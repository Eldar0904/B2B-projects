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ine\Documents\Claude\Projects\"/>
    </mc:Choice>
  </mc:AlternateContent>
  <xr:revisionPtr revIDLastSave="0" documentId="13_ncr:1_{6596536C-9D4C-4F9B-843F-CC169FB5E2EE}" xr6:coauthVersionLast="47" xr6:coauthVersionMax="47" xr10:uidLastSave="{00000000-0000-0000-0000-000000000000}"/>
  <bookViews>
    <workbookView xWindow="1170" yWindow="1170" windowWidth="21555" windowHeight="12030" activeTab="1" xr2:uid="{00000000-000D-0000-FFFF-FFFF00000000}"/>
  </bookViews>
  <sheets>
    <sheet name="По кабинетно" sheetId="1" r:id="rId1"/>
    <sheet name="Лист5" sheetId="3" r:id="rId2"/>
    <sheet name="Контакты" sheetId="4" r:id="rId3"/>
  </sheets>
  <externalReferences>
    <externalReference r:id="rId4"/>
  </externalReferences>
  <definedNames>
    <definedName name="_xlnm._FilterDatabase" localSheetId="0" hidden="1">'По кабинетно'!$A$1:$AH$9525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525" i="1" l="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B9331" i="1"/>
  <c r="C9330" i="1"/>
  <c r="B9330" i="1"/>
  <c r="C9329" i="1"/>
  <c r="B9329" i="1"/>
  <c r="C9328" i="1"/>
  <c r="B9328" i="1"/>
  <c r="C9327" i="1"/>
  <c r="B9327" i="1"/>
  <c r="C9326" i="1"/>
  <c r="B9326" i="1"/>
  <c r="C9325" i="1"/>
  <c r="B9325" i="1"/>
  <c r="C9324" i="1"/>
  <c r="B9324" i="1"/>
  <c r="C9323" i="1"/>
  <c r="B9323" i="1"/>
  <c r="C9322" i="1"/>
  <c r="B9322" i="1"/>
  <c r="C9321" i="1"/>
  <c r="B9321" i="1"/>
  <c r="C9320" i="1"/>
  <c r="B9320" i="1"/>
  <c r="C9319" i="1"/>
  <c r="B9319" i="1"/>
  <c r="C9318" i="1"/>
  <c r="B9318" i="1"/>
  <c r="C9317" i="1"/>
  <c r="B9317" i="1"/>
  <c r="C9316" i="1"/>
  <c r="B9316" i="1"/>
  <c r="C9315" i="1"/>
  <c r="B9315" i="1"/>
  <c r="C9314" i="1"/>
  <c r="B9314" i="1"/>
  <c r="C9313" i="1"/>
  <c r="B9313" i="1"/>
  <c r="C9312" i="1"/>
  <c r="B9312" i="1"/>
  <c r="C9311" i="1"/>
  <c r="B9311" i="1"/>
  <c r="C9310" i="1"/>
  <c r="B9310" i="1"/>
  <c r="C9309" i="1"/>
  <c r="B9309" i="1"/>
  <c r="C9308" i="1"/>
  <c r="B9308" i="1"/>
  <c r="C9307" i="1"/>
  <c r="B9307" i="1"/>
  <c r="C9306" i="1"/>
  <c r="B9306" i="1"/>
  <c r="C9305" i="1"/>
  <c r="B9305" i="1"/>
  <c r="C9304" i="1"/>
  <c r="B9304" i="1"/>
  <c r="C9303" i="1"/>
  <c r="B9303" i="1"/>
  <c r="C9302" i="1"/>
  <c r="B9302" i="1"/>
  <c r="C9301" i="1"/>
  <c r="B9301" i="1"/>
  <c r="C9300" i="1"/>
  <c r="B9300" i="1"/>
  <c r="C9299" i="1"/>
  <c r="B9299" i="1"/>
  <c r="C9298" i="1"/>
  <c r="B9298" i="1"/>
  <c r="C9297" i="1"/>
  <c r="B9297" i="1"/>
  <c r="C9296" i="1"/>
  <c r="B9296" i="1"/>
  <c r="C9295" i="1"/>
  <c r="B9295" i="1"/>
  <c r="C9294" i="1"/>
  <c r="B9294" i="1"/>
  <c r="C9293" i="1"/>
  <c r="B9293" i="1"/>
  <c r="C9292" i="1"/>
  <c r="B9292" i="1"/>
  <c r="C9291" i="1"/>
  <c r="B9291" i="1"/>
  <c r="C9290" i="1"/>
  <c r="B9290" i="1"/>
  <c r="C9289" i="1"/>
  <c r="B9289" i="1"/>
  <c r="C9288" i="1"/>
  <c r="B9288" i="1"/>
  <c r="C9287" i="1"/>
  <c r="B9287" i="1"/>
  <c r="C9286" i="1"/>
  <c r="B9286" i="1"/>
  <c r="C9285" i="1"/>
  <c r="B9285" i="1"/>
  <c r="C9284" i="1"/>
  <c r="B9284" i="1"/>
  <c r="C9283" i="1"/>
  <c r="B9283" i="1"/>
  <c r="C9282" i="1"/>
  <c r="B9282" i="1"/>
  <c r="C9281" i="1"/>
  <c r="B9281" i="1"/>
  <c r="C9280" i="1"/>
  <c r="B9280" i="1"/>
  <c r="C9279" i="1"/>
  <c r="B9279" i="1"/>
  <c r="C9278" i="1"/>
  <c r="B9278" i="1"/>
  <c r="C9277" i="1"/>
  <c r="B9277" i="1"/>
  <c r="C9276" i="1"/>
  <c r="B9276" i="1"/>
  <c r="C9275" i="1"/>
  <c r="B9275" i="1"/>
  <c r="C9274" i="1"/>
  <c r="B9274" i="1"/>
  <c r="C9273" i="1"/>
  <c r="B9273" i="1"/>
  <c r="C9272" i="1"/>
  <c r="B9272" i="1"/>
  <c r="C9271" i="1"/>
  <c r="B9271" i="1"/>
  <c r="C9270" i="1"/>
  <c r="B9270" i="1"/>
  <c r="C9269" i="1"/>
  <c r="B9269" i="1"/>
  <c r="C9268" i="1"/>
  <c r="B9268" i="1"/>
  <c r="C9267" i="1"/>
  <c r="B9267" i="1"/>
  <c r="C9266" i="1"/>
  <c r="B9266" i="1"/>
  <c r="C9265" i="1"/>
  <c r="B9265" i="1"/>
  <c r="C9264" i="1"/>
  <c r="B9264" i="1"/>
  <c r="C9263" i="1"/>
  <c r="B9263" i="1"/>
  <c r="C9262" i="1"/>
  <c r="B9262" i="1"/>
  <c r="C9261" i="1"/>
  <c r="B9261" i="1"/>
  <c r="C9260" i="1"/>
  <c r="B9260" i="1"/>
  <c r="C9259" i="1"/>
  <c r="B9259" i="1"/>
  <c r="C9258" i="1"/>
  <c r="B9258" i="1"/>
  <c r="C9257" i="1"/>
  <c r="B9257" i="1"/>
  <c r="C9256" i="1"/>
  <c r="B9256" i="1"/>
  <c r="C9255" i="1"/>
  <c r="B9255" i="1"/>
  <c r="C9254" i="1"/>
  <c r="B9254" i="1"/>
  <c r="C9253" i="1"/>
  <c r="B9253" i="1"/>
  <c r="C9252" i="1"/>
  <c r="B9252" i="1"/>
  <c r="C9251" i="1"/>
  <c r="B9251" i="1"/>
  <c r="C9250" i="1"/>
  <c r="B9250" i="1"/>
  <c r="C9249" i="1"/>
  <c r="B9249" i="1"/>
  <c r="C9248" i="1"/>
  <c r="B9248" i="1"/>
  <c r="C9247" i="1"/>
  <c r="B9247" i="1"/>
  <c r="C9246" i="1"/>
  <c r="B9246" i="1"/>
  <c r="C9245" i="1"/>
  <c r="B9245" i="1"/>
  <c r="C9244" i="1"/>
  <c r="B9244" i="1"/>
  <c r="C9243" i="1"/>
  <c r="B9243" i="1"/>
  <c r="C9242" i="1"/>
  <c r="B9242" i="1"/>
  <c r="C9241" i="1"/>
  <c r="B9241" i="1"/>
  <c r="C9240" i="1"/>
  <c r="B9240" i="1"/>
  <c r="C9239" i="1"/>
  <c r="B9239" i="1"/>
  <c r="C9238" i="1"/>
  <c r="B9238" i="1"/>
  <c r="C9237" i="1"/>
  <c r="B9237" i="1"/>
  <c r="C9236" i="1"/>
  <c r="B9236" i="1"/>
  <c r="C9235" i="1"/>
  <c r="B9235" i="1"/>
  <c r="C9234" i="1"/>
  <c r="B9234" i="1"/>
  <c r="C9233" i="1"/>
  <c r="B9233" i="1"/>
  <c r="C9232" i="1"/>
  <c r="B9232" i="1"/>
  <c r="C9231" i="1"/>
  <c r="B9231" i="1"/>
  <c r="C9230" i="1"/>
  <c r="B9230" i="1"/>
  <c r="C9229" i="1"/>
  <c r="B9229" i="1"/>
  <c r="C9228" i="1"/>
  <c r="B9228" i="1"/>
  <c r="C9227" i="1"/>
  <c r="B9227" i="1"/>
  <c r="C9226" i="1"/>
  <c r="B9226" i="1"/>
  <c r="C9225" i="1"/>
  <c r="B9225" i="1"/>
  <c r="C9224" i="1"/>
  <c r="B9224" i="1"/>
  <c r="C9223" i="1"/>
  <c r="B9223" i="1"/>
  <c r="C9222" i="1"/>
  <c r="B9222" i="1"/>
  <c r="C9221" i="1"/>
  <c r="B9221" i="1"/>
  <c r="C9220" i="1"/>
  <c r="B9220" i="1"/>
  <c r="C9219" i="1"/>
  <c r="B9219" i="1"/>
  <c r="C9218" i="1"/>
  <c r="B9218" i="1"/>
  <c r="C9217" i="1"/>
  <c r="B9217" i="1"/>
  <c r="C9216" i="1"/>
  <c r="B9216" i="1"/>
  <c r="C9215" i="1"/>
  <c r="B9215" i="1"/>
  <c r="C9214" i="1"/>
  <c r="B9214" i="1"/>
  <c r="C9213" i="1"/>
  <c r="B9213" i="1"/>
  <c r="C9212" i="1"/>
  <c r="B9212" i="1"/>
  <c r="C9211" i="1"/>
  <c r="B9211" i="1"/>
  <c r="C9210" i="1"/>
  <c r="B9210" i="1"/>
  <c r="C9209" i="1"/>
  <c r="B9209" i="1"/>
  <c r="C9208" i="1"/>
  <c r="B9208" i="1"/>
  <c r="C9207" i="1"/>
  <c r="B9207" i="1"/>
  <c r="C9206" i="1"/>
  <c r="B9206" i="1"/>
  <c r="C9205" i="1"/>
  <c r="B9205" i="1"/>
  <c r="C9204" i="1"/>
  <c r="B9204" i="1"/>
  <c r="C9203" i="1"/>
  <c r="B9203" i="1"/>
  <c r="C9202" i="1"/>
  <c r="B9202" i="1"/>
  <c r="C9201" i="1"/>
  <c r="B9201" i="1"/>
  <c r="C9200" i="1"/>
  <c r="B9200" i="1"/>
  <c r="C9199" i="1"/>
  <c r="B9199" i="1"/>
  <c r="C9198" i="1"/>
  <c r="B9198" i="1"/>
  <c r="C9197" i="1"/>
  <c r="B9197" i="1"/>
  <c r="C9196" i="1"/>
  <c r="B9196" i="1"/>
  <c r="C9195" i="1"/>
  <c r="B9195" i="1"/>
  <c r="C9194" i="1"/>
  <c r="B9194" i="1"/>
  <c r="C9193" i="1"/>
  <c r="B9193" i="1"/>
  <c r="C9192" i="1"/>
  <c r="B9192" i="1"/>
  <c r="C9191" i="1"/>
  <c r="B9191" i="1"/>
  <c r="C9190" i="1"/>
  <c r="B9190" i="1"/>
  <c r="C9189" i="1"/>
  <c r="B9189" i="1"/>
  <c r="C9188" i="1"/>
  <c r="B9188" i="1"/>
  <c r="C9187" i="1"/>
  <c r="B9187" i="1"/>
  <c r="C9186" i="1"/>
  <c r="B9186" i="1"/>
  <c r="C9185" i="1"/>
  <c r="B9185" i="1"/>
  <c r="C9184" i="1"/>
  <c r="B9184" i="1"/>
  <c r="C9183" i="1"/>
  <c r="B9183" i="1"/>
  <c r="C9182" i="1"/>
  <c r="B9182" i="1"/>
  <c r="C9181" i="1"/>
  <c r="B9181" i="1"/>
  <c r="C9180" i="1"/>
  <c r="B9180" i="1"/>
  <c r="C9179" i="1"/>
  <c r="B9179" i="1"/>
  <c r="C9178" i="1"/>
  <c r="B9178" i="1"/>
  <c r="C9177" i="1"/>
  <c r="B9177" i="1"/>
  <c r="C9176" i="1"/>
  <c r="B9176" i="1"/>
  <c r="C9175" i="1"/>
  <c r="B9175" i="1"/>
  <c r="C9174" i="1"/>
  <c r="B9174" i="1"/>
  <c r="C9173" i="1"/>
  <c r="B9173" i="1"/>
  <c r="C9172" i="1"/>
  <c r="B9172" i="1"/>
  <c r="C9171" i="1"/>
  <c r="B9171" i="1"/>
  <c r="C9170" i="1"/>
  <c r="B9170" i="1"/>
  <c r="C9169" i="1"/>
  <c r="B9169" i="1"/>
  <c r="C9168" i="1"/>
  <c r="B9168" i="1"/>
  <c r="C9167" i="1"/>
  <c r="B9167" i="1"/>
  <c r="C9166" i="1"/>
  <c r="B9166" i="1"/>
  <c r="C9165" i="1"/>
  <c r="B9165" i="1"/>
  <c r="C9164" i="1"/>
  <c r="B9164" i="1"/>
  <c r="C9163" i="1"/>
  <c r="B9163" i="1"/>
  <c r="C9162" i="1"/>
  <c r="B9162" i="1"/>
  <c r="C9161" i="1"/>
  <c r="B9161" i="1"/>
  <c r="C9160" i="1"/>
  <c r="B9160" i="1"/>
  <c r="C9159" i="1"/>
  <c r="B9159" i="1"/>
  <c r="C9158" i="1"/>
  <c r="B9158" i="1"/>
  <c r="C9157" i="1"/>
  <c r="B9157" i="1"/>
  <c r="C9156" i="1"/>
  <c r="B9156" i="1"/>
  <c r="C9155" i="1"/>
  <c r="B9155" i="1"/>
  <c r="C9154" i="1"/>
  <c r="B9154" i="1"/>
  <c r="C9153" i="1"/>
  <c r="B9153" i="1"/>
  <c r="C9152" i="1"/>
  <c r="B9152" i="1"/>
  <c r="C9151" i="1"/>
  <c r="B9151" i="1"/>
  <c r="C9150" i="1"/>
  <c r="B9150" i="1"/>
  <c r="C9149" i="1"/>
  <c r="B9149" i="1"/>
  <c r="C9148" i="1"/>
  <c r="B9148" i="1"/>
  <c r="C9147" i="1"/>
  <c r="B9147" i="1"/>
  <c r="C9146" i="1"/>
  <c r="B9146" i="1"/>
  <c r="C9145" i="1"/>
  <c r="B9145" i="1"/>
  <c r="C9144" i="1"/>
  <c r="B9144" i="1"/>
  <c r="C9143" i="1"/>
  <c r="B9143" i="1"/>
  <c r="C9142" i="1"/>
  <c r="B9142" i="1"/>
  <c r="C9141" i="1"/>
  <c r="B9141" i="1"/>
  <c r="C9140" i="1"/>
  <c r="B9140" i="1"/>
  <c r="C9139" i="1"/>
  <c r="B9139" i="1"/>
  <c r="C9138" i="1"/>
  <c r="B9138" i="1"/>
  <c r="C9137" i="1"/>
  <c r="B9137" i="1"/>
  <c r="C9136" i="1"/>
  <c r="B9136" i="1"/>
  <c r="C9135" i="1"/>
  <c r="B9135" i="1"/>
  <c r="C9134" i="1"/>
  <c r="B9134" i="1"/>
  <c r="C9133" i="1"/>
  <c r="B9133" i="1"/>
  <c r="C9132" i="1"/>
  <c r="B9132" i="1"/>
  <c r="C9131" i="1"/>
  <c r="B9131" i="1"/>
  <c r="C9130" i="1"/>
  <c r="B9130" i="1"/>
  <c r="C9129" i="1"/>
  <c r="B9129" i="1"/>
  <c r="C9128" i="1"/>
  <c r="B9128" i="1"/>
  <c r="C9127" i="1"/>
  <c r="B9127" i="1"/>
  <c r="C9126" i="1"/>
  <c r="B9126" i="1"/>
  <c r="C9125" i="1"/>
  <c r="B9125" i="1"/>
  <c r="C9124" i="1"/>
  <c r="B9124" i="1"/>
  <c r="C9123" i="1"/>
  <c r="B9123" i="1"/>
  <c r="C9122" i="1"/>
  <c r="B9122" i="1"/>
  <c r="C9121" i="1"/>
  <c r="B9121" i="1"/>
  <c r="C9120" i="1"/>
  <c r="B9120" i="1"/>
  <c r="C9119" i="1"/>
  <c r="B9119" i="1"/>
  <c r="C9118" i="1"/>
  <c r="B9118" i="1"/>
  <c r="C9117" i="1"/>
  <c r="B9117" i="1"/>
  <c r="C9116" i="1"/>
  <c r="B9116" i="1"/>
  <c r="C9115" i="1"/>
  <c r="B9115" i="1"/>
  <c r="C9114" i="1"/>
  <c r="B9114" i="1"/>
  <c r="C9113" i="1"/>
  <c r="B9113" i="1"/>
  <c r="C9112" i="1"/>
  <c r="B9112" i="1"/>
  <c r="C9111" i="1"/>
  <c r="B9111" i="1"/>
  <c r="C9110" i="1"/>
  <c r="B9110" i="1"/>
  <c r="C9109" i="1"/>
  <c r="B9109" i="1"/>
  <c r="C9108" i="1"/>
  <c r="B9108" i="1"/>
  <c r="C9107" i="1"/>
  <c r="B9107" i="1"/>
  <c r="C9106" i="1"/>
  <c r="B9106" i="1"/>
  <c r="C9105" i="1"/>
  <c r="B9105" i="1"/>
  <c r="C9104" i="1"/>
  <c r="B9104" i="1"/>
  <c r="C9103" i="1"/>
  <c r="B9103" i="1"/>
  <c r="C9102" i="1"/>
  <c r="B9102" i="1"/>
  <c r="C9101" i="1"/>
  <c r="B9101" i="1"/>
  <c r="C9100" i="1"/>
  <c r="B9100" i="1"/>
  <c r="C9099" i="1"/>
  <c r="B9099" i="1"/>
  <c r="C9098" i="1"/>
  <c r="B9098" i="1"/>
  <c r="C9097" i="1"/>
  <c r="B9097" i="1"/>
  <c r="C9096" i="1"/>
  <c r="B9096" i="1"/>
  <c r="C9095" i="1"/>
  <c r="B9095" i="1"/>
  <c r="C9094" i="1"/>
  <c r="B9094" i="1"/>
  <c r="C9093" i="1"/>
  <c r="B9093" i="1"/>
  <c r="C9092" i="1"/>
  <c r="B9092" i="1"/>
  <c r="C9091" i="1"/>
  <c r="B9091" i="1"/>
  <c r="C9090" i="1"/>
  <c r="B9090" i="1"/>
  <c r="C9089" i="1"/>
  <c r="B9089" i="1"/>
  <c r="C9088" i="1"/>
  <c r="B9088" i="1"/>
  <c r="C9087" i="1"/>
  <c r="B9087" i="1"/>
  <c r="C9086" i="1"/>
  <c r="B9086" i="1"/>
  <c r="C9085" i="1"/>
  <c r="B9085" i="1"/>
  <c r="C9084" i="1"/>
  <c r="B9084" i="1"/>
  <c r="C9083" i="1"/>
  <c r="B9083" i="1"/>
  <c r="C9082" i="1"/>
  <c r="B9082" i="1"/>
  <c r="C9081" i="1"/>
  <c r="B9081" i="1"/>
  <c r="C9080" i="1"/>
  <c r="B9080" i="1"/>
  <c r="C9079" i="1"/>
  <c r="B9079" i="1"/>
  <c r="C9078" i="1"/>
  <c r="B9078" i="1"/>
  <c r="C9077" i="1"/>
  <c r="B9077" i="1"/>
  <c r="C9076" i="1"/>
  <c r="B9076" i="1"/>
  <c r="C9075" i="1"/>
  <c r="B9075" i="1"/>
  <c r="C9074" i="1"/>
  <c r="B9074" i="1"/>
  <c r="C9073" i="1"/>
  <c r="B9073" i="1"/>
  <c r="C9072" i="1"/>
  <c r="B9072" i="1"/>
  <c r="C9071" i="1"/>
  <c r="B9071" i="1"/>
  <c r="C9070" i="1"/>
  <c r="B9070" i="1"/>
  <c r="C9069" i="1"/>
  <c r="B9069" i="1"/>
  <c r="C9068" i="1"/>
  <c r="B9068" i="1"/>
  <c r="C9067" i="1"/>
  <c r="B9067" i="1"/>
  <c r="C9066" i="1"/>
  <c r="B9066" i="1"/>
  <c r="C9065" i="1"/>
  <c r="B9065" i="1"/>
  <c r="C9064" i="1"/>
  <c r="B9064" i="1"/>
  <c r="C9063" i="1"/>
  <c r="B9063" i="1"/>
  <c r="C9062" i="1"/>
  <c r="B9062" i="1"/>
  <c r="C9061" i="1"/>
  <c r="B9061" i="1"/>
  <c r="C9060" i="1"/>
  <c r="B9060" i="1"/>
  <c r="C9059" i="1"/>
  <c r="B9059" i="1"/>
  <c r="C9058" i="1"/>
  <c r="B9058" i="1"/>
  <c r="C9057" i="1"/>
  <c r="B9057" i="1"/>
  <c r="C9056" i="1"/>
  <c r="B9056" i="1"/>
  <c r="C9055" i="1"/>
  <c r="B9055" i="1"/>
  <c r="C9054" i="1"/>
  <c r="B9054" i="1"/>
  <c r="C9053" i="1"/>
  <c r="B9053" i="1"/>
  <c r="C9052" i="1"/>
  <c r="B9052" i="1"/>
  <c r="C9051" i="1"/>
  <c r="B9051" i="1"/>
  <c r="C9050" i="1"/>
  <c r="B9050" i="1"/>
  <c r="C9049" i="1"/>
  <c r="B9049" i="1"/>
  <c r="C9048" i="1"/>
  <c r="B9048" i="1"/>
  <c r="C9047" i="1"/>
  <c r="B9047" i="1"/>
  <c r="C9046" i="1"/>
  <c r="B9046" i="1"/>
  <c r="C9045" i="1"/>
  <c r="B9045" i="1"/>
  <c r="C9044" i="1"/>
  <c r="B9044" i="1"/>
  <c r="C9043" i="1"/>
  <c r="B9043" i="1"/>
  <c r="C9042" i="1"/>
  <c r="B9042" i="1"/>
  <c r="C9041" i="1"/>
  <c r="B9041" i="1"/>
  <c r="C9040" i="1"/>
  <c r="B9040" i="1"/>
  <c r="C9039" i="1"/>
  <c r="B9039" i="1"/>
  <c r="C9038" i="1"/>
  <c r="B9038" i="1"/>
  <c r="C9037" i="1"/>
  <c r="B9037" i="1"/>
  <c r="C9036" i="1"/>
  <c r="B9036" i="1"/>
  <c r="C9035" i="1"/>
  <c r="B9035" i="1"/>
  <c r="C9034" i="1"/>
  <c r="B9034" i="1"/>
  <c r="C9033" i="1"/>
  <c r="B9033" i="1"/>
  <c r="C9032" i="1"/>
  <c r="B9032" i="1"/>
  <c r="C9031" i="1"/>
  <c r="B9031" i="1"/>
  <c r="C9030" i="1"/>
  <c r="B9030" i="1"/>
  <c r="C9029" i="1"/>
  <c r="B9029" i="1"/>
  <c r="C9028" i="1"/>
  <c r="B9028" i="1"/>
  <c r="C9027" i="1"/>
  <c r="B9027" i="1"/>
  <c r="C9026" i="1"/>
  <c r="B9026" i="1"/>
  <c r="C9025" i="1"/>
  <c r="B9025" i="1"/>
  <c r="C9024" i="1"/>
  <c r="B9024" i="1"/>
  <c r="C9023" i="1"/>
  <c r="B9023" i="1"/>
  <c r="C9022" i="1"/>
  <c r="B9022" i="1"/>
  <c r="C9021" i="1"/>
  <c r="B9021" i="1"/>
  <c r="C9020" i="1"/>
  <c r="B9020" i="1"/>
  <c r="C9019" i="1"/>
  <c r="B9019" i="1"/>
  <c r="C9018" i="1"/>
  <c r="B9018" i="1"/>
  <c r="C9017" i="1"/>
  <c r="B9017" i="1"/>
  <c r="C9016" i="1"/>
  <c r="B9016" i="1"/>
  <c r="C9015" i="1"/>
  <c r="B9015" i="1"/>
  <c r="C9014" i="1"/>
  <c r="B9014" i="1"/>
  <c r="C9013" i="1"/>
  <c r="B9013" i="1"/>
  <c r="C9012" i="1"/>
  <c r="B9012" i="1"/>
  <c r="C9011" i="1"/>
  <c r="B9011" i="1"/>
  <c r="C9010" i="1"/>
  <c r="B9010" i="1"/>
  <c r="C9009" i="1"/>
  <c r="B9009" i="1"/>
  <c r="C9008" i="1"/>
  <c r="B9008" i="1"/>
  <c r="C9007" i="1"/>
  <c r="B9007" i="1"/>
  <c r="C9006" i="1"/>
  <c r="B9006" i="1"/>
  <c r="C9005" i="1"/>
  <c r="B9005" i="1"/>
  <c r="C9004" i="1"/>
  <c r="B9004" i="1"/>
  <c r="C9003" i="1"/>
  <c r="B9003" i="1"/>
  <c r="C9002" i="1"/>
  <c r="B9002" i="1"/>
  <c r="C9001" i="1"/>
  <c r="B9001" i="1"/>
  <c r="C9000" i="1"/>
  <c r="B9000" i="1"/>
  <c r="C8999" i="1"/>
  <c r="B8999" i="1"/>
  <c r="C8998" i="1"/>
  <c r="B8998" i="1"/>
  <c r="C8997" i="1"/>
  <c r="B8997" i="1"/>
  <c r="C8996" i="1"/>
  <c r="B8996" i="1"/>
  <c r="C8995" i="1"/>
  <c r="B8995" i="1"/>
  <c r="C8994" i="1"/>
  <c r="B8994" i="1"/>
  <c r="C8993" i="1"/>
  <c r="B8993" i="1"/>
  <c r="C8992" i="1"/>
  <c r="B8992" i="1"/>
  <c r="C8991" i="1"/>
  <c r="B8991" i="1"/>
  <c r="C8990" i="1"/>
  <c r="B8990" i="1"/>
  <c r="C8989" i="1"/>
  <c r="B8989" i="1"/>
  <c r="C8988" i="1"/>
  <c r="B8988" i="1"/>
  <c r="C8987" i="1"/>
  <c r="B8987" i="1"/>
  <c r="C8986" i="1"/>
  <c r="B8986" i="1"/>
  <c r="C8985" i="1"/>
  <c r="B8985" i="1"/>
  <c r="C8984" i="1"/>
  <c r="B8984" i="1"/>
  <c r="C8983" i="1"/>
  <c r="B8983" i="1"/>
  <c r="C8982" i="1"/>
  <c r="B8982" i="1"/>
  <c r="C8981" i="1"/>
  <c r="B8981" i="1"/>
  <c r="C8980" i="1"/>
  <c r="B8980" i="1"/>
  <c r="C8979" i="1"/>
  <c r="B8979" i="1"/>
  <c r="C8978" i="1"/>
  <c r="B8978" i="1"/>
  <c r="C8977" i="1"/>
  <c r="B8977" i="1"/>
  <c r="C8976" i="1"/>
  <c r="B8976" i="1"/>
  <c r="C8975" i="1"/>
  <c r="B8975" i="1"/>
  <c r="C8974" i="1"/>
  <c r="B8974" i="1"/>
  <c r="C8973" i="1"/>
  <c r="B8973" i="1"/>
  <c r="C8972" i="1"/>
  <c r="B8972" i="1"/>
  <c r="C8971" i="1"/>
  <c r="B8971" i="1"/>
  <c r="C8970" i="1"/>
  <c r="B8970" i="1"/>
  <c r="C8969" i="1"/>
  <c r="B8969" i="1"/>
  <c r="C8968" i="1"/>
  <c r="B8968" i="1"/>
  <c r="C8967" i="1"/>
  <c r="B8967" i="1"/>
  <c r="C8966" i="1"/>
  <c r="B8966" i="1"/>
  <c r="C8965" i="1"/>
  <c r="B8965" i="1"/>
  <c r="C8964" i="1"/>
  <c r="B8964" i="1"/>
  <c r="C8963" i="1"/>
  <c r="B8963" i="1"/>
  <c r="C8962" i="1"/>
  <c r="B8962" i="1"/>
  <c r="C8961" i="1"/>
  <c r="B8961" i="1"/>
  <c r="C8960" i="1"/>
  <c r="B8960" i="1"/>
  <c r="C8959" i="1"/>
  <c r="B8959" i="1"/>
  <c r="C8958" i="1"/>
  <c r="B8958" i="1"/>
  <c r="C8957" i="1"/>
  <c r="B8957" i="1"/>
  <c r="C8956" i="1"/>
  <c r="B8956" i="1"/>
  <c r="C8955" i="1"/>
  <c r="B8955" i="1"/>
  <c r="C8954" i="1"/>
  <c r="B8954" i="1"/>
  <c r="C8953" i="1"/>
  <c r="B8953" i="1"/>
  <c r="C8952" i="1"/>
  <c r="B8952" i="1"/>
  <c r="C8951" i="1"/>
  <c r="B8951" i="1"/>
  <c r="C8950" i="1"/>
  <c r="B8950" i="1"/>
  <c r="C8949" i="1"/>
  <c r="B8949" i="1"/>
  <c r="C8948" i="1"/>
  <c r="B8948" i="1"/>
  <c r="C8947" i="1"/>
  <c r="B8947" i="1"/>
  <c r="C8946" i="1"/>
  <c r="B8946" i="1"/>
  <c r="C8945" i="1"/>
  <c r="B8945" i="1"/>
  <c r="C8944" i="1"/>
  <c r="B8944" i="1"/>
  <c r="C8943" i="1"/>
  <c r="B8943" i="1"/>
  <c r="C8942" i="1"/>
  <c r="B8942" i="1"/>
  <c r="C8941" i="1"/>
  <c r="B8941" i="1"/>
  <c r="C8940" i="1"/>
  <c r="B8940" i="1"/>
  <c r="C8939" i="1"/>
  <c r="B8939" i="1"/>
  <c r="C8938" i="1"/>
  <c r="B8938" i="1"/>
  <c r="C8937" i="1"/>
  <c r="B8937" i="1"/>
  <c r="C8936" i="1"/>
  <c r="B8936" i="1"/>
  <c r="C8935" i="1"/>
  <c r="B8935" i="1"/>
  <c r="C8934" i="1"/>
  <c r="B8934" i="1"/>
  <c r="C8933" i="1"/>
  <c r="B8933" i="1"/>
  <c r="C8932" i="1"/>
  <c r="B8932" i="1"/>
  <c r="C8931" i="1"/>
  <c r="B8931" i="1"/>
  <c r="C8930" i="1"/>
  <c r="B8930" i="1"/>
  <c r="C8929" i="1"/>
  <c r="B8929" i="1"/>
  <c r="C8928" i="1"/>
  <c r="B8928" i="1"/>
  <c r="C8927" i="1"/>
  <c r="B8927" i="1"/>
  <c r="C8926" i="1"/>
  <c r="B8926" i="1"/>
  <c r="C8925" i="1"/>
  <c r="B8925" i="1"/>
  <c r="C8924" i="1"/>
  <c r="B8924" i="1"/>
  <c r="C8923" i="1"/>
  <c r="B8923" i="1"/>
  <c r="C8922" i="1"/>
  <c r="B8922" i="1"/>
  <c r="C8921" i="1"/>
  <c r="B8921" i="1"/>
  <c r="C8920" i="1"/>
  <c r="B8920" i="1"/>
  <c r="C8919" i="1"/>
  <c r="B8919" i="1"/>
  <c r="C8918" i="1"/>
  <c r="B8918" i="1"/>
  <c r="C8917" i="1"/>
  <c r="B8917" i="1"/>
  <c r="C8916" i="1"/>
  <c r="B8916" i="1"/>
  <c r="C8915" i="1"/>
  <c r="B8915" i="1"/>
  <c r="C8914" i="1"/>
  <c r="B8914" i="1"/>
  <c r="C8913" i="1"/>
  <c r="B8913" i="1"/>
  <c r="C8912" i="1"/>
  <c r="B8912" i="1"/>
  <c r="C8911" i="1"/>
  <c r="B8911" i="1"/>
  <c r="C8910" i="1"/>
  <c r="B8910" i="1"/>
  <c r="C8909" i="1"/>
  <c r="B8909" i="1"/>
  <c r="C8908" i="1"/>
  <c r="B8908" i="1"/>
  <c r="C8907" i="1"/>
  <c r="B8907" i="1"/>
  <c r="C8906" i="1"/>
  <c r="B8906" i="1"/>
  <c r="C8905" i="1"/>
  <c r="B8905" i="1"/>
  <c r="C8904" i="1"/>
  <c r="B8904" i="1"/>
  <c r="C8903" i="1"/>
  <c r="B8903" i="1"/>
  <c r="C8902" i="1"/>
  <c r="B8902" i="1"/>
  <c r="C8901" i="1"/>
  <c r="B8901" i="1"/>
  <c r="C8900" i="1"/>
  <c r="B8900" i="1"/>
  <c r="C8899" i="1"/>
  <c r="B8899" i="1"/>
  <c r="C8898" i="1"/>
  <c r="B8898" i="1"/>
  <c r="C8897" i="1"/>
  <c r="B8897" i="1"/>
  <c r="C8896" i="1"/>
  <c r="B8896" i="1"/>
  <c r="C8895" i="1"/>
  <c r="B8895" i="1"/>
  <c r="C8894" i="1"/>
  <c r="B8894" i="1"/>
  <c r="C8893" i="1"/>
  <c r="B8893" i="1"/>
  <c r="C8892" i="1"/>
  <c r="B8892" i="1"/>
  <c r="C8891" i="1"/>
  <c r="B8891" i="1"/>
  <c r="C8890" i="1"/>
  <c r="B8890" i="1"/>
  <c r="C8889" i="1"/>
  <c r="B8889" i="1"/>
  <c r="C8888" i="1"/>
  <c r="B8888" i="1"/>
  <c r="C8887" i="1"/>
  <c r="B8887" i="1"/>
  <c r="C8886" i="1"/>
  <c r="B8886" i="1"/>
  <c r="C8885" i="1"/>
  <c r="B8885" i="1"/>
  <c r="C8884" i="1"/>
  <c r="B8884" i="1"/>
  <c r="C8883" i="1"/>
  <c r="B8883" i="1"/>
  <c r="C8882" i="1"/>
  <c r="B8882" i="1"/>
  <c r="C8881" i="1"/>
  <c r="B8881" i="1"/>
  <c r="C8880" i="1"/>
  <c r="B8880" i="1"/>
  <c r="C8879" i="1"/>
  <c r="B8879" i="1"/>
  <c r="C8878" i="1"/>
  <c r="B8878" i="1"/>
  <c r="C8877" i="1"/>
  <c r="B8877" i="1"/>
  <c r="C8876" i="1"/>
  <c r="B8876" i="1"/>
  <c r="C8875" i="1"/>
  <c r="B8875" i="1"/>
  <c r="C8874" i="1"/>
  <c r="B8874" i="1"/>
  <c r="C8873" i="1"/>
  <c r="B8873" i="1"/>
  <c r="C8872" i="1"/>
  <c r="B8872" i="1"/>
  <c r="C8871" i="1"/>
  <c r="B8871" i="1"/>
  <c r="C8870" i="1"/>
  <c r="B8870" i="1"/>
  <c r="C8869" i="1"/>
  <c r="B8869" i="1"/>
  <c r="C8868" i="1"/>
  <c r="B8868" i="1"/>
  <c r="C8867" i="1"/>
  <c r="B8867" i="1"/>
  <c r="C8866" i="1"/>
  <c r="B8866" i="1"/>
  <c r="C8865" i="1"/>
  <c r="B8865" i="1"/>
  <c r="C8864" i="1"/>
  <c r="B8864" i="1"/>
  <c r="C8863" i="1"/>
  <c r="B8863" i="1"/>
  <c r="C8862" i="1"/>
  <c r="B8862" i="1"/>
  <c r="C8861" i="1"/>
  <c r="B8861" i="1"/>
  <c r="C8860" i="1"/>
  <c r="B8860" i="1"/>
  <c r="C8859" i="1"/>
  <c r="B8859" i="1"/>
  <c r="C8858" i="1"/>
  <c r="B8858" i="1"/>
  <c r="C8857" i="1"/>
  <c r="B8857" i="1"/>
  <c r="C8856" i="1"/>
  <c r="B8856" i="1"/>
  <c r="C8855" i="1"/>
  <c r="B8855" i="1"/>
  <c r="C8854" i="1"/>
  <c r="B8854" i="1"/>
  <c r="C8853" i="1"/>
  <c r="B8853" i="1"/>
  <c r="C8852" i="1"/>
  <c r="B8852" i="1"/>
  <c r="C8851" i="1"/>
  <c r="B8851" i="1"/>
  <c r="C8850" i="1"/>
  <c r="B8850" i="1"/>
  <c r="C8849" i="1"/>
  <c r="B8849" i="1"/>
  <c r="C8848" i="1"/>
  <c r="B8848" i="1"/>
  <c r="C8847" i="1"/>
  <c r="B8847" i="1"/>
  <c r="C8846" i="1"/>
  <c r="B8846" i="1"/>
  <c r="C8845" i="1"/>
  <c r="B8845" i="1"/>
  <c r="C8844" i="1"/>
  <c r="B8844" i="1"/>
  <c r="C8843" i="1"/>
  <c r="B8843" i="1"/>
  <c r="C8842" i="1"/>
  <c r="B8842" i="1"/>
  <c r="C8841" i="1"/>
  <c r="B8841" i="1"/>
  <c r="C8840" i="1"/>
  <c r="B8840" i="1"/>
  <c r="C8839" i="1"/>
  <c r="B8839" i="1"/>
  <c r="C8838" i="1"/>
  <c r="B8838" i="1"/>
  <c r="C8837" i="1"/>
  <c r="B8837" i="1"/>
  <c r="C8836" i="1"/>
  <c r="B8836" i="1"/>
  <c r="C8835" i="1"/>
  <c r="B8835" i="1"/>
  <c r="C8834" i="1"/>
  <c r="B8834" i="1"/>
  <c r="C8833" i="1"/>
  <c r="B8833" i="1"/>
  <c r="C8832" i="1"/>
  <c r="B8832" i="1"/>
  <c r="C8831" i="1"/>
  <c r="B8831" i="1"/>
  <c r="C8830" i="1"/>
  <c r="B8830" i="1"/>
  <c r="C8829" i="1"/>
  <c r="B8829" i="1"/>
  <c r="C8828" i="1"/>
  <c r="B8828" i="1"/>
  <c r="C8827" i="1"/>
  <c r="B8827" i="1"/>
  <c r="C8826" i="1"/>
  <c r="B8826" i="1"/>
  <c r="C8825" i="1"/>
  <c r="B8825" i="1"/>
  <c r="C8824" i="1"/>
  <c r="B8824" i="1"/>
  <c r="C8823" i="1"/>
  <c r="B8823" i="1"/>
  <c r="C8822" i="1"/>
  <c r="B8822" i="1"/>
  <c r="C8821" i="1"/>
  <c r="B8821" i="1"/>
  <c r="C8820" i="1"/>
  <c r="B8820" i="1"/>
  <c r="C8819" i="1"/>
  <c r="B8819" i="1"/>
  <c r="C8818" i="1"/>
  <c r="B8818" i="1"/>
  <c r="C8817" i="1"/>
  <c r="B8817" i="1"/>
  <c r="C8816" i="1"/>
  <c r="B8816" i="1"/>
  <c r="C8815" i="1"/>
  <c r="B8815" i="1"/>
  <c r="C8814" i="1"/>
  <c r="B8814" i="1"/>
  <c r="C8813" i="1"/>
  <c r="B8813" i="1"/>
  <c r="C8812" i="1"/>
  <c r="B8812" i="1"/>
  <c r="C8811" i="1"/>
  <c r="B8811" i="1"/>
  <c r="C8810" i="1"/>
  <c r="B8810" i="1"/>
  <c r="C8809" i="1"/>
  <c r="B8809" i="1"/>
  <c r="C8808" i="1"/>
  <c r="B8808" i="1"/>
  <c r="C8807" i="1"/>
  <c r="B8807" i="1"/>
  <c r="C8806" i="1"/>
  <c r="B8806" i="1"/>
  <c r="C8805" i="1"/>
  <c r="B8805" i="1"/>
  <c r="C8804" i="1"/>
  <c r="B8804" i="1"/>
  <c r="C8803" i="1"/>
  <c r="B8803" i="1"/>
  <c r="C8802" i="1"/>
  <c r="B8802" i="1"/>
  <c r="C8801" i="1"/>
  <c r="B8801" i="1"/>
  <c r="C8800" i="1"/>
  <c r="B8800" i="1"/>
  <c r="C8799" i="1"/>
  <c r="B8799" i="1"/>
  <c r="C8798" i="1"/>
  <c r="B8798" i="1"/>
  <c r="C8797" i="1"/>
  <c r="B8797" i="1"/>
  <c r="C8796" i="1"/>
  <c r="B8796" i="1"/>
  <c r="C8795" i="1"/>
  <c r="B8795" i="1"/>
  <c r="C8794" i="1"/>
  <c r="B8794" i="1"/>
  <c r="C8793" i="1"/>
  <c r="B8793" i="1"/>
  <c r="C8792" i="1"/>
  <c r="B8792" i="1"/>
  <c r="C8791" i="1"/>
  <c r="B8791" i="1"/>
  <c r="C8790" i="1"/>
  <c r="B8790" i="1"/>
  <c r="C8789" i="1"/>
  <c r="B8789" i="1"/>
  <c r="C8788" i="1"/>
  <c r="B8788" i="1"/>
  <c r="C8787" i="1"/>
  <c r="B8787" i="1"/>
  <c r="C8786" i="1"/>
  <c r="B8786" i="1"/>
  <c r="C8785" i="1"/>
  <c r="B8785" i="1"/>
  <c r="C8784" i="1"/>
  <c r="B8784" i="1"/>
  <c r="C8783" i="1"/>
  <c r="B8783" i="1"/>
  <c r="C8782" i="1"/>
  <c r="B8782" i="1"/>
  <c r="C8781" i="1"/>
  <c r="B8781" i="1"/>
  <c r="C8780" i="1"/>
  <c r="B8780" i="1"/>
  <c r="C8779" i="1"/>
  <c r="B8779" i="1"/>
  <c r="C8778" i="1"/>
  <c r="B8778" i="1"/>
  <c r="C8777" i="1"/>
  <c r="B8777" i="1"/>
  <c r="C8776" i="1"/>
  <c r="B8776" i="1"/>
  <c r="C8775" i="1"/>
  <c r="B8775" i="1"/>
  <c r="C8774" i="1"/>
  <c r="B8774" i="1"/>
  <c r="C8773" i="1"/>
  <c r="B8773" i="1"/>
  <c r="C8772" i="1"/>
  <c r="B8772" i="1"/>
  <c r="C8771" i="1"/>
  <c r="B8771" i="1"/>
  <c r="C8770" i="1"/>
  <c r="B8770" i="1"/>
  <c r="C8769" i="1"/>
  <c r="B8769" i="1"/>
  <c r="C8768" i="1"/>
  <c r="B8768" i="1"/>
  <c r="C8767" i="1"/>
  <c r="B8767" i="1"/>
  <c r="C8766" i="1"/>
  <c r="B8766" i="1"/>
  <c r="C8765" i="1"/>
  <c r="B8765" i="1"/>
  <c r="C8764" i="1"/>
  <c r="B8764" i="1"/>
  <c r="C8763" i="1"/>
  <c r="B8763" i="1"/>
  <c r="C8762" i="1"/>
  <c r="B8762" i="1"/>
  <c r="C8761" i="1"/>
  <c r="B8761" i="1"/>
  <c r="C8760" i="1"/>
  <c r="B8760" i="1"/>
  <c r="C8759" i="1"/>
  <c r="B8759" i="1"/>
  <c r="C8758" i="1"/>
  <c r="B8758" i="1"/>
  <c r="C8757" i="1"/>
  <c r="B8757" i="1"/>
  <c r="C8756" i="1"/>
  <c r="B8756" i="1"/>
  <c r="C8755" i="1"/>
  <c r="B8755" i="1"/>
  <c r="C8754" i="1"/>
  <c r="B8754" i="1"/>
  <c r="C8753" i="1"/>
  <c r="B8753" i="1"/>
  <c r="C8752" i="1"/>
  <c r="B8752" i="1"/>
  <c r="C8751" i="1"/>
  <c r="B8751" i="1"/>
  <c r="C8750" i="1"/>
  <c r="B8750" i="1"/>
  <c r="C8749" i="1"/>
  <c r="B8749" i="1"/>
  <c r="C8748" i="1"/>
  <c r="B8748" i="1"/>
  <c r="C8747" i="1"/>
  <c r="B8747" i="1"/>
  <c r="C8746" i="1"/>
  <c r="B8746" i="1"/>
  <c r="C8745" i="1"/>
  <c r="B8745" i="1"/>
  <c r="C8744" i="1"/>
  <c r="B8744" i="1"/>
  <c r="C8743" i="1"/>
  <c r="B8743" i="1"/>
  <c r="C8742" i="1"/>
  <c r="B8742" i="1"/>
  <c r="C8741" i="1"/>
  <c r="B8741" i="1"/>
  <c r="C8740" i="1"/>
  <c r="B8740" i="1"/>
  <c r="C8739" i="1"/>
  <c r="B8739" i="1"/>
  <c r="C8738" i="1"/>
  <c r="B8738" i="1"/>
  <c r="C8737" i="1"/>
  <c r="B8737" i="1"/>
  <c r="C8736" i="1"/>
  <c r="B8736" i="1"/>
  <c r="C8735" i="1"/>
  <c r="B8735" i="1"/>
  <c r="C8734" i="1"/>
  <c r="B8734" i="1"/>
  <c r="C8733" i="1"/>
  <c r="B8733" i="1"/>
  <c r="C8732" i="1"/>
  <c r="B8732" i="1"/>
  <c r="C8731" i="1"/>
  <c r="B8731" i="1"/>
  <c r="C8730" i="1"/>
  <c r="B8730" i="1"/>
  <c r="C8729" i="1"/>
  <c r="B8729" i="1"/>
  <c r="C8728" i="1"/>
  <c r="B8728" i="1"/>
  <c r="C8727" i="1"/>
  <c r="B8727" i="1"/>
  <c r="C8726" i="1"/>
  <c r="B8726" i="1"/>
  <c r="C8725" i="1"/>
  <c r="B8725" i="1"/>
  <c r="C8724" i="1"/>
  <c r="B8724" i="1"/>
  <c r="C8723" i="1"/>
  <c r="B8723" i="1"/>
  <c r="C8722" i="1"/>
  <c r="B8722" i="1"/>
  <c r="C8721" i="1"/>
  <c r="B8721" i="1"/>
  <c r="C8720" i="1"/>
  <c r="B8720" i="1"/>
  <c r="C8719" i="1"/>
  <c r="B8719" i="1"/>
  <c r="C8718" i="1"/>
  <c r="B8718" i="1"/>
  <c r="C8717" i="1"/>
  <c r="B8717" i="1"/>
  <c r="C8716" i="1"/>
  <c r="B8716" i="1"/>
  <c r="C8715" i="1"/>
  <c r="B8715" i="1"/>
  <c r="C8714" i="1"/>
  <c r="B8714" i="1"/>
  <c r="C8713" i="1"/>
  <c r="B8713" i="1"/>
  <c r="C8712" i="1"/>
  <c r="B8712" i="1"/>
  <c r="C8711" i="1"/>
  <c r="B8711" i="1"/>
  <c r="C8710" i="1"/>
  <c r="B8710" i="1"/>
  <c r="C8709" i="1"/>
  <c r="B8709" i="1"/>
  <c r="C8708" i="1"/>
  <c r="B8708" i="1"/>
  <c r="C8707" i="1"/>
  <c r="B8707" i="1"/>
  <c r="C8706" i="1"/>
  <c r="B8706" i="1"/>
  <c r="C8705" i="1"/>
  <c r="B8705" i="1"/>
  <c r="C8704" i="1"/>
  <c r="B8704" i="1"/>
  <c r="C8703" i="1"/>
  <c r="B8703" i="1"/>
  <c r="C8702" i="1"/>
  <c r="B8702" i="1"/>
  <c r="C8701" i="1"/>
  <c r="B8701" i="1"/>
  <c r="C8700" i="1"/>
  <c r="B8700" i="1"/>
  <c r="C8699" i="1"/>
  <c r="B8699" i="1"/>
  <c r="C8698" i="1"/>
  <c r="B8698" i="1"/>
  <c r="C8697" i="1"/>
  <c r="B8697" i="1"/>
  <c r="C8696" i="1"/>
  <c r="B8696" i="1"/>
  <c r="C8695" i="1"/>
  <c r="B8695" i="1"/>
  <c r="C8694" i="1"/>
  <c r="B8694" i="1"/>
  <c r="C8693" i="1"/>
  <c r="B8693" i="1"/>
  <c r="C8692" i="1"/>
  <c r="B8692" i="1"/>
  <c r="C8691" i="1"/>
  <c r="B8691" i="1"/>
  <c r="C8690" i="1"/>
  <c r="B8690" i="1"/>
  <c r="C8689" i="1"/>
  <c r="B8689" i="1"/>
  <c r="C8688" i="1"/>
  <c r="B8688" i="1"/>
  <c r="C8687" i="1"/>
  <c r="B8687" i="1"/>
  <c r="C8686" i="1"/>
  <c r="B8686" i="1"/>
  <c r="C8685" i="1"/>
  <c r="B8685" i="1"/>
  <c r="C8684" i="1"/>
  <c r="B8684" i="1"/>
  <c r="C8683" i="1"/>
  <c r="B8683" i="1"/>
  <c r="C8682" i="1"/>
  <c r="B8682" i="1"/>
  <c r="C8681" i="1"/>
  <c r="B8681" i="1"/>
  <c r="C8680" i="1"/>
  <c r="B8680" i="1"/>
  <c r="C8679" i="1"/>
  <c r="B8679" i="1"/>
  <c r="C8678" i="1"/>
  <c r="B8678" i="1"/>
  <c r="C8677" i="1"/>
  <c r="B8677" i="1"/>
  <c r="C8676" i="1"/>
  <c r="B8676" i="1"/>
  <c r="C8675" i="1"/>
  <c r="B8675" i="1"/>
  <c r="C8674" i="1"/>
  <c r="B8674" i="1"/>
  <c r="C8673" i="1"/>
  <c r="B8673" i="1"/>
  <c r="C8672" i="1"/>
  <c r="B8672" i="1"/>
  <c r="C8671" i="1"/>
  <c r="B8671" i="1"/>
  <c r="C8670" i="1"/>
  <c r="B8670" i="1"/>
  <c r="C8669" i="1"/>
  <c r="B8669" i="1"/>
  <c r="C8668" i="1"/>
  <c r="B8668" i="1"/>
  <c r="C8667" i="1"/>
  <c r="B8667" i="1"/>
  <c r="C8666" i="1"/>
  <c r="B8666" i="1"/>
  <c r="C8665" i="1"/>
  <c r="B8665" i="1"/>
  <c r="C8664" i="1"/>
  <c r="B8664" i="1"/>
  <c r="C8663" i="1"/>
  <c r="B8663" i="1"/>
  <c r="C8662" i="1"/>
  <c r="B8662" i="1"/>
  <c r="C8661" i="1"/>
  <c r="B8661" i="1"/>
  <c r="C8660" i="1"/>
  <c r="B8660" i="1"/>
  <c r="C8659" i="1"/>
  <c r="B8659" i="1"/>
  <c r="C8658" i="1"/>
  <c r="B8658" i="1"/>
  <c r="C8657" i="1"/>
  <c r="B8657" i="1"/>
  <c r="C8656" i="1"/>
  <c r="B8656" i="1"/>
  <c r="C8655" i="1"/>
  <c r="B8655" i="1"/>
  <c r="C8654" i="1"/>
  <c r="B8654" i="1"/>
  <c r="C8653" i="1"/>
  <c r="B8653" i="1"/>
  <c r="C8652" i="1"/>
  <c r="B8652" i="1"/>
  <c r="C8651" i="1"/>
  <c r="B8651" i="1"/>
  <c r="C8650" i="1"/>
  <c r="B8650" i="1"/>
  <c r="C8649" i="1"/>
  <c r="B8649" i="1"/>
  <c r="C8648" i="1"/>
  <c r="B8648" i="1"/>
  <c r="C8647" i="1"/>
  <c r="B8647" i="1"/>
  <c r="C8646" i="1"/>
  <c r="B8646" i="1"/>
  <c r="C8645" i="1"/>
  <c r="B8645" i="1"/>
  <c r="C8644" i="1"/>
  <c r="B8644" i="1"/>
  <c r="C8643" i="1"/>
  <c r="B8643" i="1"/>
  <c r="C8642" i="1"/>
  <c r="B8642" i="1"/>
  <c r="C8641" i="1"/>
  <c r="B8641" i="1"/>
  <c r="C8640" i="1"/>
  <c r="B8640" i="1"/>
  <c r="C8639" i="1"/>
  <c r="B8639" i="1"/>
  <c r="C8638" i="1"/>
  <c r="B8638" i="1"/>
  <c r="C8637" i="1"/>
  <c r="B8637" i="1"/>
  <c r="C8636" i="1"/>
  <c r="B8636" i="1"/>
  <c r="C8635" i="1"/>
  <c r="B8635" i="1"/>
  <c r="C8634" i="1"/>
  <c r="B8634" i="1"/>
  <c r="C8633" i="1"/>
  <c r="B8633" i="1"/>
  <c r="C8632" i="1"/>
  <c r="B8632" i="1"/>
  <c r="C8631" i="1"/>
  <c r="B8631" i="1"/>
  <c r="C8630" i="1"/>
  <c r="B8630" i="1"/>
  <c r="C8629" i="1"/>
  <c r="B8629" i="1"/>
  <c r="C8628" i="1"/>
  <c r="B8628" i="1"/>
  <c r="C8627" i="1"/>
  <c r="B8627" i="1"/>
  <c r="C8626" i="1"/>
  <c r="B8626" i="1"/>
  <c r="C8625" i="1"/>
  <c r="B8625" i="1"/>
  <c r="C8624" i="1"/>
  <c r="B8624" i="1"/>
  <c r="C8623" i="1"/>
  <c r="B8623" i="1"/>
  <c r="C8622" i="1"/>
  <c r="B8622" i="1"/>
  <c r="C8621" i="1"/>
  <c r="B8621" i="1"/>
  <c r="C8620" i="1"/>
  <c r="B8620" i="1"/>
  <c r="C8619" i="1"/>
  <c r="B8619" i="1"/>
  <c r="C8618" i="1"/>
  <c r="B8618" i="1"/>
  <c r="C8617" i="1"/>
  <c r="B8617" i="1"/>
  <c r="C8616" i="1"/>
  <c r="B8616" i="1"/>
  <c r="C8615" i="1"/>
  <c r="B8615" i="1"/>
  <c r="C8614" i="1"/>
  <c r="B8614" i="1"/>
  <c r="C8613" i="1"/>
  <c r="B8613" i="1"/>
  <c r="C8612" i="1"/>
  <c r="B8612" i="1"/>
  <c r="C8611" i="1"/>
  <c r="B8611" i="1"/>
  <c r="C8610" i="1"/>
  <c r="B8610" i="1"/>
  <c r="C8609" i="1"/>
  <c r="B8609" i="1"/>
  <c r="C8608" i="1"/>
  <c r="B8608" i="1"/>
  <c r="C8607" i="1"/>
  <c r="B8607" i="1"/>
  <c r="C8606" i="1"/>
  <c r="B8606" i="1"/>
  <c r="C8605" i="1"/>
  <c r="B8605" i="1"/>
  <c r="C8604" i="1"/>
  <c r="B8604" i="1"/>
  <c r="C8603" i="1"/>
  <c r="B8603" i="1"/>
  <c r="C8602" i="1"/>
  <c r="B8602" i="1"/>
  <c r="C8601" i="1"/>
  <c r="B8601" i="1"/>
  <c r="C8600" i="1"/>
  <c r="B8600" i="1"/>
  <c r="C8599" i="1"/>
  <c r="B8599" i="1"/>
  <c r="C8598" i="1"/>
  <c r="B8598" i="1"/>
  <c r="C8597" i="1"/>
  <c r="B8597" i="1"/>
  <c r="C8596" i="1"/>
  <c r="B8596" i="1"/>
  <c r="C8595" i="1"/>
  <c r="B8595" i="1"/>
  <c r="C8594" i="1"/>
  <c r="B8594" i="1"/>
  <c r="C8593" i="1"/>
  <c r="B8593" i="1"/>
  <c r="C8592" i="1"/>
  <c r="B8592" i="1"/>
  <c r="C8591" i="1"/>
  <c r="B8591" i="1"/>
  <c r="C8590" i="1"/>
  <c r="B8590" i="1"/>
  <c r="C8589" i="1"/>
  <c r="B8589" i="1"/>
  <c r="C8588" i="1"/>
  <c r="B8588" i="1"/>
  <c r="C8587" i="1"/>
  <c r="B8587" i="1"/>
  <c r="C8586" i="1"/>
  <c r="B8586" i="1"/>
  <c r="C8585" i="1"/>
  <c r="B8585" i="1"/>
  <c r="C8584" i="1"/>
  <c r="B8584" i="1"/>
  <c r="C8583" i="1"/>
  <c r="B8583" i="1"/>
  <c r="C8582" i="1"/>
  <c r="B8582" i="1"/>
  <c r="C8581" i="1"/>
  <c r="B8581" i="1"/>
  <c r="C8580" i="1"/>
  <c r="B8580" i="1"/>
  <c r="C8579" i="1"/>
  <c r="B8579" i="1"/>
  <c r="C8578" i="1"/>
  <c r="B8578" i="1"/>
  <c r="C8577" i="1"/>
  <c r="B8577" i="1"/>
  <c r="C8576" i="1"/>
  <c r="B8576" i="1"/>
  <c r="C8575" i="1"/>
  <c r="B8575" i="1"/>
  <c r="C8574" i="1"/>
  <c r="B8574" i="1"/>
  <c r="C8573" i="1"/>
  <c r="B8573" i="1"/>
  <c r="C8572" i="1"/>
  <c r="B8572" i="1"/>
  <c r="C8571" i="1"/>
  <c r="B8571" i="1"/>
  <c r="C8570" i="1"/>
  <c r="B8570" i="1"/>
  <c r="C8569" i="1"/>
  <c r="B8569" i="1"/>
  <c r="C8568" i="1"/>
  <c r="B8568" i="1"/>
  <c r="C8567" i="1"/>
  <c r="B8567" i="1"/>
  <c r="C8566" i="1"/>
  <c r="B8566" i="1"/>
  <c r="C8565" i="1"/>
  <c r="B8565" i="1"/>
  <c r="C8564" i="1"/>
  <c r="B8564" i="1"/>
  <c r="C8563" i="1"/>
  <c r="B8563" i="1"/>
  <c r="C8562" i="1"/>
  <c r="B8562" i="1"/>
  <c r="C8561" i="1"/>
  <c r="B8561" i="1"/>
  <c r="C8560" i="1"/>
  <c r="B8560" i="1"/>
  <c r="C8559" i="1"/>
  <c r="B8559" i="1"/>
  <c r="C8558" i="1"/>
  <c r="B8558" i="1"/>
  <c r="C8557" i="1"/>
  <c r="B8557" i="1"/>
  <c r="C8556" i="1"/>
  <c r="B8556" i="1"/>
  <c r="C8555" i="1"/>
  <c r="B8555" i="1"/>
  <c r="C8554" i="1"/>
  <c r="B8554" i="1"/>
  <c r="C8553" i="1"/>
  <c r="B8553" i="1"/>
  <c r="C8552" i="1"/>
  <c r="B8552" i="1"/>
  <c r="C8551" i="1"/>
  <c r="B8551" i="1"/>
  <c r="C8550" i="1"/>
  <c r="B8550" i="1"/>
  <c r="C8549" i="1"/>
  <c r="B8549" i="1"/>
  <c r="C8548" i="1"/>
  <c r="B8548" i="1"/>
  <c r="C8547" i="1"/>
  <c r="B8547" i="1"/>
  <c r="C8546" i="1"/>
  <c r="B8546" i="1"/>
  <c r="C8545" i="1"/>
  <c r="B8545" i="1"/>
  <c r="C8544" i="1"/>
  <c r="B8544" i="1"/>
  <c r="C8543" i="1"/>
  <c r="B8543" i="1"/>
  <c r="C8542" i="1"/>
  <c r="B8542" i="1"/>
  <c r="C8541" i="1"/>
  <c r="B8541" i="1"/>
  <c r="C8540" i="1"/>
  <c r="B8540" i="1"/>
  <c r="C8539" i="1"/>
  <c r="B8539" i="1"/>
  <c r="C8538" i="1"/>
  <c r="B8538" i="1"/>
  <c r="C8537" i="1"/>
  <c r="B8537" i="1"/>
  <c r="C8536" i="1"/>
  <c r="B8536" i="1"/>
  <c r="C8535" i="1"/>
  <c r="B8535" i="1"/>
  <c r="C8534" i="1"/>
  <c r="B8534" i="1"/>
  <c r="C8533" i="1"/>
  <c r="B8533" i="1"/>
  <c r="C8532" i="1"/>
  <c r="B8532" i="1"/>
  <c r="C8531" i="1"/>
  <c r="B8531" i="1"/>
  <c r="C8530" i="1"/>
  <c r="B8530" i="1"/>
  <c r="C8529" i="1"/>
  <c r="B8529" i="1"/>
  <c r="C8528" i="1"/>
  <c r="B8528" i="1"/>
  <c r="C8527" i="1"/>
  <c r="B8527" i="1"/>
  <c r="C8526" i="1"/>
  <c r="B8526" i="1"/>
  <c r="C8525" i="1"/>
  <c r="B8525" i="1"/>
  <c r="C8524" i="1"/>
  <c r="B8524" i="1"/>
  <c r="C8523" i="1"/>
  <c r="B8523" i="1"/>
  <c r="C8522" i="1"/>
  <c r="B8522" i="1"/>
  <c r="C8521" i="1"/>
  <c r="B8521" i="1"/>
  <c r="C8520" i="1"/>
  <c r="B8520" i="1"/>
  <c r="C8519" i="1"/>
  <c r="B8519" i="1"/>
  <c r="C8518" i="1"/>
  <c r="B8518" i="1"/>
  <c r="C8517" i="1"/>
  <c r="B8517" i="1"/>
  <c r="C8516" i="1"/>
  <c r="B8516" i="1"/>
  <c r="C8515" i="1"/>
  <c r="B8515" i="1"/>
  <c r="C8514" i="1"/>
  <c r="B8514" i="1"/>
  <c r="C8513" i="1"/>
  <c r="B8513" i="1"/>
  <c r="C8512" i="1"/>
  <c r="B8512" i="1"/>
  <c r="C8511" i="1"/>
  <c r="B8511" i="1"/>
  <c r="C8510" i="1"/>
  <c r="B8510" i="1"/>
  <c r="C8509" i="1"/>
  <c r="B8509" i="1"/>
  <c r="C8508" i="1"/>
  <c r="B8508" i="1"/>
  <c r="C8507" i="1"/>
  <c r="B8507" i="1"/>
  <c r="C8506" i="1"/>
  <c r="B8506" i="1"/>
  <c r="C8505" i="1"/>
  <c r="B8505" i="1"/>
  <c r="C8504" i="1"/>
  <c r="B8504" i="1"/>
  <c r="C8503" i="1"/>
  <c r="B8503" i="1"/>
  <c r="C8502" i="1"/>
  <c r="B8502" i="1"/>
  <c r="C8501" i="1"/>
  <c r="B8501" i="1"/>
  <c r="C8500" i="1"/>
  <c r="B8500" i="1"/>
  <c r="C8499" i="1"/>
  <c r="B8499" i="1"/>
  <c r="C8498" i="1"/>
  <c r="B8498" i="1"/>
  <c r="C8497" i="1"/>
  <c r="B8497" i="1"/>
  <c r="C8496" i="1"/>
  <c r="B8496" i="1"/>
  <c r="C8495" i="1"/>
  <c r="B8495" i="1"/>
  <c r="C8494" i="1"/>
  <c r="B8494" i="1"/>
  <c r="C8493" i="1"/>
  <c r="B8493" i="1"/>
  <c r="C8492" i="1"/>
  <c r="B8492" i="1"/>
  <c r="C8491" i="1"/>
  <c r="B8491" i="1"/>
  <c r="C8490" i="1"/>
  <c r="B8490" i="1"/>
  <c r="C8489" i="1"/>
  <c r="B8489" i="1"/>
  <c r="C8488" i="1"/>
  <c r="B8488" i="1"/>
  <c r="C8487" i="1"/>
  <c r="B8487" i="1"/>
  <c r="C8486" i="1"/>
  <c r="B8486" i="1"/>
  <c r="C8485" i="1"/>
  <c r="B8485" i="1"/>
  <c r="C8484" i="1"/>
  <c r="B8484" i="1"/>
  <c r="C8483" i="1"/>
  <c r="B8483" i="1"/>
  <c r="C8482" i="1"/>
  <c r="B8482" i="1"/>
  <c r="C8481" i="1"/>
  <c r="B8481" i="1"/>
  <c r="C8480" i="1"/>
  <c r="B8480" i="1"/>
  <c r="C8479" i="1"/>
  <c r="B8479" i="1"/>
  <c r="C8478" i="1"/>
  <c r="B8478" i="1"/>
  <c r="C8477" i="1"/>
  <c r="B8477" i="1"/>
  <c r="C8476" i="1"/>
  <c r="B8476" i="1"/>
  <c r="C8475" i="1"/>
  <c r="B8475" i="1"/>
  <c r="C8474" i="1"/>
  <c r="B8474" i="1"/>
  <c r="C8473" i="1"/>
  <c r="B8473" i="1"/>
  <c r="C8472" i="1"/>
  <c r="B8472" i="1"/>
  <c r="C8471" i="1"/>
  <c r="B8471" i="1"/>
  <c r="C8470" i="1"/>
  <c r="B8470" i="1"/>
  <c r="C8469" i="1"/>
  <c r="B8469" i="1"/>
  <c r="C8468" i="1"/>
  <c r="B8468" i="1"/>
  <c r="C8467" i="1"/>
  <c r="B8467" i="1"/>
  <c r="C8466" i="1"/>
  <c r="B8466" i="1"/>
  <c r="C8465" i="1"/>
  <c r="B8465" i="1"/>
  <c r="C8464" i="1"/>
  <c r="B8464" i="1"/>
  <c r="C8463" i="1"/>
  <c r="B8463" i="1"/>
  <c r="C8462" i="1"/>
  <c r="B8462" i="1"/>
  <c r="C8461" i="1"/>
  <c r="B8461" i="1"/>
  <c r="C8460" i="1"/>
  <c r="B8460" i="1"/>
  <c r="C8459" i="1"/>
  <c r="B8459" i="1"/>
  <c r="C8458" i="1"/>
  <c r="B8458" i="1"/>
  <c r="C8457" i="1"/>
  <c r="B8457" i="1"/>
  <c r="C8456" i="1"/>
  <c r="B8456" i="1"/>
  <c r="C8455" i="1"/>
  <c r="B8455" i="1"/>
  <c r="C8454" i="1"/>
  <c r="B8454" i="1"/>
  <c r="C8453" i="1"/>
  <c r="B8453" i="1"/>
  <c r="C8452" i="1"/>
  <c r="B8452" i="1"/>
  <c r="C8451" i="1"/>
  <c r="B8451" i="1"/>
  <c r="C8450" i="1"/>
  <c r="B8450" i="1"/>
  <c r="C8449" i="1"/>
  <c r="B8449" i="1"/>
  <c r="C8448" i="1"/>
  <c r="B8448" i="1"/>
  <c r="C8447" i="1"/>
  <c r="B8447" i="1"/>
  <c r="C8446" i="1"/>
  <c r="B8446" i="1"/>
  <c r="C8445" i="1"/>
  <c r="B8445" i="1"/>
  <c r="C8444" i="1"/>
  <c r="B8444" i="1"/>
  <c r="C8443" i="1"/>
  <c r="B8443" i="1"/>
  <c r="C8442" i="1"/>
  <c r="B8442" i="1"/>
  <c r="C8441" i="1"/>
  <c r="B8441" i="1"/>
  <c r="C8440" i="1"/>
  <c r="B8440" i="1"/>
  <c r="C8439" i="1"/>
  <c r="B8439" i="1"/>
  <c r="C8438" i="1"/>
  <c r="B8438" i="1"/>
  <c r="C8437" i="1"/>
  <c r="B8437" i="1"/>
  <c r="C8436" i="1"/>
  <c r="B8436" i="1"/>
  <c r="C8435" i="1"/>
  <c r="B8435" i="1"/>
  <c r="C8434" i="1"/>
  <c r="B8434" i="1"/>
  <c r="C8433" i="1"/>
  <c r="B8433" i="1"/>
  <c r="C8432" i="1"/>
  <c r="B8432" i="1"/>
  <c r="C8431" i="1"/>
  <c r="B8431" i="1"/>
  <c r="C8430" i="1"/>
  <c r="B8430" i="1"/>
  <c r="C8429" i="1"/>
  <c r="B8429" i="1"/>
  <c r="C8428" i="1"/>
  <c r="B8428" i="1"/>
  <c r="C8427" i="1"/>
  <c r="B8427" i="1"/>
  <c r="C8426" i="1"/>
  <c r="B8426" i="1"/>
  <c r="C8425" i="1"/>
  <c r="B8425" i="1"/>
  <c r="C8424" i="1"/>
  <c r="B8424" i="1"/>
  <c r="C8423" i="1"/>
  <c r="B8423" i="1"/>
  <c r="C8422" i="1"/>
  <c r="B8422" i="1"/>
  <c r="C8421" i="1"/>
  <c r="B8421" i="1"/>
  <c r="C8420" i="1"/>
  <c r="B8420" i="1"/>
  <c r="C8419" i="1"/>
  <c r="B8419" i="1"/>
  <c r="C8418" i="1"/>
  <c r="B8418" i="1"/>
  <c r="C8417" i="1"/>
  <c r="B8417" i="1"/>
  <c r="C8416" i="1"/>
  <c r="B8416" i="1"/>
  <c r="C8415" i="1"/>
  <c r="B8415" i="1"/>
  <c r="C8414" i="1"/>
  <c r="B8414" i="1"/>
  <c r="C8413" i="1"/>
  <c r="B8413" i="1"/>
  <c r="C8412" i="1"/>
  <c r="B8412" i="1"/>
  <c r="C8411" i="1"/>
  <c r="B8411" i="1"/>
  <c r="C8410" i="1"/>
  <c r="B8410" i="1"/>
  <c r="C8409" i="1"/>
  <c r="B8409" i="1"/>
  <c r="C8408" i="1"/>
  <c r="B8408" i="1"/>
  <c r="C8407" i="1"/>
  <c r="B8407" i="1"/>
  <c r="C8406" i="1"/>
  <c r="B8406" i="1"/>
  <c r="C8405" i="1"/>
  <c r="B8405" i="1"/>
  <c r="C8404" i="1"/>
  <c r="B8404" i="1"/>
  <c r="C8403" i="1"/>
  <c r="B8403" i="1"/>
  <c r="C8402" i="1"/>
  <c r="B8402" i="1"/>
  <c r="C8401" i="1"/>
  <c r="B8401" i="1"/>
  <c r="C8400" i="1"/>
  <c r="B8400" i="1"/>
  <c r="C8399" i="1"/>
  <c r="B8399" i="1"/>
  <c r="C8398" i="1"/>
  <c r="B8398" i="1"/>
  <c r="C8397" i="1"/>
  <c r="B8397" i="1"/>
  <c r="C8396" i="1"/>
  <c r="B8396" i="1"/>
  <c r="C8395" i="1"/>
  <c r="B8395" i="1"/>
  <c r="C8394" i="1"/>
  <c r="B8394" i="1"/>
  <c r="C8393" i="1"/>
  <c r="B8393" i="1"/>
  <c r="C8392" i="1"/>
  <c r="B8392" i="1"/>
  <c r="C8391" i="1"/>
  <c r="B8391" i="1"/>
  <c r="C8390" i="1"/>
  <c r="B8390" i="1"/>
  <c r="C8389" i="1"/>
  <c r="B8389" i="1"/>
  <c r="C8388" i="1"/>
  <c r="B8388" i="1"/>
  <c r="C8387" i="1"/>
  <c r="B8387" i="1"/>
  <c r="C8386" i="1"/>
  <c r="B8386" i="1"/>
  <c r="C8385" i="1"/>
  <c r="B8385" i="1"/>
  <c r="C8384" i="1"/>
  <c r="B8384" i="1"/>
  <c r="C8383" i="1"/>
  <c r="B8383" i="1"/>
  <c r="C8382" i="1"/>
  <c r="B8382" i="1"/>
  <c r="C8381" i="1"/>
  <c r="B8381" i="1"/>
  <c r="C8380" i="1"/>
  <c r="B8380" i="1"/>
  <c r="C8379" i="1"/>
  <c r="B8379" i="1"/>
  <c r="C8378" i="1"/>
  <c r="B8378" i="1"/>
  <c r="C8377" i="1"/>
  <c r="B8377" i="1"/>
  <c r="C8376" i="1"/>
  <c r="B8376" i="1"/>
  <c r="C8375" i="1"/>
  <c r="B8375" i="1"/>
  <c r="C8374" i="1"/>
  <c r="B8374" i="1"/>
  <c r="C8373" i="1"/>
  <c r="B8373" i="1"/>
  <c r="C8372" i="1"/>
  <c r="B8372" i="1"/>
  <c r="C8371" i="1"/>
  <c r="B8371" i="1"/>
  <c r="C8370" i="1"/>
  <c r="B8370" i="1"/>
  <c r="C8369" i="1"/>
  <c r="B8369" i="1"/>
  <c r="C8368" i="1"/>
  <c r="B8368" i="1"/>
  <c r="C8367" i="1"/>
  <c r="B8367" i="1"/>
  <c r="C8366" i="1"/>
  <c r="B8366" i="1"/>
  <c r="C8365" i="1"/>
  <c r="B8365" i="1"/>
  <c r="C8364" i="1"/>
  <c r="B8364" i="1"/>
  <c r="C8363" i="1"/>
  <c r="B8363" i="1"/>
  <c r="C8362" i="1"/>
  <c r="B8362" i="1"/>
  <c r="C8361" i="1"/>
  <c r="B8361" i="1"/>
  <c r="C8360" i="1"/>
  <c r="B8360" i="1"/>
  <c r="C8359" i="1"/>
  <c r="B8359" i="1"/>
  <c r="C8358" i="1"/>
  <c r="B8358" i="1"/>
  <c r="C8357" i="1"/>
  <c r="B8357" i="1"/>
  <c r="C8356" i="1"/>
  <c r="B8356" i="1"/>
  <c r="C8355" i="1"/>
  <c r="B8355" i="1"/>
  <c r="C8354" i="1"/>
  <c r="B8354" i="1"/>
  <c r="C8353" i="1"/>
  <c r="B8353" i="1"/>
  <c r="C8352" i="1"/>
  <c r="B8352" i="1"/>
  <c r="C8351" i="1"/>
  <c r="B8351" i="1"/>
  <c r="C8350" i="1"/>
  <c r="B8350" i="1"/>
  <c r="C8349" i="1"/>
  <c r="B8349" i="1"/>
  <c r="C8348" i="1"/>
  <c r="B8348" i="1"/>
  <c r="C8347" i="1"/>
  <c r="B8347" i="1"/>
  <c r="C8346" i="1"/>
  <c r="B8346" i="1"/>
  <c r="C8345" i="1"/>
  <c r="B8345" i="1"/>
  <c r="C8344" i="1"/>
  <c r="B8344" i="1"/>
  <c r="C8343" i="1"/>
  <c r="B8343" i="1"/>
  <c r="C8342" i="1"/>
  <c r="B8342" i="1"/>
  <c r="C8341" i="1"/>
  <c r="B8341" i="1"/>
  <c r="C8340" i="1"/>
  <c r="B8340" i="1"/>
  <c r="C8339" i="1"/>
  <c r="B8339" i="1"/>
  <c r="C8338" i="1"/>
  <c r="B8338" i="1"/>
  <c r="C8337" i="1"/>
  <c r="B8337" i="1"/>
  <c r="C8336" i="1"/>
  <c r="B8336" i="1"/>
  <c r="C8335" i="1"/>
  <c r="B8335" i="1"/>
  <c r="C8334" i="1"/>
  <c r="B8334" i="1"/>
  <c r="C8333" i="1"/>
  <c r="B8333" i="1"/>
  <c r="C8332" i="1"/>
  <c r="B8332" i="1"/>
  <c r="C8331" i="1"/>
  <c r="B8331" i="1"/>
  <c r="C8330" i="1"/>
  <c r="B8330" i="1"/>
  <c r="C8329" i="1"/>
  <c r="B8329" i="1"/>
  <c r="C8328" i="1"/>
  <c r="B8328" i="1"/>
  <c r="C8327" i="1"/>
  <c r="B8327" i="1"/>
  <c r="C8326" i="1"/>
  <c r="B8326" i="1"/>
  <c r="C8325" i="1"/>
  <c r="B8325" i="1"/>
  <c r="C8324" i="1"/>
  <c r="B8324" i="1"/>
  <c r="C8323" i="1"/>
  <c r="B8323" i="1"/>
  <c r="C8322" i="1"/>
  <c r="B8322" i="1"/>
  <c r="C8321" i="1"/>
  <c r="B8321" i="1"/>
  <c r="C8320" i="1"/>
  <c r="B8320" i="1"/>
  <c r="C8319" i="1"/>
  <c r="B8319" i="1"/>
  <c r="C8318" i="1"/>
  <c r="B8318" i="1"/>
  <c r="C8317" i="1"/>
  <c r="B8317" i="1"/>
  <c r="C8316" i="1"/>
  <c r="B8316" i="1"/>
  <c r="C8315" i="1"/>
  <c r="B8315" i="1"/>
  <c r="C8314" i="1"/>
  <c r="B8314" i="1"/>
  <c r="C8313" i="1"/>
  <c r="B8313" i="1"/>
  <c r="C8312" i="1"/>
  <c r="B8312" i="1"/>
  <c r="C8311" i="1"/>
  <c r="B8311" i="1"/>
  <c r="C8310" i="1"/>
  <c r="B8310" i="1"/>
  <c r="C8309" i="1"/>
  <c r="B8309" i="1"/>
  <c r="C8308" i="1"/>
  <c r="B8308" i="1"/>
  <c r="C8307" i="1"/>
  <c r="B8307" i="1"/>
  <c r="C8306" i="1"/>
  <c r="B8306" i="1"/>
  <c r="C8305" i="1"/>
  <c r="B8305" i="1"/>
  <c r="C8304" i="1"/>
  <c r="B8304" i="1"/>
  <c r="C8303" i="1"/>
  <c r="B8303" i="1"/>
  <c r="C8302" i="1"/>
  <c r="B8302" i="1"/>
  <c r="C8301" i="1"/>
  <c r="B8301" i="1"/>
  <c r="C8300" i="1"/>
  <c r="B8300" i="1"/>
  <c r="C8299" i="1"/>
  <c r="B8299" i="1"/>
  <c r="C8298" i="1"/>
  <c r="B8298" i="1"/>
  <c r="C8297" i="1"/>
  <c r="B8297" i="1"/>
  <c r="C8296" i="1"/>
  <c r="B8296" i="1"/>
  <c r="C8295" i="1"/>
  <c r="B8295" i="1"/>
  <c r="C8294" i="1"/>
  <c r="B8294" i="1"/>
  <c r="C8293" i="1"/>
  <c r="B8293" i="1"/>
  <c r="C8292" i="1"/>
  <c r="B8292" i="1"/>
  <c r="C8291" i="1"/>
  <c r="B8291" i="1"/>
  <c r="C8290" i="1"/>
  <c r="B8290" i="1"/>
  <c r="C8289" i="1"/>
  <c r="B8289" i="1"/>
  <c r="C8288" i="1"/>
  <c r="B8288" i="1"/>
  <c r="C8287" i="1"/>
  <c r="B8287" i="1"/>
  <c r="C8286" i="1"/>
  <c r="B8286" i="1"/>
  <c r="C8285" i="1"/>
  <c r="B8285" i="1"/>
  <c r="C8284" i="1"/>
  <c r="B8284" i="1"/>
  <c r="C8283" i="1"/>
  <c r="B8283" i="1"/>
  <c r="C8282" i="1"/>
  <c r="B8282" i="1"/>
  <c r="C8281" i="1"/>
  <c r="B8281" i="1"/>
  <c r="C8280" i="1"/>
  <c r="B8280" i="1"/>
  <c r="C8279" i="1"/>
  <c r="B8279" i="1"/>
  <c r="C8278" i="1"/>
  <c r="B8278" i="1"/>
  <c r="C8277" i="1"/>
  <c r="B8277" i="1"/>
  <c r="C8276" i="1"/>
  <c r="B8276" i="1"/>
  <c r="C8275" i="1"/>
  <c r="B8275" i="1"/>
  <c r="C8274" i="1"/>
  <c r="B8274" i="1"/>
  <c r="C8273" i="1"/>
  <c r="B8273" i="1"/>
  <c r="C8272" i="1"/>
  <c r="B8272" i="1"/>
  <c r="C8271" i="1"/>
  <c r="B8271" i="1"/>
  <c r="C8270" i="1"/>
  <c r="B8270" i="1"/>
  <c r="C8269" i="1"/>
  <c r="B8269" i="1"/>
  <c r="C8268" i="1"/>
  <c r="B8268" i="1"/>
  <c r="C8267" i="1"/>
  <c r="B8267" i="1"/>
  <c r="C8266" i="1"/>
  <c r="B8266" i="1"/>
  <c r="C8265" i="1"/>
  <c r="B8265" i="1"/>
  <c r="C8264" i="1"/>
  <c r="B8264" i="1"/>
  <c r="C8263" i="1"/>
  <c r="B8263" i="1"/>
  <c r="C8262" i="1"/>
  <c r="B8262" i="1"/>
  <c r="C8261" i="1"/>
  <c r="B8261" i="1"/>
  <c r="C8260" i="1"/>
  <c r="B8260" i="1"/>
  <c r="C8259" i="1"/>
  <c r="B8259" i="1"/>
  <c r="C8258" i="1"/>
  <c r="B8258" i="1"/>
  <c r="C8257" i="1"/>
  <c r="B8257" i="1"/>
  <c r="C8256" i="1"/>
  <c r="B8256" i="1"/>
  <c r="C8255" i="1"/>
  <c r="B8255" i="1"/>
  <c r="C8254" i="1"/>
  <c r="B8254" i="1"/>
  <c r="C8253" i="1"/>
  <c r="B8253" i="1"/>
  <c r="C8252" i="1"/>
  <c r="B8252" i="1"/>
  <c r="C8251" i="1"/>
  <c r="B8251" i="1"/>
  <c r="C8250" i="1"/>
  <c r="B8250" i="1"/>
  <c r="C8249" i="1"/>
  <c r="B8249" i="1"/>
  <c r="C8248" i="1"/>
  <c r="B8248" i="1"/>
  <c r="C8247" i="1"/>
  <c r="B8247" i="1"/>
  <c r="C8246" i="1"/>
  <c r="B8246" i="1"/>
  <c r="C8245" i="1"/>
  <c r="B8245" i="1"/>
  <c r="C8244" i="1"/>
  <c r="B8244" i="1"/>
  <c r="C8243" i="1"/>
  <c r="B8243" i="1"/>
  <c r="C8242" i="1"/>
  <c r="B8242" i="1"/>
  <c r="C8241" i="1"/>
  <c r="B8241" i="1"/>
  <c r="C8240" i="1"/>
  <c r="B8240" i="1"/>
  <c r="C8239" i="1"/>
  <c r="B8239" i="1"/>
  <c r="C8238" i="1"/>
  <c r="B8238" i="1"/>
  <c r="C8237" i="1"/>
  <c r="B8237" i="1"/>
  <c r="C8236" i="1"/>
  <c r="B8236" i="1"/>
  <c r="C8235" i="1"/>
  <c r="B8235" i="1"/>
  <c r="C8234" i="1"/>
  <c r="B8234" i="1"/>
  <c r="C8233" i="1"/>
  <c r="B8233" i="1"/>
  <c r="C8232" i="1"/>
  <c r="B8232" i="1"/>
  <c r="C8231" i="1"/>
  <c r="B8231" i="1"/>
  <c r="C8230" i="1"/>
  <c r="B8230" i="1"/>
  <c r="C8229" i="1"/>
  <c r="B8229" i="1"/>
  <c r="C8228" i="1"/>
  <c r="B8228" i="1"/>
  <c r="C8227" i="1"/>
  <c r="B8227" i="1"/>
  <c r="C8226" i="1"/>
  <c r="B8226" i="1"/>
  <c r="C8225" i="1"/>
  <c r="B8225" i="1"/>
  <c r="C8224" i="1"/>
  <c r="B8224" i="1"/>
  <c r="C8223" i="1"/>
  <c r="B8223" i="1"/>
  <c r="C8222" i="1"/>
  <c r="B8222" i="1"/>
  <c r="C8221" i="1"/>
  <c r="B8221" i="1"/>
  <c r="C8220" i="1"/>
  <c r="B8220" i="1"/>
  <c r="C8219" i="1"/>
  <c r="B8219" i="1"/>
  <c r="C8218" i="1"/>
  <c r="B8218" i="1"/>
  <c r="C8217" i="1"/>
  <c r="B8217" i="1"/>
  <c r="C8216" i="1"/>
  <c r="B8216" i="1"/>
  <c r="C8215" i="1"/>
  <c r="B8215" i="1"/>
  <c r="C8214" i="1"/>
  <c r="B8214" i="1"/>
  <c r="C8213" i="1"/>
  <c r="B8213" i="1"/>
  <c r="C8212" i="1"/>
  <c r="B8212" i="1"/>
  <c r="C8211" i="1"/>
  <c r="B8211" i="1"/>
  <c r="C8210" i="1"/>
  <c r="B8210" i="1"/>
  <c r="C8209" i="1"/>
  <c r="B8209" i="1"/>
  <c r="C8208" i="1"/>
  <c r="B8208" i="1"/>
  <c r="C8207" i="1"/>
  <c r="B8207" i="1"/>
  <c r="C8206" i="1"/>
  <c r="B8206" i="1"/>
  <c r="C8205" i="1"/>
  <c r="B8205" i="1"/>
  <c r="C8204" i="1"/>
  <c r="B8204" i="1"/>
  <c r="C8203" i="1"/>
  <c r="B8203" i="1"/>
  <c r="C8202" i="1"/>
  <c r="B8202" i="1"/>
  <c r="C8201" i="1"/>
  <c r="B8201" i="1"/>
  <c r="C8200" i="1"/>
  <c r="B8200" i="1"/>
  <c r="C8199" i="1"/>
  <c r="B8199" i="1"/>
  <c r="C8198" i="1"/>
  <c r="B8198" i="1"/>
  <c r="C8197" i="1"/>
  <c r="B8197" i="1"/>
  <c r="C8196" i="1"/>
  <c r="B8196" i="1"/>
  <c r="C8195" i="1"/>
  <c r="B8195" i="1"/>
  <c r="C8194" i="1"/>
  <c r="B8194" i="1"/>
  <c r="C8193" i="1"/>
  <c r="B8193" i="1"/>
  <c r="C8192" i="1"/>
  <c r="B8192" i="1"/>
  <c r="C8191" i="1"/>
  <c r="B8191" i="1"/>
  <c r="C8190" i="1"/>
  <c r="B8190" i="1"/>
  <c r="C8189" i="1"/>
  <c r="B8189" i="1"/>
  <c r="C8188" i="1"/>
  <c r="B8188" i="1"/>
  <c r="C8187" i="1"/>
  <c r="B8187" i="1"/>
  <c r="C8186" i="1"/>
  <c r="B8186" i="1"/>
  <c r="C8185" i="1"/>
  <c r="B8185" i="1"/>
  <c r="C8184" i="1"/>
  <c r="B8184" i="1"/>
  <c r="C8183" i="1"/>
  <c r="B8183" i="1"/>
  <c r="C8182" i="1"/>
  <c r="B8182" i="1"/>
  <c r="C8181" i="1"/>
  <c r="B8181" i="1"/>
  <c r="C8180" i="1"/>
  <c r="B8180" i="1"/>
  <c r="C8179" i="1"/>
  <c r="B8179" i="1"/>
  <c r="C8178" i="1"/>
  <c r="B8178" i="1"/>
  <c r="C8177" i="1"/>
  <c r="B8177" i="1"/>
  <c r="C8176" i="1"/>
  <c r="B8176" i="1"/>
  <c r="C8175" i="1"/>
  <c r="B8175" i="1"/>
  <c r="C8174" i="1"/>
  <c r="B8174" i="1"/>
  <c r="C8173" i="1"/>
  <c r="B8173" i="1"/>
  <c r="C8172" i="1"/>
  <c r="B8172" i="1"/>
  <c r="C8171" i="1"/>
  <c r="B8171" i="1"/>
  <c r="C8170" i="1"/>
  <c r="B8170" i="1"/>
  <c r="C8169" i="1"/>
  <c r="B8169" i="1"/>
  <c r="C8168" i="1"/>
  <c r="B8168" i="1"/>
  <c r="C8167" i="1"/>
  <c r="B8167" i="1"/>
  <c r="C8166" i="1"/>
  <c r="B8166" i="1"/>
  <c r="C8165" i="1"/>
  <c r="B8165" i="1"/>
  <c r="C8164" i="1"/>
  <c r="B8164" i="1"/>
  <c r="C8163" i="1"/>
  <c r="B8163" i="1"/>
  <c r="C8162" i="1"/>
  <c r="B8162" i="1"/>
  <c r="C8161" i="1"/>
  <c r="B8161" i="1"/>
  <c r="C8160" i="1"/>
  <c r="B8160" i="1"/>
  <c r="C8159" i="1"/>
  <c r="B8159" i="1"/>
  <c r="C8158" i="1"/>
  <c r="B8158" i="1"/>
  <c r="C8157" i="1"/>
  <c r="B8157" i="1"/>
  <c r="C8156" i="1"/>
  <c r="B8156" i="1"/>
  <c r="C8155" i="1"/>
  <c r="B8155" i="1"/>
  <c r="C8154" i="1"/>
  <c r="B8154" i="1"/>
  <c r="C8153" i="1"/>
  <c r="B8153" i="1"/>
  <c r="C8152" i="1"/>
  <c r="B8152" i="1"/>
  <c r="C8151" i="1"/>
  <c r="B8151" i="1"/>
  <c r="C8150" i="1"/>
  <c r="B8150" i="1"/>
  <c r="C8149" i="1"/>
  <c r="B8149" i="1"/>
  <c r="C8148" i="1"/>
  <c r="B8148" i="1"/>
  <c r="C8147" i="1"/>
  <c r="B8147" i="1"/>
  <c r="C8146" i="1"/>
  <c r="B8146" i="1"/>
  <c r="C8145" i="1"/>
  <c r="B8145" i="1"/>
  <c r="C8144" i="1"/>
  <c r="B8144" i="1"/>
  <c r="C8143" i="1"/>
  <c r="B8143" i="1"/>
  <c r="C8142" i="1"/>
  <c r="B8142" i="1"/>
  <c r="C8141" i="1"/>
  <c r="B8141" i="1"/>
  <c r="C8140" i="1"/>
  <c r="B8140" i="1"/>
  <c r="C8139" i="1"/>
  <c r="B8139" i="1"/>
  <c r="C8138" i="1"/>
  <c r="B8138" i="1"/>
  <c r="C8137" i="1"/>
  <c r="B8137" i="1"/>
  <c r="C8136" i="1"/>
  <c r="B8136" i="1"/>
  <c r="C8135" i="1"/>
  <c r="B8135" i="1"/>
  <c r="C8134" i="1"/>
  <c r="B8134" i="1"/>
  <c r="C8133" i="1"/>
  <c r="B8133" i="1"/>
  <c r="C8132" i="1"/>
  <c r="B8132" i="1"/>
  <c r="C8131" i="1"/>
  <c r="B8131" i="1"/>
  <c r="C8130" i="1"/>
  <c r="B8130" i="1"/>
  <c r="C8129" i="1"/>
  <c r="B8129" i="1"/>
  <c r="C8128" i="1"/>
  <c r="B8128" i="1"/>
  <c r="C8127" i="1"/>
  <c r="B8127" i="1"/>
  <c r="C8126" i="1"/>
  <c r="B8126" i="1"/>
  <c r="C8125" i="1"/>
  <c r="B8125" i="1"/>
  <c r="C8124" i="1"/>
  <c r="B8124" i="1"/>
  <c r="C8123" i="1"/>
  <c r="B8123" i="1"/>
  <c r="C8122" i="1"/>
  <c r="B8122" i="1"/>
  <c r="C8121" i="1"/>
  <c r="B8121" i="1"/>
  <c r="C8120" i="1"/>
  <c r="B8120" i="1"/>
  <c r="C8119" i="1"/>
  <c r="B8119" i="1"/>
  <c r="C8118" i="1"/>
  <c r="B8118" i="1"/>
  <c r="C8117" i="1"/>
  <c r="B8117" i="1"/>
  <c r="C8116" i="1"/>
  <c r="B8116" i="1"/>
  <c r="C8115" i="1"/>
  <c r="B8115" i="1"/>
  <c r="C8114" i="1"/>
  <c r="B8114" i="1"/>
  <c r="C8113" i="1"/>
  <c r="B8113" i="1"/>
  <c r="C8112" i="1"/>
  <c r="B8112" i="1"/>
  <c r="C8111" i="1"/>
  <c r="B8111" i="1"/>
  <c r="C8110" i="1"/>
  <c r="B8110" i="1"/>
  <c r="C8109" i="1"/>
  <c r="B8109" i="1"/>
  <c r="C8108" i="1"/>
  <c r="B8108" i="1"/>
  <c r="C8107" i="1"/>
  <c r="B8107" i="1"/>
  <c r="C8106" i="1"/>
  <c r="B8106" i="1"/>
  <c r="C8105" i="1"/>
  <c r="B8105" i="1"/>
  <c r="C8104" i="1"/>
  <c r="B8104" i="1"/>
  <c r="C8103" i="1"/>
  <c r="B8103" i="1"/>
  <c r="C8102" i="1"/>
  <c r="B8102" i="1"/>
  <c r="C8101" i="1"/>
  <c r="B8101" i="1"/>
  <c r="C8100" i="1"/>
  <c r="B8100" i="1"/>
  <c r="C8099" i="1"/>
  <c r="B8099" i="1"/>
  <c r="C8098" i="1"/>
  <c r="B8098" i="1"/>
  <c r="C8097" i="1"/>
  <c r="B8097" i="1"/>
  <c r="C8096" i="1"/>
  <c r="B8096" i="1"/>
  <c r="C8095" i="1"/>
  <c r="B8095" i="1"/>
  <c r="C8094" i="1"/>
  <c r="B8094" i="1"/>
  <c r="C8093" i="1"/>
  <c r="B8093" i="1"/>
  <c r="C8092" i="1"/>
  <c r="B8092" i="1"/>
  <c r="C8091" i="1"/>
  <c r="B8091" i="1"/>
  <c r="C8090" i="1"/>
  <c r="B8090" i="1"/>
  <c r="C8089" i="1"/>
  <c r="B8089" i="1"/>
  <c r="C8088" i="1"/>
  <c r="B8088" i="1"/>
  <c r="C8087" i="1"/>
  <c r="B8087" i="1"/>
  <c r="C8086" i="1"/>
  <c r="B8086" i="1"/>
  <c r="C8085" i="1"/>
  <c r="B8085" i="1"/>
  <c r="C8084" i="1"/>
  <c r="B8084" i="1"/>
  <c r="C8083" i="1"/>
  <c r="B8083" i="1"/>
  <c r="C8082" i="1"/>
  <c r="B8082" i="1"/>
  <c r="C8081" i="1"/>
  <c r="B8081" i="1"/>
  <c r="C8080" i="1"/>
  <c r="B8080" i="1"/>
  <c r="C8079" i="1"/>
  <c r="B8079" i="1"/>
  <c r="C8078" i="1"/>
  <c r="B8078" i="1"/>
  <c r="C8077" i="1"/>
  <c r="B8077" i="1"/>
  <c r="C8076" i="1"/>
  <c r="B8076" i="1"/>
  <c r="C8075" i="1"/>
  <c r="B8075" i="1"/>
  <c r="C8074" i="1"/>
  <c r="B8074" i="1"/>
  <c r="C8073" i="1"/>
  <c r="B8073" i="1"/>
  <c r="C8072" i="1"/>
  <c r="B8072" i="1"/>
  <c r="C8071" i="1"/>
  <c r="B8071" i="1"/>
  <c r="C8070" i="1"/>
  <c r="B8070" i="1"/>
  <c r="C8069" i="1"/>
  <c r="B8069" i="1"/>
  <c r="C8068" i="1"/>
  <c r="B8068" i="1"/>
  <c r="C8067" i="1"/>
  <c r="B8067" i="1"/>
  <c r="C8066" i="1"/>
  <c r="B8066" i="1"/>
  <c r="C8065" i="1"/>
  <c r="B8065" i="1"/>
  <c r="C8064" i="1"/>
  <c r="B8064" i="1"/>
  <c r="C8063" i="1"/>
  <c r="B8063" i="1"/>
  <c r="C8062" i="1"/>
  <c r="B8062" i="1"/>
  <c r="C8061" i="1"/>
  <c r="B8061" i="1"/>
  <c r="C8060" i="1"/>
  <c r="B8060" i="1"/>
  <c r="C8059" i="1"/>
  <c r="B8059" i="1"/>
  <c r="C8058" i="1"/>
  <c r="B8058" i="1"/>
  <c r="C8057" i="1"/>
  <c r="B8057" i="1"/>
  <c r="C8056" i="1"/>
  <c r="B8056" i="1"/>
  <c r="C8055" i="1"/>
  <c r="B8055" i="1"/>
  <c r="C8054" i="1"/>
  <c r="B8054" i="1"/>
  <c r="C8053" i="1"/>
  <c r="B8053" i="1"/>
  <c r="C8052" i="1"/>
  <c r="B8052" i="1"/>
  <c r="C8051" i="1"/>
  <c r="B8051" i="1"/>
  <c r="C8050" i="1"/>
  <c r="B8050" i="1"/>
  <c r="C8049" i="1"/>
  <c r="B8049" i="1"/>
  <c r="C8048" i="1"/>
  <c r="B8048" i="1"/>
  <c r="C8047" i="1"/>
  <c r="B8047" i="1"/>
  <c r="C8046" i="1"/>
  <c r="B8046" i="1"/>
  <c r="C8045" i="1"/>
  <c r="B8045" i="1"/>
  <c r="C8044" i="1"/>
  <c r="B8044" i="1"/>
  <c r="C8043" i="1"/>
  <c r="B8043" i="1"/>
  <c r="C8042" i="1"/>
  <c r="B8042" i="1"/>
  <c r="C8041" i="1"/>
  <c r="B8041" i="1"/>
  <c r="C8040" i="1"/>
  <c r="B8040" i="1"/>
  <c r="C8039" i="1"/>
  <c r="B8039" i="1"/>
  <c r="C8038" i="1"/>
  <c r="B8038" i="1"/>
  <c r="C8037" i="1"/>
  <c r="B8037" i="1"/>
  <c r="C8036" i="1"/>
  <c r="B8036" i="1"/>
  <c r="C8035" i="1"/>
  <c r="B8035" i="1"/>
  <c r="C8034" i="1"/>
  <c r="B8034" i="1"/>
  <c r="C8033" i="1"/>
  <c r="B8033" i="1"/>
  <c r="C8032" i="1"/>
  <c r="B8032" i="1"/>
  <c r="C8031" i="1"/>
  <c r="B8031" i="1"/>
  <c r="C8030" i="1"/>
  <c r="B8030" i="1"/>
  <c r="C8029" i="1"/>
  <c r="B8029" i="1"/>
  <c r="C8028" i="1"/>
  <c r="B8028" i="1"/>
  <c r="C8027" i="1"/>
  <c r="B8027" i="1"/>
  <c r="C8026" i="1"/>
  <c r="B8026" i="1"/>
  <c r="C8025" i="1"/>
  <c r="B8025" i="1"/>
  <c r="C8024" i="1"/>
  <c r="B8024" i="1"/>
  <c r="C8023" i="1"/>
  <c r="B8023" i="1"/>
  <c r="C8022" i="1"/>
  <c r="B8022" i="1"/>
  <c r="C8021" i="1"/>
  <c r="B8021" i="1"/>
  <c r="C8020" i="1"/>
  <c r="B8020" i="1"/>
  <c r="C8019" i="1"/>
  <c r="B8019" i="1"/>
  <c r="C8018" i="1"/>
  <c r="B8018" i="1"/>
  <c r="C8017" i="1"/>
  <c r="B8017" i="1"/>
  <c r="C8016" i="1"/>
  <c r="B8016" i="1"/>
  <c r="C8015" i="1"/>
  <c r="B8015" i="1"/>
  <c r="C8014" i="1"/>
  <c r="B8014" i="1"/>
  <c r="C8013" i="1"/>
  <c r="B8013" i="1"/>
  <c r="C8012" i="1"/>
  <c r="B8012" i="1"/>
  <c r="C8011" i="1"/>
  <c r="B8011" i="1"/>
  <c r="C8010" i="1"/>
  <c r="B8010" i="1"/>
  <c r="C8009" i="1"/>
  <c r="B8009" i="1"/>
  <c r="C8008" i="1"/>
  <c r="B8008" i="1"/>
  <c r="C8007" i="1"/>
  <c r="B8007" i="1"/>
  <c r="C8006" i="1"/>
  <c r="B8006" i="1"/>
  <c r="C8005" i="1"/>
  <c r="B8005" i="1"/>
  <c r="C8004" i="1"/>
  <c r="B8004" i="1"/>
  <c r="C8003" i="1"/>
  <c r="B8003" i="1"/>
  <c r="C8002" i="1"/>
  <c r="B8002" i="1"/>
  <c r="C8001" i="1"/>
  <c r="B8001" i="1"/>
  <c r="C8000" i="1"/>
  <c r="B8000" i="1"/>
  <c r="C7999" i="1"/>
  <c r="B7999" i="1"/>
  <c r="C7998" i="1"/>
  <c r="B7998" i="1"/>
  <c r="C7997" i="1"/>
  <c r="B7997" i="1"/>
  <c r="C7996" i="1"/>
  <c r="B7996" i="1"/>
  <c r="C7995" i="1"/>
  <c r="B7995" i="1"/>
  <c r="C7994" i="1"/>
  <c r="B7994" i="1"/>
  <c r="C7993" i="1"/>
  <c r="B7993" i="1"/>
  <c r="C7992" i="1"/>
  <c r="B7992" i="1"/>
  <c r="C7991" i="1"/>
  <c r="B7991" i="1"/>
  <c r="C7990" i="1"/>
  <c r="B7990" i="1"/>
  <c r="C7989" i="1"/>
  <c r="B7989" i="1"/>
  <c r="C7988" i="1"/>
  <c r="B7988" i="1"/>
  <c r="C7987" i="1"/>
  <c r="B7987" i="1"/>
  <c r="C7986" i="1"/>
  <c r="B7986" i="1"/>
  <c r="C7985" i="1"/>
  <c r="B7985" i="1"/>
  <c r="C7984" i="1"/>
  <c r="B7984" i="1"/>
  <c r="C7983" i="1"/>
  <c r="B7983" i="1"/>
  <c r="C7982" i="1"/>
  <c r="B7982" i="1"/>
  <c r="C7981" i="1"/>
  <c r="B7981" i="1"/>
  <c r="C7980" i="1"/>
  <c r="B7980" i="1"/>
  <c r="C7979" i="1"/>
  <c r="B7979" i="1"/>
  <c r="C7978" i="1"/>
  <c r="B7978" i="1"/>
  <c r="C7977" i="1"/>
  <c r="B7977" i="1"/>
  <c r="C7976" i="1"/>
  <c r="B7976" i="1"/>
  <c r="C7975" i="1"/>
  <c r="B7975" i="1"/>
  <c r="C7974" i="1"/>
  <c r="B7974" i="1"/>
  <c r="C7973" i="1"/>
  <c r="B7973" i="1"/>
  <c r="C7972" i="1"/>
  <c r="B7972" i="1"/>
  <c r="C7971" i="1"/>
  <c r="B7971" i="1"/>
  <c r="C7970" i="1"/>
  <c r="B7970" i="1"/>
  <c r="C7969" i="1"/>
  <c r="B7969" i="1"/>
  <c r="C7968" i="1"/>
  <c r="B7968" i="1"/>
  <c r="C7967" i="1"/>
  <c r="B7967" i="1"/>
  <c r="C7966" i="1"/>
  <c r="B7966" i="1"/>
  <c r="C7965" i="1"/>
  <c r="B7965" i="1"/>
  <c r="C7964" i="1"/>
  <c r="B7964" i="1"/>
  <c r="C7963" i="1"/>
  <c r="B7963" i="1"/>
  <c r="C7962" i="1"/>
  <c r="B7962" i="1"/>
  <c r="C7961" i="1"/>
  <c r="B7961" i="1"/>
  <c r="C7960" i="1"/>
  <c r="B7960" i="1"/>
  <c r="C7959" i="1"/>
  <c r="B7959" i="1"/>
  <c r="C7958" i="1"/>
  <c r="B7958" i="1"/>
  <c r="C7957" i="1"/>
  <c r="B7957" i="1"/>
  <c r="C7956" i="1"/>
  <c r="B7956" i="1"/>
  <c r="C7955" i="1"/>
  <c r="B7955" i="1"/>
  <c r="C7954" i="1"/>
  <c r="B7954" i="1"/>
  <c r="C7953" i="1"/>
  <c r="B7953" i="1"/>
  <c r="C7952" i="1"/>
  <c r="B7952" i="1"/>
  <c r="C7951" i="1"/>
  <c r="B7951" i="1"/>
  <c r="C7950" i="1"/>
  <c r="B7950" i="1"/>
  <c r="C7949" i="1"/>
  <c r="B7949" i="1"/>
  <c r="C7948" i="1"/>
  <c r="B7948" i="1"/>
  <c r="C7947" i="1"/>
  <c r="B7947" i="1"/>
  <c r="C7946" i="1"/>
  <c r="B7946" i="1"/>
  <c r="C7945" i="1"/>
  <c r="B7945" i="1"/>
  <c r="C7944" i="1"/>
  <c r="B7944" i="1"/>
  <c r="C7943" i="1"/>
  <c r="B7943" i="1"/>
  <c r="C7942" i="1"/>
  <c r="B7942" i="1"/>
  <c r="C7941" i="1"/>
  <c r="B7941" i="1"/>
  <c r="C7940" i="1"/>
  <c r="B7940" i="1"/>
  <c r="C7939" i="1"/>
  <c r="B7939" i="1"/>
  <c r="C7938" i="1"/>
  <c r="B7938" i="1"/>
  <c r="C7937" i="1"/>
  <c r="B7937" i="1"/>
  <c r="C7936" i="1"/>
  <c r="B7936" i="1"/>
  <c r="C7935" i="1"/>
  <c r="B7935" i="1"/>
  <c r="C7934" i="1"/>
  <c r="B7934" i="1"/>
  <c r="C7933" i="1"/>
  <c r="B7933" i="1"/>
  <c r="C7932" i="1"/>
  <c r="B7932" i="1"/>
  <c r="C7931" i="1"/>
  <c r="B7931" i="1"/>
  <c r="C7930" i="1"/>
  <c r="B7930" i="1"/>
  <c r="C7929" i="1"/>
  <c r="B7929" i="1"/>
  <c r="C7928" i="1"/>
  <c r="B7928" i="1"/>
  <c r="C7927" i="1"/>
  <c r="B7927" i="1"/>
  <c r="C7926" i="1"/>
  <c r="B7926" i="1"/>
  <c r="C7925" i="1"/>
  <c r="B7925" i="1"/>
  <c r="C7924" i="1"/>
  <c r="B7924" i="1"/>
  <c r="C7923" i="1"/>
  <c r="B7923" i="1"/>
  <c r="C7922" i="1"/>
  <c r="B7922" i="1"/>
  <c r="C7921" i="1"/>
  <c r="B7921" i="1"/>
  <c r="C7920" i="1"/>
  <c r="B7920" i="1"/>
  <c r="C7919" i="1"/>
  <c r="B7919" i="1"/>
  <c r="C7918" i="1"/>
  <c r="B7918" i="1"/>
  <c r="C7917" i="1"/>
  <c r="B7917" i="1"/>
  <c r="C7916" i="1"/>
  <c r="B7916" i="1"/>
  <c r="C7915" i="1"/>
  <c r="B7915" i="1"/>
  <c r="C7914" i="1"/>
  <c r="B7914" i="1"/>
  <c r="C7913" i="1"/>
  <c r="B7913" i="1"/>
  <c r="C7912" i="1"/>
  <c r="B7912" i="1"/>
  <c r="C7911" i="1"/>
  <c r="B7911" i="1"/>
  <c r="C7910" i="1"/>
  <c r="B7910" i="1"/>
  <c r="C7909" i="1"/>
  <c r="B7909" i="1"/>
  <c r="C7908" i="1"/>
  <c r="B7908" i="1"/>
  <c r="C7907" i="1"/>
  <c r="B7907" i="1"/>
  <c r="C7906" i="1"/>
  <c r="B7906" i="1"/>
  <c r="C7905" i="1"/>
  <c r="B7905" i="1"/>
  <c r="C7904" i="1"/>
  <c r="B7904" i="1"/>
  <c r="C7903" i="1"/>
  <c r="B7903" i="1"/>
  <c r="C7902" i="1"/>
  <c r="B7902" i="1"/>
  <c r="C7901" i="1"/>
  <c r="B7901" i="1"/>
  <c r="C7900" i="1"/>
  <c r="B7900" i="1"/>
  <c r="C7899" i="1"/>
  <c r="B7899" i="1"/>
  <c r="C7898" i="1"/>
  <c r="B7898" i="1"/>
  <c r="C7897" i="1"/>
  <c r="B7897" i="1"/>
  <c r="C7896" i="1"/>
  <c r="B7896" i="1"/>
  <c r="C7895" i="1"/>
  <c r="B7895" i="1"/>
  <c r="C7894" i="1"/>
  <c r="B7894" i="1"/>
  <c r="C7893" i="1"/>
  <c r="B7893" i="1"/>
  <c r="C7892" i="1"/>
  <c r="B7892" i="1"/>
  <c r="C7891" i="1"/>
  <c r="B7891" i="1"/>
  <c r="C7890" i="1"/>
  <c r="B7890" i="1"/>
  <c r="C7889" i="1"/>
  <c r="B7889" i="1"/>
  <c r="C7888" i="1"/>
  <c r="B7888" i="1"/>
  <c r="C7887" i="1"/>
  <c r="B7887" i="1"/>
  <c r="C7886" i="1"/>
  <c r="B7886" i="1"/>
  <c r="C7885" i="1"/>
  <c r="B7885" i="1"/>
  <c r="C7884" i="1"/>
  <c r="B7884" i="1"/>
  <c r="C7883" i="1"/>
  <c r="B7883" i="1"/>
  <c r="C7882" i="1"/>
  <c r="B7882" i="1"/>
  <c r="C7881" i="1"/>
  <c r="B7881" i="1"/>
  <c r="C7880" i="1"/>
  <c r="B7880" i="1"/>
  <c r="C7879" i="1"/>
  <c r="B7879" i="1"/>
  <c r="C7878" i="1"/>
  <c r="B7878" i="1"/>
  <c r="C7877" i="1"/>
  <c r="B7877" i="1"/>
  <c r="C7876" i="1"/>
  <c r="B7876" i="1"/>
  <c r="C7875" i="1"/>
  <c r="B7875" i="1"/>
  <c r="C7874" i="1"/>
  <c r="B7874" i="1"/>
  <c r="C7873" i="1"/>
  <c r="B7873" i="1"/>
  <c r="C7872" i="1"/>
  <c r="B7872" i="1"/>
  <c r="C7871" i="1"/>
  <c r="B7871" i="1"/>
  <c r="C7870" i="1"/>
  <c r="B7870" i="1"/>
  <c r="C7869" i="1"/>
  <c r="B7869" i="1"/>
  <c r="C7868" i="1"/>
  <c r="B7868" i="1"/>
  <c r="C7867" i="1"/>
  <c r="B7867" i="1"/>
  <c r="C7866" i="1"/>
  <c r="B7866" i="1"/>
  <c r="C7865" i="1"/>
  <c r="B7865" i="1"/>
  <c r="C7864" i="1"/>
  <c r="B7864" i="1"/>
  <c r="C7863" i="1"/>
  <c r="B7863" i="1"/>
  <c r="C7862" i="1"/>
  <c r="B7862" i="1"/>
  <c r="C7861" i="1"/>
  <c r="B7861" i="1"/>
  <c r="C7860" i="1"/>
  <c r="B7860" i="1"/>
  <c r="C7859" i="1"/>
  <c r="B7859" i="1"/>
  <c r="C7858" i="1"/>
  <c r="B7858" i="1"/>
  <c r="C7857" i="1"/>
  <c r="B7857" i="1"/>
  <c r="C7856" i="1"/>
  <c r="B7856" i="1"/>
  <c r="C7855" i="1"/>
  <c r="B7855" i="1"/>
  <c r="C7854" i="1"/>
  <c r="B7854" i="1"/>
  <c r="C7853" i="1"/>
  <c r="B7853" i="1"/>
  <c r="C7852" i="1"/>
  <c r="B7852" i="1"/>
  <c r="C7851" i="1"/>
  <c r="B7851" i="1"/>
  <c r="C7850" i="1"/>
  <c r="B7850" i="1"/>
  <c r="C7849" i="1"/>
  <c r="B7849" i="1"/>
  <c r="C7848" i="1"/>
  <c r="B7848" i="1"/>
  <c r="C7847" i="1"/>
  <c r="B7847" i="1"/>
  <c r="C7846" i="1"/>
  <c r="B7846" i="1"/>
  <c r="C7845" i="1"/>
  <c r="B7845" i="1"/>
  <c r="C7844" i="1"/>
  <c r="B7844" i="1"/>
  <c r="C7843" i="1"/>
  <c r="B7843" i="1"/>
  <c r="C7842" i="1"/>
  <c r="B7842" i="1"/>
  <c r="C7841" i="1"/>
  <c r="B7841" i="1"/>
  <c r="C7840" i="1"/>
  <c r="B7840" i="1"/>
  <c r="C7839" i="1"/>
  <c r="B7839" i="1"/>
  <c r="C7838" i="1"/>
  <c r="B7838" i="1"/>
  <c r="C7837" i="1"/>
  <c r="B7837" i="1"/>
  <c r="C7836" i="1"/>
  <c r="B7836" i="1"/>
  <c r="C7835" i="1"/>
  <c r="B7835" i="1"/>
  <c r="C7834" i="1"/>
  <c r="B7834" i="1"/>
  <c r="C7833" i="1"/>
  <c r="B7833" i="1"/>
  <c r="C7832" i="1"/>
  <c r="B7832" i="1"/>
  <c r="C7831" i="1"/>
  <c r="B7831" i="1"/>
  <c r="C7830" i="1"/>
  <c r="B7830" i="1"/>
  <c r="C7829" i="1"/>
  <c r="B7829" i="1"/>
  <c r="C7828" i="1"/>
  <c r="B7828" i="1"/>
  <c r="C7827" i="1"/>
  <c r="B7827" i="1"/>
  <c r="C7826" i="1"/>
  <c r="B7826" i="1"/>
  <c r="C7825" i="1"/>
  <c r="B7825" i="1"/>
  <c r="C7824" i="1"/>
  <c r="B7824" i="1"/>
  <c r="C7823" i="1"/>
  <c r="B7823" i="1"/>
  <c r="C7822" i="1"/>
  <c r="B7822" i="1"/>
  <c r="C7821" i="1"/>
  <c r="B7821" i="1"/>
  <c r="C7820" i="1"/>
  <c r="B7820" i="1"/>
  <c r="C7819" i="1"/>
  <c r="B7819" i="1"/>
  <c r="C7818" i="1"/>
  <c r="B7818" i="1"/>
  <c r="C7817" i="1"/>
  <c r="B7817" i="1"/>
  <c r="C7816" i="1"/>
  <c r="B7816" i="1"/>
  <c r="C7815" i="1"/>
  <c r="B7815" i="1"/>
  <c r="C7814" i="1"/>
  <c r="B7814" i="1"/>
  <c r="C7813" i="1"/>
  <c r="B7813" i="1"/>
  <c r="C7812" i="1"/>
  <c r="B7812" i="1"/>
  <c r="C7811" i="1"/>
  <c r="B7811" i="1"/>
  <c r="C7810" i="1"/>
  <c r="B7810" i="1"/>
  <c r="C7809" i="1"/>
  <c r="B7809" i="1"/>
  <c r="C7808" i="1"/>
  <c r="B7808" i="1"/>
  <c r="C7807" i="1"/>
  <c r="B7807" i="1"/>
  <c r="C7806" i="1"/>
  <c r="B7806" i="1"/>
  <c r="C7805" i="1"/>
  <c r="B7805" i="1"/>
  <c r="C7804" i="1"/>
  <c r="B7804" i="1"/>
  <c r="C7803" i="1"/>
  <c r="B7803" i="1"/>
  <c r="C7802" i="1"/>
  <c r="B7802" i="1"/>
  <c r="C7801" i="1"/>
  <c r="B7801" i="1"/>
  <c r="C7800" i="1"/>
  <c r="B7800" i="1"/>
  <c r="C7799" i="1"/>
  <c r="B7799" i="1"/>
  <c r="C7798" i="1"/>
  <c r="B7798" i="1"/>
  <c r="C7797" i="1"/>
  <c r="B7797" i="1"/>
  <c r="C7796" i="1"/>
  <c r="B7796" i="1"/>
  <c r="C7795" i="1"/>
  <c r="B7795" i="1"/>
  <c r="C7794" i="1"/>
  <c r="B7794" i="1"/>
  <c r="C7793" i="1"/>
  <c r="B7793" i="1"/>
  <c r="C7792" i="1"/>
  <c r="B7792" i="1"/>
  <c r="C7791" i="1"/>
  <c r="B7791" i="1"/>
  <c r="C7790" i="1"/>
  <c r="B7790" i="1"/>
  <c r="C7789" i="1"/>
  <c r="B7789" i="1"/>
  <c r="C7788" i="1"/>
  <c r="B7788" i="1"/>
  <c r="C7787" i="1"/>
  <c r="B7787" i="1"/>
  <c r="C7786" i="1"/>
  <c r="B7786" i="1"/>
  <c r="C7785" i="1"/>
  <c r="B7785" i="1"/>
  <c r="C7784" i="1"/>
  <c r="B7784" i="1"/>
  <c r="C7783" i="1"/>
  <c r="B7783" i="1"/>
  <c r="C7782" i="1"/>
  <c r="B7782" i="1"/>
  <c r="C7781" i="1"/>
  <c r="B7781" i="1"/>
  <c r="C7780" i="1"/>
  <c r="B7780" i="1"/>
  <c r="C7779" i="1"/>
  <c r="B7779" i="1"/>
  <c r="C7778" i="1"/>
  <c r="B7778" i="1"/>
  <c r="C7777" i="1"/>
  <c r="B7777" i="1"/>
  <c r="C7776" i="1"/>
  <c r="B7776" i="1"/>
  <c r="C7775" i="1"/>
  <c r="B7775" i="1"/>
  <c r="C7774" i="1"/>
  <c r="B7774" i="1"/>
  <c r="C7773" i="1"/>
  <c r="B7773" i="1"/>
  <c r="C7772" i="1"/>
  <c r="B7772" i="1"/>
  <c r="C7771" i="1"/>
  <c r="B7771" i="1"/>
  <c r="C7770" i="1"/>
  <c r="B7770" i="1"/>
  <c r="C7769" i="1"/>
  <c r="B7769" i="1"/>
  <c r="C7768" i="1"/>
  <c r="B7768" i="1"/>
  <c r="C7767" i="1"/>
  <c r="B7767" i="1"/>
  <c r="C7766" i="1"/>
  <c r="B7766" i="1"/>
  <c r="C7765" i="1"/>
  <c r="B7765" i="1"/>
  <c r="C7764" i="1"/>
  <c r="B7764" i="1"/>
  <c r="C7763" i="1"/>
  <c r="B7763" i="1"/>
  <c r="C7762" i="1"/>
  <c r="B7762" i="1"/>
  <c r="C7761" i="1"/>
  <c r="B7761" i="1"/>
  <c r="C7760" i="1"/>
  <c r="B7760" i="1"/>
  <c r="C7759" i="1"/>
  <c r="B7759" i="1"/>
  <c r="C7758" i="1"/>
  <c r="B7758" i="1"/>
  <c r="C7757" i="1"/>
  <c r="B7757" i="1"/>
  <c r="C7756" i="1"/>
  <c r="B7756" i="1"/>
  <c r="C7755" i="1"/>
  <c r="B7755" i="1"/>
  <c r="C7754" i="1"/>
  <c r="B7754" i="1"/>
  <c r="C7753" i="1"/>
  <c r="B7753" i="1"/>
  <c r="C7752" i="1"/>
  <c r="B7752" i="1"/>
  <c r="C7751" i="1"/>
  <c r="B7751" i="1"/>
  <c r="C7750" i="1"/>
  <c r="B7750" i="1"/>
  <c r="C7749" i="1"/>
  <c r="B7749" i="1"/>
  <c r="C7748" i="1"/>
  <c r="B7748" i="1"/>
  <c r="C7747" i="1"/>
  <c r="B7747" i="1"/>
  <c r="C7746" i="1"/>
  <c r="B7746" i="1"/>
  <c r="C7745" i="1"/>
  <c r="B7745" i="1"/>
  <c r="C7744" i="1"/>
  <c r="B7744" i="1"/>
  <c r="C7743" i="1"/>
  <c r="B7743" i="1"/>
  <c r="C7742" i="1"/>
  <c r="B7742" i="1"/>
  <c r="C7741" i="1"/>
  <c r="B7741" i="1"/>
  <c r="C7740" i="1"/>
  <c r="B7740" i="1"/>
  <c r="C7739" i="1"/>
  <c r="B7739" i="1"/>
  <c r="C7738" i="1"/>
  <c r="B7738" i="1"/>
  <c r="C7737" i="1"/>
  <c r="B7737" i="1"/>
  <c r="C7736" i="1"/>
  <c r="B7736" i="1"/>
  <c r="C7735" i="1"/>
  <c r="B7735" i="1"/>
  <c r="C7734" i="1"/>
  <c r="B7734" i="1"/>
  <c r="C7733" i="1"/>
  <c r="B7733" i="1"/>
  <c r="C7732" i="1"/>
  <c r="B7732" i="1"/>
  <c r="C7731" i="1"/>
  <c r="B7731" i="1"/>
  <c r="C7730" i="1"/>
  <c r="B7730" i="1"/>
  <c r="C7729" i="1"/>
  <c r="B7729" i="1"/>
  <c r="C7728" i="1"/>
  <c r="B7728" i="1"/>
  <c r="C7727" i="1"/>
  <c r="B7727" i="1"/>
  <c r="C7726" i="1"/>
  <c r="B7726" i="1"/>
  <c r="C7725" i="1"/>
  <c r="B7725" i="1"/>
  <c r="C7724" i="1"/>
  <c r="B7724" i="1"/>
  <c r="C7723" i="1"/>
  <c r="B7723" i="1"/>
  <c r="C7722" i="1"/>
  <c r="B7722" i="1"/>
  <c r="C7721" i="1"/>
  <c r="B7721" i="1"/>
  <c r="C7720" i="1"/>
  <c r="B7720" i="1"/>
  <c r="C7719" i="1"/>
  <c r="B7719" i="1"/>
  <c r="C7718" i="1"/>
  <c r="B7718" i="1"/>
  <c r="C7717" i="1"/>
  <c r="B7717" i="1"/>
  <c r="C7716" i="1"/>
  <c r="B7716" i="1"/>
  <c r="C7715" i="1"/>
  <c r="B7715" i="1"/>
  <c r="C7714" i="1"/>
  <c r="B7714" i="1"/>
  <c r="C7713" i="1"/>
  <c r="B7713" i="1"/>
  <c r="C7712" i="1"/>
  <c r="B7712" i="1"/>
  <c r="C7711" i="1"/>
  <c r="B7711" i="1"/>
  <c r="C7710" i="1"/>
  <c r="B7710" i="1"/>
  <c r="C7709" i="1"/>
  <c r="B7709" i="1"/>
  <c r="C7708" i="1"/>
  <c r="B7708" i="1"/>
  <c r="C7707" i="1"/>
  <c r="B7707" i="1"/>
  <c r="C7706" i="1"/>
  <c r="B7706" i="1"/>
  <c r="C7705" i="1"/>
  <c r="B7705" i="1"/>
  <c r="C7704" i="1"/>
  <c r="B7704" i="1"/>
  <c r="C7703" i="1"/>
  <c r="B7703" i="1"/>
  <c r="C7702" i="1"/>
  <c r="B7702" i="1"/>
  <c r="C7701" i="1"/>
  <c r="B7701" i="1"/>
  <c r="C7700" i="1"/>
  <c r="B7700" i="1"/>
  <c r="C7699" i="1"/>
  <c r="B7699" i="1"/>
  <c r="C7698" i="1"/>
  <c r="B7698" i="1"/>
  <c r="C7697" i="1"/>
  <c r="B7697" i="1"/>
  <c r="C7696" i="1"/>
  <c r="B7696" i="1"/>
  <c r="C7695" i="1"/>
  <c r="B7695" i="1"/>
  <c r="C7694" i="1"/>
  <c r="B7694" i="1"/>
  <c r="C7693" i="1"/>
  <c r="B7693" i="1"/>
  <c r="C7692" i="1"/>
  <c r="B7692" i="1"/>
  <c r="C7691" i="1"/>
  <c r="B7691" i="1"/>
  <c r="C7690" i="1"/>
  <c r="B7690" i="1"/>
  <c r="C7689" i="1"/>
  <c r="B7689" i="1"/>
  <c r="C7688" i="1"/>
  <c r="B7688" i="1"/>
  <c r="C7687" i="1"/>
  <c r="B7687" i="1"/>
  <c r="C7686" i="1"/>
  <c r="B7686" i="1"/>
  <c r="C7685" i="1"/>
  <c r="B7685" i="1"/>
  <c r="C7684" i="1"/>
  <c r="B7684" i="1"/>
  <c r="C7683" i="1"/>
  <c r="B7683" i="1"/>
  <c r="C7682" i="1"/>
  <c r="B7682" i="1"/>
  <c r="C7681" i="1"/>
  <c r="B7681" i="1"/>
  <c r="C7680" i="1"/>
  <c r="B7680" i="1"/>
  <c r="C7679" i="1"/>
  <c r="B7679" i="1"/>
  <c r="C7678" i="1"/>
  <c r="B7678" i="1"/>
  <c r="C7677" i="1"/>
  <c r="B7677" i="1"/>
  <c r="C7676" i="1"/>
  <c r="B7676" i="1"/>
  <c r="C7675" i="1"/>
  <c r="B7675" i="1"/>
  <c r="C7674" i="1"/>
  <c r="B7674" i="1"/>
  <c r="C7673" i="1"/>
  <c r="B7673" i="1"/>
  <c r="C7672" i="1"/>
  <c r="B7672" i="1"/>
  <c r="C7671" i="1"/>
  <c r="B7671" i="1"/>
  <c r="C7670" i="1"/>
  <c r="B7670" i="1"/>
  <c r="C7669" i="1"/>
  <c r="B7669" i="1"/>
  <c r="C7668" i="1"/>
  <c r="B7668" i="1"/>
  <c r="C7667" i="1"/>
  <c r="B7667" i="1"/>
  <c r="C7666" i="1"/>
  <c r="B7666" i="1"/>
  <c r="C7665" i="1"/>
  <c r="B7665" i="1"/>
  <c r="C7664" i="1"/>
  <c r="B7664" i="1"/>
  <c r="C7663" i="1"/>
  <c r="B7663" i="1"/>
  <c r="C7662" i="1"/>
  <c r="B7662" i="1"/>
  <c r="C7661" i="1"/>
  <c r="B7661" i="1"/>
  <c r="C7660" i="1"/>
  <c r="B7660" i="1"/>
  <c r="C7659" i="1"/>
  <c r="B7659" i="1"/>
  <c r="C7658" i="1"/>
  <c r="B7658" i="1"/>
  <c r="C7657" i="1"/>
  <c r="B7657" i="1"/>
  <c r="C7656" i="1"/>
  <c r="B7656" i="1"/>
  <c r="C7655" i="1"/>
  <c r="B7655" i="1"/>
  <c r="C7654" i="1"/>
  <c r="B7654" i="1"/>
  <c r="C7653" i="1"/>
  <c r="B7653" i="1"/>
  <c r="C7652" i="1"/>
  <c r="B7652" i="1"/>
  <c r="C7651" i="1"/>
  <c r="B7651" i="1"/>
  <c r="C7650" i="1"/>
  <c r="B7650" i="1"/>
  <c r="C7649" i="1"/>
  <c r="B7649" i="1"/>
  <c r="C7648" i="1"/>
  <c r="B7648" i="1"/>
  <c r="C7647" i="1"/>
  <c r="B7647" i="1"/>
  <c r="C7646" i="1"/>
  <c r="B7646" i="1"/>
  <c r="C7645" i="1"/>
  <c r="B7645" i="1"/>
  <c r="C7644" i="1"/>
  <c r="B7644" i="1"/>
  <c r="C7643" i="1"/>
  <c r="B7643" i="1"/>
  <c r="C7642" i="1"/>
  <c r="B7642" i="1"/>
  <c r="C7641" i="1"/>
  <c r="B7641" i="1"/>
  <c r="C7640" i="1"/>
  <c r="B7640" i="1"/>
  <c r="C7639" i="1"/>
  <c r="B7639" i="1"/>
  <c r="C7638" i="1"/>
  <c r="B7638" i="1"/>
  <c r="C7637" i="1"/>
  <c r="B7637" i="1"/>
  <c r="C7636" i="1"/>
  <c r="B7636" i="1"/>
  <c r="C7635" i="1"/>
  <c r="B7635" i="1"/>
  <c r="C7634" i="1"/>
  <c r="B7634" i="1"/>
  <c r="C7633" i="1"/>
  <c r="B7633" i="1"/>
  <c r="C7632" i="1"/>
  <c r="B7632" i="1"/>
  <c r="C7631" i="1"/>
  <c r="B7631" i="1"/>
  <c r="C7630" i="1"/>
  <c r="B7630" i="1"/>
  <c r="C7629" i="1"/>
  <c r="B7629" i="1"/>
  <c r="C7628" i="1"/>
  <c r="B7628" i="1"/>
  <c r="C7627" i="1"/>
  <c r="B7627" i="1"/>
  <c r="C7626" i="1"/>
  <c r="B7626" i="1"/>
  <c r="C7625" i="1"/>
  <c r="B7625" i="1"/>
  <c r="C7624" i="1"/>
  <c r="B7624" i="1"/>
  <c r="C7623" i="1"/>
  <c r="B7623" i="1"/>
  <c r="C7622" i="1"/>
  <c r="B7622" i="1"/>
  <c r="C7621" i="1"/>
  <c r="B7621" i="1"/>
  <c r="C7620" i="1"/>
  <c r="B7620" i="1"/>
  <c r="C7619" i="1"/>
  <c r="B7619" i="1"/>
  <c r="C7618" i="1"/>
  <c r="B7618" i="1"/>
  <c r="C7617" i="1"/>
  <c r="B7617" i="1"/>
  <c r="C7616" i="1"/>
  <c r="B7616" i="1"/>
  <c r="C7615" i="1"/>
  <c r="B7615" i="1"/>
  <c r="C7614" i="1"/>
  <c r="B7614" i="1"/>
  <c r="C7613" i="1"/>
  <c r="B7613" i="1"/>
  <c r="C7612" i="1"/>
  <c r="B7612" i="1"/>
  <c r="C7611" i="1"/>
  <c r="B7611" i="1"/>
  <c r="C7610" i="1"/>
  <c r="B7610" i="1"/>
  <c r="C7609" i="1"/>
  <c r="B7609" i="1"/>
  <c r="C7608" i="1"/>
  <c r="B7608" i="1"/>
  <c r="C7607" i="1"/>
  <c r="B7607" i="1"/>
  <c r="C7606" i="1"/>
  <c r="B7606" i="1"/>
  <c r="C7605" i="1"/>
  <c r="B7605" i="1"/>
  <c r="C7604" i="1"/>
  <c r="B7604" i="1"/>
  <c r="C7603" i="1"/>
  <c r="B7603" i="1"/>
  <c r="C7602" i="1"/>
  <c r="B7602" i="1"/>
  <c r="C7601" i="1"/>
  <c r="B7601" i="1"/>
  <c r="C7600" i="1"/>
  <c r="B7600" i="1"/>
  <c r="C7599" i="1"/>
  <c r="B7599" i="1"/>
  <c r="C7598" i="1"/>
  <c r="B7598" i="1"/>
  <c r="C7597" i="1"/>
  <c r="B7597" i="1"/>
  <c r="C7596" i="1"/>
  <c r="B7596" i="1"/>
  <c r="C7595" i="1"/>
  <c r="B7595" i="1"/>
  <c r="C7594" i="1"/>
  <c r="B7594" i="1"/>
  <c r="C7593" i="1"/>
  <c r="B7593" i="1"/>
  <c r="C7592" i="1"/>
  <c r="B7592" i="1"/>
  <c r="C7591" i="1"/>
  <c r="B7591" i="1"/>
  <c r="C7590" i="1"/>
  <c r="B7590" i="1"/>
  <c r="C7589" i="1"/>
  <c r="B7589" i="1"/>
  <c r="C7588" i="1"/>
  <c r="B7588" i="1"/>
  <c r="C7587" i="1"/>
  <c r="B7587" i="1"/>
  <c r="C7586" i="1"/>
  <c r="B7586" i="1"/>
  <c r="C7585" i="1"/>
  <c r="B7585" i="1"/>
  <c r="C7584" i="1"/>
  <c r="B7584" i="1"/>
  <c r="C7583" i="1"/>
  <c r="B7583" i="1"/>
  <c r="C7582" i="1"/>
  <c r="B7582" i="1"/>
  <c r="C7581" i="1"/>
  <c r="B7581" i="1"/>
  <c r="C7580" i="1"/>
  <c r="B7580" i="1"/>
  <c r="C7579" i="1"/>
  <c r="B7579" i="1"/>
  <c r="C7578" i="1"/>
  <c r="B7578" i="1"/>
  <c r="C7577" i="1"/>
  <c r="B7577" i="1"/>
  <c r="C7576" i="1"/>
  <c r="B7576" i="1"/>
  <c r="C7575" i="1"/>
  <c r="B7575" i="1"/>
  <c r="C7574" i="1"/>
  <c r="B7574" i="1"/>
  <c r="C7573" i="1"/>
  <c r="B7573" i="1"/>
  <c r="C7572" i="1"/>
  <c r="B7572" i="1"/>
  <c r="C7571" i="1"/>
  <c r="B7571" i="1"/>
  <c r="C7570" i="1"/>
  <c r="B7570" i="1"/>
  <c r="C7569" i="1"/>
  <c r="B7569" i="1"/>
  <c r="C7568" i="1"/>
  <c r="B7568" i="1"/>
  <c r="C7567" i="1"/>
  <c r="B7567" i="1"/>
  <c r="C7566" i="1"/>
  <c r="B7566" i="1"/>
  <c r="C7565" i="1"/>
  <c r="B7565" i="1"/>
  <c r="C7564" i="1"/>
  <c r="B7564" i="1"/>
  <c r="C7563" i="1"/>
  <c r="B7563" i="1"/>
  <c r="C7562" i="1"/>
  <c r="B7562" i="1"/>
  <c r="C7561" i="1"/>
  <c r="B7561" i="1"/>
  <c r="C7560" i="1"/>
  <c r="B7560" i="1"/>
  <c r="C7559" i="1"/>
  <c r="B7559" i="1"/>
  <c r="C7558" i="1"/>
  <c r="B7558" i="1"/>
  <c r="C7557" i="1"/>
  <c r="B7557" i="1"/>
  <c r="C7556" i="1"/>
  <c r="B7556" i="1"/>
  <c r="C7555" i="1"/>
  <c r="B7555" i="1"/>
  <c r="C7554" i="1"/>
  <c r="B7554" i="1"/>
  <c r="C7553" i="1"/>
  <c r="B7553" i="1"/>
  <c r="C7552" i="1"/>
  <c r="B7552" i="1"/>
  <c r="C7551" i="1"/>
  <c r="B7551" i="1"/>
  <c r="C7550" i="1"/>
  <c r="B7550" i="1"/>
  <c r="C7549" i="1"/>
  <c r="B7549" i="1"/>
  <c r="C7548" i="1"/>
  <c r="B7548" i="1"/>
  <c r="C7547" i="1"/>
  <c r="B7547" i="1"/>
  <c r="C7546" i="1"/>
  <c r="B7546" i="1"/>
  <c r="C7545" i="1"/>
  <c r="B7545" i="1"/>
  <c r="C7544" i="1"/>
  <c r="B7544" i="1"/>
  <c r="C7543" i="1"/>
  <c r="B7543" i="1"/>
  <c r="C7542" i="1"/>
  <c r="B7542" i="1"/>
  <c r="C7541" i="1"/>
  <c r="B7541" i="1"/>
  <c r="C7540" i="1"/>
  <c r="B7540" i="1"/>
  <c r="C7539" i="1"/>
  <c r="B7539" i="1"/>
  <c r="C7538" i="1"/>
  <c r="B7538" i="1"/>
  <c r="C7537" i="1"/>
  <c r="B7537" i="1"/>
  <c r="C7536" i="1"/>
  <c r="B7536" i="1"/>
  <c r="C7535" i="1"/>
  <c r="B7535" i="1"/>
  <c r="C7534" i="1"/>
  <c r="B7534" i="1"/>
  <c r="C7533" i="1"/>
  <c r="B7533" i="1"/>
  <c r="C7532" i="1"/>
  <c r="B7532" i="1"/>
  <c r="C7531" i="1"/>
  <c r="B7531" i="1"/>
  <c r="C7530" i="1"/>
  <c r="B7530" i="1"/>
  <c r="C7529" i="1"/>
  <c r="B7529" i="1"/>
  <c r="C7528" i="1"/>
  <c r="B7528" i="1"/>
  <c r="C7527" i="1"/>
  <c r="B7527" i="1"/>
  <c r="C7526" i="1"/>
  <c r="B7526" i="1"/>
  <c r="C7525" i="1"/>
  <c r="B7525" i="1"/>
  <c r="C7524" i="1"/>
  <c r="B7524" i="1"/>
  <c r="C7523" i="1"/>
  <c r="B7523" i="1"/>
  <c r="C7522" i="1"/>
  <c r="B7522" i="1"/>
  <c r="C7521" i="1"/>
  <c r="B7521" i="1"/>
  <c r="C7520" i="1"/>
  <c r="B7520" i="1"/>
  <c r="C7519" i="1"/>
  <c r="B7519" i="1"/>
  <c r="C7518" i="1"/>
  <c r="B7518" i="1"/>
  <c r="C7517" i="1"/>
  <c r="B7517" i="1"/>
  <c r="C7516" i="1"/>
  <c r="B7516" i="1"/>
  <c r="C7515" i="1"/>
  <c r="B7515" i="1"/>
  <c r="C7514" i="1"/>
  <c r="B7514" i="1"/>
  <c r="C7513" i="1"/>
  <c r="B7513" i="1"/>
  <c r="C7512" i="1"/>
  <c r="B7512" i="1"/>
  <c r="C7511" i="1"/>
  <c r="B7511" i="1"/>
  <c r="C7510" i="1"/>
  <c r="B7510" i="1"/>
  <c r="C7509" i="1"/>
  <c r="B7509" i="1"/>
  <c r="C7508" i="1"/>
  <c r="B7508" i="1"/>
  <c r="C7507" i="1"/>
  <c r="B7507" i="1"/>
  <c r="C7506" i="1"/>
  <c r="B7506" i="1"/>
  <c r="C7505" i="1"/>
  <c r="B7505" i="1"/>
  <c r="C7504" i="1"/>
  <c r="B7504" i="1"/>
  <c r="C7503" i="1"/>
  <c r="B7503" i="1"/>
  <c r="C7502" i="1"/>
  <c r="B7502" i="1"/>
  <c r="C7501" i="1"/>
  <c r="B7501" i="1"/>
  <c r="C7500" i="1"/>
  <c r="B7500" i="1"/>
  <c r="C7499" i="1"/>
  <c r="B7499" i="1"/>
  <c r="C7498" i="1"/>
  <c r="B7498" i="1"/>
  <c r="C7497" i="1"/>
  <c r="B7497" i="1"/>
  <c r="C7496" i="1"/>
  <c r="B7496" i="1"/>
  <c r="C7495" i="1"/>
  <c r="B7495" i="1"/>
  <c r="C7494" i="1"/>
  <c r="B7494" i="1"/>
  <c r="C7493" i="1"/>
  <c r="B7493" i="1"/>
  <c r="C7492" i="1"/>
  <c r="B7492" i="1"/>
  <c r="C7491" i="1"/>
  <c r="B7491" i="1"/>
  <c r="C7490" i="1"/>
  <c r="B7490" i="1"/>
  <c r="C7489" i="1"/>
  <c r="B7489" i="1"/>
  <c r="C7488" i="1"/>
  <c r="B7488" i="1"/>
  <c r="C7487" i="1"/>
  <c r="B7487" i="1"/>
  <c r="C7486" i="1"/>
  <c r="B7486" i="1"/>
  <c r="C7485" i="1"/>
  <c r="B7485" i="1"/>
  <c r="C7484" i="1"/>
  <c r="B7484" i="1"/>
  <c r="C7483" i="1"/>
  <c r="B7483" i="1"/>
  <c r="C7482" i="1"/>
  <c r="B7482" i="1"/>
  <c r="C7481" i="1"/>
  <c r="B7481" i="1"/>
  <c r="C7480" i="1"/>
  <c r="B7480" i="1"/>
  <c r="C7479" i="1"/>
  <c r="B7479" i="1"/>
  <c r="C7478" i="1"/>
  <c r="B7478" i="1"/>
  <c r="C7477" i="1"/>
  <c r="B7477" i="1"/>
  <c r="C7476" i="1"/>
  <c r="B7476" i="1"/>
  <c r="C7475" i="1"/>
  <c r="B7475" i="1"/>
  <c r="C7474" i="1"/>
  <c r="B7474" i="1"/>
  <c r="C7473" i="1"/>
  <c r="B7473" i="1"/>
  <c r="C7472" i="1"/>
  <c r="B7472" i="1"/>
  <c r="C7471" i="1"/>
  <c r="B7471" i="1"/>
  <c r="C7470" i="1"/>
  <c r="B7470" i="1"/>
  <c r="C7469" i="1"/>
  <c r="B7469" i="1"/>
  <c r="C7468" i="1"/>
  <c r="B7468" i="1"/>
  <c r="C7467" i="1"/>
  <c r="B7467" i="1"/>
  <c r="C7466" i="1"/>
  <c r="B7466" i="1"/>
  <c r="C7465" i="1"/>
  <c r="B7465" i="1"/>
  <c r="C7464" i="1"/>
  <c r="B7464" i="1"/>
  <c r="C7463" i="1"/>
  <c r="B7463" i="1"/>
  <c r="C7462" i="1"/>
  <c r="B7462" i="1"/>
  <c r="C7461" i="1"/>
  <c r="B7461" i="1"/>
  <c r="C7460" i="1"/>
  <c r="B7460" i="1"/>
  <c r="C7459" i="1"/>
  <c r="B7459" i="1"/>
  <c r="C7458" i="1"/>
  <c r="B7458" i="1"/>
  <c r="C7457" i="1"/>
  <c r="B7457" i="1"/>
  <c r="C7456" i="1"/>
  <c r="B7456" i="1"/>
  <c r="C7455" i="1"/>
  <c r="B7455" i="1"/>
  <c r="C7454" i="1"/>
  <c r="B7454" i="1"/>
  <c r="C7453" i="1"/>
  <c r="B7453" i="1"/>
  <c r="C7452" i="1"/>
  <c r="B7452" i="1"/>
  <c r="C7451" i="1"/>
  <c r="B7451" i="1"/>
  <c r="C7450" i="1"/>
  <c r="B7450" i="1"/>
  <c r="C7449" i="1"/>
  <c r="B7449" i="1"/>
  <c r="C7448" i="1"/>
  <c r="B7448" i="1"/>
  <c r="C7447" i="1"/>
  <c r="B7447" i="1"/>
  <c r="C7446" i="1"/>
  <c r="B7446" i="1"/>
  <c r="C7445" i="1"/>
  <c r="B7445" i="1"/>
  <c r="C7444" i="1"/>
  <c r="B7444" i="1"/>
  <c r="C7443" i="1"/>
  <c r="B7443" i="1"/>
  <c r="C7442" i="1"/>
  <c r="B7442" i="1"/>
  <c r="C7441" i="1"/>
  <c r="B7441" i="1"/>
  <c r="C7440" i="1"/>
  <c r="B7440" i="1"/>
  <c r="C7439" i="1"/>
  <c r="B7439" i="1"/>
  <c r="C7438" i="1"/>
  <c r="B7438" i="1"/>
  <c r="C7437" i="1"/>
  <c r="B7437" i="1"/>
  <c r="C7436" i="1"/>
  <c r="B7436" i="1"/>
  <c r="C7435" i="1"/>
  <c r="B7435" i="1"/>
  <c r="C7434" i="1"/>
  <c r="B7434" i="1"/>
  <c r="C7433" i="1"/>
  <c r="B7433" i="1"/>
  <c r="C7432" i="1"/>
  <c r="B7432" i="1"/>
  <c r="C7431" i="1"/>
  <c r="B7431" i="1"/>
  <c r="C7430" i="1"/>
  <c r="B7430" i="1"/>
  <c r="C7429" i="1"/>
  <c r="B7429" i="1"/>
  <c r="C7428" i="1"/>
  <c r="B7428" i="1"/>
  <c r="C7427" i="1"/>
  <c r="B7427" i="1"/>
  <c r="C7426" i="1"/>
  <c r="B7426" i="1"/>
  <c r="C7425" i="1"/>
  <c r="B7425" i="1"/>
  <c r="C7424" i="1"/>
  <c r="B7424" i="1"/>
  <c r="C7423" i="1"/>
  <c r="B7423" i="1"/>
  <c r="C7422" i="1"/>
  <c r="B7422" i="1"/>
  <c r="C7421" i="1"/>
  <c r="B7421" i="1"/>
  <c r="C7420" i="1"/>
  <c r="B7420" i="1"/>
  <c r="C7419" i="1"/>
  <c r="B7419" i="1"/>
  <c r="C7418" i="1"/>
  <c r="B7418" i="1"/>
  <c r="C7417" i="1"/>
  <c r="B7417" i="1"/>
  <c r="C7416" i="1"/>
  <c r="B7416" i="1"/>
  <c r="C7415" i="1"/>
  <c r="B7415" i="1"/>
  <c r="C7414" i="1"/>
  <c r="B7414" i="1"/>
  <c r="C7413" i="1"/>
  <c r="B7413" i="1"/>
  <c r="C7412" i="1"/>
  <c r="B7412" i="1"/>
  <c r="C7411" i="1"/>
  <c r="B7411" i="1"/>
  <c r="C7410" i="1"/>
  <c r="B7410" i="1"/>
  <c r="C7409" i="1"/>
  <c r="B7409" i="1"/>
  <c r="C7408" i="1"/>
  <c r="B7408" i="1"/>
  <c r="C7407" i="1"/>
  <c r="B7407" i="1"/>
  <c r="C7406" i="1"/>
  <c r="B7406" i="1"/>
  <c r="C7405" i="1"/>
  <c r="B7405" i="1"/>
  <c r="C7404" i="1"/>
  <c r="B7404" i="1"/>
  <c r="C7403" i="1"/>
  <c r="B7403" i="1"/>
  <c r="C7402" i="1"/>
  <c r="B7402" i="1"/>
  <c r="C7401" i="1"/>
  <c r="B7401" i="1"/>
  <c r="C7400" i="1"/>
  <c r="B7400" i="1"/>
  <c r="C7399" i="1"/>
  <c r="B7399" i="1"/>
  <c r="C7398" i="1"/>
  <c r="B7398" i="1"/>
  <c r="C7397" i="1"/>
  <c r="B7397" i="1"/>
  <c r="C7396" i="1"/>
  <c r="B7396" i="1"/>
  <c r="C7395" i="1"/>
  <c r="B7395" i="1"/>
  <c r="C7394" i="1"/>
  <c r="B7394" i="1"/>
  <c r="C7393" i="1"/>
  <c r="B7393" i="1"/>
  <c r="C7392" i="1"/>
  <c r="B7392" i="1"/>
  <c r="C7391" i="1"/>
  <c r="B7391" i="1"/>
  <c r="C7390" i="1"/>
  <c r="B7390" i="1"/>
  <c r="C7389" i="1"/>
  <c r="B7389" i="1"/>
  <c r="C7388" i="1"/>
  <c r="B7388" i="1"/>
  <c r="C7387" i="1"/>
  <c r="B7387" i="1"/>
  <c r="C7386" i="1"/>
  <c r="B7386" i="1"/>
  <c r="C7385" i="1"/>
  <c r="B7385" i="1"/>
  <c r="C7384" i="1"/>
  <c r="B7384" i="1"/>
  <c r="C7383" i="1"/>
  <c r="B7383" i="1"/>
  <c r="C7382" i="1"/>
  <c r="B7382" i="1"/>
  <c r="C7381" i="1"/>
  <c r="B7381" i="1"/>
  <c r="C7380" i="1"/>
  <c r="B7380" i="1"/>
  <c r="C7379" i="1"/>
  <c r="B7379" i="1"/>
  <c r="C7378" i="1"/>
  <c r="B7378" i="1"/>
  <c r="C7377" i="1"/>
  <c r="B7377" i="1"/>
  <c r="C7376" i="1"/>
  <c r="B7376" i="1"/>
  <c r="C7375" i="1"/>
  <c r="B7375" i="1"/>
  <c r="C7374" i="1"/>
  <c r="B7374" i="1"/>
  <c r="C7373" i="1"/>
  <c r="B7373" i="1"/>
  <c r="C7372" i="1"/>
  <c r="B7372" i="1"/>
  <c r="C7371" i="1"/>
  <c r="B7371" i="1"/>
  <c r="C7370" i="1"/>
  <c r="B7370" i="1"/>
  <c r="C7369" i="1"/>
  <c r="B7369" i="1"/>
  <c r="C7368" i="1"/>
  <c r="B7368" i="1"/>
  <c r="C7367" i="1"/>
  <c r="B7367" i="1"/>
  <c r="C7366" i="1"/>
  <c r="B7366" i="1"/>
  <c r="C7365" i="1"/>
  <c r="B7365" i="1"/>
  <c r="C7364" i="1"/>
  <c r="B7364" i="1"/>
  <c r="C7363" i="1"/>
  <c r="B7363" i="1"/>
  <c r="C7362" i="1"/>
  <c r="B7362" i="1"/>
  <c r="C7361" i="1"/>
  <c r="B7361" i="1"/>
  <c r="C7360" i="1"/>
  <c r="B7360" i="1"/>
  <c r="C7359" i="1"/>
  <c r="B7359" i="1"/>
  <c r="C7358" i="1"/>
  <c r="B7358" i="1"/>
  <c r="C7357" i="1"/>
  <c r="B7357" i="1"/>
  <c r="C7356" i="1"/>
  <c r="B7356" i="1"/>
  <c r="C7355" i="1"/>
  <c r="B7355" i="1"/>
  <c r="C7354" i="1"/>
  <c r="B7354" i="1"/>
  <c r="C7353" i="1"/>
  <c r="B7353" i="1"/>
  <c r="C7352" i="1"/>
  <c r="B7352" i="1"/>
  <c r="C7351" i="1"/>
  <c r="B7351" i="1"/>
  <c r="C7350" i="1"/>
  <c r="B7350" i="1"/>
  <c r="C7349" i="1"/>
  <c r="B7349" i="1"/>
  <c r="C7348" i="1"/>
  <c r="B7348" i="1"/>
  <c r="C7347" i="1"/>
  <c r="B7347" i="1"/>
  <c r="C7346" i="1"/>
  <c r="B7346" i="1"/>
  <c r="C7345" i="1"/>
  <c r="B7345" i="1"/>
  <c r="C7344" i="1"/>
  <c r="B7344" i="1"/>
  <c r="C7343" i="1"/>
  <c r="B7343" i="1"/>
  <c r="C7342" i="1"/>
  <c r="B7342" i="1"/>
  <c r="C7341" i="1"/>
  <c r="B7341" i="1"/>
  <c r="C7340" i="1"/>
  <c r="B7340" i="1"/>
  <c r="C7339" i="1"/>
  <c r="B7339" i="1"/>
  <c r="C7338" i="1"/>
  <c r="B7338" i="1"/>
  <c r="C7337" i="1"/>
  <c r="B7337" i="1"/>
  <c r="C7336" i="1"/>
  <c r="B7336" i="1"/>
  <c r="C7335" i="1"/>
  <c r="B7335" i="1"/>
  <c r="C7334" i="1"/>
  <c r="B7334" i="1"/>
  <c r="C7333" i="1"/>
  <c r="B7333" i="1"/>
  <c r="C7332" i="1"/>
  <c r="B7332" i="1"/>
  <c r="C7331" i="1"/>
  <c r="B7331" i="1"/>
  <c r="C7330" i="1"/>
  <c r="B7330" i="1"/>
  <c r="C7329" i="1"/>
  <c r="B7329" i="1"/>
  <c r="C7328" i="1"/>
  <c r="B7328" i="1"/>
  <c r="C7327" i="1"/>
  <c r="B7327" i="1"/>
  <c r="C7326" i="1"/>
  <c r="B7326" i="1"/>
  <c r="C7325" i="1"/>
  <c r="B7325" i="1"/>
  <c r="C7324" i="1"/>
  <c r="B7324" i="1"/>
  <c r="C7323" i="1"/>
  <c r="B7323" i="1"/>
  <c r="C7322" i="1"/>
  <c r="B7322" i="1"/>
  <c r="C7321" i="1"/>
  <c r="B7321" i="1"/>
  <c r="C7320" i="1"/>
  <c r="B7320" i="1"/>
  <c r="C7319" i="1"/>
  <c r="B7319" i="1"/>
  <c r="C7318" i="1"/>
  <c r="B7318" i="1"/>
  <c r="C7317" i="1"/>
  <c r="B7317" i="1"/>
  <c r="C7316" i="1"/>
  <c r="B7316" i="1"/>
  <c r="C7315" i="1"/>
  <c r="B7315" i="1"/>
  <c r="C7314" i="1"/>
  <c r="B7314" i="1"/>
  <c r="C7313" i="1"/>
  <c r="B7313" i="1"/>
  <c r="C7312" i="1"/>
  <c r="B7312" i="1"/>
  <c r="C7311" i="1"/>
  <c r="B7311" i="1"/>
  <c r="C7310" i="1"/>
  <c r="B7310" i="1"/>
  <c r="C7309" i="1"/>
  <c r="B7309" i="1"/>
  <c r="C7308" i="1"/>
  <c r="B7308" i="1"/>
  <c r="C7307" i="1"/>
  <c r="B7307" i="1"/>
  <c r="C7306" i="1"/>
  <c r="B7306" i="1"/>
  <c r="C7305" i="1"/>
  <c r="B7305" i="1"/>
  <c r="C7304" i="1"/>
  <c r="B7304" i="1"/>
  <c r="C7303" i="1"/>
  <c r="B7303" i="1"/>
  <c r="C7302" i="1"/>
  <c r="B7302" i="1"/>
  <c r="C7301" i="1"/>
  <c r="B7301" i="1"/>
  <c r="C7300" i="1"/>
  <c r="B7300" i="1"/>
  <c r="C7299" i="1"/>
  <c r="B7299" i="1"/>
  <c r="C7298" i="1"/>
  <c r="B7298" i="1"/>
  <c r="C7297" i="1"/>
  <c r="B7297" i="1"/>
  <c r="C7296" i="1"/>
  <c r="B7296" i="1"/>
  <c r="C7295" i="1"/>
  <c r="B7295" i="1"/>
  <c r="C7294" i="1"/>
  <c r="B7294" i="1"/>
  <c r="C7293" i="1"/>
  <c r="B7293" i="1"/>
  <c r="C7292" i="1"/>
  <c r="B7292" i="1"/>
  <c r="C7291" i="1"/>
  <c r="B7291" i="1"/>
  <c r="C7290" i="1"/>
  <c r="B7290" i="1"/>
  <c r="C7289" i="1"/>
  <c r="B7289" i="1"/>
  <c r="C7288" i="1"/>
  <c r="B7288" i="1"/>
  <c r="C7287" i="1"/>
  <c r="B7287" i="1"/>
  <c r="C7286" i="1"/>
  <c r="B7286" i="1"/>
  <c r="C7285" i="1"/>
  <c r="B7285" i="1"/>
  <c r="C7284" i="1"/>
  <c r="B7284" i="1"/>
  <c r="C7283" i="1"/>
  <c r="B7283" i="1"/>
  <c r="C7282" i="1"/>
  <c r="B7282" i="1"/>
  <c r="C7281" i="1"/>
  <c r="B7281" i="1"/>
  <c r="C7280" i="1"/>
  <c r="B7280" i="1"/>
  <c r="C7279" i="1"/>
  <c r="B7279" i="1"/>
  <c r="C7278" i="1"/>
  <c r="B7278" i="1"/>
  <c r="C7277" i="1"/>
  <c r="B7277" i="1"/>
  <c r="C7276" i="1"/>
  <c r="B7276" i="1"/>
  <c r="C7275" i="1"/>
  <c r="B7275" i="1"/>
  <c r="C7274" i="1"/>
  <c r="B7274" i="1"/>
  <c r="C7273" i="1"/>
  <c r="B7273" i="1"/>
  <c r="C7272" i="1"/>
  <c r="B7272" i="1"/>
  <c r="C7271" i="1"/>
  <c r="B7271" i="1"/>
  <c r="C7270" i="1"/>
  <c r="B7270" i="1"/>
  <c r="C7269" i="1"/>
  <c r="B7269" i="1"/>
  <c r="C7268" i="1"/>
  <c r="B7268" i="1"/>
  <c r="C7267" i="1"/>
  <c r="B7267" i="1"/>
  <c r="C7266" i="1"/>
  <c r="B7266" i="1"/>
  <c r="C7265" i="1"/>
  <c r="B7265" i="1"/>
  <c r="C7264" i="1"/>
  <c r="B7264" i="1"/>
  <c r="C7263" i="1"/>
  <c r="B7263" i="1"/>
  <c r="C7262" i="1"/>
  <c r="B7262" i="1"/>
  <c r="C7261" i="1"/>
  <c r="B7261" i="1"/>
  <c r="C7260" i="1"/>
  <c r="B7260" i="1"/>
  <c r="C7259" i="1"/>
  <c r="B7259" i="1"/>
  <c r="C7258" i="1"/>
  <c r="B7258" i="1"/>
  <c r="C7257" i="1"/>
  <c r="B7257" i="1"/>
  <c r="C7256" i="1"/>
  <c r="B7256" i="1"/>
  <c r="C7255" i="1"/>
  <c r="B7255" i="1"/>
  <c r="C7254" i="1"/>
  <c r="B7254" i="1"/>
  <c r="C7253" i="1"/>
  <c r="B7253" i="1"/>
  <c r="C7252" i="1"/>
  <c r="B7252" i="1"/>
  <c r="C7251" i="1"/>
  <c r="B7251" i="1"/>
  <c r="C7250" i="1"/>
  <c r="B7250" i="1"/>
  <c r="C7249" i="1"/>
  <c r="B7249" i="1"/>
  <c r="C7248" i="1"/>
  <c r="B7248" i="1"/>
  <c r="C7247" i="1"/>
  <c r="B7247" i="1"/>
  <c r="C7246" i="1"/>
  <c r="B7246" i="1"/>
  <c r="C7245" i="1"/>
  <c r="B7245" i="1"/>
  <c r="C7244" i="1"/>
  <c r="B7244" i="1"/>
  <c r="C7243" i="1"/>
  <c r="B7243" i="1"/>
  <c r="C7242" i="1"/>
  <c r="B7242" i="1"/>
  <c r="C7241" i="1"/>
  <c r="B7241" i="1"/>
  <c r="C7240" i="1"/>
  <c r="B7240" i="1"/>
  <c r="C7239" i="1"/>
  <c r="B7239" i="1"/>
  <c r="C7238" i="1"/>
  <c r="B7238" i="1"/>
  <c r="C7237" i="1"/>
  <c r="B7237" i="1"/>
  <c r="C7236" i="1"/>
  <c r="B7236" i="1"/>
  <c r="C7235" i="1"/>
  <c r="B7235" i="1"/>
  <c r="C7234" i="1"/>
  <c r="B7234" i="1"/>
  <c r="C7233" i="1"/>
  <c r="B7233" i="1"/>
  <c r="C7232" i="1"/>
  <c r="B7232" i="1"/>
  <c r="C7231" i="1"/>
  <c r="B7231" i="1"/>
  <c r="C7230" i="1"/>
  <c r="B7230" i="1"/>
  <c r="C7229" i="1"/>
  <c r="B7229" i="1"/>
  <c r="C7228" i="1"/>
  <c r="B7228" i="1"/>
  <c r="C7227" i="1"/>
  <c r="B7227" i="1"/>
  <c r="C7226" i="1"/>
  <c r="B7226" i="1"/>
  <c r="C7225" i="1"/>
  <c r="B7225" i="1"/>
  <c r="C7224" i="1"/>
  <c r="B7224" i="1"/>
  <c r="C7223" i="1"/>
  <c r="B7223" i="1"/>
  <c r="C7222" i="1"/>
  <c r="B7222" i="1"/>
  <c r="C7221" i="1"/>
  <c r="B7221" i="1"/>
  <c r="C7220" i="1"/>
  <c r="B7220" i="1"/>
  <c r="C7219" i="1"/>
  <c r="B7219" i="1"/>
  <c r="C7218" i="1"/>
  <c r="B7218" i="1"/>
  <c r="C7217" i="1"/>
  <c r="B7217" i="1"/>
  <c r="C7216" i="1"/>
  <c r="B7216" i="1"/>
  <c r="C7215" i="1"/>
  <c r="B7215" i="1"/>
  <c r="C7214" i="1"/>
  <c r="B7214" i="1"/>
  <c r="C7213" i="1"/>
  <c r="B7213" i="1"/>
  <c r="C7212" i="1"/>
  <c r="B7212" i="1"/>
  <c r="C7211" i="1"/>
  <c r="B7211" i="1"/>
  <c r="C7210" i="1"/>
  <c r="B7210" i="1"/>
  <c r="C7209" i="1"/>
  <c r="B7209" i="1"/>
  <c r="C7208" i="1"/>
  <c r="B7208" i="1"/>
  <c r="C7207" i="1"/>
  <c r="B7207" i="1"/>
  <c r="C7206" i="1"/>
  <c r="B7206" i="1"/>
  <c r="C7205" i="1"/>
  <c r="B7205" i="1"/>
  <c r="C7204" i="1"/>
  <c r="B7204" i="1"/>
  <c r="C7203" i="1"/>
  <c r="B7203" i="1"/>
  <c r="C7202" i="1"/>
  <c r="B7202" i="1"/>
  <c r="C7201" i="1"/>
  <c r="B7201" i="1"/>
  <c r="C7200" i="1"/>
  <c r="B7200" i="1"/>
  <c r="C7199" i="1"/>
  <c r="B7199" i="1"/>
  <c r="C7198" i="1"/>
  <c r="B7198" i="1"/>
  <c r="C7197" i="1"/>
  <c r="B7197" i="1"/>
  <c r="C7196" i="1"/>
  <c r="B7196" i="1"/>
  <c r="C7195" i="1"/>
  <c r="B7195" i="1"/>
  <c r="C7194" i="1"/>
  <c r="B7194" i="1"/>
  <c r="C7193" i="1"/>
  <c r="B7193" i="1"/>
  <c r="C7192" i="1"/>
  <c r="B7192" i="1"/>
  <c r="C7191" i="1"/>
  <c r="B7191" i="1"/>
  <c r="C7190" i="1"/>
  <c r="B7190" i="1"/>
  <c r="C7189" i="1"/>
  <c r="B7189" i="1"/>
  <c r="C7188" i="1"/>
  <c r="B7188" i="1"/>
  <c r="C7187" i="1"/>
  <c r="B7187" i="1"/>
  <c r="C7186" i="1"/>
  <c r="B7186" i="1"/>
  <c r="C7185" i="1"/>
  <c r="B7185" i="1"/>
  <c r="C7184" i="1"/>
  <c r="B7184" i="1"/>
  <c r="C7183" i="1"/>
  <c r="B7183" i="1"/>
  <c r="C7182" i="1"/>
  <c r="B7182" i="1"/>
  <c r="C7181" i="1"/>
  <c r="B7181" i="1"/>
  <c r="C7180" i="1"/>
  <c r="B7180" i="1"/>
  <c r="C7179" i="1"/>
  <c r="B7179" i="1"/>
  <c r="C7178" i="1"/>
  <c r="B7178" i="1"/>
  <c r="C7177" i="1"/>
  <c r="B7177" i="1"/>
  <c r="C7176" i="1"/>
  <c r="B7176" i="1"/>
  <c r="C7175" i="1"/>
  <c r="B7175" i="1"/>
  <c r="C7174" i="1"/>
  <c r="B7174" i="1"/>
  <c r="C7173" i="1"/>
  <c r="B7173" i="1"/>
  <c r="C7172" i="1"/>
  <c r="B7172" i="1"/>
  <c r="C7171" i="1"/>
  <c r="B7171" i="1"/>
  <c r="C7170" i="1"/>
  <c r="B7170" i="1"/>
  <c r="C7169" i="1"/>
  <c r="B7169" i="1"/>
  <c r="C7168" i="1"/>
  <c r="B7168" i="1"/>
  <c r="C7167" i="1"/>
  <c r="B7167" i="1"/>
  <c r="C7166" i="1"/>
  <c r="B7166" i="1"/>
  <c r="C7165" i="1"/>
  <c r="B7165" i="1"/>
  <c r="C7164" i="1"/>
  <c r="B7164" i="1"/>
  <c r="C7163" i="1"/>
  <c r="B7163" i="1"/>
  <c r="C7162" i="1"/>
  <c r="B7162" i="1"/>
  <c r="C7161" i="1"/>
  <c r="B7161" i="1"/>
  <c r="C7160" i="1"/>
  <c r="B7160" i="1"/>
  <c r="C7159" i="1"/>
  <c r="B7159" i="1"/>
  <c r="C7158" i="1"/>
  <c r="B7158" i="1"/>
  <c r="C7157" i="1"/>
  <c r="B7157" i="1"/>
  <c r="C7156" i="1"/>
  <c r="B7156" i="1"/>
  <c r="C7155" i="1"/>
  <c r="B7155" i="1"/>
  <c r="C7154" i="1"/>
  <c r="B7154" i="1"/>
  <c r="C7153" i="1"/>
  <c r="B7153" i="1"/>
  <c r="C7152" i="1"/>
  <c r="B7152" i="1"/>
  <c r="C7151" i="1"/>
  <c r="B7151" i="1"/>
  <c r="C7150" i="1"/>
  <c r="B7150" i="1"/>
  <c r="C7149" i="1"/>
  <c r="B7149" i="1"/>
  <c r="C7148" i="1"/>
  <c r="B7148" i="1"/>
  <c r="C7147" i="1"/>
  <c r="B7147" i="1"/>
  <c r="C7146" i="1"/>
  <c r="B7146" i="1"/>
  <c r="C7145" i="1"/>
  <c r="B7145" i="1"/>
  <c r="C7144" i="1"/>
  <c r="B7144" i="1"/>
  <c r="C7143" i="1"/>
  <c r="B7143" i="1"/>
  <c r="C7142" i="1"/>
  <c r="B7142" i="1"/>
  <c r="C7141" i="1"/>
  <c r="B7141" i="1"/>
  <c r="C7140" i="1"/>
  <c r="B7140" i="1"/>
  <c r="C7139" i="1"/>
  <c r="B7139" i="1"/>
  <c r="C7138" i="1"/>
  <c r="B7138" i="1"/>
  <c r="C7137" i="1"/>
  <c r="B7137" i="1"/>
  <c r="C7136" i="1"/>
  <c r="B7136" i="1"/>
  <c r="C7135" i="1"/>
  <c r="B7135" i="1"/>
  <c r="C7134" i="1"/>
  <c r="B7134" i="1"/>
  <c r="C7133" i="1"/>
  <c r="B7133" i="1"/>
  <c r="C7132" i="1"/>
  <c r="B7132" i="1"/>
  <c r="C7131" i="1"/>
  <c r="B7131" i="1"/>
  <c r="C7130" i="1"/>
  <c r="B7130" i="1"/>
  <c r="C7129" i="1"/>
  <c r="B7129" i="1"/>
  <c r="C7128" i="1"/>
  <c r="B7128" i="1"/>
  <c r="C7127" i="1"/>
  <c r="B7127" i="1"/>
  <c r="C7126" i="1"/>
  <c r="B7126" i="1"/>
  <c r="C7125" i="1"/>
  <c r="B7125" i="1"/>
  <c r="C7124" i="1"/>
  <c r="B7124" i="1"/>
  <c r="C7123" i="1"/>
  <c r="B7123" i="1"/>
  <c r="C7122" i="1"/>
  <c r="B7122" i="1"/>
  <c r="C7121" i="1"/>
  <c r="B7121" i="1"/>
  <c r="C7120" i="1"/>
  <c r="B7120" i="1"/>
  <c r="C7119" i="1"/>
  <c r="B7119" i="1"/>
  <c r="C7118" i="1"/>
  <c r="B7118" i="1"/>
  <c r="C7117" i="1"/>
  <c r="B7117" i="1"/>
  <c r="C7116" i="1"/>
  <c r="B7116" i="1"/>
  <c r="C7115" i="1"/>
  <c r="B7115" i="1"/>
  <c r="C7114" i="1"/>
  <c r="B7114" i="1"/>
  <c r="C7113" i="1"/>
  <c r="B7113" i="1"/>
  <c r="C7112" i="1"/>
  <c r="B7112" i="1"/>
  <c r="C7111" i="1"/>
  <c r="B7111" i="1"/>
  <c r="C7110" i="1"/>
  <c r="B7110" i="1"/>
  <c r="C7109" i="1"/>
  <c r="B7109" i="1"/>
  <c r="C7108" i="1"/>
  <c r="B7108" i="1"/>
  <c r="C7107" i="1"/>
  <c r="B7107" i="1"/>
  <c r="C7106" i="1"/>
  <c r="B7106" i="1"/>
  <c r="C7105" i="1"/>
  <c r="B7105" i="1"/>
  <c r="C7104" i="1"/>
  <c r="B7104" i="1"/>
  <c r="C7103" i="1"/>
  <c r="B7103" i="1"/>
  <c r="C7102" i="1"/>
  <c r="B7102" i="1"/>
  <c r="C7101" i="1"/>
  <c r="B7101" i="1"/>
  <c r="C7100" i="1"/>
  <c r="B7100" i="1"/>
  <c r="C7099" i="1"/>
  <c r="B7099" i="1"/>
  <c r="C7098" i="1"/>
  <c r="B7098" i="1"/>
  <c r="C7097" i="1"/>
  <c r="B7097" i="1"/>
  <c r="C7096" i="1"/>
  <c r="B7096" i="1"/>
  <c r="C7095" i="1"/>
  <c r="B7095" i="1"/>
  <c r="C7094" i="1"/>
  <c r="B7094" i="1"/>
  <c r="C7093" i="1"/>
  <c r="B7093" i="1"/>
  <c r="C7092" i="1"/>
  <c r="B7092" i="1"/>
  <c r="C7091" i="1"/>
  <c r="B7091" i="1"/>
  <c r="C7090" i="1"/>
  <c r="B7090" i="1"/>
  <c r="C7089" i="1"/>
  <c r="B7089" i="1"/>
  <c r="C7088" i="1"/>
  <c r="B7088" i="1"/>
  <c r="C7087" i="1"/>
  <c r="B7087" i="1"/>
  <c r="C7086" i="1"/>
  <c r="B7086" i="1"/>
  <c r="C7085" i="1"/>
  <c r="B7085" i="1"/>
  <c r="C7084" i="1"/>
  <c r="B7084" i="1"/>
  <c r="C7083" i="1"/>
  <c r="B7083" i="1"/>
  <c r="C7082" i="1"/>
  <c r="B7082" i="1"/>
  <c r="C7081" i="1"/>
  <c r="B7081" i="1"/>
  <c r="C7080" i="1"/>
  <c r="B7080" i="1"/>
  <c r="C7079" i="1"/>
  <c r="B7079" i="1"/>
  <c r="C7078" i="1"/>
  <c r="B7078" i="1"/>
  <c r="C7077" i="1"/>
  <c r="B7077" i="1"/>
  <c r="C7076" i="1"/>
  <c r="B7076" i="1"/>
  <c r="C7075" i="1"/>
  <c r="B7075" i="1"/>
  <c r="C7074" i="1"/>
  <c r="B7074" i="1"/>
  <c r="C7073" i="1"/>
  <c r="B7073" i="1"/>
  <c r="C7072" i="1"/>
  <c r="B7072" i="1"/>
  <c r="C7071" i="1"/>
  <c r="B7071" i="1"/>
  <c r="C7070" i="1"/>
  <c r="B7070" i="1"/>
  <c r="C7069" i="1"/>
  <c r="B7069" i="1"/>
  <c r="C7068" i="1"/>
  <c r="B7068" i="1"/>
  <c r="C7067" i="1"/>
  <c r="B7067" i="1"/>
  <c r="C7066" i="1"/>
  <c r="B7066" i="1"/>
  <c r="C7065" i="1"/>
  <c r="B7065" i="1"/>
  <c r="C7064" i="1"/>
  <c r="B7064" i="1"/>
  <c r="C7063" i="1"/>
  <c r="B7063" i="1"/>
  <c r="C7062" i="1"/>
  <c r="B7062" i="1"/>
  <c r="C7061" i="1"/>
  <c r="B7061" i="1"/>
  <c r="C7060" i="1"/>
  <c r="B7060" i="1"/>
  <c r="C7059" i="1"/>
  <c r="B7059" i="1"/>
  <c r="C7058" i="1"/>
  <c r="B7058" i="1"/>
  <c r="C7057" i="1"/>
  <c r="B7057" i="1"/>
  <c r="C7056" i="1"/>
  <c r="B7056" i="1"/>
  <c r="C7055" i="1"/>
  <c r="B7055" i="1"/>
  <c r="C7054" i="1"/>
  <c r="B7054" i="1"/>
  <c r="C7053" i="1"/>
  <c r="B7053" i="1"/>
  <c r="C7052" i="1"/>
  <c r="B7052" i="1"/>
  <c r="C7051" i="1"/>
  <c r="B7051" i="1"/>
  <c r="C7050" i="1"/>
  <c r="B7050" i="1"/>
  <c r="C7049" i="1"/>
  <c r="B7049" i="1"/>
  <c r="C7048" i="1"/>
  <c r="B7048" i="1"/>
  <c r="C7047" i="1"/>
  <c r="B7047" i="1"/>
  <c r="C7046" i="1"/>
  <c r="B7046" i="1"/>
  <c r="C7045" i="1"/>
  <c r="B7045" i="1"/>
  <c r="C7044" i="1"/>
  <c r="B7044" i="1"/>
  <c r="C7043" i="1"/>
  <c r="B7043" i="1"/>
  <c r="C7042" i="1"/>
  <c r="B7042" i="1"/>
  <c r="C7041" i="1"/>
  <c r="B7041" i="1"/>
  <c r="C7040" i="1"/>
  <c r="B7040" i="1"/>
  <c r="C7039" i="1"/>
  <c r="B7039" i="1"/>
  <c r="C7038" i="1"/>
  <c r="B7038" i="1"/>
  <c r="C7037" i="1"/>
  <c r="B7037" i="1"/>
  <c r="C7036" i="1"/>
  <c r="B7036" i="1"/>
  <c r="C7035" i="1"/>
  <c r="B7035" i="1"/>
  <c r="C7034" i="1"/>
  <c r="B7034" i="1"/>
  <c r="C7033" i="1"/>
  <c r="B7033" i="1"/>
  <c r="C7032" i="1"/>
  <c r="B7032" i="1"/>
  <c r="C7031" i="1"/>
  <c r="B7031" i="1"/>
  <c r="C7030" i="1"/>
  <c r="B7030" i="1"/>
  <c r="C7029" i="1"/>
  <c r="B7029" i="1"/>
  <c r="C7028" i="1"/>
  <c r="B7028" i="1"/>
  <c r="C7027" i="1"/>
  <c r="B7027" i="1"/>
  <c r="C7026" i="1"/>
  <c r="B7026" i="1"/>
  <c r="C7025" i="1"/>
  <c r="B7025" i="1"/>
  <c r="C7024" i="1"/>
  <c r="B7024" i="1"/>
  <c r="C7023" i="1"/>
  <c r="B7023" i="1"/>
  <c r="C7022" i="1"/>
  <c r="B7022" i="1"/>
  <c r="C7021" i="1"/>
  <c r="B7021" i="1"/>
  <c r="C7020" i="1"/>
  <c r="B7020" i="1"/>
  <c r="C7019" i="1"/>
  <c r="B7019" i="1"/>
  <c r="C7018" i="1"/>
  <c r="B7018" i="1"/>
  <c r="C7017" i="1"/>
  <c r="B7017" i="1"/>
  <c r="C7016" i="1"/>
  <c r="B7016" i="1"/>
  <c r="C7015" i="1"/>
  <c r="B7015" i="1"/>
  <c r="C7014" i="1"/>
  <c r="B7014" i="1"/>
  <c r="C7013" i="1"/>
  <c r="B7013" i="1"/>
  <c r="C7012" i="1"/>
  <c r="B7012" i="1"/>
  <c r="C7011" i="1"/>
  <c r="B7011" i="1"/>
  <c r="C7010" i="1"/>
  <c r="B7010" i="1"/>
  <c r="C7009" i="1"/>
  <c r="B7009" i="1"/>
  <c r="C7008" i="1"/>
  <c r="B7008" i="1"/>
  <c r="C7007" i="1"/>
  <c r="B7007" i="1"/>
  <c r="C7006" i="1"/>
  <c r="B7006" i="1"/>
  <c r="C7005" i="1"/>
  <c r="B7005" i="1"/>
  <c r="C7004" i="1"/>
  <c r="B7004" i="1"/>
  <c r="C7003" i="1"/>
  <c r="B7003" i="1"/>
  <c r="C7002" i="1"/>
  <c r="B7002" i="1"/>
  <c r="C7001" i="1"/>
  <c r="B7001" i="1"/>
  <c r="C7000" i="1"/>
  <c r="B7000" i="1"/>
  <c r="C6999" i="1"/>
  <c r="B6999" i="1"/>
  <c r="C6998" i="1"/>
  <c r="B6998" i="1"/>
  <c r="C6997" i="1"/>
  <c r="B6997" i="1"/>
  <c r="C6996" i="1"/>
  <c r="B6996" i="1"/>
  <c r="C6995" i="1"/>
  <c r="B6995" i="1"/>
  <c r="C6994" i="1"/>
  <c r="B6994" i="1"/>
  <c r="C6993" i="1"/>
  <c r="B6993" i="1"/>
  <c r="C6992" i="1"/>
  <c r="B6992" i="1"/>
  <c r="C6991" i="1"/>
  <c r="B6991" i="1"/>
  <c r="C6990" i="1"/>
  <c r="B6990" i="1"/>
  <c r="C6989" i="1"/>
  <c r="B6989" i="1"/>
  <c r="C6988" i="1"/>
  <c r="B6988" i="1"/>
  <c r="C6987" i="1"/>
  <c r="B6987" i="1"/>
  <c r="C6986" i="1"/>
  <c r="B6986" i="1"/>
  <c r="C6985" i="1"/>
  <c r="B6985" i="1"/>
  <c r="C6984" i="1"/>
  <c r="B6984" i="1"/>
  <c r="C6983" i="1"/>
  <c r="B6983" i="1"/>
  <c r="C6982" i="1"/>
  <c r="B6982" i="1"/>
  <c r="C6981" i="1"/>
  <c r="B6981" i="1"/>
  <c r="C6980" i="1"/>
  <c r="B6980" i="1"/>
  <c r="C6979" i="1"/>
  <c r="B6979" i="1"/>
  <c r="C6978" i="1"/>
  <c r="B6978" i="1"/>
  <c r="C6977" i="1"/>
  <c r="B6977" i="1"/>
  <c r="C6976" i="1"/>
  <c r="B6976" i="1"/>
  <c r="C6975" i="1"/>
  <c r="B6975" i="1"/>
  <c r="C6974" i="1"/>
  <c r="B6974" i="1"/>
  <c r="C6973" i="1"/>
  <c r="B6973" i="1"/>
  <c r="C6972" i="1"/>
  <c r="B6972" i="1"/>
  <c r="C6971" i="1"/>
  <c r="B6971" i="1"/>
  <c r="C6970" i="1"/>
  <c r="B6970" i="1"/>
  <c r="C6969" i="1"/>
  <c r="B6969" i="1"/>
  <c r="C6968" i="1"/>
  <c r="B6968" i="1"/>
  <c r="C6967" i="1"/>
  <c r="B6967" i="1"/>
  <c r="C6966" i="1"/>
  <c r="B6966" i="1"/>
  <c r="C6965" i="1"/>
  <c r="B6965" i="1"/>
  <c r="C6964" i="1"/>
  <c r="B6964" i="1"/>
  <c r="C6963" i="1"/>
  <c r="B6963" i="1"/>
  <c r="C6962" i="1"/>
  <c r="B6962" i="1"/>
  <c r="C6961" i="1"/>
  <c r="B6961" i="1"/>
  <c r="C6960" i="1"/>
  <c r="B6960" i="1"/>
  <c r="C6959" i="1"/>
  <c r="B6959" i="1"/>
  <c r="C6958" i="1"/>
  <c r="B6958" i="1"/>
  <c r="C6957" i="1"/>
  <c r="B6957" i="1"/>
  <c r="C6956" i="1"/>
  <c r="B6956" i="1"/>
  <c r="C6955" i="1"/>
  <c r="B6955" i="1"/>
  <c r="C6954" i="1"/>
  <c r="B6954" i="1"/>
  <c r="C6953" i="1"/>
  <c r="B6953" i="1"/>
  <c r="C6952" i="1"/>
  <c r="B6952" i="1"/>
  <c r="C6951" i="1"/>
  <c r="B6951" i="1"/>
  <c r="C6950" i="1"/>
  <c r="B6950" i="1"/>
  <c r="C6949" i="1"/>
  <c r="B6949" i="1"/>
  <c r="C6948" i="1"/>
  <c r="B6948" i="1"/>
  <c r="C6947" i="1"/>
  <c r="B6947" i="1"/>
  <c r="C6946" i="1"/>
  <c r="B6946" i="1"/>
  <c r="C6945" i="1"/>
  <c r="B6945" i="1"/>
  <c r="C6944" i="1"/>
  <c r="B6944" i="1"/>
  <c r="C6943" i="1"/>
  <c r="B6943" i="1"/>
  <c r="C6942" i="1"/>
  <c r="B6942" i="1"/>
  <c r="C6941" i="1"/>
  <c r="B6941" i="1"/>
  <c r="C6940" i="1"/>
  <c r="B6940" i="1"/>
  <c r="C6939" i="1"/>
  <c r="B6939" i="1"/>
  <c r="C6938" i="1"/>
  <c r="B6938" i="1"/>
  <c r="C6937" i="1"/>
  <c r="B6937" i="1"/>
  <c r="C6936" i="1"/>
  <c r="B6936" i="1"/>
  <c r="C6935" i="1"/>
  <c r="B6935" i="1"/>
  <c r="C6934" i="1"/>
  <c r="B6934" i="1"/>
  <c r="C6933" i="1"/>
  <c r="B6933" i="1"/>
  <c r="C6932" i="1"/>
  <c r="B6932" i="1"/>
  <c r="C6931" i="1"/>
  <c r="B6931" i="1"/>
  <c r="C6930" i="1"/>
  <c r="B6930" i="1"/>
  <c r="C6929" i="1"/>
  <c r="B6929" i="1"/>
  <c r="C6928" i="1"/>
  <c r="B6928" i="1"/>
  <c r="C6927" i="1"/>
  <c r="B6927" i="1"/>
  <c r="C6926" i="1"/>
  <c r="B6926" i="1"/>
  <c r="C6925" i="1"/>
  <c r="B6925" i="1"/>
  <c r="C6924" i="1"/>
  <c r="B6924" i="1"/>
  <c r="C6923" i="1"/>
  <c r="B6923" i="1"/>
  <c r="C6922" i="1"/>
  <c r="B6922" i="1"/>
  <c r="C6921" i="1"/>
  <c r="B6921" i="1"/>
  <c r="C6920" i="1"/>
  <c r="B6920" i="1"/>
  <c r="C6919" i="1"/>
  <c r="B6919" i="1"/>
  <c r="C6918" i="1"/>
  <c r="B6918" i="1"/>
  <c r="C6917" i="1"/>
  <c r="B6917" i="1"/>
  <c r="C6916" i="1"/>
  <c r="B6916" i="1"/>
  <c r="C6915" i="1"/>
  <c r="B6915" i="1"/>
  <c r="C6914" i="1"/>
  <c r="B6914" i="1"/>
  <c r="C6913" i="1"/>
  <c r="B6913" i="1"/>
  <c r="C6912" i="1"/>
  <c r="B6912" i="1"/>
  <c r="C6911" i="1"/>
  <c r="B6911" i="1"/>
  <c r="C6910" i="1"/>
  <c r="B6910" i="1"/>
  <c r="C6909" i="1"/>
  <c r="B6909" i="1"/>
  <c r="C6908" i="1"/>
  <c r="B6908" i="1"/>
  <c r="C6907" i="1"/>
  <c r="B6907" i="1"/>
  <c r="C6906" i="1"/>
  <c r="B6906" i="1"/>
  <c r="C6905" i="1"/>
  <c r="B6905" i="1"/>
  <c r="C6904" i="1"/>
  <c r="B6904" i="1"/>
  <c r="C6903" i="1"/>
  <c r="B6903" i="1"/>
  <c r="C6902" i="1"/>
  <c r="B6902" i="1"/>
  <c r="C6901" i="1"/>
  <c r="B6901" i="1"/>
  <c r="C6900" i="1"/>
  <c r="B6900" i="1"/>
  <c r="C6899" i="1"/>
  <c r="B6899" i="1"/>
  <c r="C6898" i="1"/>
  <c r="B6898" i="1"/>
  <c r="C6897" i="1"/>
  <c r="B6897" i="1"/>
  <c r="C6896" i="1"/>
  <c r="B6896" i="1"/>
  <c r="C6895" i="1"/>
  <c r="B6895" i="1"/>
  <c r="C6894" i="1"/>
  <c r="B6894" i="1"/>
  <c r="C6893" i="1"/>
  <c r="B6893" i="1"/>
  <c r="C6892" i="1"/>
  <c r="B6892" i="1"/>
  <c r="C6891" i="1"/>
  <c r="B6891" i="1"/>
  <c r="C6890" i="1"/>
  <c r="B6890" i="1"/>
  <c r="C6889" i="1"/>
  <c r="B6889" i="1"/>
  <c r="C6888" i="1"/>
  <c r="B6888" i="1"/>
  <c r="C6887" i="1"/>
  <c r="B6887" i="1"/>
  <c r="C6886" i="1"/>
  <c r="B6886" i="1"/>
  <c r="C6885" i="1"/>
  <c r="B6885" i="1"/>
  <c r="C6884" i="1"/>
  <c r="B6884" i="1"/>
  <c r="C6883" i="1"/>
  <c r="B6883" i="1"/>
  <c r="C6882" i="1"/>
  <c r="B6882" i="1"/>
  <c r="C6881" i="1"/>
  <c r="B6881" i="1"/>
  <c r="C6880" i="1"/>
  <c r="B6880" i="1"/>
  <c r="C6879" i="1"/>
  <c r="B6879" i="1"/>
  <c r="C6878" i="1"/>
  <c r="B6878" i="1"/>
  <c r="C6877" i="1"/>
  <c r="B6877" i="1"/>
  <c r="C6876" i="1"/>
  <c r="B6876" i="1"/>
  <c r="C6875" i="1"/>
  <c r="B6875" i="1"/>
  <c r="C6874" i="1"/>
  <c r="B6874" i="1"/>
  <c r="C6873" i="1"/>
  <c r="B6873" i="1"/>
  <c r="C6872" i="1"/>
  <c r="B6872" i="1"/>
  <c r="C6871" i="1"/>
  <c r="B6871" i="1"/>
  <c r="C6870" i="1"/>
  <c r="B6870" i="1"/>
  <c r="C6869" i="1"/>
  <c r="B6869" i="1"/>
  <c r="C6868" i="1"/>
  <c r="B6868" i="1"/>
  <c r="C6867" i="1"/>
  <c r="B6867" i="1"/>
  <c r="C6866" i="1"/>
  <c r="B6866" i="1"/>
  <c r="C6865" i="1"/>
  <c r="B6865" i="1"/>
  <c r="C6864" i="1"/>
  <c r="B6864" i="1"/>
  <c r="C6863" i="1"/>
  <c r="B6863" i="1"/>
  <c r="C6862" i="1"/>
  <c r="B6862" i="1"/>
  <c r="C6861" i="1"/>
  <c r="B6861" i="1"/>
  <c r="C6860" i="1"/>
  <c r="B6860" i="1"/>
  <c r="C6859" i="1"/>
  <c r="B6859" i="1"/>
  <c r="C6858" i="1"/>
  <c r="B6858" i="1"/>
  <c r="C6857" i="1"/>
  <c r="B6857" i="1"/>
  <c r="C6856" i="1"/>
  <c r="B6856" i="1"/>
  <c r="C6855" i="1"/>
  <c r="B6855" i="1"/>
  <c r="C6854" i="1"/>
  <c r="B6854" i="1"/>
  <c r="C6853" i="1"/>
  <c r="B6853" i="1"/>
  <c r="C6852" i="1"/>
  <c r="B6852" i="1"/>
  <c r="C6851" i="1"/>
  <c r="B6851" i="1"/>
  <c r="C6850" i="1"/>
  <c r="B6850" i="1"/>
  <c r="C6849" i="1"/>
  <c r="B6849" i="1"/>
  <c r="C6848" i="1"/>
  <c r="B6848" i="1"/>
  <c r="C6847" i="1"/>
  <c r="B6847" i="1"/>
  <c r="C6846" i="1"/>
  <c r="B6846" i="1"/>
  <c r="C6845" i="1"/>
  <c r="B6845" i="1"/>
  <c r="C6844" i="1"/>
  <c r="B6844" i="1"/>
  <c r="C6843" i="1"/>
  <c r="B6843" i="1"/>
  <c r="C6842" i="1"/>
  <c r="B6842" i="1"/>
  <c r="C6841" i="1"/>
  <c r="B6841" i="1"/>
  <c r="C6840" i="1"/>
  <c r="B6840" i="1"/>
  <c r="C6839" i="1"/>
  <c r="B6839" i="1"/>
  <c r="C6838" i="1"/>
  <c r="B6838" i="1"/>
  <c r="C6837" i="1"/>
  <c r="B6837" i="1"/>
  <c r="C6836" i="1"/>
  <c r="B6836" i="1"/>
  <c r="C6835" i="1"/>
  <c r="B6835" i="1"/>
  <c r="C6834" i="1"/>
  <c r="B6834" i="1"/>
  <c r="C6833" i="1"/>
  <c r="B6833" i="1"/>
  <c r="C6832" i="1"/>
  <c r="B6832" i="1"/>
  <c r="C6831" i="1"/>
  <c r="B6831" i="1"/>
  <c r="C6830" i="1"/>
  <c r="B6830" i="1"/>
  <c r="C6829" i="1"/>
  <c r="B6829" i="1"/>
  <c r="C6828" i="1"/>
  <c r="B6828" i="1"/>
  <c r="C6827" i="1"/>
  <c r="B6827" i="1"/>
  <c r="C6826" i="1"/>
  <c r="B6826" i="1"/>
  <c r="C6825" i="1"/>
  <c r="B6825" i="1"/>
  <c r="C6824" i="1"/>
  <c r="B6824" i="1"/>
  <c r="C6823" i="1"/>
  <c r="B6823" i="1"/>
  <c r="C6822" i="1"/>
  <c r="B6822" i="1"/>
  <c r="C6821" i="1"/>
  <c r="B6821" i="1"/>
  <c r="C6820" i="1"/>
  <c r="B6820" i="1"/>
  <c r="C6819" i="1"/>
  <c r="B6819" i="1"/>
  <c r="C6818" i="1"/>
  <c r="B6818" i="1"/>
  <c r="C6817" i="1"/>
  <c r="B6817" i="1"/>
  <c r="C6816" i="1"/>
  <c r="B6816" i="1"/>
  <c r="C6815" i="1"/>
  <c r="B6815" i="1"/>
  <c r="C6814" i="1"/>
  <c r="B6814" i="1"/>
  <c r="C6813" i="1"/>
  <c r="B6813" i="1"/>
  <c r="C6812" i="1"/>
  <c r="B6812" i="1"/>
  <c r="C6811" i="1"/>
  <c r="B6811" i="1"/>
  <c r="C6810" i="1"/>
  <c r="B6810" i="1"/>
  <c r="C6809" i="1"/>
  <c r="B6809" i="1"/>
  <c r="C6808" i="1"/>
  <c r="B6808" i="1"/>
  <c r="C6807" i="1"/>
  <c r="B6807" i="1"/>
  <c r="C6806" i="1"/>
  <c r="B6806" i="1"/>
  <c r="C6805" i="1"/>
  <c r="B6805" i="1"/>
  <c r="C6804" i="1"/>
  <c r="B6804" i="1"/>
  <c r="C6803" i="1"/>
  <c r="B6803" i="1"/>
  <c r="C6802" i="1"/>
  <c r="B6802" i="1"/>
  <c r="C6801" i="1"/>
  <c r="B6801" i="1"/>
  <c r="C6800" i="1"/>
  <c r="B6800" i="1"/>
  <c r="C6799" i="1"/>
  <c r="B6799" i="1"/>
  <c r="C6798" i="1"/>
  <c r="B6798" i="1"/>
  <c r="C6797" i="1"/>
  <c r="B6797" i="1"/>
  <c r="C6796" i="1"/>
  <c r="B6796" i="1"/>
  <c r="C6795" i="1"/>
  <c r="B6795" i="1"/>
  <c r="C6794" i="1"/>
  <c r="B6794" i="1"/>
  <c r="C6793" i="1"/>
  <c r="B6793" i="1"/>
  <c r="C6792" i="1"/>
  <c r="B6792" i="1"/>
  <c r="C6791" i="1"/>
  <c r="B6791" i="1"/>
  <c r="C6790" i="1"/>
  <c r="B6790" i="1"/>
  <c r="C6789" i="1"/>
  <c r="B6789" i="1"/>
  <c r="C6788" i="1"/>
  <c r="B6788" i="1"/>
  <c r="C6787" i="1"/>
  <c r="B6787" i="1"/>
  <c r="C6786" i="1"/>
  <c r="B6786" i="1"/>
  <c r="C6785" i="1"/>
  <c r="B6785" i="1"/>
  <c r="C6784" i="1"/>
  <c r="B6784" i="1"/>
  <c r="C6783" i="1"/>
  <c r="B6783" i="1"/>
  <c r="C6782" i="1"/>
  <c r="B6782" i="1"/>
  <c r="C6781" i="1"/>
  <c r="B6781" i="1"/>
  <c r="C6780" i="1"/>
  <c r="B6780" i="1"/>
  <c r="C6779" i="1"/>
  <c r="B6779" i="1"/>
  <c r="C6778" i="1"/>
  <c r="B6778" i="1"/>
  <c r="C6777" i="1"/>
  <c r="B6777" i="1"/>
  <c r="C6776" i="1"/>
  <c r="B6776" i="1"/>
  <c r="C6775" i="1"/>
  <c r="B6775" i="1"/>
  <c r="C6774" i="1"/>
  <c r="B6774" i="1"/>
  <c r="C6773" i="1"/>
  <c r="B6773" i="1"/>
  <c r="C6772" i="1"/>
  <c r="B6772" i="1"/>
  <c r="C6771" i="1"/>
  <c r="B6771" i="1"/>
  <c r="C6770" i="1"/>
  <c r="B6770" i="1"/>
  <c r="C6769" i="1"/>
  <c r="B6769" i="1"/>
  <c r="C6768" i="1"/>
  <c r="B6768" i="1"/>
  <c r="C6767" i="1"/>
  <c r="B6767" i="1"/>
  <c r="C6766" i="1"/>
  <c r="B6766" i="1"/>
  <c r="C6765" i="1"/>
  <c r="B6765" i="1"/>
  <c r="C6764" i="1"/>
  <c r="B6764" i="1"/>
  <c r="C6763" i="1"/>
  <c r="B6763" i="1"/>
  <c r="C6762" i="1"/>
  <c r="B6762" i="1"/>
  <c r="C6761" i="1"/>
  <c r="B6761" i="1"/>
  <c r="C6760" i="1"/>
  <c r="B6760" i="1"/>
  <c r="C6759" i="1"/>
  <c r="B6759" i="1"/>
  <c r="C6758" i="1"/>
  <c r="B6758" i="1"/>
  <c r="C6757" i="1"/>
  <c r="B6757" i="1"/>
  <c r="C6756" i="1"/>
  <c r="B6756" i="1"/>
  <c r="C6755" i="1"/>
  <c r="B6755" i="1"/>
  <c r="C6754" i="1"/>
  <c r="B6754" i="1"/>
  <c r="C6753" i="1"/>
  <c r="B6753" i="1"/>
  <c r="C6752" i="1"/>
  <c r="B6752" i="1"/>
  <c r="C6751" i="1"/>
  <c r="B6751" i="1"/>
  <c r="C6750" i="1"/>
  <c r="B6750" i="1"/>
  <c r="C6749" i="1"/>
  <c r="B6749" i="1"/>
  <c r="C6748" i="1"/>
  <c r="B6748" i="1"/>
  <c r="C6747" i="1"/>
  <c r="B6747" i="1"/>
  <c r="C6746" i="1"/>
  <c r="B6746" i="1"/>
  <c r="C6745" i="1"/>
  <c r="B6745" i="1"/>
  <c r="C6744" i="1"/>
  <c r="B6744" i="1"/>
  <c r="C6743" i="1"/>
  <c r="B6743" i="1"/>
  <c r="C6742" i="1"/>
  <c r="B6742" i="1"/>
  <c r="C6741" i="1"/>
  <c r="B6741" i="1"/>
  <c r="C6740" i="1"/>
  <c r="B6740" i="1"/>
  <c r="C6739" i="1"/>
  <c r="B6739" i="1"/>
  <c r="C6738" i="1"/>
  <c r="B6738" i="1"/>
  <c r="C6737" i="1"/>
  <c r="B6737" i="1"/>
  <c r="C6736" i="1"/>
  <c r="B6736" i="1"/>
  <c r="C6735" i="1"/>
  <c r="B6735" i="1"/>
  <c r="C6734" i="1"/>
  <c r="B6734" i="1"/>
  <c r="C6733" i="1"/>
  <c r="B6733" i="1"/>
  <c r="C6732" i="1"/>
  <c r="B6732" i="1"/>
  <c r="C6731" i="1"/>
  <c r="B6731" i="1"/>
  <c r="C6730" i="1"/>
  <c r="B6730" i="1"/>
  <c r="C6729" i="1"/>
  <c r="B6729" i="1"/>
  <c r="C6728" i="1"/>
  <c r="B6728" i="1"/>
  <c r="C6727" i="1"/>
  <c r="B6727" i="1"/>
  <c r="C6726" i="1"/>
  <c r="B6726" i="1"/>
  <c r="C6725" i="1"/>
  <c r="B6725" i="1"/>
  <c r="C6724" i="1"/>
  <c r="B6724" i="1"/>
  <c r="C6723" i="1"/>
  <c r="B6723" i="1"/>
  <c r="C6722" i="1"/>
  <c r="B6722" i="1"/>
  <c r="C6721" i="1"/>
  <c r="B6721" i="1"/>
  <c r="C6720" i="1"/>
  <c r="B6720" i="1"/>
  <c r="C6719" i="1"/>
  <c r="B6719" i="1"/>
  <c r="C6718" i="1"/>
  <c r="B6718" i="1"/>
  <c r="C6717" i="1"/>
  <c r="B6717" i="1"/>
  <c r="C6716" i="1"/>
  <c r="B6716" i="1"/>
  <c r="C6715" i="1"/>
  <c r="B6715" i="1"/>
  <c r="C6714" i="1"/>
  <c r="B6714" i="1"/>
  <c r="C6713" i="1"/>
  <c r="B6713" i="1"/>
  <c r="C6712" i="1"/>
  <c r="B6712" i="1"/>
  <c r="C6711" i="1"/>
  <c r="B6711" i="1"/>
  <c r="C6710" i="1"/>
  <c r="B6710" i="1"/>
  <c r="C6709" i="1"/>
  <c r="B6709" i="1"/>
  <c r="C6708" i="1"/>
  <c r="B6708" i="1"/>
  <c r="C6707" i="1"/>
  <c r="B6707" i="1"/>
  <c r="C6706" i="1"/>
  <c r="B6706" i="1"/>
  <c r="C6705" i="1"/>
  <c r="B6705" i="1"/>
  <c r="C6704" i="1"/>
  <c r="B6704" i="1"/>
  <c r="C6703" i="1"/>
  <c r="B6703" i="1"/>
  <c r="C6702" i="1"/>
  <c r="B6702" i="1"/>
  <c r="C6701" i="1"/>
  <c r="B6701" i="1"/>
  <c r="C6700" i="1"/>
  <c r="B6700" i="1"/>
  <c r="C6699" i="1"/>
  <c r="B6699" i="1"/>
  <c r="C6698" i="1"/>
  <c r="B6698" i="1"/>
  <c r="C6697" i="1"/>
  <c r="B6697" i="1"/>
  <c r="C6696" i="1"/>
  <c r="B6696" i="1"/>
  <c r="C6695" i="1"/>
  <c r="B6695" i="1"/>
  <c r="C6694" i="1"/>
  <c r="B6694" i="1"/>
  <c r="C6693" i="1"/>
  <c r="B6693" i="1"/>
  <c r="C6692" i="1"/>
  <c r="B6692" i="1"/>
  <c r="C6691" i="1"/>
  <c r="B6691" i="1"/>
  <c r="C6690" i="1"/>
  <c r="B6690" i="1"/>
  <c r="C6689" i="1"/>
  <c r="B6689" i="1"/>
  <c r="C6688" i="1"/>
  <c r="B6688" i="1"/>
  <c r="C6687" i="1"/>
  <c r="B6687" i="1"/>
  <c r="C6686" i="1"/>
  <c r="B6686" i="1"/>
  <c r="C6685" i="1"/>
  <c r="B6685" i="1"/>
  <c r="C6684" i="1"/>
  <c r="B6684" i="1"/>
  <c r="C6683" i="1"/>
  <c r="B6683" i="1"/>
  <c r="C6682" i="1"/>
  <c r="B6682" i="1"/>
  <c r="C6681" i="1"/>
  <c r="B6681" i="1"/>
  <c r="C6680" i="1"/>
  <c r="B6680" i="1"/>
  <c r="C6679" i="1"/>
  <c r="B6679" i="1"/>
  <c r="C6678" i="1"/>
  <c r="B6678" i="1"/>
  <c r="C6677" i="1"/>
  <c r="B6677" i="1"/>
  <c r="C6676" i="1"/>
  <c r="B6676" i="1"/>
  <c r="C6675" i="1"/>
  <c r="B6675" i="1"/>
  <c r="C6674" i="1"/>
  <c r="B6674" i="1"/>
  <c r="C6673" i="1"/>
  <c r="B6673" i="1"/>
  <c r="C6672" i="1"/>
  <c r="B6672" i="1"/>
  <c r="C6671" i="1"/>
  <c r="B6671" i="1"/>
  <c r="C6670" i="1"/>
  <c r="B6670" i="1"/>
  <c r="C6669" i="1"/>
  <c r="B6669" i="1"/>
  <c r="C6668" i="1"/>
  <c r="B6668" i="1"/>
  <c r="C6667" i="1"/>
  <c r="B6667" i="1"/>
  <c r="C6666" i="1"/>
  <c r="B6666" i="1"/>
  <c r="C6665" i="1"/>
  <c r="B6665" i="1"/>
  <c r="C6664" i="1"/>
  <c r="B6664" i="1"/>
  <c r="C6663" i="1"/>
  <c r="B6663" i="1"/>
  <c r="C6662" i="1"/>
  <c r="B6662" i="1"/>
  <c r="C6661" i="1"/>
  <c r="B6661" i="1"/>
  <c r="C6660" i="1"/>
  <c r="B6660" i="1"/>
  <c r="C6659" i="1"/>
  <c r="B6659" i="1"/>
  <c r="C6658" i="1"/>
  <c r="B6658" i="1"/>
  <c r="C6657" i="1"/>
  <c r="B6657" i="1"/>
  <c r="C6656" i="1"/>
  <c r="B6656" i="1"/>
  <c r="C6655" i="1"/>
  <c r="B6655" i="1"/>
  <c r="C6654" i="1"/>
  <c r="B6654" i="1"/>
  <c r="C6653" i="1"/>
  <c r="B6653" i="1"/>
  <c r="C6652" i="1"/>
  <c r="B6652" i="1"/>
  <c r="C6651" i="1"/>
  <c r="B6651" i="1"/>
  <c r="C6650" i="1"/>
  <c r="B6650" i="1"/>
  <c r="C6649" i="1"/>
  <c r="B6649" i="1"/>
  <c r="C6648" i="1"/>
  <c r="B6648" i="1"/>
  <c r="C6647" i="1"/>
  <c r="B6647" i="1"/>
  <c r="C6646" i="1"/>
  <c r="B6646" i="1"/>
  <c r="C6645" i="1"/>
  <c r="B6645" i="1"/>
  <c r="C6644" i="1"/>
  <c r="B6644" i="1"/>
  <c r="C6643" i="1"/>
  <c r="B6643" i="1"/>
  <c r="C6642" i="1"/>
  <c r="B6642" i="1"/>
  <c r="C6641" i="1"/>
  <c r="B6641" i="1"/>
  <c r="C6640" i="1"/>
  <c r="B6640" i="1"/>
  <c r="C6639" i="1"/>
  <c r="B6639" i="1"/>
  <c r="C6638" i="1"/>
  <c r="B6638" i="1"/>
  <c r="C6637" i="1"/>
  <c r="B6637" i="1"/>
  <c r="C6636" i="1"/>
  <c r="B6636" i="1"/>
  <c r="C6635" i="1"/>
  <c r="B6635" i="1"/>
  <c r="C6634" i="1"/>
  <c r="B6634" i="1"/>
  <c r="C6633" i="1"/>
  <c r="B6633" i="1"/>
  <c r="C6632" i="1"/>
  <c r="B6632" i="1"/>
  <c r="C6631" i="1"/>
  <c r="B6631" i="1"/>
  <c r="C6630" i="1"/>
  <c r="B6630" i="1"/>
  <c r="C6629" i="1"/>
  <c r="B6629" i="1"/>
  <c r="C6628" i="1"/>
  <c r="B6628" i="1"/>
  <c r="C6627" i="1"/>
  <c r="B6627" i="1"/>
  <c r="C6626" i="1"/>
  <c r="B6626" i="1"/>
  <c r="C6625" i="1"/>
  <c r="B6625" i="1"/>
  <c r="C6624" i="1"/>
  <c r="B6624" i="1"/>
  <c r="C6623" i="1"/>
  <c r="B6623" i="1"/>
  <c r="C6622" i="1"/>
  <c r="B6622" i="1"/>
  <c r="C6621" i="1"/>
  <c r="B6621" i="1"/>
  <c r="C6620" i="1"/>
  <c r="B6620" i="1"/>
  <c r="C6619" i="1"/>
  <c r="B6619" i="1"/>
  <c r="C6618" i="1"/>
  <c r="B6618" i="1"/>
  <c r="C6617" i="1"/>
  <c r="B6617" i="1"/>
  <c r="C6616" i="1"/>
  <c r="B6616" i="1"/>
  <c r="C6615" i="1"/>
  <c r="B6615" i="1"/>
  <c r="C6614" i="1"/>
  <c r="B6614" i="1"/>
  <c r="C6613" i="1"/>
  <c r="B6613" i="1"/>
  <c r="C6612" i="1"/>
  <c r="B6612" i="1"/>
  <c r="C6611" i="1"/>
  <c r="B6611" i="1"/>
  <c r="C6610" i="1"/>
  <c r="B6610" i="1"/>
  <c r="C6609" i="1"/>
  <c r="B6609" i="1"/>
  <c r="C6608" i="1"/>
  <c r="B6608" i="1"/>
  <c r="C6607" i="1"/>
  <c r="B6607" i="1"/>
  <c r="C6606" i="1"/>
  <c r="B6606" i="1"/>
  <c r="C6605" i="1"/>
  <c r="B6605" i="1"/>
  <c r="C6604" i="1"/>
  <c r="B6604" i="1"/>
  <c r="C6603" i="1"/>
  <c r="B6603" i="1"/>
  <c r="C6602" i="1"/>
  <c r="B6602" i="1"/>
  <c r="C6601" i="1"/>
  <c r="B6601" i="1"/>
  <c r="C6600" i="1"/>
  <c r="B6600" i="1"/>
  <c r="C6599" i="1"/>
  <c r="B6599" i="1"/>
  <c r="C6598" i="1"/>
  <c r="B6598" i="1"/>
  <c r="C6597" i="1"/>
  <c r="B6597" i="1"/>
  <c r="C6596" i="1"/>
  <c r="B6596" i="1"/>
  <c r="C6595" i="1"/>
  <c r="B6595" i="1"/>
  <c r="C6594" i="1"/>
  <c r="B6594" i="1"/>
  <c r="C6593" i="1"/>
  <c r="B6593" i="1"/>
  <c r="C6592" i="1"/>
  <c r="B6592" i="1"/>
  <c r="C6591" i="1"/>
  <c r="B6591" i="1"/>
  <c r="C6590" i="1"/>
  <c r="B6590" i="1"/>
  <c r="C6589" i="1"/>
  <c r="B6589" i="1"/>
  <c r="C6588" i="1"/>
  <c r="B6588" i="1"/>
  <c r="C6587" i="1"/>
  <c r="B6587" i="1"/>
  <c r="C6586" i="1"/>
  <c r="B6586" i="1"/>
  <c r="C6585" i="1"/>
  <c r="B6585" i="1"/>
  <c r="C6584" i="1"/>
  <c r="B6584" i="1"/>
  <c r="C6583" i="1"/>
  <c r="B6583" i="1"/>
  <c r="C6582" i="1"/>
  <c r="B6582" i="1"/>
  <c r="C6581" i="1"/>
  <c r="B6581" i="1"/>
  <c r="C6580" i="1"/>
  <c r="B6580" i="1"/>
  <c r="C6579" i="1"/>
  <c r="B6579" i="1"/>
  <c r="C6578" i="1"/>
  <c r="B6578" i="1"/>
  <c r="C6577" i="1"/>
  <c r="B6577" i="1"/>
  <c r="C6576" i="1"/>
  <c r="B6576" i="1"/>
  <c r="C6575" i="1"/>
  <c r="B6575" i="1"/>
  <c r="C6574" i="1"/>
  <c r="B6574" i="1"/>
  <c r="C6573" i="1"/>
  <c r="B6573" i="1"/>
  <c r="C6572" i="1"/>
  <c r="B6572" i="1"/>
  <c r="C6571" i="1"/>
  <c r="B6571" i="1"/>
  <c r="C6570" i="1"/>
  <c r="B6570" i="1"/>
  <c r="C6569" i="1"/>
  <c r="B6569" i="1"/>
  <c r="C6568" i="1"/>
  <c r="B6568" i="1"/>
  <c r="C6567" i="1"/>
  <c r="B6567" i="1"/>
  <c r="C6566" i="1"/>
  <c r="B6566" i="1"/>
  <c r="C6565" i="1"/>
  <c r="B6565" i="1"/>
  <c r="C6564" i="1"/>
  <c r="B6564" i="1"/>
  <c r="C6563" i="1"/>
  <c r="B6563" i="1"/>
  <c r="C6562" i="1"/>
  <c r="B6562" i="1"/>
  <c r="C6561" i="1"/>
  <c r="B6561" i="1"/>
  <c r="C6560" i="1"/>
  <c r="B6560" i="1"/>
  <c r="C6559" i="1"/>
  <c r="B6559" i="1"/>
  <c r="C6558" i="1"/>
  <c r="B6558" i="1"/>
  <c r="C6557" i="1"/>
  <c r="B6557" i="1"/>
  <c r="C6556" i="1"/>
  <c r="B6556" i="1"/>
  <c r="C6555" i="1"/>
  <c r="B6555" i="1"/>
  <c r="C6554" i="1"/>
  <c r="B6554" i="1"/>
  <c r="C6553" i="1"/>
  <c r="B6553" i="1"/>
  <c r="C6552" i="1"/>
  <c r="B6552" i="1"/>
  <c r="C6551" i="1"/>
  <c r="B6551" i="1"/>
  <c r="C6550" i="1"/>
  <c r="B6550" i="1"/>
  <c r="C6549" i="1"/>
  <c r="B6549" i="1"/>
  <c r="C6548" i="1"/>
  <c r="B6548" i="1"/>
  <c r="C6547" i="1"/>
  <c r="B6547" i="1"/>
  <c r="C6546" i="1"/>
  <c r="B6546" i="1"/>
  <c r="C6545" i="1"/>
  <c r="B6545" i="1"/>
  <c r="C6544" i="1"/>
  <c r="B6544" i="1"/>
  <c r="C6543" i="1"/>
  <c r="B6543" i="1"/>
  <c r="C6542" i="1"/>
  <c r="B6542" i="1"/>
  <c r="C6541" i="1"/>
  <c r="B6541" i="1"/>
  <c r="C6540" i="1"/>
  <c r="B6540" i="1"/>
  <c r="C6539" i="1"/>
  <c r="B6539" i="1"/>
  <c r="C6538" i="1"/>
  <c r="B6538" i="1"/>
  <c r="C6537" i="1"/>
  <c r="B6537" i="1"/>
  <c r="C6536" i="1"/>
  <c r="B6536" i="1"/>
  <c r="C6535" i="1"/>
  <c r="B6535" i="1"/>
  <c r="C6534" i="1"/>
  <c r="B6534" i="1"/>
  <c r="C6533" i="1"/>
  <c r="B6533" i="1"/>
  <c r="C6532" i="1"/>
  <c r="B6532" i="1"/>
  <c r="C6531" i="1"/>
  <c r="B6531" i="1"/>
  <c r="C6530" i="1"/>
  <c r="B6530" i="1"/>
  <c r="C6529" i="1"/>
  <c r="B6529" i="1"/>
  <c r="C6528" i="1"/>
  <c r="B6528" i="1"/>
  <c r="C6527" i="1"/>
  <c r="B6527" i="1"/>
  <c r="C6526" i="1"/>
  <c r="B6526" i="1"/>
  <c r="C6525" i="1"/>
  <c r="B6525" i="1"/>
  <c r="C6524" i="1"/>
  <c r="B6524" i="1"/>
  <c r="C6523" i="1"/>
  <c r="B6523" i="1"/>
  <c r="C6522" i="1"/>
  <c r="B6522" i="1"/>
  <c r="C6521" i="1"/>
  <c r="B6521" i="1"/>
  <c r="C6520" i="1"/>
  <c r="B6520" i="1"/>
  <c r="C6519" i="1"/>
  <c r="B6519" i="1"/>
  <c r="C6518" i="1"/>
  <c r="B6518" i="1"/>
  <c r="C6517" i="1"/>
  <c r="B6517" i="1"/>
  <c r="C6516" i="1"/>
  <c r="B6516" i="1"/>
  <c r="C6515" i="1"/>
  <c r="B6515" i="1"/>
  <c r="C6514" i="1"/>
  <c r="B6514" i="1"/>
  <c r="C6513" i="1"/>
  <c r="B6513" i="1"/>
  <c r="C6512" i="1"/>
  <c r="B6512" i="1"/>
  <c r="C6511" i="1"/>
  <c r="B6511" i="1"/>
  <c r="C6510" i="1"/>
  <c r="B6510" i="1"/>
  <c r="C6509" i="1"/>
  <c r="B6509" i="1"/>
  <c r="C6508" i="1"/>
  <c r="B6508" i="1"/>
  <c r="C6507" i="1"/>
  <c r="B6507" i="1"/>
  <c r="C6506" i="1"/>
  <c r="B6506" i="1"/>
  <c r="C6505" i="1"/>
  <c r="B6505" i="1"/>
  <c r="C6504" i="1"/>
  <c r="B6504" i="1"/>
  <c r="C6503" i="1"/>
  <c r="B6503" i="1"/>
  <c r="C6502" i="1"/>
  <c r="B6502" i="1"/>
  <c r="C6501" i="1"/>
  <c r="B6501" i="1"/>
  <c r="C6500" i="1"/>
  <c r="B6500" i="1"/>
  <c r="C6499" i="1"/>
  <c r="B6499" i="1"/>
  <c r="C6498" i="1"/>
  <c r="B6498" i="1"/>
  <c r="C6497" i="1"/>
  <c r="B6497" i="1"/>
  <c r="C6496" i="1"/>
  <c r="B6496" i="1"/>
  <c r="C6495" i="1"/>
  <c r="B6495" i="1"/>
  <c r="C6494" i="1"/>
  <c r="B6494" i="1"/>
  <c r="C6493" i="1"/>
  <c r="B6493" i="1"/>
  <c r="C6492" i="1"/>
  <c r="B6492" i="1"/>
  <c r="C6491" i="1"/>
  <c r="B6491" i="1"/>
  <c r="C6490" i="1"/>
  <c r="B6490" i="1"/>
  <c r="C6489" i="1"/>
  <c r="B6489" i="1"/>
  <c r="C6488" i="1"/>
  <c r="B6488" i="1"/>
  <c r="C6487" i="1"/>
  <c r="B6487" i="1"/>
  <c r="C6486" i="1"/>
  <c r="B6486" i="1"/>
  <c r="C6485" i="1"/>
  <c r="B6485" i="1"/>
  <c r="C6484" i="1"/>
  <c r="B6484" i="1"/>
  <c r="C6483" i="1"/>
  <c r="B6483" i="1"/>
  <c r="C6482" i="1"/>
  <c r="B6482" i="1"/>
  <c r="C6481" i="1"/>
  <c r="B6481" i="1"/>
  <c r="C6480" i="1"/>
  <c r="B6480" i="1"/>
  <c r="C6479" i="1"/>
  <c r="B6479" i="1"/>
  <c r="C6478" i="1"/>
  <c r="B6478" i="1"/>
  <c r="C6477" i="1"/>
  <c r="B6477" i="1"/>
  <c r="C6476" i="1"/>
  <c r="B6476" i="1"/>
  <c r="C6475" i="1"/>
  <c r="B6475" i="1"/>
  <c r="C6474" i="1"/>
  <c r="B6474" i="1"/>
  <c r="C6473" i="1"/>
  <c r="B6473" i="1"/>
  <c r="C6472" i="1"/>
  <c r="B6472" i="1"/>
  <c r="C6471" i="1"/>
  <c r="B6471" i="1"/>
  <c r="C6470" i="1"/>
  <c r="B6470" i="1"/>
  <c r="C6469" i="1"/>
  <c r="B6469" i="1"/>
  <c r="C6468" i="1"/>
  <c r="B6468" i="1"/>
  <c r="C6467" i="1"/>
  <c r="B6467" i="1"/>
  <c r="C6466" i="1"/>
  <c r="B6466" i="1"/>
  <c r="C6465" i="1"/>
  <c r="B6465" i="1"/>
  <c r="C6464" i="1"/>
  <c r="B6464" i="1"/>
  <c r="C6463" i="1"/>
  <c r="B6463" i="1"/>
  <c r="C6462" i="1"/>
  <c r="B6462" i="1"/>
  <c r="C6461" i="1"/>
  <c r="B6461" i="1"/>
  <c r="C6460" i="1"/>
  <c r="B6460" i="1"/>
  <c r="C6459" i="1"/>
  <c r="B6459" i="1"/>
  <c r="C6458" i="1"/>
  <c r="B6458" i="1"/>
  <c r="C6457" i="1"/>
  <c r="B6457" i="1"/>
  <c r="C6456" i="1"/>
  <c r="B6456" i="1"/>
  <c r="C6455" i="1"/>
  <c r="B6455" i="1"/>
  <c r="C6454" i="1"/>
  <c r="B6454" i="1"/>
  <c r="C6453" i="1"/>
  <c r="B6453" i="1"/>
  <c r="C6452" i="1"/>
  <c r="B6452" i="1"/>
  <c r="C6451" i="1"/>
  <c r="B6451" i="1"/>
  <c r="C6450" i="1"/>
  <c r="B6450" i="1"/>
  <c r="C6449" i="1"/>
  <c r="B6449" i="1"/>
  <c r="C6448" i="1"/>
  <c r="B6448" i="1"/>
  <c r="C6447" i="1"/>
  <c r="B6447" i="1"/>
  <c r="C6446" i="1"/>
  <c r="B6446" i="1"/>
  <c r="C6445" i="1"/>
  <c r="B6445" i="1"/>
  <c r="C6444" i="1"/>
  <c r="B6444" i="1"/>
  <c r="C6443" i="1"/>
  <c r="B6443" i="1"/>
  <c r="C6442" i="1"/>
  <c r="B6442" i="1"/>
  <c r="C6441" i="1"/>
  <c r="B6441" i="1"/>
  <c r="C6440" i="1"/>
  <c r="B6440" i="1"/>
  <c r="C6439" i="1"/>
  <c r="B6439" i="1"/>
  <c r="C6438" i="1"/>
  <c r="B6438" i="1"/>
  <c r="C6437" i="1"/>
  <c r="B6437" i="1"/>
  <c r="C6436" i="1"/>
  <c r="B6436" i="1"/>
  <c r="C6435" i="1"/>
  <c r="B6435" i="1"/>
  <c r="C6434" i="1"/>
  <c r="B6434" i="1"/>
  <c r="C6433" i="1"/>
  <c r="B6433" i="1"/>
  <c r="C6432" i="1"/>
  <c r="B6432" i="1"/>
  <c r="C6431" i="1"/>
  <c r="B6431" i="1"/>
  <c r="C6430" i="1"/>
  <c r="B6430" i="1"/>
  <c r="C6429" i="1"/>
  <c r="B6429" i="1"/>
  <c r="C6428" i="1"/>
  <c r="B6428" i="1"/>
  <c r="C6427" i="1"/>
  <c r="B6427" i="1"/>
  <c r="C6426" i="1"/>
  <c r="B6426" i="1"/>
  <c r="C6425" i="1"/>
  <c r="B6425" i="1"/>
  <c r="C6424" i="1"/>
  <c r="B6424" i="1"/>
  <c r="C6423" i="1"/>
  <c r="B6423" i="1"/>
  <c r="C6422" i="1"/>
  <c r="B6422" i="1"/>
  <c r="C6421" i="1"/>
  <c r="B6421" i="1"/>
  <c r="C6420" i="1"/>
  <c r="B6420" i="1"/>
  <c r="C6419" i="1"/>
  <c r="B6419" i="1"/>
  <c r="C6418" i="1"/>
  <c r="B6418" i="1"/>
  <c r="C6417" i="1"/>
  <c r="B6417" i="1"/>
  <c r="C6416" i="1"/>
  <c r="B6416" i="1"/>
  <c r="C6415" i="1"/>
  <c r="B6415" i="1"/>
  <c r="C6414" i="1"/>
  <c r="B6414" i="1"/>
  <c r="C6413" i="1"/>
  <c r="B6413" i="1"/>
  <c r="C6412" i="1"/>
  <c r="B6412" i="1"/>
  <c r="C6411" i="1"/>
  <c r="B6411" i="1"/>
  <c r="C6410" i="1"/>
  <c r="B6410" i="1"/>
  <c r="C6409" i="1"/>
  <c r="B6409" i="1"/>
  <c r="C6408" i="1"/>
  <c r="B6408" i="1"/>
  <c r="C6407" i="1"/>
  <c r="B6407" i="1"/>
  <c r="C6406" i="1"/>
  <c r="B6406" i="1"/>
  <c r="C6405" i="1"/>
  <c r="B6405" i="1"/>
  <c r="C6404" i="1"/>
  <c r="B6404" i="1"/>
  <c r="C6403" i="1"/>
  <c r="B6403" i="1"/>
  <c r="C6402" i="1"/>
  <c r="B6402" i="1"/>
  <c r="C6401" i="1"/>
  <c r="B6401" i="1"/>
  <c r="C6400" i="1"/>
  <c r="B6400" i="1"/>
  <c r="C6399" i="1"/>
  <c r="B6399" i="1"/>
  <c r="C6398" i="1"/>
  <c r="B6398" i="1"/>
  <c r="C6397" i="1"/>
  <c r="B6397" i="1"/>
  <c r="C6396" i="1"/>
  <c r="B6396" i="1"/>
  <c r="C6395" i="1"/>
  <c r="B6395" i="1"/>
  <c r="C6394" i="1"/>
  <c r="B6394" i="1"/>
  <c r="C6393" i="1"/>
  <c r="B6393" i="1"/>
  <c r="C6392" i="1"/>
  <c r="B6392" i="1"/>
  <c r="C6391" i="1"/>
  <c r="B6391" i="1"/>
  <c r="C6390" i="1"/>
  <c r="B6390" i="1"/>
  <c r="C6389" i="1"/>
  <c r="B6389" i="1"/>
  <c r="C6388" i="1"/>
  <c r="B6388" i="1"/>
  <c r="C6387" i="1"/>
  <c r="B6387" i="1"/>
  <c r="C6386" i="1"/>
  <c r="B6386" i="1"/>
  <c r="C6385" i="1"/>
  <c r="B6385" i="1"/>
  <c r="C6384" i="1"/>
  <c r="B6384" i="1"/>
  <c r="C6383" i="1"/>
  <c r="B6383" i="1"/>
  <c r="C6382" i="1"/>
  <c r="B6382" i="1"/>
  <c r="C6381" i="1"/>
  <c r="B6381" i="1"/>
  <c r="C6380" i="1"/>
  <c r="B6380" i="1"/>
  <c r="C6379" i="1"/>
  <c r="B6379" i="1"/>
  <c r="C6378" i="1"/>
  <c r="B6378" i="1"/>
  <c r="C6377" i="1"/>
  <c r="B6377" i="1"/>
  <c r="C6376" i="1"/>
  <c r="B6376" i="1"/>
  <c r="C6375" i="1"/>
  <c r="B6375" i="1"/>
  <c r="C6374" i="1"/>
  <c r="B6374" i="1"/>
  <c r="C6373" i="1"/>
  <c r="B6373" i="1"/>
  <c r="C6372" i="1"/>
  <c r="B6372" i="1"/>
  <c r="C6371" i="1"/>
  <c r="B6371" i="1"/>
  <c r="C6370" i="1"/>
  <c r="B6370" i="1"/>
  <c r="C6369" i="1"/>
  <c r="B6369" i="1"/>
  <c r="C6368" i="1"/>
  <c r="B6368" i="1"/>
  <c r="C6367" i="1"/>
  <c r="B6367" i="1"/>
  <c r="C6366" i="1"/>
  <c r="B6366" i="1"/>
  <c r="C6365" i="1"/>
  <c r="B6365" i="1"/>
  <c r="C6364" i="1"/>
  <c r="B6364" i="1"/>
  <c r="C6363" i="1"/>
  <c r="B6363" i="1"/>
  <c r="C6362" i="1"/>
  <c r="B6362" i="1"/>
  <c r="C6361" i="1"/>
  <c r="B6361" i="1"/>
  <c r="C6360" i="1"/>
  <c r="B6360" i="1"/>
  <c r="C6359" i="1"/>
  <c r="B6359" i="1"/>
  <c r="C6358" i="1"/>
  <c r="B6358" i="1"/>
  <c r="C6357" i="1"/>
  <c r="B6357" i="1"/>
  <c r="C6356" i="1"/>
  <c r="B6356" i="1"/>
  <c r="C6355" i="1"/>
  <c r="B6355" i="1"/>
  <c r="C6354" i="1"/>
  <c r="B6354" i="1"/>
  <c r="C6353" i="1"/>
  <c r="B6353" i="1"/>
  <c r="C6352" i="1"/>
  <c r="B6352" i="1"/>
  <c r="C6351" i="1"/>
  <c r="B6351" i="1"/>
  <c r="C6350" i="1"/>
  <c r="B6350" i="1"/>
  <c r="C6349" i="1"/>
  <c r="B6349" i="1"/>
  <c r="C6348" i="1"/>
  <c r="B6348" i="1"/>
  <c r="C6347" i="1"/>
  <c r="B6347" i="1"/>
  <c r="C6346" i="1"/>
  <c r="B6346" i="1"/>
  <c r="C6345" i="1"/>
  <c r="B6345" i="1"/>
  <c r="C6344" i="1"/>
  <c r="B6344" i="1"/>
  <c r="C6343" i="1"/>
  <c r="B6343" i="1"/>
  <c r="C6342" i="1"/>
  <c r="B6342" i="1"/>
  <c r="C6341" i="1"/>
  <c r="B6341" i="1"/>
  <c r="C6340" i="1"/>
  <c r="B6340" i="1"/>
  <c r="C6339" i="1"/>
  <c r="B6339" i="1"/>
  <c r="C6338" i="1"/>
  <c r="B6338" i="1"/>
  <c r="C6337" i="1"/>
  <c r="B6337" i="1"/>
  <c r="C6336" i="1"/>
  <c r="B6336" i="1"/>
  <c r="C6335" i="1"/>
  <c r="B6335" i="1"/>
  <c r="C6334" i="1"/>
  <c r="B6334" i="1"/>
  <c r="C6333" i="1"/>
  <c r="B6333" i="1"/>
  <c r="C6332" i="1"/>
  <c r="B6332" i="1"/>
  <c r="C6331" i="1"/>
  <c r="B6331" i="1"/>
  <c r="C6330" i="1"/>
  <c r="B6330" i="1"/>
  <c r="C6329" i="1"/>
  <c r="B6329" i="1"/>
  <c r="C6328" i="1"/>
  <c r="B6328" i="1"/>
  <c r="C6327" i="1"/>
  <c r="B6327" i="1"/>
  <c r="C6326" i="1"/>
  <c r="B6326" i="1"/>
  <c r="C6325" i="1"/>
  <c r="B6325" i="1"/>
  <c r="C6324" i="1"/>
  <c r="B6324" i="1"/>
  <c r="C6323" i="1"/>
  <c r="B6323" i="1"/>
  <c r="C6322" i="1"/>
  <c r="B6322" i="1"/>
  <c r="C6321" i="1"/>
  <c r="B6321" i="1"/>
  <c r="C6320" i="1"/>
  <c r="B6320" i="1"/>
  <c r="C6319" i="1"/>
  <c r="B6319" i="1"/>
  <c r="C6318" i="1"/>
  <c r="B6318" i="1"/>
  <c r="C6317" i="1"/>
  <c r="B6317" i="1"/>
  <c r="C6316" i="1"/>
  <c r="B6316" i="1"/>
  <c r="C6315" i="1"/>
  <c r="B6315" i="1"/>
  <c r="C6314" i="1"/>
  <c r="B6314" i="1"/>
  <c r="C6313" i="1"/>
  <c r="B6313" i="1"/>
  <c r="C6312" i="1"/>
  <c r="B6312" i="1"/>
  <c r="C6311" i="1"/>
  <c r="B6311" i="1"/>
  <c r="C6310" i="1"/>
  <c r="B6310" i="1"/>
  <c r="C6309" i="1"/>
  <c r="B6309" i="1"/>
  <c r="C6308" i="1"/>
  <c r="B6308" i="1"/>
  <c r="C6307" i="1"/>
  <c r="B6307" i="1"/>
  <c r="C6306" i="1"/>
  <c r="B6306" i="1"/>
  <c r="C6305" i="1"/>
  <c r="B6305" i="1"/>
  <c r="C6304" i="1"/>
  <c r="B6304" i="1"/>
  <c r="C6303" i="1"/>
  <c r="B6303" i="1"/>
  <c r="C6302" i="1"/>
  <c r="B6302" i="1"/>
  <c r="C6301" i="1"/>
  <c r="B6301" i="1"/>
  <c r="C6300" i="1"/>
  <c r="B6300" i="1"/>
  <c r="C6299" i="1"/>
  <c r="B6299" i="1"/>
  <c r="C6298" i="1"/>
  <c r="B6298" i="1"/>
  <c r="C6297" i="1"/>
  <c r="B6297" i="1"/>
  <c r="C6296" i="1"/>
  <c r="B6296" i="1"/>
  <c r="C6295" i="1"/>
  <c r="B6295" i="1"/>
  <c r="C6294" i="1"/>
  <c r="B6294" i="1"/>
  <c r="C6293" i="1"/>
  <c r="B6293" i="1"/>
  <c r="C6292" i="1"/>
  <c r="B6292" i="1"/>
  <c r="C6291" i="1"/>
  <c r="B6291" i="1"/>
  <c r="C6290" i="1"/>
  <c r="B6290" i="1"/>
  <c r="C6289" i="1"/>
  <c r="B6289" i="1"/>
  <c r="C6288" i="1"/>
  <c r="B6288" i="1"/>
  <c r="C6287" i="1"/>
  <c r="B6287" i="1"/>
  <c r="C6286" i="1"/>
  <c r="B6286" i="1"/>
  <c r="C6285" i="1"/>
  <c r="B6285" i="1"/>
  <c r="C6284" i="1"/>
  <c r="B6284" i="1"/>
  <c r="C6283" i="1"/>
  <c r="B6283" i="1"/>
  <c r="C6282" i="1"/>
  <c r="B6282" i="1"/>
  <c r="C6281" i="1"/>
  <c r="B6281" i="1"/>
  <c r="C6280" i="1"/>
  <c r="B6280" i="1"/>
  <c r="C6279" i="1"/>
  <c r="B6279" i="1"/>
  <c r="C6278" i="1"/>
  <c r="B6278" i="1"/>
  <c r="C6277" i="1"/>
  <c r="B6277" i="1"/>
  <c r="C6276" i="1"/>
  <c r="B6276" i="1"/>
  <c r="C6275" i="1"/>
  <c r="B6275" i="1"/>
  <c r="C6274" i="1"/>
  <c r="B6274" i="1"/>
  <c r="C6273" i="1"/>
  <c r="B6273" i="1"/>
  <c r="C6272" i="1"/>
  <c r="B6272" i="1"/>
  <c r="C6271" i="1"/>
  <c r="B6271" i="1"/>
  <c r="C6270" i="1"/>
  <c r="B6270" i="1"/>
  <c r="C6269" i="1"/>
  <c r="B6269" i="1"/>
  <c r="C6268" i="1"/>
  <c r="B6268" i="1"/>
  <c r="C6267" i="1"/>
  <c r="B6267" i="1"/>
  <c r="C6266" i="1"/>
  <c r="B6266" i="1"/>
  <c r="C6265" i="1"/>
  <c r="B6265" i="1"/>
  <c r="C6264" i="1"/>
  <c r="B6264" i="1"/>
  <c r="C6263" i="1"/>
  <c r="B6263" i="1"/>
  <c r="C6262" i="1"/>
  <c r="B6262" i="1"/>
  <c r="C6261" i="1"/>
  <c r="B6261" i="1"/>
  <c r="C6260" i="1"/>
  <c r="B6260" i="1"/>
  <c r="C6259" i="1"/>
  <c r="B6259" i="1"/>
  <c r="C6258" i="1"/>
  <c r="B6258" i="1"/>
  <c r="C6257" i="1"/>
  <c r="B6257" i="1"/>
  <c r="C6256" i="1"/>
  <c r="B6256" i="1"/>
  <c r="C6255" i="1"/>
  <c r="B6255" i="1"/>
  <c r="C6254" i="1"/>
  <c r="B6254" i="1"/>
  <c r="C6253" i="1"/>
  <c r="B6253" i="1"/>
  <c r="C6252" i="1"/>
  <c r="B6252" i="1"/>
  <c r="C6251" i="1"/>
  <c r="B6251" i="1"/>
  <c r="C6250" i="1"/>
  <c r="B6250" i="1"/>
  <c r="C6249" i="1"/>
  <c r="B6249" i="1"/>
  <c r="C6248" i="1"/>
  <c r="B6248" i="1"/>
  <c r="C6247" i="1"/>
  <c r="B6247" i="1"/>
  <c r="C6246" i="1"/>
  <c r="B6246" i="1"/>
  <c r="C6245" i="1"/>
  <c r="B6245" i="1"/>
  <c r="C6244" i="1"/>
  <c r="B6244" i="1"/>
  <c r="C6243" i="1"/>
  <c r="B6243" i="1"/>
  <c r="C6242" i="1"/>
  <c r="B6242" i="1"/>
  <c r="C6241" i="1"/>
  <c r="B6241" i="1"/>
  <c r="C6240" i="1"/>
  <c r="B6240" i="1"/>
  <c r="C6239" i="1"/>
  <c r="B6239" i="1"/>
  <c r="C6238" i="1"/>
  <c r="B6238" i="1"/>
  <c r="C6237" i="1"/>
  <c r="B6237" i="1"/>
  <c r="C6236" i="1"/>
  <c r="B6236" i="1"/>
  <c r="C6235" i="1"/>
  <c r="B6235" i="1"/>
  <c r="C6234" i="1"/>
  <c r="B6234" i="1"/>
  <c r="C6233" i="1"/>
  <c r="B6233" i="1"/>
  <c r="C6232" i="1"/>
  <c r="B6232" i="1"/>
  <c r="C6231" i="1"/>
  <c r="B6231" i="1"/>
  <c r="C6230" i="1"/>
  <c r="B6230" i="1"/>
  <c r="C6229" i="1"/>
  <c r="B6229" i="1"/>
  <c r="C6228" i="1"/>
  <c r="B6228" i="1"/>
  <c r="C6227" i="1"/>
  <c r="B6227" i="1"/>
  <c r="C6226" i="1"/>
  <c r="B6226" i="1"/>
  <c r="C6225" i="1"/>
  <c r="B6225" i="1"/>
  <c r="C6224" i="1"/>
  <c r="B6224" i="1"/>
  <c r="C6223" i="1"/>
  <c r="B6223" i="1"/>
  <c r="C6222" i="1"/>
  <c r="B6222" i="1"/>
  <c r="C6221" i="1"/>
  <c r="B6221" i="1"/>
  <c r="C6220" i="1"/>
  <c r="B6220" i="1"/>
  <c r="C6219" i="1"/>
  <c r="B6219" i="1"/>
  <c r="C6218" i="1"/>
  <c r="B6218" i="1"/>
  <c r="C6217" i="1"/>
  <c r="B6217" i="1"/>
  <c r="C6216" i="1"/>
  <c r="B6216" i="1"/>
  <c r="C6215" i="1"/>
  <c r="B6215" i="1"/>
  <c r="C6214" i="1"/>
  <c r="B6214" i="1"/>
  <c r="C6213" i="1"/>
  <c r="B6213" i="1"/>
  <c r="C6212" i="1"/>
  <c r="B6212" i="1"/>
  <c r="C6211" i="1"/>
  <c r="B6211" i="1"/>
  <c r="C6210" i="1"/>
  <c r="B6210" i="1"/>
  <c r="C6209" i="1"/>
  <c r="B6209" i="1"/>
  <c r="C6208" i="1"/>
  <c r="B6208" i="1"/>
  <c r="C6207" i="1"/>
  <c r="B6207" i="1"/>
  <c r="C6206" i="1"/>
  <c r="B6206" i="1"/>
  <c r="C6205" i="1"/>
  <c r="B6205" i="1"/>
  <c r="C6204" i="1"/>
  <c r="B6204" i="1"/>
  <c r="C6203" i="1"/>
  <c r="B6203" i="1"/>
  <c r="C6202" i="1"/>
  <c r="B6202" i="1"/>
  <c r="C6201" i="1"/>
  <c r="B6201" i="1"/>
  <c r="C6200" i="1"/>
  <c r="B6200" i="1"/>
  <c r="C6199" i="1"/>
  <c r="B6199" i="1"/>
  <c r="C6198" i="1"/>
  <c r="B6198" i="1"/>
  <c r="C6197" i="1"/>
  <c r="B6197" i="1"/>
  <c r="C6196" i="1"/>
  <c r="B6196" i="1"/>
  <c r="C6195" i="1"/>
  <c r="B6195" i="1"/>
  <c r="C6194" i="1"/>
  <c r="B6194" i="1"/>
  <c r="C6193" i="1"/>
  <c r="B6193" i="1"/>
  <c r="C6192" i="1"/>
  <c r="B6192" i="1"/>
  <c r="C6191" i="1"/>
  <c r="B6191" i="1"/>
  <c r="C6190" i="1"/>
  <c r="B6190" i="1"/>
  <c r="C6189" i="1"/>
  <c r="B6189" i="1"/>
  <c r="C6188" i="1"/>
  <c r="B6188" i="1"/>
  <c r="C6187" i="1"/>
  <c r="B6187" i="1"/>
  <c r="C6186" i="1"/>
  <c r="B6186" i="1"/>
  <c r="C6185" i="1"/>
  <c r="B6185" i="1"/>
  <c r="C6184" i="1"/>
  <c r="B6184" i="1"/>
  <c r="C6183" i="1"/>
  <c r="B6183" i="1"/>
  <c r="C6182" i="1"/>
  <c r="B6182" i="1"/>
  <c r="C6181" i="1"/>
  <c r="B6181" i="1"/>
  <c r="C6180" i="1"/>
  <c r="B6180" i="1"/>
  <c r="C6179" i="1"/>
  <c r="B6179" i="1"/>
  <c r="C6178" i="1"/>
  <c r="B6178" i="1"/>
  <c r="C6177" i="1"/>
  <c r="B6177" i="1"/>
  <c r="C6176" i="1"/>
  <c r="B6176" i="1"/>
  <c r="C6175" i="1"/>
  <c r="B6175" i="1"/>
  <c r="C6174" i="1"/>
  <c r="B6174" i="1"/>
  <c r="C6173" i="1"/>
  <c r="B6173" i="1"/>
  <c r="C6172" i="1"/>
  <c r="B6172" i="1"/>
  <c r="C6171" i="1"/>
  <c r="B6171" i="1"/>
  <c r="C6170" i="1"/>
  <c r="B6170" i="1"/>
  <c r="C6169" i="1"/>
  <c r="B6169" i="1"/>
  <c r="C6168" i="1"/>
  <c r="B6168" i="1"/>
  <c r="C6167" i="1"/>
  <c r="B6167" i="1"/>
  <c r="C6166" i="1"/>
  <c r="B6166" i="1"/>
  <c r="C6165" i="1"/>
  <c r="B6165" i="1"/>
  <c r="C6164" i="1"/>
  <c r="B6164" i="1"/>
  <c r="C6163" i="1"/>
  <c r="B6163" i="1"/>
  <c r="C6162" i="1"/>
  <c r="B6162" i="1"/>
  <c r="C6161" i="1"/>
  <c r="B6161" i="1"/>
  <c r="C6160" i="1"/>
  <c r="B6160" i="1"/>
  <c r="C6159" i="1"/>
  <c r="B6159" i="1"/>
  <c r="C6158" i="1"/>
  <c r="B6158" i="1"/>
  <c r="C6157" i="1"/>
  <c r="B6157" i="1"/>
  <c r="C6156" i="1"/>
  <c r="B6156" i="1"/>
  <c r="C6155" i="1"/>
  <c r="B6155" i="1"/>
  <c r="C6154" i="1"/>
  <c r="B6154" i="1"/>
  <c r="C6153" i="1"/>
  <c r="B6153" i="1"/>
  <c r="C6152" i="1"/>
  <c r="B6152" i="1"/>
  <c r="C6151" i="1"/>
  <c r="B6151" i="1"/>
  <c r="C6150" i="1"/>
  <c r="B6150" i="1"/>
  <c r="C6149" i="1"/>
  <c r="B6149" i="1"/>
  <c r="C6148" i="1"/>
  <c r="B6148" i="1"/>
  <c r="C6147" i="1"/>
  <c r="B6147" i="1"/>
  <c r="C6146" i="1"/>
  <c r="B6146" i="1"/>
  <c r="C6145" i="1"/>
  <c r="B6145" i="1"/>
  <c r="C6144" i="1"/>
  <c r="B6144" i="1"/>
  <c r="C6143" i="1"/>
  <c r="B6143" i="1"/>
  <c r="C6142" i="1"/>
  <c r="B6142" i="1"/>
  <c r="C6141" i="1"/>
  <c r="B6141" i="1"/>
  <c r="C6140" i="1"/>
  <c r="B6140" i="1"/>
  <c r="C6139" i="1"/>
  <c r="B6139" i="1"/>
  <c r="C6138" i="1"/>
  <c r="B6138" i="1"/>
  <c r="C6137" i="1"/>
  <c r="B6137" i="1"/>
  <c r="C6136" i="1"/>
  <c r="B6136" i="1"/>
  <c r="C6135" i="1"/>
  <c r="B6135" i="1"/>
  <c r="C6134" i="1"/>
  <c r="B6134" i="1"/>
  <c r="C6133" i="1"/>
  <c r="B6133" i="1"/>
  <c r="C6132" i="1"/>
  <c r="B6132" i="1"/>
  <c r="C6131" i="1"/>
  <c r="B6131" i="1"/>
  <c r="C6130" i="1"/>
  <c r="B6130" i="1"/>
  <c r="C6129" i="1"/>
  <c r="B6129" i="1"/>
  <c r="C6128" i="1"/>
  <c r="B6128" i="1"/>
  <c r="C6127" i="1"/>
  <c r="B6127" i="1"/>
  <c r="C6126" i="1"/>
  <c r="B6126" i="1"/>
  <c r="C6125" i="1"/>
  <c r="B6125" i="1"/>
  <c r="C6124" i="1"/>
  <c r="B6124" i="1"/>
  <c r="C6123" i="1"/>
  <c r="B6123" i="1"/>
  <c r="C6122" i="1"/>
  <c r="B6122" i="1"/>
  <c r="C6121" i="1"/>
  <c r="B6121" i="1"/>
  <c r="C6120" i="1"/>
  <c r="B6120" i="1"/>
  <c r="C6119" i="1"/>
  <c r="B6119" i="1"/>
  <c r="C6118" i="1"/>
  <c r="B6118" i="1"/>
  <c r="C6117" i="1"/>
  <c r="B6117" i="1"/>
  <c r="C6116" i="1"/>
  <c r="B6116" i="1"/>
  <c r="C6115" i="1"/>
  <c r="B6115" i="1"/>
  <c r="C6114" i="1"/>
  <c r="B6114" i="1"/>
  <c r="C6113" i="1"/>
  <c r="B6113" i="1"/>
  <c r="C6112" i="1"/>
  <c r="B6112" i="1"/>
  <c r="C6111" i="1"/>
  <c r="B6111" i="1"/>
  <c r="C6110" i="1"/>
  <c r="B6110" i="1"/>
  <c r="C6109" i="1"/>
  <c r="B6109" i="1"/>
  <c r="C6108" i="1"/>
  <c r="B6108" i="1"/>
  <c r="C6107" i="1"/>
  <c r="B6107" i="1"/>
  <c r="C6106" i="1"/>
  <c r="B6106" i="1"/>
  <c r="C6105" i="1"/>
  <c r="B6105" i="1"/>
  <c r="C6104" i="1"/>
  <c r="B6104" i="1"/>
  <c r="C6103" i="1"/>
  <c r="B6103" i="1"/>
  <c r="C6102" i="1"/>
  <c r="B6102" i="1"/>
  <c r="C6101" i="1"/>
  <c r="B6101" i="1"/>
  <c r="C6100" i="1"/>
  <c r="B6100" i="1"/>
  <c r="C6099" i="1"/>
  <c r="B6099" i="1"/>
  <c r="C6098" i="1"/>
  <c r="B6098" i="1"/>
  <c r="C6097" i="1"/>
  <c r="B6097" i="1"/>
  <c r="C6096" i="1"/>
  <c r="B6096" i="1"/>
  <c r="C6095" i="1"/>
  <c r="B6095" i="1"/>
  <c r="C6094" i="1"/>
  <c r="B6094" i="1"/>
  <c r="C6093" i="1"/>
  <c r="B6093" i="1"/>
  <c r="C6092" i="1"/>
  <c r="B6092" i="1"/>
  <c r="C6091" i="1"/>
  <c r="B6091" i="1"/>
  <c r="C6090" i="1"/>
  <c r="B6090" i="1"/>
  <c r="C6089" i="1"/>
  <c r="B6089" i="1"/>
  <c r="C6088" i="1"/>
  <c r="B6088" i="1"/>
  <c r="C6087" i="1"/>
  <c r="B6087" i="1"/>
  <c r="C6086" i="1"/>
  <c r="B6086" i="1"/>
  <c r="C6085" i="1"/>
  <c r="B6085" i="1"/>
  <c r="C6084" i="1"/>
  <c r="B6084" i="1"/>
  <c r="C6083" i="1"/>
  <c r="B6083" i="1"/>
  <c r="C6082" i="1"/>
  <c r="B6082" i="1"/>
  <c r="C6081" i="1"/>
  <c r="B6081" i="1"/>
  <c r="C6080" i="1"/>
  <c r="B6080" i="1"/>
  <c r="C6079" i="1"/>
  <c r="B6079" i="1"/>
  <c r="C6078" i="1"/>
  <c r="B6078" i="1"/>
  <c r="C6077" i="1"/>
  <c r="B6077" i="1"/>
  <c r="C6076" i="1"/>
  <c r="B6076" i="1"/>
  <c r="C6075" i="1"/>
  <c r="B6075" i="1"/>
  <c r="C6074" i="1"/>
  <c r="B6074" i="1"/>
  <c r="C6073" i="1"/>
  <c r="B6073" i="1"/>
  <c r="C6072" i="1"/>
  <c r="B6072" i="1"/>
  <c r="C6071" i="1"/>
  <c r="B6071" i="1"/>
  <c r="C6070" i="1"/>
  <c r="B6070" i="1"/>
  <c r="C6069" i="1"/>
  <c r="B6069" i="1"/>
  <c r="C6068" i="1"/>
  <c r="B6068" i="1"/>
  <c r="C6067" i="1"/>
  <c r="B6067" i="1"/>
  <c r="C6066" i="1"/>
  <c r="B6066" i="1"/>
  <c r="C6065" i="1"/>
  <c r="B6065" i="1"/>
  <c r="C6064" i="1"/>
  <c r="B6064" i="1"/>
  <c r="C6063" i="1"/>
  <c r="B6063" i="1"/>
  <c r="C6062" i="1"/>
  <c r="B6062" i="1"/>
  <c r="C6061" i="1"/>
  <c r="B6061" i="1"/>
  <c r="C6060" i="1"/>
  <c r="B6060" i="1"/>
  <c r="C6059" i="1"/>
  <c r="B6059" i="1"/>
  <c r="C6058" i="1"/>
  <c r="B6058" i="1"/>
  <c r="C6057" i="1"/>
  <c r="B6057" i="1"/>
  <c r="C6056" i="1"/>
  <c r="B6056" i="1"/>
  <c r="C6055" i="1"/>
  <c r="B6055" i="1"/>
  <c r="C6054" i="1"/>
  <c r="B6054" i="1"/>
  <c r="C6053" i="1"/>
  <c r="B6053" i="1"/>
  <c r="C6052" i="1"/>
  <c r="B6052" i="1"/>
  <c r="C6051" i="1"/>
  <c r="B6051" i="1"/>
  <c r="C6050" i="1"/>
  <c r="B6050" i="1"/>
  <c r="C6049" i="1"/>
  <c r="B6049" i="1"/>
  <c r="C6048" i="1"/>
  <c r="B6048" i="1"/>
  <c r="C6047" i="1"/>
  <c r="B6047" i="1"/>
  <c r="C6046" i="1"/>
  <c r="B6046" i="1"/>
  <c r="C6045" i="1"/>
  <c r="B6045" i="1"/>
  <c r="C6044" i="1"/>
  <c r="B6044" i="1"/>
  <c r="C6043" i="1"/>
  <c r="B6043" i="1"/>
  <c r="C6042" i="1"/>
  <c r="B6042" i="1"/>
  <c r="C6041" i="1"/>
  <c r="B6041" i="1"/>
  <c r="C6040" i="1"/>
  <c r="B6040" i="1"/>
  <c r="C6039" i="1"/>
  <c r="B6039" i="1"/>
  <c r="C6038" i="1"/>
  <c r="B6038" i="1"/>
  <c r="C6037" i="1"/>
  <c r="B6037" i="1"/>
  <c r="C6036" i="1"/>
  <c r="B6036" i="1"/>
  <c r="C6035" i="1"/>
  <c r="B6035" i="1"/>
  <c r="C6034" i="1"/>
  <c r="B6034" i="1"/>
  <c r="C6033" i="1"/>
  <c r="B6033" i="1"/>
  <c r="C6032" i="1"/>
  <c r="B6032" i="1"/>
  <c r="C6031" i="1"/>
  <c r="B6031" i="1"/>
  <c r="C6030" i="1"/>
  <c r="B6030" i="1"/>
  <c r="C6029" i="1"/>
  <c r="B6029" i="1"/>
  <c r="C6028" i="1"/>
  <c r="B6028" i="1"/>
  <c r="C6027" i="1"/>
  <c r="B6027" i="1"/>
  <c r="C6026" i="1"/>
  <c r="B6026" i="1"/>
  <c r="C6025" i="1"/>
  <c r="B6025" i="1"/>
  <c r="C6024" i="1"/>
  <c r="B6024" i="1"/>
  <c r="C6023" i="1"/>
  <c r="B6023" i="1"/>
  <c r="C6022" i="1"/>
  <c r="B6022" i="1"/>
  <c r="C6021" i="1"/>
  <c r="B6021" i="1"/>
  <c r="C6020" i="1"/>
  <c r="B6020" i="1"/>
  <c r="C6019" i="1"/>
  <c r="B6019" i="1"/>
  <c r="C6018" i="1"/>
  <c r="B6018" i="1"/>
  <c r="C6017" i="1"/>
  <c r="B6017" i="1"/>
  <c r="C6016" i="1"/>
  <c r="B6016" i="1"/>
  <c r="C6015" i="1"/>
  <c r="B6015" i="1"/>
  <c r="C6014" i="1"/>
  <c r="B6014" i="1"/>
  <c r="C6013" i="1"/>
  <c r="B6013" i="1"/>
  <c r="C6012" i="1"/>
  <c r="B6012" i="1"/>
  <c r="C6011" i="1"/>
  <c r="B6011" i="1"/>
  <c r="C6010" i="1"/>
  <c r="B6010" i="1"/>
  <c r="C6009" i="1"/>
  <c r="B6009" i="1"/>
  <c r="C6008" i="1"/>
  <c r="B6008" i="1"/>
  <c r="C6007" i="1"/>
  <c r="B6007" i="1"/>
  <c r="C6006" i="1"/>
  <c r="B6006" i="1"/>
  <c r="C6005" i="1"/>
  <c r="B6005" i="1"/>
  <c r="C6004" i="1"/>
  <c r="B6004" i="1"/>
  <c r="C6003" i="1"/>
  <c r="B6003" i="1"/>
  <c r="C6002" i="1"/>
  <c r="B6002" i="1"/>
  <c r="C6001" i="1"/>
  <c r="B6001" i="1"/>
  <c r="C6000" i="1"/>
  <c r="B6000" i="1"/>
  <c r="C5999" i="1"/>
  <c r="B5999" i="1"/>
  <c r="C5998" i="1"/>
  <c r="B5998" i="1"/>
  <c r="C5997" i="1"/>
  <c r="B5997" i="1"/>
  <c r="C5996" i="1"/>
  <c r="B5996" i="1"/>
  <c r="C5995" i="1"/>
  <c r="B5995" i="1"/>
  <c r="C5994" i="1"/>
  <c r="B5994" i="1"/>
  <c r="C5993" i="1"/>
  <c r="B5993" i="1"/>
  <c r="C5992" i="1"/>
  <c r="B5992" i="1"/>
  <c r="C5991" i="1"/>
  <c r="B5991" i="1"/>
  <c r="C5990" i="1"/>
  <c r="B5990" i="1"/>
  <c r="C5989" i="1"/>
  <c r="B5989" i="1"/>
  <c r="C5988" i="1"/>
  <c r="B5988" i="1"/>
  <c r="C5987" i="1"/>
  <c r="B5987" i="1"/>
  <c r="C5986" i="1"/>
  <c r="B5986" i="1"/>
  <c r="C5985" i="1"/>
  <c r="B5985" i="1"/>
  <c r="C5984" i="1"/>
  <c r="B5984" i="1"/>
  <c r="C5983" i="1"/>
  <c r="B5983" i="1"/>
  <c r="C5982" i="1"/>
  <c r="B5982" i="1"/>
  <c r="C5981" i="1"/>
  <c r="B5981" i="1"/>
  <c r="C5980" i="1"/>
  <c r="B5980" i="1"/>
  <c r="C5979" i="1"/>
  <c r="B5979" i="1"/>
  <c r="C5978" i="1"/>
  <c r="B5978" i="1"/>
  <c r="C5977" i="1"/>
  <c r="B5977" i="1"/>
  <c r="C5976" i="1"/>
  <c r="B5976" i="1"/>
  <c r="C5975" i="1"/>
  <c r="B5975" i="1"/>
  <c r="C5974" i="1"/>
  <c r="B5974" i="1"/>
  <c r="C5973" i="1"/>
  <c r="B5973" i="1"/>
  <c r="C5972" i="1"/>
  <c r="B5972" i="1"/>
  <c r="C5971" i="1"/>
  <c r="B5971" i="1"/>
  <c r="C5970" i="1"/>
  <c r="B5970" i="1"/>
  <c r="C5969" i="1"/>
  <c r="B5969" i="1"/>
  <c r="C5968" i="1"/>
  <c r="B5968" i="1"/>
  <c r="C5967" i="1"/>
  <c r="B5967" i="1"/>
  <c r="C5966" i="1"/>
  <c r="B5966" i="1"/>
  <c r="C5965" i="1"/>
  <c r="B5965" i="1"/>
  <c r="C5964" i="1"/>
  <c r="B5964" i="1"/>
  <c r="C5963" i="1"/>
  <c r="B5963" i="1"/>
  <c r="C5962" i="1"/>
  <c r="B5962" i="1"/>
  <c r="C5961" i="1"/>
  <c r="B5961" i="1"/>
  <c r="C5960" i="1"/>
  <c r="B5960" i="1"/>
  <c r="C5959" i="1"/>
  <c r="B5959" i="1"/>
  <c r="C5958" i="1"/>
  <c r="B5958" i="1"/>
  <c r="C5957" i="1"/>
  <c r="B5957" i="1"/>
  <c r="C5956" i="1"/>
  <c r="B5956" i="1"/>
  <c r="C5955" i="1"/>
  <c r="B5955" i="1"/>
  <c r="C5954" i="1"/>
  <c r="B5954" i="1"/>
  <c r="C5953" i="1"/>
  <c r="B5953" i="1"/>
  <c r="C5952" i="1"/>
  <c r="B5952" i="1"/>
  <c r="C5951" i="1"/>
  <c r="B5951" i="1"/>
  <c r="C5950" i="1"/>
  <c r="B5950" i="1"/>
  <c r="C5949" i="1"/>
  <c r="B5949" i="1"/>
  <c r="C5948" i="1"/>
  <c r="B5948" i="1"/>
  <c r="C5947" i="1"/>
  <c r="B5947" i="1"/>
  <c r="C5946" i="1"/>
  <c r="B5946" i="1"/>
  <c r="C5945" i="1"/>
  <c r="B5945" i="1"/>
  <c r="C5944" i="1"/>
  <c r="B5944" i="1"/>
  <c r="C5943" i="1"/>
  <c r="B5943" i="1"/>
  <c r="C5942" i="1"/>
  <c r="B5942" i="1"/>
  <c r="C5941" i="1"/>
  <c r="B5941" i="1"/>
  <c r="C5940" i="1"/>
  <c r="B5940" i="1"/>
  <c r="C5939" i="1"/>
  <c r="B5939" i="1"/>
  <c r="C5938" i="1"/>
  <c r="B5938" i="1"/>
  <c r="C5937" i="1"/>
  <c r="B5937" i="1"/>
  <c r="C5936" i="1"/>
  <c r="B5936" i="1"/>
  <c r="C5935" i="1"/>
  <c r="B5935" i="1"/>
  <c r="C5934" i="1"/>
  <c r="B5934" i="1"/>
  <c r="C5933" i="1"/>
  <c r="B5933" i="1"/>
  <c r="C5932" i="1"/>
  <c r="B5932" i="1"/>
  <c r="C5931" i="1"/>
  <c r="B5931" i="1"/>
  <c r="C5930" i="1"/>
  <c r="B5930" i="1"/>
  <c r="C5929" i="1"/>
  <c r="B5929" i="1"/>
  <c r="C5928" i="1"/>
  <c r="B5928" i="1"/>
  <c r="C5927" i="1"/>
  <c r="B5927" i="1"/>
  <c r="C5926" i="1"/>
  <c r="B5926" i="1"/>
  <c r="C5925" i="1"/>
  <c r="B5925" i="1"/>
  <c r="C5924" i="1"/>
  <c r="B5924" i="1"/>
  <c r="C5923" i="1"/>
  <c r="B5923" i="1"/>
  <c r="C5922" i="1"/>
  <c r="B5922" i="1"/>
  <c r="C5921" i="1"/>
  <c r="B5921" i="1"/>
  <c r="C5920" i="1"/>
  <c r="B5920" i="1"/>
  <c r="C5919" i="1"/>
  <c r="B5919" i="1"/>
  <c r="C5918" i="1"/>
  <c r="B5918" i="1"/>
  <c r="C5917" i="1"/>
  <c r="B5917" i="1"/>
  <c r="C5916" i="1"/>
  <c r="B5916" i="1"/>
  <c r="C5915" i="1"/>
  <c r="B5915" i="1"/>
  <c r="C5914" i="1"/>
  <c r="B5914" i="1"/>
  <c r="C5913" i="1"/>
  <c r="B5913" i="1"/>
  <c r="C5912" i="1"/>
  <c r="B5912" i="1"/>
  <c r="C5911" i="1"/>
  <c r="B5911" i="1"/>
  <c r="C5910" i="1"/>
  <c r="B5910" i="1"/>
  <c r="C5909" i="1"/>
  <c r="B5909" i="1"/>
  <c r="C5908" i="1"/>
  <c r="B5908" i="1"/>
  <c r="C5907" i="1"/>
  <c r="B5907" i="1"/>
  <c r="C5906" i="1"/>
  <c r="B5906" i="1"/>
  <c r="C5905" i="1"/>
  <c r="B5905" i="1"/>
  <c r="C5904" i="1"/>
  <c r="B5904" i="1"/>
  <c r="C5903" i="1"/>
  <c r="B5903" i="1"/>
  <c r="C5902" i="1"/>
  <c r="B5902" i="1"/>
  <c r="C5901" i="1"/>
  <c r="B5901" i="1"/>
  <c r="C5900" i="1"/>
  <c r="B5900" i="1"/>
  <c r="C5899" i="1"/>
  <c r="B5899" i="1"/>
  <c r="C5898" i="1"/>
  <c r="B5898" i="1"/>
  <c r="C5897" i="1"/>
  <c r="B5897" i="1"/>
  <c r="C5896" i="1"/>
  <c r="B5896" i="1"/>
  <c r="C5895" i="1"/>
  <c r="B5895" i="1"/>
  <c r="C5894" i="1"/>
  <c r="B5894" i="1"/>
  <c r="C5893" i="1"/>
  <c r="B5893" i="1"/>
  <c r="C5892" i="1"/>
  <c r="B5892" i="1"/>
  <c r="C5891" i="1"/>
  <c r="B5891" i="1"/>
  <c r="C5890" i="1"/>
  <c r="B5890" i="1"/>
  <c r="C5889" i="1"/>
  <c r="B5889" i="1"/>
  <c r="C5888" i="1"/>
  <c r="B5888" i="1"/>
  <c r="C5887" i="1"/>
  <c r="B5887" i="1"/>
  <c r="C5886" i="1"/>
  <c r="B5886" i="1"/>
  <c r="C5885" i="1"/>
  <c r="B5885" i="1"/>
  <c r="C5884" i="1"/>
  <c r="B5884" i="1"/>
  <c r="C5883" i="1"/>
  <c r="B5883" i="1"/>
  <c r="C5882" i="1"/>
  <c r="B5882" i="1"/>
  <c r="C5881" i="1"/>
  <c r="B5881" i="1"/>
  <c r="C5880" i="1"/>
  <c r="B5880" i="1"/>
  <c r="C5879" i="1"/>
  <c r="B5879" i="1"/>
  <c r="C5878" i="1"/>
  <c r="B5878" i="1"/>
  <c r="C5877" i="1"/>
  <c r="B5877" i="1"/>
  <c r="C5876" i="1"/>
  <c r="B5876" i="1"/>
  <c r="C5875" i="1"/>
  <c r="B5875" i="1"/>
  <c r="C5874" i="1"/>
  <c r="B5874" i="1"/>
  <c r="C5873" i="1"/>
  <c r="B5873" i="1"/>
  <c r="C5872" i="1"/>
  <c r="B5872" i="1"/>
  <c r="C5871" i="1"/>
  <c r="B5871" i="1"/>
  <c r="C5870" i="1"/>
  <c r="B5870" i="1"/>
  <c r="C5869" i="1"/>
  <c r="B5869" i="1"/>
  <c r="C5868" i="1"/>
  <c r="B5868" i="1"/>
  <c r="C5867" i="1"/>
  <c r="B5867" i="1"/>
  <c r="C5866" i="1"/>
  <c r="B5866" i="1"/>
  <c r="C5865" i="1"/>
  <c r="B5865" i="1"/>
  <c r="C5864" i="1"/>
  <c r="B5864" i="1"/>
  <c r="C5863" i="1"/>
  <c r="B5863" i="1"/>
  <c r="C5862" i="1"/>
  <c r="B5862" i="1"/>
  <c r="C5861" i="1"/>
  <c r="B5861" i="1"/>
  <c r="C5860" i="1"/>
  <c r="B5860" i="1"/>
  <c r="C5859" i="1"/>
  <c r="B5859" i="1"/>
  <c r="C5858" i="1"/>
  <c r="B5858" i="1"/>
  <c r="C5857" i="1"/>
  <c r="B5857" i="1"/>
  <c r="C5856" i="1"/>
  <c r="B5856" i="1"/>
  <c r="C5855" i="1"/>
  <c r="B5855" i="1"/>
  <c r="C5854" i="1"/>
  <c r="B5854" i="1"/>
  <c r="C5853" i="1"/>
  <c r="B5853" i="1"/>
  <c r="C5852" i="1"/>
  <c r="B5852" i="1"/>
  <c r="C5851" i="1"/>
  <c r="B5851" i="1"/>
  <c r="C5850" i="1"/>
  <c r="B5850" i="1"/>
  <c r="C5849" i="1"/>
  <c r="B5849" i="1"/>
  <c r="C5848" i="1"/>
  <c r="B5848" i="1"/>
  <c r="C5847" i="1"/>
  <c r="B5847" i="1"/>
  <c r="C5846" i="1"/>
  <c r="B5846" i="1"/>
  <c r="C5845" i="1"/>
  <c r="B5845" i="1"/>
  <c r="C5844" i="1"/>
  <c r="B5844" i="1"/>
  <c r="C5843" i="1"/>
  <c r="B5843" i="1"/>
  <c r="C5842" i="1"/>
  <c r="B5842" i="1"/>
  <c r="C5841" i="1"/>
  <c r="B5841" i="1"/>
  <c r="C5840" i="1"/>
  <c r="B5840" i="1"/>
  <c r="C5839" i="1"/>
  <c r="B5839" i="1"/>
  <c r="C5838" i="1"/>
  <c r="B5838" i="1"/>
  <c r="C5837" i="1"/>
  <c r="B5837" i="1"/>
  <c r="C5836" i="1"/>
  <c r="B5836" i="1"/>
  <c r="C5835" i="1"/>
  <c r="B5835" i="1"/>
  <c r="C5834" i="1"/>
  <c r="B5834" i="1"/>
  <c r="C5833" i="1"/>
  <c r="B5833" i="1"/>
  <c r="C5832" i="1"/>
  <c r="B5832" i="1"/>
  <c r="C5831" i="1"/>
  <c r="B5831" i="1"/>
  <c r="C5830" i="1"/>
  <c r="B5830" i="1"/>
  <c r="C5829" i="1"/>
  <c r="B5829" i="1"/>
  <c r="C5828" i="1"/>
  <c r="B5828" i="1"/>
  <c r="C5827" i="1"/>
  <c r="B5827" i="1"/>
  <c r="C5826" i="1"/>
  <c r="B5826" i="1"/>
  <c r="C5825" i="1"/>
  <c r="B5825" i="1"/>
  <c r="C5824" i="1"/>
  <c r="B5824" i="1"/>
  <c r="C5823" i="1"/>
  <c r="B5823" i="1"/>
  <c r="C5822" i="1"/>
  <c r="B5822" i="1"/>
  <c r="C5821" i="1"/>
  <c r="B5821" i="1"/>
  <c r="C5820" i="1"/>
  <c r="B5820" i="1"/>
  <c r="C5819" i="1"/>
  <c r="B5819" i="1"/>
  <c r="C5818" i="1"/>
  <c r="B5818" i="1"/>
  <c r="C5817" i="1"/>
  <c r="B5817" i="1"/>
  <c r="C5816" i="1"/>
  <c r="B5816" i="1"/>
  <c r="C5815" i="1"/>
  <c r="B5815" i="1"/>
  <c r="C5814" i="1"/>
  <c r="B5814" i="1"/>
  <c r="C5813" i="1"/>
  <c r="B5813" i="1"/>
  <c r="C5812" i="1"/>
  <c r="B5812" i="1"/>
  <c r="C5811" i="1"/>
  <c r="B5811" i="1"/>
  <c r="C5810" i="1"/>
  <c r="B5810" i="1"/>
  <c r="C5809" i="1"/>
  <c r="B5809" i="1"/>
  <c r="C5808" i="1"/>
  <c r="B5808" i="1"/>
  <c r="C5807" i="1"/>
  <c r="B5807" i="1"/>
  <c r="C5806" i="1"/>
  <c r="B5806" i="1"/>
  <c r="C5805" i="1"/>
  <c r="B5805" i="1"/>
  <c r="C5804" i="1"/>
  <c r="B5804" i="1"/>
  <c r="C5803" i="1"/>
  <c r="B5803" i="1"/>
  <c r="C5802" i="1"/>
  <c r="B5802" i="1"/>
  <c r="C5801" i="1"/>
  <c r="B5801" i="1"/>
  <c r="C5800" i="1"/>
  <c r="B5800" i="1"/>
  <c r="C5799" i="1"/>
  <c r="B5799" i="1"/>
  <c r="C5798" i="1"/>
  <c r="B5798" i="1"/>
  <c r="C5797" i="1"/>
  <c r="B5797" i="1"/>
  <c r="C5796" i="1"/>
  <c r="B5796" i="1"/>
  <c r="C5795" i="1"/>
  <c r="B5795" i="1"/>
  <c r="C5794" i="1"/>
  <c r="B5794" i="1"/>
  <c r="C5793" i="1"/>
  <c r="B5793" i="1"/>
  <c r="C5792" i="1"/>
  <c r="B5792" i="1"/>
  <c r="C5791" i="1"/>
  <c r="B5791" i="1"/>
  <c r="C5790" i="1"/>
  <c r="B5790" i="1"/>
  <c r="C5789" i="1"/>
  <c r="B5789" i="1"/>
  <c r="C5788" i="1"/>
  <c r="B5788" i="1"/>
  <c r="C5787" i="1"/>
  <c r="B5787" i="1"/>
  <c r="C5786" i="1"/>
  <c r="B5786" i="1"/>
  <c r="C5785" i="1"/>
  <c r="B5785" i="1"/>
  <c r="C5784" i="1"/>
  <c r="B5784" i="1"/>
  <c r="C5783" i="1"/>
  <c r="B5783" i="1"/>
  <c r="C5782" i="1"/>
  <c r="B5782" i="1"/>
  <c r="C5781" i="1"/>
  <c r="B5781" i="1"/>
  <c r="C5780" i="1"/>
  <c r="B5780" i="1"/>
  <c r="C5779" i="1"/>
  <c r="B5779" i="1"/>
  <c r="C5778" i="1"/>
  <c r="B5778" i="1"/>
  <c r="C5777" i="1"/>
  <c r="B5777" i="1"/>
  <c r="C5776" i="1"/>
  <c r="B5776" i="1"/>
  <c r="C5775" i="1"/>
  <c r="B5775" i="1"/>
  <c r="C5774" i="1"/>
  <c r="B5774" i="1"/>
  <c r="C5773" i="1"/>
  <c r="B5773" i="1"/>
  <c r="C5772" i="1"/>
  <c r="B5772" i="1"/>
  <c r="C5771" i="1"/>
  <c r="B5771" i="1"/>
  <c r="C5770" i="1"/>
  <c r="B5770" i="1"/>
  <c r="C5769" i="1"/>
  <c r="B5769" i="1"/>
  <c r="C5768" i="1"/>
  <c r="B5768" i="1"/>
  <c r="C5767" i="1"/>
  <c r="B5767" i="1"/>
  <c r="C5766" i="1"/>
  <c r="B5766" i="1"/>
  <c r="C5765" i="1"/>
  <c r="B5765" i="1"/>
  <c r="C5764" i="1"/>
  <c r="B5764" i="1"/>
  <c r="C5763" i="1"/>
  <c r="B5763" i="1"/>
  <c r="C5762" i="1"/>
  <c r="B5762" i="1"/>
  <c r="C5761" i="1"/>
  <c r="B5761" i="1"/>
  <c r="C5760" i="1"/>
  <c r="B5760" i="1"/>
  <c r="C5759" i="1"/>
  <c r="B5759" i="1"/>
  <c r="C5758" i="1"/>
  <c r="B5758" i="1"/>
  <c r="C5757" i="1"/>
  <c r="B5757" i="1"/>
  <c r="C5756" i="1"/>
  <c r="B5756" i="1"/>
  <c r="C5755" i="1"/>
  <c r="B5755" i="1"/>
  <c r="C5754" i="1"/>
  <c r="B5754" i="1"/>
  <c r="C5753" i="1"/>
  <c r="B5753" i="1"/>
  <c r="C5752" i="1"/>
  <c r="B5752" i="1"/>
  <c r="C5751" i="1"/>
  <c r="B5751" i="1"/>
  <c r="C5750" i="1"/>
  <c r="B5750" i="1"/>
  <c r="C5749" i="1"/>
  <c r="B5749" i="1"/>
  <c r="C5748" i="1"/>
  <c r="B5748" i="1"/>
  <c r="C5747" i="1"/>
  <c r="B5747" i="1"/>
  <c r="C5746" i="1"/>
  <c r="B5746" i="1"/>
  <c r="C5745" i="1"/>
  <c r="B5745" i="1"/>
  <c r="C5744" i="1"/>
  <c r="B5744" i="1"/>
  <c r="C5743" i="1"/>
  <c r="B5743" i="1"/>
  <c r="C5742" i="1"/>
  <c r="B5742" i="1"/>
  <c r="C5741" i="1"/>
  <c r="B5741" i="1"/>
  <c r="C5740" i="1"/>
  <c r="B5740" i="1"/>
  <c r="C5739" i="1"/>
  <c r="B5739" i="1"/>
  <c r="C5738" i="1"/>
  <c r="B5738" i="1"/>
  <c r="C5737" i="1"/>
  <c r="B5737" i="1"/>
  <c r="C5736" i="1"/>
  <c r="B5736" i="1"/>
  <c r="C5735" i="1"/>
  <c r="B5735" i="1"/>
  <c r="C5734" i="1"/>
  <c r="B5734" i="1"/>
  <c r="C5733" i="1"/>
  <c r="B5733" i="1"/>
  <c r="C5732" i="1"/>
  <c r="B5732" i="1"/>
  <c r="C5731" i="1"/>
  <c r="B5731" i="1"/>
  <c r="C5730" i="1"/>
  <c r="B5730" i="1"/>
  <c r="C5729" i="1"/>
  <c r="B5729" i="1"/>
  <c r="C5728" i="1"/>
  <c r="B5728" i="1"/>
  <c r="C5727" i="1"/>
  <c r="B5727" i="1"/>
  <c r="C5726" i="1"/>
  <c r="B5726" i="1"/>
  <c r="C5725" i="1"/>
  <c r="B5725" i="1"/>
  <c r="C5724" i="1"/>
  <c r="B5724" i="1"/>
  <c r="C5723" i="1"/>
  <c r="B5723" i="1"/>
  <c r="C5722" i="1"/>
  <c r="B5722" i="1"/>
  <c r="C5721" i="1"/>
  <c r="B5721" i="1"/>
  <c r="C5720" i="1"/>
  <c r="B5720" i="1"/>
  <c r="C5719" i="1"/>
  <c r="B5719" i="1"/>
  <c r="C5718" i="1"/>
  <c r="B5718" i="1"/>
  <c r="C5717" i="1"/>
  <c r="B5717" i="1"/>
  <c r="C5716" i="1"/>
  <c r="B5716" i="1"/>
  <c r="C5715" i="1"/>
  <c r="B5715" i="1"/>
  <c r="C5714" i="1"/>
  <c r="B5714" i="1"/>
  <c r="C5713" i="1"/>
  <c r="B5713" i="1"/>
  <c r="C5712" i="1"/>
  <c r="B5712" i="1"/>
  <c r="C5711" i="1"/>
  <c r="B5711" i="1"/>
  <c r="C5710" i="1"/>
  <c r="B5710" i="1"/>
  <c r="C5709" i="1"/>
  <c r="B5709" i="1"/>
  <c r="C5708" i="1"/>
  <c r="B5708" i="1"/>
  <c r="C5707" i="1"/>
  <c r="B5707" i="1"/>
  <c r="C5706" i="1"/>
  <c r="B5706" i="1"/>
  <c r="C5705" i="1"/>
  <c r="B5705" i="1"/>
  <c r="C5704" i="1"/>
  <c r="B5704" i="1"/>
  <c r="C5703" i="1"/>
  <c r="B5703" i="1"/>
  <c r="C5702" i="1"/>
  <c r="B5702" i="1"/>
  <c r="C5701" i="1"/>
  <c r="B5701" i="1"/>
  <c r="C5700" i="1"/>
  <c r="B5700" i="1"/>
  <c r="C5699" i="1"/>
  <c r="B5699" i="1"/>
  <c r="C5698" i="1"/>
  <c r="B5698" i="1"/>
  <c r="C5697" i="1"/>
  <c r="B5697" i="1"/>
  <c r="C5696" i="1"/>
  <c r="B5696" i="1"/>
  <c r="C5695" i="1"/>
  <c r="B5695" i="1"/>
  <c r="C5694" i="1"/>
  <c r="B5694" i="1"/>
  <c r="C5693" i="1"/>
  <c r="B5693" i="1"/>
  <c r="C5692" i="1"/>
  <c r="B5692" i="1"/>
  <c r="C5691" i="1"/>
  <c r="B5691" i="1"/>
  <c r="C5690" i="1"/>
  <c r="B5690" i="1"/>
  <c r="C5689" i="1"/>
  <c r="B5689" i="1"/>
  <c r="C5688" i="1"/>
  <c r="B5688" i="1"/>
  <c r="C5687" i="1"/>
  <c r="B5687" i="1"/>
  <c r="C5686" i="1"/>
  <c r="B5686" i="1"/>
  <c r="C5685" i="1"/>
  <c r="B5685" i="1"/>
  <c r="C5684" i="1"/>
  <c r="B5684" i="1"/>
  <c r="C5683" i="1"/>
  <c r="B5683" i="1"/>
  <c r="C5682" i="1"/>
  <c r="B5682" i="1"/>
  <c r="C5681" i="1"/>
  <c r="B5681" i="1"/>
  <c r="C5680" i="1"/>
  <c r="B5680" i="1"/>
  <c r="C5679" i="1"/>
  <c r="B5679" i="1"/>
  <c r="C5678" i="1"/>
  <c r="B5678" i="1"/>
  <c r="C5677" i="1"/>
  <c r="B5677" i="1"/>
  <c r="C5676" i="1"/>
  <c r="B5676" i="1"/>
  <c r="C5675" i="1"/>
  <c r="B5675" i="1"/>
  <c r="C5674" i="1"/>
  <c r="B5674" i="1"/>
  <c r="C5673" i="1"/>
  <c r="B5673" i="1"/>
  <c r="C5672" i="1"/>
  <c r="B5672" i="1"/>
  <c r="C5671" i="1"/>
  <c r="B5671" i="1"/>
  <c r="C5670" i="1"/>
  <c r="B5670" i="1"/>
  <c r="C5669" i="1"/>
  <c r="B5669" i="1"/>
  <c r="C5668" i="1"/>
  <c r="B5668" i="1"/>
  <c r="C5667" i="1"/>
  <c r="B5667" i="1"/>
  <c r="C5666" i="1"/>
  <c r="B5666" i="1"/>
  <c r="C5665" i="1"/>
  <c r="B5665" i="1"/>
  <c r="C5664" i="1"/>
  <c r="B5664" i="1"/>
  <c r="C5663" i="1"/>
  <c r="B5663" i="1"/>
  <c r="C5662" i="1"/>
  <c r="B5662" i="1"/>
  <c r="C5661" i="1"/>
  <c r="B5661" i="1"/>
  <c r="C5660" i="1"/>
  <c r="B5660" i="1"/>
  <c r="C5659" i="1"/>
  <c r="B5659" i="1"/>
  <c r="C5658" i="1"/>
  <c r="B5658" i="1"/>
  <c r="C5657" i="1"/>
  <c r="B5657" i="1"/>
  <c r="C5656" i="1"/>
  <c r="B5656" i="1"/>
  <c r="C5655" i="1"/>
  <c r="B5655" i="1"/>
  <c r="C5654" i="1"/>
  <c r="B5654" i="1"/>
  <c r="C5653" i="1"/>
  <c r="B5653" i="1"/>
  <c r="C5652" i="1"/>
  <c r="B5652" i="1"/>
  <c r="C5651" i="1"/>
  <c r="B5651" i="1"/>
  <c r="C5650" i="1"/>
  <c r="B5650" i="1"/>
  <c r="C5649" i="1"/>
  <c r="B5649" i="1"/>
  <c r="C5648" i="1"/>
  <c r="B5648" i="1"/>
  <c r="C5647" i="1"/>
  <c r="B5647" i="1"/>
  <c r="C5646" i="1"/>
  <c r="B5646" i="1"/>
  <c r="C5645" i="1"/>
  <c r="B5645" i="1"/>
  <c r="C5644" i="1"/>
  <c r="B5644" i="1"/>
  <c r="C5643" i="1"/>
  <c r="B5643" i="1"/>
  <c r="C5642" i="1"/>
  <c r="B5642" i="1"/>
  <c r="C5641" i="1"/>
  <c r="B5641" i="1"/>
  <c r="C5640" i="1"/>
  <c r="B5640" i="1"/>
  <c r="C5639" i="1"/>
  <c r="B5639" i="1"/>
  <c r="C5638" i="1"/>
  <c r="B5638" i="1"/>
  <c r="C5637" i="1"/>
  <c r="B5637" i="1"/>
  <c r="C5636" i="1"/>
  <c r="B5636" i="1"/>
  <c r="C5635" i="1"/>
  <c r="B5635" i="1"/>
  <c r="C5634" i="1"/>
  <c r="B5634" i="1"/>
  <c r="C5633" i="1"/>
  <c r="B5633" i="1"/>
  <c r="C5632" i="1"/>
  <c r="B5632" i="1"/>
  <c r="C5631" i="1"/>
  <c r="B5631" i="1"/>
  <c r="C5630" i="1"/>
  <c r="B5630" i="1"/>
  <c r="C5629" i="1"/>
  <c r="B5629" i="1"/>
  <c r="C5628" i="1"/>
  <c r="B5628" i="1"/>
  <c r="C5627" i="1"/>
  <c r="B5627" i="1"/>
  <c r="C5626" i="1"/>
  <c r="B5626" i="1"/>
  <c r="C5625" i="1"/>
  <c r="B5625" i="1"/>
  <c r="C5624" i="1"/>
  <c r="B5624" i="1"/>
  <c r="C5623" i="1"/>
  <c r="B5623" i="1"/>
  <c r="C5622" i="1"/>
  <c r="B5622" i="1"/>
  <c r="C5621" i="1"/>
  <c r="B5621" i="1"/>
  <c r="C5620" i="1"/>
  <c r="B5620" i="1"/>
  <c r="C5619" i="1"/>
  <c r="B5619" i="1"/>
  <c r="C5618" i="1"/>
  <c r="B5618" i="1"/>
  <c r="C5617" i="1"/>
  <c r="B5617" i="1"/>
  <c r="C5616" i="1"/>
  <c r="B5616" i="1"/>
  <c r="C5615" i="1"/>
  <c r="B5615" i="1"/>
  <c r="C5614" i="1"/>
  <c r="B5614" i="1"/>
  <c r="C5613" i="1"/>
  <c r="B5613" i="1"/>
  <c r="C5612" i="1"/>
  <c r="B5612" i="1"/>
  <c r="C5611" i="1"/>
  <c r="B5611" i="1"/>
  <c r="C5610" i="1"/>
  <c r="B5610" i="1"/>
  <c r="C5609" i="1"/>
  <c r="B5609" i="1"/>
  <c r="C5608" i="1"/>
  <c r="B5608" i="1"/>
  <c r="C5607" i="1"/>
  <c r="B5607" i="1"/>
  <c r="C5606" i="1"/>
  <c r="B5606" i="1"/>
  <c r="C5605" i="1"/>
  <c r="B5605" i="1"/>
  <c r="C5604" i="1"/>
  <c r="B5604" i="1"/>
  <c r="C5603" i="1"/>
  <c r="B5603" i="1"/>
  <c r="C5602" i="1"/>
  <c r="B5602" i="1"/>
  <c r="C5601" i="1"/>
  <c r="B5601" i="1"/>
  <c r="C5600" i="1"/>
  <c r="B5600" i="1"/>
  <c r="C5599" i="1"/>
  <c r="B5599" i="1"/>
  <c r="C5598" i="1"/>
  <c r="B5598" i="1"/>
  <c r="C5597" i="1"/>
  <c r="B5597" i="1"/>
  <c r="C5596" i="1"/>
  <c r="B5596" i="1"/>
  <c r="C5595" i="1"/>
  <c r="B5595" i="1"/>
  <c r="C5594" i="1"/>
  <c r="B5594" i="1"/>
  <c r="C5593" i="1"/>
  <c r="B5593" i="1"/>
  <c r="C5592" i="1"/>
  <c r="B5592" i="1"/>
  <c r="C5591" i="1"/>
  <c r="B5591" i="1"/>
  <c r="C5590" i="1"/>
  <c r="B5590" i="1"/>
  <c r="C5589" i="1"/>
  <c r="B5589" i="1"/>
  <c r="C5588" i="1"/>
  <c r="B5588" i="1"/>
  <c r="C5587" i="1"/>
  <c r="B5587" i="1"/>
  <c r="C5586" i="1"/>
  <c r="B5586" i="1"/>
  <c r="C5585" i="1"/>
  <c r="B5585" i="1"/>
  <c r="C5584" i="1"/>
  <c r="B5584" i="1"/>
  <c r="C5583" i="1"/>
  <c r="B5583" i="1"/>
  <c r="C5582" i="1"/>
  <c r="B5582" i="1"/>
  <c r="C5581" i="1"/>
  <c r="B5581" i="1"/>
  <c r="C5580" i="1"/>
  <c r="B5580" i="1"/>
  <c r="C5579" i="1"/>
  <c r="B5579" i="1"/>
  <c r="C5578" i="1"/>
  <c r="B5578" i="1"/>
  <c r="C5577" i="1"/>
  <c r="B5577" i="1"/>
  <c r="C5576" i="1"/>
  <c r="B5576" i="1"/>
  <c r="C5575" i="1"/>
  <c r="B5575" i="1"/>
  <c r="C5574" i="1"/>
  <c r="B5574" i="1"/>
  <c r="C5573" i="1"/>
  <c r="B5573" i="1"/>
  <c r="C5572" i="1"/>
  <c r="B5572" i="1"/>
  <c r="C5571" i="1"/>
  <c r="B5571" i="1"/>
  <c r="C5570" i="1"/>
  <c r="B5570" i="1"/>
  <c r="C5569" i="1"/>
  <c r="B5569" i="1"/>
  <c r="C5568" i="1"/>
  <c r="B5568" i="1"/>
  <c r="C5567" i="1"/>
  <c r="B5567" i="1"/>
  <c r="C5566" i="1"/>
  <c r="B5566" i="1"/>
  <c r="C5565" i="1"/>
  <c r="B5565" i="1"/>
  <c r="C5564" i="1"/>
  <c r="B5564" i="1"/>
  <c r="C5563" i="1"/>
  <c r="B5563" i="1"/>
  <c r="C5562" i="1"/>
  <c r="B5562" i="1"/>
  <c r="C5561" i="1"/>
  <c r="B5561" i="1"/>
  <c r="C5560" i="1"/>
  <c r="B5560" i="1"/>
  <c r="C5559" i="1"/>
  <c r="B5559" i="1"/>
  <c r="C5558" i="1"/>
  <c r="B5558" i="1"/>
  <c r="C5557" i="1"/>
  <c r="B5557" i="1"/>
  <c r="C5556" i="1"/>
  <c r="B5556" i="1"/>
  <c r="C5555" i="1"/>
  <c r="B5555" i="1"/>
  <c r="C5554" i="1"/>
  <c r="B5554" i="1"/>
  <c r="C5553" i="1"/>
  <c r="B5553" i="1"/>
  <c r="C5552" i="1"/>
  <c r="B5552" i="1"/>
  <c r="C5551" i="1"/>
  <c r="B5551" i="1"/>
  <c r="C5550" i="1"/>
  <c r="B5550" i="1"/>
  <c r="C5549" i="1"/>
  <c r="B5549" i="1"/>
  <c r="C5548" i="1"/>
  <c r="B5548" i="1"/>
  <c r="C5547" i="1"/>
  <c r="B5547" i="1"/>
  <c r="C5546" i="1"/>
  <c r="B5546" i="1"/>
  <c r="C5545" i="1"/>
  <c r="B5545" i="1"/>
  <c r="C5544" i="1"/>
  <c r="B5544" i="1"/>
  <c r="C5543" i="1"/>
  <c r="B5543" i="1"/>
  <c r="C5542" i="1"/>
  <c r="B5542" i="1"/>
  <c r="C5541" i="1"/>
  <c r="B5541" i="1"/>
  <c r="C5540" i="1"/>
  <c r="B5540" i="1"/>
  <c r="C5539" i="1"/>
  <c r="B5539" i="1"/>
  <c r="C5538" i="1"/>
  <c r="B5538" i="1"/>
  <c r="C5537" i="1"/>
  <c r="B5537" i="1"/>
  <c r="C5536" i="1"/>
  <c r="B5536" i="1"/>
  <c r="C5535" i="1"/>
  <c r="B5535" i="1"/>
  <c r="C5534" i="1"/>
  <c r="B5534" i="1"/>
  <c r="C5533" i="1"/>
  <c r="B5533" i="1"/>
  <c r="C5532" i="1"/>
  <c r="B5532" i="1"/>
  <c r="C5531" i="1"/>
  <c r="B5531" i="1"/>
  <c r="C5530" i="1"/>
  <c r="B5530" i="1"/>
  <c r="C5529" i="1"/>
  <c r="B5529" i="1"/>
  <c r="C5528" i="1"/>
  <c r="B5528" i="1"/>
  <c r="C5527" i="1"/>
  <c r="B5527" i="1"/>
  <c r="C5526" i="1"/>
  <c r="B5526" i="1"/>
  <c r="C5525" i="1"/>
  <c r="B5525" i="1"/>
  <c r="C5524" i="1"/>
  <c r="B5524" i="1"/>
  <c r="C5523" i="1"/>
  <c r="B5523" i="1"/>
  <c r="C5522" i="1"/>
  <c r="B5522" i="1"/>
  <c r="C5521" i="1"/>
  <c r="B5521" i="1"/>
  <c r="C5520" i="1"/>
  <c r="B5520" i="1"/>
  <c r="C5519" i="1"/>
  <c r="B5519" i="1"/>
  <c r="C5518" i="1"/>
  <c r="B5518" i="1"/>
  <c r="C5517" i="1"/>
  <c r="B5517" i="1"/>
  <c r="C5516" i="1"/>
  <c r="B5516" i="1"/>
  <c r="C5515" i="1"/>
  <c r="B5515" i="1"/>
  <c r="C5514" i="1"/>
  <c r="B5514" i="1"/>
  <c r="C5513" i="1"/>
  <c r="B5513" i="1"/>
  <c r="C5512" i="1"/>
  <c r="B5512" i="1"/>
  <c r="C5511" i="1"/>
  <c r="B5511" i="1"/>
  <c r="C5510" i="1"/>
  <c r="B5510" i="1"/>
  <c r="C5509" i="1"/>
  <c r="B5509" i="1"/>
  <c r="C5508" i="1"/>
  <c r="B5508" i="1"/>
  <c r="C5507" i="1"/>
  <c r="B5507" i="1"/>
  <c r="C5506" i="1"/>
  <c r="B5506" i="1"/>
  <c r="C5505" i="1"/>
  <c r="B5505" i="1"/>
  <c r="C5504" i="1"/>
  <c r="B5504" i="1"/>
  <c r="C5503" i="1"/>
  <c r="B5503" i="1"/>
  <c r="C5502" i="1"/>
  <c r="B5502" i="1"/>
  <c r="C5501" i="1"/>
  <c r="B5501" i="1"/>
  <c r="C5500" i="1"/>
  <c r="B5500" i="1"/>
  <c r="C5499" i="1"/>
  <c r="B5499" i="1"/>
  <c r="C5498" i="1"/>
  <c r="B5498" i="1"/>
  <c r="C5497" i="1"/>
  <c r="B5497" i="1"/>
  <c r="C5496" i="1"/>
  <c r="B5496" i="1"/>
  <c r="C5495" i="1"/>
  <c r="B5495" i="1"/>
  <c r="C5494" i="1"/>
  <c r="B5494" i="1"/>
  <c r="C5493" i="1"/>
  <c r="B5493" i="1"/>
  <c r="C5492" i="1"/>
  <c r="B5492" i="1"/>
  <c r="C5491" i="1"/>
  <c r="B5491" i="1"/>
  <c r="C5490" i="1"/>
  <c r="B5490" i="1"/>
  <c r="C5489" i="1"/>
  <c r="B5489" i="1"/>
  <c r="C5488" i="1"/>
  <c r="B5488" i="1"/>
  <c r="C5487" i="1"/>
  <c r="B5487" i="1"/>
  <c r="C5486" i="1"/>
  <c r="B5486" i="1"/>
  <c r="C5485" i="1"/>
  <c r="B5485" i="1"/>
  <c r="C5484" i="1"/>
  <c r="B5484" i="1"/>
  <c r="C5483" i="1"/>
  <c r="B5483" i="1"/>
  <c r="C5482" i="1"/>
  <c r="B5482" i="1"/>
  <c r="C5481" i="1"/>
  <c r="B5481" i="1"/>
  <c r="C5480" i="1"/>
  <c r="B5480" i="1"/>
  <c r="C5479" i="1"/>
  <c r="B5479" i="1"/>
  <c r="C5478" i="1"/>
  <c r="B5478" i="1"/>
  <c r="C5477" i="1"/>
  <c r="B5477" i="1"/>
  <c r="C5476" i="1"/>
  <c r="B5476" i="1"/>
  <c r="C5475" i="1"/>
  <c r="B5475" i="1"/>
  <c r="C5474" i="1"/>
  <c r="B5474" i="1"/>
  <c r="C5473" i="1"/>
  <c r="B5473" i="1"/>
  <c r="C5472" i="1"/>
  <c r="B5472" i="1"/>
  <c r="C5471" i="1"/>
  <c r="B5471" i="1"/>
  <c r="C5470" i="1"/>
  <c r="B5470" i="1"/>
  <c r="C5469" i="1"/>
  <c r="B5469" i="1"/>
  <c r="C5468" i="1"/>
  <c r="B5468" i="1"/>
  <c r="C5467" i="1"/>
  <c r="B5467" i="1"/>
  <c r="C5466" i="1"/>
  <c r="B5466" i="1"/>
  <c r="C5465" i="1"/>
  <c r="B5465" i="1"/>
  <c r="C5464" i="1"/>
  <c r="B5464" i="1"/>
  <c r="C5463" i="1"/>
  <c r="B5463" i="1"/>
  <c r="C5462" i="1"/>
  <c r="B5462" i="1"/>
  <c r="C5461" i="1"/>
  <c r="B5461" i="1"/>
  <c r="C5460" i="1"/>
  <c r="B5460" i="1"/>
  <c r="C5459" i="1"/>
  <c r="B5459" i="1"/>
  <c r="C5458" i="1"/>
  <c r="B5458" i="1"/>
  <c r="C5457" i="1"/>
  <c r="B5457" i="1"/>
  <c r="C5456" i="1"/>
  <c r="B5456" i="1"/>
  <c r="C5455" i="1"/>
  <c r="B5455" i="1"/>
  <c r="C5454" i="1"/>
  <c r="B5454" i="1"/>
  <c r="C5453" i="1"/>
  <c r="B5453" i="1"/>
  <c r="C5452" i="1"/>
  <c r="B5452" i="1"/>
  <c r="C5451" i="1"/>
  <c r="B5451" i="1"/>
  <c r="C5450" i="1"/>
  <c r="B5450" i="1"/>
  <c r="C5449" i="1"/>
  <c r="B5449" i="1"/>
  <c r="C5448" i="1"/>
  <c r="B5448" i="1"/>
  <c r="C5447" i="1"/>
  <c r="B5447" i="1"/>
  <c r="C5446" i="1"/>
  <c r="B5446" i="1"/>
  <c r="C5445" i="1"/>
  <c r="B5445" i="1"/>
  <c r="C5444" i="1"/>
  <c r="B5444" i="1"/>
  <c r="C5443" i="1"/>
  <c r="B5443" i="1"/>
  <c r="C5442" i="1"/>
  <c r="B5442" i="1"/>
  <c r="C5441" i="1"/>
  <c r="B5441" i="1"/>
  <c r="C5440" i="1"/>
  <c r="B5440" i="1"/>
  <c r="C5439" i="1"/>
  <c r="B5439" i="1"/>
  <c r="C5438" i="1"/>
  <c r="B5438" i="1"/>
  <c r="C5437" i="1"/>
  <c r="B5437" i="1"/>
  <c r="C5436" i="1"/>
  <c r="B5436" i="1"/>
  <c r="C5435" i="1"/>
  <c r="B5435" i="1"/>
  <c r="C5434" i="1"/>
  <c r="B5434" i="1"/>
  <c r="C5433" i="1"/>
  <c r="B5433" i="1"/>
  <c r="C5432" i="1"/>
  <c r="B5432" i="1"/>
  <c r="C5431" i="1"/>
  <c r="B5431" i="1"/>
  <c r="C5430" i="1"/>
  <c r="B5430" i="1"/>
  <c r="C5429" i="1"/>
  <c r="B5429" i="1"/>
  <c r="C5428" i="1"/>
  <c r="B5428" i="1"/>
  <c r="C5427" i="1"/>
  <c r="B5427" i="1"/>
  <c r="C5426" i="1"/>
  <c r="B5426" i="1"/>
  <c r="C5425" i="1"/>
  <c r="B5425" i="1"/>
  <c r="C5424" i="1"/>
  <c r="B5424" i="1"/>
  <c r="C5423" i="1"/>
  <c r="B5423" i="1"/>
  <c r="C5422" i="1"/>
  <c r="B5422" i="1"/>
  <c r="C5421" i="1"/>
  <c r="B5421" i="1"/>
  <c r="C5420" i="1"/>
  <c r="B5420" i="1"/>
  <c r="C5419" i="1"/>
  <c r="B5419" i="1"/>
  <c r="C5418" i="1"/>
  <c r="B5418" i="1"/>
  <c r="C5417" i="1"/>
  <c r="B5417" i="1"/>
  <c r="C5416" i="1"/>
  <c r="B5416" i="1"/>
  <c r="C5415" i="1"/>
  <c r="B5415" i="1"/>
  <c r="C5414" i="1"/>
  <c r="B5414" i="1"/>
  <c r="C5413" i="1"/>
  <c r="B5413" i="1"/>
  <c r="C5412" i="1"/>
  <c r="B5412" i="1"/>
  <c r="C5411" i="1"/>
  <c r="B5411" i="1"/>
  <c r="C5410" i="1"/>
  <c r="B5410" i="1"/>
  <c r="C5409" i="1"/>
  <c r="B5409" i="1"/>
  <c r="C5408" i="1"/>
  <c r="B5408" i="1"/>
  <c r="C5407" i="1"/>
  <c r="B5407" i="1"/>
  <c r="C5406" i="1"/>
  <c r="B5406" i="1"/>
  <c r="C5405" i="1"/>
  <c r="B5405" i="1"/>
  <c r="C5404" i="1"/>
  <c r="B5404" i="1"/>
  <c r="C5403" i="1"/>
  <c r="B5403" i="1"/>
  <c r="C5402" i="1"/>
  <c r="B5402" i="1"/>
  <c r="C5401" i="1"/>
  <c r="B5401" i="1"/>
  <c r="C5400" i="1"/>
  <c r="B5400" i="1"/>
  <c r="C5399" i="1"/>
  <c r="B5399" i="1"/>
  <c r="C5398" i="1"/>
  <c r="B5398" i="1"/>
  <c r="C5397" i="1"/>
  <c r="B5397" i="1"/>
  <c r="C5396" i="1"/>
  <c r="B5396" i="1"/>
  <c r="C5395" i="1"/>
  <c r="B5395" i="1"/>
  <c r="C5394" i="1"/>
  <c r="B5394" i="1"/>
  <c r="C5393" i="1"/>
  <c r="B5393" i="1"/>
  <c r="C5392" i="1"/>
  <c r="B5392" i="1"/>
  <c r="C5391" i="1"/>
  <c r="B5391" i="1"/>
  <c r="C5390" i="1"/>
  <c r="B5390" i="1"/>
  <c r="C5389" i="1"/>
  <c r="B5389" i="1"/>
  <c r="C5388" i="1"/>
  <c r="B5388" i="1"/>
  <c r="C5387" i="1"/>
  <c r="B5387" i="1"/>
  <c r="C5386" i="1"/>
  <c r="B5386" i="1"/>
  <c r="C5385" i="1"/>
  <c r="B5385" i="1"/>
  <c r="C5384" i="1"/>
  <c r="B5384" i="1"/>
  <c r="C5383" i="1"/>
  <c r="B5383" i="1"/>
  <c r="C5382" i="1"/>
  <c r="B5382" i="1"/>
  <c r="C5381" i="1"/>
  <c r="B5381" i="1"/>
  <c r="C5380" i="1"/>
  <c r="B5380" i="1"/>
  <c r="C5379" i="1"/>
  <c r="B5379" i="1"/>
  <c r="C5378" i="1"/>
  <c r="B5378" i="1"/>
  <c r="C5377" i="1"/>
  <c r="B5377" i="1"/>
  <c r="C5376" i="1"/>
  <c r="B5376" i="1"/>
  <c r="C5375" i="1"/>
  <c r="B5375" i="1"/>
  <c r="C5374" i="1"/>
  <c r="B5374" i="1"/>
  <c r="C5373" i="1"/>
  <c r="B5373" i="1"/>
  <c r="C5372" i="1"/>
  <c r="B5372" i="1"/>
  <c r="C5371" i="1"/>
  <c r="B5371" i="1"/>
  <c r="C5370" i="1"/>
  <c r="B5370" i="1"/>
  <c r="C5369" i="1"/>
  <c r="B5369" i="1"/>
  <c r="C5368" i="1"/>
  <c r="B5368" i="1"/>
  <c r="C5367" i="1"/>
  <c r="B5367" i="1"/>
  <c r="C5366" i="1"/>
  <c r="B5366" i="1"/>
  <c r="C5365" i="1"/>
  <c r="B5365" i="1"/>
  <c r="C5364" i="1"/>
  <c r="B5364" i="1"/>
  <c r="C5363" i="1"/>
  <c r="B5363" i="1"/>
  <c r="C5362" i="1"/>
  <c r="B5362" i="1"/>
  <c r="C5361" i="1"/>
  <c r="B5361" i="1"/>
  <c r="C5360" i="1"/>
  <c r="B5360" i="1"/>
  <c r="C5359" i="1"/>
  <c r="B5359" i="1"/>
  <c r="C5358" i="1"/>
  <c r="B5358" i="1"/>
  <c r="C5357" i="1"/>
  <c r="B5357" i="1"/>
  <c r="C5356" i="1"/>
  <c r="B5356" i="1"/>
  <c r="C5355" i="1"/>
  <c r="B5355" i="1"/>
  <c r="C5354" i="1"/>
  <c r="B5354" i="1"/>
  <c r="C5353" i="1"/>
  <c r="B5353" i="1"/>
  <c r="C5352" i="1"/>
  <c r="B5352" i="1"/>
  <c r="C5351" i="1"/>
  <c r="B5351" i="1"/>
  <c r="C5350" i="1"/>
  <c r="B5350" i="1"/>
  <c r="C5349" i="1"/>
  <c r="B5349" i="1"/>
  <c r="C5348" i="1"/>
  <c r="B5348" i="1"/>
  <c r="C5347" i="1"/>
  <c r="B5347" i="1"/>
  <c r="C5346" i="1"/>
  <c r="B5346" i="1"/>
  <c r="C5345" i="1"/>
  <c r="B5345" i="1"/>
  <c r="C5344" i="1"/>
  <c r="B5344" i="1"/>
  <c r="C5343" i="1"/>
  <c r="B5343" i="1"/>
  <c r="C5342" i="1"/>
  <c r="B5342" i="1"/>
  <c r="C5341" i="1"/>
  <c r="B5341" i="1"/>
  <c r="C5340" i="1"/>
  <c r="B5340" i="1"/>
  <c r="C5339" i="1"/>
  <c r="B5339" i="1"/>
  <c r="C5338" i="1"/>
  <c r="B5338" i="1"/>
  <c r="C5337" i="1"/>
  <c r="B5337" i="1"/>
  <c r="C5336" i="1"/>
  <c r="B5336" i="1"/>
  <c r="C5335" i="1"/>
  <c r="B5335" i="1"/>
  <c r="C5334" i="1"/>
  <c r="B5334" i="1"/>
  <c r="C5333" i="1"/>
  <c r="B5333" i="1"/>
  <c r="C5332" i="1"/>
  <c r="B5332" i="1"/>
  <c r="C5331" i="1"/>
  <c r="B5331" i="1"/>
  <c r="C5330" i="1"/>
  <c r="B5330" i="1"/>
  <c r="C5329" i="1"/>
  <c r="B5329" i="1"/>
  <c r="C5328" i="1"/>
  <c r="B5328" i="1"/>
  <c r="C5327" i="1"/>
  <c r="B5327" i="1"/>
  <c r="C5326" i="1"/>
  <c r="B5326" i="1"/>
  <c r="C5325" i="1"/>
  <c r="B5325" i="1"/>
  <c r="C5324" i="1"/>
  <c r="B5324" i="1"/>
  <c r="C5323" i="1"/>
  <c r="B5323" i="1"/>
  <c r="C5322" i="1"/>
  <c r="B5322" i="1"/>
  <c r="C5321" i="1"/>
  <c r="B5321" i="1"/>
  <c r="C5320" i="1"/>
  <c r="B5320" i="1"/>
  <c r="C5319" i="1"/>
  <c r="B5319" i="1"/>
  <c r="C5318" i="1"/>
  <c r="B5318" i="1"/>
  <c r="C5317" i="1"/>
  <c r="B5317" i="1"/>
  <c r="C5316" i="1"/>
  <c r="B5316" i="1"/>
  <c r="C5315" i="1"/>
  <c r="B5315" i="1"/>
  <c r="C5314" i="1"/>
  <c r="B5314" i="1"/>
  <c r="C5313" i="1"/>
  <c r="B5313" i="1"/>
  <c r="C5312" i="1"/>
  <c r="B5312" i="1"/>
  <c r="C5311" i="1"/>
  <c r="B5311" i="1"/>
  <c r="C5310" i="1"/>
  <c r="B5310" i="1"/>
  <c r="C5309" i="1"/>
  <c r="B5309" i="1"/>
  <c r="C5308" i="1"/>
  <c r="B5308" i="1"/>
  <c r="C5307" i="1"/>
  <c r="B5307" i="1"/>
  <c r="C5306" i="1"/>
  <c r="B5306" i="1"/>
  <c r="C5305" i="1"/>
  <c r="B5305" i="1"/>
  <c r="C5304" i="1"/>
  <c r="B5304" i="1"/>
  <c r="C5303" i="1"/>
  <c r="B5303" i="1"/>
  <c r="C5302" i="1"/>
  <c r="B5302" i="1"/>
  <c r="C5301" i="1"/>
  <c r="B5301" i="1"/>
  <c r="C5300" i="1"/>
  <c r="B5300" i="1"/>
  <c r="C5299" i="1"/>
  <c r="B5299" i="1"/>
  <c r="C5298" i="1"/>
  <c r="B5298" i="1"/>
  <c r="C5297" i="1"/>
  <c r="B5297" i="1"/>
  <c r="C5296" i="1"/>
  <c r="B5296" i="1"/>
  <c r="C5295" i="1"/>
  <c r="B5295" i="1"/>
  <c r="C5294" i="1"/>
  <c r="B5294" i="1"/>
  <c r="C5293" i="1"/>
  <c r="B5293" i="1"/>
  <c r="C5292" i="1"/>
  <c r="B5292" i="1"/>
  <c r="C5291" i="1"/>
  <c r="B5291" i="1"/>
  <c r="C5290" i="1"/>
  <c r="B5290" i="1"/>
  <c r="C5289" i="1"/>
  <c r="B5289" i="1"/>
  <c r="C5288" i="1"/>
  <c r="B5288" i="1"/>
  <c r="C5287" i="1"/>
  <c r="B5287" i="1"/>
  <c r="C5286" i="1"/>
  <c r="B5286" i="1"/>
  <c r="C5285" i="1"/>
  <c r="B5285" i="1"/>
  <c r="C5284" i="1"/>
  <c r="B5284" i="1"/>
  <c r="C5283" i="1"/>
  <c r="B5283" i="1"/>
  <c r="C5282" i="1"/>
  <c r="B5282" i="1"/>
  <c r="C5281" i="1"/>
  <c r="B5281" i="1"/>
  <c r="C5280" i="1"/>
  <c r="B5280" i="1"/>
  <c r="C5279" i="1"/>
  <c r="B5279" i="1"/>
  <c r="C5278" i="1"/>
  <c r="B5278" i="1"/>
  <c r="C5277" i="1"/>
  <c r="B5277" i="1"/>
  <c r="C5276" i="1"/>
  <c r="B5276" i="1"/>
  <c r="C5275" i="1"/>
  <c r="B5275" i="1"/>
  <c r="C5274" i="1"/>
  <c r="B5274" i="1"/>
  <c r="C5273" i="1"/>
  <c r="B5273" i="1"/>
  <c r="C5272" i="1"/>
  <c r="B5272" i="1"/>
  <c r="C5271" i="1"/>
  <c r="B5271" i="1"/>
  <c r="C5270" i="1"/>
  <c r="B5270" i="1"/>
  <c r="C5269" i="1"/>
  <c r="B5269" i="1"/>
  <c r="C5268" i="1"/>
  <c r="B5268" i="1"/>
  <c r="C5267" i="1"/>
  <c r="B5267" i="1"/>
  <c r="C5266" i="1"/>
  <c r="B5266" i="1"/>
  <c r="C5265" i="1"/>
  <c r="B5265" i="1"/>
  <c r="C5264" i="1"/>
  <c r="B5264" i="1"/>
  <c r="C5263" i="1"/>
  <c r="B5263" i="1"/>
  <c r="C5262" i="1"/>
  <c r="B5262" i="1"/>
  <c r="C5261" i="1"/>
  <c r="B5261" i="1"/>
  <c r="C5260" i="1"/>
  <c r="B5260" i="1"/>
  <c r="C5259" i="1"/>
  <c r="B5259" i="1"/>
  <c r="C5258" i="1"/>
  <c r="B5258" i="1"/>
  <c r="C5257" i="1"/>
  <c r="B5257" i="1"/>
  <c r="C5256" i="1"/>
  <c r="B5256" i="1"/>
  <c r="C5255" i="1"/>
  <c r="B5255" i="1"/>
  <c r="C5254" i="1"/>
  <c r="B5254" i="1"/>
  <c r="C5253" i="1"/>
  <c r="B5253" i="1"/>
  <c r="C5252" i="1"/>
  <c r="B5252" i="1"/>
  <c r="C5251" i="1"/>
  <c r="B5251" i="1"/>
  <c r="C5250" i="1"/>
  <c r="B5250" i="1"/>
  <c r="C5249" i="1"/>
  <c r="B5249" i="1"/>
  <c r="C5248" i="1"/>
  <c r="B5248" i="1"/>
  <c r="C5247" i="1"/>
  <c r="B5247" i="1"/>
  <c r="C5246" i="1"/>
  <c r="B5246" i="1"/>
  <c r="C5245" i="1"/>
  <c r="B5245" i="1"/>
  <c r="C5244" i="1"/>
  <c r="B5244" i="1"/>
  <c r="C5243" i="1"/>
  <c r="B5243" i="1"/>
  <c r="C5242" i="1"/>
  <c r="B5242" i="1"/>
  <c r="C5241" i="1"/>
  <c r="B5241" i="1"/>
  <c r="C5240" i="1"/>
  <c r="B5240" i="1"/>
  <c r="C5239" i="1"/>
  <c r="B5239" i="1"/>
  <c r="C5238" i="1"/>
  <c r="B5238" i="1"/>
  <c r="C5237" i="1"/>
  <c r="B5237" i="1"/>
  <c r="C5236" i="1"/>
  <c r="B5236" i="1"/>
  <c r="C5235" i="1"/>
  <c r="B5235" i="1"/>
  <c r="C5234" i="1"/>
  <c r="B5234" i="1"/>
  <c r="C5233" i="1"/>
  <c r="B5233" i="1"/>
  <c r="C5232" i="1"/>
  <c r="B5232" i="1"/>
  <c r="C5231" i="1"/>
  <c r="B5231" i="1"/>
  <c r="C5230" i="1"/>
  <c r="B5230" i="1"/>
  <c r="C5229" i="1"/>
  <c r="B5229" i="1"/>
  <c r="C5228" i="1"/>
  <c r="B5228" i="1"/>
  <c r="C5227" i="1"/>
  <c r="B5227" i="1"/>
  <c r="C5226" i="1"/>
  <c r="B5226" i="1"/>
  <c r="C5225" i="1"/>
  <c r="B5225" i="1"/>
  <c r="C5224" i="1"/>
  <c r="B5224" i="1"/>
  <c r="C5223" i="1"/>
  <c r="B5223" i="1"/>
  <c r="C5222" i="1"/>
  <c r="B5222" i="1"/>
  <c r="C5221" i="1"/>
  <c r="B5221" i="1"/>
  <c r="C5220" i="1"/>
  <c r="B5220" i="1"/>
  <c r="C5219" i="1"/>
  <c r="B5219" i="1"/>
  <c r="C5218" i="1"/>
  <c r="B5218" i="1"/>
  <c r="C5217" i="1"/>
  <c r="B5217" i="1"/>
  <c r="C5216" i="1"/>
  <c r="B5216" i="1"/>
  <c r="C5215" i="1"/>
  <c r="B5215" i="1"/>
  <c r="C5214" i="1"/>
  <c r="B5214" i="1"/>
  <c r="C5213" i="1"/>
  <c r="B5213" i="1"/>
  <c r="C5212" i="1"/>
  <c r="B5212" i="1"/>
  <c r="C5211" i="1"/>
  <c r="B5211" i="1"/>
  <c r="C5210" i="1"/>
  <c r="B5210" i="1"/>
  <c r="C5209" i="1"/>
  <c r="B5209" i="1"/>
  <c r="C5208" i="1"/>
  <c r="B5208" i="1"/>
  <c r="C5207" i="1"/>
  <c r="B5207" i="1"/>
  <c r="C5206" i="1"/>
  <c r="B5206" i="1"/>
  <c r="C5205" i="1"/>
  <c r="B5205" i="1"/>
  <c r="C5204" i="1"/>
  <c r="B5204" i="1"/>
  <c r="C5203" i="1"/>
  <c r="B5203" i="1"/>
  <c r="C5202" i="1"/>
  <c r="B5202" i="1"/>
  <c r="C5201" i="1"/>
  <c r="B5201" i="1"/>
  <c r="C5200" i="1"/>
  <c r="B5200" i="1"/>
  <c r="C5199" i="1"/>
  <c r="B5199" i="1"/>
  <c r="C5198" i="1"/>
  <c r="B5198" i="1"/>
  <c r="C5197" i="1"/>
  <c r="B5197" i="1"/>
  <c r="C5196" i="1"/>
  <c r="B5196" i="1"/>
  <c r="C5195" i="1"/>
  <c r="B5195" i="1"/>
  <c r="C5194" i="1"/>
  <c r="B5194" i="1"/>
  <c r="C5193" i="1"/>
  <c r="B5193" i="1"/>
  <c r="C5192" i="1"/>
  <c r="B5192" i="1"/>
  <c r="C5191" i="1"/>
  <c r="B5191" i="1"/>
  <c r="C5190" i="1"/>
  <c r="B5190" i="1"/>
  <c r="C5189" i="1"/>
  <c r="B5189" i="1"/>
  <c r="C5188" i="1"/>
  <c r="B5188" i="1"/>
  <c r="C5187" i="1"/>
  <c r="B5187" i="1"/>
  <c r="C5186" i="1"/>
  <c r="B5186" i="1"/>
  <c r="C5185" i="1"/>
  <c r="B5185" i="1"/>
  <c r="C5184" i="1"/>
  <c r="B5184" i="1"/>
  <c r="C5183" i="1"/>
  <c r="B5183" i="1"/>
  <c r="C5182" i="1"/>
  <c r="B5182" i="1"/>
  <c r="C5181" i="1"/>
  <c r="B5181" i="1"/>
  <c r="C5180" i="1"/>
  <c r="B5180" i="1"/>
  <c r="C5179" i="1"/>
  <c r="B5179" i="1"/>
  <c r="C5178" i="1"/>
  <c r="B5178" i="1"/>
  <c r="C5177" i="1"/>
  <c r="B5177" i="1"/>
  <c r="C5176" i="1"/>
  <c r="B5176" i="1"/>
  <c r="C5175" i="1"/>
  <c r="B5175" i="1"/>
  <c r="C5174" i="1"/>
  <c r="B5174" i="1"/>
  <c r="C5173" i="1"/>
  <c r="B5173" i="1"/>
  <c r="C5172" i="1"/>
  <c r="B5172" i="1"/>
  <c r="C5171" i="1"/>
  <c r="B5171" i="1"/>
  <c r="C5170" i="1"/>
  <c r="B5170" i="1"/>
  <c r="C5169" i="1"/>
  <c r="B5169" i="1"/>
  <c r="C5168" i="1"/>
  <c r="B5168" i="1"/>
  <c r="C5167" i="1"/>
  <c r="B5167" i="1"/>
  <c r="C5166" i="1"/>
  <c r="B5166" i="1"/>
  <c r="C5165" i="1"/>
  <c r="B5165" i="1"/>
  <c r="C5164" i="1"/>
  <c r="B5164" i="1"/>
  <c r="C5163" i="1"/>
  <c r="B5163" i="1"/>
  <c r="C5162" i="1"/>
  <c r="B5162" i="1"/>
  <c r="C5161" i="1"/>
  <c r="B5161" i="1"/>
  <c r="C5160" i="1"/>
  <c r="B5160" i="1"/>
  <c r="C5159" i="1"/>
  <c r="B5159" i="1"/>
  <c r="C5158" i="1"/>
  <c r="B5158" i="1"/>
  <c r="C5157" i="1"/>
  <c r="B5157" i="1"/>
  <c r="C5156" i="1"/>
  <c r="B5156" i="1"/>
  <c r="C5155" i="1"/>
  <c r="B5155" i="1"/>
  <c r="C5154" i="1"/>
  <c r="B5154" i="1"/>
  <c r="C5153" i="1"/>
  <c r="B5153" i="1"/>
  <c r="C5152" i="1"/>
  <c r="B5152" i="1"/>
  <c r="C5151" i="1"/>
  <c r="B5151" i="1"/>
  <c r="C5150" i="1"/>
  <c r="B5150" i="1"/>
  <c r="C5149" i="1"/>
  <c r="B5149" i="1"/>
  <c r="C5148" i="1"/>
  <c r="B5148" i="1"/>
  <c r="C5147" i="1"/>
  <c r="B5147" i="1"/>
  <c r="C5146" i="1"/>
  <c r="B5146" i="1"/>
  <c r="C5145" i="1"/>
  <c r="B5145" i="1"/>
  <c r="C5144" i="1"/>
  <c r="B5144" i="1"/>
  <c r="C5143" i="1"/>
  <c r="B5143" i="1"/>
  <c r="C5142" i="1"/>
  <c r="B5142" i="1"/>
  <c r="C5141" i="1"/>
  <c r="B5141" i="1"/>
  <c r="C5140" i="1"/>
  <c r="B5140" i="1"/>
  <c r="C5139" i="1"/>
  <c r="B5139" i="1"/>
  <c r="C5138" i="1"/>
  <c r="B5138" i="1"/>
  <c r="C5137" i="1"/>
  <c r="B5137" i="1"/>
  <c r="C5136" i="1"/>
  <c r="B5136" i="1"/>
  <c r="C5135" i="1"/>
  <c r="B5135" i="1"/>
  <c r="C5134" i="1"/>
  <c r="B5134" i="1"/>
  <c r="C5133" i="1"/>
  <c r="B5133" i="1"/>
  <c r="C5132" i="1"/>
  <c r="B5132" i="1"/>
  <c r="C5131" i="1"/>
  <c r="B5131" i="1"/>
  <c r="C5130" i="1"/>
  <c r="B5130" i="1"/>
  <c r="C5129" i="1"/>
  <c r="B5129" i="1"/>
  <c r="C5128" i="1"/>
  <c r="B5128" i="1"/>
  <c r="C5127" i="1"/>
  <c r="B5127" i="1"/>
  <c r="C5126" i="1"/>
  <c r="B5126" i="1"/>
  <c r="C5125" i="1"/>
  <c r="B5125" i="1"/>
  <c r="C5124" i="1"/>
  <c r="B5124" i="1"/>
  <c r="C5123" i="1"/>
  <c r="B5123" i="1"/>
  <c r="C5122" i="1"/>
  <c r="B5122" i="1"/>
  <c r="C5121" i="1"/>
  <c r="B5121" i="1"/>
  <c r="C5120" i="1"/>
  <c r="B5120" i="1"/>
  <c r="C5119" i="1"/>
  <c r="B5119" i="1"/>
  <c r="C5118" i="1"/>
  <c r="B5118" i="1"/>
  <c r="C5117" i="1"/>
  <c r="B5117" i="1"/>
  <c r="C5116" i="1"/>
  <c r="B5116" i="1"/>
  <c r="C5115" i="1"/>
  <c r="B5115" i="1"/>
  <c r="C5114" i="1"/>
  <c r="B5114" i="1"/>
  <c r="C5113" i="1"/>
  <c r="B5113" i="1"/>
  <c r="C5112" i="1"/>
  <c r="B5112" i="1"/>
  <c r="C5111" i="1"/>
  <c r="B5111" i="1"/>
  <c r="C5110" i="1"/>
  <c r="B5110" i="1"/>
  <c r="C5109" i="1"/>
  <c r="B5109" i="1"/>
  <c r="C5108" i="1"/>
  <c r="B5108" i="1"/>
  <c r="C5107" i="1"/>
  <c r="B5107" i="1"/>
  <c r="C5106" i="1"/>
  <c r="B5106" i="1"/>
  <c r="C5105" i="1"/>
  <c r="B5105" i="1"/>
  <c r="C5104" i="1"/>
  <c r="B5104" i="1"/>
  <c r="C5103" i="1"/>
  <c r="B5103" i="1"/>
  <c r="C5102" i="1"/>
  <c r="B5102" i="1"/>
  <c r="C5101" i="1"/>
  <c r="B5101" i="1"/>
  <c r="C5100" i="1"/>
  <c r="B5100" i="1"/>
  <c r="C5099" i="1"/>
  <c r="B5099" i="1"/>
  <c r="C5098" i="1"/>
  <c r="B5098" i="1"/>
  <c r="C5097" i="1"/>
  <c r="B5097" i="1"/>
  <c r="C5096" i="1"/>
  <c r="B5096" i="1"/>
  <c r="C5095" i="1"/>
  <c r="B5095" i="1"/>
  <c r="C5094" i="1"/>
  <c r="B5094" i="1"/>
  <c r="C5093" i="1"/>
  <c r="B5093" i="1"/>
  <c r="C5092" i="1"/>
  <c r="B5092" i="1"/>
  <c r="C5091" i="1"/>
  <c r="B5091" i="1"/>
  <c r="C5090" i="1"/>
  <c r="B5090" i="1"/>
  <c r="C5089" i="1"/>
  <c r="B5089" i="1"/>
  <c r="C5088" i="1"/>
  <c r="B5088" i="1"/>
  <c r="C5087" i="1"/>
  <c r="B5087" i="1"/>
  <c r="C5086" i="1"/>
  <c r="B5086" i="1"/>
  <c r="C5085" i="1"/>
  <c r="B5085" i="1"/>
  <c r="C5084" i="1"/>
  <c r="B5084" i="1"/>
  <c r="C5083" i="1"/>
  <c r="B5083" i="1"/>
  <c r="C5082" i="1"/>
  <c r="B5082" i="1"/>
  <c r="C5081" i="1"/>
  <c r="B5081" i="1"/>
  <c r="C5080" i="1"/>
  <c r="B5080" i="1"/>
  <c r="C5079" i="1"/>
  <c r="B5079" i="1"/>
  <c r="C5078" i="1"/>
  <c r="B5078" i="1"/>
  <c r="C5077" i="1"/>
  <c r="B5077" i="1"/>
  <c r="C5076" i="1"/>
  <c r="B5076" i="1"/>
  <c r="C5075" i="1"/>
  <c r="B5075" i="1"/>
  <c r="C5074" i="1"/>
  <c r="B5074" i="1"/>
  <c r="C5073" i="1"/>
  <c r="B5073" i="1"/>
  <c r="C5072" i="1"/>
  <c r="B5072" i="1"/>
  <c r="C5071" i="1"/>
  <c r="B5071" i="1"/>
  <c r="C5070" i="1"/>
  <c r="B5070" i="1"/>
  <c r="C5069" i="1"/>
  <c r="B5069" i="1"/>
  <c r="C5068" i="1"/>
  <c r="B5068" i="1"/>
  <c r="C5067" i="1"/>
  <c r="B5067" i="1"/>
  <c r="C5066" i="1"/>
  <c r="B5066" i="1"/>
  <c r="C5065" i="1"/>
  <c r="B5065" i="1"/>
  <c r="C5064" i="1"/>
  <c r="B5064" i="1"/>
  <c r="C5063" i="1"/>
  <c r="B5063" i="1"/>
  <c r="C5062" i="1"/>
  <c r="B5062" i="1"/>
  <c r="C5061" i="1"/>
  <c r="B5061" i="1"/>
  <c r="C5060" i="1"/>
  <c r="B5060" i="1"/>
  <c r="C5059" i="1"/>
  <c r="B5059" i="1"/>
  <c r="C5058" i="1"/>
  <c r="B5058" i="1"/>
  <c r="C5057" i="1"/>
  <c r="B5057" i="1"/>
  <c r="C5056" i="1"/>
  <c r="B5056" i="1"/>
  <c r="C5055" i="1"/>
  <c r="B5055" i="1"/>
  <c r="C5054" i="1"/>
  <c r="B5054" i="1"/>
  <c r="C5053" i="1"/>
  <c r="B5053" i="1"/>
  <c r="C5052" i="1"/>
  <c r="B5052" i="1"/>
  <c r="C5051" i="1"/>
  <c r="B5051" i="1"/>
  <c r="C5050" i="1"/>
  <c r="B5050" i="1"/>
  <c r="C5049" i="1"/>
  <c r="B5049" i="1"/>
  <c r="C5048" i="1"/>
  <c r="B5048" i="1"/>
  <c r="C5047" i="1"/>
  <c r="B5047" i="1"/>
  <c r="C5046" i="1"/>
  <c r="B5046" i="1"/>
  <c r="C5045" i="1"/>
  <c r="B5045" i="1"/>
  <c r="C5044" i="1"/>
  <c r="B5044" i="1"/>
  <c r="C5043" i="1"/>
  <c r="B5043" i="1"/>
  <c r="C5042" i="1"/>
  <c r="B5042" i="1"/>
  <c r="C5041" i="1"/>
  <c r="B5041" i="1"/>
  <c r="C5040" i="1"/>
  <c r="B5040" i="1"/>
  <c r="C5039" i="1"/>
  <c r="B5039" i="1"/>
  <c r="C5038" i="1"/>
  <c r="B5038" i="1"/>
  <c r="C5037" i="1"/>
  <c r="B5037" i="1"/>
  <c r="C5036" i="1"/>
  <c r="B5036" i="1"/>
  <c r="C5035" i="1"/>
  <c r="B5035" i="1"/>
  <c r="C5034" i="1"/>
  <c r="B5034" i="1"/>
  <c r="C5033" i="1"/>
  <c r="B5033" i="1"/>
  <c r="C5032" i="1"/>
  <c r="B5032" i="1"/>
  <c r="C5031" i="1"/>
  <c r="B5031" i="1"/>
  <c r="C5030" i="1"/>
  <c r="B5030" i="1"/>
  <c r="C5029" i="1"/>
  <c r="B5029" i="1"/>
  <c r="C5028" i="1"/>
  <c r="B5028" i="1"/>
  <c r="C5027" i="1"/>
  <c r="B5027" i="1"/>
  <c r="C5026" i="1"/>
  <c r="B5026" i="1"/>
  <c r="C5025" i="1"/>
  <c r="B5025" i="1"/>
  <c r="C5024" i="1"/>
  <c r="B5024" i="1"/>
  <c r="C5023" i="1"/>
  <c r="B5023" i="1"/>
  <c r="C5022" i="1"/>
  <c r="B5022" i="1"/>
  <c r="C5021" i="1"/>
  <c r="B5021" i="1"/>
  <c r="C5020" i="1"/>
  <c r="B5020" i="1"/>
  <c r="C5019" i="1"/>
  <c r="B5019" i="1"/>
  <c r="C5018" i="1"/>
  <c r="B5018" i="1"/>
  <c r="C5017" i="1"/>
  <c r="B5017" i="1"/>
  <c r="C5016" i="1"/>
  <c r="B5016" i="1"/>
  <c r="C5015" i="1"/>
  <c r="B5015" i="1"/>
  <c r="C5014" i="1"/>
  <c r="B5014" i="1"/>
  <c r="C5013" i="1"/>
  <c r="B5013" i="1"/>
  <c r="C5012" i="1"/>
  <c r="B5012" i="1"/>
  <c r="C5011" i="1"/>
  <c r="B5011" i="1"/>
  <c r="C5010" i="1"/>
  <c r="B5010" i="1"/>
  <c r="C5009" i="1"/>
  <c r="B5009" i="1"/>
  <c r="C5008" i="1"/>
  <c r="B5008" i="1"/>
  <c r="C5007" i="1"/>
  <c r="B5007" i="1"/>
  <c r="C5006" i="1"/>
  <c r="B5006" i="1"/>
  <c r="C5005" i="1"/>
  <c r="B5005" i="1"/>
  <c r="C5004" i="1"/>
  <c r="B5004" i="1"/>
  <c r="C5003" i="1"/>
  <c r="B5003" i="1"/>
  <c r="C5002" i="1"/>
  <c r="B5002" i="1"/>
  <c r="C5001" i="1"/>
  <c r="B5001" i="1"/>
  <c r="C5000" i="1"/>
  <c r="B5000" i="1"/>
  <c r="C4999" i="1"/>
  <c r="B4999" i="1"/>
  <c r="C4998" i="1"/>
  <c r="B4998" i="1"/>
  <c r="C4997" i="1"/>
  <c r="B4997" i="1"/>
  <c r="C4996" i="1"/>
  <c r="B4996" i="1"/>
  <c r="C4995" i="1"/>
  <c r="B4995" i="1"/>
  <c r="C4994" i="1"/>
  <c r="B4994" i="1"/>
  <c r="C4993" i="1"/>
  <c r="B4993" i="1"/>
  <c r="C4992" i="1"/>
  <c r="B4992" i="1"/>
  <c r="C4991" i="1"/>
  <c r="B4991" i="1"/>
  <c r="C4990" i="1"/>
  <c r="B4990" i="1"/>
  <c r="C4989" i="1"/>
  <c r="B4989" i="1"/>
  <c r="C4988" i="1"/>
  <c r="B4988" i="1"/>
  <c r="C4987" i="1"/>
  <c r="B4987" i="1"/>
  <c r="C4986" i="1"/>
  <c r="B4986" i="1"/>
  <c r="C4985" i="1"/>
  <c r="B4985" i="1"/>
  <c r="C4984" i="1"/>
  <c r="B4984" i="1"/>
  <c r="C4983" i="1"/>
  <c r="B4983" i="1"/>
  <c r="C4982" i="1"/>
  <c r="B4982" i="1"/>
  <c r="C4981" i="1"/>
  <c r="B4981" i="1"/>
  <c r="C4980" i="1"/>
  <c r="B4980" i="1"/>
  <c r="C4979" i="1"/>
  <c r="B4979" i="1"/>
  <c r="C4978" i="1"/>
  <c r="B4978" i="1"/>
  <c r="C4977" i="1"/>
  <c r="B4977" i="1"/>
  <c r="C4976" i="1"/>
  <c r="B4976" i="1"/>
  <c r="C4975" i="1"/>
  <c r="B4975" i="1"/>
  <c r="C4974" i="1"/>
  <c r="B4974" i="1"/>
  <c r="C4973" i="1"/>
  <c r="B4973" i="1"/>
  <c r="C4972" i="1"/>
  <c r="B4972" i="1"/>
  <c r="C4971" i="1"/>
  <c r="B4971" i="1"/>
  <c r="C4970" i="1"/>
  <c r="B4970" i="1"/>
  <c r="C4969" i="1"/>
  <c r="B4969" i="1"/>
  <c r="C4968" i="1"/>
  <c r="B4968" i="1"/>
  <c r="C4967" i="1"/>
  <c r="B4967" i="1"/>
  <c r="C4966" i="1"/>
  <c r="B4966" i="1"/>
  <c r="C4965" i="1"/>
  <c r="B4965" i="1"/>
  <c r="C4964" i="1"/>
  <c r="B4964" i="1"/>
  <c r="C4963" i="1"/>
  <c r="B4963" i="1"/>
  <c r="C4962" i="1"/>
  <c r="B4962" i="1"/>
  <c r="C4961" i="1"/>
  <c r="B4961" i="1"/>
  <c r="C4960" i="1"/>
  <c r="B4960" i="1"/>
  <c r="C4959" i="1"/>
  <c r="B4959" i="1"/>
  <c r="C4958" i="1"/>
  <c r="B4958" i="1"/>
  <c r="C4957" i="1"/>
  <c r="B4957" i="1"/>
  <c r="C4956" i="1"/>
  <c r="B4956" i="1"/>
  <c r="C4955" i="1"/>
  <c r="B4955" i="1"/>
  <c r="C4954" i="1"/>
  <c r="B4954" i="1"/>
  <c r="C4953" i="1"/>
  <c r="B4953" i="1"/>
  <c r="C4952" i="1"/>
  <c r="B4952" i="1"/>
  <c r="C4951" i="1"/>
  <c r="B4951" i="1"/>
  <c r="C4950" i="1"/>
  <c r="B4950" i="1"/>
  <c r="C4949" i="1"/>
  <c r="B4949" i="1"/>
  <c r="C4948" i="1"/>
  <c r="B4948" i="1"/>
  <c r="C4947" i="1"/>
  <c r="B4947" i="1"/>
  <c r="C4946" i="1"/>
  <c r="B4946" i="1"/>
  <c r="C4945" i="1"/>
  <c r="B4945" i="1"/>
  <c r="C4944" i="1"/>
  <c r="B4944" i="1"/>
  <c r="C4943" i="1"/>
  <c r="B4943" i="1"/>
  <c r="C4942" i="1"/>
  <c r="B4942" i="1"/>
  <c r="C4941" i="1"/>
  <c r="B4941" i="1"/>
  <c r="C4940" i="1"/>
  <c r="B4940" i="1"/>
  <c r="C4939" i="1"/>
  <c r="B4939" i="1"/>
  <c r="C4938" i="1"/>
  <c r="B4938" i="1"/>
  <c r="C4937" i="1"/>
  <c r="B4937" i="1"/>
  <c r="C4936" i="1"/>
  <c r="B4936" i="1"/>
  <c r="C4935" i="1"/>
  <c r="B4935" i="1"/>
  <c r="C4934" i="1"/>
  <c r="B4934" i="1"/>
  <c r="C4933" i="1"/>
  <c r="B4933" i="1"/>
  <c r="C4932" i="1"/>
  <c r="B4932" i="1"/>
  <c r="C4931" i="1"/>
  <c r="B4931" i="1"/>
  <c r="C4930" i="1"/>
  <c r="B4930" i="1"/>
  <c r="C4929" i="1"/>
  <c r="B4929" i="1"/>
  <c r="C4928" i="1"/>
  <c r="B4928" i="1"/>
  <c r="C4927" i="1"/>
  <c r="B4927" i="1"/>
  <c r="C4926" i="1"/>
  <c r="B4926" i="1"/>
  <c r="C4925" i="1"/>
  <c r="B4925" i="1"/>
  <c r="C4924" i="1"/>
  <c r="B4924" i="1"/>
  <c r="C4923" i="1"/>
  <c r="B4923" i="1"/>
  <c r="C4922" i="1"/>
  <c r="B4922" i="1"/>
  <c r="C4921" i="1"/>
  <c r="B4921" i="1"/>
  <c r="C4920" i="1"/>
  <c r="B4920" i="1"/>
  <c r="C4919" i="1"/>
  <c r="B4919" i="1"/>
  <c r="C4918" i="1"/>
  <c r="B4918" i="1"/>
  <c r="C4917" i="1"/>
  <c r="B4917" i="1"/>
  <c r="C4916" i="1"/>
  <c r="B4916" i="1"/>
  <c r="C4915" i="1"/>
  <c r="B4915" i="1"/>
  <c r="C4914" i="1"/>
  <c r="B4914" i="1"/>
  <c r="C4913" i="1"/>
  <c r="B4913" i="1"/>
  <c r="C4912" i="1"/>
  <c r="B4912" i="1"/>
  <c r="C4911" i="1"/>
  <c r="B4911" i="1"/>
  <c r="C4910" i="1"/>
  <c r="B4910" i="1"/>
  <c r="C4909" i="1"/>
  <c r="B4909" i="1"/>
  <c r="C4908" i="1"/>
  <c r="B4908" i="1"/>
  <c r="C4907" i="1"/>
  <c r="B4907" i="1"/>
  <c r="C4906" i="1"/>
  <c r="B4906" i="1"/>
  <c r="C4905" i="1"/>
  <c r="B4905" i="1"/>
  <c r="C4904" i="1"/>
  <c r="B4904" i="1"/>
  <c r="C4903" i="1"/>
  <c r="B4903" i="1"/>
  <c r="C4902" i="1"/>
  <c r="B4902" i="1"/>
  <c r="C4901" i="1"/>
  <c r="B4901" i="1"/>
  <c r="C4900" i="1"/>
  <c r="B4900" i="1"/>
  <c r="C4899" i="1"/>
  <c r="B4899" i="1"/>
  <c r="C4898" i="1"/>
  <c r="B4898" i="1"/>
  <c r="C4897" i="1"/>
  <c r="B4897" i="1"/>
  <c r="C4896" i="1"/>
  <c r="B4896" i="1"/>
  <c r="C4895" i="1"/>
  <c r="B4895" i="1"/>
  <c r="C4894" i="1"/>
  <c r="B4894" i="1"/>
  <c r="C4893" i="1"/>
  <c r="B4893" i="1"/>
  <c r="C4892" i="1"/>
  <c r="B4892" i="1"/>
  <c r="C4891" i="1"/>
  <c r="B4891" i="1"/>
  <c r="C4890" i="1"/>
  <c r="B4890" i="1"/>
  <c r="C4889" i="1"/>
  <c r="B4889" i="1"/>
  <c r="C4888" i="1"/>
  <c r="B4888" i="1"/>
  <c r="C4887" i="1"/>
  <c r="B4887" i="1"/>
  <c r="C4886" i="1"/>
  <c r="B4886" i="1"/>
  <c r="C4885" i="1"/>
  <c r="B4885" i="1"/>
  <c r="C4884" i="1"/>
  <c r="B4884" i="1"/>
  <c r="C4883" i="1"/>
  <c r="B4883" i="1"/>
  <c r="C4882" i="1"/>
  <c r="B4882" i="1"/>
  <c r="C4881" i="1"/>
  <c r="B4881" i="1"/>
  <c r="C4880" i="1"/>
  <c r="B4880" i="1"/>
  <c r="C4879" i="1"/>
  <c r="B4879" i="1"/>
  <c r="C4878" i="1"/>
  <c r="B4878" i="1"/>
  <c r="C4877" i="1"/>
  <c r="B4877" i="1"/>
  <c r="C4876" i="1"/>
  <c r="B4876" i="1"/>
  <c r="C4875" i="1"/>
  <c r="B4875" i="1"/>
  <c r="C4874" i="1"/>
  <c r="B4874" i="1"/>
  <c r="C4873" i="1"/>
  <c r="B4873" i="1"/>
  <c r="C4872" i="1"/>
  <c r="B4872" i="1"/>
  <c r="C4871" i="1"/>
  <c r="B4871" i="1"/>
  <c r="C4870" i="1"/>
  <c r="B4870" i="1"/>
  <c r="C4869" i="1"/>
  <c r="B4869" i="1"/>
  <c r="C4868" i="1"/>
  <c r="B4868" i="1"/>
  <c r="C4867" i="1"/>
  <c r="B4867" i="1"/>
  <c r="C4866" i="1"/>
  <c r="B4866" i="1"/>
  <c r="C4865" i="1"/>
  <c r="B4865" i="1"/>
  <c r="C4864" i="1"/>
  <c r="B4864" i="1"/>
  <c r="C4863" i="1"/>
  <c r="B4863" i="1"/>
  <c r="C4862" i="1"/>
  <c r="B4862" i="1"/>
  <c r="C4861" i="1"/>
  <c r="B4861" i="1"/>
  <c r="C4860" i="1"/>
  <c r="B4860" i="1"/>
  <c r="C4859" i="1"/>
  <c r="B4859" i="1"/>
  <c r="C4858" i="1"/>
  <c r="B4858" i="1"/>
  <c r="C4857" i="1"/>
  <c r="B4857" i="1"/>
  <c r="C4856" i="1"/>
  <c r="B4856" i="1"/>
  <c r="C4855" i="1"/>
  <c r="B4855" i="1"/>
  <c r="C4854" i="1"/>
  <c r="B4854" i="1"/>
  <c r="C4853" i="1"/>
  <c r="B4853" i="1"/>
  <c r="C4852" i="1"/>
  <c r="B4852" i="1"/>
  <c r="C4851" i="1"/>
  <c r="B4851" i="1"/>
  <c r="C4850" i="1"/>
  <c r="B4850" i="1"/>
  <c r="C4849" i="1"/>
  <c r="B4849" i="1"/>
  <c r="C4848" i="1"/>
  <c r="B4848" i="1"/>
  <c r="C4847" i="1"/>
  <c r="B4847" i="1"/>
  <c r="C4846" i="1"/>
  <c r="B4846" i="1"/>
  <c r="C4845" i="1"/>
  <c r="B4845" i="1"/>
  <c r="C4844" i="1"/>
  <c r="B4844" i="1"/>
  <c r="C4843" i="1"/>
  <c r="B4843" i="1"/>
  <c r="C4842" i="1"/>
  <c r="B4842" i="1"/>
  <c r="C4841" i="1"/>
  <c r="B4841" i="1"/>
  <c r="C4840" i="1"/>
  <c r="B4840" i="1"/>
  <c r="C4839" i="1"/>
  <c r="B4839" i="1"/>
  <c r="C4838" i="1"/>
  <c r="B4838" i="1"/>
  <c r="C4837" i="1"/>
  <c r="B4837" i="1"/>
  <c r="C4836" i="1"/>
  <c r="B4836" i="1"/>
  <c r="C4835" i="1"/>
  <c r="B4835" i="1"/>
  <c r="C4834" i="1"/>
  <c r="B4834" i="1"/>
  <c r="C4833" i="1"/>
  <c r="B4833" i="1"/>
  <c r="C4832" i="1"/>
  <c r="B4832" i="1"/>
  <c r="C4831" i="1"/>
  <c r="B4831" i="1"/>
  <c r="C4830" i="1"/>
  <c r="B4830" i="1"/>
  <c r="C4829" i="1"/>
  <c r="B4829" i="1"/>
  <c r="C4828" i="1"/>
  <c r="B4828" i="1"/>
  <c r="C4827" i="1"/>
  <c r="B4827" i="1"/>
  <c r="C4826" i="1"/>
  <c r="B4826" i="1"/>
  <c r="C4825" i="1"/>
  <c r="B4825" i="1"/>
  <c r="C4824" i="1"/>
  <c r="B4824" i="1"/>
  <c r="C4823" i="1"/>
  <c r="B4823" i="1"/>
  <c r="C4822" i="1"/>
  <c r="B4822" i="1"/>
  <c r="C4821" i="1"/>
  <c r="B4821" i="1"/>
  <c r="C4820" i="1"/>
  <c r="B4820" i="1"/>
  <c r="C4819" i="1"/>
  <c r="B4819" i="1"/>
  <c r="C4818" i="1"/>
  <c r="B4818" i="1"/>
  <c r="C4817" i="1"/>
  <c r="B4817" i="1"/>
  <c r="C4816" i="1"/>
  <c r="B4816" i="1"/>
  <c r="C4815" i="1"/>
  <c r="B4815" i="1"/>
  <c r="C4814" i="1"/>
  <c r="B4814" i="1"/>
  <c r="C4813" i="1"/>
  <c r="B4813" i="1"/>
  <c r="C4812" i="1"/>
  <c r="B4812" i="1"/>
  <c r="C4811" i="1"/>
  <c r="B4811" i="1"/>
  <c r="C4810" i="1"/>
  <c r="B4810" i="1"/>
  <c r="C4809" i="1"/>
  <c r="B4809" i="1"/>
  <c r="C4808" i="1"/>
  <c r="B4808" i="1"/>
  <c r="C4807" i="1"/>
  <c r="B4807" i="1"/>
  <c r="C4806" i="1"/>
  <c r="B4806" i="1"/>
  <c r="C4805" i="1"/>
  <c r="B4805" i="1"/>
  <c r="C4804" i="1"/>
  <c r="B4804" i="1"/>
  <c r="C4803" i="1"/>
  <c r="B4803" i="1"/>
  <c r="C4802" i="1"/>
  <c r="B4802" i="1"/>
  <c r="C4801" i="1"/>
  <c r="B4801" i="1"/>
  <c r="C4800" i="1"/>
  <c r="B4800" i="1"/>
  <c r="C4799" i="1"/>
  <c r="B4799" i="1"/>
  <c r="C4798" i="1"/>
  <c r="B4798" i="1"/>
  <c r="C4797" i="1"/>
  <c r="B4797" i="1"/>
  <c r="C4796" i="1"/>
  <c r="B4796" i="1"/>
  <c r="C4795" i="1"/>
  <c r="B4795" i="1"/>
  <c r="C4794" i="1"/>
  <c r="B4794" i="1"/>
  <c r="C4793" i="1"/>
  <c r="B4793" i="1"/>
  <c r="C4792" i="1"/>
  <c r="B4792" i="1"/>
  <c r="C4791" i="1"/>
  <c r="B4791" i="1"/>
  <c r="C4790" i="1"/>
  <c r="B4790" i="1"/>
  <c r="C4789" i="1"/>
  <c r="B4789" i="1"/>
  <c r="C4788" i="1"/>
  <c r="B4788" i="1"/>
  <c r="C4787" i="1"/>
  <c r="B4787" i="1"/>
  <c r="C4786" i="1"/>
  <c r="B4786" i="1"/>
  <c r="C4785" i="1"/>
  <c r="B4785" i="1"/>
  <c r="C4784" i="1"/>
  <c r="B4784" i="1"/>
  <c r="C4783" i="1"/>
  <c r="B4783" i="1"/>
  <c r="C4782" i="1"/>
  <c r="B4782" i="1"/>
  <c r="C4781" i="1"/>
  <c r="B4781" i="1"/>
  <c r="C4780" i="1"/>
  <c r="B4780" i="1"/>
  <c r="C4779" i="1"/>
  <c r="B4779" i="1"/>
  <c r="C4778" i="1"/>
  <c r="B4778" i="1"/>
  <c r="C4777" i="1"/>
  <c r="B4777" i="1"/>
  <c r="C4776" i="1"/>
  <c r="B4776" i="1"/>
  <c r="C4775" i="1"/>
  <c r="B4775" i="1"/>
  <c r="C4774" i="1"/>
  <c r="B4774" i="1"/>
  <c r="C4773" i="1"/>
  <c r="B4773" i="1"/>
  <c r="C4772" i="1"/>
  <c r="B4772" i="1"/>
  <c r="C4771" i="1"/>
  <c r="B4771" i="1"/>
  <c r="C4770" i="1"/>
  <c r="B4770" i="1"/>
  <c r="C4769" i="1"/>
  <c r="B4769" i="1"/>
  <c r="C4768" i="1"/>
  <c r="B4768" i="1"/>
  <c r="C4767" i="1"/>
  <c r="B4767" i="1"/>
  <c r="C4766" i="1"/>
  <c r="B4766" i="1"/>
  <c r="C4765" i="1"/>
  <c r="B4765" i="1"/>
  <c r="C4764" i="1"/>
  <c r="B4764" i="1"/>
  <c r="C4763" i="1"/>
  <c r="B4763" i="1"/>
  <c r="C4762" i="1"/>
  <c r="B4762" i="1"/>
  <c r="C4761" i="1"/>
  <c r="B4761" i="1"/>
  <c r="C4760" i="1"/>
  <c r="B4760" i="1"/>
  <c r="C4759" i="1"/>
  <c r="B4759" i="1"/>
  <c r="C4758" i="1"/>
  <c r="B4758" i="1"/>
  <c r="C4757" i="1"/>
  <c r="B4757" i="1"/>
  <c r="C4756" i="1"/>
  <c r="B4756" i="1"/>
  <c r="C4755" i="1"/>
  <c r="B4755" i="1"/>
  <c r="C4754" i="1"/>
  <c r="B4754" i="1"/>
  <c r="C4753" i="1"/>
  <c r="B4753" i="1"/>
  <c r="C4752" i="1"/>
  <c r="B4752" i="1"/>
  <c r="C4751" i="1"/>
  <c r="B4751" i="1"/>
  <c r="C4750" i="1"/>
  <c r="B4750" i="1"/>
  <c r="C4749" i="1"/>
  <c r="B4749" i="1"/>
  <c r="C4748" i="1"/>
  <c r="B4748" i="1"/>
  <c r="C4747" i="1"/>
  <c r="B4747" i="1"/>
  <c r="C4746" i="1"/>
  <c r="B4746" i="1"/>
  <c r="C4745" i="1"/>
  <c r="B4745" i="1"/>
  <c r="C4744" i="1"/>
  <c r="B4744" i="1"/>
  <c r="C4743" i="1"/>
  <c r="B4743" i="1"/>
  <c r="C4742" i="1"/>
  <c r="B4742" i="1"/>
  <c r="C4741" i="1"/>
  <c r="B4741" i="1"/>
  <c r="C4740" i="1"/>
  <c r="B4740" i="1"/>
  <c r="C4739" i="1"/>
  <c r="B4739" i="1"/>
  <c r="C4738" i="1"/>
  <c r="B4738" i="1"/>
  <c r="C4737" i="1"/>
  <c r="B4737" i="1"/>
  <c r="C4736" i="1"/>
  <c r="B4736" i="1"/>
  <c r="C4735" i="1"/>
  <c r="B4735" i="1"/>
  <c r="C4734" i="1"/>
  <c r="B4734" i="1"/>
  <c r="C4733" i="1"/>
  <c r="B4733" i="1"/>
  <c r="C4732" i="1"/>
  <c r="B4732" i="1"/>
  <c r="C4731" i="1"/>
  <c r="B4731" i="1"/>
  <c r="C4730" i="1"/>
  <c r="B4730" i="1"/>
  <c r="C4729" i="1"/>
  <c r="B4729" i="1"/>
  <c r="C4728" i="1"/>
  <c r="B4728" i="1"/>
  <c r="C4727" i="1"/>
  <c r="B4727" i="1"/>
  <c r="C4726" i="1"/>
  <c r="B4726" i="1"/>
  <c r="C4725" i="1"/>
  <c r="B4725" i="1"/>
  <c r="C4724" i="1"/>
  <c r="B4724" i="1"/>
  <c r="C4723" i="1"/>
  <c r="B4723" i="1"/>
  <c r="C4722" i="1"/>
  <c r="B4722" i="1"/>
  <c r="C4721" i="1"/>
  <c r="B4721" i="1"/>
  <c r="C4720" i="1"/>
  <c r="B4720" i="1"/>
  <c r="C4719" i="1"/>
  <c r="B4719" i="1"/>
  <c r="C4718" i="1"/>
  <c r="B4718" i="1"/>
  <c r="C4717" i="1"/>
  <c r="B4717" i="1"/>
  <c r="C4716" i="1"/>
  <c r="B4716" i="1"/>
  <c r="C4715" i="1"/>
  <c r="B4715" i="1"/>
  <c r="C4714" i="1"/>
  <c r="B4714" i="1"/>
  <c r="C4713" i="1"/>
  <c r="B4713" i="1"/>
  <c r="C4712" i="1"/>
  <c r="B4712" i="1"/>
  <c r="C4711" i="1"/>
  <c r="B4711" i="1"/>
  <c r="C4710" i="1"/>
  <c r="B4710" i="1"/>
  <c r="C4709" i="1"/>
  <c r="B4709" i="1"/>
  <c r="C4708" i="1"/>
  <c r="B4708" i="1"/>
  <c r="C4707" i="1"/>
  <c r="B4707" i="1"/>
  <c r="C4706" i="1"/>
  <c r="B4706" i="1"/>
  <c r="C4705" i="1"/>
  <c r="B4705" i="1"/>
  <c r="C4704" i="1"/>
  <c r="B4704" i="1"/>
  <c r="C4703" i="1"/>
  <c r="B4703" i="1"/>
  <c r="C4702" i="1"/>
  <c r="B4702" i="1"/>
  <c r="C4701" i="1"/>
  <c r="B4701" i="1"/>
  <c r="C4700" i="1"/>
  <c r="B4700" i="1"/>
  <c r="C4699" i="1"/>
  <c r="B4699" i="1"/>
  <c r="C4698" i="1"/>
  <c r="B4698" i="1"/>
  <c r="C4697" i="1"/>
  <c r="B4697" i="1"/>
  <c r="C4696" i="1"/>
  <c r="B4696" i="1"/>
  <c r="C4695" i="1"/>
  <c r="B4695" i="1"/>
  <c r="C4694" i="1"/>
  <c r="B4694" i="1"/>
  <c r="C4693" i="1"/>
  <c r="B4693" i="1"/>
  <c r="C4692" i="1"/>
  <c r="B4692" i="1"/>
  <c r="C4691" i="1"/>
  <c r="B4691" i="1"/>
  <c r="C4690" i="1"/>
  <c r="B4690" i="1"/>
  <c r="C4689" i="1"/>
  <c r="B4689" i="1"/>
  <c r="C4688" i="1"/>
  <c r="B4688" i="1"/>
  <c r="C4687" i="1"/>
  <c r="B4687" i="1"/>
  <c r="C4686" i="1"/>
  <c r="B4686" i="1"/>
  <c r="C4685" i="1"/>
  <c r="B4685" i="1"/>
  <c r="C4684" i="1"/>
  <c r="B4684" i="1"/>
  <c r="C4683" i="1"/>
  <c r="B4683" i="1"/>
  <c r="C4682" i="1"/>
  <c r="B4682" i="1"/>
  <c r="C4681" i="1"/>
  <c r="B4681" i="1"/>
  <c r="C4680" i="1"/>
  <c r="B4680" i="1"/>
  <c r="C4679" i="1"/>
  <c r="B4679" i="1"/>
  <c r="C4678" i="1"/>
  <c r="B4678" i="1"/>
  <c r="C4677" i="1"/>
  <c r="B4677" i="1"/>
  <c r="C4676" i="1"/>
  <c r="B4676" i="1"/>
  <c r="C4675" i="1"/>
  <c r="B4675" i="1"/>
  <c r="C4674" i="1"/>
  <c r="B4674" i="1"/>
  <c r="C4673" i="1"/>
  <c r="B4673" i="1"/>
  <c r="C4672" i="1"/>
  <c r="B4672" i="1"/>
  <c r="C4671" i="1"/>
  <c r="B4671" i="1"/>
  <c r="C4670" i="1"/>
  <c r="B4670" i="1"/>
  <c r="C4669" i="1"/>
  <c r="B4669" i="1"/>
  <c r="C4668" i="1"/>
  <c r="B4668" i="1"/>
  <c r="C4667" i="1"/>
  <c r="B4667" i="1"/>
  <c r="C4666" i="1"/>
  <c r="B4666" i="1"/>
  <c r="C4665" i="1"/>
  <c r="B4665" i="1"/>
  <c r="C4664" i="1"/>
  <c r="B4664" i="1"/>
  <c r="C4663" i="1"/>
  <c r="B4663" i="1"/>
  <c r="C4662" i="1"/>
  <c r="B4662" i="1"/>
  <c r="C4661" i="1"/>
  <c r="B4661" i="1"/>
  <c r="C4660" i="1"/>
  <c r="B4660" i="1"/>
  <c r="C4659" i="1"/>
  <c r="B4659" i="1"/>
  <c r="C4658" i="1"/>
  <c r="B4658" i="1"/>
  <c r="C4657" i="1"/>
  <c r="B4657" i="1"/>
  <c r="C4656" i="1"/>
  <c r="B4656" i="1"/>
  <c r="C4655" i="1"/>
  <c r="B4655" i="1"/>
  <c r="C4654" i="1"/>
  <c r="B4654" i="1"/>
  <c r="C4653" i="1"/>
  <c r="B4653" i="1"/>
  <c r="C4652" i="1"/>
  <c r="B4652" i="1"/>
  <c r="C4651" i="1"/>
  <c r="B4651" i="1"/>
  <c r="C4650" i="1"/>
  <c r="B4650" i="1"/>
  <c r="C4649" i="1"/>
  <c r="B4649" i="1"/>
  <c r="C4648" i="1"/>
  <c r="B4648" i="1"/>
  <c r="C4647" i="1"/>
  <c r="B4647" i="1"/>
  <c r="C4646" i="1"/>
  <c r="B4646" i="1"/>
  <c r="C4645" i="1"/>
  <c r="B4645" i="1"/>
  <c r="C4644" i="1"/>
  <c r="B4644" i="1"/>
  <c r="C4643" i="1"/>
  <c r="B4643" i="1"/>
  <c r="C4642" i="1"/>
  <c r="B4642" i="1"/>
  <c r="C4641" i="1"/>
  <c r="B4641" i="1"/>
  <c r="C4640" i="1"/>
  <c r="B4640" i="1"/>
  <c r="C4639" i="1"/>
  <c r="B4639" i="1"/>
  <c r="C4638" i="1"/>
  <c r="B4638" i="1"/>
  <c r="C4637" i="1"/>
  <c r="B4637" i="1"/>
  <c r="C4636" i="1"/>
  <c r="B4636" i="1"/>
  <c r="C4635" i="1"/>
  <c r="B4635" i="1"/>
  <c r="C4634" i="1"/>
  <c r="B4634" i="1"/>
  <c r="C4633" i="1"/>
  <c r="B4633" i="1"/>
  <c r="C4632" i="1"/>
  <c r="B4632" i="1"/>
  <c r="C4631" i="1"/>
  <c r="B4631" i="1"/>
  <c r="C4630" i="1"/>
  <c r="B4630" i="1"/>
  <c r="C4629" i="1"/>
  <c r="B4629" i="1"/>
  <c r="C4628" i="1"/>
  <c r="B4628" i="1"/>
  <c r="C4627" i="1"/>
  <c r="B4627" i="1"/>
  <c r="C4626" i="1"/>
  <c r="B4626" i="1"/>
  <c r="C4625" i="1"/>
  <c r="B4625" i="1"/>
  <c r="C4624" i="1"/>
  <c r="B4624" i="1"/>
  <c r="C4623" i="1"/>
  <c r="B4623" i="1"/>
  <c r="C4622" i="1"/>
  <c r="B4622" i="1"/>
  <c r="C4621" i="1"/>
  <c r="B4621" i="1"/>
  <c r="C4620" i="1"/>
  <c r="B4620" i="1"/>
  <c r="C4619" i="1"/>
  <c r="B4619" i="1"/>
  <c r="C4618" i="1"/>
  <c r="B4618" i="1"/>
  <c r="C4617" i="1"/>
  <c r="B4617" i="1"/>
  <c r="C4616" i="1"/>
  <c r="B4616" i="1"/>
  <c r="C4615" i="1"/>
  <c r="B4615" i="1"/>
  <c r="C4614" i="1"/>
  <c r="B4614" i="1"/>
  <c r="C4613" i="1"/>
  <c r="B4613" i="1"/>
  <c r="C4612" i="1"/>
  <c r="B4612" i="1"/>
  <c r="C4611" i="1"/>
  <c r="B4611" i="1"/>
  <c r="C4610" i="1"/>
  <c r="B4610" i="1"/>
  <c r="C4609" i="1"/>
  <c r="B4609" i="1"/>
  <c r="C4608" i="1"/>
  <c r="B4608" i="1"/>
  <c r="C4607" i="1"/>
  <c r="B4607" i="1"/>
  <c r="C4606" i="1"/>
  <c r="B4606" i="1"/>
  <c r="C4605" i="1"/>
  <c r="B4605" i="1"/>
  <c r="C4604" i="1"/>
  <c r="B4604" i="1"/>
  <c r="C4603" i="1"/>
  <c r="B4603" i="1"/>
  <c r="C4602" i="1"/>
  <c r="B4602" i="1"/>
  <c r="C4601" i="1"/>
  <c r="B4601" i="1"/>
  <c r="C4600" i="1"/>
  <c r="B4600" i="1"/>
  <c r="C4599" i="1"/>
  <c r="B4599" i="1"/>
  <c r="C4598" i="1"/>
  <c r="B4598" i="1"/>
  <c r="C4597" i="1"/>
  <c r="B4597" i="1"/>
  <c r="C4596" i="1"/>
  <c r="B4596" i="1"/>
  <c r="C4595" i="1"/>
  <c r="B4595" i="1"/>
  <c r="C4594" i="1"/>
  <c r="B4594" i="1"/>
  <c r="C4593" i="1"/>
  <c r="B4593" i="1"/>
  <c r="C4592" i="1"/>
  <c r="B4592" i="1"/>
  <c r="C4591" i="1"/>
  <c r="B4591" i="1"/>
  <c r="C4590" i="1"/>
  <c r="B4590" i="1"/>
  <c r="C4589" i="1"/>
  <c r="B4589" i="1"/>
  <c r="C4588" i="1"/>
  <c r="B4588" i="1"/>
  <c r="C4587" i="1"/>
  <c r="B4587" i="1"/>
  <c r="C4586" i="1"/>
  <c r="B4586" i="1"/>
  <c r="C4585" i="1"/>
  <c r="B4585" i="1"/>
  <c r="C4584" i="1"/>
  <c r="B4584" i="1"/>
  <c r="C4583" i="1"/>
  <c r="B4583" i="1"/>
  <c r="C4582" i="1"/>
  <c r="B4582" i="1"/>
  <c r="C4581" i="1"/>
  <c r="B4581" i="1"/>
  <c r="C4580" i="1"/>
  <c r="B4580" i="1"/>
  <c r="C4579" i="1"/>
  <c r="B4579" i="1"/>
  <c r="C4578" i="1"/>
  <c r="B4578" i="1"/>
  <c r="C4577" i="1"/>
  <c r="B4577" i="1"/>
  <c r="C4576" i="1"/>
  <c r="B4576" i="1"/>
  <c r="C4575" i="1"/>
  <c r="B4575" i="1"/>
  <c r="C4574" i="1"/>
  <c r="B4574" i="1"/>
  <c r="C4573" i="1"/>
  <c r="B4573" i="1"/>
  <c r="C4572" i="1"/>
  <c r="B4572" i="1"/>
  <c r="C4571" i="1"/>
  <c r="B4571" i="1"/>
  <c r="C4570" i="1"/>
  <c r="B4570" i="1"/>
  <c r="C4569" i="1"/>
  <c r="B4569" i="1"/>
  <c r="C4568" i="1"/>
  <c r="B4568" i="1"/>
  <c r="C4567" i="1"/>
  <c r="B4567" i="1"/>
  <c r="C4566" i="1"/>
  <c r="B4566" i="1"/>
  <c r="C4565" i="1"/>
  <c r="B4565" i="1"/>
  <c r="C4564" i="1"/>
  <c r="B4564" i="1"/>
  <c r="C4563" i="1"/>
  <c r="B4563" i="1"/>
  <c r="C4562" i="1"/>
  <c r="B4562" i="1"/>
  <c r="C4561" i="1"/>
  <c r="B4561" i="1"/>
  <c r="C4560" i="1"/>
  <c r="B4560" i="1"/>
  <c r="C4559" i="1"/>
  <c r="B4559" i="1"/>
  <c r="C4558" i="1"/>
  <c r="B4558" i="1"/>
  <c r="C4557" i="1"/>
  <c r="B4557" i="1"/>
  <c r="C4556" i="1"/>
  <c r="B4556" i="1"/>
  <c r="C4555" i="1"/>
  <c r="B4555" i="1"/>
  <c r="C4554" i="1"/>
  <c r="B4554" i="1"/>
  <c r="C4553" i="1"/>
  <c r="B4553" i="1"/>
  <c r="C4552" i="1"/>
  <c r="B4552" i="1"/>
  <c r="C4551" i="1"/>
  <c r="B4551" i="1"/>
  <c r="C4550" i="1"/>
  <c r="B4550" i="1"/>
  <c r="C4549" i="1"/>
  <c r="B4549" i="1"/>
  <c r="C4548" i="1"/>
  <c r="B4548" i="1"/>
  <c r="C4547" i="1"/>
  <c r="B4547" i="1"/>
  <c r="C4546" i="1"/>
  <c r="B4546" i="1"/>
  <c r="C4545" i="1"/>
  <c r="B4545" i="1"/>
  <c r="C4544" i="1"/>
  <c r="B4544" i="1"/>
  <c r="C4543" i="1"/>
  <c r="B4543" i="1"/>
  <c r="C4542" i="1"/>
  <c r="B4542" i="1"/>
  <c r="C4541" i="1"/>
  <c r="B4541" i="1"/>
  <c r="C4540" i="1"/>
  <c r="B4540" i="1"/>
  <c r="C4539" i="1"/>
  <c r="B4539" i="1"/>
  <c r="C4538" i="1"/>
  <c r="B4538" i="1"/>
  <c r="C4537" i="1"/>
  <c r="B4537" i="1"/>
  <c r="C4536" i="1"/>
  <c r="B4536" i="1"/>
  <c r="C4535" i="1"/>
  <c r="B4535" i="1"/>
  <c r="C4534" i="1"/>
  <c r="B4534" i="1"/>
  <c r="C4533" i="1"/>
  <c r="B4533" i="1"/>
  <c r="C4532" i="1"/>
  <c r="B4532" i="1"/>
  <c r="C4531" i="1"/>
  <c r="B4531" i="1"/>
  <c r="C4530" i="1"/>
  <c r="B4530" i="1"/>
  <c r="C4529" i="1"/>
  <c r="B4529" i="1"/>
  <c r="C4528" i="1"/>
  <c r="B4528" i="1"/>
  <c r="C4527" i="1"/>
  <c r="B4527" i="1"/>
  <c r="C4526" i="1"/>
  <c r="B4526" i="1"/>
  <c r="C4525" i="1"/>
  <c r="B4525" i="1"/>
  <c r="C4524" i="1"/>
  <c r="B4524" i="1"/>
  <c r="C4523" i="1"/>
  <c r="B4523" i="1"/>
  <c r="C4522" i="1"/>
  <c r="B4522" i="1"/>
  <c r="C4521" i="1"/>
  <c r="B4521" i="1"/>
  <c r="C4520" i="1"/>
  <c r="B4520" i="1"/>
  <c r="C4519" i="1"/>
  <c r="B4519" i="1"/>
  <c r="C4518" i="1"/>
  <c r="B4518" i="1"/>
  <c r="C4517" i="1"/>
  <c r="B4517" i="1"/>
  <c r="C4516" i="1"/>
  <c r="B4516" i="1"/>
  <c r="C4515" i="1"/>
  <c r="B4515" i="1"/>
  <c r="C4514" i="1"/>
  <c r="B4514" i="1"/>
  <c r="C4513" i="1"/>
  <c r="B4513" i="1"/>
  <c r="C4512" i="1"/>
  <c r="B4512" i="1"/>
  <c r="C4511" i="1"/>
  <c r="B4511" i="1"/>
  <c r="C4510" i="1"/>
  <c r="B4510" i="1"/>
  <c r="C4509" i="1"/>
  <c r="B4509" i="1"/>
  <c r="C4508" i="1"/>
  <c r="B4508" i="1"/>
  <c r="C4507" i="1"/>
  <c r="B4507" i="1"/>
  <c r="C4506" i="1"/>
  <c r="B4506" i="1"/>
  <c r="C4505" i="1"/>
  <c r="B4505" i="1"/>
  <c r="C4504" i="1"/>
  <c r="B4504" i="1"/>
  <c r="C4503" i="1"/>
  <c r="B4503" i="1"/>
  <c r="C4502" i="1"/>
  <c r="B4502" i="1"/>
  <c r="C4501" i="1"/>
  <c r="B4501" i="1"/>
  <c r="C4500" i="1"/>
  <c r="B4500" i="1"/>
  <c r="C4499" i="1"/>
  <c r="B4499" i="1"/>
  <c r="C4498" i="1"/>
  <c r="B4498" i="1"/>
  <c r="C4497" i="1"/>
  <c r="B4497" i="1"/>
  <c r="C4496" i="1"/>
  <c r="B4496" i="1"/>
  <c r="C4495" i="1"/>
  <c r="B4495" i="1"/>
  <c r="C4494" i="1"/>
  <c r="B4494" i="1"/>
  <c r="C4493" i="1"/>
  <c r="B4493" i="1"/>
  <c r="C4492" i="1"/>
  <c r="B4492" i="1"/>
  <c r="C4491" i="1"/>
  <c r="B4491" i="1"/>
  <c r="C4490" i="1"/>
  <c r="B4490" i="1"/>
  <c r="C4489" i="1"/>
  <c r="B4489" i="1"/>
  <c r="C4488" i="1"/>
  <c r="B4488" i="1"/>
  <c r="C4487" i="1"/>
  <c r="B4487" i="1"/>
  <c r="C4486" i="1"/>
  <c r="B4486" i="1"/>
  <c r="C4485" i="1"/>
  <c r="B4485" i="1"/>
  <c r="C4484" i="1"/>
  <c r="B4484" i="1"/>
  <c r="C4483" i="1"/>
  <c r="B4483" i="1"/>
  <c r="C4482" i="1"/>
  <c r="B4482" i="1"/>
  <c r="C4481" i="1"/>
  <c r="B4481" i="1"/>
  <c r="C4480" i="1"/>
  <c r="B4480" i="1"/>
  <c r="C4479" i="1"/>
  <c r="B4479" i="1"/>
  <c r="C4478" i="1"/>
  <c r="B4478" i="1"/>
  <c r="C4477" i="1"/>
  <c r="B4477" i="1"/>
  <c r="C4476" i="1"/>
  <c r="B4476" i="1"/>
  <c r="C4475" i="1"/>
  <c r="B4475" i="1"/>
  <c r="C4474" i="1"/>
  <c r="B4474" i="1"/>
  <c r="C4473" i="1"/>
  <c r="B4473" i="1"/>
  <c r="C4472" i="1"/>
  <c r="B4472" i="1"/>
  <c r="C4471" i="1"/>
  <c r="B4471" i="1"/>
  <c r="C4470" i="1"/>
  <c r="B4470" i="1"/>
  <c r="C4469" i="1"/>
  <c r="B4469" i="1"/>
  <c r="C4468" i="1"/>
  <c r="B4468" i="1"/>
  <c r="C4467" i="1"/>
  <c r="B4467" i="1"/>
  <c r="C4466" i="1"/>
  <c r="B4466" i="1"/>
  <c r="C4465" i="1"/>
  <c r="B4465" i="1"/>
  <c r="C4464" i="1"/>
  <c r="B4464" i="1"/>
  <c r="C4463" i="1"/>
  <c r="B4463" i="1"/>
  <c r="C4462" i="1"/>
  <c r="B4462" i="1"/>
  <c r="C4461" i="1"/>
  <c r="B4461" i="1"/>
  <c r="C4460" i="1"/>
  <c r="B4460" i="1"/>
  <c r="C4459" i="1"/>
  <c r="B4459" i="1"/>
  <c r="C4458" i="1"/>
  <c r="B4458" i="1"/>
  <c r="C4457" i="1"/>
  <c r="B4457" i="1"/>
  <c r="C4456" i="1"/>
  <c r="B4456" i="1"/>
  <c r="C4455" i="1"/>
  <c r="B4455" i="1"/>
  <c r="C4454" i="1"/>
  <c r="B4454" i="1"/>
  <c r="C4453" i="1"/>
  <c r="B4453" i="1"/>
  <c r="C4452" i="1"/>
  <c r="B4452" i="1"/>
  <c r="C4451" i="1"/>
  <c r="B4451" i="1"/>
  <c r="C4450" i="1"/>
  <c r="B4450" i="1"/>
  <c r="C4449" i="1"/>
  <c r="B4449" i="1"/>
  <c r="C4448" i="1"/>
  <c r="B4448" i="1"/>
  <c r="C4447" i="1"/>
  <c r="B4447" i="1"/>
  <c r="C4446" i="1"/>
  <c r="B4446" i="1"/>
  <c r="C4445" i="1"/>
  <c r="B4445" i="1"/>
  <c r="C4444" i="1"/>
  <c r="B4444" i="1"/>
  <c r="C4443" i="1"/>
  <c r="B4443" i="1"/>
  <c r="C4442" i="1"/>
  <c r="B4442" i="1"/>
  <c r="C4441" i="1"/>
  <c r="B4441" i="1"/>
  <c r="C4440" i="1"/>
  <c r="B4440" i="1"/>
  <c r="C4439" i="1"/>
  <c r="B4439" i="1"/>
  <c r="C4438" i="1"/>
  <c r="B4438" i="1"/>
  <c r="C4437" i="1"/>
  <c r="B4437" i="1"/>
  <c r="C4436" i="1"/>
  <c r="B4436" i="1"/>
  <c r="C4435" i="1"/>
  <c r="B4435" i="1"/>
  <c r="C4434" i="1"/>
  <c r="B4434" i="1"/>
  <c r="C4433" i="1"/>
  <c r="B4433" i="1"/>
  <c r="C4432" i="1"/>
  <c r="B4432" i="1"/>
  <c r="C4431" i="1"/>
  <c r="B4431" i="1"/>
  <c r="C4430" i="1"/>
  <c r="B4430" i="1"/>
  <c r="C4429" i="1"/>
  <c r="B4429" i="1"/>
  <c r="C4428" i="1"/>
  <c r="B4428" i="1"/>
  <c r="C4427" i="1"/>
  <c r="B4427" i="1"/>
  <c r="C4426" i="1"/>
  <c r="B4426" i="1"/>
  <c r="C4425" i="1"/>
  <c r="B4425" i="1"/>
  <c r="C4424" i="1"/>
  <c r="B4424" i="1"/>
  <c r="C4423" i="1"/>
  <c r="B4423" i="1"/>
  <c r="C4422" i="1"/>
  <c r="B4422" i="1"/>
  <c r="C4421" i="1"/>
  <c r="B4421" i="1"/>
  <c r="C4420" i="1"/>
  <c r="B4420" i="1"/>
  <c r="C4419" i="1"/>
  <c r="B4419" i="1"/>
  <c r="C4418" i="1"/>
  <c r="B4418" i="1"/>
  <c r="C4417" i="1"/>
  <c r="B4417" i="1"/>
  <c r="C4416" i="1"/>
  <c r="B4416" i="1"/>
  <c r="C4415" i="1"/>
  <c r="B4415" i="1"/>
  <c r="C4414" i="1"/>
  <c r="B4414" i="1"/>
  <c r="C4413" i="1"/>
  <c r="B4413" i="1"/>
  <c r="C4412" i="1"/>
  <c r="B4412" i="1"/>
  <c r="C4411" i="1"/>
  <c r="B4411" i="1"/>
  <c r="C4410" i="1"/>
  <c r="B4410" i="1"/>
  <c r="C4409" i="1"/>
  <c r="B4409" i="1"/>
  <c r="C4408" i="1"/>
  <c r="B4408" i="1"/>
  <c r="C4407" i="1"/>
  <c r="B4407" i="1"/>
  <c r="C4406" i="1"/>
  <c r="B4406" i="1"/>
  <c r="C4405" i="1"/>
  <c r="B4405" i="1"/>
  <c r="C4404" i="1"/>
  <c r="B4404" i="1"/>
  <c r="C4403" i="1"/>
  <c r="B4403" i="1"/>
  <c r="C4402" i="1"/>
  <c r="B4402" i="1"/>
  <c r="C4401" i="1"/>
  <c r="B4401" i="1"/>
  <c r="C4400" i="1"/>
  <c r="B4400" i="1"/>
  <c r="C4399" i="1"/>
  <c r="B4399" i="1"/>
  <c r="C4398" i="1"/>
  <c r="B4398" i="1"/>
  <c r="C4397" i="1"/>
  <c r="B4397" i="1"/>
  <c r="C4396" i="1"/>
  <c r="B4396" i="1"/>
  <c r="C4395" i="1"/>
  <c r="B4395" i="1"/>
  <c r="C4394" i="1"/>
  <c r="B4394" i="1"/>
  <c r="C4393" i="1"/>
  <c r="B4393" i="1"/>
  <c r="C4392" i="1"/>
  <c r="B4392" i="1"/>
  <c r="C4391" i="1"/>
  <c r="B4391" i="1"/>
  <c r="C4390" i="1"/>
  <c r="B4390" i="1"/>
  <c r="C4389" i="1"/>
  <c r="B4389" i="1"/>
  <c r="C4388" i="1"/>
  <c r="B4388" i="1"/>
  <c r="C4387" i="1"/>
  <c r="B4387" i="1"/>
  <c r="C4386" i="1"/>
  <c r="B4386" i="1"/>
  <c r="C4385" i="1"/>
  <c r="B4385" i="1"/>
  <c r="C4384" i="1"/>
  <c r="B4384" i="1"/>
  <c r="C4383" i="1"/>
  <c r="B4383" i="1"/>
  <c r="C4382" i="1"/>
  <c r="B4382" i="1"/>
  <c r="C4381" i="1"/>
  <c r="B4381" i="1"/>
  <c r="C4380" i="1"/>
  <c r="B4380" i="1"/>
  <c r="C4379" i="1"/>
  <c r="B4379" i="1"/>
  <c r="C4378" i="1"/>
  <c r="B4378" i="1"/>
  <c r="C4377" i="1"/>
  <c r="B4377" i="1"/>
  <c r="C4376" i="1"/>
  <c r="B4376" i="1"/>
  <c r="C4375" i="1"/>
  <c r="B4375" i="1"/>
  <c r="C4374" i="1"/>
  <c r="B4374" i="1"/>
  <c r="C4373" i="1"/>
  <c r="B4373" i="1"/>
  <c r="C4372" i="1"/>
  <c r="B4372" i="1"/>
  <c r="C4371" i="1"/>
  <c r="B4371" i="1"/>
  <c r="C4370" i="1"/>
  <c r="B4370" i="1"/>
  <c r="C4369" i="1"/>
  <c r="B4369" i="1"/>
  <c r="C4368" i="1"/>
  <c r="B4368" i="1"/>
  <c r="C4367" i="1"/>
  <c r="B4367" i="1"/>
  <c r="C4366" i="1"/>
  <c r="B4366" i="1"/>
  <c r="C4365" i="1"/>
  <c r="B4365" i="1"/>
  <c r="C4364" i="1"/>
  <c r="B4364" i="1"/>
  <c r="C4363" i="1"/>
  <c r="B4363" i="1"/>
  <c r="C4362" i="1"/>
  <c r="B4362" i="1"/>
  <c r="C4361" i="1"/>
  <c r="B4361" i="1"/>
  <c r="C4360" i="1"/>
  <c r="B4360" i="1"/>
  <c r="C4359" i="1"/>
  <c r="B4359" i="1"/>
  <c r="C4358" i="1"/>
  <c r="B4358" i="1"/>
  <c r="C4357" i="1"/>
  <c r="B4357" i="1"/>
  <c r="C4356" i="1"/>
  <c r="B4356" i="1"/>
  <c r="C4355" i="1"/>
  <c r="B4355" i="1"/>
  <c r="C4354" i="1"/>
  <c r="B4354" i="1"/>
  <c r="C4353" i="1"/>
  <c r="B4353" i="1"/>
  <c r="C4352" i="1"/>
  <c r="B4352" i="1"/>
  <c r="C4351" i="1"/>
  <c r="B4351" i="1"/>
  <c r="C4350" i="1"/>
  <c r="B4350" i="1"/>
  <c r="C4349" i="1"/>
  <c r="B4349" i="1"/>
  <c r="C4348" i="1"/>
  <c r="B4348" i="1"/>
  <c r="C4347" i="1"/>
  <c r="B4347" i="1"/>
  <c r="C4346" i="1"/>
  <c r="B4346" i="1"/>
  <c r="C4345" i="1"/>
  <c r="B4345" i="1"/>
  <c r="C4344" i="1"/>
  <c r="B4344" i="1"/>
  <c r="C4343" i="1"/>
  <c r="B4343" i="1"/>
  <c r="C4342" i="1"/>
  <c r="B4342" i="1"/>
  <c r="C4341" i="1"/>
  <c r="B4341" i="1"/>
  <c r="C4340" i="1"/>
  <c r="B4340" i="1"/>
  <c r="C4339" i="1"/>
  <c r="B4339" i="1"/>
  <c r="C4338" i="1"/>
  <c r="B4338" i="1"/>
  <c r="C4337" i="1"/>
  <c r="B4337" i="1"/>
  <c r="C4336" i="1"/>
  <c r="B4336" i="1"/>
  <c r="C4335" i="1"/>
  <c r="B4335" i="1"/>
  <c r="C4334" i="1"/>
  <c r="B4334" i="1"/>
  <c r="C4333" i="1"/>
  <c r="B4333" i="1"/>
  <c r="C4332" i="1"/>
  <c r="B4332" i="1"/>
  <c r="C4331" i="1"/>
  <c r="B4331" i="1"/>
  <c r="C4330" i="1"/>
  <c r="B4330" i="1"/>
  <c r="C4329" i="1"/>
  <c r="B4329" i="1"/>
  <c r="C4328" i="1"/>
  <c r="B4328" i="1"/>
  <c r="C4327" i="1"/>
  <c r="B4327" i="1"/>
  <c r="C4326" i="1"/>
  <c r="B4326" i="1"/>
  <c r="C4325" i="1"/>
  <c r="B4325" i="1"/>
  <c r="C4324" i="1"/>
  <c r="B4324" i="1"/>
  <c r="C4323" i="1"/>
  <c r="B4323" i="1"/>
  <c r="C4322" i="1"/>
  <c r="B4322" i="1"/>
  <c r="C4321" i="1"/>
  <c r="B4321" i="1"/>
  <c r="C4320" i="1"/>
  <c r="B4320" i="1"/>
  <c r="C4319" i="1"/>
  <c r="B4319" i="1"/>
  <c r="C4318" i="1"/>
  <c r="B4318" i="1"/>
  <c r="C4317" i="1"/>
  <c r="B4317" i="1"/>
  <c r="C4316" i="1"/>
  <c r="B4316" i="1"/>
  <c r="C4315" i="1"/>
  <c r="B4315" i="1"/>
  <c r="C4314" i="1"/>
  <c r="B4314" i="1"/>
  <c r="C4313" i="1"/>
  <c r="B4313" i="1"/>
  <c r="C4312" i="1"/>
  <c r="B4312" i="1"/>
  <c r="C4311" i="1"/>
  <c r="B4311" i="1"/>
  <c r="C4310" i="1"/>
  <c r="B4310" i="1"/>
  <c r="C4309" i="1"/>
  <c r="B4309" i="1"/>
  <c r="C4308" i="1"/>
  <c r="B4308" i="1"/>
  <c r="C4307" i="1"/>
  <c r="B4307" i="1"/>
  <c r="C4306" i="1"/>
  <c r="B4306" i="1"/>
  <c r="C4305" i="1"/>
  <c r="B4305" i="1"/>
  <c r="C4304" i="1"/>
  <c r="B4304" i="1"/>
  <c r="C4303" i="1"/>
  <c r="B4303" i="1"/>
  <c r="C4302" i="1"/>
  <c r="B4302" i="1"/>
  <c r="C4301" i="1"/>
  <c r="B4301" i="1"/>
  <c r="C4300" i="1"/>
  <c r="B4300" i="1"/>
  <c r="C4299" i="1"/>
  <c r="B4299" i="1"/>
  <c r="C4298" i="1"/>
  <c r="B4298" i="1"/>
  <c r="C4297" i="1"/>
  <c r="B4297" i="1"/>
  <c r="C4296" i="1"/>
  <c r="B4296" i="1"/>
  <c r="C4295" i="1"/>
  <c r="B4295" i="1"/>
  <c r="C4294" i="1"/>
  <c r="B4294" i="1"/>
  <c r="C4293" i="1"/>
  <c r="B4293" i="1"/>
  <c r="C4292" i="1"/>
  <c r="B4292" i="1"/>
  <c r="C4291" i="1"/>
  <c r="B4291" i="1"/>
  <c r="C4290" i="1"/>
  <c r="B4290" i="1"/>
  <c r="C4289" i="1"/>
  <c r="B4289" i="1"/>
  <c r="C4288" i="1"/>
  <c r="B4288" i="1"/>
  <c r="C4287" i="1"/>
  <c r="B4287" i="1"/>
  <c r="C4286" i="1"/>
  <c r="B4286" i="1"/>
  <c r="C4285" i="1"/>
  <c r="B4285" i="1"/>
  <c r="C4284" i="1"/>
  <c r="B4284" i="1"/>
  <c r="C4283" i="1"/>
  <c r="B4283" i="1"/>
  <c r="C4282" i="1"/>
  <c r="B4282" i="1"/>
  <c r="C4281" i="1"/>
  <c r="B4281" i="1"/>
  <c r="C4280" i="1"/>
  <c r="B4280" i="1"/>
  <c r="C4279" i="1"/>
  <c r="B4279" i="1"/>
  <c r="C4278" i="1"/>
  <c r="B4278" i="1"/>
  <c r="C4277" i="1"/>
  <c r="B4277" i="1"/>
  <c r="C4276" i="1"/>
  <c r="B4276" i="1"/>
  <c r="C4275" i="1"/>
  <c r="B4275" i="1"/>
  <c r="C4274" i="1"/>
  <c r="B4274" i="1"/>
  <c r="C4273" i="1"/>
  <c r="B4273" i="1"/>
  <c r="C4272" i="1"/>
  <c r="B4272" i="1"/>
  <c r="C4271" i="1"/>
  <c r="B4271" i="1"/>
  <c r="C4270" i="1"/>
  <c r="B4270" i="1"/>
  <c r="C4269" i="1"/>
  <c r="B4269" i="1"/>
  <c r="C4268" i="1"/>
  <c r="B4268" i="1"/>
  <c r="C4267" i="1"/>
  <c r="B4267" i="1"/>
  <c r="C4266" i="1"/>
  <c r="B4266" i="1"/>
  <c r="C4265" i="1"/>
  <c r="B4265" i="1"/>
  <c r="C4264" i="1"/>
  <c r="B4264" i="1"/>
  <c r="C4263" i="1"/>
  <c r="B4263" i="1"/>
  <c r="C4262" i="1"/>
  <c r="B4262" i="1"/>
  <c r="C4261" i="1"/>
  <c r="B4261" i="1"/>
  <c r="C4260" i="1"/>
  <c r="B4260" i="1"/>
  <c r="C4259" i="1"/>
  <c r="B4259" i="1"/>
  <c r="C4258" i="1"/>
  <c r="B4258" i="1"/>
  <c r="C4257" i="1"/>
  <c r="B4257" i="1"/>
  <c r="C4256" i="1"/>
  <c r="B4256" i="1"/>
  <c r="C4255" i="1"/>
  <c r="B4255" i="1"/>
  <c r="C4254" i="1"/>
  <c r="B4254" i="1"/>
  <c r="C4253" i="1"/>
  <c r="B4253" i="1"/>
  <c r="C4252" i="1"/>
  <c r="B4252" i="1"/>
  <c r="C4251" i="1"/>
  <c r="B4251" i="1"/>
  <c r="C4250" i="1"/>
  <c r="B4250" i="1"/>
  <c r="C4249" i="1"/>
  <c r="B4249" i="1"/>
  <c r="C4248" i="1"/>
  <c r="B4248" i="1"/>
  <c r="C4247" i="1"/>
  <c r="B4247" i="1"/>
  <c r="C4246" i="1"/>
  <c r="B4246" i="1"/>
  <c r="C4245" i="1"/>
  <c r="B4245" i="1"/>
  <c r="C4244" i="1"/>
  <c r="B4244" i="1"/>
  <c r="C4243" i="1"/>
  <c r="B4243" i="1"/>
  <c r="C4242" i="1"/>
  <c r="B4242" i="1"/>
  <c r="C4241" i="1"/>
  <c r="B4241" i="1"/>
  <c r="C4240" i="1"/>
  <c r="B4240" i="1"/>
  <c r="C4239" i="1"/>
  <c r="B4239" i="1"/>
  <c r="C4238" i="1"/>
  <c r="B4238" i="1"/>
  <c r="C4237" i="1"/>
  <c r="B4237" i="1"/>
  <c r="C4236" i="1"/>
  <c r="B4236" i="1"/>
  <c r="C4235" i="1"/>
  <c r="B4235" i="1"/>
  <c r="C4234" i="1"/>
  <c r="B4234" i="1"/>
  <c r="C4233" i="1"/>
  <c r="B4233" i="1"/>
  <c r="C4232" i="1"/>
  <c r="B4232" i="1"/>
  <c r="C4231" i="1"/>
  <c r="B4231" i="1"/>
  <c r="C4230" i="1"/>
  <c r="B4230" i="1"/>
  <c r="C4229" i="1"/>
  <c r="B4229" i="1"/>
  <c r="C4228" i="1"/>
  <c r="B4228" i="1"/>
  <c r="C4227" i="1"/>
  <c r="B4227" i="1"/>
  <c r="C4226" i="1"/>
  <c r="B4226" i="1"/>
  <c r="C4225" i="1"/>
  <c r="B4225" i="1"/>
  <c r="C4224" i="1"/>
  <c r="B4224" i="1"/>
  <c r="C4223" i="1"/>
  <c r="B4223" i="1"/>
  <c r="C4222" i="1"/>
  <c r="B4222" i="1"/>
  <c r="C4221" i="1"/>
  <c r="B4221" i="1"/>
  <c r="C4220" i="1"/>
  <c r="B4220" i="1"/>
  <c r="C4219" i="1"/>
  <c r="B4219" i="1"/>
  <c r="C4218" i="1"/>
  <c r="B4218" i="1"/>
  <c r="C4217" i="1"/>
  <c r="B4217" i="1"/>
  <c r="C4216" i="1"/>
  <c r="B4216" i="1"/>
  <c r="C4215" i="1"/>
  <c r="B4215" i="1"/>
  <c r="C4214" i="1"/>
  <c r="B4214" i="1"/>
  <c r="C4213" i="1"/>
  <c r="B4213" i="1"/>
  <c r="C4212" i="1"/>
  <c r="B4212" i="1"/>
  <c r="C4211" i="1"/>
  <c r="B4211" i="1"/>
  <c r="C4210" i="1"/>
  <c r="B4210" i="1"/>
  <c r="C4209" i="1"/>
  <c r="B4209" i="1"/>
  <c r="C4208" i="1"/>
  <c r="B4208" i="1"/>
  <c r="C4207" i="1"/>
  <c r="B4207" i="1"/>
  <c r="C4206" i="1"/>
  <c r="B4206" i="1"/>
  <c r="C4205" i="1"/>
  <c r="B4205" i="1"/>
  <c r="C4204" i="1"/>
  <c r="B4204" i="1"/>
  <c r="C4203" i="1"/>
  <c r="B4203" i="1"/>
  <c r="C4202" i="1"/>
  <c r="B4202" i="1"/>
  <c r="C4201" i="1"/>
  <c r="B4201" i="1"/>
  <c r="C4200" i="1"/>
  <c r="B4200" i="1"/>
  <c r="C4199" i="1"/>
  <c r="B4199" i="1"/>
  <c r="C4198" i="1"/>
  <c r="B4198" i="1"/>
  <c r="C4197" i="1"/>
  <c r="B4197" i="1"/>
  <c r="C4196" i="1"/>
  <c r="B4196" i="1"/>
  <c r="C4195" i="1"/>
  <c r="B4195" i="1"/>
  <c r="C4194" i="1"/>
  <c r="B4194" i="1"/>
  <c r="C4193" i="1"/>
  <c r="B4193" i="1"/>
  <c r="C4192" i="1"/>
  <c r="B4192" i="1"/>
  <c r="C4191" i="1"/>
  <c r="B4191" i="1"/>
  <c r="C4190" i="1"/>
  <c r="B4190" i="1"/>
  <c r="C4189" i="1"/>
  <c r="B4189" i="1"/>
  <c r="C4188" i="1"/>
  <c r="B4188" i="1"/>
  <c r="C4187" i="1"/>
  <c r="B4187" i="1"/>
  <c r="C4186" i="1"/>
  <c r="B4186" i="1"/>
  <c r="C4185" i="1"/>
  <c r="B4185" i="1"/>
  <c r="C4184" i="1"/>
  <c r="B4184" i="1"/>
  <c r="C4183" i="1"/>
  <c r="B4183" i="1"/>
  <c r="C4182" i="1"/>
  <c r="B4182" i="1"/>
  <c r="C4181" i="1"/>
  <c r="B4181" i="1"/>
  <c r="C4180" i="1"/>
  <c r="B4180" i="1"/>
  <c r="C4179" i="1"/>
  <c r="B4179" i="1"/>
  <c r="C4178" i="1"/>
  <c r="B4178" i="1"/>
  <c r="C4177" i="1"/>
  <c r="B4177" i="1"/>
  <c r="C4176" i="1"/>
  <c r="B4176" i="1"/>
  <c r="C4175" i="1"/>
  <c r="B4175" i="1"/>
  <c r="C4174" i="1"/>
  <c r="B4174" i="1"/>
  <c r="C4173" i="1"/>
  <c r="B4173" i="1"/>
  <c r="C4172" i="1"/>
  <c r="B4172" i="1"/>
  <c r="C4171" i="1"/>
  <c r="B4171" i="1"/>
  <c r="C4170" i="1"/>
  <c r="B4170" i="1"/>
  <c r="C4169" i="1"/>
  <c r="B4169" i="1"/>
  <c r="C4168" i="1"/>
  <c r="B4168" i="1"/>
  <c r="C4167" i="1"/>
  <c r="B4167" i="1"/>
  <c r="C4166" i="1"/>
  <c r="B4166" i="1"/>
  <c r="C4165" i="1"/>
  <c r="B4165" i="1"/>
  <c r="C4164" i="1"/>
  <c r="B4164" i="1"/>
  <c r="C4163" i="1"/>
  <c r="B4163" i="1"/>
  <c r="C4162" i="1"/>
  <c r="B4162" i="1"/>
  <c r="C4161" i="1"/>
  <c r="B4161" i="1"/>
  <c r="C4160" i="1"/>
  <c r="B4160" i="1"/>
  <c r="C4159" i="1"/>
  <c r="B4159" i="1"/>
  <c r="C4158" i="1"/>
  <c r="B4158" i="1"/>
  <c r="C4157" i="1"/>
  <c r="B4157" i="1"/>
  <c r="C4156" i="1"/>
  <c r="B4156" i="1"/>
  <c r="C4155" i="1"/>
  <c r="B4155" i="1"/>
  <c r="C4154" i="1"/>
  <c r="B4154" i="1"/>
  <c r="C4153" i="1"/>
  <c r="B4153" i="1"/>
  <c r="C4152" i="1"/>
  <c r="B4152" i="1"/>
  <c r="C4151" i="1"/>
  <c r="B4151" i="1"/>
  <c r="C4150" i="1"/>
  <c r="B4150" i="1"/>
  <c r="C4149" i="1"/>
  <c r="B4149" i="1"/>
  <c r="C4148" i="1"/>
  <c r="B4148" i="1"/>
  <c r="C4147" i="1"/>
  <c r="B4147" i="1"/>
  <c r="C4146" i="1"/>
  <c r="B4146" i="1"/>
  <c r="C4145" i="1"/>
  <c r="B4145" i="1"/>
  <c r="C4144" i="1"/>
  <c r="B4144" i="1"/>
  <c r="C4143" i="1"/>
  <c r="B4143" i="1"/>
  <c r="C4142" i="1"/>
  <c r="B4142" i="1"/>
  <c r="C4141" i="1"/>
  <c r="B4141" i="1"/>
  <c r="C4140" i="1"/>
  <c r="B4140" i="1"/>
  <c r="C4139" i="1"/>
  <c r="B4139" i="1"/>
  <c r="C4138" i="1"/>
  <c r="B4138" i="1"/>
  <c r="C4137" i="1"/>
  <c r="B4137" i="1"/>
  <c r="C4136" i="1"/>
  <c r="B4136" i="1"/>
  <c r="C4135" i="1"/>
  <c r="B4135" i="1"/>
  <c r="C4134" i="1"/>
  <c r="B4134" i="1"/>
  <c r="C4133" i="1"/>
  <c r="B4133" i="1"/>
  <c r="C4132" i="1"/>
  <c r="B4132" i="1"/>
  <c r="C4131" i="1"/>
  <c r="B4131" i="1"/>
  <c r="C4130" i="1"/>
  <c r="B4130" i="1"/>
  <c r="C4129" i="1"/>
  <c r="B4129" i="1"/>
  <c r="C4128" i="1"/>
  <c r="B4128" i="1"/>
  <c r="C4127" i="1"/>
  <c r="B4127" i="1"/>
  <c r="C4126" i="1"/>
  <c r="B4126" i="1"/>
  <c r="C4125" i="1"/>
  <c r="B4125" i="1"/>
  <c r="C4124" i="1"/>
  <c r="B4124" i="1"/>
  <c r="C4123" i="1"/>
  <c r="B4123" i="1"/>
  <c r="C4122" i="1"/>
  <c r="B4122" i="1"/>
  <c r="C4121" i="1"/>
  <c r="B4121" i="1"/>
  <c r="C4120" i="1"/>
  <c r="B4120" i="1"/>
  <c r="C4119" i="1"/>
  <c r="B4119" i="1"/>
  <c r="C4118" i="1"/>
  <c r="B4118" i="1"/>
  <c r="C4117" i="1"/>
  <c r="B4117" i="1"/>
  <c r="C4116" i="1"/>
  <c r="B4116" i="1"/>
  <c r="C4115" i="1"/>
  <c r="B4115" i="1"/>
  <c r="C4114" i="1"/>
  <c r="B4114" i="1"/>
  <c r="C4113" i="1"/>
  <c r="B4113" i="1"/>
  <c r="C4112" i="1"/>
  <c r="B4112" i="1"/>
  <c r="C4111" i="1"/>
  <c r="B4111" i="1"/>
  <c r="C4110" i="1"/>
  <c r="B4110" i="1"/>
  <c r="C4109" i="1"/>
  <c r="B4109" i="1"/>
  <c r="C4108" i="1"/>
  <c r="B4108" i="1"/>
  <c r="C4107" i="1"/>
  <c r="B4107" i="1"/>
  <c r="C4106" i="1"/>
  <c r="B4106" i="1"/>
  <c r="C4105" i="1"/>
  <c r="B4105" i="1"/>
  <c r="C4104" i="1"/>
  <c r="B4104" i="1"/>
  <c r="C4103" i="1"/>
  <c r="B4103" i="1"/>
  <c r="C4102" i="1"/>
  <c r="B4102" i="1"/>
  <c r="C4101" i="1"/>
  <c r="B4101" i="1"/>
  <c r="C4100" i="1"/>
  <c r="B4100" i="1"/>
  <c r="C4099" i="1"/>
  <c r="B4099" i="1"/>
  <c r="C4098" i="1"/>
  <c r="B4098" i="1"/>
  <c r="C4097" i="1"/>
  <c r="B4097" i="1"/>
  <c r="C4096" i="1"/>
  <c r="B4096" i="1"/>
  <c r="C4095" i="1"/>
  <c r="B4095" i="1"/>
  <c r="C4094" i="1"/>
  <c r="B4094" i="1"/>
  <c r="C4093" i="1"/>
  <c r="B4093" i="1"/>
  <c r="C4092" i="1"/>
  <c r="B4092" i="1"/>
  <c r="C4091" i="1"/>
  <c r="B4091" i="1"/>
  <c r="C4090" i="1"/>
  <c r="B4090" i="1"/>
  <c r="C4089" i="1"/>
  <c r="B4089" i="1"/>
  <c r="C4088" i="1"/>
  <c r="B4088" i="1"/>
  <c r="C4087" i="1"/>
  <c r="B4087" i="1"/>
  <c r="C4086" i="1"/>
  <c r="B4086" i="1"/>
  <c r="C4085" i="1"/>
  <c r="B4085" i="1"/>
  <c r="C4084" i="1"/>
  <c r="B4084" i="1"/>
  <c r="C4083" i="1"/>
  <c r="B4083" i="1"/>
  <c r="C4082" i="1"/>
  <c r="B4082" i="1"/>
  <c r="C4081" i="1"/>
  <c r="B4081" i="1"/>
  <c r="C4080" i="1"/>
  <c r="B4080" i="1"/>
  <c r="C4079" i="1"/>
  <c r="B4079" i="1"/>
  <c r="C4078" i="1"/>
  <c r="B4078" i="1"/>
  <c r="C4077" i="1"/>
  <c r="B4077" i="1"/>
  <c r="C4076" i="1"/>
  <c r="B4076" i="1"/>
  <c r="C4075" i="1"/>
  <c r="B4075" i="1"/>
  <c r="C4074" i="1"/>
  <c r="B4074" i="1"/>
  <c r="C4073" i="1"/>
  <c r="B4073" i="1"/>
  <c r="C4072" i="1"/>
  <c r="B4072" i="1"/>
  <c r="C4071" i="1"/>
  <c r="B4071" i="1"/>
  <c r="C4070" i="1"/>
  <c r="B4070" i="1"/>
  <c r="C4069" i="1"/>
  <c r="B4069" i="1"/>
  <c r="C4068" i="1"/>
  <c r="B4068" i="1"/>
  <c r="C4067" i="1"/>
  <c r="B4067" i="1"/>
  <c r="C4066" i="1"/>
  <c r="B4066" i="1"/>
  <c r="C4065" i="1"/>
  <c r="B4065" i="1"/>
  <c r="C4064" i="1"/>
  <c r="B4064" i="1"/>
  <c r="C4063" i="1"/>
  <c r="B4063" i="1"/>
  <c r="C4062" i="1"/>
  <c r="B4062" i="1"/>
  <c r="C4061" i="1"/>
  <c r="B4061" i="1"/>
  <c r="C4060" i="1"/>
  <c r="B4060" i="1"/>
  <c r="C4059" i="1"/>
  <c r="B4059" i="1"/>
  <c r="C4058" i="1"/>
  <c r="B4058" i="1"/>
  <c r="C4057" i="1"/>
  <c r="B4057" i="1"/>
  <c r="C4056" i="1"/>
  <c r="B4056" i="1"/>
  <c r="C4055" i="1"/>
  <c r="B4055" i="1"/>
  <c r="C4054" i="1"/>
  <c r="B4054" i="1"/>
  <c r="C4053" i="1"/>
  <c r="B4053" i="1"/>
  <c r="C4052" i="1"/>
  <c r="B4052" i="1"/>
  <c r="C4051" i="1"/>
  <c r="B4051" i="1"/>
  <c r="C4050" i="1"/>
  <c r="B4050" i="1"/>
  <c r="C4049" i="1"/>
  <c r="B4049" i="1"/>
  <c r="C4048" i="1"/>
  <c r="B4048" i="1"/>
  <c r="C4047" i="1"/>
  <c r="B4047" i="1"/>
  <c r="C4046" i="1"/>
  <c r="B4046" i="1"/>
  <c r="C4045" i="1"/>
  <c r="B4045" i="1"/>
  <c r="C4044" i="1"/>
  <c r="B4044" i="1"/>
  <c r="C4043" i="1"/>
  <c r="B4043" i="1"/>
  <c r="C4042" i="1"/>
  <c r="B4042" i="1"/>
  <c r="C4041" i="1"/>
  <c r="B4041" i="1"/>
  <c r="C4040" i="1"/>
  <c r="B4040" i="1"/>
  <c r="C4039" i="1"/>
  <c r="B4039" i="1"/>
  <c r="C4038" i="1"/>
  <c r="B4038" i="1"/>
  <c r="C4037" i="1"/>
  <c r="B4037" i="1"/>
  <c r="C4036" i="1"/>
  <c r="B4036" i="1"/>
  <c r="C4035" i="1"/>
  <c r="B4035" i="1"/>
  <c r="C4034" i="1"/>
  <c r="B4034" i="1"/>
  <c r="C4033" i="1"/>
  <c r="B4033" i="1"/>
  <c r="C4032" i="1"/>
  <c r="B4032" i="1"/>
  <c r="C4031" i="1"/>
  <c r="B4031" i="1"/>
  <c r="C4030" i="1"/>
  <c r="B4030" i="1"/>
  <c r="C4029" i="1"/>
  <c r="B4029" i="1"/>
  <c r="C4028" i="1"/>
  <c r="B4028" i="1"/>
  <c r="C4027" i="1"/>
  <c r="B4027" i="1"/>
  <c r="C4026" i="1"/>
  <c r="B4026" i="1"/>
  <c r="C4025" i="1"/>
  <c r="B4025" i="1"/>
  <c r="C4024" i="1"/>
  <c r="B4024" i="1"/>
  <c r="C4023" i="1"/>
  <c r="B4023" i="1"/>
  <c r="C4022" i="1"/>
  <c r="B4022" i="1"/>
  <c r="C4021" i="1"/>
  <c r="B4021" i="1"/>
  <c r="C4020" i="1"/>
  <c r="B4020" i="1"/>
  <c r="C4019" i="1"/>
  <c r="B4019" i="1"/>
  <c r="C4018" i="1"/>
  <c r="B4018" i="1"/>
  <c r="C4017" i="1"/>
  <c r="B4017" i="1"/>
  <c r="C4016" i="1"/>
  <c r="B4016" i="1"/>
  <c r="C4015" i="1"/>
  <c r="B4015" i="1"/>
  <c r="C4014" i="1"/>
  <c r="B4014" i="1"/>
  <c r="C4013" i="1"/>
  <c r="B4013" i="1"/>
  <c r="C4012" i="1"/>
  <c r="B4012" i="1"/>
  <c r="C4011" i="1"/>
  <c r="B4011" i="1"/>
  <c r="C4010" i="1"/>
  <c r="B4010" i="1"/>
  <c r="C4009" i="1"/>
  <c r="B4009" i="1"/>
  <c r="C4008" i="1"/>
  <c r="B4008" i="1"/>
  <c r="C4007" i="1"/>
  <c r="B4007" i="1"/>
  <c r="C4006" i="1"/>
  <c r="B4006" i="1"/>
  <c r="C4005" i="1"/>
  <c r="B4005" i="1"/>
  <c r="C4004" i="1"/>
  <c r="B4004" i="1"/>
  <c r="C4003" i="1"/>
  <c r="B4003" i="1"/>
  <c r="C4002" i="1"/>
  <c r="B4002" i="1"/>
  <c r="C4001" i="1"/>
  <c r="B4001" i="1"/>
  <c r="C4000" i="1"/>
  <c r="B4000" i="1"/>
  <c r="C3999" i="1"/>
  <c r="B3999" i="1"/>
  <c r="C3998" i="1"/>
  <c r="B3998" i="1"/>
  <c r="C3997" i="1"/>
  <c r="B3997" i="1"/>
  <c r="C3996" i="1"/>
  <c r="B3996" i="1"/>
  <c r="C3995" i="1"/>
  <c r="B3995" i="1"/>
  <c r="C3994" i="1"/>
  <c r="B3994" i="1"/>
  <c r="C3993" i="1"/>
  <c r="B3993" i="1"/>
  <c r="C3992" i="1"/>
  <c r="B3992" i="1"/>
  <c r="C3991" i="1"/>
  <c r="B3991" i="1"/>
  <c r="C3990" i="1"/>
  <c r="B3990" i="1"/>
  <c r="C3989" i="1"/>
  <c r="B3989" i="1"/>
  <c r="C3988" i="1"/>
  <c r="B3988" i="1"/>
  <c r="C3987" i="1"/>
  <c r="B3987" i="1"/>
  <c r="C3986" i="1"/>
  <c r="B3986" i="1"/>
  <c r="C3985" i="1"/>
  <c r="B3985" i="1"/>
  <c r="C3984" i="1"/>
  <c r="B3984" i="1"/>
  <c r="C3983" i="1"/>
  <c r="B3983" i="1"/>
  <c r="C3982" i="1"/>
  <c r="B3982" i="1"/>
  <c r="C3981" i="1"/>
  <c r="B3981" i="1"/>
  <c r="C3980" i="1"/>
  <c r="B3980" i="1"/>
  <c r="C3979" i="1"/>
  <c r="B3979" i="1"/>
  <c r="C3978" i="1"/>
  <c r="B3978" i="1"/>
  <c r="C3977" i="1"/>
  <c r="B3977" i="1"/>
  <c r="C3976" i="1"/>
  <c r="B3976" i="1"/>
  <c r="C3975" i="1"/>
  <c r="B3975" i="1"/>
  <c r="C3974" i="1"/>
  <c r="B3974" i="1"/>
  <c r="C3973" i="1"/>
  <c r="B3973" i="1"/>
  <c r="C3972" i="1"/>
  <c r="B3972" i="1"/>
  <c r="C3971" i="1"/>
  <c r="B3971" i="1"/>
  <c r="C3970" i="1"/>
  <c r="B3970" i="1"/>
  <c r="C3969" i="1"/>
  <c r="B3969" i="1"/>
  <c r="C3968" i="1"/>
  <c r="B3968" i="1"/>
  <c r="C3967" i="1"/>
  <c r="B3967" i="1"/>
  <c r="C3966" i="1"/>
  <c r="B3966" i="1"/>
  <c r="C3965" i="1"/>
  <c r="B3965" i="1"/>
  <c r="C3964" i="1"/>
  <c r="B3964" i="1"/>
  <c r="C3963" i="1"/>
  <c r="B3963" i="1"/>
  <c r="C3962" i="1"/>
  <c r="B3962" i="1"/>
  <c r="C3961" i="1"/>
  <c r="B3961" i="1"/>
  <c r="C3960" i="1"/>
  <c r="B3960" i="1"/>
  <c r="C3959" i="1"/>
  <c r="B3959" i="1"/>
  <c r="C3958" i="1"/>
  <c r="B3958" i="1"/>
  <c r="C3957" i="1"/>
  <c r="B3957" i="1"/>
  <c r="C3956" i="1"/>
  <c r="B3956" i="1"/>
  <c r="C3955" i="1"/>
  <c r="B3955" i="1"/>
  <c r="C3954" i="1"/>
  <c r="B3954" i="1"/>
  <c r="C3953" i="1"/>
  <c r="B3953" i="1"/>
  <c r="C3952" i="1"/>
  <c r="B3952" i="1"/>
  <c r="C3951" i="1"/>
  <c r="B3951" i="1"/>
  <c r="C3950" i="1"/>
  <c r="B3950" i="1"/>
  <c r="C3949" i="1"/>
  <c r="B3949" i="1"/>
  <c r="C3948" i="1"/>
  <c r="B3948" i="1"/>
  <c r="C3947" i="1"/>
  <c r="B3947" i="1"/>
  <c r="C3946" i="1"/>
  <c r="B3946" i="1"/>
  <c r="C3945" i="1"/>
  <c r="B3945" i="1"/>
  <c r="C3944" i="1"/>
  <c r="B3944" i="1"/>
  <c r="C3943" i="1"/>
  <c r="B3943" i="1"/>
  <c r="C3942" i="1"/>
  <c r="B3942" i="1"/>
  <c r="C3941" i="1"/>
  <c r="B3941" i="1"/>
  <c r="C3940" i="1"/>
  <c r="B3940" i="1"/>
  <c r="C3939" i="1"/>
  <c r="B3939" i="1"/>
  <c r="C3938" i="1"/>
  <c r="B3938" i="1"/>
  <c r="C3937" i="1"/>
  <c r="B3937" i="1"/>
  <c r="C3936" i="1"/>
  <c r="B3936" i="1"/>
  <c r="C3935" i="1"/>
  <c r="B3935" i="1"/>
  <c r="C3934" i="1"/>
  <c r="B3934" i="1"/>
  <c r="C3933" i="1"/>
  <c r="B3933" i="1"/>
  <c r="C3932" i="1"/>
  <c r="B3932" i="1"/>
  <c r="C3931" i="1"/>
  <c r="B3931" i="1"/>
  <c r="C3930" i="1"/>
  <c r="B3930" i="1"/>
  <c r="C3929" i="1"/>
  <c r="B3929" i="1"/>
  <c r="C3928" i="1"/>
  <c r="B3928" i="1"/>
  <c r="C3927" i="1"/>
  <c r="B3927" i="1"/>
  <c r="C3926" i="1"/>
  <c r="B3926" i="1"/>
  <c r="C3925" i="1"/>
  <c r="B3925" i="1"/>
  <c r="C3924" i="1"/>
  <c r="B3924" i="1"/>
  <c r="C3923" i="1"/>
  <c r="B3923" i="1"/>
  <c r="C3922" i="1"/>
  <c r="B3922" i="1"/>
  <c r="C3921" i="1"/>
  <c r="B3921" i="1"/>
  <c r="C3920" i="1"/>
  <c r="B3920" i="1"/>
  <c r="C3919" i="1"/>
  <c r="B3919" i="1"/>
  <c r="C3918" i="1"/>
  <c r="B3918" i="1"/>
  <c r="C3917" i="1"/>
  <c r="B3917" i="1"/>
  <c r="C3916" i="1"/>
  <c r="B3916" i="1"/>
  <c r="C3915" i="1"/>
  <c r="B3915" i="1"/>
  <c r="C3914" i="1"/>
  <c r="B3914" i="1"/>
  <c r="C3913" i="1"/>
  <c r="B3913" i="1"/>
  <c r="C3912" i="1"/>
  <c r="B3912" i="1"/>
  <c r="C3911" i="1"/>
  <c r="B3911" i="1"/>
  <c r="C3910" i="1"/>
  <c r="B3910" i="1"/>
  <c r="C3909" i="1"/>
  <c r="B3909" i="1"/>
  <c r="C3908" i="1"/>
  <c r="B3908" i="1"/>
  <c r="C3907" i="1"/>
  <c r="B3907" i="1"/>
  <c r="C3906" i="1"/>
  <c r="B3906" i="1"/>
  <c r="C3905" i="1"/>
  <c r="B3905" i="1"/>
  <c r="C3904" i="1"/>
  <c r="B3904" i="1"/>
  <c r="C3903" i="1"/>
  <c r="B3903" i="1"/>
  <c r="C3902" i="1"/>
  <c r="B3902" i="1"/>
  <c r="C3901" i="1"/>
  <c r="B3901" i="1"/>
  <c r="C3900" i="1"/>
  <c r="B3900" i="1"/>
  <c r="C3899" i="1"/>
  <c r="B3899" i="1"/>
  <c r="C3898" i="1"/>
  <c r="B3898" i="1"/>
  <c r="C3897" i="1"/>
  <c r="B3897" i="1"/>
  <c r="C3896" i="1"/>
  <c r="B3896" i="1"/>
  <c r="C3895" i="1"/>
  <c r="B3895" i="1"/>
  <c r="C3894" i="1"/>
  <c r="B3894" i="1"/>
  <c r="C3893" i="1"/>
  <c r="B3893" i="1"/>
  <c r="C3892" i="1"/>
  <c r="B3892" i="1"/>
  <c r="C3891" i="1"/>
  <c r="B3891" i="1"/>
  <c r="C3890" i="1"/>
  <c r="B3890" i="1"/>
  <c r="C3889" i="1"/>
  <c r="B3889" i="1"/>
  <c r="C3888" i="1"/>
  <c r="B3888" i="1"/>
  <c r="C3887" i="1"/>
  <c r="B3887" i="1"/>
  <c r="C3886" i="1"/>
  <c r="B3886" i="1"/>
  <c r="C3885" i="1"/>
  <c r="B3885" i="1"/>
  <c r="C3884" i="1"/>
  <c r="B3884" i="1"/>
  <c r="C3883" i="1"/>
  <c r="B3883" i="1"/>
  <c r="C3882" i="1"/>
  <c r="B3882" i="1"/>
  <c r="C3881" i="1"/>
  <c r="B3881" i="1"/>
  <c r="C3880" i="1"/>
  <c r="B3880" i="1"/>
  <c r="C3879" i="1"/>
  <c r="B3879" i="1"/>
  <c r="C3878" i="1"/>
  <c r="B3878" i="1"/>
  <c r="C3877" i="1"/>
  <c r="B3877" i="1"/>
  <c r="C3876" i="1"/>
  <c r="B3876" i="1"/>
  <c r="C3875" i="1"/>
  <c r="B3875" i="1"/>
  <c r="C3874" i="1"/>
  <c r="B3874" i="1"/>
  <c r="C3873" i="1"/>
  <c r="B3873" i="1"/>
  <c r="C3872" i="1"/>
  <c r="B3872" i="1"/>
  <c r="C3871" i="1"/>
  <c r="B3871" i="1"/>
  <c r="C3870" i="1"/>
  <c r="B3870" i="1"/>
  <c r="C3869" i="1"/>
  <c r="B3869" i="1"/>
  <c r="C3868" i="1"/>
  <c r="B3868" i="1"/>
  <c r="C3867" i="1"/>
  <c r="B3867" i="1"/>
  <c r="C3866" i="1"/>
  <c r="B3866" i="1"/>
  <c r="C3865" i="1"/>
  <c r="B3865" i="1"/>
  <c r="C3864" i="1"/>
  <c r="B3864" i="1"/>
  <c r="C3863" i="1"/>
  <c r="B3863" i="1"/>
  <c r="C3862" i="1"/>
  <c r="B3862" i="1"/>
  <c r="C3861" i="1"/>
  <c r="B3861" i="1"/>
  <c r="C3860" i="1"/>
  <c r="B3860" i="1"/>
  <c r="C3859" i="1"/>
  <c r="B3859" i="1"/>
  <c r="C3858" i="1"/>
  <c r="B3858" i="1"/>
  <c r="C3857" i="1"/>
  <c r="B3857" i="1"/>
  <c r="C3856" i="1"/>
  <c r="B3856" i="1"/>
  <c r="C3855" i="1"/>
  <c r="B3855" i="1"/>
  <c r="C3854" i="1"/>
  <c r="B3854" i="1"/>
  <c r="C3853" i="1"/>
  <c r="B3853" i="1"/>
  <c r="C3852" i="1"/>
  <c r="B3852" i="1"/>
  <c r="C3851" i="1"/>
  <c r="B3851" i="1"/>
  <c r="C3850" i="1"/>
  <c r="B3850" i="1"/>
  <c r="C3849" i="1"/>
  <c r="B3849" i="1"/>
  <c r="C3848" i="1"/>
  <c r="B3848" i="1"/>
  <c r="C3847" i="1"/>
  <c r="B3847" i="1"/>
  <c r="C3846" i="1"/>
  <c r="B3846" i="1"/>
  <c r="C3845" i="1"/>
  <c r="B3845" i="1"/>
  <c r="C3844" i="1"/>
  <c r="B3844" i="1"/>
  <c r="C3843" i="1"/>
  <c r="B3843" i="1"/>
  <c r="C3842" i="1"/>
  <c r="B3842" i="1"/>
  <c r="C3841" i="1"/>
  <c r="B3841" i="1"/>
  <c r="C3840" i="1"/>
  <c r="B3840" i="1"/>
  <c r="C3839" i="1"/>
  <c r="B3839" i="1"/>
  <c r="C3838" i="1"/>
  <c r="B3838" i="1"/>
  <c r="C3837" i="1"/>
  <c r="B3837" i="1"/>
  <c r="C3836" i="1"/>
  <c r="B3836" i="1"/>
  <c r="C3835" i="1"/>
  <c r="B3835" i="1"/>
  <c r="C3834" i="1"/>
  <c r="B3834" i="1"/>
  <c r="C3833" i="1"/>
  <c r="B3833" i="1"/>
  <c r="C3832" i="1"/>
  <c r="B3832" i="1"/>
  <c r="C3831" i="1"/>
  <c r="B3831" i="1"/>
  <c r="C3830" i="1"/>
  <c r="B3830" i="1"/>
  <c r="C3829" i="1"/>
  <c r="B3829" i="1"/>
  <c r="C3828" i="1"/>
  <c r="B3828" i="1"/>
  <c r="C3827" i="1"/>
  <c r="B3827" i="1"/>
  <c r="C3826" i="1"/>
  <c r="B3826" i="1"/>
  <c r="C3825" i="1"/>
  <c r="B3825" i="1"/>
  <c r="C3824" i="1"/>
  <c r="B3824" i="1"/>
  <c r="C3823" i="1"/>
  <c r="B3823" i="1"/>
  <c r="C3822" i="1"/>
  <c r="B3822" i="1"/>
  <c r="C3821" i="1"/>
  <c r="B3821" i="1"/>
  <c r="C3820" i="1"/>
  <c r="B3820" i="1"/>
  <c r="C3819" i="1"/>
  <c r="B3819" i="1"/>
  <c r="C3818" i="1"/>
  <c r="B3818" i="1"/>
  <c r="C3817" i="1"/>
  <c r="B3817" i="1"/>
  <c r="C3816" i="1"/>
  <c r="B3816" i="1"/>
  <c r="C3815" i="1"/>
  <c r="B3815" i="1"/>
  <c r="C3814" i="1"/>
  <c r="B3814" i="1"/>
  <c r="C3813" i="1"/>
  <c r="B3813" i="1"/>
  <c r="C3812" i="1"/>
  <c r="B3812" i="1"/>
  <c r="C3811" i="1"/>
  <c r="B3811" i="1"/>
  <c r="C3810" i="1"/>
  <c r="B3810" i="1"/>
  <c r="C3809" i="1"/>
  <c r="B3809" i="1"/>
  <c r="C3808" i="1"/>
  <c r="B3808" i="1"/>
  <c r="C3807" i="1"/>
  <c r="B3807" i="1"/>
  <c r="C3806" i="1"/>
  <c r="B3806" i="1"/>
  <c r="C3805" i="1"/>
  <c r="B3805" i="1"/>
  <c r="C3804" i="1"/>
  <c r="B3804" i="1"/>
  <c r="C3803" i="1"/>
  <c r="B3803" i="1"/>
  <c r="C3802" i="1"/>
  <c r="B3802" i="1"/>
  <c r="C3801" i="1"/>
  <c r="B3801" i="1"/>
  <c r="C3800" i="1"/>
  <c r="B3800" i="1"/>
  <c r="C3799" i="1"/>
  <c r="B3799" i="1"/>
  <c r="C3798" i="1"/>
  <c r="B3798" i="1"/>
  <c r="C3797" i="1"/>
  <c r="B3797" i="1"/>
  <c r="C3796" i="1"/>
  <c r="B3796" i="1"/>
  <c r="C3795" i="1"/>
  <c r="B3795" i="1"/>
  <c r="C3794" i="1"/>
  <c r="B3794" i="1"/>
  <c r="C3793" i="1"/>
  <c r="B3793" i="1"/>
  <c r="C3792" i="1"/>
  <c r="B3792" i="1"/>
  <c r="C3791" i="1"/>
  <c r="B3791" i="1"/>
  <c r="C3790" i="1"/>
  <c r="B3790" i="1"/>
  <c r="C3789" i="1"/>
  <c r="B3789" i="1"/>
  <c r="C3788" i="1"/>
  <c r="B3788" i="1"/>
  <c r="C3787" i="1"/>
  <c r="B3787" i="1"/>
  <c r="C3786" i="1"/>
  <c r="B3786" i="1"/>
  <c r="C3785" i="1"/>
  <c r="B3785" i="1"/>
  <c r="C3784" i="1"/>
  <c r="B3784" i="1"/>
  <c r="C3783" i="1"/>
  <c r="B3783" i="1"/>
  <c r="C3782" i="1"/>
  <c r="B3782" i="1"/>
  <c r="C3781" i="1"/>
  <c r="B3781" i="1"/>
  <c r="C3780" i="1"/>
  <c r="B3780" i="1"/>
  <c r="C3779" i="1"/>
  <c r="B3779" i="1"/>
  <c r="C3778" i="1"/>
  <c r="B3778" i="1"/>
  <c r="C3777" i="1"/>
  <c r="B3777" i="1"/>
  <c r="C3776" i="1"/>
  <c r="B3776" i="1"/>
  <c r="C3775" i="1"/>
  <c r="B3775" i="1"/>
  <c r="C3774" i="1"/>
  <c r="B3774" i="1"/>
  <c r="C3773" i="1"/>
  <c r="B3773" i="1"/>
  <c r="C3772" i="1"/>
  <c r="B3772" i="1"/>
  <c r="C3771" i="1"/>
  <c r="B3771" i="1"/>
  <c r="C3770" i="1"/>
  <c r="B3770" i="1"/>
  <c r="C3769" i="1"/>
  <c r="B3769" i="1"/>
  <c r="C3768" i="1"/>
  <c r="B3768" i="1"/>
  <c r="C3767" i="1"/>
  <c r="B3767" i="1"/>
  <c r="C3766" i="1"/>
  <c r="B3766" i="1"/>
  <c r="C3765" i="1"/>
  <c r="B3765" i="1"/>
  <c r="C3764" i="1"/>
  <c r="B3764" i="1"/>
  <c r="C3763" i="1"/>
  <c r="B3763" i="1"/>
  <c r="C3762" i="1"/>
  <c r="B3762" i="1"/>
  <c r="C3761" i="1"/>
  <c r="B3761" i="1"/>
  <c r="C3760" i="1"/>
  <c r="B3760" i="1"/>
  <c r="C3759" i="1"/>
  <c r="B3759" i="1"/>
  <c r="C3758" i="1"/>
  <c r="B3758" i="1"/>
  <c r="C3757" i="1"/>
  <c r="B3757" i="1"/>
  <c r="C3756" i="1"/>
  <c r="B3756" i="1"/>
  <c r="C3755" i="1"/>
  <c r="B3755" i="1"/>
  <c r="C3754" i="1"/>
  <c r="B3754" i="1"/>
  <c r="C3753" i="1"/>
  <c r="B3753" i="1"/>
  <c r="C3752" i="1"/>
  <c r="B3752" i="1"/>
  <c r="C3751" i="1"/>
  <c r="B3751" i="1"/>
  <c r="C3750" i="1"/>
  <c r="B3750" i="1"/>
  <c r="C3749" i="1"/>
  <c r="B3749" i="1"/>
  <c r="C3748" i="1"/>
  <c r="B3748" i="1"/>
  <c r="C3747" i="1"/>
  <c r="B3747" i="1"/>
  <c r="C3746" i="1"/>
  <c r="B3746" i="1"/>
  <c r="C3745" i="1"/>
  <c r="B3745" i="1"/>
  <c r="C3744" i="1"/>
  <c r="B3744" i="1"/>
  <c r="C3743" i="1"/>
  <c r="B3743" i="1"/>
  <c r="C3742" i="1"/>
  <c r="B3742" i="1"/>
  <c r="C3741" i="1"/>
  <c r="B3741" i="1"/>
  <c r="C3740" i="1"/>
  <c r="B3740" i="1"/>
  <c r="C3739" i="1"/>
  <c r="B3739" i="1"/>
  <c r="C3738" i="1"/>
  <c r="B3738" i="1"/>
  <c r="C3737" i="1"/>
  <c r="B3737" i="1"/>
  <c r="C3736" i="1"/>
  <c r="B3736" i="1"/>
  <c r="C3735" i="1"/>
  <c r="B3735" i="1"/>
  <c r="C3734" i="1"/>
  <c r="B3734" i="1"/>
  <c r="C3733" i="1"/>
  <c r="B3733" i="1"/>
  <c r="C3732" i="1"/>
  <c r="B3732" i="1"/>
  <c r="C3731" i="1"/>
  <c r="B3731" i="1"/>
  <c r="C3730" i="1"/>
  <c r="B3730" i="1"/>
  <c r="C3729" i="1"/>
  <c r="B3729" i="1"/>
  <c r="C3728" i="1"/>
  <c r="B3728" i="1"/>
  <c r="C3727" i="1"/>
  <c r="B3727" i="1"/>
  <c r="C3726" i="1"/>
  <c r="B3726" i="1"/>
  <c r="C3725" i="1"/>
  <c r="B3725" i="1"/>
  <c r="C3724" i="1"/>
  <c r="B3724" i="1"/>
  <c r="C3723" i="1"/>
  <c r="B3723" i="1"/>
  <c r="C3722" i="1"/>
  <c r="B3722" i="1"/>
  <c r="C3721" i="1"/>
  <c r="B3721" i="1"/>
  <c r="C3720" i="1"/>
  <c r="B3720" i="1"/>
  <c r="C3719" i="1"/>
  <c r="B3719" i="1"/>
  <c r="C3718" i="1"/>
  <c r="B3718" i="1"/>
  <c r="C3717" i="1"/>
  <c r="B3717" i="1"/>
  <c r="C3716" i="1"/>
  <c r="B3716" i="1"/>
  <c r="C3715" i="1"/>
  <c r="B3715" i="1"/>
  <c r="C3714" i="1"/>
  <c r="B3714" i="1"/>
  <c r="C3713" i="1"/>
  <c r="B3713" i="1"/>
  <c r="C3712" i="1"/>
  <c r="B3712" i="1"/>
  <c r="C3711" i="1"/>
  <c r="B3711" i="1"/>
  <c r="C3710" i="1"/>
  <c r="B3710" i="1"/>
  <c r="C3709" i="1"/>
  <c r="B3709" i="1"/>
  <c r="C3708" i="1"/>
  <c r="B3708" i="1"/>
  <c r="C3707" i="1"/>
  <c r="B3707" i="1"/>
  <c r="C3706" i="1"/>
  <c r="B3706" i="1"/>
  <c r="C3705" i="1"/>
  <c r="B3705" i="1"/>
  <c r="C3704" i="1"/>
  <c r="B3704" i="1"/>
  <c r="C3703" i="1"/>
  <c r="B3703" i="1"/>
  <c r="C3702" i="1"/>
  <c r="B3702" i="1"/>
  <c r="C3701" i="1"/>
  <c r="B3701" i="1"/>
  <c r="C3700" i="1"/>
  <c r="B3700" i="1"/>
  <c r="C3699" i="1"/>
  <c r="B3699" i="1"/>
  <c r="C3698" i="1"/>
  <c r="B3698" i="1"/>
  <c r="C3697" i="1"/>
  <c r="B3697" i="1"/>
  <c r="C3696" i="1"/>
  <c r="B3696" i="1"/>
  <c r="C3695" i="1"/>
  <c r="B3695" i="1"/>
  <c r="C3694" i="1"/>
  <c r="B3694" i="1"/>
  <c r="C3693" i="1"/>
  <c r="B3693" i="1"/>
  <c r="C3692" i="1"/>
  <c r="B3692" i="1"/>
  <c r="C3691" i="1"/>
  <c r="B3691" i="1"/>
  <c r="C3690" i="1"/>
  <c r="B3690" i="1"/>
  <c r="C3689" i="1"/>
  <c r="B3689" i="1"/>
  <c r="C3688" i="1"/>
  <c r="B3688" i="1"/>
  <c r="C3687" i="1"/>
  <c r="B3687" i="1"/>
  <c r="C3686" i="1"/>
  <c r="B3686" i="1"/>
  <c r="C3685" i="1"/>
  <c r="B3685" i="1"/>
  <c r="C3684" i="1"/>
  <c r="B3684" i="1"/>
  <c r="C3683" i="1"/>
  <c r="B3683" i="1"/>
  <c r="C3682" i="1"/>
  <c r="B3682" i="1"/>
  <c r="C3681" i="1"/>
  <c r="B3681" i="1"/>
  <c r="C3680" i="1"/>
  <c r="B3680" i="1"/>
  <c r="C3679" i="1"/>
  <c r="B3679" i="1"/>
  <c r="C3678" i="1"/>
  <c r="B3678" i="1"/>
  <c r="C3677" i="1"/>
  <c r="B3677" i="1"/>
  <c r="C3676" i="1"/>
  <c r="B3676" i="1"/>
  <c r="C3675" i="1"/>
  <c r="B3675" i="1"/>
  <c r="C3674" i="1"/>
  <c r="B3674" i="1"/>
  <c r="C3673" i="1"/>
  <c r="B3673" i="1"/>
  <c r="C3672" i="1"/>
  <c r="B3672" i="1"/>
  <c r="C3671" i="1"/>
  <c r="B3671" i="1"/>
  <c r="C3670" i="1"/>
  <c r="B3670" i="1"/>
  <c r="C3669" i="1"/>
  <c r="B3669" i="1"/>
  <c r="C3668" i="1"/>
  <c r="B3668" i="1"/>
  <c r="C3667" i="1"/>
  <c r="B3667" i="1"/>
  <c r="C3666" i="1"/>
  <c r="B3666" i="1"/>
  <c r="C3665" i="1"/>
  <c r="B3665" i="1"/>
  <c r="C3664" i="1"/>
  <c r="B3664" i="1"/>
  <c r="C3663" i="1"/>
  <c r="B3663" i="1"/>
  <c r="C3662" i="1"/>
  <c r="B3662" i="1"/>
  <c r="C3661" i="1"/>
  <c r="B3661" i="1"/>
  <c r="C3660" i="1"/>
  <c r="B3660" i="1"/>
  <c r="C3659" i="1"/>
  <c r="B3659" i="1"/>
  <c r="C3658" i="1"/>
  <c r="B3658" i="1"/>
  <c r="C3657" i="1"/>
  <c r="B3657" i="1"/>
  <c r="C3656" i="1"/>
  <c r="B3656" i="1"/>
  <c r="C3655" i="1"/>
  <c r="B3655" i="1"/>
  <c r="C3654" i="1"/>
  <c r="B3654" i="1"/>
  <c r="C3653" i="1"/>
  <c r="B3653" i="1"/>
  <c r="C3652" i="1"/>
  <c r="B3652" i="1"/>
  <c r="C3651" i="1"/>
  <c r="B3651" i="1"/>
  <c r="C3650" i="1"/>
  <c r="B3650" i="1"/>
  <c r="C3649" i="1"/>
  <c r="B3649" i="1"/>
  <c r="C3648" i="1"/>
  <c r="B3648" i="1"/>
  <c r="C3647" i="1"/>
  <c r="B3647" i="1"/>
  <c r="C3646" i="1"/>
  <c r="B3646" i="1"/>
  <c r="C3645" i="1"/>
  <c r="B3645" i="1"/>
  <c r="C3644" i="1"/>
  <c r="B3644" i="1"/>
  <c r="C3643" i="1"/>
  <c r="B3643" i="1"/>
  <c r="C3642" i="1"/>
  <c r="B3642" i="1"/>
  <c r="C3641" i="1"/>
  <c r="B3641" i="1"/>
  <c r="C3640" i="1"/>
  <c r="B3640" i="1"/>
  <c r="C3639" i="1"/>
  <c r="B3639" i="1"/>
  <c r="C3638" i="1"/>
  <c r="B3638" i="1"/>
  <c r="C3637" i="1"/>
  <c r="B3637" i="1"/>
  <c r="C3636" i="1"/>
  <c r="B3636" i="1"/>
  <c r="C3635" i="1"/>
  <c r="B3635" i="1"/>
  <c r="C3634" i="1"/>
  <c r="B3634" i="1"/>
  <c r="C3633" i="1"/>
  <c r="B3633" i="1"/>
  <c r="C3632" i="1"/>
  <c r="B3632" i="1"/>
  <c r="C3631" i="1"/>
  <c r="B3631" i="1"/>
  <c r="C3630" i="1"/>
  <c r="B3630" i="1"/>
  <c r="C3629" i="1"/>
  <c r="B3629" i="1"/>
  <c r="C3628" i="1"/>
  <c r="B3628" i="1"/>
  <c r="C3627" i="1"/>
  <c r="B3627" i="1"/>
  <c r="C3626" i="1"/>
  <c r="B3626" i="1"/>
  <c r="C3625" i="1"/>
  <c r="B3625" i="1"/>
  <c r="C3624" i="1"/>
  <c r="B3624" i="1"/>
  <c r="C3623" i="1"/>
  <c r="B3623" i="1"/>
  <c r="C3622" i="1"/>
  <c r="B3622" i="1"/>
  <c r="C3621" i="1"/>
  <c r="B3621" i="1"/>
  <c r="C3620" i="1"/>
  <c r="B3620" i="1"/>
  <c r="C3619" i="1"/>
  <c r="B3619" i="1"/>
  <c r="C3618" i="1"/>
  <c r="B3618" i="1"/>
  <c r="C3617" i="1"/>
  <c r="B3617" i="1"/>
  <c r="C3616" i="1"/>
  <c r="B3616" i="1"/>
  <c r="C3615" i="1"/>
  <c r="B3615" i="1"/>
  <c r="C3614" i="1"/>
  <c r="B3614" i="1"/>
  <c r="C3613" i="1"/>
  <c r="B3613" i="1"/>
  <c r="C3612" i="1"/>
  <c r="B3612" i="1"/>
  <c r="C3611" i="1"/>
  <c r="B3611" i="1"/>
  <c r="C3610" i="1"/>
  <c r="B3610" i="1"/>
  <c r="C3609" i="1"/>
  <c r="B3609" i="1"/>
  <c r="C3608" i="1"/>
  <c r="B3608" i="1"/>
  <c r="C3607" i="1"/>
  <c r="B3607" i="1"/>
  <c r="C3606" i="1"/>
  <c r="B3606" i="1"/>
  <c r="C3605" i="1"/>
  <c r="B3605" i="1"/>
  <c r="C3604" i="1"/>
  <c r="B3604" i="1"/>
  <c r="C3603" i="1"/>
  <c r="B3603" i="1"/>
  <c r="C3602" i="1"/>
  <c r="B3602" i="1"/>
  <c r="C3601" i="1"/>
  <c r="B3601" i="1"/>
  <c r="C3600" i="1"/>
  <c r="B3600" i="1"/>
  <c r="C3599" i="1"/>
  <c r="B3599" i="1"/>
  <c r="C3598" i="1"/>
  <c r="B3598" i="1"/>
  <c r="C3597" i="1"/>
  <c r="B3597" i="1"/>
  <c r="C3596" i="1"/>
  <c r="B3596" i="1"/>
  <c r="C3595" i="1"/>
  <c r="B3595" i="1"/>
  <c r="C3594" i="1"/>
  <c r="B3594" i="1"/>
  <c r="C3593" i="1"/>
  <c r="B3593" i="1"/>
  <c r="C3592" i="1"/>
  <c r="B3592" i="1"/>
  <c r="C3591" i="1"/>
  <c r="B3591" i="1"/>
  <c r="C3590" i="1"/>
  <c r="B3590" i="1"/>
  <c r="C3589" i="1"/>
  <c r="B3589" i="1"/>
  <c r="C3588" i="1"/>
  <c r="B3588" i="1"/>
  <c r="C3587" i="1"/>
  <c r="B3587" i="1"/>
  <c r="C3586" i="1"/>
  <c r="B3586" i="1"/>
  <c r="C3585" i="1"/>
  <c r="B3585" i="1"/>
  <c r="C3584" i="1"/>
  <c r="B3584" i="1"/>
  <c r="C3583" i="1"/>
  <c r="B3583" i="1"/>
  <c r="C3582" i="1"/>
  <c r="B3582" i="1"/>
  <c r="C3581" i="1"/>
  <c r="B3581" i="1"/>
  <c r="C3580" i="1"/>
  <c r="B3580" i="1"/>
  <c r="C3579" i="1"/>
  <c r="B3579" i="1"/>
  <c r="C3578" i="1"/>
  <c r="B3578" i="1"/>
  <c r="C3577" i="1"/>
  <c r="B3577" i="1"/>
  <c r="C3576" i="1"/>
  <c r="B3576" i="1"/>
  <c r="C3575" i="1"/>
  <c r="B3575" i="1"/>
  <c r="C3574" i="1"/>
  <c r="B3574" i="1"/>
  <c r="C3573" i="1"/>
  <c r="B3573" i="1"/>
  <c r="C3572" i="1"/>
  <c r="B3572" i="1"/>
  <c r="C3571" i="1"/>
  <c r="B3571" i="1"/>
  <c r="C3570" i="1"/>
  <c r="B3570" i="1"/>
  <c r="C3569" i="1"/>
  <c r="B3569" i="1"/>
  <c r="C3568" i="1"/>
  <c r="B3568" i="1"/>
  <c r="C3567" i="1"/>
  <c r="B3567" i="1"/>
  <c r="C3566" i="1"/>
  <c r="B3566" i="1"/>
  <c r="C3565" i="1"/>
  <c r="B3565" i="1"/>
  <c r="C3564" i="1"/>
  <c r="B3564" i="1"/>
  <c r="C3563" i="1"/>
  <c r="B3563" i="1"/>
  <c r="C3562" i="1"/>
  <c r="B3562" i="1"/>
  <c r="C3561" i="1"/>
  <c r="B3561" i="1"/>
  <c r="C3560" i="1"/>
  <c r="B3560" i="1"/>
  <c r="C3559" i="1"/>
  <c r="B3559" i="1"/>
  <c r="C3558" i="1"/>
  <c r="B3558" i="1"/>
  <c r="C3557" i="1"/>
  <c r="B3557" i="1"/>
  <c r="C3556" i="1"/>
  <c r="B3556" i="1"/>
  <c r="C3555" i="1"/>
  <c r="B3555" i="1"/>
  <c r="C3554" i="1"/>
  <c r="B3554" i="1"/>
  <c r="C3553" i="1"/>
  <c r="B3553" i="1"/>
  <c r="C3552" i="1"/>
  <c r="B3552" i="1"/>
  <c r="C3551" i="1"/>
  <c r="B3551" i="1"/>
  <c r="C3550" i="1"/>
  <c r="B3550" i="1"/>
  <c r="C3549" i="1"/>
  <c r="B3549" i="1"/>
  <c r="C3548" i="1"/>
  <c r="B3548" i="1"/>
  <c r="C3547" i="1"/>
  <c r="B3547" i="1"/>
  <c r="C3546" i="1"/>
  <c r="B3546" i="1"/>
  <c r="C3545" i="1"/>
  <c r="B3545" i="1"/>
  <c r="C3544" i="1"/>
  <c r="B3544" i="1"/>
  <c r="C3543" i="1"/>
  <c r="B3543" i="1"/>
  <c r="C3542" i="1"/>
  <c r="B3542" i="1"/>
  <c r="C3541" i="1"/>
  <c r="B3541" i="1"/>
  <c r="C3540" i="1"/>
  <c r="B3540" i="1"/>
  <c r="C3539" i="1"/>
  <c r="B3539" i="1"/>
  <c r="C3538" i="1"/>
  <c r="B3538" i="1"/>
  <c r="C3537" i="1"/>
  <c r="B3537" i="1"/>
  <c r="C3536" i="1"/>
  <c r="B3536" i="1"/>
  <c r="C3535" i="1"/>
  <c r="B3535" i="1"/>
  <c r="C3534" i="1"/>
  <c r="B3534" i="1"/>
  <c r="C3533" i="1"/>
  <c r="B3533" i="1"/>
  <c r="C3532" i="1"/>
  <c r="B3532" i="1"/>
  <c r="C3531" i="1"/>
  <c r="B3531" i="1"/>
  <c r="C3530" i="1"/>
  <c r="B3530" i="1"/>
  <c r="C3529" i="1"/>
  <c r="B3529" i="1"/>
  <c r="C3528" i="1"/>
  <c r="B3528" i="1"/>
  <c r="C3527" i="1"/>
  <c r="B3527" i="1"/>
  <c r="C3526" i="1"/>
  <c r="B3526" i="1"/>
  <c r="C3525" i="1"/>
  <c r="B3525" i="1"/>
  <c r="C3524" i="1"/>
  <c r="B3524" i="1"/>
  <c r="C3523" i="1"/>
  <c r="B3523" i="1"/>
  <c r="C3522" i="1"/>
  <c r="B3522" i="1"/>
  <c r="C3521" i="1"/>
  <c r="B3521" i="1"/>
  <c r="C3520" i="1"/>
  <c r="B3520" i="1"/>
  <c r="C3519" i="1"/>
  <c r="B3519" i="1"/>
  <c r="C3518" i="1"/>
  <c r="B3518" i="1"/>
  <c r="C3517" i="1"/>
  <c r="B3517" i="1"/>
  <c r="C3516" i="1"/>
  <c r="B3516" i="1"/>
  <c r="C3515" i="1"/>
  <c r="B3515" i="1"/>
  <c r="C3514" i="1"/>
  <c r="B3514" i="1"/>
  <c r="C3513" i="1"/>
  <c r="B3513" i="1"/>
  <c r="C3512" i="1"/>
  <c r="B3512" i="1"/>
  <c r="C3511" i="1"/>
  <c r="B3511" i="1"/>
  <c r="C3510" i="1"/>
  <c r="B3510" i="1"/>
  <c r="C3509" i="1"/>
  <c r="B3509" i="1"/>
  <c r="C3508" i="1"/>
  <c r="B3508" i="1"/>
  <c r="C3507" i="1"/>
  <c r="B3507" i="1"/>
  <c r="C3506" i="1"/>
  <c r="B3506" i="1"/>
  <c r="C3505" i="1"/>
  <c r="B3505" i="1"/>
  <c r="C3504" i="1"/>
  <c r="B3504" i="1"/>
  <c r="C3503" i="1"/>
  <c r="B3503" i="1"/>
  <c r="C3502" i="1"/>
  <c r="B3502" i="1"/>
  <c r="C3501" i="1"/>
  <c r="B3501" i="1"/>
  <c r="C3500" i="1"/>
  <c r="B3500" i="1"/>
  <c r="C3499" i="1"/>
  <c r="B3499" i="1"/>
  <c r="C3498" i="1"/>
  <c r="B3498" i="1"/>
  <c r="C3497" i="1"/>
  <c r="B3497" i="1"/>
  <c r="C3496" i="1"/>
  <c r="B3496" i="1"/>
  <c r="C3495" i="1"/>
  <c r="B3495" i="1"/>
  <c r="C3494" i="1"/>
  <c r="B3494" i="1"/>
  <c r="C3493" i="1"/>
  <c r="B3493" i="1"/>
  <c r="C3492" i="1"/>
  <c r="B3492" i="1"/>
  <c r="C3491" i="1"/>
  <c r="B3491" i="1"/>
  <c r="C3490" i="1"/>
  <c r="B3490" i="1"/>
  <c r="C3489" i="1"/>
  <c r="B3489" i="1"/>
  <c r="C3488" i="1"/>
  <c r="B3488" i="1"/>
  <c r="C3487" i="1"/>
  <c r="B3487" i="1"/>
  <c r="C3486" i="1"/>
  <c r="B3486" i="1"/>
  <c r="C3485" i="1"/>
  <c r="B3485" i="1"/>
  <c r="C3484" i="1"/>
  <c r="B3484" i="1"/>
  <c r="C3483" i="1"/>
  <c r="B3483" i="1"/>
  <c r="C3482" i="1"/>
  <c r="B3482" i="1"/>
  <c r="C3481" i="1"/>
  <c r="B3481" i="1"/>
  <c r="C3480" i="1"/>
  <c r="B3480" i="1"/>
  <c r="C3479" i="1"/>
  <c r="B3479" i="1"/>
  <c r="C3478" i="1"/>
  <c r="B3478" i="1"/>
  <c r="C3477" i="1"/>
  <c r="B3477" i="1"/>
  <c r="C3476" i="1"/>
  <c r="B3476" i="1"/>
  <c r="C3475" i="1"/>
  <c r="B3475"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3233" i="1"/>
  <c r="B3233" i="1"/>
  <c r="C3232" i="1"/>
  <c r="B3232" i="1"/>
  <c r="C3231" i="1"/>
  <c r="B3231" i="1"/>
  <c r="C3230" i="1"/>
  <c r="B3230" i="1"/>
  <c r="C3229" i="1"/>
  <c r="B3229" i="1"/>
  <c r="C3228" i="1"/>
  <c r="B3228" i="1"/>
  <c r="C3227" i="1"/>
  <c r="B3227" i="1"/>
  <c r="C3226" i="1"/>
  <c r="B3226" i="1"/>
  <c r="C3225" i="1"/>
  <c r="B3225" i="1"/>
  <c r="C3224" i="1"/>
  <c r="B3224" i="1"/>
  <c r="C3223" i="1"/>
  <c r="B3223" i="1"/>
  <c r="C3222" i="1"/>
  <c r="B3222" i="1"/>
  <c r="C3221" i="1"/>
  <c r="B3221" i="1"/>
  <c r="C3220" i="1"/>
  <c r="B3220" i="1"/>
  <c r="C3219" i="1"/>
  <c r="B3219" i="1"/>
  <c r="C3218" i="1"/>
  <c r="B3218" i="1"/>
  <c r="C3217" i="1"/>
  <c r="B3217" i="1"/>
  <c r="C3216" i="1"/>
  <c r="B3216" i="1"/>
  <c r="C3215" i="1"/>
  <c r="B3215" i="1"/>
  <c r="C3214" i="1"/>
  <c r="B3214" i="1"/>
  <c r="C3213" i="1"/>
  <c r="B3213" i="1"/>
  <c r="C3212" i="1"/>
  <c r="B3212" i="1"/>
  <c r="C3211" i="1"/>
  <c r="B3211" i="1"/>
  <c r="C3210" i="1"/>
  <c r="B3210" i="1"/>
  <c r="C3209" i="1"/>
  <c r="B3209" i="1"/>
  <c r="C3208" i="1"/>
  <c r="B3208" i="1"/>
  <c r="C3207" i="1"/>
  <c r="B3207" i="1"/>
  <c r="C3206" i="1"/>
  <c r="B3206" i="1"/>
  <c r="C3205" i="1"/>
  <c r="B3205" i="1"/>
  <c r="C3204" i="1"/>
  <c r="B3204" i="1"/>
  <c r="C3203" i="1"/>
  <c r="B3203" i="1"/>
  <c r="C3202" i="1"/>
  <c r="B3202" i="1"/>
  <c r="C3201" i="1"/>
  <c r="B3201" i="1"/>
  <c r="C3200" i="1"/>
  <c r="B3200" i="1"/>
  <c r="C3199" i="1"/>
  <c r="B3199" i="1"/>
  <c r="C3198" i="1"/>
  <c r="B3198" i="1"/>
  <c r="C3197" i="1"/>
  <c r="B3197" i="1"/>
  <c r="C3196" i="1"/>
  <c r="B3196" i="1"/>
  <c r="C3195" i="1"/>
  <c r="B3195" i="1"/>
  <c r="C3194" i="1"/>
  <c r="B3194" i="1"/>
  <c r="C3193" i="1"/>
  <c r="B3193" i="1"/>
  <c r="C3192" i="1"/>
  <c r="B3192" i="1"/>
  <c r="C3191" i="1"/>
  <c r="B3191" i="1"/>
  <c r="C3190" i="1"/>
  <c r="B3190" i="1"/>
  <c r="C3189" i="1"/>
  <c r="B3189" i="1"/>
  <c r="C3188" i="1"/>
  <c r="B3188" i="1"/>
  <c r="C3187" i="1"/>
  <c r="B3187" i="1"/>
  <c r="C3186" i="1"/>
  <c r="B3186" i="1"/>
  <c r="C3185" i="1"/>
  <c r="B3185" i="1"/>
  <c r="C3184" i="1"/>
  <c r="B3184" i="1"/>
  <c r="C3183" i="1"/>
  <c r="B3183" i="1"/>
  <c r="C3182" i="1"/>
  <c r="B3182" i="1"/>
  <c r="C3181" i="1"/>
  <c r="B3181" i="1"/>
  <c r="C3180" i="1"/>
  <c r="B3180" i="1"/>
  <c r="C3179" i="1"/>
  <c r="B3179" i="1"/>
  <c r="C3178" i="1"/>
  <c r="B3178" i="1"/>
  <c r="C3177" i="1"/>
  <c r="B3177" i="1"/>
  <c r="C3176" i="1"/>
  <c r="B3176" i="1"/>
  <c r="C3175" i="1"/>
  <c r="B3175" i="1"/>
  <c r="C3174" i="1"/>
  <c r="B3174" i="1"/>
  <c r="C3173" i="1"/>
  <c r="B3173" i="1"/>
  <c r="C3172" i="1"/>
  <c r="B3172" i="1"/>
  <c r="C3171" i="1"/>
  <c r="B3171" i="1"/>
  <c r="C3170" i="1"/>
  <c r="B3170" i="1"/>
  <c r="C3169" i="1"/>
  <c r="B3169" i="1"/>
  <c r="C3168" i="1"/>
  <c r="B3168" i="1"/>
  <c r="C3167" i="1"/>
  <c r="B3167" i="1"/>
  <c r="C3166" i="1"/>
  <c r="B3166" i="1"/>
  <c r="C3165" i="1"/>
  <c r="B3165" i="1"/>
  <c r="C3164" i="1"/>
  <c r="B3164" i="1"/>
  <c r="C3163" i="1"/>
  <c r="B3163" i="1"/>
  <c r="C3162" i="1"/>
  <c r="B3162" i="1"/>
  <c r="C3161" i="1"/>
  <c r="B3161" i="1"/>
  <c r="C3160" i="1"/>
  <c r="B3160" i="1"/>
  <c r="C3159" i="1"/>
  <c r="B3159" i="1"/>
  <c r="C3158" i="1"/>
  <c r="B3158" i="1"/>
  <c r="C3157" i="1"/>
  <c r="B3157" i="1"/>
  <c r="C3156" i="1"/>
  <c r="B3156" i="1"/>
  <c r="C3155" i="1"/>
  <c r="B3155" i="1"/>
  <c r="C3154" i="1"/>
  <c r="B3154" i="1"/>
  <c r="C3153" i="1"/>
  <c r="B3153" i="1"/>
  <c r="C3152" i="1"/>
  <c r="B3152" i="1"/>
  <c r="C3151" i="1"/>
  <c r="B3151" i="1"/>
  <c r="C3150" i="1"/>
  <c r="B3150" i="1"/>
  <c r="C3149" i="1"/>
  <c r="B3149" i="1"/>
  <c r="C3148" i="1"/>
  <c r="B3148" i="1"/>
  <c r="C3147" i="1"/>
  <c r="B3147" i="1"/>
  <c r="C3146" i="1"/>
  <c r="B3146" i="1"/>
  <c r="C3145" i="1"/>
  <c r="B3145" i="1"/>
  <c r="C3144" i="1"/>
  <c r="B3144" i="1"/>
  <c r="C3143" i="1"/>
  <c r="B3143" i="1"/>
  <c r="C3142" i="1"/>
  <c r="B3142" i="1"/>
  <c r="C3141" i="1"/>
  <c r="B3141" i="1"/>
  <c r="C3140" i="1"/>
  <c r="B3140" i="1"/>
  <c r="C3139" i="1"/>
  <c r="B3139" i="1"/>
  <c r="C3138" i="1"/>
  <c r="B3138" i="1"/>
  <c r="C3137" i="1"/>
  <c r="B3137" i="1"/>
  <c r="C3136" i="1"/>
  <c r="B3136" i="1"/>
  <c r="C3135" i="1"/>
  <c r="B3135" i="1"/>
  <c r="C3134" i="1"/>
  <c r="B3134" i="1"/>
  <c r="C3133" i="1"/>
  <c r="B3133" i="1"/>
  <c r="C3132" i="1"/>
  <c r="B3132" i="1"/>
  <c r="C3131" i="1"/>
  <c r="B3131" i="1"/>
  <c r="C3130" i="1"/>
  <c r="B3130" i="1"/>
  <c r="C3129" i="1"/>
  <c r="B3129" i="1"/>
  <c r="C3128" i="1"/>
  <c r="B3128" i="1"/>
  <c r="C3127" i="1"/>
  <c r="B3127" i="1"/>
  <c r="C3126" i="1"/>
  <c r="B3126" i="1"/>
  <c r="C3125" i="1"/>
  <c r="B3125" i="1"/>
  <c r="C3124" i="1"/>
  <c r="B3124" i="1"/>
  <c r="C3123" i="1"/>
  <c r="B3123" i="1"/>
  <c r="C3122" i="1"/>
  <c r="B3122" i="1"/>
  <c r="C3121" i="1"/>
  <c r="B3121" i="1"/>
  <c r="C3120" i="1"/>
  <c r="B3120" i="1"/>
  <c r="C3119" i="1"/>
  <c r="B3119" i="1"/>
  <c r="C3118" i="1"/>
  <c r="B3118" i="1"/>
  <c r="C3117" i="1"/>
  <c r="B3117" i="1"/>
  <c r="C3116" i="1"/>
  <c r="B3116" i="1"/>
  <c r="C3115" i="1"/>
  <c r="B3115" i="1"/>
  <c r="C3114" i="1"/>
  <c r="B3114" i="1"/>
  <c r="C3113" i="1"/>
  <c r="B3113" i="1"/>
  <c r="C3112" i="1"/>
  <c r="B3112" i="1"/>
  <c r="C3111" i="1"/>
  <c r="B3111" i="1"/>
  <c r="C3110" i="1"/>
  <c r="B3110" i="1"/>
  <c r="C3109" i="1"/>
  <c r="B3109" i="1"/>
  <c r="C3108" i="1"/>
  <c r="B3108" i="1"/>
  <c r="C3107" i="1"/>
  <c r="B3107" i="1"/>
  <c r="C3106" i="1"/>
  <c r="B3106" i="1"/>
  <c r="C3105" i="1"/>
  <c r="B3105" i="1"/>
  <c r="C3104" i="1"/>
  <c r="B3104" i="1"/>
  <c r="C3103" i="1"/>
  <c r="B3103" i="1"/>
  <c r="C3102" i="1"/>
  <c r="B3102" i="1"/>
  <c r="C3101" i="1"/>
  <c r="B3101" i="1"/>
  <c r="C3100" i="1"/>
  <c r="B3100" i="1"/>
  <c r="C3099" i="1"/>
  <c r="B3099" i="1"/>
  <c r="C3098" i="1"/>
  <c r="B3098" i="1"/>
  <c r="C3097" i="1"/>
  <c r="B3097" i="1"/>
  <c r="C3096" i="1"/>
  <c r="B3096" i="1"/>
  <c r="C3095" i="1"/>
  <c r="B3095" i="1"/>
  <c r="C3094" i="1"/>
  <c r="B3094" i="1"/>
  <c r="C3093" i="1"/>
  <c r="B3093" i="1"/>
  <c r="C3092" i="1"/>
  <c r="B3092" i="1"/>
  <c r="C3091" i="1"/>
  <c r="B3091" i="1"/>
  <c r="C3090" i="1"/>
  <c r="B3090" i="1"/>
  <c r="C3089" i="1"/>
  <c r="B3089" i="1"/>
  <c r="C3088" i="1"/>
  <c r="B3088" i="1"/>
  <c r="C3087" i="1"/>
  <c r="B3087" i="1"/>
  <c r="C3086" i="1"/>
  <c r="B3086" i="1"/>
  <c r="C3085" i="1"/>
  <c r="B3085" i="1"/>
  <c r="C3084" i="1"/>
  <c r="B3084" i="1"/>
  <c r="C3083" i="1"/>
  <c r="B3083" i="1"/>
  <c r="C3082" i="1"/>
  <c r="B3082" i="1"/>
  <c r="C3081" i="1"/>
  <c r="B3081" i="1"/>
  <c r="C3080" i="1"/>
  <c r="B3080" i="1"/>
  <c r="C3079" i="1"/>
  <c r="B3079" i="1"/>
  <c r="C3078" i="1"/>
  <c r="B3078" i="1"/>
  <c r="C3077" i="1"/>
  <c r="B3077" i="1"/>
  <c r="C3076" i="1"/>
  <c r="B3076" i="1"/>
  <c r="C3075" i="1"/>
  <c r="B3075" i="1"/>
  <c r="C3074" i="1"/>
  <c r="B3074" i="1"/>
  <c r="C3073" i="1"/>
  <c r="B3073" i="1"/>
  <c r="C3072" i="1"/>
  <c r="B3072" i="1"/>
  <c r="C3071" i="1"/>
  <c r="B3071" i="1"/>
  <c r="C3070" i="1"/>
  <c r="B3070" i="1"/>
  <c r="C3069" i="1"/>
  <c r="B3069" i="1"/>
  <c r="C3068" i="1"/>
  <c r="B3068" i="1"/>
  <c r="C3067" i="1"/>
  <c r="B3067" i="1"/>
  <c r="C3066" i="1"/>
  <c r="B3066" i="1"/>
  <c r="C3065" i="1"/>
  <c r="B3065" i="1"/>
  <c r="C3064" i="1"/>
  <c r="B3064" i="1"/>
  <c r="C3063" i="1"/>
  <c r="B3063" i="1"/>
  <c r="C3062" i="1"/>
  <c r="B3062" i="1"/>
  <c r="C3061" i="1"/>
  <c r="B3061" i="1"/>
  <c r="C3060" i="1"/>
  <c r="B3060" i="1"/>
  <c r="C3059" i="1"/>
  <c r="B3059" i="1"/>
  <c r="C3058" i="1"/>
  <c r="B3058" i="1"/>
  <c r="C3057" i="1"/>
  <c r="B3057" i="1"/>
  <c r="C3056" i="1"/>
  <c r="B3056" i="1"/>
  <c r="C3055" i="1"/>
  <c r="B3055" i="1"/>
  <c r="C3054" i="1"/>
  <c r="B3054" i="1"/>
  <c r="C3053" i="1"/>
  <c r="B3053" i="1"/>
  <c r="C3052" i="1"/>
  <c r="B3052" i="1"/>
  <c r="C3051" i="1"/>
  <c r="B3051" i="1"/>
  <c r="C3050" i="1"/>
  <c r="B3050" i="1"/>
  <c r="C3049" i="1"/>
  <c r="B3049" i="1"/>
  <c r="C3048" i="1"/>
  <c r="B3048" i="1"/>
  <c r="C3047" i="1"/>
  <c r="B3047" i="1"/>
  <c r="C3046" i="1"/>
  <c r="B3046" i="1"/>
  <c r="C3045" i="1"/>
  <c r="B3045" i="1"/>
  <c r="C3044" i="1"/>
  <c r="B3044" i="1"/>
  <c r="C3043" i="1"/>
  <c r="B3043" i="1"/>
  <c r="C3042" i="1"/>
  <c r="B3042" i="1"/>
  <c r="C3041" i="1"/>
  <c r="B3041" i="1"/>
  <c r="C3040" i="1"/>
  <c r="B3040" i="1"/>
  <c r="C3039" i="1"/>
  <c r="B3039" i="1"/>
  <c r="C3038" i="1"/>
  <c r="B3038" i="1"/>
  <c r="C3037" i="1"/>
  <c r="B3037" i="1"/>
  <c r="C3036" i="1"/>
  <c r="B3036" i="1"/>
  <c r="C3035" i="1"/>
  <c r="B3035" i="1"/>
  <c r="C3034" i="1"/>
  <c r="B3034" i="1"/>
  <c r="C3033" i="1"/>
  <c r="B3033" i="1"/>
  <c r="C3032" i="1"/>
  <c r="B3032" i="1"/>
  <c r="C3031" i="1"/>
  <c r="B3031" i="1"/>
  <c r="C3030" i="1"/>
  <c r="B3030" i="1"/>
  <c r="C3029" i="1"/>
  <c r="B3029" i="1"/>
  <c r="C3028" i="1"/>
  <c r="B3028" i="1"/>
  <c r="C3027" i="1"/>
  <c r="B3027" i="1"/>
  <c r="C3026" i="1"/>
  <c r="B3026" i="1"/>
  <c r="C3025" i="1"/>
  <c r="B3025" i="1"/>
  <c r="C3024" i="1"/>
  <c r="B3024" i="1"/>
  <c r="C3023" i="1"/>
  <c r="B3023" i="1"/>
  <c r="C3022" i="1"/>
  <c r="B3022" i="1"/>
  <c r="C3021" i="1"/>
  <c r="B3021" i="1"/>
  <c r="C3020" i="1"/>
  <c r="B3020" i="1"/>
  <c r="C3019" i="1"/>
  <c r="B3019" i="1"/>
  <c r="C3018" i="1"/>
  <c r="B3018" i="1"/>
  <c r="C3017" i="1"/>
  <c r="B3017" i="1"/>
  <c r="C3016" i="1"/>
  <c r="B3016" i="1"/>
  <c r="C3015" i="1"/>
  <c r="B3015" i="1"/>
  <c r="C3014" i="1"/>
  <c r="B3014" i="1"/>
  <c r="C3013" i="1"/>
  <c r="B3013" i="1"/>
  <c r="C3012" i="1"/>
  <c r="B3012" i="1"/>
  <c r="C3011" i="1"/>
  <c r="B3011" i="1"/>
  <c r="C3010" i="1"/>
  <c r="B3010" i="1"/>
  <c r="C3009" i="1"/>
  <c r="B3009" i="1"/>
  <c r="C3008" i="1"/>
  <c r="B3008" i="1"/>
  <c r="C3007" i="1"/>
  <c r="B3007" i="1"/>
  <c r="C3006" i="1"/>
  <c r="B3006" i="1"/>
  <c r="C3005" i="1"/>
  <c r="B3005" i="1"/>
  <c r="C3004" i="1"/>
  <c r="B3004" i="1"/>
  <c r="C3003" i="1"/>
  <c r="B3003" i="1"/>
  <c r="C3002" i="1"/>
  <c r="B3002" i="1"/>
  <c r="C3001" i="1"/>
  <c r="B3001" i="1"/>
  <c r="C3000" i="1"/>
  <c r="B3000" i="1"/>
  <c r="C2999" i="1"/>
  <c r="B2999" i="1"/>
  <c r="C2998" i="1"/>
  <c r="B2998" i="1"/>
  <c r="C2997" i="1"/>
  <c r="B2997" i="1"/>
  <c r="C2996" i="1"/>
  <c r="B2996" i="1"/>
  <c r="C2995" i="1"/>
  <c r="B2995" i="1"/>
  <c r="C2994" i="1"/>
  <c r="B2994" i="1"/>
  <c r="C2993" i="1"/>
  <c r="B2993" i="1"/>
  <c r="C2992" i="1"/>
  <c r="B2992" i="1"/>
  <c r="C2991" i="1"/>
  <c r="B2991" i="1"/>
  <c r="C2990" i="1"/>
  <c r="B2990" i="1"/>
  <c r="C2989" i="1"/>
  <c r="B2989" i="1"/>
  <c r="C2988" i="1"/>
  <c r="B2988" i="1"/>
  <c r="C2987" i="1"/>
  <c r="B2987" i="1"/>
  <c r="C2986" i="1"/>
  <c r="B2986" i="1"/>
  <c r="C2985" i="1"/>
  <c r="B2985" i="1"/>
  <c r="C2984" i="1"/>
  <c r="B2984" i="1"/>
  <c r="C2983" i="1"/>
  <c r="B2983" i="1"/>
  <c r="C2982" i="1"/>
  <c r="B2982" i="1"/>
  <c r="C2981" i="1"/>
  <c r="B2981" i="1"/>
  <c r="C2980" i="1"/>
  <c r="B2980" i="1"/>
  <c r="C2979" i="1"/>
  <c r="B2979" i="1"/>
  <c r="C2978" i="1"/>
  <c r="B2978" i="1"/>
  <c r="C2977" i="1"/>
  <c r="B2977" i="1"/>
  <c r="C2976" i="1"/>
  <c r="B2976" i="1"/>
  <c r="C2975" i="1"/>
  <c r="B2975" i="1"/>
  <c r="C2974" i="1"/>
  <c r="B2974" i="1"/>
  <c r="C2973" i="1"/>
  <c r="B2973" i="1"/>
  <c r="C2972" i="1"/>
  <c r="B2972" i="1"/>
  <c r="C2971" i="1"/>
  <c r="B2971" i="1"/>
  <c r="C2970" i="1"/>
  <c r="B2970" i="1"/>
  <c r="C2969" i="1"/>
  <c r="B2969" i="1"/>
  <c r="C2968" i="1"/>
  <c r="B2968" i="1"/>
  <c r="C2967" i="1"/>
  <c r="B2967" i="1"/>
  <c r="C2966" i="1"/>
  <c r="B2966" i="1"/>
  <c r="C2965" i="1"/>
  <c r="B2965" i="1"/>
  <c r="C2964" i="1"/>
  <c r="B2964" i="1"/>
  <c r="C2963" i="1"/>
  <c r="B2963" i="1"/>
  <c r="C2962" i="1"/>
  <c r="B2962" i="1"/>
  <c r="C2961" i="1"/>
  <c r="B2961" i="1"/>
  <c r="C2960" i="1"/>
  <c r="B2960" i="1"/>
  <c r="C2959" i="1"/>
  <c r="B2959" i="1"/>
  <c r="C2958" i="1"/>
  <c r="B2958" i="1"/>
  <c r="C2957" i="1"/>
  <c r="B2957" i="1"/>
  <c r="C2956" i="1"/>
  <c r="B2956" i="1"/>
  <c r="C2955" i="1"/>
  <c r="B2955" i="1"/>
  <c r="C2954" i="1"/>
  <c r="B2954" i="1"/>
  <c r="C2953" i="1"/>
  <c r="B2953" i="1"/>
  <c r="C2952" i="1"/>
  <c r="B2952" i="1"/>
  <c r="C2951" i="1"/>
  <c r="B2951" i="1"/>
  <c r="C2950" i="1"/>
  <c r="B2950" i="1"/>
  <c r="C2949" i="1"/>
  <c r="B2949" i="1"/>
  <c r="C2948" i="1"/>
  <c r="B2948" i="1"/>
  <c r="C2947" i="1"/>
  <c r="B2947" i="1"/>
  <c r="C2946" i="1"/>
  <c r="B2946" i="1"/>
  <c r="C2945" i="1"/>
  <c r="B2945" i="1"/>
  <c r="C2944" i="1"/>
  <c r="B2944" i="1"/>
  <c r="C2943" i="1"/>
  <c r="B2943" i="1"/>
  <c r="C2942" i="1"/>
  <c r="B2942" i="1"/>
  <c r="C2941" i="1"/>
  <c r="B2941" i="1"/>
  <c r="C2940" i="1"/>
  <c r="B2940" i="1"/>
  <c r="C2939" i="1"/>
  <c r="B2939" i="1"/>
  <c r="C2938" i="1"/>
  <c r="B2938" i="1"/>
  <c r="C2937" i="1"/>
  <c r="B2937" i="1"/>
  <c r="C2936" i="1"/>
  <c r="B2936" i="1"/>
  <c r="C2935" i="1"/>
  <c r="B2935" i="1"/>
  <c r="C2934" i="1"/>
  <c r="B2934" i="1"/>
  <c r="C2933" i="1"/>
  <c r="B2933" i="1"/>
  <c r="C2932" i="1"/>
  <c r="B2932" i="1"/>
  <c r="C2931" i="1"/>
  <c r="B2931" i="1"/>
  <c r="C2930" i="1"/>
  <c r="B2930" i="1"/>
  <c r="C2929" i="1"/>
  <c r="B2929" i="1"/>
  <c r="C2928" i="1"/>
  <c r="B2928" i="1"/>
  <c r="C2927" i="1"/>
  <c r="B2927" i="1"/>
  <c r="C2926" i="1"/>
  <c r="B2926" i="1"/>
  <c r="C2925" i="1"/>
  <c r="B2925" i="1"/>
  <c r="C2924" i="1"/>
  <c r="B2924" i="1"/>
  <c r="C2923" i="1"/>
  <c r="B2923" i="1"/>
  <c r="C2922" i="1"/>
  <c r="B2922" i="1"/>
  <c r="C2921" i="1"/>
  <c r="B2921" i="1"/>
  <c r="C2920" i="1"/>
  <c r="B2920" i="1"/>
  <c r="C2919" i="1"/>
  <c r="B2919" i="1"/>
  <c r="C2918" i="1"/>
  <c r="B2918" i="1"/>
  <c r="C2917" i="1"/>
  <c r="B2917" i="1"/>
  <c r="C2916" i="1"/>
  <c r="B2916" i="1"/>
  <c r="C2915" i="1"/>
  <c r="B2915" i="1"/>
  <c r="C2914" i="1"/>
  <c r="B2914" i="1"/>
  <c r="C2913" i="1"/>
  <c r="B2913" i="1"/>
  <c r="C2912" i="1"/>
  <c r="B2912" i="1"/>
  <c r="B2911" i="1"/>
  <c r="B2910" i="1"/>
  <c r="B2909" i="1"/>
  <c r="B2908" i="1"/>
  <c r="B2907" i="1"/>
  <c r="B2906" i="1"/>
  <c r="B2905" i="1"/>
  <c r="C2904" i="1"/>
  <c r="B2904" i="1"/>
  <c r="C2903" i="1"/>
  <c r="B2903" i="1"/>
  <c r="C2902" i="1"/>
  <c r="B2902" i="1"/>
  <c r="C2901" i="1"/>
  <c r="B2901" i="1"/>
  <c r="C2900" i="1"/>
  <c r="B2900" i="1"/>
  <c r="C2899" i="1"/>
  <c r="B2899" i="1"/>
  <c r="C2898" i="1"/>
  <c r="B2898" i="1"/>
  <c r="C2897" i="1"/>
  <c r="B2897" i="1"/>
  <c r="C2896" i="1"/>
  <c r="B2896" i="1"/>
  <c r="C2895" i="1"/>
  <c r="B2895" i="1"/>
  <c r="C2894" i="1"/>
  <c r="B2894" i="1"/>
  <c r="C2893" i="1"/>
  <c r="B2893" i="1"/>
  <c r="C2892" i="1"/>
  <c r="B2892" i="1"/>
  <c r="C2891" i="1"/>
  <c r="B2891" i="1"/>
  <c r="C2890" i="1"/>
  <c r="B2890" i="1"/>
  <c r="C2889" i="1"/>
  <c r="B2889" i="1"/>
  <c r="C2888" i="1"/>
  <c r="B2888" i="1"/>
  <c r="C2887" i="1"/>
  <c r="B2887" i="1"/>
  <c r="C2886" i="1"/>
  <c r="B2886" i="1"/>
  <c r="C2885" i="1"/>
  <c r="B2885" i="1"/>
  <c r="C2884" i="1"/>
  <c r="B2884" i="1"/>
  <c r="C2883" i="1"/>
  <c r="B2883" i="1"/>
  <c r="C2882" i="1"/>
  <c r="B2882" i="1"/>
  <c r="C2881" i="1"/>
  <c r="B2881" i="1"/>
  <c r="C2880" i="1"/>
  <c r="B2880" i="1"/>
  <c r="C2879" i="1"/>
  <c r="B2879" i="1"/>
  <c r="C2878" i="1"/>
  <c r="B2878" i="1"/>
  <c r="C2877" i="1"/>
  <c r="B2877" i="1"/>
  <c r="C2876" i="1"/>
  <c r="B2876" i="1"/>
  <c r="C2875" i="1"/>
  <c r="B2875" i="1"/>
  <c r="C2874" i="1"/>
  <c r="B2874" i="1"/>
  <c r="C2873" i="1"/>
  <c r="B2873" i="1"/>
  <c r="C2872" i="1"/>
  <c r="B2872" i="1"/>
  <c r="C2871" i="1"/>
  <c r="B2871" i="1"/>
  <c r="C2870" i="1"/>
  <c r="B2870" i="1"/>
  <c r="C2869" i="1"/>
  <c r="B2869" i="1"/>
  <c r="C2868" i="1"/>
  <c r="B2868" i="1"/>
  <c r="C2867" i="1"/>
  <c r="B2867" i="1"/>
  <c r="C2866" i="1"/>
  <c r="B2866" i="1"/>
  <c r="C2865" i="1"/>
  <c r="B2865" i="1"/>
  <c r="C2864" i="1"/>
  <c r="B2864" i="1"/>
  <c r="C2863" i="1"/>
  <c r="B2863" i="1"/>
  <c r="C2862" i="1"/>
  <c r="B2862" i="1"/>
  <c r="C2861" i="1"/>
  <c r="B2861" i="1"/>
  <c r="C2860" i="1"/>
  <c r="B2860" i="1"/>
  <c r="C2859" i="1"/>
  <c r="B2859" i="1"/>
  <c r="C2858" i="1"/>
  <c r="B2858" i="1"/>
  <c r="C2857" i="1"/>
  <c r="B2857" i="1"/>
  <c r="C2856" i="1"/>
  <c r="B2856" i="1"/>
  <c r="C2855" i="1"/>
  <c r="B2855" i="1"/>
  <c r="C2854" i="1"/>
  <c r="B2854" i="1"/>
  <c r="C2853" i="1"/>
  <c r="B2853" i="1"/>
  <c r="C2852" i="1"/>
  <c r="B2852" i="1"/>
  <c r="C2851" i="1"/>
  <c r="B2851" i="1"/>
  <c r="C2850" i="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B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C2536" i="1"/>
  <c r="B2536" i="1"/>
  <c r="C2535" i="1"/>
  <c r="B2535" i="1"/>
  <c r="C2534" i="1"/>
  <c r="B2534" i="1"/>
  <c r="C2533" i="1"/>
  <c r="B2533" i="1"/>
  <c r="C2532" i="1"/>
  <c r="B2532" i="1"/>
  <c r="C2531" i="1"/>
  <c r="B2531" i="1"/>
  <c r="C2530" i="1"/>
  <c r="B2530" i="1"/>
  <c r="C2529" i="1"/>
  <c r="B2529" i="1"/>
  <c r="C2528" i="1"/>
  <c r="B2528" i="1"/>
  <c r="C2527" i="1"/>
  <c r="B2527" i="1"/>
  <c r="C2526" i="1"/>
  <c r="B2526" i="1"/>
  <c r="C2525" i="1"/>
  <c r="B2525" i="1"/>
  <c r="C2524" i="1"/>
  <c r="B2524" i="1"/>
  <c r="C2523" i="1"/>
  <c r="B2523" i="1"/>
  <c r="C2522" i="1"/>
  <c r="B2522" i="1"/>
  <c r="C2521" i="1"/>
  <c r="B2521" i="1"/>
  <c r="C2520" i="1"/>
  <c r="B2520" i="1"/>
  <c r="C2519" i="1"/>
  <c r="B2519" i="1"/>
  <c r="C2518" i="1"/>
  <c r="B2518" i="1"/>
  <c r="C2517" i="1"/>
  <c r="B2517" i="1"/>
  <c r="C2516" i="1"/>
  <c r="B2516" i="1"/>
  <c r="C2515" i="1"/>
  <c r="B2515" i="1"/>
  <c r="C2514" i="1"/>
  <c r="B2514" i="1"/>
  <c r="C2513" i="1"/>
  <c r="B2513" i="1"/>
  <c r="C2512" i="1"/>
  <c r="B2512" i="1"/>
  <c r="C2511" i="1"/>
  <c r="B2511" i="1"/>
  <c r="C2510" i="1"/>
  <c r="B2510" i="1"/>
  <c r="C2509" i="1"/>
  <c r="B2509" i="1"/>
  <c r="C2508" i="1"/>
  <c r="B2508" i="1"/>
  <c r="C2507" i="1"/>
  <c r="B2507" i="1"/>
  <c r="C2506" i="1"/>
  <c r="B2506" i="1"/>
  <c r="C2505" i="1"/>
  <c r="B2505" i="1"/>
  <c r="C2504" i="1"/>
  <c r="B2504" i="1"/>
  <c r="C2503" i="1"/>
  <c r="B2503" i="1"/>
  <c r="C2502" i="1"/>
  <c r="B2502" i="1"/>
  <c r="C2501" i="1"/>
  <c r="B2501" i="1"/>
  <c r="C2500" i="1"/>
  <c r="B2500" i="1"/>
  <c r="C2499" i="1"/>
  <c r="B2499" i="1"/>
  <c r="C2498" i="1"/>
  <c r="B2498" i="1"/>
  <c r="C2497" i="1"/>
  <c r="B2497" i="1"/>
  <c r="C2496" i="1"/>
  <c r="B2496" i="1"/>
  <c r="C2495" i="1"/>
  <c r="B2495" i="1"/>
  <c r="C2494" i="1"/>
  <c r="B2494" i="1"/>
  <c r="C2493" i="1"/>
  <c r="B2493" i="1"/>
  <c r="C2492" i="1"/>
  <c r="B2492" i="1"/>
  <c r="C2491" i="1"/>
  <c r="B2491" i="1"/>
  <c r="C2490" i="1"/>
  <c r="B2490" i="1"/>
  <c r="C2489" i="1"/>
  <c r="B2489" i="1"/>
  <c r="C2488" i="1"/>
  <c r="B2488" i="1"/>
  <c r="C2487" i="1"/>
  <c r="B2487" i="1"/>
  <c r="C2486" i="1"/>
  <c r="B2486" i="1"/>
  <c r="C2485" i="1"/>
  <c r="B2485" i="1"/>
  <c r="C2484" i="1"/>
  <c r="B2484" i="1"/>
  <c r="C2483" i="1"/>
  <c r="B2483" i="1"/>
  <c r="C2482" i="1"/>
  <c r="B2482" i="1"/>
  <c r="C2481" i="1"/>
  <c r="B2481" i="1"/>
  <c r="C2480" i="1"/>
  <c r="B2480" i="1"/>
  <c r="C2479" i="1"/>
  <c r="B2479" i="1"/>
  <c r="C2478" i="1"/>
  <c r="B2478" i="1"/>
  <c r="C2477" i="1"/>
  <c r="B2477" i="1"/>
  <c r="C2476" i="1"/>
  <c r="B2476" i="1"/>
  <c r="C2475" i="1"/>
  <c r="B2475" i="1"/>
  <c r="C2474" i="1"/>
  <c r="B2474" i="1"/>
  <c r="C2473" i="1"/>
  <c r="B2473" i="1"/>
  <c r="C2472" i="1"/>
  <c r="B2472" i="1"/>
  <c r="C2471" i="1"/>
  <c r="B2471" i="1"/>
  <c r="C2470" i="1"/>
  <c r="B2470" i="1"/>
  <c r="C2469" i="1"/>
  <c r="B2469" i="1"/>
  <c r="C2468" i="1"/>
  <c r="B2468" i="1"/>
  <c r="C2467" i="1"/>
  <c r="B2467" i="1"/>
  <c r="C2466" i="1"/>
  <c r="B2466" i="1"/>
  <c r="C2465" i="1"/>
  <c r="B2465" i="1"/>
  <c r="C2464" i="1"/>
  <c r="B2464" i="1"/>
  <c r="C2463" i="1"/>
  <c r="B2463" i="1"/>
  <c r="C2462" i="1"/>
  <c r="B2462" i="1"/>
  <c r="C2461" i="1"/>
  <c r="B2461" i="1"/>
  <c r="C2460" i="1"/>
  <c r="B2460" i="1"/>
  <c r="C2459" i="1"/>
  <c r="B2459" i="1"/>
  <c r="C2458" i="1"/>
  <c r="B2458" i="1"/>
  <c r="C2457" i="1"/>
  <c r="B2457" i="1"/>
  <c r="C2456" i="1"/>
  <c r="B2456" i="1"/>
  <c r="C2455" i="1"/>
  <c r="B2455" i="1"/>
  <c r="C2454" i="1"/>
  <c r="B2454" i="1"/>
  <c r="C2453" i="1"/>
  <c r="B2453" i="1"/>
  <c r="C2452" i="1"/>
  <c r="B2452" i="1"/>
  <c r="C2451" i="1"/>
  <c r="B2451" i="1"/>
  <c r="C2450" i="1"/>
  <c r="B2450" i="1"/>
  <c r="C2449" i="1"/>
  <c r="B2449" i="1"/>
  <c r="C2448" i="1"/>
  <c r="B2448" i="1"/>
  <c r="C2447" i="1"/>
  <c r="B2447" i="1"/>
  <c r="C2446" i="1"/>
  <c r="B2446" i="1"/>
  <c r="C2445" i="1"/>
  <c r="B2445" i="1"/>
  <c r="C2444" i="1"/>
  <c r="B2444" i="1"/>
  <c r="C2443" i="1"/>
  <c r="B2443" i="1"/>
  <c r="C2442" i="1"/>
  <c r="B2442" i="1"/>
  <c r="C2441" i="1"/>
  <c r="B2441" i="1"/>
  <c r="C2440" i="1"/>
  <c r="B2440" i="1"/>
  <c r="C2439" i="1"/>
  <c r="B2439" i="1"/>
  <c r="C2438" i="1"/>
  <c r="B2438" i="1"/>
  <c r="C2437" i="1"/>
  <c r="B2437" i="1"/>
  <c r="C2436" i="1"/>
  <c r="B2436" i="1"/>
  <c r="C2435" i="1"/>
  <c r="B2435" i="1"/>
  <c r="C2434" i="1"/>
  <c r="B2434" i="1"/>
  <c r="C2433" i="1"/>
  <c r="B2433" i="1"/>
  <c r="C2432" i="1"/>
  <c r="B2432" i="1"/>
  <c r="C2431" i="1"/>
  <c r="B2431" i="1"/>
  <c r="C2430" i="1"/>
  <c r="B2430" i="1"/>
  <c r="C2429" i="1"/>
  <c r="B2429" i="1"/>
  <c r="C2428" i="1"/>
  <c r="B2428" i="1"/>
  <c r="C2427" i="1"/>
  <c r="B2427" i="1"/>
  <c r="C2426" i="1"/>
  <c r="B2426" i="1"/>
  <c r="C2425" i="1"/>
  <c r="B2425" i="1"/>
  <c r="C2424" i="1"/>
  <c r="B2424" i="1"/>
  <c r="C2423" i="1"/>
  <c r="B2423" i="1"/>
  <c r="C2422" i="1"/>
  <c r="B2422" i="1"/>
  <c r="C2421" i="1"/>
  <c r="B2421" i="1"/>
  <c r="C2420" i="1"/>
  <c r="B2420" i="1"/>
  <c r="C2419" i="1"/>
  <c r="B2419" i="1"/>
  <c r="C2418" i="1"/>
  <c r="B2418" i="1"/>
  <c r="C2417" i="1"/>
  <c r="B2417" i="1"/>
  <c r="C2416" i="1"/>
  <c r="B2416" i="1"/>
  <c r="C2415" i="1"/>
  <c r="B2415" i="1"/>
  <c r="C2414" i="1"/>
  <c r="B2414" i="1"/>
  <c r="C2413" i="1"/>
  <c r="B2413" i="1"/>
  <c r="C2412" i="1"/>
  <c r="B2412" i="1"/>
  <c r="C2411" i="1"/>
  <c r="B2411" i="1"/>
  <c r="C2410" i="1"/>
  <c r="B2410" i="1"/>
  <c r="C2409" i="1"/>
  <c r="B2409" i="1"/>
  <c r="C2408" i="1"/>
  <c r="B2408" i="1"/>
  <c r="C2407" i="1"/>
  <c r="B2407" i="1"/>
  <c r="C2406" i="1"/>
  <c r="B2406" i="1"/>
  <c r="C2405" i="1"/>
  <c r="B2405" i="1"/>
  <c r="C2404" i="1"/>
  <c r="B2404" i="1"/>
  <c r="C2403" i="1"/>
  <c r="B2403" i="1"/>
  <c r="C2402" i="1"/>
  <c r="B2402" i="1"/>
  <c r="C2401" i="1"/>
  <c r="B2401" i="1"/>
  <c r="C2400" i="1"/>
  <c r="B2400" i="1"/>
  <c r="C2399" i="1"/>
  <c r="B2399" i="1"/>
  <c r="C2398" i="1"/>
  <c r="B2398" i="1"/>
  <c r="C2397" i="1"/>
  <c r="B2397" i="1"/>
  <c r="C2396" i="1"/>
  <c r="B2396" i="1"/>
  <c r="C2395" i="1"/>
  <c r="B2395" i="1"/>
  <c r="C2394" i="1"/>
  <c r="B2394" i="1"/>
  <c r="C2393" i="1"/>
  <c r="B2393" i="1"/>
  <c r="C2392" i="1"/>
  <c r="B2392" i="1"/>
  <c r="C2391" i="1"/>
  <c r="B2391" i="1"/>
  <c r="C2390" i="1"/>
  <c r="B2390" i="1"/>
  <c r="C2389" i="1"/>
  <c r="B2389" i="1"/>
  <c r="C2388" i="1"/>
  <c r="B2388" i="1"/>
  <c r="C2387" i="1"/>
  <c r="B2387" i="1"/>
  <c r="C2386" i="1"/>
  <c r="B2386" i="1"/>
  <c r="C2385" i="1"/>
  <c r="B2385" i="1"/>
  <c r="C2384" i="1"/>
  <c r="B2384" i="1"/>
  <c r="C2383" i="1"/>
  <c r="B2383" i="1"/>
  <c r="C2382" i="1"/>
  <c r="B2382" i="1"/>
  <c r="C2381" i="1"/>
  <c r="B2381" i="1"/>
  <c r="C2380" i="1"/>
  <c r="B2380" i="1"/>
  <c r="C2379" i="1"/>
  <c r="B2379" i="1"/>
  <c r="C2378" i="1"/>
  <c r="B2378" i="1"/>
  <c r="C2377" i="1"/>
  <c r="B2377" i="1"/>
  <c r="C2376" i="1"/>
  <c r="B2376" i="1"/>
  <c r="C2375" i="1"/>
  <c r="B2375" i="1"/>
  <c r="C2374" i="1"/>
  <c r="B2374" i="1"/>
  <c r="C2373" i="1"/>
  <c r="B2373" i="1"/>
  <c r="C2372" i="1"/>
  <c r="B2372" i="1"/>
  <c r="C2371" i="1"/>
  <c r="B2371" i="1"/>
  <c r="C2370" i="1"/>
  <c r="B2370" i="1"/>
  <c r="C2369" i="1"/>
  <c r="B2369" i="1"/>
  <c r="C2368" i="1"/>
  <c r="B2368" i="1"/>
  <c r="C2367" i="1"/>
  <c r="B2367" i="1"/>
  <c r="C2366" i="1"/>
  <c r="B2366" i="1"/>
  <c r="C2365" i="1"/>
  <c r="B2365" i="1"/>
  <c r="C2364" i="1"/>
  <c r="B2364" i="1"/>
  <c r="C2363" i="1"/>
  <c r="B2363" i="1"/>
  <c r="C2362" i="1"/>
  <c r="B2362" i="1"/>
  <c r="C2361" i="1"/>
  <c r="B2361" i="1"/>
  <c r="C2360" i="1"/>
  <c r="B2360" i="1"/>
  <c r="C2359" i="1"/>
  <c r="B2359" i="1"/>
  <c r="C2358" i="1"/>
  <c r="B2358" i="1"/>
  <c r="C2357" i="1"/>
  <c r="B2357" i="1"/>
  <c r="C2356" i="1"/>
  <c r="B2356" i="1"/>
  <c r="C2355" i="1"/>
  <c r="B2355" i="1"/>
  <c r="C2354" i="1"/>
  <c r="B2354" i="1"/>
  <c r="C2353" i="1"/>
  <c r="B2353" i="1"/>
  <c r="C2352" i="1"/>
  <c r="B2352" i="1"/>
  <c r="C2351" i="1"/>
  <c r="B2351" i="1"/>
  <c r="C2350" i="1"/>
  <c r="B2350" i="1"/>
  <c r="C2349" i="1"/>
  <c r="B2349" i="1"/>
  <c r="C2348" i="1"/>
  <c r="B2348" i="1"/>
  <c r="C2347" i="1"/>
  <c r="B2347" i="1"/>
  <c r="C2346" i="1"/>
  <c r="B2346" i="1"/>
  <c r="C2345" i="1"/>
  <c r="B2345" i="1"/>
  <c r="C2344" i="1"/>
  <c r="B2344" i="1"/>
  <c r="C2343" i="1"/>
  <c r="B2343" i="1"/>
  <c r="C2342" i="1"/>
  <c r="B2342" i="1"/>
  <c r="C2341" i="1"/>
  <c r="B2341" i="1"/>
  <c r="C2340" i="1"/>
  <c r="B2340" i="1"/>
  <c r="C2339" i="1"/>
  <c r="B2339" i="1"/>
  <c r="C2338" i="1"/>
  <c r="B2338" i="1"/>
  <c r="C2337" i="1"/>
  <c r="B2337" i="1"/>
  <c r="C2336" i="1"/>
  <c r="B2336" i="1"/>
  <c r="C2335" i="1"/>
  <c r="B2335" i="1"/>
  <c r="C2334" i="1"/>
  <c r="B2334" i="1"/>
  <c r="C2333" i="1"/>
  <c r="B2333" i="1"/>
  <c r="C2332" i="1"/>
  <c r="B2332" i="1"/>
  <c r="C2331" i="1"/>
  <c r="B2331" i="1"/>
  <c r="C2330" i="1"/>
  <c r="B2330" i="1"/>
  <c r="C2329" i="1"/>
  <c r="B2329" i="1"/>
  <c r="C2328" i="1"/>
  <c r="B2328" i="1"/>
  <c r="C2327" i="1"/>
  <c r="B2327" i="1"/>
  <c r="C2326" i="1"/>
  <c r="B2326" i="1"/>
  <c r="C2325" i="1"/>
  <c r="B2325" i="1"/>
  <c r="C2324" i="1"/>
  <c r="B2324" i="1"/>
  <c r="C2323" i="1"/>
  <c r="B2323" i="1"/>
  <c r="C2322" i="1"/>
  <c r="B2322" i="1"/>
  <c r="C2321" i="1"/>
  <c r="B2321" i="1"/>
  <c r="C2320" i="1"/>
  <c r="B2320" i="1"/>
  <c r="C2319" i="1"/>
  <c r="B2319" i="1"/>
  <c r="C2318" i="1"/>
  <c r="B2318" i="1"/>
  <c r="C2317" i="1"/>
  <c r="B2317" i="1"/>
  <c r="C2316" i="1"/>
  <c r="B2316" i="1"/>
  <c r="C2315" i="1"/>
  <c r="B2315" i="1"/>
  <c r="C2314" i="1"/>
  <c r="B2314" i="1"/>
  <c r="C2313" i="1"/>
  <c r="B2313" i="1"/>
  <c r="C2312" i="1"/>
  <c r="B2312" i="1"/>
  <c r="C2311" i="1"/>
  <c r="B2311" i="1"/>
  <c r="C2310" i="1"/>
  <c r="B2310" i="1"/>
  <c r="C2309" i="1"/>
  <c r="B2309" i="1"/>
  <c r="C2308" i="1"/>
  <c r="B2308" i="1"/>
  <c r="C2307" i="1"/>
  <c r="B2307" i="1"/>
  <c r="C2306" i="1"/>
  <c r="B2306" i="1"/>
  <c r="C2305" i="1"/>
  <c r="B2305" i="1"/>
  <c r="C2304" i="1"/>
  <c r="B2304" i="1"/>
  <c r="C2303" i="1"/>
  <c r="B2303" i="1"/>
  <c r="C2302" i="1"/>
  <c r="B2302" i="1"/>
  <c r="C2301" i="1"/>
  <c r="B2301" i="1"/>
  <c r="C2300" i="1"/>
  <c r="B2300" i="1"/>
  <c r="C2299" i="1"/>
  <c r="B2299" i="1"/>
  <c r="C2298" i="1"/>
  <c r="B2298" i="1"/>
  <c r="C2297" i="1"/>
  <c r="B2297" i="1"/>
  <c r="C2296" i="1"/>
  <c r="B2296" i="1"/>
  <c r="C2295" i="1"/>
  <c r="B2295" i="1"/>
  <c r="C2294" i="1"/>
  <c r="B2294" i="1"/>
  <c r="C2293" i="1"/>
  <c r="B2293" i="1"/>
  <c r="C2292" i="1"/>
  <c r="B2292" i="1"/>
  <c r="C2291" i="1"/>
  <c r="B2291" i="1"/>
  <c r="C2290" i="1"/>
  <c r="B2290" i="1"/>
  <c r="C2289" i="1"/>
  <c r="B2289" i="1"/>
  <c r="C2288" i="1"/>
  <c r="B2288" i="1"/>
  <c r="C2287" i="1"/>
  <c r="B2287" i="1"/>
  <c r="C2286" i="1"/>
  <c r="B2286" i="1"/>
  <c r="C2285" i="1"/>
  <c r="B2285" i="1"/>
  <c r="C2284" i="1"/>
  <c r="B2284" i="1"/>
  <c r="C2283" i="1"/>
  <c r="B2283" i="1"/>
  <c r="C2282" i="1"/>
  <c r="B2282" i="1"/>
  <c r="C2281" i="1"/>
  <c r="B2281" i="1"/>
  <c r="C2280" i="1"/>
  <c r="B2280" i="1"/>
  <c r="C2279" i="1"/>
  <c r="B2279" i="1"/>
  <c r="C2278" i="1"/>
  <c r="B2278" i="1"/>
  <c r="C2277" i="1"/>
  <c r="B2277" i="1"/>
  <c r="C2276" i="1"/>
  <c r="B2276" i="1"/>
  <c r="C2275" i="1"/>
  <c r="B2275" i="1"/>
  <c r="C2274" i="1"/>
  <c r="B2274" i="1"/>
  <c r="C2273" i="1"/>
  <c r="B2273" i="1"/>
  <c r="C2272" i="1"/>
  <c r="B2272" i="1"/>
  <c r="C2271" i="1"/>
  <c r="B2271" i="1"/>
  <c r="C2270" i="1"/>
  <c r="B2270" i="1"/>
  <c r="C2269" i="1"/>
  <c r="B2269" i="1"/>
  <c r="C2268" i="1"/>
  <c r="B2268" i="1"/>
  <c r="C2267" i="1"/>
  <c r="B2267" i="1"/>
  <c r="C2266" i="1"/>
  <c r="B2266" i="1"/>
  <c r="C2265" i="1"/>
  <c r="B2265" i="1"/>
  <c r="C2264" i="1"/>
  <c r="B2264" i="1"/>
  <c r="C2263" i="1"/>
  <c r="B2263" i="1"/>
  <c r="C2262" i="1"/>
  <c r="B2262" i="1"/>
  <c r="C2261" i="1"/>
  <c r="B2261" i="1"/>
  <c r="C2260" i="1"/>
  <c r="B2260" i="1"/>
  <c r="C2259" i="1"/>
  <c r="B2259" i="1"/>
  <c r="C2258" i="1"/>
  <c r="B2258" i="1"/>
  <c r="C2257" i="1"/>
  <c r="B2257" i="1"/>
  <c r="C2256" i="1"/>
  <c r="B2256" i="1"/>
  <c r="C2255" i="1"/>
  <c r="B2255" i="1"/>
  <c r="C2254" i="1"/>
  <c r="B2254" i="1"/>
  <c r="C2253" i="1"/>
  <c r="B2253" i="1"/>
  <c r="C2252" i="1"/>
  <c r="B2252" i="1"/>
  <c r="C2251" i="1"/>
  <c r="B2251" i="1"/>
  <c r="C2250" i="1"/>
  <c r="B2250" i="1"/>
  <c r="C2249" i="1"/>
  <c r="B2249" i="1"/>
  <c r="C2248" i="1"/>
  <c r="B2248" i="1"/>
  <c r="C2247" i="1"/>
  <c r="B2247" i="1"/>
  <c r="C2246" i="1"/>
  <c r="B2246" i="1"/>
  <c r="C2245" i="1"/>
  <c r="B2245" i="1"/>
  <c r="C2244" i="1"/>
  <c r="B2244" i="1"/>
  <c r="C2243" i="1"/>
  <c r="B2243" i="1"/>
  <c r="C2242" i="1"/>
  <c r="B2242" i="1"/>
  <c r="C2241" i="1"/>
  <c r="B2241" i="1"/>
  <c r="C2240" i="1"/>
  <c r="B2240" i="1"/>
  <c r="C2239" i="1"/>
  <c r="B2239" i="1"/>
  <c r="C2238" i="1"/>
  <c r="B2238" i="1"/>
  <c r="C2237" i="1"/>
  <c r="B2237" i="1"/>
  <c r="C2236" i="1"/>
  <c r="B2236" i="1"/>
  <c r="C2235" i="1"/>
  <c r="B2235" i="1"/>
  <c r="C2234" i="1"/>
  <c r="B2234" i="1"/>
  <c r="C2233" i="1"/>
  <c r="B2233" i="1"/>
  <c r="C2232" i="1"/>
  <c r="B2232" i="1"/>
  <c r="C2231" i="1"/>
  <c r="B2231" i="1"/>
  <c r="C2230" i="1"/>
  <c r="B2230" i="1"/>
  <c r="C2229" i="1"/>
  <c r="B2229" i="1"/>
  <c r="C2228" i="1"/>
  <c r="B2228" i="1"/>
  <c r="C2227" i="1"/>
  <c r="B2227" i="1"/>
  <c r="C2226" i="1"/>
  <c r="B2226" i="1"/>
  <c r="C2225" i="1"/>
  <c r="B2225" i="1"/>
  <c r="C2224" i="1"/>
  <c r="B2224" i="1"/>
  <c r="C2223" i="1"/>
  <c r="B2223" i="1"/>
  <c r="C2222" i="1"/>
  <c r="B2222" i="1"/>
  <c r="C2221" i="1"/>
  <c r="B2221" i="1"/>
  <c r="C2220" i="1"/>
  <c r="B2220" i="1"/>
  <c r="C2219" i="1"/>
  <c r="B2219" i="1"/>
  <c r="C2218" i="1"/>
  <c r="B2218" i="1"/>
  <c r="C2217" i="1"/>
  <c r="B2217" i="1"/>
  <c r="C2216" i="1"/>
  <c r="B2216" i="1"/>
  <c r="C2215" i="1"/>
  <c r="B2215" i="1"/>
  <c r="C2214" i="1"/>
  <c r="B2214" i="1"/>
  <c r="C2213" i="1"/>
  <c r="B2213" i="1"/>
  <c r="C2212" i="1"/>
  <c r="B2212" i="1"/>
  <c r="C2211" i="1"/>
  <c r="B2211" i="1"/>
  <c r="C2210" i="1"/>
  <c r="B2210" i="1"/>
  <c r="C2209" i="1"/>
  <c r="B2209" i="1"/>
  <c r="C2208" i="1"/>
  <c r="B2208" i="1"/>
  <c r="C2207" i="1"/>
  <c r="B2207" i="1"/>
  <c r="C2206" i="1"/>
  <c r="B2206" i="1"/>
  <c r="C2205" i="1"/>
  <c r="B2205" i="1"/>
  <c r="C2204" i="1"/>
  <c r="B2204" i="1"/>
  <c r="C2203" i="1"/>
  <c r="B2203" i="1"/>
  <c r="C2202" i="1"/>
  <c r="B2202" i="1"/>
  <c r="C2201" i="1"/>
  <c r="B2201" i="1"/>
  <c r="C2200" i="1"/>
  <c r="B2200" i="1"/>
  <c r="C2199" i="1"/>
  <c r="B2199" i="1"/>
  <c r="C2198" i="1"/>
  <c r="B2198" i="1"/>
  <c r="C2197" i="1"/>
  <c r="B2197" i="1"/>
  <c r="C2196" i="1"/>
  <c r="B2196" i="1"/>
  <c r="C2195" i="1"/>
  <c r="B2195" i="1"/>
  <c r="C2194" i="1"/>
  <c r="B2194" i="1"/>
  <c r="C2193" i="1"/>
  <c r="B2193" i="1"/>
  <c r="C2192" i="1"/>
  <c r="B2192" i="1"/>
  <c r="C2191" i="1"/>
  <c r="B2191" i="1"/>
  <c r="C2190" i="1"/>
  <c r="B2190" i="1"/>
  <c r="C2189" i="1"/>
  <c r="B2189" i="1"/>
  <c r="C2188" i="1"/>
  <c r="B2188" i="1"/>
  <c r="C2187" i="1"/>
  <c r="B2187" i="1"/>
  <c r="C2186" i="1"/>
  <c r="B2186" i="1"/>
  <c r="C2185" i="1"/>
  <c r="B2185" i="1"/>
  <c r="C2184" i="1"/>
  <c r="B2184" i="1"/>
  <c r="C2183" i="1"/>
  <c r="B2183" i="1"/>
  <c r="C2182" i="1"/>
  <c r="B2182" i="1"/>
  <c r="C2181" i="1"/>
  <c r="B2181" i="1"/>
  <c r="C2180" i="1"/>
  <c r="B2180" i="1"/>
  <c r="C2179" i="1"/>
  <c r="B2179" i="1"/>
  <c r="C2178" i="1"/>
  <c r="B2178" i="1"/>
  <c r="C2177" i="1"/>
  <c r="B2177" i="1"/>
  <c r="C2176" i="1"/>
  <c r="B2176" i="1"/>
  <c r="C2175" i="1"/>
  <c r="B2175" i="1"/>
  <c r="C2174" i="1"/>
  <c r="B2174" i="1"/>
  <c r="C2173" i="1"/>
  <c r="B2173" i="1"/>
  <c r="C2172" i="1"/>
  <c r="B2172" i="1"/>
  <c r="C2171" i="1"/>
  <c r="B2171" i="1"/>
  <c r="C2170" i="1"/>
  <c r="B2170" i="1"/>
  <c r="C2169" i="1"/>
  <c r="B2169" i="1"/>
  <c r="C2168" i="1"/>
  <c r="B2168" i="1"/>
  <c r="C2167" i="1"/>
  <c r="B2167" i="1"/>
  <c r="C2166" i="1"/>
  <c r="B2166" i="1"/>
  <c r="C2165" i="1"/>
  <c r="B2165" i="1"/>
  <c r="C2164" i="1"/>
  <c r="B2164" i="1"/>
  <c r="C2163" i="1"/>
  <c r="B2163" i="1"/>
  <c r="C2162" i="1"/>
  <c r="B2162" i="1"/>
  <c r="C2161" i="1"/>
  <c r="B2161" i="1"/>
  <c r="C2160" i="1"/>
  <c r="B2160" i="1"/>
  <c r="C2159" i="1"/>
  <c r="B2159" i="1"/>
  <c r="C2158" i="1"/>
  <c r="B2158" i="1"/>
  <c r="C2157" i="1"/>
  <c r="B2157" i="1"/>
  <c r="C2156" i="1"/>
  <c r="B2156" i="1"/>
  <c r="C2155" i="1"/>
  <c r="B2155" i="1"/>
  <c r="C2154" i="1"/>
  <c r="B2154" i="1"/>
  <c r="C2153" i="1"/>
  <c r="B2153" i="1"/>
  <c r="C2152" i="1"/>
  <c r="B2152" i="1"/>
  <c r="C2151" i="1"/>
  <c r="B2151" i="1"/>
  <c r="C2150" i="1"/>
  <c r="B2150" i="1"/>
  <c r="C2149" i="1"/>
  <c r="B2149" i="1"/>
  <c r="C2148" i="1"/>
  <c r="B2148" i="1"/>
  <c r="C2147" i="1"/>
  <c r="B2147" i="1"/>
  <c r="C2146" i="1"/>
  <c r="B2146" i="1"/>
  <c r="C2145" i="1"/>
  <c r="B2145" i="1"/>
  <c r="C2144" i="1"/>
  <c r="B2144" i="1"/>
  <c r="C2143" i="1"/>
  <c r="B2143" i="1"/>
  <c r="C2142" i="1"/>
  <c r="B2142" i="1"/>
  <c r="C2141" i="1"/>
  <c r="B2141" i="1"/>
  <c r="C2140" i="1"/>
  <c r="B2140" i="1"/>
  <c r="C2139" i="1"/>
  <c r="B2139" i="1"/>
  <c r="C2138" i="1"/>
  <c r="B2138" i="1"/>
  <c r="C2137" i="1"/>
  <c r="B2137" i="1"/>
  <c r="C2136" i="1"/>
  <c r="B2136" i="1"/>
  <c r="C2135" i="1"/>
  <c r="B2135" i="1"/>
  <c r="C2134" i="1"/>
  <c r="B2134" i="1"/>
  <c r="C2133" i="1"/>
  <c r="B2133" i="1"/>
  <c r="C2132" i="1"/>
  <c r="B2132" i="1"/>
  <c r="C2131" i="1"/>
  <c r="B2131" i="1"/>
  <c r="C2130" i="1"/>
  <c r="B2130" i="1"/>
  <c r="C2129" i="1"/>
  <c r="B2129" i="1"/>
  <c r="C2128" i="1"/>
  <c r="B2128" i="1"/>
  <c r="C2127" i="1"/>
  <c r="B2127" i="1"/>
  <c r="C2126" i="1"/>
  <c r="B2126" i="1"/>
  <c r="C2125" i="1"/>
  <c r="B2125" i="1"/>
  <c r="C2124" i="1"/>
  <c r="B2124" i="1"/>
  <c r="C2123" i="1"/>
  <c r="B2123" i="1"/>
  <c r="C2122" i="1"/>
  <c r="B2122" i="1"/>
  <c r="C2121" i="1"/>
  <c r="B2121" i="1"/>
  <c r="C2120" i="1"/>
  <c r="B2120" i="1"/>
  <c r="C2119" i="1"/>
  <c r="B2119" i="1"/>
  <c r="C2118" i="1"/>
  <c r="B2118" i="1"/>
  <c r="C2117" i="1"/>
  <c r="B2117" i="1"/>
  <c r="C2116" i="1"/>
  <c r="B2116" i="1"/>
  <c r="C2115" i="1"/>
  <c r="B2115" i="1"/>
  <c r="C2114" i="1"/>
  <c r="B2114" i="1"/>
  <c r="C2113" i="1"/>
  <c r="B2113" i="1"/>
  <c r="C2112" i="1"/>
  <c r="B2112" i="1"/>
  <c r="C2111" i="1"/>
  <c r="B2111" i="1"/>
  <c r="C2110" i="1"/>
  <c r="B2110" i="1"/>
  <c r="C2109" i="1"/>
  <c r="B2109" i="1"/>
  <c r="C2108" i="1"/>
  <c r="B2108" i="1"/>
  <c r="C2107" i="1"/>
  <c r="B2107" i="1"/>
  <c r="C2106" i="1"/>
  <c r="B2106" i="1"/>
  <c r="C2105" i="1"/>
  <c r="B2105" i="1"/>
  <c r="C2104" i="1"/>
  <c r="B2104" i="1"/>
  <c r="C2103" i="1"/>
  <c r="B2103" i="1"/>
  <c r="C2102" i="1"/>
  <c r="B2102" i="1"/>
  <c r="C2101" i="1"/>
  <c r="B2101" i="1"/>
  <c r="C2100" i="1"/>
  <c r="B2100" i="1"/>
  <c r="C2099" i="1"/>
  <c r="B2099" i="1"/>
  <c r="C2098" i="1"/>
  <c r="B2098" i="1"/>
  <c r="C2097" i="1"/>
  <c r="B2097" i="1"/>
  <c r="C2096" i="1"/>
  <c r="B2096" i="1"/>
  <c r="C2095" i="1"/>
  <c r="B2095" i="1"/>
  <c r="C2094" i="1"/>
  <c r="B2094" i="1"/>
  <c r="C2093" i="1"/>
  <c r="B2093" i="1"/>
  <c r="C2092" i="1"/>
  <c r="B2092" i="1"/>
  <c r="C2091" i="1"/>
  <c r="B2091" i="1"/>
  <c r="C2090" i="1"/>
  <c r="B2090" i="1"/>
  <c r="C2089" i="1"/>
  <c r="B2089" i="1"/>
  <c r="C2088" i="1"/>
  <c r="B2088" i="1"/>
  <c r="C2087" i="1"/>
  <c r="B2087" i="1"/>
  <c r="C2086" i="1"/>
  <c r="B2086" i="1"/>
  <c r="C2085" i="1"/>
  <c r="B2085" i="1"/>
  <c r="C2084" i="1"/>
  <c r="B2084" i="1"/>
  <c r="C2083" i="1"/>
  <c r="B2083" i="1"/>
  <c r="C2082" i="1"/>
  <c r="B2082" i="1"/>
  <c r="C2081" i="1"/>
  <c r="B2081" i="1"/>
  <c r="C2080" i="1"/>
  <c r="B2080" i="1"/>
  <c r="C2079" i="1"/>
  <c r="B2079" i="1"/>
  <c r="C2078" i="1"/>
  <c r="B2078" i="1"/>
  <c r="C2077" i="1"/>
  <c r="B2077" i="1"/>
  <c r="C2076" i="1"/>
  <c r="B2076" i="1"/>
  <c r="C2075" i="1"/>
  <c r="B2075" i="1"/>
  <c r="C2074" i="1"/>
  <c r="B2074" i="1"/>
  <c r="C2073" i="1"/>
  <c r="B2073" i="1"/>
  <c r="C2072" i="1"/>
  <c r="B2072" i="1"/>
  <c r="C2071" i="1"/>
  <c r="B2071" i="1"/>
  <c r="C2070" i="1"/>
  <c r="B2070" i="1"/>
  <c r="C2069" i="1"/>
  <c r="B2069" i="1"/>
  <c r="C2068" i="1"/>
  <c r="B2068" i="1"/>
  <c r="C2067" i="1"/>
  <c r="B2067" i="1"/>
  <c r="C2066" i="1"/>
  <c r="B2066" i="1"/>
  <c r="C2065" i="1"/>
  <c r="B2065" i="1"/>
  <c r="C2064" i="1"/>
  <c r="B2064" i="1"/>
  <c r="C2063" i="1"/>
  <c r="B2063" i="1"/>
  <c r="C2062" i="1"/>
  <c r="B2062" i="1"/>
  <c r="C2061" i="1"/>
  <c r="B2061" i="1"/>
  <c r="C2060" i="1"/>
  <c r="B2060" i="1"/>
  <c r="C2059" i="1"/>
  <c r="B2059" i="1"/>
  <c r="C2058" i="1"/>
  <c r="B2058" i="1"/>
  <c r="C2057" i="1"/>
  <c r="B2057" i="1"/>
  <c r="C2056" i="1"/>
  <c r="B2056" i="1"/>
  <c r="C2055" i="1"/>
  <c r="B2055" i="1"/>
  <c r="C2054" i="1"/>
  <c r="B2054" i="1"/>
  <c r="C2053" i="1"/>
  <c r="B2053" i="1"/>
  <c r="C2052" i="1"/>
  <c r="B2052" i="1"/>
  <c r="C2051" i="1"/>
  <c r="B2051" i="1"/>
  <c r="C2050" i="1"/>
  <c r="B2050" i="1"/>
  <c r="C2049" i="1"/>
  <c r="B2049" i="1"/>
  <c r="C2048" i="1"/>
  <c r="B2048" i="1"/>
  <c r="C2047" i="1"/>
  <c r="B2047" i="1"/>
  <c r="C2046" i="1"/>
  <c r="B2046" i="1"/>
  <c r="C2045" i="1"/>
  <c r="B2045" i="1"/>
  <c r="C2044" i="1"/>
  <c r="B2044" i="1"/>
  <c r="C2043" i="1"/>
  <c r="B2043" i="1"/>
  <c r="C2042" i="1"/>
  <c r="B2042" i="1"/>
  <c r="C2041" i="1"/>
  <c r="B2041" i="1"/>
  <c r="C2040" i="1"/>
  <c r="B2040" i="1"/>
  <c r="C2039" i="1"/>
  <c r="B2039" i="1"/>
  <c r="C2038" i="1"/>
  <c r="B2038" i="1"/>
  <c r="C2037" i="1"/>
  <c r="B2037" i="1"/>
  <c r="C2036" i="1"/>
  <c r="B2036" i="1"/>
  <c r="C2035" i="1"/>
  <c r="B2035" i="1"/>
  <c r="C2034" i="1"/>
  <c r="B2034" i="1"/>
  <c r="C2033" i="1"/>
  <c r="B2033" i="1"/>
  <c r="C2032" i="1"/>
  <c r="B2032" i="1"/>
  <c r="C2031" i="1"/>
  <c r="B2031" i="1"/>
  <c r="C2030" i="1"/>
  <c r="B2030" i="1"/>
  <c r="C2029" i="1"/>
  <c r="B2029" i="1"/>
  <c r="C2028" i="1"/>
  <c r="B2028" i="1"/>
  <c r="C2027" i="1"/>
  <c r="B2027" i="1"/>
  <c r="C2026" i="1"/>
  <c r="B2026" i="1"/>
  <c r="C2025" i="1"/>
  <c r="B2025" i="1"/>
  <c r="C2024" i="1"/>
  <c r="B2024" i="1"/>
  <c r="C2023" i="1"/>
  <c r="B2023" i="1"/>
  <c r="C2022" i="1"/>
  <c r="B2022" i="1"/>
  <c r="C2021" i="1"/>
  <c r="B2021" i="1"/>
  <c r="C2020" i="1"/>
  <c r="B2020" i="1"/>
  <c r="C2019" i="1"/>
  <c r="B2019" i="1"/>
  <c r="C2018" i="1"/>
  <c r="B2018" i="1"/>
  <c r="C2017" i="1"/>
  <c r="B2017" i="1"/>
  <c r="C2016" i="1"/>
  <c r="B2016" i="1"/>
  <c r="C2015" i="1"/>
  <c r="B2015" i="1"/>
  <c r="C2014" i="1"/>
  <c r="B2014" i="1"/>
  <c r="C2013" i="1"/>
  <c r="B2013" i="1"/>
  <c r="C2012" i="1"/>
  <c r="B2012" i="1"/>
  <c r="C2011" i="1"/>
  <c r="B2011" i="1"/>
  <c r="C2010" i="1"/>
  <c r="B2010" i="1"/>
  <c r="C2009" i="1"/>
  <c r="B2009" i="1"/>
  <c r="C2008" i="1"/>
  <c r="B2008" i="1"/>
  <c r="C2007" i="1"/>
  <c r="B2007" i="1"/>
  <c r="C2006" i="1"/>
  <c r="B2006" i="1"/>
  <c r="C2005" i="1"/>
  <c r="B2005" i="1"/>
  <c r="C2004" i="1"/>
  <c r="B2004" i="1"/>
  <c r="C2003" i="1"/>
  <c r="B2003" i="1"/>
  <c r="C2002" i="1"/>
  <c r="B2002" i="1"/>
  <c r="C2001" i="1"/>
  <c r="B2001" i="1"/>
  <c r="C2000" i="1"/>
  <c r="B2000" i="1"/>
  <c r="C1999" i="1"/>
  <c r="B1999" i="1"/>
  <c r="C1998" i="1"/>
  <c r="B1998" i="1"/>
  <c r="C1997" i="1"/>
  <c r="B1997" i="1"/>
  <c r="C1996" i="1"/>
  <c r="B1996" i="1"/>
  <c r="C1995" i="1"/>
  <c r="B1995" i="1"/>
  <c r="C1994" i="1"/>
  <c r="B1994" i="1"/>
  <c r="C1993" i="1"/>
  <c r="B1993" i="1"/>
  <c r="C1992" i="1"/>
  <c r="B1992" i="1"/>
  <c r="C1991" i="1"/>
  <c r="B1991" i="1"/>
  <c r="C1990" i="1"/>
  <c r="B1990" i="1"/>
  <c r="C1989" i="1"/>
  <c r="B1989" i="1"/>
  <c r="C1988" i="1"/>
  <c r="B1988" i="1"/>
  <c r="C1987" i="1"/>
  <c r="B1987" i="1"/>
  <c r="C1986" i="1"/>
  <c r="B1986" i="1"/>
  <c r="C1985" i="1"/>
  <c r="B1985" i="1"/>
  <c r="C1984" i="1"/>
  <c r="B1984" i="1"/>
  <c r="C1983" i="1"/>
  <c r="B1983" i="1"/>
  <c r="C1982" i="1"/>
  <c r="B1982" i="1"/>
  <c r="C1981" i="1"/>
  <c r="B1981" i="1"/>
  <c r="C1980" i="1"/>
  <c r="B1980" i="1"/>
  <c r="C1979" i="1"/>
  <c r="B1979" i="1"/>
  <c r="C1978" i="1"/>
  <c r="B1978" i="1"/>
  <c r="C1977" i="1"/>
  <c r="B1977" i="1"/>
  <c r="C1976" i="1"/>
  <c r="B1976" i="1"/>
  <c r="C1975" i="1"/>
  <c r="B1975" i="1"/>
  <c r="C1974" i="1"/>
  <c r="B1974" i="1"/>
  <c r="C1973" i="1"/>
  <c r="B1973" i="1"/>
  <c r="C1972" i="1"/>
  <c r="B1972" i="1"/>
  <c r="C1971" i="1"/>
  <c r="B1971" i="1"/>
  <c r="C1970" i="1"/>
  <c r="B1970" i="1"/>
  <c r="C1969" i="1"/>
  <c r="B1969" i="1"/>
  <c r="C1968" i="1"/>
  <c r="B1968" i="1"/>
  <c r="C1967" i="1"/>
  <c r="B1967" i="1"/>
  <c r="C1966" i="1"/>
  <c r="B1966" i="1"/>
  <c r="C1965" i="1"/>
  <c r="B1965" i="1"/>
  <c r="C1964" i="1"/>
  <c r="B1964" i="1"/>
  <c r="C1963" i="1"/>
  <c r="B1963" i="1"/>
  <c r="C1962" i="1"/>
  <c r="B1962" i="1"/>
  <c r="C1961" i="1"/>
  <c r="B1961" i="1"/>
  <c r="C1960" i="1"/>
  <c r="B1960" i="1"/>
  <c r="C1959" i="1"/>
  <c r="B1959" i="1"/>
  <c r="C1958" i="1"/>
  <c r="B1958" i="1"/>
  <c r="C1957" i="1"/>
  <c r="B1957" i="1"/>
  <c r="C1956" i="1"/>
  <c r="B1956" i="1"/>
  <c r="C1955" i="1"/>
  <c r="B1955" i="1"/>
  <c r="C1954" i="1"/>
  <c r="B1954" i="1"/>
  <c r="C1953" i="1"/>
  <c r="B1953" i="1"/>
  <c r="C1952" i="1"/>
  <c r="B1952" i="1"/>
  <c r="C1951" i="1"/>
  <c r="B1951" i="1"/>
  <c r="C1950" i="1"/>
  <c r="B1950" i="1"/>
  <c r="C1949" i="1"/>
  <c r="B1949" i="1"/>
  <c r="C1948" i="1"/>
  <c r="B1948" i="1"/>
  <c r="C1947" i="1"/>
  <c r="B1947" i="1"/>
  <c r="C1946" i="1"/>
  <c r="B1946" i="1"/>
  <c r="C1945" i="1"/>
  <c r="B1945" i="1"/>
  <c r="C1944" i="1"/>
  <c r="B1944" i="1"/>
  <c r="C1943" i="1"/>
  <c r="B1943" i="1"/>
  <c r="C1942" i="1"/>
  <c r="B1942" i="1"/>
  <c r="C1941" i="1"/>
  <c r="B1941" i="1"/>
  <c r="C1940" i="1"/>
  <c r="B1940" i="1"/>
  <c r="C1939" i="1"/>
  <c r="B1939" i="1"/>
  <c r="C1938" i="1"/>
  <c r="B1938" i="1"/>
  <c r="C1937" i="1"/>
  <c r="B1937" i="1"/>
  <c r="C1936" i="1"/>
  <c r="B1936" i="1"/>
  <c r="C1935" i="1"/>
  <c r="B1935" i="1"/>
  <c r="C1934" i="1"/>
  <c r="B1934" i="1"/>
  <c r="C1933" i="1"/>
  <c r="B1933" i="1"/>
  <c r="C1932" i="1"/>
  <c r="B1932" i="1"/>
  <c r="C1931" i="1"/>
  <c r="B1931" i="1"/>
  <c r="C1930" i="1"/>
  <c r="B1930" i="1"/>
  <c r="C1929" i="1"/>
  <c r="B1929" i="1"/>
  <c r="C1928" i="1"/>
  <c r="B1928" i="1"/>
  <c r="C1927" i="1"/>
  <c r="B1927" i="1"/>
  <c r="C1926" i="1"/>
  <c r="B1926" i="1"/>
  <c r="C1925" i="1"/>
  <c r="B1925" i="1"/>
  <c r="C1924" i="1"/>
  <c r="B1924" i="1"/>
  <c r="C1923" i="1"/>
  <c r="B1923" i="1"/>
  <c r="C1922" i="1"/>
  <c r="B1922" i="1"/>
  <c r="C1921" i="1"/>
  <c r="B1921" i="1"/>
  <c r="C1920" i="1"/>
  <c r="B1920" i="1"/>
  <c r="C1919" i="1"/>
  <c r="B1919" i="1"/>
  <c r="C1918" i="1"/>
  <c r="B1918" i="1"/>
  <c r="C1917" i="1"/>
  <c r="B1917" i="1"/>
  <c r="C1916" i="1"/>
  <c r="B1916" i="1"/>
  <c r="C1915" i="1"/>
  <c r="B1915" i="1"/>
  <c r="C1914" i="1"/>
  <c r="B1914" i="1"/>
  <c r="C1913" i="1"/>
  <c r="B1913" i="1"/>
  <c r="C1912" i="1"/>
  <c r="B1912" i="1"/>
  <c r="C1911" i="1"/>
  <c r="B1911" i="1"/>
  <c r="C1910" i="1"/>
  <c r="B1910" i="1"/>
  <c r="C1909" i="1"/>
  <c r="B1909" i="1"/>
  <c r="C1908" i="1"/>
  <c r="B1908" i="1"/>
  <c r="C1907" i="1"/>
  <c r="B1907" i="1"/>
  <c r="C1906" i="1"/>
  <c r="B1906" i="1"/>
  <c r="C1905" i="1"/>
  <c r="B1905" i="1"/>
  <c r="C1904" i="1"/>
  <c r="B1904" i="1"/>
  <c r="C1903" i="1"/>
  <c r="B1903" i="1"/>
  <c r="C1902" i="1"/>
  <c r="B1902" i="1"/>
  <c r="C1901" i="1"/>
  <c r="B1901" i="1"/>
  <c r="C1900" i="1"/>
  <c r="B1900" i="1"/>
  <c r="C1899" i="1"/>
  <c r="B1899" i="1"/>
  <c r="C1898" i="1"/>
  <c r="B1898" i="1"/>
  <c r="C1897" i="1"/>
  <c r="B1897" i="1"/>
  <c r="C1896" i="1"/>
  <c r="B1896" i="1"/>
  <c r="C1895" i="1"/>
  <c r="B1895" i="1"/>
  <c r="C1894" i="1"/>
  <c r="B1894" i="1"/>
  <c r="C1893" i="1"/>
  <c r="B1893" i="1"/>
  <c r="C1892" i="1"/>
  <c r="B1892" i="1"/>
  <c r="C1891" i="1"/>
  <c r="B1891" i="1"/>
  <c r="C1890" i="1"/>
  <c r="B1890" i="1"/>
  <c r="C1889" i="1"/>
  <c r="B1889" i="1"/>
  <c r="C1888" i="1"/>
  <c r="B1888" i="1"/>
  <c r="C1887" i="1"/>
  <c r="B1887" i="1"/>
  <c r="C1886" i="1"/>
  <c r="B1886" i="1"/>
  <c r="C1885" i="1"/>
  <c r="B1885" i="1"/>
  <c r="C1884" i="1"/>
  <c r="B1884" i="1"/>
  <c r="C1883" i="1"/>
  <c r="B1883" i="1"/>
  <c r="C1882" i="1"/>
  <c r="B1882" i="1"/>
  <c r="C1881" i="1"/>
  <c r="B1881" i="1"/>
  <c r="C1880" i="1"/>
  <c r="B1880" i="1"/>
  <c r="C1879" i="1"/>
  <c r="B1879" i="1"/>
  <c r="C1878" i="1"/>
  <c r="B1878" i="1"/>
  <c r="C1877" i="1"/>
  <c r="B1877" i="1"/>
  <c r="C1876" i="1"/>
  <c r="B1876" i="1"/>
  <c r="C1875" i="1"/>
  <c r="B1875" i="1"/>
  <c r="C1874" i="1"/>
  <c r="B1874" i="1"/>
  <c r="C1873" i="1"/>
  <c r="B1873" i="1"/>
  <c r="C1872" i="1"/>
  <c r="B1872" i="1"/>
  <c r="C1871" i="1"/>
  <c r="B1871" i="1"/>
  <c r="C1870" i="1"/>
  <c r="B1870" i="1"/>
  <c r="C1869" i="1"/>
  <c r="B1869" i="1"/>
  <c r="C1868" i="1"/>
  <c r="B1868" i="1"/>
  <c r="C1867" i="1"/>
  <c r="B1867" i="1"/>
  <c r="C1866" i="1"/>
  <c r="B1866" i="1"/>
  <c r="C1865" i="1"/>
  <c r="B1865" i="1"/>
  <c r="C1864" i="1"/>
  <c r="B1864" i="1"/>
  <c r="C1863" i="1"/>
  <c r="B1863" i="1"/>
  <c r="C1862" i="1"/>
  <c r="B1862" i="1"/>
  <c r="C1861" i="1"/>
  <c r="B1861" i="1"/>
  <c r="C1860" i="1"/>
  <c r="B1860" i="1"/>
  <c r="C1859" i="1"/>
  <c r="B1859" i="1"/>
  <c r="C1858" i="1"/>
  <c r="B1858" i="1"/>
  <c r="C1857" i="1"/>
  <c r="B1857" i="1"/>
  <c r="C1856" i="1"/>
  <c r="B1856" i="1"/>
  <c r="C1855" i="1"/>
  <c r="B1855" i="1"/>
  <c r="C1854" i="1"/>
  <c r="B1854" i="1"/>
  <c r="C1853" i="1"/>
  <c r="B1853" i="1"/>
  <c r="C1852" i="1"/>
  <c r="B1852" i="1"/>
  <c r="C1851" i="1"/>
  <c r="B1851" i="1"/>
  <c r="C1850" i="1"/>
  <c r="B1850" i="1"/>
  <c r="C1849" i="1"/>
  <c r="B1849" i="1"/>
  <c r="C1848" i="1"/>
  <c r="B1848" i="1"/>
  <c r="C1847" i="1"/>
  <c r="B1847" i="1"/>
  <c r="C1846" i="1"/>
  <c r="B1846" i="1"/>
  <c r="C1845" i="1"/>
  <c r="B1845" i="1"/>
  <c r="C1844" i="1"/>
  <c r="B1844" i="1"/>
  <c r="C1843" i="1"/>
  <c r="B1843" i="1"/>
  <c r="C1842" i="1"/>
  <c r="B1842" i="1"/>
  <c r="C1841" i="1"/>
  <c r="B1841" i="1"/>
  <c r="C1840" i="1"/>
  <c r="B1840" i="1"/>
  <c r="C1839" i="1"/>
  <c r="B1839" i="1"/>
  <c r="C1838" i="1"/>
  <c r="B1838" i="1"/>
  <c r="C1837" i="1"/>
  <c r="B1837" i="1"/>
  <c r="C1836" i="1"/>
  <c r="B1836" i="1"/>
  <c r="C1835" i="1"/>
  <c r="B1835" i="1"/>
  <c r="C1834" i="1"/>
  <c r="B1834" i="1"/>
  <c r="C1833" i="1"/>
  <c r="B1833" i="1"/>
  <c r="C1832" i="1"/>
  <c r="B1832" i="1"/>
  <c r="C1831" i="1"/>
  <c r="B1831" i="1"/>
  <c r="C1830" i="1"/>
  <c r="B1830" i="1"/>
  <c r="C1829" i="1"/>
  <c r="B1829" i="1"/>
  <c r="C1828" i="1"/>
  <c r="B1828" i="1"/>
  <c r="C1827" i="1"/>
  <c r="B1827" i="1"/>
  <c r="C1826" i="1"/>
  <c r="B1826" i="1"/>
  <c r="C1825" i="1"/>
  <c r="B1825" i="1"/>
  <c r="C1824" i="1"/>
  <c r="B1824" i="1"/>
  <c r="C1823" i="1"/>
  <c r="B1823" i="1"/>
  <c r="C1822" i="1"/>
  <c r="B1822" i="1"/>
  <c r="C1821" i="1"/>
  <c r="B1821" i="1"/>
  <c r="C1820" i="1"/>
  <c r="B1820" i="1"/>
  <c r="C1819" i="1"/>
  <c r="B1819" i="1"/>
  <c r="C1818" i="1"/>
  <c r="B1818" i="1"/>
  <c r="C1817" i="1"/>
  <c r="B1817" i="1"/>
  <c r="C1816" i="1"/>
  <c r="B1816" i="1"/>
  <c r="C1815" i="1"/>
  <c r="B1815" i="1"/>
  <c r="C1814" i="1"/>
  <c r="B1814" i="1"/>
  <c r="C1813" i="1"/>
  <c r="B1813" i="1"/>
  <c r="C1812" i="1"/>
  <c r="B1812" i="1"/>
  <c r="C1811" i="1"/>
  <c r="B1811" i="1"/>
  <c r="C1810" i="1"/>
  <c r="B1810" i="1"/>
  <c r="C1809" i="1"/>
  <c r="B1809" i="1"/>
  <c r="C1808" i="1"/>
  <c r="B1808" i="1"/>
  <c r="C1807" i="1"/>
  <c r="B1807" i="1"/>
  <c r="C1806" i="1"/>
  <c r="B1806" i="1"/>
  <c r="C1805" i="1"/>
  <c r="B1805" i="1"/>
  <c r="C1804" i="1"/>
  <c r="B1804" i="1"/>
  <c r="C1803" i="1"/>
  <c r="B1803" i="1"/>
  <c r="C1802" i="1"/>
  <c r="B1802" i="1"/>
  <c r="C1801" i="1"/>
  <c r="B1801" i="1"/>
  <c r="C1800" i="1"/>
  <c r="B1800" i="1"/>
  <c r="C1799" i="1"/>
  <c r="B1799" i="1"/>
  <c r="C1798" i="1"/>
  <c r="B1798" i="1"/>
  <c r="C1797" i="1"/>
  <c r="B1797" i="1"/>
  <c r="C1796" i="1"/>
  <c r="B1796" i="1"/>
  <c r="C1795" i="1"/>
  <c r="B1795" i="1"/>
  <c r="C1794" i="1"/>
  <c r="B1794" i="1"/>
  <c r="C1793" i="1"/>
  <c r="B1793" i="1"/>
  <c r="C1792" i="1"/>
  <c r="B1792" i="1"/>
  <c r="C1791" i="1"/>
  <c r="B1791" i="1"/>
  <c r="C1790" i="1"/>
  <c r="B1790" i="1"/>
  <c r="C1789" i="1"/>
  <c r="B1789" i="1"/>
  <c r="C1788" i="1"/>
  <c r="B1788" i="1"/>
  <c r="C1787" i="1"/>
  <c r="B1787" i="1"/>
  <c r="C1786" i="1"/>
  <c r="B1786" i="1"/>
  <c r="C1785" i="1"/>
  <c r="B1785" i="1"/>
  <c r="C1784" i="1"/>
  <c r="B1784" i="1"/>
  <c r="C1783" i="1"/>
  <c r="B1783" i="1"/>
  <c r="C1782" i="1"/>
  <c r="B1782" i="1"/>
  <c r="C1781" i="1"/>
  <c r="B1781" i="1"/>
  <c r="C1780" i="1"/>
  <c r="B1780" i="1"/>
  <c r="C1779" i="1"/>
  <c r="B1779" i="1"/>
  <c r="C1778" i="1"/>
  <c r="B1778" i="1"/>
  <c r="C1777" i="1"/>
  <c r="B1777" i="1"/>
  <c r="C1776" i="1"/>
  <c r="B1776" i="1"/>
  <c r="C1775" i="1"/>
  <c r="B1775" i="1"/>
  <c r="C1774" i="1"/>
  <c r="B1774" i="1"/>
  <c r="C1773" i="1"/>
  <c r="B1773" i="1"/>
  <c r="C1772" i="1"/>
  <c r="B1772" i="1"/>
  <c r="C1771" i="1"/>
  <c r="B1771" i="1"/>
  <c r="C1770" i="1"/>
  <c r="B1770" i="1"/>
  <c r="C1769" i="1"/>
  <c r="B1769" i="1"/>
  <c r="C1768" i="1"/>
  <c r="B1768" i="1"/>
  <c r="C1767" i="1"/>
  <c r="B1767" i="1"/>
  <c r="C1766" i="1"/>
  <c r="B1766" i="1"/>
  <c r="C1765" i="1"/>
  <c r="B1765" i="1"/>
  <c r="C1764" i="1"/>
  <c r="B1764" i="1"/>
  <c r="C1763" i="1"/>
  <c r="B1763" i="1"/>
  <c r="C1762" i="1"/>
  <c r="B1762" i="1"/>
  <c r="C1761" i="1"/>
  <c r="B1761" i="1"/>
  <c r="C1760" i="1"/>
  <c r="B1760" i="1"/>
  <c r="C1759" i="1"/>
  <c r="B1759" i="1"/>
  <c r="C1758" i="1"/>
  <c r="B1758" i="1"/>
  <c r="C1757" i="1"/>
  <c r="B1757" i="1"/>
  <c r="C1756" i="1"/>
  <c r="B1756" i="1"/>
  <c r="C1755" i="1"/>
  <c r="B1755" i="1"/>
  <c r="C1754" i="1"/>
  <c r="B1754" i="1"/>
  <c r="C1753" i="1"/>
  <c r="B1753" i="1"/>
  <c r="C1752" i="1"/>
  <c r="B1752" i="1"/>
  <c r="C1751" i="1"/>
  <c r="B1751" i="1"/>
  <c r="C1750" i="1"/>
  <c r="B1750" i="1"/>
  <c r="C1749" i="1"/>
  <c r="B1749" i="1"/>
  <c r="C1748" i="1"/>
  <c r="B1748" i="1"/>
  <c r="C1747" i="1"/>
  <c r="B1747" i="1"/>
  <c r="C1746" i="1"/>
  <c r="B1746" i="1"/>
  <c r="C1745" i="1"/>
  <c r="B1745" i="1"/>
  <c r="C1744" i="1"/>
  <c r="B1744" i="1"/>
  <c r="C1743" i="1"/>
  <c r="B1743" i="1"/>
  <c r="C1742" i="1"/>
  <c r="B1742" i="1"/>
  <c r="C1741" i="1"/>
  <c r="B1741" i="1"/>
  <c r="C1740" i="1"/>
  <c r="B1740" i="1"/>
  <c r="C1739" i="1"/>
  <c r="B1739" i="1"/>
  <c r="C1738" i="1"/>
  <c r="B1738" i="1"/>
  <c r="C1737" i="1"/>
  <c r="B1737" i="1"/>
  <c r="C1736" i="1"/>
  <c r="B1736" i="1"/>
  <c r="C1735" i="1"/>
  <c r="B1735" i="1"/>
  <c r="C1734" i="1"/>
  <c r="B1734" i="1"/>
  <c r="C1733" i="1"/>
  <c r="B1733" i="1"/>
  <c r="C1732" i="1"/>
  <c r="B1732" i="1"/>
  <c r="C1731" i="1"/>
  <c r="B1731" i="1"/>
  <c r="C1730" i="1"/>
  <c r="B1730" i="1"/>
  <c r="C1729" i="1"/>
  <c r="B1729" i="1"/>
  <c r="C1728" i="1"/>
  <c r="B1728" i="1"/>
  <c r="C1727" i="1"/>
  <c r="B1727" i="1"/>
  <c r="C1726" i="1"/>
  <c r="B1726" i="1"/>
  <c r="C1725" i="1"/>
  <c r="B1725" i="1"/>
  <c r="C1724" i="1"/>
  <c r="B1724" i="1"/>
  <c r="C1723" i="1"/>
  <c r="B1723" i="1"/>
  <c r="C1722" i="1"/>
  <c r="B1722" i="1"/>
  <c r="C1721" i="1"/>
  <c r="B1721" i="1"/>
  <c r="C1720" i="1"/>
  <c r="B1720" i="1"/>
  <c r="C1719" i="1"/>
  <c r="B1719" i="1"/>
  <c r="C1718" i="1"/>
  <c r="B1718" i="1"/>
  <c r="C1717" i="1"/>
  <c r="B1717" i="1"/>
  <c r="C1716" i="1"/>
  <c r="B1716" i="1"/>
  <c r="C1715" i="1"/>
  <c r="B1715" i="1"/>
  <c r="C1714" i="1"/>
  <c r="B1714" i="1"/>
  <c r="C1713" i="1"/>
  <c r="B1713" i="1"/>
  <c r="C1712" i="1"/>
  <c r="B1712" i="1"/>
  <c r="C1711" i="1"/>
  <c r="B1711" i="1"/>
  <c r="C1710" i="1"/>
  <c r="B1710" i="1"/>
  <c r="C1709" i="1"/>
  <c r="B1709" i="1"/>
  <c r="C1708" i="1"/>
  <c r="B1708" i="1"/>
  <c r="C1707" i="1"/>
  <c r="B1707" i="1"/>
  <c r="C1706" i="1"/>
  <c r="B1706" i="1"/>
  <c r="C1705" i="1"/>
  <c r="B1705" i="1"/>
  <c r="C1704" i="1"/>
  <c r="B1704" i="1"/>
  <c r="C1703" i="1"/>
  <c r="B1703" i="1"/>
  <c r="C1702" i="1"/>
  <c r="B1702" i="1"/>
  <c r="C1701" i="1"/>
  <c r="B1701" i="1"/>
  <c r="C1700" i="1"/>
  <c r="B1700" i="1"/>
  <c r="C1699" i="1"/>
  <c r="B1699" i="1"/>
  <c r="C1698" i="1"/>
  <c r="B1698" i="1"/>
  <c r="C1697" i="1"/>
  <c r="B1697" i="1"/>
  <c r="C1696" i="1"/>
  <c r="B1696" i="1"/>
  <c r="C1695" i="1"/>
  <c r="B1695" i="1"/>
  <c r="C1694" i="1"/>
  <c r="B1694" i="1"/>
  <c r="C1693" i="1"/>
  <c r="B1693" i="1"/>
  <c r="C1692" i="1"/>
  <c r="B1692" i="1"/>
  <c r="C1691" i="1"/>
  <c r="B1691" i="1"/>
  <c r="C1690" i="1"/>
  <c r="B1690" i="1"/>
  <c r="C1689" i="1"/>
  <c r="B1689" i="1"/>
  <c r="C1688" i="1"/>
  <c r="B1688" i="1"/>
  <c r="C1687" i="1"/>
  <c r="B1687" i="1"/>
  <c r="C1686" i="1"/>
  <c r="B1686" i="1"/>
  <c r="C1685" i="1"/>
  <c r="B1685" i="1"/>
  <c r="C1684" i="1"/>
  <c r="B1684" i="1"/>
  <c r="C1683" i="1"/>
  <c r="B1683" i="1"/>
  <c r="C1682" i="1"/>
  <c r="B1682" i="1"/>
  <c r="C1681" i="1"/>
  <c r="B1681" i="1"/>
  <c r="C1680" i="1"/>
  <c r="B1680" i="1"/>
  <c r="C1679" i="1"/>
  <c r="B1679" i="1"/>
  <c r="C1678" i="1"/>
  <c r="B1678" i="1"/>
  <c r="C1677" i="1"/>
  <c r="B1677" i="1"/>
  <c r="C1676" i="1"/>
  <c r="B1676" i="1"/>
  <c r="C1675" i="1"/>
  <c r="B1675" i="1"/>
  <c r="C1674" i="1"/>
  <c r="B1674" i="1"/>
  <c r="C1673" i="1"/>
  <c r="B1673" i="1"/>
  <c r="C1672" i="1"/>
  <c r="B1672" i="1"/>
  <c r="C1671" i="1"/>
  <c r="B1671" i="1"/>
  <c r="C1670" i="1"/>
  <c r="B1670" i="1"/>
  <c r="C1669" i="1"/>
  <c r="B1669" i="1"/>
  <c r="C1668" i="1"/>
  <c r="B1668" i="1"/>
  <c r="C1667" i="1"/>
  <c r="B1667" i="1"/>
  <c r="C1666" i="1"/>
  <c r="B1666" i="1"/>
  <c r="C1665" i="1"/>
  <c r="B1665" i="1"/>
  <c r="C1664" i="1"/>
  <c r="B1664" i="1"/>
  <c r="C1663" i="1"/>
  <c r="B1663" i="1"/>
  <c r="C1662" i="1"/>
  <c r="B1662" i="1"/>
  <c r="C1661" i="1"/>
  <c r="B1661" i="1"/>
  <c r="C1660" i="1"/>
  <c r="B1660" i="1"/>
  <c r="C1659" i="1"/>
  <c r="B1659" i="1"/>
  <c r="C1658" i="1"/>
  <c r="B1658" i="1"/>
  <c r="C1657" i="1"/>
  <c r="B1657" i="1"/>
  <c r="C1656" i="1"/>
  <c r="B1656" i="1"/>
  <c r="C1655" i="1"/>
  <c r="B1655" i="1"/>
  <c r="C1654" i="1"/>
  <c r="B1654" i="1"/>
  <c r="C1653" i="1"/>
  <c r="B1653" i="1"/>
  <c r="C1652" i="1"/>
  <c r="B1652" i="1"/>
  <c r="C1651" i="1"/>
  <c r="B1651" i="1"/>
  <c r="C1650" i="1"/>
  <c r="B1650" i="1"/>
  <c r="C1649" i="1"/>
  <c r="B1649" i="1"/>
  <c r="C1648" i="1"/>
  <c r="B1648" i="1"/>
  <c r="C1647" i="1"/>
  <c r="B1647" i="1"/>
  <c r="C1646" i="1"/>
  <c r="B1646" i="1"/>
  <c r="C1645" i="1"/>
  <c r="B1645" i="1"/>
  <c r="C1644" i="1"/>
  <c r="B1644" i="1"/>
  <c r="C1643" i="1"/>
  <c r="B1643" i="1"/>
  <c r="C1642" i="1"/>
  <c r="B1642" i="1"/>
  <c r="C1641" i="1"/>
  <c r="B1641" i="1"/>
  <c r="C1640" i="1"/>
  <c r="B1640" i="1"/>
  <c r="C1639" i="1"/>
  <c r="B1639" i="1"/>
  <c r="C1638" i="1"/>
  <c r="B1638" i="1"/>
  <c r="C1637" i="1"/>
  <c r="B1637" i="1"/>
  <c r="C1636" i="1"/>
  <c r="B1636" i="1"/>
  <c r="C1635" i="1"/>
  <c r="B1635" i="1"/>
  <c r="C1634" i="1"/>
  <c r="B1634" i="1"/>
  <c r="C1633" i="1"/>
  <c r="B1633" i="1"/>
  <c r="C1632" i="1"/>
  <c r="B1632" i="1"/>
  <c r="C1631" i="1"/>
  <c r="B1631" i="1"/>
  <c r="C1630" i="1"/>
  <c r="B1630" i="1"/>
  <c r="C1629" i="1"/>
  <c r="B1629" i="1"/>
  <c r="C1628" i="1"/>
  <c r="B1628" i="1"/>
  <c r="C1627" i="1"/>
  <c r="B1627" i="1"/>
  <c r="C1626" i="1"/>
  <c r="B1626" i="1"/>
  <c r="C1625" i="1"/>
  <c r="B1625" i="1"/>
  <c r="C1624" i="1"/>
  <c r="B1624" i="1"/>
  <c r="C1623" i="1"/>
  <c r="B1623" i="1"/>
  <c r="C1622" i="1"/>
  <c r="B1622" i="1"/>
  <c r="C1621" i="1"/>
  <c r="B1621" i="1"/>
  <c r="C1620" i="1"/>
  <c r="B1620" i="1"/>
  <c r="C1619" i="1"/>
  <c r="B1619" i="1"/>
  <c r="C1618" i="1"/>
  <c r="B1618" i="1"/>
  <c r="C1617" i="1"/>
  <c r="B1617" i="1"/>
  <c r="C1616" i="1"/>
  <c r="B1616" i="1"/>
  <c r="C1615" i="1"/>
  <c r="B1615" i="1"/>
  <c r="C1614" i="1"/>
  <c r="B1614" i="1"/>
  <c r="C1613" i="1"/>
  <c r="B1613" i="1"/>
  <c r="C1612" i="1"/>
  <c r="B1612" i="1"/>
  <c r="C1611" i="1"/>
  <c r="B1611" i="1"/>
  <c r="C1610" i="1"/>
  <c r="B1610" i="1"/>
  <c r="C1609" i="1"/>
  <c r="B1609" i="1"/>
  <c r="C1608" i="1"/>
  <c r="B1608" i="1"/>
  <c r="C1607" i="1"/>
  <c r="B1607" i="1"/>
  <c r="C1606" i="1"/>
  <c r="B1606" i="1"/>
  <c r="C1605" i="1"/>
  <c r="B1605" i="1"/>
  <c r="C1604" i="1"/>
  <c r="B1604" i="1"/>
  <c r="C1603" i="1"/>
  <c r="B1603" i="1"/>
  <c r="C1602" i="1"/>
  <c r="B1602" i="1"/>
  <c r="C1601" i="1"/>
  <c r="B1601" i="1"/>
  <c r="C1600" i="1"/>
  <c r="B1600" i="1"/>
  <c r="C1599" i="1"/>
  <c r="B1599" i="1"/>
  <c r="C1598" i="1"/>
  <c r="B1598" i="1"/>
  <c r="C1597" i="1"/>
  <c r="B1597" i="1"/>
  <c r="C1596" i="1"/>
  <c r="B1596" i="1"/>
  <c r="C1595" i="1"/>
  <c r="B1595" i="1"/>
  <c r="C1594" i="1"/>
  <c r="B1594" i="1"/>
  <c r="C1593" i="1"/>
  <c r="B1593" i="1"/>
  <c r="C1592" i="1"/>
  <c r="B1592" i="1"/>
  <c r="C1591" i="1"/>
  <c r="B1591" i="1"/>
  <c r="C1590" i="1"/>
  <c r="B1590" i="1"/>
  <c r="C1589" i="1"/>
  <c r="B1589" i="1"/>
  <c r="C1588" i="1"/>
  <c r="B1588" i="1"/>
  <c r="C1587" i="1"/>
  <c r="B1587" i="1"/>
  <c r="C1586" i="1"/>
  <c r="B1586" i="1"/>
  <c r="C1585" i="1"/>
  <c r="B1585" i="1"/>
  <c r="C1584" i="1"/>
  <c r="B1584" i="1"/>
  <c r="C1583" i="1"/>
  <c r="B1583" i="1"/>
  <c r="C1582" i="1"/>
  <c r="B1582" i="1"/>
  <c r="C1581" i="1"/>
  <c r="B1581" i="1"/>
  <c r="C1580" i="1"/>
  <c r="B1580" i="1"/>
  <c r="C1579" i="1"/>
  <c r="B1579" i="1"/>
  <c r="C1578" i="1"/>
  <c r="B1578" i="1"/>
  <c r="C1577" i="1"/>
  <c r="B1577" i="1"/>
  <c r="C1576" i="1"/>
  <c r="B1576" i="1"/>
  <c r="C1575" i="1"/>
  <c r="B1575" i="1"/>
  <c r="C1574" i="1"/>
  <c r="B1574" i="1"/>
  <c r="C1573" i="1"/>
  <c r="B1573" i="1"/>
  <c r="C1572" i="1"/>
  <c r="B1572" i="1"/>
  <c r="C1571" i="1"/>
  <c r="B1571" i="1"/>
  <c r="C1570" i="1"/>
  <c r="B1570" i="1"/>
  <c r="C1569" i="1"/>
  <c r="B1569" i="1"/>
  <c r="C1568" i="1"/>
  <c r="B1568" i="1"/>
  <c r="C1567" i="1"/>
  <c r="B1567" i="1"/>
  <c r="C1566" i="1"/>
  <c r="B1566" i="1"/>
  <c r="C1565" i="1"/>
  <c r="B1565" i="1"/>
  <c r="C1564" i="1"/>
  <c r="B1564" i="1"/>
  <c r="C1563" i="1"/>
  <c r="B1563" i="1"/>
  <c r="C1562" i="1"/>
  <c r="B1562" i="1"/>
  <c r="C1561" i="1"/>
  <c r="B1561" i="1"/>
  <c r="C1560" i="1"/>
  <c r="B1560" i="1"/>
  <c r="C1559" i="1"/>
  <c r="B1559" i="1"/>
  <c r="C1558" i="1"/>
  <c r="B1558" i="1"/>
  <c r="C1557" i="1"/>
  <c r="B1557" i="1"/>
  <c r="C1556" i="1"/>
  <c r="B1556" i="1"/>
  <c r="C1555" i="1"/>
  <c r="B1555" i="1"/>
  <c r="C1554" i="1"/>
  <c r="B1554" i="1"/>
  <c r="C1553" i="1"/>
  <c r="B1553" i="1"/>
  <c r="C1552" i="1"/>
  <c r="B1552" i="1"/>
  <c r="C1551" i="1"/>
  <c r="B1551" i="1"/>
  <c r="C1550" i="1"/>
  <c r="B1550" i="1"/>
  <c r="C1549" i="1"/>
  <c r="B1549" i="1"/>
  <c r="C1548" i="1"/>
  <c r="B1548" i="1"/>
  <c r="C1547" i="1"/>
  <c r="B1547" i="1"/>
  <c r="C1546" i="1"/>
  <c r="B1546" i="1"/>
  <c r="C1545" i="1"/>
  <c r="B1545" i="1"/>
  <c r="C1544" i="1"/>
  <c r="B1544" i="1"/>
  <c r="C1543" i="1"/>
  <c r="B1543" i="1"/>
  <c r="C1542" i="1"/>
  <c r="B1542" i="1"/>
  <c r="C1541" i="1"/>
  <c r="B1541" i="1"/>
  <c r="C1540" i="1"/>
  <c r="B1540" i="1"/>
  <c r="C1539" i="1"/>
  <c r="B1539" i="1"/>
  <c r="C1538" i="1"/>
  <c r="B1538" i="1"/>
  <c r="C1537" i="1"/>
  <c r="B1537" i="1"/>
  <c r="C1536" i="1"/>
  <c r="B1536" i="1"/>
  <c r="C1535" i="1"/>
  <c r="B1535" i="1"/>
  <c r="C1534" i="1"/>
  <c r="B1534" i="1"/>
  <c r="C1533" i="1"/>
  <c r="B1533" i="1"/>
  <c r="C1532" i="1"/>
  <c r="B1532" i="1"/>
  <c r="C1531" i="1"/>
  <c r="B1531" i="1"/>
  <c r="C1530" i="1"/>
  <c r="B1530" i="1"/>
  <c r="C1529" i="1"/>
  <c r="B1529" i="1"/>
  <c r="C1528" i="1"/>
  <c r="B1528" i="1"/>
  <c r="C1527" i="1"/>
  <c r="B1527" i="1"/>
  <c r="C1526" i="1"/>
  <c r="B1526" i="1"/>
  <c r="C1525" i="1"/>
  <c r="B1525" i="1"/>
  <c r="C1524" i="1"/>
  <c r="B1524" i="1"/>
  <c r="C1523" i="1"/>
  <c r="B1523" i="1"/>
  <c r="C1522" i="1"/>
  <c r="B1522" i="1"/>
  <c r="C1521" i="1"/>
  <c r="B1521" i="1"/>
  <c r="C1520" i="1"/>
  <c r="B1520" i="1"/>
  <c r="C1519" i="1"/>
  <c r="B1519" i="1"/>
  <c r="C1518" i="1"/>
  <c r="B1518" i="1"/>
  <c r="C1517" i="1"/>
  <c r="B1517" i="1"/>
  <c r="C1516" i="1"/>
  <c r="B1516" i="1"/>
  <c r="C1515" i="1"/>
  <c r="B1515" i="1"/>
  <c r="C1514" i="1"/>
  <c r="B1514" i="1"/>
  <c r="C1513" i="1"/>
  <c r="B1513" i="1"/>
  <c r="C1512" i="1"/>
  <c r="B1512" i="1"/>
  <c r="C1511" i="1"/>
  <c r="B1511" i="1"/>
  <c r="C1510" i="1"/>
  <c r="B1510" i="1"/>
  <c r="C1509" i="1"/>
  <c r="B1509" i="1"/>
  <c r="C1508" i="1"/>
  <c r="B1508" i="1"/>
  <c r="C1507" i="1"/>
  <c r="B1507" i="1"/>
  <c r="C1506" i="1"/>
  <c r="B1506" i="1"/>
  <c r="C1505" i="1"/>
  <c r="B1505" i="1"/>
  <c r="C1504" i="1"/>
  <c r="B1504" i="1"/>
  <c r="C1503" i="1"/>
  <c r="B1503" i="1"/>
  <c r="C1502" i="1"/>
  <c r="B1502" i="1"/>
  <c r="C1501" i="1"/>
  <c r="B1501" i="1"/>
  <c r="C1500" i="1"/>
  <c r="B1500" i="1"/>
  <c r="C1499" i="1"/>
  <c r="B1499" i="1"/>
  <c r="C1498" i="1"/>
  <c r="B1498" i="1"/>
  <c r="C1497" i="1"/>
  <c r="B1497" i="1"/>
  <c r="C1496" i="1"/>
  <c r="B1496" i="1"/>
  <c r="C1495" i="1"/>
  <c r="B1495" i="1"/>
  <c r="C1494" i="1"/>
  <c r="B1494" i="1"/>
  <c r="C1493" i="1"/>
  <c r="B1493" i="1"/>
  <c r="C1492" i="1"/>
  <c r="B1492" i="1"/>
  <c r="C1491" i="1"/>
  <c r="B1491" i="1"/>
  <c r="C1490" i="1"/>
  <c r="B1490" i="1"/>
  <c r="C1489" i="1"/>
  <c r="B1489" i="1"/>
  <c r="C1488" i="1"/>
  <c r="B1488" i="1"/>
  <c r="C1487" i="1"/>
  <c r="B1487" i="1"/>
  <c r="C1486" i="1"/>
  <c r="B1486" i="1"/>
  <c r="C1485" i="1"/>
  <c r="B1485" i="1"/>
  <c r="C1484" i="1"/>
  <c r="B1484" i="1"/>
  <c r="C1483" i="1"/>
  <c r="B1483" i="1"/>
  <c r="C1482" i="1"/>
  <c r="B1482" i="1"/>
  <c r="C1481" i="1"/>
  <c r="B1481" i="1"/>
  <c r="C1480" i="1"/>
  <c r="B1480" i="1"/>
  <c r="C1479" i="1"/>
  <c r="B1479" i="1"/>
  <c r="C1478" i="1"/>
  <c r="B1478" i="1"/>
  <c r="C1477" i="1"/>
  <c r="B1477" i="1"/>
  <c r="C1476" i="1"/>
  <c r="B1476" i="1"/>
  <c r="C1475" i="1"/>
  <c r="B1475" i="1"/>
  <c r="C1474" i="1"/>
  <c r="B1474" i="1"/>
  <c r="C1473" i="1"/>
  <c r="B1473" i="1"/>
  <c r="C1472" i="1"/>
  <c r="B1472" i="1"/>
  <c r="C1471" i="1"/>
  <c r="B1471" i="1"/>
  <c r="C1470" i="1"/>
  <c r="B1470" i="1"/>
  <c r="C1469" i="1"/>
  <c r="B1469" i="1"/>
  <c r="C1468" i="1"/>
  <c r="B1468" i="1"/>
  <c r="C1467" i="1"/>
  <c r="B1467" i="1"/>
  <c r="C1466" i="1"/>
  <c r="B1466" i="1"/>
  <c r="C1465" i="1"/>
  <c r="B1465" i="1"/>
  <c r="C1464" i="1"/>
  <c r="B1464" i="1"/>
  <c r="C1463" i="1"/>
  <c r="B1463" i="1"/>
  <c r="C1462" i="1"/>
  <c r="B1462" i="1"/>
  <c r="C1461" i="1"/>
  <c r="B1461" i="1"/>
  <c r="C1460" i="1"/>
  <c r="B1460" i="1"/>
  <c r="C1459" i="1"/>
  <c r="B1459" i="1"/>
  <c r="C1458" i="1"/>
  <c r="B1458" i="1"/>
  <c r="C1457" i="1"/>
  <c r="B1457" i="1"/>
  <c r="C1456" i="1"/>
  <c r="B1456" i="1"/>
  <c r="C1455" i="1"/>
  <c r="B1455" i="1"/>
  <c r="C1454" i="1"/>
  <c r="B1454" i="1"/>
  <c r="C1453" i="1"/>
  <c r="B1453" i="1"/>
  <c r="C1452" i="1"/>
  <c r="B1452" i="1"/>
  <c r="C1451" i="1"/>
  <c r="B1451" i="1"/>
  <c r="C1450" i="1"/>
  <c r="B1450" i="1"/>
  <c r="C1449" i="1"/>
  <c r="B1449" i="1"/>
  <c r="C1448" i="1"/>
  <c r="B1448" i="1"/>
  <c r="C1447" i="1"/>
  <c r="B1447" i="1"/>
  <c r="C1446" i="1"/>
  <c r="B1446" i="1"/>
  <c r="C1445" i="1"/>
  <c r="B1445" i="1"/>
  <c r="C1444" i="1"/>
  <c r="B1444" i="1"/>
  <c r="C1443" i="1"/>
  <c r="B1443" i="1"/>
  <c r="C1442" i="1"/>
  <c r="B1442" i="1"/>
  <c r="C1441" i="1"/>
  <c r="B1441" i="1"/>
  <c r="C1440" i="1"/>
  <c r="B1440" i="1"/>
  <c r="C1439" i="1"/>
  <c r="B1439" i="1"/>
  <c r="C1438" i="1"/>
  <c r="B1438" i="1"/>
  <c r="C1437" i="1"/>
  <c r="B1437" i="1"/>
  <c r="C1436" i="1"/>
  <c r="B1436" i="1"/>
  <c r="C1435" i="1"/>
  <c r="B1435" i="1"/>
  <c r="C1434" i="1"/>
  <c r="B1434" i="1"/>
  <c r="C1433" i="1"/>
  <c r="B1433" i="1"/>
  <c r="C1432" i="1"/>
  <c r="B1432" i="1"/>
  <c r="C1431" i="1"/>
  <c r="B1431" i="1"/>
  <c r="C1430" i="1"/>
  <c r="B1430" i="1"/>
  <c r="C1429" i="1"/>
  <c r="B1429" i="1"/>
  <c r="C1428" i="1"/>
  <c r="B1428" i="1"/>
  <c r="C1427" i="1"/>
  <c r="B1427" i="1"/>
  <c r="C1426" i="1"/>
  <c r="B1426" i="1"/>
  <c r="C1425" i="1"/>
  <c r="B1425" i="1"/>
  <c r="C1424" i="1"/>
  <c r="B1424" i="1"/>
  <c r="C1423" i="1"/>
  <c r="B1423" i="1"/>
  <c r="C1422" i="1"/>
  <c r="B1422" i="1"/>
  <c r="C1421" i="1"/>
  <c r="B1421" i="1"/>
  <c r="C1420" i="1"/>
  <c r="B1420" i="1"/>
  <c r="C1419" i="1"/>
  <c r="B1419" i="1"/>
  <c r="C1418" i="1"/>
  <c r="B1418" i="1"/>
  <c r="C1417" i="1"/>
  <c r="B1417" i="1"/>
  <c r="C1416" i="1"/>
  <c r="B1416" i="1"/>
  <c r="C1415" i="1"/>
  <c r="B1415" i="1"/>
  <c r="C1414" i="1"/>
  <c r="B1414" i="1"/>
  <c r="C1413" i="1"/>
  <c r="B1413" i="1"/>
  <c r="C1412" i="1"/>
  <c r="B1412" i="1"/>
  <c r="C1411" i="1"/>
  <c r="B1411" i="1"/>
  <c r="C1410" i="1"/>
  <c r="B1410" i="1"/>
  <c r="C1409" i="1"/>
  <c r="B1409" i="1"/>
  <c r="C1408" i="1"/>
  <c r="B1408" i="1"/>
  <c r="C1407" i="1"/>
  <c r="B1407" i="1"/>
  <c r="C1406" i="1"/>
  <c r="B1406" i="1"/>
  <c r="C1405" i="1"/>
  <c r="B1405" i="1"/>
  <c r="C1404" i="1"/>
  <c r="B1404" i="1"/>
  <c r="C1403" i="1"/>
  <c r="B1403" i="1"/>
  <c r="C1402" i="1"/>
  <c r="B1402" i="1"/>
  <c r="C1401" i="1"/>
  <c r="B1401" i="1"/>
  <c r="C1400" i="1"/>
  <c r="B1400" i="1"/>
  <c r="C1399" i="1"/>
  <c r="B1399" i="1"/>
  <c r="C1398" i="1"/>
  <c r="B1398" i="1"/>
  <c r="C1397" i="1"/>
  <c r="B1397" i="1"/>
  <c r="C1396" i="1"/>
  <c r="B1396" i="1"/>
  <c r="C1395" i="1"/>
  <c r="B1395" i="1"/>
  <c r="C1394" i="1"/>
  <c r="B1394" i="1"/>
  <c r="C1393" i="1"/>
  <c r="B1393" i="1"/>
  <c r="C1392" i="1"/>
  <c r="B1392" i="1"/>
  <c r="C1391" i="1"/>
  <c r="B1391" i="1"/>
  <c r="C1390" i="1"/>
  <c r="B1390" i="1"/>
  <c r="C1389" i="1"/>
  <c r="B1389" i="1"/>
  <c r="C1388" i="1"/>
  <c r="B1388" i="1"/>
  <c r="C1387" i="1"/>
  <c r="B1387" i="1"/>
  <c r="C1386" i="1"/>
  <c r="B1386" i="1"/>
  <c r="C1385" i="1"/>
  <c r="B1385" i="1"/>
  <c r="C1384" i="1"/>
  <c r="B1384" i="1"/>
  <c r="C1383" i="1"/>
  <c r="B1383" i="1"/>
  <c r="C1382" i="1"/>
  <c r="B1382" i="1"/>
  <c r="C1381" i="1"/>
  <c r="B1381" i="1"/>
  <c r="C1380" i="1"/>
  <c r="B1380" i="1"/>
  <c r="C1379" i="1"/>
  <c r="B1379" i="1"/>
  <c r="C1378" i="1"/>
  <c r="B1378" i="1"/>
  <c r="C1377" i="1"/>
  <c r="B1377" i="1"/>
  <c r="C1376" i="1"/>
  <c r="B1376" i="1"/>
  <c r="C1375" i="1"/>
  <c r="B1375" i="1"/>
  <c r="C1374" i="1"/>
  <c r="B1374" i="1"/>
  <c r="C1373" i="1"/>
  <c r="B1373" i="1"/>
  <c r="C1372" i="1"/>
  <c r="B1372" i="1"/>
  <c r="C1371" i="1"/>
  <c r="B1371" i="1"/>
  <c r="C1370" i="1"/>
  <c r="B1370" i="1"/>
  <c r="C1369" i="1"/>
  <c r="B1369" i="1"/>
  <c r="C1368" i="1"/>
  <c r="B1368" i="1"/>
  <c r="C1367" i="1"/>
  <c r="B1367" i="1"/>
  <c r="C1366" i="1"/>
  <c r="B1366" i="1"/>
  <c r="C1365" i="1"/>
  <c r="B1365" i="1"/>
  <c r="C1364" i="1"/>
  <c r="B1364" i="1"/>
  <c r="C1363" i="1"/>
  <c r="B1363" i="1"/>
  <c r="C1362" i="1"/>
  <c r="B1362" i="1"/>
  <c r="C1361" i="1"/>
  <c r="B1361" i="1"/>
  <c r="C1360" i="1"/>
  <c r="B1360" i="1"/>
  <c r="C1359" i="1"/>
  <c r="B1359" i="1"/>
  <c r="C1358" i="1"/>
  <c r="B1358" i="1"/>
  <c r="C1357" i="1"/>
  <c r="B1357" i="1"/>
  <c r="C1356" i="1"/>
  <c r="B1356" i="1"/>
  <c r="C1355" i="1"/>
  <c r="B1355" i="1"/>
  <c r="C1354" i="1"/>
  <c r="B1354" i="1"/>
  <c r="C1353" i="1"/>
  <c r="B1353" i="1"/>
  <c r="C1352" i="1"/>
  <c r="B1352" i="1"/>
  <c r="C1351" i="1"/>
  <c r="B1351" i="1"/>
  <c r="C1350" i="1"/>
  <c r="B1350" i="1"/>
  <c r="C1349" i="1"/>
  <c r="B1349" i="1"/>
  <c r="C1348" i="1"/>
  <c r="B1348" i="1"/>
  <c r="C1347" i="1"/>
  <c r="B1347" i="1"/>
  <c r="C1346" i="1"/>
  <c r="B1346" i="1"/>
  <c r="C1345" i="1"/>
  <c r="B1345" i="1"/>
  <c r="C1344" i="1"/>
  <c r="B1344" i="1"/>
  <c r="C1343" i="1"/>
  <c r="B1343" i="1"/>
  <c r="C1342" i="1"/>
  <c r="B1342" i="1"/>
  <c r="C1341" i="1"/>
  <c r="B1341" i="1"/>
  <c r="C1340" i="1"/>
  <c r="B1340" i="1"/>
  <c r="C1339" i="1"/>
  <c r="B1339" i="1"/>
  <c r="C1338" i="1"/>
  <c r="B1338" i="1"/>
  <c r="C1337" i="1"/>
  <c r="B1337" i="1"/>
  <c r="C1336" i="1"/>
  <c r="B1336" i="1"/>
  <c r="C1335" i="1"/>
  <c r="B1335" i="1"/>
  <c r="C1334" i="1"/>
  <c r="B1334" i="1"/>
  <c r="C1333" i="1"/>
  <c r="B1333" i="1"/>
  <c r="C1332" i="1"/>
  <c r="B1332" i="1"/>
  <c r="C1331" i="1"/>
  <c r="B1331" i="1"/>
  <c r="C1330" i="1"/>
  <c r="B1330" i="1"/>
  <c r="C1329" i="1"/>
  <c r="B1329" i="1"/>
  <c r="C1328" i="1"/>
  <c r="B1328" i="1"/>
  <c r="C1327" i="1"/>
  <c r="B1327" i="1"/>
  <c r="C1326" i="1"/>
  <c r="B1326" i="1"/>
  <c r="C1325" i="1"/>
  <c r="B1325" i="1"/>
  <c r="C1324" i="1"/>
  <c r="B1324" i="1"/>
  <c r="C1323" i="1"/>
  <c r="B1323" i="1"/>
  <c r="C1322" i="1"/>
  <c r="B1322" i="1"/>
  <c r="C1321" i="1"/>
  <c r="B1321" i="1"/>
  <c r="C1320" i="1"/>
  <c r="B1320" i="1"/>
  <c r="C1319" i="1"/>
  <c r="B1319" i="1"/>
  <c r="C1318" i="1"/>
  <c r="B1318" i="1"/>
  <c r="C1317" i="1"/>
  <c r="B1317" i="1"/>
  <c r="C1316" i="1"/>
  <c r="B1316" i="1"/>
  <c r="C1315" i="1"/>
  <c r="B1315" i="1"/>
  <c r="C1314" i="1"/>
  <c r="B1314" i="1"/>
  <c r="C1313" i="1"/>
  <c r="B1313" i="1"/>
  <c r="C1312" i="1"/>
  <c r="B1312" i="1"/>
  <c r="C1311" i="1"/>
  <c r="B1311" i="1"/>
  <c r="C1310" i="1"/>
  <c r="B1310" i="1"/>
  <c r="C1309" i="1"/>
  <c r="B1309" i="1"/>
  <c r="C1308" i="1"/>
  <c r="B1308" i="1"/>
  <c r="C1307" i="1"/>
  <c r="B1307" i="1"/>
  <c r="C1306" i="1"/>
  <c r="B1306" i="1"/>
  <c r="C1305" i="1"/>
  <c r="B1305" i="1"/>
  <c r="C1304" i="1"/>
  <c r="B1304" i="1"/>
  <c r="C1303" i="1"/>
  <c r="B1303" i="1"/>
  <c r="C1302" i="1"/>
  <c r="B1302" i="1"/>
  <c r="C1301" i="1"/>
  <c r="B1301" i="1"/>
  <c r="C1300" i="1"/>
  <c r="B1300" i="1"/>
  <c r="C1299" i="1"/>
  <c r="B1299" i="1"/>
  <c r="C1298" i="1"/>
  <c r="B1298" i="1"/>
  <c r="C1297" i="1"/>
  <c r="B1297" i="1"/>
  <c r="C1296" i="1"/>
  <c r="B1296" i="1"/>
  <c r="C1295" i="1"/>
  <c r="B1295" i="1"/>
  <c r="C1294" i="1"/>
  <c r="B1294" i="1"/>
  <c r="C1293" i="1"/>
  <c r="B1293" i="1"/>
  <c r="C1292" i="1"/>
  <c r="B1292" i="1"/>
  <c r="C1291" i="1"/>
  <c r="B1291" i="1"/>
  <c r="C1290" i="1"/>
  <c r="B1290" i="1"/>
  <c r="C1289" i="1"/>
  <c r="B1289" i="1"/>
  <c r="C1288" i="1"/>
  <c r="B1288" i="1"/>
  <c r="C1287" i="1"/>
  <c r="B1287" i="1"/>
  <c r="C1286" i="1"/>
  <c r="B1286" i="1"/>
  <c r="C1285" i="1"/>
  <c r="B1285" i="1"/>
  <c r="C1284" i="1"/>
  <c r="B1284" i="1"/>
  <c r="C1283" i="1"/>
  <c r="B1283" i="1"/>
  <c r="C1282" i="1"/>
  <c r="B1282" i="1"/>
  <c r="C1281" i="1"/>
  <c r="B1281" i="1"/>
  <c r="C1280" i="1"/>
  <c r="B1280" i="1"/>
  <c r="C1279" i="1"/>
  <c r="B1279" i="1"/>
  <c r="C1278" i="1"/>
  <c r="B1278" i="1"/>
  <c r="C1277" i="1"/>
  <c r="B1277" i="1"/>
  <c r="C1276" i="1"/>
  <c r="B1276" i="1"/>
  <c r="C1275" i="1"/>
  <c r="B1275" i="1"/>
  <c r="C1274" i="1"/>
  <c r="B1274" i="1"/>
  <c r="C1273" i="1"/>
  <c r="B1273" i="1"/>
  <c r="C1272" i="1"/>
  <c r="B1272" i="1"/>
  <c r="C1271" i="1"/>
  <c r="B1271" i="1"/>
  <c r="C1270" i="1"/>
  <c r="B1270" i="1"/>
  <c r="C1269" i="1"/>
  <c r="B1269" i="1"/>
  <c r="C1268" i="1"/>
  <c r="B1268" i="1"/>
  <c r="C1267" i="1"/>
  <c r="B1267" i="1"/>
  <c r="C1266" i="1"/>
  <c r="B1266" i="1"/>
  <c r="C1265" i="1"/>
  <c r="B1265" i="1"/>
  <c r="C1264" i="1"/>
  <c r="B1264" i="1"/>
  <c r="C1263" i="1"/>
  <c r="B1263" i="1"/>
  <c r="C1262" i="1"/>
  <c r="B1262" i="1"/>
  <c r="C1261" i="1"/>
  <c r="B1261" i="1"/>
  <c r="C1260" i="1"/>
  <c r="B1260" i="1"/>
  <c r="C1259" i="1"/>
  <c r="B1259" i="1"/>
  <c r="C1258" i="1"/>
  <c r="B1258" i="1"/>
  <c r="C1257" i="1"/>
  <c r="B1257" i="1"/>
  <c r="C1256" i="1"/>
  <c r="B1256" i="1"/>
  <c r="C1255" i="1"/>
  <c r="B1255" i="1"/>
  <c r="C1254" i="1"/>
  <c r="B1254" i="1"/>
  <c r="C1253" i="1"/>
  <c r="B1253" i="1"/>
  <c r="C1252" i="1"/>
  <c r="B1252" i="1"/>
  <c r="C1251" i="1"/>
  <c r="B1251" i="1"/>
  <c r="C1250" i="1"/>
  <c r="B1250" i="1"/>
  <c r="C1249" i="1"/>
  <c r="B1249" i="1"/>
  <c r="C1248" i="1"/>
  <c r="B1248" i="1"/>
  <c r="C1247" i="1"/>
  <c r="B1247" i="1"/>
  <c r="C1246" i="1"/>
  <c r="B1246" i="1"/>
  <c r="C1245" i="1"/>
  <c r="B1245" i="1"/>
  <c r="C1244" i="1"/>
  <c r="B1244" i="1"/>
  <c r="C1243" i="1"/>
  <c r="B1243" i="1"/>
  <c r="C1242" i="1"/>
  <c r="B1242" i="1"/>
  <c r="C1241" i="1"/>
  <c r="B1241" i="1"/>
  <c r="C1240" i="1"/>
  <c r="B1240" i="1"/>
  <c r="C1239" i="1"/>
  <c r="B1239" i="1"/>
  <c r="C1238" i="1"/>
  <c r="B1238" i="1"/>
  <c r="C1237" i="1"/>
  <c r="B1237" i="1"/>
  <c r="C1236" i="1"/>
  <c r="B1236" i="1"/>
  <c r="C1235" i="1"/>
  <c r="B1235" i="1"/>
  <c r="C1234" i="1"/>
  <c r="B1234" i="1"/>
  <c r="C1233" i="1"/>
  <c r="B1233" i="1"/>
  <c r="C1232" i="1"/>
  <c r="B1232" i="1"/>
  <c r="C1231" i="1"/>
  <c r="B1231" i="1"/>
  <c r="C1230" i="1"/>
  <c r="B1230" i="1"/>
  <c r="C1229" i="1"/>
  <c r="B1229" i="1"/>
  <c r="C1228" i="1"/>
  <c r="B1228" i="1"/>
  <c r="C1227" i="1"/>
  <c r="B1227" i="1"/>
  <c r="C1226" i="1"/>
  <c r="B1226" i="1"/>
  <c r="C1225" i="1"/>
  <c r="B1225" i="1"/>
  <c r="C1224" i="1"/>
  <c r="B1224" i="1"/>
  <c r="C1223" i="1"/>
  <c r="B1223" i="1"/>
  <c r="C1222" i="1"/>
  <c r="B1222" i="1"/>
  <c r="C1221" i="1"/>
  <c r="B1221" i="1"/>
  <c r="C1220" i="1"/>
  <c r="B1220" i="1"/>
  <c r="C1219" i="1"/>
  <c r="B1219" i="1"/>
  <c r="C1218" i="1"/>
  <c r="B1218" i="1"/>
  <c r="C1217" i="1"/>
  <c r="B1217" i="1"/>
  <c r="C1216" i="1"/>
  <c r="B1216" i="1"/>
  <c r="C1215" i="1"/>
  <c r="B1215" i="1"/>
  <c r="C1214" i="1"/>
  <c r="B1214" i="1"/>
  <c r="C1213" i="1"/>
  <c r="B1213" i="1"/>
  <c r="C1212" i="1"/>
  <c r="B1212" i="1"/>
  <c r="C1211" i="1"/>
  <c r="B1211" i="1"/>
  <c r="C1210" i="1"/>
  <c r="B1210" i="1"/>
  <c r="C1209" i="1"/>
  <c r="B1209" i="1"/>
  <c r="C1208" i="1"/>
  <c r="B1208" i="1"/>
  <c r="C1207" i="1"/>
  <c r="B1207" i="1"/>
  <c r="C1206" i="1"/>
  <c r="B1206" i="1"/>
  <c r="C1205" i="1"/>
  <c r="B1205" i="1"/>
  <c r="C1204" i="1"/>
  <c r="B1204" i="1"/>
  <c r="C1203" i="1"/>
  <c r="B1203" i="1"/>
  <c r="C1202" i="1"/>
  <c r="B1202" i="1"/>
  <c r="C1201" i="1"/>
  <c r="B1201" i="1"/>
  <c r="C1200" i="1"/>
  <c r="B1200" i="1"/>
  <c r="C1199" i="1"/>
  <c r="B1199" i="1"/>
  <c r="C1198" i="1"/>
  <c r="B1198" i="1"/>
  <c r="C1197" i="1"/>
  <c r="B1197" i="1"/>
  <c r="C1196" i="1"/>
  <c r="B1196" i="1"/>
  <c r="C1195" i="1"/>
  <c r="B1195" i="1"/>
  <c r="C1194" i="1"/>
  <c r="B1194" i="1"/>
  <c r="C1193" i="1"/>
  <c r="B1193" i="1"/>
  <c r="C1192" i="1"/>
  <c r="B1192" i="1"/>
  <c r="C1191" i="1"/>
  <c r="B1191" i="1"/>
  <c r="C1190" i="1"/>
  <c r="B1190" i="1"/>
  <c r="C1189" i="1"/>
  <c r="B1189" i="1"/>
  <c r="C1188" i="1"/>
  <c r="B1188" i="1"/>
  <c r="C1187" i="1"/>
  <c r="B1187" i="1"/>
  <c r="C1186" i="1"/>
  <c r="B1186" i="1"/>
  <c r="C1185" i="1"/>
  <c r="B1185" i="1"/>
  <c r="C1184" i="1"/>
  <c r="B1184" i="1"/>
  <c r="C1183" i="1"/>
  <c r="B1183" i="1"/>
  <c r="C1182" i="1"/>
  <c r="B1182" i="1"/>
  <c r="C1181" i="1"/>
  <c r="B1181" i="1"/>
  <c r="C1180" i="1"/>
  <c r="B1180" i="1"/>
  <c r="C1179" i="1"/>
  <c r="B1179" i="1"/>
  <c r="C1178" i="1"/>
  <c r="B1178" i="1"/>
  <c r="C1177" i="1"/>
  <c r="B1177" i="1"/>
  <c r="C1176" i="1"/>
  <c r="B1176" i="1"/>
  <c r="C1175" i="1"/>
  <c r="B1175" i="1"/>
  <c r="C1174" i="1"/>
  <c r="B1174" i="1"/>
  <c r="C1173" i="1"/>
  <c r="B1173" i="1"/>
  <c r="C1172" i="1"/>
  <c r="B1172" i="1"/>
  <c r="C1171" i="1"/>
  <c r="B1171" i="1"/>
  <c r="C1170" i="1"/>
  <c r="B1170" i="1"/>
  <c r="C1169" i="1"/>
  <c r="B1169" i="1"/>
  <c r="C1168" i="1"/>
  <c r="B1168" i="1"/>
  <c r="C1167" i="1"/>
  <c r="B1167" i="1"/>
  <c r="C1166" i="1"/>
  <c r="B1166" i="1"/>
  <c r="C1165" i="1"/>
  <c r="B1165" i="1"/>
  <c r="C1164" i="1"/>
  <c r="B1164" i="1"/>
  <c r="C1163" i="1"/>
  <c r="B1163" i="1"/>
  <c r="C1162" i="1"/>
  <c r="B1162" i="1"/>
  <c r="C1161" i="1"/>
  <c r="B1161" i="1"/>
  <c r="C1160" i="1"/>
  <c r="B1160" i="1"/>
  <c r="C1159" i="1"/>
  <c r="B1159" i="1"/>
  <c r="C1158" i="1"/>
  <c r="B1158" i="1"/>
  <c r="C1157" i="1"/>
  <c r="B1157" i="1"/>
  <c r="C1156" i="1"/>
  <c r="B1156" i="1"/>
  <c r="C1155" i="1"/>
  <c r="B1155" i="1"/>
  <c r="C1154" i="1"/>
  <c r="B1154" i="1"/>
  <c r="C1153" i="1"/>
  <c r="B1153" i="1"/>
  <c r="C1152" i="1"/>
  <c r="B1152" i="1"/>
  <c r="C1151" i="1"/>
  <c r="B1151" i="1"/>
  <c r="C1150" i="1"/>
  <c r="B1150" i="1"/>
  <c r="C1149" i="1"/>
  <c r="B1149" i="1"/>
  <c r="C1148" i="1"/>
  <c r="B1148" i="1"/>
  <c r="C1147" i="1"/>
  <c r="B1147" i="1"/>
  <c r="C1146" i="1"/>
  <c r="B1146" i="1"/>
  <c r="C1145" i="1"/>
  <c r="B1145" i="1"/>
  <c r="C1144" i="1"/>
  <c r="B1144" i="1"/>
  <c r="C1143" i="1"/>
  <c r="B1143" i="1"/>
  <c r="C1142" i="1"/>
  <c r="B1142" i="1"/>
  <c r="C1141" i="1"/>
  <c r="B1141" i="1"/>
  <c r="C1140" i="1"/>
  <c r="B1140" i="1"/>
  <c r="C1139" i="1"/>
  <c r="B1139" i="1"/>
  <c r="C1138" i="1"/>
  <c r="B1138" i="1"/>
  <c r="C1137" i="1"/>
  <c r="B1137" i="1"/>
  <c r="C1136" i="1"/>
  <c r="B1136" i="1"/>
  <c r="C1135" i="1"/>
  <c r="B1135" i="1"/>
  <c r="C1134" i="1"/>
  <c r="B1134" i="1"/>
  <c r="C1133" i="1"/>
  <c r="B1133" i="1"/>
  <c r="C1132" i="1"/>
  <c r="B1132" i="1"/>
  <c r="C1131" i="1"/>
  <c r="B1131" i="1"/>
  <c r="C1130" i="1"/>
  <c r="B1130" i="1"/>
  <c r="C1129" i="1"/>
  <c r="B1129" i="1"/>
  <c r="C1128" i="1"/>
  <c r="B1128" i="1"/>
  <c r="C1127" i="1"/>
  <c r="B1127" i="1"/>
  <c r="C1126" i="1"/>
  <c r="B1126" i="1"/>
  <c r="C1125" i="1"/>
  <c r="B1125" i="1"/>
  <c r="C1124" i="1"/>
  <c r="B1124" i="1"/>
  <c r="C1123" i="1"/>
  <c r="B1123" i="1"/>
  <c r="C1122" i="1"/>
  <c r="B1122" i="1"/>
  <c r="C1121" i="1"/>
  <c r="B1121" i="1"/>
  <c r="C1120" i="1"/>
  <c r="B1120" i="1"/>
  <c r="C1119" i="1"/>
  <c r="B1119" i="1"/>
  <c r="C1118" i="1"/>
  <c r="B1118" i="1"/>
  <c r="C1117" i="1"/>
  <c r="B1117" i="1"/>
  <c r="C1116" i="1"/>
  <c r="B1116" i="1"/>
  <c r="C1115" i="1"/>
  <c r="B1115" i="1"/>
  <c r="C1114" i="1"/>
  <c r="B1114" i="1"/>
  <c r="C1113" i="1"/>
  <c r="B1113" i="1"/>
  <c r="C1112" i="1"/>
  <c r="B1112" i="1"/>
  <c r="C1111" i="1"/>
  <c r="B1111" i="1"/>
  <c r="C1110" i="1"/>
  <c r="B1110" i="1"/>
  <c r="C1109" i="1"/>
  <c r="B1109" i="1"/>
  <c r="C1108" i="1"/>
  <c r="B1108" i="1"/>
  <c r="C1107" i="1"/>
  <c r="B1107" i="1"/>
  <c r="C1106" i="1"/>
  <c r="B1106" i="1"/>
  <c r="C1105" i="1"/>
  <c r="B1105" i="1"/>
  <c r="C1104" i="1"/>
  <c r="B1104" i="1"/>
  <c r="C1103" i="1"/>
  <c r="B1103" i="1"/>
  <c r="C1102" i="1"/>
  <c r="B1102" i="1"/>
  <c r="C1101" i="1"/>
  <c r="B1101" i="1"/>
  <c r="C1100" i="1"/>
  <c r="B1100" i="1"/>
  <c r="C1099" i="1"/>
  <c r="B1099" i="1"/>
  <c r="C1098" i="1"/>
  <c r="B1098" i="1"/>
  <c r="C1097" i="1"/>
  <c r="B1097" i="1"/>
  <c r="C1096" i="1"/>
  <c r="B1096" i="1"/>
  <c r="C1095" i="1"/>
  <c r="B1095" i="1"/>
  <c r="C1094" i="1"/>
  <c r="B1094" i="1"/>
  <c r="C1093" i="1"/>
  <c r="B1093" i="1"/>
  <c r="C1092" i="1"/>
  <c r="B1092" i="1"/>
  <c r="C1091" i="1"/>
  <c r="B1091" i="1"/>
  <c r="C1090" i="1"/>
  <c r="B1090" i="1"/>
  <c r="C1089" i="1"/>
  <c r="B1089" i="1"/>
  <c r="C1088" i="1"/>
  <c r="B1088" i="1"/>
  <c r="C1087" i="1"/>
  <c r="B1087" i="1"/>
  <c r="C1086" i="1"/>
  <c r="B1086" i="1"/>
  <c r="C1085" i="1"/>
  <c r="B1085" i="1"/>
  <c r="C1084" i="1"/>
  <c r="B1084" i="1"/>
  <c r="C1083" i="1"/>
  <c r="B1083" i="1"/>
  <c r="C1082" i="1"/>
  <c r="B1082" i="1"/>
  <c r="C1081" i="1"/>
  <c r="B1081" i="1"/>
  <c r="C1080" i="1"/>
  <c r="B1080" i="1"/>
  <c r="C1079" i="1"/>
  <c r="B1079" i="1"/>
  <c r="C1078" i="1"/>
  <c r="B1078" i="1"/>
  <c r="C1077" i="1"/>
  <c r="B1077" i="1"/>
  <c r="C1076" i="1"/>
  <c r="B1076" i="1"/>
  <c r="C1075" i="1"/>
  <c r="B1075" i="1"/>
  <c r="C1074" i="1"/>
  <c r="B1074" i="1"/>
  <c r="C1073" i="1"/>
  <c r="B1073" i="1"/>
  <c r="C1072" i="1"/>
  <c r="B1072" i="1"/>
  <c r="C1071" i="1"/>
  <c r="B1071" i="1"/>
  <c r="C1070" i="1"/>
  <c r="B1070" i="1"/>
  <c r="C1069" i="1"/>
  <c r="B1069" i="1"/>
  <c r="C1068" i="1"/>
  <c r="B1068" i="1"/>
  <c r="C1067" i="1"/>
  <c r="B1067" i="1"/>
  <c r="C1066" i="1"/>
  <c r="B1066" i="1"/>
  <c r="C1065" i="1"/>
  <c r="B1065" i="1"/>
  <c r="C1064" i="1"/>
  <c r="B1064" i="1"/>
  <c r="C1063" i="1"/>
  <c r="B1063" i="1"/>
  <c r="C1062" i="1"/>
  <c r="B1062" i="1"/>
  <c r="C1061" i="1"/>
  <c r="B1061" i="1"/>
  <c r="C1060" i="1"/>
  <c r="B1060" i="1"/>
  <c r="C1059" i="1"/>
  <c r="B1059" i="1"/>
  <c r="C1058" i="1"/>
  <c r="B1058" i="1"/>
  <c r="C1057" i="1"/>
  <c r="B1057" i="1"/>
  <c r="C1056" i="1"/>
  <c r="B1056" i="1"/>
  <c r="C1055" i="1"/>
  <c r="B1055" i="1"/>
  <c r="C1054" i="1"/>
  <c r="B1054" i="1"/>
  <c r="C1053" i="1"/>
  <c r="B1053" i="1"/>
  <c r="C1052" i="1"/>
  <c r="B1052" i="1"/>
  <c r="C1051" i="1"/>
  <c r="B1051" i="1"/>
  <c r="C1050" i="1"/>
  <c r="B1050" i="1"/>
  <c r="C1049" i="1"/>
  <c r="B1049" i="1"/>
  <c r="C1048" i="1"/>
  <c r="B1048" i="1"/>
  <c r="C1047" i="1"/>
  <c r="B1047" i="1"/>
  <c r="C1046" i="1"/>
  <c r="B1046" i="1"/>
  <c r="C1045" i="1"/>
  <c r="B1045" i="1"/>
  <c r="C1044" i="1"/>
  <c r="B1044" i="1"/>
  <c r="C1043" i="1"/>
  <c r="B1043" i="1"/>
  <c r="C1042" i="1"/>
  <c r="B1042" i="1"/>
  <c r="C1041" i="1"/>
  <c r="B1041" i="1"/>
  <c r="C1040" i="1"/>
  <c r="B1040" i="1"/>
  <c r="C1039" i="1"/>
  <c r="B1039" i="1"/>
  <c r="C1038" i="1"/>
  <c r="B1038" i="1"/>
  <c r="C1037" i="1"/>
  <c r="B1037" i="1"/>
  <c r="C1036" i="1"/>
  <c r="B1036" i="1"/>
  <c r="C1035" i="1"/>
  <c r="B1035" i="1"/>
  <c r="C1034" i="1"/>
  <c r="B1034" i="1"/>
  <c r="C1033" i="1"/>
  <c r="B1033" i="1"/>
  <c r="C1032" i="1"/>
  <c r="B1032" i="1"/>
  <c r="C1031" i="1"/>
  <c r="B1031" i="1"/>
  <c r="C1030" i="1"/>
  <c r="B1030" i="1"/>
  <c r="C1029" i="1"/>
  <c r="B1029" i="1"/>
  <c r="C1028" i="1"/>
  <c r="B1028" i="1"/>
  <c r="C1027" i="1"/>
  <c r="B1027" i="1"/>
  <c r="C1026" i="1"/>
  <c r="B1026" i="1"/>
  <c r="C1025" i="1"/>
  <c r="B1025" i="1"/>
  <c r="C1024" i="1"/>
  <c r="B1024" i="1"/>
  <c r="C1023" i="1"/>
  <c r="B1023" i="1"/>
  <c r="C1022" i="1"/>
  <c r="B1022" i="1"/>
  <c r="C1021" i="1"/>
  <c r="B1021" i="1"/>
  <c r="C1020" i="1"/>
  <c r="B1020" i="1"/>
  <c r="C1019" i="1"/>
  <c r="B1019" i="1"/>
  <c r="C1018" i="1"/>
  <c r="B1018" i="1"/>
  <c r="C1017" i="1"/>
  <c r="B1017" i="1"/>
  <c r="C1016" i="1"/>
  <c r="B1016" i="1"/>
  <c r="C1015" i="1"/>
  <c r="B1015" i="1"/>
  <c r="C1014" i="1"/>
  <c r="B1014" i="1"/>
  <c r="C1013" i="1"/>
  <c r="B1013" i="1"/>
  <c r="C1012" i="1"/>
  <c r="B1012" i="1"/>
  <c r="C1011" i="1"/>
  <c r="B1011" i="1"/>
  <c r="C1010" i="1"/>
  <c r="B1010" i="1"/>
  <c r="C1009" i="1"/>
  <c r="B1009" i="1"/>
  <c r="C1008" i="1"/>
  <c r="B1008" i="1"/>
  <c r="C1007" i="1"/>
  <c r="B1007" i="1"/>
  <c r="C1006" i="1"/>
  <c r="B1006" i="1"/>
  <c r="C1005" i="1"/>
  <c r="B1005" i="1"/>
  <c r="C1004" i="1"/>
  <c r="B1004" i="1"/>
  <c r="C1003" i="1"/>
  <c r="B1003" i="1"/>
  <c r="C1002" i="1"/>
  <c r="B1002" i="1"/>
  <c r="C1001" i="1"/>
  <c r="B1001" i="1"/>
  <c r="C1000" i="1"/>
  <c r="B1000" i="1"/>
  <c r="C999" i="1"/>
  <c r="B999" i="1"/>
  <c r="C998" i="1"/>
  <c r="B998" i="1"/>
  <c r="C997" i="1"/>
  <c r="B997" i="1"/>
  <c r="C996" i="1"/>
  <c r="B996" i="1"/>
  <c r="C995" i="1"/>
  <c r="B995" i="1"/>
  <c r="C994" i="1"/>
  <c r="B994" i="1"/>
  <c r="C993" i="1"/>
  <c r="B993" i="1"/>
  <c r="C992" i="1"/>
  <c r="B992" i="1"/>
  <c r="C991" i="1"/>
  <c r="B991" i="1"/>
  <c r="C990" i="1"/>
  <c r="B990" i="1"/>
  <c r="C989" i="1"/>
  <c r="B989" i="1"/>
  <c r="C988" i="1"/>
  <c r="B988" i="1"/>
  <c r="C987" i="1"/>
  <c r="B987" i="1"/>
  <c r="C986" i="1"/>
  <c r="B986" i="1"/>
  <c r="C985" i="1"/>
  <c r="B985" i="1"/>
  <c r="C984" i="1"/>
  <c r="B984" i="1"/>
  <c r="C983" i="1"/>
  <c r="B983" i="1"/>
  <c r="C982" i="1"/>
  <c r="B982" i="1"/>
  <c r="C981" i="1"/>
  <c r="B981" i="1"/>
  <c r="C980" i="1"/>
  <c r="B980" i="1"/>
  <c r="C979" i="1"/>
  <c r="B979" i="1"/>
  <c r="C978" i="1"/>
  <c r="B978" i="1"/>
  <c r="C977" i="1"/>
  <c r="B977" i="1"/>
  <c r="C976" i="1"/>
  <c r="B976" i="1"/>
  <c r="C975" i="1"/>
  <c r="B975" i="1"/>
  <c r="C974" i="1"/>
  <c r="B974" i="1"/>
  <c r="C973" i="1"/>
  <c r="B973" i="1"/>
  <c r="C972" i="1"/>
  <c r="B972" i="1"/>
  <c r="C971" i="1"/>
  <c r="B971" i="1"/>
  <c r="C970" i="1"/>
  <c r="B970" i="1"/>
  <c r="C969" i="1"/>
  <c r="B969" i="1"/>
  <c r="C968" i="1"/>
  <c r="B968" i="1"/>
  <c r="C967" i="1"/>
  <c r="B967" i="1"/>
  <c r="C966" i="1"/>
  <c r="B966" i="1"/>
  <c r="C965" i="1"/>
  <c r="B965" i="1"/>
  <c r="C964" i="1"/>
  <c r="B964" i="1"/>
  <c r="C963" i="1"/>
  <c r="B963" i="1"/>
  <c r="C962" i="1"/>
  <c r="B962" i="1"/>
  <c r="C961" i="1"/>
  <c r="B961" i="1"/>
  <c r="C960" i="1"/>
  <c r="B960" i="1"/>
  <c r="C959" i="1"/>
  <c r="B959" i="1"/>
  <c r="C958" i="1"/>
  <c r="B958" i="1"/>
  <c r="C957" i="1"/>
  <c r="B957" i="1"/>
  <c r="C956" i="1"/>
  <c r="B956" i="1"/>
  <c r="C955" i="1"/>
  <c r="B955" i="1"/>
  <c r="C954" i="1"/>
  <c r="B954" i="1"/>
  <c r="C953" i="1"/>
  <c r="B953" i="1"/>
  <c r="C952" i="1"/>
  <c r="B952" i="1"/>
  <c r="C951" i="1"/>
  <c r="B951" i="1"/>
  <c r="C950" i="1"/>
  <c r="B950" i="1"/>
  <c r="C949" i="1"/>
  <c r="B949" i="1"/>
  <c r="C948" i="1"/>
  <c r="B948" i="1"/>
  <c r="C947" i="1"/>
  <c r="B947" i="1"/>
  <c r="C946" i="1"/>
  <c r="B946" i="1"/>
  <c r="C945" i="1"/>
  <c r="B945" i="1"/>
  <c r="C944" i="1"/>
  <c r="B944" i="1"/>
  <c r="C943" i="1"/>
  <c r="B943" i="1"/>
  <c r="C942" i="1"/>
  <c r="B942" i="1"/>
  <c r="C941" i="1"/>
  <c r="B941" i="1"/>
  <c r="C940" i="1"/>
  <c r="B940" i="1"/>
  <c r="C939" i="1"/>
  <c r="B939" i="1"/>
  <c r="C938" i="1"/>
  <c r="B938" i="1"/>
  <c r="C937" i="1"/>
  <c r="B937" i="1"/>
  <c r="C936" i="1"/>
  <c r="B936" i="1"/>
  <c r="C935" i="1"/>
  <c r="B935" i="1"/>
  <c r="C934" i="1"/>
  <c r="B934" i="1"/>
  <c r="C933" i="1"/>
  <c r="B933" i="1"/>
  <c r="C932" i="1"/>
  <c r="B932" i="1"/>
  <c r="C931" i="1"/>
  <c r="B931" i="1"/>
  <c r="C930" i="1"/>
  <c r="B930" i="1"/>
  <c r="C929" i="1"/>
  <c r="B929" i="1"/>
  <c r="C928" i="1"/>
  <c r="B928" i="1"/>
  <c r="C927" i="1"/>
  <c r="B927" i="1"/>
  <c r="C926" i="1"/>
  <c r="B926" i="1"/>
  <c r="C925" i="1"/>
  <c r="B925" i="1"/>
  <c r="C924" i="1"/>
  <c r="B924" i="1"/>
  <c r="C923" i="1"/>
  <c r="B923" i="1"/>
  <c r="C922" i="1"/>
  <c r="B922" i="1"/>
  <c r="C921" i="1"/>
  <c r="B921" i="1"/>
  <c r="C920" i="1"/>
  <c r="B920" i="1"/>
  <c r="C919" i="1"/>
  <c r="B919" i="1"/>
  <c r="C918" i="1"/>
  <c r="B918" i="1"/>
  <c r="C917" i="1"/>
  <c r="B917" i="1"/>
  <c r="C916" i="1"/>
  <c r="B916" i="1"/>
  <c r="C915" i="1"/>
  <c r="B915" i="1"/>
  <c r="C914" i="1"/>
  <c r="B914" i="1"/>
  <c r="C913" i="1"/>
  <c r="B913" i="1"/>
  <c r="C912" i="1"/>
  <c r="B912" i="1"/>
  <c r="C911" i="1"/>
  <c r="B911" i="1"/>
  <c r="C910" i="1"/>
  <c r="B910" i="1"/>
  <c r="C909" i="1"/>
  <c r="B909" i="1"/>
  <c r="C908" i="1"/>
  <c r="B908" i="1"/>
  <c r="C907" i="1"/>
  <c r="B907" i="1"/>
  <c r="C906" i="1"/>
  <c r="B906" i="1"/>
  <c r="C905" i="1"/>
  <c r="B905" i="1"/>
  <c r="C904" i="1"/>
  <c r="B904" i="1"/>
  <c r="C903" i="1"/>
  <c r="B903" i="1"/>
  <c r="C902" i="1"/>
  <c r="B902" i="1"/>
  <c r="C901" i="1"/>
  <c r="B901" i="1"/>
  <c r="C900" i="1"/>
  <c r="B900" i="1"/>
  <c r="C899" i="1"/>
  <c r="B899" i="1"/>
  <c r="C898" i="1"/>
  <c r="B898" i="1"/>
  <c r="C897" i="1"/>
  <c r="B897" i="1"/>
  <c r="C896" i="1"/>
  <c r="B896" i="1"/>
  <c r="C895" i="1"/>
  <c r="B895" i="1"/>
  <c r="C894" i="1"/>
  <c r="B894" i="1"/>
  <c r="C893" i="1"/>
  <c r="B893" i="1"/>
  <c r="C892" i="1"/>
  <c r="B892" i="1"/>
  <c r="C891" i="1"/>
  <c r="B891" i="1"/>
  <c r="C890" i="1"/>
  <c r="B890" i="1"/>
  <c r="C889" i="1"/>
  <c r="B889" i="1"/>
  <c r="C888" i="1"/>
  <c r="B888" i="1"/>
  <c r="C887" i="1"/>
  <c r="B887" i="1"/>
  <c r="C886" i="1"/>
  <c r="B886" i="1"/>
  <c r="C885" i="1"/>
  <c r="B885" i="1"/>
  <c r="C884" i="1"/>
  <c r="B884" i="1"/>
  <c r="C883" i="1"/>
  <c r="B883" i="1"/>
  <c r="C882" i="1"/>
  <c r="B882" i="1"/>
  <c r="C881" i="1"/>
  <c r="B881" i="1"/>
  <c r="C880" i="1"/>
  <c r="B880" i="1"/>
  <c r="C879" i="1"/>
  <c r="B879" i="1"/>
  <c r="C878" i="1"/>
  <c r="B878" i="1"/>
  <c r="C877" i="1"/>
  <c r="B877" i="1"/>
  <c r="C876" i="1"/>
  <c r="B876" i="1"/>
  <c r="C875" i="1"/>
  <c r="B875" i="1"/>
  <c r="C874" i="1"/>
  <c r="B874" i="1"/>
  <c r="C873" i="1"/>
  <c r="B873" i="1"/>
  <c r="C872" i="1"/>
  <c r="B872" i="1"/>
  <c r="C871" i="1"/>
  <c r="B871" i="1"/>
  <c r="C870" i="1"/>
  <c r="B870" i="1"/>
  <c r="C869" i="1"/>
  <c r="B869" i="1"/>
  <c r="C868" i="1"/>
  <c r="B868" i="1"/>
  <c r="C867" i="1"/>
  <c r="B867" i="1"/>
  <c r="C866" i="1"/>
  <c r="B866" i="1"/>
  <c r="C865" i="1"/>
  <c r="B865" i="1"/>
  <c r="C864" i="1"/>
  <c r="B864" i="1"/>
  <c r="C863" i="1"/>
  <c r="B863" i="1"/>
  <c r="C862" i="1"/>
  <c r="B862" i="1"/>
  <c r="C861" i="1"/>
  <c r="B861" i="1"/>
  <c r="C860" i="1"/>
  <c r="B860" i="1"/>
  <c r="C859" i="1"/>
  <c r="B859" i="1"/>
  <c r="C858" i="1"/>
  <c r="B858" i="1"/>
  <c r="C857" i="1"/>
  <c r="B857" i="1"/>
  <c r="C856" i="1"/>
  <c r="B856" i="1"/>
  <c r="C855" i="1"/>
  <c r="B855" i="1"/>
  <c r="C854" i="1"/>
  <c r="B854" i="1"/>
  <c r="C853" i="1"/>
  <c r="B853" i="1"/>
  <c r="C852" i="1"/>
  <c r="B852" i="1"/>
  <c r="C851" i="1"/>
  <c r="B851" i="1"/>
  <c r="C850" i="1"/>
  <c r="B850" i="1"/>
  <c r="C849" i="1"/>
  <c r="B849" i="1"/>
  <c r="C848" i="1"/>
  <c r="B848" i="1"/>
  <c r="C847" i="1"/>
  <c r="B847" i="1"/>
  <c r="C846" i="1"/>
  <c r="B846" i="1"/>
  <c r="C845" i="1"/>
  <c r="B845" i="1"/>
  <c r="C844" i="1"/>
  <c r="B844" i="1"/>
  <c r="C843" i="1"/>
  <c r="B843" i="1"/>
  <c r="C842" i="1"/>
  <c r="B842" i="1"/>
  <c r="C841" i="1"/>
  <c r="B841" i="1"/>
  <c r="C840" i="1"/>
  <c r="B840" i="1"/>
  <c r="C839" i="1"/>
  <c r="B839" i="1"/>
  <c r="C838" i="1"/>
  <c r="B838" i="1"/>
  <c r="C837" i="1"/>
  <c r="B837" i="1"/>
  <c r="C836" i="1"/>
  <c r="B836" i="1"/>
  <c r="C835" i="1"/>
  <c r="B835" i="1"/>
  <c r="C834" i="1"/>
  <c r="B834" i="1"/>
  <c r="C833" i="1"/>
  <c r="B833" i="1"/>
  <c r="C832" i="1"/>
  <c r="B832" i="1"/>
  <c r="C831" i="1"/>
  <c r="B831" i="1"/>
  <c r="C830" i="1"/>
  <c r="B830" i="1"/>
  <c r="C829" i="1"/>
  <c r="B829" i="1"/>
  <c r="C828" i="1"/>
  <c r="B828" i="1"/>
  <c r="C827" i="1"/>
  <c r="B827" i="1"/>
  <c r="C826" i="1"/>
  <c r="B826" i="1"/>
  <c r="C825" i="1"/>
  <c r="B825" i="1"/>
  <c r="C824" i="1"/>
  <c r="B824" i="1"/>
  <c r="C823" i="1"/>
  <c r="B823" i="1"/>
  <c r="C822" i="1"/>
  <c r="B822" i="1"/>
  <c r="C821" i="1"/>
  <c r="B821" i="1"/>
  <c r="C820" i="1"/>
  <c r="B820" i="1"/>
  <c r="C819" i="1"/>
  <c r="B819" i="1"/>
  <c r="C818" i="1"/>
  <c r="B818" i="1"/>
  <c r="C817" i="1"/>
  <c r="B817" i="1"/>
  <c r="C816" i="1"/>
  <c r="B816" i="1"/>
  <c r="C815" i="1"/>
  <c r="B815" i="1"/>
  <c r="C814" i="1"/>
  <c r="B814" i="1"/>
  <c r="C813" i="1"/>
  <c r="B813" i="1"/>
  <c r="C812" i="1"/>
  <c r="B812" i="1"/>
  <c r="C811" i="1"/>
  <c r="B811" i="1"/>
  <c r="C810" i="1"/>
  <c r="B810" i="1"/>
  <c r="C809" i="1"/>
  <c r="B809" i="1"/>
  <c r="C808" i="1"/>
  <c r="B808" i="1"/>
  <c r="C807" i="1"/>
  <c r="B807" i="1"/>
  <c r="C806" i="1"/>
  <c r="B806" i="1"/>
  <c r="C805" i="1"/>
  <c r="B805" i="1"/>
  <c r="C804" i="1"/>
  <c r="B804" i="1"/>
  <c r="C803" i="1"/>
  <c r="B803" i="1"/>
  <c r="C802" i="1"/>
  <c r="B802" i="1"/>
  <c r="C801" i="1"/>
  <c r="B801" i="1"/>
  <c r="C800" i="1"/>
  <c r="B800" i="1"/>
  <c r="C799" i="1"/>
  <c r="B799" i="1"/>
  <c r="C798" i="1"/>
  <c r="B798" i="1"/>
  <c r="C797" i="1"/>
  <c r="B797" i="1"/>
  <c r="C796" i="1"/>
  <c r="B796" i="1"/>
  <c r="C795" i="1"/>
  <c r="B795" i="1"/>
  <c r="C794" i="1"/>
  <c r="B794" i="1"/>
  <c r="C793" i="1"/>
  <c r="B793" i="1"/>
  <c r="C792" i="1"/>
  <c r="B792" i="1"/>
  <c r="C791" i="1"/>
  <c r="B791" i="1"/>
  <c r="C790" i="1"/>
  <c r="B790" i="1"/>
  <c r="C789" i="1"/>
  <c r="B789" i="1"/>
  <c r="C788" i="1"/>
  <c r="B788" i="1"/>
  <c r="C787" i="1"/>
  <c r="B787" i="1"/>
  <c r="C786" i="1"/>
  <c r="B786" i="1"/>
  <c r="C785" i="1"/>
  <c r="B785" i="1"/>
  <c r="C784" i="1"/>
  <c r="B784" i="1"/>
  <c r="C783" i="1"/>
  <c r="B783" i="1"/>
  <c r="C782" i="1"/>
  <c r="B782" i="1"/>
  <c r="C781" i="1"/>
  <c r="B781" i="1"/>
  <c r="C780" i="1"/>
  <c r="B780" i="1"/>
  <c r="C779" i="1"/>
  <c r="B779" i="1"/>
  <c r="C778" i="1"/>
  <c r="B778" i="1"/>
  <c r="C777" i="1"/>
  <c r="B777" i="1"/>
  <c r="C776" i="1"/>
  <c r="B776" i="1"/>
  <c r="C775" i="1"/>
  <c r="B775" i="1"/>
  <c r="C774" i="1"/>
  <c r="B774" i="1"/>
  <c r="C773" i="1"/>
  <c r="B773" i="1"/>
  <c r="C772" i="1"/>
  <c r="B772" i="1"/>
  <c r="C771" i="1"/>
  <c r="B771" i="1"/>
  <c r="C770" i="1"/>
  <c r="B770" i="1"/>
  <c r="C769" i="1"/>
  <c r="B769" i="1"/>
  <c r="C768" i="1"/>
  <c r="B768" i="1"/>
  <c r="C767" i="1"/>
  <c r="B767" i="1"/>
  <c r="C766" i="1"/>
  <c r="B766" i="1"/>
  <c r="C765" i="1"/>
  <c r="B765" i="1"/>
  <c r="C764" i="1"/>
  <c r="B764" i="1"/>
  <c r="C763" i="1"/>
  <c r="B763" i="1"/>
  <c r="C762" i="1"/>
  <c r="B762" i="1"/>
  <c r="C761" i="1"/>
  <c r="B761" i="1"/>
  <c r="C760" i="1"/>
  <c r="B760" i="1"/>
  <c r="C759" i="1"/>
  <c r="B759" i="1"/>
  <c r="C758" i="1"/>
  <c r="B758" i="1"/>
  <c r="C757" i="1"/>
  <c r="B757" i="1"/>
  <c r="C756" i="1"/>
  <c r="B756" i="1"/>
  <c r="C755" i="1"/>
  <c r="B755" i="1"/>
  <c r="C754" i="1"/>
  <c r="B754" i="1"/>
  <c r="C753" i="1"/>
  <c r="B753" i="1"/>
  <c r="C752" i="1"/>
  <c r="B752" i="1"/>
  <c r="C751" i="1"/>
  <c r="B751" i="1"/>
  <c r="C750" i="1"/>
  <c r="B750" i="1"/>
  <c r="C749" i="1"/>
  <c r="B749" i="1"/>
  <c r="C748" i="1"/>
  <c r="B748" i="1"/>
  <c r="C747" i="1"/>
  <c r="B747" i="1"/>
  <c r="C746" i="1"/>
  <c r="B746" i="1"/>
  <c r="C745" i="1"/>
  <c r="B745" i="1"/>
  <c r="C744" i="1"/>
  <c r="B744" i="1"/>
  <c r="C743" i="1"/>
  <c r="B743" i="1"/>
  <c r="C742" i="1"/>
  <c r="B742" i="1"/>
  <c r="C741" i="1"/>
  <c r="B741" i="1"/>
  <c r="C740" i="1"/>
  <c r="B740" i="1"/>
  <c r="C739" i="1"/>
  <c r="B739" i="1"/>
  <c r="C738" i="1"/>
  <c r="B738" i="1"/>
  <c r="C737" i="1"/>
  <c r="B737" i="1"/>
  <c r="C736" i="1"/>
  <c r="B736" i="1"/>
  <c r="C735" i="1"/>
  <c r="B735" i="1"/>
  <c r="C734" i="1"/>
  <c r="B734" i="1"/>
  <c r="C733" i="1"/>
  <c r="B733" i="1"/>
  <c r="C732" i="1"/>
  <c r="B732" i="1"/>
  <c r="C731" i="1"/>
  <c r="B731" i="1"/>
  <c r="C730" i="1"/>
  <c r="B730" i="1"/>
  <c r="C729" i="1"/>
  <c r="B729" i="1"/>
  <c r="C728" i="1"/>
  <c r="B728" i="1"/>
  <c r="C727" i="1"/>
  <c r="B727" i="1"/>
  <c r="C726" i="1"/>
  <c r="B726" i="1"/>
  <c r="C725" i="1"/>
  <c r="B725" i="1"/>
  <c r="C724" i="1"/>
  <c r="B724" i="1"/>
  <c r="C723" i="1"/>
  <c r="B723" i="1"/>
  <c r="C722" i="1"/>
  <c r="B722" i="1"/>
  <c r="C721" i="1"/>
  <c r="B721" i="1"/>
  <c r="C720" i="1"/>
  <c r="B720" i="1"/>
  <c r="C719" i="1"/>
  <c r="B719" i="1"/>
  <c r="C718" i="1"/>
  <c r="B718" i="1"/>
  <c r="C717" i="1"/>
  <c r="B717" i="1"/>
  <c r="C716" i="1"/>
  <c r="B716" i="1"/>
  <c r="C715" i="1"/>
  <c r="B715" i="1"/>
  <c r="C714" i="1"/>
  <c r="B714" i="1"/>
  <c r="C713" i="1"/>
  <c r="B713" i="1"/>
  <c r="C712" i="1"/>
  <c r="B712" i="1"/>
  <c r="C711" i="1"/>
  <c r="B711" i="1"/>
  <c r="C710" i="1"/>
  <c r="B710" i="1"/>
  <c r="C709" i="1"/>
  <c r="B709" i="1"/>
  <c r="C708" i="1"/>
  <c r="B708" i="1"/>
  <c r="C707" i="1"/>
  <c r="B707" i="1"/>
  <c r="C706" i="1"/>
  <c r="B706" i="1"/>
  <c r="C705" i="1"/>
  <c r="B705" i="1"/>
  <c r="C704" i="1"/>
  <c r="B704" i="1"/>
  <c r="C703" i="1"/>
  <c r="B703" i="1"/>
  <c r="C702" i="1"/>
  <c r="B702" i="1"/>
  <c r="C701" i="1"/>
  <c r="B701" i="1"/>
  <c r="C700" i="1"/>
  <c r="B700" i="1"/>
  <c r="C699" i="1"/>
  <c r="B699" i="1"/>
  <c r="C698" i="1"/>
  <c r="B698" i="1"/>
  <c r="C697" i="1"/>
  <c r="B697" i="1"/>
  <c r="C696" i="1"/>
  <c r="B696" i="1"/>
  <c r="C695" i="1"/>
  <c r="B695" i="1"/>
  <c r="C694" i="1"/>
  <c r="B694" i="1"/>
  <c r="C693" i="1"/>
  <c r="B693" i="1"/>
  <c r="C692" i="1"/>
  <c r="B692" i="1"/>
  <c r="C691" i="1"/>
  <c r="B691" i="1"/>
  <c r="C690" i="1"/>
  <c r="B690" i="1"/>
  <c r="C689" i="1"/>
  <c r="B689" i="1"/>
  <c r="C688" i="1"/>
  <c r="B688" i="1"/>
  <c r="C687" i="1"/>
  <c r="B687" i="1"/>
  <c r="C686" i="1"/>
  <c r="B686" i="1"/>
  <c r="C685" i="1"/>
  <c r="B685" i="1"/>
  <c r="C684" i="1"/>
  <c r="B684" i="1"/>
  <c r="C683" i="1"/>
  <c r="B683" i="1"/>
  <c r="C682" i="1"/>
  <c r="B682" i="1"/>
  <c r="C681" i="1"/>
  <c r="B681" i="1"/>
  <c r="C680" i="1"/>
  <c r="B680" i="1"/>
  <c r="C679" i="1"/>
  <c r="B679" i="1"/>
  <c r="C678" i="1"/>
  <c r="B678" i="1"/>
  <c r="C677" i="1"/>
  <c r="B677" i="1"/>
  <c r="C676" i="1"/>
  <c r="B676" i="1"/>
  <c r="C675" i="1"/>
  <c r="B675" i="1"/>
  <c r="C674" i="1"/>
  <c r="B674" i="1"/>
  <c r="C673" i="1"/>
  <c r="B673" i="1"/>
  <c r="C672" i="1"/>
  <c r="B672" i="1"/>
  <c r="C671" i="1"/>
  <c r="B671" i="1"/>
  <c r="C670" i="1"/>
  <c r="B670" i="1"/>
  <c r="C669" i="1"/>
  <c r="B669" i="1"/>
  <c r="C668" i="1"/>
  <c r="B668" i="1"/>
  <c r="C667" i="1"/>
  <c r="B667" i="1"/>
  <c r="C666" i="1"/>
  <c r="B666" i="1"/>
  <c r="C665" i="1"/>
  <c r="B665" i="1"/>
  <c r="C664" i="1"/>
  <c r="B664" i="1"/>
  <c r="C663" i="1"/>
  <c r="B663" i="1"/>
  <c r="C662" i="1"/>
  <c r="B662" i="1"/>
  <c r="C661" i="1"/>
  <c r="B661" i="1"/>
  <c r="C660" i="1"/>
  <c r="B660" i="1"/>
  <c r="C659" i="1"/>
  <c r="B659" i="1"/>
  <c r="C658" i="1"/>
  <c r="B658" i="1"/>
  <c r="C657" i="1"/>
  <c r="B657" i="1"/>
  <c r="C656" i="1"/>
  <c r="B656" i="1"/>
  <c r="C655" i="1"/>
  <c r="B655" i="1"/>
  <c r="C654" i="1"/>
  <c r="B654" i="1"/>
  <c r="C653" i="1"/>
  <c r="B653" i="1"/>
  <c r="C652" i="1"/>
  <c r="B652" i="1"/>
  <c r="C651" i="1"/>
  <c r="B651" i="1"/>
  <c r="C650" i="1"/>
  <c r="B650" i="1"/>
  <c r="C649" i="1"/>
  <c r="B649" i="1"/>
  <c r="C648" i="1"/>
  <c r="B648" i="1"/>
  <c r="C647" i="1"/>
  <c r="B647" i="1"/>
  <c r="C646" i="1"/>
  <c r="B646" i="1"/>
  <c r="C645" i="1"/>
  <c r="B645" i="1"/>
  <c r="C644" i="1"/>
  <c r="B644" i="1"/>
  <c r="C643" i="1"/>
  <c r="B643" i="1"/>
  <c r="C642" i="1"/>
  <c r="B642" i="1"/>
  <c r="C641" i="1"/>
  <c r="B641" i="1"/>
  <c r="C640" i="1"/>
  <c r="B640" i="1"/>
  <c r="C639" i="1"/>
  <c r="B639" i="1"/>
  <c r="C638" i="1"/>
  <c r="B638" i="1"/>
  <c r="C637" i="1"/>
  <c r="B637" i="1"/>
  <c r="C636" i="1"/>
  <c r="B636" i="1"/>
  <c r="C635" i="1"/>
  <c r="B635" i="1"/>
  <c r="C634" i="1"/>
  <c r="B634" i="1"/>
  <c r="C633" i="1"/>
  <c r="B633" i="1"/>
  <c r="C632" i="1"/>
  <c r="B632" i="1"/>
  <c r="C631" i="1"/>
  <c r="B631" i="1"/>
  <c r="C630" i="1"/>
  <c r="B630" i="1"/>
  <c r="C629" i="1"/>
  <c r="B629" i="1"/>
  <c r="C628" i="1"/>
  <c r="B628" i="1"/>
  <c r="C627" i="1"/>
  <c r="B627" i="1"/>
  <c r="C626" i="1"/>
  <c r="B626" i="1"/>
  <c r="C625" i="1"/>
  <c r="B625" i="1"/>
  <c r="C624" i="1"/>
  <c r="B624" i="1"/>
  <c r="C623" i="1"/>
  <c r="B623" i="1"/>
  <c r="C622" i="1"/>
  <c r="B622" i="1"/>
  <c r="C621" i="1"/>
  <c r="B621" i="1"/>
  <c r="C620" i="1"/>
  <c r="B620" i="1"/>
  <c r="C619" i="1"/>
  <c r="B619" i="1"/>
  <c r="C618" i="1"/>
  <c r="B618" i="1"/>
  <c r="C617" i="1"/>
  <c r="B617" i="1"/>
  <c r="C616" i="1"/>
  <c r="B616" i="1"/>
  <c r="C615" i="1"/>
  <c r="B615" i="1"/>
  <c r="C614" i="1"/>
  <c r="B614" i="1"/>
  <c r="C613" i="1"/>
  <c r="B613" i="1"/>
  <c r="C612" i="1"/>
  <c r="B612" i="1"/>
  <c r="C611" i="1"/>
  <c r="B611" i="1"/>
  <c r="C610" i="1"/>
  <c r="B610" i="1"/>
  <c r="C609" i="1"/>
  <c r="B609" i="1"/>
  <c r="C608" i="1"/>
  <c r="B608" i="1"/>
  <c r="C607" i="1"/>
  <c r="B607" i="1"/>
  <c r="C606" i="1"/>
  <c r="B606" i="1"/>
  <c r="C605" i="1"/>
  <c r="B605" i="1"/>
  <c r="C604" i="1"/>
  <c r="B604" i="1"/>
  <c r="C603" i="1"/>
  <c r="B603" i="1"/>
  <c r="C602" i="1"/>
  <c r="B602" i="1"/>
  <c r="C601" i="1"/>
  <c r="B601" i="1"/>
  <c r="C600" i="1"/>
  <c r="B600" i="1"/>
  <c r="C599" i="1"/>
  <c r="B599" i="1"/>
  <c r="C598" i="1"/>
  <c r="B598" i="1"/>
  <c r="C597" i="1"/>
  <c r="B597" i="1"/>
  <c r="C596" i="1"/>
  <c r="B596" i="1"/>
  <c r="C595" i="1"/>
  <c r="B595" i="1"/>
  <c r="C594" i="1"/>
  <c r="B594" i="1"/>
  <c r="C593" i="1"/>
  <c r="B593" i="1"/>
  <c r="C592" i="1"/>
  <c r="B592" i="1"/>
  <c r="C591" i="1"/>
  <c r="B591" i="1"/>
  <c r="C590" i="1"/>
  <c r="B590" i="1"/>
  <c r="C589" i="1"/>
  <c r="B589" i="1"/>
  <c r="C588" i="1"/>
  <c r="B588" i="1"/>
  <c r="C587" i="1"/>
  <c r="B587" i="1"/>
  <c r="C586" i="1"/>
  <c r="B586" i="1"/>
  <c r="C585" i="1"/>
  <c r="B585" i="1"/>
  <c r="C584" i="1"/>
  <c r="B584" i="1"/>
  <c r="C583" i="1"/>
  <c r="B583" i="1"/>
  <c r="C582" i="1"/>
  <c r="B582" i="1"/>
  <c r="C581" i="1"/>
  <c r="B581" i="1"/>
  <c r="C580" i="1"/>
  <c r="B580" i="1"/>
  <c r="C579" i="1"/>
  <c r="B579" i="1"/>
  <c r="C578" i="1"/>
  <c r="B578" i="1"/>
  <c r="C577" i="1"/>
  <c r="B577" i="1"/>
  <c r="C576" i="1"/>
  <c r="B576" i="1"/>
  <c r="C575" i="1"/>
  <c r="B575" i="1"/>
  <c r="C574" i="1"/>
  <c r="B574" i="1"/>
  <c r="C573" i="1"/>
  <c r="B573" i="1"/>
  <c r="C572" i="1"/>
  <c r="B572" i="1"/>
  <c r="C571" i="1"/>
  <c r="B571" i="1"/>
  <c r="C570" i="1"/>
  <c r="B570" i="1"/>
  <c r="C569" i="1"/>
  <c r="B569" i="1"/>
  <c r="C568" i="1"/>
  <c r="B568" i="1"/>
  <c r="C567" i="1"/>
  <c r="B567" i="1"/>
  <c r="C566" i="1"/>
  <c r="B566" i="1"/>
  <c r="C565" i="1"/>
  <c r="B565" i="1"/>
  <c r="C564" i="1"/>
  <c r="B564" i="1"/>
  <c r="C563" i="1"/>
  <c r="B563" i="1"/>
  <c r="C562" i="1"/>
  <c r="B562" i="1"/>
  <c r="C561" i="1"/>
  <c r="B561" i="1"/>
  <c r="C560" i="1"/>
  <c r="B560" i="1"/>
  <c r="C559" i="1"/>
  <c r="B559" i="1"/>
  <c r="C558" i="1"/>
  <c r="B558" i="1"/>
  <c r="C557" i="1"/>
  <c r="B557" i="1"/>
  <c r="C556" i="1"/>
  <c r="B556" i="1"/>
  <c r="C555" i="1"/>
  <c r="B555" i="1"/>
  <c r="C554" i="1"/>
  <c r="B554" i="1"/>
  <c r="C553" i="1"/>
  <c r="B553" i="1"/>
  <c r="C552" i="1"/>
  <c r="B552" i="1"/>
  <c r="C551" i="1"/>
  <c r="B551" i="1"/>
  <c r="C550" i="1"/>
  <c r="B550" i="1"/>
  <c r="C549" i="1"/>
  <c r="B549" i="1"/>
  <c r="C548" i="1"/>
  <c r="B548" i="1"/>
  <c r="C547" i="1"/>
  <c r="B547" i="1"/>
  <c r="C546" i="1"/>
  <c r="B546" i="1"/>
  <c r="C545" i="1"/>
  <c r="B545" i="1"/>
  <c r="C544" i="1"/>
  <c r="B544" i="1"/>
  <c r="C543" i="1"/>
  <c r="B543" i="1"/>
  <c r="C542" i="1"/>
  <c r="B542" i="1"/>
  <c r="C541" i="1"/>
  <c r="B541" i="1"/>
  <c r="C540" i="1"/>
  <c r="B540" i="1"/>
  <c r="C539" i="1"/>
  <c r="B539" i="1"/>
  <c r="C538" i="1"/>
  <c r="B538" i="1"/>
  <c r="C537" i="1"/>
  <c r="B537" i="1"/>
  <c r="C536" i="1"/>
  <c r="B536" i="1"/>
  <c r="C535" i="1"/>
  <c r="B535" i="1"/>
  <c r="C534" i="1"/>
  <c r="B534" i="1"/>
  <c r="C533" i="1"/>
  <c r="B533" i="1"/>
  <c r="C532" i="1"/>
  <c r="B532" i="1"/>
  <c r="C531" i="1"/>
  <c r="B531" i="1"/>
  <c r="C530" i="1"/>
  <c r="B530" i="1"/>
  <c r="C529" i="1"/>
  <c r="B529" i="1"/>
  <c r="C528" i="1"/>
  <c r="B528" i="1"/>
  <c r="C527" i="1"/>
  <c r="B527" i="1"/>
  <c r="C526" i="1"/>
  <c r="B526" i="1"/>
  <c r="C525" i="1"/>
  <c r="B525" i="1"/>
  <c r="C524" i="1"/>
  <c r="B524" i="1"/>
  <c r="C523" i="1"/>
  <c r="B523" i="1"/>
  <c r="C522" i="1"/>
  <c r="B522" i="1"/>
  <c r="C521" i="1"/>
  <c r="B521" i="1"/>
  <c r="C520" i="1"/>
  <c r="B520" i="1"/>
  <c r="C519" i="1"/>
  <c r="B519" i="1"/>
  <c r="C518" i="1"/>
  <c r="B518" i="1"/>
  <c r="C517" i="1"/>
  <c r="B517" i="1"/>
  <c r="C516" i="1"/>
  <c r="B516" i="1"/>
  <c r="C515" i="1"/>
  <c r="B515" i="1"/>
  <c r="C514" i="1"/>
  <c r="B514" i="1"/>
  <c r="C513" i="1"/>
  <c r="B513" i="1"/>
  <c r="C512" i="1"/>
  <c r="B512" i="1"/>
  <c r="C511" i="1"/>
  <c r="B511" i="1"/>
  <c r="C510" i="1"/>
  <c r="B510" i="1"/>
  <c r="C509" i="1"/>
  <c r="B509" i="1"/>
  <c r="C508" i="1"/>
  <c r="B508" i="1"/>
  <c r="C507" i="1"/>
  <c r="B507" i="1"/>
  <c r="C506" i="1"/>
  <c r="B506" i="1"/>
  <c r="C505" i="1"/>
  <c r="B505" i="1"/>
  <c r="C504" i="1"/>
  <c r="B504" i="1"/>
  <c r="C503" i="1"/>
  <c r="B503" i="1"/>
  <c r="C502" i="1"/>
  <c r="B502" i="1"/>
  <c r="C501" i="1"/>
  <c r="B501" i="1"/>
  <c r="C500" i="1"/>
  <c r="B500" i="1"/>
  <c r="C499" i="1"/>
  <c r="B499" i="1"/>
  <c r="C498" i="1"/>
  <c r="B498" i="1"/>
  <c r="C497" i="1"/>
  <c r="B497" i="1"/>
  <c r="C496" i="1"/>
  <c r="B496" i="1"/>
  <c r="C495" i="1"/>
  <c r="B495" i="1"/>
  <c r="C494" i="1"/>
  <c r="B494" i="1"/>
  <c r="C493" i="1"/>
  <c r="B493" i="1"/>
  <c r="C492" i="1"/>
  <c r="B492" i="1"/>
  <c r="C491" i="1"/>
  <c r="B491" i="1"/>
  <c r="C490" i="1"/>
  <c r="B490" i="1"/>
  <c r="C489" i="1"/>
  <c r="B489" i="1"/>
  <c r="C488" i="1"/>
  <c r="B488" i="1"/>
  <c r="C487" i="1"/>
  <c r="B487" i="1"/>
  <c r="C486" i="1"/>
  <c r="B486" i="1"/>
  <c r="C485" i="1"/>
  <c r="B485" i="1"/>
  <c r="C484" i="1"/>
  <c r="B484" i="1"/>
  <c r="C483" i="1"/>
  <c r="B483" i="1"/>
  <c r="C482" i="1"/>
  <c r="B482" i="1"/>
  <c r="C481" i="1"/>
  <c r="B481" i="1"/>
  <c r="C480" i="1"/>
  <c r="B480" i="1"/>
  <c r="C479" i="1"/>
  <c r="B479" i="1"/>
  <c r="C478" i="1"/>
  <c r="B478" i="1"/>
  <c r="C477" i="1"/>
  <c r="B477" i="1"/>
  <c r="C476" i="1"/>
  <c r="B476" i="1"/>
  <c r="C475" i="1"/>
  <c r="B475" i="1"/>
  <c r="C474" i="1"/>
  <c r="B474" i="1"/>
  <c r="C473" i="1"/>
  <c r="B473" i="1"/>
  <c r="C472" i="1"/>
  <c r="B472" i="1"/>
  <c r="C471" i="1"/>
  <c r="B471" i="1"/>
  <c r="C470" i="1"/>
  <c r="B470" i="1"/>
  <c r="C469" i="1"/>
  <c r="B469" i="1"/>
  <c r="C468" i="1"/>
  <c r="B468" i="1"/>
  <c r="C467" i="1"/>
  <c r="B467" i="1"/>
  <c r="C466" i="1"/>
  <c r="B466" i="1"/>
  <c r="C465" i="1"/>
  <c r="B465" i="1"/>
  <c r="C464" i="1"/>
  <c r="B464" i="1"/>
  <c r="C463" i="1"/>
  <c r="B463" i="1"/>
  <c r="C462" i="1"/>
  <c r="B462" i="1"/>
  <c r="C461" i="1"/>
  <c r="B461" i="1"/>
  <c r="C460" i="1"/>
  <c r="B460" i="1"/>
  <c r="C459" i="1"/>
  <c r="B459" i="1"/>
  <c r="C458" i="1"/>
  <c r="B458" i="1"/>
  <c r="C457" i="1"/>
  <c r="B457" i="1"/>
  <c r="C456" i="1"/>
  <c r="B456" i="1"/>
  <c r="C455" i="1"/>
  <c r="B455" i="1"/>
  <c r="C454" i="1"/>
  <c r="B454" i="1"/>
  <c r="C453" i="1"/>
  <c r="B453" i="1"/>
  <c r="C452" i="1"/>
  <c r="B452" i="1"/>
  <c r="C451" i="1"/>
  <c r="B451" i="1"/>
  <c r="C450" i="1"/>
  <c r="B450" i="1"/>
  <c r="C449" i="1"/>
  <c r="B449" i="1"/>
  <c r="C448" i="1"/>
  <c r="B448" i="1"/>
  <c r="C447" i="1"/>
  <c r="B447" i="1"/>
  <c r="C446" i="1"/>
  <c r="B446" i="1"/>
  <c r="C445" i="1"/>
  <c r="B445" i="1"/>
  <c r="C444" i="1"/>
  <c r="B444" i="1"/>
  <c r="C443" i="1"/>
  <c r="B443" i="1"/>
  <c r="C442" i="1"/>
  <c r="B442" i="1"/>
  <c r="C441" i="1"/>
  <c r="B441" i="1"/>
  <c r="C440" i="1"/>
  <c r="B440" i="1"/>
  <c r="C439" i="1"/>
  <c r="B439" i="1"/>
  <c r="C438" i="1"/>
  <c r="B438" i="1"/>
  <c r="C437" i="1"/>
  <c r="B437" i="1"/>
  <c r="C436" i="1"/>
  <c r="B436" i="1"/>
  <c r="C435" i="1"/>
  <c r="B435" i="1"/>
  <c r="C434" i="1"/>
  <c r="B434" i="1"/>
  <c r="C433" i="1"/>
  <c r="B433" i="1"/>
  <c r="C432" i="1"/>
  <c r="B432" i="1"/>
  <c r="C431" i="1"/>
  <c r="B431" i="1"/>
  <c r="C430" i="1"/>
  <c r="B430" i="1"/>
  <c r="C429" i="1"/>
  <c r="B429" i="1"/>
  <c r="C428" i="1"/>
  <c r="B428" i="1"/>
  <c r="C427" i="1"/>
  <c r="B427" i="1"/>
  <c r="C426" i="1"/>
  <c r="B426" i="1"/>
  <c r="C425" i="1"/>
  <c r="B425" i="1"/>
  <c r="C424" i="1"/>
  <c r="B424" i="1"/>
  <c r="C423" i="1"/>
  <c r="B423" i="1"/>
  <c r="C422" i="1"/>
  <c r="B422" i="1"/>
  <c r="C421" i="1"/>
  <c r="B421" i="1"/>
  <c r="C420" i="1"/>
  <c r="B420" i="1"/>
  <c r="C419" i="1"/>
  <c r="B419" i="1"/>
  <c r="C418" i="1"/>
  <c r="B418" i="1"/>
  <c r="C417" i="1"/>
  <c r="B417" i="1"/>
  <c r="C416" i="1"/>
  <c r="B416" i="1"/>
  <c r="C415" i="1"/>
  <c r="B415" i="1"/>
  <c r="C414" i="1"/>
  <c r="B414" i="1"/>
  <c r="C413" i="1"/>
  <c r="B413" i="1"/>
  <c r="C412" i="1"/>
  <c r="B412" i="1"/>
  <c r="C411" i="1"/>
  <c r="B411" i="1"/>
  <c r="C410" i="1"/>
  <c r="B410" i="1"/>
  <c r="C409" i="1"/>
  <c r="B409" i="1"/>
  <c r="C408" i="1"/>
  <c r="B408" i="1"/>
  <c r="C407" i="1"/>
  <c r="B407" i="1"/>
  <c r="C406" i="1"/>
  <c r="B406" i="1"/>
  <c r="C405" i="1"/>
  <c r="B405" i="1"/>
  <c r="C404" i="1"/>
  <c r="B404" i="1"/>
  <c r="C403" i="1"/>
  <c r="B403" i="1"/>
  <c r="C402" i="1"/>
  <c r="B402" i="1"/>
  <c r="C401" i="1"/>
  <c r="B401" i="1"/>
  <c r="C400" i="1"/>
  <c r="B400" i="1"/>
  <c r="C399" i="1"/>
  <c r="B399" i="1"/>
  <c r="C398" i="1"/>
  <c r="B398" i="1"/>
  <c r="C397" i="1"/>
  <c r="B397" i="1"/>
  <c r="C396" i="1"/>
  <c r="B396" i="1"/>
  <c r="C395" i="1"/>
  <c r="B395" i="1"/>
  <c r="C394" i="1"/>
  <c r="B394" i="1"/>
  <c r="C393" i="1"/>
  <c r="B393" i="1"/>
  <c r="C392" i="1"/>
  <c r="B392" i="1"/>
  <c r="C391" i="1"/>
  <c r="B391" i="1"/>
  <c r="C390" i="1"/>
  <c r="B390" i="1"/>
  <c r="C389" i="1"/>
  <c r="B389" i="1"/>
  <c r="C388" i="1"/>
  <c r="B388" i="1"/>
  <c r="C387" i="1"/>
  <c r="B387" i="1"/>
  <c r="C386" i="1"/>
  <c r="B386" i="1"/>
  <c r="C385" i="1"/>
  <c r="B385" i="1"/>
  <c r="C384" i="1"/>
  <c r="B384" i="1"/>
  <c r="C383" i="1"/>
  <c r="B383" i="1"/>
  <c r="C382" i="1"/>
  <c r="B382" i="1"/>
  <c r="C381" i="1"/>
  <c r="B381" i="1"/>
  <c r="C380" i="1"/>
  <c r="B380" i="1"/>
  <c r="C379" i="1"/>
  <c r="B379" i="1"/>
  <c r="C378" i="1"/>
  <c r="B378" i="1"/>
  <c r="C377" i="1"/>
  <c r="B377" i="1"/>
  <c r="C376" i="1"/>
  <c r="B376" i="1"/>
  <c r="C375" i="1"/>
  <c r="B375" i="1"/>
  <c r="C374" i="1"/>
  <c r="B374" i="1"/>
  <c r="C373" i="1"/>
  <c r="B373" i="1"/>
  <c r="C372" i="1"/>
  <c r="B372" i="1"/>
  <c r="C371" i="1"/>
  <c r="B371" i="1"/>
  <c r="C370" i="1"/>
  <c r="B370" i="1"/>
  <c r="C369" i="1"/>
  <c r="B369" i="1"/>
  <c r="C368" i="1"/>
  <c r="B368" i="1"/>
  <c r="C367" i="1"/>
  <c r="B367" i="1"/>
  <c r="C366" i="1"/>
  <c r="B366" i="1"/>
  <c r="C365" i="1"/>
  <c r="B365" i="1"/>
  <c r="C364" i="1"/>
  <c r="B364" i="1"/>
  <c r="C363" i="1"/>
  <c r="B363" i="1"/>
  <c r="C362" i="1"/>
  <c r="B362" i="1"/>
  <c r="C361" i="1"/>
  <c r="B361" i="1"/>
  <c r="C360" i="1"/>
  <c r="B360" i="1"/>
  <c r="C359" i="1"/>
  <c r="B359" i="1"/>
  <c r="C358" i="1"/>
  <c r="B358" i="1"/>
  <c r="C357" i="1"/>
  <c r="B357" i="1"/>
  <c r="C356" i="1"/>
  <c r="B356" i="1"/>
  <c r="C355" i="1"/>
  <c r="B355" i="1"/>
  <c r="C354" i="1"/>
  <c r="B354" i="1"/>
  <c r="C353" i="1"/>
  <c r="B353" i="1"/>
  <c r="C352" i="1"/>
  <c r="B352" i="1"/>
  <c r="C351" i="1"/>
  <c r="B351" i="1"/>
  <c r="C350" i="1"/>
  <c r="B350" i="1"/>
  <c r="C349" i="1"/>
  <c r="B349" i="1"/>
  <c r="C348" i="1"/>
  <c r="B348" i="1"/>
  <c r="C347" i="1"/>
  <c r="B347" i="1"/>
  <c r="C346" i="1"/>
  <c r="B346" i="1"/>
  <c r="C345" i="1"/>
  <c r="B345" i="1"/>
  <c r="C344" i="1"/>
  <c r="B344" i="1"/>
  <c r="C343" i="1"/>
  <c r="B343" i="1"/>
  <c r="C342" i="1"/>
  <c r="B342" i="1"/>
  <c r="C341" i="1"/>
  <c r="B341" i="1"/>
  <c r="C340" i="1"/>
  <c r="B340" i="1"/>
  <c r="C339" i="1"/>
  <c r="B339" i="1"/>
  <c r="C338" i="1"/>
  <c r="B338" i="1"/>
  <c r="C337" i="1"/>
  <c r="B337" i="1"/>
  <c r="C336" i="1"/>
  <c r="B336" i="1"/>
  <c r="C335" i="1"/>
  <c r="B335" i="1"/>
  <c r="C334" i="1"/>
  <c r="B334" i="1"/>
  <c r="C333" i="1"/>
  <c r="B333" i="1"/>
  <c r="C332" i="1"/>
  <c r="B332" i="1"/>
  <c r="C331" i="1"/>
  <c r="B331" i="1"/>
  <c r="C330" i="1"/>
  <c r="B330" i="1"/>
  <c r="C329" i="1"/>
  <c r="B329" i="1"/>
  <c r="C328" i="1"/>
  <c r="B328" i="1"/>
  <c r="C327" i="1"/>
  <c r="B327" i="1"/>
  <c r="C326" i="1"/>
  <c r="B326" i="1"/>
  <c r="C325" i="1"/>
  <c r="B325" i="1"/>
  <c r="C324" i="1"/>
  <c r="B324" i="1"/>
  <c r="C323" i="1"/>
  <c r="B323" i="1"/>
  <c r="C322" i="1"/>
  <c r="B322" i="1"/>
  <c r="C321" i="1"/>
  <c r="B321" i="1"/>
  <c r="C320" i="1"/>
  <c r="B320" i="1"/>
  <c r="C319" i="1"/>
  <c r="B319" i="1"/>
  <c r="C318" i="1"/>
  <c r="B318" i="1"/>
  <c r="C317" i="1"/>
  <c r="B317" i="1"/>
  <c r="C316" i="1"/>
  <c r="B316" i="1"/>
  <c r="C315" i="1"/>
  <c r="B315" i="1"/>
  <c r="C314" i="1"/>
  <c r="B314" i="1"/>
  <c r="C313" i="1"/>
  <c r="B313" i="1"/>
  <c r="C312" i="1"/>
  <c r="B312" i="1"/>
  <c r="C311" i="1"/>
  <c r="B311" i="1"/>
  <c r="C310" i="1"/>
  <c r="B310" i="1"/>
  <c r="C309" i="1"/>
  <c r="B309" i="1"/>
  <c r="C308" i="1"/>
  <c r="B308" i="1"/>
  <c r="C307" i="1"/>
  <c r="B307" i="1"/>
  <c r="C306" i="1"/>
  <c r="B306" i="1"/>
  <c r="C305" i="1"/>
  <c r="B305" i="1"/>
  <c r="C304" i="1"/>
  <c r="B304" i="1"/>
  <c r="C303" i="1"/>
  <c r="B303" i="1"/>
  <c r="C302" i="1"/>
  <c r="B302" i="1"/>
  <c r="C301" i="1"/>
  <c r="B301" i="1"/>
  <c r="C300" i="1"/>
  <c r="B300" i="1"/>
  <c r="C299" i="1"/>
  <c r="B299" i="1"/>
  <c r="C298" i="1"/>
  <c r="B298" i="1"/>
  <c r="C297" i="1"/>
  <c r="B297" i="1"/>
  <c r="C296" i="1"/>
  <c r="B296" i="1"/>
  <c r="C295" i="1"/>
  <c r="B295" i="1"/>
  <c r="C294" i="1"/>
  <c r="B294" i="1"/>
  <c r="C293" i="1"/>
  <c r="B293" i="1"/>
  <c r="C292" i="1"/>
  <c r="B292" i="1"/>
  <c r="C291" i="1"/>
  <c r="B291" i="1"/>
  <c r="C290" i="1"/>
  <c r="B290" i="1"/>
  <c r="C289" i="1"/>
  <c r="B289" i="1"/>
  <c r="C288" i="1"/>
  <c r="B288" i="1"/>
  <c r="C287" i="1"/>
  <c r="B287" i="1"/>
  <c r="C286" i="1"/>
  <c r="B286" i="1"/>
  <c r="C285" i="1"/>
  <c r="B285" i="1"/>
  <c r="C284" i="1"/>
  <c r="B284" i="1"/>
  <c r="C283" i="1"/>
  <c r="B283" i="1"/>
  <c r="C282" i="1"/>
  <c r="B282" i="1"/>
  <c r="C281" i="1"/>
  <c r="B281" i="1"/>
  <c r="C280" i="1"/>
  <c r="B280" i="1"/>
  <c r="C279" i="1"/>
  <c r="B279" i="1"/>
  <c r="C278" i="1"/>
  <c r="B278" i="1"/>
  <c r="C277" i="1"/>
  <c r="B277" i="1"/>
  <c r="C276" i="1"/>
  <c r="B276" i="1"/>
  <c r="C275" i="1"/>
  <c r="B275" i="1"/>
  <c r="C274" i="1"/>
  <c r="B274" i="1"/>
  <c r="C273" i="1"/>
  <c r="B273" i="1"/>
  <c r="C272" i="1"/>
  <c r="B272" i="1"/>
  <c r="C271" i="1"/>
  <c r="B271" i="1"/>
  <c r="C270" i="1"/>
  <c r="B270" i="1"/>
  <c r="C269" i="1"/>
  <c r="B269" i="1"/>
  <c r="C268" i="1"/>
  <c r="B268" i="1"/>
  <c r="C267" i="1"/>
  <c r="B267" i="1"/>
  <c r="C266" i="1"/>
  <c r="B266" i="1"/>
  <c r="C265" i="1"/>
  <c r="B265" i="1"/>
  <c r="C264" i="1"/>
  <c r="B264" i="1"/>
  <c r="C263" i="1"/>
  <c r="B263" i="1"/>
  <c r="C262" i="1"/>
  <c r="B262" i="1"/>
  <c r="C261" i="1"/>
  <c r="B261" i="1"/>
  <c r="C260" i="1"/>
  <c r="B260" i="1"/>
  <c r="C259" i="1"/>
  <c r="B259" i="1"/>
  <c r="C258" i="1"/>
  <c r="B258" i="1"/>
  <c r="C257" i="1"/>
  <c r="B257" i="1"/>
  <c r="C256" i="1"/>
  <c r="B256" i="1"/>
  <c r="C255" i="1"/>
  <c r="B255" i="1"/>
  <c r="C254" i="1"/>
  <c r="B254" i="1"/>
  <c r="C253" i="1"/>
  <c r="B253" i="1"/>
  <c r="C252" i="1"/>
  <c r="B252" i="1"/>
  <c r="C251" i="1"/>
  <c r="B251" i="1"/>
  <c r="C250" i="1"/>
  <c r="B250" i="1"/>
  <c r="C249" i="1"/>
  <c r="B249" i="1"/>
  <c r="C248" i="1"/>
  <c r="B248" i="1"/>
  <c r="C247" i="1"/>
  <c r="B247" i="1"/>
  <c r="C246" i="1"/>
  <c r="B246" i="1"/>
  <c r="C245" i="1"/>
  <c r="B245" i="1"/>
  <c r="C244" i="1"/>
  <c r="B244" i="1"/>
  <c r="C243" i="1"/>
  <c r="B243" i="1"/>
  <c r="C242" i="1"/>
  <c r="B242" i="1"/>
  <c r="C241" i="1"/>
  <c r="B241" i="1"/>
  <c r="C240" i="1"/>
  <c r="B240" i="1"/>
  <c r="C239" i="1"/>
  <c r="B239" i="1"/>
  <c r="C238" i="1"/>
  <c r="B238" i="1"/>
  <c r="C237" i="1"/>
  <c r="B237" i="1"/>
  <c r="C236" i="1"/>
  <c r="B236" i="1"/>
  <c r="C235" i="1"/>
  <c r="B235" i="1"/>
  <c r="C234" i="1"/>
  <c r="B234" i="1"/>
  <c r="C233" i="1"/>
  <c r="B233" i="1"/>
  <c r="C232" i="1"/>
  <c r="B232" i="1"/>
  <c r="C231" i="1"/>
  <c r="B231" i="1"/>
  <c r="C230" i="1"/>
  <c r="B230" i="1"/>
  <c r="C229" i="1"/>
  <c r="B229" i="1"/>
  <c r="C228" i="1"/>
  <c r="B228" i="1"/>
  <c r="C227" i="1"/>
  <c r="B227" i="1"/>
  <c r="C226" i="1"/>
  <c r="B226" i="1"/>
  <c r="C225" i="1"/>
  <c r="B225" i="1"/>
  <c r="C224" i="1"/>
  <c r="B224" i="1"/>
  <c r="C223" i="1"/>
  <c r="B223" i="1"/>
  <c r="C222" i="1"/>
  <c r="B222" i="1"/>
  <c r="C221" i="1"/>
  <c r="B221" i="1"/>
  <c r="C220" i="1"/>
  <c r="B220" i="1"/>
  <c r="C219" i="1"/>
  <c r="B219" i="1"/>
  <c r="C218" i="1"/>
  <c r="B218" i="1"/>
  <c r="C217" i="1"/>
  <c r="B217" i="1"/>
  <c r="C216" i="1"/>
  <c r="B216" i="1"/>
  <c r="C215" i="1"/>
  <c r="B215" i="1"/>
  <c r="C214" i="1"/>
  <c r="B214" i="1"/>
  <c r="C213" i="1"/>
  <c r="B213" i="1"/>
  <c r="C212" i="1"/>
  <c r="B212" i="1"/>
  <c r="C211" i="1"/>
  <c r="B211" i="1"/>
  <c r="C210" i="1"/>
  <c r="B210" i="1"/>
  <c r="C209" i="1"/>
  <c r="B209" i="1"/>
  <c r="C208" i="1"/>
  <c r="B208" i="1"/>
  <c r="C207" i="1"/>
  <c r="B207" i="1"/>
  <c r="C206" i="1"/>
  <c r="B206" i="1"/>
  <c r="C205" i="1"/>
  <c r="B205" i="1"/>
  <c r="C204" i="1"/>
  <c r="B204" i="1"/>
  <c r="C203" i="1"/>
  <c r="B203" i="1"/>
  <c r="C202" i="1"/>
  <c r="B202" i="1"/>
  <c r="C201" i="1"/>
  <c r="B201" i="1"/>
  <c r="C200" i="1"/>
  <c r="B200" i="1"/>
  <c r="C199" i="1"/>
  <c r="B199" i="1"/>
  <c r="C198" i="1"/>
  <c r="B198" i="1"/>
  <c r="C197" i="1"/>
  <c r="B197" i="1"/>
  <c r="C196" i="1"/>
  <c r="B196" i="1"/>
  <c r="C195" i="1"/>
  <c r="B195" i="1"/>
  <c r="C194" i="1"/>
  <c r="B194" i="1"/>
  <c r="C193" i="1"/>
  <c r="B193" i="1"/>
  <c r="C192" i="1"/>
  <c r="B192" i="1"/>
  <c r="C191" i="1"/>
  <c r="B191" i="1"/>
  <c r="C190" i="1"/>
  <c r="B190" i="1"/>
  <c r="C189" i="1"/>
  <c r="B189" i="1"/>
  <c r="C188" i="1"/>
  <c r="B188" i="1"/>
  <c r="C187" i="1"/>
  <c r="B187" i="1"/>
  <c r="C186" i="1"/>
  <c r="B186" i="1"/>
  <c r="C185" i="1"/>
  <c r="B185" i="1"/>
  <c r="C184" i="1"/>
  <c r="B184" i="1"/>
  <c r="C183" i="1"/>
  <c r="B183" i="1"/>
  <c r="C182" i="1"/>
  <c r="B182" i="1"/>
  <c r="C181" i="1"/>
  <c r="B181" i="1"/>
  <c r="C180" i="1"/>
  <c r="B180" i="1"/>
  <c r="C179" i="1"/>
  <c r="B179" i="1"/>
  <c r="C178" i="1"/>
  <c r="B178" i="1"/>
  <c r="C177" i="1"/>
  <c r="B177" i="1"/>
  <c r="C176" i="1"/>
  <c r="B176" i="1"/>
  <c r="C175" i="1"/>
  <c r="B175" i="1"/>
  <c r="C174" i="1"/>
  <c r="B174" i="1"/>
  <c r="C173" i="1"/>
  <c r="B173" i="1"/>
  <c r="C172" i="1"/>
  <c r="B172" i="1"/>
  <c r="C171" i="1"/>
  <c r="B171" i="1"/>
  <c r="C170" i="1"/>
  <c r="B170" i="1"/>
  <c r="C169" i="1"/>
  <c r="B169" i="1"/>
  <c r="C168" i="1"/>
  <c r="B168" i="1"/>
  <c r="C167" i="1"/>
  <c r="B167" i="1"/>
  <c r="C166" i="1"/>
  <c r="B166" i="1"/>
  <c r="C165" i="1"/>
  <c r="B165" i="1"/>
  <c r="C164" i="1"/>
  <c r="B164" i="1"/>
  <c r="C163" i="1"/>
  <c r="B163" i="1"/>
  <c r="C162" i="1"/>
  <c r="B162" i="1"/>
  <c r="C161" i="1"/>
  <c r="B161" i="1"/>
  <c r="C160" i="1"/>
  <c r="B160" i="1"/>
  <c r="C159" i="1"/>
  <c r="B159" i="1"/>
  <c r="C158" i="1"/>
  <c r="B158" i="1"/>
  <c r="C157" i="1"/>
  <c r="B157" i="1"/>
  <c r="C156" i="1"/>
  <c r="B156" i="1"/>
  <c r="C155" i="1"/>
  <c r="B155" i="1"/>
  <c r="C154" i="1"/>
  <c r="B154" i="1"/>
  <c r="C153" i="1"/>
  <c r="B153" i="1"/>
  <c r="C152" i="1"/>
  <c r="B152" i="1"/>
  <c r="C151" i="1"/>
  <c r="B151" i="1"/>
  <c r="C150" i="1"/>
  <c r="B150" i="1"/>
  <c r="C149" i="1"/>
  <c r="B149" i="1"/>
  <c r="C148" i="1"/>
  <c r="B148" i="1"/>
  <c r="C147" i="1"/>
  <c r="B147" i="1"/>
  <c r="C146" i="1"/>
  <c r="B146" i="1"/>
  <c r="C145" i="1"/>
  <c r="B145" i="1"/>
  <c r="C144" i="1"/>
  <c r="B144" i="1"/>
  <c r="C143" i="1"/>
  <c r="B143" i="1"/>
  <c r="C142" i="1"/>
  <c r="B142" i="1"/>
  <c r="C141" i="1"/>
  <c r="B141" i="1"/>
  <c r="C140" i="1"/>
  <c r="B140" i="1"/>
  <c r="C139" i="1"/>
  <c r="B139" i="1"/>
  <c r="C138" i="1"/>
  <c r="B138" i="1"/>
  <c r="C137" i="1"/>
  <c r="B137" i="1"/>
  <c r="C136" i="1"/>
  <c r="B136" i="1"/>
  <c r="C135" i="1"/>
  <c r="B135" i="1"/>
  <c r="C134" i="1"/>
  <c r="B134" i="1"/>
  <c r="C133" i="1"/>
  <c r="B133" i="1"/>
  <c r="C132" i="1"/>
  <c r="B132" i="1"/>
  <c r="C131" i="1"/>
  <c r="B131" i="1"/>
  <c r="C130" i="1"/>
  <c r="B130" i="1"/>
  <c r="C129" i="1"/>
  <c r="B129" i="1"/>
  <c r="C128" i="1"/>
  <c r="B128" i="1"/>
  <c r="C127" i="1"/>
  <c r="B127" i="1"/>
  <c r="C126" i="1"/>
  <c r="B126" i="1"/>
  <c r="C125" i="1"/>
  <c r="B125" i="1"/>
  <c r="C124" i="1"/>
  <c r="B124" i="1"/>
  <c r="C123" i="1"/>
  <c r="B123" i="1"/>
  <c r="C122" i="1"/>
  <c r="B122" i="1"/>
  <c r="C121" i="1"/>
  <c r="B121" i="1"/>
  <c r="C120" i="1"/>
  <c r="B120" i="1"/>
  <c r="C119" i="1"/>
  <c r="B119" i="1"/>
  <c r="C118" i="1"/>
  <c r="B118" i="1"/>
  <c r="C117" i="1"/>
  <c r="B117" i="1"/>
  <c r="C116" i="1"/>
  <c r="B116" i="1"/>
  <c r="C115" i="1"/>
  <c r="B115" i="1"/>
  <c r="C114" i="1"/>
  <c r="B114" i="1"/>
  <c r="C113" i="1"/>
  <c r="B113" i="1"/>
  <c r="C112" i="1"/>
  <c r="B112" i="1"/>
  <c r="C111" i="1"/>
  <c r="B111" i="1"/>
  <c r="C110" i="1"/>
  <c r="B110" i="1"/>
  <c r="C109" i="1"/>
  <c r="B109" i="1"/>
  <c r="C108" i="1"/>
  <c r="B108" i="1"/>
  <c r="C107" i="1"/>
  <c r="B107" i="1"/>
  <c r="C106" i="1"/>
  <c r="B106" i="1"/>
  <c r="C105" i="1"/>
  <c r="B105" i="1"/>
  <c r="C104" i="1"/>
  <c r="B104" i="1"/>
  <c r="C103" i="1"/>
  <c r="B103" i="1"/>
  <c r="C102" i="1"/>
  <c r="B102" i="1"/>
  <c r="C101" i="1"/>
  <c r="B101" i="1"/>
  <c r="C100" i="1"/>
  <c r="B100" i="1"/>
  <c r="C99" i="1"/>
  <c r="B99" i="1"/>
  <c r="C98" i="1"/>
  <c r="B98" i="1"/>
  <c r="C97" i="1"/>
  <c r="B97" i="1"/>
  <c r="C96" i="1"/>
  <c r="B96" i="1"/>
  <c r="C95" i="1"/>
  <c r="B95" i="1"/>
  <c r="C94" i="1"/>
  <c r="B94" i="1"/>
  <c r="C93" i="1"/>
  <c r="B93" i="1"/>
  <c r="C92" i="1"/>
  <c r="B92" i="1"/>
  <c r="C91" i="1"/>
  <c r="B91" i="1"/>
  <c r="C90" i="1"/>
  <c r="B90" i="1"/>
  <c r="C89" i="1"/>
  <c r="B89" i="1"/>
  <c r="C88" i="1"/>
  <c r="B88" i="1"/>
  <c r="C87" i="1"/>
  <c r="B87" i="1"/>
  <c r="C86" i="1"/>
  <c r="B86" i="1"/>
  <c r="C85" i="1"/>
  <c r="B85" i="1"/>
  <c r="C84" i="1"/>
  <c r="B84" i="1"/>
  <c r="C83" i="1"/>
  <c r="B83" i="1"/>
  <c r="C82" i="1"/>
  <c r="B82" i="1"/>
  <c r="C81" i="1"/>
  <c r="B81" i="1"/>
  <c r="C80" i="1"/>
  <c r="B80" i="1"/>
  <c r="C79" i="1"/>
  <c r="B79" i="1"/>
  <c r="C78" i="1"/>
  <c r="B78" i="1"/>
  <c r="C77" i="1"/>
  <c r="B77" i="1"/>
  <c r="C76" i="1"/>
  <c r="B76" i="1"/>
  <c r="C75" i="1"/>
  <c r="B75" i="1"/>
  <c r="C74" i="1"/>
  <c r="B74" i="1"/>
  <c r="C73" i="1"/>
  <c r="B73" i="1"/>
  <c r="C72" i="1"/>
  <c r="B72" i="1"/>
  <c r="C71" i="1"/>
  <c r="B71" i="1"/>
  <c r="C70" i="1"/>
  <c r="B70" i="1"/>
  <c r="C69" i="1"/>
  <c r="B69" i="1"/>
  <c r="C68" i="1"/>
  <c r="B68" i="1"/>
  <c r="C67" i="1"/>
  <c r="B67" i="1"/>
  <c r="C66" i="1"/>
  <c r="B66" i="1"/>
  <c r="C65" i="1"/>
  <c r="B65" i="1"/>
  <c r="C64" i="1"/>
  <c r="B64" i="1"/>
  <c r="C63" i="1"/>
  <c r="B63" i="1"/>
  <c r="C62" i="1"/>
  <c r="B62" i="1"/>
  <c r="C61" i="1"/>
  <c r="B61" i="1"/>
  <c r="C60" i="1"/>
  <c r="B60" i="1"/>
  <c r="C59" i="1"/>
  <c r="B59" i="1"/>
  <c r="C58" i="1"/>
  <c r="B58" i="1"/>
  <c r="C57" i="1"/>
  <c r="B57" i="1"/>
  <c r="C56" i="1"/>
  <c r="B56" i="1"/>
  <c r="C55" i="1"/>
  <c r="B55" i="1"/>
  <c r="C54" i="1"/>
  <c r="B54" i="1"/>
  <c r="C53" i="1"/>
  <c r="B53" i="1"/>
  <c r="C52" i="1"/>
  <c r="B52" i="1"/>
  <c r="C51" i="1"/>
  <c r="B51" i="1"/>
  <c r="C50" i="1"/>
  <c r="B50" i="1"/>
  <c r="C49" i="1"/>
  <c r="B49" i="1"/>
  <c r="C48" i="1"/>
  <c r="B48" i="1"/>
  <c r="C47" i="1"/>
  <c r="B47" i="1"/>
  <c r="C46" i="1"/>
  <c r="B46" i="1"/>
  <c r="C45" i="1"/>
  <c r="B45" i="1"/>
  <c r="C44" i="1"/>
  <c r="B44" i="1"/>
  <c r="C43" i="1"/>
  <c r="B43" i="1"/>
  <c r="C42" i="1"/>
  <c r="B42" i="1"/>
  <c r="C41" i="1"/>
  <c r="B41" i="1"/>
  <c r="C40" i="1"/>
  <c r="B40" i="1"/>
  <c r="C39" i="1"/>
  <c r="B39" i="1"/>
  <c r="C38" i="1"/>
  <c r="B38" i="1"/>
  <c r="C37" i="1"/>
  <c r="B37" i="1"/>
  <c r="C36" i="1"/>
  <c r="B36" i="1"/>
  <c r="C35" i="1"/>
  <c r="B35" i="1"/>
  <c r="C34" i="1"/>
  <c r="B34" i="1"/>
  <c r="C33" i="1"/>
  <c r="B33" i="1"/>
  <c r="C32" i="1"/>
  <c r="B32" i="1"/>
  <c r="C31" i="1"/>
  <c r="B31" i="1"/>
  <c r="C30" i="1"/>
  <c r="B30" i="1"/>
  <c r="C29" i="1"/>
  <c r="B29" i="1"/>
  <c r="C28" i="1"/>
  <c r="B28" i="1"/>
  <c r="C27" i="1"/>
  <c r="B27" i="1"/>
  <c r="C26" i="1"/>
  <c r="B26" i="1"/>
  <c r="C25" i="1"/>
  <c r="B25" i="1"/>
  <c r="C24" i="1"/>
  <c r="B24" i="1"/>
  <c r="C23" i="1"/>
  <c r="B23" i="1"/>
  <c r="C22" i="1"/>
  <c r="B22" i="1"/>
  <c r="C21" i="1"/>
  <c r="B21" i="1"/>
  <c r="C20" i="1"/>
  <c r="B20" i="1"/>
  <c r="C19" i="1"/>
  <c r="B19" i="1"/>
  <c r="C18" i="1"/>
  <c r="B18" i="1"/>
  <c r="C17" i="1"/>
  <c r="B17" i="1"/>
  <c r="C16" i="1"/>
  <c r="B16" i="1"/>
  <c r="C15" i="1"/>
  <c r="B15" i="1"/>
  <c r="C14" i="1"/>
  <c r="B14" i="1"/>
  <c r="H13" i="1"/>
  <c r="C13" i="1"/>
  <c r="B13" i="1"/>
  <c r="H12" i="1"/>
  <c r="C12" i="1"/>
  <c r="B12" i="1"/>
  <c r="H11" i="1"/>
  <c r="C11" i="1"/>
  <c r="B11" i="1"/>
  <c r="H10" i="1"/>
  <c r="C10" i="1"/>
  <c r="B10" i="1"/>
  <c r="H9" i="1"/>
  <c r="C9" i="1"/>
  <c r="B9" i="1"/>
  <c r="H8" i="1"/>
  <c r="F8" i="1"/>
  <c r="C8" i="1"/>
  <c r="B8" i="1"/>
  <c r="H7" i="1"/>
  <c r="F7" i="1"/>
  <c r="C7" i="1"/>
  <c r="B7" i="1"/>
  <c r="H6" i="1"/>
  <c r="F6" i="1"/>
  <c r="C6" i="1"/>
  <c r="B6" i="1"/>
  <c r="H5" i="1"/>
  <c r="F5" i="1"/>
  <c r="C5" i="1"/>
  <c r="B5" i="1"/>
  <c r="H4" i="1"/>
  <c r="F4" i="1"/>
  <c r="C4" i="1"/>
  <c r="B4" i="1"/>
  <c r="H3" i="1"/>
  <c r="F3" i="1"/>
  <c r="C3" i="1"/>
  <c r="B3" i="1"/>
  <c r="H2" i="1"/>
  <c r="F2" i="1"/>
  <c r="C2" i="1"/>
  <c r="B2" i="1"/>
</calcChain>
</file>

<file path=xl/sharedStrings.xml><?xml version="1.0" encoding="utf-8"?>
<sst xmlns="http://schemas.openxmlformats.org/spreadsheetml/2006/main" count="9924" uniqueCount="2177">
  <si>
    <t>Кабинет</t>
  </si>
  <si>
    <t>Код</t>
  </si>
  <si>
    <t>Категория</t>
  </si>
  <si>
    <t>Наименование</t>
  </si>
  <si>
    <t>Площадь</t>
  </si>
  <si>
    <t>Ед.изм.</t>
  </si>
  <si>
    <t>Кол-во</t>
  </si>
  <si>
    <t>Описание</t>
  </si>
  <si>
    <t>Цена</t>
  </si>
  <si>
    <t>Сумма</t>
  </si>
  <si>
    <t>Цокольный этаж</t>
  </si>
  <si>
    <t xml:space="preserve">Коридор </t>
  </si>
  <si>
    <t>Простейшее укрытие на 700 чел.</t>
  </si>
  <si>
    <t>Кабинет заведующего</t>
  </si>
  <si>
    <t>Рояль (170 см)</t>
  </si>
  <si>
    <t>Компьютер с нотными редакторами (MuseScore, Sibelius)</t>
  </si>
  <si>
    <t>Электронное пианино с MIDI-выходом (для демонстрации в наушниках).</t>
  </si>
  <si>
    <t>Наглядные пособия по сольфеджио и теории музыки</t>
  </si>
  <si>
    <t>Доска настенная с разлинованными нотными станами</t>
  </si>
  <si>
    <t>Мебель</t>
  </si>
  <si>
    <t>Стол преподавателя с приставкой для компьютера</t>
  </si>
  <si>
    <t>Кресло офисное</t>
  </si>
  <si>
    <t>Шкаф (встроенный) для хранения нотного материала и документов отделения с механизмом запирания ключом</t>
  </si>
  <si>
    <t>Шкаф (встроенный) для верхней одежды</t>
  </si>
  <si>
    <t>Настенное зеркало 50х50 см</t>
  </si>
  <si>
    <t>Конференц-стол для совещаний</t>
  </si>
  <si>
    <t>стулья</t>
  </si>
  <si>
    <t>Компьютерная техника и устройства</t>
  </si>
  <si>
    <t xml:space="preserve">Моноблок </t>
  </si>
  <si>
    <t xml:space="preserve">Microsoft Windows 11Pro </t>
  </si>
  <si>
    <t>Microsoft Office</t>
  </si>
  <si>
    <t>Источник бесперебойного питания</t>
  </si>
  <si>
    <t>МФУ</t>
  </si>
  <si>
    <t>Кабель USB</t>
  </si>
  <si>
    <t>Сетевой фильтр 5 м.</t>
  </si>
  <si>
    <t>Гарнитура</t>
  </si>
  <si>
    <t>Интерактивная панель 75 дюймов</t>
  </si>
  <si>
    <t>Жалюзи или шторы на окна</t>
  </si>
  <si>
    <t>Сейф</t>
  </si>
  <si>
    <t>кулер для воды</t>
  </si>
  <si>
    <t xml:space="preserve">Бухгалетрия </t>
  </si>
  <si>
    <t>Уничтожитель документов</t>
  </si>
  <si>
    <t>Шкаф для документов</t>
  </si>
  <si>
    <t>Шкаф для одежды</t>
  </si>
  <si>
    <t>Сейф несгораемый</t>
  </si>
  <si>
    <t xml:space="preserve">Доп </t>
  </si>
  <si>
    <t>Часы настенные</t>
  </si>
  <si>
    <t>Корзина для мусора (пластиковая)</t>
  </si>
  <si>
    <t xml:space="preserve">Зам.дир по воспит. работе </t>
  </si>
  <si>
    <t>МФУ цветной</t>
  </si>
  <si>
    <t>Стол руководителя с приставной тумбой</t>
  </si>
  <si>
    <t>Кресло руководителя</t>
  </si>
  <si>
    <t>Диван руководителя</t>
  </si>
  <si>
    <t>Стул полумягкий</t>
  </si>
  <si>
    <t>Зам.дир по учеб. работе</t>
  </si>
  <si>
    <t>кабинет Арт-менеджера + телестудия</t>
  </si>
  <si>
    <t xml:space="preserve">Кабинет школьного парламента </t>
  </si>
  <si>
    <t>Мобильная стойка</t>
  </si>
  <si>
    <t>Доска маркерная/меловая поворотная</t>
  </si>
  <si>
    <t>Набор/комплект для магнитно-маркерной доски</t>
  </si>
  <si>
    <t xml:space="preserve">Кабинет завхоза </t>
  </si>
  <si>
    <t>Ноутбук</t>
  </si>
  <si>
    <t>Корзина для мусора (сетчатая)</t>
  </si>
  <si>
    <t>Дополнительные товары</t>
  </si>
  <si>
    <t>Лестница-стремянка</t>
  </si>
  <si>
    <t>Фонарь</t>
  </si>
  <si>
    <t>Склад ТМЦ</t>
  </si>
  <si>
    <t>Стеллаж металлический МС-Т, 2500x1820x750</t>
  </si>
  <si>
    <t xml:space="preserve">Склад для хранения </t>
  </si>
  <si>
    <t xml:space="preserve">Инвентарная для плотника </t>
  </si>
  <si>
    <t>Инвентарная</t>
  </si>
  <si>
    <t xml:space="preserve">Инвентарная для сантехника </t>
  </si>
  <si>
    <t>Инвентарная для ЭЛ</t>
  </si>
  <si>
    <t xml:space="preserve">Хранения ламп </t>
  </si>
  <si>
    <t>Архив</t>
  </si>
  <si>
    <t xml:space="preserve">Комната тех персонала </t>
  </si>
  <si>
    <t xml:space="preserve">Диван </t>
  </si>
  <si>
    <t>Мастерская для народных инструментов</t>
  </si>
  <si>
    <t>Верстак слесарно-столярный</t>
  </si>
  <si>
    <t xml:space="preserve">Шлифовальный станок </t>
  </si>
  <si>
    <t>Микроскоп (для голосовых клиньев фортепиано, тростей гобоя)</t>
  </si>
  <si>
    <t xml:space="preserve">Тиски </t>
  </si>
  <si>
    <t>Расходники (струны, трости, кожа, клей, шеллак, пружины).</t>
  </si>
  <si>
    <t>Струны для фортепиано (комплект медных и стальных).</t>
  </si>
  <si>
    <t>Молотки для ремонта механики.</t>
  </si>
  <si>
    <t xml:space="preserve">Мастерская для фортепиано </t>
  </si>
  <si>
    <t>Токарно-винторезный станок (настольный) Точение осей, штифтов, втулок, капроновых деталей</t>
  </si>
  <si>
    <t>Фрезерный станок (настольный) Выборка гнезд под механику, изготовление сложных деревянных деталей фигур</t>
  </si>
  <si>
    <t>Сверлильный станок (настольный) Аккуратное сверление отверстий в клавишах, рамах, древесине</t>
  </si>
  <si>
    <t>Ленточно-шлифовальный станок (Гриндер) Заточка инструмента (стамесок, ножей), шлифовка молоточков, сушка клея</t>
  </si>
  <si>
    <t>Электрозаточный станок (Точило) Правка и заточка фуганков, стамесок, зензубелей</t>
  </si>
  <si>
    <t>Фуговально-рейсмусовый станок Выравнивание и строгание заготовок для ремонта корпуса (клавиатурных рамов, стоек)</t>
  </si>
  <si>
    <t>Вытяжка (Пылесос для мастерской) + Фильтр Удаление древесной и войлочной пыли (обязательно для здоровья мастера)</t>
  </si>
  <si>
    <t>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t>
  </si>
  <si>
    <t>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t>
  </si>
  <si>
    <t>Фортепианные отвертки Специальные длинные тонкие отвертки (прямые и изогнутые) для шультеров и фигур механики</t>
  </si>
  <si>
    <t>Настройка (пиноль) Ключ воронкообразный (квалифицированный) для настройки пианино и роялей</t>
  </si>
  <si>
    <t>Ударно-слесарный Молотки (тяжелый и легкий), Набор зубил/крейцмейселей, Надфили (разной зернистости), Плоскогубцы (прямые и узкие)</t>
  </si>
  <si>
    <t>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t>
  </si>
  <si>
    <t>Измерительные Микрометр (0-25 мм), Индикатор часового типа, Набор щупов (1-го размера — 2 мм и т.д.), Линейка металлическая 300 мм</t>
  </si>
  <si>
    <t xml:space="preserve">Склад хранения муз. инструментов </t>
  </si>
  <si>
    <t xml:space="preserve">Комната для хранения инструментов </t>
  </si>
  <si>
    <t>Мастерская для духовых инстр.</t>
  </si>
  <si>
    <t>I. Станочное оборудование (основа мастерской)</t>
  </si>
  <si>
    <t>Фрезерный станок (настольный) Изготовление сложных деталей механики (коромысла, рычаги)</t>
  </si>
  <si>
    <t>Сверлильный станок (настольный) Сверление отверстий под штифты, оси в деталях механизма</t>
  </si>
  <si>
    <t>Ленточно-шлифовальный станок Шлифовка деталей, зачистка заусенцев, обработка деревянных частей</t>
  </si>
  <si>
    <t>Точило (электрозаточный станок) Заточка резцов, надфилей, специального инструмента</t>
  </si>
  <si>
    <t>Печь муфельная (малая) Для обжига деталей перед пайкой, термообработки пружин</t>
  </si>
  <si>
    <t>Вытяжка (вентиляция) над верстаком Удаление паров свинца, флюсов, припоев — обязательно по ТБ</t>
  </si>
  <si>
    <t>Набор дорнов (оправок) — стальные конусы и цилиндры разного диаметра Для выправки вмятин изнутри трубы</t>
  </si>
  <si>
    <t>Набор шаров (стальные, латунные) разного диаметра Прокатывание внутри трубы для выравнивания</t>
  </si>
  <si>
    <t>Рифленые ролики (специальные, могут изготавливаться мастером) Для выкатывания вмятин на прямых участках</t>
  </si>
  <si>
    <t>Серповидные гладилки (разной кривизны) Для выправки вмятин в труднодоступных местах</t>
  </si>
  <si>
    <t>Магниты (неодимовые) на ручке Для вытягивания вмятин изнутри без разбора</t>
  </si>
  <si>
    <t>Киянка (медная или резиновая) Для правки без повреждения металла</t>
  </si>
  <si>
    <t>Молоток рихтовочный (с разными бойками) Для тонкой правки</t>
  </si>
  <si>
    <t>Паяльник массивный (медный, на 200-300 Вт) Для пайки крупных деталей, швов</t>
  </si>
  <si>
    <t>Паяльная лампа (газовая, с тонким жалом) Для локальной пайки, кронов</t>
  </si>
  <si>
    <t>Горелка газовая (с баллончиком) Для прогрева перед пайкой</t>
  </si>
  <si>
    <t>Флюсы (канифоль, паяльная кислота, бура) Очистка и подготовка металла</t>
  </si>
  <si>
    <t>Припои (оловянно-свинцовые, серебряные) Для разных типов соединений</t>
  </si>
  <si>
    <t>Термостойкий шнур (асбестовый) Для защиты соседних спаек от перегрева</t>
  </si>
  <si>
    <t>Кислота паяльная (ортофосфорная) Для лужения латуни</t>
  </si>
  <si>
    <t>флакон</t>
  </si>
  <si>
    <t>Набор миниатюрных надфилей (алмазных и простых) Обработка отверстий, пазов в клапанах</t>
  </si>
  <si>
    <t>Плоскогубцы (прямые, узкие, изогнутые) Для гибки тяг, установки пружин</t>
  </si>
  <si>
    <t>Круглогубцы (маленькие) Для формирования петель, колец</t>
  </si>
  <si>
    <t>Кусачки (бокорезы) маленькие Обрезка проволоки, осей</t>
  </si>
  <si>
    <t>Набор мини-отверток (часовых) Для регулировки винтов механики</t>
  </si>
  <si>
    <t>Набор пинцетов (прямых, изогнутых) Установка маленьких деталей, подушек</t>
  </si>
  <si>
    <t>Микро-тиски (настольные) Для фиксации мелких деталей</t>
  </si>
  <si>
    <t>Набор метчиков и плашек (миниатюрных, М1.5 — М4) Для нарезания резьбы под штифты, винты</t>
  </si>
  <si>
    <t>Дрель ручная (коловорот) малая Для сверления в неудобных местах</t>
  </si>
  <si>
    <t>Сверла по металлу (миниатюрные, 0.5-4 мм) Для механики</t>
  </si>
  <si>
    <t>Штангенциркуль</t>
  </si>
  <si>
    <t>Микрометр (0-25 мм)</t>
  </si>
  <si>
    <t>Набор щупов</t>
  </si>
  <si>
    <t>Линейка металлическая (150 мм, 300 мм)</t>
  </si>
  <si>
    <t>Угольник слесарный</t>
  </si>
  <si>
    <t>Набор шарошек и разверток Для расточки и калибровки отверстий в дереве</t>
  </si>
  <si>
    <t>Набор тростерезных ножей (разных профилей) Для изготовления и правки тростей (гобой, фагот)</t>
  </si>
  <si>
    <t>Плита для правки тростей (стеклянная или гранитная) Плоскость для доводки тростей</t>
  </si>
  <si>
    <t>Доска для резки тростя Для нарезки заготовок</t>
  </si>
  <si>
    <t>Набор тонких сверл по дереву (1-5 мм) Для ремонта голосовых отверстий</t>
  </si>
  <si>
    <t>Струбцины (маленькие, деревянные или с мягкими губками) Для склейки треснувших корпусов</t>
  </si>
  <si>
    <t>Клей для дерева (казеиновый, Titebond) Для склейки трещин</t>
  </si>
  <si>
    <t>Подушки (тампоны) для клапанов Наборы для флейт, кларнетов, саксофонов (разных диаметров)</t>
  </si>
  <si>
    <t>Пружины Набор плоских и круглых пружин для клапанной механики</t>
  </si>
  <si>
    <t>Винты, оси, штифты Миниатюрные (разных размеров)</t>
  </si>
  <si>
    <t>Трости (заготовки) Для гобоя, фагота, кларнета (тростевой камыш)</t>
  </si>
  <si>
    <t>Кожа (замша) Для прокладок, подушек клапанов</t>
  </si>
  <si>
    <t>листы</t>
  </si>
  <si>
    <t>Войлок Для амортизации клапанов</t>
  </si>
  <si>
    <t>Латунный лист (0.5-2 мм) Для изготовления заплат, деталей</t>
  </si>
  <si>
    <t>Серебряный припой Для ответственной пайки (профессиональные инструменты)</t>
  </si>
  <si>
    <t>Оловянно-свинцовый припой Для обычных ремонтов</t>
  </si>
  <si>
    <t>0.5 кг</t>
  </si>
  <si>
    <t>Лак для духовых инструментов (акриловый, эпоксидный) Для финишного покрытия</t>
  </si>
  <si>
    <t>флаконы</t>
  </si>
  <si>
    <t>Химия для чистки (полироль для латуни, серебра) Для чистки корпусов</t>
  </si>
  <si>
    <t>упаковками</t>
  </si>
  <si>
    <t>Масло для вентилей (клапанное) Для смазки механизма</t>
  </si>
  <si>
    <t>Смазка для тяг (силиконовая) Для подвижных соединений</t>
  </si>
  <si>
    <t>тюбик</t>
  </si>
  <si>
    <t>Мастерская для струнных инстр.</t>
  </si>
  <si>
    <t>1 Этаж</t>
  </si>
  <si>
    <t>Наименование помещения</t>
  </si>
  <si>
    <t>Площадь, м2</t>
  </si>
  <si>
    <t>ЛК</t>
  </si>
  <si>
    <t>19.0</t>
  </si>
  <si>
    <t>Холл для подготовки выступающих</t>
  </si>
  <si>
    <t>107.9</t>
  </si>
  <si>
    <t>Рекреация/коворкинг</t>
  </si>
  <si>
    <t>96.8</t>
  </si>
  <si>
    <t>пуфы</t>
  </si>
  <si>
    <t>Игровые столы</t>
  </si>
  <si>
    <t>Диван</t>
  </si>
  <si>
    <t>Коворкинг-зона</t>
  </si>
  <si>
    <t>пианино</t>
  </si>
  <si>
    <t>круглый стол</t>
  </si>
  <si>
    <t>стул</t>
  </si>
  <si>
    <t>Эстрада</t>
  </si>
  <si>
    <t>51.1</t>
  </si>
  <si>
    <t>LED прожектор заливки (PAR) Цветная заливка сцены</t>
  </si>
  <si>
    <t>Профильный прожектор (Spot) Белый точечный свет на солиста</t>
  </si>
  <si>
    <t>Вращающаяся голова (Moving Head) Динамические эффекты, лучи</t>
  </si>
  <si>
    <t>DMX-контроллер (пульт управления светом) Программируемый, с сохранением пресетов</t>
  </si>
  <si>
    <t>LED стробоскоп Спецэффекты</t>
  </si>
  <si>
    <t>Хейзер (генератор тумана/дыма)Для визуализации лучей света</t>
  </si>
  <si>
    <t>Световая Т-образная стойка Для установки прожекторов по бокам</t>
  </si>
  <si>
    <t>Комплект кабелей (DMX, силовые) Удлинители, разветвители</t>
  </si>
  <si>
    <t>Цифровой микшерный пульт 16-24 канала, с возможностью сохранения сцен («Концерт», «Лекция»)</t>
  </si>
  <si>
    <t>Активная акустическая система (PA) Мощность 300-500 Вт, портальная</t>
  </si>
  <si>
    <t>Сценический монитор Для слышимости выступающих на сцене</t>
  </si>
  <si>
    <t>Вокальная радиосистема (ручной микрофон)</t>
  </si>
  <si>
    <t>Головная радиогарнитура Для ведущих, hands-free</t>
  </si>
  <si>
    <t>Инструментальный микрофон Shure SM57/Beta 98, для гитар, духовых, ударных</t>
  </si>
  <si>
    <t>Конденсаторный микрофон (пара, ORTF) Для хора, рояля, записи</t>
  </si>
  <si>
    <t>Микрофонная стойка (прямая/наклонная)</t>
  </si>
  <si>
    <t>Стойка для микрофона (низкая) Для виолончели/контрабаса</t>
  </si>
  <si>
    <t>Ди-бокс (DI-кабель) Для подключения электроинструментов</t>
  </si>
  <si>
    <t>Комплект кабелей (XLR, Jack)</t>
  </si>
  <si>
    <t>Пюпитр симфонический (тяжёлый) Широкий, устойчивый, чёрный</t>
  </si>
  <si>
    <t>Стул для артиста (без подлокотников) Жёсткий, устойчивый</t>
  </si>
  <si>
    <t>Стул для виолончелиста/контрабасиста (высокий) Регулируемый</t>
  </si>
  <si>
    <t>Пуф для ног (регулируемый) Для виолончелистов младших классов</t>
  </si>
  <si>
    <t>Табурет винтовой (банкетка) Для пианиста</t>
  </si>
  <si>
    <t>Дирижёрский подиум Деревянный, высота 15-25 см, с ограждением</t>
  </si>
  <si>
    <t>Пульт для партитуры дирижёра</t>
  </si>
  <si>
    <t>Дирижёрская палочка</t>
  </si>
  <si>
    <t>Метроном (громкий) Электронный, с возможностью подключения к PA</t>
  </si>
  <si>
    <t>Хроматический тюнер Для настройки инструментов перед выступлением</t>
  </si>
  <si>
    <t>Ковёр акустический Для покрытия планшета сцены (улучшает акустику и нескользящее покрытие)</t>
  </si>
  <si>
    <t>Малый актовый зал им. Д. Тезекбаева на 81 мест (1ГМН)</t>
  </si>
  <si>
    <t>70.8</t>
  </si>
  <si>
    <t>МУЗЫКАЛЬНЫЕ ИНСТРУМЕНТЫ</t>
  </si>
  <si>
    <t>Рояль концертный (170–210 см, с чехлом)</t>
  </si>
  <si>
    <t>Пианино кабинетное (резервное)</t>
  </si>
  <si>
    <t>Табурет винтовой (банкетка) для рояля</t>
  </si>
  <si>
    <t>Пюпитр симфонический (тяжелый, черный)</t>
  </si>
  <si>
    <t>ЗРИТЕЛЬСКАЯ ЗОНА</t>
  </si>
  <si>
    <t>Кресло зрительское (мягкое, с подлокотником, стационарное)</t>
  </si>
  <si>
    <t>Место для МГН (зона 0,9×1,2 м на ровной площадке)</t>
  </si>
  <si>
    <t>Кресло для сопровождающего МГН</t>
  </si>
  <si>
    <t>Тактильная табличка «Место для инвалидов» (шрифт Брайля)</t>
  </si>
  <si>
    <t>СЦЕНИЧЕСКАЯ ЗОНА</t>
  </si>
  <si>
    <t>Подиум для ведущего/дирижёра</t>
  </si>
  <si>
    <t>Трибуна для выступлений (с микрофоном)</t>
  </si>
  <si>
    <t>Стул для артиста (без подлокотников)</t>
  </si>
  <si>
    <t>Стул для виолончелиста (высокий)</t>
  </si>
  <si>
    <t>Пуф для ног (регулируемый)</t>
  </si>
  <si>
    <t>Ковёр акустический</t>
  </si>
  <si>
    <t>ОФОРМЛЕНИЕ СЦЕНЫ И ЗАЛА</t>
  </si>
  <si>
    <t>Занавес основной (антрактно-раздвижной, бархат с огнезащитой)</t>
  </si>
  <si>
    <t>Кулисы (боковые мягкие декорации)</t>
  </si>
  <si>
    <t>Задник сцены (фон, с символикой школы)</t>
  </si>
  <si>
    <t>Бюст или парадный портрет Д. Тезекбаева (в раме)</t>
  </si>
  <si>
    <t>Почётная табличка «Малый актовый зал им. Д. Тезекбаева»</t>
  </si>
  <si>
    <t>Акцентная подсветка мемориальной зоны</t>
  </si>
  <si>
    <t>Государственный флаг РК (на флагштоке)</t>
  </si>
  <si>
    <t>Штандарт/флаг школы</t>
  </si>
  <si>
    <t>ОСВЕЩЕНИЕ СЦЕНЫ</t>
  </si>
  <si>
    <t>LED прожектор заливки (PAR, RGB, 54–100 Вт)</t>
  </si>
  <si>
    <t>Профильный прожектор (Spot/PC, 100–200 Вт LED, теплый белый)</t>
  </si>
  <si>
    <t>Вращающаяся голова (Moving Head, 60–100 Вт LED, DMX)</t>
  </si>
  <si>
    <t>LED стробоскоп (100–300 Вт)</t>
  </si>
  <si>
    <t>Светодиодный диско-шар (диаметр 40 см)</t>
  </si>
  <si>
    <t>Световая планка (LED бар, 1–2 м, RGB)</t>
  </si>
  <si>
    <t>Хейзер (генератор тумана/дыма, 600–1000 Вт)</t>
  </si>
  <si>
    <t>УФ-прожектор («чёрный свет», 50–100 Вт LED)</t>
  </si>
  <si>
    <t>Софит освещения сцены (дополнительный)</t>
  </si>
  <si>
    <t>Заливка сцены (верхний свет)</t>
  </si>
  <si>
    <t>Дежурное освещение зрительного зала</t>
  </si>
  <si>
    <t>Аварийное освещение (на аккумуляторах)</t>
  </si>
  <si>
    <t>ОБОРУДОВАНИЕ УПРАВЛЕНИЯ СВЕТОМ</t>
  </si>
  <si>
    <t>DMX-контроллер (пульт управления светом)</t>
  </si>
  <si>
    <t>DMX-сплиттер (разветвитель, 4–8 выходов)</t>
  </si>
  <si>
    <t>Штанкетная ферма (подвесная система)</t>
  </si>
  <si>
    <t>Световая Т-образная стойка</t>
  </si>
  <si>
    <t>Противовесная система (опционально)</t>
  </si>
  <si>
    <t>DMX-кабель (XLR 3-pin)</t>
  </si>
  <si>
    <t>150 м</t>
  </si>
  <si>
    <t>Силовой кабель (сечение 1.5–2.5 мм², разветвители)</t>
  </si>
  <si>
    <t>ЗВУКОВОЕ ОБОРУДОВАНИЕ</t>
  </si>
  <si>
    <t>Цифровой микшерный пульт (16–24 канала, с сохранением пресетов)</t>
  </si>
  <si>
    <t>Активная акустическая колонка (PA, 300–500 Вт)</t>
  </si>
  <si>
    <t>Активный сабвуфер (500–800 Вт, 15" или 18")</t>
  </si>
  <si>
    <t>Сценический монитор (активный, 200–300 Вт, «клин»)</t>
  </si>
  <si>
    <t>Эквалайзер графический (31-полосный) — может быть встроен в микшер</t>
  </si>
  <si>
    <t>Компрессор/лимитер (2-канальный) — может быть встроен в микшер</t>
  </si>
  <si>
    <t>Процессор эффектов (ревербератор) — может быть встроен в микшер</t>
  </si>
  <si>
    <t>CD/MP3-плеер профессиональный</t>
  </si>
  <si>
    <t>Bluetooth-приемник (5.0+, радиус 10–15 м)</t>
  </si>
  <si>
    <t>МИКРОФОНЫ</t>
  </si>
  <si>
    <t>Микрофон вокальный динамический (Shure SM58 или аналог)</t>
  </si>
  <si>
    <t>Микрофон инструментальный динамический (Shure SM57 или аналог)</t>
  </si>
  <si>
    <t>Микрофон конденсаторный (пара ORTF, для хора/рояля)</t>
  </si>
  <si>
    <t>Микрофон на «гусиной шее» (для трибуны)</t>
  </si>
  <si>
    <t>Радиосистема вокальная (ручной микрофон, 2 канала)</t>
  </si>
  <si>
    <t>Радиосистема головная (гарнитура, для ведущих)</t>
  </si>
  <si>
    <t>Микрофон для ударных (Shure Beta 52A или аналог)</t>
  </si>
  <si>
    <t>МИКРОФОННЫЕ СТОЙКИ И КАБЕЛИ</t>
  </si>
  <si>
    <t>Микрофонная стойка прямая (напольная, высота 90–180 см)</t>
  </si>
  <si>
    <t>Микрофонная стойка наклонная («журавль», вылет 60–100 см)</t>
  </si>
  <si>
    <t>Микрофонная стойка низкая (30–60 см)</t>
  </si>
  <si>
    <t>Ди-бокс (DI, для электрогитар, синтезаторов)</t>
  </si>
  <si>
    <t>Кабель XLR (3-pin, отрезки 1–20 м)</t>
  </si>
  <si>
    <t>200 м</t>
  </si>
  <si>
    <t>Кабель Jack (¼", TS/TRS, отрезки 1–10 м)</t>
  </si>
  <si>
    <t>100 м</t>
  </si>
  <si>
    <t>Снейк (многоканальный кабель, 16–24 канала, 15–25 м)</t>
  </si>
  <si>
    <t>ВИДЕО- И МУЛЬТИМЕДИЙНОЕ ОБОРУДОВАНИЕ</t>
  </si>
  <si>
    <t>Проектор лазерный (5000+ люмен)</t>
  </si>
  <si>
    <t>Экран проекционный (электро- или мото-привод)</t>
  </si>
  <si>
    <t>Настенный монитор (43–50", служебный)</t>
  </si>
  <si>
    <t>Документ-камера</t>
  </si>
  <si>
    <t>Пульт управления презентациями (логер)</t>
  </si>
  <si>
    <t>Веб-камера (для онлайн-трансляций)</t>
  </si>
  <si>
    <t>МЕБЕЛЬ И ОБОРУДОВАНИЕ ЗАЛА</t>
  </si>
  <si>
    <t>Стол президиума (на 3–5 человек)</t>
  </si>
  <si>
    <t>Стул для президиума</t>
  </si>
  <si>
    <t>Шкаф для хранения флагов и атрибутики</t>
  </si>
  <si>
    <t>Вешалка для верхней одежды</t>
  </si>
  <si>
    <t>Светильник для пюпитра (LED, на прищепке)</t>
  </si>
  <si>
    <t>Лампы для прожекторов (LED-модули или лампы, запас)</t>
  </si>
  <si>
    <t>Жидкость для хейзера (безопасная, на водной основе)</t>
  </si>
  <si>
    <t>10 л</t>
  </si>
  <si>
    <t>Микрофонный поп-фильтр (ветрозащита)</t>
  </si>
  <si>
    <t>Чехол для микрофонной стойки (пылезащитный)</t>
  </si>
  <si>
    <t>Канифоль</t>
  </si>
  <si>
    <t>Коридор</t>
  </si>
  <si>
    <t>85.5</t>
  </si>
  <si>
    <t>41.8</t>
  </si>
  <si>
    <t>Малый камерный зал на 58 мест (1ГМН)</t>
  </si>
  <si>
    <t>53.7</t>
  </si>
  <si>
    <t>Рояль 170 см</t>
  </si>
  <si>
    <t>Кресла/стулья зрительские</t>
  </si>
  <si>
    <t>Пюпитры</t>
  </si>
  <si>
    <t>Стулья артистов</t>
  </si>
  <si>
    <t>PA 2×150–250 Вт + микшер 8–12 кан.</t>
  </si>
  <si>
    <t>LED PAR (6 шт.) + Spot (4 шт.) + диммер</t>
  </si>
  <si>
    <t>Проектор 3000 лм + экран</t>
  </si>
  <si>
    <t>Опционально (если бюджет позволяет):</t>
  </si>
  <si>
    <t>Сабвуфер</t>
  </si>
  <si>
    <t>Радиосистема</t>
  </si>
  <si>
    <t xml:space="preserve">Музей </t>
  </si>
  <si>
    <t>61.8</t>
  </si>
  <si>
    <t>Комната для хран.нотные литер.</t>
  </si>
  <si>
    <t xml:space="preserve">Верстак слесарно-столярный </t>
  </si>
  <si>
    <t>Шлифовальный станок</t>
  </si>
  <si>
    <t xml:space="preserve">Микроскоп (для голосовых клиньев фортепиано, тростей гобоя) </t>
  </si>
  <si>
    <t>Класс занятий оркестровое дирижирование</t>
  </si>
  <si>
    <t>2 рояля (для дирижирования в 4 руки и для партитуры)</t>
  </si>
  <si>
    <t>Видеокамера на дирижера + экран для оркестра</t>
  </si>
  <si>
    <t>Пульт дирижерский подставной</t>
  </si>
  <si>
    <t>Палочки дирижерские (3 размера)</t>
  </si>
  <si>
    <t>Метроном крупный (видимый издалека)</t>
  </si>
  <si>
    <t>Рекреация</t>
  </si>
  <si>
    <t>Гаредероб</t>
  </si>
  <si>
    <t>46.5</t>
  </si>
  <si>
    <t>Шкаф гардеробный</t>
  </si>
  <si>
    <t>Стационарный открытый стеллаж для верхней одежды</t>
  </si>
  <si>
    <t>Холл</t>
  </si>
  <si>
    <t>49.9</t>
  </si>
  <si>
    <t>Тамбур</t>
  </si>
  <si>
    <t>Учебная комплексная мастерская</t>
  </si>
  <si>
    <t>61.5</t>
  </si>
  <si>
    <t>Зона ожидания</t>
  </si>
  <si>
    <t>85.4</t>
  </si>
  <si>
    <t>Вестибюль</t>
  </si>
  <si>
    <t>67.6</t>
  </si>
  <si>
    <t>Посадочная зона/диван</t>
  </si>
  <si>
    <t>Пуф</t>
  </si>
  <si>
    <t>Приставной столик</t>
  </si>
  <si>
    <t>Кресло мягкое</t>
  </si>
  <si>
    <t>Гос.символика</t>
  </si>
  <si>
    <t>Гардероб</t>
  </si>
  <si>
    <t>48.0</t>
  </si>
  <si>
    <t>С/у МГН</t>
  </si>
  <si>
    <t>Корзина для мусора с педалью</t>
  </si>
  <si>
    <t xml:space="preserve">Ведро </t>
  </si>
  <si>
    <t>дозатор для жидкого мыла</t>
  </si>
  <si>
    <t>Зеркало</t>
  </si>
  <si>
    <t>Крючки</t>
  </si>
  <si>
    <t>Швабра</t>
  </si>
  <si>
    <t>Диспенсер для бумажных полотенец</t>
  </si>
  <si>
    <t>Диспенсер антивандальный для туалетной бумаги</t>
  </si>
  <si>
    <t>Лифтовый холл</t>
  </si>
  <si>
    <t>Помещение СС</t>
  </si>
  <si>
    <t>0.0</t>
  </si>
  <si>
    <t>Туалет д</t>
  </si>
  <si>
    <t>Туалет м</t>
  </si>
  <si>
    <t>КЛГД</t>
  </si>
  <si>
    <t>Т.пер</t>
  </si>
  <si>
    <t>2.0</t>
  </si>
  <si>
    <t>153.4</t>
  </si>
  <si>
    <t>Пост охраны</t>
  </si>
  <si>
    <t xml:space="preserve">МЕБЕЛЬ </t>
  </si>
  <si>
    <t>Кабинет спец.фортепиано</t>
  </si>
  <si>
    <t>Акустическая система</t>
  </si>
  <si>
    <t>Колонка активная портативная</t>
  </si>
  <si>
    <t>Методический уголок — стенд на стену с ячейками для методического материала отделения</t>
  </si>
  <si>
    <t>Кресло с подлокотниками</t>
  </si>
  <si>
    <t xml:space="preserve">Стулья </t>
  </si>
  <si>
    <t>Пуфики для роялей с регулировкой высоты</t>
  </si>
  <si>
    <t>Подставки для ног для учеников младших классов, повыше, пониже</t>
  </si>
  <si>
    <t>Мягкие подставки на сиденье стула для высоты, пониже и повыше</t>
  </si>
  <si>
    <t>Часы.</t>
  </si>
  <si>
    <t>Ковер.</t>
  </si>
  <si>
    <t>Жалюзи</t>
  </si>
  <si>
    <t>МузыкаЛЬНОЕ ОСНАЩЕНИЕ</t>
  </si>
  <si>
    <t>Рояль (класс 2: кабинетный рояль 150–170-190 см) .</t>
  </si>
  <si>
    <t>Видеокамера над клавиатурой + телевизор (для разбора аппликатуры, позиции руки) – 1 компл.</t>
  </si>
  <si>
    <t>Диктофон (для записи своих этюдов) – 1 шт.</t>
  </si>
  <si>
    <t>Метроном с громким динамиком – 1 шт.</t>
  </si>
  <si>
    <t>22.0</t>
  </si>
  <si>
    <t>Репетиционная</t>
  </si>
  <si>
    <t>Стол с приставной тумбой</t>
  </si>
  <si>
    <t>ковер напольный акустический</t>
  </si>
  <si>
    <t xml:space="preserve">Фортепиано </t>
  </si>
  <si>
    <t>Стулья без подлокотников</t>
  </si>
  <si>
    <t>Пуфы для контрабаса/виолончели –</t>
  </si>
  <si>
    <t>Подставки для ног (для маленьких скрипачей)</t>
  </si>
  <si>
    <t>Шкаф для нот и партитур (закрывающийся)</t>
  </si>
  <si>
    <t>46.3</t>
  </si>
  <si>
    <t>Зрительный зал на 99 мест (в т.ч. 1 МГН)</t>
  </si>
  <si>
    <t>104.0</t>
  </si>
  <si>
    <t>1. ЗРИТЕЛЬСКАЯ ЗОНА</t>
  </si>
  <si>
    <t>Вешалка для верхней одежды (напольная или настенная)</t>
  </si>
  <si>
    <t>Ковровая дорожка в проходах (для шумоизоляции)</t>
  </si>
  <si>
    <t>по длине проходов</t>
  </si>
  <si>
    <t>2. СЦЕНА (универсальная)</t>
  </si>
  <si>
    <t>Подиум для дирижёра/ведущего (деревянный, высота 15–25 см)</t>
  </si>
  <si>
    <t>Трибуна для выступлений (со встроенным микрофоном)</t>
  </si>
  <si>
    <t>Ковёр акустический на сцену</t>
  </si>
  <si>
    <t>Кулисы боковые (6–8 шт.)</t>
  </si>
  <si>
    <t>Задник сцены (фон, нейтральный или с символикой)</t>
  </si>
  <si>
    <t>Пульт для партитуры дирижёра (широкий)</t>
  </si>
  <si>
    <t>3. МУЗЫКАЛЬНЫЕ ИНСТРУМЕНТЫ (стационарно)</t>
  </si>
  <si>
    <t>Рояль концертный (170–210 см)</t>
  </si>
  <si>
    <t>Метроном (электронный, громкий)</t>
  </si>
  <si>
    <t>Камертон (электронный или 440 Гц)</t>
  </si>
  <si>
    <t>Хроматический тюнер</t>
  </si>
  <si>
    <t>4. ПЮПИТРЫ И МЕБЕЛЬ ДЛЯ АРТИСТОВ</t>
  </si>
  <si>
    <t>Пюпитр симфонический (тяжёлый, чёрный)</t>
  </si>
  <si>
    <t>Пюпитр лёгкий складной</t>
  </si>
  <si>
    <t>Стул для артиста (без подлокотников, жёсткий)</t>
  </si>
  <si>
    <t>Стул для виолончелиста/контрабасиста (высокий, регулируемый)</t>
  </si>
  <si>
    <t>Стойка для пюпитров (телескопическая, для хранения)</t>
  </si>
  <si>
    <t>5. ОСВЕЩЕНИЕ (универсальное, сцена + зрительный зал)</t>
  </si>
  <si>
    <t>LED прожектор заливки PAR (RGB, 54–100 Вт)</t>
  </si>
  <si>
    <t>Профильный прожектор Spot (LED, теплый белый)</t>
  </si>
  <si>
    <t>Вращающаяся голова (Moving Head, 60–100 Вт, DMX)</t>
  </si>
  <si>
    <t>Софит для освещения рояля/солиста</t>
  </si>
  <si>
    <t>LED стробоскоп</t>
  </si>
  <si>
    <t>Хейзер (генератор лёгкого дыма) – опционально</t>
  </si>
  <si>
    <t>Регулятор света (диммер, на 12–24 канала)</t>
  </si>
  <si>
    <t>Лампа для пюпитра (LED, на прищепке)</t>
  </si>
  <si>
    <t>Силовой кабель (разветвители)</t>
  </si>
  <si>
    <t>6. ЗВУКОВОЕ ОБОРУДОВАНИЕ (концертно-лекционное)</t>
  </si>
  <si>
    <t>Цифровой микшерный пульт (16–24 канала)</t>
  </si>
  <si>
    <t>Активная колонка PA-система (300–500 Вт)</t>
  </si>
  <si>
    <t>Активный сабвуфер (15" или 18")</t>
  </si>
  <si>
    <t>Сценический монитор активный</t>
  </si>
  <si>
    <t>Микрофон вокальный динамический (Shure SM58)</t>
  </si>
  <si>
    <t>Микрофон инструментальный динамический (Shure SM57)</t>
  </si>
  <si>
    <t>Микрофон конденсаторный пара (для записи/хора)</t>
  </si>
  <si>
    <t>Радиосистема вокальная (2–4 канала)</t>
  </si>
  <si>
    <t>Радиогарнитура (головная, для ведущих)</t>
  </si>
  <si>
    <t>Микрофонная стойка прямая (напольная)</t>
  </si>
  <si>
    <t>Микрофонная стойка наклонная («журавль»)</t>
  </si>
  <si>
    <t>Микрофонная стойка низкая (30–50 см)</t>
  </si>
  <si>
    <t>Ди-бокс (DI, 2 канала)</t>
  </si>
  <si>
    <t>Кабель XLR (отрезки 1–20 м)</t>
  </si>
  <si>
    <t>Кабель Jack (¼", 3–6 м)</t>
  </si>
  <si>
    <t>Поп-фильтр (ветрозащита)</t>
  </si>
  <si>
    <t>Bluetooth-приёмник</t>
  </si>
  <si>
    <t>Метроном с колонкой (громкий)</t>
  </si>
  <si>
    <t>Диктофон профессиональный (Zoom H8)</t>
  </si>
  <si>
    <t>7. ВИДЕО И МУЛЬТИМЕДИА</t>
  </si>
  <si>
    <t>Лазерный проектор (5000+ люмен)</t>
  </si>
  <si>
    <t>Экран проекционный (2×1,5 м или 3×2 м)</t>
  </si>
  <si>
    <t>Настенный монитор (43–50", для служебного контроля)</t>
  </si>
  <si>
    <t>Веб-камера (Full HD, для трансляций)</t>
  </si>
  <si>
    <t>8. МЕБЕЛЬ И ХРАНЕНИЕ</t>
  </si>
  <si>
    <t>Шкаф/стеллаж для нот и партитур</t>
  </si>
  <si>
    <t>Шкаф для хранения микрофонов, кабелей</t>
  </si>
  <si>
    <t>Стойка для микрофонных стоек (телескопическая)</t>
  </si>
  <si>
    <t>Чехлы для микрофонных стоек</t>
  </si>
  <si>
    <t>Вешалка для костюмов артистов (за кулисами)</t>
  </si>
  <si>
    <t>Процедурная</t>
  </si>
  <si>
    <t>Стол однотумбовый с 2 выдвижными ящиками</t>
  </si>
  <si>
    <t>Кушетка процедурная</t>
  </si>
  <si>
    <t>Стол инструментальный</t>
  </si>
  <si>
    <t>Шкаф медицинский</t>
  </si>
  <si>
    <t>Холодильник фармацевтический</t>
  </si>
  <si>
    <t>Картотечный металический шкаф для хранения док</t>
  </si>
  <si>
    <t>Шкаф медицинский двустворчатый</t>
  </si>
  <si>
    <t>Дидактика</t>
  </si>
  <si>
    <t>Тонометр</t>
  </si>
  <si>
    <t>Стетоскоп</t>
  </si>
  <si>
    <t>Бесконтактный инфракрасный термометр</t>
  </si>
  <si>
    <t>Весы напольные</t>
  </si>
  <si>
    <t>Ростомер механический напольный РП «Эконом»</t>
  </si>
  <si>
    <t>Термоконтейнер</t>
  </si>
  <si>
    <t>Ножницы тупоконечные</t>
  </si>
  <si>
    <t>Ножницы с одним острым концом прямые</t>
  </si>
  <si>
    <t>Коробка стерилизационная круглая (бикс)</t>
  </si>
  <si>
    <t>Коробка стерилизационная круглая (бикс) большая</t>
  </si>
  <si>
    <t>Жгут кровоостанавливающий</t>
  </si>
  <si>
    <t>Пинцет анатомический</t>
  </si>
  <si>
    <t>Пузырь для льда</t>
  </si>
  <si>
    <t>Лоток медицинский почкообразный</t>
  </si>
  <si>
    <t>Мусорная корзина</t>
  </si>
  <si>
    <t>Каб. врача</t>
  </si>
  <si>
    <t>настенный бактерицидный облучатель-рециркулятор</t>
  </si>
  <si>
    <t>Таблица для проверки зрения</t>
  </si>
  <si>
    <t>Измерительная лента</t>
  </si>
  <si>
    <t>Медицинские халаты</t>
  </si>
  <si>
    <t>Изолятор</t>
  </si>
  <si>
    <t xml:space="preserve">кровать для сна </t>
  </si>
  <si>
    <t xml:space="preserve">Шкаф для одежды </t>
  </si>
  <si>
    <t>тумба</t>
  </si>
  <si>
    <t>стол</t>
  </si>
  <si>
    <t>Стуль</t>
  </si>
  <si>
    <t>С/у</t>
  </si>
  <si>
    <t xml:space="preserve">ПУИ </t>
  </si>
  <si>
    <t xml:space="preserve">Открытый стеллаж </t>
  </si>
  <si>
    <t>Ведро 18л</t>
  </si>
  <si>
    <t>Двухведёрная тележка</t>
  </si>
  <si>
    <t>Швабра с платформой</t>
  </si>
  <si>
    <t>Шкаф металлический для одежды и инвентаря</t>
  </si>
  <si>
    <t>230.5</t>
  </si>
  <si>
    <t>Каб. зам директора по муз.работе</t>
  </si>
  <si>
    <t xml:space="preserve">Кресло </t>
  </si>
  <si>
    <t xml:space="preserve">стол для совещаний на 16 человек </t>
  </si>
  <si>
    <t>сейф</t>
  </si>
  <si>
    <t>Кабинет директора</t>
  </si>
  <si>
    <t>31.6</t>
  </si>
  <si>
    <t xml:space="preserve">стол для совещаний на 6 человек </t>
  </si>
  <si>
    <t>Туалет</t>
  </si>
  <si>
    <t>3.0</t>
  </si>
  <si>
    <t>Кабинет делопроиз.</t>
  </si>
  <si>
    <t>Конференц зал</t>
  </si>
  <si>
    <t>61.0</t>
  </si>
  <si>
    <t xml:space="preserve">конференц стол на 16 человек </t>
  </si>
  <si>
    <t>Туалет М</t>
  </si>
  <si>
    <t>ПУИ</t>
  </si>
  <si>
    <t>Туалет Д</t>
  </si>
  <si>
    <t>9.0</t>
  </si>
  <si>
    <t>Народный зал на 89 мест (в т.ч. 1 МГН)</t>
  </si>
  <si>
    <t>92.9</t>
  </si>
  <si>
    <t>СЦЕНА И ОРКЕСТРОВАЯ ЗОНА</t>
  </si>
  <si>
    <t>шт</t>
  </si>
  <si>
    <t>Подиум для дирижёра (деревянный, высота 20–30 см, широкий)</t>
  </si>
  <si>
    <t>Пульт для партитуры дирижёра (широкий, с подсветкой)</t>
  </si>
  <si>
    <t>Ковёр акустический на сцену (нескользящий, улучшающий акустику)</t>
  </si>
  <si>
    <t>Кулисы боковые (мягкие декорации)</t>
  </si>
  <si>
    <t>Задник сцены (фон с национальным орнаментом или символикой школы)</t>
  </si>
  <si>
    <t>Стеллаж/стойка для хранения народных инструментов на сцене (для быстрой смены)</t>
  </si>
  <si>
    <t>МУЗЫКАЛЬНЫЕ ИНСТРУМЕНТЫ (стационарные для зала)</t>
  </si>
  <si>
    <t>Товар</t>
  </si>
  <si>
    <t>Количество</t>
  </si>
  <si>
    <t>Пианино кабинетное (резервное, для репетиций)</t>
  </si>
  <si>
    <t>Баян готово-выборный (концертный)</t>
  </si>
  <si>
    <t>комп</t>
  </si>
  <si>
    <t>Аккордеон</t>
  </si>
  <si>
    <t>Домбра (2-струнная, концертная)</t>
  </si>
  <si>
    <t>Дабыл (двойной барабан)</t>
  </si>
  <si>
    <t>Дангыра (бубен с подвесками)</t>
  </si>
  <si>
    <t>шт( опционально)</t>
  </si>
  <si>
    <t>Асатаяк (жезл с колокольчиками)</t>
  </si>
  <si>
    <t>ПЮПИТРЫ И МЕБЕЛЬ ДЛЯ АРТИСТОВ</t>
  </si>
  <si>
    <t>каналов</t>
  </si>
  <si>
    <t>Пюпитр симфонический (тяжёлый, чёрный, широкий)</t>
  </si>
  <si>
    <t>м</t>
  </si>
  <si>
    <t>Профильный прожектор Spot (LED, теплый белый, для солистов)</t>
  </si>
  <si>
    <t>Светодиодный партер (для подсветки нот при затемнённом зале)</t>
  </si>
  <si>
    <t>Микшерный пульт цифровой (16–24 канала, с сохранением пресетов)</t>
  </si>
  <si>
    <t>брусков/год</t>
  </si>
  <si>
    <t>Активный сабвуфер (15" или 18", для басов народных ударных)</t>
  </si>
  <si>
    <t>Монитор сценический активный</t>
  </si>
  <si>
    <t>Микрофон инструментальный (Shure SM57/Beta 98, для домбры, баяна, духовых)</t>
  </si>
  <si>
    <t>8–10 каналов</t>
  </si>
  <si>
    <t>Микрофон вокальный (Shure SM58, для солистов-вокалистов)</t>
  </si>
  <si>
    <t>Микрофон конденсаторный пара (для записи, для хора, для рояля)</t>
  </si>
  <si>
    <t>Микрофонная стойка низкая (для дабыла, дангыры)</t>
  </si>
  <si>
    <t>Ди-бокс (DI, для электробаяна, синтезатора)</t>
  </si>
  <si>
    <t>Кабельный комплект (XLR, Jack, 1–20 м)</t>
  </si>
  <si>
    <t>200+ м</t>
  </si>
  <si>
    <t>Диктофон профессиональный (Zoom H8 или Tascam)</t>
  </si>
  <si>
    <t>ВИДЕО И МУЛЬТИМЕДИА</t>
  </si>
  <si>
    <t>Проектор лазерный высокой яркости (5000+ люмен)</t>
  </si>
  <si>
    <t>Экран проекционный (2×1,5 м или 2,5×2 м)</t>
  </si>
  <si>
    <t>Настенный монитор (43–50", для показа нот, видео, трансляций)</t>
  </si>
  <si>
    <t>Веб-камера (Full HD, для записи и трансляций концертов)</t>
  </si>
  <si>
    <t>Документ-камера (для демонстрации нот, партитур)</t>
  </si>
  <si>
    <t>Каб.педагог.отдел.народных инстр.</t>
  </si>
  <si>
    <t xml:space="preserve">Парты  </t>
  </si>
  <si>
    <t>Пюпитр симфонический металлический (ученику и педагогу).</t>
  </si>
  <si>
    <t>Табурет клавишный винтовой</t>
  </si>
  <si>
    <t>Метроном механический (Wittner или аналог)</t>
  </si>
  <si>
    <t>Камертон электронный или вилка 440 Гц</t>
  </si>
  <si>
    <t>Зеркало настенное (во весь рост) (для контроля постановки рук/корпуса).</t>
  </si>
  <si>
    <t>Доска нотная (5 линеек)</t>
  </si>
  <si>
    <t>Каб.педагог.отдел.народных инст</t>
  </si>
  <si>
    <t>20.0</t>
  </si>
  <si>
    <t>Зал. ансамблей.народных инстр.</t>
  </si>
  <si>
    <t>КАЗАХСКИЕ НАРОДНЫЕ ИНСТРУМЕНТЫ</t>
  </si>
  <si>
    <t>Домбра (2-струнная, стандартная)</t>
  </si>
  <si>
    <t>Домбра альтовая</t>
  </si>
  <si>
    <t>Домбра басовая</t>
  </si>
  <si>
    <t>Кыл-кобыз (2-струнный смычковый)</t>
  </si>
  <si>
    <t>Кобыз-прима (оркестровый)</t>
  </si>
  <si>
    <t>Кобыз-бас</t>
  </si>
  <si>
    <t>Жетыген (7-струнный)</t>
  </si>
  <si>
    <t>Шертер</t>
  </si>
  <si>
    <t>Сыбызгы (продольная флейта)</t>
  </si>
  <si>
    <t>Сазсырнай (глиняная флейта)</t>
  </si>
  <si>
    <t>Сырнай (язычковый духовой)</t>
  </si>
  <si>
    <t>Керней (длинная труба)</t>
  </si>
  <si>
    <t>Шанкобыз (варган)</t>
  </si>
  <si>
    <t>Дауылпаз (большой барабан)</t>
  </si>
  <si>
    <t>Конырау (колокольчики, набор)</t>
  </si>
  <si>
    <t>Туяктас (подвески из копыт)</t>
  </si>
  <si>
    <t>Шындауыл (литавра)</t>
  </si>
  <si>
    <t>Кепшик (трещотка)</t>
  </si>
  <si>
    <t>РУССКИЕ НАРОДНЫЕ ИНСТРУМЕНТЫ</t>
  </si>
  <si>
    <t>Домра малая 3-струнная (1/2, 3/4, 4/4)</t>
  </si>
  <si>
    <t>Домра альтовая</t>
  </si>
  <si>
    <t>Домра басовая</t>
  </si>
  <si>
    <t>Баян готовый (учебный)</t>
  </si>
  <si>
    <t>ОБЩИЕ УДАРНЫЕ И ПЕРКУССИЯ</t>
  </si>
  <si>
    <t>Треугольник</t>
  </si>
  <si>
    <t>Бубен (большой)</t>
  </si>
  <si>
    <t>Бубен (малый, с тарелочками)</t>
  </si>
  <si>
    <t>Маракасы</t>
  </si>
  <si>
    <t>Трещотка (пластинчатая)</t>
  </si>
  <si>
    <t>Коробочка (вул-блок)</t>
  </si>
  <si>
    <t>Ксилофон</t>
  </si>
  <si>
    <t>Погремушки</t>
  </si>
  <si>
    <t>ОБОРУДОВАНИЕ И АКСЕССУАРЫ</t>
  </si>
  <si>
    <t>Пюпитр симфонический (тяжелый)</t>
  </si>
  <si>
    <t>Стул ученический (без подлокотников)</t>
  </si>
  <si>
    <t>Табурет винтовой (банкетка)</t>
  </si>
  <si>
    <t>Дирижерский подиум</t>
  </si>
  <si>
    <t>Ковер акустический</t>
  </si>
  <si>
    <t>Стойка для пюпитров (телескопическая)</t>
  </si>
  <si>
    <t>Шкаф/стеллаж для хранения инструментов</t>
  </si>
  <si>
    <t>Увлажнитель воздуха промышленный</t>
  </si>
  <si>
    <t>Струны для домбры (комплекты)</t>
  </si>
  <si>
    <t>Струны для домры</t>
  </si>
  <si>
    <t>Струны для кыл-кобыза</t>
  </si>
  <si>
    <t>Чехол/кейс для инструментов</t>
  </si>
  <si>
    <t>на каждый инструмент</t>
  </si>
  <si>
    <t>Микшерный пульт цифровой (16–24 кан.)</t>
  </si>
  <si>
    <t>Активная колонка (PA-система, 300–500 Вт)</t>
  </si>
  <si>
    <t>Монитор сценический</t>
  </si>
  <si>
    <t>Микрофон инструментальный</t>
  </si>
  <si>
    <t>Микрофон конденсаторный (пара)</t>
  </si>
  <si>
    <t>Радиосистема вокальная</t>
  </si>
  <si>
    <t>Метроном с колонкой</t>
  </si>
  <si>
    <t>Диктофон профессиональный</t>
  </si>
  <si>
    <t>Кабельный комплект (XLR, инструментальный)</t>
  </si>
  <si>
    <t>40–60 м</t>
  </si>
  <si>
    <t>Стул ученический жесткий (без подлокотников)</t>
  </si>
  <si>
    <t>Шкаф для инструментов (по числу учеников в группе)</t>
  </si>
  <si>
    <t>Увлажнитель воздуха (для струнных)</t>
  </si>
  <si>
    <t>Ковер на пол (для акустики)</t>
  </si>
  <si>
    <t>32.2</t>
  </si>
  <si>
    <t>Рояль концертный</t>
  </si>
  <si>
    <t>Т.пер.</t>
  </si>
  <si>
    <t>Гардероб преподават.</t>
  </si>
  <si>
    <t>Раздевальная</t>
  </si>
  <si>
    <t>Шкафы (локеры)</t>
  </si>
  <si>
    <t>Скамья</t>
  </si>
  <si>
    <t>Хореография</t>
  </si>
  <si>
    <t>74.7</t>
  </si>
  <si>
    <t>https://drive.google.com/file/d/1IM6IlLCfWI5Y1ZCXrw_KdLHchb6XDWuS/view</t>
  </si>
  <si>
    <t>Стенка гимнастическая 2800х800мм</t>
  </si>
  <si>
    <t>Скамья гимнастическая с металлическими опорами 1500 мм</t>
  </si>
  <si>
    <t>Станок хореографический двухрядный  2.5 м</t>
  </si>
  <si>
    <t>Скамья для раздевалок без спинки- 2 м</t>
  </si>
  <si>
    <t>Гимнастический мяч (Фитбол) 65 гладкий</t>
  </si>
  <si>
    <t>Гимнастический мяч (Фитбол) 85 гладкий</t>
  </si>
  <si>
    <t>Коврик для фитнеса</t>
  </si>
  <si>
    <t>Каб. кулинарии для девочек 5-9 классов</t>
  </si>
  <si>
    <t>Техника и учебные принадлежности</t>
  </si>
  <si>
    <t xml:space="preserve">Мобильная стойка с электрическим приводом для интерактивной
панели 
</t>
  </si>
  <si>
    <t>Моноблок для преподавателя</t>
  </si>
  <si>
    <t xml:space="preserve">Многофункциональное устройство (копир/принтер/сканер) </t>
  </si>
  <si>
    <t>Стол преподавателя</t>
  </si>
  <si>
    <t xml:space="preserve">Кресло, крутящееся на роликах с подлокотниками </t>
  </si>
  <si>
    <t>Шкаф открытый</t>
  </si>
  <si>
    <t>ПРИНАДЛЕЖНОСТИ ДЛЯ КУХНИ</t>
  </si>
  <si>
    <t>Кухонный гарнитур с мойкой и смесителем</t>
  </si>
  <si>
    <t>Весы электронные настольные до 5 килограмм</t>
  </si>
  <si>
    <t>Комбайн кухонный</t>
  </si>
  <si>
    <t>Миксер</t>
  </si>
  <si>
    <t>Печь микроволновая</t>
  </si>
  <si>
    <t>Вытяжка</t>
  </si>
  <si>
    <t>Стеклокерамическая варочная поверхность</t>
  </si>
  <si>
    <t>Холодильник</t>
  </si>
  <si>
    <t>Чайник электрический</t>
  </si>
  <si>
    <t>Вилка столовая</t>
  </si>
  <si>
    <t>Дозатор сахара</t>
  </si>
  <si>
    <t>Дорожка настольная</t>
  </si>
  <si>
    <t>Доска разделочная</t>
  </si>
  <si>
    <t>Дуршлаг</t>
  </si>
  <si>
    <t>Кастрюля</t>
  </si>
  <si>
    <t>Ковш</t>
  </si>
  <si>
    <t>Контейнер с крышкой для сухих продуктов</t>
  </si>
  <si>
    <t>Ложка столовая</t>
  </si>
  <si>
    <t>Ложка чайная</t>
  </si>
  <si>
    <t>Лоток для столовых приборов</t>
  </si>
  <si>
    <t>Мерные емкости</t>
  </si>
  <si>
    <t>Мерный кувшин</t>
  </si>
  <si>
    <t>Миска сервировочная</t>
  </si>
  <si>
    <t>Молочник/сливочник</t>
  </si>
  <si>
    <t>Набор кухонных принадлежностей 5 предметов</t>
  </si>
  <si>
    <t>Набор ножей кухонных 3 штук</t>
  </si>
  <si>
    <t>Нож для чистки картофеля</t>
  </si>
  <si>
    <t>Нож консервный</t>
  </si>
  <si>
    <t>Нож столовый</t>
  </si>
  <si>
    <t>Овощерезка</t>
  </si>
  <si>
    <t>Поднос</t>
  </si>
  <si>
    <t>Подставка под горячее</t>
  </si>
  <si>
    <t>Пресс для чеснока</t>
  </si>
  <si>
    <t>Салфетка под приборы</t>
  </si>
  <si>
    <t>Сервиз столовый 18 предметов</t>
  </si>
  <si>
    <t>Сито для муки</t>
  </si>
  <si>
    <t>Скалка деревянная</t>
  </si>
  <si>
    <t>Сковорода</t>
  </si>
  <si>
    <t>Солонка/перечница</t>
  </si>
  <si>
    <t>Сушилка сетка для посуды</t>
  </si>
  <si>
    <t>Тарелка большая</t>
  </si>
  <si>
    <t>Терка из нержавеющей стали</t>
  </si>
  <si>
    <t>Толкушка для картофеля</t>
  </si>
  <si>
    <t>Чайник заварочный</t>
  </si>
  <si>
    <t>Чашка чайная</t>
  </si>
  <si>
    <t>ПРОЧЕЕ ОБОРУДОВАНИЕ</t>
  </si>
  <si>
    <t>Аптечка</t>
  </si>
  <si>
    <t>Корзина для мусора</t>
  </si>
  <si>
    <t>ДОПОЛНИТЕЛЬНОЕ ОБОРУДОВАНИЕ</t>
  </si>
  <si>
    <t>Электрожарочный шкаф производственный</t>
  </si>
  <si>
    <t>Холодильник бытовой</t>
  </si>
  <si>
    <t>Электрическая плита 4-х комфорочная</t>
  </si>
  <si>
    <t>Стол ученический 2-х местный со стульями регулируемые по высоте</t>
  </si>
  <si>
    <t>88.6</t>
  </si>
  <si>
    <t>Гардероб нач.школы (1-4 кл.)</t>
  </si>
  <si>
    <t>46.2</t>
  </si>
  <si>
    <t>34.0</t>
  </si>
  <si>
    <t>Место охраны</t>
  </si>
  <si>
    <t>Стол для монитора</t>
  </si>
  <si>
    <t>Каб.отдел.кадров</t>
  </si>
  <si>
    <t xml:space="preserve">Техника </t>
  </si>
  <si>
    <t>Стол для кабинета</t>
  </si>
  <si>
    <t>Учебный кабинет 3 класс</t>
  </si>
  <si>
    <t>60.1</t>
  </si>
  <si>
    <t>Наименование учебного оборудования</t>
  </si>
  <si>
    <t>ОПС для панели</t>
  </si>
  <si>
    <t>Акустическая система настольная</t>
  </si>
  <si>
    <t>Многофункциональное устройство</t>
  </si>
  <si>
    <t>Сетевой фильтр</t>
  </si>
  <si>
    <t>Программное обеспечение для интерактивного дисплея на 1 год</t>
  </si>
  <si>
    <t>Кресло крутящееся на роликах с подлокотниками</t>
  </si>
  <si>
    <t>Стол ученический лабораторный 2-х местный</t>
  </si>
  <si>
    <t>Стул ученический</t>
  </si>
  <si>
    <t>Стол демонстрационный</t>
  </si>
  <si>
    <t>Шкаф для учебно-наглядных пособий с открытыми и закрытыми полками</t>
  </si>
  <si>
    <t>Доска комбинированная маркерная и меловая с расчерченной в клетку и линию поверхностью</t>
  </si>
  <si>
    <t>Приборы общего назначения:</t>
  </si>
  <si>
    <t>Наглядные пособия и литература</t>
  </si>
  <si>
    <t>Набор сюжетных картин для развития речи</t>
  </si>
  <si>
    <t>Набор предметных картинок (животные, растения, транспорт, фрукты, овощи, мебель, одежда)</t>
  </si>
  <si>
    <t>Постеры тематические по темам начальной школы</t>
  </si>
  <si>
    <t>Пособия и принадлежности по математике и логике</t>
  </si>
  <si>
    <t>Лента измерительная 1 метр</t>
  </si>
  <si>
    <t>Модель демонстрационная Единицы объема</t>
  </si>
  <si>
    <t>Набор геометрических фигур и разверток демонстрационный</t>
  </si>
  <si>
    <t>Набор геометрических фигур раздаточный</t>
  </si>
  <si>
    <t>Набор чертежных инструментов для классной доски из 5 предметов</t>
  </si>
  <si>
    <t>Набор цифр и знаков магнитный демонстрационный</t>
  </si>
  <si>
    <t>Набор "Опорные таблицы по математике 1-4 класс", на рус.яз. или на каз.яз., формат А3, в комплекте 32 шт.</t>
  </si>
  <si>
    <t>Пособие раздаточное для обучения сложению и вычитанию в пределах 10 и 20</t>
  </si>
  <si>
    <t>Пособие раздаточное Доли, Дроби, Части целого</t>
  </si>
  <si>
    <t>Набор демонстрационный для обучения сложению и вычитанию в пределах 100, умножению, делению, работе с долями и дробями</t>
  </si>
  <si>
    <t>Часы с циферблатом демонстрационные</t>
  </si>
  <si>
    <t>Часы с циферблатом для учащихся</t>
  </si>
  <si>
    <t>Учебные таблицы и плакаты</t>
  </si>
  <si>
    <t>Касса букв на казахском языке (74 х 56 см)</t>
  </si>
  <si>
    <t>Папка-комплект "Алфавит на казахском языке" (ф.А4, 42 шт.)</t>
  </si>
  <si>
    <t>Папка-комплект "Астана - арман қала" (ф.А4, 20 шт., на каз.и на рус.яз., глянц.)</t>
  </si>
  <si>
    <t>Достопримечательности Алматы, А4 -20 шт на рус.яз</t>
  </si>
  <si>
    <t>Папка-комплект "Әріптер жинағы" (ф. А 5, 42 шт., каз.яз., мелов.глянц.)</t>
  </si>
  <si>
    <t>Папка-комплект "Дене-шынықтыру ойындары" (ф.А4, 8 шт., на каз.яз.)</t>
  </si>
  <si>
    <t>Папка-комплект "Жолда жүру ережелері" (ф.А4, 10 шт., на каз.яз.)</t>
  </si>
  <si>
    <t>Национальные игры, Қазақ халқының ұлттық ойындары А4- 8шт</t>
  </si>
  <si>
    <t>плакаты Қазақ тілі -1 класс, 60х42 см (фотобумага), (в комплекте 18 шт)</t>
  </si>
  <si>
    <t>Папка-комплект "Қазақ халкының ұлттық аспаптары" (ф.А4, 19 шт.)</t>
  </si>
  <si>
    <t>Папка-комплект "Қазақ ыдыстары" (ф.А4, 17 шт.)</t>
  </si>
  <si>
    <t>Жануя. Семья А5, 9 шт каз/рус</t>
  </si>
  <si>
    <t>Безопасность при пожаре, А4 6 шт на рус.яз</t>
  </si>
  <si>
    <t>плакат Алфавит, 60х90 см на каз.яз</t>
  </si>
  <si>
    <t>Плакат "Жазу үлгісі", А1 (фотобумага)</t>
  </si>
  <si>
    <t>плакат "Учимся считать, 60х90 см" (каз.яз, рус.яз) (фотобумага), (в комплекте 7 шт)</t>
  </si>
  <si>
    <t>Алфавит казахский. Әліппес картинками, 42х60, 42 шт</t>
  </si>
  <si>
    <t>таблицы Дуниетану 3 сынып, 60х90 см (фотобумага), (в комплекте 10шт)</t>
  </si>
  <si>
    <t>Игра и физкультура, Дене-шынықтыру ойындары. А4-8 шт</t>
  </si>
  <si>
    <t>таблицы Дуниетану 1-2 сынып, 60х90 см (фотобумага), (в комплекте 10шт)</t>
  </si>
  <si>
    <t>таблицы Дуниетану 4 сынып, 60х90 см (фотобумага), (в комплекте 8 шт)</t>
  </si>
  <si>
    <t>Еңбекке баулу. Труды 1-2 класс, 42х60 см, в комплекте 12 шт</t>
  </si>
  <si>
    <t>Еңбекке баулу. Труды 3-4 класс, 42х60 см, в комплекте 14 шт</t>
  </si>
  <si>
    <t>Ертегілер-сказки 1-2 сынып, 60х42 см, в комплекте 19 шт</t>
  </si>
  <si>
    <t>Ертегілер- сказки 3 сынып, 60х42 см, в комплекте 14 шт</t>
  </si>
  <si>
    <t>Ертегілер -сказки 4 сынып, 60х42 см, в комплекте 21 шт</t>
  </si>
  <si>
    <t>плакаты Қазақ тілі -2 класс, 60х42 см (фотобумага), (в комплекте 18 шт)</t>
  </si>
  <si>
    <t>плакаты Қазақ тілі -3 класс, 60х42 см (фотобумага), (в комплекте 20 шт)</t>
  </si>
  <si>
    <t>плакаты Қазақ тілі -4 класс, 60х42 см (фотобумага), (в комплекте 20 шт)</t>
  </si>
  <si>
    <t>плакаты Казахский язык 1 класс, 60х42 см (фотобумага), (в комплекте 19 шт)</t>
  </si>
  <si>
    <t>плакаты Казахский язык 2 класс, 60х42 см (фотобумага), (в комплекте 25 шт)</t>
  </si>
  <si>
    <t>плакаты Казахский язык 3 класс, 60х42 см (фотобумага), (в комплекте 27 шт)</t>
  </si>
  <si>
    <t>плакаты Казахский язык 4 класс, 60х42 см (фотобумага), (в комплекте 29 шт)</t>
  </si>
  <si>
    <t>плакаты "Математика 1 класс", 68х98 см (картон), (в комплекте 12 шт)</t>
  </si>
  <si>
    <t>плакаты "Математика (каз.яз) 1-2 классы", 40х60 см (фотобумага), в комплекте 26 шт</t>
  </si>
  <si>
    <t>Словарная работа на 2х языках. Сөздік жұмысы, 42х60 см, в комплекте 23 шт</t>
  </si>
  <si>
    <t>Традиционные игры, А4, 10 шт</t>
  </si>
  <si>
    <t>Тематические картинки для нач. школы - бастауыш сыныптарға арналған сюжетті, А4 11 шт</t>
  </si>
  <si>
    <t>Дополнительные принадлежности</t>
  </si>
  <si>
    <t>Стенд Правила техники безопасности</t>
  </si>
  <si>
    <t>Аптечка с принадлежностями</t>
  </si>
  <si>
    <t>Бумага А4</t>
  </si>
  <si>
    <t>Губка для маркерной доски</t>
  </si>
  <si>
    <t>Магниты для маркерной доски</t>
  </si>
  <si>
    <t>Маркер для маркерной доски</t>
  </si>
  <si>
    <t>Мел белый школьный</t>
  </si>
  <si>
    <t>Учебный кабинет 1 класс</t>
  </si>
  <si>
    <t>62.2</t>
  </si>
  <si>
    <t>6.0</t>
  </si>
  <si>
    <t xml:space="preserve">Т.пер. </t>
  </si>
  <si>
    <t>Учебный кабинет 2 класс</t>
  </si>
  <si>
    <t>61.1</t>
  </si>
  <si>
    <t>61.2</t>
  </si>
  <si>
    <t>42.9</t>
  </si>
  <si>
    <t xml:space="preserve">Кухня </t>
  </si>
  <si>
    <t>120.7</t>
  </si>
  <si>
    <t>Кухня</t>
  </si>
  <si>
    <t>250.6</t>
  </si>
  <si>
    <t>Столовая на 170 мест (100 школа 70 пер.)</t>
  </si>
  <si>
    <t>166.6</t>
  </si>
  <si>
    <t>Столовая на 174 мест интернат</t>
  </si>
  <si>
    <t>146.6</t>
  </si>
  <si>
    <t>Умывальная</t>
  </si>
  <si>
    <t>Дозатор жидкого мыла</t>
  </si>
  <si>
    <t>Держатель бумажных полотенец</t>
  </si>
  <si>
    <t>Электросушилка для рук</t>
  </si>
  <si>
    <t>Мусорное ведро</t>
  </si>
  <si>
    <t>146.4</t>
  </si>
  <si>
    <t>Помещ. тех. пресонала</t>
  </si>
  <si>
    <t>Стол</t>
  </si>
  <si>
    <t>ЭЛ/СС</t>
  </si>
  <si>
    <t>40.1</t>
  </si>
  <si>
    <t>34.1</t>
  </si>
  <si>
    <t>Кабинет зав. инетрната</t>
  </si>
  <si>
    <t>Письменный стол</t>
  </si>
  <si>
    <t>Каб. психолога (интернат)</t>
  </si>
  <si>
    <t>Маршрутизатор</t>
  </si>
  <si>
    <t>Колонка портативная</t>
  </si>
  <si>
    <t>Кресло полумягкое с эффектом раскачивания</t>
  </si>
  <si>
    <t>Стол журнальный компактный</t>
  </si>
  <si>
    <t xml:space="preserve">Стол </t>
  </si>
  <si>
    <t xml:space="preserve">Стул </t>
  </si>
  <si>
    <t>Пуф мягкий</t>
  </si>
  <si>
    <t>Шкаф полуоткрытый</t>
  </si>
  <si>
    <t>компл</t>
  </si>
  <si>
    <t>Доска магнитная/пробковая</t>
  </si>
  <si>
    <t>Дидактические материалы</t>
  </si>
  <si>
    <t>Игра или игрушка для развития игровой деятельности</t>
  </si>
  <si>
    <t>Игра или игрушка для развития игровой деятельности тип 1</t>
  </si>
  <si>
    <t>Игра или игрушка для развития игровой деятельности тип 2</t>
  </si>
  <si>
    <t>Игра или игрушка для развития игровой деятельности тип 3</t>
  </si>
  <si>
    <t>Комплект для психолого-педагогического обследования детей с нарушением интеллекта</t>
  </si>
  <si>
    <t>комплект</t>
  </si>
  <si>
    <t>Комплект «Математика»</t>
  </si>
  <si>
    <t>Облучатель бактерицидный настенный</t>
  </si>
  <si>
    <t>Светильник-релаксант разноцветный настольный</t>
  </si>
  <si>
    <t>Ковровое покрытие напольное</t>
  </si>
  <si>
    <t>Изолятор Ж</t>
  </si>
  <si>
    <t>Изолятор М</t>
  </si>
  <si>
    <t>Санузел</t>
  </si>
  <si>
    <t>Спальная  х 4</t>
  </si>
  <si>
    <t>кровать для сна двухъярусная</t>
  </si>
  <si>
    <t xml:space="preserve">Матрас </t>
  </si>
  <si>
    <t>Мягкий напольный коврик</t>
  </si>
  <si>
    <t>кабинетный фортепиано</t>
  </si>
  <si>
    <t>стулья для фортепиано</t>
  </si>
  <si>
    <t>пуфик</t>
  </si>
  <si>
    <t>стол с тумбой</t>
  </si>
  <si>
    <t>Прихожая</t>
  </si>
  <si>
    <t>Шкаф (распашной или купе)</t>
  </si>
  <si>
    <t>Вешалка (настенная или напольная)</t>
  </si>
  <si>
    <t>Обувница (калошница)</t>
  </si>
  <si>
    <t>Банкетка</t>
  </si>
  <si>
    <t>Комод или консоль</t>
  </si>
  <si>
    <t>Душевая</t>
  </si>
  <si>
    <t>Бытовая комната</t>
  </si>
  <si>
    <t>Стиральная машина</t>
  </si>
  <si>
    <t>Сушильная машина</t>
  </si>
  <si>
    <t>Сушильный шкаф</t>
  </si>
  <si>
    <t>Влагостойкая столешница</t>
  </si>
  <si>
    <t>Встроенная гладильная доска</t>
  </si>
  <si>
    <t>Выкатные корзины</t>
  </si>
  <si>
    <t>открытый шкаф с полками</t>
  </si>
  <si>
    <t>Зона переобувания</t>
  </si>
  <si>
    <t>15.0</t>
  </si>
  <si>
    <t>Тренажерный зал</t>
  </si>
  <si>
    <t>80.6</t>
  </si>
  <si>
    <t>https://drive.google.com/file/d/10wEkOTxrW1gnhsUMI_mFtmZYwgXfuq5u/view</t>
  </si>
  <si>
    <t>Тренажер бицепс-машина F -A16</t>
  </si>
  <si>
    <t>Тренажер Разгибание ног сидя F -A02</t>
  </si>
  <si>
    <t xml:space="preserve">Скамья стойка для жима штанги лежа горизантальная </t>
  </si>
  <si>
    <t>Блок для мышц спины (верхная тяга)</t>
  </si>
  <si>
    <t xml:space="preserve">Силовая рама для приседания, Машина Смита </t>
  </si>
  <si>
    <t>Тренажер Кроссовер</t>
  </si>
  <si>
    <t xml:space="preserve">Беговая дорожка </t>
  </si>
  <si>
    <t xml:space="preserve">Велотренажер </t>
  </si>
  <si>
    <t xml:space="preserve">Тренажер Гиперэкстензия углавая </t>
  </si>
  <si>
    <t xml:space="preserve">Стойка для гантелей 3х рядная </t>
  </si>
  <si>
    <t>Стойка для дисков</t>
  </si>
  <si>
    <t xml:space="preserve">Скамья для пресса регулируемая </t>
  </si>
  <si>
    <t>Горизантальная скамья</t>
  </si>
  <si>
    <t>Скамья для раздевалок без спинка 2м</t>
  </si>
  <si>
    <t>Спальная МГН</t>
  </si>
  <si>
    <t>Санузел МГН</t>
  </si>
  <si>
    <t>Спальная наставника</t>
  </si>
  <si>
    <t>Телевизор 65"</t>
  </si>
  <si>
    <t>Кабель HDMI-HDMI</t>
  </si>
  <si>
    <t>Очиститель воздуха</t>
  </si>
  <si>
    <t>Увлажнитель воздуха</t>
  </si>
  <si>
    <t>Пылесос</t>
  </si>
  <si>
    <t>Мебель спальня</t>
  </si>
  <si>
    <t>Кровать для сна</t>
  </si>
  <si>
    <t>Матрас</t>
  </si>
  <si>
    <t>Шкаф</t>
  </si>
  <si>
    <t>Стол для компьютера с тумбочкой</t>
  </si>
  <si>
    <t>Спальная  х 3</t>
  </si>
  <si>
    <t>82.8</t>
  </si>
  <si>
    <t xml:space="preserve">2 этаж </t>
  </si>
  <si>
    <t xml:space="preserve">Наименование помещения </t>
  </si>
  <si>
    <t xml:space="preserve">Артистич. </t>
  </si>
  <si>
    <t>МУЗЫКАЛЬНОЕ ОСНАЩЕНИЕ</t>
  </si>
  <si>
    <t>Метроном (портативный)</t>
  </si>
  <si>
    <t>Пюпитр складной (для последних штрихов перед выходом)</t>
  </si>
  <si>
    <t xml:space="preserve">Душевая </t>
  </si>
  <si>
    <t>Холл зона ожидания</t>
  </si>
  <si>
    <t>Зрительный зал на 500 мест</t>
  </si>
  <si>
    <t xml:space="preserve">Основная акустика L–R </t>
  </si>
  <si>
    <t xml:space="preserve">комплект </t>
  </si>
  <si>
    <t>Сабвуферы</t>
  </si>
  <si>
    <t xml:space="preserve">Сценические мониторы </t>
  </si>
  <si>
    <t xml:space="preserve">Студийные мониторы </t>
  </si>
  <si>
    <t xml:space="preserve">шт </t>
  </si>
  <si>
    <t xml:space="preserve">Усилители / процессоры </t>
  </si>
  <si>
    <t>Аудиоинтерфейс многоканальный</t>
  </si>
  <si>
    <t xml:space="preserve">Профессиональная многофункциональная внешняя звуковая карта </t>
  </si>
  <si>
    <t>Цифровой микшерный пульт (не менее 32 каналов)</t>
  </si>
  <si>
    <t xml:space="preserve"> Микрофоны вокальные и инструментальные(Радио)</t>
  </si>
  <si>
    <t>Микрофонные стойки</t>
  </si>
  <si>
    <t>DI-боксы (директ-боксы)</t>
  </si>
  <si>
    <t>Студийные наушники</t>
  </si>
  <si>
    <t>Система распределения наушников</t>
  </si>
  <si>
    <t xml:space="preserve">Кабельная продукция (XLR, Jack, сетевые) </t>
  </si>
  <si>
    <t xml:space="preserve">LAD экран </t>
  </si>
  <si>
    <t>Камера для записи</t>
  </si>
  <si>
    <t xml:space="preserve">Персональные IEM-системы (In Ear Monitoring) </t>
  </si>
  <si>
    <t>Стулья</t>
  </si>
  <si>
    <t xml:space="preserve">Стол для звукозаписывающей аппаратуры </t>
  </si>
  <si>
    <t xml:space="preserve">Шкаф для хранения оборудования </t>
  </si>
  <si>
    <t>Вешалка для одежды</t>
  </si>
  <si>
    <t>Кресло для актового зала</t>
  </si>
  <si>
    <t>Планшет для управления цифровым микшерным пультом</t>
  </si>
  <si>
    <t xml:space="preserve">Сценическое световое оборудование </t>
  </si>
  <si>
    <t xml:space="preserve">Световой пульт управления </t>
  </si>
  <si>
    <t xml:space="preserve">Линейные мониторы </t>
  </si>
  <si>
    <t>Основная акустическая система с сабвуферами</t>
  </si>
  <si>
    <t>Активный микшерный пульт</t>
  </si>
  <si>
    <t>С/у М зрители</t>
  </si>
  <si>
    <t>С/у Ж зрители</t>
  </si>
  <si>
    <t xml:space="preserve">Костюмерная </t>
  </si>
  <si>
    <t>Вешала</t>
  </si>
  <si>
    <t>Стеллажи с глубокими полками:</t>
  </si>
  <si>
    <t>Шкафы-пеналы или закрытые стеллажи</t>
  </si>
  <si>
    <t>Обувницы (многоярусные полки)</t>
  </si>
  <si>
    <t>Зеркало в полный рост</t>
  </si>
  <si>
    <t>Примерочная кабина (ширма)</t>
  </si>
  <si>
    <t>Стол рабочий</t>
  </si>
  <si>
    <t>Утюг с парогенератором + Гладильная доска</t>
  </si>
  <si>
    <t>Швейная машина (электромеханическая)</t>
  </si>
  <si>
    <t>Манекены</t>
  </si>
  <si>
    <t>Осушитель воздуха</t>
  </si>
  <si>
    <t>Каб.учеб.занятий струнный квартет</t>
  </si>
  <si>
    <t xml:space="preserve">фортепиано </t>
  </si>
  <si>
    <t xml:space="preserve">Стулья виолончельные с регулировкой </t>
  </si>
  <si>
    <t>Ковер под виолончель (шип не скользит)</t>
  </si>
  <si>
    <t xml:space="preserve">Пуфы </t>
  </si>
  <si>
    <t>Костюмерная</t>
  </si>
  <si>
    <t xml:space="preserve">коридор </t>
  </si>
  <si>
    <t xml:space="preserve">Зона локеров </t>
  </si>
  <si>
    <t>Локер</t>
  </si>
  <si>
    <t>Туалет персонал</t>
  </si>
  <si>
    <t>Каб. для индивидуальных занятий Концертмейстер</t>
  </si>
  <si>
    <t>Рояль (малый, до 170 см)</t>
  </si>
  <si>
    <t>Зеркало во всю стену (для артикуляции, осанки)</t>
  </si>
  <si>
    <t>Диктофон профессиональный (Zoom H5 или Tascam)</t>
  </si>
  <si>
    <t>Пюпитр</t>
  </si>
  <si>
    <t>Метроном + тонер (для распевок) в одном приборе</t>
  </si>
  <si>
    <t xml:space="preserve">Каб. для индивидуальных занятий </t>
  </si>
  <si>
    <t>Парта одноместная</t>
  </si>
  <si>
    <t>кабинет контрабаса</t>
  </si>
  <si>
    <t>Пианино вертикальное (кабинетное японское)</t>
  </si>
  <si>
    <t>Табурет винтовой</t>
  </si>
  <si>
    <t>Контрабас 3/4</t>
  </si>
  <si>
    <t>Контрабас 4/4</t>
  </si>
  <si>
    <t>Смычки французского и немецкого типа</t>
  </si>
  <si>
    <t>Высокий стул (для игры сидя) – 2 шт.</t>
  </si>
  <si>
    <t>Подставка для ног (наклонная)</t>
  </si>
  <si>
    <t>Чехлы с колесами – 3 шт.</t>
  </si>
  <si>
    <t>Табурет учительский высокий</t>
  </si>
  <si>
    <t>Настройщик с большим экраном (клипса) – 1 шт.</t>
  </si>
  <si>
    <t xml:space="preserve">Эстрада </t>
  </si>
  <si>
    <t>Ансабль виолончелистов 72 мест</t>
  </si>
  <si>
    <t>Пюпитр симфонический (тяжёлый, с широкой поверхностью, чёрный)</t>
  </si>
  <si>
    <t>Стул для виолончелиста (без подлокотников, с регулировкой высоты)</t>
  </si>
  <si>
    <t>Ковёр акустический (под всю рассадку)</t>
  </si>
  <si>
    <t>Микшерный пульт (на 24-32 канала)</t>
  </si>
  <si>
    <t>Активные колонки PA-системы</t>
  </si>
  <si>
    <t>Конденсаторные микрофоны (пара, для записи)</t>
  </si>
  <si>
    <t>Микрофоны для виолончелей (DPA 4099 или аналог)</t>
  </si>
  <si>
    <t>Микрофонные стойки (низкие, напольные)</t>
  </si>
  <si>
    <t>Кабельный комплект (XLR)</t>
  </si>
  <si>
    <t>30-40 м</t>
  </si>
  <si>
    <t>ВИДЕООБОРУДОВАНИЕ</t>
  </si>
  <si>
    <t>Камера видеонаблюдения/записи (для разбора репетиций)</t>
  </si>
  <si>
    <t>Монитор/телевизор (для просмотра)</t>
  </si>
  <si>
    <t>Проектор + экран</t>
  </si>
  <si>
    <t>КЛИМАТ-КОНТРОЛЬ</t>
  </si>
  <si>
    <t>Термометр/гигрометр</t>
  </si>
  <si>
    <t>ХРАНЕНИЕ</t>
  </si>
  <si>
    <t>Складные стойки для виолончелей (для транспортировки)</t>
  </si>
  <si>
    <t>Шкаф для нот и партитур</t>
  </si>
  <si>
    <t xml:space="preserve">кабинет контрабаса </t>
  </si>
  <si>
    <t>Высокий стул (для игры сидя)</t>
  </si>
  <si>
    <t>Чехлы с колесами</t>
  </si>
  <si>
    <t>Кабинет арфы</t>
  </si>
  <si>
    <t>Арфа концертная 47 струн (венская педальная)</t>
  </si>
  <si>
    <t>Чехол для транспортировки</t>
  </si>
  <si>
    <t>Тележка для перевозки</t>
  </si>
  <si>
    <t>Стул для арфиста (без подлокотников, высокая спинка)</t>
  </si>
  <si>
    <t>Набор ключей для настройки</t>
  </si>
  <si>
    <t>Запас струн (кевлар, жила) – полный комплект + служебный ящик.</t>
  </si>
  <si>
    <t>Увлажнитель комнатный промышленный</t>
  </si>
  <si>
    <t>Климатическая стойка для арфы (деревянная)</t>
  </si>
  <si>
    <t xml:space="preserve">Каб зав концермейстер мастерства </t>
  </si>
  <si>
    <t>Каб. для занятий 3духовой ансамбль</t>
  </si>
  <si>
    <t>Флейта поперечная (ученическая)</t>
  </si>
  <si>
    <t>Кларнет (система Бёма, B)</t>
  </si>
  <si>
    <t>Гобой (ученический)</t>
  </si>
  <si>
    <t>Фагот (ученический, с фаготной трубкой)</t>
  </si>
  <si>
    <t>Саксофон альт (E)</t>
  </si>
  <si>
    <t>Саксофон тенор (B)</t>
  </si>
  <si>
    <t>Труба (B)</t>
  </si>
  <si>
    <t>Валторна (F, с двойным вентилем)</t>
  </si>
  <si>
    <t>Тромбон (теноровый, с кулисой)</t>
  </si>
  <si>
    <t>Тенор (баритон) (B, с вентилями)</t>
  </si>
  <si>
    <t>Туба (B или E)</t>
  </si>
  <si>
    <t>Малый барабан (концертный)</t>
  </si>
  <si>
    <t>Тарелки (пара, 16–18")</t>
  </si>
  <si>
    <t>Треугольник (с палочкой)</t>
  </si>
  <si>
    <t>Бубен (большой, без тарелок)</t>
  </si>
  <si>
    <t>Мундштуки (сменные, для труб, тромбонов, валторн)</t>
  </si>
  <si>
    <t>Трости для кларнета и саксофона (упаковки по 10 шт.)</t>
  </si>
  <si>
    <t>Трости для гобоя и фагота (заготовки)</t>
  </si>
  <si>
    <t>Смазка для выдвижных колен (тромбон, туба)</t>
  </si>
  <si>
    <t>Масло для вентилей (клапанное)</t>
  </si>
  <si>
    <t>Чехлы/кейсы для каждого инструмента</t>
  </si>
  <si>
    <t>по числу инструментов</t>
  </si>
  <si>
    <t>камерный ансамбль</t>
  </si>
  <si>
    <t>Пианино вертикальное (кабинетное)</t>
  </si>
  <si>
    <t>Табурет винтовой (банкетка) для пианиста</t>
  </si>
  <si>
    <t>Пюпитр симфонический (тяжёлый, устойчивый)</t>
  </si>
  <si>
    <t>Пюпитр лёгкий складной (резервный)</t>
  </si>
  <si>
    <t>Камертон электронный (440 Гц)</t>
  </si>
  <si>
    <t>Хроматический тюнер (клипса или настольный)</t>
  </si>
  <si>
    <t>Стул для артиста (жёсткий, без подлокотников)</t>
  </si>
  <si>
    <t>Стул для виолончелиста (высокий, регулируемый)</t>
  </si>
  <si>
    <t>Стул для контрабасиста (высокий, если требуется)</t>
  </si>
  <si>
    <t>Ковёр акустический на пол (нескользящий, звукопоглощающий)</t>
  </si>
  <si>
    <t>Шкаф для инструментов (по числу учеников, минимум на 6–8 мест)</t>
  </si>
  <si>
    <t>Шкаф/стеллаж для нот и партитур (закрывающийся)</t>
  </si>
  <si>
    <t>Стойка для пюпитров (телескопическая, напольная)</t>
  </si>
  <si>
    <t>Вешалка для смычков (настенная)</t>
  </si>
  <si>
    <t>Полка для аксессуаров (канифоль, струны, медиаторы)</t>
  </si>
  <si>
    <t>Акустическая панель широкополосная (60×60×5 см)</t>
  </si>
  <si>
    <t>Басовая ловушка (угловая, поролоновая или минераловатная)</t>
  </si>
  <si>
    <t>Зеркало настенное (во весь рост, для контроля постановки рук/корпуса)</t>
  </si>
  <si>
    <t>Доска нотная (5 линеек, магнитно-маркерная)</t>
  </si>
  <si>
    <t>Активная портативная колонка (PA, 50–150 Вт)</t>
  </si>
  <si>
    <t>Микшерный пульт малый (4–6 каналов, компактный)</t>
  </si>
  <si>
    <t>Микрофон инструментальный (Shure SM57)</t>
  </si>
  <si>
    <t>Кабель XLR (1,5–5 м)</t>
  </si>
  <si>
    <t>20 м (в отрезках)</t>
  </si>
  <si>
    <t>Диктофон профессиональный (Zoom H1n или H5)</t>
  </si>
  <si>
    <t>Bluetooth-приёмник для колонки</t>
  </si>
  <si>
    <t>Наушники закрытые (для разбора партий)</t>
  </si>
  <si>
    <t>Разветвитель наушников на 4 выхода</t>
  </si>
  <si>
    <t>Общее светодиодное освещение (регулируемое)</t>
  </si>
  <si>
    <t>Дежурное освещение</t>
  </si>
  <si>
    <t>по требованию</t>
  </si>
  <si>
    <t xml:space="preserve">Пианино вертикальное (кабинетное) </t>
  </si>
  <si>
    <t>Аудитория для хоров</t>
  </si>
  <si>
    <t>Пианино (кабинетное, для занятий)</t>
  </si>
  <si>
    <t>Стул для пианиста (банкетка винтовая)</t>
  </si>
  <si>
    <t>ХОРОВЫЕ СТАНКИ И ПОДИУМЫ</t>
  </si>
  <si>
    <t>Хоровой станок  4см*3м40см</t>
  </si>
  <si>
    <t>Пульт дирижера</t>
  </si>
  <si>
    <t>Зеркало 60*60</t>
  </si>
  <si>
    <t>Стол с тумбой</t>
  </si>
  <si>
    <t>створчатый шкаф</t>
  </si>
  <si>
    <t>Шкаф для нот</t>
  </si>
  <si>
    <t>Кабинет для индивидуальных занятий (хор)</t>
  </si>
  <si>
    <t>Фортепиано</t>
  </si>
  <si>
    <t>Зеркало 100*80 см</t>
  </si>
  <si>
    <t>Хоровая подставка для дирижёра 20*80*80 см</t>
  </si>
  <si>
    <t>Дорожки 1м 20 см* 3 м</t>
  </si>
  <si>
    <t>Рояль концертный (170+A3+A8:A29+A8:A39</t>
  </si>
  <si>
    <t>Баян</t>
  </si>
  <si>
    <t>Метроном (электронный)</t>
  </si>
  <si>
    <t>Хоровой станок (3–4 яруса)</t>
  </si>
  <si>
    <t>Подиум для дирижера (деревянный, 15–20 см)</t>
  </si>
  <si>
    <t>ПЮПИТРЫ И МЕБЕЛЬ</t>
  </si>
  <si>
    <t>Стул для артистов (без подлокотников)</t>
  </si>
  <si>
    <t>Стул для контрабасиста/виолончелиста (высокий)</t>
  </si>
  <si>
    <t>Табурет (для перкуссии, по требованию)</t>
  </si>
  <si>
    <t>Микшерный пульт (16–24 канала)</t>
  </si>
  <si>
    <t>Активные колонки (PA-система, 300–500 Вт)</t>
  </si>
  <si>
    <t>Мониторы сценические (активные)</t>
  </si>
  <si>
    <t>Микрофон вокальный (Shure SM58)</t>
  </si>
  <si>
    <t>Микрофон инструментальный (Shure SM57/ Beta 98)</t>
  </si>
  <si>
    <t>АУДИО- И ВИДЕООБОРУДОВАНИЕ</t>
  </si>
  <si>
    <t>Магнитофон с CD-проигрывателем / Музыкальный центр</t>
  </si>
  <si>
    <t>Настенный монитор (40–50")</t>
  </si>
  <si>
    <t>Веб-камера (для записи репетиций)</t>
  </si>
  <si>
    <t xml:space="preserve">Кабинет сольфеджио </t>
  </si>
  <si>
    <t>Пианино</t>
  </si>
  <si>
    <t>Доска с двумя нотными станами + магнитная (можно писать ключи, интервалы) .</t>
  </si>
  <si>
    <t>Метроном</t>
  </si>
  <si>
    <t>Набор карточек (интервалы, аккорды, ритм)</t>
  </si>
  <si>
    <t>Флешка/компьютер с аудиопримерами (диктанты)</t>
  </si>
  <si>
    <t xml:space="preserve">Кабинет педагогического отделения </t>
  </si>
  <si>
    <t xml:space="preserve">Класс ударных инструментов </t>
  </si>
  <si>
    <t>Тренировочные пады (резиновые) на стойках</t>
  </si>
  <si>
    <t>Метрономы (громкие) + наушники</t>
  </si>
  <si>
    <t>Малые барабаны концертные (14"x5.5")</t>
  </si>
  <si>
    <t>Стулья для ударников (высокие, без подлокотников)</t>
  </si>
  <si>
    <t>Пюпитры усиленные (тяжелые)</t>
  </si>
  <si>
    <t>Ковер под установку</t>
  </si>
  <si>
    <t>Столик  для палочек</t>
  </si>
  <si>
    <t>Аудиосистема + микшер  (демонстрация ритмов)</t>
  </si>
  <si>
    <t>Видеокамера + монитор – 1 компл (разбор техники удара)</t>
  </si>
  <si>
    <t>Лампа на пюпитры</t>
  </si>
  <si>
    <t>Ксилофон концертный (Adams, Yamaha, 3.5–4 октавы)</t>
  </si>
  <si>
    <t>Ксилофон концертный</t>
  </si>
  <si>
    <t>Подставка по тарелки Bergerault BS025 Cymbal Stand</t>
  </si>
  <si>
    <t>Колокольчики Adams GAA33 Alpha Orchestra Bells 43</t>
  </si>
  <si>
    <t>Виброфон Adams 2VAH40SA12000</t>
  </si>
  <si>
    <t xml:space="preserve">Ударная установка базовая DW 809162 
Shell Set Perfomance Finish PLY Black Diamond Ударная установка, корпуса барабанов из отобранного вручную 
североамериканского клена, HVLT 
конструкция оболочки барабанов, 
натяжные винты True Pitch, 
хромированная фурнитура, стальные 
обода, цвет Black Diamond, навесной 
томы: 10 x 8" и 12 x 9", напольный том: 
16 х 14", бас-барабан 22 x 18".
</t>
  </si>
  <si>
    <t xml:space="preserve">Малый барабан DW 802427 Stainless Steel Малый барабан, размер 14 x 5,5", 
корпус из нержавеющей стали, 
хромированная фурнитура, 
подструнник True Tone Snare, 
полированная отделка, объемный и 
полный звук.
</t>
  </si>
  <si>
    <t>Тарелки (хай-хэт, крэш, райд) ZILDJIAN KCD900 K Custom Dark 
 Cymbal Pack 
 Комплект тарелок для ударной 
 установки, сплав из колокольной 
 бронзы B20; тёмный, сухой 
 сбалансированный тон; уникальные 
 тональные канавки, традиционная 
 отделка.</t>
  </si>
  <si>
    <t>Педали для бас-бочки (одинарные + одна двойная) DW 9002 Double PedalDW 9000 XF Pedal</t>
  </si>
  <si>
    <t>Треугольники Sabian 61135-8B8H 
 8” Hand 
 Hammered B8 
 Bronze Triangle 
 Треугольник, разсмер 8 дюймов, 
 изготовлен вручную из чистого сплава 
 B8 (8% олова, 92% меди с примесью 
 серебра), этот треугольник отличаются 
 ярким, мерцающим звучанием и 
 длительным сустейном. (3 размера)</t>
  </si>
  <si>
    <t>Тарелки оркестровые (пара, 16-18") – 2 пары  Zildjian 18" ,20'' A Symphonic French Tone</t>
  </si>
  <si>
    <t>Тарелка подвесная (suspended, 18-20") – 1 шт Zildjian 18" K' Constantinople Susp.</t>
  </si>
  <si>
    <t>Бубны (тамбурин) Black Swamp Percussion TC1,TC2,TD , TD 4 Tambourine</t>
  </si>
  <si>
    <t>Маракасы  LP</t>
  </si>
  <si>
    <t>Кастаньеты Black Swamp Percussion PCC-CM Castagnet MachineKolberg 1506BEB Castanet Machine medE</t>
  </si>
  <si>
    <t>Коробочка LP (wood block)</t>
  </si>
  <si>
    <t>Ковбелл LP – 2 шт разные по звучанию</t>
  </si>
  <si>
    <t>Агого LP</t>
  </si>
  <si>
    <t>Конги LP(пара) – LP LP801000 LP646NY-AW 
 Набор конгов City Series, диаметры 10" 
 и 11", корпуса из 2-х слойного 
 сиамского дуба, пластик из 
 натуральной кожи, обручи City EZ 
 Curve, болты на колках 9/32", отделка 
 фурнитуры черная, 
 в комплекте ключ для колков и 
 двойная подставка для конгов</t>
  </si>
  <si>
    <t>Бонги LP – LP LP870665 LP330C 
 Стойка для бонго, уникальная система 
 натяжения LP Camlock, прочный 
 нейлоновый ремень, L-образная 
 подставка с резиновой подкладкой, 
 хромированное покрытие, двойные 
 усиленные ножки и нескользящие 
 резиновые опоры, регулировка 
 высоты. 
 Идеально подходит для игроков</t>
  </si>
  <si>
    <t>Шейкеры (разные)</t>
  </si>
  <si>
    <t>Палочки барабанные (5А, 5В, 7А)Pro mark</t>
  </si>
  <si>
    <t>Палочки для ксилофона/виброфона Innovative</t>
  </si>
  <si>
    <t>Колотушки для бас-бочки (войлочные)</t>
  </si>
  <si>
    <t>Палочки для литавр (набор: войлок, пробка, дерево) innovative</t>
  </si>
  <si>
    <t>Щетки джазовые pro mark</t>
  </si>
  <si>
    <t>Чехлы для ксилофонов и виброфона</t>
  </si>
  <si>
    <t>Тележка для литавр</t>
  </si>
  <si>
    <t>Настройщик для литавр (ключ)</t>
  </si>
  <si>
    <t>Ключи/отвертки для обслуживания установок</t>
  </si>
  <si>
    <t>Аудиосистема мощная (150–200 Вт) + микшер 6–8 каналов</t>
  </si>
  <si>
    <t>Наушники закрытые</t>
  </si>
  <si>
    <t>Видеокамера + ноутбук/монитор</t>
  </si>
  <si>
    <t>Инструментальный шкаф (для хранения перкуссии и палочек)</t>
  </si>
  <si>
    <t>Руты (прутковые)</t>
  </si>
  <si>
    <t xml:space="preserve">Adams 2PASYIIDH20D Symphonic 
Generation II 
Профессиональная педальная 
литавра, диаметр 20 дюймов, котел из 
кованной меди, хромированные 
контробручи, хромированное кольцо с 
одним фланцем, алюминиевое 
основание с порошковым покрытием, 
более широкими ножками и 
встроенным третьим колесом, 
поворотные ролики с фиксаторами.
</t>
  </si>
  <si>
    <t>Большой оркестровый барабан Adams 2BDIIV4022 Universal 
 нижней части 86 см, высота 
 Концертный бас барабан, диаметр 40 
 дюймов, глубина 22 дюйма, корпус из 
 красного дерева, обода из 
 закругленных деревянных пластин 
 шириной 2 дюйма, универсальная 
 стойка с фиксированными 
 креплениями, вращение на 360 
 градусов, раздельные натяжные лаги 
 для облегчения конструкции и</t>
  </si>
  <si>
    <t>Колокол Adams 2BKIIS15 BK3203 
 Тубулярные колокола, серия 
 Symphonic, хромированные трубы из 
 латунного сплава, диматер 38 мм, 
 диапазон 1.5 октавы (C5-F6), 
 настройка A=442 Hz, высота 182 см, 
 ширина 88 см, глубина 60 см</t>
  </si>
  <si>
    <t>Там там Sabian 53401 34” Chinese Gong Традиционный гонг, диаметр 34 
 дюйма,</t>
  </si>
  <si>
    <t>Кротали. Sabian 50403HB 50403HB 
 Кротали из 13 дисков для высоких 
 октав, в комлекте с монтажной 
 планкой, стерженем и прочным 
 основание. Он настроен на A=442 и 
 обеспечивает исключительную 
 проекцию и сустейн, при этом высота и 
 интонация остаются кристально 
 чистыми на протяжении всей 
 длительности каждой ноты.</t>
  </si>
  <si>
    <t>Крепление для треугольника Sabian 61122 Triangle Clip Крепление для треугольника</t>
  </si>
  <si>
    <t>Смычки для треугольника Sabian 61131 Striker Set w/Bag 
 Битер для треугольника в фирменном 
 чехле, размеры 1/8″, 3/16″, 1/4″, из 
 нержавеющей стали, имеет удобную 
 резиновую ручку, чехол из 
 высококачественного нейлона.</t>
  </si>
  <si>
    <t xml:space="preserve">Набор маршевых бMeinl Artisan Doumbek Royaleарабанов 
4 малых барабана
2 мультитома
3 больших барабана
3 пары тарелок 14.16.18 Zoldjian
</t>
  </si>
  <si>
    <t>Концертные томы сэт Tama Low ConcertTom Set CCLT4L-TPB</t>
  </si>
  <si>
    <t>Океан Remo 22" x 2.5" Ocean Drum Aquarium</t>
  </si>
  <si>
    <t>Вибраслеп LP LP209 Vibra Slap Deluxe</t>
  </si>
  <si>
    <t>Кахон LP LP1426 Adjustable Snare Cajon</t>
  </si>
  <si>
    <t>Джембе LP A-632-SW Djembe Aspire</t>
  </si>
  <si>
    <t>Дарбука Meinl Artisan Doumbek Royale</t>
  </si>
  <si>
    <t>Смычки для контрабаса</t>
  </si>
  <si>
    <t>Пласти для литавр на все 7 литавр по размерам Remo Renisans</t>
  </si>
  <si>
    <t>Пластики для ударной установки Remo Ambasador по размерам</t>
  </si>
  <si>
    <t>Кабинет информатики осн/стар. школа</t>
  </si>
  <si>
    <t xml:space="preserve">Панель интерактивная 75" </t>
  </si>
  <si>
    <t>Мобильная стойка для панели</t>
  </si>
  <si>
    <t>Стол модульный 1-местный</t>
  </si>
  <si>
    <t>Стул полипропилен Тип 1</t>
  </si>
  <si>
    <t>Доска магнитно-маркерная</t>
  </si>
  <si>
    <t>Пособия, стенды и таблицы</t>
  </si>
  <si>
    <t>Таблица IT-технологии</t>
  </si>
  <si>
    <t>Программное обеспечение для управления цифровыми ресурсами</t>
  </si>
  <si>
    <t>плакаты Введение в информатику-5 класс (рус.яз) - 12 шт</t>
  </si>
  <si>
    <t>плакат Информатика ИКТ-5 класс-5 шт</t>
  </si>
  <si>
    <t>плакаты Информатика и ИКТ 5-6 класс -12 шт</t>
  </si>
  <si>
    <t>плакаты Алгоритмы и программирование (каз.яз)-16 шт</t>
  </si>
  <si>
    <t>плакаты Визуальный базис, 7 шт</t>
  </si>
  <si>
    <t>плакаты Информатика -7-8 класс (каз.яз)-24 шт</t>
  </si>
  <si>
    <t>плакаты Компьютерная система -8 шт</t>
  </si>
  <si>
    <t>Портреты по информатике, А3 ,15 шт</t>
  </si>
  <si>
    <t xml:space="preserve">стенд Логотип в кабинет информатики IT технологии , 70х70 см
</t>
  </si>
  <si>
    <t xml:space="preserve">Кабинет географии </t>
  </si>
  <si>
    <t>Цифровые датчики</t>
  </si>
  <si>
    <t>Беспроводной цифровой датчик pH</t>
  </si>
  <si>
    <t>Беспроводной цифровой датчик давления</t>
  </si>
  <si>
    <t>Датчик относительной влажности</t>
  </si>
  <si>
    <t>Датчик мутности растворов</t>
  </si>
  <si>
    <t>Беспроводной цифровой датчик температуры</t>
  </si>
  <si>
    <t>Беспроводной цифровой датчик удельной проводимости</t>
  </si>
  <si>
    <t>Программное обеспечение для работы с цифровыми датчиками</t>
  </si>
  <si>
    <t>Комплект регулируемой парты со стульями</t>
  </si>
  <si>
    <t>Доска меловая-маркерная настенная трехстворчатая</t>
  </si>
  <si>
    <t>Шкаф для плакатов (карт) низкий</t>
  </si>
  <si>
    <t>Комплект материалов для лабораторных работ по географии</t>
  </si>
  <si>
    <t>Карты бумажные Мира и регионов</t>
  </si>
  <si>
    <t>Карта Австралии и Океании политическая</t>
  </si>
  <si>
    <t>Карта Австралии и Океании физическая</t>
  </si>
  <si>
    <t>Карта Азии политическая</t>
  </si>
  <si>
    <t>Карта Азии физическая</t>
  </si>
  <si>
    <t>Карта Африки политическая</t>
  </si>
  <si>
    <t>Карта Африки физическая</t>
  </si>
  <si>
    <t>Карта Евразии физическая</t>
  </si>
  <si>
    <t>Карта Европы политическая</t>
  </si>
  <si>
    <t>Карта мира климатическая</t>
  </si>
  <si>
    <t>Карта мира политическая</t>
  </si>
  <si>
    <t>Карта мира физическая</t>
  </si>
  <si>
    <t>Карта народов и плотности населения мира</t>
  </si>
  <si>
    <t>Карта океанов</t>
  </si>
  <si>
    <t>Карта природных зон мира</t>
  </si>
  <si>
    <t>Карта Северной Америки политическая</t>
  </si>
  <si>
    <t>Карта Северной Америки физическая</t>
  </si>
  <si>
    <t>Карта экологических проблем мира</t>
  </si>
  <si>
    <t>Карта Южной Америки политическая</t>
  </si>
  <si>
    <t>Карта Южной Америки физическая</t>
  </si>
  <si>
    <t>Карты бумажные Республики Казахстан</t>
  </si>
  <si>
    <t>Карта Республики Казахстан политико-административная</t>
  </si>
  <si>
    <t>Карта Республики Казахстан физическая</t>
  </si>
  <si>
    <t>Модели демонстрационные</t>
  </si>
  <si>
    <t>Глобус Звездного неба 320 миллиметр с подсветкой</t>
  </si>
  <si>
    <t>Глобус Земли политический 320 миллиметр</t>
  </si>
  <si>
    <t>Глобус Земли физический 150 миллиметр</t>
  </si>
  <si>
    <t>Глобус Луны 320 миллиметр</t>
  </si>
  <si>
    <t>Глобус Марса 320 миллиметр</t>
  </si>
  <si>
    <t>Модель по географии "Сдвиги и разломы земной коры"</t>
  </si>
  <si>
    <t>Модель по географии "Строение земли"</t>
  </si>
  <si>
    <t>Модель по географии "Строение рельефа морского дна"</t>
  </si>
  <si>
    <t>Модель "Солнце–Земля–Луна (теллурий)"</t>
  </si>
  <si>
    <t>Модель циклона и антициклона</t>
  </si>
  <si>
    <t>Коллекции натуральные</t>
  </si>
  <si>
    <t>Коллекция "Минералы и горные породы"</t>
  </si>
  <si>
    <t>Коллекция "Полезные ископаемые"</t>
  </si>
  <si>
    <t>Приборы и принадлежности</t>
  </si>
  <si>
    <t>Барометр-анероид</t>
  </si>
  <si>
    <t>Гигрометр психрометрический</t>
  </si>
  <si>
    <t>Дальномер электронный</t>
  </si>
  <si>
    <t>Компас школьный</t>
  </si>
  <si>
    <t>Курвиметр</t>
  </si>
  <si>
    <t>Рулетка</t>
  </si>
  <si>
    <t>Термометр с фиксацией максимального и минимального значений</t>
  </si>
  <si>
    <t>Модель сейсмографа</t>
  </si>
  <si>
    <t>Флюгер</t>
  </si>
  <si>
    <t>Пособия и стенды</t>
  </si>
  <si>
    <t>Комплект настенных стендов на пластиковой основе</t>
  </si>
  <si>
    <t>Малый конференц зал</t>
  </si>
  <si>
    <t>Каб. по обработке тканей для дев. 5-9 кл.</t>
  </si>
  <si>
    <t>Доска гладильная напольная</t>
  </si>
  <si>
    <t>Манекен портновский с подставкой мужской и женский</t>
  </si>
  <si>
    <t>Машина швейная компьютеризированная</t>
  </si>
  <si>
    <t>Машина швейная электрическая</t>
  </si>
  <si>
    <t>Станок ткацкий ручной</t>
  </si>
  <si>
    <t>Утюг</t>
  </si>
  <si>
    <t>Доска комбинированная маркер/текстиль настенная</t>
  </si>
  <si>
    <t>Стол для раскроя ткани</t>
  </si>
  <si>
    <t>Стол под швейную машинку</t>
  </si>
  <si>
    <t>Стол ученический 2-местный</t>
  </si>
  <si>
    <t>Табурет рабочий поворотный</t>
  </si>
  <si>
    <t>Инструменты и принадлежности:</t>
  </si>
  <si>
    <t>Булавки вязальные</t>
  </si>
  <si>
    <t>Булавки портновские</t>
  </si>
  <si>
    <t>Бумага копировальная</t>
  </si>
  <si>
    <t>Вспарыватель</t>
  </si>
  <si>
    <t>Иглы для вышивания</t>
  </si>
  <si>
    <t>Иглы для ручного шитья</t>
  </si>
  <si>
    <t>Иглы штопальные</t>
  </si>
  <si>
    <t>Канва без рисунка</t>
  </si>
  <si>
    <t>Коллекция "Образцы тканей" раздаточная на 12 учащихся</t>
  </si>
  <si>
    <t>Кольца для вязания</t>
  </si>
  <si>
    <t>Крючки для вязания</t>
  </si>
  <si>
    <t>Линейка закройщика 30 сантиметр</t>
  </si>
  <si>
    <t>Линейка металлическая 30 сантиметр</t>
  </si>
  <si>
    <t>Мел портновский цветной треугольный</t>
  </si>
  <si>
    <t>Набор пластмассовых лекал (3 шт)</t>
  </si>
  <si>
    <t>Наперсток</t>
  </si>
  <si>
    <t>Нитки для вышивания Мулине цветные</t>
  </si>
  <si>
    <t>Нитки полиэстер</t>
  </si>
  <si>
    <t>Нитки ткацкие швейные армированные не менее 5000 метр</t>
  </si>
  <si>
    <t>Ножницы для обрезки нитей</t>
  </si>
  <si>
    <t>Ножницы закройные</t>
  </si>
  <si>
    <t>Ножницы зигзаг</t>
  </si>
  <si>
    <t>Ножницы канцелярские</t>
  </si>
  <si>
    <t>Ножницы портновские большие</t>
  </si>
  <si>
    <t>Пряжа для вязания крючком 10 грамм</t>
  </si>
  <si>
    <t>Пряжа для вязания спицами 50 грамм</t>
  </si>
  <si>
    <t>Пяльцы круглые для вышивания</t>
  </si>
  <si>
    <t>Спицы для вязания</t>
  </si>
  <si>
    <t>Угольник пластиковый 60 грамм</t>
  </si>
  <si>
    <t>Мягкий инвентарь:</t>
  </si>
  <si>
    <t>Фартук с косынкой х/б цветные</t>
  </si>
  <si>
    <t>Таблица Правила техники безопасности при обработке текстильных материалов</t>
  </si>
  <si>
    <t>Кабина примерочная прямоугольная с занавесом</t>
  </si>
  <si>
    <t>Коробка с крышкой картонная</t>
  </si>
  <si>
    <t>Плечики одежные</t>
  </si>
  <si>
    <t>Кабинет психолога</t>
  </si>
  <si>
    <t>Стол детский</t>
  </si>
  <si>
    <t>Стул детский</t>
  </si>
  <si>
    <t>Методическая литература</t>
  </si>
  <si>
    <t>Кабинет логопеда</t>
  </si>
  <si>
    <t>Зеркало настенное для групповых логопедических занятий</t>
  </si>
  <si>
    <t>Зеркало для индивидуальных логопедических занятий</t>
  </si>
  <si>
    <t>Логопедический шпатель</t>
  </si>
  <si>
    <t>Логопедический зонд постановочный</t>
  </si>
  <si>
    <t>Логопедический зонд массажный</t>
  </si>
  <si>
    <t>Логопедический зонд вспомогательный</t>
  </si>
  <si>
    <t>Стерилизатор</t>
  </si>
  <si>
    <t>Тренажер для развития звуко-произносительной и лексико-грамматической стороны речи</t>
  </si>
  <si>
    <t>Тренажер для развития слухового восприятия и формирования коммуникативно-речевых навыков</t>
  </si>
  <si>
    <t>Речевой тренажер для усвоения и развития элементарной речевой коммуникации</t>
  </si>
  <si>
    <t>Игрушка по лексическим темам</t>
  </si>
  <si>
    <t>Наглядно-дидактический материал</t>
  </si>
  <si>
    <t>Методическая литература и пособия</t>
  </si>
  <si>
    <t>Кабинет музыки/ Каб. сольфкджио х2</t>
  </si>
  <si>
    <t>Набор шумовых музыкальных инструментов</t>
  </si>
  <si>
    <t>Детский барабан</t>
  </si>
  <si>
    <t>Набор колокольчиков</t>
  </si>
  <si>
    <t>Тамбурин</t>
  </si>
  <si>
    <t>Бубен</t>
  </si>
  <si>
    <t>Трещотка</t>
  </si>
  <si>
    <t>Рубель</t>
  </si>
  <si>
    <t>Свистулька</t>
  </si>
  <si>
    <t>Жалейка</t>
  </si>
  <si>
    <t>Свирель</t>
  </si>
  <si>
    <t>Рожок</t>
  </si>
  <si>
    <t>Балалайка</t>
  </si>
  <si>
    <t>Домра</t>
  </si>
  <si>
    <t>Гусли</t>
  </si>
  <si>
    <t>Флейта</t>
  </si>
  <si>
    <t>Ударная установка</t>
  </si>
  <si>
    <t>Музыкальный центр</t>
  </si>
  <si>
    <t>Активная колонка (Портативная акустическая система)</t>
  </si>
  <si>
    <t>Проектор мультимедийный</t>
  </si>
  <si>
    <t>Экран проекционный</t>
  </si>
  <si>
    <t>Телевизор/Настенный монитор (40–50")</t>
  </si>
  <si>
    <t>Вокальный/инструментальный микрофон</t>
  </si>
  <si>
    <t>Стойка для микрофона</t>
  </si>
  <si>
    <t>Микрофон-петличка</t>
  </si>
  <si>
    <t>Диктофон профессиональный (Zoom/Tascam)</t>
  </si>
  <si>
    <t>1 шт</t>
  </si>
  <si>
    <t>Кабинет компьютерной грамотности нач. школа</t>
  </si>
  <si>
    <t>Учебный кабинет 4 класс</t>
  </si>
  <si>
    <t xml:space="preserve">Кабинет лингвистического направления </t>
  </si>
  <si>
    <t>Кабинет истории</t>
  </si>
  <si>
    <t>Карты по Всемирной истории</t>
  </si>
  <si>
    <t>Карта Балканы и Малая Азия в XIII-XV веков. Завоевания турок – османов 70х100 сантиметр</t>
  </si>
  <si>
    <t>Карта Ближний Восток и страны Южной Азии во второй половине XX - начале XXI века 100х140 сантиметр</t>
  </si>
  <si>
    <t>Карта Великое переселение народов. Гибель Западной Римской империи 70х100 сантиметр</t>
  </si>
  <si>
    <t>Карта Война за независимость североамериканских колоний и образование США 70х100 сантиметр</t>
  </si>
  <si>
    <t>Карта Восточная и Юго-Восточная Азия во второй половине XX-начале XXI в 70х100 сантиметр</t>
  </si>
  <si>
    <t>Карта Гражданская война в США (1861- 1865 годы) 70х100 сантиметр</t>
  </si>
  <si>
    <t>Карта Завершение Великой Отечественной войны (январь 1944 -май 1945 годы Разгром Японии) 70х100 сантиметр</t>
  </si>
  <si>
    <t>Карта Завоевания арабов. Арабский халифат и его распад VIII-IX веков 70х100 сантиметр</t>
  </si>
  <si>
    <t>Карта Индия и Китай в VII-XII веков 70х100 сантиметр</t>
  </si>
  <si>
    <t>Карта Крестовые походы XI-XIII веков 70х100 сантиметр</t>
  </si>
  <si>
    <t>Карта Образование независимых государств. Территориальные изменения в Европе после Первой мировой войны 1918-1923 годы 70х100 сантиметр</t>
  </si>
  <si>
    <t>Карта Первая мировая война 1914-1918 годы. Военные действия в Европе и на Кавказе 100х140 сантиметр</t>
  </si>
  <si>
    <t>Карта Священная Римская империя в XII-XIV вв. Италия в ХIV- ХV веков 70х100 сантиметр</t>
  </si>
  <si>
    <t>Карта Советский Союз в 1985-1991 годы. Распад СССР 100х140 сантиметр</t>
  </si>
  <si>
    <t>Карта Создание и распад державы Александра Македонского 70х100 сантиметр</t>
  </si>
  <si>
    <t>Карта Столетняя война 1337-1453 годы 70х100 сантиметр</t>
  </si>
  <si>
    <t>Карта Страны Африки во второй половине XX - начале XXI века 70х100 сантиметр</t>
  </si>
  <si>
    <t>Карта Мира политическая 1:25 000 000</t>
  </si>
  <si>
    <t>Карты по истории Казахстана</t>
  </si>
  <si>
    <t>Карта Казахстан в годы ВОВ 100х70 сантиметр</t>
  </si>
  <si>
    <t>Карта Казахстан в годы гражданской войны 100х70 сантиметр</t>
  </si>
  <si>
    <t>Карта Казахстан в составе монгольской империи 100х70 сантиметр</t>
  </si>
  <si>
    <t>Карта Казахстан в средние века. Государственные образования на территории Казахстана 13-15 века 100х70 сантиметр</t>
  </si>
  <si>
    <t>Карта Казахстан в средние века. Казахское ханство в начале 18 века 100х70 сантиметр</t>
  </si>
  <si>
    <t>Карта Казахстан в средние века. Казахское ханство. Образование в 1465-1466 и расширение территории 100х70 сантиметр</t>
  </si>
  <si>
    <t>Карта Казахстан. Национально-освободительное движение под руководством Кенесары Касымулы 100х70 сантиметр</t>
  </si>
  <si>
    <t>Карта Казахстан. Национально-освободительное движение Сырыма Датулы 100х70 сантиметр</t>
  </si>
  <si>
    <t>Карта Казахстан. Развитие торговли в 19-начале 20 века 100х70 сантиметр</t>
  </si>
  <si>
    <t>Карта Казахстан. Участие казахов в Отечественной войне 1812 годы.100х70 сантиметр</t>
  </si>
  <si>
    <t xml:space="preserve">Кабинет каз. яз. и литературы </t>
  </si>
  <si>
    <t>Программное обеспечение для интерактивного дисплея на 3 года</t>
  </si>
  <si>
    <t xml:space="preserve">Доска аудиторная на жидких кристаллах 1290х1031 мм </t>
  </si>
  <si>
    <t>Стеллаж</t>
  </si>
  <si>
    <t>Плакаты и стенды</t>
  </si>
  <si>
    <t>Плакаты по темам изучения казахского языка</t>
  </si>
  <si>
    <t>Плакаты "Әдебиет теориясының жетекші ұғымдары"</t>
  </si>
  <si>
    <t>Портреты "Қазақ ақындары мен жазушылары"</t>
  </si>
  <si>
    <t>Плакаты А1, Ауыз адебиети, (18 шт, на каз.яз, лам.)</t>
  </si>
  <si>
    <t>Плакаты А1, Казак эдебиети. Абай Кунанбаевты жеке окыту, (10 шт, на каз.яз, лам.)</t>
  </si>
  <si>
    <t>Плакаты Лексика, 42х60 см, 16 шт</t>
  </si>
  <si>
    <t>Морфология, 42х60 см, (в комплекте 40 шт)</t>
  </si>
  <si>
    <t>Синтаксис, 42х60 см, (в комплекте 31 шт)</t>
  </si>
  <si>
    <t>Фонетика, 42х60 см, (в комплекте 15 шт)</t>
  </si>
  <si>
    <t>Қазақ тілі-Кестелер жинағы 2-4 сынып, А4 40 шт</t>
  </si>
  <si>
    <t>Плакаты Знаменитые писатели: Абай Кунанбаев, Ы. Алтынсарин, А. Байтурсынов, Л.Н.Толстой, А.С. Пушкин. Размеры плакатов 1189х841 мм, в комплекте 5 шт</t>
  </si>
  <si>
    <t>учебные плакаты Биография Ы.Алтынсарин, 10 шт, 60х90 см</t>
  </si>
  <si>
    <t>учебные плакаты Биография Ш.Уалиханова, 5 шт, 60х90 см</t>
  </si>
  <si>
    <t>портреты "Ақын жазушылары" - А3,фотобумага, в комплекте 28 шт</t>
  </si>
  <si>
    <t>портреты "Қазақ композиторлары" - А3, фотобумага,(В комплекте 20 шт)</t>
  </si>
  <si>
    <t>портреты "Қазақ ақын жазушылары" - А3, фотобумага, (в комплекте 17 шт)</t>
  </si>
  <si>
    <t>портреты "Казахские поэты" - А3, фотобумага, (в комплекте 17 шт)</t>
  </si>
  <si>
    <t>портреты "Ұлы қазақтар", А3, фотобумага, (в комплекте 12 шт)</t>
  </si>
  <si>
    <t>портреты "Қазақ ақын-жазушыларының портреттер мен өмірбаяндары", А3, в комплекте 20 шт</t>
  </si>
  <si>
    <t>портреты "Казак билери", А3, в комплекте 3 шт</t>
  </si>
  <si>
    <t>портреты " Үш бәйтерек", А3, в комплекте 3 шт</t>
  </si>
  <si>
    <t>портреты "Бес Арыс", А3, в комплекте 5 шт</t>
  </si>
  <si>
    <t>портреты "XIX ғасыр әдебиеті", А3, в комплекте 13 шт</t>
  </si>
  <si>
    <t>Учебные пособия</t>
  </si>
  <si>
    <t>Раздаточный материал</t>
  </si>
  <si>
    <t>Раздеваьлная МГН</t>
  </si>
  <si>
    <t>Тренерская</t>
  </si>
  <si>
    <t>Тренажер Бицепс-машина ：F-A16</t>
  </si>
  <si>
    <t>Тренажер Разгибание ног сидя F-A02</t>
  </si>
  <si>
    <t>Скамья стойка для жима штанги лежа горизонтальная F-A52</t>
  </si>
  <si>
    <t>Блок для мышц спины (верхняя тяга) F-A19</t>
  </si>
  <si>
    <t>Тренажер Силовая рама для приседаний F-A01</t>
  </si>
  <si>
    <t>Тренажер Кроссовер F-A06</t>
  </si>
  <si>
    <t>Беговая дорожка 155D-C</t>
  </si>
  <si>
    <t>Велотренажер</t>
  </si>
  <si>
    <t>Тренажер Римский стул (гиперэкстензия)：F-A59</t>
  </si>
  <si>
    <t>Стойка для гантелей 3х рядная</t>
  </si>
  <si>
    <t>Скамья для пресса регулируемая F-A56</t>
  </si>
  <si>
    <t>Горизонтальная скамья F-A53</t>
  </si>
  <si>
    <t>Гантели профессиональные шестигранные 1кг</t>
  </si>
  <si>
    <t>Гантели профессиональные шестигранные 2кг</t>
  </si>
  <si>
    <t>Гантели профессиональные шестигранные 3кг</t>
  </si>
  <si>
    <t>Гантели профессиональные шестигранные 4кг</t>
  </si>
  <si>
    <t>Гантели профессиональные шестигранные 5кг</t>
  </si>
  <si>
    <t>Гантели профессиональные шестигранные 6кг</t>
  </si>
  <si>
    <t>Гантели профессиональные шестигранные 7кг</t>
  </si>
  <si>
    <t>Гантели профессиональные шестигранные 8кг</t>
  </si>
  <si>
    <t>Гантели профессиональные шестигранные 9кг</t>
  </si>
  <si>
    <t>Гантели профессиональные шестигранные 10кг</t>
  </si>
  <si>
    <t>Гантели профессиональные шестигранные 12.5кг</t>
  </si>
  <si>
    <t>Гантели профессиональные шестигранные 15кг</t>
  </si>
  <si>
    <t>Гантели профессиональные шестигранные 17.5кг</t>
  </si>
  <si>
    <t>Гантели профессиональные шестигранные 20кг</t>
  </si>
  <si>
    <t>Гантели профессиональные шестигранные 25кг</t>
  </si>
  <si>
    <t>Олимпийский диск 2.5кг</t>
  </si>
  <si>
    <t>Олимпийский диск 5кг</t>
  </si>
  <si>
    <t>Олимпийский диск 7.5кг</t>
  </si>
  <si>
    <t>Олимпийский диск 10кг</t>
  </si>
  <si>
    <t>Олимпийский диск 15кг</t>
  </si>
  <si>
    <t>Олимпийский диск 20кг</t>
  </si>
  <si>
    <t>Олимпийский диск 25кг</t>
  </si>
  <si>
    <t>Гриф для штанги олимпийский 2,2 м</t>
  </si>
  <si>
    <t>Замки пружинные</t>
  </si>
  <si>
    <t>пара</t>
  </si>
  <si>
    <t>Изогнутый гриф</t>
  </si>
  <si>
    <t>Гиря 8кг</t>
  </si>
  <si>
    <t>Гиря 12кг</t>
  </si>
  <si>
    <t>Гантели для фитнеса 0,5 килограмм</t>
  </si>
  <si>
    <t>Гантели для фитнеса 1 килограмм</t>
  </si>
  <si>
    <t>Гантели для фитнеса 2 килограмма</t>
  </si>
  <si>
    <t>Гантели для фитнеса 3 килограмм</t>
  </si>
  <si>
    <t>Степплатформа</t>
  </si>
  <si>
    <t>Резинки для фитнеса</t>
  </si>
  <si>
    <t>к-т</t>
  </si>
  <si>
    <t>Раздевальная Д</t>
  </si>
  <si>
    <t>Раздевальная М</t>
  </si>
  <si>
    <t xml:space="preserve">Снарядная </t>
  </si>
  <si>
    <t xml:space="preserve">Спортивный зал </t>
  </si>
  <si>
    <t>90 Спортивный зал муз шк (Актау).pdf</t>
  </si>
  <si>
    <t>Бревно гимнастическое тренировочное 5 м</t>
  </si>
  <si>
    <t>Бревно гимнастическое тренировочное напольное  5 м</t>
  </si>
  <si>
    <t>Брусья мужские массовые</t>
  </si>
  <si>
    <t>Брусья гимнастические женские</t>
  </si>
  <si>
    <t>Канат для лазанья х/б 8м Ф 40 мм</t>
  </si>
  <si>
    <t>Козел гимнастический</t>
  </si>
  <si>
    <t>Конь гимнастический</t>
  </si>
  <si>
    <t>Стеллаж для спорт.инвентаря</t>
  </si>
  <si>
    <t>Мат гимнастический 2х1х0,1м</t>
  </si>
  <si>
    <t>Мост гимнастический подпружиненный</t>
  </si>
  <si>
    <t>Мост гимнастический приставной</t>
  </si>
  <si>
    <t>Перекладина гимнастическая универсальная</t>
  </si>
  <si>
    <t>Скамья гимнастическая с металлическими опорами 2500 мм</t>
  </si>
  <si>
    <t>Стенка гимнастическая 2800х800мм.</t>
  </si>
  <si>
    <t>Зона приземления 2х2х0,5м.</t>
  </si>
  <si>
    <t>Стеллаж для мячей.</t>
  </si>
  <si>
    <t>Ворота для гандбола, минифутбола</t>
  </si>
  <si>
    <t>Стойка волейбольная  Профессиональная</t>
  </si>
  <si>
    <t>1(пара)</t>
  </si>
  <si>
    <t>Стол настольного тенниса</t>
  </si>
  <si>
    <t>Стойка баскетбольная мобильная складная с выносом щита 2,05м</t>
  </si>
  <si>
    <t>Щит баскетбольный тренировочный орг.стекло 1200*800 мм,</t>
  </si>
  <si>
    <t>Табло электронное универсальное</t>
  </si>
  <si>
    <t>Бревно гимнастическое тренировочное напольное 5 м</t>
  </si>
  <si>
    <t>Конь гимнастический прыжковый</t>
  </si>
  <si>
    <t>Мат гимнастический 2х1х0,1м Кожзам</t>
  </si>
  <si>
    <t>Скамья гимнастическая с металлическими опорами</t>
  </si>
  <si>
    <t>Зона приземления 2х2х0,5м</t>
  </si>
  <si>
    <t>Стеллаж для мячей</t>
  </si>
  <si>
    <t>Стойка волейбольная</t>
  </si>
  <si>
    <t>Сетка волейбольная</t>
  </si>
  <si>
    <t>Щит баскетбольный тренировочный орг.стекло 1200*800 мм</t>
  </si>
  <si>
    <t>Мяч баскетбольный №7</t>
  </si>
  <si>
    <t>Футбольный мяч №5</t>
  </si>
  <si>
    <t>Волейбольный мяч №5</t>
  </si>
  <si>
    <t>Мяч гандбольный</t>
  </si>
  <si>
    <t>Палка гимнастическая деревянная 1000 мм</t>
  </si>
  <si>
    <t>Обруч гимнастический пластиковый 60 см</t>
  </si>
  <si>
    <t>Скакалка гелевая</t>
  </si>
  <si>
    <t>Медицинбол 1кг. (медбол)</t>
  </si>
  <si>
    <t>Медицинбол 2кг. (медбол)</t>
  </si>
  <si>
    <t>Канат для перетягивания 10м Ф40мм</t>
  </si>
  <si>
    <t>Доска наклонная ребристая 1,5м (дерево</t>
  </si>
  <si>
    <t>Шарик для настольного тенниса</t>
  </si>
  <si>
    <t>Табло пластиковое</t>
  </si>
  <si>
    <t>Ракетки для настольного тенниса</t>
  </si>
  <si>
    <t>Сетка для настольного тенниса</t>
  </si>
  <si>
    <t>Антенна волейбольная в комплекте в карманами</t>
  </si>
  <si>
    <t>Сетка мини-футбольная</t>
  </si>
  <si>
    <t>Жилетка игровая с номером (манишки)</t>
  </si>
  <si>
    <t>Фишка разметочная</t>
  </si>
  <si>
    <t>Сетка баскетбольная</t>
  </si>
  <si>
    <t>Свисток пластиковый</t>
  </si>
  <si>
    <t>Ковер для национальных игр</t>
  </si>
  <si>
    <t>Набор для игры "Асык ату"</t>
  </si>
  <si>
    <t>набор</t>
  </si>
  <si>
    <t>Набор для игры "Бес тас"</t>
  </si>
  <si>
    <t>Шахматы</t>
  </si>
  <si>
    <t>Шашки</t>
  </si>
  <si>
    <t>Часы шахматные механические</t>
  </si>
  <si>
    <t>Мишень для метания 700х700мм</t>
  </si>
  <si>
    <t>Секундомер</t>
  </si>
  <si>
    <t>Корзина для мячей складная</t>
  </si>
  <si>
    <t>Электромегафон</t>
  </si>
  <si>
    <t>Насос для накачивания мячей</t>
  </si>
  <si>
    <t>Рулетка измерительная 30 метров</t>
  </si>
  <si>
    <t>Тогызкумалак</t>
  </si>
  <si>
    <t>Пара стоек для прыжков в высоту</t>
  </si>
  <si>
    <t>Планка для прыжков в высоту</t>
  </si>
  <si>
    <t>Алюминиевые эстафетные палочки длина 30 см.</t>
  </si>
  <si>
    <t>Граната для метания 0,5 кг</t>
  </si>
  <si>
    <t>Граната для метания 0,7 кг</t>
  </si>
  <si>
    <t>Мяч для метания резиновый 150 гр</t>
  </si>
  <si>
    <t>Тренажер (перекладина) навесная</t>
  </si>
  <si>
    <t>Сетка заградительная</t>
  </si>
  <si>
    <t>м2</t>
  </si>
  <si>
    <t xml:space="preserve">Репеторий </t>
  </si>
  <si>
    <t xml:space="preserve">кабинетный фортепиано </t>
  </si>
  <si>
    <t>шкаф с вешалкой и секцией для хранения документов</t>
  </si>
  <si>
    <t>Лифтовой холл</t>
  </si>
  <si>
    <t>Спальная х4</t>
  </si>
  <si>
    <t xml:space="preserve">Туалет </t>
  </si>
  <si>
    <t xml:space="preserve">Прихожая </t>
  </si>
  <si>
    <t>Спальная х3</t>
  </si>
  <si>
    <t xml:space="preserve">Буфетная/Репетиторий </t>
  </si>
  <si>
    <t xml:space="preserve">Репетиторий </t>
  </si>
  <si>
    <t xml:space="preserve"> Спальная х4</t>
  </si>
  <si>
    <t xml:space="preserve">Комната деж. преподавателя </t>
  </si>
  <si>
    <t xml:space="preserve">Бытовая комната </t>
  </si>
  <si>
    <t>Кам. хранения лич. и сезонных вещей</t>
  </si>
  <si>
    <t>Открытые стеллажи с контейнерами</t>
  </si>
  <si>
    <t>Шкаф закрытый</t>
  </si>
  <si>
    <t>Клад временного хранения гр. б</t>
  </si>
  <si>
    <t>Клад чистого белья</t>
  </si>
  <si>
    <t>Стеллаж металлический</t>
  </si>
  <si>
    <t>Шкаф хозяйственный</t>
  </si>
  <si>
    <t>Шкаф для грязного белья</t>
  </si>
  <si>
    <t>Контейнер пластиковый</t>
  </si>
  <si>
    <t>Тележка для белья</t>
  </si>
  <si>
    <t>Стол производственный</t>
  </si>
  <si>
    <t>3 Этаж</t>
  </si>
  <si>
    <t>Гримерная</t>
  </si>
  <si>
    <t>14.0</t>
  </si>
  <si>
    <t>Гримерный стол</t>
  </si>
  <si>
    <t>Гримерное зеркало с подсветкой</t>
  </si>
  <si>
    <t>Кресло визажиста</t>
  </si>
  <si>
    <t>Костюмные вешала</t>
  </si>
  <si>
    <t>Примерочное зеркало (в полный рост)</t>
  </si>
  <si>
    <t>шкафы для аксессуаров</t>
  </si>
  <si>
    <t>Мягкий диван</t>
  </si>
  <si>
    <t>Стол с тумбочкой</t>
  </si>
  <si>
    <t>Напольная вешалка для личной одежды</t>
  </si>
  <si>
    <t>Библиотека муз. литрер-ры</t>
  </si>
  <si>
    <t>103.8</t>
  </si>
  <si>
    <t>Свободный кабинет</t>
  </si>
  <si>
    <t>40.5</t>
  </si>
  <si>
    <t>Звукоаппаратная</t>
  </si>
  <si>
    <t>1. МЕБЕЛЬ И РАБОЧЕЕ МЕСТО</t>
  </si>
  <si>
    <t>Стол звукорежиссёра (акустический, для микшерного пульта, с выдвижными направляющими для клавиатуры)</t>
  </si>
  <si>
    <t>Стойка 19" (напольная, рэковая, высота 25–35U)</t>
  </si>
  <si>
    <t>Стойка 19" настольная (для дополнительных модулей)</t>
  </si>
  <si>
    <t>Верстак для ремонта и пайки (с электростатической защитой)</t>
  </si>
  <si>
    <t>Стул рабочий (для помощника или мастера)</t>
  </si>
  <si>
    <t>Шкаф для хранения микрофонов и кабелей (закрывающийся, с ящиками)</t>
  </si>
  <si>
    <t>Стеллаж для аксессуаров (батарейки, изолента, переходники)</t>
  </si>
  <si>
    <t>Вешалка для кабелей (настенная, многорожевая)</t>
  </si>
  <si>
    <t>2. ОБОРУДОВАНИЕ (СТАЦИОНАРНОЕ)</t>
  </si>
  <si>
    <t>Микшерный пульт цифровой (для контроля и настройки, не менее 32 каналов, с возможностью удалённого управления)</t>
  </si>
  <si>
    <t>Микшерный пульт резервный (аналоговый, 16–24 канала)</t>
  </si>
  <si>
    <t>Коммутационная панель (patchbay, 48 точек)</t>
  </si>
  <si>
    <t>Мультиэффектор (процессор эффектов, многоканальный)</t>
  </si>
  <si>
    <t>Эквалайзер графический (31-полосный, 2 канала)</t>
  </si>
  <si>
    <t>Компрессор/лимитер (2-канальный)</t>
  </si>
  <si>
    <t>Шумоподавитель (гейт)</t>
  </si>
  <si>
    <t>Кроссовер (активный, для сабвуферов)</t>
  </si>
  <si>
    <t>Мониторный контроллер (управление громкостью мониторов)</t>
  </si>
  <si>
    <t>Цифровой аудиоинтерфейс (многоканальный, USB/Thunderbolt, не менее 16×16)</t>
  </si>
  <si>
    <t>Радиосистема (базовая станция, 2–4 канала)</t>
  </si>
  <si>
    <t>Дистрибьютор антенный (для радиосистем)</t>
  </si>
  <si>
    <t>Усилитель мощности (резервный, для сценических мониторов)</t>
  </si>
  <si>
    <t>Сетевой фильтр (с защитой от скачков, на несколько розеток)</t>
  </si>
  <si>
    <t>3. КОНТРОЛЬНЫЕ АКУСТИЧЕСКИЕ СИСТЕМЫ</t>
  </si>
  <si>
    <t>Студийный монитор активный (ближнего поля, 5–8", пара)</t>
  </si>
  <si>
    <t>Сабвуфер студийный (компактный, 10–12")</t>
  </si>
  <si>
    <t>Наушники закрытые (студийные, для звукорежиссёра)</t>
  </si>
  <si>
    <t>Наушники открытые (для сверки микса)</t>
  </si>
  <si>
    <t>Разветвитель наушников (многоканальный, для прослушивания несколькими людьми)</t>
  </si>
  <si>
    <t>Длинный удлинитель для наушников (5–10 м)</t>
  </si>
  <si>
    <t>4. РАБОЧИЕ СТАНЦИИ (Цифровое рабочее место)</t>
  </si>
  <si>
    <t>Компьютер (стационарный, высокой производительности, для многоканальной записи)</t>
  </si>
  <si>
    <t>Монитор компьютерный (27", профессиональный, с точной цветопередачей)</t>
  </si>
  <si>
    <t>Программное обеспечение (DAW: Pro Tools, Cubase, Reaper – с лицензией)</t>
  </si>
  <si>
    <t>Внешний жёсткий диск (SSD, не менее 2 ТБ для архивов записей)</t>
  </si>
  <si>
    <t>Флеш-накопители (для переноса записей)</t>
  </si>
  <si>
    <t>CD/DVD-рекордер (внешний, для записи архивов)</t>
  </si>
  <si>
    <t>Клавиатура компьютерная + мышь (профессиональные)</t>
  </si>
  <si>
    <t>MIDI-клавиатура (малая, 25–49 клавиш)</t>
  </si>
  <si>
    <t>5. МИКРОФОНЫ И ДИКТОФОНЫ (ХРАНЕНИЕ + ЗАПАС)</t>
  </si>
  <si>
    <t>Основной парк микрофонов находится в залах, но в аппаратной должен быть резерв и специализированные экземпляры.</t>
  </si>
  <si>
    <t>Диктофон профессиональный (Zoom H8 / Tascam)</t>
  </si>
  <si>
    <t>Микрофон измерительный (для настройки акустики зала, калиброванный)</t>
  </si>
  <si>
    <t>Микрофон конденсаторный студийный (большая диафрагма, для записи)</t>
  </si>
  <si>
    <t>Микрофон динамический (резервный универсальный)</t>
  </si>
  <si>
    <t>Микрофонный калибратор (для измерительного микрофона)</t>
  </si>
  <si>
    <t>6. КОММУТАЦИЯ, КАБЕЛИ, ПЕРЕХОДНИКИ</t>
  </si>
  <si>
    <t>Кабель XLR (разной длины: 0,5 м, 1 м, 3 м, 5 м)</t>
  </si>
  <si>
    <t>по 5–10 шт. каждой длины</t>
  </si>
  <si>
    <t>Кабель Jack (¼", TS/TRS, разной длины)</t>
  </si>
  <si>
    <t>Кабель RCA – RCA</t>
  </si>
  <si>
    <t>Кабель оптический (Toslink)</t>
  </si>
  <si>
    <t>Кабель USB (A–B, A–C, удлинители)</t>
  </si>
  <si>
    <t>Кабель HDMI</t>
  </si>
  <si>
    <t>Переходники (XLR – Jack, Jack – RCA, разветвители, Y-кабели)</t>
  </si>
  <si>
    <t>Ди-бокс (DI) активный и пассивный</t>
  </si>
  <si>
    <t>Сплиттер микрофонный (на 8–16 каналов)</t>
  </si>
  <si>
    <t>Катушка для кабелей (емкость 50–100 м)</t>
  </si>
  <si>
    <t>Кабинет для репетиц. занятий</t>
  </si>
  <si>
    <t>38.8</t>
  </si>
  <si>
    <t>55.9</t>
  </si>
  <si>
    <t>32.9</t>
  </si>
  <si>
    <t>Артистич.</t>
  </si>
  <si>
    <t>Каб. сольфеджио</t>
  </si>
  <si>
    <t>32.8</t>
  </si>
  <si>
    <t>30.0</t>
  </si>
  <si>
    <t>Каб. муз.литературы</t>
  </si>
  <si>
    <t>Телевизор</t>
  </si>
  <si>
    <t>Акустика 2.0 (полочная)</t>
  </si>
  <si>
    <t>DVD/Blu-ray плеер (опера/балет)</t>
  </si>
  <si>
    <t>Портреты композиторов на стенах (раздаточная печать)</t>
  </si>
  <si>
    <t>Библиотека CD/DVD (классика) – 200 дисков + лицензия.</t>
  </si>
  <si>
    <t>32.4</t>
  </si>
  <si>
    <t>Кабинет обязат-го.фортепиано</t>
  </si>
  <si>
    <t>Цифровое пианино</t>
  </si>
  <si>
    <t>Доска нотная</t>
  </si>
  <si>
    <t>Ящик для хранения хрестоматий</t>
  </si>
  <si>
    <t>Студия звукозаписи</t>
  </si>
  <si>
    <t>54.7</t>
  </si>
  <si>
    <t>1. АКУСТИЧЕСКАЯ ОБРАБОТКА (стационарная)</t>
  </si>
  <si>
    <t>Акустическая панель (басовая ловушка, угловая, 30×60×60 см)</t>
  </si>
  <si>
    <t>Акустическая панель (широкополосная, 60×60×5 см)</t>
  </si>
  <si>
    <t>Диффузор (древесный или пенополиуретановый)</t>
  </si>
  <si>
    <t>Плавучий пол (виброизолированная конструкция) – опционально</t>
  </si>
  <si>
    <t>Двойная стеклопакетная дверь (звукоизоляция)</t>
  </si>
  <si>
    <t>Акустический ковёр (для студийного зала)</t>
  </si>
  <si>
    <t>2. МЕБЕЛЬ И ОБОРУДОВАНИЕ КОМНАТЫ УПРАВЛЕНИЯ (режиссёрская)</t>
  </si>
  <si>
    <t>Стол звукорежиссёра (акустический, с рэковыми стойками по бокам)</t>
  </si>
  <si>
    <t>Кресло звукорежиссёра (эргономичное, с подлокотниками)</t>
  </si>
  <si>
    <t>Рэковая стойка (напольная, 19", 20–30U)</t>
  </si>
  <si>
    <t>Рэковая стойка настольная (для оборудования ближнего доступа)</t>
  </si>
  <si>
    <t>Стул для помощника / второго инженера</t>
  </si>
  <si>
    <t>Диван для ожидания (клиенты, музыканты)</t>
  </si>
  <si>
    <t>Шкаф закрывающийся для хранения микрофонов и кабелей</t>
  </si>
  <si>
    <t>Стеллаж для аксессуаров (адаптеры, батарейки, изолента)</t>
  </si>
  <si>
    <t>Настенный кронштейн для кабелей (многорожевая вешалка)</t>
  </si>
  <si>
    <t>3. СТУДИЙНЫЙ ЗАЛ (жилая комната)</t>
  </si>
  <si>
    <t>Пуф для музыканта (без подлокотников)</t>
  </si>
  <si>
    <t>Стул для артиста (регулируемый, без скрипа)</t>
  </si>
  <si>
    <t>Пюпитр тяжёлый (чёрный, широкий)</t>
  </si>
  <si>
    <t>Табурет для барабанщика (винтовой, с упором для спины)</t>
  </si>
  <si>
    <t>Ковёр акустический (звукопоглощающий)</t>
  </si>
  <si>
    <t>Стойка для микрофонов (напольная, прямая)</t>
  </si>
  <si>
    <t>Стойка для микрофонов низкая (30–50 см)</t>
  </si>
  <si>
    <t>Стойка для микрофонов наклонная («журавль»)</t>
  </si>
  <si>
    <t>Ширма акустическая (мобильная, для вокала/инструментов)</t>
  </si>
  <si>
    <t>Кабинка вокальная (портативная, звукопоглощающая) – опционально</t>
  </si>
  <si>
    <t>Вешалка для кабелей напольная</t>
  </si>
  <si>
    <t>4. ЗВУКОВОЕ ОБОРУДОВАНИЕ (аппаратная)</t>
  </si>
  <si>
    <t>Микшерный пульт цифровой (не менее 24 каналов, с управлением DAW)</t>
  </si>
  <si>
    <t>Аудиоинтерфейс (многоканальный, USB/Thunderbolt, не менее 24×24)</t>
  </si>
  <si>
    <t>Коммутационная панель (patchbay, 96 точек)</t>
  </si>
  <si>
    <t>Микрофонный предусилитель (8-канальный, чистый прозрачный)</t>
  </si>
  <si>
    <t>Микрофонный предусилитель (ламповый, 2 канала)</t>
  </si>
  <si>
    <t>Компрессор/лимитер (2-канальный, студийный)</t>
  </si>
  <si>
    <t>Эквалайзер параметрический (2-канальный)</t>
  </si>
  <si>
    <t>Ревербератор (цифровой, многоканальный)</t>
  </si>
  <si>
    <t>Шумоподавитель (гейт, 4 канала)</t>
  </si>
  <si>
    <t>AD/DA конвертер (8+ каналов, 192 кГц)</t>
  </si>
  <si>
    <t>Настольные мониторные контроллеры</t>
  </si>
  <si>
    <t>Радиосистема вокальная (2–4 канала, студийного качества)</t>
  </si>
  <si>
    <t>Цифровой магнитофон (многодорожечный рекордер, опционально)</t>
  </si>
  <si>
    <t>5. МОНИТОРЫ И КОНТРОЛЬ</t>
  </si>
  <si>
    <t>Активные студийные мониторы (ближнего поля, 6–8", пара)</t>
  </si>
  <si>
    <t>Активные студийные мониторы (дальнего поля, 8–10", опционально)</t>
  </si>
  <si>
    <t>Сабвуфер студийный (активный, 12–15")</t>
  </si>
  <si>
    <t>Наушники для музыкантов (закрытые, высокоомные)</t>
  </si>
  <si>
    <t>Разветвитель наушников (многоканальный, 8–12 выходов)</t>
  </si>
  <si>
    <t>Длинные удлинители для наушников (5–10 м)</t>
  </si>
  <si>
    <t>6. МИКРОФОНЫ</t>
  </si>
  <si>
    <t>Микрофон конденсаторный студийный (большая диафрагма) – для вокала</t>
  </si>
  <si>
    <t>Микрофон конденсаторный студийный (малая диафрагма, пара) – для инструментов</t>
  </si>
  <si>
    <t>Микрофон ленточный (для духовых, гитарных кабинетов)</t>
  </si>
  <si>
    <t>Микрофон динамический (Shure SM7B или аналог) – для вокала</t>
  </si>
  <si>
    <t>Микрофон динамический инструментальный (SM57)</t>
  </si>
  <si>
    <t>Микрофон для бочки (Shure Beta 52A или аналог)</t>
  </si>
  <si>
    <t>Микрофон для малого барабана (Shure SM57 / Beta 57)</t>
  </si>
  <si>
    <t>Микрофон для подвесных тарелок (конденсаторный)</t>
  </si>
  <si>
    <t>Микрофон для акустической гитары (конденсаторный, миниатюрный)</t>
  </si>
  <si>
    <t>Микрофон для фортепиано (пара малодиафрагменных, конденсаторных)</t>
  </si>
  <si>
    <t>Микрофон для контрабаса / виолончели (специализированный)</t>
  </si>
  <si>
    <t>Микрофон измерительный (калиброванный, для настройки акустики)</t>
  </si>
  <si>
    <t>Диктофон профессиональный (Zoom H8 / Tascam, полевой)</t>
  </si>
  <si>
    <t>7. КОМПЬЮТЕРНОЕ И MIDI-ОБОРУДОВАНИЕ</t>
  </si>
  <si>
    <t>Компьютер (процессор Intel i9 / AMD Ryzen 9, 64+ ГБ ОЗУ, SSD NVMe 2 ТБ)</t>
  </si>
  <si>
    <t>Монитор компьютерный (27", профессиональный, цветной)</t>
  </si>
  <si>
    <t>DAW (Pro Tools Ultimate, Cubase Pro, Nuendo) – лицензия</t>
  </si>
  <si>
    <t>Внешний жёсткий диск (SSD, 4 ТБ, для архивов проектов)</t>
  </si>
  <si>
    <t>Флеш-накопители (128–256 ГБ)</t>
  </si>
  <si>
    <t>CD/DVD/Blu-ray рекордер (внешний)</t>
  </si>
  <si>
    <t>MIDI-клавиатура (49 клавиш, с молоточковой механикой)</t>
  </si>
  <si>
    <t>MIDI-клавиатура (25 клавиш, компактная для путешествий)</t>
  </si>
  <si>
    <t>MIDI-контроллер (пэд-контроллер, фейдеры, энкодеры)</t>
  </si>
  <si>
    <t>Программные библиотеки (виртуальные инструменты, сэмплы) – лицензии</t>
  </si>
  <si>
    <t>Сетевой фильтр с защитой (настенный, на несколько розеток)</t>
  </si>
  <si>
    <t>8. КАБЕЛИ, ПЕРЕХОДНИКИ, КОММУТАЦИЯ</t>
  </si>
  <si>
    <t>Кабель XLR – XLR (разной длины: 0,5 м, 1 м, 3 м, 5 м, 10 м)</t>
  </si>
  <si>
    <t>Кабель Jack – Jack (¼", TRS, разной длины)</t>
  </si>
  <si>
    <t>Кабель XLR – Jack</t>
  </si>
  <si>
    <t>Кабель MIDI (5-pin)</t>
  </si>
  <si>
    <t>Кабель HDMI (2–5 м)</t>
  </si>
  <si>
    <t>Переходники (XLR male–female, Jack–RCA, RCA–XLR)</t>
  </si>
  <si>
    <t>Сплиттер микрофонный (8 каналов, трансформаторный)</t>
  </si>
  <si>
    <t>Ди-бокс (DI) пассивный и активный</t>
  </si>
  <si>
    <t>Звукозапись</t>
  </si>
  <si>
    <t>Кабинетный фортепиано</t>
  </si>
  <si>
    <t>Пюпитр для нот</t>
  </si>
  <si>
    <t>44.5</t>
  </si>
  <si>
    <t>186.1</t>
  </si>
  <si>
    <t>Каб. юриста</t>
  </si>
  <si>
    <t xml:space="preserve">стол </t>
  </si>
  <si>
    <t>Каб. зав.отдел. обязат-го фортепиано</t>
  </si>
  <si>
    <t>шкаф для музыкальных инструментов</t>
  </si>
  <si>
    <t>Комплект шумовых инструментов (бубен, маракасы, треугольник, ксилофон детский)</t>
  </si>
  <si>
    <t>32.6</t>
  </si>
  <si>
    <t>Каб.зав.отд. теории истории и музыки</t>
  </si>
  <si>
    <t>Стул Изо</t>
  </si>
  <si>
    <t>Одноместный регулируемый стул для пианино</t>
  </si>
  <si>
    <t>Информационный настенный стенд для объявлений в багете</t>
  </si>
  <si>
    <t>Метод.кабинет</t>
  </si>
  <si>
    <t>конференц стол</t>
  </si>
  <si>
    <t>Малый конференц зал/ Каб. сольфеджио х 2</t>
  </si>
  <si>
    <t>48.4</t>
  </si>
  <si>
    <t>Синтезатор</t>
  </si>
  <si>
    <t>Баян ученический</t>
  </si>
  <si>
    <t>Зал на 89 мест (в т.ч. 1 МГН)</t>
  </si>
  <si>
    <t>Кресла зрительские (мягкие, с подлокотниками)</t>
  </si>
  <si>
    <t>Место для МГН (свободное пространство 0,9×1,2 м)</t>
  </si>
  <si>
    <t>Стул для сопровождающего МГН</t>
  </si>
  <si>
    <t>Пюпитр для низких инструментов (виолончель, контрабас)</t>
  </si>
  <si>
    <t>Стул для артистов (без подлокотников, жесткий)</t>
  </si>
  <si>
    <t>Пуф для контрабаса/виолончели</t>
  </si>
  <si>
    <t>Ковер акустический на сцену</t>
  </si>
  <si>
    <t>Софит (прожектор) для освещения рояля/солиста</t>
  </si>
  <si>
    <t>Светодиодный партер (для лекций, тьма+свет на ноты)</t>
  </si>
  <si>
    <t>Регулятор света (диммер)</t>
  </si>
  <si>
    <t>Микшерный пульт цифровой (на 16 каналов)</t>
  </si>
  <si>
    <t>Активные колонки PA-системы (300–500 Вт)</t>
  </si>
  <si>
    <t>Сабвуфер активный (для концертов с басами)</t>
  </si>
  <si>
    <t>Микрофон инструментальный (Shure SM57, Beta 98)</t>
  </si>
  <si>
    <t>Микрофон конденсаторный пара (ORTF, для записи)</t>
  </si>
  <si>
    <t>Микрофонная стойка (прямая)</t>
  </si>
  <si>
    <t>Микрофонная стойка (наклонная, для рояля)</t>
  </si>
  <si>
    <t>Радиосистема вокальная (на 2–4 канала)</t>
  </si>
  <si>
    <t>Кабельный комплект (XLR, инструментальные) 20–30 м</t>
  </si>
  <si>
    <t>Диктофон профессиональный (Zoom H8, Tascam)</t>
  </si>
  <si>
    <t>Экран проекционный (2×1.5 м)</t>
  </si>
  <si>
    <t>Настенный монитор (40–50", для пения под видео)</t>
  </si>
  <si>
    <t>Веб-камера (для трансляции концертов)</t>
  </si>
  <si>
    <t>Звукоусиление с регулировкой громкости</t>
  </si>
  <si>
    <t>в системе</t>
  </si>
  <si>
    <t>Лампа для пюпитра (светодиодная, на прищепке)</t>
  </si>
  <si>
    <t>Запасные лампы в софиты</t>
  </si>
  <si>
    <t>Микрофонные батарейки (AA, 9V)</t>
  </si>
  <si>
    <t>Каб.учеб.занятий скрипка</t>
  </si>
  <si>
    <t>Скрипки детские размеры:</t>
  </si>
  <si>
    <t>1/8</t>
  </si>
  <si>
    <t>1/4</t>
  </si>
  <si>
    <t>1/2</t>
  </si>
  <si>
    <t>3/4</t>
  </si>
  <si>
    <t>4/4</t>
  </si>
  <si>
    <t>Альт (размеры 380–420 мм)</t>
  </si>
  <si>
    <t>Смычки (на каждую скрипку + 2 запасных)</t>
  </si>
  <si>
    <t>Подголовники (челюстные) универсальные</t>
  </si>
  <si>
    <t>Чехлы-кейсы (твердые) – на каждый инструмент.</t>
  </si>
  <si>
    <t>Станок для просушки смычков</t>
  </si>
  <si>
    <t>Каб.педагог.отдел.народных инстр</t>
  </si>
  <si>
    <t>154.8</t>
  </si>
  <si>
    <t>Зона локеров</t>
  </si>
  <si>
    <t>локер</t>
  </si>
  <si>
    <t>Инструментальная</t>
  </si>
  <si>
    <t>КЛГЖ</t>
  </si>
  <si>
    <t>Кабинет рус.яз и литер-ры</t>
  </si>
  <si>
    <t>42.3</t>
  </si>
  <si>
    <t>Плакаты по темам русского языка и литературы</t>
  </si>
  <si>
    <t>Дидактический материал</t>
  </si>
  <si>
    <t>Кабинет каз.яз и литер-ры</t>
  </si>
  <si>
    <t>42.6</t>
  </si>
  <si>
    <t>Световой карман</t>
  </si>
  <si>
    <t>60.6</t>
  </si>
  <si>
    <t>Лаборантская</t>
  </si>
  <si>
    <t>17.0</t>
  </si>
  <si>
    <t>Комплект материалов для лабораторных работ по химии</t>
  </si>
  <si>
    <t>Коллекции</t>
  </si>
  <si>
    <t>Коллекция "Каменный уголь и продукты его переработки"</t>
  </si>
  <si>
    <t>Коллекция "Металлы"</t>
  </si>
  <si>
    <t>Коллекция "Нефть и продукты ее переработки"</t>
  </si>
  <si>
    <t>Коллекция "Топливо"</t>
  </si>
  <si>
    <t>Коллекция "Чугун и сталь"</t>
  </si>
  <si>
    <t>Коллекция "Шкала твердости"</t>
  </si>
  <si>
    <t>Коллекция "Сырье для топливной промышленности"</t>
  </si>
  <si>
    <t>Коллекция "Сырье для химической промышленности"</t>
  </si>
  <si>
    <t>Модели демонстранционные</t>
  </si>
  <si>
    <t>Набор моделей демонстрационных кристаллических решеток</t>
  </si>
  <si>
    <t>Набор моделей молекул по органике и неорганике для учащихся и учителя</t>
  </si>
  <si>
    <t>Набор моделей образования p и s связей</t>
  </si>
  <si>
    <t>Набор моделей р и d облаков и шаростержневых молекул</t>
  </si>
  <si>
    <t>Набор моделей электронных облаков и химических связей</t>
  </si>
  <si>
    <t>Набор моделей масштабных молекул</t>
  </si>
  <si>
    <t>Модели атома для учащихся и учителя</t>
  </si>
  <si>
    <t>Приборы демонстрационные общего назначения</t>
  </si>
  <si>
    <t>Дистиллятор</t>
  </si>
  <si>
    <t>Баня комбинированная лабораторная</t>
  </si>
  <si>
    <t>Весы электронные до 200 грамм (0,1 грамм)</t>
  </si>
  <si>
    <t>Колбонагреватель</t>
  </si>
  <si>
    <t>Набор ареометров (19 штук)</t>
  </si>
  <si>
    <t>Приборы демонстрационные специализированные</t>
  </si>
  <si>
    <t>Штатив универсальный</t>
  </si>
  <si>
    <t>Приборы лабораторные общего назначения</t>
  </si>
  <si>
    <t>Штатив лабораторный химический</t>
  </si>
  <si>
    <t>Приборы лабораторные специализированные</t>
  </si>
  <si>
    <t>Прибор для сбора газов лабораторный</t>
  </si>
  <si>
    <t>Набор посуды и принадлежностей для лабораторных работ по химии</t>
  </si>
  <si>
    <t>Набор посуды для демонстрационных опытов по химии</t>
  </si>
  <si>
    <t>Набор для экспериментов по электрохимии</t>
  </si>
  <si>
    <t>Вытяжные шкафы</t>
  </si>
  <si>
    <t>Стеллажи</t>
  </si>
  <si>
    <t>Стол лаборанта</t>
  </si>
  <si>
    <t>Кабинет химии и биологии</t>
  </si>
  <si>
    <t>73.2</t>
  </si>
  <si>
    <t>Беспроводной цифровой датчик кислорода</t>
  </si>
  <si>
    <t>Беспроводной цифровой пульсометр нагрудный</t>
  </si>
  <si>
    <t>Беспроводной цифровой датчик углекислого газа</t>
  </si>
  <si>
    <t>Комплект материалов для лабораторных работ по биологии</t>
  </si>
  <si>
    <t>Штатив лабораторный комбинированный</t>
  </si>
  <si>
    <t>Набор посуды и принадлежностей для демонстрационных опытов и лабораторных работ</t>
  </si>
  <si>
    <t>Лабораторная электроплита</t>
  </si>
  <si>
    <t>Гербарий</t>
  </si>
  <si>
    <t>Гербарий "Основные группы растений"</t>
  </si>
  <si>
    <t>Лекарственные растения. 20 видов.</t>
  </si>
  <si>
    <t>Гербарий "Лекарственные растения Казахстана на каз. и рус. языке. 25 видов"</t>
  </si>
  <si>
    <t>Растительные сообщества</t>
  </si>
  <si>
    <t>Морфология растений.</t>
  </si>
  <si>
    <t>Закономерности изменчивости</t>
  </si>
  <si>
    <t>Эволюция органического мира</t>
  </si>
  <si>
    <t>Сельскохозяйственные растения</t>
  </si>
  <si>
    <t>Культурные растения.</t>
  </si>
  <si>
    <t>Сорные растения</t>
  </si>
  <si>
    <t>Степные растения Казахстана</t>
  </si>
  <si>
    <t>Растения Казахстана 20 видов</t>
  </si>
  <si>
    <t>Деревья и кустарники</t>
  </si>
  <si>
    <t>Семена и плоды</t>
  </si>
  <si>
    <t>Шишки, плоды, семена деревьев и кустарников</t>
  </si>
  <si>
    <t>Представители отрядов насекомых (на примере вредителей)</t>
  </si>
  <si>
    <t>Пчела медоносная (развитие пчелы)</t>
  </si>
  <si>
    <t>Развитие насекомых с полным превращением. Шелкопряд тутовый</t>
  </si>
  <si>
    <t>Развитие насекомых с неполным превращением. Саранча (развитие саранчи)</t>
  </si>
  <si>
    <t>Хлопок и продукты его переработки</t>
  </si>
  <si>
    <t>Микропрепараты</t>
  </si>
  <si>
    <t>Набор микропрепаратов по ботанике</t>
  </si>
  <si>
    <t>Набор микропрепаратов по зоологии</t>
  </si>
  <si>
    <t>Набор микропрепаратов по анатомии</t>
  </si>
  <si>
    <t>Набор микропрепаратов по общей биологии</t>
  </si>
  <si>
    <t>Набор для приготовления микропрепаратов на класс</t>
  </si>
  <si>
    <t>Модели объемные</t>
  </si>
  <si>
    <t>Модель легких с альвеолой</t>
  </si>
  <si>
    <t>Модель сердца демонстрационная</t>
  </si>
  <si>
    <t>Модель головного мозга</t>
  </si>
  <si>
    <t>Модель торса человека 85 сантиметр</t>
  </si>
  <si>
    <t>Модель глаза увеличенная</t>
  </si>
  <si>
    <t>Модель уха</t>
  </si>
  <si>
    <t>Модель почки в разрезе</t>
  </si>
  <si>
    <t>Модель спинного мозга</t>
  </si>
  <si>
    <t>Модель нейрона интерактивная</t>
  </si>
  <si>
    <t>Модель структуры ДНК</t>
  </si>
  <si>
    <t>Модель строения листа</t>
  </si>
  <si>
    <t>Модель цветка двудольных растений</t>
  </si>
  <si>
    <t>Модели остеологические</t>
  </si>
  <si>
    <t>Скелет человека 170 сантиметр на роликовой подставке</t>
  </si>
  <si>
    <t>Приборы оптические</t>
  </si>
  <si>
    <t>Лупа ручная</t>
  </si>
  <si>
    <t>Микроскоп учебный цифровой</t>
  </si>
  <si>
    <t>Микроскоп цифровой USB</t>
  </si>
  <si>
    <t>Шкафы для оборудования</t>
  </si>
  <si>
    <t>Шкаф для плакатов</t>
  </si>
  <si>
    <t>Комплект материалов для лабораторных работ по физике</t>
  </si>
  <si>
    <t>Набор тел равного объема и равной массы</t>
  </si>
  <si>
    <t>Насос ручной</t>
  </si>
  <si>
    <t>Набор лабораторной посуды и принадлежностей для кабинета физики</t>
  </si>
  <si>
    <t>Набор капилляров</t>
  </si>
  <si>
    <t>Демонстрационные приборы по механике:</t>
  </si>
  <si>
    <t>Сосуды сообщающиеся</t>
  </si>
  <si>
    <t>Шар Паскаля</t>
  </si>
  <si>
    <t>Модель электродвигателя (разборная) лабораторная</t>
  </si>
  <si>
    <t>Набор из 5 шаров маятников со штативом</t>
  </si>
  <si>
    <t>Баллистический пистолет</t>
  </si>
  <si>
    <t>Мультиметр цифровой</t>
  </si>
  <si>
    <t>Набор демонстрационный для изучения механики</t>
  </si>
  <si>
    <t>Демонстрационные приборы по механическим колебаниям и волнам</t>
  </si>
  <si>
    <t>Камертоны на резонансных ящиках</t>
  </si>
  <si>
    <t>Набор пружин с различной жесткостью</t>
  </si>
  <si>
    <t>Модель кристаллической решетки</t>
  </si>
  <si>
    <t>Шар с кольцом</t>
  </si>
  <si>
    <t>Прибор с манометром для исследования газовых законов</t>
  </si>
  <si>
    <t>Манометр жидкостной демонстрационный</t>
  </si>
  <si>
    <t>Магнит демонстрационный U-образный</t>
  </si>
  <si>
    <t>Магнит демонстрационный полосовой</t>
  </si>
  <si>
    <t>Маятник математический</t>
  </si>
  <si>
    <t>Демонстрационные приборы по электричеству:</t>
  </si>
  <si>
    <t>Набор демонстрационный для изучения электростатики</t>
  </si>
  <si>
    <t>Генератор Вимшурста</t>
  </si>
  <si>
    <t>Прибор для демонстрации зависимости сопротивления проводника от его длины, сечения и материала</t>
  </si>
  <si>
    <t>Электростатический маятник</t>
  </si>
  <si>
    <t>Микроамперметр для измерения переменного тока</t>
  </si>
  <si>
    <t>Демонстрационные приборы по оптике и квантовой физике:</t>
  </si>
  <si>
    <t>Набор дифракционных решеток</t>
  </si>
  <si>
    <t>Набор демонстрационный для изучения оптики</t>
  </si>
  <si>
    <t>Зеркало выпуклое и вогнутое</t>
  </si>
  <si>
    <t>Лабораторные приборы и принадлежности общего назначения:</t>
  </si>
  <si>
    <t>Динамометр демонстрационный</t>
  </si>
  <si>
    <t>Динамометр лабораторный</t>
  </si>
  <si>
    <t>Комплект соединительных проводов</t>
  </si>
  <si>
    <t>Набор грузов по механике (10х100 грамм)</t>
  </si>
  <si>
    <t>Приборы для лабораторных работ</t>
  </si>
  <si>
    <t>Желоб Галилея</t>
  </si>
  <si>
    <t>Рычаг-линейка лабораторная</t>
  </si>
  <si>
    <t>Трибометр лабораторный</t>
  </si>
  <si>
    <t>Железный порошок в капсулах</t>
  </si>
  <si>
    <t>Приборы для лабораторных работ по молекулярной физике и термодинамике:</t>
  </si>
  <si>
    <t>Калориметр со стаканом</t>
  </si>
  <si>
    <t>Набор калориметрических тел</t>
  </si>
  <si>
    <t>Приборы для лабораторных работ по электричеству:</t>
  </si>
  <si>
    <t>Амперметр лабораторный стрелочный 0,6А-3А</t>
  </si>
  <si>
    <t>Вольтметр лабораторный стрелочный 3V-15V</t>
  </si>
  <si>
    <t>Выключатель однополюсной лабораторный</t>
  </si>
  <si>
    <t>Магнит лабораторный U-образный</t>
  </si>
  <si>
    <t>Магнит лабораторный полосовой пара</t>
  </si>
  <si>
    <t>Ламповый держатель лабораторный</t>
  </si>
  <si>
    <t>Реостат ползунковый</t>
  </si>
  <si>
    <t>Электромагнит разборный с деталями</t>
  </si>
  <si>
    <t>Миллиамперметр для измерения переменного тока</t>
  </si>
  <si>
    <t>Комплект блоков демонстрационных</t>
  </si>
  <si>
    <t>Комплект блоков лабораторных</t>
  </si>
  <si>
    <t>Барометр-Анероид</t>
  </si>
  <si>
    <t>Стрелки магнитные на штативах (пара)</t>
  </si>
  <si>
    <t>Прибор для измерения длины световой волны с набором дифракционных решеток</t>
  </si>
  <si>
    <t>Линза на подставке с экраном</t>
  </si>
  <si>
    <t>Катушка первичной обмотки лабораторная</t>
  </si>
  <si>
    <t>Катушка Томсона</t>
  </si>
  <si>
    <t>Магазин сопротивлений демонстрационный</t>
  </si>
  <si>
    <t>Набор демонстрационный для изучения атмосферного давления</t>
  </si>
  <si>
    <t>Источник питания демонстрационный</t>
  </si>
  <si>
    <t>Набор по электролизу лабораторный</t>
  </si>
  <si>
    <t>Карта звездного неба подвижная</t>
  </si>
  <si>
    <t>Кабинет физики</t>
  </si>
  <si>
    <t>Беспроводной цифровой датчик силы, ускорения и наклона</t>
  </si>
  <si>
    <t>Беспроводной цифровой датчик звука</t>
  </si>
  <si>
    <t>Беспроводной цифровой датчик движения</t>
  </si>
  <si>
    <t>Беспроводной цифровой датчик магнитной индукции</t>
  </si>
  <si>
    <t>Беспроводной цифровой датчик света и цвета</t>
  </si>
  <si>
    <t>Беспроводные Smart-оптоворота</t>
  </si>
  <si>
    <t>Программное обеспечение для работы с цифровыми датчиками SparkVue</t>
  </si>
  <si>
    <t>Стол однотумбовый</t>
  </si>
  <si>
    <t>Стул без спинки с колесиками</t>
  </si>
  <si>
    <t>Кабинет англ. яз.</t>
  </si>
  <si>
    <t>41.5</t>
  </si>
  <si>
    <t xml:space="preserve">Плакат "Страноведение"
</t>
  </si>
  <si>
    <t>Карта страны изучаемого языка</t>
  </si>
  <si>
    <t>пачка</t>
  </si>
  <si>
    <t>41.3</t>
  </si>
  <si>
    <t>Комната для хранения оружия</t>
  </si>
  <si>
    <t>Стеллаж для хранения противогазов и военно-технического имущества</t>
  </si>
  <si>
    <t>Шкаф для хранения оружия на 10 единиц</t>
  </si>
  <si>
    <t>Военно-техническое имущество</t>
  </si>
  <si>
    <t>Войсковой прибор химической разведки</t>
  </si>
  <si>
    <t>Дозиметр индивидуальный</t>
  </si>
  <si>
    <t>Индивидуальный перевязочный пакет</t>
  </si>
  <si>
    <t>Индивидуальный противохимический пакет</t>
  </si>
  <si>
    <t>Компас армейский</t>
  </si>
  <si>
    <t>Костюм защитный</t>
  </si>
  <si>
    <t>Лопатка малая пехотная</t>
  </si>
  <si>
    <t>Макет автомата деревянный</t>
  </si>
  <si>
    <t>Носилки санитарные тканевые</t>
  </si>
  <si>
    <t>Общевойсковой защитный комплект</t>
  </si>
  <si>
    <t>Повязка косыночная</t>
  </si>
  <si>
    <t>Противогаз гражданский</t>
  </si>
  <si>
    <t>Противогаз фильтрующий</t>
  </si>
  <si>
    <t>Респиратор</t>
  </si>
  <si>
    <t>Сумка санитарная</t>
  </si>
  <si>
    <t>Тренажер сердечно-легочной и мозговой реанимации</t>
  </si>
  <si>
    <t>Флажки сигнальные в комплекте</t>
  </si>
  <si>
    <t>Халат х/б медицинский</t>
  </si>
  <si>
    <t>Шина транспортная эластичная</t>
  </si>
  <si>
    <t>Кабинет НВП</t>
  </si>
  <si>
    <t>Место дневального (тумбочка и подставка)</t>
  </si>
  <si>
    <t>Стенды и плакаты</t>
  </si>
  <si>
    <t>Стенды настенные для кабинета НВП</t>
  </si>
  <si>
    <t>Комплект плакатов по гражданской обороне, основам безопасности жизнедеятельности и информационных технологий</t>
  </si>
  <si>
    <t>Комплект плакатов по правилам дорожного движения</t>
  </si>
  <si>
    <t>Комплект плакатов по основам военной робототехники</t>
  </si>
  <si>
    <t>Доска с документацией дежурного и дневального по роте</t>
  </si>
  <si>
    <t>Комплект общевоинских Уставов Вооруженных Сил Республики Казахстан</t>
  </si>
  <si>
    <t>Кабинет математики</t>
  </si>
  <si>
    <t>61.4</t>
  </si>
  <si>
    <t>Пособия общего назначения</t>
  </si>
  <si>
    <t>Пособия демонстрационные</t>
  </si>
  <si>
    <t>Набор для демонстрации куба и сферы</t>
  </si>
  <si>
    <t>Набор объемных геометрических фигур демонстрационный</t>
  </si>
  <si>
    <t>Набор геометрических фигур с развертками демонстрационный</t>
  </si>
  <si>
    <t>Набор прозрачных геометрических тел с сечением демонстрационный</t>
  </si>
  <si>
    <t>Набор для создания плоских фигур</t>
  </si>
  <si>
    <t>Набор для исследования законов вероятности</t>
  </si>
  <si>
    <t>Набор Дробные части квадрата и круга</t>
  </si>
  <si>
    <t>Демонстрационная модель площади внешней поверхности цилиндра</t>
  </si>
  <si>
    <t xml:space="preserve">Модель единицы обьема </t>
  </si>
  <si>
    <t>Пособия лабораторные</t>
  </si>
  <si>
    <t>Набор объемных геометрических фигур раздаточный</t>
  </si>
  <si>
    <t>Набор стержневых геометрических фигур на 13 рабочих групп</t>
  </si>
  <si>
    <t>Прочие пособия</t>
  </si>
  <si>
    <t>44.0</t>
  </si>
  <si>
    <t>46.4</t>
  </si>
  <si>
    <t>187.7</t>
  </si>
  <si>
    <t>Библиотека</t>
  </si>
  <si>
    <t>191.4</t>
  </si>
  <si>
    <t>Переплетное оборудование</t>
  </si>
  <si>
    <t>шкаф</t>
  </si>
  <si>
    <t>Книгохранилище</t>
  </si>
  <si>
    <t>Мобильные (передвижные) стеллажи</t>
  </si>
  <si>
    <t>Стационарные полочные стеллажи</t>
  </si>
  <si>
    <t>Архивные шкафы</t>
  </si>
  <si>
    <t>Стеллажи для периодики</t>
  </si>
  <si>
    <t>Каталожные шкафы</t>
  </si>
  <si>
    <t>Стол регистрации и выдачи</t>
  </si>
  <si>
    <t>стуль</t>
  </si>
  <si>
    <t>Тумбы для картотек</t>
  </si>
  <si>
    <t>Тележки для книг</t>
  </si>
  <si>
    <t>Стремянки и лестницы-табуреты</t>
  </si>
  <si>
    <t>Коворкинг</t>
  </si>
  <si>
    <t>Репетиторий</t>
  </si>
  <si>
    <t>Ком.хран.лич.и сезонных вещей</t>
  </si>
  <si>
    <t>Глубокие полочные стеллажи</t>
  </si>
  <si>
    <t>Шкафы-локкеры (ячеечные)</t>
  </si>
  <si>
    <t>Гардеробные стеллажи с перекладинами</t>
  </si>
  <si>
    <t>Клад. врем. хр.гр.б</t>
  </si>
  <si>
    <t>Клад. чист. белья</t>
  </si>
  <si>
    <t>металлические стеллажи</t>
  </si>
  <si>
    <t>Закрытые шкафы для белья</t>
  </si>
  <si>
    <t>Стол для сортировки и глажения</t>
  </si>
  <si>
    <t>Стеллаж-накопитель с ячейками</t>
  </si>
  <si>
    <t>5.0</t>
  </si>
  <si>
    <t>18.0</t>
  </si>
  <si>
    <t>Буфетная/Репетиторий</t>
  </si>
  <si>
    <t>23.0</t>
  </si>
  <si>
    <t>11.0</t>
  </si>
  <si>
    <t>Комната деж. препод.</t>
  </si>
  <si>
    <t>4.0</t>
  </si>
  <si>
    <t>4 Этаж</t>
  </si>
  <si>
    <t>Душева</t>
  </si>
  <si>
    <t xml:space="preserve">ЛК </t>
  </si>
  <si>
    <t>137.4</t>
  </si>
  <si>
    <t>должности</t>
  </si>
  <si>
    <t xml:space="preserve">Имя </t>
  </si>
  <si>
    <t xml:space="preserve">Номер </t>
  </si>
  <si>
    <t xml:space="preserve">По вопросам </t>
  </si>
  <si>
    <t xml:space="preserve">Директор школы </t>
  </si>
  <si>
    <t>Бахтияр Толеубекович</t>
  </si>
  <si>
    <t>8 708 908 38 72</t>
  </si>
  <si>
    <t>Заместитель директора по учебной части</t>
  </si>
  <si>
    <t xml:space="preserve">Меруерт Сесенова </t>
  </si>
  <si>
    <t>8 777 260 34 87</t>
  </si>
  <si>
    <t>По вопросам учебных кабинетов химии, математики, физики, начальных классов и т. д.</t>
  </si>
  <si>
    <t>Заместитель директора по воспитательной работе</t>
  </si>
  <si>
    <t>Аяну</t>
  </si>
  <si>
    <t>8 747 279 77 42</t>
  </si>
  <si>
    <t>По всем вопросам интерната, столовой, спортзала и т. д.</t>
  </si>
  <si>
    <t>Музыкальных отделений — 11</t>
  </si>
  <si>
    <t>Зам.директора по музыкальной работе Сурапбергенова Светлана Алмабаевна 8 705 184 06 03</t>
  </si>
  <si>
    <t>№</t>
  </si>
  <si>
    <t>Отделение</t>
  </si>
  <si>
    <t>заведеющий отделением</t>
  </si>
  <si>
    <t>Номер</t>
  </si>
  <si>
    <t>Дополнительный контакт</t>
  </si>
  <si>
    <t>номер</t>
  </si>
  <si>
    <t>Примечание</t>
  </si>
  <si>
    <t>Отделение специального фортепиано</t>
  </si>
  <si>
    <t>Абдуллаева Айгерим Ондасыновна</t>
  </si>
  <si>
    <t>Отсутствует</t>
  </si>
  <si>
    <t>По вопросам отделения</t>
  </si>
  <si>
    <t>Отдел скрипки и альта</t>
  </si>
  <si>
    <t>Кармысов Руслан Арыстанович</t>
  </si>
  <si>
    <t>Отдел виолончели, контрабаса и арфы</t>
  </si>
  <si>
    <t>Нуртанова Бибифатама Нугмановна</t>
  </si>
  <si>
    <t>Обязательное фортепиано</t>
  </si>
  <si>
    <t>Люберцева Эвелина Владимировна</t>
  </si>
  <si>
    <t>Духовые и ударные инструменты</t>
  </si>
  <si>
    <t>Жаксыбергенов Арман Асылбекович</t>
  </si>
  <si>
    <t>Педагог по ударным инструментам Хамитов Арман Сахитович</t>
  </si>
  <si>
    <t>Хоровое дирижирование</t>
  </si>
  <si>
    <t>Галым Мармар Муратовна</t>
  </si>
  <si>
    <t>Оркестровое дирижирование</t>
  </si>
  <si>
    <t>Туякбаев Досмухамбет Халмухамедович</t>
  </si>
  <si>
    <t>Теория музыки и композиция</t>
  </si>
  <si>
    <t>Алла Александровна</t>
  </si>
  <si>
    <t>Отделение камерного ансамбля</t>
  </si>
  <si>
    <t>Баян Амангельдиевна</t>
  </si>
  <si>
    <t>Концертмейстерское мастерство</t>
  </si>
  <si>
    <t>Азизханова Алла Александровна</t>
  </si>
  <si>
    <t>Народные инструменты</t>
  </si>
  <si>
    <t>Ибраева Асылзат Адамовна</t>
  </si>
  <si>
    <t>Звукорежисер Талгат</t>
  </si>
  <si>
    <t>«По вопросам оборудования актовых залов</t>
  </si>
  <si>
    <t xml:space="preserve">Склад муз инструментов  Александр Осипов </t>
  </si>
  <si>
    <t xml:space="preserve">по вопросам инструментов ручных </t>
  </si>
  <si>
    <t>Светлана Алмабаевна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</si>
</sst>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d\.m"/>
    <numFmt numFmtId="166" formatCode="d\-m"/>
  </numFmts>
  <fonts count="37">
    <font>
      <sz val="10"/>
      <color rgb="FF000000"/>
      <name val="Arial"/>
      <scheme val="minor"/>
    </font>
    <font>
      <sz val="10"/>
      <color theme="1"/>
      <name val="Arial"/>
      <scheme val="minor"/>
    </font>
    <font>
      <sz val="12"/>
      <color theme="1"/>
      <name val="Times New Roman"/>
    </font>
    <font>
      <sz val="12"/>
      <color rgb="FF000000"/>
      <name val="Times New Roman"/>
    </font>
    <font>
      <sz val="11"/>
      <color theme="1"/>
      <name val="Times New Roman"/>
    </font>
    <font>
      <sz val="12"/>
      <color rgb="FF000000"/>
      <name val="&quot;Times New Roman&quot;"/>
    </font>
    <font>
      <sz val="10"/>
      <color theme="1"/>
      <name val="Arial"/>
    </font>
    <font>
      <b/>
      <i/>
      <sz val="11"/>
      <color theme="1"/>
      <name val="Times New Roman"/>
    </font>
    <font>
      <sz val="12"/>
      <color theme="1"/>
      <name val="&quot;Times New Roman&quot;"/>
    </font>
    <font>
      <sz val="12"/>
      <color rgb="FF212427"/>
      <name val="Times New Roman"/>
    </font>
    <font>
      <sz val="12"/>
      <color rgb="FF0F1115"/>
      <name val="Times New Roman"/>
    </font>
    <font>
      <sz val="10"/>
      <color theme="1"/>
      <name val="Times New Roman"/>
    </font>
    <font>
      <sz val="12"/>
      <color rgb="FF0F1115"/>
      <name val="&quot;Times New Roman&quot;"/>
    </font>
    <font>
      <b/>
      <sz val="12"/>
      <color rgb="FF0F1115"/>
      <name val="&quot;Times New Roman&quot;"/>
    </font>
    <font>
      <b/>
      <sz val="12"/>
      <color rgb="FF000000"/>
      <name val="&quot;Times New Roman&quot;"/>
    </font>
    <font>
      <u/>
      <sz val="10"/>
      <color rgb="FF1155CC"/>
      <name val="Arial"/>
    </font>
    <font>
      <u/>
      <sz val="10"/>
      <color rgb="FF1155CC"/>
      <name val="Arial"/>
      <scheme val="minor"/>
    </font>
    <font>
      <u/>
      <sz val="10"/>
      <color rgb="FF1155CC"/>
      <name val="Arial"/>
      <scheme val="minor"/>
    </font>
    <font>
      <b/>
      <sz val="11"/>
      <color rgb="FF000000"/>
      <name val="'Times New Roman'"/>
    </font>
    <font>
      <b/>
      <sz val="12"/>
      <color theme="1"/>
      <name val="&quot;Times New Roman&quot;"/>
    </font>
    <font>
      <b/>
      <sz val="10"/>
      <color theme="1"/>
      <name val="Times New Roman"/>
    </font>
    <font>
      <sz val="10"/>
      <color theme="1"/>
      <name val="Calibri"/>
    </font>
    <font>
      <sz val="10"/>
      <color theme="1"/>
      <name val="Times New Roman"/>
    </font>
    <font>
      <u/>
      <sz val="10"/>
      <color rgb="FF0000FF"/>
      <name val="Arial"/>
    </font>
    <font>
      <sz val="12"/>
      <color rgb="FF01011B"/>
      <name val="Times New Roman"/>
    </font>
    <font>
      <sz val="12"/>
      <color rgb="FF1F1F1F"/>
      <name val="Times New Roman"/>
    </font>
    <font>
      <b/>
      <sz val="12"/>
      <color theme="1"/>
      <name val="Times New Roman"/>
    </font>
    <font>
      <u/>
      <sz val="10"/>
      <color rgb="FF0000FF"/>
      <name val="Arial"/>
    </font>
    <font>
      <i/>
      <sz val="12"/>
      <color rgb="FF0F1115"/>
      <name val="&quot;Times New Roman&quot;"/>
    </font>
    <font>
      <sz val="12"/>
      <color rgb="FF2E2F33"/>
      <name val="Times New Roman"/>
    </font>
    <font>
      <sz val="12"/>
      <color rgb="FF383838"/>
      <name val="Times New Roman"/>
    </font>
    <font>
      <sz val="12"/>
      <color rgb="FF3D5567"/>
      <name val="Times New Roman"/>
    </font>
    <font>
      <b/>
      <sz val="10"/>
      <color theme="1"/>
      <name val="Times New Roman"/>
    </font>
    <font>
      <sz val="12"/>
      <color rgb="FF232323"/>
      <name val="Times New Roman"/>
    </font>
    <font>
      <sz val="11"/>
      <color rgb="FF000000"/>
      <name val="Calibri"/>
    </font>
    <font>
      <b/>
      <sz val="11"/>
      <color rgb="FF000000"/>
      <name val="Calibri"/>
    </font>
    <font>
      <sz val="10"/>
      <name val="Arial"/>
    </font>
  </fonts>
  <fills count="13">
    <fill>
      <patternFill patternType="none"/>
    </fill>
    <fill>
      <patternFill patternType="gray125"/>
    </fill>
    <fill>
      <patternFill patternType="solid">
        <fgColor rgb="FFFF9900"/>
        <bgColor rgb="FFFF9900"/>
      </patternFill>
    </fill>
    <fill>
      <patternFill patternType="solid">
        <fgColor rgb="FFC9DAF8"/>
        <bgColor rgb="FFC9DAF8"/>
      </patternFill>
    </fill>
    <fill>
      <patternFill patternType="solid">
        <fgColor rgb="FFFFFFFF"/>
        <bgColor rgb="FFFFFFFF"/>
      </patternFill>
    </fill>
    <fill>
      <patternFill patternType="solid">
        <fgColor rgb="FF00FF00"/>
        <bgColor rgb="FF00FF00"/>
      </patternFill>
    </fill>
    <fill>
      <patternFill patternType="solid">
        <fgColor rgb="FF999999"/>
        <bgColor rgb="FF999999"/>
      </patternFill>
    </fill>
    <fill>
      <patternFill patternType="solid">
        <fgColor rgb="FFB7B7B7"/>
        <bgColor rgb="FFB7B7B7"/>
      </patternFill>
    </fill>
    <fill>
      <patternFill patternType="solid">
        <fgColor rgb="FFCCCCCC"/>
        <bgColor rgb="FFCCCCCC"/>
      </patternFill>
    </fill>
    <fill>
      <patternFill patternType="solid">
        <fgColor rgb="FF00FFFF"/>
        <bgColor rgb="FF00FFFF"/>
      </patternFill>
    </fill>
    <fill>
      <patternFill patternType="solid">
        <fgColor rgb="FFD9D9D9"/>
        <bgColor rgb="FFD9D9D9"/>
      </patternFill>
    </fill>
    <fill>
      <patternFill patternType="solid">
        <fgColor rgb="FFFFFF00"/>
        <bgColor rgb="FFFFFF00"/>
      </patternFill>
    </fill>
    <fill>
      <patternFill patternType="solid">
        <fgColor rgb="FFB6D7A8"/>
        <bgColor rgb="FFB6D7A8"/>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34">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49" fontId="1" fillId="2" borderId="1" xfId="0" applyNumberFormat="1" applyFont="1" applyFill="1" applyBorder="1" applyAlignment="1">
      <alignment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4" borderId="2" xfId="0" applyFont="1" applyFill="1" applyBorder="1" applyAlignment="1">
      <alignment wrapText="1"/>
    </xf>
    <xf numFmtId="164" fontId="1" fillId="4" borderId="0" xfId="0" applyNumberFormat="1" applyFont="1" applyFill="1" applyAlignment="1">
      <alignment horizontal="center" wrapText="1"/>
    </xf>
    <xf numFmtId="0" fontId="1" fillId="4" borderId="0" xfId="0" applyFont="1" applyFill="1" applyAlignment="1">
      <alignment wrapText="1"/>
    </xf>
    <xf numFmtId="0" fontId="1" fillId="4" borderId="0" xfId="0" applyFont="1" applyFill="1"/>
    <xf numFmtId="0" fontId="1" fillId="5" borderId="1" xfId="0" applyFont="1" applyFill="1" applyBorder="1" applyAlignment="1">
      <alignment wrapText="1"/>
    </xf>
    <xf numFmtId="0" fontId="1" fillId="4" borderId="0" xfId="0" applyFont="1" applyFill="1" applyAlignment="1">
      <alignment horizontal="center" wrapText="1"/>
    </xf>
    <xf numFmtId="49" fontId="1" fillId="0" borderId="0" xfId="0" applyNumberFormat="1" applyFont="1"/>
    <xf numFmtId="0" fontId="1" fillId="5" borderId="1" xfId="0" applyFont="1" applyFill="1" applyBorder="1" applyAlignment="1">
      <alignment horizontal="center"/>
    </xf>
    <xf numFmtId="0" fontId="1" fillId="0" borderId="1" xfId="0" applyFont="1" applyBorder="1" applyAlignment="1">
      <alignment horizontal="center"/>
    </xf>
    <xf numFmtId="0" fontId="1" fillId="5" borderId="1" xfId="0" applyFont="1" applyFill="1" applyBorder="1" applyAlignment="1">
      <alignment horizontal="center" vertical="center"/>
    </xf>
    <xf numFmtId="0" fontId="1" fillId="0" borderId="1" xfId="0" applyFont="1" applyBorder="1" applyAlignment="1">
      <alignment horizontal="center" vertical="center"/>
    </xf>
    <xf numFmtId="0" fontId="1" fillId="5" borderId="2" xfId="0" applyFont="1" applyFill="1" applyBorder="1" applyAlignment="1">
      <alignment horizontal="center" vertical="center"/>
    </xf>
    <xf numFmtId="0" fontId="1" fillId="4" borderId="2" xfId="0" applyFont="1" applyFill="1" applyBorder="1"/>
    <xf numFmtId="164" fontId="1" fillId="4" borderId="0" xfId="0" applyNumberFormat="1" applyFont="1" applyFill="1" applyAlignment="1">
      <alignment horizontal="center"/>
    </xf>
    <xf numFmtId="0" fontId="2" fillId="0" borderId="1" xfId="0" applyFont="1" applyBorder="1" applyAlignment="1">
      <alignment wrapText="1"/>
    </xf>
    <xf numFmtId="49" fontId="2" fillId="0" borderId="1" xfId="0" applyNumberFormat="1" applyFont="1" applyBorder="1" applyAlignment="1">
      <alignment wrapText="1"/>
    </xf>
    <xf numFmtId="0" fontId="2" fillId="0" borderId="1" xfId="0" applyFont="1" applyBorder="1" applyAlignment="1">
      <alignment horizont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1" fillId="5" borderId="0" xfId="0" applyFont="1" applyFill="1" applyAlignment="1">
      <alignment horizontal="center" wrapText="1"/>
    </xf>
    <xf numFmtId="49" fontId="1" fillId="5" borderId="1" xfId="0" applyNumberFormat="1" applyFont="1" applyFill="1" applyBorder="1" applyAlignment="1">
      <alignment wrapText="1"/>
    </xf>
    <xf numFmtId="0" fontId="3" fillId="4" borderId="1" xfId="0" applyFont="1" applyFill="1" applyBorder="1" applyAlignment="1">
      <alignment wrapText="1"/>
    </xf>
    <xf numFmtId="49" fontId="3" fillId="4" borderId="1" xfId="0" applyNumberFormat="1" applyFont="1" applyFill="1" applyBorder="1" applyAlignment="1">
      <alignment wrapText="1"/>
    </xf>
    <xf numFmtId="0" fontId="3" fillId="4" borderId="1" xfId="0" applyFont="1" applyFill="1" applyBorder="1" applyAlignment="1">
      <alignment horizont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4" fontId="4" fillId="4" borderId="2" xfId="0" applyNumberFormat="1" applyFont="1" applyFill="1" applyBorder="1" applyAlignment="1">
      <alignment horizontal="center" wrapText="1"/>
    </xf>
    <xf numFmtId="0" fontId="2" fillId="4" borderId="1" xfId="0" applyFont="1" applyFill="1" applyBorder="1" applyAlignment="1">
      <alignment wrapText="1"/>
    </xf>
    <xf numFmtId="49" fontId="2" fillId="4" borderId="1" xfId="0" applyNumberFormat="1" applyFont="1" applyFill="1" applyBorder="1" applyAlignment="1">
      <alignment wrapText="1"/>
    </xf>
    <xf numFmtId="0" fontId="3" fillId="0" borderId="1" xfId="0" applyFont="1" applyBorder="1" applyAlignment="1">
      <alignment horizontal="center" wrapText="1"/>
    </xf>
    <xf numFmtId="0" fontId="5" fillId="6" borderId="1" xfId="0" applyFont="1" applyFill="1" applyBorder="1" applyAlignment="1">
      <alignment wrapText="1"/>
    </xf>
    <xf numFmtId="49" fontId="5" fillId="6" borderId="1" xfId="0" applyNumberFormat="1" applyFont="1" applyFill="1" applyBorder="1" applyAlignment="1">
      <alignment wrapText="1"/>
    </xf>
    <xf numFmtId="0" fontId="5" fillId="6" borderId="1" xfId="0" applyFont="1" applyFill="1" applyBorder="1" applyAlignment="1">
      <alignment horizontal="center" wrapText="1"/>
    </xf>
    <xf numFmtId="0" fontId="5" fillId="6" borderId="1" xfId="0" applyFont="1" applyFill="1" applyBorder="1" applyAlignment="1">
      <alignment horizontal="center" vertical="center" wrapText="1"/>
    </xf>
    <xf numFmtId="0" fontId="5" fillId="6" borderId="2" xfId="0" applyFont="1" applyFill="1" applyBorder="1" applyAlignment="1">
      <alignment horizontal="center" vertical="center" wrapText="1"/>
    </xf>
    <xf numFmtId="4" fontId="6" fillId="4" borderId="2" xfId="0" applyNumberFormat="1" applyFont="1" applyFill="1" applyBorder="1"/>
    <xf numFmtId="0" fontId="2" fillId="0" borderId="1" xfId="0" applyFont="1" applyBorder="1"/>
    <xf numFmtId="49" fontId="2" fillId="0" borderId="1" xfId="0" applyNumberFormat="1" applyFont="1" applyBorder="1"/>
    <xf numFmtId="0" fontId="1" fillId="7" borderId="1" xfId="0" applyFont="1" applyFill="1" applyBorder="1" applyAlignment="1">
      <alignment horizontal="center"/>
    </xf>
    <xf numFmtId="3" fontId="4" fillId="7" borderId="1" xfId="0" applyNumberFormat="1" applyFont="1" applyFill="1" applyBorder="1" applyAlignment="1">
      <alignment horizontal="center" vertical="center"/>
    </xf>
    <xf numFmtId="3" fontId="4" fillId="7" borderId="2"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2" fillId="0" borderId="2" xfId="0" applyNumberFormat="1" applyFont="1" applyBorder="1" applyAlignment="1">
      <alignment horizontal="center" vertical="center"/>
    </xf>
    <xf numFmtId="0" fontId="7" fillId="8" borderId="1" xfId="0" applyFont="1" applyFill="1" applyBorder="1" applyAlignment="1">
      <alignment wrapText="1"/>
    </xf>
    <xf numFmtId="49" fontId="7" fillId="8" borderId="1" xfId="0" applyNumberFormat="1" applyFont="1" applyFill="1" applyBorder="1" applyAlignment="1">
      <alignment wrapText="1"/>
    </xf>
    <xf numFmtId="3" fontId="6" fillId="8" borderId="1" xfId="0" applyNumberFormat="1" applyFont="1" applyFill="1" applyBorder="1" applyAlignment="1">
      <alignment horizontal="center" vertical="center"/>
    </xf>
    <xf numFmtId="3" fontId="6" fillId="8" borderId="2" xfId="0" applyNumberFormat="1" applyFont="1" applyFill="1" applyBorder="1" applyAlignment="1">
      <alignment horizontal="center" vertical="center"/>
    </xf>
    <xf numFmtId="0" fontId="8" fillId="7" borderId="1" xfId="0" applyFont="1" applyFill="1" applyBorder="1"/>
    <xf numFmtId="49" fontId="8" fillId="7" borderId="1" xfId="0" applyNumberFormat="1" applyFont="1" applyFill="1" applyBorder="1"/>
    <xf numFmtId="0" fontId="1" fillId="4" borderId="1" xfId="0" applyFont="1" applyFill="1" applyBorder="1" applyAlignment="1">
      <alignment horizontal="center"/>
    </xf>
    <xf numFmtId="0" fontId="1" fillId="0" borderId="2" xfId="0" applyFont="1" applyBorder="1" applyAlignment="1">
      <alignment horizontal="center" vertical="center"/>
    </xf>
    <xf numFmtId="0" fontId="2" fillId="4" borderId="1" xfId="0" applyFont="1" applyFill="1" applyBorder="1" applyAlignment="1">
      <alignment horizontal="center"/>
    </xf>
    <xf numFmtId="0" fontId="2"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8" borderId="1" xfId="0" applyFont="1" applyFill="1" applyBorder="1" applyAlignment="1">
      <alignment horizontal="center"/>
    </xf>
    <xf numFmtId="0" fontId="6" fillId="8" borderId="1" xfId="0" applyFont="1" applyFill="1" applyBorder="1"/>
    <xf numFmtId="49" fontId="6" fillId="8" borderId="1" xfId="0" applyNumberFormat="1" applyFont="1" applyFill="1" applyBorder="1"/>
    <xf numFmtId="0" fontId="7" fillId="8" borderId="1" xfId="0" applyFont="1" applyFill="1" applyBorder="1"/>
    <xf numFmtId="49" fontId="7" fillId="8" borderId="1" xfId="0" applyNumberFormat="1" applyFont="1" applyFill="1" applyBorder="1"/>
    <xf numFmtId="0" fontId="9" fillId="4" borderId="1" xfId="0" applyFont="1" applyFill="1" applyBorder="1"/>
    <xf numFmtId="49" fontId="9" fillId="4" borderId="1" xfId="0" applyNumberFormat="1" applyFont="1" applyFill="1" applyBorder="1"/>
    <xf numFmtId="3" fontId="2" fillId="0" borderId="1" xfId="0" applyNumberFormat="1" applyFont="1" applyBorder="1" applyAlignment="1">
      <alignment horizontal="center"/>
    </xf>
    <xf numFmtId="3" fontId="6" fillId="8" borderId="1" xfId="0" applyNumberFormat="1" applyFont="1" applyFill="1" applyBorder="1"/>
    <xf numFmtId="0" fontId="10" fillId="4" borderId="1" xfId="0" applyFont="1" applyFill="1" applyBorder="1" applyAlignment="1">
      <alignment wrapText="1"/>
    </xf>
    <xf numFmtId="49" fontId="10" fillId="4" borderId="1" xfId="0" applyNumberFormat="1" applyFont="1" applyFill="1" applyBorder="1" applyAlignment="1">
      <alignment wrapText="1"/>
    </xf>
    <xf numFmtId="0" fontId="10" fillId="4" borderId="1" xfId="0" applyFont="1" applyFill="1" applyBorder="1" applyAlignment="1">
      <alignment horizontal="center" wrapText="1"/>
    </xf>
    <xf numFmtId="0" fontId="10"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1" fillId="5" borderId="1" xfId="0" applyFont="1" applyFill="1" applyBorder="1" applyAlignment="1">
      <alignment wrapText="1"/>
    </xf>
    <xf numFmtId="49" fontId="11" fillId="5" borderId="1" xfId="0" applyNumberFormat="1" applyFont="1" applyFill="1" applyBorder="1" applyAlignment="1">
      <alignment wrapText="1"/>
    </xf>
    <xf numFmtId="0" fontId="1" fillId="7" borderId="1" xfId="0" applyFont="1" applyFill="1" applyBorder="1" applyAlignment="1">
      <alignment wrapText="1"/>
    </xf>
    <xf numFmtId="49" fontId="1" fillId="7" borderId="1" xfId="0" applyNumberFormat="1" applyFont="1" applyFill="1" applyBorder="1" applyAlignment="1">
      <alignment wrapText="1"/>
    </xf>
    <xf numFmtId="165" fontId="1" fillId="7" borderId="1" xfId="0" applyNumberFormat="1" applyFont="1" applyFill="1" applyBorder="1" applyAlignment="1">
      <alignment horizontal="center"/>
    </xf>
    <xf numFmtId="0" fontId="12" fillId="7" borderId="1" xfId="0" applyFont="1" applyFill="1" applyBorder="1" applyAlignment="1">
      <alignment wrapText="1"/>
    </xf>
    <xf numFmtId="49" fontId="12" fillId="7" borderId="1" xfId="0" applyNumberFormat="1" applyFont="1" applyFill="1" applyBorder="1" applyAlignment="1">
      <alignment wrapText="1"/>
    </xf>
    <xf numFmtId="0" fontId="1" fillId="7" borderId="1"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2" fillId="6" borderId="1" xfId="0" applyFont="1" applyFill="1" applyBorder="1" applyAlignment="1">
      <alignment wrapText="1"/>
    </xf>
    <xf numFmtId="49" fontId="12" fillId="6" borderId="1" xfId="0" applyNumberFormat="1" applyFont="1" applyFill="1" applyBorder="1" applyAlignment="1">
      <alignment wrapText="1"/>
    </xf>
    <xf numFmtId="0" fontId="6" fillId="6" borderId="1"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2" fillId="4" borderId="1" xfId="0" applyFont="1" applyFill="1" applyBorder="1"/>
    <xf numFmtId="0" fontId="1" fillId="9" borderId="1" xfId="0" applyFont="1" applyFill="1" applyBorder="1" applyAlignment="1">
      <alignment wrapText="1"/>
    </xf>
    <xf numFmtId="49" fontId="1" fillId="9" borderId="1" xfId="0" applyNumberFormat="1" applyFont="1" applyFill="1" applyBorder="1" applyAlignment="1">
      <alignment wrapText="1"/>
    </xf>
    <xf numFmtId="0" fontId="1" fillId="9" borderId="1" xfId="0" applyFont="1" applyFill="1" applyBorder="1" applyAlignment="1">
      <alignment horizontal="center"/>
    </xf>
    <xf numFmtId="0" fontId="3" fillId="0" borderId="1" xfId="0" applyFont="1" applyBorder="1"/>
    <xf numFmtId="49" fontId="3" fillId="0" borderId="1" xfId="0" applyNumberFormat="1" applyFont="1" applyBorder="1"/>
    <xf numFmtId="0" fontId="3" fillId="0" borderId="1" xfId="0" applyFont="1" applyBorder="1" applyAlignment="1">
      <alignment horizont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1" fillId="5" borderId="1" xfId="0" applyFont="1" applyFill="1" applyBorder="1"/>
    <xf numFmtId="49" fontId="1" fillId="5" borderId="1" xfId="0" applyNumberFormat="1" applyFont="1" applyFill="1" applyBorder="1"/>
    <xf numFmtId="165" fontId="1" fillId="5" borderId="1" xfId="0" applyNumberFormat="1" applyFont="1" applyFill="1" applyBorder="1" applyAlignment="1">
      <alignment horizontal="center"/>
    </xf>
    <xf numFmtId="165" fontId="1" fillId="0" borderId="1" xfId="0" applyNumberFormat="1" applyFont="1" applyBorder="1" applyAlignment="1">
      <alignment horizontal="center" vertical="center"/>
    </xf>
    <xf numFmtId="165" fontId="1" fillId="0" borderId="2" xfId="0" applyNumberFormat="1" applyFont="1" applyBorder="1" applyAlignment="1">
      <alignment horizontal="center" vertical="center"/>
    </xf>
    <xf numFmtId="165" fontId="2" fillId="0" borderId="1" xfId="0" applyNumberFormat="1" applyFont="1" applyBorder="1" applyAlignment="1">
      <alignment horizontal="center"/>
    </xf>
    <xf numFmtId="165" fontId="2" fillId="0" borderId="1" xfId="0" applyNumberFormat="1" applyFont="1" applyBorder="1" applyAlignment="1">
      <alignment horizontal="center" vertical="center"/>
    </xf>
    <xf numFmtId="165" fontId="2" fillId="0" borderId="2" xfId="0" applyNumberFormat="1" applyFont="1" applyBorder="1" applyAlignment="1">
      <alignment horizontal="center" vertical="center"/>
    </xf>
    <xf numFmtId="49" fontId="3" fillId="0" borderId="1" xfId="0" applyNumberFormat="1" applyFont="1" applyBorder="1" applyAlignment="1">
      <alignment horizontal="left" vertical="center" wrapText="1"/>
    </xf>
    <xf numFmtId="165" fontId="2" fillId="4" borderId="1" xfId="0" applyNumberFormat="1" applyFont="1" applyFill="1" applyBorder="1" applyAlignment="1">
      <alignment horizontal="center"/>
    </xf>
    <xf numFmtId="165" fontId="1" fillId="0" borderId="1" xfId="0" applyNumberFormat="1" applyFont="1" applyBorder="1" applyAlignment="1">
      <alignment horizontal="center"/>
    </xf>
    <xf numFmtId="165" fontId="1" fillId="9" borderId="1" xfId="0" applyNumberFormat="1" applyFont="1" applyFill="1" applyBorder="1" applyAlignment="1">
      <alignment horizontal="center"/>
    </xf>
    <xf numFmtId="0" fontId="4" fillId="7" borderId="1" xfId="0" applyFont="1" applyFill="1" applyBorder="1" applyAlignment="1">
      <alignment wrapText="1"/>
    </xf>
    <xf numFmtId="49" fontId="4" fillId="7" borderId="1" xfId="0" applyNumberFormat="1" applyFont="1" applyFill="1" applyBorder="1" applyAlignment="1">
      <alignment wrapText="1"/>
    </xf>
    <xf numFmtId="3" fontId="4" fillId="0" borderId="1" xfId="0" applyNumberFormat="1" applyFont="1" applyBorder="1" applyAlignment="1">
      <alignment horizontal="center" vertical="center"/>
    </xf>
    <xf numFmtId="3" fontId="4" fillId="0" borderId="2" xfId="0" applyNumberFormat="1" applyFont="1" applyBorder="1" applyAlignment="1">
      <alignment horizontal="center" vertical="center"/>
    </xf>
    <xf numFmtId="0" fontId="2" fillId="7" borderId="1" xfId="0" applyFont="1" applyFill="1" applyBorder="1" applyAlignment="1">
      <alignment wrapText="1"/>
    </xf>
    <xf numFmtId="49" fontId="2" fillId="7" borderId="1" xfId="0" applyNumberFormat="1" applyFont="1" applyFill="1" applyBorder="1" applyAlignment="1">
      <alignment wrapText="1"/>
    </xf>
    <xf numFmtId="0" fontId="6" fillId="7" borderId="1" xfId="0" applyFont="1" applyFill="1" applyBorder="1"/>
    <xf numFmtId="0" fontId="5" fillId="7" borderId="1" xfId="0" applyFont="1" applyFill="1" applyBorder="1" applyAlignment="1">
      <alignment wrapText="1"/>
    </xf>
    <xf numFmtId="49" fontId="5" fillId="7" borderId="1" xfId="0" applyNumberFormat="1" applyFont="1" applyFill="1" applyBorder="1" applyAlignment="1">
      <alignment wrapText="1"/>
    </xf>
    <xf numFmtId="165" fontId="5" fillId="4" borderId="1" xfId="0" applyNumberFormat="1" applyFont="1" applyFill="1" applyBorder="1" applyAlignment="1">
      <alignment horizontal="center"/>
    </xf>
    <xf numFmtId="165" fontId="1" fillId="4" borderId="1" xfId="0" applyNumberFormat="1" applyFont="1" applyFill="1" applyBorder="1" applyAlignment="1">
      <alignment horizontal="center" vertical="center"/>
    </xf>
    <xf numFmtId="165" fontId="1" fillId="4" borderId="2" xfId="0" applyNumberFormat="1" applyFont="1" applyFill="1" applyBorder="1" applyAlignment="1">
      <alignment horizontal="center" vertical="center"/>
    </xf>
    <xf numFmtId="0" fontId="2" fillId="0" borderId="2" xfId="0" applyFont="1" applyBorder="1" applyAlignment="1">
      <alignment horizontal="center"/>
    </xf>
    <xf numFmtId="0" fontId="5" fillId="4" borderId="1" xfId="0" applyFont="1" applyFill="1" applyBorder="1" applyAlignment="1">
      <alignment horizont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13" fillId="7" borderId="1" xfId="0" applyFont="1" applyFill="1" applyBorder="1" applyAlignment="1">
      <alignment wrapText="1"/>
    </xf>
    <xf numFmtId="49" fontId="13" fillId="7" borderId="1" xfId="0" applyNumberFormat="1" applyFont="1" applyFill="1" applyBorder="1" applyAlignment="1">
      <alignment wrapText="1"/>
    </xf>
    <xf numFmtId="0" fontId="1" fillId="7" borderId="1" xfId="0" applyFont="1" applyFill="1" applyBorder="1" applyAlignment="1">
      <alignment horizontal="center" vertical="center"/>
    </xf>
    <xf numFmtId="0" fontId="1" fillId="7" borderId="2" xfId="0" applyFont="1" applyFill="1" applyBorder="1" applyAlignment="1">
      <alignment horizontal="center" vertical="center"/>
    </xf>
    <xf numFmtId="0" fontId="3" fillId="0" borderId="1" xfId="0" applyFont="1" applyBorder="1" applyAlignment="1">
      <alignment wrapText="1"/>
    </xf>
    <xf numFmtId="49" fontId="3" fillId="0" borderId="1" xfId="0" applyNumberFormat="1" applyFont="1" applyBorder="1" applyAlignment="1">
      <alignment wrapText="1"/>
    </xf>
    <xf numFmtId="0" fontId="5" fillId="7" borderId="1" xfId="0" applyFont="1" applyFill="1" applyBorder="1" applyAlignment="1">
      <alignment horizontal="center" vertical="center"/>
    </xf>
    <xf numFmtId="0" fontId="5" fillId="7" borderId="2" xfId="0" applyFont="1" applyFill="1" applyBorder="1" applyAlignment="1">
      <alignment horizontal="center" vertical="center"/>
    </xf>
    <xf numFmtId="0" fontId="7" fillId="7" borderId="1" xfId="0" applyFont="1" applyFill="1" applyBorder="1" applyAlignment="1">
      <alignment horizontal="left" vertical="center"/>
    </xf>
    <xf numFmtId="49" fontId="7" fillId="7" borderId="1" xfId="0" applyNumberFormat="1" applyFont="1" applyFill="1" applyBorder="1" applyAlignment="1">
      <alignment horizontal="left" vertical="center"/>
    </xf>
    <xf numFmtId="0" fontId="3" fillId="4" borderId="1" xfId="0" applyFont="1" applyFill="1" applyBorder="1"/>
    <xf numFmtId="49" fontId="3" fillId="4" borderId="1" xfId="0" applyNumberFormat="1" applyFont="1" applyFill="1" applyBorder="1"/>
    <xf numFmtId="3" fontId="2" fillId="4" borderId="1" xfId="0" applyNumberFormat="1" applyFont="1" applyFill="1" applyBorder="1" applyAlignment="1">
      <alignment horizontal="center" vertical="center"/>
    </xf>
    <xf numFmtId="3" fontId="2" fillId="4" borderId="2" xfId="0" applyNumberFormat="1" applyFont="1" applyFill="1" applyBorder="1" applyAlignment="1">
      <alignment horizontal="center" vertical="center"/>
    </xf>
    <xf numFmtId="0" fontId="7" fillId="7" borderId="1" xfId="0" applyFont="1" applyFill="1" applyBorder="1" applyAlignment="1">
      <alignment wrapText="1"/>
    </xf>
    <xf numFmtId="49" fontId="7" fillId="7" borderId="1" xfId="0" applyNumberFormat="1" applyFont="1" applyFill="1" applyBorder="1" applyAlignment="1">
      <alignment wrapText="1"/>
    </xf>
    <xf numFmtId="3" fontId="6" fillId="7" borderId="1" xfId="0" applyNumberFormat="1" applyFont="1" applyFill="1" applyBorder="1" applyAlignment="1">
      <alignment horizontal="center" vertical="center"/>
    </xf>
    <xf numFmtId="3" fontId="6" fillId="7" borderId="2" xfId="0" applyNumberFormat="1" applyFont="1" applyFill="1" applyBorder="1" applyAlignment="1">
      <alignment horizontal="center" vertical="center"/>
    </xf>
    <xf numFmtId="49" fontId="2" fillId="0" borderId="1" xfId="0" applyNumberFormat="1" applyFont="1" applyBorder="1" applyAlignment="1">
      <alignment horizontal="left" vertical="center" wrapText="1"/>
    </xf>
    <xf numFmtId="0" fontId="13" fillId="7" borderId="1" xfId="0" applyFont="1" applyFill="1" applyBorder="1"/>
    <xf numFmtId="49" fontId="13" fillId="7" borderId="1" xfId="0" applyNumberFormat="1" applyFont="1" applyFill="1" applyBorder="1"/>
    <xf numFmtId="0" fontId="1" fillId="7" borderId="1" xfId="0" applyFont="1" applyFill="1" applyBorder="1" applyAlignment="1">
      <alignment horizont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Alignment="1">
      <alignment wrapText="1"/>
    </xf>
    <xf numFmtId="0" fontId="2" fillId="0" borderId="1" xfId="0" applyFont="1" applyBorder="1" applyAlignment="1">
      <alignment horizontal="center" wrapText="1"/>
    </xf>
    <xf numFmtId="0" fontId="14" fillId="7" borderId="1" xfId="0" applyFont="1" applyFill="1" applyBorder="1" applyAlignment="1">
      <alignment wrapText="1"/>
    </xf>
    <xf numFmtId="49" fontId="14" fillId="7" borderId="1" xfId="0" applyNumberFormat="1" applyFont="1" applyFill="1" applyBorder="1" applyAlignment="1">
      <alignment wrapText="1"/>
    </xf>
    <xf numFmtId="0" fontId="14" fillId="7" borderId="1" xfId="0" applyFont="1" applyFill="1" applyBorder="1" applyAlignment="1">
      <alignment horizontal="center" vertical="center"/>
    </xf>
    <xf numFmtId="0" fontId="14" fillId="7" borderId="2" xfId="0" applyFont="1" applyFill="1" applyBorder="1" applyAlignment="1">
      <alignment horizontal="center" vertical="center"/>
    </xf>
    <xf numFmtId="0" fontId="2" fillId="0" borderId="1" xfId="0" applyFont="1" applyBorder="1" applyAlignment="1">
      <alignment vertical="center" wrapText="1"/>
    </xf>
    <xf numFmtId="49" fontId="2" fillId="0" borderId="1" xfId="0" applyNumberFormat="1" applyFont="1" applyBorder="1" applyAlignment="1">
      <alignment vertical="center" wrapText="1"/>
    </xf>
    <xf numFmtId="3" fontId="6" fillId="4" borderId="1" xfId="0" applyNumberFormat="1" applyFont="1" applyFill="1" applyBorder="1" applyAlignment="1">
      <alignment horizontal="center" vertical="center"/>
    </xf>
    <xf numFmtId="3" fontId="6" fillId="4" borderId="2" xfId="0" applyNumberFormat="1" applyFont="1" applyFill="1" applyBorder="1" applyAlignment="1">
      <alignment horizontal="center" vertical="center"/>
    </xf>
    <xf numFmtId="3" fontId="2" fillId="4" borderId="1" xfId="0" applyNumberFormat="1" applyFont="1" applyFill="1" applyBorder="1" applyAlignment="1">
      <alignment horizontal="center" vertical="center" wrapText="1"/>
    </xf>
    <xf numFmtId="3" fontId="2" fillId="4" borderId="2" xfId="0" applyNumberFormat="1" applyFont="1" applyFill="1" applyBorder="1" applyAlignment="1">
      <alignment horizontal="center" vertical="center" wrapText="1"/>
    </xf>
    <xf numFmtId="165" fontId="6" fillId="4" borderId="1" xfId="0" applyNumberFormat="1" applyFont="1" applyFill="1" applyBorder="1"/>
    <xf numFmtId="165" fontId="6" fillId="4" borderId="1" xfId="0" applyNumberFormat="1" applyFont="1" applyFill="1" applyBorder="1" applyAlignment="1">
      <alignment horizontal="center" vertical="center"/>
    </xf>
    <xf numFmtId="165" fontId="6" fillId="4" borderId="2" xfId="0" applyNumberFormat="1" applyFont="1" applyFill="1" applyBorder="1" applyAlignment="1">
      <alignment horizontal="center" vertical="center"/>
    </xf>
    <xf numFmtId="165" fontId="12" fillId="7" borderId="1" xfId="0" applyNumberFormat="1" applyFont="1" applyFill="1" applyBorder="1" applyAlignment="1">
      <alignment horizontal="center" wrapText="1"/>
    </xf>
    <xf numFmtId="165" fontId="10" fillId="7" borderId="1" xfId="0" applyNumberFormat="1" applyFont="1" applyFill="1" applyBorder="1" applyAlignment="1">
      <alignment horizontal="center" vertical="center" wrapText="1"/>
    </xf>
    <xf numFmtId="165" fontId="10" fillId="7" borderId="2" xfId="0" applyNumberFormat="1" applyFont="1" applyFill="1" applyBorder="1" applyAlignment="1">
      <alignment horizontal="center" vertical="center" wrapText="1"/>
    </xf>
    <xf numFmtId="165" fontId="6" fillId="7" borderId="1" xfId="0" applyNumberFormat="1" applyFont="1" applyFill="1" applyBorder="1" applyAlignment="1">
      <alignment horizontal="center" vertical="center"/>
    </xf>
    <xf numFmtId="165" fontId="6" fillId="7" borderId="2" xfId="0" applyNumberFormat="1" applyFont="1" applyFill="1" applyBorder="1" applyAlignment="1">
      <alignment horizontal="center" vertical="center"/>
    </xf>
    <xf numFmtId="165" fontId="10" fillId="4" borderId="1" xfId="0" applyNumberFormat="1" applyFont="1" applyFill="1" applyBorder="1" applyAlignment="1">
      <alignment horizontal="center" vertical="center" wrapText="1"/>
    </xf>
    <xf numFmtId="165" fontId="10" fillId="4" borderId="2" xfId="0" applyNumberFormat="1" applyFont="1" applyFill="1" applyBorder="1" applyAlignment="1">
      <alignment horizontal="center" vertical="center" wrapText="1"/>
    </xf>
    <xf numFmtId="0" fontId="10" fillId="4" borderId="1" xfId="0" applyFont="1" applyFill="1" applyBorder="1"/>
    <xf numFmtId="49" fontId="10" fillId="4" borderId="1" xfId="0" applyNumberFormat="1" applyFont="1" applyFill="1" applyBorder="1"/>
    <xf numFmtId="0" fontId="3" fillId="4" borderId="1" xfId="0" applyFont="1" applyFill="1" applyBorder="1" applyAlignment="1">
      <alignment horizont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2" xfId="0" applyFont="1" applyBorder="1" applyAlignment="1">
      <alignment horizontal="center" vertical="center"/>
    </xf>
    <xf numFmtId="0" fontId="2" fillId="0" borderId="1" xfId="0" applyFont="1" applyBorder="1" applyAlignment="1">
      <alignment horizontal="left"/>
    </xf>
    <xf numFmtId="49" fontId="2" fillId="0" borderId="1" xfId="0" applyNumberFormat="1" applyFont="1" applyBorder="1" applyAlignment="1">
      <alignment horizontal="left"/>
    </xf>
    <xf numFmtId="0" fontId="18" fillId="8" borderId="1" xfId="0" applyFont="1" applyFill="1" applyBorder="1" applyAlignment="1">
      <alignment horizontal="left" wrapText="1"/>
    </xf>
    <xf numFmtId="49" fontId="18" fillId="8" borderId="1" xfId="0" applyNumberFormat="1" applyFont="1" applyFill="1" applyBorder="1" applyAlignment="1">
      <alignment horizontal="left" wrapText="1"/>
    </xf>
    <xf numFmtId="0" fontId="18" fillId="7" borderId="1" xfId="0" applyFont="1" applyFill="1" applyBorder="1" applyAlignment="1">
      <alignment horizontal="left" wrapText="1"/>
    </xf>
    <xf numFmtId="49" fontId="18" fillId="7" borderId="1" xfId="0" applyNumberFormat="1" applyFont="1" applyFill="1" applyBorder="1" applyAlignment="1">
      <alignment horizontal="left" wrapText="1"/>
    </xf>
    <xf numFmtId="0" fontId="19" fillId="8" borderId="1" xfId="0" applyFont="1" applyFill="1" applyBorder="1"/>
    <xf numFmtId="49" fontId="19" fillId="8" borderId="1" xfId="0" applyNumberFormat="1" applyFont="1" applyFill="1" applyBorder="1"/>
    <xf numFmtId="165" fontId="1" fillId="8" borderId="1" xfId="0" applyNumberFormat="1" applyFont="1" applyFill="1" applyBorder="1" applyAlignment="1">
      <alignment horizontal="center"/>
    </xf>
    <xf numFmtId="0" fontId="1" fillId="8" borderId="1" xfId="0" applyFont="1" applyFill="1" applyBorder="1" applyAlignment="1">
      <alignment horizontal="center" vertical="center"/>
    </xf>
    <xf numFmtId="0" fontId="1" fillId="8" borderId="2" xfId="0" applyFont="1" applyFill="1" applyBorder="1" applyAlignment="1">
      <alignment horizontal="center" vertical="center"/>
    </xf>
    <xf numFmtId="49" fontId="6" fillId="7" borderId="1" xfId="0" applyNumberFormat="1" applyFont="1" applyFill="1" applyBorder="1"/>
    <xf numFmtId="0" fontId="18" fillId="8" borderId="1" xfId="0" applyFont="1" applyFill="1" applyBorder="1" applyAlignment="1">
      <alignment horizontal="center" wrapText="1"/>
    </xf>
    <xf numFmtId="49" fontId="18" fillId="8" borderId="1" xfId="0" applyNumberFormat="1" applyFont="1" applyFill="1" applyBorder="1" applyAlignment="1">
      <alignment horizontal="center" wrapText="1"/>
    </xf>
    <xf numFmtId="0" fontId="3" fillId="0" borderId="1" xfId="0" applyFont="1" applyBorder="1" applyAlignment="1">
      <alignment horizontal="left" wrapText="1"/>
    </xf>
    <xf numFmtId="49" fontId="3" fillId="0" borderId="1" xfId="0" applyNumberFormat="1" applyFont="1" applyBorder="1" applyAlignment="1">
      <alignment horizontal="left"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 fillId="10" borderId="1"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20" fillId="10" borderId="1" xfId="0" applyFont="1" applyFill="1" applyBorder="1" applyAlignment="1">
      <alignment wrapText="1"/>
    </xf>
    <xf numFmtId="49" fontId="20" fillId="10" borderId="1" xfId="0" applyNumberFormat="1" applyFont="1" applyFill="1" applyBorder="1" applyAlignment="1">
      <alignment wrapText="1"/>
    </xf>
    <xf numFmtId="165" fontId="2" fillId="4" borderId="1" xfId="0" applyNumberFormat="1" applyFont="1" applyFill="1" applyBorder="1" applyAlignment="1">
      <alignment horizontal="center" wrapText="1"/>
    </xf>
    <xf numFmtId="165" fontId="21" fillId="10" borderId="1" xfId="0" applyNumberFormat="1" applyFont="1" applyFill="1" applyBorder="1"/>
    <xf numFmtId="165" fontId="22" fillId="5" borderId="1" xfId="0" applyNumberFormat="1" applyFont="1" applyFill="1" applyBorder="1" applyAlignment="1">
      <alignment horizontal="center"/>
    </xf>
    <xf numFmtId="165" fontId="22" fillId="0" borderId="1" xfId="0" applyNumberFormat="1" applyFont="1" applyBorder="1" applyAlignment="1">
      <alignment horizontal="center"/>
    </xf>
    <xf numFmtId="165" fontId="2" fillId="0" borderId="1" xfId="0" applyNumberFormat="1" applyFont="1" applyBorder="1"/>
    <xf numFmtId="0" fontId="23" fillId="0" borderId="1" xfId="0" applyFont="1" applyBorder="1" applyAlignment="1">
      <alignment horizontal="center" vertical="center"/>
    </xf>
    <xf numFmtId="3" fontId="2" fillId="0" borderId="1" xfId="0" applyNumberFormat="1" applyFont="1" applyBorder="1" applyAlignment="1">
      <alignment horizontal="center" vertical="center" wrapText="1"/>
    </xf>
    <xf numFmtId="3" fontId="2" fillId="0" borderId="2" xfId="0" applyNumberFormat="1" applyFont="1" applyBorder="1" applyAlignment="1">
      <alignment horizontal="center" vertical="center" wrapText="1"/>
    </xf>
    <xf numFmtId="166" fontId="2" fillId="0" borderId="1" xfId="0" applyNumberFormat="1" applyFont="1" applyBorder="1" applyAlignment="1">
      <alignment horizontal="center" vertical="center"/>
    </xf>
    <xf numFmtId="166" fontId="2" fillId="0" borderId="2" xfId="0" applyNumberFormat="1" applyFont="1" applyBorder="1" applyAlignment="1">
      <alignment horizontal="center" vertical="center"/>
    </xf>
    <xf numFmtId="0" fontId="1" fillId="9" borderId="1" xfId="0" applyFont="1" applyFill="1" applyBorder="1"/>
    <xf numFmtId="49" fontId="1" fillId="9" borderId="1" xfId="0" applyNumberFormat="1" applyFont="1" applyFill="1" applyBorder="1"/>
    <xf numFmtId="3" fontId="6" fillId="0" borderId="1" xfId="0" applyNumberFormat="1" applyFont="1" applyBorder="1" applyAlignment="1">
      <alignment horizontal="center" vertical="center"/>
    </xf>
    <xf numFmtId="3" fontId="6" fillId="0" borderId="2" xfId="0" applyNumberFormat="1" applyFont="1" applyBorder="1" applyAlignment="1">
      <alignment horizontal="center" vertical="center"/>
    </xf>
    <xf numFmtId="0" fontId="24" fillId="4" borderId="1" xfId="0" applyFont="1" applyFill="1" applyBorder="1"/>
    <xf numFmtId="49" fontId="24" fillId="4" borderId="1" xfId="0" applyNumberFormat="1" applyFont="1" applyFill="1" applyBorder="1"/>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5" fillId="7" borderId="1" xfId="0" applyFont="1" applyFill="1" applyBorder="1" applyAlignment="1">
      <alignment horizontal="center" wrapText="1"/>
    </xf>
    <xf numFmtId="0" fontId="5" fillId="8" borderId="1" xfId="0" applyFont="1" applyFill="1" applyBorder="1" applyAlignment="1">
      <alignment wrapText="1"/>
    </xf>
    <xf numFmtId="49" fontId="5" fillId="8" borderId="1" xfId="0" applyNumberFormat="1" applyFont="1" applyFill="1" applyBorder="1" applyAlignment="1">
      <alignment wrapText="1"/>
    </xf>
    <xf numFmtId="0" fontId="5" fillId="8" borderId="1" xfId="0" applyFont="1" applyFill="1" applyBorder="1" applyAlignment="1">
      <alignment horizontal="center" wrapText="1"/>
    </xf>
    <xf numFmtId="0" fontId="5" fillId="7" borderId="1" xfId="0" applyFont="1" applyFill="1" applyBorder="1" applyAlignment="1">
      <alignment horizontal="center" vertical="center" wrapText="1"/>
    </xf>
    <xf numFmtId="0" fontId="5" fillId="7" borderId="2" xfId="0" applyFont="1" applyFill="1" applyBorder="1" applyAlignment="1">
      <alignment horizontal="center" vertical="center" wrapText="1"/>
    </xf>
    <xf numFmtId="49" fontId="2" fillId="4" borderId="1" xfId="0" applyNumberFormat="1" applyFont="1" applyFill="1" applyBorder="1"/>
    <xf numFmtId="0" fontId="12" fillId="5" borderId="1" xfId="0" applyFont="1" applyFill="1" applyBorder="1" applyAlignment="1">
      <alignment wrapText="1"/>
    </xf>
    <xf numFmtId="49" fontId="12" fillId="5" borderId="1" xfId="0" applyNumberFormat="1" applyFont="1" applyFill="1" applyBorder="1" applyAlignment="1">
      <alignment wrapText="1"/>
    </xf>
    <xf numFmtId="0" fontId="25" fillId="4" borderId="1" xfId="0" applyFont="1" applyFill="1" applyBorder="1" applyAlignment="1">
      <alignment wrapText="1"/>
    </xf>
    <xf numFmtId="49" fontId="25" fillId="4" borderId="1" xfId="0" applyNumberFormat="1" applyFont="1" applyFill="1" applyBorder="1" applyAlignment="1">
      <alignment wrapText="1"/>
    </xf>
    <xf numFmtId="0" fontId="2" fillId="4" borderId="1" xfId="0" applyFont="1" applyFill="1" applyBorder="1" applyAlignment="1">
      <alignment horizontal="center" wrapText="1"/>
    </xf>
    <xf numFmtId="49" fontId="2" fillId="4" borderId="1" xfId="0" applyNumberFormat="1" applyFont="1" applyFill="1" applyBorder="1" applyAlignment="1">
      <alignment horizontal="center" wrapText="1"/>
    </xf>
    <xf numFmtId="0" fontId="25" fillId="0" borderId="1" xfId="0" applyFont="1" applyBorder="1" applyAlignment="1">
      <alignment wrapText="1"/>
    </xf>
    <xf numFmtId="49" fontId="25" fillId="0" borderId="1" xfId="0" applyNumberFormat="1" applyFont="1" applyBorder="1" applyAlignment="1">
      <alignment wrapText="1"/>
    </xf>
    <xf numFmtId="0" fontId="2" fillId="4" borderId="1" xfId="0" applyFont="1" applyFill="1" applyBorder="1" applyAlignment="1">
      <alignment horizontal="center" vertical="center"/>
    </xf>
    <xf numFmtId="0" fontId="2" fillId="4" borderId="2" xfId="0" applyFont="1" applyFill="1" applyBorder="1" applyAlignment="1">
      <alignment horizontal="center" vertical="center"/>
    </xf>
    <xf numFmtId="0" fontId="21" fillId="10" borderId="1" xfId="0" applyFont="1" applyFill="1" applyBorder="1" applyAlignment="1">
      <alignment horizontal="center" vertical="center"/>
    </xf>
    <xf numFmtId="0" fontId="21" fillId="10" borderId="2" xfId="0" applyFont="1" applyFill="1" applyBorder="1" applyAlignment="1">
      <alignment horizontal="center" vertical="center"/>
    </xf>
    <xf numFmtId="0" fontId="26" fillId="10" borderId="1" xfId="0" applyFont="1" applyFill="1" applyBorder="1" applyAlignment="1">
      <alignment wrapText="1"/>
    </xf>
    <xf numFmtId="49" fontId="26" fillId="10" borderId="1" xfId="0" applyNumberFormat="1" applyFont="1" applyFill="1" applyBorder="1" applyAlignment="1">
      <alignment wrapText="1"/>
    </xf>
    <xf numFmtId="3" fontId="21" fillId="10" borderId="1" xfId="0" applyNumberFormat="1" applyFont="1" applyFill="1" applyBorder="1" applyAlignment="1">
      <alignment horizontal="center" vertical="center"/>
    </xf>
    <xf numFmtId="3" fontId="21" fillId="10" borderId="2" xfId="0" applyNumberFormat="1" applyFont="1" applyFill="1" applyBorder="1" applyAlignment="1">
      <alignment horizontal="center" vertical="center"/>
    </xf>
    <xf numFmtId="0" fontId="20" fillId="10" borderId="1" xfId="0" applyFont="1" applyFill="1" applyBorder="1" applyAlignment="1">
      <alignment vertical="top" wrapText="1"/>
    </xf>
    <xf numFmtId="49" fontId="20" fillId="10" borderId="1" xfId="0" applyNumberFormat="1" applyFont="1" applyFill="1" applyBorder="1" applyAlignment="1">
      <alignment vertical="top"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2" fillId="4" borderId="1" xfId="0" applyFont="1" applyFill="1" applyBorder="1" applyAlignment="1">
      <alignment horizontal="center" wrapText="1"/>
    </xf>
    <xf numFmtId="0" fontId="20" fillId="10" borderId="1" xfId="0" applyFont="1" applyFill="1" applyBorder="1"/>
    <xf numFmtId="49" fontId="20" fillId="10" borderId="1" xfId="0" applyNumberFormat="1" applyFont="1" applyFill="1" applyBorder="1"/>
    <xf numFmtId="0" fontId="2" fillId="0" borderId="1" xfId="0" applyFont="1" applyBorder="1" applyAlignment="1">
      <alignment horizontal="left" wrapText="1"/>
    </xf>
    <xf numFmtId="49" fontId="2" fillId="0" borderId="1" xfId="0" applyNumberFormat="1" applyFont="1" applyBorder="1" applyAlignment="1">
      <alignment horizontal="left" wrapText="1"/>
    </xf>
    <xf numFmtId="0" fontId="27" fillId="0" borderId="1" xfId="0" applyFont="1" applyBorder="1" applyAlignment="1">
      <alignment horizontal="center" vertical="center"/>
    </xf>
    <xf numFmtId="49" fontId="2" fillId="0" borderId="1" xfId="0" applyNumberFormat="1" applyFont="1" applyBorder="1" applyAlignment="1">
      <alignment horizontal="center" wrapText="1"/>
    </xf>
    <xf numFmtId="3" fontId="2" fillId="0" borderId="1" xfId="0" applyNumberFormat="1" applyFont="1" applyBorder="1" applyAlignment="1">
      <alignment horizontal="left"/>
    </xf>
    <xf numFmtId="165" fontId="1" fillId="7" borderId="1" xfId="0" applyNumberFormat="1" applyFont="1" applyFill="1" applyBorder="1" applyAlignment="1">
      <alignment horizontal="center" vertical="center"/>
    </xf>
    <xf numFmtId="165" fontId="1" fillId="7" borderId="2" xfId="0" applyNumberFormat="1" applyFont="1" applyFill="1" applyBorder="1" applyAlignment="1">
      <alignment horizontal="center" vertical="center"/>
    </xf>
    <xf numFmtId="165" fontId="5" fillId="7" borderId="1" xfId="0" applyNumberFormat="1" applyFont="1" applyFill="1" applyBorder="1" applyAlignment="1">
      <alignment horizontal="center" vertical="center"/>
    </xf>
    <xf numFmtId="165" fontId="5" fillId="7" borderId="2" xfId="0" applyNumberFormat="1" applyFont="1" applyFill="1" applyBorder="1" applyAlignment="1">
      <alignment horizontal="center" vertical="center"/>
    </xf>
    <xf numFmtId="0" fontId="28" fillId="7" borderId="1" xfId="0" applyFont="1" applyFill="1" applyBorder="1" applyAlignment="1">
      <alignment wrapText="1"/>
    </xf>
    <xf numFmtId="49" fontId="28" fillId="7" borderId="1" xfId="0" applyNumberFormat="1" applyFont="1" applyFill="1" applyBorder="1" applyAlignment="1">
      <alignment wrapText="1"/>
    </xf>
    <xf numFmtId="0" fontId="6" fillId="4" borderId="1" xfId="0" applyFont="1" applyFill="1" applyBorder="1"/>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165" fontId="1" fillId="9" borderId="1" xfId="0" applyNumberFormat="1" applyFont="1" applyFill="1" applyBorder="1" applyAlignment="1">
      <alignment horizontal="center" vertical="center"/>
    </xf>
    <xf numFmtId="165" fontId="1" fillId="9" borderId="2" xfId="0" applyNumberFormat="1" applyFont="1" applyFill="1" applyBorder="1" applyAlignment="1">
      <alignment horizontal="center" vertical="center"/>
    </xf>
    <xf numFmtId="0" fontId="3" fillId="4" borderId="1" xfId="0" applyFont="1" applyFill="1" applyBorder="1" applyAlignment="1">
      <alignment horizontal="left" wrapText="1"/>
    </xf>
    <xf numFmtId="49" fontId="3" fillId="4" borderId="1" xfId="0" applyNumberFormat="1" applyFont="1" applyFill="1" applyBorder="1" applyAlignment="1">
      <alignment horizontal="left" wrapText="1"/>
    </xf>
    <xf numFmtId="0" fontId="29" fillId="4" borderId="1" xfId="0" applyFont="1" applyFill="1" applyBorder="1" applyAlignment="1">
      <alignment horizontal="left" wrapText="1"/>
    </xf>
    <xf numFmtId="49" fontId="29" fillId="4" borderId="1" xfId="0" applyNumberFormat="1" applyFont="1" applyFill="1" applyBorder="1" applyAlignment="1">
      <alignment horizontal="left" wrapText="1"/>
    </xf>
    <xf numFmtId="0" fontId="12" fillId="7" borderId="1"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 fillId="0" borderId="1" xfId="0" applyFont="1" applyBorder="1" applyAlignment="1">
      <alignment horizontal="center" wrapText="1"/>
    </xf>
    <xf numFmtId="0" fontId="12" fillId="4" borderId="1"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25" fillId="4" borderId="1" xfId="0" applyFont="1" applyFill="1" applyBorder="1" applyAlignment="1">
      <alignment horizontal="center" vertical="center" wrapText="1"/>
    </xf>
    <xf numFmtId="0" fontId="25" fillId="4" borderId="2" xfId="0" applyFont="1" applyFill="1" applyBorder="1" applyAlignment="1">
      <alignment horizontal="center" vertical="center" wrapText="1"/>
    </xf>
    <xf numFmtId="0" fontId="5" fillId="7" borderId="1" xfId="0" applyFont="1" applyFill="1" applyBorder="1"/>
    <xf numFmtId="49" fontId="5" fillId="7" borderId="1" xfId="0" applyNumberFormat="1" applyFont="1" applyFill="1" applyBorder="1"/>
    <xf numFmtId="0" fontId="30" fillId="4" borderId="1" xfId="0" applyFont="1" applyFill="1" applyBorder="1"/>
    <xf numFmtId="49" fontId="30" fillId="4" borderId="1" xfId="0" applyNumberFormat="1" applyFont="1" applyFill="1" applyBorder="1"/>
    <xf numFmtId="0" fontId="6" fillId="0" borderId="1" xfId="0" applyFont="1" applyBorder="1"/>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31" fillId="4" borderId="1" xfId="0" applyFont="1" applyFill="1" applyBorder="1"/>
    <xf numFmtId="49" fontId="31" fillId="4" borderId="1" xfId="0" applyNumberFormat="1" applyFont="1" applyFill="1" applyBorder="1"/>
    <xf numFmtId="0" fontId="32" fillId="10" borderId="1" xfId="0" applyFont="1" applyFill="1" applyBorder="1" applyAlignment="1">
      <alignment horizontal="left" vertical="center"/>
    </xf>
    <xf numFmtId="49" fontId="32" fillId="10" borderId="1" xfId="0" applyNumberFormat="1" applyFont="1" applyFill="1" applyBorder="1" applyAlignment="1">
      <alignment horizontal="left" vertical="center"/>
    </xf>
    <xf numFmtId="0" fontId="22" fillId="4" borderId="1" xfId="0" applyFont="1" applyFill="1" applyBorder="1" applyAlignment="1">
      <alignment horizontal="center" vertical="center"/>
    </xf>
    <xf numFmtId="0" fontId="22" fillId="4" borderId="2" xfId="0" applyFont="1" applyFill="1" applyBorder="1" applyAlignment="1">
      <alignment horizontal="center" vertical="center"/>
    </xf>
    <xf numFmtId="165" fontId="21" fillId="10" borderId="1" xfId="0" applyNumberFormat="1" applyFont="1" applyFill="1" applyBorder="1" applyAlignment="1">
      <alignment horizontal="center" vertical="center"/>
    </xf>
    <xf numFmtId="165" fontId="21" fillId="10" borderId="2" xfId="0" applyNumberFormat="1" applyFont="1" applyFill="1" applyBorder="1" applyAlignment="1">
      <alignment horizontal="center" vertical="center"/>
    </xf>
    <xf numFmtId="0" fontId="33" fillId="4" borderId="1" xfId="0" applyFont="1" applyFill="1" applyBorder="1" applyAlignment="1">
      <alignment wrapText="1"/>
    </xf>
    <xf numFmtId="49" fontId="33" fillId="4" borderId="1" xfId="0" applyNumberFormat="1" applyFont="1" applyFill="1" applyBorder="1" applyAlignment="1">
      <alignment wrapText="1"/>
    </xf>
    <xf numFmtId="0" fontId="21" fillId="10" borderId="1" xfId="0" applyFont="1" applyFill="1" applyBorder="1"/>
    <xf numFmtId="0" fontId="6" fillId="10" borderId="1" xfId="0" applyFont="1" applyFill="1" applyBorder="1" applyAlignment="1">
      <alignment horizontal="center" vertical="center"/>
    </xf>
    <xf numFmtId="0" fontId="6" fillId="10" borderId="2" xfId="0" applyFont="1" applyFill="1" applyBorder="1" applyAlignment="1">
      <alignment horizontal="center" vertical="center"/>
    </xf>
    <xf numFmtId="0" fontId="22" fillId="4" borderId="1" xfId="0" applyFont="1" applyFill="1" applyBorder="1" applyAlignment="1">
      <alignment horizontal="center" wrapText="1"/>
    </xf>
    <xf numFmtId="3" fontId="22" fillId="4" borderId="1" xfId="0" applyNumberFormat="1" applyFont="1" applyFill="1" applyBorder="1" applyAlignment="1">
      <alignment horizontal="center" vertical="center" wrapText="1"/>
    </xf>
    <xf numFmtId="3" fontId="22" fillId="4" borderId="2" xfId="0" applyNumberFormat="1" applyFont="1" applyFill="1" applyBorder="1" applyAlignment="1">
      <alignment horizontal="center" vertical="center" wrapText="1"/>
    </xf>
    <xf numFmtId="164" fontId="2" fillId="4" borderId="1" xfId="0" applyNumberFormat="1" applyFont="1" applyFill="1" applyBorder="1" applyAlignment="1">
      <alignment horizontal="center" wrapText="1"/>
    </xf>
    <xf numFmtId="164" fontId="21" fillId="10" borderId="1" xfId="0" applyNumberFormat="1" applyFont="1" applyFill="1" applyBorder="1"/>
    <xf numFmtId="164" fontId="2" fillId="0" borderId="1" xfId="0" applyNumberFormat="1" applyFont="1" applyBorder="1" applyAlignment="1">
      <alignment horizontal="center" wrapText="1"/>
    </xf>
    <xf numFmtId="0" fontId="21" fillId="4" borderId="2" xfId="0" applyFont="1" applyFill="1" applyBorder="1"/>
    <xf numFmtId="164" fontId="21" fillId="4" borderId="0" xfId="0" applyNumberFormat="1" applyFont="1" applyFill="1"/>
    <xf numFmtId="0" fontId="21" fillId="4" borderId="0" xfId="0" applyFont="1" applyFill="1"/>
    <xf numFmtId="0" fontId="22" fillId="4" borderId="2" xfId="0" applyFont="1" applyFill="1" applyBorder="1" applyAlignment="1">
      <alignment horizontal="center" wrapText="1"/>
    </xf>
    <xf numFmtId="164" fontId="22" fillId="4" borderId="0" xfId="0" applyNumberFormat="1" applyFont="1" applyFill="1" applyAlignment="1">
      <alignment horizontal="center" wrapText="1"/>
    </xf>
    <xf numFmtId="0" fontId="22" fillId="4" borderId="0" xfId="0" applyFont="1" applyFill="1" applyAlignment="1">
      <alignment horizontal="center"/>
    </xf>
    <xf numFmtId="0" fontId="22" fillId="4" borderId="0" xfId="0" applyFont="1" applyFill="1" applyAlignment="1">
      <alignment horizontal="center" wrapText="1"/>
    </xf>
    <xf numFmtId="0" fontId="1" fillId="6" borderId="1" xfId="0" applyFont="1" applyFill="1" applyBorder="1" applyAlignment="1">
      <alignment wrapText="1"/>
    </xf>
    <xf numFmtId="49" fontId="1" fillId="6" borderId="1" xfId="0" applyNumberFormat="1" applyFont="1" applyFill="1" applyBorder="1" applyAlignment="1">
      <alignment wrapText="1"/>
    </xf>
    <xf numFmtId="165" fontId="1" fillId="6" borderId="1" xfId="0" applyNumberFormat="1" applyFont="1" applyFill="1" applyBorder="1" applyAlignment="1">
      <alignment horizontal="center"/>
    </xf>
    <xf numFmtId="0" fontId="2" fillId="0" borderId="1" xfId="0" applyFont="1" applyBorder="1" applyAlignment="1">
      <alignment horizontal="left" vertical="center" wrapText="1"/>
    </xf>
    <xf numFmtId="49" fontId="1" fillId="0" borderId="1" xfId="0" applyNumberFormat="1" applyFont="1" applyBorder="1" applyAlignment="1">
      <alignment wrapText="1"/>
    </xf>
    <xf numFmtId="0" fontId="1" fillId="0" borderId="3" xfId="0" applyFont="1" applyBorder="1" applyAlignment="1">
      <alignment horizontal="center"/>
    </xf>
    <xf numFmtId="0" fontId="1" fillId="0" borderId="3" xfId="0" applyFont="1" applyBorder="1" applyAlignment="1">
      <alignment horizontal="center" vertical="center"/>
    </xf>
    <xf numFmtId="0" fontId="34" fillId="0" borderId="0" xfId="0" applyFont="1" applyAlignment="1">
      <alignment horizontal="center"/>
    </xf>
    <xf numFmtId="0" fontId="35" fillId="12" borderId="4" xfId="0" applyFont="1" applyFill="1" applyBorder="1" applyAlignment="1">
      <alignment horizontal="center"/>
    </xf>
    <xf numFmtId="0" fontId="35" fillId="12" borderId="5" xfId="0" applyFont="1" applyFill="1" applyBorder="1" applyAlignment="1">
      <alignment horizontal="center"/>
    </xf>
    <xf numFmtId="0" fontId="35" fillId="12" borderId="6" xfId="0" applyFont="1" applyFill="1" applyBorder="1" applyAlignment="1">
      <alignment horizontal="center"/>
    </xf>
    <xf numFmtId="0" fontId="34" fillId="0" borderId="1" xfId="0" applyFont="1" applyBorder="1" applyAlignment="1">
      <alignment horizontal="center"/>
    </xf>
    <xf numFmtId="0" fontId="34" fillId="9" borderId="1" xfId="0" applyFont="1" applyFill="1" applyBorder="1" applyAlignment="1">
      <alignment horizontal="center"/>
    </xf>
    <xf numFmtId="0" fontId="34" fillId="0" borderId="0" xfId="0" applyFont="1"/>
    <xf numFmtId="0" fontId="35" fillId="11" borderId="1" xfId="0" applyFont="1" applyFill="1" applyBorder="1" applyAlignment="1">
      <alignment horizontal="center"/>
    </xf>
    <xf numFmtId="0" fontId="35" fillId="11" borderId="8" xfId="0" applyFont="1" applyFill="1" applyBorder="1" applyAlignment="1">
      <alignment horizontal="center"/>
    </xf>
    <xf numFmtId="0" fontId="35" fillId="11" borderId="7" xfId="0" applyFont="1" applyFill="1" applyBorder="1" applyAlignment="1">
      <alignment horizontal="center"/>
    </xf>
    <xf numFmtId="0" fontId="34" fillId="0" borderId="9" xfId="0" applyFont="1" applyBorder="1" applyAlignment="1">
      <alignment horizontal="center"/>
    </xf>
    <xf numFmtId="0" fontId="34" fillId="0" borderId="10" xfId="0" applyFont="1" applyBorder="1" applyAlignment="1">
      <alignment horizontal="center"/>
    </xf>
    <xf numFmtId="0" fontId="34" fillId="0" borderId="11" xfId="0" applyFont="1" applyBorder="1" applyAlignment="1">
      <alignment horizontal="center"/>
    </xf>
    <xf numFmtId="0" fontId="1" fillId="0" borderId="0" xfId="0" applyFont="1"/>
    <xf numFmtId="0" fontId="35" fillId="0" borderId="3" xfId="0" applyFont="1" applyBorder="1" applyAlignment="1">
      <alignment horizontal="left"/>
    </xf>
    <xf numFmtId="0" fontId="36" fillId="0" borderId="7" xfId="0" applyFont="1" applyBorder="1"/>
    <xf numFmtId="0" fontId="36" fillId="0" borderId="8" xfId="0" applyFont="1" applyBorder="1"/>
    <xf numFmtId="0" fontId="35" fillId="0" borderId="3" xfId="0" applyFon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ine\Documents\Claude\Projects\B2B%20projects\&#1050;&#1085;&#1080;&#1075;&#1072;1.xlsx" TargetMode="External"/><Relationship Id="rId1" Type="http://schemas.openxmlformats.org/officeDocument/2006/relationships/externalLinkPath" Target="B2B%20projects/&#1050;&#1085;&#1080;&#1075;&#107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Перечень товаров"/>
    </sheetNames>
    <sheetDataSet>
      <sheetData sheetId="0">
        <row r="2">
          <cell r="A2" t="str">
            <v>Рояль (170 см)</v>
          </cell>
          <cell r="B2" t="str">
            <v>тм1</v>
          </cell>
          <cell r="C2" t="str">
            <v>Техника муз</v>
          </cell>
          <cell r="E2" t="str">
            <v>шт</v>
          </cell>
          <cell r="F2">
            <v>1</v>
          </cell>
        </row>
        <row r="3">
          <cell r="A3" t="str">
            <v>Компьютер с нотными редакторами (MuseScore, Sibelius)</v>
          </cell>
          <cell r="B3" t="str">
            <v>тм2</v>
          </cell>
          <cell r="C3" t="str">
            <v>Техника муз</v>
          </cell>
          <cell r="F3">
            <v>1</v>
          </cell>
        </row>
        <row r="4">
          <cell r="A4" t="str">
            <v>Электронное пианино с MIDI-выходом (для демонстрации в наушниках).</v>
          </cell>
          <cell r="B4" t="str">
            <v>тм3</v>
          </cell>
          <cell r="C4" t="str">
            <v>Техника муз</v>
          </cell>
          <cell r="F4">
            <v>1</v>
          </cell>
        </row>
        <row r="5">
          <cell r="A5" t="str">
            <v>Наглядные пособия по сольфеджио и теории музыки</v>
          </cell>
          <cell r="B5" t="str">
            <v>дм1</v>
          </cell>
          <cell r="C5" t="str">
            <v>Дидактика муз</v>
          </cell>
          <cell r="F5">
            <v>1</v>
          </cell>
        </row>
        <row r="6">
          <cell r="A6" t="str">
            <v>Доска настенная с разлинованными нотными станами</v>
          </cell>
          <cell r="B6" t="str">
            <v>м1</v>
          </cell>
          <cell r="C6" t="str">
            <v>Мебель</v>
          </cell>
          <cell r="F6">
            <v>1</v>
          </cell>
        </row>
        <row r="7">
          <cell r="A7" t="str">
            <v>Письменный стол</v>
          </cell>
          <cell r="B7" t="str">
            <v>м2</v>
          </cell>
          <cell r="C7" t="str">
            <v>Мебель</v>
          </cell>
          <cell r="D7" t="str">
            <v>Размеры: 1500×600×750 мм.Тумба предназначена для хранения бумаги, документации и методических материалов. Оснащена выдвижными ящиками</v>
          </cell>
          <cell r="F7">
            <v>0</v>
          </cell>
        </row>
        <row r="8">
          <cell r="A8" t="str">
            <v>Шкаф (встроенный) для хранения нотного материала и документов отделения с механизмом запирания ключом</v>
          </cell>
          <cell r="B8" t="str">
            <v>м5</v>
          </cell>
          <cell r="C8" t="str">
            <v>Мебель</v>
          </cell>
          <cell r="F8">
            <v>1</v>
          </cell>
        </row>
        <row r="9">
          <cell r="A9" t="str">
            <v>Шкаф (встроенный) для верхней одежды</v>
          </cell>
          <cell r="B9" t="str">
            <v>м6</v>
          </cell>
          <cell r="C9" t="str">
            <v>Мебель</v>
          </cell>
          <cell r="F9">
            <v>1</v>
          </cell>
        </row>
        <row r="10">
          <cell r="A10" t="str">
            <v>Настенное зеркало 50х50 см</v>
          </cell>
          <cell r="B10" t="str">
            <v>м7</v>
          </cell>
          <cell r="C10" t="str">
            <v>Мебель</v>
          </cell>
          <cell r="F10">
            <v>6</v>
          </cell>
        </row>
        <row r="11">
          <cell r="A11" t="str">
            <v>стол</v>
          </cell>
          <cell r="B11" t="str">
            <v>м8</v>
          </cell>
          <cell r="C11" t="str">
            <v>Мебель</v>
          </cell>
          <cell r="D11" t="str">
            <v>Размеры: 1500×600×750 мм.Тумба предназначена для хранения бумаги, документации и методических материалов. Оснащена выдвижными ящиками</v>
          </cell>
          <cell r="F11">
            <v>1</v>
          </cell>
        </row>
        <row r="12">
          <cell r="A12" t="str">
            <v>стулья</v>
          </cell>
          <cell r="B12" t="str">
            <v>м9</v>
          </cell>
          <cell r="C12" t="str">
            <v>Мебель</v>
          </cell>
          <cell r="D12" t="str">
            <v>Цвет: мультиколор
Длина (mm): 460
Ширина (mm): 350
Высота (mm): 820
Высота от пола до сиденья (mm): 470
Каркас: Металлический цветной
Заглушки: Длинные заглушки</v>
          </cell>
          <cell r="F12">
            <v>12</v>
          </cell>
        </row>
        <row r="13">
          <cell r="A13" t="str">
            <v xml:space="preserve">Моноблок </v>
          </cell>
          <cell r="B13" t="str">
            <v>т1</v>
          </cell>
          <cell r="C13" t="str">
            <v xml:space="preserve">Техника </v>
          </cell>
          <cell r="F13">
            <v>31</v>
          </cell>
        </row>
        <row r="14">
          <cell r="A14" t="str">
            <v xml:space="preserve">Microsoft Windows 11Pro </v>
          </cell>
          <cell r="B14" t="str">
            <v>т2</v>
          </cell>
          <cell r="C14" t="str">
            <v xml:space="preserve">Техника </v>
          </cell>
          <cell r="F14">
            <v>32</v>
          </cell>
        </row>
        <row r="15">
          <cell r="A15" t="str">
            <v>Microsoft Office</v>
          </cell>
          <cell r="B15" t="str">
            <v>т3</v>
          </cell>
          <cell r="C15" t="str">
            <v xml:space="preserve">Техника </v>
          </cell>
          <cell r="F15">
            <v>32</v>
          </cell>
        </row>
        <row r="16">
          <cell r="A16" t="str">
            <v>Источник бесперебойного питания</v>
          </cell>
          <cell r="B16" t="str">
            <v>т4</v>
          </cell>
          <cell r="C16" t="str">
            <v xml:space="preserve">Техника </v>
          </cell>
          <cell r="F16">
            <v>31</v>
          </cell>
        </row>
        <row r="17">
          <cell r="A17" t="str">
            <v>МФУ</v>
          </cell>
          <cell r="B17" t="str">
            <v>т5</v>
          </cell>
          <cell r="C17" t="str">
            <v xml:space="preserve">Техника </v>
          </cell>
          <cell r="F17">
            <v>4</v>
          </cell>
        </row>
        <row r="18">
          <cell r="A18" t="str">
            <v>Кабель USB</v>
          </cell>
          <cell r="B18" t="str">
            <v>т6</v>
          </cell>
          <cell r="C18" t="str">
            <v xml:space="preserve">Техника </v>
          </cell>
          <cell r="F18">
            <v>30</v>
          </cell>
        </row>
        <row r="19">
          <cell r="A19" t="str">
            <v>Сетевой фильтр 5 м.</v>
          </cell>
          <cell r="B19" t="str">
            <v>т7</v>
          </cell>
          <cell r="C19" t="str">
            <v xml:space="preserve">Техника </v>
          </cell>
          <cell r="F19">
            <v>68</v>
          </cell>
          <cell r="G19" t="str">
            <v xml:space="preserve"> </v>
          </cell>
        </row>
        <row r="20">
          <cell r="A20" t="str">
            <v>Гарнитура</v>
          </cell>
          <cell r="B20" t="str">
            <v>т8</v>
          </cell>
          <cell r="C20" t="str">
            <v xml:space="preserve">Техника </v>
          </cell>
          <cell r="F20">
            <v>13</v>
          </cell>
        </row>
        <row r="21">
          <cell r="A21" t="str">
            <v>Жалюзи или шторы на окна</v>
          </cell>
          <cell r="B21" t="str">
            <v>п1</v>
          </cell>
          <cell r="C21" t="str">
            <v>Прочее</v>
          </cell>
          <cell r="F21">
            <v>6</v>
          </cell>
        </row>
        <row r="22">
          <cell r="A22" t="str">
            <v>Сейф</v>
          </cell>
          <cell r="B22" t="str">
            <v>м10</v>
          </cell>
          <cell r="C22" t="str">
            <v>Мебель</v>
          </cell>
          <cell r="D22" t="str">
            <v>Несгораемый сейф предназначен для хранения важных документов и ценностей. Обеспечивает защиту содержимого от огня и механических воздействий.</v>
          </cell>
          <cell r="F22">
            <v>3</v>
          </cell>
        </row>
        <row r="23">
          <cell r="A23" t="str">
            <v>кулер для воды</v>
          </cell>
          <cell r="B23" t="str">
            <v>т10</v>
          </cell>
          <cell r="C23" t="str">
            <v xml:space="preserve">Техника </v>
          </cell>
          <cell r="F23">
            <v>5</v>
          </cell>
        </row>
        <row r="24">
          <cell r="A24" t="str">
            <v>Уничтожитель документов</v>
          </cell>
          <cell r="B24" t="str">
            <v>т11</v>
          </cell>
          <cell r="C24" t="str">
            <v xml:space="preserve">Техника </v>
          </cell>
          <cell r="F24">
            <v>1</v>
          </cell>
        </row>
        <row r="25">
          <cell r="A25" t="str">
            <v>Стол для кабинета</v>
          </cell>
          <cell r="B25" t="str">
            <v>м11</v>
          </cell>
          <cell r="C25" t="str">
            <v>Мебель</v>
          </cell>
          <cell r="D25" t="str">
            <v>Размеры: 1500×600×750 мм.Тумба предназначена для хранения бумаги, документации и методических материалов. Оснащена выдвижными ящиками</v>
          </cell>
          <cell r="F25">
            <v>0</v>
          </cell>
        </row>
        <row r="26">
          <cell r="A26" t="str">
            <v>Кресло офисное</v>
          </cell>
          <cell r="B26" t="str">
            <v>м12</v>
          </cell>
          <cell r="C26" t="str">
            <v>Мебель</v>
          </cell>
          <cell r="D26" t="str">
            <v>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v>
          </cell>
          <cell r="F26">
            <v>21</v>
          </cell>
        </row>
        <row r="27">
          <cell r="A27" t="str">
            <v>Шкаф для документов</v>
          </cell>
          <cell r="B27" t="str">
            <v>м13</v>
          </cell>
          <cell r="C27" t="str">
            <v>Мебель</v>
          </cell>
          <cell r="D27" t="str">
            <v>Шкаф для документации, закрытый. Размеры: 800×450×1200 мм.</v>
          </cell>
          <cell r="F27">
            <v>41</v>
          </cell>
        </row>
        <row r="28">
          <cell r="A28" t="str">
            <v>Шкаф для одежды</v>
          </cell>
          <cell r="B28" t="str">
            <v>м14</v>
          </cell>
          <cell r="C28" t="str">
            <v>Мебель</v>
          </cell>
          <cell r="D28" t="str">
            <v>Габариты 800х600х1800мм. Корпус сделан из ЛДСП. имеет одну верхнюю и одну нижнюю полку, с дверцами. Материал из ЛДСП.</v>
          </cell>
          <cell r="F28">
            <v>42</v>
          </cell>
        </row>
        <row r="29">
          <cell r="A29" t="str">
            <v>Сейф несгораемый</v>
          </cell>
          <cell r="B29" t="str">
            <v>м15</v>
          </cell>
          <cell r="C29" t="str">
            <v>Мебель</v>
          </cell>
          <cell r="F29">
            <v>1</v>
          </cell>
        </row>
        <row r="30">
          <cell r="A30" t="str">
            <v>Часы настенные</v>
          </cell>
          <cell r="B30" t="str">
            <v>п2</v>
          </cell>
          <cell r="C30" t="str">
            <v>Прочее</v>
          </cell>
          <cell r="F30">
            <v>7</v>
          </cell>
        </row>
        <row r="31">
          <cell r="A31" t="str">
            <v>Корзина для мусора (пластиковая)</v>
          </cell>
          <cell r="B31" t="str">
            <v>п3</v>
          </cell>
          <cell r="C31" t="str">
            <v>Прочее</v>
          </cell>
          <cell r="F31">
            <v>6</v>
          </cell>
        </row>
        <row r="32">
          <cell r="A32" t="str">
            <v>МФУ цветной</v>
          </cell>
          <cell r="B32" t="str">
            <v>т12</v>
          </cell>
          <cell r="C32" t="str">
            <v>Техника</v>
          </cell>
          <cell r="F32">
            <v>22</v>
          </cell>
        </row>
        <row r="33">
          <cell r="A33" t="str">
            <v>Стол руководителя с приставной тумбой</v>
          </cell>
          <cell r="B33" t="str">
            <v>м16</v>
          </cell>
          <cell r="C33" t="str">
            <v>Мебель</v>
          </cell>
          <cell r="D33" t="str">
            <v xml:space="preserve">Письменный стол, со встроенной тумбой. Столешница выполнена из ЛДСП или МДФ повышенной плотности с ламинированным покрытием, устойчивым к истиранию и влаге. Кромки обработаны ПВХ-кромкой. Опоры металлические, устойчивые, с подпятниками для защиты напольного покрытия. Размеры:  1800×800×750 мм. В комплект входит приставной стол для посетителей. </v>
          </cell>
          <cell r="F33">
            <v>3</v>
          </cell>
        </row>
        <row r="34">
          <cell r="A34" t="str">
            <v>Кресло руководителя</v>
          </cell>
          <cell r="B34" t="str">
            <v>м17</v>
          </cell>
          <cell r="C34" t="str">
            <v>Мебель</v>
          </cell>
          <cell r="D34" t="str">
            <v>Кресло FX-888 кзам АОД подл.пл.818/1(кзам),крест.пл.d680 м/п, кол JL</v>
          </cell>
          <cell r="F34">
            <v>4</v>
          </cell>
        </row>
        <row r="35">
          <cell r="A35" t="str">
            <v>Диван руководителя</v>
          </cell>
          <cell r="B35" t="str">
            <v>м18</v>
          </cell>
          <cell r="C35" t="str">
            <v>Мебель</v>
          </cell>
          <cell r="D35" t="str">
            <v>Ширина, мм 1480
Глубина, мм 820
Высота, мм 670</v>
          </cell>
          <cell r="F35">
            <v>3</v>
          </cell>
        </row>
        <row r="36">
          <cell r="A36" t="str">
            <v>Стул полумягкий</v>
          </cell>
          <cell r="B36" t="str">
            <v>м19</v>
          </cell>
          <cell r="C36" t="str">
            <v>Мебель</v>
          </cell>
          <cell r="D36" t="str">
            <v>Стул предназначен для оснащения кабинетов ДОУ. Обеспечивает комфортную посадку, устойчивую конструкцию и удобство при длительном использовании.
Материал обивки ткань/эко кожа. Металлический каркас, окрашен порошковой полимерной краской. Размер:410х560х940мм</v>
          </cell>
          <cell r="F36">
            <v>50</v>
          </cell>
        </row>
        <row r="37">
          <cell r="A37" t="str">
            <v>Интерактивная панель 75 дюймов</v>
          </cell>
          <cell r="B37" t="str">
            <v>т9</v>
          </cell>
          <cell r="C37" t="str">
            <v>Техника</v>
          </cell>
          <cell r="F37">
            <v>3</v>
          </cell>
        </row>
        <row r="38">
          <cell r="A38" t="str">
            <v>Мобильная стойка</v>
          </cell>
          <cell r="B38" t="str">
            <v>т13</v>
          </cell>
          <cell r="C38" t="str">
            <v>Техника</v>
          </cell>
          <cell r="F38">
            <v>1</v>
          </cell>
        </row>
        <row r="39">
          <cell r="A39" t="str">
            <v>Конференц-стол для совещаний</v>
          </cell>
          <cell r="B39" t="str">
            <v>м20</v>
          </cell>
          <cell r="C39" t="str">
            <v>Мебель</v>
          </cell>
          <cell r="D39" t="str">
            <v>Конференц-стол для проведения совещаний и рабочих встреч. Размеры 2700х1000х750мм</v>
          </cell>
          <cell r="F39">
            <v>2</v>
          </cell>
        </row>
        <row r="40">
          <cell r="A40" t="str">
            <v>Доска маркерная/меловая поворотная</v>
          </cell>
          <cell r="B40" t="str">
            <v>м21</v>
          </cell>
          <cell r="C40" t="str">
            <v>Мебель</v>
          </cell>
          <cell r="D40" t="str">
            <v>Доска двухсторонняя 1200*2400 см (маркерная +меловая + магнитная) на подставке, передвижная на колесиках</v>
          </cell>
          <cell r="F40">
            <v>11</v>
          </cell>
        </row>
        <row r="41">
          <cell r="A41" t="str">
            <v>Набор/комплект для магнитно-маркерной доски</v>
          </cell>
          <cell r="B41" t="str">
            <v>д2</v>
          </cell>
          <cell r="C41" t="str">
            <v>Дидактика</v>
          </cell>
          <cell r="F41">
            <v>1</v>
          </cell>
        </row>
        <row r="42">
          <cell r="A42" t="str">
            <v>Ноутбук</v>
          </cell>
          <cell r="B42" t="str">
            <v>т14</v>
          </cell>
          <cell r="C42" t="str">
            <v>Техника</v>
          </cell>
          <cell r="F42">
            <v>4</v>
          </cell>
        </row>
        <row r="43">
          <cell r="A43" t="str">
            <v>Корзина для мусора (сетчатая)</v>
          </cell>
          <cell r="B43" t="str">
            <v>п4</v>
          </cell>
          <cell r="C43" t="str">
            <v>Прочее</v>
          </cell>
          <cell r="F43">
            <v>1</v>
          </cell>
        </row>
        <row r="44">
          <cell r="A44" t="str">
            <v>Лестница-стремянка</v>
          </cell>
          <cell r="B44" t="str">
            <v>п5</v>
          </cell>
          <cell r="C44" t="str">
            <v>Прочее</v>
          </cell>
          <cell r="F44">
            <v>1</v>
          </cell>
        </row>
        <row r="45">
          <cell r="A45" t="str">
            <v>Фонарь</v>
          </cell>
          <cell r="B45" t="str">
            <v>д3</v>
          </cell>
          <cell r="C45" t="str">
            <v>Дидактика</v>
          </cell>
          <cell r="F45">
            <v>1</v>
          </cell>
        </row>
        <row r="46">
          <cell r="A46" t="str">
            <v>Стеллаж металлический МС-Т, 2500x1820x750</v>
          </cell>
          <cell r="B46" t="str">
            <v>м22</v>
          </cell>
          <cell r="C46" t="str">
            <v>Мебель</v>
          </cell>
          <cell r="F46">
            <v>375</v>
          </cell>
        </row>
        <row r="47">
          <cell r="A47" t="str">
            <v xml:space="preserve">Диван </v>
          </cell>
          <cell r="B47" t="str">
            <v>м23</v>
          </cell>
          <cell r="C47" t="str">
            <v>Мебель</v>
          </cell>
          <cell r="F47">
            <v>4</v>
          </cell>
        </row>
        <row r="48">
          <cell r="A48" t="str">
            <v xml:space="preserve">Верстак слесарно-столярный </v>
          </cell>
          <cell r="B48" t="str">
            <v>м24</v>
          </cell>
          <cell r="C48" t="str">
            <v>Мебель</v>
          </cell>
          <cell r="F48">
            <v>4</v>
          </cell>
        </row>
        <row r="49">
          <cell r="A49" t="str">
            <v xml:space="preserve">Шлифовальный станок </v>
          </cell>
          <cell r="B49" t="str">
            <v>т15</v>
          </cell>
          <cell r="C49" t="str">
            <v>Техника</v>
          </cell>
          <cell r="F49">
            <v>1</v>
          </cell>
        </row>
        <row r="50">
          <cell r="A50" t="str">
            <v>Микроскоп (для голосовых клиньев фортепиано, тростей гобоя)</v>
          </cell>
          <cell r="B50" t="str">
            <v>дм2</v>
          </cell>
          <cell r="C50" t="str">
            <v>Дидактика муз</v>
          </cell>
          <cell r="F50">
            <v>1</v>
          </cell>
        </row>
        <row r="51">
          <cell r="A51" t="str">
            <v xml:space="preserve">Тиски </v>
          </cell>
          <cell r="B51" t="str">
            <v>т16</v>
          </cell>
          <cell r="C51" t="str">
            <v>Техника</v>
          </cell>
          <cell r="F51">
            <v>4</v>
          </cell>
        </row>
        <row r="52">
          <cell r="A52" t="str">
            <v>Расходники (струны, трости, кожа, клей, шеллак, пружины).</v>
          </cell>
          <cell r="B52" t="str">
            <v>пм1</v>
          </cell>
          <cell r="C52" t="str">
            <v>Прочее муз</v>
          </cell>
          <cell r="F52">
            <v>2</v>
          </cell>
        </row>
        <row r="53">
          <cell r="A53" t="str">
            <v>Струны для фортепиано (комплект медных и стальных).</v>
          </cell>
          <cell r="B53" t="str">
            <v>пм2</v>
          </cell>
          <cell r="C53" t="str">
            <v>Прочее муз</v>
          </cell>
          <cell r="F53">
            <v>2</v>
          </cell>
        </row>
        <row r="54">
          <cell r="A54" t="str">
            <v>Молотки для ремонта механики.</v>
          </cell>
          <cell r="B54" t="str">
            <v>п6</v>
          </cell>
          <cell r="C54" t="str">
            <v>Прочее</v>
          </cell>
          <cell r="F54">
            <v>2</v>
          </cell>
        </row>
        <row r="55">
          <cell r="A55" t="str">
            <v>Токарно-винторезный станок (настольный) Точение осей, штифтов, втулок, капроновых деталей</v>
          </cell>
          <cell r="B55" t="str">
            <v>т17</v>
          </cell>
          <cell r="C55" t="str">
            <v>Техника</v>
          </cell>
          <cell r="F55">
            <v>2</v>
          </cell>
        </row>
        <row r="56">
          <cell r="A56" t="str">
            <v>Фрезерный станок (настольный) Выборка гнезд под механику, изготовление сложных деревянных деталей фигур</v>
          </cell>
          <cell r="B56" t="str">
            <v>т18</v>
          </cell>
          <cell r="C56" t="str">
            <v>Техника</v>
          </cell>
          <cell r="F56">
            <v>1</v>
          </cell>
        </row>
        <row r="57">
          <cell r="A57" t="str">
            <v>Сверлильный станок (настольный) Аккуратное сверление отверстий в клавишах, рамах, древесине</v>
          </cell>
          <cell r="B57" t="str">
            <v>т19</v>
          </cell>
          <cell r="C57" t="str">
            <v>Техника</v>
          </cell>
          <cell r="F57">
            <v>1</v>
          </cell>
        </row>
        <row r="58">
          <cell r="A58" t="str">
            <v>Ленточно-шлифовальный станок (Гриндер) Заточка инструмента (стамесок, ножей), шлифовка молоточков, сушка клея</v>
          </cell>
          <cell r="B58" t="str">
            <v>т20</v>
          </cell>
          <cell r="C58" t="str">
            <v>Техника</v>
          </cell>
          <cell r="F58">
            <v>1</v>
          </cell>
        </row>
        <row r="59">
          <cell r="A59" t="str">
            <v>Электрозаточный станок (Точило) Правка и заточка фуганков, стамесок, зензубелей</v>
          </cell>
          <cell r="B59" t="str">
            <v>т21</v>
          </cell>
          <cell r="C59" t="str">
            <v>Техника</v>
          </cell>
          <cell r="F59">
            <v>1</v>
          </cell>
        </row>
        <row r="60">
          <cell r="A60" t="str">
            <v>Фуговально-рейсмусовый станок Выравнивание и строгание заготовок для ремонта корпуса (клавиатурных рамов, стоек)</v>
          </cell>
          <cell r="B60" t="str">
            <v>т22</v>
          </cell>
          <cell r="C60" t="str">
            <v>Техника</v>
          </cell>
          <cell r="F60">
            <v>1</v>
          </cell>
        </row>
        <row r="61">
          <cell r="A61" t="str">
            <v>Вытяжка (Пылесос для мастерской) + Фильтр Удаление древесной и войлочной пыли (обязательно для здоровья мастера)</v>
          </cell>
          <cell r="B61" t="str">
            <v>т23</v>
          </cell>
          <cell r="C61" t="str">
            <v>Техника</v>
          </cell>
          <cell r="F61">
            <v>1</v>
          </cell>
        </row>
        <row r="62">
          <cell r="A62" t="str">
            <v>Регулировочный инструмент Набор регулировочных ключей (для винтов механики), Лопаточки для подгибания проволоки гаммерштилей, Крючок для петель репетиции, Набор игл для "голосовки" (прокалывание фильца молоточков)</v>
          </cell>
          <cell r="B62" t="str">
            <v>пм2</v>
          </cell>
          <cell r="C62" t="str">
            <v>Прочее муз</v>
          </cell>
          <cell r="F62">
            <v>3</v>
          </cell>
        </row>
        <row r="63">
          <cell r="A63" t="str">
            <v>Клавиатурный инструмент Ключи для снятия клавиш, Набор грузиков (калибровка веса клавиш), Линейка для замера друка клавиш (глубины хода 9.5-10 мм), Шаблоны для высоты клавиш (12 мм до полутона)</v>
          </cell>
          <cell r="B63" t="str">
            <v>пм3</v>
          </cell>
          <cell r="C63" t="str">
            <v>Прочее муз</v>
          </cell>
          <cell r="F63">
            <v>2</v>
          </cell>
        </row>
        <row r="64">
          <cell r="A64" t="str">
            <v>Фортепианные отвертки Специальные длинные тонкие отвертки (прямые и изогнутые) для шультеров и фигур механики</v>
          </cell>
          <cell r="B64" t="str">
            <v>пм4</v>
          </cell>
          <cell r="C64" t="str">
            <v>Прочее муз</v>
          </cell>
          <cell r="F64">
            <v>5</v>
          </cell>
        </row>
        <row r="65">
          <cell r="A65" t="str">
            <v>Настройка (пиноль) Ключ воронкообразный (квалифицированный) для настройки пианино и роялей</v>
          </cell>
          <cell r="B65" t="str">
            <v>пм5</v>
          </cell>
          <cell r="C65" t="str">
            <v>Прочее муз</v>
          </cell>
          <cell r="F65">
            <v>3</v>
          </cell>
        </row>
        <row r="66">
          <cell r="A66" t="str">
            <v>Ударно-слесарный Молотки (тяжелый и легкий), Набор зубил/крейцмейселей, Надфили (разной зернистости), Плоскогубцы (прямые и узкие)</v>
          </cell>
          <cell r="B66" t="str">
            <v>пм6</v>
          </cell>
          <cell r="C66" t="str">
            <v>Прочее муз</v>
          </cell>
          <cell r="F66">
            <v>1</v>
          </cell>
        </row>
        <row r="67">
          <cell r="A67" t="str">
            <v>Струнные инструменты Вилер (ворот для навивки медной оплетки на басовые струны), Стрингер (устройство для протяжки билльям), Кусачки (мощные) для рояльных струн</v>
          </cell>
          <cell r="B67" t="str">
            <v>пм7</v>
          </cell>
          <cell r="C67" t="str">
            <v>Прочее муз</v>
          </cell>
          <cell r="F67">
            <v>2</v>
          </cell>
        </row>
        <row r="68">
          <cell r="A68" t="str">
            <v>Измерительные Микрометр (0-25 мм), Индикатор часового типа, Набор щупов (1-го размера — 2 мм и т.д.), Линейка металлическая 300 мм</v>
          </cell>
          <cell r="B68" t="str">
            <v>т24</v>
          </cell>
          <cell r="C68" t="str">
            <v>Техника</v>
          </cell>
          <cell r="F68">
            <v>1</v>
          </cell>
        </row>
        <row r="69">
          <cell r="A69" t="str">
            <v>I. Станочное оборудование (основа мастерской)</v>
          </cell>
          <cell r="B69" t="str">
            <v>т25</v>
          </cell>
          <cell r="C69" t="str">
            <v>Техника</v>
          </cell>
          <cell r="F69">
            <v>0</v>
          </cell>
        </row>
        <row r="70">
          <cell r="A70" t="str">
            <v>Фрезерный станок (настольный) Изготовление сложных деталей механики (коромысла, рычаги)</v>
          </cell>
          <cell r="B70" t="str">
            <v>т26</v>
          </cell>
          <cell r="C70" t="str">
            <v>Техника</v>
          </cell>
          <cell r="F70">
            <v>1</v>
          </cell>
        </row>
        <row r="71">
          <cell r="A71" t="str">
            <v>Сверлильный станок (настольный) Сверление отверстий под штифты, оси в деталях механизма</v>
          </cell>
          <cell r="B71" t="str">
            <v>т27</v>
          </cell>
          <cell r="C71" t="str">
            <v>Техника</v>
          </cell>
          <cell r="F71">
            <v>1</v>
          </cell>
        </row>
        <row r="72">
          <cell r="A72" t="str">
            <v>Ленточно-шлифовальный станок Шлифовка деталей, зачистка заусенцев, обработка деревянных частей</v>
          </cell>
          <cell r="B72" t="str">
            <v>т28</v>
          </cell>
          <cell r="C72" t="str">
            <v>Техника</v>
          </cell>
          <cell r="F72">
            <v>1</v>
          </cell>
        </row>
        <row r="73">
          <cell r="A73" t="str">
            <v>Точило (электрозаточный станок) Заточка резцов, надфилей, специального инструмента</v>
          </cell>
          <cell r="B73" t="str">
            <v>т29</v>
          </cell>
          <cell r="C73" t="str">
            <v>Техника</v>
          </cell>
          <cell r="F73">
            <v>1</v>
          </cell>
        </row>
        <row r="74">
          <cell r="A74" t="str">
            <v>Печь муфельная (малая) Для обжига деталей перед пайкой, термообработки пружин</v>
          </cell>
          <cell r="B74" t="str">
            <v>т30</v>
          </cell>
          <cell r="C74" t="str">
            <v>Техника</v>
          </cell>
          <cell r="F74">
            <v>1</v>
          </cell>
        </row>
        <row r="75">
          <cell r="A75" t="str">
            <v>Вытяжка (вентиляция) над верстаком Удаление паров свинца, флюсов, припоев — обязательно по ТБ</v>
          </cell>
          <cell r="B75" t="str">
            <v>т31</v>
          </cell>
          <cell r="C75" t="str">
            <v>Техника</v>
          </cell>
          <cell r="F75">
            <v>1</v>
          </cell>
        </row>
        <row r="76">
          <cell r="A76" t="str">
            <v>Набор дорнов (оправок) — стальные конусы и цилиндры разного диаметра Для выправки вмятин изнутри трубы</v>
          </cell>
          <cell r="B76" t="str">
            <v>т32</v>
          </cell>
          <cell r="C76" t="str">
            <v>Техника</v>
          </cell>
          <cell r="F76">
            <v>1</v>
          </cell>
        </row>
        <row r="77">
          <cell r="A77" t="str">
            <v>Набор шаров (стальные, латунные) разного диаметра Прокатывание внутри трубы для выравнивания</v>
          </cell>
          <cell r="B77" t="str">
            <v>т33</v>
          </cell>
          <cell r="C77" t="str">
            <v>Техника</v>
          </cell>
          <cell r="F77">
            <v>1</v>
          </cell>
        </row>
        <row r="78">
          <cell r="A78" t="str">
            <v>Рифленые ролики (специальные, могут изготавливаться мастером) Для выкатывания вмятин на прямых участках</v>
          </cell>
          <cell r="B78" t="str">
            <v>т34</v>
          </cell>
          <cell r="C78" t="str">
            <v>Техника</v>
          </cell>
          <cell r="F78">
            <v>2</v>
          </cell>
        </row>
        <row r="79">
          <cell r="A79" t="str">
            <v>Серповидные гладилки (разной кривизны) Для выправки вмятин в труднодоступных местах</v>
          </cell>
          <cell r="B79" t="str">
            <v>т35</v>
          </cell>
          <cell r="C79" t="str">
            <v>Техника</v>
          </cell>
          <cell r="F79">
            <v>3</v>
          </cell>
        </row>
        <row r="80">
          <cell r="A80" t="str">
            <v>Магниты (неодимовые) на ручке Для вытягивания вмятин изнутри без разбора</v>
          </cell>
          <cell r="B80" t="str">
            <v>т36</v>
          </cell>
          <cell r="C80" t="str">
            <v>Техника</v>
          </cell>
          <cell r="F80">
            <v>2</v>
          </cell>
        </row>
        <row r="81">
          <cell r="A81" t="str">
            <v>Киянка (медная или резиновая) Для правки без повреждения металла</v>
          </cell>
          <cell r="B81" t="str">
            <v>т37</v>
          </cell>
          <cell r="C81" t="str">
            <v>Техника</v>
          </cell>
          <cell r="F81">
            <v>1</v>
          </cell>
        </row>
        <row r="82">
          <cell r="A82" t="str">
            <v>Молоток рихтовочный (с разными бойками) Для тонкой правки</v>
          </cell>
          <cell r="B82" t="str">
            <v>т38</v>
          </cell>
          <cell r="C82" t="str">
            <v>Техника</v>
          </cell>
          <cell r="F82">
            <v>1</v>
          </cell>
        </row>
        <row r="83">
          <cell r="A83" t="str">
            <v>Паяльник массивный (медный, на 200-300 Вт) Для пайки крупных деталей, швов</v>
          </cell>
          <cell r="B83" t="str">
            <v>т39</v>
          </cell>
          <cell r="C83" t="str">
            <v>Техника</v>
          </cell>
          <cell r="F83">
            <v>1</v>
          </cell>
        </row>
        <row r="84">
          <cell r="A84" t="str">
            <v>Паяльная лампа (газовая, с тонким жалом) Для локальной пайки, кронов</v>
          </cell>
          <cell r="B84" t="str">
            <v>т40</v>
          </cell>
          <cell r="C84" t="str">
            <v>Техника</v>
          </cell>
          <cell r="F84">
            <v>1</v>
          </cell>
        </row>
        <row r="85">
          <cell r="A85" t="str">
            <v>Горелка газовая (с баллончиком) Для прогрева перед пайкой</v>
          </cell>
          <cell r="B85" t="str">
            <v>т41</v>
          </cell>
          <cell r="C85" t="str">
            <v>Техника</v>
          </cell>
          <cell r="F85">
            <v>1</v>
          </cell>
        </row>
        <row r="86">
          <cell r="A86" t="str">
            <v>Флюсы (канифоль, паяльная кислота, бура) Очистка и подготовка металла</v>
          </cell>
          <cell r="B86" t="str">
            <v>п7</v>
          </cell>
          <cell r="C86" t="str">
            <v>Прочее</v>
          </cell>
          <cell r="F86">
            <v>1</v>
          </cell>
        </row>
        <row r="87">
          <cell r="A87" t="str">
            <v>Припои (оловянно-свинцовые, серебряные) Для разных типов соединений</v>
          </cell>
          <cell r="B87" t="str">
            <v>п8</v>
          </cell>
          <cell r="C87" t="str">
            <v>Прочее</v>
          </cell>
          <cell r="F87">
            <v>1</v>
          </cell>
        </row>
        <row r="88">
          <cell r="A88" t="str">
            <v>Термостойкий шнур (асбестовый) Для защиты соседних спаек от перегрева</v>
          </cell>
          <cell r="B88" t="str">
            <v>п9</v>
          </cell>
          <cell r="C88" t="str">
            <v>Прочее</v>
          </cell>
          <cell r="F88">
            <v>5</v>
          </cell>
        </row>
        <row r="89">
          <cell r="A89" t="str">
            <v>Кислота паяльная (ортофосфорная) Для лужения латуни</v>
          </cell>
          <cell r="B89" t="str">
            <v>п10</v>
          </cell>
          <cell r="C89" t="str">
            <v>Прочее</v>
          </cell>
          <cell r="F89">
            <v>0</v>
          </cell>
        </row>
        <row r="90">
          <cell r="A90" t="str">
            <v>Набор миниатюрных надфилей (алмазных и простых) Обработка отверстий, пазов в клапанах</v>
          </cell>
          <cell r="B90" t="str">
            <v>т42</v>
          </cell>
          <cell r="C90" t="str">
            <v>Техника</v>
          </cell>
          <cell r="F90">
            <v>2</v>
          </cell>
        </row>
        <row r="91">
          <cell r="A91" t="str">
            <v>Плоскогубцы (прямые, узкие, изогнутые) Для гибки тяг, установки пружин</v>
          </cell>
          <cell r="B91" t="str">
            <v>т43</v>
          </cell>
          <cell r="C91" t="str">
            <v>Техника</v>
          </cell>
          <cell r="F91">
            <v>3</v>
          </cell>
        </row>
        <row r="92">
          <cell r="A92" t="str">
            <v>Круглогубцы (маленькие) Для формирования петель, колец</v>
          </cell>
          <cell r="B92" t="str">
            <v>т44</v>
          </cell>
          <cell r="C92" t="str">
            <v>Техника</v>
          </cell>
          <cell r="F92">
            <v>1</v>
          </cell>
        </row>
        <row r="93">
          <cell r="A93" t="str">
            <v>Кусачки (бокорезы) маленькие Обрезка проволоки, осей</v>
          </cell>
          <cell r="B93" t="str">
            <v>т45</v>
          </cell>
          <cell r="C93" t="str">
            <v>Техника</v>
          </cell>
          <cell r="F93">
            <v>1</v>
          </cell>
        </row>
        <row r="94">
          <cell r="A94" t="str">
            <v>Набор мини-отверток (часовых) Для регулировки винтов механики</v>
          </cell>
          <cell r="B94" t="str">
            <v>т46</v>
          </cell>
          <cell r="C94" t="str">
            <v>Техника</v>
          </cell>
          <cell r="F94">
            <v>1</v>
          </cell>
        </row>
        <row r="95">
          <cell r="A95" t="str">
            <v>Набор пинцетов (прямых, изогнутых) Установка маленьких деталей, подушек</v>
          </cell>
          <cell r="B95" t="str">
            <v>т47</v>
          </cell>
          <cell r="C95" t="str">
            <v>Техника</v>
          </cell>
          <cell r="F95">
            <v>3</v>
          </cell>
        </row>
        <row r="96">
          <cell r="A96" t="str">
            <v>Микро-тиски (настольные) Для фиксации мелких деталей</v>
          </cell>
          <cell r="B96" t="str">
            <v>т48</v>
          </cell>
          <cell r="C96" t="str">
            <v>Техника</v>
          </cell>
          <cell r="F96">
            <v>1</v>
          </cell>
        </row>
        <row r="97">
          <cell r="A97" t="str">
            <v>Набор метчиков и плашек (миниатюрных, М1.5 — М4) Для нарезания резьбы под штифты, винты</v>
          </cell>
          <cell r="B97" t="str">
            <v>т49</v>
          </cell>
          <cell r="C97" t="str">
            <v>Техника</v>
          </cell>
          <cell r="F97">
            <v>1</v>
          </cell>
        </row>
        <row r="98">
          <cell r="A98" t="str">
            <v>Дрель ручная (коловорот) малая Для сверления в неудобных местах</v>
          </cell>
          <cell r="B98" t="str">
            <v>т50</v>
          </cell>
          <cell r="C98" t="str">
            <v>Техника</v>
          </cell>
          <cell r="F98">
            <v>1</v>
          </cell>
        </row>
        <row r="99">
          <cell r="A99" t="str">
            <v>Сверла по металлу (миниатюрные, 0.5-4 мм) Для механики</v>
          </cell>
          <cell r="B99" t="str">
            <v>т51</v>
          </cell>
          <cell r="C99" t="str">
            <v>Техника</v>
          </cell>
          <cell r="F99">
            <v>1</v>
          </cell>
        </row>
        <row r="100">
          <cell r="A100" t="str">
            <v>Штангенциркуль</v>
          </cell>
          <cell r="B100" t="str">
            <v>т52</v>
          </cell>
          <cell r="C100" t="str">
            <v>Техника</v>
          </cell>
          <cell r="F100">
            <v>1</v>
          </cell>
        </row>
        <row r="101">
          <cell r="A101" t="str">
            <v>Микрометр (0-25 мм)</v>
          </cell>
          <cell r="B101" t="str">
            <v>т53</v>
          </cell>
          <cell r="C101" t="str">
            <v>Техника</v>
          </cell>
          <cell r="F101">
            <v>1</v>
          </cell>
        </row>
        <row r="102">
          <cell r="A102" t="str">
            <v>Набор щупов</v>
          </cell>
          <cell r="B102" t="str">
            <v>т54</v>
          </cell>
          <cell r="C102" t="str">
            <v>Техника</v>
          </cell>
          <cell r="F102">
            <v>1</v>
          </cell>
        </row>
        <row r="103">
          <cell r="A103" t="str">
            <v>Линейка металлическая (150 мм, 300 мм)</v>
          </cell>
          <cell r="B103" t="str">
            <v>т55</v>
          </cell>
          <cell r="C103" t="str">
            <v>Техника</v>
          </cell>
          <cell r="F103">
            <v>2</v>
          </cell>
        </row>
        <row r="104">
          <cell r="A104" t="str">
            <v>Угольник слесарный</v>
          </cell>
          <cell r="B104" t="str">
            <v>т56</v>
          </cell>
          <cell r="C104" t="str">
            <v>Техника</v>
          </cell>
          <cell r="F104">
            <v>1</v>
          </cell>
        </row>
        <row r="105">
          <cell r="A105" t="str">
            <v>Набор шарошек и разверток Для расточки и калибровки отверстий в дереве</v>
          </cell>
          <cell r="B105" t="str">
            <v>т57</v>
          </cell>
          <cell r="C105" t="str">
            <v>Техника</v>
          </cell>
          <cell r="F105">
            <v>1</v>
          </cell>
        </row>
        <row r="106">
          <cell r="A106" t="str">
            <v>Набор тростерезных ножей (разных профилей) Для изготовления и правки тростей (гобой, фагот)</v>
          </cell>
          <cell r="B106" t="str">
            <v>т58</v>
          </cell>
          <cell r="C106" t="str">
            <v>Техника</v>
          </cell>
          <cell r="F106">
            <v>1</v>
          </cell>
        </row>
        <row r="107">
          <cell r="A107" t="str">
            <v>Плита для правки тростей (стеклянная или гранитная) Плоскость для доводки тростей</v>
          </cell>
          <cell r="B107" t="str">
            <v>т59</v>
          </cell>
          <cell r="C107" t="str">
            <v>Техника</v>
          </cell>
          <cell r="F107">
            <v>1</v>
          </cell>
        </row>
        <row r="108">
          <cell r="A108" t="str">
            <v>Доска для резки тростя Для нарезки заготовок</v>
          </cell>
          <cell r="B108" t="str">
            <v>п11</v>
          </cell>
          <cell r="C108" t="str">
            <v>Прочее</v>
          </cell>
          <cell r="F108">
            <v>1</v>
          </cell>
        </row>
        <row r="109">
          <cell r="A109" t="str">
            <v>Набор тонких сверл по дереву (1-5 мм) Для ремонта голосовых отверстий</v>
          </cell>
          <cell r="B109" t="str">
            <v>т60</v>
          </cell>
          <cell r="C109" t="str">
            <v>Техника</v>
          </cell>
          <cell r="F109">
            <v>1</v>
          </cell>
        </row>
        <row r="110">
          <cell r="A110" t="str">
            <v>Струбцины (маленькие, деревянные или с мягкими губками) Для склейки треснувших корпусов</v>
          </cell>
          <cell r="B110" t="str">
            <v>т61</v>
          </cell>
          <cell r="C110" t="str">
            <v>Техника</v>
          </cell>
          <cell r="F110">
            <v>3</v>
          </cell>
        </row>
        <row r="111">
          <cell r="A111" t="str">
            <v>Клей для дерева (казеиновый, Titebond) Для склейки трещин</v>
          </cell>
          <cell r="B111" t="str">
            <v>п12</v>
          </cell>
          <cell r="C111" t="str">
            <v>Прочее</v>
          </cell>
          <cell r="F111">
            <v>1</v>
          </cell>
        </row>
        <row r="112">
          <cell r="A112" t="str">
            <v>Подушки (тампоны) для клапанов Наборы для флейт, кларнетов, саксофонов (разных диаметров)</v>
          </cell>
          <cell r="B112" t="str">
            <v>пм8</v>
          </cell>
          <cell r="C112" t="str">
            <v>Прочее муз</v>
          </cell>
          <cell r="F112">
            <v>10</v>
          </cell>
        </row>
        <row r="113">
          <cell r="A113" t="str">
            <v>Пружины Набор плоских и круглых пружин для клапанной механики</v>
          </cell>
          <cell r="B113" t="str">
            <v>п13</v>
          </cell>
          <cell r="C113" t="str">
            <v xml:space="preserve">Прочее </v>
          </cell>
          <cell r="F113">
            <v>1</v>
          </cell>
        </row>
        <row r="114">
          <cell r="A114" t="str">
            <v>Винты, оси, штифты Миниатюрные (разных размеров)</v>
          </cell>
          <cell r="B114" t="str">
            <v>п14</v>
          </cell>
          <cell r="C114" t="str">
            <v xml:space="preserve">Прочее </v>
          </cell>
          <cell r="F114">
            <v>1</v>
          </cell>
        </row>
        <row r="115">
          <cell r="A115" t="str">
            <v>Трости (заготовки) Для гобоя, фагота, кларнета (тростевой камыш)</v>
          </cell>
          <cell r="B115" t="str">
            <v>п15</v>
          </cell>
          <cell r="C115" t="str">
            <v xml:space="preserve">Прочее </v>
          </cell>
          <cell r="F115">
            <v>50</v>
          </cell>
        </row>
        <row r="116">
          <cell r="A116" t="str">
            <v>Кожа (замша) Для прокладок, подушек клапанов</v>
          </cell>
          <cell r="B116" t="str">
            <v>п16</v>
          </cell>
          <cell r="C116" t="str">
            <v xml:space="preserve">Прочее </v>
          </cell>
          <cell r="F116">
            <v>0</v>
          </cell>
        </row>
        <row r="117">
          <cell r="A117" t="str">
            <v>Войлок Для амортизации клапанов</v>
          </cell>
          <cell r="B117" t="str">
            <v>п17</v>
          </cell>
          <cell r="C117" t="str">
            <v xml:space="preserve">Прочее </v>
          </cell>
          <cell r="F117">
            <v>0</v>
          </cell>
        </row>
        <row r="118">
          <cell r="A118" t="str">
            <v>Латунный лист (0.5-2 мм) Для изготовления заплат, деталей</v>
          </cell>
          <cell r="B118" t="str">
            <v>п18</v>
          </cell>
          <cell r="C118" t="str">
            <v xml:space="preserve">Прочее </v>
          </cell>
          <cell r="F118">
            <v>5</v>
          </cell>
        </row>
        <row r="119">
          <cell r="A119" t="str">
            <v>Серебряный припой Для ответственной пайки (профессиональные инструменты)</v>
          </cell>
          <cell r="B119" t="str">
            <v>п19</v>
          </cell>
          <cell r="C119" t="str">
            <v xml:space="preserve">Прочее </v>
          </cell>
          <cell r="F119">
            <v>20</v>
          </cell>
        </row>
        <row r="120">
          <cell r="A120" t="str">
            <v>Оловянно-свинцовый припой Для обычных ремонтов</v>
          </cell>
          <cell r="B120" t="str">
            <v>п20</v>
          </cell>
          <cell r="C120" t="str">
            <v xml:space="preserve">Прочее </v>
          </cell>
          <cell r="F120">
            <v>0</v>
          </cell>
        </row>
        <row r="121">
          <cell r="A121" t="str">
            <v>Лак для духовых инструментов (акриловый, эпоксидный) Для финишного покрытия</v>
          </cell>
          <cell r="B121" t="str">
            <v>пм9</v>
          </cell>
          <cell r="C121" t="str">
            <v>Прочее муз</v>
          </cell>
          <cell r="F121">
            <v>0</v>
          </cell>
        </row>
        <row r="122">
          <cell r="A122" t="str">
            <v>Химия для чистки (полироль для латуни, серебра) Для чистки корпусов</v>
          </cell>
          <cell r="B122" t="str">
            <v>п21</v>
          </cell>
          <cell r="C122" t="str">
            <v>Прочее</v>
          </cell>
          <cell r="F122">
            <v>0</v>
          </cell>
        </row>
        <row r="123">
          <cell r="A123" t="str">
            <v>Масло для вентилей (клапанное) Для смазки механизма</v>
          </cell>
          <cell r="B123" t="str">
            <v>п22</v>
          </cell>
          <cell r="C123" t="str">
            <v>Прочее</v>
          </cell>
          <cell r="F123">
            <v>0</v>
          </cell>
        </row>
        <row r="124">
          <cell r="A124" t="str">
            <v>Смазка для тяг (силиконовая) Для подвижных соединений</v>
          </cell>
          <cell r="B124" t="str">
            <v>п23</v>
          </cell>
          <cell r="C124" t="str">
            <v>Прочее</v>
          </cell>
          <cell r="F124">
            <v>0</v>
          </cell>
        </row>
        <row r="125">
          <cell r="A125" t="str">
            <v>пуфы</v>
          </cell>
          <cell r="B125" t="str">
            <v>м25</v>
          </cell>
          <cell r="C125" t="str">
            <v>Мебель</v>
          </cell>
          <cell r="F125">
            <v>30</v>
          </cell>
        </row>
        <row r="126">
          <cell r="A126" t="str">
            <v>Игровые столы</v>
          </cell>
          <cell r="B126" t="str">
            <v>м26</v>
          </cell>
          <cell r="C126" t="str">
            <v>Мебель</v>
          </cell>
          <cell r="F126">
            <v>15</v>
          </cell>
        </row>
        <row r="127">
          <cell r="A127" t="str">
            <v>Диван</v>
          </cell>
          <cell r="B127" t="str">
            <v>м27</v>
          </cell>
          <cell r="C127" t="str">
            <v>Мебель</v>
          </cell>
          <cell r="F127">
            <v>14</v>
          </cell>
        </row>
        <row r="128">
          <cell r="A128" t="str">
            <v>Коворкинг-зона</v>
          </cell>
          <cell r="B128" t="str">
            <v>м28</v>
          </cell>
          <cell r="C128" t="str">
            <v>Мебель</v>
          </cell>
          <cell r="F128">
            <v>3</v>
          </cell>
        </row>
        <row r="129">
          <cell r="A129" t="str">
            <v>пианино</v>
          </cell>
          <cell r="B129" t="str">
            <v>мм1</v>
          </cell>
          <cell r="C129" t="str">
            <v>Мебель муз</v>
          </cell>
          <cell r="F129">
            <v>3</v>
          </cell>
        </row>
        <row r="130">
          <cell r="A130" t="str">
            <v>круглый стол</v>
          </cell>
          <cell r="B130" t="str">
            <v>м29</v>
          </cell>
          <cell r="C130" t="str">
            <v>Мебель</v>
          </cell>
          <cell r="F130">
            <v>10</v>
          </cell>
        </row>
        <row r="131">
          <cell r="A131" t="str">
            <v>стул</v>
          </cell>
          <cell r="B131" t="str">
            <v>м30</v>
          </cell>
          <cell r="C131" t="str">
            <v>Мебель</v>
          </cell>
          <cell r="D131" t="str">
            <v>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v>
          </cell>
          <cell r="F131">
            <v>30</v>
          </cell>
        </row>
        <row r="132">
          <cell r="A132" t="str">
            <v>LED прожектор заливки (PAR) Цветная заливка сцены</v>
          </cell>
          <cell r="B132" t="str">
            <v>т62</v>
          </cell>
          <cell r="C132" t="str">
            <v>Техника</v>
          </cell>
          <cell r="F132">
            <v>24</v>
          </cell>
        </row>
        <row r="133">
          <cell r="A133" t="str">
            <v>Профильный прожектор (Spot) Белый точечный свет на солиста</v>
          </cell>
          <cell r="B133" t="str">
            <v>т63</v>
          </cell>
          <cell r="C133" t="str">
            <v>Техника</v>
          </cell>
          <cell r="F133">
            <v>16</v>
          </cell>
        </row>
        <row r="134">
          <cell r="A134" t="str">
            <v>Вращающаяся голова (Moving Head) Динамические эффекты, лучи</v>
          </cell>
          <cell r="B134" t="str">
            <v>т64</v>
          </cell>
          <cell r="C134" t="str">
            <v>Техника</v>
          </cell>
          <cell r="F134">
            <v>10</v>
          </cell>
        </row>
        <row r="135">
          <cell r="A135" t="str">
            <v>DMX-контроллер (пульт управления светом) Программируемый, с сохранением пресетов</v>
          </cell>
          <cell r="B135" t="str">
            <v>т65</v>
          </cell>
          <cell r="C135" t="str">
            <v>Техника</v>
          </cell>
          <cell r="F135">
            <v>4</v>
          </cell>
        </row>
        <row r="136">
          <cell r="A136" t="str">
            <v>LED стробоскоп Спецэффекты</v>
          </cell>
          <cell r="B136" t="str">
            <v>т66</v>
          </cell>
          <cell r="C136" t="str">
            <v>Техника</v>
          </cell>
          <cell r="F136">
            <v>8</v>
          </cell>
        </row>
        <row r="137">
          <cell r="A137" t="str">
            <v>Хейзер (генератор тумана/дыма)Для визуализации лучей света</v>
          </cell>
          <cell r="B137" t="str">
            <v>т67</v>
          </cell>
          <cell r="C137" t="str">
            <v>Техника</v>
          </cell>
          <cell r="F137">
            <v>4</v>
          </cell>
        </row>
        <row r="138">
          <cell r="A138" t="str">
            <v>Световая Т-образная стойка Для установки прожекторов по бокам</v>
          </cell>
          <cell r="B138" t="str">
            <v>т68</v>
          </cell>
          <cell r="C138" t="str">
            <v>Техника</v>
          </cell>
          <cell r="F138">
            <v>8</v>
          </cell>
        </row>
        <row r="139">
          <cell r="A139" t="str">
            <v>Комплект кабелей (DMX, силовые) Удлинители, разветвители</v>
          </cell>
          <cell r="B139" t="str">
            <v>т69</v>
          </cell>
          <cell r="C139" t="str">
            <v>Техника</v>
          </cell>
          <cell r="F139">
            <v>4</v>
          </cell>
        </row>
        <row r="140">
          <cell r="A140" t="str">
            <v>Цифровой микшерный пульт 16-24 канала, с возможностью сохранения сцен («Концерт», «Лекция»)</v>
          </cell>
          <cell r="B140" t="str">
            <v>т70</v>
          </cell>
          <cell r="C140" t="str">
            <v>Техника</v>
          </cell>
          <cell r="F140">
            <v>4</v>
          </cell>
        </row>
        <row r="141">
          <cell r="A141" t="str">
            <v>Активная акустическая система (PA) Мощность 300-500 Вт, портальная</v>
          </cell>
          <cell r="B141" t="str">
            <v>т71</v>
          </cell>
          <cell r="C141" t="str">
            <v>Техника</v>
          </cell>
          <cell r="F141">
            <v>8</v>
          </cell>
        </row>
        <row r="142">
          <cell r="A142" t="str">
            <v>Сценический монитор Для слышимости выступающих на сцене</v>
          </cell>
          <cell r="B142" t="str">
            <v>т72</v>
          </cell>
          <cell r="C142" t="str">
            <v>Техника</v>
          </cell>
          <cell r="F142">
            <v>8</v>
          </cell>
        </row>
        <row r="143">
          <cell r="A143" t="str">
            <v>Вокальная радиосистема (ручной микрофон)</v>
          </cell>
          <cell r="B143" t="str">
            <v>тм4</v>
          </cell>
          <cell r="C143" t="str">
            <v>Техника муз</v>
          </cell>
          <cell r="F143">
            <v>22</v>
          </cell>
        </row>
        <row r="144">
          <cell r="A144" t="str">
            <v>Головная радиогарнитура Для ведущих, hands-free</v>
          </cell>
          <cell r="B144" t="str">
            <v>т73</v>
          </cell>
          <cell r="C144" t="str">
            <v>Техника</v>
          </cell>
          <cell r="F144">
            <v>8</v>
          </cell>
        </row>
        <row r="145">
          <cell r="A145" t="str">
            <v>Инструментальный микрофон Shure SM57/Beta 98, для гитар, духовых, ударных</v>
          </cell>
          <cell r="B145" t="str">
            <v>тм5</v>
          </cell>
          <cell r="C145" t="str">
            <v>Техника муз</v>
          </cell>
          <cell r="F145">
            <v>24</v>
          </cell>
        </row>
        <row r="146">
          <cell r="A146" t="str">
            <v>Конденсаторный микрофон (пара, ORTF) Для хора, рояля, записи</v>
          </cell>
          <cell r="B146" t="str">
            <v>тм6</v>
          </cell>
          <cell r="C146" t="str">
            <v>Техника муз</v>
          </cell>
          <cell r="F146">
            <v>8</v>
          </cell>
        </row>
        <row r="147">
          <cell r="A147" t="str">
            <v>Микрофонная стойка (прямая/наклонная)</v>
          </cell>
          <cell r="B147" t="str">
            <v>т74</v>
          </cell>
          <cell r="C147" t="str">
            <v>Техника</v>
          </cell>
          <cell r="F147">
            <v>32</v>
          </cell>
        </row>
        <row r="148">
          <cell r="A148" t="str">
            <v>Стойка для микрофона (низкая) Для виолончели/контрабаса</v>
          </cell>
          <cell r="B148" t="str">
            <v>тм7</v>
          </cell>
          <cell r="C148" t="str">
            <v>Техника муз</v>
          </cell>
          <cell r="F148">
            <v>8</v>
          </cell>
        </row>
        <row r="149">
          <cell r="A149" t="str">
            <v>Ди-бокс (DI-кабель) Для подключения электроинструментов</v>
          </cell>
          <cell r="B149" t="str">
            <v>тм8</v>
          </cell>
          <cell r="C149" t="str">
            <v>Техника муз</v>
          </cell>
          <cell r="F149">
            <v>16</v>
          </cell>
        </row>
        <row r="150">
          <cell r="A150" t="str">
            <v>Комплект кабелей (XLR, Jack)</v>
          </cell>
          <cell r="B150" t="str">
            <v>т75</v>
          </cell>
          <cell r="C150" t="str">
            <v>Техника</v>
          </cell>
          <cell r="F150">
            <v>4</v>
          </cell>
        </row>
        <row r="151">
          <cell r="A151" t="str">
            <v>Пюпитр симфонический (тяжёлый) Широкий, устойчивый, чёрный</v>
          </cell>
          <cell r="B151" t="str">
            <v>т76</v>
          </cell>
          <cell r="C151" t="str">
            <v>Техника</v>
          </cell>
          <cell r="F151">
            <v>40</v>
          </cell>
        </row>
        <row r="152">
          <cell r="A152" t="str">
            <v>Стул для артиста (без подлокотников) Жёсткий, устойчивый</v>
          </cell>
          <cell r="B152" t="str">
            <v>м31</v>
          </cell>
          <cell r="C152" t="str">
            <v>Мебель</v>
          </cell>
          <cell r="F152">
            <v>40</v>
          </cell>
        </row>
        <row r="153">
          <cell r="A153" t="str">
            <v>Стул для виолончелиста/контрабасиста (высокий) Регулируемый</v>
          </cell>
          <cell r="B153" t="str">
            <v>м32</v>
          </cell>
          <cell r="C153" t="str">
            <v>Мебель</v>
          </cell>
          <cell r="F153">
            <v>8</v>
          </cell>
        </row>
        <row r="154">
          <cell r="A154" t="str">
            <v>Пуф для ног (регулируемый) Для виолончелистов младших классов</v>
          </cell>
          <cell r="B154" t="str">
            <v>м33</v>
          </cell>
          <cell r="C154" t="str">
            <v>Мебель</v>
          </cell>
          <cell r="F154">
            <v>16</v>
          </cell>
        </row>
        <row r="155">
          <cell r="A155" t="str">
            <v>Табурет винтовой (банкетка) Для пианиста</v>
          </cell>
          <cell r="B155" t="str">
            <v>м34</v>
          </cell>
          <cell r="C155" t="str">
            <v>Мебель</v>
          </cell>
          <cell r="F155">
            <v>7</v>
          </cell>
        </row>
        <row r="156">
          <cell r="A156" t="str">
            <v>Дирижёрский подиум Деревянный, высота 15-25 см, с ограждением</v>
          </cell>
          <cell r="B156" t="str">
            <v>м35</v>
          </cell>
          <cell r="C156" t="str">
            <v>Мебель</v>
          </cell>
          <cell r="F156">
            <v>4</v>
          </cell>
        </row>
        <row r="157">
          <cell r="A157" t="str">
            <v>Пульт для партитуры дирижёра</v>
          </cell>
          <cell r="B157" t="str">
            <v>тм9</v>
          </cell>
          <cell r="C157" t="str">
            <v>Техника муз</v>
          </cell>
          <cell r="F157">
            <v>4</v>
          </cell>
        </row>
        <row r="158">
          <cell r="A158" t="str">
            <v>Дирижёрская палочка</v>
          </cell>
          <cell r="B158" t="str">
            <v>дм3</v>
          </cell>
          <cell r="C158" t="str">
            <v>Дидактика муз</v>
          </cell>
          <cell r="F158">
            <v>20</v>
          </cell>
        </row>
        <row r="159">
          <cell r="A159" t="str">
            <v>Метроном (громкий) Электронный, с возможностью подключения к PA</v>
          </cell>
          <cell r="B159" t="str">
            <v>тм10</v>
          </cell>
          <cell r="C159" t="str">
            <v>Техника муз</v>
          </cell>
          <cell r="F159">
            <v>4</v>
          </cell>
        </row>
        <row r="160">
          <cell r="A160" t="str">
            <v>Хроматический тюнер Для настройки инструментов перед выступлением</v>
          </cell>
          <cell r="B160" t="str">
            <v>тм11</v>
          </cell>
          <cell r="C160" t="str">
            <v>Техника муз</v>
          </cell>
          <cell r="F160">
            <v>4</v>
          </cell>
        </row>
        <row r="161">
          <cell r="A161" t="str">
            <v>Ковёр акустический Для покрытия планшета сцены (улучшает акустику и нескользящее покрытие)</v>
          </cell>
          <cell r="B161" t="str">
            <v>мм2</v>
          </cell>
          <cell r="C161" t="str">
            <v>Мебель муз</v>
          </cell>
          <cell r="F161">
            <v>8</v>
          </cell>
        </row>
        <row r="162">
          <cell r="A162" t="str">
            <v>Рояль концертный (170–210 см, с чехлом)</v>
          </cell>
          <cell r="B162" t="str">
            <v>тм12</v>
          </cell>
          <cell r="C162" t="str">
            <v>Техника муз</v>
          </cell>
          <cell r="F162">
            <v>1</v>
          </cell>
        </row>
        <row r="163">
          <cell r="A163" t="str">
            <v>Пианино кабинетное (резервное)</v>
          </cell>
          <cell r="B163" t="str">
            <v>тм13</v>
          </cell>
          <cell r="C163" t="str">
            <v>Техника муз</v>
          </cell>
          <cell r="F163">
            <v>2</v>
          </cell>
        </row>
        <row r="164">
          <cell r="A164" t="str">
            <v>Табурет винтовой (банкетка) для рояля</v>
          </cell>
          <cell r="B164" t="str">
            <v>мм3</v>
          </cell>
          <cell r="C164" t="str">
            <v>Мебель муз</v>
          </cell>
          <cell r="F164">
            <v>6</v>
          </cell>
        </row>
        <row r="165">
          <cell r="A165" t="str">
            <v>Пюпитр симфонический (тяжелый, черный)</v>
          </cell>
          <cell r="B165" t="str">
            <v>мм4</v>
          </cell>
          <cell r="C165" t="str">
            <v>Мебель муз</v>
          </cell>
          <cell r="F165">
            <v>15</v>
          </cell>
        </row>
        <row r="166">
          <cell r="A166" t="str">
            <v>Кресло зрительское (мягкое, с подлокотником, стационарное)</v>
          </cell>
          <cell r="B166" t="str">
            <v>м36</v>
          </cell>
          <cell r="C166" t="str">
            <v>Мебель</v>
          </cell>
          <cell r="F166">
            <v>178</v>
          </cell>
        </row>
        <row r="167">
          <cell r="A167" t="str">
            <v>Место для МГН (зона 0,9×1,2 м на ровной площадке)</v>
          </cell>
          <cell r="B167" t="str">
            <v>мм5</v>
          </cell>
          <cell r="C167" t="str">
            <v>Мебель муз</v>
          </cell>
          <cell r="F167">
            <v>1</v>
          </cell>
        </row>
        <row r="168">
          <cell r="A168" t="str">
            <v>Кресло для сопровождающего МГН</v>
          </cell>
          <cell r="B168" t="str">
            <v>мм6</v>
          </cell>
          <cell r="C168" t="str">
            <v>Мебель муз</v>
          </cell>
          <cell r="F168">
            <v>1</v>
          </cell>
        </row>
        <row r="169">
          <cell r="A169" t="str">
            <v>Тактильная табличка «Место для инвалидов» (шрифт Брайля)</v>
          </cell>
          <cell r="B169" t="str">
            <v>п24</v>
          </cell>
          <cell r="C169" t="str">
            <v>Прочее</v>
          </cell>
          <cell r="F169">
            <v>1</v>
          </cell>
        </row>
        <row r="170">
          <cell r="A170" t="str">
            <v>Подиум для ведущего/дирижёра</v>
          </cell>
          <cell r="B170" t="str">
            <v>мм7</v>
          </cell>
          <cell r="C170" t="str">
            <v>Мебель муз</v>
          </cell>
          <cell r="F170">
            <v>1</v>
          </cell>
        </row>
        <row r="171">
          <cell r="A171" t="str">
            <v>Трибуна для выступлений (с микрофоном)</v>
          </cell>
          <cell r="B171" t="str">
            <v>мм8</v>
          </cell>
          <cell r="C171" t="str">
            <v>Мебель муз</v>
          </cell>
          <cell r="F171">
            <v>1</v>
          </cell>
        </row>
        <row r="172">
          <cell r="A172" t="str">
            <v>Стул для артиста (без подлокотников)</v>
          </cell>
          <cell r="B172" t="str">
            <v>мм9</v>
          </cell>
          <cell r="C172" t="str">
            <v>Мебель муз</v>
          </cell>
          <cell r="F172">
            <v>10</v>
          </cell>
        </row>
        <row r="173">
          <cell r="A173" t="str">
            <v>Стул для виолончелиста (высокий)</v>
          </cell>
          <cell r="B173" t="str">
            <v>мм10</v>
          </cell>
          <cell r="C173" t="str">
            <v>Мебель муз</v>
          </cell>
          <cell r="F173">
            <v>3</v>
          </cell>
        </row>
        <row r="174">
          <cell r="A174" t="str">
            <v>Пуф для ног (регулируемый)</v>
          </cell>
          <cell r="B174" t="str">
            <v>мм11</v>
          </cell>
          <cell r="C174" t="str">
            <v>Мебель муз</v>
          </cell>
          <cell r="F174">
            <v>19</v>
          </cell>
        </row>
        <row r="175">
          <cell r="A175" t="str">
            <v>Ковёр акустический</v>
          </cell>
          <cell r="B175" t="str">
            <v>мм12</v>
          </cell>
          <cell r="C175" t="str">
            <v>Мебель муз</v>
          </cell>
          <cell r="F175">
            <v>2</v>
          </cell>
        </row>
        <row r="176">
          <cell r="A176" t="str">
            <v>Занавес основной (антрактно-раздвижной, бархат с огнезащитой)</v>
          </cell>
          <cell r="B176" t="str">
            <v>м36</v>
          </cell>
          <cell r="C176" t="str">
            <v>Мебель</v>
          </cell>
          <cell r="F176">
            <v>3</v>
          </cell>
        </row>
        <row r="177">
          <cell r="A177" t="str">
            <v>Кулисы (боковые мягкие декорации)</v>
          </cell>
          <cell r="B177" t="str">
            <v>м37</v>
          </cell>
          <cell r="C177" t="str">
            <v>Мебель</v>
          </cell>
          <cell r="F177">
            <v>6</v>
          </cell>
        </row>
        <row r="178">
          <cell r="A178" t="str">
            <v>Задник сцены (фон, с символикой школы)</v>
          </cell>
          <cell r="B178" t="str">
            <v>м38</v>
          </cell>
          <cell r="C178" t="str">
            <v>Мебель</v>
          </cell>
          <cell r="F178">
            <v>2</v>
          </cell>
        </row>
        <row r="179">
          <cell r="A179" t="str">
            <v>Бюст или парадный портрет Д. Тезекбаева (в раме)</v>
          </cell>
          <cell r="B179" t="str">
            <v>м39</v>
          </cell>
          <cell r="C179" t="str">
            <v>Мебель</v>
          </cell>
          <cell r="F179">
            <v>1</v>
          </cell>
        </row>
        <row r="180">
          <cell r="A180" t="str">
            <v>Почётная табличка «Малый актовый зал им. Д. Тезекбаева»</v>
          </cell>
          <cell r="B180" t="str">
            <v>м40</v>
          </cell>
          <cell r="C180" t="str">
            <v>Мебель</v>
          </cell>
          <cell r="F180">
            <v>1</v>
          </cell>
        </row>
        <row r="181">
          <cell r="A181" t="str">
            <v>Акцентная подсветка мемориальной зоны</v>
          </cell>
          <cell r="B181" t="str">
            <v>т150</v>
          </cell>
          <cell r="C181" t="str">
            <v>Техника</v>
          </cell>
          <cell r="F181">
            <v>2</v>
          </cell>
        </row>
        <row r="182">
          <cell r="A182" t="str">
            <v>Государственный флаг РК (на флагштоке)</v>
          </cell>
          <cell r="B182" t="str">
            <v>м41</v>
          </cell>
          <cell r="C182" t="str">
            <v>Мебель</v>
          </cell>
          <cell r="F182">
            <v>1</v>
          </cell>
        </row>
        <row r="183">
          <cell r="A183" t="str">
            <v>Штандарт/флаг школы</v>
          </cell>
          <cell r="B183" t="str">
            <v>м42</v>
          </cell>
          <cell r="C183" t="str">
            <v>Мебель</v>
          </cell>
          <cell r="F183">
            <v>1</v>
          </cell>
        </row>
        <row r="184">
          <cell r="A184" t="str">
            <v>LED прожектор заливки (PAR, RGB, 54–100 Вт)</v>
          </cell>
          <cell r="B184" t="str">
            <v>тм14</v>
          </cell>
          <cell r="C184" t="str">
            <v>Техника муз</v>
          </cell>
          <cell r="F184">
            <v>8</v>
          </cell>
        </row>
        <row r="185">
          <cell r="A185" t="str">
            <v>Профильный прожектор (Spot/PC, 100–200 Вт LED, теплый белый)</v>
          </cell>
          <cell r="B185" t="str">
            <v>тм15</v>
          </cell>
          <cell r="C185" t="str">
            <v>Техника муз</v>
          </cell>
          <cell r="F185">
            <v>6</v>
          </cell>
        </row>
        <row r="186">
          <cell r="A186" t="str">
            <v>Вращающаяся голова (Moving Head, 60–100 Вт LED, DMX)</v>
          </cell>
          <cell r="B186" t="str">
            <v>тм16</v>
          </cell>
          <cell r="C186" t="str">
            <v>Техника муз</v>
          </cell>
          <cell r="F186">
            <v>4</v>
          </cell>
        </row>
        <row r="187">
          <cell r="A187" t="str">
            <v>LED стробоскоп (100–300 Вт)</v>
          </cell>
          <cell r="B187" t="str">
            <v>тм17</v>
          </cell>
          <cell r="C187" t="str">
            <v>Техника муз</v>
          </cell>
          <cell r="F187">
            <v>2</v>
          </cell>
        </row>
        <row r="188">
          <cell r="A188" t="str">
            <v>Светодиодный диско-шар (диаметр 40 см)</v>
          </cell>
          <cell r="B188" t="str">
            <v>тм18</v>
          </cell>
          <cell r="C188" t="str">
            <v>Техника муз</v>
          </cell>
          <cell r="F188">
            <v>1</v>
          </cell>
        </row>
        <row r="189">
          <cell r="A189" t="str">
            <v>Световая планка (LED бар, 1–2 м, RGB)</v>
          </cell>
          <cell r="B189" t="str">
            <v>тм19</v>
          </cell>
          <cell r="C189" t="str">
            <v>Техника муз</v>
          </cell>
          <cell r="F189">
            <v>4</v>
          </cell>
        </row>
        <row r="190">
          <cell r="A190" t="str">
            <v>Хейзер (генератор тумана/дыма, 600–1000 Вт)</v>
          </cell>
          <cell r="B190" t="str">
            <v>тм20</v>
          </cell>
          <cell r="C190" t="str">
            <v>Техника муз</v>
          </cell>
          <cell r="F190">
            <v>1</v>
          </cell>
        </row>
        <row r="191">
          <cell r="A191" t="str">
            <v>УФ-прожектор («чёрный свет», 50–100 Вт LED)</v>
          </cell>
          <cell r="B191" t="str">
            <v>тм21</v>
          </cell>
          <cell r="C191" t="str">
            <v>Техника муз</v>
          </cell>
          <cell r="F191">
            <v>1</v>
          </cell>
        </row>
        <row r="192">
          <cell r="A192" t="str">
            <v>Софит освещения сцены (дополнительный)</v>
          </cell>
          <cell r="B192" t="str">
            <v>тм22</v>
          </cell>
          <cell r="C192" t="str">
            <v>Техника муз</v>
          </cell>
          <cell r="F192">
            <v>6</v>
          </cell>
        </row>
        <row r="193">
          <cell r="A193" t="str">
            <v>Заливка сцены (верхний свет)</v>
          </cell>
          <cell r="B193" t="str">
            <v>тм23</v>
          </cell>
          <cell r="C193" t="str">
            <v>Техника муз</v>
          </cell>
          <cell r="F193">
            <v>3</v>
          </cell>
        </row>
        <row r="194">
          <cell r="A194" t="str">
            <v>Дежурное освещение зрительного зала</v>
          </cell>
          <cell r="B194" t="str">
            <v>т151</v>
          </cell>
          <cell r="C194" t="str">
            <v>Техника</v>
          </cell>
          <cell r="F194">
            <v>3</v>
          </cell>
        </row>
        <row r="195">
          <cell r="A195" t="str">
            <v>Аварийное освещение (на аккумуляторах)</v>
          </cell>
          <cell r="B195" t="str">
            <v>т152</v>
          </cell>
          <cell r="C195" t="str">
            <v>Техника</v>
          </cell>
          <cell r="F195">
            <v>3</v>
          </cell>
        </row>
        <row r="196">
          <cell r="A196" t="str">
            <v>DMX-контроллер (пульт управления светом)</v>
          </cell>
          <cell r="B196" t="str">
            <v>тм24</v>
          </cell>
          <cell r="C196" t="str">
            <v>Техника муз</v>
          </cell>
          <cell r="F196">
            <v>2</v>
          </cell>
        </row>
        <row r="197">
          <cell r="A197" t="str">
            <v>DMX-сплиттер (разветвитель, 4–8 выходов)</v>
          </cell>
          <cell r="B197" t="str">
            <v>тм25</v>
          </cell>
          <cell r="C197" t="str">
            <v>Техника муз</v>
          </cell>
          <cell r="F197">
            <v>2</v>
          </cell>
        </row>
        <row r="198">
          <cell r="A198" t="str">
            <v>Штанкетная ферма (подвесная система)</v>
          </cell>
          <cell r="B198" t="str">
            <v>м43</v>
          </cell>
          <cell r="C198" t="str">
            <v>Мебель</v>
          </cell>
          <cell r="F198">
            <v>1</v>
          </cell>
        </row>
        <row r="199">
          <cell r="A199" t="str">
            <v>Световая Т-образная стойка</v>
          </cell>
          <cell r="B199" t="str">
            <v>м44</v>
          </cell>
          <cell r="C199" t="str">
            <v>Мебель</v>
          </cell>
          <cell r="F199">
            <v>6</v>
          </cell>
        </row>
        <row r="200">
          <cell r="A200" t="str">
            <v>Противовесная система (опционально)</v>
          </cell>
          <cell r="B200" t="str">
            <v>м45</v>
          </cell>
          <cell r="C200" t="str">
            <v>Мебель</v>
          </cell>
          <cell r="F200">
            <v>1</v>
          </cell>
        </row>
        <row r="201">
          <cell r="A201" t="str">
            <v>DMX-кабель (XLR 3-pin)</v>
          </cell>
          <cell r="B201" t="str">
            <v>тм26</v>
          </cell>
          <cell r="C201" t="str">
            <v>Техника муз</v>
          </cell>
          <cell r="F201">
            <v>0</v>
          </cell>
        </row>
        <row r="202">
          <cell r="A202" t="str">
            <v>Силовой кабель (сечение 1.5–2.5 мм², разветвители)</v>
          </cell>
          <cell r="B202" t="str">
            <v>т152</v>
          </cell>
          <cell r="C202" t="str">
            <v>Техника</v>
          </cell>
          <cell r="F202">
            <v>0</v>
          </cell>
        </row>
        <row r="203">
          <cell r="A203" t="str">
            <v>Цифровой микшерный пульт (16–24 канала, с сохранением пресетов)</v>
          </cell>
          <cell r="B203" t="str">
            <v>тм27</v>
          </cell>
          <cell r="C203" t="str">
            <v>Техника муз</v>
          </cell>
          <cell r="F203">
            <v>1</v>
          </cell>
        </row>
        <row r="204">
          <cell r="A204" t="str">
            <v>Активная акустическая колонка (PA, 300–500 Вт)</v>
          </cell>
          <cell r="B204" t="str">
            <v>тм28</v>
          </cell>
          <cell r="C204" t="str">
            <v>Техника муз</v>
          </cell>
          <cell r="F204">
            <v>2</v>
          </cell>
        </row>
        <row r="205">
          <cell r="A205" t="str">
            <v>Активный сабвуфер (500–800 Вт, 15" или 18")</v>
          </cell>
          <cell r="B205" t="str">
            <v>тм29</v>
          </cell>
          <cell r="C205" t="str">
            <v>Техника муз</v>
          </cell>
          <cell r="F205">
            <v>2</v>
          </cell>
        </row>
        <row r="206">
          <cell r="A206" t="str">
            <v>Сценический монитор (активный, 200–300 Вт, «клин»)</v>
          </cell>
          <cell r="B206" t="str">
            <v>тм30</v>
          </cell>
          <cell r="C206" t="str">
            <v>Техника муз</v>
          </cell>
          <cell r="F206">
            <v>4</v>
          </cell>
        </row>
        <row r="207">
          <cell r="A207" t="str">
            <v>Эквалайзер графический (31-полосный) — может быть встроен в микшер</v>
          </cell>
          <cell r="B207" t="str">
            <v>тм31</v>
          </cell>
          <cell r="C207" t="str">
            <v>Техника муз</v>
          </cell>
          <cell r="F207">
            <v>1</v>
          </cell>
        </row>
        <row r="208">
          <cell r="A208" t="str">
            <v>Компрессор/лимитер (2-канальный) — может быть встроен в микшер</v>
          </cell>
          <cell r="B208" t="str">
            <v>тм32</v>
          </cell>
          <cell r="C208" t="str">
            <v>Техника муз</v>
          </cell>
          <cell r="F208">
            <v>1</v>
          </cell>
        </row>
        <row r="209">
          <cell r="A209" t="str">
            <v>Процессор эффектов (ревербератор) — может быть встроен в микшер</v>
          </cell>
          <cell r="B209" t="str">
            <v>тм33</v>
          </cell>
          <cell r="C209" t="str">
            <v>Техника муз</v>
          </cell>
          <cell r="F209">
            <v>1</v>
          </cell>
        </row>
        <row r="210">
          <cell r="A210" t="str">
            <v>CD/MP3-плеер профессиональный</v>
          </cell>
          <cell r="B210" t="str">
            <v>тм34</v>
          </cell>
          <cell r="C210" t="str">
            <v>Техника муз</v>
          </cell>
          <cell r="F210">
            <v>1</v>
          </cell>
        </row>
        <row r="211">
          <cell r="A211" t="str">
            <v>Bluetooth-приемник (5.0+, радиус 10–15 м)</v>
          </cell>
          <cell r="B211" t="str">
            <v>тм35</v>
          </cell>
          <cell r="C211" t="str">
            <v>Техника муз</v>
          </cell>
          <cell r="F211">
            <v>1</v>
          </cell>
        </row>
        <row r="212">
          <cell r="A212" t="str">
            <v>Микрофон вокальный динамический (Shure SM58 или аналог)</v>
          </cell>
          <cell r="B212" t="str">
            <v>тм36</v>
          </cell>
          <cell r="C212" t="str">
            <v>Техника муз</v>
          </cell>
          <cell r="F212">
            <v>6</v>
          </cell>
        </row>
        <row r="213">
          <cell r="A213" t="str">
            <v>Микрофон инструментальный динамический (Shure SM57 или аналог)</v>
          </cell>
          <cell r="B213" t="str">
            <v>тм37</v>
          </cell>
          <cell r="C213" t="str">
            <v>Техника муз</v>
          </cell>
          <cell r="F213">
            <v>6</v>
          </cell>
        </row>
        <row r="214">
          <cell r="A214" t="str">
            <v>Микрофон конденсаторный (пара ORTF, для хора/рояля)</v>
          </cell>
          <cell r="B214" t="str">
            <v>тм38</v>
          </cell>
          <cell r="C214" t="str">
            <v>Техника муз</v>
          </cell>
          <cell r="F214">
            <v>2</v>
          </cell>
        </row>
        <row r="215">
          <cell r="A215" t="str">
            <v>Микрофон на «гусиной шее» (для трибуны)</v>
          </cell>
          <cell r="B215" t="str">
            <v>т153</v>
          </cell>
          <cell r="C215" t="str">
            <v>Техника</v>
          </cell>
          <cell r="F215">
            <v>2</v>
          </cell>
        </row>
        <row r="216">
          <cell r="A216" t="str">
            <v>Радиосистема вокальная (ручной микрофон, 2 канала)</v>
          </cell>
          <cell r="B216" t="str">
            <v>тм39</v>
          </cell>
          <cell r="C216" t="str">
            <v>Техника муз</v>
          </cell>
          <cell r="F216">
            <v>2</v>
          </cell>
        </row>
        <row r="217">
          <cell r="A217" t="str">
            <v>Радиосистема головная (гарнитура, для ведущих)</v>
          </cell>
          <cell r="B217" t="str">
            <v>тм40</v>
          </cell>
          <cell r="C217" t="str">
            <v>Техника муз</v>
          </cell>
          <cell r="F217">
            <v>2</v>
          </cell>
        </row>
        <row r="218">
          <cell r="A218" t="str">
            <v>Микрофон для ударных (Shure Beta 52A или аналог)</v>
          </cell>
          <cell r="B218" t="str">
            <v>тм41</v>
          </cell>
          <cell r="C218" t="str">
            <v>Техника муз</v>
          </cell>
          <cell r="F218">
            <v>2</v>
          </cell>
        </row>
        <row r="219">
          <cell r="A219" t="str">
            <v>Микрофонная стойка прямая (напольная, высота 90–180 см)</v>
          </cell>
          <cell r="B219" t="str">
            <v>тм42</v>
          </cell>
          <cell r="C219" t="str">
            <v>Техника муз</v>
          </cell>
          <cell r="F219">
            <v>8</v>
          </cell>
        </row>
        <row r="220">
          <cell r="A220" t="str">
            <v>Микрофонная стойка наклонная («журавль», вылет 60–100 см)</v>
          </cell>
          <cell r="B220" t="str">
            <v>тм43</v>
          </cell>
          <cell r="C220" t="str">
            <v>Техника муз</v>
          </cell>
          <cell r="F220">
            <v>6</v>
          </cell>
        </row>
        <row r="221">
          <cell r="A221" t="str">
            <v>Микрофонная стойка низкая (30–60 см)</v>
          </cell>
          <cell r="B221" t="str">
            <v>тм44</v>
          </cell>
          <cell r="C221" t="str">
            <v>Техника муз</v>
          </cell>
          <cell r="F221">
            <v>4</v>
          </cell>
        </row>
        <row r="222">
          <cell r="A222" t="str">
            <v>Ди-бокс (DI, для электрогитар, синтезаторов)</v>
          </cell>
          <cell r="B222" t="str">
            <v>тм45</v>
          </cell>
          <cell r="C222" t="str">
            <v>Техника муз</v>
          </cell>
          <cell r="F222">
            <v>6</v>
          </cell>
        </row>
        <row r="223">
          <cell r="A223" t="str">
            <v>Кабель XLR (3-pin, отрезки 1–20 м)</v>
          </cell>
          <cell r="B223" t="str">
            <v>тм46</v>
          </cell>
          <cell r="C223" t="str">
            <v>Техника муз</v>
          </cell>
          <cell r="F223">
            <v>0</v>
          </cell>
        </row>
        <row r="224">
          <cell r="A224" t="str">
            <v>Кабель Jack (¼", TS/TRS, отрезки 1–10 м)</v>
          </cell>
          <cell r="B224" t="str">
            <v>тм47</v>
          </cell>
          <cell r="C224" t="str">
            <v>Техника муз</v>
          </cell>
          <cell r="F224">
            <v>0</v>
          </cell>
        </row>
        <row r="225">
          <cell r="A225" t="str">
            <v>Снейк (многоканальный кабель, 16–24 канала, 15–25 м)</v>
          </cell>
          <cell r="B225" t="str">
            <v>тм48</v>
          </cell>
          <cell r="C225" t="str">
            <v>Техника муз</v>
          </cell>
          <cell r="F225">
            <v>1</v>
          </cell>
        </row>
        <row r="226">
          <cell r="A226" t="str">
            <v>Проектор лазерный (5000+ люмен)</v>
          </cell>
          <cell r="B226" t="str">
            <v>т154</v>
          </cell>
          <cell r="C226" t="str">
            <v>Техника</v>
          </cell>
          <cell r="F226">
            <v>1</v>
          </cell>
        </row>
        <row r="227">
          <cell r="A227" t="str">
            <v>Экран проекционный (электро- или мото-привод)</v>
          </cell>
          <cell r="B227" t="str">
            <v>т155</v>
          </cell>
          <cell r="C227" t="str">
            <v>Техника</v>
          </cell>
          <cell r="F227">
            <v>1</v>
          </cell>
        </row>
        <row r="228">
          <cell r="A228" t="str">
            <v>Настенный монитор (43–50", служебный)</v>
          </cell>
          <cell r="B228" t="str">
            <v>т156</v>
          </cell>
          <cell r="C228" t="str">
            <v>Техника</v>
          </cell>
          <cell r="F228">
            <v>1</v>
          </cell>
        </row>
        <row r="229">
          <cell r="A229" t="str">
            <v>Документ-камера</v>
          </cell>
          <cell r="B229" t="str">
            <v>т157</v>
          </cell>
          <cell r="C229" t="str">
            <v>Техника</v>
          </cell>
          <cell r="F229">
            <v>4</v>
          </cell>
        </row>
        <row r="230">
          <cell r="A230" t="str">
            <v>Пульт управления презентациями (логер)</v>
          </cell>
          <cell r="B230" t="str">
            <v>т159</v>
          </cell>
          <cell r="C230" t="str">
            <v>Техника</v>
          </cell>
          <cell r="F230">
            <v>2</v>
          </cell>
        </row>
        <row r="231">
          <cell r="A231" t="str">
            <v>Веб-камера (для онлайн-трансляций)</v>
          </cell>
          <cell r="B231" t="str">
            <v>т160</v>
          </cell>
          <cell r="C231" t="str">
            <v>Техника</v>
          </cell>
          <cell r="F231">
            <v>2</v>
          </cell>
        </row>
        <row r="232">
          <cell r="A232" t="str">
            <v>Стол президиума (на 3–5 человек)</v>
          </cell>
          <cell r="B232" t="str">
            <v>м46</v>
          </cell>
          <cell r="C232" t="str">
            <v>Мебель</v>
          </cell>
          <cell r="F232">
            <v>2</v>
          </cell>
        </row>
        <row r="233">
          <cell r="A233" t="str">
            <v>Стул для президиума</v>
          </cell>
          <cell r="B233" t="str">
            <v>м47</v>
          </cell>
          <cell r="C233" t="str">
            <v>Мебель</v>
          </cell>
          <cell r="F233">
            <v>10</v>
          </cell>
        </row>
        <row r="234">
          <cell r="A234" t="str">
            <v>Шкаф для хранения флагов и атрибутики</v>
          </cell>
          <cell r="B234" t="str">
            <v>м48</v>
          </cell>
          <cell r="C234" t="str">
            <v>Мебель</v>
          </cell>
          <cell r="F234">
            <v>1</v>
          </cell>
        </row>
        <row r="235">
          <cell r="A235" t="str">
            <v>Вешалка для верхней одежды</v>
          </cell>
          <cell r="B235" t="str">
            <v>м49</v>
          </cell>
          <cell r="C235" t="str">
            <v>Мебель</v>
          </cell>
          <cell r="F235">
            <v>2</v>
          </cell>
        </row>
        <row r="236">
          <cell r="A236" t="str">
            <v>Светильник для пюпитра (LED, на прищепке)</v>
          </cell>
          <cell r="B236" t="str">
            <v>тм49</v>
          </cell>
          <cell r="C236" t="str">
            <v>Техника муз</v>
          </cell>
          <cell r="F236">
            <v>15</v>
          </cell>
        </row>
        <row r="237">
          <cell r="A237" t="str">
            <v>Лампы для прожекторов (LED-модули или лампы, запас)</v>
          </cell>
          <cell r="B237" t="str">
            <v>тм50</v>
          </cell>
          <cell r="C237" t="str">
            <v>Техника муз</v>
          </cell>
          <cell r="F237">
            <v>4</v>
          </cell>
        </row>
        <row r="238">
          <cell r="A238" t="str">
            <v>Жидкость для хейзера (безопасная, на водной основе)</v>
          </cell>
          <cell r="B238" t="str">
            <v>тм51</v>
          </cell>
          <cell r="C238" t="str">
            <v>Техника муз</v>
          </cell>
          <cell r="F238">
            <v>0</v>
          </cell>
        </row>
        <row r="239">
          <cell r="A239" t="str">
            <v>Микрофонный поп-фильтр (ветрозащита)</v>
          </cell>
          <cell r="B239" t="str">
            <v>тм52</v>
          </cell>
          <cell r="C239" t="str">
            <v>Техника муз</v>
          </cell>
          <cell r="F239">
            <v>6</v>
          </cell>
        </row>
        <row r="240">
          <cell r="A240" t="str">
            <v>Чехол для микрофонной стойки (пылезащитный)</v>
          </cell>
          <cell r="B240" t="str">
            <v>тм53</v>
          </cell>
          <cell r="C240" t="str">
            <v>Техника муз</v>
          </cell>
          <cell r="F240">
            <v>15</v>
          </cell>
        </row>
        <row r="241">
          <cell r="A241" t="str">
            <v>Канифоль</v>
          </cell>
          <cell r="B241" t="str">
            <v>тм54</v>
          </cell>
          <cell r="C241" t="str">
            <v>Техника муз</v>
          </cell>
          <cell r="F241">
            <v>5</v>
          </cell>
        </row>
        <row r="242">
          <cell r="A242" t="str">
            <v>Рояль 170 см</v>
          </cell>
          <cell r="B242" t="str">
            <v>тм55</v>
          </cell>
          <cell r="C242" t="str">
            <v>Техника муз</v>
          </cell>
          <cell r="F242">
            <v>1</v>
          </cell>
        </row>
        <row r="243">
          <cell r="A243" t="str">
            <v>Кресла/стулья зрительские</v>
          </cell>
          <cell r="B243" t="str">
            <v>м50</v>
          </cell>
          <cell r="C243" t="str">
            <v>Мебель</v>
          </cell>
          <cell r="F243">
            <v>57</v>
          </cell>
        </row>
        <row r="244">
          <cell r="A244" t="str">
            <v>Пюпитры</v>
          </cell>
          <cell r="B244" t="str">
            <v>м51</v>
          </cell>
          <cell r="C244" t="str">
            <v>Мебель</v>
          </cell>
          <cell r="F244">
            <v>32</v>
          </cell>
        </row>
        <row r="245">
          <cell r="A245" t="str">
            <v>Стулья артистов</v>
          </cell>
          <cell r="B245" t="str">
            <v>м52</v>
          </cell>
          <cell r="C245" t="str">
            <v>Мебель</v>
          </cell>
          <cell r="F245">
            <v>15</v>
          </cell>
        </row>
        <row r="246">
          <cell r="A246" t="str">
            <v>PA 2×150–250 Вт + микшер 8–12 кан.</v>
          </cell>
          <cell r="B246" t="str">
            <v>тм56</v>
          </cell>
          <cell r="C246" t="str">
            <v>Техника муз</v>
          </cell>
          <cell r="F246">
            <v>2</v>
          </cell>
        </row>
        <row r="247">
          <cell r="A247" t="str">
            <v>LED PAR (6 шт.) + Spot (4 шт.) + диммер</v>
          </cell>
          <cell r="B247" t="str">
            <v>тм57</v>
          </cell>
          <cell r="C247" t="str">
            <v>Техника муз</v>
          </cell>
          <cell r="F247">
            <v>4</v>
          </cell>
        </row>
        <row r="248">
          <cell r="A248" t="str">
            <v>Проектор 3000 лм + экран</v>
          </cell>
          <cell r="B248" t="str">
            <v>тм58</v>
          </cell>
          <cell r="C248" t="str">
            <v>Техника муз</v>
          </cell>
          <cell r="F248">
            <v>1</v>
          </cell>
        </row>
        <row r="249">
          <cell r="A249" t="str">
            <v>Опционально (если бюджет позволяет):</v>
          </cell>
          <cell r="F249">
            <v>0</v>
          </cell>
        </row>
        <row r="250">
          <cell r="A250" t="str">
            <v>Сабвуфер</v>
          </cell>
          <cell r="B250" t="str">
            <v>тм59</v>
          </cell>
          <cell r="C250" t="str">
            <v>Техника муз</v>
          </cell>
          <cell r="F250">
            <v>2</v>
          </cell>
        </row>
        <row r="251">
          <cell r="A251" t="str">
            <v>Радиосистема</v>
          </cell>
          <cell r="B251" t="str">
            <v>тм60</v>
          </cell>
          <cell r="C251" t="str">
            <v>Техника муз</v>
          </cell>
          <cell r="F251">
            <v>2</v>
          </cell>
        </row>
        <row r="252">
          <cell r="A252" t="str">
            <v>2 рояля (для дирижирования в 4 руки и для партитуры)</v>
          </cell>
          <cell r="B252" t="str">
            <v>тм61</v>
          </cell>
          <cell r="C252" t="str">
            <v>Техника муз</v>
          </cell>
          <cell r="F252">
            <v>5</v>
          </cell>
        </row>
        <row r="253">
          <cell r="A253" t="str">
            <v>Видеокамера на дирижера + экран для оркестра</v>
          </cell>
          <cell r="B253" t="str">
            <v>тм62</v>
          </cell>
          <cell r="C253" t="str">
            <v>Техника муз</v>
          </cell>
          <cell r="F253">
            <v>5</v>
          </cell>
        </row>
        <row r="254">
          <cell r="A254" t="str">
            <v>Пульт дирижерский подставной</v>
          </cell>
          <cell r="B254" t="str">
            <v>м53</v>
          </cell>
          <cell r="C254" t="str">
            <v>Мебель</v>
          </cell>
          <cell r="F254">
            <v>5</v>
          </cell>
        </row>
        <row r="255">
          <cell r="A255" t="str">
            <v>Палочки дирижерские (3 размера)</v>
          </cell>
          <cell r="B255" t="str">
            <v>тм63</v>
          </cell>
          <cell r="C255" t="str">
            <v>Техника муз</v>
          </cell>
          <cell r="F255">
            <v>5</v>
          </cell>
        </row>
        <row r="256">
          <cell r="A256" t="str">
            <v>Метроном крупный (видимый издалека)</v>
          </cell>
          <cell r="B256" t="str">
            <v>тм64</v>
          </cell>
          <cell r="C256" t="str">
            <v>Техника муз</v>
          </cell>
          <cell r="F256">
            <v>5</v>
          </cell>
        </row>
        <row r="257">
          <cell r="A257" t="str">
            <v>Шкаф гардеробный</v>
          </cell>
          <cell r="B257" t="str">
            <v>м54</v>
          </cell>
          <cell r="C257" t="str">
            <v>Мебель</v>
          </cell>
          <cell r="F257">
            <v>0</v>
          </cell>
        </row>
        <row r="258">
          <cell r="A258" t="str">
            <v>Стационарный открытый стеллаж для верхней одежды</v>
          </cell>
          <cell r="B258" t="str">
            <v>м55</v>
          </cell>
          <cell r="C258" t="str">
            <v>Мебель</v>
          </cell>
          <cell r="F258">
            <v>0</v>
          </cell>
        </row>
        <row r="259">
          <cell r="A259" t="str">
            <v>Посадочная зона/диван</v>
          </cell>
          <cell r="B259" t="str">
            <v>м56</v>
          </cell>
          <cell r="C259" t="str">
            <v>Мебель</v>
          </cell>
          <cell r="F259">
            <v>3</v>
          </cell>
        </row>
        <row r="260">
          <cell r="A260" t="str">
            <v>Пуф</v>
          </cell>
          <cell r="B260" t="str">
            <v>м57</v>
          </cell>
          <cell r="C260" t="str">
            <v>Мебель</v>
          </cell>
          <cell r="F260">
            <v>10</v>
          </cell>
        </row>
        <row r="261">
          <cell r="A261" t="str">
            <v>Приставной столик</v>
          </cell>
          <cell r="B261" t="str">
            <v>м58</v>
          </cell>
          <cell r="C261" t="str">
            <v>Мебель</v>
          </cell>
          <cell r="F261">
            <v>5</v>
          </cell>
        </row>
        <row r="262">
          <cell r="A262" t="str">
            <v>Кресло мягкое</v>
          </cell>
          <cell r="B262" t="str">
            <v>м59</v>
          </cell>
          <cell r="C262" t="str">
            <v>Мебель</v>
          </cell>
          <cell r="D262" t="str">
            <v>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v>
          </cell>
          <cell r="F262">
            <v>10</v>
          </cell>
        </row>
        <row r="263">
          <cell r="A263" t="str">
            <v>Гос.символика</v>
          </cell>
          <cell r="B263" t="str">
            <v>м60</v>
          </cell>
          <cell r="C263" t="str">
            <v>Мебель</v>
          </cell>
          <cell r="F263">
            <v>1</v>
          </cell>
        </row>
        <row r="264">
          <cell r="A264" t="str">
            <v>Корзина для мусора с педалью</v>
          </cell>
          <cell r="B264" t="str">
            <v>п25</v>
          </cell>
          <cell r="C264" t="str">
            <v>Прочее</v>
          </cell>
          <cell r="F264">
            <v>42</v>
          </cell>
        </row>
        <row r="265">
          <cell r="A265" t="str">
            <v xml:space="preserve">Ведро </v>
          </cell>
          <cell r="B265" t="str">
            <v>п26</v>
          </cell>
          <cell r="C265" t="str">
            <v>Прочее</v>
          </cell>
          <cell r="F265">
            <v>28</v>
          </cell>
        </row>
        <row r="266">
          <cell r="A266" t="str">
            <v>дозатор для жидкого мыла</v>
          </cell>
          <cell r="B266" t="str">
            <v>п27</v>
          </cell>
          <cell r="C266" t="str">
            <v>Прочее</v>
          </cell>
          <cell r="F266">
            <v>28</v>
          </cell>
        </row>
        <row r="267">
          <cell r="A267" t="str">
            <v>Зеркало</v>
          </cell>
          <cell r="B267" t="str">
            <v>п28</v>
          </cell>
          <cell r="C267" t="str">
            <v>Прочее</v>
          </cell>
          <cell r="F267">
            <v>14</v>
          </cell>
        </row>
        <row r="268">
          <cell r="A268" t="str">
            <v>Крючки</v>
          </cell>
          <cell r="B268" t="str">
            <v>п29</v>
          </cell>
          <cell r="C268" t="str">
            <v>Прочее</v>
          </cell>
          <cell r="F268">
            <v>84</v>
          </cell>
        </row>
        <row r="269">
          <cell r="A269" t="str">
            <v>Швабра</v>
          </cell>
          <cell r="B269" t="str">
            <v>п30</v>
          </cell>
          <cell r="C269" t="str">
            <v>Прочее</v>
          </cell>
          <cell r="F269">
            <v>28</v>
          </cell>
        </row>
        <row r="270">
          <cell r="A270" t="str">
            <v>Диспенсер для бумажных полотенец</v>
          </cell>
          <cell r="B270" t="str">
            <v>п31</v>
          </cell>
          <cell r="C270" t="str">
            <v>Прочее</v>
          </cell>
          <cell r="F270">
            <v>14</v>
          </cell>
        </row>
        <row r="271">
          <cell r="A271" t="str">
            <v>Диспенсер антивандальный для туалетной бумаги</v>
          </cell>
          <cell r="B271" t="str">
            <v>п32</v>
          </cell>
          <cell r="C271" t="str">
            <v>Прочее</v>
          </cell>
          <cell r="F271">
            <v>28</v>
          </cell>
        </row>
        <row r="272">
          <cell r="A272" t="str">
            <v>Акустическая система</v>
          </cell>
          <cell r="B272" t="str">
            <v>тм65</v>
          </cell>
          <cell r="C272" t="str">
            <v>Техника муз</v>
          </cell>
          <cell r="F272">
            <v>16</v>
          </cell>
        </row>
        <row r="273">
          <cell r="A273" t="str">
            <v>Колонка активная портативная</v>
          </cell>
          <cell r="B273" t="str">
            <v>т161</v>
          </cell>
          <cell r="C273" t="str">
            <v xml:space="preserve">Техника </v>
          </cell>
          <cell r="F273">
            <v>16</v>
          </cell>
        </row>
        <row r="274">
          <cell r="A274" t="str">
            <v>Методический уголок — стенд на стену с ячейками для методического материала отделения</v>
          </cell>
          <cell r="B274" t="str">
            <v>м61</v>
          </cell>
          <cell r="C274" t="str">
            <v>Мебель</v>
          </cell>
          <cell r="F274">
            <v>16</v>
          </cell>
        </row>
        <row r="275">
          <cell r="A275" t="str">
            <v>Стол с приставной тумбой</v>
          </cell>
          <cell r="B275" t="str">
            <v>м62</v>
          </cell>
          <cell r="C275" t="str">
            <v>Мебель</v>
          </cell>
          <cell r="F275">
            <v>12</v>
          </cell>
        </row>
        <row r="276">
          <cell r="A276" t="str">
            <v>Кресло с подлокотниками</v>
          </cell>
          <cell r="B276" t="str">
            <v>м61</v>
          </cell>
          <cell r="C276" t="str">
            <v>Мебель</v>
          </cell>
          <cell r="D276" t="str">
            <v>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v>
          </cell>
          <cell r="F276">
            <v>28</v>
          </cell>
        </row>
        <row r="277">
          <cell r="A277" t="str">
            <v xml:space="preserve">Стулья </v>
          </cell>
          <cell r="B277" t="str">
            <v>м61</v>
          </cell>
          <cell r="C277" t="str">
            <v>Мебель</v>
          </cell>
          <cell r="F277">
            <v>264</v>
          </cell>
        </row>
        <row r="278">
          <cell r="A278" t="str">
            <v>Пуфики для роялей с регулировкой высоты</v>
          </cell>
          <cell r="B278" t="str">
            <v>м62</v>
          </cell>
          <cell r="C278" t="str">
            <v>Мебель</v>
          </cell>
          <cell r="F278">
            <v>32</v>
          </cell>
        </row>
        <row r="279">
          <cell r="A279" t="str">
            <v>Подставки для ног для учеников младших классов, повыше, пониже</v>
          </cell>
          <cell r="B279" t="str">
            <v>м63</v>
          </cell>
          <cell r="C279" t="str">
            <v>Мебель</v>
          </cell>
          <cell r="F279">
            <v>32</v>
          </cell>
        </row>
        <row r="280">
          <cell r="A280" t="str">
            <v>Мягкие подставки на сиденье стула для высоты, пониже и повыше</v>
          </cell>
          <cell r="B280" t="str">
            <v>м64</v>
          </cell>
          <cell r="C280" t="str">
            <v>Мебель</v>
          </cell>
          <cell r="F280">
            <v>32</v>
          </cell>
        </row>
        <row r="281">
          <cell r="A281" t="str">
            <v>Часы.</v>
          </cell>
          <cell r="B281" t="str">
            <v>п33</v>
          </cell>
          <cell r="C281" t="str">
            <v>Прочее</v>
          </cell>
          <cell r="F281">
            <v>16</v>
          </cell>
        </row>
        <row r="282">
          <cell r="A282" t="str">
            <v>Ковер.</v>
          </cell>
          <cell r="B282" t="str">
            <v>м65</v>
          </cell>
          <cell r="C282" t="str">
            <v>Мебель</v>
          </cell>
          <cell r="F282">
            <v>16</v>
          </cell>
        </row>
        <row r="283">
          <cell r="A283" t="str">
            <v>Жалюзи</v>
          </cell>
          <cell r="B283" t="str">
            <v>п34</v>
          </cell>
          <cell r="C283" t="str">
            <v>Прочее</v>
          </cell>
          <cell r="F283">
            <v>16</v>
          </cell>
        </row>
        <row r="284">
          <cell r="A284" t="str">
            <v>Рояль (класс 2: кабинетный рояль 150–170-190 см) .</v>
          </cell>
          <cell r="B284" t="str">
            <v>тм66</v>
          </cell>
          <cell r="C284" t="str">
            <v>Техника муз</v>
          </cell>
          <cell r="F284">
            <v>32</v>
          </cell>
        </row>
        <row r="285">
          <cell r="A285" t="str">
            <v>Видеокамера над клавиатурой + телевизор (для разбора аппликатуры, позиции руки) – 1 компл.</v>
          </cell>
          <cell r="B285" t="str">
            <v>тм67</v>
          </cell>
          <cell r="C285" t="str">
            <v>Техника муз</v>
          </cell>
          <cell r="F285">
            <v>16</v>
          </cell>
        </row>
        <row r="286">
          <cell r="A286" t="str">
            <v>Диктофон (для записи своих этюдов) – 1 шт.</v>
          </cell>
          <cell r="B286" t="str">
            <v>тм68</v>
          </cell>
          <cell r="C286" t="str">
            <v>Техника муз</v>
          </cell>
          <cell r="F286">
            <v>16</v>
          </cell>
        </row>
        <row r="287">
          <cell r="A287" t="str">
            <v>Метроном с громким динамиком – 1 шт.</v>
          </cell>
          <cell r="B287" t="str">
            <v>тм69</v>
          </cell>
          <cell r="C287" t="str">
            <v>Техника муз</v>
          </cell>
          <cell r="F287">
            <v>16</v>
          </cell>
        </row>
        <row r="288">
          <cell r="A288" t="str">
            <v>ковер напольный акустический</v>
          </cell>
          <cell r="B288" t="str">
            <v>тм70</v>
          </cell>
          <cell r="C288" t="str">
            <v>Техника муз</v>
          </cell>
          <cell r="F288">
            <v>2</v>
          </cell>
        </row>
        <row r="289">
          <cell r="A289" t="str">
            <v xml:space="preserve">Фортепиано </v>
          </cell>
          <cell r="B289" t="str">
            <v>тм71</v>
          </cell>
          <cell r="C289" t="str">
            <v>Техника муз</v>
          </cell>
          <cell r="F289">
            <v>2</v>
          </cell>
        </row>
        <row r="290">
          <cell r="A290" t="str">
            <v>Стулья без подлокотников</v>
          </cell>
          <cell r="B290" t="str">
            <v>м66</v>
          </cell>
          <cell r="C290" t="str">
            <v>Мебель</v>
          </cell>
          <cell r="F290">
            <v>20</v>
          </cell>
        </row>
        <row r="291">
          <cell r="A291" t="str">
            <v>Пуфы для контрабаса/виолончели –</v>
          </cell>
          <cell r="B291" t="str">
            <v>м67</v>
          </cell>
          <cell r="C291" t="str">
            <v>Мебель</v>
          </cell>
          <cell r="F291">
            <v>4</v>
          </cell>
        </row>
        <row r="292">
          <cell r="A292" t="str">
            <v>Подставки для ног (для маленьких скрипачей)</v>
          </cell>
          <cell r="B292" t="str">
            <v>м68</v>
          </cell>
          <cell r="C292" t="str">
            <v>Мебель</v>
          </cell>
          <cell r="F292">
            <v>2</v>
          </cell>
        </row>
        <row r="293">
          <cell r="A293" t="str">
            <v>Шкаф для нот и партитур (закрывающийся)</v>
          </cell>
          <cell r="B293" t="str">
            <v>м69</v>
          </cell>
          <cell r="C293" t="str">
            <v>Мебель</v>
          </cell>
          <cell r="F293">
            <v>2</v>
          </cell>
        </row>
        <row r="294">
          <cell r="A294" t="str">
            <v>Вешалка для верхней одежды (напольная или настенная)</v>
          </cell>
          <cell r="B294" t="str">
            <v>м70</v>
          </cell>
          <cell r="C294" t="str">
            <v>Мебель</v>
          </cell>
          <cell r="F294">
            <v>4</v>
          </cell>
        </row>
        <row r="295">
          <cell r="A295" t="str">
            <v>Ковровая дорожка в проходах (для шумоизоляции)</v>
          </cell>
          <cell r="B295" t="str">
            <v>м71</v>
          </cell>
          <cell r="C295" t="str">
            <v>Мебель</v>
          </cell>
          <cell r="F295">
            <v>0</v>
          </cell>
        </row>
        <row r="296">
          <cell r="A296" t="str">
            <v>Подиум для дирижёра/ведущего (деревянный, высота 15–25 см)</v>
          </cell>
          <cell r="B296" t="str">
            <v>м72</v>
          </cell>
          <cell r="C296" t="str">
            <v>Мебель</v>
          </cell>
          <cell r="F296">
            <v>1</v>
          </cell>
        </row>
        <row r="297">
          <cell r="A297" t="str">
            <v>Трибуна для выступлений (со встроенным микрофоном)</v>
          </cell>
          <cell r="B297" t="str">
            <v>тм72</v>
          </cell>
          <cell r="C297" t="str">
            <v>Техника муз</v>
          </cell>
          <cell r="F297">
            <v>1</v>
          </cell>
        </row>
        <row r="298">
          <cell r="A298" t="str">
            <v>Ковёр акустический на сцену</v>
          </cell>
          <cell r="B298" t="str">
            <v>тм73</v>
          </cell>
          <cell r="C298" t="str">
            <v>Техника муз</v>
          </cell>
          <cell r="F298">
            <v>2</v>
          </cell>
        </row>
        <row r="299">
          <cell r="A299" t="str">
            <v>Кулисы боковые (6–8 шт.)</v>
          </cell>
          <cell r="B299" t="str">
            <v>м72</v>
          </cell>
          <cell r="C299" t="str">
            <v>Мебель</v>
          </cell>
          <cell r="F299">
            <v>6</v>
          </cell>
        </row>
        <row r="300">
          <cell r="A300" t="str">
            <v>Задник сцены (фон, нейтральный или с символикой)</v>
          </cell>
          <cell r="B300" t="str">
            <v>м73</v>
          </cell>
          <cell r="C300" t="str">
            <v>Мебель</v>
          </cell>
          <cell r="F300">
            <v>2</v>
          </cell>
        </row>
        <row r="301">
          <cell r="A301" t="str">
            <v>Пульт для партитуры дирижёра (широкий)</v>
          </cell>
          <cell r="B301" t="str">
            <v>м74</v>
          </cell>
          <cell r="C301" t="str">
            <v>Мебель</v>
          </cell>
          <cell r="F301">
            <v>1</v>
          </cell>
        </row>
        <row r="302">
          <cell r="A302" t="str">
            <v>Рояль концертный (170–210 см)</v>
          </cell>
          <cell r="B302" t="str">
            <v>тм73</v>
          </cell>
          <cell r="C302" t="str">
            <v>Техника муз</v>
          </cell>
          <cell r="F302">
            <v>2</v>
          </cell>
        </row>
        <row r="303">
          <cell r="A303" t="str">
            <v>Метроном (электронный, громкий)</v>
          </cell>
          <cell r="B303" t="str">
            <v>тм74</v>
          </cell>
          <cell r="C303" t="str">
            <v>Техника муз</v>
          </cell>
          <cell r="F303">
            <v>1</v>
          </cell>
        </row>
        <row r="304">
          <cell r="A304" t="str">
            <v>Камертон (электронный или 440 Гц)</v>
          </cell>
          <cell r="B304" t="str">
            <v>тм75</v>
          </cell>
          <cell r="C304" t="str">
            <v>Техника муз</v>
          </cell>
          <cell r="F304">
            <v>1</v>
          </cell>
        </row>
        <row r="305">
          <cell r="A305" t="str">
            <v>Хроматический тюнер</v>
          </cell>
          <cell r="B305" t="str">
            <v>тм76</v>
          </cell>
          <cell r="C305" t="str">
            <v>Техника муз</v>
          </cell>
          <cell r="F305">
            <v>2</v>
          </cell>
        </row>
        <row r="306">
          <cell r="A306" t="str">
            <v>Пюпитр симфонический (тяжёлый, чёрный)</v>
          </cell>
          <cell r="B306" t="str">
            <v>м75</v>
          </cell>
          <cell r="C306" t="str">
            <v>Мебель</v>
          </cell>
          <cell r="F306">
            <v>25</v>
          </cell>
        </row>
        <row r="307">
          <cell r="A307" t="str">
            <v>Пюпитр лёгкий складной</v>
          </cell>
          <cell r="B307" t="str">
            <v>м76</v>
          </cell>
          <cell r="C307" t="str">
            <v>Мебель</v>
          </cell>
          <cell r="F307">
            <v>5</v>
          </cell>
        </row>
        <row r="308">
          <cell r="A308" t="str">
            <v>Стул для артиста (без подлокотников, жёсткий)</v>
          </cell>
          <cell r="B308" t="str">
            <v>м150</v>
          </cell>
          <cell r="C308" t="str">
            <v>Мебель</v>
          </cell>
          <cell r="F308">
            <v>70</v>
          </cell>
        </row>
        <row r="309">
          <cell r="A309" t="str">
            <v>Стул для виолончелиста/контрабасиста (высокий, регулируемый)</v>
          </cell>
          <cell r="B309" t="str">
            <v>м151</v>
          </cell>
          <cell r="C309" t="str">
            <v>Мебель</v>
          </cell>
          <cell r="F309">
            <v>10</v>
          </cell>
        </row>
        <row r="310">
          <cell r="A310" t="str">
            <v>Стойка для пюпитров (телескопическая, для хранения)</v>
          </cell>
          <cell r="B310" t="str">
            <v>м152</v>
          </cell>
          <cell r="C310" t="str">
            <v>Мебель</v>
          </cell>
          <cell r="F310">
            <v>4</v>
          </cell>
        </row>
        <row r="311">
          <cell r="A311" t="str">
            <v>LED прожектор заливки PAR (RGB, 54–100 Вт)</v>
          </cell>
          <cell r="B311" t="str">
            <v>т162</v>
          </cell>
          <cell r="C311" t="str">
            <v>Техника</v>
          </cell>
          <cell r="F311">
            <v>18</v>
          </cell>
        </row>
        <row r="312">
          <cell r="A312" t="str">
            <v>Профильный прожектор Spot (LED, теплый белый)</v>
          </cell>
          <cell r="B312" t="str">
            <v>т163</v>
          </cell>
          <cell r="C312" t="str">
            <v>Техника</v>
          </cell>
          <cell r="F312">
            <v>6</v>
          </cell>
        </row>
        <row r="313">
          <cell r="A313" t="str">
            <v>Вращающаяся голова (Moving Head, 60–100 Вт, DMX)</v>
          </cell>
          <cell r="B313" t="str">
            <v>т164</v>
          </cell>
          <cell r="C313" t="str">
            <v>Техника</v>
          </cell>
          <cell r="F313">
            <v>6</v>
          </cell>
        </row>
        <row r="314">
          <cell r="A314" t="str">
            <v>Софит для освещения рояля/солиста</v>
          </cell>
          <cell r="B314" t="str">
            <v>т165</v>
          </cell>
          <cell r="C314" t="str">
            <v>Техника</v>
          </cell>
          <cell r="F314">
            <v>6</v>
          </cell>
        </row>
        <row r="315">
          <cell r="A315" t="str">
            <v>LED стробоскоп</v>
          </cell>
          <cell r="B315" t="str">
            <v>т166</v>
          </cell>
          <cell r="C315" t="str">
            <v>Техника</v>
          </cell>
          <cell r="F315">
            <v>1</v>
          </cell>
        </row>
        <row r="316">
          <cell r="A316" t="str">
            <v>Хейзер (генератор лёгкого дыма) – опционально</v>
          </cell>
          <cell r="B316" t="str">
            <v>т167</v>
          </cell>
          <cell r="C316" t="str">
            <v>Техника</v>
          </cell>
          <cell r="F316">
            <v>1</v>
          </cell>
        </row>
        <row r="317">
          <cell r="A317" t="str">
            <v>Регулятор света (диммер, на 12–24 канала)</v>
          </cell>
          <cell r="B317" t="str">
            <v>т168</v>
          </cell>
          <cell r="C317" t="str">
            <v>Техника</v>
          </cell>
          <cell r="F317">
            <v>2</v>
          </cell>
        </row>
        <row r="318">
          <cell r="A318" t="str">
            <v>Лампа для пюпитра (LED, на прищепке)</v>
          </cell>
          <cell r="B318" t="str">
            <v>т169</v>
          </cell>
          <cell r="C318" t="str">
            <v>Техника</v>
          </cell>
          <cell r="F318">
            <v>40</v>
          </cell>
        </row>
        <row r="319">
          <cell r="A319" t="str">
            <v>Силовой кабель (разветвители)</v>
          </cell>
          <cell r="B319" t="str">
            <v>т170</v>
          </cell>
          <cell r="C319" t="str">
            <v>Техника</v>
          </cell>
          <cell r="F319">
            <v>0</v>
          </cell>
        </row>
        <row r="320">
          <cell r="A320" t="str">
            <v>Цифровой микшерный пульт (16–24 канала)</v>
          </cell>
          <cell r="B320" t="str">
            <v>т171</v>
          </cell>
          <cell r="C320" t="str">
            <v>Техника</v>
          </cell>
          <cell r="F320">
            <v>1</v>
          </cell>
        </row>
        <row r="321">
          <cell r="A321" t="str">
            <v>Активная колонка PA-система (300–500 Вт)</v>
          </cell>
          <cell r="B321" t="str">
            <v>т172</v>
          </cell>
          <cell r="C321" t="str">
            <v>Техника</v>
          </cell>
          <cell r="F321">
            <v>6</v>
          </cell>
        </row>
        <row r="322">
          <cell r="A322" t="str">
            <v>Активный сабвуфер (15" или 18")</v>
          </cell>
          <cell r="B322" t="str">
            <v>т173</v>
          </cell>
          <cell r="C322" t="str">
            <v>Техника</v>
          </cell>
          <cell r="F322">
            <v>2</v>
          </cell>
        </row>
        <row r="323">
          <cell r="A323" t="str">
            <v>Сценический монитор активный</v>
          </cell>
          <cell r="B323" t="str">
            <v>т174</v>
          </cell>
          <cell r="C323" t="str">
            <v>Техника</v>
          </cell>
          <cell r="F323">
            <v>4</v>
          </cell>
        </row>
        <row r="324">
          <cell r="A324" t="str">
            <v>Микрофон вокальный динамический (Shure SM58)</v>
          </cell>
          <cell r="B324" t="str">
            <v>т175</v>
          </cell>
          <cell r="C324" t="str">
            <v>Техника</v>
          </cell>
          <cell r="F324">
            <v>6</v>
          </cell>
        </row>
        <row r="325">
          <cell r="A325" t="str">
            <v>Микрофон инструментальный динамический (Shure SM57)</v>
          </cell>
          <cell r="B325" t="str">
            <v>т176</v>
          </cell>
          <cell r="C325" t="str">
            <v>Техника</v>
          </cell>
          <cell r="F325">
            <v>6</v>
          </cell>
        </row>
        <row r="326">
          <cell r="A326" t="str">
            <v>Микрофон конденсаторный пара (для записи/хора)</v>
          </cell>
          <cell r="B326" t="str">
            <v>т177</v>
          </cell>
          <cell r="C326" t="str">
            <v>Техника</v>
          </cell>
          <cell r="F326">
            <v>2</v>
          </cell>
        </row>
        <row r="327">
          <cell r="A327" t="str">
            <v>Радиосистема вокальная (2–4 канала)</v>
          </cell>
          <cell r="B327" t="str">
            <v>т178</v>
          </cell>
          <cell r="C327" t="str">
            <v>Техника</v>
          </cell>
          <cell r="F327">
            <v>2</v>
          </cell>
        </row>
        <row r="328">
          <cell r="A328" t="str">
            <v>Радиогарнитура (головная, для ведущих)</v>
          </cell>
          <cell r="B328" t="str">
            <v>т179</v>
          </cell>
          <cell r="C328" t="str">
            <v>Техника</v>
          </cell>
          <cell r="F328">
            <v>2</v>
          </cell>
        </row>
        <row r="329">
          <cell r="A329" t="str">
            <v>Микрофонная стойка прямая (напольная)</v>
          </cell>
          <cell r="B329" t="str">
            <v>т180</v>
          </cell>
          <cell r="C329" t="str">
            <v>Техника</v>
          </cell>
          <cell r="F329">
            <v>18</v>
          </cell>
        </row>
        <row r="330">
          <cell r="A330" t="str">
            <v>Микрофонная стойка наклонная («журавль»)</v>
          </cell>
          <cell r="B330" t="str">
            <v>т181</v>
          </cell>
          <cell r="C330" t="str">
            <v>Техника</v>
          </cell>
          <cell r="F330">
            <v>12</v>
          </cell>
        </row>
        <row r="331">
          <cell r="A331" t="str">
            <v>Микрофонная стойка низкая (30–50 см)</v>
          </cell>
          <cell r="B331" t="str">
            <v>т182</v>
          </cell>
          <cell r="C331" t="str">
            <v>Техника</v>
          </cell>
          <cell r="F331">
            <v>4</v>
          </cell>
        </row>
        <row r="332">
          <cell r="A332" t="str">
            <v>Ди-бокс (DI, 2 канала)</v>
          </cell>
          <cell r="B332" t="str">
            <v>т183</v>
          </cell>
          <cell r="C332" t="str">
            <v>Техника</v>
          </cell>
          <cell r="F332">
            <v>4</v>
          </cell>
        </row>
        <row r="333">
          <cell r="A333" t="str">
            <v>Кабель XLR (отрезки 1–20 м)</v>
          </cell>
          <cell r="B333" t="str">
            <v>т184</v>
          </cell>
          <cell r="C333" t="str">
            <v>Техника</v>
          </cell>
          <cell r="F333">
            <v>0</v>
          </cell>
        </row>
        <row r="334">
          <cell r="A334" t="str">
            <v>Кабель Jack (¼", 3–6 м)</v>
          </cell>
          <cell r="B334" t="str">
            <v>т185</v>
          </cell>
          <cell r="C334" t="str">
            <v>Техника</v>
          </cell>
          <cell r="F334">
            <v>10</v>
          </cell>
        </row>
        <row r="335">
          <cell r="A335" t="str">
            <v>Поп-фильтр (ветрозащита)</v>
          </cell>
          <cell r="B335" t="str">
            <v>т186</v>
          </cell>
          <cell r="C335" t="str">
            <v>Техника</v>
          </cell>
          <cell r="F335">
            <v>6</v>
          </cell>
        </row>
        <row r="336">
          <cell r="A336" t="str">
            <v>Bluetooth-приёмник</v>
          </cell>
          <cell r="B336" t="str">
            <v>т187</v>
          </cell>
          <cell r="C336" t="str">
            <v>Техника</v>
          </cell>
          <cell r="F336">
            <v>1</v>
          </cell>
        </row>
        <row r="337">
          <cell r="A337" t="str">
            <v>Метроном с колонкой (громкий)</v>
          </cell>
          <cell r="B337" t="str">
            <v>т188</v>
          </cell>
          <cell r="C337" t="str">
            <v>Техника</v>
          </cell>
          <cell r="F337">
            <v>2</v>
          </cell>
        </row>
        <row r="338">
          <cell r="A338" t="str">
            <v>Диктофон профессиональный (Zoom H8)</v>
          </cell>
          <cell r="B338" t="str">
            <v>т189</v>
          </cell>
          <cell r="C338" t="str">
            <v>Техника</v>
          </cell>
          <cell r="F338">
            <v>1</v>
          </cell>
        </row>
        <row r="339">
          <cell r="A339" t="str">
            <v>Лазерный проектор (5000+ люмен)</v>
          </cell>
          <cell r="B339" t="str">
            <v>т190</v>
          </cell>
          <cell r="C339" t="str">
            <v>Техника</v>
          </cell>
          <cell r="F339">
            <v>1</v>
          </cell>
        </row>
        <row r="340">
          <cell r="A340" t="str">
            <v>Экран проекционный (2×1,5 м или 3×2 м)</v>
          </cell>
          <cell r="B340" t="str">
            <v>т191</v>
          </cell>
          <cell r="C340" t="str">
            <v>Техника</v>
          </cell>
          <cell r="F340">
            <v>1</v>
          </cell>
        </row>
        <row r="341">
          <cell r="A341" t="str">
            <v>Настенный монитор (43–50", для служебного контроля)</v>
          </cell>
          <cell r="B341" t="str">
            <v>т192</v>
          </cell>
          <cell r="C341" t="str">
            <v>Техника</v>
          </cell>
          <cell r="F341">
            <v>1</v>
          </cell>
        </row>
        <row r="342">
          <cell r="A342" t="str">
            <v>Веб-камера (Full HD, для трансляций)</v>
          </cell>
          <cell r="B342" t="str">
            <v>т193</v>
          </cell>
          <cell r="C342" t="str">
            <v>Техника</v>
          </cell>
          <cell r="F342">
            <v>2</v>
          </cell>
        </row>
        <row r="343">
          <cell r="A343" t="str">
            <v>Шкаф/стеллаж для нот и партитур</v>
          </cell>
          <cell r="B343" t="str">
            <v>м153</v>
          </cell>
          <cell r="C343" t="str">
            <v>Мебель</v>
          </cell>
          <cell r="F343">
            <v>3</v>
          </cell>
        </row>
        <row r="344">
          <cell r="A344" t="str">
            <v>Шкаф для хранения микрофонов, кабелей</v>
          </cell>
          <cell r="B344" t="str">
            <v>м154</v>
          </cell>
          <cell r="C344" t="str">
            <v>Мебель</v>
          </cell>
          <cell r="F344">
            <v>1</v>
          </cell>
        </row>
        <row r="345">
          <cell r="A345" t="str">
            <v>Стойка для микрофонных стоек (телескопическая)</v>
          </cell>
          <cell r="B345" t="str">
            <v>м155</v>
          </cell>
          <cell r="C345" t="str">
            <v>Мебель</v>
          </cell>
          <cell r="F345">
            <v>1</v>
          </cell>
        </row>
        <row r="346">
          <cell r="A346" t="str">
            <v>Чехлы для микрофонных стоек</v>
          </cell>
          <cell r="B346" t="str">
            <v>п35</v>
          </cell>
          <cell r="C346" t="str">
            <v>Прочее</v>
          </cell>
          <cell r="F346">
            <v>15</v>
          </cell>
        </row>
        <row r="347">
          <cell r="A347" t="str">
            <v>Вешалка для костюмов артистов (за кулисами)</v>
          </cell>
          <cell r="B347" t="str">
            <v>м156</v>
          </cell>
          <cell r="C347" t="str">
            <v>Мебель</v>
          </cell>
          <cell r="F347">
            <v>1</v>
          </cell>
        </row>
        <row r="348">
          <cell r="A348" t="str">
            <v>Стол однотумбовый с 2 выдвижными ящиками</v>
          </cell>
          <cell r="B348" t="str">
            <v>м157</v>
          </cell>
          <cell r="C348" t="str">
            <v>Мебель</v>
          </cell>
          <cell r="F348">
            <v>3</v>
          </cell>
        </row>
        <row r="349">
          <cell r="A349" t="str">
            <v>Кушетка процедурная</v>
          </cell>
          <cell r="B349" t="str">
            <v>м158</v>
          </cell>
          <cell r="C349" t="str">
            <v>Мебель</v>
          </cell>
          <cell r="F349">
            <v>1</v>
          </cell>
        </row>
        <row r="350">
          <cell r="A350" t="str">
            <v>Стол инструментальный</v>
          </cell>
          <cell r="B350" t="str">
            <v>м159</v>
          </cell>
          <cell r="C350" t="str">
            <v>Мебель</v>
          </cell>
          <cell r="F350">
            <v>1</v>
          </cell>
        </row>
        <row r="351">
          <cell r="A351" t="str">
            <v>Шкаф медицинский</v>
          </cell>
          <cell r="B351" t="str">
            <v>м160</v>
          </cell>
          <cell r="C351" t="str">
            <v>Мебель</v>
          </cell>
          <cell r="F351">
            <v>2</v>
          </cell>
        </row>
        <row r="352">
          <cell r="A352" t="str">
            <v>Холодильник фармацевтический</v>
          </cell>
          <cell r="B352" t="str">
            <v>т194</v>
          </cell>
          <cell r="C352" t="str">
            <v>Техника</v>
          </cell>
          <cell r="F352">
            <v>1</v>
          </cell>
        </row>
        <row r="353">
          <cell r="A353" t="str">
            <v>Картотечный металический шкаф для хранения док</v>
          </cell>
          <cell r="B353" t="str">
            <v>м161</v>
          </cell>
          <cell r="C353" t="str">
            <v>Мебель</v>
          </cell>
          <cell r="F353">
            <v>1</v>
          </cell>
        </row>
        <row r="354">
          <cell r="A354" t="str">
            <v>Шкаф медицинский двустворчатый</v>
          </cell>
          <cell r="B354" t="str">
            <v>м162</v>
          </cell>
          <cell r="C354" t="str">
            <v>Мебель</v>
          </cell>
          <cell r="F354">
            <v>6</v>
          </cell>
        </row>
        <row r="355">
          <cell r="A355" t="str">
            <v>Тонометр</v>
          </cell>
          <cell r="B355" t="str">
            <v>т195</v>
          </cell>
          <cell r="C355" t="str">
            <v>Техника</v>
          </cell>
          <cell r="F355">
            <v>2</v>
          </cell>
        </row>
        <row r="356">
          <cell r="A356" t="str">
            <v>Стетоскоп</v>
          </cell>
          <cell r="B356" t="str">
            <v>п36</v>
          </cell>
          <cell r="C356" t="str">
            <v>Прочее</v>
          </cell>
          <cell r="F356">
            <v>2</v>
          </cell>
        </row>
        <row r="357">
          <cell r="A357" t="str">
            <v>Бесконтактный инфракрасный термометр</v>
          </cell>
          <cell r="B357" t="str">
            <v>п37</v>
          </cell>
          <cell r="C357" t="str">
            <v>Прочее</v>
          </cell>
          <cell r="F357">
            <v>3</v>
          </cell>
        </row>
        <row r="358">
          <cell r="A358" t="str">
            <v>Весы напольные</v>
          </cell>
          <cell r="B358" t="str">
            <v>п38</v>
          </cell>
          <cell r="C358" t="str">
            <v>Прочее</v>
          </cell>
          <cell r="F358">
            <v>2</v>
          </cell>
        </row>
        <row r="359">
          <cell r="A359" t="str">
            <v>Ростомер механический напольный РП «Эконом»</v>
          </cell>
          <cell r="B359" t="str">
            <v>д4</v>
          </cell>
          <cell r="C359" t="str">
            <v>Дидактика</v>
          </cell>
          <cell r="F359">
            <v>2</v>
          </cell>
        </row>
        <row r="360">
          <cell r="A360" t="str">
            <v>Термоконтейнер</v>
          </cell>
          <cell r="B360" t="str">
            <v>д5</v>
          </cell>
          <cell r="C360" t="str">
            <v>Дидактика</v>
          </cell>
          <cell r="F360">
            <v>1</v>
          </cell>
        </row>
        <row r="361">
          <cell r="A361" t="str">
            <v>Ножницы тупоконечные</v>
          </cell>
          <cell r="B361" t="str">
            <v>д6</v>
          </cell>
          <cell r="C361" t="str">
            <v>Дидактика</v>
          </cell>
          <cell r="F361">
            <v>2</v>
          </cell>
        </row>
        <row r="362">
          <cell r="A362" t="str">
            <v>Ножницы с одним острым концом прямые</v>
          </cell>
          <cell r="B362" t="str">
            <v>д7</v>
          </cell>
          <cell r="C362" t="str">
            <v>Дидактика</v>
          </cell>
          <cell r="F362">
            <v>2</v>
          </cell>
        </row>
        <row r="363">
          <cell r="A363" t="str">
            <v>Коробка стерилизационная круглая (бикс)</v>
          </cell>
          <cell r="B363" t="str">
            <v>п39</v>
          </cell>
          <cell r="C363" t="str">
            <v>Прочее</v>
          </cell>
          <cell r="F363">
            <v>1</v>
          </cell>
        </row>
        <row r="364">
          <cell r="A364" t="str">
            <v>Коробка стерилизационная круглая (бикс) большая</v>
          </cell>
          <cell r="B364" t="str">
            <v>п40</v>
          </cell>
          <cell r="C364" t="str">
            <v>Прочее</v>
          </cell>
          <cell r="F364">
            <v>1</v>
          </cell>
        </row>
        <row r="365">
          <cell r="A365" t="str">
            <v>Жгут кровоостанавливающий</v>
          </cell>
          <cell r="B365" t="str">
            <v>д8</v>
          </cell>
          <cell r="C365" t="str">
            <v>Дидактика</v>
          </cell>
          <cell r="F365">
            <v>2</v>
          </cell>
        </row>
        <row r="366">
          <cell r="A366" t="str">
            <v>Пинцет анатомический</v>
          </cell>
          <cell r="B366" t="str">
            <v>д9</v>
          </cell>
          <cell r="C366" t="str">
            <v>Дидактика</v>
          </cell>
          <cell r="F366">
            <v>2</v>
          </cell>
        </row>
        <row r="367">
          <cell r="A367" t="str">
            <v>Пузырь для льда</v>
          </cell>
          <cell r="B367" t="str">
            <v>п41</v>
          </cell>
          <cell r="C367" t="str">
            <v>Прочее</v>
          </cell>
          <cell r="F367">
            <v>2</v>
          </cell>
        </row>
        <row r="368">
          <cell r="A368" t="str">
            <v>Лоток медицинский почкообразный</v>
          </cell>
          <cell r="B368" t="str">
            <v>п42</v>
          </cell>
          <cell r="C368" t="str">
            <v>Прочее</v>
          </cell>
          <cell r="F368">
            <v>2</v>
          </cell>
        </row>
        <row r="369">
          <cell r="A369" t="str">
            <v>Мусорная корзина</v>
          </cell>
          <cell r="B369" t="str">
            <v>д10</v>
          </cell>
          <cell r="C369" t="str">
            <v>Дидактика</v>
          </cell>
          <cell r="F369">
            <v>3</v>
          </cell>
        </row>
        <row r="370">
          <cell r="A370" t="str">
            <v>настенный бактерицидный облучатель-рециркулятор</v>
          </cell>
          <cell r="B370" t="str">
            <v>т196</v>
          </cell>
          <cell r="C370" t="str">
            <v>Техника</v>
          </cell>
          <cell r="F370">
            <v>2</v>
          </cell>
        </row>
        <row r="371">
          <cell r="A371" t="str">
            <v>Таблица для проверки зрения</v>
          </cell>
          <cell r="B371" t="str">
            <v>п43</v>
          </cell>
          <cell r="C371" t="str">
            <v>Прочее</v>
          </cell>
          <cell r="F371">
            <v>1</v>
          </cell>
        </row>
        <row r="372">
          <cell r="A372" t="str">
            <v>Измерительная лента</v>
          </cell>
          <cell r="B372" t="str">
            <v>п44</v>
          </cell>
          <cell r="C372" t="str">
            <v>Прочее</v>
          </cell>
          <cell r="F372">
            <v>1</v>
          </cell>
        </row>
        <row r="373">
          <cell r="A373" t="str">
            <v>Медицинские халаты</v>
          </cell>
          <cell r="B373" t="str">
            <v>п45</v>
          </cell>
          <cell r="C373" t="str">
            <v>Прочее</v>
          </cell>
          <cell r="F373">
            <v>5</v>
          </cell>
        </row>
        <row r="374">
          <cell r="A374" t="str">
            <v xml:space="preserve">кровать для сна </v>
          </cell>
          <cell r="B374" t="str">
            <v>м163</v>
          </cell>
          <cell r="C374" t="str">
            <v>Мебель</v>
          </cell>
          <cell r="F374">
            <v>2</v>
          </cell>
        </row>
        <row r="375">
          <cell r="A375" t="str">
            <v xml:space="preserve">Шкаф для одежды </v>
          </cell>
          <cell r="B375" t="str">
            <v>м164</v>
          </cell>
          <cell r="C375" t="str">
            <v>Мебель</v>
          </cell>
          <cell r="F375">
            <v>2</v>
          </cell>
        </row>
        <row r="376">
          <cell r="A376" t="str">
            <v>тумба</v>
          </cell>
          <cell r="B376" t="str">
            <v>м165</v>
          </cell>
          <cell r="C376" t="str">
            <v>Мебель</v>
          </cell>
          <cell r="F376">
            <v>2</v>
          </cell>
        </row>
        <row r="377">
          <cell r="A377" t="str">
            <v>Стулья</v>
          </cell>
          <cell r="B377" t="str">
            <v>м166</v>
          </cell>
          <cell r="C377" t="str">
            <v>Мебель</v>
          </cell>
          <cell r="F377">
            <v>12</v>
          </cell>
        </row>
        <row r="378">
          <cell r="A378" t="str">
            <v xml:space="preserve">Открытый стеллаж </v>
          </cell>
          <cell r="B378" t="str">
            <v>м167</v>
          </cell>
          <cell r="C378" t="str">
            <v>Мебель</v>
          </cell>
          <cell r="F378">
            <v>4</v>
          </cell>
        </row>
        <row r="379">
          <cell r="A379" t="str">
            <v>Ведро 18л</v>
          </cell>
          <cell r="B379" t="str">
            <v>п46</v>
          </cell>
          <cell r="C379" t="str">
            <v>Прочее</v>
          </cell>
          <cell r="F379">
            <v>4</v>
          </cell>
        </row>
        <row r="380">
          <cell r="A380" t="str">
            <v>Двухведёрная тележка</v>
          </cell>
          <cell r="B380" t="str">
            <v>п47</v>
          </cell>
          <cell r="C380" t="str">
            <v>Прочее</v>
          </cell>
          <cell r="F380">
            <v>6</v>
          </cell>
        </row>
        <row r="381">
          <cell r="A381" t="str">
            <v>Швабра с платформой</v>
          </cell>
          <cell r="B381" t="str">
            <v>п48</v>
          </cell>
          <cell r="C381" t="str">
            <v>Прочее</v>
          </cell>
          <cell r="F381">
            <v>12</v>
          </cell>
        </row>
        <row r="382">
          <cell r="A382" t="str">
            <v>Шкаф металлический для одежды и инвентаря</v>
          </cell>
          <cell r="B382" t="str">
            <v>м168</v>
          </cell>
          <cell r="C382" t="str">
            <v>Мебель</v>
          </cell>
          <cell r="F382">
            <v>2</v>
          </cell>
        </row>
        <row r="383">
          <cell r="A383" t="str">
            <v>Стол  с приставной тумбой</v>
          </cell>
          <cell r="B383" t="str">
            <v>м169</v>
          </cell>
          <cell r="C383" t="str">
            <v>Мебель</v>
          </cell>
          <cell r="F383">
            <v>0</v>
          </cell>
        </row>
        <row r="384">
          <cell r="A384" t="str">
            <v xml:space="preserve">Кресло </v>
          </cell>
          <cell r="B384" t="str">
            <v>м170</v>
          </cell>
          <cell r="C384" t="str">
            <v>Мебель</v>
          </cell>
          <cell r="D384" t="str">
            <v>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v>
          </cell>
          <cell r="F384">
            <v>2</v>
          </cell>
        </row>
        <row r="385">
          <cell r="A385" t="str">
            <v xml:space="preserve">стол для совещаний на 16 человек </v>
          </cell>
          <cell r="B385" t="str">
            <v>м171</v>
          </cell>
          <cell r="C385" t="str">
            <v>Мебель</v>
          </cell>
          <cell r="F385">
            <v>1</v>
          </cell>
        </row>
        <row r="386">
          <cell r="A386" t="str">
            <v xml:space="preserve">стол для совещаний на 6 человек </v>
          </cell>
          <cell r="B386" t="str">
            <v>м172</v>
          </cell>
          <cell r="C386" t="str">
            <v>Мебель</v>
          </cell>
          <cell r="F386">
            <v>1</v>
          </cell>
        </row>
        <row r="387">
          <cell r="A387" t="str">
            <v xml:space="preserve">конференц стол на 16 человек </v>
          </cell>
          <cell r="B387" t="str">
            <v>м173</v>
          </cell>
          <cell r="C387" t="str">
            <v>Мебель</v>
          </cell>
          <cell r="F387">
            <v>1</v>
          </cell>
        </row>
        <row r="388">
          <cell r="A388" t="str">
            <v>Подиум для дирижёра (деревянный, высота 20–30 см, широкий)</v>
          </cell>
          <cell r="B388" t="str">
            <v>м174</v>
          </cell>
          <cell r="C388" t="str">
            <v>Мебель</v>
          </cell>
          <cell r="E388" t="str">
            <v>шт</v>
          </cell>
          <cell r="F388">
            <v>1</v>
          </cell>
        </row>
        <row r="389">
          <cell r="A389" t="str">
            <v>Пульт для партитуры дирижёра (широкий, с подсветкой)</v>
          </cell>
          <cell r="B389" t="str">
            <v>т197</v>
          </cell>
          <cell r="C389" t="str">
            <v>Техника</v>
          </cell>
          <cell r="E389" t="str">
            <v>шт</v>
          </cell>
          <cell r="F389">
            <v>1</v>
          </cell>
        </row>
        <row r="390">
          <cell r="A390" t="str">
            <v>Ковёр акустический на сцену (нескользящий, улучшающий акустику)</v>
          </cell>
          <cell r="B390" t="str">
            <v>м175</v>
          </cell>
          <cell r="C390" t="str">
            <v>Мебель</v>
          </cell>
          <cell r="E390" t="str">
            <v>шт</v>
          </cell>
          <cell r="F390">
            <v>2</v>
          </cell>
        </row>
        <row r="391">
          <cell r="A391" t="str">
            <v>Кулисы боковые (мягкие декорации)</v>
          </cell>
          <cell r="B391" t="str">
            <v>м176</v>
          </cell>
          <cell r="C391" t="str">
            <v>Мебель</v>
          </cell>
          <cell r="E391" t="str">
            <v>шт</v>
          </cell>
          <cell r="F391">
            <v>6</v>
          </cell>
        </row>
        <row r="392">
          <cell r="A392" t="str">
            <v>Задник сцены (фон с национальным орнаментом или символикой школы)</v>
          </cell>
          <cell r="B392" t="str">
            <v>м177</v>
          </cell>
          <cell r="C392" t="str">
            <v>Мебель</v>
          </cell>
          <cell r="E392" t="str">
            <v>шт</v>
          </cell>
          <cell r="F392">
            <v>2</v>
          </cell>
        </row>
        <row r="393">
          <cell r="A393" t="str">
            <v>Стеллаж/стойка для хранения народных инструментов на сцене (для быстрой смены)</v>
          </cell>
          <cell r="B393" t="str">
            <v>м178</v>
          </cell>
          <cell r="C393" t="str">
            <v>Мебель</v>
          </cell>
          <cell r="E393" t="str">
            <v>шт</v>
          </cell>
          <cell r="F393">
            <v>2</v>
          </cell>
        </row>
        <row r="394">
          <cell r="A394" t="str">
            <v>Пианино кабинетное (резервное, для репетиций)</v>
          </cell>
          <cell r="B394" t="str">
            <v>тм250</v>
          </cell>
          <cell r="C394" t="str">
            <v>Техника муз</v>
          </cell>
          <cell r="E394" t="str">
            <v>шт</v>
          </cell>
          <cell r="F394">
            <v>1</v>
          </cell>
        </row>
        <row r="395">
          <cell r="A395" t="str">
            <v>Баян готово-выборный (концертный)</v>
          </cell>
          <cell r="B395" t="str">
            <v>тм251</v>
          </cell>
          <cell r="C395" t="str">
            <v>Техника муз</v>
          </cell>
          <cell r="E395" t="str">
            <v>комп</v>
          </cell>
          <cell r="F395">
            <v>1</v>
          </cell>
        </row>
        <row r="396">
          <cell r="A396" t="str">
            <v>Аккордеон</v>
          </cell>
          <cell r="B396" t="str">
            <v>тм252</v>
          </cell>
          <cell r="C396" t="str">
            <v>Техника муз</v>
          </cell>
          <cell r="E396" t="str">
            <v>шт</v>
          </cell>
          <cell r="F396">
            <v>1</v>
          </cell>
        </row>
        <row r="397">
          <cell r="A397" t="str">
            <v>Домбра (2-струнная, концертная)</v>
          </cell>
          <cell r="B397" t="str">
            <v>тм253</v>
          </cell>
          <cell r="C397" t="str">
            <v>Техника муз</v>
          </cell>
          <cell r="E397" t="str">
            <v>комп</v>
          </cell>
          <cell r="F397">
            <v>2</v>
          </cell>
        </row>
        <row r="398">
          <cell r="A398" t="str">
            <v>Дабыл (двойной барабан)</v>
          </cell>
          <cell r="B398" t="str">
            <v>тм254</v>
          </cell>
          <cell r="C398" t="str">
            <v>Техника муз</v>
          </cell>
          <cell r="E398" t="str">
            <v>шт</v>
          </cell>
          <cell r="F398">
            <v>2</v>
          </cell>
        </row>
        <row r="399">
          <cell r="A399" t="str">
            <v>Дангыра (бубен с подвесками)</v>
          </cell>
          <cell r="B399" t="str">
            <v>тм255</v>
          </cell>
          <cell r="C399" t="str">
            <v>Техника муз</v>
          </cell>
          <cell r="E399" t="str">
            <v>шт( опционально)</v>
          </cell>
          <cell r="F399">
            <v>2</v>
          </cell>
        </row>
        <row r="400">
          <cell r="A400" t="str">
            <v>Асатаяк (жезл с колокольчиками)</v>
          </cell>
          <cell r="B400" t="str">
            <v>тм256</v>
          </cell>
          <cell r="C400" t="str">
            <v>Техника муз</v>
          </cell>
          <cell r="E400" t="str">
            <v>шт</v>
          </cell>
          <cell r="F400">
            <v>2</v>
          </cell>
        </row>
        <row r="401">
          <cell r="A401" t="str">
            <v>Пюпитр симфонический (тяжёлый, чёрный, широкий)</v>
          </cell>
          <cell r="B401" t="str">
            <v>тм257</v>
          </cell>
          <cell r="C401" t="str">
            <v>Техника муз</v>
          </cell>
          <cell r="E401" t="str">
            <v>шт</v>
          </cell>
          <cell r="F401">
            <v>30</v>
          </cell>
        </row>
        <row r="402">
          <cell r="A402" t="str">
            <v>Профильный прожектор Spot (LED, теплый белый, для солистов)</v>
          </cell>
          <cell r="B402" t="str">
            <v>т197</v>
          </cell>
          <cell r="C402" t="str">
            <v>Техника</v>
          </cell>
          <cell r="E402" t="str">
            <v>шт</v>
          </cell>
          <cell r="F402">
            <v>6</v>
          </cell>
        </row>
        <row r="403">
          <cell r="A403" t="str">
            <v>Светодиодный партер (для подсветки нот при затемнённом зале)</v>
          </cell>
          <cell r="B403" t="str">
            <v>т198</v>
          </cell>
          <cell r="C403" t="str">
            <v>Техника</v>
          </cell>
          <cell r="E403" t="str">
            <v>шт</v>
          </cell>
          <cell r="F403">
            <v>4</v>
          </cell>
        </row>
        <row r="404">
          <cell r="A404" t="str">
            <v>Микшерный пульт цифровой (16–24 канала, с сохранением пресетов)</v>
          </cell>
          <cell r="B404" t="str">
            <v>т199</v>
          </cell>
          <cell r="C404" t="str">
            <v>Техника</v>
          </cell>
          <cell r="E404" t="str">
            <v>брусков/год</v>
          </cell>
          <cell r="F404">
            <v>1</v>
          </cell>
        </row>
        <row r="405">
          <cell r="A405" t="str">
            <v>Активный сабвуфер (15" или 18", для басов народных ударных)</v>
          </cell>
          <cell r="B405" t="str">
            <v>т200</v>
          </cell>
          <cell r="C405" t="str">
            <v>Техника</v>
          </cell>
          <cell r="F405">
            <v>2</v>
          </cell>
        </row>
        <row r="406">
          <cell r="A406" t="str">
            <v>Монитор сценический активный</v>
          </cell>
          <cell r="B406" t="str">
            <v>т201</v>
          </cell>
          <cell r="C406" t="str">
            <v>Техника</v>
          </cell>
          <cell r="F406">
            <v>2</v>
          </cell>
        </row>
        <row r="407">
          <cell r="A407" t="str">
            <v>Микрофон инструментальный (Shure SM57/Beta 98, для домбры, баяна, духовых)</v>
          </cell>
          <cell r="B407" t="str">
            <v>т202</v>
          </cell>
          <cell r="C407" t="str">
            <v>Техника</v>
          </cell>
          <cell r="F407">
            <v>0</v>
          </cell>
        </row>
        <row r="408">
          <cell r="A408" t="str">
            <v>Микрофон вокальный (Shure SM58, для солистов-вокалистов)</v>
          </cell>
          <cell r="B408" t="str">
            <v>т203</v>
          </cell>
          <cell r="C408" t="str">
            <v>Техника</v>
          </cell>
          <cell r="F408">
            <v>6</v>
          </cell>
        </row>
        <row r="409">
          <cell r="A409" t="str">
            <v>Микрофон конденсаторный пара (для записи, для хора, для рояля)</v>
          </cell>
          <cell r="B409" t="str">
            <v>т204</v>
          </cell>
          <cell r="C409" t="str">
            <v>Техника</v>
          </cell>
          <cell r="F409">
            <v>4</v>
          </cell>
        </row>
        <row r="410">
          <cell r="A410" t="str">
            <v>Микрофонная стойка низкая (для дабыла, дангыры)</v>
          </cell>
          <cell r="B410" t="str">
            <v>т205</v>
          </cell>
          <cell r="C410" t="str">
            <v>Техника</v>
          </cell>
          <cell r="F410">
            <v>4</v>
          </cell>
        </row>
        <row r="411">
          <cell r="A411" t="str">
            <v>Ди-бокс (DI, для электробаяна, синтезатора)</v>
          </cell>
          <cell r="B411" t="str">
            <v>т206</v>
          </cell>
          <cell r="C411" t="str">
            <v>Техника</v>
          </cell>
          <cell r="F411">
            <v>4</v>
          </cell>
        </row>
        <row r="412">
          <cell r="A412" t="str">
            <v>Кабельный комплект (XLR, Jack, 1–20 м)</v>
          </cell>
          <cell r="B412" t="str">
            <v>т207</v>
          </cell>
          <cell r="C412" t="str">
            <v>Техника</v>
          </cell>
          <cell r="F412">
            <v>0</v>
          </cell>
        </row>
        <row r="413">
          <cell r="A413" t="str">
            <v>Диктофон профессиональный (Zoom H8 или Tascam)</v>
          </cell>
          <cell r="B413" t="str">
            <v>т208</v>
          </cell>
          <cell r="C413" t="str">
            <v>Техника</v>
          </cell>
          <cell r="F413">
            <v>1</v>
          </cell>
        </row>
        <row r="414">
          <cell r="A414" t="str">
            <v>Проектор лазерный высокой яркости (5000+ люмен)</v>
          </cell>
          <cell r="B414" t="str">
            <v>т209</v>
          </cell>
          <cell r="C414" t="str">
            <v>Техника</v>
          </cell>
          <cell r="F414">
            <v>1</v>
          </cell>
        </row>
        <row r="415">
          <cell r="A415" t="str">
            <v>Экран проекционный (2×1,5 м или 2,5×2 м)</v>
          </cell>
          <cell r="B415" t="str">
            <v>т210</v>
          </cell>
          <cell r="C415" t="str">
            <v>Техника</v>
          </cell>
          <cell r="F415">
            <v>1</v>
          </cell>
        </row>
        <row r="416">
          <cell r="A416" t="str">
            <v>Настенный монитор (43–50", для показа нот, видео, трансляций)</v>
          </cell>
          <cell r="B416" t="str">
            <v>т211</v>
          </cell>
          <cell r="C416" t="str">
            <v>Техника</v>
          </cell>
          <cell r="F416">
            <v>2</v>
          </cell>
        </row>
        <row r="417">
          <cell r="A417" t="str">
            <v>Веб-камера (Full HD, для записи и трансляций концертов)</v>
          </cell>
          <cell r="B417" t="str">
            <v>т212</v>
          </cell>
          <cell r="C417" t="str">
            <v>Техника</v>
          </cell>
          <cell r="F417">
            <v>2</v>
          </cell>
        </row>
        <row r="418">
          <cell r="A418" t="str">
            <v>Ноутбук (для презентаций, видео, минусовок)</v>
          </cell>
          <cell r="B418" t="str">
            <v>т213</v>
          </cell>
          <cell r="C418" t="str">
            <v>Техника</v>
          </cell>
          <cell r="F418">
            <v>0</v>
          </cell>
        </row>
        <row r="419">
          <cell r="A419" t="str">
            <v>Документ-камера (для демонстрации нот, партитур)</v>
          </cell>
          <cell r="B419" t="str">
            <v>тм258</v>
          </cell>
          <cell r="C419" t="str">
            <v>Техника муз</v>
          </cell>
          <cell r="F419">
            <v>1</v>
          </cell>
        </row>
        <row r="420">
          <cell r="A420" t="str">
            <v xml:space="preserve">Парты  </v>
          </cell>
          <cell r="B420" t="str">
            <v>м179</v>
          </cell>
          <cell r="C420" t="str">
            <v>Мебель</v>
          </cell>
          <cell r="F420">
            <v>100</v>
          </cell>
        </row>
        <row r="421">
          <cell r="A421" t="str">
            <v>Пюпитр симфонический металлический (ученику и педагогу).</v>
          </cell>
          <cell r="B421" t="str">
            <v>м180</v>
          </cell>
          <cell r="C421" t="str">
            <v>Мебель</v>
          </cell>
          <cell r="F421">
            <v>20</v>
          </cell>
        </row>
        <row r="422">
          <cell r="A422" t="str">
            <v>Табурет клавишный винтовой</v>
          </cell>
          <cell r="B422" t="str">
            <v>м181</v>
          </cell>
          <cell r="C422" t="str">
            <v>Мебель</v>
          </cell>
          <cell r="F422">
            <v>20</v>
          </cell>
        </row>
        <row r="423">
          <cell r="A423" t="str">
            <v>Метроном механический (Wittner или аналог)</v>
          </cell>
          <cell r="B423" t="str">
            <v>тм258</v>
          </cell>
          <cell r="C423" t="str">
            <v>Техника муз</v>
          </cell>
          <cell r="F423">
            <v>10</v>
          </cell>
        </row>
        <row r="424">
          <cell r="A424" t="str">
            <v>Камертон электронный или вилка 440 Гц</v>
          </cell>
          <cell r="B424" t="str">
            <v>тм259</v>
          </cell>
          <cell r="C424" t="str">
            <v>Техника муз</v>
          </cell>
          <cell r="F424">
            <v>10</v>
          </cell>
        </row>
        <row r="425">
          <cell r="A425" t="str">
            <v>Зеркало настенное (во весь рост) (для контроля постановки рук/корпуса).</v>
          </cell>
          <cell r="B425" t="str">
            <v>п49</v>
          </cell>
          <cell r="C425" t="str">
            <v>Прочее</v>
          </cell>
          <cell r="F425">
            <v>9</v>
          </cell>
        </row>
        <row r="426">
          <cell r="A426" t="str">
            <v>Доска нотная (5 линеек)</v>
          </cell>
          <cell r="B426" t="str">
            <v>п50</v>
          </cell>
          <cell r="C426" t="str">
            <v>Прочее</v>
          </cell>
          <cell r="F426">
            <v>9</v>
          </cell>
        </row>
        <row r="427">
          <cell r="A427" t="str">
            <v>Домбра (2-струнная, стандартная)</v>
          </cell>
          <cell r="B427" t="str">
            <v>тм260</v>
          </cell>
          <cell r="C427" t="str">
            <v>Техника муз</v>
          </cell>
          <cell r="F427">
            <v>0</v>
          </cell>
        </row>
        <row r="428">
          <cell r="A428" t="str">
            <v>Домбра альтовая</v>
          </cell>
          <cell r="B428" t="str">
            <v>тм261</v>
          </cell>
          <cell r="C428" t="str">
            <v>Техника муз</v>
          </cell>
          <cell r="F428">
            <v>0</v>
          </cell>
        </row>
        <row r="429">
          <cell r="A429" t="str">
            <v>Домбра басовая</v>
          </cell>
          <cell r="B429" t="str">
            <v>тм262</v>
          </cell>
          <cell r="C429" t="str">
            <v>Техника муз</v>
          </cell>
          <cell r="F429">
            <v>0</v>
          </cell>
        </row>
        <row r="430">
          <cell r="A430" t="str">
            <v>Кыл-кобыз (2-струнный смычковый)</v>
          </cell>
          <cell r="B430" t="str">
            <v>тм263</v>
          </cell>
          <cell r="C430" t="str">
            <v>Техника муз</v>
          </cell>
          <cell r="F430">
            <v>0</v>
          </cell>
        </row>
        <row r="431">
          <cell r="A431" t="str">
            <v>Кобыз-прима (оркестровый)</v>
          </cell>
          <cell r="B431" t="str">
            <v>тм264</v>
          </cell>
          <cell r="C431" t="str">
            <v>Техника муз</v>
          </cell>
          <cell r="F431">
            <v>0</v>
          </cell>
        </row>
        <row r="432">
          <cell r="A432" t="str">
            <v>Кобыз-бас</v>
          </cell>
          <cell r="B432" t="str">
            <v>тм265</v>
          </cell>
          <cell r="C432" t="str">
            <v>Техника муз</v>
          </cell>
          <cell r="F432">
            <v>0</v>
          </cell>
        </row>
        <row r="433">
          <cell r="A433" t="str">
            <v>Жетыген (7-струнный)</v>
          </cell>
          <cell r="B433" t="str">
            <v>тм266</v>
          </cell>
          <cell r="C433" t="str">
            <v>Техника муз</v>
          </cell>
          <cell r="F433">
            <v>0</v>
          </cell>
        </row>
        <row r="434">
          <cell r="A434" t="str">
            <v>Шертер</v>
          </cell>
          <cell r="B434" t="str">
            <v>тм267</v>
          </cell>
          <cell r="C434" t="str">
            <v>Техника муз</v>
          </cell>
          <cell r="F434">
            <v>0</v>
          </cell>
        </row>
        <row r="435">
          <cell r="A435" t="str">
            <v>Сыбызгы (продольная флейта)</v>
          </cell>
          <cell r="B435" t="str">
            <v>тм268</v>
          </cell>
          <cell r="C435" t="str">
            <v>Техника муз</v>
          </cell>
          <cell r="F435">
            <v>0</v>
          </cell>
        </row>
        <row r="436">
          <cell r="A436" t="str">
            <v>Сазсырнай (глиняная флейта)</v>
          </cell>
          <cell r="B436" t="str">
            <v>тм269</v>
          </cell>
          <cell r="C436" t="str">
            <v>Техника муз</v>
          </cell>
          <cell r="F436">
            <v>0</v>
          </cell>
        </row>
        <row r="437">
          <cell r="A437" t="str">
            <v>Сырнай (язычковый духовой)</v>
          </cell>
          <cell r="B437" t="str">
            <v>тм270</v>
          </cell>
          <cell r="C437" t="str">
            <v>Техника муз</v>
          </cell>
          <cell r="F437">
            <v>0</v>
          </cell>
        </row>
        <row r="438">
          <cell r="A438" t="str">
            <v>Керней (длинная труба)</v>
          </cell>
          <cell r="B438" t="str">
            <v>тм271</v>
          </cell>
          <cell r="C438" t="str">
            <v>Техника муз</v>
          </cell>
          <cell r="F438">
            <v>0</v>
          </cell>
        </row>
        <row r="439">
          <cell r="A439" t="str">
            <v>Шанкобыз (варган)</v>
          </cell>
          <cell r="B439" t="str">
            <v>тм272</v>
          </cell>
          <cell r="C439" t="str">
            <v>Техника муз</v>
          </cell>
          <cell r="F439">
            <v>0</v>
          </cell>
        </row>
        <row r="440">
          <cell r="A440" t="str">
            <v>Дауылпаз (большой барабан)</v>
          </cell>
          <cell r="B440" t="str">
            <v>тм273</v>
          </cell>
          <cell r="C440" t="str">
            <v>Техника муз</v>
          </cell>
          <cell r="F440">
            <v>0</v>
          </cell>
        </row>
        <row r="441">
          <cell r="A441" t="str">
            <v>Конырау (колокольчики, набор)</v>
          </cell>
          <cell r="B441" t="str">
            <v>тм274</v>
          </cell>
          <cell r="C441" t="str">
            <v>Техника муз</v>
          </cell>
          <cell r="F441">
            <v>0</v>
          </cell>
        </row>
        <row r="442">
          <cell r="A442" t="str">
            <v>Туяктас (подвески из копыт)</v>
          </cell>
          <cell r="B442" t="str">
            <v>тм275</v>
          </cell>
          <cell r="C442" t="str">
            <v>Техника муз</v>
          </cell>
          <cell r="F442">
            <v>0</v>
          </cell>
        </row>
        <row r="443">
          <cell r="A443" t="str">
            <v>Шындауыл (литавра)</v>
          </cell>
          <cell r="B443" t="str">
            <v>тм276</v>
          </cell>
          <cell r="C443" t="str">
            <v>Техника муз</v>
          </cell>
          <cell r="F443">
            <v>0</v>
          </cell>
        </row>
        <row r="444">
          <cell r="A444" t="str">
            <v>Кепшик (трещотка)</v>
          </cell>
          <cell r="B444" t="str">
            <v>тм277</v>
          </cell>
          <cell r="C444" t="str">
            <v>Техника муз</v>
          </cell>
          <cell r="F444">
            <v>0</v>
          </cell>
        </row>
        <row r="445">
          <cell r="A445" t="str">
            <v>Домра малая 3-струнная (1/2, 3/4, 4/4)</v>
          </cell>
          <cell r="B445" t="str">
            <v>тм278</v>
          </cell>
          <cell r="C445" t="str">
            <v>Техника муз</v>
          </cell>
          <cell r="F445">
            <v>0</v>
          </cell>
        </row>
        <row r="446">
          <cell r="A446" t="str">
            <v>Домра альтовая</v>
          </cell>
          <cell r="B446" t="str">
            <v>тм279</v>
          </cell>
          <cell r="C446" t="str">
            <v>Техника муз</v>
          </cell>
          <cell r="F446">
            <v>0</v>
          </cell>
        </row>
        <row r="447">
          <cell r="A447" t="str">
            <v>Домра басовая</v>
          </cell>
          <cell r="B447" t="str">
            <v>тм280</v>
          </cell>
          <cell r="C447" t="str">
            <v>Техника муз</v>
          </cell>
          <cell r="F447">
            <v>0</v>
          </cell>
        </row>
        <row r="448">
          <cell r="A448" t="str">
            <v>Баян готовый (учебный)</v>
          </cell>
          <cell r="B448" t="str">
            <v>тм281</v>
          </cell>
          <cell r="C448" t="str">
            <v>Техника муз</v>
          </cell>
          <cell r="F448">
            <v>0</v>
          </cell>
        </row>
        <row r="449">
          <cell r="A449" t="str">
            <v>Треугольник</v>
          </cell>
          <cell r="B449" t="str">
            <v>тм282</v>
          </cell>
          <cell r="C449" t="str">
            <v>Техника муз</v>
          </cell>
          <cell r="F449">
            <v>0</v>
          </cell>
        </row>
        <row r="450">
          <cell r="A450" t="str">
            <v>Бубен (большой)</v>
          </cell>
          <cell r="B450" t="str">
            <v>тм283</v>
          </cell>
          <cell r="C450" t="str">
            <v>Техника муз</v>
          </cell>
          <cell r="F450">
            <v>0</v>
          </cell>
        </row>
        <row r="451">
          <cell r="A451" t="str">
            <v>Бубен (малый, с тарелочками)</v>
          </cell>
          <cell r="B451" t="str">
            <v>тм284</v>
          </cell>
          <cell r="C451" t="str">
            <v>Техника муз</v>
          </cell>
          <cell r="F451">
            <v>0</v>
          </cell>
        </row>
        <row r="452">
          <cell r="A452" t="str">
            <v>Маракасы</v>
          </cell>
          <cell r="B452" t="str">
            <v>тм285</v>
          </cell>
          <cell r="C452" t="str">
            <v>Техника муз</v>
          </cell>
          <cell r="F452">
            <v>0</v>
          </cell>
        </row>
        <row r="453">
          <cell r="A453" t="str">
            <v>Трещотка (пластинчатая)</v>
          </cell>
          <cell r="B453" t="str">
            <v>тм286</v>
          </cell>
          <cell r="C453" t="str">
            <v>Техника муз</v>
          </cell>
          <cell r="F453">
            <v>0</v>
          </cell>
        </row>
        <row r="454">
          <cell r="A454" t="str">
            <v>Коробочка (вул-блок)</v>
          </cell>
          <cell r="B454" t="str">
            <v>тм287</v>
          </cell>
          <cell r="C454" t="str">
            <v>Техника муз</v>
          </cell>
          <cell r="F454">
            <v>0</v>
          </cell>
        </row>
        <row r="455">
          <cell r="A455" t="str">
            <v>Ксилофон</v>
          </cell>
          <cell r="B455" t="str">
            <v>тм288</v>
          </cell>
          <cell r="C455" t="str">
            <v>Техника муз</v>
          </cell>
          <cell r="F455">
            <v>0</v>
          </cell>
        </row>
        <row r="456">
          <cell r="A456" t="str">
            <v>Погремушки</v>
          </cell>
          <cell r="B456" t="str">
            <v>тм289</v>
          </cell>
          <cell r="C456" t="str">
            <v>Техника муз</v>
          </cell>
          <cell r="F456">
            <v>0</v>
          </cell>
        </row>
        <row r="457">
          <cell r="A457" t="str">
            <v>Рояль концертный</v>
          </cell>
          <cell r="B457" t="str">
            <v>тм290</v>
          </cell>
          <cell r="C457" t="str">
            <v>Техника муз</v>
          </cell>
          <cell r="F457">
            <v>0</v>
          </cell>
        </row>
        <row r="458">
          <cell r="A458" t="str">
            <v>Рояль/пианино второе</v>
          </cell>
          <cell r="B458" t="str">
            <v>тм291</v>
          </cell>
          <cell r="C458" t="str">
            <v>Техника муз</v>
          </cell>
          <cell r="F458">
            <v>0</v>
          </cell>
        </row>
        <row r="459">
          <cell r="A459" t="str">
            <v>Пюпитр симфонический (тяжелый)</v>
          </cell>
          <cell r="B459" t="str">
            <v>м182</v>
          </cell>
          <cell r="C459" t="str">
            <v>Мебель</v>
          </cell>
          <cell r="F459">
            <v>0</v>
          </cell>
        </row>
        <row r="460">
          <cell r="A460" t="str">
            <v>Стул ученический (без подлокотников)</v>
          </cell>
          <cell r="B460" t="str">
            <v>м183</v>
          </cell>
          <cell r="C460" t="str">
            <v>Мебель</v>
          </cell>
          <cell r="F460">
            <v>0</v>
          </cell>
        </row>
        <row r="461">
          <cell r="A461" t="str">
            <v>Табурет винтовой (банкетка)</v>
          </cell>
          <cell r="B461" t="str">
            <v>м184</v>
          </cell>
          <cell r="C461" t="str">
            <v>Мебель</v>
          </cell>
          <cell r="F461">
            <v>0</v>
          </cell>
        </row>
        <row r="462">
          <cell r="A462" t="str">
            <v>Дирижерский подиум</v>
          </cell>
          <cell r="B462" t="str">
            <v>м185</v>
          </cell>
          <cell r="C462" t="str">
            <v>Мебель</v>
          </cell>
          <cell r="F462">
            <v>0</v>
          </cell>
        </row>
        <row r="463">
          <cell r="A463" t="str">
            <v>Ковер акустический</v>
          </cell>
          <cell r="B463" t="str">
            <v>м186</v>
          </cell>
          <cell r="C463" t="str">
            <v>Мебель</v>
          </cell>
          <cell r="F463">
            <v>0</v>
          </cell>
        </row>
        <row r="464">
          <cell r="A464" t="str">
            <v>Стойка для пюпитров (телескопическая)</v>
          </cell>
          <cell r="B464" t="str">
            <v>м187</v>
          </cell>
          <cell r="C464" t="str">
            <v>Мебель</v>
          </cell>
          <cell r="F464">
            <v>0</v>
          </cell>
        </row>
        <row r="465">
          <cell r="A465" t="str">
            <v>Шкаф/стеллаж для хранения инструментов</v>
          </cell>
          <cell r="B465" t="str">
            <v>м188</v>
          </cell>
          <cell r="C465" t="str">
            <v>Мебель</v>
          </cell>
          <cell r="F465">
            <v>0</v>
          </cell>
        </row>
        <row r="466">
          <cell r="A466" t="str">
            <v>Увлажнитель воздуха промышленный</v>
          </cell>
          <cell r="B466" t="str">
            <v>т214</v>
          </cell>
          <cell r="C466" t="str">
            <v>Техника</v>
          </cell>
          <cell r="F466">
            <v>0</v>
          </cell>
        </row>
        <row r="467">
          <cell r="A467" t="str">
            <v>Струны для домбры (комплекты)</v>
          </cell>
          <cell r="B467" t="str">
            <v>пм10</v>
          </cell>
          <cell r="C467" t="str">
            <v>Прочее муз</v>
          </cell>
          <cell r="F467">
            <v>0</v>
          </cell>
        </row>
        <row r="468">
          <cell r="A468" t="str">
            <v>Струны для домры</v>
          </cell>
          <cell r="B468" t="str">
            <v>пм11</v>
          </cell>
          <cell r="C468" t="str">
            <v>Прочее муз</v>
          </cell>
          <cell r="F468">
            <v>0</v>
          </cell>
        </row>
        <row r="469">
          <cell r="A469" t="str">
            <v>Струны для кыл-кобыза</v>
          </cell>
          <cell r="B469" t="str">
            <v>пм12</v>
          </cell>
          <cell r="C469" t="str">
            <v>Прочее муз</v>
          </cell>
          <cell r="F469">
            <v>0</v>
          </cell>
        </row>
        <row r="470">
          <cell r="A470" t="str">
            <v>Чехол/кейс для инструментов</v>
          </cell>
          <cell r="B470" t="str">
            <v>пм13</v>
          </cell>
          <cell r="C470" t="str">
            <v>Прочее муз</v>
          </cell>
          <cell r="F470">
            <v>0</v>
          </cell>
        </row>
        <row r="471">
          <cell r="A471" t="str">
            <v>Микшерный пульт цифровой (16–24 кан.)</v>
          </cell>
          <cell r="B471" t="str">
            <v>т215</v>
          </cell>
          <cell r="C471" t="str">
            <v>Техника</v>
          </cell>
          <cell r="F471">
            <v>0</v>
          </cell>
        </row>
        <row r="472">
          <cell r="A472" t="str">
            <v>Активная колонка (PA-система, 300–500 Вт)</v>
          </cell>
          <cell r="B472" t="str">
            <v>т216</v>
          </cell>
          <cell r="C472" t="str">
            <v>Техника</v>
          </cell>
          <cell r="F472">
            <v>0</v>
          </cell>
        </row>
        <row r="473">
          <cell r="A473" t="str">
            <v>Монитор сценический</v>
          </cell>
          <cell r="B473" t="str">
            <v>т217</v>
          </cell>
          <cell r="C473" t="str">
            <v>Техника</v>
          </cell>
          <cell r="F473">
            <v>0</v>
          </cell>
        </row>
        <row r="474">
          <cell r="A474" t="str">
            <v>Микрофон инструментальный</v>
          </cell>
          <cell r="B474" t="str">
            <v>т218</v>
          </cell>
          <cell r="C474" t="str">
            <v>Техника</v>
          </cell>
          <cell r="F474">
            <v>0</v>
          </cell>
        </row>
        <row r="475">
          <cell r="A475" t="str">
            <v>Микрофон конденсаторный (пара)</v>
          </cell>
          <cell r="B475" t="str">
            <v>т219</v>
          </cell>
          <cell r="C475" t="str">
            <v>Техника</v>
          </cell>
          <cell r="F475">
            <v>0</v>
          </cell>
        </row>
        <row r="476">
          <cell r="A476" t="str">
            <v>Радиосистема вокальная</v>
          </cell>
          <cell r="B476" t="str">
            <v>т220</v>
          </cell>
          <cell r="C476" t="str">
            <v>Техника</v>
          </cell>
          <cell r="F476">
            <v>0</v>
          </cell>
        </row>
        <row r="477">
          <cell r="A477" t="str">
            <v>Метроном с колонкой</v>
          </cell>
          <cell r="B477" t="str">
            <v>тм292</v>
          </cell>
          <cell r="C477" t="str">
            <v>Техника муз</v>
          </cell>
          <cell r="F477">
            <v>0</v>
          </cell>
        </row>
        <row r="478">
          <cell r="A478" t="str">
            <v>Диктофон профессиональный</v>
          </cell>
          <cell r="B478" t="str">
            <v>т221</v>
          </cell>
          <cell r="C478" t="str">
            <v>Техника</v>
          </cell>
          <cell r="F478">
            <v>0</v>
          </cell>
        </row>
        <row r="479">
          <cell r="A479" t="str">
            <v>Кабельный комплект (XLR, инструментальный)</v>
          </cell>
          <cell r="B479" t="str">
            <v>тм293</v>
          </cell>
          <cell r="C479" t="str">
            <v>Техника муз</v>
          </cell>
          <cell r="F479">
            <v>0</v>
          </cell>
        </row>
        <row r="480">
          <cell r="A480" t="str">
            <v>Стул ученический жесткий (без подлокотников)</v>
          </cell>
          <cell r="B480" t="str">
            <v>м189</v>
          </cell>
          <cell r="C480" t="str">
            <v>Мебель</v>
          </cell>
          <cell r="F480">
            <v>0</v>
          </cell>
        </row>
        <row r="481">
          <cell r="A481" t="str">
            <v>Шкаф для инструментов (по числу учеников в группе)</v>
          </cell>
          <cell r="B481" t="str">
            <v>м190</v>
          </cell>
          <cell r="C481" t="str">
            <v>Мебель</v>
          </cell>
          <cell r="F481">
            <v>0</v>
          </cell>
        </row>
        <row r="482">
          <cell r="A482" t="str">
            <v>Увлажнитель воздуха (для струнных)</v>
          </cell>
          <cell r="B482" t="str">
            <v>м191</v>
          </cell>
          <cell r="C482" t="str">
            <v>Мебель</v>
          </cell>
          <cell r="F482">
            <v>0</v>
          </cell>
        </row>
        <row r="483">
          <cell r="A483" t="str">
            <v>Ковер на пол (для акустики)</v>
          </cell>
          <cell r="B483" t="str">
            <v>м192</v>
          </cell>
          <cell r="C483" t="str">
            <v>Мебель</v>
          </cell>
          <cell r="F483">
            <v>0</v>
          </cell>
        </row>
        <row r="484">
          <cell r="A484" t="str">
            <v>Шкафы (локеры)</v>
          </cell>
          <cell r="B484" t="str">
            <v>м193</v>
          </cell>
          <cell r="C484" t="str">
            <v>Мебель</v>
          </cell>
          <cell r="F484">
            <v>0</v>
          </cell>
        </row>
        <row r="485">
          <cell r="A485" t="str">
            <v>Скамья</v>
          </cell>
          <cell r="B485" t="str">
            <v>м194</v>
          </cell>
          <cell r="C485" t="str">
            <v>Мебель</v>
          </cell>
          <cell r="F485">
            <v>0</v>
          </cell>
        </row>
        <row r="486">
          <cell r="A486" t="str">
            <v>Стенка гимнастическая 2800х800мм</v>
          </cell>
          <cell r="B486" t="str">
            <v>м195</v>
          </cell>
          <cell r="C486" t="str">
            <v>Мебель</v>
          </cell>
          <cell r="F486">
            <v>0</v>
          </cell>
        </row>
        <row r="487">
          <cell r="A487" t="str">
            <v>Скамья гимнастическая с металлическими опорами 1500 мм</v>
          </cell>
          <cell r="B487" t="str">
            <v>м196</v>
          </cell>
          <cell r="C487" t="str">
            <v>Мебель</v>
          </cell>
          <cell r="F487">
            <v>0</v>
          </cell>
        </row>
        <row r="488">
          <cell r="A488" t="str">
            <v>Станок хореографический двухрядный  2.5 м</v>
          </cell>
          <cell r="B488" t="str">
            <v>м197</v>
          </cell>
          <cell r="C488" t="str">
            <v>Мебель</v>
          </cell>
          <cell r="F488">
            <v>0</v>
          </cell>
        </row>
        <row r="489">
          <cell r="A489" t="str">
            <v>Скамья для раздевалок без спинки- 2 м</v>
          </cell>
          <cell r="B489" t="str">
            <v>м198</v>
          </cell>
          <cell r="C489" t="str">
            <v>Мебель</v>
          </cell>
          <cell r="F489">
            <v>0</v>
          </cell>
        </row>
        <row r="490">
          <cell r="A490" t="str">
            <v>Гимнастический мяч (Фитбол) 65 гладкий</v>
          </cell>
          <cell r="B490" t="str">
            <v>д11</v>
          </cell>
          <cell r="C490" t="str">
            <v>Дидактика</v>
          </cell>
          <cell r="E490" t="str">
            <v>шт</v>
          </cell>
          <cell r="F490">
            <v>0</v>
          </cell>
        </row>
        <row r="491">
          <cell r="A491" t="str">
            <v>Гимнастический мяч (Фитбол) 85 гладкий</v>
          </cell>
          <cell r="B491" t="str">
            <v>д12</v>
          </cell>
          <cell r="C491" t="str">
            <v>Дидактика</v>
          </cell>
          <cell r="E491" t="str">
            <v>шт</v>
          </cell>
          <cell r="F491">
            <v>0</v>
          </cell>
        </row>
        <row r="492">
          <cell r="A492" t="str">
            <v>Коврик для фитнеса</v>
          </cell>
          <cell r="B492" t="str">
            <v>п51</v>
          </cell>
          <cell r="C492" t="str">
            <v>Прочее</v>
          </cell>
          <cell r="E492" t="str">
            <v>шт</v>
          </cell>
          <cell r="F492">
            <v>0</v>
          </cell>
        </row>
        <row r="493">
          <cell r="A493" t="str">
            <v xml:space="preserve">Мобильная стойка с электрическим приводом для интерактивной
панели 
</v>
          </cell>
          <cell r="B493" t="str">
            <v>т222</v>
          </cell>
          <cell r="C493" t="str">
            <v>Техника</v>
          </cell>
          <cell r="F493">
            <v>0</v>
          </cell>
        </row>
        <row r="494">
          <cell r="A494" t="str">
            <v>Моноблок для преподавателя</v>
          </cell>
          <cell r="B494" t="str">
            <v>т223</v>
          </cell>
          <cell r="C494" t="str">
            <v>Техника</v>
          </cell>
          <cell r="F494">
            <v>0</v>
          </cell>
        </row>
        <row r="495">
          <cell r="A495" t="str">
            <v xml:space="preserve">Многофункциональное устройство (копир/принтер/сканер) </v>
          </cell>
          <cell r="B495" t="str">
            <v>т224</v>
          </cell>
          <cell r="C495" t="str">
            <v>Техника</v>
          </cell>
          <cell r="F495">
            <v>0</v>
          </cell>
        </row>
        <row r="496">
          <cell r="A496" t="str">
            <v>Стол преподавателя</v>
          </cell>
          <cell r="B496" t="str">
            <v>м199</v>
          </cell>
          <cell r="C496" t="str">
            <v>Мебель</v>
          </cell>
          <cell r="F496">
            <v>0</v>
          </cell>
        </row>
        <row r="497">
          <cell r="A497" t="str">
            <v xml:space="preserve">Кресло, крутящееся на роликах с подлокотниками </v>
          </cell>
          <cell r="B497" t="str">
            <v>м200</v>
          </cell>
          <cell r="C497" t="str">
            <v>Мебель</v>
          </cell>
          <cell r="F497">
            <v>0</v>
          </cell>
        </row>
        <row r="498">
          <cell r="A498" t="str">
            <v>Шкаф открытый</v>
          </cell>
          <cell r="B498" t="str">
            <v>м201</v>
          </cell>
          <cell r="C498" t="str">
            <v>Мебель</v>
          </cell>
          <cell r="F498">
            <v>0</v>
          </cell>
        </row>
        <row r="499">
          <cell r="A499" t="str">
            <v>Кухонный гарнитур с мойкой и смесителем</v>
          </cell>
          <cell r="B499" t="str">
            <v>м202</v>
          </cell>
          <cell r="C499" t="str">
            <v>Мебель</v>
          </cell>
          <cell r="F499">
            <v>0</v>
          </cell>
        </row>
        <row r="500">
          <cell r="A500" t="str">
            <v>Весы электронные настольные до 5 килограмм</v>
          </cell>
          <cell r="B500" t="str">
            <v>п52</v>
          </cell>
          <cell r="C500" t="str">
            <v>Прочее</v>
          </cell>
          <cell r="F500">
            <v>0</v>
          </cell>
        </row>
        <row r="501">
          <cell r="A501" t="str">
            <v>Комбайн кухонный</v>
          </cell>
          <cell r="B501" t="str">
            <v>т225</v>
          </cell>
          <cell r="C501" t="str">
            <v>Техника</v>
          </cell>
          <cell r="F501">
            <v>0</v>
          </cell>
        </row>
        <row r="502">
          <cell r="A502" t="str">
            <v>Миксер</v>
          </cell>
          <cell r="B502" t="str">
            <v>т226</v>
          </cell>
          <cell r="C502" t="str">
            <v>Техника</v>
          </cell>
          <cell r="F502">
            <v>0</v>
          </cell>
        </row>
        <row r="503">
          <cell r="A503" t="str">
            <v>Печь микроволновая</v>
          </cell>
          <cell r="B503" t="str">
            <v>т227</v>
          </cell>
          <cell r="C503" t="str">
            <v>Техника</v>
          </cell>
          <cell r="F503">
            <v>0</v>
          </cell>
        </row>
        <row r="504">
          <cell r="A504" t="str">
            <v>Вытяжка</v>
          </cell>
          <cell r="B504" t="str">
            <v>т228</v>
          </cell>
          <cell r="C504" t="str">
            <v>Техника</v>
          </cell>
          <cell r="F504">
            <v>0</v>
          </cell>
        </row>
        <row r="505">
          <cell r="A505" t="str">
            <v>Стеклокерамическая варочная поверхность</v>
          </cell>
          <cell r="B505" t="str">
            <v>м203</v>
          </cell>
          <cell r="C505" t="str">
            <v>Мебель</v>
          </cell>
          <cell r="F505">
            <v>0</v>
          </cell>
        </row>
        <row r="506">
          <cell r="A506" t="str">
            <v>Холодильник</v>
          </cell>
          <cell r="B506" t="str">
            <v>т229</v>
          </cell>
          <cell r="C506" t="str">
            <v>Техника</v>
          </cell>
          <cell r="F506">
            <v>0</v>
          </cell>
        </row>
        <row r="507">
          <cell r="A507" t="str">
            <v>Чайник электрический</v>
          </cell>
          <cell r="B507" t="str">
            <v>т230</v>
          </cell>
          <cell r="C507" t="str">
            <v>Техника</v>
          </cell>
          <cell r="F507">
            <v>0</v>
          </cell>
        </row>
        <row r="508">
          <cell r="A508" t="str">
            <v>Вилка столовая</v>
          </cell>
          <cell r="B508" t="str">
            <v>п53</v>
          </cell>
          <cell r="C508" t="str">
            <v>Прочее</v>
          </cell>
          <cell r="F508">
            <v>0</v>
          </cell>
        </row>
        <row r="509">
          <cell r="A509" t="str">
            <v>Дозатор сахара</v>
          </cell>
          <cell r="B509" t="str">
            <v>п54</v>
          </cell>
          <cell r="C509" t="str">
            <v>Прочее</v>
          </cell>
          <cell r="F509">
            <v>0</v>
          </cell>
        </row>
        <row r="510">
          <cell r="A510" t="str">
            <v>Дорожка настольная</v>
          </cell>
          <cell r="B510" t="str">
            <v>п55</v>
          </cell>
          <cell r="C510" t="str">
            <v>Прочее</v>
          </cell>
          <cell r="F510">
            <v>0</v>
          </cell>
        </row>
        <row r="511">
          <cell r="A511" t="str">
            <v>Доска разделочная</v>
          </cell>
          <cell r="B511" t="str">
            <v>п56</v>
          </cell>
          <cell r="C511" t="str">
            <v>Прочее</v>
          </cell>
          <cell r="F511">
            <v>0</v>
          </cell>
        </row>
        <row r="512">
          <cell r="A512" t="str">
            <v>Дуршлаг</v>
          </cell>
          <cell r="B512" t="str">
            <v>п57</v>
          </cell>
          <cell r="C512" t="str">
            <v>Прочее</v>
          </cell>
          <cell r="F512">
            <v>0</v>
          </cell>
        </row>
        <row r="513">
          <cell r="A513" t="str">
            <v>Кастрюля</v>
          </cell>
          <cell r="B513" t="str">
            <v>п58</v>
          </cell>
          <cell r="C513" t="str">
            <v>Прочее</v>
          </cell>
          <cell r="F513">
            <v>0</v>
          </cell>
        </row>
        <row r="514">
          <cell r="A514" t="str">
            <v>Ковш</v>
          </cell>
          <cell r="B514" t="str">
            <v>п59</v>
          </cell>
          <cell r="C514" t="str">
            <v>Прочее</v>
          </cell>
          <cell r="F514">
            <v>0</v>
          </cell>
        </row>
        <row r="515">
          <cell r="A515" t="str">
            <v>Контейнер с крышкой для сухих продуктов</v>
          </cell>
          <cell r="B515" t="str">
            <v>п60</v>
          </cell>
          <cell r="C515" t="str">
            <v>Прочее</v>
          </cell>
          <cell r="F515">
            <v>0</v>
          </cell>
        </row>
        <row r="516">
          <cell r="A516" t="str">
            <v>Ложка столовая</v>
          </cell>
          <cell r="B516" t="str">
            <v>п61</v>
          </cell>
          <cell r="C516" t="str">
            <v>Прочее</v>
          </cell>
          <cell r="F516">
            <v>0</v>
          </cell>
        </row>
        <row r="517">
          <cell r="A517" t="str">
            <v>Ложка чайная</v>
          </cell>
          <cell r="B517" t="str">
            <v>п62</v>
          </cell>
          <cell r="C517" t="str">
            <v>Прочее</v>
          </cell>
          <cell r="F517">
            <v>0</v>
          </cell>
        </row>
        <row r="518">
          <cell r="A518" t="str">
            <v>Лоток для столовых приборов</v>
          </cell>
          <cell r="B518" t="str">
            <v>п63</v>
          </cell>
          <cell r="C518" t="str">
            <v>Прочее</v>
          </cell>
          <cell r="F518">
            <v>0</v>
          </cell>
        </row>
        <row r="519">
          <cell r="A519" t="str">
            <v>Мерные емкости</v>
          </cell>
          <cell r="B519" t="str">
            <v>п64</v>
          </cell>
          <cell r="C519" t="str">
            <v>Прочее</v>
          </cell>
          <cell r="F519">
            <v>0</v>
          </cell>
        </row>
        <row r="520">
          <cell r="A520" t="str">
            <v>Мерный кувшин</v>
          </cell>
          <cell r="B520" t="str">
            <v>п65</v>
          </cell>
          <cell r="C520" t="str">
            <v>Прочее</v>
          </cell>
          <cell r="F520">
            <v>0</v>
          </cell>
        </row>
        <row r="521">
          <cell r="A521" t="str">
            <v>Миска сервировочная</v>
          </cell>
          <cell r="B521" t="str">
            <v>п66</v>
          </cell>
          <cell r="C521" t="str">
            <v>Прочее</v>
          </cell>
          <cell r="F521">
            <v>0</v>
          </cell>
        </row>
        <row r="522">
          <cell r="A522" t="str">
            <v>Молочник/сливочник</v>
          </cell>
          <cell r="B522" t="str">
            <v>п67</v>
          </cell>
          <cell r="C522" t="str">
            <v>Прочее</v>
          </cell>
          <cell r="F522">
            <v>0</v>
          </cell>
        </row>
        <row r="523">
          <cell r="A523" t="str">
            <v>Набор кухонных принадлежностей 5 предметов</v>
          </cell>
          <cell r="B523" t="str">
            <v>п68</v>
          </cell>
          <cell r="C523" t="str">
            <v>Прочее</v>
          </cell>
          <cell r="F523">
            <v>0</v>
          </cell>
        </row>
        <row r="524">
          <cell r="A524" t="str">
            <v>Набор ножей кухонных 3 штук</v>
          </cell>
          <cell r="B524" t="str">
            <v>п69</v>
          </cell>
          <cell r="C524" t="str">
            <v>Прочее</v>
          </cell>
          <cell r="F524">
            <v>0</v>
          </cell>
        </row>
        <row r="525">
          <cell r="A525" t="str">
            <v>Нож для чистки картофеля</v>
          </cell>
          <cell r="B525" t="str">
            <v>п70</v>
          </cell>
          <cell r="C525" t="str">
            <v>Прочее</v>
          </cell>
          <cell r="F525">
            <v>0</v>
          </cell>
        </row>
        <row r="526">
          <cell r="A526" t="str">
            <v>Нож консервный</v>
          </cell>
          <cell r="B526" t="str">
            <v>п71</v>
          </cell>
          <cell r="C526" t="str">
            <v>Прочее</v>
          </cell>
          <cell r="F526">
            <v>0</v>
          </cell>
        </row>
        <row r="527">
          <cell r="A527" t="str">
            <v>Нож столовый</v>
          </cell>
          <cell r="B527" t="str">
            <v>п72</v>
          </cell>
          <cell r="C527" t="str">
            <v>Прочее</v>
          </cell>
          <cell r="F527">
            <v>0</v>
          </cell>
        </row>
        <row r="528">
          <cell r="A528" t="str">
            <v>Овощерезка</v>
          </cell>
          <cell r="B528" t="str">
            <v>п73</v>
          </cell>
          <cell r="C528" t="str">
            <v>Прочее</v>
          </cell>
          <cell r="F528">
            <v>0</v>
          </cell>
        </row>
        <row r="529">
          <cell r="A529" t="str">
            <v>Поднос</v>
          </cell>
          <cell r="B529" t="str">
            <v>п74</v>
          </cell>
          <cell r="C529" t="str">
            <v>Прочее</v>
          </cell>
          <cell r="F529">
            <v>0</v>
          </cell>
        </row>
        <row r="530">
          <cell r="A530" t="str">
            <v>Подставка под горячее</v>
          </cell>
          <cell r="B530" t="str">
            <v>п75</v>
          </cell>
          <cell r="C530" t="str">
            <v>Прочее</v>
          </cell>
          <cell r="F530">
            <v>0</v>
          </cell>
        </row>
        <row r="531">
          <cell r="A531" t="str">
            <v>Пресс для чеснока</v>
          </cell>
          <cell r="B531" t="str">
            <v>п76</v>
          </cell>
          <cell r="C531" t="str">
            <v>Прочее</v>
          </cell>
          <cell r="F531">
            <v>0</v>
          </cell>
        </row>
        <row r="532">
          <cell r="A532" t="str">
            <v>Салфетка под приборы</v>
          </cell>
          <cell r="B532" t="str">
            <v>п77</v>
          </cell>
          <cell r="C532" t="str">
            <v>Прочее</v>
          </cell>
          <cell r="F532">
            <v>0</v>
          </cell>
        </row>
        <row r="533">
          <cell r="A533" t="str">
            <v>Сервиз столовый 18 предметов</v>
          </cell>
          <cell r="B533" t="str">
            <v>п78</v>
          </cell>
          <cell r="C533" t="str">
            <v>Прочее</v>
          </cell>
          <cell r="F533">
            <v>0</v>
          </cell>
        </row>
        <row r="534">
          <cell r="A534" t="str">
            <v>Сито для муки</v>
          </cell>
          <cell r="B534" t="str">
            <v>п79</v>
          </cell>
          <cell r="C534" t="str">
            <v>Прочее</v>
          </cell>
          <cell r="F534">
            <v>0</v>
          </cell>
        </row>
        <row r="535">
          <cell r="A535" t="str">
            <v>Скалка деревянная</v>
          </cell>
          <cell r="B535" t="str">
            <v>п80</v>
          </cell>
          <cell r="C535" t="str">
            <v>Прочее</v>
          </cell>
          <cell r="F535">
            <v>0</v>
          </cell>
        </row>
        <row r="536">
          <cell r="A536" t="str">
            <v>Сковорода</v>
          </cell>
          <cell r="B536" t="str">
            <v>п81</v>
          </cell>
          <cell r="C536" t="str">
            <v>Прочее</v>
          </cell>
          <cell r="F536">
            <v>0</v>
          </cell>
        </row>
        <row r="537">
          <cell r="A537" t="str">
            <v>Солонка/перечница</v>
          </cell>
          <cell r="B537" t="str">
            <v>п82</v>
          </cell>
          <cell r="C537" t="str">
            <v>Прочее</v>
          </cell>
          <cell r="F537">
            <v>0</v>
          </cell>
        </row>
        <row r="538">
          <cell r="A538" t="str">
            <v>Сушилка сетка для посуды</v>
          </cell>
          <cell r="B538" t="str">
            <v>п83</v>
          </cell>
          <cell r="C538" t="str">
            <v>Прочее</v>
          </cell>
          <cell r="F538">
            <v>0</v>
          </cell>
        </row>
        <row r="539">
          <cell r="A539" t="str">
            <v>Тарелка большая</v>
          </cell>
          <cell r="B539" t="str">
            <v>п84</v>
          </cell>
          <cell r="C539" t="str">
            <v>Прочее</v>
          </cell>
          <cell r="F539">
            <v>0</v>
          </cell>
        </row>
        <row r="540">
          <cell r="A540" t="str">
            <v>Терка из нержавеющей стали</v>
          </cell>
          <cell r="B540" t="str">
            <v>п85</v>
          </cell>
          <cell r="C540" t="str">
            <v>Прочее</v>
          </cell>
          <cell r="F540">
            <v>0</v>
          </cell>
        </row>
        <row r="541">
          <cell r="A541" t="str">
            <v>Толкушка для картофеля</v>
          </cell>
          <cell r="B541" t="str">
            <v>п86</v>
          </cell>
          <cell r="C541" t="str">
            <v>Прочее</v>
          </cell>
          <cell r="F541">
            <v>0</v>
          </cell>
        </row>
        <row r="542">
          <cell r="A542" t="str">
            <v>Чайник заварочный</v>
          </cell>
          <cell r="B542" t="str">
            <v>п87</v>
          </cell>
          <cell r="C542" t="str">
            <v>Прочее</v>
          </cell>
          <cell r="F542">
            <v>0</v>
          </cell>
        </row>
        <row r="543">
          <cell r="A543" t="str">
            <v>Чашка чайная</v>
          </cell>
          <cell r="B543" t="str">
            <v>п88</v>
          </cell>
          <cell r="C543" t="str">
            <v>Прочее</v>
          </cell>
          <cell r="F543">
            <v>0</v>
          </cell>
        </row>
        <row r="544">
          <cell r="A544" t="str">
            <v>Аптечка</v>
          </cell>
          <cell r="B544" t="str">
            <v>п89</v>
          </cell>
          <cell r="C544" t="str">
            <v>Прочее</v>
          </cell>
          <cell r="F544">
            <v>0</v>
          </cell>
        </row>
        <row r="545">
          <cell r="A545" t="str">
            <v>Корзина для мусора</v>
          </cell>
          <cell r="B545" t="str">
            <v>п90</v>
          </cell>
          <cell r="C545" t="str">
            <v>Прочее</v>
          </cell>
          <cell r="F545">
            <v>0</v>
          </cell>
        </row>
        <row r="546">
          <cell r="A546" t="str">
            <v>Электрожарочный шкаф производственный</v>
          </cell>
          <cell r="B546" t="str">
            <v>т231</v>
          </cell>
          <cell r="C546" t="str">
            <v>Техника</v>
          </cell>
          <cell r="F546">
            <v>0</v>
          </cell>
        </row>
        <row r="547">
          <cell r="A547" t="str">
            <v>Холодильник бытовой</v>
          </cell>
          <cell r="B547" t="str">
            <v>т232</v>
          </cell>
          <cell r="C547" t="str">
            <v>Техника</v>
          </cell>
          <cell r="F547">
            <v>0</v>
          </cell>
        </row>
        <row r="548">
          <cell r="A548" t="str">
            <v>Электрическая плита 4-х комфорочная</v>
          </cell>
          <cell r="B548" t="str">
            <v>т233</v>
          </cell>
          <cell r="C548" t="str">
            <v>Техника</v>
          </cell>
          <cell r="F548">
            <v>0</v>
          </cell>
        </row>
        <row r="549">
          <cell r="A549" t="str">
            <v>Стол ученический 2-х местный со стульями регулируемые по высоте</v>
          </cell>
          <cell r="B549" t="str">
            <v>м204</v>
          </cell>
          <cell r="C549" t="str">
            <v>Мебель</v>
          </cell>
          <cell r="F549">
            <v>0</v>
          </cell>
        </row>
        <row r="550">
          <cell r="A550" t="str">
            <v>Стол для монитора</v>
          </cell>
          <cell r="B550" t="str">
            <v>м205</v>
          </cell>
          <cell r="C550" t="str">
            <v>Мебель</v>
          </cell>
          <cell r="F550">
            <v>0</v>
          </cell>
        </row>
        <row r="551">
          <cell r="A551" t="str">
            <v>ОПС для панели</v>
          </cell>
          <cell r="B551" t="str">
            <v>т234</v>
          </cell>
          <cell r="C551" t="str">
            <v>Техника</v>
          </cell>
          <cell r="F551">
            <v>0</v>
          </cell>
        </row>
        <row r="552">
          <cell r="A552" t="str">
            <v>Акустическая система настольная</v>
          </cell>
          <cell r="B552" t="str">
            <v>т235</v>
          </cell>
          <cell r="C552" t="str">
            <v>Техника</v>
          </cell>
          <cell r="F552">
            <v>0</v>
          </cell>
        </row>
        <row r="553">
          <cell r="A553" t="str">
            <v>Многофункциональное устройство</v>
          </cell>
          <cell r="B553" t="str">
            <v>т236</v>
          </cell>
          <cell r="C553" t="str">
            <v>Техника</v>
          </cell>
          <cell r="F553">
            <v>0</v>
          </cell>
        </row>
        <row r="554">
          <cell r="A554" t="str">
            <v>Сетевой фильтр</v>
          </cell>
          <cell r="B554" t="str">
            <v>т237</v>
          </cell>
          <cell r="C554" t="str">
            <v>Техника</v>
          </cell>
          <cell r="F554">
            <v>0</v>
          </cell>
        </row>
        <row r="555">
          <cell r="A555" t="str">
            <v>Программное обеспечение для интерактивного дисплея на 1 год</v>
          </cell>
          <cell r="B555" t="str">
            <v>т238</v>
          </cell>
          <cell r="C555" t="str">
            <v>Техника</v>
          </cell>
          <cell r="F555">
            <v>0</v>
          </cell>
        </row>
        <row r="556">
          <cell r="A556" t="str">
            <v>Стол преподавателя с приставкой для компьютера</v>
          </cell>
          <cell r="B556" t="str">
            <v>м205</v>
          </cell>
          <cell r="C556" t="str">
            <v>Мебель</v>
          </cell>
          <cell r="F556">
            <v>27</v>
          </cell>
        </row>
        <row r="557">
          <cell r="A557" t="str">
            <v>Кресло крутящееся на роликах с подлокотниками</v>
          </cell>
          <cell r="B557" t="str">
            <v>м206</v>
          </cell>
          <cell r="C557" t="str">
            <v>Мебель</v>
          </cell>
          <cell r="F557">
            <v>0</v>
          </cell>
        </row>
        <row r="558">
          <cell r="A558" t="str">
            <v>Стол ученический лабораторный 2-х местный</v>
          </cell>
          <cell r="B558" t="str">
            <v>м207</v>
          </cell>
          <cell r="C558" t="str">
            <v>Мебель</v>
          </cell>
          <cell r="F558">
            <v>0</v>
          </cell>
        </row>
        <row r="559">
          <cell r="A559" t="str">
            <v>Стул ученический</v>
          </cell>
          <cell r="B559" t="str">
            <v>м208</v>
          </cell>
          <cell r="C559" t="str">
            <v>Мебель</v>
          </cell>
          <cell r="F559">
            <v>0</v>
          </cell>
        </row>
        <row r="560">
          <cell r="A560" t="str">
            <v>Стол демонстрационный</v>
          </cell>
          <cell r="B560" t="str">
            <v>м209</v>
          </cell>
          <cell r="C560" t="str">
            <v>Мебель</v>
          </cell>
          <cell r="F560">
            <v>0</v>
          </cell>
        </row>
        <row r="561">
          <cell r="A561" t="str">
            <v>Шкаф для учебно-наглядных пособий с открытыми и закрытыми полками</v>
          </cell>
          <cell r="B561" t="str">
            <v>м210</v>
          </cell>
          <cell r="C561" t="str">
            <v>Мебель</v>
          </cell>
          <cell r="F561">
            <v>0</v>
          </cell>
        </row>
        <row r="562">
          <cell r="A562" t="str">
            <v>Доска комбинированная маркерная и меловая с расчерченной в клетку и линию поверхностью</v>
          </cell>
          <cell r="B562" t="str">
            <v>п91</v>
          </cell>
          <cell r="C562" t="str">
            <v>Прочее</v>
          </cell>
          <cell r="F562">
            <v>0</v>
          </cell>
        </row>
        <row r="563">
          <cell r="A563" t="str">
            <v>Набор сюжетных картин для развития речи</v>
          </cell>
          <cell r="B563" t="str">
            <v>д13</v>
          </cell>
          <cell r="C563" t="str">
            <v>Дидактика</v>
          </cell>
          <cell r="F563">
            <v>0</v>
          </cell>
        </row>
        <row r="564">
          <cell r="A564" t="str">
            <v>Набор предметных картинок (животные, растения, транспорт, фрукты, овощи, мебель, одежда)</v>
          </cell>
          <cell r="B564" t="str">
            <v>д14</v>
          </cell>
          <cell r="C564" t="str">
            <v>Дидактика</v>
          </cell>
          <cell r="F564">
            <v>0</v>
          </cell>
        </row>
        <row r="565">
          <cell r="A565" t="str">
            <v>Постеры тематические по темам начальной школы</v>
          </cell>
          <cell r="B565" t="str">
            <v>д15</v>
          </cell>
          <cell r="C565" t="str">
            <v>Дидактика</v>
          </cell>
          <cell r="F565">
            <v>0</v>
          </cell>
        </row>
        <row r="566">
          <cell r="A566" t="str">
            <v>Лента измерительная 1 метр</v>
          </cell>
          <cell r="B566" t="str">
            <v>п92</v>
          </cell>
          <cell r="C566" t="str">
            <v>Прочее</v>
          </cell>
          <cell r="F566">
            <v>0</v>
          </cell>
        </row>
        <row r="567">
          <cell r="A567" t="str">
            <v>Модель демонстрационная Единицы объема</v>
          </cell>
          <cell r="B567" t="str">
            <v>д16</v>
          </cell>
          <cell r="C567" t="str">
            <v>Дидактика</v>
          </cell>
          <cell r="F567">
            <v>0</v>
          </cell>
        </row>
        <row r="568">
          <cell r="A568" t="str">
            <v>Набор геометрических фигур и разверток демонстрационный</v>
          </cell>
          <cell r="B568" t="str">
            <v>д17</v>
          </cell>
          <cell r="C568" t="str">
            <v>Дидактика</v>
          </cell>
          <cell r="F568">
            <v>0</v>
          </cell>
        </row>
        <row r="569">
          <cell r="A569" t="str">
            <v>Набор геометрических фигур раздаточный</v>
          </cell>
          <cell r="B569" t="str">
            <v>д18</v>
          </cell>
          <cell r="C569" t="str">
            <v>Дидактика</v>
          </cell>
          <cell r="F569">
            <v>0</v>
          </cell>
        </row>
        <row r="570">
          <cell r="A570" t="str">
            <v>Набор чертежных инструментов для классной доски из 5 предметов</v>
          </cell>
          <cell r="B570" t="str">
            <v>д19</v>
          </cell>
          <cell r="C570" t="str">
            <v>Дидактика</v>
          </cell>
          <cell r="F570">
            <v>0</v>
          </cell>
        </row>
        <row r="571">
          <cell r="A571" t="str">
            <v>Набор цифр и знаков магнитный демонстрационный</v>
          </cell>
          <cell r="B571" t="str">
            <v>д20</v>
          </cell>
          <cell r="C571" t="str">
            <v>Дидактика</v>
          </cell>
          <cell r="F571">
            <v>0</v>
          </cell>
        </row>
        <row r="572">
          <cell r="A572" t="str">
            <v>Набор "Опорные таблицы по математике 1-4 класс", на рус.яз. или на каз.яз., формат А3, в комплекте 32 шт.</v>
          </cell>
          <cell r="B572" t="str">
            <v>д21</v>
          </cell>
          <cell r="C572" t="str">
            <v>Дидактика</v>
          </cell>
          <cell r="F572">
            <v>0</v>
          </cell>
        </row>
        <row r="573">
          <cell r="A573" t="str">
            <v>Пособие раздаточное для обучения сложению и вычитанию в пределах 10 и 20</v>
          </cell>
          <cell r="B573" t="str">
            <v>д22</v>
          </cell>
          <cell r="C573" t="str">
            <v>Дидактика</v>
          </cell>
          <cell r="F573">
            <v>0</v>
          </cell>
        </row>
        <row r="574">
          <cell r="A574" t="str">
            <v>Пособие раздаточное Доли, Дроби, Части целого</v>
          </cell>
          <cell r="B574" t="str">
            <v>д23</v>
          </cell>
          <cell r="C574" t="str">
            <v>Дидактика</v>
          </cell>
          <cell r="F574">
            <v>0</v>
          </cell>
        </row>
        <row r="575">
          <cell r="A575" t="str">
            <v>Набор демонстрационный для обучения сложению и вычитанию в пределах 100, умножению, делению, работе с долями и дробями</v>
          </cell>
          <cell r="B575" t="str">
            <v>д24</v>
          </cell>
          <cell r="C575" t="str">
            <v>Дидактика</v>
          </cell>
          <cell r="F575">
            <v>0</v>
          </cell>
        </row>
        <row r="576">
          <cell r="A576" t="str">
            <v>Часы с циферблатом демонстрационные</v>
          </cell>
          <cell r="B576" t="str">
            <v>д25</v>
          </cell>
          <cell r="C576" t="str">
            <v>Дидактика</v>
          </cell>
          <cell r="F576">
            <v>0</v>
          </cell>
        </row>
        <row r="577">
          <cell r="A577" t="str">
            <v>Часы с циферблатом для учащихся</v>
          </cell>
          <cell r="B577" t="str">
            <v>п92</v>
          </cell>
          <cell r="C577" t="str">
            <v>Прочее</v>
          </cell>
          <cell r="F577">
            <v>0</v>
          </cell>
        </row>
        <row r="578">
          <cell r="A578" t="str">
            <v>Касса букв на казахском языке (74 х 56 см)</v>
          </cell>
          <cell r="B578" t="str">
            <v>д26</v>
          </cell>
          <cell r="C578" t="str">
            <v>Дидактика</v>
          </cell>
          <cell r="F578">
            <v>0</v>
          </cell>
        </row>
        <row r="579">
          <cell r="A579" t="str">
            <v>Папка-комплект "Алфавит на казахском языке" (ф.А4, 42 шт.)</v>
          </cell>
          <cell r="B579" t="str">
            <v>д27</v>
          </cell>
          <cell r="C579" t="str">
            <v>Дидактика</v>
          </cell>
          <cell r="F579">
            <v>0</v>
          </cell>
        </row>
        <row r="580">
          <cell r="A580" t="str">
            <v>Папка-комплект "Астана - арман қала" (ф.А4, 20 шт., на каз.и на рус.яз., глянц.)</v>
          </cell>
          <cell r="B580" t="str">
            <v>д28</v>
          </cell>
          <cell r="C580" t="str">
            <v>Дидактика</v>
          </cell>
          <cell r="F580">
            <v>0</v>
          </cell>
        </row>
        <row r="581">
          <cell r="A581" t="str">
            <v>Достопримечательности Алматы, А4 -20 шт на рус.яз</v>
          </cell>
          <cell r="B581" t="str">
            <v>д29</v>
          </cell>
          <cell r="C581" t="str">
            <v>Дидактика</v>
          </cell>
          <cell r="F581">
            <v>0</v>
          </cell>
        </row>
        <row r="582">
          <cell r="A582" t="str">
            <v>Папка-комплект "Әріптер жинағы" (ф. А 5, 42 шт., каз.яз., мелов.глянц.)</v>
          </cell>
          <cell r="B582" t="str">
            <v>д30</v>
          </cell>
          <cell r="C582" t="str">
            <v>Дидактика</v>
          </cell>
          <cell r="F582">
            <v>0</v>
          </cell>
        </row>
        <row r="583">
          <cell r="A583" t="str">
            <v>Папка-комплект "Дене-шынықтыру ойындары" (ф.А4, 8 шт., на каз.яз.)</v>
          </cell>
          <cell r="B583" t="str">
            <v>д31</v>
          </cell>
          <cell r="C583" t="str">
            <v>Дидактика</v>
          </cell>
          <cell r="F583">
            <v>0</v>
          </cell>
        </row>
        <row r="584">
          <cell r="A584" t="str">
            <v>Папка-комплект "Жолда жүру ережелері" (ф.А4, 10 шт., на каз.яз.)</v>
          </cell>
          <cell r="B584" t="str">
            <v>д32</v>
          </cell>
          <cell r="C584" t="str">
            <v>Дидактика</v>
          </cell>
          <cell r="F584">
            <v>0</v>
          </cell>
        </row>
        <row r="585">
          <cell r="A585" t="str">
            <v>Национальные игры, Қазақ халқының ұлттық ойындары А4- 8шт</v>
          </cell>
          <cell r="B585" t="str">
            <v>д33</v>
          </cell>
          <cell r="C585" t="str">
            <v>Дидактика</v>
          </cell>
          <cell r="F585">
            <v>0</v>
          </cell>
        </row>
        <row r="586">
          <cell r="A586" t="str">
            <v>плакаты Қазақ тілі -1 класс, 60х42 см (фотобумага), (в комплекте 18 шт)</v>
          </cell>
          <cell r="B586" t="str">
            <v>д34</v>
          </cell>
          <cell r="C586" t="str">
            <v>Дидактика</v>
          </cell>
          <cell r="F586">
            <v>0</v>
          </cell>
        </row>
        <row r="587">
          <cell r="A587" t="str">
            <v>Папка-комплект "Қазақ халкының ұлттық аспаптары" (ф.А4, 19 шт.)</v>
          </cell>
          <cell r="B587" t="str">
            <v>д35</v>
          </cell>
          <cell r="C587" t="str">
            <v>Дидактика</v>
          </cell>
          <cell r="F587">
            <v>0</v>
          </cell>
        </row>
        <row r="588">
          <cell r="A588" t="str">
            <v>Папка-комплект "Қазақ ыдыстары" (ф.А4, 17 шт.)</v>
          </cell>
          <cell r="B588" t="str">
            <v>д36</v>
          </cell>
          <cell r="C588" t="str">
            <v>Дидактика</v>
          </cell>
          <cell r="F588">
            <v>0</v>
          </cell>
        </row>
        <row r="589">
          <cell r="A589" t="str">
            <v>Жануя. Семья А5, 9 шт каз/рус</v>
          </cell>
          <cell r="B589" t="str">
            <v>д37</v>
          </cell>
          <cell r="C589" t="str">
            <v>Дидактика</v>
          </cell>
          <cell r="F589">
            <v>0</v>
          </cell>
        </row>
        <row r="590">
          <cell r="A590" t="str">
            <v>Безопасность при пожаре, А4 6 шт на рус.яз</v>
          </cell>
          <cell r="B590" t="str">
            <v>д38</v>
          </cell>
          <cell r="C590" t="str">
            <v>Дидактика</v>
          </cell>
          <cell r="F590">
            <v>0</v>
          </cell>
        </row>
        <row r="591">
          <cell r="A591" t="str">
            <v>плакат Алфавит, 60х90 см на каз.яз</v>
          </cell>
          <cell r="B591" t="str">
            <v>д39</v>
          </cell>
          <cell r="C591" t="str">
            <v>Дидактика</v>
          </cell>
          <cell r="F591">
            <v>0</v>
          </cell>
        </row>
        <row r="592">
          <cell r="A592" t="str">
            <v>Плакат "Жазу үлгісі", А1 (фотобумага)</v>
          </cell>
          <cell r="B592" t="str">
            <v>д40</v>
          </cell>
          <cell r="C592" t="str">
            <v>Дидактика</v>
          </cell>
          <cell r="F592">
            <v>0</v>
          </cell>
        </row>
        <row r="593">
          <cell r="A593" t="str">
            <v>плакат "Учимся считать, 60х90 см" (каз.яз, рус.яз) (фотобумага), (в комплекте 7 шт)</v>
          </cell>
          <cell r="B593" t="str">
            <v>д41</v>
          </cell>
          <cell r="C593" t="str">
            <v>Дидактика</v>
          </cell>
          <cell r="F593">
            <v>0</v>
          </cell>
        </row>
        <row r="594">
          <cell r="A594" t="str">
            <v>Алфавит казахский. Әліппес картинками, 42х60, 42 шт</v>
          </cell>
          <cell r="B594" t="str">
            <v>д42</v>
          </cell>
          <cell r="C594" t="str">
            <v>Дидактика</v>
          </cell>
          <cell r="F594">
            <v>0</v>
          </cell>
        </row>
        <row r="595">
          <cell r="A595" t="str">
            <v>таблицы Дуниетану 3 сынып, 60х90 см (фотобумага), (в комплекте 10шт)</v>
          </cell>
          <cell r="B595" t="str">
            <v>д43</v>
          </cell>
          <cell r="C595" t="str">
            <v>Дидактика</v>
          </cell>
          <cell r="F595">
            <v>0</v>
          </cell>
        </row>
        <row r="596">
          <cell r="A596" t="str">
            <v>Игра и физкультура, Дене-шынықтыру ойындары. А4-8 шт</v>
          </cell>
          <cell r="B596" t="str">
            <v>д44</v>
          </cell>
          <cell r="C596" t="str">
            <v>Дидактика</v>
          </cell>
          <cell r="F596">
            <v>0</v>
          </cell>
        </row>
        <row r="597">
          <cell r="A597" t="str">
            <v>таблицы Дуниетану 1-2 сынып, 60х90 см (фотобумага), (в комплекте 10шт)</v>
          </cell>
          <cell r="B597" t="str">
            <v>д45</v>
          </cell>
          <cell r="C597" t="str">
            <v>Дидактика</v>
          </cell>
          <cell r="F597">
            <v>0</v>
          </cell>
        </row>
        <row r="598">
          <cell r="A598" t="str">
            <v>таблицы Дуниетану 4 сынып, 60х90 см (фотобумага), (в комплекте 8 шт)</v>
          </cell>
          <cell r="B598" t="str">
            <v>д46</v>
          </cell>
          <cell r="C598" t="str">
            <v>Дидактика</v>
          </cell>
          <cell r="F598">
            <v>0</v>
          </cell>
        </row>
        <row r="599">
          <cell r="A599" t="str">
            <v>Еңбекке баулу. Труды 1-2 класс, 42х60 см, в комплекте 12 шт</v>
          </cell>
          <cell r="B599" t="str">
            <v>д47</v>
          </cell>
          <cell r="C599" t="str">
            <v>Дидактика</v>
          </cell>
          <cell r="F599">
            <v>0</v>
          </cell>
        </row>
        <row r="600">
          <cell r="A600" t="str">
            <v>Еңбекке баулу. Труды 3-4 класс, 42х60 см, в комплекте 14 шт</v>
          </cell>
          <cell r="B600" t="str">
            <v>д48</v>
          </cell>
          <cell r="C600" t="str">
            <v>Дидактика</v>
          </cell>
          <cell r="F600">
            <v>0</v>
          </cell>
        </row>
        <row r="601">
          <cell r="A601" t="str">
            <v>Ертегілер-сказки 1-2 сынып, 60х42 см, в комплекте 19 шт</v>
          </cell>
          <cell r="B601" t="str">
            <v>д49</v>
          </cell>
          <cell r="C601" t="str">
            <v>Дидактика</v>
          </cell>
          <cell r="F601">
            <v>0</v>
          </cell>
        </row>
        <row r="602">
          <cell r="A602" t="str">
            <v>Ертегілер- сказки 3 сынып, 60х42 см, в комплекте 14 шт</v>
          </cell>
          <cell r="B602" t="str">
            <v>д50</v>
          </cell>
          <cell r="C602" t="str">
            <v>Дидактика</v>
          </cell>
          <cell r="F602">
            <v>0</v>
          </cell>
        </row>
        <row r="603">
          <cell r="A603" t="str">
            <v>Ертегілер -сказки 4 сынып, 60х42 см, в комплекте 21 шт</v>
          </cell>
          <cell r="B603" t="str">
            <v>д51</v>
          </cell>
          <cell r="C603" t="str">
            <v>Дидактика</v>
          </cell>
          <cell r="F603">
            <v>0</v>
          </cell>
        </row>
        <row r="604">
          <cell r="A604" t="str">
            <v>плакаты Қазақ тілі -2 класс, 60х42 см (фотобумага), (в комплекте 18 шт)</v>
          </cell>
          <cell r="B604" t="str">
            <v>д52</v>
          </cell>
          <cell r="C604" t="str">
            <v>Дидактика</v>
          </cell>
          <cell r="F604">
            <v>0</v>
          </cell>
        </row>
        <row r="605">
          <cell r="A605" t="str">
            <v>плакаты Қазақ тілі -3 класс, 60х42 см (фотобумага), (в комплекте 20 шт)</v>
          </cell>
          <cell r="B605" t="str">
            <v>д53</v>
          </cell>
          <cell r="C605" t="str">
            <v>Дидактика</v>
          </cell>
          <cell r="F605">
            <v>0</v>
          </cell>
        </row>
        <row r="606">
          <cell r="A606" t="str">
            <v>плакаты Қазақ тілі -4 класс, 60х42 см (фотобумага), (в комплекте 20 шт)</v>
          </cell>
          <cell r="B606" t="str">
            <v>д54</v>
          </cell>
          <cell r="C606" t="str">
            <v>Дидактика</v>
          </cell>
          <cell r="F606">
            <v>0</v>
          </cell>
        </row>
        <row r="607">
          <cell r="A607" t="str">
            <v>плакаты Казахский язык 1 класс, 60х42 см (фотобумага), (в комплекте 19 шт)</v>
          </cell>
          <cell r="B607" t="str">
            <v>д55</v>
          </cell>
          <cell r="C607" t="str">
            <v>Дидактика</v>
          </cell>
          <cell r="F607">
            <v>0</v>
          </cell>
        </row>
        <row r="608">
          <cell r="A608" t="str">
            <v>плакаты Казахский язык 2 класс, 60х42 см (фотобумага), (в комплекте 25 шт)</v>
          </cell>
          <cell r="B608" t="str">
            <v>д56</v>
          </cell>
          <cell r="C608" t="str">
            <v>Дидактика</v>
          </cell>
          <cell r="F608">
            <v>0</v>
          </cell>
        </row>
        <row r="609">
          <cell r="A609" t="str">
            <v>плакаты Казахский язык 3 класс, 60х42 см (фотобумага), (в комплекте 27 шт)</v>
          </cell>
          <cell r="B609" t="str">
            <v>д57</v>
          </cell>
          <cell r="C609" t="str">
            <v>Дидактика</v>
          </cell>
          <cell r="F609">
            <v>0</v>
          </cell>
        </row>
        <row r="610">
          <cell r="A610" t="str">
            <v>плакаты Казахский язык 4 класс, 60х42 см (фотобумага), (в комплекте 29 шт)</v>
          </cell>
          <cell r="B610" t="str">
            <v>д58</v>
          </cell>
          <cell r="C610" t="str">
            <v>Дидактика</v>
          </cell>
          <cell r="F610">
            <v>0</v>
          </cell>
        </row>
        <row r="611">
          <cell r="A611" t="str">
            <v>плакаты "Математика 1 класс", 68х98 см (картон), (в комплекте 12 шт)</v>
          </cell>
          <cell r="B611" t="str">
            <v>д59</v>
          </cell>
          <cell r="C611" t="str">
            <v>Дидактика</v>
          </cell>
          <cell r="F611">
            <v>0</v>
          </cell>
        </row>
        <row r="612">
          <cell r="A612" t="str">
            <v>плакаты "Математика (каз.яз) 1-2 классы", 40х60 см (фотобумага), в комплекте 26 шт</v>
          </cell>
          <cell r="B612" t="str">
            <v>д60</v>
          </cell>
          <cell r="C612" t="str">
            <v>Дидактика</v>
          </cell>
          <cell r="F612">
            <v>0</v>
          </cell>
        </row>
        <row r="613">
          <cell r="A613" t="str">
            <v>Словарная работа на 2х языках. Сөздік жұмысы, 42х60 см, в комплекте 23 шт</v>
          </cell>
          <cell r="B613" t="str">
            <v>д61</v>
          </cell>
          <cell r="C613" t="str">
            <v>Дидактика</v>
          </cell>
          <cell r="F613">
            <v>0</v>
          </cell>
        </row>
        <row r="614">
          <cell r="A614" t="str">
            <v>Традиционные игры, А4, 10 шт</v>
          </cell>
          <cell r="B614" t="str">
            <v>д62</v>
          </cell>
          <cell r="C614" t="str">
            <v>Дидактика</v>
          </cell>
          <cell r="F614">
            <v>0</v>
          </cell>
        </row>
        <row r="615">
          <cell r="A615" t="str">
            <v>Тематические картинки для нач. школы - бастауыш сыныптарға арналған сюжетті, А4 11 шт</v>
          </cell>
          <cell r="B615" t="str">
            <v>д63</v>
          </cell>
          <cell r="C615" t="str">
            <v>Дидактика</v>
          </cell>
          <cell r="F615">
            <v>0</v>
          </cell>
        </row>
        <row r="616">
          <cell r="A616" t="str">
            <v>Стенд Правила техники безопасности</v>
          </cell>
          <cell r="B616" t="str">
            <v>д64</v>
          </cell>
          <cell r="C616" t="str">
            <v>Дидактика</v>
          </cell>
          <cell r="F616">
            <v>0</v>
          </cell>
        </row>
        <row r="617">
          <cell r="A617" t="str">
            <v>Аптечка с принадлежностями</v>
          </cell>
          <cell r="B617" t="str">
            <v>д65</v>
          </cell>
          <cell r="C617" t="str">
            <v>Дидактика</v>
          </cell>
          <cell r="F617">
            <v>0</v>
          </cell>
        </row>
        <row r="618">
          <cell r="A618" t="str">
            <v>Бумага А4</v>
          </cell>
          <cell r="B618" t="str">
            <v>д66</v>
          </cell>
          <cell r="C618" t="str">
            <v>Дидактика</v>
          </cell>
          <cell r="F618">
            <v>0</v>
          </cell>
        </row>
        <row r="619">
          <cell r="A619" t="str">
            <v>Губка для маркерной доски</v>
          </cell>
          <cell r="B619" t="str">
            <v>д67</v>
          </cell>
          <cell r="C619" t="str">
            <v>Дидактика</v>
          </cell>
          <cell r="F619">
            <v>0</v>
          </cell>
        </row>
        <row r="620">
          <cell r="A620" t="str">
            <v>Магниты для маркерной доски</v>
          </cell>
          <cell r="B620" t="str">
            <v>д68</v>
          </cell>
          <cell r="C620" t="str">
            <v>Дидактика</v>
          </cell>
          <cell r="F620">
            <v>0</v>
          </cell>
        </row>
        <row r="621">
          <cell r="A621" t="str">
            <v>Маркер для маркерной доски</v>
          </cell>
          <cell r="B621" t="str">
            <v>д69</v>
          </cell>
          <cell r="C621" t="str">
            <v>Дидактика</v>
          </cell>
          <cell r="F621">
            <v>0</v>
          </cell>
        </row>
        <row r="622">
          <cell r="A622" t="str">
            <v>Мел белый школьный</v>
          </cell>
          <cell r="B622" t="str">
            <v>д70</v>
          </cell>
          <cell r="C622" t="str">
            <v>Дидактика</v>
          </cell>
          <cell r="F622">
            <v>0</v>
          </cell>
        </row>
        <row r="623">
          <cell r="A623" t="str">
            <v>Дозатор жидкого мыла</v>
          </cell>
          <cell r="B623" t="str">
            <v>п93</v>
          </cell>
          <cell r="C623" t="str">
            <v>Прочее</v>
          </cell>
          <cell r="F623">
            <v>0</v>
          </cell>
        </row>
        <row r="624">
          <cell r="A624" t="str">
            <v>Держатель бумажных полотенец</v>
          </cell>
          <cell r="B624" t="str">
            <v>п94</v>
          </cell>
          <cell r="C624" t="str">
            <v>Прочее</v>
          </cell>
          <cell r="F624">
            <v>0</v>
          </cell>
        </row>
        <row r="625">
          <cell r="A625" t="str">
            <v>Электросушилка для рук</v>
          </cell>
          <cell r="B625" t="str">
            <v>п95</v>
          </cell>
          <cell r="C625" t="str">
            <v>Прочее</v>
          </cell>
          <cell r="F625">
            <v>0</v>
          </cell>
        </row>
        <row r="626">
          <cell r="A626" t="str">
            <v>Мусорное ведро</v>
          </cell>
          <cell r="B626" t="str">
            <v>п96</v>
          </cell>
          <cell r="C626" t="str">
            <v>Прочее</v>
          </cell>
          <cell r="F626">
            <v>0</v>
          </cell>
        </row>
        <row r="627">
          <cell r="A627" t="str">
            <v>Маршрутизатор</v>
          </cell>
          <cell r="B627" t="str">
            <v>т239</v>
          </cell>
          <cell r="C627" t="str">
            <v>Техника</v>
          </cell>
          <cell r="E627" t="str">
            <v>шт</v>
          </cell>
          <cell r="F627">
            <v>0</v>
          </cell>
        </row>
        <row r="628">
          <cell r="A628" t="str">
            <v>Колонка портативная</v>
          </cell>
          <cell r="B628" t="str">
            <v>т240</v>
          </cell>
          <cell r="C628" t="str">
            <v>Техника</v>
          </cell>
          <cell r="E628" t="str">
            <v>шт</v>
          </cell>
          <cell r="F628">
            <v>0</v>
          </cell>
        </row>
        <row r="629">
          <cell r="A629" t="str">
            <v>Кресло полумягкое с эффектом раскачивания</v>
          </cell>
          <cell r="B629" t="str">
            <v>м211</v>
          </cell>
          <cell r="C629" t="str">
            <v>Мебель</v>
          </cell>
          <cell r="E629" t="str">
            <v>шт</v>
          </cell>
          <cell r="F629">
            <v>0</v>
          </cell>
        </row>
        <row r="630">
          <cell r="A630" t="str">
            <v>Стол журнальный компактный</v>
          </cell>
          <cell r="B630" t="str">
            <v>м212</v>
          </cell>
          <cell r="C630" t="str">
            <v>Мебель</v>
          </cell>
          <cell r="E630" t="str">
            <v>шт</v>
          </cell>
          <cell r="F630">
            <v>0</v>
          </cell>
        </row>
        <row r="631">
          <cell r="A631" t="str">
            <v xml:space="preserve">Стол </v>
          </cell>
          <cell r="B631" t="str">
            <v>м213</v>
          </cell>
          <cell r="C631" t="str">
            <v>Мебель</v>
          </cell>
          <cell r="E631" t="str">
            <v>шт</v>
          </cell>
          <cell r="F631">
            <v>0</v>
          </cell>
        </row>
        <row r="632">
          <cell r="A632" t="str">
            <v xml:space="preserve">Стул </v>
          </cell>
          <cell r="B632" t="str">
            <v>м214</v>
          </cell>
          <cell r="C632" t="str">
            <v>Мебель</v>
          </cell>
          <cell r="D632" t="str">
            <v>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v>
          </cell>
          <cell r="E632" t="str">
            <v>шт</v>
          </cell>
          <cell r="F632">
            <v>0</v>
          </cell>
        </row>
        <row r="633">
          <cell r="A633" t="str">
            <v>Пуф мягкий</v>
          </cell>
          <cell r="B633" t="str">
            <v>м215</v>
          </cell>
          <cell r="C633" t="str">
            <v>Мебель</v>
          </cell>
          <cell r="E633" t="str">
            <v>шт</v>
          </cell>
          <cell r="F633">
            <v>0</v>
          </cell>
        </row>
        <row r="634">
          <cell r="A634" t="str">
            <v>Шкаф полуоткрытый</v>
          </cell>
          <cell r="B634" t="str">
            <v>м216</v>
          </cell>
          <cell r="C634" t="str">
            <v>Мебель</v>
          </cell>
          <cell r="E634" t="str">
            <v>компл</v>
          </cell>
          <cell r="F634">
            <v>0</v>
          </cell>
        </row>
        <row r="635">
          <cell r="A635" t="str">
            <v>Доска магнитная/пробковая</v>
          </cell>
          <cell r="B635" t="str">
            <v>п97</v>
          </cell>
          <cell r="C635" t="str">
            <v>Прочее</v>
          </cell>
          <cell r="E635" t="str">
            <v>шт</v>
          </cell>
          <cell r="F635">
            <v>0</v>
          </cell>
        </row>
        <row r="636">
          <cell r="A636" t="str">
            <v>Игра или игрушка для развития игровой деятельности</v>
          </cell>
          <cell r="B636" t="str">
            <v>д71</v>
          </cell>
          <cell r="C636" t="str">
            <v>Дидактика</v>
          </cell>
          <cell r="E636" t="str">
            <v>шт</v>
          </cell>
          <cell r="F636">
            <v>0</v>
          </cell>
        </row>
        <row r="637">
          <cell r="A637" t="str">
            <v>Игра или игрушка для развития игровой деятельности тип 1</v>
          </cell>
          <cell r="B637" t="str">
            <v>д72</v>
          </cell>
          <cell r="C637" t="str">
            <v>Дидактика</v>
          </cell>
          <cell r="E637" t="str">
            <v>шт</v>
          </cell>
          <cell r="F637">
            <v>0</v>
          </cell>
        </row>
        <row r="638">
          <cell r="A638" t="str">
            <v>Игра или игрушка для развития игровой деятельности тип 2</v>
          </cell>
          <cell r="B638" t="str">
            <v>д73</v>
          </cell>
          <cell r="C638" t="str">
            <v>Дидактика</v>
          </cell>
          <cell r="E638" t="str">
            <v>шт</v>
          </cell>
          <cell r="F638">
            <v>0</v>
          </cell>
        </row>
        <row r="639">
          <cell r="A639" t="str">
            <v>Игра или игрушка для развития игровой деятельности тип 3</v>
          </cell>
          <cell r="B639" t="str">
            <v>д74</v>
          </cell>
          <cell r="C639" t="str">
            <v>Дидактика</v>
          </cell>
          <cell r="E639" t="str">
            <v>шт</v>
          </cell>
          <cell r="F639">
            <v>0</v>
          </cell>
        </row>
        <row r="640">
          <cell r="A640" t="str">
            <v>Комплект для психолого-педагогического обследования детей с нарушением интеллекта</v>
          </cell>
          <cell r="B640" t="str">
            <v>д75</v>
          </cell>
          <cell r="C640" t="str">
            <v>Дидактика</v>
          </cell>
          <cell r="E640" t="str">
            <v>комплект</v>
          </cell>
          <cell r="F640">
            <v>0</v>
          </cell>
        </row>
        <row r="641">
          <cell r="A641" t="str">
            <v>Комплект «Математика»</v>
          </cell>
          <cell r="B641" t="str">
            <v>д76</v>
          </cell>
          <cell r="C641" t="str">
            <v>Дидактика</v>
          </cell>
          <cell r="E641" t="str">
            <v>комплект</v>
          </cell>
          <cell r="F641">
            <v>0</v>
          </cell>
        </row>
        <row r="642">
          <cell r="A642" t="str">
            <v>Облучатель бактерицидный настенный</v>
          </cell>
          <cell r="B642" t="str">
            <v>т239</v>
          </cell>
          <cell r="C642" t="str">
            <v>Техника</v>
          </cell>
          <cell r="E642" t="str">
            <v>шт</v>
          </cell>
          <cell r="F642">
            <v>0</v>
          </cell>
        </row>
        <row r="643">
          <cell r="A643" t="str">
            <v>Светильник-релаксант разноцветный настольный</v>
          </cell>
          <cell r="B643" t="str">
            <v>т240</v>
          </cell>
          <cell r="C643" t="str">
            <v>Техника</v>
          </cell>
          <cell r="E643" t="str">
            <v>шт</v>
          </cell>
          <cell r="F643">
            <v>0</v>
          </cell>
        </row>
        <row r="644">
          <cell r="A644" t="str">
            <v>Ковровое покрытие напольное</v>
          </cell>
          <cell r="B644" t="str">
            <v>м217</v>
          </cell>
          <cell r="C644" t="str">
            <v>Мебель</v>
          </cell>
          <cell r="E644" t="str">
            <v>комплект</v>
          </cell>
          <cell r="F644">
            <v>0</v>
          </cell>
        </row>
        <row r="645">
          <cell r="A645" t="str">
            <v>кровать для сна двухъярусная</v>
          </cell>
          <cell r="B645" t="str">
            <v>м218</v>
          </cell>
          <cell r="C645" t="str">
            <v>Мебель</v>
          </cell>
          <cell r="F645">
            <v>0</v>
          </cell>
        </row>
        <row r="646">
          <cell r="A646" t="str">
            <v xml:space="preserve">Матрас </v>
          </cell>
          <cell r="B646" t="str">
            <v>м219</v>
          </cell>
          <cell r="C646" t="str">
            <v>Мебель</v>
          </cell>
          <cell r="F646">
            <v>0</v>
          </cell>
        </row>
        <row r="647">
          <cell r="A647" t="str">
            <v>Мягкий напольный коврик</v>
          </cell>
          <cell r="B647" t="str">
            <v>м220</v>
          </cell>
          <cell r="C647" t="str">
            <v>Мебель</v>
          </cell>
          <cell r="F647">
            <v>0</v>
          </cell>
        </row>
        <row r="648">
          <cell r="A648" t="str">
            <v>стол с тумбой</v>
          </cell>
          <cell r="B648" t="str">
            <v>м221</v>
          </cell>
          <cell r="C648" t="str">
            <v>Мебель</v>
          </cell>
          <cell r="F648">
            <v>0</v>
          </cell>
        </row>
        <row r="649">
          <cell r="A649" t="str">
            <v>Шкаф (распашной или купе)</v>
          </cell>
          <cell r="B649" t="str">
            <v>м222</v>
          </cell>
          <cell r="C649" t="str">
            <v>Мебель</v>
          </cell>
          <cell r="F649">
            <v>0</v>
          </cell>
        </row>
        <row r="650">
          <cell r="A650" t="str">
            <v>Вешалка (настенная или напольная)</v>
          </cell>
          <cell r="B650" t="str">
            <v>м223</v>
          </cell>
          <cell r="C650" t="str">
            <v>Мебель</v>
          </cell>
          <cell r="F650">
            <v>0</v>
          </cell>
        </row>
        <row r="651">
          <cell r="A651" t="str">
            <v>Обувница (калошница)</v>
          </cell>
          <cell r="B651" t="str">
            <v>м224</v>
          </cell>
          <cell r="C651" t="str">
            <v>Мебель</v>
          </cell>
          <cell r="F651">
            <v>0</v>
          </cell>
        </row>
        <row r="652">
          <cell r="A652" t="str">
            <v>Банкетка</v>
          </cell>
          <cell r="B652" t="str">
            <v>м225</v>
          </cell>
          <cell r="C652" t="str">
            <v>Мебель</v>
          </cell>
          <cell r="F652">
            <v>0</v>
          </cell>
        </row>
        <row r="653">
          <cell r="A653" t="str">
            <v>Комод или консоль</v>
          </cell>
          <cell r="B653" t="str">
            <v>м226</v>
          </cell>
          <cell r="C653" t="str">
            <v>Мебель</v>
          </cell>
          <cell r="F653">
            <v>0</v>
          </cell>
        </row>
        <row r="654">
          <cell r="A654" t="str">
            <v>Тренажер бицепс-машина F -A16</v>
          </cell>
          <cell r="B654" t="str">
            <v>д562</v>
          </cell>
          <cell r="C654" t="str">
            <v>Дидактика</v>
          </cell>
          <cell r="F654">
            <v>0</v>
          </cell>
        </row>
        <row r="655">
          <cell r="A655" t="str">
            <v>Тренажер Разгибание ног сидя F -A02</v>
          </cell>
          <cell r="B655" t="str">
            <v>д563</v>
          </cell>
          <cell r="C655" t="str">
            <v>Дидактика</v>
          </cell>
          <cell r="F655">
            <v>0</v>
          </cell>
        </row>
        <row r="656">
          <cell r="A656" t="str">
            <v xml:space="preserve">Скамья стойка для жима штанги лежа горизантальная </v>
          </cell>
          <cell r="B656" t="str">
            <v>д564</v>
          </cell>
          <cell r="C656" t="str">
            <v>Дидактика</v>
          </cell>
          <cell r="F656">
            <v>0</v>
          </cell>
        </row>
        <row r="657">
          <cell r="A657" t="str">
            <v>Блок для мышц спины (верхная тяга)</v>
          </cell>
          <cell r="B657" t="str">
            <v>д565</v>
          </cell>
          <cell r="C657" t="str">
            <v>Дидактика</v>
          </cell>
          <cell r="F657">
            <v>0</v>
          </cell>
        </row>
        <row r="658">
          <cell r="A658" t="str">
            <v xml:space="preserve">Силовая рама для приседания, Машина Смита </v>
          </cell>
          <cell r="B658" t="str">
            <v>д566</v>
          </cell>
          <cell r="C658" t="str">
            <v>Дидактика</v>
          </cell>
          <cell r="F658">
            <v>0</v>
          </cell>
        </row>
        <row r="659">
          <cell r="A659" t="str">
            <v>Тренажер Кроссовер</v>
          </cell>
          <cell r="B659" t="str">
            <v>д567</v>
          </cell>
          <cell r="C659" t="str">
            <v>Дидактика</v>
          </cell>
          <cell r="F659">
            <v>0</v>
          </cell>
        </row>
        <row r="660">
          <cell r="A660" t="str">
            <v xml:space="preserve">Беговая дорожка </v>
          </cell>
          <cell r="B660" t="str">
            <v>д568</v>
          </cell>
          <cell r="C660" t="str">
            <v>Дидактика</v>
          </cell>
          <cell r="F660">
            <v>0</v>
          </cell>
        </row>
        <row r="661">
          <cell r="A661" t="str">
            <v xml:space="preserve">Велотренажер </v>
          </cell>
          <cell r="B661" t="str">
            <v>д569</v>
          </cell>
          <cell r="C661" t="str">
            <v>Дидактика</v>
          </cell>
          <cell r="F661">
            <v>0</v>
          </cell>
        </row>
        <row r="662">
          <cell r="A662" t="str">
            <v xml:space="preserve">Тренажер Гиперэкстензия углавая </v>
          </cell>
          <cell r="B662" t="str">
            <v>д570</v>
          </cell>
          <cell r="C662" t="str">
            <v>Дидактика</v>
          </cell>
          <cell r="F662">
            <v>0</v>
          </cell>
        </row>
        <row r="663">
          <cell r="A663" t="str">
            <v xml:space="preserve">Стойка для гантелей 3х рядная </v>
          </cell>
          <cell r="B663" t="str">
            <v>д571</v>
          </cell>
          <cell r="C663" t="str">
            <v>Дидактика</v>
          </cell>
          <cell r="F663">
            <v>0</v>
          </cell>
        </row>
        <row r="664">
          <cell r="A664" t="str">
            <v>Стойка для дисков</v>
          </cell>
          <cell r="B664" t="str">
            <v>д572</v>
          </cell>
          <cell r="C664" t="str">
            <v>Дидактика</v>
          </cell>
          <cell r="F664">
            <v>0</v>
          </cell>
        </row>
        <row r="665">
          <cell r="A665" t="str">
            <v xml:space="preserve">Скамья для пресса регулируемая </v>
          </cell>
          <cell r="B665" t="str">
            <v>д573</v>
          </cell>
          <cell r="C665" t="str">
            <v>Дидактика</v>
          </cell>
          <cell r="F665">
            <v>0</v>
          </cell>
        </row>
        <row r="666">
          <cell r="A666" t="str">
            <v>Горизантальная скамья</v>
          </cell>
          <cell r="B666" t="str">
            <v>д574</v>
          </cell>
          <cell r="C666" t="str">
            <v>Дидактика</v>
          </cell>
          <cell r="F666">
            <v>0</v>
          </cell>
        </row>
        <row r="667">
          <cell r="A667" t="str">
            <v>Скамья для раздевалок без спинка 2м</v>
          </cell>
          <cell r="B667" t="str">
            <v>д575</v>
          </cell>
          <cell r="C667" t="str">
            <v>Дидактика</v>
          </cell>
          <cell r="F667">
            <v>0</v>
          </cell>
        </row>
        <row r="668">
          <cell r="A668" t="str">
            <v>Телевизор 65"</v>
          </cell>
          <cell r="B668" t="str">
            <v>т182</v>
          </cell>
          <cell r="C668" t="str">
            <v>техника</v>
          </cell>
          <cell r="F668">
            <v>0</v>
          </cell>
        </row>
        <row r="669">
          <cell r="A669" t="str">
            <v>Кабель HDMI-HDMI</v>
          </cell>
          <cell r="B669" t="str">
            <v>т181</v>
          </cell>
          <cell r="C669" t="str">
            <v>техника</v>
          </cell>
          <cell r="F669">
            <v>0</v>
          </cell>
        </row>
        <row r="670">
          <cell r="A670" t="str">
            <v>Очиститель воздуха</v>
          </cell>
          <cell r="B670" t="str">
            <v>д563</v>
          </cell>
          <cell r="C670" t="str">
            <v>дидактика</v>
          </cell>
          <cell r="F670">
            <v>0</v>
          </cell>
        </row>
        <row r="671">
          <cell r="A671" t="str">
            <v>Увлажнитель воздуха</v>
          </cell>
          <cell r="B671" t="str">
            <v>д562</v>
          </cell>
          <cell r="C671" t="str">
            <v>дидактика</v>
          </cell>
          <cell r="F671">
            <v>0</v>
          </cell>
        </row>
        <row r="672">
          <cell r="A672" t="str">
            <v>Пылесос</v>
          </cell>
          <cell r="B672" t="str">
            <v>д561</v>
          </cell>
          <cell r="C672" t="str">
            <v>дидактика</v>
          </cell>
          <cell r="F672">
            <v>0</v>
          </cell>
        </row>
        <row r="673">
          <cell r="A673" t="str">
            <v>Кровать для сна</v>
          </cell>
          <cell r="B673" t="str">
            <v>м190</v>
          </cell>
          <cell r="C673" t="str">
            <v>мебель</v>
          </cell>
          <cell r="F673">
            <v>0</v>
          </cell>
        </row>
        <row r="674">
          <cell r="A674" t="str">
            <v>Матрас</v>
          </cell>
          <cell r="B674" t="str">
            <v>д560</v>
          </cell>
          <cell r="C674" t="str">
            <v>дидактика</v>
          </cell>
          <cell r="F674">
            <v>0</v>
          </cell>
        </row>
        <row r="675">
          <cell r="A675" t="str">
            <v>Шкаф</v>
          </cell>
          <cell r="B675" t="str">
            <v>м189</v>
          </cell>
          <cell r="C675" t="str">
            <v>мебель</v>
          </cell>
          <cell r="F675">
            <v>0</v>
          </cell>
        </row>
        <row r="676">
          <cell r="A676" t="str">
            <v>Стол для компьютера с тумбочкой</v>
          </cell>
          <cell r="B676" t="str">
            <v>м188</v>
          </cell>
          <cell r="C676" t="str">
            <v>мебель</v>
          </cell>
          <cell r="F676">
            <v>0</v>
          </cell>
        </row>
        <row r="677">
          <cell r="A677" t="str">
            <v>пуфик</v>
          </cell>
          <cell r="B677" t="str">
            <v>м187</v>
          </cell>
          <cell r="C677" t="str">
            <v>мебель</v>
          </cell>
          <cell r="F677">
            <v>0</v>
          </cell>
        </row>
        <row r="678">
          <cell r="A678" t="str">
            <v>Метроном (портативный)</v>
          </cell>
          <cell r="B678" t="str">
            <v>пм217</v>
          </cell>
          <cell r="C678" t="str">
            <v>прочее муз</v>
          </cell>
          <cell r="F678">
            <v>0</v>
          </cell>
        </row>
        <row r="679">
          <cell r="A679" t="str">
            <v>Пюпитр складной (для последних штрихов перед выходом)</v>
          </cell>
          <cell r="B679" t="str">
            <v>пм216</v>
          </cell>
          <cell r="C679" t="str">
            <v>прочее муз</v>
          </cell>
          <cell r="F679">
            <v>0</v>
          </cell>
        </row>
        <row r="680">
          <cell r="A680" t="str">
            <v xml:space="preserve">Основная акустика L–R </v>
          </cell>
          <cell r="B680" t="str">
            <v>тм236</v>
          </cell>
          <cell r="C680" t="str">
            <v>Техника муз</v>
          </cell>
          <cell r="E680" t="str">
            <v xml:space="preserve">комплект </v>
          </cell>
          <cell r="F680">
            <v>0</v>
          </cell>
        </row>
        <row r="681">
          <cell r="A681" t="str">
            <v>Сабвуферы</v>
          </cell>
          <cell r="B681" t="str">
            <v>тм235</v>
          </cell>
          <cell r="C681" t="str">
            <v>Техника муз</v>
          </cell>
          <cell r="E681" t="str">
            <v xml:space="preserve">комплект </v>
          </cell>
          <cell r="F681">
            <v>0</v>
          </cell>
        </row>
        <row r="682">
          <cell r="A682" t="str">
            <v xml:space="preserve">Сценические мониторы </v>
          </cell>
          <cell r="B682" t="str">
            <v>тм234</v>
          </cell>
          <cell r="C682" t="str">
            <v>Техника муз</v>
          </cell>
          <cell r="E682" t="str">
            <v xml:space="preserve">комплект </v>
          </cell>
          <cell r="F682">
            <v>0</v>
          </cell>
        </row>
        <row r="683">
          <cell r="A683" t="str">
            <v xml:space="preserve">Студийные мониторы </v>
          </cell>
          <cell r="B683" t="str">
            <v>тм233</v>
          </cell>
          <cell r="C683" t="str">
            <v>Техника муз</v>
          </cell>
          <cell r="E683" t="str">
            <v xml:space="preserve">шт </v>
          </cell>
          <cell r="F683">
            <v>0</v>
          </cell>
        </row>
        <row r="684">
          <cell r="A684" t="str">
            <v xml:space="preserve">Усилители / процессоры </v>
          </cell>
          <cell r="B684" t="str">
            <v>тм232</v>
          </cell>
          <cell r="C684" t="str">
            <v>Техника муз</v>
          </cell>
          <cell r="E684" t="str">
            <v xml:space="preserve">комплект </v>
          </cell>
          <cell r="F684">
            <v>0</v>
          </cell>
        </row>
        <row r="685">
          <cell r="A685" t="str">
            <v>Аудиоинтерфейс многоканальный</v>
          </cell>
          <cell r="B685" t="str">
            <v>тм231</v>
          </cell>
          <cell r="C685" t="str">
            <v>Техника муз</v>
          </cell>
          <cell r="E685" t="str">
            <v xml:space="preserve">шт </v>
          </cell>
          <cell r="F685">
            <v>0</v>
          </cell>
        </row>
        <row r="686">
          <cell r="A686" t="str">
            <v xml:space="preserve">Профессиональная многофункциональная внешняя звуковая карта </v>
          </cell>
          <cell r="B686" t="str">
            <v>тм230</v>
          </cell>
          <cell r="C686" t="str">
            <v>Техника муз</v>
          </cell>
          <cell r="E686" t="str">
            <v xml:space="preserve">шт </v>
          </cell>
          <cell r="F686">
            <v>0</v>
          </cell>
        </row>
        <row r="687">
          <cell r="A687" t="str">
            <v>Цифровой микшерный пульт (не менее 32 каналов)</v>
          </cell>
          <cell r="B687" t="str">
            <v>тм229</v>
          </cell>
          <cell r="C687" t="str">
            <v>Техника муз</v>
          </cell>
          <cell r="E687" t="str">
            <v xml:space="preserve">шт </v>
          </cell>
          <cell r="F687">
            <v>0</v>
          </cell>
        </row>
        <row r="688">
          <cell r="A688" t="str">
            <v xml:space="preserve"> Микрофоны вокальные и инструментальные(Радио)</v>
          </cell>
          <cell r="B688" t="str">
            <v>пм216</v>
          </cell>
          <cell r="C688" t="str">
            <v>прочее муз</v>
          </cell>
          <cell r="E688" t="str">
            <v xml:space="preserve">шт </v>
          </cell>
          <cell r="F688">
            <v>0</v>
          </cell>
        </row>
        <row r="689">
          <cell r="A689" t="str">
            <v>Микрофонные стойки</v>
          </cell>
          <cell r="B689" t="str">
            <v>пм215</v>
          </cell>
          <cell r="C689" t="str">
            <v>прочее муз</v>
          </cell>
          <cell r="E689" t="str">
            <v xml:space="preserve">шт </v>
          </cell>
          <cell r="F689">
            <v>0</v>
          </cell>
        </row>
        <row r="690">
          <cell r="A690" t="str">
            <v>DI-боксы (директ-боксы)</v>
          </cell>
          <cell r="B690" t="str">
            <v>тм228</v>
          </cell>
          <cell r="C690" t="str">
            <v>Техника муз</v>
          </cell>
          <cell r="E690" t="str">
            <v xml:space="preserve">шт </v>
          </cell>
          <cell r="F690">
            <v>0</v>
          </cell>
        </row>
        <row r="691">
          <cell r="A691" t="str">
            <v>Студийные наушники</v>
          </cell>
          <cell r="B691" t="str">
            <v>тм227</v>
          </cell>
          <cell r="C691" t="str">
            <v>Техника муз</v>
          </cell>
          <cell r="E691" t="str">
            <v xml:space="preserve">шт </v>
          </cell>
          <cell r="F691">
            <v>0</v>
          </cell>
        </row>
        <row r="692">
          <cell r="A692" t="str">
            <v>Система распределения наушников</v>
          </cell>
          <cell r="B692" t="str">
            <v>тм226</v>
          </cell>
          <cell r="C692" t="str">
            <v>Техника муз</v>
          </cell>
          <cell r="E692" t="str">
            <v xml:space="preserve">комплект </v>
          </cell>
          <cell r="F692">
            <v>0</v>
          </cell>
        </row>
        <row r="693">
          <cell r="A693" t="str">
            <v xml:space="preserve">Кабельная продукция (XLR, Jack, сетевые) </v>
          </cell>
          <cell r="B693" t="str">
            <v>т180</v>
          </cell>
          <cell r="C693" t="str">
            <v>техника</v>
          </cell>
          <cell r="E693" t="str">
            <v xml:space="preserve">комплект </v>
          </cell>
          <cell r="F693">
            <v>0</v>
          </cell>
        </row>
        <row r="694">
          <cell r="A694" t="str">
            <v xml:space="preserve">LAD экран </v>
          </cell>
          <cell r="B694" t="str">
            <v>т179</v>
          </cell>
          <cell r="C694" t="str">
            <v>техника</v>
          </cell>
          <cell r="E694" t="str">
            <v xml:space="preserve">шт </v>
          </cell>
          <cell r="F694">
            <v>0</v>
          </cell>
        </row>
        <row r="695">
          <cell r="A695" t="str">
            <v>Камера для записи</v>
          </cell>
          <cell r="B695" t="str">
            <v>м178</v>
          </cell>
          <cell r="C695" t="str">
            <v>мехника</v>
          </cell>
          <cell r="E695" t="str">
            <v xml:space="preserve">шт </v>
          </cell>
          <cell r="F695">
            <v>0</v>
          </cell>
        </row>
        <row r="696">
          <cell r="A696" t="str">
            <v xml:space="preserve">Персональные IEM-системы (In Ear Monitoring) </v>
          </cell>
          <cell r="B696" t="str">
            <v>тм225</v>
          </cell>
          <cell r="C696" t="str">
            <v>Техника муз</v>
          </cell>
          <cell r="E696" t="str">
            <v xml:space="preserve">комплект </v>
          </cell>
          <cell r="F696">
            <v>0</v>
          </cell>
        </row>
        <row r="697">
          <cell r="A697" t="str">
            <v xml:space="preserve">Стол для звукозаписывающей аппаратуры </v>
          </cell>
          <cell r="B697" t="str">
            <v>м186</v>
          </cell>
          <cell r="C697" t="str">
            <v>мебель</v>
          </cell>
          <cell r="E697" t="str">
            <v xml:space="preserve">шт </v>
          </cell>
          <cell r="F697">
            <v>0</v>
          </cell>
        </row>
        <row r="698">
          <cell r="A698" t="str">
            <v xml:space="preserve">Шкаф для хранения оборудования </v>
          </cell>
          <cell r="B698" t="str">
            <v>м185</v>
          </cell>
          <cell r="C698" t="str">
            <v>мебель</v>
          </cell>
          <cell r="E698" t="str">
            <v xml:space="preserve">шт </v>
          </cell>
          <cell r="F698">
            <v>0</v>
          </cell>
        </row>
        <row r="699">
          <cell r="A699" t="str">
            <v>Вешалка для одежды</v>
          </cell>
          <cell r="B699" t="str">
            <v>м184</v>
          </cell>
          <cell r="C699" t="str">
            <v>мебель</v>
          </cell>
          <cell r="E699" t="str">
            <v xml:space="preserve">шт </v>
          </cell>
          <cell r="F699">
            <v>0</v>
          </cell>
        </row>
        <row r="700">
          <cell r="A700" t="str">
            <v>Кресло для актового зала</v>
          </cell>
          <cell r="B700" t="str">
            <v>м183</v>
          </cell>
          <cell r="C700" t="str">
            <v>мебель</v>
          </cell>
          <cell r="E700" t="str">
            <v xml:space="preserve">шт </v>
          </cell>
          <cell r="F700">
            <v>0</v>
          </cell>
        </row>
        <row r="701">
          <cell r="A701" t="str">
            <v xml:space="preserve">Ноутбук </v>
          </cell>
          <cell r="B701" t="str">
            <v>т177</v>
          </cell>
          <cell r="C701" t="str">
            <v>техника</v>
          </cell>
          <cell r="E701" t="str">
            <v xml:space="preserve">шт </v>
          </cell>
          <cell r="F701">
            <v>0</v>
          </cell>
        </row>
        <row r="702">
          <cell r="A702" t="str">
            <v>Планшет для управления цифровым микшерным пультом</v>
          </cell>
          <cell r="B702" t="str">
            <v>тм224</v>
          </cell>
          <cell r="C702" t="str">
            <v>Техника муз</v>
          </cell>
          <cell r="E702" t="str">
            <v xml:space="preserve">шт </v>
          </cell>
          <cell r="F702">
            <v>0</v>
          </cell>
        </row>
        <row r="703">
          <cell r="A703" t="str">
            <v xml:space="preserve">Сценическое световое оборудование </v>
          </cell>
          <cell r="B703" t="str">
            <v>тм223</v>
          </cell>
          <cell r="C703" t="str">
            <v>Техника муз</v>
          </cell>
          <cell r="E703" t="str">
            <v xml:space="preserve">комплект </v>
          </cell>
          <cell r="F703">
            <v>0</v>
          </cell>
        </row>
        <row r="704">
          <cell r="A704" t="str">
            <v xml:space="preserve">Световой пульт управления </v>
          </cell>
          <cell r="B704" t="str">
            <v>тм222</v>
          </cell>
          <cell r="C704" t="str">
            <v>Техника муз</v>
          </cell>
          <cell r="E704" t="str">
            <v xml:space="preserve">шт </v>
          </cell>
          <cell r="F704">
            <v>0</v>
          </cell>
        </row>
        <row r="705">
          <cell r="A705" t="str">
            <v xml:space="preserve">Линейные мониторы </v>
          </cell>
          <cell r="B705" t="str">
            <v>т176</v>
          </cell>
          <cell r="C705" t="str">
            <v>техника</v>
          </cell>
          <cell r="E705" t="str">
            <v xml:space="preserve">шт </v>
          </cell>
          <cell r="F705">
            <v>0</v>
          </cell>
        </row>
        <row r="706">
          <cell r="A706" t="str">
            <v>Основная акустическая система с сабвуферами</v>
          </cell>
          <cell r="B706" t="str">
            <v>тм221</v>
          </cell>
          <cell r="C706" t="str">
            <v>Техника муз</v>
          </cell>
          <cell r="E706" t="str">
            <v xml:space="preserve">комплект </v>
          </cell>
          <cell r="F706">
            <v>0</v>
          </cell>
        </row>
        <row r="707">
          <cell r="A707" t="str">
            <v>Активный микшерный пульт</v>
          </cell>
          <cell r="B707" t="str">
            <v>тм220</v>
          </cell>
          <cell r="C707" t="str">
            <v>Техника муз</v>
          </cell>
          <cell r="E707" t="str">
            <v xml:space="preserve">шт </v>
          </cell>
          <cell r="F707">
            <v>0</v>
          </cell>
        </row>
        <row r="708">
          <cell r="A708" t="str">
            <v>Вешала</v>
          </cell>
          <cell r="B708" t="str">
            <v>м182</v>
          </cell>
          <cell r="C708" t="str">
            <v>мебель</v>
          </cell>
          <cell r="F708">
            <v>0</v>
          </cell>
        </row>
        <row r="709">
          <cell r="A709" t="str">
            <v>Стеллажи с глубокими полками:</v>
          </cell>
          <cell r="B709" t="str">
            <v>м181</v>
          </cell>
          <cell r="C709" t="str">
            <v>мебель</v>
          </cell>
          <cell r="F709">
            <v>0</v>
          </cell>
        </row>
        <row r="710">
          <cell r="A710" t="str">
            <v>Шкафы-пеналы или закрытые стеллажи</v>
          </cell>
          <cell r="B710" t="str">
            <v>м180</v>
          </cell>
          <cell r="C710" t="str">
            <v>мебель</v>
          </cell>
          <cell r="F710">
            <v>0</v>
          </cell>
        </row>
        <row r="711">
          <cell r="A711" t="str">
            <v>Обувницы (многоярусные полки)</v>
          </cell>
          <cell r="B711" t="str">
            <v>м179</v>
          </cell>
          <cell r="C711" t="str">
            <v>мебель</v>
          </cell>
          <cell r="F711">
            <v>0</v>
          </cell>
        </row>
        <row r="712">
          <cell r="A712" t="str">
            <v>Зеркало в полный рост</v>
          </cell>
          <cell r="B712" t="str">
            <v>д559</v>
          </cell>
          <cell r="C712" t="str">
            <v>дидактика</v>
          </cell>
          <cell r="F712">
            <v>0</v>
          </cell>
        </row>
        <row r="713">
          <cell r="A713" t="str">
            <v>Примерочная кабина (ширма)</v>
          </cell>
          <cell r="B713" t="str">
            <v>м179</v>
          </cell>
          <cell r="C713" t="str">
            <v>мебель</v>
          </cell>
          <cell r="F713">
            <v>0</v>
          </cell>
        </row>
        <row r="714">
          <cell r="A714" t="str">
            <v>Стол рабочий</v>
          </cell>
          <cell r="B714" t="str">
            <v>м178</v>
          </cell>
          <cell r="C714" t="str">
            <v>мебель</v>
          </cell>
          <cell r="F714">
            <v>0</v>
          </cell>
        </row>
        <row r="715">
          <cell r="A715" t="str">
            <v>Утюг с парогенератором + Гладильная доска</v>
          </cell>
          <cell r="B715" t="str">
            <v>т175</v>
          </cell>
          <cell r="C715" t="str">
            <v>техника</v>
          </cell>
          <cell r="F715">
            <v>0</v>
          </cell>
        </row>
        <row r="716">
          <cell r="A716" t="str">
            <v>Швейная машина (электромеханическая)</v>
          </cell>
          <cell r="B716" t="str">
            <v>т174</v>
          </cell>
          <cell r="C716" t="str">
            <v>техника</v>
          </cell>
          <cell r="F716">
            <v>0</v>
          </cell>
        </row>
        <row r="717">
          <cell r="A717" t="str">
            <v>Манекены</v>
          </cell>
          <cell r="B717" t="str">
            <v>д558</v>
          </cell>
          <cell r="C717" t="str">
            <v>дидактика</v>
          </cell>
          <cell r="F717">
            <v>0</v>
          </cell>
        </row>
        <row r="718">
          <cell r="A718" t="str">
            <v>Осушитель воздуха</v>
          </cell>
          <cell r="B718" t="str">
            <v>д557</v>
          </cell>
          <cell r="C718" t="str">
            <v>дидактика</v>
          </cell>
          <cell r="F718">
            <v>0</v>
          </cell>
        </row>
        <row r="719">
          <cell r="A719" t="str">
            <v xml:space="preserve">Стулья виолончельные с регулировкой </v>
          </cell>
          <cell r="B719" t="str">
            <v>м178</v>
          </cell>
          <cell r="C719" t="str">
            <v>мебель</v>
          </cell>
          <cell r="F719">
            <v>0</v>
          </cell>
        </row>
        <row r="720">
          <cell r="A720" t="str">
            <v>Ковер под виолончель (шип не скользит)</v>
          </cell>
          <cell r="B720" t="str">
            <v>пм214</v>
          </cell>
          <cell r="C720" t="str">
            <v>прочее муз</v>
          </cell>
          <cell r="F720">
            <v>0</v>
          </cell>
        </row>
        <row r="721">
          <cell r="A721" t="str">
            <v xml:space="preserve">Пуфы </v>
          </cell>
          <cell r="B721" t="str">
            <v>м177</v>
          </cell>
          <cell r="C721" t="str">
            <v>мебель</v>
          </cell>
          <cell r="F721">
            <v>0</v>
          </cell>
        </row>
        <row r="722">
          <cell r="A722" t="str">
            <v>Локер</v>
          </cell>
          <cell r="B722" t="str">
            <v>пм213</v>
          </cell>
          <cell r="C722" t="str">
            <v>прочее муз</v>
          </cell>
          <cell r="F722">
            <v>0</v>
          </cell>
        </row>
        <row r="723">
          <cell r="A723" t="str">
            <v>Зеркало во всю стену (для артикуляции, осанки)</v>
          </cell>
          <cell r="B723" t="str">
            <v>д556</v>
          </cell>
          <cell r="C723" t="str">
            <v>дидактика</v>
          </cell>
          <cell r="F723">
            <v>0</v>
          </cell>
        </row>
        <row r="724">
          <cell r="A724" t="str">
            <v>Диктофон профессиональный (Zoom H5 или Tascam)</v>
          </cell>
          <cell r="B724" t="str">
            <v>пм212</v>
          </cell>
          <cell r="C724" t="str">
            <v>прочее муз</v>
          </cell>
          <cell r="F724">
            <v>0</v>
          </cell>
        </row>
        <row r="725">
          <cell r="A725" t="str">
            <v>Пюпитр</v>
          </cell>
          <cell r="B725" t="str">
            <v>пм211</v>
          </cell>
          <cell r="C725" t="str">
            <v>прочее муз</v>
          </cell>
          <cell r="F725">
            <v>0</v>
          </cell>
        </row>
        <row r="726">
          <cell r="A726" t="str">
            <v>Метроном + тонер (для распевок) в одном приборе</v>
          </cell>
          <cell r="B726" t="str">
            <v>пм210</v>
          </cell>
          <cell r="C726" t="str">
            <v>прочее муз</v>
          </cell>
          <cell r="F726">
            <v>0</v>
          </cell>
        </row>
        <row r="727">
          <cell r="A727" t="str">
            <v>Парта одноместная</v>
          </cell>
          <cell r="B727" t="str">
            <v>м176</v>
          </cell>
          <cell r="C727" t="str">
            <v>мебель</v>
          </cell>
          <cell r="F727">
            <v>0</v>
          </cell>
        </row>
        <row r="728">
          <cell r="A728" t="str">
            <v>Пианино вертикальное (кабинетное японское)</v>
          </cell>
          <cell r="B728" t="str">
            <v>тм219</v>
          </cell>
          <cell r="C728" t="str">
            <v>Техника муз</v>
          </cell>
          <cell r="F728">
            <v>0</v>
          </cell>
        </row>
        <row r="729">
          <cell r="A729" t="str">
            <v>Табурет винтовой</v>
          </cell>
          <cell r="B729" t="str">
            <v>м175</v>
          </cell>
          <cell r="C729" t="str">
            <v>мебель</v>
          </cell>
          <cell r="F729">
            <v>0</v>
          </cell>
        </row>
        <row r="730">
          <cell r="A730" t="str">
            <v>Контрабас 3/4</v>
          </cell>
          <cell r="B730" t="str">
            <v>тм218</v>
          </cell>
          <cell r="C730" t="str">
            <v>Техника муз</v>
          </cell>
          <cell r="F730">
            <v>0</v>
          </cell>
        </row>
        <row r="731">
          <cell r="A731" t="str">
            <v>Контрабас 4/4</v>
          </cell>
          <cell r="B731" t="str">
            <v>тм217</v>
          </cell>
          <cell r="C731" t="str">
            <v>Техника муз</v>
          </cell>
          <cell r="F731">
            <v>0</v>
          </cell>
        </row>
        <row r="732">
          <cell r="A732" t="str">
            <v>Смычки французского и немецкого типа</v>
          </cell>
          <cell r="B732" t="str">
            <v>пм210</v>
          </cell>
          <cell r="C732" t="str">
            <v>прочее муз</v>
          </cell>
          <cell r="F732">
            <v>0</v>
          </cell>
        </row>
        <row r="733">
          <cell r="A733" t="str">
            <v>Высокий стул (для игры сидя)</v>
          </cell>
          <cell r="B733" t="str">
            <v>м174</v>
          </cell>
          <cell r="C733" t="str">
            <v>мебель</v>
          </cell>
          <cell r="F733">
            <v>0</v>
          </cell>
        </row>
        <row r="734">
          <cell r="A734" t="str">
            <v>Подставка для ног (наклонная)</v>
          </cell>
          <cell r="B734" t="str">
            <v>пм209</v>
          </cell>
          <cell r="C734" t="str">
            <v>прочее муз</v>
          </cell>
          <cell r="F734">
            <v>0</v>
          </cell>
        </row>
        <row r="735">
          <cell r="A735" t="str">
            <v>Чехлы с колесами</v>
          </cell>
          <cell r="B735" t="str">
            <v>пм208</v>
          </cell>
          <cell r="C735" t="str">
            <v>прочее муз</v>
          </cell>
          <cell r="F735">
            <v>0</v>
          </cell>
        </row>
        <row r="736">
          <cell r="A736" t="str">
            <v>Табурет учительский высокий</v>
          </cell>
          <cell r="B736" t="str">
            <v>м174</v>
          </cell>
          <cell r="C736" t="str">
            <v>мебель</v>
          </cell>
          <cell r="F736">
            <v>0</v>
          </cell>
        </row>
        <row r="737">
          <cell r="A737" t="str">
            <v>Настройщик с большим экраном (клипса) – 1 шт.</v>
          </cell>
          <cell r="B737" t="str">
            <v>пм208</v>
          </cell>
          <cell r="C737" t="str">
            <v>прочее муз</v>
          </cell>
          <cell r="F737">
            <v>0</v>
          </cell>
        </row>
        <row r="738">
          <cell r="A738" t="str">
            <v>Пюпитр симфонический (тяжёлый, с широкой поверхностью, чёрный)</v>
          </cell>
          <cell r="B738" t="str">
            <v>пм207</v>
          </cell>
          <cell r="C738" t="str">
            <v>прочее муз</v>
          </cell>
          <cell r="F738">
            <v>0</v>
          </cell>
        </row>
        <row r="739">
          <cell r="A739" t="str">
            <v>Стул для виолончелиста (без подлокотников, с регулировкой высоты)</v>
          </cell>
          <cell r="B739" t="str">
            <v>м173</v>
          </cell>
          <cell r="C739" t="str">
            <v>мебель</v>
          </cell>
          <cell r="F739">
            <v>0</v>
          </cell>
        </row>
        <row r="740">
          <cell r="A740" t="str">
            <v>Ковёр акустический (под всю рассадку)</v>
          </cell>
          <cell r="B740" t="str">
            <v>д555</v>
          </cell>
          <cell r="C740" t="str">
            <v>дидактика</v>
          </cell>
          <cell r="F740">
            <v>0</v>
          </cell>
        </row>
        <row r="741">
          <cell r="A741" t="str">
            <v>Микшерный пульт (на 24-32 канала)</v>
          </cell>
          <cell r="B741" t="str">
            <v>пм206</v>
          </cell>
          <cell r="C741" t="str">
            <v>прочее муз</v>
          </cell>
          <cell r="F741">
            <v>0</v>
          </cell>
        </row>
        <row r="742">
          <cell r="A742" t="str">
            <v>Активные колонки PA-системы</v>
          </cell>
          <cell r="B742" t="str">
            <v>пм205</v>
          </cell>
          <cell r="C742" t="str">
            <v>прочее муз</v>
          </cell>
          <cell r="F742">
            <v>0</v>
          </cell>
        </row>
        <row r="743">
          <cell r="A743" t="str">
            <v>Конденсаторные микрофоны (пара, для записи)</v>
          </cell>
          <cell r="B743" t="str">
            <v>пм204</v>
          </cell>
          <cell r="C743" t="str">
            <v>прочее муз</v>
          </cell>
          <cell r="F743">
            <v>0</v>
          </cell>
        </row>
        <row r="744">
          <cell r="A744" t="str">
            <v>Микрофоны для виолончелей (DPA 4099 или аналог)</v>
          </cell>
          <cell r="B744" t="str">
            <v>пм203</v>
          </cell>
          <cell r="C744" t="str">
            <v>прочее муз</v>
          </cell>
          <cell r="F744">
            <v>0</v>
          </cell>
        </row>
        <row r="745">
          <cell r="A745" t="str">
            <v>Микрофонные стойки (низкие, напольные)</v>
          </cell>
          <cell r="B745" t="str">
            <v>пм202</v>
          </cell>
          <cell r="C745" t="str">
            <v>прочее муз</v>
          </cell>
          <cell r="F745">
            <v>0</v>
          </cell>
        </row>
        <row r="746">
          <cell r="A746" t="str">
            <v>Кабельный комплект (XLR)</v>
          </cell>
          <cell r="B746" t="str">
            <v>д554</v>
          </cell>
          <cell r="C746" t="str">
            <v>дидактика</v>
          </cell>
          <cell r="F746">
            <v>0</v>
          </cell>
        </row>
        <row r="747">
          <cell r="A747" t="str">
            <v>Камера видеонаблюдения/записи (для разбора репетиций)</v>
          </cell>
          <cell r="B747" t="str">
            <v>т173</v>
          </cell>
          <cell r="C747" t="str">
            <v>Техника</v>
          </cell>
          <cell r="F747">
            <v>0</v>
          </cell>
        </row>
        <row r="748">
          <cell r="A748" t="str">
            <v>Монитор/телевизор (для просмотра)</v>
          </cell>
          <cell r="B748" t="str">
            <v>т172</v>
          </cell>
          <cell r="C748" t="str">
            <v>Техника</v>
          </cell>
          <cell r="F748">
            <v>0</v>
          </cell>
        </row>
        <row r="749">
          <cell r="A749" t="str">
            <v>Проектор + экран</v>
          </cell>
          <cell r="B749" t="str">
            <v>т87</v>
          </cell>
          <cell r="C749" t="str">
            <v>Техника</v>
          </cell>
          <cell r="F749">
            <v>0</v>
          </cell>
        </row>
        <row r="750">
          <cell r="A750" t="str">
            <v>Термометр/гигрометр</v>
          </cell>
          <cell r="B750" t="str">
            <v>д553</v>
          </cell>
          <cell r="C750" t="str">
            <v>дидактика</v>
          </cell>
          <cell r="F750">
            <v>0</v>
          </cell>
        </row>
        <row r="751">
          <cell r="A751" t="str">
            <v>Складные стойки для виолончелей (для транспортировки)</v>
          </cell>
          <cell r="B751" t="str">
            <v>м172</v>
          </cell>
          <cell r="C751" t="str">
            <v>мебель</v>
          </cell>
          <cell r="F751">
            <v>0</v>
          </cell>
        </row>
        <row r="752">
          <cell r="A752" t="str">
            <v>Шкаф для нот и партитур</v>
          </cell>
          <cell r="B752" t="str">
            <v>м171</v>
          </cell>
          <cell r="C752" t="str">
            <v>мебель</v>
          </cell>
          <cell r="F752">
            <v>0</v>
          </cell>
        </row>
        <row r="753">
          <cell r="A753" t="str">
            <v>Арфа концертная 47 струн (венская педальная)</v>
          </cell>
          <cell r="B753" t="str">
            <v>пм201</v>
          </cell>
          <cell r="C753" t="str">
            <v>прочее муз</v>
          </cell>
          <cell r="F753">
            <v>0</v>
          </cell>
        </row>
        <row r="754">
          <cell r="A754" t="str">
            <v>Чехол для транспортировки</v>
          </cell>
          <cell r="B754" t="str">
            <v>пм200</v>
          </cell>
          <cell r="C754" t="str">
            <v>прочее муз</v>
          </cell>
          <cell r="F754">
            <v>0</v>
          </cell>
        </row>
        <row r="755">
          <cell r="A755" t="str">
            <v>Тележка для перевозки</v>
          </cell>
          <cell r="B755" t="str">
            <v>пм199</v>
          </cell>
          <cell r="C755" t="str">
            <v>прочее муз</v>
          </cell>
          <cell r="F755">
            <v>0</v>
          </cell>
        </row>
        <row r="756">
          <cell r="A756" t="str">
            <v>Стул для арфиста (без подлокотников, высокая спинка)</v>
          </cell>
          <cell r="B756" t="str">
            <v>пм198</v>
          </cell>
          <cell r="C756" t="str">
            <v>прочее муз</v>
          </cell>
          <cell r="F756">
            <v>0</v>
          </cell>
        </row>
        <row r="757">
          <cell r="A757" t="str">
            <v>Набор ключей для настройки</v>
          </cell>
          <cell r="B757" t="str">
            <v>пм197</v>
          </cell>
          <cell r="C757" t="str">
            <v>прочее муз</v>
          </cell>
          <cell r="F757">
            <v>0</v>
          </cell>
        </row>
        <row r="758">
          <cell r="A758" t="str">
            <v>Запас струн (кевлар, жила) – полный комплект + служебный ящик.</v>
          </cell>
          <cell r="B758" t="str">
            <v>пм196</v>
          </cell>
          <cell r="C758" t="str">
            <v>прочее муз</v>
          </cell>
          <cell r="F758">
            <v>0</v>
          </cell>
        </row>
        <row r="759">
          <cell r="A759" t="str">
            <v>Увлажнитель комнатный промышленный</v>
          </cell>
          <cell r="B759" t="str">
            <v>д552</v>
          </cell>
          <cell r="C759" t="str">
            <v>дидактика</v>
          </cell>
          <cell r="F759">
            <v>0</v>
          </cell>
        </row>
        <row r="760">
          <cell r="A760" t="str">
            <v>Климатическая стойка для арфы (деревянная)</v>
          </cell>
          <cell r="B760" t="str">
            <v>тм216</v>
          </cell>
          <cell r="C760" t="str">
            <v>Техника муз</v>
          </cell>
          <cell r="F760">
            <v>0</v>
          </cell>
        </row>
        <row r="761">
          <cell r="A761" t="str">
            <v>Флейта поперечная (ученическая)</v>
          </cell>
          <cell r="B761" t="str">
            <v>тм215</v>
          </cell>
          <cell r="C761" t="str">
            <v>Техника муз</v>
          </cell>
          <cell r="F761">
            <v>0</v>
          </cell>
        </row>
        <row r="762">
          <cell r="A762" t="str">
            <v>Кларнет (система Бёма, B)</v>
          </cell>
          <cell r="B762" t="str">
            <v>тм214</v>
          </cell>
          <cell r="C762" t="str">
            <v>Техника муз</v>
          </cell>
          <cell r="F762">
            <v>0</v>
          </cell>
        </row>
        <row r="763">
          <cell r="A763" t="str">
            <v>Гобой (ученический)</v>
          </cell>
          <cell r="B763" t="str">
            <v>тм213</v>
          </cell>
          <cell r="C763" t="str">
            <v>Техника муз</v>
          </cell>
          <cell r="F763">
            <v>0</v>
          </cell>
        </row>
        <row r="764">
          <cell r="A764" t="str">
            <v>Фагот (ученический, с фаготной трубкой)</v>
          </cell>
          <cell r="B764" t="str">
            <v>тм212</v>
          </cell>
          <cell r="C764" t="str">
            <v>Техника муз</v>
          </cell>
          <cell r="F764">
            <v>0</v>
          </cell>
        </row>
        <row r="765">
          <cell r="A765" t="str">
            <v>Саксофон альт (E)</v>
          </cell>
          <cell r="B765" t="str">
            <v>тм211</v>
          </cell>
          <cell r="C765" t="str">
            <v>Техника муз</v>
          </cell>
          <cell r="F765">
            <v>0</v>
          </cell>
        </row>
        <row r="766">
          <cell r="A766" t="str">
            <v>Саксофон тенор (B)</v>
          </cell>
          <cell r="B766" t="str">
            <v>тм210</v>
          </cell>
          <cell r="C766" t="str">
            <v>Техника муз</v>
          </cell>
          <cell r="F766">
            <v>0</v>
          </cell>
        </row>
        <row r="767">
          <cell r="A767" t="str">
            <v>Труба (B)</v>
          </cell>
          <cell r="B767" t="str">
            <v>тм210</v>
          </cell>
          <cell r="C767" t="str">
            <v>Техника муз</v>
          </cell>
          <cell r="F767">
            <v>0</v>
          </cell>
        </row>
        <row r="768">
          <cell r="A768" t="str">
            <v>Валторна (F, с двойным вентилем)</v>
          </cell>
          <cell r="B768" t="str">
            <v>тм209</v>
          </cell>
          <cell r="C768" t="str">
            <v>Техника муз</v>
          </cell>
          <cell r="F768">
            <v>0</v>
          </cell>
        </row>
        <row r="769">
          <cell r="A769" t="str">
            <v>Тромбон (теноровый, с кулисой)</v>
          </cell>
          <cell r="B769" t="str">
            <v>тм208</v>
          </cell>
          <cell r="C769" t="str">
            <v>Техника муз</v>
          </cell>
          <cell r="F769">
            <v>0</v>
          </cell>
        </row>
        <row r="770">
          <cell r="A770" t="str">
            <v>Тенор (баритон) (B, с вентилями)</v>
          </cell>
          <cell r="B770" t="str">
            <v>тм207</v>
          </cell>
          <cell r="C770" t="str">
            <v>Техника муз</v>
          </cell>
          <cell r="F770">
            <v>0</v>
          </cell>
        </row>
        <row r="771">
          <cell r="A771" t="str">
            <v>Туба (B или E)</v>
          </cell>
          <cell r="B771" t="str">
            <v>тм206</v>
          </cell>
          <cell r="C771" t="str">
            <v>Техника муз</v>
          </cell>
          <cell r="F771">
            <v>0</v>
          </cell>
        </row>
        <row r="772">
          <cell r="A772" t="str">
            <v>Малый барабан (концертный)</v>
          </cell>
          <cell r="B772" t="str">
            <v>тм205</v>
          </cell>
          <cell r="C772" t="str">
            <v>Техника муз</v>
          </cell>
          <cell r="F772">
            <v>0</v>
          </cell>
        </row>
        <row r="773">
          <cell r="A773" t="str">
            <v>Тарелки (пара, 16–18")</v>
          </cell>
          <cell r="B773" t="str">
            <v>тм204</v>
          </cell>
          <cell r="C773" t="str">
            <v>Техника муз</v>
          </cell>
          <cell r="F773">
            <v>0</v>
          </cell>
        </row>
        <row r="774">
          <cell r="A774" t="str">
            <v>Треугольник (с палочкой)</v>
          </cell>
          <cell r="B774" t="str">
            <v>тм203</v>
          </cell>
          <cell r="C774" t="str">
            <v>Техника муз</v>
          </cell>
          <cell r="F774">
            <v>0</v>
          </cell>
        </row>
        <row r="775">
          <cell r="A775" t="str">
            <v>Бубен (большой, без тарелок)</v>
          </cell>
          <cell r="B775" t="str">
            <v>тм202</v>
          </cell>
          <cell r="C775" t="str">
            <v>Техника муз</v>
          </cell>
          <cell r="F775">
            <v>0</v>
          </cell>
        </row>
        <row r="776">
          <cell r="A776" t="str">
            <v>Мундштуки (сменные, для труб, тромбонов, валторн)</v>
          </cell>
          <cell r="B776" t="str">
            <v>пм195</v>
          </cell>
          <cell r="C776" t="str">
            <v>прочее муз</v>
          </cell>
          <cell r="F776">
            <v>0</v>
          </cell>
        </row>
        <row r="777">
          <cell r="A777" t="str">
            <v>Трости для кларнета и саксофона (упаковки по 10 шт.)</v>
          </cell>
          <cell r="B777" t="str">
            <v>пм194</v>
          </cell>
          <cell r="C777" t="str">
            <v>прочее муз</v>
          </cell>
          <cell r="F777">
            <v>0</v>
          </cell>
        </row>
        <row r="778">
          <cell r="A778" t="str">
            <v>Трости для гобоя и фагота (заготовки)</v>
          </cell>
          <cell r="B778" t="str">
            <v>пм193</v>
          </cell>
          <cell r="C778" t="str">
            <v>прочее муз</v>
          </cell>
          <cell r="F778">
            <v>0</v>
          </cell>
        </row>
        <row r="779">
          <cell r="A779" t="str">
            <v>Смазка для выдвижных колен (тромбон, туба)</v>
          </cell>
          <cell r="B779" t="str">
            <v>пм192</v>
          </cell>
          <cell r="C779" t="str">
            <v>прочее муз</v>
          </cell>
          <cell r="F779">
            <v>0</v>
          </cell>
        </row>
        <row r="780">
          <cell r="A780" t="str">
            <v>Масло для вентилей (клапанное)</v>
          </cell>
          <cell r="B780" t="str">
            <v>пм191</v>
          </cell>
          <cell r="C780" t="str">
            <v>прочее муз</v>
          </cell>
          <cell r="F780">
            <v>0</v>
          </cell>
        </row>
        <row r="781">
          <cell r="A781" t="str">
            <v>Чехлы/кейсы для каждого инструмента</v>
          </cell>
          <cell r="B781" t="str">
            <v>пм190</v>
          </cell>
          <cell r="C781" t="str">
            <v>прочее муз</v>
          </cell>
          <cell r="F781">
            <v>0</v>
          </cell>
        </row>
        <row r="782">
          <cell r="A782" t="str">
            <v>Пианино вертикальное (кабинетное)</v>
          </cell>
          <cell r="B782" t="str">
            <v>тм201</v>
          </cell>
          <cell r="C782" t="str">
            <v>Техника муз</v>
          </cell>
          <cell r="F782">
            <v>0</v>
          </cell>
        </row>
        <row r="783">
          <cell r="A783" t="str">
            <v>Пюпитр симфонический (тяжёлый, устойчивый)</v>
          </cell>
          <cell r="B783" t="str">
            <v>пм189</v>
          </cell>
          <cell r="C783" t="str">
            <v>прочее муз</v>
          </cell>
          <cell r="F783">
            <v>0</v>
          </cell>
        </row>
        <row r="784">
          <cell r="A784" t="str">
            <v>Пюпитр лёгкий складной (резервный)</v>
          </cell>
          <cell r="B784" t="str">
            <v>пм188</v>
          </cell>
          <cell r="C784" t="str">
            <v>прочее муз</v>
          </cell>
          <cell r="F784">
            <v>0</v>
          </cell>
        </row>
        <row r="785">
          <cell r="A785" t="str">
            <v>Камертон электронный (440 Гц)</v>
          </cell>
          <cell r="B785" t="str">
            <v>пм187</v>
          </cell>
          <cell r="C785" t="str">
            <v>прочее муз</v>
          </cell>
          <cell r="F785">
            <v>0</v>
          </cell>
        </row>
        <row r="786">
          <cell r="A786" t="str">
            <v>Хроматический тюнер (клипса или настольный)</v>
          </cell>
          <cell r="B786" t="str">
            <v>пм186</v>
          </cell>
          <cell r="C786" t="str">
            <v>прочее муз</v>
          </cell>
          <cell r="F786">
            <v>0</v>
          </cell>
        </row>
        <row r="787">
          <cell r="A787" t="str">
            <v>Стул для артиста (жёсткий, без подлокотников)</v>
          </cell>
          <cell r="B787" t="str">
            <v>м170</v>
          </cell>
          <cell r="C787" t="str">
            <v>мебель</v>
          </cell>
          <cell r="F787">
            <v>0</v>
          </cell>
        </row>
        <row r="788">
          <cell r="A788" t="str">
            <v>Стул для виолончелиста (высокий, регулируемый)</v>
          </cell>
          <cell r="B788" t="str">
            <v>м169</v>
          </cell>
          <cell r="C788" t="str">
            <v>мебель</v>
          </cell>
          <cell r="F788">
            <v>0</v>
          </cell>
        </row>
        <row r="789">
          <cell r="A789" t="str">
            <v>Стул для контрабасиста (высокий, если требуется)</v>
          </cell>
          <cell r="B789" t="str">
            <v>м168</v>
          </cell>
          <cell r="C789" t="str">
            <v>мебель</v>
          </cell>
          <cell r="F789">
            <v>0</v>
          </cell>
        </row>
        <row r="790">
          <cell r="A790" t="str">
            <v>Ковёр акустический на пол (нескользящий, звукопоглощающий)</v>
          </cell>
          <cell r="B790" t="str">
            <v>д551</v>
          </cell>
          <cell r="C790" t="str">
            <v>дидактика</v>
          </cell>
          <cell r="F790">
            <v>0</v>
          </cell>
        </row>
        <row r="791">
          <cell r="A791" t="str">
            <v>Шкаф для инструментов (по числу учеников, минимум на 6–8 мест)</v>
          </cell>
          <cell r="B791" t="str">
            <v>м166</v>
          </cell>
          <cell r="C791" t="str">
            <v>мебель</v>
          </cell>
          <cell r="F791">
            <v>0</v>
          </cell>
        </row>
        <row r="792">
          <cell r="A792" t="str">
            <v>Шкаф/стеллаж для нот и партитур (закрывающийся)</v>
          </cell>
          <cell r="B792" t="str">
            <v>м165</v>
          </cell>
          <cell r="C792" t="str">
            <v>мебель</v>
          </cell>
          <cell r="F792">
            <v>0</v>
          </cell>
        </row>
        <row r="793">
          <cell r="A793" t="str">
            <v>Стойка для пюпитров (телескопическая, напольная)</v>
          </cell>
          <cell r="B793" t="str">
            <v>пм185</v>
          </cell>
          <cell r="C793" t="str">
            <v>прочее муз</v>
          </cell>
          <cell r="F793">
            <v>0</v>
          </cell>
        </row>
        <row r="794">
          <cell r="A794" t="str">
            <v>Вешалка для смычков (настенная)</v>
          </cell>
          <cell r="B794" t="str">
            <v>м164</v>
          </cell>
          <cell r="C794" t="str">
            <v>мебель</v>
          </cell>
          <cell r="F794">
            <v>0</v>
          </cell>
        </row>
        <row r="795">
          <cell r="A795" t="str">
            <v>Полка для аксессуаров (канифоль, струны, медиаторы)</v>
          </cell>
          <cell r="B795" t="str">
            <v>м163</v>
          </cell>
          <cell r="C795" t="str">
            <v>мебель</v>
          </cell>
          <cell r="F795">
            <v>0</v>
          </cell>
        </row>
        <row r="796">
          <cell r="A796" t="str">
            <v>Акустическая панель широкополосная (60×60×5 см)</v>
          </cell>
          <cell r="B796" t="str">
            <v>пм184</v>
          </cell>
          <cell r="C796" t="str">
            <v>прочее муз</v>
          </cell>
          <cell r="F796">
            <v>0</v>
          </cell>
        </row>
        <row r="797">
          <cell r="A797" t="str">
            <v>Басовая ловушка (угловая, поролоновая или минераловатная)</v>
          </cell>
          <cell r="B797" t="str">
            <v>пм183</v>
          </cell>
          <cell r="C797" t="str">
            <v>прочее муз</v>
          </cell>
          <cell r="F797">
            <v>0</v>
          </cell>
        </row>
        <row r="798">
          <cell r="A798" t="str">
            <v>Зеркало настенное (во весь рост, для контроля постановки рук/корпуса)</v>
          </cell>
          <cell r="B798" t="str">
            <v>д550</v>
          </cell>
          <cell r="C798" t="str">
            <v>дидактика</v>
          </cell>
          <cell r="F798">
            <v>0</v>
          </cell>
        </row>
        <row r="799">
          <cell r="A799" t="str">
            <v>Доска нотная (5 линеек, магнитно-маркерная)</v>
          </cell>
          <cell r="B799" t="str">
            <v>д549</v>
          </cell>
          <cell r="C799" t="str">
            <v>дидактика</v>
          </cell>
          <cell r="F799">
            <v>0</v>
          </cell>
        </row>
        <row r="800">
          <cell r="A800" t="str">
            <v>Активная портативная колонка (PA, 50–150 Вт)</v>
          </cell>
          <cell r="B800" t="str">
            <v>тм200</v>
          </cell>
          <cell r="C800" t="str">
            <v>Техника муз</v>
          </cell>
          <cell r="F800">
            <v>0</v>
          </cell>
        </row>
        <row r="801">
          <cell r="A801" t="str">
            <v>Микшерный пульт малый (4–6 каналов, компактный)</v>
          </cell>
          <cell r="B801" t="str">
            <v>пм182</v>
          </cell>
          <cell r="C801" t="str">
            <v>прочее муз</v>
          </cell>
          <cell r="F801">
            <v>0</v>
          </cell>
        </row>
        <row r="802">
          <cell r="A802" t="str">
            <v>Микрофон инструментальный (Shure SM57)</v>
          </cell>
          <cell r="B802" t="str">
            <v>пм181</v>
          </cell>
          <cell r="C802" t="str">
            <v>прочее муз</v>
          </cell>
          <cell r="F802">
            <v>0</v>
          </cell>
        </row>
        <row r="803">
          <cell r="A803" t="str">
            <v>Кабель XLR (1,5–5 м)</v>
          </cell>
          <cell r="B803" t="str">
            <v>д548</v>
          </cell>
          <cell r="C803" t="str">
            <v>дидактика</v>
          </cell>
          <cell r="F803">
            <v>0</v>
          </cell>
        </row>
        <row r="804">
          <cell r="A804" t="str">
            <v>Диктофон профессиональный (Zoom H1n или H5)</v>
          </cell>
          <cell r="B804" t="str">
            <v>пм180</v>
          </cell>
          <cell r="C804" t="str">
            <v>прочее муз</v>
          </cell>
          <cell r="F804">
            <v>0</v>
          </cell>
        </row>
        <row r="805">
          <cell r="A805" t="str">
            <v>Bluetooth-приёмник для колонки</v>
          </cell>
          <cell r="B805" t="str">
            <v>пм179</v>
          </cell>
          <cell r="C805" t="str">
            <v>прочее муз</v>
          </cell>
          <cell r="F805">
            <v>0</v>
          </cell>
        </row>
        <row r="806">
          <cell r="A806" t="str">
            <v>Наушники закрытые (для разбора партий)</v>
          </cell>
          <cell r="B806" t="str">
            <v>пм178</v>
          </cell>
          <cell r="C806" t="str">
            <v>прочее муз</v>
          </cell>
          <cell r="F806">
            <v>0</v>
          </cell>
        </row>
        <row r="807">
          <cell r="A807" t="str">
            <v>Разветвитель наушников на 4 выхода</v>
          </cell>
          <cell r="B807" t="str">
            <v>пм177</v>
          </cell>
          <cell r="C807" t="str">
            <v>прочее муз</v>
          </cell>
          <cell r="F807">
            <v>0</v>
          </cell>
        </row>
        <row r="808">
          <cell r="A808" t="str">
            <v>Общее светодиодное освещение (регулируемое)</v>
          </cell>
          <cell r="B808" t="str">
            <v>д547</v>
          </cell>
          <cell r="C808" t="str">
            <v>дидактика</v>
          </cell>
          <cell r="F808">
            <v>0</v>
          </cell>
        </row>
        <row r="809">
          <cell r="A809" t="str">
            <v>Дежурное освещение</v>
          </cell>
          <cell r="B809" t="str">
            <v>пм176</v>
          </cell>
          <cell r="C809" t="str">
            <v>прочее муз</v>
          </cell>
          <cell r="F809">
            <v>0</v>
          </cell>
        </row>
        <row r="810">
          <cell r="A810" t="str">
            <v xml:space="preserve">Пианино вертикальное (кабинетное) </v>
          </cell>
          <cell r="B810" t="str">
            <v>тм199</v>
          </cell>
          <cell r="C810" t="str">
            <v>Техника муз</v>
          </cell>
          <cell r="F810">
            <v>0</v>
          </cell>
        </row>
        <row r="811">
          <cell r="A811" t="str">
            <v>Пианино (кабинетное, для занятий)</v>
          </cell>
          <cell r="B811" t="str">
            <v>тм198</v>
          </cell>
          <cell r="C811" t="str">
            <v>Техника муз</v>
          </cell>
          <cell r="F811">
            <v>0</v>
          </cell>
        </row>
        <row r="812">
          <cell r="A812" t="str">
            <v>Стул для пианиста (банкетка винтовая)</v>
          </cell>
          <cell r="B812" t="str">
            <v>м162</v>
          </cell>
          <cell r="C812" t="str">
            <v>мебель</v>
          </cell>
          <cell r="F812">
            <v>0</v>
          </cell>
        </row>
        <row r="813">
          <cell r="A813" t="str">
            <v>Хоровой станок  4см*3м40см</v>
          </cell>
          <cell r="B813" t="str">
            <v>пм175</v>
          </cell>
          <cell r="C813" t="str">
            <v>прочее муз</v>
          </cell>
          <cell r="E813" t="str">
            <v>комп</v>
          </cell>
          <cell r="F813">
            <v>0</v>
          </cell>
        </row>
        <row r="814">
          <cell r="A814" t="str">
            <v>Пульт дирижера</v>
          </cell>
          <cell r="B814" t="str">
            <v>пм174</v>
          </cell>
          <cell r="C814" t="str">
            <v>прочее муз</v>
          </cell>
          <cell r="F814">
            <v>0</v>
          </cell>
        </row>
        <row r="815">
          <cell r="A815" t="str">
            <v>Зеркало 60*60</v>
          </cell>
          <cell r="B815" t="str">
            <v>д546</v>
          </cell>
          <cell r="C815" t="str">
            <v>дидактика</v>
          </cell>
          <cell r="F815">
            <v>0</v>
          </cell>
        </row>
        <row r="816">
          <cell r="A816" t="str">
            <v>створчатый шкаф</v>
          </cell>
          <cell r="B816" t="str">
            <v>м161</v>
          </cell>
          <cell r="C816" t="str">
            <v>мебель</v>
          </cell>
          <cell r="F816">
            <v>0</v>
          </cell>
        </row>
        <row r="817">
          <cell r="A817" t="str">
            <v>Шкаф для нот</v>
          </cell>
          <cell r="B817" t="str">
            <v>м160</v>
          </cell>
          <cell r="C817" t="str">
            <v>мебель</v>
          </cell>
          <cell r="F817">
            <v>0</v>
          </cell>
        </row>
        <row r="818">
          <cell r="A818" t="str">
            <v>Фортепиано</v>
          </cell>
          <cell r="B818" t="str">
            <v>тм197</v>
          </cell>
          <cell r="C818" t="str">
            <v>Техника муз</v>
          </cell>
          <cell r="F818">
            <v>0</v>
          </cell>
        </row>
        <row r="819">
          <cell r="A819" t="str">
            <v>Зеркало 100*80 см</v>
          </cell>
          <cell r="B819" t="str">
            <v>д545</v>
          </cell>
          <cell r="C819" t="str">
            <v>дидактика</v>
          </cell>
          <cell r="F819">
            <v>0</v>
          </cell>
        </row>
        <row r="820">
          <cell r="A820" t="str">
            <v>Хоровая подставка для дирижёра 20*80*80 см</v>
          </cell>
          <cell r="B820" t="str">
            <v>м159</v>
          </cell>
          <cell r="C820" t="str">
            <v>мебель</v>
          </cell>
          <cell r="F820">
            <v>0</v>
          </cell>
        </row>
        <row r="821">
          <cell r="A821" t="str">
            <v>Дорожки 1м 20 см* 3 м</v>
          </cell>
          <cell r="B821" t="str">
            <v>д544</v>
          </cell>
          <cell r="C821" t="str">
            <v>дидактика</v>
          </cell>
          <cell r="F821">
            <v>0</v>
          </cell>
        </row>
        <row r="822">
          <cell r="A822" t="str">
            <v>Рояль концертный (170+A3+A8:A29+A8:A39</v>
          </cell>
          <cell r="B822" t="str">
            <v>тм196</v>
          </cell>
          <cell r="C822" t="str">
            <v>Техника муз</v>
          </cell>
          <cell r="F822">
            <v>0</v>
          </cell>
        </row>
        <row r="823">
          <cell r="A823" t="str">
            <v>Баян</v>
          </cell>
          <cell r="B823" t="str">
            <v>тм195</v>
          </cell>
          <cell r="C823" t="str">
            <v>Техника муз</v>
          </cell>
          <cell r="F823">
            <v>0</v>
          </cell>
        </row>
        <row r="824">
          <cell r="A824" t="str">
            <v>Метроном (электронный)</v>
          </cell>
          <cell r="B824" t="str">
            <v>пм173</v>
          </cell>
          <cell r="C824" t="str">
            <v>прочее муз</v>
          </cell>
          <cell r="F824">
            <v>0</v>
          </cell>
        </row>
        <row r="825">
          <cell r="A825" t="str">
            <v>Хоровой станок (3–4 яруса)</v>
          </cell>
          <cell r="B825" t="str">
            <v>пм172</v>
          </cell>
          <cell r="C825" t="str">
            <v>прочее муз</v>
          </cell>
          <cell r="E825" t="str">
            <v>комп</v>
          </cell>
          <cell r="F825">
            <v>0</v>
          </cell>
        </row>
        <row r="826">
          <cell r="A826" t="str">
            <v>Подиум для дирижера (деревянный, 15–20 см)</v>
          </cell>
          <cell r="B826" t="str">
            <v>м158</v>
          </cell>
          <cell r="C826" t="str">
            <v>мебель</v>
          </cell>
          <cell r="F826">
            <v>0</v>
          </cell>
        </row>
        <row r="827">
          <cell r="A827" t="str">
            <v>Стул для артистов (без подлокотников)</v>
          </cell>
          <cell r="B827" t="str">
            <v>м157</v>
          </cell>
          <cell r="C827" t="str">
            <v>мебель</v>
          </cell>
          <cell r="F827">
            <v>0</v>
          </cell>
        </row>
        <row r="828">
          <cell r="A828" t="str">
            <v>Стул для контрабасиста/виолончелиста (высокий)</v>
          </cell>
          <cell r="B828" t="str">
            <v>м156</v>
          </cell>
          <cell r="C828" t="str">
            <v>мебель</v>
          </cell>
          <cell r="F828">
            <v>0</v>
          </cell>
        </row>
        <row r="829">
          <cell r="A829" t="str">
            <v>Табурет (для перкуссии, по требованию)</v>
          </cell>
          <cell r="B829" t="str">
            <v>м155</v>
          </cell>
          <cell r="C829" t="str">
            <v>мебель</v>
          </cell>
          <cell r="F829">
            <v>0</v>
          </cell>
        </row>
        <row r="830">
          <cell r="A830" t="str">
            <v>Микшерный пульт (16–24 канала)</v>
          </cell>
          <cell r="B830" t="str">
            <v>тм194</v>
          </cell>
          <cell r="C830" t="str">
            <v>Техника муз</v>
          </cell>
          <cell r="F830">
            <v>0</v>
          </cell>
        </row>
        <row r="831">
          <cell r="A831" t="str">
            <v>Активные колонки (PA-система, 300–500 Вт)</v>
          </cell>
          <cell r="B831" t="str">
            <v>тм193</v>
          </cell>
          <cell r="C831" t="str">
            <v>Техника муз</v>
          </cell>
          <cell r="F831">
            <v>0</v>
          </cell>
        </row>
        <row r="832">
          <cell r="A832" t="str">
            <v>Мониторы сценические (активные)</v>
          </cell>
          <cell r="B832" t="str">
            <v>т133</v>
          </cell>
          <cell r="C832" t="str">
            <v>Техника</v>
          </cell>
          <cell r="F832">
            <v>0</v>
          </cell>
        </row>
        <row r="833">
          <cell r="A833" t="str">
            <v>Микрофон вокальный (Shure SM58)</v>
          </cell>
          <cell r="B833" t="str">
            <v>пм171</v>
          </cell>
          <cell r="C833" t="str">
            <v>прочее муз</v>
          </cell>
          <cell r="F833">
            <v>0</v>
          </cell>
        </row>
        <row r="834">
          <cell r="A834" t="str">
            <v>Микрофон инструментальный (Shure SM57/ Beta 98)</v>
          </cell>
          <cell r="B834" t="str">
            <v xml:space="preserve">тм192 </v>
          </cell>
          <cell r="C834" t="str">
            <v>Техника муз</v>
          </cell>
          <cell r="F834">
            <v>0</v>
          </cell>
        </row>
        <row r="835">
          <cell r="A835" t="str">
            <v>Магнитофон с CD-проигрывателем / Музыкальный центр</v>
          </cell>
          <cell r="B835" t="str">
            <v>тм191</v>
          </cell>
          <cell r="C835" t="str">
            <v>Техника муз</v>
          </cell>
          <cell r="F835">
            <v>0</v>
          </cell>
        </row>
        <row r="836">
          <cell r="A836" t="str">
            <v>Настенный монитор (40–50")</v>
          </cell>
          <cell r="B836" t="str">
            <v>т131</v>
          </cell>
          <cell r="C836" t="str">
            <v>Техника</v>
          </cell>
          <cell r="F836">
            <v>0</v>
          </cell>
        </row>
        <row r="837">
          <cell r="A837" t="str">
            <v>Веб-камера (для записи репетиций)</v>
          </cell>
          <cell r="B837" t="str">
            <v>пм170</v>
          </cell>
          <cell r="C837" t="str">
            <v>прочее муз</v>
          </cell>
          <cell r="F837">
            <v>0</v>
          </cell>
        </row>
        <row r="838">
          <cell r="A838" t="str">
            <v>Пианино</v>
          </cell>
          <cell r="B838" t="str">
            <v>тм190</v>
          </cell>
          <cell r="C838" t="str">
            <v>Техника муз</v>
          </cell>
          <cell r="F838">
            <v>3</v>
          </cell>
        </row>
        <row r="839">
          <cell r="A839" t="str">
            <v>Доска с двумя нотными станами + магнитная (можно писать ключи, интервалы) .</v>
          </cell>
          <cell r="B839" t="str">
            <v>пм168</v>
          </cell>
          <cell r="C839" t="str">
            <v>прочее муз</v>
          </cell>
          <cell r="F839">
            <v>0</v>
          </cell>
        </row>
        <row r="840">
          <cell r="A840" t="str">
            <v>Метроном</v>
          </cell>
          <cell r="B840" t="str">
            <v>пм167</v>
          </cell>
          <cell r="C840" t="str">
            <v>прочее муз</v>
          </cell>
          <cell r="E840" t="str">
            <v>шт</v>
          </cell>
          <cell r="F840">
            <v>0</v>
          </cell>
        </row>
        <row r="841">
          <cell r="A841" t="str">
            <v>Набор карточек (интервалы, аккорды, ритм)</v>
          </cell>
          <cell r="B841" t="str">
            <v>пм166</v>
          </cell>
          <cell r="C841" t="str">
            <v>прочее муз</v>
          </cell>
          <cell r="E841" t="str">
            <v>комп</v>
          </cell>
          <cell r="F841">
            <v>0</v>
          </cell>
        </row>
        <row r="842">
          <cell r="A842" t="str">
            <v>Флешка/компьютер с аудиопримерами (диктанты)</v>
          </cell>
          <cell r="B842" t="str">
            <v>т130</v>
          </cell>
          <cell r="C842" t="str">
            <v>Техника</v>
          </cell>
          <cell r="E842" t="str">
            <v>шт</v>
          </cell>
          <cell r="F842">
            <v>0</v>
          </cell>
        </row>
        <row r="843">
          <cell r="A843" t="str">
            <v>Тренировочные пады (резиновые) на стойках</v>
          </cell>
          <cell r="B843" t="str">
            <v>пм165</v>
          </cell>
          <cell r="C843" t="str">
            <v>прочее муз</v>
          </cell>
          <cell r="F843">
            <v>0</v>
          </cell>
        </row>
        <row r="844">
          <cell r="A844" t="str">
            <v>Метрономы (громкие) + наушники</v>
          </cell>
          <cell r="B844" t="str">
            <v>тм189</v>
          </cell>
          <cell r="C844" t="str">
            <v>Техника муз</v>
          </cell>
          <cell r="F844">
            <v>0</v>
          </cell>
        </row>
        <row r="845">
          <cell r="A845" t="str">
            <v>Малые барабаны концертные (14"x5.5")</v>
          </cell>
          <cell r="B845" t="str">
            <v>тм188</v>
          </cell>
          <cell r="C845" t="str">
            <v>Техника муз</v>
          </cell>
          <cell r="F845">
            <v>0</v>
          </cell>
        </row>
        <row r="846">
          <cell r="A846" t="str">
            <v>Стулья для ударников (высокие, без подлокотников)</v>
          </cell>
          <cell r="B846" t="str">
            <v>м154</v>
          </cell>
          <cell r="C846" t="str">
            <v>мебель</v>
          </cell>
          <cell r="F846">
            <v>0</v>
          </cell>
        </row>
        <row r="847">
          <cell r="A847" t="str">
            <v>Пюпитры усиленные (тяжелые)</v>
          </cell>
          <cell r="B847" t="str">
            <v>пм164</v>
          </cell>
          <cell r="C847" t="str">
            <v>прочее муз</v>
          </cell>
          <cell r="F847">
            <v>0</v>
          </cell>
        </row>
        <row r="848">
          <cell r="A848" t="str">
            <v>Ковер под установку</v>
          </cell>
          <cell r="B848" t="str">
            <v>д543</v>
          </cell>
          <cell r="C848" t="str">
            <v>дидактика</v>
          </cell>
          <cell r="F848">
            <v>0</v>
          </cell>
        </row>
        <row r="849">
          <cell r="A849" t="str">
            <v>Столик  для палочек</v>
          </cell>
          <cell r="B849" t="str">
            <v>м153</v>
          </cell>
          <cell r="C849" t="str">
            <v>мебель</v>
          </cell>
          <cell r="F849">
            <v>0</v>
          </cell>
        </row>
        <row r="850">
          <cell r="A850" t="str">
            <v>Аудиосистема + микшер  (демонстрация ритмов)</v>
          </cell>
          <cell r="B850" t="str">
            <v>тм187</v>
          </cell>
          <cell r="C850" t="str">
            <v>Техника муз</v>
          </cell>
          <cell r="F850">
            <v>0</v>
          </cell>
        </row>
        <row r="851">
          <cell r="A851" t="str">
            <v>Видеокамера + монитор – 1 компл (разбор техники удара)</v>
          </cell>
          <cell r="B851" t="str">
            <v>тм186</v>
          </cell>
          <cell r="C851" t="str">
            <v>Техника муз</v>
          </cell>
          <cell r="F851">
            <v>0</v>
          </cell>
        </row>
        <row r="852">
          <cell r="A852" t="str">
            <v>Лампа на пюпитры</v>
          </cell>
          <cell r="B852" t="str">
            <v>пм163</v>
          </cell>
          <cell r="C852" t="str">
            <v>прочее муз</v>
          </cell>
          <cell r="F852">
            <v>0</v>
          </cell>
        </row>
        <row r="853">
          <cell r="A853" t="str">
            <v>Ксилофон концертный (Adams, Yamaha, 3.5–4 октавы)</v>
          </cell>
          <cell r="B853" t="str">
            <v>пм162</v>
          </cell>
          <cell r="C853" t="str">
            <v>прочее муз</v>
          </cell>
          <cell r="F853">
            <v>0</v>
          </cell>
        </row>
        <row r="854">
          <cell r="A854" t="str">
            <v>Ксилофон концертный</v>
          </cell>
          <cell r="B854" t="str">
            <v>пм161</v>
          </cell>
          <cell r="C854" t="str">
            <v>прочее муз</v>
          </cell>
          <cell r="F854">
            <v>0</v>
          </cell>
        </row>
        <row r="855">
          <cell r="A855" t="str">
            <v>Подставка по тарелки Bergerault BS025 Cymbal Stand</v>
          </cell>
          <cell r="B855" t="str">
            <v>пм160</v>
          </cell>
          <cell r="C855" t="str">
            <v>прочее муз</v>
          </cell>
          <cell r="F855">
            <v>0</v>
          </cell>
        </row>
        <row r="856">
          <cell r="A856" t="str">
            <v>Колокольчики Adams GAA33 Alpha Orchestra Bells 43</v>
          </cell>
          <cell r="B856" t="str">
            <v>пм159</v>
          </cell>
          <cell r="C856" t="str">
            <v>прочее муз</v>
          </cell>
          <cell r="F856">
            <v>0</v>
          </cell>
        </row>
        <row r="857">
          <cell r="A857" t="str">
            <v>Виброфон Adams 2VAH40SA12000</v>
          </cell>
          <cell r="B857" t="str">
            <v>пм158</v>
          </cell>
          <cell r="C857" t="str">
            <v>прочее муз</v>
          </cell>
          <cell r="F857">
            <v>0</v>
          </cell>
        </row>
        <row r="858">
          <cell r="A858" t="str">
            <v xml:space="preserve">Ударная установка базовая DW 809162 
Shell Set Perfomance Finish PLY Black Diamond Ударная установка, корпуса барабанов из отобранного вручную 
североамериканского клена, HVLT 
конструкция оболочки барабанов, 
натяжные винты True Pitch, 
хромированная фурнитура, стальные 
обода, цвет Black Diamond, навесной 
томы: 10 x 8" и 12 x 9", напольный том: 
16 х 14", бас-барабан 22 x 18".
</v>
          </cell>
          <cell r="B858" t="str">
            <v>пм157</v>
          </cell>
          <cell r="C858" t="str">
            <v>прочее муз</v>
          </cell>
          <cell r="F858" t="e">
            <v>#VALUE!</v>
          </cell>
        </row>
        <row r="859">
          <cell r="A859" t="str">
            <v xml:space="preserve">Малый барабан DW 802427 Stainless Steel Малый барабан, размер 14 x 5,5", 
корпус из нержавеющей стали, 
хромированная фурнитура, 
подструнник True Tone Snare, 
полированная отделка, объемный и 
полный звук.
</v>
          </cell>
          <cell r="B859" t="str">
            <v>пм156</v>
          </cell>
          <cell r="C859" t="str">
            <v>прочее муз</v>
          </cell>
          <cell r="F859">
            <v>0</v>
          </cell>
        </row>
        <row r="860">
          <cell r="A860" t="str">
            <v>Тарелки (хай-хэт, крэш, райд) ZILDJIAN KCD900 K Custom Dark 
 Cymbal Pack 
 Комплект тарелок для ударной 
 установки, сплав из колокольной 
 бронзы B20; тёмный, сухой 
 сбалансированный тон; уникальные 
 тональные канавки, традиционная 
 отделка.</v>
          </cell>
          <cell r="B860" t="str">
            <v>пм155</v>
          </cell>
          <cell r="C860" t="str">
            <v>прочее муз</v>
          </cell>
          <cell r="F860">
            <v>0</v>
          </cell>
        </row>
        <row r="861">
          <cell r="A861" t="str">
            <v>Педали для бас-бочки (одинарные + одна двойная) DW 9002 Double PedalDW 9000 XF Pedal</v>
          </cell>
          <cell r="B861" t="str">
            <v>пм154</v>
          </cell>
          <cell r="C861" t="str">
            <v>прочее муз</v>
          </cell>
          <cell r="F861">
            <v>0</v>
          </cell>
        </row>
        <row r="862">
          <cell r="A862" t="str">
            <v>Треугольники Sabian 61135-8B8H 
 8” Hand 
 Hammered B8 
 Bronze Triangle 
 Треугольник, разсмер 8 дюймов, 
 изготовлен вручную из чистого сплава 
 B8 (8% олова, 92% меди с примесью 
 серебра), этот треугольник отличаются 
 ярким, мерцающим звучанием и 
 длительным сустейном. (3 размера)</v>
          </cell>
          <cell r="B862" t="str">
            <v>пм153</v>
          </cell>
          <cell r="C862" t="str">
            <v>прочее муз</v>
          </cell>
          <cell r="E862" t="str">
            <v>комп</v>
          </cell>
          <cell r="F862" t="e">
            <v>#VALUE!</v>
          </cell>
        </row>
        <row r="863">
          <cell r="A863" t="str">
            <v>Тарелки оркестровые (пара, 16-18") – 2 пары  Zildjian 18" ,20'' A Symphonic French Tone</v>
          </cell>
          <cell r="B863" t="str">
            <v>пм152</v>
          </cell>
          <cell r="C863" t="str">
            <v>прочее муз</v>
          </cell>
          <cell r="F863">
            <v>0</v>
          </cell>
        </row>
        <row r="864">
          <cell r="A864" t="str">
            <v>Тарелка подвесная (suspended, 18-20") – 1 шт Zildjian 18" K' Constantinople Susp.</v>
          </cell>
          <cell r="B864" t="str">
            <v>пм151</v>
          </cell>
          <cell r="C864" t="str">
            <v>прочее муз</v>
          </cell>
          <cell r="F864">
            <v>0</v>
          </cell>
        </row>
        <row r="865">
          <cell r="A865" t="str">
            <v>Бубны (тамбурин) Black Swamp Percussion TC1,TC2,TD , TD 4 Tambourine</v>
          </cell>
          <cell r="B865" t="str">
            <v>пм150</v>
          </cell>
          <cell r="C865" t="str">
            <v>прочее муз</v>
          </cell>
          <cell r="F865">
            <v>0</v>
          </cell>
        </row>
        <row r="866">
          <cell r="A866" t="str">
            <v>Маракасы  LP</v>
          </cell>
          <cell r="B866" t="str">
            <v>пм149</v>
          </cell>
          <cell r="C866" t="str">
            <v>прочее муз</v>
          </cell>
          <cell r="F866">
            <v>0</v>
          </cell>
        </row>
        <row r="867">
          <cell r="A867" t="str">
            <v>Кастаньеты Black Swamp Percussion PCC-CM Castagnet MachineKolberg 1506BEB Castanet Machine medE</v>
          </cell>
          <cell r="B867" t="str">
            <v>пм148</v>
          </cell>
          <cell r="C867" t="str">
            <v>прочее муз</v>
          </cell>
          <cell r="F867">
            <v>0</v>
          </cell>
        </row>
        <row r="868">
          <cell r="A868" t="str">
            <v>Коробочка LP (wood block)</v>
          </cell>
          <cell r="B868" t="str">
            <v>пм147</v>
          </cell>
          <cell r="C868" t="str">
            <v>прочее муз</v>
          </cell>
          <cell r="F868">
            <v>0</v>
          </cell>
        </row>
        <row r="869">
          <cell r="A869" t="str">
            <v>Ковбелл LP – 2 шт разные по звучанию</v>
          </cell>
          <cell r="B869" t="str">
            <v>пм146</v>
          </cell>
          <cell r="C869" t="str">
            <v>прочее муз</v>
          </cell>
          <cell r="F869">
            <v>0</v>
          </cell>
        </row>
        <row r="870">
          <cell r="A870" t="str">
            <v>Агого LP</v>
          </cell>
          <cell r="B870" t="str">
            <v>пм145</v>
          </cell>
          <cell r="C870" t="str">
            <v>прочее муз</v>
          </cell>
          <cell r="F870">
            <v>0</v>
          </cell>
        </row>
        <row r="871">
          <cell r="A871" t="str">
            <v>Конги LP(пара) – LP LP801000 LP646NY-AW 
 Набор конгов City Series, диаметры 10" 
 и 11", корпуса из 2-х слойного 
 сиамского дуба, пластик из 
 натуральной кожи, обручи City EZ 
 Curve, болты на колках 9/32", отделка 
 фурнитуры черная, 
 в комплекте ключ для колков и 
 двойная подставка для конгов</v>
          </cell>
          <cell r="B871" t="str">
            <v>тм185</v>
          </cell>
          <cell r="C871" t="str">
            <v>Техника муз</v>
          </cell>
          <cell r="F871" t="e">
            <v>#VALUE!</v>
          </cell>
        </row>
        <row r="872">
          <cell r="A872" t="str">
            <v>Бонги LP – LP LP870665 LP330C 
 Стойка для бонго, уникальная система 
 натяжения LP Camlock, прочный 
 нейлоновый ремень, L-образная 
 подставка с резиновой подкладкой, 
 хромированное покрытие, двойные 
 усиленные ножки и нескользящие 
 резиновые опоры, регулировка 
 высоты. 
 Идеально подходит для игроков</v>
          </cell>
          <cell r="B872" t="str">
            <v>тм184</v>
          </cell>
          <cell r="C872" t="str">
            <v>Техника муз</v>
          </cell>
          <cell r="F872" t="e">
            <v>#VALUE!</v>
          </cell>
        </row>
        <row r="873">
          <cell r="A873" t="str">
            <v>Шейкеры (разные)</v>
          </cell>
          <cell r="B873" t="str">
            <v>пм144</v>
          </cell>
          <cell r="C873" t="str">
            <v>прочее муз</v>
          </cell>
          <cell r="E873" t="str">
            <v>шт</v>
          </cell>
          <cell r="F873">
            <v>0</v>
          </cell>
        </row>
        <row r="874">
          <cell r="A874" t="str">
            <v>Палочки барабанные (5А, 5В, 7А)Pro mark</v>
          </cell>
          <cell r="B874" t="str">
            <v>пм143</v>
          </cell>
          <cell r="C874" t="str">
            <v>прочее муз</v>
          </cell>
          <cell r="E874" t="str">
            <v>шт</v>
          </cell>
          <cell r="F874">
            <v>0</v>
          </cell>
        </row>
        <row r="875">
          <cell r="A875" t="str">
            <v>Палочки для ксилофона/виброфона Innovative</v>
          </cell>
          <cell r="B875" t="str">
            <v>пм142</v>
          </cell>
          <cell r="C875" t="str">
            <v>прочее муз</v>
          </cell>
          <cell r="E875" t="str">
            <v>шт</v>
          </cell>
          <cell r="F875">
            <v>0</v>
          </cell>
        </row>
        <row r="876">
          <cell r="A876" t="str">
            <v>Колотушки для бас-бочки (войлочные)</v>
          </cell>
          <cell r="B876" t="str">
            <v>пм141</v>
          </cell>
          <cell r="C876" t="str">
            <v>прочее муз</v>
          </cell>
          <cell r="E876" t="str">
            <v>шт</v>
          </cell>
          <cell r="F876">
            <v>0</v>
          </cell>
        </row>
        <row r="877">
          <cell r="A877" t="str">
            <v>Палочки для литавр (набор: войлок, пробка, дерево) innovative</v>
          </cell>
          <cell r="B877" t="str">
            <v>пм140</v>
          </cell>
          <cell r="C877" t="str">
            <v>прочее муз</v>
          </cell>
          <cell r="E877" t="str">
            <v>набор</v>
          </cell>
          <cell r="F877">
            <v>0</v>
          </cell>
        </row>
        <row r="878">
          <cell r="A878" t="str">
            <v>Щетки джазовые pro mark</v>
          </cell>
          <cell r="B878" t="str">
            <v>пм139</v>
          </cell>
          <cell r="C878" t="str">
            <v>прочее муз</v>
          </cell>
          <cell r="E878" t="str">
            <v>шт</v>
          </cell>
          <cell r="F878">
            <v>0</v>
          </cell>
        </row>
        <row r="879">
          <cell r="A879" t="str">
            <v>Чехлы для ксилофонов и виброфона</v>
          </cell>
          <cell r="B879" t="str">
            <v>пм138</v>
          </cell>
          <cell r="C879" t="str">
            <v>прочее муз</v>
          </cell>
          <cell r="E879" t="str">
            <v>шт</v>
          </cell>
          <cell r="F879">
            <v>0</v>
          </cell>
        </row>
        <row r="880">
          <cell r="A880" t="str">
            <v>Тележка для литавр</v>
          </cell>
          <cell r="B880" t="str">
            <v>пм137</v>
          </cell>
          <cell r="C880" t="str">
            <v>прочее муз</v>
          </cell>
          <cell r="E880" t="str">
            <v>шт</v>
          </cell>
          <cell r="F880">
            <v>0</v>
          </cell>
        </row>
        <row r="881">
          <cell r="A881" t="str">
            <v>Настройщик для литавр (ключ)</v>
          </cell>
          <cell r="B881" t="str">
            <v>пм136</v>
          </cell>
          <cell r="C881" t="str">
            <v>прочее муз</v>
          </cell>
          <cell r="E881" t="str">
            <v>шт</v>
          </cell>
          <cell r="F881">
            <v>0</v>
          </cell>
        </row>
        <row r="882">
          <cell r="A882" t="str">
            <v>Ключи/отвертки для обслуживания установок</v>
          </cell>
          <cell r="B882" t="str">
            <v>пм135</v>
          </cell>
          <cell r="C882" t="str">
            <v>прочее муз</v>
          </cell>
          <cell r="E882" t="str">
            <v>комп</v>
          </cell>
          <cell r="F882">
            <v>0</v>
          </cell>
        </row>
        <row r="883">
          <cell r="A883" t="str">
            <v>Аудиосистема мощная (150–200 Вт) + микшер 6–8 каналов</v>
          </cell>
          <cell r="B883" t="str">
            <v>пм134</v>
          </cell>
          <cell r="C883" t="str">
            <v>прочее муз</v>
          </cell>
          <cell r="E883" t="str">
            <v>комп</v>
          </cell>
          <cell r="F883">
            <v>0</v>
          </cell>
        </row>
        <row r="884">
          <cell r="A884" t="str">
            <v>Наушники закрытые</v>
          </cell>
          <cell r="B884" t="str">
            <v>пм133</v>
          </cell>
          <cell r="C884" t="str">
            <v>прочее муз</v>
          </cell>
          <cell r="E884" t="str">
            <v>шт</v>
          </cell>
          <cell r="F884">
            <v>0</v>
          </cell>
        </row>
        <row r="885">
          <cell r="A885" t="str">
            <v>Видеокамера + ноутбук/монитор</v>
          </cell>
          <cell r="B885" t="str">
            <v>пм132</v>
          </cell>
          <cell r="C885" t="str">
            <v>прочее муз</v>
          </cell>
          <cell r="E885" t="str">
            <v>комп</v>
          </cell>
          <cell r="F885">
            <v>0</v>
          </cell>
        </row>
        <row r="886">
          <cell r="A886" t="str">
            <v>Инструментальный шкаф (для хранения перкуссии и палочек)</v>
          </cell>
          <cell r="B886" t="str">
            <v>пм131</v>
          </cell>
          <cell r="C886" t="str">
            <v>прочее муз</v>
          </cell>
          <cell r="E886" t="str">
            <v>шт</v>
          </cell>
          <cell r="F886">
            <v>0</v>
          </cell>
        </row>
        <row r="887">
          <cell r="A887" t="str">
            <v>Руты (прутковые)</v>
          </cell>
          <cell r="B887" t="str">
            <v>пм130</v>
          </cell>
          <cell r="C887" t="str">
            <v>прочее муз</v>
          </cell>
          <cell r="E887" t="str">
            <v>шт</v>
          </cell>
          <cell r="F887">
            <v>0</v>
          </cell>
        </row>
        <row r="888">
          <cell r="A888" t="str">
            <v xml:space="preserve">Adams 2PASYIIDH20D Symphonic 
Generation II 
Профессиональная педальная 
литавра, диаметр 20 дюймов, котел из 
кованной меди, хромированные 
контробручи, хромированное кольцо с 
одним фланцем, алюминиевое 
основание с порошковым покрытием, 
более широкими ножками и 
встроенным третьим колесом, 
поворотные ролики с фиксаторами.
</v>
          </cell>
          <cell r="B888" t="str">
            <v>тм183</v>
          </cell>
          <cell r="C888" t="str">
            <v>Техника муз</v>
          </cell>
          <cell r="F888" t="e">
            <v>#VALUE!</v>
          </cell>
        </row>
        <row r="889">
          <cell r="A889" t="str">
            <v>Большой оркестровый барабан Adams 2BDIIV4022 Universal 
 нижней части 86 см, высота 
 Концертный бас барабан, диаметр 40 
 дюймов, глубина 22 дюйма, корпус из 
 красного дерева, обода из 
 закругленных деревянных пластин 
 шириной 2 дюйма, универсальная 
 стойка с фиксированными 
 креплениями, вращение на 360 
 градусов, раздельные натяжные лаги 
 для облегчения конструкции и</v>
          </cell>
          <cell r="B889" t="str">
            <v>тм182</v>
          </cell>
          <cell r="C889" t="str">
            <v>Техника муз</v>
          </cell>
          <cell r="F889" t="e">
            <v>#VALUE!</v>
          </cell>
        </row>
        <row r="890">
          <cell r="A890" t="str">
            <v>Колокол Adams 2BKIIS15 BK3203 
 Тубулярные колокола, серия 
 Symphonic, хромированные трубы из 
 латунного сплава, диматер 38 мм, 
 диапазон 1.5 октавы (C5-F6), 
 настройка A=442 Hz, высота 182 см, 
 ширина 88 см, глубина 60 см</v>
          </cell>
          <cell r="B890" t="str">
            <v>тм181</v>
          </cell>
          <cell r="C890" t="str">
            <v>Техника муз</v>
          </cell>
          <cell r="F890">
            <v>0</v>
          </cell>
        </row>
        <row r="891">
          <cell r="A891" t="str">
            <v>Там там Sabian 53401 34” Chinese Gong Традиционный гонг, диаметр 34 
 дюйма,</v>
          </cell>
          <cell r="B891" t="str">
            <v>тм180</v>
          </cell>
          <cell r="C891" t="str">
            <v>Техника муз</v>
          </cell>
          <cell r="F891">
            <v>0</v>
          </cell>
        </row>
        <row r="892">
          <cell r="A892" t="str">
            <v>Кротали. Sabian 50403HB 50403HB 
 Кротали из 13 дисков для высоких 
 октав, в комлекте с монтажной 
 планкой, стерженем и прочным 
 основание. Он настроен на A=442 и 
 обеспечивает исключительную 
 проекцию и сустейн, при этом высота и 
 интонация остаются кристально 
 чистыми на протяжении всей 
 длительности каждой ноты.</v>
          </cell>
          <cell r="B892" t="str">
            <v>тм179</v>
          </cell>
          <cell r="C892" t="str">
            <v>Техника муз</v>
          </cell>
          <cell r="F892" t="e">
            <v>#VALUE!</v>
          </cell>
        </row>
        <row r="893">
          <cell r="A893" t="str">
            <v>Крепление для треугольника Sabian 61122 Triangle Clip Крепление для треугольника</v>
          </cell>
          <cell r="B893" t="str">
            <v>тм178</v>
          </cell>
          <cell r="C893" t="str">
            <v>Техника муз</v>
          </cell>
          <cell r="F893">
            <v>0</v>
          </cell>
        </row>
        <row r="894">
          <cell r="A894" t="str">
            <v>Смычки для треугольника Sabian 61131 Striker Set w/Bag 
 Битер для треугольника в фирменном 
 чехле, размеры 1/8″, 3/16″, 1/4″, из 
 нержавеющей стали, имеет удобную 
 резиновую ручку, чехол из 
 высококачественного нейлона.</v>
          </cell>
          <cell r="B894" t="str">
            <v>тм177</v>
          </cell>
          <cell r="C894" t="str">
            <v>Техника муз</v>
          </cell>
          <cell r="F894">
            <v>0</v>
          </cell>
        </row>
        <row r="895">
          <cell r="A895" t="str">
            <v xml:space="preserve">Набор маршевых бMeinl Artisan Doumbek Royaleарабанов 
4 малых барабана
2 мультитома
3 больших барабана
3 пары тарелок 14.16.18 Zoldjian
</v>
          </cell>
          <cell r="B895" t="str">
            <v>тм176</v>
          </cell>
          <cell r="C895" t="str">
            <v>Техника муз</v>
          </cell>
          <cell r="F895">
            <v>0</v>
          </cell>
        </row>
        <row r="896">
          <cell r="A896" t="str">
            <v>Концертные томы сэт Tama Low ConcertTom Set CCLT4L-TPB</v>
          </cell>
          <cell r="B896" t="str">
            <v>тм175</v>
          </cell>
          <cell r="C896" t="str">
            <v>Техника муз</v>
          </cell>
          <cell r="F896">
            <v>0</v>
          </cell>
        </row>
        <row r="897">
          <cell r="A897" t="str">
            <v>Океан Remo 22" x 2.5" Ocean Drum Aquarium</v>
          </cell>
          <cell r="B897" t="str">
            <v>тм174</v>
          </cell>
          <cell r="C897" t="str">
            <v>Техника муз</v>
          </cell>
          <cell r="F897">
            <v>0</v>
          </cell>
        </row>
        <row r="898">
          <cell r="A898" t="str">
            <v>Вибраслеп LP LP209 Vibra Slap Deluxe</v>
          </cell>
          <cell r="B898" t="str">
            <v>тм173</v>
          </cell>
          <cell r="C898" t="str">
            <v>Техника муз</v>
          </cell>
          <cell r="F898">
            <v>0</v>
          </cell>
        </row>
        <row r="899">
          <cell r="A899" t="str">
            <v>Кахон LP LP1426 Adjustable Snare Cajon</v>
          </cell>
          <cell r="B899" t="str">
            <v>тм172</v>
          </cell>
          <cell r="C899" t="str">
            <v>Техника муз</v>
          </cell>
          <cell r="F899">
            <v>0</v>
          </cell>
        </row>
        <row r="900">
          <cell r="A900" t="str">
            <v>Джембе LP A-632-SW Djembe Aspire</v>
          </cell>
          <cell r="B900" t="str">
            <v>тм171</v>
          </cell>
          <cell r="C900" t="str">
            <v>Техника муз</v>
          </cell>
          <cell r="F900">
            <v>0</v>
          </cell>
        </row>
        <row r="901">
          <cell r="A901" t="str">
            <v>Дарбука Meinl Artisan Doumbek Royale</v>
          </cell>
          <cell r="B901" t="str">
            <v>тм170</v>
          </cell>
          <cell r="C901" t="str">
            <v>Техника муз</v>
          </cell>
          <cell r="F901">
            <v>0</v>
          </cell>
        </row>
        <row r="902">
          <cell r="A902" t="str">
            <v>Смычки для контрабаса</v>
          </cell>
          <cell r="B902" t="str">
            <v>пм129</v>
          </cell>
          <cell r="C902" t="str">
            <v>прочее муз</v>
          </cell>
          <cell r="F902">
            <v>0</v>
          </cell>
        </row>
        <row r="903">
          <cell r="A903" t="str">
            <v>Пласти для литавр на все 7 литавр по размерам Remo Renisans</v>
          </cell>
          <cell r="B903" t="str">
            <v>пм128</v>
          </cell>
          <cell r="C903" t="str">
            <v>прочее муз</v>
          </cell>
          <cell r="F903">
            <v>0</v>
          </cell>
        </row>
        <row r="904">
          <cell r="A904" t="str">
            <v>Пластики для ударной установки Remo Ambasador по размерам</v>
          </cell>
          <cell r="B904" t="str">
            <v>пм127</v>
          </cell>
          <cell r="C904" t="str">
            <v>прочее муз</v>
          </cell>
          <cell r="F904">
            <v>0</v>
          </cell>
        </row>
        <row r="905">
          <cell r="A905" t="str">
            <v xml:space="preserve">Панель интерактивная 75" </v>
          </cell>
          <cell r="B905" t="str">
            <v>т129</v>
          </cell>
          <cell r="C905" t="str">
            <v>Техника</v>
          </cell>
          <cell r="F905">
            <v>0</v>
          </cell>
        </row>
        <row r="906">
          <cell r="A906" t="str">
            <v>Мобильная стойка для панели</v>
          </cell>
          <cell r="B906" t="str">
            <v>т128</v>
          </cell>
          <cell r="C906" t="str">
            <v>Техника</v>
          </cell>
          <cell r="F906">
            <v>0</v>
          </cell>
        </row>
        <row r="907">
          <cell r="A907" t="str">
            <v>Стол модульный 1-местный</v>
          </cell>
          <cell r="B907" t="str">
            <v>м152</v>
          </cell>
          <cell r="C907" t="str">
            <v>мебель</v>
          </cell>
          <cell r="F907">
            <v>0</v>
          </cell>
        </row>
        <row r="908">
          <cell r="A908" t="str">
            <v>Стул полипропилен Тип 1</v>
          </cell>
          <cell r="B908" t="str">
            <v>м151</v>
          </cell>
          <cell r="C908" t="str">
            <v>мебель</v>
          </cell>
          <cell r="F908">
            <v>0</v>
          </cell>
        </row>
        <row r="909">
          <cell r="A909" t="str">
            <v>Доска магнитно-маркерная</v>
          </cell>
          <cell r="B909" t="str">
            <v>д542</v>
          </cell>
          <cell r="C909" t="str">
            <v>дидактика</v>
          </cell>
          <cell r="F909">
            <v>0</v>
          </cell>
        </row>
        <row r="910">
          <cell r="A910" t="str">
            <v>Таблица IT-технологии</v>
          </cell>
          <cell r="B910" t="str">
            <v>д541</v>
          </cell>
          <cell r="C910" t="str">
            <v>дидактика</v>
          </cell>
          <cell r="F910">
            <v>0</v>
          </cell>
        </row>
        <row r="911">
          <cell r="A911" t="str">
            <v>Программное обеспечение для управления цифровыми ресурсами</v>
          </cell>
          <cell r="B911" t="str">
            <v>т127</v>
          </cell>
          <cell r="C911" t="str">
            <v>Техника</v>
          </cell>
          <cell r="F911">
            <v>0</v>
          </cell>
        </row>
        <row r="912">
          <cell r="A912" t="str">
            <v>плакаты Введение в информатику-5 класс (рус.яз) - 12 шт</v>
          </cell>
          <cell r="B912" t="str">
            <v>д540</v>
          </cell>
          <cell r="C912" t="str">
            <v>дидактика</v>
          </cell>
          <cell r="F912">
            <v>0</v>
          </cell>
        </row>
        <row r="913">
          <cell r="A913" t="str">
            <v>плакат Информатика ИКТ-5 класс-5 шт</v>
          </cell>
          <cell r="B913" t="str">
            <v>д539</v>
          </cell>
          <cell r="C913" t="str">
            <v>дидактика</v>
          </cell>
          <cell r="F913">
            <v>0</v>
          </cell>
        </row>
        <row r="914">
          <cell r="A914" t="str">
            <v>плакаты Информатика и ИКТ 5-6 класс -12 шт</v>
          </cell>
          <cell r="B914" t="str">
            <v>д538</v>
          </cell>
          <cell r="C914" t="str">
            <v>дидактика</v>
          </cell>
          <cell r="F914">
            <v>0</v>
          </cell>
        </row>
        <row r="915">
          <cell r="A915" t="str">
            <v>плакаты Алгоритмы и программирование (каз.яз)-16 шт</v>
          </cell>
          <cell r="B915" t="str">
            <v>д537</v>
          </cell>
          <cell r="C915" t="str">
            <v>дидактика</v>
          </cell>
          <cell r="F915">
            <v>0</v>
          </cell>
        </row>
        <row r="916">
          <cell r="A916" t="str">
            <v>плакаты Визуальный базис, 7 шт</v>
          </cell>
          <cell r="B916" t="str">
            <v>д536</v>
          </cell>
          <cell r="C916" t="str">
            <v>дидактика</v>
          </cell>
          <cell r="F916">
            <v>0</v>
          </cell>
        </row>
        <row r="917">
          <cell r="A917" t="str">
            <v>плакаты Информатика -7-8 класс (каз.яз)-24 шт</v>
          </cell>
          <cell r="B917" t="str">
            <v>д535</v>
          </cell>
          <cell r="C917" t="str">
            <v>дидактика</v>
          </cell>
          <cell r="F917">
            <v>0</v>
          </cell>
        </row>
        <row r="918">
          <cell r="A918" t="str">
            <v>плакаты Компьютерная система -8 шт</v>
          </cell>
          <cell r="B918" t="str">
            <v>д534</v>
          </cell>
          <cell r="C918" t="str">
            <v>дидактика</v>
          </cell>
          <cell r="F918">
            <v>0</v>
          </cell>
        </row>
        <row r="919">
          <cell r="A919" t="str">
            <v>Портреты по информатике, А3 ,15 шт</v>
          </cell>
          <cell r="B919" t="str">
            <v>д533</v>
          </cell>
          <cell r="C919" t="str">
            <v>дидактика</v>
          </cell>
          <cell r="F919">
            <v>0</v>
          </cell>
        </row>
        <row r="920">
          <cell r="A920" t="str">
            <v xml:space="preserve">стенд Логотип в кабинет информатики IT технологии , 70х70 см
</v>
          </cell>
          <cell r="B920" t="str">
            <v>д532</v>
          </cell>
          <cell r="C920" t="str">
            <v>дидактика</v>
          </cell>
          <cell r="F920">
            <v>0</v>
          </cell>
        </row>
        <row r="921">
          <cell r="A921" t="str">
            <v>Беспроводной цифровой датчик pH</v>
          </cell>
          <cell r="B921" t="str">
            <v>д531</v>
          </cell>
          <cell r="C921" t="str">
            <v>дидактика</v>
          </cell>
          <cell r="F921">
            <v>0</v>
          </cell>
        </row>
        <row r="922">
          <cell r="A922" t="str">
            <v>Беспроводной цифровой датчик давления</v>
          </cell>
          <cell r="B922" t="str">
            <v>д530</v>
          </cell>
          <cell r="C922" t="str">
            <v>дидактика</v>
          </cell>
          <cell r="F922">
            <v>0</v>
          </cell>
        </row>
        <row r="923">
          <cell r="A923" t="str">
            <v>Датчик относительной влажности</v>
          </cell>
          <cell r="B923" t="str">
            <v>д529</v>
          </cell>
          <cell r="C923" t="str">
            <v>дидактика</v>
          </cell>
          <cell r="F923">
            <v>0</v>
          </cell>
        </row>
        <row r="924">
          <cell r="A924" t="str">
            <v>Датчик мутности растворов</v>
          </cell>
          <cell r="B924" t="str">
            <v>д528</v>
          </cell>
          <cell r="C924" t="str">
            <v>дидактика</v>
          </cell>
          <cell r="F924">
            <v>0</v>
          </cell>
        </row>
        <row r="925">
          <cell r="A925" t="str">
            <v>Беспроводной цифровой датчик температуры</v>
          </cell>
          <cell r="B925" t="str">
            <v>д527</v>
          </cell>
          <cell r="C925" t="str">
            <v>дидактика</v>
          </cell>
          <cell r="F925">
            <v>0</v>
          </cell>
        </row>
        <row r="926">
          <cell r="A926" t="str">
            <v>Беспроводной цифровой датчик удельной проводимости</v>
          </cell>
          <cell r="B926" t="str">
            <v>д526</v>
          </cell>
          <cell r="C926" t="str">
            <v>дидактика</v>
          </cell>
          <cell r="F926">
            <v>0</v>
          </cell>
        </row>
        <row r="927">
          <cell r="A927" t="str">
            <v>Программное обеспечение для работы с цифровыми датчиками</v>
          </cell>
          <cell r="B927" t="str">
            <v>т126</v>
          </cell>
          <cell r="C927" t="str">
            <v>Техника</v>
          </cell>
          <cell r="F927">
            <v>0</v>
          </cell>
        </row>
        <row r="928">
          <cell r="A928" t="str">
            <v>Комплект регулируемой парты со стульями</v>
          </cell>
          <cell r="B928" t="str">
            <v>д525</v>
          </cell>
          <cell r="C928" t="str">
            <v>дидактика</v>
          </cell>
          <cell r="F928">
            <v>0</v>
          </cell>
        </row>
        <row r="929">
          <cell r="A929" t="str">
            <v>Доска меловая-маркерная настенная трехстворчатая</v>
          </cell>
          <cell r="B929" t="str">
            <v>д524</v>
          </cell>
          <cell r="C929" t="str">
            <v>дидактика</v>
          </cell>
          <cell r="F929">
            <v>0</v>
          </cell>
        </row>
        <row r="930">
          <cell r="A930" t="str">
            <v>Шкаф для плакатов (карт) низкий</v>
          </cell>
          <cell r="B930" t="str">
            <v>м150</v>
          </cell>
          <cell r="C930" t="str">
            <v>мебель</v>
          </cell>
          <cell r="F930">
            <v>0</v>
          </cell>
        </row>
        <row r="931">
          <cell r="A931" t="str">
            <v>Карта Австралии и Океании политическая</v>
          </cell>
          <cell r="B931" t="str">
            <v>д523</v>
          </cell>
          <cell r="C931" t="str">
            <v>дидактика</v>
          </cell>
          <cell r="F931">
            <v>0</v>
          </cell>
        </row>
        <row r="932">
          <cell r="A932" t="str">
            <v>Карта Австралии и Океании физическая</v>
          </cell>
          <cell r="B932" t="str">
            <v>д522</v>
          </cell>
          <cell r="C932" t="str">
            <v>дидактика</v>
          </cell>
          <cell r="F932">
            <v>0</v>
          </cell>
        </row>
        <row r="933">
          <cell r="A933" t="str">
            <v>Карта Азии политическая</v>
          </cell>
          <cell r="B933" t="str">
            <v>д521</v>
          </cell>
          <cell r="C933" t="str">
            <v>дидактика</v>
          </cell>
          <cell r="F933">
            <v>0</v>
          </cell>
        </row>
        <row r="934">
          <cell r="A934" t="str">
            <v>Карта Азии физическая</v>
          </cell>
          <cell r="B934" t="str">
            <v>д520</v>
          </cell>
          <cell r="C934" t="str">
            <v>дидактика</v>
          </cell>
          <cell r="F934">
            <v>0</v>
          </cell>
        </row>
        <row r="935">
          <cell r="A935" t="str">
            <v>Карта Африки политическая</v>
          </cell>
          <cell r="B935" t="str">
            <v>д519</v>
          </cell>
          <cell r="C935" t="str">
            <v>дидактика</v>
          </cell>
          <cell r="F935">
            <v>0</v>
          </cell>
        </row>
        <row r="936">
          <cell r="A936" t="str">
            <v>Карта Африки физическая</v>
          </cell>
          <cell r="B936" t="str">
            <v>д518</v>
          </cell>
          <cell r="C936" t="str">
            <v>дидактика</v>
          </cell>
          <cell r="F936">
            <v>0</v>
          </cell>
        </row>
        <row r="937">
          <cell r="A937" t="str">
            <v>Карта Евразии физическая</v>
          </cell>
          <cell r="B937" t="str">
            <v>д517</v>
          </cell>
          <cell r="C937" t="str">
            <v>дидактика</v>
          </cell>
          <cell r="F937">
            <v>0</v>
          </cell>
        </row>
        <row r="938">
          <cell r="A938" t="str">
            <v>Карта Европы политическая</v>
          </cell>
          <cell r="B938" t="str">
            <v>д516</v>
          </cell>
          <cell r="C938" t="str">
            <v>дидактика</v>
          </cell>
          <cell r="F938">
            <v>0</v>
          </cell>
        </row>
        <row r="939">
          <cell r="A939" t="str">
            <v>Карта мира климатическая</v>
          </cell>
          <cell r="B939" t="str">
            <v>д515</v>
          </cell>
          <cell r="C939" t="str">
            <v>дидактика</v>
          </cell>
          <cell r="F939">
            <v>0</v>
          </cell>
        </row>
        <row r="940">
          <cell r="A940" t="str">
            <v>Карта мира политическая</v>
          </cell>
          <cell r="B940" t="str">
            <v>д514</v>
          </cell>
          <cell r="C940" t="str">
            <v>дидактика</v>
          </cell>
          <cell r="F940">
            <v>0</v>
          </cell>
        </row>
        <row r="941">
          <cell r="A941" t="str">
            <v>Карта мира физическая</v>
          </cell>
          <cell r="B941" t="str">
            <v>д513</v>
          </cell>
          <cell r="C941" t="str">
            <v>дидактика</v>
          </cell>
          <cell r="F941">
            <v>0</v>
          </cell>
        </row>
        <row r="942">
          <cell r="A942" t="str">
            <v>Карта народов и плотности населения мира</v>
          </cell>
          <cell r="B942" t="str">
            <v>д512</v>
          </cell>
          <cell r="C942" t="str">
            <v>дидактика</v>
          </cell>
          <cell r="F942">
            <v>0</v>
          </cell>
        </row>
        <row r="943">
          <cell r="A943" t="str">
            <v>Карта океанов</v>
          </cell>
          <cell r="B943" t="str">
            <v>д511</v>
          </cell>
          <cell r="C943" t="str">
            <v>дидактика</v>
          </cell>
          <cell r="F943">
            <v>0</v>
          </cell>
        </row>
        <row r="944">
          <cell r="A944" t="str">
            <v>Карта природных зон мира</v>
          </cell>
          <cell r="B944" t="str">
            <v>д510</v>
          </cell>
          <cell r="C944" t="str">
            <v>дидактика</v>
          </cell>
          <cell r="F944">
            <v>0</v>
          </cell>
        </row>
        <row r="945">
          <cell r="A945" t="str">
            <v>Карта Северной Америки политическая</v>
          </cell>
          <cell r="B945" t="str">
            <v>д509</v>
          </cell>
          <cell r="C945" t="str">
            <v>дидактика</v>
          </cell>
          <cell r="F945">
            <v>0</v>
          </cell>
        </row>
        <row r="946">
          <cell r="A946" t="str">
            <v>Карта Северной Америки физическая</v>
          </cell>
          <cell r="B946" t="str">
            <v>д508</v>
          </cell>
          <cell r="C946" t="str">
            <v>дидактика</v>
          </cell>
          <cell r="F946">
            <v>0</v>
          </cell>
        </row>
        <row r="947">
          <cell r="A947" t="str">
            <v>Карта экологических проблем мира</v>
          </cell>
          <cell r="B947" t="str">
            <v>д507</v>
          </cell>
          <cell r="C947" t="str">
            <v>дидактика</v>
          </cell>
          <cell r="F947">
            <v>0</v>
          </cell>
        </row>
        <row r="948">
          <cell r="A948" t="str">
            <v>Карта Южной Америки политическая</v>
          </cell>
          <cell r="B948" t="str">
            <v>д506</v>
          </cell>
          <cell r="C948" t="str">
            <v>дидактика</v>
          </cell>
          <cell r="F948">
            <v>0</v>
          </cell>
        </row>
        <row r="949">
          <cell r="A949" t="str">
            <v>Карта Южной Америки физическая</v>
          </cell>
          <cell r="B949" t="str">
            <v>д505</v>
          </cell>
          <cell r="C949" t="str">
            <v>дидактика</v>
          </cell>
          <cell r="F949">
            <v>0</v>
          </cell>
        </row>
        <row r="950">
          <cell r="A950" t="str">
            <v>Карта Республики Казахстан политико-административная</v>
          </cell>
          <cell r="B950" t="str">
            <v>д504</v>
          </cell>
          <cell r="C950" t="str">
            <v>дидактика</v>
          </cell>
          <cell r="F950">
            <v>0</v>
          </cell>
        </row>
        <row r="951">
          <cell r="A951" t="str">
            <v>Карта Республики Казахстан физическая</v>
          </cell>
          <cell r="B951" t="str">
            <v>д503</v>
          </cell>
          <cell r="C951" t="str">
            <v>дидактика</v>
          </cell>
          <cell r="F951">
            <v>0</v>
          </cell>
        </row>
        <row r="952">
          <cell r="A952" t="str">
            <v>Глобус Звездного неба 320 миллиметр с подсветкой</v>
          </cell>
          <cell r="B952" t="str">
            <v>д502</v>
          </cell>
          <cell r="C952" t="str">
            <v>дидактика</v>
          </cell>
          <cell r="F952">
            <v>0</v>
          </cell>
        </row>
        <row r="953">
          <cell r="A953" t="str">
            <v>Глобус Земли политический 320 миллиметр</v>
          </cell>
          <cell r="B953" t="str">
            <v>д501</v>
          </cell>
          <cell r="C953" t="str">
            <v>дидактика</v>
          </cell>
          <cell r="F953">
            <v>0</v>
          </cell>
        </row>
        <row r="954">
          <cell r="A954" t="str">
            <v>Глобус Земли физический 150 миллиметр</v>
          </cell>
          <cell r="B954" t="str">
            <v>д500</v>
          </cell>
          <cell r="C954" t="str">
            <v>дидактика</v>
          </cell>
          <cell r="F954">
            <v>0</v>
          </cell>
        </row>
        <row r="955">
          <cell r="A955" t="str">
            <v>Глобус Луны 320 миллиметр</v>
          </cell>
          <cell r="B955" t="str">
            <v>д499</v>
          </cell>
          <cell r="C955" t="str">
            <v>дидактика</v>
          </cell>
          <cell r="F955">
            <v>0</v>
          </cell>
        </row>
        <row r="956">
          <cell r="A956" t="str">
            <v>Глобус Марса 320 миллиметр</v>
          </cell>
          <cell r="B956" t="str">
            <v>д498</v>
          </cell>
          <cell r="C956" t="str">
            <v>дидактика</v>
          </cell>
          <cell r="F956">
            <v>0</v>
          </cell>
        </row>
        <row r="957">
          <cell r="A957" t="str">
            <v>Модель по географии "Сдвиги и разломы земной коры"</v>
          </cell>
          <cell r="B957" t="str">
            <v>д497</v>
          </cell>
          <cell r="C957" t="str">
            <v>дидактика</v>
          </cell>
          <cell r="F957">
            <v>0</v>
          </cell>
        </row>
        <row r="958">
          <cell r="A958" t="str">
            <v>Модель по географии "Строение земли"</v>
          </cell>
          <cell r="B958" t="str">
            <v>д496</v>
          </cell>
          <cell r="C958" t="str">
            <v>дидактика</v>
          </cell>
          <cell r="F958">
            <v>0</v>
          </cell>
        </row>
        <row r="959">
          <cell r="A959" t="str">
            <v>Модель по географии "Строение рельефа морского дна"</v>
          </cell>
          <cell r="B959" t="str">
            <v>д495</v>
          </cell>
          <cell r="C959" t="str">
            <v>дидактика</v>
          </cell>
          <cell r="F959">
            <v>0</v>
          </cell>
        </row>
        <row r="960">
          <cell r="A960" t="str">
            <v>Модель "Солнце–Земля–Луна (теллурий)"</v>
          </cell>
          <cell r="B960" t="str">
            <v>д494</v>
          </cell>
          <cell r="C960" t="str">
            <v>дидактика</v>
          </cell>
          <cell r="F960">
            <v>0</v>
          </cell>
        </row>
        <row r="961">
          <cell r="A961" t="str">
            <v>Модель циклона и антициклона</v>
          </cell>
          <cell r="B961" t="str">
            <v>д493</v>
          </cell>
          <cell r="C961" t="str">
            <v>дидактика</v>
          </cell>
          <cell r="F961">
            <v>0</v>
          </cell>
        </row>
        <row r="962">
          <cell r="A962" t="str">
            <v>Коллекция "Минералы и горные породы"</v>
          </cell>
          <cell r="B962" t="str">
            <v>д492</v>
          </cell>
          <cell r="C962" t="str">
            <v>дидактика</v>
          </cell>
          <cell r="F962">
            <v>0</v>
          </cell>
        </row>
        <row r="963">
          <cell r="A963" t="str">
            <v>Коллекция "Полезные ископаемые"</v>
          </cell>
          <cell r="B963" t="str">
            <v>д491</v>
          </cell>
          <cell r="C963" t="str">
            <v>дидактика</v>
          </cell>
          <cell r="F963">
            <v>0</v>
          </cell>
        </row>
        <row r="964">
          <cell r="A964" t="str">
            <v>Барометр-анероид</v>
          </cell>
          <cell r="B964" t="str">
            <v>д490</v>
          </cell>
          <cell r="C964" t="str">
            <v>дидактика</v>
          </cell>
          <cell r="F964">
            <v>0</v>
          </cell>
        </row>
        <row r="965">
          <cell r="A965" t="str">
            <v>Гигрометр психрометрический</v>
          </cell>
          <cell r="B965" t="str">
            <v>д489</v>
          </cell>
          <cell r="C965" t="str">
            <v>дидактика</v>
          </cell>
          <cell r="F965">
            <v>0</v>
          </cell>
        </row>
        <row r="966">
          <cell r="A966" t="str">
            <v>Дальномер электронный</v>
          </cell>
          <cell r="B966" t="str">
            <v>д488</v>
          </cell>
          <cell r="C966" t="str">
            <v>дидактика</v>
          </cell>
          <cell r="F966">
            <v>0</v>
          </cell>
        </row>
        <row r="967">
          <cell r="A967" t="str">
            <v>Компас школьный</v>
          </cell>
          <cell r="B967" t="str">
            <v>д487</v>
          </cell>
          <cell r="C967" t="str">
            <v>дидактика</v>
          </cell>
          <cell r="F967">
            <v>0</v>
          </cell>
        </row>
        <row r="968">
          <cell r="A968" t="str">
            <v>Курвиметр</v>
          </cell>
          <cell r="B968" t="str">
            <v>д486</v>
          </cell>
          <cell r="C968" t="str">
            <v>дидактика</v>
          </cell>
          <cell r="F968">
            <v>0</v>
          </cell>
        </row>
        <row r="969">
          <cell r="A969" t="str">
            <v>Рулетка</v>
          </cell>
          <cell r="B969" t="str">
            <v>д485</v>
          </cell>
          <cell r="C969" t="str">
            <v>дидактика</v>
          </cell>
          <cell r="F969">
            <v>0</v>
          </cell>
        </row>
        <row r="970">
          <cell r="A970" t="str">
            <v>Термометр с фиксацией максимального и минимального значений</v>
          </cell>
          <cell r="B970" t="str">
            <v>д484</v>
          </cell>
          <cell r="C970" t="str">
            <v>дидактика</v>
          </cell>
          <cell r="F970">
            <v>0</v>
          </cell>
        </row>
        <row r="971">
          <cell r="A971" t="str">
            <v>Модель сейсмографа</v>
          </cell>
          <cell r="B971" t="str">
            <v>д483</v>
          </cell>
          <cell r="C971" t="str">
            <v>дидактика</v>
          </cell>
          <cell r="F971">
            <v>0</v>
          </cell>
        </row>
        <row r="972">
          <cell r="A972" t="str">
            <v>Флюгер</v>
          </cell>
          <cell r="B972" t="str">
            <v>д482</v>
          </cell>
          <cell r="C972" t="str">
            <v>дидактика</v>
          </cell>
          <cell r="F972">
            <v>0</v>
          </cell>
        </row>
        <row r="973">
          <cell r="A973" t="str">
            <v>Комплект настенных стендов на пластиковой основе</v>
          </cell>
          <cell r="B973" t="str">
            <v>д481</v>
          </cell>
          <cell r="C973" t="str">
            <v>дидактика</v>
          </cell>
          <cell r="F973">
            <v>0</v>
          </cell>
        </row>
        <row r="974">
          <cell r="A974" t="str">
            <v>Доска гладильная напольная</v>
          </cell>
          <cell r="B974" t="str">
            <v>д480</v>
          </cell>
          <cell r="C974" t="str">
            <v>дидактика</v>
          </cell>
          <cell r="F974">
            <v>0</v>
          </cell>
        </row>
        <row r="975">
          <cell r="A975" t="str">
            <v>Манекен портновский с подставкой мужской и женский</v>
          </cell>
          <cell r="B975" t="str">
            <v>д479</v>
          </cell>
          <cell r="C975" t="str">
            <v>дидактика</v>
          </cell>
          <cell r="F975">
            <v>0</v>
          </cell>
        </row>
        <row r="976">
          <cell r="A976" t="str">
            <v>Машина швейная компьютеризированная</v>
          </cell>
          <cell r="B976" t="str">
            <v>т125</v>
          </cell>
          <cell r="C976" t="str">
            <v>Техника</v>
          </cell>
          <cell r="F976">
            <v>0</v>
          </cell>
        </row>
        <row r="977">
          <cell r="A977" t="str">
            <v>Машина швейная электрическая</v>
          </cell>
          <cell r="B977" t="str">
            <v>т124</v>
          </cell>
          <cell r="C977" t="str">
            <v>Техника</v>
          </cell>
          <cell r="F977">
            <v>0</v>
          </cell>
        </row>
        <row r="978">
          <cell r="A978" t="str">
            <v>Станок ткацкий ручной</v>
          </cell>
          <cell r="B978" t="str">
            <v>д478</v>
          </cell>
          <cell r="C978" t="str">
            <v>дидактика</v>
          </cell>
          <cell r="F978">
            <v>0</v>
          </cell>
        </row>
        <row r="979">
          <cell r="A979" t="str">
            <v>Утюг</v>
          </cell>
          <cell r="B979" t="str">
            <v>д477</v>
          </cell>
          <cell r="C979" t="str">
            <v>дидактика</v>
          </cell>
          <cell r="F979">
            <v>0</v>
          </cell>
        </row>
        <row r="980">
          <cell r="A980" t="str">
            <v>Доска комбинированная маркер/текстиль настенная</v>
          </cell>
          <cell r="B980" t="str">
            <v>д476</v>
          </cell>
          <cell r="C980" t="str">
            <v>дидактика</v>
          </cell>
          <cell r="F980">
            <v>0</v>
          </cell>
        </row>
        <row r="981">
          <cell r="A981" t="str">
            <v>Стол для раскроя ткани</v>
          </cell>
          <cell r="B981" t="str">
            <v>м149</v>
          </cell>
          <cell r="C981" t="str">
            <v>мебель</v>
          </cell>
          <cell r="F981">
            <v>0</v>
          </cell>
        </row>
        <row r="982">
          <cell r="A982" t="str">
            <v>Стол под швейную машинку</v>
          </cell>
          <cell r="B982" t="str">
            <v>м148</v>
          </cell>
          <cell r="C982" t="str">
            <v>мебель</v>
          </cell>
          <cell r="F982">
            <v>0</v>
          </cell>
        </row>
        <row r="983">
          <cell r="A983" t="str">
            <v>Стол ученический 2-местный</v>
          </cell>
          <cell r="B983" t="str">
            <v>м147</v>
          </cell>
          <cell r="C983" t="str">
            <v>мебель</v>
          </cell>
          <cell r="F983">
            <v>0</v>
          </cell>
        </row>
        <row r="984">
          <cell r="A984" t="str">
            <v>Табурет рабочий поворотный</v>
          </cell>
          <cell r="B984" t="str">
            <v>м146</v>
          </cell>
          <cell r="C984" t="str">
            <v>мебель</v>
          </cell>
          <cell r="F984">
            <v>0</v>
          </cell>
        </row>
        <row r="985">
          <cell r="A985" t="str">
            <v>Булавки вязальные</v>
          </cell>
          <cell r="B985" t="str">
            <v>д475</v>
          </cell>
          <cell r="C985" t="str">
            <v>дидактика</v>
          </cell>
          <cell r="F985">
            <v>0</v>
          </cell>
        </row>
        <row r="986">
          <cell r="A986" t="str">
            <v>Булавки портновские</v>
          </cell>
          <cell r="B986" t="str">
            <v>д474</v>
          </cell>
          <cell r="C986" t="str">
            <v>дидактика</v>
          </cell>
          <cell r="F986">
            <v>0</v>
          </cell>
        </row>
        <row r="987">
          <cell r="A987" t="str">
            <v>Бумага копировальная</v>
          </cell>
          <cell r="B987" t="str">
            <v>д473</v>
          </cell>
          <cell r="C987" t="str">
            <v>дидактика</v>
          </cell>
          <cell r="F987">
            <v>0</v>
          </cell>
        </row>
        <row r="988">
          <cell r="A988" t="str">
            <v>Вспарыватель</v>
          </cell>
          <cell r="B988" t="str">
            <v>д472</v>
          </cell>
          <cell r="C988" t="str">
            <v>дидактика</v>
          </cell>
          <cell r="F988">
            <v>0</v>
          </cell>
        </row>
        <row r="989">
          <cell r="A989" t="str">
            <v>Иглы для вышивания</v>
          </cell>
          <cell r="B989" t="str">
            <v>д471</v>
          </cell>
          <cell r="C989" t="str">
            <v>дидактика</v>
          </cell>
          <cell r="F989">
            <v>0</v>
          </cell>
        </row>
        <row r="990">
          <cell r="A990" t="str">
            <v>Иглы для ручного шитья</v>
          </cell>
          <cell r="B990" t="str">
            <v>д470</v>
          </cell>
          <cell r="C990" t="str">
            <v>дидактика</v>
          </cell>
          <cell r="F990">
            <v>0</v>
          </cell>
        </row>
        <row r="991">
          <cell r="A991" t="str">
            <v>Иглы штопальные</v>
          </cell>
          <cell r="B991" t="str">
            <v>д469</v>
          </cell>
          <cell r="C991" t="str">
            <v>дидактика</v>
          </cell>
          <cell r="F991">
            <v>0</v>
          </cell>
        </row>
        <row r="992">
          <cell r="A992" t="str">
            <v>Канва без рисунка</v>
          </cell>
          <cell r="B992" t="str">
            <v>д468</v>
          </cell>
          <cell r="C992" t="str">
            <v>дидактика</v>
          </cell>
          <cell r="F992">
            <v>0</v>
          </cell>
        </row>
        <row r="993">
          <cell r="A993" t="str">
            <v>Коллекция "Образцы тканей" раздаточная на 12 учащихся</v>
          </cell>
          <cell r="B993" t="str">
            <v>д467</v>
          </cell>
          <cell r="C993" t="str">
            <v>дидактика</v>
          </cell>
          <cell r="F993">
            <v>0</v>
          </cell>
        </row>
        <row r="994">
          <cell r="A994" t="str">
            <v>Кольца для вязания</v>
          </cell>
          <cell r="B994" t="str">
            <v>д466</v>
          </cell>
          <cell r="C994" t="str">
            <v>дидактика</v>
          </cell>
          <cell r="F994">
            <v>0</v>
          </cell>
        </row>
        <row r="995">
          <cell r="A995" t="str">
            <v>Крючки для вязания</v>
          </cell>
          <cell r="B995" t="str">
            <v>д465</v>
          </cell>
          <cell r="C995" t="str">
            <v>дидактика</v>
          </cell>
          <cell r="F995">
            <v>0</v>
          </cell>
        </row>
        <row r="996">
          <cell r="A996" t="str">
            <v>Линейка закройщика 30 сантиметр</v>
          </cell>
          <cell r="B996" t="str">
            <v>д464</v>
          </cell>
          <cell r="C996" t="str">
            <v>дидактика</v>
          </cell>
          <cell r="F996">
            <v>0</v>
          </cell>
        </row>
        <row r="997">
          <cell r="A997" t="str">
            <v>Линейка металлическая 30 сантиметр</v>
          </cell>
          <cell r="B997" t="str">
            <v>д463</v>
          </cell>
          <cell r="C997" t="str">
            <v>дидактика</v>
          </cell>
          <cell r="F997">
            <v>0</v>
          </cell>
        </row>
        <row r="998">
          <cell r="A998" t="str">
            <v>Мел портновский цветной треугольный</v>
          </cell>
          <cell r="B998" t="str">
            <v>д462</v>
          </cell>
          <cell r="C998" t="str">
            <v>дидактика</v>
          </cell>
          <cell r="F998">
            <v>0</v>
          </cell>
        </row>
        <row r="999">
          <cell r="A999" t="str">
            <v>Набор пластмассовых лекал (3 шт)</v>
          </cell>
          <cell r="B999" t="str">
            <v>д461</v>
          </cell>
          <cell r="C999" t="str">
            <v>дидактика</v>
          </cell>
          <cell r="F999">
            <v>0</v>
          </cell>
        </row>
        <row r="1000">
          <cell r="A1000" t="str">
            <v>Наперсток</v>
          </cell>
          <cell r="B1000" t="str">
            <v>д460</v>
          </cell>
          <cell r="C1000" t="str">
            <v>дидактика</v>
          </cell>
          <cell r="F1000">
            <v>0</v>
          </cell>
        </row>
        <row r="1001">
          <cell r="A1001" t="str">
            <v>Нитки для вышивания Мулине цветные</v>
          </cell>
          <cell r="B1001" t="str">
            <v>д459</v>
          </cell>
          <cell r="C1001" t="str">
            <v>дидактика</v>
          </cell>
          <cell r="F1001">
            <v>0</v>
          </cell>
        </row>
        <row r="1002">
          <cell r="A1002" t="str">
            <v>Нитки полиэстер</v>
          </cell>
          <cell r="B1002" t="str">
            <v>д458</v>
          </cell>
          <cell r="C1002" t="str">
            <v>дидактика</v>
          </cell>
          <cell r="F1002">
            <v>0</v>
          </cell>
        </row>
        <row r="1003">
          <cell r="A1003" t="str">
            <v>Нитки ткацкие швейные армированные не менее 5000 метр</v>
          </cell>
          <cell r="B1003" t="str">
            <v>д457</v>
          </cell>
          <cell r="C1003" t="str">
            <v>дидактика</v>
          </cell>
          <cell r="F1003">
            <v>0</v>
          </cell>
        </row>
        <row r="1004">
          <cell r="A1004" t="str">
            <v>Ножницы для обрезки нитей</v>
          </cell>
          <cell r="B1004" t="str">
            <v>д456</v>
          </cell>
          <cell r="C1004" t="str">
            <v>дидактика</v>
          </cell>
          <cell r="F1004">
            <v>0</v>
          </cell>
        </row>
        <row r="1005">
          <cell r="A1005" t="str">
            <v>Ножницы закройные</v>
          </cell>
          <cell r="B1005" t="str">
            <v>д455</v>
          </cell>
          <cell r="C1005" t="str">
            <v>дидактика</v>
          </cell>
          <cell r="F1005">
            <v>0</v>
          </cell>
        </row>
        <row r="1006">
          <cell r="A1006" t="str">
            <v>Ножницы зигзаг</v>
          </cell>
          <cell r="B1006" t="str">
            <v>д454</v>
          </cell>
          <cell r="C1006" t="str">
            <v>дидактика</v>
          </cell>
          <cell r="F1006">
            <v>0</v>
          </cell>
        </row>
        <row r="1007">
          <cell r="A1007" t="str">
            <v>Ножницы канцелярские</v>
          </cell>
          <cell r="B1007" t="str">
            <v>д453</v>
          </cell>
          <cell r="C1007" t="str">
            <v>дидактика</v>
          </cell>
          <cell r="F1007">
            <v>0</v>
          </cell>
        </row>
        <row r="1008">
          <cell r="A1008" t="str">
            <v>Ножницы портновские большие</v>
          </cell>
          <cell r="B1008" t="str">
            <v>д452</v>
          </cell>
          <cell r="C1008" t="str">
            <v>дидактика</v>
          </cell>
          <cell r="F1008">
            <v>0</v>
          </cell>
        </row>
        <row r="1009">
          <cell r="A1009" t="str">
            <v>Пряжа для вязания крючком 10 грамм</v>
          </cell>
          <cell r="B1009" t="str">
            <v>д451</v>
          </cell>
          <cell r="C1009" t="str">
            <v>дидактика</v>
          </cell>
          <cell r="F1009">
            <v>0</v>
          </cell>
        </row>
        <row r="1010">
          <cell r="A1010" t="str">
            <v>Пряжа для вязания спицами 50 грамм</v>
          </cell>
          <cell r="B1010" t="str">
            <v>д450</v>
          </cell>
          <cell r="C1010" t="str">
            <v>дидактика</v>
          </cell>
          <cell r="F1010">
            <v>0</v>
          </cell>
        </row>
        <row r="1011">
          <cell r="A1011" t="str">
            <v>Пяльцы круглые для вышивания</v>
          </cell>
          <cell r="B1011" t="str">
            <v>д449</v>
          </cell>
          <cell r="C1011" t="str">
            <v>дидактика</v>
          </cell>
          <cell r="F1011">
            <v>0</v>
          </cell>
        </row>
        <row r="1012">
          <cell r="A1012" t="str">
            <v>Спицы для вязания</v>
          </cell>
          <cell r="B1012" t="str">
            <v>д448</v>
          </cell>
          <cell r="C1012" t="str">
            <v>дидактика</v>
          </cell>
          <cell r="F1012">
            <v>0</v>
          </cell>
        </row>
        <row r="1013">
          <cell r="A1013" t="str">
            <v>Угольник пластиковый 60 грамм</v>
          </cell>
          <cell r="B1013" t="str">
            <v>д447</v>
          </cell>
          <cell r="C1013" t="str">
            <v>дидактика</v>
          </cell>
          <cell r="F1013">
            <v>0</v>
          </cell>
        </row>
        <row r="1014">
          <cell r="A1014" t="str">
            <v>Фартук с косынкой х/б цветные</v>
          </cell>
          <cell r="B1014" t="str">
            <v>д446</v>
          </cell>
          <cell r="C1014" t="str">
            <v>дидактика</v>
          </cell>
          <cell r="F1014">
            <v>0</v>
          </cell>
        </row>
        <row r="1015">
          <cell r="A1015" t="str">
            <v>Таблица Правила техники безопасности при обработке текстильных материалов</v>
          </cell>
          <cell r="B1015" t="str">
            <v>д445</v>
          </cell>
          <cell r="C1015" t="str">
            <v>дидактика</v>
          </cell>
          <cell r="F1015">
            <v>0</v>
          </cell>
        </row>
        <row r="1016">
          <cell r="A1016" t="str">
            <v>Кабина примерочная прямоугольная с занавесом</v>
          </cell>
          <cell r="B1016" t="str">
            <v>м145</v>
          </cell>
          <cell r="C1016" t="str">
            <v>мебель</v>
          </cell>
          <cell r="F1016">
            <v>0</v>
          </cell>
        </row>
        <row r="1017">
          <cell r="A1017" t="str">
            <v>Коробка с крышкой картонная</v>
          </cell>
          <cell r="B1017" t="str">
            <v>д444</v>
          </cell>
          <cell r="C1017" t="str">
            <v>дидактика</v>
          </cell>
          <cell r="F1017">
            <v>0</v>
          </cell>
        </row>
        <row r="1018">
          <cell r="A1018" t="str">
            <v>Плечики одежные</v>
          </cell>
          <cell r="B1018" t="str">
            <v>м144</v>
          </cell>
          <cell r="C1018" t="str">
            <v>мебель</v>
          </cell>
          <cell r="F1018">
            <v>0</v>
          </cell>
        </row>
        <row r="1019">
          <cell r="A1019" t="str">
            <v>Стол детский</v>
          </cell>
          <cell r="B1019" t="str">
            <v>м143</v>
          </cell>
          <cell r="C1019" t="str">
            <v>мебель</v>
          </cell>
          <cell r="F1019">
            <v>0</v>
          </cell>
        </row>
        <row r="1020">
          <cell r="A1020" t="str">
            <v>Стул детский</v>
          </cell>
          <cell r="B1020" t="str">
            <v>м142</v>
          </cell>
          <cell r="C1020" t="str">
            <v>мебель</v>
          </cell>
          <cell r="F1020">
            <v>0</v>
          </cell>
        </row>
        <row r="1021">
          <cell r="A1021" t="str">
            <v>Методическая литература</v>
          </cell>
          <cell r="B1021" t="str">
            <v>д443</v>
          </cell>
          <cell r="C1021" t="str">
            <v>дидактика</v>
          </cell>
          <cell r="F1021">
            <v>0</v>
          </cell>
        </row>
        <row r="1022">
          <cell r="A1022" t="str">
            <v>Зеркало настенное для групповых логопедических занятий</v>
          </cell>
          <cell r="B1022" t="str">
            <v>д442</v>
          </cell>
          <cell r="C1022" t="str">
            <v>дидактика</v>
          </cell>
          <cell r="F1022">
            <v>0</v>
          </cell>
        </row>
        <row r="1023">
          <cell r="A1023" t="str">
            <v>Зеркало для индивидуальных логопедических занятий</v>
          </cell>
          <cell r="B1023" t="str">
            <v>д441</v>
          </cell>
          <cell r="C1023" t="str">
            <v>дидактика</v>
          </cell>
          <cell r="F1023">
            <v>0</v>
          </cell>
        </row>
        <row r="1024">
          <cell r="A1024" t="str">
            <v>Логопедический шпатель</v>
          </cell>
          <cell r="B1024" t="str">
            <v>д440</v>
          </cell>
          <cell r="C1024" t="str">
            <v>дидактика</v>
          </cell>
          <cell r="F1024">
            <v>0</v>
          </cell>
        </row>
        <row r="1025">
          <cell r="A1025" t="str">
            <v>Логопедический зонд постановочный</v>
          </cell>
          <cell r="B1025" t="str">
            <v>д439</v>
          </cell>
          <cell r="C1025" t="str">
            <v>дидактика</v>
          </cell>
          <cell r="F1025">
            <v>0</v>
          </cell>
        </row>
        <row r="1026">
          <cell r="A1026" t="str">
            <v>Логопедический зонд массажный</v>
          </cell>
          <cell r="B1026" t="str">
            <v>д438</v>
          </cell>
          <cell r="C1026" t="str">
            <v>дидактика</v>
          </cell>
          <cell r="F1026">
            <v>0</v>
          </cell>
        </row>
        <row r="1027">
          <cell r="A1027" t="str">
            <v>Логопедический зонд вспомогательный</v>
          </cell>
          <cell r="B1027" t="str">
            <v>д437</v>
          </cell>
          <cell r="C1027" t="str">
            <v>дидактика</v>
          </cell>
          <cell r="F1027">
            <v>0</v>
          </cell>
        </row>
        <row r="1028">
          <cell r="A1028" t="str">
            <v>Стерилизатор</v>
          </cell>
          <cell r="B1028" t="str">
            <v>д436</v>
          </cell>
          <cell r="C1028" t="str">
            <v>дидактика</v>
          </cell>
          <cell r="F1028">
            <v>0</v>
          </cell>
        </row>
        <row r="1029">
          <cell r="A1029" t="str">
            <v>Тренажер для развития звуко-произносительной и лексико-грамматической стороны речи</v>
          </cell>
          <cell r="B1029" t="str">
            <v>д435</v>
          </cell>
          <cell r="C1029" t="str">
            <v>дидактика</v>
          </cell>
          <cell r="F1029">
            <v>0</v>
          </cell>
        </row>
        <row r="1030">
          <cell r="A1030" t="str">
            <v>Тренажер для развития слухового восприятия и формирования коммуникативно-речевых навыков</v>
          </cell>
          <cell r="B1030" t="str">
            <v>д434</v>
          </cell>
          <cell r="C1030" t="str">
            <v>дидактика</v>
          </cell>
          <cell r="F1030">
            <v>0</v>
          </cell>
        </row>
        <row r="1031">
          <cell r="A1031" t="str">
            <v>Речевой тренажер для усвоения и развития элементарной речевой коммуникации</v>
          </cell>
          <cell r="B1031" t="str">
            <v>д433</v>
          </cell>
          <cell r="C1031" t="str">
            <v>дидактика</v>
          </cell>
          <cell r="F1031">
            <v>0</v>
          </cell>
        </row>
        <row r="1032">
          <cell r="A1032" t="str">
            <v>Игрушка по лексическим темам</v>
          </cell>
          <cell r="B1032" t="str">
            <v>д432</v>
          </cell>
          <cell r="C1032" t="str">
            <v>дидактика</v>
          </cell>
          <cell r="F1032">
            <v>0</v>
          </cell>
        </row>
        <row r="1033">
          <cell r="A1033" t="str">
            <v>Наглядно-дидактический материал</v>
          </cell>
          <cell r="B1033" t="str">
            <v>д431</v>
          </cell>
          <cell r="C1033" t="str">
            <v>дидактика</v>
          </cell>
          <cell r="F1033">
            <v>0</v>
          </cell>
        </row>
        <row r="1034">
          <cell r="A1034" t="str">
            <v>Методическая литература и пособия</v>
          </cell>
          <cell r="B1034" t="str">
            <v>д430</v>
          </cell>
          <cell r="C1034" t="str">
            <v>дидактика</v>
          </cell>
          <cell r="F1034">
            <v>0</v>
          </cell>
        </row>
        <row r="1035">
          <cell r="A1035" t="str">
            <v>Набор шумовых музыкальных инструментов</v>
          </cell>
          <cell r="B1035" t="str">
            <v>тм169</v>
          </cell>
          <cell r="C1035" t="str">
            <v>Техника муз</v>
          </cell>
          <cell r="F1035">
            <v>0</v>
          </cell>
        </row>
        <row r="1036">
          <cell r="A1036" t="str">
            <v>Детский барабан</v>
          </cell>
          <cell r="B1036" t="str">
            <v>тм168</v>
          </cell>
          <cell r="C1036" t="str">
            <v>Техника муз</v>
          </cell>
          <cell r="F1036">
            <v>0</v>
          </cell>
        </row>
        <row r="1037">
          <cell r="A1037" t="str">
            <v>Набор колокольчиков</v>
          </cell>
          <cell r="B1037" t="str">
            <v>тм167</v>
          </cell>
          <cell r="C1037" t="str">
            <v>Техника муз</v>
          </cell>
          <cell r="F1037">
            <v>0</v>
          </cell>
        </row>
        <row r="1038">
          <cell r="A1038" t="str">
            <v>Тамбурин</v>
          </cell>
          <cell r="B1038" t="str">
            <v>тм166</v>
          </cell>
          <cell r="C1038" t="str">
            <v>Техника муз</v>
          </cell>
          <cell r="F1038">
            <v>0</v>
          </cell>
        </row>
        <row r="1039">
          <cell r="A1039" t="str">
            <v>Бубен</v>
          </cell>
          <cell r="B1039" t="str">
            <v>тм165</v>
          </cell>
          <cell r="C1039" t="str">
            <v>Техника муз</v>
          </cell>
          <cell r="F1039">
            <v>0</v>
          </cell>
        </row>
        <row r="1040">
          <cell r="A1040" t="str">
            <v>Трещотка</v>
          </cell>
          <cell r="B1040" t="str">
            <v>тм164</v>
          </cell>
          <cell r="C1040" t="str">
            <v>Техника муз</v>
          </cell>
          <cell r="F1040">
            <v>0</v>
          </cell>
        </row>
        <row r="1041">
          <cell r="A1041" t="str">
            <v>Рубель</v>
          </cell>
          <cell r="B1041" t="str">
            <v>тм163</v>
          </cell>
          <cell r="C1041" t="str">
            <v>Техника муз</v>
          </cell>
          <cell r="F1041">
            <v>0</v>
          </cell>
        </row>
        <row r="1042">
          <cell r="A1042" t="str">
            <v>Свистулька</v>
          </cell>
          <cell r="B1042" t="str">
            <v>тм162</v>
          </cell>
          <cell r="C1042" t="str">
            <v>Техника муз</v>
          </cell>
          <cell r="F1042">
            <v>0</v>
          </cell>
        </row>
        <row r="1043">
          <cell r="A1043" t="str">
            <v>Жалейка</v>
          </cell>
          <cell r="B1043" t="str">
            <v>тм161</v>
          </cell>
          <cell r="C1043" t="str">
            <v>Техника муз</v>
          </cell>
          <cell r="F1043">
            <v>0</v>
          </cell>
        </row>
        <row r="1044">
          <cell r="A1044" t="str">
            <v>Свирель</v>
          </cell>
          <cell r="B1044" t="str">
            <v>тм160</v>
          </cell>
          <cell r="C1044" t="str">
            <v>Техника муз</v>
          </cell>
          <cell r="F1044">
            <v>0</v>
          </cell>
        </row>
        <row r="1045">
          <cell r="A1045" t="str">
            <v>Рожок</v>
          </cell>
          <cell r="B1045" t="str">
            <v>тм159</v>
          </cell>
          <cell r="C1045" t="str">
            <v>Техника муз</v>
          </cell>
          <cell r="F1045">
            <v>0</v>
          </cell>
        </row>
        <row r="1046">
          <cell r="A1046" t="str">
            <v>Балалайка</v>
          </cell>
          <cell r="B1046" t="str">
            <v>тм158</v>
          </cell>
          <cell r="C1046" t="str">
            <v>Техника муз</v>
          </cell>
          <cell r="F1046">
            <v>0</v>
          </cell>
        </row>
        <row r="1047">
          <cell r="A1047" t="str">
            <v>Домра</v>
          </cell>
          <cell r="B1047" t="str">
            <v>тм157</v>
          </cell>
          <cell r="C1047" t="str">
            <v>Техника муз</v>
          </cell>
          <cell r="F1047">
            <v>0</v>
          </cell>
        </row>
        <row r="1048">
          <cell r="A1048" t="str">
            <v>Гусли</v>
          </cell>
          <cell r="B1048" t="str">
            <v>тм156</v>
          </cell>
          <cell r="C1048" t="str">
            <v>Техника муз</v>
          </cell>
          <cell r="F1048">
            <v>0</v>
          </cell>
        </row>
        <row r="1049">
          <cell r="A1049" t="str">
            <v>Флейта</v>
          </cell>
          <cell r="B1049" t="str">
            <v>тм155</v>
          </cell>
          <cell r="C1049" t="str">
            <v>Техника муз</v>
          </cell>
          <cell r="F1049">
            <v>0</v>
          </cell>
        </row>
        <row r="1050">
          <cell r="A1050" t="str">
            <v>Ударная установка</v>
          </cell>
          <cell r="B1050" t="str">
            <v>т123</v>
          </cell>
          <cell r="C1050" t="str">
            <v>Техника</v>
          </cell>
          <cell r="F1050">
            <v>0</v>
          </cell>
        </row>
        <row r="1051">
          <cell r="A1051" t="str">
            <v>Музыкальный центр</v>
          </cell>
          <cell r="B1051" t="str">
            <v>т122</v>
          </cell>
          <cell r="C1051" t="str">
            <v>Техника</v>
          </cell>
          <cell r="F1051">
            <v>0</v>
          </cell>
        </row>
        <row r="1052">
          <cell r="A1052" t="str">
            <v>Активная колонка (Портативная акустическая система)</v>
          </cell>
          <cell r="B1052" t="str">
            <v>т121</v>
          </cell>
          <cell r="C1052" t="str">
            <v>Техника</v>
          </cell>
          <cell r="F1052">
            <v>0</v>
          </cell>
        </row>
        <row r="1053">
          <cell r="A1053" t="str">
            <v>Проектор мультимедийный</v>
          </cell>
          <cell r="B1053" t="str">
            <v>т120</v>
          </cell>
          <cell r="C1053" t="str">
            <v>Техника</v>
          </cell>
          <cell r="F1053">
            <v>0</v>
          </cell>
        </row>
        <row r="1054">
          <cell r="A1054" t="str">
            <v>Экран проекционный</v>
          </cell>
          <cell r="B1054" t="str">
            <v>т119</v>
          </cell>
          <cell r="C1054" t="str">
            <v>Техника</v>
          </cell>
          <cell r="F1054">
            <v>0</v>
          </cell>
        </row>
        <row r="1055">
          <cell r="A1055" t="str">
            <v>Телевизор/Настенный монитор (40–50")</v>
          </cell>
          <cell r="B1055" t="str">
            <v>т118</v>
          </cell>
          <cell r="C1055" t="str">
            <v>Техника</v>
          </cell>
          <cell r="F1055">
            <v>0</v>
          </cell>
        </row>
        <row r="1056">
          <cell r="A1056" t="str">
            <v>Вокальный/инструментальный микрофон</v>
          </cell>
          <cell r="B1056" t="str">
            <v>пм126</v>
          </cell>
          <cell r="C1056" t="str">
            <v>прочее муз</v>
          </cell>
          <cell r="F1056">
            <v>0</v>
          </cell>
        </row>
        <row r="1057">
          <cell r="A1057" t="str">
            <v>Стойка для микрофона</v>
          </cell>
          <cell r="B1057" t="str">
            <v>пм125</v>
          </cell>
          <cell r="C1057" t="str">
            <v>прочее муз</v>
          </cell>
          <cell r="F1057">
            <v>0</v>
          </cell>
        </row>
        <row r="1058">
          <cell r="A1058" t="str">
            <v>Микрофон-петличка</v>
          </cell>
          <cell r="B1058" t="str">
            <v>тм154</v>
          </cell>
          <cell r="C1058" t="str">
            <v>Техника муз</v>
          </cell>
          <cell r="F1058">
            <v>0</v>
          </cell>
        </row>
        <row r="1059">
          <cell r="A1059" t="str">
            <v>Диктофон профессиональный (Zoom/Tascam)</v>
          </cell>
          <cell r="B1059" t="str">
            <v>тм153</v>
          </cell>
          <cell r="C1059" t="str">
            <v>Техника муз</v>
          </cell>
          <cell r="F1059">
            <v>0</v>
          </cell>
        </row>
        <row r="1060">
          <cell r="A1060" t="str">
            <v>Карта Балканы и Малая Азия в XIII-XV веков. Завоевания турок – османов 70х100 сантиметр</v>
          </cell>
          <cell r="B1060" t="str">
            <v>д429</v>
          </cell>
          <cell r="C1060" t="str">
            <v>дидактика</v>
          </cell>
          <cell r="F1060">
            <v>0</v>
          </cell>
        </row>
        <row r="1061">
          <cell r="A1061" t="str">
            <v>Карта Ближний Восток и страны Южной Азии во второй половине XX - начале XXI века 100х140 сантиметр</v>
          </cell>
          <cell r="B1061" t="str">
            <v>д428</v>
          </cell>
          <cell r="C1061" t="str">
            <v>дидактика</v>
          </cell>
          <cell r="F1061">
            <v>0</v>
          </cell>
        </row>
        <row r="1062">
          <cell r="A1062" t="str">
            <v>Карта Великое переселение народов. Гибель Западной Римской империи 70х100 сантиметр</v>
          </cell>
          <cell r="B1062" t="str">
            <v>д427</v>
          </cell>
          <cell r="C1062" t="str">
            <v>дидактика</v>
          </cell>
          <cell r="F1062">
            <v>0</v>
          </cell>
        </row>
        <row r="1063">
          <cell r="A1063" t="str">
            <v>Карта Война за независимость североамериканских колоний и образование США 70х100 сантиметр</v>
          </cell>
          <cell r="B1063" t="str">
            <v>д426</v>
          </cell>
          <cell r="C1063" t="str">
            <v>дидактика</v>
          </cell>
          <cell r="F1063">
            <v>0</v>
          </cell>
        </row>
        <row r="1064">
          <cell r="A1064" t="str">
            <v>Карта Восточная и Юго-Восточная Азия во второй половине XX-начале XXI в 70х100 сантиметр</v>
          </cell>
          <cell r="B1064" t="str">
            <v>д425</v>
          </cell>
          <cell r="C1064" t="str">
            <v>дидактика</v>
          </cell>
          <cell r="F1064">
            <v>0</v>
          </cell>
        </row>
        <row r="1065">
          <cell r="A1065" t="str">
            <v>Карта Гражданская война в США (1861- 1865 годы) 70х100 сантиметр</v>
          </cell>
          <cell r="B1065" t="str">
            <v>д424</v>
          </cell>
          <cell r="C1065" t="str">
            <v>дидактика</v>
          </cell>
          <cell r="F1065">
            <v>0</v>
          </cell>
        </row>
        <row r="1066">
          <cell r="A1066" t="str">
            <v>Карта Завершение Великой Отечественной войны (январь 1944 -май 1945 годы Разгром Японии) 70х100 сантиметр</v>
          </cell>
          <cell r="B1066" t="str">
            <v>д423</v>
          </cell>
          <cell r="C1066" t="str">
            <v>дидактика</v>
          </cell>
          <cell r="F1066">
            <v>0</v>
          </cell>
        </row>
        <row r="1067">
          <cell r="A1067" t="str">
            <v>Карта Завоевания арабов. Арабский халифат и его распад VIII-IX веков 70х100 сантиметр</v>
          </cell>
          <cell r="B1067" t="str">
            <v>д422</v>
          </cell>
          <cell r="C1067" t="str">
            <v>дидактика</v>
          </cell>
          <cell r="F1067">
            <v>0</v>
          </cell>
        </row>
        <row r="1068">
          <cell r="A1068" t="str">
            <v>Карта Индия и Китай в VII-XII веков 70х100 сантиметр</v>
          </cell>
          <cell r="B1068" t="str">
            <v>д421</v>
          </cell>
          <cell r="C1068" t="str">
            <v>дидактика</v>
          </cell>
          <cell r="F1068">
            <v>0</v>
          </cell>
        </row>
        <row r="1069">
          <cell r="A1069" t="str">
            <v>Карта Крестовые походы XI-XIII веков 70х100 сантиметр</v>
          </cell>
          <cell r="B1069" t="str">
            <v>д420</v>
          </cell>
          <cell r="C1069" t="str">
            <v>дидактика</v>
          </cell>
          <cell r="F1069">
            <v>0</v>
          </cell>
        </row>
        <row r="1070">
          <cell r="A1070" t="str">
            <v>Карта Образование независимых государств. Территориальные изменения в Европе после Первой мировой войны 1918-1923 годы 70х100 сантиметр</v>
          </cell>
          <cell r="B1070" t="str">
            <v>д419</v>
          </cell>
          <cell r="C1070" t="str">
            <v>дидактика</v>
          </cell>
          <cell r="F1070">
            <v>0</v>
          </cell>
        </row>
        <row r="1071">
          <cell r="A1071" t="str">
            <v>Карта Первая мировая война 1914-1918 годы. Военные действия в Европе и на Кавказе 100х140 сантиметр</v>
          </cell>
          <cell r="B1071" t="str">
            <v>д418</v>
          </cell>
          <cell r="C1071" t="str">
            <v>дидактика</v>
          </cell>
          <cell r="F1071">
            <v>0</v>
          </cell>
        </row>
        <row r="1072">
          <cell r="A1072" t="str">
            <v>Карта Священная Римская империя в XII-XIV вв. Италия в ХIV- ХV веков 70х100 сантиметр</v>
          </cell>
          <cell r="B1072" t="str">
            <v>д417</v>
          </cell>
          <cell r="C1072" t="str">
            <v>дидактика</v>
          </cell>
          <cell r="F1072">
            <v>0</v>
          </cell>
        </row>
        <row r="1073">
          <cell r="A1073" t="str">
            <v>Карта Советский Союз в 1985-1991 годы. Распад СССР 100х140 сантиметр</v>
          </cell>
          <cell r="B1073" t="str">
            <v>д416</v>
          </cell>
          <cell r="C1073" t="str">
            <v>дидактика</v>
          </cell>
          <cell r="F1073">
            <v>0</v>
          </cell>
        </row>
        <row r="1074">
          <cell r="A1074" t="str">
            <v>Карта Создание и распад державы Александра Македонского 70х100 сантиметр</v>
          </cell>
          <cell r="B1074" t="str">
            <v>д415</v>
          </cell>
          <cell r="C1074" t="str">
            <v>дидактика</v>
          </cell>
          <cell r="F1074">
            <v>0</v>
          </cell>
        </row>
        <row r="1075">
          <cell r="A1075" t="str">
            <v>Карта Столетняя война 1337-1453 годы 70х100 сантиметр</v>
          </cell>
          <cell r="B1075" t="str">
            <v>д414</v>
          </cell>
          <cell r="C1075" t="str">
            <v>дидактика</v>
          </cell>
          <cell r="F1075">
            <v>0</v>
          </cell>
        </row>
        <row r="1076">
          <cell r="A1076" t="str">
            <v>Карта Страны Африки во второй половине XX - начале XXI века 70х100 сантиметр</v>
          </cell>
          <cell r="B1076" t="str">
            <v>д413</v>
          </cell>
          <cell r="C1076" t="str">
            <v>дидактика</v>
          </cell>
          <cell r="F1076">
            <v>0</v>
          </cell>
        </row>
        <row r="1077">
          <cell r="A1077" t="str">
            <v>Карта Мира политическая 1:25 000 000</v>
          </cell>
          <cell r="B1077" t="str">
            <v>д412</v>
          </cell>
          <cell r="C1077" t="str">
            <v>дидактика</v>
          </cell>
          <cell r="F1077">
            <v>0</v>
          </cell>
        </row>
        <row r="1078">
          <cell r="A1078" t="str">
            <v>Карта Казахстан в годы ВОВ 100х70 сантиметр</v>
          </cell>
          <cell r="B1078" t="str">
            <v>д411</v>
          </cell>
          <cell r="C1078" t="str">
            <v>дидактика</v>
          </cell>
          <cell r="F1078">
            <v>0</v>
          </cell>
        </row>
        <row r="1079">
          <cell r="A1079" t="str">
            <v>Карта Казахстан в годы гражданской войны 100х70 сантиметр</v>
          </cell>
          <cell r="B1079" t="str">
            <v>д410</v>
          </cell>
          <cell r="C1079" t="str">
            <v>дидактика</v>
          </cell>
          <cell r="F1079">
            <v>0</v>
          </cell>
        </row>
        <row r="1080">
          <cell r="A1080" t="str">
            <v>Карта Казахстан в составе монгольской империи 100х70 сантиметр</v>
          </cell>
          <cell r="B1080" t="str">
            <v>д409</v>
          </cell>
          <cell r="C1080" t="str">
            <v>дидактика</v>
          </cell>
          <cell r="F1080">
            <v>0</v>
          </cell>
        </row>
        <row r="1081">
          <cell r="A1081" t="str">
            <v>Карта Казахстан в средние века. Государственные образования на территории Казахстана 13-15 века 100х70 сантиметр</v>
          </cell>
          <cell r="B1081" t="str">
            <v>д408</v>
          </cell>
          <cell r="C1081" t="str">
            <v>дидактика</v>
          </cell>
          <cell r="F1081">
            <v>0</v>
          </cell>
        </row>
        <row r="1082">
          <cell r="A1082" t="str">
            <v>Карта Казахстан в средние века. Казахское ханство в начале 18 века 100х70 сантиметр</v>
          </cell>
          <cell r="B1082" t="str">
            <v>д407</v>
          </cell>
          <cell r="C1082" t="str">
            <v>дидактика</v>
          </cell>
          <cell r="F1082">
            <v>0</v>
          </cell>
        </row>
        <row r="1083">
          <cell r="A1083" t="str">
            <v>Карта Казахстан в средние века. Казахское ханство. Образование в 1465-1466 и расширение территории 100х70 сантиметр</v>
          </cell>
          <cell r="B1083" t="str">
            <v>д406</v>
          </cell>
          <cell r="C1083" t="str">
            <v>дидактика</v>
          </cell>
          <cell r="F1083">
            <v>0</v>
          </cell>
        </row>
        <row r="1084">
          <cell r="A1084" t="str">
            <v>Карта Казахстан. Национально-освободительное движение под руководством Кенесары Касымулы 100х70 сантиметр</v>
          </cell>
          <cell r="B1084" t="str">
            <v>д405</v>
          </cell>
          <cell r="C1084" t="str">
            <v>дидактика</v>
          </cell>
          <cell r="F1084">
            <v>0</v>
          </cell>
        </row>
        <row r="1085">
          <cell r="A1085" t="str">
            <v>Карта Казахстан. Национально-освободительное движение Сырыма Датулы 100х70 сантиметр</v>
          </cell>
          <cell r="B1085" t="str">
            <v>д404</v>
          </cell>
          <cell r="C1085" t="str">
            <v>дидактика</v>
          </cell>
          <cell r="F1085">
            <v>0</v>
          </cell>
        </row>
        <row r="1086">
          <cell r="A1086" t="str">
            <v>Карта Казахстан. Развитие торговли в 19-начале 20 века 100х70 сантиметр</v>
          </cell>
          <cell r="B1086" t="str">
            <v>д403</v>
          </cell>
          <cell r="C1086" t="str">
            <v>дидактика</v>
          </cell>
          <cell r="F1086">
            <v>0</v>
          </cell>
        </row>
        <row r="1087">
          <cell r="A1087" t="str">
            <v>Карта Казахстан. Участие казахов в Отечественной войне 1812 годы.100х70 сантиметр</v>
          </cell>
          <cell r="B1087" t="str">
            <v>д402</v>
          </cell>
          <cell r="C1087" t="str">
            <v>дидактика</v>
          </cell>
          <cell r="F1087">
            <v>0</v>
          </cell>
        </row>
        <row r="1088">
          <cell r="A1088" t="str">
            <v>Программное обеспечение для интерактивного дисплея на 3 года</v>
          </cell>
          <cell r="B1088" t="str">
            <v>т117</v>
          </cell>
          <cell r="C1088" t="str">
            <v>Техника</v>
          </cell>
          <cell r="F1088">
            <v>0</v>
          </cell>
        </row>
        <row r="1089">
          <cell r="A1089" t="str">
            <v xml:space="preserve">Доска аудиторная на жидких кристаллах 1290х1031 мм </v>
          </cell>
          <cell r="B1089" t="str">
            <v>д401</v>
          </cell>
          <cell r="C1089" t="str">
            <v>дидактика</v>
          </cell>
          <cell r="F1089">
            <v>0</v>
          </cell>
        </row>
        <row r="1090">
          <cell r="A1090" t="str">
            <v>Стеллаж</v>
          </cell>
          <cell r="B1090" t="str">
            <v>м141</v>
          </cell>
          <cell r="C1090" t="str">
            <v>мебель</v>
          </cell>
          <cell r="F1090">
            <v>0</v>
          </cell>
        </row>
        <row r="1091">
          <cell r="A1091" t="str">
            <v>Плакаты по темам изучения казахского языка</v>
          </cell>
          <cell r="B1091" t="str">
            <v>д400</v>
          </cell>
          <cell r="C1091" t="str">
            <v>дидактика</v>
          </cell>
          <cell r="F1091">
            <v>0</v>
          </cell>
        </row>
        <row r="1092">
          <cell r="A1092" t="str">
            <v>Плакаты "Әдебиет теориясының жетекші ұғымдары"</v>
          </cell>
          <cell r="B1092" t="str">
            <v>д399</v>
          </cell>
          <cell r="C1092" t="str">
            <v>дидактика</v>
          </cell>
          <cell r="F1092">
            <v>0</v>
          </cell>
        </row>
        <row r="1093">
          <cell r="A1093" t="str">
            <v>Портреты "Қазақ ақындары мен жазушылары"</v>
          </cell>
          <cell r="B1093" t="str">
            <v>д398</v>
          </cell>
          <cell r="C1093" t="str">
            <v>дидактика</v>
          </cell>
          <cell r="F1093">
            <v>0</v>
          </cell>
        </row>
        <row r="1094">
          <cell r="A1094" t="str">
            <v>Плакаты А1, Ауыз адебиети, (18 шт, на каз.яз, лам.)</v>
          </cell>
          <cell r="B1094" t="str">
            <v>д397</v>
          </cell>
          <cell r="C1094" t="str">
            <v>дидактика</v>
          </cell>
          <cell r="F1094">
            <v>0</v>
          </cell>
        </row>
        <row r="1095">
          <cell r="A1095" t="str">
            <v>Плакаты А1, Казак эдебиети. Абай Кунанбаевты жеке окыту, (10 шт, на каз.яз, лам.)</v>
          </cell>
          <cell r="B1095" t="str">
            <v>д396</v>
          </cell>
          <cell r="C1095" t="str">
            <v>дидактика</v>
          </cell>
          <cell r="F1095">
            <v>0</v>
          </cell>
        </row>
        <row r="1096">
          <cell r="A1096" t="str">
            <v>Плакаты Лексика, 42х60 см, 16 шт</v>
          </cell>
          <cell r="B1096" t="str">
            <v>д395</v>
          </cell>
          <cell r="C1096" t="str">
            <v>дидактика</v>
          </cell>
          <cell r="F1096">
            <v>0</v>
          </cell>
        </row>
        <row r="1097">
          <cell r="A1097" t="str">
            <v>Морфология, 42х60 см, (в комплекте 40 шт)</v>
          </cell>
          <cell r="B1097" t="str">
            <v>д394</v>
          </cell>
          <cell r="C1097" t="str">
            <v>дидактика</v>
          </cell>
          <cell r="F1097">
            <v>0</v>
          </cell>
        </row>
        <row r="1098">
          <cell r="A1098" t="str">
            <v>Синтаксис, 42х60 см, (в комплекте 31 шт)</v>
          </cell>
          <cell r="B1098" t="str">
            <v>д393</v>
          </cell>
          <cell r="C1098" t="str">
            <v>дидактика</v>
          </cell>
          <cell r="F1098">
            <v>0</v>
          </cell>
        </row>
        <row r="1099">
          <cell r="A1099" t="str">
            <v>Фонетика, 42х60 см, (в комплекте 15 шт)</v>
          </cell>
          <cell r="B1099" t="str">
            <v>д392</v>
          </cell>
          <cell r="C1099" t="str">
            <v>дидактика</v>
          </cell>
          <cell r="F1099">
            <v>0</v>
          </cell>
        </row>
        <row r="1100">
          <cell r="A1100" t="str">
            <v>Қазақ тілі-Кестелер жинағы 2-4 сынып, А4 40 шт</v>
          </cell>
          <cell r="B1100" t="str">
            <v>д391</v>
          </cell>
          <cell r="C1100" t="str">
            <v>дидактика</v>
          </cell>
          <cell r="F1100">
            <v>0</v>
          </cell>
        </row>
        <row r="1101">
          <cell r="A1101" t="str">
            <v>Плакаты Знаменитые писатели: Абай Кунанбаев, Ы. Алтынсарин, А. Байтурсынов, Л.Н.Толстой, А.С. Пушкин. Размеры плакатов 1189х841 мм, в комплекте 5 шт</v>
          </cell>
          <cell r="B1101" t="str">
            <v>д390</v>
          </cell>
          <cell r="C1101" t="str">
            <v>дидактика</v>
          </cell>
          <cell r="F1101">
            <v>0</v>
          </cell>
        </row>
        <row r="1102">
          <cell r="A1102" t="str">
            <v>учебные плакаты Биография Ы.Алтынсарин, 10 шт, 60х90 см</v>
          </cell>
          <cell r="B1102" t="str">
            <v>д389</v>
          </cell>
          <cell r="C1102" t="str">
            <v>дидактика</v>
          </cell>
          <cell r="F1102">
            <v>0</v>
          </cell>
        </row>
        <row r="1103">
          <cell r="A1103" t="str">
            <v>учебные плакаты Биография Ш.Уалиханова, 5 шт, 60х90 см</v>
          </cell>
          <cell r="B1103" t="str">
            <v>д388</v>
          </cell>
          <cell r="C1103" t="str">
            <v>дидактика</v>
          </cell>
          <cell r="F1103">
            <v>0</v>
          </cell>
        </row>
        <row r="1104">
          <cell r="A1104" t="str">
            <v>портреты "Ақын жазушылары" - А3,фотобумага, в комплекте 28 шт</v>
          </cell>
          <cell r="B1104" t="str">
            <v>д387</v>
          </cell>
          <cell r="C1104" t="str">
            <v>дидактика</v>
          </cell>
          <cell r="F1104">
            <v>0</v>
          </cell>
        </row>
        <row r="1105">
          <cell r="A1105" t="str">
            <v>портреты "Қазақ композиторлары" - А3, фотобумага,(В комплекте 20 шт)</v>
          </cell>
          <cell r="B1105" t="str">
            <v>д386</v>
          </cell>
          <cell r="C1105" t="str">
            <v>дидактика</v>
          </cell>
          <cell r="F1105">
            <v>0</v>
          </cell>
        </row>
        <row r="1106">
          <cell r="A1106" t="str">
            <v>портреты "Қазақ ақын жазушылары" - А3, фотобумага, (в комплекте 17 шт)</v>
          </cell>
          <cell r="B1106" t="str">
            <v>д385</v>
          </cell>
          <cell r="C1106" t="str">
            <v>дидактика</v>
          </cell>
          <cell r="F1106">
            <v>0</v>
          </cell>
        </row>
        <row r="1107">
          <cell r="A1107" t="str">
            <v>портреты "Казахские поэты" - А3, фотобумага, (в комплекте 17 шт)</v>
          </cell>
          <cell r="B1107" t="str">
            <v>д384</v>
          </cell>
          <cell r="C1107" t="str">
            <v>дидактика</v>
          </cell>
          <cell r="F1107">
            <v>0</v>
          </cell>
        </row>
        <row r="1108">
          <cell r="A1108" t="str">
            <v>портреты "Ұлы қазақтар", А3, фотобумага, (в комплекте 12 шт)</v>
          </cell>
          <cell r="B1108" t="str">
            <v>д383</v>
          </cell>
          <cell r="C1108" t="str">
            <v>дидактика</v>
          </cell>
          <cell r="F1108">
            <v>0</v>
          </cell>
        </row>
        <row r="1109">
          <cell r="A1109" t="str">
            <v>портреты "Қазақ ақын-жазушыларының портреттер мен өмірбаяндары", А3, в комплекте 20 шт</v>
          </cell>
          <cell r="B1109" t="str">
            <v>д382</v>
          </cell>
          <cell r="C1109" t="str">
            <v>дидактика</v>
          </cell>
          <cell r="F1109">
            <v>0</v>
          </cell>
        </row>
        <row r="1110">
          <cell r="A1110" t="str">
            <v>портреты "Казак билери", А3, в комплекте 3 шт</v>
          </cell>
          <cell r="B1110" t="str">
            <v>д381</v>
          </cell>
          <cell r="C1110" t="str">
            <v>дидактика</v>
          </cell>
          <cell r="F1110">
            <v>0</v>
          </cell>
        </row>
        <row r="1111">
          <cell r="A1111" t="str">
            <v>портреты " Үш бәйтерек", А3, в комплекте 3 шт</v>
          </cell>
          <cell r="B1111" t="str">
            <v>д380</v>
          </cell>
          <cell r="C1111" t="str">
            <v>дидактика</v>
          </cell>
          <cell r="F1111">
            <v>0</v>
          </cell>
        </row>
        <row r="1112">
          <cell r="A1112" t="str">
            <v>портреты "Бес Арыс", А3, в комплекте 5 шт</v>
          </cell>
          <cell r="B1112" t="str">
            <v>д379</v>
          </cell>
          <cell r="C1112" t="str">
            <v>дидактика</v>
          </cell>
          <cell r="F1112">
            <v>0</v>
          </cell>
        </row>
        <row r="1113">
          <cell r="A1113" t="str">
            <v>портреты "XIX ғасыр әдебиеті", А3, в комплекте 13 шт</v>
          </cell>
          <cell r="B1113" t="str">
            <v>д378</v>
          </cell>
          <cell r="C1113" t="str">
            <v>дидактика</v>
          </cell>
          <cell r="F1113">
            <v>0</v>
          </cell>
        </row>
        <row r="1114">
          <cell r="A1114" t="str">
            <v>Раздаточный материал</v>
          </cell>
          <cell r="B1114" t="str">
            <v>д377</v>
          </cell>
          <cell r="C1114" t="str">
            <v>дидактика</v>
          </cell>
          <cell r="F1114">
            <v>0</v>
          </cell>
        </row>
        <row r="1115">
          <cell r="A1115" t="str">
            <v>Тренажер Бицепс-машина ：F-A16</v>
          </cell>
          <cell r="B1115" t="str">
            <v>д376</v>
          </cell>
          <cell r="C1115" t="str">
            <v>дидактика</v>
          </cell>
          <cell r="E1115" t="str">
            <v>шт</v>
          </cell>
          <cell r="F1115">
            <v>0</v>
          </cell>
        </row>
        <row r="1116">
          <cell r="A1116" t="str">
            <v>Тренажер Разгибание ног сидя F-A02</v>
          </cell>
          <cell r="B1116" t="str">
            <v>д375</v>
          </cell>
          <cell r="C1116" t="str">
            <v>дидактика</v>
          </cell>
          <cell r="E1116" t="str">
            <v>шт</v>
          </cell>
          <cell r="F1116">
            <v>0</v>
          </cell>
        </row>
        <row r="1117">
          <cell r="A1117" t="str">
            <v>Скамья стойка для жима штанги лежа горизонтальная F-A52</v>
          </cell>
          <cell r="B1117" t="str">
            <v>д374</v>
          </cell>
          <cell r="C1117" t="str">
            <v>дидактика</v>
          </cell>
          <cell r="E1117" t="str">
            <v>шт</v>
          </cell>
          <cell r="F1117">
            <v>0</v>
          </cell>
        </row>
        <row r="1118">
          <cell r="A1118" t="str">
            <v>Блок для мышц спины (верхняя тяга) F-A19</v>
          </cell>
          <cell r="B1118" t="str">
            <v>д373</v>
          </cell>
          <cell r="C1118" t="str">
            <v>дидактика</v>
          </cell>
          <cell r="E1118" t="str">
            <v>шт</v>
          </cell>
          <cell r="F1118">
            <v>0</v>
          </cell>
        </row>
        <row r="1119">
          <cell r="A1119" t="str">
            <v>Тренажер Силовая рама для приседаний F-A01</v>
          </cell>
          <cell r="B1119" t="str">
            <v>д372</v>
          </cell>
          <cell r="C1119" t="str">
            <v>дидактика</v>
          </cell>
          <cell r="E1119" t="str">
            <v>шт</v>
          </cell>
          <cell r="F1119">
            <v>0</v>
          </cell>
        </row>
        <row r="1120">
          <cell r="A1120" t="str">
            <v>Тренажер Кроссовер F-A06</v>
          </cell>
          <cell r="B1120" t="str">
            <v>д371</v>
          </cell>
          <cell r="C1120" t="str">
            <v>дидактика</v>
          </cell>
          <cell r="E1120" t="str">
            <v>шт</v>
          </cell>
          <cell r="F1120">
            <v>0</v>
          </cell>
        </row>
        <row r="1121">
          <cell r="A1121" t="str">
            <v>Беговая дорожка 155D-C</v>
          </cell>
          <cell r="B1121" t="str">
            <v>д370</v>
          </cell>
          <cell r="C1121" t="str">
            <v>дидактика</v>
          </cell>
          <cell r="E1121" t="str">
            <v>шт</v>
          </cell>
          <cell r="F1121">
            <v>0</v>
          </cell>
        </row>
        <row r="1122">
          <cell r="A1122" t="str">
            <v>Велотренажер</v>
          </cell>
          <cell r="B1122" t="str">
            <v>д369</v>
          </cell>
          <cell r="C1122" t="str">
            <v>дидактика</v>
          </cell>
          <cell r="E1122" t="str">
            <v>шт</v>
          </cell>
          <cell r="F1122">
            <v>0</v>
          </cell>
        </row>
        <row r="1123">
          <cell r="A1123" t="str">
            <v>Тренажер Римский стул (гиперэкстензия)：F-A59</v>
          </cell>
          <cell r="B1123" t="str">
            <v>д368</v>
          </cell>
          <cell r="C1123" t="str">
            <v>дидактика</v>
          </cell>
          <cell r="E1123" t="str">
            <v>шт</v>
          </cell>
          <cell r="F1123">
            <v>0</v>
          </cell>
        </row>
        <row r="1124">
          <cell r="A1124" t="str">
            <v>Стойка для гантелей 3х рядная</v>
          </cell>
          <cell r="B1124" t="str">
            <v>д367</v>
          </cell>
          <cell r="C1124" t="str">
            <v>дидактика</v>
          </cell>
          <cell r="E1124" t="str">
            <v>шт</v>
          </cell>
          <cell r="F1124">
            <v>0</v>
          </cell>
        </row>
        <row r="1125">
          <cell r="A1125" t="str">
            <v>Скамья для пресса регулируемая F-A56</v>
          </cell>
          <cell r="B1125" t="str">
            <v>д366</v>
          </cell>
          <cell r="C1125" t="str">
            <v>дидактика</v>
          </cell>
          <cell r="E1125" t="str">
            <v>шт</v>
          </cell>
          <cell r="F1125">
            <v>0</v>
          </cell>
        </row>
        <row r="1126">
          <cell r="A1126" t="str">
            <v>Горизонтальная скамья F-A53</v>
          </cell>
          <cell r="B1126" t="str">
            <v>д365</v>
          </cell>
          <cell r="C1126" t="str">
            <v>дидактика</v>
          </cell>
          <cell r="E1126" t="str">
            <v>шт</v>
          </cell>
          <cell r="F1126">
            <v>0</v>
          </cell>
        </row>
        <row r="1127">
          <cell r="A1127" t="str">
            <v>Гантели профессиональные шестигранные 1кг</v>
          </cell>
          <cell r="B1127" t="str">
            <v>д364</v>
          </cell>
          <cell r="C1127" t="str">
            <v>дидактика</v>
          </cell>
          <cell r="E1127" t="str">
            <v>шт</v>
          </cell>
          <cell r="F1127">
            <v>0</v>
          </cell>
        </row>
        <row r="1128">
          <cell r="A1128" t="str">
            <v>Гантели профессиональные шестигранные 2кг</v>
          </cell>
          <cell r="B1128" t="str">
            <v>д363</v>
          </cell>
          <cell r="C1128" t="str">
            <v>дидактика</v>
          </cell>
          <cell r="E1128" t="str">
            <v>шт</v>
          </cell>
          <cell r="F1128">
            <v>0</v>
          </cell>
        </row>
        <row r="1129">
          <cell r="A1129" t="str">
            <v>Гантели профессиональные шестигранные 3кг</v>
          </cell>
          <cell r="B1129" t="str">
            <v>д362</v>
          </cell>
          <cell r="C1129" t="str">
            <v>дидактика</v>
          </cell>
          <cell r="E1129" t="str">
            <v>шт</v>
          </cell>
          <cell r="F1129">
            <v>0</v>
          </cell>
        </row>
        <row r="1130">
          <cell r="A1130" t="str">
            <v>Гантели профессиональные шестигранные 4кг</v>
          </cell>
          <cell r="B1130" t="str">
            <v>д361</v>
          </cell>
          <cell r="C1130" t="str">
            <v>дидактика</v>
          </cell>
          <cell r="E1130" t="str">
            <v>шт</v>
          </cell>
          <cell r="F1130">
            <v>0</v>
          </cell>
        </row>
        <row r="1131">
          <cell r="A1131" t="str">
            <v>Гантели профессиональные шестигранные 5кг</v>
          </cell>
          <cell r="B1131" t="str">
            <v>д360</v>
          </cell>
          <cell r="C1131" t="str">
            <v>дидактика</v>
          </cell>
          <cell r="E1131" t="str">
            <v>шт</v>
          </cell>
          <cell r="F1131">
            <v>0</v>
          </cell>
        </row>
        <row r="1132">
          <cell r="A1132" t="str">
            <v>Гантели профессиональные шестигранные 6кг</v>
          </cell>
          <cell r="B1132" t="str">
            <v>д359</v>
          </cell>
          <cell r="C1132" t="str">
            <v>дидактика</v>
          </cell>
          <cell r="E1132" t="str">
            <v>шт</v>
          </cell>
          <cell r="F1132">
            <v>0</v>
          </cell>
        </row>
        <row r="1133">
          <cell r="A1133" t="str">
            <v>Гантели профессиональные шестигранные 7кг</v>
          </cell>
          <cell r="B1133" t="str">
            <v>д358</v>
          </cell>
          <cell r="C1133" t="str">
            <v>дидактика</v>
          </cell>
          <cell r="E1133" t="str">
            <v>шт</v>
          </cell>
          <cell r="F1133">
            <v>0</v>
          </cell>
        </row>
        <row r="1134">
          <cell r="A1134" t="str">
            <v>Гантели профессиональные шестигранные 8кг</v>
          </cell>
          <cell r="B1134" t="str">
            <v>д357</v>
          </cell>
          <cell r="C1134" t="str">
            <v>дидактика</v>
          </cell>
          <cell r="E1134" t="str">
            <v>шт</v>
          </cell>
          <cell r="F1134">
            <v>0</v>
          </cell>
        </row>
        <row r="1135">
          <cell r="A1135" t="str">
            <v>Гантели профессиональные шестигранные 9кг</v>
          </cell>
          <cell r="B1135" t="str">
            <v>д356</v>
          </cell>
          <cell r="C1135" t="str">
            <v>дидактика</v>
          </cell>
          <cell r="E1135" t="str">
            <v>шт</v>
          </cell>
          <cell r="F1135">
            <v>0</v>
          </cell>
        </row>
        <row r="1136">
          <cell r="A1136" t="str">
            <v>Гантели профессиональные шестигранные 10кг</v>
          </cell>
          <cell r="B1136" t="str">
            <v>д355</v>
          </cell>
          <cell r="C1136" t="str">
            <v>дидактика</v>
          </cell>
          <cell r="E1136" t="str">
            <v>шт</v>
          </cell>
          <cell r="F1136">
            <v>0</v>
          </cell>
        </row>
        <row r="1137">
          <cell r="A1137" t="str">
            <v>Гантели профессиональные шестигранные 12.5кг</v>
          </cell>
          <cell r="B1137" t="str">
            <v>д354</v>
          </cell>
          <cell r="C1137" t="str">
            <v>дидактика</v>
          </cell>
          <cell r="E1137" t="str">
            <v>шт</v>
          </cell>
          <cell r="F1137">
            <v>0</v>
          </cell>
        </row>
        <row r="1138">
          <cell r="A1138" t="str">
            <v>Гантели профессиональные шестигранные 15кг</v>
          </cell>
          <cell r="B1138" t="str">
            <v>д353</v>
          </cell>
          <cell r="C1138" t="str">
            <v>дидактика</v>
          </cell>
          <cell r="E1138" t="str">
            <v>шт</v>
          </cell>
          <cell r="F1138">
            <v>0</v>
          </cell>
        </row>
        <row r="1139">
          <cell r="A1139" t="str">
            <v>Гантели профессиональные шестигранные 17.5кг</v>
          </cell>
          <cell r="B1139" t="str">
            <v>д352</v>
          </cell>
          <cell r="C1139" t="str">
            <v>дидактика</v>
          </cell>
          <cell r="E1139" t="str">
            <v>шт</v>
          </cell>
          <cell r="F1139">
            <v>0</v>
          </cell>
        </row>
        <row r="1140">
          <cell r="A1140" t="str">
            <v>Гантели профессиональные шестигранные 20кг</v>
          </cell>
          <cell r="B1140" t="str">
            <v>д351</v>
          </cell>
          <cell r="C1140" t="str">
            <v>дидактика</v>
          </cell>
          <cell r="E1140" t="str">
            <v>шт</v>
          </cell>
          <cell r="F1140">
            <v>0</v>
          </cell>
        </row>
        <row r="1141">
          <cell r="A1141" t="str">
            <v>Гантели профессиональные шестигранные 25кг</v>
          </cell>
          <cell r="B1141" t="str">
            <v>д350</v>
          </cell>
          <cell r="C1141" t="str">
            <v>дидактика</v>
          </cell>
          <cell r="E1141" t="str">
            <v>шт</v>
          </cell>
          <cell r="F1141">
            <v>0</v>
          </cell>
        </row>
        <row r="1142">
          <cell r="A1142" t="str">
            <v>Олимпийский диск 2.5кг</v>
          </cell>
          <cell r="B1142" t="str">
            <v>д349</v>
          </cell>
          <cell r="C1142" t="str">
            <v>дидактика</v>
          </cell>
          <cell r="E1142" t="str">
            <v>шт</v>
          </cell>
          <cell r="F1142">
            <v>0</v>
          </cell>
        </row>
        <row r="1143">
          <cell r="A1143" t="str">
            <v>Олимпийский диск 5кг</v>
          </cell>
          <cell r="B1143" t="str">
            <v>д348</v>
          </cell>
          <cell r="C1143" t="str">
            <v>дидактика</v>
          </cell>
          <cell r="E1143" t="str">
            <v>шт</v>
          </cell>
          <cell r="F1143">
            <v>0</v>
          </cell>
        </row>
        <row r="1144">
          <cell r="A1144" t="str">
            <v>Олимпийский диск 7.5кг</v>
          </cell>
          <cell r="B1144" t="str">
            <v>д347</v>
          </cell>
          <cell r="C1144" t="str">
            <v>дидактика</v>
          </cell>
          <cell r="E1144" t="str">
            <v>шт</v>
          </cell>
          <cell r="F1144">
            <v>0</v>
          </cell>
        </row>
        <row r="1145">
          <cell r="A1145" t="str">
            <v>Олимпийский диск 10кг</v>
          </cell>
          <cell r="B1145" t="str">
            <v>д346</v>
          </cell>
          <cell r="C1145" t="str">
            <v>дидактика</v>
          </cell>
          <cell r="E1145" t="str">
            <v>шт</v>
          </cell>
          <cell r="F1145">
            <v>0</v>
          </cell>
        </row>
        <row r="1146">
          <cell r="A1146" t="str">
            <v>Олимпийский диск 15кг</v>
          </cell>
          <cell r="B1146" t="str">
            <v>д345</v>
          </cell>
          <cell r="C1146" t="str">
            <v>дидактика</v>
          </cell>
          <cell r="E1146" t="str">
            <v>шт</v>
          </cell>
          <cell r="F1146">
            <v>0</v>
          </cell>
        </row>
        <row r="1147">
          <cell r="A1147" t="str">
            <v>Олимпийский диск 20кг</v>
          </cell>
          <cell r="B1147" t="str">
            <v>д344</v>
          </cell>
          <cell r="C1147" t="str">
            <v>дидактика</v>
          </cell>
          <cell r="E1147" t="str">
            <v>шт</v>
          </cell>
          <cell r="F1147">
            <v>0</v>
          </cell>
        </row>
        <row r="1148">
          <cell r="A1148" t="str">
            <v>Олимпийский диск 25кг</v>
          </cell>
          <cell r="B1148" t="str">
            <v>д343</v>
          </cell>
          <cell r="C1148" t="str">
            <v>дидактика</v>
          </cell>
          <cell r="E1148" t="str">
            <v>шт</v>
          </cell>
          <cell r="F1148">
            <v>0</v>
          </cell>
        </row>
        <row r="1149">
          <cell r="A1149" t="str">
            <v>Гриф для штанги олимпийский 2,2 м</v>
          </cell>
          <cell r="B1149" t="str">
            <v>д342</v>
          </cell>
          <cell r="C1149" t="str">
            <v>дидактика</v>
          </cell>
          <cell r="E1149" t="str">
            <v>шт</v>
          </cell>
          <cell r="F1149">
            <v>0</v>
          </cell>
        </row>
        <row r="1150">
          <cell r="A1150" t="str">
            <v>Замки пружинные</v>
          </cell>
          <cell r="B1150" t="str">
            <v>д341</v>
          </cell>
          <cell r="C1150" t="str">
            <v>дидактика</v>
          </cell>
          <cell r="E1150" t="str">
            <v>пара</v>
          </cell>
          <cell r="F1150">
            <v>0</v>
          </cell>
        </row>
        <row r="1151">
          <cell r="A1151" t="str">
            <v>Изогнутый гриф</v>
          </cell>
          <cell r="B1151" t="str">
            <v>д340</v>
          </cell>
          <cell r="C1151" t="str">
            <v>дидактика</v>
          </cell>
          <cell r="E1151" t="str">
            <v>шт</v>
          </cell>
          <cell r="F1151">
            <v>0</v>
          </cell>
        </row>
        <row r="1152">
          <cell r="A1152" t="str">
            <v>Гиря 8кг</v>
          </cell>
          <cell r="B1152" t="str">
            <v>д339</v>
          </cell>
          <cell r="C1152" t="str">
            <v>дидактика</v>
          </cell>
          <cell r="E1152" t="str">
            <v>шт</v>
          </cell>
          <cell r="F1152">
            <v>0</v>
          </cell>
        </row>
        <row r="1153">
          <cell r="A1153" t="str">
            <v>Гиря 12кг</v>
          </cell>
          <cell r="B1153" t="str">
            <v>д338</v>
          </cell>
          <cell r="C1153" t="str">
            <v>дидактика</v>
          </cell>
          <cell r="E1153" t="str">
            <v>шт</v>
          </cell>
          <cell r="F1153">
            <v>0</v>
          </cell>
        </row>
        <row r="1154">
          <cell r="A1154" t="str">
            <v>Гантели для фитнеса 0,5 килограмм</v>
          </cell>
          <cell r="B1154" t="str">
            <v>д337</v>
          </cell>
          <cell r="C1154" t="str">
            <v>дидактика</v>
          </cell>
          <cell r="E1154" t="str">
            <v>шт</v>
          </cell>
          <cell r="F1154">
            <v>0</v>
          </cell>
        </row>
        <row r="1155">
          <cell r="A1155" t="str">
            <v>Гантели для фитнеса 1 килограмм</v>
          </cell>
          <cell r="B1155" t="str">
            <v>д336</v>
          </cell>
          <cell r="C1155" t="str">
            <v>дидактика</v>
          </cell>
          <cell r="E1155" t="str">
            <v>шт</v>
          </cell>
          <cell r="F1155">
            <v>0</v>
          </cell>
        </row>
        <row r="1156">
          <cell r="A1156" t="str">
            <v>Гантели для фитнеса 2 килограмма</v>
          </cell>
          <cell r="B1156" t="str">
            <v>д335</v>
          </cell>
          <cell r="C1156" t="str">
            <v>дидактика</v>
          </cell>
          <cell r="E1156" t="str">
            <v>шт</v>
          </cell>
          <cell r="F1156">
            <v>0</v>
          </cell>
        </row>
        <row r="1157">
          <cell r="A1157" t="str">
            <v>Гантели для фитнеса 3 килограмм</v>
          </cell>
          <cell r="B1157" t="str">
            <v>д334</v>
          </cell>
          <cell r="C1157" t="str">
            <v>дидактика</v>
          </cell>
          <cell r="E1157" t="str">
            <v>шт</v>
          </cell>
          <cell r="F1157">
            <v>0</v>
          </cell>
        </row>
        <row r="1158">
          <cell r="A1158" t="str">
            <v>Степплатформа</v>
          </cell>
          <cell r="B1158" t="str">
            <v>д333</v>
          </cell>
          <cell r="C1158" t="str">
            <v>дидактика</v>
          </cell>
          <cell r="E1158" t="str">
            <v>шт</v>
          </cell>
          <cell r="F1158">
            <v>0</v>
          </cell>
        </row>
        <row r="1159">
          <cell r="A1159" t="str">
            <v>Резинки для фитнеса</v>
          </cell>
          <cell r="B1159" t="str">
            <v>д332</v>
          </cell>
          <cell r="C1159" t="str">
            <v>дидактика</v>
          </cell>
          <cell r="E1159" t="str">
            <v>к-т</v>
          </cell>
          <cell r="F1159">
            <v>0</v>
          </cell>
        </row>
        <row r="1160">
          <cell r="A1160" t="str">
            <v>Бревно гимнастическое тренировочное 5 м</v>
          </cell>
          <cell r="B1160" t="str">
            <v>д331</v>
          </cell>
          <cell r="C1160" t="str">
            <v>дидактика</v>
          </cell>
          <cell r="F1160">
            <v>0</v>
          </cell>
        </row>
        <row r="1161">
          <cell r="A1161" t="str">
            <v>Бревно гимнастическое тренировочное напольное  5 м</v>
          </cell>
          <cell r="B1161" t="str">
            <v>д330</v>
          </cell>
          <cell r="C1161" t="str">
            <v>дидактика</v>
          </cell>
          <cell r="F1161">
            <v>0</v>
          </cell>
        </row>
        <row r="1162">
          <cell r="A1162" t="str">
            <v>Брусья мужские массовые</v>
          </cell>
          <cell r="B1162" t="str">
            <v>д329</v>
          </cell>
          <cell r="C1162" t="str">
            <v>дидактика</v>
          </cell>
          <cell r="F1162">
            <v>0</v>
          </cell>
        </row>
        <row r="1163">
          <cell r="A1163" t="str">
            <v>Брусья гимнастические женские</v>
          </cell>
          <cell r="B1163" t="str">
            <v>д328</v>
          </cell>
          <cell r="C1163" t="str">
            <v>дидактика</v>
          </cell>
          <cell r="F1163">
            <v>0</v>
          </cell>
        </row>
        <row r="1164">
          <cell r="A1164" t="str">
            <v>Канат для лазанья х/б 8м Ф 40 мм</v>
          </cell>
          <cell r="B1164" t="str">
            <v>д327</v>
          </cell>
          <cell r="C1164" t="str">
            <v>дидактика</v>
          </cell>
          <cell r="F1164">
            <v>0</v>
          </cell>
        </row>
        <row r="1165">
          <cell r="A1165" t="str">
            <v>Козел гимнастический</v>
          </cell>
          <cell r="B1165" t="str">
            <v>д326</v>
          </cell>
          <cell r="C1165" t="str">
            <v>дидактика</v>
          </cell>
          <cell r="F1165">
            <v>0</v>
          </cell>
        </row>
        <row r="1166">
          <cell r="A1166" t="str">
            <v>Конь гимнастический</v>
          </cell>
          <cell r="B1166" t="str">
            <v>д325</v>
          </cell>
          <cell r="C1166" t="str">
            <v>дидактика</v>
          </cell>
          <cell r="F1166">
            <v>0</v>
          </cell>
        </row>
        <row r="1167">
          <cell r="A1167" t="str">
            <v>Стеллаж для спорт.инвентаря</v>
          </cell>
          <cell r="B1167" t="str">
            <v>м140</v>
          </cell>
          <cell r="C1167" t="str">
            <v>мебель</v>
          </cell>
          <cell r="F1167">
            <v>0</v>
          </cell>
        </row>
        <row r="1168">
          <cell r="A1168" t="str">
            <v>Мат гимнастический 2х1х0,1м</v>
          </cell>
          <cell r="B1168" t="str">
            <v>д324</v>
          </cell>
          <cell r="C1168" t="str">
            <v>дидактика</v>
          </cell>
          <cell r="F1168">
            <v>0</v>
          </cell>
        </row>
        <row r="1169">
          <cell r="A1169" t="str">
            <v>Мост гимнастический подпружиненный</v>
          </cell>
          <cell r="B1169" t="str">
            <v>д323</v>
          </cell>
          <cell r="C1169" t="str">
            <v>дидактика</v>
          </cell>
          <cell r="F1169">
            <v>0</v>
          </cell>
        </row>
        <row r="1170">
          <cell r="A1170" t="str">
            <v>Мост гимнастический приставной</v>
          </cell>
          <cell r="B1170" t="str">
            <v>д322</v>
          </cell>
          <cell r="C1170" t="str">
            <v>дидактика</v>
          </cell>
          <cell r="F1170">
            <v>0</v>
          </cell>
        </row>
        <row r="1171">
          <cell r="A1171" t="str">
            <v>Перекладина гимнастическая универсальная</v>
          </cell>
          <cell r="B1171" t="str">
            <v>д321</v>
          </cell>
          <cell r="C1171" t="str">
            <v>дидактика</v>
          </cell>
          <cell r="F1171">
            <v>0</v>
          </cell>
        </row>
        <row r="1172">
          <cell r="A1172" t="str">
            <v>Скамья гимнастическая с металлическими опорами 2500 мм</v>
          </cell>
          <cell r="B1172" t="str">
            <v>д320</v>
          </cell>
          <cell r="C1172" t="str">
            <v>дидактика</v>
          </cell>
          <cell r="F1172">
            <v>0</v>
          </cell>
        </row>
        <row r="1173">
          <cell r="A1173" t="str">
            <v>Стенка гимнастическая 2800х800мм.</v>
          </cell>
          <cell r="B1173" t="str">
            <v>д319</v>
          </cell>
          <cell r="C1173" t="str">
            <v>дидактика</v>
          </cell>
          <cell r="F1173">
            <v>0</v>
          </cell>
        </row>
        <row r="1174">
          <cell r="A1174" t="str">
            <v>Зона приземления 2х2х0,5м.</v>
          </cell>
          <cell r="B1174" t="str">
            <v>д318</v>
          </cell>
          <cell r="C1174" t="str">
            <v>дидактика</v>
          </cell>
          <cell r="F1174">
            <v>0</v>
          </cell>
        </row>
        <row r="1175">
          <cell r="A1175" t="str">
            <v>Стеллаж для мячей.</v>
          </cell>
          <cell r="B1175" t="str">
            <v>м139</v>
          </cell>
          <cell r="C1175" t="str">
            <v>мебель</v>
          </cell>
          <cell r="F1175">
            <v>0</v>
          </cell>
        </row>
        <row r="1176">
          <cell r="A1176" t="str">
            <v>Ворота для гандбола, минифутбола</v>
          </cell>
          <cell r="B1176" t="str">
            <v>д317</v>
          </cell>
          <cell r="C1176" t="str">
            <v>дидактика</v>
          </cell>
          <cell r="F1176">
            <v>0</v>
          </cell>
        </row>
        <row r="1177">
          <cell r="A1177" t="str">
            <v>Стойка волейбольная  Профессиональная</v>
          </cell>
          <cell r="B1177" t="str">
            <v>д316</v>
          </cell>
          <cell r="C1177" t="str">
            <v>дидактика</v>
          </cell>
          <cell r="F1177">
            <v>0</v>
          </cell>
        </row>
        <row r="1178">
          <cell r="A1178" t="str">
            <v>Стол настольного тенниса</v>
          </cell>
          <cell r="B1178" t="str">
            <v>д315</v>
          </cell>
          <cell r="C1178" t="str">
            <v>дидактика</v>
          </cell>
          <cell r="F1178">
            <v>0</v>
          </cell>
        </row>
        <row r="1179">
          <cell r="A1179" t="str">
            <v>Стойка баскетбольная мобильная складная с выносом щита 2,05м</v>
          </cell>
          <cell r="B1179" t="str">
            <v>д314</v>
          </cell>
          <cell r="C1179" t="str">
            <v>дидактика</v>
          </cell>
          <cell r="F1179">
            <v>0</v>
          </cell>
        </row>
        <row r="1180">
          <cell r="A1180" t="str">
            <v>Щит баскетбольный тренировочный орг.стекло 1200*800 мм,</v>
          </cell>
          <cell r="B1180" t="str">
            <v>д313</v>
          </cell>
          <cell r="C1180" t="str">
            <v>дидактика</v>
          </cell>
          <cell r="F1180">
            <v>0</v>
          </cell>
        </row>
        <row r="1181">
          <cell r="A1181" t="str">
            <v>Табло электронное универсальное</v>
          </cell>
          <cell r="B1181" t="str">
            <v>д312</v>
          </cell>
          <cell r="C1181" t="str">
            <v>дидактика</v>
          </cell>
          <cell r="F1181">
            <v>0</v>
          </cell>
        </row>
        <row r="1182">
          <cell r="A1182" t="str">
            <v>Бревно гимнастическое тренировочное напольное 5 м</v>
          </cell>
          <cell r="B1182" t="str">
            <v>д311</v>
          </cell>
          <cell r="C1182" t="str">
            <v>дидактика</v>
          </cell>
          <cell r="E1182" t="str">
            <v>шт</v>
          </cell>
          <cell r="F1182">
            <v>0</v>
          </cell>
        </row>
        <row r="1183">
          <cell r="A1183" t="str">
            <v>Конь гимнастический прыжковый</v>
          </cell>
          <cell r="B1183" t="str">
            <v>д310</v>
          </cell>
          <cell r="C1183" t="str">
            <v>дидактика</v>
          </cell>
          <cell r="E1183" t="str">
            <v>шт</v>
          </cell>
          <cell r="F1183">
            <v>0</v>
          </cell>
        </row>
        <row r="1184">
          <cell r="A1184" t="str">
            <v>Мат гимнастический 2х1х0,1м Кожзам</v>
          </cell>
          <cell r="B1184" t="str">
            <v>д309</v>
          </cell>
          <cell r="C1184" t="str">
            <v>Дидактика</v>
          </cell>
          <cell r="E1184" t="str">
            <v>шт</v>
          </cell>
          <cell r="F1184">
            <v>0</v>
          </cell>
        </row>
        <row r="1185">
          <cell r="A1185" t="str">
            <v>Скамья гимнастическая с металлическими опорами</v>
          </cell>
          <cell r="B1185" t="str">
            <v>д308</v>
          </cell>
          <cell r="C1185" t="str">
            <v>Дидактика</v>
          </cell>
          <cell r="E1185" t="str">
            <v>шт</v>
          </cell>
          <cell r="F1185">
            <v>0</v>
          </cell>
        </row>
        <row r="1186">
          <cell r="A1186" t="str">
            <v>Зона приземления 2х2х0,5м</v>
          </cell>
          <cell r="B1186" t="str">
            <v>д307</v>
          </cell>
          <cell r="C1186" t="str">
            <v>Дидактика</v>
          </cell>
          <cell r="E1186" t="str">
            <v>шт</v>
          </cell>
          <cell r="F1186">
            <v>0</v>
          </cell>
        </row>
        <row r="1187">
          <cell r="A1187" t="str">
            <v>Стеллаж для мячей</v>
          </cell>
          <cell r="B1187" t="str">
            <v>д306</v>
          </cell>
          <cell r="C1187" t="str">
            <v>Дидактика</v>
          </cell>
          <cell r="E1187" t="str">
            <v>шт</v>
          </cell>
          <cell r="F1187">
            <v>0</v>
          </cell>
        </row>
        <row r="1188">
          <cell r="A1188" t="str">
            <v>Стойка волейбольная</v>
          </cell>
          <cell r="B1188" t="str">
            <v>д305</v>
          </cell>
          <cell r="C1188" t="str">
            <v>Дидактика</v>
          </cell>
          <cell r="E1188" t="str">
            <v>пара</v>
          </cell>
          <cell r="F1188">
            <v>0</v>
          </cell>
        </row>
        <row r="1189">
          <cell r="A1189" t="str">
            <v>Сетка волейбольная</v>
          </cell>
          <cell r="B1189" t="str">
            <v>д304</v>
          </cell>
          <cell r="C1189" t="str">
            <v>Дидактика</v>
          </cell>
          <cell r="E1189" t="str">
            <v>шт</v>
          </cell>
          <cell r="F1189">
            <v>0</v>
          </cell>
        </row>
        <row r="1190">
          <cell r="A1190" t="str">
            <v>Щит баскетбольный тренировочный орг.стекло 1200*800 мм</v>
          </cell>
          <cell r="B1190" t="str">
            <v>д303</v>
          </cell>
          <cell r="C1190" t="str">
            <v>Дидактика</v>
          </cell>
          <cell r="E1190" t="str">
            <v>к-т</v>
          </cell>
          <cell r="F1190">
            <v>0</v>
          </cell>
        </row>
        <row r="1191">
          <cell r="A1191" t="str">
            <v>Мяч баскетбольный №7</v>
          </cell>
          <cell r="B1191" t="str">
            <v>д302</v>
          </cell>
          <cell r="C1191" t="str">
            <v>Дидактика</v>
          </cell>
          <cell r="E1191" t="str">
            <v>шт</v>
          </cell>
          <cell r="F1191">
            <v>0</v>
          </cell>
        </row>
        <row r="1192">
          <cell r="A1192" t="str">
            <v>Футбольный мяч №5</v>
          </cell>
          <cell r="B1192" t="str">
            <v>д301</v>
          </cell>
          <cell r="C1192" t="str">
            <v>Дидактика</v>
          </cell>
          <cell r="E1192" t="str">
            <v>шт</v>
          </cell>
          <cell r="F1192">
            <v>0</v>
          </cell>
        </row>
        <row r="1193">
          <cell r="A1193" t="str">
            <v>Волейбольный мяч №5</v>
          </cell>
          <cell r="B1193" t="str">
            <v>д300</v>
          </cell>
          <cell r="C1193" t="str">
            <v>Дидактика</v>
          </cell>
          <cell r="E1193" t="str">
            <v>шт</v>
          </cell>
          <cell r="F1193">
            <v>0</v>
          </cell>
        </row>
        <row r="1194">
          <cell r="A1194" t="str">
            <v>Мяч гандбольный</v>
          </cell>
          <cell r="B1194" t="str">
            <v>д298</v>
          </cell>
          <cell r="C1194" t="str">
            <v>Дидактика</v>
          </cell>
          <cell r="E1194" t="str">
            <v>шт</v>
          </cell>
          <cell r="F1194">
            <v>0</v>
          </cell>
        </row>
        <row r="1195">
          <cell r="A1195" t="str">
            <v>Палка гимнастическая деревянная 1000 мм</v>
          </cell>
          <cell r="B1195" t="str">
            <v>д297</v>
          </cell>
          <cell r="C1195" t="str">
            <v>Дидактика</v>
          </cell>
          <cell r="E1195" t="str">
            <v>шт</v>
          </cell>
          <cell r="F1195">
            <v>0</v>
          </cell>
        </row>
        <row r="1196">
          <cell r="A1196" t="str">
            <v>Обруч гимнастический пластиковый 60 см</v>
          </cell>
          <cell r="B1196" t="str">
            <v>д296</v>
          </cell>
          <cell r="C1196" t="str">
            <v>Дидактика</v>
          </cell>
          <cell r="E1196" t="str">
            <v>шт</v>
          </cell>
          <cell r="F1196">
            <v>0</v>
          </cell>
        </row>
        <row r="1197">
          <cell r="A1197" t="str">
            <v>Скакалка гелевая</v>
          </cell>
          <cell r="B1197" t="str">
            <v>д295</v>
          </cell>
          <cell r="C1197" t="str">
            <v>Дидактика</v>
          </cell>
          <cell r="E1197" t="str">
            <v>шт</v>
          </cell>
          <cell r="F1197">
            <v>0</v>
          </cell>
        </row>
        <row r="1198">
          <cell r="A1198" t="str">
            <v>Медицинбол 1кг. (медбол)</v>
          </cell>
          <cell r="B1198" t="str">
            <v>д294</v>
          </cell>
          <cell r="C1198" t="str">
            <v>Дидактика</v>
          </cell>
          <cell r="E1198" t="str">
            <v>шт</v>
          </cell>
          <cell r="F1198">
            <v>0</v>
          </cell>
        </row>
        <row r="1199">
          <cell r="A1199" t="str">
            <v>Медицинбол 2кг. (медбол)</v>
          </cell>
          <cell r="B1199" t="str">
            <v>д293</v>
          </cell>
          <cell r="C1199" t="str">
            <v>Дидактика</v>
          </cell>
          <cell r="E1199" t="str">
            <v>шт</v>
          </cell>
          <cell r="F1199">
            <v>0</v>
          </cell>
        </row>
        <row r="1200">
          <cell r="A1200" t="str">
            <v>Канат для перетягивания 10м Ф40мм</v>
          </cell>
          <cell r="B1200" t="str">
            <v>д292</v>
          </cell>
          <cell r="C1200" t="str">
            <v>Дидактика</v>
          </cell>
          <cell r="E1200" t="str">
            <v>шт</v>
          </cell>
          <cell r="F1200">
            <v>0</v>
          </cell>
        </row>
        <row r="1201">
          <cell r="A1201" t="str">
            <v>Доска наклонная ребристая 1,5м (дерево</v>
          </cell>
          <cell r="B1201" t="str">
            <v>д291</v>
          </cell>
          <cell r="C1201" t="str">
            <v>Дидактика</v>
          </cell>
          <cell r="E1201" t="str">
            <v>шт</v>
          </cell>
          <cell r="F1201">
            <v>0</v>
          </cell>
        </row>
        <row r="1202">
          <cell r="A1202" t="str">
            <v>Шарик для настольного тенниса</v>
          </cell>
          <cell r="B1202" t="str">
            <v>д290</v>
          </cell>
          <cell r="C1202" t="str">
            <v>Дидактика</v>
          </cell>
          <cell r="E1202" t="str">
            <v>шт</v>
          </cell>
          <cell r="F1202">
            <v>0</v>
          </cell>
        </row>
        <row r="1203">
          <cell r="A1203" t="str">
            <v>Табло пластиковое</v>
          </cell>
          <cell r="B1203" t="str">
            <v>д289</v>
          </cell>
          <cell r="C1203" t="str">
            <v>Дидактика</v>
          </cell>
          <cell r="E1203" t="str">
            <v>шт</v>
          </cell>
          <cell r="F1203">
            <v>0</v>
          </cell>
        </row>
        <row r="1204">
          <cell r="A1204" t="str">
            <v>Ракетки для настольного тенниса</v>
          </cell>
          <cell r="B1204" t="str">
            <v>д288</v>
          </cell>
          <cell r="C1204" t="str">
            <v>Дидактика</v>
          </cell>
          <cell r="E1204" t="str">
            <v>к-т</v>
          </cell>
          <cell r="F1204">
            <v>0</v>
          </cell>
        </row>
        <row r="1205">
          <cell r="A1205" t="str">
            <v>Сетка для настольного тенниса</v>
          </cell>
          <cell r="B1205" t="str">
            <v>д287</v>
          </cell>
          <cell r="C1205" t="str">
            <v>Дидактика</v>
          </cell>
          <cell r="E1205" t="str">
            <v>комплект</v>
          </cell>
          <cell r="F1205">
            <v>0</v>
          </cell>
        </row>
        <row r="1206">
          <cell r="A1206" t="str">
            <v>Антенна волейбольная в комплекте в карманами</v>
          </cell>
          <cell r="B1206" t="str">
            <v>д286</v>
          </cell>
          <cell r="C1206" t="str">
            <v>Дидактика</v>
          </cell>
          <cell r="E1206" t="str">
            <v>шт</v>
          </cell>
          <cell r="F1206">
            <v>0</v>
          </cell>
        </row>
        <row r="1207">
          <cell r="A1207" t="str">
            <v>Сетка мини-футбольная</v>
          </cell>
          <cell r="B1207" t="str">
            <v>д285</v>
          </cell>
          <cell r="C1207" t="str">
            <v>Дидактика</v>
          </cell>
          <cell r="E1207" t="str">
            <v>шт</v>
          </cell>
          <cell r="F1207">
            <v>0</v>
          </cell>
        </row>
        <row r="1208">
          <cell r="A1208" t="str">
            <v>Жилетка игровая с номером (манишки)</v>
          </cell>
          <cell r="B1208" t="str">
            <v>д284</v>
          </cell>
          <cell r="C1208" t="str">
            <v>Дидактика</v>
          </cell>
          <cell r="E1208" t="str">
            <v>шт</v>
          </cell>
          <cell r="F1208">
            <v>0</v>
          </cell>
        </row>
        <row r="1209">
          <cell r="A1209" t="str">
            <v>Фишка разметочная</v>
          </cell>
          <cell r="B1209" t="str">
            <v>д283</v>
          </cell>
          <cell r="C1209" t="str">
            <v>Дидактика</v>
          </cell>
          <cell r="E1209" t="str">
            <v>шт</v>
          </cell>
          <cell r="F1209">
            <v>0</v>
          </cell>
        </row>
        <row r="1210">
          <cell r="A1210" t="str">
            <v>Сетка баскетбольная</v>
          </cell>
          <cell r="B1210" t="str">
            <v>д282</v>
          </cell>
          <cell r="C1210" t="str">
            <v>Дидактика</v>
          </cell>
          <cell r="E1210" t="str">
            <v>шт</v>
          </cell>
          <cell r="F1210">
            <v>0</v>
          </cell>
        </row>
        <row r="1211">
          <cell r="A1211" t="str">
            <v>Свисток пластиковый</v>
          </cell>
          <cell r="B1211" t="str">
            <v>д281</v>
          </cell>
          <cell r="C1211" t="str">
            <v>Дидактика</v>
          </cell>
          <cell r="E1211" t="str">
            <v>шт</v>
          </cell>
          <cell r="F1211">
            <v>0</v>
          </cell>
        </row>
        <row r="1212">
          <cell r="A1212" t="str">
            <v>Ковер для национальных игр</v>
          </cell>
          <cell r="B1212" t="str">
            <v>д280</v>
          </cell>
          <cell r="C1212" t="str">
            <v>Дидактика</v>
          </cell>
          <cell r="E1212" t="str">
            <v>шт</v>
          </cell>
          <cell r="F1212">
            <v>0</v>
          </cell>
        </row>
        <row r="1213">
          <cell r="A1213" t="str">
            <v>Набор для игры "Асык ату"</v>
          </cell>
          <cell r="B1213" t="str">
            <v>д279</v>
          </cell>
          <cell r="C1213" t="str">
            <v>Дидактика</v>
          </cell>
          <cell r="E1213" t="str">
            <v>набор</v>
          </cell>
          <cell r="F1213">
            <v>0</v>
          </cell>
        </row>
        <row r="1214">
          <cell r="A1214" t="str">
            <v>Набор для игры "Бес тас"</v>
          </cell>
          <cell r="B1214" t="str">
            <v>д278</v>
          </cell>
          <cell r="C1214" t="str">
            <v>Дидактика</v>
          </cell>
          <cell r="E1214" t="str">
            <v>набор</v>
          </cell>
          <cell r="F1214">
            <v>0</v>
          </cell>
        </row>
        <row r="1215">
          <cell r="A1215" t="str">
            <v>Шахматы</v>
          </cell>
          <cell r="B1215" t="str">
            <v>д274</v>
          </cell>
          <cell r="C1215" t="str">
            <v>Дидактика</v>
          </cell>
          <cell r="E1215" t="str">
            <v>шт</v>
          </cell>
          <cell r="F1215">
            <v>0</v>
          </cell>
        </row>
        <row r="1216">
          <cell r="A1216" t="str">
            <v>Шашки</v>
          </cell>
          <cell r="B1216" t="str">
            <v>д273</v>
          </cell>
          <cell r="C1216" t="str">
            <v>Дидактика</v>
          </cell>
          <cell r="E1216" t="str">
            <v>шт</v>
          </cell>
          <cell r="F1216">
            <v>0</v>
          </cell>
        </row>
        <row r="1217">
          <cell r="A1217" t="str">
            <v>Часы шахматные механические</v>
          </cell>
          <cell r="B1217" t="str">
            <v>д272</v>
          </cell>
          <cell r="C1217" t="str">
            <v>Дидактика</v>
          </cell>
          <cell r="E1217" t="str">
            <v>шт</v>
          </cell>
          <cell r="F1217">
            <v>0</v>
          </cell>
        </row>
        <row r="1218">
          <cell r="A1218" t="str">
            <v>Мишень для метания 700х700мм</v>
          </cell>
          <cell r="B1218" t="str">
            <v>д271</v>
          </cell>
          <cell r="C1218" t="str">
            <v>Дидактика</v>
          </cell>
          <cell r="E1218" t="str">
            <v>шт</v>
          </cell>
          <cell r="F1218">
            <v>0</v>
          </cell>
        </row>
        <row r="1219">
          <cell r="A1219" t="str">
            <v>Секундомер</v>
          </cell>
          <cell r="B1219" t="str">
            <v>д270</v>
          </cell>
          <cell r="C1219" t="str">
            <v>Дидактика</v>
          </cell>
          <cell r="E1219" t="str">
            <v>шт</v>
          </cell>
          <cell r="F1219">
            <v>0</v>
          </cell>
        </row>
        <row r="1220">
          <cell r="A1220" t="str">
            <v>Корзина для мячей складная</v>
          </cell>
          <cell r="B1220" t="str">
            <v>д269</v>
          </cell>
          <cell r="C1220" t="str">
            <v>Дидактика</v>
          </cell>
          <cell r="E1220" t="str">
            <v>шт</v>
          </cell>
          <cell r="F1220">
            <v>0</v>
          </cell>
        </row>
        <row r="1221">
          <cell r="A1221" t="str">
            <v>Электромегафон</v>
          </cell>
          <cell r="B1221" t="str">
            <v>д268</v>
          </cell>
          <cell r="C1221" t="str">
            <v>Дидактика</v>
          </cell>
          <cell r="E1221" t="str">
            <v>шт</v>
          </cell>
          <cell r="F1221">
            <v>0</v>
          </cell>
        </row>
        <row r="1222">
          <cell r="A1222" t="str">
            <v>Насос для накачивания мячей</v>
          </cell>
          <cell r="B1222" t="str">
            <v>д267</v>
          </cell>
          <cell r="C1222" t="str">
            <v>Дидактика</v>
          </cell>
          <cell r="E1222" t="str">
            <v>шт</v>
          </cell>
          <cell r="F1222">
            <v>0</v>
          </cell>
        </row>
        <row r="1223">
          <cell r="A1223" t="str">
            <v>Рулетка измерительная 30 метров</v>
          </cell>
          <cell r="B1223" t="str">
            <v>д266</v>
          </cell>
          <cell r="C1223" t="str">
            <v>Дидактика</v>
          </cell>
          <cell r="E1223" t="str">
            <v>шт</v>
          </cell>
          <cell r="F1223">
            <v>0</v>
          </cell>
        </row>
        <row r="1224">
          <cell r="A1224" t="str">
            <v>Тогызкумалак</v>
          </cell>
          <cell r="B1224" t="str">
            <v>д265</v>
          </cell>
          <cell r="C1224" t="str">
            <v>Дидактика</v>
          </cell>
          <cell r="E1224" t="str">
            <v>шт</v>
          </cell>
          <cell r="F1224">
            <v>0</v>
          </cell>
        </row>
        <row r="1225">
          <cell r="A1225" t="str">
            <v>Пара стоек для прыжков в высоту</v>
          </cell>
          <cell r="B1225" t="str">
            <v>д264</v>
          </cell>
          <cell r="C1225" t="str">
            <v>Дидактика</v>
          </cell>
          <cell r="E1225" t="str">
            <v>пара</v>
          </cell>
          <cell r="F1225">
            <v>0</v>
          </cell>
        </row>
        <row r="1226">
          <cell r="A1226" t="str">
            <v>Планка для прыжков в высоту</v>
          </cell>
          <cell r="B1226" t="str">
            <v>д263</v>
          </cell>
          <cell r="C1226" t="str">
            <v>Дидактика</v>
          </cell>
          <cell r="E1226" t="str">
            <v>шт</v>
          </cell>
          <cell r="F1226">
            <v>0</v>
          </cell>
        </row>
        <row r="1227">
          <cell r="A1227" t="str">
            <v>Алюминиевые эстафетные палочки длина 30 см.</v>
          </cell>
          <cell r="B1227" t="str">
            <v>д262</v>
          </cell>
          <cell r="C1227" t="str">
            <v>Дидактика</v>
          </cell>
          <cell r="E1227" t="str">
            <v>шт</v>
          </cell>
          <cell r="F1227">
            <v>0</v>
          </cell>
        </row>
        <row r="1228">
          <cell r="A1228" t="str">
            <v>Граната для метания 0,5 кг</v>
          </cell>
          <cell r="B1228" t="str">
            <v>д261</v>
          </cell>
          <cell r="C1228" t="str">
            <v>Дидактика</v>
          </cell>
          <cell r="E1228" t="str">
            <v>шт</v>
          </cell>
          <cell r="F1228">
            <v>0</v>
          </cell>
        </row>
        <row r="1229">
          <cell r="A1229" t="str">
            <v>Граната для метания 0,7 кг</v>
          </cell>
          <cell r="B1229" t="str">
            <v>д260</v>
          </cell>
          <cell r="C1229" t="str">
            <v>Дидактика</v>
          </cell>
          <cell r="E1229" t="str">
            <v>шт</v>
          </cell>
          <cell r="F1229">
            <v>0</v>
          </cell>
        </row>
        <row r="1230">
          <cell r="A1230" t="str">
            <v>Мяч для метания резиновый 150 гр</v>
          </cell>
          <cell r="B1230" t="str">
            <v>д259</v>
          </cell>
          <cell r="C1230" t="str">
            <v>Дидактика</v>
          </cell>
          <cell r="E1230" t="str">
            <v>шт</v>
          </cell>
          <cell r="F1230">
            <v>0</v>
          </cell>
        </row>
        <row r="1231">
          <cell r="A1231" t="str">
            <v>Тренажер (перекладина) навесная</v>
          </cell>
          <cell r="B1231" t="str">
            <v>д258</v>
          </cell>
          <cell r="C1231" t="str">
            <v>Дидактика</v>
          </cell>
          <cell r="E1231" t="str">
            <v>шт</v>
          </cell>
          <cell r="F1231">
            <v>0</v>
          </cell>
        </row>
        <row r="1232">
          <cell r="A1232" t="str">
            <v>Сетка заградительная</v>
          </cell>
          <cell r="B1232" t="str">
            <v>д257</v>
          </cell>
          <cell r="C1232" t="str">
            <v>Дидактика</v>
          </cell>
          <cell r="E1232" t="str">
            <v>м2</v>
          </cell>
          <cell r="F1232">
            <v>0</v>
          </cell>
        </row>
        <row r="1233">
          <cell r="A1233" t="str">
            <v>шкаф с вешалкой и секцией для хранения документов</v>
          </cell>
          <cell r="B1233" t="str">
            <v>м138</v>
          </cell>
          <cell r="C1233" t="str">
            <v>мебель</v>
          </cell>
          <cell r="F1233">
            <v>0</v>
          </cell>
        </row>
        <row r="1234">
          <cell r="A1234" t="str">
            <v xml:space="preserve">кабинетный фортепиано </v>
          </cell>
          <cell r="B1234" t="str">
            <v>тм152</v>
          </cell>
          <cell r="C1234" t="str">
            <v>Техника муз</v>
          </cell>
          <cell r="F1234">
            <v>0</v>
          </cell>
        </row>
        <row r="1235">
          <cell r="A1235" t="str">
            <v>стулья для фортепиано</v>
          </cell>
          <cell r="B1235" t="str">
            <v>м137</v>
          </cell>
          <cell r="C1235" t="str">
            <v>мебель</v>
          </cell>
          <cell r="F1235">
            <v>0</v>
          </cell>
        </row>
        <row r="1236">
          <cell r="A1236" t="str">
            <v>Стиральная машина</v>
          </cell>
          <cell r="B1236" t="str">
            <v>т116</v>
          </cell>
          <cell r="C1236" t="str">
            <v>Техника</v>
          </cell>
          <cell r="F1236">
            <v>0</v>
          </cell>
        </row>
        <row r="1237">
          <cell r="A1237" t="str">
            <v>Сушильная машина</v>
          </cell>
          <cell r="B1237" t="str">
            <v>т115</v>
          </cell>
          <cell r="C1237" t="str">
            <v>Техника</v>
          </cell>
          <cell r="F1237">
            <v>0</v>
          </cell>
        </row>
        <row r="1238">
          <cell r="A1238" t="str">
            <v>Сушильный шкаф</v>
          </cell>
          <cell r="B1238" t="str">
            <v>м136</v>
          </cell>
          <cell r="C1238" t="str">
            <v>мебель</v>
          </cell>
          <cell r="F1238">
            <v>0</v>
          </cell>
        </row>
        <row r="1239">
          <cell r="A1239" t="str">
            <v>Влагостойкая столешница</v>
          </cell>
          <cell r="B1239" t="str">
            <v>м135</v>
          </cell>
          <cell r="C1239" t="str">
            <v>мебель</v>
          </cell>
          <cell r="F1239">
            <v>0</v>
          </cell>
        </row>
        <row r="1240">
          <cell r="A1240" t="str">
            <v>Встроенная гладильная доска</v>
          </cell>
          <cell r="B1240" t="str">
            <v>д256</v>
          </cell>
          <cell r="C1240" t="str">
            <v>Дидактика</v>
          </cell>
          <cell r="F1240">
            <v>0</v>
          </cell>
        </row>
        <row r="1241">
          <cell r="A1241" t="str">
            <v>Выкатные корзины</v>
          </cell>
          <cell r="B1241" t="str">
            <v>д255</v>
          </cell>
          <cell r="C1241" t="str">
            <v>Дидактика</v>
          </cell>
          <cell r="F1241">
            <v>0</v>
          </cell>
        </row>
        <row r="1242">
          <cell r="A1242" t="str">
            <v>открытый шкаф с полками</v>
          </cell>
          <cell r="B1242" t="str">
            <v>м134</v>
          </cell>
          <cell r="C1242" t="str">
            <v>мебель</v>
          </cell>
          <cell r="F1242">
            <v>0</v>
          </cell>
        </row>
        <row r="1243">
          <cell r="A1243" t="str">
            <v>Открытые стеллажи с контейнерами</v>
          </cell>
          <cell r="B1243" t="str">
            <v>м133</v>
          </cell>
          <cell r="C1243" t="str">
            <v>мебель</v>
          </cell>
          <cell r="F1243">
            <v>0</v>
          </cell>
        </row>
        <row r="1244">
          <cell r="A1244" t="str">
            <v>Шкаф закрытый</v>
          </cell>
          <cell r="B1244" t="str">
            <v>м132</v>
          </cell>
          <cell r="C1244" t="str">
            <v>мебель</v>
          </cell>
          <cell r="F1244">
            <v>0</v>
          </cell>
        </row>
        <row r="1245">
          <cell r="A1245" t="str">
            <v>Стеллаж металлический</v>
          </cell>
          <cell r="B1245" t="str">
            <v>м131</v>
          </cell>
          <cell r="C1245" t="str">
            <v>мебель</v>
          </cell>
          <cell r="F1245">
            <v>0</v>
          </cell>
        </row>
        <row r="1246">
          <cell r="A1246" t="str">
            <v>Шкаф хозяйственный</v>
          </cell>
          <cell r="B1246" t="str">
            <v>м130</v>
          </cell>
          <cell r="C1246" t="str">
            <v>мебель</v>
          </cell>
          <cell r="F1246">
            <v>0</v>
          </cell>
        </row>
        <row r="1247">
          <cell r="A1247" t="str">
            <v>Шкаф для грязного белья</v>
          </cell>
          <cell r="B1247" t="str">
            <v>м129</v>
          </cell>
          <cell r="C1247" t="str">
            <v>мебель</v>
          </cell>
          <cell r="F1247">
            <v>0</v>
          </cell>
        </row>
        <row r="1248">
          <cell r="A1248" t="str">
            <v>Контейнер пластиковый</v>
          </cell>
          <cell r="B1248" t="str">
            <v>д254</v>
          </cell>
          <cell r="C1248" t="str">
            <v>Дидактика</v>
          </cell>
          <cell r="F1248">
            <v>0</v>
          </cell>
        </row>
        <row r="1249">
          <cell r="A1249" t="str">
            <v>Тележка для белья</v>
          </cell>
          <cell r="B1249" t="str">
            <v>д253</v>
          </cell>
          <cell r="C1249" t="str">
            <v>Дидактика</v>
          </cell>
          <cell r="F1249">
            <v>0</v>
          </cell>
        </row>
        <row r="1250">
          <cell r="A1250" t="str">
            <v>Стол производственный</v>
          </cell>
          <cell r="B1250" t="str">
            <v>м128</v>
          </cell>
          <cell r="C1250" t="str">
            <v>мебель</v>
          </cell>
          <cell r="F1250">
            <v>0</v>
          </cell>
        </row>
        <row r="1251">
          <cell r="A1251" t="str">
            <v>Гримерный стол</v>
          </cell>
          <cell r="B1251" t="str">
            <v>м127</v>
          </cell>
          <cell r="C1251" t="str">
            <v>мебель</v>
          </cell>
          <cell r="F1251">
            <v>0</v>
          </cell>
        </row>
        <row r="1252">
          <cell r="A1252" t="str">
            <v>Гримерное зеркало с подсветкой</v>
          </cell>
          <cell r="B1252" t="str">
            <v>д252</v>
          </cell>
          <cell r="C1252" t="str">
            <v>Дидактика</v>
          </cell>
          <cell r="F1252">
            <v>0</v>
          </cell>
        </row>
        <row r="1253">
          <cell r="A1253" t="str">
            <v>Кресло визажиста</v>
          </cell>
          <cell r="B1253" t="str">
            <v>м126</v>
          </cell>
          <cell r="C1253" t="str">
            <v>мебель</v>
          </cell>
          <cell r="F1253">
            <v>0</v>
          </cell>
        </row>
        <row r="1254">
          <cell r="A1254" t="str">
            <v>Костюмные вешала</v>
          </cell>
          <cell r="B1254" t="str">
            <v>м125</v>
          </cell>
          <cell r="C1254" t="str">
            <v>мебель</v>
          </cell>
          <cell r="F1254">
            <v>0</v>
          </cell>
        </row>
        <row r="1255">
          <cell r="A1255" t="str">
            <v>Примерочное зеркало (в полный рост)</v>
          </cell>
          <cell r="B1255" t="str">
            <v>д251</v>
          </cell>
          <cell r="C1255" t="str">
            <v>Дидактика</v>
          </cell>
          <cell r="F1255">
            <v>0</v>
          </cell>
        </row>
        <row r="1256">
          <cell r="A1256" t="str">
            <v>шкафы для аксессуаров</v>
          </cell>
          <cell r="B1256" t="str">
            <v>м124</v>
          </cell>
          <cell r="C1256" t="str">
            <v>мебель</v>
          </cell>
          <cell r="F1256">
            <v>0</v>
          </cell>
        </row>
        <row r="1257">
          <cell r="A1257" t="str">
            <v>Мягкий диван</v>
          </cell>
          <cell r="B1257" t="str">
            <v>м123</v>
          </cell>
          <cell r="C1257" t="str">
            <v>мебель</v>
          </cell>
          <cell r="F1257">
            <v>0</v>
          </cell>
        </row>
        <row r="1258">
          <cell r="A1258" t="str">
            <v>Напольная вешалка для личной одежды</v>
          </cell>
          <cell r="B1258" t="str">
            <v>м122</v>
          </cell>
          <cell r="C1258" t="str">
            <v>мебель</v>
          </cell>
          <cell r="F1258">
            <v>0</v>
          </cell>
        </row>
        <row r="1259">
          <cell r="A1259" t="str">
            <v>Стол звукорежиссёра (акустический, для микшерного пульта, с выдвижными направляющими для клавиатуры)</v>
          </cell>
          <cell r="B1259" t="str">
            <v>м121</v>
          </cell>
          <cell r="C1259" t="str">
            <v>мебель</v>
          </cell>
          <cell r="F1259">
            <v>0</v>
          </cell>
        </row>
        <row r="1260">
          <cell r="A1260" t="str">
            <v>Стойка 19" (напольная, рэковая, высота 25–35U)</v>
          </cell>
          <cell r="B1260" t="str">
            <v>пм124</v>
          </cell>
          <cell r="C1260" t="str">
            <v>прочее муз</v>
          </cell>
          <cell r="F1260">
            <v>0</v>
          </cell>
        </row>
        <row r="1261">
          <cell r="A1261" t="str">
            <v>Стойка 19" настольная (для дополнительных модулей)</v>
          </cell>
          <cell r="B1261" t="str">
            <v>пм123</v>
          </cell>
          <cell r="C1261" t="str">
            <v>прочее муз</v>
          </cell>
          <cell r="F1261">
            <v>0</v>
          </cell>
        </row>
        <row r="1262">
          <cell r="A1262" t="str">
            <v>Верстак для ремонта и пайки (с электростатической защитой)</v>
          </cell>
          <cell r="B1262" t="str">
            <v>м120</v>
          </cell>
          <cell r="C1262" t="str">
            <v>мебель</v>
          </cell>
          <cell r="F1262">
            <v>0</v>
          </cell>
        </row>
        <row r="1263">
          <cell r="A1263" t="str">
            <v>Стул рабочий (для помощника или мастера)</v>
          </cell>
          <cell r="B1263" t="str">
            <v>м119</v>
          </cell>
          <cell r="C1263" t="str">
            <v>мебель</v>
          </cell>
          <cell r="F1263">
            <v>0</v>
          </cell>
        </row>
        <row r="1264">
          <cell r="A1264" t="str">
            <v>Шкаф для хранения микрофонов и кабелей (закрывающийся, с ящиками)</v>
          </cell>
          <cell r="B1264" t="str">
            <v>м118</v>
          </cell>
          <cell r="C1264" t="str">
            <v>мебель</v>
          </cell>
          <cell r="F1264">
            <v>0</v>
          </cell>
        </row>
        <row r="1265">
          <cell r="A1265" t="str">
            <v>Стеллаж для аксессуаров (батарейки, изолента, переходники)</v>
          </cell>
          <cell r="B1265" t="str">
            <v>пм122</v>
          </cell>
          <cell r="C1265" t="str">
            <v>прочее муз</v>
          </cell>
          <cell r="F1265">
            <v>0</v>
          </cell>
        </row>
        <row r="1266">
          <cell r="A1266" t="str">
            <v>Вешалка для кабелей (настенная, многорожевая)</v>
          </cell>
          <cell r="B1266" t="str">
            <v>пм121</v>
          </cell>
          <cell r="C1266" t="str">
            <v>прочее муз</v>
          </cell>
          <cell r="F1266">
            <v>0</v>
          </cell>
        </row>
        <row r="1267">
          <cell r="A1267" t="str">
            <v>Микшерный пульт цифровой (для контроля и настройки, не менее 32 каналов, с возможностью удалённого управления)</v>
          </cell>
          <cell r="B1267" t="str">
            <v>т114</v>
          </cell>
          <cell r="C1267" t="str">
            <v>Техника</v>
          </cell>
          <cell r="F1267">
            <v>0</v>
          </cell>
        </row>
        <row r="1268">
          <cell r="A1268" t="str">
            <v>Микшерный пульт резервный (аналоговый, 16–24 канала)</v>
          </cell>
          <cell r="B1268" t="str">
            <v>т113</v>
          </cell>
          <cell r="C1268" t="str">
            <v>Техника</v>
          </cell>
          <cell r="F1268">
            <v>0</v>
          </cell>
        </row>
        <row r="1269">
          <cell r="A1269" t="str">
            <v>Коммутационная панель (patchbay, 48 точек)</v>
          </cell>
          <cell r="B1269" t="str">
            <v>т112</v>
          </cell>
          <cell r="C1269" t="str">
            <v>Техника</v>
          </cell>
          <cell r="F1269">
            <v>0</v>
          </cell>
        </row>
        <row r="1270">
          <cell r="A1270" t="str">
            <v>Мультиэффектор (процессор эффектов, многоканальный)</v>
          </cell>
          <cell r="B1270" t="str">
            <v>т111</v>
          </cell>
          <cell r="C1270" t="str">
            <v>Техника</v>
          </cell>
          <cell r="F1270">
            <v>0</v>
          </cell>
        </row>
        <row r="1271">
          <cell r="A1271" t="str">
            <v>Эквалайзер графический (31-полосный, 2 канала)</v>
          </cell>
          <cell r="B1271" t="str">
            <v>т110</v>
          </cell>
          <cell r="C1271" t="str">
            <v>Техника</v>
          </cell>
          <cell r="F1271">
            <v>0</v>
          </cell>
        </row>
        <row r="1272">
          <cell r="A1272" t="str">
            <v>Компрессор/лимитер (2-канальный)</v>
          </cell>
          <cell r="B1272" t="str">
            <v>т109</v>
          </cell>
          <cell r="C1272" t="str">
            <v>Техника</v>
          </cell>
          <cell r="F1272">
            <v>0</v>
          </cell>
        </row>
        <row r="1273">
          <cell r="A1273" t="str">
            <v>Шумоподавитель (гейт)</v>
          </cell>
          <cell r="B1273" t="str">
            <v>т108</v>
          </cell>
          <cell r="C1273" t="str">
            <v>Техника</v>
          </cell>
          <cell r="F1273">
            <v>0</v>
          </cell>
        </row>
        <row r="1274">
          <cell r="A1274" t="str">
            <v>Кроссовер (активный, для сабвуферов)</v>
          </cell>
          <cell r="B1274" t="str">
            <v>т107</v>
          </cell>
          <cell r="C1274" t="str">
            <v>Техника</v>
          </cell>
          <cell r="F1274">
            <v>0</v>
          </cell>
        </row>
        <row r="1275">
          <cell r="A1275" t="str">
            <v>Мониторный контроллер (управление громкостью мониторов)</v>
          </cell>
          <cell r="B1275" t="str">
            <v>т106</v>
          </cell>
          <cell r="C1275" t="str">
            <v>Техника</v>
          </cell>
          <cell r="F1275">
            <v>0</v>
          </cell>
        </row>
        <row r="1276">
          <cell r="A1276" t="str">
            <v>Цифровой аудиоинтерфейс (многоканальный, USB/Thunderbolt, не менее 16×16)</v>
          </cell>
          <cell r="B1276" t="str">
            <v>т105</v>
          </cell>
          <cell r="C1276" t="str">
            <v>Техника</v>
          </cell>
          <cell r="F1276">
            <v>0</v>
          </cell>
        </row>
        <row r="1277">
          <cell r="A1277" t="str">
            <v>Радиосистема (базовая станция, 2–4 канала)</v>
          </cell>
          <cell r="B1277" t="str">
            <v>т104</v>
          </cell>
          <cell r="C1277" t="str">
            <v>Техника</v>
          </cell>
          <cell r="F1277">
            <v>0</v>
          </cell>
        </row>
        <row r="1278">
          <cell r="A1278" t="str">
            <v>Дистрибьютор антенный (для радиосистем)</v>
          </cell>
          <cell r="B1278" t="str">
            <v>т103</v>
          </cell>
          <cell r="C1278" t="str">
            <v>Техника</v>
          </cell>
          <cell r="F1278">
            <v>0</v>
          </cell>
        </row>
        <row r="1279">
          <cell r="A1279" t="str">
            <v>Усилитель мощности (резервный, для сценических мониторов)</v>
          </cell>
          <cell r="B1279" t="str">
            <v>т102</v>
          </cell>
          <cell r="C1279" t="str">
            <v>Техника</v>
          </cell>
          <cell r="F1279">
            <v>0</v>
          </cell>
        </row>
        <row r="1280">
          <cell r="A1280" t="str">
            <v>Сетевой фильтр (с защитой от скачков, на несколько розеток)</v>
          </cell>
          <cell r="B1280" t="str">
            <v>т101</v>
          </cell>
          <cell r="C1280" t="str">
            <v>Техника</v>
          </cell>
          <cell r="F1280">
            <v>0</v>
          </cell>
        </row>
        <row r="1281">
          <cell r="A1281" t="str">
            <v>Студийный монитор активный (ближнего поля, 5–8", пара)</v>
          </cell>
          <cell r="B1281" t="str">
            <v>тм151</v>
          </cell>
          <cell r="C1281" t="str">
            <v>Техника муз</v>
          </cell>
          <cell r="F1281">
            <v>0</v>
          </cell>
        </row>
        <row r="1282">
          <cell r="A1282" t="str">
            <v>Сабвуфер студийный (компактный, 10–12")</v>
          </cell>
          <cell r="B1282" t="str">
            <v>тм150</v>
          </cell>
          <cell r="C1282" t="str">
            <v>Техника муз</v>
          </cell>
          <cell r="F1282">
            <v>0</v>
          </cell>
        </row>
        <row r="1283">
          <cell r="A1283" t="str">
            <v>Наушники закрытые (студийные, для звукорежиссёра)</v>
          </cell>
          <cell r="B1283" t="str">
            <v>тм149</v>
          </cell>
          <cell r="C1283" t="str">
            <v>Техника муз</v>
          </cell>
          <cell r="F1283">
            <v>0</v>
          </cell>
        </row>
        <row r="1284">
          <cell r="A1284" t="str">
            <v>Наушники открытые (для сверки микса)</v>
          </cell>
          <cell r="B1284" t="str">
            <v>тм148</v>
          </cell>
          <cell r="C1284" t="str">
            <v>Техника муз</v>
          </cell>
          <cell r="F1284">
            <v>0</v>
          </cell>
        </row>
        <row r="1285">
          <cell r="A1285" t="str">
            <v>Разветвитель наушников (многоканальный, для прослушивания несколькими людьми)</v>
          </cell>
          <cell r="B1285" t="str">
            <v>т100</v>
          </cell>
          <cell r="C1285" t="str">
            <v>Техника</v>
          </cell>
          <cell r="F1285">
            <v>0</v>
          </cell>
        </row>
        <row r="1286">
          <cell r="A1286" t="str">
            <v>Длинный удлинитель для наушников (5–10 м)</v>
          </cell>
          <cell r="B1286" t="str">
            <v>т99</v>
          </cell>
          <cell r="C1286" t="str">
            <v>Техника</v>
          </cell>
          <cell r="F1286">
            <v>0</v>
          </cell>
        </row>
        <row r="1287">
          <cell r="A1287" t="str">
            <v>Компьютер (стационарный, высокой производительности, для многоканальной записи)</v>
          </cell>
          <cell r="B1287" t="str">
            <v>т98</v>
          </cell>
          <cell r="C1287" t="str">
            <v>Техника</v>
          </cell>
          <cell r="F1287">
            <v>0</v>
          </cell>
        </row>
        <row r="1288">
          <cell r="A1288" t="str">
            <v>Монитор компьютерный (27", профессиональный, с точной цветопередачей)</v>
          </cell>
          <cell r="B1288" t="str">
            <v>т97</v>
          </cell>
          <cell r="C1288" t="str">
            <v>Техника</v>
          </cell>
          <cell r="F1288">
            <v>0</v>
          </cell>
        </row>
        <row r="1289">
          <cell r="A1289" t="str">
            <v>Программное обеспечение (DAW: Pro Tools, Cubase, Reaper – с лицензией)</v>
          </cell>
          <cell r="B1289" t="str">
            <v>т96</v>
          </cell>
          <cell r="C1289" t="str">
            <v>Техника</v>
          </cell>
          <cell r="F1289">
            <v>0</v>
          </cell>
        </row>
        <row r="1290">
          <cell r="A1290" t="str">
            <v>Внешний жёсткий диск (SSD, не менее 2 ТБ для архивов записей)</v>
          </cell>
          <cell r="B1290" t="str">
            <v>д250</v>
          </cell>
          <cell r="C1290" t="str">
            <v>Дидактика</v>
          </cell>
          <cell r="F1290">
            <v>0</v>
          </cell>
        </row>
        <row r="1291">
          <cell r="A1291" t="str">
            <v>Флеш-накопители (для переноса записей)</v>
          </cell>
          <cell r="B1291" t="str">
            <v>д249</v>
          </cell>
          <cell r="C1291" t="str">
            <v>Дидактика</v>
          </cell>
          <cell r="F1291">
            <v>0</v>
          </cell>
        </row>
        <row r="1292">
          <cell r="A1292" t="str">
            <v>CD/DVD-рекордер (внешний, для записи архивов)</v>
          </cell>
          <cell r="B1292" t="str">
            <v>т95</v>
          </cell>
          <cell r="C1292" t="str">
            <v>Техника</v>
          </cell>
          <cell r="F1292">
            <v>0</v>
          </cell>
        </row>
        <row r="1293">
          <cell r="A1293" t="str">
            <v>Клавиатура компьютерная + мышь (профессиональные)</v>
          </cell>
          <cell r="B1293" t="str">
            <v>т94</v>
          </cell>
          <cell r="C1293" t="str">
            <v>Техника</v>
          </cell>
          <cell r="F1293">
            <v>0</v>
          </cell>
        </row>
        <row r="1294">
          <cell r="A1294" t="str">
            <v>MIDI-клавиатура (малая, 25–49 клавиш)</v>
          </cell>
          <cell r="B1294" t="str">
            <v>пм120</v>
          </cell>
          <cell r="C1294" t="str">
            <v>прочее муз</v>
          </cell>
          <cell r="F1294">
            <v>0</v>
          </cell>
        </row>
        <row r="1295">
          <cell r="A1295" t="str">
            <v>Диктофон профессиональный (Zoom H8 / Tascam)</v>
          </cell>
          <cell r="B1295" t="str">
            <v>пм119</v>
          </cell>
          <cell r="C1295" t="str">
            <v>прочее муз</v>
          </cell>
          <cell r="F1295">
            <v>0</v>
          </cell>
        </row>
        <row r="1296">
          <cell r="A1296" t="str">
            <v>Микрофон измерительный (для настройки акустики зала, калиброванный)</v>
          </cell>
          <cell r="B1296" t="str">
            <v>пм118</v>
          </cell>
          <cell r="C1296" t="str">
            <v>прочее муз</v>
          </cell>
          <cell r="F1296">
            <v>0</v>
          </cell>
        </row>
        <row r="1297">
          <cell r="A1297" t="str">
            <v>Микрофон конденсаторный студийный (большая диафрагма, для записи)</v>
          </cell>
          <cell r="B1297" t="str">
            <v>пм117</v>
          </cell>
          <cell r="C1297" t="str">
            <v>прочее муз</v>
          </cell>
          <cell r="F1297">
            <v>0</v>
          </cell>
        </row>
        <row r="1298">
          <cell r="A1298" t="str">
            <v>Микрофон динамический (резервный универсальный)</v>
          </cell>
          <cell r="B1298" t="str">
            <v>пм116</v>
          </cell>
          <cell r="C1298" t="str">
            <v>прочее муз</v>
          </cell>
          <cell r="F1298">
            <v>0</v>
          </cell>
        </row>
        <row r="1299">
          <cell r="A1299" t="str">
            <v>Микрофонный калибратор (для измерительного микрофона)</v>
          </cell>
          <cell r="B1299" t="str">
            <v>пм115</v>
          </cell>
          <cell r="C1299" t="str">
            <v>прочее муз</v>
          </cell>
          <cell r="F1299">
            <v>0</v>
          </cell>
        </row>
        <row r="1300">
          <cell r="A1300" t="str">
            <v>Кабель XLR (разной длины: 0,5 м, 1 м, 3 м, 5 м)</v>
          </cell>
          <cell r="B1300" t="str">
            <v>т93</v>
          </cell>
          <cell r="C1300" t="str">
            <v>Техника</v>
          </cell>
          <cell r="F1300">
            <v>0</v>
          </cell>
        </row>
        <row r="1301">
          <cell r="A1301" t="str">
            <v>Кабель Jack (¼", TS/TRS, разной длины)</v>
          </cell>
          <cell r="B1301" t="str">
            <v>т92</v>
          </cell>
          <cell r="C1301" t="str">
            <v>Техника</v>
          </cell>
          <cell r="F1301">
            <v>0</v>
          </cell>
        </row>
        <row r="1302">
          <cell r="A1302" t="str">
            <v>Кабель RCA – RCA</v>
          </cell>
          <cell r="B1302" t="str">
            <v>т91</v>
          </cell>
          <cell r="C1302" t="str">
            <v>Техника</v>
          </cell>
          <cell r="F1302">
            <v>0</v>
          </cell>
        </row>
        <row r="1303">
          <cell r="A1303" t="str">
            <v>Кабель оптический (Toslink)</v>
          </cell>
          <cell r="B1303" t="str">
            <v>т90</v>
          </cell>
          <cell r="C1303" t="str">
            <v>Техника</v>
          </cell>
          <cell r="F1303">
            <v>0</v>
          </cell>
        </row>
        <row r="1304">
          <cell r="A1304" t="str">
            <v>Кабель USB (A–B, A–C, удлинители)</v>
          </cell>
          <cell r="B1304" t="str">
            <v>т89</v>
          </cell>
          <cell r="C1304" t="str">
            <v>Техника</v>
          </cell>
          <cell r="F1304">
            <v>0</v>
          </cell>
        </row>
        <row r="1305">
          <cell r="A1305" t="str">
            <v>Кабель HDMI</v>
          </cell>
          <cell r="B1305" t="str">
            <v>т88</v>
          </cell>
          <cell r="C1305" t="str">
            <v>Техника</v>
          </cell>
          <cell r="F1305">
            <v>0</v>
          </cell>
        </row>
        <row r="1306">
          <cell r="A1306" t="str">
            <v>Переходники (XLR – Jack, Jack – RCA, разветвители, Y-кабели)</v>
          </cell>
          <cell r="B1306" t="str">
            <v>пм114</v>
          </cell>
          <cell r="C1306" t="str">
            <v>прочее муз</v>
          </cell>
          <cell r="F1306">
            <v>0</v>
          </cell>
        </row>
        <row r="1307">
          <cell r="A1307" t="str">
            <v>Ди-бокс (DI) активный и пассивный</v>
          </cell>
          <cell r="B1307" t="str">
            <v>пм113</v>
          </cell>
          <cell r="C1307" t="str">
            <v>прочее муз</v>
          </cell>
          <cell r="F1307">
            <v>0</v>
          </cell>
        </row>
        <row r="1308">
          <cell r="A1308" t="str">
            <v>Сплиттер микрофонный (на 8–16 каналов)</v>
          </cell>
          <cell r="B1308" t="str">
            <v>пм112</v>
          </cell>
          <cell r="C1308" t="str">
            <v>прочее муз</v>
          </cell>
          <cell r="F1308">
            <v>0</v>
          </cell>
        </row>
        <row r="1309">
          <cell r="A1309" t="str">
            <v>Катушка для кабелей (емкость 50–100 м)</v>
          </cell>
          <cell r="B1309" t="str">
            <v>д248</v>
          </cell>
          <cell r="C1309" t="str">
            <v>Дидактика</v>
          </cell>
          <cell r="F1309">
            <v>0</v>
          </cell>
        </row>
        <row r="1310">
          <cell r="A1310" t="str">
            <v>Акустика 2.0 (полочная)</v>
          </cell>
          <cell r="B1310" t="str">
            <v>пм111</v>
          </cell>
          <cell r="C1310" t="str">
            <v>прочее муз</v>
          </cell>
          <cell r="F1310">
            <v>0</v>
          </cell>
        </row>
        <row r="1311">
          <cell r="A1311" t="str">
            <v>DVD/Blu-ray плеер (опера/балет)</v>
          </cell>
          <cell r="B1311" t="str">
            <v>пм110</v>
          </cell>
          <cell r="C1311" t="str">
            <v>прочее муз</v>
          </cell>
          <cell r="F1311">
            <v>0</v>
          </cell>
        </row>
        <row r="1312">
          <cell r="A1312" t="str">
            <v>Портреты композиторов на стенах (раздаточная печать)</v>
          </cell>
          <cell r="B1312" t="str">
            <v>д247</v>
          </cell>
          <cell r="C1312" t="str">
            <v>Дидактика</v>
          </cell>
          <cell r="F1312">
            <v>0</v>
          </cell>
        </row>
        <row r="1313">
          <cell r="A1313" t="str">
            <v>Библиотека CD/DVD (классика) – 200 дисков + лицензия.</v>
          </cell>
          <cell r="B1313" t="str">
            <v>пм109</v>
          </cell>
          <cell r="C1313" t="str">
            <v>прочее муз</v>
          </cell>
          <cell r="F1313">
            <v>0</v>
          </cell>
        </row>
        <row r="1314">
          <cell r="A1314" t="str">
            <v>Цифровое пианино</v>
          </cell>
          <cell r="B1314" t="str">
            <v>тм147</v>
          </cell>
          <cell r="C1314" t="str">
            <v>Техника муз</v>
          </cell>
          <cell r="F1314">
            <v>0</v>
          </cell>
        </row>
        <row r="1315">
          <cell r="A1315" t="str">
            <v>Доска нотная</v>
          </cell>
          <cell r="B1315" t="str">
            <v>д246</v>
          </cell>
          <cell r="C1315" t="str">
            <v>Дидактика</v>
          </cell>
          <cell r="F1315">
            <v>0</v>
          </cell>
        </row>
        <row r="1316">
          <cell r="A1316" t="str">
            <v>Ящик для хранения хрестоматий</v>
          </cell>
          <cell r="B1316" t="str">
            <v>пм108</v>
          </cell>
          <cell r="C1316" t="str">
            <v>прочее муз</v>
          </cell>
          <cell r="F1316">
            <v>0</v>
          </cell>
        </row>
        <row r="1317">
          <cell r="A1317" t="str">
            <v>Акустическая панель (басовая ловушка, угловая, 30×60×60 см)</v>
          </cell>
          <cell r="B1317" t="str">
            <v>пм107</v>
          </cell>
          <cell r="C1317" t="str">
            <v>прочее муз</v>
          </cell>
          <cell r="F1317">
            <v>0</v>
          </cell>
        </row>
        <row r="1318">
          <cell r="A1318" t="str">
            <v>Акустическая панель (широкополосная, 60×60×5 см)</v>
          </cell>
          <cell r="B1318" t="str">
            <v>пм106</v>
          </cell>
          <cell r="C1318" t="str">
            <v>прочее муз</v>
          </cell>
          <cell r="F1318">
            <v>0</v>
          </cell>
        </row>
        <row r="1319">
          <cell r="A1319" t="str">
            <v>Диффузор (древесный или пенополиуретановый)</v>
          </cell>
          <cell r="B1319" t="str">
            <v>тм146</v>
          </cell>
          <cell r="C1319" t="str">
            <v>Техника муз</v>
          </cell>
          <cell r="F1319">
            <v>0</v>
          </cell>
        </row>
        <row r="1320">
          <cell r="A1320" t="str">
            <v>Плавучий пол (виброизолированная конструкция) – опционально</v>
          </cell>
          <cell r="B1320" t="str">
            <v>д245</v>
          </cell>
          <cell r="C1320" t="str">
            <v>Дидактика</v>
          </cell>
          <cell r="F1320">
            <v>0</v>
          </cell>
        </row>
        <row r="1321">
          <cell r="A1321" t="str">
            <v>Двойная стеклопакетная дверь (звукоизоляция)</v>
          </cell>
          <cell r="B1321" t="str">
            <v>м117</v>
          </cell>
          <cell r="C1321" t="str">
            <v>Мебель</v>
          </cell>
          <cell r="F1321">
            <v>0</v>
          </cell>
        </row>
        <row r="1322">
          <cell r="A1322" t="str">
            <v>Акустический ковёр (для студийного зала)</v>
          </cell>
          <cell r="B1322" t="str">
            <v>д245</v>
          </cell>
          <cell r="C1322" t="str">
            <v>Дидактика</v>
          </cell>
          <cell r="F1322">
            <v>0</v>
          </cell>
        </row>
        <row r="1323">
          <cell r="A1323" t="str">
            <v>Стол звукорежиссёра (акустический, с рэковыми стойками по бокам)</v>
          </cell>
          <cell r="B1323" t="str">
            <v>м116</v>
          </cell>
          <cell r="C1323" t="str">
            <v>Мебель</v>
          </cell>
          <cell r="F1323">
            <v>0</v>
          </cell>
        </row>
        <row r="1324">
          <cell r="A1324" t="str">
            <v>Кресло звукорежиссёра (эргономичное, с подлокотниками)</v>
          </cell>
          <cell r="B1324" t="str">
            <v>м115</v>
          </cell>
          <cell r="C1324" t="str">
            <v>Мебель</v>
          </cell>
          <cell r="D1324" t="str">
            <v>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v>
          </cell>
          <cell r="F1324">
            <v>0</v>
          </cell>
        </row>
        <row r="1325">
          <cell r="A1325" t="str">
            <v>Рэковая стойка (напольная, 19", 20–30U)</v>
          </cell>
          <cell r="B1325" t="str">
            <v>пм105</v>
          </cell>
          <cell r="C1325" t="str">
            <v>прочее муз</v>
          </cell>
          <cell r="F1325">
            <v>0</v>
          </cell>
        </row>
        <row r="1326">
          <cell r="A1326" t="str">
            <v>Рэковая стойка настольная (для оборудования ближнего доступа)</v>
          </cell>
          <cell r="B1326" t="str">
            <v>пм104</v>
          </cell>
          <cell r="C1326" t="str">
            <v>Прочее муз</v>
          </cell>
          <cell r="F1326">
            <v>0</v>
          </cell>
        </row>
        <row r="1327">
          <cell r="A1327" t="str">
            <v>Стул для помощника / второго инженера</v>
          </cell>
          <cell r="B1327" t="str">
            <v>м114</v>
          </cell>
          <cell r="C1327" t="str">
            <v>Мебель</v>
          </cell>
          <cell r="D1327" t="str">
            <v>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v>
          </cell>
          <cell r="F1327">
            <v>0</v>
          </cell>
        </row>
        <row r="1328">
          <cell r="A1328" t="str">
            <v>Диван для ожидания (клиенты, музыканты)</v>
          </cell>
          <cell r="B1328" t="str">
            <v>м113</v>
          </cell>
          <cell r="C1328" t="str">
            <v>Мебель</v>
          </cell>
          <cell r="F1328">
            <v>0</v>
          </cell>
        </row>
        <row r="1329">
          <cell r="A1329" t="str">
            <v>Шкаф закрывающийся для хранения микрофонов и кабелей</v>
          </cell>
          <cell r="B1329" t="str">
            <v>м112</v>
          </cell>
          <cell r="C1329" t="str">
            <v>Мебель</v>
          </cell>
          <cell r="F1329">
            <v>0</v>
          </cell>
        </row>
        <row r="1330">
          <cell r="A1330" t="str">
            <v>Стеллаж для аксессуаров (адаптеры, батарейки, изолента)</v>
          </cell>
          <cell r="B1330" t="str">
            <v>м111</v>
          </cell>
          <cell r="C1330" t="str">
            <v>Мебель</v>
          </cell>
          <cell r="F1330">
            <v>0</v>
          </cell>
        </row>
        <row r="1331">
          <cell r="A1331" t="str">
            <v>Настенный кронштейн для кабелей (многорожевая вешалка)</v>
          </cell>
          <cell r="B1331" t="str">
            <v>пм103</v>
          </cell>
          <cell r="C1331" t="str">
            <v>Прочее муз</v>
          </cell>
          <cell r="F1331">
            <v>0</v>
          </cell>
        </row>
        <row r="1332">
          <cell r="A1332" t="str">
            <v>Пуф для музыканта (без подлокотников)</v>
          </cell>
          <cell r="B1332" t="str">
            <v>м110</v>
          </cell>
          <cell r="C1332" t="str">
            <v>Мебель</v>
          </cell>
          <cell r="F1332">
            <v>0</v>
          </cell>
        </row>
        <row r="1333">
          <cell r="A1333" t="str">
            <v>Стул для артиста (регулируемый, без скрипа)</v>
          </cell>
          <cell r="B1333" t="str">
            <v>м109</v>
          </cell>
          <cell r="C1333" t="str">
            <v>Мебель</v>
          </cell>
          <cell r="F1333">
            <v>0</v>
          </cell>
        </row>
        <row r="1334">
          <cell r="A1334" t="str">
            <v>Пюпитр тяжёлый (чёрный, широкий)</v>
          </cell>
          <cell r="B1334" t="str">
            <v>тм145</v>
          </cell>
          <cell r="C1334" t="str">
            <v>Техника муз</v>
          </cell>
          <cell r="F1334">
            <v>0</v>
          </cell>
        </row>
        <row r="1335">
          <cell r="A1335" t="str">
            <v>Табурет для барабанщика (винтовой, с упором для спины)</v>
          </cell>
          <cell r="B1335" t="str">
            <v>м108</v>
          </cell>
          <cell r="C1335" t="str">
            <v>Мебель</v>
          </cell>
          <cell r="F1335">
            <v>0</v>
          </cell>
        </row>
        <row r="1336">
          <cell r="A1336" t="str">
            <v>Ковёр акустический (звукопоглощающий)</v>
          </cell>
          <cell r="B1336" t="str">
            <v>д244</v>
          </cell>
          <cell r="C1336" t="str">
            <v>Дидактика</v>
          </cell>
          <cell r="F1336">
            <v>0</v>
          </cell>
        </row>
        <row r="1337">
          <cell r="A1337" t="str">
            <v>Стойка для микрофонов (напольная, прямая)</v>
          </cell>
          <cell r="B1337" t="str">
            <v>пм102</v>
          </cell>
          <cell r="C1337" t="str">
            <v>Прочее муз</v>
          </cell>
          <cell r="F1337">
            <v>0</v>
          </cell>
        </row>
        <row r="1338">
          <cell r="A1338" t="str">
            <v>Стойка для микрофонов низкая (30–50 см)</v>
          </cell>
          <cell r="B1338" t="str">
            <v>пм101</v>
          </cell>
          <cell r="C1338" t="str">
            <v>Прочее муз</v>
          </cell>
          <cell r="F1338">
            <v>0</v>
          </cell>
        </row>
        <row r="1339">
          <cell r="A1339" t="str">
            <v>Стойка для микрофонов наклонная («журавль»)</v>
          </cell>
          <cell r="B1339" t="str">
            <v>пм100</v>
          </cell>
          <cell r="C1339" t="str">
            <v>Прочее муз</v>
          </cell>
          <cell r="F1339">
            <v>0</v>
          </cell>
        </row>
        <row r="1340">
          <cell r="A1340" t="str">
            <v>Ширма акустическая (мобильная, для вокала/инструментов)</v>
          </cell>
          <cell r="B1340" t="str">
            <v>пм99</v>
          </cell>
          <cell r="C1340" t="str">
            <v>Прочее муз</v>
          </cell>
          <cell r="F1340">
            <v>0</v>
          </cell>
        </row>
        <row r="1341">
          <cell r="A1341" t="str">
            <v>Кабинка вокальная (портативная, звукопоглощающая) – опционально</v>
          </cell>
          <cell r="B1341" t="str">
            <v>тм144</v>
          </cell>
          <cell r="C1341" t="str">
            <v>Техника муз</v>
          </cell>
          <cell r="F1341">
            <v>0</v>
          </cell>
        </row>
        <row r="1342">
          <cell r="A1342" t="str">
            <v>Вешалка для кабелей напольная</v>
          </cell>
          <cell r="B1342" t="str">
            <v>м107</v>
          </cell>
          <cell r="C1342" t="str">
            <v>Мебель</v>
          </cell>
          <cell r="F1342">
            <v>0</v>
          </cell>
        </row>
        <row r="1343">
          <cell r="A1343" t="str">
            <v>Микшерный пульт цифровой (не менее 24 каналов, с управлением DAW)</v>
          </cell>
          <cell r="B1343" t="str">
            <v>тм143</v>
          </cell>
          <cell r="C1343" t="str">
            <v>Техника муз</v>
          </cell>
          <cell r="F1343">
            <v>0</v>
          </cell>
        </row>
        <row r="1344">
          <cell r="A1344" t="str">
            <v>Аудиоинтерфейс (многоканальный, USB/Thunderbolt, не менее 24×24)</v>
          </cell>
          <cell r="B1344" t="str">
            <v>тм142</v>
          </cell>
          <cell r="C1344" t="str">
            <v>Техника муз</v>
          </cell>
          <cell r="F1344">
            <v>0</v>
          </cell>
        </row>
        <row r="1345">
          <cell r="A1345" t="str">
            <v>Коммутационная панель (patchbay, 96 точек)</v>
          </cell>
          <cell r="B1345" t="str">
            <v>т86</v>
          </cell>
          <cell r="C1345" t="str">
            <v>Техника</v>
          </cell>
          <cell r="F1345">
            <v>0</v>
          </cell>
        </row>
        <row r="1346">
          <cell r="A1346" t="str">
            <v>Микрофонный предусилитель (8-канальный, чистый прозрачный)</v>
          </cell>
          <cell r="B1346" t="str">
            <v>тм141</v>
          </cell>
          <cell r="C1346" t="str">
            <v>Техника муз</v>
          </cell>
          <cell r="F1346">
            <v>0</v>
          </cell>
        </row>
        <row r="1347">
          <cell r="A1347" t="str">
            <v>Микрофонный предусилитель (ламповый, 2 канала)</v>
          </cell>
          <cell r="B1347" t="str">
            <v>тм140</v>
          </cell>
          <cell r="C1347" t="str">
            <v>Техника муз</v>
          </cell>
          <cell r="F1347">
            <v>0</v>
          </cell>
        </row>
        <row r="1348">
          <cell r="A1348" t="str">
            <v>Компрессор/лимитер (2-канальный, студийный)</v>
          </cell>
          <cell r="B1348" t="str">
            <v>тм139</v>
          </cell>
          <cell r="C1348" t="str">
            <v>Техника муз</v>
          </cell>
          <cell r="F1348">
            <v>0</v>
          </cell>
        </row>
        <row r="1349">
          <cell r="A1349" t="str">
            <v>Эквалайзер параметрический (2-канальный)</v>
          </cell>
          <cell r="B1349" t="str">
            <v>тм138</v>
          </cell>
          <cell r="C1349" t="str">
            <v>Техника муз</v>
          </cell>
          <cell r="F1349">
            <v>0</v>
          </cell>
        </row>
        <row r="1350">
          <cell r="A1350" t="str">
            <v>Ревербератор (цифровой, многоканальный)</v>
          </cell>
          <cell r="B1350" t="str">
            <v>тм137</v>
          </cell>
          <cell r="C1350" t="str">
            <v>Техника муз</v>
          </cell>
          <cell r="F1350">
            <v>0</v>
          </cell>
        </row>
        <row r="1351">
          <cell r="A1351" t="str">
            <v>Шумоподавитель (гейт, 4 канала)</v>
          </cell>
          <cell r="B1351" t="str">
            <v>тм136</v>
          </cell>
          <cell r="C1351" t="str">
            <v>Техника муз</v>
          </cell>
          <cell r="F1351">
            <v>0</v>
          </cell>
        </row>
        <row r="1352">
          <cell r="A1352" t="str">
            <v>AD/DA конвертер (8+ каналов, 192 кГц)</v>
          </cell>
          <cell r="B1352" t="str">
            <v>тм135</v>
          </cell>
          <cell r="C1352" t="str">
            <v>Техника муз</v>
          </cell>
          <cell r="F1352">
            <v>0</v>
          </cell>
        </row>
        <row r="1353">
          <cell r="A1353" t="str">
            <v>Настольные мониторные контроллеры</v>
          </cell>
          <cell r="B1353" t="str">
            <v>тм134</v>
          </cell>
          <cell r="C1353" t="str">
            <v>Техника муз</v>
          </cell>
          <cell r="F1353">
            <v>0</v>
          </cell>
        </row>
        <row r="1354">
          <cell r="A1354" t="str">
            <v>Радиосистема вокальная (2–4 канала, студийного качества)</v>
          </cell>
          <cell r="B1354" t="str">
            <v>тм133</v>
          </cell>
          <cell r="C1354" t="str">
            <v>Техника муз</v>
          </cell>
          <cell r="F1354">
            <v>0</v>
          </cell>
        </row>
        <row r="1355">
          <cell r="A1355" t="str">
            <v>Цифровой магнитофон (многодорожечный рекордер, опционально)</v>
          </cell>
          <cell r="B1355" t="str">
            <v>тм132</v>
          </cell>
          <cell r="C1355" t="str">
            <v>Техника муз</v>
          </cell>
          <cell r="F1355">
            <v>0</v>
          </cell>
        </row>
        <row r="1356">
          <cell r="A1356" t="str">
            <v>Активные студийные мониторы (ближнего поля, 6–8", пара)</v>
          </cell>
          <cell r="B1356" t="str">
            <v>тм131</v>
          </cell>
          <cell r="C1356" t="str">
            <v>Техника муз</v>
          </cell>
          <cell r="F1356">
            <v>0</v>
          </cell>
        </row>
        <row r="1357">
          <cell r="A1357" t="str">
            <v>Активные студийные мониторы (дальнего поля, 8–10", опционально)</v>
          </cell>
          <cell r="B1357" t="str">
            <v>тм130</v>
          </cell>
          <cell r="C1357" t="str">
            <v>Техника муз</v>
          </cell>
          <cell r="F1357">
            <v>0</v>
          </cell>
        </row>
        <row r="1358">
          <cell r="A1358" t="str">
            <v>Сабвуфер студийный (активный, 12–15")</v>
          </cell>
          <cell r="B1358" t="str">
            <v>т85</v>
          </cell>
          <cell r="C1358" t="str">
            <v>Техника</v>
          </cell>
          <cell r="F1358">
            <v>0</v>
          </cell>
        </row>
        <row r="1359">
          <cell r="A1359" t="str">
            <v>Наушники для музыкантов (закрытые, высокоомные)</v>
          </cell>
          <cell r="B1359" t="str">
            <v>тм129</v>
          </cell>
          <cell r="C1359" t="str">
            <v>Техника муз</v>
          </cell>
          <cell r="F1359">
            <v>0</v>
          </cell>
        </row>
        <row r="1360">
          <cell r="A1360" t="str">
            <v>Разветвитель наушников (многоканальный, 8–12 выходов)</v>
          </cell>
          <cell r="B1360" t="str">
            <v>тм128</v>
          </cell>
          <cell r="C1360" t="str">
            <v>Техника муз</v>
          </cell>
          <cell r="F1360">
            <v>0</v>
          </cell>
        </row>
        <row r="1361">
          <cell r="A1361" t="str">
            <v>Длинные удлинители для наушников (5–10 м)</v>
          </cell>
          <cell r="B1361" t="str">
            <v>тм127</v>
          </cell>
          <cell r="C1361" t="str">
            <v>Техника муз</v>
          </cell>
          <cell r="F1361">
            <v>0</v>
          </cell>
        </row>
        <row r="1362">
          <cell r="A1362" t="str">
            <v>Микрофон конденсаторный студийный (большая диафрагма) – для вокала</v>
          </cell>
          <cell r="B1362" t="str">
            <v>тм126</v>
          </cell>
          <cell r="C1362" t="str">
            <v>Техника муз</v>
          </cell>
          <cell r="F1362">
            <v>0</v>
          </cell>
        </row>
        <row r="1363">
          <cell r="A1363" t="str">
            <v>Микрофон конденсаторный студийный (малая диафрагма, пара) – для инструментов</v>
          </cell>
          <cell r="B1363" t="str">
            <v>тм125</v>
          </cell>
          <cell r="C1363" t="str">
            <v>Техника муз</v>
          </cell>
          <cell r="F1363">
            <v>0</v>
          </cell>
        </row>
        <row r="1364">
          <cell r="A1364" t="str">
            <v>Микрофон ленточный (для духовых, гитарных кабинетов)</v>
          </cell>
          <cell r="B1364" t="str">
            <v>тм124</v>
          </cell>
          <cell r="C1364" t="str">
            <v>Техника муз</v>
          </cell>
          <cell r="F1364">
            <v>0</v>
          </cell>
        </row>
        <row r="1365">
          <cell r="A1365" t="str">
            <v>Микрофон динамический (Shure SM7B или аналог) – для вокала</v>
          </cell>
          <cell r="B1365" t="str">
            <v>тм123</v>
          </cell>
          <cell r="C1365" t="str">
            <v>Техника муз</v>
          </cell>
          <cell r="F1365">
            <v>0</v>
          </cell>
        </row>
        <row r="1366">
          <cell r="A1366" t="str">
            <v>Микрофон динамический инструментальный (SM57)</v>
          </cell>
          <cell r="B1366" t="str">
            <v>тм122</v>
          </cell>
          <cell r="C1366" t="str">
            <v>Техника муз</v>
          </cell>
          <cell r="F1366">
            <v>0</v>
          </cell>
        </row>
        <row r="1367">
          <cell r="A1367" t="str">
            <v>Микрофон для бочки (Shure Beta 52A или аналог)</v>
          </cell>
          <cell r="B1367" t="str">
            <v>тм121</v>
          </cell>
          <cell r="C1367" t="str">
            <v>Техника муз</v>
          </cell>
          <cell r="F1367">
            <v>0</v>
          </cell>
        </row>
        <row r="1368">
          <cell r="A1368" t="str">
            <v>Микрофон для малого барабана (Shure SM57 / Beta 57)</v>
          </cell>
          <cell r="B1368" t="str">
            <v>тм120</v>
          </cell>
          <cell r="C1368" t="str">
            <v>Техника муз</v>
          </cell>
          <cell r="F1368">
            <v>0</v>
          </cell>
        </row>
        <row r="1369">
          <cell r="A1369" t="str">
            <v>Микрофон для подвесных тарелок (конденсаторный)</v>
          </cell>
          <cell r="B1369" t="str">
            <v>тм119</v>
          </cell>
          <cell r="C1369" t="str">
            <v>Техника муз</v>
          </cell>
          <cell r="F1369">
            <v>0</v>
          </cell>
        </row>
        <row r="1370">
          <cell r="A1370" t="str">
            <v>Микрофон для акустической гитары (конденсаторный, миниатюрный)</v>
          </cell>
          <cell r="B1370" t="str">
            <v>тм118</v>
          </cell>
          <cell r="C1370" t="str">
            <v>Техника муз</v>
          </cell>
          <cell r="F1370">
            <v>0</v>
          </cell>
        </row>
        <row r="1371">
          <cell r="A1371" t="str">
            <v>Микрофон для фортепиано (пара малодиафрагменных, конденсаторных)</v>
          </cell>
          <cell r="B1371" t="str">
            <v>тм117</v>
          </cell>
          <cell r="C1371" t="str">
            <v>Техника муз</v>
          </cell>
          <cell r="F1371">
            <v>0</v>
          </cell>
        </row>
        <row r="1372">
          <cell r="A1372" t="str">
            <v>Микрофон для контрабаса / виолончели (специализированный)</v>
          </cell>
          <cell r="B1372" t="str">
            <v>тм116</v>
          </cell>
          <cell r="C1372" t="str">
            <v>Техника муз</v>
          </cell>
          <cell r="F1372">
            <v>0</v>
          </cell>
        </row>
        <row r="1373">
          <cell r="A1373" t="str">
            <v>Микрофон измерительный (калиброванный, для настройки акустики)</v>
          </cell>
          <cell r="B1373" t="str">
            <v>тм115</v>
          </cell>
          <cell r="C1373" t="str">
            <v>Техника муз</v>
          </cell>
          <cell r="F1373">
            <v>0</v>
          </cell>
        </row>
        <row r="1374">
          <cell r="A1374" t="str">
            <v>Диктофон профессиональный (Zoom H8 / Tascam, полевой)</v>
          </cell>
          <cell r="B1374" t="str">
            <v>тм114</v>
          </cell>
          <cell r="C1374" t="str">
            <v>Техника муз</v>
          </cell>
          <cell r="F1374">
            <v>0</v>
          </cell>
        </row>
        <row r="1375">
          <cell r="A1375" t="str">
            <v>Компьютер (процессор Intel i9 / AMD Ryzen 9, 64+ ГБ ОЗУ, SSD NVMe 2 ТБ)</v>
          </cell>
          <cell r="B1375" t="str">
            <v>т84</v>
          </cell>
          <cell r="C1375" t="str">
            <v>Техника</v>
          </cell>
          <cell r="F1375">
            <v>0</v>
          </cell>
        </row>
        <row r="1376">
          <cell r="A1376" t="str">
            <v>Монитор компьютерный (27", профессиональный, цветной)</v>
          </cell>
          <cell r="B1376" t="str">
            <v>т83</v>
          </cell>
          <cell r="C1376" t="str">
            <v>Техника</v>
          </cell>
          <cell r="F1376">
            <v>0</v>
          </cell>
        </row>
        <row r="1377">
          <cell r="A1377" t="str">
            <v>DAW (Pro Tools Ultimate, Cubase Pro, Nuendo) – лицензия</v>
          </cell>
          <cell r="B1377" t="str">
            <v>тм113</v>
          </cell>
          <cell r="C1377" t="str">
            <v>Техника муз</v>
          </cell>
          <cell r="F1377">
            <v>0</v>
          </cell>
        </row>
        <row r="1378">
          <cell r="A1378" t="str">
            <v>Внешний жёсткий диск (SSD, 4 ТБ, для архивов проектов)</v>
          </cell>
          <cell r="B1378" t="str">
            <v>тм112</v>
          </cell>
          <cell r="C1378" t="str">
            <v>Техника муз</v>
          </cell>
          <cell r="F1378">
            <v>0</v>
          </cell>
        </row>
        <row r="1379">
          <cell r="A1379" t="str">
            <v>Флеш-накопители (128–256 ГБ)</v>
          </cell>
          <cell r="B1379" t="str">
            <v>д244</v>
          </cell>
          <cell r="C1379" t="str">
            <v>Дидактика</v>
          </cell>
          <cell r="F1379">
            <v>0</v>
          </cell>
        </row>
        <row r="1380">
          <cell r="A1380" t="str">
            <v>CD/DVD/Blu-ray рекордер (внешний)</v>
          </cell>
          <cell r="B1380" t="str">
            <v>тм111</v>
          </cell>
          <cell r="C1380" t="str">
            <v>Техника муз</v>
          </cell>
          <cell r="F1380">
            <v>0</v>
          </cell>
        </row>
        <row r="1381">
          <cell r="A1381" t="str">
            <v>MIDI-клавиатура (49 клавиш, с молоточковой механикой)</v>
          </cell>
          <cell r="B1381" t="str">
            <v>тм110</v>
          </cell>
          <cell r="C1381" t="str">
            <v>Техника муз</v>
          </cell>
          <cell r="F1381">
            <v>0</v>
          </cell>
        </row>
        <row r="1382">
          <cell r="A1382" t="str">
            <v>MIDI-клавиатура (25 клавиш, компактная для путешествий)</v>
          </cell>
          <cell r="B1382" t="str">
            <v>тм109</v>
          </cell>
          <cell r="C1382" t="str">
            <v>Техника муз</v>
          </cell>
          <cell r="F1382">
            <v>0</v>
          </cell>
        </row>
        <row r="1383">
          <cell r="A1383" t="str">
            <v>MIDI-контроллер (пэд-контроллер, фейдеры, энкодеры)</v>
          </cell>
          <cell r="B1383" t="str">
            <v>тм108</v>
          </cell>
          <cell r="C1383" t="str">
            <v>Техника муз</v>
          </cell>
          <cell r="F1383">
            <v>0</v>
          </cell>
        </row>
        <row r="1384">
          <cell r="A1384" t="str">
            <v>Программные библиотеки (виртуальные инструменты, сэмплы) – лицензии</v>
          </cell>
          <cell r="B1384" t="str">
            <v>т82</v>
          </cell>
          <cell r="C1384" t="str">
            <v>Техника</v>
          </cell>
          <cell r="F1384">
            <v>0</v>
          </cell>
        </row>
        <row r="1385">
          <cell r="A1385" t="str">
            <v>Сетевой фильтр с защитой (настенный, на несколько розеток)</v>
          </cell>
          <cell r="B1385" t="str">
            <v>т81</v>
          </cell>
          <cell r="C1385" t="str">
            <v>Техника</v>
          </cell>
          <cell r="F1385">
            <v>0</v>
          </cell>
        </row>
        <row r="1386">
          <cell r="A1386" t="str">
            <v>Кабель XLR – XLR (разной длины: 0,5 м, 1 м, 3 м, 5 м, 10 м)</v>
          </cell>
          <cell r="B1386" t="str">
            <v>д243</v>
          </cell>
          <cell r="C1386" t="str">
            <v>Дидактика</v>
          </cell>
          <cell r="F1386">
            <v>0</v>
          </cell>
        </row>
        <row r="1387">
          <cell r="A1387" t="str">
            <v>Кабель Jack – Jack (¼", TRS, разной длины)</v>
          </cell>
          <cell r="B1387" t="str">
            <v>д242</v>
          </cell>
          <cell r="C1387" t="str">
            <v>Дидактика</v>
          </cell>
          <cell r="F1387">
            <v>0</v>
          </cell>
        </row>
        <row r="1388">
          <cell r="A1388" t="str">
            <v>Кабель XLR – Jack</v>
          </cell>
          <cell r="B1388" t="str">
            <v>д241</v>
          </cell>
          <cell r="C1388" t="str">
            <v>Дидактика</v>
          </cell>
          <cell r="F1388">
            <v>0</v>
          </cell>
        </row>
        <row r="1389">
          <cell r="A1389" t="str">
            <v>Кабель MIDI (5-pin)</v>
          </cell>
          <cell r="B1389" t="str">
            <v>д240</v>
          </cell>
          <cell r="C1389" t="str">
            <v>Дидактика</v>
          </cell>
          <cell r="F1389">
            <v>0</v>
          </cell>
        </row>
        <row r="1390">
          <cell r="A1390" t="str">
            <v>Кабель HDMI (2–5 м)</v>
          </cell>
          <cell r="B1390" t="str">
            <v>д239</v>
          </cell>
          <cell r="C1390" t="str">
            <v>Дидактика</v>
          </cell>
          <cell r="F1390">
            <v>0</v>
          </cell>
        </row>
        <row r="1391">
          <cell r="A1391" t="str">
            <v>Переходники (XLR male–female, Jack–RCA, RCA–XLR)</v>
          </cell>
          <cell r="B1391" t="str">
            <v>тм107</v>
          </cell>
          <cell r="C1391" t="str">
            <v>Техника муз</v>
          </cell>
          <cell r="F1391">
            <v>0</v>
          </cell>
        </row>
        <row r="1392">
          <cell r="A1392" t="str">
            <v>Сплиттер микрофонный (8 каналов, трансформаторный)</v>
          </cell>
          <cell r="B1392" t="str">
            <v>тм106</v>
          </cell>
          <cell r="C1392" t="str">
            <v>Техника муз</v>
          </cell>
          <cell r="F1392">
            <v>0</v>
          </cell>
        </row>
        <row r="1393">
          <cell r="A1393" t="str">
            <v>Ди-бокс (DI) пассивный и активный</v>
          </cell>
          <cell r="B1393" t="str">
            <v>тм105</v>
          </cell>
          <cell r="C1393" t="str">
            <v>Техника муз</v>
          </cell>
          <cell r="F1393">
            <v>0</v>
          </cell>
        </row>
        <row r="1394">
          <cell r="A1394" t="str">
            <v>Пюпитр для нот</v>
          </cell>
          <cell r="B1394" t="str">
            <v>тм104</v>
          </cell>
          <cell r="C1394" t="str">
            <v>Техника муз</v>
          </cell>
          <cell r="F1394">
            <v>0</v>
          </cell>
        </row>
        <row r="1395">
          <cell r="A1395" t="str">
            <v>шкаф для музыкальных инструментов</v>
          </cell>
          <cell r="B1395" t="str">
            <v>м106</v>
          </cell>
          <cell r="C1395" t="str">
            <v>мебель</v>
          </cell>
          <cell r="F1395">
            <v>0</v>
          </cell>
        </row>
        <row r="1396">
          <cell r="A1396" t="str">
            <v>Комплект шумовых инструментов (бубен, маракасы, треугольник, ксилофон детский)</v>
          </cell>
          <cell r="B1396" t="str">
            <v>тм103</v>
          </cell>
          <cell r="C1396" t="str">
            <v>Техника муз</v>
          </cell>
          <cell r="F1396">
            <v>0</v>
          </cell>
        </row>
        <row r="1397">
          <cell r="A1397" t="str">
            <v>Стул Изо</v>
          </cell>
          <cell r="B1397" t="str">
            <v>м105</v>
          </cell>
          <cell r="C1397" t="str">
            <v>мебель</v>
          </cell>
          <cell r="F1397">
            <v>0</v>
          </cell>
        </row>
        <row r="1398">
          <cell r="A1398" t="str">
            <v>Одноместный регулируемый стул для пианино</v>
          </cell>
          <cell r="B1398" t="str">
            <v>м104</v>
          </cell>
          <cell r="C1398" t="str">
            <v>мебель</v>
          </cell>
          <cell r="F1398">
            <v>0</v>
          </cell>
        </row>
        <row r="1399">
          <cell r="A1399" t="str">
            <v>Информационный настенный стенд для объявлений в багете</v>
          </cell>
          <cell r="B1399" t="str">
            <v>д238</v>
          </cell>
          <cell r="C1399" t="str">
            <v>Дидактика</v>
          </cell>
          <cell r="F1399">
            <v>0</v>
          </cell>
        </row>
        <row r="1400">
          <cell r="A1400" t="str">
            <v>конференц стол</v>
          </cell>
          <cell r="B1400" t="str">
            <v>м103</v>
          </cell>
          <cell r="C1400" t="str">
            <v>мебель</v>
          </cell>
          <cell r="F1400">
            <v>0</v>
          </cell>
        </row>
        <row r="1401">
          <cell r="A1401" t="str">
            <v>Синтезатор</v>
          </cell>
          <cell r="B1401" t="str">
            <v>тм102</v>
          </cell>
          <cell r="C1401" t="str">
            <v>Техника муз</v>
          </cell>
          <cell r="F1401">
            <v>0</v>
          </cell>
        </row>
        <row r="1402">
          <cell r="A1402" t="str">
            <v>Баян ученический</v>
          </cell>
          <cell r="B1402" t="str">
            <v>тм101</v>
          </cell>
          <cell r="C1402" t="str">
            <v>Техника муз</v>
          </cell>
          <cell r="F1402">
            <v>0</v>
          </cell>
        </row>
        <row r="1403">
          <cell r="A1403" t="str">
            <v>Кресла зрительские (мягкие, с подлокотниками)</v>
          </cell>
          <cell r="B1403" t="str">
            <v>м102</v>
          </cell>
          <cell r="C1403" t="str">
            <v>мебель</v>
          </cell>
          <cell r="F1403">
            <v>0</v>
          </cell>
        </row>
        <row r="1404">
          <cell r="A1404" t="str">
            <v>Место для МГН (свободное пространство 0,9×1,2 м)</v>
          </cell>
          <cell r="F1404">
            <v>0</v>
          </cell>
        </row>
        <row r="1405">
          <cell r="A1405" t="str">
            <v>Стул для сопровождающего МГН</v>
          </cell>
          <cell r="B1405" t="str">
            <v>м101</v>
          </cell>
          <cell r="C1405" t="str">
            <v>мебель</v>
          </cell>
          <cell r="F1405">
            <v>0</v>
          </cell>
        </row>
        <row r="1406">
          <cell r="A1406" t="str">
            <v>Пюпитр для низких инструментов (виолончель, контрабас)</v>
          </cell>
          <cell r="B1406" t="str">
            <v>тм100</v>
          </cell>
          <cell r="C1406" t="str">
            <v>Техника муз</v>
          </cell>
          <cell r="F1406">
            <v>0</v>
          </cell>
        </row>
        <row r="1407">
          <cell r="A1407" t="str">
            <v>Стул для артистов (без подлокотников, жесткий)</v>
          </cell>
          <cell r="B1407" t="str">
            <v>м100</v>
          </cell>
          <cell r="C1407" t="str">
            <v>мебель</v>
          </cell>
          <cell r="F1407">
            <v>0</v>
          </cell>
        </row>
        <row r="1408">
          <cell r="A1408" t="str">
            <v>Пуф для контрабаса/виолончели</v>
          </cell>
          <cell r="B1408" t="str">
            <v>м99</v>
          </cell>
          <cell r="C1408" t="str">
            <v>мебель</v>
          </cell>
          <cell r="F1408">
            <v>0</v>
          </cell>
        </row>
        <row r="1409">
          <cell r="A1409" t="str">
            <v>Ковер акустический на сцену</v>
          </cell>
          <cell r="B1409" t="str">
            <v>д237</v>
          </cell>
          <cell r="C1409" t="str">
            <v>Дидактика</v>
          </cell>
          <cell r="F1409">
            <v>0</v>
          </cell>
        </row>
        <row r="1410">
          <cell r="A1410" t="str">
            <v>Софит (прожектор) для освещения рояля/солиста</v>
          </cell>
          <cell r="B1410" t="str">
            <v>тм99</v>
          </cell>
          <cell r="C1410" t="str">
            <v>Техника муз</v>
          </cell>
          <cell r="F1410">
            <v>0</v>
          </cell>
        </row>
        <row r="1411">
          <cell r="A1411" t="str">
            <v>Светодиодный партер (для лекций, тьма+свет на ноты)</v>
          </cell>
          <cell r="B1411" t="str">
            <v>тм98</v>
          </cell>
          <cell r="C1411" t="str">
            <v>Техника муз</v>
          </cell>
          <cell r="F1411">
            <v>0</v>
          </cell>
        </row>
        <row r="1412">
          <cell r="A1412" t="str">
            <v>Регулятор света (диммер)</v>
          </cell>
          <cell r="B1412" t="str">
            <v>тм97</v>
          </cell>
          <cell r="C1412" t="str">
            <v>Техника муз</v>
          </cell>
          <cell r="F1412">
            <v>0</v>
          </cell>
        </row>
        <row r="1413">
          <cell r="A1413" t="str">
            <v>Микшерный пульт цифровой (на 16 каналов)</v>
          </cell>
          <cell r="B1413" t="str">
            <v>тм96</v>
          </cell>
          <cell r="C1413" t="str">
            <v>Техника муз</v>
          </cell>
          <cell r="F1413">
            <v>0</v>
          </cell>
        </row>
        <row r="1414">
          <cell r="A1414" t="str">
            <v>Активные колонки PA-системы (300–500 Вт)</v>
          </cell>
          <cell r="B1414" t="str">
            <v>тм95</v>
          </cell>
          <cell r="C1414" t="str">
            <v>Техника муз</v>
          </cell>
          <cell r="F1414">
            <v>0</v>
          </cell>
        </row>
        <row r="1415">
          <cell r="A1415" t="str">
            <v>Сабвуфер активный (для концертов с басами)</v>
          </cell>
          <cell r="B1415" t="str">
            <v>тм94</v>
          </cell>
          <cell r="C1415" t="str">
            <v>Техника муз</v>
          </cell>
          <cell r="F1415">
            <v>0</v>
          </cell>
        </row>
        <row r="1416">
          <cell r="A1416" t="str">
            <v>Микрофон инструментальный (Shure SM57, Beta 98)</v>
          </cell>
          <cell r="B1416" t="str">
            <v>тм93</v>
          </cell>
          <cell r="C1416" t="str">
            <v>Техника муз</v>
          </cell>
          <cell r="F1416">
            <v>0</v>
          </cell>
        </row>
        <row r="1417">
          <cell r="A1417" t="str">
            <v>Микрофон конденсаторный пара (ORTF, для записи)</v>
          </cell>
          <cell r="B1417" t="str">
            <v>тм92</v>
          </cell>
          <cell r="C1417" t="str">
            <v>Техника муз</v>
          </cell>
          <cell r="F1417">
            <v>0</v>
          </cell>
        </row>
        <row r="1418">
          <cell r="A1418" t="str">
            <v>Микрофонная стойка (прямая)</v>
          </cell>
          <cell r="B1418" t="str">
            <v>тм91</v>
          </cell>
          <cell r="C1418" t="str">
            <v>Техника муз</v>
          </cell>
          <cell r="F1418">
            <v>0</v>
          </cell>
        </row>
        <row r="1419">
          <cell r="A1419" t="str">
            <v>Микрофонная стойка (наклонная, для рояля)</v>
          </cell>
          <cell r="B1419" t="str">
            <v>тм90</v>
          </cell>
          <cell r="C1419" t="str">
            <v>Техника муз</v>
          </cell>
          <cell r="F1419">
            <v>0</v>
          </cell>
        </row>
        <row r="1420">
          <cell r="A1420" t="str">
            <v>Радиосистема вокальная (на 2–4 канала)</v>
          </cell>
          <cell r="B1420" t="str">
            <v>тм89</v>
          </cell>
          <cell r="C1420" t="str">
            <v>Техника муз</v>
          </cell>
          <cell r="F1420">
            <v>0</v>
          </cell>
        </row>
        <row r="1421">
          <cell r="A1421" t="str">
            <v>Кабельный комплект (XLR, инструментальные) 20–30 м</v>
          </cell>
          <cell r="B1421" t="str">
            <v>д236</v>
          </cell>
          <cell r="C1421" t="str">
            <v>Дидактика</v>
          </cell>
          <cell r="F1421">
            <v>0</v>
          </cell>
        </row>
        <row r="1422">
          <cell r="A1422" t="str">
            <v>Диктофон профессиональный (Zoom H8, Tascam)</v>
          </cell>
          <cell r="B1422" t="str">
            <v>т80</v>
          </cell>
          <cell r="C1422" t="str">
            <v>Техника</v>
          </cell>
          <cell r="F1422">
            <v>0</v>
          </cell>
        </row>
        <row r="1423">
          <cell r="A1423" t="str">
            <v>Экран проекционный (2×1.5 м)</v>
          </cell>
          <cell r="B1423" t="str">
            <v>т79</v>
          </cell>
          <cell r="C1423" t="str">
            <v>Техника</v>
          </cell>
          <cell r="F1423">
            <v>0</v>
          </cell>
        </row>
        <row r="1424">
          <cell r="A1424" t="str">
            <v>Настенный монитор (40–50", для пения под видео)</v>
          </cell>
          <cell r="B1424" t="str">
            <v>т78</v>
          </cell>
          <cell r="C1424" t="str">
            <v>Техника</v>
          </cell>
          <cell r="F1424">
            <v>0</v>
          </cell>
        </row>
        <row r="1425">
          <cell r="A1425" t="str">
            <v>Веб-камера (для трансляции концертов)</v>
          </cell>
          <cell r="B1425" t="str">
            <v>т77</v>
          </cell>
          <cell r="C1425" t="str">
            <v>Техника</v>
          </cell>
          <cell r="F1425">
            <v>0</v>
          </cell>
        </row>
        <row r="1426">
          <cell r="A1426" t="str">
            <v>Звукоусиление с регулировкой громкости</v>
          </cell>
          <cell r="B1426" t="str">
            <v>тм88</v>
          </cell>
          <cell r="C1426" t="str">
            <v>Техника муз</v>
          </cell>
          <cell r="F1426">
            <v>0</v>
          </cell>
        </row>
        <row r="1427">
          <cell r="A1427" t="str">
            <v>Лампа для пюпитра (светодиодная, на прищепке)</v>
          </cell>
          <cell r="B1427" t="str">
            <v>д235</v>
          </cell>
          <cell r="C1427" t="str">
            <v>Дидактика</v>
          </cell>
          <cell r="F1427">
            <v>0</v>
          </cell>
        </row>
        <row r="1428">
          <cell r="A1428" t="str">
            <v>Запасные лампы в софиты</v>
          </cell>
          <cell r="B1428" t="str">
            <v>д234</v>
          </cell>
          <cell r="C1428" t="str">
            <v>Дидактика</v>
          </cell>
          <cell r="F1428">
            <v>0</v>
          </cell>
        </row>
        <row r="1429">
          <cell r="A1429" t="str">
            <v>Микрофонные батарейки (AA, 9V)</v>
          </cell>
          <cell r="B1429" t="str">
            <v>д232</v>
          </cell>
          <cell r="C1429" t="str">
            <v>Дидактика</v>
          </cell>
          <cell r="F1429">
            <v>0</v>
          </cell>
        </row>
        <row r="1430">
          <cell r="A1430" t="str">
            <v>1/8</v>
          </cell>
          <cell r="B1430" t="str">
            <v>тм87</v>
          </cell>
          <cell r="C1430" t="str">
            <v>Техника муз</v>
          </cell>
          <cell r="F1430">
            <v>0</v>
          </cell>
        </row>
        <row r="1431">
          <cell r="A1431" t="str">
            <v>1/4</v>
          </cell>
          <cell r="B1431" t="str">
            <v>тм86</v>
          </cell>
          <cell r="C1431" t="str">
            <v>Техника муз</v>
          </cell>
          <cell r="F1431">
            <v>0</v>
          </cell>
        </row>
        <row r="1432">
          <cell r="A1432" t="str">
            <v>1/2</v>
          </cell>
          <cell r="B1432" t="str">
            <v>тм85</v>
          </cell>
          <cell r="C1432" t="str">
            <v>Техника муз</v>
          </cell>
          <cell r="F1432">
            <v>0</v>
          </cell>
        </row>
        <row r="1433">
          <cell r="A1433" t="str">
            <v>3/4</v>
          </cell>
          <cell r="B1433" t="str">
            <v>тм84</v>
          </cell>
          <cell r="C1433" t="str">
            <v>Техника муз</v>
          </cell>
          <cell r="F1433">
            <v>0</v>
          </cell>
        </row>
        <row r="1434">
          <cell r="A1434" t="str">
            <v>4/4</v>
          </cell>
          <cell r="B1434" t="str">
            <v>тм83</v>
          </cell>
          <cell r="C1434" t="str">
            <v>Техника муз</v>
          </cell>
          <cell r="F1434">
            <v>0</v>
          </cell>
        </row>
        <row r="1435">
          <cell r="A1435" t="str">
            <v>Альт (размеры 380–420 мм)</v>
          </cell>
          <cell r="B1435" t="str">
            <v>тм82</v>
          </cell>
          <cell r="C1435" t="str">
            <v>Техника муз</v>
          </cell>
          <cell r="F1435">
            <v>0</v>
          </cell>
        </row>
        <row r="1436">
          <cell r="A1436" t="str">
            <v>Смычки (на каждую скрипку + 2 запасных)</v>
          </cell>
          <cell r="B1436" t="str">
            <v>тм81</v>
          </cell>
          <cell r="C1436" t="str">
            <v>Техника муз</v>
          </cell>
          <cell r="F1436">
            <v>0</v>
          </cell>
        </row>
        <row r="1437">
          <cell r="A1437" t="str">
            <v>Подголовники (челюстные) универсальные</v>
          </cell>
          <cell r="B1437" t="str">
            <v>тм80</v>
          </cell>
          <cell r="C1437" t="str">
            <v>Техника муз</v>
          </cell>
          <cell r="F1437">
            <v>0</v>
          </cell>
        </row>
        <row r="1438">
          <cell r="A1438" t="str">
            <v>Чехлы-кейсы (твердые) – на каждый инструмент.</v>
          </cell>
          <cell r="B1438" t="str">
            <v>тм79</v>
          </cell>
          <cell r="C1438" t="str">
            <v>Техника муз</v>
          </cell>
          <cell r="F1438">
            <v>0</v>
          </cell>
        </row>
        <row r="1439">
          <cell r="A1439" t="str">
            <v>Станок для просушки смычков</v>
          </cell>
          <cell r="B1439" t="str">
            <v>тм78</v>
          </cell>
          <cell r="C1439" t="str">
            <v>Техника муз</v>
          </cell>
          <cell r="F1439">
            <v>0</v>
          </cell>
        </row>
        <row r="1440">
          <cell r="A1440" t="str">
            <v>Плакаты по темам русского языка и литературы</v>
          </cell>
          <cell r="B1440" t="str">
            <v>д231</v>
          </cell>
          <cell r="C1440" t="str">
            <v>Дидактика</v>
          </cell>
          <cell r="F1440">
            <v>0</v>
          </cell>
        </row>
        <row r="1441">
          <cell r="A1441" t="str">
            <v>Дидактический материал</v>
          </cell>
          <cell r="B1441" t="str">
            <v>д230</v>
          </cell>
          <cell r="C1441" t="str">
            <v>Дидактика</v>
          </cell>
          <cell r="F1441">
            <v>0</v>
          </cell>
        </row>
        <row r="1442">
          <cell r="A1442" t="str">
            <v>Коллекция "Каменный уголь и продукты его переработки"</v>
          </cell>
          <cell r="B1442" t="str">
            <v>д229</v>
          </cell>
          <cell r="C1442" t="str">
            <v>Дидактика</v>
          </cell>
          <cell r="F1442">
            <v>0</v>
          </cell>
        </row>
        <row r="1443">
          <cell r="A1443" t="str">
            <v>Коллекция "Металлы"</v>
          </cell>
          <cell r="B1443" t="str">
            <v>д228</v>
          </cell>
          <cell r="C1443" t="str">
            <v>Дидактика</v>
          </cell>
          <cell r="F1443">
            <v>0</v>
          </cell>
        </row>
        <row r="1444">
          <cell r="A1444" t="str">
            <v>Коллекция "Нефть и продукты ее переработки"</v>
          </cell>
          <cell r="B1444" t="str">
            <v>д227</v>
          </cell>
          <cell r="C1444" t="str">
            <v>Дидактика</v>
          </cell>
          <cell r="F1444">
            <v>0</v>
          </cell>
        </row>
        <row r="1445">
          <cell r="A1445" t="str">
            <v>Коллекция "Топливо"</v>
          </cell>
          <cell r="B1445" t="str">
            <v>д226</v>
          </cell>
          <cell r="C1445" t="str">
            <v>Дидактика</v>
          </cell>
          <cell r="F1445">
            <v>0</v>
          </cell>
        </row>
        <row r="1446">
          <cell r="A1446" t="str">
            <v>Коллекция "Чугун и сталь"</v>
          </cell>
          <cell r="B1446" t="str">
            <v>д225</v>
          </cell>
          <cell r="C1446" t="str">
            <v>Дидактика</v>
          </cell>
          <cell r="F1446">
            <v>0</v>
          </cell>
        </row>
        <row r="1447">
          <cell r="A1447" t="str">
            <v>Коллекция "Шкала твердости"</v>
          </cell>
          <cell r="B1447" t="str">
            <v>д224</v>
          </cell>
          <cell r="C1447" t="str">
            <v>Дидактика</v>
          </cell>
          <cell r="F1447">
            <v>0</v>
          </cell>
        </row>
        <row r="1448">
          <cell r="A1448" t="str">
            <v>Коллекция "Сырье для топливной промышленности"</v>
          </cell>
          <cell r="B1448" t="str">
            <v>д223</v>
          </cell>
          <cell r="C1448" t="str">
            <v>Дидактика</v>
          </cell>
          <cell r="F1448">
            <v>0</v>
          </cell>
        </row>
        <row r="1449">
          <cell r="A1449" t="str">
            <v>Коллекция "Сырье для химической промышленности"</v>
          </cell>
          <cell r="B1449" t="str">
            <v>д222</v>
          </cell>
          <cell r="C1449" t="str">
            <v>Дидактика</v>
          </cell>
          <cell r="F1449">
            <v>0</v>
          </cell>
        </row>
        <row r="1450">
          <cell r="A1450" t="str">
            <v>Набор моделей демонстрационных кристаллических решеток</v>
          </cell>
          <cell r="B1450" t="str">
            <v>д221</v>
          </cell>
          <cell r="C1450" t="str">
            <v>Дидактика</v>
          </cell>
          <cell r="F1450">
            <v>0</v>
          </cell>
        </row>
        <row r="1451">
          <cell r="A1451" t="str">
            <v>Набор моделей молекул по органике и неорганике для учащихся и учителя</v>
          </cell>
          <cell r="B1451" t="str">
            <v>д220</v>
          </cell>
          <cell r="C1451" t="str">
            <v>Дидактика</v>
          </cell>
          <cell r="F1451">
            <v>0</v>
          </cell>
        </row>
        <row r="1452">
          <cell r="A1452" t="str">
            <v>Набор моделей образования p и s связей</v>
          </cell>
          <cell r="B1452" t="str">
            <v>д219</v>
          </cell>
          <cell r="C1452" t="str">
            <v>Дидактика</v>
          </cell>
          <cell r="F1452">
            <v>0</v>
          </cell>
        </row>
        <row r="1453">
          <cell r="A1453" t="str">
            <v>Набор моделей р и d облаков и шаростержневых молекул</v>
          </cell>
          <cell r="B1453" t="str">
            <v>д218</v>
          </cell>
          <cell r="C1453" t="str">
            <v>Дидактика</v>
          </cell>
          <cell r="F1453">
            <v>0</v>
          </cell>
        </row>
        <row r="1454">
          <cell r="A1454" t="str">
            <v>Набор моделей электронных облаков и химических связей</v>
          </cell>
          <cell r="B1454" t="str">
            <v>д217</v>
          </cell>
          <cell r="C1454" t="str">
            <v>Дидактика</v>
          </cell>
          <cell r="F1454">
            <v>0</v>
          </cell>
        </row>
        <row r="1455">
          <cell r="A1455" t="str">
            <v>Набор моделей масштабных молекул</v>
          </cell>
          <cell r="B1455" t="str">
            <v>д216</v>
          </cell>
          <cell r="C1455" t="str">
            <v>Дидактика</v>
          </cell>
          <cell r="F1455">
            <v>0</v>
          </cell>
        </row>
        <row r="1456">
          <cell r="A1456" t="str">
            <v>Модели атома для учащихся и учителя</v>
          </cell>
          <cell r="B1456" t="str">
            <v>д215</v>
          </cell>
          <cell r="C1456" t="str">
            <v>Дидактика</v>
          </cell>
          <cell r="F1456">
            <v>0</v>
          </cell>
        </row>
        <row r="1457">
          <cell r="A1457" t="str">
            <v>Дистиллятор</v>
          </cell>
          <cell r="B1457" t="str">
            <v>д214</v>
          </cell>
          <cell r="C1457" t="str">
            <v>Дидактика</v>
          </cell>
          <cell r="F1457">
            <v>0</v>
          </cell>
        </row>
        <row r="1458">
          <cell r="A1458" t="str">
            <v>Баня комбинированная лабораторная</v>
          </cell>
          <cell r="B1458" t="str">
            <v>д213</v>
          </cell>
          <cell r="C1458" t="str">
            <v>Дидактика</v>
          </cell>
          <cell r="F1458">
            <v>0</v>
          </cell>
        </row>
        <row r="1459">
          <cell r="A1459" t="str">
            <v>Весы электронные до 200 грамм (0,1 грамм)</v>
          </cell>
          <cell r="B1459" t="str">
            <v>д212</v>
          </cell>
          <cell r="C1459" t="str">
            <v>Дидактика</v>
          </cell>
          <cell r="F1459">
            <v>0</v>
          </cell>
        </row>
        <row r="1460">
          <cell r="A1460" t="str">
            <v>Колбонагреватель</v>
          </cell>
          <cell r="B1460" t="str">
            <v>д211</v>
          </cell>
          <cell r="C1460" t="str">
            <v>Дидактика</v>
          </cell>
          <cell r="F1460">
            <v>0</v>
          </cell>
        </row>
        <row r="1461">
          <cell r="A1461" t="str">
            <v>Набор ареометров (19 штук)</v>
          </cell>
          <cell r="B1461" t="str">
            <v>д210</v>
          </cell>
          <cell r="C1461" t="str">
            <v>Дидактика</v>
          </cell>
          <cell r="F1461">
            <v>0</v>
          </cell>
        </row>
        <row r="1462">
          <cell r="A1462" t="str">
            <v>Штатив универсальный</v>
          </cell>
          <cell r="B1462" t="str">
            <v>д209</v>
          </cell>
          <cell r="C1462" t="str">
            <v>Дидактика</v>
          </cell>
          <cell r="F1462">
            <v>0</v>
          </cell>
        </row>
        <row r="1463">
          <cell r="A1463" t="str">
            <v>Штатив лабораторный химический</v>
          </cell>
          <cell r="B1463" t="str">
            <v>д208</v>
          </cell>
          <cell r="C1463" t="str">
            <v>Дидактика</v>
          </cell>
          <cell r="F1463">
            <v>0</v>
          </cell>
        </row>
        <row r="1464">
          <cell r="A1464" t="str">
            <v>Прибор для сбора газов лабораторный</v>
          </cell>
          <cell r="B1464" t="str">
            <v>д207</v>
          </cell>
          <cell r="C1464" t="str">
            <v>Дидактика</v>
          </cell>
          <cell r="F1464">
            <v>0</v>
          </cell>
        </row>
        <row r="1465">
          <cell r="A1465" t="str">
            <v>Набор посуды и принадлежностей для лабораторных работ по химии</v>
          </cell>
          <cell r="B1465" t="str">
            <v>д206</v>
          </cell>
          <cell r="C1465" t="str">
            <v>Дидактика</v>
          </cell>
          <cell r="F1465">
            <v>0</v>
          </cell>
        </row>
        <row r="1466">
          <cell r="A1466" t="str">
            <v>Набор посуды для демонстрационных опытов по химии</v>
          </cell>
          <cell r="B1466" t="str">
            <v>д205</v>
          </cell>
          <cell r="C1466" t="str">
            <v>Дидактика</v>
          </cell>
          <cell r="F1466">
            <v>0</v>
          </cell>
        </row>
        <row r="1467">
          <cell r="A1467" t="str">
            <v>Набор для экспериментов по электрохимии</v>
          </cell>
          <cell r="B1467" t="str">
            <v>д204</v>
          </cell>
          <cell r="C1467" t="str">
            <v>Дидактика</v>
          </cell>
          <cell r="F1467">
            <v>0</v>
          </cell>
        </row>
        <row r="1468">
          <cell r="A1468" t="str">
            <v>Вытяжные шкафы</v>
          </cell>
          <cell r="B1468" t="str">
            <v>м98</v>
          </cell>
          <cell r="C1468" t="str">
            <v>мебель</v>
          </cell>
          <cell r="F1468">
            <v>0</v>
          </cell>
        </row>
        <row r="1469">
          <cell r="A1469" t="str">
            <v>Стеллажи</v>
          </cell>
          <cell r="B1469" t="str">
            <v>м97</v>
          </cell>
          <cell r="C1469" t="str">
            <v>мебель</v>
          </cell>
          <cell r="F1469">
            <v>0</v>
          </cell>
        </row>
        <row r="1470">
          <cell r="A1470" t="str">
            <v>Стол лаборанта</v>
          </cell>
          <cell r="B1470" t="str">
            <v>м96</v>
          </cell>
          <cell r="C1470" t="str">
            <v>мебель</v>
          </cell>
          <cell r="F1470">
            <v>0</v>
          </cell>
        </row>
        <row r="1471">
          <cell r="A1471" t="str">
            <v>Беспроводной цифровой датчик кислорода</v>
          </cell>
          <cell r="B1471" t="str">
            <v>д203</v>
          </cell>
          <cell r="C1471" t="str">
            <v>Дидактика</v>
          </cell>
          <cell r="F1471">
            <v>0</v>
          </cell>
        </row>
        <row r="1472">
          <cell r="A1472" t="str">
            <v>Беспроводной цифровой пульсометр нагрудный</v>
          </cell>
          <cell r="B1472" t="str">
            <v>д202</v>
          </cell>
          <cell r="C1472" t="str">
            <v>Дидактика</v>
          </cell>
          <cell r="F1472">
            <v>0</v>
          </cell>
        </row>
        <row r="1473">
          <cell r="A1473" t="str">
            <v>Беспроводной цифровой датчик углекислого газа</v>
          </cell>
          <cell r="B1473" t="str">
            <v>д201</v>
          </cell>
          <cell r="C1473" t="str">
            <v>Дидактика</v>
          </cell>
          <cell r="F1473">
            <v>0</v>
          </cell>
        </row>
        <row r="1474">
          <cell r="A1474" t="str">
            <v>Штатив лабораторный комбинированный</v>
          </cell>
          <cell r="B1474" t="str">
            <v>д200</v>
          </cell>
          <cell r="C1474" t="str">
            <v>Дидактика</v>
          </cell>
          <cell r="F1474">
            <v>0</v>
          </cell>
        </row>
        <row r="1475">
          <cell r="A1475" t="str">
            <v>Набор посуды и принадлежностей для демонстрационных опытов и лабораторных работ</v>
          </cell>
          <cell r="B1475" t="str">
            <v>д199</v>
          </cell>
          <cell r="C1475" t="str">
            <v>Дидактика</v>
          </cell>
          <cell r="F1475">
            <v>0</v>
          </cell>
        </row>
        <row r="1476">
          <cell r="A1476" t="str">
            <v>Лабораторная электроплита</v>
          </cell>
          <cell r="B1476" t="str">
            <v>д198</v>
          </cell>
          <cell r="C1476" t="str">
            <v>Дидактика</v>
          </cell>
          <cell r="F1476">
            <v>0</v>
          </cell>
        </row>
        <row r="1477">
          <cell r="A1477" t="str">
            <v>Гербарий "Основные группы растений"</v>
          </cell>
          <cell r="B1477" t="str">
            <v>д197</v>
          </cell>
          <cell r="C1477" t="str">
            <v>Дидактика</v>
          </cell>
          <cell r="F1477">
            <v>0</v>
          </cell>
        </row>
        <row r="1478">
          <cell r="A1478" t="str">
            <v>Лекарственные растения. 20 видов.</v>
          </cell>
          <cell r="B1478" t="str">
            <v>д196</v>
          </cell>
          <cell r="C1478" t="str">
            <v>Дидактика</v>
          </cell>
          <cell r="F1478">
            <v>0</v>
          </cell>
        </row>
        <row r="1479">
          <cell r="A1479" t="str">
            <v>Гербарий "Лекарственные растения Казахстана на каз. и рус. языке. 25 видов"</v>
          </cell>
          <cell r="B1479" t="str">
            <v>д195</v>
          </cell>
          <cell r="C1479" t="str">
            <v>Дидактика</v>
          </cell>
          <cell r="F1479">
            <v>0</v>
          </cell>
        </row>
        <row r="1480">
          <cell r="A1480" t="str">
            <v>Растительные сообщества</v>
          </cell>
          <cell r="B1480" t="str">
            <v>д194</v>
          </cell>
          <cell r="C1480" t="str">
            <v>Дидактика</v>
          </cell>
          <cell r="F1480">
            <v>0</v>
          </cell>
        </row>
        <row r="1481">
          <cell r="A1481" t="str">
            <v>Морфология растений.</v>
          </cell>
          <cell r="B1481" t="str">
            <v>д193</v>
          </cell>
          <cell r="C1481" t="str">
            <v>Дидактика</v>
          </cell>
          <cell r="F1481">
            <v>0</v>
          </cell>
        </row>
        <row r="1482">
          <cell r="A1482" t="str">
            <v>Закономерности изменчивости</v>
          </cell>
          <cell r="B1482" t="str">
            <v>д192</v>
          </cell>
          <cell r="C1482" t="str">
            <v>Дидактика</v>
          </cell>
          <cell r="F1482">
            <v>0</v>
          </cell>
        </row>
        <row r="1483">
          <cell r="A1483" t="str">
            <v>Эволюция органического мира</v>
          </cell>
          <cell r="B1483" t="str">
            <v>д191</v>
          </cell>
          <cell r="C1483" t="str">
            <v>Дидактика</v>
          </cell>
          <cell r="F1483">
            <v>0</v>
          </cell>
        </row>
        <row r="1484">
          <cell r="A1484" t="str">
            <v>Сельскохозяйственные растения</v>
          </cell>
          <cell r="B1484" t="str">
            <v>д190</v>
          </cell>
          <cell r="C1484" t="str">
            <v>Дидактика</v>
          </cell>
          <cell r="F1484">
            <v>0</v>
          </cell>
        </row>
        <row r="1485">
          <cell r="A1485" t="str">
            <v>Культурные растения.</v>
          </cell>
          <cell r="B1485" t="str">
            <v>д189</v>
          </cell>
          <cell r="C1485" t="str">
            <v>Дидактика</v>
          </cell>
          <cell r="F1485">
            <v>0</v>
          </cell>
        </row>
        <row r="1486">
          <cell r="A1486" t="str">
            <v>Сорные растения</v>
          </cell>
          <cell r="B1486" t="str">
            <v>д188</v>
          </cell>
          <cell r="C1486" t="str">
            <v>Дидактика</v>
          </cell>
          <cell r="F1486">
            <v>0</v>
          </cell>
        </row>
        <row r="1487">
          <cell r="A1487" t="str">
            <v>Степные растения Казахстана</v>
          </cell>
          <cell r="B1487" t="str">
            <v>д187</v>
          </cell>
          <cell r="C1487" t="str">
            <v>Дидактика</v>
          </cell>
          <cell r="F1487">
            <v>0</v>
          </cell>
        </row>
        <row r="1488">
          <cell r="A1488" t="str">
            <v>Растения Казахстана 20 видов</v>
          </cell>
          <cell r="B1488" t="str">
            <v>д186</v>
          </cell>
          <cell r="C1488" t="str">
            <v>Дидактика</v>
          </cell>
          <cell r="F1488">
            <v>0</v>
          </cell>
        </row>
        <row r="1489">
          <cell r="A1489" t="str">
            <v>Деревья и кустарники</v>
          </cell>
          <cell r="B1489" t="str">
            <v>д185</v>
          </cell>
          <cell r="C1489" t="str">
            <v>Дидактика</v>
          </cell>
          <cell r="F1489">
            <v>0</v>
          </cell>
        </row>
        <row r="1490">
          <cell r="A1490" t="str">
            <v>Семена и плоды</v>
          </cell>
          <cell r="B1490" t="str">
            <v>д184</v>
          </cell>
          <cell r="C1490" t="str">
            <v>Дидактика</v>
          </cell>
          <cell r="F1490">
            <v>0</v>
          </cell>
        </row>
        <row r="1491">
          <cell r="A1491" t="str">
            <v>Шишки, плоды, семена деревьев и кустарников</v>
          </cell>
          <cell r="B1491" t="str">
            <v>д183</v>
          </cell>
          <cell r="C1491" t="str">
            <v>Дидактика</v>
          </cell>
          <cell r="F1491">
            <v>0</v>
          </cell>
        </row>
        <row r="1492">
          <cell r="A1492" t="str">
            <v>Представители отрядов насекомых (на примере вредителей)</v>
          </cell>
          <cell r="B1492" t="str">
            <v>д182</v>
          </cell>
          <cell r="C1492" t="str">
            <v>Дидактика</v>
          </cell>
          <cell r="F1492">
            <v>0</v>
          </cell>
        </row>
        <row r="1493">
          <cell r="A1493" t="str">
            <v>Пчела медоносная (развитие пчелы)</v>
          </cell>
          <cell r="B1493" t="str">
            <v>д181</v>
          </cell>
          <cell r="C1493" t="str">
            <v>Дидактика</v>
          </cell>
          <cell r="F1493">
            <v>0</v>
          </cell>
        </row>
        <row r="1494">
          <cell r="A1494" t="str">
            <v>Развитие насекомых с полным превращением. Шелкопряд тутовый</v>
          </cell>
          <cell r="B1494" t="str">
            <v>д180</v>
          </cell>
          <cell r="C1494" t="str">
            <v>Дидактика</v>
          </cell>
          <cell r="F1494">
            <v>0</v>
          </cell>
        </row>
        <row r="1495">
          <cell r="A1495" t="str">
            <v>Развитие насекомых с неполным превращением. Саранча (развитие саранчи)</v>
          </cell>
          <cell r="B1495" t="str">
            <v>д179</v>
          </cell>
          <cell r="C1495" t="str">
            <v>Дидактика</v>
          </cell>
          <cell r="F1495">
            <v>0</v>
          </cell>
        </row>
        <row r="1496">
          <cell r="A1496" t="str">
            <v>Хлопок и продукты его переработки</v>
          </cell>
          <cell r="B1496" t="str">
            <v>д178</v>
          </cell>
          <cell r="C1496" t="str">
            <v>Дидактика</v>
          </cell>
          <cell r="F1496">
            <v>0</v>
          </cell>
        </row>
        <row r="1497">
          <cell r="A1497" t="str">
            <v>Набор микропрепаратов по ботанике</v>
          </cell>
          <cell r="B1497" t="str">
            <v>д177</v>
          </cell>
          <cell r="C1497" t="str">
            <v>Дидактика</v>
          </cell>
          <cell r="F1497">
            <v>0</v>
          </cell>
        </row>
        <row r="1498">
          <cell r="A1498" t="str">
            <v>Набор микропрепаратов по зоологии</v>
          </cell>
          <cell r="B1498" t="str">
            <v>д176</v>
          </cell>
          <cell r="C1498" t="str">
            <v>Дидактика</v>
          </cell>
          <cell r="F1498">
            <v>0</v>
          </cell>
        </row>
        <row r="1499">
          <cell r="A1499" t="str">
            <v>Набор микропрепаратов по анатомии</v>
          </cell>
          <cell r="B1499" t="str">
            <v>д175</v>
          </cell>
          <cell r="C1499" t="str">
            <v>Дидактика</v>
          </cell>
          <cell r="F1499">
            <v>0</v>
          </cell>
        </row>
        <row r="1500">
          <cell r="A1500" t="str">
            <v>Набор микропрепаратов по общей биологии</v>
          </cell>
          <cell r="B1500" t="str">
            <v>д174</v>
          </cell>
          <cell r="C1500" t="str">
            <v>Дидактика</v>
          </cell>
          <cell r="F1500">
            <v>0</v>
          </cell>
        </row>
        <row r="1501">
          <cell r="A1501" t="str">
            <v>Набор для приготовления микропрепаратов на класс</v>
          </cell>
          <cell r="B1501" t="str">
            <v>д173</v>
          </cell>
          <cell r="C1501" t="str">
            <v>Дидактика</v>
          </cell>
          <cell r="F1501">
            <v>0</v>
          </cell>
        </row>
        <row r="1502">
          <cell r="A1502" t="str">
            <v>Модель легких с альвеолой</v>
          </cell>
          <cell r="B1502" t="str">
            <v>д172</v>
          </cell>
          <cell r="C1502" t="str">
            <v>Дидактика</v>
          </cell>
          <cell r="F1502">
            <v>0</v>
          </cell>
        </row>
        <row r="1503">
          <cell r="A1503" t="str">
            <v>Модель сердца демонстрационная</v>
          </cell>
          <cell r="B1503" t="str">
            <v>д171</v>
          </cell>
          <cell r="C1503" t="str">
            <v>Дидактика</v>
          </cell>
          <cell r="F1503">
            <v>0</v>
          </cell>
        </row>
        <row r="1504">
          <cell r="A1504" t="str">
            <v>Модель головного мозга</v>
          </cell>
          <cell r="B1504" t="str">
            <v>д170</v>
          </cell>
          <cell r="C1504" t="str">
            <v>Дидактика</v>
          </cell>
          <cell r="F1504">
            <v>0</v>
          </cell>
        </row>
        <row r="1505">
          <cell r="A1505" t="str">
            <v>Модель торса человека 85 сантиметр</v>
          </cell>
          <cell r="B1505" t="str">
            <v>д169</v>
          </cell>
          <cell r="C1505" t="str">
            <v>Дидактика</v>
          </cell>
          <cell r="F1505">
            <v>0</v>
          </cell>
        </row>
        <row r="1506">
          <cell r="A1506" t="str">
            <v>Модель глаза увеличенная</v>
          </cell>
          <cell r="B1506" t="str">
            <v>д168</v>
          </cell>
          <cell r="C1506" t="str">
            <v>Дидактика</v>
          </cell>
          <cell r="F1506">
            <v>0</v>
          </cell>
        </row>
        <row r="1507">
          <cell r="A1507" t="str">
            <v>Модель уха</v>
          </cell>
          <cell r="B1507" t="str">
            <v>д167</v>
          </cell>
          <cell r="C1507" t="str">
            <v>Дидактика</v>
          </cell>
          <cell r="F1507">
            <v>0</v>
          </cell>
        </row>
        <row r="1508">
          <cell r="A1508" t="str">
            <v>Модель почки в разрезе</v>
          </cell>
          <cell r="B1508" t="str">
            <v>д166</v>
          </cell>
          <cell r="C1508" t="str">
            <v>Дидактика</v>
          </cell>
          <cell r="F1508">
            <v>0</v>
          </cell>
        </row>
        <row r="1509">
          <cell r="A1509" t="str">
            <v>Модель спинного мозга</v>
          </cell>
          <cell r="B1509" t="str">
            <v>д165</v>
          </cell>
          <cell r="C1509" t="str">
            <v>Дидактика</v>
          </cell>
          <cell r="F1509">
            <v>0</v>
          </cell>
        </row>
        <row r="1510">
          <cell r="A1510" t="str">
            <v>Модель нейрона интерактивная</v>
          </cell>
          <cell r="B1510" t="str">
            <v>д164</v>
          </cell>
          <cell r="C1510" t="str">
            <v>Дидактика</v>
          </cell>
          <cell r="F1510">
            <v>0</v>
          </cell>
        </row>
        <row r="1511">
          <cell r="A1511" t="str">
            <v>Модель структуры ДНК</v>
          </cell>
          <cell r="B1511" t="str">
            <v>д163</v>
          </cell>
          <cell r="C1511" t="str">
            <v>Дидактика</v>
          </cell>
          <cell r="F1511">
            <v>0</v>
          </cell>
        </row>
        <row r="1512">
          <cell r="A1512" t="str">
            <v>Модель строения листа</v>
          </cell>
          <cell r="B1512" t="str">
            <v>д162</v>
          </cell>
          <cell r="C1512" t="str">
            <v>Дидактика</v>
          </cell>
          <cell r="F1512">
            <v>0</v>
          </cell>
        </row>
        <row r="1513">
          <cell r="A1513" t="str">
            <v>Модель цветка двудольных растений</v>
          </cell>
          <cell r="B1513" t="str">
            <v>д161</v>
          </cell>
          <cell r="C1513" t="str">
            <v>Дидактика</v>
          </cell>
          <cell r="F1513">
            <v>0</v>
          </cell>
        </row>
        <row r="1514">
          <cell r="A1514" t="str">
            <v>Скелет человека 170 сантиметр на роликовой подставке</v>
          </cell>
          <cell r="B1514" t="str">
            <v>д160</v>
          </cell>
          <cell r="C1514" t="str">
            <v>Дидактика</v>
          </cell>
          <cell r="F1514">
            <v>0</v>
          </cell>
        </row>
        <row r="1515">
          <cell r="A1515" t="str">
            <v>Лупа ручная</v>
          </cell>
          <cell r="B1515" t="str">
            <v>д159</v>
          </cell>
          <cell r="C1515" t="str">
            <v>Дидактика</v>
          </cell>
          <cell r="F1515">
            <v>0</v>
          </cell>
        </row>
        <row r="1516">
          <cell r="A1516" t="str">
            <v>Микроскоп учебный цифровой</v>
          </cell>
          <cell r="B1516" t="str">
            <v>д158</v>
          </cell>
          <cell r="C1516" t="str">
            <v>Дидактика</v>
          </cell>
          <cell r="F1516">
            <v>0</v>
          </cell>
        </row>
        <row r="1517">
          <cell r="A1517" t="str">
            <v>Микроскоп цифровой USB</v>
          </cell>
          <cell r="B1517" t="str">
            <v>д157</v>
          </cell>
          <cell r="C1517" t="str">
            <v>Дидактика</v>
          </cell>
          <cell r="F1517">
            <v>0</v>
          </cell>
        </row>
        <row r="1518">
          <cell r="A1518" t="str">
            <v>Шкафы для оборудования</v>
          </cell>
          <cell r="B1518" t="str">
            <v>д156</v>
          </cell>
          <cell r="C1518" t="str">
            <v>Дидактика</v>
          </cell>
          <cell r="F1518">
            <v>0</v>
          </cell>
        </row>
        <row r="1519">
          <cell r="A1519" t="str">
            <v>Шкаф для плакатов</v>
          </cell>
          <cell r="B1519" t="str">
            <v>д155</v>
          </cell>
          <cell r="C1519" t="str">
            <v>Дидактика</v>
          </cell>
          <cell r="F1519">
            <v>0</v>
          </cell>
        </row>
        <row r="1520">
          <cell r="A1520" t="str">
            <v>Набор тел равного объема и равной массы</v>
          </cell>
          <cell r="B1520" t="str">
            <v>д154</v>
          </cell>
          <cell r="C1520" t="str">
            <v>Дидактика</v>
          </cell>
          <cell r="F1520">
            <v>0</v>
          </cell>
        </row>
        <row r="1521">
          <cell r="A1521" t="str">
            <v>Насос ручной</v>
          </cell>
          <cell r="B1521" t="str">
            <v>д153</v>
          </cell>
          <cell r="C1521" t="str">
            <v>Дидактика</v>
          </cell>
          <cell r="F1521">
            <v>0</v>
          </cell>
        </row>
        <row r="1522">
          <cell r="A1522" t="str">
            <v>Набор лабораторной посуды и принадлежностей для кабинета физики</v>
          </cell>
          <cell r="B1522" t="str">
            <v>д152</v>
          </cell>
          <cell r="C1522" t="str">
            <v>Дидактика</v>
          </cell>
          <cell r="F1522">
            <v>0</v>
          </cell>
        </row>
        <row r="1523">
          <cell r="A1523" t="str">
            <v>Набор капилляров</v>
          </cell>
          <cell r="B1523" t="str">
            <v>д151</v>
          </cell>
          <cell r="C1523" t="str">
            <v>Дидактика</v>
          </cell>
          <cell r="F1523">
            <v>0</v>
          </cell>
        </row>
        <row r="1524">
          <cell r="A1524" t="str">
            <v>Сосуды сообщающиеся</v>
          </cell>
          <cell r="B1524" t="str">
            <v>д150</v>
          </cell>
          <cell r="C1524" t="str">
            <v>Дидактика</v>
          </cell>
          <cell r="F1524">
            <v>0</v>
          </cell>
        </row>
        <row r="1525">
          <cell r="A1525" t="str">
            <v>Шар Паскаля</v>
          </cell>
          <cell r="B1525" t="str">
            <v>д149</v>
          </cell>
          <cell r="C1525" t="str">
            <v>Дидактика</v>
          </cell>
          <cell r="F1525">
            <v>0</v>
          </cell>
        </row>
        <row r="1526">
          <cell r="A1526" t="str">
            <v>Модель электродвигателя (разборная) лабораторная</v>
          </cell>
          <cell r="B1526" t="str">
            <v>д148</v>
          </cell>
          <cell r="C1526" t="str">
            <v>Дидактика</v>
          </cell>
          <cell r="F1526">
            <v>0</v>
          </cell>
        </row>
        <row r="1527">
          <cell r="A1527" t="str">
            <v>Набор из 5 шаров маятников со штативом</v>
          </cell>
          <cell r="B1527" t="str">
            <v>д147</v>
          </cell>
          <cell r="C1527" t="str">
            <v>Дидактика</v>
          </cell>
          <cell r="F1527">
            <v>0</v>
          </cell>
        </row>
        <row r="1528">
          <cell r="A1528" t="str">
            <v>Баллистический пистолет</v>
          </cell>
          <cell r="B1528" t="str">
            <v>д146</v>
          </cell>
          <cell r="C1528" t="str">
            <v>Дидактика</v>
          </cell>
          <cell r="F1528">
            <v>0</v>
          </cell>
        </row>
        <row r="1529">
          <cell r="A1529" t="str">
            <v>Мультиметр цифровой</v>
          </cell>
          <cell r="B1529" t="str">
            <v>д145</v>
          </cell>
          <cell r="C1529" t="str">
            <v>Дидактика</v>
          </cell>
          <cell r="F1529">
            <v>0</v>
          </cell>
        </row>
        <row r="1530">
          <cell r="A1530" t="str">
            <v>Набор демонстрационный для изучения механики</v>
          </cell>
          <cell r="B1530" t="str">
            <v>д144</v>
          </cell>
          <cell r="C1530" t="str">
            <v>Дидактика</v>
          </cell>
          <cell r="F1530">
            <v>0</v>
          </cell>
        </row>
        <row r="1531">
          <cell r="A1531" t="str">
            <v>Камертоны на резонансных ящиках</v>
          </cell>
          <cell r="B1531" t="str">
            <v>д143</v>
          </cell>
          <cell r="C1531" t="str">
            <v>Дидактика</v>
          </cell>
          <cell r="F1531">
            <v>0</v>
          </cell>
        </row>
        <row r="1532">
          <cell r="A1532" t="str">
            <v>Набор пружин с различной жесткостью</v>
          </cell>
          <cell r="B1532" t="str">
            <v>д142</v>
          </cell>
          <cell r="C1532" t="str">
            <v>Дидактика</v>
          </cell>
          <cell r="F1532">
            <v>0</v>
          </cell>
        </row>
        <row r="1533">
          <cell r="A1533" t="str">
            <v>Модель кристаллической решетки</v>
          </cell>
          <cell r="B1533" t="str">
            <v>д141</v>
          </cell>
          <cell r="C1533" t="str">
            <v>Дидактика</v>
          </cell>
          <cell r="F1533">
            <v>0</v>
          </cell>
        </row>
        <row r="1534">
          <cell r="A1534" t="str">
            <v>Шар с кольцом</v>
          </cell>
          <cell r="B1534" t="str">
            <v>д140</v>
          </cell>
          <cell r="C1534" t="str">
            <v>Дидактика</v>
          </cell>
          <cell r="F1534">
            <v>0</v>
          </cell>
        </row>
        <row r="1535">
          <cell r="A1535" t="str">
            <v>Прибор с манометром для исследования газовых законов</v>
          </cell>
          <cell r="B1535" t="str">
            <v>д139</v>
          </cell>
          <cell r="C1535" t="str">
            <v>Дидактика</v>
          </cell>
          <cell r="F1535">
            <v>0</v>
          </cell>
        </row>
        <row r="1536">
          <cell r="A1536" t="str">
            <v>Манометр жидкостной демонстрационный</v>
          </cell>
          <cell r="B1536" t="str">
            <v>д138</v>
          </cell>
          <cell r="C1536" t="str">
            <v>Дидактика</v>
          </cell>
          <cell r="F1536">
            <v>0</v>
          </cell>
        </row>
        <row r="1537">
          <cell r="A1537" t="str">
            <v>Магнит демонстрационный U-образный</v>
          </cell>
          <cell r="B1537" t="str">
            <v>д137</v>
          </cell>
          <cell r="C1537" t="str">
            <v>Дидактика</v>
          </cell>
          <cell r="F1537">
            <v>0</v>
          </cell>
        </row>
        <row r="1538">
          <cell r="A1538" t="str">
            <v>Магнит демонстрационный полосовой</v>
          </cell>
          <cell r="B1538" t="str">
            <v>д136</v>
          </cell>
          <cell r="C1538" t="str">
            <v>Дидактика</v>
          </cell>
          <cell r="F1538">
            <v>0</v>
          </cell>
        </row>
        <row r="1539">
          <cell r="A1539" t="str">
            <v>Маятник математический</v>
          </cell>
          <cell r="B1539" t="str">
            <v>д135</v>
          </cell>
          <cell r="C1539" t="str">
            <v>Дидактика</v>
          </cell>
          <cell r="F1539">
            <v>0</v>
          </cell>
        </row>
        <row r="1540">
          <cell r="A1540" t="str">
            <v>Набор демонстрационный для изучения электростатики</v>
          </cell>
          <cell r="B1540" t="str">
            <v>д134</v>
          </cell>
          <cell r="C1540" t="str">
            <v>Дидактика</v>
          </cell>
          <cell r="F1540">
            <v>0</v>
          </cell>
        </row>
        <row r="1541">
          <cell r="A1541" t="str">
            <v>Генератор Вимшурста</v>
          </cell>
          <cell r="B1541" t="str">
            <v>д133</v>
          </cell>
          <cell r="C1541" t="str">
            <v>Дидактика</v>
          </cell>
          <cell r="F1541">
            <v>0</v>
          </cell>
        </row>
        <row r="1542">
          <cell r="A1542" t="str">
            <v>Прибор для демонстрации зависимости сопротивления проводника от его длины, сечения и материала</v>
          </cell>
          <cell r="B1542" t="str">
            <v>д132</v>
          </cell>
          <cell r="C1542" t="str">
            <v>Дидактика</v>
          </cell>
          <cell r="F1542">
            <v>0</v>
          </cell>
        </row>
        <row r="1543">
          <cell r="A1543" t="str">
            <v>Электростатический маятник</v>
          </cell>
          <cell r="B1543" t="str">
            <v>д131</v>
          </cell>
          <cell r="C1543" t="str">
            <v>Дидактика</v>
          </cell>
          <cell r="F1543">
            <v>0</v>
          </cell>
        </row>
        <row r="1544">
          <cell r="A1544" t="str">
            <v>Микроамперметр для измерения переменного тока</v>
          </cell>
          <cell r="B1544" t="str">
            <v>д130</v>
          </cell>
          <cell r="C1544" t="str">
            <v>Дидактика</v>
          </cell>
          <cell r="F1544">
            <v>0</v>
          </cell>
        </row>
        <row r="1545">
          <cell r="A1545" t="str">
            <v>Набор дифракционных решеток</v>
          </cell>
          <cell r="B1545" t="str">
            <v>д129</v>
          </cell>
          <cell r="C1545" t="str">
            <v>Дидактика</v>
          </cell>
          <cell r="F1545">
            <v>0</v>
          </cell>
        </row>
        <row r="1546">
          <cell r="A1546" t="str">
            <v>Набор демонстрационный для изучения оптики</v>
          </cell>
          <cell r="B1546" t="str">
            <v>д128</v>
          </cell>
          <cell r="C1546" t="str">
            <v>Дидактика</v>
          </cell>
          <cell r="F1546">
            <v>0</v>
          </cell>
        </row>
        <row r="1547">
          <cell r="A1547" t="str">
            <v>Зеркало выпуклое и вогнутое</v>
          </cell>
          <cell r="B1547" t="str">
            <v>д127</v>
          </cell>
          <cell r="C1547" t="str">
            <v>Дидактика</v>
          </cell>
          <cell r="F1547">
            <v>0</v>
          </cell>
        </row>
        <row r="1548">
          <cell r="A1548" t="str">
            <v>Динамометр демонстрационный</v>
          </cell>
          <cell r="B1548" t="str">
            <v>д126</v>
          </cell>
          <cell r="C1548" t="str">
            <v>Дидактика</v>
          </cell>
          <cell r="F1548">
            <v>0</v>
          </cell>
        </row>
        <row r="1549">
          <cell r="A1549" t="str">
            <v>Динамометр лабораторный</v>
          </cell>
          <cell r="B1549" t="str">
            <v>д125</v>
          </cell>
          <cell r="C1549" t="str">
            <v>Дидактика</v>
          </cell>
          <cell r="F1549">
            <v>0</v>
          </cell>
        </row>
        <row r="1550">
          <cell r="A1550" t="str">
            <v>Комплект соединительных проводов</v>
          </cell>
          <cell r="B1550" t="str">
            <v>д124</v>
          </cell>
          <cell r="C1550" t="str">
            <v>Дидактика</v>
          </cell>
          <cell r="F1550">
            <v>0</v>
          </cell>
        </row>
        <row r="1551">
          <cell r="A1551" t="str">
            <v>Набор грузов по механике (10х100 грамм)</v>
          </cell>
          <cell r="B1551" t="str">
            <v>д123</v>
          </cell>
          <cell r="C1551" t="str">
            <v>Дидактика</v>
          </cell>
          <cell r="F1551">
            <v>0</v>
          </cell>
        </row>
        <row r="1552">
          <cell r="A1552" t="str">
            <v>Желоб Галилея</v>
          </cell>
          <cell r="B1552" t="str">
            <v>д122</v>
          </cell>
          <cell r="C1552" t="str">
            <v>Дидактика</v>
          </cell>
          <cell r="F1552">
            <v>0</v>
          </cell>
        </row>
        <row r="1553">
          <cell r="A1553" t="str">
            <v>Рычаг-линейка лабораторная</v>
          </cell>
          <cell r="B1553" t="str">
            <v>д121</v>
          </cell>
          <cell r="C1553" t="str">
            <v>Дидактика</v>
          </cell>
          <cell r="F1553">
            <v>0</v>
          </cell>
        </row>
        <row r="1554">
          <cell r="A1554" t="str">
            <v>Трибометр лабораторный</v>
          </cell>
          <cell r="B1554" t="str">
            <v>д120</v>
          </cell>
          <cell r="C1554" t="str">
            <v>Дидактика</v>
          </cell>
          <cell r="F1554">
            <v>0</v>
          </cell>
        </row>
        <row r="1555">
          <cell r="A1555" t="str">
            <v>Железный порошок в капсулах</v>
          </cell>
          <cell r="B1555" t="str">
            <v>д119</v>
          </cell>
          <cell r="C1555" t="str">
            <v>Дидактика</v>
          </cell>
          <cell r="F1555">
            <v>0</v>
          </cell>
        </row>
        <row r="1556">
          <cell r="A1556" t="str">
            <v>Калориметр со стаканом</v>
          </cell>
          <cell r="B1556" t="str">
            <v>д118</v>
          </cell>
          <cell r="C1556" t="str">
            <v>Дидактика</v>
          </cell>
          <cell r="F1556">
            <v>0</v>
          </cell>
        </row>
        <row r="1557">
          <cell r="A1557" t="str">
            <v>Набор калориметрических тел</v>
          </cell>
          <cell r="B1557" t="str">
            <v>д117</v>
          </cell>
          <cell r="C1557" t="str">
            <v>Дидактика</v>
          </cell>
          <cell r="F1557">
            <v>0</v>
          </cell>
        </row>
        <row r="1558">
          <cell r="A1558" t="str">
            <v>Амперметр лабораторный стрелочный 0,6А-3А</v>
          </cell>
          <cell r="B1558" t="str">
            <v>д116</v>
          </cell>
          <cell r="C1558" t="str">
            <v>Дидактика</v>
          </cell>
          <cell r="F1558">
            <v>0</v>
          </cell>
        </row>
        <row r="1559">
          <cell r="A1559" t="str">
            <v>Вольтметр лабораторный стрелочный 3V-15V</v>
          </cell>
          <cell r="B1559" t="str">
            <v>д115</v>
          </cell>
          <cell r="C1559" t="str">
            <v>Дидактика</v>
          </cell>
          <cell r="F1559">
            <v>0</v>
          </cell>
        </row>
        <row r="1560">
          <cell r="A1560" t="str">
            <v>Выключатель однополюсной лабораторный</v>
          </cell>
          <cell r="B1560" t="str">
            <v>д114</v>
          </cell>
          <cell r="C1560" t="str">
            <v>Дидактика</v>
          </cell>
          <cell r="F1560">
            <v>0</v>
          </cell>
        </row>
        <row r="1561">
          <cell r="A1561" t="str">
            <v>Магнит лабораторный U-образный</v>
          </cell>
          <cell r="B1561" t="str">
            <v>д113</v>
          </cell>
          <cell r="C1561" t="str">
            <v>Дидактика</v>
          </cell>
          <cell r="F1561">
            <v>0</v>
          </cell>
        </row>
        <row r="1562">
          <cell r="A1562" t="str">
            <v>Магнит лабораторный полосовой пара</v>
          </cell>
          <cell r="B1562" t="str">
            <v>д112</v>
          </cell>
          <cell r="C1562" t="str">
            <v>Дидактика</v>
          </cell>
          <cell r="F1562">
            <v>0</v>
          </cell>
        </row>
        <row r="1563">
          <cell r="A1563" t="str">
            <v>Ламповый держатель лабораторный</v>
          </cell>
          <cell r="B1563" t="str">
            <v>д111</v>
          </cell>
          <cell r="C1563" t="str">
            <v>Дидактика</v>
          </cell>
          <cell r="F1563">
            <v>0</v>
          </cell>
        </row>
        <row r="1564">
          <cell r="A1564" t="str">
            <v>Реостат ползунковый</v>
          </cell>
          <cell r="B1564" t="str">
            <v>д110</v>
          </cell>
          <cell r="C1564" t="str">
            <v>Дидактика</v>
          </cell>
          <cell r="F1564">
            <v>0</v>
          </cell>
        </row>
        <row r="1565">
          <cell r="A1565" t="str">
            <v>Электромагнит разборный с деталями</v>
          </cell>
          <cell r="B1565" t="str">
            <v>д109</v>
          </cell>
          <cell r="C1565" t="str">
            <v>Дидактика</v>
          </cell>
          <cell r="F1565">
            <v>0</v>
          </cell>
        </row>
        <row r="1566">
          <cell r="A1566" t="str">
            <v>Миллиамперметр для измерения переменного тока</v>
          </cell>
          <cell r="B1566" t="str">
            <v>д108</v>
          </cell>
          <cell r="C1566" t="str">
            <v>Дидактика</v>
          </cell>
          <cell r="F1566">
            <v>0</v>
          </cell>
        </row>
        <row r="1567">
          <cell r="A1567" t="str">
            <v>Комплект блоков демонстрационных</v>
          </cell>
          <cell r="B1567" t="str">
            <v>д107</v>
          </cell>
          <cell r="C1567" t="str">
            <v>Дидактика</v>
          </cell>
          <cell r="F1567">
            <v>0</v>
          </cell>
        </row>
        <row r="1568">
          <cell r="A1568" t="str">
            <v>Комплект блоков лабораторных</v>
          </cell>
          <cell r="B1568" t="str">
            <v>д106</v>
          </cell>
          <cell r="C1568" t="str">
            <v>Дидактика</v>
          </cell>
          <cell r="F1568">
            <v>0</v>
          </cell>
        </row>
        <row r="1569">
          <cell r="A1569" t="str">
            <v>Стрелки магнитные на штативах (пара)</v>
          </cell>
          <cell r="B1569" t="str">
            <v>д105</v>
          </cell>
          <cell r="C1569" t="str">
            <v>Дидактика</v>
          </cell>
          <cell r="F1569">
            <v>0</v>
          </cell>
        </row>
        <row r="1570">
          <cell r="A1570" t="str">
            <v>Прибор для измерения длины световой волны с набором дифракционных решеток</v>
          </cell>
          <cell r="B1570" t="str">
            <v>д104</v>
          </cell>
          <cell r="C1570" t="str">
            <v>Дидактика</v>
          </cell>
          <cell r="F1570">
            <v>0</v>
          </cell>
        </row>
        <row r="1571">
          <cell r="A1571" t="str">
            <v>Линза на подставке с экраном</v>
          </cell>
          <cell r="B1571" t="str">
            <v>д103</v>
          </cell>
          <cell r="C1571" t="str">
            <v>Дидактика</v>
          </cell>
          <cell r="F1571">
            <v>0</v>
          </cell>
        </row>
        <row r="1572">
          <cell r="A1572" t="str">
            <v>Катушка первичной обмотки лабораторная</v>
          </cell>
          <cell r="B1572" t="str">
            <v>д102</v>
          </cell>
          <cell r="C1572" t="str">
            <v>Дидактика</v>
          </cell>
          <cell r="F1572">
            <v>0</v>
          </cell>
        </row>
        <row r="1573">
          <cell r="A1573" t="str">
            <v>Катушка Томсона</v>
          </cell>
          <cell r="B1573" t="str">
            <v>д101</v>
          </cell>
          <cell r="C1573" t="str">
            <v>Дидактика</v>
          </cell>
          <cell r="F1573">
            <v>0</v>
          </cell>
        </row>
        <row r="1574">
          <cell r="A1574" t="str">
            <v>Магазин сопротивлений демонстрационный</v>
          </cell>
          <cell r="B1574" t="str">
            <v>д100</v>
          </cell>
          <cell r="C1574" t="str">
            <v>Дидактика</v>
          </cell>
          <cell r="F1574">
            <v>0</v>
          </cell>
        </row>
        <row r="1575">
          <cell r="A1575" t="str">
            <v>Набор демонстрационный для изучения атмосферного давления</v>
          </cell>
          <cell r="B1575" t="str">
            <v>д99</v>
          </cell>
          <cell r="C1575" t="str">
            <v>Дидактика</v>
          </cell>
          <cell r="F1575">
            <v>0</v>
          </cell>
        </row>
        <row r="1576">
          <cell r="A1576" t="str">
            <v>Источник питания демонстрационный</v>
          </cell>
          <cell r="B1576" t="str">
            <v>д98</v>
          </cell>
          <cell r="C1576" t="str">
            <v>Дидактика</v>
          </cell>
          <cell r="F1576">
            <v>0</v>
          </cell>
        </row>
        <row r="1577">
          <cell r="A1577" t="str">
            <v>Набор по электролизу лабораторный</v>
          </cell>
          <cell r="B1577" t="str">
            <v>д97</v>
          </cell>
          <cell r="C1577" t="str">
            <v>Дидактика</v>
          </cell>
          <cell r="F1577">
            <v>0</v>
          </cell>
        </row>
        <row r="1578">
          <cell r="A1578" t="str">
            <v>Карта звездного неба подвижная</v>
          </cell>
          <cell r="B1578" t="str">
            <v>д96</v>
          </cell>
          <cell r="C1578" t="str">
            <v>Дидактика</v>
          </cell>
          <cell r="F1578">
            <v>0</v>
          </cell>
        </row>
        <row r="1579">
          <cell r="A1579" t="str">
            <v>Беспроводной цифровой датчик силы, ускорения и наклона</v>
          </cell>
          <cell r="B1579" t="str">
            <v>д95</v>
          </cell>
          <cell r="C1579" t="str">
            <v>Дидактика</v>
          </cell>
          <cell r="F1579">
            <v>0</v>
          </cell>
        </row>
        <row r="1580">
          <cell r="A1580" t="str">
            <v>Беспроводной цифровой датчик звука</v>
          </cell>
          <cell r="B1580" t="str">
            <v>д94</v>
          </cell>
          <cell r="C1580" t="str">
            <v>Дидактика</v>
          </cell>
          <cell r="F1580">
            <v>0</v>
          </cell>
        </row>
        <row r="1581">
          <cell r="A1581" t="str">
            <v>Беспроводной цифровой датчик движения</v>
          </cell>
          <cell r="B1581" t="str">
            <v>д93</v>
          </cell>
          <cell r="C1581" t="str">
            <v>Дидактика</v>
          </cell>
          <cell r="F1581">
            <v>0</v>
          </cell>
        </row>
        <row r="1582">
          <cell r="A1582" t="str">
            <v>Беспроводной цифровой датчик магнитной индукции</v>
          </cell>
          <cell r="B1582" t="str">
            <v>д92</v>
          </cell>
          <cell r="C1582" t="str">
            <v>Дидактика</v>
          </cell>
          <cell r="F1582">
            <v>0</v>
          </cell>
        </row>
        <row r="1583">
          <cell r="A1583" t="str">
            <v>Беспроводной цифровой датчик света и цвета</v>
          </cell>
          <cell r="B1583" t="str">
            <v>д91</v>
          </cell>
          <cell r="C1583" t="str">
            <v>Дидактика</v>
          </cell>
          <cell r="F1583">
            <v>0</v>
          </cell>
        </row>
        <row r="1584">
          <cell r="A1584" t="str">
            <v>Беспроводные Smart-оптоворота</v>
          </cell>
          <cell r="B1584" t="str">
            <v>д90</v>
          </cell>
          <cell r="C1584" t="str">
            <v>Дидактика</v>
          </cell>
          <cell r="F1584">
            <v>0</v>
          </cell>
        </row>
        <row r="1585">
          <cell r="A1585" t="str">
            <v>Программное обеспечение для работы с цифровыми датчиками SparkVue</v>
          </cell>
          <cell r="B1585" t="str">
            <v>т80</v>
          </cell>
          <cell r="C1585" t="str">
            <v xml:space="preserve">Техника </v>
          </cell>
          <cell r="F1585">
            <v>0</v>
          </cell>
        </row>
        <row r="1586">
          <cell r="A1586" t="str">
            <v>Стол однотумбовый</v>
          </cell>
          <cell r="B1586" t="str">
            <v>м95</v>
          </cell>
          <cell r="C1586" t="str">
            <v>мебель</v>
          </cell>
          <cell r="F1586">
            <v>0</v>
          </cell>
        </row>
        <row r="1587">
          <cell r="A1587" t="str">
            <v>Стул без спинки с колесиками</v>
          </cell>
          <cell r="B1587" t="str">
            <v>м94</v>
          </cell>
          <cell r="C1587" t="str">
            <v>мебель</v>
          </cell>
          <cell r="F1587">
            <v>0</v>
          </cell>
        </row>
        <row r="1588">
          <cell r="A1588" t="str">
            <v xml:space="preserve">Плакат "Страноведение"
</v>
          </cell>
          <cell r="B1588" t="str">
            <v>д89</v>
          </cell>
          <cell r="C1588" t="str">
            <v>Дидактика</v>
          </cell>
          <cell r="E1588" t="str">
            <v>комплект</v>
          </cell>
          <cell r="F1588">
            <v>0</v>
          </cell>
        </row>
        <row r="1589">
          <cell r="A1589" t="str">
            <v>Карта страны изучаемого языка</v>
          </cell>
          <cell r="B1589" t="str">
            <v>д88</v>
          </cell>
          <cell r="C1589" t="str">
            <v>Дидактика</v>
          </cell>
          <cell r="E1589" t="str">
            <v>шт</v>
          </cell>
          <cell r="F1589">
            <v>0</v>
          </cell>
        </row>
        <row r="1590">
          <cell r="A1590" t="str">
            <v>Стеллаж для хранения противогазов и военно-технического имущества</v>
          </cell>
          <cell r="B1590" t="str">
            <v>м93</v>
          </cell>
          <cell r="C1590" t="str">
            <v>мебель</v>
          </cell>
          <cell r="F1590">
            <v>0</v>
          </cell>
        </row>
        <row r="1591">
          <cell r="A1591" t="str">
            <v>Шкаф для хранения оружия на 10 единиц</v>
          </cell>
          <cell r="B1591" t="str">
            <v>м92</v>
          </cell>
          <cell r="C1591" t="str">
            <v>мебель</v>
          </cell>
          <cell r="F1591">
            <v>0</v>
          </cell>
        </row>
        <row r="1592">
          <cell r="A1592" t="str">
            <v>Войсковой прибор химической разведки</v>
          </cell>
          <cell r="B1592" t="str">
            <v>д87</v>
          </cell>
          <cell r="C1592" t="str">
            <v>Дидактика</v>
          </cell>
          <cell r="F1592">
            <v>0</v>
          </cell>
        </row>
        <row r="1593">
          <cell r="A1593" t="str">
            <v>Дозиметр индивидуальный</v>
          </cell>
          <cell r="B1593" t="str">
            <v>д86</v>
          </cell>
          <cell r="C1593" t="str">
            <v>Дидактика</v>
          </cell>
          <cell r="F1593">
            <v>0</v>
          </cell>
        </row>
        <row r="1594">
          <cell r="A1594" t="str">
            <v>Индивидуальный перевязочный пакет</v>
          </cell>
          <cell r="B1594" t="str">
            <v>д85</v>
          </cell>
          <cell r="C1594" t="str">
            <v>Дидактика</v>
          </cell>
          <cell r="F1594">
            <v>0</v>
          </cell>
        </row>
        <row r="1595">
          <cell r="A1595" t="str">
            <v>Индивидуальный противохимический пакет</v>
          </cell>
          <cell r="B1595" t="str">
            <v>д84</v>
          </cell>
          <cell r="C1595" t="str">
            <v>Дидактика</v>
          </cell>
          <cell r="F1595">
            <v>0</v>
          </cell>
        </row>
        <row r="1596">
          <cell r="A1596" t="str">
            <v>Компас армейский</v>
          </cell>
          <cell r="B1596" t="str">
            <v>д83</v>
          </cell>
          <cell r="C1596" t="str">
            <v>Дидактика</v>
          </cell>
          <cell r="F1596">
            <v>0</v>
          </cell>
        </row>
        <row r="1597">
          <cell r="A1597" t="str">
            <v>Костюм защитный</v>
          </cell>
          <cell r="B1597" t="str">
            <v>д82</v>
          </cell>
          <cell r="C1597" t="str">
            <v>Дидактика</v>
          </cell>
          <cell r="F1597">
            <v>0</v>
          </cell>
        </row>
        <row r="1598">
          <cell r="A1598" t="str">
            <v>Лопатка малая пехотная</v>
          </cell>
          <cell r="B1598" t="str">
            <v>д82</v>
          </cell>
          <cell r="C1598" t="str">
            <v>Дидактика</v>
          </cell>
          <cell r="F1598">
            <v>0</v>
          </cell>
        </row>
        <row r="1599">
          <cell r="A1599" t="str">
            <v>Макет автомата деревянный</v>
          </cell>
          <cell r="B1599" t="str">
            <v>д81</v>
          </cell>
          <cell r="C1599" t="str">
            <v>Дидактика</v>
          </cell>
          <cell r="F1599">
            <v>0</v>
          </cell>
        </row>
        <row r="1600">
          <cell r="A1600" t="str">
            <v>Носилки санитарные тканевые</v>
          </cell>
          <cell r="B1600" t="str">
            <v>д80</v>
          </cell>
          <cell r="C1600" t="str">
            <v>Дидактика</v>
          </cell>
          <cell r="F1600">
            <v>0</v>
          </cell>
        </row>
        <row r="1601">
          <cell r="A1601" t="str">
            <v>Общевойсковой защитный комплект</v>
          </cell>
          <cell r="B1601" t="str">
            <v>д79</v>
          </cell>
          <cell r="C1601" t="str">
            <v>Дидактика</v>
          </cell>
          <cell r="F1601">
            <v>0</v>
          </cell>
        </row>
        <row r="1602">
          <cell r="A1602" t="str">
            <v>Повязка косыночная</v>
          </cell>
          <cell r="B1602" t="str">
            <v>д78</v>
          </cell>
          <cell r="C1602" t="str">
            <v>Дидактика</v>
          </cell>
          <cell r="F1602">
            <v>0</v>
          </cell>
        </row>
        <row r="1603">
          <cell r="A1603" t="str">
            <v>Противогаз гражданский</v>
          </cell>
          <cell r="B1603" t="str">
            <v>д77</v>
          </cell>
          <cell r="C1603" t="str">
            <v>Дидактика</v>
          </cell>
          <cell r="F1603">
            <v>0</v>
          </cell>
        </row>
        <row r="1604">
          <cell r="A1604" t="str">
            <v>Противогаз фильтрующий</v>
          </cell>
          <cell r="B1604" t="str">
            <v>д76</v>
          </cell>
          <cell r="C1604" t="str">
            <v>Дидактика</v>
          </cell>
          <cell r="F1604">
            <v>0</v>
          </cell>
        </row>
        <row r="1605">
          <cell r="A1605" t="str">
            <v>Респиратор</v>
          </cell>
          <cell r="B1605" t="str">
            <v>д75</v>
          </cell>
          <cell r="C1605" t="str">
            <v>Дидактика</v>
          </cell>
          <cell r="F1605">
            <v>0</v>
          </cell>
        </row>
        <row r="1606">
          <cell r="A1606" t="str">
            <v>Сумка санитарная</v>
          </cell>
          <cell r="B1606" t="str">
            <v>д74</v>
          </cell>
          <cell r="C1606" t="str">
            <v>Дидактика</v>
          </cell>
          <cell r="F1606">
            <v>0</v>
          </cell>
        </row>
        <row r="1607">
          <cell r="A1607" t="str">
            <v>Тренажер сердечно-легочной и мозговой реанимации</v>
          </cell>
          <cell r="B1607" t="str">
            <v>д73</v>
          </cell>
          <cell r="C1607" t="str">
            <v>Дидактика</v>
          </cell>
          <cell r="F1607">
            <v>0</v>
          </cell>
        </row>
        <row r="1608">
          <cell r="A1608" t="str">
            <v>Флажки сигнальные в комплекте</v>
          </cell>
          <cell r="B1608" t="str">
            <v>д72</v>
          </cell>
          <cell r="C1608" t="str">
            <v>Дидактика</v>
          </cell>
          <cell r="F1608">
            <v>0</v>
          </cell>
        </row>
        <row r="1609">
          <cell r="A1609" t="str">
            <v>Халат х/б медицинский</v>
          </cell>
          <cell r="B1609" t="str">
            <v>д71</v>
          </cell>
          <cell r="C1609" t="str">
            <v>Дидактика</v>
          </cell>
          <cell r="F1609">
            <v>0</v>
          </cell>
        </row>
        <row r="1610">
          <cell r="A1610" t="str">
            <v>Шина транспортная эластичная</v>
          </cell>
          <cell r="B1610" t="str">
            <v>д70</v>
          </cell>
          <cell r="C1610" t="str">
            <v>Дидактика</v>
          </cell>
          <cell r="F1610">
            <v>0</v>
          </cell>
        </row>
        <row r="1611">
          <cell r="A1611" t="str">
            <v>Место дневального (тумбочка и подставка)</v>
          </cell>
          <cell r="B1611" t="str">
            <v>м91</v>
          </cell>
          <cell r="C1611" t="str">
            <v>мебель</v>
          </cell>
          <cell r="F1611">
            <v>0</v>
          </cell>
        </row>
        <row r="1612">
          <cell r="A1612" t="str">
            <v>Стенды настенные для кабинета НВП</v>
          </cell>
          <cell r="B1612" t="str">
            <v>д69</v>
          </cell>
          <cell r="C1612" t="str">
            <v>Дидактика</v>
          </cell>
          <cell r="F1612">
            <v>0</v>
          </cell>
        </row>
        <row r="1613">
          <cell r="A1613" t="str">
            <v>Комплект плакатов по гражданской обороне, основам безопасности жизнедеятельности и информационных технологий</v>
          </cell>
          <cell r="B1613" t="str">
            <v>д68</v>
          </cell>
          <cell r="C1613" t="str">
            <v>Дидактика</v>
          </cell>
          <cell r="F1613">
            <v>0</v>
          </cell>
        </row>
        <row r="1614">
          <cell r="A1614" t="str">
            <v>Комплект плакатов по правилам дорожного движения</v>
          </cell>
          <cell r="B1614" t="str">
            <v>д67</v>
          </cell>
          <cell r="C1614" t="str">
            <v>Дидактика</v>
          </cell>
          <cell r="F1614">
            <v>0</v>
          </cell>
        </row>
        <row r="1615">
          <cell r="A1615" t="str">
            <v>Комплект плакатов по основам военной робототехники</v>
          </cell>
          <cell r="B1615" t="str">
            <v>д66</v>
          </cell>
          <cell r="C1615" t="str">
            <v>Дидактика</v>
          </cell>
          <cell r="F1615">
            <v>0</v>
          </cell>
        </row>
        <row r="1616">
          <cell r="A1616" t="str">
            <v>Доска с документацией дежурного и дневального по роте</v>
          </cell>
          <cell r="B1616" t="str">
            <v>д65</v>
          </cell>
          <cell r="C1616" t="str">
            <v>Дидактика</v>
          </cell>
          <cell r="F1616">
            <v>0</v>
          </cell>
        </row>
        <row r="1617">
          <cell r="A1617" t="str">
            <v>Комплект общевоинских Уставов Вооруженных Сил Республики Казахстан</v>
          </cell>
          <cell r="B1617" t="str">
            <v>д64</v>
          </cell>
          <cell r="C1617" t="str">
            <v>Дидактика</v>
          </cell>
          <cell r="F1617">
            <v>0</v>
          </cell>
        </row>
        <row r="1618">
          <cell r="A1618" t="str">
            <v>Набор для демонстрации куба и сферы</v>
          </cell>
          <cell r="B1618" t="str">
            <v>д63</v>
          </cell>
          <cell r="C1618" t="str">
            <v>Дидактика</v>
          </cell>
          <cell r="F1618">
            <v>0</v>
          </cell>
        </row>
        <row r="1619">
          <cell r="A1619" t="str">
            <v>Набор объемных геометрических фигур демонстрационный</v>
          </cell>
          <cell r="B1619" t="str">
            <v>д62</v>
          </cell>
          <cell r="C1619" t="str">
            <v>Дидактика</v>
          </cell>
          <cell r="F1619">
            <v>0</v>
          </cell>
        </row>
        <row r="1620">
          <cell r="A1620" t="str">
            <v>Набор геометрических фигур с развертками демонстрационный</v>
          </cell>
          <cell r="B1620" t="str">
            <v>д61</v>
          </cell>
          <cell r="C1620" t="str">
            <v>Дидактика</v>
          </cell>
          <cell r="F1620">
            <v>0</v>
          </cell>
        </row>
        <row r="1621">
          <cell r="A1621" t="str">
            <v>Набор прозрачных геометрических тел с сечением демонстрационный</v>
          </cell>
          <cell r="B1621" t="str">
            <v>д60</v>
          </cell>
          <cell r="C1621" t="str">
            <v>Дидактика</v>
          </cell>
          <cell r="F1621">
            <v>0</v>
          </cell>
        </row>
        <row r="1622">
          <cell r="A1622" t="str">
            <v>Набор для создания плоских фигур</v>
          </cell>
          <cell r="B1622" t="str">
            <v>д59</v>
          </cell>
          <cell r="C1622" t="str">
            <v>Дидактика</v>
          </cell>
          <cell r="F1622">
            <v>0</v>
          </cell>
        </row>
        <row r="1623">
          <cell r="A1623" t="str">
            <v>Набор для исследования законов вероятности</v>
          </cell>
          <cell r="B1623" t="str">
            <v>д58</v>
          </cell>
          <cell r="C1623" t="str">
            <v>Дидактика</v>
          </cell>
          <cell r="F1623">
            <v>0</v>
          </cell>
        </row>
        <row r="1624">
          <cell r="A1624" t="str">
            <v>Набор Дробные части квадрата и круга</v>
          </cell>
          <cell r="B1624" t="str">
            <v>д57</v>
          </cell>
          <cell r="C1624" t="str">
            <v>Дидактика</v>
          </cell>
          <cell r="F1624">
            <v>0</v>
          </cell>
        </row>
        <row r="1625">
          <cell r="A1625" t="str">
            <v>Демонстрационная модель площади внешней поверхности цилиндра</v>
          </cell>
          <cell r="B1625" t="str">
            <v>д56</v>
          </cell>
          <cell r="C1625" t="str">
            <v>Дидактика</v>
          </cell>
          <cell r="F1625">
            <v>0</v>
          </cell>
        </row>
        <row r="1626">
          <cell r="A1626" t="str">
            <v xml:space="preserve">Модель единицы обьема </v>
          </cell>
          <cell r="B1626" t="str">
            <v>д55</v>
          </cell>
          <cell r="C1626" t="str">
            <v>Дидактика</v>
          </cell>
          <cell r="F1626">
            <v>0</v>
          </cell>
        </row>
        <row r="1627">
          <cell r="A1627" t="str">
            <v>Набор объемных геометрических фигур раздаточный</v>
          </cell>
          <cell r="B1627" t="str">
            <v>д54</v>
          </cell>
          <cell r="C1627" t="str">
            <v>Дидактика</v>
          </cell>
          <cell r="F1627">
            <v>0</v>
          </cell>
        </row>
        <row r="1628">
          <cell r="A1628" t="str">
            <v>Набор стержневых геометрических фигур на 13 рабочих групп</v>
          </cell>
          <cell r="B1628" t="str">
            <v>д53</v>
          </cell>
          <cell r="C1628" t="str">
            <v>Дидактика</v>
          </cell>
          <cell r="F1628">
            <v>0</v>
          </cell>
        </row>
        <row r="1629">
          <cell r="A1629" t="str">
            <v>Переплетное оборудование</v>
          </cell>
          <cell r="B1629" t="str">
            <v>д52</v>
          </cell>
          <cell r="C1629" t="str">
            <v>Дидактика</v>
          </cell>
          <cell r="F1629">
            <v>0</v>
          </cell>
        </row>
        <row r="1630">
          <cell r="A1630" t="str">
            <v>Мобильные (передвижные) стеллажи</v>
          </cell>
          <cell r="B1630" t="str">
            <v>м90</v>
          </cell>
          <cell r="C1630" t="str">
            <v>мебель</v>
          </cell>
          <cell r="F1630">
            <v>0</v>
          </cell>
        </row>
        <row r="1631">
          <cell r="A1631" t="str">
            <v>Стационарные полочные стеллажи</v>
          </cell>
          <cell r="B1631" t="str">
            <v>м89</v>
          </cell>
          <cell r="C1631" t="str">
            <v>мебель</v>
          </cell>
          <cell r="F1631">
            <v>0</v>
          </cell>
        </row>
        <row r="1632">
          <cell r="A1632" t="str">
            <v>Архивные шкафы</v>
          </cell>
          <cell r="B1632" t="str">
            <v>м88</v>
          </cell>
          <cell r="C1632" t="str">
            <v>мебель</v>
          </cell>
          <cell r="F1632">
            <v>0</v>
          </cell>
        </row>
        <row r="1633">
          <cell r="A1633" t="str">
            <v>Стеллажи для периодики</v>
          </cell>
          <cell r="B1633" t="str">
            <v>м87</v>
          </cell>
          <cell r="C1633" t="str">
            <v>мебель</v>
          </cell>
          <cell r="F1633">
            <v>0</v>
          </cell>
        </row>
        <row r="1634">
          <cell r="A1634" t="str">
            <v>Каталожные шкафы</v>
          </cell>
          <cell r="B1634" t="str">
            <v>м86</v>
          </cell>
          <cell r="C1634" t="str">
            <v>мебель</v>
          </cell>
          <cell r="F1634">
            <v>0</v>
          </cell>
        </row>
        <row r="1635">
          <cell r="A1635" t="str">
            <v>Стол регистрации и выдачи</v>
          </cell>
          <cell r="B1635" t="str">
            <v>м85</v>
          </cell>
          <cell r="C1635" t="str">
            <v>мебель</v>
          </cell>
          <cell r="F1635">
            <v>0</v>
          </cell>
        </row>
        <row r="1636">
          <cell r="A1636" t="str">
            <v>Тумбы для картотек</v>
          </cell>
          <cell r="B1636" t="str">
            <v>м84</v>
          </cell>
          <cell r="C1636" t="str">
            <v>мебель</v>
          </cell>
          <cell r="F1636">
            <v>0</v>
          </cell>
        </row>
        <row r="1637">
          <cell r="A1637" t="str">
            <v>Тележки для книг</v>
          </cell>
          <cell r="B1637" t="str">
            <v>д51</v>
          </cell>
          <cell r="C1637" t="str">
            <v>Дидактика</v>
          </cell>
          <cell r="F1637">
            <v>0</v>
          </cell>
        </row>
        <row r="1638">
          <cell r="A1638" t="str">
            <v>Стремянки и лестницы-табуреты</v>
          </cell>
          <cell r="B1638" t="str">
            <v>д50</v>
          </cell>
          <cell r="C1638" t="str">
            <v>Дидактика</v>
          </cell>
          <cell r="F1638">
            <v>0</v>
          </cell>
        </row>
        <row r="1639">
          <cell r="A1639" t="str">
            <v>Глубокие полочные стеллажи</v>
          </cell>
          <cell r="B1639" t="str">
            <v>м83</v>
          </cell>
          <cell r="C1639" t="str">
            <v>мебель</v>
          </cell>
          <cell r="F1639">
            <v>0</v>
          </cell>
        </row>
        <row r="1640">
          <cell r="A1640" t="str">
            <v>Шкафы-локкеры (ячеечные)</v>
          </cell>
          <cell r="B1640" t="str">
            <v>м82</v>
          </cell>
          <cell r="C1640" t="str">
            <v>мебель</v>
          </cell>
          <cell r="F1640">
            <v>0</v>
          </cell>
        </row>
        <row r="1641">
          <cell r="A1641" t="str">
            <v>Гардеробные стеллажи с перекладинами</v>
          </cell>
          <cell r="B1641" t="str">
            <v>м81</v>
          </cell>
          <cell r="C1641" t="str">
            <v>мебель</v>
          </cell>
          <cell r="F1641">
            <v>0</v>
          </cell>
        </row>
        <row r="1642">
          <cell r="A1642" t="str">
            <v>металлические стеллажи</v>
          </cell>
          <cell r="B1642" t="str">
            <v>м80</v>
          </cell>
          <cell r="C1642" t="str">
            <v>мебель</v>
          </cell>
          <cell r="F1642">
            <v>0</v>
          </cell>
        </row>
        <row r="1643">
          <cell r="A1643" t="str">
            <v>Закрытые шкафы для белья</v>
          </cell>
          <cell r="B1643" t="str">
            <v>м79</v>
          </cell>
          <cell r="C1643" t="str">
            <v>мебель</v>
          </cell>
          <cell r="F1643">
            <v>0</v>
          </cell>
        </row>
        <row r="1644">
          <cell r="A1644" t="str">
            <v>Стол для сортировки и глажения</v>
          </cell>
          <cell r="B1644" t="str">
            <v>м78</v>
          </cell>
          <cell r="C1644" t="str">
            <v>мебель</v>
          </cell>
          <cell r="F1644">
            <v>0</v>
          </cell>
        </row>
        <row r="1645">
          <cell r="A1645" t="str">
            <v>Стеллаж-накопитель с ячейками</v>
          </cell>
          <cell r="B1645" t="str">
            <v>м77</v>
          </cell>
          <cell r="C1645" t="str">
            <v>мебель</v>
          </cell>
          <cell r="F1645">
            <v>0</v>
          </cell>
        </row>
        <row r="1646">
          <cell r="A1646" t="str">
            <v>Обеденный стол</v>
          </cell>
          <cell r="F1646">
            <v>0</v>
          </cell>
        </row>
        <row r="1647">
          <cell r="A1647" t="str">
            <v>кабинетный фортепиано</v>
          </cell>
          <cell r="B1647" t="str">
            <v>тм77</v>
          </cell>
          <cell r="C1647" t="str">
            <v>Техника муз</v>
          </cell>
          <cell r="F1647">
            <v>0</v>
          </cell>
        </row>
        <row r="1648">
          <cell r="A1648" t="str">
            <v xml:space="preserve"> стул</v>
          </cell>
          <cell r="F1648">
            <v>0</v>
          </cell>
        </row>
        <row r="1649">
          <cell r="A1649" t="str">
            <v>Стол с тумбочкой</v>
          </cell>
          <cell r="F1649">
            <v>0</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nraTLkKkOfA3YzymVX3tqJq5T3Zkh2fh/view" TargetMode="External"/><Relationship Id="rId2" Type="http://schemas.openxmlformats.org/officeDocument/2006/relationships/hyperlink" Target="https://drive.google.com/file/d/10wEkOTxrW1gnhsUMI_mFtmZYwgXfuq5u/view" TargetMode="External"/><Relationship Id="rId1" Type="http://schemas.openxmlformats.org/officeDocument/2006/relationships/hyperlink" Target="https://drive.google.com/file/d/1IM6IlLCfWI5Y1ZCXrw_KdLHchb6XDWuS/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H9525"/>
  <sheetViews>
    <sheetView workbookViewId="0"/>
  </sheetViews>
  <sheetFormatPr defaultColWidth="12.5703125" defaultRowHeight="15.75" customHeight="1" outlineLevelRow="2"/>
  <cols>
    <col min="1" max="1" width="37.42578125" customWidth="1"/>
    <col min="2" max="2" width="10.5703125" customWidth="1"/>
    <col min="3" max="3" width="20.7109375" customWidth="1"/>
    <col min="4" max="4" width="37.42578125" customWidth="1"/>
    <col min="7" max="8" width="45" customWidth="1"/>
    <col min="9" max="10" width="15.42578125" customWidth="1"/>
  </cols>
  <sheetData>
    <row r="1" spans="1:34" ht="12.75">
      <c r="A1" s="1" t="s">
        <v>0</v>
      </c>
      <c r="B1" s="2" t="s">
        <v>1</v>
      </c>
      <c r="C1" s="2" t="s">
        <v>2</v>
      </c>
      <c r="D1" s="3" t="s">
        <v>3</v>
      </c>
      <c r="E1" s="1" t="s">
        <v>4</v>
      </c>
      <c r="F1" s="2" t="s">
        <v>5</v>
      </c>
      <c r="G1" s="4" t="s">
        <v>6</v>
      </c>
      <c r="H1" s="5" t="s">
        <v>7</v>
      </c>
      <c r="I1" s="6" t="s">
        <v>8</v>
      </c>
      <c r="J1" s="6" t="s">
        <v>9</v>
      </c>
      <c r="K1" s="7"/>
      <c r="L1" s="8"/>
      <c r="M1" s="9"/>
      <c r="N1" s="9"/>
      <c r="O1" s="9"/>
      <c r="P1" s="9"/>
      <c r="Q1" s="10"/>
      <c r="R1" s="10"/>
      <c r="S1" s="10"/>
      <c r="T1" s="10"/>
      <c r="U1" s="10"/>
      <c r="V1" s="10"/>
      <c r="W1" s="10"/>
      <c r="X1" s="10"/>
      <c r="Y1" s="10"/>
      <c r="Z1" s="10"/>
      <c r="AA1" s="10"/>
      <c r="AB1" s="10"/>
      <c r="AC1" s="10"/>
      <c r="AD1" s="10"/>
      <c r="AE1" s="10"/>
      <c r="AF1" s="10"/>
      <c r="AG1" s="10"/>
      <c r="AH1" s="10"/>
    </row>
    <row r="2" spans="1:34" ht="12.75" collapsed="1">
      <c r="A2" s="11" t="s">
        <v>10</v>
      </c>
      <c r="B2" s="12" t="str">
        <f>IFERROR(VLOOKUP(D2,'[1]Перечень товаров'!$A$2:$I9525,2,0),"")</f>
        <v/>
      </c>
      <c r="C2" s="12" t="str">
        <f>IFERROR(VLOOKUP(D2,'[1]Перечень товаров'!$A$2:$I9525,3,0),"")</f>
        <v/>
      </c>
      <c r="D2" s="13"/>
      <c r="E2" s="14"/>
      <c r="F2" s="15" t="str">
        <f>IFERROR(VLOOKUP(D2,'[1]Перечень товаров'!$A$2:$I9525,5,0),"")</f>
        <v/>
      </c>
      <c r="G2" s="16"/>
      <c r="H2" s="17" t="str">
        <f>IFERROR(VLOOKUP(D2,'[1]Перечень товаров'!$A$2:$I9525,4,0),"")</f>
        <v/>
      </c>
      <c r="I2" s="18"/>
      <c r="J2" s="18"/>
      <c r="K2" s="19"/>
      <c r="L2" s="20"/>
      <c r="M2" s="10"/>
      <c r="N2" s="10"/>
      <c r="O2" s="10"/>
      <c r="P2" s="10"/>
      <c r="Q2" s="10"/>
      <c r="R2" s="10"/>
      <c r="S2" s="10"/>
      <c r="T2" s="10"/>
      <c r="U2" s="10"/>
      <c r="V2" s="10"/>
      <c r="W2" s="10"/>
      <c r="X2" s="10"/>
      <c r="Y2" s="10"/>
      <c r="Z2" s="10"/>
      <c r="AA2" s="10"/>
      <c r="AB2" s="10"/>
      <c r="AC2" s="10"/>
      <c r="AD2" s="10"/>
      <c r="AE2" s="10"/>
      <c r="AF2" s="10"/>
      <c r="AG2" s="10"/>
      <c r="AH2" s="10"/>
    </row>
    <row r="3" spans="1:34" hidden="1" outlineLevel="1">
      <c r="A3" s="21"/>
      <c r="B3" s="12" t="str">
        <f>IFERROR(VLOOKUP(D3,'[1]Перечень товаров'!$A$2:$I9525,2,0),"")</f>
        <v/>
      </c>
      <c r="C3" s="12" t="str">
        <f>IFERROR(VLOOKUP(D3,'[1]Перечень товаров'!$A$2:$I9525,3,0),"")</f>
        <v/>
      </c>
      <c r="D3" s="22" t="s">
        <v>11</v>
      </c>
      <c r="E3" s="23">
        <v>84.3</v>
      </c>
      <c r="F3" s="15" t="str">
        <f>IFERROR(VLOOKUP(D3,'[1]Перечень товаров'!$A$2:$I9525,5,0),"")</f>
        <v/>
      </c>
      <c r="G3" s="24"/>
      <c r="H3" s="17" t="str">
        <f>IFERROR(VLOOKUP(D3,'[1]Перечень товаров'!$A$2:$I9525,4,0),"")</f>
        <v/>
      </c>
      <c r="I3" s="25"/>
      <c r="J3" s="25"/>
      <c r="K3" s="19"/>
      <c r="L3" s="20"/>
      <c r="M3" s="10"/>
      <c r="N3" s="10"/>
      <c r="O3" s="10"/>
      <c r="P3" s="10"/>
      <c r="Q3" s="10"/>
      <c r="R3" s="10"/>
      <c r="S3" s="10"/>
      <c r="T3" s="10"/>
      <c r="U3" s="10"/>
      <c r="V3" s="10"/>
      <c r="W3" s="10"/>
      <c r="X3" s="10"/>
      <c r="Y3" s="10"/>
      <c r="Z3" s="10"/>
      <c r="AA3" s="10"/>
      <c r="AB3" s="10"/>
      <c r="AC3" s="10"/>
      <c r="AD3" s="10"/>
      <c r="AE3" s="10"/>
      <c r="AF3" s="10"/>
      <c r="AG3" s="10"/>
      <c r="AH3" s="10"/>
    </row>
    <row r="4" spans="1:34" hidden="1" outlineLevel="1">
      <c r="A4" s="21"/>
      <c r="B4" s="12" t="str">
        <f>IFERROR(VLOOKUP(D4,'[1]Перечень товаров'!$A$2:$I9525,2,0),"")</f>
        <v/>
      </c>
      <c r="C4" s="12" t="str">
        <f>IFERROR(VLOOKUP(D4,'[1]Перечень товаров'!$A$2:$I9525,3,0),"")</f>
        <v/>
      </c>
      <c r="D4" s="22" t="s">
        <v>12</v>
      </c>
      <c r="E4" s="23">
        <v>419.6</v>
      </c>
      <c r="F4" s="15" t="str">
        <f>IFERROR(VLOOKUP(D4,'[1]Перечень товаров'!$A$2:$I9525,5,0),"")</f>
        <v/>
      </c>
      <c r="G4" s="24"/>
      <c r="H4" s="17" t="str">
        <f>IFERROR(VLOOKUP(D4,'[1]Перечень товаров'!$A$2:$I9525,4,0),"")</f>
        <v/>
      </c>
      <c r="I4" s="25"/>
      <c r="J4" s="25"/>
      <c r="K4" s="19"/>
      <c r="L4" s="20"/>
      <c r="M4" s="10"/>
      <c r="N4" s="10"/>
      <c r="O4" s="10"/>
      <c r="P4" s="10"/>
      <c r="Q4" s="10"/>
      <c r="R4" s="10"/>
      <c r="S4" s="10"/>
      <c r="T4" s="10"/>
      <c r="U4" s="10"/>
      <c r="V4" s="10"/>
      <c r="W4" s="10"/>
      <c r="X4" s="10"/>
      <c r="Y4" s="10"/>
      <c r="Z4" s="10"/>
      <c r="AA4" s="10"/>
      <c r="AB4" s="10"/>
      <c r="AC4" s="10"/>
      <c r="AD4" s="10"/>
      <c r="AE4" s="10"/>
      <c r="AF4" s="10"/>
      <c r="AG4" s="10"/>
      <c r="AH4" s="10"/>
    </row>
    <row r="5" spans="1:34" ht="12.75" hidden="1" outlineLevel="1" collapsed="1">
      <c r="A5" s="11" t="s">
        <v>13</v>
      </c>
      <c r="B5" s="26" t="str">
        <f>IFERROR(VLOOKUP(D5,'[1]Перечень товаров'!$A$2:$I9525,2,0),"")</f>
        <v/>
      </c>
      <c r="C5" s="26" t="str">
        <f>IFERROR(VLOOKUP(D5,'[1]Перечень товаров'!$A$2:$I9525,3,0),"")</f>
        <v/>
      </c>
      <c r="D5" s="27"/>
      <c r="E5" s="14">
        <v>24.6</v>
      </c>
      <c r="F5" s="15" t="str">
        <f>IFERROR(VLOOKUP(D5,'[1]Перечень товаров'!$A$2:$I9525,5,0),"")</f>
        <v/>
      </c>
      <c r="G5" s="16"/>
      <c r="H5" s="17" t="str">
        <f>IFERROR(VLOOKUP(D5,'[1]Перечень товаров'!$A$2:$I9525,4,0),"")</f>
        <v/>
      </c>
      <c r="I5" s="18"/>
      <c r="J5" s="18"/>
      <c r="K5" s="19"/>
      <c r="L5" s="20"/>
      <c r="M5" s="10"/>
      <c r="N5" s="10"/>
      <c r="O5" s="10"/>
      <c r="P5" s="10"/>
      <c r="Q5" s="10"/>
      <c r="R5" s="10"/>
      <c r="S5" s="10"/>
      <c r="T5" s="10"/>
      <c r="U5" s="10"/>
      <c r="V5" s="10"/>
      <c r="W5" s="10"/>
      <c r="X5" s="10"/>
      <c r="Y5" s="10"/>
      <c r="Z5" s="10"/>
      <c r="AA5" s="10"/>
      <c r="AB5" s="10"/>
      <c r="AC5" s="10"/>
      <c r="AD5" s="10"/>
      <c r="AE5" s="10"/>
      <c r="AF5" s="10"/>
      <c r="AG5" s="10"/>
      <c r="AH5" s="10"/>
    </row>
    <row r="6" spans="1:34" hidden="1" outlineLevel="2">
      <c r="A6" s="28"/>
      <c r="B6" s="12" t="str">
        <f>IFERROR(VLOOKUP(D6,'[1]Перечень товаров'!$A$2:$I9525,2,0),"")</f>
        <v>тм1</v>
      </c>
      <c r="C6" s="12" t="str">
        <f>IFERROR(VLOOKUP(D6,'[1]Перечень товаров'!$A$2:$I9525,3,0),"")</f>
        <v>Техника муз</v>
      </c>
      <c r="D6" s="29" t="s">
        <v>14</v>
      </c>
      <c r="E6" s="30"/>
      <c r="F6" s="15" t="str">
        <f>IFERROR(VLOOKUP(D6,'[1]Перечень товаров'!$A$2:$I9525,5,0),"")</f>
        <v>шт</v>
      </c>
      <c r="G6" s="31">
        <v>1</v>
      </c>
      <c r="H6" s="17">
        <f>IFERROR(VLOOKUP(D6,'[1]Перечень товаров'!$A$2:$I9525,4,0),"")</f>
        <v>0</v>
      </c>
      <c r="I6" s="32"/>
      <c r="J6" s="32"/>
      <c r="K6" s="33"/>
      <c r="L6" s="20"/>
      <c r="M6" s="10"/>
      <c r="N6" s="10"/>
      <c r="O6" s="10"/>
      <c r="P6" s="10"/>
      <c r="Q6" s="10"/>
      <c r="R6" s="10"/>
      <c r="S6" s="10"/>
      <c r="T6" s="10"/>
      <c r="U6" s="10"/>
      <c r="V6" s="10"/>
      <c r="W6" s="10"/>
      <c r="X6" s="10"/>
      <c r="Y6" s="10"/>
      <c r="Z6" s="10"/>
      <c r="AA6" s="10"/>
      <c r="AB6" s="10"/>
      <c r="AC6" s="10"/>
      <c r="AD6" s="10"/>
      <c r="AE6" s="10"/>
      <c r="AF6" s="10"/>
      <c r="AG6" s="10"/>
      <c r="AH6" s="10"/>
    </row>
    <row r="7" spans="1:34" ht="31.5" hidden="1" outlineLevel="2">
      <c r="A7" s="28"/>
      <c r="B7" s="12" t="str">
        <f>IFERROR(VLOOKUP(D7,'[1]Перечень товаров'!$A$2:$I9525,2,0),"")</f>
        <v>тм2</v>
      </c>
      <c r="C7" s="12" t="str">
        <f>IFERROR(VLOOKUP(D7,'[1]Перечень товаров'!$A$2:$I9525,3,0),"")</f>
        <v>Техника муз</v>
      </c>
      <c r="D7" s="29" t="s">
        <v>15</v>
      </c>
      <c r="E7" s="30"/>
      <c r="F7" s="15">
        <f>IFERROR(VLOOKUP(D7,'[1]Перечень товаров'!$A$2:$I9525,5,0),"")</f>
        <v>0</v>
      </c>
      <c r="G7" s="31">
        <v>1</v>
      </c>
      <c r="H7" s="17">
        <f>IFERROR(VLOOKUP(D7,'[1]Перечень товаров'!$A$2:$I9525,4,0),"")</f>
        <v>0</v>
      </c>
      <c r="I7" s="32"/>
      <c r="J7" s="32"/>
      <c r="K7" s="33"/>
      <c r="L7" s="20"/>
      <c r="M7" s="10"/>
      <c r="N7" s="10"/>
      <c r="O7" s="10"/>
      <c r="P7" s="10"/>
      <c r="Q7" s="10"/>
      <c r="R7" s="10"/>
      <c r="S7" s="10"/>
      <c r="T7" s="10"/>
      <c r="U7" s="10"/>
      <c r="V7" s="10"/>
      <c r="W7" s="10"/>
      <c r="X7" s="10"/>
      <c r="Y7" s="10"/>
      <c r="Z7" s="10"/>
      <c r="AA7" s="10"/>
      <c r="AB7" s="10"/>
      <c r="AC7" s="10"/>
      <c r="AD7" s="10"/>
      <c r="AE7" s="10"/>
      <c r="AF7" s="10"/>
      <c r="AG7" s="10"/>
      <c r="AH7" s="10"/>
    </row>
    <row r="8" spans="1:34" ht="47.25" hidden="1" outlineLevel="2">
      <c r="A8" s="28"/>
      <c r="B8" s="12" t="str">
        <f>IFERROR(VLOOKUP(D8,'[1]Перечень товаров'!$A$2:$I9525,2,0),"")</f>
        <v>тм3</v>
      </c>
      <c r="C8" s="12" t="str">
        <f>IFERROR(VLOOKUP(D8,'[1]Перечень товаров'!$A$2:$I9525,3,0),"")</f>
        <v>Техника муз</v>
      </c>
      <c r="D8" s="29" t="s">
        <v>16</v>
      </c>
      <c r="E8" s="30"/>
      <c r="F8" s="15">
        <f>IFERROR(VLOOKUP(D8,'[1]Перечень товаров'!$A$2:$I9525,5,0),"")</f>
        <v>0</v>
      </c>
      <c r="G8" s="31">
        <v>1</v>
      </c>
      <c r="H8" s="17">
        <f>IFERROR(VLOOKUP(D8,'[1]Перечень товаров'!$A$2:$I9525,4,0),"")</f>
        <v>0</v>
      </c>
      <c r="I8" s="32"/>
      <c r="J8" s="32"/>
      <c r="K8" s="33"/>
      <c r="L8" s="20"/>
      <c r="M8" s="10"/>
      <c r="N8" s="10"/>
      <c r="O8" s="10"/>
      <c r="P8" s="10"/>
      <c r="Q8" s="10"/>
      <c r="R8" s="10"/>
      <c r="S8" s="10"/>
      <c r="T8" s="10"/>
      <c r="U8" s="10"/>
      <c r="V8" s="10"/>
      <c r="W8" s="10"/>
      <c r="X8" s="10"/>
      <c r="Y8" s="10"/>
      <c r="Z8" s="10"/>
      <c r="AA8" s="10"/>
      <c r="AB8" s="10"/>
      <c r="AC8" s="10"/>
      <c r="AD8" s="10"/>
      <c r="AE8" s="10"/>
      <c r="AF8" s="10"/>
      <c r="AG8" s="10"/>
      <c r="AH8" s="10"/>
    </row>
    <row r="9" spans="1:34" ht="31.5" hidden="1" outlineLevel="2">
      <c r="A9" s="34"/>
      <c r="B9" s="12" t="str">
        <f>IFERROR(VLOOKUP(D9,'[1]Перечень товаров'!$A$2:$I9525,2,0),"")</f>
        <v>дм1</v>
      </c>
      <c r="C9" s="12" t="str">
        <f>IFERROR(VLOOKUP(D9,'[1]Перечень товаров'!$A$2:$I9525,3,0),"")</f>
        <v>Дидактика муз</v>
      </c>
      <c r="D9" s="35" t="s">
        <v>17</v>
      </c>
      <c r="E9" s="30"/>
      <c r="F9" s="36"/>
      <c r="G9" s="31">
        <v>1</v>
      </c>
      <c r="H9" s="17">
        <f>IFERROR(VLOOKUP(D9,'[1]Перечень товаров'!$A$2:$I9525,4,0),"")</f>
        <v>0</v>
      </c>
      <c r="I9" s="32"/>
      <c r="J9" s="32"/>
      <c r="K9" s="33"/>
      <c r="L9" s="20"/>
      <c r="M9" s="10"/>
      <c r="N9" s="10"/>
      <c r="O9" s="10"/>
      <c r="P9" s="10"/>
      <c r="Q9" s="10"/>
      <c r="R9" s="10"/>
      <c r="S9" s="10"/>
      <c r="T9" s="10"/>
      <c r="U9" s="10"/>
      <c r="V9" s="10"/>
      <c r="W9" s="10"/>
      <c r="X9" s="10"/>
      <c r="Y9" s="10"/>
      <c r="Z9" s="10"/>
      <c r="AA9" s="10"/>
      <c r="AB9" s="10"/>
      <c r="AC9" s="10"/>
      <c r="AD9" s="10"/>
      <c r="AE9" s="10"/>
      <c r="AF9" s="10"/>
      <c r="AG9" s="10"/>
      <c r="AH9" s="10"/>
    </row>
    <row r="10" spans="1:34" ht="31.5" hidden="1" outlineLevel="2">
      <c r="A10" s="34"/>
      <c r="B10" s="12" t="str">
        <f>IFERROR(VLOOKUP(D10,'[1]Перечень товаров'!$A$2:$I9525,2,0),"")</f>
        <v>м1</v>
      </c>
      <c r="C10" s="12" t="str">
        <f>IFERROR(VLOOKUP(D10,'[1]Перечень товаров'!$A$2:$I9525,3,0),"")</f>
        <v>Мебель</v>
      </c>
      <c r="D10" s="35" t="s">
        <v>18</v>
      </c>
      <c r="E10" s="30"/>
      <c r="F10" s="30"/>
      <c r="G10" s="31">
        <v>1</v>
      </c>
      <c r="H10" s="17">
        <f>IFERROR(VLOOKUP(D10,'[1]Перечень товаров'!$A$2:$I9525,4,0),"")</f>
        <v>0</v>
      </c>
      <c r="I10" s="32"/>
      <c r="J10" s="32"/>
      <c r="K10" s="33"/>
      <c r="L10" s="20"/>
      <c r="M10" s="10"/>
      <c r="N10" s="10"/>
      <c r="O10" s="10"/>
      <c r="P10" s="10"/>
      <c r="Q10" s="10"/>
      <c r="R10" s="10"/>
      <c r="S10" s="10"/>
      <c r="T10" s="10"/>
      <c r="U10" s="10"/>
      <c r="V10" s="10"/>
      <c r="W10" s="10"/>
      <c r="X10" s="10"/>
      <c r="Y10" s="10"/>
      <c r="Z10" s="10"/>
      <c r="AA10" s="10"/>
      <c r="AB10" s="10"/>
      <c r="AC10" s="10"/>
      <c r="AD10" s="10"/>
      <c r="AE10" s="10"/>
      <c r="AF10" s="10"/>
      <c r="AG10" s="10"/>
      <c r="AH10" s="10"/>
    </row>
    <row r="11" spans="1:34" hidden="1" outlineLevel="2">
      <c r="A11" s="37"/>
      <c r="B11" s="12" t="str">
        <f>IFERROR(VLOOKUP(D11,'[1]Перечень товаров'!$A$2:$I9525,2,0),"")</f>
        <v/>
      </c>
      <c r="C11" s="12" t="str">
        <f>IFERROR(VLOOKUP(D11,'[1]Перечень товаров'!$A$2:$I9525,3,0),"")</f>
        <v/>
      </c>
      <c r="D11" s="38" t="s">
        <v>19</v>
      </c>
      <c r="E11" s="39"/>
      <c r="F11" s="39"/>
      <c r="G11" s="40"/>
      <c r="H11" s="17" t="str">
        <f>IFERROR(VLOOKUP(D11,'[1]Перечень товаров'!$A$2:$I9525,4,0),"")</f>
        <v/>
      </c>
      <c r="I11" s="41"/>
      <c r="J11" s="41"/>
      <c r="K11" s="33"/>
      <c r="L11" s="20"/>
      <c r="M11" s="10"/>
      <c r="N11" s="10"/>
      <c r="O11" s="10"/>
      <c r="P11" s="10"/>
      <c r="Q11" s="10"/>
      <c r="R11" s="10"/>
      <c r="S11" s="10"/>
      <c r="T11" s="10"/>
      <c r="U11" s="10"/>
      <c r="V11" s="10"/>
      <c r="W11" s="10"/>
      <c r="X11" s="10"/>
      <c r="Y11" s="10"/>
      <c r="Z11" s="10"/>
      <c r="AA11" s="10"/>
      <c r="AB11" s="10"/>
      <c r="AC11" s="10"/>
      <c r="AD11" s="10"/>
      <c r="AE11" s="10"/>
      <c r="AF11" s="10"/>
      <c r="AG11" s="10"/>
      <c r="AH11" s="10"/>
    </row>
    <row r="12" spans="1:34" ht="31.5" hidden="1" outlineLevel="2">
      <c r="A12" s="34"/>
      <c r="B12" s="12" t="str">
        <f>IFERROR(VLOOKUP(D12,'[1]Перечень товаров'!$A$2:$I9525,2,0),"")</f>
        <v>м205</v>
      </c>
      <c r="C12" s="12" t="str">
        <f>IFERROR(VLOOKUP(D12,'[1]Перечень товаров'!$A$2:$I9525,3,0),"")</f>
        <v>Мебель</v>
      </c>
      <c r="D12" s="35" t="s">
        <v>20</v>
      </c>
      <c r="E12" s="30"/>
      <c r="F12" s="30"/>
      <c r="G12" s="31">
        <v>1</v>
      </c>
      <c r="H12" s="17">
        <f>IFERROR(VLOOKUP(D12,'[1]Перечень товаров'!$A$2:$I9525,4,0),"")</f>
        <v>0</v>
      </c>
      <c r="I12" s="32"/>
      <c r="J12" s="32"/>
      <c r="K12" s="33"/>
      <c r="L12" s="20"/>
      <c r="M12" s="10"/>
      <c r="N12" s="10"/>
      <c r="O12" s="10"/>
      <c r="P12" s="10"/>
      <c r="Q12" s="10"/>
      <c r="R12" s="10"/>
      <c r="S12" s="10"/>
      <c r="T12" s="10"/>
      <c r="U12" s="10"/>
      <c r="V12" s="10"/>
      <c r="W12" s="10"/>
      <c r="X12" s="10"/>
      <c r="Y12" s="10"/>
      <c r="Z12" s="10"/>
      <c r="AA12" s="10"/>
      <c r="AB12" s="10"/>
      <c r="AC12" s="10"/>
      <c r="AD12" s="10"/>
      <c r="AE12" s="10"/>
      <c r="AF12" s="10"/>
      <c r="AG12" s="10"/>
      <c r="AH12" s="10"/>
    </row>
    <row r="13" spans="1:34" hidden="1" outlineLevel="2">
      <c r="A13" s="34"/>
      <c r="B13" s="12" t="str">
        <f>IFERROR(VLOOKUP(D13,'[1]Перечень товаров'!$A$2:$I9525,2,0),"")</f>
        <v>м12</v>
      </c>
      <c r="C13" s="12" t="str">
        <f>IFERROR(VLOOKUP(D13,'[1]Перечень товаров'!$A$2:$I9525,3,0),"")</f>
        <v>Мебель</v>
      </c>
      <c r="D13" s="35" t="s">
        <v>21</v>
      </c>
      <c r="E13" s="30"/>
      <c r="F13" s="30"/>
      <c r="G13" s="31">
        <v>1</v>
      </c>
      <c r="H13" s="17" t="str">
        <f>IFERROR(VLOOKUP(D13,'[1]Перечень товаров'!$A$2:$I9525,4,0),"")</f>
        <v>Офисное кресло Sihoo M76-007 используется в административных и рабочих зонах. Оснащено механизмом регулировки высоты и функцией качания. Размеры (Ш х В х Г)
63.5 х 88.9 х 63.5 см</v>
      </c>
      <c r="I13" s="32"/>
      <c r="J13" s="32"/>
      <c r="K13" s="33"/>
      <c r="L13" s="20"/>
      <c r="M13" s="10"/>
      <c r="N13" s="10"/>
      <c r="O13" s="10"/>
      <c r="P13" s="10"/>
      <c r="Q13" s="10"/>
      <c r="R13" s="10"/>
      <c r="S13" s="10"/>
      <c r="T13" s="10"/>
      <c r="U13" s="10"/>
      <c r="V13" s="10"/>
      <c r="W13" s="10"/>
      <c r="X13" s="10"/>
      <c r="Y13" s="10"/>
      <c r="Z13" s="10"/>
      <c r="AA13" s="10"/>
      <c r="AB13" s="10"/>
      <c r="AC13" s="10"/>
      <c r="AD13" s="10"/>
      <c r="AE13" s="10"/>
      <c r="AF13" s="10"/>
      <c r="AG13" s="10"/>
      <c r="AH13" s="10"/>
    </row>
    <row r="14" spans="1:34" ht="63" hidden="1" outlineLevel="2">
      <c r="A14" s="34"/>
      <c r="B14" s="12" t="str">
        <f>IFERROR(VLOOKUP(D14,'[1]Перечень товаров'!$A$2:$I9525,2,0),"")</f>
        <v>м5</v>
      </c>
      <c r="C14" s="12" t="str">
        <f>IFERROR(VLOOKUP(D14,'[1]Перечень товаров'!$A$2:$I9525,3,0),"")</f>
        <v>Мебель</v>
      </c>
      <c r="D14" s="35" t="s">
        <v>22</v>
      </c>
      <c r="E14" s="30"/>
      <c r="F14" s="30"/>
      <c r="G14" s="31">
        <v>1</v>
      </c>
      <c r="H14" s="31"/>
      <c r="I14" s="32"/>
      <c r="J14" s="32"/>
      <c r="K14" s="42"/>
      <c r="L14" s="20"/>
      <c r="M14" s="10"/>
      <c r="N14" s="10"/>
      <c r="O14" s="10"/>
      <c r="P14" s="10"/>
      <c r="Q14" s="10"/>
      <c r="R14" s="10"/>
      <c r="S14" s="10"/>
      <c r="T14" s="10"/>
      <c r="U14" s="10"/>
      <c r="V14" s="10"/>
      <c r="W14" s="10"/>
      <c r="X14" s="10"/>
      <c r="Y14" s="10"/>
      <c r="Z14" s="10"/>
      <c r="AA14" s="10"/>
      <c r="AB14" s="10"/>
      <c r="AC14" s="10"/>
      <c r="AD14" s="10"/>
      <c r="AE14" s="10"/>
      <c r="AF14" s="10"/>
      <c r="AG14" s="10"/>
      <c r="AH14" s="10"/>
    </row>
    <row r="15" spans="1:34" ht="31.5" hidden="1" outlineLevel="2">
      <c r="A15" s="34"/>
      <c r="B15" s="12" t="str">
        <f>IFERROR(VLOOKUP(D15,'[1]Перечень товаров'!$A$2:$I9525,2,0),"")</f>
        <v>м6</v>
      </c>
      <c r="C15" s="12" t="str">
        <f>IFERROR(VLOOKUP(D15,'[1]Перечень товаров'!$A$2:$I9525,3,0),"")</f>
        <v>Мебель</v>
      </c>
      <c r="D15" s="35" t="s">
        <v>23</v>
      </c>
      <c r="E15" s="30"/>
      <c r="F15" s="30"/>
      <c r="G15" s="31">
        <v>1</v>
      </c>
      <c r="H15" s="31"/>
      <c r="I15" s="32"/>
      <c r="J15" s="32"/>
      <c r="K15" s="33"/>
      <c r="L15" s="20"/>
      <c r="M15" s="10"/>
      <c r="N15" s="10"/>
      <c r="O15" s="10"/>
      <c r="P15" s="10"/>
      <c r="Q15" s="10"/>
      <c r="R15" s="10"/>
      <c r="S15" s="10"/>
      <c r="T15" s="10"/>
      <c r="U15" s="10"/>
      <c r="V15" s="10"/>
      <c r="W15" s="10"/>
      <c r="X15" s="10"/>
      <c r="Y15" s="10"/>
      <c r="Z15" s="10"/>
      <c r="AA15" s="10"/>
      <c r="AB15" s="10"/>
      <c r="AC15" s="10"/>
      <c r="AD15" s="10"/>
      <c r="AE15" s="10"/>
      <c r="AF15" s="10"/>
      <c r="AG15" s="10"/>
      <c r="AH15" s="10"/>
    </row>
    <row r="16" spans="1:34" hidden="1" outlineLevel="2">
      <c r="A16" s="34"/>
      <c r="B16" s="12" t="str">
        <f>IFERROR(VLOOKUP(D16,'[1]Перечень товаров'!$A$2:$I9525,2,0),"")</f>
        <v>м7</v>
      </c>
      <c r="C16" s="12" t="str">
        <f>IFERROR(VLOOKUP(D16,'[1]Перечень товаров'!$A$2:$I9525,3,0),"")</f>
        <v>Мебель</v>
      </c>
      <c r="D16" s="35" t="s">
        <v>24</v>
      </c>
      <c r="E16" s="30"/>
      <c r="F16" s="30"/>
      <c r="G16" s="31">
        <v>1</v>
      </c>
      <c r="H16" s="31"/>
      <c r="I16" s="32"/>
      <c r="J16" s="32"/>
      <c r="K16" s="33"/>
      <c r="L16" s="20"/>
      <c r="M16" s="10"/>
      <c r="N16" s="10"/>
      <c r="O16" s="10"/>
      <c r="P16" s="10"/>
      <c r="Q16" s="10"/>
      <c r="R16" s="10"/>
      <c r="S16" s="10"/>
      <c r="T16" s="10"/>
      <c r="U16" s="10"/>
      <c r="V16" s="10"/>
      <c r="W16" s="10"/>
      <c r="X16" s="10"/>
      <c r="Y16" s="10"/>
      <c r="Z16" s="10"/>
      <c r="AA16" s="10"/>
      <c r="AB16" s="10"/>
      <c r="AC16" s="10"/>
      <c r="AD16" s="10"/>
      <c r="AE16" s="10"/>
      <c r="AF16" s="10"/>
      <c r="AG16" s="10"/>
      <c r="AH16" s="10"/>
    </row>
    <row r="17" spans="1:34" hidden="1" outlineLevel="2">
      <c r="A17" s="28"/>
      <c r="B17" s="12" t="str">
        <f>IFERROR(VLOOKUP(D17,'[1]Перечень товаров'!$A$2:$I9525,2,0),"")</f>
        <v>м20</v>
      </c>
      <c r="C17" s="12" t="str">
        <f>IFERROR(VLOOKUP(D17,'[1]Перечень товаров'!$A$2:$I9525,3,0),"")</f>
        <v>Мебель</v>
      </c>
      <c r="D17" s="29" t="s">
        <v>25</v>
      </c>
      <c r="E17" s="30"/>
      <c r="F17" s="30"/>
      <c r="G17" s="31">
        <v>1</v>
      </c>
      <c r="H17" s="31"/>
      <c r="I17" s="32"/>
      <c r="J17" s="32"/>
      <c r="K17" s="33"/>
      <c r="L17" s="20"/>
      <c r="M17" s="10"/>
      <c r="N17" s="10"/>
      <c r="O17" s="10"/>
      <c r="P17" s="10"/>
      <c r="Q17" s="10"/>
      <c r="R17" s="10"/>
      <c r="S17" s="10"/>
      <c r="T17" s="10"/>
      <c r="U17" s="10"/>
      <c r="V17" s="10"/>
      <c r="W17" s="10"/>
      <c r="X17" s="10"/>
      <c r="Y17" s="10"/>
      <c r="Z17" s="10"/>
      <c r="AA17" s="10"/>
      <c r="AB17" s="10"/>
      <c r="AC17" s="10"/>
      <c r="AD17" s="10"/>
      <c r="AE17" s="10"/>
      <c r="AF17" s="10"/>
      <c r="AG17" s="10"/>
      <c r="AH17" s="10"/>
    </row>
    <row r="18" spans="1:34" hidden="1" outlineLevel="2">
      <c r="A18" s="28"/>
      <c r="B18" s="12" t="str">
        <f>IFERROR(VLOOKUP(D18,'[1]Перечень товаров'!$A$2:$I9525,2,0),"")</f>
        <v>м9</v>
      </c>
      <c r="C18" s="12" t="str">
        <f>IFERROR(VLOOKUP(D18,'[1]Перечень товаров'!$A$2:$I9525,3,0),"")</f>
        <v>Мебель</v>
      </c>
      <c r="D18" s="29" t="s">
        <v>26</v>
      </c>
      <c r="E18" s="30"/>
      <c r="F18" s="30"/>
      <c r="G18" s="31">
        <v>12</v>
      </c>
      <c r="H18" s="31"/>
      <c r="I18" s="32"/>
      <c r="J18" s="32"/>
      <c r="K18" s="33"/>
      <c r="L18" s="20"/>
      <c r="M18" s="10"/>
      <c r="N18" s="10"/>
      <c r="O18" s="10"/>
      <c r="P18" s="10"/>
      <c r="Q18" s="10"/>
      <c r="R18" s="10"/>
      <c r="S18" s="10"/>
      <c r="T18" s="10"/>
      <c r="U18" s="10"/>
      <c r="V18" s="10"/>
      <c r="W18" s="10"/>
      <c r="X18" s="10"/>
      <c r="Y18" s="10"/>
      <c r="Z18" s="10"/>
      <c r="AA18" s="10"/>
      <c r="AB18" s="10"/>
      <c r="AC18" s="10"/>
      <c r="AD18" s="10"/>
      <c r="AE18" s="10"/>
      <c r="AF18" s="10"/>
      <c r="AG18" s="10"/>
      <c r="AH18" s="10"/>
    </row>
    <row r="19" spans="1:34" ht="30.75" hidden="1" outlineLevel="2">
      <c r="A19" s="37"/>
      <c r="B19" s="12" t="str">
        <f>IFERROR(VLOOKUP(D19,'[1]Перечень товаров'!$A$2:$I9525,2,0),"")</f>
        <v/>
      </c>
      <c r="C19" s="12" t="str">
        <f>IFERROR(VLOOKUP(D19,'[1]Перечень товаров'!$A$2:$I9525,3,0),"")</f>
        <v/>
      </c>
      <c r="D19" s="38" t="s">
        <v>27</v>
      </c>
      <c r="E19" s="39"/>
      <c r="F19" s="39"/>
      <c r="G19" s="40"/>
      <c r="H19" s="40"/>
      <c r="I19" s="41"/>
      <c r="J19" s="41"/>
      <c r="K19" s="33"/>
      <c r="L19" s="20"/>
      <c r="M19" s="10"/>
      <c r="N19" s="10"/>
      <c r="O19" s="10"/>
      <c r="P19" s="10"/>
      <c r="Q19" s="10"/>
      <c r="R19" s="10"/>
      <c r="S19" s="10"/>
      <c r="T19" s="10"/>
      <c r="U19" s="10"/>
      <c r="V19" s="10"/>
      <c r="W19" s="10"/>
      <c r="X19" s="10"/>
      <c r="Y19" s="10"/>
      <c r="Z19" s="10"/>
      <c r="AA19" s="10"/>
      <c r="AB19" s="10"/>
      <c r="AC19" s="10"/>
      <c r="AD19" s="10"/>
      <c r="AE19" s="10"/>
      <c r="AF19" s="10"/>
      <c r="AG19" s="10"/>
      <c r="AH19" s="10"/>
    </row>
    <row r="20" spans="1:34" hidden="1" outlineLevel="2">
      <c r="A20" s="21"/>
      <c r="B20" s="12" t="str">
        <f>IFERROR(VLOOKUP(D20,'[1]Перечень товаров'!$A$2:$I9525,2,0),"")</f>
        <v>т1</v>
      </c>
      <c r="C20" s="12" t="str">
        <f>IFERROR(VLOOKUP(D20,'[1]Перечень товаров'!$A$2:$I9525,3,0),"")</f>
        <v xml:space="preserve">Техника </v>
      </c>
      <c r="D20" s="22" t="s">
        <v>28</v>
      </c>
      <c r="E20" s="30"/>
      <c r="F20" s="30"/>
      <c r="G20" s="31">
        <v>1</v>
      </c>
      <c r="H20" s="31"/>
      <c r="I20" s="32"/>
      <c r="J20" s="32"/>
      <c r="K20" s="33"/>
      <c r="L20" s="20"/>
      <c r="M20" s="10"/>
      <c r="N20" s="10"/>
      <c r="O20" s="10"/>
      <c r="P20" s="10"/>
      <c r="Q20" s="10"/>
      <c r="R20" s="10"/>
      <c r="S20" s="10"/>
      <c r="T20" s="10"/>
      <c r="U20" s="10"/>
      <c r="V20" s="10"/>
      <c r="W20" s="10"/>
      <c r="X20" s="10"/>
      <c r="Y20" s="10"/>
      <c r="Z20" s="10"/>
      <c r="AA20" s="10"/>
      <c r="AB20" s="10"/>
      <c r="AC20" s="10"/>
      <c r="AD20" s="10"/>
      <c r="AE20" s="10"/>
      <c r="AF20" s="10"/>
      <c r="AG20" s="10"/>
      <c r="AH20" s="10"/>
    </row>
    <row r="21" spans="1:34" hidden="1" outlineLevel="2">
      <c r="A21" s="35"/>
      <c r="B21" s="12" t="str">
        <f>IFERROR(VLOOKUP(D21,'[1]Перечень товаров'!$A$2:$I9525,2,0),"")</f>
        <v>т2</v>
      </c>
      <c r="C21" s="12" t="str">
        <f>IFERROR(VLOOKUP(D21,'[1]Перечень товаров'!$A$2:$I9525,3,0),"")</f>
        <v xml:space="preserve">Техника </v>
      </c>
      <c r="D21" s="35" t="s">
        <v>29</v>
      </c>
      <c r="E21" s="30"/>
      <c r="F21" s="30"/>
      <c r="G21" s="31">
        <v>1</v>
      </c>
      <c r="H21" s="31"/>
      <c r="I21" s="32"/>
      <c r="J21" s="32"/>
      <c r="K21" s="33"/>
      <c r="L21" s="20"/>
      <c r="M21" s="10"/>
      <c r="N21" s="10"/>
      <c r="O21" s="10"/>
      <c r="P21" s="10"/>
      <c r="Q21" s="10"/>
      <c r="R21" s="10"/>
      <c r="S21" s="10"/>
      <c r="T21" s="10"/>
      <c r="U21" s="10"/>
      <c r="V21" s="10"/>
      <c r="W21" s="10"/>
      <c r="X21" s="10"/>
      <c r="Y21" s="10"/>
      <c r="Z21" s="10"/>
      <c r="AA21" s="10"/>
      <c r="AB21" s="10"/>
      <c r="AC21" s="10"/>
      <c r="AD21" s="10"/>
      <c r="AE21" s="10"/>
      <c r="AF21" s="10"/>
      <c r="AG21" s="10"/>
      <c r="AH21" s="10"/>
    </row>
    <row r="22" spans="1:34" hidden="1" outlineLevel="2">
      <c r="A22" s="35"/>
      <c r="B22" s="12" t="str">
        <f>IFERROR(VLOOKUP(D22,'[1]Перечень товаров'!$A$2:$I9525,2,0),"")</f>
        <v>т3</v>
      </c>
      <c r="C22" s="12" t="str">
        <f>IFERROR(VLOOKUP(D22,'[1]Перечень товаров'!$A$2:$I9525,3,0),"")</f>
        <v xml:space="preserve">Техника </v>
      </c>
      <c r="D22" s="35" t="s">
        <v>30</v>
      </c>
      <c r="E22" s="30"/>
      <c r="F22" s="30"/>
      <c r="G22" s="31">
        <v>1</v>
      </c>
      <c r="H22" s="31"/>
      <c r="I22" s="32"/>
      <c r="J22" s="32"/>
      <c r="K22" s="33"/>
      <c r="L22" s="20"/>
      <c r="M22" s="10"/>
      <c r="N22" s="10"/>
      <c r="O22" s="10"/>
      <c r="P22" s="10"/>
      <c r="Q22" s="10"/>
      <c r="R22" s="10"/>
      <c r="S22" s="10"/>
      <c r="T22" s="10"/>
      <c r="U22" s="10"/>
      <c r="V22" s="10"/>
      <c r="W22" s="10"/>
      <c r="X22" s="10"/>
      <c r="Y22" s="10"/>
      <c r="Z22" s="10"/>
      <c r="AA22" s="10"/>
      <c r="AB22" s="10"/>
      <c r="AC22" s="10"/>
      <c r="AD22" s="10"/>
      <c r="AE22" s="10"/>
      <c r="AF22" s="10"/>
      <c r="AG22" s="10"/>
      <c r="AH22" s="10"/>
    </row>
    <row r="23" spans="1:34" hidden="1" outlineLevel="2">
      <c r="A23" s="35"/>
      <c r="B23" s="12" t="str">
        <f>IFERROR(VLOOKUP(D23,'[1]Перечень товаров'!$A$2:$I9525,2,0),"")</f>
        <v>т4</v>
      </c>
      <c r="C23" s="12" t="str">
        <f>IFERROR(VLOOKUP(D23,'[1]Перечень товаров'!$A$2:$I9525,3,0),"")</f>
        <v xml:space="preserve">Техника </v>
      </c>
      <c r="D23" s="35" t="s">
        <v>31</v>
      </c>
      <c r="E23" s="30"/>
      <c r="F23" s="30"/>
      <c r="G23" s="31">
        <v>1</v>
      </c>
      <c r="H23" s="31"/>
      <c r="I23" s="32"/>
      <c r="J23" s="32"/>
      <c r="K23" s="33"/>
      <c r="L23" s="20"/>
      <c r="M23" s="10"/>
      <c r="N23" s="10"/>
      <c r="O23" s="10"/>
      <c r="P23" s="10"/>
      <c r="Q23" s="10"/>
      <c r="R23" s="10"/>
      <c r="S23" s="10"/>
      <c r="T23" s="10"/>
      <c r="U23" s="10"/>
      <c r="V23" s="10"/>
      <c r="W23" s="10"/>
      <c r="X23" s="10"/>
      <c r="Y23" s="10"/>
      <c r="Z23" s="10"/>
      <c r="AA23" s="10"/>
      <c r="AB23" s="10"/>
      <c r="AC23" s="10"/>
      <c r="AD23" s="10"/>
      <c r="AE23" s="10"/>
      <c r="AF23" s="10"/>
      <c r="AG23" s="10"/>
      <c r="AH23" s="10"/>
    </row>
    <row r="24" spans="1:34" hidden="1" outlineLevel="2">
      <c r="A24" s="21"/>
      <c r="B24" s="12" t="str">
        <f>IFERROR(VLOOKUP(D24,'[1]Перечень товаров'!$A$2:$I9525,2,0),"")</f>
        <v>т5</v>
      </c>
      <c r="C24" s="12" t="str">
        <f>IFERROR(VLOOKUP(D24,'[1]Перечень товаров'!$A$2:$I9525,3,0),"")</f>
        <v xml:space="preserve">Техника </v>
      </c>
      <c r="D24" s="22" t="s">
        <v>32</v>
      </c>
      <c r="E24" s="30"/>
      <c r="F24" s="30"/>
      <c r="G24" s="31">
        <v>1</v>
      </c>
      <c r="H24" s="31"/>
      <c r="I24" s="32"/>
      <c r="J24" s="32"/>
      <c r="K24" s="33"/>
      <c r="L24" s="20"/>
      <c r="M24" s="10"/>
      <c r="N24" s="10"/>
      <c r="O24" s="10"/>
      <c r="P24" s="10"/>
      <c r="Q24" s="10"/>
      <c r="R24" s="10"/>
      <c r="S24" s="10"/>
      <c r="T24" s="10"/>
      <c r="U24" s="10"/>
      <c r="V24" s="10"/>
      <c r="W24" s="10"/>
      <c r="X24" s="10"/>
      <c r="Y24" s="10"/>
      <c r="Z24" s="10"/>
      <c r="AA24" s="10"/>
      <c r="AB24" s="10"/>
      <c r="AC24" s="10"/>
      <c r="AD24" s="10"/>
      <c r="AE24" s="10"/>
      <c r="AF24" s="10"/>
      <c r="AG24" s="10"/>
      <c r="AH24" s="10"/>
    </row>
    <row r="25" spans="1:34" hidden="1" outlineLevel="2">
      <c r="A25" s="35"/>
      <c r="B25" s="12" t="str">
        <f>IFERROR(VLOOKUP(D25,'[1]Перечень товаров'!$A$2:$I9525,2,0),"")</f>
        <v>т6</v>
      </c>
      <c r="C25" s="12" t="str">
        <f>IFERROR(VLOOKUP(D25,'[1]Перечень товаров'!$A$2:$I9525,3,0),"")</f>
        <v xml:space="preserve">Техника </v>
      </c>
      <c r="D25" s="35" t="s">
        <v>33</v>
      </c>
      <c r="E25" s="30"/>
      <c r="F25" s="30"/>
      <c r="G25" s="31">
        <v>1</v>
      </c>
      <c r="H25" s="31"/>
      <c r="I25" s="32"/>
      <c r="J25" s="32"/>
      <c r="K25" s="33"/>
      <c r="L25" s="20"/>
      <c r="M25" s="10"/>
      <c r="N25" s="10"/>
      <c r="O25" s="10"/>
      <c r="P25" s="10"/>
      <c r="Q25" s="10"/>
      <c r="R25" s="10"/>
      <c r="S25" s="10"/>
      <c r="T25" s="10"/>
      <c r="U25" s="10"/>
      <c r="V25" s="10"/>
      <c r="W25" s="10"/>
      <c r="X25" s="10"/>
      <c r="Y25" s="10"/>
      <c r="Z25" s="10"/>
      <c r="AA25" s="10"/>
      <c r="AB25" s="10"/>
      <c r="AC25" s="10"/>
      <c r="AD25" s="10"/>
      <c r="AE25" s="10"/>
      <c r="AF25" s="10"/>
      <c r="AG25" s="10"/>
      <c r="AH25" s="10"/>
    </row>
    <row r="26" spans="1:34" hidden="1" outlineLevel="2">
      <c r="A26" s="21"/>
      <c r="B26" s="12" t="str">
        <f>IFERROR(VLOOKUP(D26,'[1]Перечень товаров'!$A$2:$I9525,2,0),"")</f>
        <v>т7</v>
      </c>
      <c r="C26" s="12" t="str">
        <f>IFERROR(VLOOKUP(D26,'[1]Перечень товаров'!$A$2:$I9525,3,0),"")</f>
        <v xml:space="preserve">Техника </v>
      </c>
      <c r="D26" s="22" t="s">
        <v>34</v>
      </c>
      <c r="E26" s="30"/>
      <c r="F26" s="30"/>
      <c r="G26" s="31">
        <v>2</v>
      </c>
      <c r="H26" s="31"/>
      <c r="I26" s="32"/>
      <c r="J26" s="32"/>
      <c r="K26" s="33"/>
      <c r="L26" s="20"/>
      <c r="M26" s="10"/>
      <c r="N26" s="10"/>
      <c r="O26" s="10"/>
      <c r="P26" s="10"/>
      <c r="Q26" s="10"/>
      <c r="R26" s="10"/>
      <c r="S26" s="10"/>
      <c r="T26" s="10"/>
      <c r="U26" s="10"/>
      <c r="V26" s="10"/>
      <c r="W26" s="10"/>
      <c r="X26" s="10"/>
      <c r="Y26" s="10"/>
      <c r="Z26" s="10"/>
      <c r="AA26" s="10"/>
      <c r="AB26" s="10"/>
      <c r="AC26" s="10"/>
      <c r="AD26" s="10"/>
      <c r="AE26" s="10"/>
      <c r="AF26" s="10"/>
      <c r="AG26" s="10"/>
      <c r="AH26" s="10"/>
    </row>
    <row r="27" spans="1:34" hidden="1" outlineLevel="2">
      <c r="A27" s="21"/>
      <c r="B27" s="12" t="str">
        <f>IFERROR(VLOOKUP(D27,'[1]Перечень товаров'!$A$2:$I9525,2,0),"")</f>
        <v>т8</v>
      </c>
      <c r="C27" s="12" t="str">
        <f>IFERROR(VLOOKUP(D27,'[1]Перечень товаров'!$A$2:$I9525,3,0),"")</f>
        <v xml:space="preserve">Техника </v>
      </c>
      <c r="D27" s="22" t="s">
        <v>35</v>
      </c>
      <c r="E27" s="30"/>
      <c r="F27" s="30"/>
      <c r="G27" s="31">
        <v>1</v>
      </c>
      <c r="H27" s="31"/>
      <c r="I27" s="32"/>
      <c r="J27" s="32"/>
      <c r="K27" s="33"/>
      <c r="L27" s="20"/>
      <c r="M27" s="10"/>
      <c r="N27" s="10"/>
      <c r="O27" s="10"/>
      <c r="P27" s="10"/>
      <c r="Q27" s="10"/>
      <c r="R27" s="10"/>
      <c r="S27" s="10"/>
      <c r="T27" s="10"/>
      <c r="U27" s="10"/>
      <c r="V27" s="10"/>
      <c r="W27" s="10"/>
      <c r="X27" s="10"/>
      <c r="Y27" s="10"/>
      <c r="Z27" s="10"/>
      <c r="AA27" s="10"/>
      <c r="AB27" s="10"/>
      <c r="AC27" s="10"/>
      <c r="AD27" s="10"/>
      <c r="AE27" s="10"/>
      <c r="AF27" s="10"/>
      <c r="AG27" s="10"/>
      <c r="AH27" s="10"/>
    </row>
    <row r="28" spans="1:34" hidden="1" outlineLevel="2">
      <c r="A28" s="43"/>
      <c r="B28" s="12" t="str">
        <f>IFERROR(VLOOKUP(D28,'[1]Перечень товаров'!$A$2:$I9525,2,0),"")</f>
        <v>т9</v>
      </c>
      <c r="C28" s="12" t="str">
        <f>IFERROR(VLOOKUP(D28,'[1]Перечень товаров'!$A$2:$I9525,3,0),"")</f>
        <v>Техника</v>
      </c>
      <c r="D28" s="44" t="s">
        <v>36</v>
      </c>
      <c r="E28" s="30"/>
      <c r="F28" s="30"/>
      <c r="G28" s="31">
        <v>1</v>
      </c>
      <c r="H28" s="31"/>
      <c r="I28" s="32"/>
      <c r="J28" s="32"/>
      <c r="K28" s="33"/>
      <c r="L28" s="20"/>
      <c r="M28" s="10"/>
      <c r="N28" s="10"/>
      <c r="O28" s="10"/>
      <c r="P28" s="10"/>
      <c r="Q28" s="10"/>
      <c r="R28" s="10"/>
      <c r="S28" s="10"/>
      <c r="T28" s="10"/>
      <c r="U28" s="10"/>
      <c r="V28" s="10"/>
      <c r="W28" s="10"/>
      <c r="X28" s="10"/>
      <c r="Y28" s="10"/>
      <c r="Z28" s="10"/>
      <c r="AA28" s="10"/>
      <c r="AB28" s="10"/>
      <c r="AC28" s="10"/>
      <c r="AD28" s="10"/>
      <c r="AE28" s="10"/>
      <c r="AF28" s="10"/>
      <c r="AG28" s="10"/>
      <c r="AH28" s="10"/>
    </row>
    <row r="29" spans="1:34" hidden="1" outlineLevel="2">
      <c r="A29" s="43"/>
      <c r="B29" s="12" t="str">
        <f>IFERROR(VLOOKUP(D29,'[1]Перечень товаров'!$A$2:$I9525,2,0),"")</f>
        <v>п1</v>
      </c>
      <c r="C29" s="12" t="str">
        <f>IFERROR(VLOOKUP(D29,'[1]Перечень товаров'!$A$2:$I9525,3,0),"")</f>
        <v>Прочее</v>
      </c>
      <c r="D29" s="44" t="s">
        <v>37</v>
      </c>
      <c r="E29" s="30"/>
      <c r="F29" s="30"/>
      <c r="G29" s="31">
        <v>1</v>
      </c>
      <c r="H29" s="31"/>
      <c r="I29" s="32"/>
      <c r="J29" s="32"/>
      <c r="K29" s="33"/>
      <c r="L29" s="20"/>
      <c r="M29" s="10"/>
      <c r="N29" s="10"/>
      <c r="O29" s="10"/>
      <c r="P29" s="10"/>
      <c r="Q29" s="10"/>
      <c r="R29" s="10"/>
      <c r="S29" s="10"/>
      <c r="T29" s="10"/>
      <c r="U29" s="10"/>
      <c r="V29" s="10"/>
      <c r="W29" s="10"/>
      <c r="X29" s="10"/>
      <c r="Y29" s="10"/>
      <c r="Z29" s="10"/>
      <c r="AA29" s="10"/>
      <c r="AB29" s="10"/>
      <c r="AC29" s="10"/>
      <c r="AD29" s="10"/>
      <c r="AE29" s="10"/>
      <c r="AF29" s="10"/>
      <c r="AG29" s="10"/>
      <c r="AH29" s="10"/>
    </row>
    <row r="30" spans="1:34" hidden="1" outlineLevel="2">
      <c r="A30" s="43"/>
      <c r="B30" s="12" t="str">
        <f>IFERROR(VLOOKUP(D30,'[1]Перечень товаров'!$A$2:$I9525,2,0),"")</f>
        <v>м10</v>
      </c>
      <c r="C30" s="12" t="str">
        <f>IFERROR(VLOOKUP(D30,'[1]Перечень товаров'!$A$2:$I9525,3,0),"")</f>
        <v>Мебель</v>
      </c>
      <c r="D30" s="44" t="s">
        <v>38</v>
      </c>
      <c r="E30" s="30"/>
      <c r="F30" s="30"/>
      <c r="G30" s="31">
        <v>1</v>
      </c>
      <c r="H30" s="31"/>
      <c r="I30" s="32"/>
      <c r="J30" s="32"/>
      <c r="K30" s="33"/>
      <c r="L30" s="20"/>
      <c r="M30" s="10"/>
      <c r="N30" s="10"/>
      <c r="O30" s="10"/>
      <c r="P30" s="10"/>
      <c r="Q30" s="10"/>
      <c r="R30" s="10"/>
      <c r="S30" s="10"/>
      <c r="T30" s="10"/>
      <c r="U30" s="10"/>
      <c r="V30" s="10"/>
      <c r="W30" s="10"/>
      <c r="X30" s="10"/>
      <c r="Y30" s="10"/>
      <c r="Z30" s="10"/>
      <c r="AA30" s="10"/>
      <c r="AB30" s="10"/>
      <c r="AC30" s="10"/>
      <c r="AD30" s="10"/>
      <c r="AE30" s="10"/>
      <c r="AF30" s="10"/>
      <c r="AG30" s="10"/>
      <c r="AH30" s="10"/>
    </row>
    <row r="31" spans="1:34" hidden="1" outlineLevel="2">
      <c r="A31" s="43"/>
      <c r="B31" s="12" t="str">
        <f>IFERROR(VLOOKUP(D31,'[1]Перечень товаров'!$A$2:$I9525,2,0),"")</f>
        <v>т10</v>
      </c>
      <c r="C31" s="12" t="str">
        <f>IFERROR(VLOOKUP(D31,'[1]Перечень товаров'!$A$2:$I9525,3,0),"")</f>
        <v xml:space="preserve">Техника </v>
      </c>
      <c r="D31" s="44" t="s">
        <v>39</v>
      </c>
      <c r="E31" s="30"/>
      <c r="F31" s="30"/>
      <c r="G31" s="31">
        <v>1</v>
      </c>
      <c r="H31" s="31"/>
      <c r="I31" s="32"/>
      <c r="J31" s="32"/>
      <c r="K31" s="33"/>
      <c r="L31" s="20"/>
      <c r="M31" s="10"/>
      <c r="N31" s="10"/>
      <c r="O31" s="10"/>
      <c r="P31" s="10"/>
      <c r="Q31" s="10"/>
      <c r="R31" s="10"/>
      <c r="S31" s="10"/>
      <c r="T31" s="10"/>
      <c r="U31" s="10"/>
      <c r="V31" s="10"/>
      <c r="W31" s="10"/>
      <c r="X31" s="10"/>
      <c r="Y31" s="10"/>
      <c r="Z31" s="10"/>
      <c r="AA31" s="10"/>
      <c r="AB31" s="10"/>
      <c r="AC31" s="10"/>
      <c r="AD31" s="10"/>
      <c r="AE31" s="10"/>
      <c r="AF31" s="10"/>
      <c r="AG31" s="10"/>
      <c r="AH31" s="10"/>
    </row>
    <row r="32" spans="1:34" ht="12.75" hidden="1" outlineLevel="1" collapsed="1">
      <c r="A32" s="11"/>
      <c r="B32" s="12" t="str">
        <f>IFERROR(VLOOKUP(D32,'[1]Перечень товаров'!$A$2:$I9525,2,0),"")</f>
        <v/>
      </c>
      <c r="C32" s="12" t="str">
        <f>IFERROR(VLOOKUP(D32,'[1]Перечень товаров'!$A$2:$I9525,3,0),"")</f>
        <v/>
      </c>
      <c r="D32" s="27" t="s">
        <v>40</v>
      </c>
      <c r="E32" s="14">
        <v>24.4</v>
      </c>
      <c r="F32" s="14"/>
      <c r="G32" s="16"/>
      <c r="H32" s="16"/>
      <c r="I32" s="18"/>
      <c r="J32" s="18"/>
      <c r="K32" s="19"/>
      <c r="L32" s="20"/>
      <c r="M32" s="10"/>
      <c r="N32" s="10"/>
      <c r="O32" s="10"/>
      <c r="P32" s="10"/>
      <c r="Q32" s="10"/>
      <c r="R32" s="10"/>
      <c r="S32" s="10"/>
      <c r="T32" s="10"/>
      <c r="U32" s="10"/>
      <c r="V32" s="10"/>
      <c r="W32" s="10"/>
      <c r="X32" s="10"/>
      <c r="Y32" s="10"/>
      <c r="Z32" s="10"/>
      <c r="AA32" s="10"/>
      <c r="AB32" s="10"/>
      <c r="AC32" s="10"/>
      <c r="AD32" s="10"/>
      <c r="AE32" s="10"/>
      <c r="AF32" s="10"/>
      <c r="AG32" s="10"/>
      <c r="AH32" s="10"/>
    </row>
    <row r="33" spans="1:34" ht="30.75" hidden="1" outlineLevel="2">
      <c r="A33" s="37"/>
      <c r="B33" s="12" t="str">
        <f>IFERROR(VLOOKUP(D33,'[1]Перечень товаров'!$A$2:$I9525,2,0),"")</f>
        <v/>
      </c>
      <c r="C33" s="12" t="str">
        <f>IFERROR(VLOOKUP(D33,'[1]Перечень товаров'!$A$2:$I9525,3,0),"")</f>
        <v/>
      </c>
      <c r="D33" s="38" t="s">
        <v>27</v>
      </c>
      <c r="E33" s="45"/>
      <c r="F33" s="45"/>
      <c r="G33" s="46"/>
      <c r="H33" s="46"/>
      <c r="I33" s="47"/>
      <c r="J33" s="47"/>
      <c r="K33" s="33"/>
      <c r="L33" s="20"/>
      <c r="M33" s="10"/>
      <c r="N33" s="10"/>
      <c r="O33" s="10"/>
      <c r="P33" s="10"/>
      <c r="Q33" s="10"/>
      <c r="R33" s="10"/>
      <c r="S33" s="10"/>
      <c r="T33" s="10"/>
      <c r="U33" s="10"/>
      <c r="V33" s="10"/>
      <c r="W33" s="10"/>
      <c r="X33" s="10"/>
      <c r="Y33" s="10"/>
      <c r="Z33" s="10"/>
      <c r="AA33" s="10"/>
      <c r="AB33" s="10"/>
      <c r="AC33" s="10"/>
      <c r="AD33" s="10"/>
      <c r="AE33" s="10"/>
      <c r="AF33" s="10"/>
      <c r="AG33" s="10"/>
      <c r="AH33" s="10"/>
    </row>
    <row r="34" spans="1:34" hidden="1" outlineLevel="2">
      <c r="A34" s="21"/>
      <c r="B34" s="12" t="str">
        <f>IFERROR(VLOOKUP(D34,'[1]Перечень товаров'!$A$2:$I9525,2,0),"")</f>
        <v>т1</v>
      </c>
      <c r="C34" s="12" t="str">
        <f>IFERROR(VLOOKUP(D34,'[1]Перечень товаров'!$A$2:$I9525,3,0),"")</f>
        <v xml:space="preserve">Техника </v>
      </c>
      <c r="D34" s="22" t="s">
        <v>28</v>
      </c>
      <c r="E34" s="23"/>
      <c r="F34" s="23"/>
      <c r="G34" s="48">
        <v>4</v>
      </c>
      <c r="H34" s="48"/>
      <c r="I34" s="49"/>
      <c r="J34" s="49"/>
      <c r="K34" s="33"/>
      <c r="L34" s="20"/>
      <c r="M34" s="10"/>
      <c r="N34" s="10"/>
      <c r="O34" s="10"/>
      <c r="P34" s="10"/>
      <c r="Q34" s="10"/>
      <c r="R34" s="10"/>
      <c r="S34" s="10"/>
      <c r="T34" s="10"/>
      <c r="U34" s="10"/>
      <c r="V34" s="10"/>
      <c r="W34" s="10"/>
      <c r="X34" s="10"/>
      <c r="Y34" s="10"/>
      <c r="Z34" s="10"/>
      <c r="AA34" s="10"/>
      <c r="AB34" s="10"/>
      <c r="AC34" s="10"/>
      <c r="AD34" s="10"/>
      <c r="AE34" s="10"/>
      <c r="AF34" s="10"/>
      <c r="AG34" s="10"/>
      <c r="AH34" s="10"/>
    </row>
    <row r="35" spans="1:34" hidden="1" outlineLevel="2">
      <c r="A35" s="35"/>
      <c r="B35" s="12" t="str">
        <f>IFERROR(VLOOKUP(D35,'[1]Перечень товаров'!$A$2:$I9525,2,0),"")</f>
        <v>т2</v>
      </c>
      <c r="C35" s="12" t="str">
        <f>IFERROR(VLOOKUP(D35,'[1]Перечень товаров'!$A$2:$I9525,3,0),"")</f>
        <v xml:space="preserve">Техника </v>
      </c>
      <c r="D35" s="35" t="s">
        <v>29</v>
      </c>
      <c r="E35" s="23"/>
      <c r="F35" s="23"/>
      <c r="G35" s="48">
        <v>4</v>
      </c>
      <c r="H35" s="48"/>
      <c r="I35" s="49"/>
      <c r="J35" s="49"/>
      <c r="K35" s="33"/>
      <c r="L35" s="20"/>
      <c r="M35" s="10"/>
      <c r="N35" s="10"/>
      <c r="O35" s="10"/>
      <c r="P35" s="10"/>
      <c r="Q35" s="10"/>
      <c r="R35" s="10"/>
      <c r="S35" s="10"/>
      <c r="T35" s="10"/>
      <c r="U35" s="10"/>
      <c r="V35" s="10"/>
      <c r="W35" s="10"/>
      <c r="X35" s="10"/>
      <c r="Y35" s="10"/>
      <c r="Z35" s="10"/>
      <c r="AA35" s="10"/>
      <c r="AB35" s="10"/>
      <c r="AC35" s="10"/>
      <c r="AD35" s="10"/>
      <c r="AE35" s="10"/>
      <c r="AF35" s="10"/>
      <c r="AG35" s="10"/>
      <c r="AH35" s="10"/>
    </row>
    <row r="36" spans="1:34" hidden="1" outlineLevel="2">
      <c r="A36" s="35"/>
      <c r="B36" s="12" t="str">
        <f>IFERROR(VLOOKUP(D36,'[1]Перечень товаров'!$A$2:$I9525,2,0),"")</f>
        <v>т3</v>
      </c>
      <c r="C36" s="12" t="str">
        <f>IFERROR(VLOOKUP(D36,'[1]Перечень товаров'!$A$2:$I9525,3,0),"")</f>
        <v xml:space="preserve">Техника </v>
      </c>
      <c r="D36" s="35" t="s">
        <v>30</v>
      </c>
      <c r="E36" s="23"/>
      <c r="F36" s="23"/>
      <c r="G36" s="48">
        <v>4</v>
      </c>
      <c r="H36" s="48"/>
      <c r="I36" s="49"/>
      <c r="J36" s="49"/>
      <c r="K36" s="33"/>
      <c r="L36" s="20"/>
      <c r="M36" s="10"/>
      <c r="N36" s="10"/>
      <c r="O36" s="10"/>
      <c r="P36" s="10"/>
      <c r="Q36" s="10"/>
      <c r="R36" s="10"/>
      <c r="S36" s="10"/>
      <c r="T36" s="10"/>
      <c r="U36" s="10"/>
      <c r="V36" s="10"/>
      <c r="W36" s="10"/>
      <c r="X36" s="10"/>
      <c r="Y36" s="10"/>
      <c r="Z36" s="10"/>
      <c r="AA36" s="10"/>
      <c r="AB36" s="10"/>
      <c r="AC36" s="10"/>
      <c r="AD36" s="10"/>
      <c r="AE36" s="10"/>
      <c r="AF36" s="10"/>
      <c r="AG36" s="10"/>
      <c r="AH36" s="10"/>
    </row>
    <row r="37" spans="1:34" hidden="1" outlineLevel="2">
      <c r="A37" s="35"/>
      <c r="B37" s="12" t="str">
        <f>IFERROR(VLOOKUP(D37,'[1]Перечень товаров'!$A$2:$I9525,2,0),"")</f>
        <v>т4</v>
      </c>
      <c r="C37" s="12" t="str">
        <f>IFERROR(VLOOKUP(D37,'[1]Перечень товаров'!$A$2:$I9525,3,0),"")</f>
        <v xml:space="preserve">Техника </v>
      </c>
      <c r="D37" s="35" t="s">
        <v>31</v>
      </c>
      <c r="E37" s="23"/>
      <c r="F37" s="23"/>
      <c r="G37" s="48">
        <v>4</v>
      </c>
      <c r="H37" s="48"/>
      <c r="I37" s="49"/>
      <c r="J37" s="49"/>
      <c r="K37" s="33"/>
      <c r="L37" s="20"/>
      <c r="M37" s="10"/>
      <c r="N37" s="10"/>
      <c r="O37" s="10"/>
      <c r="P37" s="10"/>
      <c r="Q37" s="10"/>
      <c r="R37" s="10"/>
      <c r="S37" s="10"/>
      <c r="T37" s="10"/>
      <c r="U37" s="10"/>
      <c r="V37" s="10"/>
      <c r="W37" s="10"/>
      <c r="X37" s="10"/>
      <c r="Y37" s="10"/>
      <c r="Z37" s="10"/>
      <c r="AA37" s="10"/>
      <c r="AB37" s="10"/>
      <c r="AC37" s="10"/>
      <c r="AD37" s="10"/>
      <c r="AE37" s="10"/>
      <c r="AF37" s="10"/>
      <c r="AG37" s="10"/>
      <c r="AH37" s="10"/>
    </row>
    <row r="38" spans="1:34" hidden="1" outlineLevel="2">
      <c r="A38" s="21"/>
      <c r="B38" s="12" t="str">
        <f>IFERROR(VLOOKUP(D38,'[1]Перечень товаров'!$A$2:$I9525,2,0),"")</f>
        <v>т5</v>
      </c>
      <c r="C38" s="12" t="str">
        <f>IFERROR(VLOOKUP(D38,'[1]Перечень товаров'!$A$2:$I9525,3,0),"")</f>
        <v xml:space="preserve">Техника </v>
      </c>
      <c r="D38" s="22" t="s">
        <v>32</v>
      </c>
      <c r="E38" s="23"/>
      <c r="F38" s="23"/>
      <c r="G38" s="48">
        <v>1</v>
      </c>
      <c r="H38" s="48"/>
      <c r="I38" s="49"/>
      <c r="J38" s="49"/>
      <c r="K38" s="33"/>
      <c r="L38" s="20"/>
      <c r="M38" s="10"/>
      <c r="N38" s="10"/>
      <c r="O38" s="10"/>
      <c r="P38" s="10"/>
      <c r="Q38" s="10"/>
      <c r="R38" s="10"/>
      <c r="S38" s="10"/>
      <c r="T38" s="10"/>
      <c r="U38" s="10"/>
      <c r="V38" s="10"/>
      <c r="W38" s="10"/>
      <c r="X38" s="10"/>
      <c r="Y38" s="10"/>
      <c r="Z38" s="10"/>
      <c r="AA38" s="10"/>
      <c r="AB38" s="10"/>
      <c r="AC38" s="10"/>
      <c r="AD38" s="10"/>
      <c r="AE38" s="10"/>
      <c r="AF38" s="10"/>
      <c r="AG38" s="10"/>
      <c r="AH38" s="10"/>
    </row>
    <row r="39" spans="1:34" hidden="1" outlineLevel="2">
      <c r="A39" s="35"/>
      <c r="B39" s="12" t="str">
        <f>IFERROR(VLOOKUP(D39,'[1]Перечень товаров'!$A$2:$I9525,2,0),"")</f>
        <v>т6</v>
      </c>
      <c r="C39" s="12" t="str">
        <f>IFERROR(VLOOKUP(D39,'[1]Перечень товаров'!$A$2:$I9525,3,0),"")</f>
        <v xml:space="preserve">Техника </v>
      </c>
      <c r="D39" s="35" t="s">
        <v>33</v>
      </c>
      <c r="E39" s="23"/>
      <c r="F39" s="23"/>
      <c r="G39" s="48">
        <v>4</v>
      </c>
      <c r="H39" s="48"/>
      <c r="I39" s="49"/>
      <c r="J39" s="49"/>
      <c r="K39" s="33"/>
      <c r="L39" s="20"/>
      <c r="M39" s="10"/>
      <c r="N39" s="10"/>
      <c r="O39" s="10"/>
      <c r="P39" s="10"/>
      <c r="Q39" s="10"/>
      <c r="R39" s="10"/>
      <c r="S39" s="10"/>
      <c r="T39" s="10"/>
      <c r="U39" s="10"/>
      <c r="V39" s="10"/>
      <c r="W39" s="10"/>
      <c r="X39" s="10"/>
      <c r="Y39" s="10"/>
      <c r="Z39" s="10"/>
      <c r="AA39" s="10"/>
      <c r="AB39" s="10"/>
      <c r="AC39" s="10"/>
      <c r="AD39" s="10"/>
      <c r="AE39" s="10"/>
      <c r="AF39" s="10"/>
      <c r="AG39" s="10"/>
      <c r="AH39" s="10"/>
    </row>
    <row r="40" spans="1:34" hidden="1" outlineLevel="2">
      <c r="A40" s="21"/>
      <c r="B40" s="12" t="str">
        <f>IFERROR(VLOOKUP(D40,'[1]Перечень товаров'!$A$2:$I9525,2,0),"")</f>
        <v>т7</v>
      </c>
      <c r="C40" s="12" t="str">
        <f>IFERROR(VLOOKUP(D40,'[1]Перечень товаров'!$A$2:$I9525,3,0),"")</f>
        <v xml:space="preserve">Техника </v>
      </c>
      <c r="D40" s="22" t="s">
        <v>34</v>
      </c>
      <c r="E40" s="23"/>
      <c r="F40" s="23"/>
      <c r="G40" s="48">
        <v>4</v>
      </c>
      <c r="H40" s="48"/>
      <c r="I40" s="49"/>
      <c r="J40" s="49"/>
      <c r="K40" s="33"/>
      <c r="L40" s="20"/>
      <c r="M40" s="10"/>
      <c r="N40" s="10"/>
      <c r="O40" s="10"/>
      <c r="P40" s="10"/>
      <c r="Q40" s="10"/>
      <c r="R40" s="10"/>
      <c r="S40" s="10"/>
      <c r="T40" s="10"/>
      <c r="U40" s="10"/>
      <c r="V40" s="10"/>
      <c r="W40" s="10"/>
      <c r="X40" s="10"/>
      <c r="Y40" s="10"/>
      <c r="Z40" s="10"/>
      <c r="AA40" s="10"/>
      <c r="AB40" s="10"/>
      <c r="AC40" s="10"/>
      <c r="AD40" s="10"/>
      <c r="AE40" s="10"/>
      <c r="AF40" s="10"/>
      <c r="AG40" s="10"/>
      <c r="AH40" s="10"/>
    </row>
    <row r="41" spans="1:34" hidden="1" outlineLevel="2">
      <c r="A41" s="21"/>
      <c r="B41" s="12" t="str">
        <f>IFERROR(VLOOKUP(D41,'[1]Перечень товаров'!$A$2:$I9525,2,0),"")</f>
        <v>т8</v>
      </c>
      <c r="C41" s="12" t="str">
        <f>IFERROR(VLOOKUP(D41,'[1]Перечень товаров'!$A$2:$I9525,3,0),"")</f>
        <v xml:space="preserve">Техника </v>
      </c>
      <c r="D41" s="22" t="s">
        <v>35</v>
      </c>
      <c r="E41" s="23"/>
      <c r="F41" s="23"/>
      <c r="G41" s="48">
        <v>4</v>
      </c>
      <c r="H41" s="48"/>
      <c r="I41" s="49"/>
      <c r="J41" s="49"/>
      <c r="K41" s="33"/>
      <c r="L41" s="20"/>
      <c r="M41" s="10"/>
      <c r="N41" s="10"/>
      <c r="O41" s="10"/>
      <c r="P41" s="10"/>
      <c r="Q41" s="10"/>
      <c r="R41" s="10"/>
      <c r="S41" s="10"/>
      <c r="T41" s="10"/>
      <c r="U41" s="10"/>
      <c r="V41" s="10"/>
      <c r="W41" s="10"/>
      <c r="X41" s="10"/>
      <c r="Y41" s="10"/>
      <c r="Z41" s="10"/>
      <c r="AA41" s="10"/>
      <c r="AB41" s="10"/>
      <c r="AC41" s="10"/>
      <c r="AD41" s="10"/>
      <c r="AE41" s="10"/>
      <c r="AF41" s="10"/>
      <c r="AG41" s="10"/>
      <c r="AH41" s="10"/>
    </row>
    <row r="42" spans="1:34" hidden="1" outlineLevel="2">
      <c r="A42" s="21"/>
      <c r="B42" s="12" t="str">
        <f>IFERROR(VLOOKUP(D42,'[1]Перечень товаров'!$A$2:$I9525,2,0),"")</f>
        <v>т11</v>
      </c>
      <c r="C42" s="12" t="str">
        <f>IFERROR(VLOOKUP(D42,'[1]Перечень товаров'!$A$2:$I9525,3,0),"")</f>
        <v xml:space="preserve">Техника </v>
      </c>
      <c r="D42" s="22" t="s">
        <v>41</v>
      </c>
      <c r="E42" s="23"/>
      <c r="F42" s="23"/>
      <c r="G42" s="48">
        <v>1</v>
      </c>
      <c r="H42" s="48"/>
      <c r="I42" s="49"/>
      <c r="J42" s="49"/>
      <c r="K42" s="33"/>
      <c r="L42" s="20"/>
      <c r="M42" s="10"/>
      <c r="N42" s="10"/>
      <c r="O42" s="10"/>
      <c r="P42" s="10"/>
      <c r="Q42" s="10"/>
      <c r="R42" s="10"/>
      <c r="S42" s="10"/>
      <c r="T42" s="10"/>
      <c r="U42" s="10"/>
      <c r="V42" s="10"/>
      <c r="W42" s="10"/>
      <c r="X42" s="10"/>
      <c r="Y42" s="10"/>
      <c r="Z42" s="10"/>
      <c r="AA42" s="10"/>
      <c r="AB42" s="10"/>
      <c r="AC42" s="10"/>
      <c r="AD42" s="10"/>
      <c r="AE42" s="10"/>
      <c r="AF42" s="10"/>
      <c r="AG42" s="10"/>
      <c r="AH42" s="10"/>
    </row>
    <row r="43" spans="1:34" ht="15" hidden="1" outlineLevel="2">
      <c r="A43" s="50"/>
      <c r="B43" s="12" t="str">
        <f>IFERROR(VLOOKUP(D43,'[1]Перечень товаров'!$A$2:$I9525,2,0),"")</f>
        <v/>
      </c>
      <c r="C43" s="12" t="str">
        <f>IFERROR(VLOOKUP(D43,'[1]Перечень товаров'!$A$2:$I9525,3,0),"")</f>
        <v/>
      </c>
      <c r="D43" s="51" t="s">
        <v>19</v>
      </c>
      <c r="E43" s="45"/>
      <c r="F43" s="45"/>
      <c r="G43" s="52"/>
      <c r="H43" s="52"/>
      <c r="I43" s="53"/>
      <c r="J43" s="53"/>
      <c r="K43" s="42"/>
      <c r="L43" s="20"/>
      <c r="M43" s="10"/>
      <c r="N43" s="10"/>
      <c r="O43" s="10"/>
      <c r="P43" s="10"/>
      <c r="Q43" s="10"/>
      <c r="R43" s="10"/>
      <c r="S43" s="10"/>
      <c r="T43" s="10"/>
      <c r="U43" s="10"/>
      <c r="V43" s="10"/>
      <c r="W43" s="10"/>
      <c r="X43" s="10"/>
      <c r="Y43" s="10"/>
      <c r="Z43" s="10"/>
      <c r="AA43" s="10"/>
      <c r="AB43" s="10"/>
      <c r="AC43" s="10"/>
      <c r="AD43" s="10"/>
      <c r="AE43" s="10"/>
      <c r="AF43" s="10"/>
      <c r="AG43" s="10"/>
      <c r="AH43" s="10"/>
    </row>
    <row r="44" spans="1:34" ht="31.5" hidden="1" outlineLevel="2">
      <c r="A44" s="21"/>
      <c r="B44" s="12" t="str">
        <f>IFERROR(VLOOKUP(D44,'[1]Перечень товаров'!$A$2:$I9525,2,0),"")</f>
        <v>м205</v>
      </c>
      <c r="C44" s="12" t="str">
        <f>IFERROR(VLOOKUP(D44,'[1]Перечень товаров'!$A$2:$I9525,3,0),"")</f>
        <v>Мебель</v>
      </c>
      <c r="D44" s="22" t="s">
        <v>20</v>
      </c>
      <c r="E44" s="23"/>
      <c r="F44" s="23"/>
      <c r="G44" s="48">
        <v>4</v>
      </c>
      <c r="H44" s="48"/>
      <c r="I44" s="49"/>
      <c r="J44" s="49"/>
      <c r="K44" s="33"/>
      <c r="L44" s="20"/>
      <c r="M44" s="10"/>
      <c r="N44" s="10"/>
      <c r="O44" s="10"/>
      <c r="P44" s="10"/>
      <c r="Q44" s="10"/>
      <c r="R44" s="10"/>
      <c r="S44" s="10"/>
      <c r="T44" s="10"/>
      <c r="U44" s="10"/>
      <c r="V44" s="10"/>
      <c r="W44" s="10"/>
      <c r="X44" s="10"/>
      <c r="Y44" s="10"/>
      <c r="Z44" s="10"/>
      <c r="AA44" s="10"/>
      <c r="AB44" s="10"/>
      <c r="AC44" s="10"/>
      <c r="AD44" s="10"/>
      <c r="AE44" s="10"/>
      <c r="AF44" s="10"/>
      <c r="AG44" s="10"/>
      <c r="AH44" s="10"/>
    </row>
    <row r="45" spans="1:34" hidden="1" outlineLevel="2">
      <c r="A45" s="22"/>
      <c r="B45" s="12" t="str">
        <f>IFERROR(VLOOKUP(D45,'[1]Перечень товаров'!$A$2:$I9525,2,0),"")</f>
        <v>м12</v>
      </c>
      <c r="C45" s="12" t="str">
        <f>IFERROR(VLOOKUP(D45,'[1]Перечень товаров'!$A$2:$I9525,3,0),"")</f>
        <v>Мебель</v>
      </c>
      <c r="D45" s="22" t="s">
        <v>21</v>
      </c>
      <c r="E45" s="23"/>
      <c r="F45" s="23"/>
      <c r="G45" s="48">
        <v>4</v>
      </c>
      <c r="H45" s="48"/>
      <c r="I45" s="49"/>
      <c r="J45" s="49"/>
      <c r="K45" s="33"/>
      <c r="L45" s="20"/>
      <c r="M45" s="10"/>
      <c r="N45" s="10"/>
      <c r="O45" s="10"/>
      <c r="P45" s="10"/>
      <c r="Q45" s="10"/>
      <c r="R45" s="10"/>
      <c r="S45" s="10"/>
      <c r="T45" s="10"/>
      <c r="U45" s="10"/>
      <c r="V45" s="10"/>
      <c r="W45" s="10"/>
      <c r="X45" s="10"/>
      <c r="Y45" s="10"/>
      <c r="Z45" s="10"/>
      <c r="AA45" s="10"/>
      <c r="AB45" s="10"/>
      <c r="AC45" s="10"/>
      <c r="AD45" s="10"/>
      <c r="AE45" s="10"/>
      <c r="AF45" s="10"/>
      <c r="AG45" s="10"/>
      <c r="AH45" s="10"/>
    </row>
    <row r="46" spans="1:34" hidden="1" outlineLevel="2">
      <c r="A46" s="21"/>
      <c r="B46" s="12" t="str">
        <f>IFERROR(VLOOKUP(D46,'[1]Перечень товаров'!$A$2:$I9525,2,0),"")</f>
        <v>м13</v>
      </c>
      <c r="C46" s="12" t="str">
        <f>IFERROR(VLOOKUP(D46,'[1]Перечень товаров'!$A$2:$I9525,3,0),"")</f>
        <v>Мебель</v>
      </c>
      <c r="D46" s="22" t="s">
        <v>42</v>
      </c>
      <c r="E46" s="23"/>
      <c r="F46" s="23"/>
      <c r="G46" s="48">
        <v>3</v>
      </c>
      <c r="H46" s="48"/>
      <c r="I46" s="49"/>
      <c r="J46" s="49"/>
      <c r="K46" s="33"/>
      <c r="L46" s="20"/>
      <c r="M46" s="10"/>
      <c r="N46" s="10"/>
      <c r="O46" s="10"/>
      <c r="P46" s="10"/>
      <c r="Q46" s="10"/>
      <c r="R46" s="10"/>
      <c r="S46" s="10"/>
      <c r="T46" s="10"/>
      <c r="U46" s="10"/>
      <c r="V46" s="10"/>
      <c r="W46" s="10"/>
      <c r="X46" s="10"/>
      <c r="Y46" s="10"/>
      <c r="Z46" s="10"/>
      <c r="AA46" s="10"/>
      <c r="AB46" s="10"/>
      <c r="AC46" s="10"/>
      <c r="AD46" s="10"/>
      <c r="AE46" s="10"/>
      <c r="AF46" s="10"/>
      <c r="AG46" s="10"/>
      <c r="AH46" s="10"/>
    </row>
    <row r="47" spans="1:34" hidden="1" outlineLevel="2">
      <c r="A47" s="21"/>
      <c r="B47" s="12" t="str">
        <f>IFERROR(VLOOKUP(D47,'[1]Перечень товаров'!$A$2:$I9525,2,0),"")</f>
        <v>м14</v>
      </c>
      <c r="C47" s="12" t="str">
        <f>IFERROR(VLOOKUP(D47,'[1]Перечень товаров'!$A$2:$I9525,3,0),"")</f>
        <v>Мебель</v>
      </c>
      <c r="D47" s="22" t="s">
        <v>43</v>
      </c>
      <c r="E47" s="23"/>
      <c r="F47" s="23"/>
      <c r="G47" s="48">
        <v>2</v>
      </c>
      <c r="H47" s="48"/>
      <c r="I47" s="49"/>
      <c r="J47" s="49"/>
      <c r="K47" s="33"/>
      <c r="L47" s="20"/>
      <c r="M47" s="10"/>
      <c r="N47" s="10"/>
      <c r="O47" s="10"/>
      <c r="P47" s="10"/>
      <c r="Q47" s="10"/>
      <c r="R47" s="10"/>
      <c r="S47" s="10"/>
      <c r="T47" s="10"/>
      <c r="U47" s="10"/>
      <c r="V47" s="10"/>
      <c r="W47" s="10"/>
      <c r="X47" s="10"/>
      <c r="Y47" s="10"/>
      <c r="Z47" s="10"/>
      <c r="AA47" s="10"/>
      <c r="AB47" s="10"/>
      <c r="AC47" s="10"/>
      <c r="AD47" s="10"/>
      <c r="AE47" s="10"/>
      <c r="AF47" s="10"/>
      <c r="AG47" s="10"/>
      <c r="AH47" s="10"/>
    </row>
    <row r="48" spans="1:34" hidden="1" outlineLevel="2">
      <c r="A48" s="21"/>
      <c r="B48" s="12" t="str">
        <f>IFERROR(VLOOKUP(D48,'[1]Перечень товаров'!$A$2:$I9525,2,0),"")</f>
        <v>м15</v>
      </c>
      <c r="C48" s="12" t="str">
        <f>IFERROR(VLOOKUP(D48,'[1]Перечень товаров'!$A$2:$I9525,3,0),"")</f>
        <v>Мебель</v>
      </c>
      <c r="D48" s="22" t="s">
        <v>44</v>
      </c>
      <c r="E48" s="23"/>
      <c r="F48" s="23"/>
      <c r="G48" s="48">
        <v>1</v>
      </c>
      <c r="H48" s="48"/>
      <c r="I48" s="49"/>
      <c r="J48" s="49"/>
      <c r="K48" s="33"/>
      <c r="L48" s="20"/>
      <c r="M48" s="10"/>
      <c r="N48" s="10"/>
      <c r="O48" s="10"/>
      <c r="P48" s="10"/>
      <c r="Q48" s="10"/>
      <c r="R48" s="10"/>
      <c r="S48" s="10"/>
      <c r="T48" s="10"/>
      <c r="U48" s="10"/>
      <c r="V48" s="10"/>
      <c r="W48" s="10"/>
      <c r="X48" s="10"/>
      <c r="Y48" s="10"/>
      <c r="Z48" s="10"/>
      <c r="AA48" s="10"/>
      <c r="AB48" s="10"/>
      <c r="AC48" s="10"/>
      <c r="AD48" s="10"/>
      <c r="AE48" s="10"/>
      <c r="AF48" s="10"/>
      <c r="AG48" s="10"/>
      <c r="AH48" s="10"/>
    </row>
    <row r="49" spans="1:34" hidden="1" outlineLevel="2">
      <c r="A49" s="54"/>
      <c r="B49" s="12" t="str">
        <f>IFERROR(VLOOKUP(D49,'[1]Перечень товаров'!$A$2:$I9525,2,0),"")</f>
        <v/>
      </c>
      <c r="C49" s="12" t="str">
        <f>IFERROR(VLOOKUP(D49,'[1]Перечень товаров'!$A$2:$I9525,3,0),"")</f>
        <v/>
      </c>
      <c r="D49" s="55" t="s">
        <v>45</v>
      </c>
      <c r="E49" s="56"/>
      <c r="F49" s="56"/>
      <c r="G49" s="17"/>
      <c r="H49" s="17"/>
      <c r="I49" s="57"/>
      <c r="J49" s="57"/>
      <c r="K49" s="33"/>
      <c r="L49" s="20"/>
      <c r="M49" s="10"/>
      <c r="N49" s="10"/>
      <c r="O49" s="10"/>
      <c r="P49" s="10"/>
      <c r="Q49" s="10"/>
      <c r="R49" s="10"/>
      <c r="S49" s="10"/>
      <c r="T49" s="10"/>
      <c r="U49" s="10"/>
      <c r="V49" s="10"/>
      <c r="W49" s="10"/>
      <c r="X49" s="10"/>
      <c r="Y49" s="10"/>
      <c r="Z49" s="10"/>
      <c r="AA49" s="10"/>
      <c r="AB49" s="10"/>
      <c r="AC49" s="10"/>
      <c r="AD49" s="10"/>
      <c r="AE49" s="10"/>
      <c r="AF49" s="10"/>
      <c r="AG49" s="10"/>
      <c r="AH49" s="10"/>
    </row>
    <row r="50" spans="1:34" hidden="1" outlineLevel="2">
      <c r="A50" s="21"/>
      <c r="B50" s="12" t="str">
        <f>IFERROR(VLOOKUP(D50,'[1]Перечень товаров'!$A$2:$I9525,2,0),"")</f>
        <v>п2</v>
      </c>
      <c r="C50" s="12" t="str">
        <f>IFERROR(VLOOKUP(D50,'[1]Перечень товаров'!$A$2:$I9525,3,0),"")</f>
        <v>Прочее</v>
      </c>
      <c r="D50" s="22" t="s">
        <v>46</v>
      </c>
      <c r="E50" s="58"/>
      <c r="F50" s="58"/>
      <c r="G50" s="24">
        <v>1</v>
      </c>
      <c r="H50" s="24"/>
      <c r="I50" s="25"/>
      <c r="J50" s="25"/>
      <c r="K50" s="33"/>
      <c r="L50" s="20"/>
      <c r="M50" s="10"/>
      <c r="N50" s="10"/>
      <c r="O50" s="10"/>
      <c r="P50" s="10"/>
      <c r="Q50" s="10"/>
      <c r="R50" s="10"/>
      <c r="S50" s="10"/>
      <c r="T50" s="10"/>
      <c r="U50" s="10"/>
      <c r="V50" s="10"/>
      <c r="W50" s="10"/>
      <c r="X50" s="10"/>
      <c r="Y50" s="10"/>
      <c r="Z50" s="10"/>
      <c r="AA50" s="10"/>
      <c r="AB50" s="10"/>
      <c r="AC50" s="10"/>
      <c r="AD50" s="10"/>
      <c r="AE50" s="10"/>
      <c r="AF50" s="10"/>
      <c r="AG50" s="10"/>
      <c r="AH50" s="10"/>
    </row>
    <row r="51" spans="1:34" hidden="1" outlineLevel="2">
      <c r="A51" s="43"/>
      <c r="B51" s="12" t="str">
        <f>IFERROR(VLOOKUP(D51,'[1]Перечень товаров'!$A$2:$I9525,2,0),"")</f>
        <v>м7</v>
      </c>
      <c r="C51" s="12" t="str">
        <f>IFERROR(VLOOKUP(D51,'[1]Перечень товаров'!$A$2:$I9525,3,0),"")</f>
        <v>Мебель</v>
      </c>
      <c r="D51" s="44" t="s">
        <v>24</v>
      </c>
      <c r="E51" s="30"/>
      <c r="F51" s="30"/>
      <c r="G51" s="59">
        <v>1</v>
      </c>
      <c r="H51" s="59"/>
      <c r="I51" s="60"/>
      <c r="J51" s="60"/>
      <c r="K51" s="33"/>
      <c r="L51" s="20"/>
      <c r="M51" s="10"/>
      <c r="N51" s="10"/>
      <c r="O51" s="10"/>
      <c r="P51" s="10"/>
      <c r="Q51" s="10"/>
      <c r="R51" s="10"/>
      <c r="S51" s="10"/>
      <c r="T51" s="10"/>
      <c r="U51" s="10"/>
      <c r="V51" s="10"/>
      <c r="W51" s="10"/>
      <c r="X51" s="10"/>
      <c r="Y51" s="10"/>
      <c r="Z51" s="10"/>
      <c r="AA51" s="10"/>
      <c r="AB51" s="10"/>
      <c r="AC51" s="10"/>
      <c r="AD51" s="10"/>
      <c r="AE51" s="10"/>
      <c r="AF51" s="10"/>
      <c r="AG51" s="10"/>
      <c r="AH51" s="10"/>
    </row>
    <row r="52" spans="1:34" hidden="1" outlineLevel="2">
      <c r="A52" s="43"/>
      <c r="B52" s="12" t="str">
        <f>IFERROR(VLOOKUP(D52,'[1]Перечень товаров'!$A$2:$I9525,2,0),"")</f>
        <v>п1</v>
      </c>
      <c r="C52" s="12" t="str">
        <f>IFERROR(VLOOKUP(D52,'[1]Перечень товаров'!$A$2:$I9525,3,0),"")</f>
        <v>Прочее</v>
      </c>
      <c r="D52" s="44" t="s">
        <v>37</v>
      </c>
      <c r="E52" s="30"/>
      <c r="F52" s="30"/>
      <c r="G52" s="59">
        <v>1</v>
      </c>
      <c r="H52" s="59"/>
      <c r="I52" s="60"/>
      <c r="J52" s="60"/>
      <c r="K52" s="33"/>
      <c r="L52" s="20"/>
      <c r="M52" s="10"/>
      <c r="N52" s="10"/>
      <c r="O52" s="10"/>
      <c r="P52" s="10"/>
      <c r="Q52" s="10"/>
      <c r="R52" s="10"/>
      <c r="S52" s="10"/>
      <c r="T52" s="10"/>
      <c r="U52" s="10"/>
      <c r="V52" s="10"/>
      <c r="W52" s="10"/>
      <c r="X52" s="10"/>
      <c r="Y52" s="10"/>
      <c r="Z52" s="10"/>
      <c r="AA52" s="10"/>
      <c r="AB52" s="10"/>
      <c r="AC52" s="10"/>
      <c r="AD52" s="10"/>
      <c r="AE52" s="10"/>
      <c r="AF52" s="10"/>
      <c r="AG52" s="10"/>
      <c r="AH52" s="10"/>
    </row>
    <row r="53" spans="1:34" hidden="1" outlineLevel="2">
      <c r="A53" s="21"/>
      <c r="B53" s="12" t="str">
        <f>IFERROR(VLOOKUP(D53,'[1]Перечень товаров'!$A$2:$I9525,2,0),"")</f>
        <v>т10</v>
      </c>
      <c r="C53" s="12" t="str">
        <f>IFERROR(VLOOKUP(D53,'[1]Перечень товаров'!$A$2:$I9525,3,0),"")</f>
        <v xml:space="preserve">Техника </v>
      </c>
      <c r="D53" s="22" t="s">
        <v>39</v>
      </c>
      <c r="E53" s="23"/>
      <c r="F53" s="23"/>
      <c r="G53" s="24">
        <v>1</v>
      </c>
      <c r="H53" s="24"/>
      <c r="I53" s="25"/>
      <c r="J53" s="25"/>
      <c r="K53" s="33"/>
      <c r="L53" s="20"/>
      <c r="M53" s="10"/>
      <c r="N53" s="10"/>
      <c r="O53" s="10"/>
      <c r="P53" s="10"/>
      <c r="Q53" s="10"/>
      <c r="R53" s="10"/>
      <c r="S53" s="10"/>
      <c r="T53" s="10"/>
      <c r="U53" s="10"/>
      <c r="V53" s="10"/>
      <c r="W53" s="10"/>
      <c r="X53" s="10"/>
      <c r="Y53" s="10"/>
      <c r="Z53" s="10"/>
      <c r="AA53" s="10"/>
      <c r="AB53" s="10"/>
      <c r="AC53" s="10"/>
      <c r="AD53" s="10"/>
      <c r="AE53" s="10"/>
      <c r="AF53" s="10"/>
      <c r="AG53" s="10"/>
      <c r="AH53" s="10"/>
    </row>
    <row r="54" spans="1:34" hidden="1" outlineLevel="2">
      <c r="A54" s="21"/>
      <c r="B54" s="12" t="str">
        <f>IFERROR(VLOOKUP(D54,'[1]Перечень товаров'!$A$2:$I9525,2,0),"")</f>
        <v>п3</v>
      </c>
      <c r="C54" s="12" t="str">
        <f>IFERROR(VLOOKUP(D54,'[1]Перечень товаров'!$A$2:$I9525,3,0),"")</f>
        <v>Прочее</v>
      </c>
      <c r="D54" s="22" t="s">
        <v>47</v>
      </c>
      <c r="E54" s="23"/>
      <c r="F54" s="23"/>
      <c r="G54" s="48">
        <v>4</v>
      </c>
      <c r="H54" s="48"/>
      <c r="I54" s="49"/>
      <c r="J54" s="49"/>
      <c r="K54" s="33"/>
      <c r="L54" s="20"/>
      <c r="M54" s="10"/>
      <c r="N54" s="10"/>
      <c r="O54" s="10"/>
      <c r="P54" s="10"/>
      <c r="Q54" s="10"/>
      <c r="R54" s="10"/>
      <c r="S54" s="10"/>
      <c r="T54" s="10"/>
      <c r="U54" s="10"/>
      <c r="V54" s="10"/>
      <c r="W54" s="10"/>
      <c r="X54" s="10"/>
      <c r="Y54" s="10"/>
      <c r="Z54" s="10"/>
      <c r="AA54" s="10"/>
      <c r="AB54" s="10"/>
      <c r="AC54" s="10"/>
      <c r="AD54" s="10"/>
      <c r="AE54" s="10"/>
      <c r="AF54" s="10"/>
      <c r="AG54" s="10"/>
      <c r="AH54" s="10"/>
    </row>
    <row r="55" spans="1:34" ht="12.75" hidden="1" outlineLevel="1">
      <c r="A55" s="11"/>
      <c r="B55" s="12" t="str">
        <f>IFERROR(VLOOKUP(D55,'[1]Перечень товаров'!$A$2:$I9525,2,0),"")</f>
        <v/>
      </c>
      <c r="C55" s="12" t="str">
        <f>IFERROR(VLOOKUP(D55,'[1]Перечень товаров'!$A$2:$I9525,3,0),"")</f>
        <v/>
      </c>
      <c r="D55" s="27" t="s">
        <v>48</v>
      </c>
      <c r="E55" s="14">
        <v>19.2</v>
      </c>
      <c r="F55" s="14"/>
      <c r="G55" s="16"/>
      <c r="H55" s="16"/>
      <c r="I55" s="18"/>
      <c r="J55" s="18"/>
      <c r="K55" s="19"/>
      <c r="L55" s="20"/>
      <c r="M55" s="10"/>
      <c r="N55" s="10"/>
      <c r="O55" s="10"/>
      <c r="P55" s="10"/>
      <c r="Q55" s="10"/>
      <c r="R55" s="10"/>
      <c r="S55" s="10"/>
      <c r="T55" s="10"/>
      <c r="U55" s="10"/>
      <c r="V55" s="10"/>
      <c r="W55" s="10"/>
      <c r="X55" s="10"/>
      <c r="Y55" s="10"/>
      <c r="Z55" s="10"/>
      <c r="AA55" s="10"/>
      <c r="AB55" s="10"/>
      <c r="AC55" s="10"/>
      <c r="AD55" s="10"/>
      <c r="AE55" s="10"/>
      <c r="AF55" s="10"/>
      <c r="AG55" s="10"/>
      <c r="AH55" s="10"/>
    </row>
    <row r="56" spans="1:34" hidden="1" outlineLevel="2">
      <c r="A56" s="34"/>
      <c r="B56" s="12" t="str">
        <f>IFERROR(VLOOKUP(D56,'[1]Перечень товаров'!$A$2:$I9525,2,0),"")</f>
        <v>т1</v>
      </c>
      <c r="C56" s="12" t="str">
        <f>IFERROR(VLOOKUP(D56,'[1]Перечень товаров'!$A$2:$I9525,3,0),"")</f>
        <v xml:space="preserve">Техника </v>
      </c>
      <c r="D56" s="35" t="s">
        <v>28</v>
      </c>
      <c r="E56" s="23"/>
      <c r="F56" s="23"/>
      <c r="G56" s="48">
        <v>1</v>
      </c>
      <c r="H56" s="48"/>
      <c r="I56" s="49"/>
      <c r="J56" s="49"/>
      <c r="K56" s="33"/>
      <c r="L56" s="20"/>
      <c r="M56" s="10"/>
      <c r="N56" s="10"/>
      <c r="O56" s="10"/>
      <c r="P56" s="10"/>
      <c r="Q56" s="10"/>
      <c r="R56" s="10"/>
      <c r="S56" s="10"/>
      <c r="T56" s="10"/>
      <c r="U56" s="10"/>
      <c r="V56" s="10"/>
      <c r="W56" s="10"/>
      <c r="X56" s="10"/>
      <c r="Y56" s="10"/>
      <c r="Z56" s="10"/>
      <c r="AA56" s="10"/>
      <c r="AB56" s="10"/>
      <c r="AC56" s="10"/>
      <c r="AD56" s="10"/>
      <c r="AE56" s="10"/>
      <c r="AF56" s="10"/>
      <c r="AG56" s="10"/>
      <c r="AH56" s="10"/>
    </row>
    <row r="57" spans="1:34" hidden="1" outlineLevel="2">
      <c r="A57" s="35"/>
      <c r="B57" s="12" t="str">
        <f>IFERROR(VLOOKUP(D57,'[1]Перечень товаров'!$A$2:$I9525,2,0),"")</f>
        <v>т2</v>
      </c>
      <c r="C57" s="12" t="str">
        <f>IFERROR(VLOOKUP(D57,'[1]Перечень товаров'!$A$2:$I9525,3,0),"")</f>
        <v xml:space="preserve">Техника </v>
      </c>
      <c r="D57" s="35" t="s">
        <v>29</v>
      </c>
      <c r="E57" s="23"/>
      <c r="F57" s="23"/>
      <c r="G57" s="48">
        <v>1</v>
      </c>
      <c r="H57" s="48"/>
      <c r="I57" s="49"/>
      <c r="J57" s="49"/>
      <c r="K57" s="33"/>
      <c r="L57" s="20"/>
      <c r="M57" s="10"/>
      <c r="N57" s="10"/>
      <c r="O57" s="10"/>
      <c r="P57" s="10"/>
      <c r="Q57" s="10"/>
      <c r="R57" s="10"/>
      <c r="S57" s="10"/>
      <c r="T57" s="10"/>
      <c r="U57" s="10"/>
      <c r="V57" s="10"/>
      <c r="W57" s="10"/>
      <c r="X57" s="10"/>
      <c r="Y57" s="10"/>
      <c r="Z57" s="10"/>
      <c r="AA57" s="10"/>
      <c r="AB57" s="10"/>
      <c r="AC57" s="10"/>
      <c r="AD57" s="10"/>
      <c r="AE57" s="10"/>
      <c r="AF57" s="10"/>
      <c r="AG57" s="10"/>
      <c r="AH57" s="10"/>
    </row>
    <row r="58" spans="1:34" hidden="1" outlineLevel="2">
      <c r="A58" s="35"/>
      <c r="B58" s="12" t="str">
        <f>IFERROR(VLOOKUP(D58,'[1]Перечень товаров'!$A$2:$I9525,2,0),"")</f>
        <v>т3</v>
      </c>
      <c r="C58" s="12" t="str">
        <f>IFERROR(VLOOKUP(D58,'[1]Перечень товаров'!$A$2:$I9525,3,0),"")</f>
        <v xml:space="preserve">Техника </v>
      </c>
      <c r="D58" s="35" t="s">
        <v>30</v>
      </c>
      <c r="E58" s="23"/>
      <c r="F58" s="23"/>
      <c r="G58" s="48">
        <v>1</v>
      </c>
      <c r="H58" s="48"/>
      <c r="I58" s="49"/>
      <c r="J58" s="49"/>
      <c r="K58" s="33"/>
      <c r="L58" s="20"/>
      <c r="M58" s="10"/>
      <c r="N58" s="10"/>
      <c r="O58" s="10"/>
      <c r="P58" s="10"/>
      <c r="Q58" s="10"/>
      <c r="R58" s="10"/>
      <c r="S58" s="10"/>
      <c r="T58" s="10"/>
      <c r="U58" s="10"/>
      <c r="V58" s="10"/>
      <c r="W58" s="10"/>
      <c r="X58" s="10"/>
      <c r="Y58" s="10"/>
      <c r="Z58" s="10"/>
      <c r="AA58" s="10"/>
      <c r="AB58" s="10"/>
      <c r="AC58" s="10"/>
      <c r="AD58" s="10"/>
      <c r="AE58" s="10"/>
      <c r="AF58" s="10"/>
      <c r="AG58" s="10"/>
      <c r="AH58" s="10"/>
    </row>
    <row r="59" spans="1:34" hidden="1" outlineLevel="2">
      <c r="A59" s="35"/>
      <c r="B59" s="12" t="str">
        <f>IFERROR(VLOOKUP(D59,'[1]Перечень товаров'!$A$2:$I9525,2,0),"")</f>
        <v>т4</v>
      </c>
      <c r="C59" s="12" t="str">
        <f>IFERROR(VLOOKUP(D59,'[1]Перечень товаров'!$A$2:$I9525,3,0),"")</f>
        <v xml:space="preserve">Техника </v>
      </c>
      <c r="D59" s="35" t="s">
        <v>31</v>
      </c>
      <c r="E59" s="23"/>
      <c r="F59" s="23"/>
      <c r="G59" s="48">
        <v>1</v>
      </c>
      <c r="H59" s="48"/>
      <c r="I59" s="49"/>
      <c r="J59" s="49"/>
      <c r="K59" s="33"/>
      <c r="L59" s="20"/>
      <c r="M59" s="10"/>
      <c r="N59" s="10"/>
      <c r="O59" s="10"/>
      <c r="P59" s="10"/>
      <c r="Q59" s="10"/>
      <c r="R59" s="10"/>
      <c r="S59" s="10"/>
      <c r="T59" s="10"/>
      <c r="U59" s="10"/>
      <c r="V59" s="10"/>
      <c r="W59" s="10"/>
      <c r="X59" s="10"/>
      <c r="Y59" s="10"/>
      <c r="Z59" s="10"/>
      <c r="AA59" s="10"/>
      <c r="AB59" s="10"/>
      <c r="AC59" s="10"/>
      <c r="AD59" s="10"/>
      <c r="AE59" s="10"/>
      <c r="AF59" s="10"/>
      <c r="AG59" s="10"/>
      <c r="AH59" s="10"/>
    </row>
    <row r="60" spans="1:34" hidden="1" outlineLevel="2">
      <c r="A60" s="34"/>
      <c r="B60" s="12" t="str">
        <f>IFERROR(VLOOKUP(D60,'[1]Перечень товаров'!$A$2:$I9525,2,0),"")</f>
        <v>т12</v>
      </c>
      <c r="C60" s="12" t="str">
        <f>IFERROR(VLOOKUP(D60,'[1]Перечень товаров'!$A$2:$I9525,3,0),"")</f>
        <v>Техника</v>
      </c>
      <c r="D60" s="35" t="s">
        <v>49</v>
      </c>
      <c r="E60" s="23"/>
      <c r="F60" s="23"/>
      <c r="G60" s="48">
        <v>1</v>
      </c>
      <c r="H60" s="48"/>
      <c r="I60" s="49"/>
      <c r="J60" s="49"/>
      <c r="K60" s="33"/>
      <c r="L60" s="20"/>
      <c r="M60" s="10"/>
      <c r="N60" s="10"/>
      <c r="O60" s="10"/>
      <c r="P60" s="10"/>
      <c r="Q60" s="10"/>
      <c r="R60" s="10"/>
      <c r="S60" s="10"/>
      <c r="T60" s="10"/>
      <c r="U60" s="10"/>
      <c r="V60" s="10"/>
      <c r="W60" s="10"/>
      <c r="X60" s="10"/>
      <c r="Y60" s="10"/>
      <c r="Z60" s="10"/>
      <c r="AA60" s="10"/>
      <c r="AB60" s="10"/>
      <c r="AC60" s="10"/>
      <c r="AD60" s="10"/>
      <c r="AE60" s="10"/>
      <c r="AF60" s="10"/>
      <c r="AG60" s="10"/>
      <c r="AH60" s="10"/>
    </row>
    <row r="61" spans="1:34" hidden="1" outlineLevel="2">
      <c r="A61" s="35"/>
      <c r="B61" s="12" t="str">
        <f>IFERROR(VLOOKUP(D61,'[1]Перечень товаров'!$A$2:$I9525,2,0),"")</f>
        <v>т6</v>
      </c>
      <c r="C61" s="12" t="str">
        <f>IFERROR(VLOOKUP(D61,'[1]Перечень товаров'!$A$2:$I9525,3,0),"")</f>
        <v xml:space="preserve">Техника </v>
      </c>
      <c r="D61" s="35" t="s">
        <v>33</v>
      </c>
      <c r="E61" s="23"/>
      <c r="F61" s="23"/>
      <c r="G61" s="48">
        <v>1</v>
      </c>
      <c r="H61" s="48"/>
      <c r="I61" s="49"/>
      <c r="J61" s="49"/>
      <c r="K61" s="33"/>
      <c r="L61" s="20"/>
      <c r="M61" s="10"/>
      <c r="N61" s="10"/>
      <c r="O61" s="10"/>
      <c r="P61" s="10"/>
      <c r="Q61" s="10"/>
      <c r="R61" s="10"/>
      <c r="S61" s="10"/>
      <c r="T61" s="10"/>
      <c r="U61" s="10"/>
      <c r="V61" s="10"/>
      <c r="W61" s="10"/>
      <c r="X61" s="10"/>
      <c r="Y61" s="10"/>
      <c r="Z61" s="10"/>
      <c r="AA61" s="10"/>
      <c r="AB61" s="10"/>
      <c r="AC61" s="10"/>
      <c r="AD61" s="10"/>
      <c r="AE61" s="10"/>
      <c r="AF61" s="10"/>
      <c r="AG61" s="10"/>
      <c r="AH61" s="10"/>
    </row>
    <row r="62" spans="1:34" hidden="1" outlineLevel="2">
      <c r="A62" s="34"/>
      <c r="B62" s="12" t="str">
        <f>IFERROR(VLOOKUP(D62,'[1]Перечень товаров'!$A$2:$I9525,2,0),"")</f>
        <v>т7</v>
      </c>
      <c r="C62" s="12" t="str">
        <f>IFERROR(VLOOKUP(D62,'[1]Перечень товаров'!$A$2:$I9525,3,0),"")</f>
        <v xml:space="preserve">Техника </v>
      </c>
      <c r="D62" s="35" t="s">
        <v>34</v>
      </c>
      <c r="E62" s="23"/>
      <c r="F62" s="23"/>
      <c r="G62" s="48">
        <v>1</v>
      </c>
      <c r="H62" s="48"/>
      <c r="I62" s="49"/>
      <c r="J62" s="49"/>
      <c r="K62" s="33"/>
      <c r="L62" s="20"/>
      <c r="M62" s="10"/>
      <c r="N62" s="10"/>
      <c r="O62" s="10"/>
      <c r="P62" s="10"/>
      <c r="Q62" s="10"/>
      <c r="R62" s="10"/>
      <c r="S62" s="10"/>
      <c r="T62" s="10"/>
      <c r="U62" s="10"/>
      <c r="V62" s="10"/>
      <c r="W62" s="10"/>
      <c r="X62" s="10"/>
      <c r="Y62" s="10"/>
      <c r="Z62" s="10"/>
      <c r="AA62" s="10"/>
      <c r="AB62" s="10"/>
      <c r="AC62" s="10"/>
      <c r="AD62" s="10"/>
      <c r="AE62" s="10"/>
      <c r="AF62" s="10"/>
      <c r="AG62" s="10"/>
      <c r="AH62" s="10"/>
    </row>
    <row r="63" spans="1:34" hidden="1" outlineLevel="2">
      <c r="A63" s="34"/>
      <c r="B63" s="12" t="str">
        <f>IFERROR(VLOOKUP(D63,'[1]Перечень товаров'!$A$2:$I9525,2,0),"")</f>
        <v>т8</v>
      </c>
      <c r="C63" s="12" t="str">
        <f>IFERROR(VLOOKUP(D63,'[1]Перечень товаров'!$A$2:$I9525,3,0),"")</f>
        <v xml:space="preserve">Техника </v>
      </c>
      <c r="D63" s="35" t="s">
        <v>35</v>
      </c>
      <c r="E63" s="23"/>
      <c r="F63" s="23"/>
      <c r="G63" s="48">
        <v>1</v>
      </c>
      <c r="H63" s="48"/>
      <c r="I63" s="49"/>
      <c r="J63" s="49"/>
      <c r="K63" s="33"/>
      <c r="L63" s="20"/>
      <c r="M63" s="10"/>
      <c r="N63" s="10"/>
      <c r="O63" s="10"/>
      <c r="P63" s="10"/>
      <c r="Q63" s="10"/>
      <c r="R63" s="10"/>
      <c r="S63" s="10"/>
      <c r="T63" s="10"/>
      <c r="U63" s="10"/>
      <c r="V63" s="10"/>
      <c r="W63" s="10"/>
      <c r="X63" s="10"/>
      <c r="Y63" s="10"/>
      <c r="Z63" s="10"/>
      <c r="AA63" s="10"/>
      <c r="AB63" s="10"/>
      <c r="AC63" s="10"/>
      <c r="AD63" s="10"/>
      <c r="AE63" s="10"/>
      <c r="AF63" s="10"/>
      <c r="AG63" s="10"/>
      <c r="AH63" s="10"/>
    </row>
    <row r="64" spans="1:34" ht="15" hidden="1" outlineLevel="2">
      <c r="A64" s="50"/>
      <c r="B64" s="12" t="str">
        <f>IFERROR(VLOOKUP(D64,'[1]Перечень товаров'!$A$2:$I9525,2,0),"")</f>
        <v/>
      </c>
      <c r="C64" s="12" t="str">
        <f>IFERROR(VLOOKUP(D64,'[1]Перечень товаров'!$A$2:$I9525,3,0),"")</f>
        <v/>
      </c>
      <c r="D64" s="51" t="s">
        <v>19</v>
      </c>
      <c r="E64" s="61"/>
      <c r="F64" s="61"/>
      <c r="G64" s="52"/>
      <c r="H64" s="52"/>
      <c r="I64" s="53"/>
      <c r="J64" s="53"/>
      <c r="K64" s="42"/>
      <c r="L64" s="20"/>
      <c r="M64" s="10"/>
      <c r="N64" s="10"/>
      <c r="O64" s="10"/>
      <c r="P64" s="10"/>
      <c r="Q64" s="10"/>
      <c r="R64" s="10"/>
      <c r="S64" s="10"/>
      <c r="T64" s="10"/>
      <c r="U64" s="10"/>
      <c r="V64" s="10"/>
      <c r="W64" s="10"/>
      <c r="X64" s="10"/>
      <c r="Y64" s="10"/>
      <c r="Z64" s="10"/>
      <c r="AA64" s="10"/>
      <c r="AB64" s="10"/>
      <c r="AC64" s="10"/>
      <c r="AD64" s="10"/>
      <c r="AE64" s="10"/>
      <c r="AF64" s="10"/>
      <c r="AG64" s="10"/>
      <c r="AH64" s="10"/>
    </row>
    <row r="65" spans="1:34" ht="31.5" hidden="1" outlineLevel="2">
      <c r="A65" s="34"/>
      <c r="B65" s="12" t="str">
        <f>IFERROR(VLOOKUP(D65,'[1]Перечень товаров'!$A$2:$I9525,2,0),"")</f>
        <v>м16</v>
      </c>
      <c r="C65" s="12" t="str">
        <f>IFERROR(VLOOKUP(D65,'[1]Перечень товаров'!$A$2:$I9525,3,0),"")</f>
        <v>Мебель</v>
      </c>
      <c r="D65" s="35" t="s">
        <v>50</v>
      </c>
      <c r="E65" s="23"/>
      <c r="F65" s="23"/>
      <c r="G65" s="48">
        <v>1</v>
      </c>
      <c r="H65" s="48"/>
      <c r="I65" s="49"/>
      <c r="J65" s="49"/>
      <c r="K65" s="33"/>
      <c r="L65" s="20"/>
      <c r="M65" s="10"/>
      <c r="N65" s="10"/>
      <c r="O65" s="10"/>
      <c r="P65" s="10"/>
      <c r="Q65" s="10"/>
      <c r="R65" s="10"/>
      <c r="S65" s="10"/>
      <c r="T65" s="10"/>
      <c r="U65" s="10"/>
      <c r="V65" s="10"/>
      <c r="W65" s="10"/>
      <c r="X65" s="10"/>
      <c r="Y65" s="10"/>
      <c r="Z65" s="10"/>
      <c r="AA65" s="10"/>
      <c r="AB65" s="10"/>
      <c r="AC65" s="10"/>
      <c r="AD65" s="10"/>
      <c r="AE65" s="10"/>
      <c r="AF65" s="10"/>
      <c r="AG65" s="10"/>
      <c r="AH65" s="10"/>
    </row>
    <row r="66" spans="1:34" hidden="1" outlineLevel="2">
      <c r="A66" s="34"/>
      <c r="B66" s="12" t="str">
        <f>IFERROR(VLOOKUP(D66,'[1]Перечень товаров'!$A$2:$I9525,2,0),"")</f>
        <v>м13</v>
      </c>
      <c r="C66" s="12" t="str">
        <f>IFERROR(VLOOKUP(D66,'[1]Перечень товаров'!$A$2:$I9525,3,0),"")</f>
        <v>Мебель</v>
      </c>
      <c r="D66" s="35" t="s">
        <v>42</v>
      </c>
      <c r="E66" s="23"/>
      <c r="F66" s="23"/>
      <c r="G66" s="48">
        <v>1</v>
      </c>
      <c r="H66" s="48"/>
      <c r="I66" s="49"/>
      <c r="J66" s="49"/>
      <c r="K66" s="33"/>
      <c r="L66" s="20"/>
      <c r="M66" s="10"/>
      <c r="N66" s="10"/>
      <c r="O66" s="10"/>
      <c r="P66" s="10"/>
      <c r="Q66" s="10"/>
      <c r="R66" s="10"/>
      <c r="S66" s="10"/>
      <c r="T66" s="10"/>
      <c r="U66" s="10"/>
      <c r="V66" s="10"/>
      <c r="W66" s="10"/>
      <c r="X66" s="10"/>
      <c r="Y66" s="10"/>
      <c r="Z66" s="10"/>
      <c r="AA66" s="10"/>
      <c r="AB66" s="10"/>
      <c r="AC66" s="10"/>
      <c r="AD66" s="10"/>
      <c r="AE66" s="10"/>
      <c r="AF66" s="10"/>
      <c r="AG66" s="10"/>
      <c r="AH66" s="10"/>
    </row>
    <row r="67" spans="1:34" hidden="1" outlineLevel="2">
      <c r="A67" s="34"/>
      <c r="B67" s="12" t="str">
        <f>IFERROR(VLOOKUP(D67,'[1]Перечень товаров'!$A$2:$I9525,2,0),"")</f>
        <v>м14</v>
      </c>
      <c r="C67" s="12" t="str">
        <f>IFERROR(VLOOKUP(D67,'[1]Перечень товаров'!$A$2:$I9525,3,0),"")</f>
        <v>Мебель</v>
      </c>
      <c r="D67" s="35" t="s">
        <v>43</v>
      </c>
      <c r="E67" s="23"/>
      <c r="F67" s="23"/>
      <c r="G67" s="48">
        <v>1</v>
      </c>
      <c r="H67" s="48"/>
      <c r="I67" s="49"/>
      <c r="J67" s="49"/>
      <c r="K67" s="33"/>
      <c r="L67" s="20"/>
      <c r="M67" s="10"/>
      <c r="N67" s="10"/>
      <c r="O67" s="10"/>
      <c r="P67" s="10"/>
      <c r="Q67" s="10"/>
      <c r="R67" s="10"/>
      <c r="S67" s="10"/>
      <c r="T67" s="10"/>
      <c r="U67" s="10"/>
      <c r="V67" s="10"/>
      <c r="W67" s="10"/>
      <c r="X67" s="10"/>
      <c r="Y67" s="10"/>
      <c r="Z67" s="10"/>
      <c r="AA67" s="10"/>
      <c r="AB67" s="10"/>
      <c r="AC67" s="10"/>
      <c r="AD67" s="10"/>
      <c r="AE67" s="10"/>
      <c r="AF67" s="10"/>
      <c r="AG67" s="10"/>
      <c r="AH67" s="10"/>
    </row>
    <row r="68" spans="1:34" hidden="1" outlineLevel="2">
      <c r="A68" s="34"/>
      <c r="B68" s="12" t="str">
        <f>IFERROR(VLOOKUP(D68,'[1]Перечень товаров'!$A$2:$I9525,2,0),"")</f>
        <v>м17</v>
      </c>
      <c r="C68" s="12" t="str">
        <f>IFERROR(VLOOKUP(D68,'[1]Перечень товаров'!$A$2:$I9525,3,0),"")</f>
        <v>Мебель</v>
      </c>
      <c r="D68" s="35" t="s">
        <v>51</v>
      </c>
      <c r="E68" s="23"/>
      <c r="F68" s="23"/>
      <c r="G68" s="48">
        <v>1</v>
      </c>
      <c r="H68" s="48"/>
      <c r="I68" s="49"/>
      <c r="J68" s="49"/>
      <c r="K68" s="33"/>
      <c r="L68" s="20"/>
      <c r="M68" s="10"/>
      <c r="N68" s="10"/>
      <c r="O68" s="10"/>
      <c r="P68" s="10"/>
      <c r="Q68" s="10"/>
      <c r="R68" s="10"/>
      <c r="S68" s="10"/>
      <c r="T68" s="10"/>
      <c r="U68" s="10"/>
      <c r="V68" s="10"/>
      <c r="W68" s="10"/>
      <c r="X68" s="10"/>
      <c r="Y68" s="10"/>
      <c r="Z68" s="10"/>
      <c r="AA68" s="10"/>
      <c r="AB68" s="10"/>
      <c r="AC68" s="10"/>
      <c r="AD68" s="10"/>
      <c r="AE68" s="10"/>
      <c r="AF68" s="10"/>
      <c r="AG68" s="10"/>
      <c r="AH68" s="10"/>
    </row>
    <row r="69" spans="1:34" hidden="1" outlineLevel="2">
      <c r="A69" s="35"/>
      <c r="B69" s="12" t="str">
        <f>IFERROR(VLOOKUP(D69,'[1]Перечень товаров'!$A$2:$I9525,2,0),"")</f>
        <v>м18</v>
      </c>
      <c r="C69" s="12" t="str">
        <f>IFERROR(VLOOKUP(D69,'[1]Перечень товаров'!$A$2:$I9525,3,0),"")</f>
        <v>Мебель</v>
      </c>
      <c r="D69" s="35" t="s">
        <v>52</v>
      </c>
      <c r="E69" s="23"/>
      <c r="F69" s="23"/>
      <c r="G69" s="48">
        <v>1</v>
      </c>
      <c r="H69" s="48"/>
      <c r="I69" s="49"/>
      <c r="J69" s="49"/>
      <c r="K69" s="33"/>
      <c r="L69" s="20"/>
      <c r="M69" s="10"/>
      <c r="N69" s="10"/>
      <c r="O69" s="10"/>
      <c r="P69" s="10"/>
      <c r="Q69" s="10"/>
      <c r="R69" s="10"/>
      <c r="S69" s="10"/>
      <c r="T69" s="10"/>
      <c r="U69" s="10"/>
      <c r="V69" s="10"/>
      <c r="W69" s="10"/>
      <c r="X69" s="10"/>
      <c r="Y69" s="10"/>
      <c r="Z69" s="10"/>
      <c r="AA69" s="10"/>
      <c r="AB69" s="10"/>
      <c r="AC69" s="10"/>
      <c r="AD69" s="10"/>
      <c r="AE69" s="10"/>
      <c r="AF69" s="10"/>
      <c r="AG69" s="10"/>
      <c r="AH69" s="10"/>
    </row>
    <row r="70" spans="1:34" hidden="1" outlineLevel="2">
      <c r="A70" s="35"/>
      <c r="B70" s="12" t="str">
        <f>IFERROR(VLOOKUP(D70,'[1]Перечень товаров'!$A$2:$I9525,2,0),"")</f>
        <v>м19</v>
      </c>
      <c r="C70" s="12" t="str">
        <f>IFERROR(VLOOKUP(D70,'[1]Перечень товаров'!$A$2:$I9525,3,0),"")</f>
        <v>Мебель</v>
      </c>
      <c r="D70" s="35" t="s">
        <v>53</v>
      </c>
      <c r="E70" s="23"/>
      <c r="F70" s="23"/>
      <c r="G70" s="48">
        <v>2</v>
      </c>
      <c r="H70" s="48"/>
      <c r="I70" s="49"/>
      <c r="J70" s="49"/>
      <c r="K70" s="33"/>
      <c r="L70" s="20"/>
      <c r="M70" s="10"/>
      <c r="N70" s="10"/>
      <c r="O70" s="10"/>
      <c r="P70" s="10"/>
      <c r="Q70" s="10"/>
      <c r="R70" s="10"/>
      <c r="S70" s="10"/>
      <c r="T70" s="10"/>
      <c r="U70" s="10"/>
      <c r="V70" s="10"/>
      <c r="W70" s="10"/>
      <c r="X70" s="10"/>
      <c r="Y70" s="10"/>
      <c r="Z70" s="10"/>
      <c r="AA70" s="10"/>
      <c r="AB70" s="10"/>
      <c r="AC70" s="10"/>
      <c r="AD70" s="10"/>
      <c r="AE70" s="10"/>
      <c r="AF70" s="10"/>
      <c r="AG70" s="10"/>
      <c r="AH70" s="10"/>
    </row>
    <row r="71" spans="1:34" ht="12.75" hidden="1" outlineLevel="1">
      <c r="A71" s="11"/>
      <c r="B71" s="12" t="str">
        <f>IFERROR(VLOOKUP(D71,'[1]Перечень товаров'!$A$2:$I9525,2,0),"")</f>
        <v/>
      </c>
      <c r="C71" s="12" t="str">
        <f>IFERROR(VLOOKUP(D71,'[1]Перечень товаров'!$A$2:$I9525,3,0),"")</f>
        <v/>
      </c>
      <c r="D71" s="27" t="s">
        <v>54</v>
      </c>
      <c r="E71" s="14">
        <v>21.1</v>
      </c>
      <c r="F71" s="14"/>
      <c r="G71" s="16"/>
      <c r="H71" s="16"/>
      <c r="I71" s="18"/>
      <c r="J71" s="18"/>
      <c r="K71" s="19"/>
      <c r="L71" s="20"/>
      <c r="M71" s="10"/>
      <c r="N71" s="10"/>
      <c r="O71" s="10"/>
      <c r="P71" s="10"/>
      <c r="Q71" s="10"/>
      <c r="R71" s="10"/>
      <c r="S71" s="10"/>
      <c r="T71" s="10"/>
      <c r="U71" s="10"/>
      <c r="V71" s="10"/>
      <c r="W71" s="10"/>
      <c r="X71" s="10"/>
      <c r="Y71" s="10"/>
      <c r="Z71" s="10"/>
      <c r="AA71" s="10"/>
      <c r="AB71" s="10"/>
      <c r="AC71" s="10"/>
      <c r="AD71" s="10"/>
      <c r="AE71" s="10"/>
      <c r="AF71" s="10"/>
      <c r="AG71" s="10"/>
      <c r="AH71" s="10"/>
    </row>
    <row r="72" spans="1:34" hidden="1" outlineLevel="2">
      <c r="A72" s="34"/>
      <c r="B72" s="12" t="str">
        <f>IFERROR(VLOOKUP(D72,'[1]Перечень товаров'!$A$2:$I9525,2,0),"")</f>
        <v>т1</v>
      </c>
      <c r="C72" s="12" t="str">
        <f>IFERROR(VLOOKUP(D72,'[1]Перечень товаров'!$A$2:$I9525,3,0),"")</f>
        <v xml:space="preserve">Техника </v>
      </c>
      <c r="D72" s="35" t="s">
        <v>28</v>
      </c>
      <c r="E72" s="23"/>
      <c r="F72" s="23"/>
      <c r="G72" s="48">
        <v>1</v>
      </c>
      <c r="H72" s="48"/>
      <c r="I72" s="49"/>
      <c r="J72" s="49"/>
      <c r="K72" s="33"/>
      <c r="L72" s="20"/>
      <c r="M72" s="10"/>
      <c r="N72" s="10"/>
      <c r="O72" s="10"/>
      <c r="P72" s="10"/>
      <c r="Q72" s="10"/>
      <c r="R72" s="10"/>
      <c r="S72" s="10"/>
      <c r="T72" s="10"/>
      <c r="U72" s="10"/>
      <c r="V72" s="10"/>
      <c r="W72" s="10"/>
      <c r="X72" s="10"/>
      <c r="Y72" s="10"/>
      <c r="Z72" s="10"/>
      <c r="AA72" s="10"/>
      <c r="AB72" s="10"/>
      <c r="AC72" s="10"/>
      <c r="AD72" s="10"/>
      <c r="AE72" s="10"/>
      <c r="AF72" s="10"/>
      <c r="AG72" s="10"/>
      <c r="AH72" s="10"/>
    </row>
    <row r="73" spans="1:34" hidden="1" outlineLevel="2">
      <c r="A73" s="35"/>
      <c r="B73" s="12" t="str">
        <f>IFERROR(VLOOKUP(D73,'[1]Перечень товаров'!$A$2:$I9525,2,0),"")</f>
        <v>т2</v>
      </c>
      <c r="C73" s="12" t="str">
        <f>IFERROR(VLOOKUP(D73,'[1]Перечень товаров'!$A$2:$I9525,3,0),"")</f>
        <v xml:space="preserve">Техника </v>
      </c>
      <c r="D73" s="35" t="s">
        <v>29</v>
      </c>
      <c r="E73" s="23"/>
      <c r="F73" s="23"/>
      <c r="G73" s="48">
        <v>1</v>
      </c>
      <c r="H73" s="48"/>
      <c r="I73" s="49"/>
      <c r="J73" s="49"/>
      <c r="K73" s="33"/>
      <c r="L73" s="20"/>
      <c r="M73" s="10"/>
      <c r="N73" s="10"/>
      <c r="O73" s="10"/>
      <c r="P73" s="10"/>
      <c r="Q73" s="10"/>
      <c r="R73" s="10"/>
      <c r="S73" s="10"/>
      <c r="T73" s="10"/>
      <c r="U73" s="10"/>
      <c r="V73" s="10"/>
      <c r="W73" s="10"/>
      <c r="X73" s="10"/>
      <c r="Y73" s="10"/>
      <c r="Z73" s="10"/>
      <c r="AA73" s="10"/>
      <c r="AB73" s="10"/>
      <c r="AC73" s="10"/>
      <c r="AD73" s="10"/>
      <c r="AE73" s="10"/>
      <c r="AF73" s="10"/>
      <c r="AG73" s="10"/>
      <c r="AH73" s="10"/>
    </row>
    <row r="74" spans="1:34" hidden="1" outlineLevel="2">
      <c r="A74" s="35"/>
      <c r="B74" s="12" t="str">
        <f>IFERROR(VLOOKUP(D74,'[1]Перечень товаров'!$A$2:$I9525,2,0),"")</f>
        <v>т3</v>
      </c>
      <c r="C74" s="12" t="str">
        <f>IFERROR(VLOOKUP(D74,'[1]Перечень товаров'!$A$2:$I9525,3,0),"")</f>
        <v xml:space="preserve">Техника </v>
      </c>
      <c r="D74" s="35" t="s">
        <v>30</v>
      </c>
      <c r="E74" s="23"/>
      <c r="F74" s="23"/>
      <c r="G74" s="48">
        <v>1</v>
      </c>
      <c r="H74" s="48"/>
      <c r="I74" s="49"/>
      <c r="J74" s="49"/>
      <c r="K74" s="33"/>
      <c r="L74" s="20"/>
      <c r="M74" s="10"/>
      <c r="N74" s="10"/>
      <c r="O74" s="10"/>
      <c r="P74" s="10"/>
      <c r="Q74" s="10"/>
      <c r="R74" s="10"/>
      <c r="S74" s="10"/>
      <c r="T74" s="10"/>
      <c r="U74" s="10"/>
      <c r="V74" s="10"/>
      <c r="W74" s="10"/>
      <c r="X74" s="10"/>
      <c r="Y74" s="10"/>
      <c r="Z74" s="10"/>
      <c r="AA74" s="10"/>
      <c r="AB74" s="10"/>
      <c r="AC74" s="10"/>
      <c r="AD74" s="10"/>
      <c r="AE74" s="10"/>
      <c r="AF74" s="10"/>
      <c r="AG74" s="10"/>
      <c r="AH74" s="10"/>
    </row>
    <row r="75" spans="1:34" hidden="1" outlineLevel="2">
      <c r="A75" s="35"/>
      <c r="B75" s="12" t="str">
        <f>IFERROR(VLOOKUP(D75,'[1]Перечень товаров'!$A$2:$I9525,2,0),"")</f>
        <v>т4</v>
      </c>
      <c r="C75" s="12" t="str">
        <f>IFERROR(VLOOKUP(D75,'[1]Перечень товаров'!$A$2:$I9525,3,0),"")</f>
        <v xml:space="preserve">Техника </v>
      </c>
      <c r="D75" s="35" t="s">
        <v>31</v>
      </c>
      <c r="E75" s="23"/>
      <c r="F75" s="23"/>
      <c r="G75" s="48">
        <v>1</v>
      </c>
      <c r="H75" s="48"/>
      <c r="I75" s="49"/>
      <c r="J75" s="49"/>
      <c r="K75" s="33"/>
      <c r="L75" s="20"/>
      <c r="M75" s="10"/>
      <c r="N75" s="10"/>
      <c r="O75" s="10"/>
      <c r="P75" s="10"/>
      <c r="Q75" s="10"/>
      <c r="R75" s="10"/>
      <c r="S75" s="10"/>
      <c r="T75" s="10"/>
      <c r="U75" s="10"/>
      <c r="V75" s="10"/>
      <c r="W75" s="10"/>
      <c r="X75" s="10"/>
      <c r="Y75" s="10"/>
      <c r="Z75" s="10"/>
      <c r="AA75" s="10"/>
      <c r="AB75" s="10"/>
      <c r="AC75" s="10"/>
      <c r="AD75" s="10"/>
      <c r="AE75" s="10"/>
      <c r="AF75" s="10"/>
      <c r="AG75" s="10"/>
      <c r="AH75" s="10"/>
    </row>
    <row r="76" spans="1:34" hidden="1" outlineLevel="2">
      <c r="A76" s="34"/>
      <c r="B76" s="12" t="str">
        <f>IFERROR(VLOOKUP(D76,'[1]Перечень товаров'!$A$2:$I9525,2,0),"")</f>
        <v>т12</v>
      </c>
      <c r="C76" s="12" t="str">
        <f>IFERROR(VLOOKUP(D76,'[1]Перечень товаров'!$A$2:$I9525,3,0),"")</f>
        <v>Техника</v>
      </c>
      <c r="D76" s="35" t="s">
        <v>49</v>
      </c>
      <c r="E76" s="23"/>
      <c r="F76" s="23"/>
      <c r="G76" s="48">
        <v>1</v>
      </c>
      <c r="H76" s="48"/>
      <c r="I76" s="49"/>
      <c r="J76" s="49"/>
      <c r="K76" s="33"/>
      <c r="L76" s="20"/>
      <c r="M76" s="10"/>
      <c r="N76" s="10"/>
      <c r="O76" s="10"/>
      <c r="P76" s="10"/>
      <c r="Q76" s="10"/>
      <c r="R76" s="10"/>
      <c r="S76" s="10"/>
      <c r="T76" s="10"/>
      <c r="U76" s="10"/>
      <c r="V76" s="10"/>
      <c r="W76" s="10"/>
      <c r="X76" s="10"/>
      <c r="Y76" s="10"/>
      <c r="Z76" s="10"/>
      <c r="AA76" s="10"/>
      <c r="AB76" s="10"/>
      <c r="AC76" s="10"/>
      <c r="AD76" s="10"/>
      <c r="AE76" s="10"/>
      <c r="AF76" s="10"/>
      <c r="AG76" s="10"/>
      <c r="AH76" s="10"/>
    </row>
    <row r="77" spans="1:34" hidden="1" outlineLevel="2">
      <c r="A77" s="35"/>
      <c r="B77" s="12" t="str">
        <f>IFERROR(VLOOKUP(D77,'[1]Перечень товаров'!$A$2:$I9525,2,0),"")</f>
        <v>т6</v>
      </c>
      <c r="C77" s="12" t="str">
        <f>IFERROR(VLOOKUP(D77,'[1]Перечень товаров'!$A$2:$I9525,3,0),"")</f>
        <v xml:space="preserve">Техника </v>
      </c>
      <c r="D77" s="35" t="s">
        <v>33</v>
      </c>
      <c r="E77" s="23"/>
      <c r="F77" s="23"/>
      <c r="G77" s="48">
        <v>1</v>
      </c>
      <c r="H77" s="48"/>
      <c r="I77" s="49"/>
      <c r="J77" s="49"/>
      <c r="K77" s="33"/>
      <c r="L77" s="20"/>
      <c r="M77" s="10"/>
      <c r="N77" s="10"/>
      <c r="O77" s="10"/>
      <c r="P77" s="10"/>
      <c r="Q77" s="10"/>
      <c r="R77" s="10"/>
      <c r="S77" s="10"/>
      <c r="T77" s="10"/>
      <c r="U77" s="10"/>
      <c r="V77" s="10"/>
      <c r="W77" s="10"/>
      <c r="X77" s="10"/>
      <c r="Y77" s="10"/>
      <c r="Z77" s="10"/>
      <c r="AA77" s="10"/>
      <c r="AB77" s="10"/>
      <c r="AC77" s="10"/>
      <c r="AD77" s="10"/>
      <c r="AE77" s="10"/>
      <c r="AF77" s="10"/>
      <c r="AG77" s="10"/>
      <c r="AH77" s="10"/>
    </row>
    <row r="78" spans="1:34" hidden="1" outlineLevel="2">
      <c r="A78" s="34"/>
      <c r="B78" s="12" t="str">
        <f>IFERROR(VLOOKUP(D78,'[1]Перечень товаров'!$A$2:$I9525,2,0),"")</f>
        <v>т7</v>
      </c>
      <c r="C78" s="12" t="str">
        <f>IFERROR(VLOOKUP(D78,'[1]Перечень товаров'!$A$2:$I9525,3,0),"")</f>
        <v xml:space="preserve">Техника </v>
      </c>
      <c r="D78" s="35" t="s">
        <v>34</v>
      </c>
      <c r="E78" s="23"/>
      <c r="F78" s="23"/>
      <c r="G78" s="48">
        <v>1</v>
      </c>
      <c r="H78" s="48"/>
      <c r="I78" s="49"/>
      <c r="J78" s="49"/>
      <c r="K78" s="33"/>
      <c r="L78" s="20"/>
      <c r="M78" s="10"/>
      <c r="N78" s="10"/>
      <c r="O78" s="10"/>
      <c r="P78" s="10"/>
      <c r="Q78" s="10"/>
      <c r="R78" s="10"/>
      <c r="S78" s="10"/>
      <c r="T78" s="10"/>
      <c r="U78" s="10"/>
      <c r="V78" s="10"/>
      <c r="W78" s="10"/>
      <c r="X78" s="10"/>
      <c r="Y78" s="10"/>
      <c r="Z78" s="10"/>
      <c r="AA78" s="10"/>
      <c r="AB78" s="10"/>
      <c r="AC78" s="10"/>
      <c r="AD78" s="10"/>
      <c r="AE78" s="10"/>
      <c r="AF78" s="10"/>
      <c r="AG78" s="10"/>
      <c r="AH78" s="10"/>
    </row>
    <row r="79" spans="1:34" hidden="1" outlineLevel="2">
      <c r="A79" s="34"/>
      <c r="B79" s="12" t="str">
        <f>IFERROR(VLOOKUP(D79,'[1]Перечень товаров'!$A$2:$I9525,2,0),"")</f>
        <v>т8</v>
      </c>
      <c r="C79" s="12" t="str">
        <f>IFERROR(VLOOKUP(D79,'[1]Перечень товаров'!$A$2:$I9525,3,0),"")</f>
        <v xml:space="preserve">Техника </v>
      </c>
      <c r="D79" s="35" t="s">
        <v>35</v>
      </c>
      <c r="E79" s="23"/>
      <c r="F79" s="23"/>
      <c r="G79" s="48">
        <v>1</v>
      </c>
      <c r="H79" s="48"/>
      <c r="I79" s="49"/>
      <c r="J79" s="49"/>
      <c r="K79" s="33"/>
      <c r="L79" s="20"/>
      <c r="M79" s="10"/>
      <c r="N79" s="10"/>
      <c r="O79" s="10"/>
      <c r="P79" s="10"/>
      <c r="Q79" s="10"/>
      <c r="R79" s="10"/>
      <c r="S79" s="10"/>
      <c r="T79" s="10"/>
      <c r="U79" s="10"/>
      <c r="V79" s="10"/>
      <c r="W79" s="10"/>
      <c r="X79" s="10"/>
      <c r="Y79" s="10"/>
      <c r="Z79" s="10"/>
      <c r="AA79" s="10"/>
      <c r="AB79" s="10"/>
      <c r="AC79" s="10"/>
      <c r="AD79" s="10"/>
      <c r="AE79" s="10"/>
      <c r="AF79" s="10"/>
      <c r="AG79" s="10"/>
      <c r="AH79" s="10"/>
    </row>
    <row r="80" spans="1:34" ht="15" hidden="1" outlineLevel="2">
      <c r="A80" s="50"/>
      <c r="B80" s="12" t="str">
        <f>IFERROR(VLOOKUP(D80,'[1]Перечень товаров'!$A$2:$I9525,2,0),"")</f>
        <v/>
      </c>
      <c r="C80" s="12" t="str">
        <f>IFERROR(VLOOKUP(D80,'[1]Перечень товаров'!$A$2:$I9525,3,0),"")</f>
        <v/>
      </c>
      <c r="D80" s="51" t="s">
        <v>19</v>
      </c>
      <c r="E80" s="61"/>
      <c r="F80" s="61"/>
      <c r="G80" s="52"/>
      <c r="H80" s="52"/>
      <c r="I80" s="53"/>
      <c r="J80" s="53"/>
      <c r="K80" s="42"/>
      <c r="L80" s="20"/>
      <c r="M80" s="10"/>
      <c r="N80" s="10"/>
      <c r="O80" s="10"/>
      <c r="P80" s="10"/>
      <c r="Q80" s="10"/>
      <c r="R80" s="10"/>
      <c r="S80" s="10"/>
      <c r="T80" s="10"/>
      <c r="U80" s="10"/>
      <c r="V80" s="10"/>
      <c r="W80" s="10"/>
      <c r="X80" s="10"/>
      <c r="Y80" s="10"/>
      <c r="Z80" s="10"/>
      <c r="AA80" s="10"/>
      <c r="AB80" s="10"/>
      <c r="AC80" s="10"/>
      <c r="AD80" s="10"/>
      <c r="AE80" s="10"/>
      <c r="AF80" s="10"/>
      <c r="AG80" s="10"/>
      <c r="AH80" s="10"/>
    </row>
    <row r="81" spans="1:34" ht="31.5" hidden="1" outlineLevel="2">
      <c r="A81" s="34"/>
      <c r="B81" s="12" t="str">
        <f>IFERROR(VLOOKUP(D81,'[1]Перечень товаров'!$A$2:$I9525,2,0),"")</f>
        <v>м16</v>
      </c>
      <c r="C81" s="12" t="str">
        <f>IFERROR(VLOOKUP(D81,'[1]Перечень товаров'!$A$2:$I9525,3,0),"")</f>
        <v>Мебель</v>
      </c>
      <c r="D81" s="35" t="s">
        <v>50</v>
      </c>
      <c r="E81" s="23"/>
      <c r="F81" s="23"/>
      <c r="G81" s="48">
        <v>1</v>
      </c>
      <c r="H81" s="48"/>
      <c r="I81" s="49"/>
      <c r="J81" s="49"/>
      <c r="K81" s="33"/>
      <c r="L81" s="20"/>
      <c r="M81" s="10"/>
      <c r="N81" s="10"/>
      <c r="O81" s="10"/>
      <c r="P81" s="10"/>
      <c r="Q81" s="10"/>
      <c r="R81" s="10"/>
      <c r="S81" s="10"/>
      <c r="T81" s="10"/>
      <c r="U81" s="10"/>
      <c r="V81" s="10"/>
      <c r="W81" s="10"/>
      <c r="X81" s="10"/>
      <c r="Y81" s="10"/>
      <c r="Z81" s="10"/>
      <c r="AA81" s="10"/>
      <c r="AB81" s="10"/>
      <c r="AC81" s="10"/>
      <c r="AD81" s="10"/>
      <c r="AE81" s="10"/>
      <c r="AF81" s="10"/>
      <c r="AG81" s="10"/>
      <c r="AH81" s="10"/>
    </row>
    <row r="82" spans="1:34" hidden="1" outlineLevel="2">
      <c r="A82" s="34"/>
      <c r="B82" s="12" t="str">
        <f>IFERROR(VLOOKUP(D82,'[1]Перечень товаров'!$A$2:$I9525,2,0),"")</f>
        <v>м13</v>
      </c>
      <c r="C82" s="12" t="str">
        <f>IFERROR(VLOOKUP(D82,'[1]Перечень товаров'!$A$2:$I9525,3,0),"")</f>
        <v>Мебель</v>
      </c>
      <c r="D82" s="35" t="s">
        <v>42</v>
      </c>
      <c r="E82" s="23"/>
      <c r="F82" s="23"/>
      <c r="G82" s="48">
        <v>1</v>
      </c>
      <c r="H82" s="48"/>
      <c r="I82" s="49"/>
      <c r="J82" s="49"/>
      <c r="K82" s="33"/>
      <c r="L82" s="20"/>
      <c r="M82" s="10"/>
      <c r="N82" s="10"/>
      <c r="O82" s="10"/>
      <c r="P82" s="10"/>
      <c r="Q82" s="10"/>
      <c r="R82" s="10"/>
      <c r="S82" s="10"/>
      <c r="T82" s="10"/>
      <c r="U82" s="10"/>
      <c r="V82" s="10"/>
      <c r="W82" s="10"/>
      <c r="X82" s="10"/>
      <c r="Y82" s="10"/>
      <c r="Z82" s="10"/>
      <c r="AA82" s="10"/>
      <c r="AB82" s="10"/>
      <c r="AC82" s="10"/>
      <c r="AD82" s="10"/>
      <c r="AE82" s="10"/>
      <c r="AF82" s="10"/>
      <c r="AG82" s="10"/>
      <c r="AH82" s="10"/>
    </row>
    <row r="83" spans="1:34" hidden="1" outlineLevel="2">
      <c r="A83" s="34"/>
      <c r="B83" s="12" t="str">
        <f>IFERROR(VLOOKUP(D83,'[1]Перечень товаров'!$A$2:$I9525,2,0),"")</f>
        <v>м14</v>
      </c>
      <c r="C83" s="12" t="str">
        <f>IFERROR(VLOOKUP(D83,'[1]Перечень товаров'!$A$2:$I9525,3,0),"")</f>
        <v>Мебель</v>
      </c>
      <c r="D83" s="35" t="s">
        <v>43</v>
      </c>
      <c r="E83" s="23"/>
      <c r="F83" s="23"/>
      <c r="G83" s="48">
        <v>1</v>
      </c>
      <c r="H83" s="48"/>
      <c r="I83" s="49"/>
      <c r="J83" s="49"/>
      <c r="K83" s="33"/>
      <c r="L83" s="20"/>
      <c r="M83" s="10"/>
      <c r="N83" s="10"/>
      <c r="O83" s="10"/>
      <c r="P83" s="10"/>
      <c r="Q83" s="10"/>
      <c r="R83" s="10"/>
      <c r="S83" s="10"/>
      <c r="T83" s="10"/>
      <c r="U83" s="10"/>
      <c r="V83" s="10"/>
      <c r="W83" s="10"/>
      <c r="X83" s="10"/>
      <c r="Y83" s="10"/>
      <c r="Z83" s="10"/>
      <c r="AA83" s="10"/>
      <c r="AB83" s="10"/>
      <c r="AC83" s="10"/>
      <c r="AD83" s="10"/>
      <c r="AE83" s="10"/>
      <c r="AF83" s="10"/>
      <c r="AG83" s="10"/>
      <c r="AH83" s="10"/>
    </row>
    <row r="84" spans="1:34" hidden="1" outlineLevel="2">
      <c r="A84" s="34"/>
      <c r="B84" s="12" t="str">
        <f>IFERROR(VLOOKUP(D84,'[1]Перечень товаров'!$A$2:$I9525,2,0),"")</f>
        <v>м17</v>
      </c>
      <c r="C84" s="12" t="str">
        <f>IFERROR(VLOOKUP(D84,'[1]Перечень товаров'!$A$2:$I9525,3,0),"")</f>
        <v>Мебель</v>
      </c>
      <c r="D84" s="35" t="s">
        <v>51</v>
      </c>
      <c r="E84" s="23"/>
      <c r="F84" s="23"/>
      <c r="G84" s="48">
        <v>1</v>
      </c>
      <c r="H84" s="48"/>
      <c r="I84" s="49"/>
      <c r="J84" s="49"/>
      <c r="K84" s="33"/>
      <c r="L84" s="20"/>
      <c r="M84" s="10"/>
      <c r="N84" s="10"/>
      <c r="O84" s="10"/>
      <c r="P84" s="10"/>
      <c r="Q84" s="10"/>
      <c r="R84" s="10"/>
      <c r="S84" s="10"/>
      <c r="T84" s="10"/>
      <c r="U84" s="10"/>
      <c r="V84" s="10"/>
      <c r="W84" s="10"/>
      <c r="X84" s="10"/>
      <c r="Y84" s="10"/>
      <c r="Z84" s="10"/>
      <c r="AA84" s="10"/>
      <c r="AB84" s="10"/>
      <c r="AC84" s="10"/>
      <c r="AD84" s="10"/>
      <c r="AE84" s="10"/>
      <c r="AF84" s="10"/>
      <c r="AG84" s="10"/>
      <c r="AH84" s="10"/>
    </row>
    <row r="85" spans="1:34" hidden="1" outlineLevel="2">
      <c r="A85" s="35"/>
      <c r="B85" s="12" t="str">
        <f>IFERROR(VLOOKUP(D85,'[1]Перечень товаров'!$A$2:$I9525,2,0),"")</f>
        <v>м18</v>
      </c>
      <c r="C85" s="12" t="str">
        <f>IFERROR(VLOOKUP(D85,'[1]Перечень товаров'!$A$2:$I9525,3,0),"")</f>
        <v>Мебель</v>
      </c>
      <c r="D85" s="35" t="s">
        <v>52</v>
      </c>
      <c r="E85" s="23"/>
      <c r="F85" s="23"/>
      <c r="G85" s="48">
        <v>1</v>
      </c>
      <c r="H85" s="48"/>
      <c r="I85" s="49"/>
      <c r="J85" s="49"/>
      <c r="K85" s="33"/>
      <c r="L85" s="20"/>
      <c r="M85" s="10"/>
      <c r="N85" s="10"/>
      <c r="O85" s="10"/>
      <c r="P85" s="10"/>
      <c r="Q85" s="10"/>
      <c r="R85" s="10"/>
      <c r="S85" s="10"/>
      <c r="T85" s="10"/>
      <c r="U85" s="10"/>
      <c r="V85" s="10"/>
      <c r="W85" s="10"/>
      <c r="X85" s="10"/>
      <c r="Y85" s="10"/>
      <c r="Z85" s="10"/>
      <c r="AA85" s="10"/>
      <c r="AB85" s="10"/>
      <c r="AC85" s="10"/>
      <c r="AD85" s="10"/>
      <c r="AE85" s="10"/>
      <c r="AF85" s="10"/>
      <c r="AG85" s="10"/>
      <c r="AH85" s="10"/>
    </row>
    <row r="86" spans="1:34" hidden="1" outlineLevel="2">
      <c r="A86" s="35"/>
      <c r="B86" s="12" t="str">
        <f>IFERROR(VLOOKUP(D86,'[1]Перечень товаров'!$A$2:$I9525,2,0),"")</f>
        <v>м19</v>
      </c>
      <c r="C86" s="12" t="str">
        <f>IFERROR(VLOOKUP(D86,'[1]Перечень товаров'!$A$2:$I9525,3,0),"")</f>
        <v>Мебель</v>
      </c>
      <c r="D86" s="35" t="s">
        <v>53</v>
      </c>
      <c r="E86" s="23"/>
      <c r="F86" s="23"/>
      <c r="G86" s="48">
        <v>2</v>
      </c>
      <c r="H86" s="48"/>
      <c r="I86" s="49"/>
      <c r="J86" s="49"/>
      <c r="K86" s="33"/>
      <c r="L86" s="20"/>
      <c r="M86" s="10"/>
      <c r="N86" s="10"/>
      <c r="O86" s="10"/>
      <c r="P86" s="10"/>
      <c r="Q86" s="10"/>
      <c r="R86" s="10"/>
      <c r="S86" s="10"/>
      <c r="T86" s="10"/>
      <c r="U86" s="10"/>
      <c r="V86" s="10"/>
      <c r="W86" s="10"/>
      <c r="X86" s="10"/>
      <c r="Y86" s="10"/>
      <c r="Z86" s="10"/>
      <c r="AA86" s="10"/>
      <c r="AB86" s="10"/>
      <c r="AC86" s="10"/>
      <c r="AD86" s="10"/>
      <c r="AE86" s="10"/>
      <c r="AF86" s="10"/>
      <c r="AG86" s="10"/>
      <c r="AH86" s="10"/>
    </row>
    <row r="87" spans="1:34" ht="31.5" hidden="1" outlineLevel="2">
      <c r="A87" s="21"/>
      <c r="B87" s="12" t="str">
        <f>IFERROR(VLOOKUP(D87,'[1]Перечень товаров'!$A$2:$I9525,2,0),"")</f>
        <v/>
      </c>
      <c r="C87" s="12" t="str">
        <f>IFERROR(VLOOKUP(D87,'[1]Перечень товаров'!$A$2:$I9525,3,0),"")</f>
        <v/>
      </c>
      <c r="D87" s="22" t="s">
        <v>55</v>
      </c>
      <c r="E87" s="23">
        <v>22.1</v>
      </c>
      <c r="F87" s="23"/>
      <c r="G87" s="24"/>
      <c r="H87" s="24"/>
      <c r="I87" s="25"/>
      <c r="J87" s="25"/>
      <c r="K87" s="19"/>
      <c r="L87" s="20"/>
      <c r="M87" s="10"/>
      <c r="N87" s="10"/>
      <c r="O87" s="10"/>
      <c r="P87" s="10"/>
      <c r="Q87" s="10"/>
      <c r="R87" s="10"/>
      <c r="S87" s="10"/>
      <c r="T87" s="10"/>
      <c r="U87" s="10"/>
      <c r="V87" s="10"/>
      <c r="W87" s="10"/>
      <c r="X87" s="10"/>
      <c r="Y87" s="10"/>
      <c r="Z87" s="10"/>
      <c r="AA87" s="10"/>
      <c r="AB87" s="10"/>
      <c r="AC87" s="10"/>
      <c r="AD87" s="10"/>
      <c r="AE87" s="10"/>
      <c r="AF87" s="10"/>
      <c r="AG87" s="10"/>
      <c r="AH87" s="10"/>
    </row>
    <row r="88" spans="1:34" ht="12.75" hidden="1" outlineLevel="1">
      <c r="A88" s="11"/>
      <c r="B88" s="12" t="str">
        <f>IFERROR(VLOOKUP(D88,'[1]Перечень товаров'!$A$2:$I9525,2,0),"")</f>
        <v/>
      </c>
      <c r="C88" s="12" t="str">
        <f>IFERROR(VLOOKUP(D88,'[1]Перечень товаров'!$A$2:$I9525,3,0),"")</f>
        <v/>
      </c>
      <c r="D88" s="27" t="s">
        <v>56</v>
      </c>
      <c r="E88" s="14">
        <v>33.700000000000003</v>
      </c>
      <c r="F88" s="14"/>
      <c r="G88" s="16"/>
      <c r="H88" s="16"/>
      <c r="I88" s="18"/>
      <c r="J88" s="18"/>
      <c r="K88" s="19"/>
      <c r="L88" s="20"/>
      <c r="M88" s="10"/>
      <c r="N88" s="10"/>
      <c r="O88" s="10"/>
      <c r="P88" s="10"/>
      <c r="Q88" s="10"/>
      <c r="R88" s="10"/>
      <c r="S88" s="10"/>
      <c r="T88" s="10"/>
      <c r="U88" s="10"/>
      <c r="V88" s="10"/>
      <c r="W88" s="10"/>
      <c r="X88" s="10"/>
      <c r="Y88" s="10"/>
      <c r="Z88" s="10"/>
      <c r="AA88" s="10"/>
      <c r="AB88" s="10"/>
      <c r="AC88" s="10"/>
      <c r="AD88" s="10"/>
      <c r="AE88" s="10"/>
      <c r="AF88" s="10"/>
      <c r="AG88" s="10"/>
      <c r="AH88" s="10"/>
    </row>
    <row r="89" spans="1:34" hidden="1" outlineLevel="2">
      <c r="A89" s="21"/>
      <c r="B89" s="12" t="str">
        <f>IFERROR(VLOOKUP(D89,'[1]Перечень товаров'!$A$2:$I9525,2,0),"")</f>
        <v>т7</v>
      </c>
      <c r="C89" s="12" t="str">
        <f>IFERROR(VLOOKUP(D89,'[1]Перечень товаров'!$A$2:$I9525,3,0),"")</f>
        <v xml:space="preserve">Техника </v>
      </c>
      <c r="D89" s="22" t="s">
        <v>34</v>
      </c>
      <c r="E89" s="23"/>
      <c r="F89" s="23"/>
      <c r="G89" s="48">
        <v>3</v>
      </c>
      <c r="H89" s="48"/>
      <c r="I89" s="49"/>
      <c r="J89" s="49"/>
      <c r="K89" s="33"/>
      <c r="L89" s="20"/>
      <c r="M89" s="10"/>
      <c r="N89" s="10"/>
      <c r="O89" s="10"/>
      <c r="P89" s="10"/>
      <c r="Q89" s="10"/>
      <c r="R89" s="10"/>
      <c r="S89" s="10"/>
      <c r="T89" s="10"/>
      <c r="U89" s="10"/>
      <c r="V89" s="10"/>
      <c r="W89" s="10"/>
      <c r="X89" s="10"/>
      <c r="Y89" s="10"/>
      <c r="Z89" s="10"/>
      <c r="AA89" s="10"/>
      <c r="AB89" s="10"/>
      <c r="AC89" s="10"/>
      <c r="AD89" s="10"/>
      <c r="AE89" s="10"/>
      <c r="AF89" s="10"/>
      <c r="AG89" s="10"/>
      <c r="AH89" s="10"/>
    </row>
    <row r="90" spans="1:34" hidden="1" outlineLevel="2">
      <c r="A90" s="22"/>
      <c r="B90" s="12" t="str">
        <f>IFERROR(VLOOKUP(D90,'[1]Перечень товаров'!$A$2:$I9525,2,0),"")</f>
        <v>т9</v>
      </c>
      <c r="C90" s="12" t="str">
        <f>IFERROR(VLOOKUP(D90,'[1]Перечень товаров'!$A$2:$I9525,3,0),"")</f>
        <v>Техника</v>
      </c>
      <c r="D90" s="22" t="s">
        <v>36</v>
      </c>
      <c r="E90" s="23"/>
      <c r="F90" s="23"/>
      <c r="G90" s="48">
        <v>1</v>
      </c>
      <c r="H90" s="48"/>
      <c r="I90" s="49"/>
      <c r="J90" s="49"/>
      <c r="K90" s="33"/>
      <c r="L90" s="20"/>
      <c r="M90" s="10"/>
      <c r="N90" s="10"/>
      <c r="O90" s="10"/>
      <c r="P90" s="10"/>
      <c r="Q90" s="10"/>
      <c r="R90" s="10"/>
      <c r="S90" s="10"/>
      <c r="T90" s="10"/>
      <c r="U90" s="10"/>
      <c r="V90" s="10"/>
      <c r="W90" s="10"/>
      <c r="X90" s="10"/>
      <c r="Y90" s="10"/>
      <c r="Z90" s="10"/>
      <c r="AA90" s="10"/>
      <c r="AB90" s="10"/>
      <c r="AC90" s="10"/>
      <c r="AD90" s="10"/>
      <c r="AE90" s="10"/>
      <c r="AF90" s="10"/>
      <c r="AG90" s="10"/>
      <c r="AH90" s="10"/>
    </row>
    <row r="91" spans="1:34" hidden="1" outlineLevel="2">
      <c r="A91" s="22"/>
      <c r="B91" s="12" t="str">
        <f>IFERROR(VLOOKUP(D91,'[1]Перечень товаров'!$A$2:$I9525,2,0),"")</f>
        <v>т13</v>
      </c>
      <c r="C91" s="12" t="str">
        <f>IFERROR(VLOOKUP(D91,'[1]Перечень товаров'!$A$2:$I9525,3,0),"")</f>
        <v>Техника</v>
      </c>
      <c r="D91" s="22" t="s">
        <v>57</v>
      </c>
      <c r="E91" s="23"/>
      <c r="F91" s="23"/>
      <c r="G91" s="48">
        <v>1</v>
      </c>
      <c r="H91" s="48"/>
      <c r="I91" s="49"/>
      <c r="J91" s="49"/>
      <c r="K91" s="33"/>
      <c r="L91" s="20"/>
      <c r="M91" s="10"/>
      <c r="N91" s="10"/>
      <c r="O91" s="10"/>
      <c r="P91" s="10"/>
      <c r="Q91" s="10"/>
      <c r="R91" s="10"/>
      <c r="S91" s="10"/>
      <c r="T91" s="10"/>
      <c r="U91" s="10"/>
      <c r="V91" s="10"/>
      <c r="W91" s="10"/>
      <c r="X91" s="10"/>
      <c r="Y91" s="10"/>
      <c r="Z91" s="10"/>
      <c r="AA91" s="10"/>
      <c r="AB91" s="10"/>
      <c r="AC91" s="10"/>
      <c r="AD91" s="10"/>
      <c r="AE91" s="10"/>
      <c r="AF91" s="10"/>
      <c r="AG91" s="10"/>
      <c r="AH91" s="10"/>
    </row>
    <row r="92" spans="1:34" ht="12.75" hidden="1" outlineLevel="2">
      <c r="A92" s="62"/>
      <c r="B92" s="12" t="str">
        <f>IFERROR(VLOOKUP(D92,'[1]Перечень товаров'!$A$2:$I9525,2,0),"")</f>
        <v/>
      </c>
      <c r="C92" s="12" t="str">
        <f>IFERROR(VLOOKUP(D92,'[1]Перечень товаров'!$A$2:$I9525,3,0),"")</f>
        <v/>
      </c>
      <c r="D92" s="63"/>
      <c r="E92" s="15"/>
      <c r="F92" s="15"/>
      <c r="G92" s="52"/>
      <c r="H92" s="52"/>
      <c r="I92" s="53"/>
      <c r="J92" s="53"/>
      <c r="K92" s="42"/>
      <c r="L92" s="20"/>
      <c r="M92" s="10"/>
      <c r="N92" s="10"/>
      <c r="O92" s="10"/>
      <c r="P92" s="10"/>
      <c r="Q92" s="10"/>
      <c r="R92" s="10"/>
      <c r="S92" s="10"/>
      <c r="T92" s="10"/>
      <c r="U92" s="10"/>
      <c r="V92" s="10"/>
      <c r="W92" s="10"/>
      <c r="X92" s="10"/>
      <c r="Y92" s="10"/>
      <c r="Z92" s="10"/>
      <c r="AA92" s="10"/>
      <c r="AB92" s="10"/>
      <c r="AC92" s="10"/>
      <c r="AD92" s="10"/>
      <c r="AE92" s="10"/>
      <c r="AF92" s="10"/>
      <c r="AG92" s="10"/>
      <c r="AH92" s="10"/>
    </row>
    <row r="93" spans="1:34" hidden="1" outlineLevel="2">
      <c r="A93" s="21"/>
      <c r="B93" s="12" t="str">
        <f>IFERROR(VLOOKUP(D93,'[1]Перечень товаров'!$A$2:$I9525,2,0),"")</f>
        <v>м20</v>
      </c>
      <c r="C93" s="12" t="str">
        <f>IFERROR(VLOOKUP(D93,'[1]Перечень товаров'!$A$2:$I9525,3,0),"")</f>
        <v>Мебель</v>
      </c>
      <c r="D93" s="22" t="s">
        <v>25</v>
      </c>
      <c r="E93" s="23"/>
      <c r="F93" s="23"/>
      <c r="G93" s="48">
        <v>1</v>
      </c>
      <c r="H93" s="48"/>
      <c r="I93" s="49"/>
      <c r="J93" s="49"/>
      <c r="K93" s="33"/>
      <c r="L93" s="20"/>
      <c r="M93" s="10"/>
      <c r="N93" s="10"/>
      <c r="O93" s="10"/>
      <c r="P93" s="10"/>
      <c r="Q93" s="10"/>
      <c r="R93" s="10"/>
      <c r="S93" s="10"/>
      <c r="T93" s="10"/>
      <c r="U93" s="10"/>
      <c r="V93" s="10"/>
      <c r="W93" s="10"/>
      <c r="X93" s="10"/>
      <c r="Y93" s="10"/>
      <c r="Z93" s="10"/>
      <c r="AA93" s="10"/>
      <c r="AB93" s="10"/>
      <c r="AC93" s="10"/>
      <c r="AD93" s="10"/>
      <c r="AE93" s="10"/>
      <c r="AF93" s="10"/>
      <c r="AG93" s="10"/>
      <c r="AH93" s="10"/>
    </row>
    <row r="94" spans="1:34" hidden="1" outlineLevel="2">
      <c r="A94" s="22"/>
      <c r="B94" s="12" t="str">
        <f>IFERROR(VLOOKUP(D94,'[1]Перечень товаров'!$A$2:$I9525,2,0),"")</f>
        <v>м12</v>
      </c>
      <c r="C94" s="12" t="str">
        <f>IFERROR(VLOOKUP(D94,'[1]Перечень товаров'!$A$2:$I9525,3,0),"")</f>
        <v>Мебель</v>
      </c>
      <c r="D94" s="22" t="s">
        <v>21</v>
      </c>
      <c r="E94" s="23"/>
      <c r="F94" s="23"/>
      <c r="G94" s="48">
        <v>14</v>
      </c>
      <c r="H94" s="48"/>
      <c r="I94" s="49"/>
      <c r="J94" s="49"/>
      <c r="K94" s="33"/>
      <c r="L94" s="20"/>
      <c r="M94" s="10"/>
      <c r="N94" s="10"/>
      <c r="O94" s="10"/>
      <c r="P94" s="10"/>
      <c r="Q94" s="10"/>
      <c r="R94" s="10"/>
      <c r="S94" s="10"/>
      <c r="T94" s="10"/>
      <c r="U94" s="10"/>
      <c r="V94" s="10"/>
      <c r="W94" s="10"/>
      <c r="X94" s="10"/>
      <c r="Y94" s="10"/>
      <c r="Z94" s="10"/>
      <c r="AA94" s="10"/>
      <c r="AB94" s="10"/>
      <c r="AC94" s="10"/>
      <c r="AD94" s="10"/>
      <c r="AE94" s="10"/>
      <c r="AF94" s="10"/>
      <c r="AG94" s="10"/>
      <c r="AH94" s="10"/>
    </row>
    <row r="95" spans="1:34" ht="31.5" hidden="1" outlineLevel="2">
      <c r="A95" s="21"/>
      <c r="B95" s="12" t="str">
        <f>IFERROR(VLOOKUP(D95,'[1]Перечень товаров'!$A$2:$I9525,2,0),"")</f>
        <v>м21</v>
      </c>
      <c r="C95" s="12" t="str">
        <f>IFERROR(VLOOKUP(D95,'[1]Перечень товаров'!$A$2:$I9525,3,0),"")</f>
        <v>Мебель</v>
      </c>
      <c r="D95" s="22" t="s">
        <v>58</v>
      </c>
      <c r="E95" s="23"/>
      <c r="F95" s="23"/>
      <c r="G95" s="48">
        <v>1</v>
      </c>
      <c r="H95" s="48"/>
      <c r="I95" s="49"/>
      <c r="J95" s="49"/>
      <c r="K95" s="33"/>
      <c r="L95" s="20"/>
      <c r="M95" s="10"/>
      <c r="N95" s="10"/>
      <c r="O95" s="10"/>
      <c r="P95" s="10"/>
      <c r="Q95" s="10"/>
      <c r="R95" s="10"/>
      <c r="S95" s="10"/>
      <c r="T95" s="10"/>
      <c r="U95" s="10"/>
      <c r="V95" s="10"/>
      <c r="W95" s="10"/>
      <c r="X95" s="10"/>
      <c r="Y95" s="10"/>
      <c r="Z95" s="10"/>
      <c r="AA95" s="10"/>
      <c r="AB95" s="10"/>
      <c r="AC95" s="10"/>
      <c r="AD95" s="10"/>
      <c r="AE95" s="10"/>
      <c r="AF95" s="10"/>
      <c r="AG95" s="10"/>
      <c r="AH95" s="10"/>
    </row>
    <row r="96" spans="1:34" hidden="1" outlineLevel="2">
      <c r="A96" s="21"/>
      <c r="B96" s="12" t="str">
        <f>IFERROR(VLOOKUP(D96,'[1]Перечень товаров'!$A$2:$I9525,2,0),"")</f>
        <v>м13</v>
      </c>
      <c r="C96" s="12" t="str">
        <f>IFERROR(VLOOKUP(D96,'[1]Перечень товаров'!$A$2:$I9525,3,0),"")</f>
        <v>Мебель</v>
      </c>
      <c r="D96" s="22" t="s">
        <v>42</v>
      </c>
      <c r="E96" s="23"/>
      <c r="F96" s="23"/>
      <c r="G96" s="48">
        <v>1</v>
      </c>
      <c r="H96" s="48"/>
      <c r="I96" s="49"/>
      <c r="J96" s="49"/>
      <c r="K96" s="33"/>
      <c r="L96" s="20"/>
      <c r="M96" s="10"/>
      <c r="N96" s="10"/>
      <c r="O96" s="10"/>
      <c r="P96" s="10"/>
      <c r="Q96" s="10"/>
      <c r="R96" s="10"/>
      <c r="S96" s="10"/>
      <c r="T96" s="10"/>
      <c r="U96" s="10"/>
      <c r="V96" s="10"/>
      <c r="W96" s="10"/>
      <c r="X96" s="10"/>
      <c r="Y96" s="10"/>
      <c r="Z96" s="10"/>
      <c r="AA96" s="10"/>
      <c r="AB96" s="10"/>
      <c r="AC96" s="10"/>
      <c r="AD96" s="10"/>
      <c r="AE96" s="10"/>
      <c r="AF96" s="10"/>
      <c r="AG96" s="10"/>
      <c r="AH96" s="10"/>
    </row>
    <row r="97" spans="1:34" ht="31.5" hidden="1" outlineLevel="2">
      <c r="A97" s="21"/>
      <c r="B97" s="12" t="str">
        <f>IFERROR(VLOOKUP(D97,'[1]Перечень товаров'!$A$2:$I9525,2,0),"")</f>
        <v>д2</v>
      </c>
      <c r="C97" s="12" t="str">
        <f>IFERROR(VLOOKUP(D97,'[1]Перечень товаров'!$A$2:$I9525,3,0),"")</f>
        <v>Дидактика</v>
      </c>
      <c r="D97" s="22" t="s">
        <v>59</v>
      </c>
      <c r="E97" s="23"/>
      <c r="F97" s="23"/>
      <c r="G97" s="48">
        <v>1</v>
      </c>
      <c r="H97" s="48"/>
      <c r="I97" s="49"/>
      <c r="J97" s="49"/>
      <c r="K97" s="33"/>
      <c r="L97" s="20"/>
      <c r="M97" s="10"/>
      <c r="N97" s="10"/>
      <c r="O97" s="10"/>
      <c r="P97" s="10"/>
      <c r="Q97" s="10"/>
      <c r="R97" s="10"/>
      <c r="S97" s="10"/>
      <c r="T97" s="10"/>
      <c r="U97" s="10"/>
      <c r="V97" s="10"/>
      <c r="W97" s="10"/>
      <c r="X97" s="10"/>
      <c r="Y97" s="10"/>
      <c r="Z97" s="10"/>
      <c r="AA97" s="10"/>
      <c r="AB97" s="10"/>
      <c r="AC97" s="10"/>
      <c r="AD97" s="10"/>
      <c r="AE97" s="10"/>
      <c r="AF97" s="10"/>
      <c r="AG97" s="10"/>
      <c r="AH97" s="10"/>
    </row>
    <row r="98" spans="1:34" ht="12.75" hidden="1" outlineLevel="1">
      <c r="A98" s="11"/>
      <c r="B98" s="12" t="str">
        <f>IFERROR(VLOOKUP(D98,'[1]Перечень товаров'!$A$2:$I9525,2,0),"")</f>
        <v/>
      </c>
      <c r="C98" s="12" t="str">
        <f>IFERROR(VLOOKUP(D98,'[1]Перечень товаров'!$A$2:$I9525,3,0),"")</f>
        <v/>
      </c>
      <c r="D98" s="27" t="s">
        <v>60</v>
      </c>
      <c r="E98" s="14">
        <v>26.2</v>
      </c>
      <c r="F98" s="14"/>
      <c r="G98" s="16"/>
      <c r="H98" s="16"/>
      <c r="I98" s="18"/>
      <c r="J98" s="18"/>
      <c r="K98" s="19"/>
      <c r="L98" s="20"/>
      <c r="M98" s="10"/>
      <c r="N98" s="10"/>
      <c r="O98" s="10"/>
      <c r="P98" s="10"/>
      <c r="Q98" s="10"/>
      <c r="R98" s="10"/>
      <c r="S98" s="10"/>
      <c r="T98" s="10"/>
      <c r="U98" s="10"/>
      <c r="V98" s="10"/>
      <c r="W98" s="10"/>
      <c r="X98" s="10"/>
      <c r="Y98" s="10"/>
      <c r="Z98" s="10"/>
      <c r="AA98" s="10"/>
      <c r="AB98" s="10"/>
      <c r="AC98" s="10"/>
      <c r="AD98" s="10"/>
      <c r="AE98" s="10"/>
      <c r="AF98" s="10"/>
      <c r="AG98" s="10"/>
      <c r="AH98" s="10"/>
    </row>
    <row r="99" spans="1:34" hidden="1" outlineLevel="2">
      <c r="A99" s="21"/>
      <c r="B99" s="12" t="str">
        <f>IFERROR(VLOOKUP(D99,'[1]Перечень товаров'!$A$2:$I9525,2,0),"")</f>
        <v>т14</v>
      </c>
      <c r="C99" s="12" t="str">
        <f>IFERROR(VLOOKUP(D99,'[1]Перечень товаров'!$A$2:$I9525,3,0),"")</f>
        <v>Техника</v>
      </c>
      <c r="D99" s="22" t="s">
        <v>61</v>
      </c>
      <c r="E99" s="23"/>
      <c r="F99" s="23"/>
      <c r="G99" s="48">
        <v>1</v>
      </c>
      <c r="H99" s="48"/>
      <c r="I99" s="49"/>
      <c r="J99" s="49"/>
      <c r="K99" s="33"/>
      <c r="L99" s="20"/>
      <c r="M99" s="10"/>
      <c r="N99" s="10"/>
      <c r="O99" s="10"/>
      <c r="P99" s="10"/>
      <c r="Q99" s="10"/>
      <c r="R99" s="10"/>
      <c r="S99" s="10"/>
      <c r="T99" s="10"/>
      <c r="U99" s="10"/>
      <c r="V99" s="10"/>
      <c r="W99" s="10"/>
      <c r="X99" s="10"/>
      <c r="Y99" s="10"/>
      <c r="Z99" s="10"/>
      <c r="AA99" s="10"/>
      <c r="AB99" s="10"/>
      <c r="AC99" s="10"/>
      <c r="AD99" s="10"/>
      <c r="AE99" s="10"/>
      <c r="AF99" s="10"/>
      <c r="AG99" s="10"/>
      <c r="AH99" s="10"/>
    </row>
    <row r="100" spans="1:34" hidden="1" outlineLevel="2">
      <c r="A100" s="35"/>
      <c r="B100" s="12" t="str">
        <f>IFERROR(VLOOKUP(D100,'[1]Перечень товаров'!$A$2:$I9525,2,0),"")</f>
        <v>т2</v>
      </c>
      <c r="C100" s="12" t="str">
        <f>IFERROR(VLOOKUP(D100,'[1]Перечень товаров'!$A$2:$I9525,3,0),"")</f>
        <v xml:space="preserve">Техника </v>
      </c>
      <c r="D100" s="35" t="s">
        <v>29</v>
      </c>
      <c r="E100" s="23"/>
      <c r="F100" s="23"/>
      <c r="G100" s="48">
        <v>1</v>
      </c>
      <c r="H100" s="48"/>
      <c r="I100" s="49"/>
      <c r="J100" s="49"/>
      <c r="K100" s="33"/>
      <c r="L100" s="20"/>
      <c r="M100" s="10"/>
      <c r="N100" s="10"/>
      <c r="O100" s="10"/>
      <c r="P100" s="10"/>
      <c r="Q100" s="10"/>
      <c r="R100" s="10"/>
      <c r="S100" s="10"/>
      <c r="T100" s="10"/>
      <c r="U100" s="10"/>
      <c r="V100" s="10"/>
      <c r="W100" s="10"/>
      <c r="X100" s="10"/>
      <c r="Y100" s="10"/>
      <c r="Z100" s="10"/>
      <c r="AA100" s="10"/>
      <c r="AB100" s="10"/>
      <c r="AC100" s="10"/>
      <c r="AD100" s="10"/>
      <c r="AE100" s="10"/>
      <c r="AF100" s="10"/>
      <c r="AG100" s="10"/>
      <c r="AH100" s="10"/>
    </row>
    <row r="101" spans="1:34" hidden="1" outlineLevel="2">
      <c r="A101" s="35"/>
      <c r="B101" s="12" t="str">
        <f>IFERROR(VLOOKUP(D101,'[1]Перечень товаров'!$A$2:$I9525,2,0),"")</f>
        <v>т3</v>
      </c>
      <c r="C101" s="12" t="str">
        <f>IFERROR(VLOOKUP(D101,'[1]Перечень товаров'!$A$2:$I9525,3,0),"")</f>
        <v xml:space="preserve">Техника </v>
      </c>
      <c r="D101" s="35" t="s">
        <v>30</v>
      </c>
      <c r="E101" s="23"/>
      <c r="F101" s="23"/>
      <c r="G101" s="48">
        <v>1</v>
      </c>
      <c r="H101" s="48"/>
      <c r="I101" s="49"/>
      <c r="J101" s="49"/>
      <c r="K101" s="33"/>
      <c r="L101" s="20"/>
      <c r="M101" s="10"/>
      <c r="N101" s="10"/>
      <c r="O101" s="10"/>
      <c r="P101" s="10"/>
      <c r="Q101" s="10"/>
      <c r="R101" s="10"/>
      <c r="S101" s="10"/>
      <c r="T101" s="10"/>
      <c r="U101" s="10"/>
      <c r="V101" s="10"/>
      <c r="W101" s="10"/>
      <c r="X101" s="10"/>
      <c r="Y101" s="10"/>
      <c r="Z101" s="10"/>
      <c r="AA101" s="10"/>
      <c r="AB101" s="10"/>
      <c r="AC101" s="10"/>
      <c r="AD101" s="10"/>
      <c r="AE101" s="10"/>
      <c r="AF101" s="10"/>
      <c r="AG101" s="10"/>
      <c r="AH101" s="10"/>
    </row>
    <row r="102" spans="1:34" hidden="1" outlineLevel="2">
      <c r="A102" s="21"/>
      <c r="B102" s="12" t="str">
        <f>IFERROR(VLOOKUP(D102,'[1]Перечень товаров'!$A$2:$I9525,2,0),"")</f>
        <v>т5</v>
      </c>
      <c r="C102" s="12" t="str">
        <f>IFERROR(VLOOKUP(D102,'[1]Перечень товаров'!$A$2:$I9525,3,0),"")</f>
        <v xml:space="preserve">Техника </v>
      </c>
      <c r="D102" s="22" t="s">
        <v>32</v>
      </c>
      <c r="E102" s="23"/>
      <c r="F102" s="23"/>
      <c r="G102" s="48">
        <v>1</v>
      </c>
      <c r="H102" s="48"/>
      <c r="I102" s="49"/>
      <c r="J102" s="49"/>
      <c r="K102" s="33"/>
      <c r="L102" s="20"/>
      <c r="M102" s="10"/>
      <c r="N102" s="10"/>
      <c r="O102" s="10"/>
      <c r="P102" s="10"/>
      <c r="Q102" s="10"/>
      <c r="R102" s="10"/>
      <c r="S102" s="10"/>
      <c r="T102" s="10"/>
      <c r="U102" s="10"/>
      <c r="V102" s="10"/>
      <c r="W102" s="10"/>
      <c r="X102" s="10"/>
      <c r="Y102" s="10"/>
      <c r="Z102" s="10"/>
      <c r="AA102" s="10"/>
      <c r="AB102" s="10"/>
      <c r="AC102" s="10"/>
      <c r="AD102" s="10"/>
      <c r="AE102" s="10"/>
      <c r="AF102" s="10"/>
      <c r="AG102" s="10"/>
      <c r="AH102" s="10"/>
    </row>
    <row r="103" spans="1:34" hidden="1" outlineLevel="2">
      <c r="A103" s="35"/>
      <c r="B103" s="12" t="str">
        <f>IFERROR(VLOOKUP(D103,'[1]Перечень товаров'!$A$2:$I9525,2,0),"")</f>
        <v>т6</v>
      </c>
      <c r="C103" s="12" t="str">
        <f>IFERROR(VLOOKUP(D103,'[1]Перечень товаров'!$A$2:$I9525,3,0),"")</f>
        <v xml:space="preserve">Техника </v>
      </c>
      <c r="D103" s="35" t="s">
        <v>33</v>
      </c>
      <c r="E103" s="23"/>
      <c r="F103" s="23"/>
      <c r="G103" s="48">
        <v>1</v>
      </c>
      <c r="H103" s="48"/>
      <c r="I103" s="49"/>
      <c r="J103" s="49"/>
      <c r="K103" s="33"/>
      <c r="L103" s="20"/>
      <c r="M103" s="10"/>
      <c r="N103" s="10"/>
      <c r="O103" s="10"/>
      <c r="P103" s="10"/>
      <c r="Q103" s="10"/>
      <c r="R103" s="10"/>
      <c r="S103" s="10"/>
      <c r="T103" s="10"/>
      <c r="U103" s="10"/>
      <c r="V103" s="10"/>
      <c r="W103" s="10"/>
      <c r="X103" s="10"/>
      <c r="Y103" s="10"/>
      <c r="Z103" s="10"/>
      <c r="AA103" s="10"/>
      <c r="AB103" s="10"/>
      <c r="AC103" s="10"/>
      <c r="AD103" s="10"/>
      <c r="AE103" s="10"/>
      <c r="AF103" s="10"/>
      <c r="AG103" s="10"/>
      <c r="AH103" s="10"/>
    </row>
    <row r="104" spans="1:34" hidden="1" outlineLevel="2">
      <c r="A104" s="21"/>
      <c r="B104" s="12" t="str">
        <f>IFERROR(VLOOKUP(D104,'[1]Перечень товаров'!$A$2:$I9525,2,0),"")</f>
        <v>т7</v>
      </c>
      <c r="C104" s="12" t="str">
        <f>IFERROR(VLOOKUP(D104,'[1]Перечень товаров'!$A$2:$I9525,3,0),"")</f>
        <v xml:space="preserve">Техника </v>
      </c>
      <c r="D104" s="22" t="s">
        <v>34</v>
      </c>
      <c r="E104" s="23"/>
      <c r="F104" s="23"/>
      <c r="G104" s="48">
        <v>1</v>
      </c>
      <c r="H104" s="48"/>
      <c r="I104" s="49"/>
      <c r="J104" s="49"/>
      <c r="K104" s="33"/>
      <c r="L104" s="20"/>
      <c r="M104" s="10"/>
      <c r="N104" s="10"/>
      <c r="O104" s="10"/>
      <c r="P104" s="10"/>
      <c r="Q104" s="10"/>
      <c r="R104" s="10"/>
      <c r="S104" s="10"/>
      <c r="T104" s="10"/>
      <c r="U104" s="10"/>
      <c r="V104" s="10"/>
      <c r="W104" s="10"/>
      <c r="X104" s="10"/>
      <c r="Y104" s="10"/>
      <c r="Z104" s="10"/>
      <c r="AA104" s="10"/>
      <c r="AB104" s="10"/>
      <c r="AC104" s="10"/>
      <c r="AD104" s="10"/>
      <c r="AE104" s="10"/>
      <c r="AF104" s="10"/>
      <c r="AG104" s="10"/>
      <c r="AH104" s="10"/>
    </row>
    <row r="105" spans="1:34" ht="12.75" hidden="1" outlineLevel="2">
      <c r="A105" s="62"/>
      <c r="B105" s="12" t="str">
        <f>IFERROR(VLOOKUP(D105,'[1]Перечень товаров'!$A$2:$I9525,2,0),"")</f>
        <v/>
      </c>
      <c r="C105" s="12" t="str">
        <f>IFERROR(VLOOKUP(D105,'[1]Перечень товаров'!$A$2:$I9525,3,0),"")</f>
        <v/>
      </c>
      <c r="D105" s="63"/>
      <c r="E105" s="15"/>
      <c r="F105" s="15"/>
      <c r="G105" s="52"/>
      <c r="H105" s="52"/>
      <c r="I105" s="53"/>
      <c r="J105" s="53"/>
      <c r="K105" s="42"/>
      <c r="L105" s="20"/>
      <c r="M105" s="10"/>
      <c r="N105" s="10"/>
      <c r="O105" s="10"/>
      <c r="P105" s="10"/>
      <c r="Q105" s="10"/>
      <c r="R105" s="10"/>
      <c r="S105" s="10"/>
      <c r="T105" s="10"/>
      <c r="U105" s="10"/>
      <c r="V105" s="10"/>
      <c r="W105" s="10"/>
      <c r="X105" s="10"/>
      <c r="Y105" s="10"/>
      <c r="Z105" s="10"/>
      <c r="AA105" s="10"/>
      <c r="AB105" s="10"/>
      <c r="AC105" s="10"/>
      <c r="AD105" s="10"/>
      <c r="AE105" s="10"/>
      <c r="AF105" s="10"/>
      <c r="AG105" s="10"/>
      <c r="AH105" s="10"/>
    </row>
    <row r="106" spans="1:34" ht="31.5" hidden="1" outlineLevel="2">
      <c r="A106" s="21"/>
      <c r="B106" s="12" t="str">
        <f>IFERROR(VLOOKUP(D106,'[1]Перечень товаров'!$A$2:$I9525,2,0),"")</f>
        <v>м205</v>
      </c>
      <c r="C106" s="12" t="str">
        <f>IFERROR(VLOOKUP(D106,'[1]Перечень товаров'!$A$2:$I9525,3,0),"")</f>
        <v>Мебель</v>
      </c>
      <c r="D106" s="22" t="s">
        <v>20</v>
      </c>
      <c r="E106" s="23"/>
      <c r="F106" s="23"/>
      <c r="G106" s="48">
        <v>1</v>
      </c>
      <c r="H106" s="48"/>
      <c r="I106" s="49"/>
      <c r="J106" s="49"/>
      <c r="K106" s="33"/>
      <c r="L106" s="20"/>
      <c r="M106" s="10"/>
      <c r="N106" s="10"/>
      <c r="O106" s="10"/>
      <c r="P106" s="10"/>
      <c r="Q106" s="10"/>
      <c r="R106" s="10"/>
      <c r="S106" s="10"/>
      <c r="T106" s="10"/>
      <c r="U106" s="10"/>
      <c r="V106" s="10"/>
      <c r="W106" s="10"/>
      <c r="X106" s="10"/>
      <c r="Y106" s="10"/>
      <c r="Z106" s="10"/>
      <c r="AA106" s="10"/>
      <c r="AB106" s="10"/>
      <c r="AC106" s="10"/>
      <c r="AD106" s="10"/>
      <c r="AE106" s="10"/>
      <c r="AF106" s="10"/>
      <c r="AG106" s="10"/>
      <c r="AH106" s="10"/>
    </row>
    <row r="107" spans="1:34" hidden="1" outlineLevel="2">
      <c r="A107" s="21"/>
      <c r="B107" s="12" t="str">
        <f>IFERROR(VLOOKUP(D107,'[1]Перечень товаров'!$A$2:$I9525,2,0),"")</f>
        <v>м12</v>
      </c>
      <c r="C107" s="12" t="str">
        <f>IFERROR(VLOOKUP(D107,'[1]Перечень товаров'!$A$2:$I9525,3,0),"")</f>
        <v>Мебель</v>
      </c>
      <c r="D107" s="22" t="s">
        <v>21</v>
      </c>
      <c r="E107" s="23"/>
      <c r="F107" s="23"/>
      <c r="G107" s="48">
        <v>2</v>
      </c>
      <c r="H107" s="48"/>
      <c r="I107" s="49"/>
      <c r="J107" s="49"/>
      <c r="K107" s="33"/>
      <c r="L107" s="20"/>
      <c r="M107" s="10"/>
      <c r="N107" s="10"/>
      <c r="O107" s="10"/>
      <c r="P107" s="10"/>
      <c r="Q107" s="10"/>
      <c r="R107" s="10"/>
      <c r="S107" s="10"/>
      <c r="T107" s="10"/>
      <c r="U107" s="10"/>
      <c r="V107" s="10"/>
      <c r="W107" s="10"/>
      <c r="X107" s="10"/>
      <c r="Y107" s="10"/>
      <c r="Z107" s="10"/>
      <c r="AA107" s="10"/>
      <c r="AB107" s="10"/>
      <c r="AC107" s="10"/>
      <c r="AD107" s="10"/>
      <c r="AE107" s="10"/>
      <c r="AF107" s="10"/>
      <c r="AG107" s="10"/>
      <c r="AH107" s="10"/>
    </row>
    <row r="108" spans="1:34" hidden="1" outlineLevel="2">
      <c r="A108" s="21"/>
      <c r="B108" s="12" t="str">
        <f>IFERROR(VLOOKUP(D108,'[1]Перечень товаров'!$A$2:$I9525,2,0),"")</f>
        <v>м13</v>
      </c>
      <c r="C108" s="12" t="str">
        <f>IFERROR(VLOOKUP(D108,'[1]Перечень товаров'!$A$2:$I9525,3,0),"")</f>
        <v>Мебель</v>
      </c>
      <c r="D108" s="22" t="s">
        <v>42</v>
      </c>
      <c r="E108" s="23"/>
      <c r="F108" s="23"/>
      <c r="G108" s="48">
        <v>1</v>
      </c>
      <c r="H108" s="48"/>
      <c r="I108" s="49"/>
      <c r="J108" s="49"/>
      <c r="K108" s="33"/>
      <c r="L108" s="20"/>
      <c r="M108" s="10"/>
      <c r="N108" s="10"/>
      <c r="O108" s="10"/>
      <c r="P108" s="10"/>
      <c r="Q108" s="10"/>
      <c r="R108" s="10"/>
      <c r="S108" s="10"/>
      <c r="T108" s="10"/>
      <c r="U108" s="10"/>
      <c r="V108" s="10"/>
      <c r="W108" s="10"/>
      <c r="X108" s="10"/>
      <c r="Y108" s="10"/>
      <c r="Z108" s="10"/>
      <c r="AA108" s="10"/>
      <c r="AB108" s="10"/>
      <c r="AC108" s="10"/>
      <c r="AD108" s="10"/>
      <c r="AE108" s="10"/>
      <c r="AF108" s="10"/>
      <c r="AG108" s="10"/>
      <c r="AH108" s="10"/>
    </row>
    <row r="109" spans="1:34" hidden="1" outlineLevel="2">
      <c r="A109" s="21"/>
      <c r="B109" s="12" t="str">
        <f>IFERROR(VLOOKUP(D109,'[1]Перечень товаров'!$A$2:$I9525,2,0),"")</f>
        <v>м14</v>
      </c>
      <c r="C109" s="12" t="str">
        <f>IFERROR(VLOOKUP(D109,'[1]Перечень товаров'!$A$2:$I9525,3,0),"")</f>
        <v>Мебель</v>
      </c>
      <c r="D109" s="22" t="s">
        <v>43</v>
      </c>
      <c r="E109" s="23"/>
      <c r="F109" s="23"/>
      <c r="G109" s="48">
        <v>1</v>
      </c>
      <c r="H109" s="48"/>
      <c r="I109" s="49"/>
      <c r="J109" s="49"/>
      <c r="K109" s="33"/>
      <c r="L109" s="20"/>
      <c r="M109" s="10"/>
      <c r="N109" s="10"/>
      <c r="O109" s="10"/>
      <c r="P109" s="10"/>
      <c r="Q109" s="10"/>
      <c r="R109" s="10"/>
      <c r="S109" s="10"/>
      <c r="T109" s="10"/>
      <c r="U109" s="10"/>
      <c r="V109" s="10"/>
      <c r="W109" s="10"/>
      <c r="X109" s="10"/>
      <c r="Y109" s="10"/>
      <c r="Z109" s="10"/>
      <c r="AA109" s="10"/>
      <c r="AB109" s="10"/>
      <c r="AC109" s="10"/>
      <c r="AD109" s="10"/>
      <c r="AE109" s="10"/>
      <c r="AF109" s="10"/>
      <c r="AG109" s="10"/>
      <c r="AH109" s="10"/>
    </row>
    <row r="110" spans="1:34" hidden="1" outlineLevel="2">
      <c r="A110" s="22"/>
      <c r="B110" s="12" t="str">
        <f>IFERROR(VLOOKUP(D110,'[1]Перечень товаров'!$A$2:$I9525,2,0),"")</f>
        <v>п4</v>
      </c>
      <c r="C110" s="12" t="str">
        <f>IFERROR(VLOOKUP(D110,'[1]Перечень товаров'!$A$2:$I9525,3,0),"")</f>
        <v>Прочее</v>
      </c>
      <c r="D110" s="22" t="s">
        <v>62</v>
      </c>
      <c r="E110" s="23"/>
      <c r="F110" s="23"/>
      <c r="G110" s="48">
        <v>1</v>
      </c>
      <c r="H110" s="48"/>
      <c r="I110" s="49"/>
      <c r="J110" s="49"/>
      <c r="K110" s="33"/>
      <c r="L110" s="20"/>
      <c r="M110" s="10"/>
      <c r="N110" s="10"/>
      <c r="O110" s="10"/>
      <c r="P110" s="10"/>
      <c r="Q110" s="10"/>
      <c r="R110" s="10"/>
      <c r="S110" s="10"/>
      <c r="T110" s="10"/>
      <c r="U110" s="10"/>
      <c r="V110" s="10"/>
      <c r="W110" s="10"/>
      <c r="X110" s="10"/>
      <c r="Y110" s="10"/>
      <c r="Z110" s="10"/>
      <c r="AA110" s="10"/>
      <c r="AB110" s="10"/>
      <c r="AC110" s="10"/>
      <c r="AD110" s="10"/>
      <c r="AE110" s="10"/>
      <c r="AF110" s="10"/>
      <c r="AG110" s="10"/>
      <c r="AH110" s="10"/>
    </row>
    <row r="111" spans="1:34" ht="15" hidden="1" outlineLevel="2">
      <c r="A111" s="64"/>
      <c r="B111" s="12" t="str">
        <f>IFERROR(VLOOKUP(D111,'[1]Перечень товаров'!$A$2:$I9525,2,0),"")</f>
        <v/>
      </c>
      <c r="C111" s="12" t="str">
        <f>IFERROR(VLOOKUP(D111,'[1]Перечень товаров'!$A$2:$I9525,3,0),"")</f>
        <v/>
      </c>
      <c r="D111" s="65" t="s">
        <v>63</v>
      </c>
      <c r="E111" s="15"/>
      <c r="F111" s="15"/>
      <c r="G111" s="52"/>
      <c r="H111" s="52"/>
      <c r="I111" s="53"/>
      <c r="J111" s="53"/>
      <c r="K111" s="42"/>
      <c r="L111" s="20"/>
      <c r="M111" s="10"/>
      <c r="N111" s="10"/>
      <c r="O111" s="10"/>
      <c r="P111" s="10"/>
      <c r="Q111" s="10"/>
      <c r="R111" s="10"/>
      <c r="S111" s="10"/>
      <c r="T111" s="10"/>
      <c r="U111" s="10"/>
      <c r="V111" s="10"/>
      <c r="W111" s="10"/>
      <c r="X111" s="10"/>
      <c r="Y111" s="10"/>
      <c r="Z111" s="10"/>
      <c r="AA111" s="10"/>
      <c r="AB111" s="10"/>
      <c r="AC111" s="10"/>
      <c r="AD111" s="10"/>
      <c r="AE111" s="10"/>
      <c r="AF111" s="10"/>
      <c r="AG111" s="10"/>
      <c r="AH111" s="10"/>
    </row>
    <row r="112" spans="1:34" hidden="1" outlineLevel="2">
      <c r="A112" s="21"/>
      <c r="B112" s="12" t="str">
        <f>IFERROR(VLOOKUP(D112,'[1]Перечень товаров'!$A$2:$I9525,2,0),"")</f>
        <v>п5</v>
      </c>
      <c r="C112" s="12" t="str">
        <f>IFERROR(VLOOKUP(D112,'[1]Перечень товаров'!$A$2:$I9525,3,0),"")</f>
        <v>Прочее</v>
      </c>
      <c r="D112" s="22" t="s">
        <v>64</v>
      </c>
      <c r="E112" s="23"/>
      <c r="F112" s="23"/>
      <c r="G112" s="48">
        <v>1</v>
      </c>
      <c r="H112" s="48"/>
      <c r="I112" s="49"/>
      <c r="J112" s="49"/>
      <c r="K112" s="33"/>
      <c r="L112" s="20"/>
      <c r="M112" s="10"/>
      <c r="N112" s="10"/>
      <c r="O112" s="10"/>
      <c r="P112" s="10"/>
      <c r="Q112" s="10"/>
      <c r="R112" s="10"/>
      <c r="S112" s="10"/>
      <c r="T112" s="10"/>
      <c r="U112" s="10"/>
      <c r="V112" s="10"/>
      <c r="W112" s="10"/>
      <c r="X112" s="10"/>
      <c r="Y112" s="10"/>
      <c r="Z112" s="10"/>
      <c r="AA112" s="10"/>
      <c r="AB112" s="10"/>
      <c r="AC112" s="10"/>
      <c r="AD112" s="10"/>
      <c r="AE112" s="10"/>
      <c r="AF112" s="10"/>
      <c r="AG112" s="10"/>
      <c r="AH112" s="10"/>
    </row>
    <row r="113" spans="1:34" hidden="1" outlineLevel="2">
      <c r="A113" s="21"/>
      <c r="B113" s="12" t="str">
        <f>IFERROR(VLOOKUP(D113,'[1]Перечень товаров'!$A$2:$I9525,2,0),"")</f>
        <v>д3</v>
      </c>
      <c r="C113" s="12" t="str">
        <f>IFERROR(VLOOKUP(D113,'[1]Перечень товаров'!$A$2:$I9525,3,0),"")</f>
        <v>Дидактика</v>
      </c>
      <c r="D113" s="22" t="s">
        <v>65</v>
      </c>
      <c r="E113" s="23"/>
      <c r="F113" s="23"/>
      <c r="G113" s="48">
        <v>1</v>
      </c>
      <c r="H113" s="48"/>
      <c r="I113" s="49"/>
      <c r="J113" s="49"/>
      <c r="K113" s="33"/>
      <c r="L113" s="20"/>
      <c r="M113" s="10"/>
      <c r="N113" s="10"/>
      <c r="O113" s="10"/>
      <c r="P113" s="10"/>
      <c r="Q113" s="10"/>
      <c r="R113" s="10"/>
      <c r="S113" s="10"/>
      <c r="T113" s="10"/>
      <c r="U113" s="10"/>
      <c r="V113" s="10"/>
      <c r="W113" s="10"/>
      <c r="X113" s="10"/>
      <c r="Y113" s="10"/>
      <c r="Z113" s="10"/>
      <c r="AA113" s="10"/>
      <c r="AB113" s="10"/>
      <c r="AC113" s="10"/>
      <c r="AD113" s="10"/>
      <c r="AE113" s="10"/>
      <c r="AF113" s="10"/>
      <c r="AG113" s="10"/>
      <c r="AH113" s="10"/>
    </row>
    <row r="114" spans="1:34" ht="12.75" hidden="1" outlineLevel="1">
      <c r="A114" s="11"/>
      <c r="B114" s="12" t="str">
        <f>IFERROR(VLOOKUP(D114,'[1]Перечень товаров'!$A$2:$I9525,2,0),"")</f>
        <v/>
      </c>
      <c r="C114" s="12" t="str">
        <f>IFERROR(VLOOKUP(D114,'[1]Перечень товаров'!$A$2:$I9525,3,0),"")</f>
        <v/>
      </c>
      <c r="D114" s="27" t="s">
        <v>66</v>
      </c>
      <c r="E114" s="14">
        <v>107.6</v>
      </c>
      <c r="F114" s="14"/>
      <c r="G114" s="17"/>
      <c r="H114" s="17"/>
      <c r="I114" s="57"/>
      <c r="J114" s="57"/>
      <c r="K114" s="19"/>
      <c r="L114" s="20"/>
      <c r="M114" s="10"/>
      <c r="N114" s="10"/>
      <c r="O114" s="10"/>
      <c r="P114" s="10"/>
      <c r="Q114" s="10"/>
      <c r="R114" s="10"/>
      <c r="S114" s="10"/>
      <c r="T114" s="10"/>
      <c r="U114" s="10"/>
      <c r="V114" s="10"/>
      <c r="W114" s="10"/>
      <c r="X114" s="10"/>
      <c r="Y114" s="10"/>
      <c r="Z114" s="10"/>
      <c r="AA114" s="10"/>
      <c r="AB114" s="10"/>
      <c r="AC114" s="10"/>
      <c r="AD114" s="10"/>
      <c r="AE114" s="10"/>
      <c r="AF114" s="10"/>
      <c r="AG114" s="10"/>
      <c r="AH114" s="10"/>
    </row>
    <row r="115" spans="1:34" hidden="1" outlineLevel="1">
      <c r="A115" s="66"/>
      <c r="B115" s="12" t="str">
        <f>IFERROR(VLOOKUP(D115,'[1]Перечень товаров'!$A$2:$I9525,2,0),"")</f>
        <v>м22</v>
      </c>
      <c r="C115" s="12" t="str">
        <f>IFERROR(VLOOKUP(D115,'[1]Перечень товаров'!$A$2:$I9525,3,0),"")</f>
        <v>Мебель</v>
      </c>
      <c r="D115" s="67" t="s">
        <v>67</v>
      </c>
      <c r="E115" s="23"/>
      <c r="F115" s="23"/>
      <c r="G115" s="24">
        <v>50</v>
      </c>
      <c r="H115" s="24"/>
      <c r="I115" s="25"/>
      <c r="J115" s="25"/>
      <c r="K115" s="19"/>
      <c r="L115" s="20"/>
      <c r="M115" s="10"/>
      <c r="N115" s="10"/>
      <c r="O115" s="10"/>
      <c r="P115" s="10"/>
      <c r="Q115" s="10"/>
      <c r="R115" s="10"/>
      <c r="S115" s="10"/>
      <c r="T115" s="10"/>
      <c r="U115" s="10"/>
      <c r="V115" s="10"/>
      <c r="W115" s="10"/>
      <c r="X115" s="10"/>
      <c r="Y115" s="10"/>
      <c r="Z115" s="10"/>
      <c r="AA115" s="10"/>
      <c r="AB115" s="10"/>
      <c r="AC115" s="10"/>
      <c r="AD115" s="10"/>
      <c r="AE115" s="10"/>
      <c r="AF115" s="10"/>
      <c r="AG115" s="10"/>
      <c r="AH115" s="10"/>
    </row>
    <row r="116" spans="1:34" ht="12.75" hidden="1" outlineLevel="1">
      <c r="A116" s="11"/>
      <c r="B116" s="12" t="str">
        <f>IFERROR(VLOOKUP(D116,'[1]Перечень товаров'!$A$2:$I9525,2,0),"")</f>
        <v/>
      </c>
      <c r="C116" s="12" t="str">
        <f>IFERROR(VLOOKUP(D116,'[1]Перечень товаров'!$A$2:$I9525,3,0),"")</f>
        <v/>
      </c>
      <c r="D116" s="27" t="s">
        <v>66</v>
      </c>
      <c r="E116" s="14">
        <v>93.5</v>
      </c>
      <c r="F116" s="14"/>
      <c r="G116" s="17"/>
      <c r="H116" s="17"/>
      <c r="I116" s="57"/>
      <c r="J116" s="57"/>
      <c r="K116" s="19"/>
      <c r="L116" s="20"/>
      <c r="M116" s="10"/>
      <c r="N116" s="10"/>
      <c r="O116" s="10"/>
      <c r="P116" s="10"/>
      <c r="Q116" s="10"/>
      <c r="R116" s="10"/>
      <c r="S116" s="10"/>
      <c r="T116" s="10"/>
      <c r="U116" s="10"/>
      <c r="V116" s="10"/>
      <c r="W116" s="10"/>
      <c r="X116" s="10"/>
      <c r="Y116" s="10"/>
      <c r="Z116" s="10"/>
      <c r="AA116" s="10"/>
      <c r="AB116" s="10"/>
      <c r="AC116" s="10"/>
      <c r="AD116" s="10"/>
      <c r="AE116" s="10"/>
      <c r="AF116" s="10"/>
      <c r="AG116" s="10"/>
      <c r="AH116" s="10"/>
    </row>
    <row r="117" spans="1:34" hidden="1" outlineLevel="1">
      <c r="A117" s="66"/>
      <c r="B117" s="12" t="str">
        <f>IFERROR(VLOOKUP(D117,'[1]Перечень товаров'!$A$2:$I9525,2,0),"")</f>
        <v>м22</v>
      </c>
      <c r="C117" s="12" t="str">
        <f>IFERROR(VLOOKUP(D117,'[1]Перечень товаров'!$A$2:$I9525,3,0),"")</f>
        <v>Мебель</v>
      </c>
      <c r="D117" s="67" t="s">
        <v>67</v>
      </c>
      <c r="E117" s="23"/>
      <c r="F117" s="23"/>
      <c r="G117" s="24">
        <v>40</v>
      </c>
      <c r="H117" s="24"/>
      <c r="I117" s="25"/>
      <c r="J117" s="25"/>
      <c r="K117" s="19"/>
      <c r="L117" s="20"/>
      <c r="M117" s="10"/>
      <c r="N117" s="10"/>
      <c r="O117" s="10"/>
      <c r="P117" s="10"/>
      <c r="Q117" s="10"/>
      <c r="R117" s="10"/>
      <c r="S117" s="10"/>
      <c r="T117" s="10"/>
      <c r="U117" s="10"/>
      <c r="V117" s="10"/>
      <c r="W117" s="10"/>
      <c r="X117" s="10"/>
      <c r="Y117" s="10"/>
      <c r="Z117" s="10"/>
      <c r="AA117" s="10"/>
      <c r="AB117" s="10"/>
      <c r="AC117" s="10"/>
      <c r="AD117" s="10"/>
      <c r="AE117" s="10"/>
      <c r="AF117" s="10"/>
      <c r="AG117" s="10"/>
      <c r="AH117" s="10"/>
    </row>
    <row r="118" spans="1:34" ht="12.75" hidden="1" outlineLevel="1">
      <c r="A118" s="11"/>
      <c r="B118" s="12" t="str">
        <f>IFERROR(VLOOKUP(D118,'[1]Перечень товаров'!$A$2:$I9525,2,0),"")</f>
        <v/>
      </c>
      <c r="C118" s="12" t="str">
        <f>IFERROR(VLOOKUP(D118,'[1]Перечень товаров'!$A$2:$I9525,3,0),"")</f>
        <v/>
      </c>
      <c r="D118" s="27" t="s">
        <v>66</v>
      </c>
      <c r="E118" s="14">
        <v>73.900000000000006</v>
      </c>
      <c r="F118" s="14"/>
      <c r="G118" s="17"/>
      <c r="H118" s="17"/>
      <c r="I118" s="57"/>
      <c r="J118" s="57"/>
      <c r="K118" s="19"/>
      <c r="L118" s="20"/>
      <c r="M118" s="10"/>
      <c r="N118" s="10"/>
      <c r="O118" s="10"/>
      <c r="P118" s="10"/>
      <c r="Q118" s="10"/>
      <c r="R118" s="10"/>
      <c r="S118" s="10"/>
      <c r="T118" s="10"/>
      <c r="U118" s="10"/>
      <c r="V118" s="10"/>
      <c r="W118" s="10"/>
      <c r="X118" s="10"/>
      <c r="Y118" s="10"/>
      <c r="Z118" s="10"/>
      <c r="AA118" s="10"/>
      <c r="AB118" s="10"/>
      <c r="AC118" s="10"/>
      <c r="AD118" s="10"/>
      <c r="AE118" s="10"/>
      <c r="AF118" s="10"/>
      <c r="AG118" s="10"/>
      <c r="AH118" s="10"/>
    </row>
    <row r="119" spans="1:34" hidden="1" outlineLevel="1">
      <c r="A119" s="66"/>
      <c r="B119" s="12" t="str">
        <f>IFERROR(VLOOKUP(D119,'[1]Перечень товаров'!$A$2:$I9525,2,0),"")</f>
        <v>м22</v>
      </c>
      <c r="C119" s="12" t="str">
        <f>IFERROR(VLOOKUP(D119,'[1]Перечень товаров'!$A$2:$I9525,3,0),"")</f>
        <v>Мебель</v>
      </c>
      <c r="D119" s="67" t="s">
        <v>67</v>
      </c>
      <c r="E119" s="23"/>
      <c r="F119" s="23"/>
      <c r="G119" s="24">
        <v>35</v>
      </c>
      <c r="H119" s="24"/>
      <c r="I119" s="25"/>
      <c r="J119" s="25"/>
      <c r="K119" s="19"/>
      <c r="L119" s="20"/>
      <c r="M119" s="10"/>
      <c r="N119" s="10"/>
      <c r="O119" s="10"/>
      <c r="P119" s="10"/>
      <c r="Q119" s="10"/>
      <c r="R119" s="10"/>
      <c r="S119" s="10"/>
      <c r="T119" s="10"/>
      <c r="U119" s="10"/>
      <c r="V119" s="10"/>
      <c r="W119" s="10"/>
      <c r="X119" s="10"/>
      <c r="Y119" s="10"/>
      <c r="Z119" s="10"/>
      <c r="AA119" s="10"/>
      <c r="AB119" s="10"/>
      <c r="AC119" s="10"/>
      <c r="AD119" s="10"/>
      <c r="AE119" s="10"/>
      <c r="AF119" s="10"/>
      <c r="AG119" s="10"/>
      <c r="AH119" s="10"/>
    </row>
    <row r="120" spans="1:34" ht="12.75" hidden="1" outlineLevel="1">
      <c r="A120" s="11"/>
      <c r="B120" s="12" t="str">
        <f>IFERROR(VLOOKUP(D120,'[1]Перечень товаров'!$A$2:$I9525,2,0),"")</f>
        <v/>
      </c>
      <c r="C120" s="12" t="str">
        <f>IFERROR(VLOOKUP(D120,'[1]Перечень товаров'!$A$2:$I9525,3,0),"")</f>
        <v/>
      </c>
      <c r="D120" s="27" t="s">
        <v>68</v>
      </c>
      <c r="E120" s="14">
        <v>48.2</v>
      </c>
      <c r="F120" s="14"/>
      <c r="G120" s="17"/>
      <c r="H120" s="17"/>
      <c r="I120" s="57"/>
      <c r="J120" s="57"/>
      <c r="K120" s="19"/>
      <c r="L120" s="20"/>
      <c r="M120" s="10"/>
      <c r="N120" s="10"/>
      <c r="O120" s="10"/>
      <c r="P120" s="10"/>
      <c r="Q120" s="10"/>
      <c r="R120" s="10"/>
      <c r="S120" s="10"/>
      <c r="T120" s="10"/>
      <c r="U120" s="10"/>
      <c r="V120" s="10"/>
      <c r="W120" s="10"/>
      <c r="X120" s="10"/>
      <c r="Y120" s="10"/>
      <c r="Z120" s="10"/>
      <c r="AA120" s="10"/>
      <c r="AB120" s="10"/>
      <c r="AC120" s="10"/>
      <c r="AD120" s="10"/>
      <c r="AE120" s="10"/>
      <c r="AF120" s="10"/>
      <c r="AG120" s="10"/>
      <c r="AH120" s="10"/>
    </row>
    <row r="121" spans="1:34" hidden="1" outlineLevel="1">
      <c r="A121" s="66"/>
      <c r="B121" s="12" t="str">
        <f>IFERROR(VLOOKUP(D121,'[1]Перечень товаров'!$A$2:$I9525,2,0),"")</f>
        <v>м22</v>
      </c>
      <c r="C121" s="12" t="str">
        <f>IFERROR(VLOOKUP(D121,'[1]Перечень товаров'!$A$2:$I9525,3,0),"")</f>
        <v>Мебель</v>
      </c>
      <c r="D121" s="67" t="s">
        <v>67</v>
      </c>
      <c r="E121" s="23"/>
      <c r="F121" s="23"/>
      <c r="G121" s="24">
        <v>20</v>
      </c>
      <c r="H121" s="24"/>
      <c r="I121" s="25"/>
      <c r="J121" s="25"/>
      <c r="K121" s="19"/>
      <c r="L121" s="20"/>
      <c r="M121" s="10"/>
      <c r="N121" s="10"/>
      <c r="O121" s="10"/>
      <c r="P121" s="10"/>
      <c r="Q121" s="10"/>
      <c r="R121" s="10"/>
      <c r="S121" s="10"/>
      <c r="T121" s="10"/>
      <c r="U121" s="10"/>
      <c r="V121" s="10"/>
      <c r="W121" s="10"/>
      <c r="X121" s="10"/>
      <c r="Y121" s="10"/>
      <c r="Z121" s="10"/>
      <c r="AA121" s="10"/>
      <c r="AB121" s="10"/>
      <c r="AC121" s="10"/>
      <c r="AD121" s="10"/>
      <c r="AE121" s="10"/>
      <c r="AF121" s="10"/>
      <c r="AG121" s="10"/>
      <c r="AH121" s="10"/>
    </row>
    <row r="122" spans="1:34" ht="12.75" hidden="1" outlineLevel="1">
      <c r="A122" s="11"/>
      <c r="B122" s="12" t="str">
        <f>IFERROR(VLOOKUP(D122,'[1]Перечень товаров'!$A$2:$I9525,2,0),"")</f>
        <v/>
      </c>
      <c r="C122" s="12" t="str">
        <f>IFERROR(VLOOKUP(D122,'[1]Перечень товаров'!$A$2:$I9525,3,0),"")</f>
        <v/>
      </c>
      <c r="D122" s="27" t="s">
        <v>68</v>
      </c>
      <c r="E122" s="14">
        <v>46.4</v>
      </c>
      <c r="F122" s="14"/>
      <c r="G122" s="17"/>
      <c r="H122" s="17"/>
      <c r="I122" s="57"/>
      <c r="J122" s="57"/>
      <c r="K122" s="19"/>
      <c r="L122" s="20"/>
      <c r="M122" s="10"/>
      <c r="N122" s="10"/>
      <c r="O122" s="10"/>
      <c r="P122" s="10"/>
      <c r="Q122" s="10"/>
      <c r="R122" s="10"/>
      <c r="S122" s="10"/>
      <c r="T122" s="10"/>
      <c r="U122" s="10"/>
      <c r="V122" s="10"/>
      <c r="W122" s="10"/>
      <c r="X122" s="10"/>
      <c r="Y122" s="10"/>
      <c r="Z122" s="10"/>
      <c r="AA122" s="10"/>
      <c r="AB122" s="10"/>
      <c r="AC122" s="10"/>
      <c r="AD122" s="10"/>
      <c r="AE122" s="10"/>
      <c r="AF122" s="10"/>
      <c r="AG122" s="10"/>
      <c r="AH122" s="10"/>
    </row>
    <row r="123" spans="1:34" hidden="1" outlineLevel="1">
      <c r="A123" s="66"/>
      <c r="B123" s="12" t="str">
        <f>IFERROR(VLOOKUP(D123,'[1]Перечень товаров'!$A$2:$I9525,2,0),"")</f>
        <v>м22</v>
      </c>
      <c r="C123" s="12" t="str">
        <f>IFERROR(VLOOKUP(D123,'[1]Перечень товаров'!$A$2:$I9525,3,0),"")</f>
        <v>Мебель</v>
      </c>
      <c r="D123" s="67" t="s">
        <v>67</v>
      </c>
      <c r="E123" s="23"/>
      <c r="F123" s="23"/>
      <c r="G123" s="24">
        <v>20</v>
      </c>
      <c r="H123" s="24"/>
      <c r="I123" s="25"/>
      <c r="J123" s="25"/>
      <c r="K123" s="19"/>
      <c r="L123" s="20"/>
      <c r="M123" s="10"/>
      <c r="N123" s="10"/>
      <c r="O123" s="10"/>
      <c r="P123" s="10"/>
      <c r="Q123" s="10"/>
      <c r="R123" s="10"/>
      <c r="S123" s="10"/>
      <c r="T123" s="10"/>
      <c r="U123" s="10"/>
      <c r="V123" s="10"/>
      <c r="W123" s="10"/>
      <c r="X123" s="10"/>
      <c r="Y123" s="10"/>
      <c r="Z123" s="10"/>
      <c r="AA123" s="10"/>
      <c r="AB123" s="10"/>
      <c r="AC123" s="10"/>
      <c r="AD123" s="10"/>
      <c r="AE123" s="10"/>
      <c r="AF123" s="10"/>
      <c r="AG123" s="10"/>
      <c r="AH123" s="10"/>
    </row>
    <row r="124" spans="1:34" ht="12.75" hidden="1" outlineLevel="1">
      <c r="A124" s="11"/>
      <c r="B124" s="12" t="str">
        <f>IFERROR(VLOOKUP(D124,'[1]Перечень товаров'!$A$2:$I9525,2,0),"")</f>
        <v/>
      </c>
      <c r="C124" s="12" t="str">
        <f>IFERROR(VLOOKUP(D124,'[1]Перечень товаров'!$A$2:$I9525,3,0),"")</f>
        <v/>
      </c>
      <c r="D124" s="27" t="s">
        <v>69</v>
      </c>
      <c r="E124" s="14">
        <v>38.200000000000003</v>
      </c>
      <c r="F124" s="14"/>
      <c r="G124" s="17"/>
      <c r="H124" s="17"/>
      <c r="I124" s="57"/>
      <c r="J124" s="57"/>
      <c r="K124" s="19"/>
      <c r="L124" s="20"/>
      <c r="M124" s="10"/>
      <c r="N124" s="10"/>
      <c r="O124" s="10"/>
      <c r="P124" s="10"/>
      <c r="Q124" s="10"/>
      <c r="R124" s="10"/>
      <c r="S124" s="10"/>
      <c r="T124" s="10"/>
      <c r="U124" s="10"/>
      <c r="V124" s="10"/>
      <c r="W124" s="10"/>
      <c r="X124" s="10"/>
      <c r="Y124" s="10"/>
      <c r="Z124" s="10"/>
      <c r="AA124" s="10"/>
      <c r="AB124" s="10"/>
      <c r="AC124" s="10"/>
      <c r="AD124" s="10"/>
      <c r="AE124" s="10"/>
      <c r="AF124" s="10"/>
      <c r="AG124" s="10"/>
      <c r="AH124" s="10"/>
    </row>
    <row r="125" spans="1:34" hidden="1" outlineLevel="1">
      <c r="A125" s="66"/>
      <c r="B125" s="12" t="str">
        <f>IFERROR(VLOOKUP(D125,'[1]Перечень товаров'!$A$2:$I9525,2,0),"")</f>
        <v>м22</v>
      </c>
      <c r="C125" s="12" t="str">
        <f>IFERROR(VLOOKUP(D125,'[1]Перечень товаров'!$A$2:$I9525,3,0),"")</f>
        <v>Мебель</v>
      </c>
      <c r="D125" s="67" t="s">
        <v>67</v>
      </c>
      <c r="E125" s="23"/>
      <c r="F125" s="23"/>
      <c r="G125" s="24">
        <v>15</v>
      </c>
      <c r="H125" s="24"/>
      <c r="I125" s="25"/>
      <c r="J125" s="25"/>
      <c r="K125" s="19"/>
      <c r="L125" s="20"/>
      <c r="M125" s="10"/>
      <c r="N125" s="10"/>
      <c r="O125" s="10"/>
      <c r="P125" s="10"/>
      <c r="Q125" s="10"/>
      <c r="R125" s="10"/>
      <c r="S125" s="10"/>
      <c r="T125" s="10"/>
      <c r="U125" s="10"/>
      <c r="V125" s="10"/>
      <c r="W125" s="10"/>
      <c r="X125" s="10"/>
      <c r="Y125" s="10"/>
      <c r="Z125" s="10"/>
      <c r="AA125" s="10"/>
      <c r="AB125" s="10"/>
      <c r="AC125" s="10"/>
      <c r="AD125" s="10"/>
      <c r="AE125" s="10"/>
      <c r="AF125" s="10"/>
      <c r="AG125" s="10"/>
      <c r="AH125" s="10"/>
    </row>
    <row r="126" spans="1:34" ht="12.75" hidden="1" outlineLevel="1">
      <c r="A126" s="11"/>
      <c r="B126" s="12" t="str">
        <f>IFERROR(VLOOKUP(D126,'[1]Перечень товаров'!$A$2:$I9525,2,0),"")</f>
        <v/>
      </c>
      <c r="C126" s="12" t="str">
        <f>IFERROR(VLOOKUP(D126,'[1]Перечень товаров'!$A$2:$I9525,3,0),"")</f>
        <v/>
      </c>
      <c r="D126" s="27" t="s">
        <v>70</v>
      </c>
      <c r="E126" s="14">
        <v>22.4</v>
      </c>
      <c r="F126" s="14"/>
      <c r="G126" s="17"/>
      <c r="H126" s="17"/>
      <c r="I126" s="57"/>
      <c r="J126" s="57"/>
      <c r="K126" s="19"/>
      <c r="L126" s="20"/>
      <c r="M126" s="10"/>
      <c r="N126" s="10"/>
      <c r="O126" s="10"/>
      <c r="P126" s="10"/>
      <c r="Q126" s="10"/>
      <c r="R126" s="10"/>
      <c r="S126" s="10"/>
      <c r="T126" s="10"/>
      <c r="U126" s="10"/>
      <c r="V126" s="10"/>
      <c r="W126" s="10"/>
      <c r="X126" s="10"/>
      <c r="Y126" s="10"/>
      <c r="Z126" s="10"/>
      <c r="AA126" s="10"/>
      <c r="AB126" s="10"/>
      <c r="AC126" s="10"/>
      <c r="AD126" s="10"/>
      <c r="AE126" s="10"/>
      <c r="AF126" s="10"/>
      <c r="AG126" s="10"/>
      <c r="AH126" s="10"/>
    </row>
    <row r="127" spans="1:34" hidden="1" outlineLevel="1">
      <c r="A127" s="66"/>
      <c r="B127" s="12" t="str">
        <f>IFERROR(VLOOKUP(D127,'[1]Перечень товаров'!$A$2:$I9525,2,0),"")</f>
        <v>м22</v>
      </c>
      <c r="C127" s="12" t="str">
        <f>IFERROR(VLOOKUP(D127,'[1]Перечень товаров'!$A$2:$I9525,3,0),"")</f>
        <v>Мебель</v>
      </c>
      <c r="D127" s="67" t="s">
        <v>67</v>
      </c>
      <c r="E127" s="23"/>
      <c r="F127" s="23"/>
      <c r="G127" s="24">
        <v>10</v>
      </c>
      <c r="H127" s="24"/>
      <c r="I127" s="25"/>
      <c r="J127" s="25"/>
      <c r="K127" s="19"/>
      <c r="L127" s="20"/>
      <c r="M127" s="10"/>
      <c r="N127" s="10"/>
      <c r="O127" s="10"/>
      <c r="P127" s="10"/>
      <c r="Q127" s="10"/>
      <c r="R127" s="10"/>
      <c r="S127" s="10"/>
      <c r="T127" s="10"/>
      <c r="U127" s="10"/>
      <c r="V127" s="10"/>
      <c r="W127" s="10"/>
      <c r="X127" s="10"/>
      <c r="Y127" s="10"/>
      <c r="Z127" s="10"/>
      <c r="AA127" s="10"/>
      <c r="AB127" s="10"/>
      <c r="AC127" s="10"/>
      <c r="AD127" s="10"/>
      <c r="AE127" s="10"/>
      <c r="AF127" s="10"/>
      <c r="AG127" s="10"/>
      <c r="AH127" s="10"/>
    </row>
    <row r="128" spans="1:34" ht="12.75" hidden="1" outlineLevel="1">
      <c r="A128" s="11"/>
      <c r="B128" s="12" t="str">
        <f>IFERROR(VLOOKUP(D128,'[1]Перечень товаров'!$A$2:$I9525,2,0),"")</f>
        <v/>
      </c>
      <c r="C128" s="12" t="str">
        <f>IFERROR(VLOOKUP(D128,'[1]Перечень товаров'!$A$2:$I9525,3,0),"")</f>
        <v/>
      </c>
      <c r="D128" s="27" t="s">
        <v>71</v>
      </c>
      <c r="E128" s="14">
        <v>22.1</v>
      </c>
      <c r="F128" s="14"/>
      <c r="G128" s="17"/>
      <c r="H128" s="17"/>
      <c r="I128" s="57"/>
      <c r="J128" s="57"/>
      <c r="K128" s="19"/>
      <c r="L128" s="20"/>
      <c r="M128" s="10"/>
      <c r="N128" s="10"/>
      <c r="O128" s="10"/>
      <c r="P128" s="10"/>
      <c r="Q128" s="10"/>
      <c r="R128" s="10"/>
      <c r="S128" s="10"/>
      <c r="T128" s="10"/>
      <c r="U128" s="10"/>
      <c r="V128" s="10"/>
      <c r="W128" s="10"/>
      <c r="X128" s="10"/>
      <c r="Y128" s="10"/>
      <c r="Z128" s="10"/>
      <c r="AA128" s="10"/>
      <c r="AB128" s="10"/>
      <c r="AC128" s="10"/>
      <c r="AD128" s="10"/>
      <c r="AE128" s="10"/>
      <c r="AF128" s="10"/>
      <c r="AG128" s="10"/>
      <c r="AH128" s="10"/>
    </row>
    <row r="129" spans="1:34" hidden="1" outlineLevel="1">
      <c r="A129" s="66"/>
      <c r="B129" s="12" t="str">
        <f>IFERROR(VLOOKUP(D129,'[1]Перечень товаров'!$A$2:$I9525,2,0),"")</f>
        <v>м22</v>
      </c>
      <c r="C129" s="12" t="str">
        <f>IFERROR(VLOOKUP(D129,'[1]Перечень товаров'!$A$2:$I9525,3,0),"")</f>
        <v>Мебель</v>
      </c>
      <c r="D129" s="67" t="s">
        <v>67</v>
      </c>
      <c r="E129" s="23"/>
      <c r="F129" s="23"/>
      <c r="G129" s="24">
        <v>10</v>
      </c>
      <c r="H129" s="24"/>
      <c r="I129" s="25"/>
      <c r="J129" s="25"/>
      <c r="K129" s="19"/>
      <c r="L129" s="20"/>
      <c r="M129" s="10"/>
      <c r="N129" s="10"/>
      <c r="O129" s="10"/>
      <c r="P129" s="10"/>
      <c r="Q129" s="10"/>
      <c r="R129" s="10"/>
      <c r="S129" s="10"/>
      <c r="T129" s="10"/>
      <c r="U129" s="10"/>
      <c r="V129" s="10"/>
      <c r="W129" s="10"/>
      <c r="X129" s="10"/>
      <c r="Y129" s="10"/>
      <c r="Z129" s="10"/>
      <c r="AA129" s="10"/>
      <c r="AB129" s="10"/>
      <c r="AC129" s="10"/>
      <c r="AD129" s="10"/>
      <c r="AE129" s="10"/>
      <c r="AF129" s="10"/>
      <c r="AG129" s="10"/>
      <c r="AH129" s="10"/>
    </row>
    <row r="130" spans="1:34" ht="12.75" hidden="1" outlineLevel="1">
      <c r="A130" s="11"/>
      <c r="B130" s="12" t="str">
        <f>IFERROR(VLOOKUP(D130,'[1]Перечень товаров'!$A$2:$I9525,2,0),"")</f>
        <v/>
      </c>
      <c r="C130" s="12" t="str">
        <f>IFERROR(VLOOKUP(D130,'[1]Перечень товаров'!$A$2:$I9525,3,0),"")</f>
        <v/>
      </c>
      <c r="D130" s="27" t="s">
        <v>72</v>
      </c>
      <c r="E130" s="14">
        <v>22.4</v>
      </c>
      <c r="F130" s="14"/>
      <c r="G130" s="17"/>
      <c r="H130" s="17"/>
      <c r="I130" s="57"/>
      <c r="J130" s="57"/>
      <c r="K130" s="19"/>
      <c r="L130" s="20"/>
      <c r="M130" s="10"/>
      <c r="N130" s="10"/>
      <c r="O130" s="10"/>
      <c r="P130" s="10"/>
      <c r="Q130" s="10"/>
      <c r="R130" s="10"/>
      <c r="S130" s="10"/>
      <c r="T130" s="10"/>
      <c r="U130" s="10"/>
      <c r="V130" s="10"/>
      <c r="W130" s="10"/>
      <c r="X130" s="10"/>
      <c r="Y130" s="10"/>
      <c r="Z130" s="10"/>
      <c r="AA130" s="10"/>
      <c r="AB130" s="10"/>
      <c r="AC130" s="10"/>
      <c r="AD130" s="10"/>
      <c r="AE130" s="10"/>
      <c r="AF130" s="10"/>
      <c r="AG130" s="10"/>
      <c r="AH130" s="10"/>
    </row>
    <row r="131" spans="1:34" hidden="1" outlineLevel="1">
      <c r="A131" s="66"/>
      <c r="B131" s="12" t="str">
        <f>IFERROR(VLOOKUP(D131,'[1]Перечень товаров'!$A$2:$I9525,2,0),"")</f>
        <v>м22</v>
      </c>
      <c r="C131" s="12" t="str">
        <f>IFERROR(VLOOKUP(D131,'[1]Перечень товаров'!$A$2:$I9525,3,0),"")</f>
        <v>Мебель</v>
      </c>
      <c r="D131" s="67" t="s">
        <v>67</v>
      </c>
      <c r="E131" s="23"/>
      <c r="F131" s="23"/>
      <c r="G131" s="24">
        <v>10</v>
      </c>
      <c r="H131" s="24"/>
      <c r="I131" s="25"/>
      <c r="J131" s="25"/>
      <c r="K131" s="19"/>
      <c r="L131" s="20"/>
      <c r="M131" s="10"/>
      <c r="N131" s="10"/>
      <c r="O131" s="10"/>
      <c r="P131" s="10"/>
      <c r="Q131" s="10"/>
      <c r="R131" s="10"/>
      <c r="S131" s="10"/>
      <c r="T131" s="10"/>
      <c r="U131" s="10"/>
      <c r="V131" s="10"/>
      <c r="W131" s="10"/>
      <c r="X131" s="10"/>
      <c r="Y131" s="10"/>
      <c r="Z131" s="10"/>
      <c r="AA131" s="10"/>
      <c r="AB131" s="10"/>
      <c r="AC131" s="10"/>
      <c r="AD131" s="10"/>
      <c r="AE131" s="10"/>
      <c r="AF131" s="10"/>
      <c r="AG131" s="10"/>
      <c r="AH131" s="10"/>
    </row>
    <row r="132" spans="1:34" ht="12.75" hidden="1" outlineLevel="1">
      <c r="A132" s="11"/>
      <c r="B132" s="12" t="str">
        <f>IFERROR(VLOOKUP(D132,'[1]Перечень товаров'!$A$2:$I9525,2,0),"")</f>
        <v/>
      </c>
      <c r="C132" s="12" t="str">
        <f>IFERROR(VLOOKUP(D132,'[1]Перечень товаров'!$A$2:$I9525,3,0),"")</f>
        <v/>
      </c>
      <c r="D132" s="27" t="s">
        <v>73</v>
      </c>
      <c r="E132" s="14">
        <v>20.2</v>
      </c>
      <c r="F132" s="14"/>
      <c r="G132" s="17"/>
      <c r="H132" s="17"/>
      <c r="I132" s="57"/>
      <c r="J132" s="57"/>
      <c r="K132" s="19"/>
      <c r="L132" s="20"/>
      <c r="M132" s="10"/>
      <c r="N132" s="10"/>
      <c r="O132" s="10"/>
      <c r="P132" s="10"/>
      <c r="Q132" s="10"/>
      <c r="R132" s="10"/>
      <c r="S132" s="10"/>
      <c r="T132" s="10"/>
      <c r="U132" s="10"/>
      <c r="V132" s="10"/>
      <c r="W132" s="10"/>
      <c r="X132" s="10"/>
      <c r="Y132" s="10"/>
      <c r="Z132" s="10"/>
      <c r="AA132" s="10"/>
      <c r="AB132" s="10"/>
      <c r="AC132" s="10"/>
      <c r="AD132" s="10"/>
      <c r="AE132" s="10"/>
      <c r="AF132" s="10"/>
      <c r="AG132" s="10"/>
      <c r="AH132" s="10"/>
    </row>
    <row r="133" spans="1:34" hidden="1" outlineLevel="1">
      <c r="A133" s="66"/>
      <c r="B133" s="12" t="str">
        <f>IFERROR(VLOOKUP(D133,'[1]Перечень товаров'!$A$2:$I9525,2,0),"")</f>
        <v>м22</v>
      </c>
      <c r="C133" s="12" t="str">
        <f>IFERROR(VLOOKUP(D133,'[1]Перечень товаров'!$A$2:$I9525,3,0),"")</f>
        <v>Мебель</v>
      </c>
      <c r="D133" s="67" t="s">
        <v>67</v>
      </c>
      <c r="E133" s="23"/>
      <c r="F133" s="23"/>
      <c r="G133" s="24">
        <v>10</v>
      </c>
      <c r="H133" s="24"/>
      <c r="I133" s="25"/>
      <c r="J133" s="25"/>
      <c r="K133" s="19"/>
      <c r="L133" s="20"/>
      <c r="M133" s="10"/>
      <c r="N133" s="10"/>
      <c r="O133" s="10"/>
      <c r="P133" s="10"/>
      <c r="Q133" s="10"/>
      <c r="R133" s="10"/>
      <c r="S133" s="10"/>
      <c r="T133" s="10"/>
      <c r="U133" s="10"/>
      <c r="V133" s="10"/>
      <c r="W133" s="10"/>
      <c r="X133" s="10"/>
      <c r="Y133" s="10"/>
      <c r="Z133" s="10"/>
      <c r="AA133" s="10"/>
      <c r="AB133" s="10"/>
      <c r="AC133" s="10"/>
      <c r="AD133" s="10"/>
      <c r="AE133" s="10"/>
      <c r="AF133" s="10"/>
      <c r="AG133" s="10"/>
      <c r="AH133" s="10"/>
    </row>
    <row r="134" spans="1:34" ht="12.75" hidden="1" outlineLevel="1">
      <c r="A134" s="11"/>
      <c r="B134" s="12" t="str">
        <f>IFERROR(VLOOKUP(D134,'[1]Перечень товаров'!$A$2:$I9525,2,0),"")</f>
        <v/>
      </c>
      <c r="C134" s="12" t="str">
        <f>IFERROR(VLOOKUP(D134,'[1]Перечень товаров'!$A$2:$I9525,3,0),"")</f>
        <v/>
      </c>
      <c r="D134" s="27" t="s">
        <v>68</v>
      </c>
      <c r="E134" s="14">
        <v>42.8</v>
      </c>
      <c r="F134" s="14"/>
      <c r="G134" s="17"/>
      <c r="H134" s="17"/>
      <c r="I134" s="57"/>
      <c r="J134" s="57"/>
      <c r="K134" s="19"/>
      <c r="L134" s="20"/>
      <c r="M134" s="10"/>
      <c r="N134" s="10"/>
      <c r="O134" s="10"/>
      <c r="P134" s="10"/>
      <c r="Q134" s="10"/>
      <c r="R134" s="10"/>
      <c r="S134" s="10"/>
      <c r="T134" s="10"/>
      <c r="U134" s="10"/>
      <c r="V134" s="10"/>
      <c r="W134" s="10"/>
      <c r="X134" s="10"/>
      <c r="Y134" s="10"/>
      <c r="Z134" s="10"/>
      <c r="AA134" s="10"/>
      <c r="AB134" s="10"/>
      <c r="AC134" s="10"/>
      <c r="AD134" s="10"/>
      <c r="AE134" s="10"/>
      <c r="AF134" s="10"/>
      <c r="AG134" s="10"/>
      <c r="AH134" s="10"/>
    </row>
    <row r="135" spans="1:34" hidden="1" outlineLevel="1">
      <c r="A135" s="66"/>
      <c r="B135" s="12" t="str">
        <f>IFERROR(VLOOKUP(D135,'[1]Перечень товаров'!$A$2:$I9525,2,0),"")</f>
        <v>м22</v>
      </c>
      <c r="C135" s="12" t="str">
        <f>IFERROR(VLOOKUP(D135,'[1]Перечень товаров'!$A$2:$I9525,3,0),"")</f>
        <v>Мебель</v>
      </c>
      <c r="D135" s="67" t="s">
        <v>67</v>
      </c>
      <c r="E135" s="23"/>
      <c r="F135" s="23"/>
      <c r="G135" s="24">
        <v>20</v>
      </c>
      <c r="H135" s="24"/>
      <c r="I135" s="25"/>
      <c r="J135" s="25"/>
      <c r="K135" s="19"/>
      <c r="L135" s="20"/>
      <c r="M135" s="10"/>
      <c r="N135" s="10"/>
      <c r="O135" s="10"/>
      <c r="P135" s="10"/>
      <c r="Q135" s="10"/>
      <c r="R135" s="10"/>
      <c r="S135" s="10"/>
      <c r="T135" s="10"/>
      <c r="U135" s="10"/>
      <c r="V135" s="10"/>
      <c r="W135" s="10"/>
      <c r="X135" s="10"/>
      <c r="Y135" s="10"/>
      <c r="Z135" s="10"/>
      <c r="AA135" s="10"/>
      <c r="AB135" s="10"/>
      <c r="AC135" s="10"/>
      <c r="AD135" s="10"/>
      <c r="AE135" s="10"/>
      <c r="AF135" s="10"/>
      <c r="AG135" s="10"/>
      <c r="AH135" s="10"/>
    </row>
    <row r="136" spans="1:34" ht="12.75" hidden="1" outlineLevel="1">
      <c r="A136" s="11"/>
      <c r="B136" s="12" t="str">
        <f>IFERROR(VLOOKUP(D136,'[1]Перечень товаров'!$A$2:$I9525,2,0),"")</f>
        <v/>
      </c>
      <c r="C136" s="12" t="str">
        <f>IFERROR(VLOOKUP(D136,'[1]Перечень товаров'!$A$2:$I9525,3,0),"")</f>
        <v/>
      </c>
      <c r="D136" s="27" t="s">
        <v>66</v>
      </c>
      <c r="E136" s="14">
        <v>103.6</v>
      </c>
      <c r="F136" s="14"/>
      <c r="G136" s="17"/>
      <c r="H136" s="17"/>
      <c r="I136" s="57"/>
      <c r="J136" s="57"/>
      <c r="K136" s="19"/>
      <c r="L136" s="20"/>
      <c r="M136" s="10"/>
      <c r="N136" s="10"/>
      <c r="O136" s="10"/>
      <c r="P136" s="10"/>
      <c r="Q136" s="10"/>
      <c r="R136" s="10"/>
      <c r="S136" s="10"/>
      <c r="T136" s="10"/>
      <c r="U136" s="10"/>
      <c r="V136" s="10"/>
      <c r="W136" s="10"/>
      <c r="X136" s="10"/>
      <c r="Y136" s="10"/>
      <c r="Z136" s="10"/>
      <c r="AA136" s="10"/>
      <c r="AB136" s="10"/>
      <c r="AC136" s="10"/>
      <c r="AD136" s="10"/>
      <c r="AE136" s="10"/>
      <c r="AF136" s="10"/>
      <c r="AG136" s="10"/>
      <c r="AH136" s="10"/>
    </row>
    <row r="137" spans="1:34" hidden="1" outlineLevel="1">
      <c r="A137" s="66"/>
      <c r="B137" s="12" t="str">
        <f>IFERROR(VLOOKUP(D137,'[1]Перечень товаров'!$A$2:$I9525,2,0),"")</f>
        <v>м22</v>
      </c>
      <c r="C137" s="12" t="str">
        <f>IFERROR(VLOOKUP(D137,'[1]Перечень товаров'!$A$2:$I9525,3,0),"")</f>
        <v>Мебель</v>
      </c>
      <c r="D137" s="67" t="s">
        <v>67</v>
      </c>
      <c r="E137" s="23"/>
      <c r="F137" s="23"/>
      <c r="G137" s="24">
        <v>50</v>
      </c>
      <c r="H137" s="24"/>
      <c r="I137" s="25"/>
      <c r="J137" s="25"/>
      <c r="K137" s="19"/>
      <c r="L137" s="20"/>
      <c r="M137" s="10"/>
      <c r="N137" s="10"/>
      <c r="O137" s="10"/>
      <c r="P137" s="10"/>
      <c r="Q137" s="10"/>
      <c r="R137" s="10"/>
      <c r="S137" s="10"/>
      <c r="T137" s="10"/>
      <c r="U137" s="10"/>
      <c r="V137" s="10"/>
      <c r="W137" s="10"/>
      <c r="X137" s="10"/>
      <c r="Y137" s="10"/>
      <c r="Z137" s="10"/>
      <c r="AA137" s="10"/>
      <c r="AB137" s="10"/>
      <c r="AC137" s="10"/>
      <c r="AD137" s="10"/>
      <c r="AE137" s="10"/>
      <c r="AF137" s="10"/>
      <c r="AG137" s="10"/>
      <c r="AH137" s="10"/>
    </row>
    <row r="138" spans="1:34" ht="12.75" hidden="1" outlineLevel="1">
      <c r="A138" s="11"/>
      <c r="B138" s="12" t="str">
        <f>IFERROR(VLOOKUP(D138,'[1]Перечень товаров'!$A$2:$I9525,2,0),"")</f>
        <v/>
      </c>
      <c r="C138" s="12" t="str">
        <f>IFERROR(VLOOKUP(D138,'[1]Перечень товаров'!$A$2:$I9525,3,0),"")</f>
        <v/>
      </c>
      <c r="D138" s="27" t="s">
        <v>74</v>
      </c>
      <c r="E138" s="14">
        <v>91.1</v>
      </c>
      <c r="F138" s="14"/>
      <c r="G138" s="17"/>
      <c r="H138" s="17"/>
      <c r="I138" s="57"/>
      <c r="J138" s="57"/>
      <c r="K138" s="19"/>
      <c r="L138" s="20"/>
      <c r="M138" s="10"/>
      <c r="N138" s="10"/>
      <c r="O138" s="10"/>
      <c r="P138" s="10"/>
      <c r="Q138" s="10"/>
      <c r="R138" s="10"/>
      <c r="S138" s="10"/>
      <c r="T138" s="10"/>
      <c r="U138" s="10"/>
      <c r="V138" s="10"/>
      <c r="W138" s="10"/>
      <c r="X138" s="10"/>
      <c r="Y138" s="10"/>
      <c r="Z138" s="10"/>
      <c r="AA138" s="10"/>
      <c r="AB138" s="10"/>
      <c r="AC138" s="10"/>
      <c r="AD138" s="10"/>
      <c r="AE138" s="10"/>
      <c r="AF138" s="10"/>
      <c r="AG138" s="10"/>
      <c r="AH138" s="10"/>
    </row>
    <row r="139" spans="1:34" hidden="1" outlineLevel="1">
      <c r="A139" s="66"/>
      <c r="B139" s="12" t="str">
        <f>IFERROR(VLOOKUP(D139,'[1]Перечень товаров'!$A$2:$I9525,2,0),"")</f>
        <v>м22</v>
      </c>
      <c r="C139" s="12" t="str">
        <f>IFERROR(VLOOKUP(D139,'[1]Перечень товаров'!$A$2:$I9525,3,0),"")</f>
        <v>Мебель</v>
      </c>
      <c r="D139" s="67" t="s">
        <v>67</v>
      </c>
      <c r="E139" s="23"/>
      <c r="F139" s="23"/>
      <c r="G139" s="24">
        <v>45</v>
      </c>
      <c r="H139" s="24"/>
      <c r="I139" s="25"/>
      <c r="J139" s="25"/>
      <c r="K139" s="19"/>
      <c r="L139" s="20"/>
      <c r="M139" s="10"/>
      <c r="N139" s="10"/>
      <c r="O139" s="10"/>
      <c r="P139" s="10"/>
      <c r="Q139" s="10"/>
      <c r="R139" s="10"/>
      <c r="S139" s="10"/>
      <c r="T139" s="10"/>
      <c r="U139" s="10"/>
      <c r="V139" s="10"/>
      <c r="W139" s="10"/>
      <c r="X139" s="10"/>
      <c r="Y139" s="10"/>
      <c r="Z139" s="10"/>
      <c r="AA139" s="10"/>
      <c r="AB139" s="10"/>
      <c r="AC139" s="10"/>
      <c r="AD139" s="10"/>
      <c r="AE139" s="10"/>
      <c r="AF139" s="10"/>
      <c r="AG139" s="10"/>
      <c r="AH139" s="10"/>
    </row>
    <row r="140" spans="1:34" ht="12.75" hidden="1" outlineLevel="1">
      <c r="A140" s="11"/>
      <c r="B140" s="12" t="str">
        <f>IFERROR(VLOOKUP(D140,'[1]Перечень товаров'!$A$2:$I9525,2,0),"")</f>
        <v/>
      </c>
      <c r="C140" s="12" t="str">
        <f>IFERROR(VLOOKUP(D140,'[1]Перечень товаров'!$A$2:$I9525,3,0),"")</f>
        <v/>
      </c>
      <c r="D140" s="27" t="s">
        <v>75</v>
      </c>
      <c r="E140" s="14">
        <v>34.9</v>
      </c>
      <c r="F140" s="14"/>
      <c r="G140" s="17"/>
      <c r="H140" s="17"/>
      <c r="I140" s="57"/>
      <c r="J140" s="57"/>
      <c r="K140" s="19"/>
      <c r="L140" s="20"/>
      <c r="M140" s="10"/>
      <c r="N140" s="10"/>
      <c r="O140" s="10"/>
      <c r="P140" s="10"/>
      <c r="Q140" s="10"/>
      <c r="R140" s="10"/>
      <c r="S140" s="10"/>
      <c r="T140" s="10"/>
      <c r="U140" s="10"/>
      <c r="V140" s="10"/>
      <c r="W140" s="10"/>
      <c r="X140" s="10"/>
      <c r="Y140" s="10"/>
      <c r="Z140" s="10"/>
      <c r="AA140" s="10"/>
      <c r="AB140" s="10"/>
      <c r="AC140" s="10"/>
      <c r="AD140" s="10"/>
      <c r="AE140" s="10"/>
      <c r="AF140" s="10"/>
      <c r="AG140" s="10"/>
      <c r="AH140" s="10"/>
    </row>
    <row r="141" spans="1:34" hidden="1" outlineLevel="2">
      <c r="A141" s="22"/>
      <c r="B141" s="12" t="str">
        <f>IFERROR(VLOOKUP(D141,'[1]Перечень товаров'!$A$2:$I9525,2,0),"")</f>
        <v>т1</v>
      </c>
      <c r="C141" s="12" t="str">
        <f>IFERROR(VLOOKUP(D141,'[1]Перечень товаров'!$A$2:$I9525,3,0),"")</f>
        <v xml:space="preserve">Техника </v>
      </c>
      <c r="D141" s="22" t="s">
        <v>28</v>
      </c>
      <c r="E141" s="68"/>
      <c r="F141" s="68"/>
      <c r="G141" s="48">
        <v>1</v>
      </c>
      <c r="H141" s="48"/>
      <c r="I141" s="49"/>
      <c r="J141" s="49"/>
      <c r="K141" s="33"/>
      <c r="L141" s="20"/>
      <c r="M141" s="10"/>
      <c r="N141" s="10"/>
      <c r="O141" s="10"/>
      <c r="P141" s="10"/>
      <c r="Q141" s="10"/>
      <c r="R141" s="10"/>
      <c r="S141" s="10"/>
      <c r="T141" s="10"/>
      <c r="U141" s="10"/>
      <c r="V141" s="10"/>
      <c r="W141" s="10"/>
      <c r="X141" s="10"/>
      <c r="Y141" s="10"/>
      <c r="Z141" s="10"/>
      <c r="AA141" s="10"/>
      <c r="AB141" s="10"/>
      <c r="AC141" s="10"/>
      <c r="AD141" s="10"/>
      <c r="AE141" s="10"/>
      <c r="AF141" s="10"/>
      <c r="AG141" s="10"/>
      <c r="AH141" s="10"/>
    </row>
    <row r="142" spans="1:34" hidden="1" outlineLevel="2">
      <c r="A142" s="35"/>
      <c r="B142" s="12" t="str">
        <f>IFERROR(VLOOKUP(D142,'[1]Перечень товаров'!$A$2:$I9525,2,0),"")</f>
        <v>т2</v>
      </c>
      <c r="C142" s="12" t="str">
        <f>IFERROR(VLOOKUP(D142,'[1]Перечень товаров'!$A$2:$I9525,3,0),"")</f>
        <v xml:space="preserve">Техника </v>
      </c>
      <c r="D142" s="35" t="s">
        <v>29</v>
      </c>
      <c r="E142" s="68"/>
      <c r="F142" s="68"/>
      <c r="G142" s="48">
        <v>1</v>
      </c>
      <c r="H142" s="48"/>
      <c r="I142" s="49"/>
      <c r="J142" s="49"/>
      <c r="K142" s="33"/>
      <c r="L142" s="20"/>
      <c r="M142" s="10"/>
      <c r="N142" s="10"/>
      <c r="O142" s="10"/>
      <c r="P142" s="10"/>
      <c r="Q142" s="10"/>
      <c r="R142" s="10"/>
      <c r="S142" s="10"/>
      <c r="T142" s="10"/>
      <c r="U142" s="10"/>
      <c r="V142" s="10"/>
      <c r="W142" s="10"/>
      <c r="X142" s="10"/>
      <c r="Y142" s="10"/>
      <c r="Z142" s="10"/>
      <c r="AA142" s="10"/>
      <c r="AB142" s="10"/>
      <c r="AC142" s="10"/>
      <c r="AD142" s="10"/>
      <c r="AE142" s="10"/>
      <c r="AF142" s="10"/>
      <c r="AG142" s="10"/>
      <c r="AH142" s="10"/>
    </row>
    <row r="143" spans="1:34" hidden="1" outlineLevel="2">
      <c r="A143" s="35"/>
      <c r="B143" s="12" t="str">
        <f>IFERROR(VLOOKUP(D143,'[1]Перечень товаров'!$A$2:$I9525,2,0),"")</f>
        <v>т3</v>
      </c>
      <c r="C143" s="12" t="str">
        <f>IFERROR(VLOOKUP(D143,'[1]Перечень товаров'!$A$2:$I9525,3,0),"")</f>
        <v xml:space="preserve">Техника </v>
      </c>
      <c r="D143" s="35" t="s">
        <v>30</v>
      </c>
      <c r="E143" s="68"/>
      <c r="F143" s="68"/>
      <c r="G143" s="48">
        <v>1</v>
      </c>
      <c r="H143" s="48"/>
      <c r="I143" s="49"/>
      <c r="J143" s="49"/>
      <c r="K143" s="33"/>
      <c r="L143" s="20"/>
      <c r="M143" s="10"/>
      <c r="N143" s="10"/>
      <c r="O143" s="10"/>
      <c r="P143" s="10"/>
      <c r="Q143" s="10"/>
      <c r="R143" s="10"/>
      <c r="S143" s="10"/>
      <c r="T143" s="10"/>
      <c r="U143" s="10"/>
      <c r="V143" s="10"/>
      <c r="W143" s="10"/>
      <c r="X143" s="10"/>
      <c r="Y143" s="10"/>
      <c r="Z143" s="10"/>
      <c r="AA143" s="10"/>
      <c r="AB143" s="10"/>
      <c r="AC143" s="10"/>
      <c r="AD143" s="10"/>
      <c r="AE143" s="10"/>
      <c r="AF143" s="10"/>
      <c r="AG143" s="10"/>
      <c r="AH143" s="10"/>
    </row>
    <row r="144" spans="1:34" hidden="1" outlineLevel="2">
      <c r="A144" s="35"/>
      <c r="B144" s="12" t="str">
        <f>IFERROR(VLOOKUP(D144,'[1]Перечень товаров'!$A$2:$I9525,2,0),"")</f>
        <v>т4</v>
      </c>
      <c r="C144" s="12" t="str">
        <f>IFERROR(VLOOKUP(D144,'[1]Перечень товаров'!$A$2:$I9525,3,0),"")</f>
        <v xml:space="preserve">Техника </v>
      </c>
      <c r="D144" s="35" t="s">
        <v>31</v>
      </c>
      <c r="E144" s="68"/>
      <c r="F144" s="68"/>
      <c r="G144" s="48">
        <v>1</v>
      </c>
      <c r="H144" s="48"/>
      <c r="I144" s="49"/>
      <c r="J144" s="49"/>
      <c r="K144" s="33"/>
      <c r="L144" s="20"/>
      <c r="M144" s="10"/>
      <c r="N144" s="10"/>
      <c r="O144" s="10"/>
      <c r="P144" s="10"/>
      <c r="Q144" s="10"/>
      <c r="R144" s="10"/>
      <c r="S144" s="10"/>
      <c r="T144" s="10"/>
      <c r="U144" s="10"/>
      <c r="V144" s="10"/>
      <c r="W144" s="10"/>
      <c r="X144" s="10"/>
      <c r="Y144" s="10"/>
      <c r="Z144" s="10"/>
      <c r="AA144" s="10"/>
      <c r="AB144" s="10"/>
      <c r="AC144" s="10"/>
      <c r="AD144" s="10"/>
      <c r="AE144" s="10"/>
      <c r="AF144" s="10"/>
      <c r="AG144" s="10"/>
      <c r="AH144" s="10"/>
    </row>
    <row r="145" spans="1:34" hidden="1" outlineLevel="2">
      <c r="A145" s="21"/>
      <c r="B145" s="12" t="str">
        <f>IFERROR(VLOOKUP(D145,'[1]Перечень товаров'!$A$2:$I9525,2,0),"")</f>
        <v>т7</v>
      </c>
      <c r="C145" s="12" t="str">
        <f>IFERROR(VLOOKUP(D145,'[1]Перечень товаров'!$A$2:$I9525,3,0),"")</f>
        <v xml:space="preserve">Техника </v>
      </c>
      <c r="D145" s="22" t="s">
        <v>34</v>
      </c>
      <c r="E145" s="68"/>
      <c r="F145" s="68"/>
      <c r="G145" s="48">
        <v>1</v>
      </c>
      <c r="H145" s="48"/>
      <c r="I145" s="49"/>
      <c r="J145" s="49"/>
      <c r="K145" s="33"/>
      <c r="L145" s="20"/>
      <c r="M145" s="10"/>
      <c r="N145" s="10"/>
      <c r="O145" s="10"/>
      <c r="P145" s="10"/>
      <c r="Q145" s="10"/>
      <c r="R145" s="10"/>
      <c r="S145" s="10"/>
      <c r="T145" s="10"/>
      <c r="U145" s="10"/>
      <c r="V145" s="10"/>
      <c r="W145" s="10"/>
      <c r="X145" s="10"/>
      <c r="Y145" s="10"/>
      <c r="Z145" s="10"/>
      <c r="AA145" s="10"/>
      <c r="AB145" s="10"/>
      <c r="AC145" s="10"/>
      <c r="AD145" s="10"/>
      <c r="AE145" s="10"/>
      <c r="AF145" s="10"/>
      <c r="AG145" s="10"/>
      <c r="AH145" s="10"/>
    </row>
    <row r="146" spans="1:34" ht="12.75" hidden="1" outlineLevel="2">
      <c r="A146" s="62"/>
      <c r="B146" s="12" t="str">
        <f>IFERROR(VLOOKUP(D146,'[1]Перечень товаров'!$A$2:$I9525,2,0),"")</f>
        <v/>
      </c>
      <c r="C146" s="12" t="str">
        <f>IFERROR(VLOOKUP(D146,'[1]Перечень товаров'!$A$2:$I9525,3,0),"")</f>
        <v/>
      </c>
      <c r="D146" s="63"/>
      <c r="E146" s="69"/>
      <c r="F146" s="69"/>
      <c r="G146" s="52"/>
      <c r="H146" s="52"/>
      <c r="I146" s="53"/>
      <c r="J146" s="53"/>
      <c r="K146" s="42"/>
      <c r="L146" s="20"/>
      <c r="M146" s="10"/>
      <c r="N146" s="10"/>
      <c r="O146" s="10"/>
      <c r="P146" s="10"/>
      <c r="Q146" s="10"/>
      <c r="R146" s="10"/>
      <c r="S146" s="10"/>
      <c r="T146" s="10"/>
      <c r="U146" s="10"/>
      <c r="V146" s="10"/>
      <c r="W146" s="10"/>
      <c r="X146" s="10"/>
      <c r="Y146" s="10"/>
      <c r="Z146" s="10"/>
      <c r="AA146" s="10"/>
      <c r="AB146" s="10"/>
      <c r="AC146" s="10"/>
      <c r="AD146" s="10"/>
      <c r="AE146" s="10"/>
      <c r="AF146" s="10"/>
      <c r="AG146" s="10"/>
      <c r="AH146" s="10"/>
    </row>
    <row r="147" spans="1:34" hidden="1" outlineLevel="2">
      <c r="A147" s="35"/>
      <c r="B147" s="12" t="str">
        <f>IFERROR(VLOOKUP(D147,'[1]Перечень товаров'!$A$2:$I9525,2,0),"")</f>
        <v>м19</v>
      </c>
      <c r="C147" s="12" t="str">
        <f>IFERROR(VLOOKUP(D147,'[1]Перечень товаров'!$A$2:$I9525,3,0),"")</f>
        <v>Мебель</v>
      </c>
      <c r="D147" s="35" t="s">
        <v>53</v>
      </c>
      <c r="E147" s="68"/>
      <c r="F147" s="68"/>
      <c r="G147" s="48">
        <v>2</v>
      </c>
      <c r="H147" s="48"/>
      <c r="I147" s="49"/>
      <c r="J147" s="49"/>
      <c r="K147" s="33"/>
      <c r="L147" s="20"/>
      <c r="M147" s="10"/>
      <c r="N147" s="10"/>
      <c r="O147" s="10"/>
      <c r="P147" s="10"/>
      <c r="Q147" s="10"/>
      <c r="R147" s="10"/>
      <c r="S147" s="10"/>
      <c r="T147" s="10"/>
      <c r="U147" s="10"/>
      <c r="V147" s="10"/>
      <c r="W147" s="10"/>
      <c r="X147" s="10"/>
      <c r="Y147" s="10"/>
      <c r="Z147" s="10"/>
      <c r="AA147" s="10"/>
      <c r="AB147" s="10"/>
      <c r="AC147" s="10"/>
      <c r="AD147" s="10"/>
      <c r="AE147" s="10"/>
      <c r="AF147" s="10"/>
      <c r="AG147" s="10"/>
      <c r="AH147" s="10"/>
    </row>
    <row r="148" spans="1:34" ht="31.5" hidden="1" outlineLevel="2">
      <c r="A148" s="22"/>
      <c r="B148" s="12" t="str">
        <f>IFERROR(VLOOKUP(D148,'[1]Перечень товаров'!$A$2:$I9525,2,0),"")</f>
        <v>м205</v>
      </c>
      <c r="C148" s="12" t="str">
        <f>IFERROR(VLOOKUP(D148,'[1]Перечень товаров'!$A$2:$I9525,3,0),"")</f>
        <v>Мебель</v>
      </c>
      <c r="D148" s="22" t="s">
        <v>20</v>
      </c>
      <c r="E148" s="68"/>
      <c r="F148" s="68"/>
      <c r="G148" s="48">
        <v>1</v>
      </c>
      <c r="H148" s="48"/>
      <c r="I148" s="49"/>
      <c r="J148" s="49"/>
      <c r="K148" s="33"/>
      <c r="L148" s="20"/>
      <c r="M148" s="10"/>
      <c r="N148" s="10"/>
      <c r="O148" s="10"/>
      <c r="P148" s="10"/>
      <c r="Q148" s="10"/>
      <c r="R148" s="10"/>
      <c r="S148" s="10"/>
      <c r="T148" s="10"/>
      <c r="U148" s="10"/>
      <c r="V148" s="10"/>
      <c r="W148" s="10"/>
      <c r="X148" s="10"/>
      <c r="Y148" s="10"/>
      <c r="Z148" s="10"/>
      <c r="AA148" s="10"/>
      <c r="AB148" s="10"/>
      <c r="AC148" s="10"/>
      <c r="AD148" s="10"/>
      <c r="AE148" s="10"/>
      <c r="AF148" s="10"/>
      <c r="AG148" s="10"/>
      <c r="AH148" s="10"/>
    </row>
    <row r="149" spans="1:34" hidden="1" outlineLevel="2">
      <c r="A149" s="22"/>
      <c r="B149" s="12" t="str">
        <f>IFERROR(VLOOKUP(D149,'[1]Перечень товаров'!$A$2:$I9525,2,0),"")</f>
        <v>м23</v>
      </c>
      <c r="C149" s="12" t="str">
        <f>IFERROR(VLOOKUP(D149,'[1]Перечень товаров'!$A$2:$I9525,3,0),"")</f>
        <v>Мебель</v>
      </c>
      <c r="D149" s="22" t="s">
        <v>76</v>
      </c>
      <c r="E149" s="68"/>
      <c r="F149" s="68"/>
      <c r="G149" s="48">
        <v>1</v>
      </c>
      <c r="H149" s="48"/>
      <c r="I149" s="49"/>
      <c r="J149" s="49"/>
      <c r="K149" s="33"/>
      <c r="L149" s="20"/>
      <c r="M149" s="10"/>
      <c r="N149" s="10"/>
      <c r="O149" s="10"/>
      <c r="P149" s="10"/>
      <c r="Q149" s="10"/>
      <c r="R149" s="10"/>
      <c r="S149" s="10"/>
      <c r="T149" s="10"/>
      <c r="U149" s="10"/>
      <c r="V149" s="10"/>
      <c r="W149" s="10"/>
      <c r="X149" s="10"/>
      <c r="Y149" s="10"/>
      <c r="Z149" s="10"/>
      <c r="AA149" s="10"/>
      <c r="AB149" s="10"/>
      <c r="AC149" s="10"/>
      <c r="AD149" s="10"/>
      <c r="AE149" s="10"/>
      <c r="AF149" s="10"/>
      <c r="AG149" s="10"/>
      <c r="AH149" s="10"/>
    </row>
    <row r="150" spans="1:34" hidden="1" outlineLevel="2">
      <c r="A150" s="22"/>
      <c r="B150" s="12" t="str">
        <f>IFERROR(VLOOKUP(D150,'[1]Перечень товаров'!$A$2:$I9525,2,0),"")</f>
        <v>м14</v>
      </c>
      <c r="C150" s="12" t="str">
        <f>IFERROR(VLOOKUP(D150,'[1]Перечень товаров'!$A$2:$I9525,3,0),"")</f>
        <v>Мебель</v>
      </c>
      <c r="D150" s="22" t="s">
        <v>43</v>
      </c>
      <c r="E150" s="68"/>
      <c r="F150" s="68"/>
      <c r="G150" s="48">
        <v>1</v>
      </c>
      <c r="H150" s="48"/>
      <c r="I150" s="49"/>
      <c r="J150" s="49"/>
      <c r="K150" s="33"/>
      <c r="L150" s="20"/>
      <c r="M150" s="10"/>
      <c r="N150" s="10"/>
      <c r="O150" s="10"/>
      <c r="P150" s="10"/>
      <c r="Q150" s="10"/>
      <c r="R150" s="10"/>
      <c r="S150" s="10"/>
      <c r="T150" s="10"/>
      <c r="U150" s="10"/>
      <c r="V150" s="10"/>
      <c r="W150" s="10"/>
      <c r="X150" s="10"/>
      <c r="Y150" s="10"/>
      <c r="Z150" s="10"/>
      <c r="AA150" s="10"/>
      <c r="AB150" s="10"/>
      <c r="AC150" s="10"/>
      <c r="AD150" s="10"/>
      <c r="AE150" s="10"/>
      <c r="AF150" s="10"/>
      <c r="AG150" s="10"/>
      <c r="AH150" s="10"/>
    </row>
    <row r="151" spans="1:34" hidden="1" outlineLevel="2">
      <c r="A151" s="21"/>
      <c r="B151" s="12" t="str">
        <f>IFERROR(VLOOKUP(D151,'[1]Перечень товаров'!$A$2:$I9525,2,0),"")</f>
        <v>п3</v>
      </c>
      <c r="C151" s="12" t="str">
        <f>IFERROR(VLOOKUP(D151,'[1]Перечень товаров'!$A$2:$I9525,3,0),"")</f>
        <v>Прочее</v>
      </c>
      <c r="D151" s="22" t="s">
        <v>47</v>
      </c>
      <c r="E151" s="68"/>
      <c r="F151" s="68"/>
      <c r="G151" s="48">
        <v>1</v>
      </c>
      <c r="H151" s="48"/>
      <c r="I151" s="49"/>
      <c r="J151" s="49"/>
      <c r="K151" s="33"/>
      <c r="L151" s="20"/>
      <c r="M151" s="10"/>
      <c r="N151" s="10"/>
      <c r="O151" s="10"/>
      <c r="P151" s="10"/>
      <c r="Q151" s="10"/>
      <c r="R151" s="10"/>
      <c r="S151" s="10"/>
      <c r="T151" s="10"/>
      <c r="U151" s="10"/>
      <c r="V151" s="10"/>
      <c r="W151" s="10"/>
      <c r="X151" s="10"/>
      <c r="Y151" s="10"/>
      <c r="Z151" s="10"/>
      <c r="AA151" s="10"/>
      <c r="AB151" s="10"/>
      <c r="AC151" s="10"/>
      <c r="AD151" s="10"/>
      <c r="AE151" s="10"/>
      <c r="AF151" s="10"/>
      <c r="AG151" s="10"/>
      <c r="AH151" s="10"/>
    </row>
    <row r="152" spans="1:34" ht="12.75" hidden="1" outlineLevel="1">
      <c r="A152" s="11"/>
      <c r="B152" s="12" t="str">
        <f>IFERROR(VLOOKUP(D152,'[1]Перечень товаров'!$A$2:$I9525,2,0),"")</f>
        <v/>
      </c>
      <c r="C152" s="12" t="str">
        <f>IFERROR(VLOOKUP(D152,'[1]Перечень товаров'!$A$2:$I9525,3,0),"")</f>
        <v/>
      </c>
      <c r="D152" s="27" t="s">
        <v>77</v>
      </c>
      <c r="E152" s="14">
        <v>36.200000000000003</v>
      </c>
      <c r="F152" s="14"/>
      <c r="G152" s="17"/>
      <c r="H152" s="17"/>
      <c r="I152" s="57"/>
      <c r="J152" s="57"/>
      <c r="K152" s="19"/>
      <c r="L152" s="20"/>
      <c r="M152" s="10"/>
      <c r="N152" s="10"/>
      <c r="O152" s="10"/>
      <c r="P152" s="10"/>
      <c r="Q152" s="10"/>
      <c r="R152" s="10"/>
      <c r="S152" s="10"/>
      <c r="T152" s="10"/>
      <c r="U152" s="10"/>
      <c r="V152" s="10"/>
      <c r="W152" s="10"/>
      <c r="X152" s="10"/>
      <c r="Y152" s="10"/>
      <c r="Z152" s="10"/>
      <c r="AA152" s="10"/>
      <c r="AB152" s="10"/>
      <c r="AC152" s="10"/>
      <c r="AD152" s="10"/>
      <c r="AE152" s="10"/>
      <c r="AF152" s="10"/>
      <c r="AG152" s="10"/>
      <c r="AH152" s="10"/>
    </row>
    <row r="153" spans="1:34" hidden="1" outlineLevel="2">
      <c r="A153" s="28"/>
      <c r="B153" s="12" t="str">
        <f>IFERROR(VLOOKUP(D153,'[1]Перечень товаров'!$A$2:$I9525,2,0),"")</f>
        <v/>
      </c>
      <c r="C153" s="12" t="str">
        <f>IFERROR(VLOOKUP(D153,'[1]Перечень товаров'!$A$2:$I9525,3,0),"")</f>
        <v/>
      </c>
      <c r="D153" s="29" t="s">
        <v>78</v>
      </c>
      <c r="E153" s="30"/>
      <c r="F153" s="30"/>
      <c r="G153" s="31">
        <v>4</v>
      </c>
      <c r="H153" s="31"/>
      <c r="I153" s="32"/>
      <c r="J153" s="32"/>
      <c r="K153" s="19"/>
      <c r="L153" s="20"/>
      <c r="M153" s="10"/>
      <c r="N153" s="10"/>
      <c r="O153" s="10"/>
      <c r="P153" s="10"/>
      <c r="Q153" s="10"/>
      <c r="R153" s="10"/>
      <c r="S153" s="10"/>
      <c r="T153" s="10"/>
      <c r="U153" s="10"/>
      <c r="V153" s="10"/>
      <c r="W153" s="10"/>
      <c r="X153" s="10"/>
      <c r="Y153" s="10"/>
      <c r="Z153" s="10"/>
      <c r="AA153" s="10"/>
      <c r="AB153" s="10"/>
      <c r="AC153" s="10"/>
      <c r="AD153" s="10"/>
      <c r="AE153" s="10"/>
      <c r="AF153" s="10"/>
      <c r="AG153" s="10"/>
      <c r="AH153" s="10"/>
    </row>
    <row r="154" spans="1:34" hidden="1" outlineLevel="2">
      <c r="A154" s="28"/>
      <c r="B154" s="12" t="str">
        <f>IFERROR(VLOOKUP(D154,'[1]Перечень товаров'!$A$2:$I9525,2,0),"")</f>
        <v>т15</v>
      </c>
      <c r="C154" s="12" t="str">
        <f>IFERROR(VLOOKUP(D154,'[1]Перечень товаров'!$A$2:$I9525,3,0),"")</f>
        <v>Техника</v>
      </c>
      <c r="D154" s="29" t="s">
        <v>79</v>
      </c>
      <c r="E154" s="30"/>
      <c r="F154" s="30"/>
      <c r="G154" s="31">
        <v>1</v>
      </c>
      <c r="H154" s="31"/>
      <c r="I154" s="32"/>
      <c r="J154" s="32"/>
      <c r="K154" s="19"/>
      <c r="L154" s="20"/>
      <c r="M154" s="10"/>
      <c r="N154" s="10"/>
      <c r="O154" s="10"/>
      <c r="P154" s="10"/>
      <c r="Q154" s="10"/>
      <c r="R154" s="10"/>
      <c r="S154" s="10"/>
      <c r="T154" s="10"/>
      <c r="U154" s="10"/>
      <c r="V154" s="10"/>
      <c r="W154" s="10"/>
      <c r="X154" s="10"/>
      <c r="Y154" s="10"/>
      <c r="Z154" s="10"/>
      <c r="AA154" s="10"/>
      <c r="AB154" s="10"/>
      <c r="AC154" s="10"/>
      <c r="AD154" s="10"/>
      <c r="AE154" s="10"/>
      <c r="AF154" s="10"/>
      <c r="AG154" s="10"/>
      <c r="AH154" s="10"/>
    </row>
    <row r="155" spans="1:34" ht="31.5" hidden="1" outlineLevel="2">
      <c r="A155" s="28"/>
      <c r="B155" s="12" t="str">
        <f>IFERROR(VLOOKUP(D155,'[1]Перечень товаров'!$A$2:$I9525,2,0),"")</f>
        <v>дм2</v>
      </c>
      <c r="C155" s="12" t="str">
        <f>IFERROR(VLOOKUP(D155,'[1]Перечень товаров'!$A$2:$I9525,3,0),"")</f>
        <v>Дидактика муз</v>
      </c>
      <c r="D155" s="29" t="s">
        <v>80</v>
      </c>
      <c r="E155" s="30"/>
      <c r="F155" s="30"/>
      <c r="G155" s="31">
        <v>1</v>
      </c>
      <c r="H155" s="31"/>
      <c r="I155" s="32"/>
      <c r="J155" s="32"/>
      <c r="K155" s="19"/>
      <c r="L155" s="20"/>
      <c r="M155" s="10"/>
      <c r="N155" s="10"/>
      <c r="O155" s="10"/>
      <c r="P155" s="10"/>
      <c r="Q155" s="10"/>
      <c r="R155" s="10"/>
      <c r="S155" s="10"/>
      <c r="T155" s="10"/>
      <c r="U155" s="10"/>
      <c r="V155" s="10"/>
      <c r="W155" s="10"/>
      <c r="X155" s="10"/>
      <c r="Y155" s="10"/>
      <c r="Z155" s="10"/>
      <c r="AA155" s="10"/>
      <c r="AB155" s="10"/>
      <c r="AC155" s="10"/>
      <c r="AD155" s="10"/>
      <c r="AE155" s="10"/>
      <c r="AF155" s="10"/>
      <c r="AG155" s="10"/>
      <c r="AH155" s="10"/>
    </row>
    <row r="156" spans="1:34" hidden="1" outlineLevel="2">
      <c r="A156" s="28"/>
      <c r="B156" s="12" t="str">
        <f>IFERROR(VLOOKUP(D156,'[1]Перечень товаров'!$A$2:$I9525,2,0),"")</f>
        <v>т16</v>
      </c>
      <c r="C156" s="12" t="str">
        <f>IFERROR(VLOOKUP(D156,'[1]Перечень товаров'!$A$2:$I9525,3,0),"")</f>
        <v>Техника</v>
      </c>
      <c r="D156" s="29" t="s">
        <v>81</v>
      </c>
      <c r="E156" s="30"/>
      <c r="F156" s="30"/>
      <c r="G156" s="31">
        <v>2</v>
      </c>
      <c r="H156" s="31"/>
      <c r="I156" s="32"/>
      <c r="J156" s="32"/>
      <c r="K156" s="19"/>
      <c r="L156" s="20"/>
      <c r="M156" s="10"/>
      <c r="N156" s="10"/>
      <c r="O156" s="10"/>
      <c r="P156" s="10"/>
      <c r="Q156" s="10"/>
      <c r="R156" s="10"/>
      <c r="S156" s="10"/>
      <c r="T156" s="10"/>
      <c r="U156" s="10"/>
      <c r="V156" s="10"/>
      <c r="W156" s="10"/>
      <c r="X156" s="10"/>
      <c r="Y156" s="10"/>
      <c r="Z156" s="10"/>
      <c r="AA156" s="10"/>
      <c r="AB156" s="10"/>
      <c r="AC156" s="10"/>
      <c r="AD156" s="10"/>
      <c r="AE156" s="10"/>
      <c r="AF156" s="10"/>
      <c r="AG156" s="10"/>
      <c r="AH156" s="10"/>
    </row>
    <row r="157" spans="1:34" ht="31.5" hidden="1" outlineLevel="2">
      <c r="A157" s="28"/>
      <c r="B157" s="12" t="str">
        <f>IFERROR(VLOOKUP(D157,'[1]Перечень товаров'!$A$2:$I9525,2,0),"")</f>
        <v>пм1</v>
      </c>
      <c r="C157" s="12" t="str">
        <f>IFERROR(VLOOKUP(D157,'[1]Перечень товаров'!$A$2:$I9525,3,0),"")</f>
        <v>Прочее муз</v>
      </c>
      <c r="D157" s="29" t="s">
        <v>82</v>
      </c>
      <c r="E157" s="30"/>
      <c r="F157" s="30"/>
      <c r="G157" s="31">
        <v>1</v>
      </c>
      <c r="H157" s="31"/>
      <c r="I157" s="32"/>
      <c r="J157" s="32"/>
      <c r="K157" s="19"/>
      <c r="L157" s="20"/>
      <c r="M157" s="10"/>
      <c r="N157" s="10"/>
      <c r="O157" s="10"/>
      <c r="P157" s="10"/>
      <c r="Q157" s="10"/>
      <c r="R157" s="10"/>
      <c r="S157" s="10"/>
      <c r="T157" s="10"/>
      <c r="U157" s="10"/>
      <c r="V157" s="10"/>
      <c r="W157" s="10"/>
      <c r="X157" s="10"/>
      <c r="Y157" s="10"/>
      <c r="Z157" s="10"/>
      <c r="AA157" s="10"/>
      <c r="AB157" s="10"/>
      <c r="AC157" s="10"/>
      <c r="AD157" s="10"/>
      <c r="AE157" s="10"/>
      <c r="AF157" s="10"/>
      <c r="AG157" s="10"/>
      <c r="AH157" s="10"/>
    </row>
    <row r="158" spans="1:34" ht="31.5" hidden="1" outlineLevel="2">
      <c r="A158" s="28"/>
      <c r="B158" s="12" t="str">
        <f>IFERROR(VLOOKUP(D158,'[1]Перечень товаров'!$A$2:$I9525,2,0),"")</f>
        <v>пм2</v>
      </c>
      <c r="C158" s="12" t="str">
        <f>IFERROR(VLOOKUP(D158,'[1]Перечень товаров'!$A$2:$I9525,3,0),"")</f>
        <v>Прочее муз</v>
      </c>
      <c r="D158" s="29" t="s">
        <v>83</v>
      </c>
      <c r="E158" s="30"/>
      <c r="F158" s="30"/>
      <c r="G158" s="31">
        <v>1</v>
      </c>
      <c r="H158" s="31"/>
      <c r="I158" s="32"/>
      <c r="J158" s="32"/>
      <c r="K158" s="19"/>
      <c r="L158" s="20"/>
      <c r="M158" s="10"/>
      <c r="N158" s="10"/>
      <c r="O158" s="10"/>
      <c r="P158" s="10"/>
      <c r="Q158" s="10"/>
      <c r="R158" s="10"/>
      <c r="S158" s="10"/>
      <c r="T158" s="10"/>
      <c r="U158" s="10"/>
      <c r="V158" s="10"/>
      <c r="W158" s="10"/>
      <c r="X158" s="10"/>
      <c r="Y158" s="10"/>
      <c r="Z158" s="10"/>
      <c r="AA158" s="10"/>
      <c r="AB158" s="10"/>
      <c r="AC158" s="10"/>
      <c r="AD158" s="10"/>
      <c r="AE158" s="10"/>
      <c r="AF158" s="10"/>
      <c r="AG158" s="10"/>
      <c r="AH158" s="10"/>
    </row>
    <row r="159" spans="1:34" hidden="1" outlineLevel="2">
      <c r="A159" s="28"/>
      <c r="B159" s="12" t="str">
        <f>IFERROR(VLOOKUP(D159,'[1]Перечень товаров'!$A$2:$I9525,2,0),"")</f>
        <v>п6</v>
      </c>
      <c r="C159" s="12" t="str">
        <f>IFERROR(VLOOKUP(D159,'[1]Перечень товаров'!$A$2:$I9525,3,0),"")</f>
        <v>Прочее</v>
      </c>
      <c r="D159" s="29" t="s">
        <v>84</v>
      </c>
      <c r="E159" s="30"/>
      <c r="F159" s="30"/>
      <c r="G159" s="31">
        <v>1</v>
      </c>
      <c r="H159" s="31"/>
      <c r="I159" s="32"/>
      <c r="J159" s="32"/>
      <c r="K159" s="19"/>
      <c r="L159" s="20"/>
      <c r="M159" s="10"/>
      <c r="N159" s="10"/>
      <c r="O159" s="10"/>
      <c r="P159" s="10"/>
      <c r="Q159" s="10"/>
      <c r="R159" s="10"/>
      <c r="S159" s="10"/>
      <c r="T159" s="10"/>
      <c r="U159" s="10"/>
      <c r="V159" s="10"/>
      <c r="W159" s="10"/>
      <c r="X159" s="10"/>
      <c r="Y159" s="10"/>
      <c r="Z159" s="10"/>
      <c r="AA159" s="10"/>
      <c r="AB159" s="10"/>
      <c r="AC159" s="10"/>
      <c r="AD159" s="10"/>
      <c r="AE159" s="10"/>
      <c r="AF159" s="10"/>
      <c r="AG159" s="10"/>
      <c r="AH159" s="10"/>
    </row>
    <row r="160" spans="1:34" ht="12.75" hidden="1" outlineLevel="1">
      <c r="A160" s="11"/>
      <c r="B160" s="12" t="str">
        <f>IFERROR(VLOOKUP(D160,'[1]Перечень товаров'!$A$2:$I9525,2,0),"")</f>
        <v/>
      </c>
      <c r="C160" s="12" t="str">
        <f>IFERROR(VLOOKUP(D160,'[1]Перечень товаров'!$A$2:$I9525,3,0),"")</f>
        <v/>
      </c>
      <c r="D160" s="27" t="s">
        <v>85</v>
      </c>
      <c r="E160" s="14">
        <v>43.4</v>
      </c>
      <c r="F160" s="14"/>
      <c r="G160" s="17"/>
      <c r="H160" s="17"/>
      <c r="I160" s="57"/>
      <c r="J160" s="57"/>
      <c r="K160" s="19"/>
      <c r="L160" s="20"/>
      <c r="M160" s="10"/>
      <c r="N160" s="10"/>
      <c r="O160" s="10"/>
      <c r="P160" s="10"/>
      <c r="Q160" s="10"/>
      <c r="R160" s="10"/>
      <c r="S160" s="10"/>
      <c r="T160" s="10"/>
      <c r="U160" s="10"/>
      <c r="V160" s="10"/>
      <c r="W160" s="10"/>
      <c r="X160" s="10"/>
      <c r="Y160" s="10"/>
      <c r="Z160" s="10"/>
      <c r="AA160" s="10"/>
      <c r="AB160" s="10"/>
      <c r="AC160" s="10"/>
      <c r="AD160" s="10"/>
      <c r="AE160" s="10"/>
      <c r="AF160" s="10"/>
      <c r="AG160" s="10"/>
      <c r="AH160" s="10"/>
    </row>
    <row r="161" spans="1:34" ht="63" hidden="1" outlineLevel="2">
      <c r="A161" s="70"/>
      <c r="B161" s="12" t="str">
        <f>IFERROR(VLOOKUP(D161,'[1]Перечень товаров'!$A$2:$I9525,2,0),"")</f>
        <v>т17</v>
      </c>
      <c r="C161" s="12" t="str">
        <f>IFERROR(VLOOKUP(D161,'[1]Перечень товаров'!$A$2:$I9525,3,0),"")</f>
        <v>Техника</v>
      </c>
      <c r="D161" s="71" t="s">
        <v>86</v>
      </c>
      <c r="E161" s="72"/>
      <c r="F161" s="72"/>
      <c r="G161" s="73">
        <v>1</v>
      </c>
      <c r="H161" s="73"/>
      <c r="I161" s="74"/>
      <c r="J161" s="74"/>
      <c r="K161" s="19"/>
      <c r="L161" s="20"/>
      <c r="M161" s="10"/>
      <c r="N161" s="10"/>
      <c r="O161" s="10"/>
      <c r="P161" s="10"/>
      <c r="Q161" s="10"/>
      <c r="R161" s="10"/>
      <c r="S161" s="10"/>
      <c r="T161" s="10"/>
      <c r="U161" s="10"/>
      <c r="V161" s="10"/>
      <c r="W161" s="10"/>
      <c r="X161" s="10"/>
      <c r="Y161" s="10"/>
      <c r="Z161" s="10"/>
      <c r="AA161" s="10"/>
      <c r="AB161" s="10"/>
      <c r="AC161" s="10"/>
      <c r="AD161" s="10"/>
      <c r="AE161" s="10"/>
      <c r="AF161" s="10"/>
      <c r="AG161" s="10"/>
      <c r="AH161" s="10"/>
    </row>
    <row r="162" spans="1:34" ht="63" hidden="1" outlineLevel="2">
      <c r="A162" s="70"/>
      <c r="B162" s="12" t="str">
        <f>IFERROR(VLOOKUP(D162,'[1]Перечень товаров'!$A$2:$I9525,2,0),"")</f>
        <v>т18</v>
      </c>
      <c r="C162" s="12" t="str">
        <f>IFERROR(VLOOKUP(D162,'[1]Перечень товаров'!$A$2:$I9525,3,0),"")</f>
        <v>Техника</v>
      </c>
      <c r="D162" s="71" t="s">
        <v>87</v>
      </c>
      <c r="E162" s="72"/>
      <c r="F162" s="72"/>
      <c r="G162" s="73">
        <v>1</v>
      </c>
      <c r="H162" s="73"/>
      <c r="I162" s="74"/>
      <c r="J162" s="74"/>
      <c r="K162" s="19"/>
      <c r="L162" s="20"/>
      <c r="M162" s="10"/>
      <c r="N162" s="10"/>
      <c r="O162" s="10"/>
      <c r="P162" s="10"/>
      <c r="Q162" s="10"/>
      <c r="R162" s="10"/>
      <c r="S162" s="10"/>
      <c r="T162" s="10"/>
      <c r="U162" s="10"/>
      <c r="V162" s="10"/>
      <c r="W162" s="10"/>
      <c r="X162" s="10"/>
      <c r="Y162" s="10"/>
      <c r="Z162" s="10"/>
      <c r="AA162" s="10"/>
      <c r="AB162" s="10"/>
      <c r="AC162" s="10"/>
      <c r="AD162" s="10"/>
      <c r="AE162" s="10"/>
      <c r="AF162" s="10"/>
      <c r="AG162" s="10"/>
      <c r="AH162" s="10"/>
    </row>
    <row r="163" spans="1:34" ht="47.25" hidden="1" outlineLevel="2">
      <c r="A163" s="70"/>
      <c r="B163" s="12" t="str">
        <f>IFERROR(VLOOKUP(D163,'[1]Перечень товаров'!$A$2:$I9525,2,0),"")</f>
        <v>т19</v>
      </c>
      <c r="C163" s="12" t="str">
        <f>IFERROR(VLOOKUP(D163,'[1]Перечень товаров'!$A$2:$I9525,3,0),"")</f>
        <v>Техника</v>
      </c>
      <c r="D163" s="71" t="s">
        <v>88</v>
      </c>
      <c r="E163" s="72"/>
      <c r="F163" s="72"/>
      <c r="G163" s="73">
        <v>1</v>
      </c>
      <c r="H163" s="73"/>
      <c r="I163" s="74"/>
      <c r="J163" s="74"/>
      <c r="K163" s="19"/>
      <c r="L163" s="20"/>
      <c r="M163" s="10"/>
      <c r="N163" s="10"/>
      <c r="O163" s="10"/>
      <c r="P163" s="10"/>
      <c r="Q163" s="10"/>
      <c r="R163" s="10"/>
      <c r="S163" s="10"/>
      <c r="T163" s="10"/>
      <c r="U163" s="10"/>
      <c r="V163" s="10"/>
      <c r="W163" s="10"/>
      <c r="X163" s="10"/>
      <c r="Y163" s="10"/>
      <c r="Z163" s="10"/>
      <c r="AA163" s="10"/>
      <c r="AB163" s="10"/>
      <c r="AC163" s="10"/>
      <c r="AD163" s="10"/>
      <c r="AE163" s="10"/>
      <c r="AF163" s="10"/>
      <c r="AG163" s="10"/>
      <c r="AH163" s="10"/>
    </row>
    <row r="164" spans="1:34" ht="63" hidden="1" outlineLevel="2">
      <c r="A164" s="70"/>
      <c r="B164" s="12" t="str">
        <f>IFERROR(VLOOKUP(D164,'[1]Перечень товаров'!$A$2:$I9525,2,0),"")</f>
        <v>т20</v>
      </c>
      <c r="C164" s="12" t="str">
        <f>IFERROR(VLOOKUP(D164,'[1]Перечень товаров'!$A$2:$I9525,3,0),"")</f>
        <v>Техника</v>
      </c>
      <c r="D164" s="71" t="s">
        <v>89</v>
      </c>
      <c r="E164" s="72"/>
      <c r="F164" s="72"/>
      <c r="G164" s="73">
        <v>1</v>
      </c>
      <c r="H164" s="73"/>
      <c r="I164" s="74"/>
      <c r="J164" s="74"/>
      <c r="K164" s="19"/>
      <c r="L164" s="20"/>
      <c r="M164" s="10"/>
      <c r="N164" s="10"/>
      <c r="O164" s="10"/>
      <c r="P164" s="10"/>
      <c r="Q164" s="10"/>
      <c r="R164" s="10"/>
      <c r="S164" s="10"/>
      <c r="T164" s="10"/>
      <c r="U164" s="10"/>
      <c r="V164" s="10"/>
      <c r="W164" s="10"/>
      <c r="X164" s="10"/>
      <c r="Y164" s="10"/>
      <c r="Z164" s="10"/>
      <c r="AA164" s="10"/>
      <c r="AB164" s="10"/>
      <c r="AC164" s="10"/>
      <c r="AD164" s="10"/>
      <c r="AE164" s="10"/>
      <c r="AF164" s="10"/>
      <c r="AG164" s="10"/>
      <c r="AH164" s="10"/>
    </row>
    <row r="165" spans="1:34" ht="47.25" hidden="1" outlineLevel="2">
      <c r="A165" s="70"/>
      <c r="B165" s="12" t="str">
        <f>IFERROR(VLOOKUP(D165,'[1]Перечень товаров'!$A$2:$I9525,2,0),"")</f>
        <v>т21</v>
      </c>
      <c r="C165" s="12" t="str">
        <f>IFERROR(VLOOKUP(D165,'[1]Перечень товаров'!$A$2:$I9525,3,0),"")</f>
        <v>Техника</v>
      </c>
      <c r="D165" s="71" t="s">
        <v>90</v>
      </c>
      <c r="E165" s="72"/>
      <c r="F165" s="72"/>
      <c r="G165" s="73">
        <v>1</v>
      </c>
      <c r="H165" s="73"/>
      <c r="I165" s="74"/>
      <c r="J165" s="74"/>
      <c r="K165" s="19"/>
      <c r="L165" s="20"/>
      <c r="M165" s="10"/>
      <c r="N165" s="10"/>
      <c r="O165" s="10"/>
      <c r="P165" s="10"/>
      <c r="Q165" s="10"/>
      <c r="R165" s="10"/>
      <c r="S165" s="10"/>
      <c r="T165" s="10"/>
      <c r="U165" s="10"/>
      <c r="V165" s="10"/>
      <c r="W165" s="10"/>
      <c r="X165" s="10"/>
      <c r="Y165" s="10"/>
      <c r="Z165" s="10"/>
      <c r="AA165" s="10"/>
      <c r="AB165" s="10"/>
      <c r="AC165" s="10"/>
      <c r="AD165" s="10"/>
      <c r="AE165" s="10"/>
      <c r="AF165" s="10"/>
      <c r="AG165" s="10"/>
      <c r="AH165" s="10"/>
    </row>
    <row r="166" spans="1:34" ht="63" hidden="1" outlineLevel="2">
      <c r="A166" s="70"/>
      <c r="B166" s="12" t="str">
        <f>IFERROR(VLOOKUP(D166,'[1]Перечень товаров'!$A$2:$I9525,2,0),"")</f>
        <v>т22</v>
      </c>
      <c r="C166" s="12" t="str">
        <f>IFERROR(VLOOKUP(D166,'[1]Перечень товаров'!$A$2:$I9525,3,0),"")</f>
        <v>Техника</v>
      </c>
      <c r="D166" s="71" t="s">
        <v>91</v>
      </c>
      <c r="E166" s="72"/>
      <c r="F166" s="72"/>
      <c r="G166" s="73">
        <v>1</v>
      </c>
      <c r="H166" s="73"/>
      <c r="I166" s="74"/>
      <c r="J166" s="74"/>
      <c r="K166" s="19"/>
      <c r="L166" s="20"/>
      <c r="M166" s="10"/>
      <c r="N166" s="10"/>
      <c r="O166" s="10"/>
      <c r="P166" s="10"/>
      <c r="Q166" s="10"/>
      <c r="R166" s="10"/>
      <c r="S166" s="10"/>
      <c r="T166" s="10"/>
      <c r="U166" s="10"/>
      <c r="V166" s="10"/>
      <c r="W166" s="10"/>
      <c r="X166" s="10"/>
      <c r="Y166" s="10"/>
      <c r="Z166" s="10"/>
      <c r="AA166" s="10"/>
      <c r="AB166" s="10"/>
      <c r="AC166" s="10"/>
      <c r="AD166" s="10"/>
      <c r="AE166" s="10"/>
      <c r="AF166" s="10"/>
      <c r="AG166" s="10"/>
      <c r="AH166" s="10"/>
    </row>
    <row r="167" spans="1:34" ht="63" hidden="1" outlineLevel="2">
      <c r="A167" s="70"/>
      <c r="B167" s="12" t="str">
        <f>IFERROR(VLOOKUP(D167,'[1]Перечень товаров'!$A$2:$I9525,2,0),"")</f>
        <v>т23</v>
      </c>
      <c r="C167" s="12" t="str">
        <f>IFERROR(VLOOKUP(D167,'[1]Перечень товаров'!$A$2:$I9525,3,0),"")</f>
        <v>Техника</v>
      </c>
      <c r="D167" s="71" t="s">
        <v>92</v>
      </c>
      <c r="E167" s="72"/>
      <c r="F167" s="72"/>
      <c r="G167" s="73">
        <v>1</v>
      </c>
      <c r="H167" s="73"/>
      <c r="I167" s="74"/>
      <c r="J167" s="74"/>
      <c r="K167" s="19"/>
      <c r="L167" s="20"/>
      <c r="M167" s="10"/>
      <c r="N167" s="10"/>
      <c r="O167" s="10"/>
      <c r="P167" s="10"/>
      <c r="Q167" s="10"/>
      <c r="R167" s="10"/>
      <c r="S167" s="10"/>
      <c r="T167" s="10"/>
      <c r="U167" s="10"/>
      <c r="V167" s="10"/>
      <c r="W167" s="10"/>
      <c r="X167" s="10"/>
      <c r="Y167" s="10"/>
      <c r="Z167" s="10"/>
      <c r="AA167" s="10"/>
      <c r="AB167" s="10"/>
      <c r="AC167" s="10"/>
      <c r="AD167" s="10"/>
      <c r="AE167" s="10"/>
      <c r="AF167" s="10"/>
      <c r="AG167" s="10"/>
      <c r="AH167" s="10"/>
    </row>
    <row r="168" spans="1:34" ht="126" hidden="1" outlineLevel="2">
      <c r="A168" s="70"/>
      <c r="B168" s="12" t="str">
        <f>IFERROR(VLOOKUP(D168,'[1]Перечень товаров'!$A$2:$I9525,2,0),"")</f>
        <v>пм2</v>
      </c>
      <c r="C168" s="12" t="str">
        <f>IFERROR(VLOOKUP(D168,'[1]Перечень товаров'!$A$2:$I9525,3,0),"")</f>
        <v>Прочее муз</v>
      </c>
      <c r="D168" s="71" t="s">
        <v>93</v>
      </c>
      <c r="E168" s="72"/>
      <c r="F168" s="72"/>
      <c r="G168" s="73">
        <v>3</v>
      </c>
      <c r="H168" s="73"/>
      <c r="I168" s="74"/>
      <c r="J168" s="74"/>
      <c r="K168" s="19"/>
      <c r="L168" s="20"/>
      <c r="M168" s="10"/>
      <c r="N168" s="10"/>
      <c r="O168" s="10"/>
      <c r="P168" s="10"/>
      <c r="Q168" s="10"/>
      <c r="R168" s="10"/>
      <c r="S168" s="10"/>
      <c r="T168" s="10"/>
      <c r="U168" s="10"/>
      <c r="V168" s="10"/>
      <c r="W168" s="10"/>
      <c r="X168" s="10"/>
      <c r="Y168" s="10"/>
      <c r="Z168" s="10"/>
      <c r="AA168" s="10"/>
      <c r="AB168" s="10"/>
      <c r="AC168" s="10"/>
      <c r="AD168" s="10"/>
      <c r="AE168" s="10"/>
      <c r="AF168" s="10"/>
      <c r="AG168" s="10"/>
      <c r="AH168" s="10"/>
    </row>
    <row r="169" spans="1:34" ht="94.5" hidden="1" outlineLevel="2">
      <c r="A169" s="70"/>
      <c r="B169" s="12" t="str">
        <f>IFERROR(VLOOKUP(D169,'[1]Перечень товаров'!$A$2:$I9525,2,0),"")</f>
        <v>пм3</v>
      </c>
      <c r="C169" s="12" t="str">
        <f>IFERROR(VLOOKUP(D169,'[1]Перечень товаров'!$A$2:$I9525,3,0),"")</f>
        <v>Прочее муз</v>
      </c>
      <c r="D169" s="71" t="s">
        <v>94</v>
      </c>
      <c r="E169" s="72"/>
      <c r="F169" s="72"/>
      <c r="G169" s="73">
        <v>2</v>
      </c>
      <c r="H169" s="73"/>
      <c r="I169" s="74"/>
      <c r="J169" s="74"/>
      <c r="K169" s="19"/>
      <c r="L169" s="20"/>
      <c r="M169" s="10"/>
      <c r="N169" s="10"/>
      <c r="O169" s="10"/>
      <c r="P169" s="10"/>
      <c r="Q169" s="10"/>
      <c r="R169" s="10"/>
      <c r="S169" s="10"/>
      <c r="T169" s="10"/>
      <c r="U169" s="10"/>
      <c r="V169" s="10"/>
      <c r="W169" s="10"/>
      <c r="X169" s="10"/>
      <c r="Y169" s="10"/>
      <c r="Z169" s="10"/>
      <c r="AA169" s="10"/>
      <c r="AB169" s="10"/>
      <c r="AC169" s="10"/>
      <c r="AD169" s="10"/>
      <c r="AE169" s="10"/>
      <c r="AF169" s="10"/>
      <c r="AG169" s="10"/>
      <c r="AH169" s="10"/>
    </row>
    <row r="170" spans="1:34" ht="63" hidden="1" outlineLevel="2">
      <c r="A170" s="70"/>
      <c r="B170" s="12" t="str">
        <f>IFERROR(VLOOKUP(D170,'[1]Перечень товаров'!$A$2:$I9525,2,0),"")</f>
        <v>пм4</v>
      </c>
      <c r="C170" s="12" t="str">
        <f>IFERROR(VLOOKUP(D170,'[1]Перечень товаров'!$A$2:$I9525,3,0),"")</f>
        <v>Прочее муз</v>
      </c>
      <c r="D170" s="71" t="s">
        <v>95</v>
      </c>
      <c r="E170" s="72"/>
      <c r="F170" s="72"/>
      <c r="G170" s="73">
        <v>5</v>
      </c>
      <c r="H170" s="73"/>
      <c r="I170" s="74"/>
      <c r="J170" s="74"/>
      <c r="K170" s="19"/>
      <c r="L170" s="20"/>
      <c r="M170" s="10"/>
      <c r="N170" s="10"/>
      <c r="O170" s="10"/>
      <c r="P170" s="10"/>
      <c r="Q170" s="10"/>
      <c r="R170" s="10"/>
      <c r="S170" s="10"/>
      <c r="T170" s="10"/>
      <c r="U170" s="10"/>
      <c r="V170" s="10"/>
      <c r="W170" s="10"/>
      <c r="X170" s="10"/>
      <c r="Y170" s="10"/>
      <c r="Z170" s="10"/>
      <c r="AA170" s="10"/>
      <c r="AB170" s="10"/>
      <c r="AC170" s="10"/>
      <c r="AD170" s="10"/>
      <c r="AE170" s="10"/>
      <c r="AF170" s="10"/>
      <c r="AG170" s="10"/>
      <c r="AH170" s="10"/>
    </row>
    <row r="171" spans="1:34" ht="63" hidden="1" outlineLevel="2">
      <c r="A171" s="70"/>
      <c r="B171" s="12" t="str">
        <f>IFERROR(VLOOKUP(D171,'[1]Перечень товаров'!$A$2:$I9525,2,0),"")</f>
        <v>пм5</v>
      </c>
      <c r="C171" s="12" t="str">
        <f>IFERROR(VLOOKUP(D171,'[1]Перечень товаров'!$A$2:$I9525,3,0),"")</f>
        <v>Прочее муз</v>
      </c>
      <c r="D171" s="71" t="s">
        <v>96</v>
      </c>
      <c r="E171" s="72"/>
      <c r="F171" s="72"/>
      <c r="G171" s="73">
        <v>3</v>
      </c>
      <c r="H171" s="73"/>
      <c r="I171" s="74"/>
      <c r="J171" s="74"/>
      <c r="K171" s="19"/>
      <c r="L171" s="20"/>
      <c r="M171" s="10"/>
      <c r="N171" s="10"/>
      <c r="O171" s="10"/>
      <c r="P171" s="10"/>
      <c r="Q171" s="10"/>
      <c r="R171" s="10"/>
      <c r="S171" s="10"/>
      <c r="T171" s="10"/>
      <c r="U171" s="10"/>
      <c r="V171" s="10"/>
      <c r="W171" s="10"/>
      <c r="X171" s="10"/>
      <c r="Y171" s="10"/>
      <c r="Z171" s="10"/>
      <c r="AA171" s="10"/>
      <c r="AB171" s="10"/>
      <c r="AC171" s="10"/>
      <c r="AD171" s="10"/>
      <c r="AE171" s="10"/>
      <c r="AF171" s="10"/>
      <c r="AG171" s="10"/>
      <c r="AH171" s="10"/>
    </row>
    <row r="172" spans="1:34" ht="78.75" hidden="1" outlineLevel="2">
      <c r="A172" s="70"/>
      <c r="B172" s="12" t="str">
        <f>IFERROR(VLOOKUP(D172,'[1]Перечень товаров'!$A$2:$I9525,2,0),"")</f>
        <v>пм6</v>
      </c>
      <c r="C172" s="12" t="str">
        <f>IFERROR(VLOOKUP(D172,'[1]Перечень товаров'!$A$2:$I9525,3,0),"")</f>
        <v>Прочее муз</v>
      </c>
      <c r="D172" s="71" t="s">
        <v>97</v>
      </c>
      <c r="E172" s="72"/>
      <c r="F172" s="72"/>
      <c r="G172" s="73">
        <v>1</v>
      </c>
      <c r="H172" s="73"/>
      <c r="I172" s="74"/>
      <c r="J172" s="74"/>
      <c r="K172" s="19"/>
      <c r="L172" s="20"/>
      <c r="M172" s="10"/>
      <c r="N172" s="10"/>
      <c r="O172" s="10"/>
      <c r="P172" s="10"/>
      <c r="Q172" s="10"/>
      <c r="R172" s="10"/>
      <c r="S172" s="10"/>
      <c r="T172" s="10"/>
      <c r="U172" s="10"/>
      <c r="V172" s="10"/>
      <c r="W172" s="10"/>
      <c r="X172" s="10"/>
      <c r="Y172" s="10"/>
      <c r="Z172" s="10"/>
      <c r="AA172" s="10"/>
      <c r="AB172" s="10"/>
      <c r="AC172" s="10"/>
      <c r="AD172" s="10"/>
      <c r="AE172" s="10"/>
      <c r="AF172" s="10"/>
      <c r="AG172" s="10"/>
      <c r="AH172" s="10"/>
    </row>
    <row r="173" spans="1:34" ht="94.5" hidden="1" outlineLevel="2">
      <c r="A173" s="70"/>
      <c r="B173" s="12" t="str">
        <f>IFERROR(VLOOKUP(D173,'[1]Перечень товаров'!$A$2:$I9525,2,0),"")</f>
        <v>пм7</v>
      </c>
      <c r="C173" s="12" t="str">
        <f>IFERROR(VLOOKUP(D173,'[1]Перечень товаров'!$A$2:$I9525,3,0),"")</f>
        <v>Прочее муз</v>
      </c>
      <c r="D173" s="71" t="s">
        <v>98</v>
      </c>
      <c r="E173" s="72"/>
      <c r="F173" s="72"/>
      <c r="G173" s="73">
        <v>2</v>
      </c>
      <c r="H173" s="73"/>
      <c r="I173" s="74"/>
      <c r="J173" s="74"/>
      <c r="K173" s="19"/>
      <c r="L173" s="20"/>
      <c r="M173" s="10"/>
      <c r="N173" s="10"/>
      <c r="O173" s="10"/>
      <c r="P173" s="10"/>
      <c r="Q173" s="10"/>
      <c r="R173" s="10"/>
      <c r="S173" s="10"/>
      <c r="T173" s="10"/>
      <c r="U173" s="10"/>
      <c r="V173" s="10"/>
      <c r="W173" s="10"/>
      <c r="X173" s="10"/>
      <c r="Y173" s="10"/>
      <c r="Z173" s="10"/>
      <c r="AA173" s="10"/>
      <c r="AB173" s="10"/>
      <c r="AC173" s="10"/>
      <c r="AD173" s="10"/>
      <c r="AE173" s="10"/>
      <c r="AF173" s="10"/>
      <c r="AG173" s="10"/>
      <c r="AH173" s="10"/>
    </row>
    <row r="174" spans="1:34" ht="78.75" hidden="1" outlineLevel="2">
      <c r="A174" s="70"/>
      <c r="B174" s="12" t="str">
        <f>IFERROR(VLOOKUP(D174,'[1]Перечень товаров'!$A$2:$I9525,2,0),"")</f>
        <v>т24</v>
      </c>
      <c r="C174" s="12" t="str">
        <f>IFERROR(VLOOKUP(D174,'[1]Перечень товаров'!$A$2:$I9525,3,0),"")</f>
        <v>Техника</v>
      </c>
      <c r="D174" s="71" t="s">
        <v>99</v>
      </c>
      <c r="E174" s="72"/>
      <c r="F174" s="72"/>
      <c r="G174" s="73">
        <v>1</v>
      </c>
      <c r="H174" s="73"/>
      <c r="I174" s="74"/>
      <c r="J174" s="74"/>
      <c r="K174" s="19"/>
      <c r="L174" s="20"/>
      <c r="M174" s="10"/>
      <c r="N174" s="10"/>
      <c r="O174" s="10"/>
      <c r="P174" s="10"/>
      <c r="Q174" s="10"/>
      <c r="R174" s="10"/>
      <c r="S174" s="10"/>
      <c r="T174" s="10"/>
      <c r="U174" s="10"/>
      <c r="V174" s="10"/>
      <c r="W174" s="10"/>
      <c r="X174" s="10"/>
      <c r="Y174" s="10"/>
      <c r="Z174" s="10"/>
      <c r="AA174" s="10"/>
      <c r="AB174" s="10"/>
      <c r="AC174" s="10"/>
      <c r="AD174" s="10"/>
      <c r="AE174" s="10"/>
      <c r="AF174" s="10"/>
      <c r="AG174" s="10"/>
      <c r="AH174" s="10"/>
    </row>
    <row r="175" spans="1:34" ht="12.75" hidden="1" outlineLevel="1">
      <c r="A175" s="11"/>
      <c r="B175" s="12" t="str">
        <f>IFERROR(VLOOKUP(D175,'[1]Перечень товаров'!$A$2:$I9525,2,0),"")</f>
        <v/>
      </c>
      <c r="C175" s="12" t="str">
        <f>IFERROR(VLOOKUP(D175,'[1]Перечень товаров'!$A$2:$I9525,3,0),"")</f>
        <v/>
      </c>
      <c r="D175" s="27" t="s">
        <v>100</v>
      </c>
      <c r="E175" s="14">
        <v>62.6</v>
      </c>
      <c r="F175" s="14"/>
      <c r="G175" s="17"/>
      <c r="H175" s="17"/>
      <c r="I175" s="57"/>
      <c r="J175" s="57"/>
      <c r="K175" s="19"/>
      <c r="L175" s="20"/>
      <c r="M175" s="10"/>
      <c r="N175" s="10"/>
      <c r="O175" s="10"/>
      <c r="P175" s="10"/>
      <c r="Q175" s="10"/>
      <c r="R175" s="10"/>
      <c r="S175" s="10"/>
      <c r="T175" s="10"/>
      <c r="U175" s="10"/>
      <c r="V175" s="10"/>
      <c r="W175" s="10"/>
      <c r="X175" s="10"/>
      <c r="Y175" s="10"/>
      <c r="Z175" s="10"/>
      <c r="AA175" s="10"/>
      <c r="AB175" s="10"/>
      <c r="AC175" s="10"/>
      <c r="AD175" s="10"/>
      <c r="AE175" s="10"/>
      <c r="AF175" s="10"/>
      <c r="AG175" s="10"/>
      <c r="AH175" s="10"/>
    </row>
    <row r="176" spans="1:34" hidden="1" outlineLevel="2">
      <c r="A176" s="66"/>
      <c r="B176" s="12" t="str">
        <f>IFERROR(VLOOKUP(D176,'[1]Перечень товаров'!$A$2:$I9525,2,0),"")</f>
        <v>м22</v>
      </c>
      <c r="C176" s="12" t="str">
        <f>IFERROR(VLOOKUP(D176,'[1]Перечень товаров'!$A$2:$I9525,3,0),"")</f>
        <v>Мебель</v>
      </c>
      <c r="D176" s="67" t="s">
        <v>67</v>
      </c>
      <c r="E176" s="23"/>
      <c r="F176" s="23"/>
      <c r="G176" s="24">
        <v>25</v>
      </c>
      <c r="H176" s="24"/>
      <c r="I176" s="25"/>
      <c r="J176" s="25"/>
      <c r="K176" s="19"/>
      <c r="L176" s="20"/>
      <c r="M176" s="10"/>
      <c r="N176" s="10"/>
      <c r="O176" s="10"/>
      <c r="P176" s="10"/>
      <c r="Q176" s="10"/>
      <c r="R176" s="10"/>
      <c r="S176" s="10"/>
      <c r="T176" s="10"/>
      <c r="U176" s="10"/>
      <c r="V176" s="10"/>
      <c r="W176" s="10"/>
      <c r="X176" s="10"/>
      <c r="Y176" s="10"/>
      <c r="Z176" s="10"/>
      <c r="AA176" s="10"/>
      <c r="AB176" s="10"/>
      <c r="AC176" s="10"/>
      <c r="AD176" s="10"/>
      <c r="AE176" s="10"/>
      <c r="AF176" s="10"/>
      <c r="AG176" s="10"/>
      <c r="AH176" s="10"/>
    </row>
    <row r="177" spans="1:34" ht="12.75" hidden="1" outlineLevel="1">
      <c r="A177" s="75"/>
      <c r="B177" s="12" t="str">
        <f>IFERROR(VLOOKUP(D177,'[1]Перечень товаров'!$A$2:$I9525,2,0),"")</f>
        <v/>
      </c>
      <c r="C177" s="12" t="str">
        <f>IFERROR(VLOOKUP(D177,'[1]Перечень товаров'!$A$2:$I9525,3,0),"")</f>
        <v/>
      </c>
      <c r="D177" s="76" t="s">
        <v>101</v>
      </c>
      <c r="E177" s="14">
        <v>46.2</v>
      </c>
      <c r="F177" s="14"/>
      <c r="G177" s="17"/>
      <c r="H177" s="17"/>
      <c r="I177" s="57"/>
      <c r="J177" s="57"/>
      <c r="K177" s="19"/>
      <c r="L177" s="20"/>
      <c r="M177" s="10"/>
      <c r="N177" s="10"/>
      <c r="O177" s="10"/>
      <c r="P177" s="10"/>
      <c r="Q177" s="10"/>
      <c r="R177" s="10"/>
      <c r="S177" s="10"/>
      <c r="T177" s="10"/>
      <c r="U177" s="10"/>
      <c r="V177" s="10"/>
      <c r="W177" s="10"/>
      <c r="X177" s="10"/>
      <c r="Y177" s="10"/>
      <c r="Z177" s="10"/>
      <c r="AA177" s="10"/>
      <c r="AB177" s="10"/>
      <c r="AC177" s="10"/>
      <c r="AD177" s="10"/>
      <c r="AE177" s="10"/>
      <c r="AF177" s="10"/>
      <c r="AG177" s="10"/>
      <c r="AH177" s="10"/>
    </row>
    <row r="178" spans="1:34" hidden="1" outlineLevel="2">
      <c r="A178" s="66"/>
      <c r="B178" s="12" t="str">
        <f>IFERROR(VLOOKUP(D178,'[1]Перечень товаров'!$A$2:$I9525,2,0),"")</f>
        <v>м22</v>
      </c>
      <c r="C178" s="12" t="str">
        <f>IFERROR(VLOOKUP(D178,'[1]Перечень товаров'!$A$2:$I9525,3,0),"")</f>
        <v>Мебель</v>
      </c>
      <c r="D178" s="67" t="s">
        <v>67</v>
      </c>
      <c r="E178" s="23"/>
      <c r="F178" s="23"/>
      <c r="G178" s="24">
        <v>15</v>
      </c>
      <c r="H178" s="24"/>
      <c r="I178" s="25"/>
      <c r="J178" s="25"/>
      <c r="K178" s="19"/>
      <c r="L178" s="20"/>
      <c r="M178" s="10"/>
      <c r="N178" s="10"/>
      <c r="O178" s="10"/>
      <c r="P178" s="10"/>
      <c r="Q178" s="10"/>
      <c r="R178" s="10"/>
      <c r="S178" s="10"/>
      <c r="T178" s="10"/>
      <c r="U178" s="10"/>
      <c r="V178" s="10"/>
      <c r="W178" s="10"/>
      <c r="X178" s="10"/>
      <c r="Y178" s="10"/>
      <c r="Z178" s="10"/>
      <c r="AA178" s="10"/>
      <c r="AB178" s="10"/>
      <c r="AC178" s="10"/>
      <c r="AD178" s="10"/>
      <c r="AE178" s="10"/>
      <c r="AF178" s="10"/>
      <c r="AG178" s="10"/>
      <c r="AH178" s="10"/>
    </row>
    <row r="179" spans="1:34" ht="12.75" hidden="1" outlineLevel="1">
      <c r="A179" s="11"/>
      <c r="B179" s="12" t="str">
        <f>IFERROR(VLOOKUP(D179,'[1]Перечень товаров'!$A$2:$I9525,2,0),"")</f>
        <v/>
      </c>
      <c r="C179" s="12" t="str">
        <f>IFERROR(VLOOKUP(D179,'[1]Перечень товаров'!$A$2:$I9525,3,0),"")</f>
        <v/>
      </c>
      <c r="D179" s="27" t="s">
        <v>102</v>
      </c>
      <c r="E179" s="14">
        <v>36.700000000000003</v>
      </c>
      <c r="F179" s="14"/>
      <c r="G179" s="17"/>
      <c r="H179" s="17"/>
      <c r="I179" s="57"/>
      <c r="J179" s="57"/>
      <c r="K179" s="19"/>
      <c r="L179" s="20"/>
      <c r="M179" s="10"/>
      <c r="N179" s="10"/>
      <c r="O179" s="10"/>
      <c r="P179" s="10"/>
      <c r="Q179" s="10"/>
      <c r="R179" s="10"/>
      <c r="S179" s="10"/>
      <c r="T179" s="10"/>
      <c r="U179" s="10"/>
      <c r="V179" s="10"/>
      <c r="W179" s="10"/>
      <c r="X179" s="10"/>
      <c r="Y179" s="10"/>
      <c r="Z179" s="10"/>
      <c r="AA179" s="10"/>
      <c r="AB179" s="10"/>
      <c r="AC179" s="10"/>
      <c r="AD179" s="10"/>
      <c r="AE179" s="10"/>
      <c r="AF179" s="10"/>
      <c r="AG179" s="10"/>
      <c r="AH179" s="10"/>
    </row>
    <row r="180" spans="1:34" ht="31.5" hidden="1" outlineLevel="2">
      <c r="A180" s="70"/>
      <c r="B180" s="12" t="str">
        <f>IFERROR(VLOOKUP(D180,'[1]Перечень товаров'!$A$2:$I9525,2,0),"")</f>
        <v>т25</v>
      </c>
      <c r="C180" s="12" t="str">
        <f>IFERROR(VLOOKUP(D180,'[1]Перечень товаров'!$A$2:$I9525,3,0),"")</f>
        <v>Техника</v>
      </c>
      <c r="D180" s="71" t="s">
        <v>103</v>
      </c>
      <c r="E180" s="30"/>
      <c r="F180" s="30"/>
      <c r="G180" s="59"/>
      <c r="H180" s="59"/>
      <c r="I180" s="60"/>
      <c r="J180" s="60"/>
      <c r="K180" s="19"/>
      <c r="L180" s="20"/>
      <c r="M180" s="10"/>
      <c r="N180" s="10"/>
      <c r="O180" s="10"/>
      <c r="P180" s="10"/>
      <c r="Q180" s="10"/>
      <c r="R180" s="10"/>
      <c r="S180" s="10"/>
      <c r="T180" s="10"/>
      <c r="U180" s="10"/>
      <c r="V180" s="10"/>
      <c r="W180" s="10"/>
      <c r="X180" s="10"/>
      <c r="Y180" s="10"/>
      <c r="Z180" s="10"/>
      <c r="AA180" s="10"/>
      <c r="AB180" s="10"/>
      <c r="AC180" s="10"/>
      <c r="AD180" s="10"/>
      <c r="AE180" s="10"/>
      <c r="AF180" s="10"/>
      <c r="AG180" s="10"/>
      <c r="AH180" s="10"/>
    </row>
    <row r="181" spans="1:34" ht="63" hidden="1" outlineLevel="2">
      <c r="A181" s="28"/>
      <c r="B181" s="12" t="str">
        <f>IFERROR(VLOOKUP(D181,'[1]Перечень товаров'!$A$2:$I9525,2,0),"")</f>
        <v>т17</v>
      </c>
      <c r="C181" s="12" t="str">
        <f>IFERROR(VLOOKUP(D181,'[1]Перечень товаров'!$A$2:$I9525,3,0),"")</f>
        <v>Техника</v>
      </c>
      <c r="D181" s="29" t="s">
        <v>86</v>
      </c>
      <c r="E181" s="30"/>
      <c r="F181" s="30"/>
      <c r="G181" s="59">
        <v>1</v>
      </c>
      <c r="H181" s="59"/>
      <c r="I181" s="60"/>
      <c r="J181" s="60"/>
      <c r="K181" s="19"/>
      <c r="L181" s="20"/>
      <c r="M181" s="10"/>
      <c r="N181" s="10"/>
      <c r="O181" s="10"/>
      <c r="P181" s="10"/>
      <c r="Q181" s="10"/>
      <c r="R181" s="10"/>
      <c r="S181" s="10"/>
      <c r="T181" s="10"/>
      <c r="U181" s="10"/>
      <c r="V181" s="10"/>
      <c r="W181" s="10"/>
      <c r="X181" s="10"/>
      <c r="Y181" s="10"/>
      <c r="Z181" s="10"/>
      <c r="AA181" s="10"/>
      <c r="AB181" s="10"/>
      <c r="AC181" s="10"/>
      <c r="AD181" s="10"/>
      <c r="AE181" s="10"/>
      <c r="AF181" s="10"/>
      <c r="AG181" s="10"/>
      <c r="AH181" s="10"/>
    </row>
    <row r="182" spans="1:34" ht="47.25" hidden="1" outlineLevel="2">
      <c r="A182" s="28"/>
      <c r="B182" s="12" t="str">
        <f>IFERROR(VLOOKUP(D182,'[1]Перечень товаров'!$A$2:$I9525,2,0),"")</f>
        <v>т26</v>
      </c>
      <c r="C182" s="12" t="str">
        <f>IFERROR(VLOOKUP(D182,'[1]Перечень товаров'!$A$2:$I9525,3,0),"")</f>
        <v>Техника</v>
      </c>
      <c r="D182" s="29" t="s">
        <v>104</v>
      </c>
      <c r="E182" s="30"/>
      <c r="F182" s="30"/>
      <c r="G182" s="59">
        <v>1</v>
      </c>
      <c r="H182" s="59"/>
      <c r="I182" s="60"/>
      <c r="J182" s="60"/>
      <c r="K182" s="19"/>
      <c r="L182" s="20"/>
      <c r="M182" s="10"/>
      <c r="N182" s="10"/>
      <c r="O182" s="10"/>
      <c r="P182" s="10"/>
      <c r="Q182" s="10"/>
      <c r="R182" s="10"/>
      <c r="S182" s="10"/>
      <c r="T182" s="10"/>
      <c r="U182" s="10"/>
      <c r="V182" s="10"/>
      <c r="W182" s="10"/>
      <c r="X182" s="10"/>
      <c r="Y182" s="10"/>
      <c r="Z182" s="10"/>
      <c r="AA182" s="10"/>
      <c r="AB182" s="10"/>
      <c r="AC182" s="10"/>
      <c r="AD182" s="10"/>
      <c r="AE182" s="10"/>
      <c r="AF182" s="10"/>
      <c r="AG182" s="10"/>
      <c r="AH182" s="10"/>
    </row>
    <row r="183" spans="1:34" ht="47.25" hidden="1" outlineLevel="2">
      <c r="A183" s="28"/>
      <c r="B183" s="12" t="str">
        <f>IFERROR(VLOOKUP(D183,'[1]Перечень товаров'!$A$2:$I9525,2,0),"")</f>
        <v>т27</v>
      </c>
      <c r="C183" s="12" t="str">
        <f>IFERROR(VLOOKUP(D183,'[1]Перечень товаров'!$A$2:$I9525,3,0),"")</f>
        <v>Техника</v>
      </c>
      <c r="D183" s="29" t="s">
        <v>105</v>
      </c>
      <c r="E183" s="30"/>
      <c r="F183" s="30"/>
      <c r="G183" s="59">
        <v>1</v>
      </c>
      <c r="H183" s="59"/>
      <c r="I183" s="60"/>
      <c r="J183" s="60"/>
      <c r="K183" s="19"/>
      <c r="L183" s="20"/>
      <c r="M183" s="10"/>
      <c r="N183" s="10"/>
      <c r="O183" s="10"/>
      <c r="P183" s="10"/>
      <c r="Q183" s="10"/>
      <c r="R183" s="10"/>
      <c r="S183" s="10"/>
      <c r="T183" s="10"/>
      <c r="U183" s="10"/>
      <c r="V183" s="10"/>
      <c r="W183" s="10"/>
      <c r="X183" s="10"/>
      <c r="Y183" s="10"/>
      <c r="Z183" s="10"/>
      <c r="AA183" s="10"/>
      <c r="AB183" s="10"/>
      <c r="AC183" s="10"/>
      <c r="AD183" s="10"/>
      <c r="AE183" s="10"/>
      <c r="AF183" s="10"/>
      <c r="AG183" s="10"/>
      <c r="AH183" s="10"/>
    </row>
    <row r="184" spans="1:34" ht="63" hidden="1" outlineLevel="2">
      <c r="A184" s="28"/>
      <c r="B184" s="12" t="str">
        <f>IFERROR(VLOOKUP(D184,'[1]Перечень товаров'!$A$2:$I9525,2,0),"")</f>
        <v>т28</v>
      </c>
      <c r="C184" s="12" t="str">
        <f>IFERROR(VLOOKUP(D184,'[1]Перечень товаров'!$A$2:$I9525,3,0),"")</f>
        <v>Техника</v>
      </c>
      <c r="D184" s="29" t="s">
        <v>106</v>
      </c>
      <c r="E184" s="30"/>
      <c r="F184" s="30"/>
      <c r="G184" s="59">
        <v>1</v>
      </c>
      <c r="H184" s="59"/>
      <c r="I184" s="60"/>
      <c r="J184" s="60"/>
      <c r="K184" s="19"/>
      <c r="L184" s="20"/>
      <c r="M184" s="10"/>
      <c r="N184" s="10"/>
      <c r="O184" s="10"/>
      <c r="P184" s="10"/>
      <c r="Q184" s="10"/>
      <c r="R184" s="10"/>
      <c r="S184" s="10"/>
      <c r="T184" s="10"/>
      <c r="U184" s="10"/>
      <c r="V184" s="10"/>
      <c r="W184" s="10"/>
      <c r="X184" s="10"/>
      <c r="Y184" s="10"/>
      <c r="Z184" s="10"/>
      <c r="AA184" s="10"/>
      <c r="AB184" s="10"/>
      <c r="AC184" s="10"/>
      <c r="AD184" s="10"/>
      <c r="AE184" s="10"/>
      <c r="AF184" s="10"/>
      <c r="AG184" s="10"/>
      <c r="AH184" s="10"/>
    </row>
    <row r="185" spans="1:34" ht="47.25" hidden="1" outlineLevel="2">
      <c r="A185" s="28"/>
      <c r="B185" s="12" t="str">
        <f>IFERROR(VLOOKUP(D185,'[1]Перечень товаров'!$A$2:$I9525,2,0),"")</f>
        <v>т29</v>
      </c>
      <c r="C185" s="12" t="str">
        <f>IFERROR(VLOOKUP(D185,'[1]Перечень товаров'!$A$2:$I9525,3,0),"")</f>
        <v>Техника</v>
      </c>
      <c r="D185" s="29" t="s">
        <v>107</v>
      </c>
      <c r="E185" s="30"/>
      <c r="F185" s="30"/>
      <c r="G185" s="59">
        <v>1</v>
      </c>
      <c r="H185" s="59"/>
      <c r="I185" s="60"/>
      <c r="J185" s="60"/>
      <c r="K185" s="19"/>
      <c r="L185" s="20"/>
      <c r="M185" s="10"/>
      <c r="N185" s="10"/>
      <c r="O185" s="10"/>
      <c r="P185" s="10"/>
      <c r="Q185" s="10"/>
      <c r="R185" s="10"/>
      <c r="S185" s="10"/>
      <c r="T185" s="10"/>
      <c r="U185" s="10"/>
      <c r="V185" s="10"/>
      <c r="W185" s="10"/>
      <c r="X185" s="10"/>
      <c r="Y185" s="10"/>
      <c r="Z185" s="10"/>
      <c r="AA185" s="10"/>
      <c r="AB185" s="10"/>
      <c r="AC185" s="10"/>
      <c r="AD185" s="10"/>
      <c r="AE185" s="10"/>
      <c r="AF185" s="10"/>
      <c r="AG185" s="10"/>
      <c r="AH185" s="10"/>
    </row>
    <row r="186" spans="1:34" ht="47.25" hidden="1" outlineLevel="2">
      <c r="A186" s="28"/>
      <c r="B186" s="12" t="str">
        <f>IFERROR(VLOOKUP(D186,'[1]Перечень товаров'!$A$2:$I9525,2,0),"")</f>
        <v>т30</v>
      </c>
      <c r="C186" s="12" t="str">
        <f>IFERROR(VLOOKUP(D186,'[1]Перечень товаров'!$A$2:$I9525,3,0),"")</f>
        <v>Техника</v>
      </c>
      <c r="D186" s="29" t="s">
        <v>108</v>
      </c>
      <c r="E186" s="30"/>
      <c r="F186" s="30"/>
      <c r="G186" s="59">
        <v>1</v>
      </c>
      <c r="H186" s="59"/>
      <c r="I186" s="60"/>
      <c r="J186" s="60"/>
      <c r="K186" s="19"/>
      <c r="L186" s="20"/>
      <c r="M186" s="10"/>
      <c r="N186" s="10"/>
      <c r="O186" s="10"/>
      <c r="P186" s="10"/>
      <c r="Q186" s="10"/>
      <c r="R186" s="10"/>
      <c r="S186" s="10"/>
      <c r="T186" s="10"/>
      <c r="U186" s="10"/>
      <c r="V186" s="10"/>
      <c r="W186" s="10"/>
      <c r="X186" s="10"/>
      <c r="Y186" s="10"/>
      <c r="Z186" s="10"/>
      <c r="AA186" s="10"/>
      <c r="AB186" s="10"/>
      <c r="AC186" s="10"/>
      <c r="AD186" s="10"/>
      <c r="AE186" s="10"/>
      <c r="AF186" s="10"/>
      <c r="AG186" s="10"/>
      <c r="AH186" s="10"/>
    </row>
    <row r="187" spans="1:34" ht="63" hidden="1" outlineLevel="2">
      <c r="A187" s="28"/>
      <c r="B187" s="12" t="str">
        <f>IFERROR(VLOOKUP(D187,'[1]Перечень товаров'!$A$2:$I9525,2,0),"")</f>
        <v>т31</v>
      </c>
      <c r="C187" s="12" t="str">
        <f>IFERROR(VLOOKUP(D187,'[1]Перечень товаров'!$A$2:$I9525,3,0),"")</f>
        <v>Техника</v>
      </c>
      <c r="D187" s="29" t="s">
        <v>109</v>
      </c>
      <c r="E187" s="30"/>
      <c r="F187" s="30"/>
      <c r="G187" s="59">
        <v>1</v>
      </c>
      <c r="H187" s="59"/>
      <c r="I187" s="60"/>
      <c r="J187" s="60"/>
      <c r="K187" s="19"/>
      <c r="L187" s="20"/>
      <c r="M187" s="10"/>
      <c r="N187" s="10"/>
      <c r="O187" s="10"/>
      <c r="P187" s="10"/>
      <c r="Q187" s="10"/>
      <c r="R187" s="10"/>
      <c r="S187" s="10"/>
      <c r="T187" s="10"/>
      <c r="U187" s="10"/>
      <c r="V187" s="10"/>
      <c r="W187" s="10"/>
      <c r="X187" s="10"/>
      <c r="Y187" s="10"/>
      <c r="Z187" s="10"/>
      <c r="AA187" s="10"/>
      <c r="AB187" s="10"/>
      <c r="AC187" s="10"/>
      <c r="AD187" s="10"/>
      <c r="AE187" s="10"/>
      <c r="AF187" s="10"/>
      <c r="AG187" s="10"/>
      <c r="AH187" s="10"/>
    </row>
    <row r="188" spans="1:34" ht="63" hidden="1" outlineLevel="2">
      <c r="A188" s="28"/>
      <c r="B188" s="12" t="str">
        <f>IFERROR(VLOOKUP(D188,'[1]Перечень товаров'!$A$2:$I9525,2,0),"")</f>
        <v>т32</v>
      </c>
      <c r="C188" s="12" t="str">
        <f>IFERROR(VLOOKUP(D188,'[1]Перечень товаров'!$A$2:$I9525,3,0),"")</f>
        <v>Техника</v>
      </c>
      <c r="D188" s="29" t="s">
        <v>110</v>
      </c>
      <c r="E188" s="30"/>
      <c r="F188" s="30"/>
      <c r="G188" s="59">
        <v>1</v>
      </c>
      <c r="H188" s="59"/>
      <c r="I188" s="60"/>
      <c r="J188" s="60"/>
      <c r="K188" s="19"/>
      <c r="L188" s="20"/>
      <c r="M188" s="10"/>
      <c r="N188" s="10"/>
      <c r="O188" s="10"/>
      <c r="P188" s="10"/>
      <c r="Q188" s="10"/>
      <c r="R188" s="10"/>
      <c r="S188" s="10"/>
      <c r="T188" s="10"/>
      <c r="U188" s="10"/>
      <c r="V188" s="10"/>
      <c r="W188" s="10"/>
      <c r="X188" s="10"/>
      <c r="Y188" s="10"/>
      <c r="Z188" s="10"/>
      <c r="AA188" s="10"/>
      <c r="AB188" s="10"/>
      <c r="AC188" s="10"/>
      <c r="AD188" s="10"/>
      <c r="AE188" s="10"/>
      <c r="AF188" s="10"/>
      <c r="AG188" s="10"/>
      <c r="AH188" s="10"/>
    </row>
    <row r="189" spans="1:34" ht="47.25" hidden="1" outlineLevel="2">
      <c r="A189" s="28"/>
      <c r="B189" s="12" t="str">
        <f>IFERROR(VLOOKUP(D189,'[1]Перечень товаров'!$A$2:$I9525,2,0),"")</f>
        <v>т33</v>
      </c>
      <c r="C189" s="12" t="str">
        <f>IFERROR(VLOOKUP(D189,'[1]Перечень товаров'!$A$2:$I9525,3,0),"")</f>
        <v>Техника</v>
      </c>
      <c r="D189" s="29" t="s">
        <v>111</v>
      </c>
      <c r="E189" s="30"/>
      <c r="F189" s="30"/>
      <c r="G189" s="59">
        <v>1</v>
      </c>
      <c r="H189" s="59"/>
      <c r="I189" s="60"/>
      <c r="J189" s="60"/>
      <c r="K189" s="19"/>
      <c r="L189" s="20"/>
      <c r="M189" s="10"/>
      <c r="N189" s="10"/>
      <c r="O189" s="10"/>
      <c r="P189" s="10"/>
      <c r="Q189" s="10"/>
      <c r="R189" s="10"/>
      <c r="S189" s="10"/>
      <c r="T189" s="10"/>
      <c r="U189" s="10"/>
      <c r="V189" s="10"/>
      <c r="W189" s="10"/>
      <c r="X189" s="10"/>
      <c r="Y189" s="10"/>
      <c r="Z189" s="10"/>
      <c r="AA189" s="10"/>
      <c r="AB189" s="10"/>
      <c r="AC189" s="10"/>
      <c r="AD189" s="10"/>
      <c r="AE189" s="10"/>
      <c r="AF189" s="10"/>
      <c r="AG189" s="10"/>
      <c r="AH189" s="10"/>
    </row>
    <row r="190" spans="1:34" ht="63" hidden="1" outlineLevel="2">
      <c r="A190" s="28"/>
      <c r="B190" s="12" t="str">
        <f>IFERROR(VLOOKUP(D190,'[1]Перечень товаров'!$A$2:$I9525,2,0),"")</f>
        <v>т34</v>
      </c>
      <c r="C190" s="12" t="str">
        <f>IFERROR(VLOOKUP(D190,'[1]Перечень товаров'!$A$2:$I9525,3,0),"")</f>
        <v>Техника</v>
      </c>
      <c r="D190" s="29" t="s">
        <v>112</v>
      </c>
      <c r="E190" s="30"/>
      <c r="F190" s="30"/>
      <c r="G190" s="59">
        <v>2</v>
      </c>
      <c r="H190" s="59"/>
      <c r="I190" s="60"/>
      <c r="J190" s="60"/>
      <c r="K190" s="19"/>
      <c r="L190" s="20"/>
      <c r="M190" s="10"/>
      <c r="N190" s="10"/>
      <c r="O190" s="10"/>
      <c r="P190" s="10"/>
      <c r="Q190" s="10"/>
      <c r="R190" s="10"/>
      <c r="S190" s="10"/>
      <c r="T190" s="10"/>
      <c r="U190" s="10"/>
      <c r="V190" s="10"/>
      <c r="W190" s="10"/>
      <c r="X190" s="10"/>
      <c r="Y190" s="10"/>
      <c r="Z190" s="10"/>
      <c r="AA190" s="10"/>
      <c r="AB190" s="10"/>
      <c r="AC190" s="10"/>
      <c r="AD190" s="10"/>
      <c r="AE190" s="10"/>
      <c r="AF190" s="10"/>
      <c r="AG190" s="10"/>
      <c r="AH190" s="10"/>
    </row>
    <row r="191" spans="1:34" ht="47.25" hidden="1" outlineLevel="2">
      <c r="A191" s="28"/>
      <c r="B191" s="12" t="str">
        <f>IFERROR(VLOOKUP(D191,'[1]Перечень товаров'!$A$2:$I9525,2,0),"")</f>
        <v>т35</v>
      </c>
      <c r="C191" s="12" t="str">
        <f>IFERROR(VLOOKUP(D191,'[1]Перечень товаров'!$A$2:$I9525,3,0),"")</f>
        <v>Техника</v>
      </c>
      <c r="D191" s="29" t="s">
        <v>113</v>
      </c>
      <c r="E191" s="30"/>
      <c r="F191" s="30"/>
      <c r="G191" s="59">
        <v>3</v>
      </c>
      <c r="H191" s="59"/>
      <c r="I191" s="60"/>
      <c r="J191" s="60"/>
      <c r="K191" s="19"/>
      <c r="L191" s="20"/>
      <c r="M191" s="10"/>
      <c r="N191" s="10"/>
      <c r="O191" s="10"/>
      <c r="P191" s="10"/>
      <c r="Q191" s="10"/>
      <c r="R191" s="10"/>
      <c r="S191" s="10"/>
      <c r="T191" s="10"/>
      <c r="U191" s="10"/>
      <c r="V191" s="10"/>
      <c r="W191" s="10"/>
      <c r="X191" s="10"/>
      <c r="Y191" s="10"/>
      <c r="Z191" s="10"/>
      <c r="AA191" s="10"/>
      <c r="AB191" s="10"/>
      <c r="AC191" s="10"/>
      <c r="AD191" s="10"/>
      <c r="AE191" s="10"/>
      <c r="AF191" s="10"/>
      <c r="AG191" s="10"/>
      <c r="AH191" s="10"/>
    </row>
    <row r="192" spans="1:34" ht="47.25" hidden="1" outlineLevel="2">
      <c r="A192" s="28"/>
      <c r="B192" s="12" t="str">
        <f>IFERROR(VLOOKUP(D192,'[1]Перечень товаров'!$A$2:$I9525,2,0),"")</f>
        <v>т36</v>
      </c>
      <c r="C192" s="12" t="str">
        <f>IFERROR(VLOOKUP(D192,'[1]Перечень товаров'!$A$2:$I9525,3,0),"")</f>
        <v>Техника</v>
      </c>
      <c r="D192" s="29" t="s">
        <v>114</v>
      </c>
      <c r="E192" s="30"/>
      <c r="F192" s="30"/>
      <c r="G192" s="59">
        <v>2</v>
      </c>
      <c r="H192" s="59"/>
      <c r="I192" s="60"/>
      <c r="J192" s="60"/>
      <c r="K192" s="19"/>
      <c r="L192" s="20"/>
      <c r="M192" s="10"/>
      <c r="N192" s="10"/>
      <c r="O192" s="10"/>
      <c r="P192" s="10"/>
      <c r="Q192" s="10"/>
      <c r="R192" s="10"/>
      <c r="S192" s="10"/>
      <c r="T192" s="10"/>
      <c r="U192" s="10"/>
      <c r="V192" s="10"/>
      <c r="W192" s="10"/>
      <c r="X192" s="10"/>
      <c r="Y192" s="10"/>
      <c r="Z192" s="10"/>
      <c r="AA192" s="10"/>
      <c r="AB192" s="10"/>
      <c r="AC192" s="10"/>
      <c r="AD192" s="10"/>
      <c r="AE192" s="10"/>
      <c r="AF192" s="10"/>
      <c r="AG192" s="10"/>
      <c r="AH192" s="10"/>
    </row>
    <row r="193" spans="1:34" ht="31.5" hidden="1" outlineLevel="2">
      <c r="A193" s="28"/>
      <c r="B193" s="12" t="str">
        <f>IFERROR(VLOOKUP(D193,'[1]Перечень товаров'!$A$2:$I9525,2,0),"")</f>
        <v>т37</v>
      </c>
      <c r="C193" s="12" t="str">
        <f>IFERROR(VLOOKUP(D193,'[1]Перечень товаров'!$A$2:$I9525,3,0),"")</f>
        <v>Техника</v>
      </c>
      <c r="D193" s="29" t="s">
        <v>115</v>
      </c>
      <c r="E193" s="30"/>
      <c r="F193" s="30"/>
      <c r="G193" s="59">
        <v>1</v>
      </c>
      <c r="H193" s="59"/>
      <c r="I193" s="60"/>
      <c r="J193" s="60"/>
      <c r="K193" s="19"/>
      <c r="L193" s="20"/>
      <c r="M193" s="10"/>
      <c r="N193" s="10"/>
      <c r="O193" s="10"/>
      <c r="P193" s="10"/>
      <c r="Q193" s="10"/>
      <c r="R193" s="10"/>
      <c r="S193" s="10"/>
      <c r="T193" s="10"/>
      <c r="U193" s="10"/>
      <c r="V193" s="10"/>
      <c r="W193" s="10"/>
      <c r="X193" s="10"/>
      <c r="Y193" s="10"/>
      <c r="Z193" s="10"/>
      <c r="AA193" s="10"/>
      <c r="AB193" s="10"/>
      <c r="AC193" s="10"/>
      <c r="AD193" s="10"/>
      <c r="AE193" s="10"/>
      <c r="AF193" s="10"/>
      <c r="AG193" s="10"/>
      <c r="AH193" s="10"/>
    </row>
    <row r="194" spans="1:34" ht="31.5" hidden="1" outlineLevel="2">
      <c r="A194" s="28"/>
      <c r="B194" s="12" t="str">
        <f>IFERROR(VLOOKUP(D194,'[1]Перечень товаров'!$A$2:$I9525,2,0),"")</f>
        <v>т38</v>
      </c>
      <c r="C194" s="12" t="str">
        <f>IFERROR(VLOOKUP(D194,'[1]Перечень товаров'!$A$2:$I9525,3,0),"")</f>
        <v>Техника</v>
      </c>
      <c r="D194" s="29" t="s">
        <v>116</v>
      </c>
      <c r="E194" s="30"/>
      <c r="F194" s="30"/>
      <c r="G194" s="59">
        <v>1</v>
      </c>
      <c r="H194" s="59"/>
      <c r="I194" s="60"/>
      <c r="J194" s="60"/>
      <c r="K194" s="19"/>
      <c r="L194" s="20"/>
      <c r="M194" s="10"/>
      <c r="N194" s="10"/>
      <c r="O194" s="10"/>
      <c r="P194" s="10"/>
      <c r="Q194" s="10"/>
      <c r="R194" s="10"/>
      <c r="S194" s="10"/>
      <c r="T194" s="10"/>
      <c r="U194" s="10"/>
      <c r="V194" s="10"/>
      <c r="W194" s="10"/>
      <c r="X194" s="10"/>
      <c r="Y194" s="10"/>
      <c r="Z194" s="10"/>
      <c r="AA194" s="10"/>
      <c r="AB194" s="10"/>
      <c r="AC194" s="10"/>
      <c r="AD194" s="10"/>
      <c r="AE194" s="10"/>
      <c r="AF194" s="10"/>
      <c r="AG194" s="10"/>
      <c r="AH194" s="10"/>
    </row>
    <row r="195" spans="1:34" ht="47.25" hidden="1" outlineLevel="2">
      <c r="A195" s="28"/>
      <c r="B195" s="12" t="str">
        <f>IFERROR(VLOOKUP(D195,'[1]Перечень товаров'!$A$2:$I9525,2,0),"")</f>
        <v>т39</v>
      </c>
      <c r="C195" s="12" t="str">
        <f>IFERROR(VLOOKUP(D195,'[1]Перечень товаров'!$A$2:$I9525,3,0),"")</f>
        <v>Техника</v>
      </c>
      <c r="D195" s="29" t="s">
        <v>117</v>
      </c>
      <c r="E195" s="30"/>
      <c r="F195" s="30"/>
      <c r="G195" s="59">
        <v>1</v>
      </c>
      <c r="H195" s="59"/>
      <c r="I195" s="60"/>
      <c r="J195" s="60"/>
      <c r="K195" s="19"/>
      <c r="L195" s="20"/>
      <c r="M195" s="10"/>
      <c r="N195" s="10"/>
      <c r="O195" s="10"/>
      <c r="P195" s="10"/>
      <c r="Q195" s="10"/>
      <c r="R195" s="10"/>
      <c r="S195" s="10"/>
      <c r="T195" s="10"/>
      <c r="U195" s="10"/>
      <c r="V195" s="10"/>
      <c r="W195" s="10"/>
      <c r="X195" s="10"/>
      <c r="Y195" s="10"/>
      <c r="Z195" s="10"/>
      <c r="AA195" s="10"/>
      <c r="AB195" s="10"/>
      <c r="AC195" s="10"/>
      <c r="AD195" s="10"/>
      <c r="AE195" s="10"/>
      <c r="AF195" s="10"/>
      <c r="AG195" s="10"/>
      <c r="AH195" s="10"/>
    </row>
    <row r="196" spans="1:34" ht="47.25" hidden="1" outlineLevel="2">
      <c r="A196" s="28"/>
      <c r="B196" s="12" t="str">
        <f>IFERROR(VLOOKUP(D196,'[1]Перечень товаров'!$A$2:$I9525,2,0),"")</f>
        <v>т40</v>
      </c>
      <c r="C196" s="12" t="str">
        <f>IFERROR(VLOOKUP(D196,'[1]Перечень товаров'!$A$2:$I9525,3,0),"")</f>
        <v>Техника</v>
      </c>
      <c r="D196" s="29" t="s">
        <v>118</v>
      </c>
      <c r="E196" s="30"/>
      <c r="F196" s="30"/>
      <c r="G196" s="59">
        <v>1</v>
      </c>
      <c r="H196" s="59"/>
      <c r="I196" s="60"/>
      <c r="J196" s="60"/>
      <c r="K196" s="19"/>
      <c r="L196" s="20"/>
      <c r="M196" s="10"/>
      <c r="N196" s="10"/>
      <c r="O196" s="10"/>
      <c r="P196" s="10"/>
      <c r="Q196" s="10"/>
      <c r="R196" s="10"/>
      <c r="S196" s="10"/>
      <c r="T196" s="10"/>
      <c r="U196" s="10"/>
      <c r="V196" s="10"/>
      <c r="W196" s="10"/>
      <c r="X196" s="10"/>
      <c r="Y196" s="10"/>
      <c r="Z196" s="10"/>
      <c r="AA196" s="10"/>
      <c r="AB196" s="10"/>
      <c r="AC196" s="10"/>
      <c r="AD196" s="10"/>
      <c r="AE196" s="10"/>
      <c r="AF196" s="10"/>
      <c r="AG196" s="10"/>
      <c r="AH196" s="10"/>
    </row>
    <row r="197" spans="1:34" ht="31.5" hidden="1" outlineLevel="2">
      <c r="A197" s="28"/>
      <c r="B197" s="12" t="str">
        <f>IFERROR(VLOOKUP(D197,'[1]Перечень товаров'!$A$2:$I9525,2,0),"")</f>
        <v>т41</v>
      </c>
      <c r="C197" s="12" t="str">
        <f>IFERROR(VLOOKUP(D197,'[1]Перечень товаров'!$A$2:$I9525,3,0),"")</f>
        <v>Техника</v>
      </c>
      <c r="D197" s="29" t="s">
        <v>119</v>
      </c>
      <c r="E197" s="30"/>
      <c r="F197" s="30"/>
      <c r="G197" s="59">
        <v>1</v>
      </c>
      <c r="H197" s="59"/>
      <c r="I197" s="60"/>
      <c r="J197" s="60"/>
      <c r="K197" s="19"/>
      <c r="L197" s="20"/>
      <c r="M197" s="10"/>
      <c r="N197" s="10"/>
      <c r="O197" s="10"/>
      <c r="P197" s="10"/>
      <c r="Q197" s="10"/>
      <c r="R197" s="10"/>
      <c r="S197" s="10"/>
      <c r="T197" s="10"/>
      <c r="U197" s="10"/>
      <c r="V197" s="10"/>
      <c r="W197" s="10"/>
      <c r="X197" s="10"/>
      <c r="Y197" s="10"/>
      <c r="Z197" s="10"/>
      <c r="AA197" s="10"/>
      <c r="AB197" s="10"/>
      <c r="AC197" s="10"/>
      <c r="AD197" s="10"/>
      <c r="AE197" s="10"/>
      <c r="AF197" s="10"/>
      <c r="AG197" s="10"/>
      <c r="AH197" s="10"/>
    </row>
    <row r="198" spans="1:34" ht="47.25" hidden="1" outlineLevel="2">
      <c r="A198" s="28"/>
      <c r="B198" s="12" t="str">
        <f>IFERROR(VLOOKUP(D198,'[1]Перечень товаров'!$A$2:$I9525,2,0),"")</f>
        <v>п7</v>
      </c>
      <c r="C198" s="12" t="str">
        <f>IFERROR(VLOOKUP(D198,'[1]Перечень товаров'!$A$2:$I9525,3,0),"")</f>
        <v>Прочее</v>
      </c>
      <c r="D198" s="29" t="s">
        <v>120</v>
      </c>
      <c r="E198" s="30"/>
      <c r="F198" s="30"/>
      <c r="G198" s="59">
        <v>1</v>
      </c>
      <c r="H198" s="59"/>
      <c r="I198" s="60"/>
      <c r="J198" s="60"/>
      <c r="K198" s="19"/>
      <c r="L198" s="20"/>
      <c r="M198" s="10"/>
      <c r="N198" s="10"/>
      <c r="O198" s="10"/>
      <c r="P198" s="10"/>
      <c r="Q198" s="10"/>
      <c r="R198" s="10"/>
      <c r="S198" s="10"/>
      <c r="T198" s="10"/>
      <c r="U198" s="10"/>
      <c r="V198" s="10"/>
      <c r="W198" s="10"/>
      <c r="X198" s="10"/>
      <c r="Y198" s="10"/>
      <c r="Z198" s="10"/>
      <c r="AA198" s="10"/>
      <c r="AB198" s="10"/>
      <c r="AC198" s="10"/>
      <c r="AD198" s="10"/>
      <c r="AE198" s="10"/>
      <c r="AF198" s="10"/>
      <c r="AG198" s="10"/>
      <c r="AH198" s="10"/>
    </row>
    <row r="199" spans="1:34" ht="47.25" hidden="1" outlineLevel="2">
      <c r="A199" s="28"/>
      <c r="B199" s="12" t="str">
        <f>IFERROR(VLOOKUP(D199,'[1]Перечень товаров'!$A$2:$I9525,2,0),"")</f>
        <v>п8</v>
      </c>
      <c r="C199" s="12" t="str">
        <f>IFERROR(VLOOKUP(D199,'[1]Перечень товаров'!$A$2:$I9525,3,0),"")</f>
        <v>Прочее</v>
      </c>
      <c r="D199" s="29" t="s">
        <v>121</v>
      </c>
      <c r="E199" s="30"/>
      <c r="F199" s="30"/>
      <c r="G199" s="59">
        <v>1</v>
      </c>
      <c r="H199" s="59"/>
      <c r="I199" s="60"/>
      <c r="J199" s="60"/>
      <c r="K199" s="19"/>
      <c r="L199" s="20"/>
      <c r="M199" s="10"/>
      <c r="N199" s="10"/>
      <c r="O199" s="10"/>
      <c r="P199" s="10"/>
      <c r="Q199" s="10"/>
      <c r="R199" s="10"/>
      <c r="S199" s="10"/>
      <c r="T199" s="10"/>
      <c r="U199" s="10"/>
      <c r="V199" s="10"/>
      <c r="W199" s="10"/>
      <c r="X199" s="10"/>
      <c r="Y199" s="10"/>
      <c r="Z199" s="10"/>
      <c r="AA199" s="10"/>
      <c r="AB199" s="10"/>
      <c r="AC199" s="10"/>
      <c r="AD199" s="10"/>
      <c r="AE199" s="10"/>
      <c r="AF199" s="10"/>
      <c r="AG199" s="10"/>
      <c r="AH199" s="10"/>
    </row>
    <row r="200" spans="1:34" ht="47.25" hidden="1" outlineLevel="2">
      <c r="A200" s="28"/>
      <c r="B200" s="12" t="str">
        <f>IFERROR(VLOOKUP(D200,'[1]Перечень товаров'!$A$2:$I9525,2,0),"")</f>
        <v>п9</v>
      </c>
      <c r="C200" s="12" t="str">
        <f>IFERROR(VLOOKUP(D200,'[1]Перечень товаров'!$A$2:$I9525,3,0),"")</f>
        <v>Прочее</v>
      </c>
      <c r="D200" s="29" t="s">
        <v>122</v>
      </c>
      <c r="E200" s="30"/>
      <c r="F200" s="30"/>
      <c r="G200" s="59">
        <v>5</v>
      </c>
      <c r="H200" s="59"/>
      <c r="I200" s="60"/>
      <c r="J200" s="60"/>
      <c r="K200" s="19"/>
      <c r="L200" s="20"/>
      <c r="M200" s="10"/>
      <c r="N200" s="10"/>
      <c r="O200" s="10"/>
      <c r="P200" s="10"/>
      <c r="Q200" s="10"/>
      <c r="R200" s="10"/>
      <c r="S200" s="10"/>
      <c r="T200" s="10"/>
      <c r="U200" s="10"/>
      <c r="V200" s="10"/>
      <c r="W200" s="10"/>
      <c r="X200" s="10"/>
      <c r="Y200" s="10"/>
      <c r="Z200" s="10"/>
      <c r="AA200" s="10"/>
      <c r="AB200" s="10"/>
      <c r="AC200" s="10"/>
      <c r="AD200" s="10"/>
      <c r="AE200" s="10"/>
      <c r="AF200" s="10"/>
      <c r="AG200" s="10"/>
      <c r="AH200" s="10"/>
    </row>
    <row r="201" spans="1:34" ht="31.5" hidden="1" outlineLevel="2">
      <c r="A201" s="28"/>
      <c r="B201" s="12" t="str">
        <f>IFERROR(VLOOKUP(D201,'[1]Перечень товаров'!$A$2:$I9525,2,0),"")</f>
        <v>п10</v>
      </c>
      <c r="C201" s="12" t="str">
        <f>IFERROR(VLOOKUP(D201,'[1]Перечень товаров'!$A$2:$I9525,3,0),"")</f>
        <v>Прочее</v>
      </c>
      <c r="D201" s="29" t="s">
        <v>123</v>
      </c>
      <c r="E201" s="30"/>
      <c r="F201" s="30"/>
      <c r="G201" s="59" t="s">
        <v>124</v>
      </c>
      <c r="H201" s="59"/>
      <c r="I201" s="60"/>
      <c r="J201" s="60"/>
      <c r="K201" s="19"/>
      <c r="L201" s="20"/>
      <c r="M201" s="10"/>
      <c r="N201" s="10"/>
      <c r="O201" s="10"/>
      <c r="P201" s="10"/>
      <c r="Q201" s="10"/>
      <c r="R201" s="10"/>
      <c r="S201" s="10"/>
      <c r="T201" s="10"/>
      <c r="U201" s="10"/>
      <c r="V201" s="10"/>
      <c r="W201" s="10"/>
      <c r="X201" s="10"/>
      <c r="Y201" s="10"/>
      <c r="Z201" s="10"/>
      <c r="AA201" s="10"/>
      <c r="AB201" s="10"/>
      <c r="AC201" s="10"/>
      <c r="AD201" s="10"/>
      <c r="AE201" s="10"/>
      <c r="AF201" s="10"/>
      <c r="AG201" s="10"/>
      <c r="AH201" s="10"/>
    </row>
    <row r="202" spans="1:34" ht="47.25" hidden="1" outlineLevel="2">
      <c r="A202" s="28"/>
      <c r="B202" s="12" t="str">
        <f>IFERROR(VLOOKUP(D202,'[1]Перечень товаров'!$A$2:$I9525,2,0),"")</f>
        <v>т42</v>
      </c>
      <c r="C202" s="12" t="str">
        <f>IFERROR(VLOOKUP(D202,'[1]Перечень товаров'!$A$2:$I9525,3,0),"")</f>
        <v>Техника</v>
      </c>
      <c r="D202" s="29" t="s">
        <v>125</v>
      </c>
      <c r="E202" s="30"/>
      <c r="F202" s="30"/>
      <c r="G202" s="59">
        <v>2</v>
      </c>
      <c r="H202" s="59"/>
      <c r="I202" s="60"/>
      <c r="J202" s="60"/>
      <c r="K202" s="19"/>
      <c r="L202" s="20"/>
      <c r="M202" s="10"/>
      <c r="N202" s="10"/>
      <c r="O202" s="10"/>
      <c r="P202" s="10"/>
      <c r="Q202" s="10"/>
      <c r="R202" s="10"/>
      <c r="S202" s="10"/>
      <c r="T202" s="10"/>
      <c r="U202" s="10"/>
      <c r="V202" s="10"/>
      <c r="W202" s="10"/>
      <c r="X202" s="10"/>
      <c r="Y202" s="10"/>
      <c r="Z202" s="10"/>
      <c r="AA202" s="10"/>
      <c r="AB202" s="10"/>
      <c r="AC202" s="10"/>
      <c r="AD202" s="10"/>
      <c r="AE202" s="10"/>
      <c r="AF202" s="10"/>
      <c r="AG202" s="10"/>
      <c r="AH202" s="10"/>
    </row>
    <row r="203" spans="1:34" ht="47.25" hidden="1" outlineLevel="2">
      <c r="A203" s="28"/>
      <c r="B203" s="12" t="str">
        <f>IFERROR(VLOOKUP(D203,'[1]Перечень товаров'!$A$2:$I9525,2,0),"")</f>
        <v>т43</v>
      </c>
      <c r="C203" s="12" t="str">
        <f>IFERROR(VLOOKUP(D203,'[1]Перечень товаров'!$A$2:$I9525,3,0),"")</f>
        <v>Техника</v>
      </c>
      <c r="D203" s="29" t="s">
        <v>126</v>
      </c>
      <c r="E203" s="30"/>
      <c r="F203" s="30"/>
      <c r="G203" s="59">
        <v>3</v>
      </c>
      <c r="H203" s="59"/>
      <c r="I203" s="60"/>
      <c r="J203" s="60"/>
      <c r="K203" s="19"/>
      <c r="L203" s="20"/>
      <c r="M203" s="10"/>
      <c r="N203" s="10"/>
      <c r="O203" s="10"/>
      <c r="P203" s="10"/>
      <c r="Q203" s="10"/>
      <c r="R203" s="10"/>
      <c r="S203" s="10"/>
      <c r="T203" s="10"/>
      <c r="U203" s="10"/>
      <c r="V203" s="10"/>
      <c r="W203" s="10"/>
      <c r="X203" s="10"/>
      <c r="Y203" s="10"/>
      <c r="Z203" s="10"/>
      <c r="AA203" s="10"/>
      <c r="AB203" s="10"/>
      <c r="AC203" s="10"/>
      <c r="AD203" s="10"/>
      <c r="AE203" s="10"/>
      <c r="AF203" s="10"/>
      <c r="AG203" s="10"/>
      <c r="AH203" s="10"/>
    </row>
    <row r="204" spans="1:34" ht="31.5" hidden="1" outlineLevel="2">
      <c r="A204" s="28"/>
      <c r="B204" s="12" t="str">
        <f>IFERROR(VLOOKUP(D204,'[1]Перечень товаров'!$A$2:$I9525,2,0),"")</f>
        <v>т44</v>
      </c>
      <c r="C204" s="12" t="str">
        <f>IFERROR(VLOOKUP(D204,'[1]Перечень товаров'!$A$2:$I9525,3,0),"")</f>
        <v>Техника</v>
      </c>
      <c r="D204" s="29" t="s">
        <v>127</v>
      </c>
      <c r="E204" s="30"/>
      <c r="F204" s="30"/>
      <c r="G204" s="59">
        <v>1</v>
      </c>
      <c r="H204" s="59"/>
      <c r="I204" s="60"/>
      <c r="J204" s="60"/>
      <c r="K204" s="19"/>
      <c r="L204" s="20"/>
      <c r="M204" s="10"/>
      <c r="N204" s="10"/>
      <c r="O204" s="10"/>
      <c r="P204" s="10"/>
      <c r="Q204" s="10"/>
      <c r="R204" s="10"/>
      <c r="S204" s="10"/>
      <c r="T204" s="10"/>
      <c r="U204" s="10"/>
      <c r="V204" s="10"/>
      <c r="W204" s="10"/>
      <c r="X204" s="10"/>
      <c r="Y204" s="10"/>
      <c r="Z204" s="10"/>
      <c r="AA204" s="10"/>
      <c r="AB204" s="10"/>
      <c r="AC204" s="10"/>
      <c r="AD204" s="10"/>
      <c r="AE204" s="10"/>
      <c r="AF204" s="10"/>
      <c r="AG204" s="10"/>
      <c r="AH204" s="10"/>
    </row>
    <row r="205" spans="1:34" ht="31.5" hidden="1" outlineLevel="2">
      <c r="A205" s="28"/>
      <c r="B205" s="12" t="str">
        <f>IFERROR(VLOOKUP(D205,'[1]Перечень товаров'!$A$2:$I9525,2,0),"")</f>
        <v>т45</v>
      </c>
      <c r="C205" s="12" t="str">
        <f>IFERROR(VLOOKUP(D205,'[1]Перечень товаров'!$A$2:$I9525,3,0),"")</f>
        <v>Техника</v>
      </c>
      <c r="D205" s="29" t="s">
        <v>128</v>
      </c>
      <c r="E205" s="30"/>
      <c r="F205" s="30"/>
      <c r="G205" s="59">
        <v>1</v>
      </c>
      <c r="H205" s="59"/>
      <c r="I205" s="60"/>
      <c r="J205" s="60"/>
      <c r="K205" s="19"/>
      <c r="L205" s="20"/>
      <c r="M205" s="10"/>
      <c r="N205" s="10"/>
      <c r="O205" s="10"/>
      <c r="P205" s="10"/>
      <c r="Q205" s="10"/>
      <c r="R205" s="10"/>
      <c r="S205" s="10"/>
      <c r="T205" s="10"/>
      <c r="U205" s="10"/>
      <c r="V205" s="10"/>
      <c r="W205" s="10"/>
      <c r="X205" s="10"/>
      <c r="Y205" s="10"/>
      <c r="Z205" s="10"/>
      <c r="AA205" s="10"/>
      <c r="AB205" s="10"/>
      <c r="AC205" s="10"/>
      <c r="AD205" s="10"/>
      <c r="AE205" s="10"/>
      <c r="AF205" s="10"/>
      <c r="AG205" s="10"/>
      <c r="AH205" s="10"/>
    </row>
    <row r="206" spans="1:34" ht="31.5" hidden="1" outlineLevel="2">
      <c r="A206" s="28"/>
      <c r="B206" s="12" t="str">
        <f>IFERROR(VLOOKUP(D206,'[1]Перечень товаров'!$A$2:$I9525,2,0),"")</f>
        <v>т46</v>
      </c>
      <c r="C206" s="12" t="str">
        <f>IFERROR(VLOOKUP(D206,'[1]Перечень товаров'!$A$2:$I9525,3,0),"")</f>
        <v>Техника</v>
      </c>
      <c r="D206" s="29" t="s">
        <v>129</v>
      </c>
      <c r="E206" s="30"/>
      <c r="F206" s="30"/>
      <c r="G206" s="59">
        <v>1</v>
      </c>
      <c r="H206" s="59"/>
      <c r="I206" s="60"/>
      <c r="J206" s="60"/>
      <c r="K206" s="19"/>
      <c r="L206" s="20"/>
      <c r="M206" s="10"/>
      <c r="N206" s="10"/>
      <c r="O206" s="10"/>
      <c r="P206" s="10"/>
      <c r="Q206" s="10"/>
      <c r="R206" s="10"/>
      <c r="S206" s="10"/>
      <c r="T206" s="10"/>
      <c r="U206" s="10"/>
      <c r="V206" s="10"/>
      <c r="W206" s="10"/>
      <c r="X206" s="10"/>
      <c r="Y206" s="10"/>
      <c r="Z206" s="10"/>
      <c r="AA206" s="10"/>
      <c r="AB206" s="10"/>
      <c r="AC206" s="10"/>
      <c r="AD206" s="10"/>
      <c r="AE206" s="10"/>
      <c r="AF206" s="10"/>
      <c r="AG206" s="10"/>
      <c r="AH206" s="10"/>
    </row>
    <row r="207" spans="1:34" ht="47.25" hidden="1" outlineLevel="2">
      <c r="A207" s="28"/>
      <c r="B207" s="12" t="str">
        <f>IFERROR(VLOOKUP(D207,'[1]Перечень товаров'!$A$2:$I9525,2,0),"")</f>
        <v>т47</v>
      </c>
      <c r="C207" s="12" t="str">
        <f>IFERROR(VLOOKUP(D207,'[1]Перечень товаров'!$A$2:$I9525,3,0),"")</f>
        <v>Техника</v>
      </c>
      <c r="D207" s="29" t="s">
        <v>130</v>
      </c>
      <c r="E207" s="30"/>
      <c r="F207" s="30"/>
      <c r="G207" s="59">
        <v>3</v>
      </c>
      <c r="H207" s="59"/>
      <c r="I207" s="60"/>
      <c r="J207" s="60"/>
      <c r="K207" s="19"/>
      <c r="L207" s="20"/>
      <c r="M207" s="10"/>
      <c r="N207" s="10"/>
      <c r="O207" s="10"/>
      <c r="P207" s="10"/>
      <c r="Q207" s="10"/>
      <c r="R207" s="10"/>
      <c r="S207" s="10"/>
      <c r="T207" s="10"/>
      <c r="U207" s="10"/>
      <c r="V207" s="10"/>
      <c r="W207" s="10"/>
      <c r="X207" s="10"/>
      <c r="Y207" s="10"/>
      <c r="Z207" s="10"/>
      <c r="AA207" s="10"/>
      <c r="AB207" s="10"/>
      <c r="AC207" s="10"/>
      <c r="AD207" s="10"/>
      <c r="AE207" s="10"/>
      <c r="AF207" s="10"/>
      <c r="AG207" s="10"/>
      <c r="AH207" s="10"/>
    </row>
    <row r="208" spans="1:34" ht="31.5" hidden="1" outlineLevel="2">
      <c r="A208" s="28"/>
      <c r="B208" s="12" t="str">
        <f>IFERROR(VLOOKUP(D208,'[1]Перечень товаров'!$A$2:$I9525,2,0),"")</f>
        <v>т48</v>
      </c>
      <c r="C208" s="12" t="str">
        <f>IFERROR(VLOOKUP(D208,'[1]Перечень товаров'!$A$2:$I9525,3,0),"")</f>
        <v>Техника</v>
      </c>
      <c r="D208" s="29" t="s">
        <v>131</v>
      </c>
      <c r="E208" s="30"/>
      <c r="F208" s="30"/>
      <c r="G208" s="59">
        <v>1</v>
      </c>
      <c r="H208" s="59"/>
      <c r="I208" s="60"/>
      <c r="J208" s="60"/>
      <c r="K208" s="19"/>
      <c r="L208" s="20"/>
      <c r="M208" s="10"/>
      <c r="N208" s="10"/>
      <c r="O208" s="10"/>
      <c r="P208" s="10"/>
      <c r="Q208" s="10"/>
      <c r="R208" s="10"/>
      <c r="S208" s="10"/>
      <c r="T208" s="10"/>
      <c r="U208" s="10"/>
      <c r="V208" s="10"/>
      <c r="W208" s="10"/>
      <c r="X208" s="10"/>
      <c r="Y208" s="10"/>
      <c r="Z208" s="10"/>
      <c r="AA208" s="10"/>
      <c r="AB208" s="10"/>
      <c r="AC208" s="10"/>
      <c r="AD208" s="10"/>
      <c r="AE208" s="10"/>
      <c r="AF208" s="10"/>
      <c r="AG208" s="10"/>
      <c r="AH208" s="10"/>
    </row>
    <row r="209" spans="1:34" ht="63" hidden="1" outlineLevel="2">
      <c r="A209" s="28"/>
      <c r="B209" s="12" t="str">
        <f>IFERROR(VLOOKUP(D209,'[1]Перечень товаров'!$A$2:$I9525,2,0),"")</f>
        <v>т49</v>
      </c>
      <c r="C209" s="12" t="str">
        <f>IFERROR(VLOOKUP(D209,'[1]Перечень товаров'!$A$2:$I9525,3,0),"")</f>
        <v>Техника</v>
      </c>
      <c r="D209" s="29" t="s">
        <v>132</v>
      </c>
      <c r="E209" s="30"/>
      <c r="F209" s="30"/>
      <c r="G209" s="59">
        <v>1</v>
      </c>
      <c r="H209" s="59"/>
      <c r="I209" s="60"/>
      <c r="J209" s="60"/>
      <c r="K209" s="19"/>
      <c r="L209" s="20"/>
      <c r="M209" s="10"/>
      <c r="N209" s="10"/>
      <c r="O209" s="10"/>
      <c r="P209" s="10"/>
      <c r="Q209" s="10"/>
      <c r="R209" s="10"/>
      <c r="S209" s="10"/>
      <c r="T209" s="10"/>
      <c r="U209" s="10"/>
      <c r="V209" s="10"/>
      <c r="W209" s="10"/>
      <c r="X209" s="10"/>
      <c r="Y209" s="10"/>
      <c r="Z209" s="10"/>
      <c r="AA209" s="10"/>
      <c r="AB209" s="10"/>
      <c r="AC209" s="10"/>
      <c r="AD209" s="10"/>
      <c r="AE209" s="10"/>
      <c r="AF209" s="10"/>
      <c r="AG209" s="10"/>
      <c r="AH209" s="10"/>
    </row>
    <row r="210" spans="1:34" ht="31.5" hidden="1" outlineLevel="2">
      <c r="A210" s="28"/>
      <c r="B210" s="12" t="str">
        <f>IFERROR(VLOOKUP(D210,'[1]Перечень товаров'!$A$2:$I9525,2,0),"")</f>
        <v>т50</v>
      </c>
      <c r="C210" s="12" t="str">
        <f>IFERROR(VLOOKUP(D210,'[1]Перечень товаров'!$A$2:$I9525,3,0),"")</f>
        <v>Техника</v>
      </c>
      <c r="D210" s="29" t="s">
        <v>133</v>
      </c>
      <c r="E210" s="30"/>
      <c r="F210" s="30"/>
      <c r="G210" s="59">
        <v>1</v>
      </c>
      <c r="H210" s="59"/>
      <c r="I210" s="60"/>
      <c r="J210" s="60"/>
      <c r="K210" s="19"/>
      <c r="L210" s="20"/>
      <c r="M210" s="10"/>
      <c r="N210" s="10"/>
      <c r="O210" s="10"/>
      <c r="P210" s="10"/>
      <c r="Q210" s="10"/>
      <c r="R210" s="10"/>
      <c r="S210" s="10"/>
      <c r="T210" s="10"/>
      <c r="U210" s="10"/>
      <c r="V210" s="10"/>
      <c r="W210" s="10"/>
      <c r="X210" s="10"/>
      <c r="Y210" s="10"/>
      <c r="Z210" s="10"/>
      <c r="AA210" s="10"/>
      <c r="AB210" s="10"/>
      <c r="AC210" s="10"/>
      <c r="AD210" s="10"/>
      <c r="AE210" s="10"/>
      <c r="AF210" s="10"/>
      <c r="AG210" s="10"/>
      <c r="AH210" s="10"/>
    </row>
    <row r="211" spans="1:34" ht="31.5" hidden="1" outlineLevel="2">
      <c r="A211" s="28"/>
      <c r="B211" s="12" t="str">
        <f>IFERROR(VLOOKUP(D211,'[1]Перечень товаров'!$A$2:$I9525,2,0),"")</f>
        <v>т51</v>
      </c>
      <c r="C211" s="12" t="str">
        <f>IFERROR(VLOOKUP(D211,'[1]Перечень товаров'!$A$2:$I9525,3,0),"")</f>
        <v>Техника</v>
      </c>
      <c r="D211" s="29" t="s">
        <v>134</v>
      </c>
      <c r="E211" s="30"/>
      <c r="F211" s="30"/>
      <c r="G211" s="59">
        <v>1</v>
      </c>
      <c r="H211" s="59"/>
      <c r="I211" s="60"/>
      <c r="J211" s="60"/>
      <c r="K211" s="19"/>
      <c r="L211" s="20"/>
      <c r="M211" s="10"/>
      <c r="N211" s="10"/>
      <c r="O211" s="10"/>
      <c r="P211" s="10"/>
      <c r="Q211" s="10"/>
      <c r="R211" s="10"/>
      <c r="S211" s="10"/>
      <c r="T211" s="10"/>
      <c r="U211" s="10"/>
      <c r="V211" s="10"/>
      <c r="W211" s="10"/>
      <c r="X211" s="10"/>
      <c r="Y211" s="10"/>
      <c r="Z211" s="10"/>
      <c r="AA211" s="10"/>
      <c r="AB211" s="10"/>
      <c r="AC211" s="10"/>
      <c r="AD211" s="10"/>
      <c r="AE211" s="10"/>
      <c r="AF211" s="10"/>
      <c r="AG211" s="10"/>
      <c r="AH211" s="10"/>
    </row>
    <row r="212" spans="1:34" hidden="1" outlineLevel="2">
      <c r="A212" s="28"/>
      <c r="B212" s="12" t="str">
        <f>IFERROR(VLOOKUP(D212,'[1]Перечень товаров'!$A$2:$I9525,2,0),"")</f>
        <v>т52</v>
      </c>
      <c r="C212" s="12" t="str">
        <f>IFERROR(VLOOKUP(D212,'[1]Перечень товаров'!$A$2:$I9525,3,0),"")</f>
        <v>Техника</v>
      </c>
      <c r="D212" s="29" t="s">
        <v>135</v>
      </c>
      <c r="E212" s="30"/>
      <c r="F212" s="30"/>
      <c r="G212" s="59">
        <v>1</v>
      </c>
      <c r="H212" s="59"/>
      <c r="I212" s="60"/>
      <c r="J212" s="60"/>
      <c r="K212" s="19"/>
      <c r="L212" s="20"/>
      <c r="M212" s="10"/>
      <c r="N212" s="10"/>
      <c r="O212" s="10"/>
      <c r="P212" s="10"/>
      <c r="Q212" s="10"/>
      <c r="R212" s="10"/>
      <c r="S212" s="10"/>
      <c r="T212" s="10"/>
      <c r="U212" s="10"/>
      <c r="V212" s="10"/>
      <c r="W212" s="10"/>
      <c r="X212" s="10"/>
      <c r="Y212" s="10"/>
      <c r="Z212" s="10"/>
      <c r="AA212" s="10"/>
      <c r="AB212" s="10"/>
      <c r="AC212" s="10"/>
      <c r="AD212" s="10"/>
      <c r="AE212" s="10"/>
      <c r="AF212" s="10"/>
      <c r="AG212" s="10"/>
      <c r="AH212" s="10"/>
    </row>
    <row r="213" spans="1:34" hidden="1" outlineLevel="2">
      <c r="A213" s="28"/>
      <c r="B213" s="12" t="str">
        <f>IFERROR(VLOOKUP(D213,'[1]Перечень товаров'!$A$2:$I9525,2,0),"")</f>
        <v>т53</v>
      </c>
      <c r="C213" s="12" t="str">
        <f>IFERROR(VLOOKUP(D213,'[1]Перечень товаров'!$A$2:$I9525,3,0),"")</f>
        <v>Техника</v>
      </c>
      <c r="D213" s="29" t="s">
        <v>136</v>
      </c>
      <c r="E213" s="30"/>
      <c r="F213" s="30"/>
      <c r="G213" s="59">
        <v>1</v>
      </c>
      <c r="H213" s="59"/>
      <c r="I213" s="60"/>
      <c r="J213" s="60"/>
      <c r="K213" s="19"/>
      <c r="L213" s="20"/>
      <c r="M213" s="10"/>
      <c r="N213" s="10"/>
      <c r="O213" s="10"/>
      <c r="P213" s="10"/>
      <c r="Q213" s="10"/>
      <c r="R213" s="10"/>
      <c r="S213" s="10"/>
      <c r="T213" s="10"/>
      <c r="U213" s="10"/>
      <c r="V213" s="10"/>
      <c r="W213" s="10"/>
      <c r="X213" s="10"/>
      <c r="Y213" s="10"/>
      <c r="Z213" s="10"/>
      <c r="AA213" s="10"/>
      <c r="AB213" s="10"/>
      <c r="AC213" s="10"/>
      <c r="AD213" s="10"/>
      <c r="AE213" s="10"/>
      <c r="AF213" s="10"/>
      <c r="AG213" s="10"/>
      <c r="AH213" s="10"/>
    </row>
    <row r="214" spans="1:34" hidden="1" outlineLevel="2">
      <c r="A214" s="28"/>
      <c r="B214" s="12" t="str">
        <f>IFERROR(VLOOKUP(D214,'[1]Перечень товаров'!$A$2:$I9525,2,0),"")</f>
        <v>т54</v>
      </c>
      <c r="C214" s="12" t="str">
        <f>IFERROR(VLOOKUP(D214,'[1]Перечень товаров'!$A$2:$I9525,3,0),"")</f>
        <v>Техника</v>
      </c>
      <c r="D214" s="29" t="s">
        <v>137</v>
      </c>
      <c r="E214" s="30"/>
      <c r="F214" s="30"/>
      <c r="G214" s="59">
        <v>1</v>
      </c>
      <c r="H214" s="59"/>
      <c r="I214" s="60"/>
      <c r="J214" s="60"/>
      <c r="K214" s="19"/>
      <c r="L214" s="20"/>
      <c r="M214" s="10"/>
      <c r="N214" s="10"/>
      <c r="O214" s="10"/>
      <c r="P214" s="10"/>
      <c r="Q214" s="10"/>
      <c r="R214" s="10"/>
      <c r="S214" s="10"/>
      <c r="T214" s="10"/>
      <c r="U214" s="10"/>
      <c r="V214" s="10"/>
      <c r="W214" s="10"/>
      <c r="X214" s="10"/>
      <c r="Y214" s="10"/>
      <c r="Z214" s="10"/>
      <c r="AA214" s="10"/>
      <c r="AB214" s="10"/>
      <c r="AC214" s="10"/>
      <c r="AD214" s="10"/>
      <c r="AE214" s="10"/>
      <c r="AF214" s="10"/>
      <c r="AG214" s="10"/>
      <c r="AH214" s="10"/>
    </row>
    <row r="215" spans="1:34" ht="31.5" hidden="1" outlineLevel="2">
      <c r="A215" s="28"/>
      <c r="B215" s="12" t="str">
        <f>IFERROR(VLOOKUP(D215,'[1]Перечень товаров'!$A$2:$I9525,2,0),"")</f>
        <v>т55</v>
      </c>
      <c r="C215" s="12" t="str">
        <f>IFERROR(VLOOKUP(D215,'[1]Перечень товаров'!$A$2:$I9525,3,0),"")</f>
        <v>Техника</v>
      </c>
      <c r="D215" s="29" t="s">
        <v>138</v>
      </c>
      <c r="E215" s="30"/>
      <c r="F215" s="30"/>
      <c r="G215" s="59">
        <v>2</v>
      </c>
      <c r="H215" s="59"/>
      <c r="I215" s="60"/>
      <c r="J215" s="60"/>
      <c r="K215" s="19"/>
      <c r="L215" s="20"/>
      <c r="M215" s="10"/>
      <c r="N215" s="10"/>
      <c r="O215" s="10"/>
      <c r="P215" s="10"/>
      <c r="Q215" s="10"/>
      <c r="R215" s="10"/>
      <c r="S215" s="10"/>
      <c r="T215" s="10"/>
      <c r="U215" s="10"/>
      <c r="V215" s="10"/>
      <c r="W215" s="10"/>
      <c r="X215" s="10"/>
      <c r="Y215" s="10"/>
      <c r="Z215" s="10"/>
      <c r="AA215" s="10"/>
      <c r="AB215" s="10"/>
      <c r="AC215" s="10"/>
      <c r="AD215" s="10"/>
      <c r="AE215" s="10"/>
      <c r="AF215" s="10"/>
      <c r="AG215" s="10"/>
      <c r="AH215" s="10"/>
    </row>
    <row r="216" spans="1:34" hidden="1" outlineLevel="2">
      <c r="A216" s="28"/>
      <c r="B216" s="12" t="str">
        <f>IFERROR(VLOOKUP(D216,'[1]Перечень товаров'!$A$2:$I9525,2,0),"")</f>
        <v>т56</v>
      </c>
      <c r="C216" s="12" t="str">
        <f>IFERROR(VLOOKUP(D216,'[1]Перечень товаров'!$A$2:$I9525,3,0),"")</f>
        <v>Техника</v>
      </c>
      <c r="D216" s="29" t="s">
        <v>139</v>
      </c>
      <c r="E216" s="30"/>
      <c r="F216" s="30"/>
      <c r="G216" s="59">
        <v>1</v>
      </c>
      <c r="H216" s="59"/>
      <c r="I216" s="60"/>
      <c r="J216" s="60"/>
      <c r="K216" s="19"/>
      <c r="L216" s="20"/>
      <c r="M216" s="10"/>
      <c r="N216" s="10"/>
      <c r="O216" s="10"/>
      <c r="P216" s="10"/>
      <c r="Q216" s="10"/>
      <c r="R216" s="10"/>
      <c r="S216" s="10"/>
      <c r="T216" s="10"/>
      <c r="U216" s="10"/>
      <c r="V216" s="10"/>
      <c r="W216" s="10"/>
      <c r="X216" s="10"/>
      <c r="Y216" s="10"/>
      <c r="Z216" s="10"/>
      <c r="AA216" s="10"/>
      <c r="AB216" s="10"/>
      <c r="AC216" s="10"/>
      <c r="AD216" s="10"/>
      <c r="AE216" s="10"/>
      <c r="AF216" s="10"/>
      <c r="AG216" s="10"/>
      <c r="AH216" s="10"/>
    </row>
    <row r="217" spans="1:34" ht="47.25" hidden="1" outlineLevel="2">
      <c r="A217" s="28"/>
      <c r="B217" s="12" t="str">
        <f>IFERROR(VLOOKUP(D217,'[1]Перечень товаров'!$A$2:$I9525,2,0),"")</f>
        <v>т57</v>
      </c>
      <c r="C217" s="12" t="str">
        <f>IFERROR(VLOOKUP(D217,'[1]Перечень товаров'!$A$2:$I9525,3,0),"")</f>
        <v>Техника</v>
      </c>
      <c r="D217" s="29" t="s">
        <v>140</v>
      </c>
      <c r="E217" s="30"/>
      <c r="F217" s="30"/>
      <c r="G217" s="59">
        <v>1</v>
      </c>
      <c r="H217" s="59"/>
      <c r="I217" s="60"/>
      <c r="J217" s="60"/>
      <c r="K217" s="19"/>
      <c r="L217" s="20"/>
      <c r="M217" s="10"/>
      <c r="N217" s="10"/>
      <c r="O217" s="10"/>
      <c r="P217" s="10"/>
      <c r="Q217" s="10"/>
      <c r="R217" s="10"/>
      <c r="S217" s="10"/>
      <c r="T217" s="10"/>
      <c r="U217" s="10"/>
      <c r="V217" s="10"/>
      <c r="W217" s="10"/>
      <c r="X217" s="10"/>
      <c r="Y217" s="10"/>
      <c r="Z217" s="10"/>
      <c r="AA217" s="10"/>
      <c r="AB217" s="10"/>
      <c r="AC217" s="10"/>
      <c r="AD217" s="10"/>
      <c r="AE217" s="10"/>
      <c r="AF217" s="10"/>
      <c r="AG217" s="10"/>
      <c r="AH217" s="10"/>
    </row>
    <row r="218" spans="1:34" ht="47.25" hidden="1" outlineLevel="2">
      <c r="A218" s="28"/>
      <c r="B218" s="12" t="str">
        <f>IFERROR(VLOOKUP(D218,'[1]Перечень товаров'!$A$2:$I9525,2,0),"")</f>
        <v>т58</v>
      </c>
      <c r="C218" s="12" t="str">
        <f>IFERROR(VLOOKUP(D218,'[1]Перечень товаров'!$A$2:$I9525,3,0),"")</f>
        <v>Техника</v>
      </c>
      <c r="D218" s="29" t="s">
        <v>141</v>
      </c>
      <c r="E218" s="30"/>
      <c r="F218" s="30"/>
      <c r="G218" s="59">
        <v>1</v>
      </c>
      <c r="H218" s="59"/>
      <c r="I218" s="60"/>
      <c r="J218" s="60"/>
      <c r="K218" s="19"/>
      <c r="L218" s="20"/>
      <c r="M218" s="10"/>
      <c r="N218" s="10"/>
      <c r="O218" s="10"/>
      <c r="P218" s="10"/>
      <c r="Q218" s="10"/>
      <c r="R218" s="10"/>
      <c r="S218" s="10"/>
      <c r="T218" s="10"/>
      <c r="U218" s="10"/>
      <c r="V218" s="10"/>
      <c r="W218" s="10"/>
      <c r="X218" s="10"/>
      <c r="Y218" s="10"/>
      <c r="Z218" s="10"/>
      <c r="AA218" s="10"/>
      <c r="AB218" s="10"/>
      <c r="AC218" s="10"/>
      <c r="AD218" s="10"/>
      <c r="AE218" s="10"/>
      <c r="AF218" s="10"/>
      <c r="AG218" s="10"/>
      <c r="AH218" s="10"/>
    </row>
    <row r="219" spans="1:34" ht="47.25" hidden="1" outlineLevel="2">
      <c r="A219" s="28"/>
      <c r="B219" s="12" t="str">
        <f>IFERROR(VLOOKUP(D219,'[1]Перечень товаров'!$A$2:$I9525,2,0),"")</f>
        <v>т59</v>
      </c>
      <c r="C219" s="12" t="str">
        <f>IFERROR(VLOOKUP(D219,'[1]Перечень товаров'!$A$2:$I9525,3,0),"")</f>
        <v>Техника</v>
      </c>
      <c r="D219" s="29" t="s">
        <v>142</v>
      </c>
      <c r="E219" s="30"/>
      <c r="F219" s="30"/>
      <c r="G219" s="59">
        <v>1</v>
      </c>
      <c r="H219" s="59"/>
      <c r="I219" s="60"/>
      <c r="J219" s="60"/>
      <c r="K219" s="19"/>
      <c r="L219" s="20"/>
      <c r="M219" s="10"/>
      <c r="N219" s="10"/>
      <c r="O219" s="10"/>
      <c r="P219" s="10"/>
      <c r="Q219" s="10"/>
      <c r="R219" s="10"/>
      <c r="S219" s="10"/>
      <c r="T219" s="10"/>
      <c r="U219" s="10"/>
      <c r="V219" s="10"/>
      <c r="W219" s="10"/>
      <c r="X219" s="10"/>
      <c r="Y219" s="10"/>
      <c r="Z219" s="10"/>
      <c r="AA219" s="10"/>
      <c r="AB219" s="10"/>
      <c r="AC219" s="10"/>
      <c r="AD219" s="10"/>
      <c r="AE219" s="10"/>
      <c r="AF219" s="10"/>
      <c r="AG219" s="10"/>
      <c r="AH219" s="10"/>
    </row>
    <row r="220" spans="1:34" ht="31.5" hidden="1" outlineLevel="2">
      <c r="A220" s="28"/>
      <c r="B220" s="12" t="str">
        <f>IFERROR(VLOOKUP(D220,'[1]Перечень товаров'!$A$2:$I9525,2,0),"")</f>
        <v>п11</v>
      </c>
      <c r="C220" s="12" t="str">
        <f>IFERROR(VLOOKUP(D220,'[1]Перечень товаров'!$A$2:$I9525,3,0),"")</f>
        <v>Прочее</v>
      </c>
      <c r="D220" s="29" t="s">
        <v>143</v>
      </c>
      <c r="E220" s="30"/>
      <c r="F220" s="30"/>
      <c r="G220" s="59">
        <v>1</v>
      </c>
      <c r="H220" s="59"/>
      <c r="I220" s="60"/>
      <c r="J220" s="60"/>
      <c r="K220" s="19"/>
      <c r="L220" s="20"/>
      <c r="M220" s="10"/>
      <c r="N220" s="10"/>
      <c r="O220" s="10"/>
      <c r="P220" s="10"/>
      <c r="Q220" s="10"/>
      <c r="R220" s="10"/>
      <c r="S220" s="10"/>
      <c r="T220" s="10"/>
      <c r="U220" s="10"/>
      <c r="V220" s="10"/>
      <c r="W220" s="10"/>
      <c r="X220" s="10"/>
      <c r="Y220" s="10"/>
      <c r="Z220" s="10"/>
      <c r="AA220" s="10"/>
      <c r="AB220" s="10"/>
      <c r="AC220" s="10"/>
      <c r="AD220" s="10"/>
      <c r="AE220" s="10"/>
      <c r="AF220" s="10"/>
      <c r="AG220" s="10"/>
      <c r="AH220" s="10"/>
    </row>
    <row r="221" spans="1:34" ht="47.25" hidden="1" outlineLevel="2">
      <c r="A221" s="28"/>
      <c r="B221" s="12" t="str">
        <f>IFERROR(VLOOKUP(D221,'[1]Перечень товаров'!$A$2:$I9525,2,0),"")</f>
        <v>т60</v>
      </c>
      <c r="C221" s="12" t="str">
        <f>IFERROR(VLOOKUP(D221,'[1]Перечень товаров'!$A$2:$I9525,3,0),"")</f>
        <v>Техника</v>
      </c>
      <c r="D221" s="29" t="s">
        <v>144</v>
      </c>
      <c r="E221" s="30"/>
      <c r="F221" s="30"/>
      <c r="G221" s="59">
        <v>1</v>
      </c>
      <c r="H221" s="59"/>
      <c r="I221" s="60"/>
      <c r="J221" s="60"/>
      <c r="K221" s="19"/>
      <c r="L221" s="20"/>
      <c r="M221" s="10"/>
      <c r="N221" s="10"/>
      <c r="O221" s="10"/>
      <c r="P221" s="10"/>
      <c r="Q221" s="10"/>
      <c r="R221" s="10"/>
      <c r="S221" s="10"/>
      <c r="T221" s="10"/>
      <c r="U221" s="10"/>
      <c r="V221" s="10"/>
      <c r="W221" s="10"/>
      <c r="X221" s="10"/>
      <c r="Y221" s="10"/>
      <c r="Z221" s="10"/>
      <c r="AA221" s="10"/>
      <c r="AB221" s="10"/>
      <c r="AC221" s="10"/>
      <c r="AD221" s="10"/>
      <c r="AE221" s="10"/>
      <c r="AF221" s="10"/>
      <c r="AG221" s="10"/>
      <c r="AH221" s="10"/>
    </row>
    <row r="222" spans="1:34" ht="47.25" hidden="1" outlineLevel="2">
      <c r="A222" s="28"/>
      <c r="B222" s="12" t="str">
        <f>IFERROR(VLOOKUP(D222,'[1]Перечень товаров'!$A$2:$I9525,2,0),"")</f>
        <v>т61</v>
      </c>
      <c r="C222" s="12" t="str">
        <f>IFERROR(VLOOKUP(D222,'[1]Перечень товаров'!$A$2:$I9525,3,0),"")</f>
        <v>Техника</v>
      </c>
      <c r="D222" s="29" t="s">
        <v>145</v>
      </c>
      <c r="E222" s="30"/>
      <c r="F222" s="30"/>
      <c r="G222" s="59">
        <v>3</v>
      </c>
      <c r="H222" s="59"/>
      <c r="I222" s="60"/>
      <c r="J222" s="60"/>
      <c r="K222" s="19"/>
      <c r="L222" s="20"/>
      <c r="M222" s="10"/>
      <c r="N222" s="10"/>
      <c r="O222" s="10"/>
      <c r="P222" s="10"/>
      <c r="Q222" s="10"/>
      <c r="R222" s="10"/>
      <c r="S222" s="10"/>
      <c r="T222" s="10"/>
      <c r="U222" s="10"/>
      <c r="V222" s="10"/>
      <c r="W222" s="10"/>
      <c r="X222" s="10"/>
      <c r="Y222" s="10"/>
      <c r="Z222" s="10"/>
      <c r="AA222" s="10"/>
      <c r="AB222" s="10"/>
      <c r="AC222" s="10"/>
      <c r="AD222" s="10"/>
      <c r="AE222" s="10"/>
      <c r="AF222" s="10"/>
      <c r="AG222" s="10"/>
      <c r="AH222" s="10"/>
    </row>
    <row r="223" spans="1:34" ht="31.5" hidden="1" outlineLevel="2">
      <c r="A223" s="28"/>
      <c r="B223" s="12" t="str">
        <f>IFERROR(VLOOKUP(D223,'[1]Перечень товаров'!$A$2:$I9525,2,0),"")</f>
        <v>п12</v>
      </c>
      <c r="C223" s="12" t="str">
        <f>IFERROR(VLOOKUP(D223,'[1]Перечень товаров'!$A$2:$I9525,3,0),"")</f>
        <v>Прочее</v>
      </c>
      <c r="D223" s="29" t="s">
        <v>146</v>
      </c>
      <c r="E223" s="30"/>
      <c r="F223" s="30"/>
      <c r="G223" s="59">
        <v>1</v>
      </c>
      <c r="H223" s="59"/>
      <c r="I223" s="60"/>
      <c r="J223" s="60"/>
      <c r="K223" s="19"/>
      <c r="L223" s="20"/>
      <c r="M223" s="10"/>
      <c r="N223" s="10"/>
      <c r="O223" s="10"/>
      <c r="P223" s="10"/>
      <c r="Q223" s="10"/>
      <c r="R223" s="10"/>
      <c r="S223" s="10"/>
      <c r="T223" s="10"/>
      <c r="U223" s="10"/>
      <c r="V223" s="10"/>
      <c r="W223" s="10"/>
      <c r="X223" s="10"/>
      <c r="Y223" s="10"/>
      <c r="Z223" s="10"/>
      <c r="AA223" s="10"/>
      <c r="AB223" s="10"/>
      <c r="AC223" s="10"/>
      <c r="AD223" s="10"/>
      <c r="AE223" s="10"/>
      <c r="AF223" s="10"/>
      <c r="AG223" s="10"/>
      <c r="AH223" s="10"/>
    </row>
    <row r="224" spans="1:34" ht="47.25" hidden="1" outlineLevel="2">
      <c r="A224" s="28"/>
      <c r="B224" s="12" t="str">
        <f>IFERROR(VLOOKUP(D224,'[1]Перечень товаров'!$A$2:$I9525,2,0),"")</f>
        <v>пм8</v>
      </c>
      <c r="C224" s="12" t="str">
        <f>IFERROR(VLOOKUP(D224,'[1]Перечень товаров'!$A$2:$I9525,3,0),"")</f>
        <v>Прочее муз</v>
      </c>
      <c r="D224" s="29" t="s">
        <v>147</v>
      </c>
      <c r="E224" s="30"/>
      <c r="F224" s="30"/>
      <c r="G224" s="59">
        <v>10</v>
      </c>
      <c r="H224" s="59"/>
      <c r="I224" s="60"/>
      <c r="J224" s="60"/>
      <c r="K224" s="19"/>
      <c r="L224" s="20"/>
      <c r="M224" s="10"/>
      <c r="N224" s="10"/>
      <c r="O224" s="10"/>
      <c r="P224" s="10"/>
      <c r="Q224" s="10"/>
      <c r="R224" s="10"/>
      <c r="S224" s="10"/>
      <c r="T224" s="10"/>
      <c r="U224" s="10"/>
      <c r="V224" s="10"/>
      <c r="W224" s="10"/>
      <c r="X224" s="10"/>
      <c r="Y224" s="10"/>
      <c r="Z224" s="10"/>
      <c r="AA224" s="10"/>
      <c r="AB224" s="10"/>
      <c r="AC224" s="10"/>
      <c r="AD224" s="10"/>
      <c r="AE224" s="10"/>
      <c r="AF224" s="10"/>
      <c r="AG224" s="10"/>
      <c r="AH224" s="10"/>
    </row>
    <row r="225" spans="1:34" ht="31.5" hidden="1" outlineLevel="2">
      <c r="A225" s="28"/>
      <c r="B225" s="12" t="str">
        <f>IFERROR(VLOOKUP(D225,'[1]Перечень товаров'!$A$2:$I9525,2,0),"")</f>
        <v>п13</v>
      </c>
      <c r="C225" s="12" t="str">
        <f>IFERROR(VLOOKUP(D225,'[1]Перечень товаров'!$A$2:$I9525,3,0),"")</f>
        <v xml:space="preserve">Прочее </v>
      </c>
      <c r="D225" s="29" t="s">
        <v>148</v>
      </c>
      <c r="E225" s="30"/>
      <c r="F225" s="30"/>
      <c r="G225" s="59">
        <v>1</v>
      </c>
      <c r="H225" s="59"/>
      <c r="I225" s="60"/>
      <c r="J225" s="60"/>
      <c r="K225" s="19"/>
      <c r="L225" s="20"/>
      <c r="M225" s="10"/>
      <c r="N225" s="10"/>
      <c r="O225" s="10"/>
      <c r="P225" s="10"/>
      <c r="Q225" s="10"/>
      <c r="R225" s="10"/>
      <c r="S225" s="10"/>
      <c r="T225" s="10"/>
      <c r="U225" s="10"/>
      <c r="V225" s="10"/>
      <c r="W225" s="10"/>
      <c r="X225" s="10"/>
      <c r="Y225" s="10"/>
      <c r="Z225" s="10"/>
      <c r="AA225" s="10"/>
      <c r="AB225" s="10"/>
      <c r="AC225" s="10"/>
      <c r="AD225" s="10"/>
      <c r="AE225" s="10"/>
      <c r="AF225" s="10"/>
      <c r="AG225" s="10"/>
      <c r="AH225" s="10"/>
    </row>
    <row r="226" spans="1:34" ht="31.5" hidden="1" outlineLevel="2">
      <c r="A226" s="28"/>
      <c r="B226" s="12" t="str">
        <f>IFERROR(VLOOKUP(D226,'[1]Перечень товаров'!$A$2:$I9525,2,0),"")</f>
        <v>п14</v>
      </c>
      <c r="C226" s="12" t="str">
        <f>IFERROR(VLOOKUP(D226,'[1]Перечень товаров'!$A$2:$I9525,3,0),"")</f>
        <v xml:space="preserve">Прочее </v>
      </c>
      <c r="D226" s="29" t="s">
        <v>149</v>
      </c>
      <c r="E226" s="30"/>
      <c r="F226" s="30"/>
      <c r="G226" s="59">
        <v>1</v>
      </c>
      <c r="H226" s="59"/>
      <c r="I226" s="60"/>
      <c r="J226" s="60"/>
      <c r="K226" s="19"/>
      <c r="L226" s="20"/>
      <c r="M226" s="10"/>
      <c r="N226" s="10"/>
      <c r="O226" s="10"/>
      <c r="P226" s="10"/>
      <c r="Q226" s="10"/>
      <c r="R226" s="10"/>
      <c r="S226" s="10"/>
      <c r="T226" s="10"/>
      <c r="U226" s="10"/>
      <c r="V226" s="10"/>
      <c r="W226" s="10"/>
      <c r="X226" s="10"/>
      <c r="Y226" s="10"/>
      <c r="Z226" s="10"/>
      <c r="AA226" s="10"/>
      <c r="AB226" s="10"/>
      <c r="AC226" s="10"/>
      <c r="AD226" s="10"/>
      <c r="AE226" s="10"/>
      <c r="AF226" s="10"/>
      <c r="AG226" s="10"/>
      <c r="AH226" s="10"/>
    </row>
    <row r="227" spans="1:34" ht="31.5" hidden="1" outlineLevel="2">
      <c r="A227" s="28"/>
      <c r="B227" s="12" t="str">
        <f>IFERROR(VLOOKUP(D227,'[1]Перечень товаров'!$A$2:$I9525,2,0),"")</f>
        <v>п15</v>
      </c>
      <c r="C227" s="12" t="str">
        <f>IFERROR(VLOOKUP(D227,'[1]Перечень товаров'!$A$2:$I9525,3,0),"")</f>
        <v xml:space="preserve">Прочее </v>
      </c>
      <c r="D227" s="29" t="s">
        <v>150</v>
      </c>
      <c r="E227" s="30"/>
      <c r="F227" s="30"/>
      <c r="G227" s="59">
        <v>50</v>
      </c>
      <c r="H227" s="59"/>
      <c r="I227" s="60"/>
      <c r="J227" s="60"/>
      <c r="K227" s="19"/>
      <c r="L227" s="20"/>
      <c r="M227" s="10"/>
      <c r="N227" s="10"/>
      <c r="O227" s="10"/>
      <c r="P227" s="10"/>
      <c r="Q227" s="10"/>
      <c r="R227" s="10"/>
      <c r="S227" s="10"/>
      <c r="T227" s="10"/>
      <c r="U227" s="10"/>
      <c r="V227" s="10"/>
      <c r="W227" s="10"/>
      <c r="X227" s="10"/>
      <c r="Y227" s="10"/>
      <c r="Z227" s="10"/>
      <c r="AA227" s="10"/>
      <c r="AB227" s="10"/>
      <c r="AC227" s="10"/>
      <c r="AD227" s="10"/>
      <c r="AE227" s="10"/>
      <c r="AF227" s="10"/>
      <c r="AG227" s="10"/>
      <c r="AH227" s="10"/>
    </row>
    <row r="228" spans="1:34" ht="31.5" hidden="1" outlineLevel="2">
      <c r="A228" s="28"/>
      <c r="B228" s="12" t="str">
        <f>IFERROR(VLOOKUP(D228,'[1]Перечень товаров'!$A$2:$I9525,2,0),"")</f>
        <v>п16</v>
      </c>
      <c r="C228" s="12" t="str">
        <f>IFERROR(VLOOKUP(D228,'[1]Перечень товаров'!$A$2:$I9525,3,0),"")</f>
        <v xml:space="preserve">Прочее </v>
      </c>
      <c r="D228" s="29" t="s">
        <v>151</v>
      </c>
      <c r="E228" s="30"/>
      <c r="F228" s="30"/>
      <c r="G228" s="59" t="s">
        <v>152</v>
      </c>
      <c r="H228" s="59"/>
      <c r="I228" s="60"/>
      <c r="J228" s="60"/>
      <c r="K228" s="19"/>
      <c r="L228" s="20"/>
      <c r="M228" s="10"/>
      <c r="N228" s="10"/>
      <c r="O228" s="10"/>
      <c r="P228" s="10"/>
      <c r="Q228" s="10"/>
      <c r="R228" s="10"/>
      <c r="S228" s="10"/>
      <c r="T228" s="10"/>
      <c r="U228" s="10"/>
      <c r="V228" s="10"/>
      <c r="W228" s="10"/>
      <c r="X228" s="10"/>
      <c r="Y228" s="10"/>
      <c r="Z228" s="10"/>
      <c r="AA228" s="10"/>
      <c r="AB228" s="10"/>
      <c r="AC228" s="10"/>
      <c r="AD228" s="10"/>
      <c r="AE228" s="10"/>
      <c r="AF228" s="10"/>
      <c r="AG228" s="10"/>
      <c r="AH228" s="10"/>
    </row>
    <row r="229" spans="1:34" hidden="1" outlineLevel="2">
      <c r="A229" s="28"/>
      <c r="B229" s="12" t="str">
        <f>IFERROR(VLOOKUP(D229,'[1]Перечень товаров'!$A$2:$I9525,2,0),"")</f>
        <v>п17</v>
      </c>
      <c r="C229" s="12" t="str">
        <f>IFERROR(VLOOKUP(D229,'[1]Перечень товаров'!$A$2:$I9525,3,0),"")</f>
        <v xml:space="preserve">Прочее </v>
      </c>
      <c r="D229" s="29" t="s">
        <v>153</v>
      </c>
      <c r="E229" s="30"/>
      <c r="F229" s="30"/>
      <c r="G229" s="59" t="s">
        <v>152</v>
      </c>
      <c r="H229" s="59"/>
      <c r="I229" s="60"/>
      <c r="J229" s="60"/>
      <c r="K229" s="19"/>
      <c r="L229" s="20"/>
      <c r="M229" s="10"/>
      <c r="N229" s="10"/>
      <c r="O229" s="10"/>
      <c r="P229" s="10"/>
      <c r="Q229" s="10"/>
      <c r="R229" s="10"/>
      <c r="S229" s="10"/>
      <c r="T229" s="10"/>
      <c r="U229" s="10"/>
      <c r="V229" s="10"/>
      <c r="W229" s="10"/>
      <c r="X229" s="10"/>
      <c r="Y229" s="10"/>
      <c r="Z229" s="10"/>
      <c r="AA229" s="10"/>
      <c r="AB229" s="10"/>
      <c r="AC229" s="10"/>
      <c r="AD229" s="10"/>
      <c r="AE229" s="10"/>
      <c r="AF229" s="10"/>
      <c r="AG229" s="10"/>
      <c r="AH229" s="10"/>
    </row>
    <row r="230" spans="1:34" ht="31.5" hidden="1" outlineLevel="2">
      <c r="A230" s="28"/>
      <c r="B230" s="12" t="str">
        <f>IFERROR(VLOOKUP(D230,'[1]Перечень товаров'!$A$2:$I9525,2,0),"")</f>
        <v>п18</v>
      </c>
      <c r="C230" s="12" t="str">
        <f>IFERROR(VLOOKUP(D230,'[1]Перечень товаров'!$A$2:$I9525,3,0),"")</f>
        <v xml:space="preserve">Прочее </v>
      </c>
      <c r="D230" s="29" t="s">
        <v>154</v>
      </c>
      <c r="E230" s="30"/>
      <c r="F230" s="30"/>
      <c r="G230" s="59">
        <v>5</v>
      </c>
      <c r="H230" s="59"/>
      <c r="I230" s="60"/>
      <c r="J230" s="60"/>
      <c r="K230" s="19"/>
      <c r="L230" s="20"/>
      <c r="M230" s="10"/>
      <c r="N230" s="10"/>
      <c r="O230" s="10"/>
      <c r="P230" s="10"/>
      <c r="Q230" s="10"/>
      <c r="R230" s="10"/>
      <c r="S230" s="10"/>
      <c r="T230" s="10"/>
      <c r="U230" s="10"/>
      <c r="V230" s="10"/>
      <c r="W230" s="10"/>
      <c r="X230" s="10"/>
      <c r="Y230" s="10"/>
      <c r="Z230" s="10"/>
      <c r="AA230" s="10"/>
      <c r="AB230" s="10"/>
      <c r="AC230" s="10"/>
      <c r="AD230" s="10"/>
      <c r="AE230" s="10"/>
      <c r="AF230" s="10"/>
      <c r="AG230" s="10"/>
      <c r="AH230" s="10"/>
    </row>
    <row r="231" spans="1:34" ht="47.25" hidden="1" outlineLevel="2">
      <c r="A231" s="28"/>
      <c r="B231" s="12" t="str">
        <f>IFERROR(VLOOKUP(D231,'[1]Перечень товаров'!$A$2:$I9525,2,0),"")</f>
        <v>п19</v>
      </c>
      <c r="C231" s="12" t="str">
        <f>IFERROR(VLOOKUP(D231,'[1]Перечень товаров'!$A$2:$I9525,3,0),"")</f>
        <v xml:space="preserve">Прочее </v>
      </c>
      <c r="D231" s="29" t="s">
        <v>155</v>
      </c>
      <c r="E231" s="30"/>
      <c r="F231" s="30"/>
      <c r="G231" s="59">
        <v>20</v>
      </c>
      <c r="H231" s="59"/>
      <c r="I231" s="60"/>
      <c r="J231" s="60"/>
      <c r="K231" s="19"/>
      <c r="L231" s="20"/>
      <c r="M231" s="10"/>
      <c r="N231" s="10"/>
      <c r="O231" s="10"/>
      <c r="P231" s="10"/>
      <c r="Q231" s="10"/>
      <c r="R231" s="10"/>
      <c r="S231" s="10"/>
      <c r="T231" s="10"/>
      <c r="U231" s="10"/>
      <c r="V231" s="10"/>
      <c r="W231" s="10"/>
      <c r="X231" s="10"/>
      <c r="Y231" s="10"/>
      <c r="Z231" s="10"/>
      <c r="AA231" s="10"/>
      <c r="AB231" s="10"/>
      <c r="AC231" s="10"/>
      <c r="AD231" s="10"/>
      <c r="AE231" s="10"/>
      <c r="AF231" s="10"/>
      <c r="AG231" s="10"/>
      <c r="AH231" s="10"/>
    </row>
    <row r="232" spans="1:34" ht="31.5" hidden="1" outlineLevel="2">
      <c r="A232" s="28"/>
      <c r="B232" s="12" t="str">
        <f>IFERROR(VLOOKUP(D232,'[1]Перечень товаров'!$A$2:$I9525,2,0),"")</f>
        <v>п20</v>
      </c>
      <c r="C232" s="12" t="str">
        <f>IFERROR(VLOOKUP(D232,'[1]Перечень товаров'!$A$2:$I9525,3,0),"")</f>
        <v xml:space="preserve">Прочее </v>
      </c>
      <c r="D232" s="29" t="s">
        <v>156</v>
      </c>
      <c r="E232" s="30"/>
      <c r="F232" s="30"/>
      <c r="G232" s="59" t="s">
        <v>157</v>
      </c>
      <c r="H232" s="59"/>
      <c r="I232" s="60"/>
      <c r="J232" s="60"/>
      <c r="K232" s="19"/>
      <c r="L232" s="20"/>
      <c r="M232" s="10"/>
      <c r="N232" s="10"/>
      <c r="O232" s="10"/>
      <c r="P232" s="10"/>
      <c r="Q232" s="10"/>
      <c r="R232" s="10"/>
      <c r="S232" s="10"/>
      <c r="T232" s="10"/>
      <c r="U232" s="10"/>
      <c r="V232" s="10"/>
      <c r="W232" s="10"/>
      <c r="X232" s="10"/>
      <c r="Y232" s="10"/>
      <c r="Z232" s="10"/>
      <c r="AA232" s="10"/>
      <c r="AB232" s="10"/>
      <c r="AC232" s="10"/>
      <c r="AD232" s="10"/>
      <c r="AE232" s="10"/>
      <c r="AF232" s="10"/>
      <c r="AG232" s="10"/>
      <c r="AH232" s="10"/>
    </row>
    <row r="233" spans="1:34" ht="47.25" hidden="1" outlineLevel="2">
      <c r="A233" s="28"/>
      <c r="B233" s="12" t="str">
        <f>IFERROR(VLOOKUP(D233,'[1]Перечень товаров'!$A$2:$I9525,2,0),"")</f>
        <v>пм9</v>
      </c>
      <c r="C233" s="12" t="str">
        <f>IFERROR(VLOOKUP(D233,'[1]Перечень товаров'!$A$2:$I9525,3,0),"")</f>
        <v>Прочее муз</v>
      </c>
      <c r="D233" s="29" t="s">
        <v>158</v>
      </c>
      <c r="E233" s="30"/>
      <c r="F233" s="30"/>
      <c r="G233" s="59" t="s">
        <v>159</v>
      </c>
      <c r="H233" s="59"/>
      <c r="I233" s="60"/>
      <c r="J233" s="60"/>
      <c r="K233" s="19"/>
      <c r="L233" s="20"/>
      <c r="M233" s="10"/>
      <c r="N233" s="10"/>
      <c r="O233" s="10"/>
      <c r="P233" s="10"/>
      <c r="Q233" s="10"/>
      <c r="R233" s="10"/>
      <c r="S233" s="10"/>
      <c r="T233" s="10"/>
      <c r="U233" s="10"/>
      <c r="V233" s="10"/>
      <c r="W233" s="10"/>
      <c r="X233" s="10"/>
      <c r="Y233" s="10"/>
      <c r="Z233" s="10"/>
      <c r="AA233" s="10"/>
      <c r="AB233" s="10"/>
      <c r="AC233" s="10"/>
      <c r="AD233" s="10"/>
      <c r="AE233" s="10"/>
      <c r="AF233" s="10"/>
      <c r="AG233" s="10"/>
      <c r="AH233" s="10"/>
    </row>
    <row r="234" spans="1:34" ht="47.25" hidden="1" outlineLevel="2">
      <c r="A234" s="28"/>
      <c r="B234" s="12" t="str">
        <f>IFERROR(VLOOKUP(D234,'[1]Перечень товаров'!$A$2:$I9525,2,0),"")</f>
        <v>п21</v>
      </c>
      <c r="C234" s="12" t="str">
        <f>IFERROR(VLOOKUP(D234,'[1]Перечень товаров'!$A$2:$I9525,3,0),"")</f>
        <v>Прочее</v>
      </c>
      <c r="D234" s="29" t="s">
        <v>160</v>
      </c>
      <c r="E234" s="30"/>
      <c r="F234" s="30"/>
      <c r="G234" s="59" t="s">
        <v>161</v>
      </c>
      <c r="H234" s="59"/>
      <c r="I234" s="60"/>
      <c r="J234" s="60"/>
      <c r="K234" s="19"/>
      <c r="L234" s="20"/>
      <c r="M234" s="10"/>
      <c r="N234" s="10"/>
      <c r="O234" s="10"/>
      <c r="P234" s="10"/>
      <c r="Q234" s="10"/>
      <c r="R234" s="10"/>
      <c r="S234" s="10"/>
      <c r="T234" s="10"/>
      <c r="U234" s="10"/>
      <c r="V234" s="10"/>
      <c r="W234" s="10"/>
      <c r="X234" s="10"/>
      <c r="Y234" s="10"/>
      <c r="Z234" s="10"/>
      <c r="AA234" s="10"/>
      <c r="AB234" s="10"/>
      <c r="AC234" s="10"/>
      <c r="AD234" s="10"/>
      <c r="AE234" s="10"/>
      <c r="AF234" s="10"/>
      <c r="AG234" s="10"/>
      <c r="AH234" s="10"/>
    </row>
    <row r="235" spans="1:34" ht="31.5" hidden="1" outlineLevel="2">
      <c r="A235" s="28"/>
      <c r="B235" s="12" t="str">
        <f>IFERROR(VLOOKUP(D235,'[1]Перечень товаров'!$A$2:$I9525,2,0),"")</f>
        <v>п22</v>
      </c>
      <c r="C235" s="12" t="str">
        <f>IFERROR(VLOOKUP(D235,'[1]Перечень товаров'!$A$2:$I9525,3,0),"")</f>
        <v>Прочее</v>
      </c>
      <c r="D235" s="29" t="s">
        <v>162</v>
      </c>
      <c r="E235" s="30"/>
      <c r="F235" s="30"/>
      <c r="G235" s="59" t="s">
        <v>159</v>
      </c>
      <c r="H235" s="59"/>
      <c r="I235" s="60"/>
      <c r="J235" s="60"/>
      <c r="K235" s="19"/>
      <c r="L235" s="20"/>
      <c r="M235" s="10"/>
      <c r="N235" s="10"/>
      <c r="O235" s="10"/>
      <c r="P235" s="10"/>
      <c r="Q235" s="10"/>
      <c r="R235" s="10"/>
      <c r="S235" s="10"/>
      <c r="T235" s="10"/>
      <c r="U235" s="10"/>
      <c r="V235" s="10"/>
      <c r="W235" s="10"/>
      <c r="X235" s="10"/>
      <c r="Y235" s="10"/>
      <c r="Z235" s="10"/>
      <c r="AA235" s="10"/>
      <c r="AB235" s="10"/>
      <c r="AC235" s="10"/>
      <c r="AD235" s="10"/>
      <c r="AE235" s="10"/>
      <c r="AF235" s="10"/>
      <c r="AG235" s="10"/>
      <c r="AH235" s="10"/>
    </row>
    <row r="236" spans="1:34" ht="31.5" hidden="1" outlineLevel="2">
      <c r="A236" s="28"/>
      <c r="B236" s="12" t="str">
        <f>IFERROR(VLOOKUP(D236,'[1]Перечень товаров'!$A$2:$I9525,2,0),"")</f>
        <v>п23</v>
      </c>
      <c r="C236" s="12" t="str">
        <f>IFERROR(VLOOKUP(D236,'[1]Перечень товаров'!$A$2:$I9525,3,0),"")</f>
        <v>Прочее</v>
      </c>
      <c r="D236" s="29" t="s">
        <v>163</v>
      </c>
      <c r="E236" s="30"/>
      <c r="F236" s="30"/>
      <c r="G236" s="59" t="s">
        <v>164</v>
      </c>
      <c r="H236" s="59"/>
      <c r="I236" s="60"/>
      <c r="J236" s="60"/>
      <c r="K236" s="19"/>
      <c r="L236" s="20"/>
      <c r="M236" s="10"/>
      <c r="N236" s="10"/>
      <c r="O236" s="10"/>
      <c r="P236" s="10"/>
      <c r="Q236" s="10"/>
      <c r="R236" s="10"/>
      <c r="S236" s="10"/>
      <c r="T236" s="10"/>
      <c r="U236" s="10"/>
      <c r="V236" s="10"/>
      <c r="W236" s="10"/>
      <c r="X236" s="10"/>
      <c r="Y236" s="10"/>
      <c r="Z236" s="10"/>
      <c r="AA236" s="10"/>
      <c r="AB236" s="10"/>
      <c r="AC236" s="10"/>
      <c r="AD236" s="10"/>
      <c r="AE236" s="10"/>
      <c r="AF236" s="10"/>
      <c r="AG236" s="10"/>
      <c r="AH236" s="10"/>
    </row>
    <row r="237" spans="1:34" hidden="1" outlineLevel="1">
      <c r="A237" s="21"/>
      <c r="B237" s="12" t="str">
        <f>IFERROR(VLOOKUP(D237,'[1]Перечень товаров'!$A$2:$I9525,2,0),"")</f>
        <v/>
      </c>
      <c r="C237" s="12" t="str">
        <f>IFERROR(VLOOKUP(D237,'[1]Перечень товаров'!$A$2:$I9525,3,0),"")</f>
        <v/>
      </c>
      <c r="D237" s="22" t="s">
        <v>165</v>
      </c>
      <c r="E237" s="23">
        <v>36.700000000000003</v>
      </c>
      <c r="F237" s="23"/>
      <c r="G237" s="24"/>
      <c r="H237" s="24"/>
      <c r="I237" s="25"/>
      <c r="J237" s="25"/>
      <c r="K237" s="19"/>
      <c r="L237" s="20"/>
      <c r="M237" s="10"/>
      <c r="N237" s="10"/>
      <c r="O237" s="10"/>
      <c r="P237" s="10"/>
      <c r="Q237" s="10"/>
      <c r="R237" s="10"/>
      <c r="S237" s="10"/>
      <c r="T237" s="10"/>
      <c r="U237" s="10"/>
      <c r="V237" s="10"/>
      <c r="W237" s="10"/>
      <c r="X237" s="10"/>
      <c r="Y237" s="10"/>
      <c r="Z237" s="10"/>
      <c r="AA237" s="10"/>
      <c r="AB237" s="10"/>
      <c r="AC237" s="10"/>
      <c r="AD237" s="10"/>
      <c r="AE237" s="10"/>
      <c r="AF237" s="10"/>
      <c r="AG237" s="10"/>
      <c r="AH237" s="10"/>
    </row>
    <row r="238" spans="1:34" ht="12.75">
      <c r="A238" s="11"/>
      <c r="B238" s="12" t="str">
        <f>IFERROR(VLOOKUP(D238,'[1]Перечень товаров'!$A$2:$I9525,2,0),"")</f>
        <v/>
      </c>
      <c r="C238" s="12" t="str">
        <f>IFERROR(VLOOKUP(D238,'[1]Перечень товаров'!$A$2:$I9525,3,0),"")</f>
        <v/>
      </c>
      <c r="D238" s="27" t="s">
        <v>166</v>
      </c>
      <c r="E238" s="14"/>
      <c r="F238" s="14"/>
      <c r="G238" s="16"/>
      <c r="H238" s="16"/>
      <c r="I238" s="18"/>
      <c r="J238" s="18"/>
      <c r="K238" s="19"/>
      <c r="L238" s="20"/>
      <c r="M238" s="10"/>
      <c r="N238" s="10"/>
      <c r="O238" s="10"/>
      <c r="P238" s="10"/>
      <c r="Q238" s="10"/>
      <c r="R238" s="10"/>
      <c r="S238" s="10"/>
      <c r="T238" s="10"/>
      <c r="U238" s="10"/>
      <c r="V238" s="10"/>
      <c r="W238" s="10"/>
      <c r="X238" s="10"/>
      <c r="Y238" s="10"/>
      <c r="Z238" s="10"/>
      <c r="AA238" s="10"/>
      <c r="AB238" s="10"/>
      <c r="AC238" s="10"/>
      <c r="AD238" s="10"/>
      <c r="AE238" s="10"/>
      <c r="AF238" s="10"/>
      <c r="AG238" s="10"/>
      <c r="AH238" s="10"/>
    </row>
    <row r="239" spans="1:34" ht="12.75" outlineLevel="1">
      <c r="A239" s="11"/>
      <c r="B239" s="12" t="str">
        <f>IFERROR(VLOOKUP(D239,'[1]Перечень товаров'!$A$2:$I9525,2,0),"")</f>
        <v/>
      </c>
      <c r="C239" s="12" t="str">
        <f>IFERROR(VLOOKUP(D239,'[1]Перечень товаров'!$A$2:$I9525,3,0),"")</f>
        <v/>
      </c>
      <c r="D239" s="27" t="s">
        <v>167</v>
      </c>
      <c r="E239" s="14" t="s">
        <v>168</v>
      </c>
      <c r="F239" s="14"/>
      <c r="G239" s="16"/>
      <c r="H239" s="16"/>
      <c r="I239" s="18"/>
      <c r="J239" s="18"/>
      <c r="K239" s="19"/>
      <c r="L239" s="20"/>
    </row>
    <row r="240" spans="1:34" outlineLevel="1">
      <c r="A240" s="21"/>
      <c r="B240" s="12" t="str">
        <f>IFERROR(VLOOKUP(D240,'[1]Перечень товаров'!$A$2:$I9525,2,0),"")</f>
        <v/>
      </c>
      <c r="C240" s="12" t="str">
        <f>IFERROR(VLOOKUP(D240,'[1]Перечень товаров'!$A$2:$I9525,3,0),"")</f>
        <v/>
      </c>
      <c r="D240" s="22" t="s">
        <v>169</v>
      </c>
      <c r="E240" s="23" t="s">
        <v>170</v>
      </c>
      <c r="F240" s="23"/>
      <c r="G240" s="24"/>
      <c r="H240" s="24"/>
      <c r="I240" s="25"/>
      <c r="J240" s="25"/>
      <c r="K240" s="19"/>
      <c r="L240" s="20"/>
    </row>
    <row r="241" spans="1:12" outlineLevel="1">
      <c r="A241" s="21"/>
      <c r="B241" s="12" t="str">
        <f>IFERROR(VLOOKUP(D241,'[1]Перечень товаров'!$A$2:$I9525,2,0),"")</f>
        <v/>
      </c>
      <c r="C241" s="12" t="str">
        <f>IFERROR(VLOOKUP(D241,'[1]Перечень товаров'!$A$2:$I9525,3,0),"")</f>
        <v/>
      </c>
      <c r="D241" s="22" t="s">
        <v>171</v>
      </c>
      <c r="E241" s="23" t="s">
        <v>172</v>
      </c>
      <c r="F241" s="23"/>
      <c r="G241" s="24"/>
      <c r="H241" s="24"/>
      <c r="I241" s="25"/>
      <c r="J241" s="25"/>
      <c r="K241" s="19"/>
      <c r="L241" s="20"/>
    </row>
    <row r="242" spans="1:12" ht="12.75" outlineLevel="1" collapsed="1">
      <c r="A242" s="11"/>
      <c r="B242" s="12" t="str">
        <f>IFERROR(VLOOKUP(D242,'[1]Перечень товаров'!$A$2:$I9525,2,0),"")</f>
        <v/>
      </c>
      <c r="C242" s="12" t="str">
        <f>IFERROR(VLOOKUP(D242,'[1]Перечень товаров'!$A$2:$I9525,3,0),"")</f>
        <v/>
      </c>
      <c r="D242" s="27" t="s">
        <v>173</v>
      </c>
      <c r="E242" s="14" t="s">
        <v>174</v>
      </c>
      <c r="F242" s="14"/>
      <c r="G242" s="17"/>
      <c r="H242" s="17"/>
      <c r="I242" s="57"/>
      <c r="J242" s="57"/>
      <c r="K242" s="19"/>
      <c r="L242" s="20"/>
    </row>
    <row r="243" spans="1:12" ht="12.75" hidden="1" outlineLevel="2">
      <c r="A243" s="77"/>
      <c r="B243" s="12" t="str">
        <f>IFERROR(VLOOKUP(D243,'[1]Перечень товаров'!$A$2:$I9525,2,0),"")</f>
        <v/>
      </c>
      <c r="C243" s="12" t="str">
        <f>IFERROR(VLOOKUP(D243,'[1]Перечень товаров'!$A$2:$I9525,3,0),"")</f>
        <v/>
      </c>
      <c r="D243" s="78" t="s">
        <v>19</v>
      </c>
      <c r="E243" s="79"/>
      <c r="F243" s="79"/>
      <c r="G243" s="17"/>
      <c r="H243" s="17"/>
      <c r="I243" s="57"/>
      <c r="J243" s="57"/>
      <c r="K243" s="19"/>
      <c r="L243" s="20"/>
    </row>
    <row r="244" spans="1:12" hidden="1" outlineLevel="2">
      <c r="A244" s="43"/>
      <c r="B244" s="12" t="str">
        <f>IFERROR(VLOOKUP(D244,'[1]Перечень товаров'!$A$2:$I9525,2,0),"")</f>
        <v>м25</v>
      </c>
      <c r="C244" s="12" t="str">
        <f>IFERROR(VLOOKUP(D244,'[1]Перечень товаров'!$A$2:$I9525,3,0),"")</f>
        <v>Мебель</v>
      </c>
      <c r="D244" s="44" t="s">
        <v>175</v>
      </c>
      <c r="E244" s="23"/>
      <c r="F244" s="23"/>
      <c r="G244" s="24">
        <v>10</v>
      </c>
      <c r="H244" s="24"/>
      <c r="I244" s="25"/>
      <c r="J244" s="25"/>
      <c r="K244" s="19"/>
      <c r="L244" s="20"/>
    </row>
    <row r="245" spans="1:12" hidden="1" outlineLevel="2">
      <c r="A245" s="43"/>
      <c r="B245" s="12" t="str">
        <f>IFERROR(VLOOKUP(D245,'[1]Перечень товаров'!$A$2:$I9525,2,0),"")</f>
        <v>м26</v>
      </c>
      <c r="C245" s="12" t="str">
        <f>IFERROR(VLOOKUP(D245,'[1]Перечень товаров'!$A$2:$I9525,3,0),"")</f>
        <v>Мебель</v>
      </c>
      <c r="D245" s="44" t="s">
        <v>176</v>
      </c>
      <c r="E245" s="23"/>
      <c r="F245" s="23"/>
      <c r="G245" s="24">
        <v>5</v>
      </c>
      <c r="H245" s="24"/>
      <c r="I245" s="25"/>
      <c r="J245" s="25"/>
      <c r="K245" s="19"/>
      <c r="L245" s="20"/>
    </row>
    <row r="246" spans="1:12" hidden="1" outlineLevel="2">
      <c r="A246" s="43"/>
      <c r="B246" s="12" t="str">
        <f>IFERROR(VLOOKUP(D246,'[1]Перечень товаров'!$A$2:$I9525,2,0),"")</f>
        <v>м27</v>
      </c>
      <c r="C246" s="12" t="str">
        <f>IFERROR(VLOOKUP(D246,'[1]Перечень товаров'!$A$2:$I9525,3,0),"")</f>
        <v>Мебель</v>
      </c>
      <c r="D246" s="44" t="s">
        <v>177</v>
      </c>
      <c r="E246" s="23"/>
      <c r="F246" s="23"/>
      <c r="G246" s="24">
        <v>10</v>
      </c>
      <c r="H246" s="24"/>
      <c r="I246" s="25"/>
      <c r="J246" s="25"/>
      <c r="K246" s="19"/>
      <c r="L246" s="20"/>
    </row>
    <row r="247" spans="1:12" hidden="1" outlineLevel="2">
      <c r="A247" s="43"/>
      <c r="B247" s="12" t="str">
        <f>IFERROR(VLOOKUP(D247,'[1]Перечень товаров'!$A$2:$I9525,2,0),"")</f>
        <v>м28</v>
      </c>
      <c r="C247" s="12" t="str">
        <f>IFERROR(VLOOKUP(D247,'[1]Перечень товаров'!$A$2:$I9525,3,0),"")</f>
        <v>Мебель</v>
      </c>
      <c r="D247" s="44" t="s">
        <v>178</v>
      </c>
      <c r="E247" s="23"/>
      <c r="F247" s="23"/>
      <c r="G247" s="24">
        <v>1</v>
      </c>
      <c r="H247" s="24"/>
      <c r="I247" s="25"/>
      <c r="J247" s="25"/>
      <c r="K247" s="19"/>
      <c r="L247" s="20"/>
    </row>
    <row r="248" spans="1:12" hidden="1" outlineLevel="2">
      <c r="A248" s="21"/>
      <c r="B248" s="12" t="str">
        <f>IFERROR(VLOOKUP(D248,'[1]Перечень товаров'!$A$2:$I9525,2,0),"")</f>
        <v>мм1</v>
      </c>
      <c r="C248" s="12" t="str">
        <f>IFERROR(VLOOKUP(D248,'[1]Перечень товаров'!$A$2:$I9525,3,0),"")</f>
        <v>Мебель муз</v>
      </c>
      <c r="D248" s="22" t="s">
        <v>179</v>
      </c>
      <c r="E248" s="23"/>
      <c r="F248" s="23"/>
      <c r="G248" s="24">
        <v>1</v>
      </c>
      <c r="H248" s="24"/>
      <c r="I248" s="25"/>
      <c r="J248" s="25"/>
      <c r="K248" s="19"/>
      <c r="L248" s="20"/>
    </row>
    <row r="249" spans="1:12" hidden="1" outlineLevel="2">
      <c r="A249" s="21"/>
      <c r="B249" s="12" t="str">
        <f>IFERROR(VLOOKUP(D249,'[1]Перечень товаров'!$A$2:$I9525,2,0),"")</f>
        <v>м29</v>
      </c>
      <c r="C249" s="12" t="str">
        <f>IFERROR(VLOOKUP(D249,'[1]Перечень товаров'!$A$2:$I9525,3,0),"")</f>
        <v>Мебель</v>
      </c>
      <c r="D249" s="22" t="s">
        <v>180</v>
      </c>
      <c r="E249" s="23"/>
      <c r="F249" s="23"/>
      <c r="G249" s="24">
        <v>10</v>
      </c>
      <c r="H249" s="24"/>
      <c r="I249" s="25"/>
      <c r="J249" s="25"/>
      <c r="K249" s="19"/>
      <c r="L249" s="20"/>
    </row>
    <row r="250" spans="1:12" hidden="1" outlineLevel="2">
      <c r="A250" s="21"/>
      <c r="B250" s="12" t="str">
        <f>IFERROR(VLOOKUP(D250,'[1]Перечень товаров'!$A$2:$I9525,2,0),"")</f>
        <v>м30</v>
      </c>
      <c r="C250" s="12" t="str">
        <f>IFERROR(VLOOKUP(D250,'[1]Перечень товаров'!$A$2:$I9525,3,0),"")</f>
        <v>Мебель</v>
      </c>
      <c r="D250" s="22" t="s">
        <v>181</v>
      </c>
      <c r="E250" s="23"/>
      <c r="F250" s="23"/>
      <c r="G250" s="24">
        <v>30</v>
      </c>
      <c r="H250" s="24"/>
      <c r="I250" s="25"/>
      <c r="J250" s="25"/>
      <c r="K250" s="19"/>
      <c r="L250" s="20"/>
    </row>
    <row r="251" spans="1:12" ht="12.75" outlineLevel="1" collapsed="1">
      <c r="A251" s="11"/>
      <c r="B251" s="12" t="str">
        <f>IFERROR(VLOOKUP(D251,'[1]Перечень товаров'!$A$2:$I9525,2,0),"")</f>
        <v/>
      </c>
      <c r="C251" s="12" t="str">
        <f>IFERROR(VLOOKUP(D251,'[1]Перечень товаров'!$A$2:$I9525,3,0),"")</f>
        <v/>
      </c>
      <c r="D251" s="27" t="s">
        <v>182</v>
      </c>
      <c r="E251" s="14" t="s">
        <v>183</v>
      </c>
      <c r="F251" s="14"/>
      <c r="G251" s="17"/>
      <c r="H251" s="17"/>
      <c r="I251" s="57"/>
      <c r="J251" s="57"/>
      <c r="K251" s="19"/>
      <c r="L251" s="20"/>
    </row>
    <row r="252" spans="1:12" ht="31.5" hidden="1" outlineLevel="2">
      <c r="A252" s="70"/>
      <c r="B252" s="12" t="str">
        <f>IFERROR(VLOOKUP(D252,'[1]Перечень товаров'!$A$2:$I9525,2,0),"")</f>
        <v>т62</v>
      </c>
      <c r="C252" s="12" t="str">
        <f>IFERROR(VLOOKUP(D252,'[1]Перечень товаров'!$A$2:$I9525,3,0),"")</f>
        <v>Техника</v>
      </c>
      <c r="D252" s="71" t="s">
        <v>184</v>
      </c>
      <c r="E252" s="72"/>
      <c r="F252" s="72"/>
      <c r="G252" s="73">
        <v>6</v>
      </c>
      <c r="H252" s="73"/>
      <c r="I252" s="74"/>
      <c r="J252" s="74"/>
      <c r="K252" s="19"/>
      <c r="L252" s="20"/>
    </row>
    <row r="253" spans="1:12" ht="31.5" hidden="1" outlineLevel="2">
      <c r="A253" s="70"/>
      <c r="B253" s="12" t="str">
        <f>IFERROR(VLOOKUP(D253,'[1]Перечень товаров'!$A$2:$I9525,2,0),"")</f>
        <v>т63</v>
      </c>
      <c r="C253" s="12" t="str">
        <f>IFERROR(VLOOKUP(D253,'[1]Перечень товаров'!$A$2:$I9525,3,0),"")</f>
        <v>Техника</v>
      </c>
      <c r="D253" s="71" t="s">
        <v>185</v>
      </c>
      <c r="E253" s="72"/>
      <c r="F253" s="72"/>
      <c r="G253" s="73">
        <v>4</v>
      </c>
      <c r="H253" s="73"/>
      <c r="I253" s="74"/>
      <c r="J253" s="74"/>
      <c r="K253" s="19"/>
      <c r="L253" s="20"/>
    </row>
    <row r="254" spans="1:12" ht="31.5" hidden="1" outlineLevel="2">
      <c r="A254" s="70"/>
      <c r="B254" s="12" t="str">
        <f>IFERROR(VLOOKUP(D254,'[1]Перечень товаров'!$A$2:$I9525,2,0),"")</f>
        <v>т64</v>
      </c>
      <c r="C254" s="12" t="str">
        <f>IFERROR(VLOOKUP(D254,'[1]Перечень товаров'!$A$2:$I9525,3,0),"")</f>
        <v>Техника</v>
      </c>
      <c r="D254" s="71" t="s">
        <v>186</v>
      </c>
      <c r="E254" s="72"/>
      <c r="F254" s="72"/>
      <c r="G254" s="73">
        <v>4</v>
      </c>
      <c r="H254" s="73"/>
      <c r="I254" s="74"/>
      <c r="J254" s="74"/>
      <c r="K254" s="19"/>
      <c r="L254" s="20"/>
    </row>
    <row r="255" spans="1:12" ht="63" hidden="1" outlineLevel="2">
      <c r="A255" s="70"/>
      <c r="B255" s="12" t="str">
        <f>IFERROR(VLOOKUP(D255,'[1]Перечень товаров'!$A$2:$I9525,2,0),"")</f>
        <v>т65</v>
      </c>
      <c r="C255" s="12" t="str">
        <f>IFERROR(VLOOKUP(D255,'[1]Перечень товаров'!$A$2:$I9525,3,0),"")</f>
        <v>Техника</v>
      </c>
      <c r="D255" s="71" t="s">
        <v>187</v>
      </c>
      <c r="E255" s="72"/>
      <c r="F255" s="72"/>
      <c r="G255" s="73">
        <v>1</v>
      </c>
      <c r="H255" s="73"/>
      <c r="I255" s="74"/>
      <c r="J255" s="74"/>
      <c r="K255" s="19"/>
      <c r="L255" s="20"/>
    </row>
    <row r="256" spans="1:12" hidden="1" outlineLevel="2">
      <c r="A256" s="70"/>
      <c r="B256" s="12" t="str">
        <f>IFERROR(VLOOKUP(D256,'[1]Перечень товаров'!$A$2:$I9525,2,0),"")</f>
        <v>т66</v>
      </c>
      <c r="C256" s="12" t="str">
        <f>IFERROR(VLOOKUP(D256,'[1]Перечень товаров'!$A$2:$I9525,3,0),"")</f>
        <v>Техника</v>
      </c>
      <c r="D256" s="71" t="s">
        <v>188</v>
      </c>
      <c r="E256" s="72"/>
      <c r="F256" s="72"/>
      <c r="G256" s="73">
        <v>2</v>
      </c>
      <c r="H256" s="73"/>
      <c r="I256" s="74"/>
      <c r="J256" s="74"/>
      <c r="K256" s="19"/>
      <c r="L256" s="20"/>
    </row>
    <row r="257" spans="1:12" ht="31.5" hidden="1" outlineLevel="2">
      <c r="A257" s="70"/>
      <c r="B257" s="12" t="str">
        <f>IFERROR(VLOOKUP(D257,'[1]Перечень товаров'!$A$2:$I9525,2,0),"")</f>
        <v>т67</v>
      </c>
      <c r="C257" s="12" t="str">
        <f>IFERROR(VLOOKUP(D257,'[1]Перечень товаров'!$A$2:$I9525,3,0),"")</f>
        <v>Техника</v>
      </c>
      <c r="D257" s="71" t="s">
        <v>189</v>
      </c>
      <c r="E257" s="72"/>
      <c r="F257" s="72"/>
      <c r="G257" s="73">
        <v>1</v>
      </c>
      <c r="H257" s="73"/>
      <c r="I257" s="74"/>
      <c r="J257" s="74"/>
      <c r="K257" s="19"/>
      <c r="L257" s="20"/>
    </row>
    <row r="258" spans="1:12" ht="31.5" hidden="1" outlineLevel="2">
      <c r="A258" s="70"/>
      <c r="B258" s="12" t="str">
        <f>IFERROR(VLOOKUP(D258,'[1]Перечень товаров'!$A$2:$I9525,2,0),"")</f>
        <v>т68</v>
      </c>
      <c r="C258" s="12" t="str">
        <f>IFERROR(VLOOKUP(D258,'[1]Перечень товаров'!$A$2:$I9525,3,0),"")</f>
        <v>Техника</v>
      </c>
      <c r="D258" s="71" t="s">
        <v>190</v>
      </c>
      <c r="E258" s="72"/>
      <c r="F258" s="72"/>
      <c r="G258" s="73">
        <v>2</v>
      </c>
      <c r="H258" s="73"/>
      <c r="I258" s="74"/>
      <c r="J258" s="74"/>
      <c r="K258" s="19"/>
      <c r="L258" s="20"/>
    </row>
    <row r="259" spans="1:12" ht="31.5" hidden="1" outlineLevel="2">
      <c r="A259" s="70"/>
      <c r="B259" s="12" t="str">
        <f>IFERROR(VLOOKUP(D259,'[1]Перечень товаров'!$A$2:$I9525,2,0),"")</f>
        <v>т69</v>
      </c>
      <c r="C259" s="12" t="str">
        <f>IFERROR(VLOOKUP(D259,'[1]Перечень товаров'!$A$2:$I9525,3,0),"")</f>
        <v>Техника</v>
      </c>
      <c r="D259" s="71" t="s">
        <v>191</v>
      </c>
      <c r="E259" s="72"/>
      <c r="F259" s="72"/>
      <c r="G259" s="73">
        <v>1</v>
      </c>
      <c r="H259" s="73"/>
      <c r="I259" s="74"/>
      <c r="J259" s="74"/>
      <c r="K259" s="19"/>
      <c r="L259" s="20"/>
    </row>
    <row r="260" spans="1:12" ht="47.25" hidden="1" outlineLevel="2">
      <c r="A260" s="70"/>
      <c r="B260" s="12" t="str">
        <f>IFERROR(VLOOKUP(D260,'[1]Перечень товаров'!$A$2:$I9525,2,0),"")</f>
        <v>т70</v>
      </c>
      <c r="C260" s="12" t="str">
        <f>IFERROR(VLOOKUP(D260,'[1]Перечень товаров'!$A$2:$I9525,3,0),"")</f>
        <v>Техника</v>
      </c>
      <c r="D260" s="71" t="s">
        <v>192</v>
      </c>
      <c r="E260" s="72"/>
      <c r="F260" s="72"/>
      <c r="G260" s="73">
        <v>1</v>
      </c>
      <c r="H260" s="73"/>
      <c r="I260" s="74"/>
      <c r="J260" s="74"/>
      <c r="K260" s="19"/>
      <c r="L260" s="20"/>
    </row>
    <row r="261" spans="1:12" ht="31.5" hidden="1" outlineLevel="2">
      <c r="A261" s="70"/>
      <c r="B261" s="12" t="str">
        <f>IFERROR(VLOOKUP(D261,'[1]Перечень товаров'!$A$2:$I9525,2,0),"")</f>
        <v>т71</v>
      </c>
      <c r="C261" s="12" t="str">
        <f>IFERROR(VLOOKUP(D261,'[1]Перечень товаров'!$A$2:$I9525,3,0),"")</f>
        <v>Техника</v>
      </c>
      <c r="D261" s="71" t="s">
        <v>193</v>
      </c>
      <c r="E261" s="72"/>
      <c r="F261" s="72"/>
      <c r="G261" s="73">
        <v>2</v>
      </c>
      <c r="H261" s="73"/>
      <c r="I261" s="74"/>
      <c r="J261" s="74"/>
      <c r="K261" s="19"/>
      <c r="L261" s="20"/>
    </row>
    <row r="262" spans="1:12" ht="31.5" hidden="1" outlineLevel="2">
      <c r="A262" s="70"/>
      <c r="B262" s="12" t="str">
        <f>IFERROR(VLOOKUP(D262,'[1]Перечень товаров'!$A$2:$I9525,2,0),"")</f>
        <v>т72</v>
      </c>
      <c r="C262" s="12" t="str">
        <f>IFERROR(VLOOKUP(D262,'[1]Перечень товаров'!$A$2:$I9525,3,0),"")</f>
        <v>Техника</v>
      </c>
      <c r="D262" s="71" t="s">
        <v>194</v>
      </c>
      <c r="E262" s="72"/>
      <c r="F262" s="72"/>
      <c r="G262" s="73">
        <v>2</v>
      </c>
      <c r="H262" s="73"/>
      <c r="I262" s="74"/>
      <c r="J262" s="74"/>
      <c r="K262" s="19"/>
      <c r="L262" s="20"/>
    </row>
    <row r="263" spans="1:12" ht="31.5" hidden="1" outlineLevel="2">
      <c r="A263" s="70"/>
      <c r="B263" s="12" t="str">
        <f>IFERROR(VLOOKUP(D263,'[1]Перечень товаров'!$A$2:$I9525,2,0),"")</f>
        <v>тм4</v>
      </c>
      <c r="C263" s="12" t="str">
        <f>IFERROR(VLOOKUP(D263,'[1]Перечень товаров'!$A$2:$I9525,3,0),"")</f>
        <v>Техника муз</v>
      </c>
      <c r="D263" s="71" t="s">
        <v>195</v>
      </c>
      <c r="E263" s="72"/>
      <c r="F263" s="72"/>
      <c r="G263" s="73">
        <v>4</v>
      </c>
      <c r="H263" s="73"/>
      <c r="I263" s="74"/>
      <c r="J263" s="74"/>
      <c r="K263" s="19"/>
      <c r="L263" s="20"/>
    </row>
    <row r="264" spans="1:12" ht="31.5" hidden="1" outlineLevel="2">
      <c r="A264" s="70"/>
      <c r="B264" s="12" t="str">
        <f>IFERROR(VLOOKUP(D264,'[1]Перечень товаров'!$A$2:$I9525,2,0),"")</f>
        <v>т73</v>
      </c>
      <c r="C264" s="12" t="str">
        <f>IFERROR(VLOOKUP(D264,'[1]Перечень товаров'!$A$2:$I9525,3,0),"")</f>
        <v>Техника</v>
      </c>
      <c r="D264" s="71" t="s">
        <v>196</v>
      </c>
      <c r="E264" s="72"/>
      <c r="F264" s="72"/>
      <c r="G264" s="73">
        <v>2</v>
      </c>
      <c r="H264" s="73"/>
      <c r="I264" s="74"/>
      <c r="J264" s="74"/>
      <c r="K264" s="19"/>
      <c r="L264" s="20"/>
    </row>
    <row r="265" spans="1:12" ht="47.25" hidden="1" outlineLevel="2">
      <c r="A265" s="70"/>
      <c r="B265" s="12" t="str">
        <f>IFERROR(VLOOKUP(D265,'[1]Перечень товаров'!$A$2:$I9525,2,0),"")</f>
        <v>тм5</v>
      </c>
      <c r="C265" s="12" t="str">
        <f>IFERROR(VLOOKUP(D265,'[1]Перечень товаров'!$A$2:$I9525,3,0),"")</f>
        <v>Техника муз</v>
      </c>
      <c r="D265" s="71" t="s">
        <v>197</v>
      </c>
      <c r="E265" s="72"/>
      <c r="F265" s="72"/>
      <c r="G265" s="73">
        <v>6</v>
      </c>
      <c r="H265" s="73"/>
      <c r="I265" s="74"/>
      <c r="J265" s="74"/>
      <c r="K265" s="19"/>
      <c r="L265" s="20"/>
    </row>
    <row r="266" spans="1:12" ht="31.5" hidden="1" outlineLevel="2">
      <c r="A266" s="70"/>
      <c r="B266" s="12" t="str">
        <f>IFERROR(VLOOKUP(D266,'[1]Перечень товаров'!$A$2:$I9525,2,0),"")</f>
        <v>тм6</v>
      </c>
      <c r="C266" s="12" t="str">
        <f>IFERROR(VLOOKUP(D266,'[1]Перечень товаров'!$A$2:$I9525,3,0),"")</f>
        <v>Техника муз</v>
      </c>
      <c r="D266" s="71" t="s">
        <v>198</v>
      </c>
      <c r="E266" s="72"/>
      <c r="F266" s="72"/>
      <c r="G266" s="73">
        <v>2</v>
      </c>
      <c r="H266" s="73"/>
      <c r="I266" s="74"/>
      <c r="J266" s="74"/>
      <c r="K266" s="19"/>
      <c r="L266" s="20"/>
    </row>
    <row r="267" spans="1:12" ht="31.5" hidden="1" outlineLevel="2">
      <c r="A267" s="70"/>
      <c r="B267" s="12" t="str">
        <f>IFERROR(VLOOKUP(D267,'[1]Перечень товаров'!$A$2:$I9525,2,0),"")</f>
        <v>т74</v>
      </c>
      <c r="C267" s="12" t="str">
        <f>IFERROR(VLOOKUP(D267,'[1]Перечень товаров'!$A$2:$I9525,3,0),"")</f>
        <v>Техника</v>
      </c>
      <c r="D267" s="71" t="s">
        <v>199</v>
      </c>
      <c r="E267" s="72"/>
      <c r="F267" s="72"/>
      <c r="G267" s="73">
        <v>8</v>
      </c>
      <c r="H267" s="73"/>
      <c r="I267" s="74"/>
      <c r="J267" s="74"/>
      <c r="K267" s="19"/>
      <c r="L267" s="20"/>
    </row>
    <row r="268" spans="1:12" ht="31.5" hidden="1" outlineLevel="2">
      <c r="A268" s="70"/>
      <c r="B268" s="12" t="str">
        <f>IFERROR(VLOOKUP(D268,'[1]Перечень товаров'!$A$2:$I9525,2,0),"")</f>
        <v>тм7</v>
      </c>
      <c r="C268" s="12" t="str">
        <f>IFERROR(VLOOKUP(D268,'[1]Перечень товаров'!$A$2:$I9525,3,0),"")</f>
        <v>Техника муз</v>
      </c>
      <c r="D268" s="71" t="s">
        <v>200</v>
      </c>
      <c r="E268" s="72"/>
      <c r="F268" s="72"/>
      <c r="G268" s="73">
        <v>2</v>
      </c>
      <c r="H268" s="73"/>
      <c r="I268" s="74"/>
      <c r="J268" s="74"/>
      <c r="K268" s="19"/>
      <c r="L268" s="20"/>
    </row>
    <row r="269" spans="1:12" ht="31.5" hidden="1" outlineLevel="2">
      <c r="A269" s="70"/>
      <c r="B269" s="12" t="str">
        <f>IFERROR(VLOOKUP(D269,'[1]Перечень товаров'!$A$2:$I9525,2,0),"")</f>
        <v>тм8</v>
      </c>
      <c r="C269" s="12" t="str">
        <f>IFERROR(VLOOKUP(D269,'[1]Перечень товаров'!$A$2:$I9525,3,0),"")</f>
        <v>Техника муз</v>
      </c>
      <c r="D269" s="71" t="s">
        <v>201</v>
      </c>
      <c r="E269" s="72"/>
      <c r="F269" s="72"/>
      <c r="G269" s="73">
        <v>4</v>
      </c>
      <c r="H269" s="73"/>
      <c r="I269" s="74"/>
      <c r="J269" s="74"/>
      <c r="K269" s="19"/>
      <c r="L269" s="20"/>
    </row>
    <row r="270" spans="1:12" hidden="1" outlineLevel="2">
      <c r="A270" s="70"/>
      <c r="B270" s="12" t="str">
        <f>IFERROR(VLOOKUP(D270,'[1]Перечень товаров'!$A$2:$I9525,2,0),"")</f>
        <v>т75</v>
      </c>
      <c r="C270" s="12" t="str">
        <f>IFERROR(VLOOKUP(D270,'[1]Перечень товаров'!$A$2:$I9525,3,0),"")</f>
        <v>Техника</v>
      </c>
      <c r="D270" s="71" t="s">
        <v>202</v>
      </c>
      <c r="E270" s="72"/>
      <c r="F270" s="72"/>
      <c r="G270" s="73">
        <v>1</v>
      </c>
      <c r="H270" s="73"/>
      <c r="I270" s="74"/>
      <c r="J270" s="74"/>
      <c r="K270" s="19"/>
      <c r="L270" s="20"/>
    </row>
    <row r="271" spans="1:12" ht="31.5" hidden="1" outlineLevel="2">
      <c r="A271" s="70"/>
      <c r="B271" s="12" t="str">
        <f>IFERROR(VLOOKUP(D271,'[1]Перечень товаров'!$A$2:$I9525,2,0),"")</f>
        <v>т76</v>
      </c>
      <c r="C271" s="12" t="str">
        <f>IFERROR(VLOOKUP(D271,'[1]Перечень товаров'!$A$2:$I9525,3,0),"")</f>
        <v>Техника</v>
      </c>
      <c r="D271" s="71" t="s">
        <v>203</v>
      </c>
      <c r="E271" s="72"/>
      <c r="F271" s="72"/>
      <c r="G271" s="73">
        <v>10</v>
      </c>
      <c r="H271" s="73"/>
      <c r="I271" s="74"/>
      <c r="J271" s="74"/>
      <c r="K271" s="19"/>
      <c r="L271" s="20"/>
    </row>
    <row r="272" spans="1:12" ht="47.25" hidden="1" outlineLevel="2">
      <c r="A272" s="70"/>
      <c r="B272" s="12" t="str">
        <f>IFERROR(VLOOKUP(D272,'[1]Перечень товаров'!$A$2:$I9525,2,0),"")</f>
        <v>м31</v>
      </c>
      <c r="C272" s="12" t="str">
        <f>IFERROR(VLOOKUP(D272,'[1]Перечень товаров'!$A$2:$I9525,3,0),"")</f>
        <v>Мебель</v>
      </c>
      <c r="D272" s="71" t="s">
        <v>204</v>
      </c>
      <c r="E272" s="72"/>
      <c r="F272" s="72"/>
      <c r="G272" s="73">
        <v>10</v>
      </c>
      <c r="H272" s="73"/>
      <c r="I272" s="74"/>
      <c r="J272" s="74"/>
      <c r="K272" s="19"/>
      <c r="L272" s="20"/>
    </row>
    <row r="273" spans="1:12" ht="47.25" hidden="1" outlineLevel="2">
      <c r="A273" s="70"/>
      <c r="B273" s="12" t="str">
        <f>IFERROR(VLOOKUP(D273,'[1]Перечень товаров'!$A$2:$I9525,2,0),"")</f>
        <v>м32</v>
      </c>
      <c r="C273" s="12" t="str">
        <f>IFERROR(VLOOKUP(D273,'[1]Перечень товаров'!$A$2:$I9525,3,0),"")</f>
        <v>Мебель</v>
      </c>
      <c r="D273" s="71" t="s">
        <v>205</v>
      </c>
      <c r="E273" s="72"/>
      <c r="F273" s="72"/>
      <c r="G273" s="73">
        <v>2</v>
      </c>
      <c r="H273" s="73"/>
      <c r="I273" s="74"/>
      <c r="J273" s="74"/>
      <c r="K273" s="19"/>
      <c r="L273" s="20"/>
    </row>
    <row r="274" spans="1:12" ht="31.5" hidden="1" outlineLevel="2">
      <c r="A274" s="70"/>
      <c r="B274" s="12" t="str">
        <f>IFERROR(VLOOKUP(D274,'[1]Перечень товаров'!$A$2:$I9525,2,0),"")</f>
        <v>м33</v>
      </c>
      <c r="C274" s="12" t="str">
        <f>IFERROR(VLOOKUP(D274,'[1]Перечень товаров'!$A$2:$I9525,3,0),"")</f>
        <v>Мебель</v>
      </c>
      <c r="D274" s="71" t="s">
        <v>206</v>
      </c>
      <c r="E274" s="72"/>
      <c r="F274" s="72"/>
      <c r="G274" s="73">
        <v>4</v>
      </c>
      <c r="H274" s="73"/>
      <c r="I274" s="74"/>
      <c r="J274" s="74"/>
      <c r="K274" s="19"/>
      <c r="L274" s="20"/>
    </row>
    <row r="275" spans="1:12" ht="31.5" hidden="1" outlineLevel="2">
      <c r="A275" s="70"/>
      <c r="B275" s="12" t="str">
        <f>IFERROR(VLOOKUP(D275,'[1]Перечень товаров'!$A$2:$I9525,2,0),"")</f>
        <v>м34</v>
      </c>
      <c r="C275" s="12" t="str">
        <f>IFERROR(VLOOKUP(D275,'[1]Перечень товаров'!$A$2:$I9525,3,0),"")</f>
        <v>Мебель</v>
      </c>
      <c r="D275" s="71" t="s">
        <v>207</v>
      </c>
      <c r="E275" s="72"/>
      <c r="F275" s="72"/>
      <c r="G275" s="73">
        <v>1</v>
      </c>
      <c r="H275" s="73"/>
      <c r="I275" s="74"/>
      <c r="J275" s="74"/>
      <c r="K275" s="19"/>
      <c r="L275" s="20"/>
    </row>
    <row r="276" spans="1:12" ht="31.5" hidden="1" outlineLevel="2">
      <c r="A276" s="70"/>
      <c r="B276" s="12" t="str">
        <f>IFERROR(VLOOKUP(D276,'[1]Перечень товаров'!$A$2:$I9525,2,0),"")</f>
        <v>м35</v>
      </c>
      <c r="C276" s="12" t="str">
        <f>IFERROR(VLOOKUP(D276,'[1]Перечень товаров'!$A$2:$I9525,3,0),"")</f>
        <v>Мебель</v>
      </c>
      <c r="D276" s="71" t="s">
        <v>208</v>
      </c>
      <c r="E276" s="72"/>
      <c r="F276" s="72"/>
      <c r="G276" s="73">
        <v>1</v>
      </c>
      <c r="H276" s="73"/>
      <c r="I276" s="74"/>
      <c r="J276" s="74"/>
      <c r="K276" s="19"/>
      <c r="L276" s="20"/>
    </row>
    <row r="277" spans="1:12" hidden="1" outlineLevel="2">
      <c r="A277" s="70"/>
      <c r="B277" s="12" t="str">
        <f>IFERROR(VLOOKUP(D277,'[1]Перечень товаров'!$A$2:$I9525,2,0),"")</f>
        <v>тм9</v>
      </c>
      <c r="C277" s="12" t="str">
        <f>IFERROR(VLOOKUP(D277,'[1]Перечень товаров'!$A$2:$I9525,3,0),"")</f>
        <v>Техника муз</v>
      </c>
      <c r="D277" s="71" t="s">
        <v>209</v>
      </c>
      <c r="E277" s="72"/>
      <c r="F277" s="72"/>
      <c r="G277" s="73">
        <v>1</v>
      </c>
      <c r="H277" s="73"/>
      <c r="I277" s="74"/>
      <c r="J277" s="74"/>
      <c r="K277" s="19"/>
      <c r="L277" s="20"/>
    </row>
    <row r="278" spans="1:12" hidden="1" outlineLevel="2">
      <c r="A278" s="70"/>
      <c r="B278" s="12" t="str">
        <f>IFERROR(VLOOKUP(D278,'[1]Перечень товаров'!$A$2:$I9525,2,0),"")</f>
        <v>дм3</v>
      </c>
      <c r="C278" s="12" t="str">
        <f>IFERROR(VLOOKUP(D278,'[1]Перечень товаров'!$A$2:$I9525,3,0),"")</f>
        <v>Дидактика муз</v>
      </c>
      <c r="D278" s="71" t="s">
        <v>210</v>
      </c>
      <c r="E278" s="72"/>
      <c r="F278" s="72"/>
      <c r="G278" s="73">
        <v>3</v>
      </c>
      <c r="H278" s="73"/>
      <c r="I278" s="74"/>
      <c r="J278" s="74"/>
      <c r="K278" s="19"/>
      <c r="L278" s="20"/>
    </row>
    <row r="279" spans="1:12" ht="31.5" hidden="1" outlineLevel="2">
      <c r="A279" s="70"/>
      <c r="B279" s="12" t="str">
        <f>IFERROR(VLOOKUP(D279,'[1]Перечень товаров'!$A$2:$I9525,2,0),"")</f>
        <v>тм10</v>
      </c>
      <c r="C279" s="12" t="str">
        <f>IFERROR(VLOOKUP(D279,'[1]Перечень товаров'!$A$2:$I9525,3,0),"")</f>
        <v>Техника муз</v>
      </c>
      <c r="D279" s="71" t="s">
        <v>211</v>
      </c>
      <c r="E279" s="72"/>
      <c r="F279" s="72"/>
      <c r="G279" s="73">
        <v>1</v>
      </c>
      <c r="H279" s="73"/>
      <c r="I279" s="74"/>
      <c r="J279" s="74"/>
      <c r="K279" s="19"/>
      <c r="L279" s="20"/>
    </row>
    <row r="280" spans="1:12" ht="47.25" hidden="1" outlineLevel="2">
      <c r="A280" s="70"/>
      <c r="B280" s="12" t="str">
        <f>IFERROR(VLOOKUP(D280,'[1]Перечень товаров'!$A$2:$I9525,2,0),"")</f>
        <v>тм11</v>
      </c>
      <c r="C280" s="12" t="str">
        <f>IFERROR(VLOOKUP(D280,'[1]Перечень товаров'!$A$2:$I9525,3,0),"")</f>
        <v>Техника муз</v>
      </c>
      <c r="D280" s="71" t="s">
        <v>212</v>
      </c>
      <c r="E280" s="72"/>
      <c r="F280" s="72"/>
      <c r="G280" s="73">
        <v>1</v>
      </c>
      <c r="H280" s="73"/>
      <c r="I280" s="74"/>
      <c r="J280" s="74"/>
      <c r="K280" s="19"/>
      <c r="L280" s="20"/>
    </row>
    <row r="281" spans="1:12" ht="47.25" hidden="1" outlineLevel="2">
      <c r="A281" s="70"/>
      <c r="B281" s="12" t="str">
        <f>IFERROR(VLOOKUP(D281,'[1]Перечень товаров'!$A$2:$I9525,2,0),"")</f>
        <v>мм2</v>
      </c>
      <c r="C281" s="12" t="str">
        <f>IFERROR(VLOOKUP(D281,'[1]Перечень товаров'!$A$2:$I9525,3,0),"")</f>
        <v>Мебель муз</v>
      </c>
      <c r="D281" s="71" t="s">
        <v>213</v>
      </c>
      <c r="E281" s="72"/>
      <c r="F281" s="72"/>
      <c r="G281" s="73">
        <v>2</v>
      </c>
      <c r="H281" s="73"/>
      <c r="I281" s="74"/>
      <c r="J281" s="74"/>
      <c r="K281" s="19"/>
      <c r="L281" s="20"/>
    </row>
    <row r="282" spans="1:12" ht="25.5" outlineLevel="1" collapsed="1">
      <c r="A282" s="11"/>
      <c r="B282" s="12" t="str">
        <f>IFERROR(VLOOKUP(D282,'[1]Перечень товаров'!$A$2:$I9525,2,0),"")</f>
        <v/>
      </c>
      <c r="C282" s="12" t="str">
        <f>IFERROR(VLOOKUP(D282,'[1]Перечень товаров'!$A$2:$I9525,3,0),"")</f>
        <v/>
      </c>
      <c r="D282" s="27" t="s">
        <v>214</v>
      </c>
      <c r="E282" s="14" t="s">
        <v>215</v>
      </c>
      <c r="F282" s="14"/>
      <c r="G282" s="17"/>
      <c r="H282" s="17"/>
      <c r="I282" s="57"/>
      <c r="J282" s="57"/>
      <c r="K282" s="19"/>
      <c r="L282" s="20"/>
    </row>
    <row r="283" spans="1:12" ht="30" hidden="1" outlineLevel="2">
      <c r="A283" s="80"/>
      <c r="B283" s="12" t="str">
        <f>IFERROR(VLOOKUP(D283,'[1]Перечень товаров'!$A$2:$I9525,2,0),"")</f>
        <v/>
      </c>
      <c r="C283" s="12" t="str">
        <f>IFERROR(VLOOKUP(D283,'[1]Перечень товаров'!$A$2:$I9525,3,0),"")</f>
        <v/>
      </c>
      <c r="D283" s="81" t="s">
        <v>216</v>
      </c>
      <c r="E283" s="80"/>
      <c r="F283" s="80"/>
      <c r="G283" s="82"/>
      <c r="H283" s="82"/>
      <c r="I283" s="83"/>
      <c r="J283" s="83"/>
      <c r="K283" s="19"/>
      <c r="L283" s="20"/>
    </row>
    <row r="284" spans="1:12" ht="31.5" hidden="1" outlineLevel="2">
      <c r="A284" s="70"/>
      <c r="B284" s="12" t="str">
        <f>IFERROR(VLOOKUP(D284,'[1]Перечень товаров'!$A$2:$I9525,2,0),"")</f>
        <v>тм12</v>
      </c>
      <c r="C284" s="12" t="str">
        <f>IFERROR(VLOOKUP(D284,'[1]Перечень товаров'!$A$2:$I9525,3,0),"")</f>
        <v>Техника муз</v>
      </c>
      <c r="D284" s="71" t="s">
        <v>217</v>
      </c>
      <c r="E284" s="70"/>
      <c r="F284" s="70"/>
      <c r="G284" s="73">
        <v>1</v>
      </c>
      <c r="H284" s="73"/>
      <c r="I284" s="74"/>
      <c r="J284" s="74"/>
      <c r="K284" s="19"/>
      <c r="L284" s="20"/>
    </row>
    <row r="285" spans="1:12" hidden="1" outlineLevel="2">
      <c r="A285" s="70"/>
      <c r="B285" s="12" t="str">
        <f>IFERROR(VLOOKUP(D285,'[1]Перечень товаров'!$A$2:$I9525,2,0),"")</f>
        <v>тм13</v>
      </c>
      <c r="C285" s="12" t="str">
        <f>IFERROR(VLOOKUP(D285,'[1]Перечень товаров'!$A$2:$I9525,3,0),"")</f>
        <v>Техника муз</v>
      </c>
      <c r="D285" s="71" t="s">
        <v>218</v>
      </c>
      <c r="E285" s="70"/>
      <c r="F285" s="70"/>
      <c r="G285" s="73">
        <v>1</v>
      </c>
      <c r="H285" s="73"/>
      <c r="I285" s="74"/>
      <c r="J285" s="74"/>
      <c r="K285" s="19"/>
      <c r="L285" s="20"/>
    </row>
    <row r="286" spans="1:12" ht="31.5" hidden="1" outlineLevel="2">
      <c r="A286" s="70"/>
      <c r="B286" s="12" t="str">
        <f>IFERROR(VLOOKUP(D286,'[1]Перечень товаров'!$A$2:$I9525,2,0),"")</f>
        <v>мм3</v>
      </c>
      <c r="C286" s="12" t="str">
        <f>IFERROR(VLOOKUP(D286,'[1]Перечень товаров'!$A$2:$I9525,3,0),"")</f>
        <v>Мебель муз</v>
      </c>
      <c r="D286" s="71" t="s">
        <v>219</v>
      </c>
      <c r="E286" s="70"/>
      <c r="F286" s="70"/>
      <c r="G286" s="73">
        <v>2</v>
      </c>
      <c r="H286" s="73"/>
      <c r="I286" s="74"/>
      <c r="J286" s="74"/>
      <c r="K286" s="19"/>
      <c r="L286" s="20"/>
    </row>
    <row r="287" spans="1:12" ht="31.5" hidden="1" outlineLevel="2">
      <c r="A287" s="70"/>
      <c r="B287" s="12" t="str">
        <f>IFERROR(VLOOKUP(D287,'[1]Перечень товаров'!$A$2:$I9525,2,0),"")</f>
        <v>мм4</v>
      </c>
      <c r="C287" s="12" t="str">
        <f>IFERROR(VLOOKUP(D287,'[1]Перечень товаров'!$A$2:$I9525,3,0),"")</f>
        <v>Мебель муз</v>
      </c>
      <c r="D287" s="71" t="s">
        <v>220</v>
      </c>
      <c r="E287" s="70"/>
      <c r="F287" s="70"/>
      <c r="G287" s="73">
        <v>15</v>
      </c>
      <c r="H287" s="73"/>
      <c r="I287" s="74"/>
      <c r="J287" s="74"/>
      <c r="K287" s="19"/>
      <c r="L287" s="20"/>
    </row>
    <row r="288" spans="1:12" ht="15" hidden="1" outlineLevel="2">
      <c r="A288" s="84"/>
      <c r="B288" s="12" t="str">
        <f>IFERROR(VLOOKUP(D288,'[1]Перечень товаров'!$A$2:$I9525,2,0),"")</f>
        <v/>
      </c>
      <c r="C288" s="12" t="str">
        <f>IFERROR(VLOOKUP(D288,'[1]Перечень товаров'!$A$2:$I9525,3,0),"")</f>
        <v/>
      </c>
      <c r="D288" s="85" t="s">
        <v>221</v>
      </c>
      <c r="E288" s="84"/>
      <c r="F288" s="84"/>
      <c r="G288" s="86"/>
      <c r="H288" s="86"/>
      <c r="I288" s="87"/>
      <c r="J288" s="87"/>
      <c r="K288" s="19"/>
      <c r="L288" s="20"/>
    </row>
    <row r="289" spans="1:12" ht="31.5" hidden="1" outlineLevel="2">
      <c r="A289" s="70"/>
      <c r="B289" s="12" t="str">
        <f>IFERROR(VLOOKUP(D289,'[1]Перечень товаров'!$A$2:$I9525,2,0),"")</f>
        <v>м36</v>
      </c>
      <c r="C289" s="12" t="str">
        <f>IFERROR(VLOOKUP(D289,'[1]Перечень товаров'!$A$2:$I9525,3,0),"")</f>
        <v>Мебель</v>
      </c>
      <c r="D289" s="71" t="s">
        <v>222</v>
      </c>
      <c r="E289" s="70"/>
      <c r="F289" s="70"/>
      <c r="G289" s="73">
        <v>80</v>
      </c>
      <c r="H289" s="73"/>
      <c r="I289" s="74"/>
      <c r="J289" s="74"/>
      <c r="K289" s="19"/>
      <c r="L289" s="20"/>
    </row>
    <row r="290" spans="1:12" ht="31.5" hidden="1" outlineLevel="2">
      <c r="A290" s="70"/>
      <c r="B290" s="12" t="str">
        <f>IFERROR(VLOOKUP(D290,'[1]Перечень товаров'!$A$2:$I9525,2,0),"")</f>
        <v>мм5</v>
      </c>
      <c r="C290" s="12" t="str">
        <f>IFERROR(VLOOKUP(D290,'[1]Перечень товаров'!$A$2:$I9525,3,0),"")</f>
        <v>Мебель муз</v>
      </c>
      <c r="D290" s="71" t="s">
        <v>223</v>
      </c>
      <c r="E290" s="70"/>
      <c r="F290" s="70"/>
      <c r="G290" s="73">
        <v>1</v>
      </c>
      <c r="H290" s="73"/>
      <c r="I290" s="74"/>
      <c r="J290" s="74"/>
      <c r="K290" s="19"/>
      <c r="L290" s="20"/>
    </row>
    <row r="291" spans="1:12" hidden="1" outlineLevel="2">
      <c r="A291" s="70"/>
      <c r="B291" s="12" t="str">
        <f>IFERROR(VLOOKUP(D291,'[1]Перечень товаров'!$A$2:$I9525,2,0),"")</f>
        <v>мм6</v>
      </c>
      <c r="C291" s="12" t="str">
        <f>IFERROR(VLOOKUP(D291,'[1]Перечень товаров'!$A$2:$I9525,3,0),"")</f>
        <v>Мебель муз</v>
      </c>
      <c r="D291" s="71" t="s">
        <v>224</v>
      </c>
      <c r="E291" s="70"/>
      <c r="F291" s="70"/>
      <c r="G291" s="73">
        <v>1</v>
      </c>
      <c r="H291" s="73"/>
      <c r="I291" s="74"/>
      <c r="J291" s="74"/>
      <c r="K291" s="19"/>
      <c r="L291" s="20"/>
    </row>
    <row r="292" spans="1:12" ht="31.5" hidden="1" outlineLevel="2">
      <c r="A292" s="70"/>
      <c r="B292" s="12" t="str">
        <f>IFERROR(VLOOKUP(D292,'[1]Перечень товаров'!$A$2:$I9525,2,0),"")</f>
        <v>п24</v>
      </c>
      <c r="C292" s="12" t="str">
        <f>IFERROR(VLOOKUP(D292,'[1]Перечень товаров'!$A$2:$I9525,3,0),"")</f>
        <v>Прочее</v>
      </c>
      <c r="D292" s="71" t="s">
        <v>225</v>
      </c>
      <c r="E292" s="70"/>
      <c r="F292" s="70"/>
      <c r="G292" s="73">
        <v>1</v>
      </c>
      <c r="H292" s="73"/>
      <c r="I292" s="74"/>
      <c r="J292" s="74"/>
      <c r="K292" s="19"/>
      <c r="L292" s="20"/>
    </row>
    <row r="293" spans="1:12" ht="15" hidden="1" outlineLevel="2">
      <c r="A293" s="84"/>
      <c r="B293" s="12" t="str">
        <f>IFERROR(VLOOKUP(D293,'[1]Перечень товаров'!$A$2:$I9525,2,0),"")</f>
        <v/>
      </c>
      <c r="C293" s="12" t="str">
        <f>IFERROR(VLOOKUP(D293,'[1]Перечень товаров'!$A$2:$I9525,3,0),"")</f>
        <v/>
      </c>
      <c r="D293" s="85" t="s">
        <v>226</v>
      </c>
      <c r="E293" s="84"/>
      <c r="F293" s="84"/>
      <c r="G293" s="86"/>
      <c r="H293" s="86"/>
      <c r="I293" s="87"/>
      <c r="J293" s="87"/>
      <c r="K293" s="19"/>
      <c r="L293" s="20"/>
    </row>
    <row r="294" spans="1:12" hidden="1" outlineLevel="2">
      <c r="A294" s="70"/>
      <c r="B294" s="12" t="str">
        <f>IFERROR(VLOOKUP(D294,'[1]Перечень товаров'!$A$2:$I9525,2,0),"")</f>
        <v>мм7</v>
      </c>
      <c r="C294" s="12" t="str">
        <f>IFERROR(VLOOKUP(D294,'[1]Перечень товаров'!$A$2:$I9525,3,0),"")</f>
        <v>Мебель муз</v>
      </c>
      <c r="D294" s="71" t="s">
        <v>227</v>
      </c>
      <c r="E294" s="70"/>
      <c r="F294" s="70"/>
      <c r="G294" s="73">
        <v>1</v>
      </c>
      <c r="H294" s="73"/>
      <c r="I294" s="74"/>
      <c r="J294" s="74"/>
      <c r="K294" s="19"/>
      <c r="L294" s="20"/>
    </row>
    <row r="295" spans="1:12" ht="31.5" hidden="1" outlineLevel="2">
      <c r="A295" s="70"/>
      <c r="B295" s="12" t="str">
        <f>IFERROR(VLOOKUP(D295,'[1]Перечень товаров'!$A$2:$I9525,2,0),"")</f>
        <v>мм8</v>
      </c>
      <c r="C295" s="12" t="str">
        <f>IFERROR(VLOOKUP(D295,'[1]Перечень товаров'!$A$2:$I9525,3,0),"")</f>
        <v>Мебель муз</v>
      </c>
      <c r="D295" s="71" t="s">
        <v>228</v>
      </c>
      <c r="E295" s="70"/>
      <c r="F295" s="70"/>
      <c r="G295" s="73">
        <v>1</v>
      </c>
      <c r="H295" s="73"/>
      <c r="I295" s="74"/>
      <c r="J295" s="74"/>
      <c r="K295" s="19"/>
      <c r="L295" s="20"/>
    </row>
    <row r="296" spans="1:12" ht="31.5" hidden="1" outlineLevel="2">
      <c r="A296" s="70"/>
      <c r="B296" s="12" t="str">
        <f>IFERROR(VLOOKUP(D296,'[1]Перечень товаров'!$A$2:$I9525,2,0),"")</f>
        <v>мм9</v>
      </c>
      <c r="C296" s="12" t="str">
        <f>IFERROR(VLOOKUP(D296,'[1]Перечень товаров'!$A$2:$I9525,3,0),"")</f>
        <v>Мебель муз</v>
      </c>
      <c r="D296" s="71" t="s">
        <v>229</v>
      </c>
      <c r="E296" s="70"/>
      <c r="F296" s="70"/>
      <c r="G296" s="73">
        <v>10</v>
      </c>
      <c r="H296" s="73"/>
      <c r="I296" s="74"/>
      <c r="J296" s="74"/>
      <c r="K296" s="19"/>
      <c r="L296" s="20"/>
    </row>
    <row r="297" spans="1:12" hidden="1" outlineLevel="2">
      <c r="A297" s="70"/>
      <c r="B297" s="12" t="str">
        <f>IFERROR(VLOOKUP(D297,'[1]Перечень товаров'!$A$2:$I9525,2,0),"")</f>
        <v>мм10</v>
      </c>
      <c r="C297" s="12" t="str">
        <f>IFERROR(VLOOKUP(D297,'[1]Перечень товаров'!$A$2:$I9525,3,0),"")</f>
        <v>Мебель муз</v>
      </c>
      <c r="D297" s="71" t="s">
        <v>230</v>
      </c>
      <c r="E297" s="70"/>
      <c r="F297" s="70"/>
      <c r="G297" s="73">
        <v>3</v>
      </c>
      <c r="H297" s="73"/>
      <c r="I297" s="74"/>
      <c r="J297" s="74"/>
      <c r="K297" s="19"/>
      <c r="L297" s="20"/>
    </row>
    <row r="298" spans="1:12" hidden="1" outlineLevel="2">
      <c r="A298" s="70"/>
      <c r="B298" s="12" t="str">
        <f>IFERROR(VLOOKUP(D298,'[1]Перечень товаров'!$A$2:$I9525,2,0),"")</f>
        <v>мм11</v>
      </c>
      <c r="C298" s="12" t="str">
        <f>IFERROR(VLOOKUP(D298,'[1]Перечень товаров'!$A$2:$I9525,3,0),"")</f>
        <v>Мебель муз</v>
      </c>
      <c r="D298" s="71" t="s">
        <v>231</v>
      </c>
      <c r="E298" s="70"/>
      <c r="F298" s="70"/>
      <c r="G298" s="73">
        <v>3</v>
      </c>
      <c r="H298" s="73"/>
      <c r="I298" s="74"/>
      <c r="J298" s="74"/>
      <c r="K298" s="19"/>
      <c r="L298" s="20"/>
    </row>
    <row r="299" spans="1:12" hidden="1" outlineLevel="2">
      <c r="A299" s="70"/>
      <c r="B299" s="12" t="str">
        <f>IFERROR(VLOOKUP(D299,'[1]Перечень товаров'!$A$2:$I9525,2,0),"")</f>
        <v>мм12</v>
      </c>
      <c r="C299" s="12" t="str">
        <f>IFERROR(VLOOKUP(D299,'[1]Перечень товаров'!$A$2:$I9525,3,0),"")</f>
        <v>Мебель муз</v>
      </c>
      <c r="D299" s="71" t="s">
        <v>232</v>
      </c>
      <c r="E299" s="70"/>
      <c r="F299" s="70"/>
      <c r="G299" s="73">
        <v>2</v>
      </c>
      <c r="H299" s="73"/>
      <c r="I299" s="74"/>
      <c r="J299" s="74"/>
      <c r="K299" s="19"/>
      <c r="L299" s="20"/>
    </row>
    <row r="300" spans="1:12" ht="15" hidden="1" outlineLevel="2">
      <c r="A300" s="84"/>
      <c r="B300" s="12" t="str">
        <f>IFERROR(VLOOKUP(D300,'[1]Перечень товаров'!$A$2:$I9525,2,0),"")</f>
        <v/>
      </c>
      <c r="C300" s="12" t="str">
        <f>IFERROR(VLOOKUP(D300,'[1]Перечень товаров'!$A$2:$I9525,3,0),"")</f>
        <v/>
      </c>
      <c r="D300" s="85" t="s">
        <v>233</v>
      </c>
      <c r="E300" s="84"/>
      <c r="F300" s="84"/>
      <c r="G300" s="86"/>
      <c r="H300" s="86"/>
      <c r="I300" s="87"/>
      <c r="J300" s="87"/>
      <c r="K300" s="19"/>
      <c r="L300" s="20"/>
    </row>
    <row r="301" spans="1:12" ht="31.5" hidden="1" outlineLevel="2">
      <c r="A301" s="70"/>
      <c r="B301" s="12" t="str">
        <f>IFERROR(VLOOKUP(D301,'[1]Перечень товаров'!$A$2:$I9525,2,0),"")</f>
        <v>м36</v>
      </c>
      <c r="C301" s="12" t="str">
        <f>IFERROR(VLOOKUP(D301,'[1]Перечень товаров'!$A$2:$I9525,3,0),"")</f>
        <v>Мебель</v>
      </c>
      <c r="D301" s="71" t="s">
        <v>234</v>
      </c>
      <c r="E301" s="70"/>
      <c r="F301" s="70"/>
      <c r="G301" s="73">
        <v>1</v>
      </c>
      <c r="H301" s="73"/>
      <c r="I301" s="74"/>
      <c r="J301" s="74"/>
      <c r="K301" s="19"/>
      <c r="L301" s="20"/>
    </row>
    <row r="302" spans="1:12" ht="31.5" hidden="1" outlineLevel="2">
      <c r="A302" s="70"/>
      <c r="B302" s="12" t="str">
        <f>IFERROR(VLOOKUP(D302,'[1]Перечень товаров'!$A$2:$I9525,2,0),"")</f>
        <v>м37</v>
      </c>
      <c r="C302" s="12" t="str">
        <f>IFERROR(VLOOKUP(D302,'[1]Перечень товаров'!$A$2:$I9525,3,0),"")</f>
        <v>Мебель</v>
      </c>
      <c r="D302" s="71" t="s">
        <v>235</v>
      </c>
      <c r="E302" s="70"/>
      <c r="F302" s="70"/>
      <c r="G302" s="73">
        <v>6</v>
      </c>
      <c r="H302" s="73"/>
      <c r="I302" s="74"/>
      <c r="J302" s="74"/>
      <c r="K302" s="19"/>
      <c r="L302" s="20"/>
    </row>
    <row r="303" spans="1:12" ht="31.5" hidden="1" outlineLevel="2">
      <c r="A303" s="70"/>
      <c r="B303" s="12" t="str">
        <f>IFERROR(VLOOKUP(D303,'[1]Перечень товаров'!$A$2:$I9525,2,0),"")</f>
        <v>м38</v>
      </c>
      <c r="C303" s="12" t="str">
        <f>IFERROR(VLOOKUP(D303,'[1]Перечень товаров'!$A$2:$I9525,3,0),"")</f>
        <v>Мебель</v>
      </c>
      <c r="D303" s="71" t="s">
        <v>236</v>
      </c>
      <c r="E303" s="70"/>
      <c r="F303" s="70"/>
      <c r="G303" s="73">
        <v>2</v>
      </c>
      <c r="H303" s="73"/>
      <c r="I303" s="74"/>
      <c r="J303" s="74"/>
      <c r="K303" s="19"/>
      <c r="L303" s="20"/>
    </row>
    <row r="304" spans="1:12" ht="31.5" hidden="1" outlineLevel="2">
      <c r="A304" s="70"/>
      <c r="B304" s="12" t="str">
        <f>IFERROR(VLOOKUP(D304,'[1]Перечень товаров'!$A$2:$I9525,2,0),"")</f>
        <v>м39</v>
      </c>
      <c r="C304" s="12" t="str">
        <f>IFERROR(VLOOKUP(D304,'[1]Перечень товаров'!$A$2:$I9525,3,0),"")</f>
        <v>Мебель</v>
      </c>
      <c r="D304" s="71" t="s">
        <v>237</v>
      </c>
      <c r="E304" s="70"/>
      <c r="F304" s="70"/>
      <c r="G304" s="73">
        <v>1</v>
      </c>
      <c r="H304" s="73"/>
      <c r="I304" s="74"/>
      <c r="J304" s="74"/>
      <c r="K304" s="19"/>
      <c r="L304" s="20"/>
    </row>
    <row r="305" spans="1:12" ht="31.5" hidden="1" outlineLevel="2">
      <c r="A305" s="70"/>
      <c r="B305" s="12" t="str">
        <f>IFERROR(VLOOKUP(D305,'[1]Перечень товаров'!$A$2:$I9525,2,0),"")</f>
        <v>м40</v>
      </c>
      <c r="C305" s="12" t="str">
        <f>IFERROR(VLOOKUP(D305,'[1]Перечень товаров'!$A$2:$I9525,3,0),"")</f>
        <v>Мебель</v>
      </c>
      <c r="D305" s="71" t="s">
        <v>238</v>
      </c>
      <c r="E305" s="70"/>
      <c r="F305" s="70"/>
      <c r="G305" s="73">
        <v>1</v>
      </c>
      <c r="H305" s="73"/>
      <c r="I305" s="74"/>
      <c r="J305" s="74"/>
      <c r="K305" s="19"/>
      <c r="L305" s="20"/>
    </row>
    <row r="306" spans="1:12" ht="31.5" hidden="1" outlineLevel="2">
      <c r="A306" s="70"/>
      <c r="B306" s="12" t="str">
        <f>IFERROR(VLOOKUP(D306,'[1]Перечень товаров'!$A$2:$I9525,2,0),"")</f>
        <v>т150</v>
      </c>
      <c r="C306" s="12" t="str">
        <f>IFERROR(VLOOKUP(D306,'[1]Перечень товаров'!$A$2:$I9525,3,0),"")</f>
        <v>Техника</v>
      </c>
      <c r="D306" s="71" t="s">
        <v>239</v>
      </c>
      <c r="E306" s="70"/>
      <c r="F306" s="70"/>
      <c r="G306" s="73">
        <v>2</v>
      </c>
      <c r="H306" s="73"/>
      <c r="I306" s="74"/>
      <c r="J306" s="74"/>
      <c r="K306" s="19"/>
      <c r="L306" s="20"/>
    </row>
    <row r="307" spans="1:12" ht="31.5" hidden="1" outlineLevel="2">
      <c r="A307" s="70"/>
      <c r="B307" s="12" t="str">
        <f>IFERROR(VLOOKUP(D307,'[1]Перечень товаров'!$A$2:$I9525,2,0),"")</f>
        <v>м41</v>
      </c>
      <c r="C307" s="12" t="str">
        <f>IFERROR(VLOOKUP(D307,'[1]Перечень товаров'!$A$2:$I9525,3,0),"")</f>
        <v>Мебель</v>
      </c>
      <c r="D307" s="71" t="s">
        <v>240</v>
      </c>
      <c r="E307" s="70"/>
      <c r="F307" s="70"/>
      <c r="G307" s="73">
        <v>1</v>
      </c>
      <c r="H307" s="73"/>
      <c r="I307" s="74"/>
      <c r="J307" s="74"/>
      <c r="K307" s="19"/>
      <c r="L307" s="20"/>
    </row>
    <row r="308" spans="1:12" hidden="1" outlineLevel="2">
      <c r="A308" s="70"/>
      <c r="B308" s="12" t="str">
        <f>IFERROR(VLOOKUP(D308,'[1]Перечень товаров'!$A$2:$I9525,2,0),"")</f>
        <v>м42</v>
      </c>
      <c r="C308" s="12" t="str">
        <f>IFERROR(VLOOKUP(D308,'[1]Перечень товаров'!$A$2:$I9525,3,0),"")</f>
        <v>Мебель</v>
      </c>
      <c r="D308" s="71" t="s">
        <v>241</v>
      </c>
      <c r="E308" s="70"/>
      <c r="F308" s="70"/>
      <c r="G308" s="73">
        <v>1</v>
      </c>
      <c r="H308" s="73"/>
      <c r="I308" s="74"/>
      <c r="J308" s="74"/>
      <c r="K308" s="19"/>
      <c r="L308" s="20"/>
    </row>
    <row r="309" spans="1:12" ht="15" hidden="1" outlineLevel="2">
      <c r="A309" s="84"/>
      <c r="B309" s="12" t="str">
        <f>IFERROR(VLOOKUP(D309,'[1]Перечень товаров'!$A$2:$I9525,2,0),"")</f>
        <v/>
      </c>
      <c r="C309" s="12" t="str">
        <f>IFERROR(VLOOKUP(D309,'[1]Перечень товаров'!$A$2:$I9525,3,0),"")</f>
        <v/>
      </c>
      <c r="D309" s="85" t="s">
        <v>242</v>
      </c>
      <c r="E309" s="84"/>
      <c r="F309" s="84"/>
      <c r="G309" s="86"/>
      <c r="H309" s="86"/>
      <c r="I309" s="87"/>
      <c r="J309" s="87"/>
      <c r="K309" s="19"/>
      <c r="L309" s="20"/>
    </row>
    <row r="310" spans="1:12" ht="31.5" hidden="1" outlineLevel="2">
      <c r="A310" s="70"/>
      <c r="B310" s="12" t="str">
        <f>IFERROR(VLOOKUP(D310,'[1]Перечень товаров'!$A$2:$I9525,2,0),"")</f>
        <v>тм14</v>
      </c>
      <c r="C310" s="12" t="str">
        <f>IFERROR(VLOOKUP(D310,'[1]Перечень товаров'!$A$2:$I9525,3,0),"")</f>
        <v>Техника муз</v>
      </c>
      <c r="D310" s="71" t="s">
        <v>243</v>
      </c>
      <c r="E310" s="70"/>
      <c r="F310" s="70"/>
      <c r="G310" s="73">
        <v>8</v>
      </c>
      <c r="H310" s="73"/>
      <c r="I310" s="74"/>
      <c r="J310" s="74"/>
      <c r="K310" s="19"/>
      <c r="L310" s="20"/>
    </row>
    <row r="311" spans="1:12" ht="31.5" hidden="1" outlineLevel="2">
      <c r="A311" s="70"/>
      <c r="B311" s="12" t="str">
        <f>IFERROR(VLOOKUP(D311,'[1]Перечень товаров'!$A$2:$I9525,2,0),"")</f>
        <v>тм15</v>
      </c>
      <c r="C311" s="12" t="str">
        <f>IFERROR(VLOOKUP(D311,'[1]Перечень товаров'!$A$2:$I9525,3,0),"")</f>
        <v>Техника муз</v>
      </c>
      <c r="D311" s="71" t="s">
        <v>244</v>
      </c>
      <c r="E311" s="70"/>
      <c r="F311" s="70"/>
      <c r="G311" s="73">
        <v>6</v>
      </c>
      <c r="H311" s="73"/>
      <c r="I311" s="74"/>
      <c r="J311" s="74"/>
      <c r="K311" s="19"/>
      <c r="L311" s="20"/>
    </row>
    <row r="312" spans="1:12" ht="31.5" hidden="1" outlineLevel="2">
      <c r="A312" s="70"/>
      <c r="B312" s="12" t="str">
        <f>IFERROR(VLOOKUP(D312,'[1]Перечень товаров'!$A$2:$I9525,2,0),"")</f>
        <v>тм16</v>
      </c>
      <c r="C312" s="12" t="str">
        <f>IFERROR(VLOOKUP(D312,'[1]Перечень товаров'!$A$2:$I9525,3,0),"")</f>
        <v>Техника муз</v>
      </c>
      <c r="D312" s="71" t="s">
        <v>245</v>
      </c>
      <c r="E312" s="70"/>
      <c r="F312" s="70"/>
      <c r="G312" s="73">
        <v>4</v>
      </c>
      <c r="H312" s="73"/>
      <c r="I312" s="74"/>
      <c r="J312" s="74"/>
      <c r="K312" s="19"/>
      <c r="L312" s="20"/>
    </row>
    <row r="313" spans="1:12" hidden="1" outlineLevel="2">
      <c r="A313" s="70"/>
      <c r="B313" s="12" t="str">
        <f>IFERROR(VLOOKUP(D313,'[1]Перечень товаров'!$A$2:$I9525,2,0),"")</f>
        <v>тм17</v>
      </c>
      <c r="C313" s="12" t="str">
        <f>IFERROR(VLOOKUP(D313,'[1]Перечень товаров'!$A$2:$I9525,3,0),"")</f>
        <v>Техника муз</v>
      </c>
      <c r="D313" s="71" t="s">
        <v>246</v>
      </c>
      <c r="E313" s="70"/>
      <c r="F313" s="70"/>
      <c r="G313" s="73">
        <v>2</v>
      </c>
      <c r="H313" s="73"/>
      <c r="I313" s="74"/>
      <c r="J313" s="74"/>
      <c r="K313" s="19"/>
      <c r="L313" s="20"/>
    </row>
    <row r="314" spans="1:12" ht="31.5" hidden="1" outlineLevel="2">
      <c r="A314" s="70"/>
      <c r="B314" s="12" t="str">
        <f>IFERROR(VLOOKUP(D314,'[1]Перечень товаров'!$A$2:$I9525,2,0),"")</f>
        <v>тм18</v>
      </c>
      <c r="C314" s="12" t="str">
        <f>IFERROR(VLOOKUP(D314,'[1]Перечень товаров'!$A$2:$I9525,3,0),"")</f>
        <v>Техника муз</v>
      </c>
      <c r="D314" s="71" t="s">
        <v>247</v>
      </c>
      <c r="E314" s="70"/>
      <c r="F314" s="70"/>
      <c r="G314" s="73">
        <v>1</v>
      </c>
      <c r="H314" s="73"/>
      <c r="I314" s="74"/>
      <c r="J314" s="74"/>
      <c r="K314" s="19"/>
      <c r="L314" s="20"/>
    </row>
    <row r="315" spans="1:12" ht="31.5" hidden="1" outlineLevel="2">
      <c r="A315" s="70"/>
      <c r="B315" s="12" t="str">
        <f>IFERROR(VLOOKUP(D315,'[1]Перечень товаров'!$A$2:$I9525,2,0),"")</f>
        <v>тм19</v>
      </c>
      <c r="C315" s="12" t="str">
        <f>IFERROR(VLOOKUP(D315,'[1]Перечень товаров'!$A$2:$I9525,3,0),"")</f>
        <v>Техника муз</v>
      </c>
      <c r="D315" s="71" t="s">
        <v>248</v>
      </c>
      <c r="E315" s="70"/>
      <c r="F315" s="70"/>
      <c r="G315" s="73">
        <v>4</v>
      </c>
      <c r="H315" s="73"/>
      <c r="I315" s="74"/>
      <c r="J315" s="74"/>
      <c r="K315" s="19"/>
      <c r="L315" s="20"/>
    </row>
    <row r="316" spans="1:12" ht="31.5" hidden="1" outlineLevel="2">
      <c r="A316" s="70"/>
      <c r="B316" s="12" t="str">
        <f>IFERROR(VLOOKUP(D316,'[1]Перечень товаров'!$A$2:$I9525,2,0),"")</f>
        <v>тм20</v>
      </c>
      <c r="C316" s="12" t="str">
        <f>IFERROR(VLOOKUP(D316,'[1]Перечень товаров'!$A$2:$I9525,3,0),"")</f>
        <v>Техника муз</v>
      </c>
      <c r="D316" s="71" t="s">
        <v>249</v>
      </c>
      <c r="E316" s="70"/>
      <c r="F316" s="70"/>
      <c r="G316" s="73">
        <v>1</v>
      </c>
      <c r="H316" s="73"/>
      <c r="I316" s="74"/>
      <c r="J316" s="74"/>
      <c r="K316" s="19"/>
      <c r="L316" s="20"/>
    </row>
    <row r="317" spans="1:12" ht="31.5" hidden="1" outlineLevel="2">
      <c r="A317" s="70"/>
      <c r="B317" s="12" t="str">
        <f>IFERROR(VLOOKUP(D317,'[1]Перечень товаров'!$A$2:$I9525,2,0),"")</f>
        <v>тм21</v>
      </c>
      <c r="C317" s="12" t="str">
        <f>IFERROR(VLOOKUP(D317,'[1]Перечень товаров'!$A$2:$I9525,3,0),"")</f>
        <v>Техника муз</v>
      </c>
      <c r="D317" s="71" t="s">
        <v>250</v>
      </c>
      <c r="E317" s="70"/>
      <c r="F317" s="70"/>
      <c r="G317" s="73">
        <v>1</v>
      </c>
      <c r="H317" s="73"/>
      <c r="I317" s="74"/>
      <c r="J317" s="74"/>
      <c r="K317" s="19"/>
      <c r="L317" s="20"/>
    </row>
    <row r="318" spans="1:12" ht="31.5" hidden="1" outlineLevel="2">
      <c r="A318" s="70"/>
      <c r="B318" s="12" t="str">
        <f>IFERROR(VLOOKUP(D318,'[1]Перечень товаров'!$A$2:$I9525,2,0),"")</f>
        <v>тм22</v>
      </c>
      <c r="C318" s="12" t="str">
        <f>IFERROR(VLOOKUP(D318,'[1]Перечень товаров'!$A$2:$I9525,3,0),"")</f>
        <v>Техника муз</v>
      </c>
      <c r="D318" s="71" t="s">
        <v>251</v>
      </c>
      <c r="E318" s="70"/>
      <c r="F318" s="70"/>
      <c r="G318" s="73">
        <v>6</v>
      </c>
      <c r="H318" s="73"/>
      <c r="I318" s="74"/>
      <c r="J318" s="74"/>
      <c r="K318" s="19"/>
      <c r="L318" s="20"/>
    </row>
    <row r="319" spans="1:12" hidden="1" outlineLevel="2">
      <c r="A319" s="70"/>
      <c r="B319" s="12" t="str">
        <f>IFERROR(VLOOKUP(D319,'[1]Перечень товаров'!$A$2:$I9525,2,0),"")</f>
        <v>тм23</v>
      </c>
      <c r="C319" s="12" t="str">
        <f>IFERROR(VLOOKUP(D319,'[1]Перечень товаров'!$A$2:$I9525,3,0),"")</f>
        <v>Техника муз</v>
      </c>
      <c r="D319" s="71" t="s">
        <v>252</v>
      </c>
      <c r="E319" s="70"/>
      <c r="F319" s="70"/>
      <c r="G319" s="73">
        <v>1</v>
      </c>
      <c r="H319" s="73"/>
      <c r="I319" s="74"/>
      <c r="J319" s="74"/>
      <c r="K319" s="19"/>
      <c r="L319" s="20"/>
    </row>
    <row r="320" spans="1:12" ht="31.5" hidden="1" outlineLevel="2">
      <c r="A320" s="70"/>
      <c r="B320" s="12" t="str">
        <f>IFERROR(VLOOKUP(D320,'[1]Перечень товаров'!$A$2:$I9525,2,0),"")</f>
        <v>т151</v>
      </c>
      <c r="C320" s="12" t="str">
        <f>IFERROR(VLOOKUP(D320,'[1]Перечень товаров'!$A$2:$I9525,3,0),"")</f>
        <v>Техника</v>
      </c>
      <c r="D320" s="71" t="s">
        <v>253</v>
      </c>
      <c r="E320" s="70"/>
      <c r="F320" s="70"/>
      <c r="G320" s="73">
        <v>1</v>
      </c>
      <c r="H320" s="73"/>
      <c r="I320" s="74"/>
      <c r="J320" s="74"/>
      <c r="K320" s="19"/>
      <c r="L320" s="20"/>
    </row>
    <row r="321" spans="1:12" ht="31.5" hidden="1" outlineLevel="2">
      <c r="A321" s="70"/>
      <c r="B321" s="12" t="str">
        <f>IFERROR(VLOOKUP(D321,'[1]Перечень товаров'!$A$2:$I9525,2,0),"")</f>
        <v>т152</v>
      </c>
      <c r="C321" s="12" t="str">
        <f>IFERROR(VLOOKUP(D321,'[1]Перечень товаров'!$A$2:$I9525,3,0),"")</f>
        <v>Техника</v>
      </c>
      <c r="D321" s="71" t="s">
        <v>254</v>
      </c>
      <c r="E321" s="70"/>
      <c r="F321" s="70"/>
      <c r="G321" s="73">
        <v>1</v>
      </c>
      <c r="H321" s="73"/>
      <c r="I321" s="74"/>
      <c r="J321" s="74"/>
      <c r="K321" s="19"/>
      <c r="L321" s="20"/>
    </row>
    <row r="322" spans="1:12" ht="30" hidden="1" outlineLevel="2">
      <c r="A322" s="84"/>
      <c r="B322" s="12" t="str">
        <f>IFERROR(VLOOKUP(D322,'[1]Перечень товаров'!$A$2:$I9525,2,0),"")</f>
        <v/>
      </c>
      <c r="C322" s="12" t="str">
        <f>IFERROR(VLOOKUP(D322,'[1]Перечень товаров'!$A$2:$I9525,3,0),"")</f>
        <v/>
      </c>
      <c r="D322" s="85" t="s">
        <v>255</v>
      </c>
      <c r="E322" s="84"/>
      <c r="F322" s="84"/>
      <c r="G322" s="86"/>
      <c r="H322" s="86"/>
      <c r="I322" s="87"/>
      <c r="J322" s="87"/>
      <c r="K322" s="19"/>
      <c r="L322" s="20"/>
    </row>
    <row r="323" spans="1:12" ht="31.5" hidden="1" outlineLevel="2">
      <c r="A323" s="70"/>
      <c r="B323" s="12" t="str">
        <f>IFERROR(VLOOKUP(D323,'[1]Перечень товаров'!$A$2:$I9525,2,0),"")</f>
        <v>тм24</v>
      </c>
      <c r="C323" s="12" t="str">
        <f>IFERROR(VLOOKUP(D323,'[1]Перечень товаров'!$A$2:$I9525,3,0),"")</f>
        <v>Техника муз</v>
      </c>
      <c r="D323" s="71" t="s">
        <v>256</v>
      </c>
      <c r="E323" s="70"/>
      <c r="F323" s="70"/>
      <c r="G323" s="73">
        <v>1</v>
      </c>
      <c r="H323" s="73"/>
      <c r="I323" s="74"/>
      <c r="J323" s="74"/>
      <c r="K323" s="19"/>
      <c r="L323" s="20"/>
    </row>
    <row r="324" spans="1:12" ht="31.5" hidden="1" outlineLevel="2">
      <c r="A324" s="70"/>
      <c r="B324" s="12" t="str">
        <f>IFERROR(VLOOKUP(D324,'[1]Перечень товаров'!$A$2:$I9525,2,0),"")</f>
        <v>тм25</v>
      </c>
      <c r="C324" s="12" t="str">
        <f>IFERROR(VLOOKUP(D324,'[1]Перечень товаров'!$A$2:$I9525,3,0),"")</f>
        <v>Техника муз</v>
      </c>
      <c r="D324" s="71" t="s">
        <v>257</v>
      </c>
      <c r="E324" s="70"/>
      <c r="F324" s="70"/>
      <c r="G324" s="73">
        <v>2</v>
      </c>
      <c r="H324" s="73"/>
      <c r="I324" s="74"/>
      <c r="J324" s="74"/>
      <c r="K324" s="19"/>
      <c r="L324" s="20"/>
    </row>
    <row r="325" spans="1:12" ht="31.5" hidden="1" outlineLevel="2">
      <c r="A325" s="70"/>
      <c r="B325" s="12" t="str">
        <f>IFERROR(VLOOKUP(D325,'[1]Перечень товаров'!$A$2:$I9525,2,0),"")</f>
        <v>м43</v>
      </c>
      <c r="C325" s="12" t="str">
        <f>IFERROR(VLOOKUP(D325,'[1]Перечень товаров'!$A$2:$I9525,3,0),"")</f>
        <v>Мебель</v>
      </c>
      <c r="D325" s="71" t="s">
        <v>258</v>
      </c>
      <c r="E325" s="70"/>
      <c r="F325" s="70"/>
      <c r="G325" s="73">
        <v>1</v>
      </c>
      <c r="H325" s="73"/>
      <c r="I325" s="74"/>
      <c r="J325" s="74"/>
      <c r="K325" s="19"/>
      <c r="L325" s="20"/>
    </row>
    <row r="326" spans="1:12" hidden="1" outlineLevel="2">
      <c r="A326" s="70"/>
      <c r="B326" s="12" t="str">
        <f>IFERROR(VLOOKUP(D326,'[1]Перечень товаров'!$A$2:$I9525,2,0),"")</f>
        <v>м44</v>
      </c>
      <c r="C326" s="12" t="str">
        <f>IFERROR(VLOOKUP(D326,'[1]Перечень товаров'!$A$2:$I9525,3,0),"")</f>
        <v>Мебель</v>
      </c>
      <c r="D326" s="71" t="s">
        <v>259</v>
      </c>
      <c r="E326" s="70"/>
      <c r="F326" s="70"/>
      <c r="G326" s="73">
        <v>4</v>
      </c>
      <c r="H326" s="73"/>
      <c r="I326" s="74"/>
      <c r="J326" s="74"/>
      <c r="K326" s="19"/>
      <c r="L326" s="20"/>
    </row>
    <row r="327" spans="1:12" ht="31.5" hidden="1" outlineLevel="2">
      <c r="A327" s="70"/>
      <c r="B327" s="12" t="str">
        <f>IFERROR(VLOOKUP(D327,'[1]Перечень товаров'!$A$2:$I9525,2,0),"")</f>
        <v>м45</v>
      </c>
      <c r="C327" s="12" t="str">
        <f>IFERROR(VLOOKUP(D327,'[1]Перечень товаров'!$A$2:$I9525,3,0),"")</f>
        <v>Мебель</v>
      </c>
      <c r="D327" s="71" t="s">
        <v>260</v>
      </c>
      <c r="E327" s="70"/>
      <c r="F327" s="70"/>
      <c r="G327" s="73">
        <v>1</v>
      </c>
      <c r="H327" s="73"/>
      <c r="I327" s="74"/>
      <c r="J327" s="74"/>
      <c r="K327" s="19"/>
      <c r="L327" s="20"/>
    </row>
    <row r="328" spans="1:12" hidden="1" outlineLevel="2">
      <c r="A328" s="70"/>
      <c r="B328" s="12" t="str">
        <f>IFERROR(VLOOKUP(D328,'[1]Перечень товаров'!$A$2:$I9525,2,0),"")</f>
        <v>тм26</v>
      </c>
      <c r="C328" s="12" t="str">
        <f>IFERROR(VLOOKUP(D328,'[1]Перечень товаров'!$A$2:$I9525,3,0),"")</f>
        <v>Техника муз</v>
      </c>
      <c r="D328" s="71" t="s">
        <v>261</v>
      </c>
      <c r="E328" s="70"/>
      <c r="F328" s="70"/>
      <c r="G328" s="73" t="s">
        <v>262</v>
      </c>
      <c r="H328" s="73"/>
      <c r="I328" s="74"/>
      <c r="J328" s="74"/>
      <c r="K328" s="19"/>
      <c r="L328" s="20"/>
    </row>
    <row r="329" spans="1:12" ht="31.5" hidden="1" outlineLevel="2">
      <c r="A329" s="70"/>
      <c r="B329" s="12" t="str">
        <f>IFERROR(VLOOKUP(D329,'[1]Перечень товаров'!$A$2:$I9525,2,0),"")</f>
        <v>т152</v>
      </c>
      <c r="C329" s="12" t="str">
        <f>IFERROR(VLOOKUP(D329,'[1]Перечень товаров'!$A$2:$I9525,3,0),"")</f>
        <v>Техника</v>
      </c>
      <c r="D329" s="71" t="s">
        <v>263</v>
      </c>
      <c r="E329" s="70"/>
      <c r="F329" s="70"/>
      <c r="G329" s="73" t="s">
        <v>262</v>
      </c>
      <c r="H329" s="73"/>
      <c r="I329" s="74"/>
      <c r="J329" s="74"/>
      <c r="K329" s="19"/>
      <c r="L329" s="20"/>
    </row>
    <row r="330" spans="1:12" ht="15" hidden="1" outlineLevel="2">
      <c r="A330" s="84"/>
      <c r="B330" s="12" t="str">
        <f>IFERROR(VLOOKUP(D330,'[1]Перечень товаров'!$A$2:$I9525,2,0),"")</f>
        <v/>
      </c>
      <c r="C330" s="12" t="str">
        <f>IFERROR(VLOOKUP(D330,'[1]Перечень товаров'!$A$2:$I9525,3,0),"")</f>
        <v/>
      </c>
      <c r="D330" s="85" t="s">
        <v>264</v>
      </c>
      <c r="E330" s="84"/>
      <c r="F330" s="84"/>
      <c r="G330" s="86"/>
      <c r="H330" s="86"/>
      <c r="I330" s="87"/>
      <c r="J330" s="87"/>
      <c r="K330" s="19"/>
      <c r="L330" s="20"/>
    </row>
    <row r="331" spans="1:12" ht="31.5" hidden="1" outlineLevel="2">
      <c r="A331" s="70"/>
      <c r="B331" s="12" t="str">
        <f>IFERROR(VLOOKUP(D331,'[1]Перечень товаров'!$A$2:$I9525,2,0),"")</f>
        <v>тм27</v>
      </c>
      <c r="C331" s="12" t="str">
        <f>IFERROR(VLOOKUP(D331,'[1]Перечень товаров'!$A$2:$I9525,3,0),"")</f>
        <v>Техника муз</v>
      </c>
      <c r="D331" s="71" t="s">
        <v>265</v>
      </c>
      <c r="E331" s="70"/>
      <c r="F331" s="70"/>
      <c r="G331" s="73">
        <v>1</v>
      </c>
      <c r="H331" s="73"/>
      <c r="I331" s="74"/>
      <c r="J331" s="74"/>
      <c r="K331" s="19"/>
      <c r="L331" s="20"/>
    </row>
    <row r="332" spans="1:12" ht="31.5" hidden="1" outlineLevel="2">
      <c r="A332" s="70"/>
      <c r="B332" s="12" t="str">
        <f>IFERROR(VLOOKUP(D332,'[1]Перечень товаров'!$A$2:$I9525,2,0),"")</f>
        <v>тм28</v>
      </c>
      <c r="C332" s="12" t="str">
        <f>IFERROR(VLOOKUP(D332,'[1]Перечень товаров'!$A$2:$I9525,3,0),"")</f>
        <v>Техника муз</v>
      </c>
      <c r="D332" s="71" t="s">
        <v>266</v>
      </c>
      <c r="E332" s="70"/>
      <c r="F332" s="70"/>
      <c r="G332" s="73">
        <v>2</v>
      </c>
      <c r="H332" s="73"/>
      <c r="I332" s="74"/>
      <c r="J332" s="74"/>
      <c r="K332" s="19"/>
      <c r="L332" s="20"/>
    </row>
    <row r="333" spans="1:12" ht="31.5" hidden="1" outlineLevel="2">
      <c r="A333" s="70"/>
      <c r="B333" s="12" t="str">
        <f>IFERROR(VLOOKUP(D333,'[1]Перечень товаров'!$A$2:$I9525,2,0),"")</f>
        <v>тм29</v>
      </c>
      <c r="C333" s="12" t="str">
        <f>IFERROR(VLOOKUP(D333,'[1]Перечень товаров'!$A$2:$I9525,3,0),"")</f>
        <v>Техника муз</v>
      </c>
      <c r="D333" s="71" t="s">
        <v>267</v>
      </c>
      <c r="E333" s="70"/>
      <c r="F333" s="70"/>
      <c r="G333" s="73">
        <v>2</v>
      </c>
      <c r="H333" s="73"/>
      <c r="I333" s="74"/>
      <c r="J333" s="74"/>
      <c r="K333" s="19"/>
      <c r="L333" s="20"/>
    </row>
    <row r="334" spans="1:12" ht="31.5" hidden="1" outlineLevel="2">
      <c r="A334" s="70"/>
      <c r="B334" s="12" t="str">
        <f>IFERROR(VLOOKUP(D334,'[1]Перечень товаров'!$A$2:$I9525,2,0),"")</f>
        <v>тм30</v>
      </c>
      <c r="C334" s="12" t="str">
        <f>IFERROR(VLOOKUP(D334,'[1]Перечень товаров'!$A$2:$I9525,3,0),"")</f>
        <v>Техника муз</v>
      </c>
      <c r="D334" s="71" t="s">
        <v>268</v>
      </c>
      <c r="E334" s="70"/>
      <c r="F334" s="70"/>
      <c r="G334" s="73">
        <v>4</v>
      </c>
      <c r="H334" s="73"/>
      <c r="I334" s="74"/>
      <c r="J334" s="74"/>
      <c r="K334" s="19"/>
      <c r="L334" s="20"/>
    </row>
    <row r="335" spans="1:12" ht="47.25" hidden="1" outlineLevel="2">
      <c r="A335" s="70"/>
      <c r="B335" s="12" t="str">
        <f>IFERROR(VLOOKUP(D335,'[1]Перечень товаров'!$A$2:$I9525,2,0),"")</f>
        <v>тм31</v>
      </c>
      <c r="C335" s="12" t="str">
        <f>IFERROR(VLOOKUP(D335,'[1]Перечень товаров'!$A$2:$I9525,3,0),"")</f>
        <v>Техника муз</v>
      </c>
      <c r="D335" s="71" t="s">
        <v>269</v>
      </c>
      <c r="E335" s="70"/>
      <c r="F335" s="70"/>
      <c r="G335" s="73">
        <v>1</v>
      </c>
      <c r="H335" s="73"/>
      <c r="I335" s="74"/>
      <c r="J335" s="74"/>
      <c r="K335" s="19"/>
      <c r="L335" s="20"/>
    </row>
    <row r="336" spans="1:12" ht="31.5" hidden="1" outlineLevel="2">
      <c r="A336" s="70"/>
      <c r="B336" s="12" t="str">
        <f>IFERROR(VLOOKUP(D336,'[1]Перечень товаров'!$A$2:$I9525,2,0),"")</f>
        <v>тм32</v>
      </c>
      <c r="C336" s="12" t="str">
        <f>IFERROR(VLOOKUP(D336,'[1]Перечень товаров'!$A$2:$I9525,3,0),"")</f>
        <v>Техника муз</v>
      </c>
      <c r="D336" s="71" t="s">
        <v>270</v>
      </c>
      <c r="E336" s="70"/>
      <c r="F336" s="70"/>
      <c r="G336" s="73">
        <v>1</v>
      </c>
      <c r="H336" s="73"/>
      <c r="I336" s="74"/>
      <c r="J336" s="74"/>
      <c r="K336" s="19"/>
      <c r="L336" s="20"/>
    </row>
    <row r="337" spans="1:12" ht="31.5" hidden="1" outlineLevel="2">
      <c r="A337" s="70"/>
      <c r="B337" s="12" t="str">
        <f>IFERROR(VLOOKUP(D337,'[1]Перечень товаров'!$A$2:$I9525,2,0),"")</f>
        <v>тм33</v>
      </c>
      <c r="C337" s="12" t="str">
        <f>IFERROR(VLOOKUP(D337,'[1]Перечень товаров'!$A$2:$I9525,3,0),"")</f>
        <v>Техника муз</v>
      </c>
      <c r="D337" s="71" t="s">
        <v>271</v>
      </c>
      <c r="E337" s="70"/>
      <c r="F337" s="70"/>
      <c r="G337" s="73">
        <v>1</v>
      </c>
      <c r="H337" s="73"/>
      <c r="I337" s="74"/>
      <c r="J337" s="74"/>
      <c r="K337" s="19"/>
      <c r="L337" s="20"/>
    </row>
    <row r="338" spans="1:12" hidden="1" outlineLevel="2">
      <c r="A338" s="70"/>
      <c r="B338" s="12" t="str">
        <f>IFERROR(VLOOKUP(D338,'[1]Перечень товаров'!$A$2:$I9525,2,0),"")</f>
        <v>тм34</v>
      </c>
      <c r="C338" s="12" t="str">
        <f>IFERROR(VLOOKUP(D338,'[1]Перечень товаров'!$A$2:$I9525,3,0),"")</f>
        <v>Техника муз</v>
      </c>
      <c r="D338" s="71" t="s">
        <v>272</v>
      </c>
      <c r="E338" s="70"/>
      <c r="F338" s="70"/>
      <c r="G338" s="73">
        <v>1</v>
      </c>
      <c r="H338" s="73"/>
      <c r="I338" s="74"/>
      <c r="J338" s="74"/>
      <c r="K338" s="19"/>
      <c r="L338" s="20"/>
    </row>
    <row r="339" spans="1:12" ht="31.5" hidden="1" outlineLevel="2">
      <c r="A339" s="70"/>
      <c r="B339" s="12" t="str">
        <f>IFERROR(VLOOKUP(D339,'[1]Перечень товаров'!$A$2:$I9525,2,0),"")</f>
        <v>тм35</v>
      </c>
      <c r="C339" s="12" t="str">
        <f>IFERROR(VLOOKUP(D339,'[1]Перечень товаров'!$A$2:$I9525,3,0),"")</f>
        <v>Техника муз</v>
      </c>
      <c r="D339" s="71" t="s">
        <v>273</v>
      </c>
      <c r="E339" s="70"/>
      <c r="F339" s="70"/>
      <c r="G339" s="73">
        <v>1</v>
      </c>
      <c r="H339" s="73"/>
      <c r="I339" s="74"/>
      <c r="J339" s="74"/>
      <c r="K339" s="19"/>
      <c r="L339" s="20"/>
    </row>
    <row r="340" spans="1:12" ht="15" hidden="1" outlineLevel="2">
      <c r="A340" s="84"/>
      <c r="B340" s="12" t="str">
        <f>IFERROR(VLOOKUP(D340,'[1]Перечень товаров'!$A$2:$I9525,2,0),"")</f>
        <v/>
      </c>
      <c r="C340" s="12" t="str">
        <f>IFERROR(VLOOKUP(D340,'[1]Перечень товаров'!$A$2:$I9525,3,0),"")</f>
        <v/>
      </c>
      <c r="D340" s="85" t="s">
        <v>274</v>
      </c>
      <c r="E340" s="84"/>
      <c r="F340" s="84"/>
      <c r="G340" s="86"/>
      <c r="H340" s="86"/>
      <c r="I340" s="87"/>
      <c r="J340" s="87"/>
      <c r="K340" s="19"/>
      <c r="L340" s="20"/>
    </row>
    <row r="341" spans="1:12" ht="47.25" hidden="1" outlineLevel="2">
      <c r="A341" s="70"/>
      <c r="B341" s="12" t="str">
        <f>IFERROR(VLOOKUP(D341,'[1]Перечень товаров'!$A$2:$I9525,2,0),"")</f>
        <v>тм36</v>
      </c>
      <c r="C341" s="12" t="str">
        <f>IFERROR(VLOOKUP(D341,'[1]Перечень товаров'!$A$2:$I9525,3,0),"")</f>
        <v>Техника муз</v>
      </c>
      <c r="D341" s="71" t="s">
        <v>275</v>
      </c>
      <c r="E341" s="70"/>
      <c r="F341" s="70"/>
      <c r="G341" s="73">
        <v>6</v>
      </c>
      <c r="H341" s="73"/>
      <c r="I341" s="74"/>
      <c r="J341" s="74"/>
      <c r="K341" s="19"/>
      <c r="L341" s="20"/>
    </row>
    <row r="342" spans="1:12" ht="47.25" hidden="1" outlineLevel="2">
      <c r="A342" s="70"/>
      <c r="B342" s="12" t="str">
        <f>IFERROR(VLOOKUP(D342,'[1]Перечень товаров'!$A$2:$I9525,2,0),"")</f>
        <v>тм37</v>
      </c>
      <c r="C342" s="12" t="str">
        <f>IFERROR(VLOOKUP(D342,'[1]Перечень товаров'!$A$2:$I9525,3,0),"")</f>
        <v>Техника муз</v>
      </c>
      <c r="D342" s="71" t="s">
        <v>276</v>
      </c>
      <c r="E342" s="70"/>
      <c r="F342" s="70"/>
      <c r="G342" s="73">
        <v>6</v>
      </c>
      <c r="H342" s="73"/>
      <c r="I342" s="74"/>
      <c r="J342" s="74"/>
      <c r="K342" s="19"/>
      <c r="L342" s="20"/>
    </row>
    <row r="343" spans="1:12" ht="31.5" hidden="1" outlineLevel="2">
      <c r="A343" s="70"/>
      <c r="B343" s="12" t="str">
        <f>IFERROR(VLOOKUP(D343,'[1]Перечень товаров'!$A$2:$I9525,2,0),"")</f>
        <v>тм38</v>
      </c>
      <c r="C343" s="12" t="str">
        <f>IFERROR(VLOOKUP(D343,'[1]Перечень товаров'!$A$2:$I9525,3,0),"")</f>
        <v>Техника муз</v>
      </c>
      <c r="D343" s="71" t="s">
        <v>277</v>
      </c>
      <c r="E343" s="70"/>
      <c r="F343" s="70"/>
      <c r="G343" s="73">
        <v>2</v>
      </c>
      <c r="H343" s="73"/>
      <c r="I343" s="74"/>
      <c r="J343" s="74"/>
      <c r="K343" s="19"/>
      <c r="L343" s="20"/>
    </row>
    <row r="344" spans="1:12" ht="31.5" hidden="1" outlineLevel="2">
      <c r="A344" s="70"/>
      <c r="B344" s="12" t="str">
        <f>IFERROR(VLOOKUP(D344,'[1]Перечень товаров'!$A$2:$I9525,2,0),"")</f>
        <v>т153</v>
      </c>
      <c r="C344" s="12" t="str">
        <f>IFERROR(VLOOKUP(D344,'[1]Перечень товаров'!$A$2:$I9525,3,0),"")</f>
        <v>Техника</v>
      </c>
      <c r="D344" s="71" t="s">
        <v>278</v>
      </c>
      <c r="E344" s="70"/>
      <c r="F344" s="70"/>
      <c r="G344" s="73">
        <v>1</v>
      </c>
      <c r="H344" s="73"/>
      <c r="I344" s="74"/>
      <c r="J344" s="74"/>
      <c r="K344" s="19"/>
      <c r="L344" s="20"/>
    </row>
    <row r="345" spans="1:12" ht="31.5" hidden="1" outlineLevel="2">
      <c r="A345" s="70"/>
      <c r="B345" s="12" t="str">
        <f>IFERROR(VLOOKUP(D345,'[1]Перечень товаров'!$A$2:$I9525,2,0),"")</f>
        <v>тм39</v>
      </c>
      <c r="C345" s="12" t="str">
        <f>IFERROR(VLOOKUP(D345,'[1]Перечень товаров'!$A$2:$I9525,3,0),"")</f>
        <v>Техника муз</v>
      </c>
      <c r="D345" s="71" t="s">
        <v>279</v>
      </c>
      <c r="E345" s="70"/>
      <c r="F345" s="70"/>
      <c r="G345" s="73">
        <v>2</v>
      </c>
      <c r="H345" s="73"/>
      <c r="I345" s="74"/>
      <c r="J345" s="74"/>
      <c r="K345" s="19"/>
      <c r="L345" s="20"/>
    </row>
    <row r="346" spans="1:12" ht="31.5" hidden="1" outlineLevel="2">
      <c r="A346" s="70"/>
      <c r="B346" s="12" t="str">
        <f>IFERROR(VLOOKUP(D346,'[1]Перечень товаров'!$A$2:$I9525,2,0),"")</f>
        <v>тм40</v>
      </c>
      <c r="C346" s="12" t="str">
        <f>IFERROR(VLOOKUP(D346,'[1]Перечень товаров'!$A$2:$I9525,3,0),"")</f>
        <v>Техника муз</v>
      </c>
      <c r="D346" s="71" t="s">
        <v>280</v>
      </c>
      <c r="E346" s="70"/>
      <c r="F346" s="70"/>
      <c r="G346" s="73">
        <v>2</v>
      </c>
      <c r="H346" s="73"/>
      <c r="I346" s="74"/>
      <c r="J346" s="74"/>
      <c r="K346" s="19"/>
      <c r="L346" s="20"/>
    </row>
    <row r="347" spans="1:12" ht="31.5" hidden="1" outlineLevel="2">
      <c r="A347" s="70"/>
      <c r="B347" s="12" t="str">
        <f>IFERROR(VLOOKUP(D347,'[1]Перечень товаров'!$A$2:$I9525,2,0),"")</f>
        <v>тм41</v>
      </c>
      <c r="C347" s="12" t="str">
        <f>IFERROR(VLOOKUP(D347,'[1]Перечень товаров'!$A$2:$I9525,3,0),"")</f>
        <v>Техника муз</v>
      </c>
      <c r="D347" s="71" t="s">
        <v>281</v>
      </c>
      <c r="E347" s="70"/>
      <c r="F347" s="70"/>
      <c r="G347" s="73">
        <v>2</v>
      </c>
      <c r="H347" s="73"/>
      <c r="I347" s="74"/>
      <c r="J347" s="74"/>
      <c r="K347" s="19"/>
      <c r="L347" s="20"/>
    </row>
    <row r="348" spans="1:12" ht="30" hidden="1" outlineLevel="2">
      <c r="A348" s="84"/>
      <c r="B348" s="12" t="str">
        <f>IFERROR(VLOOKUP(D348,'[1]Перечень товаров'!$A$2:$I9525,2,0),"")</f>
        <v/>
      </c>
      <c r="C348" s="12" t="str">
        <f>IFERROR(VLOOKUP(D348,'[1]Перечень товаров'!$A$2:$I9525,3,0),"")</f>
        <v/>
      </c>
      <c r="D348" s="85" t="s">
        <v>282</v>
      </c>
      <c r="E348" s="84"/>
      <c r="F348" s="84"/>
      <c r="G348" s="86"/>
      <c r="H348" s="86"/>
      <c r="I348" s="87"/>
      <c r="J348" s="87"/>
      <c r="K348" s="19"/>
      <c r="L348" s="20"/>
    </row>
    <row r="349" spans="1:12" ht="31.5" hidden="1" outlineLevel="2">
      <c r="A349" s="70"/>
      <c r="B349" s="12" t="str">
        <f>IFERROR(VLOOKUP(D349,'[1]Перечень товаров'!$A$2:$I9525,2,0),"")</f>
        <v>тм42</v>
      </c>
      <c r="C349" s="12" t="str">
        <f>IFERROR(VLOOKUP(D349,'[1]Перечень товаров'!$A$2:$I9525,3,0),"")</f>
        <v>Техника муз</v>
      </c>
      <c r="D349" s="71" t="s">
        <v>283</v>
      </c>
      <c r="E349" s="70"/>
      <c r="F349" s="70"/>
      <c r="G349" s="73">
        <v>8</v>
      </c>
      <c r="H349" s="73"/>
      <c r="I349" s="74"/>
      <c r="J349" s="74"/>
      <c r="K349" s="19"/>
      <c r="L349" s="20"/>
    </row>
    <row r="350" spans="1:12" ht="31.5" hidden="1" outlineLevel="2">
      <c r="A350" s="70"/>
      <c r="B350" s="12" t="str">
        <f>IFERROR(VLOOKUP(D350,'[1]Перечень товаров'!$A$2:$I9525,2,0),"")</f>
        <v>тм43</v>
      </c>
      <c r="C350" s="12" t="str">
        <f>IFERROR(VLOOKUP(D350,'[1]Перечень товаров'!$A$2:$I9525,3,0),"")</f>
        <v>Техника муз</v>
      </c>
      <c r="D350" s="71" t="s">
        <v>284</v>
      </c>
      <c r="E350" s="70"/>
      <c r="F350" s="70"/>
      <c r="G350" s="73">
        <v>6</v>
      </c>
      <c r="H350" s="73"/>
      <c r="I350" s="74"/>
      <c r="J350" s="74"/>
      <c r="K350" s="19"/>
      <c r="L350" s="20"/>
    </row>
    <row r="351" spans="1:12" ht="31.5" hidden="1" outlineLevel="2">
      <c r="A351" s="70"/>
      <c r="B351" s="12" t="str">
        <f>IFERROR(VLOOKUP(D351,'[1]Перечень товаров'!$A$2:$I9525,2,0),"")</f>
        <v>тм44</v>
      </c>
      <c r="C351" s="12" t="str">
        <f>IFERROR(VLOOKUP(D351,'[1]Перечень товаров'!$A$2:$I9525,3,0),"")</f>
        <v>Техника муз</v>
      </c>
      <c r="D351" s="71" t="s">
        <v>285</v>
      </c>
      <c r="E351" s="70"/>
      <c r="F351" s="70"/>
      <c r="G351" s="73">
        <v>4</v>
      </c>
      <c r="H351" s="73"/>
      <c r="I351" s="74"/>
      <c r="J351" s="74"/>
      <c r="K351" s="19"/>
      <c r="L351" s="20"/>
    </row>
    <row r="352" spans="1:12" ht="31.5" hidden="1" outlineLevel="2">
      <c r="A352" s="70"/>
      <c r="B352" s="12" t="str">
        <f>IFERROR(VLOOKUP(D352,'[1]Перечень товаров'!$A$2:$I9525,2,0),"")</f>
        <v>тм45</v>
      </c>
      <c r="C352" s="12" t="str">
        <f>IFERROR(VLOOKUP(D352,'[1]Перечень товаров'!$A$2:$I9525,3,0),"")</f>
        <v>Техника муз</v>
      </c>
      <c r="D352" s="71" t="s">
        <v>286</v>
      </c>
      <c r="E352" s="70"/>
      <c r="F352" s="70"/>
      <c r="G352" s="73">
        <v>6</v>
      </c>
      <c r="H352" s="73"/>
      <c r="I352" s="74"/>
      <c r="J352" s="74"/>
      <c r="K352" s="19"/>
      <c r="L352" s="20"/>
    </row>
    <row r="353" spans="1:12" hidden="1" outlineLevel="2">
      <c r="A353" s="70"/>
      <c r="B353" s="12" t="str">
        <f>IFERROR(VLOOKUP(D353,'[1]Перечень товаров'!$A$2:$I9525,2,0),"")</f>
        <v>тм46</v>
      </c>
      <c r="C353" s="12" t="str">
        <f>IFERROR(VLOOKUP(D353,'[1]Перечень товаров'!$A$2:$I9525,3,0),"")</f>
        <v>Техника муз</v>
      </c>
      <c r="D353" s="71" t="s">
        <v>287</v>
      </c>
      <c r="E353" s="70"/>
      <c r="F353" s="70"/>
      <c r="G353" s="73" t="s">
        <v>288</v>
      </c>
      <c r="H353" s="73"/>
      <c r="I353" s="74"/>
      <c r="J353" s="74"/>
      <c r="K353" s="19"/>
      <c r="L353" s="20"/>
    </row>
    <row r="354" spans="1:12" ht="31.5" hidden="1" outlineLevel="2">
      <c r="A354" s="70"/>
      <c r="B354" s="12" t="str">
        <f>IFERROR(VLOOKUP(D354,'[1]Перечень товаров'!$A$2:$I9525,2,0),"")</f>
        <v>тм47</v>
      </c>
      <c r="C354" s="12" t="str">
        <f>IFERROR(VLOOKUP(D354,'[1]Перечень товаров'!$A$2:$I9525,3,0),"")</f>
        <v>Техника муз</v>
      </c>
      <c r="D354" s="71" t="s">
        <v>289</v>
      </c>
      <c r="E354" s="70"/>
      <c r="F354" s="70"/>
      <c r="G354" s="73" t="s">
        <v>290</v>
      </c>
      <c r="H354" s="73"/>
      <c r="I354" s="74"/>
      <c r="J354" s="74"/>
      <c r="K354" s="19"/>
      <c r="L354" s="20"/>
    </row>
    <row r="355" spans="1:12" ht="31.5" hidden="1" outlineLevel="2">
      <c r="A355" s="70"/>
      <c r="B355" s="12" t="str">
        <f>IFERROR(VLOOKUP(D355,'[1]Перечень товаров'!$A$2:$I9525,2,0),"")</f>
        <v>тм48</v>
      </c>
      <c r="C355" s="12" t="str">
        <f>IFERROR(VLOOKUP(D355,'[1]Перечень товаров'!$A$2:$I9525,3,0),"")</f>
        <v>Техника муз</v>
      </c>
      <c r="D355" s="71" t="s">
        <v>291</v>
      </c>
      <c r="E355" s="70"/>
      <c r="F355" s="70"/>
      <c r="G355" s="73">
        <v>1</v>
      </c>
      <c r="H355" s="73"/>
      <c r="I355" s="74"/>
      <c r="J355" s="74"/>
      <c r="K355" s="19"/>
      <c r="L355" s="20"/>
    </row>
    <row r="356" spans="1:12" ht="30" hidden="1" outlineLevel="2">
      <c r="A356" s="84"/>
      <c r="B356" s="12" t="str">
        <f>IFERROR(VLOOKUP(D356,'[1]Перечень товаров'!$A$2:$I9525,2,0),"")</f>
        <v/>
      </c>
      <c r="C356" s="12" t="str">
        <f>IFERROR(VLOOKUP(D356,'[1]Перечень товаров'!$A$2:$I9525,3,0),"")</f>
        <v/>
      </c>
      <c r="D356" s="85" t="s">
        <v>292</v>
      </c>
      <c r="E356" s="84"/>
      <c r="F356" s="84"/>
      <c r="G356" s="86"/>
      <c r="H356" s="86"/>
      <c r="I356" s="87"/>
      <c r="J356" s="87"/>
      <c r="K356" s="19"/>
      <c r="L356" s="20"/>
    </row>
    <row r="357" spans="1:12" hidden="1" outlineLevel="2">
      <c r="A357" s="70"/>
      <c r="B357" s="12" t="str">
        <f>IFERROR(VLOOKUP(D357,'[1]Перечень товаров'!$A$2:$I9525,2,0),"")</f>
        <v>т154</v>
      </c>
      <c r="C357" s="12" t="str">
        <f>IFERROR(VLOOKUP(D357,'[1]Перечень товаров'!$A$2:$I9525,3,0),"")</f>
        <v>Техника</v>
      </c>
      <c r="D357" s="71" t="s">
        <v>293</v>
      </c>
      <c r="E357" s="70"/>
      <c r="F357" s="70"/>
      <c r="G357" s="73">
        <v>1</v>
      </c>
      <c r="H357" s="73"/>
      <c r="I357" s="74"/>
      <c r="J357" s="74"/>
      <c r="K357" s="19"/>
      <c r="L357" s="20"/>
    </row>
    <row r="358" spans="1:12" ht="31.5" hidden="1" outlineLevel="2">
      <c r="A358" s="70"/>
      <c r="B358" s="12" t="str">
        <f>IFERROR(VLOOKUP(D358,'[1]Перечень товаров'!$A$2:$I9525,2,0),"")</f>
        <v>т155</v>
      </c>
      <c r="C358" s="12" t="str">
        <f>IFERROR(VLOOKUP(D358,'[1]Перечень товаров'!$A$2:$I9525,3,0),"")</f>
        <v>Техника</v>
      </c>
      <c r="D358" s="71" t="s">
        <v>294</v>
      </c>
      <c r="E358" s="70"/>
      <c r="F358" s="70"/>
      <c r="G358" s="73">
        <v>1</v>
      </c>
      <c r="H358" s="73"/>
      <c r="I358" s="74"/>
      <c r="J358" s="74"/>
      <c r="K358" s="19"/>
      <c r="L358" s="20"/>
    </row>
    <row r="359" spans="1:12" ht="31.5" hidden="1" outlineLevel="2">
      <c r="A359" s="70"/>
      <c r="B359" s="12" t="str">
        <f>IFERROR(VLOOKUP(D359,'[1]Перечень товаров'!$A$2:$I9525,2,0),"")</f>
        <v>т156</v>
      </c>
      <c r="C359" s="12" t="str">
        <f>IFERROR(VLOOKUP(D359,'[1]Перечень товаров'!$A$2:$I9525,3,0),"")</f>
        <v>Техника</v>
      </c>
      <c r="D359" s="71" t="s">
        <v>295</v>
      </c>
      <c r="E359" s="70"/>
      <c r="F359" s="70"/>
      <c r="G359" s="73">
        <v>1</v>
      </c>
      <c r="H359" s="73"/>
      <c r="I359" s="74"/>
      <c r="J359" s="74"/>
      <c r="K359" s="19"/>
      <c r="L359" s="20"/>
    </row>
    <row r="360" spans="1:12" hidden="1" outlineLevel="2">
      <c r="A360" s="70"/>
      <c r="B360" s="12" t="str">
        <f>IFERROR(VLOOKUP(D360,'[1]Перечень товаров'!$A$2:$I9525,2,0),"")</f>
        <v>т157</v>
      </c>
      <c r="C360" s="12" t="str">
        <f>IFERROR(VLOOKUP(D360,'[1]Перечень товаров'!$A$2:$I9525,3,0),"")</f>
        <v>Техника</v>
      </c>
      <c r="D360" s="71" t="s">
        <v>296</v>
      </c>
      <c r="E360" s="70"/>
      <c r="F360" s="70"/>
      <c r="G360" s="73">
        <v>1</v>
      </c>
      <c r="H360" s="73"/>
      <c r="I360" s="74"/>
      <c r="J360" s="74"/>
      <c r="K360" s="19"/>
      <c r="L360" s="20"/>
    </row>
    <row r="361" spans="1:12" hidden="1" outlineLevel="2">
      <c r="A361" s="70"/>
      <c r="B361" s="12" t="str">
        <f>IFERROR(VLOOKUP(D361,'[1]Перечень товаров'!$A$2:$I9525,2,0),"")</f>
        <v>т14</v>
      </c>
      <c r="C361" s="12" t="str">
        <f>IFERROR(VLOOKUP(D361,'[1]Перечень товаров'!$A$2:$I9525,3,0),"")</f>
        <v>Техника</v>
      </c>
      <c r="D361" s="22" t="s">
        <v>61</v>
      </c>
      <c r="E361" s="70"/>
      <c r="F361" s="70"/>
      <c r="G361" s="73">
        <v>1</v>
      </c>
      <c r="H361" s="73"/>
      <c r="I361" s="74"/>
      <c r="J361" s="74"/>
      <c r="K361" s="19"/>
      <c r="L361" s="20"/>
    </row>
    <row r="362" spans="1:12" ht="31.5" hidden="1" outlineLevel="2">
      <c r="A362" s="70"/>
      <c r="B362" s="12" t="str">
        <f>IFERROR(VLOOKUP(D362,'[1]Перечень товаров'!$A$2:$I9525,2,0),"")</f>
        <v>т159</v>
      </c>
      <c r="C362" s="12" t="str">
        <f>IFERROR(VLOOKUP(D362,'[1]Перечень товаров'!$A$2:$I9525,3,0),"")</f>
        <v>Техника</v>
      </c>
      <c r="D362" s="71" t="s">
        <v>297</v>
      </c>
      <c r="E362" s="70"/>
      <c r="F362" s="70"/>
      <c r="G362" s="73">
        <v>1</v>
      </c>
      <c r="H362" s="73"/>
      <c r="I362" s="74"/>
      <c r="J362" s="74"/>
      <c r="K362" s="19"/>
      <c r="L362" s="20"/>
    </row>
    <row r="363" spans="1:12" ht="31.5" hidden="1" outlineLevel="2">
      <c r="A363" s="70"/>
      <c r="B363" s="12" t="str">
        <f>IFERROR(VLOOKUP(D363,'[1]Перечень товаров'!$A$2:$I9525,2,0),"")</f>
        <v>т160</v>
      </c>
      <c r="C363" s="12" t="str">
        <f>IFERROR(VLOOKUP(D363,'[1]Перечень товаров'!$A$2:$I9525,3,0),"")</f>
        <v>Техника</v>
      </c>
      <c r="D363" s="71" t="s">
        <v>298</v>
      </c>
      <c r="E363" s="70"/>
      <c r="F363" s="70"/>
      <c r="G363" s="73">
        <v>2</v>
      </c>
      <c r="H363" s="73"/>
      <c r="I363" s="74"/>
      <c r="J363" s="74"/>
      <c r="K363" s="19"/>
      <c r="L363" s="20"/>
    </row>
    <row r="364" spans="1:12" ht="30" hidden="1" outlineLevel="2">
      <c r="A364" s="84"/>
      <c r="B364" s="12" t="str">
        <f>IFERROR(VLOOKUP(D364,'[1]Перечень товаров'!$A$2:$I9525,2,0),"")</f>
        <v/>
      </c>
      <c r="C364" s="12" t="str">
        <f>IFERROR(VLOOKUP(D364,'[1]Перечень товаров'!$A$2:$I9525,3,0),"")</f>
        <v/>
      </c>
      <c r="D364" s="85" t="s">
        <v>299</v>
      </c>
      <c r="E364" s="84"/>
      <c r="F364" s="84"/>
      <c r="G364" s="86"/>
      <c r="H364" s="86"/>
      <c r="I364" s="87"/>
      <c r="J364" s="87"/>
      <c r="K364" s="19"/>
      <c r="L364" s="20"/>
    </row>
    <row r="365" spans="1:12" hidden="1" outlineLevel="2">
      <c r="A365" s="70"/>
      <c r="B365" s="12" t="str">
        <f>IFERROR(VLOOKUP(D365,'[1]Перечень товаров'!$A$2:$I9525,2,0),"")</f>
        <v>м46</v>
      </c>
      <c r="C365" s="12" t="str">
        <f>IFERROR(VLOOKUP(D365,'[1]Перечень товаров'!$A$2:$I9525,3,0),"")</f>
        <v>Мебель</v>
      </c>
      <c r="D365" s="71" t="s">
        <v>300</v>
      </c>
      <c r="E365" s="70"/>
      <c r="F365" s="70"/>
      <c r="G365" s="73">
        <v>1</v>
      </c>
      <c r="H365" s="73"/>
      <c r="I365" s="74"/>
      <c r="J365" s="74"/>
      <c r="K365" s="19"/>
      <c r="L365" s="20"/>
    </row>
    <row r="366" spans="1:12" hidden="1" outlineLevel="2">
      <c r="A366" s="70"/>
      <c r="B366" s="12" t="str">
        <f>IFERROR(VLOOKUP(D366,'[1]Перечень товаров'!$A$2:$I9525,2,0),"")</f>
        <v>м47</v>
      </c>
      <c r="C366" s="12" t="str">
        <f>IFERROR(VLOOKUP(D366,'[1]Перечень товаров'!$A$2:$I9525,3,0),"")</f>
        <v>Мебель</v>
      </c>
      <c r="D366" s="71" t="s">
        <v>301</v>
      </c>
      <c r="E366" s="70"/>
      <c r="F366" s="70"/>
      <c r="G366" s="73">
        <v>5</v>
      </c>
      <c r="H366" s="73"/>
      <c r="I366" s="74"/>
      <c r="J366" s="74"/>
      <c r="K366" s="19"/>
      <c r="L366" s="20"/>
    </row>
    <row r="367" spans="1:12" ht="31.5" hidden="1" outlineLevel="2">
      <c r="A367" s="70"/>
      <c r="B367" s="12" t="str">
        <f>IFERROR(VLOOKUP(D367,'[1]Перечень товаров'!$A$2:$I9525,2,0),"")</f>
        <v>м48</v>
      </c>
      <c r="C367" s="12" t="str">
        <f>IFERROR(VLOOKUP(D367,'[1]Перечень товаров'!$A$2:$I9525,3,0),"")</f>
        <v>Мебель</v>
      </c>
      <c r="D367" s="71" t="s">
        <v>302</v>
      </c>
      <c r="E367" s="70"/>
      <c r="F367" s="70"/>
      <c r="G367" s="73">
        <v>1</v>
      </c>
      <c r="H367" s="73"/>
      <c r="I367" s="74"/>
      <c r="J367" s="74"/>
      <c r="K367" s="19"/>
      <c r="L367" s="20"/>
    </row>
    <row r="368" spans="1:12" hidden="1" outlineLevel="2">
      <c r="A368" s="70"/>
      <c r="B368" s="12" t="str">
        <f>IFERROR(VLOOKUP(D368,'[1]Перечень товаров'!$A$2:$I9525,2,0),"")</f>
        <v>м49</v>
      </c>
      <c r="C368" s="12" t="str">
        <f>IFERROR(VLOOKUP(D368,'[1]Перечень товаров'!$A$2:$I9525,3,0),"")</f>
        <v>Мебель</v>
      </c>
      <c r="D368" s="71" t="s">
        <v>303</v>
      </c>
      <c r="E368" s="70"/>
      <c r="F368" s="70"/>
      <c r="G368" s="73">
        <v>2</v>
      </c>
      <c r="H368" s="73"/>
      <c r="I368" s="74"/>
      <c r="J368" s="74"/>
      <c r="K368" s="19"/>
      <c r="L368" s="20"/>
    </row>
    <row r="369" spans="1:12" ht="31.5" hidden="1" outlineLevel="2">
      <c r="A369" s="70"/>
      <c r="B369" s="12" t="str">
        <f>IFERROR(VLOOKUP(D369,'[1]Перечень товаров'!$A$2:$I9525,2,0),"")</f>
        <v>тм49</v>
      </c>
      <c r="C369" s="12" t="str">
        <f>IFERROR(VLOOKUP(D369,'[1]Перечень товаров'!$A$2:$I9525,3,0),"")</f>
        <v>Техника муз</v>
      </c>
      <c r="D369" s="71" t="s">
        <v>304</v>
      </c>
      <c r="E369" s="70"/>
      <c r="F369" s="70"/>
      <c r="G369" s="73">
        <v>15</v>
      </c>
      <c r="H369" s="73"/>
      <c r="I369" s="74"/>
      <c r="J369" s="74"/>
      <c r="K369" s="19"/>
      <c r="L369" s="20"/>
    </row>
    <row r="370" spans="1:12" ht="31.5" hidden="1" outlineLevel="2">
      <c r="A370" s="70"/>
      <c r="B370" s="12" t="str">
        <f>IFERROR(VLOOKUP(D370,'[1]Перечень товаров'!$A$2:$I9525,2,0),"")</f>
        <v>тм50</v>
      </c>
      <c r="C370" s="12" t="str">
        <f>IFERROR(VLOOKUP(D370,'[1]Перечень товаров'!$A$2:$I9525,3,0),"")</f>
        <v>Техника муз</v>
      </c>
      <c r="D370" s="71" t="s">
        <v>305</v>
      </c>
      <c r="E370" s="70"/>
      <c r="F370" s="70"/>
      <c r="G370" s="73">
        <v>4</v>
      </c>
      <c r="H370" s="73"/>
      <c r="I370" s="74"/>
      <c r="J370" s="74"/>
      <c r="K370" s="19"/>
      <c r="L370" s="20"/>
    </row>
    <row r="371" spans="1:12" ht="31.5" hidden="1" outlineLevel="2">
      <c r="A371" s="70"/>
      <c r="B371" s="12" t="str">
        <f>IFERROR(VLOOKUP(D371,'[1]Перечень товаров'!$A$2:$I9525,2,0),"")</f>
        <v>тм51</v>
      </c>
      <c r="C371" s="12" t="str">
        <f>IFERROR(VLOOKUP(D371,'[1]Перечень товаров'!$A$2:$I9525,3,0),"")</f>
        <v>Техника муз</v>
      </c>
      <c r="D371" s="71" t="s">
        <v>306</v>
      </c>
      <c r="E371" s="70"/>
      <c r="F371" s="70"/>
      <c r="G371" s="73" t="s">
        <v>307</v>
      </c>
      <c r="H371" s="73"/>
      <c r="I371" s="74"/>
      <c r="J371" s="74"/>
      <c r="K371" s="19"/>
      <c r="L371" s="20"/>
    </row>
    <row r="372" spans="1:12" ht="31.5" hidden="1" outlineLevel="2">
      <c r="A372" s="70"/>
      <c r="B372" s="12" t="str">
        <f>IFERROR(VLOOKUP(D372,'[1]Перечень товаров'!$A$2:$I9525,2,0),"")</f>
        <v>тм52</v>
      </c>
      <c r="C372" s="12" t="str">
        <f>IFERROR(VLOOKUP(D372,'[1]Перечень товаров'!$A$2:$I9525,3,0),"")</f>
        <v>Техника муз</v>
      </c>
      <c r="D372" s="71" t="s">
        <v>308</v>
      </c>
      <c r="E372" s="70"/>
      <c r="F372" s="70"/>
      <c r="G372" s="73">
        <v>6</v>
      </c>
      <c r="H372" s="73"/>
      <c r="I372" s="74"/>
      <c r="J372" s="74"/>
      <c r="K372" s="19"/>
      <c r="L372" s="20"/>
    </row>
    <row r="373" spans="1:12" ht="31.5" hidden="1" outlineLevel="2">
      <c r="A373" s="70"/>
      <c r="B373" s="12" t="str">
        <f>IFERROR(VLOOKUP(D373,'[1]Перечень товаров'!$A$2:$I9525,2,0),"")</f>
        <v>тм53</v>
      </c>
      <c r="C373" s="12" t="str">
        <f>IFERROR(VLOOKUP(D373,'[1]Перечень товаров'!$A$2:$I9525,3,0),"")</f>
        <v>Техника муз</v>
      </c>
      <c r="D373" s="71" t="s">
        <v>309</v>
      </c>
      <c r="E373" s="70"/>
      <c r="F373" s="70"/>
      <c r="G373" s="73">
        <v>15</v>
      </c>
      <c r="H373" s="73"/>
      <c r="I373" s="74"/>
      <c r="J373" s="74"/>
      <c r="K373" s="19"/>
      <c r="L373" s="20"/>
    </row>
    <row r="374" spans="1:12" hidden="1" outlineLevel="2">
      <c r="A374" s="70"/>
      <c r="B374" s="12" t="str">
        <f>IFERROR(VLOOKUP(D374,'[1]Перечень товаров'!$A$2:$I9525,2,0),"")</f>
        <v>тм54</v>
      </c>
      <c r="C374" s="12" t="str">
        <f>IFERROR(VLOOKUP(D374,'[1]Перечень товаров'!$A$2:$I9525,3,0),"")</f>
        <v>Техника муз</v>
      </c>
      <c r="D374" s="71" t="s">
        <v>310</v>
      </c>
      <c r="E374" s="70"/>
      <c r="F374" s="70"/>
      <c r="G374" s="73">
        <v>5</v>
      </c>
      <c r="H374" s="73"/>
      <c r="I374" s="74"/>
      <c r="J374" s="74"/>
      <c r="K374" s="19"/>
      <c r="L374" s="20"/>
    </row>
    <row r="375" spans="1:12" outlineLevel="1">
      <c r="A375" s="21"/>
      <c r="B375" s="12" t="str">
        <f>IFERROR(VLOOKUP(D375,'[1]Перечень товаров'!$A$2:$I9525,2,0),"")</f>
        <v/>
      </c>
      <c r="C375" s="12" t="str">
        <f>IFERROR(VLOOKUP(D375,'[1]Перечень товаров'!$A$2:$I9525,3,0),"")</f>
        <v/>
      </c>
      <c r="D375" s="22" t="s">
        <v>311</v>
      </c>
      <c r="E375" s="23" t="s">
        <v>312</v>
      </c>
      <c r="F375" s="23"/>
      <c r="G375" s="24"/>
      <c r="H375" s="24"/>
      <c r="I375" s="25"/>
      <c r="J375" s="25"/>
      <c r="K375" s="19"/>
      <c r="L375" s="20"/>
    </row>
    <row r="376" spans="1:12" ht="12.75" outlineLevel="1">
      <c r="A376" s="11"/>
      <c r="B376" s="12" t="str">
        <f>IFERROR(VLOOKUP(D376,'[1]Перечень товаров'!$A$2:$I9525,2,0),"")</f>
        <v/>
      </c>
      <c r="C376" s="12" t="str">
        <f>IFERROR(VLOOKUP(D376,'[1]Перечень товаров'!$A$2:$I9525,3,0),"")</f>
        <v/>
      </c>
      <c r="D376" s="27" t="s">
        <v>182</v>
      </c>
      <c r="E376" s="14" t="s">
        <v>313</v>
      </c>
      <c r="F376" s="14"/>
      <c r="G376" s="17"/>
      <c r="H376" s="17"/>
      <c r="I376" s="57"/>
      <c r="J376" s="57"/>
      <c r="K376" s="19"/>
      <c r="L376" s="20"/>
    </row>
    <row r="377" spans="1:12" ht="31.5" outlineLevel="2">
      <c r="A377" s="70"/>
      <c r="B377" s="12" t="str">
        <f>IFERROR(VLOOKUP(D377,'[1]Перечень товаров'!$A$2:$I9525,2,0),"")</f>
        <v>т62</v>
      </c>
      <c r="C377" s="12" t="str">
        <f>IFERROR(VLOOKUP(D377,'[1]Перечень товаров'!$A$2:$I9525,3,0),"")</f>
        <v>Техника</v>
      </c>
      <c r="D377" s="71" t="s">
        <v>184</v>
      </c>
      <c r="E377" s="88"/>
      <c r="F377" s="88"/>
      <c r="G377" s="73">
        <v>6</v>
      </c>
      <c r="H377" s="73"/>
      <c r="I377" s="74"/>
      <c r="J377" s="74"/>
      <c r="K377" s="19"/>
      <c r="L377" s="20"/>
    </row>
    <row r="378" spans="1:12" ht="31.5" outlineLevel="2">
      <c r="A378" s="70"/>
      <c r="B378" s="12" t="str">
        <f>IFERROR(VLOOKUP(D378,'[1]Перечень товаров'!$A$2:$I9525,2,0),"")</f>
        <v>т63</v>
      </c>
      <c r="C378" s="12" t="str">
        <f>IFERROR(VLOOKUP(D378,'[1]Перечень товаров'!$A$2:$I9525,3,0),"")</f>
        <v>Техника</v>
      </c>
      <c r="D378" s="71" t="s">
        <v>185</v>
      </c>
      <c r="E378" s="88"/>
      <c r="F378" s="88"/>
      <c r="G378" s="73">
        <v>4</v>
      </c>
      <c r="H378" s="73"/>
      <c r="I378" s="74"/>
      <c r="J378" s="74"/>
      <c r="K378" s="19"/>
      <c r="L378" s="20"/>
    </row>
    <row r="379" spans="1:12" ht="31.5" outlineLevel="2">
      <c r="A379" s="70"/>
      <c r="B379" s="12" t="str">
        <f>IFERROR(VLOOKUP(D379,'[1]Перечень товаров'!$A$2:$I9525,2,0),"")</f>
        <v>т64</v>
      </c>
      <c r="C379" s="12" t="str">
        <f>IFERROR(VLOOKUP(D379,'[1]Перечень товаров'!$A$2:$I9525,3,0),"")</f>
        <v>Техника</v>
      </c>
      <c r="D379" s="71" t="s">
        <v>186</v>
      </c>
      <c r="E379" s="88"/>
      <c r="F379" s="88"/>
      <c r="G379" s="73">
        <v>2</v>
      </c>
      <c r="H379" s="73"/>
      <c r="I379" s="74"/>
      <c r="J379" s="74"/>
      <c r="K379" s="19"/>
      <c r="L379" s="20"/>
    </row>
    <row r="380" spans="1:12" ht="63" outlineLevel="2">
      <c r="A380" s="70"/>
      <c r="B380" s="12" t="str">
        <f>IFERROR(VLOOKUP(D380,'[1]Перечень товаров'!$A$2:$I9525,2,0),"")</f>
        <v>т65</v>
      </c>
      <c r="C380" s="12" t="str">
        <f>IFERROR(VLOOKUP(D380,'[1]Перечень товаров'!$A$2:$I9525,3,0),"")</f>
        <v>Техника</v>
      </c>
      <c r="D380" s="71" t="s">
        <v>187</v>
      </c>
      <c r="E380" s="88"/>
      <c r="F380" s="88"/>
      <c r="G380" s="73">
        <v>1</v>
      </c>
      <c r="H380" s="73"/>
      <c r="I380" s="74"/>
      <c r="J380" s="74"/>
      <c r="K380" s="19"/>
      <c r="L380" s="20"/>
    </row>
    <row r="381" spans="1:12" outlineLevel="2">
      <c r="A381" s="70"/>
      <c r="B381" s="12" t="str">
        <f>IFERROR(VLOOKUP(D381,'[1]Перечень товаров'!$A$2:$I9525,2,0),"")</f>
        <v>т66</v>
      </c>
      <c r="C381" s="12" t="str">
        <f>IFERROR(VLOOKUP(D381,'[1]Перечень товаров'!$A$2:$I9525,3,0),"")</f>
        <v>Техника</v>
      </c>
      <c r="D381" s="71" t="s">
        <v>188</v>
      </c>
      <c r="E381" s="88"/>
      <c r="F381" s="88"/>
      <c r="G381" s="73">
        <v>2</v>
      </c>
      <c r="H381" s="73"/>
      <c r="I381" s="74"/>
      <c r="J381" s="74"/>
      <c r="K381" s="19"/>
      <c r="L381" s="20"/>
    </row>
    <row r="382" spans="1:12" ht="31.5" outlineLevel="2">
      <c r="A382" s="70"/>
      <c r="B382" s="12" t="str">
        <f>IFERROR(VLOOKUP(D382,'[1]Перечень товаров'!$A$2:$I9525,2,0),"")</f>
        <v>т67</v>
      </c>
      <c r="C382" s="12" t="str">
        <f>IFERROR(VLOOKUP(D382,'[1]Перечень товаров'!$A$2:$I9525,3,0),"")</f>
        <v>Техника</v>
      </c>
      <c r="D382" s="71" t="s">
        <v>189</v>
      </c>
      <c r="E382" s="88"/>
      <c r="F382" s="88"/>
      <c r="G382" s="73">
        <v>1</v>
      </c>
      <c r="H382" s="73"/>
      <c r="I382" s="74"/>
      <c r="J382" s="74"/>
      <c r="K382" s="19"/>
      <c r="L382" s="20"/>
    </row>
    <row r="383" spans="1:12" ht="31.5" outlineLevel="2">
      <c r="A383" s="70"/>
      <c r="B383" s="12" t="str">
        <f>IFERROR(VLOOKUP(D383,'[1]Перечень товаров'!$A$2:$I9525,2,0),"")</f>
        <v>т68</v>
      </c>
      <c r="C383" s="12" t="str">
        <f>IFERROR(VLOOKUP(D383,'[1]Перечень товаров'!$A$2:$I9525,3,0),"")</f>
        <v>Техника</v>
      </c>
      <c r="D383" s="71" t="s">
        <v>190</v>
      </c>
      <c r="E383" s="88"/>
      <c r="F383" s="88"/>
      <c r="G383" s="73">
        <v>2</v>
      </c>
      <c r="H383" s="73"/>
      <c r="I383" s="74"/>
      <c r="J383" s="74"/>
      <c r="K383" s="19"/>
      <c r="L383" s="20"/>
    </row>
    <row r="384" spans="1:12" ht="31.5" outlineLevel="2">
      <c r="A384" s="70"/>
      <c r="B384" s="12" t="str">
        <f>IFERROR(VLOOKUP(D384,'[1]Перечень товаров'!$A$2:$I9525,2,0),"")</f>
        <v>т69</v>
      </c>
      <c r="C384" s="12" t="str">
        <f>IFERROR(VLOOKUP(D384,'[1]Перечень товаров'!$A$2:$I9525,3,0),"")</f>
        <v>Техника</v>
      </c>
      <c r="D384" s="71" t="s">
        <v>191</v>
      </c>
      <c r="E384" s="88"/>
      <c r="F384" s="88"/>
      <c r="G384" s="73">
        <v>1</v>
      </c>
      <c r="H384" s="73"/>
      <c r="I384" s="74"/>
      <c r="J384" s="74"/>
      <c r="K384" s="19"/>
      <c r="L384" s="20"/>
    </row>
    <row r="385" spans="1:12" ht="47.25" outlineLevel="2">
      <c r="A385" s="70"/>
      <c r="B385" s="12" t="str">
        <f>IFERROR(VLOOKUP(D385,'[1]Перечень товаров'!$A$2:$I9525,2,0),"")</f>
        <v>т70</v>
      </c>
      <c r="C385" s="12" t="str">
        <f>IFERROR(VLOOKUP(D385,'[1]Перечень товаров'!$A$2:$I9525,3,0),"")</f>
        <v>Техника</v>
      </c>
      <c r="D385" s="71" t="s">
        <v>192</v>
      </c>
      <c r="E385" s="88"/>
      <c r="F385" s="88"/>
      <c r="G385" s="73">
        <v>1</v>
      </c>
      <c r="H385" s="73"/>
      <c r="I385" s="74"/>
      <c r="J385" s="74"/>
      <c r="K385" s="19"/>
      <c r="L385" s="20"/>
    </row>
    <row r="386" spans="1:12" ht="31.5" outlineLevel="2">
      <c r="A386" s="70"/>
      <c r="B386" s="12" t="str">
        <f>IFERROR(VLOOKUP(D386,'[1]Перечень товаров'!$A$2:$I9525,2,0),"")</f>
        <v>т71</v>
      </c>
      <c r="C386" s="12" t="str">
        <f>IFERROR(VLOOKUP(D386,'[1]Перечень товаров'!$A$2:$I9525,3,0),"")</f>
        <v>Техника</v>
      </c>
      <c r="D386" s="71" t="s">
        <v>193</v>
      </c>
      <c r="E386" s="88"/>
      <c r="F386" s="88"/>
      <c r="G386" s="73">
        <v>2</v>
      </c>
      <c r="H386" s="73"/>
      <c r="I386" s="74"/>
      <c r="J386" s="74"/>
      <c r="K386" s="19"/>
      <c r="L386" s="20"/>
    </row>
    <row r="387" spans="1:12" ht="31.5" outlineLevel="2">
      <c r="A387" s="70"/>
      <c r="B387" s="12" t="str">
        <f>IFERROR(VLOOKUP(D387,'[1]Перечень товаров'!$A$2:$I9525,2,0),"")</f>
        <v>т72</v>
      </c>
      <c r="C387" s="12" t="str">
        <f>IFERROR(VLOOKUP(D387,'[1]Перечень товаров'!$A$2:$I9525,3,0),"")</f>
        <v>Техника</v>
      </c>
      <c r="D387" s="71" t="s">
        <v>194</v>
      </c>
      <c r="E387" s="88"/>
      <c r="F387" s="88"/>
      <c r="G387" s="73">
        <v>2</v>
      </c>
      <c r="H387" s="73"/>
      <c r="I387" s="74"/>
      <c r="J387" s="74"/>
      <c r="K387" s="19"/>
      <c r="L387" s="20"/>
    </row>
    <row r="388" spans="1:12" ht="31.5" outlineLevel="2">
      <c r="A388" s="70"/>
      <c r="B388" s="12" t="str">
        <f>IFERROR(VLOOKUP(D388,'[1]Перечень товаров'!$A$2:$I9525,2,0),"")</f>
        <v>тм4</v>
      </c>
      <c r="C388" s="12" t="str">
        <f>IFERROR(VLOOKUP(D388,'[1]Перечень товаров'!$A$2:$I9525,3,0),"")</f>
        <v>Техника муз</v>
      </c>
      <c r="D388" s="71" t="s">
        <v>195</v>
      </c>
      <c r="E388" s="88"/>
      <c r="F388" s="88"/>
      <c r="G388" s="73">
        <v>6</v>
      </c>
      <c r="H388" s="73"/>
      <c r="I388" s="74"/>
      <c r="J388" s="74"/>
      <c r="K388" s="19"/>
      <c r="L388" s="20"/>
    </row>
    <row r="389" spans="1:12" ht="31.5" outlineLevel="2">
      <c r="A389" s="70"/>
      <c r="B389" s="12" t="str">
        <f>IFERROR(VLOOKUP(D389,'[1]Перечень товаров'!$A$2:$I9525,2,0),"")</f>
        <v>т73</v>
      </c>
      <c r="C389" s="12" t="str">
        <f>IFERROR(VLOOKUP(D389,'[1]Перечень товаров'!$A$2:$I9525,3,0),"")</f>
        <v>Техника</v>
      </c>
      <c r="D389" s="71" t="s">
        <v>196</v>
      </c>
      <c r="E389" s="88"/>
      <c r="F389" s="88"/>
      <c r="G389" s="73">
        <v>2</v>
      </c>
      <c r="H389" s="73"/>
      <c r="I389" s="74"/>
      <c r="J389" s="74"/>
      <c r="K389" s="19"/>
      <c r="L389" s="20"/>
    </row>
    <row r="390" spans="1:12" ht="47.25" outlineLevel="2">
      <c r="A390" s="70"/>
      <c r="B390" s="12" t="str">
        <f>IFERROR(VLOOKUP(D390,'[1]Перечень товаров'!$A$2:$I9525,2,0),"")</f>
        <v>тм5</v>
      </c>
      <c r="C390" s="12" t="str">
        <f>IFERROR(VLOOKUP(D390,'[1]Перечень товаров'!$A$2:$I9525,3,0),"")</f>
        <v>Техника муз</v>
      </c>
      <c r="D390" s="71" t="s">
        <v>197</v>
      </c>
      <c r="E390" s="88"/>
      <c r="F390" s="88"/>
      <c r="G390" s="73">
        <v>6</v>
      </c>
      <c r="H390" s="73"/>
      <c r="I390" s="74"/>
      <c r="J390" s="74"/>
      <c r="K390" s="19"/>
      <c r="L390" s="20"/>
    </row>
    <row r="391" spans="1:12" ht="31.5" outlineLevel="2">
      <c r="A391" s="70"/>
      <c r="B391" s="12" t="str">
        <f>IFERROR(VLOOKUP(D391,'[1]Перечень товаров'!$A$2:$I9525,2,0),"")</f>
        <v>тм6</v>
      </c>
      <c r="C391" s="12" t="str">
        <f>IFERROR(VLOOKUP(D391,'[1]Перечень товаров'!$A$2:$I9525,3,0),"")</f>
        <v>Техника муз</v>
      </c>
      <c r="D391" s="71" t="s">
        <v>198</v>
      </c>
      <c r="E391" s="88"/>
      <c r="F391" s="88"/>
      <c r="G391" s="73">
        <v>2</v>
      </c>
      <c r="H391" s="73"/>
      <c r="I391" s="74"/>
      <c r="J391" s="74"/>
      <c r="K391" s="19"/>
      <c r="L391" s="20"/>
    </row>
    <row r="392" spans="1:12" ht="31.5" outlineLevel="2">
      <c r="A392" s="70"/>
      <c r="B392" s="12" t="str">
        <f>IFERROR(VLOOKUP(D392,'[1]Перечень товаров'!$A$2:$I9525,2,0),"")</f>
        <v>т74</v>
      </c>
      <c r="C392" s="12" t="str">
        <f>IFERROR(VLOOKUP(D392,'[1]Перечень товаров'!$A$2:$I9525,3,0),"")</f>
        <v>Техника</v>
      </c>
      <c r="D392" s="71" t="s">
        <v>199</v>
      </c>
      <c r="E392" s="88"/>
      <c r="F392" s="88"/>
      <c r="G392" s="73">
        <v>8</v>
      </c>
      <c r="H392" s="73"/>
      <c r="I392" s="74"/>
      <c r="J392" s="74"/>
      <c r="K392" s="19"/>
      <c r="L392" s="20"/>
    </row>
    <row r="393" spans="1:12" ht="31.5" outlineLevel="2">
      <c r="A393" s="70"/>
      <c r="B393" s="12" t="str">
        <f>IFERROR(VLOOKUP(D393,'[1]Перечень товаров'!$A$2:$I9525,2,0),"")</f>
        <v>тм7</v>
      </c>
      <c r="C393" s="12" t="str">
        <f>IFERROR(VLOOKUP(D393,'[1]Перечень товаров'!$A$2:$I9525,3,0),"")</f>
        <v>Техника муз</v>
      </c>
      <c r="D393" s="71" t="s">
        <v>200</v>
      </c>
      <c r="E393" s="88"/>
      <c r="F393" s="88"/>
      <c r="G393" s="73">
        <v>2</v>
      </c>
      <c r="H393" s="73"/>
      <c r="I393" s="74"/>
      <c r="J393" s="74"/>
      <c r="K393" s="19"/>
      <c r="L393" s="20"/>
    </row>
    <row r="394" spans="1:12" ht="31.5" outlineLevel="2">
      <c r="A394" s="70"/>
      <c r="B394" s="12" t="str">
        <f>IFERROR(VLOOKUP(D394,'[1]Перечень товаров'!$A$2:$I9525,2,0),"")</f>
        <v>тм8</v>
      </c>
      <c r="C394" s="12" t="str">
        <f>IFERROR(VLOOKUP(D394,'[1]Перечень товаров'!$A$2:$I9525,3,0),"")</f>
        <v>Техника муз</v>
      </c>
      <c r="D394" s="71" t="s">
        <v>201</v>
      </c>
      <c r="E394" s="88"/>
      <c r="F394" s="88"/>
      <c r="G394" s="73">
        <v>4</v>
      </c>
      <c r="H394" s="73"/>
      <c r="I394" s="74"/>
      <c r="J394" s="74"/>
      <c r="K394" s="19"/>
      <c r="L394" s="20"/>
    </row>
    <row r="395" spans="1:12" outlineLevel="2">
      <c r="A395" s="70"/>
      <c r="B395" s="12" t="str">
        <f>IFERROR(VLOOKUP(D395,'[1]Перечень товаров'!$A$2:$I9525,2,0),"")</f>
        <v>т75</v>
      </c>
      <c r="C395" s="12" t="str">
        <f>IFERROR(VLOOKUP(D395,'[1]Перечень товаров'!$A$2:$I9525,3,0),"")</f>
        <v>Техника</v>
      </c>
      <c r="D395" s="71" t="s">
        <v>202</v>
      </c>
      <c r="E395" s="88"/>
      <c r="F395" s="88"/>
      <c r="G395" s="73">
        <v>1</v>
      </c>
      <c r="H395" s="73"/>
      <c r="I395" s="74"/>
      <c r="J395" s="74"/>
      <c r="K395" s="19"/>
      <c r="L395" s="20"/>
    </row>
    <row r="396" spans="1:12" ht="31.5" outlineLevel="2">
      <c r="A396" s="70"/>
      <c r="B396" s="12" t="str">
        <f>IFERROR(VLOOKUP(D396,'[1]Перечень товаров'!$A$2:$I9525,2,0),"")</f>
        <v>т76</v>
      </c>
      <c r="C396" s="12" t="str">
        <f>IFERROR(VLOOKUP(D396,'[1]Перечень товаров'!$A$2:$I9525,3,0),"")</f>
        <v>Техника</v>
      </c>
      <c r="D396" s="71" t="s">
        <v>203</v>
      </c>
      <c r="E396" s="88"/>
      <c r="F396" s="88"/>
      <c r="G396" s="73">
        <v>10</v>
      </c>
      <c r="H396" s="73"/>
      <c r="I396" s="74"/>
      <c r="J396" s="74"/>
      <c r="K396" s="19"/>
      <c r="L396" s="20"/>
    </row>
    <row r="397" spans="1:12" ht="47.25" outlineLevel="2">
      <c r="A397" s="70"/>
      <c r="B397" s="12" t="str">
        <f>IFERROR(VLOOKUP(D397,'[1]Перечень товаров'!$A$2:$I9525,2,0),"")</f>
        <v>м31</v>
      </c>
      <c r="C397" s="12" t="str">
        <f>IFERROR(VLOOKUP(D397,'[1]Перечень товаров'!$A$2:$I9525,3,0),"")</f>
        <v>Мебель</v>
      </c>
      <c r="D397" s="71" t="s">
        <v>204</v>
      </c>
      <c r="E397" s="88"/>
      <c r="F397" s="88"/>
      <c r="G397" s="73">
        <v>10</v>
      </c>
      <c r="H397" s="73"/>
      <c r="I397" s="74"/>
      <c r="J397" s="74"/>
      <c r="K397" s="19"/>
      <c r="L397" s="20"/>
    </row>
    <row r="398" spans="1:12" ht="47.25" outlineLevel="2">
      <c r="A398" s="70"/>
      <c r="B398" s="12" t="str">
        <f>IFERROR(VLOOKUP(D398,'[1]Перечень товаров'!$A$2:$I9525,2,0),"")</f>
        <v>м32</v>
      </c>
      <c r="C398" s="12" t="str">
        <f>IFERROR(VLOOKUP(D398,'[1]Перечень товаров'!$A$2:$I9525,3,0),"")</f>
        <v>Мебель</v>
      </c>
      <c r="D398" s="71" t="s">
        <v>205</v>
      </c>
      <c r="E398" s="88"/>
      <c r="F398" s="88"/>
      <c r="G398" s="73">
        <v>2</v>
      </c>
      <c r="H398" s="73"/>
      <c r="I398" s="74"/>
      <c r="J398" s="74"/>
      <c r="K398" s="19"/>
      <c r="L398" s="20"/>
    </row>
    <row r="399" spans="1:12" ht="31.5" outlineLevel="2">
      <c r="A399" s="70"/>
      <c r="B399" s="12" t="str">
        <f>IFERROR(VLOOKUP(D399,'[1]Перечень товаров'!$A$2:$I9525,2,0),"")</f>
        <v>м33</v>
      </c>
      <c r="C399" s="12" t="str">
        <f>IFERROR(VLOOKUP(D399,'[1]Перечень товаров'!$A$2:$I9525,3,0),"")</f>
        <v>Мебель</v>
      </c>
      <c r="D399" s="71" t="s">
        <v>206</v>
      </c>
      <c r="E399" s="88"/>
      <c r="F399" s="88"/>
      <c r="G399" s="73">
        <v>4</v>
      </c>
      <c r="H399" s="73"/>
      <c r="I399" s="74"/>
      <c r="J399" s="74"/>
      <c r="K399" s="19"/>
      <c r="L399" s="20"/>
    </row>
    <row r="400" spans="1:12" ht="31.5" outlineLevel="2">
      <c r="A400" s="70"/>
      <c r="B400" s="12" t="str">
        <f>IFERROR(VLOOKUP(D400,'[1]Перечень товаров'!$A$2:$I9525,2,0),"")</f>
        <v>м34</v>
      </c>
      <c r="C400" s="12" t="str">
        <f>IFERROR(VLOOKUP(D400,'[1]Перечень товаров'!$A$2:$I9525,3,0),"")</f>
        <v>Мебель</v>
      </c>
      <c r="D400" s="71" t="s">
        <v>207</v>
      </c>
      <c r="E400" s="88"/>
      <c r="F400" s="88"/>
      <c r="G400" s="73">
        <v>2</v>
      </c>
      <c r="H400" s="73"/>
      <c r="I400" s="74"/>
      <c r="J400" s="74"/>
      <c r="K400" s="19"/>
      <c r="L400" s="20"/>
    </row>
    <row r="401" spans="1:12" ht="31.5" outlineLevel="2">
      <c r="A401" s="70"/>
      <c r="B401" s="12" t="str">
        <f>IFERROR(VLOOKUP(D401,'[1]Перечень товаров'!$A$2:$I9525,2,0),"")</f>
        <v>м35</v>
      </c>
      <c r="C401" s="12" t="str">
        <f>IFERROR(VLOOKUP(D401,'[1]Перечень товаров'!$A$2:$I9525,3,0),"")</f>
        <v>Мебель</v>
      </c>
      <c r="D401" s="71" t="s">
        <v>208</v>
      </c>
      <c r="E401" s="88"/>
      <c r="F401" s="88"/>
      <c r="G401" s="73">
        <v>1</v>
      </c>
      <c r="H401" s="73"/>
      <c r="I401" s="74"/>
      <c r="J401" s="74"/>
      <c r="K401" s="19"/>
      <c r="L401" s="20"/>
    </row>
    <row r="402" spans="1:12" outlineLevel="2">
      <c r="A402" s="70"/>
      <c r="B402" s="12" t="str">
        <f>IFERROR(VLOOKUP(D402,'[1]Перечень товаров'!$A$2:$I9525,2,0),"")</f>
        <v>тм9</v>
      </c>
      <c r="C402" s="12" t="str">
        <f>IFERROR(VLOOKUP(D402,'[1]Перечень товаров'!$A$2:$I9525,3,0),"")</f>
        <v>Техника муз</v>
      </c>
      <c r="D402" s="71" t="s">
        <v>209</v>
      </c>
      <c r="E402" s="88"/>
      <c r="F402" s="88"/>
      <c r="G402" s="73">
        <v>1</v>
      </c>
      <c r="H402" s="73"/>
      <c r="I402" s="74"/>
      <c r="J402" s="74"/>
      <c r="K402" s="19"/>
      <c r="L402" s="20"/>
    </row>
    <row r="403" spans="1:12" outlineLevel="2">
      <c r="A403" s="70"/>
      <c r="B403" s="12" t="str">
        <f>IFERROR(VLOOKUP(D403,'[1]Перечень товаров'!$A$2:$I9525,2,0),"")</f>
        <v>дм3</v>
      </c>
      <c r="C403" s="12" t="str">
        <f>IFERROR(VLOOKUP(D403,'[1]Перечень товаров'!$A$2:$I9525,3,0),"")</f>
        <v>Дидактика муз</v>
      </c>
      <c r="D403" s="71" t="s">
        <v>210</v>
      </c>
      <c r="E403" s="88"/>
      <c r="F403" s="88"/>
      <c r="G403" s="73">
        <v>3</v>
      </c>
      <c r="H403" s="73"/>
      <c r="I403" s="74"/>
      <c r="J403" s="74"/>
      <c r="K403" s="19"/>
      <c r="L403" s="20"/>
    </row>
    <row r="404" spans="1:12" ht="31.5" outlineLevel="2">
      <c r="A404" s="70"/>
      <c r="B404" s="12" t="str">
        <f>IFERROR(VLOOKUP(D404,'[1]Перечень товаров'!$A$2:$I9525,2,0),"")</f>
        <v>тм10</v>
      </c>
      <c r="C404" s="12" t="str">
        <f>IFERROR(VLOOKUP(D404,'[1]Перечень товаров'!$A$2:$I9525,3,0),"")</f>
        <v>Техника муз</v>
      </c>
      <c r="D404" s="71" t="s">
        <v>211</v>
      </c>
      <c r="E404" s="88"/>
      <c r="F404" s="88"/>
      <c r="G404" s="73">
        <v>1</v>
      </c>
      <c r="H404" s="73"/>
      <c r="I404" s="74"/>
      <c r="J404" s="74"/>
      <c r="K404" s="19"/>
      <c r="L404" s="20"/>
    </row>
    <row r="405" spans="1:12" ht="47.25" outlineLevel="2">
      <c r="A405" s="70"/>
      <c r="B405" s="12" t="str">
        <f>IFERROR(VLOOKUP(D405,'[1]Перечень товаров'!$A$2:$I9525,2,0),"")</f>
        <v>тм11</v>
      </c>
      <c r="C405" s="12" t="str">
        <f>IFERROR(VLOOKUP(D405,'[1]Перечень товаров'!$A$2:$I9525,3,0),"")</f>
        <v>Техника муз</v>
      </c>
      <c r="D405" s="71" t="s">
        <v>212</v>
      </c>
      <c r="E405" s="88"/>
      <c r="F405" s="88"/>
      <c r="G405" s="73">
        <v>1</v>
      </c>
      <c r="H405" s="73"/>
      <c r="I405" s="74"/>
      <c r="J405" s="74"/>
      <c r="K405" s="19"/>
      <c r="L405" s="20"/>
    </row>
    <row r="406" spans="1:12" ht="47.25" outlineLevel="2">
      <c r="A406" s="70"/>
      <c r="B406" s="12" t="str">
        <f>IFERROR(VLOOKUP(D406,'[1]Перечень товаров'!$A$2:$I9525,2,0),"")</f>
        <v>мм2</v>
      </c>
      <c r="C406" s="12" t="str">
        <f>IFERROR(VLOOKUP(D406,'[1]Перечень товаров'!$A$2:$I9525,3,0),"")</f>
        <v>Мебель муз</v>
      </c>
      <c r="D406" s="71" t="s">
        <v>213</v>
      </c>
      <c r="E406" s="88"/>
      <c r="F406" s="88"/>
      <c r="G406" s="73">
        <v>2</v>
      </c>
      <c r="H406" s="73"/>
      <c r="I406" s="74"/>
      <c r="J406" s="74"/>
      <c r="K406" s="19"/>
      <c r="L406" s="20"/>
    </row>
    <row r="407" spans="1:12" ht="12.75" outlineLevel="1">
      <c r="A407" s="89"/>
      <c r="B407" s="12" t="str">
        <f>IFERROR(VLOOKUP(D407,'[1]Перечень товаров'!$A$2:$I9525,2,0),"")</f>
        <v/>
      </c>
      <c r="C407" s="12" t="str">
        <f>IFERROR(VLOOKUP(D407,'[1]Перечень товаров'!$A$2:$I9525,3,0),"")</f>
        <v/>
      </c>
      <c r="D407" s="90" t="s">
        <v>314</v>
      </c>
      <c r="E407" s="91" t="s">
        <v>315</v>
      </c>
      <c r="F407" s="91"/>
      <c r="G407" s="17"/>
      <c r="H407" s="17"/>
      <c r="I407" s="57"/>
      <c r="J407" s="57"/>
      <c r="K407" s="19"/>
      <c r="L407" s="20"/>
    </row>
    <row r="408" spans="1:12" outlineLevel="2">
      <c r="A408" s="92"/>
      <c r="B408" s="12" t="str">
        <f>IFERROR(VLOOKUP(D408,'[1]Перечень товаров'!$A$2:$I9525,2,0),"")</f>
        <v>тм55</v>
      </c>
      <c r="C408" s="12" t="str">
        <f>IFERROR(VLOOKUP(D408,'[1]Перечень товаров'!$A$2:$I9525,3,0),"")</f>
        <v>Техника муз</v>
      </c>
      <c r="D408" s="93" t="s">
        <v>316</v>
      </c>
      <c r="E408" s="94"/>
      <c r="F408" s="94"/>
      <c r="G408" s="95">
        <v>1</v>
      </c>
      <c r="H408" s="95"/>
      <c r="I408" s="96"/>
      <c r="J408" s="96"/>
      <c r="K408" s="19"/>
      <c r="L408" s="20"/>
    </row>
    <row r="409" spans="1:12" outlineLevel="2">
      <c r="A409" s="92"/>
      <c r="B409" s="12" t="str">
        <f>IFERROR(VLOOKUP(D409,'[1]Перечень товаров'!$A$2:$I9525,2,0),"")</f>
        <v>м50</v>
      </c>
      <c r="C409" s="12" t="str">
        <f>IFERROR(VLOOKUP(D409,'[1]Перечень товаров'!$A$2:$I9525,3,0),"")</f>
        <v>Мебель</v>
      </c>
      <c r="D409" s="93" t="s">
        <v>317</v>
      </c>
      <c r="E409" s="94"/>
      <c r="F409" s="94"/>
      <c r="G409" s="95">
        <v>57</v>
      </c>
      <c r="H409" s="95"/>
      <c r="I409" s="96"/>
      <c r="J409" s="96"/>
      <c r="K409" s="19"/>
      <c r="L409" s="20"/>
    </row>
    <row r="410" spans="1:12" outlineLevel="2">
      <c r="A410" s="92"/>
      <c r="B410" s="12" t="str">
        <f>IFERROR(VLOOKUP(D410,'[1]Перечень товаров'!$A$2:$I9525,2,0),"")</f>
        <v>м51</v>
      </c>
      <c r="C410" s="12" t="str">
        <f>IFERROR(VLOOKUP(D410,'[1]Перечень товаров'!$A$2:$I9525,3,0),"")</f>
        <v>Мебель</v>
      </c>
      <c r="D410" s="93" t="s">
        <v>318</v>
      </c>
      <c r="E410" s="94"/>
      <c r="F410" s="94"/>
      <c r="G410" s="95">
        <v>20</v>
      </c>
      <c r="H410" s="95"/>
      <c r="I410" s="96"/>
      <c r="J410" s="96"/>
      <c r="K410" s="19"/>
      <c r="L410" s="20"/>
    </row>
    <row r="411" spans="1:12" outlineLevel="2">
      <c r="A411" s="92"/>
      <c r="B411" s="12" t="str">
        <f>IFERROR(VLOOKUP(D411,'[1]Перечень товаров'!$A$2:$I9525,2,0),"")</f>
        <v>м52</v>
      </c>
      <c r="C411" s="12" t="str">
        <f>IFERROR(VLOOKUP(D411,'[1]Перечень товаров'!$A$2:$I9525,3,0),"")</f>
        <v>Мебель</v>
      </c>
      <c r="D411" s="93" t="s">
        <v>319</v>
      </c>
      <c r="E411" s="94"/>
      <c r="F411" s="94"/>
      <c r="G411" s="95">
        <v>15</v>
      </c>
      <c r="H411" s="95"/>
      <c r="I411" s="96"/>
      <c r="J411" s="96"/>
      <c r="K411" s="19"/>
      <c r="L411" s="20"/>
    </row>
    <row r="412" spans="1:12" outlineLevel="2">
      <c r="A412" s="92"/>
      <c r="B412" s="12" t="str">
        <f>IFERROR(VLOOKUP(D412,'[1]Перечень товаров'!$A$2:$I9525,2,0),"")</f>
        <v>тм56</v>
      </c>
      <c r="C412" s="12" t="str">
        <f>IFERROR(VLOOKUP(D412,'[1]Перечень товаров'!$A$2:$I9525,3,0),"")</f>
        <v>Техника муз</v>
      </c>
      <c r="D412" s="93" t="s">
        <v>320</v>
      </c>
      <c r="E412" s="94"/>
      <c r="F412" s="94"/>
      <c r="G412" s="95">
        <v>2</v>
      </c>
      <c r="H412" s="95"/>
      <c r="I412" s="96"/>
      <c r="J412" s="96"/>
      <c r="K412" s="19"/>
      <c r="L412" s="20"/>
    </row>
    <row r="413" spans="1:12" outlineLevel="2">
      <c r="A413" s="92"/>
      <c r="B413" s="12" t="str">
        <f>IFERROR(VLOOKUP(D413,'[1]Перечень товаров'!$A$2:$I9525,2,0),"")</f>
        <v>тм57</v>
      </c>
      <c r="C413" s="12" t="str">
        <f>IFERROR(VLOOKUP(D413,'[1]Перечень товаров'!$A$2:$I9525,3,0),"")</f>
        <v>Техника муз</v>
      </c>
      <c r="D413" s="93" t="s">
        <v>321</v>
      </c>
      <c r="E413" s="94"/>
      <c r="F413" s="94"/>
      <c r="G413" s="95">
        <v>4</v>
      </c>
      <c r="H413" s="95"/>
      <c r="I413" s="96"/>
      <c r="J413" s="96"/>
      <c r="K413" s="19"/>
      <c r="L413" s="20"/>
    </row>
    <row r="414" spans="1:12" outlineLevel="2">
      <c r="A414" s="92"/>
      <c r="B414" s="12" t="str">
        <f>IFERROR(VLOOKUP(D414,'[1]Перечень товаров'!$A$2:$I9525,2,0),"")</f>
        <v>тм58</v>
      </c>
      <c r="C414" s="12" t="str">
        <f>IFERROR(VLOOKUP(D414,'[1]Перечень товаров'!$A$2:$I9525,3,0),"")</f>
        <v>Техника муз</v>
      </c>
      <c r="D414" s="93" t="s">
        <v>322</v>
      </c>
      <c r="E414" s="94"/>
      <c r="F414" s="94"/>
      <c r="G414" s="95">
        <v>1</v>
      </c>
      <c r="H414" s="95"/>
      <c r="I414" s="96"/>
      <c r="J414" s="96"/>
      <c r="K414" s="19"/>
      <c r="L414" s="20"/>
    </row>
    <row r="415" spans="1:12" outlineLevel="2">
      <c r="A415" s="92"/>
      <c r="B415" s="12">
        <f>IFERROR(VLOOKUP(D415,'[1]Перечень товаров'!$A$2:$I9525,2,0),"")</f>
        <v>0</v>
      </c>
      <c r="C415" s="12">
        <f>IFERROR(VLOOKUP(D415,'[1]Перечень товаров'!$A$2:$I9525,3,0),"")</f>
        <v>0</v>
      </c>
      <c r="D415" s="93" t="s">
        <v>323</v>
      </c>
      <c r="E415" s="94"/>
      <c r="F415" s="94"/>
      <c r="G415" s="95"/>
      <c r="H415" s="95"/>
      <c r="I415" s="96"/>
      <c r="J415" s="96"/>
      <c r="K415" s="19"/>
      <c r="L415" s="20"/>
    </row>
    <row r="416" spans="1:12" outlineLevel="2">
      <c r="A416" s="92"/>
      <c r="B416" s="12" t="str">
        <f>IFERROR(VLOOKUP(D416,'[1]Перечень товаров'!$A$2:$I9525,2,0),"")</f>
        <v>тм59</v>
      </c>
      <c r="C416" s="12" t="str">
        <f>IFERROR(VLOOKUP(D416,'[1]Перечень товаров'!$A$2:$I9525,3,0),"")</f>
        <v>Техника муз</v>
      </c>
      <c r="D416" s="93" t="s">
        <v>324</v>
      </c>
      <c r="E416" s="94"/>
      <c r="F416" s="94"/>
      <c r="G416" s="95">
        <v>2</v>
      </c>
      <c r="H416" s="95"/>
      <c r="I416" s="96"/>
      <c r="J416" s="96"/>
      <c r="K416" s="19"/>
      <c r="L416" s="20"/>
    </row>
    <row r="417" spans="1:12" outlineLevel="2">
      <c r="A417" s="92"/>
      <c r="B417" s="12" t="str">
        <f>IFERROR(VLOOKUP(D417,'[1]Перечень товаров'!$A$2:$I9525,2,0),"")</f>
        <v>тм60</v>
      </c>
      <c r="C417" s="12" t="str">
        <f>IFERROR(VLOOKUP(D417,'[1]Перечень товаров'!$A$2:$I9525,3,0),"")</f>
        <v>Техника муз</v>
      </c>
      <c r="D417" s="93" t="s">
        <v>325</v>
      </c>
      <c r="E417" s="94"/>
      <c r="F417" s="94"/>
      <c r="G417" s="95">
        <v>2</v>
      </c>
      <c r="H417" s="95"/>
      <c r="I417" s="96"/>
      <c r="J417" s="96"/>
      <c r="K417" s="19"/>
      <c r="L417" s="20"/>
    </row>
    <row r="418" spans="1:12" outlineLevel="2">
      <c r="A418" s="92"/>
      <c r="B418" s="12" t="str">
        <f>IFERROR(VLOOKUP(D418,'[1]Перечень товаров'!$A$2:$I9525,2,0),"")</f>
        <v>т157</v>
      </c>
      <c r="C418" s="12" t="str">
        <f>IFERROR(VLOOKUP(D418,'[1]Перечень товаров'!$A$2:$I9525,3,0),"")</f>
        <v>Техника</v>
      </c>
      <c r="D418" s="93" t="s">
        <v>296</v>
      </c>
      <c r="E418" s="94"/>
      <c r="F418" s="94"/>
      <c r="G418" s="95">
        <v>2</v>
      </c>
      <c r="H418" s="95"/>
      <c r="I418" s="96"/>
      <c r="J418" s="96"/>
      <c r="K418" s="19"/>
      <c r="L418" s="20"/>
    </row>
    <row r="419" spans="1:12" outlineLevel="1">
      <c r="A419" s="21"/>
      <c r="B419" s="12" t="str">
        <f>IFERROR(VLOOKUP(D419,'[1]Перечень товаров'!$A$2:$I9525,2,0),"")</f>
        <v/>
      </c>
      <c r="C419" s="12" t="str">
        <f>IFERROR(VLOOKUP(D419,'[1]Перечень товаров'!$A$2:$I9525,3,0),"")</f>
        <v/>
      </c>
      <c r="D419" s="22" t="s">
        <v>326</v>
      </c>
      <c r="E419" s="23" t="s">
        <v>327</v>
      </c>
      <c r="F419" s="23"/>
      <c r="G419" s="24"/>
      <c r="H419" s="24"/>
      <c r="I419" s="25"/>
      <c r="J419" s="25"/>
      <c r="K419" s="19"/>
      <c r="L419" s="20"/>
    </row>
    <row r="420" spans="1:12" ht="12.75" outlineLevel="1">
      <c r="A420" s="97"/>
      <c r="B420" s="12" t="str">
        <f>IFERROR(VLOOKUP(D420,'[1]Перечень товаров'!$A$2:$I9525,2,0),"")</f>
        <v/>
      </c>
      <c r="C420" s="12" t="str">
        <f>IFERROR(VLOOKUP(D420,'[1]Перечень товаров'!$A$2:$I9525,3,0),"")</f>
        <v/>
      </c>
      <c r="D420" s="98" t="s">
        <v>328</v>
      </c>
      <c r="E420" s="99">
        <v>46251</v>
      </c>
      <c r="F420" s="99"/>
      <c r="G420" s="100"/>
      <c r="H420" s="100"/>
      <c r="I420" s="101"/>
      <c r="J420" s="101"/>
      <c r="K420" s="19"/>
      <c r="L420" s="20"/>
    </row>
    <row r="421" spans="1:12" outlineLevel="2">
      <c r="A421" s="28"/>
      <c r="B421" s="12" t="str">
        <f>IFERROR(VLOOKUP(D421,'[1]Перечень товаров'!$A$2:$I9525,2,0),"")</f>
        <v>м24</v>
      </c>
      <c r="C421" s="12" t="str">
        <f>IFERROR(VLOOKUP(D421,'[1]Перечень товаров'!$A$2:$I9525,3,0),"")</f>
        <v>Мебель</v>
      </c>
      <c r="D421" s="29" t="s">
        <v>329</v>
      </c>
      <c r="E421" s="30"/>
      <c r="F421" s="30"/>
      <c r="G421" s="31">
        <v>4</v>
      </c>
      <c r="H421" s="31"/>
      <c r="I421" s="32"/>
      <c r="J421" s="32"/>
      <c r="K421" s="19"/>
      <c r="L421" s="20"/>
    </row>
    <row r="422" spans="1:12" outlineLevel="2">
      <c r="A422" s="28"/>
      <c r="B422" s="12" t="str">
        <f>IFERROR(VLOOKUP(D422,'[1]Перечень товаров'!$A$2:$I9525,2,0),"")</f>
        <v/>
      </c>
      <c r="C422" s="12" t="str">
        <f>IFERROR(VLOOKUP(D422,'[1]Перечень товаров'!$A$2:$I9525,3,0),"")</f>
        <v/>
      </c>
      <c r="D422" s="29" t="s">
        <v>330</v>
      </c>
      <c r="E422" s="30"/>
      <c r="F422" s="30"/>
      <c r="G422" s="31">
        <v>1</v>
      </c>
      <c r="H422" s="31"/>
      <c r="I422" s="32"/>
      <c r="J422" s="32"/>
      <c r="K422" s="19"/>
      <c r="L422" s="20"/>
    </row>
    <row r="423" spans="1:12" ht="31.5" outlineLevel="2">
      <c r="A423" s="28"/>
      <c r="B423" s="12" t="str">
        <f>IFERROR(VLOOKUP(D423,'[1]Перечень товаров'!$A$2:$I9525,2,0),"")</f>
        <v/>
      </c>
      <c r="C423" s="12" t="str">
        <f>IFERROR(VLOOKUP(D423,'[1]Перечень товаров'!$A$2:$I9525,3,0),"")</f>
        <v/>
      </c>
      <c r="D423" s="29" t="s">
        <v>331</v>
      </c>
      <c r="E423" s="30"/>
      <c r="F423" s="30"/>
      <c r="G423" s="31">
        <v>1</v>
      </c>
      <c r="H423" s="31"/>
      <c r="I423" s="32"/>
      <c r="J423" s="32"/>
      <c r="K423" s="19"/>
      <c r="L423" s="20"/>
    </row>
    <row r="424" spans="1:12" outlineLevel="2">
      <c r="A424" s="28"/>
      <c r="B424" s="12" t="str">
        <f>IFERROR(VLOOKUP(D424,'[1]Перечень товаров'!$A$2:$I9525,2,0),"")</f>
        <v>т16</v>
      </c>
      <c r="C424" s="12" t="str">
        <f>IFERROR(VLOOKUP(D424,'[1]Перечень товаров'!$A$2:$I9525,3,0),"")</f>
        <v>Техника</v>
      </c>
      <c r="D424" s="29" t="s">
        <v>81</v>
      </c>
      <c r="E424" s="30"/>
      <c r="F424" s="30"/>
      <c r="G424" s="31">
        <v>2</v>
      </c>
      <c r="H424" s="31"/>
      <c r="I424" s="32"/>
      <c r="J424" s="32"/>
      <c r="K424" s="19"/>
      <c r="L424" s="20"/>
    </row>
    <row r="425" spans="1:12" ht="31.5" outlineLevel="2">
      <c r="A425" s="28"/>
      <c r="B425" s="12" t="str">
        <f>IFERROR(VLOOKUP(D425,'[1]Перечень товаров'!$A$2:$I9525,2,0),"")</f>
        <v>пм1</v>
      </c>
      <c r="C425" s="12" t="str">
        <f>IFERROR(VLOOKUP(D425,'[1]Перечень товаров'!$A$2:$I9525,3,0),"")</f>
        <v>Прочее муз</v>
      </c>
      <c r="D425" s="29" t="s">
        <v>82</v>
      </c>
      <c r="E425" s="30"/>
      <c r="F425" s="30"/>
      <c r="G425" s="31">
        <v>1</v>
      </c>
      <c r="H425" s="31"/>
      <c r="I425" s="32"/>
      <c r="J425" s="32"/>
      <c r="K425" s="19"/>
      <c r="L425" s="20"/>
    </row>
    <row r="426" spans="1:12" ht="31.5" outlineLevel="2">
      <c r="A426" s="28"/>
      <c r="B426" s="12" t="str">
        <f>IFERROR(VLOOKUP(D426,'[1]Перечень товаров'!$A$2:$I9525,2,0),"")</f>
        <v>пм2</v>
      </c>
      <c r="C426" s="12" t="str">
        <f>IFERROR(VLOOKUP(D426,'[1]Перечень товаров'!$A$2:$I9525,3,0),"")</f>
        <v>Прочее муз</v>
      </c>
      <c r="D426" s="29" t="s">
        <v>83</v>
      </c>
      <c r="E426" s="30"/>
      <c r="F426" s="30"/>
      <c r="G426" s="31">
        <v>1</v>
      </c>
      <c r="H426" s="31"/>
      <c r="I426" s="32"/>
      <c r="J426" s="32"/>
      <c r="K426" s="19"/>
      <c r="L426" s="20"/>
    </row>
    <row r="427" spans="1:12" outlineLevel="2">
      <c r="A427" s="28"/>
      <c r="B427" s="12" t="str">
        <f>IFERROR(VLOOKUP(D427,'[1]Перечень товаров'!$A$2:$I9525,2,0),"")</f>
        <v>п6</v>
      </c>
      <c r="C427" s="12" t="str">
        <f>IFERROR(VLOOKUP(D427,'[1]Перечень товаров'!$A$2:$I9525,3,0),"")</f>
        <v>Прочее</v>
      </c>
      <c r="D427" s="29" t="s">
        <v>84</v>
      </c>
      <c r="E427" s="30"/>
      <c r="F427" s="30"/>
      <c r="G427" s="31">
        <v>1</v>
      </c>
      <c r="H427" s="31"/>
      <c r="I427" s="32"/>
      <c r="J427" s="32"/>
      <c r="K427" s="19"/>
      <c r="L427" s="20"/>
    </row>
    <row r="428" spans="1:12" ht="25.5" outlineLevel="1">
      <c r="A428" s="11"/>
      <c r="B428" s="12" t="str">
        <f>IFERROR(VLOOKUP(D428,'[1]Перечень товаров'!$A$2:$I9525,2,0),"")</f>
        <v/>
      </c>
      <c r="C428" s="12" t="str">
        <f>IFERROR(VLOOKUP(D428,'[1]Перечень товаров'!$A$2:$I9525,3,0),"")</f>
        <v/>
      </c>
      <c r="D428" s="27" t="s">
        <v>332</v>
      </c>
      <c r="E428" s="99">
        <v>46223</v>
      </c>
      <c r="F428" s="99"/>
      <c r="G428" s="100"/>
      <c r="H428" s="100"/>
      <c r="I428" s="101"/>
      <c r="J428" s="101"/>
      <c r="K428" s="19"/>
      <c r="L428" s="20"/>
    </row>
    <row r="429" spans="1:12" ht="31.5" outlineLevel="2">
      <c r="A429" s="28"/>
      <c r="B429" s="12" t="str">
        <f>IFERROR(VLOOKUP(D429,'[1]Перечень товаров'!$A$2:$I9525,2,0),"")</f>
        <v>тм61</v>
      </c>
      <c r="C429" s="12" t="str">
        <f>IFERROR(VLOOKUP(D429,'[1]Перечень товаров'!$A$2:$I9525,3,0),"")</f>
        <v>Техника муз</v>
      </c>
      <c r="D429" s="29" t="s">
        <v>333</v>
      </c>
      <c r="E429" s="30"/>
      <c r="F429" s="30"/>
      <c r="G429" s="59">
        <v>1</v>
      </c>
      <c r="H429" s="59"/>
      <c r="I429" s="60"/>
      <c r="J429" s="60"/>
      <c r="K429" s="19"/>
      <c r="L429" s="20"/>
    </row>
    <row r="430" spans="1:12" ht="31.5" outlineLevel="2">
      <c r="A430" s="28"/>
      <c r="B430" s="12" t="str">
        <f>IFERROR(VLOOKUP(D430,'[1]Перечень товаров'!$A$2:$I9525,2,0),"")</f>
        <v>тм62</v>
      </c>
      <c r="C430" s="12" t="str">
        <f>IFERROR(VLOOKUP(D430,'[1]Перечень товаров'!$A$2:$I9525,3,0),"")</f>
        <v>Техника муз</v>
      </c>
      <c r="D430" s="29" t="s">
        <v>334</v>
      </c>
      <c r="E430" s="30"/>
      <c r="F430" s="30"/>
      <c r="G430" s="59">
        <v>1</v>
      </c>
      <c r="H430" s="59"/>
      <c r="I430" s="60"/>
      <c r="J430" s="60"/>
      <c r="K430" s="19"/>
      <c r="L430" s="20"/>
    </row>
    <row r="431" spans="1:12" outlineLevel="2">
      <c r="A431" s="28"/>
      <c r="B431" s="12" t="str">
        <f>IFERROR(VLOOKUP(D431,'[1]Перечень товаров'!$A$2:$I9525,2,0),"")</f>
        <v>м53</v>
      </c>
      <c r="C431" s="12" t="str">
        <f>IFERROR(VLOOKUP(D431,'[1]Перечень товаров'!$A$2:$I9525,3,0),"")</f>
        <v>Мебель</v>
      </c>
      <c r="D431" s="29" t="s">
        <v>335</v>
      </c>
      <c r="E431" s="30"/>
      <c r="F431" s="30"/>
      <c r="G431" s="59">
        <v>1</v>
      </c>
      <c r="H431" s="59"/>
      <c r="I431" s="60"/>
      <c r="J431" s="60"/>
      <c r="K431" s="19"/>
      <c r="L431" s="20"/>
    </row>
    <row r="432" spans="1:12" outlineLevel="2">
      <c r="A432" s="28"/>
      <c r="B432" s="12" t="str">
        <f>IFERROR(VLOOKUP(D432,'[1]Перечень товаров'!$A$2:$I9525,2,0),"")</f>
        <v>тм63</v>
      </c>
      <c r="C432" s="12" t="str">
        <f>IFERROR(VLOOKUP(D432,'[1]Перечень товаров'!$A$2:$I9525,3,0),"")</f>
        <v>Техника муз</v>
      </c>
      <c r="D432" s="29" t="s">
        <v>336</v>
      </c>
      <c r="E432" s="30"/>
      <c r="F432" s="30"/>
      <c r="G432" s="59">
        <v>1</v>
      </c>
      <c r="H432" s="59"/>
      <c r="I432" s="60"/>
      <c r="J432" s="60"/>
      <c r="K432" s="19"/>
      <c r="L432" s="20"/>
    </row>
    <row r="433" spans="1:12" ht="31.5" outlineLevel="2">
      <c r="A433" s="28"/>
      <c r="B433" s="12" t="str">
        <f>IFERROR(VLOOKUP(D433,'[1]Перечень товаров'!$A$2:$I9525,2,0),"")</f>
        <v>тм64</v>
      </c>
      <c r="C433" s="12" t="str">
        <f>IFERROR(VLOOKUP(D433,'[1]Перечень товаров'!$A$2:$I9525,3,0),"")</f>
        <v>Техника муз</v>
      </c>
      <c r="D433" s="29" t="s">
        <v>337</v>
      </c>
      <c r="E433" s="30"/>
      <c r="F433" s="30"/>
      <c r="G433" s="59">
        <v>1</v>
      </c>
      <c r="H433" s="59"/>
      <c r="I433" s="60"/>
      <c r="J433" s="60"/>
      <c r="K433" s="19"/>
      <c r="L433" s="20"/>
    </row>
    <row r="434" spans="1:12" outlineLevel="1">
      <c r="A434" s="21"/>
      <c r="B434" s="12" t="str">
        <f>IFERROR(VLOOKUP(D434,'[1]Перечень товаров'!$A$2:$I9525,2,0),"")</f>
        <v/>
      </c>
      <c r="C434" s="12" t="str">
        <f>IFERROR(VLOOKUP(D434,'[1]Перечень товаров'!$A$2:$I9525,3,0),"")</f>
        <v/>
      </c>
      <c r="D434" s="22" t="s">
        <v>338</v>
      </c>
      <c r="E434" s="102">
        <v>46064</v>
      </c>
      <c r="F434" s="102"/>
      <c r="G434" s="103"/>
      <c r="H434" s="103"/>
      <c r="I434" s="104"/>
      <c r="J434" s="104"/>
      <c r="K434" s="19"/>
      <c r="L434" s="20"/>
    </row>
    <row r="435" spans="1:12" ht="25.5" outlineLevel="1">
      <c r="A435" s="11"/>
      <c r="B435" s="12" t="str">
        <f>IFERROR(VLOOKUP(D435,'[1]Перечень товаров'!$A$2:$I9525,2,0),"")</f>
        <v/>
      </c>
      <c r="C435" s="12" t="str">
        <f>IFERROR(VLOOKUP(D435,'[1]Перечень товаров'!$A$2:$I9525,3,0),"")</f>
        <v/>
      </c>
      <c r="D435" s="27" t="s">
        <v>332</v>
      </c>
      <c r="E435" s="99">
        <v>46254</v>
      </c>
      <c r="F435" s="99"/>
      <c r="G435" s="100"/>
      <c r="H435" s="100"/>
      <c r="I435" s="101"/>
      <c r="J435" s="101"/>
      <c r="K435" s="19"/>
      <c r="L435" s="20"/>
    </row>
    <row r="436" spans="1:12" ht="31.5" outlineLevel="2">
      <c r="A436" s="28"/>
      <c r="B436" s="12" t="str">
        <f>IFERROR(VLOOKUP(D436,'[1]Перечень товаров'!$A$2:$I9525,2,0),"")</f>
        <v>тм61</v>
      </c>
      <c r="C436" s="12" t="str">
        <f>IFERROR(VLOOKUP(D436,'[1]Перечень товаров'!$A$2:$I9525,3,0),"")</f>
        <v>Техника муз</v>
      </c>
      <c r="D436" s="29" t="s">
        <v>333</v>
      </c>
      <c r="E436" s="30"/>
      <c r="F436" s="30"/>
      <c r="G436" s="59">
        <v>1</v>
      </c>
      <c r="H436" s="59"/>
      <c r="I436" s="60"/>
      <c r="J436" s="60"/>
      <c r="K436" s="19"/>
      <c r="L436" s="20"/>
    </row>
    <row r="437" spans="1:12" ht="31.5" outlineLevel="2">
      <c r="A437" s="28"/>
      <c r="B437" s="12" t="str">
        <f>IFERROR(VLOOKUP(D437,'[1]Перечень товаров'!$A$2:$I9525,2,0),"")</f>
        <v>тм62</v>
      </c>
      <c r="C437" s="12" t="str">
        <f>IFERROR(VLOOKUP(D437,'[1]Перечень товаров'!$A$2:$I9525,3,0),"")</f>
        <v>Техника муз</v>
      </c>
      <c r="D437" s="29" t="s">
        <v>334</v>
      </c>
      <c r="E437" s="30"/>
      <c r="F437" s="30"/>
      <c r="G437" s="59">
        <v>1</v>
      </c>
      <c r="H437" s="59"/>
      <c r="I437" s="60"/>
      <c r="J437" s="60"/>
      <c r="K437" s="19"/>
      <c r="L437" s="20"/>
    </row>
    <row r="438" spans="1:12" outlineLevel="2">
      <c r="A438" s="28"/>
      <c r="B438" s="12" t="str">
        <f>IFERROR(VLOOKUP(D438,'[1]Перечень товаров'!$A$2:$I9525,2,0),"")</f>
        <v>м53</v>
      </c>
      <c r="C438" s="12" t="str">
        <f>IFERROR(VLOOKUP(D438,'[1]Перечень товаров'!$A$2:$I9525,3,0),"")</f>
        <v>Мебель</v>
      </c>
      <c r="D438" s="29" t="s">
        <v>335</v>
      </c>
      <c r="E438" s="30"/>
      <c r="F438" s="30"/>
      <c r="G438" s="59">
        <v>1</v>
      </c>
      <c r="H438" s="59"/>
      <c r="I438" s="60"/>
      <c r="J438" s="60"/>
      <c r="K438" s="19"/>
      <c r="L438" s="20"/>
    </row>
    <row r="439" spans="1:12" outlineLevel="2">
      <c r="A439" s="28"/>
      <c r="B439" s="12" t="str">
        <f>IFERROR(VLOOKUP(D439,'[1]Перечень товаров'!$A$2:$I9525,2,0),"")</f>
        <v>тм63</v>
      </c>
      <c r="C439" s="12" t="str">
        <f>IFERROR(VLOOKUP(D439,'[1]Перечень товаров'!$A$2:$I9525,3,0),"")</f>
        <v>Техника муз</v>
      </c>
      <c r="D439" s="29" t="s">
        <v>336</v>
      </c>
      <c r="E439" s="30"/>
      <c r="F439" s="30"/>
      <c r="G439" s="59">
        <v>1</v>
      </c>
      <c r="H439" s="59"/>
      <c r="I439" s="60"/>
      <c r="J439" s="60"/>
      <c r="K439" s="19"/>
      <c r="L439" s="20"/>
    </row>
    <row r="440" spans="1:12" ht="31.5" outlineLevel="2">
      <c r="A440" s="28"/>
      <c r="B440" s="12" t="str">
        <f>IFERROR(VLOOKUP(D440,'[1]Перечень товаров'!$A$2:$I9525,2,0),"")</f>
        <v>тм64</v>
      </c>
      <c r="C440" s="12" t="str">
        <f>IFERROR(VLOOKUP(D440,'[1]Перечень товаров'!$A$2:$I9525,3,0),"")</f>
        <v>Техника муз</v>
      </c>
      <c r="D440" s="29" t="s">
        <v>337</v>
      </c>
      <c r="E440" s="30"/>
      <c r="F440" s="30"/>
      <c r="G440" s="59">
        <v>1</v>
      </c>
      <c r="H440" s="59"/>
      <c r="I440" s="60"/>
      <c r="J440" s="60"/>
      <c r="K440" s="19"/>
      <c r="L440" s="20"/>
    </row>
    <row r="441" spans="1:12" ht="25.5" outlineLevel="1">
      <c r="A441" s="11"/>
      <c r="B441" s="12" t="str">
        <f>IFERROR(VLOOKUP(D441,'[1]Перечень товаров'!$A$2:$I9525,2,0),"")</f>
        <v/>
      </c>
      <c r="C441" s="12" t="str">
        <f>IFERROR(VLOOKUP(D441,'[1]Перечень товаров'!$A$2:$I9525,3,0),"")</f>
        <v/>
      </c>
      <c r="D441" s="27" t="s">
        <v>332</v>
      </c>
      <c r="E441" s="99">
        <v>46162</v>
      </c>
      <c r="F441" s="99"/>
      <c r="G441" s="100"/>
      <c r="H441" s="100"/>
      <c r="I441" s="101"/>
      <c r="J441" s="101"/>
      <c r="K441" s="19"/>
      <c r="L441" s="20"/>
    </row>
    <row r="442" spans="1:12" ht="31.5" outlineLevel="2">
      <c r="A442" s="28"/>
      <c r="B442" s="12" t="str">
        <f>IFERROR(VLOOKUP(D442,'[1]Перечень товаров'!$A$2:$I9525,2,0),"")</f>
        <v>тм61</v>
      </c>
      <c r="C442" s="12" t="str">
        <f>IFERROR(VLOOKUP(D442,'[1]Перечень товаров'!$A$2:$I9525,3,0),"")</f>
        <v>Техника муз</v>
      </c>
      <c r="D442" s="29" t="s">
        <v>333</v>
      </c>
      <c r="E442" s="30"/>
      <c r="F442" s="30"/>
      <c r="G442" s="59">
        <v>1</v>
      </c>
      <c r="H442" s="59"/>
      <c r="I442" s="60"/>
      <c r="J442" s="60"/>
      <c r="K442" s="19"/>
      <c r="L442" s="20"/>
    </row>
    <row r="443" spans="1:12" ht="31.5" outlineLevel="2">
      <c r="A443" s="28"/>
      <c r="B443" s="12" t="str">
        <f>IFERROR(VLOOKUP(D443,'[1]Перечень товаров'!$A$2:$I9525,2,0),"")</f>
        <v>тм62</v>
      </c>
      <c r="C443" s="12" t="str">
        <f>IFERROR(VLOOKUP(D443,'[1]Перечень товаров'!$A$2:$I9525,3,0),"")</f>
        <v>Техника муз</v>
      </c>
      <c r="D443" s="29" t="s">
        <v>334</v>
      </c>
      <c r="E443" s="30"/>
      <c r="F443" s="30"/>
      <c r="G443" s="59">
        <v>1</v>
      </c>
      <c r="H443" s="59"/>
      <c r="I443" s="60"/>
      <c r="J443" s="60"/>
      <c r="K443" s="19"/>
      <c r="L443" s="20"/>
    </row>
    <row r="444" spans="1:12" outlineLevel="2">
      <c r="A444" s="28"/>
      <c r="B444" s="12" t="str">
        <f>IFERROR(VLOOKUP(D444,'[1]Перечень товаров'!$A$2:$I9525,2,0),"")</f>
        <v>м53</v>
      </c>
      <c r="C444" s="12" t="str">
        <f>IFERROR(VLOOKUP(D444,'[1]Перечень товаров'!$A$2:$I9525,3,0),"")</f>
        <v>Мебель</v>
      </c>
      <c r="D444" s="29" t="s">
        <v>335</v>
      </c>
      <c r="E444" s="30"/>
      <c r="F444" s="30"/>
      <c r="G444" s="59">
        <v>1</v>
      </c>
      <c r="H444" s="59"/>
      <c r="I444" s="60"/>
      <c r="J444" s="60"/>
      <c r="K444" s="19"/>
      <c r="L444" s="20"/>
    </row>
    <row r="445" spans="1:12" outlineLevel="2">
      <c r="A445" s="28"/>
      <c r="B445" s="12" t="str">
        <f>IFERROR(VLOOKUP(D445,'[1]Перечень товаров'!$A$2:$I9525,2,0),"")</f>
        <v>тм63</v>
      </c>
      <c r="C445" s="12" t="str">
        <f>IFERROR(VLOOKUP(D445,'[1]Перечень товаров'!$A$2:$I9525,3,0),"")</f>
        <v>Техника муз</v>
      </c>
      <c r="D445" s="29" t="s">
        <v>336</v>
      </c>
      <c r="E445" s="30"/>
      <c r="F445" s="30"/>
      <c r="G445" s="59">
        <v>1</v>
      </c>
      <c r="H445" s="59"/>
      <c r="I445" s="60"/>
      <c r="J445" s="60"/>
      <c r="K445" s="19"/>
      <c r="L445" s="20"/>
    </row>
    <row r="446" spans="1:12" ht="31.5" outlineLevel="2">
      <c r="A446" s="28"/>
      <c r="B446" s="12" t="str">
        <f>IFERROR(VLOOKUP(D446,'[1]Перечень товаров'!$A$2:$I9525,2,0),"")</f>
        <v>тм64</v>
      </c>
      <c r="C446" s="12" t="str">
        <f>IFERROR(VLOOKUP(D446,'[1]Перечень товаров'!$A$2:$I9525,3,0),"")</f>
        <v>Техника муз</v>
      </c>
      <c r="D446" s="29" t="s">
        <v>337</v>
      </c>
      <c r="E446" s="30"/>
      <c r="F446" s="30"/>
      <c r="G446" s="59">
        <v>1</v>
      </c>
      <c r="H446" s="59"/>
      <c r="I446" s="60"/>
      <c r="J446" s="60"/>
      <c r="K446" s="19"/>
      <c r="L446" s="20"/>
    </row>
    <row r="447" spans="1:12" ht="25.5" outlineLevel="1">
      <c r="A447" s="11"/>
      <c r="B447" s="12" t="str">
        <f>IFERROR(VLOOKUP(D447,'[1]Перечень товаров'!$A$2:$I9525,2,0),"")</f>
        <v/>
      </c>
      <c r="C447" s="12" t="str">
        <f>IFERROR(VLOOKUP(D447,'[1]Перечень товаров'!$A$2:$I9525,3,0),"")</f>
        <v/>
      </c>
      <c r="D447" s="27" t="s">
        <v>332</v>
      </c>
      <c r="E447" s="99">
        <v>46133</v>
      </c>
      <c r="F447" s="99"/>
      <c r="G447" s="100"/>
      <c r="H447" s="100"/>
      <c r="I447" s="101"/>
      <c r="J447" s="101"/>
      <c r="K447" s="19"/>
      <c r="L447" s="20"/>
    </row>
    <row r="448" spans="1:12" ht="31.5" outlineLevel="2">
      <c r="A448" s="28"/>
      <c r="B448" s="12" t="str">
        <f>IFERROR(VLOOKUP(D448,'[1]Перечень товаров'!$A$2:$I9525,2,0),"")</f>
        <v>тм61</v>
      </c>
      <c r="C448" s="12" t="str">
        <f>IFERROR(VLOOKUP(D448,'[1]Перечень товаров'!$A$2:$I9525,3,0),"")</f>
        <v>Техника муз</v>
      </c>
      <c r="D448" s="29" t="s">
        <v>333</v>
      </c>
      <c r="E448" s="30"/>
      <c r="F448" s="30"/>
      <c r="G448" s="59">
        <v>1</v>
      </c>
      <c r="H448" s="59"/>
      <c r="I448" s="60"/>
      <c r="J448" s="60"/>
      <c r="K448" s="19"/>
      <c r="L448" s="20"/>
    </row>
    <row r="449" spans="1:12" ht="31.5" outlineLevel="2">
      <c r="A449" s="28"/>
      <c r="B449" s="12" t="str">
        <f>IFERROR(VLOOKUP(D449,'[1]Перечень товаров'!$A$2:$I9525,2,0),"")</f>
        <v>тм62</v>
      </c>
      <c r="C449" s="12" t="str">
        <f>IFERROR(VLOOKUP(D449,'[1]Перечень товаров'!$A$2:$I9525,3,0),"")</f>
        <v>Техника муз</v>
      </c>
      <c r="D449" s="29" t="s">
        <v>334</v>
      </c>
      <c r="E449" s="30"/>
      <c r="F449" s="30"/>
      <c r="G449" s="59">
        <v>1</v>
      </c>
      <c r="H449" s="59"/>
      <c r="I449" s="60"/>
      <c r="J449" s="60"/>
      <c r="K449" s="19"/>
      <c r="L449" s="20"/>
    </row>
    <row r="450" spans="1:12" outlineLevel="2">
      <c r="A450" s="28"/>
      <c r="B450" s="12" t="str">
        <f>IFERROR(VLOOKUP(D450,'[1]Перечень товаров'!$A$2:$I9525,2,0),"")</f>
        <v>м53</v>
      </c>
      <c r="C450" s="12" t="str">
        <f>IFERROR(VLOOKUP(D450,'[1]Перечень товаров'!$A$2:$I9525,3,0),"")</f>
        <v>Мебель</v>
      </c>
      <c r="D450" s="29" t="s">
        <v>335</v>
      </c>
      <c r="E450" s="30"/>
      <c r="F450" s="30"/>
      <c r="G450" s="59">
        <v>1</v>
      </c>
      <c r="H450" s="59"/>
      <c r="I450" s="60"/>
      <c r="J450" s="60"/>
      <c r="K450" s="19"/>
      <c r="L450" s="20"/>
    </row>
    <row r="451" spans="1:12" outlineLevel="2">
      <c r="A451" s="28"/>
      <c r="B451" s="12" t="str">
        <f>IFERROR(VLOOKUP(D451,'[1]Перечень товаров'!$A$2:$I9525,2,0),"")</f>
        <v>тм63</v>
      </c>
      <c r="C451" s="12" t="str">
        <f>IFERROR(VLOOKUP(D451,'[1]Перечень товаров'!$A$2:$I9525,3,0),"")</f>
        <v>Техника муз</v>
      </c>
      <c r="D451" s="29" t="s">
        <v>336</v>
      </c>
      <c r="E451" s="30"/>
      <c r="F451" s="30"/>
      <c r="G451" s="59">
        <v>1</v>
      </c>
      <c r="H451" s="59"/>
      <c r="I451" s="60"/>
      <c r="J451" s="60"/>
      <c r="K451" s="19"/>
      <c r="L451" s="20"/>
    </row>
    <row r="452" spans="1:12" ht="31.5" outlineLevel="2">
      <c r="A452" s="28"/>
      <c r="B452" s="12" t="str">
        <f>IFERROR(VLOOKUP(D452,'[1]Перечень товаров'!$A$2:$I9525,2,0),"")</f>
        <v>тм64</v>
      </c>
      <c r="C452" s="12" t="str">
        <f>IFERROR(VLOOKUP(D452,'[1]Перечень товаров'!$A$2:$I9525,3,0),"")</f>
        <v>Техника муз</v>
      </c>
      <c r="D452" s="29" t="s">
        <v>337</v>
      </c>
      <c r="E452" s="30"/>
      <c r="F452" s="30"/>
      <c r="G452" s="59">
        <v>1</v>
      </c>
      <c r="H452" s="59"/>
      <c r="I452" s="60"/>
      <c r="J452" s="60"/>
      <c r="K452" s="19"/>
      <c r="L452" s="20"/>
    </row>
    <row r="453" spans="1:12" ht="25.5" outlineLevel="1">
      <c r="A453" s="11"/>
      <c r="B453" s="12" t="str">
        <f>IFERROR(VLOOKUP(D453,'[1]Перечень товаров'!$A$2:$I9525,2,0),"")</f>
        <v/>
      </c>
      <c r="C453" s="12" t="str">
        <f>IFERROR(VLOOKUP(D453,'[1]Перечень товаров'!$A$2:$I9525,3,0),"")</f>
        <v/>
      </c>
      <c r="D453" s="27" t="s">
        <v>332</v>
      </c>
      <c r="E453" s="99">
        <v>46285</v>
      </c>
      <c r="F453" s="99"/>
      <c r="G453" s="100"/>
      <c r="H453" s="100"/>
      <c r="I453" s="101"/>
      <c r="J453" s="101"/>
      <c r="K453" s="19"/>
      <c r="L453" s="20"/>
    </row>
    <row r="454" spans="1:12" ht="31.5" outlineLevel="2">
      <c r="A454" s="28"/>
      <c r="B454" s="12" t="str">
        <f>IFERROR(VLOOKUP(D454,'[1]Перечень товаров'!$A$2:$I9525,2,0),"")</f>
        <v>тм61</v>
      </c>
      <c r="C454" s="12" t="str">
        <f>IFERROR(VLOOKUP(D454,'[1]Перечень товаров'!$A$2:$I9525,3,0),"")</f>
        <v>Техника муз</v>
      </c>
      <c r="D454" s="29" t="s">
        <v>333</v>
      </c>
      <c r="E454" s="30"/>
      <c r="F454" s="30"/>
      <c r="G454" s="59">
        <v>1</v>
      </c>
      <c r="H454" s="59"/>
      <c r="I454" s="60"/>
      <c r="J454" s="60"/>
      <c r="K454" s="19"/>
      <c r="L454" s="20"/>
    </row>
    <row r="455" spans="1:12" ht="31.5" outlineLevel="2">
      <c r="A455" s="28"/>
      <c r="B455" s="12" t="str">
        <f>IFERROR(VLOOKUP(D455,'[1]Перечень товаров'!$A$2:$I9525,2,0),"")</f>
        <v>тм62</v>
      </c>
      <c r="C455" s="12" t="str">
        <f>IFERROR(VLOOKUP(D455,'[1]Перечень товаров'!$A$2:$I9525,3,0),"")</f>
        <v>Техника муз</v>
      </c>
      <c r="D455" s="29" t="s">
        <v>334</v>
      </c>
      <c r="E455" s="30"/>
      <c r="F455" s="30"/>
      <c r="G455" s="59">
        <v>1</v>
      </c>
      <c r="H455" s="59"/>
      <c r="I455" s="60"/>
      <c r="J455" s="60"/>
      <c r="K455" s="19"/>
      <c r="L455" s="20"/>
    </row>
    <row r="456" spans="1:12" outlineLevel="2">
      <c r="A456" s="28"/>
      <c r="B456" s="12" t="str">
        <f>IFERROR(VLOOKUP(D456,'[1]Перечень товаров'!$A$2:$I9525,2,0),"")</f>
        <v>м53</v>
      </c>
      <c r="C456" s="12" t="str">
        <f>IFERROR(VLOOKUP(D456,'[1]Перечень товаров'!$A$2:$I9525,3,0),"")</f>
        <v>Мебель</v>
      </c>
      <c r="D456" s="29" t="s">
        <v>335</v>
      </c>
      <c r="E456" s="30"/>
      <c r="F456" s="30"/>
      <c r="G456" s="59">
        <v>1</v>
      </c>
      <c r="H456" s="59"/>
      <c r="I456" s="60"/>
      <c r="J456" s="60"/>
      <c r="K456" s="19"/>
      <c r="L456" s="20"/>
    </row>
    <row r="457" spans="1:12" outlineLevel="2">
      <c r="A457" s="28"/>
      <c r="B457" s="12" t="str">
        <f>IFERROR(VLOOKUP(D457,'[1]Перечень товаров'!$A$2:$I9525,2,0),"")</f>
        <v>тм63</v>
      </c>
      <c r="C457" s="12" t="str">
        <f>IFERROR(VLOOKUP(D457,'[1]Перечень товаров'!$A$2:$I9525,3,0),"")</f>
        <v>Техника муз</v>
      </c>
      <c r="D457" s="29" t="s">
        <v>336</v>
      </c>
      <c r="E457" s="30"/>
      <c r="F457" s="30"/>
      <c r="G457" s="59">
        <v>1</v>
      </c>
      <c r="H457" s="59"/>
      <c r="I457" s="60"/>
      <c r="J457" s="60"/>
      <c r="K457" s="19"/>
      <c r="L457" s="20"/>
    </row>
    <row r="458" spans="1:12" ht="31.5" outlineLevel="2">
      <c r="A458" s="28"/>
      <c r="B458" s="12" t="str">
        <f>IFERROR(VLOOKUP(D458,'[1]Перечень товаров'!$A$2:$I9525,2,0),"")</f>
        <v>тм64</v>
      </c>
      <c r="C458" s="12" t="str">
        <f>IFERROR(VLOOKUP(D458,'[1]Перечень товаров'!$A$2:$I9525,3,0),"")</f>
        <v>Техника муз</v>
      </c>
      <c r="D458" s="29" t="s">
        <v>337</v>
      </c>
      <c r="E458" s="30"/>
      <c r="F458" s="30"/>
      <c r="G458" s="59">
        <v>1</v>
      </c>
      <c r="H458" s="59"/>
      <c r="I458" s="60"/>
      <c r="J458" s="60"/>
      <c r="K458" s="19"/>
      <c r="L458" s="20"/>
    </row>
    <row r="459" spans="1:12" ht="12.75" outlineLevel="1">
      <c r="A459" s="11"/>
      <c r="B459" s="12" t="str">
        <f>IFERROR(VLOOKUP(D459,'[1]Перечень товаров'!$A$2:$I9525,2,0),"")</f>
        <v/>
      </c>
      <c r="C459" s="12" t="str">
        <f>IFERROR(VLOOKUP(D459,'[1]Перечень товаров'!$A$2:$I9525,3,0),"")</f>
        <v/>
      </c>
      <c r="D459" s="27" t="s">
        <v>339</v>
      </c>
      <c r="E459" s="14" t="s">
        <v>340</v>
      </c>
      <c r="F459" s="14"/>
      <c r="G459" s="17"/>
      <c r="H459" s="17"/>
      <c r="I459" s="57"/>
      <c r="J459" s="57"/>
      <c r="K459" s="19"/>
      <c r="L459" s="20"/>
    </row>
    <row r="460" spans="1:12" outlineLevel="2">
      <c r="A460" s="105"/>
      <c r="B460" s="12" t="str">
        <f>IFERROR(VLOOKUP(D460,'[1]Перечень товаров'!$A$2:$I9525,2,0),"")</f>
        <v>м54</v>
      </c>
      <c r="C460" s="12" t="str">
        <f>IFERROR(VLOOKUP(D460,'[1]Перечень товаров'!$A$2:$I9525,3,0),"")</f>
        <v>Мебель</v>
      </c>
      <c r="D460" s="105" t="s">
        <v>341</v>
      </c>
      <c r="E460" s="23"/>
      <c r="F460" s="23"/>
      <c r="G460" s="24"/>
      <c r="H460" s="24"/>
      <c r="I460" s="25"/>
      <c r="J460" s="25"/>
      <c r="K460" s="19"/>
      <c r="L460" s="20"/>
    </row>
    <row r="461" spans="1:12" ht="31.5" outlineLevel="2">
      <c r="A461" s="21"/>
      <c r="B461" s="12" t="str">
        <f>IFERROR(VLOOKUP(D461,'[1]Перечень товаров'!$A$2:$I9525,2,0),"")</f>
        <v>м55</v>
      </c>
      <c r="C461" s="12" t="str">
        <f>IFERROR(VLOOKUP(D461,'[1]Перечень товаров'!$A$2:$I9525,3,0),"")</f>
        <v>Мебель</v>
      </c>
      <c r="D461" s="22" t="s">
        <v>342</v>
      </c>
      <c r="E461" s="23"/>
      <c r="F461" s="23"/>
      <c r="G461" s="24"/>
      <c r="H461" s="24"/>
      <c r="I461" s="25"/>
      <c r="J461" s="25"/>
      <c r="K461" s="19"/>
      <c r="L461" s="20"/>
    </row>
    <row r="462" spans="1:12" outlineLevel="1">
      <c r="A462" s="21"/>
      <c r="B462" s="12" t="str">
        <f>IFERROR(VLOOKUP(D462,'[1]Перечень товаров'!$A$2:$I9525,2,0),"")</f>
        <v/>
      </c>
      <c r="C462" s="12" t="str">
        <f>IFERROR(VLOOKUP(D462,'[1]Перечень товаров'!$A$2:$I9525,3,0),"")</f>
        <v/>
      </c>
      <c r="D462" s="22" t="s">
        <v>343</v>
      </c>
      <c r="E462" s="23" t="s">
        <v>344</v>
      </c>
      <c r="F462" s="23"/>
      <c r="G462" s="24"/>
      <c r="H462" s="24"/>
      <c r="I462" s="25"/>
      <c r="J462" s="25"/>
      <c r="K462" s="19"/>
      <c r="L462" s="20"/>
    </row>
    <row r="463" spans="1:12" outlineLevel="1">
      <c r="A463" s="21"/>
      <c r="B463" s="12" t="str">
        <f>IFERROR(VLOOKUP(D463,'[1]Перечень товаров'!$A$2:$I9525,2,0),"")</f>
        <v/>
      </c>
      <c r="C463" s="12" t="str">
        <f>IFERROR(VLOOKUP(D463,'[1]Перечень товаров'!$A$2:$I9525,3,0),"")</f>
        <v/>
      </c>
      <c r="D463" s="22" t="s">
        <v>345</v>
      </c>
      <c r="E463" s="102">
        <v>46061</v>
      </c>
      <c r="F463" s="102"/>
      <c r="G463" s="103"/>
      <c r="H463" s="103"/>
      <c r="I463" s="104"/>
      <c r="J463" s="104"/>
      <c r="K463" s="19"/>
      <c r="L463" s="20"/>
    </row>
    <row r="464" spans="1:12" outlineLevel="1">
      <c r="A464" s="21"/>
      <c r="B464" s="12" t="str">
        <f>IFERROR(VLOOKUP(D464,'[1]Перечень товаров'!$A$2:$I9525,2,0),"")</f>
        <v/>
      </c>
      <c r="C464" s="12" t="str">
        <f>IFERROR(VLOOKUP(D464,'[1]Перечень товаров'!$A$2:$I9525,3,0),"")</f>
        <v/>
      </c>
      <c r="D464" s="22" t="s">
        <v>346</v>
      </c>
      <c r="E464" s="23" t="s">
        <v>347</v>
      </c>
      <c r="F464" s="23"/>
      <c r="G464" s="24"/>
      <c r="H464" s="24"/>
      <c r="I464" s="25"/>
      <c r="J464" s="25"/>
      <c r="K464" s="19"/>
      <c r="L464" s="20"/>
    </row>
    <row r="465" spans="1:12" outlineLevel="1">
      <c r="A465" s="21"/>
      <c r="B465" s="12" t="str">
        <f>IFERROR(VLOOKUP(D465,'[1]Перечень товаров'!$A$2:$I9525,2,0),"")</f>
        <v/>
      </c>
      <c r="C465" s="12" t="str">
        <f>IFERROR(VLOOKUP(D465,'[1]Перечень товаров'!$A$2:$I9525,3,0),"")</f>
        <v/>
      </c>
      <c r="D465" s="22" t="s">
        <v>345</v>
      </c>
      <c r="E465" s="102">
        <v>46183</v>
      </c>
      <c r="F465" s="102"/>
      <c r="G465" s="103"/>
      <c r="H465" s="103"/>
      <c r="I465" s="104"/>
      <c r="J465" s="104"/>
      <c r="K465" s="19"/>
      <c r="L465" s="20"/>
    </row>
    <row r="466" spans="1:12" outlineLevel="1">
      <c r="A466" s="21"/>
      <c r="B466" s="12" t="str">
        <f>IFERROR(VLOOKUP(D466,'[1]Перечень товаров'!$A$2:$I9525,2,0),"")</f>
        <v/>
      </c>
      <c r="C466" s="12" t="str">
        <f>IFERROR(VLOOKUP(D466,'[1]Перечень товаров'!$A$2:$I9525,3,0),"")</f>
        <v/>
      </c>
      <c r="D466" s="22" t="s">
        <v>348</v>
      </c>
      <c r="E466" s="23" t="s">
        <v>349</v>
      </c>
      <c r="F466" s="23"/>
      <c r="G466" s="24"/>
      <c r="H466" s="24"/>
      <c r="I466" s="25"/>
      <c r="J466" s="25"/>
      <c r="K466" s="19"/>
      <c r="L466" s="20"/>
    </row>
    <row r="467" spans="1:12" ht="12.75" outlineLevel="1">
      <c r="A467" s="11"/>
      <c r="B467" s="12" t="str">
        <f>IFERROR(VLOOKUP(D467,'[1]Перечень товаров'!$A$2:$I9525,2,0),"")</f>
        <v/>
      </c>
      <c r="C467" s="12" t="str">
        <f>IFERROR(VLOOKUP(D467,'[1]Перечень товаров'!$A$2:$I9525,3,0),"")</f>
        <v/>
      </c>
      <c r="D467" s="27" t="s">
        <v>350</v>
      </c>
      <c r="E467" s="14" t="s">
        <v>351</v>
      </c>
      <c r="F467" s="14"/>
      <c r="G467" s="17"/>
      <c r="H467" s="17"/>
      <c r="I467" s="57"/>
      <c r="J467" s="57"/>
      <c r="K467" s="19"/>
      <c r="L467" s="20"/>
    </row>
    <row r="468" spans="1:12" outlineLevel="2">
      <c r="A468" s="21"/>
      <c r="B468" s="12" t="str">
        <f>IFERROR(VLOOKUP(D468,'[1]Перечень товаров'!$A$2:$I9525,2,0),"")</f>
        <v>м56</v>
      </c>
      <c r="C468" s="12" t="str">
        <f>IFERROR(VLOOKUP(D468,'[1]Перечень товаров'!$A$2:$I9525,3,0),"")</f>
        <v>Мебель</v>
      </c>
      <c r="D468" s="22" t="s">
        <v>352</v>
      </c>
      <c r="E468" s="23"/>
      <c r="F468" s="23"/>
      <c r="G468" s="24">
        <v>3</v>
      </c>
      <c r="H468" s="24"/>
      <c r="I468" s="25"/>
      <c r="J468" s="25"/>
      <c r="K468" s="19"/>
      <c r="L468" s="20"/>
    </row>
    <row r="469" spans="1:12" outlineLevel="2">
      <c r="A469" s="21"/>
      <c r="B469" s="12" t="str">
        <f>IFERROR(VLOOKUP(D469,'[1]Перечень товаров'!$A$2:$I9525,2,0),"")</f>
        <v>м57</v>
      </c>
      <c r="C469" s="12" t="str">
        <f>IFERROR(VLOOKUP(D469,'[1]Перечень товаров'!$A$2:$I9525,3,0),"")</f>
        <v>Мебель</v>
      </c>
      <c r="D469" s="22" t="s">
        <v>353</v>
      </c>
      <c r="E469" s="23"/>
      <c r="F469" s="23"/>
      <c r="G469" s="24">
        <v>10</v>
      </c>
      <c r="H469" s="24"/>
      <c r="I469" s="25"/>
      <c r="J469" s="25"/>
      <c r="K469" s="19"/>
      <c r="L469" s="20"/>
    </row>
    <row r="470" spans="1:12" outlineLevel="2">
      <c r="A470" s="21"/>
      <c r="B470" s="12" t="str">
        <f>IFERROR(VLOOKUP(D470,'[1]Перечень товаров'!$A$2:$I9525,2,0),"")</f>
        <v>м58</v>
      </c>
      <c r="C470" s="12" t="str">
        <f>IFERROR(VLOOKUP(D470,'[1]Перечень товаров'!$A$2:$I9525,3,0),"")</f>
        <v>Мебель</v>
      </c>
      <c r="D470" s="22" t="s">
        <v>354</v>
      </c>
      <c r="E470" s="23"/>
      <c r="F470" s="23"/>
      <c r="G470" s="24">
        <v>5</v>
      </c>
      <c r="H470" s="24"/>
      <c r="I470" s="25"/>
      <c r="J470" s="25"/>
      <c r="K470" s="19"/>
      <c r="L470" s="20"/>
    </row>
    <row r="471" spans="1:12" outlineLevel="2">
      <c r="A471" s="21"/>
      <c r="B471" s="12" t="str">
        <f>IFERROR(VLOOKUP(D471,'[1]Перечень товаров'!$A$2:$I9525,2,0),"")</f>
        <v>м59</v>
      </c>
      <c r="C471" s="12" t="str">
        <f>IFERROR(VLOOKUP(D471,'[1]Перечень товаров'!$A$2:$I9525,3,0),"")</f>
        <v>Мебель</v>
      </c>
      <c r="D471" s="22" t="s">
        <v>355</v>
      </c>
      <c r="E471" s="23"/>
      <c r="F471" s="23"/>
      <c r="G471" s="24">
        <v>10</v>
      </c>
      <c r="H471" s="24"/>
      <c r="I471" s="25"/>
      <c r="J471" s="25"/>
      <c r="K471" s="19"/>
      <c r="L471" s="20"/>
    </row>
    <row r="472" spans="1:12" outlineLevel="2">
      <c r="A472" s="21"/>
      <c r="B472" s="12" t="str">
        <f>IFERROR(VLOOKUP(D472,'[1]Перечень товаров'!$A$2:$I9525,2,0),"")</f>
        <v>м60</v>
      </c>
      <c r="C472" s="12" t="str">
        <f>IFERROR(VLOOKUP(D472,'[1]Перечень товаров'!$A$2:$I9525,3,0),"")</f>
        <v>Мебель</v>
      </c>
      <c r="D472" s="22" t="s">
        <v>356</v>
      </c>
      <c r="E472" s="23"/>
      <c r="F472" s="23"/>
      <c r="G472" s="24">
        <v>1</v>
      </c>
      <c r="H472" s="24"/>
      <c r="I472" s="25"/>
      <c r="J472" s="25"/>
      <c r="K472" s="19"/>
      <c r="L472" s="20"/>
    </row>
    <row r="473" spans="1:12" outlineLevel="1">
      <c r="A473" s="21"/>
      <c r="B473" s="12" t="str">
        <f>IFERROR(VLOOKUP(D473,'[1]Перечень товаров'!$A$2:$I9525,2,0),"")</f>
        <v/>
      </c>
      <c r="C473" s="12" t="str">
        <f>IFERROR(VLOOKUP(D473,'[1]Перечень товаров'!$A$2:$I9525,3,0),"")</f>
        <v/>
      </c>
      <c r="D473" s="22" t="s">
        <v>357</v>
      </c>
      <c r="E473" s="23" t="s">
        <v>358</v>
      </c>
      <c r="F473" s="23"/>
      <c r="G473" s="24"/>
      <c r="H473" s="24"/>
      <c r="I473" s="25"/>
      <c r="J473" s="25"/>
      <c r="K473" s="19"/>
      <c r="L473" s="20"/>
    </row>
    <row r="474" spans="1:12" ht="12.75" outlineLevel="1">
      <c r="A474" s="11"/>
      <c r="B474" s="12" t="str">
        <f>IFERROR(VLOOKUP(D474,'[1]Перечень товаров'!$A$2:$I9525,2,0),"")</f>
        <v/>
      </c>
      <c r="C474" s="12" t="str">
        <f>IFERROR(VLOOKUP(D474,'[1]Перечень товаров'!$A$2:$I9525,3,0),"")</f>
        <v/>
      </c>
      <c r="D474" s="27" t="s">
        <v>359</v>
      </c>
      <c r="E474" s="99">
        <v>46268</v>
      </c>
      <c r="F474" s="99"/>
      <c r="G474" s="100"/>
      <c r="H474" s="100"/>
      <c r="I474" s="101"/>
      <c r="J474" s="101"/>
      <c r="K474" s="19"/>
      <c r="L474" s="20"/>
    </row>
    <row r="475" spans="1:12" outlineLevel="2">
      <c r="A475" s="22"/>
      <c r="B475" s="12" t="str">
        <f>IFERROR(VLOOKUP(D475,'[1]Перечень товаров'!$A$2:$I9525,2,0),"")</f>
        <v>п25</v>
      </c>
      <c r="C475" s="12" t="str">
        <f>IFERROR(VLOOKUP(D475,'[1]Перечень товаров'!$A$2:$I9525,3,0),"")</f>
        <v>Прочее</v>
      </c>
      <c r="D475" s="22" t="s">
        <v>360</v>
      </c>
      <c r="E475" s="102"/>
      <c r="F475" s="102"/>
      <c r="G475" s="48">
        <v>3</v>
      </c>
      <c r="H475" s="48"/>
      <c r="I475" s="49"/>
      <c r="J475" s="49"/>
      <c r="K475" s="33"/>
      <c r="L475" s="20"/>
    </row>
    <row r="476" spans="1:12" outlineLevel="2">
      <c r="A476" s="21"/>
      <c r="B476" s="12" t="str">
        <f>IFERROR(VLOOKUP(D476,'[1]Перечень товаров'!$A$2:$I9525,2,0),"")</f>
        <v>п26</v>
      </c>
      <c r="C476" s="12" t="str">
        <f>IFERROR(VLOOKUP(D476,'[1]Перечень товаров'!$A$2:$I9525,3,0),"")</f>
        <v>Прочее</v>
      </c>
      <c r="D476" s="22" t="s">
        <v>361</v>
      </c>
      <c r="E476" s="102"/>
      <c r="F476" s="102"/>
      <c r="G476" s="48">
        <v>2</v>
      </c>
      <c r="H476" s="48"/>
      <c r="I476" s="49"/>
      <c r="J476" s="49"/>
      <c r="K476" s="33"/>
      <c r="L476" s="20"/>
    </row>
    <row r="477" spans="1:12" outlineLevel="2">
      <c r="A477" s="21"/>
      <c r="B477" s="12" t="str">
        <f>IFERROR(VLOOKUP(D477,'[1]Перечень товаров'!$A$2:$I9525,2,0),"")</f>
        <v>п27</v>
      </c>
      <c r="C477" s="12" t="str">
        <f>IFERROR(VLOOKUP(D477,'[1]Перечень товаров'!$A$2:$I9525,3,0),"")</f>
        <v>Прочее</v>
      </c>
      <c r="D477" s="22" t="s">
        <v>362</v>
      </c>
      <c r="E477" s="102"/>
      <c r="F477" s="102"/>
      <c r="G477" s="48">
        <v>2</v>
      </c>
      <c r="H477" s="48"/>
      <c r="I477" s="49"/>
      <c r="J477" s="49"/>
      <c r="K477" s="33"/>
      <c r="L477" s="20"/>
    </row>
    <row r="478" spans="1:12" outlineLevel="2">
      <c r="A478" s="21"/>
      <c r="B478" s="12" t="str">
        <f>IFERROR(VLOOKUP(D478,'[1]Перечень товаров'!$A$2:$I9525,2,0),"")</f>
        <v>п28</v>
      </c>
      <c r="C478" s="12" t="str">
        <f>IFERROR(VLOOKUP(D478,'[1]Перечень товаров'!$A$2:$I9525,3,0),"")</f>
        <v>Прочее</v>
      </c>
      <c r="D478" s="22" t="s">
        <v>363</v>
      </c>
      <c r="E478" s="102"/>
      <c r="F478" s="102"/>
      <c r="G478" s="48">
        <v>1</v>
      </c>
      <c r="H478" s="48"/>
      <c r="I478" s="49"/>
      <c r="J478" s="49"/>
      <c r="K478" s="33"/>
      <c r="L478" s="20"/>
    </row>
    <row r="479" spans="1:12" outlineLevel="2">
      <c r="A479" s="21"/>
      <c r="B479" s="12" t="str">
        <f>IFERROR(VLOOKUP(D479,'[1]Перечень товаров'!$A$2:$I9525,2,0),"")</f>
        <v>п29</v>
      </c>
      <c r="C479" s="12" t="str">
        <f>IFERROR(VLOOKUP(D479,'[1]Перечень товаров'!$A$2:$I9525,3,0),"")</f>
        <v>Прочее</v>
      </c>
      <c r="D479" s="22" t="s">
        <v>364</v>
      </c>
      <c r="E479" s="102"/>
      <c r="F479" s="102"/>
      <c r="G479" s="48">
        <v>6</v>
      </c>
      <c r="H479" s="48"/>
      <c r="I479" s="49"/>
      <c r="J479" s="49"/>
      <c r="K479" s="33"/>
      <c r="L479" s="20"/>
    </row>
    <row r="480" spans="1:12" outlineLevel="2">
      <c r="A480" s="21"/>
      <c r="B480" s="12" t="str">
        <f>IFERROR(VLOOKUP(D480,'[1]Перечень товаров'!$A$2:$I9525,2,0),"")</f>
        <v>п30</v>
      </c>
      <c r="C480" s="12" t="str">
        <f>IFERROR(VLOOKUP(D480,'[1]Перечень товаров'!$A$2:$I9525,3,0),"")</f>
        <v>Прочее</v>
      </c>
      <c r="D480" s="22" t="s">
        <v>365</v>
      </c>
      <c r="E480" s="102"/>
      <c r="F480" s="102"/>
      <c r="G480" s="48">
        <v>2</v>
      </c>
      <c r="H480" s="48"/>
      <c r="I480" s="49"/>
      <c r="J480" s="49"/>
      <c r="K480" s="33"/>
      <c r="L480" s="20"/>
    </row>
    <row r="481" spans="1:12" ht="31.5" outlineLevel="2">
      <c r="A481" s="21"/>
      <c r="B481" s="12" t="str">
        <f>IFERROR(VLOOKUP(D481,'[1]Перечень товаров'!$A$2:$I9525,2,0),"")</f>
        <v>п31</v>
      </c>
      <c r="C481" s="12" t="str">
        <f>IFERROR(VLOOKUP(D481,'[1]Перечень товаров'!$A$2:$I9525,3,0),"")</f>
        <v>Прочее</v>
      </c>
      <c r="D481" s="22" t="s">
        <v>366</v>
      </c>
      <c r="E481" s="102"/>
      <c r="F481" s="102"/>
      <c r="G481" s="48">
        <v>1</v>
      </c>
      <c r="H481" s="48"/>
      <c r="I481" s="49"/>
      <c r="J481" s="49"/>
      <c r="K481" s="33"/>
      <c r="L481" s="20"/>
    </row>
    <row r="482" spans="1:12" ht="31.5" outlineLevel="2">
      <c r="A482" s="21"/>
      <c r="B482" s="12" t="str">
        <f>IFERROR(VLOOKUP(D482,'[1]Перечень товаров'!$A$2:$I9525,2,0),"")</f>
        <v>п32</v>
      </c>
      <c r="C482" s="12" t="str">
        <f>IFERROR(VLOOKUP(D482,'[1]Перечень товаров'!$A$2:$I9525,3,0),"")</f>
        <v>Прочее</v>
      </c>
      <c r="D482" s="22" t="s">
        <v>367</v>
      </c>
      <c r="E482" s="102"/>
      <c r="F482" s="102"/>
      <c r="G482" s="48">
        <v>2</v>
      </c>
      <c r="H482" s="48"/>
      <c r="I482" s="49"/>
      <c r="J482" s="49"/>
      <c r="K482" s="33"/>
      <c r="L482" s="20"/>
    </row>
    <row r="483" spans="1:12" outlineLevel="1">
      <c r="A483" s="34"/>
      <c r="B483" s="12" t="str">
        <f>IFERROR(VLOOKUP(D483,'[1]Перечень товаров'!$A$2:$I9525,2,0),"")</f>
        <v/>
      </c>
      <c r="C483" s="12" t="str">
        <f>IFERROR(VLOOKUP(D483,'[1]Перечень товаров'!$A$2:$I9525,3,0),"")</f>
        <v/>
      </c>
      <c r="D483" s="35" t="s">
        <v>368</v>
      </c>
      <c r="E483" s="106">
        <v>46269</v>
      </c>
      <c r="F483" s="106"/>
      <c r="G483" s="103"/>
      <c r="H483" s="103"/>
      <c r="I483" s="104"/>
      <c r="J483" s="104"/>
      <c r="K483" s="19"/>
      <c r="L483" s="20"/>
    </row>
    <row r="484" spans="1:12" outlineLevel="1">
      <c r="A484" s="34"/>
      <c r="B484" s="12" t="str">
        <f>IFERROR(VLOOKUP(D484,'[1]Перечень товаров'!$A$2:$I9525,2,0),"")</f>
        <v/>
      </c>
      <c r="C484" s="12" t="str">
        <f>IFERROR(VLOOKUP(D484,'[1]Перечень товаров'!$A$2:$I9525,3,0),"")</f>
        <v/>
      </c>
      <c r="D484" s="35" t="s">
        <v>369</v>
      </c>
      <c r="E484" s="58" t="s">
        <v>370</v>
      </c>
      <c r="F484" s="58"/>
      <c r="G484" s="24"/>
      <c r="H484" s="24"/>
      <c r="I484" s="25"/>
      <c r="J484" s="25"/>
      <c r="K484" s="19"/>
      <c r="L484" s="20"/>
    </row>
    <row r="485" spans="1:12" ht="12.75" outlineLevel="1">
      <c r="A485" s="11"/>
      <c r="B485" s="12" t="str">
        <f>IFERROR(VLOOKUP(D485,'[1]Перечень товаров'!$A$2:$I9525,2,0),"")</f>
        <v/>
      </c>
      <c r="C485" s="12" t="str">
        <f>IFERROR(VLOOKUP(D485,'[1]Перечень товаров'!$A$2:$I9525,3,0),"")</f>
        <v/>
      </c>
      <c r="D485" s="27" t="s">
        <v>371</v>
      </c>
      <c r="E485" s="99">
        <v>46270</v>
      </c>
      <c r="F485" s="99"/>
      <c r="G485" s="100"/>
      <c r="H485" s="100"/>
      <c r="I485" s="101"/>
      <c r="J485" s="101"/>
      <c r="K485" s="19"/>
      <c r="L485" s="20"/>
    </row>
    <row r="486" spans="1:12" outlineLevel="2">
      <c r="A486" s="22"/>
      <c r="B486" s="12" t="str">
        <f>IFERROR(VLOOKUP(D486,'[1]Перечень товаров'!$A$2:$I9525,2,0),"")</f>
        <v>п25</v>
      </c>
      <c r="C486" s="12" t="str">
        <f>IFERROR(VLOOKUP(D486,'[1]Перечень товаров'!$A$2:$I9525,3,0),"")</f>
        <v>Прочее</v>
      </c>
      <c r="D486" s="22" t="s">
        <v>360</v>
      </c>
      <c r="E486" s="102"/>
      <c r="F486" s="102"/>
      <c r="G486" s="48">
        <v>3</v>
      </c>
      <c r="H486" s="48"/>
      <c r="I486" s="49"/>
      <c r="J486" s="49"/>
      <c r="K486" s="33"/>
      <c r="L486" s="20"/>
    </row>
    <row r="487" spans="1:12" outlineLevel="2">
      <c r="A487" s="21"/>
      <c r="B487" s="12" t="str">
        <f>IFERROR(VLOOKUP(D487,'[1]Перечень товаров'!$A$2:$I9525,2,0),"")</f>
        <v>п26</v>
      </c>
      <c r="C487" s="12" t="str">
        <f>IFERROR(VLOOKUP(D487,'[1]Перечень товаров'!$A$2:$I9525,3,0),"")</f>
        <v>Прочее</v>
      </c>
      <c r="D487" s="22" t="s">
        <v>361</v>
      </c>
      <c r="E487" s="102"/>
      <c r="F487" s="102"/>
      <c r="G487" s="48">
        <v>2</v>
      </c>
      <c r="H487" s="48"/>
      <c r="I487" s="49"/>
      <c r="J487" s="49"/>
      <c r="K487" s="33"/>
      <c r="L487" s="20"/>
    </row>
    <row r="488" spans="1:12" outlineLevel="2">
      <c r="A488" s="21"/>
      <c r="B488" s="12" t="str">
        <f>IFERROR(VLOOKUP(D488,'[1]Перечень товаров'!$A$2:$I9525,2,0),"")</f>
        <v>п27</v>
      </c>
      <c r="C488" s="12" t="str">
        <f>IFERROR(VLOOKUP(D488,'[1]Перечень товаров'!$A$2:$I9525,3,0),"")</f>
        <v>Прочее</v>
      </c>
      <c r="D488" s="22" t="s">
        <v>362</v>
      </c>
      <c r="E488" s="102"/>
      <c r="F488" s="102"/>
      <c r="G488" s="48">
        <v>2</v>
      </c>
      <c r="H488" s="48"/>
      <c r="I488" s="49"/>
      <c r="J488" s="49"/>
      <c r="K488" s="33"/>
      <c r="L488" s="20"/>
    </row>
    <row r="489" spans="1:12" outlineLevel="2">
      <c r="A489" s="21"/>
      <c r="B489" s="12" t="str">
        <f>IFERROR(VLOOKUP(D489,'[1]Перечень товаров'!$A$2:$I9525,2,0),"")</f>
        <v>п28</v>
      </c>
      <c r="C489" s="12" t="str">
        <f>IFERROR(VLOOKUP(D489,'[1]Перечень товаров'!$A$2:$I9525,3,0),"")</f>
        <v>Прочее</v>
      </c>
      <c r="D489" s="22" t="s">
        <v>363</v>
      </c>
      <c r="E489" s="102"/>
      <c r="F489" s="102"/>
      <c r="G489" s="48">
        <v>1</v>
      </c>
      <c r="H489" s="48"/>
      <c r="I489" s="49"/>
      <c r="J489" s="49"/>
      <c r="K489" s="33"/>
      <c r="L489" s="20"/>
    </row>
    <row r="490" spans="1:12" outlineLevel="2">
      <c r="A490" s="21"/>
      <c r="B490" s="12" t="str">
        <f>IFERROR(VLOOKUP(D490,'[1]Перечень товаров'!$A$2:$I9525,2,0),"")</f>
        <v>п29</v>
      </c>
      <c r="C490" s="12" t="str">
        <f>IFERROR(VLOOKUP(D490,'[1]Перечень товаров'!$A$2:$I9525,3,0),"")</f>
        <v>Прочее</v>
      </c>
      <c r="D490" s="22" t="s">
        <v>364</v>
      </c>
      <c r="E490" s="102"/>
      <c r="F490" s="102"/>
      <c r="G490" s="48">
        <v>6</v>
      </c>
      <c r="H490" s="48"/>
      <c r="I490" s="49"/>
      <c r="J490" s="49"/>
      <c r="K490" s="33"/>
      <c r="L490" s="20"/>
    </row>
    <row r="491" spans="1:12" outlineLevel="2">
      <c r="A491" s="21"/>
      <c r="B491" s="12" t="str">
        <f>IFERROR(VLOOKUP(D491,'[1]Перечень товаров'!$A$2:$I9525,2,0),"")</f>
        <v>п30</v>
      </c>
      <c r="C491" s="12" t="str">
        <f>IFERROR(VLOOKUP(D491,'[1]Перечень товаров'!$A$2:$I9525,3,0),"")</f>
        <v>Прочее</v>
      </c>
      <c r="D491" s="22" t="s">
        <v>365</v>
      </c>
      <c r="E491" s="102"/>
      <c r="F491" s="102"/>
      <c r="G491" s="48">
        <v>2</v>
      </c>
      <c r="H491" s="48"/>
      <c r="I491" s="49"/>
      <c r="J491" s="49"/>
      <c r="K491" s="33"/>
      <c r="L491" s="20"/>
    </row>
    <row r="492" spans="1:12" ht="31.5" outlineLevel="2">
      <c r="A492" s="21"/>
      <c r="B492" s="12" t="str">
        <f>IFERROR(VLOOKUP(D492,'[1]Перечень товаров'!$A$2:$I9525,2,0),"")</f>
        <v>п31</v>
      </c>
      <c r="C492" s="12" t="str">
        <f>IFERROR(VLOOKUP(D492,'[1]Перечень товаров'!$A$2:$I9525,3,0),"")</f>
        <v>Прочее</v>
      </c>
      <c r="D492" s="22" t="s">
        <v>366</v>
      </c>
      <c r="E492" s="102"/>
      <c r="F492" s="102"/>
      <c r="G492" s="48">
        <v>1</v>
      </c>
      <c r="H492" s="48"/>
      <c r="I492" s="49"/>
      <c r="J492" s="49"/>
      <c r="K492" s="33"/>
      <c r="L492" s="20"/>
    </row>
    <row r="493" spans="1:12" ht="31.5" outlineLevel="2">
      <c r="A493" s="21"/>
      <c r="B493" s="12" t="str">
        <f>IFERROR(VLOOKUP(D493,'[1]Перечень товаров'!$A$2:$I9525,2,0),"")</f>
        <v>п32</v>
      </c>
      <c r="C493" s="12" t="str">
        <f>IFERROR(VLOOKUP(D493,'[1]Перечень товаров'!$A$2:$I9525,3,0),"")</f>
        <v>Прочее</v>
      </c>
      <c r="D493" s="22" t="s">
        <v>367</v>
      </c>
      <c r="E493" s="102"/>
      <c r="F493" s="102"/>
      <c r="G493" s="48">
        <v>2</v>
      </c>
      <c r="H493" s="48"/>
      <c r="I493" s="49"/>
      <c r="J493" s="49"/>
      <c r="K493" s="33"/>
      <c r="L493" s="20"/>
    </row>
    <row r="494" spans="1:12" ht="12.75" outlineLevel="1">
      <c r="A494" s="11"/>
      <c r="B494" s="12" t="str">
        <f>IFERROR(VLOOKUP(D494,'[1]Перечень товаров'!$A$2:$I9525,2,0),"")</f>
        <v/>
      </c>
      <c r="C494" s="12" t="str">
        <f>IFERROR(VLOOKUP(D494,'[1]Перечень товаров'!$A$2:$I9525,3,0),"")</f>
        <v/>
      </c>
      <c r="D494" s="27" t="s">
        <v>372</v>
      </c>
      <c r="E494" s="99">
        <v>46270</v>
      </c>
      <c r="F494" s="99"/>
      <c r="G494" s="100"/>
      <c r="H494" s="100"/>
      <c r="I494" s="101"/>
      <c r="J494" s="101"/>
      <c r="K494" s="19"/>
      <c r="L494" s="20"/>
    </row>
    <row r="495" spans="1:12" outlineLevel="2">
      <c r="A495" s="22"/>
      <c r="B495" s="12" t="str">
        <f>IFERROR(VLOOKUP(D495,'[1]Перечень товаров'!$A$2:$I9525,2,0),"")</f>
        <v>п25</v>
      </c>
      <c r="C495" s="12" t="str">
        <f>IFERROR(VLOOKUP(D495,'[1]Перечень товаров'!$A$2:$I9525,3,0),"")</f>
        <v>Прочее</v>
      </c>
      <c r="D495" s="22" t="s">
        <v>360</v>
      </c>
      <c r="E495" s="102"/>
      <c r="F495" s="102"/>
      <c r="G495" s="48">
        <v>3</v>
      </c>
      <c r="H495" s="48"/>
      <c r="I495" s="49"/>
      <c r="J495" s="49"/>
      <c r="K495" s="33"/>
      <c r="L495" s="20"/>
    </row>
    <row r="496" spans="1:12" outlineLevel="2">
      <c r="A496" s="21"/>
      <c r="B496" s="12" t="str">
        <f>IFERROR(VLOOKUP(D496,'[1]Перечень товаров'!$A$2:$I9525,2,0),"")</f>
        <v>п26</v>
      </c>
      <c r="C496" s="12" t="str">
        <f>IFERROR(VLOOKUP(D496,'[1]Перечень товаров'!$A$2:$I9525,3,0),"")</f>
        <v>Прочее</v>
      </c>
      <c r="D496" s="22" t="s">
        <v>361</v>
      </c>
      <c r="E496" s="102"/>
      <c r="F496" s="102"/>
      <c r="G496" s="48">
        <v>2</v>
      </c>
      <c r="H496" s="48"/>
      <c r="I496" s="49"/>
      <c r="J496" s="49"/>
      <c r="K496" s="33"/>
      <c r="L496" s="20"/>
    </row>
    <row r="497" spans="1:12" outlineLevel="2">
      <c r="A497" s="21"/>
      <c r="B497" s="12" t="str">
        <f>IFERROR(VLOOKUP(D497,'[1]Перечень товаров'!$A$2:$I9525,2,0),"")</f>
        <v>п27</v>
      </c>
      <c r="C497" s="12" t="str">
        <f>IFERROR(VLOOKUP(D497,'[1]Перечень товаров'!$A$2:$I9525,3,0),"")</f>
        <v>Прочее</v>
      </c>
      <c r="D497" s="22" t="s">
        <v>362</v>
      </c>
      <c r="E497" s="102"/>
      <c r="F497" s="102"/>
      <c r="G497" s="48">
        <v>2</v>
      </c>
      <c r="H497" s="48"/>
      <c r="I497" s="49"/>
      <c r="J497" s="49"/>
      <c r="K497" s="33"/>
      <c r="L497" s="20"/>
    </row>
    <row r="498" spans="1:12" outlineLevel="2">
      <c r="A498" s="21"/>
      <c r="B498" s="12" t="str">
        <f>IFERROR(VLOOKUP(D498,'[1]Перечень товаров'!$A$2:$I9525,2,0),"")</f>
        <v>п28</v>
      </c>
      <c r="C498" s="12" t="str">
        <f>IFERROR(VLOOKUP(D498,'[1]Перечень товаров'!$A$2:$I9525,3,0),"")</f>
        <v>Прочее</v>
      </c>
      <c r="D498" s="22" t="s">
        <v>363</v>
      </c>
      <c r="E498" s="102"/>
      <c r="F498" s="102"/>
      <c r="G498" s="48">
        <v>1</v>
      </c>
      <c r="H498" s="48"/>
      <c r="I498" s="49"/>
      <c r="J498" s="49"/>
      <c r="K498" s="33"/>
      <c r="L498" s="20"/>
    </row>
    <row r="499" spans="1:12" outlineLevel="2">
      <c r="A499" s="21"/>
      <c r="B499" s="12" t="str">
        <f>IFERROR(VLOOKUP(D499,'[1]Перечень товаров'!$A$2:$I9525,2,0),"")</f>
        <v>п29</v>
      </c>
      <c r="C499" s="12" t="str">
        <f>IFERROR(VLOOKUP(D499,'[1]Перечень товаров'!$A$2:$I9525,3,0),"")</f>
        <v>Прочее</v>
      </c>
      <c r="D499" s="22" t="s">
        <v>364</v>
      </c>
      <c r="E499" s="102"/>
      <c r="F499" s="102"/>
      <c r="G499" s="48">
        <v>6</v>
      </c>
      <c r="H499" s="48"/>
      <c r="I499" s="49"/>
      <c r="J499" s="49"/>
      <c r="K499" s="33"/>
      <c r="L499" s="20"/>
    </row>
    <row r="500" spans="1:12" outlineLevel="2">
      <c r="A500" s="21"/>
      <c r="B500" s="12" t="str">
        <f>IFERROR(VLOOKUP(D500,'[1]Перечень товаров'!$A$2:$I9525,2,0),"")</f>
        <v>п30</v>
      </c>
      <c r="C500" s="12" t="str">
        <f>IFERROR(VLOOKUP(D500,'[1]Перечень товаров'!$A$2:$I9525,3,0),"")</f>
        <v>Прочее</v>
      </c>
      <c r="D500" s="22" t="s">
        <v>365</v>
      </c>
      <c r="E500" s="102"/>
      <c r="F500" s="102"/>
      <c r="G500" s="48">
        <v>2</v>
      </c>
      <c r="H500" s="48"/>
      <c r="I500" s="49"/>
      <c r="J500" s="49"/>
      <c r="K500" s="33"/>
      <c r="L500" s="20"/>
    </row>
    <row r="501" spans="1:12" ht="31.5" outlineLevel="2">
      <c r="A501" s="21"/>
      <c r="B501" s="12" t="str">
        <f>IFERROR(VLOOKUP(D501,'[1]Перечень товаров'!$A$2:$I9525,2,0),"")</f>
        <v>п31</v>
      </c>
      <c r="C501" s="12" t="str">
        <f>IFERROR(VLOOKUP(D501,'[1]Перечень товаров'!$A$2:$I9525,3,0),"")</f>
        <v>Прочее</v>
      </c>
      <c r="D501" s="22" t="s">
        <v>366</v>
      </c>
      <c r="E501" s="102"/>
      <c r="F501" s="102"/>
      <c r="G501" s="48">
        <v>1</v>
      </c>
      <c r="H501" s="48"/>
      <c r="I501" s="49"/>
      <c r="J501" s="49"/>
      <c r="K501" s="33"/>
      <c r="L501" s="20"/>
    </row>
    <row r="502" spans="1:12" ht="31.5" outlineLevel="2">
      <c r="A502" s="21"/>
      <c r="B502" s="12" t="str">
        <f>IFERROR(VLOOKUP(D502,'[1]Перечень товаров'!$A$2:$I9525,2,0),"")</f>
        <v>п32</v>
      </c>
      <c r="C502" s="12" t="str">
        <f>IFERROR(VLOOKUP(D502,'[1]Перечень товаров'!$A$2:$I9525,3,0),"")</f>
        <v>Прочее</v>
      </c>
      <c r="D502" s="22" t="s">
        <v>367</v>
      </c>
      <c r="E502" s="102"/>
      <c r="F502" s="102"/>
      <c r="G502" s="48">
        <v>2</v>
      </c>
      <c r="H502" s="48"/>
      <c r="I502" s="49"/>
      <c r="J502" s="49"/>
      <c r="K502" s="33"/>
      <c r="L502" s="20"/>
    </row>
    <row r="503" spans="1:12" ht="12.75" outlineLevel="1">
      <c r="A503" s="11"/>
      <c r="B503" s="12" t="str">
        <f>IFERROR(VLOOKUP(D503,'[1]Перечень товаров'!$A$2:$I9525,2,0),"")</f>
        <v/>
      </c>
      <c r="C503" s="12" t="str">
        <f>IFERROR(VLOOKUP(D503,'[1]Перечень товаров'!$A$2:$I9525,3,0),"")</f>
        <v/>
      </c>
      <c r="D503" s="27" t="s">
        <v>373</v>
      </c>
      <c r="E503" s="99">
        <v>46055</v>
      </c>
      <c r="F503" s="99"/>
      <c r="G503" s="100"/>
      <c r="H503" s="100"/>
      <c r="I503" s="101"/>
      <c r="J503" s="101"/>
      <c r="K503" s="19"/>
      <c r="L503" s="20"/>
    </row>
    <row r="504" spans="1:12" outlineLevel="2">
      <c r="A504" s="22"/>
      <c r="B504" s="12" t="str">
        <f>IFERROR(VLOOKUP(D504,'[1]Перечень товаров'!$A$2:$I9525,2,0),"")</f>
        <v>п25</v>
      </c>
      <c r="C504" s="12" t="str">
        <f>IFERROR(VLOOKUP(D504,'[1]Перечень товаров'!$A$2:$I9525,3,0),"")</f>
        <v>Прочее</v>
      </c>
      <c r="D504" s="22" t="s">
        <v>360</v>
      </c>
      <c r="E504" s="102"/>
      <c r="F504" s="102"/>
      <c r="G504" s="48">
        <v>3</v>
      </c>
      <c r="H504" s="48"/>
      <c r="I504" s="49"/>
      <c r="J504" s="49"/>
      <c r="K504" s="19"/>
      <c r="L504" s="20"/>
    </row>
    <row r="505" spans="1:12" outlineLevel="2">
      <c r="A505" s="21"/>
      <c r="B505" s="12" t="str">
        <f>IFERROR(VLOOKUP(D505,'[1]Перечень товаров'!$A$2:$I9525,2,0),"")</f>
        <v>п26</v>
      </c>
      <c r="C505" s="12" t="str">
        <f>IFERROR(VLOOKUP(D505,'[1]Перечень товаров'!$A$2:$I9525,3,0),"")</f>
        <v>Прочее</v>
      </c>
      <c r="D505" s="22" t="s">
        <v>361</v>
      </c>
      <c r="E505" s="102"/>
      <c r="F505" s="102"/>
      <c r="G505" s="48">
        <v>2</v>
      </c>
      <c r="H505" s="48"/>
      <c r="I505" s="49"/>
      <c r="J505" s="49"/>
      <c r="K505" s="19"/>
      <c r="L505" s="20"/>
    </row>
    <row r="506" spans="1:12" outlineLevel="2">
      <c r="A506" s="21"/>
      <c r="B506" s="12" t="str">
        <f>IFERROR(VLOOKUP(D506,'[1]Перечень товаров'!$A$2:$I9525,2,0),"")</f>
        <v>п27</v>
      </c>
      <c r="C506" s="12" t="str">
        <f>IFERROR(VLOOKUP(D506,'[1]Перечень товаров'!$A$2:$I9525,3,0),"")</f>
        <v>Прочее</v>
      </c>
      <c r="D506" s="22" t="s">
        <v>362</v>
      </c>
      <c r="E506" s="102"/>
      <c r="F506" s="102"/>
      <c r="G506" s="48">
        <v>2</v>
      </c>
      <c r="H506" s="48"/>
      <c r="I506" s="49"/>
      <c r="J506" s="49"/>
      <c r="K506" s="19"/>
      <c r="L506" s="20"/>
    </row>
    <row r="507" spans="1:12" outlineLevel="2">
      <c r="A507" s="21"/>
      <c r="B507" s="12" t="str">
        <f>IFERROR(VLOOKUP(D507,'[1]Перечень товаров'!$A$2:$I9525,2,0),"")</f>
        <v>п28</v>
      </c>
      <c r="C507" s="12" t="str">
        <f>IFERROR(VLOOKUP(D507,'[1]Перечень товаров'!$A$2:$I9525,3,0),"")</f>
        <v>Прочее</v>
      </c>
      <c r="D507" s="22" t="s">
        <v>363</v>
      </c>
      <c r="E507" s="102"/>
      <c r="F507" s="102"/>
      <c r="G507" s="48">
        <v>1</v>
      </c>
      <c r="H507" s="48"/>
      <c r="I507" s="49"/>
      <c r="J507" s="49"/>
      <c r="K507" s="19"/>
      <c r="L507" s="20"/>
    </row>
    <row r="508" spans="1:12" outlineLevel="2">
      <c r="A508" s="21"/>
      <c r="B508" s="12" t="str">
        <f>IFERROR(VLOOKUP(D508,'[1]Перечень товаров'!$A$2:$I9525,2,0),"")</f>
        <v>п29</v>
      </c>
      <c r="C508" s="12" t="str">
        <f>IFERROR(VLOOKUP(D508,'[1]Перечень товаров'!$A$2:$I9525,3,0),"")</f>
        <v>Прочее</v>
      </c>
      <c r="D508" s="22" t="s">
        <v>364</v>
      </c>
      <c r="E508" s="102"/>
      <c r="F508" s="102"/>
      <c r="G508" s="48">
        <v>6</v>
      </c>
      <c r="H508" s="48"/>
      <c r="I508" s="49"/>
      <c r="J508" s="49"/>
      <c r="K508" s="19"/>
      <c r="L508" s="20"/>
    </row>
    <row r="509" spans="1:12" outlineLevel="2">
      <c r="A509" s="21"/>
      <c r="B509" s="12" t="str">
        <f>IFERROR(VLOOKUP(D509,'[1]Перечень товаров'!$A$2:$I9525,2,0),"")</f>
        <v>п30</v>
      </c>
      <c r="C509" s="12" t="str">
        <f>IFERROR(VLOOKUP(D509,'[1]Перечень товаров'!$A$2:$I9525,3,0),"")</f>
        <v>Прочее</v>
      </c>
      <c r="D509" s="22" t="s">
        <v>365</v>
      </c>
      <c r="E509" s="102"/>
      <c r="F509" s="102"/>
      <c r="G509" s="48">
        <v>2</v>
      </c>
      <c r="H509" s="48"/>
      <c r="I509" s="49"/>
      <c r="J509" s="49"/>
      <c r="K509" s="19"/>
      <c r="L509" s="20"/>
    </row>
    <row r="510" spans="1:12" ht="31.5" outlineLevel="2">
      <c r="A510" s="21"/>
      <c r="B510" s="12" t="str">
        <f>IFERROR(VLOOKUP(D510,'[1]Перечень товаров'!$A$2:$I9525,2,0),"")</f>
        <v>п31</v>
      </c>
      <c r="C510" s="12" t="str">
        <f>IFERROR(VLOOKUP(D510,'[1]Перечень товаров'!$A$2:$I9525,3,0),"")</f>
        <v>Прочее</v>
      </c>
      <c r="D510" s="22" t="s">
        <v>366</v>
      </c>
      <c r="E510" s="102"/>
      <c r="F510" s="102"/>
      <c r="G510" s="48">
        <v>1</v>
      </c>
      <c r="H510" s="48"/>
      <c r="I510" s="49"/>
      <c r="J510" s="49"/>
      <c r="K510" s="19"/>
      <c r="L510" s="20"/>
    </row>
    <row r="511" spans="1:12" ht="31.5" outlineLevel="2">
      <c r="A511" s="21"/>
      <c r="B511" s="12" t="str">
        <f>IFERROR(VLOOKUP(D511,'[1]Перечень товаров'!$A$2:$I9525,2,0),"")</f>
        <v>п32</v>
      </c>
      <c r="C511" s="12" t="str">
        <f>IFERROR(VLOOKUP(D511,'[1]Перечень товаров'!$A$2:$I9525,3,0),"")</f>
        <v>Прочее</v>
      </c>
      <c r="D511" s="22" t="s">
        <v>367</v>
      </c>
      <c r="E511" s="102"/>
      <c r="F511" s="102"/>
      <c r="G511" s="48">
        <v>2</v>
      </c>
      <c r="H511" s="48"/>
      <c r="I511" s="49"/>
      <c r="J511" s="49"/>
      <c r="K511" s="19"/>
      <c r="L511" s="20"/>
    </row>
    <row r="512" spans="1:12" ht="12.75" outlineLevel="1">
      <c r="A512" s="11"/>
      <c r="B512" s="12" t="str">
        <f>IFERROR(VLOOKUP(D512,'[1]Перечень товаров'!$A$2:$I9525,2,0),"")</f>
        <v/>
      </c>
      <c r="C512" s="12" t="str">
        <f>IFERROR(VLOOKUP(D512,'[1]Перечень товаров'!$A$2:$I9525,3,0),"")</f>
        <v/>
      </c>
      <c r="D512" s="27" t="s">
        <v>374</v>
      </c>
      <c r="E512" s="14" t="s">
        <v>375</v>
      </c>
      <c r="F512" s="14"/>
      <c r="G512" s="17"/>
      <c r="H512" s="17"/>
      <c r="I512" s="57"/>
      <c r="J512" s="57"/>
      <c r="K512" s="19"/>
      <c r="L512" s="20"/>
    </row>
    <row r="513" spans="1:12" outlineLevel="2">
      <c r="A513" s="22"/>
      <c r="B513" s="12" t="str">
        <f>IFERROR(VLOOKUP(D513,'[1]Перечень товаров'!$A$2:$I9525,2,0),"")</f>
        <v>п25</v>
      </c>
      <c r="C513" s="12" t="str">
        <f>IFERROR(VLOOKUP(D513,'[1]Перечень товаров'!$A$2:$I9525,3,0),"")</f>
        <v>Прочее</v>
      </c>
      <c r="D513" s="22" t="s">
        <v>360</v>
      </c>
      <c r="E513" s="102"/>
      <c r="F513" s="102"/>
      <c r="G513" s="48">
        <v>3</v>
      </c>
      <c r="H513" s="48"/>
      <c r="I513" s="49"/>
      <c r="J513" s="49"/>
      <c r="K513" s="19"/>
      <c r="L513" s="20"/>
    </row>
    <row r="514" spans="1:12" outlineLevel="2">
      <c r="A514" s="21"/>
      <c r="B514" s="12" t="str">
        <f>IFERROR(VLOOKUP(D514,'[1]Перечень товаров'!$A$2:$I9525,2,0),"")</f>
        <v>п26</v>
      </c>
      <c r="C514" s="12" t="str">
        <f>IFERROR(VLOOKUP(D514,'[1]Перечень товаров'!$A$2:$I9525,3,0),"")</f>
        <v>Прочее</v>
      </c>
      <c r="D514" s="22" t="s">
        <v>361</v>
      </c>
      <c r="E514" s="102"/>
      <c r="F514" s="102"/>
      <c r="G514" s="48">
        <v>2</v>
      </c>
      <c r="H514" s="48"/>
      <c r="I514" s="49"/>
      <c r="J514" s="49"/>
      <c r="K514" s="19"/>
      <c r="L514" s="20"/>
    </row>
    <row r="515" spans="1:12" outlineLevel="2">
      <c r="A515" s="21"/>
      <c r="B515" s="12" t="str">
        <f>IFERROR(VLOOKUP(D515,'[1]Перечень товаров'!$A$2:$I9525,2,0),"")</f>
        <v>п27</v>
      </c>
      <c r="C515" s="12" t="str">
        <f>IFERROR(VLOOKUP(D515,'[1]Перечень товаров'!$A$2:$I9525,3,0),"")</f>
        <v>Прочее</v>
      </c>
      <c r="D515" s="22" t="s">
        <v>362</v>
      </c>
      <c r="E515" s="102"/>
      <c r="F515" s="102"/>
      <c r="G515" s="48">
        <v>2</v>
      </c>
      <c r="H515" s="48"/>
      <c r="I515" s="49"/>
      <c r="J515" s="49"/>
      <c r="K515" s="19"/>
      <c r="L515" s="20"/>
    </row>
    <row r="516" spans="1:12" outlineLevel="2">
      <c r="A516" s="21"/>
      <c r="B516" s="12" t="str">
        <f>IFERROR(VLOOKUP(D516,'[1]Перечень товаров'!$A$2:$I9525,2,0),"")</f>
        <v>п28</v>
      </c>
      <c r="C516" s="12" t="str">
        <f>IFERROR(VLOOKUP(D516,'[1]Перечень товаров'!$A$2:$I9525,3,0),"")</f>
        <v>Прочее</v>
      </c>
      <c r="D516" s="22" t="s">
        <v>363</v>
      </c>
      <c r="E516" s="102"/>
      <c r="F516" s="102"/>
      <c r="G516" s="48">
        <v>1</v>
      </c>
      <c r="H516" s="48"/>
      <c r="I516" s="49"/>
      <c r="J516" s="49"/>
      <c r="K516" s="19"/>
      <c r="L516" s="20"/>
    </row>
    <row r="517" spans="1:12" outlineLevel="2">
      <c r="A517" s="21"/>
      <c r="B517" s="12" t="str">
        <f>IFERROR(VLOOKUP(D517,'[1]Перечень товаров'!$A$2:$I9525,2,0),"")</f>
        <v>п29</v>
      </c>
      <c r="C517" s="12" t="str">
        <f>IFERROR(VLOOKUP(D517,'[1]Перечень товаров'!$A$2:$I9525,3,0),"")</f>
        <v>Прочее</v>
      </c>
      <c r="D517" s="22" t="s">
        <v>364</v>
      </c>
      <c r="E517" s="102"/>
      <c r="F517" s="102"/>
      <c r="G517" s="48">
        <v>6</v>
      </c>
      <c r="H517" s="48"/>
      <c r="I517" s="49"/>
      <c r="J517" s="49"/>
      <c r="K517" s="19"/>
      <c r="L517" s="20"/>
    </row>
    <row r="518" spans="1:12" outlineLevel="2">
      <c r="A518" s="21"/>
      <c r="B518" s="12" t="str">
        <f>IFERROR(VLOOKUP(D518,'[1]Перечень товаров'!$A$2:$I9525,2,0),"")</f>
        <v>п30</v>
      </c>
      <c r="C518" s="12" t="str">
        <f>IFERROR(VLOOKUP(D518,'[1]Перечень товаров'!$A$2:$I9525,3,0),"")</f>
        <v>Прочее</v>
      </c>
      <c r="D518" s="22" t="s">
        <v>365</v>
      </c>
      <c r="E518" s="102"/>
      <c r="F518" s="102"/>
      <c r="G518" s="48">
        <v>2</v>
      </c>
      <c r="H518" s="48"/>
      <c r="I518" s="49"/>
      <c r="J518" s="49"/>
      <c r="K518" s="19"/>
      <c r="L518" s="20"/>
    </row>
    <row r="519" spans="1:12" ht="31.5" outlineLevel="2">
      <c r="A519" s="21"/>
      <c r="B519" s="12" t="str">
        <f>IFERROR(VLOOKUP(D519,'[1]Перечень товаров'!$A$2:$I9525,2,0),"")</f>
        <v>п31</v>
      </c>
      <c r="C519" s="12" t="str">
        <f>IFERROR(VLOOKUP(D519,'[1]Перечень товаров'!$A$2:$I9525,3,0),"")</f>
        <v>Прочее</v>
      </c>
      <c r="D519" s="22" t="s">
        <v>366</v>
      </c>
      <c r="E519" s="102"/>
      <c r="F519" s="102"/>
      <c r="G519" s="48">
        <v>1</v>
      </c>
      <c r="H519" s="48"/>
      <c r="I519" s="49"/>
      <c r="J519" s="49"/>
      <c r="K519" s="19"/>
      <c r="L519" s="20"/>
    </row>
    <row r="520" spans="1:12" ht="31.5" outlineLevel="2">
      <c r="A520" s="21"/>
      <c r="B520" s="12" t="str">
        <f>IFERROR(VLOOKUP(D520,'[1]Перечень товаров'!$A$2:$I9525,2,0),"")</f>
        <v>п32</v>
      </c>
      <c r="C520" s="12" t="str">
        <f>IFERROR(VLOOKUP(D520,'[1]Перечень товаров'!$A$2:$I9525,3,0),"")</f>
        <v>Прочее</v>
      </c>
      <c r="D520" s="22" t="s">
        <v>367</v>
      </c>
      <c r="E520" s="102"/>
      <c r="F520" s="102"/>
      <c r="G520" s="48">
        <v>2</v>
      </c>
      <c r="H520" s="48"/>
      <c r="I520" s="49"/>
      <c r="J520" s="49"/>
      <c r="K520" s="19"/>
      <c r="L520" s="20"/>
    </row>
    <row r="521" spans="1:12" ht="12.75" outlineLevel="1">
      <c r="A521" s="11"/>
      <c r="B521" s="12" t="str">
        <f>IFERROR(VLOOKUP(D521,'[1]Перечень товаров'!$A$2:$I9525,2,0),"")</f>
        <v/>
      </c>
      <c r="C521" s="12" t="str">
        <f>IFERROR(VLOOKUP(D521,'[1]Перечень товаров'!$A$2:$I9525,3,0),"")</f>
        <v/>
      </c>
      <c r="D521" s="27" t="s">
        <v>371</v>
      </c>
      <c r="E521" s="99">
        <v>46240</v>
      </c>
      <c r="F521" s="99"/>
      <c r="G521" s="100"/>
      <c r="H521" s="100"/>
      <c r="I521" s="101"/>
      <c r="J521" s="101"/>
      <c r="K521" s="19"/>
      <c r="L521" s="20"/>
    </row>
    <row r="522" spans="1:12" outlineLevel="2">
      <c r="A522" s="22"/>
      <c r="B522" s="12" t="str">
        <f>IFERROR(VLOOKUP(D522,'[1]Перечень товаров'!$A$2:$I9525,2,0),"")</f>
        <v>п25</v>
      </c>
      <c r="C522" s="12" t="str">
        <f>IFERROR(VLOOKUP(D522,'[1]Перечень товаров'!$A$2:$I9525,3,0),"")</f>
        <v>Прочее</v>
      </c>
      <c r="D522" s="22" t="s">
        <v>360</v>
      </c>
      <c r="E522" s="102"/>
      <c r="F522" s="102"/>
      <c r="G522" s="48">
        <v>3</v>
      </c>
      <c r="H522" s="48"/>
      <c r="I522" s="49"/>
      <c r="J522" s="49"/>
      <c r="K522" s="33"/>
      <c r="L522" s="20"/>
    </row>
    <row r="523" spans="1:12" outlineLevel="2">
      <c r="A523" s="21"/>
      <c r="B523" s="12" t="str">
        <f>IFERROR(VLOOKUP(D523,'[1]Перечень товаров'!$A$2:$I9525,2,0),"")</f>
        <v>п26</v>
      </c>
      <c r="C523" s="12" t="str">
        <f>IFERROR(VLOOKUP(D523,'[1]Перечень товаров'!$A$2:$I9525,3,0),"")</f>
        <v>Прочее</v>
      </c>
      <c r="D523" s="22" t="s">
        <v>361</v>
      </c>
      <c r="E523" s="102"/>
      <c r="F523" s="102"/>
      <c r="G523" s="48">
        <v>2</v>
      </c>
      <c r="H523" s="48"/>
      <c r="I523" s="49"/>
      <c r="J523" s="49"/>
      <c r="K523" s="33"/>
      <c r="L523" s="20"/>
    </row>
    <row r="524" spans="1:12" outlineLevel="2">
      <c r="A524" s="21"/>
      <c r="B524" s="12" t="str">
        <f>IFERROR(VLOOKUP(D524,'[1]Перечень товаров'!$A$2:$I9525,2,0),"")</f>
        <v>п27</v>
      </c>
      <c r="C524" s="12" t="str">
        <f>IFERROR(VLOOKUP(D524,'[1]Перечень товаров'!$A$2:$I9525,3,0),"")</f>
        <v>Прочее</v>
      </c>
      <c r="D524" s="22" t="s">
        <v>362</v>
      </c>
      <c r="E524" s="102"/>
      <c r="F524" s="102"/>
      <c r="G524" s="48">
        <v>2</v>
      </c>
      <c r="H524" s="48"/>
      <c r="I524" s="49"/>
      <c r="J524" s="49"/>
      <c r="K524" s="33"/>
      <c r="L524" s="20"/>
    </row>
    <row r="525" spans="1:12" outlineLevel="2">
      <c r="A525" s="21"/>
      <c r="B525" s="12" t="str">
        <f>IFERROR(VLOOKUP(D525,'[1]Перечень товаров'!$A$2:$I9525,2,0),"")</f>
        <v>п28</v>
      </c>
      <c r="C525" s="12" t="str">
        <f>IFERROR(VLOOKUP(D525,'[1]Перечень товаров'!$A$2:$I9525,3,0),"")</f>
        <v>Прочее</v>
      </c>
      <c r="D525" s="22" t="s">
        <v>363</v>
      </c>
      <c r="E525" s="102"/>
      <c r="F525" s="102"/>
      <c r="G525" s="48">
        <v>1</v>
      </c>
      <c r="H525" s="48"/>
      <c r="I525" s="49"/>
      <c r="J525" s="49"/>
      <c r="K525" s="33"/>
      <c r="L525" s="20"/>
    </row>
    <row r="526" spans="1:12" outlineLevel="2">
      <c r="A526" s="21"/>
      <c r="B526" s="12" t="str">
        <f>IFERROR(VLOOKUP(D526,'[1]Перечень товаров'!$A$2:$I9525,2,0),"")</f>
        <v>п29</v>
      </c>
      <c r="C526" s="12" t="str">
        <f>IFERROR(VLOOKUP(D526,'[1]Перечень товаров'!$A$2:$I9525,3,0),"")</f>
        <v>Прочее</v>
      </c>
      <c r="D526" s="22" t="s">
        <v>364</v>
      </c>
      <c r="E526" s="102"/>
      <c r="F526" s="102"/>
      <c r="G526" s="48">
        <v>6</v>
      </c>
      <c r="H526" s="48"/>
      <c r="I526" s="49"/>
      <c r="J526" s="49"/>
      <c r="K526" s="33"/>
      <c r="L526" s="20"/>
    </row>
    <row r="527" spans="1:12" outlineLevel="2">
      <c r="A527" s="21"/>
      <c r="B527" s="12" t="str">
        <f>IFERROR(VLOOKUP(D527,'[1]Перечень товаров'!$A$2:$I9525,2,0),"")</f>
        <v>п30</v>
      </c>
      <c r="C527" s="12" t="str">
        <f>IFERROR(VLOOKUP(D527,'[1]Перечень товаров'!$A$2:$I9525,3,0),"")</f>
        <v>Прочее</v>
      </c>
      <c r="D527" s="22" t="s">
        <v>365</v>
      </c>
      <c r="E527" s="102"/>
      <c r="F527" s="102"/>
      <c r="G527" s="48">
        <v>2</v>
      </c>
      <c r="H527" s="48"/>
      <c r="I527" s="49"/>
      <c r="J527" s="49"/>
      <c r="K527" s="33"/>
      <c r="L527" s="20"/>
    </row>
    <row r="528" spans="1:12" ht="31.5" outlineLevel="2">
      <c r="A528" s="21"/>
      <c r="B528" s="12" t="str">
        <f>IFERROR(VLOOKUP(D528,'[1]Перечень товаров'!$A$2:$I9525,2,0),"")</f>
        <v>п31</v>
      </c>
      <c r="C528" s="12" t="str">
        <f>IFERROR(VLOOKUP(D528,'[1]Перечень товаров'!$A$2:$I9525,3,0),"")</f>
        <v>Прочее</v>
      </c>
      <c r="D528" s="22" t="s">
        <v>366</v>
      </c>
      <c r="E528" s="102"/>
      <c r="F528" s="102"/>
      <c r="G528" s="48">
        <v>1</v>
      </c>
      <c r="H528" s="48"/>
      <c r="I528" s="49"/>
      <c r="J528" s="49"/>
      <c r="K528" s="33"/>
      <c r="L528" s="20"/>
    </row>
    <row r="529" spans="1:12" ht="31.5" outlineLevel="2">
      <c r="A529" s="21"/>
      <c r="B529" s="12" t="str">
        <f>IFERROR(VLOOKUP(D529,'[1]Перечень товаров'!$A$2:$I9525,2,0),"")</f>
        <v>п32</v>
      </c>
      <c r="C529" s="12" t="str">
        <f>IFERROR(VLOOKUP(D529,'[1]Перечень товаров'!$A$2:$I9525,3,0),"")</f>
        <v>Прочее</v>
      </c>
      <c r="D529" s="22" t="s">
        <v>367</v>
      </c>
      <c r="E529" s="102"/>
      <c r="F529" s="102"/>
      <c r="G529" s="48">
        <v>2</v>
      </c>
      <c r="H529" s="48"/>
      <c r="I529" s="49"/>
      <c r="J529" s="49"/>
      <c r="K529" s="33"/>
      <c r="L529" s="20"/>
    </row>
    <row r="530" spans="1:12" ht="12.75" outlineLevel="1">
      <c r="A530" s="11"/>
      <c r="B530" s="12" t="str">
        <f>IFERROR(VLOOKUP(D530,'[1]Перечень товаров'!$A$2:$I9525,2,0),"")</f>
        <v/>
      </c>
      <c r="C530" s="12" t="str">
        <f>IFERROR(VLOOKUP(D530,'[1]Перечень товаров'!$A$2:$I9525,3,0),"")</f>
        <v/>
      </c>
      <c r="D530" s="27" t="s">
        <v>372</v>
      </c>
      <c r="E530" s="99">
        <v>46059</v>
      </c>
      <c r="F530" s="99"/>
      <c r="G530" s="100"/>
      <c r="H530" s="100"/>
      <c r="I530" s="101"/>
      <c r="J530" s="101"/>
      <c r="K530" s="19"/>
      <c r="L530" s="20"/>
    </row>
    <row r="531" spans="1:12" outlineLevel="2">
      <c r="A531" s="22"/>
      <c r="B531" s="12" t="str">
        <f>IFERROR(VLOOKUP(D531,'[1]Перечень товаров'!$A$2:$I9525,2,0),"")</f>
        <v>п25</v>
      </c>
      <c r="C531" s="12" t="str">
        <f>IFERROR(VLOOKUP(D531,'[1]Перечень товаров'!$A$2:$I9525,3,0),"")</f>
        <v>Прочее</v>
      </c>
      <c r="D531" s="22" t="s">
        <v>360</v>
      </c>
      <c r="E531" s="102"/>
      <c r="F531" s="102"/>
      <c r="G531" s="48">
        <v>3</v>
      </c>
      <c r="H531" s="48"/>
      <c r="I531" s="49"/>
      <c r="J531" s="49"/>
      <c r="K531" s="33"/>
      <c r="L531" s="20"/>
    </row>
    <row r="532" spans="1:12" outlineLevel="2">
      <c r="A532" s="21"/>
      <c r="B532" s="12" t="str">
        <f>IFERROR(VLOOKUP(D532,'[1]Перечень товаров'!$A$2:$I9525,2,0),"")</f>
        <v>п26</v>
      </c>
      <c r="C532" s="12" t="str">
        <f>IFERROR(VLOOKUP(D532,'[1]Перечень товаров'!$A$2:$I9525,3,0),"")</f>
        <v>Прочее</v>
      </c>
      <c r="D532" s="22" t="s">
        <v>361</v>
      </c>
      <c r="E532" s="102"/>
      <c r="F532" s="102"/>
      <c r="G532" s="48">
        <v>2</v>
      </c>
      <c r="H532" s="48"/>
      <c r="I532" s="49"/>
      <c r="J532" s="49"/>
      <c r="K532" s="33"/>
      <c r="L532" s="20"/>
    </row>
    <row r="533" spans="1:12" outlineLevel="2">
      <c r="A533" s="21"/>
      <c r="B533" s="12" t="str">
        <f>IFERROR(VLOOKUP(D533,'[1]Перечень товаров'!$A$2:$I9525,2,0),"")</f>
        <v>п27</v>
      </c>
      <c r="C533" s="12" t="str">
        <f>IFERROR(VLOOKUP(D533,'[1]Перечень товаров'!$A$2:$I9525,3,0),"")</f>
        <v>Прочее</v>
      </c>
      <c r="D533" s="22" t="s">
        <v>362</v>
      </c>
      <c r="E533" s="102"/>
      <c r="F533" s="102"/>
      <c r="G533" s="48">
        <v>2</v>
      </c>
      <c r="H533" s="48"/>
      <c r="I533" s="49"/>
      <c r="J533" s="49"/>
      <c r="K533" s="33"/>
      <c r="L533" s="20"/>
    </row>
    <row r="534" spans="1:12" outlineLevel="2">
      <c r="A534" s="21"/>
      <c r="B534" s="12" t="str">
        <f>IFERROR(VLOOKUP(D534,'[1]Перечень товаров'!$A$2:$I9525,2,0),"")</f>
        <v>п28</v>
      </c>
      <c r="C534" s="12" t="str">
        <f>IFERROR(VLOOKUP(D534,'[1]Перечень товаров'!$A$2:$I9525,3,0),"")</f>
        <v>Прочее</v>
      </c>
      <c r="D534" s="22" t="s">
        <v>363</v>
      </c>
      <c r="E534" s="102"/>
      <c r="F534" s="102"/>
      <c r="G534" s="48">
        <v>1</v>
      </c>
      <c r="H534" s="48"/>
      <c r="I534" s="49"/>
      <c r="J534" s="49"/>
      <c r="K534" s="33"/>
      <c r="L534" s="20"/>
    </row>
    <row r="535" spans="1:12" outlineLevel="2">
      <c r="A535" s="21"/>
      <c r="B535" s="12" t="str">
        <f>IFERROR(VLOOKUP(D535,'[1]Перечень товаров'!$A$2:$I9525,2,0),"")</f>
        <v>п29</v>
      </c>
      <c r="C535" s="12" t="str">
        <f>IFERROR(VLOOKUP(D535,'[1]Перечень товаров'!$A$2:$I9525,3,0),"")</f>
        <v>Прочее</v>
      </c>
      <c r="D535" s="22" t="s">
        <v>364</v>
      </c>
      <c r="E535" s="102"/>
      <c r="F535" s="102"/>
      <c r="G535" s="48">
        <v>6</v>
      </c>
      <c r="H535" s="48"/>
      <c r="I535" s="49"/>
      <c r="J535" s="49"/>
      <c r="K535" s="33"/>
      <c r="L535" s="20"/>
    </row>
    <row r="536" spans="1:12" outlineLevel="2">
      <c r="A536" s="21"/>
      <c r="B536" s="12" t="str">
        <f>IFERROR(VLOOKUP(D536,'[1]Перечень товаров'!$A$2:$I9525,2,0),"")</f>
        <v>п30</v>
      </c>
      <c r="C536" s="12" t="str">
        <f>IFERROR(VLOOKUP(D536,'[1]Перечень товаров'!$A$2:$I9525,3,0),"")</f>
        <v>Прочее</v>
      </c>
      <c r="D536" s="22" t="s">
        <v>365</v>
      </c>
      <c r="E536" s="102"/>
      <c r="F536" s="102"/>
      <c r="G536" s="48">
        <v>2</v>
      </c>
      <c r="H536" s="48"/>
      <c r="I536" s="49"/>
      <c r="J536" s="49"/>
      <c r="K536" s="33"/>
      <c r="L536" s="20"/>
    </row>
    <row r="537" spans="1:12" ht="31.5" outlineLevel="2">
      <c r="A537" s="21"/>
      <c r="B537" s="12" t="str">
        <f>IFERROR(VLOOKUP(D537,'[1]Перечень товаров'!$A$2:$I9525,2,0),"")</f>
        <v>п31</v>
      </c>
      <c r="C537" s="12" t="str">
        <f>IFERROR(VLOOKUP(D537,'[1]Перечень товаров'!$A$2:$I9525,3,0),"")</f>
        <v>Прочее</v>
      </c>
      <c r="D537" s="22" t="s">
        <v>366</v>
      </c>
      <c r="E537" s="102"/>
      <c r="F537" s="102"/>
      <c r="G537" s="48">
        <v>1</v>
      </c>
      <c r="H537" s="48"/>
      <c r="I537" s="49"/>
      <c r="J537" s="49"/>
      <c r="K537" s="33"/>
      <c r="L537" s="20"/>
    </row>
    <row r="538" spans="1:12" ht="31.5" outlineLevel="2">
      <c r="A538" s="21"/>
      <c r="B538" s="12" t="str">
        <f>IFERROR(VLOOKUP(D538,'[1]Перечень товаров'!$A$2:$I9525,2,0),"")</f>
        <v>п32</v>
      </c>
      <c r="C538" s="12" t="str">
        <f>IFERROR(VLOOKUP(D538,'[1]Перечень товаров'!$A$2:$I9525,3,0),"")</f>
        <v>Прочее</v>
      </c>
      <c r="D538" s="22" t="s">
        <v>367</v>
      </c>
      <c r="E538" s="102"/>
      <c r="F538" s="102"/>
      <c r="G538" s="48">
        <v>2</v>
      </c>
      <c r="H538" s="48"/>
      <c r="I538" s="49"/>
      <c r="J538" s="49"/>
      <c r="K538" s="33"/>
      <c r="L538" s="20"/>
    </row>
    <row r="539" spans="1:12" outlineLevel="1">
      <c r="A539" s="21"/>
      <c r="B539" s="12" t="str">
        <f>IFERROR(VLOOKUP(D539,'[1]Перечень товаров'!$A$2:$I9525,2,0),"")</f>
        <v/>
      </c>
      <c r="C539" s="12" t="str">
        <f>IFERROR(VLOOKUP(D539,'[1]Перечень товаров'!$A$2:$I9525,3,0),"")</f>
        <v/>
      </c>
      <c r="D539" s="22" t="s">
        <v>311</v>
      </c>
      <c r="E539" s="102">
        <v>46182</v>
      </c>
      <c r="F539" s="102"/>
      <c r="G539" s="103"/>
      <c r="H539" s="103"/>
      <c r="I539" s="104"/>
      <c r="J539" s="104"/>
      <c r="K539" s="19"/>
      <c r="L539" s="20"/>
    </row>
    <row r="540" spans="1:12" outlineLevel="1">
      <c r="A540" s="21"/>
      <c r="B540" s="12" t="str">
        <f>IFERROR(VLOOKUP(D540,'[1]Перечень товаров'!$A$2:$I9525,2,0),"")</f>
        <v/>
      </c>
      <c r="C540" s="12" t="str">
        <f>IFERROR(VLOOKUP(D540,'[1]Перечень товаров'!$A$2:$I9525,3,0),"")</f>
        <v/>
      </c>
      <c r="D540" s="22" t="s">
        <v>311</v>
      </c>
      <c r="E540" s="23" t="s">
        <v>376</v>
      </c>
      <c r="F540" s="23"/>
      <c r="G540" s="24"/>
      <c r="H540" s="24"/>
      <c r="I540" s="25"/>
      <c r="J540" s="25"/>
      <c r="K540" s="19"/>
      <c r="L540" s="20"/>
    </row>
    <row r="541" spans="1:12" ht="12.75" outlineLevel="1">
      <c r="A541" s="11"/>
      <c r="B541" s="12" t="str">
        <f>IFERROR(VLOOKUP(D541,'[1]Перечень товаров'!$A$2:$I9525,2,0),"")</f>
        <v/>
      </c>
      <c r="C541" s="12" t="str">
        <f>IFERROR(VLOOKUP(D541,'[1]Перечень товаров'!$A$2:$I9525,3,0),"")</f>
        <v/>
      </c>
      <c r="D541" s="27" t="s">
        <v>377</v>
      </c>
      <c r="E541" s="99">
        <v>46099</v>
      </c>
      <c r="F541" s="99"/>
      <c r="G541" s="100"/>
      <c r="H541" s="100"/>
      <c r="I541" s="101"/>
      <c r="J541" s="101"/>
      <c r="K541" s="19"/>
      <c r="L541" s="20"/>
    </row>
    <row r="542" spans="1:12" outlineLevel="2">
      <c r="A542" s="22"/>
      <c r="B542" s="12" t="str">
        <f>IFERROR(VLOOKUP(D542,'[1]Перечень товаров'!$A$2:$I9525,2,0),"")</f>
        <v>т1</v>
      </c>
      <c r="C542" s="12" t="str">
        <f>IFERROR(VLOOKUP(D542,'[1]Перечень товаров'!$A$2:$I9525,3,0),"")</f>
        <v xml:space="preserve">Техника </v>
      </c>
      <c r="D542" s="22" t="s">
        <v>28</v>
      </c>
      <c r="E542" s="102"/>
      <c r="F542" s="102"/>
      <c r="G542" s="48">
        <v>1</v>
      </c>
      <c r="H542" s="48"/>
      <c r="I542" s="49"/>
      <c r="J542" s="49"/>
      <c r="K542" s="33"/>
      <c r="L542" s="20"/>
    </row>
    <row r="543" spans="1:12" outlineLevel="2">
      <c r="A543" s="35"/>
      <c r="B543" s="12" t="str">
        <f>IFERROR(VLOOKUP(D543,'[1]Перечень товаров'!$A$2:$I9525,2,0),"")</f>
        <v>т2</v>
      </c>
      <c r="C543" s="12" t="str">
        <f>IFERROR(VLOOKUP(D543,'[1]Перечень товаров'!$A$2:$I9525,3,0),"")</f>
        <v xml:space="preserve">Техника </v>
      </c>
      <c r="D543" s="35" t="s">
        <v>29</v>
      </c>
      <c r="E543" s="102"/>
      <c r="F543" s="102"/>
      <c r="G543" s="48">
        <v>1</v>
      </c>
      <c r="H543" s="48"/>
      <c r="I543" s="49"/>
      <c r="J543" s="49"/>
      <c r="K543" s="33"/>
      <c r="L543" s="20"/>
    </row>
    <row r="544" spans="1:12" outlineLevel="2">
      <c r="A544" s="35"/>
      <c r="B544" s="12" t="str">
        <f>IFERROR(VLOOKUP(D544,'[1]Перечень товаров'!$A$2:$I9525,2,0),"")</f>
        <v>т3</v>
      </c>
      <c r="C544" s="12" t="str">
        <f>IFERROR(VLOOKUP(D544,'[1]Перечень товаров'!$A$2:$I9525,3,0),"")</f>
        <v xml:space="preserve">Техника </v>
      </c>
      <c r="D544" s="35" t="s">
        <v>30</v>
      </c>
      <c r="E544" s="102"/>
      <c r="F544" s="102"/>
      <c r="G544" s="48">
        <v>1</v>
      </c>
      <c r="H544" s="48"/>
      <c r="I544" s="49"/>
      <c r="J544" s="49"/>
      <c r="K544" s="33"/>
      <c r="L544" s="20"/>
    </row>
    <row r="545" spans="1:12" outlineLevel="2">
      <c r="A545" s="35"/>
      <c r="B545" s="12" t="str">
        <f>IFERROR(VLOOKUP(D545,'[1]Перечень товаров'!$A$2:$I9525,2,0),"")</f>
        <v>т4</v>
      </c>
      <c r="C545" s="12" t="str">
        <f>IFERROR(VLOOKUP(D545,'[1]Перечень товаров'!$A$2:$I9525,3,0),"")</f>
        <v xml:space="preserve">Техника </v>
      </c>
      <c r="D545" s="35" t="s">
        <v>31</v>
      </c>
      <c r="E545" s="102"/>
      <c r="F545" s="102"/>
      <c r="G545" s="48">
        <v>1</v>
      </c>
      <c r="H545" s="48"/>
      <c r="I545" s="49"/>
      <c r="J545" s="49"/>
      <c r="K545" s="33"/>
      <c r="L545" s="20"/>
    </row>
    <row r="546" spans="1:12" outlineLevel="2">
      <c r="A546" s="21"/>
      <c r="B546" s="12" t="str">
        <f>IFERROR(VLOOKUP(D546,'[1]Перечень товаров'!$A$2:$I9525,2,0),"")</f>
        <v>т7</v>
      </c>
      <c r="C546" s="12" t="str">
        <f>IFERROR(VLOOKUP(D546,'[1]Перечень товаров'!$A$2:$I9525,3,0),"")</f>
        <v xml:space="preserve">Техника </v>
      </c>
      <c r="D546" s="22" t="s">
        <v>34</v>
      </c>
      <c r="E546" s="102"/>
      <c r="F546" s="102"/>
      <c r="G546" s="48">
        <v>1</v>
      </c>
      <c r="H546" s="48"/>
      <c r="I546" s="49"/>
      <c r="J546" s="49"/>
      <c r="K546" s="33"/>
      <c r="L546" s="20"/>
    </row>
    <row r="547" spans="1:12" ht="12.75" outlineLevel="2">
      <c r="A547" s="62"/>
      <c r="B547" s="12" t="str">
        <f>IFERROR(VLOOKUP(D547,'[1]Перечень товаров'!$A$2:$I9525,2,0),"")</f>
        <v/>
      </c>
      <c r="C547" s="12" t="str">
        <f>IFERROR(VLOOKUP(D547,'[1]Перечень товаров'!$A$2:$I9525,3,0),"")</f>
        <v/>
      </c>
      <c r="D547" s="63" t="s">
        <v>378</v>
      </c>
      <c r="E547" s="107"/>
      <c r="F547" s="107"/>
      <c r="G547" s="52"/>
      <c r="H547" s="52"/>
      <c r="I547" s="53"/>
      <c r="J547" s="53"/>
      <c r="K547" s="42"/>
      <c r="L547" s="20"/>
    </row>
    <row r="548" spans="1:12" outlineLevel="2">
      <c r="A548" s="35"/>
      <c r="B548" s="12" t="str">
        <f>IFERROR(VLOOKUP(D548,'[1]Перечень товаров'!$A$2:$I9525,2,0),"")</f>
        <v>м19</v>
      </c>
      <c r="C548" s="12" t="str">
        <f>IFERROR(VLOOKUP(D548,'[1]Перечень товаров'!$A$2:$I9525,3,0),"")</f>
        <v>Мебель</v>
      </c>
      <c r="D548" s="35" t="s">
        <v>53</v>
      </c>
      <c r="E548" s="102"/>
      <c r="F548" s="102"/>
      <c r="G548" s="48">
        <v>2</v>
      </c>
      <c r="H548" s="48"/>
      <c r="I548" s="49"/>
      <c r="J548" s="49"/>
      <c r="K548" s="33"/>
      <c r="L548" s="20"/>
    </row>
    <row r="549" spans="1:12" ht="31.5" outlineLevel="2">
      <c r="A549" s="22"/>
      <c r="B549" s="12" t="str">
        <f>IFERROR(VLOOKUP(D549,'[1]Перечень товаров'!$A$2:$I9525,2,0),"")</f>
        <v>м205</v>
      </c>
      <c r="C549" s="12" t="str">
        <f>IFERROR(VLOOKUP(D549,'[1]Перечень товаров'!$A$2:$I9525,3,0),"")</f>
        <v>Мебель</v>
      </c>
      <c r="D549" s="22" t="s">
        <v>20</v>
      </c>
      <c r="E549" s="102"/>
      <c r="F549" s="102"/>
      <c r="G549" s="48">
        <v>1</v>
      </c>
      <c r="H549" s="48"/>
      <c r="I549" s="49"/>
      <c r="J549" s="49"/>
      <c r="K549" s="33"/>
      <c r="L549" s="20"/>
    </row>
    <row r="550" spans="1:12" outlineLevel="2">
      <c r="A550" s="22"/>
      <c r="B550" s="12" t="str">
        <f>IFERROR(VLOOKUP(D550,'[1]Перечень товаров'!$A$2:$I9525,2,0),"")</f>
        <v>м23</v>
      </c>
      <c r="C550" s="12" t="str">
        <f>IFERROR(VLOOKUP(D550,'[1]Перечень товаров'!$A$2:$I9525,3,0),"")</f>
        <v>Мебель</v>
      </c>
      <c r="D550" s="22" t="s">
        <v>76</v>
      </c>
      <c r="E550" s="102"/>
      <c r="F550" s="102"/>
      <c r="G550" s="48">
        <v>1</v>
      </c>
      <c r="H550" s="48"/>
      <c r="I550" s="49"/>
      <c r="J550" s="49"/>
      <c r="K550" s="33"/>
      <c r="L550" s="20"/>
    </row>
    <row r="551" spans="1:12" outlineLevel="2">
      <c r="A551" s="22"/>
      <c r="B551" s="12" t="str">
        <f>IFERROR(VLOOKUP(D551,'[1]Перечень товаров'!$A$2:$I9525,2,0),"")</f>
        <v>м14</v>
      </c>
      <c r="C551" s="12" t="str">
        <f>IFERROR(VLOOKUP(D551,'[1]Перечень товаров'!$A$2:$I9525,3,0),"")</f>
        <v>Мебель</v>
      </c>
      <c r="D551" s="22" t="s">
        <v>43</v>
      </c>
      <c r="E551" s="102"/>
      <c r="F551" s="102"/>
      <c r="G551" s="48">
        <v>1</v>
      </c>
      <c r="H551" s="48"/>
      <c r="I551" s="49"/>
      <c r="J551" s="49"/>
      <c r="K551" s="33"/>
      <c r="L551" s="20"/>
    </row>
    <row r="552" spans="1:12" outlineLevel="2">
      <c r="A552" s="21"/>
      <c r="B552" s="12" t="str">
        <f>IFERROR(VLOOKUP(D552,'[1]Перечень товаров'!$A$2:$I9525,2,0),"")</f>
        <v>п3</v>
      </c>
      <c r="C552" s="12" t="str">
        <f>IFERROR(VLOOKUP(D552,'[1]Перечень товаров'!$A$2:$I9525,3,0),"")</f>
        <v>Прочее</v>
      </c>
      <c r="D552" s="22" t="s">
        <v>47</v>
      </c>
      <c r="E552" s="102"/>
      <c r="F552" s="102"/>
      <c r="G552" s="48">
        <v>1</v>
      </c>
      <c r="H552" s="48"/>
      <c r="I552" s="49"/>
      <c r="J552" s="49"/>
      <c r="K552" s="33"/>
      <c r="L552" s="20"/>
    </row>
    <row r="553" spans="1:12" ht="12.75" outlineLevel="1">
      <c r="A553" s="89"/>
      <c r="B553" s="12" t="str">
        <f>IFERROR(VLOOKUP(D553,'[1]Перечень товаров'!$A$2:$I9525,2,0),"")</f>
        <v/>
      </c>
      <c r="C553" s="12" t="str">
        <f>IFERROR(VLOOKUP(D553,'[1]Перечень товаров'!$A$2:$I9525,3,0),"")</f>
        <v/>
      </c>
      <c r="D553" s="90" t="s">
        <v>379</v>
      </c>
      <c r="E553" s="108">
        <v>46258</v>
      </c>
      <c r="F553" s="108"/>
      <c r="G553" s="100"/>
      <c r="H553" s="100"/>
      <c r="I553" s="101"/>
      <c r="J553" s="101"/>
      <c r="K553" s="19"/>
      <c r="L553" s="20"/>
    </row>
    <row r="554" spans="1:12" ht="15" outlineLevel="2">
      <c r="A554" s="109"/>
      <c r="B554" s="12" t="str">
        <f>IFERROR(VLOOKUP(D554,'[1]Перечень товаров'!$A$2:$I9525,2,0),"")</f>
        <v/>
      </c>
      <c r="C554" s="12" t="str">
        <f>IFERROR(VLOOKUP(D554,'[1]Перечень товаров'!$A$2:$I9525,3,0),"")</f>
        <v/>
      </c>
      <c r="D554" s="110" t="s">
        <v>27</v>
      </c>
      <c r="E554" s="45"/>
      <c r="F554" s="45"/>
      <c r="G554" s="111"/>
      <c r="H554" s="111"/>
      <c r="I554" s="112"/>
      <c r="J554" s="112"/>
      <c r="K554" s="19"/>
      <c r="L554" s="20"/>
    </row>
    <row r="555" spans="1:12" outlineLevel="2">
      <c r="A555" s="21"/>
      <c r="B555" s="12" t="str">
        <f>IFERROR(VLOOKUP(D555,'[1]Перечень товаров'!$A$2:$I9525,2,0),"")</f>
        <v>т1</v>
      </c>
      <c r="C555" s="12" t="str">
        <f>IFERROR(VLOOKUP(D555,'[1]Перечень товаров'!$A$2:$I9525,3,0),"")</f>
        <v xml:space="preserve">Техника </v>
      </c>
      <c r="D555" s="22" t="s">
        <v>28</v>
      </c>
      <c r="E555" s="58"/>
      <c r="F555" s="58"/>
      <c r="G555" s="48">
        <v>1</v>
      </c>
      <c r="H555" s="48"/>
      <c r="I555" s="49"/>
      <c r="J555" s="49"/>
      <c r="K555" s="19"/>
      <c r="L555" s="20"/>
    </row>
    <row r="556" spans="1:12" outlineLevel="2">
      <c r="A556" s="35"/>
      <c r="B556" s="12" t="str">
        <f>IFERROR(VLOOKUP(D556,'[1]Перечень товаров'!$A$2:$I9525,2,0),"")</f>
        <v>т2</v>
      </c>
      <c r="C556" s="12" t="str">
        <f>IFERROR(VLOOKUP(D556,'[1]Перечень товаров'!$A$2:$I9525,3,0),"")</f>
        <v xml:space="preserve">Техника </v>
      </c>
      <c r="D556" s="35" t="s">
        <v>29</v>
      </c>
      <c r="E556" s="58"/>
      <c r="F556" s="58"/>
      <c r="G556" s="48">
        <v>1</v>
      </c>
      <c r="H556" s="48"/>
      <c r="I556" s="49"/>
      <c r="J556" s="49"/>
      <c r="K556" s="19"/>
      <c r="L556" s="20"/>
    </row>
    <row r="557" spans="1:12" outlineLevel="2">
      <c r="A557" s="35"/>
      <c r="B557" s="12" t="str">
        <f>IFERROR(VLOOKUP(D557,'[1]Перечень товаров'!$A$2:$I9525,2,0),"")</f>
        <v>т3</v>
      </c>
      <c r="C557" s="12" t="str">
        <f>IFERROR(VLOOKUP(D557,'[1]Перечень товаров'!$A$2:$I9525,3,0),"")</f>
        <v xml:space="preserve">Техника </v>
      </c>
      <c r="D557" s="35" t="s">
        <v>30</v>
      </c>
      <c r="E557" s="58"/>
      <c r="F557" s="58"/>
      <c r="G557" s="48">
        <v>1</v>
      </c>
      <c r="H557" s="48"/>
      <c r="I557" s="49"/>
      <c r="J557" s="49"/>
      <c r="K557" s="19"/>
      <c r="L557" s="20"/>
    </row>
    <row r="558" spans="1:12" outlineLevel="2">
      <c r="A558" s="35"/>
      <c r="B558" s="12" t="str">
        <f>IFERROR(VLOOKUP(D558,'[1]Перечень товаров'!$A$2:$I9525,2,0),"")</f>
        <v>т4</v>
      </c>
      <c r="C558" s="12" t="str">
        <f>IFERROR(VLOOKUP(D558,'[1]Перечень товаров'!$A$2:$I9525,3,0),"")</f>
        <v xml:space="preserve">Техника </v>
      </c>
      <c r="D558" s="35" t="s">
        <v>31</v>
      </c>
      <c r="E558" s="58"/>
      <c r="F558" s="58"/>
      <c r="G558" s="48">
        <v>1</v>
      </c>
      <c r="H558" s="48"/>
      <c r="I558" s="49"/>
      <c r="J558" s="49"/>
      <c r="K558" s="19"/>
      <c r="L558" s="20"/>
    </row>
    <row r="559" spans="1:12" outlineLevel="2">
      <c r="A559" s="21"/>
      <c r="B559" s="12" t="str">
        <f>IFERROR(VLOOKUP(D559,'[1]Перечень товаров'!$A$2:$I9525,2,0),"")</f>
        <v>тм65</v>
      </c>
      <c r="C559" s="12" t="str">
        <f>IFERROR(VLOOKUP(D559,'[1]Перечень товаров'!$A$2:$I9525,3,0),"")</f>
        <v>Техника муз</v>
      </c>
      <c r="D559" s="22" t="s">
        <v>380</v>
      </c>
      <c r="E559" s="58"/>
      <c r="F559" s="58"/>
      <c r="G559" s="48">
        <v>1</v>
      </c>
      <c r="H559" s="48"/>
      <c r="I559" s="49"/>
      <c r="J559" s="49"/>
      <c r="K559" s="19"/>
      <c r="L559" s="20"/>
    </row>
    <row r="560" spans="1:12" outlineLevel="2">
      <c r="A560" s="21"/>
      <c r="B560" s="12" t="str">
        <f>IFERROR(VLOOKUP(D560,'[1]Перечень товаров'!$A$2:$I9525,2,0),"")</f>
        <v>т12</v>
      </c>
      <c r="C560" s="12" t="str">
        <f>IFERROR(VLOOKUP(D560,'[1]Перечень товаров'!$A$2:$I9525,3,0),"")</f>
        <v>Техника</v>
      </c>
      <c r="D560" s="22" t="s">
        <v>49</v>
      </c>
      <c r="E560" s="58"/>
      <c r="F560" s="58"/>
      <c r="G560" s="48">
        <v>1</v>
      </c>
      <c r="H560" s="48"/>
      <c r="I560" s="49"/>
      <c r="J560" s="49"/>
      <c r="K560" s="19"/>
      <c r="L560" s="20"/>
    </row>
    <row r="561" spans="1:12" outlineLevel="2">
      <c r="A561" s="35"/>
      <c r="B561" s="12" t="str">
        <f>IFERROR(VLOOKUP(D561,'[1]Перечень товаров'!$A$2:$I9525,2,0),"")</f>
        <v>т6</v>
      </c>
      <c r="C561" s="12" t="str">
        <f>IFERROR(VLOOKUP(D561,'[1]Перечень товаров'!$A$2:$I9525,3,0),"")</f>
        <v xml:space="preserve">Техника </v>
      </c>
      <c r="D561" s="35" t="s">
        <v>33</v>
      </c>
      <c r="E561" s="58"/>
      <c r="F561" s="58"/>
      <c r="G561" s="48">
        <v>1</v>
      </c>
      <c r="H561" s="48"/>
      <c r="I561" s="49"/>
      <c r="J561" s="49"/>
      <c r="K561" s="19"/>
      <c r="L561" s="20"/>
    </row>
    <row r="562" spans="1:12" outlineLevel="2">
      <c r="A562" s="21"/>
      <c r="B562" s="12" t="str">
        <f>IFERROR(VLOOKUP(D562,'[1]Перечень товаров'!$A$2:$I9525,2,0),"")</f>
        <v>т7</v>
      </c>
      <c r="C562" s="12" t="str">
        <f>IFERROR(VLOOKUP(D562,'[1]Перечень товаров'!$A$2:$I9525,3,0),"")</f>
        <v xml:space="preserve">Техника </v>
      </c>
      <c r="D562" s="22" t="s">
        <v>34</v>
      </c>
      <c r="E562" s="58"/>
      <c r="F562" s="58"/>
      <c r="G562" s="48">
        <v>3</v>
      </c>
      <c r="H562" s="48"/>
      <c r="I562" s="49"/>
      <c r="J562" s="49"/>
      <c r="K562" s="19"/>
      <c r="L562" s="20"/>
    </row>
    <row r="563" spans="1:12" outlineLevel="2">
      <c r="A563" s="28"/>
      <c r="B563" s="12" t="str">
        <f>IFERROR(VLOOKUP(D563,'[1]Перечень товаров'!$A$2:$I9525,2,0),"")</f>
        <v>т161</v>
      </c>
      <c r="C563" s="12" t="str">
        <f>IFERROR(VLOOKUP(D563,'[1]Перечень товаров'!$A$2:$I9525,3,0),"")</f>
        <v xml:space="preserve">Техника </v>
      </c>
      <c r="D563" s="29" t="s">
        <v>381</v>
      </c>
      <c r="E563" s="30"/>
      <c r="F563" s="30"/>
      <c r="G563" s="59">
        <v>1</v>
      </c>
      <c r="H563" s="59"/>
      <c r="I563" s="60"/>
      <c r="J563" s="60"/>
      <c r="K563" s="19"/>
      <c r="L563" s="20"/>
    </row>
    <row r="564" spans="1:12" ht="47.25" outlineLevel="2">
      <c r="A564" s="21"/>
      <c r="B564" s="12" t="str">
        <f>IFERROR(VLOOKUP(D564,'[1]Перечень товаров'!$A$2:$I9525,2,0),"")</f>
        <v>м61</v>
      </c>
      <c r="C564" s="12" t="str">
        <f>IFERROR(VLOOKUP(D564,'[1]Перечень товаров'!$A$2:$I9525,3,0),"")</f>
        <v>Мебель</v>
      </c>
      <c r="D564" s="22" t="s">
        <v>382</v>
      </c>
      <c r="E564" s="30"/>
      <c r="F564" s="30"/>
      <c r="G564" s="59">
        <v>1</v>
      </c>
      <c r="H564" s="59"/>
      <c r="I564" s="60"/>
      <c r="J564" s="60"/>
      <c r="K564" s="19"/>
      <c r="L564" s="20"/>
    </row>
    <row r="565" spans="1:12" outlineLevel="2">
      <c r="A565" s="113"/>
      <c r="B565" s="12" t="str">
        <f>IFERROR(VLOOKUP(D565,'[1]Перечень товаров'!$A$2:$I9525,2,0),"")</f>
        <v/>
      </c>
      <c r="C565" s="12" t="str">
        <f>IFERROR(VLOOKUP(D565,'[1]Перечень товаров'!$A$2:$I9525,3,0),"")</f>
        <v/>
      </c>
      <c r="D565" s="114" t="s">
        <v>19</v>
      </c>
      <c r="E565" s="115"/>
      <c r="F565" s="115"/>
      <c r="G565" s="59"/>
      <c r="H565" s="59"/>
      <c r="I565" s="60"/>
      <c r="J565" s="60"/>
      <c r="K565" s="19"/>
      <c r="L565" s="20"/>
    </row>
    <row r="566" spans="1:12" ht="31.5" outlineLevel="2">
      <c r="A566" s="34"/>
      <c r="B566" s="12" t="str">
        <f>IFERROR(VLOOKUP(D566,'[1]Перечень товаров'!$A$2:$I9525,2,0),"")</f>
        <v>м205</v>
      </c>
      <c r="C566" s="12" t="str">
        <f>IFERROR(VLOOKUP(D566,'[1]Перечень товаров'!$A$2:$I9525,3,0),"")</f>
        <v>Мебель</v>
      </c>
      <c r="D566" s="35" t="s">
        <v>20</v>
      </c>
      <c r="E566" s="88"/>
      <c r="F566" s="88"/>
      <c r="G566" s="59">
        <v>1</v>
      </c>
      <c r="H566" s="59"/>
      <c r="I566" s="60"/>
      <c r="J566" s="60"/>
      <c r="K566" s="19"/>
      <c r="L566" s="20"/>
    </row>
    <row r="567" spans="1:12" outlineLevel="2">
      <c r="A567" s="34"/>
      <c r="B567" s="12" t="str">
        <f>IFERROR(VLOOKUP(D567,'[1]Перечень товаров'!$A$2:$I9525,2,0),"")</f>
        <v>м61</v>
      </c>
      <c r="C567" s="12" t="str">
        <f>IFERROR(VLOOKUP(D567,'[1]Перечень товаров'!$A$2:$I9525,3,0),"")</f>
        <v>Мебель</v>
      </c>
      <c r="D567" s="35" t="s">
        <v>383</v>
      </c>
      <c r="E567" s="88"/>
      <c r="F567" s="88"/>
      <c r="G567" s="59">
        <v>1</v>
      </c>
      <c r="H567" s="59"/>
      <c r="I567" s="60"/>
      <c r="J567" s="60"/>
      <c r="K567" s="19"/>
      <c r="L567" s="20"/>
    </row>
    <row r="568" spans="1:12" outlineLevel="2">
      <c r="A568" s="34"/>
      <c r="B568" s="12" t="str">
        <f>IFERROR(VLOOKUP(D568,'[1]Перечень товаров'!$A$2:$I9525,2,0),"")</f>
        <v>м61</v>
      </c>
      <c r="C568" s="12" t="str">
        <f>IFERROR(VLOOKUP(D568,'[1]Перечень товаров'!$A$2:$I9525,3,0),"")</f>
        <v>Мебель</v>
      </c>
      <c r="D568" s="35" t="s">
        <v>384</v>
      </c>
      <c r="E568" s="88"/>
      <c r="F568" s="88"/>
      <c r="G568" s="59">
        <v>4</v>
      </c>
      <c r="H568" s="59"/>
      <c r="I568" s="60"/>
      <c r="J568" s="60"/>
      <c r="K568" s="19"/>
      <c r="L568" s="20"/>
    </row>
    <row r="569" spans="1:12" ht="31.5" outlineLevel="2">
      <c r="A569" s="34"/>
      <c r="B569" s="12" t="str">
        <f>IFERROR(VLOOKUP(D569,'[1]Перечень товаров'!$A$2:$I9525,2,0),"")</f>
        <v>м62</v>
      </c>
      <c r="C569" s="12" t="str">
        <f>IFERROR(VLOOKUP(D569,'[1]Перечень товаров'!$A$2:$I9525,3,0),"")</f>
        <v>Мебель</v>
      </c>
      <c r="D569" s="35" t="s">
        <v>385</v>
      </c>
      <c r="E569" s="88"/>
      <c r="F569" s="88"/>
      <c r="G569" s="59">
        <v>2</v>
      </c>
      <c r="H569" s="59"/>
      <c r="I569" s="60"/>
      <c r="J569" s="60"/>
      <c r="K569" s="19"/>
      <c r="L569" s="20"/>
    </row>
    <row r="570" spans="1:12" outlineLevel="2">
      <c r="A570" s="21"/>
      <c r="B570" s="12" t="str">
        <f>IFERROR(VLOOKUP(D570,'[1]Перечень товаров'!$A$2:$I9525,2,0),"")</f>
        <v>м13</v>
      </c>
      <c r="C570" s="12" t="str">
        <f>IFERROR(VLOOKUP(D570,'[1]Перечень товаров'!$A$2:$I9525,3,0),"")</f>
        <v>Мебель</v>
      </c>
      <c r="D570" s="22" t="s">
        <v>42</v>
      </c>
      <c r="E570" s="58"/>
      <c r="F570" s="58"/>
      <c r="G570" s="24">
        <v>1</v>
      </c>
      <c r="H570" s="24"/>
      <c r="I570" s="25"/>
      <c r="J570" s="25"/>
      <c r="K570" s="19"/>
      <c r="L570" s="20"/>
    </row>
    <row r="571" spans="1:12" outlineLevel="2">
      <c r="A571" s="21"/>
      <c r="B571" s="12" t="str">
        <f>IFERROR(VLOOKUP(D571,'[1]Перечень товаров'!$A$2:$I9525,2,0),"")</f>
        <v>м14</v>
      </c>
      <c r="C571" s="12" t="str">
        <f>IFERROR(VLOOKUP(D571,'[1]Перечень товаров'!$A$2:$I9525,3,0),"")</f>
        <v>Мебель</v>
      </c>
      <c r="D571" s="22" t="s">
        <v>43</v>
      </c>
      <c r="E571" s="58"/>
      <c r="F571" s="58"/>
      <c r="G571" s="24">
        <v>1</v>
      </c>
      <c r="H571" s="24"/>
      <c r="I571" s="25"/>
      <c r="J571" s="25"/>
      <c r="K571" s="19"/>
      <c r="L571" s="20"/>
    </row>
    <row r="572" spans="1:12" ht="31.5" outlineLevel="2">
      <c r="A572" s="21"/>
      <c r="B572" s="12" t="str">
        <f>IFERROR(VLOOKUP(D572,'[1]Перечень товаров'!$A$2:$I9525,2,0),"")</f>
        <v>м63</v>
      </c>
      <c r="C572" s="12" t="str">
        <f>IFERROR(VLOOKUP(D572,'[1]Перечень товаров'!$A$2:$I9525,3,0),"")</f>
        <v>Мебель</v>
      </c>
      <c r="D572" s="22" t="s">
        <v>386</v>
      </c>
      <c r="E572" s="58"/>
      <c r="F572" s="58"/>
      <c r="G572" s="24">
        <v>2</v>
      </c>
      <c r="H572" s="24"/>
      <c r="I572" s="25"/>
      <c r="J572" s="25"/>
      <c r="K572" s="19"/>
      <c r="L572" s="20"/>
    </row>
    <row r="573" spans="1:12" ht="31.5" outlineLevel="2">
      <c r="A573" s="21"/>
      <c r="B573" s="12" t="str">
        <f>IFERROR(VLOOKUP(D573,'[1]Перечень товаров'!$A$2:$I9525,2,0),"")</f>
        <v>м64</v>
      </c>
      <c r="C573" s="12" t="str">
        <f>IFERROR(VLOOKUP(D573,'[1]Перечень товаров'!$A$2:$I9525,3,0),"")</f>
        <v>Мебель</v>
      </c>
      <c r="D573" s="22" t="s">
        <v>387</v>
      </c>
      <c r="E573" s="58"/>
      <c r="F573" s="58"/>
      <c r="G573" s="24">
        <v>2</v>
      </c>
      <c r="H573" s="24"/>
      <c r="I573" s="25"/>
      <c r="J573" s="25"/>
      <c r="K573" s="19"/>
      <c r="L573" s="20"/>
    </row>
    <row r="574" spans="1:12" outlineLevel="2">
      <c r="A574" s="21"/>
      <c r="B574" s="12" t="str">
        <f>IFERROR(VLOOKUP(D574,'[1]Перечень товаров'!$A$2:$I9525,2,0),"")</f>
        <v>п33</v>
      </c>
      <c r="C574" s="12" t="str">
        <f>IFERROR(VLOOKUP(D574,'[1]Перечень товаров'!$A$2:$I9525,3,0),"")</f>
        <v>Прочее</v>
      </c>
      <c r="D574" s="22" t="s">
        <v>388</v>
      </c>
      <c r="E574" s="58"/>
      <c r="F574" s="58"/>
      <c r="G574" s="24">
        <v>1</v>
      </c>
      <c r="H574" s="24"/>
      <c r="I574" s="25"/>
      <c r="J574" s="25"/>
      <c r="K574" s="19"/>
      <c r="L574" s="20"/>
    </row>
    <row r="575" spans="1:12" outlineLevel="2">
      <c r="A575" s="21"/>
      <c r="B575" s="12" t="str">
        <f>IFERROR(VLOOKUP(D575,'[1]Перечень товаров'!$A$2:$I9525,2,0),"")</f>
        <v>м65</v>
      </c>
      <c r="C575" s="12" t="str">
        <f>IFERROR(VLOOKUP(D575,'[1]Перечень товаров'!$A$2:$I9525,3,0),"")</f>
        <v>Мебель</v>
      </c>
      <c r="D575" s="22" t="s">
        <v>389</v>
      </c>
      <c r="E575" s="58"/>
      <c r="F575" s="58"/>
      <c r="G575" s="24">
        <v>1</v>
      </c>
      <c r="H575" s="24"/>
      <c r="I575" s="25"/>
      <c r="J575" s="25"/>
      <c r="K575" s="19"/>
      <c r="L575" s="20"/>
    </row>
    <row r="576" spans="1:12" outlineLevel="2">
      <c r="A576" s="21"/>
      <c r="B576" s="12" t="str">
        <f>IFERROR(VLOOKUP(D576,'[1]Перечень товаров'!$A$2:$I9525,2,0),"")</f>
        <v>п34</v>
      </c>
      <c r="C576" s="12" t="str">
        <f>IFERROR(VLOOKUP(D576,'[1]Перечень товаров'!$A$2:$I9525,3,0),"")</f>
        <v>Прочее</v>
      </c>
      <c r="D576" s="22" t="s">
        <v>390</v>
      </c>
      <c r="E576" s="58"/>
      <c r="F576" s="58"/>
      <c r="G576" s="24">
        <v>1</v>
      </c>
      <c r="H576" s="24"/>
      <c r="I576" s="25"/>
      <c r="J576" s="25"/>
      <c r="K576" s="19"/>
      <c r="L576" s="20"/>
    </row>
    <row r="577" spans="1:12" ht="15" outlineLevel="2">
      <c r="A577" s="116"/>
      <c r="B577" s="12" t="str">
        <f>IFERROR(VLOOKUP(D577,'[1]Перечень товаров'!$A$2:$I9525,2,0),"")</f>
        <v/>
      </c>
      <c r="C577" s="12" t="str">
        <f>IFERROR(VLOOKUP(D577,'[1]Перечень товаров'!$A$2:$I9525,3,0),"")</f>
        <v/>
      </c>
      <c r="D577" s="117" t="s">
        <v>391</v>
      </c>
      <c r="E577" s="118"/>
      <c r="F577" s="118"/>
      <c r="G577" s="119"/>
      <c r="H577" s="119"/>
      <c r="I577" s="120"/>
      <c r="J577" s="120"/>
      <c r="K577" s="19"/>
      <c r="L577" s="20"/>
    </row>
    <row r="578" spans="1:12" ht="31.5" outlineLevel="2">
      <c r="A578" s="28"/>
      <c r="B578" s="12" t="str">
        <f>IFERROR(VLOOKUP(D578,'[1]Перечень товаров'!$A$2:$I9525,2,0),"")</f>
        <v>тм66</v>
      </c>
      <c r="C578" s="12" t="str">
        <f>IFERROR(VLOOKUP(D578,'[1]Перечень товаров'!$A$2:$I9525,3,0),"")</f>
        <v>Техника муз</v>
      </c>
      <c r="D578" s="29" t="s">
        <v>392</v>
      </c>
      <c r="E578" s="30"/>
      <c r="F578" s="30"/>
      <c r="G578" s="31">
        <v>2</v>
      </c>
      <c r="H578" s="31"/>
      <c r="I578" s="32"/>
      <c r="J578" s="32"/>
      <c r="K578" s="19"/>
      <c r="L578" s="20"/>
    </row>
    <row r="579" spans="1:12" ht="63" outlineLevel="2">
      <c r="A579" s="28"/>
      <c r="B579" s="12" t="str">
        <f>IFERROR(VLOOKUP(D579,'[1]Перечень товаров'!$A$2:$I9525,2,0),"")</f>
        <v>тм67</v>
      </c>
      <c r="C579" s="12" t="str">
        <f>IFERROR(VLOOKUP(D579,'[1]Перечень товаров'!$A$2:$I9525,3,0),"")</f>
        <v>Техника муз</v>
      </c>
      <c r="D579" s="29" t="s">
        <v>393</v>
      </c>
      <c r="E579" s="30"/>
      <c r="F579" s="30"/>
      <c r="G579" s="31">
        <v>1</v>
      </c>
      <c r="H579" s="31"/>
      <c r="I579" s="32"/>
      <c r="J579" s="32"/>
      <c r="K579" s="19"/>
      <c r="L579" s="20"/>
    </row>
    <row r="580" spans="1:12" ht="31.5" outlineLevel="2">
      <c r="A580" s="28"/>
      <c r="B580" s="12" t="str">
        <f>IFERROR(VLOOKUP(D580,'[1]Перечень товаров'!$A$2:$I9525,2,0),"")</f>
        <v>тм68</v>
      </c>
      <c r="C580" s="12" t="str">
        <f>IFERROR(VLOOKUP(D580,'[1]Перечень товаров'!$A$2:$I9525,3,0),"")</f>
        <v>Техника муз</v>
      </c>
      <c r="D580" s="29" t="s">
        <v>394</v>
      </c>
      <c r="E580" s="30"/>
      <c r="F580" s="30"/>
      <c r="G580" s="31">
        <v>1</v>
      </c>
      <c r="H580" s="31"/>
      <c r="I580" s="32"/>
      <c r="J580" s="32"/>
      <c r="K580" s="19"/>
      <c r="L580" s="20"/>
    </row>
    <row r="581" spans="1:12" ht="31.5" outlineLevel="2">
      <c r="A581" s="28"/>
      <c r="B581" s="12" t="str">
        <f>IFERROR(VLOOKUP(D581,'[1]Перечень товаров'!$A$2:$I9525,2,0),"")</f>
        <v>тм69</v>
      </c>
      <c r="C581" s="12" t="str">
        <f>IFERROR(VLOOKUP(D581,'[1]Перечень товаров'!$A$2:$I9525,3,0),"")</f>
        <v>Техника муз</v>
      </c>
      <c r="D581" s="29" t="s">
        <v>395</v>
      </c>
      <c r="E581" s="30"/>
      <c r="F581" s="30"/>
      <c r="G581" s="31">
        <v>1</v>
      </c>
      <c r="H581" s="31"/>
      <c r="I581" s="32"/>
      <c r="J581" s="32"/>
      <c r="K581" s="19"/>
      <c r="L581" s="20"/>
    </row>
    <row r="582" spans="1:12" ht="12.75" outlineLevel="1">
      <c r="A582" s="89"/>
      <c r="B582" s="12" t="str">
        <f>IFERROR(VLOOKUP(D582,'[1]Перечень товаров'!$A$2:$I9525,2,0),"")</f>
        <v/>
      </c>
      <c r="C582" s="12" t="str">
        <f>IFERROR(VLOOKUP(D582,'[1]Перечень товаров'!$A$2:$I9525,3,0),"")</f>
        <v/>
      </c>
      <c r="D582" s="90" t="s">
        <v>379</v>
      </c>
      <c r="E582" s="108">
        <v>46049</v>
      </c>
      <c r="F582" s="108"/>
      <c r="G582" s="100"/>
      <c r="H582" s="100"/>
      <c r="I582" s="101"/>
      <c r="J582" s="101"/>
      <c r="K582" s="19"/>
      <c r="L582" s="20"/>
    </row>
    <row r="583" spans="1:12" ht="15" outlineLevel="2">
      <c r="A583" s="109"/>
      <c r="B583" s="12" t="str">
        <f>IFERROR(VLOOKUP(D583,'[1]Перечень товаров'!$A$2:$I9525,2,0),"")</f>
        <v/>
      </c>
      <c r="C583" s="12" t="str">
        <f>IFERROR(VLOOKUP(D583,'[1]Перечень товаров'!$A$2:$I9525,3,0),"")</f>
        <v/>
      </c>
      <c r="D583" s="110" t="s">
        <v>27</v>
      </c>
      <c r="E583" s="45"/>
      <c r="F583" s="45"/>
      <c r="G583" s="111"/>
      <c r="H583" s="111"/>
      <c r="I583" s="112"/>
      <c r="J583" s="112"/>
      <c r="K583" s="19"/>
      <c r="L583" s="20"/>
    </row>
    <row r="584" spans="1:12" outlineLevel="2">
      <c r="A584" s="21"/>
      <c r="B584" s="12" t="str">
        <f>IFERROR(VLOOKUP(D584,'[1]Перечень товаров'!$A$2:$I9525,2,0),"")</f>
        <v>т1</v>
      </c>
      <c r="C584" s="12" t="str">
        <f>IFERROR(VLOOKUP(D584,'[1]Перечень товаров'!$A$2:$I9525,3,0),"")</f>
        <v xml:space="preserve">Техника </v>
      </c>
      <c r="D584" s="22" t="s">
        <v>28</v>
      </c>
      <c r="E584" s="58"/>
      <c r="F584" s="58"/>
      <c r="G584" s="48">
        <v>1</v>
      </c>
      <c r="H584" s="48"/>
      <c r="I584" s="49"/>
      <c r="J584" s="49"/>
      <c r="K584" s="19"/>
      <c r="L584" s="20"/>
    </row>
    <row r="585" spans="1:12" outlineLevel="2">
      <c r="A585" s="35"/>
      <c r="B585" s="12" t="str">
        <f>IFERROR(VLOOKUP(D585,'[1]Перечень товаров'!$A$2:$I9525,2,0),"")</f>
        <v>т2</v>
      </c>
      <c r="C585" s="12" t="str">
        <f>IFERROR(VLOOKUP(D585,'[1]Перечень товаров'!$A$2:$I9525,3,0),"")</f>
        <v xml:space="preserve">Техника </v>
      </c>
      <c r="D585" s="35" t="s">
        <v>29</v>
      </c>
      <c r="E585" s="58"/>
      <c r="F585" s="58"/>
      <c r="G585" s="48">
        <v>1</v>
      </c>
      <c r="H585" s="48"/>
      <c r="I585" s="49"/>
      <c r="J585" s="49"/>
      <c r="K585" s="19"/>
      <c r="L585" s="20"/>
    </row>
    <row r="586" spans="1:12" outlineLevel="2">
      <c r="A586" s="35"/>
      <c r="B586" s="12" t="str">
        <f>IFERROR(VLOOKUP(D586,'[1]Перечень товаров'!$A$2:$I9525,2,0),"")</f>
        <v>т3</v>
      </c>
      <c r="C586" s="12" t="str">
        <f>IFERROR(VLOOKUP(D586,'[1]Перечень товаров'!$A$2:$I9525,3,0),"")</f>
        <v xml:space="preserve">Техника </v>
      </c>
      <c r="D586" s="35" t="s">
        <v>30</v>
      </c>
      <c r="E586" s="58"/>
      <c r="F586" s="58"/>
      <c r="G586" s="48">
        <v>1</v>
      </c>
      <c r="H586" s="48"/>
      <c r="I586" s="49"/>
      <c r="J586" s="49"/>
      <c r="K586" s="19"/>
      <c r="L586" s="20"/>
    </row>
    <row r="587" spans="1:12" outlineLevel="2">
      <c r="A587" s="35"/>
      <c r="B587" s="12" t="str">
        <f>IFERROR(VLOOKUP(D587,'[1]Перечень товаров'!$A$2:$I9525,2,0),"")</f>
        <v>т4</v>
      </c>
      <c r="C587" s="12" t="str">
        <f>IFERROR(VLOOKUP(D587,'[1]Перечень товаров'!$A$2:$I9525,3,0),"")</f>
        <v xml:space="preserve">Техника </v>
      </c>
      <c r="D587" s="35" t="s">
        <v>31</v>
      </c>
      <c r="E587" s="58"/>
      <c r="F587" s="58"/>
      <c r="G587" s="48">
        <v>1</v>
      </c>
      <c r="H587" s="48"/>
      <c r="I587" s="49"/>
      <c r="J587" s="49"/>
      <c r="K587" s="19"/>
      <c r="L587" s="20"/>
    </row>
    <row r="588" spans="1:12" outlineLevel="2">
      <c r="A588" s="21"/>
      <c r="B588" s="12" t="str">
        <f>IFERROR(VLOOKUP(D588,'[1]Перечень товаров'!$A$2:$I9525,2,0),"")</f>
        <v>тм65</v>
      </c>
      <c r="C588" s="12" t="str">
        <f>IFERROR(VLOOKUP(D588,'[1]Перечень товаров'!$A$2:$I9525,3,0),"")</f>
        <v>Техника муз</v>
      </c>
      <c r="D588" s="22" t="s">
        <v>380</v>
      </c>
      <c r="E588" s="58"/>
      <c r="F588" s="58"/>
      <c r="G588" s="48">
        <v>1</v>
      </c>
      <c r="H588" s="48"/>
      <c r="I588" s="49"/>
      <c r="J588" s="49"/>
      <c r="K588" s="19"/>
      <c r="L588" s="20"/>
    </row>
    <row r="589" spans="1:12" outlineLevel="2">
      <c r="A589" s="21"/>
      <c r="B589" s="12" t="str">
        <f>IFERROR(VLOOKUP(D589,'[1]Перечень товаров'!$A$2:$I9525,2,0),"")</f>
        <v>т12</v>
      </c>
      <c r="C589" s="12" t="str">
        <f>IFERROR(VLOOKUP(D589,'[1]Перечень товаров'!$A$2:$I9525,3,0),"")</f>
        <v>Техника</v>
      </c>
      <c r="D589" s="22" t="s">
        <v>49</v>
      </c>
      <c r="E589" s="58"/>
      <c r="F589" s="58"/>
      <c r="G589" s="48">
        <v>1</v>
      </c>
      <c r="H589" s="48"/>
      <c r="I589" s="49"/>
      <c r="J589" s="49"/>
      <c r="K589" s="19"/>
      <c r="L589" s="20"/>
    </row>
    <row r="590" spans="1:12" outlineLevel="2">
      <c r="A590" s="35"/>
      <c r="B590" s="12" t="str">
        <f>IFERROR(VLOOKUP(D590,'[1]Перечень товаров'!$A$2:$I9525,2,0),"")</f>
        <v>т6</v>
      </c>
      <c r="C590" s="12" t="str">
        <f>IFERROR(VLOOKUP(D590,'[1]Перечень товаров'!$A$2:$I9525,3,0),"")</f>
        <v xml:space="preserve">Техника </v>
      </c>
      <c r="D590" s="35" t="s">
        <v>33</v>
      </c>
      <c r="E590" s="58"/>
      <c r="F590" s="58"/>
      <c r="G590" s="48">
        <v>1</v>
      </c>
      <c r="H590" s="48"/>
      <c r="I590" s="49"/>
      <c r="J590" s="49"/>
      <c r="K590" s="19"/>
      <c r="L590" s="20"/>
    </row>
    <row r="591" spans="1:12" outlineLevel="2">
      <c r="A591" s="21"/>
      <c r="B591" s="12" t="str">
        <f>IFERROR(VLOOKUP(D591,'[1]Перечень товаров'!$A$2:$I9525,2,0),"")</f>
        <v>т7</v>
      </c>
      <c r="C591" s="12" t="str">
        <f>IFERROR(VLOOKUP(D591,'[1]Перечень товаров'!$A$2:$I9525,3,0),"")</f>
        <v xml:space="preserve">Техника </v>
      </c>
      <c r="D591" s="22" t="s">
        <v>34</v>
      </c>
      <c r="E591" s="58"/>
      <c r="F591" s="58"/>
      <c r="G591" s="48">
        <v>3</v>
      </c>
      <c r="H591" s="48"/>
      <c r="I591" s="49"/>
      <c r="J591" s="49"/>
      <c r="K591" s="19"/>
      <c r="L591" s="20"/>
    </row>
    <row r="592" spans="1:12" outlineLevel="2">
      <c r="A592" s="28"/>
      <c r="B592" s="12" t="str">
        <f>IFERROR(VLOOKUP(D592,'[1]Перечень товаров'!$A$2:$I9525,2,0),"")</f>
        <v>т161</v>
      </c>
      <c r="C592" s="12" t="str">
        <f>IFERROR(VLOOKUP(D592,'[1]Перечень товаров'!$A$2:$I9525,3,0),"")</f>
        <v xml:space="preserve">Техника </v>
      </c>
      <c r="D592" s="29" t="s">
        <v>381</v>
      </c>
      <c r="E592" s="30"/>
      <c r="F592" s="30"/>
      <c r="G592" s="59">
        <v>1</v>
      </c>
      <c r="H592" s="59"/>
      <c r="I592" s="60"/>
      <c r="J592" s="60"/>
      <c r="K592" s="19"/>
      <c r="L592" s="20"/>
    </row>
    <row r="593" spans="1:12" ht="47.25" outlineLevel="2">
      <c r="A593" s="21"/>
      <c r="B593" s="12" t="str">
        <f>IFERROR(VLOOKUP(D593,'[1]Перечень товаров'!$A$2:$I9525,2,0),"")</f>
        <v>м61</v>
      </c>
      <c r="C593" s="12" t="str">
        <f>IFERROR(VLOOKUP(D593,'[1]Перечень товаров'!$A$2:$I9525,3,0),"")</f>
        <v>Мебель</v>
      </c>
      <c r="D593" s="22" t="s">
        <v>382</v>
      </c>
      <c r="E593" s="30"/>
      <c r="F593" s="30"/>
      <c r="G593" s="59">
        <v>1</v>
      </c>
      <c r="H593" s="59"/>
      <c r="I593" s="60"/>
      <c r="J593" s="60"/>
      <c r="K593" s="19"/>
      <c r="L593" s="20"/>
    </row>
    <row r="594" spans="1:12" outlineLevel="2">
      <c r="A594" s="113"/>
      <c r="B594" s="12" t="str">
        <f>IFERROR(VLOOKUP(D594,'[1]Перечень товаров'!$A$2:$I9525,2,0),"")</f>
        <v/>
      </c>
      <c r="C594" s="12" t="str">
        <f>IFERROR(VLOOKUP(D594,'[1]Перечень товаров'!$A$2:$I9525,3,0),"")</f>
        <v/>
      </c>
      <c r="D594" s="114" t="s">
        <v>19</v>
      </c>
      <c r="E594" s="115"/>
      <c r="F594" s="115"/>
      <c r="G594" s="59"/>
      <c r="H594" s="59"/>
      <c r="I594" s="60"/>
      <c r="J594" s="60"/>
      <c r="K594" s="19"/>
      <c r="L594" s="20"/>
    </row>
    <row r="595" spans="1:12" ht="31.5" outlineLevel="2">
      <c r="A595" s="34"/>
      <c r="B595" s="12" t="str">
        <f>IFERROR(VLOOKUP(D595,'[1]Перечень товаров'!$A$2:$I9525,2,0),"")</f>
        <v>м205</v>
      </c>
      <c r="C595" s="12" t="str">
        <f>IFERROR(VLOOKUP(D595,'[1]Перечень товаров'!$A$2:$I9525,3,0),"")</f>
        <v>Мебель</v>
      </c>
      <c r="D595" s="35" t="s">
        <v>20</v>
      </c>
      <c r="E595" s="88"/>
      <c r="F595" s="88"/>
      <c r="G595" s="59">
        <v>1</v>
      </c>
      <c r="H595" s="59"/>
      <c r="I595" s="60"/>
      <c r="J595" s="60"/>
      <c r="K595" s="19"/>
      <c r="L595" s="20"/>
    </row>
    <row r="596" spans="1:12" outlineLevel="2">
      <c r="A596" s="34"/>
      <c r="B596" s="12" t="str">
        <f>IFERROR(VLOOKUP(D596,'[1]Перечень товаров'!$A$2:$I9525,2,0),"")</f>
        <v>м61</v>
      </c>
      <c r="C596" s="12" t="str">
        <f>IFERROR(VLOOKUP(D596,'[1]Перечень товаров'!$A$2:$I9525,3,0),"")</f>
        <v>Мебель</v>
      </c>
      <c r="D596" s="35" t="s">
        <v>383</v>
      </c>
      <c r="E596" s="88"/>
      <c r="F596" s="88"/>
      <c r="G596" s="59">
        <v>1</v>
      </c>
      <c r="H596" s="59"/>
      <c r="I596" s="60"/>
      <c r="J596" s="60"/>
      <c r="K596" s="19"/>
      <c r="L596" s="20"/>
    </row>
    <row r="597" spans="1:12" outlineLevel="2">
      <c r="A597" s="34"/>
      <c r="B597" s="12" t="str">
        <f>IFERROR(VLOOKUP(D597,'[1]Перечень товаров'!$A$2:$I9525,2,0),"")</f>
        <v>м61</v>
      </c>
      <c r="C597" s="12" t="str">
        <f>IFERROR(VLOOKUP(D597,'[1]Перечень товаров'!$A$2:$I9525,3,0),"")</f>
        <v>Мебель</v>
      </c>
      <c r="D597" s="35" t="s">
        <v>384</v>
      </c>
      <c r="E597" s="88"/>
      <c r="F597" s="88"/>
      <c r="G597" s="59">
        <v>4</v>
      </c>
      <c r="H597" s="59"/>
      <c r="I597" s="60"/>
      <c r="J597" s="60"/>
      <c r="K597" s="19"/>
      <c r="L597" s="20"/>
    </row>
    <row r="598" spans="1:12" ht="31.5" outlineLevel="2">
      <c r="A598" s="34"/>
      <c r="B598" s="12" t="str">
        <f>IFERROR(VLOOKUP(D598,'[1]Перечень товаров'!$A$2:$I9525,2,0),"")</f>
        <v>м62</v>
      </c>
      <c r="C598" s="12" t="str">
        <f>IFERROR(VLOOKUP(D598,'[1]Перечень товаров'!$A$2:$I9525,3,0),"")</f>
        <v>Мебель</v>
      </c>
      <c r="D598" s="35" t="s">
        <v>385</v>
      </c>
      <c r="E598" s="88"/>
      <c r="F598" s="88"/>
      <c r="G598" s="59">
        <v>2</v>
      </c>
      <c r="H598" s="59"/>
      <c r="I598" s="60"/>
      <c r="J598" s="60"/>
      <c r="K598" s="19"/>
      <c r="L598" s="20"/>
    </row>
    <row r="599" spans="1:12" outlineLevel="2">
      <c r="A599" s="21"/>
      <c r="B599" s="12" t="str">
        <f>IFERROR(VLOOKUP(D599,'[1]Перечень товаров'!$A$2:$I9525,2,0),"")</f>
        <v>м13</v>
      </c>
      <c r="C599" s="12" t="str">
        <f>IFERROR(VLOOKUP(D599,'[1]Перечень товаров'!$A$2:$I9525,3,0),"")</f>
        <v>Мебель</v>
      </c>
      <c r="D599" s="22" t="s">
        <v>42</v>
      </c>
      <c r="E599" s="58"/>
      <c r="F599" s="58"/>
      <c r="G599" s="24">
        <v>1</v>
      </c>
      <c r="H599" s="24"/>
      <c r="I599" s="25"/>
      <c r="J599" s="25"/>
      <c r="K599" s="19"/>
      <c r="L599" s="20"/>
    </row>
    <row r="600" spans="1:12" outlineLevel="2">
      <c r="A600" s="21"/>
      <c r="B600" s="12" t="str">
        <f>IFERROR(VLOOKUP(D600,'[1]Перечень товаров'!$A$2:$I9525,2,0),"")</f>
        <v>м14</v>
      </c>
      <c r="C600" s="12" t="str">
        <f>IFERROR(VLOOKUP(D600,'[1]Перечень товаров'!$A$2:$I9525,3,0),"")</f>
        <v>Мебель</v>
      </c>
      <c r="D600" s="22" t="s">
        <v>43</v>
      </c>
      <c r="E600" s="58"/>
      <c r="F600" s="58"/>
      <c r="G600" s="24">
        <v>1</v>
      </c>
      <c r="H600" s="24"/>
      <c r="I600" s="25"/>
      <c r="J600" s="25"/>
      <c r="K600" s="19"/>
      <c r="L600" s="20"/>
    </row>
    <row r="601" spans="1:12" ht="31.5" outlineLevel="2">
      <c r="A601" s="21"/>
      <c r="B601" s="12" t="str">
        <f>IFERROR(VLOOKUP(D601,'[1]Перечень товаров'!$A$2:$I9525,2,0),"")</f>
        <v>м63</v>
      </c>
      <c r="C601" s="12" t="str">
        <f>IFERROR(VLOOKUP(D601,'[1]Перечень товаров'!$A$2:$I9525,3,0),"")</f>
        <v>Мебель</v>
      </c>
      <c r="D601" s="22" t="s">
        <v>386</v>
      </c>
      <c r="E601" s="58"/>
      <c r="F601" s="58"/>
      <c r="G601" s="24">
        <v>2</v>
      </c>
      <c r="H601" s="24"/>
      <c r="I601" s="25"/>
      <c r="J601" s="25"/>
      <c r="K601" s="19"/>
      <c r="L601" s="20"/>
    </row>
    <row r="602" spans="1:12" ht="31.5" outlineLevel="2">
      <c r="A602" s="21"/>
      <c r="B602" s="12" t="str">
        <f>IFERROR(VLOOKUP(D602,'[1]Перечень товаров'!$A$2:$I9525,2,0),"")</f>
        <v>м64</v>
      </c>
      <c r="C602" s="12" t="str">
        <f>IFERROR(VLOOKUP(D602,'[1]Перечень товаров'!$A$2:$I9525,3,0),"")</f>
        <v>Мебель</v>
      </c>
      <c r="D602" s="22" t="s">
        <v>387</v>
      </c>
      <c r="E602" s="58"/>
      <c r="F602" s="58"/>
      <c r="G602" s="24">
        <v>2</v>
      </c>
      <c r="H602" s="24"/>
      <c r="I602" s="25"/>
      <c r="J602" s="25"/>
      <c r="K602" s="19"/>
      <c r="L602" s="20"/>
    </row>
    <row r="603" spans="1:12" outlineLevel="2">
      <c r="A603" s="21"/>
      <c r="B603" s="12" t="str">
        <f>IFERROR(VLOOKUP(D603,'[1]Перечень товаров'!$A$2:$I9525,2,0),"")</f>
        <v>п33</v>
      </c>
      <c r="C603" s="12" t="str">
        <f>IFERROR(VLOOKUP(D603,'[1]Перечень товаров'!$A$2:$I9525,3,0),"")</f>
        <v>Прочее</v>
      </c>
      <c r="D603" s="22" t="s">
        <v>388</v>
      </c>
      <c r="E603" s="58"/>
      <c r="F603" s="58"/>
      <c r="G603" s="24">
        <v>1</v>
      </c>
      <c r="H603" s="24"/>
      <c r="I603" s="25"/>
      <c r="J603" s="25"/>
      <c r="K603" s="19"/>
      <c r="L603" s="20"/>
    </row>
    <row r="604" spans="1:12" outlineLevel="2">
      <c r="A604" s="21"/>
      <c r="B604" s="12" t="str">
        <f>IFERROR(VLOOKUP(D604,'[1]Перечень товаров'!$A$2:$I9525,2,0),"")</f>
        <v>м65</v>
      </c>
      <c r="C604" s="12" t="str">
        <f>IFERROR(VLOOKUP(D604,'[1]Перечень товаров'!$A$2:$I9525,3,0),"")</f>
        <v>Мебель</v>
      </c>
      <c r="D604" s="22" t="s">
        <v>389</v>
      </c>
      <c r="E604" s="58"/>
      <c r="F604" s="58"/>
      <c r="G604" s="24">
        <v>1</v>
      </c>
      <c r="H604" s="24"/>
      <c r="I604" s="25"/>
      <c r="J604" s="25"/>
      <c r="K604" s="19"/>
      <c r="L604" s="20"/>
    </row>
    <row r="605" spans="1:12" outlineLevel="2">
      <c r="A605" s="21"/>
      <c r="B605" s="12" t="str">
        <f>IFERROR(VLOOKUP(D605,'[1]Перечень товаров'!$A$2:$I9525,2,0),"")</f>
        <v>п34</v>
      </c>
      <c r="C605" s="12" t="str">
        <f>IFERROR(VLOOKUP(D605,'[1]Перечень товаров'!$A$2:$I9525,3,0),"")</f>
        <v>Прочее</v>
      </c>
      <c r="D605" s="22" t="s">
        <v>390</v>
      </c>
      <c r="E605" s="58"/>
      <c r="F605" s="58"/>
      <c r="G605" s="24">
        <v>1</v>
      </c>
      <c r="H605" s="24"/>
      <c r="I605" s="25"/>
      <c r="J605" s="25"/>
      <c r="K605" s="19"/>
      <c r="L605" s="20"/>
    </row>
    <row r="606" spans="1:12" ht="15" outlineLevel="2">
      <c r="A606" s="116"/>
      <c r="B606" s="12" t="str">
        <f>IFERROR(VLOOKUP(D606,'[1]Перечень товаров'!$A$2:$I9525,2,0),"")</f>
        <v/>
      </c>
      <c r="C606" s="12" t="str">
        <f>IFERROR(VLOOKUP(D606,'[1]Перечень товаров'!$A$2:$I9525,3,0),"")</f>
        <v/>
      </c>
      <c r="D606" s="117" t="s">
        <v>391</v>
      </c>
      <c r="E606" s="118"/>
      <c r="F606" s="118"/>
      <c r="G606" s="119"/>
      <c r="H606" s="119"/>
      <c r="I606" s="120"/>
      <c r="J606" s="120"/>
      <c r="K606" s="19"/>
      <c r="L606" s="20"/>
    </row>
    <row r="607" spans="1:12" ht="31.5" outlineLevel="2">
      <c r="A607" s="28"/>
      <c r="B607" s="12" t="str">
        <f>IFERROR(VLOOKUP(D607,'[1]Перечень товаров'!$A$2:$I9525,2,0),"")</f>
        <v>тм66</v>
      </c>
      <c r="C607" s="12" t="str">
        <f>IFERROR(VLOOKUP(D607,'[1]Перечень товаров'!$A$2:$I9525,3,0),"")</f>
        <v>Техника муз</v>
      </c>
      <c r="D607" s="29" t="s">
        <v>392</v>
      </c>
      <c r="E607" s="30"/>
      <c r="F607" s="30"/>
      <c r="G607" s="31">
        <v>2</v>
      </c>
      <c r="H607" s="31"/>
      <c r="I607" s="32"/>
      <c r="J607" s="32"/>
      <c r="K607" s="19"/>
      <c r="L607" s="20"/>
    </row>
    <row r="608" spans="1:12" ht="63" outlineLevel="2">
      <c r="A608" s="28"/>
      <c r="B608" s="12" t="str">
        <f>IFERROR(VLOOKUP(D608,'[1]Перечень товаров'!$A$2:$I9525,2,0),"")</f>
        <v>тм67</v>
      </c>
      <c r="C608" s="12" t="str">
        <f>IFERROR(VLOOKUP(D608,'[1]Перечень товаров'!$A$2:$I9525,3,0),"")</f>
        <v>Техника муз</v>
      </c>
      <c r="D608" s="29" t="s">
        <v>393</v>
      </c>
      <c r="E608" s="30"/>
      <c r="F608" s="30"/>
      <c r="G608" s="31">
        <v>1</v>
      </c>
      <c r="H608" s="31"/>
      <c r="I608" s="32"/>
      <c r="J608" s="32"/>
      <c r="K608" s="19"/>
      <c r="L608" s="20"/>
    </row>
    <row r="609" spans="1:12" ht="31.5" outlineLevel="2">
      <c r="A609" s="28"/>
      <c r="B609" s="12" t="str">
        <f>IFERROR(VLOOKUP(D609,'[1]Перечень товаров'!$A$2:$I9525,2,0),"")</f>
        <v>тм68</v>
      </c>
      <c r="C609" s="12" t="str">
        <f>IFERROR(VLOOKUP(D609,'[1]Перечень товаров'!$A$2:$I9525,3,0),"")</f>
        <v>Техника муз</v>
      </c>
      <c r="D609" s="29" t="s">
        <v>394</v>
      </c>
      <c r="E609" s="30"/>
      <c r="F609" s="30"/>
      <c r="G609" s="31">
        <v>1</v>
      </c>
      <c r="H609" s="31"/>
      <c r="I609" s="32"/>
      <c r="J609" s="32"/>
      <c r="K609" s="19"/>
      <c r="L609" s="20"/>
    </row>
    <row r="610" spans="1:12" ht="31.5" outlineLevel="2">
      <c r="A610" s="28"/>
      <c r="B610" s="12" t="str">
        <f>IFERROR(VLOOKUP(D610,'[1]Перечень товаров'!$A$2:$I9525,2,0),"")</f>
        <v>тм69</v>
      </c>
      <c r="C610" s="12" t="str">
        <f>IFERROR(VLOOKUP(D610,'[1]Перечень товаров'!$A$2:$I9525,3,0),"")</f>
        <v>Техника муз</v>
      </c>
      <c r="D610" s="29" t="s">
        <v>395</v>
      </c>
      <c r="E610" s="30"/>
      <c r="F610" s="30"/>
      <c r="G610" s="31">
        <v>1</v>
      </c>
      <c r="H610" s="31"/>
      <c r="I610" s="32"/>
      <c r="J610" s="32"/>
      <c r="K610" s="19"/>
      <c r="L610" s="20"/>
    </row>
    <row r="611" spans="1:12" ht="12.75" outlineLevel="1">
      <c r="A611" s="89"/>
      <c r="B611" s="12" t="str">
        <f>IFERROR(VLOOKUP(D611,'[1]Перечень товаров'!$A$2:$I9525,2,0),"")</f>
        <v/>
      </c>
      <c r="C611" s="12" t="str">
        <f>IFERROR(VLOOKUP(D611,'[1]Перечень товаров'!$A$2:$I9525,3,0),"")</f>
        <v/>
      </c>
      <c r="D611" s="90" t="s">
        <v>379</v>
      </c>
      <c r="E611" s="108">
        <v>46257</v>
      </c>
      <c r="F611" s="108"/>
      <c r="G611" s="100"/>
      <c r="H611" s="100"/>
      <c r="I611" s="101"/>
      <c r="J611" s="101"/>
      <c r="K611" s="19"/>
      <c r="L611" s="20"/>
    </row>
    <row r="612" spans="1:12" ht="15" outlineLevel="2">
      <c r="A612" s="109"/>
      <c r="B612" s="12" t="str">
        <f>IFERROR(VLOOKUP(D612,'[1]Перечень товаров'!$A$2:$I9525,2,0),"")</f>
        <v/>
      </c>
      <c r="C612" s="12" t="str">
        <f>IFERROR(VLOOKUP(D612,'[1]Перечень товаров'!$A$2:$I9525,3,0),"")</f>
        <v/>
      </c>
      <c r="D612" s="110" t="s">
        <v>27</v>
      </c>
      <c r="E612" s="45"/>
      <c r="F612" s="45"/>
      <c r="G612" s="111"/>
      <c r="H612" s="111"/>
      <c r="I612" s="112"/>
      <c r="J612" s="112"/>
      <c r="K612" s="19"/>
      <c r="L612" s="20"/>
    </row>
    <row r="613" spans="1:12" outlineLevel="2">
      <c r="A613" s="21"/>
      <c r="B613" s="12" t="str">
        <f>IFERROR(VLOOKUP(D613,'[1]Перечень товаров'!$A$2:$I9525,2,0),"")</f>
        <v>т1</v>
      </c>
      <c r="C613" s="12" t="str">
        <f>IFERROR(VLOOKUP(D613,'[1]Перечень товаров'!$A$2:$I9525,3,0),"")</f>
        <v xml:space="preserve">Техника </v>
      </c>
      <c r="D613" s="22" t="s">
        <v>28</v>
      </c>
      <c r="E613" s="58"/>
      <c r="F613" s="58"/>
      <c r="G613" s="48">
        <v>1</v>
      </c>
      <c r="H613" s="48"/>
      <c r="I613" s="49"/>
      <c r="J613" s="49"/>
      <c r="K613" s="19"/>
      <c r="L613" s="20"/>
    </row>
    <row r="614" spans="1:12" outlineLevel="2">
      <c r="A614" s="35"/>
      <c r="B614" s="12" t="str">
        <f>IFERROR(VLOOKUP(D614,'[1]Перечень товаров'!$A$2:$I9525,2,0),"")</f>
        <v>т2</v>
      </c>
      <c r="C614" s="12" t="str">
        <f>IFERROR(VLOOKUP(D614,'[1]Перечень товаров'!$A$2:$I9525,3,0),"")</f>
        <v xml:space="preserve">Техника </v>
      </c>
      <c r="D614" s="35" t="s">
        <v>29</v>
      </c>
      <c r="E614" s="58"/>
      <c r="F614" s="58"/>
      <c r="G614" s="48">
        <v>1</v>
      </c>
      <c r="H614" s="48"/>
      <c r="I614" s="49"/>
      <c r="J614" s="49"/>
      <c r="K614" s="19"/>
      <c r="L614" s="20"/>
    </row>
    <row r="615" spans="1:12" outlineLevel="2">
      <c r="A615" s="35"/>
      <c r="B615" s="12" t="str">
        <f>IFERROR(VLOOKUP(D615,'[1]Перечень товаров'!$A$2:$I9525,2,0),"")</f>
        <v>т3</v>
      </c>
      <c r="C615" s="12" t="str">
        <f>IFERROR(VLOOKUP(D615,'[1]Перечень товаров'!$A$2:$I9525,3,0),"")</f>
        <v xml:space="preserve">Техника </v>
      </c>
      <c r="D615" s="35" t="s">
        <v>30</v>
      </c>
      <c r="E615" s="58"/>
      <c r="F615" s="58"/>
      <c r="G615" s="48">
        <v>1</v>
      </c>
      <c r="H615" s="48"/>
      <c r="I615" s="49"/>
      <c r="J615" s="49"/>
      <c r="K615" s="19"/>
      <c r="L615" s="20"/>
    </row>
    <row r="616" spans="1:12" outlineLevel="2">
      <c r="A616" s="35"/>
      <c r="B616" s="12" t="str">
        <f>IFERROR(VLOOKUP(D616,'[1]Перечень товаров'!$A$2:$I9525,2,0),"")</f>
        <v>т4</v>
      </c>
      <c r="C616" s="12" t="str">
        <f>IFERROR(VLOOKUP(D616,'[1]Перечень товаров'!$A$2:$I9525,3,0),"")</f>
        <v xml:space="preserve">Техника </v>
      </c>
      <c r="D616" s="35" t="s">
        <v>31</v>
      </c>
      <c r="E616" s="58"/>
      <c r="F616" s="58"/>
      <c r="G616" s="48">
        <v>1</v>
      </c>
      <c r="H616" s="48"/>
      <c r="I616" s="49"/>
      <c r="J616" s="49"/>
      <c r="K616" s="19"/>
      <c r="L616" s="20"/>
    </row>
    <row r="617" spans="1:12" outlineLevel="2">
      <c r="A617" s="21"/>
      <c r="B617" s="12" t="str">
        <f>IFERROR(VLOOKUP(D617,'[1]Перечень товаров'!$A$2:$I9525,2,0),"")</f>
        <v>тм65</v>
      </c>
      <c r="C617" s="12" t="str">
        <f>IFERROR(VLOOKUP(D617,'[1]Перечень товаров'!$A$2:$I9525,3,0),"")</f>
        <v>Техника муз</v>
      </c>
      <c r="D617" s="22" t="s">
        <v>380</v>
      </c>
      <c r="E617" s="58"/>
      <c r="F617" s="58"/>
      <c r="G617" s="48">
        <v>1</v>
      </c>
      <c r="H617" s="48"/>
      <c r="I617" s="49"/>
      <c r="J617" s="49"/>
      <c r="K617" s="19"/>
      <c r="L617" s="20"/>
    </row>
    <row r="618" spans="1:12" outlineLevel="2">
      <c r="A618" s="21"/>
      <c r="B618" s="12" t="str">
        <f>IFERROR(VLOOKUP(D618,'[1]Перечень товаров'!$A$2:$I9525,2,0),"")</f>
        <v>т12</v>
      </c>
      <c r="C618" s="12" t="str">
        <f>IFERROR(VLOOKUP(D618,'[1]Перечень товаров'!$A$2:$I9525,3,0),"")</f>
        <v>Техника</v>
      </c>
      <c r="D618" s="22" t="s">
        <v>49</v>
      </c>
      <c r="E618" s="58"/>
      <c r="F618" s="58"/>
      <c r="G618" s="48">
        <v>1</v>
      </c>
      <c r="H618" s="48"/>
      <c r="I618" s="49"/>
      <c r="J618" s="49"/>
      <c r="K618" s="19"/>
      <c r="L618" s="20"/>
    </row>
    <row r="619" spans="1:12" outlineLevel="2">
      <c r="A619" s="35"/>
      <c r="B619" s="12" t="str">
        <f>IFERROR(VLOOKUP(D619,'[1]Перечень товаров'!$A$2:$I9525,2,0),"")</f>
        <v>т6</v>
      </c>
      <c r="C619" s="12" t="str">
        <f>IFERROR(VLOOKUP(D619,'[1]Перечень товаров'!$A$2:$I9525,3,0),"")</f>
        <v xml:space="preserve">Техника </v>
      </c>
      <c r="D619" s="35" t="s">
        <v>33</v>
      </c>
      <c r="E619" s="58"/>
      <c r="F619" s="58"/>
      <c r="G619" s="48">
        <v>1</v>
      </c>
      <c r="H619" s="48"/>
      <c r="I619" s="49"/>
      <c r="J619" s="49"/>
      <c r="K619" s="19"/>
      <c r="L619" s="20"/>
    </row>
    <row r="620" spans="1:12" outlineLevel="2">
      <c r="A620" s="21"/>
      <c r="B620" s="12" t="str">
        <f>IFERROR(VLOOKUP(D620,'[1]Перечень товаров'!$A$2:$I9525,2,0),"")</f>
        <v>т7</v>
      </c>
      <c r="C620" s="12" t="str">
        <f>IFERROR(VLOOKUP(D620,'[1]Перечень товаров'!$A$2:$I9525,3,0),"")</f>
        <v xml:space="preserve">Техника </v>
      </c>
      <c r="D620" s="22" t="s">
        <v>34</v>
      </c>
      <c r="E620" s="58"/>
      <c r="F620" s="58"/>
      <c r="G620" s="48">
        <v>3</v>
      </c>
      <c r="H620" s="48"/>
      <c r="I620" s="49"/>
      <c r="J620" s="49"/>
      <c r="K620" s="19"/>
      <c r="L620" s="20"/>
    </row>
    <row r="621" spans="1:12" outlineLevel="2">
      <c r="A621" s="28"/>
      <c r="B621" s="12" t="str">
        <f>IFERROR(VLOOKUP(D621,'[1]Перечень товаров'!$A$2:$I9525,2,0),"")</f>
        <v>т161</v>
      </c>
      <c r="C621" s="12" t="str">
        <f>IFERROR(VLOOKUP(D621,'[1]Перечень товаров'!$A$2:$I9525,3,0),"")</f>
        <v xml:space="preserve">Техника </v>
      </c>
      <c r="D621" s="29" t="s">
        <v>381</v>
      </c>
      <c r="E621" s="30"/>
      <c r="F621" s="30"/>
      <c r="G621" s="59">
        <v>1</v>
      </c>
      <c r="H621" s="59"/>
      <c r="I621" s="60"/>
      <c r="J621" s="60"/>
      <c r="K621" s="19"/>
      <c r="L621" s="20"/>
    </row>
    <row r="622" spans="1:12" ht="47.25" outlineLevel="2">
      <c r="A622" s="21"/>
      <c r="B622" s="12" t="str">
        <f>IFERROR(VLOOKUP(D622,'[1]Перечень товаров'!$A$2:$I9525,2,0),"")</f>
        <v>м61</v>
      </c>
      <c r="C622" s="12" t="str">
        <f>IFERROR(VLOOKUP(D622,'[1]Перечень товаров'!$A$2:$I9525,3,0),"")</f>
        <v>Мебель</v>
      </c>
      <c r="D622" s="22" t="s">
        <v>382</v>
      </c>
      <c r="E622" s="30"/>
      <c r="F622" s="30"/>
      <c r="G622" s="59">
        <v>1</v>
      </c>
      <c r="H622" s="59"/>
      <c r="I622" s="60"/>
      <c r="J622" s="60"/>
      <c r="K622" s="19"/>
      <c r="L622" s="20"/>
    </row>
    <row r="623" spans="1:12" outlineLevel="2">
      <c r="A623" s="113"/>
      <c r="B623" s="12" t="str">
        <f>IFERROR(VLOOKUP(D623,'[1]Перечень товаров'!$A$2:$I9525,2,0),"")</f>
        <v/>
      </c>
      <c r="C623" s="12" t="str">
        <f>IFERROR(VLOOKUP(D623,'[1]Перечень товаров'!$A$2:$I9525,3,0),"")</f>
        <v/>
      </c>
      <c r="D623" s="114" t="s">
        <v>19</v>
      </c>
      <c r="E623" s="115"/>
      <c r="F623" s="115"/>
      <c r="G623" s="59"/>
      <c r="H623" s="59"/>
      <c r="I623" s="60"/>
      <c r="J623" s="60"/>
      <c r="K623" s="19"/>
      <c r="L623" s="20"/>
    </row>
    <row r="624" spans="1:12" ht="31.5" outlineLevel="2">
      <c r="A624" s="34"/>
      <c r="B624" s="12" t="str">
        <f>IFERROR(VLOOKUP(D624,'[1]Перечень товаров'!$A$2:$I9525,2,0),"")</f>
        <v>м205</v>
      </c>
      <c r="C624" s="12" t="str">
        <f>IFERROR(VLOOKUP(D624,'[1]Перечень товаров'!$A$2:$I9525,3,0),"")</f>
        <v>Мебель</v>
      </c>
      <c r="D624" s="35" t="s">
        <v>20</v>
      </c>
      <c r="E624" s="88"/>
      <c r="F624" s="88"/>
      <c r="G624" s="59">
        <v>1</v>
      </c>
      <c r="H624" s="59"/>
      <c r="I624" s="60"/>
      <c r="J624" s="60"/>
      <c r="K624" s="19"/>
      <c r="L624" s="20"/>
    </row>
    <row r="625" spans="1:12" outlineLevel="2">
      <c r="A625" s="34"/>
      <c r="B625" s="12" t="str">
        <f>IFERROR(VLOOKUP(D625,'[1]Перечень товаров'!$A$2:$I9525,2,0),"")</f>
        <v>м61</v>
      </c>
      <c r="C625" s="12" t="str">
        <f>IFERROR(VLOOKUP(D625,'[1]Перечень товаров'!$A$2:$I9525,3,0),"")</f>
        <v>Мебель</v>
      </c>
      <c r="D625" s="35" t="s">
        <v>383</v>
      </c>
      <c r="E625" s="88"/>
      <c r="F625" s="88"/>
      <c r="G625" s="59">
        <v>1</v>
      </c>
      <c r="H625" s="59"/>
      <c r="I625" s="60"/>
      <c r="J625" s="60"/>
      <c r="K625" s="19"/>
      <c r="L625" s="20"/>
    </row>
    <row r="626" spans="1:12" outlineLevel="2">
      <c r="A626" s="34"/>
      <c r="B626" s="12" t="str">
        <f>IFERROR(VLOOKUP(D626,'[1]Перечень товаров'!$A$2:$I9525,2,0),"")</f>
        <v>м61</v>
      </c>
      <c r="C626" s="12" t="str">
        <f>IFERROR(VLOOKUP(D626,'[1]Перечень товаров'!$A$2:$I9525,3,0),"")</f>
        <v>Мебель</v>
      </c>
      <c r="D626" s="35" t="s">
        <v>384</v>
      </c>
      <c r="E626" s="88"/>
      <c r="F626" s="88"/>
      <c r="G626" s="59">
        <v>4</v>
      </c>
      <c r="H626" s="59"/>
      <c r="I626" s="60"/>
      <c r="J626" s="60"/>
      <c r="K626" s="19"/>
      <c r="L626" s="20"/>
    </row>
    <row r="627" spans="1:12" ht="31.5" outlineLevel="2">
      <c r="A627" s="34"/>
      <c r="B627" s="12" t="str">
        <f>IFERROR(VLOOKUP(D627,'[1]Перечень товаров'!$A$2:$I9525,2,0),"")</f>
        <v>м62</v>
      </c>
      <c r="C627" s="12" t="str">
        <f>IFERROR(VLOOKUP(D627,'[1]Перечень товаров'!$A$2:$I9525,3,0),"")</f>
        <v>Мебель</v>
      </c>
      <c r="D627" s="35" t="s">
        <v>385</v>
      </c>
      <c r="E627" s="88"/>
      <c r="F627" s="88"/>
      <c r="G627" s="59">
        <v>2</v>
      </c>
      <c r="H627" s="59"/>
      <c r="I627" s="60"/>
      <c r="J627" s="60"/>
      <c r="K627" s="19"/>
      <c r="L627" s="20"/>
    </row>
    <row r="628" spans="1:12" outlineLevel="2">
      <c r="A628" s="21"/>
      <c r="B628" s="12" t="str">
        <f>IFERROR(VLOOKUP(D628,'[1]Перечень товаров'!$A$2:$I9525,2,0),"")</f>
        <v>м13</v>
      </c>
      <c r="C628" s="12" t="str">
        <f>IFERROR(VLOOKUP(D628,'[1]Перечень товаров'!$A$2:$I9525,3,0),"")</f>
        <v>Мебель</v>
      </c>
      <c r="D628" s="22" t="s">
        <v>42</v>
      </c>
      <c r="E628" s="58"/>
      <c r="F628" s="58"/>
      <c r="G628" s="24">
        <v>1</v>
      </c>
      <c r="H628" s="24"/>
      <c r="I628" s="25"/>
      <c r="J628" s="25"/>
      <c r="K628" s="19"/>
      <c r="L628" s="20"/>
    </row>
    <row r="629" spans="1:12" outlineLevel="2">
      <c r="A629" s="21"/>
      <c r="B629" s="12" t="str">
        <f>IFERROR(VLOOKUP(D629,'[1]Перечень товаров'!$A$2:$I9525,2,0),"")</f>
        <v>м14</v>
      </c>
      <c r="C629" s="12" t="str">
        <f>IFERROR(VLOOKUP(D629,'[1]Перечень товаров'!$A$2:$I9525,3,0),"")</f>
        <v>Мебель</v>
      </c>
      <c r="D629" s="22" t="s">
        <v>43</v>
      </c>
      <c r="E629" s="58"/>
      <c r="F629" s="58"/>
      <c r="G629" s="24">
        <v>1</v>
      </c>
      <c r="H629" s="24"/>
      <c r="I629" s="25"/>
      <c r="J629" s="25"/>
      <c r="K629" s="19"/>
      <c r="L629" s="20"/>
    </row>
    <row r="630" spans="1:12" ht="31.5" outlineLevel="2">
      <c r="A630" s="21"/>
      <c r="B630" s="12" t="str">
        <f>IFERROR(VLOOKUP(D630,'[1]Перечень товаров'!$A$2:$I9525,2,0),"")</f>
        <v>м63</v>
      </c>
      <c r="C630" s="12" t="str">
        <f>IFERROR(VLOOKUP(D630,'[1]Перечень товаров'!$A$2:$I9525,3,0),"")</f>
        <v>Мебель</v>
      </c>
      <c r="D630" s="22" t="s">
        <v>386</v>
      </c>
      <c r="E630" s="58"/>
      <c r="F630" s="58"/>
      <c r="G630" s="24">
        <v>2</v>
      </c>
      <c r="H630" s="24"/>
      <c r="I630" s="25"/>
      <c r="J630" s="25"/>
      <c r="K630" s="19"/>
      <c r="L630" s="20"/>
    </row>
    <row r="631" spans="1:12" ht="31.5" outlineLevel="2">
      <c r="A631" s="21"/>
      <c r="B631" s="12" t="str">
        <f>IFERROR(VLOOKUP(D631,'[1]Перечень товаров'!$A$2:$I9525,2,0),"")</f>
        <v>м64</v>
      </c>
      <c r="C631" s="12" t="str">
        <f>IFERROR(VLOOKUP(D631,'[1]Перечень товаров'!$A$2:$I9525,3,0),"")</f>
        <v>Мебель</v>
      </c>
      <c r="D631" s="22" t="s">
        <v>387</v>
      </c>
      <c r="E631" s="58"/>
      <c r="F631" s="58"/>
      <c r="G631" s="24">
        <v>2</v>
      </c>
      <c r="H631" s="24"/>
      <c r="I631" s="25"/>
      <c r="J631" s="25"/>
      <c r="K631" s="19"/>
      <c r="L631" s="20"/>
    </row>
    <row r="632" spans="1:12" outlineLevel="2">
      <c r="A632" s="21"/>
      <c r="B632" s="12" t="str">
        <f>IFERROR(VLOOKUP(D632,'[1]Перечень товаров'!$A$2:$I9525,2,0),"")</f>
        <v>п33</v>
      </c>
      <c r="C632" s="12" t="str">
        <f>IFERROR(VLOOKUP(D632,'[1]Перечень товаров'!$A$2:$I9525,3,0),"")</f>
        <v>Прочее</v>
      </c>
      <c r="D632" s="22" t="s">
        <v>388</v>
      </c>
      <c r="E632" s="58"/>
      <c r="F632" s="58"/>
      <c r="G632" s="24">
        <v>1</v>
      </c>
      <c r="H632" s="24"/>
      <c r="I632" s="25"/>
      <c r="J632" s="25"/>
      <c r="K632" s="19"/>
      <c r="L632" s="20"/>
    </row>
    <row r="633" spans="1:12" outlineLevel="2">
      <c r="A633" s="21"/>
      <c r="B633" s="12" t="str">
        <f>IFERROR(VLOOKUP(D633,'[1]Перечень товаров'!$A$2:$I9525,2,0),"")</f>
        <v>м65</v>
      </c>
      <c r="C633" s="12" t="str">
        <f>IFERROR(VLOOKUP(D633,'[1]Перечень товаров'!$A$2:$I9525,3,0),"")</f>
        <v>Мебель</v>
      </c>
      <c r="D633" s="22" t="s">
        <v>389</v>
      </c>
      <c r="E633" s="58"/>
      <c r="F633" s="58"/>
      <c r="G633" s="24">
        <v>1</v>
      </c>
      <c r="H633" s="24"/>
      <c r="I633" s="25"/>
      <c r="J633" s="25"/>
      <c r="K633" s="19"/>
      <c r="L633" s="20"/>
    </row>
    <row r="634" spans="1:12" outlineLevel="2">
      <c r="A634" s="21"/>
      <c r="B634" s="12" t="str">
        <f>IFERROR(VLOOKUP(D634,'[1]Перечень товаров'!$A$2:$I9525,2,0),"")</f>
        <v>п34</v>
      </c>
      <c r="C634" s="12" t="str">
        <f>IFERROR(VLOOKUP(D634,'[1]Перечень товаров'!$A$2:$I9525,3,0),"")</f>
        <v>Прочее</v>
      </c>
      <c r="D634" s="22" t="s">
        <v>390</v>
      </c>
      <c r="E634" s="58"/>
      <c r="F634" s="58"/>
      <c r="G634" s="24">
        <v>1</v>
      </c>
      <c r="H634" s="24"/>
      <c r="I634" s="25"/>
      <c r="J634" s="25"/>
      <c r="K634" s="19"/>
      <c r="L634" s="20"/>
    </row>
    <row r="635" spans="1:12" ht="15" outlineLevel="2">
      <c r="A635" s="116"/>
      <c r="B635" s="12" t="str">
        <f>IFERROR(VLOOKUP(D635,'[1]Перечень товаров'!$A$2:$I9525,2,0),"")</f>
        <v/>
      </c>
      <c r="C635" s="12" t="str">
        <f>IFERROR(VLOOKUP(D635,'[1]Перечень товаров'!$A$2:$I9525,3,0),"")</f>
        <v/>
      </c>
      <c r="D635" s="117" t="s">
        <v>391</v>
      </c>
      <c r="E635" s="118"/>
      <c r="F635" s="118"/>
      <c r="G635" s="119"/>
      <c r="H635" s="119"/>
      <c r="I635" s="120"/>
      <c r="J635" s="120"/>
      <c r="K635" s="19"/>
      <c r="L635" s="20"/>
    </row>
    <row r="636" spans="1:12" ht="31.5" outlineLevel="2">
      <c r="A636" s="28"/>
      <c r="B636" s="12" t="str">
        <f>IFERROR(VLOOKUP(D636,'[1]Перечень товаров'!$A$2:$I9525,2,0),"")</f>
        <v>тм66</v>
      </c>
      <c r="C636" s="12" t="str">
        <f>IFERROR(VLOOKUP(D636,'[1]Перечень товаров'!$A$2:$I9525,3,0),"")</f>
        <v>Техника муз</v>
      </c>
      <c r="D636" s="29" t="s">
        <v>392</v>
      </c>
      <c r="E636" s="30"/>
      <c r="F636" s="30"/>
      <c r="G636" s="31">
        <v>2</v>
      </c>
      <c r="H636" s="31"/>
      <c r="I636" s="32"/>
      <c r="J636" s="32"/>
      <c r="K636" s="19"/>
      <c r="L636" s="20"/>
    </row>
    <row r="637" spans="1:12" ht="63" outlineLevel="2">
      <c r="A637" s="28"/>
      <c r="B637" s="12" t="str">
        <f>IFERROR(VLOOKUP(D637,'[1]Перечень товаров'!$A$2:$I9525,2,0),"")</f>
        <v>тм67</v>
      </c>
      <c r="C637" s="12" t="str">
        <f>IFERROR(VLOOKUP(D637,'[1]Перечень товаров'!$A$2:$I9525,3,0),"")</f>
        <v>Техника муз</v>
      </c>
      <c r="D637" s="29" t="s">
        <v>393</v>
      </c>
      <c r="E637" s="30"/>
      <c r="F637" s="30"/>
      <c r="G637" s="31">
        <v>1</v>
      </c>
      <c r="H637" s="31"/>
      <c r="I637" s="32"/>
      <c r="J637" s="32"/>
      <c r="K637" s="19"/>
      <c r="L637" s="20"/>
    </row>
    <row r="638" spans="1:12" ht="31.5" outlineLevel="2">
      <c r="A638" s="28"/>
      <c r="B638" s="12" t="str">
        <f>IFERROR(VLOOKUP(D638,'[1]Перечень товаров'!$A$2:$I9525,2,0),"")</f>
        <v>тм68</v>
      </c>
      <c r="C638" s="12" t="str">
        <f>IFERROR(VLOOKUP(D638,'[1]Перечень товаров'!$A$2:$I9525,3,0),"")</f>
        <v>Техника муз</v>
      </c>
      <c r="D638" s="29" t="s">
        <v>394</v>
      </c>
      <c r="E638" s="30"/>
      <c r="F638" s="30"/>
      <c r="G638" s="31">
        <v>1</v>
      </c>
      <c r="H638" s="31"/>
      <c r="I638" s="32"/>
      <c r="J638" s="32"/>
      <c r="K638" s="19"/>
      <c r="L638" s="20"/>
    </row>
    <row r="639" spans="1:12" ht="31.5" outlineLevel="2">
      <c r="A639" s="28"/>
      <c r="B639" s="12" t="str">
        <f>IFERROR(VLOOKUP(D639,'[1]Перечень товаров'!$A$2:$I9525,2,0),"")</f>
        <v>тм69</v>
      </c>
      <c r="C639" s="12" t="str">
        <f>IFERROR(VLOOKUP(D639,'[1]Перечень товаров'!$A$2:$I9525,3,0),"")</f>
        <v>Техника муз</v>
      </c>
      <c r="D639" s="29" t="s">
        <v>395</v>
      </c>
      <c r="E639" s="30"/>
      <c r="F639" s="30"/>
      <c r="G639" s="31">
        <v>1</v>
      </c>
      <c r="H639" s="31"/>
      <c r="I639" s="32"/>
      <c r="J639" s="32"/>
      <c r="K639" s="19"/>
      <c r="L639" s="20"/>
    </row>
    <row r="640" spans="1:12" ht="12.75" outlineLevel="1">
      <c r="A640" s="89"/>
      <c r="B640" s="12" t="str">
        <f>IFERROR(VLOOKUP(D640,'[1]Перечень товаров'!$A$2:$I9525,2,0),"")</f>
        <v/>
      </c>
      <c r="C640" s="12" t="str">
        <f>IFERROR(VLOOKUP(D640,'[1]Перечень товаров'!$A$2:$I9525,3,0),"")</f>
        <v/>
      </c>
      <c r="D640" s="90" t="s">
        <v>379</v>
      </c>
      <c r="E640" s="108">
        <v>46134</v>
      </c>
      <c r="F640" s="108"/>
      <c r="G640" s="100"/>
      <c r="H640" s="100"/>
      <c r="I640" s="101"/>
      <c r="J640" s="101"/>
      <c r="K640" s="19"/>
      <c r="L640" s="20"/>
    </row>
    <row r="641" spans="1:12" ht="15" outlineLevel="2">
      <c r="A641" s="109"/>
      <c r="B641" s="12" t="str">
        <f>IFERROR(VLOOKUP(D641,'[1]Перечень товаров'!$A$2:$I9525,2,0),"")</f>
        <v/>
      </c>
      <c r="C641" s="12" t="str">
        <f>IFERROR(VLOOKUP(D641,'[1]Перечень товаров'!$A$2:$I9525,3,0),"")</f>
        <v/>
      </c>
      <c r="D641" s="110" t="s">
        <v>27</v>
      </c>
      <c r="E641" s="45"/>
      <c r="F641" s="45"/>
      <c r="G641" s="111"/>
      <c r="H641" s="111"/>
      <c r="I641" s="112"/>
      <c r="J641" s="112"/>
      <c r="K641" s="19"/>
      <c r="L641" s="20"/>
    </row>
    <row r="642" spans="1:12" outlineLevel="2">
      <c r="A642" s="21"/>
      <c r="B642" s="12" t="str">
        <f>IFERROR(VLOOKUP(D642,'[1]Перечень товаров'!$A$2:$I9525,2,0),"")</f>
        <v>т1</v>
      </c>
      <c r="C642" s="12" t="str">
        <f>IFERROR(VLOOKUP(D642,'[1]Перечень товаров'!$A$2:$I9525,3,0),"")</f>
        <v xml:space="preserve">Техника </v>
      </c>
      <c r="D642" s="22" t="s">
        <v>28</v>
      </c>
      <c r="E642" s="58"/>
      <c r="F642" s="58"/>
      <c r="G642" s="48">
        <v>1</v>
      </c>
      <c r="H642" s="48"/>
      <c r="I642" s="49"/>
      <c r="J642" s="49"/>
      <c r="K642" s="19"/>
      <c r="L642" s="20"/>
    </row>
    <row r="643" spans="1:12" outlineLevel="2">
      <c r="A643" s="35"/>
      <c r="B643" s="12" t="str">
        <f>IFERROR(VLOOKUP(D643,'[1]Перечень товаров'!$A$2:$I9525,2,0),"")</f>
        <v>т2</v>
      </c>
      <c r="C643" s="12" t="str">
        <f>IFERROR(VLOOKUP(D643,'[1]Перечень товаров'!$A$2:$I9525,3,0),"")</f>
        <v xml:space="preserve">Техника </v>
      </c>
      <c r="D643" s="35" t="s">
        <v>29</v>
      </c>
      <c r="E643" s="58"/>
      <c r="F643" s="58"/>
      <c r="G643" s="48">
        <v>1</v>
      </c>
      <c r="H643" s="48"/>
      <c r="I643" s="49"/>
      <c r="J643" s="49"/>
      <c r="K643" s="19"/>
      <c r="L643" s="20"/>
    </row>
    <row r="644" spans="1:12" outlineLevel="2">
      <c r="A644" s="35"/>
      <c r="B644" s="12" t="str">
        <f>IFERROR(VLOOKUP(D644,'[1]Перечень товаров'!$A$2:$I9525,2,0),"")</f>
        <v>т3</v>
      </c>
      <c r="C644" s="12" t="str">
        <f>IFERROR(VLOOKUP(D644,'[1]Перечень товаров'!$A$2:$I9525,3,0),"")</f>
        <v xml:space="preserve">Техника </v>
      </c>
      <c r="D644" s="35" t="s">
        <v>30</v>
      </c>
      <c r="E644" s="58"/>
      <c r="F644" s="58"/>
      <c r="G644" s="48">
        <v>1</v>
      </c>
      <c r="H644" s="48"/>
      <c r="I644" s="49"/>
      <c r="J644" s="49"/>
      <c r="K644" s="19"/>
      <c r="L644" s="20"/>
    </row>
    <row r="645" spans="1:12" outlineLevel="2">
      <c r="A645" s="35"/>
      <c r="B645" s="12" t="str">
        <f>IFERROR(VLOOKUP(D645,'[1]Перечень товаров'!$A$2:$I9525,2,0),"")</f>
        <v>т4</v>
      </c>
      <c r="C645" s="12" t="str">
        <f>IFERROR(VLOOKUP(D645,'[1]Перечень товаров'!$A$2:$I9525,3,0),"")</f>
        <v xml:space="preserve">Техника </v>
      </c>
      <c r="D645" s="35" t="s">
        <v>31</v>
      </c>
      <c r="E645" s="58"/>
      <c r="F645" s="58"/>
      <c r="G645" s="48">
        <v>1</v>
      </c>
      <c r="H645" s="48"/>
      <c r="I645" s="49"/>
      <c r="J645" s="49"/>
      <c r="K645" s="19"/>
      <c r="L645" s="20"/>
    </row>
    <row r="646" spans="1:12" outlineLevel="2">
      <c r="A646" s="21"/>
      <c r="B646" s="12" t="str">
        <f>IFERROR(VLOOKUP(D646,'[1]Перечень товаров'!$A$2:$I9525,2,0),"")</f>
        <v>тм65</v>
      </c>
      <c r="C646" s="12" t="str">
        <f>IFERROR(VLOOKUP(D646,'[1]Перечень товаров'!$A$2:$I9525,3,0),"")</f>
        <v>Техника муз</v>
      </c>
      <c r="D646" s="22" t="s">
        <v>380</v>
      </c>
      <c r="E646" s="58"/>
      <c r="F646" s="58"/>
      <c r="G646" s="48">
        <v>1</v>
      </c>
      <c r="H646" s="48"/>
      <c r="I646" s="49"/>
      <c r="J646" s="49"/>
      <c r="K646" s="19"/>
      <c r="L646" s="20"/>
    </row>
    <row r="647" spans="1:12" outlineLevel="2">
      <c r="A647" s="21"/>
      <c r="B647" s="12" t="str">
        <f>IFERROR(VLOOKUP(D647,'[1]Перечень товаров'!$A$2:$I9525,2,0),"")</f>
        <v>т12</v>
      </c>
      <c r="C647" s="12" t="str">
        <f>IFERROR(VLOOKUP(D647,'[1]Перечень товаров'!$A$2:$I9525,3,0),"")</f>
        <v>Техника</v>
      </c>
      <c r="D647" s="22" t="s">
        <v>49</v>
      </c>
      <c r="E647" s="58"/>
      <c r="F647" s="58"/>
      <c r="G647" s="48">
        <v>1</v>
      </c>
      <c r="H647" s="48"/>
      <c r="I647" s="49"/>
      <c r="J647" s="49"/>
      <c r="K647" s="19"/>
      <c r="L647" s="20"/>
    </row>
    <row r="648" spans="1:12" outlineLevel="2">
      <c r="A648" s="35"/>
      <c r="B648" s="12" t="str">
        <f>IFERROR(VLOOKUP(D648,'[1]Перечень товаров'!$A$2:$I9525,2,0),"")</f>
        <v>т6</v>
      </c>
      <c r="C648" s="12" t="str">
        <f>IFERROR(VLOOKUP(D648,'[1]Перечень товаров'!$A$2:$I9525,3,0),"")</f>
        <v xml:space="preserve">Техника </v>
      </c>
      <c r="D648" s="35" t="s">
        <v>33</v>
      </c>
      <c r="E648" s="58"/>
      <c r="F648" s="58"/>
      <c r="G648" s="48">
        <v>1</v>
      </c>
      <c r="H648" s="48"/>
      <c r="I648" s="49"/>
      <c r="J648" s="49"/>
      <c r="K648" s="19"/>
      <c r="L648" s="20"/>
    </row>
    <row r="649" spans="1:12" outlineLevel="2">
      <c r="A649" s="21"/>
      <c r="B649" s="12" t="str">
        <f>IFERROR(VLOOKUP(D649,'[1]Перечень товаров'!$A$2:$I9525,2,0),"")</f>
        <v>т7</v>
      </c>
      <c r="C649" s="12" t="str">
        <f>IFERROR(VLOOKUP(D649,'[1]Перечень товаров'!$A$2:$I9525,3,0),"")</f>
        <v xml:space="preserve">Техника </v>
      </c>
      <c r="D649" s="22" t="s">
        <v>34</v>
      </c>
      <c r="E649" s="58"/>
      <c r="F649" s="58"/>
      <c r="G649" s="48">
        <v>3</v>
      </c>
      <c r="H649" s="48"/>
      <c r="I649" s="49"/>
      <c r="J649" s="49"/>
      <c r="K649" s="19"/>
      <c r="L649" s="20"/>
    </row>
    <row r="650" spans="1:12" outlineLevel="2">
      <c r="A650" s="28"/>
      <c r="B650" s="12" t="str">
        <f>IFERROR(VLOOKUP(D650,'[1]Перечень товаров'!$A$2:$I9525,2,0),"")</f>
        <v>т161</v>
      </c>
      <c r="C650" s="12" t="str">
        <f>IFERROR(VLOOKUP(D650,'[1]Перечень товаров'!$A$2:$I9525,3,0),"")</f>
        <v xml:space="preserve">Техника </v>
      </c>
      <c r="D650" s="29" t="s">
        <v>381</v>
      </c>
      <c r="E650" s="30"/>
      <c r="F650" s="30"/>
      <c r="G650" s="59">
        <v>1</v>
      </c>
      <c r="H650" s="59"/>
      <c r="I650" s="60"/>
      <c r="J650" s="60"/>
      <c r="K650" s="19"/>
      <c r="L650" s="20"/>
    </row>
    <row r="651" spans="1:12" ht="47.25" outlineLevel="2">
      <c r="A651" s="21"/>
      <c r="B651" s="12" t="str">
        <f>IFERROR(VLOOKUP(D651,'[1]Перечень товаров'!$A$2:$I9525,2,0),"")</f>
        <v>м61</v>
      </c>
      <c r="C651" s="12" t="str">
        <f>IFERROR(VLOOKUP(D651,'[1]Перечень товаров'!$A$2:$I9525,3,0),"")</f>
        <v>Мебель</v>
      </c>
      <c r="D651" s="22" t="s">
        <v>382</v>
      </c>
      <c r="E651" s="30"/>
      <c r="F651" s="30"/>
      <c r="G651" s="59">
        <v>1</v>
      </c>
      <c r="H651" s="59"/>
      <c r="I651" s="60"/>
      <c r="J651" s="60"/>
      <c r="K651" s="19"/>
      <c r="L651" s="20"/>
    </row>
    <row r="652" spans="1:12" outlineLevel="2">
      <c r="A652" s="113"/>
      <c r="B652" s="12" t="str">
        <f>IFERROR(VLOOKUP(D652,'[1]Перечень товаров'!$A$2:$I9525,2,0),"")</f>
        <v/>
      </c>
      <c r="C652" s="12" t="str">
        <f>IFERROR(VLOOKUP(D652,'[1]Перечень товаров'!$A$2:$I9525,3,0),"")</f>
        <v/>
      </c>
      <c r="D652" s="114" t="s">
        <v>19</v>
      </c>
      <c r="E652" s="115"/>
      <c r="F652" s="115"/>
      <c r="G652" s="59"/>
      <c r="H652" s="59"/>
      <c r="I652" s="60"/>
      <c r="J652" s="60"/>
      <c r="K652" s="19"/>
      <c r="L652" s="20"/>
    </row>
    <row r="653" spans="1:12" ht="31.5" outlineLevel="2">
      <c r="A653" s="34"/>
      <c r="B653" s="12" t="str">
        <f>IFERROR(VLOOKUP(D653,'[1]Перечень товаров'!$A$2:$I9525,2,0),"")</f>
        <v>м205</v>
      </c>
      <c r="C653" s="12" t="str">
        <f>IFERROR(VLOOKUP(D653,'[1]Перечень товаров'!$A$2:$I9525,3,0),"")</f>
        <v>Мебель</v>
      </c>
      <c r="D653" s="35" t="s">
        <v>20</v>
      </c>
      <c r="E653" s="88"/>
      <c r="F653" s="88"/>
      <c r="G653" s="59">
        <v>1</v>
      </c>
      <c r="H653" s="59"/>
      <c r="I653" s="60"/>
      <c r="J653" s="60"/>
      <c r="K653" s="19"/>
      <c r="L653" s="20"/>
    </row>
    <row r="654" spans="1:12" outlineLevel="2">
      <c r="A654" s="34"/>
      <c r="B654" s="12" t="str">
        <f>IFERROR(VLOOKUP(D654,'[1]Перечень товаров'!$A$2:$I9525,2,0),"")</f>
        <v>м61</v>
      </c>
      <c r="C654" s="12" t="str">
        <f>IFERROR(VLOOKUP(D654,'[1]Перечень товаров'!$A$2:$I9525,3,0),"")</f>
        <v>Мебель</v>
      </c>
      <c r="D654" s="35" t="s">
        <v>383</v>
      </c>
      <c r="E654" s="88"/>
      <c r="F654" s="88"/>
      <c r="G654" s="59">
        <v>1</v>
      </c>
      <c r="H654" s="59"/>
      <c r="I654" s="60"/>
      <c r="J654" s="60"/>
      <c r="K654" s="19"/>
      <c r="L654" s="20"/>
    </row>
    <row r="655" spans="1:12" outlineLevel="2">
      <c r="A655" s="34"/>
      <c r="B655" s="12" t="str">
        <f>IFERROR(VLOOKUP(D655,'[1]Перечень товаров'!$A$2:$I9525,2,0),"")</f>
        <v>м61</v>
      </c>
      <c r="C655" s="12" t="str">
        <f>IFERROR(VLOOKUP(D655,'[1]Перечень товаров'!$A$2:$I9525,3,0),"")</f>
        <v>Мебель</v>
      </c>
      <c r="D655" s="35" t="s">
        <v>384</v>
      </c>
      <c r="E655" s="88"/>
      <c r="F655" s="88"/>
      <c r="G655" s="59">
        <v>4</v>
      </c>
      <c r="H655" s="59"/>
      <c r="I655" s="60"/>
      <c r="J655" s="60"/>
      <c r="K655" s="19"/>
      <c r="L655" s="20"/>
    </row>
    <row r="656" spans="1:12" ht="31.5" outlineLevel="2">
      <c r="A656" s="34"/>
      <c r="B656" s="12" t="str">
        <f>IFERROR(VLOOKUP(D656,'[1]Перечень товаров'!$A$2:$I9525,2,0),"")</f>
        <v>м62</v>
      </c>
      <c r="C656" s="12" t="str">
        <f>IFERROR(VLOOKUP(D656,'[1]Перечень товаров'!$A$2:$I9525,3,0),"")</f>
        <v>Мебель</v>
      </c>
      <c r="D656" s="35" t="s">
        <v>385</v>
      </c>
      <c r="E656" s="88"/>
      <c r="F656" s="88"/>
      <c r="G656" s="59">
        <v>2</v>
      </c>
      <c r="H656" s="59"/>
      <c r="I656" s="60"/>
      <c r="J656" s="60"/>
      <c r="K656" s="19"/>
      <c r="L656" s="20"/>
    </row>
    <row r="657" spans="1:12" outlineLevel="2">
      <c r="A657" s="21"/>
      <c r="B657" s="12" t="str">
        <f>IFERROR(VLOOKUP(D657,'[1]Перечень товаров'!$A$2:$I9525,2,0),"")</f>
        <v>м13</v>
      </c>
      <c r="C657" s="12" t="str">
        <f>IFERROR(VLOOKUP(D657,'[1]Перечень товаров'!$A$2:$I9525,3,0),"")</f>
        <v>Мебель</v>
      </c>
      <c r="D657" s="22" t="s">
        <v>42</v>
      </c>
      <c r="E657" s="58"/>
      <c r="F657" s="58"/>
      <c r="G657" s="24">
        <v>1</v>
      </c>
      <c r="H657" s="24"/>
      <c r="I657" s="25"/>
      <c r="J657" s="25"/>
      <c r="K657" s="19"/>
      <c r="L657" s="20"/>
    </row>
    <row r="658" spans="1:12" outlineLevel="2">
      <c r="A658" s="21"/>
      <c r="B658" s="12" t="str">
        <f>IFERROR(VLOOKUP(D658,'[1]Перечень товаров'!$A$2:$I9525,2,0),"")</f>
        <v>м14</v>
      </c>
      <c r="C658" s="12" t="str">
        <f>IFERROR(VLOOKUP(D658,'[1]Перечень товаров'!$A$2:$I9525,3,0),"")</f>
        <v>Мебель</v>
      </c>
      <c r="D658" s="22" t="s">
        <v>43</v>
      </c>
      <c r="E658" s="58"/>
      <c r="F658" s="58"/>
      <c r="G658" s="24">
        <v>1</v>
      </c>
      <c r="H658" s="24"/>
      <c r="I658" s="25"/>
      <c r="J658" s="25"/>
      <c r="K658" s="19"/>
      <c r="L658" s="20"/>
    </row>
    <row r="659" spans="1:12" ht="31.5" outlineLevel="2">
      <c r="A659" s="21"/>
      <c r="B659" s="12" t="str">
        <f>IFERROR(VLOOKUP(D659,'[1]Перечень товаров'!$A$2:$I9525,2,0),"")</f>
        <v>м63</v>
      </c>
      <c r="C659" s="12" t="str">
        <f>IFERROR(VLOOKUP(D659,'[1]Перечень товаров'!$A$2:$I9525,3,0),"")</f>
        <v>Мебель</v>
      </c>
      <c r="D659" s="22" t="s">
        <v>386</v>
      </c>
      <c r="E659" s="58"/>
      <c r="F659" s="58"/>
      <c r="G659" s="24">
        <v>2</v>
      </c>
      <c r="H659" s="24"/>
      <c r="I659" s="25"/>
      <c r="J659" s="25"/>
      <c r="K659" s="19"/>
      <c r="L659" s="20"/>
    </row>
    <row r="660" spans="1:12" ht="31.5" outlineLevel="2">
      <c r="A660" s="21"/>
      <c r="B660" s="12" t="str">
        <f>IFERROR(VLOOKUP(D660,'[1]Перечень товаров'!$A$2:$I9525,2,0),"")</f>
        <v>м64</v>
      </c>
      <c r="C660" s="12" t="str">
        <f>IFERROR(VLOOKUP(D660,'[1]Перечень товаров'!$A$2:$I9525,3,0),"")</f>
        <v>Мебель</v>
      </c>
      <c r="D660" s="22" t="s">
        <v>387</v>
      </c>
      <c r="E660" s="58"/>
      <c r="F660" s="58"/>
      <c r="G660" s="24">
        <v>2</v>
      </c>
      <c r="H660" s="24"/>
      <c r="I660" s="25"/>
      <c r="J660" s="25"/>
      <c r="K660" s="19"/>
      <c r="L660" s="20"/>
    </row>
    <row r="661" spans="1:12" outlineLevel="2">
      <c r="A661" s="21"/>
      <c r="B661" s="12" t="str">
        <f>IFERROR(VLOOKUP(D661,'[1]Перечень товаров'!$A$2:$I9525,2,0),"")</f>
        <v>п33</v>
      </c>
      <c r="C661" s="12" t="str">
        <f>IFERROR(VLOOKUP(D661,'[1]Перечень товаров'!$A$2:$I9525,3,0),"")</f>
        <v>Прочее</v>
      </c>
      <c r="D661" s="22" t="s">
        <v>388</v>
      </c>
      <c r="E661" s="58"/>
      <c r="F661" s="58"/>
      <c r="G661" s="24">
        <v>1</v>
      </c>
      <c r="H661" s="24"/>
      <c r="I661" s="25"/>
      <c r="J661" s="25"/>
      <c r="K661" s="19"/>
      <c r="L661" s="20"/>
    </row>
    <row r="662" spans="1:12" outlineLevel="2">
      <c r="A662" s="21"/>
      <c r="B662" s="12" t="str">
        <f>IFERROR(VLOOKUP(D662,'[1]Перечень товаров'!$A$2:$I9525,2,0),"")</f>
        <v>м65</v>
      </c>
      <c r="C662" s="12" t="str">
        <f>IFERROR(VLOOKUP(D662,'[1]Перечень товаров'!$A$2:$I9525,3,0),"")</f>
        <v>Мебель</v>
      </c>
      <c r="D662" s="22" t="s">
        <v>389</v>
      </c>
      <c r="E662" s="58"/>
      <c r="F662" s="58"/>
      <c r="G662" s="24">
        <v>1</v>
      </c>
      <c r="H662" s="24"/>
      <c r="I662" s="25"/>
      <c r="J662" s="25"/>
      <c r="K662" s="19"/>
      <c r="L662" s="20"/>
    </row>
    <row r="663" spans="1:12" outlineLevel="2">
      <c r="A663" s="21"/>
      <c r="B663" s="12" t="str">
        <f>IFERROR(VLOOKUP(D663,'[1]Перечень товаров'!$A$2:$I9525,2,0),"")</f>
        <v>п34</v>
      </c>
      <c r="C663" s="12" t="str">
        <f>IFERROR(VLOOKUP(D663,'[1]Перечень товаров'!$A$2:$I9525,3,0),"")</f>
        <v>Прочее</v>
      </c>
      <c r="D663" s="22" t="s">
        <v>390</v>
      </c>
      <c r="E663" s="58"/>
      <c r="F663" s="58"/>
      <c r="G663" s="24">
        <v>1</v>
      </c>
      <c r="H663" s="24"/>
      <c r="I663" s="25"/>
      <c r="J663" s="25"/>
      <c r="K663" s="19"/>
      <c r="L663" s="20"/>
    </row>
    <row r="664" spans="1:12" ht="15" outlineLevel="2">
      <c r="A664" s="116"/>
      <c r="B664" s="12" t="str">
        <f>IFERROR(VLOOKUP(D664,'[1]Перечень товаров'!$A$2:$I9525,2,0),"")</f>
        <v/>
      </c>
      <c r="C664" s="12" t="str">
        <f>IFERROR(VLOOKUP(D664,'[1]Перечень товаров'!$A$2:$I9525,3,0),"")</f>
        <v/>
      </c>
      <c r="D664" s="117" t="s">
        <v>391</v>
      </c>
      <c r="E664" s="118"/>
      <c r="F664" s="118"/>
      <c r="G664" s="119"/>
      <c r="H664" s="119"/>
      <c r="I664" s="120"/>
      <c r="J664" s="120"/>
      <c r="K664" s="19"/>
      <c r="L664" s="20"/>
    </row>
    <row r="665" spans="1:12" ht="31.5" outlineLevel="2">
      <c r="A665" s="28"/>
      <c r="B665" s="12" t="str">
        <f>IFERROR(VLOOKUP(D665,'[1]Перечень товаров'!$A$2:$I9525,2,0),"")</f>
        <v>тм66</v>
      </c>
      <c r="C665" s="12" t="str">
        <f>IFERROR(VLOOKUP(D665,'[1]Перечень товаров'!$A$2:$I9525,3,0),"")</f>
        <v>Техника муз</v>
      </c>
      <c r="D665" s="29" t="s">
        <v>392</v>
      </c>
      <c r="E665" s="30"/>
      <c r="F665" s="30"/>
      <c r="G665" s="31">
        <v>2</v>
      </c>
      <c r="H665" s="31"/>
      <c r="I665" s="32"/>
      <c r="J665" s="32"/>
      <c r="K665" s="19"/>
      <c r="L665" s="20"/>
    </row>
    <row r="666" spans="1:12" ht="63" outlineLevel="2">
      <c r="A666" s="28"/>
      <c r="B666" s="12" t="str">
        <f>IFERROR(VLOOKUP(D666,'[1]Перечень товаров'!$A$2:$I9525,2,0),"")</f>
        <v>тм67</v>
      </c>
      <c r="C666" s="12" t="str">
        <f>IFERROR(VLOOKUP(D666,'[1]Перечень товаров'!$A$2:$I9525,3,0),"")</f>
        <v>Техника муз</v>
      </c>
      <c r="D666" s="29" t="s">
        <v>393</v>
      </c>
      <c r="E666" s="30"/>
      <c r="F666" s="30"/>
      <c r="G666" s="31">
        <v>1</v>
      </c>
      <c r="H666" s="31"/>
      <c r="I666" s="32"/>
      <c r="J666" s="32"/>
      <c r="K666" s="19"/>
      <c r="L666" s="20"/>
    </row>
    <row r="667" spans="1:12" ht="31.5" outlineLevel="2">
      <c r="A667" s="28"/>
      <c r="B667" s="12" t="str">
        <f>IFERROR(VLOOKUP(D667,'[1]Перечень товаров'!$A$2:$I9525,2,0),"")</f>
        <v>тм68</v>
      </c>
      <c r="C667" s="12" t="str">
        <f>IFERROR(VLOOKUP(D667,'[1]Перечень товаров'!$A$2:$I9525,3,0),"")</f>
        <v>Техника муз</v>
      </c>
      <c r="D667" s="29" t="s">
        <v>394</v>
      </c>
      <c r="E667" s="30"/>
      <c r="F667" s="30"/>
      <c r="G667" s="31">
        <v>1</v>
      </c>
      <c r="H667" s="31"/>
      <c r="I667" s="32"/>
      <c r="J667" s="32"/>
      <c r="K667" s="19"/>
      <c r="L667" s="20"/>
    </row>
    <row r="668" spans="1:12" ht="31.5" outlineLevel="2">
      <c r="A668" s="28"/>
      <c r="B668" s="12" t="str">
        <f>IFERROR(VLOOKUP(D668,'[1]Перечень товаров'!$A$2:$I9525,2,0),"")</f>
        <v>тм69</v>
      </c>
      <c r="C668" s="12" t="str">
        <f>IFERROR(VLOOKUP(D668,'[1]Перечень товаров'!$A$2:$I9525,3,0),"")</f>
        <v>Техника муз</v>
      </c>
      <c r="D668" s="29" t="s">
        <v>395</v>
      </c>
      <c r="E668" s="30"/>
      <c r="F668" s="30"/>
      <c r="G668" s="31">
        <v>1</v>
      </c>
      <c r="H668" s="31"/>
      <c r="I668" s="32"/>
      <c r="J668" s="32"/>
      <c r="K668" s="19"/>
      <c r="L668" s="20"/>
    </row>
    <row r="669" spans="1:12" ht="12.75" outlineLevel="1">
      <c r="A669" s="89"/>
      <c r="B669" s="12" t="str">
        <f>IFERROR(VLOOKUP(D669,'[1]Перечень товаров'!$A$2:$I9525,2,0),"")</f>
        <v/>
      </c>
      <c r="C669" s="12" t="str">
        <f>IFERROR(VLOOKUP(D669,'[1]Перечень товаров'!$A$2:$I9525,3,0),"")</f>
        <v/>
      </c>
      <c r="D669" s="90" t="s">
        <v>379</v>
      </c>
      <c r="E669" s="91" t="s">
        <v>396</v>
      </c>
      <c r="F669" s="91"/>
      <c r="G669" s="17"/>
      <c r="H669" s="17"/>
      <c r="I669" s="57"/>
      <c r="J669" s="57"/>
      <c r="K669" s="19"/>
      <c r="L669" s="20"/>
    </row>
    <row r="670" spans="1:12" ht="15" outlineLevel="2">
      <c r="A670" s="109"/>
      <c r="B670" s="12" t="str">
        <f>IFERROR(VLOOKUP(D670,'[1]Перечень товаров'!$A$2:$I9525,2,0),"")</f>
        <v/>
      </c>
      <c r="C670" s="12" t="str">
        <f>IFERROR(VLOOKUP(D670,'[1]Перечень товаров'!$A$2:$I9525,3,0),"")</f>
        <v/>
      </c>
      <c r="D670" s="110" t="s">
        <v>27</v>
      </c>
      <c r="E670" s="45"/>
      <c r="F670" s="45"/>
      <c r="G670" s="111"/>
      <c r="H670" s="111"/>
      <c r="I670" s="112"/>
      <c r="J670" s="112"/>
      <c r="K670" s="19"/>
      <c r="L670" s="20"/>
    </row>
    <row r="671" spans="1:12" outlineLevel="2">
      <c r="A671" s="21"/>
      <c r="B671" s="12" t="str">
        <f>IFERROR(VLOOKUP(D671,'[1]Перечень товаров'!$A$2:$I9525,2,0),"")</f>
        <v>т1</v>
      </c>
      <c r="C671" s="12" t="str">
        <f>IFERROR(VLOOKUP(D671,'[1]Перечень товаров'!$A$2:$I9525,3,0),"")</f>
        <v xml:space="preserve">Техника </v>
      </c>
      <c r="D671" s="22" t="s">
        <v>28</v>
      </c>
      <c r="E671" s="58"/>
      <c r="F671" s="58"/>
      <c r="G671" s="48">
        <v>1</v>
      </c>
      <c r="H671" s="48"/>
      <c r="I671" s="49"/>
      <c r="J671" s="49"/>
      <c r="K671" s="19"/>
      <c r="L671" s="20"/>
    </row>
    <row r="672" spans="1:12" outlineLevel="2">
      <c r="A672" s="35"/>
      <c r="B672" s="12" t="str">
        <f>IFERROR(VLOOKUP(D672,'[1]Перечень товаров'!$A$2:$I9525,2,0),"")</f>
        <v>т2</v>
      </c>
      <c r="C672" s="12" t="str">
        <f>IFERROR(VLOOKUP(D672,'[1]Перечень товаров'!$A$2:$I9525,3,0),"")</f>
        <v xml:space="preserve">Техника </v>
      </c>
      <c r="D672" s="35" t="s">
        <v>29</v>
      </c>
      <c r="E672" s="58"/>
      <c r="F672" s="58"/>
      <c r="G672" s="48">
        <v>1</v>
      </c>
      <c r="H672" s="48"/>
      <c r="I672" s="49"/>
      <c r="J672" s="49"/>
      <c r="K672" s="19"/>
      <c r="L672" s="20"/>
    </row>
    <row r="673" spans="1:12" outlineLevel="2">
      <c r="A673" s="35"/>
      <c r="B673" s="12" t="str">
        <f>IFERROR(VLOOKUP(D673,'[1]Перечень товаров'!$A$2:$I9525,2,0),"")</f>
        <v>т3</v>
      </c>
      <c r="C673" s="12" t="str">
        <f>IFERROR(VLOOKUP(D673,'[1]Перечень товаров'!$A$2:$I9525,3,0),"")</f>
        <v xml:space="preserve">Техника </v>
      </c>
      <c r="D673" s="35" t="s">
        <v>30</v>
      </c>
      <c r="E673" s="58"/>
      <c r="F673" s="58"/>
      <c r="G673" s="48">
        <v>1</v>
      </c>
      <c r="H673" s="48"/>
      <c r="I673" s="49"/>
      <c r="J673" s="49"/>
      <c r="K673" s="19"/>
      <c r="L673" s="20"/>
    </row>
    <row r="674" spans="1:12" outlineLevel="2">
      <c r="A674" s="35"/>
      <c r="B674" s="12" t="str">
        <f>IFERROR(VLOOKUP(D674,'[1]Перечень товаров'!$A$2:$I9525,2,0),"")</f>
        <v>т4</v>
      </c>
      <c r="C674" s="12" t="str">
        <f>IFERROR(VLOOKUP(D674,'[1]Перечень товаров'!$A$2:$I9525,3,0),"")</f>
        <v xml:space="preserve">Техника </v>
      </c>
      <c r="D674" s="35" t="s">
        <v>31</v>
      </c>
      <c r="E674" s="58"/>
      <c r="F674" s="58"/>
      <c r="G674" s="48">
        <v>1</v>
      </c>
      <c r="H674" s="48"/>
      <c r="I674" s="49"/>
      <c r="J674" s="49"/>
      <c r="K674" s="19"/>
      <c r="L674" s="20"/>
    </row>
    <row r="675" spans="1:12" outlineLevel="2">
      <c r="A675" s="21"/>
      <c r="B675" s="12" t="str">
        <f>IFERROR(VLOOKUP(D675,'[1]Перечень товаров'!$A$2:$I9525,2,0),"")</f>
        <v>тм65</v>
      </c>
      <c r="C675" s="12" t="str">
        <f>IFERROR(VLOOKUP(D675,'[1]Перечень товаров'!$A$2:$I9525,3,0),"")</f>
        <v>Техника муз</v>
      </c>
      <c r="D675" s="22" t="s">
        <v>380</v>
      </c>
      <c r="E675" s="58"/>
      <c r="F675" s="58"/>
      <c r="G675" s="48">
        <v>1</v>
      </c>
      <c r="H675" s="48"/>
      <c r="I675" s="49"/>
      <c r="J675" s="49"/>
      <c r="K675" s="19"/>
      <c r="L675" s="20"/>
    </row>
    <row r="676" spans="1:12" outlineLevel="2">
      <c r="A676" s="21"/>
      <c r="B676" s="12" t="str">
        <f>IFERROR(VLOOKUP(D676,'[1]Перечень товаров'!$A$2:$I9525,2,0),"")</f>
        <v>т12</v>
      </c>
      <c r="C676" s="12" t="str">
        <f>IFERROR(VLOOKUP(D676,'[1]Перечень товаров'!$A$2:$I9525,3,0),"")</f>
        <v>Техника</v>
      </c>
      <c r="D676" s="22" t="s">
        <v>49</v>
      </c>
      <c r="E676" s="58"/>
      <c r="F676" s="58"/>
      <c r="G676" s="48">
        <v>1</v>
      </c>
      <c r="H676" s="48"/>
      <c r="I676" s="49"/>
      <c r="J676" s="49"/>
      <c r="K676" s="19"/>
      <c r="L676" s="20"/>
    </row>
    <row r="677" spans="1:12" outlineLevel="2">
      <c r="A677" s="35"/>
      <c r="B677" s="12" t="str">
        <f>IFERROR(VLOOKUP(D677,'[1]Перечень товаров'!$A$2:$I9525,2,0),"")</f>
        <v>т6</v>
      </c>
      <c r="C677" s="12" t="str">
        <f>IFERROR(VLOOKUP(D677,'[1]Перечень товаров'!$A$2:$I9525,3,0),"")</f>
        <v xml:space="preserve">Техника </v>
      </c>
      <c r="D677" s="35" t="s">
        <v>33</v>
      </c>
      <c r="E677" s="58"/>
      <c r="F677" s="58"/>
      <c r="G677" s="48">
        <v>1</v>
      </c>
      <c r="H677" s="48"/>
      <c r="I677" s="49"/>
      <c r="J677" s="49"/>
      <c r="K677" s="19"/>
      <c r="L677" s="20"/>
    </row>
    <row r="678" spans="1:12" outlineLevel="2">
      <c r="A678" s="21"/>
      <c r="B678" s="12" t="str">
        <f>IFERROR(VLOOKUP(D678,'[1]Перечень товаров'!$A$2:$I9525,2,0),"")</f>
        <v>т7</v>
      </c>
      <c r="C678" s="12" t="str">
        <f>IFERROR(VLOOKUP(D678,'[1]Перечень товаров'!$A$2:$I9525,3,0),"")</f>
        <v xml:space="preserve">Техника </v>
      </c>
      <c r="D678" s="22" t="s">
        <v>34</v>
      </c>
      <c r="E678" s="58"/>
      <c r="F678" s="58"/>
      <c r="G678" s="48">
        <v>3</v>
      </c>
      <c r="H678" s="48"/>
      <c r="I678" s="49"/>
      <c r="J678" s="49"/>
      <c r="K678" s="19"/>
      <c r="L678" s="20"/>
    </row>
    <row r="679" spans="1:12" outlineLevel="2">
      <c r="A679" s="28"/>
      <c r="B679" s="12" t="str">
        <f>IFERROR(VLOOKUP(D679,'[1]Перечень товаров'!$A$2:$I9525,2,0),"")</f>
        <v>т161</v>
      </c>
      <c r="C679" s="12" t="str">
        <f>IFERROR(VLOOKUP(D679,'[1]Перечень товаров'!$A$2:$I9525,3,0),"")</f>
        <v xml:space="preserve">Техника </v>
      </c>
      <c r="D679" s="29" t="s">
        <v>381</v>
      </c>
      <c r="E679" s="30"/>
      <c r="F679" s="30"/>
      <c r="G679" s="59">
        <v>1</v>
      </c>
      <c r="H679" s="59"/>
      <c r="I679" s="60"/>
      <c r="J679" s="60"/>
      <c r="K679" s="19"/>
      <c r="L679" s="20"/>
    </row>
    <row r="680" spans="1:12" ht="47.25" outlineLevel="2">
      <c r="A680" s="21"/>
      <c r="B680" s="12" t="str">
        <f>IFERROR(VLOOKUP(D680,'[1]Перечень товаров'!$A$2:$I9525,2,0),"")</f>
        <v>м61</v>
      </c>
      <c r="C680" s="12" t="str">
        <f>IFERROR(VLOOKUP(D680,'[1]Перечень товаров'!$A$2:$I9525,3,0),"")</f>
        <v>Мебель</v>
      </c>
      <c r="D680" s="22" t="s">
        <v>382</v>
      </c>
      <c r="E680" s="30"/>
      <c r="F680" s="30"/>
      <c r="G680" s="59">
        <v>1</v>
      </c>
      <c r="H680" s="59"/>
      <c r="I680" s="60"/>
      <c r="J680" s="60"/>
      <c r="K680" s="19"/>
      <c r="L680" s="20"/>
    </row>
    <row r="681" spans="1:12" outlineLevel="2">
      <c r="A681" s="113"/>
      <c r="B681" s="12" t="str">
        <f>IFERROR(VLOOKUP(D681,'[1]Перечень товаров'!$A$2:$I9525,2,0),"")</f>
        <v/>
      </c>
      <c r="C681" s="12" t="str">
        <f>IFERROR(VLOOKUP(D681,'[1]Перечень товаров'!$A$2:$I9525,3,0),"")</f>
        <v/>
      </c>
      <c r="D681" s="114" t="s">
        <v>19</v>
      </c>
      <c r="E681" s="115"/>
      <c r="F681" s="115"/>
      <c r="G681" s="59"/>
      <c r="H681" s="59"/>
      <c r="I681" s="60"/>
      <c r="J681" s="60"/>
      <c r="K681" s="19"/>
      <c r="L681" s="20"/>
    </row>
    <row r="682" spans="1:12" ht="31.5" outlineLevel="2">
      <c r="A682" s="34"/>
      <c r="B682" s="12" t="str">
        <f>IFERROR(VLOOKUP(D682,'[1]Перечень товаров'!$A$2:$I9525,2,0),"")</f>
        <v>м205</v>
      </c>
      <c r="C682" s="12" t="str">
        <f>IFERROR(VLOOKUP(D682,'[1]Перечень товаров'!$A$2:$I9525,3,0),"")</f>
        <v>Мебель</v>
      </c>
      <c r="D682" s="35" t="s">
        <v>20</v>
      </c>
      <c r="E682" s="88"/>
      <c r="F682" s="88"/>
      <c r="G682" s="59">
        <v>1</v>
      </c>
      <c r="H682" s="59"/>
      <c r="I682" s="60"/>
      <c r="J682" s="60"/>
      <c r="K682" s="19"/>
      <c r="L682" s="20"/>
    </row>
    <row r="683" spans="1:12" outlineLevel="2">
      <c r="A683" s="34"/>
      <c r="B683" s="12" t="str">
        <f>IFERROR(VLOOKUP(D683,'[1]Перечень товаров'!$A$2:$I9525,2,0),"")</f>
        <v>м61</v>
      </c>
      <c r="C683" s="12" t="str">
        <f>IFERROR(VLOOKUP(D683,'[1]Перечень товаров'!$A$2:$I9525,3,0),"")</f>
        <v>Мебель</v>
      </c>
      <c r="D683" s="35" t="s">
        <v>383</v>
      </c>
      <c r="E683" s="88"/>
      <c r="F683" s="88"/>
      <c r="G683" s="59">
        <v>1</v>
      </c>
      <c r="H683" s="59"/>
      <c r="I683" s="60"/>
      <c r="J683" s="60"/>
      <c r="K683" s="19"/>
      <c r="L683" s="20"/>
    </row>
    <row r="684" spans="1:12" outlineLevel="2">
      <c r="A684" s="34"/>
      <c r="B684" s="12" t="str">
        <f>IFERROR(VLOOKUP(D684,'[1]Перечень товаров'!$A$2:$I9525,2,0),"")</f>
        <v>м61</v>
      </c>
      <c r="C684" s="12" t="str">
        <f>IFERROR(VLOOKUP(D684,'[1]Перечень товаров'!$A$2:$I9525,3,0),"")</f>
        <v>Мебель</v>
      </c>
      <c r="D684" s="35" t="s">
        <v>384</v>
      </c>
      <c r="E684" s="88"/>
      <c r="F684" s="88"/>
      <c r="G684" s="59">
        <v>4</v>
      </c>
      <c r="H684" s="59"/>
      <c r="I684" s="60"/>
      <c r="J684" s="60"/>
      <c r="K684" s="19"/>
      <c r="L684" s="20"/>
    </row>
    <row r="685" spans="1:12" ht="31.5" outlineLevel="2">
      <c r="A685" s="34"/>
      <c r="B685" s="12" t="str">
        <f>IFERROR(VLOOKUP(D685,'[1]Перечень товаров'!$A$2:$I9525,2,0),"")</f>
        <v>м62</v>
      </c>
      <c r="C685" s="12" t="str">
        <f>IFERROR(VLOOKUP(D685,'[1]Перечень товаров'!$A$2:$I9525,3,0),"")</f>
        <v>Мебель</v>
      </c>
      <c r="D685" s="35" t="s">
        <v>385</v>
      </c>
      <c r="E685" s="88"/>
      <c r="F685" s="88"/>
      <c r="G685" s="59">
        <v>2</v>
      </c>
      <c r="H685" s="59"/>
      <c r="I685" s="60"/>
      <c r="J685" s="60"/>
      <c r="K685" s="19"/>
      <c r="L685" s="20"/>
    </row>
    <row r="686" spans="1:12" outlineLevel="2">
      <c r="A686" s="21"/>
      <c r="B686" s="12" t="str">
        <f>IFERROR(VLOOKUP(D686,'[1]Перечень товаров'!$A$2:$I9525,2,0),"")</f>
        <v>м13</v>
      </c>
      <c r="C686" s="12" t="str">
        <f>IFERROR(VLOOKUP(D686,'[1]Перечень товаров'!$A$2:$I9525,3,0),"")</f>
        <v>Мебель</v>
      </c>
      <c r="D686" s="22" t="s">
        <v>42</v>
      </c>
      <c r="E686" s="58"/>
      <c r="F686" s="58"/>
      <c r="G686" s="24">
        <v>1</v>
      </c>
      <c r="H686" s="24"/>
      <c r="I686" s="25"/>
      <c r="J686" s="25"/>
      <c r="K686" s="19"/>
      <c r="L686" s="20"/>
    </row>
    <row r="687" spans="1:12" outlineLevel="2">
      <c r="A687" s="21"/>
      <c r="B687" s="12" t="str">
        <f>IFERROR(VLOOKUP(D687,'[1]Перечень товаров'!$A$2:$I9525,2,0),"")</f>
        <v>м14</v>
      </c>
      <c r="C687" s="12" t="str">
        <f>IFERROR(VLOOKUP(D687,'[1]Перечень товаров'!$A$2:$I9525,3,0),"")</f>
        <v>Мебель</v>
      </c>
      <c r="D687" s="22" t="s">
        <v>43</v>
      </c>
      <c r="E687" s="58"/>
      <c r="F687" s="58"/>
      <c r="G687" s="24">
        <v>1</v>
      </c>
      <c r="H687" s="24"/>
      <c r="I687" s="25"/>
      <c r="J687" s="25"/>
      <c r="K687" s="19"/>
      <c r="L687" s="20"/>
    </row>
    <row r="688" spans="1:12" ht="31.5" outlineLevel="2">
      <c r="A688" s="21"/>
      <c r="B688" s="12" t="str">
        <f>IFERROR(VLOOKUP(D688,'[1]Перечень товаров'!$A$2:$I9525,2,0),"")</f>
        <v>м63</v>
      </c>
      <c r="C688" s="12" t="str">
        <f>IFERROR(VLOOKUP(D688,'[1]Перечень товаров'!$A$2:$I9525,3,0),"")</f>
        <v>Мебель</v>
      </c>
      <c r="D688" s="22" t="s">
        <v>386</v>
      </c>
      <c r="E688" s="58"/>
      <c r="F688" s="58"/>
      <c r="G688" s="24">
        <v>2</v>
      </c>
      <c r="H688" s="24"/>
      <c r="I688" s="25"/>
      <c r="J688" s="25"/>
      <c r="K688" s="19"/>
      <c r="L688" s="20"/>
    </row>
    <row r="689" spans="1:12" ht="31.5" outlineLevel="2">
      <c r="A689" s="21"/>
      <c r="B689" s="12" t="str">
        <f>IFERROR(VLOOKUP(D689,'[1]Перечень товаров'!$A$2:$I9525,2,0),"")</f>
        <v>м64</v>
      </c>
      <c r="C689" s="12" t="str">
        <f>IFERROR(VLOOKUP(D689,'[1]Перечень товаров'!$A$2:$I9525,3,0),"")</f>
        <v>Мебель</v>
      </c>
      <c r="D689" s="22" t="s">
        <v>387</v>
      </c>
      <c r="E689" s="58"/>
      <c r="F689" s="58"/>
      <c r="G689" s="24">
        <v>2</v>
      </c>
      <c r="H689" s="24"/>
      <c r="I689" s="25"/>
      <c r="J689" s="25"/>
      <c r="K689" s="19"/>
      <c r="L689" s="20"/>
    </row>
    <row r="690" spans="1:12" outlineLevel="2">
      <c r="A690" s="21"/>
      <c r="B690" s="12" t="str">
        <f>IFERROR(VLOOKUP(D690,'[1]Перечень товаров'!$A$2:$I9525,2,0),"")</f>
        <v>п33</v>
      </c>
      <c r="C690" s="12" t="str">
        <f>IFERROR(VLOOKUP(D690,'[1]Перечень товаров'!$A$2:$I9525,3,0),"")</f>
        <v>Прочее</v>
      </c>
      <c r="D690" s="22" t="s">
        <v>388</v>
      </c>
      <c r="E690" s="58"/>
      <c r="F690" s="58"/>
      <c r="G690" s="24">
        <v>1</v>
      </c>
      <c r="H690" s="24"/>
      <c r="I690" s="25"/>
      <c r="J690" s="25"/>
      <c r="K690" s="19"/>
      <c r="L690" s="20"/>
    </row>
    <row r="691" spans="1:12" outlineLevel="2">
      <c r="A691" s="21"/>
      <c r="B691" s="12" t="str">
        <f>IFERROR(VLOOKUP(D691,'[1]Перечень товаров'!$A$2:$I9525,2,0),"")</f>
        <v>м65</v>
      </c>
      <c r="C691" s="12" t="str">
        <f>IFERROR(VLOOKUP(D691,'[1]Перечень товаров'!$A$2:$I9525,3,0),"")</f>
        <v>Мебель</v>
      </c>
      <c r="D691" s="22" t="s">
        <v>389</v>
      </c>
      <c r="E691" s="58"/>
      <c r="F691" s="58"/>
      <c r="G691" s="24">
        <v>1</v>
      </c>
      <c r="H691" s="24"/>
      <c r="I691" s="25"/>
      <c r="J691" s="25"/>
      <c r="K691" s="19"/>
      <c r="L691" s="20"/>
    </row>
    <row r="692" spans="1:12" outlineLevel="2">
      <c r="A692" s="21"/>
      <c r="B692" s="12" t="str">
        <f>IFERROR(VLOOKUP(D692,'[1]Перечень товаров'!$A$2:$I9525,2,0),"")</f>
        <v>п34</v>
      </c>
      <c r="C692" s="12" t="str">
        <f>IFERROR(VLOOKUP(D692,'[1]Перечень товаров'!$A$2:$I9525,3,0),"")</f>
        <v>Прочее</v>
      </c>
      <c r="D692" s="22" t="s">
        <v>390</v>
      </c>
      <c r="E692" s="58"/>
      <c r="F692" s="58"/>
      <c r="G692" s="24">
        <v>1</v>
      </c>
      <c r="H692" s="24"/>
      <c r="I692" s="25"/>
      <c r="J692" s="25"/>
      <c r="K692" s="19"/>
      <c r="L692" s="20"/>
    </row>
    <row r="693" spans="1:12" ht="15" outlineLevel="2">
      <c r="A693" s="116"/>
      <c r="B693" s="12" t="str">
        <f>IFERROR(VLOOKUP(D693,'[1]Перечень товаров'!$A$2:$I9525,2,0),"")</f>
        <v/>
      </c>
      <c r="C693" s="12" t="str">
        <f>IFERROR(VLOOKUP(D693,'[1]Перечень товаров'!$A$2:$I9525,3,0),"")</f>
        <v/>
      </c>
      <c r="D693" s="117" t="s">
        <v>391</v>
      </c>
      <c r="E693" s="118"/>
      <c r="F693" s="118"/>
      <c r="G693" s="119"/>
      <c r="H693" s="119"/>
      <c r="I693" s="120"/>
      <c r="J693" s="120"/>
      <c r="K693" s="19"/>
      <c r="L693" s="20"/>
    </row>
    <row r="694" spans="1:12" ht="31.5" outlineLevel="2">
      <c r="A694" s="28"/>
      <c r="B694" s="12" t="str">
        <f>IFERROR(VLOOKUP(D694,'[1]Перечень товаров'!$A$2:$I9525,2,0),"")</f>
        <v>тм66</v>
      </c>
      <c r="C694" s="12" t="str">
        <f>IFERROR(VLOOKUP(D694,'[1]Перечень товаров'!$A$2:$I9525,3,0),"")</f>
        <v>Техника муз</v>
      </c>
      <c r="D694" s="29" t="s">
        <v>392</v>
      </c>
      <c r="E694" s="30"/>
      <c r="F694" s="30"/>
      <c r="G694" s="31">
        <v>2</v>
      </c>
      <c r="H694" s="31"/>
      <c r="I694" s="32"/>
      <c r="J694" s="32"/>
      <c r="K694" s="19"/>
      <c r="L694" s="20"/>
    </row>
    <row r="695" spans="1:12" ht="63" outlineLevel="2">
      <c r="A695" s="28"/>
      <c r="B695" s="12" t="str">
        <f>IFERROR(VLOOKUP(D695,'[1]Перечень товаров'!$A$2:$I9525,2,0),"")</f>
        <v>тм67</v>
      </c>
      <c r="C695" s="12" t="str">
        <f>IFERROR(VLOOKUP(D695,'[1]Перечень товаров'!$A$2:$I9525,3,0),"")</f>
        <v>Техника муз</v>
      </c>
      <c r="D695" s="29" t="s">
        <v>393</v>
      </c>
      <c r="E695" s="30"/>
      <c r="F695" s="30"/>
      <c r="G695" s="31">
        <v>1</v>
      </c>
      <c r="H695" s="31"/>
      <c r="I695" s="32"/>
      <c r="J695" s="32"/>
      <c r="K695" s="19"/>
      <c r="L695" s="20"/>
    </row>
    <row r="696" spans="1:12" ht="31.5" outlineLevel="2">
      <c r="A696" s="28"/>
      <c r="B696" s="12" t="str">
        <f>IFERROR(VLOOKUP(D696,'[1]Перечень товаров'!$A$2:$I9525,2,0),"")</f>
        <v>тм68</v>
      </c>
      <c r="C696" s="12" t="str">
        <f>IFERROR(VLOOKUP(D696,'[1]Перечень товаров'!$A$2:$I9525,3,0),"")</f>
        <v>Техника муз</v>
      </c>
      <c r="D696" s="29" t="s">
        <v>394</v>
      </c>
      <c r="E696" s="30"/>
      <c r="F696" s="30"/>
      <c r="G696" s="31">
        <v>1</v>
      </c>
      <c r="H696" s="31"/>
      <c r="I696" s="32"/>
      <c r="J696" s="32"/>
      <c r="K696" s="19"/>
      <c r="L696" s="20"/>
    </row>
    <row r="697" spans="1:12" ht="31.5" outlineLevel="2">
      <c r="A697" s="28"/>
      <c r="B697" s="12" t="str">
        <f>IFERROR(VLOOKUP(D697,'[1]Перечень товаров'!$A$2:$I9525,2,0),"")</f>
        <v>тм69</v>
      </c>
      <c r="C697" s="12" t="str">
        <f>IFERROR(VLOOKUP(D697,'[1]Перечень товаров'!$A$2:$I9525,3,0),"")</f>
        <v>Техника муз</v>
      </c>
      <c r="D697" s="29" t="s">
        <v>395</v>
      </c>
      <c r="E697" s="30"/>
      <c r="F697" s="30"/>
      <c r="G697" s="31">
        <v>1</v>
      </c>
      <c r="H697" s="31"/>
      <c r="I697" s="32"/>
      <c r="J697" s="32"/>
      <c r="K697" s="19"/>
      <c r="L697" s="20"/>
    </row>
    <row r="698" spans="1:12" ht="12.75" outlineLevel="1">
      <c r="A698" s="89"/>
      <c r="B698" s="12" t="str">
        <f>IFERROR(VLOOKUP(D698,'[1]Перечень товаров'!$A$2:$I9525,2,0),"")</f>
        <v/>
      </c>
      <c r="C698" s="12" t="str">
        <f>IFERROR(VLOOKUP(D698,'[1]Перечень товаров'!$A$2:$I9525,3,0),"")</f>
        <v/>
      </c>
      <c r="D698" s="90" t="s">
        <v>379</v>
      </c>
      <c r="E698" s="108">
        <v>46134</v>
      </c>
      <c r="F698" s="108"/>
      <c r="G698" s="100"/>
      <c r="H698" s="100"/>
      <c r="I698" s="101"/>
      <c r="J698" s="101"/>
      <c r="K698" s="19"/>
      <c r="L698" s="20"/>
    </row>
    <row r="699" spans="1:12" ht="15" outlineLevel="2">
      <c r="A699" s="109"/>
      <c r="B699" s="12" t="str">
        <f>IFERROR(VLOOKUP(D699,'[1]Перечень товаров'!$A$2:$I9525,2,0),"")</f>
        <v/>
      </c>
      <c r="C699" s="12" t="str">
        <f>IFERROR(VLOOKUP(D699,'[1]Перечень товаров'!$A$2:$I9525,3,0),"")</f>
        <v/>
      </c>
      <c r="D699" s="110" t="s">
        <v>27</v>
      </c>
      <c r="E699" s="45"/>
      <c r="F699" s="45"/>
      <c r="G699" s="111"/>
      <c r="H699" s="111"/>
      <c r="I699" s="112"/>
      <c r="J699" s="112"/>
      <c r="K699" s="19"/>
      <c r="L699" s="20"/>
    </row>
    <row r="700" spans="1:12" outlineLevel="2">
      <c r="A700" s="21"/>
      <c r="B700" s="12" t="str">
        <f>IFERROR(VLOOKUP(D700,'[1]Перечень товаров'!$A$2:$I9525,2,0),"")</f>
        <v>т1</v>
      </c>
      <c r="C700" s="12" t="str">
        <f>IFERROR(VLOOKUP(D700,'[1]Перечень товаров'!$A$2:$I9525,3,0),"")</f>
        <v xml:space="preserve">Техника </v>
      </c>
      <c r="D700" s="22" t="s">
        <v>28</v>
      </c>
      <c r="E700" s="58"/>
      <c r="F700" s="58"/>
      <c r="G700" s="48">
        <v>1</v>
      </c>
      <c r="H700" s="48"/>
      <c r="I700" s="49"/>
      <c r="J700" s="49"/>
      <c r="K700" s="19"/>
      <c r="L700" s="20"/>
    </row>
    <row r="701" spans="1:12" outlineLevel="2">
      <c r="A701" s="35"/>
      <c r="B701" s="12" t="str">
        <f>IFERROR(VLOOKUP(D701,'[1]Перечень товаров'!$A$2:$I9525,2,0),"")</f>
        <v>т2</v>
      </c>
      <c r="C701" s="12" t="str">
        <f>IFERROR(VLOOKUP(D701,'[1]Перечень товаров'!$A$2:$I9525,3,0),"")</f>
        <v xml:space="preserve">Техника </v>
      </c>
      <c r="D701" s="35" t="s">
        <v>29</v>
      </c>
      <c r="E701" s="58"/>
      <c r="F701" s="58"/>
      <c r="G701" s="48">
        <v>1</v>
      </c>
      <c r="H701" s="48"/>
      <c r="I701" s="49"/>
      <c r="J701" s="49"/>
      <c r="K701" s="19"/>
      <c r="L701" s="20"/>
    </row>
    <row r="702" spans="1:12" outlineLevel="2">
      <c r="A702" s="35"/>
      <c r="B702" s="12" t="str">
        <f>IFERROR(VLOOKUP(D702,'[1]Перечень товаров'!$A$2:$I9525,2,0),"")</f>
        <v>т3</v>
      </c>
      <c r="C702" s="12" t="str">
        <f>IFERROR(VLOOKUP(D702,'[1]Перечень товаров'!$A$2:$I9525,3,0),"")</f>
        <v xml:space="preserve">Техника </v>
      </c>
      <c r="D702" s="35" t="s">
        <v>30</v>
      </c>
      <c r="E702" s="58"/>
      <c r="F702" s="58"/>
      <c r="G702" s="48">
        <v>1</v>
      </c>
      <c r="H702" s="48"/>
      <c r="I702" s="49"/>
      <c r="J702" s="49"/>
      <c r="K702" s="19"/>
      <c r="L702" s="20"/>
    </row>
    <row r="703" spans="1:12" outlineLevel="2">
      <c r="A703" s="35"/>
      <c r="B703" s="12" t="str">
        <f>IFERROR(VLOOKUP(D703,'[1]Перечень товаров'!$A$2:$I9525,2,0),"")</f>
        <v>т4</v>
      </c>
      <c r="C703" s="12" t="str">
        <f>IFERROR(VLOOKUP(D703,'[1]Перечень товаров'!$A$2:$I9525,3,0),"")</f>
        <v xml:space="preserve">Техника </v>
      </c>
      <c r="D703" s="35" t="s">
        <v>31</v>
      </c>
      <c r="E703" s="58"/>
      <c r="F703" s="58"/>
      <c r="G703" s="48">
        <v>1</v>
      </c>
      <c r="H703" s="48"/>
      <c r="I703" s="49"/>
      <c r="J703" s="49"/>
      <c r="K703" s="19"/>
      <c r="L703" s="20"/>
    </row>
    <row r="704" spans="1:12" outlineLevel="2">
      <c r="A704" s="21"/>
      <c r="B704" s="12" t="str">
        <f>IFERROR(VLOOKUP(D704,'[1]Перечень товаров'!$A$2:$I9525,2,0),"")</f>
        <v>тм65</v>
      </c>
      <c r="C704" s="12" t="str">
        <f>IFERROR(VLOOKUP(D704,'[1]Перечень товаров'!$A$2:$I9525,3,0),"")</f>
        <v>Техника муз</v>
      </c>
      <c r="D704" s="22" t="s">
        <v>380</v>
      </c>
      <c r="E704" s="58"/>
      <c r="F704" s="58"/>
      <c r="G704" s="48">
        <v>1</v>
      </c>
      <c r="H704" s="48"/>
      <c r="I704" s="49"/>
      <c r="J704" s="49"/>
      <c r="K704" s="19"/>
      <c r="L704" s="20"/>
    </row>
    <row r="705" spans="1:12" outlineLevel="2">
      <c r="A705" s="21"/>
      <c r="B705" s="12" t="str">
        <f>IFERROR(VLOOKUP(D705,'[1]Перечень товаров'!$A$2:$I9525,2,0),"")</f>
        <v>т12</v>
      </c>
      <c r="C705" s="12" t="str">
        <f>IFERROR(VLOOKUP(D705,'[1]Перечень товаров'!$A$2:$I9525,3,0),"")</f>
        <v>Техника</v>
      </c>
      <c r="D705" s="22" t="s">
        <v>49</v>
      </c>
      <c r="E705" s="58"/>
      <c r="F705" s="58"/>
      <c r="G705" s="48">
        <v>1</v>
      </c>
      <c r="H705" s="48"/>
      <c r="I705" s="49"/>
      <c r="J705" s="49"/>
      <c r="K705" s="19"/>
      <c r="L705" s="20"/>
    </row>
    <row r="706" spans="1:12" outlineLevel="2">
      <c r="A706" s="35"/>
      <c r="B706" s="12" t="str">
        <f>IFERROR(VLOOKUP(D706,'[1]Перечень товаров'!$A$2:$I9525,2,0),"")</f>
        <v>т6</v>
      </c>
      <c r="C706" s="12" t="str">
        <f>IFERROR(VLOOKUP(D706,'[1]Перечень товаров'!$A$2:$I9525,3,0),"")</f>
        <v xml:space="preserve">Техника </v>
      </c>
      <c r="D706" s="35" t="s">
        <v>33</v>
      </c>
      <c r="E706" s="58"/>
      <c r="F706" s="58"/>
      <c r="G706" s="48">
        <v>1</v>
      </c>
      <c r="H706" s="48"/>
      <c r="I706" s="49"/>
      <c r="J706" s="49"/>
      <c r="K706" s="19"/>
      <c r="L706" s="20"/>
    </row>
    <row r="707" spans="1:12" outlineLevel="2">
      <c r="A707" s="21"/>
      <c r="B707" s="12" t="str">
        <f>IFERROR(VLOOKUP(D707,'[1]Перечень товаров'!$A$2:$I9525,2,0),"")</f>
        <v>т7</v>
      </c>
      <c r="C707" s="12" t="str">
        <f>IFERROR(VLOOKUP(D707,'[1]Перечень товаров'!$A$2:$I9525,3,0),"")</f>
        <v xml:space="preserve">Техника </v>
      </c>
      <c r="D707" s="22" t="s">
        <v>34</v>
      </c>
      <c r="E707" s="58"/>
      <c r="F707" s="58"/>
      <c r="G707" s="48">
        <v>3</v>
      </c>
      <c r="H707" s="48"/>
      <c r="I707" s="49"/>
      <c r="J707" s="49"/>
      <c r="K707" s="19"/>
      <c r="L707" s="20"/>
    </row>
    <row r="708" spans="1:12" outlineLevel="2">
      <c r="A708" s="28"/>
      <c r="B708" s="12" t="str">
        <f>IFERROR(VLOOKUP(D708,'[1]Перечень товаров'!$A$2:$I9525,2,0),"")</f>
        <v>т161</v>
      </c>
      <c r="C708" s="12" t="str">
        <f>IFERROR(VLOOKUP(D708,'[1]Перечень товаров'!$A$2:$I9525,3,0),"")</f>
        <v xml:space="preserve">Техника </v>
      </c>
      <c r="D708" s="29" t="s">
        <v>381</v>
      </c>
      <c r="E708" s="30"/>
      <c r="F708" s="30"/>
      <c r="G708" s="59">
        <v>1</v>
      </c>
      <c r="H708" s="59"/>
      <c r="I708" s="60"/>
      <c r="J708" s="60"/>
      <c r="K708" s="19"/>
      <c r="L708" s="20"/>
    </row>
    <row r="709" spans="1:12" ht="47.25" outlineLevel="2">
      <c r="A709" s="21"/>
      <c r="B709" s="12" t="str">
        <f>IFERROR(VLOOKUP(D709,'[1]Перечень товаров'!$A$2:$I9525,2,0),"")</f>
        <v>м61</v>
      </c>
      <c r="C709" s="12" t="str">
        <f>IFERROR(VLOOKUP(D709,'[1]Перечень товаров'!$A$2:$I9525,3,0),"")</f>
        <v>Мебель</v>
      </c>
      <c r="D709" s="22" t="s">
        <v>382</v>
      </c>
      <c r="E709" s="30"/>
      <c r="F709" s="30"/>
      <c r="G709" s="59">
        <v>1</v>
      </c>
      <c r="H709" s="59"/>
      <c r="I709" s="60"/>
      <c r="J709" s="60"/>
      <c r="K709" s="19"/>
      <c r="L709" s="20"/>
    </row>
    <row r="710" spans="1:12" outlineLevel="2">
      <c r="A710" s="113"/>
      <c r="B710" s="12" t="str">
        <f>IFERROR(VLOOKUP(D710,'[1]Перечень товаров'!$A$2:$I9525,2,0),"")</f>
        <v/>
      </c>
      <c r="C710" s="12" t="str">
        <f>IFERROR(VLOOKUP(D710,'[1]Перечень товаров'!$A$2:$I9525,3,0),"")</f>
        <v/>
      </c>
      <c r="D710" s="114" t="s">
        <v>19</v>
      </c>
      <c r="E710" s="115"/>
      <c r="F710" s="115"/>
      <c r="G710" s="59"/>
      <c r="H710" s="59"/>
      <c r="I710" s="60"/>
      <c r="J710" s="60"/>
      <c r="K710" s="19"/>
      <c r="L710" s="20"/>
    </row>
    <row r="711" spans="1:12" ht="31.5" outlineLevel="2">
      <c r="A711" s="34"/>
      <c r="B711" s="12" t="str">
        <f>IFERROR(VLOOKUP(D711,'[1]Перечень товаров'!$A$2:$I9525,2,0),"")</f>
        <v>м205</v>
      </c>
      <c r="C711" s="12" t="str">
        <f>IFERROR(VLOOKUP(D711,'[1]Перечень товаров'!$A$2:$I9525,3,0),"")</f>
        <v>Мебель</v>
      </c>
      <c r="D711" s="35" t="s">
        <v>20</v>
      </c>
      <c r="E711" s="88"/>
      <c r="F711" s="88"/>
      <c r="G711" s="59">
        <v>1</v>
      </c>
      <c r="H711" s="59"/>
      <c r="I711" s="60"/>
      <c r="J711" s="60"/>
      <c r="K711" s="19"/>
      <c r="L711" s="20"/>
    </row>
    <row r="712" spans="1:12" outlineLevel="2">
      <c r="A712" s="34"/>
      <c r="B712" s="12" t="str">
        <f>IFERROR(VLOOKUP(D712,'[1]Перечень товаров'!$A$2:$I9525,2,0),"")</f>
        <v>м61</v>
      </c>
      <c r="C712" s="12" t="str">
        <f>IFERROR(VLOOKUP(D712,'[1]Перечень товаров'!$A$2:$I9525,3,0),"")</f>
        <v>Мебель</v>
      </c>
      <c r="D712" s="35" t="s">
        <v>383</v>
      </c>
      <c r="E712" s="88"/>
      <c r="F712" s="88"/>
      <c r="G712" s="59">
        <v>1</v>
      </c>
      <c r="H712" s="59"/>
      <c r="I712" s="60"/>
      <c r="J712" s="60"/>
      <c r="K712" s="19"/>
      <c r="L712" s="20"/>
    </row>
    <row r="713" spans="1:12" outlineLevel="2">
      <c r="A713" s="34"/>
      <c r="B713" s="12" t="str">
        <f>IFERROR(VLOOKUP(D713,'[1]Перечень товаров'!$A$2:$I9525,2,0),"")</f>
        <v>м61</v>
      </c>
      <c r="C713" s="12" t="str">
        <f>IFERROR(VLOOKUP(D713,'[1]Перечень товаров'!$A$2:$I9525,3,0),"")</f>
        <v>Мебель</v>
      </c>
      <c r="D713" s="35" t="s">
        <v>384</v>
      </c>
      <c r="E713" s="88"/>
      <c r="F713" s="88"/>
      <c r="G713" s="59">
        <v>4</v>
      </c>
      <c r="H713" s="59"/>
      <c r="I713" s="60"/>
      <c r="J713" s="60"/>
      <c r="K713" s="19"/>
      <c r="L713" s="20"/>
    </row>
    <row r="714" spans="1:12" ht="31.5" outlineLevel="2">
      <c r="A714" s="34"/>
      <c r="B714" s="12" t="str">
        <f>IFERROR(VLOOKUP(D714,'[1]Перечень товаров'!$A$2:$I9525,2,0),"")</f>
        <v>м62</v>
      </c>
      <c r="C714" s="12" t="str">
        <f>IFERROR(VLOOKUP(D714,'[1]Перечень товаров'!$A$2:$I9525,3,0),"")</f>
        <v>Мебель</v>
      </c>
      <c r="D714" s="35" t="s">
        <v>385</v>
      </c>
      <c r="E714" s="88"/>
      <c r="F714" s="88"/>
      <c r="G714" s="59">
        <v>2</v>
      </c>
      <c r="H714" s="59"/>
      <c r="I714" s="60"/>
      <c r="J714" s="60"/>
      <c r="K714" s="19"/>
      <c r="L714" s="20"/>
    </row>
    <row r="715" spans="1:12" outlineLevel="2">
      <c r="A715" s="21"/>
      <c r="B715" s="12" t="str">
        <f>IFERROR(VLOOKUP(D715,'[1]Перечень товаров'!$A$2:$I9525,2,0),"")</f>
        <v>м13</v>
      </c>
      <c r="C715" s="12" t="str">
        <f>IFERROR(VLOOKUP(D715,'[1]Перечень товаров'!$A$2:$I9525,3,0),"")</f>
        <v>Мебель</v>
      </c>
      <c r="D715" s="22" t="s">
        <v>42</v>
      </c>
      <c r="E715" s="58"/>
      <c r="F715" s="58"/>
      <c r="G715" s="24">
        <v>1</v>
      </c>
      <c r="H715" s="24"/>
      <c r="I715" s="25"/>
      <c r="J715" s="25"/>
      <c r="K715" s="19"/>
      <c r="L715" s="20"/>
    </row>
    <row r="716" spans="1:12" outlineLevel="2">
      <c r="A716" s="21"/>
      <c r="B716" s="12" t="str">
        <f>IFERROR(VLOOKUP(D716,'[1]Перечень товаров'!$A$2:$I9525,2,0),"")</f>
        <v>м14</v>
      </c>
      <c r="C716" s="12" t="str">
        <f>IFERROR(VLOOKUP(D716,'[1]Перечень товаров'!$A$2:$I9525,3,0),"")</f>
        <v>Мебель</v>
      </c>
      <c r="D716" s="22" t="s">
        <v>43</v>
      </c>
      <c r="E716" s="58"/>
      <c r="F716" s="58"/>
      <c r="G716" s="24">
        <v>1</v>
      </c>
      <c r="H716" s="24"/>
      <c r="I716" s="25"/>
      <c r="J716" s="25"/>
      <c r="K716" s="19"/>
      <c r="L716" s="20"/>
    </row>
    <row r="717" spans="1:12" ht="31.5" outlineLevel="2">
      <c r="A717" s="21"/>
      <c r="B717" s="12" t="str">
        <f>IFERROR(VLOOKUP(D717,'[1]Перечень товаров'!$A$2:$I9525,2,0),"")</f>
        <v>м63</v>
      </c>
      <c r="C717" s="12" t="str">
        <f>IFERROR(VLOOKUP(D717,'[1]Перечень товаров'!$A$2:$I9525,3,0),"")</f>
        <v>Мебель</v>
      </c>
      <c r="D717" s="22" t="s">
        <v>386</v>
      </c>
      <c r="E717" s="58"/>
      <c r="F717" s="58"/>
      <c r="G717" s="24">
        <v>2</v>
      </c>
      <c r="H717" s="24"/>
      <c r="I717" s="25"/>
      <c r="J717" s="25"/>
      <c r="K717" s="19"/>
      <c r="L717" s="20"/>
    </row>
    <row r="718" spans="1:12" ht="31.5" outlineLevel="2">
      <c r="A718" s="21"/>
      <c r="B718" s="12" t="str">
        <f>IFERROR(VLOOKUP(D718,'[1]Перечень товаров'!$A$2:$I9525,2,0),"")</f>
        <v>м64</v>
      </c>
      <c r="C718" s="12" t="str">
        <f>IFERROR(VLOOKUP(D718,'[1]Перечень товаров'!$A$2:$I9525,3,0),"")</f>
        <v>Мебель</v>
      </c>
      <c r="D718" s="22" t="s">
        <v>387</v>
      </c>
      <c r="E718" s="58"/>
      <c r="F718" s="58"/>
      <c r="G718" s="24">
        <v>2</v>
      </c>
      <c r="H718" s="24"/>
      <c r="I718" s="25"/>
      <c r="J718" s="25"/>
      <c r="K718" s="19"/>
      <c r="L718" s="20"/>
    </row>
    <row r="719" spans="1:12" outlineLevel="2">
      <c r="A719" s="21"/>
      <c r="B719" s="12" t="str">
        <f>IFERROR(VLOOKUP(D719,'[1]Перечень товаров'!$A$2:$I9525,2,0),"")</f>
        <v>п33</v>
      </c>
      <c r="C719" s="12" t="str">
        <f>IFERROR(VLOOKUP(D719,'[1]Перечень товаров'!$A$2:$I9525,3,0),"")</f>
        <v>Прочее</v>
      </c>
      <c r="D719" s="22" t="s">
        <v>388</v>
      </c>
      <c r="E719" s="58"/>
      <c r="F719" s="58"/>
      <c r="G719" s="24">
        <v>1</v>
      </c>
      <c r="H719" s="24"/>
      <c r="I719" s="25"/>
      <c r="J719" s="25"/>
      <c r="K719" s="19"/>
      <c r="L719" s="20"/>
    </row>
    <row r="720" spans="1:12" outlineLevel="2">
      <c r="A720" s="21"/>
      <c r="B720" s="12" t="str">
        <f>IFERROR(VLOOKUP(D720,'[1]Перечень товаров'!$A$2:$I9525,2,0),"")</f>
        <v>м65</v>
      </c>
      <c r="C720" s="12" t="str">
        <f>IFERROR(VLOOKUP(D720,'[1]Перечень товаров'!$A$2:$I9525,3,0),"")</f>
        <v>Мебель</v>
      </c>
      <c r="D720" s="22" t="s">
        <v>389</v>
      </c>
      <c r="E720" s="58"/>
      <c r="F720" s="58"/>
      <c r="G720" s="24">
        <v>1</v>
      </c>
      <c r="H720" s="24"/>
      <c r="I720" s="25"/>
      <c r="J720" s="25"/>
      <c r="K720" s="19"/>
      <c r="L720" s="20"/>
    </row>
    <row r="721" spans="1:12" outlineLevel="2">
      <c r="A721" s="21"/>
      <c r="B721" s="12" t="str">
        <f>IFERROR(VLOOKUP(D721,'[1]Перечень товаров'!$A$2:$I9525,2,0),"")</f>
        <v>п34</v>
      </c>
      <c r="C721" s="12" t="str">
        <f>IFERROR(VLOOKUP(D721,'[1]Перечень товаров'!$A$2:$I9525,3,0),"")</f>
        <v>Прочее</v>
      </c>
      <c r="D721" s="22" t="s">
        <v>390</v>
      </c>
      <c r="E721" s="58"/>
      <c r="F721" s="58"/>
      <c r="G721" s="24">
        <v>1</v>
      </c>
      <c r="H721" s="24"/>
      <c r="I721" s="25"/>
      <c r="J721" s="25"/>
      <c r="K721" s="19"/>
      <c r="L721" s="20"/>
    </row>
    <row r="722" spans="1:12" ht="15" outlineLevel="2">
      <c r="A722" s="116"/>
      <c r="B722" s="12" t="str">
        <f>IFERROR(VLOOKUP(D722,'[1]Перечень товаров'!$A$2:$I9525,2,0),"")</f>
        <v/>
      </c>
      <c r="C722" s="12" t="str">
        <f>IFERROR(VLOOKUP(D722,'[1]Перечень товаров'!$A$2:$I9525,3,0),"")</f>
        <v/>
      </c>
      <c r="D722" s="117" t="s">
        <v>391</v>
      </c>
      <c r="E722" s="118"/>
      <c r="F722" s="118"/>
      <c r="G722" s="119"/>
      <c r="H722" s="119"/>
      <c r="I722" s="120"/>
      <c r="J722" s="120"/>
      <c r="K722" s="19"/>
      <c r="L722" s="20"/>
    </row>
    <row r="723" spans="1:12" ht="31.5" outlineLevel="2">
      <c r="A723" s="28"/>
      <c r="B723" s="12" t="str">
        <f>IFERROR(VLOOKUP(D723,'[1]Перечень товаров'!$A$2:$I9525,2,0),"")</f>
        <v>тм66</v>
      </c>
      <c r="C723" s="12" t="str">
        <f>IFERROR(VLOOKUP(D723,'[1]Перечень товаров'!$A$2:$I9525,3,0),"")</f>
        <v>Техника муз</v>
      </c>
      <c r="D723" s="29" t="s">
        <v>392</v>
      </c>
      <c r="E723" s="30"/>
      <c r="F723" s="30"/>
      <c r="G723" s="31">
        <v>2</v>
      </c>
      <c r="H723" s="31"/>
      <c r="I723" s="32"/>
      <c r="J723" s="32"/>
      <c r="K723" s="19"/>
      <c r="L723" s="20"/>
    </row>
    <row r="724" spans="1:12" ht="63" outlineLevel="2">
      <c r="A724" s="28"/>
      <c r="B724" s="12" t="str">
        <f>IFERROR(VLOOKUP(D724,'[1]Перечень товаров'!$A$2:$I9525,2,0),"")</f>
        <v>тм67</v>
      </c>
      <c r="C724" s="12" t="str">
        <f>IFERROR(VLOOKUP(D724,'[1]Перечень товаров'!$A$2:$I9525,3,0),"")</f>
        <v>Техника муз</v>
      </c>
      <c r="D724" s="29" t="s">
        <v>393</v>
      </c>
      <c r="E724" s="30"/>
      <c r="F724" s="30"/>
      <c r="G724" s="31">
        <v>1</v>
      </c>
      <c r="H724" s="31"/>
      <c r="I724" s="32"/>
      <c r="J724" s="32"/>
      <c r="K724" s="19"/>
      <c r="L724" s="20"/>
    </row>
    <row r="725" spans="1:12" ht="31.5" outlineLevel="2">
      <c r="A725" s="28"/>
      <c r="B725" s="12" t="str">
        <f>IFERROR(VLOOKUP(D725,'[1]Перечень товаров'!$A$2:$I9525,2,0),"")</f>
        <v>тм68</v>
      </c>
      <c r="C725" s="12" t="str">
        <f>IFERROR(VLOOKUP(D725,'[1]Перечень товаров'!$A$2:$I9525,3,0),"")</f>
        <v>Техника муз</v>
      </c>
      <c r="D725" s="29" t="s">
        <v>394</v>
      </c>
      <c r="E725" s="30"/>
      <c r="F725" s="30"/>
      <c r="G725" s="31">
        <v>1</v>
      </c>
      <c r="H725" s="31"/>
      <c r="I725" s="32"/>
      <c r="J725" s="32"/>
      <c r="K725" s="19"/>
      <c r="L725" s="20"/>
    </row>
    <row r="726" spans="1:12" ht="31.5" outlineLevel="2">
      <c r="A726" s="28"/>
      <c r="B726" s="12" t="str">
        <f>IFERROR(VLOOKUP(D726,'[1]Перечень товаров'!$A$2:$I9525,2,0),"")</f>
        <v>тм69</v>
      </c>
      <c r="C726" s="12" t="str">
        <f>IFERROR(VLOOKUP(D726,'[1]Перечень товаров'!$A$2:$I9525,3,0),"")</f>
        <v>Техника муз</v>
      </c>
      <c r="D726" s="29" t="s">
        <v>395</v>
      </c>
      <c r="E726" s="30"/>
      <c r="F726" s="30"/>
      <c r="G726" s="31">
        <v>1</v>
      </c>
      <c r="H726" s="31"/>
      <c r="I726" s="32"/>
      <c r="J726" s="32"/>
      <c r="K726" s="19"/>
      <c r="L726" s="20"/>
    </row>
    <row r="727" spans="1:12" ht="12.75" outlineLevel="1">
      <c r="A727" s="89"/>
      <c r="B727" s="12" t="str">
        <f>IFERROR(VLOOKUP(D727,'[1]Перечень товаров'!$A$2:$I9525,2,0),"")</f>
        <v/>
      </c>
      <c r="C727" s="12" t="str">
        <f>IFERROR(VLOOKUP(D727,'[1]Перечень товаров'!$A$2:$I9525,3,0),"")</f>
        <v/>
      </c>
      <c r="D727" s="90" t="s">
        <v>379</v>
      </c>
      <c r="E727" s="91" t="s">
        <v>396</v>
      </c>
      <c r="F727" s="91"/>
      <c r="G727" s="17"/>
      <c r="H727" s="17"/>
      <c r="I727" s="57"/>
      <c r="J727" s="57"/>
      <c r="K727" s="19"/>
      <c r="L727" s="20"/>
    </row>
    <row r="728" spans="1:12" ht="15" outlineLevel="2">
      <c r="A728" s="109"/>
      <c r="B728" s="12" t="str">
        <f>IFERROR(VLOOKUP(D728,'[1]Перечень товаров'!$A$2:$I9525,2,0),"")</f>
        <v/>
      </c>
      <c r="C728" s="12" t="str">
        <f>IFERROR(VLOOKUP(D728,'[1]Перечень товаров'!$A$2:$I9525,3,0),"")</f>
        <v/>
      </c>
      <c r="D728" s="110" t="s">
        <v>27</v>
      </c>
      <c r="E728" s="45"/>
      <c r="F728" s="45"/>
      <c r="G728" s="111"/>
      <c r="H728" s="111"/>
      <c r="I728" s="112"/>
      <c r="J728" s="112"/>
      <c r="K728" s="19"/>
      <c r="L728" s="20"/>
    </row>
    <row r="729" spans="1:12" outlineLevel="2">
      <c r="A729" s="21"/>
      <c r="B729" s="12" t="str">
        <f>IFERROR(VLOOKUP(D729,'[1]Перечень товаров'!$A$2:$I9525,2,0),"")</f>
        <v>т1</v>
      </c>
      <c r="C729" s="12" t="str">
        <f>IFERROR(VLOOKUP(D729,'[1]Перечень товаров'!$A$2:$I9525,3,0),"")</f>
        <v xml:space="preserve">Техника </v>
      </c>
      <c r="D729" s="22" t="s">
        <v>28</v>
      </c>
      <c r="E729" s="58"/>
      <c r="F729" s="58"/>
      <c r="G729" s="48">
        <v>1</v>
      </c>
      <c r="H729" s="48"/>
      <c r="I729" s="49"/>
      <c r="J729" s="49"/>
      <c r="K729" s="19"/>
      <c r="L729" s="20"/>
    </row>
    <row r="730" spans="1:12" outlineLevel="2">
      <c r="A730" s="35"/>
      <c r="B730" s="12" t="str">
        <f>IFERROR(VLOOKUP(D730,'[1]Перечень товаров'!$A$2:$I9525,2,0),"")</f>
        <v>т2</v>
      </c>
      <c r="C730" s="12" t="str">
        <f>IFERROR(VLOOKUP(D730,'[1]Перечень товаров'!$A$2:$I9525,3,0),"")</f>
        <v xml:space="preserve">Техника </v>
      </c>
      <c r="D730" s="35" t="s">
        <v>29</v>
      </c>
      <c r="E730" s="58"/>
      <c r="F730" s="58"/>
      <c r="G730" s="48">
        <v>1</v>
      </c>
      <c r="H730" s="48"/>
      <c r="I730" s="49"/>
      <c r="J730" s="49"/>
      <c r="K730" s="19"/>
      <c r="L730" s="20"/>
    </row>
    <row r="731" spans="1:12" outlineLevel="2">
      <c r="A731" s="35"/>
      <c r="B731" s="12" t="str">
        <f>IFERROR(VLOOKUP(D731,'[1]Перечень товаров'!$A$2:$I9525,2,0),"")</f>
        <v>т3</v>
      </c>
      <c r="C731" s="12" t="str">
        <f>IFERROR(VLOOKUP(D731,'[1]Перечень товаров'!$A$2:$I9525,3,0),"")</f>
        <v xml:space="preserve">Техника </v>
      </c>
      <c r="D731" s="35" t="s">
        <v>30</v>
      </c>
      <c r="E731" s="58"/>
      <c r="F731" s="58"/>
      <c r="G731" s="48">
        <v>1</v>
      </c>
      <c r="H731" s="48"/>
      <c r="I731" s="49"/>
      <c r="J731" s="49"/>
      <c r="K731" s="19"/>
      <c r="L731" s="20"/>
    </row>
    <row r="732" spans="1:12" outlineLevel="2">
      <c r="A732" s="35"/>
      <c r="B732" s="12" t="str">
        <f>IFERROR(VLOOKUP(D732,'[1]Перечень товаров'!$A$2:$I9525,2,0),"")</f>
        <v>т4</v>
      </c>
      <c r="C732" s="12" t="str">
        <f>IFERROR(VLOOKUP(D732,'[1]Перечень товаров'!$A$2:$I9525,3,0),"")</f>
        <v xml:space="preserve">Техника </v>
      </c>
      <c r="D732" s="35" t="s">
        <v>31</v>
      </c>
      <c r="E732" s="58"/>
      <c r="F732" s="58"/>
      <c r="G732" s="48">
        <v>1</v>
      </c>
      <c r="H732" s="48"/>
      <c r="I732" s="49"/>
      <c r="J732" s="49"/>
      <c r="K732" s="19"/>
      <c r="L732" s="20"/>
    </row>
    <row r="733" spans="1:12" outlineLevel="2">
      <c r="A733" s="21"/>
      <c r="B733" s="12" t="str">
        <f>IFERROR(VLOOKUP(D733,'[1]Перечень товаров'!$A$2:$I9525,2,0),"")</f>
        <v>тм65</v>
      </c>
      <c r="C733" s="12" t="str">
        <f>IFERROR(VLOOKUP(D733,'[1]Перечень товаров'!$A$2:$I9525,3,0),"")</f>
        <v>Техника муз</v>
      </c>
      <c r="D733" s="22" t="s">
        <v>380</v>
      </c>
      <c r="E733" s="58"/>
      <c r="F733" s="58"/>
      <c r="G733" s="48">
        <v>1</v>
      </c>
      <c r="H733" s="48"/>
      <c r="I733" s="49"/>
      <c r="J733" s="49"/>
      <c r="K733" s="19"/>
      <c r="L733" s="20"/>
    </row>
    <row r="734" spans="1:12" outlineLevel="2">
      <c r="A734" s="21"/>
      <c r="B734" s="12" t="str">
        <f>IFERROR(VLOOKUP(D734,'[1]Перечень товаров'!$A$2:$I9525,2,0),"")</f>
        <v>т12</v>
      </c>
      <c r="C734" s="12" t="str">
        <f>IFERROR(VLOOKUP(D734,'[1]Перечень товаров'!$A$2:$I9525,3,0),"")</f>
        <v>Техника</v>
      </c>
      <c r="D734" s="22" t="s">
        <v>49</v>
      </c>
      <c r="E734" s="58"/>
      <c r="F734" s="58"/>
      <c r="G734" s="48">
        <v>1</v>
      </c>
      <c r="H734" s="48"/>
      <c r="I734" s="49"/>
      <c r="J734" s="49"/>
      <c r="K734" s="19"/>
      <c r="L734" s="20"/>
    </row>
    <row r="735" spans="1:12" outlineLevel="2">
      <c r="A735" s="35"/>
      <c r="B735" s="12" t="str">
        <f>IFERROR(VLOOKUP(D735,'[1]Перечень товаров'!$A$2:$I9525,2,0),"")</f>
        <v>т6</v>
      </c>
      <c r="C735" s="12" t="str">
        <f>IFERROR(VLOOKUP(D735,'[1]Перечень товаров'!$A$2:$I9525,3,0),"")</f>
        <v xml:space="preserve">Техника </v>
      </c>
      <c r="D735" s="35" t="s">
        <v>33</v>
      </c>
      <c r="E735" s="58"/>
      <c r="F735" s="58"/>
      <c r="G735" s="48">
        <v>1</v>
      </c>
      <c r="H735" s="48"/>
      <c r="I735" s="49"/>
      <c r="J735" s="49"/>
      <c r="K735" s="19"/>
      <c r="L735" s="20"/>
    </row>
    <row r="736" spans="1:12" outlineLevel="2">
      <c r="A736" s="21"/>
      <c r="B736" s="12" t="str">
        <f>IFERROR(VLOOKUP(D736,'[1]Перечень товаров'!$A$2:$I9525,2,0),"")</f>
        <v>т7</v>
      </c>
      <c r="C736" s="12" t="str">
        <f>IFERROR(VLOOKUP(D736,'[1]Перечень товаров'!$A$2:$I9525,3,0),"")</f>
        <v xml:space="preserve">Техника </v>
      </c>
      <c r="D736" s="22" t="s">
        <v>34</v>
      </c>
      <c r="E736" s="58"/>
      <c r="F736" s="58"/>
      <c r="G736" s="48">
        <v>3</v>
      </c>
      <c r="H736" s="48"/>
      <c r="I736" s="49"/>
      <c r="J736" s="49"/>
      <c r="K736" s="19"/>
      <c r="L736" s="20"/>
    </row>
    <row r="737" spans="1:12" outlineLevel="2">
      <c r="A737" s="28"/>
      <c r="B737" s="12" t="str">
        <f>IFERROR(VLOOKUP(D737,'[1]Перечень товаров'!$A$2:$I9525,2,0),"")</f>
        <v>т161</v>
      </c>
      <c r="C737" s="12" t="str">
        <f>IFERROR(VLOOKUP(D737,'[1]Перечень товаров'!$A$2:$I9525,3,0),"")</f>
        <v xml:space="preserve">Техника </v>
      </c>
      <c r="D737" s="29" t="s">
        <v>381</v>
      </c>
      <c r="E737" s="30"/>
      <c r="F737" s="30"/>
      <c r="G737" s="59">
        <v>1</v>
      </c>
      <c r="H737" s="59"/>
      <c r="I737" s="60"/>
      <c r="J737" s="60"/>
      <c r="K737" s="19"/>
      <c r="L737" s="20"/>
    </row>
    <row r="738" spans="1:12" ht="47.25" outlineLevel="2">
      <c r="A738" s="21"/>
      <c r="B738" s="12" t="str">
        <f>IFERROR(VLOOKUP(D738,'[1]Перечень товаров'!$A$2:$I9525,2,0),"")</f>
        <v>м61</v>
      </c>
      <c r="C738" s="12" t="str">
        <f>IFERROR(VLOOKUP(D738,'[1]Перечень товаров'!$A$2:$I9525,3,0),"")</f>
        <v>Мебель</v>
      </c>
      <c r="D738" s="22" t="s">
        <v>382</v>
      </c>
      <c r="E738" s="30"/>
      <c r="F738" s="30"/>
      <c r="G738" s="59">
        <v>1</v>
      </c>
      <c r="H738" s="59"/>
      <c r="I738" s="60"/>
      <c r="J738" s="60"/>
      <c r="K738" s="19"/>
      <c r="L738" s="20"/>
    </row>
    <row r="739" spans="1:12" outlineLevel="2">
      <c r="A739" s="113"/>
      <c r="B739" s="12" t="str">
        <f>IFERROR(VLOOKUP(D739,'[1]Перечень товаров'!$A$2:$I9525,2,0),"")</f>
        <v/>
      </c>
      <c r="C739" s="12" t="str">
        <f>IFERROR(VLOOKUP(D739,'[1]Перечень товаров'!$A$2:$I9525,3,0),"")</f>
        <v/>
      </c>
      <c r="D739" s="114" t="s">
        <v>19</v>
      </c>
      <c r="E739" s="115"/>
      <c r="F739" s="115"/>
      <c r="G739" s="59"/>
      <c r="H739" s="59"/>
      <c r="I739" s="60"/>
      <c r="J739" s="60"/>
      <c r="K739" s="19"/>
      <c r="L739" s="20"/>
    </row>
    <row r="740" spans="1:12" ht="31.5" outlineLevel="2">
      <c r="A740" s="34"/>
      <c r="B740" s="12" t="str">
        <f>IFERROR(VLOOKUP(D740,'[1]Перечень товаров'!$A$2:$I9525,2,0),"")</f>
        <v>м205</v>
      </c>
      <c r="C740" s="12" t="str">
        <f>IFERROR(VLOOKUP(D740,'[1]Перечень товаров'!$A$2:$I9525,3,0),"")</f>
        <v>Мебель</v>
      </c>
      <c r="D740" s="35" t="s">
        <v>20</v>
      </c>
      <c r="E740" s="88"/>
      <c r="F740" s="88"/>
      <c r="G740" s="59">
        <v>1</v>
      </c>
      <c r="H740" s="59"/>
      <c r="I740" s="60"/>
      <c r="J740" s="60"/>
      <c r="K740" s="19"/>
      <c r="L740" s="20"/>
    </row>
    <row r="741" spans="1:12" outlineLevel="2">
      <c r="A741" s="34"/>
      <c r="B741" s="12" t="str">
        <f>IFERROR(VLOOKUP(D741,'[1]Перечень товаров'!$A$2:$I9525,2,0),"")</f>
        <v>м61</v>
      </c>
      <c r="C741" s="12" t="str">
        <f>IFERROR(VLOOKUP(D741,'[1]Перечень товаров'!$A$2:$I9525,3,0),"")</f>
        <v>Мебель</v>
      </c>
      <c r="D741" s="35" t="s">
        <v>383</v>
      </c>
      <c r="E741" s="88"/>
      <c r="F741" s="88"/>
      <c r="G741" s="59">
        <v>1</v>
      </c>
      <c r="H741" s="59"/>
      <c r="I741" s="60"/>
      <c r="J741" s="60"/>
      <c r="K741" s="19"/>
      <c r="L741" s="20"/>
    </row>
    <row r="742" spans="1:12" outlineLevel="2">
      <c r="A742" s="34"/>
      <c r="B742" s="12" t="str">
        <f>IFERROR(VLOOKUP(D742,'[1]Перечень товаров'!$A$2:$I9525,2,0),"")</f>
        <v>м61</v>
      </c>
      <c r="C742" s="12" t="str">
        <f>IFERROR(VLOOKUP(D742,'[1]Перечень товаров'!$A$2:$I9525,3,0),"")</f>
        <v>Мебель</v>
      </c>
      <c r="D742" s="35" t="s">
        <v>384</v>
      </c>
      <c r="E742" s="88"/>
      <c r="F742" s="88"/>
      <c r="G742" s="59">
        <v>4</v>
      </c>
      <c r="H742" s="59"/>
      <c r="I742" s="60"/>
      <c r="J742" s="60"/>
      <c r="K742" s="19"/>
      <c r="L742" s="20"/>
    </row>
    <row r="743" spans="1:12" ht="31.5" outlineLevel="2">
      <c r="A743" s="34"/>
      <c r="B743" s="12" t="str">
        <f>IFERROR(VLOOKUP(D743,'[1]Перечень товаров'!$A$2:$I9525,2,0),"")</f>
        <v>м62</v>
      </c>
      <c r="C743" s="12" t="str">
        <f>IFERROR(VLOOKUP(D743,'[1]Перечень товаров'!$A$2:$I9525,3,0),"")</f>
        <v>Мебель</v>
      </c>
      <c r="D743" s="35" t="s">
        <v>385</v>
      </c>
      <c r="E743" s="88"/>
      <c r="F743" s="88"/>
      <c r="G743" s="59">
        <v>2</v>
      </c>
      <c r="H743" s="59"/>
      <c r="I743" s="60"/>
      <c r="J743" s="60"/>
      <c r="K743" s="19"/>
      <c r="L743" s="20"/>
    </row>
    <row r="744" spans="1:12" outlineLevel="2">
      <c r="A744" s="21"/>
      <c r="B744" s="12" t="str">
        <f>IFERROR(VLOOKUP(D744,'[1]Перечень товаров'!$A$2:$I9525,2,0),"")</f>
        <v>м13</v>
      </c>
      <c r="C744" s="12" t="str">
        <f>IFERROR(VLOOKUP(D744,'[1]Перечень товаров'!$A$2:$I9525,3,0),"")</f>
        <v>Мебель</v>
      </c>
      <c r="D744" s="22" t="s">
        <v>42</v>
      </c>
      <c r="E744" s="58"/>
      <c r="F744" s="58"/>
      <c r="G744" s="24">
        <v>1</v>
      </c>
      <c r="H744" s="24"/>
      <c r="I744" s="25"/>
      <c r="J744" s="25"/>
      <c r="K744" s="19"/>
      <c r="L744" s="20"/>
    </row>
    <row r="745" spans="1:12" outlineLevel="2">
      <c r="A745" s="21"/>
      <c r="B745" s="12" t="str">
        <f>IFERROR(VLOOKUP(D745,'[1]Перечень товаров'!$A$2:$I9525,2,0),"")</f>
        <v>м14</v>
      </c>
      <c r="C745" s="12" t="str">
        <f>IFERROR(VLOOKUP(D745,'[1]Перечень товаров'!$A$2:$I9525,3,0),"")</f>
        <v>Мебель</v>
      </c>
      <c r="D745" s="22" t="s">
        <v>43</v>
      </c>
      <c r="E745" s="58"/>
      <c r="F745" s="58"/>
      <c r="G745" s="24">
        <v>1</v>
      </c>
      <c r="H745" s="24"/>
      <c r="I745" s="25"/>
      <c r="J745" s="25"/>
      <c r="K745" s="19"/>
      <c r="L745" s="20"/>
    </row>
    <row r="746" spans="1:12" ht="31.5" outlineLevel="2">
      <c r="A746" s="21"/>
      <c r="B746" s="12" t="str">
        <f>IFERROR(VLOOKUP(D746,'[1]Перечень товаров'!$A$2:$I9525,2,0),"")</f>
        <v>м63</v>
      </c>
      <c r="C746" s="12" t="str">
        <f>IFERROR(VLOOKUP(D746,'[1]Перечень товаров'!$A$2:$I9525,3,0),"")</f>
        <v>Мебель</v>
      </c>
      <c r="D746" s="22" t="s">
        <v>386</v>
      </c>
      <c r="E746" s="58"/>
      <c r="F746" s="58"/>
      <c r="G746" s="24">
        <v>2</v>
      </c>
      <c r="H746" s="24"/>
      <c r="I746" s="25"/>
      <c r="J746" s="25"/>
      <c r="K746" s="19"/>
      <c r="L746" s="20"/>
    </row>
    <row r="747" spans="1:12" ht="31.5" outlineLevel="2">
      <c r="A747" s="21"/>
      <c r="B747" s="12" t="str">
        <f>IFERROR(VLOOKUP(D747,'[1]Перечень товаров'!$A$2:$I9525,2,0),"")</f>
        <v>м64</v>
      </c>
      <c r="C747" s="12" t="str">
        <f>IFERROR(VLOOKUP(D747,'[1]Перечень товаров'!$A$2:$I9525,3,0),"")</f>
        <v>Мебель</v>
      </c>
      <c r="D747" s="22" t="s">
        <v>387</v>
      </c>
      <c r="E747" s="58"/>
      <c r="F747" s="58"/>
      <c r="G747" s="24">
        <v>2</v>
      </c>
      <c r="H747" s="24"/>
      <c r="I747" s="25"/>
      <c r="J747" s="25"/>
      <c r="K747" s="19"/>
      <c r="L747" s="20"/>
    </row>
    <row r="748" spans="1:12" outlineLevel="2">
      <c r="A748" s="21"/>
      <c r="B748" s="12" t="str">
        <f>IFERROR(VLOOKUP(D748,'[1]Перечень товаров'!$A$2:$I9525,2,0),"")</f>
        <v>п33</v>
      </c>
      <c r="C748" s="12" t="str">
        <f>IFERROR(VLOOKUP(D748,'[1]Перечень товаров'!$A$2:$I9525,3,0),"")</f>
        <v>Прочее</v>
      </c>
      <c r="D748" s="22" t="s">
        <v>388</v>
      </c>
      <c r="E748" s="58"/>
      <c r="F748" s="58"/>
      <c r="G748" s="24">
        <v>1</v>
      </c>
      <c r="H748" s="24"/>
      <c r="I748" s="25"/>
      <c r="J748" s="25"/>
      <c r="K748" s="19"/>
      <c r="L748" s="20"/>
    </row>
    <row r="749" spans="1:12" outlineLevel="2">
      <c r="A749" s="21"/>
      <c r="B749" s="12" t="str">
        <f>IFERROR(VLOOKUP(D749,'[1]Перечень товаров'!$A$2:$I9525,2,0),"")</f>
        <v>м65</v>
      </c>
      <c r="C749" s="12" t="str">
        <f>IFERROR(VLOOKUP(D749,'[1]Перечень товаров'!$A$2:$I9525,3,0),"")</f>
        <v>Мебель</v>
      </c>
      <c r="D749" s="22" t="s">
        <v>389</v>
      </c>
      <c r="E749" s="58"/>
      <c r="F749" s="58"/>
      <c r="G749" s="24">
        <v>1</v>
      </c>
      <c r="H749" s="24"/>
      <c r="I749" s="25"/>
      <c r="J749" s="25"/>
      <c r="K749" s="19"/>
      <c r="L749" s="20"/>
    </row>
    <row r="750" spans="1:12" outlineLevel="2">
      <c r="A750" s="21"/>
      <c r="B750" s="12" t="str">
        <f>IFERROR(VLOOKUP(D750,'[1]Перечень товаров'!$A$2:$I9525,2,0),"")</f>
        <v>п34</v>
      </c>
      <c r="C750" s="12" t="str">
        <f>IFERROR(VLOOKUP(D750,'[1]Перечень товаров'!$A$2:$I9525,3,0),"")</f>
        <v>Прочее</v>
      </c>
      <c r="D750" s="22" t="s">
        <v>390</v>
      </c>
      <c r="E750" s="58"/>
      <c r="F750" s="58"/>
      <c r="G750" s="24">
        <v>1</v>
      </c>
      <c r="H750" s="24"/>
      <c r="I750" s="25"/>
      <c r="J750" s="25"/>
      <c r="K750" s="19"/>
      <c r="L750" s="20"/>
    </row>
    <row r="751" spans="1:12" ht="15" outlineLevel="2">
      <c r="A751" s="116"/>
      <c r="B751" s="12" t="str">
        <f>IFERROR(VLOOKUP(D751,'[1]Перечень товаров'!$A$2:$I9525,2,0),"")</f>
        <v/>
      </c>
      <c r="C751" s="12" t="str">
        <f>IFERROR(VLOOKUP(D751,'[1]Перечень товаров'!$A$2:$I9525,3,0),"")</f>
        <v/>
      </c>
      <c r="D751" s="117" t="s">
        <v>391</v>
      </c>
      <c r="E751" s="118"/>
      <c r="F751" s="118"/>
      <c r="G751" s="119"/>
      <c r="H751" s="119"/>
      <c r="I751" s="120"/>
      <c r="J751" s="120"/>
      <c r="K751" s="19"/>
      <c r="L751" s="20"/>
    </row>
    <row r="752" spans="1:12" ht="31.5" outlineLevel="2">
      <c r="A752" s="28"/>
      <c r="B752" s="12" t="str">
        <f>IFERROR(VLOOKUP(D752,'[1]Перечень товаров'!$A$2:$I9525,2,0),"")</f>
        <v>тм66</v>
      </c>
      <c r="C752" s="12" t="str">
        <f>IFERROR(VLOOKUP(D752,'[1]Перечень товаров'!$A$2:$I9525,3,0),"")</f>
        <v>Техника муз</v>
      </c>
      <c r="D752" s="29" t="s">
        <v>392</v>
      </c>
      <c r="E752" s="30"/>
      <c r="F752" s="30"/>
      <c r="G752" s="31">
        <v>2</v>
      </c>
      <c r="H752" s="31"/>
      <c r="I752" s="32"/>
      <c r="J752" s="32"/>
      <c r="K752" s="19"/>
      <c r="L752" s="20"/>
    </row>
    <row r="753" spans="1:12" ht="63" outlineLevel="2">
      <c r="A753" s="28"/>
      <c r="B753" s="12" t="str">
        <f>IFERROR(VLOOKUP(D753,'[1]Перечень товаров'!$A$2:$I9525,2,0),"")</f>
        <v>тм67</v>
      </c>
      <c r="C753" s="12" t="str">
        <f>IFERROR(VLOOKUP(D753,'[1]Перечень товаров'!$A$2:$I9525,3,0),"")</f>
        <v>Техника муз</v>
      </c>
      <c r="D753" s="29" t="s">
        <v>393</v>
      </c>
      <c r="E753" s="30"/>
      <c r="F753" s="30"/>
      <c r="G753" s="31">
        <v>1</v>
      </c>
      <c r="H753" s="31"/>
      <c r="I753" s="32"/>
      <c r="J753" s="32"/>
      <c r="K753" s="19"/>
      <c r="L753" s="20"/>
    </row>
    <row r="754" spans="1:12" ht="31.5" outlineLevel="2">
      <c r="A754" s="28"/>
      <c r="B754" s="12" t="str">
        <f>IFERROR(VLOOKUP(D754,'[1]Перечень товаров'!$A$2:$I9525,2,0),"")</f>
        <v>тм68</v>
      </c>
      <c r="C754" s="12" t="str">
        <f>IFERROR(VLOOKUP(D754,'[1]Перечень товаров'!$A$2:$I9525,3,0),"")</f>
        <v>Техника муз</v>
      </c>
      <c r="D754" s="29" t="s">
        <v>394</v>
      </c>
      <c r="E754" s="30"/>
      <c r="F754" s="30"/>
      <c r="G754" s="31">
        <v>1</v>
      </c>
      <c r="H754" s="31"/>
      <c r="I754" s="32"/>
      <c r="J754" s="32"/>
      <c r="K754" s="19"/>
      <c r="L754" s="20"/>
    </row>
    <row r="755" spans="1:12" ht="31.5" outlineLevel="2">
      <c r="A755" s="28"/>
      <c r="B755" s="12" t="str">
        <f>IFERROR(VLOOKUP(D755,'[1]Перечень товаров'!$A$2:$I9525,2,0),"")</f>
        <v>тм69</v>
      </c>
      <c r="C755" s="12" t="str">
        <f>IFERROR(VLOOKUP(D755,'[1]Перечень товаров'!$A$2:$I9525,3,0),"")</f>
        <v>Техника муз</v>
      </c>
      <c r="D755" s="29" t="s">
        <v>395</v>
      </c>
      <c r="E755" s="30"/>
      <c r="F755" s="30"/>
      <c r="G755" s="31">
        <v>1</v>
      </c>
      <c r="H755" s="31"/>
      <c r="I755" s="32"/>
      <c r="J755" s="32"/>
      <c r="K755" s="19"/>
      <c r="L755" s="20"/>
    </row>
    <row r="756" spans="1:12" ht="12.75" outlineLevel="1">
      <c r="A756" s="89"/>
      <c r="B756" s="12" t="str">
        <f>IFERROR(VLOOKUP(D756,'[1]Перечень товаров'!$A$2:$I9525,2,0),"")</f>
        <v/>
      </c>
      <c r="C756" s="12" t="str">
        <f>IFERROR(VLOOKUP(D756,'[1]Перечень товаров'!$A$2:$I9525,3,0),"")</f>
        <v/>
      </c>
      <c r="D756" s="90" t="s">
        <v>379</v>
      </c>
      <c r="E756" s="91" t="s">
        <v>396</v>
      </c>
      <c r="F756" s="91"/>
      <c r="G756" s="17"/>
      <c r="H756" s="17"/>
      <c r="I756" s="57"/>
      <c r="J756" s="57"/>
      <c r="K756" s="19"/>
      <c r="L756" s="20"/>
    </row>
    <row r="757" spans="1:12" ht="15" outlineLevel="2">
      <c r="A757" s="109"/>
      <c r="B757" s="12" t="str">
        <f>IFERROR(VLOOKUP(D757,'[1]Перечень товаров'!$A$2:$I9525,2,0),"")</f>
        <v/>
      </c>
      <c r="C757" s="12" t="str">
        <f>IFERROR(VLOOKUP(D757,'[1]Перечень товаров'!$A$2:$I9525,3,0),"")</f>
        <v/>
      </c>
      <c r="D757" s="110" t="s">
        <v>27</v>
      </c>
      <c r="E757" s="45"/>
      <c r="F757" s="45"/>
      <c r="G757" s="111"/>
      <c r="H757" s="111"/>
      <c r="I757" s="112"/>
      <c r="J757" s="112"/>
      <c r="K757" s="19"/>
      <c r="L757" s="20"/>
    </row>
    <row r="758" spans="1:12" outlineLevel="2">
      <c r="A758" s="21"/>
      <c r="B758" s="12" t="str">
        <f>IFERROR(VLOOKUP(D758,'[1]Перечень товаров'!$A$2:$I9525,2,0),"")</f>
        <v>т1</v>
      </c>
      <c r="C758" s="12" t="str">
        <f>IFERROR(VLOOKUP(D758,'[1]Перечень товаров'!$A$2:$I9525,3,0),"")</f>
        <v xml:space="preserve">Техника </v>
      </c>
      <c r="D758" s="22" t="s">
        <v>28</v>
      </c>
      <c r="E758" s="58"/>
      <c r="F758" s="58"/>
      <c r="G758" s="48">
        <v>1</v>
      </c>
      <c r="H758" s="48"/>
      <c r="I758" s="49"/>
      <c r="J758" s="49"/>
      <c r="K758" s="19"/>
      <c r="L758" s="20"/>
    </row>
    <row r="759" spans="1:12" outlineLevel="2">
      <c r="A759" s="35"/>
      <c r="B759" s="12" t="str">
        <f>IFERROR(VLOOKUP(D759,'[1]Перечень товаров'!$A$2:$I9525,2,0),"")</f>
        <v>т2</v>
      </c>
      <c r="C759" s="12" t="str">
        <f>IFERROR(VLOOKUP(D759,'[1]Перечень товаров'!$A$2:$I9525,3,0),"")</f>
        <v xml:space="preserve">Техника </v>
      </c>
      <c r="D759" s="35" t="s">
        <v>29</v>
      </c>
      <c r="E759" s="58"/>
      <c r="F759" s="58"/>
      <c r="G759" s="48">
        <v>1</v>
      </c>
      <c r="H759" s="48"/>
      <c r="I759" s="49"/>
      <c r="J759" s="49"/>
      <c r="K759" s="19"/>
      <c r="L759" s="20"/>
    </row>
    <row r="760" spans="1:12" outlineLevel="2">
      <c r="A760" s="35"/>
      <c r="B760" s="12" t="str">
        <f>IFERROR(VLOOKUP(D760,'[1]Перечень товаров'!$A$2:$I9525,2,0),"")</f>
        <v>т3</v>
      </c>
      <c r="C760" s="12" t="str">
        <f>IFERROR(VLOOKUP(D760,'[1]Перечень товаров'!$A$2:$I9525,3,0),"")</f>
        <v xml:space="preserve">Техника </v>
      </c>
      <c r="D760" s="35" t="s">
        <v>30</v>
      </c>
      <c r="E760" s="58"/>
      <c r="F760" s="58"/>
      <c r="G760" s="48">
        <v>1</v>
      </c>
      <c r="H760" s="48"/>
      <c r="I760" s="49"/>
      <c r="J760" s="49"/>
      <c r="K760" s="19"/>
      <c r="L760" s="20"/>
    </row>
    <row r="761" spans="1:12" outlineLevel="2">
      <c r="A761" s="35"/>
      <c r="B761" s="12" t="str">
        <f>IFERROR(VLOOKUP(D761,'[1]Перечень товаров'!$A$2:$I9525,2,0),"")</f>
        <v>т4</v>
      </c>
      <c r="C761" s="12" t="str">
        <f>IFERROR(VLOOKUP(D761,'[1]Перечень товаров'!$A$2:$I9525,3,0),"")</f>
        <v xml:space="preserve">Техника </v>
      </c>
      <c r="D761" s="35" t="s">
        <v>31</v>
      </c>
      <c r="E761" s="58"/>
      <c r="F761" s="58"/>
      <c r="G761" s="48">
        <v>1</v>
      </c>
      <c r="H761" s="48"/>
      <c r="I761" s="49"/>
      <c r="J761" s="49"/>
      <c r="K761" s="19"/>
      <c r="L761" s="20"/>
    </row>
    <row r="762" spans="1:12" outlineLevel="2">
      <c r="A762" s="21"/>
      <c r="B762" s="12" t="str">
        <f>IFERROR(VLOOKUP(D762,'[1]Перечень товаров'!$A$2:$I9525,2,0),"")</f>
        <v>тм65</v>
      </c>
      <c r="C762" s="12" t="str">
        <f>IFERROR(VLOOKUP(D762,'[1]Перечень товаров'!$A$2:$I9525,3,0),"")</f>
        <v>Техника муз</v>
      </c>
      <c r="D762" s="22" t="s">
        <v>380</v>
      </c>
      <c r="E762" s="58"/>
      <c r="F762" s="58"/>
      <c r="G762" s="48">
        <v>1</v>
      </c>
      <c r="H762" s="48"/>
      <c r="I762" s="49"/>
      <c r="J762" s="49"/>
      <c r="K762" s="19"/>
      <c r="L762" s="20"/>
    </row>
    <row r="763" spans="1:12" outlineLevel="2">
      <c r="A763" s="21"/>
      <c r="B763" s="12" t="str">
        <f>IFERROR(VLOOKUP(D763,'[1]Перечень товаров'!$A$2:$I9525,2,0),"")</f>
        <v>т12</v>
      </c>
      <c r="C763" s="12" t="str">
        <f>IFERROR(VLOOKUP(D763,'[1]Перечень товаров'!$A$2:$I9525,3,0),"")</f>
        <v>Техника</v>
      </c>
      <c r="D763" s="22" t="s">
        <v>49</v>
      </c>
      <c r="E763" s="58"/>
      <c r="F763" s="58"/>
      <c r="G763" s="48">
        <v>1</v>
      </c>
      <c r="H763" s="48"/>
      <c r="I763" s="49"/>
      <c r="J763" s="49"/>
      <c r="K763" s="19"/>
      <c r="L763" s="20"/>
    </row>
    <row r="764" spans="1:12" outlineLevel="2">
      <c r="A764" s="35"/>
      <c r="B764" s="12" t="str">
        <f>IFERROR(VLOOKUP(D764,'[1]Перечень товаров'!$A$2:$I9525,2,0),"")</f>
        <v>т6</v>
      </c>
      <c r="C764" s="12" t="str">
        <f>IFERROR(VLOOKUP(D764,'[1]Перечень товаров'!$A$2:$I9525,3,0),"")</f>
        <v xml:space="preserve">Техника </v>
      </c>
      <c r="D764" s="35" t="s">
        <v>33</v>
      </c>
      <c r="E764" s="58"/>
      <c r="F764" s="58"/>
      <c r="G764" s="48">
        <v>1</v>
      </c>
      <c r="H764" s="48"/>
      <c r="I764" s="49"/>
      <c r="J764" s="49"/>
      <c r="K764" s="19"/>
      <c r="L764" s="20"/>
    </row>
    <row r="765" spans="1:12" outlineLevel="2">
      <c r="A765" s="21"/>
      <c r="B765" s="12" t="str">
        <f>IFERROR(VLOOKUP(D765,'[1]Перечень товаров'!$A$2:$I9525,2,0),"")</f>
        <v>т7</v>
      </c>
      <c r="C765" s="12" t="str">
        <f>IFERROR(VLOOKUP(D765,'[1]Перечень товаров'!$A$2:$I9525,3,0),"")</f>
        <v xml:space="preserve">Техника </v>
      </c>
      <c r="D765" s="22" t="s">
        <v>34</v>
      </c>
      <c r="E765" s="58"/>
      <c r="F765" s="58"/>
      <c r="G765" s="48">
        <v>3</v>
      </c>
      <c r="H765" s="48"/>
      <c r="I765" s="49"/>
      <c r="J765" s="49"/>
      <c r="K765" s="19"/>
      <c r="L765" s="20"/>
    </row>
    <row r="766" spans="1:12" outlineLevel="2">
      <c r="A766" s="28"/>
      <c r="B766" s="12" t="str">
        <f>IFERROR(VLOOKUP(D766,'[1]Перечень товаров'!$A$2:$I9525,2,0),"")</f>
        <v>т161</v>
      </c>
      <c r="C766" s="12" t="str">
        <f>IFERROR(VLOOKUP(D766,'[1]Перечень товаров'!$A$2:$I9525,3,0),"")</f>
        <v xml:space="preserve">Техника </v>
      </c>
      <c r="D766" s="29" t="s">
        <v>381</v>
      </c>
      <c r="E766" s="30"/>
      <c r="F766" s="30"/>
      <c r="G766" s="59">
        <v>1</v>
      </c>
      <c r="H766" s="59"/>
      <c r="I766" s="60"/>
      <c r="J766" s="60"/>
      <c r="K766" s="19"/>
      <c r="L766" s="20"/>
    </row>
    <row r="767" spans="1:12" ht="47.25" outlineLevel="2">
      <c r="A767" s="21"/>
      <c r="B767" s="12" t="str">
        <f>IFERROR(VLOOKUP(D767,'[1]Перечень товаров'!$A$2:$I9525,2,0),"")</f>
        <v>м61</v>
      </c>
      <c r="C767" s="12" t="str">
        <f>IFERROR(VLOOKUP(D767,'[1]Перечень товаров'!$A$2:$I9525,3,0),"")</f>
        <v>Мебель</v>
      </c>
      <c r="D767" s="22" t="s">
        <v>382</v>
      </c>
      <c r="E767" s="30"/>
      <c r="F767" s="30"/>
      <c r="G767" s="59">
        <v>1</v>
      </c>
      <c r="H767" s="59"/>
      <c r="I767" s="60"/>
      <c r="J767" s="60"/>
      <c r="K767" s="19"/>
      <c r="L767" s="20"/>
    </row>
    <row r="768" spans="1:12" outlineLevel="2">
      <c r="A768" s="113"/>
      <c r="B768" s="12" t="str">
        <f>IFERROR(VLOOKUP(D768,'[1]Перечень товаров'!$A$2:$I9525,2,0),"")</f>
        <v/>
      </c>
      <c r="C768" s="12" t="str">
        <f>IFERROR(VLOOKUP(D768,'[1]Перечень товаров'!$A$2:$I9525,3,0),"")</f>
        <v/>
      </c>
      <c r="D768" s="114" t="s">
        <v>19</v>
      </c>
      <c r="E768" s="115"/>
      <c r="F768" s="115"/>
      <c r="G768" s="59"/>
      <c r="H768" s="59"/>
      <c r="I768" s="60"/>
      <c r="J768" s="60"/>
      <c r="K768" s="19"/>
      <c r="L768" s="20"/>
    </row>
    <row r="769" spans="1:12" ht="31.5" outlineLevel="2">
      <c r="A769" s="34"/>
      <c r="B769" s="12" t="str">
        <f>IFERROR(VLOOKUP(D769,'[1]Перечень товаров'!$A$2:$I9525,2,0),"")</f>
        <v>м205</v>
      </c>
      <c r="C769" s="12" t="str">
        <f>IFERROR(VLOOKUP(D769,'[1]Перечень товаров'!$A$2:$I9525,3,0),"")</f>
        <v>Мебель</v>
      </c>
      <c r="D769" s="35" t="s">
        <v>20</v>
      </c>
      <c r="E769" s="88"/>
      <c r="F769" s="88"/>
      <c r="G769" s="59">
        <v>1</v>
      </c>
      <c r="H769" s="59"/>
      <c r="I769" s="60"/>
      <c r="J769" s="60"/>
      <c r="K769" s="19"/>
      <c r="L769" s="20"/>
    </row>
    <row r="770" spans="1:12" outlineLevel="2">
      <c r="A770" s="34"/>
      <c r="B770" s="12" t="str">
        <f>IFERROR(VLOOKUP(D770,'[1]Перечень товаров'!$A$2:$I9525,2,0),"")</f>
        <v>м61</v>
      </c>
      <c r="C770" s="12" t="str">
        <f>IFERROR(VLOOKUP(D770,'[1]Перечень товаров'!$A$2:$I9525,3,0),"")</f>
        <v>Мебель</v>
      </c>
      <c r="D770" s="35" t="s">
        <v>383</v>
      </c>
      <c r="E770" s="88"/>
      <c r="F770" s="88"/>
      <c r="G770" s="59">
        <v>1</v>
      </c>
      <c r="H770" s="59"/>
      <c r="I770" s="60"/>
      <c r="J770" s="60"/>
      <c r="K770" s="19"/>
      <c r="L770" s="20"/>
    </row>
    <row r="771" spans="1:12" outlineLevel="2">
      <c r="A771" s="34"/>
      <c r="B771" s="12" t="str">
        <f>IFERROR(VLOOKUP(D771,'[1]Перечень товаров'!$A$2:$I9525,2,0),"")</f>
        <v>м61</v>
      </c>
      <c r="C771" s="12" t="str">
        <f>IFERROR(VLOOKUP(D771,'[1]Перечень товаров'!$A$2:$I9525,3,0),"")</f>
        <v>Мебель</v>
      </c>
      <c r="D771" s="35" t="s">
        <v>384</v>
      </c>
      <c r="E771" s="88"/>
      <c r="F771" s="88"/>
      <c r="G771" s="59">
        <v>4</v>
      </c>
      <c r="H771" s="59"/>
      <c r="I771" s="60"/>
      <c r="J771" s="60"/>
      <c r="K771" s="19"/>
      <c r="L771" s="20"/>
    </row>
    <row r="772" spans="1:12" ht="31.5" outlineLevel="2">
      <c r="A772" s="34"/>
      <c r="B772" s="12" t="str">
        <f>IFERROR(VLOOKUP(D772,'[1]Перечень товаров'!$A$2:$I9525,2,0),"")</f>
        <v>м62</v>
      </c>
      <c r="C772" s="12" t="str">
        <f>IFERROR(VLOOKUP(D772,'[1]Перечень товаров'!$A$2:$I9525,3,0),"")</f>
        <v>Мебель</v>
      </c>
      <c r="D772" s="35" t="s">
        <v>385</v>
      </c>
      <c r="E772" s="88"/>
      <c r="F772" s="88"/>
      <c r="G772" s="59">
        <v>2</v>
      </c>
      <c r="H772" s="59"/>
      <c r="I772" s="60"/>
      <c r="J772" s="60"/>
      <c r="K772" s="19"/>
      <c r="L772" s="20"/>
    </row>
    <row r="773" spans="1:12" outlineLevel="2">
      <c r="A773" s="21"/>
      <c r="B773" s="12" t="str">
        <f>IFERROR(VLOOKUP(D773,'[1]Перечень товаров'!$A$2:$I9525,2,0),"")</f>
        <v>м13</v>
      </c>
      <c r="C773" s="12" t="str">
        <f>IFERROR(VLOOKUP(D773,'[1]Перечень товаров'!$A$2:$I9525,3,0),"")</f>
        <v>Мебель</v>
      </c>
      <c r="D773" s="22" t="s">
        <v>42</v>
      </c>
      <c r="E773" s="58"/>
      <c r="F773" s="58"/>
      <c r="G773" s="24">
        <v>1</v>
      </c>
      <c r="H773" s="24"/>
      <c r="I773" s="25"/>
      <c r="J773" s="25"/>
      <c r="K773" s="19"/>
      <c r="L773" s="20"/>
    </row>
    <row r="774" spans="1:12" outlineLevel="2">
      <c r="A774" s="21"/>
      <c r="B774" s="12" t="str">
        <f>IFERROR(VLOOKUP(D774,'[1]Перечень товаров'!$A$2:$I9525,2,0),"")</f>
        <v>м14</v>
      </c>
      <c r="C774" s="12" t="str">
        <f>IFERROR(VLOOKUP(D774,'[1]Перечень товаров'!$A$2:$I9525,3,0),"")</f>
        <v>Мебель</v>
      </c>
      <c r="D774" s="22" t="s">
        <v>43</v>
      </c>
      <c r="E774" s="58"/>
      <c r="F774" s="58"/>
      <c r="G774" s="24">
        <v>1</v>
      </c>
      <c r="H774" s="24"/>
      <c r="I774" s="25"/>
      <c r="J774" s="25"/>
      <c r="K774" s="19"/>
      <c r="L774" s="20"/>
    </row>
    <row r="775" spans="1:12" ht="31.5" outlineLevel="2">
      <c r="A775" s="21"/>
      <c r="B775" s="12" t="str">
        <f>IFERROR(VLOOKUP(D775,'[1]Перечень товаров'!$A$2:$I9525,2,0),"")</f>
        <v>м63</v>
      </c>
      <c r="C775" s="12" t="str">
        <f>IFERROR(VLOOKUP(D775,'[1]Перечень товаров'!$A$2:$I9525,3,0),"")</f>
        <v>Мебель</v>
      </c>
      <c r="D775" s="22" t="s">
        <v>386</v>
      </c>
      <c r="E775" s="58"/>
      <c r="F775" s="58"/>
      <c r="G775" s="24">
        <v>2</v>
      </c>
      <c r="H775" s="24"/>
      <c r="I775" s="25"/>
      <c r="J775" s="25"/>
      <c r="K775" s="19"/>
      <c r="L775" s="20"/>
    </row>
    <row r="776" spans="1:12" ht="31.5" outlineLevel="2">
      <c r="A776" s="21"/>
      <c r="B776" s="12" t="str">
        <f>IFERROR(VLOOKUP(D776,'[1]Перечень товаров'!$A$2:$I9525,2,0),"")</f>
        <v>м64</v>
      </c>
      <c r="C776" s="12" t="str">
        <f>IFERROR(VLOOKUP(D776,'[1]Перечень товаров'!$A$2:$I9525,3,0),"")</f>
        <v>Мебель</v>
      </c>
      <c r="D776" s="22" t="s">
        <v>387</v>
      </c>
      <c r="E776" s="58"/>
      <c r="F776" s="58"/>
      <c r="G776" s="24">
        <v>2</v>
      </c>
      <c r="H776" s="24"/>
      <c r="I776" s="25"/>
      <c r="J776" s="25"/>
      <c r="K776" s="19"/>
      <c r="L776" s="20"/>
    </row>
    <row r="777" spans="1:12" outlineLevel="2">
      <c r="A777" s="21"/>
      <c r="B777" s="12" t="str">
        <f>IFERROR(VLOOKUP(D777,'[1]Перечень товаров'!$A$2:$I9525,2,0),"")</f>
        <v>п33</v>
      </c>
      <c r="C777" s="12" t="str">
        <f>IFERROR(VLOOKUP(D777,'[1]Перечень товаров'!$A$2:$I9525,3,0),"")</f>
        <v>Прочее</v>
      </c>
      <c r="D777" s="22" t="s">
        <v>388</v>
      </c>
      <c r="E777" s="58"/>
      <c r="F777" s="58"/>
      <c r="G777" s="24">
        <v>1</v>
      </c>
      <c r="H777" s="24"/>
      <c r="I777" s="25"/>
      <c r="J777" s="25"/>
      <c r="K777" s="19"/>
      <c r="L777" s="20"/>
    </row>
    <row r="778" spans="1:12" outlineLevel="2">
      <c r="A778" s="21"/>
      <c r="B778" s="12" t="str">
        <f>IFERROR(VLOOKUP(D778,'[1]Перечень товаров'!$A$2:$I9525,2,0),"")</f>
        <v>м65</v>
      </c>
      <c r="C778" s="12" t="str">
        <f>IFERROR(VLOOKUP(D778,'[1]Перечень товаров'!$A$2:$I9525,3,0),"")</f>
        <v>Мебель</v>
      </c>
      <c r="D778" s="22" t="s">
        <v>389</v>
      </c>
      <c r="E778" s="58"/>
      <c r="F778" s="58"/>
      <c r="G778" s="24">
        <v>1</v>
      </c>
      <c r="H778" s="24"/>
      <c r="I778" s="25"/>
      <c r="J778" s="25"/>
      <c r="K778" s="19"/>
      <c r="L778" s="20"/>
    </row>
    <row r="779" spans="1:12" outlineLevel="2">
      <c r="A779" s="21"/>
      <c r="B779" s="12" t="str">
        <f>IFERROR(VLOOKUP(D779,'[1]Перечень товаров'!$A$2:$I9525,2,0),"")</f>
        <v>п34</v>
      </c>
      <c r="C779" s="12" t="str">
        <f>IFERROR(VLOOKUP(D779,'[1]Перечень товаров'!$A$2:$I9525,3,0),"")</f>
        <v>Прочее</v>
      </c>
      <c r="D779" s="22" t="s">
        <v>390</v>
      </c>
      <c r="E779" s="58"/>
      <c r="F779" s="58"/>
      <c r="G779" s="24">
        <v>1</v>
      </c>
      <c r="H779" s="24"/>
      <c r="I779" s="25"/>
      <c r="J779" s="25"/>
      <c r="K779" s="19"/>
      <c r="L779" s="20"/>
    </row>
    <row r="780" spans="1:12" ht="15" outlineLevel="2">
      <c r="A780" s="116"/>
      <c r="B780" s="12" t="str">
        <f>IFERROR(VLOOKUP(D780,'[1]Перечень товаров'!$A$2:$I9525,2,0),"")</f>
        <v/>
      </c>
      <c r="C780" s="12" t="str">
        <f>IFERROR(VLOOKUP(D780,'[1]Перечень товаров'!$A$2:$I9525,3,0),"")</f>
        <v/>
      </c>
      <c r="D780" s="117" t="s">
        <v>391</v>
      </c>
      <c r="E780" s="118"/>
      <c r="F780" s="118"/>
      <c r="G780" s="119"/>
      <c r="H780" s="119"/>
      <c r="I780" s="120"/>
      <c r="J780" s="120"/>
      <c r="K780" s="19"/>
      <c r="L780" s="20"/>
    </row>
    <row r="781" spans="1:12" ht="31.5" outlineLevel="2">
      <c r="A781" s="28"/>
      <c r="B781" s="12" t="str">
        <f>IFERROR(VLOOKUP(D781,'[1]Перечень товаров'!$A$2:$I9525,2,0),"")</f>
        <v>тм66</v>
      </c>
      <c r="C781" s="12" t="str">
        <f>IFERROR(VLOOKUP(D781,'[1]Перечень товаров'!$A$2:$I9525,3,0),"")</f>
        <v>Техника муз</v>
      </c>
      <c r="D781" s="29" t="s">
        <v>392</v>
      </c>
      <c r="E781" s="30"/>
      <c r="F781" s="30"/>
      <c r="G781" s="31">
        <v>2</v>
      </c>
      <c r="H781" s="31"/>
      <c r="I781" s="32"/>
      <c r="J781" s="32"/>
      <c r="K781" s="19"/>
      <c r="L781" s="20"/>
    </row>
    <row r="782" spans="1:12" ht="63" outlineLevel="2">
      <c r="A782" s="28"/>
      <c r="B782" s="12" t="str">
        <f>IFERROR(VLOOKUP(D782,'[1]Перечень товаров'!$A$2:$I9525,2,0),"")</f>
        <v>тм67</v>
      </c>
      <c r="C782" s="12" t="str">
        <f>IFERROR(VLOOKUP(D782,'[1]Перечень товаров'!$A$2:$I9525,3,0),"")</f>
        <v>Техника муз</v>
      </c>
      <c r="D782" s="29" t="s">
        <v>393</v>
      </c>
      <c r="E782" s="30"/>
      <c r="F782" s="30"/>
      <c r="G782" s="31">
        <v>1</v>
      </c>
      <c r="H782" s="31"/>
      <c r="I782" s="32"/>
      <c r="J782" s="32"/>
      <c r="K782" s="19"/>
      <c r="L782" s="20"/>
    </row>
    <row r="783" spans="1:12" ht="31.5" outlineLevel="2">
      <c r="A783" s="28"/>
      <c r="B783" s="12" t="str">
        <f>IFERROR(VLOOKUP(D783,'[1]Перечень товаров'!$A$2:$I9525,2,0),"")</f>
        <v>тм68</v>
      </c>
      <c r="C783" s="12" t="str">
        <f>IFERROR(VLOOKUP(D783,'[1]Перечень товаров'!$A$2:$I9525,3,0),"")</f>
        <v>Техника муз</v>
      </c>
      <c r="D783" s="29" t="s">
        <v>394</v>
      </c>
      <c r="E783" s="30"/>
      <c r="F783" s="30"/>
      <c r="G783" s="31">
        <v>1</v>
      </c>
      <c r="H783" s="31"/>
      <c r="I783" s="32"/>
      <c r="J783" s="32"/>
      <c r="K783" s="19"/>
      <c r="L783" s="20"/>
    </row>
    <row r="784" spans="1:12" ht="31.5" outlineLevel="2">
      <c r="A784" s="28"/>
      <c r="B784" s="12" t="str">
        <f>IFERROR(VLOOKUP(D784,'[1]Перечень товаров'!$A$2:$I9525,2,0),"")</f>
        <v>тм69</v>
      </c>
      <c r="C784" s="12" t="str">
        <f>IFERROR(VLOOKUP(D784,'[1]Перечень товаров'!$A$2:$I9525,3,0),"")</f>
        <v>Техника муз</v>
      </c>
      <c r="D784" s="29" t="s">
        <v>395</v>
      </c>
      <c r="E784" s="30"/>
      <c r="F784" s="30"/>
      <c r="G784" s="31">
        <v>1</v>
      </c>
      <c r="H784" s="31"/>
      <c r="I784" s="32"/>
      <c r="J784" s="32"/>
      <c r="K784" s="19"/>
      <c r="L784" s="20"/>
    </row>
    <row r="785" spans="1:12" ht="12.75" outlineLevel="1">
      <c r="A785" s="89"/>
      <c r="B785" s="12" t="str">
        <f>IFERROR(VLOOKUP(D785,'[1]Перечень товаров'!$A$2:$I9525,2,0),"")</f>
        <v/>
      </c>
      <c r="C785" s="12" t="str">
        <f>IFERROR(VLOOKUP(D785,'[1]Перечень товаров'!$A$2:$I9525,3,0),"")</f>
        <v/>
      </c>
      <c r="D785" s="90" t="s">
        <v>379</v>
      </c>
      <c r="E785" s="108">
        <v>46134</v>
      </c>
      <c r="F785" s="108"/>
      <c r="G785" s="100"/>
      <c r="H785" s="100"/>
      <c r="I785" s="101"/>
      <c r="J785" s="101"/>
      <c r="K785" s="19"/>
      <c r="L785" s="20"/>
    </row>
    <row r="786" spans="1:12" ht="15" outlineLevel="2">
      <c r="A786" s="109"/>
      <c r="B786" s="12" t="str">
        <f>IFERROR(VLOOKUP(D786,'[1]Перечень товаров'!$A$2:$I9525,2,0),"")</f>
        <v/>
      </c>
      <c r="C786" s="12" t="str">
        <f>IFERROR(VLOOKUP(D786,'[1]Перечень товаров'!$A$2:$I9525,3,0),"")</f>
        <v/>
      </c>
      <c r="D786" s="110" t="s">
        <v>27</v>
      </c>
      <c r="E786" s="45"/>
      <c r="F786" s="45"/>
      <c r="G786" s="111"/>
      <c r="H786" s="111"/>
      <c r="I786" s="112"/>
      <c r="J786" s="112"/>
      <c r="K786" s="19"/>
      <c r="L786" s="20"/>
    </row>
    <row r="787" spans="1:12" outlineLevel="2">
      <c r="A787" s="21"/>
      <c r="B787" s="12" t="str">
        <f>IFERROR(VLOOKUP(D787,'[1]Перечень товаров'!$A$2:$I9525,2,0),"")</f>
        <v>т1</v>
      </c>
      <c r="C787" s="12" t="str">
        <f>IFERROR(VLOOKUP(D787,'[1]Перечень товаров'!$A$2:$I9525,3,0),"")</f>
        <v xml:space="preserve">Техника </v>
      </c>
      <c r="D787" s="22" t="s">
        <v>28</v>
      </c>
      <c r="E787" s="58"/>
      <c r="F787" s="58"/>
      <c r="G787" s="48">
        <v>1</v>
      </c>
      <c r="H787" s="48"/>
      <c r="I787" s="49"/>
      <c r="J787" s="49"/>
      <c r="K787" s="19"/>
      <c r="L787" s="20"/>
    </row>
    <row r="788" spans="1:12" outlineLevel="2">
      <c r="A788" s="35"/>
      <c r="B788" s="12" t="str">
        <f>IFERROR(VLOOKUP(D788,'[1]Перечень товаров'!$A$2:$I9525,2,0),"")</f>
        <v>т2</v>
      </c>
      <c r="C788" s="12" t="str">
        <f>IFERROR(VLOOKUP(D788,'[1]Перечень товаров'!$A$2:$I9525,3,0),"")</f>
        <v xml:space="preserve">Техника </v>
      </c>
      <c r="D788" s="35" t="s">
        <v>29</v>
      </c>
      <c r="E788" s="58"/>
      <c r="F788" s="58"/>
      <c r="G788" s="48">
        <v>1</v>
      </c>
      <c r="H788" s="48"/>
      <c r="I788" s="49"/>
      <c r="J788" s="49"/>
      <c r="K788" s="19"/>
      <c r="L788" s="20"/>
    </row>
    <row r="789" spans="1:12" outlineLevel="2">
      <c r="A789" s="35"/>
      <c r="B789" s="12" t="str">
        <f>IFERROR(VLOOKUP(D789,'[1]Перечень товаров'!$A$2:$I9525,2,0),"")</f>
        <v>т3</v>
      </c>
      <c r="C789" s="12" t="str">
        <f>IFERROR(VLOOKUP(D789,'[1]Перечень товаров'!$A$2:$I9525,3,0),"")</f>
        <v xml:space="preserve">Техника </v>
      </c>
      <c r="D789" s="35" t="s">
        <v>30</v>
      </c>
      <c r="E789" s="58"/>
      <c r="F789" s="58"/>
      <c r="G789" s="48">
        <v>1</v>
      </c>
      <c r="H789" s="48"/>
      <c r="I789" s="49"/>
      <c r="J789" s="49"/>
      <c r="K789" s="19"/>
      <c r="L789" s="20"/>
    </row>
    <row r="790" spans="1:12" outlineLevel="2">
      <c r="A790" s="35"/>
      <c r="B790" s="12" t="str">
        <f>IFERROR(VLOOKUP(D790,'[1]Перечень товаров'!$A$2:$I9525,2,0),"")</f>
        <v>т4</v>
      </c>
      <c r="C790" s="12" t="str">
        <f>IFERROR(VLOOKUP(D790,'[1]Перечень товаров'!$A$2:$I9525,3,0),"")</f>
        <v xml:space="preserve">Техника </v>
      </c>
      <c r="D790" s="35" t="s">
        <v>31</v>
      </c>
      <c r="E790" s="58"/>
      <c r="F790" s="58"/>
      <c r="G790" s="48">
        <v>1</v>
      </c>
      <c r="H790" s="48"/>
      <c r="I790" s="49"/>
      <c r="J790" s="49"/>
      <c r="K790" s="19"/>
      <c r="L790" s="20"/>
    </row>
    <row r="791" spans="1:12" outlineLevel="2">
      <c r="A791" s="21"/>
      <c r="B791" s="12" t="str">
        <f>IFERROR(VLOOKUP(D791,'[1]Перечень товаров'!$A$2:$I9525,2,0),"")</f>
        <v>тм65</v>
      </c>
      <c r="C791" s="12" t="str">
        <f>IFERROR(VLOOKUP(D791,'[1]Перечень товаров'!$A$2:$I9525,3,0),"")</f>
        <v>Техника муз</v>
      </c>
      <c r="D791" s="22" t="s">
        <v>380</v>
      </c>
      <c r="E791" s="58"/>
      <c r="F791" s="58"/>
      <c r="G791" s="48">
        <v>1</v>
      </c>
      <c r="H791" s="48"/>
      <c r="I791" s="49"/>
      <c r="J791" s="49"/>
      <c r="K791" s="19"/>
      <c r="L791" s="20"/>
    </row>
    <row r="792" spans="1:12" outlineLevel="2">
      <c r="A792" s="21"/>
      <c r="B792" s="12" t="str">
        <f>IFERROR(VLOOKUP(D792,'[1]Перечень товаров'!$A$2:$I9525,2,0),"")</f>
        <v>т12</v>
      </c>
      <c r="C792" s="12" t="str">
        <f>IFERROR(VLOOKUP(D792,'[1]Перечень товаров'!$A$2:$I9525,3,0),"")</f>
        <v>Техника</v>
      </c>
      <c r="D792" s="22" t="s">
        <v>49</v>
      </c>
      <c r="E792" s="58"/>
      <c r="F792" s="58"/>
      <c r="G792" s="48">
        <v>1</v>
      </c>
      <c r="H792" s="48"/>
      <c r="I792" s="49"/>
      <c r="J792" s="49"/>
      <c r="K792" s="19"/>
      <c r="L792" s="20"/>
    </row>
    <row r="793" spans="1:12" outlineLevel="2">
      <c r="A793" s="35"/>
      <c r="B793" s="12" t="str">
        <f>IFERROR(VLOOKUP(D793,'[1]Перечень товаров'!$A$2:$I9525,2,0),"")</f>
        <v>т6</v>
      </c>
      <c r="C793" s="12" t="str">
        <f>IFERROR(VLOOKUP(D793,'[1]Перечень товаров'!$A$2:$I9525,3,0),"")</f>
        <v xml:space="preserve">Техника </v>
      </c>
      <c r="D793" s="35" t="s">
        <v>33</v>
      </c>
      <c r="E793" s="58"/>
      <c r="F793" s="58"/>
      <c r="G793" s="48">
        <v>1</v>
      </c>
      <c r="H793" s="48"/>
      <c r="I793" s="49"/>
      <c r="J793" s="49"/>
      <c r="K793" s="19"/>
      <c r="L793" s="20"/>
    </row>
    <row r="794" spans="1:12" outlineLevel="2">
      <c r="A794" s="21"/>
      <c r="B794" s="12" t="str">
        <f>IFERROR(VLOOKUP(D794,'[1]Перечень товаров'!$A$2:$I9525,2,0),"")</f>
        <v>т7</v>
      </c>
      <c r="C794" s="12" t="str">
        <f>IFERROR(VLOOKUP(D794,'[1]Перечень товаров'!$A$2:$I9525,3,0),"")</f>
        <v xml:space="preserve">Техника </v>
      </c>
      <c r="D794" s="22" t="s">
        <v>34</v>
      </c>
      <c r="E794" s="58"/>
      <c r="F794" s="58"/>
      <c r="G794" s="48">
        <v>3</v>
      </c>
      <c r="H794" s="48"/>
      <c r="I794" s="49"/>
      <c r="J794" s="49"/>
      <c r="K794" s="19"/>
      <c r="L794" s="20"/>
    </row>
    <row r="795" spans="1:12" outlineLevel="2">
      <c r="A795" s="28"/>
      <c r="B795" s="12" t="str">
        <f>IFERROR(VLOOKUP(D795,'[1]Перечень товаров'!$A$2:$I9525,2,0),"")</f>
        <v>т161</v>
      </c>
      <c r="C795" s="12" t="str">
        <f>IFERROR(VLOOKUP(D795,'[1]Перечень товаров'!$A$2:$I9525,3,0),"")</f>
        <v xml:space="preserve">Техника </v>
      </c>
      <c r="D795" s="29" t="s">
        <v>381</v>
      </c>
      <c r="E795" s="30"/>
      <c r="F795" s="30"/>
      <c r="G795" s="59">
        <v>1</v>
      </c>
      <c r="H795" s="59"/>
      <c r="I795" s="60"/>
      <c r="J795" s="60"/>
      <c r="K795" s="19"/>
      <c r="L795" s="20"/>
    </row>
    <row r="796" spans="1:12" ht="47.25" outlineLevel="2">
      <c r="A796" s="21"/>
      <c r="B796" s="12" t="str">
        <f>IFERROR(VLOOKUP(D796,'[1]Перечень товаров'!$A$2:$I9525,2,0),"")</f>
        <v>м61</v>
      </c>
      <c r="C796" s="12" t="str">
        <f>IFERROR(VLOOKUP(D796,'[1]Перечень товаров'!$A$2:$I9525,3,0),"")</f>
        <v>Мебель</v>
      </c>
      <c r="D796" s="22" t="s">
        <v>382</v>
      </c>
      <c r="E796" s="30"/>
      <c r="F796" s="30"/>
      <c r="G796" s="59">
        <v>1</v>
      </c>
      <c r="H796" s="59"/>
      <c r="I796" s="60"/>
      <c r="J796" s="60"/>
      <c r="K796" s="19"/>
      <c r="L796" s="20"/>
    </row>
    <row r="797" spans="1:12" outlineLevel="2">
      <c r="A797" s="113"/>
      <c r="B797" s="12" t="str">
        <f>IFERROR(VLOOKUP(D797,'[1]Перечень товаров'!$A$2:$I9525,2,0),"")</f>
        <v/>
      </c>
      <c r="C797" s="12" t="str">
        <f>IFERROR(VLOOKUP(D797,'[1]Перечень товаров'!$A$2:$I9525,3,0),"")</f>
        <v/>
      </c>
      <c r="D797" s="114" t="s">
        <v>19</v>
      </c>
      <c r="E797" s="115"/>
      <c r="F797" s="115"/>
      <c r="G797" s="59"/>
      <c r="H797" s="59"/>
      <c r="I797" s="60"/>
      <c r="J797" s="60"/>
      <c r="K797" s="19"/>
      <c r="L797" s="20"/>
    </row>
    <row r="798" spans="1:12" ht="31.5" outlineLevel="2">
      <c r="A798" s="34"/>
      <c r="B798" s="12" t="str">
        <f>IFERROR(VLOOKUP(D798,'[1]Перечень товаров'!$A$2:$I9525,2,0),"")</f>
        <v>м205</v>
      </c>
      <c r="C798" s="12" t="str">
        <f>IFERROR(VLOOKUP(D798,'[1]Перечень товаров'!$A$2:$I9525,3,0),"")</f>
        <v>Мебель</v>
      </c>
      <c r="D798" s="35" t="s">
        <v>20</v>
      </c>
      <c r="E798" s="88"/>
      <c r="F798" s="88"/>
      <c r="G798" s="59">
        <v>1</v>
      </c>
      <c r="H798" s="59"/>
      <c r="I798" s="60"/>
      <c r="J798" s="60"/>
      <c r="K798" s="19"/>
      <c r="L798" s="20"/>
    </row>
    <row r="799" spans="1:12" outlineLevel="2">
      <c r="A799" s="34"/>
      <c r="B799" s="12" t="str">
        <f>IFERROR(VLOOKUP(D799,'[1]Перечень товаров'!$A$2:$I9525,2,0),"")</f>
        <v>м61</v>
      </c>
      <c r="C799" s="12" t="str">
        <f>IFERROR(VLOOKUP(D799,'[1]Перечень товаров'!$A$2:$I9525,3,0),"")</f>
        <v>Мебель</v>
      </c>
      <c r="D799" s="35" t="s">
        <v>383</v>
      </c>
      <c r="E799" s="88"/>
      <c r="F799" s="88"/>
      <c r="G799" s="59">
        <v>1</v>
      </c>
      <c r="H799" s="59"/>
      <c r="I799" s="60"/>
      <c r="J799" s="60"/>
      <c r="K799" s="19"/>
      <c r="L799" s="20"/>
    </row>
    <row r="800" spans="1:12" outlineLevel="2">
      <c r="A800" s="34"/>
      <c r="B800" s="12" t="str">
        <f>IFERROR(VLOOKUP(D800,'[1]Перечень товаров'!$A$2:$I9525,2,0),"")</f>
        <v>м61</v>
      </c>
      <c r="C800" s="12" t="str">
        <f>IFERROR(VLOOKUP(D800,'[1]Перечень товаров'!$A$2:$I9525,3,0),"")</f>
        <v>Мебель</v>
      </c>
      <c r="D800" s="35" t="s">
        <v>384</v>
      </c>
      <c r="E800" s="88"/>
      <c r="F800" s="88"/>
      <c r="G800" s="59">
        <v>4</v>
      </c>
      <c r="H800" s="59"/>
      <c r="I800" s="60"/>
      <c r="J800" s="60"/>
      <c r="K800" s="19"/>
      <c r="L800" s="20"/>
    </row>
    <row r="801" spans="1:12" ht="31.5" outlineLevel="2">
      <c r="A801" s="34"/>
      <c r="B801" s="12" t="str">
        <f>IFERROR(VLOOKUP(D801,'[1]Перечень товаров'!$A$2:$I9525,2,0),"")</f>
        <v>м62</v>
      </c>
      <c r="C801" s="12" t="str">
        <f>IFERROR(VLOOKUP(D801,'[1]Перечень товаров'!$A$2:$I9525,3,0),"")</f>
        <v>Мебель</v>
      </c>
      <c r="D801" s="35" t="s">
        <v>385</v>
      </c>
      <c r="E801" s="88"/>
      <c r="F801" s="88"/>
      <c r="G801" s="59">
        <v>2</v>
      </c>
      <c r="H801" s="59"/>
      <c r="I801" s="60"/>
      <c r="J801" s="60"/>
      <c r="K801" s="19"/>
      <c r="L801" s="20"/>
    </row>
    <row r="802" spans="1:12" outlineLevel="2">
      <c r="A802" s="21"/>
      <c r="B802" s="12" t="str">
        <f>IFERROR(VLOOKUP(D802,'[1]Перечень товаров'!$A$2:$I9525,2,0),"")</f>
        <v>м13</v>
      </c>
      <c r="C802" s="12" t="str">
        <f>IFERROR(VLOOKUP(D802,'[1]Перечень товаров'!$A$2:$I9525,3,0),"")</f>
        <v>Мебель</v>
      </c>
      <c r="D802" s="22" t="s">
        <v>42</v>
      </c>
      <c r="E802" s="58"/>
      <c r="F802" s="58"/>
      <c r="G802" s="24">
        <v>1</v>
      </c>
      <c r="H802" s="24"/>
      <c r="I802" s="25"/>
      <c r="J802" s="25"/>
      <c r="K802" s="19"/>
      <c r="L802" s="20"/>
    </row>
    <row r="803" spans="1:12" outlineLevel="2">
      <c r="A803" s="21"/>
      <c r="B803" s="12" t="str">
        <f>IFERROR(VLOOKUP(D803,'[1]Перечень товаров'!$A$2:$I9525,2,0),"")</f>
        <v>м14</v>
      </c>
      <c r="C803" s="12" t="str">
        <f>IFERROR(VLOOKUP(D803,'[1]Перечень товаров'!$A$2:$I9525,3,0),"")</f>
        <v>Мебель</v>
      </c>
      <c r="D803" s="22" t="s">
        <v>43</v>
      </c>
      <c r="E803" s="58"/>
      <c r="F803" s="58"/>
      <c r="G803" s="24">
        <v>1</v>
      </c>
      <c r="H803" s="24"/>
      <c r="I803" s="25"/>
      <c r="J803" s="25"/>
      <c r="K803" s="19"/>
      <c r="L803" s="20"/>
    </row>
    <row r="804" spans="1:12" ht="31.5" outlineLevel="2">
      <c r="A804" s="21"/>
      <c r="B804" s="12" t="str">
        <f>IFERROR(VLOOKUP(D804,'[1]Перечень товаров'!$A$2:$I9525,2,0),"")</f>
        <v>м63</v>
      </c>
      <c r="C804" s="12" t="str">
        <f>IFERROR(VLOOKUP(D804,'[1]Перечень товаров'!$A$2:$I9525,3,0),"")</f>
        <v>Мебель</v>
      </c>
      <c r="D804" s="22" t="s">
        <v>386</v>
      </c>
      <c r="E804" s="58"/>
      <c r="F804" s="58"/>
      <c r="G804" s="24">
        <v>2</v>
      </c>
      <c r="H804" s="24"/>
      <c r="I804" s="25"/>
      <c r="J804" s="25"/>
      <c r="K804" s="19"/>
      <c r="L804" s="20"/>
    </row>
    <row r="805" spans="1:12" ht="31.5" outlineLevel="2">
      <c r="A805" s="21"/>
      <c r="B805" s="12" t="str">
        <f>IFERROR(VLOOKUP(D805,'[1]Перечень товаров'!$A$2:$I9525,2,0),"")</f>
        <v>м64</v>
      </c>
      <c r="C805" s="12" t="str">
        <f>IFERROR(VLOOKUP(D805,'[1]Перечень товаров'!$A$2:$I9525,3,0),"")</f>
        <v>Мебель</v>
      </c>
      <c r="D805" s="22" t="s">
        <v>387</v>
      </c>
      <c r="E805" s="58"/>
      <c r="F805" s="58"/>
      <c r="G805" s="24">
        <v>2</v>
      </c>
      <c r="H805" s="24"/>
      <c r="I805" s="25"/>
      <c r="J805" s="25"/>
      <c r="K805" s="19"/>
      <c r="L805" s="20"/>
    </row>
    <row r="806" spans="1:12" outlineLevel="2">
      <c r="A806" s="21"/>
      <c r="B806" s="12" t="str">
        <f>IFERROR(VLOOKUP(D806,'[1]Перечень товаров'!$A$2:$I9525,2,0),"")</f>
        <v>п33</v>
      </c>
      <c r="C806" s="12" t="str">
        <f>IFERROR(VLOOKUP(D806,'[1]Перечень товаров'!$A$2:$I9525,3,0),"")</f>
        <v>Прочее</v>
      </c>
      <c r="D806" s="22" t="s">
        <v>388</v>
      </c>
      <c r="E806" s="58"/>
      <c r="F806" s="58"/>
      <c r="G806" s="24">
        <v>1</v>
      </c>
      <c r="H806" s="24"/>
      <c r="I806" s="25"/>
      <c r="J806" s="25"/>
      <c r="K806" s="19"/>
      <c r="L806" s="20"/>
    </row>
    <row r="807" spans="1:12" outlineLevel="2">
      <c r="A807" s="21"/>
      <c r="B807" s="12" t="str">
        <f>IFERROR(VLOOKUP(D807,'[1]Перечень товаров'!$A$2:$I9525,2,0),"")</f>
        <v>м65</v>
      </c>
      <c r="C807" s="12" t="str">
        <f>IFERROR(VLOOKUP(D807,'[1]Перечень товаров'!$A$2:$I9525,3,0),"")</f>
        <v>Мебель</v>
      </c>
      <c r="D807" s="22" t="s">
        <v>389</v>
      </c>
      <c r="E807" s="58"/>
      <c r="F807" s="58"/>
      <c r="G807" s="24">
        <v>1</v>
      </c>
      <c r="H807" s="24"/>
      <c r="I807" s="25"/>
      <c r="J807" s="25"/>
      <c r="K807" s="19"/>
      <c r="L807" s="20"/>
    </row>
    <row r="808" spans="1:12" outlineLevel="2">
      <c r="A808" s="21"/>
      <c r="B808" s="12" t="str">
        <f>IFERROR(VLOOKUP(D808,'[1]Перечень товаров'!$A$2:$I9525,2,0),"")</f>
        <v>п34</v>
      </c>
      <c r="C808" s="12" t="str">
        <f>IFERROR(VLOOKUP(D808,'[1]Перечень товаров'!$A$2:$I9525,3,0),"")</f>
        <v>Прочее</v>
      </c>
      <c r="D808" s="22" t="s">
        <v>390</v>
      </c>
      <c r="E808" s="58"/>
      <c r="F808" s="58"/>
      <c r="G808" s="24">
        <v>1</v>
      </c>
      <c r="H808" s="24"/>
      <c r="I808" s="25"/>
      <c r="J808" s="25"/>
      <c r="K808" s="19"/>
      <c r="L808" s="20"/>
    </row>
    <row r="809" spans="1:12" ht="15" outlineLevel="2">
      <c r="A809" s="116"/>
      <c r="B809" s="12" t="str">
        <f>IFERROR(VLOOKUP(D809,'[1]Перечень товаров'!$A$2:$I9525,2,0),"")</f>
        <v/>
      </c>
      <c r="C809" s="12" t="str">
        <f>IFERROR(VLOOKUP(D809,'[1]Перечень товаров'!$A$2:$I9525,3,0),"")</f>
        <v/>
      </c>
      <c r="D809" s="117" t="s">
        <v>391</v>
      </c>
      <c r="E809" s="118"/>
      <c r="F809" s="118"/>
      <c r="G809" s="119"/>
      <c r="H809" s="119"/>
      <c r="I809" s="120"/>
      <c r="J809" s="120"/>
      <c r="K809" s="19"/>
      <c r="L809" s="20"/>
    </row>
    <row r="810" spans="1:12" ht="31.5" outlineLevel="2">
      <c r="A810" s="28"/>
      <c r="B810" s="12" t="str">
        <f>IFERROR(VLOOKUP(D810,'[1]Перечень товаров'!$A$2:$I9525,2,0),"")</f>
        <v>тм66</v>
      </c>
      <c r="C810" s="12" t="str">
        <f>IFERROR(VLOOKUP(D810,'[1]Перечень товаров'!$A$2:$I9525,3,0),"")</f>
        <v>Техника муз</v>
      </c>
      <c r="D810" s="29" t="s">
        <v>392</v>
      </c>
      <c r="E810" s="30"/>
      <c r="F810" s="30"/>
      <c r="G810" s="31">
        <v>2</v>
      </c>
      <c r="H810" s="31"/>
      <c r="I810" s="32"/>
      <c r="J810" s="32"/>
      <c r="K810" s="19"/>
      <c r="L810" s="20"/>
    </row>
    <row r="811" spans="1:12" ht="63" outlineLevel="2">
      <c r="A811" s="28"/>
      <c r="B811" s="12" t="str">
        <f>IFERROR(VLOOKUP(D811,'[1]Перечень товаров'!$A$2:$I9525,2,0),"")</f>
        <v>тм67</v>
      </c>
      <c r="C811" s="12" t="str">
        <f>IFERROR(VLOOKUP(D811,'[1]Перечень товаров'!$A$2:$I9525,3,0),"")</f>
        <v>Техника муз</v>
      </c>
      <c r="D811" s="29" t="s">
        <v>393</v>
      </c>
      <c r="E811" s="30"/>
      <c r="F811" s="30"/>
      <c r="G811" s="31">
        <v>1</v>
      </c>
      <c r="H811" s="31"/>
      <c r="I811" s="32"/>
      <c r="J811" s="32"/>
      <c r="K811" s="19"/>
      <c r="L811" s="20"/>
    </row>
    <row r="812" spans="1:12" ht="31.5" outlineLevel="2">
      <c r="A812" s="28"/>
      <c r="B812" s="12" t="str">
        <f>IFERROR(VLOOKUP(D812,'[1]Перечень товаров'!$A$2:$I9525,2,0),"")</f>
        <v>тм68</v>
      </c>
      <c r="C812" s="12" t="str">
        <f>IFERROR(VLOOKUP(D812,'[1]Перечень товаров'!$A$2:$I9525,3,0),"")</f>
        <v>Техника муз</v>
      </c>
      <c r="D812" s="29" t="s">
        <v>394</v>
      </c>
      <c r="E812" s="30"/>
      <c r="F812" s="30"/>
      <c r="G812" s="31">
        <v>1</v>
      </c>
      <c r="H812" s="31"/>
      <c r="I812" s="32"/>
      <c r="J812" s="32"/>
      <c r="K812" s="19"/>
      <c r="L812" s="20"/>
    </row>
    <row r="813" spans="1:12" ht="31.5" outlineLevel="2">
      <c r="A813" s="28"/>
      <c r="B813" s="12" t="str">
        <f>IFERROR(VLOOKUP(D813,'[1]Перечень товаров'!$A$2:$I9525,2,0),"")</f>
        <v>тм69</v>
      </c>
      <c r="C813" s="12" t="str">
        <f>IFERROR(VLOOKUP(D813,'[1]Перечень товаров'!$A$2:$I9525,3,0),"")</f>
        <v>Техника муз</v>
      </c>
      <c r="D813" s="29" t="s">
        <v>395</v>
      </c>
      <c r="E813" s="30"/>
      <c r="F813" s="30"/>
      <c r="G813" s="31">
        <v>1</v>
      </c>
      <c r="H813" s="31"/>
      <c r="I813" s="32"/>
      <c r="J813" s="32"/>
      <c r="K813" s="19"/>
      <c r="L813" s="20"/>
    </row>
    <row r="814" spans="1:12" ht="12.75" outlineLevel="1">
      <c r="A814" s="89"/>
      <c r="B814" s="12" t="str">
        <f>IFERROR(VLOOKUP(D814,'[1]Перечень товаров'!$A$2:$I9525,2,0),"")</f>
        <v/>
      </c>
      <c r="C814" s="12" t="str">
        <f>IFERROR(VLOOKUP(D814,'[1]Перечень товаров'!$A$2:$I9525,3,0),"")</f>
        <v/>
      </c>
      <c r="D814" s="90" t="s">
        <v>379</v>
      </c>
      <c r="E814" s="91" t="s">
        <v>396</v>
      </c>
      <c r="F814" s="91"/>
      <c r="G814" s="17"/>
      <c r="H814" s="17"/>
      <c r="I814" s="57"/>
      <c r="J814" s="57"/>
      <c r="K814" s="19"/>
      <c r="L814" s="20"/>
    </row>
    <row r="815" spans="1:12" ht="15" outlineLevel="2">
      <c r="A815" s="109"/>
      <c r="B815" s="12" t="str">
        <f>IFERROR(VLOOKUP(D815,'[1]Перечень товаров'!$A$2:$I9525,2,0),"")</f>
        <v/>
      </c>
      <c r="C815" s="12" t="str">
        <f>IFERROR(VLOOKUP(D815,'[1]Перечень товаров'!$A$2:$I9525,3,0),"")</f>
        <v/>
      </c>
      <c r="D815" s="110" t="s">
        <v>27</v>
      </c>
      <c r="E815" s="45"/>
      <c r="F815" s="45"/>
      <c r="G815" s="111"/>
      <c r="H815" s="111"/>
      <c r="I815" s="112"/>
      <c r="J815" s="112"/>
      <c r="K815" s="19"/>
      <c r="L815" s="20"/>
    </row>
    <row r="816" spans="1:12" outlineLevel="2">
      <c r="A816" s="21"/>
      <c r="B816" s="12" t="str">
        <f>IFERROR(VLOOKUP(D816,'[1]Перечень товаров'!$A$2:$I9525,2,0),"")</f>
        <v>т1</v>
      </c>
      <c r="C816" s="12" t="str">
        <f>IFERROR(VLOOKUP(D816,'[1]Перечень товаров'!$A$2:$I9525,3,0),"")</f>
        <v xml:space="preserve">Техника </v>
      </c>
      <c r="D816" s="22" t="s">
        <v>28</v>
      </c>
      <c r="E816" s="58"/>
      <c r="F816" s="58"/>
      <c r="G816" s="48">
        <v>1</v>
      </c>
      <c r="H816" s="48"/>
      <c r="I816" s="49"/>
      <c r="J816" s="49"/>
      <c r="K816" s="19"/>
      <c r="L816" s="20"/>
    </row>
    <row r="817" spans="1:12" outlineLevel="2">
      <c r="A817" s="35"/>
      <c r="B817" s="12" t="str">
        <f>IFERROR(VLOOKUP(D817,'[1]Перечень товаров'!$A$2:$I9525,2,0),"")</f>
        <v>т2</v>
      </c>
      <c r="C817" s="12" t="str">
        <f>IFERROR(VLOOKUP(D817,'[1]Перечень товаров'!$A$2:$I9525,3,0),"")</f>
        <v xml:space="preserve">Техника </v>
      </c>
      <c r="D817" s="35" t="s">
        <v>29</v>
      </c>
      <c r="E817" s="58"/>
      <c r="F817" s="58"/>
      <c r="G817" s="48">
        <v>1</v>
      </c>
      <c r="H817" s="48"/>
      <c r="I817" s="49"/>
      <c r="J817" s="49"/>
      <c r="K817" s="19"/>
      <c r="L817" s="20"/>
    </row>
    <row r="818" spans="1:12" outlineLevel="2">
      <c r="A818" s="35"/>
      <c r="B818" s="12" t="str">
        <f>IFERROR(VLOOKUP(D818,'[1]Перечень товаров'!$A$2:$I9525,2,0),"")</f>
        <v>т3</v>
      </c>
      <c r="C818" s="12" t="str">
        <f>IFERROR(VLOOKUP(D818,'[1]Перечень товаров'!$A$2:$I9525,3,0),"")</f>
        <v xml:space="preserve">Техника </v>
      </c>
      <c r="D818" s="35" t="s">
        <v>30</v>
      </c>
      <c r="E818" s="58"/>
      <c r="F818" s="58"/>
      <c r="G818" s="48">
        <v>1</v>
      </c>
      <c r="H818" s="48"/>
      <c r="I818" s="49"/>
      <c r="J818" s="49"/>
      <c r="K818" s="19"/>
      <c r="L818" s="20"/>
    </row>
    <row r="819" spans="1:12" outlineLevel="2">
      <c r="A819" s="35"/>
      <c r="B819" s="12" t="str">
        <f>IFERROR(VLOOKUP(D819,'[1]Перечень товаров'!$A$2:$I9525,2,0),"")</f>
        <v>т4</v>
      </c>
      <c r="C819" s="12" t="str">
        <f>IFERROR(VLOOKUP(D819,'[1]Перечень товаров'!$A$2:$I9525,3,0),"")</f>
        <v xml:space="preserve">Техника </v>
      </c>
      <c r="D819" s="35" t="s">
        <v>31</v>
      </c>
      <c r="E819" s="58"/>
      <c r="F819" s="58"/>
      <c r="G819" s="48">
        <v>1</v>
      </c>
      <c r="H819" s="48"/>
      <c r="I819" s="49"/>
      <c r="J819" s="49"/>
      <c r="K819" s="19"/>
      <c r="L819" s="20"/>
    </row>
    <row r="820" spans="1:12" outlineLevel="2">
      <c r="A820" s="21"/>
      <c r="B820" s="12" t="str">
        <f>IFERROR(VLOOKUP(D820,'[1]Перечень товаров'!$A$2:$I9525,2,0),"")</f>
        <v>тм65</v>
      </c>
      <c r="C820" s="12" t="str">
        <f>IFERROR(VLOOKUP(D820,'[1]Перечень товаров'!$A$2:$I9525,3,0),"")</f>
        <v>Техника муз</v>
      </c>
      <c r="D820" s="22" t="s">
        <v>380</v>
      </c>
      <c r="E820" s="58"/>
      <c r="F820" s="58"/>
      <c r="G820" s="48">
        <v>1</v>
      </c>
      <c r="H820" s="48"/>
      <c r="I820" s="49"/>
      <c r="J820" s="49"/>
      <c r="K820" s="19"/>
      <c r="L820" s="20"/>
    </row>
    <row r="821" spans="1:12" outlineLevel="2">
      <c r="A821" s="21"/>
      <c r="B821" s="12" t="str">
        <f>IFERROR(VLOOKUP(D821,'[1]Перечень товаров'!$A$2:$I9525,2,0),"")</f>
        <v>т12</v>
      </c>
      <c r="C821" s="12" t="str">
        <f>IFERROR(VLOOKUP(D821,'[1]Перечень товаров'!$A$2:$I9525,3,0),"")</f>
        <v>Техника</v>
      </c>
      <c r="D821" s="22" t="s">
        <v>49</v>
      </c>
      <c r="E821" s="58"/>
      <c r="F821" s="58"/>
      <c r="G821" s="48">
        <v>1</v>
      </c>
      <c r="H821" s="48"/>
      <c r="I821" s="49"/>
      <c r="J821" s="49"/>
      <c r="K821" s="19"/>
      <c r="L821" s="20"/>
    </row>
    <row r="822" spans="1:12" outlineLevel="2">
      <c r="A822" s="35"/>
      <c r="B822" s="12" t="str">
        <f>IFERROR(VLOOKUP(D822,'[1]Перечень товаров'!$A$2:$I9525,2,0),"")</f>
        <v>т6</v>
      </c>
      <c r="C822" s="12" t="str">
        <f>IFERROR(VLOOKUP(D822,'[1]Перечень товаров'!$A$2:$I9525,3,0),"")</f>
        <v xml:space="preserve">Техника </v>
      </c>
      <c r="D822" s="35" t="s">
        <v>33</v>
      </c>
      <c r="E822" s="58"/>
      <c r="F822" s="58"/>
      <c r="G822" s="48">
        <v>1</v>
      </c>
      <c r="H822" s="48"/>
      <c r="I822" s="49"/>
      <c r="J822" s="49"/>
      <c r="K822" s="19"/>
      <c r="L822" s="20"/>
    </row>
    <row r="823" spans="1:12" outlineLevel="2">
      <c r="A823" s="21"/>
      <c r="B823" s="12" t="str">
        <f>IFERROR(VLOOKUP(D823,'[1]Перечень товаров'!$A$2:$I9525,2,0),"")</f>
        <v>т7</v>
      </c>
      <c r="C823" s="12" t="str">
        <f>IFERROR(VLOOKUP(D823,'[1]Перечень товаров'!$A$2:$I9525,3,0),"")</f>
        <v xml:space="preserve">Техника </v>
      </c>
      <c r="D823" s="22" t="s">
        <v>34</v>
      </c>
      <c r="E823" s="58"/>
      <c r="F823" s="58"/>
      <c r="G823" s="48">
        <v>3</v>
      </c>
      <c r="H823" s="48"/>
      <c r="I823" s="49"/>
      <c r="J823" s="49"/>
      <c r="K823" s="19"/>
      <c r="L823" s="20"/>
    </row>
    <row r="824" spans="1:12" outlineLevel="2">
      <c r="A824" s="28"/>
      <c r="B824" s="12" t="str">
        <f>IFERROR(VLOOKUP(D824,'[1]Перечень товаров'!$A$2:$I9525,2,0),"")</f>
        <v>т161</v>
      </c>
      <c r="C824" s="12" t="str">
        <f>IFERROR(VLOOKUP(D824,'[1]Перечень товаров'!$A$2:$I9525,3,0),"")</f>
        <v xml:space="preserve">Техника </v>
      </c>
      <c r="D824" s="29" t="s">
        <v>381</v>
      </c>
      <c r="E824" s="30"/>
      <c r="F824" s="30"/>
      <c r="G824" s="59">
        <v>1</v>
      </c>
      <c r="H824" s="59"/>
      <c r="I824" s="60"/>
      <c r="J824" s="60"/>
      <c r="K824" s="19"/>
      <c r="L824" s="20"/>
    </row>
    <row r="825" spans="1:12" ht="47.25" outlineLevel="2">
      <c r="A825" s="21"/>
      <c r="B825" s="12" t="str">
        <f>IFERROR(VLOOKUP(D825,'[1]Перечень товаров'!$A$2:$I9525,2,0),"")</f>
        <v>м61</v>
      </c>
      <c r="C825" s="12" t="str">
        <f>IFERROR(VLOOKUP(D825,'[1]Перечень товаров'!$A$2:$I9525,3,0),"")</f>
        <v>Мебель</v>
      </c>
      <c r="D825" s="22" t="s">
        <v>382</v>
      </c>
      <c r="E825" s="30"/>
      <c r="F825" s="30"/>
      <c r="G825" s="59">
        <v>1</v>
      </c>
      <c r="H825" s="59"/>
      <c r="I825" s="60"/>
      <c r="J825" s="60"/>
      <c r="K825" s="19"/>
      <c r="L825" s="20"/>
    </row>
    <row r="826" spans="1:12" outlineLevel="2">
      <c r="A826" s="113"/>
      <c r="B826" s="12" t="str">
        <f>IFERROR(VLOOKUP(D826,'[1]Перечень товаров'!$A$2:$I9525,2,0),"")</f>
        <v/>
      </c>
      <c r="C826" s="12" t="str">
        <f>IFERROR(VLOOKUP(D826,'[1]Перечень товаров'!$A$2:$I9525,3,0),"")</f>
        <v/>
      </c>
      <c r="D826" s="114" t="s">
        <v>19</v>
      </c>
      <c r="E826" s="115"/>
      <c r="F826" s="115"/>
      <c r="G826" s="59"/>
      <c r="H826" s="59"/>
      <c r="I826" s="60"/>
      <c r="J826" s="60"/>
      <c r="K826" s="19"/>
      <c r="L826" s="20"/>
    </row>
    <row r="827" spans="1:12" ht="31.5" outlineLevel="2">
      <c r="A827" s="34"/>
      <c r="B827" s="12" t="str">
        <f>IFERROR(VLOOKUP(D827,'[1]Перечень товаров'!$A$2:$I9525,2,0),"")</f>
        <v>м205</v>
      </c>
      <c r="C827" s="12" t="str">
        <f>IFERROR(VLOOKUP(D827,'[1]Перечень товаров'!$A$2:$I9525,3,0),"")</f>
        <v>Мебель</v>
      </c>
      <c r="D827" s="35" t="s">
        <v>20</v>
      </c>
      <c r="E827" s="88"/>
      <c r="F827" s="88"/>
      <c r="G827" s="59">
        <v>1</v>
      </c>
      <c r="H827" s="59"/>
      <c r="I827" s="60"/>
      <c r="J827" s="60"/>
      <c r="K827" s="19"/>
      <c r="L827" s="20"/>
    </row>
    <row r="828" spans="1:12" outlineLevel="2">
      <c r="A828" s="34"/>
      <c r="B828" s="12" t="str">
        <f>IFERROR(VLOOKUP(D828,'[1]Перечень товаров'!$A$2:$I9525,2,0),"")</f>
        <v>м61</v>
      </c>
      <c r="C828" s="12" t="str">
        <f>IFERROR(VLOOKUP(D828,'[1]Перечень товаров'!$A$2:$I9525,3,0),"")</f>
        <v>Мебель</v>
      </c>
      <c r="D828" s="35" t="s">
        <v>383</v>
      </c>
      <c r="E828" s="88"/>
      <c r="F828" s="88"/>
      <c r="G828" s="59">
        <v>1</v>
      </c>
      <c r="H828" s="59"/>
      <c r="I828" s="60"/>
      <c r="J828" s="60"/>
      <c r="K828" s="19"/>
      <c r="L828" s="20"/>
    </row>
    <row r="829" spans="1:12" outlineLevel="2">
      <c r="A829" s="34"/>
      <c r="B829" s="12" t="str">
        <f>IFERROR(VLOOKUP(D829,'[1]Перечень товаров'!$A$2:$I9525,2,0),"")</f>
        <v>м61</v>
      </c>
      <c r="C829" s="12" t="str">
        <f>IFERROR(VLOOKUP(D829,'[1]Перечень товаров'!$A$2:$I9525,3,0),"")</f>
        <v>Мебель</v>
      </c>
      <c r="D829" s="35" t="s">
        <v>384</v>
      </c>
      <c r="E829" s="88"/>
      <c r="F829" s="88"/>
      <c r="G829" s="59">
        <v>4</v>
      </c>
      <c r="H829" s="59"/>
      <c r="I829" s="60"/>
      <c r="J829" s="60"/>
      <c r="K829" s="19"/>
      <c r="L829" s="20"/>
    </row>
    <row r="830" spans="1:12" ht="31.5" outlineLevel="2">
      <c r="A830" s="34"/>
      <c r="B830" s="12" t="str">
        <f>IFERROR(VLOOKUP(D830,'[1]Перечень товаров'!$A$2:$I9525,2,0),"")</f>
        <v>м62</v>
      </c>
      <c r="C830" s="12" t="str">
        <f>IFERROR(VLOOKUP(D830,'[1]Перечень товаров'!$A$2:$I9525,3,0),"")</f>
        <v>Мебель</v>
      </c>
      <c r="D830" s="35" t="s">
        <v>385</v>
      </c>
      <c r="E830" s="88"/>
      <c r="F830" s="88"/>
      <c r="G830" s="59">
        <v>2</v>
      </c>
      <c r="H830" s="59"/>
      <c r="I830" s="60"/>
      <c r="J830" s="60"/>
      <c r="K830" s="19"/>
      <c r="L830" s="20"/>
    </row>
    <row r="831" spans="1:12" outlineLevel="2">
      <c r="A831" s="21"/>
      <c r="B831" s="12" t="str">
        <f>IFERROR(VLOOKUP(D831,'[1]Перечень товаров'!$A$2:$I9525,2,0),"")</f>
        <v>м13</v>
      </c>
      <c r="C831" s="12" t="str">
        <f>IFERROR(VLOOKUP(D831,'[1]Перечень товаров'!$A$2:$I9525,3,0),"")</f>
        <v>Мебель</v>
      </c>
      <c r="D831" s="22" t="s">
        <v>42</v>
      </c>
      <c r="E831" s="58"/>
      <c r="F831" s="58"/>
      <c r="G831" s="24">
        <v>1</v>
      </c>
      <c r="H831" s="24"/>
      <c r="I831" s="25"/>
      <c r="J831" s="25"/>
      <c r="K831" s="19"/>
      <c r="L831" s="20"/>
    </row>
    <row r="832" spans="1:12" outlineLevel="2">
      <c r="A832" s="21"/>
      <c r="B832" s="12" t="str">
        <f>IFERROR(VLOOKUP(D832,'[1]Перечень товаров'!$A$2:$I9525,2,0),"")</f>
        <v>м14</v>
      </c>
      <c r="C832" s="12" t="str">
        <f>IFERROR(VLOOKUP(D832,'[1]Перечень товаров'!$A$2:$I9525,3,0),"")</f>
        <v>Мебель</v>
      </c>
      <c r="D832" s="22" t="s">
        <v>43</v>
      </c>
      <c r="E832" s="58"/>
      <c r="F832" s="58"/>
      <c r="G832" s="24">
        <v>1</v>
      </c>
      <c r="H832" s="24"/>
      <c r="I832" s="25"/>
      <c r="J832" s="25"/>
      <c r="K832" s="19"/>
      <c r="L832" s="20"/>
    </row>
    <row r="833" spans="1:12" ht="31.5" outlineLevel="2">
      <c r="A833" s="21"/>
      <c r="B833" s="12" t="str">
        <f>IFERROR(VLOOKUP(D833,'[1]Перечень товаров'!$A$2:$I9525,2,0),"")</f>
        <v>м63</v>
      </c>
      <c r="C833" s="12" t="str">
        <f>IFERROR(VLOOKUP(D833,'[1]Перечень товаров'!$A$2:$I9525,3,0),"")</f>
        <v>Мебель</v>
      </c>
      <c r="D833" s="22" t="s">
        <v>386</v>
      </c>
      <c r="E833" s="58"/>
      <c r="F833" s="58"/>
      <c r="G833" s="24">
        <v>2</v>
      </c>
      <c r="H833" s="24"/>
      <c r="I833" s="25"/>
      <c r="J833" s="25"/>
      <c r="K833" s="19"/>
      <c r="L833" s="20"/>
    </row>
    <row r="834" spans="1:12" ht="31.5" outlineLevel="2">
      <c r="A834" s="21"/>
      <c r="B834" s="12" t="str">
        <f>IFERROR(VLOOKUP(D834,'[1]Перечень товаров'!$A$2:$I9525,2,0),"")</f>
        <v>м64</v>
      </c>
      <c r="C834" s="12" t="str">
        <f>IFERROR(VLOOKUP(D834,'[1]Перечень товаров'!$A$2:$I9525,3,0),"")</f>
        <v>Мебель</v>
      </c>
      <c r="D834" s="22" t="s">
        <v>387</v>
      </c>
      <c r="E834" s="58"/>
      <c r="F834" s="58"/>
      <c r="G834" s="24">
        <v>2</v>
      </c>
      <c r="H834" s="24"/>
      <c r="I834" s="25"/>
      <c r="J834" s="25"/>
      <c r="K834" s="19"/>
      <c r="L834" s="20"/>
    </row>
    <row r="835" spans="1:12" outlineLevel="2">
      <c r="A835" s="21"/>
      <c r="B835" s="12" t="str">
        <f>IFERROR(VLOOKUP(D835,'[1]Перечень товаров'!$A$2:$I9525,2,0),"")</f>
        <v>п33</v>
      </c>
      <c r="C835" s="12" t="str">
        <f>IFERROR(VLOOKUP(D835,'[1]Перечень товаров'!$A$2:$I9525,3,0),"")</f>
        <v>Прочее</v>
      </c>
      <c r="D835" s="22" t="s">
        <v>388</v>
      </c>
      <c r="E835" s="58"/>
      <c r="F835" s="58"/>
      <c r="G835" s="24">
        <v>1</v>
      </c>
      <c r="H835" s="24"/>
      <c r="I835" s="25"/>
      <c r="J835" s="25"/>
      <c r="K835" s="19"/>
      <c r="L835" s="20"/>
    </row>
    <row r="836" spans="1:12" outlineLevel="2">
      <c r="A836" s="21"/>
      <c r="B836" s="12" t="str">
        <f>IFERROR(VLOOKUP(D836,'[1]Перечень товаров'!$A$2:$I9525,2,0),"")</f>
        <v>м65</v>
      </c>
      <c r="C836" s="12" t="str">
        <f>IFERROR(VLOOKUP(D836,'[1]Перечень товаров'!$A$2:$I9525,3,0),"")</f>
        <v>Мебель</v>
      </c>
      <c r="D836" s="22" t="s">
        <v>389</v>
      </c>
      <c r="E836" s="58"/>
      <c r="F836" s="58"/>
      <c r="G836" s="24">
        <v>1</v>
      </c>
      <c r="H836" s="24"/>
      <c r="I836" s="25"/>
      <c r="J836" s="25"/>
      <c r="K836" s="19"/>
      <c r="L836" s="20"/>
    </row>
    <row r="837" spans="1:12" outlineLevel="2">
      <c r="A837" s="21"/>
      <c r="B837" s="12" t="str">
        <f>IFERROR(VLOOKUP(D837,'[1]Перечень товаров'!$A$2:$I9525,2,0),"")</f>
        <v>п34</v>
      </c>
      <c r="C837" s="12" t="str">
        <f>IFERROR(VLOOKUP(D837,'[1]Перечень товаров'!$A$2:$I9525,3,0),"")</f>
        <v>Прочее</v>
      </c>
      <c r="D837" s="22" t="s">
        <v>390</v>
      </c>
      <c r="E837" s="58"/>
      <c r="F837" s="58"/>
      <c r="G837" s="24">
        <v>1</v>
      </c>
      <c r="H837" s="24"/>
      <c r="I837" s="25"/>
      <c r="J837" s="25"/>
      <c r="K837" s="19"/>
      <c r="L837" s="20"/>
    </row>
    <row r="838" spans="1:12" ht="15" outlineLevel="2">
      <c r="A838" s="116"/>
      <c r="B838" s="12" t="str">
        <f>IFERROR(VLOOKUP(D838,'[1]Перечень товаров'!$A$2:$I9525,2,0),"")</f>
        <v/>
      </c>
      <c r="C838" s="12" t="str">
        <f>IFERROR(VLOOKUP(D838,'[1]Перечень товаров'!$A$2:$I9525,3,0),"")</f>
        <v/>
      </c>
      <c r="D838" s="117" t="s">
        <v>391</v>
      </c>
      <c r="E838" s="118"/>
      <c r="F838" s="118"/>
      <c r="G838" s="119"/>
      <c r="H838" s="119"/>
      <c r="I838" s="120"/>
      <c r="J838" s="120"/>
      <c r="K838" s="19"/>
      <c r="L838" s="20"/>
    </row>
    <row r="839" spans="1:12" ht="31.5" outlineLevel="2">
      <c r="A839" s="28"/>
      <c r="B839" s="12" t="str">
        <f>IFERROR(VLOOKUP(D839,'[1]Перечень товаров'!$A$2:$I9525,2,0),"")</f>
        <v>тм66</v>
      </c>
      <c r="C839" s="12" t="str">
        <f>IFERROR(VLOOKUP(D839,'[1]Перечень товаров'!$A$2:$I9525,3,0),"")</f>
        <v>Техника муз</v>
      </c>
      <c r="D839" s="29" t="s">
        <v>392</v>
      </c>
      <c r="E839" s="30"/>
      <c r="F839" s="30"/>
      <c r="G839" s="31">
        <v>2</v>
      </c>
      <c r="H839" s="31"/>
      <c r="I839" s="32"/>
      <c r="J839" s="32"/>
      <c r="K839" s="19"/>
      <c r="L839" s="20"/>
    </row>
    <row r="840" spans="1:12" ht="63" outlineLevel="2">
      <c r="A840" s="28"/>
      <c r="B840" s="12" t="str">
        <f>IFERROR(VLOOKUP(D840,'[1]Перечень товаров'!$A$2:$I9525,2,0),"")</f>
        <v>тм67</v>
      </c>
      <c r="C840" s="12" t="str">
        <f>IFERROR(VLOOKUP(D840,'[1]Перечень товаров'!$A$2:$I9525,3,0),"")</f>
        <v>Техника муз</v>
      </c>
      <c r="D840" s="29" t="s">
        <v>393</v>
      </c>
      <c r="E840" s="30"/>
      <c r="F840" s="30"/>
      <c r="G840" s="31">
        <v>1</v>
      </c>
      <c r="H840" s="31"/>
      <c r="I840" s="32"/>
      <c r="J840" s="32"/>
      <c r="K840" s="19"/>
      <c r="L840" s="20"/>
    </row>
    <row r="841" spans="1:12" ht="31.5" outlineLevel="2">
      <c r="A841" s="28"/>
      <c r="B841" s="12" t="str">
        <f>IFERROR(VLOOKUP(D841,'[1]Перечень товаров'!$A$2:$I9525,2,0),"")</f>
        <v>тм68</v>
      </c>
      <c r="C841" s="12" t="str">
        <f>IFERROR(VLOOKUP(D841,'[1]Перечень товаров'!$A$2:$I9525,3,0),"")</f>
        <v>Техника муз</v>
      </c>
      <c r="D841" s="29" t="s">
        <v>394</v>
      </c>
      <c r="E841" s="30"/>
      <c r="F841" s="30"/>
      <c r="G841" s="31">
        <v>1</v>
      </c>
      <c r="H841" s="31"/>
      <c r="I841" s="32"/>
      <c r="J841" s="32"/>
      <c r="K841" s="19"/>
      <c r="L841" s="20"/>
    </row>
    <row r="842" spans="1:12" ht="31.5" outlineLevel="2">
      <c r="A842" s="28"/>
      <c r="B842" s="12" t="str">
        <f>IFERROR(VLOOKUP(D842,'[1]Перечень товаров'!$A$2:$I9525,2,0),"")</f>
        <v>тм69</v>
      </c>
      <c r="C842" s="12" t="str">
        <f>IFERROR(VLOOKUP(D842,'[1]Перечень товаров'!$A$2:$I9525,3,0),"")</f>
        <v>Техника муз</v>
      </c>
      <c r="D842" s="29" t="s">
        <v>395</v>
      </c>
      <c r="E842" s="30"/>
      <c r="F842" s="30"/>
      <c r="G842" s="31">
        <v>1</v>
      </c>
      <c r="H842" s="31"/>
      <c r="I842" s="32"/>
      <c r="J842" s="32"/>
      <c r="K842" s="19"/>
      <c r="L842" s="20"/>
    </row>
    <row r="843" spans="1:12" ht="12.75" outlineLevel="1">
      <c r="A843" s="89"/>
      <c r="B843" s="12" t="str">
        <f>IFERROR(VLOOKUP(D843,'[1]Перечень товаров'!$A$2:$I9525,2,0),"")</f>
        <v/>
      </c>
      <c r="C843" s="12" t="str">
        <f>IFERROR(VLOOKUP(D843,'[1]Перечень товаров'!$A$2:$I9525,3,0),"")</f>
        <v/>
      </c>
      <c r="D843" s="90" t="s">
        <v>379</v>
      </c>
      <c r="E843" s="108">
        <v>46134</v>
      </c>
      <c r="F843" s="108"/>
      <c r="G843" s="100"/>
      <c r="H843" s="100"/>
      <c r="I843" s="101"/>
      <c r="J843" s="101"/>
      <c r="K843" s="19"/>
      <c r="L843" s="20"/>
    </row>
    <row r="844" spans="1:12" ht="15" outlineLevel="2">
      <c r="A844" s="109"/>
      <c r="B844" s="12" t="str">
        <f>IFERROR(VLOOKUP(D844,'[1]Перечень товаров'!$A$2:$I9525,2,0),"")</f>
        <v/>
      </c>
      <c r="C844" s="12" t="str">
        <f>IFERROR(VLOOKUP(D844,'[1]Перечень товаров'!$A$2:$I9525,3,0),"")</f>
        <v/>
      </c>
      <c r="D844" s="110" t="s">
        <v>27</v>
      </c>
      <c r="E844" s="45"/>
      <c r="F844" s="45"/>
      <c r="G844" s="111"/>
      <c r="H844" s="111"/>
      <c r="I844" s="112"/>
      <c r="J844" s="112"/>
      <c r="K844" s="19"/>
      <c r="L844" s="20"/>
    </row>
    <row r="845" spans="1:12" outlineLevel="2">
      <c r="A845" s="21"/>
      <c r="B845" s="12" t="str">
        <f>IFERROR(VLOOKUP(D845,'[1]Перечень товаров'!$A$2:$I9525,2,0),"")</f>
        <v>т1</v>
      </c>
      <c r="C845" s="12" t="str">
        <f>IFERROR(VLOOKUP(D845,'[1]Перечень товаров'!$A$2:$I9525,3,0),"")</f>
        <v xml:space="preserve">Техника </v>
      </c>
      <c r="D845" s="22" t="s">
        <v>28</v>
      </c>
      <c r="E845" s="58"/>
      <c r="F845" s="58"/>
      <c r="G845" s="48">
        <v>1</v>
      </c>
      <c r="H845" s="48"/>
      <c r="I845" s="49"/>
      <c r="J845" s="49"/>
      <c r="K845" s="19"/>
      <c r="L845" s="20"/>
    </row>
    <row r="846" spans="1:12" outlineLevel="2">
      <c r="A846" s="35"/>
      <c r="B846" s="12" t="str">
        <f>IFERROR(VLOOKUP(D846,'[1]Перечень товаров'!$A$2:$I9525,2,0),"")</f>
        <v>т2</v>
      </c>
      <c r="C846" s="12" t="str">
        <f>IFERROR(VLOOKUP(D846,'[1]Перечень товаров'!$A$2:$I9525,3,0),"")</f>
        <v xml:space="preserve">Техника </v>
      </c>
      <c r="D846" s="35" t="s">
        <v>29</v>
      </c>
      <c r="E846" s="58"/>
      <c r="F846" s="58"/>
      <c r="G846" s="48">
        <v>1</v>
      </c>
      <c r="H846" s="48"/>
      <c r="I846" s="49"/>
      <c r="J846" s="49"/>
      <c r="K846" s="19"/>
      <c r="L846" s="20"/>
    </row>
    <row r="847" spans="1:12" outlineLevel="2">
      <c r="A847" s="35"/>
      <c r="B847" s="12" t="str">
        <f>IFERROR(VLOOKUP(D847,'[1]Перечень товаров'!$A$2:$I9525,2,0),"")</f>
        <v>т3</v>
      </c>
      <c r="C847" s="12" t="str">
        <f>IFERROR(VLOOKUP(D847,'[1]Перечень товаров'!$A$2:$I9525,3,0),"")</f>
        <v xml:space="preserve">Техника </v>
      </c>
      <c r="D847" s="35" t="s">
        <v>30</v>
      </c>
      <c r="E847" s="58"/>
      <c r="F847" s="58"/>
      <c r="G847" s="48">
        <v>1</v>
      </c>
      <c r="H847" s="48"/>
      <c r="I847" s="49"/>
      <c r="J847" s="49"/>
      <c r="K847" s="19"/>
      <c r="L847" s="20"/>
    </row>
    <row r="848" spans="1:12" outlineLevel="2">
      <c r="A848" s="35"/>
      <c r="B848" s="12" t="str">
        <f>IFERROR(VLOOKUP(D848,'[1]Перечень товаров'!$A$2:$I9525,2,0),"")</f>
        <v>т4</v>
      </c>
      <c r="C848" s="12" t="str">
        <f>IFERROR(VLOOKUP(D848,'[1]Перечень товаров'!$A$2:$I9525,3,0),"")</f>
        <v xml:space="preserve">Техника </v>
      </c>
      <c r="D848" s="35" t="s">
        <v>31</v>
      </c>
      <c r="E848" s="58"/>
      <c r="F848" s="58"/>
      <c r="G848" s="48">
        <v>1</v>
      </c>
      <c r="H848" s="48"/>
      <c r="I848" s="49"/>
      <c r="J848" s="49"/>
      <c r="K848" s="19"/>
      <c r="L848" s="20"/>
    </row>
    <row r="849" spans="1:12" outlineLevel="2">
      <c r="A849" s="21"/>
      <c r="B849" s="12" t="str">
        <f>IFERROR(VLOOKUP(D849,'[1]Перечень товаров'!$A$2:$I9525,2,0),"")</f>
        <v>тм65</v>
      </c>
      <c r="C849" s="12" t="str">
        <f>IFERROR(VLOOKUP(D849,'[1]Перечень товаров'!$A$2:$I9525,3,0),"")</f>
        <v>Техника муз</v>
      </c>
      <c r="D849" s="22" t="s">
        <v>380</v>
      </c>
      <c r="E849" s="58"/>
      <c r="F849" s="58"/>
      <c r="G849" s="48">
        <v>1</v>
      </c>
      <c r="H849" s="48"/>
      <c r="I849" s="49"/>
      <c r="J849" s="49"/>
      <c r="K849" s="19"/>
      <c r="L849" s="20"/>
    </row>
    <row r="850" spans="1:12" outlineLevel="2">
      <c r="A850" s="21"/>
      <c r="B850" s="12" t="str">
        <f>IFERROR(VLOOKUP(D850,'[1]Перечень товаров'!$A$2:$I9525,2,0),"")</f>
        <v>т12</v>
      </c>
      <c r="C850" s="12" t="str">
        <f>IFERROR(VLOOKUP(D850,'[1]Перечень товаров'!$A$2:$I9525,3,0),"")</f>
        <v>Техника</v>
      </c>
      <c r="D850" s="22" t="s">
        <v>49</v>
      </c>
      <c r="E850" s="58"/>
      <c r="F850" s="58"/>
      <c r="G850" s="48">
        <v>1</v>
      </c>
      <c r="H850" s="48"/>
      <c r="I850" s="49"/>
      <c r="J850" s="49"/>
      <c r="K850" s="19"/>
      <c r="L850" s="20"/>
    </row>
    <row r="851" spans="1:12" outlineLevel="2">
      <c r="A851" s="35"/>
      <c r="B851" s="12" t="str">
        <f>IFERROR(VLOOKUP(D851,'[1]Перечень товаров'!$A$2:$I9525,2,0),"")</f>
        <v>т6</v>
      </c>
      <c r="C851" s="12" t="str">
        <f>IFERROR(VLOOKUP(D851,'[1]Перечень товаров'!$A$2:$I9525,3,0),"")</f>
        <v xml:space="preserve">Техника </v>
      </c>
      <c r="D851" s="35" t="s">
        <v>33</v>
      </c>
      <c r="E851" s="58"/>
      <c r="F851" s="58"/>
      <c r="G851" s="48">
        <v>1</v>
      </c>
      <c r="H851" s="48"/>
      <c r="I851" s="49"/>
      <c r="J851" s="49"/>
      <c r="K851" s="19"/>
      <c r="L851" s="20"/>
    </row>
    <row r="852" spans="1:12" outlineLevel="2">
      <c r="A852" s="21"/>
      <c r="B852" s="12" t="str">
        <f>IFERROR(VLOOKUP(D852,'[1]Перечень товаров'!$A$2:$I9525,2,0),"")</f>
        <v>т7</v>
      </c>
      <c r="C852" s="12" t="str">
        <f>IFERROR(VLOOKUP(D852,'[1]Перечень товаров'!$A$2:$I9525,3,0),"")</f>
        <v xml:space="preserve">Техника </v>
      </c>
      <c r="D852" s="22" t="s">
        <v>34</v>
      </c>
      <c r="E852" s="58"/>
      <c r="F852" s="58"/>
      <c r="G852" s="48">
        <v>3</v>
      </c>
      <c r="H852" s="48"/>
      <c r="I852" s="49"/>
      <c r="J852" s="49"/>
      <c r="K852" s="19"/>
      <c r="L852" s="20"/>
    </row>
    <row r="853" spans="1:12" outlineLevel="2">
      <c r="A853" s="28"/>
      <c r="B853" s="12" t="str">
        <f>IFERROR(VLOOKUP(D853,'[1]Перечень товаров'!$A$2:$I9525,2,0),"")</f>
        <v>т161</v>
      </c>
      <c r="C853" s="12" t="str">
        <f>IFERROR(VLOOKUP(D853,'[1]Перечень товаров'!$A$2:$I9525,3,0),"")</f>
        <v xml:space="preserve">Техника </v>
      </c>
      <c r="D853" s="29" t="s">
        <v>381</v>
      </c>
      <c r="E853" s="30"/>
      <c r="F853" s="30"/>
      <c r="G853" s="59">
        <v>1</v>
      </c>
      <c r="H853" s="59"/>
      <c r="I853" s="60"/>
      <c r="J853" s="60"/>
      <c r="K853" s="19"/>
      <c r="L853" s="20"/>
    </row>
    <row r="854" spans="1:12" ht="47.25" outlineLevel="2">
      <c r="A854" s="21"/>
      <c r="B854" s="12" t="str">
        <f>IFERROR(VLOOKUP(D854,'[1]Перечень товаров'!$A$2:$I9525,2,0),"")</f>
        <v>м61</v>
      </c>
      <c r="C854" s="12" t="str">
        <f>IFERROR(VLOOKUP(D854,'[1]Перечень товаров'!$A$2:$I9525,3,0),"")</f>
        <v>Мебель</v>
      </c>
      <c r="D854" s="22" t="s">
        <v>382</v>
      </c>
      <c r="E854" s="30"/>
      <c r="F854" s="30"/>
      <c r="G854" s="59">
        <v>1</v>
      </c>
      <c r="H854" s="59"/>
      <c r="I854" s="60"/>
      <c r="J854" s="60"/>
      <c r="K854" s="19"/>
      <c r="L854" s="20"/>
    </row>
    <row r="855" spans="1:12" outlineLevel="2">
      <c r="A855" s="113"/>
      <c r="B855" s="12" t="str">
        <f>IFERROR(VLOOKUP(D855,'[1]Перечень товаров'!$A$2:$I9525,2,0),"")</f>
        <v/>
      </c>
      <c r="C855" s="12" t="str">
        <f>IFERROR(VLOOKUP(D855,'[1]Перечень товаров'!$A$2:$I9525,3,0),"")</f>
        <v/>
      </c>
      <c r="D855" s="114" t="s">
        <v>19</v>
      </c>
      <c r="E855" s="115"/>
      <c r="F855" s="115"/>
      <c r="G855" s="59"/>
      <c r="H855" s="59"/>
      <c r="I855" s="60"/>
      <c r="J855" s="60"/>
      <c r="K855" s="19"/>
      <c r="L855" s="20"/>
    </row>
    <row r="856" spans="1:12" ht="31.5" outlineLevel="2">
      <c r="A856" s="34"/>
      <c r="B856" s="12" t="str">
        <f>IFERROR(VLOOKUP(D856,'[1]Перечень товаров'!$A$2:$I9525,2,0),"")</f>
        <v>м205</v>
      </c>
      <c r="C856" s="12" t="str">
        <f>IFERROR(VLOOKUP(D856,'[1]Перечень товаров'!$A$2:$I9525,3,0),"")</f>
        <v>Мебель</v>
      </c>
      <c r="D856" s="35" t="s">
        <v>20</v>
      </c>
      <c r="E856" s="88"/>
      <c r="F856" s="88"/>
      <c r="G856" s="59">
        <v>1</v>
      </c>
      <c r="H856" s="59"/>
      <c r="I856" s="60"/>
      <c r="J856" s="60"/>
      <c r="K856" s="19"/>
      <c r="L856" s="20"/>
    </row>
    <row r="857" spans="1:12" outlineLevel="2">
      <c r="A857" s="34"/>
      <c r="B857" s="12" t="str">
        <f>IFERROR(VLOOKUP(D857,'[1]Перечень товаров'!$A$2:$I9525,2,0),"")</f>
        <v>м61</v>
      </c>
      <c r="C857" s="12" t="str">
        <f>IFERROR(VLOOKUP(D857,'[1]Перечень товаров'!$A$2:$I9525,3,0),"")</f>
        <v>Мебель</v>
      </c>
      <c r="D857" s="35" t="s">
        <v>383</v>
      </c>
      <c r="E857" s="88"/>
      <c r="F857" s="88"/>
      <c r="G857" s="59">
        <v>1</v>
      </c>
      <c r="H857" s="59"/>
      <c r="I857" s="60"/>
      <c r="J857" s="60"/>
      <c r="K857" s="19"/>
      <c r="L857" s="20"/>
    </row>
    <row r="858" spans="1:12" outlineLevel="2">
      <c r="A858" s="34"/>
      <c r="B858" s="12" t="str">
        <f>IFERROR(VLOOKUP(D858,'[1]Перечень товаров'!$A$2:$I9525,2,0),"")</f>
        <v>м61</v>
      </c>
      <c r="C858" s="12" t="str">
        <f>IFERROR(VLOOKUP(D858,'[1]Перечень товаров'!$A$2:$I9525,3,0),"")</f>
        <v>Мебель</v>
      </c>
      <c r="D858" s="35" t="s">
        <v>384</v>
      </c>
      <c r="E858" s="88"/>
      <c r="F858" s="88"/>
      <c r="G858" s="59">
        <v>4</v>
      </c>
      <c r="H858" s="59"/>
      <c r="I858" s="60"/>
      <c r="J858" s="60"/>
      <c r="K858" s="19"/>
      <c r="L858" s="20"/>
    </row>
    <row r="859" spans="1:12" ht="31.5" outlineLevel="2">
      <c r="A859" s="34"/>
      <c r="B859" s="12" t="str">
        <f>IFERROR(VLOOKUP(D859,'[1]Перечень товаров'!$A$2:$I9525,2,0),"")</f>
        <v>м62</v>
      </c>
      <c r="C859" s="12" t="str">
        <f>IFERROR(VLOOKUP(D859,'[1]Перечень товаров'!$A$2:$I9525,3,0),"")</f>
        <v>Мебель</v>
      </c>
      <c r="D859" s="35" t="s">
        <v>385</v>
      </c>
      <c r="E859" s="88"/>
      <c r="F859" s="88"/>
      <c r="G859" s="59">
        <v>2</v>
      </c>
      <c r="H859" s="59"/>
      <c r="I859" s="60"/>
      <c r="J859" s="60"/>
      <c r="K859" s="19"/>
      <c r="L859" s="20"/>
    </row>
    <row r="860" spans="1:12" outlineLevel="2">
      <c r="A860" s="21"/>
      <c r="B860" s="12" t="str">
        <f>IFERROR(VLOOKUP(D860,'[1]Перечень товаров'!$A$2:$I9525,2,0),"")</f>
        <v>м13</v>
      </c>
      <c r="C860" s="12" t="str">
        <f>IFERROR(VLOOKUP(D860,'[1]Перечень товаров'!$A$2:$I9525,3,0),"")</f>
        <v>Мебель</v>
      </c>
      <c r="D860" s="22" t="s">
        <v>42</v>
      </c>
      <c r="E860" s="58"/>
      <c r="F860" s="58"/>
      <c r="G860" s="24">
        <v>1</v>
      </c>
      <c r="H860" s="24"/>
      <c r="I860" s="25"/>
      <c r="J860" s="25"/>
      <c r="K860" s="19"/>
      <c r="L860" s="20"/>
    </row>
    <row r="861" spans="1:12" outlineLevel="2">
      <c r="A861" s="21"/>
      <c r="B861" s="12" t="str">
        <f>IFERROR(VLOOKUP(D861,'[1]Перечень товаров'!$A$2:$I9525,2,0),"")</f>
        <v>м14</v>
      </c>
      <c r="C861" s="12" t="str">
        <f>IFERROR(VLOOKUP(D861,'[1]Перечень товаров'!$A$2:$I9525,3,0),"")</f>
        <v>Мебель</v>
      </c>
      <c r="D861" s="22" t="s">
        <v>43</v>
      </c>
      <c r="E861" s="58"/>
      <c r="F861" s="58"/>
      <c r="G861" s="24">
        <v>1</v>
      </c>
      <c r="H861" s="24"/>
      <c r="I861" s="25"/>
      <c r="J861" s="25"/>
      <c r="K861" s="19"/>
      <c r="L861" s="20"/>
    </row>
    <row r="862" spans="1:12" ht="31.5" outlineLevel="2">
      <c r="A862" s="21"/>
      <c r="B862" s="12" t="str">
        <f>IFERROR(VLOOKUP(D862,'[1]Перечень товаров'!$A$2:$I9525,2,0),"")</f>
        <v>м63</v>
      </c>
      <c r="C862" s="12" t="str">
        <f>IFERROR(VLOOKUP(D862,'[1]Перечень товаров'!$A$2:$I9525,3,0),"")</f>
        <v>Мебель</v>
      </c>
      <c r="D862" s="22" t="s">
        <v>386</v>
      </c>
      <c r="E862" s="58"/>
      <c r="F862" s="58"/>
      <c r="G862" s="24">
        <v>2</v>
      </c>
      <c r="H862" s="24"/>
      <c r="I862" s="25"/>
      <c r="J862" s="25"/>
      <c r="K862" s="19"/>
      <c r="L862" s="20"/>
    </row>
    <row r="863" spans="1:12" ht="31.5" outlineLevel="2">
      <c r="A863" s="21"/>
      <c r="B863" s="12" t="str">
        <f>IFERROR(VLOOKUP(D863,'[1]Перечень товаров'!$A$2:$I9525,2,0),"")</f>
        <v>м64</v>
      </c>
      <c r="C863" s="12" t="str">
        <f>IFERROR(VLOOKUP(D863,'[1]Перечень товаров'!$A$2:$I9525,3,0),"")</f>
        <v>Мебель</v>
      </c>
      <c r="D863" s="22" t="s">
        <v>387</v>
      </c>
      <c r="E863" s="58"/>
      <c r="F863" s="58"/>
      <c r="G863" s="24">
        <v>2</v>
      </c>
      <c r="H863" s="24"/>
      <c r="I863" s="25"/>
      <c r="J863" s="25"/>
      <c r="K863" s="19"/>
      <c r="L863" s="20"/>
    </row>
    <row r="864" spans="1:12" outlineLevel="2">
      <c r="A864" s="21"/>
      <c r="B864" s="12" t="str">
        <f>IFERROR(VLOOKUP(D864,'[1]Перечень товаров'!$A$2:$I9525,2,0),"")</f>
        <v>п33</v>
      </c>
      <c r="C864" s="12" t="str">
        <f>IFERROR(VLOOKUP(D864,'[1]Перечень товаров'!$A$2:$I9525,3,0),"")</f>
        <v>Прочее</v>
      </c>
      <c r="D864" s="22" t="s">
        <v>388</v>
      </c>
      <c r="E864" s="58"/>
      <c r="F864" s="58"/>
      <c r="G864" s="24">
        <v>1</v>
      </c>
      <c r="H864" s="24"/>
      <c r="I864" s="25"/>
      <c r="J864" s="25"/>
      <c r="K864" s="19"/>
      <c r="L864" s="20"/>
    </row>
    <row r="865" spans="1:12" outlineLevel="2">
      <c r="A865" s="21"/>
      <c r="B865" s="12" t="str">
        <f>IFERROR(VLOOKUP(D865,'[1]Перечень товаров'!$A$2:$I9525,2,0),"")</f>
        <v>м65</v>
      </c>
      <c r="C865" s="12" t="str">
        <f>IFERROR(VLOOKUP(D865,'[1]Перечень товаров'!$A$2:$I9525,3,0),"")</f>
        <v>Мебель</v>
      </c>
      <c r="D865" s="22" t="s">
        <v>389</v>
      </c>
      <c r="E865" s="58"/>
      <c r="F865" s="58"/>
      <c r="G865" s="24">
        <v>1</v>
      </c>
      <c r="H865" s="24"/>
      <c r="I865" s="25"/>
      <c r="J865" s="25"/>
      <c r="K865" s="19"/>
      <c r="L865" s="20"/>
    </row>
    <row r="866" spans="1:12" outlineLevel="2">
      <c r="A866" s="21"/>
      <c r="B866" s="12" t="str">
        <f>IFERROR(VLOOKUP(D866,'[1]Перечень товаров'!$A$2:$I9525,2,0),"")</f>
        <v>п34</v>
      </c>
      <c r="C866" s="12" t="str">
        <f>IFERROR(VLOOKUP(D866,'[1]Перечень товаров'!$A$2:$I9525,3,0),"")</f>
        <v>Прочее</v>
      </c>
      <c r="D866" s="22" t="s">
        <v>390</v>
      </c>
      <c r="E866" s="58"/>
      <c r="F866" s="58"/>
      <c r="G866" s="24">
        <v>1</v>
      </c>
      <c r="H866" s="24"/>
      <c r="I866" s="25"/>
      <c r="J866" s="25"/>
      <c r="K866" s="19"/>
      <c r="L866" s="20"/>
    </row>
    <row r="867" spans="1:12" ht="15" outlineLevel="2">
      <c r="A867" s="116"/>
      <c r="B867" s="12" t="str">
        <f>IFERROR(VLOOKUP(D867,'[1]Перечень товаров'!$A$2:$I9525,2,0),"")</f>
        <v/>
      </c>
      <c r="C867" s="12" t="str">
        <f>IFERROR(VLOOKUP(D867,'[1]Перечень товаров'!$A$2:$I9525,3,0),"")</f>
        <v/>
      </c>
      <c r="D867" s="117" t="s">
        <v>391</v>
      </c>
      <c r="E867" s="118"/>
      <c r="F867" s="118"/>
      <c r="G867" s="119"/>
      <c r="H867" s="119"/>
      <c r="I867" s="120"/>
      <c r="J867" s="120"/>
      <c r="K867" s="19"/>
      <c r="L867" s="20"/>
    </row>
    <row r="868" spans="1:12" ht="31.5" outlineLevel="2">
      <c r="A868" s="28"/>
      <c r="B868" s="12" t="str">
        <f>IFERROR(VLOOKUP(D868,'[1]Перечень товаров'!$A$2:$I9525,2,0),"")</f>
        <v>тм66</v>
      </c>
      <c r="C868" s="12" t="str">
        <f>IFERROR(VLOOKUP(D868,'[1]Перечень товаров'!$A$2:$I9525,3,0),"")</f>
        <v>Техника муз</v>
      </c>
      <c r="D868" s="29" t="s">
        <v>392</v>
      </c>
      <c r="E868" s="30"/>
      <c r="F868" s="30"/>
      <c r="G868" s="31">
        <v>2</v>
      </c>
      <c r="H868" s="31"/>
      <c r="I868" s="32"/>
      <c r="J868" s="32"/>
      <c r="K868" s="19"/>
      <c r="L868" s="20"/>
    </row>
    <row r="869" spans="1:12" ht="63" outlineLevel="2">
      <c r="A869" s="28"/>
      <c r="B869" s="12" t="str">
        <f>IFERROR(VLOOKUP(D869,'[1]Перечень товаров'!$A$2:$I9525,2,0),"")</f>
        <v>тм67</v>
      </c>
      <c r="C869" s="12" t="str">
        <f>IFERROR(VLOOKUP(D869,'[1]Перечень товаров'!$A$2:$I9525,3,0),"")</f>
        <v>Техника муз</v>
      </c>
      <c r="D869" s="29" t="s">
        <v>393</v>
      </c>
      <c r="E869" s="30"/>
      <c r="F869" s="30"/>
      <c r="G869" s="31">
        <v>1</v>
      </c>
      <c r="H869" s="31"/>
      <c r="I869" s="32"/>
      <c r="J869" s="32"/>
      <c r="K869" s="19"/>
      <c r="L869" s="20"/>
    </row>
    <row r="870" spans="1:12" ht="31.5" outlineLevel="2">
      <c r="A870" s="28"/>
      <c r="B870" s="12" t="str">
        <f>IFERROR(VLOOKUP(D870,'[1]Перечень товаров'!$A$2:$I9525,2,0),"")</f>
        <v>тм68</v>
      </c>
      <c r="C870" s="12" t="str">
        <f>IFERROR(VLOOKUP(D870,'[1]Перечень товаров'!$A$2:$I9525,3,0),"")</f>
        <v>Техника муз</v>
      </c>
      <c r="D870" s="29" t="s">
        <v>394</v>
      </c>
      <c r="E870" s="30"/>
      <c r="F870" s="30"/>
      <c r="G870" s="31">
        <v>1</v>
      </c>
      <c r="H870" s="31"/>
      <c r="I870" s="32"/>
      <c r="J870" s="32"/>
      <c r="K870" s="19"/>
      <c r="L870" s="20"/>
    </row>
    <row r="871" spans="1:12" ht="31.5" outlineLevel="2">
      <c r="A871" s="28"/>
      <c r="B871" s="12" t="str">
        <f>IFERROR(VLOOKUP(D871,'[1]Перечень товаров'!$A$2:$I9525,2,0),"")</f>
        <v>тм69</v>
      </c>
      <c r="C871" s="12" t="str">
        <f>IFERROR(VLOOKUP(D871,'[1]Перечень товаров'!$A$2:$I9525,3,0),"")</f>
        <v>Техника муз</v>
      </c>
      <c r="D871" s="29" t="s">
        <v>395</v>
      </c>
      <c r="E871" s="30"/>
      <c r="F871" s="30"/>
      <c r="G871" s="31">
        <v>1</v>
      </c>
      <c r="H871" s="31"/>
      <c r="I871" s="32"/>
      <c r="J871" s="32"/>
      <c r="K871" s="19"/>
      <c r="L871" s="20"/>
    </row>
    <row r="872" spans="1:12" ht="12.75" outlineLevel="1">
      <c r="A872" s="89"/>
      <c r="B872" s="12" t="str">
        <f>IFERROR(VLOOKUP(D872,'[1]Перечень товаров'!$A$2:$I9525,2,0),"")</f>
        <v/>
      </c>
      <c r="C872" s="12" t="str">
        <f>IFERROR(VLOOKUP(D872,'[1]Перечень товаров'!$A$2:$I9525,3,0),"")</f>
        <v/>
      </c>
      <c r="D872" s="90" t="s">
        <v>379</v>
      </c>
      <c r="E872" s="91" t="s">
        <v>396</v>
      </c>
      <c r="F872" s="91"/>
      <c r="G872" s="17"/>
      <c r="H872" s="17"/>
      <c r="I872" s="57"/>
      <c r="J872" s="57"/>
      <c r="K872" s="19"/>
      <c r="L872" s="20"/>
    </row>
    <row r="873" spans="1:12" ht="15" outlineLevel="2">
      <c r="A873" s="109"/>
      <c r="B873" s="12" t="str">
        <f>IFERROR(VLOOKUP(D873,'[1]Перечень товаров'!$A$2:$I9525,2,0),"")</f>
        <v/>
      </c>
      <c r="C873" s="12" t="str">
        <f>IFERROR(VLOOKUP(D873,'[1]Перечень товаров'!$A$2:$I9525,3,0),"")</f>
        <v/>
      </c>
      <c r="D873" s="110" t="s">
        <v>27</v>
      </c>
      <c r="E873" s="45"/>
      <c r="F873" s="45"/>
      <c r="G873" s="111"/>
      <c r="H873" s="111"/>
      <c r="I873" s="112"/>
      <c r="J873" s="112"/>
      <c r="K873" s="19"/>
      <c r="L873" s="20"/>
    </row>
    <row r="874" spans="1:12" outlineLevel="2">
      <c r="A874" s="21"/>
      <c r="B874" s="12" t="str">
        <f>IFERROR(VLOOKUP(D874,'[1]Перечень товаров'!$A$2:$I9525,2,0),"")</f>
        <v>т1</v>
      </c>
      <c r="C874" s="12" t="str">
        <f>IFERROR(VLOOKUP(D874,'[1]Перечень товаров'!$A$2:$I9525,3,0),"")</f>
        <v xml:space="preserve">Техника </v>
      </c>
      <c r="D874" s="22" t="s">
        <v>28</v>
      </c>
      <c r="E874" s="58"/>
      <c r="F874" s="58"/>
      <c r="G874" s="48">
        <v>1</v>
      </c>
      <c r="H874" s="48"/>
      <c r="I874" s="49"/>
      <c r="J874" s="49"/>
      <c r="K874" s="19"/>
      <c r="L874" s="20"/>
    </row>
    <row r="875" spans="1:12" outlineLevel="2">
      <c r="A875" s="35"/>
      <c r="B875" s="12" t="str">
        <f>IFERROR(VLOOKUP(D875,'[1]Перечень товаров'!$A$2:$I9525,2,0),"")</f>
        <v>т2</v>
      </c>
      <c r="C875" s="12" t="str">
        <f>IFERROR(VLOOKUP(D875,'[1]Перечень товаров'!$A$2:$I9525,3,0),"")</f>
        <v xml:space="preserve">Техника </v>
      </c>
      <c r="D875" s="35" t="s">
        <v>29</v>
      </c>
      <c r="E875" s="58"/>
      <c r="F875" s="58"/>
      <c r="G875" s="48">
        <v>1</v>
      </c>
      <c r="H875" s="48"/>
      <c r="I875" s="49"/>
      <c r="J875" s="49"/>
      <c r="K875" s="19"/>
      <c r="L875" s="20"/>
    </row>
    <row r="876" spans="1:12" outlineLevel="2">
      <c r="A876" s="35"/>
      <c r="B876" s="12" t="str">
        <f>IFERROR(VLOOKUP(D876,'[1]Перечень товаров'!$A$2:$I9525,2,0),"")</f>
        <v>т3</v>
      </c>
      <c r="C876" s="12" t="str">
        <f>IFERROR(VLOOKUP(D876,'[1]Перечень товаров'!$A$2:$I9525,3,0),"")</f>
        <v xml:space="preserve">Техника </v>
      </c>
      <c r="D876" s="35" t="s">
        <v>30</v>
      </c>
      <c r="E876" s="58"/>
      <c r="F876" s="58"/>
      <c r="G876" s="48">
        <v>1</v>
      </c>
      <c r="H876" s="48"/>
      <c r="I876" s="49"/>
      <c r="J876" s="49"/>
      <c r="K876" s="19"/>
      <c r="L876" s="20"/>
    </row>
    <row r="877" spans="1:12" outlineLevel="2">
      <c r="A877" s="35"/>
      <c r="B877" s="12" t="str">
        <f>IFERROR(VLOOKUP(D877,'[1]Перечень товаров'!$A$2:$I9525,2,0),"")</f>
        <v>т4</v>
      </c>
      <c r="C877" s="12" t="str">
        <f>IFERROR(VLOOKUP(D877,'[1]Перечень товаров'!$A$2:$I9525,3,0),"")</f>
        <v xml:space="preserve">Техника </v>
      </c>
      <c r="D877" s="35" t="s">
        <v>31</v>
      </c>
      <c r="E877" s="58"/>
      <c r="F877" s="58"/>
      <c r="G877" s="48">
        <v>1</v>
      </c>
      <c r="H877" s="48"/>
      <c r="I877" s="49"/>
      <c r="J877" s="49"/>
      <c r="K877" s="19"/>
      <c r="L877" s="20"/>
    </row>
    <row r="878" spans="1:12" outlineLevel="2">
      <c r="A878" s="21"/>
      <c r="B878" s="12" t="str">
        <f>IFERROR(VLOOKUP(D878,'[1]Перечень товаров'!$A$2:$I9525,2,0),"")</f>
        <v>тм65</v>
      </c>
      <c r="C878" s="12" t="str">
        <f>IFERROR(VLOOKUP(D878,'[1]Перечень товаров'!$A$2:$I9525,3,0),"")</f>
        <v>Техника муз</v>
      </c>
      <c r="D878" s="22" t="s">
        <v>380</v>
      </c>
      <c r="E878" s="58"/>
      <c r="F878" s="58"/>
      <c r="G878" s="48">
        <v>1</v>
      </c>
      <c r="H878" s="48"/>
      <c r="I878" s="49"/>
      <c r="J878" s="49"/>
      <c r="K878" s="19"/>
      <c r="L878" s="20"/>
    </row>
    <row r="879" spans="1:12" outlineLevel="2">
      <c r="A879" s="21"/>
      <c r="B879" s="12" t="str">
        <f>IFERROR(VLOOKUP(D879,'[1]Перечень товаров'!$A$2:$I9525,2,0),"")</f>
        <v>т12</v>
      </c>
      <c r="C879" s="12" t="str">
        <f>IFERROR(VLOOKUP(D879,'[1]Перечень товаров'!$A$2:$I9525,3,0),"")</f>
        <v>Техника</v>
      </c>
      <c r="D879" s="22" t="s">
        <v>49</v>
      </c>
      <c r="E879" s="58"/>
      <c r="F879" s="58"/>
      <c r="G879" s="48">
        <v>1</v>
      </c>
      <c r="H879" s="48"/>
      <c r="I879" s="49"/>
      <c r="J879" s="49"/>
      <c r="K879" s="19"/>
      <c r="L879" s="20"/>
    </row>
    <row r="880" spans="1:12" outlineLevel="2">
      <c r="A880" s="35"/>
      <c r="B880" s="12" t="str">
        <f>IFERROR(VLOOKUP(D880,'[1]Перечень товаров'!$A$2:$I9525,2,0),"")</f>
        <v>т6</v>
      </c>
      <c r="C880" s="12" t="str">
        <f>IFERROR(VLOOKUP(D880,'[1]Перечень товаров'!$A$2:$I9525,3,0),"")</f>
        <v xml:space="preserve">Техника </v>
      </c>
      <c r="D880" s="35" t="s">
        <v>33</v>
      </c>
      <c r="E880" s="58"/>
      <c r="F880" s="58"/>
      <c r="G880" s="48">
        <v>1</v>
      </c>
      <c r="H880" s="48"/>
      <c r="I880" s="49"/>
      <c r="J880" s="49"/>
      <c r="K880" s="19"/>
      <c r="L880" s="20"/>
    </row>
    <row r="881" spans="1:12" outlineLevel="2">
      <c r="A881" s="21"/>
      <c r="B881" s="12" t="str">
        <f>IFERROR(VLOOKUP(D881,'[1]Перечень товаров'!$A$2:$I9525,2,0),"")</f>
        <v>т7</v>
      </c>
      <c r="C881" s="12" t="str">
        <f>IFERROR(VLOOKUP(D881,'[1]Перечень товаров'!$A$2:$I9525,3,0),"")</f>
        <v xml:space="preserve">Техника </v>
      </c>
      <c r="D881" s="22" t="s">
        <v>34</v>
      </c>
      <c r="E881" s="58"/>
      <c r="F881" s="58"/>
      <c r="G881" s="48">
        <v>3</v>
      </c>
      <c r="H881" s="48"/>
      <c r="I881" s="49"/>
      <c r="J881" s="49"/>
      <c r="K881" s="19"/>
      <c r="L881" s="20"/>
    </row>
    <row r="882" spans="1:12" outlineLevel="2">
      <c r="A882" s="28"/>
      <c r="B882" s="12" t="str">
        <f>IFERROR(VLOOKUP(D882,'[1]Перечень товаров'!$A$2:$I9525,2,0),"")</f>
        <v>т161</v>
      </c>
      <c r="C882" s="12" t="str">
        <f>IFERROR(VLOOKUP(D882,'[1]Перечень товаров'!$A$2:$I9525,3,0),"")</f>
        <v xml:space="preserve">Техника </v>
      </c>
      <c r="D882" s="29" t="s">
        <v>381</v>
      </c>
      <c r="E882" s="30"/>
      <c r="F882" s="30"/>
      <c r="G882" s="59">
        <v>1</v>
      </c>
      <c r="H882" s="59"/>
      <c r="I882" s="60"/>
      <c r="J882" s="60"/>
      <c r="K882" s="19"/>
      <c r="L882" s="20"/>
    </row>
    <row r="883" spans="1:12" ht="47.25" outlineLevel="2">
      <c r="A883" s="21"/>
      <c r="B883" s="12" t="str">
        <f>IFERROR(VLOOKUP(D883,'[1]Перечень товаров'!$A$2:$I9525,2,0),"")</f>
        <v>м61</v>
      </c>
      <c r="C883" s="12" t="str">
        <f>IFERROR(VLOOKUP(D883,'[1]Перечень товаров'!$A$2:$I9525,3,0),"")</f>
        <v>Мебель</v>
      </c>
      <c r="D883" s="22" t="s">
        <v>382</v>
      </c>
      <c r="E883" s="30"/>
      <c r="F883" s="30"/>
      <c r="G883" s="59">
        <v>1</v>
      </c>
      <c r="H883" s="59"/>
      <c r="I883" s="60"/>
      <c r="J883" s="60"/>
      <c r="K883" s="19"/>
      <c r="L883" s="20"/>
    </row>
    <row r="884" spans="1:12" outlineLevel="2">
      <c r="A884" s="113"/>
      <c r="B884" s="12" t="str">
        <f>IFERROR(VLOOKUP(D884,'[1]Перечень товаров'!$A$2:$I9525,2,0),"")</f>
        <v/>
      </c>
      <c r="C884" s="12" t="str">
        <f>IFERROR(VLOOKUP(D884,'[1]Перечень товаров'!$A$2:$I9525,3,0),"")</f>
        <v/>
      </c>
      <c r="D884" s="114" t="s">
        <v>19</v>
      </c>
      <c r="E884" s="115"/>
      <c r="F884" s="115"/>
      <c r="G884" s="59"/>
      <c r="H884" s="59"/>
      <c r="I884" s="60"/>
      <c r="J884" s="60"/>
      <c r="K884" s="19"/>
      <c r="L884" s="20"/>
    </row>
    <row r="885" spans="1:12" ht="31.5" outlineLevel="2">
      <c r="A885" s="34"/>
      <c r="B885" s="12" t="str">
        <f>IFERROR(VLOOKUP(D885,'[1]Перечень товаров'!$A$2:$I9525,2,0),"")</f>
        <v>м205</v>
      </c>
      <c r="C885" s="12" t="str">
        <f>IFERROR(VLOOKUP(D885,'[1]Перечень товаров'!$A$2:$I9525,3,0),"")</f>
        <v>Мебель</v>
      </c>
      <c r="D885" s="35" t="s">
        <v>20</v>
      </c>
      <c r="E885" s="88"/>
      <c r="F885" s="88"/>
      <c r="G885" s="59">
        <v>1</v>
      </c>
      <c r="H885" s="59"/>
      <c r="I885" s="60"/>
      <c r="J885" s="60"/>
      <c r="K885" s="19"/>
      <c r="L885" s="20"/>
    </row>
    <row r="886" spans="1:12" outlineLevel="2">
      <c r="A886" s="34"/>
      <c r="B886" s="12" t="str">
        <f>IFERROR(VLOOKUP(D886,'[1]Перечень товаров'!$A$2:$I9525,2,0),"")</f>
        <v>м61</v>
      </c>
      <c r="C886" s="12" t="str">
        <f>IFERROR(VLOOKUP(D886,'[1]Перечень товаров'!$A$2:$I9525,3,0),"")</f>
        <v>Мебель</v>
      </c>
      <c r="D886" s="35" t="s">
        <v>383</v>
      </c>
      <c r="E886" s="88"/>
      <c r="F886" s="88"/>
      <c r="G886" s="59">
        <v>1</v>
      </c>
      <c r="H886" s="59"/>
      <c r="I886" s="60"/>
      <c r="J886" s="60"/>
      <c r="K886" s="19"/>
      <c r="L886" s="20"/>
    </row>
    <row r="887" spans="1:12" outlineLevel="2">
      <c r="A887" s="34"/>
      <c r="B887" s="12" t="str">
        <f>IFERROR(VLOOKUP(D887,'[1]Перечень товаров'!$A$2:$I9525,2,0),"")</f>
        <v>м61</v>
      </c>
      <c r="C887" s="12" t="str">
        <f>IFERROR(VLOOKUP(D887,'[1]Перечень товаров'!$A$2:$I9525,3,0),"")</f>
        <v>Мебель</v>
      </c>
      <c r="D887" s="35" t="s">
        <v>384</v>
      </c>
      <c r="E887" s="88"/>
      <c r="F887" s="88"/>
      <c r="G887" s="59">
        <v>4</v>
      </c>
      <c r="H887" s="59"/>
      <c r="I887" s="60"/>
      <c r="J887" s="60"/>
      <c r="K887" s="19"/>
      <c r="L887" s="20"/>
    </row>
    <row r="888" spans="1:12" ht="31.5" outlineLevel="2">
      <c r="A888" s="34"/>
      <c r="B888" s="12" t="str">
        <f>IFERROR(VLOOKUP(D888,'[1]Перечень товаров'!$A$2:$I9525,2,0),"")</f>
        <v>м62</v>
      </c>
      <c r="C888" s="12" t="str">
        <f>IFERROR(VLOOKUP(D888,'[1]Перечень товаров'!$A$2:$I9525,3,0),"")</f>
        <v>Мебель</v>
      </c>
      <c r="D888" s="35" t="s">
        <v>385</v>
      </c>
      <c r="E888" s="88"/>
      <c r="F888" s="88"/>
      <c r="G888" s="59">
        <v>2</v>
      </c>
      <c r="H888" s="59"/>
      <c r="I888" s="60"/>
      <c r="J888" s="60"/>
      <c r="K888" s="19"/>
      <c r="L888" s="20"/>
    </row>
    <row r="889" spans="1:12" outlineLevel="2">
      <c r="A889" s="21"/>
      <c r="B889" s="12" t="str">
        <f>IFERROR(VLOOKUP(D889,'[1]Перечень товаров'!$A$2:$I9525,2,0),"")</f>
        <v>м13</v>
      </c>
      <c r="C889" s="12" t="str">
        <f>IFERROR(VLOOKUP(D889,'[1]Перечень товаров'!$A$2:$I9525,3,0),"")</f>
        <v>Мебель</v>
      </c>
      <c r="D889" s="22" t="s">
        <v>42</v>
      </c>
      <c r="E889" s="58"/>
      <c r="F889" s="58"/>
      <c r="G889" s="24">
        <v>1</v>
      </c>
      <c r="H889" s="24"/>
      <c r="I889" s="25"/>
      <c r="J889" s="25"/>
      <c r="K889" s="19"/>
      <c r="L889" s="20"/>
    </row>
    <row r="890" spans="1:12" outlineLevel="2">
      <c r="A890" s="21"/>
      <c r="B890" s="12" t="str">
        <f>IFERROR(VLOOKUP(D890,'[1]Перечень товаров'!$A$2:$I9525,2,0),"")</f>
        <v>м14</v>
      </c>
      <c r="C890" s="12" t="str">
        <f>IFERROR(VLOOKUP(D890,'[1]Перечень товаров'!$A$2:$I9525,3,0),"")</f>
        <v>Мебель</v>
      </c>
      <c r="D890" s="22" t="s">
        <v>43</v>
      </c>
      <c r="E890" s="58"/>
      <c r="F890" s="58"/>
      <c r="G890" s="24">
        <v>1</v>
      </c>
      <c r="H890" s="24"/>
      <c r="I890" s="25"/>
      <c r="J890" s="25"/>
      <c r="K890" s="19"/>
      <c r="L890" s="20"/>
    </row>
    <row r="891" spans="1:12" ht="31.5" outlineLevel="2">
      <c r="A891" s="21"/>
      <c r="B891" s="12" t="str">
        <f>IFERROR(VLOOKUP(D891,'[1]Перечень товаров'!$A$2:$I9525,2,0),"")</f>
        <v>м63</v>
      </c>
      <c r="C891" s="12" t="str">
        <f>IFERROR(VLOOKUP(D891,'[1]Перечень товаров'!$A$2:$I9525,3,0),"")</f>
        <v>Мебель</v>
      </c>
      <c r="D891" s="22" t="s">
        <v>386</v>
      </c>
      <c r="E891" s="58"/>
      <c r="F891" s="58"/>
      <c r="G891" s="24">
        <v>2</v>
      </c>
      <c r="H891" s="24"/>
      <c r="I891" s="25"/>
      <c r="J891" s="25"/>
      <c r="K891" s="19"/>
      <c r="L891" s="20"/>
    </row>
    <row r="892" spans="1:12" ht="31.5" outlineLevel="2">
      <c r="A892" s="21"/>
      <c r="B892" s="12" t="str">
        <f>IFERROR(VLOOKUP(D892,'[1]Перечень товаров'!$A$2:$I9525,2,0),"")</f>
        <v>м64</v>
      </c>
      <c r="C892" s="12" t="str">
        <f>IFERROR(VLOOKUP(D892,'[1]Перечень товаров'!$A$2:$I9525,3,0),"")</f>
        <v>Мебель</v>
      </c>
      <c r="D892" s="22" t="s">
        <v>387</v>
      </c>
      <c r="E892" s="58"/>
      <c r="F892" s="58"/>
      <c r="G892" s="24">
        <v>2</v>
      </c>
      <c r="H892" s="24"/>
      <c r="I892" s="25"/>
      <c r="J892" s="25"/>
      <c r="K892" s="19"/>
      <c r="L892" s="20"/>
    </row>
    <row r="893" spans="1:12" outlineLevel="2">
      <c r="A893" s="21"/>
      <c r="B893" s="12" t="str">
        <f>IFERROR(VLOOKUP(D893,'[1]Перечень товаров'!$A$2:$I9525,2,0),"")</f>
        <v>п33</v>
      </c>
      <c r="C893" s="12" t="str">
        <f>IFERROR(VLOOKUP(D893,'[1]Перечень товаров'!$A$2:$I9525,3,0),"")</f>
        <v>Прочее</v>
      </c>
      <c r="D893" s="22" t="s">
        <v>388</v>
      </c>
      <c r="E893" s="58"/>
      <c r="F893" s="58"/>
      <c r="G893" s="24">
        <v>1</v>
      </c>
      <c r="H893" s="24"/>
      <c r="I893" s="25"/>
      <c r="J893" s="25"/>
      <c r="K893" s="19"/>
      <c r="L893" s="20"/>
    </row>
    <row r="894" spans="1:12" outlineLevel="2">
      <c r="A894" s="21"/>
      <c r="B894" s="12" t="str">
        <f>IFERROR(VLOOKUP(D894,'[1]Перечень товаров'!$A$2:$I9525,2,0),"")</f>
        <v>м65</v>
      </c>
      <c r="C894" s="12" t="str">
        <f>IFERROR(VLOOKUP(D894,'[1]Перечень товаров'!$A$2:$I9525,3,0),"")</f>
        <v>Мебель</v>
      </c>
      <c r="D894" s="22" t="s">
        <v>389</v>
      </c>
      <c r="E894" s="58"/>
      <c r="F894" s="58"/>
      <c r="G894" s="24">
        <v>1</v>
      </c>
      <c r="H894" s="24"/>
      <c r="I894" s="25"/>
      <c r="J894" s="25"/>
      <c r="K894" s="19"/>
      <c r="L894" s="20"/>
    </row>
    <row r="895" spans="1:12" outlineLevel="2">
      <c r="A895" s="21"/>
      <c r="B895" s="12" t="str">
        <f>IFERROR(VLOOKUP(D895,'[1]Перечень товаров'!$A$2:$I9525,2,0),"")</f>
        <v>п34</v>
      </c>
      <c r="C895" s="12" t="str">
        <f>IFERROR(VLOOKUP(D895,'[1]Перечень товаров'!$A$2:$I9525,3,0),"")</f>
        <v>Прочее</v>
      </c>
      <c r="D895" s="22" t="s">
        <v>390</v>
      </c>
      <c r="E895" s="58"/>
      <c r="F895" s="58"/>
      <c r="G895" s="24">
        <v>1</v>
      </c>
      <c r="H895" s="24"/>
      <c r="I895" s="25"/>
      <c r="J895" s="25"/>
      <c r="K895" s="19"/>
      <c r="L895" s="20"/>
    </row>
    <row r="896" spans="1:12" ht="15" outlineLevel="2">
      <c r="A896" s="116"/>
      <c r="B896" s="12" t="str">
        <f>IFERROR(VLOOKUP(D896,'[1]Перечень товаров'!$A$2:$I9525,2,0),"")</f>
        <v/>
      </c>
      <c r="C896" s="12" t="str">
        <f>IFERROR(VLOOKUP(D896,'[1]Перечень товаров'!$A$2:$I9525,3,0),"")</f>
        <v/>
      </c>
      <c r="D896" s="117" t="s">
        <v>391</v>
      </c>
      <c r="E896" s="118"/>
      <c r="F896" s="118"/>
      <c r="G896" s="119"/>
      <c r="H896" s="119"/>
      <c r="I896" s="120"/>
      <c r="J896" s="120"/>
      <c r="K896" s="19"/>
      <c r="L896" s="20"/>
    </row>
    <row r="897" spans="1:12" ht="31.5" outlineLevel="2">
      <c r="A897" s="28"/>
      <c r="B897" s="12" t="str">
        <f>IFERROR(VLOOKUP(D897,'[1]Перечень товаров'!$A$2:$I9525,2,0),"")</f>
        <v>тм66</v>
      </c>
      <c r="C897" s="12" t="str">
        <f>IFERROR(VLOOKUP(D897,'[1]Перечень товаров'!$A$2:$I9525,3,0),"")</f>
        <v>Техника муз</v>
      </c>
      <c r="D897" s="29" t="s">
        <v>392</v>
      </c>
      <c r="E897" s="30"/>
      <c r="F897" s="30"/>
      <c r="G897" s="31">
        <v>2</v>
      </c>
      <c r="H897" s="31"/>
      <c r="I897" s="32"/>
      <c r="J897" s="32"/>
      <c r="K897" s="19"/>
      <c r="L897" s="20"/>
    </row>
    <row r="898" spans="1:12" ht="63" outlineLevel="2">
      <c r="A898" s="28"/>
      <c r="B898" s="12" t="str">
        <f>IFERROR(VLOOKUP(D898,'[1]Перечень товаров'!$A$2:$I9525,2,0),"")</f>
        <v>тм67</v>
      </c>
      <c r="C898" s="12" t="str">
        <f>IFERROR(VLOOKUP(D898,'[1]Перечень товаров'!$A$2:$I9525,3,0),"")</f>
        <v>Техника муз</v>
      </c>
      <c r="D898" s="29" t="s">
        <v>393</v>
      </c>
      <c r="E898" s="30"/>
      <c r="F898" s="30"/>
      <c r="G898" s="31">
        <v>1</v>
      </c>
      <c r="H898" s="31"/>
      <c r="I898" s="32"/>
      <c r="J898" s="32"/>
      <c r="K898" s="19"/>
      <c r="L898" s="20"/>
    </row>
    <row r="899" spans="1:12" ht="31.5" outlineLevel="2">
      <c r="A899" s="28"/>
      <c r="B899" s="12" t="str">
        <f>IFERROR(VLOOKUP(D899,'[1]Перечень товаров'!$A$2:$I9525,2,0),"")</f>
        <v>тм68</v>
      </c>
      <c r="C899" s="12" t="str">
        <f>IFERROR(VLOOKUP(D899,'[1]Перечень товаров'!$A$2:$I9525,3,0),"")</f>
        <v>Техника муз</v>
      </c>
      <c r="D899" s="29" t="s">
        <v>394</v>
      </c>
      <c r="E899" s="30"/>
      <c r="F899" s="30"/>
      <c r="G899" s="31">
        <v>1</v>
      </c>
      <c r="H899" s="31"/>
      <c r="I899" s="32"/>
      <c r="J899" s="32"/>
      <c r="K899" s="19"/>
      <c r="L899" s="20"/>
    </row>
    <row r="900" spans="1:12" ht="31.5" outlineLevel="2">
      <c r="A900" s="28"/>
      <c r="B900" s="12" t="str">
        <f>IFERROR(VLOOKUP(D900,'[1]Перечень товаров'!$A$2:$I9525,2,0),"")</f>
        <v>тм69</v>
      </c>
      <c r="C900" s="12" t="str">
        <f>IFERROR(VLOOKUP(D900,'[1]Перечень товаров'!$A$2:$I9525,3,0),"")</f>
        <v>Техника муз</v>
      </c>
      <c r="D900" s="29" t="s">
        <v>395</v>
      </c>
      <c r="E900" s="30"/>
      <c r="F900" s="30"/>
      <c r="G900" s="31">
        <v>1</v>
      </c>
      <c r="H900" s="31"/>
      <c r="I900" s="32"/>
      <c r="J900" s="32"/>
      <c r="K900" s="19"/>
      <c r="L900" s="20"/>
    </row>
    <row r="901" spans="1:12" ht="12.75" outlineLevel="1">
      <c r="A901" s="89"/>
      <c r="B901" s="12" t="str">
        <f>IFERROR(VLOOKUP(D901,'[1]Перечень товаров'!$A$2:$I9525,2,0),"")</f>
        <v/>
      </c>
      <c r="C901" s="12" t="str">
        <f>IFERROR(VLOOKUP(D901,'[1]Перечень товаров'!$A$2:$I9525,3,0),"")</f>
        <v/>
      </c>
      <c r="D901" s="90" t="s">
        <v>379</v>
      </c>
      <c r="E901" s="108">
        <v>46075</v>
      </c>
      <c r="F901" s="108"/>
      <c r="G901" s="100"/>
      <c r="H901" s="100"/>
      <c r="I901" s="101"/>
      <c r="J901" s="101"/>
      <c r="K901" s="19"/>
      <c r="L901" s="20"/>
    </row>
    <row r="902" spans="1:12" ht="15" outlineLevel="2">
      <c r="A902" s="109"/>
      <c r="B902" s="12" t="str">
        <f>IFERROR(VLOOKUP(D902,'[1]Перечень товаров'!$A$2:$I9525,2,0),"")</f>
        <v/>
      </c>
      <c r="C902" s="12" t="str">
        <f>IFERROR(VLOOKUP(D902,'[1]Перечень товаров'!$A$2:$I9525,3,0),"")</f>
        <v/>
      </c>
      <c r="D902" s="110" t="s">
        <v>27</v>
      </c>
      <c r="E902" s="45"/>
      <c r="F902" s="45"/>
      <c r="G902" s="111"/>
      <c r="H902" s="111"/>
      <c r="I902" s="112"/>
      <c r="J902" s="112"/>
      <c r="K902" s="19"/>
      <c r="L902" s="20"/>
    </row>
    <row r="903" spans="1:12" outlineLevel="2">
      <c r="A903" s="21"/>
      <c r="B903" s="12" t="str">
        <f>IFERROR(VLOOKUP(D903,'[1]Перечень товаров'!$A$2:$I9525,2,0),"")</f>
        <v>т1</v>
      </c>
      <c r="C903" s="12" t="str">
        <f>IFERROR(VLOOKUP(D903,'[1]Перечень товаров'!$A$2:$I9525,3,0),"")</f>
        <v xml:space="preserve">Техника </v>
      </c>
      <c r="D903" s="22" t="s">
        <v>28</v>
      </c>
      <c r="E903" s="58"/>
      <c r="F903" s="58"/>
      <c r="G903" s="48">
        <v>1</v>
      </c>
      <c r="H903" s="48"/>
      <c r="I903" s="49"/>
      <c r="J903" s="49"/>
      <c r="K903" s="19"/>
      <c r="L903" s="20"/>
    </row>
    <row r="904" spans="1:12" outlineLevel="2">
      <c r="A904" s="35"/>
      <c r="B904" s="12" t="str">
        <f>IFERROR(VLOOKUP(D904,'[1]Перечень товаров'!$A$2:$I9525,2,0),"")</f>
        <v>т2</v>
      </c>
      <c r="C904" s="12" t="str">
        <f>IFERROR(VLOOKUP(D904,'[1]Перечень товаров'!$A$2:$I9525,3,0),"")</f>
        <v xml:space="preserve">Техника </v>
      </c>
      <c r="D904" s="35" t="s">
        <v>29</v>
      </c>
      <c r="E904" s="58"/>
      <c r="F904" s="58"/>
      <c r="G904" s="48">
        <v>1</v>
      </c>
      <c r="H904" s="48"/>
      <c r="I904" s="49"/>
      <c r="J904" s="49"/>
      <c r="K904" s="19"/>
      <c r="L904" s="20"/>
    </row>
    <row r="905" spans="1:12" outlineLevel="2">
      <c r="A905" s="35"/>
      <c r="B905" s="12" t="str">
        <f>IFERROR(VLOOKUP(D905,'[1]Перечень товаров'!$A$2:$I9525,2,0),"")</f>
        <v>т3</v>
      </c>
      <c r="C905" s="12" t="str">
        <f>IFERROR(VLOOKUP(D905,'[1]Перечень товаров'!$A$2:$I9525,3,0),"")</f>
        <v xml:space="preserve">Техника </v>
      </c>
      <c r="D905" s="35" t="s">
        <v>30</v>
      </c>
      <c r="E905" s="58"/>
      <c r="F905" s="58"/>
      <c r="G905" s="48">
        <v>1</v>
      </c>
      <c r="H905" s="48"/>
      <c r="I905" s="49"/>
      <c r="J905" s="49"/>
      <c r="K905" s="19"/>
      <c r="L905" s="20"/>
    </row>
    <row r="906" spans="1:12" outlineLevel="2">
      <c r="A906" s="35"/>
      <c r="B906" s="12" t="str">
        <f>IFERROR(VLOOKUP(D906,'[1]Перечень товаров'!$A$2:$I9525,2,0),"")</f>
        <v>т4</v>
      </c>
      <c r="C906" s="12" t="str">
        <f>IFERROR(VLOOKUP(D906,'[1]Перечень товаров'!$A$2:$I9525,3,0),"")</f>
        <v xml:space="preserve">Техника </v>
      </c>
      <c r="D906" s="35" t="s">
        <v>31</v>
      </c>
      <c r="E906" s="58"/>
      <c r="F906" s="58"/>
      <c r="G906" s="48">
        <v>1</v>
      </c>
      <c r="H906" s="48"/>
      <c r="I906" s="49"/>
      <c r="J906" s="49"/>
      <c r="K906" s="19"/>
      <c r="L906" s="20"/>
    </row>
    <row r="907" spans="1:12" outlineLevel="2">
      <c r="A907" s="21"/>
      <c r="B907" s="12" t="str">
        <f>IFERROR(VLOOKUP(D907,'[1]Перечень товаров'!$A$2:$I9525,2,0),"")</f>
        <v>тм65</v>
      </c>
      <c r="C907" s="12" t="str">
        <f>IFERROR(VLOOKUP(D907,'[1]Перечень товаров'!$A$2:$I9525,3,0),"")</f>
        <v>Техника муз</v>
      </c>
      <c r="D907" s="22" t="s">
        <v>380</v>
      </c>
      <c r="E907" s="58"/>
      <c r="F907" s="58"/>
      <c r="G907" s="48">
        <v>1</v>
      </c>
      <c r="H907" s="48"/>
      <c r="I907" s="49"/>
      <c r="J907" s="49"/>
      <c r="K907" s="19"/>
      <c r="L907" s="20"/>
    </row>
    <row r="908" spans="1:12" outlineLevel="2">
      <c r="A908" s="21"/>
      <c r="B908" s="12" t="str">
        <f>IFERROR(VLOOKUP(D908,'[1]Перечень товаров'!$A$2:$I9525,2,0),"")</f>
        <v>т12</v>
      </c>
      <c r="C908" s="12" t="str">
        <f>IFERROR(VLOOKUP(D908,'[1]Перечень товаров'!$A$2:$I9525,3,0),"")</f>
        <v>Техника</v>
      </c>
      <c r="D908" s="22" t="s">
        <v>49</v>
      </c>
      <c r="E908" s="58"/>
      <c r="F908" s="58"/>
      <c r="G908" s="48">
        <v>1</v>
      </c>
      <c r="H908" s="48"/>
      <c r="I908" s="49"/>
      <c r="J908" s="49"/>
      <c r="K908" s="19"/>
      <c r="L908" s="20"/>
    </row>
    <row r="909" spans="1:12" outlineLevel="2">
      <c r="A909" s="35"/>
      <c r="B909" s="12" t="str">
        <f>IFERROR(VLOOKUP(D909,'[1]Перечень товаров'!$A$2:$I9525,2,0),"")</f>
        <v>т6</v>
      </c>
      <c r="C909" s="12" t="str">
        <f>IFERROR(VLOOKUP(D909,'[1]Перечень товаров'!$A$2:$I9525,3,0),"")</f>
        <v xml:space="preserve">Техника </v>
      </c>
      <c r="D909" s="35" t="s">
        <v>33</v>
      </c>
      <c r="E909" s="58"/>
      <c r="F909" s="58"/>
      <c r="G909" s="48">
        <v>1</v>
      </c>
      <c r="H909" s="48"/>
      <c r="I909" s="49"/>
      <c r="J909" s="49"/>
      <c r="K909" s="19"/>
      <c r="L909" s="20"/>
    </row>
    <row r="910" spans="1:12" outlineLevel="2">
      <c r="A910" s="21"/>
      <c r="B910" s="12" t="str">
        <f>IFERROR(VLOOKUP(D910,'[1]Перечень товаров'!$A$2:$I9525,2,0),"")</f>
        <v>т7</v>
      </c>
      <c r="C910" s="12" t="str">
        <f>IFERROR(VLOOKUP(D910,'[1]Перечень товаров'!$A$2:$I9525,3,0),"")</f>
        <v xml:space="preserve">Техника </v>
      </c>
      <c r="D910" s="22" t="s">
        <v>34</v>
      </c>
      <c r="E910" s="58"/>
      <c r="F910" s="58"/>
      <c r="G910" s="48">
        <v>3</v>
      </c>
      <c r="H910" s="48"/>
      <c r="I910" s="49"/>
      <c r="J910" s="49"/>
      <c r="K910" s="19"/>
      <c r="L910" s="20"/>
    </row>
    <row r="911" spans="1:12" outlineLevel="2">
      <c r="A911" s="28"/>
      <c r="B911" s="12" t="str">
        <f>IFERROR(VLOOKUP(D911,'[1]Перечень товаров'!$A$2:$I9525,2,0),"")</f>
        <v>т161</v>
      </c>
      <c r="C911" s="12" t="str">
        <f>IFERROR(VLOOKUP(D911,'[1]Перечень товаров'!$A$2:$I9525,3,0),"")</f>
        <v xml:space="preserve">Техника </v>
      </c>
      <c r="D911" s="29" t="s">
        <v>381</v>
      </c>
      <c r="E911" s="30"/>
      <c r="F911" s="30"/>
      <c r="G911" s="59">
        <v>1</v>
      </c>
      <c r="H911" s="59"/>
      <c r="I911" s="60"/>
      <c r="J911" s="60"/>
      <c r="K911" s="19"/>
      <c r="L911" s="20"/>
    </row>
    <row r="912" spans="1:12" ht="47.25" outlineLevel="2">
      <c r="A912" s="21"/>
      <c r="B912" s="12" t="str">
        <f>IFERROR(VLOOKUP(D912,'[1]Перечень товаров'!$A$2:$I9525,2,0),"")</f>
        <v>м61</v>
      </c>
      <c r="C912" s="12" t="str">
        <f>IFERROR(VLOOKUP(D912,'[1]Перечень товаров'!$A$2:$I9525,3,0),"")</f>
        <v>Мебель</v>
      </c>
      <c r="D912" s="22" t="s">
        <v>382</v>
      </c>
      <c r="E912" s="30"/>
      <c r="F912" s="30"/>
      <c r="G912" s="59">
        <v>1</v>
      </c>
      <c r="H912" s="59"/>
      <c r="I912" s="60"/>
      <c r="J912" s="60"/>
      <c r="K912" s="19"/>
      <c r="L912" s="20"/>
    </row>
    <row r="913" spans="1:12" outlineLevel="2">
      <c r="A913" s="113"/>
      <c r="B913" s="12" t="str">
        <f>IFERROR(VLOOKUP(D913,'[1]Перечень товаров'!$A$2:$I9525,2,0),"")</f>
        <v/>
      </c>
      <c r="C913" s="12" t="str">
        <f>IFERROR(VLOOKUP(D913,'[1]Перечень товаров'!$A$2:$I9525,3,0),"")</f>
        <v/>
      </c>
      <c r="D913" s="114" t="s">
        <v>19</v>
      </c>
      <c r="E913" s="115"/>
      <c r="F913" s="115"/>
      <c r="G913" s="59"/>
      <c r="H913" s="59"/>
      <c r="I913" s="60"/>
      <c r="J913" s="60"/>
      <c r="K913" s="19"/>
      <c r="L913" s="20"/>
    </row>
    <row r="914" spans="1:12" ht="31.5" outlineLevel="2">
      <c r="A914" s="34"/>
      <c r="B914" s="12" t="str">
        <f>IFERROR(VLOOKUP(D914,'[1]Перечень товаров'!$A$2:$I9525,2,0),"")</f>
        <v>м205</v>
      </c>
      <c r="C914" s="12" t="str">
        <f>IFERROR(VLOOKUP(D914,'[1]Перечень товаров'!$A$2:$I9525,3,0),"")</f>
        <v>Мебель</v>
      </c>
      <c r="D914" s="35" t="s">
        <v>20</v>
      </c>
      <c r="E914" s="88"/>
      <c r="F914" s="88"/>
      <c r="G914" s="59">
        <v>1</v>
      </c>
      <c r="H914" s="59"/>
      <c r="I914" s="60"/>
      <c r="J914" s="60"/>
      <c r="K914" s="19"/>
      <c r="L914" s="20"/>
    </row>
    <row r="915" spans="1:12" outlineLevel="2">
      <c r="A915" s="34"/>
      <c r="B915" s="12" t="str">
        <f>IFERROR(VLOOKUP(D915,'[1]Перечень товаров'!$A$2:$I9525,2,0),"")</f>
        <v>м61</v>
      </c>
      <c r="C915" s="12" t="str">
        <f>IFERROR(VLOOKUP(D915,'[1]Перечень товаров'!$A$2:$I9525,3,0),"")</f>
        <v>Мебель</v>
      </c>
      <c r="D915" s="35" t="s">
        <v>383</v>
      </c>
      <c r="E915" s="88"/>
      <c r="F915" s="88"/>
      <c r="G915" s="59">
        <v>1</v>
      </c>
      <c r="H915" s="59"/>
      <c r="I915" s="60"/>
      <c r="J915" s="60"/>
      <c r="K915" s="19"/>
      <c r="L915" s="20"/>
    </row>
    <row r="916" spans="1:12" outlineLevel="2">
      <c r="A916" s="34"/>
      <c r="B916" s="12" t="str">
        <f>IFERROR(VLOOKUP(D916,'[1]Перечень товаров'!$A$2:$I9525,2,0),"")</f>
        <v>м61</v>
      </c>
      <c r="C916" s="12" t="str">
        <f>IFERROR(VLOOKUP(D916,'[1]Перечень товаров'!$A$2:$I9525,3,0),"")</f>
        <v>Мебель</v>
      </c>
      <c r="D916" s="35" t="s">
        <v>384</v>
      </c>
      <c r="E916" s="88"/>
      <c r="F916" s="88"/>
      <c r="G916" s="59">
        <v>4</v>
      </c>
      <c r="H916" s="59"/>
      <c r="I916" s="60"/>
      <c r="J916" s="60"/>
      <c r="K916" s="19"/>
      <c r="L916" s="20"/>
    </row>
    <row r="917" spans="1:12" ht="31.5" outlineLevel="2">
      <c r="A917" s="34"/>
      <c r="B917" s="12" t="str">
        <f>IFERROR(VLOOKUP(D917,'[1]Перечень товаров'!$A$2:$I9525,2,0),"")</f>
        <v>м62</v>
      </c>
      <c r="C917" s="12" t="str">
        <f>IFERROR(VLOOKUP(D917,'[1]Перечень товаров'!$A$2:$I9525,3,0),"")</f>
        <v>Мебель</v>
      </c>
      <c r="D917" s="35" t="s">
        <v>385</v>
      </c>
      <c r="E917" s="88"/>
      <c r="F917" s="88"/>
      <c r="G917" s="59">
        <v>2</v>
      </c>
      <c r="H917" s="59"/>
      <c r="I917" s="60"/>
      <c r="J917" s="60"/>
      <c r="K917" s="19"/>
      <c r="L917" s="20"/>
    </row>
    <row r="918" spans="1:12" outlineLevel="2">
      <c r="A918" s="21"/>
      <c r="B918" s="12" t="str">
        <f>IFERROR(VLOOKUP(D918,'[1]Перечень товаров'!$A$2:$I9525,2,0),"")</f>
        <v>м13</v>
      </c>
      <c r="C918" s="12" t="str">
        <f>IFERROR(VLOOKUP(D918,'[1]Перечень товаров'!$A$2:$I9525,3,0),"")</f>
        <v>Мебель</v>
      </c>
      <c r="D918" s="22" t="s">
        <v>42</v>
      </c>
      <c r="E918" s="58"/>
      <c r="F918" s="58"/>
      <c r="G918" s="24">
        <v>1</v>
      </c>
      <c r="H918" s="24"/>
      <c r="I918" s="25"/>
      <c r="J918" s="25"/>
      <c r="K918" s="19"/>
      <c r="L918" s="20"/>
    </row>
    <row r="919" spans="1:12" outlineLevel="2">
      <c r="A919" s="21"/>
      <c r="B919" s="12" t="str">
        <f>IFERROR(VLOOKUP(D919,'[1]Перечень товаров'!$A$2:$I9525,2,0),"")</f>
        <v>м14</v>
      </c>
      <c r="C919" s="12" t="str">
        <f>IFERROR(VLOOKUP(D919,'[1]Перечень товаров'!$A$2:$I9525,3,0),"")</f>
        <v>Мебель</v>
      </c>
      <c r="D919" s="22" t="s">
        <v>43</v>
      </c>
      <c r="E919" s="58"/>
      <c r="F919" s="58"/>
      <c r="G919" s="24">
        <v>1</v>
      </c>
      <c r="H919" s="24"/>
      <c r="I919" s="25"/>
      <c r="J919" s="25"/>
      <c r="K919" s="19"/>
      <c r="L919" s="20"/>
    </row>
    <row r="920" spans="1:12" ht="31.5" outlineLevel="2">
      <c r="A920" s="21"/>
      <c r="B920" s="12" t="str">
        <f>IFERROR(VLOOKUP(D920,'[1]Перечень товаров'!$A$2:$I9525,2,0),"")</f>
        <v>м63</v>
      </c>
      <c r="C920" s="12" t="str">
        <f>IFERROR(VLOOKUP(D920,'[1]Перечень товаров'!$A$2:$I9525,3,0),"")</f>
        <v>Мебель</v>
      </c>
      <c r="D920" s="22" t="s">
        <v>386</v>
      </c>
      <c r="E920" s="58"/>
      <c r="F920" s="58"/>
      <c r="G920" s="24">
        <v>2</v>
      </c>
      <c r="H920" s="24"/>
      <c r="I920" s="25"/>
      <c r="J920" s="25"/>
      <c r="K920" s="19"/>
      <c r="L920" s="20"/>
    </row>
    <row r="921" spans="1:12" ht="31.5" outlineLevel="2">
      <c r="A921" s="21"/>
      <c r="B921" s="12" t="str">
        <f>IFERROR(VLOOKUP(D921,'[1]Перечень товаров'!$A$2:$I9525,2,0),"")</f>
        <v>м64</v>
      </c>
      <c r="C921" s="12" t="str">
        <f>IFERROR(VLOOKUP(D921,'[1]Перечень товаров'!$A$2:$I9525,3,0),"")</f>
        <v>Мебель</v>
      </c>
      <c r="D921" s="22" t="s">
        <v>387</v>
      </c>
      <c r="E921" s="58"/>
      <c r="F921" s="58"/>
      <c r="G921" s="24">
        <v>2</v>
      </c>
      <c r="H921" s="24"/>
      <c r="I921" s="25"/>
      <c r="J921" s="25"/>
      <c r="K921" s="19"/>
      <c r="L921" s="20"/>
    </row>
    <row r="922" spans="1:12" outlineLevel="2">
      <c r="A922" s="21"/>
      <c r="B922" s="12" t="str">
        <f>IFERROR(VLOOKUP(D922,'[1]Перечень товаров'!$A$2:$I9525,2,0),"")</f>
        <v>п33</v>
      </c>
      <c r="C922" s="12" t="str">
        <f>IFERROR(VLOOKUP(D922,'[1]Перечень товаров'!$A$2:$I9525,3,0),"")</f>
        <v>Прочее</v>
      </c>
      <c r="D922" s="22" t="s">
        <v>388</v>
      </c>
      <c r="E922" s="58"/>
      <c r="F922" s="58"/>
      <c r="G922" s="24">
        <v>1</v>
      </c>
      <c r="H922" s="24"/>
      <c r="I922" s="25"/>
      <c r="J922" s="25"/>
      <c r="K922" s="19"/>
      <c r="L922" s="20"/>
    </row>
    <row r="923" spans="1:12" outlineLevel="2">
      <c r="A923" s="21"/>
      <c r="B923" s="12" t="str">
        <f>IFERROR(VLOOKUP(D923,'[1]Перечень товаров'!$A$2:$I9525,2,0),"")</f>
        <v>м65</v>
      </c>
      <c r="C923" s="12" t="str">
        <f>IFERROR(VLOOKUP(D923,'[1]Перечень товаров'!$A$2:$I9525,3,0),"")</f>
        <v>Мебель</v>
      </c>
      <c r="D923" s="22" t="s">
        <v>389</v>
      </c>
      <c r="E923" s="58"/>
      <c r="F923" s="58"/>
      <c r="G923" s="24">
        <v>1</v>
      </c>
      <c r="H923" s="24"/>
      <c r="I923" s="25"/>
      <c r="J923" s="25"/>
      <c r="K923" s="19"/>
      <c r="L923" s="20"/>
    </row>
    <row r="924" spans="1:12" outlineLevel="2">
      <c r="A924" s="21"/>
      <c r="B924" s="12" t="str">
        <f>IFERROR(VLOOKUP(D924,'[1]Перечень товаров'!$A$2:$I9525,2,0),"")</f>
        <v>п34</v>
      </c>
      <c r="C924" s="12" t="str">
        <f>IFERROR(VLOOKUP(D924,'[1]Перечень товаров'!$A$2:$I9525,3,0),"")</f>
        <v>Прочее</v>
      </c>
      <c r="D924" s="22" t="s">
        <v>390</v>
      </c>
      <c r="E924" s="58"/>
      <c r="F924" s="58"/>
      <c r="G924" s="24">
        <v>1</v>
      </c>
      <c r="H924" s="24"/>
      <c r="I924" s="25"/>
      <c r="J924" s="25"/>
      <c r="K924" s="19"/>
      <c r="L924" s="20"/>
    </row>
    <row r="925" spans="1:12" ht="15" outlineLevel="2">
      <c r="A925" s="116"/>
      <c r="B925" s="12" t="str">
        <f>IFERROR(VLOOKUP(D925,'[1]Перечень товаров'!$A$2:$I9525,2,0),"")</f>
        <v/>
      </c>
      <c r="C925" s="12" t="str">
        <f>IFERROR(VLOOKUP(D925,'[1]Перечень товаров'!$A$2:$I9525,3,0),"")</f>
        <v/>
      </c>
      <c r="D925" s="117" t="s">
        <v>391</v>
      </c>
      <c r="E925" s="118"/>
      <c r="F925" s="118"/>
      <c r="G925" s="119"/>
      <c r="H925" s="119"/>
      <c r="I925" s="120"/>
      <c r="J925" s="120"/>
      <c r="K925" s="19"/>
      <c r="L925" s="20"/>
    </row>
    <row r="926" spans="1:12" ht="31.5" outlineLevel="2">
      <c r="A926" s="28"/>
      <c r="B926" s="12" t="str">
        <f>IFERROR(VLOOKUP(D926,'[1]Перечень товаров'!$A$2:$I9525,2,0),"")</f>
        <v>тм66</v>
      </c>
      <c r="C926" s="12" t="str">
        <f>IFERROR(VLOOKUP(D926,'[1]Перечень товаров'!$A$2:$I9525,3,0),"")</f>
        <v>Техника муз</v>
      </c>
      <c r="D926" s="29" t="s">
        <v>392</v>
      </c>
      <c r="E926" s="30"/>
      <c r="F926" s="30"/>
      <c r="G926" s="31">
        <v>2</v>
      </c>
      <c r="H926" s="31"/>
      <c r="I926" s="32"/>
      <c r="J926" s="32"/>
      <c r="K926" s="19"/>
      <c r="L926" s="20"/>
    </row>
    <row r="927" spans="1:12" ht="63" outlineLevel="2">
      <c r="A927" s="28"/>
      <c r="B927" s="12" t="str">
        <f>IFERROR(VLOOKUP(D927,'[1]Перечень товаров'!$A$2:$I9525,2,0),"")</f>
        <v>тм67</v>
      </c>
      <c r="C927" s="12" t="str">
        <f>IFERROR(VLOOKUP(D927,'[1]Перечень товаров'!$A$2:$I9525,3,0),"")</f>
        <v>Техника муз</v>
      </c>
      <c r="D927" s="29" t="s">
        <v>393</v>
      </c>
      <c r="E927" s="30"/>
      <c r="F927" s="30"/>
      <c r="G927" s="31">
        <v>1</v>
      </c>
      <c r="H927" s="31"/>
      <c r="I927" s="32"/>
      <c r="J927" s="32"/>
      <c r="K927" s="19"/>
      <c r="L927" s="20"/>
    </row>
    <row r="928" spans="1:12" ht="31.5" outlineLevel="2">
      <c r="A928" s="28"/>
      <c r="B928" s="12" t="str">
        <f>IFERROR(VLOOKUP(D928,'[1]Перечень товаров'!$A$2:$I9525,2,0),"")</f>
        <v>тм68</v>
      </c>
      <c r="C928" s="12" t="str">
        <f>IFERROR(VLOOKUP(D928,'[1]Перечень товаров'!$A$2:$I9525,3,0),"")</f>
        <v>Техника муз</v>
      </c>
      <c r="D928" s="29" t="s">
        <v>394</v>
      </c>
      <c r="E928" s="30"/>
      <c r="F928" s="30"/>
      <c r="G928" s="31">
        <v>1</v>
      </c>
      <c r="H928" s="31"/>
      <c r="I928" s="32"/>
      <c r="J928" s="32"/>
      <c r="K928" s="19"/>
      <c r="L928" s="20"/>
    </row>
    <row r="929" spans="1:12" ht="31.5" outlineLevel="2">
      <c r="A929" s="28"/>
      <c r="B929" s="12" t="str">
        <f>IFERROR(VLOOKUP(D929,'[1]Перечень товаров'!$A$2:$I9525,2,0),"")</f>
        <v>тм69</v>
      </c>
      <c r="C929" s="12" t="str">
        <f>IFERROR(VLOOKUP(D929,'[1]Перечень товаров'!$A$2:$I9525,3,0),"")</f>
        <v>Техника муз</v>
      </c>
      <c r="D929" s="29" t="s">
        <v>395</v>
      </c>
      <c r="E929" s="30"/>
      <c r="F929" s="30"/>
      <c r="G929" s="31">
        <v>1</v>
      </c>
      <c r="H929" s="31"/>
      <c r="I929" s="32"/>
      <c r="J929" s="32"/>
      <c r="K929" s="19"/>
      <c r="L929" s="20"/>
    </row>
    <row r="930" spans="1:12" ht="12.75" outlineLevel="1">
      <c r="A930" s="89"/>
      <c r="B930" s="12" t="str">
        <f>IFERROR(VLOOKUP(D930,'[1]Перечень товаров'!$A$2:$I9525,2,0),"")</f>
        <v/>
      </c>
      <c r="C930" s="12" t="str">
        <f>IFERROR(VLOOKUP(D930,'[1]Перечень товаров'!$A$2:$I9525,3,0),"")</f>
        <v/>
      </c>
      <c r="D930" s="90" t="s">
        <v>379</v>
      </c>
      <c r="E930" s="108">
        <v>46103</v>
      </c>
      <c r="F930" s="108"/>
      <c r="G930" s="100"/>
      <c r="H930" s="100"/>
      <c r="I930" s="101"/>
      <c r="J930" s="101"/>
      <c r="K930" s="19"/>
      <c r="L930" s="20"/>
    </row>
    <row r="931" spans="1:12" ht="15" outlineLevel="2">
      <c r="A931" s="109"/>
      <c r="B931" s="12" t="str">
        <f>IFERROR(VLOOKUP(D931,'[1]Перечень товаров'!$A$2:$I9525,2,0),"")</f>
        <v/>
      </c>
      <c r="C931" s="12" t="str">
        <f>IFERROR(VLOOKUP(D931,'[1]Перечень товаров'!$A$2:$I9525,3,0),"")</f>
        <v/>
      </c>
      <c r="D931" s="110" t="s">
        <v>27</v>
      </c>
      <c r="E931" s="45"/>
      <c r="F931" s="45"/>
      <c r="G931" s="111"/>
      <c r="H931" s="111"/>
      <c r="I931" s="112"/>
      <c r="J931" s="112"/>
      <c r="K931" s="19"/>
      <c r="L931" s="20"/>
    </row>
    <row r="932" spans="1:12" outlineLevel="2">
      <c r="A932" s="21"/>
      <c r="B932" s="12" t="str">
        <f>IFERROR(VLOOKUP(D932,'[1]Перечень товаров'!$A$2:$I9525,2,0),"")</f>
        <v>т1</v>
      </c>
      <c r="C932" s="12" t="str">
        <f>IFERROR(VLOOKUP(D932,'[1]Перечень товаров'!$A$2:$I9525,3,0),"")</f>
        <v xml:space="preserve">Техника </v>
      </c>
      <c r="D932" s="22" t="s">
        <v>28</v>
      </c>
      <c r="E932" s="58"/>
      <c r="F932" s="58"/>
      <c r="G932" s="48">
        <v>1</v>
      </c>
      <c r="H932" s="48"/>
      <c r="I932" s="49"/>
      <c r="J932" s="49"/>
      <c r="K932" s="19"/>
      <c r="L932" s="20"/>
    </row>
    <row r="933" spans="1:12" outlineLevel="2">
      <c r="A933" s="35"/>
      <c r="B933" s="12" t="str">
        <f>IFERROR(VLOOKUP(D933,'[1]Перечень товаров'!$A$2:$I9525,2,0),"")</f>
        <v>т2</v>
      </c>
      <c r="C933" s="12" t="str">
        <f>IFERROR(VLOOKUP(D933,'[1]Перечень товаров'!$A$2:$I9525,3,0),"")</f>
        <v xml:space="preserve">Техника </v>
      </c>
      <c r="D933" s="35" t="s">
        <v>29</v>
      </c>
      <c r="E933" s="58"/>
      <c r="F933" s="58"/>
      <c r="G933" s="48">
        <v>1</v>
      </c>
      <c r="H933" s="48"/>
      <c r="I933" s="49"/>
      <c r="J933" s="49"/>
      <c r="K933" s="19"/>
      <c r="L933" s="20"/>
    </row>
    <row r="934" spans="1:12" outlineLevel="2">
      <c r="A934" s="35"/>
      <c r="B934" s="12" t="str">
        <f>IFERROR(VLOOKUP(D934,'[1]Перечень товаров'!$A$2:$I9525,2,0),"")</f>
        <v>т3</v>
      </c>
      <c r="C934" s="12" t="str">
        <f>IFERROR(VLOOKUP(D934,'[1]Перечень товаров'!$A$2:$I9525,3,0),"")</f>
        <v xml:space="preserve">Техника </v>
      </c>
      <c r="D934" s="35" t="s">
        <v>30</v>
      </c>
      <c r="E934" s="58"/>
      <c r="F934" s="58"/>
      <c r="G934" s="48">
        <v>1</v>
      </c>
      <c r="H934" s="48"/>
      <c r="I934" s="49"/>
      <c r="J934" s="49"/>
      <c r="K934" s="19"/>
      <c r="L934" s="20"/>
    </row>
    <row r="935" spans="1:12" outlineLevel="2">
      <c r="A935" s="35"/>
      <c r="B935" s="12" t="str">
        <f>IFERROR(VLOOKUP(D935,'[1]Перечень товаров'!$A$2:$I9525,2,0),"")</f>
        <v>т4</v>
      </c>
      <c r="C935" s="12" t="str">
        <f>IFERROR(VLOOKUP(D935,'[1]Перечень товаров'!$A$2:$I9525,3,0),"")</f>
        <v xml:space="preserve">Техника </v>
      </c>
      <c r="D935" s="35" t="s">
        <v>31</v>
      </c>
      <c r="E935" s="58"/>
      <c r="F935" s="58"/>
      <c r="G935" s="48">
        <v>1</v>
      </c>
      <c r="H935" s="48"/>
      <c r="I935" s="49"/>
      <c r="J935" s="49"/>
      <c r="K935" s="19"/>
      <c r="L935" s="20"/>
    </row>
    <row r="936" spans="1:12" outlineLevel="2">
      <c r="A936" s="21"/>
      <c r="B936" s="12" t="str">
        <f>IFERROR(VLOOKUP(D936,'[1]Перечень товаров'!$A$2:$I9525,2,0),"")</f>
        <v>тм65</v>
      </c>
      <c r="C936" s="12" t="str">
        <f>IFERROR(VLOOKUP(D936,'[1]Перечень товаров'!$A$2:$I9525,3,0),"")</f>
        <v>Техника муз</v>
      </c>
      <c r="D936" s="22" t="s">
        <v>380</v>
      </c>
      <c r="E936" s="58"/>
      <c r="F936" s="58"/>
      <c r="G936" s="48">
        <v>1</v>
      </c>
      <c r="H936" s="48"/>
      <c r="I936" s="49"/>
      <c r="J936" s="49"/>
      <c r="K936" s="19"/>
      <c r="L936" s="20"/>
    </row>
    <row r="937" spans="1:12" outlineLevel="2">
      <c r="A937" s="21"/>
      <c r="B937" s="12" t="str">
        <f>IFERROR(VLOOKUP(D937,'[1]Перечень товаров'!$A$2:$I9525,2,0),"")</f>
        <v>т12</v>
      </c>
      <c r="C937" s="12" t="str">
        <f>IFERROR(VLOOKUP(D937,'[1]Перечень товаров'!$A$2:$I9525,3,0),"")</f>
        <v>Техника</v>
      </c>
      <c r="D937" s="22" t="s">
        <v>49</v>
      </c>
      <c r="E937" s="58"/>
      <c r="F937" s="58"/>
      <c r="G937" s="48">
        <v>1</v>
      </c>
      <c r="H937" s="48"/>
      <c r="I937" s="49"/>
      <c r="J937" s="49"/>
      <c r="K937" s="19"/>
      <c r="L937" s="20"/>
    </row>
    <row r="938" spans="1:12" outlineLevel="2">
      <c r="A938" s="35"/>
      <c r="B938" s="12" t="str">
        <f>IFERROR(VLOOKUP(D938,'[1]Перечень товаров'!$A$2:$I9525,2,0),"")</f>
        <v>т6</v>
      </c>
      <c r="C938" s="12" t="str">
        <f>IFERROR(VLOOKUP(D938,'[1]Перечень товаров'!$A$2:$I9525,3,0),"")</f>
        <v xml:space="preserve">Техника </v>
      </c>
      <c r="D938" s="35" t="s">
        <v>33</v>
      </c>
      <c r="E938" s="58"/>
      <c r="F938" s="58"/>
      <c r="G938" s="48">
        <v>1</v>
      </c>
      <c r="H938" s="48"/>
      <c r="I938" s="49"/>
      <c r="J938" s="49"/>
      <c r="K938" s="19"/>
      <c r="L938" s="20"/>
    </row>
    <row r="939" spans="1:12" outlineLevel="2">
      <c r="A939" s="21"/>
      <c r="B939" s="12" t="str">
        <f>IFERROR(VLOOKUP(D939,'[1]Перечень товаров'!$A$2:$I9525,2,0),"")</f>
        <v>т7</v>
      </c>
      <c r="C939" s="12" t="str">
        <f>IFERROR(VLOOKUP(D939,'[1]Перечень товаров'!$A$2:$I9525,3,0),"")</f>
        <v xml:space="preserve">Техника </v>
      </c>
      <c r="D939" s="22" t="s">
        <v>34</v>
      </c>
      <c r="E939" s="58"/>
      <c r="F939" s="58"/>
      <c r="G939" s="48">
        <v>3</v>
      </c>
      <c r="H939" s="48"/>
      <c r="I939" s="49"/>
      <c r="J939" s="49"/>
      <c r="K939" s="19"/>
      <c r="L939" s="20"/>
    </row>
    <row r="940" spans="1:12" outlineLevel="2">
      <c r="A940" s="28"/>
      <c r="B940" s="12" t="str">
        <f>IFERROR(VLOOKUP(D940,'[1]Перечень товаров'!$A$2:$I9525,2,0),"")</f>
        <v>т161</v>
      </c>
      <c r="C940" s="12" t="str">
        <f>IFERROR(VLOOKUP(D940,'[1]Перечень товаров'!$A$2:$I9525,3,0),"")</f>
        <v xml:space="preserve">Техника </v>
      </c>
      <c r="D940" s="29" t="s">
        <v>381</v>
      </c>
      <c r="E940" s="30"/>
      <c r="F940" s="30"/>
      <c r="G940" s="59">
        <v>1</v>
      </c>
      <c r="H940" s="59"/>
      <c r="I940" s="60"/>
      <c r="J940" s="60"/>
      <c r="K940" s="19"/>
      <c r="L940" s="20"/>
    </row>
    <row r="941" spans="1:12" ht="47.25" outlineLevel="2">
      <c r="A941" s="21"/>
      <c r="B941" s="12" t="str">
        <f>IFERROR(VLOOKUP(D941,'[1]Перечень товаров'!$A$2:$I9525,2,0),"")</f>
        <v>м61</v>
      </c>
      <c r="C941" s="12" t="str">
        <f>IFERROR(VLOOKUP(D941,'[1]Перечень товаров'!$A$2:$I9525,3,0),"")</f>
        <v>Мебель</v>
      </c>
      <c r="D941" s="22" t="s">
        <v>382</v>
      </c>
      <c r="E941" s="30"/>
      <c r="F941" s="30"/>
      <c r="G941" s="59">
        <v>1</v>
      </c>
      <c r="H941" s="59"/>
      <c r="I941" s="60"/>
      <c r="J941" s="60"/>
      <c r="K941" s="19"/>
      <c r="L941" s="20"/>
    </row>
    <row r="942" spans="1:12" outlineLevel="2">
      <c r="A942" s="113"/>
      <c r="B942" s="12" t="str">
        <f>IFERROR(VLOOKUP(D942,'[1]Перечень товаров'!$A$2:$I9525,2,0),"")</f>
        <v/>
      </c>
      <c r="C942" s="12" t="str">
        <f>IFERROR(VLOOKUP(D942,'[1]Перечень товаров'!$A$2:$I9525,3,0),"")</f>
        <v/>
      </c>
      <c r="D942" s="114" t="s">
        <v>19</v>
      </c>
      <c r="E942" s="115"/>
      <c r="F942" s="115"/>
      <c r="G942" s="59"/>
      <c r="H942" s="59"/>
      <c r="I942" s="60"/>
      <c r="J942" s="60"/>
      <c r="K942" s="19"/>
      <c r="L942" s="20"/>
    </row>
    <row r="943" spans="1:12" ht="31.5" outlineLevel="2">
      <c r="A943" s="34"/>
      <c r="B943" s="12" t="str">
        <f>IFERROR(VLOOKUP(D943,'[1]Перечень товаров'!$A$2:$I9525,2,0),"")</f>
        <v>м205</v>
      </c>
      <c r="C943" s="12" t="str">
        <f>IFERROR(VLOOKUP(D943,'[1]Перечень товаров'!$A$2:$I9525,3,0),"")</f>
        <v>Мебель</v>
      </c>
      <c r="D943" s="35" t="s">
        <v>20</v>
      </c>
      <c r="E943" s="88"/>
      <c r="F943" s="88"/>
      <c r="G943" s="59">
        <v>1</v>
      </c>
      <c r="H943" s="59"/>
      <c r="I943" s="60"/>
      <c r="J943" s="60"/>
      <c r="K943" s="19"/>
      <c r="L943" s="20"/>
    </row>
    <row r="944" spans="1:12" outlineLevel="2">
      <c r="A944" s="34"/>
      <c r="B944" s="12" t="str">
        <f>IFERROR(VLOOKUP(D944,'[1]Перечень товаров'!$A$2:$I9525,2,0),"")</f>
        <v>м61</v>
      </c>
      <c r="C944" s="12" t="str">
        <f>IFERROR(VLOOKUP(D944,'[1]Перечень товаров'!$A$2:$I9525,3,0),"")</f>
        <v>Мебель</v>
      </c>
      <c r="D944" s="35" t="s">
        <v>383</v>
      </c>
      <c r="E944" s="88"/>
      <c r="F944" s="88"/>
      <c r="G944" s="59">
        <v>1</v>
      </c>
      <c r="H944" s="59"/>
      <c r="I944" s="60"/>
      <c r="J944" s="60"/>
      <c r="K944" s="19"/>
      <c r="L944" s="20"/>
    </row>
    <row r="945" spans="1:12" outlineLevel="2">
      <c r="A945" s="34"/>
      <c r="B945" s="12" t="str">
        <f>IFERROR(VLOOKUP(D945,'[1]Перечень товаров'!$A$2:$I9525,2,0),"")</f>
        <v>м61</v>
      </c>
      <c r="C945" s="12" t="str">
        <f>IFERROR(VLOOKUP(D945,'[1]Перечень товаров'!$A$2:$I9525,3,0),"")</f>
        <v>Мебель</v>
      </c>
      <c r="D945" s="35" t="s">
        <v>384</v>
      </c>
      <c r="E945" s="88"/>
      <c r="F945" s="88"/>
      <c r="G945" s="59">
        <v>4</v>
      </c>
      <c r="H945" s="59"/>
      <c r="I945" s="60"/>
      <c r="J945" s="60"/>
      <c r="K945" s="19"/>
      <c r="L945" s="20"/>
    </row>
    <row r="946" spans="1:12" ht="31.5" outlineLevel="2">
      <c r="A946" s="34"/>
      <c r="B946" s="12" t="str">
        <f>IFERROR(VLOOKUP(D946,'[1]Перечень товаров'!$A$2:$I9525,2,0),"")</f>
        <v>м62</v>
      </c>
      <c r="C946" s="12" t="str">
        <f>IFERROR(VLOOKUP(D946,'[1]Перечень товаров'!$A$2:$I9525,3,0),"")</f>
        <v>Мебель</v>
      </c>
      <c r="D946" s="35" t="s">
        <v>385</v>
      </c>
      <c r="E946" s="88"/>
      <c r="F946" s="88"/>
      <c r="G946" s="59">
        <v>2</v>
      </c>
      <c r="H946" s="59"/>
      <c r="I946" s="60"/>
      <c r="J946" s="60"/>
      <c r="K946" s="19"/>
      <c r="L946" s="20"/>
    </row>
    <row r="947" spans="1:12" outlineLevel="2">
      <c r="A947" s="21"/>
      <c r="B947" s="12" t="str">
        <f>IFERROR(VLOOKUP(D947,'[1]Перечень товаров'!$A$2:$I9525,2,0),"")</f>
        <v>м13</v>
      </c>
      <c r="C947" s="12" t="str">
        <f>IFERROR(VLOOKUP(D947,'[1]Перечень товаров'!$A$2:$I9525,3,0),"")</f>
        <v>Мебель</v>
      </c>
      <c r="D947" s="22" t="s">
        <v>42</v>
      </c>
      <c r="E947" s="58"/>
      <c r="F947" s="58"/>
      <c r="G947" s="24">
        <v>1</v>
      </c>
      <c r="H947" s="24"/>
      <c r="I947" s="25"/>
      <c r="J947" s="25"/>
      <c r="K947" s="19"/>
      <c r="L947" s="20"/>
    </row>
    <row r="948" spans="1:12" outlineLevel="2">
      <c r="A948" s="21"/>
      <c r="B948" s="12" t="str">
        <f>IFERROR(VLOOKUP(D948,'[1]Перечень товаров'!$A$2:$I9525,2,0),"")</f>
        <v>м14</v>
      </c>
      <c r="C948" s="12" t="str">
        <f>IFERROR(VLOOKUP(D948,'[1]Перечень товаров'!$A$2:$I9525,3,0),"")</f>
        <v>Мебель</v>
      </c>
      <c r="D948" s="22" t="s">
        <v>43</v>
      </c>
      <c r="E948" s="58"/>
      <c r="F948" s="58"/>
      <c r="G948" s="24">
        <v>1</v>
      </c>
      <c r="H948" s="24"/>
      <c r="I948" s="25"/>
      <c r="J948" s="25"/>
      <c r="K948" s="19"/>
      <c r="L948" s="20"/>
    </row>
    <row r="949" spans="1:12" ht="31.5" outlineLevel="2">
      <c r="A949" s="21"/>
      <c r="B949" s="12" t="str">
        <f>IFERROR(VLOOKUP(D949,'[1]Перечень товаров'!$A$2:$I9525,2,0),"")</f>
        <v>м63</v>
      </c>
      <c r="C949" s="12" t="str">
        <f>IFERROR(VLOOKUP(D949,'[1]Перечень товаров'!$A$2:$I9525,3,0),"")</f>
        <v>Мебель</v>
      </c>
      <c r="D949" s="22" t="s">
        <v>386</v>
      </c>
      <c r="E949" s="58"/>
      <c r="F949" s="58"/>
      <c r="G949" s="24">
        <v>2</v>
      </c>
      <c r="H949" s="24"/>
      <c r="I949" s="25"/>
      <c r="J949" s="25"/>
      <c r="K949" s="19"/>
      <c r="L949" s="20"/>
    </row>
    <row r="950" spans="1:12" ht="31.5" outlineLevel="2">
      <c r="A950" s="21"/>
      <c r="B950" s="12" t="str">
        <f>IFERROR(VLOOKUP(D950,'[1]Перечень товаров'!$A$2:$I9525,2,0),"")</f>
        <v>м64</v>
      </c>
      <c r="C950" s="12" t="str">
        <f>IFERROR(VLOOKUP(D950,'[1]Перечень товаров'!$A$2:$I9525,3,0),"")</f>
        <v>Мебель</v>
      </c>
      <c r="D950" s="22" t="s">
        <v>387</v>
      </c>
      <c r="E950" s="58"/>
      <c r="F950" s="58"/>
      <c r="G950" s="24">
        <v>2</v>
      </c>
      <c r="H950" s="24"/>
      <c r="I950" s="25"/>
      <c r="J950" s="25"/>
      <c r="K950" s="19"/>
      <c r="L950" s="20"/>
    </row>
    <row r="951" spans="1:12" outlineLevel="2">
      <c r="A951" s="21"/>
      <c r="B951" s="12" t="str">
        <f>IFERROR(VLOOKUP(D951,'[1]Перечень товаров'!$A$2:$I9525,2,0),"")</f>
        <v>п33</v>
      </c>
      <c r="C951" s="12" t="str">
        <f>IFERROR(VLOOKUP(D951,'[1]Перечень товаров'!$A$2:$I9525,3,0),"")</f>
        <v>Прочее</v>
      </c>
      <c r="D951" s="22" t="s">
        <v>388</v>
      </c>
      <c r="E951" s="58"/>
      <c r="F951" s="58"/>
      <c r="G951" s="24">
        <v>1</v>
      </c>
      <c r="H951" s="24"/>
      <c r="I951" s="25"/>
      <c r="J951" s="25"/>
      <c r="K951" s="19"/>
      <c r="L951" s="20"/>
    </row>
    <row r="952" spans="1:12" outlineLevel="2">
      <c r="A952" s="21"/>
      <c r="B952" s="12" t="str">
        <f>IFERROR(VLOOKUP(D952,'[1]Перечень товаров'!$A$2:$I9525,2,0),"")</f>
        <v>м65</v>
      </c>
      <c r="C952" s="12" t="str">
        <f>IFERROR(VLOOKUP(D952,'[1]Перечень товаров'!$A$2:$I9525,3,0),"")</f>
        <v>Мебель</v>
      </c>
      <c r="D952" s="22" t="s">
        <v>389</v>
      </c>
      <c r="E952" s="58"/>
      <c r="F952" s="58"/>
      <c r="G952" s="24">
        <v>1</v>
      </c>
      <c r="H952" s="24"/>
      <c r="I952" s="25"/>
      <c r="J952" s="25"/>
      <c r="K952" s="19"/>
      <c r="L952" s="20"/>
    </row>
    <row r="953" spans="1:12" outlineLevel="2">
      <c r="A953" s="21"/>
      <c r="B953" s="12" t="str">
        <f>IFERROR(VLOOKUP(D953,'[1]Перечень товаров'!$A$2:$I9525,2,0),"")</f>
        <v>п34</v>
      </c>
      <c r="C953" s="12" t="str">
        <f>IFERROR(VLOOKUP(D953,'[1]Перечень товаров'!$A$2:$I9525,3,0),"")</f>
        <v>Прочее</v>
      </c>
      <c r="D953" s="22" t="s">
        <v>390</v>
      </c>
      <c r="E953" s="58"/>
      <c r="F953" s="58"/>
      <c r="G953" s="24">
        <v>1</v>
      </c>
      <c r="H953" s="24"/>
      <c r="I953" s="25"/>
      <c r="J953" s="25"/>
      <c r="K953" s="19"/>
      <c r="L953" s="20"/>
    </row>
    <row r="954" spans="1:12" ht="15" outlineLevel="2">
      <c r="A954" s="116"/>
      <c r="B954" s="12" t="str">
        <f>IFERROR(VLOOKUP(D954,'[1]Перечень товаров'!$A$2:$I9525,2,0),"")</f>
        <v/>
      </c>
      <c r="C954" s="12" t="str">
        <f>IFERROR(VLOOKUP(D954,'[1]Перечень товаров'!$A$2:$I9525,3,0),"")</f>
        <v/>
      </c>
      <c r="D954" s="117" t="s">
        <v>391</v>
      </c>
      <c r="E954" s="118"/>
      <c r="F954" s="118"/>
      <c r="G954" s="119"/>
      <c r="H954" s="119"/>
      <c r="I954" s="120"/>
      <c r="J954" s="120"/>
      <c r="K954" s="19"/>
      <c r="L954" s="20"/>
    </row>
    <row r="955" spans="1:12" ht="31.5" outlineLevel="2">
      <c r="A955" s="28"/>
      <c r="B955" s="12" t="str">
        <f>IFERROR(VLOOKUP(D955,'[1]Перечень товаров'!$A$2:$I9525,2,0),"")</f>
        <v>тм66</v>
      </c>
      <c r="C955" s="12" t="str">
        <f>IFERROR(VLOOKUP(D955,'[1]Перечень товаров'!$A$2:$I9525,3,0),"")</f>
        <v>Техника муз</v>
      </c>
      <c r="D955" s="29" t="s">
        <v>392</v>
      </c>
      <c r="E955" s="30"/>
      <c r="F955" s="30"/>
      <c r="G955" s="31">
        <v>2</v>
      </c>
      <c r="H955" s="31"/>
      <c r="I955" s="32"/>
      <c r="J955" s="32"/>
      <c r="K955" s="19"/>
      <c r="L955" s="20"/>
    </row>
    <row r="956" spans="1:12" ht="63" outlineLevel="2">
      <c r="A956" s="28"/>
      <c r="B956" s="12" t="str">
        <f>IFERROR(VLOOKUP(D956,'[1]Перечень товаров'!$A$2:$I9525,2,0),"")</f>
        <v>тм67</v>
      </c>
      <c r="C956" s="12" t="str">
        <f>IFERROR(VLOOKUP(D956,'[1]Перечень товаров'!$A$2:$I9525,3,0),"")</f>
        <v>Техника муз</v>
      </c>
      <c r="D956" s="29" t="s">
        <v>393</v>
      </c>
      <c r="E956" s="30"/>
      <c r="F956" s="30"/>
      <c r="G956" s="31">
        <v>1</v>
      </c>
      <c r="H956" s="31"/>
      <c r="I956" s="32"/>
      <c r="J956" s="32"/>
      <c r="K956" s="19"/>
      <c r="L956" s="20"/>
    </row>
    <row r="957" spans="1:12" ht="31.5" outlineLevel="2">
      <c r="A957" s="28"/>
      <c r="B957" s="12" t="str">
        <f>IFERROR(VLOOKUP(D957,'[1]Перечень товаров'!$A$2:$I9525,2,0),"")</f>
        <v>тм68</v>
      </c>
      <c r="C957" s="12" t="str">
        <f>IFERROR(VLOOKUP(D957,'[1]Перечень товаров'!$A$2:$I9525,3,0),"")</f>
        <v>Техника муз</v>
      </c>
      <c r="D957" s="29" t="s">
        <v>394</v>
      </c>
      <c r="E957" s="30"/>
      <c r="F957" s="30"/>
      <c r="G957" s="31">
        <v>1</v>
      </c>
      <c r="H957" s="31"/>
      <c r="I957" s="32"/>
      <c r="J957" s="32"/>
      <c r="K957" s="19"/>
      <c r="L957" s="20"/>
    </row>
    <row r="958" spans="1:12" ht="31.5" outlineLevel="2">
      <c r="A958" s="28"/>
      <c r="B958" s="12" t="str">
        <f>IFERROR(VLOOKUP(D958,'[1]Перечень товаров'!$A$2:$I9525,2,0),"")</f>
        <v>тм69</v>
      </c>
      <c r="C958" s="12" t="str">
        <f>IFERROR(VLOOKUP(D958,'[1]Перечень товаров'!$A$2:$I9525,3,0),"")</f>
        <v>Техника муз</v>
      </c>
      <c r="D958" s="29" t="s">
        <v>395</v>
      </c>
      <c r="E958" s="30"/>
      <c r="F958" s="30"/>
      <c r="G958" s="31">
        <v>1</v>
      </c>
      <c r="H958" s="31"/>
      <c r="I958" s="32"/>
      <c r="J958" s="32"/>
      <c r="K958" s="19"/>
      <c r="L958" s="20"/>
    </row>
    <row r="959" spans="1:12" ht="12.75" outlineLevel="1">
      <c r="A959" s="89"/>
      <c r="B959" s="12" t="str">
        <f>IFERROR(VLOOKUP(D959,'[1]Перечень товаров'!$A$2:$I9525,2,0),"")</f>
        <v/>
      </c>
      <c r="C959" s="12" t="str">
        <f>IFERROR(VLOOKUP(D959,'[1]Перечень товаров'!$A$2:$I9525,3,0),"")</f>
        <v/>
      </c>
      <c r="D959" s="90" t="s">
        <v>379</v>
      </c>
      <c r="E959" s="108">
        <v>46286</v>
      </c>
      <c r="F959" s="108"/>
      <c r="G959" s="100"/>
      <c r="H959" s="100"/>
      <c r="I959" s="101"/>
      <c r="J959" s="101"/>
      <c r="K959" s="19"/>
      <c r="L959" s="20"/>
    </row>
    <row r="960" spans="1:12" ht="15" outlineLevel="2">
      <c r="A960" s="109"/>
      <c r="B960" s="12" t="str">
        <f>IFERROR(VLOOKUP(D960,'[1]Перечень товаров'!$A$2:$I9525,2,0),"")</f>
        <v/>
      </c>
      <c r="C960" s="12" t="str">
        <f>IFERROR(VLOOKUP(D960,'[1]Перечень товаров'!$A$2:$I9525,3,0),"")</f>
        <v/>
      </c>
      <c r="D960" s="110" t="s">
        <v>27</v>
      </c>
      <c r="E960" s="45"/>
      <c r="F960" s="45"/>
      <c r="G960" s="111"/>
      <c r="H960" s="111"/>
      <c r="I960" s="112"/>
      <c r="J960" s="112"/>
      <c r="K960" s="19"/>
      <c r="L960" s="20"/>
    </row>
    <row r="961" spans="1:12" outlineLevel="2">
      <c r="A961" s="21"/>
      <c r="B961" s="12" t="str">
        <f>IFERROR(VLOOKUP(D961,'[1]Перечень товаров'!$A$2:$I9525,2,0),"")</f>
        <v>т1</v>
      </c>
      <c r="C961" s="12" t="str">
        <f>IFERROR(VLOOKUP(D961,'[1]Перечень товаров'!$A$2:$I9525,3,0),"")</f>
        <v xml:space="preserve">Техника </v>
      </c>
      <c r="D961" s="22" t="s">
        <v>28</v>
      </c>
      <c r="E961" s="58"/>
      <c r="F961" s="58"/>
      <c r="G961" s="48">
        <v>1</v>
      </c>
      <c r="H961" s="48"/>
      <c r="I961" s="49"/>
      <c r="J961" s="49"/>
      <c r="K961" s="19"/>
      <c r="L961" s="20"/>
    </row>
    <row r="962" spans="1:12" outlineLevel="2">
      <c r="A962" s="35"/>
      <c r="B962" s="12" t="str">
        <f>IFERROR(VLOOKUP(D962,'[1]Перечень товаров'!$A$2:$I9525,2,0),"")</f>
        <v>т2</v>
      </c>
      <c r="C962" s="12" t="str">
        <f>IFERROR(VLOOKUP(D962,'[1]Перечень товаров'!$A$2:$I9525,3,0),"")</f>
        <v xml:space="preserve">Техника </v>
      </c>
      <c r="D962" s="35" t="s">
        <v>29</v>
      </c>
      <c r="E962" s="58"/>
      <c r="F962" s="58"/>
      <c r="G962" s="48">
        <v>1</v>
      </c>
      <c r="H962" s="48"/>
      <c r="I962" s="49"/>
      <c r="J962" s="49"/>
      <c r="K962" s="19"/>
      <c r="L962" s="20"/>
    </row>
    <row r="963" spans="1:12" outlineLevel="2">
      <c r="A963" s="35"/>
      <c r="B963" s="12" t="str">
        <f>IFERROR(VLOOKUP(D963,'[1]Перечень товаров'!$A$2:$I9525,2,0),"")</f>
        <v>т3</v>
      </c>
      <c r="C963" s="12" t="str">
        <f>IFERROR(VLOOKUP(D963,'[1]Перечень товаров'!$A$2:$I9525,3,0),"")</f>
        <v xml:space="preserve">Техника </v>
      </c>
      <c r="D963" s="35" t="s">
        <v>30</v>
      </c>
      <c r="E963" s="58"/>
      <c r="F963" s="58"/>
      <c r="G963" s="48">
        <v>1</v>
      </c>
      <c r="H963" s="48"/>
      <c r="I963" s="49"/>
      <c r="J963" s="49"/>
      <c r="K963" s="19"/>
      <c r="L963" s="20"/>
    </row>
    <row r="964" spans="1:12" outlineLevel="2">
      <c r="A964" s="35"/>
      <c r="B964" s="12" t="str">
        <f>IFERROR(VLOOKUP(D964,'[1]Перечень товаров'!$A$2:$I9525,2,0),"")</f>
        <v>т4</v>
      </c>
      <c r="C964" s="12" t="str">
        <f>IFERROR(VLOOKUP(D964,'[1]Перечень товаров'!$A$2:$I9525,3,0),"")</f>
        <v xml:space="preserve">Техника </v>
      </c>
      <c r="D964" s="35" t="s">
        <v>31</v>
      </c>
      <c r="E964" s="58"/>
      <c r="F964" s="58"/>
      <c r="G964" s="48">
        <v>1</v>
      </c>
      <c r="H964" s="48"/>
      <c r="I964" s="49"/>
      <c r="J964" s="49"/>
      <c r="K964" s="19"/>
      <c r="L964" s="20"/>
    </row>
    <row r="965" spans="1:12" outlineLevel="2">
      <c r="A965" s="21"/>
      <c r="B965" s="12" t="str">
        <f>IFERROR(VLOOKUP(D965,'[1]Перечень товаров'!$A$2:$I9525,2,0),"")</f>
        <v>тм65</v>
      </c>
      <c r="C965" s="12" t="str">
        <f>IFERROR(VLOOKUP(D965,'[1]Перечень товаров'!$A$2:$I9525,3,0),"")</f>
        <v>Техника муз</v>
      </c>
      <c r="D965" s="22" t="s">
        <v>380</v>
      </c>
      <c r="E965" s="58"/>
      <c r="F965" s="58"/>
      <c r="G965" s="48">
        <v>1</v>
      </c>
      <c r="H965" s="48"/>
      <c r="I965" s="49"/>
      <c r="J965" s="49"/>
      <c r="K965" s="19"/>
      <c r="L965" s="20"/>
    </row>
    <row r="966" spans="1:12" outlineLevel="2">
      <c r="A966" s="21"/>
      <c r="B966" s="12" t="str">
        <f>IFERROR(VLOOKUP(D966,'[1]Перечень товаров'!$A$2:$I9525,2,0),"")</f>
        <v>т12</v>
      </c>
      <c r="C966" s="12" t="str">
        <f>IFERROR(VLOOKUP(D966,'[1]Перечень товаров'!$A$2:$I9525,3,0),"")</f>
        <v>Техника</v>
      </c>
      <c r="D966" s="22" t="s">
        <v>49</v>
      </c>
      <c r="E966" s="58"/>
      <c r="F966" s="58"/>
      <c r="G966" s="48">
        <v>1</v>
      </c>
      <c r="H966" s="48"/>
      <c r="I966" s="49"/>
      <c r="J966" s="49"/>
      <c r="K966" s="19"/>
      <c r="L966" s="20"/>
    </row>
    <row r="967" spans="1:12" outlineLevel="2">
      <c r="A967" s="35"/>
      <c r="B967" s="12" t="str">
        <f>IFERROR(VLOOKUP(D967,'[1]Перечень товаров'!$A$2:$I9525,2,0),"")</f>
        <v>т6</v>
      </c>
      <c r="C967" s="12" t="str">
        <f>IFERROR(VLOOKUP(D967,'[1]Перечень товаров'!$A$2:$I9525,3,0),"")</f>
        <v xml:space="preserve">Техника </v>
      </c>
      <c r="D967" s="35" t="s">
        <v>33</v>
      </c>
      <c r="E967" s="58"/>
      <c r="F967" s="58"/>
      <c r="G967" s="48">
        <v>1</v>
      </c>
      <c r="H967" s="48"/>
      <c r="I967" s="49"/>
      <c r="J967" s="49"/>
      <c r="K967" s="19"/>
      <c r="L967" s="20"/>
    </row>
    <row r="968" spans="1:12" outlineLevel="2">
      <c r="A968" s="21"/>
      <c r="B968" s="12" t="str">
        <f>IFERROR(VLOOKUP(D968,'[1]Перечень товаров'!$A$2:$I9525,2,0),"")</f>
        <v>т7</v>
      </c>
      <c r="C968" s="12" t="str">
        <f>IFERROR(VLOOKUP(D968,'[1]Перечень товаров'!$A$2:$I9525,3,0),"")</f>
        <v xml:space="preserve">Техника </v>
      </c>
      <c r="D968" s="22" t="s">
        <v>34</v>
      </c>
      <c r="E968" s="58"/>
      <c r="F968" s="58"/>
      <c r="G968" s="48">
        <v>3</v>
      </c>
      <c r="H968" s="48"/>
      <c r="I968" s="49"/>
      <c r="J968" s="49"/>
      <c r="K968" s="19"/>
      <c r="L968" s="20"/>
    </row>
    <row r="969" spans="1:12" outlineLevel="2">
      <c r="A969" s="28"/>
      <c r="B969" s="12" t="str">
        <f>IFERROR(VLOOKUP(D969,'[1]Перечень товаров'!$A$2:$I9525,2,0),"")</f>
        <v>т161</v>
      </c>
      <c r="C969" s="12" t="str">
        <f>IFERROR(VLOOKUP(D969,'[1]Перечень товаров'!$A$2:$I9525,3,0),"")</f>
        <v xml:space="preserve">Техника </v>
      </c>
      <c r="D969" s="29" t="s">
        <v>381</v>
      </c>
      <c r="E969" s="30"/>
      <c r="F969" s="30"/>
      <c r="G969" s="59">
        <v>1</v>
      </c>
      <c r="H969" s="59"/>
      <c r="I969" s="60"/>
      <c r="J969" s="60"/>
      <c r="K969" s="19"/>
      <c r="L969" s="20"/>
    </row>
    <row r="970" spans="1:12" ht="47.25" outlineLevel="2">
      <c r="A970" s="21"/>
      <c r="B970" s="12" t="str">
        <f>IFERROR(VLOOKUP(D970,'[1]Перечень товаров'!$A$2:$I9525,2,0),"")</f>
        <v>м61</v>
      </c>
      <c r="C970" s="12" t="str">
        <f>IFERROR(VLOOKUP(D970,'[1]Перечень товаров'!$A$2:$I9525,3,0),"")</f>
        <v>Мебель</v>
      </c>
      <c r="D970" s="22" t="s">
        <v>382</v>
      </c>
      <c r="E970" s="30"/>
      <c r="F970" s="30"/>
      <c r="G970" s="59">
        <v>1</v>
      </c>
      <c r="H970" s="59"/>
      <c r="I970" s="60"/>
      <c r="J970" s="60"/>
      <c r="K970" s="19"/>
      <c r="L970" s="20"/>
    </row>
    <row r="971" spans="1:12" outlineLevel="2">
      <c r="A971" s="113"/>
      <c r="B971" s="12" t="str">
        <f>IFERROR(VLOOKUP(D971,'[1]Перечень товаров'!$A$2:$I9525,2,0),"")</f>
        <v/>
      </c>
      <c r="C971" s="12" t="str">
        <f>IFERROR(VLOOKUP(D971,'[1]Перечень товаров'!$A$2:$I9525,3,0),"")</f>
        <v/>
      </c>
      <c r="D971" s="114" t="s">
        <v>19</v>
      </c>
      <c r="E971" s="115"/>
      <c r="F971" s="115"/>
      <c r="G971" s="59"/>
      <c r="H971" s="59"/>
      <c r="I971" s="60"/>
      <c r="J971" s="60"/>
      <c r="K971" s="19"/>
      <c r="L971" s="20"/>
    </row>
    <row r="972" spans="1:12" ht="31.5" outlineLevel="2">
      <c r="A972" s="34"/>
      <c r="B972" s="12" t="str">
        <f>IFERROR(VLOOKUP(D972,'[1]Перечень товаров'!$A$2:$I9525,2,0),"")</f>
        <v>м205</v>
      </c>
      <c r="C972" s="12" t="str">
        <f>IFERROR(VLOOKUP(D972,'[1]Перечень товаров'!$A$2:$I9525,3,0),"")</f>
        <v>Мебель</v>
      </c>
      <c r="D972" s="35" t="s">
        <v>20</v>
      </c>
      <c r="E972" s="88"/>
      <c r="F972" s="88"/>
      <c r="G972" s="59">
        <v>1</v>
      </c>
      <c r="H972" s="59"/>
      <c r="I972" s="60"/>
      <c r="J972" s="60"/>
      <c r="K972" s="19"/>
      <c r="L972" s="20"/>
    </row>
    <row r="973" spans="1:12" outlineLevel="2">
      <c r="A973" s="34"/>
      <c r="B973" s="12" t="str">
        <f>IFERROR(VLOOKUP(D973,'[1]Перечень товаров'!$A$2:$I9525,2,0),"")</f>
        <v>м61</v>
      </c>
      <c r="C973" s="12" t="str">
        <f>IFERROR(VLOOKUP(D973,'[1]Перечень товаров'!$A$2:$I9525,3,0),"")</f>
        <v>Мебель</v>
      </c>
      <c r="D973" s="35" t="s">
        <v>383</v>
      </c>
      <c r="E973" s="88"/>
      <c r="F973" s="88"/>
      <c r="G973" s="59">
        <v>1</v>
      </c>
      <c r="H973" s="59"/>
      <c r="I973" s="60"/>
      <c r="J973" s="60"/>
      <c r="K973" s="19"/>
      <c r="L973" s="20"/>
    </row>
    <row r="974" spans="1:12" outlineLevel="2">
      <c r="A974" s="34"/>
      <c r="B974" s="12" t="str">
        <f>IFERROR(VLOOKUP(D974,'[1]Перечень товаров'!$A$2:$I9525,2,0),"")</f>
        <v>м61</v>
      </c>
      <c r="C974" s="12" t="str">
        <f>IFERROR(VLOOKUP(D974,'[1]Перечень товаров'!$A$2:$I9525,3,0),"")</f>
        <v>Мебель</v>
      </c>
      <c r="D974" s="35" t="s">
        <v>384</v>
      </c>
      <c r="E974" s="88"/>
      <c r="F974" s="88"/>
      <c r="G974" s="59">
        <v>4</v>
      </c>
      <c r="H974" s="59"/>
      <c r="I974" s="60"/>
      <c r="J974" s="60"/>
      <c r="K974" s="19"/>
      <c r="L974" s="20"/>
    </row>
    <row r="975" spans="1:12" ht="31.5" outlineLevel="2">
      <c r="A975" s="34"/>
      <c r="B975" s="12" t="str">
        <f>IFERROR(VLOOKUP(D975,'[1]Перечень товаров'!$A$2:$I9525,2,0),"")</f>
        <v>м62</v>
      </c>
      <c r="C975" s="12" t="str">
        <f>IFERROR(VLOOKUP(D975,'[1]Перечень товаров'!$A$2:$I9525,3,0),"")</f>
        <v>Мебель</v>
      </c>
      <c r="D975" s="35" t="s">
        <v>385</v>
      </c>
      <c r="E975" s="88"/>
      <c r="F975" s="88"/>
      <c r="G975" s="59">
        <v>2</v>
      </c>
      <c r="H975" s="59"/>
      <c r="I975" s="60"/>
      <c r="J975" s="60"/>
      <c r="K975" s="19"/>
      <c r="L975" s="20"/>
    </row>
    <row r="976" spans="1:12" outlineLevel="2">
      <c r="A976" s="21"/>
      <c r="B976" s="12" t="str">
        <f>IFERROR(VLOOKUP(D976,'[1]Перечень товаров'!$A$2:$I9525,2,0),"")</f>
        <v>м13</v>
      </c>
      <c r="C976" s="12" t="str">
        <f>IFERROR(VLOOKUP(D976,'[1]Перечень товаров'!$A$2:$I9525,3,0),"")</f>
        <v>Мебель</v>
      </c>
      <c r="D976" s="22" t="s">
        <v>42</v>
      </c>
      <c r="E976" s="58"/>
      <c r="F976" s="58"/>
      <c r="G976" s="24">
        <v>1</v>
      </c>
      <c r="H976" s="24"/>
      <c r="I976" s="25"/>
      <c r="J976" s="25"/>
      <c r="K976" s="19"/>
      <c r="L976" s="20"/>
    </row>
    <row r="977" spans="1:12" outlineLevel="2">
      <c r="A977" s="21"/>
      <c r="B977" s="12" t="str">
        <f>IFERROR(VLOOKUP(D977,'[1]Перечень товаров'!$A$2:$I9525,2,0),"")</f>
        <v>м14</v>
      </c>
      <c r="C977" s="12" t="str">
        <f>IFERROR(VLOOKUP(D977,'[1]Перечень товаров'!$A$2:$I9525,3,0),"")</f>
        <v>Мебель</v>
      </c>
      <c r="D977" s="22" t="s">
        <v>43</v>
      </c>
      <c r="E977" s="58"/>
      <c r="F977" s="58"/>
      <c r="G977" s="24">
        <v>1</v>
      </c>
      <c r="H977" s="24"/>
      <c r="I977" s="25"/>
      <c r="J977" s="25"/>
      <c r="K977" s="19"/>
      <c r="L977" s="20"/>
    </row>
    <row r="978" spans="1:12" ht="31.5" outlineLevel="2">
      <c r="A978" s="21"/>
      <c r="B978" s="12" t="str">
        <f>IFERROR(VLOOKUP(D978,'[1]Перечень товаров'!$A$2:$I9525,2,0),"")</f>
        <v>м63</v>
      </c>
      <c r="C978" s="12" t="str">
        <f>IFERROR(VLOOKUP(D978,'[1]Перечень товаров'!$A$2:$I9525,3,0),"")</f>
        <v>Мебель</v>
      </c>
      <c r="D978" s="22" t="s">
        <v>386</v>
      </c>
      <c r="E978" s="58"/>
      <c r="F978" s="58"/>
      <c r="G978" s="24">
        <v>2</v>
      </c>
      <c r="H978" s="24"/>
      <c r="I978" s="25"/>
      <c r="J978" s="25"/>
      <c r="K978" s="19"/>
      <c r="L978" s="20"/>
    </row>
    <row r="979" spans="1:12" ht="31.5" outlineLevel="2">
      <c r="A979" s="21"/>
      <c r="B979" s="12" t="str">
        <f>IFERROR(VLOOKUP(D979,'[1]Перечень товаров'!$A$2:$I9525,2,0),"")</f>
        <v>м64</v>
      </c>
      <c r="C979" s="12" t="str">
        <f>IFERROR(VLOOKUP(D979,'[1]Перечень товаров'!$A$2:$I9525,3,0),"")</f>
        <v>Мебель</v>
      </c>
      <c r="D979" s="22" t="s">
        <v>387</v>
      </c>
      <c r="E979" s="58"/>
      <c r="F979" s="58"/>
      <c r="G979" s="24">
        <v>2</v>
      </c>
      <c r="H979" s="24"/>
      <c r="I979" s="25"/>
      <c r="J979" s="25"/>
      <c r="K979" s="19"/>
      <c r="L979" s="20"/>
    </row>
    <row r="980" spans="1:12" outlineLevel="2">
      <c r="A980" s="21"/>
      <c r="B980" s="12" t="str">
        <f>IFERROR(VLOOKUP(D980,'[1]Перечень товаров'!$A$2:$I9525,2,0),"")</f>
        <v>п33</v>
      </c>
      <c r="C980" s="12" t="str">
        <f>IFERROR(VLOOKUP(D980,'[1]Перечень товаров'!$A$2:$I9525,3,0),"")</f>
        <v>Прочее</v>
      </c>
      <c r="D980" s="22" t="s">
        <v>388</v>
      </c>
      <c r="E980" s="58"/>
      <c r="F980" s="58"/>
      <c r="G980" s="24">
        <v>1</v>
      </c>
      <c r="H980" s="24"/>
      <c r="I980" s="25"/>
      <c r="J980" s="25"/>
      <c r="K980" s="19"/>
      <c r="L980" s="20"/>
    </row>
    <row r="981" spans="1:12" outlineLevel="2">
      <c r="A981" s="21"/>
      <c r="B981" s="12" t="str">
        <f>IFERROR(VLOOKUP(D981,'[1]Перечень товаров'!$A$2:$I9525,2,0),"")</f>
        <v>м65</v>
      </c>
      <c r="C981" s="12" t="str">
        <f>IFERROR(VLOOKUP(D981,'[1]Перечень товаров'!$A$2:$I9525,3,0),"")</f>
        <v>Мебель</v>
      </c>
      <c r="D981" s="22" t="s">
        <v>389</v>
      </c>
      <c r="E981" s="58"/>
      <c r="F981" s="58"/>
      <c r="G981" s="24">
        <v>1</v>
      </c>
      <c r="H981" s="24"/>
      <c r="I981" s="25"/>
      <c r="J981" s="25"/>
      <c r="K981" s="19"/>
      <c r="L981" s="20"/>
    </row>
    <row r="982" spans="1:12" outlineLevel="2">
      <c r="A982" s="21"/>
      <c r="B982" s="12" t="str">
        <f>IFERROR(VLOOKUP(D982,'[1]Перечень товаров'!$A$2:$I9525,2,0),"")</f>
        <v>п34</v>
      </c>
      <c r="C982" s="12" t="str">
        <f>IFERROR(VLOOKUP(D982,'[1]Перечень товаров'!$A$2:$I9525,3,0),"")</f>
        <v>Прочее</v>
      </c>
      <c r="D982" s="22" t="s">
        <v>390</v>
      </c>
      <c r="E982" s="58"/>
      <c r="F982" s="58"/>
      <c r="G982" s="24">
        <v>1</v>
      </c>
      <c r="H982" s="24"/>
      <c r="I982" s="25"/>
      <c r="J982" s="25"/>
      <c r="K982" s="19"/>
      <c r="L982" s="20"/>
    </row>
    <row r="983" spans="1:12" ht="15" outlineLevel="2">
      <c r="A983" s="116"/>
      <c r="B983" s="12" t="str">
        <f>IFERROR(VLOOKUP(D983,'[1]Перечень товаров'!$A$2:$I9525,2,0),"")</f>
        <v/>
      </c>
      <c r="C983" s="12" t="str">
        <f>IFERROR(VLOOKUP(D983,'[1]Перечень товаров'!$A$2:$I9525,3,0),"")</f>
        <v/>
      </c>
      <c r="D983" s="117" t="s">
        <v>391</v>
      </c>
      <c r="E983" s="118"/>
      <c r="F983" s="118"/>
      <c r="G983" s="119"/>
      <c r="H983" s="119"/>
      <c r="I983" s="120"/>
      <c r="J983" s="120"/>
      <c r="K983" s="19"/>
      <c r="L983" s="20"/>
    </row>
    <row r="984" spans="1:12" ht="31.5" outlineLevel="2">
      <c r="A984" s="28"/>
      <c r="B984" s="12" t="str">
        <f>IFERROR(VLOOKUP(D984,'[1]Перечень товаров'!$A$2:$I9525,2,0),"")</f>
        <v>тм66</v>
      </c>
      <c r="C984" s="12" t="str">
        <f>IFERROR(VLOOKUP(D984,'[1]Перечень товаров'!$A$2:$I9525,3,0),"")</f>
        <v>Техника муз</v>
      </c>
      <c r="D984" s="29" t="s">
        <v>392</v>
      </c>
      <c r="E984" s="30"/>
      <c r="F984" s="30"/>
      <c r="G984" s="31">
        <v>2</v>
      </c>
      <c r="H984" s="31"/>
      <c r="I984" s="32"/>
      <c r="J984" s="32"/>
      <c r="K984" s="19"/>
      <c r="L984" s="20"/>
    </row>
    <row r="985" spans="1:12" ht="63" outlineLevel="2">
      <c r="A985" s="28"/>
      <c r="B985" s="12" t="str">
        <f>IFERROR(VLOOKUP(D985,'[1]Перечень товаров'!$A$2:$I9525,2,0),"")</f>
        <v>тм67</v>
      </c>
      <c r="C985" s="12" t="str">
        <f>IFERROR(VLOOKUP(D985,'[1]Перечень товаров'!$A$2:$I9525,3,0),"")</f>
        <v>Техника муз</v>
      </c>
      <c r="D985" s="29" t="s">
        <v>393</v>
      </c>
      <c r="E985" s="30"/>
      <c r="F985" s="30"/>
      <c r="G985" s="31">
        <v>1</v>
      </c>
      <c r="H985" s="31"/>
      <c r="I985" s="32"/>
      <c r="J985" s="32"/>
      <c r="K985" s="19"/>
      <c r="L985" s="20"/>
    </row>
    <row r="986" spans="1:12" ht="31.5" outlineLevel="2">
      <c r="A986" s="28"/>
      <c r="B986" s="12" t="str">
        <f>IFERROR(VLOOKUP(D986,'[1]Перечень товаров'!$A$2:$I9525,2,0),"")</f>
        <v>тм68</v>
      </c>
      <c r="C986" s="12" t="str">
        <f>IFERROR(VLOOKUP(D986,'[1]Перечень товаров'!$A$2:$I9525,3,0),"")</f>
        <v>Техника муз</v>
      </c>
      <c r="D986" s="29" t="s">
        <v>394</v>
      </c>
      <c r="E986" s="30"/>
      <c r="F986" s="30"/>
      <c r="G986" s="31">
        <v>1</v>
      </c>
      <c r="H986" s="31"/>
      <c r="I986" s="32"/>
      <c r="J986" s="32"/>
      <c r="K986" s="19"/>
      <c r="L986" s="20"/>
    </row>
    <row r="987" spans="1:12" ht="31.5" outlineLevel="2">
      <c r="A987" s="28"/>
      <c r="B987" s="12" t="str">
        <f>IFERROR(VLOOKUP(D987,'[1]Перечень товаров'!$A$2:$I9525,2,0),"")</f>
        <v>тм69</v>
      </c>
      <c r="C987" s="12" t="str">
        <f>IFERROR(VLOOKUP(D987,'[1]Перечень товаров'!$A$2:$I9525,3,0),"")</f>
        <v>Техника муз</v>
      </c>
      <c r="D987" s="29" t="s">
        <v>395</v>
      </c>
      <c r="E987" s="30"/>
      <c r="F987" s="30"/>
      <c r="G987" s="31">
        <v>1</v>
      </c>
      <c r="H987" s="31"/>
      <c r="I987" s="32"/>
      <c r="J987" s="32"/>
      <c r="K987" s="19"/>
      <c r="L987" s="20"/>
    </row>
    <row r="988" spans="1:12" ht="12.75" outlineLevel="1">
      <c r="A988" s="89"/>
      <c r="B988" s="12" t="str">
        <f>IFERROR(VLOOKUP(D988,'[1]Перечень товаров'!$A$2:$I9525,2,0),"")</f>
        <v/>
      </c>
      <c r="C988" s="12" t="str">
        <f>IFERROR(VLOOKUP(D988,'[1]Перечень товаров'!$A$2:$I9525,3,0),"")</f>
        <v/>
      </c>
      <c r="D988" s="90" t="s">
        <v>379</v>
      </c>
      <c r="E988" s="108">
        <v>46134</v>
      </c>
      <c r="F988" s="108"/>
      <c r="G988" s="100"/>
      <c r="H988" s="100"/>
      <c r="I988" s="101"/>
      <c r="J988" s="101"/>
      <c r="K988" s="19"/>
      <c r="L988" s="20"/>
    </row>
    <row r="989" spans="1:12" ht="15" outlineLevel="2">
      <c r="A989" s="109"/>
      <c r="B989" s="12" t="str">
        <f>IFERROR(VLOOKUP(D989,'[1]Перечень товаров'!$A$2:$I9525,2,0),"")</f>
        <v/>
      </c>
      <c r="C989" s="12" t="str">
        <f>IFERROR(VLOOKUP(D989,'[1]Перечень товаров'!$A$2:$I9525,3,0),"")</f>
        <v/>
      </c>
      <c r="D989" s="110" t="s">
        <v>27</v>
      </c>
      <c r="E989" s="45"/>
      <c r="F989" s="45"/>
      <c r="G989" s="111"/>
      <c r="H989" s="111"/>
      <c r="I989" s="112"/>
      <c r="J989" s="112"/>
      <c r="K989" s="19"/>
      <c r="L989" s="20"/>
    </row>
    <row r="990" spans="1:12" outlineLevel="2">
      <c r="A990" s="21"/>
      <c r="B990" s="12" t="str">
        <f>IFERROR(VLOOKUP(D990,'[1]Перечень товаров'!$A$2:$I9525,2,0),"")</f>
        <v>т1</v>
      </c>
      <c r="C990" s="12" t="str">
        <f>IFERROR(VLOOKUP(D990,'[1]Перечень товаров'!$A$2:$I9525,3,0),"")</f>
        <v xml:space="preserve">Техника </v>
      </c>
      <c r="D990" s="22" t="s">
        <v>28</v>
      </c>
      <c r="E990" s="58"/>
      <c r="F990" s="58"/>
      <c r="G990" s="48">
        <v>1</v>
      </c>
      <c r="H990" s="48"/>
      <c r="I990" s="49"/>
      <c r="J990" s="49"/>
      <c r="K990" s="19"/>
      <c r="L990" s="20"/>
    </row>
    <row r="991" spans="1:12" outlineLevel="2">
      <c r="A991" s="35"/>
      <c r="B991" s="12" t="str">
        <f>IFERROR(VLOOKUP(D991,'[1]Перечень товаров'!$A$2:$I9525,2,0),"")</f>
        <v>т2</v>
      </c>
      <c r="C991" s="12" t="str">
        <f>IFERROR(VLOOKUP(D991,'[1]Перечень товаров'!$A$2:$I9525,3,0),"")</f>
        <v xml:space="preserve">Техника </v>
      </c>
      <c r="D991" s="35" t="s">
        <v>29</v>
      </c>
      <c r="E991" s="58"/>
      <c r="F991" s="58"/>
      <c r="G991" s="48">
        <v>1</v>
      </c>
      <c r="H991" s="48"/>
      <c r="I991" s="49"/>
      <c r="J991" s="49"/>
      <c r="K991" s="19"/>
      <c r="L991" s="20"/>
    </row>
    <row r="992" spans="1:12" outlineLevel="2">
      <c r="A992" s="35"/>
      <c r="B992" s="12" t="str">
        <f>IFERROR(VLOOKUP(D992,'[1]Перечень товаров'!$A$2:$I9525,2,0),"")</f>
        <v>т3</v>
      </c>
      <c r="C992" s="12" t="str">
        <f>IFERROR(VLOOKUP(D992,'[1]Перечень товаров'!$A$2:$I9525,3,0),"")</f>
        <v xml:space="preserve">Техника </v>
      </c>
      <c r="D992" s="35" t="s">
        <v>30</v>
      </c>
      <c r="E992" s="58"/>
      <c r="F992" s="58"/>
      <c r="G992" s="48">
        <v>1</v>
      </c>
      <c r="H992" s="48"/>
      <c r="I992" s="49"/>
      <c r="J992" s="49"/>
      <c r="K992" s="19"/>
      <c r="L992" s="20"/>
    </row>
    <row r="993" spans="1:12" outlineLevel="2">
      <c r="A993" s="35"/>
      <c r="B993" s="12" t="str">
        <f>IFERROR(VLOOKUP(D993,'[1]Перечень товаров'!$A$2:$I9525,2,0),"")</f>
        <v>т4</v>
      </c>
      <c r="C993" s="12" t="str">
        <f>IFERROR(VLOOKUP(D993,'[1]Перечень товаров'!$A$2:$I9525,3,0),"")</f>
        <v xml:space="preserve">Техника </v>
      </c>
      <c r="D993" s="35" t="s">
        <v>31</v>
      </c>
      <c r="E993" s="58"/>
      <c r="F993" s="58"/>
      <c r="G993" s="48">
        <v>1</v>
      </c>
      <c r="H993" s="48"/>
      <c r="I993" s="49"/>
      <c r="J993" s="49"/>
      <c r="K993" s="19"/>
      <c r="L993" s="20"/>
    </row>
    <row r="994" spans="1:12" outlineLevel="2">
      <c r="A994" s="21"/>
      <c r="B994" s="12" t="str">
        <f>IFERROR(VLOOKUP(D994,'[1]Перечень товаров'!$A$2:$I9525,2,0),"")</f>
        <v>тм65</v>
      </c>
      <c r="C994" s="12" t="str">
        <f>IFERROR(VLOOKUP(D994,'[1]Перечень товаров'!$A$2:$I9525,3,0),"")</f>
        <v>Техника муз</v>
      </c>
      <c r="D994" s="22" t="s">
        <v>380</v>
      </c>
      <c r="E994" s="58"/>
      <c r="F994" s="58"/>
      <c r="G994" s="48">
        <v>1</v>
      </c>
      <c r="H994" s="48"/>
      <c r="I994" s="49"/>
      <c r="J994" s="49"/>
      <c r="K994" s="19"/>
      <c r="L994" s="20"/>
    </row>
    <row r="995" spans="1:12" outlineLevel="2">
      <c r="A995" s="21"/>
      <c r="B995" s="12" t="str">
        <f>IFERROR(VLOOKUP(D995,'[1]Перечень товаров'!$A$2:$I9525,2,0),"")</f>
        <v>т12</v>
      </c>
      <c r="C995" s="12" t="str">
        <f>IFERROR(VLOOKUP(D995,'[1]Перечень товаров'!$A$2:$I9525,3,0),"")</f>
        <v>Техника</v>
      </c>
      <c r="D995" s="22" t="s">
        <v>49</v>
      </c>
      <c r="E995" s="58"/>
      <c r="F995" s="58"/>
      <c r="G995" s="48">
        <v>1</v>
      </c>
      <c r="H995" s="48"/>
      <c r="I995" s="49"/>
      <c r="J995" s="49"/>
      <c r="K995" s="19"/>
      <c r="L995" s="20"/>
    </row>
    <row r="996" spans="1:12" outlineLevel="2">
      <c r="A996" s="35"/>
      <c r="B996" s="12" t="str">
        <f>IFERROR(VLOOKUP(D996,'[1]Перечень товаров'!$A$2:$I9525,2,0),"")</f>
        <v>т6</v>
      </c>
      <c r="C996" s="12" t="str">
        <f>IFERROR(VLOOKUP(D996,'[1]Перечень товаров'!$A$2:$I9525,3,0),"")</f>
        <v xml:space="preserve">Техника </v>
      </c>
      <c r="D996" s="35" t="s">
        <v>33</v>
      </c>
      <c r="E996" s="58"/>
      <c r="F996" s="58"/>
      <c r="G996" s="48">
        <v>1</v>
      </c>
      <c r="H996" s="48"/>
      <c r="I996" s="49"/>
      <c r="J996" s="49"/>
      <c r="K996" s="19"/>
      <c r="L996" s="20"/>
    </row>
    <row r="997" spans="1:12" outlineLevel="2">
      <c r="A997" s="21"/>
      <c r="B997" s="12" t="str">
        <f>IFERROR(VLOOKUP(D997,'[1]Перечень товаров'!$A$2:$I9525,2,0),"")</f>
        <v>т7</v>
      </c>
      <c r="C997" s="12" t="str">
        <f>IFERROR(VLOOKUP(D997,'[1]Перечень товаров'!$A$2:$I9525,3,0),"")</f>
        <v xml:space="preserve">Техника </v>
      </c>
      <c r="D997" s="22" t="s">
        <v>34</v>
      </c>
      <c r="E997" s="58"/>
      <c r="F997" s="58"/>
      <c r="G997" s="48">
        <v>3</v>
      </c>
      <c r="H997" s="48"/>
      <c r="I997" s="49"/>
      <c r="J997" s="49"/>
      <c r="K997" s="19"/>
      <c r="L997" s="20"/>
    </row>
    <row r="998" spans="1:12" outlineLevel="2">
      <c r="A998" s="28"/>
      <c r="B998" s="12" t="str">
        <f>IFERROR(VLOOKUP(D998,'[1]Перечень товаров'!$A$2:$I9525,2,0),"")</f>
        <v>т161</v>
      </c>
      <c r="C998" s="12" t="str">
        <f>IFERROR(VLOOKUP(D998,'[1]Перечень товаров'!$A$2:$I9525,3,0),"")</f>
        <v xml:space="preserve">Техника </v>
      </c>
      <c r="D998" s="29" t="s">
        <v>381</v>
      </c>
      <c r="E998" s="30"/>
      <c r="F998" s="30"/>
      <c r="G998" s="59">
        <v>1</v>
      </c>
      <c r="H998" s="59"/>
      <c r="I998" s="60"/>
      <c r="J998" s="60"/>
      <c r="K998" s="19"/>
      <c r="L998" s="20"/>
    </row>
    <row r="999" spans="1:12" ht="47.25" outlineLevel="2">
      <c r="A999" s="21"/>
      <c r="B999" s="12" t="str">
        <f>IFERROR(VLOOKUP(D999,'[1]Перечень товаров'!$A$2:$I9525,2,0),"")</f>
        <v>м61</v>
      </c>
      <c r="C999" s="12" t="str">
        <f>IFERROR(VLOOKUP(D999,'[1]Перечень товаров'!$A$2:$I9525,3,0),"")</f>
        <v>Мебель</v>
      </c>
      <c r="D999" s="22" t="s">
        <v>382</v>
      </c>
      <c r="E999" s="30"/>
      <c r="F999" s="30"/>
      <c r="G999" s="59">
        <v>1</v>
      </c>
      <c r="H999" s="59"/>
      <c r="I999" s="60"/>
      <c r="J999" s="60"/>
      <c r="K999" s="19"/>
      <c r="L999" s="20"/>
    </row>
    <row r="1000" spans="1:12" outlineLevel="2">
      <c r="A1000" s="113"/>
      <c r="B1000" s="12" t="str">
        <f>IFERROR(VLOOKUP(D1000,'[1]Перечень товаров'!$A$2:$I9525,2,0),"")</f>
        <v/>
      </c>
      <c r="C1000" s="12" t="str">
        <f>IFERROR(VLOOKUP(D1000,'[1]Перечень товаров'!$A$2:$I9525,3,0),"")</f>
        <v/>
      </c>
      <c r="D1000" s="114" t="s">
        <v>19</v>
      </c>
      <c r="E1000" s="115"/>
      <c r="F1000" s="115"/>
      <c r="G1000" s="59"/>
      <c r="H1000" s="59"/>
      <c r="I1000" s="60"/>
      <c r="J1000" s="60"/>
      <c r="K1000" s="19"/>
      <c r="L1000" s="20"/>
    </row>
    <row r="1001" spans="1:12" ht="31.5" outlineLevel="2">
      <c r="A1001" s="34"/>
      <c r="B1001" s="12" t="str">
        <f>IFERROR(VLOOKUP(D1001,'[1]Перечень товаров'!$A$2:$I9525,2,0),"")</f>
        <v>м205</v>
      </c>
      <c r="C1001" s="12" t="str">
        <f>IFERROR(VLOOKUP(D1001,'[1]Перечень товаров'!$A$2:$I9525,3,0),"")</f>
        <v>Мебель</v>
      </c>
      <c r="D1001" s="35" t="s">
        <v>20</v>
      </c>
      <c r="E1001" s="88"/>
      <c r="F1001" s="88"/>
      <c r="G1001" s="59">
        <v>1</v>
      </c>
      <c r="H1001" s="59"/>
      <c r="I1001" s="60"/>
      <c r="J1001" s="60"/>
      <c r="K1001" s="19"/>
      <c r="L1001" s="20"/>
    </row>
    <row r="1002" spans="1:12" outlineLevel="2">
      <c r="A1002" s="34"/>
      <c r="B1002" s="12" t="str">
        <f>IFERROR(VLOOKUP(D1002,'[1]Перечень товаров'!$A$2:$I9525,2,0),"")</f>
        <v>м61</v>
      </c>
      <c r="C1002" s="12" t="str">
        <f>IFERROR(VLOOKUP(D1002,'[1]Перечень товаров'!$A$2:$I9525,3,0),"")</f>
        <v>Мебель</v>
      </c>
      <c r="D1002" s="35" t="s">
        <v>383</v>
      </c>
      <c r="E1002" s="88"/>
      <c r="F1002" s="88"/>
      <c r="G1002" s="59">
        <v>1</v>
      </c>
      <c r="H1002" s="59"/>
      <c r="I1002" s="60"/>
      <c r="J1002" s="60"/>
      <c r="K1002" s="19"/>
      <c r="L1002" s="20"/>
    </row>
    <row r="1003" spans="1:12" outlineLevel="2">
      <c r="A1003" s="34"/>
      <c r="B1003" s="12" t="str">
        <f>IFERROR(VLOOKUP(D1003,'[1]Перечень товаров'!$A$2:$I9525,2,0),"")</f>
        <v>м61</v>
      </c>
      <c r="C1003" s="12" t="str">
        <f>IFERROR(VLOOKUP(D1003,'[1]Перечень товаров'!$A$2:$I9525,3,0),"")</f>
        <v>Мебель</v>
      </c>
      <c r="D1003" s="35" t="s">
        <v>384</v>
      </c>
      <c r="E1003" s="88"/>
      <c r="F1003" s="88"/>
      <c r="G1003" s="59">
        <v>4</v>
      </c>
      <c r="H1003" s="59"/>
      <c r="I1003" s="60"/>
      <c r="J1003" s="60"/>
      <c r="K1003" s="19"/>
      <c r="L1003" s="20"/>
    </row>
    <row r="1004" spans="1:12" ht="31.5" outlineLevel="2">
      <c r="A1004" s="34"/>
      <c r="B1004" s="12" t="str">
        <f>IFERROR(VLOOKUP(D1004,'[1]Перечень товаров'!$A$2:$I9525,2,0),"")</f>
        <v>м62</v>
      </c>
      <c r="C1004" s="12" t="str">
        <f>IFERROR(VLOOKUP(D1004,'[1]Перечень товаров'!$A$2:$I9525,3,0),"")</f>
        <v>Мебель</v>
      </c>
      <c r="D1004" s="35" t="s">
        <v>385</v>
      </c>
      <c r="E1004" s="88"/>
      <c r="F1004" s="88"/>
      <c r="G1004" s="59">
        <v>2</v>
      </c>
      <c r="H1004" s="59"/>
      <c r="I1004" s="60"/>
      <c r="J1004" s="60"/>
      <c r="K1004" s="19"/>
      <c r="L1004" s="20"/>
    </row>
    <row r="1005" spans="1:12" outlineLevel="2">
      <c r="A1005" s="21"/>
      <c r="B1005" s="12" t="str">
        <f>IFERROR(VLOOKUP(D1005,'[1]Перечень товаров'!$A$2:$I9525,2,0),"")</f>
        <v>м13</v>
      </c>
      <c r="C1005" s="12" t="str">
        <f>IFERROR(VLOOKUP(D1005,'[1]Перечень товаров'!$A$2:$I9525,3,0),"")</f>
        <v>Мебель</v>
      </c>
      <c r="D1005" s="22" t="s">
        <v>42</v>
      </c>
      <c r="E1005" s="58"/>
      <c r="F1005" s="58"/>
      <c r="G1005" s="24">
        <v>1</v>
      </c>
      <c r="H1005" s="24"/>
      <c r="I1005" s="25"/>
      <c r="J1005" s="25"/>
      <c r="K1005" s="19"/>
      <c r="L1005" s="20"/>
    </row>
    <row r="1006" spans="1:12" outlineLevel="2">
      <c r="A1006" s="21"/>
      <c r="B1006" s="12" t="str">
        <f>IFERROR(VLOOKUP(D1006,'[1]Перечень товаров'!$A$2:$I9525,2,0),"")</f>
        <v>м14</v>
      </c>
      <c r="C1006" s="12" t="str">
        <f>IFERROR(VLOOKUP(D1006,'[1]Перечень товаров'!$A$2:$I9525,3,0),"")</f>
        <v>Мебель</v>
      </c>
      <c r="D1006" s="22" t="s">
        <v>43</v>
      </c>
      <c r="E1006" s="58"/>
      <c r="F1006" s="58"/>
      <c r="G1006" s="24">
        <v>1</v>
      </c>
      <c r="H1006" s="24"/>
      <c r="I1006" s="25"/>
      <c r="J1006" s="25"/>
      <c r="K1006" s="19"/>
      <c r="L1006" s="20"/>
    </row>
    <row r="1007" spans="1:12" ht="31.5" outlineLevel="2">
      <c r="A1007" s="21"/>
      <c r="B1007" s="12" t="str">
        <f>IFERROR(VLOOKUP(D1007,'[1]Перечень товаров'!$A$2:$I9525,2,0),"")</f>
        <v>м63</v>
      </c>
      <c r="C1007" s="12" t="str">
        <f>IFERROR(VLOOKUP(D1007,'[1]Перечень товаров'!$A$2:$I9525,3,0),"")</f>
        <v>Мебель</v>
      </c>
      <c r="D1007" s="22" t="s">
        <v>386</v>
      </c>
      <c r="E1007" s="58"/>
      <c r="F1007" s="58"/>
      <c r="G1007" s="24">
        <v>2</v>
      </c>
      <c r="H1007" s="24"/>
      <c r="I1007" s="25"/>
      <c r="J1007" s="25"/>
      <c r="K1007" s="19"/>
      <c r="L1007" s="20"/>
    </row>
    <row r="1008" spans="1:12" ht="31.5" outlineLevel="2">
      <c r="A1008" s="21"/>
      <c r="B1008" s="12" t="str">
        <f>IFERROR(VLOOKUP(D1008,'[1]Перечень товаров'!$A$2:$I9525,2,0),"")</f>
        <v>м64</v>
      </c>
      <c r="C1008" s="12" t="str">
        <f>IFERROR(VLOOKUP(D1008,'[1]Перечень товаров'!$A$2:$I9525,3,0),"")</f>
        <v>Мебель</v>
      </c>
      <c r="D1008" s="22" t="s">
        <v>387</v>
      </c>
      <c r="E1008" s="58"/>
      <c r="F1008" s="58"/>
      <c r="G1008" s="24">
        <v>2</v>
      </c>
      <c r="H1008" s="24"/>
      <c r="I1008" s="25"/>
      <c r="J1008" s="25"/>
      <c r="K1008" s="19"/>
      <c r="L1008" s="20"/>
    </row>
    <row r="1009" spans="1:12" outlineLevel="2">
      <c r="A1009" s="21"/>
      <c r="B1009" s="12" t="str">
        <f>IFERROR(VLOOKUP(D1009,'[1]Перечень товаров'!$A$2:$I9525,2,0),"")</f>
        <v>п33</v>
      </c>
      <c r="C1009" s="12" t="str">
        <f>IFERROR(VLOOKUP(D1009,'[1]Перечень товаров'!$A$2:$I9525,3,0),"")</f>
        <v>Прочее</v>
      </c>
      <c r="D1009" s="22" t="s">
        <v>388</v>
      </c>
      <c r="E1009" s="58"/>
      <c r="F1009" s="58"/>
      <c r="G1009" s="24">
        <v>1</v>
      </c>
      <c r="H1009" s="24"/>
      <c r="I1009" s="25"/>
      <c r="J1009" s="25"/>
      <c r="K1009" s="19"/>
      <c r="L1009" s="20"/>
    </row>
    <row r="1010" spans="1:12" outlineLevel="2">
      <c r="A1010" s="21"/>
      <c r="B1010" s="12" t="str">
        <f>IFERROR(VLOOKUP(D1010,'[1]Перечень товаров'!$A$2:$I9525,2,0),"")</f>
        <v>м65</v>
      </c>
      <c r="C1010" s="12" t="str">
        <f>IFERROR(VLOOKUP(D1010,'[1]Перечень товаров'!$A$2:$I9525,3,0),"")</f>
        <v>Мебель</v>
      </c>
      <c r="D1010" s="22" t="s">
        <v>389</v>
      </c>
      <c r="E1010" s="58"/>
      <c r="F1010" s="58"/>
      <c r="G1010" s="24">
        <v>1</v>
      </c>
      <c r="H1010" s="24"/>
      <c r="I1010" s="25"/>
      <c r="J1010" s="25"/>
      <c r="K1010" s="19"/>
      <c r="L1010" s="20"/>
    </row>
    <row r="1011" spans="1:12" outlineLevel="2">
      <c r="A1011" s="21"/>
      <c r="B1011" s="12" t="str">
        <f>IFERROR(VLOOKUP(D1011,'[1]Перечень товаров'!$A$2:$I9525,2,0),"")</f>
        <v>п34</v>
      </c>
      <c r="C1011" s="12" t="str">
        <f>IFERROR(VLOOKUP(D1011,'[1]Перечень товаров'!$A$2:$I9525,3,0),"")</f>
        <v>Прочее</v>
      </c>
      <c r="D1011" s="22" t="s">
        <v>390</v>
      </c>
      <c r="E1011" s="58"/>
      <c r="F1011" s="58"/>
      <c r="G1011" s="24">
        <v>1</v>
      </c>
      <c r="H1011" s="24"/>
      <c r="I1011" s="25"/>
      <c r="J1011" s="25"/>
      <c r="K1011" s="19"/>
      <c r="L1011" s="20"/>
    </row>
    <row r="1012" spans="1:12" ht="15" outlineLevel="2">
      <c r="A1012" s="116"/>
      <c r="B1012" s="12" t="str">
        <f>IFERROR(VLOOKUP(D1012,'[1]Перечень товаров'!$A$2:$I9525,2,0),"")</f>
        <v/>
      </c>
      <c r="C1012" s="12" t="str">
        <f>IFERROR(VLOOKUP(D1012,'[1]Перечень товаров'!$A$2:$I9525,3,0),"")</f>
        <v/>
      </c>
      <c r="D1012" s="117" t="s">
        <v>391</v>
      </c>
      <c r="E1012" s="118"/>
      <c r="F1012" s="118"/>
      <c r="G1012" s="119"/>
      <c r="H1012" s="119"/>
      <c r="I1012" s="120"/>
      <c r="J1012" s="120"/>
      <c r="K1012" s="19"/>
      <c r="L1012" s="20"/>
    </row>
    <row r="1013" spans="1:12" ht="31.5" outlineLevel="2">
      <c r="A1013" s="28"/>
      <c r="B1013" s="12" t="str">
        <f>IFERROR(VLOOKUP(D1013,'[1]Перечень товаров'!$A$2:$I9525,2,0),"")</f>
        <v>тм66</v>
      </c>
      <c r="C1013" s="12" t="str">
        <f>IFERROR(VLOOKUP(D1013,'[1]Перечень товаров'!$A$2:$I9525,3,0),"")</f>
        <v>Техника муз</v>
      </c>
      <c r="D1013" s="29" t="s">
        <v>392</v>
      </c>
      <c r="E1013" s="30"/>
      <c r="F1013" s="30"/>
      <c r="G1013" s="31">
        <v>2</v>
      </c>
      <c r="H1013" s="31"/>
      <c r="I1013" s="32"/>
      <c r="J1013" s="32"/>
      <c r="K1013" s="19"/>
      <c r="L1013" s="20"/>
    </row>
    <row r="1014" spans="1:12" ht="63" outlineLevel="2">
      <c r="A1014" s="28"/>
      <c r="B1014" s="12" t="str">
        <f>IFERROR(VLOOKUP(D1014,'[1]Перечень товаров'!$A$2:$I9525,2,0),"")</f>
        <v>тм67</v>
      </c>
      <c r="C1014" s="12" t="str">
        <f>IFERROR(VLOOKUP(D1014,'[1]Перечень товаров'!$A$2:$I9525,3,0),"")</f>
        <v>Техника муз</v>
      </c>
      <c r="D1014" s="29" t="s">
        <v>393</v>
      </c>
      <c r="E1014" s="30"/>
      <c r="F1014" s="30"/>
      <c r="G1014" s="31">
        <v>1</v>
      </c>
      <c r="H1014" s="31"/>
      <c r="I1014" s="32"/>
      <c r="J1014" s="32"/>
      <c r="K1014" s="19"/>
      <c r="L1014" s="20"/>
    </row>
    <row r="1015" spans="1:12" ht="31.5" outlineLevel="2">
      <c r="A1015" s="28"/>
      <c r="B1015" s="12" t="str">
        <f>IFERROR(VLOOKUP(D1015,'[1]Перечень товаров'!$A$2:$I9525,2,0),"")</f>
        <v>тм68</v>
      </c>
      <c r="C1015" s="12" t="str">
        <f>IFERROR(VLOOKUP(D1015,'[1]Перечень товаров'!$A$2:$I9525,3,0),"")</f>
        <v>Техника муз</v>
      </c>
      <c r="D1015" s="29" t="s">
        <v>394</v>
      </c>
      <c r="E1015" s="30"/>
      <c r="F1015" s="30"/>
      <c r="G1015" s="31">
        <v>1</v>
      </c>
      <c r="H1015" s="31"/>
      <c r="I1015" s="32"/>
      <c r="J1015" s="32"/>
      <c r="K1015" s="19"/>
      <c r="L1015" s="20"/>
    </row>
    <row r="1016" spans="1:12" ht="31.5" outlineLevel="2">
      <c r="A1016" s="28"/>
      <c r="B1016" s="12" t="str">
        <f>IFERROR(VLOOKUP(D1016,'[1]Перечень товаров'!$A$2:$I9525,2,0),"")</f>
        <v>тм69</v>
      </c>
      <c r="C1016" s="12" t="str">
        <f>IFERROR(VLOOKUP(D1016,'[1]Перечень товаров'!$A$2:$I9525,3,0),"")</f>
        <v>Техника муз</v>
      </c>
      <c r="D1016" s="29" t="s">
        <v>395</v>
      </c>
      <c r="E1016" s="30"/>
      <c r="F1016" s="30"/>
      <c r="G1016" s="31">
        <v>1</v>
      </c>
      <c r="H1016" s="31"/>
      <c r="I1016" s="32"/>
      <c r="J1016" s="32"/>
      <c r="K1016" s="19"/>
      <c r="L1016" s="20"/>
    </row>
    <row r="1017" spans="1:12" ht="12.75" outlineLevel="1">
      <c r="A1017" s="11"/>
      <c r="B1017" s="12" t="str">
        <f>IFERROR(VLOOKUP(D1017,'[1]Перечень товаров'!$A$2:$I9525,2,0),"")</f>
        <v/>
      </c>
      <c r="C1017" s="12" t="str">
        <f>IFERROR(VLOOKUP(D1017,'[1]Перечень товаров'!$A$2:$I9525,3,0),"")</f>
        <v/>
      </c>
      <c r="D1017" s="27" t="s">
        <v>338</v>
      </c>
      <c r="E1017" s="99">
        <v>46246</v>
      </c>
      <c r="F1017" s="99"/>
      <c r="G1017" s="100"/>
      <c r="H1017" s="100"/>
      <c r="I1017" s="101"/>
      <c r="J1017" s="101"/>
      <c r="K1017" s="19"/>
      <c r="L1017" s="20"/>
    </row>
    <row r="1018" spans="1:12" ht="12.75" outlineLevel="2">
      <c r="A1018" s="77"/>
      <c r="B1018" s="12" t="str">
        <f>IFERROR(VLOOKUP(D1018,'[1]Перечень товаров'!$A$2:$I9525,2,0),"")</f>
        <v/>
      </c>
      <c r="C1018" s="12" t="str">
        <f>IFERROR(VLOOKUP(D1018,'[1]Перечень товаров'!$A$2:$I9525,3,0),"")</f>
        <v/>
      </c>
      <c r="D1018" s="78" t="s">
        <v>19</v>
      </c>
      <c r="E1018" s="79"/>
      <c r="F1018" s="79"/>
      <c r="G1018" s="100"/>
      <c r="H1018" s="100"/>
      <c r="I1018" s="101"/>
      <c r="J1018" s="101"/>
      <c r="K1018" s="19"/>
      <c r="L1018" s="20"/>
    </row>
    <row r="1019" spans="1:12" outlineLevel="2">
      <c r="A1019" s="43"/>
      <c r="B1019" s="12" t="str">
        <f>IFERROR(VLOOKUP(D1019,'[1]Перечень товаров'!$A$2:$I9525,2,0),"")</f>
        <v>м25</v>
      </c>
      <c r="C1019" s="12" t="str">
        <f>IFERROR(VLOOKUP(D1019,'[1]Перечень товаров'!$A$2:$I9525,3,0),"")</f>
        <v>Мебель</v>
      </c>
      <c r="D1019" s="44" t="s">
        <v>175</v>
      </c>
      <c r="E1019" s="23"/>
      <c r="F1019" s="23"/>
      <c r="G1019" s="23">
        <v>10</v>
      </c>
      <c r="H1019" s="23"/>
      <c r="I1019" s="121"/>
      <c r="J1019" s="121"/>
      <c r="K1019" s="19"/>
      <c r="L1019" s="20"/>
    </row>
    <row r="1020" spans="1:12" outlineLevel="2">
      <c r="A1020" s="43"/>
      <c r="B1020" s="12" t="str">
        <f>IFERROR(VLOOKUP(D1020,'[1]Перечень товаров'!$A$2:$I9525,2,0),"")</f>
        <v>м26</v>
      </c>
      <c r="C1020" s="12" t="str">
        <f>IFERROR(VLOOKUP(D1020,'[1]Перечень товаров'!$A$2:$I9525,3,0),"")</f>
        <v>Мебель</v>
      </c>
      <c r="D1020" s="44" t="s">
        <v>176</v>
      </c>
      <c r="E1020" s="23"/>
      <c r="F1020" s="23"/>
      <c r="G1020" s="23">
        <v>5</v>
      </c>
      <c r="H1020" s="23"/>
      <c r="I1020" s="121"/>
      <c r="J1020" s="121"/>
      <c r="K1020" s="19"/>
      <c r="L1020" s="20"/>
    </row>
    <row r="1021" spans="1:12" outlineLevel="2">
      <c r="A1021" s="43"/>
      <c r="B1021" s="12" t="str">
        <f>IFERROR(VLOOKUP(D1021,'[1]Перечень товаров'!$A$2:$I9525,2,0),"")</f>
        <v>м27</v>
      </c>
      <c r="C1021" s="12" t="str">
        <f>IFERROR(VLOOKUP(D1021,'[1]Перечень товаров'!$A$2:$I9525,3,0),"")</f>
        <v>Мебель</v>
      </c>
      <c r="D1021" s="44" t="s">
        <v>177</v>
      </c>
      <c r="E1021" s="23"/>
      <c r="F1021" s="23"/>
      <c r="G1021" s="23">
        <v>2</v>
      </c>
      <c r="H1021" s="23"/>
      <c r="I1021" s="121"/>
      <c r="J1021" s="121"/>
      <c r="K1021" s="19"/>
      <c r="L1021" s="20"/>
    </row>
    <row r="1022" spans="1:12" outlineLevel="2">
      <c r="A1022" s="43"/>
      <c r="B1022" s="12" t="str">
        <f>IFERROR(VLOOKUP(D1022,'[1]Перечень товаров'!$A$2:$I9525,2,0),"")</f>
        <v>м28</v>
      </c>
      <c r="C1022" s="12" t="str">
        <f>IFERROR(VLOOKUP(D1022,'[1]Перечень товаров'!$A$2:$I9525,3,0),"")</f>
        <v>Мебель</v>
      </c>
      <c r="D1022" s="44" t="s">
        <v>178</v>
      </c>
      <c r="E1022" s="23"/>
      <c r="F1022" s="23"/>
      <c r="G1022" s="23">
        <v>1</v>
      </c>
      <c r="H1022" s="23"/>
      <c r="I1022" s="121"/>
      <c r="J1022" s="121"/>
      <c r="K1022" s="19"/>
      <c r="L1022" s="20"/>
    </row>
    <row r="1023" spans="1:12" outlineLevel="2">
      <c r="A1023" s="21"/>
      <c r="B1023" s="12" t="str">
        <f>IFERROR(VLOOKUP(D1023,'[1]Перечень товаров'!$A$2:$I9525,2,0),"")</f>
        <v>мм1</v>
      </c>
      <c r="C1023" s="12" t="str">
        <f>IFERROR(VLOOKUP(D1023,'[1]Перечень товаров'!$A$2:$I9525,3,0),"")</f>
        <v>Мебель муз</v>
      </c>
      <c r="D1023" s="22" t="s">
        <v>179</v>
      </c>
      <c r="E1023" s="23"/>
      <c r="F1023" s="23"/>
      <c r="G1023" s="23">
        <v>1</v>
      </c>
      <c r="H1023" s="23"/>
      <c r="I1023" s="121"/>
      <c r="J1023" s="121"/>
      <c r="K1023" s="19"/>
      <c r="L1023" s="20"/>
    </row>
    <row r="1024" spans="1:12" ht="12.75" outlineLevel="1">
      <c r="A1024" s="11"/>
      <c r="B1024" s="12" t="str">
        <f>IFERROR(VLOOKUP(D1024,'[1]Перечень товаров'!$A$2:$I9525,2,0),"")</f>
        <v/>
      </c>
      <c r="C1024" s="12" t="str">
        <f>IFERROR(VLOOKUP(D1024,'[1]Перечень товаров'!$A$2:$I9525,3,0),"")</f>
        <v/>
      </c>
      <c r="D1024" s="27" t="s">
        <v>397</v>
      </c>
      <c r="E1024" s="99">
        <v>46068</v>
      </c>
      <c r="F1024" s="99"/>
      <c r="G1024" s="100"/>
      <c r="H1024" s="100"/>
      <c r="I1024" s="101"/>
      <c r="J1024" s="101"/>
      <c r="K1024" s="19"/>
      <c r="L1024" s="20"/>
    </row>
    <row r="1025" spans="1:12" outlineLevel="2">
      <c r="A1025" s="114"/>
      <c r="B1025" s="12" t="str">
        <f>IFERROR(VLOOKUP(D1025,'[1]Перечень товаров'!$A$2:$I9525,2,0),"")</f>
        <v/>
      </c>
      <c r="C1025" s="12" t="str">
        <f>IFERROR(VLOOKUP(D1025,'[1]Перечень товаров'!$A$2:$I9525,3,0),"")</f>
        <v/>
      </c>
      <c r="D1025" s="114" t="s">
        <v>19</v>
      </c>
      <c r="E1025" s="122"/>
      <c r="F1025" s="122"/>
      <c r="G1025" s="123"/>
      <c r="H1025" s="123"/>
      <c r="I1025" s="124"/>
      <c r="J1025" s="124"/>
      <c r="K1025" s="19"/>
      <c r="L1025" s="20"/>
    </row>
    <row r="1026" spans="1:12" outlineLevel="2">
      <c r="A1026" s="34"/>
      <c r="B1026" s="12" t="str">
        <f>IFERROR(VLOOKUP(D1026,'[1]Перечень товаров'!$A$2:$I9525,2,0),"")</f>
        <v>м62</v>
      </c>
      <c r="C1026" s="12" t="str">
        <f>IFERROR(VLOOKUP(D1026,'[1]Перечень товаров'!$A$2:$I9525,3,0),"")</f>
        <v>Мебель</v>
      </c>
      <c r="D1026" s="35" t="s">
        <v>398</v>
      </c>
      <c r="E1026" s="88"/>
      <c r="F1026" s="88"/>
      <c r="G1026" s="59">
        <v>1</v>
      </c>
      <c r="H1026" s="59"/>
      <c r="I1026" s="60"/>
      <c r="J1026" s="60"/>
      <c r="K1026" s="19"/>
      <c r="L1026" s="20"/>
    </row>
    <row r="1027" spans="1:12" outlineLevel="2">
      <c r="A1027" s="34"/>
      <c r="B1027" s="12" t="str">
        <f>IFERROR(VLOOKUP(D1027,'[1]Перечень товаров'!$A$2:$I9525,2,0),"")</f>
        <v>м61</v>
      </c>
      <c r="C1027" s="12" t="str">
        <f>IFERROR(VLOOKUP(D1027,'[1]Перечень товаров'!$A$2:$I9525,3,0),"")</f>
        <v>Мебель</v>
      </c>
      <c r="D1027" s="35" t="s">
        <v>383</v>
      </c>
      <c r="E1027" s="88"/>
      <c r="F1027" s="88"/>
      <c r="G1027" s="59">
        <v>1</v>
      </c>
      <c r="H1027" s="59"/>
      <c r="I1027" s="60"/>
      <c r="J1027" s="60"/>
      <c r="K1027" s="19"/>
      <c r="L1027" s="20"/>
    </row>
    <row r="1028" spans="1:12" outlineLevel="2">
      <c r="A1028" s="22"/>
      <c r="B1028" s="12" t="str">
        <f>IFERROR(VLOOKUP(D1028,'[1]Перечень товаров'!$A$2:$I9525,2,0),"")</f>
        <v>м13</v>
      </c>
      <c r="C1028" s="12" t="str">
        <f>IFERROR(VLOOKUP(D1028,'[1]Перечень товаров'!$A$2:$I9525,3,0),"")</f>
        <v>Мебель</v>
      </c>
      <c r="D1028" s="22" t="s">
        <v>42</v>
      </c>
      <c r="E1028" s="88"/>
      <c r="F1028" s="88"/>
      <c r="G1028" s="48">
        <v>1</v>
      </c>
      <c r="H1028" s="48"/>
      <c r="I1028" s="49"/>
      <c r="J1028" s="49"/>
      <c r="K1028" s="19"/>
      <c r="L1028" s="20"/>
    </row>
    <row r="1029" spans="1:12" outlineLevel="2">
      <c r="A1029" s="21"/>
      <c r="B1029" s="12" t="str">
        <f>IFERROR(VLOOKUP(D1029,'[1]Перечень товаров'!$A$2:$I9525,2,0),"")</f>
        <v>м14</v>
      </c>
      <c r="C1029" s="12" t="str">
        <f>IFERROR(VLOOKUP(D1029,'[1]Перечень товаров'!$A$2:$I9525,3,0),"")</f>
        <v>Мебель</v>
      </c>
      <c r="D1029" s="22" t="s">
        <v>43</v>
      </c>
      <c r="E1029" s="88"/>
      <c r="F1029" s="88"/>
      <c r="G1029" s="48">
        <v>1</v>
      </c>
      <c r="H1029" s="48"/>
      <c r="I1029" s="49"/>
      <c r="J1029" s="49"/>
      <c r="K1029" s="19"/>
      <c r="L1029" s="20"/>
    </row>
    <row r="1030" spans="1:12" outlineLevel="2">
      <c r="A1030" s="21"/>
      <c r="B1030" s="12" t="str">
        <f>IFERROR(VLOOKUP(D1030,'[1]Перечень товаров'!$A$2:$I9525,2,0),"")</f>
        <v>п2</v>
      </c>
      <c r="C1030" s="12" t="str">
        <f>IFERROR(VLOOKUP(D1030,'[1]Перечень товаров'!$A$2:$I9525,3,0),"")</f>
        <v>Прочее</v>
      </c>
      <c r="D1030" s="22" t="s">
        <v>46</v>
      </c>
      <c r="E1030" s="88"/>
      <c r="F1030" s="88"/>
      <c r="G1030" s="24">
        <v>1</v>
      </c>
      <c r="H1030" s="24"/>
      <c r="I1030" s="25"/>
      <c r="J1030" s="25"/>
      <c r="K1030" s="19"/>
      <c r="L1030" s="20"/>
    </row>
    <row r="1031" spans="1:12" outlineLevel="2">
      <c r="A1031" s="21"/>
      <c r="B1031" s="12" t="str">
        <f>IFERROR(VLOOKUP(D1031,'[1]Перечень товаров'!$A$2:$I9525,2,0),"")</f>
        <v>тм70</v>
      </c>
      <c r="C1031" s="12" t="str">
        <f>IFERROR(VLOOKUP(D1031,'[1]Перечень товаров'!$A$2:$I9525,3,0),"")</f>
        <v>Техника муз</v>
      </c>
      <c r="D1031" s="22" t="s">
        <v>399</v>
      </c>
      <c r="E1031" s="88"/>
      <c r="F1031" s="88"/>
      <c r="G1031" s="24">
        <v>1</v>
      </c>
      <c r="H1031" s="24"/>
      <c r="I1031" s="25"/>
      <c r="J1031" s="25"/>
      <c r="K1031" s="19"/>
      <c r="L1031" s="20"/>
    </row>
    <row r="1032" spans="1:12" outlineLevel="2">
      <c r="A1032" s="113"/>
      <c r="B1032" s="12" t="str">
        <f>IFERROR(VLOOKUP(D1032,'[1]Перечень товаров'!$A$2:$I9525,2,0),"")</f>
        <v/>
      </c>
      <c r="C1032" s="12" t="str">
        <f>IFERROR(VLOOKUP(D1032,'[1]Перечень товаров'!$A$2:$I9525,3,0),"")</f>
        <v/>
      </c>
      <c r="D1032" s="114" t="s">
        <v>391</v>
      </c>
      <c r="E1032" s="122"/>
      <c r="F1032" s="122"/>
      <c r="G1032" s="123"/>
      <c r="H1032" s="123"/>
      <c r="I1032" s="124"/>
      <c r="J1032" s="124"/>
      <c r="K1032" s="19"/>
      <c r="L1032" s="20"/>
    </row>
    <row r="1033" spans="1:12" outlineLevel="2">
      <c r="A1033" s="28"/>
      <c r="B1033" s="12" t="str">
        <f>IFERROR(VLOOKUP(D1033,'[1]Перечень товаров'!$A$2:$I9525,2,0),"")</f>
        <v>тм71</v>
      </c>
      <c r="C1033" s="12" t="str">
        <f>IFERROR(VLOOKUP(D1033,'[1]Перечень товаров'!$A$2:$I9525,3,0),"")</f>
        <v>Техника муз</v>
      </c>
      <c r="D1033" s="29" t="s">
        <v>400</v>
      </c>
      <c r="E1033" s="30"/>
      <c r="F1033" s="30"/>
      <c r="G1033" s="31">
        <v>1</v>
      </c>
      <c r="H1033" s="31"/>
      <c r="I1033" s="32"/>
      <c r="J1033" s="32"/>
      <c r="K1033" s="19"/>
      <c r="L1033" s="20"/>
    </row>
    <row r="1034" spans="1:12" outlineLevel="2">
      <c r="A1034" s="28"/>
      <c r="B1034" s="12" t="str">
        <f>IFERROR(VLOOKUP(D1034,'[1]Перечень товаров'!$A$2:$I9525,2,0),"")</f>
        <v>м66</v>
      </c>
      <c r="C1034" s="12" t="str">
        <f>IFERROR(VLOOKUP(D1034,'[1]Перечень товаров'!$A$2:$I9525,3,0),"")</f>
        <v>Мебель</v>
      </c>
      <c r="D1034" s="29" t="s">
        <v>401</v>
      </c>
      <c r="E1034" s="30"/>
      <c r="F1034" s="30"/>
      <c r="G1034" s="31">
        <v>10</v>
      </c>
      <c r="H1034" s="31"/>
      <c r="I1034" s="32"/>
      <c r="J1034" s="32"/>
      <c r="K1034" s="19"/>
      <c r="L1034" s="20"/>
    </row>
    <row r="1035" spans="1:12" outlineLevel="2">
      <c r="A1035" s="28"/>
      <c r="B1035" s="12" t="str">
        <f>IFERROR(VLOOKUP(D1035,'[1]Перечень товаров'!$A$2:$I9525,2,0),"")</f>
        <v>м51</v>
      </c>
      <c r="C1035" s="12" t="str">
        <f>IFERROR(VLOOKUP(D1035,'[1]Перечень товаров'!$A$2:$I9525,3,0),"")</f>
        <v>Мебель</v>
      </c>
      <c r="D1035" s="29" t="s">
        <v>318</v>
      </c>
      <c r="E1035" s="30"/>
      <c r="F1035" s="30"/>
      <c r="G1035" s="31">
        <v>6</v>
      </c>
      <c r="H1035" s="31"/>
      <c r="I1035" s="32"/>
      <c r="J1035" s="32"/>
      <c r="K1035" s="19"/>
      <c r="L1035" s="20"/>
    </row>
    <row r="1036" spans="1:12" outlineLevel="2">
      <c r="A1036" s="28"/>
      <c r="B1036" s="12" t="str">
        <f>IFERROR(VLOOKUP(D1036,'[1]Перечень товаров'!$A$2:$I9525,2,0),"")</f>
        <v>м67</v>
      </c>
      <c r="C1036" s="12" t="str">
        <f>IFERROR(VLOOKUP(D1036,'[1]Перечень товаров'!$A$2:$I9525,3,0),"")</f>
        <v>Мебель</v>
      </c>
      <c r="D1036" s="29" t="s">
        <v>402</v>
      </c>
      <c r="E1036" s="30"/>
      <c r="F1036" s="30"/>
      <c r="G1036" s="31">
        <v>2</v>
      </c>
      <c r="H1036" s="31"/>
      <c r="I1036" s="32"/>
      <c r="J1036" s="32"/>
      <c r="K1036" s="19"/>
      <c r="L1036" s="20"/>
    </row>
    <row r="1037" spans="1:12" ht="31.5" outlineLevel="2">
      <c r="A1037" s="28"/>
      <c r="B1037" s="12" t="str">
        <f>IFERROR(VLOOKUP(D1037,'[1]Перечень товаров'!$A$2:$I9525,2,0),"")</f>
        <v>м68</v>
      </c>
      <c r="C1037" s="12" t="str">
        <f>IFERROR(VLOOKUP(D1037,'[1]Перечень товаров'!$A$2:$I9525,3,0),"")</f>
        <v>Мебель</v>
      </c>
      <c r="D1037" s="29" t="s">
        <v>403</v>
      </c>
      <c r="E1037" s="30"/>
      <c r="F1037" s="30"/>
      <c r="G1037" s="31">
        <v>2</v>
      </c>
      <c r="H1037" s="31"/>
      <c r="I1037" s="32"/>
      <c r="J1037" s="32"/>
      <c r="K1037" s="19"/>
      <c r="L1037" s="20"/>
    </row>
    <row r="1038" spans="1:12" ht="31.5" outlineLevel="2">
      <c r="A1038" s="28"/>
      <c r="B1038" s="12" t="str">
        <f>IFERROR(VLOOKUP(D1038,'[1]Перечень товаров'!$A$2:$I9525,2,0),"")</f>
        <v>м69</v>
      </c>
      <c r="C1038" s="12" t="str">
        <f>IFERROR(VLOOKUP(D1038,'[1]Перечень товаров'!$A$2:$I9525,3,0),"")</f>
        <v>Мебель</v>
      </c>
      <c r="D1038" s="29" t="s">
        <v>404</v>
      </c>
      <c r="E1038" s="30"/>
      <c r="F1038" s="30"/>
      <c r="G1038" s="31">
        <v>2</v>
      </c>
      <c r="H1038" s="31"/>
      <c r="I1038" s="32"/>
      <c r="J1038" s="32"/>
      <c r="K1038" s="19"/>
      <c r="L1038" s="20"/>
    </row>
    <row r="1039" spans="1:12" ht="12.75" outlineLevel="1">
      <c r="A1039" s="11"/>
      <c r="B1039" s="12" t="str">
        <f>IFERROR(VLOOKUP(D1039,'[1]Перечень товаров'!$A$2:$I9525,2,0),"")</f>
        <v/>
      </c>
      <c r="C1039" s="12" t="str">
        <f>IFERROR(VLOOKUP(D1039,'[1]Перечень товаров'!$A$2:$I9525,3,0),"")</f>
        <v/>
      </c>
      <c r="D1039" s="27" t="s">
        <v>182</v>
      </c>
      <c r="E1039" s="14" t="s">
        <v>405</v>
      </c>
      <c r="F1039" s="14"/>
      <c r="G1039" s="17"/>
      <c r="H1039" s="17"/>
      <c r="I1039" s="57"/>
      <c r="J1039" s="57"/>
      <c r="K1039" s="19"/>
      <c r="L1039" s="20"/>
    </row>
    <row r="1040" spans="1:12" ht="31.5" outlineLevel="2">
      <c r="A1040" s="70"/>
      <c r="B1040" s="12" t="str">
        <f>IFERROR(VLOOKUP(D1040,'[1]Перечень товаров'!$A$2:$I9525,2,0),"")</f>
        <v>т62</v>
      </c>
      <c r="C1040" s="12" t="str">
        <f>IFERROR(VLOOKUP(D1040,'[1]Перечень товаров'!$A$2:$I9525,3,0),"")</f>
        <v>Техника</v>
      </c>
      <c r="D1040" s="71" t="s">
        <v>184</v>
      </c>
      <c r="E1040" s="88"/>
      <c r="F1040" s="88"/>
      <c r="G1040" s="73">
        <v>6</v>
      </c>
      <c r="H1040" s="73"/>
      <c r="I1040" s="74"/>
      <c r="J1040" s="74"/>
      <c r="K1040" s="19"/>
      <c r="L1040" s="20"/>
    </row>
    <row r="1041" spans="1:12" ht="31.5" outlineLevel="2">
      <c r="A1041" s="70"/>
      <c r="B1041" s="12" t="str">
        <f>IFERROR(VLOOKUP(D1041,'[1]Перечень товаров'!$A$2:$I9525,2,0),"")</f>
        <v>т63</v>
      </c>
      <c r="C1041" s="12" t="str">
        <f>IFERROR(VLOOKUP(D1041,'[1]Перечень товаров'!$A$2:$I9525,3,0),"")</f>
        <v>Техника</v>
      </c>
      <c r="D1041" s="71" t="s">
        <v>185</v>
      </c>
      <c r="E1041" s="88"/>
      <c r="F1041" s="88"/>
      <c r="G1041" s="73">
        <v>4</v>
      </c>
      <c r="H1041" s="73"/>
      <c r="I1041" s="74"/>
      <c r="J1041" s="74"/>
      <c r="K1041" s="19"/>
      <c r="L1041" s="20"/>
    </row>
    <row r="1042" spans="1:12" ht="31.5" outlineLevel="2">
      <c r="A1042" s="70"/>
      <c r="B1042" s="12" t="str">
        <f>IFERROR(VLOOKUP(D1042,'[1]Перечень товаров'!$A$2:$I9525,2,0),"")</f>
        <v>т64</v>
      </c>
      <c r="C1042" s="12" t="str">
        <f>IFERROR(VLOOKUP(D1042,'[1]Перечень товаров'!$A$2:$I9525,3,0),"")</f>
        <v>Техника</v>
      </c>
      <c r="D1042" s="71" t="s">
        <v>186</v>
      </c>
      <c r="E1042" s="88"/>
      <c r="F1042" s="88"/>
      <c r="G1042" s="73">
        <v>2</v>
      </c>
      <c r="H1042" s="73"/>
      <c r="I1042" s="74"/>
      <c r="J1042" s="74"/>
      <c r="K1042" s="19"/>
      <c r="L1042" s="20"/>
    </row>
    <row r="1043" spans="1:12" ht="63" outlineLevel="2">
      <c r="A1043" s="70"/>
      <c r="B1043" s="12" t="str">
        <f>IFERROR(VLOOKUP(D1043,'[1]Перечень товаров'!$A$2:$I9525,2,0),"")</f>
        <v>т65</v>
      </c>
      <c r="C1043" s="12" t="str">
        <f>IFERROR(VLOOKUP(D1043,'[1]Перечень товаров'!$A$2:$I9525,3,0),"")</f>
        <v>Техника</v>
      </c>
      <c r="D1043" s="71" t="s">
        <v>187</v>
      </c>
      <c r="E1043" s="88"/>
      <c r="F1043" s="88"/>
      <c r="G1043" s="73">
        <v>1</v>
      </c>
      <c r="H1043" s="73"/>
      <c r="I1043" s="74"/>
      <c r="J1043" s="74"/>
      <c r="K1043" s="19"/>
      <c r="L1043" s="20"/>
    </row>
    <row r="1044" spans="1:12" outlineLevel="2">
      <c r="A1044" s="70"/>
      <c r="B1044" s="12" t="str">
        <f>IFERROR(VLOOKUP(D1044,'[1]Перечень товаров'!$A$2:$I9525,2,0),"")</f>
        <v>т66</v>
      </c>
      <c r="C1044" s="12" t="str">
        <f>IFERROR(VLOOKUP(D1044,'[1]Перечень товаров'!$A$2:$I9525,3,0),"")</f>
        <v>Техника</v>
      </c>
      <c r="D1044" s="71" t="s">
        <v>188</v>
      </c>
      <c r="E1044" s="88"/>
      <c r="F1044" s="88"/>
      <c r="G1044" s="73">
        <v>2</v>
      </c>
      <c r="H1044" s="73"/>
      <c r="I1044" s="74"/>
      <c r="J1044" s="74"/>
      <c r="K1044" s="19"/>
      <c r="L1044" s="20"/>
    </row>
    <row r="1045" spans="1:12" ht="31.5" outlineLevel="2">
      <c r="A1045" s="70"/>
      <c r="B1045" s="12" t="str">
        <f>IFERROR(VLOOKUP(D1045,'[1]Перечень товаров'!$A$2:$I9525,2,0),"")</f>
        <v>т67</v>
      </c>
      <c r="C1045" s="12" t="str">
        <f>IFERROR(VLOOKUP(D1045,'[1]Перечень товаров'!$A$2:$I9525,3,0),"")</f>
        <v>Техника</v>
      </c>
      <c r="D1045" s="71" t="s">
        <v>189</v>
      </c>
      <c r="E1045" s="88"/>
      <c r="F1045" s="88"/>
      <c r="G1045" s="73">
        <v>1</v>
      </c>
      <c r="H1045" s="73"/>
      <c r="I1045" s="74"/>
      <c r="J1045" s="74"/>
      <c r="K1045" s="19"/>
      <c r="L1045" s="20"/>
    </row>
    <row r="1046" spans="1:12" ht="31.5" outlineLevel="2">
      <c r="A1046" s="70"/>
      <c r="B1046" s="12" t="str">
        <f>IFERROR(VLOOKUP(D1046,'[1]Перечень товаров'!$A$2:$I9525,2,0),"")</f>
        <v>т68</v>
      </c>
      <c r="C1046" s="12" t="str">
        <f>IFERROR(VLOOKUP(D1046,'[1]Перечень товаров'!$A$2:$I9525,3,0),"")</f>
        <v>Техника</v>
      </c>
      <c r="D1046" s="71" t="s">
        <v>190</v>
      </c>
      <c r="E1046" s="88"/>
      <c r="F1046" s="88"/>
      <c r="G1046" s="73">
        <v>2</v>
      </c>
      <c r="H1046" s="73"/>
      <c r="I1046" s="74"/>
      <c r="J1046" s="74"/>
      <c r="K1046" s="19"/>
      <c r="L1046" s="20"/>
    </row>
    <row r="1047" spans="1:12" ht="31.5" outlineLevel="2">
      <c r="A1047" s="70"/>
      <c r="B1047" s="12" t="str">
        <f>IFERROR(VLOOKUP(D1047,'[1]Перечень товаров'!$A$2:$I9525,2,0),"")</f>
        <v>т69</v>
      </c>
      <c r="C1047" s="12" t="str">
        <f>IFERROR(VLOOKUP(D1047,'[1]Перечень товаров'!$A$2:$I9525,3,0),"")</f>
        <v>Техника</v>
      </c>
      <c r="D1047" s="71" t="s">
        <v>191</v>
      </c>
      <c r="E1047" s="88"/>
      <c r="F1047" s="88"/>
      <c r="G1047" s="73">
        <v>1</v>
      </c>
      <c r="H1047" s="73"/>
      <c r="I1047" s="74"/>
      <c r="J1047" s="74"/>
      <c r="K1047" s="19"/>
      <c r="L1047" s="20"/>
    </row>
    <row r="1048" spans="1:12" ht="47.25" outlineLevel="2">
      <c r="A1048" s="70"/>
      <c r="B1048" s="12" t="str">
        <f>IFERROR(VLOOKUP(D1048,'[1]Перечень товаров'!$A$2:$I9525,2,0),"")</f>
        <v>т70</v>
      </c>
      <c r="C1048" s="12" t="str">
        <f>IFERROR(VLOOKUP(D1048,'[1]Перечень товаров'!$A$2:$I9525,3,0),"")</f>
        <v>Техника</v>
      </c>
      <c r="D1048" s="71" t="s">
        <v>192</v>
      </c>
      <c r="E1048" s="88"/>
      <c r="F1048" s="88"/>
      <c r="G1048" s="73">
        <v>1</v>
      </c>
      <c r="H1048" s="73"/>
      <c r="I1048" s="74"/>
      <c r="J1048" s="74"/>
      <c r="K1048" s="19"/>
      <c r="L1048" s="20"/>
    </row>
    <row r="1049" spans="1:12" ht="31.5" outlineLevel="2">
      <c r="A1049" s="70"/>
      <c r="B1049" s="12" t="str">
        <f>IFERROR(VLOOKUP(D1049,'[1]Перечень товаров'!$A$2:$I9525,2,0),"")</f>
        <v>т71</v>
      </c>
      <c r="C1049" s="12" t="str">
        <f>IFERROR(VLOOKUP(D1049,'[1]Перечень товаров'!$A$2:$I9525,3,0),"")</f>
        <v>Техника</v>
      </c>
      <c r="D1049" s="71" t="s">
        <v>193</v>
      </c>
      <c r="E1049" s="88"/>
      <c r="F1049" s="88"/>
      <c r="G1049" s="73">
        <v>2</v>
      </c>
      <c r="H1049" s="73"/>
      <c r="I1049" s="74"/>
      <c r="J1049" s="74"/>
      <c r="K1049" s="19"/>
      <c r="L1049" s="20"/>
    </row>
    <row r="1050" spans="1:12" ht="31.5" outlineLevel="2">
      <c r="A1050" s="70"/>
      <c r="B1050" s="12" t="str">
        <f>IFERROR(VLOOKUP(D1050,'[1]Перечень товаров'!$A$2:$I9525,2,0),"")</f>
        <v>т72</v>
      </c>
      <c r="C1050" s="12" t="str">
        <f>IFERROR(VLOOKUP(D1050,'[1]Перечень товаров'!$A$2:$I9525,3,0),"")</f>
        <v>Техника</v>
      </c>
      <c r="D1050" s="71" t="s">
        <v>194</v>
      </c>
      <c r="E1050" s="88"/>
      <c r="F1050" s="88"/>
      <c r="G1050" s="73">
        <v>2</v>
      </c>
      <c r="H1050" s="73"/>
      <c r="I1050" s="74"/>
      <c r="J1050" s="74"/>
      <c r="K1050" s="19"/>
      <c r="L1050" s="20"/>
    </row>
    <row r="1051" spans="1:12" ht="31.5" outlineLevel="2">
      <c r="A1051" s="70"/>
      <c r="B1051" s="12" t="str">
        <f>IFERROR(VLOOKUP(D1051,'[1]Перечень товаров'!$A$2:$I9525,2,0),"")</f>
        <v>тм4</v>
      </c>
      <c r="C1051" s="12" t="str">
        <f>IFERROR(VLOOKUP(D1051,'[1]Перечень товаров'!$A$2:$I9525,3,0),"")</f>
        <v>Техника муз</v>
      </c>
      <c r="D1051" s="71" t="s">
        <v>195</v>
      </c>
      <c r="E1051" s="88"/>
      <c r="F1051" s="88"/>
      <c r="G1051" s="73">
        <v>6</v>
      </c>
      <c r="H1051" s="73"/>
      <c r="I1051" s="74"/>
      <c r="J1051" s="74"/>
      <c r="K1051" s="19"/>
      <c r="L1051" s="20"/>
    </row>
    <row r="1052" spans="1:12" ht="31.5" outlineLevel="2">
      <c r="A1052" s="70"/>
      <c r="B1052" s="12" t="str">
        <f>IFERROR(VLOOKUP(D1052,'[1]Перечень товаров'!$A$2:$I9525,2,0),"")</f>
        <v>т73</v>
      </c>
      <c r="C1052" s="12" t="str">
        <f>IFERROR(VLOOKUP(D1052,'[1]Перечень товаров'!$A$2:$I9525,3,0),"")</f>
        <v>Техника</v>
      </c>
      <c r="D1052" s="71" t="s">
        <v>196</v>
      </c>
      <c r="E1052" s="88"/>
      <c r="F1052" s="88"/>
      <c r="G1052" s="73">
        <v>2</v>
      </c>
      <c r="H1052" s="73"/>
      <c r="I1052" s="74"/>
      <c r="J1052" s="74"/>
      <c r="K1052" s="19"/>
      <c r="L1052" s="20"/>
    </row>
    <row r="1053" spans="1:12" ht="47.25" outlineLevel="2">
      <c r="A1053" s="70"/>
      <c r="B1053" s="12" t="str">
        <f>IFERROR(VLOOKUP(D1053,'[1]Перечень товаров'!$A$2:$I9525,2,0),"")</f>
        <v>тм5</v>
      </c>
      <c r="C1053" s="12" t="str">
        <f>IFERROR(VLOOKUP(D1053,'[1]Перечень товаров'!$A$2:$I9525,3,0),"")</f>
        <v>Техника муз</v>
      </c>
      <c r="D1053" s="71" t="s">
        <v>197</v>
      </c>
      <c r="E1053" s="88"/>
      <c r="F1053" s="88"/>
      <c r="G1053" s="73">
        <v>6</v>
      </c>
      <c r="H1053" s="73"/>
      <c r="I1053" s="74"/>
      <c r="J1053" s="74"/>
      <c r="K1053" s="19"/>
      <c r="L1053" s="20"/>
    </row>
    <row r="1054" spans="1:12" ht="31.5" outlineLevel="2">
      <c r="A1054" s="70"/>
      <c r="B1054" s="12" t="str">
        <f>IFERROR(VLOOKUP(D1054,'[1]Перечень товаров'!$A$2:$I9525,2,0),"")</f>
        <v>тм6</v>
      </c>
      <c r="C1054" s="12" t="str">
        <f>IFERROR(VLOOKUP(D1054,'[1]Перечень товаров'!$A$2:$I9525,3,0),"")</f>
        <v>Техника муз</v>
      </c>
      <c r="D1054" s="71" t="s">
        <v>198</v>
      </c>
      <c r="E1054" s="88"/>
      <c r="F1054" s="88"/>
      <c r="G1054" s="73">
        <v>2</v>
      </c>
      <c r="H1054" s="73"/>
      <c r="I1054" s="74"/>
      <c r="J1054" s="74"/>
      <c r="K1054" s="19"/>
      <c r="L1054" s="20"/>
    </row>
    <row r="1055" spans="1:12" ht="31.5" outlineLevel="2">
      <c r="A1055" s="70"/>
      <c r="B1055" s="12" t="str">
        <f>IFERROR(VLOOKUP(D1055,'[1]Перечень товаров'!$A$2:$I9525,2,0),"")</f>
        <v>т74</v>
      </c>
      <c r="C1055" s="12" t="str">
        <f>IFERROR(VLOOKUP(D1055,'[1]Перечень товаров'!$A$2:$I9525,3,0),"")</f>
        <v>Техника</v>
      </c>
      <c r="D1055" s="71" t="s">
        <v>199</v>
      </c>
      <c r="E1055" s="88"/>
      <c r="F1055" s="88"/>
      <c r="G1055" s="73">
        <v>8</v>
      </c>
      <c r="H1055" s="73"/>
      <c r="I1055" s="74"/>
      <c r="J1055" s="74"/>
      <c r="K1055" s="19"/>
      <c r="L1055" s="20"/>
    </row>
    <row r="1056" spans="1:12" ht="31.5" outlineLevel="2">
      <c r="A1056" s="70"/>
      <c r="B1056" s="12" t="str">
        <f>IFERROR(VLOOKUP(D1056,'[1]Перечень товаров'!$A$2:$I9525,2,0),"")</f>
        <v>тм7</v>
      </c>
      <c r="C1056" s="12" t="str">
        <f>IFERROR(VLOOKUP(D1056,'[1]Перечень товаров'!$A$2:$I9525,3,0),"")</f>
        <v>Техника муз</v>
      </c>
      <c r="D1056" s="71" t="s">
        <v>200</v>
      </c>
      <c r="E1056" s="88"/>
      <c r="F1056" s="88"/>
      <c r="G1056" s="73">
        <v>2</v>
      </c>
      <c r="H1056" s="73"/>
      <c r="I1056" s="74"/>
      <c r="J1056" s="74"/>
      <c r="K1056" s="19"/>
      <c r="L1056" s="20"/>
    </row>
    <row r="1057" spans="1:12" ht="31.5" outlineLevel="2">
      <c r="A1057" s="70"/>
      <c r="B1057" s="12" t="str">
        <f>IFERROR(VLOOKUP(D1057,'[1]Перечень товаров'!$A$2:$I9525,2,0),"")</f>
        <v>тм8</v>
      </c>
      <c r="C1057" s="12" t="str">
        <f>IFERROR(VLOOKUP(D1057,'[1]Перечень товаров'!$A$2:$I9525,3,0),"")</f>
        <v>Техника муз</v>
      </c>
      <c r="D1057" s="71" t="s">
        <v>201</v>
      </c>
      <c r="E1057" s="88"/>
      <c r="F1057" s="88"/>
      <c r="G1057" s="73">
        <v>4</v>
      </c>
      <c r="H1057" s="73"/>
      <c r="I1057" s="74"/>
      <c r="J1057" s="74"/>
      <c r="K1057" s="19"/>
      <c r="L1057" s="20"/>
    </row>
    <row r="1058" spans="1:12" outlineLevel="2">
      <c r="A1058" s="70"/>
      <c r="B1058" s="12" t="str">
        <f>IFERROR(VLOOKUP(D1058,'[1]Перечень товаров'!$A$2:$I9525,2,0),"")</f>
        <v>т75</v>
      </c>
      <c r="C1058" s="12" t="str">
        <f>IFERROR(VLOOKUP(D1058,'[1]Перечень товаров'!$A$2:$I9525,3,0),"")</f>
        <v>Техника</v>
      </c>
      <c r="D1058" s="71" t="s">
        <v>202</v>
      </c>
      <c r="E1058" s="88"/>
      <c r="F1058" s="88"/>
      <c r="G1058" s="73">
        <v>1</v>
      </c>
      <c r="H1058" s="73"/>
      <c r="I1058" s="74"/>
      <c r="J1058" s="74"/>
      <c r="K1058" s="19"/>
      <c r="L1058" s="20"/>
    </row>
    <row r="1059" spans="1:12" ht="31.5" outlineLevel="2">
      <c r="A1059" s="70"/>
      <c r="B1059" s="12" t="str">
        <f>IFERROR(VLOOKUP(D1059,'[1]Перечень товаров'!$A$2:$I9525,2,0),"")</f>
        <v>т76</v>
      </c>
      <c r="C1059" s="12" t="str">
        <f>IFERROR(VLOOKUP(D1059,'[1]Перечень товаров'!$A$2:$I9525,3,0),"")</f>
        <v>Техника</v>
      </c>
      <c r="D1059" s="71" t="s">
        <v>203</v>
      </c>
      <c r="E1059" s="88"/>
      <c r="F1059" s="88"/>
      <c r="G1059" s="73">
        <v>10</v>
      </c>
      <c r="H1059" s="73"/>
      <c r="I1059" s="74"/>
      <c r="J1059" s="74"/>
      <c r="K1059" s="19"/>
      <c r="L1059" s="20"/>
    </row>
    <row r="1060" spans="1:12" ht="47.25" outlineLevel="2">
      <c r="A1060" s="70"/>
      <c r="B1060" s="12" t="str">
        <f>IFERROR(VLOOKUP(D1060,'[1]Перечень товаров'!$A$2:$I9525,2,0),"")</f>
        <v>м31</v>
      </c>
      <c r="C1060" s="12" t="str">
        <f>IFERROR(VLOOKUP(D1060,'[1]Перечень товаров'!$A$2:$I9525,3,0),"")</f>
        <v>Мебель</v>
      </c>
      <c r="D1060" s="71" t="s">
        <v>204</v>
      </c>
      <c r="E1060" s="88"/>
      <c r="F1060" s="88"/>
      <c r="G1060" s="73">
        <v>10</v>
      </c>
      <c r="H1060" s="73"/>
      <c r="I1060" s="74"/>
      <c r="J1060" s="74"/>
      <c r="K1060" s="19"/>
      <c r="L1060" s="20"/>
    </row>
    <row r="1061" spans="1:12" ht="47.25" outlineLevel="2">
      <c r="A1061" s="70"/>
      <c r="B1061" s="12" t="str">
        <f>IFERROR(VLOOKUP(D1061,'[1]Перечень товаров'!$A$2:$I9525,2,0),"")</f>
        <v>м32</v>
      </c>
      <c r="C1061" s="12" t="str">
        <f>IFERROR(VLOOKUP(D1061,'[1]Перечень товаров'!$A$2:$I9525,3,0),"")</f>
        <v>Мебель</v>
      </c>
      <c r="D1061" s="71" t="s">
        <v>205</v>
      </c>
      <c r="E1061" s="88"/>
      <c r="F1061" s="88"/>
      <c r="G1061" s="73">
        <v>2</v>
      </c>
      <c r="H1061" s="73"/>
      <c r="I1061" s="74"/>
      <c r="J1061" s="74"/>
      <c r="K1061" s="19"/>
      <c r="L1061" s="20"/>
    </row>
    <row r="1062" spans="1:12" ht="31.5" outlineLevel="2">
      <c r="A1062" s="70"/>
      <c r="B1062" s="12" t="str">
        <f>IFERROR(VLOOKUP(D1062,'[1]Перечень товаров'!$A$2:$I9525,2,0),"")</f>
        <v>м33</v>
      </c>
      <c r="C1062" s="12" t="str">
        <f>IFERROR(VLOOKUP(D1062,'[1]Перечень товаров'!$A$2:$I9525,3,0),"")</f>
        <v>Мебель</v>
      </c>
      <c r="D1062" s="71" t="s">
        <v>206</v>
      </c>
      <c r="E1062" s="88"/>
      <c r="F1062" s="88"/>
      <c r="G1062" s="73">
        <v>4</v>
      </c>
      <c r="H1062" s="73"/>
      <c r="I1062" s="74"/>
      <c r="J1062" s="74"/>
      <c r="K1062" s="19"/>
      <c r="L1062" s="20"/>
    </row>
    <row r="1063" spans="1:12" ht="31.5" outlineLevel="2">
      <c r="A1063" s="70"/>
      <c r="B1063" s="12" t="str">
        <f>IFERROR(VLOOKUP(D1063,'[1]Перечень товаров'!$A$2:$I9525,2,0),"")</f>
        <v>м34</v>
      </c>
      <c r="C1063" s="12" t="str">
        <f>IFERROR(VLOOKUP(D1063,'[1]Перечень товаров'!$A$2:$I9525,3,0),"")</f>
        <v>Мебель</v>
      </c>
      <c r="D1063" s="71" t="s">
        <v>207</v>
      </c>
      <c r="E1063" s="88"/>
      <c r="F1063" s="88"/>
      <c r="G1063" s="73">
        <v>2</v>
      </c>
      <c r="H1063" s="73"/>
      <c r="I1063" s="74"/>
      <c r="J1063" s="74"/>
      <c r="K1063" s="19"/>
      <c r="L1063" s="20"/>
    </row>
    <row r="1064" spans="1:12" ht="31.5" outlineLevel="2">
      <c r="A1064" s="70"/>
      <c r="B1064" s="12" t="str">
        <f>IFERROR(VLOOKUP(D1064,'[1]Перечень товаров'!$A$2:$I9525,2,0),"")</f>
        <v>м35</v>
      </c>
      <c r="C1064" s="12" t="str">
        <f>IFERROR(VLOOKUP(D1064,'[1]Перечень товаров'!$A$2:$I9525,3,0),"")</f>
        <v>Мебель</v>
      </c>
      <c r="D1064" s="71" t="s">
        <v>208</v>
      </c>
      <c r="E1064" s="88"/>
      <c r="F1064" s="88"/>
      <c r="G1064" s="73">
        <v>1</v>
      </c>
      <c r="H1064" s="73"/>
      <c r="I1064" s="74"/>
      <c r="J1064" s="74"/>
      <c r="K1064" s="19"/>
      <c r="L1064" s="20"/>
    </row>
    <row r="1065" spans="1:12" outlineLevel="2">
      <c r="A1065" s="70"/>
      <c r="B1065" s="12" t="str">
        <f>IFERROR(VLOOKUP(D1065,'[1]Перечень товаров'!$A$2:$I9525,2,0),"")</f>
        <v>тм9</v>
      </c>
      <c r="C1065" s="12" t="str">
        <f>IFERROR(VLOOKUP(D1065,'[1]Перечень товаров'!$A$2:$I9525,3,0),"")</f>
        <v>Техника муз</v>
      </c>
      <c r="D1065" s="71" t="s">
        <v>209</v>
      </c>
      <c r="E1065" s="88"/>
      <c r="F1065" s="88"/>
      <c r="G1065" s="73">
        <v>1</v>
      </c>
      <c r="H1065" s="73"/>
      <c r="I1065" s="74"/>
      <c r="J1065" s="74"/>
      <c r="K1065" s="19"/>
      <c r="L1065" s="20"/>
    </row>
    <row r="1066" spans="1:12" outlineLevel="2">
      <c r="A1066" s="70"/>
      <c r="B1066" s="12" t="str">
        <f>IFERROR(VLOOKUP(D1066,'[1]Перечень товаров'!$A$2:$I9525,2,0),"")</f>
        <v>дм3</v>
      </c>
      <c r="C1066" s="12" t="str">
        <f>IFERROR(VLOOKUP(D1066,'[1]Перечень товаров'!$A$2:$I9525,3,0),"")</f>
        <v>Дидактика муз</v>
      </c>
      <c r="D1066" s="71" t="s">
        <v>210</v>
      </c>
      <c r="E1066" s="88"/>
      <c r="F1066" s="88"/>
      <c r="G1066" s="73">
        <v>3</v>
      </c>
      <c r="H1066" s="73"/>
      <c r="I1066" s="74"/>
      <c r="J1066" s="74"/>
      <c r="K1066" s="19"/>
      <c r="L1066" s="20"/>
    </row>
    <row r="1067" spans="1:12" ht="31.5" outlineLevel="2">
      <c r="A1067" s="70"/>
      <c r="B1067" s="12" t="str">
        <f>IFERROR(VLOOKUP(D1067,'[1]Перечень товаров'!$A$2:$I9525,2,0),"")</f>
        <v>тм10</v>
      </c>
      <c r="C1067" s="12" t="str">
        <f>IFERROR(VLOOKUP(D1067,'[1]Перечень товаров'!$A$2:$I9525,3,0),"")</f>
        <v>Техника муз</v>
      </c>
      <c r="D1067" s="71" t="s">
        <v>211</v>
      </c>
      <c r="E1067" s="88"/>
      <c r="F1067" s="88"/>
      <c r="G1067" s="73">
        <v>1</v>
      </c>
      <c r="H1067" s="73"/>
      <c r="I1067" s="74"/>
      <c r="J1067" s="74"/>
      <c r="K1067" s="19"/>
      <c r="L1067" s="20"/>
    </row>
    <row r="1068" spans="1:12" ht="47.25" outlineLevel="2">
      <c r="A1068" s="70"/>
      <c r="B1068" s="12" t="str">
        <f>IFERROR(VLOOKUP(D1068,'[1]Перечень товаров'!$A$2:$I9525,2,0),"")</f>
        <v>тм11</v>
      </c>
      <c r="C1068" s="12" t="str">
        <f>IFERROR(VLOOKUP(D1068,'[1]Перечень товаров'!$A$2:$I9525,3,0),"")</f>
        <v>Техника муз</v>
      </c>
      <c r="D1068" s="71" t="s">
        <v>212</v>
      </c>
      <c r="E1068" s="88"/>
      <c r="F1068" s="88"/>
      <c r="G1068" s="73">
        <v>1</v>
      </c>
      <c r="H1068" s="73"/>
      <c r="I1068" s="74"/>
      <c r="J1068" s="74"/>
      <c r="K1068" s="19"/>
      <c r="L1068" s="20"/>
    </row>
    <row r="1069" spans="1:12" ht="47.25" outlineLevel="2">
      <c r="A1069" s="70"/>
      <c r="B1069" s="12" t="str">
        <f>IFERROR(VLOOKUP(D1069,'[1]Перечень товаров'!$A$2:$I9525,2,0),"")</f>
        <v>мм2</v>
      </c>
      <c r="C1069" s="12" t="str">
        <f>IFERROR(VLOOKUP(D1069,'[1]Перечень товаров'!$A$2:$I9525,3,0),"")</f>
        <v>Мебель муз</v>
      </c>
      <c r="D1069" s="71" t="s">
        <v>213</v>
      </c>
      <c r="E1069" s="88"/>
      <c r="F1069" s="88"/>
      <c r="G1069" s="73">
        <v>2</v>
      </c>
      <c r="H1069" s="73"/>
      <c r="I1069" s="74"/>
      <c r="J1069" s="74"/>
      <c r="K1069" s="19"/>
      <c r="L1069" s="20"/>
    </row>
    <row r="1070" spans="1:12" ht="12.75" outlineLevel="1">
      <c r="A1070" s="11"/>
      <c r="B1070" s="12" t="str">
        <f>IFERROR(VLOOKUP(D1070,'[1]Перечень товаров'!$A$2:$I9525,2,0),"")</f>
        <v/>
      </c>
      <c r="C1070" s="12" t="str">
        <f>IFERROR(VLOOKUP(D1070,'[1]Перечень товаров'!$A$2:$I9525,3,0),"")</f>
        <v/>
      </c>
      <c r="D1070" s="27" t="s">
        <v>406</v>
      </c>
      <c r="E1070" s="14" t="s">
        <v>407</v>
      </c>
      <c r="F1070" s="14"/>
      <c r="G1070" s="17"/>
      <c r="H1070" s="17"/>
      <c r="I1070" s="57"/>
      <c r="J1070" s="57"/>
      <c r="K1070" s="19"/>
      <c r="L1070" s="20"/>
    </row>
    <row r="1071" spans="1:12" outlineLevel="2">
      <c r="A1071" s="125"/>
      <c r="B1071" s="12" t="str">
        <f>IFERROR(VLOOKUP(D1071,'[1]Перечень товаров'!$A$2:$I9525,2,0),"")</f>
        <v/>
      </c>
      <c r="C1071" s="12" t="str">
        <f>IFERROR(VLOOKUP(D1071,'[1]Перечень товаров'!$A$2:$I9525,3,0),"")</f>
        <v/>
      </c>
      <c r="D1071" s="126" t="s">
        <v>408</v>
      </c>
      <c r="E1071" s="45"/>
      <c r="F1071" s="45"/>
      <c r="G1071" s="127"/>
      <c r="H1071" s="127"/>
      <c r="I1071" s="128"/>
      <c r="J1071" s="128"/>
      <c r="K1071" s="19"/>
      <c r="L1071" s="20"/>
    </row>
    <row r="1072" spans="1:12" ht="31.5" outlineLevel="2">
      <c r="A1072" s="129"/>
      <c r="B1072" s="12" t="str">
        <f>IFERROR(VLOOKUP(D1072,'[1]Перечень товаров'!$A$2:$I9525,2,0),"")</f>
        <v>м36</v>
      </c>
      <c r="C1072" s="12" t="str">
        <f>IFERROR(VLOOKUP(D1072,'[1]Перечень товаров'!$A$2:$I9525,3,0),"")</f>
        <v>Мебель</v>
      </c>
      <c r="D1072" s="130" t="s">
        <v>222</v>
      </c>
      <c r="E1072" s="23"/>
      <c r="F1072" s="23"/>
      <c r="G1072" s="95">
        <v>98</v>
      </c>
      <c r="H1072" s="95"/>
      <c r="I1072" s="96"/>
      <c r="J1072" s="96"/>
      <c r="K1072" s="19"/>
      <c r="L1072" s="20"/>
    </row>
    <row r="1073" spans="1:12" ht="31.5" outlineLevel="2">
      <c r="A1073" s="129"/>
      <c r="B1073" s="12" t="str">
        <f>IFERROR(VLOOKUP(D1073,'[1]Перечень товаров'!$A$2:$I9525,2,0),"")</f>
        <v>м70</v>
      </c>
      <c r="C1073" s="12" t="str">
        <f>IFERROR(VLOOKUP(D1073,'[1]Перечень товаров'!$A$2:$I9525,3,0),"")</f>
        <v>Мебель</v>
      </c>
      <c r="D1073" s="130" t="s">
        <v>409</v>
      </c>
      <c r="E1073" s="23"/>
      <c r="F1073" s="23"/>
      <c r="G1073" s="95">
        <v>4</v>
      </c>
      <c r="H1073" s="95"/>
      <c r="I1073" s="96"/>
      <c r="J1073" s="96"/>
      <c r="K1073" s="19"/>
      <c r="L1073" s="20"/>
    </row>
    <row r="1074" spans="1:12" ht="31.5" outlineLevel="2">
      <c r="A1074" s="129"/>
      <c r="B1074" s="12" t="str">
        <f>IFERROR(VLOOKUP(D1074,'[1]Перечень товаров'!$A$2:$I9525,2,0),"")</f>
        <v>м71</v>
      </c>
      <c r="C1074" s="12" t="str">
        <f>IFERROR(VLOOKUP(D1074,'[1]Перечень товаров'!$A$2:$I9525,3,0),"")</f>
        <v>Мебель</v>
      </c>
      <c r="D1074" s="130" t="s">
        <v>410</v>
      </c>
      <c r="E1074" s="23"/>
      <c r="F1074" s="23"/>
      <c r="G1074" s="95" t="s">
        <v>411</v>
      </c>
      <c r="H1074" s="95"/>
      <c r="I1074" s="96"/>
      <c r="J1074" s="96"/>
      <c r="K1074" s="19"/>
      <c r="L1074" s="20"/>
    </row>
    <row r="1075" spans="1:12" outlineLevel="2">
      <c r="A1075" s="125"/>
      <c r="B1075" s="12" t="str">
        <f>IFERROR(VLOOKUP(D1075,'[1]Перечень товаров'!$A$2:$I9525,2,0),"")</f>
        <v/>
      </c>
      <c r="C1075" s="12" t="str">
        <f>IFERROR(VLOOKUP(D1075,'[1]Перечень товаров'!$A$2:$I9525,3,0),"")</f>
        <v/>
      </c>
      <c r="D1075" s="126" t="s">
        <v>412</v>
      </c>
      <c r="E1075" s="45"/>
      <c r="F1075" s="45"/>
      <c r="G1075" s="131"/>
      <c r="H1075" s="131"/>
      <c r="I1075" s="132"/>
      <c r="J1075" s="132"/>
      <c r="K1075" s="19"/>
      <c r="L1075" s="20"/>
    </row>
    <row r="1076" spans="1:12" ht="31.5" outlineLevel="2">
      <c r="A1076" s="129"/>
      <c r="B1076" s="12" t="str">
        <f>IFERROR(VLOOKUP(D1076,'[1]Перечень товаров'!$A$2:$I9525,2,0),"")</f>
        <v>м72</v>
      </c>
      <c r="C1076" s="12" t="str">
        <f>IFERROR(VLOOKUP(D1076,'[1]Перечень товаров'!$A$2:$I9525,3,0),"")</f>
        <v>Мебель</v>
      </c>
      <c r="D1076" s="130" t="s">
        <v>413</v>
      </c>
      <c r="E1076" s="23"/>
      <c r="F1076" s="23"/>
      <c r="G1076" s="95">
        <v>1</v>
      </c>
      <c r="H1076" s="95"/>
      <c r="I1076" s="96"/>
      <c r="J1076" s="96"/>
      <c r="K1076" s="19"/>
      <c r="L1076" s="20"/>
    </row>
    <row r="1077" spans="1:12" ht="31.5" outlineLevel="2">
      <c r="A1077" s="129"/>
      <c r="B1077" s="12" t="str">
        <f>IFERROR(VLOOKUP(D1077,'[1]Перечень товаров'!$A$2:$I9525,2,0),"")</f>
        <v>тм72</v>
      </c>
      <c r="C1077" s="12" t="str">
        <f>IFERROR(VLOOKUP(D1077,'[1]Перечень товаров'!$A$2:$I9525,3,0),"")</f>
        <v>Техника муз</v>
      </c>
      <c r="D1077" s="130" t="s">
        <v>414</v>
      </c>
      <c r="E1077" s="23"/>
      <c r="F1077" s="23"/>
      <c r="G1077" s="95">
        <v>1</v>
      </c>
      <c r="H1077" s="95"/>
      <c r="I1077" s="96"/>
      <c r="J1077" s="96"/>
      <c r="K1077" s="19"/>
      <c r="L1077" s="20"/>
    </row>
    <row r="1078" spans="1:12" outlineLevel="2">
      <c r="A1078" s="129"/>
      <c r="B1078" s="12" t="str">
        <f>IFERROR(VLOOKUP(D1078,'[1]Перечень товаров'!$A$2:$I9525,2,0),"")</f>
        <v>тм73</v>
      </c>
      <c r="C1078" s="12" t="str">
        <f>IFERROR(VLOOKUP(D1078,'[1]Перечень товаров'!$A$2:$I9525,3,0),"")</f>
        <v>Техника муз</v>
      </c>
      <c r="D1078" s="130" t="s">
        <v>415</v>
      </c>
      <c r="E1078" s="23"/>
      <c r="F1078" s="23"/>
      <c r="G1078" s="95">
        <v>2</v>
      </c>
      <c r="H1078" s="95"/>
      <c r="I1078" s="96"/>
      <c r="J1078" s="96"/>
      <c r="K1078" s="19"/>
      <c r="L1078" s="20"/>
    </row>
    <row r="1079" spans="1:12" ht="31.5" outlineLevel="2">
      <c r="A1079" s="129"/>
      <c r="B1079" s="12" t="str">
        <f>IFERROR(VLOOKUP(D1079,'[1]Перечень товаров'!$A$2:$I9525,2,0),"")</f>
        <v>м36</v>
      </c>
      <c r="C1079" s="12" t="str">
        <f>IFERROR(VLOOKUP(D1079,'[1]Перечень товаров'!$A$2:$I9525,3,0),"")</f>
        <v>Мебель</v>
      </c>
      <c r="D1079" s="130" t="s">
        <v>234</v>
      </c>
      <c r="E1079" s="23"/>
      <c r="F1079" s="23"/>
      <c r="G1079" s="95">
        <v>1</v>
      </c>
      <c r="H1079" s="95"/>
      <c r="I1079" s="96"/>
      <c r="J1079" s="96"/>
      <c r="K1079" s="19"/>
      <c r="L1079" s="20"/>
    </row>
    <row r="1080" spans="1:12" outlineLevel="2">
      <c r="A1080" s="129"/>
      <c r="B1080" s="12" t="str">
        <f>IFERROR(VLOOKUP(D1080,'[1]Перечень товаров'!$A$2:$I9525,2,0),"")</f>
        <v>м72</v>
      </c>
      <c r="C1080" s="12" t="str">
        <f>IFERROR(VLOOKUP(D1080,'[1]Перечень товаров'!$A$2:$I9525,3,0),"")</f>
        <v>Мебель</v>
      </c>
      <c r="D1080" s="130" t="s">
        <v>416</v>
      </c>
      <c r="E1080" s="23"/>
      <c r="F1080" s="23"/>
      <c r="G1080" s="95">
        <v>6</v>
      </c>
      <c r="H1080" s="95"/>
      <c r="I1080" s="96"/>
      <c r="J1080" s="96"/>
      <c r="K1080" s="19"/>
      <c r="L1080" s="20"/>
    </row>
    <row r="1081" spans="1:12" ht="31.5" outlineLevel="2">
      <c r="A1081" s="129"/>
      <c r="B1081" s="12" t="str">
        <f>IFERROR(VLOOKUP(D1081,'[1]Перечень товаров'!$A$2:$I9525,2,0),"")</f>
        <v>м73</v>
      </c>
      <c r="C1081" s="12" t="str">
        <f>IFERROR(VLOOKUP(D1081,'[1]Перечень товаров'!$A$2:$I9525,3,0),"")</f>
        <v>Мебель</v>
      </c>
      <c r="D1081" s="130" t="s">
        <v>417</v>
      </c>
      <c r="E1081" s="23"/>
      <c r="F1081" s="23"/>
      <c r="G1081" s="95">
        <v>2</v>
      </c>
      <c r="H1081" s="95"/>
      <c r="I1081" s="96"/>
      <c r="J1081" s="96"/>
      <c r="K1081" s="19"/>
      <c r="L1081" s="20"/>
    </row>
    <row r="1082" spans="1:12" ht="31.5" outlineLevel="2">
      <c r="A1082" s="129"/>
      <c r="B1082" s="12" t="str">
        <f>IFERROR(VLOOKUP(D1082,'[1]Перечень товаров'!$A$2:$I9525,2,0),"")</f>
        <v>м74</v>
      </c>
      <c r="C1082" s="12" t="str">
        <f>IFERROR(VLOOKUP(D1082,'[1]Перечень товаров'!$A$2:$I9525,3,0),"")</f>
        <v>Мебель</v>
      </c>
      <c r="D1082" s="130" t="s">
        <v>418</v>
      </c>
      <c r="E1082" s="23"/>
      <c r="F1082" s="23"/>
      <c r="G1082" s="95">
        <v>1</v>
      </c>
      <c r="H1082" s="95"/>
      <c r="I1082" s="96"/>
      <c r="J1082" s="96"/>
      <c r="K1082" s="19"/>
      <c r="L1082" s="20"/>
    </row>
    <row r="1083" spans="1:12" outlineLevel="2">
      <c r="A1083" s="129"/>
      <c r="B1083" s="12" t="str">
        <f>IFERROR(VLOOKUP(D1083,'[1]Перечень товаров'!$A$2:$I9525,2,0),"")</f>
        <v>дм3</v>
      </c>
      <c r="C1083" s="12" t="str">
        <f>IFERROR(VLOOKUP(D1083,'[1]Перечень товаров'!$A$2:$I9525,3,0),"")</f>
        <v>Дидактика муз</v>
      </c>
      <c r="D1083" s="130" t="s">
        <v>210</v>
      </c>
      <c r="E1083" s="23"/>
      <c r="F1083" s="23"/>
      <c r="G1083" s="95">
        <v>3</v>
      </c>
      <c r="H1083" s="95"/>
      <c r="I1083" s="96"/>
      <c r="J1083" s="96"/>
      <c r="K1083" s="19"/>
      <c r="L1083" s="20"/>
    </row>
    <row r="1084" spans="1:12" ht="31.5" outlineLevel="2">
      <c r="A1084" s="125"/>
      <c r="B1084" s="12" t="str">
        <f>IFERROR(VLOOKUP(D1084,'[1]Перечень товаров'!$A$2:$I9525,2,0),"")</f>
        <v/>
      </c>
      <c r="C1084" s="12" t="str">
        <f>IFERROR(VLOOKUP(D1084,'[1]Перечень товаров'!$A$2:$I9525,3,0),"")</f>
        <v/>
      </c>
      <c r="D1084" s="126" t="s">
        <v>419</v>
      </c>
      <c r="E1084" s="45"/>
      <c r="F1084" s="45"/>
      <c r="G1084" s="131"/>
      <c r="H1084" s="131"/>
      <c r="I1084" s="132"/>
      <c r="J1084" s="132"/>
      <c r="K1084" s="19"/>
      <c r="L1084" s="20"/>
    </row>
    <row r="1085" spans="1:12" outlineLevel="2">
      <c r="A1085" s="129"/>
      <c r="B1085" s="12" t="str">
        <f>IFERROR(VLOOKUP(D1085,'[1]Перечень товаров'!$A$2:$I9525,2,0),"")</f>
        <v>тм73</v>
      </c>
      <c r="C1085" s="12" t="str">
        <f>IFERROR(VLOOKUP(D1085,'[1]Перечень товаров'!$A$2:$I9525,3,0),"")</f>
        <v>Техника муз</v>
      </c>
      <c r="D1085" s="130" t="s">
        <v>420</v>
      </c>
      <c r="E1085" s="23"/>
      <c r="F1085" s="23"/>
      <c r="G1085" s="95">
        <v>1</v>
      </c>
      <c r="H1085" s="95"/>
      <c r="I1085" s="96"/>
      <c r="J1085" s="96"/>
      <c r="K1085" s="19"/>
      <c r="L1085" s="20"/>
    </row>
    <row r="1086" spans="1:12" outlineLevel="2">
      <c r="A1086" s="129"/>
      <c r="B1086" s="12" t="str">
        <f>IFERROR(VLOOKUP(D1086,'[1]Перечень товаров'!$A$2:$I9525,2,0),"")</f>
        <v>тм13</v>
      </c>
      <c r="C1086" s="12" t="str">
        <f>IFERROR(VLOOKUP(D1086,'[1]Перечень товаров'!$A$2:$I9525,3,0),"")</f>
        <v>Техника муз</v>
      </c>
      <c r="D1086" s="130" t="s">
        <v>218</v>
      </c>
      <c r="E1086" s="23"/>
      <c r="F1086" s="23"/>
      <c r="G1086" s="95">
        <v>1</v>
      </c>
      <c r="H1086" s="95"/>
      <c r="I1086" s="96"/>
      <c r="J1086" s="96"/>
      <c r="K1086" s="19"/>
      <c r="L1086" s="20"/>
    </row>
    <row r="1087" spans="1:12" ht="31.5" outlineLevel="2">
      <c r="A1087" s="129"/>
      <c r="B1087" s="12" t="str">
        <f>IFERROR(VLOOKUP(D1087,'[1]Перечень товаров'!$A$2:$I9525,2,0),"")</f>
        <v>мм3</v>
      </c>
      <c r="C1087" s="12" t="str">
        <f>IFERROR(VLOOKUP(D1087,'[1]Перечень товаров'!$A$2:$I9525,3,0),"")</f>
        <v>Мебель муз</v>
      </c>
      <c r="D1087" s="130" t="s">
        <v>219</v>
      </c>
      <c r="E1087" s="23"/>
      <c r="F1087" s="23"/>
      <c r="G1087" s="95">
        <v>2</v>
      </c>
      <c r="H1087" s="95"/>
      <c r="I1087" s="96"/>
      <c r="J1087" s="96"/>
      <c r="K1087" s="19"/>
      <c r="L1087" s="20"/>
    </row>
    <row r="1088" spans="1:12" outlineLevel="2">
      <c r="A1088" s="129"/>
      <c r="B1088" s="12" t="str">
        <f>IFERROR(VLOOKUP(D1088,'[1]Перечень товаров'!$A$2:$I9525,2,0),"")</f>
        <v>тм74</v>
      </c>
      <c r="C1088" s="12" t="str">
        <f>IFERROR(VLOOKUP(D1088,'[1]Перечень товаров'!$A$2:$I9525,3,0),"")</f>
        <v>Техника муз</v>
      </c>
      <c r="D1088" s="130" t="s">
        <v>421</v>
      </c>
      <c r="E1088" s="23"/>
      <c r="F1088" s="23"/>
      <c r="G1088" s="95">
        <v>1</v>
      </c>
      <c r="H1088" s="95"/>
      <c r="I1088" s="96"/>
      <c r="J1088" s="96"/>
      <c r="K1088" s="19"/>
      <c r="L1088" s="20"/>
    </row>
    <row r="1089" spans="1:12" ht="31.5" outlineLevel="2">
      <c r="A1089" s="129"/>
      <c r="B1089" s="12" t="str">
        <f>IFERROR(VLOOKUP(D1089,'[1]Перечень товаров'!$A$2:$I9525,2,0),"")</f>
        <v>тм75</v>
      </c>
      <c r="C1089" s="12" t="str">
        <f>IFERROR(VLOOKUP(D1089,'[1]Перечень товаров'!$A$2:$I9525,3,0),"")</f>
        <v>Техника муз</v>
      </c>
      <c r="D1089" s="130" t="s">
        <v>422</v>
      </c>
      <c r="E1089" s="23"/>
      <c r="F1089" s="23"/>
      <c r="G1089" s="95">
        <v>1</v>
      </c>
      <c r="H1089" s="95"/>
      <c r="I1089" s="96"/>
      <c r="J1089" s="96"/>
      <c r="K1089" s="19"/>
      <c r="L1089" s="20"/>
    </row>
    <row r="1090" spans="1:12" outlineLevel="2">
      <c r="A1090" s="129"/>
      <c r="B1090" s="12" t="str">
        <f>IFERROR(VLOOKUP(D1090,'[1]Перечень товаров'!$A$2:$I9525,2,0),"")</f>
        <v>тм76</v>
      </c>
      <c r="C1090" s="12" t="str">
        <f>IFERROR(VLOOKUP(D1090,'[1]Перечень товаров'!$A$2:$I9525,3,0),"")</f>
        <v>Техника муз</v>
      </c>
      <c r="D1090" s="130" t="s">
        <v>423</v>
      </c>
      <c r="E1090" s="23"/>
      <c r="F1090" s="23"/>
      <c r="G1090" s="95">
        <v>1</v>
      </c>
      <c r="H1090" s="95"/>
      <c r="I1090" s="96"/>
      <c r="J1090" s="96"/>
      <c r="K1090" s="19"/>
      <c r="L1090" s="20"/>
    </row>
    <row r="1091" spans="1:12" ht="31.5" outlineLevel="2">
      <c r="A1091" s="125"/>
      <c r="B1091" s="12" t="str">
        <f>IFERROR(VLOOKUP(D1091,'[1]Перечень товаров'!$A$2:$I9525,2,0),"")</f>
        <v/>
      </c>
      <c r="C1091" s="12" t="str">
        <f>IFERROR(VLOOKUP(D1091,'[1]Перечень товаров'!$A$2:$I9525,3,0),"")</f>
        <v/>
      </c>
      <c r="D1091" s="126" t="s">
        <v>424</v>
      </c>
      <c r="E1091" s="45"/>
      <c r="F1091" s="45"/>
      <c r="G1091" s="131"/>
      <c r="H1091" s="131"/>
      <c r="I1091" s="132"/>
      <c r="J1091" s="132"/>
      <c r="K1091" s="19"/>
      <c r="L1091" s="20"/>
    </row>
    <row r="1092" spans="1:12" ht="31.5" outlineLevel="2">
      <c r="A1092" s="129"/>
      <c r="B1092" s="12" t="str">
        <f>IFERROR(VLOOKUP(D1092,'[1]Перечень товаров'!$A$2:$I9525,2,0),"")</f>
        <v>м75</v>
      </c>
      <c r="C1092" s="12" t="str">
        <f>IFERROR(VLOOKUP(D1092,'[1]Перечень товаров'!$A$2:$I9525,3,0),"")</f>
        <v>Мебель</v>
      </c>
      <c r="D1092" s="130" t="s">
        <v>425</v>
      </c>
      <c r="E1092" s="23"/>
      <c r="F1092" s="23"/>
      <c r="G1092" s="95">
        <v>25</v>
      </c>
      <c r="H1092" s="95"/>
      <c r="I1092" s="96"/>
      <c r="J1092" s="96"/>
      <c r="K1092" s="19"/>
      <c r="L1092" s="20"/>
    </row>
    <row r="1093" spans="1:12" outlineLevel="2">
      <c r="A1093" s="129"/>
      <c r="B1093" s="12" t="str">
        <f>IFERROR(VLOOKUP(D1093,'[1]Перечень товаров'!$A$2:$I9525,2,0),"")</f>
        <v>м76</v>
      </c>
      <c r="C1093" s="12" t="str">
        <f>IFERROR(VLOOKUP(D1093,'[1]Перечень товаров'!$A$2:$I9525,3,0),"")</f>
        <v>Мебель</v>
      </c>
      <c r="D1093" s="130" t="s">
        <v>426</v>
      </c>
      <c r="E1093" s="23"/>
      <c r="F1093" s="23"/>
      <c r="G1093" s="95">
        <v>5</v>
      </c>
      <c r="H1093" s="95"/>
      <c r="I1093" s="96"/>
      <c r="J1093" s="96"/>
      <c r="K1093" s="19"/>
      <c r="L1093" s="20"/>
    </row>
    <row r="1094" spans="1:12" ht="31.5" outlineLevel="2">
      <c r="A1094" s="129"/>
      <c r="B1094" s="12" t="str">
        <f>IFERROR(VLOOKUP(D1094,'[1]Перечень товаров'!$A$2:$I9525,2,0),"")</f>
        <v>м150</v>
      </c>
      <c r="C1094" s="12" t="str">
        <f>IFERROR(VLOOKUP(D1094,'[1]Перечень товаров'!$A$2:$I9525,3,0),"")</f>
        <v>Мебель</v>
      </c>
      <c r="D1094" s="130" t="s">
        <v>427</v>
      </c>
      <c r="E1094" s="23"/>
      <c r="F1094" s="23"/>
      <c r="G1094" s="95">
        <v>30</v>
      </c>
      <c r="H1094" s="95"/>
      <c r="I1094" s="96"/>
      <c r="J1094" s="96"/>
      <c r="K1094" s="19"/>
      <c r="L1094" s="20"/>
    </row>
    <row r="1095" spans="1:12" ht="47.25" outlineLevel="2">
      <c r="A1095" s="129"/>
      <c r="B1095" s="12" t="str">
        <f>IFERROR(VLOOKUP(D1095,'[1]Перечень товаров'!$A$2:$I9525,2,0),"")</f>
        <v>м151</v>
      </c>
      <c r="C1095" s="12" t="str">
        <f>IFERROR(VLOOKUP(D1095,'[1]Перечень товаров'!$A$2:$I9525,3,0),"")</f>
        <v>Мебель</v>
      </c>
      <c r="D1095" s="130" t="s">
        <v>428</v>
      </c>
      <c r="E1095" s="23"/>
      <c r="F1095" s="23"/>
      <c r="G1095" s="95">
        <v>4</v>
      </c>
      <c r="H1095" s="95"/>
      <c r="I1095" s="96"/>
      <c r="J1095" s="96"/>
      <c r="K1095" s="19"/>
      <c r="L1095" s="20"/>
    </row>
    <row r="1096" spans="1:12" outlineLevel="2">
      <c r="A1096" s="129"/>
      <c r="B1096" s="12" t="str">
        <f>IFERROR(VLOOKUP(D1096,'[1]Перечень товаров'!$A$2:$I9525,2,0),"")</f>
        <v>мм11</v>
      </c>
      <c r="C1096" s="12" t="str">
        <f>IFERROR(VLOOKUP(D1096,'[1]Перечень товаров'!$A$2:$I9525,3,0),"")</f>
        <v>Мебель муз</v>
      </c>
      <c r="D1096" s="130" t="s">
        <v>231</v>
      </c>
      <c r="E1096" s="23"/>
      <c r="F1096" s="23"/>
      <c r="G1096" s="95">
        <v>6</v>
      </c>
      <c r="H1096" s="95"/>
      <c r="I1096" s="96"/>
      <c r="J1096" s="96"/>
      <c r="K1096" s="19"/>
      <c r="L1096" s="20"/>
    </row>
    <row r="1097" spans="1:12" ht="31.5" outlineLevel="2">
      <c r="A1097" s="129"/>
      <c r="B1097" s="12" t="str">
        <f>IFERROR(VLOOKUP(D1097,'[1]Перечень товаров'!$A$2:$I9525,2,0),"")</f>
        <v>м152</v>
      </c>
      <c r="C1097" s="12" t="str">
        <f>IFERROR(VLOOKUP(D1097,'[1]Перечень товаров'!$A$2:$I9525,3,0),"")</f>
        <v>Мебель</v>
      </c>
      <c r="D1097" s="130" t="s">
        <v>429</v>
      </c>
      <c r="E1097" s="23"/>
      <c r="F1097" s="23"/>
      <c r="G1097" s="95">
        <v>2</v>
      </c>
      <c r="H1097" s="95"/>
      <c r="I1097" s="96"/>
      <c r="J1097" s="96"/>
      <c r="K1097" s="19"/>
      <c r="L1097" s="20"/>
    </row>
    <row r="1098" spans="1:12" ht="47.25" outlineLevel="2">
      <c r="A1098" s="125"/>
      <c r="B1098" s="12" t="str">
        <f>IFERROR(VLOOKUP(D1098,'[1]Перечень товаров'!$A$2:$I9525,2,0),"")</f>
        <v/>
      </c>
      <c r="C1098" s="12" t="str">
        <f>IFERROR(VLOOKUP(D1098,'[1]Перечень товаров'!$A$2:$I9525,3,0),"")</f>
        <v/>
      </c>
      <c r="D1098" s="126" t="s">
        <v>430</v>
      </c>
      <c r="E1098" s="45"/>
      <c r="F1098" s="45"/>
      <c r="G1098" s="131"/>
      <c r="H1098" s="131"/>
      <c r="I1098" s="132"/>
      <c r="J1098" s="132"/>
      <c r="K1098" s="19"/>
      <c r="L1098" s="20"/>
    </row>
    <row r="1099" spans="1:12" ht="31.5" outlineLevel="2">
      <c r="A1099" s="129"/>
      <c r="B1099" s="12" t="str">
        <f>IFERROR(VLOOKUP(D1099,'[1]Перечень товаров'!$A$2:$I9525,2,0),"")</f>
        <v>т162</v>
      </c>
      <c r="C1099" s="12" t="str">
        <f>IFERROR(VLOOKUP(D1099,'[1]Перечень товаров'!$A$2:$I9525,3,0),"")</f>
        <v>Техника</v>
      </c>
      <c r="D1099" s="130" t="s">
        <v>431</v>
      </c>
      <c r="E1099" s="23"/>
      <c r="F1099" s="23"/>
      <c r="G1099" s="95">
        <v>10</v>
      </c>
      <c r="H1099" s="95"/>
      <c r="I1099" s="96"/>
      <c r="J1099" s="96"/>
      <c r="K1099" s="19"/>
      <c r="L1099" s="20"/>
    </row>
    <row r="1100" spans="1:12" ht="31.5" outlineLevel="2">
      <c r="A1100" s="129"/>
      <c r="B1100" s="12" t="str">
        <f>IFERROR(VLOOKUP(D1100,'[1]Перечень товаров'!$A$2:$I9525,2,0),"")</f>
        <v>т163</v>
      </c>
      <c r="C1100" s="12" t="str">
        <f>IFERROR(VLOOKUP(D1100,'[1]Перечень товаров'!$A$2:$I9525,3,0),"")</f>
        <v>Техника</v>
      </c>
      <c r="D1100" s="130" t="s">
        <v>432</v>
      </c>
      <c r="E1100" s="23"/>
      <c r="F1100" s="23"/>
      <c r="G1100" s="95">
        <v>6</v>
      </c>
      <c r="H1100" s="95"/>
      <c r="I1100" s="96"/>
      <c r="J1100" s="96"/>
      <c r="K1100" s="19"/>
      <c r="L1100" s="20"/>
    </row>
    <row r="1101" spans="1:12" ht="31.5" outlineLevel="2">
      <c r="A1101" s="129"/>
      <c r="B1101" s="12" t="str">
        <f>IFERROR(VLOOKUP(D1101,'[1]Перечень товаров'!$A$2:$I9525,2,0),"")</f>
        <v>т164</v>
      </c>
      <c r="C1101" s="12" t="str">
        <f>IFERROR(VLOOKUP(D1101,'[1]Перечень товаров'!$A$2:$I9525,3,0),"")</f>
        <v>Техника</v>
      </c>
      <c r="D1101" s="130" t="s">
        <v>433</v>
      </c>
      <c r="E1101" s="23"/>
      <c r="F1101" s="23"/>
      <c r="G1101" s="95">
        <v>4</v>
      </c>
      <c r="H1101" s="95"/>
      <c r="I1101" s="96"/>
      <c r="J1101" s="96"/>
      <c r="K1101" s="19"/>
      <c r="L1101" s="20"/>
    </row>
    <row r="1102" spans="1:12" outlineLevel="2">
      <c r="A1102" s="129"/>
      <c r="B1102" s="12" t="str">
        <f>IFERROR(VLOOKUP(D1102,'[1]Перечень товаров'!$A$2:$I9525,2,0),"")</f>
        <v>т165</v>
      </c>
      <c r="C1102" s="12" t="str">
        <f>IFERROR(VLOOKUP(D1102,'[1]Перечень товаров'!$A$2:$I9525,3,0),"")</f>
        <v>Техника</v>
      </c>
      <c r="D1102" s="130" t="s">
        <v>434</v>
      </c>
      <c r="E1102" s="23"/>
      <c r="F1102" s="23"/>
      <c r="G1102" s="95">
        <v>2</v>
      </c>
      <c r="H1102" s="95"/>
      <c r="I1102" s="96"/>
      <c r="J1102" s="96"/>
      <c r="K1102" s="19"/>
      <c r="L1102" s="20"/>
    </row>
    <row r="1103" spans="1:12" outlineLevel="2">
      <c r="A1103" s="129"/>
      <c r="B1103" s="12" t="str">
        <f>IFERROR(VLOOKUP(D1103,'[1]Перечень товаров'!$A$2:$I9525,2,0),"")</f>
        <v>тм23</v>
      </c>
      <c r="C1103" s="12" t="str">
        <f>IFERROR(VLOOKUP(D1103,'[1]Перечень товаров'!$A$2:$I9525,3,0),"")</f>
        <v>Техника муз</v>
      </c>
      <c r="D1103" s="130" t="s">
        <v>252</v>
      </c>
      <c r="E1103" s="23"/>
      <c r="F1103" s="23"/>
      <c r="G1103" s="95">
        <v>1</v>
      </c>
      <c r="H1103" s="95"/>
      <c r="I1103" s="96"/>
      <c r="J1103" s="96"/>
      <c r="K1103" s="19"/>
      <c r="L1103" s="20"/>
    </row>
    <row r="1104" spans="1:12" outlineLevel="2">
      <c r="A1104" s="129"/>
      <c r="B1104" s="12" t="str">
        <f>IFERROR(VLOOKUP(D1104,'[1]Перечень товаров'!$A$2:$I9525,2,0),"")</f>
        <v>т166</v>
      </c>
      <c r="C1104" s="12" t="str">
        <f>IFERROR(VLOOKUP(D1104,'[1]Перечень товаров'!$A$2:$I9525,3,0),"")</f>
        <v>Техника</v>
      </c>
      <c r="D1104" s="130" t="s">
        <v>435</v>
      </c>
      <c r="E1104" s="23"/>
      <c r="F1104" s="23"/>
      <c r="G1104" s="95">
        <v>1</v>
      </c>
      <c r="H1104" s="95"/>
      <c r="I1104" s="96"/>
      <c r="J1104" s="96"/>
      <c r="K1104" s="19"/>
      <c r="L1104" s="20"/>
    </row>
    <row r="1105" spans="1:12" ht="31.5" outlineLevel="2">
      <c r="A1105" s="129"/>
      <c r="B1105" s="12" t="str">
        <f>IFERROR(VLOOKUP(D1105,'[1]Перечень товаров'!$A$2:$I9525,2,0),"")</f>
        <v>т167</v>
      </c>
      <c r="C1105" s="12" t="str">
        <f>IFERROR(VLOOKUP(D1105,'[1]Перечень товаров'!$A$2:$I9525,3,0),"")</f>
        <v>Техника</v>
      </c>
      <c r="D1105" s="130" t="s">
        <v>436</v>
      </c>
      <c r="E1105" s="23"/>
      <c r="F1105" s="23"/>
      <c r="G1105" s="95">
        <v>1</v>
      </c>
      <c r="H1105" s="95"/>
      <c r="I1105" s="96"/>
      <c r="J1105" s="96"/>
      <c r="K1105" s="19"/>
      <c r="L1105" s="20"/>
    </row>
    <row r="1106" spans="1:12" ht="31.5" outlineLevel="2">
      <c r="A1106" s="129"/>
      <c r="B1106" s="12" t="str">
        <f>IFERROR(VLOOKUP(D1106,'[1]Перечень товаров'!$A$2:$I9525,2,0),"")</f>
        <v>т168</v>
      </c>
      <c r="C1106" s="12" t="str">
        <f>IFERROR(VLOOKUP(D1106,'[1]Перечень товаров'!$A$2:$I9525,3,0),"")</f>
        <v>Техника</v>
      </c>
      <c r="D1106" s="130" t="s">
        <v>437</v>
      </c>
      <c r="E1106" s="23"/>
      <c r="F1106" s="23"/>
      <c r="G1106" s="95">
        <v>1</v>
      </c>
      <c r="H1106" s="95"/>
      <c r="I1106" s="96"/>
      <c r="J1106" s="96"/>
      <c r="K1106" s="19"/>
      <c r="L1106" s="20"/>
    </row>
    <row r="1107" spans="1:12" ht="31.5" outlineLevel="2">
      <c r="A1107" s="129"/>
      <c r="B1107" s="12" t="str">
        <f>IFERROR(VLOOKUP(D1107,'[1]Перечень товаров'!$A$2:$I9525,2,0),"")</f>
        <v>т151</v>
      </c>
      <c r="C1107" s="12" t="str">
        <f>IFERROR(VLOOKUP(D1107,'[1]Перечень товаров'!$A$2:$I9525,3,0),"")</f>
        <v>Техника</v>
      </c>
      <c r="D1107" s="130" t="s">
        <v>253</v>
      </c>
      <c r="E1107" s="23"/>
      <c r="F1107" s="23"/>
      <c r="G1107" s="95">
        <v>1</v>
      </c>
      <c r="H1107" s="95"/>
      <c r="I1107" s="96"/>
      <c r="J1107" s="96"/>
      <c r="K1107" s="19"/>
      <c r="L1107" s="20"/>
    </row>
    <row r="1108" spans="1:12" ht="31.5" outlineLevel="2">
      <c r="A1108" s="129"/>
      <c r="B1108" s="12" t="str">
        <f>IFERROR(VLOOKUP(D1108,'[1]Перечень товаров'!$A$2:$I9525,2,0),"")</f>
        <v>т152</v>
      </c>
      <c r="C1108" s="12" t="str">
        <f>IFERROR(VLOOKUP(D1108,'[1]Перечень товаров'!$A$2:$I9525,3,0),"")</f>
        <v>Техника</v>
      </c>
      <c r="D1108" s="130" t="s">
        <v>254</v>
      </c>
      <c r="E1108" s="23"/>
      <c r="F1108" s="23"/>
      <c r="G1108" s="95">
        <v>1</v>
      </c>
      <c r="H1108" s="95"/>
      <c r="I1108" s="96"/>
      <c r="J1108" s="96"/>
      <c r="K1108" s="19"/>
      <c r="L1108" s="20"/>
    </row>
    <row r="1109" spans="1:12" ht="31.5" outlineLevel="2">
      <c r="A1109" s="129"/>
      <c r="B1109" s="12" t="str">
        <f>IFERROR(VLOOKUP(D1109,'[1]Перечень товаров'!$A$2:$I9525,2,0),"")</f>
        <v>т169</v>
      </c>
      <c r="C1109" s="12" t="str">
        <f>IFERROR(VLOOKUP(D1109,'[1]Перечень товаров'!$A$2:$I9525,3,0),"")</f>
        <v>Техника</v>
      </c>
      <c r="D1109" s="130" t="s">
        <v>438</v>
      </c>
      <c r="E1109" s="23"/>
      <c r="F1109" s="23"/>
      <c r="G1109" s="95">
        <v>15</v>
      </c>
      <c r="H1109" s="95"/>
      <c r="I1109" s="96"/>
      <c r="J1109" s="96"/>
      <c r="K1109" s="19"/>
      <c r="L1109" s="20"/>
    </row>
    <row r="1110" spans="1:12" outlineLevel="2">
      <c r="A1110" s="129"/>
      <c r="B1110" s="12" t="str">
        <f>IFERROR(VLOOKUP(D1110,'[1]Перечень товаров'!$A$2:$I9525,2,0),"")</f>
        <v>м44</v>
      </c>
      <c r="C1110" s="12" t="str">
        <f>IFERROR(VLOOKUP(D1110,'[1]Перечень товаров'!$A$2:$I9525,3,0),"")</f>
        <v>Мебель</v>
      </c>
      <c r="D1110" s="130" t="s">
        <v>259</v>
      </c>
      <c r="E1110" s="23"/>
      <c r="F1110" s="23"/>
      <c r="G1110" s="95">
        <v>2</v>
      </c>
      <c r="H1110" s="95"/>
      <c r="I1110" s="96"/>
      <c r="J1110" s="96"/>
      <c r="K1110" s="19"/>
      <c r="L1110" s="20"/>
    </row>
    <row r="1111" spans="1:12" ht="31.5" outlineLevel="2">
      <c r="A1111" s="129"/>
      <c r="B1111" s="12" t="str">
        <f>IFERROR(VLOOKUP(D1111,'[1]Перечень товаров'!$A$2:$I9525,2,0),"")</f>
        <v>тм24</v>
      </c>
      <c r="C1111" s="12" t="str">
        <f>IFERROR(VLOOKUP(D1111,'[1]Перечень товаров'!$A$2:$I9525,3,0),"")</f>
        <v>Техника муз</v>
      </c>
      <c r="D1111" s="130" t="s">
        <v>256</v>
      </c>
      <c r="E1111" s="23"/>
      <c r="F1111" s="23"/>
      <c r="G1111" s="95">
        <v>1</v>
      </c>
      <c r="H1111" s="95"/>
      <c r="I1111" s="96"/>
      <c r="J1111" s="96"/>
      <c r="K1111" s="19"/>
      <c r="L1111" s="20"/>
    </row>
    <row r="1112" spans="1:12" outlineLevel="2">
      <c r="A1112" s="129"/>
      <c r="B1112" s="12" t="str">
        <f>IFERROR(VLOOKUP(D1112,'[1]Перечень товаров'!$A$2:$I9525,2,0),"")</f>
        <v>тм26</v>
      </c>
      <c r="C1112" s="12" t="str">
        <f>IFERROR(VLOOKUP(D1112,'[1]Перечень товаров'!$A$2:$I9525,3,0),"")</f>
        <v>Техника муз</v>
      </c>
      <c r="D1112" s="130" t="s">
        <v>261</v>
      </c>
      <c r="E1112" s="23"/>
      <c r="F1112" s="23"/>
      <c r="G1112" s="95" t="s">
        <v>290</v>
      </c>
      <c r="H1112" s="95"/>
      <c r="I1112" s="96"/>
      <c r="J1112" s="96"/>
      <c r="K1112" s="19"/>
      <c r="L1112" s="20"/>
    </row>
    <row r="1113" spans="1:12" outlineLevel="2">
      <c r="A1113" s="129"/>
      <c r="B1113" s="12" t="str">
        <f>IFERROR(VLOOKUP(D1113,'[1]Перечень товаров'!$A$2:$I9525,2,0),"")</f>
        <v>т170</v>
      </c>
      <c r="C1113" s="12" t="str">
        <f>IFERROR(VLOOKUP(D1113,'[1]Перечень товаров'!$A$2:$I9525,3,0),"")</f>
        <v>Техника</v>
      </c>
      <c r="D1113" s="130" t="s">
        <v>439</v>
      </c>
      <c r="E1113" s="23"/>
      <c r="F1113" s="23"/>
      <c r="G1113" s="95" t="s">
        <v>290</v>
      </c>
      <c r="H1113" s="95"/>
      <c r="I1113" s="96"/>
      <c r="J1113" s="96"/>
      <c r="K1113" s="19"/>
      <c r="L1113" s="20"/>
    </row>
    <row r="1114" spans="1:12" ht="47.25" outlineLevel="2">
      <c r="A1114" s="125"/>
      <c r="B1114" s="12" t="str">
        <f>IFERROR(VLOOKUP(D1114,'[1]Перечень товаров'!$A$2:$I9525,2,0),"")</f>
        <v/>
      </c>
      <c r="C1114" s="12" t="str">
        <f>IFERROR(VLOOKUP(D1114,'[1]Перечень товаров'!$A$2:$I9525,3,0),"")</f>
        <v/>
      </c>
      <c r="D1114" s="126" t="s">
        <v>440</v>
      </c>
      <c r="E1114" s="45"/>
      <c r="F1114" s="45"/>
      <c r="G1114" s="131"/>
      <c r="H1114" s="131"/>
      <c r="I1114" s="132"/>
      <c r="J1114" s="132"/>
      <c r="K1114" s="19"/>
      <c r="L1114" s="20"/>
    </row>
    <row r="1115" spans="1:12" ht="31.5" outlineLevel="2">
      <c r="A1115" s="129"/>
      <c r="B1115" s="12" t="str">
        <f>IFERROR(VLOOKUP(D1115,'[1]Перечень товаров'!$A$2:$I9525,2,0),"")</f>
        <v>т171</v>
      </c>
      <c r="C1115" s="12" t="str">
        <f>IFERROR(VLOOKUP(D1115,'[1]Перечень товаров'!$A$2:$I9525,3,0),"")</f>
        <v>Техника</v>
      </c>
      <c r="D1115" s="130" t="s">
        <v>441</v>
      </c>
      <c r="E1115" s="23"/>
      <c r="F1115" s="23"/>
      <c r="G1115" s="95">
        <v>1</v>
      </c>
      <c r="H1115" s="95"/>
      <c r="I1115" s="96"/>
      <c r="J1115" s="96"/>
      <c r="K1115" s="19"/>
      <c r="L1115" s="20"/>
    </row>
    <row r="1116" spans="1:12" ht="31.5" outlineLevel="2">
      <c r="A1116" s="129"/>
      <c r="B1116" s="12" t="str">
        <f>IFERROR(VLOOKUP(D1116,'[1]Перечень товаров'!$A$2:$I9525,2,0),"")</f>
        <v>т172</v>
      </c>
      <c r="C1116" s="12" t="str">
        <f>IFERROR(VLOOKUP(D1116,'[1]Перечень товаров'!$A$2:$I9525,3,0),"")</f>
        <v>Техника</v>
      </c>
      <c r="D1116" s="130" t="s">
        <v>442</v>
      </c>
      <c r="E1116" s="23"/>
      <c r="F1116" s="23"/>
      <c r="G1116" s="95">
        <v>2</v>
      </c>
      <c r="H1116" s="95"/>
      <c r="I1116" s="96"/>
      <c r="J1116" s="96"/>
      <c r="K1116" s="19"/>
      <c r="L1116" s="20"/>
    </row>
    <row r="1117" spans="1:12" outlineLevel="2">
      <c r="A1117" s="129"/>
      <c r="B1117" s="12" t="str">
        <f>IFERROR(VLOOKUP(D1117,'[1]Перечень товаров'!$A$2:$I9525,2,0),"")</f>
        <v>т173</v>
      </c>
      <c r="C1117" s="12" t="str">
        <f>IFERROR(VLOOKUP(D1117,'[1]Перечень товаров'!$A$2:$I9525,3,0),"")</f>
        <v>Техника</v>
      </c>
      <c r="D1117" s="130" t="s">
        <v>443</v>
      </c>
      <c r="E1117" s="23"/>
      <c r="F1117" s="23"/>
      <c r="G1117" s="95">
        <v>2</v>
      </c>
      <c r="H1117" s="95"/>
      <c r="I1117" s="96"/>
      <c r="J1117" s="96"/>
      <c r="K1117" s="19"/>
      <c r="L1117" s="20"/>
    </row>
    <row r="1118" spans="1:12" outlineLevel="2">
      <c r="A1118" s="129"/>
      <c r="B1118" s="12" t="str">
        <f>IFERROR(VLOOKUP(D1118,'[1]Перечень товаров'!$A$2:$I9525,2,0),"")</f>
        <v>т174</v>
      </c>
      <c r="C1118" s="12" t="str">
        <f>IFERROR(VLOOKUP(D1118,'[1]Перечень товаров'!$A$2:$I9525,3,0),"")</f>
        <v>Техника</v>
      </c>
      <c r="D1118" s="130" t="s">
        <v>444</v>
      </c>
      <c r="E1118" s="23"/>
      <c r="F1118" s="23"/>
      <c r="G1118" s="95">
        <v>4</v>
      </c>
      <c r="H1118" s="95"/>
      <c r="I1118" s="96"/>
      <c r="J1118" s="96"/>
      <c r="K1118" s="19"/>
      <c r="L1118" s="20"/>
    </row>
    <row r="1119" spans="1:12" ht="31.5" outlineLevel="2">
      <c r="A1119" s="129"/>
      <c r="B1119" s="12" t="str">
        <f>IFERROR(VLOOKUP(D1119,'[1]Перечень товаров'!$A$2:$I9525,2,0),"")</f>
        <v>т175</v>
      </c>
      <c r="C1119" s="12" t="str">
        <f>IFERROR(VLOOKUP(D1119,'[1]Перечень товаров'!$A$2:$I9525,3,0),"")</f>
        <v>Техника</v>
      </c>
      <c r="D1119" s="130" t="s">
        <v>445</v>
      </c>
      <c r="E1119" s="23"/>
      <c r="F1119" s="23"/>
      <c r="G1119" s="95">
        <v>6</v>
      </c>
      <c r="H1119" s="95"/>
      <c r="I1119" s="96"/>
      <c r="J1119" s="96"/>
      <c r="K1119" s="19"/>
      <c r="L1119" s="20"/>
    </row>
    <row r="1120" spans="1:12" ht="31.5" outlineLevel="2">
      <c r="A1120" s="129"/>
      <c r="B1120" s="12" t="str">
        <f>IFERROR(VLOOKUP(D1120,'[1]Перечень товаров'!$A$2:$I9525,2,0),"")</f>
        <v>т176</v>
      </c>
      <c r="C1120" s="12" t="str">
        <f>IFERROR(VLOOKUP(D1120,'[1]Перечень товаров'!$A$2:$I9525,3,0),"")</f>
        <v>Техника</v>
      </c>
      <c r="D1120" s="130" t="s">
        <v>446</v>
      </c>
      <c r="E1120" s="23"/>
      <c r="F1120" s="23"/>
      <c r="G1120" s="95">
        <v>6</v>
      </c>
      <c r="H1120" s="95"/>
      <c r="I1120" s="96"/>
      <c r="J1120" s="96"/>
      <c r="K1120" s="19"/>
      <c r="L1120" s="20"/>
    </row>
    <row r="1121" spans="1:12" ht="31.5" outlineLevel="2">
      <c r="A1121" s="129"/>
      <c r="B1121" s="12" t="str">
        <f>IFERROR(VLOOKUP(D1121,'[1]Перечень товаров'!$A$2:$I9525,2,0),"")</f>
        <v>т177</v>
      </c>
      <c r="C1121" s="12" t="str">
        <f>IFERROR(VLOOKUP(D1121,'[1]Перечень товаров'!$A$2:$I9525,3,0),"")</f>
        <v>Техника</v>
      </c>
      <c r="D1121" s="130" t="s">
        <v>447</v>
      </c>
      <c r="E1121" s="23"/>
      <c r="F1121" s="23"/>
      <c r="G1121" s="95">
        <v>2</v>
      </c>
      <c r="H1121" s="95"/>
      <c r="I1121" s="96"/>
      <c r="J1121" s="96"/>
      <c r="K1121" s="19"/>
      <c r="L1121" s="20"/>
    </row>
    <row r="1122" spans="1:12" ht="31.5" outlineLevel="2">
      <c r="A1122" s="129"/>
      <c r="B1122" s="12" t="str">
        <f>IFERROR(VLOOKUP(D1122,'[1]Перечень товаров'!$A$2:$I9525,2,0),"")</f>
        <v>т153</v>
      </c>
      <c r="C1122" s="12" t="str">
        <f>IFERROR(VLOOKUP(D1122,'[1]Перечень товаров'!$A$2:$I9525,3,0),"")</f>
        <v>Техника</v>
      </c>
      <c r="D1122" s="130" t="s">
        <v>278</v>
      </c>
      <c r="E1122" s="23"/>
      <c r="F1122" s="23"/>
      <c r="G1122" s="95">
        <v>1</v>
      </c>
      <c r="H1122" s="95"/>
      <c r="I1122" s="96"/>
      <c r="J1122" s="96"/>
      <c r="K1122" s="19"/>
      <c r="L1122" s="20"/>
    </row>
    <row r="1123" spans="1:12" ht="31.5" outlineLevel="2">
      <c r="A1123" s="129"/>
      <c r="B1123" s="12" t="str">
        <f>IFERROR(VLOOKUP(D1123,'[1]Перечень товаров'!$A$2:$I9525,2,0),"")</f>
        <v>т178</v>
      </c>
      <c r="C1123" s="12" t="str">
        <f>IFERROR(VLOOKUP(D1123,'[1]Перечень товаров'!$A$2:$I9525,3,0),"")</f>
        <v>Техника</v>
      </c>
      <c r="D1123" s="130" t="s">
        <v>448</v>
      </c>
      <c r="E1123" s="23"/>
      <c r="F1123" s="23"/>
      <c r="G1123" s="95">
        <v>1</v>
      </c>
      <c r="H1123" s="95"/>
      <c r="I1123" s="96"/>
      <c r="J1123" s="96"/>
      <c r="K1123" s="19"/>
      <c r="L1123" s="20"/>
    </row>
    <row r="1124" spans="1:12" ht="31.5" outlineLevel="2">
      <c r="A1124" s="129"/>
      <c r="B1124" s="12" t="str">
        <f>IFERROR(VLOOKUP(D1124,'[1]Перечень товаров'!$A$2:$I9525,2,0),"")</f>
        <v>т179</v>
      </c>
      <c r="C1124" s="12" t="str">
        <f>IFERROR(VLOOKUP(D1124,'[1]Перечень товаров'!$A$2:$I9525,3,0),"")</f>
        <v>Техника</v>
      </c>
      <c r="D1124" s="130" t="s">
        <v>449</v>
      </c>
      <c r="E1124" s="23"/>
      <c r="F1124" s="23"/>
      <c r="G1124" s="95">
        <v>2</v>
      </c>
      <c r="H1124" s="95"/>
      <c r="I1124" s="96"/>
      <c r="J1124" s="96"/>
      <c r="K1124" s="19"/>
      <c r="L1124" s="20"/>
    </row>
    <row r="1125" spans="1:12" ht="31.5" outlineLevel="2">
      <c r="A1125" s="129"/>
      <c r="B1125" s="12" t="str">
        <f>IFERROR(VLOOKUP(D1125,'[1]Перечень товаров'!$A$2:$I9525,2,0),"")</f>
        <v>т180</v>
      </c>
      <c r="C1125" s="12" t="str">
        <f>IFERROR(VLOOKUP(D1125,'[1]Перечень товаров'!$A$2:$I9525,3,0),"")</f>
        <v>Техника</v>
      </c>
      <c r="D1125" s="130" t="s">
        <v>450</v>
      </c>
      <c r="E1125" s="23"/>
      <c r="F1125" s="23"/>
      <c r="G1125" s="95">
        <v>10</v>
      </c>
      <c r="H1125" s="95"/>
      <c r="I1125" s="96"/>
      <c r="J1125" s="96"/>
      <c r="K1125" s="19"/>
      <c r="L1125" s="20"/>
    </row>
    <row r="1126" spans="1:12" ht="31.5" outlineLevel="2">
      <c r="A1126" s="129"/>
      <c r="B1126" s="12" t="str">
        <f>IFERROR(VLOOKUP(D1126,'[1]Перечень товаров'!$A$2:$I9525,2,0),"")</f>
        <v>т181</v>
      </c>
      <c r="C1126" s="12" t="str">
        <f>IFERROR(VLOOKUP(D1126,'[1]Перечень товаров'!$A$2:$I9525,3,0),"")</f>
        <v>Техника</v>
      </c>
      <c r="D1126" s="130" t="s">
        <v>451</v>
      </c>
      <c r="E1126" s="23"/>
      <c r="F1126" s="23"/>
      <c r="G1126" s="95">
        <v>6</v>
      </c>
      <c r="H1126" s="95"/>
      <c r="I1126" s="96"/>
      <c r="J1126" s="96"/>
      <c r="K1126" s="19"/>
      <c r="L1126" s="20"/>
    </row>
    <row r="1127" spans="1:12" ht="31.5" outlineLevel="2">
      <c r="A1127" s="129"/>
      <c r="B1127" s="12" t="str">
        <f>IFERROR(VLOOKUP(D1127,'[1]Перечень товаров'!$A$2:$I9525,2,0),"")</f>
        <v>т182</v>
      </c>
      <c r="C1127" s="12" t="str">
        <f>IFERROR(VLOOKUP(D1127,'[1]Перечень товаров'!$A$2:$I9525,3,0),"")</f>
        <v>Техника</v>
      </c>
      <c r="D1127" s="130" t="s">
        <v>452</v>
      </c>
      <c r="E1127" s="23"/>
      <c r="F1127" s="23"/>
      <c r="G1127" s="95">
        <v>4</v>
      </c>
      <c r="H1127" s="95"/>
      <c r="I1127" s="96"/>
      <c r="J1127" s="96"/>
      <c r="K1127" s="19"/>
      <c r="L1127" s="20"/>
    </row>
    <row r="1128" spans="1:12" outlineLevel="2">
      <c r="A1128" s="129"/>
      <c r="B1128" s="12" t="str">
        <f>IFERROR(VLOOKUP(D1128,'[1]Перечень товаров'!$A$2:$I9525,2,0),"")</f>
        <v>т183</v>
      </c>
      <c r="C1128" s="12" t="str">
        <f>IFERROR(VLOOKUP(D1128,'[1]Перечень товаров'!$A$2:$I9525,3,0),"")</f>
        <v>Техника</v>
      </c>
      <c r="D1128" s="130" t="s">
        <v>453</v>
      </c>
      <c r="E1128" s="23"/>
      <c r="F1128" s="23"/>
      <c r="G1128" s="95">
        <v>4</v>
      </c>
      <c r="H1128" s="95"/>
      <c r="I1128" s="96"/>
      <c r="J1128" s="96"/>
      <c r="K1128" s="19"/>
      <c r="L1128" s="20"/>
    </row>
    <row r="1129" spans="1:12" outlineLevel="2">
      <c r="A1129" s="129"/>
      <c r="B1129" s="12" t="str">
        <f>IFERROR(VLOOKUP(D1129,'[1]Перечень товаров'!$A$2:$I9525,2,0),"")</f>
        <v>т184</v>
      </c>
      <c r="C1129" s="12" t="str">
        <f>IFERROR(VLOOKUP(D1129,'[1]Перечень товаров'!$A$2:$I9525,3,0),"")</f>
        <v>Техника</v>
      </c>
      <c r="D1129" s="130" t="s">
        <v>454</v>
      </c>
      <c r="E1129" s="23"/>
      <c r="F1129" s="23"/>
      <c r="G1129" s="95" t="s">
        <v>288</v>
      </c>
      <c r="H1129" s="95"/>
      <c r="I1129" s="96"/>
      <c r="J1129" s="96"/>
      <c r="K1129" s="19"/>
      <c r="L1129" s="20"/>
    </row>
    <row r="1130" spans="1:12" outlineLevel="2">
      <c r="A1130" s="129"/>
      <c r="B1130" s="12" t="str">
        <f>IFERROR(VLOOKUP(D1130,'[1]Перечень товаров'!$A$2:$I9525,2,0),"")</f>
        <v>т185</v>
      </c>
      <c r="C1130" s="12" t="str">
        <f>IFERROR(VLOOKUP(D1130,'[1]Перечень товаров'!$A$2:$I9525,3,0),"")</f>
        <v>Техника</v>
      </c>
      <c r="D1130" s="130" t="s">
        <v>455</v>
      </c>
      <c r="E1130" s="23"/>
      <c r="F1130" s="23"/>
      <c r="G1130" s="95">
        <v>10</v>
      </c>
      <c r="H1130" s="95"/>
      <c r="I1130" s="96"/>
      <c r="J1130" s="96"/>
      <c r="K1130" s="19"/>
      <c r="L1130" s="20"/>
    </row>
    <row r="1131" spans="1:12" outlineLevel="2">
      <c r="A1131" s="129"/>
      <c r="B1131" s="12" t="str">
        <f>IFERROR(VLOOKUP(D1131,'[1]Перечень товаров'!$A$2:$I9525,2,0),"")</f>
        <v>т186</v>
      </c>
      <c r="C1131" s="12" t="str">
        <f>IFERROR(VLOOKUP(D1131,'[1]Перечень товаров'!$A$2:$I9525,3,0),"")</f>
        <v>Техника</v>
      </c>
      <c r="D1131" s="130" t="s">
        <v>456</v>
      </c>
      <c r="E1131" s="23"/>
      <c r="F1131" s="23"/>
      <c r="G1131" s="95">
        <v>6</v>
      </c>
      <c r="H1131" s="95"/>
      <c r="I1131" s="96"/>
      <c r="J1131" s="96"/>
      <c r="K1131" s="19"/>
      <c r="L1131" s="20"/>
    </row>
    <row r="1132" spans="1:12" outlineLevel="2">
      <c r="A1132" s="129"/>
      <c r="B1132" s="12" t="str">
        <f>IFERROR(VLOOKUP(D1132,'[1]Перечень товаров'!$A$2:$I9525,2,0),"")</f>
        <v>т187</v>
      </c>
      <c r="C1132" s="12" t="str">
        <f>IFERROR(VLOOKUP(D1132,'[1]Перечень товаров'!$A$2:$I9525,3,0),"")</f>
        <v>Техника</v>
      </c>
      <c r="D1132" s="130" t="s">
        <v>457</v>
      </c>
      <c r="E1132" s="23"/>
      <c r="F1132" s="23"/>
      <c r="G1132" s="95">
        <v>1</v>
      </c>
      <c r="H1132" s="95"/>
      <c r="I1132" s="96"/>
      <c r="J1132" s="96"/>
      <c r="K1132" s="19"/>
      <c r="L1132" s="20"/>
    </row>
    <row r="1133" spans="1:12" outlineLevel="2">
      <c r="A1133" s="129"/>
      <c r="B1133" s="12" t="str">
        <f>IFERROR(VLOOKUP(D1133,'[1]Перечень товаров'!$A$2:$I9525,2,0),"")</f>
        <v>т188</v>
      </c>
      <c r="C1133" s="12" t="str">
        <f>IFERROR(VLOOKUP(D1133,'[1]Перечень товаров'!$A$2:$I9525,3,0),"")</f>
        <v>Техника</v>
      </c>
      <c r="D1133" s="130" t="s">
        <v>458</v>
      </c>
      <c r="E1133" s="23"/>
      <c r="F1133" s="23"/>
      <c r="G1133" s="95">
        <v>1</v>
      </c>
      <c r="H1133" s="95"/>
      <c r="I1133" s="96"/>
      <c r="J1133" s="96"/>
      <c r="K1133" s="19"/>
      <c r="L1133" s="20"/>
    </row>
    <row r="1134" spans="1:12" ht="31.5" outlineLevel="2">
      <c r="A1134" s="129"/>
      <c r="B1134" s="12" t="str">
        <f>IFERROR(VLOOKUP(D1134,'[1]Перечень товаров'!$A$2:$I9525,2,0),"")</f>
        <v>т189</v>
      </c>
      <c r="C1134" s="12" t="str">
        <f>IFERROR(VLOOKUP(D1134,'[1]Перечень товаров'!$A$2:$I9525,3,0),"")</f>
        <v>Техника</v>
      </c>
      <c r="D1134" s="130" t="s">
        <v>459</v>
      </c>
      <c r="E1134" s="23"/>
      <c r="F1134" s="23"/>
      <c r="G1134" s="95">
        <v>1</v>
      </c>
      <c r="H1134" s="95"/>
      <c r="I1134" s="96"/>
      <c r="J1134" s="96"/>
      <c r="K1134" s="19"/>
      <c r="L1134" s="20"/>
    </row>
    <row r="1135" spans="1:12" outlineLevel="2">
      <c r="A1135" s="125"/>
      <c r="B1135" s="12" t="str">
        <f>IFERROR(VLOOKUP(D1135,'[1]Перечень товаров'!$A$2:$I9525,2,0),"")</f>
        <v/>
      </c>
      <c r="C1135" s="12" t="str">
        <f>IFERROR(VLOOKUP(D1135,'[1]Перечень товаров'!$A$2:$I9525,3,0),"")</f>
        <v/>
      </c>
      <c r="D1135" s="126" t="s">
        <v>460</v>
      </c>
      <c r="E1135" s="45"/>
      <c r="F1135" s="45"/>
      <c r="G1135" s="131"/>
      <c r="H1135" s="131"/>
      <c r="I1135" s="132"/>
      <c r="J1135" s="132"/>
      <c r="K1135" s="19"/>
      <c r="L1135" s="20"/>
    </row>
    <row r="1136" spans="1:12" outlineLevel="2">
      <c r="A1136" s="129"/>
      <c r="B1136" s="12" t="str">
        <f>IFERROR(VLOOKUP(D1136,'[1]Перечень товаров'!$A$2:$I9525,2,0),"")</f>
        <v>т190</v>
      </c>
      <c r="C1136" s="12" t="str">
        <f>IFERROR(VLOOKUP(D1136,'[1]Перечень товаров'!$A$2:$I9525,3,0),"")</f>
        <v>Техника</v>
      </c>
      <c r="D1136" s="130" t="s">
        <v>461</v>
      </c>
      <c r="E1136" s="23"/>
      <c r="F1136" s="23"/>
      <c r="G1136" s="95">
        <v>1</v>
      </c>
      <c r="H1136" s="95"/>
      <c r="I1136" s="96"/>
      <c r="J1136" s="96"/>
      <c r="K1136" s="19"/>
      <c r="L1136" s="20"/>
    </row>
    <row r="1137" spans="1:12" ht="31.5" outlineLevel="2">
      <c r="A1137" s="129"/>
      <c r="B1137" s="12" t="str">
        <f>IFERROR(VLOOKUP(D1137,'[1]Перечень товаров'!$A$2:$I9525,2,0),"")</f>
        <v>т191</v>
      </c>
      <c r="C1137" s="12" t="str">
        <f>IFERROR(VLOOKUP(D1137,'[1]Перечень товаров'!$A$2:$I9525,3,0),"")</f>
        <v>Техника</v>
      </c>
      <c r="D1137" s="130" t="s">
        <v>462</v>
      </c>
      <c r="E1137" s="23"/>
      <c r="F1137" s="23"/>
      <c r="G1137" s="95">
        <v>1</v>
      </c>
      <c r="H1137" s="95"/>
      <c r="I1137" s="96"/>
      <c r="J1137" s="96"/>
      <c r="K1137" s="19"/>
      <c r="L1137" s="20"/>
    </row>
    <row r="1138" spans="1:12" ht="31.5" outlineLevel="2">
      <c r="A1138" s="129"/>
      <c r="B1138" s="12" t="str">
        <f>IFERROR(VLOOKUP(D1138,'[1]Перечень товаров'!$A$2:$I9525,2,0),"")</f>
        <v>т192</v>
      </c>
      <c r="C1138" s="12" t="str">
        <f>IFERROR(VLOOKUP(D1138,'[1]Перечень товаров'!$A$2:$I9525,3,0),"")</f>
        <v>Техника</v>
      </c>
      <c r="D1138" s="130" t="s">
        <v>463</v>
      </c>
      <c r="E1138" s="23"/>
      <c r="F1138" s="23"/>
      <c r="G1138" s="95">
        <v>1</v>
      </c>
      <c r="H1138" s="95"/>
      <c r="I1138" s="96"/>
      <c r="J1138" s="96"/>
      <c r="K1138" s="19"/>
      <c r="L1138" s="20"/>
    </row>
    <row r="1139" spans="1:12" ht="31.5" outlineLevel="2">
      <c r="A1139" s="129"/>
      <c r="B1139" s="12" t="str">
        <f>IFERROR(VLOOKUP(D1139,'[1]Перечень товаров'!$A$2:$I9525,2,0),"")</f>
        <v>т193</v>
      </c>
      <c r="C1139" s="12" t="str">
        <f>IFERROR(VLOOKUP(D1139,'[1]Перечень товаров'!$A$2:$I9525,3,0),"")</f>
        <v>Техника</v>
      </c>
      <c r="D1139" s="130" t="s">
        <v>464</v>
      </c>
      <c r="E1139" s="23"/>
      <c r="F1139" s="23"/>
      <c r="G1139" s="95">
        <v>2</v>
      </c>
      <c r="H1139" s="95"/>
      <c r="I1139" s="96"/>
      <c r="J1139" s="96"/>
      <c r="K1139" s="19"/>
      <c r="L1139" s="20"/>
    </row>
    <row r="1140" spans="1:12" outlineLevel="2">
      <c r="A1140" s="129"/>
      <c r="B1140" s="12" t="str">
        <f>IFERROR(VLOOKUP(D1140,'[1]Перечень товаров'!$A$2:$I9525,2,0),"")</f>
        <v>т14</v>
      </c>
      <c r="C1140" s="12" t="str">
        <f>IFERROR(VLOOKUP(D1140,'[1]Перечень товаров'!$A$2:$I9525,3,0),"")</f>
        <v>Техника</v>
      </c>
      <c r="D1140" s="22" t="s">
        <v>61</v>
      </c>
      <c r="E1140" s="23"/>
      <c r="F1140" s="23"/>
      <c r="G1140" s="95">
        <v>1</v>
      </c>
      <c r="H1140" s="95"/>
      <c r="I1140" s="96"/>
      <c r="J1140" s="96"/>
      <c r="K1140" s="19"/>
      <c r="L1140" s="20"/>
    </row>
    <row r="1141" spans="1:12" outlineLevel="2">
      <c r="A1141" s="129"/>
      <c r="B1141" s="12" t="str">
        <f>IFERROR(VLOOKUP(D1141,'[1]Перечень товаров'!$A$2:$I9525,2,0),"")</f>
        <v>т157</v>
      </c>
      <c r="C1141" s="12" t="str">
        <f>IFERROR(VLOOKUP(D1141,'[1]Перечень товаров'!$A$2:$I9525,3,0),"")</f>
        <v>Техника</v>
      </c>
      <c r="D1141" s="130" t="s">
        <v>296</v>
      </c>
      <c r="E1141" s="23"/>
      <c r="F1141" s="23"/>
      <c r="G1141" s="95">
        <v>1</v>
      </c>
      <c r="H1141" s="95"/>
      <c r="I1141" s="96"/>
      <c r="J1141" s="96"/>
      <c r="K1141" s="19"/>
      <c r="L1141" s="20"/>
    </row>
    <row r="1142" spans="1:12" ht="31.5" outlineLevel="2">
      <c r="A1142" s="129"/>
      <c r="B1142" s="12" t="str">
        <f>IFERROR(VLOOKUP(D1142,'[1]Перечень товаров'!$A$2:$I9525,2,0),"")</f>
        <v>т159</v>
      </c>
      <c r="C1142" s="12" t="str">
        <f>IFERROR(VLOOKUP(D1142,'[1]Перечень товаров'!$A$2:$I9525,3,0),"")</f>
        <v>Техника</v>
      </c>
      <c r="D1142" s="130" t="s">
        <v>297</v>
      </c>
      <c r="E1142" s="23"/>
      <c r="F1142" s="23"/>
      <c r="G1142" s="95">
        <v>1</v>
      </c>
      <c r="H1142" s="95"/>
      <c r="I1142" s="96"/>
      <c r="J1142" s="96"/>
      <c r="K1142" s="19"/>
      <c r="L1142" s="20"/>
    </row>
    <row r="1143" spans="1:12" outlineLevel="2">
      <c r="A1143" s="125"/>
      <c r="B1143" s="12" t="str">
        <f>IFERROR(VLOOKUP(D1143,'[1]Перечень товаров'!$A$2:$I9525,2,0),"")</f>
        <v/>
      </c>
      <c r="C1143" s="12" t="str">
        <f>IFERROR(VLOOKUP(D1143,'[1]Перечень товаров'!$A$2:$I9525,3,0),"")</f>
        <v/>
      </c>
      <c r="D1143" s="126" t="s">
        <v>465</v>
      </c>
      <c r="E1143" s="45"/>
      <c r="F1143" s="45"/>
      <c r="G1143" s="131"/>
      <c r="H1143" s="131"/>
      <c r="I1143" s="132"/>
      <c r="J1143" s="132"/>
      <c r="K1143" s="19"/>
      <c r="L1143" s="20"/>
    </row>
    <row r="1144" spans="1:12" outlineLevel="2">
      <c r="A1144" s="129"/>
      <c r="B1144" s="12" t="str">
        <f>IFERROR(VLOOKUP(D1144,'[1]Перечень товаров'!$A$2:$I9525,2,0),"")</f>
        <v>м46</v>
      </c>
      <c r="C1144" s="12" t="str">
        <f>IFERROR(VLOOKUP(D1144,'[1]Перечень товаров'!$A$2:$I9525,3,0),"")</f>
        <v>Мебель</v>
      </c>
      <c r="D1144" s="130" t="s">
        <v>300</v>
      </c>
      <c r="E1144" s="23"/>
      <c r="F1144" s="23"/>
      <c r="G1144" s="95">
        <v>1</v>
      </c>
      <c r="H1144" s="95"/>
      <c r="I1144" s="96"/>
      <c r="J1144" s="96"/>
      <c r="K1144" s="19"/>
      <c r="L1144" s="20"/>
    </row>
    <row r="1145" spans="1:12" outlineLevel="2">
      <c r="A1145" s="129"/>
      <c r="B1145" s="12" t="str">
        <f>IFERROR(VLOOKUP(D1145,'[1]Перечень товаров'!$A$2:$I9525,2,0),"")</f>
        <v>м47</v>
      </c>
      <c r="C1145" s="12" t="str">
        <f>IFERROR(VLOOKUP(D1145,'[1]Перечень товаров'!$A$2:$I9525,3,0),"")</f>
        <v>Мебель</v>
      </c>
      <c r="D1145" s="130" t="s">
        <v>301</v>
      </c>
      <c r="E1145" s="23"/>
      <c r="F1145" s="23"/>
      <c r="G1145" s="95">
        <v>5</v>
      </c>
      <c r="H1145" s="95"/>
      <c r="I1145" s="96"/>
      <c r="J1145" s="96"/>
      <c r="K1145" s="19"/>
      <c r="L1145" s="20"/>
    </row>
    <row r="1146" spans="1:12" outlineLevel="2">
      <c r="A1146" s="129"/>
      <c r="B1146" s="12" t="str">
        <f>IFERROR(VLOOKUP(D1146,'[1]Перечень товаров'!$A$2:$I9525,2,0),"")</f>
        <v>м153</v>
      </c>
      <c r="C1146" s="12" t="str">
        <f>IFERROR(VLOOKUP(D1146,'[1]Перечень товаров'!$A$2:$I9525,3,0),"")</f>
        <v>Мебель</v>
      </c>
      <c r="D1146" s="130" t="s">
        <v>466</v>
      </c>
      <c r="E1146" s="23"/>
      <c r="F1146" s="23"/>
      <c r="G1146" s="95">
        <v>3</v>
      </c>
      <c r="H1146" s="95"/>
      <c r="I1146" s="96"/>
      <c r="J1146" s="96"/>
      <c r="K1146" s="19"/>
      <c r="L1146" s="20"/>
    </row>
    <row r="1147" spans="1:12" ht="31.5" outlineLevel="2">
      <c r="A1147" s="129"/>
      <c r="B1147" s="12" t="str">
        <f>IFERROR(VLOOKUP(D1147,'[1]Перечень товаров'!$A$2:$I9525,2,0),"")</f>
        <v>м154</v>
      </c>
      <c r="C1147" s="12" t="str">
        <f>IFERROR(VLOOKUP(D1147,'[1]Перечень товаров'!$A$2:$I9525,3,0),"")</f>
        <v>Мебель</v>
      </c>
      <c r="D1147" s="130" t="s">
        <v>467</v>
      </c>
      <c r="E1147" s="23"/>
      <c r="F1147" s="23"/>
      <c r="G1147" s="95">
        <v>1</v>
      </c>
      <c r="H1147" s="95"/>
      <c r="I1147" s="96"/>
      <c r="J1147" s="96"/>
      <c r="K1147" s="19"/>
      <c r="L1147" s="20"/>
    </row>
    <row r="1148" spans="1:12" ht="31.5" outlineLevel="2">
      <c r="A1148" s="129"/>
      <c r="B1148" s="12" t="str">
        <f>IFERROR(VLOOKUP(D1148,'[1]Перечень товаров'!$A$2:$I9525,2,0),"")</f>
        <v>м155</v>
      </c>
      <c r="C1148" s="12" t="str">
        <f>IFERROR(VLOOKUP(D1148,'[1]Перечень товаров'!$A$2:$I9525,3,0),"")</f>
        <v>Мебель</v>
      </c>
      <c r="D1148" s="130" t="s">
        <v>468</v>
      </c>
      <c r="E1148" s="23"/>
      <c r="F1148" s="23"/>
      <c r="G1148" s="95">
        <v>1</v>
      </c>
      <c r="H1148" s="95"/>
      <c r="I1148" s="96"/>
      <c r="J1148" s="96"/>
      <c r="K1148" s="19"/>
      <c r="L1148" s="20"/>
    </row>
    <row r="1149" spans="1:12" outlineLevel="2">
      <c r="A1149" s="129"/>
      <c r="B1149" s="12" t="str">
        <f>IFERROR(VLOOKUP(D1149,'[1]Перечень товаров'!$A$2:$I9525,2,0),"")</f>
        <v>п35</v>
      </c>
      <c r="C1149" s="12" t="str">
        <f>IFERROR(VLOOKUP(D1149,'[1]Перечень товаров'!$A$2:$I9525,3,0),"")</f>
        <v>Прочее</v>
      </c>
      <c r="D1149" s="130" t="s">
        <v>469</v>
      </c>
      <c r="E1149" s="23"/>
      <c r="F1149" s="23"/>
      <c r="G1149" s="95">
        <v>15</v>
      </c>
      <c r="H1149" s="95"/>
      <c r="I1149" s="96"/>
      <c r="J1149" s="96"/>
      <c r="K1149" s="19"/>
      <c r="L1149" s="20"/>
    </row>
    <row r="1150" spans="1:12" ht="31.5" outlineLevel="2">
      <c r="A1150" s="129"/>
      <c r="B1150" s="12" t="str">
        <f>IFERROR(VLOOKUP(D1150,'[1]Перечень товаров'!$A$2:$I9525,2,0),"")</f>
        <v>м156</v>
      </c>
      <c r="C1150" s="12" t="str">
        <f>IFERROR(VLOOKUP(D1150,'[1]Перечень товаров'!$A$2:$I9525,3,0),"")</f>
        <v>Мебель</v>
      </c>
      <c r="D1150" s="130" t="s">
        <v>470</v>
      </c>
      <c r="E1150" s="23"/>
      <c r="F1150" s="23"/>
      <c r="G1150" s="95">
        <v>1</v>
      </c>
      <c r="H1150" s="95"/>
      <c r="I1150" s="96"/>
      <c r="J1150" s="96"/>
      <c r="K1150" s="19"/>
      <c r="L1150" s="20"/>
    </row>
    <row r="1151" spans="1:12" ht="12.75" outlineLevel="1">
      <c r="A1151" s="11"/>
      <c r="B1151" s="12" t="str">
        <f>IFERROR(VLOOKUP(D1151,'[1]Перечень товаров'!$A$2:$I9525,2,0),"")</f>
        <v/>
      </c>
      <c r="C1151" s="12" t="str">
        <f>IFERROR(VLOOKUP(D1151,'[1]Перечень товаров'!$A$2:$I9525,3,0),"")</f>
        <v/>
      </c>
      <c r="D1151" s="27" t="s">
        <v>471</v>
      </c>
      <c r="E1151" s="99">
        <v>46037</v>
      </c>
      <c r="F1151" s="99"/>
      <c r="G1151" s="100"/>
      <c r="H1151" s="100"/>
      <c r="I1151" s="101"/>
      <c r="J1151" s="101"/>
      <c r="K1151" s="19"/>
      <c r="L1151" s="20"/>
    </row>
    <row r="1152" spans="1:12" ht="15" outlineLevel="2">
      <c r="A1152" s="133"/>
      <c r="B1152" s="12" t="str">
        <f>IFERROR(VLOOKUP(D1152,'[1]Перечень товаров'!$A$2:$I9525,2,0),"")</f>
        <v/>
      </c>
      <c r="C1152" s="12" t="str">
        <f>IFERROR(VLOOKUP(D1152,'[1]Перечень товаров'!$A$2:$I9525,3,0),"")</f>
        <v/>
      </c>
      <c r="D1152" s="134" t="s">
        <v>19</v>
      </c>
      <c r="E1152" s="107"/>
      <c r="F1152" s="107"/>
      <c r="G1152" s="100"/>
      <c r="H1152" s="100"/>
      <c r="I1152" s="101"/>
      <c r="J1152" s="101"/>
      <c r="K1152" s="19"/>
      <c r="L1152" s="20"/>
    </row>
    <row r="1153" spans="1:12" ht="31.5" outlineLevel="2">
      <c r="A1153" s="21"/>
      <c r="B1153" s="12" t="str">
        <f>IFERROR(VLOOKUP(D1153,'[1]Перечень товаров'!$A$2:$I9525,2,0),"")</f>
        <v>м157</v>
      </c>
      <c r="C1153" s="12" t="str">
        <f>IFERROR(VLOOKUP(D1153,'[1]Перечень товаров'!$A$2:$I9525,3,0),"")</f>
        <v>Мебель</v>
      </c>
      <c r="D1153" s="22" t="s">
        <v>472</v>
      </c>
      <c r="E1153" s="102"/>
      <c r="F1153" s="102"/>
      <c r="G1153" s="48">
        <v>1</v>
      </c>
      <c r="H1153" s="48"/>
      <c r="I1153" s="49"/>
      <c r="J1153" s="49"/>
      <c r="K1153" s="19"/>
      <c r="L1153" s="20"/>
    </row>
    <row r="1154" spans="1:12" outlineLevel="2">
      <c r="A1154" s="21"/>
      <c r="B1154" s="12" t="str">
        <f>IFERROR(VLOOKUP(D1154,'[1]Перечень товаров'!$A$2:$I9525,2,0),"")</f>
        <v>м19</v>
      </c>
      <c r="C1154" s="12" t="str">
        <f>IFERROR(VLOOKUP(D1154,'[1]Перечень товаров'!$A$2:$I9525,3,0),"")</f>
        <v>Мебель</v>
      </c>
      <c r="D1154" s="22" t="s">
        <v>53</v>
      </c>
      <c r="E1154" s="102"/>
      <c r="F1154" s="102"/>
      <c r="G1154" s="48">
        <v>2</v>
      </c>
      <c r="H1154" s="48"/>
      <c r="I1154" s="49"/>
      <c r="J1154" s="49"/>
      <c r="K1154" s="19"/>
      <c r="L1154" s="20"/>
    </row>
    <row r="1155" spans="1:12" outlineLevel="2">
      <c r="A1155" s="21"/>
      <c r="B1155" s="12" t="str">
        <f>IFERROR(VLOOKUP(D1155,'[1]Перечень товаров'!$A$2:$I9525,2,0),"")</f>
        <v>м14</v>
      </c>
      <c r="C1155" s="12" t="str">
        <f>IFERROR(VLOOKUP(D1155,'[1]Перечень товаров'!$A$2:$I9525,3,0),"")</f>
        <v>Мебель</v>
      </c>
      <c r="D1155" s="22" t="s">
        <v>43</v>
      </c>
      <c r="E1155" s="102"/>
      <c r="F1155" s="102"/>
      <c r="G1155" s="48">
        <v>1</v>
      </c>
      <c r="H1155" s="48"/>
      <c r="I1155" s="49"/>
      <c r="J1155" s="49"/>
      <c r="K1155" s="19"/>
      <c r="L1155" s="20"/>
    </row>
    <row r="1156" spans="1:12" outlineLevel="2">
      <c r="A1156" s="34"/>
      <c r="B1156" s="12" t="str">
        <f>IFERROR(VLOOKUP(D1156,'[1]Перечень товаров'!$A$2:$I9525,2,0),"")</f>
        <v>м158</v>
      </c>
      <c r="C1156" s="12" t="str">
        <f>IFERROR(VLOOKUP(D1156,'[1]Перечень товаров'!$A$2:$I9525,3,0),"")</f>
        <v>Мебель</v>
      </c>
      <c r="D1156" s="35" t="s">
        <v>473</v>
      </c>
      <c r="E1156" s="102"/>
      <c r="F1156" s="102"/>
      <c r="G1156" s="48">
        <v>1</v>
      </c>
      <c r="H1156" s="48"/>
      <c r="I1156" s="49"/>
      <c r="J1156" s="49"/>
      <c r="K1156" s="19"/>
      <c r="L1156" s="20"/>
    </row>
    <row r="1157" spans="1:12" outlineLevel="2">
      <c r="A1157" s="34"/>
      <c r="B1157" s="12" t="str">
        <f>IFERROR(VLOOKUP(D1157,'[1]Перечень товаров'!$A$2:$I9525,2,0),"")</f>
        <v>м159</v>
      </c>
      <c r="C1157" s="12" t="str">
        <f>IFERROR(VLOOKUP(D1157,'[1]Перечень товаров'!$A$2:$I9525,3,0),"")</f>
        <v>Мебель</v>
      </c>
      <c r="D1157" s="35" t="s">
        <v>474</v>
      </c>
      <c r="E1157" s="102"/>
      <c r="F1157" s="102"/>
      <c r="G1157" s="48">
        <v>1</v>
      </c>
      <c r="H1157" s="48"/>
      <c r="I1157" s="49"/>
      <c r="J1157" s="49"/>
      <c r="K1157" s="19"/>
      <c r="L1157" s="20"/>
    </row>
    <row r="1158" spans="1:12" outlineLevel="2">
      <c r="A1158" s="21"/>
      <c r="B1158" s="12" t="str">
        <f>IFERROR(VLOOKUP(D1158,'[1]Перечень товаров'!$A$2:$I9525,2,0),"")</f>
        <v>м160</v>
      </c>
      <c r="C1158" s="12" t="str">
        <f>IFERROR(VLOOKUP(D1158,'[1]Перечень товаров'!$A$2:$I9525,3,0),"")</f>
        <v>Мебель</v>
      </c>
      <c r="D1158" s="22" t="s">
        <v>475</v>
      </c>
      <c r="E1158" s="102"/>
      <c r="F1158" s="102"/>
      <c r="G1158" s="48">
        <v>1</v>
      </c>
      <c r="H1158" s="48"/>
      <c r="I1158" s="49"/>
      <c r="J1158" s="49"/>
      <c r="K1158" s="19"/>
      <c r="L1158" s="20"/>
    </row>
    <row r="1159" spans="1:12" outlineLevel="2">
      <c r="A1159" s="34"/>
      <c r="B1159" s="12" t="str">
        <f>IFERROR(VLOOKUP(D1159,'[1]Перечень товаров'!$A$2:$I9525,2,0),"")</f>
        <v>т194</v>
      </c>
      <c r="C1159" s="12" t="str">
        <f>IFERROR(VLOOKUP(D1159,'[1]Перечень товаров'!$A$2:$I9525,3,0),"")</f>
        <v>Техника</v>
      </c>
      <c r="D1159" s="35" t="s">
        <v>476</v>
      </c>
      <c r="E1159" s="102"/>
      <c r="F1159" s="102"/>
      <c r="G1159" s="48">
        <v>1</v>
      </c>
      <c r="H1159" s="48"/>
      <c r="I1159" s="49"/>
      <c r="J1159" s="49"/>
      <c r="K1159" s="19"/>
      <c r="L1159" s="20"/>
    </row>
    <row r="1160" spans="1:12" ht="31.5" outlineLevel="2">
      <c r="A1160" s="21"/>
      <c r="B1160" s="12" t="str">
        <f>IFERROR(VLOOKUP(D1160,'[1]Перечень товаров'!$A$2:$I9525,2,0),"")</f>
        <v>м161</v>
      </c>
      <c r="C1160" s="12" t="str">
        <f>IFERROR(VLOOKUP(D1160,'[1]Перечень товаров'!$A$2:$I9525,3,0),"")</f>
        <v>Мебель</v>
      </c>
      <c r="D1160" s="22" t="s">
        <v>477</v>
      </c>
      <c r="E1160" s="102"/>
      <c r="F1160" s="102"/>
      <c r="G1160" s="24">
        <v>1</v>
      </c>
      <c r="H1160" s="24"/>
      <c r="I1160" s="25"/>
      <c r="J1160" s="25"/>
      <c r="K1160" s="19"/>
      <c r="L1160" s="20"/>
    </row>
    <row r="1161" spans="1:12" outlineLevel="2">
      <c r="A1161" s="135"/>
      <c r="B1161" s="12" t="str">
        <f>IFERROR(VLOOKUP(D1161,'[1]Перечень товаров'!$A$2:$I9525,2,0),"")</f>
        <v>м162</v>
      </c>
      <c r="C1161" s="12" t="str">
        <f>IFERROR(VLOOKUP(D1161,'[1]Перечень товаров'!$A$2:$I9525,3,0),"")</f>
        <v>Мебель</v>
      </c>
      <c r="D1161" s="136" t="s">
        <v>478</v>
      </c>
      <c r="E1161" s="102"/>
      <c r="F1161" s="102"/>
      <c r="G1161" s="24">
        <v>6</v>
      </c>
      <c r="H1161" s="24"/>
      <c r="I1161" s="25"/>
      <c r="J1161" s="25"/>
      <c r="K1161" s="19"/>
      <c r="L1161" s="20"/>
    </row>
    <row r="1162" spans="1:12" ht="15" outlineLevel="2">
      <c r="A1162" s="133"/>
      <c r="B1162" s="12" t="str">
        <f>IFERROR(VLOOKUP(D1162,'[1]Перечень товаров'!$A$2:$I9525,2,0),"")</f>
        <v/>
      </c>
      <c r="C1162" s="12" t="str">
        <f>IFERROR(VLOOKUP(D1162,'[1]Перечень товаров'!$A$2:$I9525,3,0),"")</f>
        <v/>
      </c>
      <c r="D1162" s="134" t="s">
        <v>479</v>
      </c>
      <c r="E1162" s="107"/>
      <c r="F1162" s="107"/>
      <c r="G1162" s="17"/>
      <c r="H1162" s="17"/>
      <c r="I1162" s="57"/>
      <c r="J1162" s="57"/>
      <c r="K1162" s="19"/>
      <c r="L1162" s="20"/>
    </row>
    <row r="1163" spans="1:12" outlineLevel="2">
      <c r="A1163" s="34"/>
      <c r="B1163" s="12" t="str">
        <f>IFERROR(VLOOKUP(D1163,'[1]Перечень товаров'!$A$2:$I9525,2,0),"")</f>
        <v>т195</v>
      </c>
      <c r="C1163" s="12" t="str">
        <f>IFERROR(VLOOKUP(D1163,'[1]Перечень товаров'!$A$2:$I9525,3,0),"")</f>
        <v>Техника</v>
      </c>
      <c r="D1163" s="35" t="s">
        <v>480</v>
      </c>
      <c r="E1163" s="102"/>
      <c r="F1163" s="102"/>
      <c r="G1163" s="48">
        <v>2</v>
      </c>
      <c r="H1163" s="48"/>
      <c r="I1163" s="49"/>
      <c r="J1163" s="49"/>
      <c r="K1163" s="19"/>
      <c r="L1163" s="20"/>
    </row>
    <row r="1164" spans="1:12" outlineLevel="2">
      <c r="A1164" s="34"/>
      <c r="B1164" s="12" t="str">
        <f>IFERROR(VLOOKUP(D1164,'[1]Перечень товаров'!$A$2:$I9525,2,0),"")</f>
        <v>п36</v>
      </c>
      <c r="C1164" s="12" t="str">
        <f>IFERROR(VLOOKUP(D1164,'[1]Перечень товаров'!$A$2:$I9525,3,0),"")</f>
        <v>Прочее</v>
      </c>
      <c r="D1164" s="35" t="s">
        <v>481</v>
      </c>
      <c r="E1164" s="102"/>
      <c r="F1164" s="102"/>
      <c r="G1164" s="48">
        <v>2</v>
      </c>
      <c r="H1164" s="48"/>
      <c r="I1164" s="49"/>
      <c r="J1164" s="49"/>
      <c r="K1164" s="19"/>
      <c r="L1164" s="20"/>
    </row>
    <row r="1165" spans="1:12" ht="31.5" outlineLevel="2">
      <c r="A1165" s="34"/>
      <c r="B1165" s="12" t="str">
        <f>IFERROR(VLOOKUP(D1165,'[1]Перечень товаров'!$A$2:$I9525,2,0),"")</f>
        <v>п37</v>
      </c>
      <c r="C1165" s="12" t="str">
        <f>IFERROR(VLOOKUP(D1165,'[1]Перечень товаров'!$A$2:$I9525,3,0),"")</f>
        <v>Прочее</v>
      </c>
      <c r="D1165" s="35" t="s">
        <v>482</v>
      </c>
      <c r="E1165" s="102"/>
      <c r="F1165" s="102"/>
      <c r="G1165" s="48">
        <v>2</v>
      </c>
      <c r="H1165" s="48"/>
      <c r="I1165" s="49"/>
      <c r="J1165" s="49"/>
      <c r="K1165" s="19"/>
      <c r="L1165" s="20"/>
    </row>
    <row r="1166" spans="1:12" outlineLevel="2">
      <c r="A1166" s="34"/>
      <c r="B1166" s="12" t="str">
        <f>IFERROR(VLOOKUP(D1166,'[1]Перечень товаров'!$A$2:$I9525,2,0),"")</f>
        <v>п38</v>
      </c>
      <c r="C1166" s="12" t="str">
        <f>IFERROR(VLOOKUP(D1166,'[1]Перечень товаров'!$A$2:$I9525,3,0),"")</f>
        <v>Прочее</v>
      </c>
      <c r="D1166" s="35" t="s">
        <v>483</v>
      </c>
      <c r="E1166" s="102"/>
      <c r="F1166" s="102"/>
      <c r="G1166" s="48">
        <v>1</v>
      </c>
      <c r="H1166" s="48"/>
      <c r="I1166" s="49"/>
      <c r="J1166" s="49"/>
      <c r="K1166" s="19"/>
      <c r="L1166" s="20"/>
    </row>
    <row r="1167" spans="1:12" ht="31.5" outlineLevel="2">
      <c r="A1167" s="34"/>
      <c r="B1167" s="12" t="str">
        <f>IFERROR(VLOOKUP(D1167,'[1]Перечень товаров'!$A$2:$I9525,2,0),"")</f>
        <v>д4</v>
      </c>
      <c r="C1167" s="12" t="str">
        <f>IFERROR(VLOOKUP(D1167,'[1]Перечень товаров'!$A$2:$I9525,3,0),"")</f>
        <v>Дидактика</v>
      </c>
      <c r="D1167" s="35" t="s">
        <v>484</v>
      </c>
      <c r="E1167" s="102"/>
      <c r="F1167" s="102"/>
      <c r="G1167" s="48">
        <v>1</v>
      </c>
      <c r="H1167" s="48"/>
      <c r="I1167" s="49"/>
      <c r="J1167" s="49"/>
      <c r="K1167" s="19"/>
      <c r="L1167" s="20"/>
    </row>
    <row r="1168" spans="1:12" outlineLevel="2">
      <c r="A1168" s="34"/>
      <c r="B1168" s="12" t="str">
        <f>IFERROR(VLOOKUP(D1168,'[1]Перечень товаров'!$A$2:$I9525,2,0),"")</f>
        <v>д5</v>
      </c>
      <c r="C1168" s="12" t="str">
        <f>IFERROR(VLOOKUP(D1168,'[1]Перечень товаров'!$A$2:$I9525,3,0),"")</f>
        <v>Дидактика</v>
      </c>
      <c r="D1168" s="35" t="s">
        <v>485</v>
      </c>
      <c r="E1168" s="102"/>
      <c r="F1168" s="102"/>
      <c r="G1168" s="48">
        <v>1</v>
      </c>
      <c r="H1168" s="48"/>
      <c r="I1168" s="49"/>
      <c r="J1168" s="49"/>
      <c r="K1168" s="19"/>
      <c r="L1168" s="20"/>
    </row>
    <row r="1169" spans="1:12" outlineLevel="2">
      <c r="A1169" s="34"/>
      <c r="B1169" s="12" t="str">
        <f>IFERROR(VLOOKUP(D1169,'[1]Перечень товаров'!$A$2:$I9525,2,0),"")</f>
        <v>д6</v>
      </c>
      <c r="C1169" s="12" t="str">
        <f>IFERROR(VLOOKUP(D1169,'[1]Перечень товаров'!$A$2:$I9525,3,0),"")</f>
        <v>Дидактика</v>
      </c>
      <c r="D1169" s="35" t="s">
        <v>486</v>
      </c>
      <c r="E1169" s="102"/>
      <c r="F1169" s="102"/>
      <c r="G1169" s="48">
        <v>2</v>
      </c>
      <c r="H1169" s="48"/>
      <c r="I1169" s="49"/>
      <c r="J1169" s="49"/>
      <c r="K1169" s="19"/>
      <c r="L1169" s="20"/>
    </row>
    <row r="1170" spans="1:12" ht="31.5" outlineLevel="2">
      <c r="A1170" s="34"/>
      <c r="B1170" s="12" t="str">
        <f>IFERROR(VLOOKUP(D1170,'[1]Перечень товаров'!$A$2:$I9525,2,0),"")</f>
        <v>д7</v>
      </c>
      <c r="C1170" s="12" t="str">
        <f>IFERROR(VLOOKUP(D1170,'[1]Перечень товаров'!$A$2:$I9525,3,0),"")</f>
        <v>Дидактика</v>
      </c>
      <c r="D1170" s="35" t="s">
        <v>487</v>
      </c>
      <c r="E1170" s="102"/>
      <c r="F1170" s="102"/>
      <c r="G1170" s="48">
        <v>2</v>
      </c>
      <c r="H1170" s="48"/>
      <c r="I1170" s="49"/>
      <c r="J1170" s="49"/>
      <c r="K1170" s="19"/>
      <c r="L1170" s="20"/>
    </row>
    <row r="1171" spans="1:12" ht="31.5" outlineLevel="2">
      <c r="A1171" s="34"/>
      <c r="B1171" s="12" t="str">
        <f>IFERROR(VLOOKUP(D1171,'[1]Перечень товаров'!$A$2:$I9525,2,0),"")</f>
        <v>п39</v>
      </c>
      <c r="C1171" s="12" t="str">
        <f>IFERROR(VLOOKUP(D1171,'[1]Перечень товаров'!$A$2:$I9525,3,0),"")</f>
        <v>Прочее</v>
      </c>
      <c r="D1171" s="35" t="s">
        <v>488</v>
      </c>
      <c r="E1171" s="102"/>
      <c r="F1171" s="102"/>
      <c r="G1171" s="48">
        <v>1</v>
      </c>
      <c r="H1171" s="48"/>
      <c r="I1171" s="49"/>
      <c r="J1171" s="49"/>
      <c r="K1171" s="19"/>
      <c r="L1171" s="20"/>
    </row>
    <row r="1172" spans="1:12" ht="31.5" outlineLevel="2">
      <c r="A1172" s="34"/>
      <c r="B1172" s="12" t="str">
        <f>IFERROR(VLOOKUP(D1172,'[1]Перечень товаров'!$A$2:$I9525,2,0),"")</f>
        <v>п40</v>
      </c>
      <c r="C1172" s="12" t="str">
        <f>IFERROR(VLOOKUP(D1172,'[1]Перечень товаров'!$A$2:$I9525,3,0),"")</f>
        <v>Прочее</v>
      </c>
      <c r="D1172" s="35" t="s">
        <v>489</v>
      </c>
      <c r="E1172" s="102"/>
      <c r="F1172" s="102"/>
      <c r="G1172" s="48">
        <v>1</v>
      </c>
      <c r="H1172" s="48"/>
      <c r="I1172" s="49"/>
      <c r="J1172" s="49"/>
      <c r="K1172" s="19"/>
      <c r="L1172" s="20"/>
    </row>
    <row r="1173" spans="1:12" outlineLevel="2">
      <c r="A1173" s="34"/>
      <c r="B1173" s="12" t="str">
        <f>IFERROR(VLOOKUP(D1173,'[1]Перечень товаров'!$A$2:$I9525,2,0),"")</f>
        <v>д8</v>
      </c>
      <c r="C1173" s="12" t="str">
        <f>IFERROR(VLOOKUP(D1173,'[1]Перечень товаров'!$A$2:$I9525,3,0),"")</f>
        <v>Дидактика</v>
      </c>
      <c r="D1173" s="35" t="s">
        <v>490</v>
      </c>
      <c r="E1173" s="102"/>
      <c r="F1173" s="102"/>
      <c r="G1173" s="48">
        <v>2</v>
      </c>
      <c r="H1173" s="48"/>
      <c r="I1173" s="49"/>
      <c r="J1173" s="49"/>
      <c r="K1173" s="19"/>
      <c r="L1173" s="20"/>
    </row>
    <row r="1174" spans="1:12" outlineLevel="2">
      <c r="A1174" s="34"/>
      <c r="B1174" s="12" t="str">
        <f>IFERROR(VLOOKUP(D1174,'[1]Перечень товаров'!$A$2:$I9525,2,0),"")</f>
        <v>д9</v>
      </c>
      <c r="C1174" s="12" t="str">
        <f>IFERROR(VLOOKUP(D1174,'[1]Перечень товаров'!$A$2:$I9525,3,0),"")</f>
        <v>Дидактика</v>
      </c>
      <c r="D1174" s="35" t="s">
        <v>491</v>
      </c>
      <c r="E1174" s="102"/>
      <c r="F1174" s="102"/>
      <c r="G1174" s="48">
        <v>2</v>
      </c>
      <c r="H1174" s="48"/>
      <c r="I1174" s="49"/>
      <c r="J1174" s="49"/>
      <c r="K1174" s="19"/>
      <c r="L1174" s="20"/>
    </row>
    <row r="1175" spans="1:12" outlineLevel="2">
      <c r="A1175" s="34"/>
      <c r="B1175" s="12" t="str">
        <f>IFERROR(VLOOKUP(D1175,'[1]Перечень товаров'!$A$2:$I9525,2,0),"")</f>
        <v>п41</v>
      </c>
      <c r="C1175" s="12" t="str">
        <f>IFERROR(VLOOKUP(D1175,'[1]Перечень товаров'!$A$2:$I9525,3,0),"")</f>
        <v>Прочее</v>
      </c>
      <c r="D1175" s="35" t="s">
        <v>492</v>
      </c>
      <c r="E1175" s="102"/>
      <c r="F1175" s="102"/>
      <c r="G1175" s="48">
        <v>2</v>
      </c>
      <c r="H1175" s="48"/>
      <c r="I1175" s="49"/>
      <c r="J1175" s="49"/>
      <c r="K1175" s="19"/>
      <c r="L1175" s="20"/>
    </row>
    <row r="1176" spans="1:12" outlineLevel="2">
      <c r="A1176" s="34"/>
      <c r="B1176" s="12" t="str">
        <f>IFERROR(VLOOKUP(D1176,'[1]Перечень товаров'!$A$2:$I9525,2,0),"")</f>
        <v>п42</v>
      </c>
      <c r="C1176" s="12" t="str">
        <f>IFERROR(VLOOKUP(D1176,'[1]Перечень товаров'!$A$2:$I9525,3,0),"")</f>
        <v>Прочее</v>
      </c>
      <c r="D1176" s="35" t="s">
        <v>493</v>
      </c>
      <c r="E1176" s="102"/>
      <c r="F1176" s="102"/>
      <c r="G1176" s="48">
        <v>2</v>
      </c>
      <c r="H1176" s="48"/>
      <c r="I1176" s="49"/>
      <c r="J1176" s="49"/>
      <c r="K1176" s="19"/>
      <c r="L1176" s="20"/>
    </row>
    <row r="1177" spans="1:12" outlineLevel="2">
      <c r="A1177" s="34"/>
      <c r="B1177" s="12" t="str">
        <f>IFERROR(VLOOKUP(D1177,'[1]Перечень товаров'!$A$2:$I9525,2,0),"")</f>
        <v>д10</v>
      </c>
      <c r="C1177" s="12" t="str">
        <f>IFERROR(VLOOKUP(D1177,'[1]Перечень товаров'!$A$2:$I9525,3,0),"")</f>
        <v>Дидактика</v>
      </c>
      <c r="D1177" s="35" t="s">
        <v>494</v>
      </c>
      <c r="E1177" s="102"/>
      <c r="F1177" s="102"/>
      <c r="G1177" s="48">
        <v>3</v>
      </c>
      <c r="H1177" s="48"/>
      <c r="I1177" s="49"/>
      <c r="J1177" s="49"/>
      <c r="K1177" s="19"/>
      <c r="L1177" s="20"/>
    </row>
    <row r="1178" spans="1:12" ht="12.75" outlineLevel="1">
      <c r="A1178" s="11"/>
      <c r="B1178" s="12" t="str">
        <f>IFERROR(VLOOKUP(D1178,'[1]Перечень товаров'!$A$2:$I9525,2,0),"")</f>
        <v/>
      </c>
      <c r="C1178" s="12" t="str">
        <f>IFERROR(VLOOKUP(D1178,'[1]Перечень товаров'!$A$2:$I9525,3,0),"")</f>
        <v/>
      </c>
      <c r="D1178" s="27" t="s">
        <v>495</v>
      </c>
      <c r="E1178" s="99">
        <v>46160</v>
      </c>
      <c r="F1178" s="99"/>
      <c r="G1178" s="100"/>
      <c r="H1178" s="100"/>
      <c r="I1178" s="101"/>
      <c r="J1178" s="101"/>
      <c r="K1178" s="19"/>
      <c r="L1178" s="20"/>
    </row>
    <row r="1179" spans="1:12" ht="15" outlineLevel="2">
      <c r="A1179" s="109"/>
      <c r="B1179" s="12" t="str">
        <f>IFERROR(VLOOKUP(D1179,'[1]Перечень товаров'!$A$2:$I9525,2,0),"")</f>
        <v/>
      </c>
      <c r="C1179" s="12" t="str">
        <f>IFERROR(VLOOKUP(D1179,'[1]Перечень товаров'!$A$2:$I9525,3,0),"")</f>
        <v/>
      </c>
      <c r="D1179" s="110" t="s">
        <v>27</v>
      </c>
      <c r="E1179" s="79"/>
      <c r="F1179" s="79"/>
      <c r="G1179" s="100"/>
      <c r="H1179" s="100"/>
      <c r="I1179" s="101"/>
      <c r="J1179" s="101"/>
      <c r="K1179" s="19"/>
      <c r="L1179" s="20"/>
    </row>
    <row r="1180" spans="1:12" outlineLevel="2">
      <c r="A1180" s="34"/>
      <c r="B1180" s="12" t="str">
        <f>IFERROR(VLOOKUP(D1180,'[1]Перечень товаров'!$A$2:$I9525,2,0),"")</f>
        <v>т1</v>
      </c>
      <c r="C1180" s="12" t="str">
        <f>IFERROR(VLOOKUP(D1180,'[1]Перечень товаров'!$A$2:$I9525,3,0),"")</f>
        <v xml:space="preserve">Техника </v>
      </c>
      <c r="D1180" s="35" t="s">
        <v>28</v>
      </c>
      <c r="E1180" s="102"/>
      <c r="F1180" s="102"/>
      <c r="G1180" s="24">
        <v>2</v>
      </c>
      <c r="H1180" s="24"/>
      <c r="I1180" s="25"/>
      <c r="J1180" s="25"/>
      <c r="K1180" s="19"/>
      <c r="L1180" s="20"/>
    </row>
    <row r="1181" spans="1:12" outlineLevel="2">
      <c r="A1181" s="35"/>
      <c r="B1181" s="12" t="str">
        <f>IFERROR(VLOOKUP(D1181,'[1]Перечень товаров'!$A$2:$I9525,2,0),"")</f>
        <v>т2</v>
      </c>
      <c r="C1181" s="12" t="str">
        <f>IFERROR(VLOOKUP(D1181,'[1]Перечень товаров'!$A$2:$I9525,3,0),"")</f>
        <v xml:space="preserve">Техника </v>
      </c>
      <c r="D1181" s="35" t="s">
        <v>29</v>
      </c>
      <c r="E1181" s="102"/>
      <c r="F1181" s="102"/>
      <c r="G1181" s="24">
        <v>2</v>
      </c>
      <c r="H1181" s="24"/>
      <c r="I1181" s="25"/>
      <c r="J1181" s="25"/>
      <c r="K1181" s="19"/>
      <c r="L1181" s="20"/>
    </row>
    <row r="1182" spans="1:12" outlineLevel="2">
      <c r="A1182" s="35"/>
      <c r="B1182" s="12" t="str">
        <f>IFERROR(VLOOKUP(D1182,'[1]Перечень товаров'!$A$2:$I9525,2,0),"")</f>
        <v>т3</v>
      </c>
      <c r="C1182" s="12" t="str">
        <f>IFERROR(VLOOKUP(D1182,'[1]Перечень товаров'!$A$2:$I9525,3,0),"")</f>
        <v xml:space="preserve">Техника </v>
      </c>
      <c r="D1182" s="35" t="s">
        <v>30</v>
      </c>
      <c r="E1182" s="102"/>
      <c r="F1182" s="102"/>
      <c r="G1182" s="24">
        <v>2</v>
      </c>
      <c r="H1182" s="24"/>
      <c r="I1182" s="25"/>
      <c r="J1182" s="25"/>
      <c r="K1182" s="19"/>
      <c r="L1182" s="20"/>
    </row>
    <row r="1183" spans="1:12" outlineLevel="2">
      <c r="A1183" s="34"/>
      <c r="B1183" s="12" t="str">
        <f>IFERROR(VLOOKUP(D1183,'[1]Перечень товаров'!$A$2:$I9525,2,0),"")</f>
        <v>т8</v>
      </c>
      <c r="C1183" s="12" t="str">
        <f>IFERROR(VLOOKUP(D1183,'[1]Перечень товаров'!$A$2:$I9525,3,0),"")</f>
        <v xml:space="preserve">Техника </v>
      </c>
      <c r="D1183" s="35" t="s">
        <v>35</v>
      </c>
      <c r="E1183" s="102"/>
      <c r="F1183" s="102"/>
      <c r="G1183" s="24">
        <v>2</v>
      </c>
      <c r="H1183" s="24"/>
      <c r="I1183" s="25"/>
      <c r="J1183" s="25"/>
      <c r="K1183" s="19"/>
      <c r="L1183" s="20"/>
    </row>
    <row r="1184" spans="1:12" outlineLevel="2">
      <c r="A1184" s="35"/>
      <c r="B1184" s="12" t="str">
        <f>IFERROR(VLOOKUP(D1184,'[1]Перечень товаров'!$A$2:$I9525,2,0),"")</f>
        <v>т4</v>
      </c>
      <c r="C1184" s="12" t="str">
        <f>IFERROR(VLOOKUP(D1184,'[1]Перечень товаров'!$A$2:$I9525,3,0),"")</f>
        <v xml:space="preserve">Техника </v>
      </c>
      <c r="D1184" s="35" t="s">
        <v>31</v>
      </c>
      <c r="E1184" s="102"/>
      <c r="F1184" s="102"/>
      <c r="G1184" s="24">
        <v>2</v>
      </c>
      <c r="H1184" s="24"/>
      <c r="I1184" s="25"/>
      <c r="J1184" s="25"/>
      <c r="K1184" s="19"/>
      <c r="L1184" s="20"/>
    </row>
    <row r="1185" spans="1:12" outlineLevel="2">
      <c r="A1185" s="34"/>
      <c r="B1185" s="12" t="str">
        <f>IFERROR(VLOOKUP(D1185,'[1]Перечень товаров'!$A$2:$I9525,2,0),"")</f>
        <v>т5</v>
      </c>
      <c r="C1185" s="12" t="str">
        <f>IFERROR(VLOOKUP(D1185,'[1]Перечень товаров'!$A$2:$I9525,3,0),"")</f>
        <v xml:space="preserve">Техника </v>
      </c>
      <c r="D1185" s="35" t="s">
        <v>32</v>
      </c>
      <c r="E1185" s="102"/>
      <c r="F1185" s="102"/>
      <c r="G1185" s="24">
        <v>1</v>
      </c>
      <c r="H1185" s="24"/>
      <c r="I1185" s="25"/>
      <c r="J1185" s="25"/>
      <c r="K1185" s="19"/>
      <c r="L1185" s="20"/>
    </row>
    <row r="1186" spans="1:12" ht="31.5" outlineLevel="2">
      <c r="A1186" s="34"/>
      <c r="B1186" s="12" t="str">
        <f>IFERROR(VLOOKUP(D1186,'[1]Перечень товаров'!$A$2:$I9525,2,0),"")</f>
        <v>т196</v>
      </c>
      <c r="C1186" s="12" t="str">
        <f>IFERROR(VLOOKUP(D1186,'[1]Перечень товаров'!$A$2:$I9525,3,0),"")</f>
        <v>Техника</v>
      </c>
      <c r="D1186" s="35" t="s">
        <v>496</v>
      </c>
      <c r="E1186" s="102"/>
      <c r="F1186" s="102"/>
      <c r="G1186" s="24">
        <v>1</v>
      </c>
      <c r="H1186" s="24"/>
      <c r="I1186" s="25"/>
      <c r="J1186" s="25"/>
      <c r="K1186" s="19"/>
      <c r="L1186" s="20"/>
    </row>
    <row r="1187" spans="1:12" outlineLevel="2">
      <c r="A1187" s="35"/>
      <c r="B1187" s="12" t="str">
        <f>IFERROR(VLOOKUP(D1187,'[1]Перечень товаров'!$A$2:$I9525,2,0),"")</f>
        <v>т6</v>
      </c>
      <c r="C1187" s="12" t="str">
        <f>IFERROR(VLOOKUP(D1187,'[1]Перечень товаров'!$A$2:$I9525,3,0),"")</f>
        <v xml:space="preserve">Техника </v>
      </c>
      <c r="D1187" s="35" t="s">
        <v>33</v>
      </c>
      <c r="E1187" s="102"/>
      <c r="F1187" s="102"/>
      <c r="G1187" s="24">
        <v>2</v>
      </c>
      <c r="H1187" s="24"/>
      <c r="I1187" s="25"/>
      <c r="J1187" s="25"/>
      <c r="K1187" s="19"/>
      <c r="L1187" s="20"/>
    </row>
    <row r="1188" spans="1:12" outlineLevel="2">
      <c r="A1188" s="34"/>
      <c r="B1188" s="12" t="str">
        <f>IFERROR(VLOOKUP(D1188,'[1]Перечень товаров'!$A$2:$I9525,2,0),"")</f>
        <v>т7</v>
      </c>
      <c r="C1188" s="12" t="str">
        <f>IFERROR(VLOOKUP(D1188,'[1]Перечень товаров'!$A$2:$I9525,3,0),"")</f>
        <v xml:space="preserve">Техника </v>
      </c>
      <c r="D1188" s="35" t="s">
        <v>34</v>
      </c>
      <c r="E1188" s="102"/>
      <c r="F1188" s="102"/>
      <c r="G1188" s="24">
        <v>2</v>
      </c>
      <c r="H1188" s="24"/>
      <c r="I1188" s="25"/>
      <c r="J1188" s="25"/>
      <c r="K1188" s="19"/>
      <c r="L1188" s="20"/>
    </row>
    <row r="1189" spans="1:12" ht="15" outlineLevel="2">
      <c r="A1189" s="133"/>
      <c r="B1189" s="12" t="str">
        <f>IFERROR(VLOOKUP(D1189,'[1]Перечень товаров'!$A$2:$I9525,2,0),"")</f>
        <v/>
      </c>
      <c r="C1189" s="12" t="str">
        <f>IFERROR(VLOOKUP(D1189,'[1]Перечень товаров'!$A$2:$I9525,3,0),"")</f>
        <v/>
      </c>
      <c r="D1189" s="134" t="s">
        <v>19</v>
      </c>
      <c r="E1189" s="107"/>
      <c r="F1189" s="107"/>
      <c r="G1189" s="100"/>
      <c r="H1189" s="100"/>
      <c r="I1189" s="101"/>
      <c r="J1189" s="101"/>
      <c r="K1189" s="19"/>
      <c r="L1189" s="20"/>
    </row>
    <row r="1190" spans="1:12" ht="31.5" outlineLevel="2">
      <c r="A1190" s="34"/>
      <c r="B1190" s="12" t="str">
        <f>IFERROR(VLOOKUP(D1190,'[1]Перечень товаров'!$A$2:$I9525,2,0),"")</f>
        <v>м157</v>
      </c>
      <c r="C1190" s="12" t="str">
        <f>IFERROR(VLOOKUP(D1190,'[1]Перечень товаров'!$A$2:$I9525,3,0),"")</f>
        <v>Мебель</v>
      </c>
      <c r="D1190" s="35" t="s">
        <v>472</v>
      </c>
      <c r="E1190" s="102"/>
      <c r="F1190" s="102"/>
      <c r="G1190" s="24">
        <v>2</v>
      </c>
      <c r="H1190" s="24"/>
      <c r="I1190" s="25"/>
      <c r="J1190" s="25"/>
      <c r="K1190" s="19"/>
      <c r="L1190" s="20"/>
    </row>
    <row r="1191" spans="1:12" outlineLevel="2">
      <c r="A1191" s="34"/>
      <c r="B1191" s="12" t="str">
        <f>IFERROR(VLOOKUP(D1191,'[1]Перечень товаров'!$A$2:$I9525,2,0),"")</f>
        <v>м19</v>
      </c>
      <c r="C1191" s="12" t="str">
        <f>IFERROR(VLOOKUP(D1191,'[1]Перечень товаров'!$A$2:$I9525,3,0),"")</f>
        <v>Мебель</v>
      </c>
      <c r="D1191" s="35" t="s">
        <v>53</v>
      </c>
      <c r="E1191" s="102"/>
      <c r="F1191" s="102"/>
      <c r="G1191" s="24">
        <v>2</v>
      </c>
      <c r="H1191" s="24"/>
      <c r="I1191" s="25"/>
      <c r="J1191" s="25"/>
      <c r="K1191" s="19"/>
      <c r="L1191" s="20"/>
    </row>
    <row r="1192" spans="1:12" outlineLevel="2">
      <c r="A1192" s="34"/>
      <c r="B1192" s="12" t="str">
        <f>IFERROR(VLOOKUP(D1192,'[1]Перечень товаров'!$A$2:$I9525,2,0),"")</f>
        <v>м14</v>
      </c>
      <c r="C1192" s="12" t="str">
        <f>IFERROR(VLOOKUP(D1192,'[1]Перечень товаров'!$A$2:$I9525,3,0),"")</f>
        <v>Мебель</v>
      </c>
      <c r="D1192" s="35" t="s">
        <v>43</v>
      </c>
      <c r="E1192" s="102"/>
      <c r="F1192" s="102"/>
      <c r="G1192" s="24">
        <v>2</v>
      </c>
      <c r="H1192" s="24"/>
      <c r="I1192" s="25"/>
      <c r="J1192" s="25"/>
      <c r="K1192" s="19"/>
      <c r="L1192" s="20"/>
    </row>
    <row r="1193" spans="1:12" outlineLevel="2">
      <c r="A1193" s="34"/>
      <c r="B1193" s="12" t="str">
        <f>IFERROR(VLOOKUP(D1193,'[1]Перечень товаров'!$A$2:$I9525,2,0),"")</f>
        <v>м13</v>
      </c>
      <c r="C1193" s="12" t="str">
        <f>IFERROR(VLOOKUP(D1193,'[1]Перечень товаров'!$A$2:$I9525,3,0),"")</f>
        <v>Мебель</v>
      </c>
      <c r="D1193" s="35" t="s">
        <v>42</v>
      </c>
      <c r="E1193" s="102"/>
      <c r="F1193" s="102"/>
      <c r="G1193" s="24">
        <v>2</v>
      </c>
      <c r="H1193" s="24"/>
      <c r="I1193" s="25"/>
      <c r="J1193" s="25"/>
      <c r="K1193" s="19"/>
      <c r="L1193" s="20"/>
    </row>
    <row r="1194" spans="1:12" ht="15" outlineLevel="2">
      <c r="A1194" s="133"/>
      <c r="B1194" s="12" t="str">
        <f>IFERROR(VLOOKUP(D1194,'[1]Перечень товаров'!$A$2:$I9525,2,0),"")</f>
        <v/>
      </c>
      <c r="C1194" s="12" t="str">
        <f>IFERROR(VLOOKUP(D1194,'[1]Перечень товаров'!$A$2:$I9525,3,0),"")</f>
        <v/>
      </c>
      <c r="D1194" s="134" t="s">
        <v>479</v>
      </c>
      <c r="E1194" s="107"/>
      <c r="F1194" s="107"/>
      <c r="G1194" s="100"/>
      <c r="H1194" s="100"/>
      <c r="I1194" s="101"/>
      <c r="J1194" s="101"/>
      <c r="K1194" s="19"/>
      <c r="L1194" s="20"/>
    </row>
    <row r="1195" spans="1:12" outlineLevel="2">
      <c r="A1195" s="34"/>
      <c r="B1195" s="12" t="str">
        <f>IFERROR(VLOOKUP(D1195,'[1]Перечень товаров'!$A$2:$I9525,2,0),"")</f>
        <v>м160</v>
      </c>
      <c r="C1195" s="12" t="str">
        <f>IFERROR(VLOOKUP(D1195,'[1]Перечень товаров'!$A$2:$I9525,3,0),"")</f>
        <v>Мебель</v>
      </c>
      <c r="D1195" s="35" t="s">
        <v>475</v>
      </c>
      <c r="E1195" s="102"/>
      <c r="F1195" s="102"/>
      <c r="G1195" s="24">
        <v>1</v>
      </c>
      <c r="H1195" s="24"/>
      <c r="I1195" s="25"/>
      <c r="J1195" s="25"/>
      <c r="K1195" s="19"/>
      <c r="L1195" s="20"/>
    </row>
    <row r="1196" spans="1:12" ht="31.5" outlineLevel="2">
      <c r="A1196" s="34"/>
      <c r="B1196" s="12" t="str">
        <f>IFERROR(VLOOKUP(D1196,'[1]Перечень товаров'!$A$2:$I9525,2,0),"")</f>
        <v>п37</v>
      </c>
      <c r="C1196" s="12" t="str">
        <f>IFERROR(VLOOKUP(D1196,'[1]Перечень товаров'!$A$2:$I9525,3,0),"")</f>
        <v>Прочее</v>
      </c>
      <c r="D1196" s="35" t="s">
        <v>482</v>
      </c>
      <c r="E1196" s="102"/>
      <c r="F1196" s="102"/>
      <c r="G1196" s="24">
        <v>1</v>
      </c>
      <c r="H1196" s="24"/>
      <c r="I1196" s="25"/>
      <c r="J1196" s="25"/>
      <c r="K1196" s="19"/>
      <c r="L1196" s="20"/>
    </row>
    <row r="1197" spans="1:12" outlineLevel="2">
      <c r="A1197" s="34"/>
      <c r="B1197" s="12" t="str">
        <f>IFERROR(VLOOKUP(D1197,'[1]Перечень товаров'!$A$2:$I9525,2,0),"")</f>
        <v>п38</v>
      </c>
      <c r="C1197" s="12" t="str">
        <f>IFERROR(VLOOKUP(D1197,'[1]Перечень товаров'!$A$2:$I9525,3,0),"")</f>
        <v>Прочее</v>
      </c>
      <c r="D1197" s="35" t="s">
        <v>483</v>
      </c>
      <c r="E1197" s="102"/>
      <c r="F1197" s="102"/>
      <c r="G1197" s="24">
        <v>1</v>
      </c>
      <c r="H1197" s="24"/>
      <c r="I1197" s="25"/>
      <c r="J1197" s="25"/>
      <c r="K1197" s="19"/>
      <c r="L1197" s="20"/>
    </row>
    <row r="1198" spans="1:12" ht="31.5" outlineLevel="2">
      <c r="A1198" s="34"/>
      <c r="B1198" s="12" t="str">
        <f>IFERROR(VLOOKUP(D1198,'[1]Перечень товаров'!$A$2:$I9525,2,0),"")</f>
        <v>д4</v>
      </c>
      <c r="C1198" s="12" t="str">
        <f>IFERROR(VLOOKUP(D1198,'[1]Перечень товаров'!$A$2:$I9525,3,0),"")</f>
        <v>Дидактика</v>
      </c>
      <c r="D1198" s="35" t="s">
        <v>484</v>
      </c>
      <c r="E1198" s="102"/>
      <c r="F1198" s="102"/>
      <c r="G1198" s="24">
        <v>1</v>
      </c>
      <c r="H1198" s="24"/>
      <c r="I1198" s="25"/>
      <c r="J1198" s="25"/>
      <c r="K1198" s="19"/>
      <c r="L1198" s="20"/>
    </row>
    <row r="1199" spans="1:12" outlineLevel="2">
      <c r="A1199" s="34"/>
      <c r="B1199" s="12" t="str">
        <f>IFERROR(VLOOKUP(D1199,'[1]Перечень товаров'!$A$2:$I9525,2,0),"")</f>
        <v>п43</v>
      </c>
      <c r="C1199" s="12" t="str">
        <f>IFERROR(VLOOKUP(D1199,'[1]Перечень товаров'!$A$2:$I9525,3,0),"")</f>
        <v>Прочее</v>
      </c>
      <c r="D1199" s="35" t="s">
        <v>497</v>
      </c>
      <c r="E1199" s="102"/>
      <c r="F1199" s="102"/>
      <c r="G1199" s="24">
        <v>1</v>
      </c>
      <c r="H1199" s="24"/>
      <c r="I1199" s="25"/>
      <c r="J1199" s="25"/>
      <c r="K1199" s="19"/>
      <c r="L1199" s="20"/>
    </row>
    <row r="1200" spans="1:12" outlineLevel="2">
      <c r="A1200" s="34"/>
      <c r="B1200" s="12" t="str">
        <f>IFERROR(VLOOKUP(D1200,'[1]Перечень товаров'!$A$2:$I9525,2,0),"")</f>
        <v>п44</v>
      </c>
      <c r="C1200" s="12" t="str">
        <f>IFERROR(VLOOKUP(D1200,'[1]Перечень товаров'!$A$2:$I9525,3,0),"")</f>
        <v>Прочее</v>
      </c>
      <c r="D1200" s="35" t="s">
        <v>498</v>
      </c>
      <c r="E1200" s="102"/>
      <c r="F1200" s="102"/>
      <c r="G1200" s="24">
        <v>1</v>
      </c>
      <c r="H1200" s="24"/>
      <c r="I1200" s="25"/>
      <c r="J1200" s="25"/>
      <c r="K1200" s="19"/>
      <c r="L1200" s="20"/>
    </row>
    <row r="1201" spans="1:12" outlineLevel="2">
      <c r="A1201" s="34"/>
      <c r="B1201" s="12" t="str">
        <f>IFERROR(VLOOKUP(D1201,'[1]Перечень товаров'!$A$2:$I9525,2,0),"")</f>
        <v>п45</v>
      </c>
      <c r="C1201" s="12" t="str">
        <f>IFERROR(VLOOKUP(D1201,'[1]Перечень товаров'!$A$2:$I9525,3,0),"")</f>
        <v>Прочее</v>
      </c>
      <c r="D1201" s="35" t="s">
        <v>499</v>
      </c>
      <c r="E1201" s="102"/>
      <c r="F1201" s="102"/>
      <c r="G1201" s="24">
        <v>5</v>
      </c>
      <c r="H1201" s="24"/>
      <c r="I1201" s="25"/>
      <c r="J1201" s="25"/>
      <c r="K1201" s="19"/>
      <c r="L1201" s="20"/>
    </row>
    <row r="1202" spans="1:12" outlineLevel="1">
      <c r="A1202" s="21"/>
      <c r="B1202" s="12" t="str">
        <f>IFERROR(VLOOKUP(D1202,'[1]Перечень товаров'!$A$2:$I9525,2,0),"")</f>
        <v/>
      </c>
      <c r="C1202" s="12" t="str">
        <f>IFERROR(VLOOKUP(D1202,'[1]Перечень товаров'!$A$2:$I9525,3,0),"")</f>
        <v/>
      </c>
      <c r="D1202" s="22" t="s">
        <v>345</v>
      </c>
      <c r="E1202" s="102">
        <v>46174</v>
      </c>
      <c r="F1202" s="102"/>
      <c r="G1202" s="103"/>
      <c r="H1202" s="103"/>
      <c r="I1202" s="104"/>
      <c r="J1202" s="104"/>
      <c r="K1202" s="19"/>
      <c r="L1202" s="20"/>
    </row>
    <row r="1203" spans="1:12" ht="12.75" outlineLevel="1">
      <c r="A1203" s="11"/>
      <c r="B1203" s="12" t="str">
        <f>IFERROR(VLOOKUP(D1203,'[1]Перечень товаров'!$A$2:$I9525,2,0),"")</f>
        <v/>
      </c>
      <c r="C1203" s="12" t="str">
        <f>IFERROR(VLOOKUP(D1203,'[1]Перечень товаров'!$A$2:$I9525,3,0),"")</f>
        <v/>
      </c>
      <c r="D1203" s="27" t="s">
        <v>500</v>
      </c>
      <c r="E1203" s="99">
        <v>46183</v>
      </c>
      <c r="F1203" s="99"/>
      <c r="G1203" s="100"/>
      <c r="H1203" s="100"/>
      <c r="I1203" s="101"/>
      <c r="J1203" s="101"/>
      <c r="K1203" s="19"/>
      <c r="L1203" s="20"/>
    </row>
    <row r="1204" spans="1:12" outlineLevel="2">
      <c r="A1204" s="21"/>
      <c r="B1204" s="12" t="str">
        <f>IFERROR(VLOOKUP(D1204,'[1]Перечень товаров'!$A$2:$I9525,2,0),"")</f>
        <v>м163</v>
      </c>
      <c r="C1204" s="12" t="str">
        <f>IFERROR(VLOOKUP(D1204,'[1]Перечень товаров'!$A$2:$I9525,3,0),"")</f>
        <v>Мебель</v>
      </c>
      <c r="D1204" s="22" t="s">
        <v>501</v>
      </c>
      <c r="E1204" s="102"/>
      <c r="F1204" s="102"/>
      <c r="G1204" s="24">
        <v>2</v>
      </c>
      <c r="H1204" s="24"/>
      <c r="I1204" s="25"/>
      <c r="J1204" s="25"/>
      <c r="K1204" s="19"/>
      <c r="L1204" s="20"/>
    </row>
    <row r="1205" spans="1:12" outlineLevel="2">
      <c r="A1205" s="21"/>
      <c r="B1205" s="12" t="str">
        <f>IFERROR(VLOOKUP(D1205,'[1]Перечень товаров'!$A$2:$I9525,2,0),"")</f>
        <v>м164</v>
      </c>
      <c r="C1205" s="12" t="str">
        <f>IFERROR(VLOOKUP(D1205,'[1]Перечень товаров'!$A$2:$I9525,3,0),"")</f>
        <v>Мебель</v>
      </c>
      <c r="D1205" s="22" t="s">
        <v>502</v>
      </c>
      <c r="E1205" s="102"/>
      <c r="F1205" s="102"/>
      <c r="G1205" s="24">
        <v>2</v>
      </c>
      <c r="H1205" s="24"/>
      <c r="I1205" s="25"/>
      <c r="J1205" s="25"/>
      <c r="K1205" s="19"/>
      <c r="L1205" s="20"/>
    </row>
    <row r="1206" spans="1:12" outlineLevel="2">
      <c r="A1206" s="21"/>
      <c r="B1206" s="12" t="str">
        <f>IFERROR(VLOOKUP(D1206,'[1]Перечень товаров'!$A$2:$I9525,2,0),"")</f>
        <v>м165</v>
      </c>
      <c r="C1206" s="12" t="str">
        <f>IFERROR(VLOOKUP(D1206,'[1]Перечень товаров'!$A$2:$I9525,3,0),"")</f>
        <v>Мебель</v>
      </c>
      <c r="D1206" s="22" t="s">
        <v>503</v>
      </c>
      <c r="E1206" s="102"/>
      <c r="F1206" s="102"/>
      <c r="G1206" s="24">
        <v>2</v>
      </c>
      <c r="H1206" s="24"/>
      <c r="I1206" s="25"/>
      <c r="J1206" s="25"/>
      <c r="K1206" s="19"/>
      <c r="L1206" s="20"/>
    </row>
    <row r="1207" spans="1:12" outlineLevel="2">
      <c r="A1207" s="21"/>
      <c r="B1207" s="12" t="str">
        <f>IFERROR(VLOOKUP(D1207,'[1]Перечень товаров'!$A$2:$I9525,2,0),"")</f>
        <v>м8</v>
      </c>
      <c r="C1207" s="12" t="str">
        <f>IFERROR(VLOOKUP(D1207,'[1]Перечень товаров'!$A$2:$I9525,3,0),"")</f>
        <v>Мебель</v>
      </c>
      <c r="D1207" s="22" t="s">
        <v>504</v>
      </c>
      <c r="E1207" s="102"/>
      <c r="F1207" s="102"/>
      <c r="G1207" s="24">
        <v>1</v>
      </c>
      <c r="H1207" s="24"/>
      <c r="I1207" s="25"/>
      <c r="J1207" s="25"/>
      <c r="K1207" s="19"/>
      <c r="L1207" s="20"/>
    </row>
    <row r="1208" spans="1:12" outlineLevel="2">
      <c r="A1208" s="21"/>
      <c r="B1208" s="12" t="str">
        <f>IFERROR(VLOOKUP(D1208,'[1]Перечень товаров'!$A$2:$I9525,2,0),"")</f>
        <v/>
      </c>
      <c r="C1208" s="12" t="str">
        <f>IFERROR(VLOOKUP(D1208,'[1]Перечень товаров'!$A$2:$I9525,3,0),"")</f>
        <v/>
      </c>
      <c r="D1208" s="22" t="s">
        <v>505</v>
      </c>
      <c r="E1208" s="102"/>
      <c r="F1208" s="102"/>
      <c r="G1208" s="24">
        <v>2</v>
      </c>
      <c r="H1208" s="24"/>
      <c r="I1208" s="25"/>
      <c r="J1208" s="25"/>
      <c r="K1208" s="19"/>
      <c r="L1208" s="20"/>
    </row>
    <row r="1209" spans="1:12" ht="31.5" outlineLevel="2">
      <c r="A1209" s="34"/>
      <c r="B1209" s="12" t="str">
        <f>IFERROR(VLOOKUP(D1209,'[1]Перечень товаров'!$A$2:$I9525,2,0),"")</f>
        <v>т196</v>
      </c>
      <c r="C1209" s="12" t="str">
        <f>IFERROR(VLOOKUP(D1209,'[1]Перечень товаров'!$A$2:$I9525,3,0),"")</f>
        <v>Техника</v>
      </c>
      <c r="D1209" s="35" t="s">
        <v>496</v>
      </c>
      <c r="E1209" s="102"/>
      <c r="F1209" s="102"/>
      <c r="G1209" s="24">
        <v>1</v>
      </c>
      <c r="H1209" s="24"/>
      <c r="I1209" s="25"/>
      <c r="J1209" s="25"/>
      <c r="K1209" s="19"/>
      <c r="L1209" s="20"/>
    </row>
    <row r="1210" spans="1:12" ht="12.75" outlineLevel="1">
      <c r="A1210" s="11"/>
      <c r="B1210" s="12" t="str">
        <f>IFERROR(VLOOKUP(D1210,'[1]Перечень товаров'!$A$2:$I9525,2,0),"")</f>
        <v/>
      </c>
      <c r="C1210" s="12" t="str">
        <f>IFERROR(VLOOKUP(D1210,'[1]Перечень товаров'!$A$2:$I9525,3,0),"")</f>
        <v/>
      </c>
      <c r="D1210" s="27" t="s">
        <v>506</v>
      </c>
      <c r="E1210" s="99">
        <v>46175</v>
      </c>
      <c r="F1210" s="99"/>
      <c r="G1210" s="100"/>
      <c r="H1210" s="100"/>
      <c r="I1210" s="101"/>
      <c r="J1210" s="101"/>
      <c r="K1210" s="19"/>
      <c r="L1210" s="20"/>
    </row>
    <row r="1211" spans="1:12" outlineLevel="2">
      <c r="A1211" s="22"/>
      <c r="B1211" s="12" t="str">
        <f>IFERROR(VLOOKUP(D1211,'[1]Перечень товаров'!$A$2:$I9525,2,0),"")</f>
        <v>п25</v>
      </c>
      <c r="C1211" s="12" t="str">
        <f>IFERROR(VLOOKUP(D1211,'[1]Перечень товаров'!$A$2:$I9525,3,0),"")</f>
        <v>Прочее</v>
      </c>
      <c r="D1211" s="22" t="s">
        <v>360</v>
      </c>
      <c r="E1211" s="102"/>
      <c r="F1211" s="102"/>
      <c r="G1211" s="48">
        <v>3</v>
      </c>
      <c r="H1211" s="48"/>
      <c r="I1211" s="49"/>
      <c r="J1211" s="49"/>
      <c r="K1211" s="33"/>
      <c r="L1211" s="20"/>
    </row>
    <row r="1212" spans="1:12" outlineLevel="2">
      <c r="A1212" s="21"/>
      <c r="B1212" s="12" t="str">
        <f>IFERROR(VLOOKUP(D1212,'[1]Перечень товаров'!$A$2:$I9525,2,0),"")</f>
        <v>п26</v>
      </c>
      <c r="C1212" s="12" t="str">
        <f>IFERROR(VLOOKUP(D1212,'[1]Перечень товаров'!$A$2:$I9525,3,0),"")</f>
        <v>Прочее</v>
      </c>
      <c r="D1212" s="22" t="s">
        <v>361</v>
      </c>
      <c r="E1212" s="102"/>
      <c r="F1212" s="102"/>
      <c r="G1212" s="48">
        <v>2</v>
      </c>
      <c r="H1212" s="48"/>
      <c r="I1212" s="49"/>
      <c r="J1212" s="49"/>
      <c r="K1212" s="33"/>
      <c r="L1212" s="20"/>
    </row>
    <row r="1213" spans="1:12" outlineLevel="2">
      <c r="A1213" s="21"/>
      <c r="B1213" s="12" t="str">
        <f>IFERROR(VLOOKUP(D1213,'[1]Перечень товаров'!$A$2:$I9525,2,0),"")</f>
        <v>п27</v>
      </c>
      <c r="C1213" s="12" t="str">
        <f>IFERROR(VLOOKUP(D1213,'[1]Перечень товаров'!$A$2:$I9525,3,0),"")</f>
        <v>Прочее</v>
      </c>
      <c r="D1213" s="22" t="s">
        <v>362</v>
      </c>
      <c r="E1213" s="102"/>
      <c r="F1213" s="102"/>
      <c r="G1213" s="48">
        <v>2</v>
      </c>
      <c r="H1213" s="48"/>
      <c r="I1213" s="49"/>
      <c r="J1213" s="49"/>
      <c r="K1213" s="33"/>
      <c r="L1213" s="20"/>
    </row>
    <row r="1214" spans="1:12" outlineLevel="2">
      <c r="A1214" s="21"/>
      <c r="B1214" s="12" t="str">
        <f>IFERROR(VLOOKUP(D1214,'[1]Перечень товаров'!$A$2:$I9525,2,0),"")</f>
        <v>п28</v>
      </c>
      <c r="C1214" s="12" t="str">
        <f>IFERROR(VLOOKUP(D1214,'[1]Перечень товаров'!$A$2:$I9525,3,0),"")</f>
        <v>Прочее</v>
      </c>
      <c r="D1214" s="22" t="s">
        <v>363</v>
      </c>
      <c r="E1214" s="102"/>
      <c r="F1214" s="102"/>
      <c r="G1214" s="48">
        <v>1</v>
      </c>
      <c r="H1214" s="48"/>
      <c r="I1214" s="49"/>
      <c r="J1214" s="49"/>
      <c r="K1214" s="33"/>
      <c r="L1214" s="20"/>
    </row>
    <row r="1215" spans="1:12" outlineLevel="2">
      <c r="A1215" s="21"/>
      <c r="B1215" s="12" t="str">
        <f>IFERROR(VLOOKUP(D1215,'[1]Перечень товаров'!$A$2:$I9525,2,0),"")</f>
        <v>п29</v>
      </c>
      <c r="C1215" s="12" t="str">
        <f>IFERROR(VLOOKUP(D1215,'[1]Перечень товаров'!$A$2:$I9525,3,0),"")</f>
        <v>Прочее</v>
      </c>
      <c r="D1215" s="22" t="s">
        <v>364</v>
      </c>
      <c r="E1215" s="102"/>
      <c r="F1215" s="102"/>
      <c r="G1215" s="48">
        <v>6</v>
      </c>
      <c r="H1215" s="48"/>
      <c r="I1215" s="49"/>
      <c r="J1215" s="49"/>
      <c r="K1215" s="33"/>
      <c r="L1215" s="20"/>
    </row>
    <row r="1216" spans="1:12" outlineLevel="2">
      <c r="A1216" s="21"/>
      <c r="B1216" s="12" t="str">
        <f>IFERROR(VLOOKUP(D1216,'[1]Перечень товаров'!$A$2:$I9525,2,0),"")</f>
        <v>п30</v>
      </c>
      <c r="C1216" s="12" t="str">
        <f>IFERROR(VLOOKUP(D1216,'[1]Перечень товаров'!$A$2:$I9525,3,0),"")</f>
        <v>Прочее</v>
      </c>
      <c r="D1216" s="22" t="s">
        <v>365</v>
      </c>
      <c r="E1216" s="102"/>
      <c r="F1216" s="102"/>
      <c r="G1216" s="48">
        <v>2</v>
      </c>
      <c r="H1216" s="48"/>
      <c r="I1216" s="49"/>
      <c r="J1216" s="49"/>
      <c r="K1216" s="33"/>
      <c r="L1216" s="20"/>
    </row>
    <row r="1217" spans="1:12" ht="31.5" outlineLevel="2">
      <c r="A1217" s="21"/>
      <c r="B1217" s="12" t="str">
        <f>IFERROR(VLOOKUP(D1217,'[1]Перечень товаров'!$A$2:$I9525,2,0),"")</f>
        <v>п31</v>
      </c>
      <c r="C1217" s="12" t="str">
        <f>IFERROR(VLOOKUP(D1217,'[1]Перечень товаров'!$A$2:$I9525,3,0),"")</f>
        <v>Прочее</v>
      </c>
      <c r="D1217" s="22" t="s">
        <v>366</v>
      </c>
      <c r="E1217" s="102"/>
      <c r="F1217" s="102"/>
      <c r="G1217" s="48">
        <v>1</v>
      </c>
      <c r="H1217" s="48"/>
      <c r="I1217" s="49"/>
      <c r="J1217" s="49"/>
      <c r="K1217" s="33"/>
      <c r="L1217" s="20"/>
    </row>
    <row r="1218" spans="1:12" ht="31.5" outlineLevel="2">
      <c r="A1218" s="21"/>
      <c r="B1218" s="12" t="str">
        <f>IFERROR(VLOOKUP(D1218,'[1]Перечень товаров'!$A$2:$I9525,2,0),"")</f>
        <v>п32</v>
      </c>
      <c r="C1218" s="12" t="str">
        <f>IFERROR(VLOOKUP(D1218,'[1]Перечень товаров'!$A$2:$I9525,3,0),"")</f>
        <v>Прочее</v>
      </c>
      <c r="D1218" s="22" t="s">
        <v>367</v>
      </c>
      <c r="E1218" s="102"/>
      <c r="F1218" s="102"/>
      <c r="G1218" s="48">
        <v>2</v>
      </c>
      <c r="H1218" s="48"/>
      <c r="I1218" s="49"/>
      <c r="J1218" s="49"/>
      <c r="K1218" s="33"/>
      <c r="L1218" s="20"/>
    </row>
    <row r="1219" spans="1:12" outlineLevel="2">
      <c r="A1219" s="21"/>
      <c r="B1219" s="12" t="str">
        <f>IFERROR(VLOOKUP(D1219,'[1]Перечень товаров'!$A$2:$I9525,2,0),"")</f>
        <v/>
      </c>
      <c r="C1219" s="12" t="str">
        <f>IFERROR(VLOOKUP(D1219,'[1]Перечень товаров'!$A$2:$I9525,3,0),"")</f>
        <v/>
      </c>
      <c r="D1219" s="22" t="s">
        <v>311</v>
      </c>
      <c r="E1219" s="102">
        <v>46092</v>
      </c>
      <c r="F1219" s="102"/>
      <c r="G1219" s="103"/>
      <c r="H1219" s="103"/>
      <c r="I1219" s="104"/>
      <c r="J1219" s="104"/>
      <c r="K1219" s="19"/>
      <c r="L1219" s="20"/>
    </row>
    <row r="1220" spans="1:12" ht="12.75" outlineLevel="1">
      <c r="A1220" s="11"/>
      <c r="B1220" s="12" t="str">
        <f>IFERROR(VLOOKUP(D1220,'[1]Перечень товаров'!$A$2:$I9525,2,0),"")</f>
        <v/>
      </c>
      <c r="C1220" s="12" t="str">
        <f>IFERROR(VLOOKUP(D1220,'[1]Перечень товаров'!$A$2:$I9525,3,0),"")</f>
        <v/>
      </c>
      <c r="D1220" s="27" t="s">
        <v>506</v>
      </c>
      <c r="E1220" s="99">
        <v>46143</v>
      </c>
      <c r="F1220" s="99"/>
      <c r="G1220" s="100"/>
      <c r="H1220" s="100"/>
      <c r="I1220" s="101"/>
      <c r="J1220" s="101"/>
      <c r="K1220" s="19"/>
      <c r="L1220" s="20"/>
    </row>
    <row r="1221" spans="1:12" outlineLevel="2">
      <c r="A1221" s="22"/>
      <c r="B1221" s="12" t="str">
        <f>IFERROR(VLOOKUP(D1221,'[1]Перечень товаров'!$A$2:$I9525,2,0),"")</f>
        <v>п25</v>
      </c>
      <c r="C1221" s="12" t="str">
        <f>IFERROR(VLOOKUP(D1221,'[1]Перечень товаров'!$A$2:$I9525,3,0),"")</f>
        <v>Прочее</v>
      </c>
      <c r="D1221" s="22" t="s">
        <v>360</v>
      </c>
      <c r="E1221" s="102"/>
      <c r="F1221" s="102"/>
      <c r="G1221" s="48">
        <v>3</v>
      </c>
      <c r="H1221" s="48"/>
      <c r="I1221" s="49"/>
      <c r="J1221" s="49"/>
      <c r="K1221" s="33"/>
      <c r="L1221" s="20"/>
    </row>
    <row r="1222" spans="1:12" outlineLevel="2">
      <c r="A1222" s="21"/>
      <c r="B1222" s="12" t="str">
        <f>IFERROR(VLOOKUP(D1222,'[1]Перечень товаров'!$A$2:$I9525,2,0),"")</f>
        <v>п26</v>
      </c>
      <c r="C1222" s="12" t="str">
        <f>IFERROR(VLOOKUP(D1222,'[1]Перечень товаров'!$A$2:$I9525,3,0),"")</f>
        <v>Прочее</v>
      </c>
      <c r="D1222" s="22" t="s">
        <v>361</v>
      </c>
      <c r="E1222" s="102"/>
      <c r="F1222" s="102"/>
      <c r="G1222" s="48">
        <v>2</v>
      </c>
      <c r="H1222" s="48"/>
      <c r="I1222" s="49"/>
      <c r="J1222" s="49"/>
      <c r="K1222" s="33"/>
      <c r="L1222" s="20"/>
    </row>
    <row r="1223" spans="1:12" outlineLevel="2">
      <c r="A1223" s="21"/>
      <c r="B1223" s="12" t="str">
        <f>IFERROR(VLOOKUP(D1223,'[1]Перечень товаров'!$A$2:$I9525,2,0),"")</f>
        <v>п27</v>
      </c>
      <c r="C1223" s="12" t="str">
        <f>IFERROR(VLOOKUP(D1223,'[1]Перечень товаров'!$A$2:$I9525,3,0),"")</f>
        <v>Прочее</v>
      </c>
      <c r="D1223" s="22" t="s">
        <v>362</v>
      </c>
      <c r="E1223" s="102"/>
      <c r="F1223" s="102"/>
      <c r="G1223" s="48">
        <v>2</v>
      </c>
      <c r="H1223" s="48"/>
      <c r="I1223" s="49"/>
      <c r="J1223" s="49"/>
      <c r="K1223" s="33"/>
      <c r="L1223" s="20"/>
    </row>
    <row r="1224" spans="1:12" outlineLevel="2">
      <c r="A1224" s="21"/>
      <c r="B1224" s="12" t="str">
        <f>IFERROR(VLOOKUP(D1224,'[1]Перечень товаров'!$A$2:$I9525,2,0),"")</f>
        <v>п28</v>
      </c>
      <c r="C1224" s="12" t="str">
        <f>IFERROR(VLOOKUP(D1224,'[1]Перечень товаров'!$A$2:$I9525,3,0),"")</f>
        <v>Прочее</v>
      </c>
      <c r="D1224" s="22" t="s">
        <v>363</v>
      </c>
      <c r="E1224" s="102"/>
      <c r="F1224" s="102"/>
      <c r="G1224" s="48">
        <v>1</v>
      </c>
      <c r="H1224" s="48"/>
      <c r="I1224" s="49"/>
      <c r="J1224" s="49"/>
      <c r="K1224" s="33"/>
      <c r="L1224" s="20"/>
    </row>
    <row r="1225" spans="1:12" outlineLevel="2">
      <c r="A1225" s="21"/>
      <c r="B1225" s="12" t="str">
        <f>IFERROR(VLOOKUP(D1225,'[1]Перечень товаров'!$A$2:$I9525,2,0),"")</f>
        <v>п29</v>
      </c>
      <c r="C1225" s="12" t="str">
        <f>IFERROR(VLOOKUP(D1225,'[1]Перечень товаров'!$A$2:$I9525,3,0),"")</f>
        <v>Прочее</v>
      </c>
      <c r="D1225" s="22" t="s">
        <v>364</v>
      </c>
      <c r="E1225" s="102"/>
      <c r="F1225" s="102"/>
      <c r="G1225" s="48">
        <v>6</v>
      </c>
      <c r="H1225" s="48"/>
      <c r="I1225" s="49"/>
      <c r="J1225" s="49"/>
      <c r="K1225" s="33"/>
      <c r="L1225" s="20"/>
    </row>
    <row r="1226" spans="1:12" outlineLevel="2">
      <c r="A1226" s="21"/>
      <c r="B1226" s="12" t="str">
        <f>IFERROR(VLOOKUP(D1226,'[1]Перечень товаров'!$A$2:$I9525,2,0),"")</f>
        <v>п30</v>
      </c>
      <c r="C1226" s="12" t="str">
        <f>IFERROR(VLOOKUP(D1226,'[1]Перечень товаров'!$A$2:$I9525,3,0),"")</f>
        <v>Прочее</v>
      </c>
      <c r="D1226" s="22" t="s">
        <v>365</v>
      </c>
      <c r="E1226" s="102"/>
      <c r="F1226" s="102"/>
      <c r="G1226" s="48">
        <v>2</v>
      </c>
      <c r="H1226" s="48"/>
      <c r="I1226" s="49"/>
      <c r="J1226" s="49"/>
      <c r="K1226" s="33"/>
      <c r="L1226" s="20"/>
    </row>
    <row r="1227" spans="1:12" ht="31.5" outlineLevel="2">
      <c r="A1227" s="21"/>
      <c r="B1227" s="12" t="str">
        <f>IFERROR(VLOOKUP(D1227,'[1]Перечень товаров'!$A$2:$I9525,2,0),"")</f>
        <v>п31</v>
      </c>
      <c r="C1227" s="12" t="str">
        <f>IFERROR(VLOOKUP(D1227,'[1]Перечень товаров'!$A$2:$I9525,3,0),"")</f>
        <v>Прочее</v>
      </c>
      <c r="D1227" s="22" t="s">
        <v>366</v>
      </c>
      <c r="E1227" s="102"/>
      <c r="F1227" s="102"/>
      <c r="G1227" s="48">
        <v>1</v>
      </c>
      <c r="H1227" s="48"/>
      <c r="I1227" s="49"/>
      <c r="J1227" s="49"/>
      <c r="K1227" s="33"/>
      <c r="L1227" s="20"/>
    </row>
    <row r="1228" spans="1:12" ht="31.5" outlineLevel="2">
      <c r="A1228" s="21"/>
      <c r="B1228" s="12" t="str">
        <f>IFERROR(VLOOKUP(D1228,'[1]Перечень товаров'!$A$2:$I9525,2,0),"")</f>
        <v>п32</v>
      </c>
      <c r="C1228" s="12" t="str">
        <f>IFERROR(VLOOKUP(D1228,'[1]Перечень товаров'!$A$2:$I9525,3,0),"")</f>
        <v>Прочее</v>
      </c>
      <c r="D1228" s="22" t="s">
        <v>367</v>
      </c>
      <c r="E1228" s="102"/>
      <c r="F1228" s="102"/>
      <c r="G1228" s="48">
        <v>2</v>
      </c>
      <c r="H1228" s="48"/>
      <c r="I1228" s="49"/>
      <c r="J1228" s="49"/>
      <c r="K1228" s="33"/>
      <c r="L1228" s="20"/>
    </row>
    <row r="1229" spans="1:12" ht="12.75" outlineLevel="1">
      <c r="A1229" s="11"/>
      <c r="B1229" s="12" t="str">
        <f>IFERROR(VLOOKUP(D1229,'[1]Перечень товаров'!$A$2:$I9525,2,0),"")</f>
        <v/>
      </c>
      <c r="C1229" s="12" t="str">
        <f>IFERROR(VLOOKUP(D1229,'[1]Перечень товаров'!$A$2:$I9525,3,0),"")</f>
        <v/>
      </c>
      <c r="D1229" s="27" t="s">
        <v>507</v>
      </c>
      <c r="E1229" s="99">
        <v>46025</v>
      </c>
      <c r="F1229" s="99"/>
      <c r="G1229" s="100"/>
      <c r="H1229" s="100"/>
      <c r="I1229" s="101"/>
      <c r="J1229" s="101"/>
      <c r="K1229" s="19"/>
      <c r="L1229" s="20"/>
    </row>
    <row r="1230" spans="1:12" outlineLevel="2">
      <c r="A1230" s="21"/>
      <c r="B1230" s="12" t="str">
        <f>IFERROR(VLOOKUP(D1230,'[1]Перечень товаров'!$A$2:$I9525,2,0),"")</f>
        <v>м167</v>
      </c>
      <c r="C1230" s="12" t="str">
        <f>IFERROR(VLOOKUP(D1230,'[1]Перечень товаров'!$A$2:$I9525,3,0),"")</f>
        <v>Мебель</v>
      </c>
      <c r="D1230" s="22" t="s">
        <v>508</v>
      </c>
      <c r="E1230" s="102"/>
      <c r="F1230" s="102"/>
      <c r="G1230" s="48">
        <v>2</v>
      </c>
      <c r="H1230" s="48"/>
      <c r="I1230" s="49"/>
      <c r="J1230" s="49"/>
      <c r="K1230" s="19"/>
      <c r="L1230" s="20"/>
    </row>
    <row r="1231" spans="1:12" outlineLevel="2">
      <c r="A1231" s="21"/>
      <c r="B1231" s="12" t="str">
        <f>IFERROR(VLOOKUP(D1231,'[1]Перечень товаров'!$A$2:$I9525,2,0),"")</f>
        <v>п46</v>
      </c>
      <c r="C1231" s="12" t="str">
        <f>IFERROR(VLOOKUP(D1231,'[1]Перечень товаров'!$A$2:$I9525,3,0),"")</f>
        <v>Прочее</v>
      </c>
      <c r="D1231" s="22" t="s">
        <v>509</v>
      </c>
      <c r="E1231" s="102"/>
      <c r="F1231" s="102"/>
      <c r="G1231" s="48">
        <v>2</v>
      </c>
      <c r="H1231" s="48"/>
      <c r="I1231" s="49"/>
      <c r="J1231" s="49"/>
      <c r="K1231" s="19"/>
      <c r="L1231" s="20"/>
    </row>
    <row r="1232" spans="1:12" outlineLevel="2">
      <c r="A1232" s="21"/>
      <c r="B1232" s="12" t="str">
        <f>IFERROR(VLOOKUP(D1232,'[1]Перечень товаров'!$A$2:$I9525,2,0),"")</f>
        <v>п47</v>
      </c>
      <c r="C1232" s="12" t="str">
        <f>IFERROR(VLOOKUP(D1232,'[1]Перечень товаров'!$A$2:$I9525,3,0),"")</f>
        <v>Прочее</v>
      </c>
      <c r="D1232" s="22" t="s">
        <v>510</v>
      </c>
      <c r="E1232" s="102"/>
      <c r="F1232" s="102"/>
      <c r="G1232" s="48">
        <v>3</v>
      </c>
      <c r="H1232" s="48"/>
      <c r="I1232" s="49"/>
      <c r="J1232" s="49"/>
      <c r="K1232" s="19"/>
      <c r="L1232" s="20"/>
    </row>
    <row r="1233" spans="1:12" outlineLevel="2">
      <c r="A1233" s="21"/>
      <c r="B1233" s="12" t="str">
        <f>IFERROR(VLOOKUP(D1233,'[1]Перечень товаров'!$A$2:$I9525,2,0),"")</f>
        <v>п48</v>
      </c>
      <c r="C1233" s="12" t="str">
        <f>IFERROR(VLOOKUP(D1233,'[1]Перечень товаров'!$A$2:$I9525,3,0),"")</f>
        <v>Прочее</v>
      </c>
      <c r="D1233" s="22" t="s">
        <v>511</v>
      </c>
      <c r="E1233" s="102"/>
      <c r="F1233" s="102"/>
      <c r="G1233" s="48">
        <v>6</v>
      </c>
      <c r="H1233" s="48"/>
      <c r="I1233" s="49"/>
      <c r="J1233" s="49"/>
      <c r="K1233" s="19"/>
      <c r="L1233" s="20"/>
    </row>
    <row r="1234" spans="1:12" ht="31.5" outlineLevel="2">
      <c r="A1234" s="21"/>
      <c r="B1234" s="12" t="str">
        <f>IFERROR(VLOOKUP(D1234,'[1]Перечень товаров'!$A$2:$I9525,2,0),"")</f>
        <v>м168</v>
      </c>
      <c r="C1234" s="12" t="str">
        <f>IFERROR(VLOOKUP(D1234,'[1]Перечень товаров'!$A$2:$I9525,3,0),"")</f>
        <v>Мебель</v>
      </c>
      <c r="D1234" s="22" t="s">
        <v>512</v>
      </c>
      <c r="E1234" s="102"/>
      <c r="F1234" s="102"/>
      <c r="G1234" s="48">
        <v>1</v>
      </c>
      <c r="H1234" s="48"/>
      <c r="I1234" s="49"/>
      <c r="J1234" s="49"/>
      <c r="K1234" s="19"/>
      <c r="L1234" s="20"/>
    </row>
    <row r="1235" spans="1:12" outlineLevel="1">
      <c r="A1235" s="21"/>
      <c r="B1235" s="12" t="str">
        <f>IFERROR(VLOOKUP(D1235,'[1]Перечень товаров'!$A$2:$I9525,2,0),"")</f>
        <v/>
      </c>
      <c r="C1235" s="12" t="str">
        <f>IFERROR(VLOOKUP(D1235,'[1]Перечень товаров'!$A$2:$I9525,3,0),"")</f>
        <v/>
      </c>
      <c r="D1235" s="22" t="s">
        <v>311</v>
      </c>
      <c r="E1235" s="23" t="s">
        <v>513</v>
      </c>
      <c r="F1235" s="23"/>
      <c r="G1235" s="24"/>
      <c r="H1235" s="24"/>
      <c r="I1235" s="25"/>
      <c r="J1235" s="25"/>
      <c r="K1235" s="19"/>
      <c r="L1235" s="20"/>
    </row>
    <row r="1236" spans="1:12" ht="12.75" outlineLevel="1">
      <c r="A1236" s="11"/>
      <c r="B1236" s="12" t="str">
        <f>IFERROR(VLOOKUP(D1236,'[1]Перечень товаров'!$A$2:$I9525,2,0),"")</f>
        <v/>
      </c>
      <c r="C1236" s="12" t="str">
        <f>IFERROR(VLOOKUP(D1236,'[1]Перечень товаров'!$A$2:$I9525,3,0),"")</f>
        <v/>
      </c>
      <c r="D1236" s="27" t="s">
        <v>514</v>
      </c>
      <c r="E1236" s="99">
        <v>46255</v>
      </c>
      <c r="F1236" s="99"/>
      <c r="G1236" s="100"/>
      <c r="H1236" s="100"/>
      <c r="I1236" s="101"/>
      <c r="J1236" s="101"/>
      <c r="K1236" s="19"/>
      <c r="L1236" s="20"/>
    </row>
    <row r="1237" spans="1:12" ht="15" outlineLevel="2">
      <c r="A1237" s="133"/>
      <c r="B1237" s="12" t="str">
        <f>IFERROR(VLOOKUP(D1237,'[1]Перечень товаров'!$A$2:$I9525,2,0),"")</f>
        <v/>
      </c>
      <c r="C1237" s="12" t="str">
        <f>IFERROR(VLOOKUP(D1237,'[1]Перечень товаров'!$A$2:$I9525,3,0),"")</f>
        <v/>
      </c>
      <c r="D1237" s="134" t="s">
        <v>27</v>
      </c>
      <c r="E1237" s="45"/>
      <c r="F1237" s="45"/>
      <c r="G1237" s="127"/>
      <c r="H1237" s="127"/>
      <c r="I1237" s="128"/>
      <c r="J1237" s="128"/>
      <c r="K1237" s="19"/>
      <c r="L1237" s="20"/>
    </row>
    <row r="1238" spans="1:12" outlineLevel="2">
      <c r="A1238" s="21"/>
      <c r="B1238" s="12" t="str">
        <f>IFERROR(VLOOKUP(D1238,'[1]Перечень товаров'!$A$2:$I9525,2,0),"")</f>
        <v>т1</v>
      </c>
      <c r="C1238" s="12" t="str">
        <f>IFERROR(VLOOKUP(D1238,'[1]Перечень товаров'!$A$2:$I9525,3,0),"")</f>
        <v xml:space="preserve">Техника </v>
      </c>
      <c r="D1238" s="22" t="s">
        <v>28</v>
      </c>
      <c r="E1238" s="23"/>
      <c r="F1238" s="23"/>
      <c r="G1238" s="137">
        <v>1</v>
      </c>
      <c r="H1238" s="137"/>
      <c r="I1238" s="138"/>
      <c r="J1238" s="138"/>
      <c r="K1238" s="19"/>
      <c r="L1238" s="20"/>
    </row>
    <row r="1239" spans="1:12" outlineLevel="2">
      <c r="A1239" s="35"/>
      <c r="B1239" s="12" t="str">
        <f>IFERROR(VLOOKUP(D1239,'[1]Перечень товаров'!$A$2:$I9525,2,0),"")</f>
        <v>т2</v>
      </c>
      <c r="C1239" s="12" t="str">
        <f>IFERROR(VLOOKUP(D1239,'[1]Перечень товаров'!$A$2:$I9525,3,0),"")</f>
        <v xml:space="preserve">Техника </v>
      </c>
      <c r="D1239" s="35" t="s">
        <v>29</v>
      </c>
      <c r="E1239" s="23"/>
      <c r="F1239" s="23"/>
      <c r="G1239" s="137">
        <v>1</v>
      </c>
      <c r="H1239" s="137"/>
      <c r="I1239" s="138"/>
      <c r="J1239" s="138"/>
      <c r="K1239" s="19"/>
      <c r="L1239" s="20"/>
    </row>
    <row r="1240" spans="1:12" outlineLevel="2">
      <c r="A1240" s="35"/>
      <c r="B1240" s="12" t="str">
        <f>IFERROR(VLOOKUP(D1240,'[1]Перечень товаров'!$A$2:$I9525,2,0),"")</f>
        <v>т3</v>
      </c>
      <c r="C1240" s="12" t="str">
        <f>IFERROR(VLOOKUP(D1240,'[1]Перечень товаров'!$A$2:$I9525,3,0),"")</f>
        <v xml:space="preserve">Техника </v>
      </c>
      <c r="D1240" s="35" t="s">
        <v>30</v>
      </c>
      <c r="E1240" s="23"/>
      <c r="F1240" s="23"/>
      <c r="G1240" s="137">
        <v>1</v>
      </c>
      <c r="H1240" s="137"/>
      <c r="I1240" s="138"/>
      <c r="J1240" s="138"/>
      <c r="K1240" s="19"/>
      <c r="L1240" s="20"/>
    </row>
    <row r="1241" spans="1:12" outlineLevel="2">
      <c r="A1241" s="35"/>
      <c r="B1241" s="12" t="str">
        <f>IFERROR(VLOOKUP(D1241,'[1]Перечень товаров'!$A$2:$I9525,2,0),"")</f>
        <v>т4</v>
      </c>
      <c r="C1241" s="12" t="str">
        <f>IFERROR(VLOOKUP(D1241,'[1]Перечень товаров'!$A$2:$I9525,3,0),"")</f>
        <v xml:space="preserve">Техника </v>
      </c>
      <c r="D1241" s="35" t="s">
        <v>31</v>
      </c>
      <c r="E1241" s="23"/>
      <c r="F1241" s="23"/>
      <c r="G1241" s="48">
        <v>1</v>
      </c>
      <c r="H1241" s="48"/>
      <c r="I1241" s="49"/>
      <c r="J1241" s="49"/>
      <c r="K1241" s="19"/>
      <c r="L1241" s="20"/>
    </row>
    <row r="1242" spans="1:12" outlineLevel="2">
      <c r="A1242" s="21"/>
      <c r="B1242" s="12" t="str">
        <f>IFERROR(VLOOKUP(D1242,'[1]Перечень товаров'!$A$2:$I9525,2,0),"")</f>
        <v>т12</v>
      </c>
      <c r="C1242" s="12" t="str">
        <f>IFERROR(VLOOKUP(D1242,'[1]Перечень товаров'!$A$2:$I9525,3,0),"")</f>
        <v>Техника</v>
      </c>
      <c r="D1242" s="22" t="s">
        <v>49</v>
      </c>
      <c r="E1242" s="23"/>
      <c r="F1242" s="23"/>
      <c r="G1242" s="48">
        <v>1</v>
      </c>
      <c r="H1242" s="48"/>
      <c r="I1242" s="49"/>
      <c r="J1242" s="49"/>
      <c r="K1242" s="19"/>
      <c r="L1242" s="20"/>
    </row>
    <row r="1243" spans="1:12" outlineLevel="2">
      <c r="A1243" s="35"/>
      <c r="B1243" s="12" t="str">
        <f>IFERROR(VLOOKUP(D1243,'[1]Перечень товаров'!$A$2:$I9525,2,0),"")</f>
        <v>т6</v>
      </c>
      <c r="C1243" s="12" t="str">
        <f>IFERROR(VLOOKUP(D1243,'[1]Перечень товаров'!$A$2:$I9525,3,0),"")</f>
        <v xml:space="preserve">Техника </v>
      </c>
      <c r="D1243" s="35" t="s">
        <v>33</v>
      </c>
      <c r="E1243" s="23"/>
      <c r="F1243" s="23"/>
      <c r="G1243" s="48">
        <v>1</v>
      </c>
      <c r="H1243" s="48"/>
      <c r="I1243" s="49"/>
      <c r="J1243" s="49"/>
      <c r="K1243" s="19"/>
      <c r="L1243" s="20"/>
    </row>
    <row r="1244" spans="1:12" outlineLevel="2">
      <c r="A1244" s="21"/>
      <c r="B1244" s="12" t="str">
        <f>IFERROR(VLOOKUP(D1244,'[1]Перечень товаров'!$A$2:$I9525,2,0),"")</f>
        <v>т7</v>
      </c>
      <c r="C1244" s="12" t="str">
        <f>IFERROR(VLOOKUP(D1244,'[1]Перечень товаров'!$A$2:$I9525,3,0),"")</f>
        <v xml:space="preserve">Техника </v>
      </c>
      <c r="D1244" s="22" t="s">
        <v>34</v>
      </c>
      <c r="E1244" s="23"/>
      <c r="F1244" s="23"/>
      <c r="G1244" s="48">
        <v>1</v>
      </c>
      <c r="H1244" s="48"/>
      <c r="I1244" s="49"/>
      <c r="J1244" s="49"/>
      <c r="K1244" s="19"/>
      <c r="L1244" s="20"/>
    </row>
    <row r="1245" spans="1:12" outlineLevel="2">
      <c r="A1245" s="21"/>
      <c r="B1245" s="12" t="str">
        <f>IFERROR(VLOOKUP(D1245,'[1]Перечень товаров'!$A$2:$I9525,2,0),"")</f>
        <v>т8</v>
      </c>
      <c r="C1245" s="12" t="str">
        <f>IFERROR(VLOOKUP(D1245,'[1]Перечень товаров'!$A$2:$I9525,3,0),"")</f>
        <v xml:space="preserve">Техника </v>
      </c>
      <c r="D1245" s="22" t="s">
        <v>35</v>
      </c>
      <c r="E1245" s="23"/>
      <c r="F1245" s="23"/>
      <c r="G1245" s="48">
        <v>1</v>
      </c>
      <c r="H1245" s="48"/>
      <c r="I1245" s="49"/>
      <c r="J1245" s="49"/>
      <c r="K1245" s="19"/>
      <c r="L1245" s="20"/>
    </row>
    <row r="1246" spans="1:12" ht="15" outlineLevel="2">
      <c r="A1246" s="139"/>
      <c r="B1246" s="12" t="str">
        <f>IFERROR(VLOOKUP(D1246,'[1]Перечень товаров'!$A$2:$I9525,2,0),"")</f>
        <v/>
      </c>
      <c r="C1246" s="12" t="str">
        <f>IFERROR(VLOOKUP(D1246,'[1]Перечень товаров'!$A$2:$I9525,3,0),"")</f>
        <v/>
      </c>
      <c r="D1246" s="140" t="s">
        <v>19</v>
      </c>
      <c r="E1246" s="45"/>
      <c r="F1246" s="45"/>
      <c r="G1246" s="141"/>
      <c r="H1246" s="141"/>
      <c r="I1246" s="142"/>
      <c r="J1246" s="142"/>
      <c r="K1246" s="19"/>
      <c r="L1246" s="20"/>
    </row>
    <row r="1247" spans="1:12" ht="31.5" outlineLevel="2">
      <c r="A1247" s="21"/>
      <c r="B1247" s="12" t="str">
        <f>IFERROR(VLOOKUP(D1247,'[1]Перечень товаров'!$A$2:$I9525,2,0),"")</f>
        <v>м205</v>
      </c>
      <c r="C1247" s="12" t="str">
        <f>IFERROR(VLOOKUP(D1247,'[1]Перечень товаров'!$A$2:$I9525,3,0),"")</f>
        <v>Мебель</v>
      </c>
      <c r="D1247" s="22" t="s">
        <v>20</v>
      </c>
      <c r="E1247" s="23"/>
      <c r="F1247" s="23"/>
      <c r="G1247" s="48">
        <v>1</v>
      </c>
      <c r="H1247" s="48"/>
      <c r="I1247" s="49"/>
      <c r="J1247" s="49"/>
      <c r="K1247" s="19"/>
      <c r="L1247" s="20"/>
    </row>
    <row r="1248" spans="1:12" outlineLevel="2">
      <c r="A1248" s="21"/>
      <c r="B1248" s="12" t="str">
        <f>IFERROR(VLOOKUP(D1248,'[1]Перечень товаров'!$A$2:$I9525,2,0),"")</f>
        <v>м13</v>
      </c>
      <c r="C1248" s="12" t="str">
        <f>IFERROR(VLOOKUP(D1248,'[1]Перечень товаров'!$A$2:$I9525,3,0),"")</f>
        <v>Мебель</v>
      </c>
      <c r="D1248" s="22" t="s">
        <v>42</v>
      </c>
      <c r="E1248" s="23"/>
      <c r="F1248" s="23"/>
      <c r="G1248" s="48">
        <v>1</v>
      </c>
      <c r="H1248" s="48"/>
      <c r="I1248" s="49"/>
      <c r="J1248" s="49"/>
      <c r="K1248" s="19"/>
      <c r="L1248" s="20"/>
    </row>
    <row r="1249" spans="1:12" outlineLevel="2">
      <c r="A1249" s="21"/>
      <c r="B1249" s="12" t="str">
        <f>IFERROR(VLOOKUP(D1249,'[1]Перечень товаров'!$A$2:$I9525,2,0),"")</f>
        <v>м14</v>
      </c>
      <c r="C1249" s="12" t="str">
        <f>IFERROR(VLOOKUP(D1249,'[1]Перечень товаров'!$A$2:$I9525,3,0),"")</f>
        <v>Мебель</v>
      </c>
      <c r="D1249" s="22" t="s">
        <v>43</v>
      </c>
      <c r="E1249" s="23"/>
      <c r="F1249" s="23"/>
      <c r="G1249" s="48">
        <v>1</v>
      </c>
      <c r="H1249" s="48"/>
      <c r="I1249" s="49"/>
      <c r="J1249" s="49"/>
      <c r="K1249" s="19"/>
      <c r="L1249" s="20"/>
    </row>
    <row r="1250" spans="1:12" outlineLevel="2">
      <c r="A1250" s="21"/>
      <c r="B1250" s="12" t="str">
        <f>IFERROR(VLOOKUP(D1250,'[1]Перечень товаров'!$A$2:$I9525,2,0),"")</f>
        <v>м170</v>
      </c>
      <c r="C1250" s="12" t="str">
        <f>IFERROR(VLOOKUP(D1250,'[1]Перечень товаров'!$A$2:$I9525,3,0),"")</f>
        <v>Мебель</v>
      </c>
      <c r="D1250" s="22" t="s">
        <v>515</v>
      </c>
      <c r="E1250" s="23"/>
      <c r="F1250" s="23"/>
      <c r="G1250" s="48">
        <v>1</v>
      </c>
      <c r="H1250" s="48"/>
      <c r="I1250" s="49"/>
      <c r="J1250" s="49"/>
      <c r="K1250" s="19"/>
      <c r="L1250" s="20"/>
    </row>
    <row r="1251" spans="1:12" outlineLevel="2">
      <c r="A1251" s="22"/>
      <c r="B1251" s="12" t="str">
        <f>IFERROR(VLOOKUP(D1251,'[1]Перечень товаров'!$A$2:$I9525,2,0),"")</f>
        <v>м171</v>
      </c>
      <c r="C1251" s="12" t="str">
        <f>IFERROR(VLOOKUP(D1251,'[1]Перечень товаров'!$A$2:$I9525,3,0),"")</f>
        <v>Мебель</v>
      </c>
      <c r="D1251" s="22" t="s">
        <v>516</v>
      </c>
      <c r="E1251" s="23"/>
      <c r="F1251" s="23"/>
      <c r="G1251" s="48">
        <v>1</v>
      </c>
      <c r="H1251" s="48"/>
      <c r="I1251" s="49"/>
      <c r="J1251" s="49"/>
      <c r="K1251" s="19"/>
      <c r="L1251" s="20"/>
    </row>
    <row r="1252" spans="1:12" outlineLevel="2">
      <c r="A1252" s="22"/>
      <c r="B1252" s="12" t="str">
        <f>IFERROR(VLOOKUP(D1252,'[1]Перечень товаров'!$A$2:$I9525,2,0),"")</f>
        <v>м19</v>
      </c>
      <c r="C1252" s="12" t="str">
        <f>IFERROR(VLOOKUP(D1252,'[1]Перечень товаров'!$A$2:$I9525,3,0),"")</f>
        <v>Мебель</v>
      </c>
      <c r="D1252" s="22" t="s">
        <v>53</v>
      </c>
      <c r="E1252" s="23"/>
      <c r="F1252" s="23"/>
      <c r="G1252" s="48">
        <v>16</v>
      </c>
      <c r="H1252" s="48"/>
      <c r="I1252" s="49"/>
      <c r="J1252" s="49"/>
      <c r="K1252" s="19"/>
      <c r="L1252" s="20"/>
    </row>
    <row r="1253" spans="1:12" ht="15" outlineLevel="2">
      <c r="A1253" s="54"/>
      <c r="B1253" s="12" t="str">
        <f>IFERROR(VLOOKUP(D1253,'[1]Перечень товаров'!$A$2:$I9525,2,0),"")</f>
        <v/>
      </c>
      <c r="C1253" s="12" t="str">
        <f>IFERROR(VLOOKUP(D1253,'[1]Перечень товаров'!$A$2:$I9525,3,0),"")</f>
        <v/>
      </c>
      <c r="D1253" s="55" t="s">
        <v>45</v>
      </c>
      <c r="E1253" s="56"/>
      <c r="F1253" s="56"/>
      <c r="G1253" s="17"/>
      <c r="H1253" s="17"/>
      <c r="I1253" s="57"/>
      <c r="J1253" s="57"/>
      <c r="K1253" s="19"/>
      <c r="L1253" s="20"/>
    </row>
    <row r="1254" spans="1:12" outlineLevel="2">
      <c r="A1254" s="21"/>
      <c r="B1254" s="12" t="str">
        <f>IFERROR(VLOOKUP(D1254,'[1]Перечень товаров'!$A$2:$I9525,2,0),"")</f>
        <v>п2</v>
      </c>
      <c r="C1254" s="12" t="str">
        <f>IFERROR(VLOOKUP(D1254,'[1]Перечень товаров'!$A$2:$I9525,3,0),"")</f>
        <v>Прочее</v>
      </c>
      <c r="D1254" s="22" t="s">
        <v>46</v>
      </c>
      <c r="E1254" s="58"/>
      <c r="F1254" s="58"/>
      <c r="G1254" s="24">
        <v>1</v>
      </c>
      <c r="H1254" s="24"/>
      <c r="I1254" s="25"/>
      <c r="J1254" s="25"/>
      <c r="K1254" s="19"/>
      <c r="L1254" s="20"/>
    </row>
    <row r="1255" spans="1:12" outlineLevel="2">
      <c r="A1255" s="43"/>
      <c r="B1255" s="12" t="str">
        <f>IFERROR(VLOOKUP(D1255,'[1]Перечень товаров'!$A$2:$I9525,2,0),"")</f>
        <v>м7</v>
      </c>
      <c r="C1255" s="12" t="str">
        <f>IFERROR(VLOOKUP(D1255,'[1]Перечень товаров'!$A$2:$I9525,3,0),"")</f>
        <v>Мебель</v>
      </c>
      <c r="D1255" s="44" t="s">
        <v>24</v>
      </c>
      <c r="E1255" s="30"/>
      <c r="F1255" s="30"/>
      <c r="G1255" s="59">
        <v>1</v>
      </c>
      <c r="H1255" s="59"/>
      <c r="I1255" s="60"/>
      <c r="J1255" s="60"/>
      <c r="K1255" s="19"/>
      <c r="L1255" s="20"/>
    </row>
    <row r="1256" spans="1:12" outlineLevel="2">
      <c r="A1256" s="43"/>
      <c r="B1256" s="12" t="str">
        <f>IFERROR(VLOOKUP(D1256,'[1]Перечень товаров'!$A$2:$I9525,2,0),"")</f>
        <v>п1</v>
      </c>
      <c r="C1256" s="12" t="str">
        <f>IFERROR(VLOOKUP(D1256,'[1]Перечень товаров'!$A$2:$I9525,3,0),"")</f>
        <v>Прочее</v>
      </c>
      <c r="D1256" s="44" t="s">
        <v>37</v>
      </c>
      <c r="E1256" s="30"/>
      <c r="F1256" s="30"/>
      <c r="G1256" s="59">
        <v>1</v>
      </c>
      <c r="H1256" s="59"/>
      <c r="I1256" s="60"/>
      <c r="J1256" s="60"/>
      <c r="K1256" s="19"/>
      <c r="L1256" s="20"/>
    </row>
    <row r="1257" spans="1:12" outlineLevel="2">
      <c r="A1257" s="21"/>
      <c r="B1257" s="12" t="str">
        <f>IFERROR(VLOOKUP(D1257,'[1]Перечень товаров'!$A$2:$I9525,2,0),"")</f>
        <v>т10</v>
      </c>
      <c r="C1257" s="12" t="str">
        <f>IFERROR(VLOOKUP(D1257,'[1]Перечень товаров'!$A$2:$I9525,3,0),"")</f>
        <v xml:space="preserve">Техника </v>
      </c>
      <c r="D1257" s="22" t="s">
        <v>39</v>
      </c>
      <c r="E1257" s="23"/>
      <c r="F1257" s="23"/>
      <c r="G1257" s="24">
        <v>1</v>
      </c>
      <c r="H1257" s="24"/>
      <c r="I1257" s="25"/>
      <c r="J1257" s="25"/>
      <c r="K1257" s="19"/>
      <c r="L1257" s="20"/>
    </row>
    <row r="1258" spans="1:12" outlineLevel="2">
      <c r="A1258" s="21"/>
      <c r="B1258" s="12" t="str">
        <f>IFERROR(VLOOKUP(D1258,'[1]Перечень товаров'!$A$2:$I9525,2,0),"")</f>
        <v>м10</v>
      </c>
      <c r="C1258" s="12" t="str">
        <f>IFERROR(VLOOKUP(D1258,'[1]Перечень товаров'!$A$2:$I9525,3,0),"")</f>
        <v>Мебель</v>
      </c>
      <c r="D1258" s="22" t="s">
        <v>517</v>
      </c>
      <c r="E1258" s="23"/>
      <c r="F1258" s="23"/>
      <c r="G1258" s="24">
        <v>1</v>
      </c>
      <c r="H1258" s="24"/>
      <c r="I1258" s="25"/>
      <c r="J1258" s="25"/>
      <c r="K1258" s="19"/>
      <c r="L1258" s="20"/>
    </row>
    <row r="1259" spans="1:12" ht="12.75" outlineLevel="1">
      <c r="A1259" s="11"/>
      <c r="B1259" s="12" t="str">
        <f>IFERROR(VLOOKUP(D1259,'[1]Перечень товаров'!$A$2:$I9525,2,0),"")</f>
        <v/>
      </c>
      <c r="C1259" s="12" t="str">
        <f>IFERROR(VLOOKUP(D1259,'[1]Перечень товаров'!$A$2:$I9525,3,0),"")</f>
        <v/>
      </c>
      <c r="D1259" s="27" t="s">
        <v>518</v>
      </c>
      <c r="E1259" s="14" t="s">
        <v>519</v>
      </c>
      <c r="F1259" s="14"/>
      <c r="G1259" s="17"/>
      <c r="H1259" s="17"/>
      <c r="I1259" s="57"/>
      <c r="J1259" s="57"/>
      <c r="K1259" s="19"/>
      <c r="L1259" s="20"/>
    </row>
    <row r="1260" spans="1:12" ht="15" outlineLevel="2">
      <c r="A1260" s="133"/>
      <c r="B1260" s="12" t="str">
        <f>IFERROR(VLOOKUP(D1260,'[1]Перечень товаров'!$A$2:$I9525,2,0),"")</f>
        <v/>
      </c>
      <c r="C1260" s="12" t="str">
        <f>IFERROR(VLOOKUP(D1260,'[1]Перечень товаров'!$A$2:$I9525,3,0),"")</f>
        <v/>
      </c>
      <c r="D1260" s="134" t="s">
        <v>27</v>
      </c>
      <c r="E1260" s="45"/>
      <c r="F1260" s="45"/>
      <c r="G1260" s="127"/>
      <c r="H1260" s="127"/>
      <c r="I1260" s="128"/>
      <c r="J1260" s="128"/>
      <c r="K1260" s="19"/>
      <c r="L1260" s="20"/>
    </row>
    <row r="1261" spans="1:12" outlineLevel="2">
      <c r="A1261" s="21"/>
      <c r="B1261" s="12" t="str">
        <f>IFERROR(VLOOKUP(D1261,'[1]Перечень товаров'!$A$2:$I9525,2,0),"")</f>
        <v>т1</v>
      </c>
      <c r="C1261" s="12" t="str">
        <f>IFERROR(VLOOKUP(D1261,'[1]Перечень товаров'!$A$2:$I9525,3,0),"")</f>
        <v xml:space="preserve">Техника </v>
      </c>
      <c r="D1261" s="22" t="s">
        <v>28</v>
      </c>
      <c r="E1261" s="23"/>
      <c r="F1261" s="23"/>
      <c r="G1261" s="137">
        <v>1</v>
      </c>
      <c r="H1261" s="137"/>
      <c r="I1261" s="138"/>
      <c r="J1261" s="138"/>
      <c r="K1261" s="19"/>
      <c r="L1261" s="20"/>
    </row>
    <row r="1262" spans="1:12" outlineLevel="2">
      <c r="A1262" s="143"/>
      <c r="B1262" s="12" t="str">
        <f>IFERROR(VLOOKUP(D1262,'[1]Перечень товаров'!$A$2:$I9525,2,0),"")</f>
        <v>т9</v>
      </c>
      <c r="C1262" s="12" t="str">
        <f>IFERROR(VLOOKUP(D1262,'[1]Перечень товаров'!$A$2:$I9525,3,0),"")</f>
        <v>Техника</v>
      </c>
      <c r="D1262" s="143" t="s">
        <v>36</v>
      </c>
      <c r="E1262" s="23"/>
      <c r="F1262" s="23"/>
      <c r="G1262" s="137">
        <v>1</v>
      </c>
      <c r="H1262" s="137"/>
      <c r="I1262" s="138"/>
      <c r="J1262" s="138"/>
      <c r="K1262" s="19"/>
      <c r="L1262" s="20"/>
    </row>
    <row r="1263" spans="1:12" outlineLevel="2">
      <c r="A1263" s="35"/>
      <c r="B1263" s="12" t="str">
        <f>IFERROR(VLOOKUP(D1263,'[1]Перечень товаров'!$A$2:$I9525,2,0),"")</f>
        <v>т2</v>
      </c>
      <c r="C1263" s="12" t="str">
        <f>IFERROR(VLOOKUP(D1263,'[1]Перечень товаров'!$A$2:$I9525,3,0),"")</f>
        <v xml:space="preserve">Техника </v>
      </c>
      <c r="D1263" s="35" t="s">
        <v>29</v>
      </c>
      <c r="E1263" s="23"/>
      <c r="F1263" s="23"/>
      <c r="G1263" s="137">
        <v>1</v>
      </c>
      <c r="H1263" s="137"/>
      <c r="I1263" s="138"/>
      <c r="J1263" s="138"/>
      <c r="K1263" s="19"/>
      <c r="L1263" s="20"/>
    </row>
    <row r="1264" spans="1:12" outlineLevel="2">
      <c r="A1264" s="35"/>
      <c r="B1264" s="12" t="str">
        <f>IFERROR(VLOOKUP(D1264,'[1]Перечень товаров'!$A$2:$I9525,2,0),"")</f>
        <v>т3</v>
      </c>
      <c r="C1264" s="12" t="str">
        <f>IFERROR(VLOOKUP(D1264,'[1]Перечень товаров'!$A$2:$I9525,3,0),"")</f>
        <v xml:space="preserve">Техника </v>
      </c>
      <c r="D1264" s="35" t="s">
        <v>30</v>
      </c>
      <c r="E1264" s="23"/>
      <c r="F1264" s="23"/>
      <c r="G1264" s="137">
        <v>1</v>
      </c>
      <c r="H1264" s="137"/>
      <c r="I1264" s="138"/>
      <c r="J1264" s="138"/>
      <c r="K1264" s="19"/>
      <c r="L1264" s="20"/>
    </row>
    <row r="1265" spans="1:12" outlineLevel="2">
      <c r="A1265" s="35"/>
      <c r="B1265" s="12" t="str">
        <f>IFERROR(VLOOKUP(D1265,'[1]Перечень товаров'!$A$2:$I9525,2,0),"")</f>
        <v>т4</v>
      </c>
      <c r="C1265" s="12" t="str">
        <f>IFERROR(VLOOKUP(D1265,'[1]Перечень товаров'!$A$2:$I9525,3,0),"")</f>
        <v xml:space="preserve">Техника </v>
      </c>
      <c r="D1265" s="35" t="s">
        <v>31</v>
      </c>
      <c r="E1265" s="23"/>
      <c r="F1265" s="23"/>
      <c r="G1265" s="48">
        <v>1</v>
      </c>
      <c r="H1265" s="48"/>
      <c r="I1265" s="49"/>
      <c r="J1265" s="49"/>
      <c r="K1265" s="19"/>
      <c r="L1265" s="20"/>
    </row>
    <row r="1266" spans="1:12" outlineLevel="2">
      <c r="A1266" s="21"/>
      <c r="B1266" s="12" t="str">
        <f>IFERROR(VLOOKUP(D1266,'[1]Перечень товаров'!$A$2:$I9525,2,0),"")</f>
        <v>т12</v>
      </c>
      <c r="C1266" s="12" t="str">
        <f>IFERROR(VLOOKUP(D1266,'[1]Перечень товаров'!$A$2:$I9525,3,0),"")</f>
        <v>Техника</v>
      </c>
      <c r="D1266" s="22" t="s">
        <v>49</v>
      </c>
      <c r="E1266" s="23"/>
      <c r="F1266" s="23"/>
      <c r="G1266" s="48">
        <v>1</v>
      </c>
      <c r="H1266" s="48"/>
      <c r="I1266" s="49"/>
      <c r="J1266" s="49"/>
      <c r="K1266" s="19"/>
      <c r="L1266" s="20"/>
    </row>
    <row r="1267" spans="1:12" outlineLevel="2">
      <c r="A1267" s="35"/>
      <c r="B1267" s="12" t="str">
        <f>IFERROR(VLOOKUP(D1267,'[1]Перечень товаров'!$A$2:$I9525,2,0),"")</f>
        <v>т6</v>
      </c>
      <c r="C1267" s="12" t="str">
        <f>IFERROR(VLOOKUP(D1267,'[1]Перечень товаров'!$A$2:$I9525,3,0),"")</f>
        <v xml:space="preserve">Техника </v>
      </c>
      <c r="D1267" s="35" t="s">
        <v>33</v>
      </c>
      <c r="E1267" s="23"/>
      <c r="F1267" s="23"/>
      <c r="G1267" s="48">
        <v>1</v>
      </c>
      <c r="H1267" s="48"/>
      <c r="I1267" s="49"/>
      <c r="J1267" s="49"/>
      <c r="K1267" s="19"/>
      <c r="L1267" s="20"/>
    </row>
    <row r="1268" spans="1:12" outlineLevel="2">
      <c r="A1268" s="21"/>
      <c r="B1268" s="12" t="str">
        <f>IFERROR(VLOOKUP(D1268,'[1]Перечень товаров'!$A$2:$I9525,2,0),"")</f>
        <v>т7</v>
      </c>
      <c r="C1268" s="12" t="str">
        <f>IFERROR(VLOOKUP(D1268,'[1]Перечень товаров'!$A$2:$I9525,3,0),"")</f>
        <v xml:space="preserve">Техника </v>
      </c>
      <c r="D1268" s="22" t="s">
        <v>34</v>
      </c>
      <c r="E1268" s="23"/>
      <c r="F1268" s="23"/>
      <c r="G1268" s="48">
        <v>1</v>
      </c>
      <c r="H1268" s="48"/>
      <c r="I1268" s="49"/>
      <c r="J1268" s="49"/>
      <c r="K1268" s="19"/>
      <c r="L1268" s="20"/>
    </row>
    <row r="1269" spans="1:12" outlineLevel="2">
      <c r="A1269" s="21"/>
      <c r="B1269" s="12" t="str">
        <f>IFERROR(VLOOKUP(D1269,'[1]Перечень товаров'!$A$2:$I9525,2,0),"")</f>
        <v>т8</v>
      </c>
      <c r="C1269" s="12" t="str">
        <f>IFERROR(VLOOKUP(D1269,'[1]Перечень товаров'!$A$2:$I9525,3,0),"")</f>
        <v xml:space="preserve">Техника </v>
      </c>
      <c r="D1269" s="22" t="s">
        <v>35</v>
      </c>
      <c r="E1269" s="23"/>
      <c r="F1269" s="23"/>
      <c r="G1269" s="48">
        <v>1</v>
      </c>
      <c r="H1269" s="48"/>
      <c r="I1269" s="49"/>
      <c r="J1269" s="49"/>
      <c r="K1269" s="19"/>
      <c r="L1269" s="20"/>
    </row>
    <row r="1270" spans="1:12" ht="15" outlineLevel="2">
      <c r="A1270" s="139"/>
      <c r="B1270" s="12" t="str">
        <f>IFERROR(VLOOKUP(D1270,'[1]Перечень товаров'!$A$2:$I9525,2,0),"")</f>
        <v/>
      </c>
      <c r="C1270" s="12" t="str">
        <f>IFERROR(VLOOKUP(D1270,'[1]Перечень товаров'!$A$2:$I9525,3,0),"")</f>
        <v/>
      </c>
      <c r="D1270" s="140" t="s">
        <v>19</v>
      </c>
      <c r="E1270" s="45"/>
      <c r="F1270" s="45"/>
      <c r="G1270" s="141"/>
      <c r="H1270" s="141"/>
      <c r="I1270" s="142"/>
      <c r="J1270" s="142"/>
      <c r="K1270" s="19"/>
      <c r="L1270" s="20"/>
    </row>
    <row r="1271" spans="1:12" ht="31.5" outlineLevel="2">
      <c r="A1271" s="21"/>
      <c r="B1271" s="12" t="str">
        <f>IFERROR(VLOOKUP(D1271,'[1]Перечень товаров'!$A$2:$I9525,2,0),"")</f>
        <v>м16</v>
      </c>
      <c r="C1271" s="12" t="str">
        <f>IFERROR(VLOOKUP(D1271,'[1]Перечень товаров'!$A$2:$I9525,3,0),"")</f>
        <v>Мебель</v>
      </c>
      <c r="D1271" s="22" t="s">
        <v>50</v>
      </c>
      <c r="E1271" s="23"/>
      <c r="F1271" s="23"/>
      <c r="G1271" s="48">
        <v>1</v>
      </c>
      <c r="H1271" s="48"/>
      <c r="I1271" s="49"/>
      <c r="J1271" s="49"/>
      <c r="K1271" s="19"/>
      <c r="L1271" s="20"/>
    </row>
    <row r="1272" spans="1:12" outlineLevel="2">
      <c r="A1272" s="21"/>
      <c r="B1272" s="12" t="str">
        <f>IFERROR(VLOOKUP(D1272,'[1]Перечень товаров'!$A$2:$I9525,2,0),"")</f>
        <v>м13</v>
      </c>
      <c r="C1272" s="12" t="str">
        <f>IFERROR(VLOOKUP(D1272,'[1]Перечень товаров'!$A$2:$I9525,3,0),"")</f>
        <v>Мебель</v>
      </c>
      <c r="D1272" s="22" t="s">
        <v>42</v>
      </c>
      <c r="E1272" s="23"/>
      <c r="F1272" s="23"/>
      <c r="G1272" s="48">
        <v>1</v>
      </c>
      <c r="H1272" s="48"/>
      <c r="I1272" s="49"/>
      <c r="J1272" s="49"/>
      <c r="K1272" s="19"/>
      <c r="L1272" s="20"/>
    </row>
    <row r="1273" spans="1:12" outlineLevel="2">
      <c r="A1273" s="21"/>
      <c r="B1273" s="12" t="str">
        <f>IFERROR(VLOOKUP(D1273,'[1]Перечень товаров'!$A$2:$I9525,2,0),"")</f>
        <v>м14</v>
      </c>
      <c r="C1273" s="12" t="str">
        <f>IFERROR(VLOOKUP(D1273,'[1]Перечень товаров'!$A$2:$I9525,3,0),"")</f>
        <v>Мебель</v>
      </c>
      <c r="D1273" s="22" t="s">
        <v>43</v>
      </c>
      <c r="E1273" s="23"/>
      <c r="F1273" s="23"/>
      <c r="G1273" s="48">
        <v>1</v>
      </c>
      <c r="H1273" s="48"/>
      <c r="I1273" s="49"/>
      <c r="J1273" s="49"/>
      <c r="K1273" s="19"/>
      <c r="L1273" s="20"/>
    </row>
    <row r="1274" spans="1:12" outlineLevel="2">
      <c r="A1274" s="21"/>
      <c r="B1274" s="12" t="str">
        <f>IFERROR(VLOOKUP(D1274,'[1]Перечень товаров'!$A$2:$I9525,2,0),"")</f>
        <v>м17</v>
      </c>
      <c r="C1274" s="12" t="str">
        <f>IFERROR(VLOOKUP(D1274,'[1]Перечень товаров'!$A$2:$I9525,3,0),"")</f>
        <v>Мебель</v>
      </c>
      <c r="D1274" s="22" t="s">
        <v>51</v>
      </c>
      <c r="E1274" s="23"/>
      <c r="F1274" s="23"/>
      <c r="G1274" s="48">
        <v>1</v>
      </c>
      <c r="H1274" s="48"/>
      <c r="I1274" s="49"/>
      <c r="J1274" s="49"/>
      <c r="K1274" s="19"/>
      <c r="L1274" s="20"/>
    </row>
    <row r="1275" spans="1:12" outlineLevel="2">
      <c r="A1275" s="22"/>
      <c r="B1275" s="12" t="str">
        <f>IFERROR(VLOOKUP(D1275,'[1]Перечень товаров'!$A$2:$I9525,2,0),"")</f>
        <v>м18</v>
      </c>
      <c r="C1275" s="12" t="str">
        <f>IFERROR(VLOOKUP(D1275,'[1]Перечень товаров'!$A$2:$I9525,3,0),"")</f>
        <v>Мебель</v>
      </c>
      <c r="D1275" s="22" t="s">
        <v>52</v>
      </c>
      <c r="E1275" s="23"/>
      <c r="F1275" s="23"/>
      <c r="G1275" s="48">
        <v>1</v>
      </c>
      <c r="H1275" s="48"/>
      <c r="I1275" s="49"/>
      <c r="J1275" s="49"/>
      <c r="K1275" s="19"/>
      <c r="L1275" s="20"/>
    </row>
    <row r="1276" spans="1:12" outlineLevel="2">
      <c r="A1276" s="22"/>
      <c r="B1276" s="12" t="str">
        <f>IFERROR(VLOOKUP(D1276,'[1]Перечень товаров'!$A$2:$I9525,2,0),"")</f>
        <v>м172</v>
      </c>
      <c r="C1276" s="12" t="str">
        <f>IFERROR(VLOOKUP(D1276,'[1]Перечень товаров'!$A$2:$I9525,3,0),"")</f>
        <v>Мебель</v>
      </c>
      <c r="D1276" s="22" t="s">
        <v>520</v>
      </c>
      <c r="E1276" s="23"/>
      <c r="F1276" s="23"/>
      <c r="G1276" s="48">
        <v>1</v>
      </c>
      <c r="H1276" s="48"/>
      <c r="I1276" s="49"/>
      <c r="J1276" s="49"/>
      <c r="K1276" s="19"/>
      <c r="L1276" s="20"/>
    </row>
    <row r="1277" spans="1:12" outlineLevel="2">
      <c r="A1277" s="22"/>
      <c r="B1277" s="12" t="str">
        <f>IFERROR(VLOOKUP(D1277,'[1]Перечень товаров'!$A$2:$I9525,2,0),"")</f>
        <v>м19</v>
      </c>
      <c r="C1277" s="12" t="str">
        <f>IFERROR(VLOOKUP(D1277,'[1]Перечень товаров'!$A$2:$I9525,3,0),"")</f>
        <v>Мебель</v>
      </c>
      <c r="D1277" s="22" t="s">
        <v>53</v>
      </c>
      <c r="E1277" s="23"/>
      <c r="F1277" s="23"/>
      <c r="G1277" s="48">
        <v>6</v>
      </c>
      <c r="H1277" s="48"/>
      <c r="I1277" s="49"/>
      <c r="J1277" s="49"/>
      <c r="K1277" s="19"/>
      <c r="L1277" s="20"/>
    </row>
    <row r="1278" spans="1:12" ht="15" outlineLevel="2">
      <c r="A1278" s="54"/>
      <c r="B1278" s="12" t="str">
        <f>IFERROR(VLOOKUP(D1278,'[1]Перечень товаров'!$A$2:$I9525,2,0),"")</f>
        <v/>
      </c>
      <c r="C1278" s="12" t="str">
        <f>IFERROR(VLOOKUP(D1278,'[1]Перечень товаров'!$A$2:$I9525,3,0),"")</f>
        <v/>
      </c>
      <c r="D1278" s="55" t="s">
        <v>45</v>
      </c>
      <c r="E1278" s="56"/>
      <c r="F1278" s="56"/>
      <c r="G1278" s="17"/>
      <c r="H1278" s="17"/>
      <c r="I1278" s="57"/>
      <c r="J1278" s="57"/>
      <c r="K1278" s="19"/>
      <c r="L1278" s="20"/>
    </row>
    <row r="1279" spans="1:12" outlineLevel="2">
      <c r="A1279" s="21"/>
      <c r="B1279" s="12" t="str">
        <f>IFERROR(VLOOKUP(D1279,'[1]Перечень товаров'!$A$2:$I9525,2,0),"")</f>
        <v>п2</v>
      </c>
      <c r="C1279" s="12" t="str">
        <f>IFERROR(VLOOKUP(D1279,'[1]Перечень товаров'!$A$2:$I9525,3,0),"")</f>
        <v>Прочее</v>
      </c>
      <c r="D1279" s="22" t="s">
        <v>46</v>
      </c>
      <c r="E1279" s="58"/>
      <c r="F1279" s="58"/>
      <c r="G1279" s="24">
        <v>1</v>
      </c>
      <c r="H1279" s="24"/>
      <c r="I1279" s="25"/>
      <c r="J1279" s="25"/>
      <c r="K1279" s="19"/>
      <c r="L1279" s="20"/>
    </row>
    <row r="1280" spans="1:12" outlineLevel="2">
      <c r="A1280" s="43"/>
      <c r="B1280" s="12" t="str">
        <f>IFERROR(VLOOKUP(D1280,'[1]Перечень товаров'!$A$2:$I9525,2,0),"")</f>
        <v>м7</v>
      </c>
      <c r="C1280" s="12" t="str">
        <f>IFERROR(VLOOKUP(D1280,'[1]Перечень товаров'!$A$2:$I9525,3,0),"")</f>
        <v>Мебель</v>
      </c>
      <c r="D1280" s="44" t="s">
        <v>24</v>
      </c>
      <c r="E1280" s="30"/>
      <c r="F1280" s="30"/>
      <c r="G1280" s="59">
        <v>1</v>
      </c>
      <c r="H1280" s="59"/>
      <c r="I1280" s="60"/>
      <c r="J1280" s="60"/>
      <c r="K1280" s="19"/>
      <c r="L1280" s="20"/>
    </row>
    <row r="1281" spans="1:12" outlineLevel="2">
      <c r="A1281" s="43"/>
      <c r="B1281" s="12" t="str">
        <f>IFERROR(VLOOKUP(D1281,'[1]Перечень товаров'!$A$2:$I9525,2,0),"")</f>
        <v>п1</v>
      </c>
      <c r="C1281" s="12" t="str">
        <f>IFERROR(VLOOKUP(D1281,'[1]Перечень товаров'!$A$2:$I9525,3,0),"")</f>
        <v>Прочее</v>
      </c>
      <c r="D1281" s="44" t="s">
        <v>37</v>
      </c>
      <c r="E1281" s="30"/>
      <c r="F1281" s="30"/>
      <c r="G1281" s="59">
        <v>1</v>
      </c>
      <c r="H1281" s="59"/>
      <c r="I1281" s="60"/>
      <c r="J1281" s="60"/>
      <c r="K1281" s="19"/>
      <c r="L1281" s="20"/>
    </row>
    <row r="1282" spans="1:12" outlineLevel="2">
      <c r="A1282" s="21"/>
      <c r="B1282" s="12" t="str">
        <f>IFERROR(VLOOKUP(D1282,'[1]Перечень товаров'!$A$2:$I9525,2,0),"")</f>
        <v>т10</v>
      </c>
      <c r="C1282" s="12" t="str">
        <f>IFERROR(VLOOKUP(D1282,'[1]Перечень товаров'!$A$2:$I9525,3,0),"")</f>
        <v xml:space="preserve">Техника </v>
      </c>
      <c r="D1282" s="22" t="s">
        <v>39</v>
      </c>
      <c r="E1282" s="23"/>
      <c r="F1282" s="23"/>
      <c r="G1282" s="24">
        <v>1</v>
      </c>
      <c r="H1282" s="24"/>
      <c r="I1282" s="25"/>
      <c r="J1282" s="25"/>
      <c r="K1282" s="19"/>
      <c r="L1282" s="20"/>
    </row>
    <row r="1283" spans="1:12" outlineLevel="2">
      <c r="A1283" s="21"/>
      <c r="B1283" s="12" t="str">
        <f>IFERROR(VLOOKUP(D1283,'[1]Перечень товаров'!$A$2:$I9525,2,0),"")</f>
        <v>м10</v>
      </c>
      <c r="C1283" s="12" t="str">
        <f>IFERROR(VLOOKUP(D1283,'[1]Перечень товаров'!$A$2:$I9525,3,0),"")</f>
        <v>Мебель</v>
      </c>
      <c r="D1283" s="22" t="s">
        <v>517</v>
      </c>
      <c r="E1283" s="23"/>
      <c r="F1283" s="23"/>
      <c r="G1283" s="24">
        <v>1</v>
      </c>
      <c r="H1283" s="24"/>
      <c r="I1283" s="25"/>
      <c r="J1283" s="25"/>
      <c r="K1283" s="19"/>
      <c r="L1283" s="20"/>
    </row>
    <row r="1284" spans="1:12" ht="12.75" outlineLevel="1">
      <c r="A1284" s="11"/>
      <c r="B1284" s="12" t="str">
        <f>IFERROR(VLOOKUP(D1284,'[1]Перечень товаров'!$A$2:$I9525,2,0),"")</f>
        <v/>
      </c>
      <c r="C1284" s="12" t="str">
        <f>IFERROR(VLOOKUP(D1284,'[1]Перечень товаров'!$A$2:$I9525,3,0),"")</f>
        <v/>
      </c>
      <c r="D1284" s="27" t="s">
        <v>521</v>
      </c>
      <c r="E1284" s="14" t="s">
        <v>522</v>
      </c>
      <c r="F1284" s="14"/>
      <c r="G1284" s="17"/>
      <c r="H1284" s="17"/>
      <c r="I1284" s="57"/>
      <c r="J1284" s="57"/>
      <c r="K1284" s="19"/>
      <c r="L1284" s="20"/>
    </row>
    <row r="1285" spans="1:12" outlineLevel="2">
      <c r="A1285" s="22"/>
      <c r="B1285" s="12" t="str">
        <f>IFERROR(VLOOKUP(D1285,'[1]Перечень товаров'!$A$2:$I9525,2,0),"")</f>
        <v>п25</v>
      </c>
      <c r="C1285" s="12" t="str">
        <f>IFERROR(VLOOKUP(D1285,'[1]Перечень товаров'!$A$2:$I9525,3,0),"")</f>
        <v>Прочее</v>
      </c>
      <c r="D1285" s="22" t="s">
        <v>360</v>
      </c>
      <c r="E1285" s="102"/>
      <c r="F1285" s="102"/>
      <c r="G1285" s="48">
        <v>3</v>
      </c>
      <c r="H1285" s="48"/>
      <c r="I1285" s="49"/>
      <c r="J1285" s="49"/>
      <c r="K1285" s="19"/>
      <c r="L1285" s="20"/>
    </row>
    <row r="1286" spans="1:12" outlineLevel="2">
      <c r="A1286" s="21"/>
      <c r="B1286" s="12" t="str">
        <f>IFERROR(VLOOKUP(D1286,'[1]Перечень товаров'!$A$2:$I9525,2,0),"")</f>
        <v>п26</v>
      </c>
      <c r="C1286" s="12" t="str">
        <f>IFERROR(VLOOKUP(D1286,'[1]Перечень товаров'!$A$2:$I9525,3,0),"")</f>
        <v>Прочее</v>
      </c>
      <c r="D1286" s="22" t="s">
        <v>361</v>
      </c>
      <c r="E1286" s="102"/>
      <c r="F1286" s="102"/>
      <c r="G1286" s="48">
        <v>2</v>
      </c>
      <c r="H1286" s="48"/>
      <c r="I1286" s="49"/>
      <c r="J1286" s="49"/>
      <c r="K1286" s="19"/>
      <c r="L1286" s="20"/>
    </row>
    <row r="1287" spans="1:12" outlineLevel="2">
      <c r="A1287" s="21"/>
      <c r="B1287" s="12" t="str">
        <f>IFERROR(VLOOKUP(D1287,'[1]Перечень товаров'!$A$2:$I9525,2,0),"")</f>
        <v>п27</v>
      </c>
      <c r="C1287" s="12" t="str">
        <f>IFERROR(VLOOKUP(D1287,'[1]Перечень товаров'!$A$2:$I9525,3,0),"")</f>
        <v>Прочее</v>
      </c>
      <c r="D1287" s="22" t="s">
        <v>362</v>
      </c>
      <c r="E1287" s="102"/>
      <c r="F1287" s="102"/>
      <c r="G1287" s="48">
        <v>2</v>
      </c>
      <c r="H1287" s="48"/>
      <c r="I1287" s="49"/>
      <c r="J1287" s="49"/>
      <c r="K1287" s="19"/>
      <c r="L1287" s="20"/>
    </row>
    <row r="1288" spans="1:12" outlineLevel="2">
      <c r="A1288" s="21"/>
      <c r="B1288" s="12" t="str">
        <f>IFERROR(VLOOKUP(D1288,'[1]Перечень товаров'!$A$2:$I9525,2,0),"")</f>
        <v>п28</v>
      </c>
      <c r="C1288" s="12" t="str">
        <f>IFERROR(VLOOKUP(D1288,'[1]Перечень товаров'!$A$2:$I9525,3,0),"")</f>
        <v>Прочее</v>
      </c>
      <c r="D1288" s="22" t="s">
        <v>363</v>
      </c>
      <c r="E1288" s="102"/>
      <c r="F1288" s="102"/>
      <c r="G1288" s="48">
        <v>1</v>
      </c>
      <c r="H1288" s="48"/>
      <c r="I1288" s="49"/>
      <c r="J1288" s="49"/>
      <c r="K1288" s="19"/>
      <c r="L1288" s="20"/>
    </row>
    <row r="1289" spans="1:12" outlineLevel="2">
      <c r="A1289" s="21"/>
      <c r="B1289" s="12" t="str">
        <f>IFERROR(VLOOKUP(D1289,'[1]Перечень товаров'!$A$2:$I9525,2,0),"")</f>
        <v>п29</v>
      </c>
      <c r="C1289" s="12" t="str">
        <f>IFERROR(VLOOKUP(D1289,'[1]Перечень товаров'!$A$2:$I9525,3,0),"")</f>
        <v>Прочее</v>
      </c>
      <c r="D1289" s="22" t="s">
        <v>364</v>
      </c>
      <c r="E1289" s="102"/>
      <c r="F1289" s="102"/>
      <c r="G1289" s="48">
        <v>6</v>
      </c>
      <c r="H1289" s="48"/>
      <c r="I1289" s="49"/>
      <c r="J1289" s="49"/>
      <c r="K1289" s="19"/>
      <c r="L1289" s="20"/>
    </row>
    <row r="1290" spans="1:12" outlineLevel="2">
      <c r="A1290" s="21"/>
      <c r="B1290" s="12" t="str">
        <f>IFERROR(VLOOKUP(D1290,'[1]Перечень товаров'!$A$2:$I9525,2,0),"")</f>
        <v>п30</v>
      </c>
      <c r="C1290" s="12" t="str">
        <f>IFERROR(VLOOKUP(D1290,'[1]Перечень товаров'!$A$2:$I9525,3,0),"")</f>
        <v>Прочее</v>
      </c>
      <c r="D1290" s="22" t="s">
        <v>365</v>
      </c>
      <c r="E1290" s="102"/>
      <c r="F1290" s="102"/>
      <c r="G1290" s="48">
        <v>2</v>
      </c>
      <c r="H1290" s="48"/>
      <c r="I1290" s="49"/>
      <c r="J1290" s="49"/>
      <c r="K1290" s="19"/>
      <c r="L1290" s="20"/>
    </row>
    <row r="1291" spans="1:12" ht="31.5" outlineLevel="2">
      <c r="A1291" s="21"/>
      <c r="B1291" s="12" t="str">
        <f>IFERROR(VLOOKUP(D1291,'[1]Перечень товаров'!$A$2:$I9525,2,0),"")</f>
        <v>п31</v>
      </c>
      <c r="C1291" s="12" t="str">
        <f>IFERROR(VLOOKUP(D1291,'[1]Перечень товаров'!$A$2:$I9525,3,0),"")</f>
        <v>Прочее</v>
      </c>
      <c r="D1291" s="22" t="s">
        <v>366</v>
      </c>
      <c r="E1291" s="102"/>
      <c r="F1291" s="102"/>
      <c r="G1291" s="48">
        <v>1</v>
      </c>
      <c r="H1291" s="48"/>
      <c r="I1291" s="49"/>
      <c r="J1291" s="49"/>
      <c r="K1291" s="19"/>
      <c r="L1291" s="20"/>
    </row>
    <row r="1292" spans="1:12" ht="31.5" outlineLevel="2">
      <c r="A1292" s="21"/>
      <c r="B1292" s="12" t="str">
        <f>IFERROR(VLOOKUP(D1292,'[1]Перечень товаров'!$A$2:$I9525,2,0),"")</f>
        <v>п32</v>
      </c>
      <c r="C1292" s="12" t="str">
        <f>IFERROR(VLOOKUP(D1292,'[1]Перечень товаров'!$A$2:$I9525,3,0),"")</f>
        <v>Прочее</v>
      </c>
      <c r="D1292" s="22" t="s">
        <v>367</v>
      </c>
      <c r="E1292" s="102"/>
      <c r="F1292" s="102"/>
      <c r="G1292" s="48">
        <v>2</v>
      </c>
      <c r="H1292" s="48"/>
      <c r="I1292" s="49"/>
      <c r="J1292" s="49"/>
      <c r="K1292" s="19"/>
      <c r="L1292" s="20"/>
    </row>
    <row r="1293" spans="1:12" ht="12.75" outlineLevel="1">
      <c r="A1293" s="11"/>
      <c r="B1293" s="12" t="str">
        <f>IFERROR(VLOOKUP(D1293,'[1]Перечень товаров'!$A$2:$I9525,2,0),"")</f>
        <v/>
      </c>
      <c r="C1293" s="12" t="str">
        <f>IFERROR(VLOOKUP(D1293,'[1]Перечень товаров'!$A$2:$I9525,3,0),"")</f>
        <v/>
      </c>
      <c r="D1293" s="27" t="s">
        <v>523</v>
      </c>
      <c r="E1293" s="99">
        <v>46188</v>
      </c>
      <c r="F1293" s="99"/>
      <c r="G1293" s="100"/>
      <c r="H1293" s="100"/>
      <c r="I1293" s="101"/>
      <c r="J1293" s="101"/>
      <c r="K1293" s="19"/>
      <c r="L1293" s="20"/>
    </row>
    <row r="1294" spans="1:12" ht="15" outlineLevel="2">
      <c r="A1294" s="133"/>
      <c r="B1294" s="12" t="str">
        <f>IFERROR(VLOOKUP(D1294,'[1]Перечень товаров'!$A$2:$I9525,2,0),"")</f>
        <v/>
      </c>
      <c r="C1294" s="12" t="str">
        <f>IFERROR(VLOOKUP(D1294,'[1]Перечень товаров'!$A$2:$I9525,3,0),"")</f>
        <v/>
      </c>
      <c r="D1294" s="134" t="s">
        <v>27</v>
      </c>
      <c r="E1294" s="45"/>
      <c r="F1294" s="45"/>
      <c r="G1294" s="127"/>
      <c r="H1294" s="127"/>
      <c r="I1294" s="128"/>
      <c r="J1294" s="128"/>
      <c r="K1294" s="19"/>
      <c r="L1294" s="20"/>
    </row>
    <row r="1295" spans="1:12" outlineLevel="2">
      <c r="A1295" s="21"/>
      <c r="B1295" s="12" t="str">
        <f>IFERROR(VLOOKUP(D1295,'[1]Перечень товаров'!$A$2:$I9525,2,0),"")</f>
        <v>т1</v>
      </c>
      <c r="C1295" s="12" t="str">
        <f>IFERROR(VLOOKUP(D1295,'[1]Перечень товаров'!$A$2:$I9525,3,0),"")</f>
        <v xml:space="preserve">Техника </v>
      </c>
      <c r="D1295" s="22" t="s">
        <v>28</v>
      </c>
      <c r="E1295" s="23"/>
      <c r="F1295" s="23"/>
      <c r="G1295" s="137">
        <v>1</v>
      </c>
      <c r="H1295" s="137"/>
      <c r="I1295" s="138"/>
      <c r="J1295" s="138"/>
      <c r="K1295" s="19"/>
      <c r="L1295" s="20"/>
    </row>
    <row r="1296" spans="1:12" outlineLevel="2">
      <c r="A1296" s="35"/>
      <c r="B1296" s="12" t="str">
        <f>IFERROR(VLOOKUP(D1296,'[1]Перечень товаров'!$A$2:$I9525,2,0),"")</f>
        <v>т2</v>
      </c>
      <c r="C1296" s="12" t="str">
        <f>IFERROR(VLOOKUP(D1296,'[1]Перечень товаров'!$A$2:$I9525,3,0),"")</f>
        <v xml:space="preserve">Техника </v>
      </c>
      <c r="D1296" s="35" t="s">
        <v>29</v>
      </c>
      <c r="E1296" s="23"/>
      <c r="F1296" s="23"/>
      <c r="G1296" s="137">
        <v>1</v>
      </c>
      <c r="H1296" s="137"/>
      <c r="I1296" s="138"/>
      <c r="J1296" s="138"/>
      <c r="K1296" s="19"/>
      <c r="L1296" s="20"/>
    </row>
    <row r="1297" spans="1:12" outlineLevel="2">
      <c r="A1297" s="35"/>
      <c r="B1297" s="12" t="str">
        <f>IFERROR(VLOOKUP(D1297,'[1]Перечень товаров'!$A$2:$I9525,2,0),"")</f>
        <v>т3</v>
      </c>
      <c r="C1297" s="12" t="str">
        <f>IFERROR(VLOOKUP(D1297,'[1]Перечень товаров'!$A$2:$I9525,3,0),"")</f>
        <v xml:space="preserve">Техника </v>
      </c>
      <c r="D1297" s="35" t="s">
        <v>30</v>
      </c>
      <c r="E1297" s="23"/>
      <c r="F1297" s="23"/>
      <c r="G1297" s="137">
        <v>1</v>
      </c>
      <c r="H1297" s="137"/>
      <c r="I1297" s="138"/>
      <c r="J1297" s="138"/>
      <c r="K1297" s="19"/>
      <c r="L1297" s="20"/>
    </row>
    <row r="1298" spans="1:12" outlineLevel="2">
      <c r="A1298" s="35"/>
      <c r="B1298" s="12" t="str">
        <f>IFERROR(VLOOKUP(D1298,'[1]Перечень товаров'!$A$2:$I9525,2,0),"")</f>
        <v>т4</v>
      </c>
      <c r="C1298" s="12" t="str">
        <f>IFERROR(VLOOKUP(D1298,'[1]Перечень товаров'!$A$2:$I9525,3,0),"")</f>
        <v xml:space="preserve">Техника </v>
      </c>
      <c r="D1298" s="35" t="s">
        <v>31</v>
      </c>
      <c r="E1298" s="23"/>
      <c r="F1298" s="23"/>
      <c r="G1298" s="137">
        <v>1</v>
      </c>
      <c r="H1298" s="137"/>
      <c r="I1298" s="138"/>
      <c r="J1298" s="138"/>
      <c r="K1298" s="19"/>
      <c r="L1298" s="20"/>
    </row>
    <row r="1299" spans="1:12" outlineLevel="2">
      <c r="A1299" s="21"/>
      <c r="B1299" s="12" t="str">
        <f>IFERROR(VLOOKUP(D1299,'[1]Перечень товаров'!$A$2:$I9525,2,0),"")</f>
        <v>т12</v>
      </c>
      <c r="C1299" s="12" t="str">
        <f>IFERROR(VLOOKUP(D1299,'[1]Перечень товаров'!$A$2:$I9525,3,0),"")</f>
        <v>Техника</v>
      </c>
      <c r="D1299" s="22" t="s">
        <v>49</v>
      </c>
      <c r="E1299" s="23"/>
      <c r="F1299" s="23"/>
      <c r="G1299" s="48">
        <v>1</v>
      </c>
      <c r="H1299" s="48"/>
      <c r="I1299" s="49"/>
      <c r="J1299" s="49"/>
      <c r="K1299" s="19"/>
      <c r="L1299" s="20"/>
    </row>
    <row r="1300" spans="1:12" outlineLevel="2">
      <c r="A1300" s="35"/>
      <c r="B1300" s="12" t="str">
        <f>IFERROR(VLOOKUP(D1300,'[1]Перечень товаров'!$A$2:$I9525,2,0),"")</f>
        <v>т6</v>
      </c>
      <c r="C1300" s="12" t="str">
        <f>IFERROR(VLOOKUP(D1300,'[1]Перечень товаров'!$A$2:$I9525,3,0),"")</f>
        <v xml:space="preserve">Техника </v>
      </c>
      <c r="D1300" s="35" t="s">
        <v>33</v>
      </c>
      <c r="E1300" s="23"/>
      <c r="F1300" s="23"/>
      <c r="G1300" s="48">
        <v>1</v>
      </c>
      <c r="H1300" s="48"/>
      <c r="I1300" s="49"/>
      <c r="J1300" s="49"/>
      <c r="K1300" s="19"/>
      <c r="L1300" s="20"/>
    </row>
    <row r="1301" spans="1:12" outlineLevel="2">
      <c r="A1301" s="21"/>
      <c r="B1301" s="12" t="str">
        <f>IFERROR(VLOOKUP(D1301,'[1]Перечень товаров'!$A$2:$I9525,2,0),"")</f>
        <v>т7</v>
      </c>
      <c r="C1301" s="12" t="str">
        <f>IFERROR(VLOOKUP(D1301,'[1]Перечень товаров'!$A$2:$I9525,3,0),"")</f>
        <v xml:space="preserve">Техника </v>
      </c>
      <c r="D1301" s="22" t="s">
        <v>34</v>
      </c>
      <c r="E1301" s="23"/>
      <c r="F1301" s="23"/>
      <c r="G1301" s="48">
        <v>1</v>
      </c>
      <c r="H1301" s="48"/>
      <c r="I1301" s="49"/>
      <c r="J1301" s="49"/>
      <c r="K1301" s="19"/>
      <c r="L1301" s="20"/>
    </row>
    <row r="1302" spans="1:12" outlineLevel="2">
      <c r="A1302" s="21"/>
      <c r="B1302" s="12" t="str">
        <f>IFERROR(VLOOKUP(D1302,'[1]Перечень товаров'!$A$2:$I9525,2,0),"")</f>
        <v>т8</v>
      </c>
      <c r="C1302" s="12" t="str">
        <f>IFERROR(VLOOKUP(D1302,'[1]Перечень товаров'!$A$2:$I9525,3,0),"")</f>
        <v xml:space="preserve">Техника </v>
      </c>
      <c r="D1302" s="22" t="s">
        <v>35</v>
      </c>
      <c r="E1302" s="23"/>
      <c r="F1302" s="23"/>
      <c r="G1302" s="48">
        <v>1</v>
      </c>
      <c r="H1302" s="48"/>
      <c r="I1302" s="49"/>
      <c r="J1302" s="49"/>
      <c r="K1302" s="19"/>
      <c r="L1302" s="20"/>
    </row>
    <row r="1303" spans="1:12" ht="15" outlineLevel="2">
      <c r="A1303" s="139"/>
      <c r="B1303" s="12" t="str">
        <f>IFERROR(VLOOKUP(D1303,'[1]Перечень товаров'!$A$2:$I9525,2,0),"")</f>
        <v/>
      </c>
      <c r="C1303" s="12" t="str">
        <f>IFERROR(VLOOKUP(D1303,'[1]Перечень товаров'!$A$2:$I9525,3,0),"")</f>
        <v/>
      </c>
      <c r="D1303" s="140" t="s">
        <v>19</v>
      </c>
      <c r="E1303" s="45"/>
      <c r="F1303" s="45"/>
      <c r="G1303" s="141"/>
      <c r="H1303" s="141"/>
      <c r="I1303" s="142"/>
      <c r="J1303" s="142"/>
      <c r="K1303" s="19"/>
      <c r="L1303" s="20"/>
    </row>
    <row r="1304" spans="1:12" ht="31.5" outlineLevel="2">
      <c r="A1304" s="21"/>
      <c r="B1304" s="12" t="str">
        <f>IFERROR(VLOOKUP(D1304,'[1]Перечень товаров'!$A$2:$I9525,2,0),"")</f>
        <v>м205</v>
      </c>
      <c r="C1304" s="12" t="str">
        <f>IFERROR(VLOOKUP(D1304,'[1]Перечень товаров'!$A$2:$I9525,3,0),"")</f>
        <v>Мебель</v>
      </c>
      <c r="D1304" s="22" t="s">
        <v>20</v>
      </c>
      <c r="E1304" s="23"/>
      <c r="F1304" s="23"/>
      <c r="G1304" s="48">
        <v>1</v>
      </c>
      <c r="H1304" s="48"/>
      <c r="I1304" s="49"/>
      <c r="J1304" s="49"/>
      <c r="K1304" s="19"/>
      <c r="L1304" s="20"/>
    </row>
    <row r="1305" spans="1:12" outlineLevel="2">
      <c r="A1305" s="21"/>
      <c r="B1305" s="12" t="str">
        <f>IFERROR(VLOOKUP(D1305,'[1]Перечень товаров'!$A$2:$I9525,2,0),"")</f>
        <v>м13</v>
      </c>
      <c r="C1305" s="12" t="str">
        <f>IFERROR(VLOOKUP(D1305,'[1]Перечень товаров'!$A$2:$I9525,3,0),"")</f>
        <v>Мебель</v>
      </c>
      <c r="D1305" s="22" t="s">
        <v>42</v>
      </c>
      <c r="E1305" s="23"/>
      <c r="F1305" s="23"/>
      <c r="G1305" s="48">
        <v>1</v>
      </c>
      <c r="H1305" s="48"/>
      <c r="I1305" s="49"/>
      <c r="J1305" s="49"/>
      <c r="K1305" s="19"/>
      <c r="L1305" s="20"/>
    </row>
    <row r="1306" spans="1:12" outlineLevel="2">
      <c r="A1306" s="21"/>
      <c r="B1306" s="12" t="str">
        <f>IFERROR(VLOOKUP(D1306,'[1]Перечень товаров'!$A$2:$I9525,2,0),"")</f>
        <v>м14</v>
      </c>
      <c r="C1306" s="12" t="str">
        <f>IFERROR(VLOOKUP(D1306,'[1]Перечень товаров'!$A$2:$I9525,3,0),"")</f>
        <v>Мебель</v>
      </c>
      <c r="D1306" s="22" t="s">
        <v>43</v>
      </c>
      <c r="E1306" s="23"/>
      <c r="F1306" s="23"/>
      <c r="G1306" s="48">
        <v>1</v>
      </c>
      <c r="H1306" s="48"/>
      <c r="I1306" s="49"/>
      <c r="J1306" s="49"/>
      <c r="K1306" s="19"/>
      <c r="L1306" s="20"/>
    </row>
    <row r="1307" spans="1:12" outlineLevel="2">
      <c r="A1307" s="21"/>
      <c r="B1307" s="12" t="str">
        <f>IFERROR(VLOOKUP(D1307,'[1]Перечень товаров'!$A$2:$I9525,2,0),"")</f>
        <v>м170</v>
      </c>
      <c r="C1307" s="12" t="str">
        <f>IFERROR(VLOOKUP(D1307,'[1]Перечень товаров'!$A$2:$I9525,3,0),"")</f>
        <v>Мебель</v>
      </c>
      <c r="D1307" s="22" t="s">
        <v>515</v>
      </c>
      <c r="E1307" s="23"/>
      <c r="F1307" s="23"/>
      <c r="G1307" s="48">
        <v>1</v>
      </c>
      <c r="H1307" s="48"/>
      <c r="I1307" s="49"/>
      <c r="J1307" s="49"/>
      <c r="K1307" s="19"/>
      <c r="L1307" s="20"/>
    </row>
    <row r="1308" spans="1:12" ht="15" outlineLevel="2">
      <c r="A1308" s="54"/>
      <c r="B1308" s="12" t="str">
        <f>IFERROR(VLOOKUP(D1308,'[1]Перечень товаров'!$A$2:$I9525,2,0),"")</f>
        <v/>
      </c>
      <c r="C1308" s="12" t="str">
        <f>IFERROR(VLOOKUP(D1308,'[1]Перечень товаров'!$A$2:$I9525,3,0),"")</f>
        <v/>
      </c>
      <c r="D1308" s="55" t="s">
        <v>45</v>
      </c>
      <c r="E1308" s="56"/>
      <c r="F1308" s="56"/>
      <c r="G1308" s="17"/>
      <c r="H1308" s="17"/>
      <c r="I1308" s="57"/>
      <c r="J1308" s="57"/>
      <c r="K1308" s="19"/>
      <c r="L1308" s="20"/>
    </row>
    <row r="1309" spans="1:12" outlineLevel="2">
      <c r="A1309" s="21"/>
      <c r="B1309" s="12" t="str">
        <f>IFERROR(VLOOKUP(D1309,'[1]Перечень товаров'!$A$2:$I9525,2,0),"")</f>
        <v>п2</v>
      </c>
      <c r="C1309" s="12" t="str">
        <f>IFERROR(VLOOKUP(D1309,'[1]Перечень товаров'!$A$2:$I9525,3,0),"")</f>
        <v>Прочее</v>
      </c>
      <c r="D1309" s="22" t="s">
        <v>46</v>
      </c>
      <c r="E1309" s="58"/>
      <c r="F1309" s="58"/>
      <c r="G1309" s="24">
        <v>1</v>
      </c>
      <c r="H1309" s="24"/>
      <c r="I1309" s="25"/>
      <c r="J1309" s="25"/>
      <c r="K1309" s="19"/>
      <c r="L1309" s="20"/>
    </row>
    <row r="1310" spans="1:12" outlineLevel="2">
      <c r="A1310" s="43"/>
      <c r="B1310" s="12" t="str">
        <f>IFERROR(VLOOKUP(D1310,'[1]Перечень товаров'!$A$2:$I9525,2,0),"")</f>
        <v>м7</v>
      </c>
      <c r="C1310" s="12" t="str">
        <f>IFERROR(VLOOKUP(D1310,'[1]Перечень товаров'!$A$2:$I9525,3,0),"")</f>
        <v>Мебель</v>
      </c>
      <c r="D1310" s="44" t="s">
        <v>24</v>
      </c>
      <c r="E1310" s="30"/>
      <c r="F1310" s="30"/>
      <c r="G1310" s="59">
        <v>1</v>
      </c>
      <c r="H1310" s="59"/>
      <c r="I1310" s="60"/>
      <c r="J1310" s="60"/>
      <c r="K1310" s="19"/>
      <c r="L1310" s="20"/>
    </row>
    <row r="1311" spans="1:12" outlineLevel="2">
      <c r="A1311" s="43"/>
      <c r="B1311" s="12" t="str">
        <f>IFERROR(VLOOKUP(D1311,'[1]Перечень товаров'!$A$2:$I9525,2,0),"")</f>
        <v>п1</v>
      </c>
      <c r="C1311" s="12" t="str">
        <f>IFERROR(VLOOKUP(D1311,'[1]Перечень товаров'!$A$2:$I9525,3,0),"")</f>
        <v>Прочее</v>
      </c>
      <c r="D1311" s="44" t="s">
        <v>37</v>
      </c>
      <c r="E1311" s="30"/>
      <c r="F1311" s="30"/>
      <c r="G1311" s="59">
        <v>1</v>
      </c>
      <c r="H1311" s="59"/>
      <c r="I1311" s="60"/>
      <c r="J1311" s="60"/>
      <c r="K1311" s="19"/>
      <c r="L1311" s="20"/>
    </row>
    <row r="1312" spans="1:12" ht="12.75" outlineLevel="1">
      <c r="A1312" s="11"/>
      <c r="B1312" s="12" t="str">
        <f>IFERROR(VLOOKUP(D1312,'[1]Перечень товаров'!$A$2:$I9525,2,0),"")</f>
        <v/>
      </c>
      <c r="C1312" s="12" t="str">
        <f>IFERROR(VLOOKUP(D1312,'[1]Перечень товаров'!$A$2:$I9525,3,0),"")</f>
        <v/>
      </c>
      <c r="D1312" s="27" t="s">
        <v>524</v>
      </c>
      <c r="E1312" s="14" t="s">
        <v>525</v>
      </c>
      <c r="F1312" s="14"/>
      <c r="G1312" s="17"/>
      <c r="H1312" s="17"/>
      <c r="I1312" s="57"/>
      <c r="J1312" s="57"/>
      <c r="K1312" s="19"/>
      <c r="L1312" s="20"/>
    </row>
    <row r="1313" spans="1:12" ht="15" outlineLevel="2">
      <c r="A1313" s="133"/>
      <c r="B1313" s="12" t="str">
        <f>IFERROR(VLOOKUP(D1313,'[1]Перечень товаров'!$A$2:$I9525,2,0),"")</f>
        <v/>
      </c>
      <c r="C1313" s="12" t="str">
        <f>IFERROR(VLOOKUP(D1313,'[1]Перечень товаров'!$A$2:$I9525,3,0),"")</f>
        <v/>
      </c>
      <c r="D1313" s="134" t="s">
        <v>27</v>
      </c>
      <c r="E1313" s="45"/>
      <c r="F1313" s="45"/>
      <c r="G1313" s="127"/>
      <c r="H1313" s="127"/>
      <c r="I1313" s="128"/>
      <c r="J1313" s="128"/>
      <c r="K1313" s="19"/>
      <c r="L1313" s="20"/>
    </row>
    <row r="1314" spans="1:12" outlineLevel="2">
      <c r="A1314" s="21"/>
      <c r="B1314" s="12" t="str">
        <f>IFERROR(VLOOKUP(D1314,'[1]Перечень товаров'!$A$2:$I9525,2,0),"")</f>
        <v>т1</v>
      </c>
      <c r="C1314" s="12" t="str">
        <f>IFERROR(VLOOKUP(D1314,'[1]Перечень товаров'!$A$2:$I9525,3,0),"")</f>
        <v xml:space="preserve">Техника </v>
      </c>
      <c r="D1314" s="22" t="s">
        <v>28</v>
      </c>
      <c r="E1314" s="23"/>
      <c r="F1314" s="23"/>
      <c r="G1314" s="137">
        <v>1</v>
      </c>
      <c r="H1314" s="137"/>
      <c r="I1314" s="138"/>
      <c r="J1314" s="138"/>
      <c r="K1314" s="19"/>
      <c r="L1314" s="20"/>
    </row>
    <row r="1315" spans="1:12" outlineLevel="2">
      <c r="A1315" s="35"/>
      <c r="B1315" s="12" t="str">
        <f>IFERROR(VLOOKUP(D1315,'[1]Перечень товаров'!$A$2:$I9525,2,0),"")</f>
        <v>т2</v>
      </c>
      <c r="C1315" s="12" t="str">
        <f>IFERROR(VLOOKUP(D1315,'[1]Перечень товаров'!$A$2:$I9525,3,0),"")</f>
        <v xml:space="preserve">Техника </v>
      </c>
      <c r="D1315" s="35" t="s">
        <v>29</v>
      </c>
      <c r="E1315" s="23"/>
      <c r="F1315" s="23"/>
      <c r="G1315" s="137">
        <v>1</v>
      </c>
      <c r="H1315" s="137"/>
      <c r="I1315" s="138"/>
      <c r="J1315" s="138"/>
      <c r="K1315" s="19"/>
      <c r="L1315" s="20"/>
    </row>
    <row r="1316" spans="1:12" outlineLevel="2">
      <c r="A1316" s="35"/>
      <c r="B1316" s="12" t="str">
        <f>IFERROR(VLOOKUP(D1316,'[1]Перечень товаров'!$A$2:$I9525,2,0),"")</f>
        <v>т3</v>
      </c>
      <c r="C1316" s="12" t="str">
        <f>IFERROR(VLOOKUP(D1316,'[1]Перечень товаров'!$A$2:$I9525,3,0),"")</f>
        <v xml:space="preserve">Техника </v>
      </c>
      <c r="D1316" s="35" t="s">
        <v>30</v>
      </c>
      <c r="E1316" s="23"/>
      <c r="F1316" s="23"/>
      <c r="G1316" s="137">
        <v>1</v>
      </c>
      <c r="H1316" s="137"/>
      <c r="I1316" s="138"/>
      <c r="J1316" s="138"/>
      <c r="K1316" s="19"/>
      <c r="L1316" s="20"/>
    </row>
    <row r="1317" spans="1:12" outlineLevel="2">
      <c r="A1317" s="35"/>
      <c r="B1317" s="12" t="str">
        <f>IFERROR(VLOOKUP(D1317,'[1]Перечень товаров'!$A$2:$I9525,2,0),"")</f>
        <v>т4</v>
      </c>
      <c r="C1317" s="12" t="str">
        <f>IFERROR(VLOOKUP(D1317,'[1]Перечень товаров'!$A$2:$I9525,3,0),"")</f>
        <v xml:space="preserve">Техника </v>
      </c>
      <c r="D1317" s="35" t="s">
        <v>31</v>
      </c>
      <c r="E1317" s="23"/>
      <c r="F1317" s="23"/>
      <c r="G1317" s="137">
        <v>1</v>
      </c>
      <c r="H1317" s="137"/>
      <c r="I1317" s="138"/>
      <c r="J1317" s="138"/>
      <c r="K1317" s="19"/>
      <c r="L1317" s="20"/>
    </row>
    <row r="1318" spans="1:12" outlineLevel="2">
      <c r="A1318" s="21"/>
      <c r="B1318" s="12" t="str">
        <f>IFERROR(VLOOKUP(D1318,'[1]Перечень товаров'!$A$2:$I9525,2,0),"")</f>
        <v>т12</v>
      </c>
      <c r="C1318" s="12" t="str">
        <f>IFERROR(VLOOKUP(D1318,'[1]Перечень товаров'!$A$2:$I9525,3,0),"")</f>
        <v>Техника</v>
      </c>
      <c r="D1318" s="22" t="s">
        <v>49</v>
      </c>
      <c r="E1318" s="23"/>
      <c r="F1318" s="23"/>
      <c r="G1318" s="48">
        <v>1</v>
      </c>
      <c r="H1318" s="48"/>
      <c r="I1318" s="49"/>
      <c r="J1318" s="49"/>
      <c r="K1318" s="19"/>
      <c r="L1318" s="20"/>
    </row>
    <row r="1319" spans="1:12" outlineLevel="2">
      <c r="A1319" s="35"/>
      <c r="B1319" s="12" t="str">
        <f>IFERROR(VLOOKUP(D1319,'[1]Перечень товаров'!$A$2:$I9525,2,0),"")</f>
        <v>т6</v>
      </c>
      <c r="C1319" s="12" t="str">
        <f>IFERROR(VLOOKUP(D1319,'[1]Перечень товаров'!$A$2:$I9525,3,0),"")</f>
        <v xml:space="preserve">Техника </v>
      </c>
      <c r="D1319" s="35" t="s">
        <v>33</v>
      </c>
      <c r="E1319" s="23"/>
      <c r="F1319" s="23"/>
      <c r="G1319" s="48">
        <v>1</v>
      </c>
      <c r="H1319" s="48"/>
      <c r="I1319" s="49"/>
      <c r="J1319" s="49"/>
      <c r="K1319" s="19"/>
      <c r="L1319" s="20"/>
    </row>
    <row r="1320" spans="1:12" outlineLevel="2">
      <c r="A1320" s="21"/>
      <c r="B1320" s="12" t="str">
        <f>IFERROR(VLOOKUP(D1320,'[1]Перечень товаров'!$A$2:$I9525,2,0),"")</f>
        <v>т7</v>
      </c>
      <c r="C1320" s="12" t="str">
        <f>IFERROR(VLOOKUP(D1320,'[1]Перечень товаров'!$A$2:$I9525,3,0),"")</f>
        <v xml:space="preserve">Техника </v>
      </c>
      <c r="D1320" s="22" t="s">
        <v>34</v>
      </c>
      <c r="E1320" s="23"/>
      <c r="F1320" s="23"/>
      <c r="G1320" s="48">
        <v>1</v>
      </c>
      <c r="H1320" s="48"/>
      <c r="I1320" s="49"/>
      <c r="J1320" s="49"/>
      <c r="K1320" s="19"/>
      <c r="L1320" s="20"/>
    </row>
    <row r="1321" spans="1:12" outlineLevel="2">
      <c r="A1321" s="21"/>
      <c r="B1321" s="12" t="str">
        <f>IFERROR(VLOOKUP(D1321,'[1]Перечень товаров'!$A$2:$I9525,2,0),"")</f>
        <v>т8</v>
      </c>
      <c r="C1321" s="12" t="str">
        <f>IFERROR(VLOOKUP(D1321,'[1]Перечень товаров'!$A$2:$I9525,3,0),"")</f>
        <v xml:space="preserve">Техника </v>
      </c>
      <c r="D1321" s="22" t="s">
        <v>35</v>
      </c>
      <c r="E1321" s="23"/>
      <c r="F1321" s="23"/>
      <c r="G1321" s="48">
        <v>1</v>
      </c>
      <c r="H1321" s="48"/>
      <c r="I1321" s="49"/>
      <c r="J1321" s="49"/>
      <c r="K1321" s="19"/>
      <c r="L1321" s="20"/>
    </row>
    <row r="1322" spans="1:12" ht="15" outlineLevel="2">
      <c r="A1322" s="139"/>
      <c r="B1322" s="12" t="str">
        <f>IFERROR(VLOOKUP(D1322,'[1]Перечень товаров'!$A$2:$I9525,2,0),"")</f>
        <v/>
      </c>
      <c r="C1322" s="12" t="str">
        <f>IFERROR(VLOOKUP(D1322,'[1]Перечень товаров'!$A$2:$I9525,3,0),"")</f>
        <v/>
      </c>
      <c r="D1322" s="140" t="s">
        <v>19</v>
      </c>
      <c r="E1322" s="45"/>
      <c r="F1322" s="45"/>
      <c r="G1322" s="141"/>
      <c r="H1322" s="141"/>
      <c r="I1322" s="142"/>
      <c r="J1322" s="142"/>
      <c r="K1322" s="19"/>
      <c r="L1322" s="20"/>
    </row>
    <row r="1323" spans="1:12" ht="31.5" outlineLevel="2">
      <c r="A1323" s="21"/>
      <c r="B1323" s="12" t="str">
        <f>IFERROR(VLOOKUP(D1323,'[1]Перечень товаров'!$A$2:$I9525,2,0),"")</f>
        <v>м205</v>
      </c>
      <c r="C1323" s="12" t="str">
        <f>IFERROR(VLOOKUP(D1323,'[1]Перечень товаров'!$A$2:$I9525,3,0),"")</f>
        <v>Мебель</v>
      </c>
      <c r="D1323" s="22" t="s">
        <v>20</v>
      </c>
      <c r="E1323" s="23"/>
      <c r="F1323" s="23"/>
      <c r="G1323" s="48">
        <v>1</v>
      </c>
      <c r="H1323" s="48"/>
      <c r="I1323" s="49"/>
      <c r="J1323" s="49"/>
      <c r="K1323" s="19"/>
      <c r="L1323" s="20"/>
    </row>
    <row r="1324" spans="1:12" outlineLevel="2">
      <c r="A1324" s="21"/>
      <c r="B1324" s="12" t="str">
        <f>IFERROR(VLOOKUP(D1324,'[1]Перечень товаров'!$A$2:$I9525,2,0),"")</f>
        <v>м13</v>
      </c>
      <c r="C1324" s="12" t="str">
        <f>IFERROR(VLOOKUP(D1324,'[1]Перечень товаров'!$A$2:$I9525,3,0),"")</f>
        <v>Мебель</v>
      </c>
      <c r="D1324" s="22" t="s">
        <v>42</v>
      </c>
      <c r="E1324" s="23"/>
      <c r="F1324" s="23"/>
      <c r="G1324" s="48">
        <v>1</v>
      </c>
      <c r="H1324" s="48"/>
      <c r="I1324" s="49"/>
      <c r="J1324" s="49"/>
      <c r="K1324" s="19"/>
      <c r="L1324" s="20"/>
    </row>
    <row r="1325" spans="1:12" outlineLevel="2">
      <c r="A1325" s="21"/>
      <c r="B1325" s="12" t="str">
        <f>IFERROR(VLOOKUP(D1325,'[1]Перечень товаров'!$A$2:$I9525,2,0),"")</f>
        <v>м14</v>
      </c>
      <c r="C1325" s="12" t="str">
        <f>IFERROR(VLOOKUP(D1325,'[1]Перечень товаров'!$A$2:$I9525,3,0),"")</f>
        <v>Мебель</v>
      </c>
      <c r="D1325" s="22" t="s">
        <v>43</v>
      </c>
      <c r="E1325" s="23"/>
      <c r="F1325" s="23"/>
      <c r="G1325" s="48">
        <v>1</v>
      </c>
      <c r="H1325" s="48"/>
      <c r="I1325" s="49"/>
      <c r="J1325" s="49"/>
      <c r="K1325" s="19"/>
      <c r="L1325" s="20"/>
    </row>
    <row r="1326" spans="1:12" outlineLevel="2">
      <c r="A1326" s="21"/>
      <c r="B1326" s="12" t="str">
        <f>IFERROR(VLOOKUP(D1326,'[1]Перечень товаров'!$A$2:$I9525,2,0),"")</f>
        <v>м17</v>
      </c>
      <c r="C1326" s="12" t="str">
        <f>IFERROR(VLOOKUP(D1326,'[1]Перечень товаров'!$A$2:$I9525,3,0),"")</f>
        <v>Мебель</v>
      </c>
      <c r="D1326" s="22" t="s">
        <v>51</v>
      </c>
      <c r="E1326" s="23"/>
      <c r="F1326" s="23"/>
      <c r="G1326" s="48">
        <v>1</v>
      </c>
      <c r="H1326" s="48"/>
      <c r="I1326" s="49"/>
      <c r="J1326" s="49"/>
      <c r="K1326" s="19"/>
      <c r="L1326" s="20"/>
    </row>
    <row r="1327" spans="1:12" outlineLevel="2">
      <c r="A1327" s="22"/>
      <c r="B1327" s="12" t="str">
        <f>IFERROR(VLOOKUP(D1327,'[1]Перечень товаров'!$A$2:$I9525,2,0),"")</f>
        <v>м23</v>
      </c>
      <c r="C1327" s="12" t="str">
        <f>IFERROR(VLOOKUP(D1327,'[1]Перечень товаров'!$A$2:$I9525,3,0),"")</f>
        <v>Мебель</v>
      </c>
      <c r="D1327" s="22" t="s">
        <v>76</v>
      </c>
      <c r="E1327" s="23"/>
      <c r="F1327" s="23"/>
      <c r="G1327" s="48">
        <v>2</v>
      </c>
      <c r="H1327" s="48"/>
      <c r="I1327" s="49"/>
      <c r="J1327" s="49"/>
      <c r="K1327" s="19"/>
      <c r="L1327" s="20"/>
    </row>
    <row r="1328" spans="1:12" outlineLevel="2">
      <c r="A1328" s="22"/>
      <c r="B1328" s="12" t="str">
        <f>IFERROR(VLOOKUP(D1328,'[1]Перечень товаров'!$A$2:$I9525,2,0),"")</f>
        <v>м173</v>
      </c>
      <c r="C1328" s="12" t="str">
        <f>IFERROR(VLOOKUP(D1328,'[1]Перечень товаров'!$A$2:$I9525,3,0),"")</f>
        <v>Мебель</v>
      </c>
      <c r="D1328" s="22" t="s">
        <v>526</v>
      </c>
      <c r="E1328" s="23"/>
      <c r="F1328" s="23"/>
      <c r="G1328" s="48">
        <v>1</v>
      </c>
      <c r="H1328" s="48"/>
      <c r="I1328" s="49"/>
      <c r="J1328" s="49"/>
      <c r="K1328" s="19"/>
      <c r="L1328" s="20"/>
    </row>
    <row r="1329" spans="1:12" outlineLevel="2">
      <c r="A1329" s="22"/>
      <c r="B1329" s="12" t="str">
        <f>IFERROR(VLOOKUP(D1329,'[1]Перечень товаров'!$A$2:$I9525,2,0),"")</f>
        <v>м19</v>
      </c>
      <c r="C1329" s="12" t="str">
        <f>IFERROR(VLOOKUP(D1329,'[1]Перечень товаров'!$A$2:$I9525,3,0),"")</f>
        <v>Мебель</v>
      </c>
      <c r="D1329" s="22" t="s">
        <v>53</v>
      </c>
      <c r="E1329" s="23"/>
      <c r="F1329" s="23"/>
      <c r="G1329" s="48">
        <v>16</v>
      </c>
      <c r="H1329" s="48"/>
      <c r="I1329" s="49"/>
      <c r="J1329" s="49"/>
      <c r="K1329" s="19"/>
      <c r="L1329" s="20"/>
    </row>
    <row r="1330" spans="1:12" ht="15" outlineLevel="2">
      <c r="A1330" s="54"/>
      <c r="B1330" s="12" t="str">
        <f>IFERROR(VLOOKUP(D1330,'[1]Перечень товаров'!$A$2:$I9525,2,0),"")</f>
        <v/>
      </c>
      <c r="C1330" s="12" t="str">
        <f>IFERROR(VLOOKUP(D1330,'[1]Перечень товаров'!$A$2:$I9525,3,0),"")</f>
        <v/>
      </c>
      <c r="D1330" s="55" t="s">
        <v>45</v>
      </c>
      <c r="E1330" s="56"/>
      <c r="F1330" s="56"/>
      <c r="G1330" s="17"/>
      <c r="H1330" s="17"/>
      <c r="I1330" s="57"/>
      <c r="J1330" s="57"/>
      <c r="K1330" s="19"/>
      <c r="L1330" s="20"/>
    </row>
    <row r="1331" spans="1:12" outlineLevel="2">
      <c r="A1331" s="21"/>
      <c r="B1331" s="12" t="str">
        <f>IFERROR(VLOOKUP(D1331,'[1]Перечень товаров'!$A$2:$I9525,2,0),"")</f>
        <v>п2</v>
      </c>
      <c r="C1331" s="12" t="str">
        <f>IFERROR(VLOOKUP(D1331,'[1]Перечень товаров'!$A$2:$I9525,3,0),"")</f>
        <v>Прочее</v>
      </c>
      <c r="D1331" s="22" t="s">
        <v>46</v>
      </c>
      <c r="E1331" s="58"/>
      <c r="F1331" s="58"/>
      <c r="G1331" s="24">
        <v>1</v>
      </c>
      <c r="H1331" s="24"/>
      <c r="I1331" s="25"/>
      <c r="J1331" s="25"/>
      <c r="K1331" s="19"/>
      <c r="L1331" s="20"/>
    </row>
    <row r="1332" spans="1:12" outlineLevel="2">
      <c r="A1332" s="43"/>
      <c r="B1332" s="12" t="str">
        <f>IFERROR(VLOOKUP(D1332,'[1]Перечень товаров'!$A$2:$I9525,2,0),"")</f>
        <v>м7</v>
      </c>
      <c r="C1332" s="12" t="str">
        <f>IFERROR(VLOOKUP(D1332,'[1]Перечень товаров'!$A$2:$I9525,3,0),"")</f>
        <v>Мебель</v>
      </c>
      <c r="D1332" s="44" t="s">
        <v>24</v>
      </c>
      <c r="E1332" s="30"/>
      <c r="F1332" s="30"/>
      <c r="G1332" s="59">
        <v>1</v>
      </c>
      <c r="H1332" s="59"/>
      <c r="I1332" s="60"/>
      <c r="J1332" s="60"/>
      <c r="K1332" s="19"/>
      <c r="L1332" s="20"/>
    </row>
    <row r="1333" spans="1:12" outlineLevel="2">
      <c r="A1333" s="43"/>
      <c r="B1333" s="12" t="str">
        <f>IFERROR(VLOOKUP(D1333,'[1]Перечень товаров'!$A$2:$I9525,2,0),"")</f>
        <v>п1</v>
      </c>
      <c r="C1333" s="12" t="str">
        <f>IFERROR(VLOOKUP(D1333,'[1]Перечень товаров'!$A$2:$I9525,3,0),"")</f>
        <v>Прочее</v>
      </c>
      <c r="D1333" s="44" t="s">
        <v>37</v>
      </c>
      <c r="E1333" s="30"/>
      <c r="F1333" s="30"/>
      <c r="G1333" s="59">
        <v>1</v>
      </c>
      <c r="H1333" s="59"/>
      <c r="I1333" s="60"/>
      <c r="J1333" s="60"/>
      <c r="K1333" s="19"/>
      <c r="L1333" s="20"/>
    </row>
    <row r="1334" spans="1:12" outlineLevel="2">
      <c r="A1334" s="21"/>
      <c r="B1334" s="12" t="str">
        <f>IFERROR(VLOOKUP(D1334,'[1]Перечень товаров'!$A$2:$I9525,2,0),"")</f>
        <v>т10</v>
      </c>
      <c r="C1334" s="12" t="str">
        <f>IFERROR(VLOOKUP(D1334,'[1]Перечень товаров'!$A$2:$I9525,3,0),"")</f>
        <v xml:space="preserve">Техника </v>
      </c>
      <c r="D1334" s="22" t="s">
        <v>39</v>
      </c>
      <c r="E1334" s="23"/>
      <c r="F1334" s="23"/>
      <c r="G1334" s="24">
        <v>1</v>
      </c>
      <c r="H1334" s="24"/>
      <c r="I1334" s="25"/>
      <c r="J1334" s="25"/>
      <c r="K1334" s="19"/>
      <c r="L1334" s="20"/>
    </row>
    <row r="1335" spans="1:12" ht="12.75" outlineLevel="1">
      <c r="A1335" s="11"/>
      <c r="B1335" s="12" t="str">
        <f>IFERROR(VLOOKUP(D1335,'[1]Перечень товаров'!$A$2:$I9525,2,0),"")</f>
        <v/>
      </c>
      <c r="C1335" s="12" t="str">
        <f>IFERROR(VLOOKUP(D1335,'[1]Перечень товаров'!$A$2:$I9525,3,0),"")</f>
        <v/>
      </c>
      <c r="D1335" s="27" t="s">
        <v>527</v>
      </c>
      <c r="E1335" s="99">
        <v>46247</v>
      </c>
      <c r="F1335" s="99"/>
      <c r="G1335" s="100"/>
      <c r="H1335" s="100"/>
      <c r="I1335" s="101"/>
      <c r="J1335" s="101"/>
      <c r="K1335" s="19"/>
      <c r="L1335" s="20"/>
    </row>
    <row r="1336" spans="1:12" outlineLevel="2">
      <c r="A1336" s="22"/>
      <c r="B1336" s="12" t="str">
        <f>IFERROR(VLOOKUP(D1336,'[1]Перечень товаров'!$A$2:$I9525,2,0),"")</f>
        <v>п25</v>
      </c>
      <c r="C1336" s="12" t="str">
        <f>IFERROR(VLOOKUP(D1336,'[1]Перечень товаров'!$A$2:$I9525,3,0),"")</f>
        <v>Прочее</v>
      </c>
      <c r="D1336" s="22" t="s">
        <v>360</v>
      </c>
      <c r="E1336" s="102"/>
      <c r="F1336" s="102"/>
      <c r="G1336" s="48">
        <v>3</v>
      </c>
      <c r="H1336" s="48"/>
      <c r="I1336" s="49"/>
      <c r="J1336" s="49"/>
      <c r="K1336" s="19"/>
      <c r="L1336" s="20"/>
    </row>
    <row r="1337" spans="1:12" outlineLevel="2">
      <c r="A1337" s="21"/>
      <c r="B1337" s="12" t="str">
        <f>IFERROR(VLOOKUP(D1337,'[1]Перечень товаров'!$A$2:$I9525,2,0),"")</f>
        <v>п26</v>
      </c>
      <c r="C1337" s="12" t="str">
        <f>IFERROR(VLOOKUP(D1337,'[1]Перечень товаров'!$A$2:$I9525,3,0),"")</f>
        <v>Прочее</v>
      </c>
      <c r="D1337" s="22" t="s">
        <v>361</v>
      </c>
      <c r="E1337" s="102"/>
      <c r="F1337" s="102"/>
      <c r="G1337" s="48">
        <v>2</v>
      </c>
      <c r="H1337" s="48"/>
      <c r="I1337" s="49"/>
      <c r="J1337" s="49"/>
      <c r="K1337" s="19"/>
      <c r="L1337" s="20"/>
    </row>
    <row r="1338" spans="1:12" outlineLevel="2">
      <c r="A1338" s="21"/>
      <c r="B1338" s="12" t="str">
        <f>IFERROR(VLOOKUP(D1338,'[1]Перечень товаров'!$A$2:$I9525,2,0),"")</f>
        <v>п27</v>
      </c>
      <c r="C1338" s="12" t="str">
        <f>IFERROR(VLOOKUP(D1338,'[1]Перечень товаров'!$A$2:$I9525,3,0),"")</f>
        <v>Прочее</v>
      </c>
      <c r="D1338" s="22" t="s">
        <v>362</v>
      </c>
      <c r="E1338" s="102"/>
      <c r="F1338" s="102"/>
      <c r="G1338" s="48">
        <v>2</v>
      </c>
      <c r="H1338" s="48"/>
      <c r="I1338" s="49"/>
      <c r="J1338" s="49"/>
      <c r="K1338" s="19"/>
      <c r="L1338" s="20"/>
    </row>
    <row r="1339" spans="1:12" outlineLevel="2">
      <c r="A1339" s="21"/>
      <c r="B1339" s="12" t="str">
        <f>IFERROR(VLOOKUP(D1339,'[1]Перечень товаров'!$A$2:$I9525,2,0),"")</f>
        <v>п28</v>
      </c>
      <c r="C1339" s="12" t="str">
        <f>IFERROR(VLOOKUP(D1339,'[1]Перечень товаров'!$A$2:$I9525,3,0),"")</f>
        <v>Прочее</v>
      </c>
      <c r="D1339" s="22" t="s">
        <v>363</v>
      </c>
      <c r="E1339" s="102"/>
      <c r="F1339" s="102"/>
      <c r="G1339" s="48">
        <v>1</v>
      </c>
      <c r="H1339" s="48"/>
      <c r="I1339" s="49"/>
      <c r="J1339" s="49"/>
      <c r="K1339" s="19"/>
      <c r="L1339" s="20"/>
    </row>
    <row r="1340" spans="1:12" outlineLevel="2">
      <c r="A1340" s="21"/>
      <c r="B1340" s="12" t="str">
        <f>IFERROR(VLOOKUP(D1340,'[1]Перечень товаров'!$A$2:$I9525,2,0),"")</f>
        <v>п29</v>
      </c>
      <c r="C1340" s="12" t="str">
        <f>IFERROR(VLOOKUP(D1340,'[1]Перечень товаров'!$A$2:$I9525,3,0),"")</f>
        <v>Прочее</v>
      </c>
      <c r="D1340" s="22" t="s">
        <v>364</v>
      </c>
      <c r="E1340" s="102"/>
      <c r="F1340" s="102"/>
      <c r="G1340" s="48">
        <v>6</v>
      </c>
      <c r="H1340" s="48"/>
      <c r="I1340" s="49"/>
      <c r="J1340" s="49"/>
      <c r="K1340" s="19"/>
      <c r="L1340" s="20"/>
    </row>
    <row r="1341" spans="1:12" outlineLevel="2">
      <c r="A1341" s="21"/>
      <c r="B1341" s="12" t="str">
        <f>IFERROR(VLOOKUP(D1341,'[1]Перечень товаров'!$A$2:$I9525,2,0),"")</f>
        <v>п30</v>
      </c>
      <c r="C1341" s="12" t="str">
        <f>IFERROR(VLOOKUP(D1341,'[1]Перечень товаров'!$A$2:$I9525,3,0),"")</f>
        <v>Прочее</v>
      </c>
      <c r="D1341" s="22" t="s">
        <v>365</v>
      </c>
      <c r="E1341" s="102"/>
      <c r="F1341" s="102"/>
      <c r="G1341" s="48">
        <v>2</v>
      </c>
      <c r="H1341" s="48"/>
      <c r="I1341" s="49"/>
      <c r="J1341" s="49"/>
      <c r="K1341" s="19"/>
      <c r="L1341" s="20"/>
    </row>
    <row r="1342" spans="1:12" ht="31.5" outlineLevel="2">
      <c r="A1342" s="21"/>
      <c r="B1342" s="12" t="str">
        <f>IFERROR(VLOOKUP(D1342,'[1]Перечень товаров'!$A$2:$I9525,2,0),"")</f>
        <v>п31</v>
      </c>
      <c r="C1342" s="12" t="str">
        <f>IFERROR(VLOOKUP(D1342,'[1]Перечень товаров'!$A$2:$I9525,3,0),"")</f>
        <v>Прочее</v>
      </c>
      <c r="D1342" s="22" t="s">
        <v>366</v>
      </c>
      <c r="E1342" s="102"/>
      <c r="F1342" s="102"/>
      <c r="G1342" s="48">
        <v>1</v>
      </c>
      <c r="H1342" s="48"/>
      <c r="I1342" s="49"/>
      <c r="J1342" s="49"/>
      <c r="K1342" s="19"/>
      <c r="L1342" s="20"/>
    </row>
    <row r="1343" spans="1:12" ht="31.5" outlineLevel="2">
      <c r="A1343" s="21"/>
      <c r="B1343" s="12" t="str">
        <f>IFERROR(VLOOKUP(D1343,'[1]Перечень товаров'!$A$2:$I9525,2,0),"")</f>
        <v>п32</v>
      </c>
      <c r="C1343" s="12" t="str">
        <f>IFERROR(VLOOKUP(D1343,'[1]Перечень товаров'!$A$2:$I9525,3,0),"")</f>
        <v>Прочее</v>
      </c>
      <c r="D1343" s="22" t="s">
        <v>367</v>
      </c>
      <c r="E1343" s="102"/>
      <c r="F1343" s="102"/>
      <c r="G1343" s="48">
        <v>2</v>
      </c>
      <c r="H1343" s="48"/>
      <c r="I1343" s="49"/>
      <c r="J1343" s="49"/>
      <c r="K1343" s="19"/>
      <c r="L1343" s="20"/>
    </row>
    <row r="1344" spans="1:12" ht="12.75" outlineLevel="1">
      <c r="A1344" s="11"/>
      <c r="B1344" s="12" t="str">
        <f>IFERROR(VLOOKUP(D1344,'[1]Перечень товаров'!$A$2:$I9525,2,0),"")</f>
        <v/>
      </c>
      <c r="C1344" s="12" t="str">
        <f>IFERROR(VLOOKUP(D1344,'[1]Перечень товаров'!$A$2:$I9525,3,0),"")</f>
        <v/>
      </c>
      <c r="D1344" s="27" t="s">
        <v>373</v>
      </c>
      <c r="E1344" s="99">
        <v>46025</v>
      </c>
      <c r="F1344" s="99"/>
      <c r="G1344" s="100"/>
      <c r="H1344" s="100"/>
      <c r="I1344" s="101"/>
      <c r="J1344" s="101"/>
      <c r="K1344" s="19"/>
      <c r="L1344" s="20"/>
    </row>
    <row r="1345" spans="1:12" outlineLevel="2">
      <c r="A1345" s="22"/>
      <c r="B1345" s="12" t="str">
        <f>IFERROR(VLOOKUP(D1345,'[1]Перечень товаров'!$A$2:$I9525,2,0),"")</f>
        <v>п25</v>
      </c>
      <c r="C1345" s="12" t="str">
        <f>IFERROR(VLOOKUP(D1345,'[1]Перечень товаров'!$A$2:$I9525,3,0),"")</f>
        <v>Прочее</v>
      </c>
      <c r="D1345" s="22" t="s">
        <v>360</v>
      </c>
      <c r="E1345" s="102"/>
      <c r="F1345" s="102"/>
      <c r="G1345" s="48">
        <v>3</v>
      </c>
      <c r="H1345" s="48"/>
      <c r="I1345" s="49"/>
      <c r="J1345" s="49"/>
      <c r="K1345" s="19"/>
      <c r="L1345" s="20"/>
    </row>
    <row r="1346" spans="1:12" outlineLevel="2">
      <c r="A1346" s="21"/>
      <c r="B1346" s="12" t="str">
        <f>IFERROR(VLOOKUP(D1346,'[1]Перечень товаров'!$A$2:$I9525,2,0),"")</f>
        <v>п26</v>
      </c>
      <c r="C1346" s="12" t="str">
        <f>IFERROR(VLOOKUP(D1346,'[1]Перечень товаров'!$A$2:$I9525,3,0),"")</f>
        <v>Прочее</v>
      </c>
      <c r="D1346" s="22" t="s">
        <v>361</v>
      </c>
      <c r="E1346" s="102"/>
      <c r="F1346" s="102"/>
      <c r="G1346" s="48">
        <v>2</v>
      </c>
      <c r="H1346" s="48"/>
      <c r="I1346" s="49"/>
      <c r="J1346" s="49"/>
      <c r="K1346" s="19"/>
      <c r="L1346" s="20"/>
    </row>
    <row r="1347" spans="1:12" outlineLevel="2">
      <c r="A1347" s="21"/>
      <c r="B1347" s="12" t="str">
        <f>IFERROR(VLOOKUP(D1347,'[1]Перечень товаров'!$A$2:$I9525,2,0),"")</f>
        <v>п27</v>
      </c>
      <c r="C1347" s="12" t="str">
        <f>IFERROR(VLOOKUP(D1347,'[1]Перечень товаров'!$A$2:$I9525,3,0),"")</f>
        <v>Прочее</v>
      </c>
      <c r="D1347" s="22" t="s">
        <v>362</v>
      </c>
      <c r="E1347" s="102"/>
      <c r="F1347" s="102"/>
      <c r="G1347" s="48">
        <v>2</v>
      </c>
      <c r="H1347" s="48"/>
      <c r="I1347" s="49"/>
      <c r="J1347" s="49"/>
      <c r="K1347" s="19"/>
      <c r="L1347" s="20"/>
    </row>
    <row r="1348" spans="1:12" outlineLevel="2">
      <c r="A1348" s="21"/>
      <c r="B1348" s="12" t="str">
        <f>IFERROR(VLOOKUP(D1348,'[1]Перечень товаров'!$A$2:$I9525,2,0),"")</f>
        <v>п28</v>
      </c>
      <c r="C1348" s="12" t="str">
        <f>IFERROR(VLOOKUP(D1348,'[1]Перечень товаров'!$A$2:$I9525,3,0),"")</f>
        <v>Прочее</v>
      </c>
      <c r="D1348" s="22" t="s">
        <v>363</v>
      </c>
      <c r="E1348" s="102"/>
      <c r="F1348" s="102"/>
      <c r="G1348" s="48">
        <v>1</v>
      </c>
      <c r="H1348" s="48"/>
      <c r="I1348" s="49"/>
      <c r="J1348" s="49"/>
      <c r="K1348" s="19"/>
      <c r="L1348" s="20"/>
    </row>
    <row r="1349" spans="1:12" outlineLevel="2">
      <c r="A1349" s="21"/>
      <c r="B1349" s="12" t="str">
        <f>IFERROR(VLOOKUP(D1349,'[1]Перечень товаров'!$A$2:$I9525,2,0),"")</f>
        <v>п29</v>
      </c>
      <c r="C1349" s="12" t="str">
        <f>IFERROR(VLOOKUP(D1349,'[1]Перечень товаров'!$A$2:$I9525,3,0),"")</f>
        <v>Прочее</v>
      </c>
      <c r="D1349" s="22" t="s">
        <v>364</v>
      </c>
      <c r="E1349" s="102"/>
      <c r="F1349" s="102"/>
      <c r="G1349" s="48">
        <v>6</v>
      </c>
      <c r="H1349" s="48"/>
      <c r="I1349" s="49"/>
      <c r="J1349" s="49"/>
      <c r="K1349" s="19"/>
      <c r="L1349" s="20"/>
    </row>
    <row r="1350" spans="1:12" outlineLevel="2">
      <c r="A1350" s="21"/>
      <c r="B1350" s="12" t="str">
        <f>IFERROR(VLOOKUP(D1350,'[1]Перечень товаров'!$A$2:$I9525,2,0),"")</f>
        <v>п30</v>
      </c>
      <c r="C1350" s="12" t="str">
        <f>IFERROR(VLOOKUP(D1350,'[1]Перечень товаров'!$A$2:$I9525,3,0),"")</f>
        <v>Прочее</v>
      </c>
      <c r="D1350" s="22" t="s">
        <v>365</v>
      </c>
      <c r="E1350" s="102"/>
      <c r="F1350" s="102"/>
      <c r="G1350" s="48">
        <v>2</v>
      </c>
      <c r="H1350" s="48"/>
      <c r="I1350" s="49"/>
      <c r="J1350" s="49"/>
      <c r="K1350" s="19"/>
      <c r="L1350" s="20"/>
    </row>
    <row r="1351" spans="1:12" ht="31.5" outlineLevel="2">
      <c r="A1351" s="21"/>
      <c r="B1351" s="12" t="str">
        <f>IFERROR(VLOOKUP(D1351,'[1]Перечень товаров'!$A$2:$I9525,2,0),"")</f>
        <v>п31</v>
      </c>
      <c r="C1351" s="12" t="str">
        <f>IFERROR(VLOOKUP(D1351,'[1]Перечень товаров'!$A$2:$I9525,3,0),"")</f>
        <v>Прочее</v>
      </c>
      <c r="D1351" s="22" t="s">
        <v>366</v>
      </c>
      <c r="E1351" s="102"/>
      <c r="F1351" s="102"/>
      <c r="G1351" s="48">
        <v>1</v>
      </c>
      <c r="H1351" s="48"/>
      <c r="I1351" s="49"/>
      <c r="J1351" s="49"/>
      <c r="K1351" s="19"/>
      <c r="L1351" s="20"/>
    </row>
    <row r="1352" spans="1:12" ht="31.5" outlineLevel="2">
      <c r="A1352" s="21"/>
      <c r="B1352" s="12" t="str">
        <f>IFERROR(VLOOKUP(D1352,'[1]Перечень товаров'!$A$2:$I9525,2,0),"")</f>
        <v>п32</v>
      </c>
      <c r="C1352" s="12" t="str">
        <f>IFERROR(VLOOKUP(D1352,'[1]Перечень товаров'!$A$2:$I9525,3,0),"")</f>
        <v>Прочее</v>
      </c>
      <c r="D1352" s="22" t="s">
        <v>367</v>
      </c>
      <c r="E1352" s="102"/>
      <c r="F1352" s="102"/>
      <c r="G1352" s="48">
        <v>2</v>
      </c>
      <c r="H1352" s="48"/>
      <c r="I1352" s="49"/>
      <c r="J1352" s="49"/>
      <c r="K1352" s="19"/>
      <c r="L1352" s="20"/>
    </row>
    <row r="1353" spans="1:12" ht="12.75" outlineLevel="1">
      <c r="A1353" s="11"/>
      <c r="B1353" s="12" t="str">
        <f>IFERROR(VLOOKUP(D1353,'[1]Перечень товаров'!$A$2:$I9525,2,0),"")</f>
        <v/>
      </c>
      <c r="C1353" s="12" t="str">
        <f>IFERROR(VLOOKUP(D1353,'[1]Перечень товаров'!$A$2:$I9525,3,0),"")</f>
        <v/>
      </c>
      <c r="D1353" s="27" t="s">
        <v>528</v>
      </c>
      <c r="E1353" s="99">
        <v>46025</v>
      </c>
      <c r="F1353" s="99"/>
      <c r="G1353" s="100"/>
      <c r="H1353" s="100"/>
      <c r="I1353" s="101"/>
      <c r="J1353" s="101"/>
      <c r="K1353" s="19"/>
      <c r="L1353" s="20"/>
    </row>
    <row r="1354" spans="1:12" outlineLevel="2">
      <c r="A1354" s="21"/>
      <c r="B1354" s="12" t="str">
        <f>IFERROR(VLOOKUP(D1354,'[1]Перечень товаров'!$A$2:$I9525,2,0),"")</f>
        <v>м167</v>
      </c>
      <c r="C1354" s="12" t="str">
        <f>IFERROR(VLOOKUP(D1354,'[1]Перечень товаров'!$A$2:$I9525,3,0),"")</f>
        <v>Мебель</v>
      </c>
      <c r="D1354" s="22" t="s">
        <v>508</v>
      </c>
      <c r="E1354" s="102"/>
      <c r="F1354" s="102"/>
      <c r="G1354" s="48">
        <v>2</v>
      </c>
      <c r="H1354" s="48"/>
      <c r="I1354" s="49"/>
      <c r="J1354" s="49"/>
      <c r="K1354" s="19"/>
      <c r="L1354" s="20"/>
    </row>
    <row r="1355" spans="1:12" outlineLevel="2">
      <c r="A1355" s="21"/>
      <c r="B1355" s="12" t="str">
        <f>IFERROR(VLOOKUP(D1355,'[1]Перечень товаров'!$A$2:$I9525,2,0),"")</f>
        <v>п46</v>
      </c>
      <c r="C1355" s="12" t="str">
        <f>IFERROR(VLOOKUP(D1355,'[1]Перечень товаров'!$A$2:$I9525,3,0),"")</f>
        <v>Прочее</v>
      </c>
      <c r="D1355" s="22" t="s">
        <v>509</v>
      </c>
      <c r="E1355" s="102"/>
      <c r="F1355" s="102"/>
      <c r="G1355" s="48">
        <v>2</v>
      </c>
      <c r="H1355" s="48"/>
      <c r="I1355" s="49"/>
      <c r="J1355" s="49"/>
      <c r="K1355" s="19"/>
      <c r="L1355" s="20"/>
    </row>
    <row r="1356" spans="1:12" outlineLevel="2">
      <c r="A1356" s="21"/>
      <c r="B1356" s="12" t="str">
        <f>IFERROR(VLOOKUP(D1356,'[1]Перечень товаров'!$A$2:$I9525,2,0),"")</f>
        <v>п47</v>
      </c>
      <c r="C1356" s="12" t="str">
        <f>IFERROR(VLOOKUP(D1356,'[1]Перечень товаров'!$A$2:$I9525,3,0),"")</f>
        <v>Прочее</v>
      </c>
      <c r="D1356" s="22" t="s">
        <v>510</v>
      </c>
      <c r="E1356" s="102"/>
      <c r="F1356" s="102"/>
      <c r="G1356" s="48">
        <v>3</v>
      </c>
      <c r="H1356" s="48"/>
      <c r="I1356" s="49"/>
      <c r="J1356" s="49"/>
      <c r="K1356" s="19"/>
      <c r="L1356" s="20"/>
    </row>
    <row r="1357" spans="1:12" outlineLevel="2">
      <c r="A1357" s="21"/>
      <c r="B1357" s="12" t="str">
        <f>IFERROR(VLOOKUP(D1357,'[1]Перечень товаров'!$A$2:$I9525,2,0),"")</f>
        <v>п48</v>
      </c>
      <c r="C1357" s="12" t="str">
        <f>IFERROR(VLOOKUP(D1357,'[1]Перечень товаров'!$A$2:$I9525,3,0),"")</f>
        <v>Прочее</v>
      </c>
      <c r="D1357" s="22" t="s">
        <v>511</v>
      </c>
      <c r="E1357" s="102"/>
      <c r="F1357" s="102"/>
      <c r="G1357" s="48">
        <v>6</v>
      </c>
      <c r="H1357" s="48"/>
      <c r="I1357" s="49"/>
      <c r="J1357" s="49"/>
      <c r="K1357" s="19"/>
      <c r="L1357" s="20"/>
    </row>
    <row r="1358" spans="1:12" ht="31.5" outlineLevel="2">
      <c r="A1358" s="21"/>
      <c r="B1358" s="12" t="str">
        <f>IFERROR(VLOOKUP(D1358,'[1]Перечень товаров'!$A$2:$I9525,2,0),"")</f>
        <v>м168</v>
      </c>
      <c r="C1358" s="12" t="str">
        <f>IFERROR(VLOOKUP(D1358,'[1]Перечень товаров'!$A$2:$I9525,3,0),"")</f>
        <v>Мебель</v>
      </c>
      <c r="D1358" s="22" t="s">
        <v>512</v>
      </c>
      <c r="E1358" s="102"/>
      <c r="F1358" s="102"/>
      <c r="G1358" s="48">
        <v>1</v>
      </c>
      <c r="H1358" s="48"/>
      <c r="I1358" s="49"/>
      <c r="J1358" s="49"/>
      <c r="K1358" s="19"/>
      <c r="L1358" s="20"/>
    </row>
    <row r="1359" spans="1:12" ht="12.75" outlineLevel="1">
      <c r="A1359" s="11"/>
      <c r="B1359" s="12" t="str">
        <f>IFERROR(VLOOKUP(D1359,'[1]Перечень товаров'!$A$2:$I9525,2,0),"")</f>
        <v/>
      </c>
      <c r="C1359" s="12" t="str">
        <f>IFERROR(VLOOKUP(D1359,'[1]Перечень товаров'!$A$2:$I9525,3,0),"")</f>
        <v/>
      </c>
      <c r="D1359" s="27" t="s">
        <v>359</v>
      </c>
      <c r="E1359" s="99">
        <v>46237</v>
      </c>
      <c r="F1359" s="99"/>
      <c r="G1359" s="100"/>
      <c r="H1359" s="100"/>
      <c r="I1359" s="101"/>
      <c r="J1359" s="101"/>
      <c r="K1359" s="19"/>
      <c r="L1359" s="20"/>
    </row>
    <row r="1360" spans="1:12" outlineLevel="2">
      <c r="A1360" s="22"/>
      <c r="B1360" s="12" t="str">
        <f>IFERROR(VLOOKUP(D1360,'[1]Перечень товаров'!$A$2:$I9525,2,0),"")</f>
        <v>п25</v>
      </c>
      <c r="C1360" s="12" t="str">
        <f>IFERROR(VLOOKUP(D1360,'[1]Перечень товаров'!$A$2:$I9525,3,0),"")</f>
        <v>Прочее</v>
      </c>
      <c r="D1360" s="22" t="s">
        <v>360</v>
      </c>
      <c r="E1360" s="102"/>
      <c r="F1360" s="102"/>
      <c r="G1360" s="48">
        <v>3</v>
      </c>
      <c r="H1360" s="48"/>
      <c r="I1360" s="49"/>
      <c r="J1360" s="49"/>
      <c r="K1360" s="19"/>
      <c r="L1360" s="20"/>
    </row>
    <row r="1361" spans="1:12" outlineLevel="2">
      <c r="A1361" s="21"/>
      <c r="B1361" s="12" t="str">
        <f>IFERROR(VLOOKUP(D1361,'[1]Перечень товаров'!$A$2:$I9525,2,0),"")</f>
        <v>п26</v>
      </c>
      <c r="C1361" s="12" t="str">
        <f>IFERROR(VLOOKUP(D1361,'[1]Перечень товаров'!$A$2:$I9525,3,0),"")</f>
        <v>Прочее</v>
      </c>
      <c r="D1361" s="22" t="s">
        <v>361</v>
      </c>
      <c r="E1361" s="102"/>
      <c r="F1361" s="102"/>
      <c r="G1361" s="48">
        <v>2</v>
      </c>
      <c r="H1361" s="48"/>
      <c r="I1361" s="49"/>
      <c r="J1361" s="49"/>
      <c r="K1361" s="19"/>
      <c r="L1361" s="20"/>
    </row>
    <row r="1362" spans="1:12" outlineLevel="2">
      <c r="A1362" s="21"/>
      <c r="B1362" s="12" t="str">
        <f>IFERROR(VLOOKUP(D1362,'[1]Перечень товаров'!$A$2:$I9525,2,0),"")</f>
        <v>п27</v>
      </c>
      <c r="C1362" s="12" t="str">
        <f>IFERROR(VLOOKUP(D1362,'[1]Перечень товаров'!$A$2:$I9525,3,0),"")</f>
        <v>Прочее</v>
      </c>
      <c r="D1362" s="22" t="s">
        <v>362</v>
      </c>
      <c r="E1362" s="102"/>
      <c r="F1362" s="102"/>
      <c r="G1362" s="48">
        <v>2</v>
      </c>
      <c r="H1362" s="48"/>
      <c r="I1362" s="49"/>
      <c r="J1362" s="49"/>
      <c r="K1362" s="19"/>
      <c r="L1362" s="20"/>
    </row>
    <row r="1363" spans="1:12" outlineLevel="2">
      <c r="A1363" s="21"/>
      <c r="B1363" s="12" t="str">
        <f>IFERROR(VLOOKUP(D1363,'[1]Перечень товаров'!$A$2:$I9525,2,0),"")</f>
        <v>п28</v>
      </c>
      <c r="C1363" s="12" t="str">
        <f>IFERROR(VLOOKUP(D1363,'[1]Перечень товаров'!$A$2:$I9525,3,0),"")</f>
        <v>Прочее</v>
      </c>
      <c r="D1363" s="22" t="s">
        <v>363</v>
      </c>
      <c r="E1363" s="102"/>
      <c r="F1363" s="102"/>
      <c r="G1363" s="48">
        <v>1</v>
      </c>
      <c r="H1363" s="48"/>
      <c r="I1363" s="49"/>
      <c r="J1363" s="49"/>
      <c r="K1363" s="19"/>
      <c r="L1363" s="20"/>
    </row>
    <row r="1364" spans="1:12" outlineLevel="2">
      <c r="A1364" s="21"/>
      <c r="B1364" s="12" t="str">
        <f>IFERROR(VLOOKUP(D1364,'[1]Перечень товаров'!$A$2:$I9525,2,0),"")</f>
        <v>п29</v>
      </c>
      <c r="C1364" s="12" t="str">
        <f>IFERROR(VLOOKUP(D1364,'[1]Перечень товаров'!$A$2:$I9525,3,0),"")</f>
        <v>Прочее</v>
      </c>
      <c r="D1364" s="22" t="s">
        <v>364</v>
      </c>
      <c r="E1364" s="102"/>
      <c r="F1364" s="102"/>
      <c r="G1364" s="48">
        <v>6</v>
      </c>
      <c r="H1364" s="48"/>
      <c r="I1364" s="49"/>
      <c r="J1364" s="49"/>
      <c r="K1364" s="19"/>
      <c r="L1364" s="20"/>
    </row>
    <row r="1365" spans="1:12" outlineLevel="2">
      <c r="A1365" s="21"/>
      <c r="B1365" s="12" t="str">
        <f>IFERROR(VLOOKUP(D1365,'[1]Перечень товаров'!$A$2:$I9525,2,0),"")</f>
        <v>п30</v>
      </c>
      <c r="C1365" s="12" t="str">
        <f>IFERROR(VLOOKUP(D1365,'[1]Перечень товаров'!$A$2:$I9525,3,0),"")</f>
        <v>Прочее</v>
      </c>
      <c r="D1365" s="22" t="s">
        <v>365</v>
      </c>
      <c r="E1365" s="102"/>
      <c r="F1365" s="102"/>
      <c r="G1365" s="48">
        <v>2</v>
      </c>
      <c r="H1365" s="48"/>
      <c r="I1365" s="49"/>
      <c r="J1365" s="49"/>
      <c r="K1365" s="19"/>
      <c r="L1365" s="20"/>
    </row>
    <row r="1366" spans="1:12" ht="31.5" outlineLevel="2">
      <c r="A1366" s="21"/>
      <c r="B1366" s="12" t="str">
        <f>IFERROR(VLOOKUP(D1366,'[1]Перечень товаров'!$A$2:$I9525,2,0),"")</f>
        <v>п31</v>
      </c>
      <c r="C1366" s="12" t="str">
        <f>IFERROR(VLOOKUP(D1366,'[1]Перечень товаров'!$A$2:$I9525,3,0),"")</f>
        <v>Прочее</v>
      </c>
      <c r="D1366" s="22" t="s">
        <v>366</v>
      </c>
      <c r="E1366" s="102"/>
      <c r="F1366" s="102"/>
      <c r="G1366" s="48">
        <v>1</v>
      </c>
      <c r="H1366" s="48"/>
      <c r="I1366" s="49"/>
      <c r="J1366" s="49"/>
      <c r="K1366" s="19"/>
      <c r="L1366" s="20"/>
    </row>
    <row r="1367" spans="1:12" ht="31.5" outlineLevel="2">
      <c r="A1367" s="21"/>
      <c r="B1367" s="12" t="str">
        <f>IFERROR(VLOOKUP(D1367,'[1]Перечень товаров'!$A$2:$I9525,2,0),"")</f>
        <v>п32</v>
      </c>
      <c r="C1367" s="12" t="str">
        <f>IFERROR(VLOOKUP(D1367,'[1]Перечень товаров'!$A$2:$I9525,3,0),"")</f>
        <v>Прочее</v>
      </c>
      <c r="D1367" s="22" t="s">
        <v>367</v>
      </c>
      <c r="E1367" s="102"/>
      <c r="F1367" s="102"/>
      <c r="G1367" s="48">
        <v>2</v>
      </c>
      <c r="H1367" s="48"/>
      <c r="I1367" s="49"/>
      <c r="J1367" s="49"/>
      <c r="K1367" s="19"/>
      <c r="L1367" s="20"/>
    </row>
    <row r="1368" spans="1:12" ht="12.75" outlineLevel="1">
      <c r="A1368" s="11"/>
      <c r="B1368" s="12" t="str">
        <f>IFERROR(VLOOKUP(D1368,'[1]Перечень товаров'!$A$2:$I9525,2,0),"")</f>
        <v/>
      </c>
      <c r="C1368" s="12" t="str">
        <f>IFERROR(VLOOKUP(D1368,'[1]Перечень товаров'!$A$2:$I9525,3,0),"")</f>
        <v/>
      </c>
      <c r="D1368" s="27" t="s">
        <v>529</v>
      </c>
      <c r="E1368" s="99">
        <v>46185</v>
      </c>
      <c r="F1368" s="99"/>
      <c r="G1368" s="100"/>
      <c r="H1368" s="100"/>
      <c r="I1368" s="101"/>
      <c r="J1368" s="101"/>
      <c r="K1368" s="19"/>
      <c r="L1368" s="20"/>
    </row>
    <row r="1369" spans="1:12" outlineLevel="2">
      <c r="A1369" s="22"/>
      <c r="B1369" s="12" t="str">
        <f>IFERROR(VLOOKUP(D1369,'[1]Перечень товаров'!$A$2:$I9525,2,0),"")</f>
        <v>п25</v>
      </c>
      <c r="C1369" s="12" t="str">
        <f>IFERROR(VLOOKUP(D1369,'[1]Перечень товаров'!$A$2:$I9525,3,0),"")</f>
        <v>Прочее</v>
      </c>
      <c r="D1369" s="22" t="s">
        <v>360</v>
      </c>
      <c r="E1369" s="102"/>
      <c r="F1369" s="102"/>
      <c r="G1369" s="48">
        <v>3</v>
      </c>
      <c r="H1369" s="48"/>
      <c r="I1369" s="49"/>
      <c r="J1369" s="49"/>
      <c r="K1369" s="19"/>
      <c r="L1369" s="20"/>
    </row>
    <row r="1370" spans="1:12" outlineLevel="2">
      <c r="A1370" s="21"/>
      <c r="B1370" s="12" t="str">
        <f>IFERROR(VLOOKUP(D1370,'[1]Перечень товаров'!$A$2:$I9525,2,0),"")</f>
        <v>п26</v>
      </c>
      <c r="C1370" s="12" t="str">
        <f>IFERROR(VLOOKUP(D1370,'[1]Перечень товаров'!$A$2:$I9525,3,0),"")</f>
        <v>Прочее</v>
      </c>
      <c r="D1370" s="22" t="s">
        <v>361</v>
      </c>
      <c r="E1370" s="102"/>
      <c r="F1370" s="102"/>
      <c r="G1370" s="48">
        <v>2</v>
      </c>
      <c r="H1370" s="48"/>
      <c r="I1370" s="49"/>
      <c r="J1370" s="49"/>
      <c r="K1370" s="19"/>
      <c r="L1370" s="20"/>
    </row>
    <row r="1371" spans="1:12" outlineLevel="2">
      <c r="A1371" s="21"/>
      <c r="B1371" s="12" t="str">
        <f>IFERROR(VLOOKUP(D1371,'[1]Перечень товаров'!$A$2:$I9525,2,0),"")</f>
        <v>п27</v>
      </c>
      <c r="C1371" s="12" t="str">
        <f>IFERROR(VLOOKUP(D1371,'[1]Перечень товаров'!$A$2:$I9525,3,0),"")</f>
        <v>Прочее</v>
      </c>
      <c r="D1371" s="22" t="s">
        <v>362</v>
      </c>
      <c r="E1371" s="102"/>
      <c r="F1371" s="102"/>
      <c r="G1371" s="48">
        <v>2</v>
      </c>
      <c r="H1371" s="48"/>
      <c r="I1371" s="49"/>
      <c r="J1371" s="49"/>
      <c r="K1371" s="19"/>
      <c r="L1371" s="20"/>
    </row>
    <row r="1372" spans="1:12" outlineLevel="2">
      <c r="A1372" s="21"/>
      <c r="B1372" s="12" t="str">
        <f>IFERROR(VLOOKUP(D1372,'[1]Перечень товаров'!$A$2:$I9525,2,0),"")</f>
        <v>п28</v>
      </c>
      <c r="C1372" s="12" t="str">
        <f>IFERROR(VLOOKUP(D1372,'[1]Перечень товаров'!$A$2:$I9525,3,0),"")</f>
        <v>Прочее</v>
      </c>
      <c r="D1372" s="22" t="s">
        <v>363</v>
      </c>
      <c r="E1372" s="102"/>
      <c r="F1372" s="102"/>
      <c r="G1372" s="48">
        <v>1</v>
      </c>
      <c r="H1372" s="48"/>
      <c r="I1372" s="49"/>
      <c r="J1372" s="49"/>
      <c r="K1372" s="19"/>
      <c r="L1372" s="20"/>
    </row>
    <row r="1373" spans="1:12" outlineLevel="2">
      <c r="A1373" s="21"/>
      <c r="B1373" s="12" t="str">
        <f>IFERROR(VLOOKUP(D1373,'[1]Перечень товаров'!$A$2:$I9525,2,0),"")</f>
        <v>п29</v>
      </c>
      <c r="C1373" s="12" t="str">
        <f>IFERROR(VLOOKUP(D1373,'[1]Перечень товаров'!$A$2:$I9525,3,0),"")</f>
        <v>Прочее</v>
      </c>
      <c r="D1373" s="22" t="s">
        <v>364</v>
      </c>
      <c r="E1373" s="102"/>
      <c r="F1373" s="102"/>
      <c r="G1373" s="48">
        <v>6</v>
      </c>
      <c r="H1373" s="48"/>
      <c r="I1373" s="49"/>
      <c r="J1373" s="49"/>
      <c r="K1373" s="19"/>
      <c r="L1373" s="20"/>
    </row>
    <row r="1374" spans="1:12" outlineLevel="2">
      <c r="A1374" s="21"/>
      <c r="B1374" s="12" t="str">
        <f>IFERROR(VLOOKUP(D1374,'[1]Перечень товаров'!$A$2:$I9525,2,0),"")</f>
        <v>п30</v>
      </c>
      <c r="C1374" s="12" t="str">
        <f>IFERROR(VLOOKUP(D1374,'[1]Перечень товаров'!$A$2:$I9525,3,0),"")</f>
        <v>Прочее</v>
      </c>
      <c r="D1374" s="22" t="s">
        <v>365</v>
      </c>
      <c r="E1374" s="102"/>
      <c r="F1374" s="102"/>
      <c r="G1374" s="48">
        <v>2</v>
      </c>
      <c r="H1374" s="48"/>
      <c r="I1374" s="49"/>
      <c r="J1374" s="49"/>
      <c r="K1374" s="19"/>
      <c r="L1374" s="20"/>
    </row>
    <row r="1375" spans="1:12" ht="31.5" outlineLevel="2">
      <c r="A1375" s="21"/>
      <c r="B1375" s="12" t="str">
        <f>IFERROR(VLOOKUP(D1375,'[1]Перечень товаров'!$A$2:$I9525,2,0),"")</f>
        <v>п31</v>
      </c>
      <c r="C1375" s="12" t="str">
        <f>IFERROR(VLOOKUP(D1375,'[1]Перечень товаров'!$A$2:$I9525,3,0),"")</f>
        <v>Прочее</v>
      </c>
      <c r="D1375" s="22" t="s">
        <v>366</v>
      </c>
      <c r="E1375" s="102"/>
      <c r="F1375" s="102"/>
      <c r="G1375" s="48">
        <v>1</v>
      </c>
      <c r="H1375" s="48"/>
      <c r="I1375" s="49"/>
      <c r="J1375" s="49"/>
      <c r="K1375" s="19"/>
      <c r="L1375" s="20"/>
    </row>
    <row r="1376" spans="1:12" ht="31.5" outlineLevel="2">
      <c r="A1376" s="21"/>
      <c r="B1376" s="12" t="str">
        <f>IFERROR(VLOOKUP(D1376,'[1]Перечень товаров'!$A$2:$I9525,2,0),"")</f>
        <v>п32</v>
      </c>
      <c r="C1376" s="12" t="str">
        <f>IFERROR(VLOOKUP(D1376,'[1]Перечень товаров'!$A$2:$I9525,3,0),"")</f>
        <v>Прочее</v>
      </c>
      <c r="D1376" s="22" t="s">
        <v>367</v>
      </c>
      <c r="E1376" s="102"/>
      <c r="F1376" s="102"/>
      <c r="G1376" s="48">
        <v>2</v>
      </c>
      <c r="H1376" s="48"/>
      <c r="I1376" s="49"/>
      <c r="J1376" s="49"/>
      <c r="K1376" s="19"/>
      <c r="L1376" s="20"/>
    </row>
    <row r="1377" spans="1:34" outlineLevel="1">
      <c r="A1377" s="21"/>
      <c r="B1377" s="12" t="str">
        <f>IFERROR(VLOOKUP(D1377,'[1]Перечень товаров'!$A$2:$I9525,2,0),"")</f>
        <v/>
      </c>
      <c r="C1377" s="12" t="str">
        <f>IFERROR(VLOOKUP(D1377,'[1]Перечень товаров'!$A$2:$I9525,3,0),"")</f>
        <v/>
      </c>
      <c r="D1377" s="22" t="s">
        <v>345</v>
      </c>
      <c r="E1377" s="102">
        <v>46145</v>
      </c>
      <c r="F1377" s="102"/>
      <c r="G1377" s="103"/>
      <c r="H1377" s="103"/>
      <c r="I1377" s="104"/>
      <c r="J1377" s="104"/>
      <c r="K1377" s="19"/>
      <c r="L1377" s="20"/>
    </row>
    <row r="1378" spans="1:34" outlineLevel="1">
      <c r="A1378" s="21"/>
      <c r="B1378" s="12" t="str">
        <f>IFERROR(VLOOKUP(D1378,'[1]Перечень товаров'!$A$2:$I9525,2,0),"")</f>
        <v/>
      </c>
      <c r="C1378" s="12" t="str">
        <f>IFERROR(VLOOKUP(D1378,'[1]Перечень товаров'!$A$2:$I9525,3,0),"")</f>
        <v/>
      </c>
      <c r="D1378" s="22" t="s">
        <v>311</v>
      </c>
      <c r="E1378" s="23" t="s">
        <v>530</v>
      </c>
      <c r="F1378" s="23"/>
      <c r="G1378" s="24"/>
      <c r="H1378" s="24"/>
      <c r="I1378" s="25"/>
      <c r="J1378" s="25"/>
      <c r="K1378" s="19"/>
      <c r="L1378" s="20"/>
    </row>
    <row r="1379" spans="1:34" ht="12.75" outlineLevel="1">
      <c r="A1379" s="89"/>
      <c r="B1379" s="12" t="str">
        <f>IFERROR(VLOOKUP(D1379,'[1]Перечень товаров'!$A$2:$I9525,2,0),"")</f>
        <v/>
      </c>
      <c r="C1379" s="12" t="str">
        <f>IFERROR(VLOOKUP(D1379,'[1]Перечень товаров'!$A$2:$I9525,3,0),"")</f>
        <v/>
      </c>
      <c r="D1379" s="90" t="s">
        <v>531</v>
      </c>
      <c r="E1379" s="91" t="s">
        <v>532</v>
      </c>
      <c r="F1379" s="91"/>
      <c r="G1379" s="17"/>
      <c r="H1379" s="17"/>
      <c r="I1379" s="57"/>
      <c r="J1379" s="57"/>
      <c r="K1379" s="19"/>
      <c r="L1379" s="20"/>
    </row>
    <row r="1380" spans="1:34" outlineLevel="2">
      <c r="A1380" s="144"/>
      <c r="B1380" s="12" t="str">
        <f>IFERROR(VLOOKUP(D1380,'[1]Перечень товаров'!$A$2:$I9525,2,0),"")</f>
        <v/>
      </c>
      <c r="C1380" s="12" t="str">
        <f>IFERROR(VLOOKUP(D1380,'[1]Перечень товаров'!$A$2:$I9525,3,0),"")</f>
        <v/>
      </c>
      <c r="D1380" s="145" t="s">
        <v>533</v>
      </c>
      <c r="E1380" s="146" t="s">
        <v>534</v>
      </c>
      <c r="F1380" s="146"/>
      <c r="G1380" s="147"/>
      <c r="H1380" s="147"/>
      <c r="I1380" s="148"/>
      <c r="J1380" s="148"/>
      <c r="K1380" s="7"/>
      <c r="L1380" s="8"/>
      <c r="M1380" s="149"/>
      <c r="N1380" s="149"/>
      <c r="O1380" s="149"/>
      <c r="P1380" s="149"/>
      <c r="Q1380" s="149"/>
      <c r="R1380" s="149"/>
      <c r="S1380" s="149"/>
      <c r="T1380" s="149"/>
      <c r="U1380" s="149"/>
      <c r="V1380" s="149"/>
      <c r="W1380" s="149"/>
      <c r="X1380" s="149"/>
      <c r="Y1380" s="149"/>
      <c r="Z1380" s="149"/>
      <c r="AA1380" s="149"/>
      <c r="AB1380" s="149"/>
      <c r="AC1380" s="149"/>
      <c r="AD1380" s="149"/>
      <c r="AE1380" s="149"/>
      <c r="AF1380" s="149"/>
      <c r="AG1380" s="149"/>
      <c r="AH1380" s="149"/>
    </row>
    <row r="1381" spans="1:34" ht="31.5" outlineLevel="2">
      <c r="A1381" s="129"/>
      <c r="B1381" s="12" t="str">
        <f>IFERROR(VLOOKUP(D1381,'[1]Перечень товаров'!$A$2:$I9525,2,0),"")</f>
        <v>м174</v>
      </c>
      <c r="C1381" s="12" t="str">
        <f>IFERROR(VLOOKUP(D1381,'[1]Перечень товаров'!$A$2:$I9525,3,0),"")</f>
        <v>Мебель</v>
      </c>
      <c r="D1381" s="130" t="s">
        <v>535</v>
      </c>
      <c r="E1381" s="150" t="s">
        <v>534</v>
      </c>
      <c r="F1381" s="150"/>
      <c r="G1381" s="95">
        <v>1</v>
      </c>
      <c r="H1381" s="95"/>
      <c r="I1381" s="96"/>
      <c r="J1381" s="96"/>
      <c r="K1381" s="7"/>
      <c r="L1381" s="8"/>
      <c r="M1381" s="149"/>
      <c r="N1381" s="149"/>
      <c r="O1381" s="149"/>
      <c r="P1381" s="149"/>
      <c r="Q1381" s="149"/>
      <c r="R1381" s="149"/>
      <c r="S1381" s="149"/>
      <c r="T1381" s="149"/>
      <c r="U1381" s="149"/>
      <c r="V1381" s="149"/>
      <c r="W1381" s="149"/>
      <c r="X1381" s="149"/>
      <c r="Y1381" s="149"/>
      <c r="Z1381" s="149"/>
      <c r="AA1381" s="149"/>
      <c r="AB1381" s="149"/>
      <c r="AC1381" s="149"/>
      <c r="AD1381" s="149"/>
      <c r="AE1381" s="149"/>
      <c r="AF1381" s="149"/>
      <c r="AG1381" s="149"/>
      <c r="AH1381" s="149"/>
    </row>
    <row r="1382" spans="1:34" ht="31.5" outlineLevel="2">
      <c r="A1382" s="129"/>
      <c r="B1382" s="12" t="str">
        <f>IFERROR(VLOOKUP(D1382,'[1]Перечень товаров'!$A$2:$I9525,2,0),"")</f>
        <v>т197</v>
      </c>
      <c r="C1382" s="12" t="str">
        <f>IFERROR(VLOOKUP(D1382,'[1]Перечень товаров'!$A$2:$I9525,3,0),"")</f>
        <v>Техника</v>
      </c>
      <c r="D1382" s="130" t="s">
        <v>536</v>
      </c>
      <c r="E1382" s="150" t="s">
        <v>534</v>
      </c>
      <c r="F1382" s="150"/>
      <c r="G1382" s="95">
        <v>1</v>
      </c>
      <c r="H1382" s="95"/>
      <c r="I1382" s="96"/>
      <c r="J1382" s="96"/>
      <c r="K1382" s="7"/>
      <c r="L1382" s="8"/>
      <c r="M1382" s="149"/>
      <c r="N1382" s="149"/>
      <c r="O1382" s="149"/>
      <c r="P1382" s="149"/>
      <c r="Q1382" s="149"/>
      <c r="R1382" s="149"/>
      <c r="S1382" s="149"/>
      <c r="T1382" s="149"/>
      <c r="U1382" s="149"/>
      <c r="V1382" s="149"/>
      <c r="W1382" s="149"/>
      <c r="X1382" s="149"/>
      <c r="Y1382" s="149"/>
      <c r="Z1382" s="149"/>
      <c r="AA1382" s="149"/>
      <c r="AB1382" s="149"/>
      <c r="AC1382" s="149"/>
      <c r="AD1382" s="149"/>
      <c r="AE1382" s="149"/>
      <c r="AF1382" s="149"/>
      <c r="AG1382" s="149"/>
      <c r="AH1382" s="149"/>
    </row>
    <row r="1383" spans="1:34" outlineLevel="2">
      <c r="A1383" s="129"/>
      <c r="B1383" s="12" t="str">
        <f>IFERROR(VLOOKUP(D1383,'[1]Перечень товаров'!$A$2:$I9525,2,0),"")</f>
        <v>дм3</v>
      </c>
      <c r="C1383" s="12" t="str">
        <f>IFERROR(VLOOKUP(D1383,'[1]Перечень товаров'!$A$2:$I9525,3,0),"")</f>
        <v>Дидактика муз</v>
      </c>
      <c r="D1383" s="130" t="s">
        <v>210</v>
      </c>
      <c r="E1383" s="150" t="s">
        <v>534</v>
      </c>
      <c r="F1383" s="150"/>
      <c r="G1383" s="95">
        <v>5</v>
      </c>
      <c r="H1383" s="95"/>
      <c r="I1383" s="96"/>
      <c r="J1383" s="96"/>
      <c r="K1383" s="7"/>
      <c r="L1383" s="8"/>
      <c r="M1383" s="149"/>
      <c r="N1383" s="149"/>
      <c r="O1383" s="149"/>
      <c r="P1383" s="149"/>
      <c r="Q1383" s="149"/>
      <c r="R1383" s="149"/>
      <c r="S1383" s="149"/>
      <c r="T1383" s="149"/>
      <c r="U1383" s="149"/>
      <c r="V1383" s="149"/>
      <c r="W1383" s="149"/>
      <c r="X1383" s="149"/>
      <c r="Y1383" s="149"/>
      <c r="Z1383" s="149"/>
      <c r="AA1383" s="149"/>
      <c r="AB1383" s="149"/>
      <c r="AC1383" s="149"/>
      <c r="AD1383" s="149"/>
      <c r="AE1383" s="149"/>
      <c r="AF1383" s="149"/>
      <c r="AG1383" s="149"/>
      <c r="AH1383" s="149"/>
    </row>
    <row r="1384" spans="1:34" ht="47.25" outlineLevel="2">
      <c r="A1384" s="129"/>
      <c r="B1384" s="12" t="str">
        <f>IFERROR(VLOOKUP(D1384,'[1]Перечень товаров'!$A$2:$I9525,2,0),"")</f>
        <v>м175</v>
      </c>
      <c r="C1384" s="12" t="str">
        <f>IFERROR(VLOOKUP(D1384,'[1]Перечень товаров'!$A$2:$I9525,3,0),"")</f>
        <v>Мебель</v>
      </c>
      <c r="D1384" s="130" t="s">
        <v>537</v>
      </c>
      <c r="E1384" s="150" t="s">
        <v>534</v>
      </c>
      <c r="F1384" s="150"/>
      <c r="G1384" s="95">
        <v>2</v>
      </c>
      <c r="H1384" s="95"/>
      <c r="I1384" s="96"/>
      <c r="J1384" s="96"/>
      <c r="K1384" s="7"/>
      <c r="L1384" s="8"/>
      <c r="M1384" s="149"/>
      <c r="N1384" s="149"/>
      <c r="O1384" s="149"/>
      <c r="P1384" s="149"/>
      <c r="Q1384" s="149"/>
      <c r="R1384" s="149"/>
      <c r="S1384" s="149"/>
      <c r="T1384" s="149"/>
      <c r="U1384" s="149"/>
      <c r="V1384" s="149"/>
      <c r="W1384" s="149"/>
      <c r="X1384" s="149"/>
      <c r="Y1384" s="149"/>
      <c r="Z1384" s="149"/>
      <c r="AA1384" s="149"/>
      <c r="AB1384" s="149"/>
      <c r="AC1384" s="149"/>
      <c r="AD1384" s="149"/>
      <c r="AE1384" s="149"/>
      <c r="AF1384" s="149"/>
      <c r="AG1384" s="149"/>
      <c r="AH1384" s="149"/>
    </row>
    <row r="1385" spans="1:34" ht="31.5" outlineLevel="2">
      <c r="A1385" s="129"/>
      <c r="B1385" s="12" t="str">
        <f>IFERROR(VLOOKUP(D1385,'[1]Перечень товаров'!$A$2:$I9525,2,0),"")</f>
        <v>м36</v>
      </c>
      <c r="C1385" s="12" t="str">
        <f>IFERROR(VLOOKUP(D1385,'[1]Перечень товаров'!$A$2:$I9525,3,0),"")</f>
        <v>Мебель</v>
      </c>
      <c r="D1385" s="130" t="s">
        <v>234</v>
      </c>
      <c r="E1385" s="150" t="s">
        <v>534</v>
      </c>
      <c r="F1385" s="150"/>
      <c r="G1385" s="95">
        <v>1</v>
      </c>
      <c r="H1385" s="95"/>
      <c r="I1385" s="96"/>
      <c r="J1385" s="96"/>
      <c r="K1385" s="7"/>
      <c r="L1385" s="8"/>
      <c r="M1385" s="149"/>
      <c r="N1385" s="149"/>
      <c r="O1385" s="149"/>
      <c r="P1385" s="149"/>
      <c r="Q1385" s="149"/>
      <c r="R1385" s="149"/>
      <c r="S1385" s="149"/>
      <c r="T1385" s="149"/>
      <c r="U1385" s="149"/>
      <c r="V1385" s="149"/>
      <c r="W1385" s="149"/>
      <c r="X1385" s="149"/>
      <c r="Y1385" s="149"/>
      <c r="Z1385" s="149"/>
      <c r="AA1385" s="149"/>
      <c r="AB1385" s="149"/>
      <c r="AC1385" s="149"/>
      <c r="AD1385" s="149"/>
      <c r="AE1385" s="149"/>
      <c r="AF1385" s="149"/>
      <c r="AG1385" s="149"/>
      <c r="AH1385" s="149"/>
    </row>
    <row r="1386" spans="1:34" ht="31.5" outlineLevel="2">
      <c r="A1386" s="129"/>
      <c r="B1386" s="12" t="str">
        <f>IFERROR(VLOOKUP(D1386,'[1]Перечень товаров'!$A$2:$I9525,2,0),"")</f>
        <v>м176</v>
      </c>
      <c r="C1386" s="12" t="str">
        <f>IFERROR(VLOOKUP(D1386,'[1]Перечень товаров'!$A$2:$I9525,3,0),"")</f>
        <v>Мебель</v>
      </c>
      <c r="D1386" s="130" t="s">
        <v>538</v>
      </c>
      <c r="E1386" s="150" t="s">
        <v>534</v>
      </c>
      <c r="F1386" s="150"/>
      <c r="G1386" s="95">
        <v>6</v>
      </c>
      <c r="H1386" s="95"/>
      <c r="I1386" s="96"/>
      <c r="J1386" s="96"/>
      <c r="K1386" s="7"/>
      <c r="L1386" s="8"/>
      <c r="M1386" s="149"/>
      <c r="N1386" s="149"/>
      <c r="O1386" s="149"/>
      <c r="P1386" s="149"/>
      <c r="Q1386" s="149"/>
      <c r="R1386" s="149"/>
      <c r="S1386" s="149"/>
      <c r="T1386" s="149"/>
      <c r="U1386" s="149"/>
      <c r="V1386" s="149"/>
      <c r="W1386" s="149"/>
      <c r="X1386" s="149"/>
      <c r="Y1386" s="149"/>
      <c r="Z1386" s="149"/>
      <c r="AA1386" s="149"/>
      <c r="AB1386" s="149"/>
      <c r="AC1386" s="149"/>
      <c r="AD1386" s="149"/>
      <c r="AE1386" s="149"/>
      <c r="AF1386" s="149"/>
      <c r="AG1386" s="149"/>
      <c r="AH1386" s="149"/>
    </row>
    <row r="1387" spans="1:34" ht="47.25" outlineLevel="2">
      <c r="A1387" s="129"/>
      <c r="B1387" s="12" t="str">
        <f>IFERROR(VLOOKUP(D1387,'[1]Перечень товаров'!$A$2:$I9525,2,0),"")</f>
        <v>м177</v>
      </c>
      <c r="C1387" s="12" t="str">
        <f>IFERROR(VLOOKUP(D1387,'[1]Перечень товаров'!$A$2:$I9525,3,0),"")</f>
        <v>Мебель</v>
      </c>
      <c r="D1387" s="130" t="s">
        <v>539</v>
      </c>
      <c r="E1387" s="150" t="s">
        <v>534</v>
      </c>
      <c r="F1387" s="150"/>
      <c r="G1387" s="95">
        <v>2</v>
      </c>
      <c r="H1387" s="95"/>
      <c r="I1387" s="96"/>
      <c r="J1387" s="96"/>
      <c r="K1387" s="7"/>
      <c r="L1387" s="8"/>
      <c r="M1387" s="149"/>
      <c r="N1387" s="149"/>
      <c r="O1387" s="149"/>
      <c r="P1387" s="149"/>
      <c r="Q1387" s="149"/>
      <c r="R1387" s="149"/>
      <c r="S1387" s="149"/>
      <c r="T1387" s="149"/>
      <c r="U1387" s="149"/>
      <c r="V1387" s="149"/>
      <c r="W1387" s="149"/>
      <c r="X1387" s="149"/>
      <c r="Y1387" s="149"/>
      <c r="Z1387" s="149"/>
      <c r="AA1387" s="149"/>
      <c r="AB1387" s="149"/>
      <c r="AC1387" s="149"/>
      <c r="AD1387" s="149"/>
      <c r="AE1387" s="149"/>
      <c r="AF1387" s="149"/>
      <c r="AG1387" s="149"/>
      <c r="AH1387" s="149"/>
    </row>
    <row r="1388" spans="1:34" ht="47.25" outlineLevel="2">
      <c r="A1388" s="129"/>
      <c r="B1388" s="12" t="str">
        <f>IFERROR(VLOOKUP(D1388,'[1]Перечень товаров'!$A$2:$I9525,2,0),"")</f>
        <v>м178</v>
      </c>
      <c r="C1388" s="12" t="str">
        <f>IFERROR(VLOOKUP(D1388,'[1]Перечень товаров'!$A$2:$I9525,3,0),"")</f>
        <v>Мебель</v>
      </c>
      <c r="D1388" s="130" t="s">
        <v>540</v>
      </c>
      <c r="E1388" s="150" t="s">
        <v>534</v>
      </c>
      <c r="F1388" s="150"/>
      <c r="G1388" s="95">
        <v>2</v>
      </c>
      <c r="H1388" s="95"/>
      <c r="I1388" s="96"/>
      <c r="J1388" s="96"/>
      <c r="K1388" s="7"/>
      <c r="L1388" s="8"/>
      <c r="M1388" s="149"/>
      <c r="N1388" s="149"/>
      <c r="O1388" s="149"/>
      <c r="P1388" s="149"/>
      <c r="Q1388" s="149"/>
      <c r="R1388" s="149"/>
      <c r="S1388" s="149"/>
      <c r="T1388" s="149"/>
      <c r="U1388" s="149"/>
      <c r="V1388" s="149"/>
      <c r="W1388" s="149"/>
      <c r="X1388" s="149"/>
      <c r="Y1388" s="149"/>
      <c r="Z1388" s="149"/>
      <c r="AA1388" s="149"/>
      <c r="AB1388" s="149"/>
      <c r="AC1388" s="149"/>
      <c r="AD1388" s="149"/>
      <c r="AE1388" s="149"/>
      <c r="AF1388" s="149"/>
      <c r="AG1388" s="149"/>
      <c r="AH1388" s="149"/>
    </row>
    <row r="1389" spans="1:34" ht="47.25" outlineLevel="2">
      <c r="A1389" s="125"/>
      <c r="B1389" s="12" t="str">
        <f>IFERROR(VLOOKUP(D1389,'[1]Перечень товаров'!$A$2:$I9525,2,0),"")</f>
        <v/>
      </c>
      <c r="C1389" s="12" t="str">
        <f>IFERROR(VLOOKUP(D1389,'[1]Перечень товаров'!$A$2:$I9525,3,0),"")</f>
        <v/>
      </c>
      <c r="D1389" s="126" t="s">
        <v>541</v>
      </c>
      <c r="E1389" s="146" t="s">
        <v>534</v>
      </c>
      <c r="F1389" s="146"/>
      <c r="G1389" s="131"/>
      <c r="H1389" s="131"/>
      <c r="I1389" s="132"/>
      <c r="J1389" s="132"/>
      <c r="K1389" s="7"/>
      <c r="L1389" s="8"/>
      <c r="M1389" s="149"/>
      <c r="N1389" s="149"/>
      <c r="O1389" s="149"/>
      <c r="P1389" s="149"/>
      <c r="Q1389" s="149"/>
      <c r="R1389" s="149"/>
      <c r="S1389" s="149"/>
      <c r="T1389" s="149"/>
      <c r="U1389" s="149"/>
      <c r="V1389" s="149"/>
      <c r="W1389" s="149"/>
      <c r="X1389" s="149"/>
      <c r="Y1389" s="149"/>
      <c r="Z1389" s="149"/>
      <c r="AA1389" s="149"/>
      <c r="AB1389" s="149"/>
      <c r="AC1389" s="149"/>
      <c r="AD1389" s="149"/>
      <c r="AE1389" s="149"/>
      <c r="AF1389" s="149"/>
      <c r="AG1389" s="149"/>
      <c r="AH1389" s="149"/>
    </row>
    <row r="1390" spans="1:34" outlineLevel="2">
      <c r="A1390" s="151"/>
      <c r="B1390" s="12" t="str">
        <f>IFERROR(VLOOKUP(D1390,'[1]Перечень товаров'!$A$2:$I9525,2,0),"")</f>
        <v/>
      </c>
      <c r="C1390" s="12" t="str">
        <f>IFERROR(VLOOKUP(D1390,'[1]Перечень товаров'!$A$2:$I9525,3,0),"")</f>
        <v/>
      </c>
      <c r="D1390" s="152" t="s">
        <v>542</v>
      </c>
      <c r="E1390" s="146" t="s">
        <v>534</v>
      </c>
      <c r="F1390" s="146"/>
      <c r="G1390" s="153" t="s">
        <v>543</v>
      </c>
      <c r="H1390" s="153"/>
      <c r="I1390" s="154"/>
      <c r="J1390" s="154"/>
      <c r="K1390" s="7"/>
      <c r="L1390" s="8"/>
      <c r="M1390" s="149"/>
      <c r="N1390" s="149"/>
      <c r="O1390" s="149"/>
      <c r="P1390" s="149"/>
      <c r="Q1390" s="149"/>
      <c r="R1390" s="149"/>
      <c r="S1390" s="149"/>
      <c r="T1390" s="149"/>
      <c r="U1390" s="149"/>
      <c r="V1390" s="149"/>
      <c r="W1390" s="149"/>
      <c r="X1390" s="149"/>
      <c r="Y1390" s="149"/>
      <c r="Z1390" s="149"/>
      <c r="AA1390" s="149"/>
      <c r="AB1390" s="149"/>
      <c r="AC1390" s="149"/>
      <c r="AD1390" s="149"/>
      <c r="AE1390" s="149"/>
      <c r="AF1390" s="149"/>
      <c r="AG1390" s="149"/>
      <c r="AH1390" s="149"/>
    </row>
    <row r="1391" spans="1:34" outlineLevel="2">
      <c r="A1391" s="129"/>
      <c r="B1391" s="12" t="str">
        <f>IFERROR(VLOOKUP(D1391,'[1]Перечень товаров'!$A$2:$I9525,2,0),"")</f>
        <v>тм73</v>
      </c>
      <c r="C1391" s="12" t="str">
        <f>IFERROR(VLOOKUP(D1391,'[1]Перечень товаров'!$A$2:$I9525,3,0),"")</f>
        <v>Техника муз</v>
      </c>
      <c r="D1391" s="130" t="s">
        <v>420</v>
      </c>
      <c r="E1391" s="150" t="s">
        <v>534</v>
      </c>
      <c r="F1391" s="150"/>
      <c r="G1391" s="95">
        <v>1</v>
      </c>
      <c r="H1391" s="95"/>
      <c r="I1391" s="96"/>
      <c r="J1391" s="96"/>
      <c r="K1391" s="7"/>
      <c r="L1391" s="8"/>
      <c r="M1391" s="149"/>
      <c r="N1391" s="149"/>
      <c r="O1391" s="149"/>
      <c r="P1391" s="149"/>
      <c r="Q1391" s="149"/>
      <c r="R1391" s="149"/>
      <c r="S1391" s="149"/>
      <c r="T1391" s="149"/>
      <c r="U1391" s="149"/>
      <c r="V1391" s="149"/>
      <c r="W1391" s="149"/>
      <c r="X1391" s="149"/>
      <c r="Y1391" s="149"/>
      <c r="Z1391" s="149"/>
      <c r="AA1391" s="149"/>
      <c r="AB1391" s="149"/>
      <c r="AC1391" s="149"/>
      <c r="AD1391" s="149"/>
      <c r="AE1391" s="149"/>
      <c r="AF1391" s="149"/>
      <c r="AG1391" s="149"/>
      <c r="AH1391" s="149"/>
    </row>
    <row r="1392" spans="1:34" ht="31.5" outlineLevel="2">
      <c r="A1392" s="129"/>
      <c r="B1392" s="12" t="str">
        <f>IFERROR(VLOOKUP(D1392,'[1]Перечень товаров'!$A$2:$I9525,2,0),"")</f>
        <v>тм250</v>
      </c>
      <c r="C1392" s="12" t="str">
        <f>IFERROR(VLOOKUP(D1392,'[1]Перечень товаров'!$A$2:$I9525,3,0),"")</f>
        <v>Техника муз</v>
      </c>
      <c r="D1392" s="130" t="s">
        <v>544</v>
      </c>
      <c r="E1392" s="150" t="s">
        <v>534</v>
      </c>
      <c r="F1392" s="150"/>
      <c r="G1392" s="95">
        <v>1</v>
      </c>
      <c r="H1392" s="95"/>
      <c r="I1392" s="96"/>
      <c r="J1392" s="96"/>
      <c r="K1392" s="7"/>
      <c r="L1392" s="8"/>
      <c r="M1392" s="149"/>
      <c r="N1392" s="149"/>
      <c r="O1392" s="149"/>
      <c r="P1392" s="149"/>
      <c r="Q1392" s="149"/>
      <c r="R1392" s="149"/>
      <c r="S1392" s="149"/>
      <c r="T1392" s="149"/>
      <c r="U1392" s="149"/>
      <c r="V1392" s="149"/>
      <c r="W1392" s="149"/>
      <c r="X1392" s="149"/>
      <c r="Y1392" s="149"/>
      <c r="Z1392" s="149"/>
      <c r="AA1392" s="149"/>
      <c r="AB1392" s="149"/>
      <c r="AC1392" s="149"/>
      <c r="AD1392" s="149"/>
      <c r="AE1392" s="149"/>
      <c r="AF1392" s="149"/>
      <c r="AG1392" s="149"/>
      <c r="AH1392" s="149"/>
    </row>
    <row r="1393" spans="1:34" ht="31.5" outlineLevel="2">
      <c r="A1393" s="129"/>
      <c r="B1393" s="12" t="str">
        <f>IFERROR(VLOOKUP(D1393,'[1]Перечень товаров'!$A$2:$I9525,2,0),"")</f>
        <v>мм3</v>
      </c>
      <c r="C1393" s="12" t="str">
        <f>IFERROR(VLOOKUP(D1393,'[1]Перечень товаров'!$A$2:$I9525,3,0),"")</f>
        <v>Мебель муз</v>
      </c>
      <c r="D1393" s="130" t="s">
        <v>219</v>
      </c>
      <c r="E1393" s="150" t="s">
        <v>534</v>
      </c>
      <c r="F1393" s="150"/>
      <c r="G1393" s="95">
        <v>2</v>
      </c>
      <c r="H1393" s="95"/>
      <c r="I1393" s="96"/>
      <c r="J1393" s="96"/>
      <c r="K1393" s="7"/>
      <c r="L1393" s="8"/>
      <c r="M1393" s="149"/>
      <c r="N1393" s="149"/>
      <c r="O1393" s="149"/>
      <c r="P1393" s="149"/>
      <c r="Q1393" s="149"/>
      <c r="R1393" s="149"/>
      <c r="S1393" s="149"/>
      <c r="T1393" s="149"/>
      <c r="U1393" s="149"/>
      <c r="V1393" s="149"/>
      <c r="W1393" s="149"/>
      <c r="X1393" s="149"/>
      <c r="Y1393" s="149"/>
      <c r="Z1393" s="149"/>
      <c r="AA1393" s="149"/>
      <c r="AB1393" s="149"/>
      <c r="AC1393" s="149"/>
      <c r="AD1393" s="149"/>
      <c r="AE1393" s="149"/>
      <c r="AF1393" s="149"/>
      <c r="AG1393" s="149"/>
      <c r="AH1393" s="149"/>
    </row>
    <row r="1394" spans="1:34" ht="31.5" outlineLevel="2">
      <c r="A1394" s="129"/>
      <c r="B1394" s="12" t="str">
        <f>IFERROR(VLOOKUP(D1394,'[1]Перечень товаров'!$A$2:$I9525,2,0),"")</f>
        <v>тм251</v>
      </c>
      <c r="C1394" s="12" t="str">
        <f>IFERROR(VLOOKUP(D1394,'[1]Перечень товаров'!$A$2:$I9525,3,0),"")</f>
        <v>Техника муз</v>
      </c>
      <c r="D1394" s="130" t="s">
        <v>545</v>
      </c>
      <c r="E1394" s="150" t="s">
        <v>546</v>
      </c>
      <c r="F1394" s="150"/>
      <c r="G1394" s="95">
        <v>1</v>
      </c>
      <c r="H1394" s="95"/>
      <c r="I1394" s="96"/>
      <c r="J1394" s="96"/>
      <c r="K1394" s="7"/>
      <c r="L1394" s="8"/>
      <c r="M1394" s="149"/>
      <c r="N1394" s="149"/>
      <c r="O1394" s="149"/>
      <c r="P1394" s="149"/>
      <c r="Q1394" s="149"/>
      <c r="R1394" s="149"/>
      <c r="S1394" s="149"/>
      <c r="T1394" s="149"/>
      <c r="U1394" s="149"/>
      <c r="V1394" s="149"/>
      <c r="W1394" s="149"/>
      <c r="X1394" s="149"/>
      <c r="Y1394" s="149"/>
      <c r="Z1394" s="149"/>
      <c r="AA1394" s="149"/>
      <c r="AB1394" s="149"/>
      <c r="AC1394" s="149"/>
      <c r="AD1394" s="149"/>
      <c r="AE1394" s="149"/>
      <c r="AF1394" s="149"/>
      <c r="AG1394" s="149"/>
      <c r="AH1394" s="149"/>
    </row>
    <row r="1395" spans="1:34" outlineLevel="2">
      <c r="A1395" s="129"/>
      <c r="B1395" s="12" t="str">
        <f>IFERROR(VLOOKUP(D1395,'[1]Перечень товаров'!$A$2:$I9525,2,0),"")</f>
        <v>тм252</v>
      </c>
      <c r="C1395" s="12" t="str">
        <f>IFERROR(VLOOKUP(D1395,'[1]Перечень товаров'!$A$2:$I9525,3,0),"")</f>
        <v>Техника муз</v>
      </c>
      <c r="D1395" s="130" t="s">
        <v>547</v>
      </c>
      <c r="E1395" s="150" t="s">
        <v>534</v>
      </c>
      <c r="F1395" s="150"/>
      <c r="G1395" s="95">
        <v>1</v>
      </c>
      <c r="H1395" s="95"/>
      <c r="I1395" s="96"/>
      <c r="J1395" s="96"/>
      <c r="K1395" s="7"/>
      <c r="L1395" s="8"/>
      <c r="M1395" s="149"/>
      <c r="N1395" s="149"/>
      <c r="O1395" s="149"/>
      <c r="P1395" s="149"/>
      <c r="Q1395" s="149"/>
      <c r="R1395" s="149"/>
      <c r="S1395" s="149"/>
      <c r="T1395" s="149"/>
      <c r="U1395" s="149"/>
      <c r="V1395" s="149"/>
      <c r="W1395" s="149"/>
      <c r="X1395" s="149"/>
      <c r="Y1395" s="149"/>
      <c r="Z1395" s="149"/>
      <c r="AA1395" s="149"/>
      <c r="AB1395" s="149"/>
      <c r="AC1395" s="149"/>
      <c r="AD1395" s="149"/>
      <c r="AE1395" s="149"/>
      <c r="AF1395" s="149"/>
      <c r="AG1395" s="149"/>
      <c r="AH1395" s="149"/>
    </row>
    <row r="1396" spans="1:34" outlineLevel="2">
      <c r="A1396" s="129"/>
      <c r="B1396" s="12" t="str">
        <f>IFERROR(VLOOKUP(D1396,'[1]Перечень товаров'!$A$2:$I9525,2,0),"")</f>
        <v>тм253</v>
      </c>
      <c r="C1396" s="12" t="str">
        <f>IFERROR(VLOOKUP(D1396,'[1]Перечень товаров'!$A$2:$I9525,3,0),"")</f>
        <v>Техника муз</v>
      </c>
      <c r="D1396" s="130" t="s">
        <v>548</v>
      </c>
      <c r="E1396" s="150" t="s">
        <v>546</v>
      </c>
      <c r="F1396" s="150"/>
      <c r="G1396" s="95">
        <v>2</v>
      </c>
      <c r="H1396" s="95"/>
      <c r="I1396" s="96"/>
      <c r="J1396" s="96"/>
      <c r="K1396" s="7"/>
      <c r="L1396" s="8"/>
      <c r="M1396" s="149"/>
      <c r="N1396" s="149"/>
      <c r="O1396" s="149"/>
      <c r="P1396" s="149"/>
      <c r="Q1396" s="149"/>
      <c r="R1396" s="149"/>
      <c r="S1396" s="149"/>
      <c r="T1396" s="149"/>
      <c r="U1396" s="149"/>
      <c r="V1396" s="149"/>
      <c r="W1396" s="149"/>
      <c r="X1396" s="149"/>
      <c r="Y1396" s="149"/>
      <c r="Z1396" s="149"/>
      <c r="AA1396" s="149"/>
      <c r="AB1396" s="149"/>
      <c r="AC1396" s="149"/>
      <c r="AD1396" s="149"/>
      <c r="AE1396" s="149"/>
      <c r="AF1396" s="149"/>
      <c r="AG1396" s="149"/>
      <c r="AH1396" s="149"/>
    </row>
    <row r="1397" spans="1:34" outlineLevel="2">
      <c r="A1397" s="129"/>
      <c r="B1397" s="12" t="str">
        <f>IFERROR(VLOOKUP(D1397,'[1]Перечень товаров'!$A$2:$I9525,2,0),"")</f>
        <v>тм254</v>
      </c>
      <c r="C1397" s="12" t="str">
        <f>IFERROR(VLOOKUP(D1397,'[1]Перечень товаров'!$A$2:$I9525,3,0),"")</f>
        <v>Техника муз</v>
      </c>
      <c r="D1397" s="130" t="s">
        <v>549</v>
      </c>
      <c r="E1397" s="150" t="s">
        <v>534</v>
      </c>
      <c r="F1397" s="150"/>
      <c r="G1397" s="95">
        <v>2</v>
      </c>
      <c r="H1397" s="95"/>
      <c r="I1397" s="96"/>
      <c r="J1397" s="96"/>
      <c r="K1397" s="7"/>
      <c r="L1397" s="8"/>
      <c r="M1397" s="149"/>
      <c r="N1397" s="149"/>
      <c r="O1397" s="149"/>
      <c r="P1397" s="149"/>
      <c r="Q1397" s="149"/>
      <c r="R1397" s="149"/>
      <c r="S1397" s="149"/>
      <c r="T1397" s="149"/>
      <c r="U1397" s="149"/>
      <c r="V1397" s="149"/>
      <c r="W1397" s="149"/>
      <c r="X1397" s="149"/>
      <c r="Y1397" s="149"/>
      <c r="Z1397" s="149"/>
      <c r="AA1397" s="149"/>
      <c r="AB1397" s="149"/>
      <c r="AC1397" s="149"/>
      <c r="AD1397" s="149"/>
      <c r="AE1397" s="149"/>
      <c r="AF1397" s="149"/>
      <c r="AG1397" s="149"/>
      <c r="AH1397" s="149"/>
    </row>
    <row r="1398" spans="1:34" ht="47.25" outlineLevel="2">
      <c r="A1398" s="129"/>
      <c r="B1398" s="12" t="str">
        <f>IFERROR(VLOOKUP(D1398,'[1]Перечень товаров'!$A$2:$I9525,2,0),"")</f>
        <v>тм255</v>
      </c>
      <c r="C1398" s="12" t="str">
        <f>IFERROR(VLOOKUP(D1398,'[1]Перечень товаров'!$A$2:$I9525,3,0),"")</f>
        <v>Техника муз</v>
      </c>
      <c r="D1398" s="130" t="s">
        <v>550</v>
      </c>
      <c r="E1398" s="150" t="s">
        <v>551</v>
      </c>
      <c r="F1398" s="150"/>
      <c r="G1398" s="95">
        <v>2</v>
      </c>
      <c r="H1398" s="95"/>
      <c r="I1398" s="96"/>
      <c r="J1398" s="96"/>
      <c r="K1398" s="7"/>
      <c r="L1398" s="8"/>
      <c r="M1398" s="149"/>
      <c r="N1398" s="149"/>
      <c r="O1398" s="149"/>
      <c r="P1398" s="149"/>
      <c r="Q1398" s="149"/>
      <c r="R1398" s="149"/>
      <c r="S1398" s="149"/>
      <c r="T1398" s="149"/>
      <c r="U1398" s="149"/>
      <c r="V1398" s="149"/>
      <c r="W1398" s="149"/>
      <c r="X1398" s="149"/>
      <c r="Y1398" s="149"/>
      <c r="Z1398" s="149"/>
      <c r="AA1398" s="149"/>
      <c r="AB1398" s="149"/>
      <c r="AC1398" s="149"/>
      <c r="AD1398" s="149"/>
      <c r="AE1398" s="149"/>
      <c r="AF1398" s="149"/>
      <c r="AG1398" s="149"/>
      <c r="AH1398" s="149"/>
    </row>
    <row r="1399" spans="1:34" outlineLevel="2">
      <c r="A1399" s="129"/>
      <c r="B1399" s="12" t="str">
        <f>IFERROR(VLOOKUP(D1399,'[1]Перечень товаров'!$A$2:$I9525,2,0),"")</f>
        <v>тм256</v>
      </c>
      <c r="C1399" s="12" t="str">
        <f>IFERROR(VLOOKUP(D1399,'[1]Перечень товаров'!$A$2:$I9525,3,0),"")</f>
        <v>Техника муз</v>
      </c>
      <c r="D1399" s="130" t="s">
        <v>552</v>
      </c>
      <c r="E1399" s="150" t="s">
        <v>534</v>
      </c>
      <c r="F1399" s="150"/>
      <c r="G1399" s="95">
        <v>2</v>
      </c>
      <c r="H1399" s="95"/>
      <c r="I1399" s="96"/>
      <c r="J1399" s="96"/>
      <c r="K1399" s="7"/>
      <c r="L1399" s="8"/>
      <c r="M1399" s="149"/>
      <c r="N1399" s="149"/>
      <c r="O1399" s="149"/>
      <c r="P1399" s="149"/>
      <c r="Q1399" s="149"/>
      <c r="R1399" s="149"/>
      <c r="S1399" s="149"/>
      <c r="T1399" s="149"/>
      <c r="U1399" s="149"/>
      <c r="V1399" s="149"/>
      <c r="W1399" s="149"/>
      <c r="X1399" s="149"/>
      <c r="Y1399" s="149"/>
      <c r="Z1399" s="149"/>
      <c r="AA1399" s="149"/>
      <c r="AB1399" s="149"/>
      <c r="AC1399" s="149"/>
      <c r="AD1399" s="149"/>
      <c r="AE1399" s="149"/>
      <c r="AF1399" s="149"/>
      <c r="AG1399" s="149"/>
      <c r="AH1399" s="149"/>
    </row>
    <row r="1400" spans="1:34" ht="31.5" outlineLevel="2">
      <c r="A1400" s="125"/>
      <c r="B1400" s="12" t="str">
        <f>IFERROR(VLOOKUP(D1400,'[1]Перечень товаров'!$A$2:$I9525,2,0),"")</f>
        <v/>
      </c>
      <c r="C1400" s="12" t="str">
        <f>IFERROR(VLOOKUP(D1400,'[1]Перечень товаров'!$A$2:$I9525,3,0),"")</f>
        <v/>
      </c>
      <c r="D1400" s="126" t="s">
        <v>553</v>
      </c>
      <c r="E1400" s="146" t="s">
        <v>554</v>
      </c>
      <c r="F1400" s="146"/>
      <c r="G1400" s="131"/>
      <c r="H1400" s="131"/>
      <c r="I1400" s="132"/>
      <c r="J1400" s="132"/>
      <c r="K1400" s="7"/>
      <c r="L1400" s="8"/>
      <c r="M1400" s="149"/>
      <c r="N1400" s="149"/>
      <c r="O1400" s="149"/>
      <c r="P1400" s="149"/>
      <c r="Q1400" s="149"/>
      <c r="R1400" s="149"/>
      <c r="S1400" s="149"/>
      <c r="T1400" s="149"/>
      <c r="U1400" s="149"/>
      <c r="V1400" s="149"/>
      <c r="W1400" s="149"/>
      <c r="X1400" s="149"/>
      <c r="Y1400" s="149"/>
      <c r="Z1400" s="149"/>
      <c r="AA1400" s="149"/>
      <c r="AB1400" s="149"/>
      <c r="AC1400" s="149"/>
      <c r="AD1400" s="149"/>
      <c r="AE1400" s="149"/>
      <c r="AF1400" s="149"/>
      <c r="AG1400" s="149"/>
      <c r="AH1400" s="149"/>
    </row>
    <row r="1401" spans="1:34" ht="31.5" outlineLevel="2">
      <c r="A1401" s="129"/>
      <c r="B1401" s="12" t="str">
        <f>IFERROR(VLOOKUP(D1401,'[1]Перечень товаров'!$A$2:$I9525,2,0),"")</f>
        <v>тм257</v>
      </c>
      <c r="C1401" s="12" t="str">
        <f>IFERROR(VLOOKUP(D1401,'[1]Перечень товаров'!$A$2:$I9525,3,0),"")</f>
        <v>Техника муз</v>
      </c>
      <c r="D1401" s="130" t="s">
        <v>555</v>
      </c>
      <c r="E1401" s="150" t="s">
        <v>534</v>
      </c>
      <c r="F1401" s="150"/>
      <c r="G1401" s="95">
        <v>30</v>
      </c>
      <c r="H1401" s="95"/>
      <c r="I1401" s="96"/>
      <c r="J1401" s="96"/>
      <c r="K1401" s="7"/>
      <c r="L1401" s="8"/>
      <c r="M1401" s="149"/>
      <c r="N1401" s="149"/>
      <c r="O1401" s="149"/>
      <c r="P1401" s="149"/>
      <c r="Q1401" s="149"/>
      <c r="R1401" s="149"/>
      <c r="S1401" s="149"/>
      <c r="T1401" s="149"/>
      <c r="U1401" s="149"/>
      <c r="V1401" s="149"/>
      <c r="W1401" s="149"/>
      <c r="X1401" s="149"/>
      <c r="Y1401" s="149"/>
      <c r="Z1401" s="149"/>
      <c r="AA1401" s="149"/>
      <c r="AB1401" s="149"/>
      <c r="AC1401" s="149"/>
      <c r="AD1401" s="149"/>
      <c r="AE1401" s="149"/>
      <c r="AF1401" s="149"/>
      <c r="AG1401" s="149"/>
      <c r="AH1401" s="149"/>
    </row>
    <row r="1402" spans="1:34" ht="31.5" outlineLevel="2">
      <c r="A1402" s="129"/>
      <c r="B1402" s="12" t="str">
        <f>IFERROR(VLOOKUP(D1402,'[1]Перечень товаров'!$A$2:$I9525,2,0),"")</f>
        <v>м150</v>
      </c>
      <c r="C1402" s="12" t="str">
        <f>IFERROR(VLOOKUP(D1402,'[1]Перечень товаров'!$A$2:$I9525,3,0),"")</f>
        <v>Мебель</v>
      </c>
      <c r="D1402" s="130" t="s">
        <v>427</v>
      </c>
      <c r="E1402" s="150" t="s">
        <v>534</v>
      </c>
      <c r="F1402" s="150"/>
      <c r="G1402" s="95">
        <v>40</v>
      </c>
      <c r="H1402" s="95"/>
      <c r="I1402" s="96"/>
      <c r="J1402" s="96"/>
      <c r="K1402" s="7"/>
      <c r="L1402" s="8"/>
      <c r="M1402" s="149"/>
      <c r="N1402" s="149"/>
      <c r="O1402" s="149"/>
      <c r="P1402" s="149"/>
      <c r="Q1402" s="149"/>
      <c r="R1402" s="149"/>
      <c r="S1402" s="149"/>
      <c r="T1402" s="149"/>
      <c r="U1402" s="149"/>
      <c r="V1402" s="149"/>
      <c r="W1402" s="149"/>
      <c r="X1402" s="149"/>
      <c r="Y1402" s="149"/>
      <c r="Z1402" s="149"/>
      <c r="AA1402" s="149"/>
      <c r="AB1402" s="149"/>
      <c r="AC1402" s="149"/>
      <c r="AD1402" s="149"/>
      <c r="AE1402" s="149"/>
      <c r="AF1402" s="149"/>
      <c r="AG1402" s="149"/>
      <c r="AH1402" s="149"/>
    </row>
    <row r="1403" spans="1:34" ht="47.25" outlineLevel="2">
      <c r="A1403" s="129"/>
      <c r="B1403" s="12" t="str">
        <f>IFERROR(VLOOKUP(D1403,'[1]Перечень товаров'!$A$2:$I9525,2,0),"")</f>
        <v>м151</v>
      </c>
      <c r="C1403" s="12" t="str">
        <f>IFERROR(VLOOKUP(D1403,'[1]Перечень товаров'!$A$2:$I9525,3,0),"")</f>
        <v>Мебель</v>
      </c>
      <c r="D1403" s="130" t="s">
        <v>428</v>
      </c>
      <c r="E1403" s="150" t="s">
        <v>534</v>
      </c>
      <c r="F1403" s="150"/>
      <c r="G1403" s="95">
        <v>6</v>
      </c>
      <c r="H1403" s="95"/>
      <c r="I1403" s="96"/>
      <c r="J1403" s="96"/>
      <c r="K1403" s="7"/>
      <c r="L1403" s="8"/>
      <c r="M1403" s="149"/>
      <c r="N1403" s="149"/>
      <c r="O1403" s="149"/>
      <c r="P1403" s="149"/>
      <c r="Q1403" s="149"/>
      <c r="R1403" s="149"/>
      <c r="S1403" s="149"/>
      <c r="T1403" s="149"/>
      <c r="U1403" s="149"/>
      <c r="V1403" s="149"/>
      <c r="W1403" s="149"/>
      <c r="X1403" s="149"/>
      <c r="Y1403" s="149"/>
      <c r="Z1403" s="149"/>
      <c r="AA1403" s="149"/>
      <c r="AB1403" s="149"/>
      <c r="AC1403" s="149"/>
      <c r="AD1403" s="149"/>
      <c r="AE1403" s="149"/>
      <c r="AF1403" s="149"/>
      <c r="AG1403" s="149"/>
      <c r="AH1403" s="149"/>
    </row>
    <row r="1404" spans="1:34" outlineLevel="2">
      <c r="A1404" s="129"/>
      <c r="B1404" s="12" t="str">
        <f>IFERROR(VLOOKUP(D1404,'[1]Перечень товаров'!$A$2:$I9525,2,0),"")</f>
        <v>мм11</v>
      </c>
      <c r="C1404" s="12" t="str">
        <f>IFERROR(VLOOKUP(D1404,'[1]Перечень товаров'!$A$2:$I9525,3,0),"")</f>
        <v>Мебель муз</v>
      </c>
      <c r="D1404" s="130" t="s">
        <v>231</v>
      </c>
      <c r="E1404" s="150" t="s">
        <v>534</v>
      </c>
      <c r="F1404" s="150"/>
      <c r="G1404" s="95">
        <v>10</v>
      </c>
      <c r="H1404" s="95"/>
      <c r="I1404" s="96"/>
      <c r="J1404" s="96"/>
      <c r="K1404" s="7"/>
      <c r="L1404" s="8"/>
      <c r="M1404" s="149"/>
      <c r="N1404" s="149"/>
      <c r="O1404" s="149"/>
      <c r="P1404" s="149"/>
      <c r="Q1404" s="149"/>
      <c r="R1404" s="149"/>
      <c r="S1404" s="149"/>
      <c r="T1404" s="149"/>
      <c r="U1404" s="149"/>
      <c r="V1404" s="149"/>
      <c r="W1404" s="149"/>
      <c r="X1404" s="149"/>
      <c r="Y1404" s="149"/>
      <c r="Z1404" s="149"/>
      <c r="AA1404" s="149"/>
      <c r="AB1404" s="149"/>
      <c r="AC1404" s="149"/>
      <c r="AD1404" s="149"/>
      <c r="AE1404" s="149"/>
      <c r="AF1404" s="149"/>
      <c r="AG1404" s="149"/>
      <c r="AH1404" s="149"/>
    </row>
    <row r="1405" spans="1:34" ht="31.5" outlineLevel="2">
      <c r="A1405" s="129"/>
      <c r="B1405" s="12" t="str">
        <f>IFERROR(VLOOKUP(D1405,'[1]Перечень товаров'!$A$2:$I9525,2,0),"")</f>
        <v>м152</v>
      </c>
      <c r="C1405" s="12" t="str">
        <f>IFERROR(VLOOKUP(D1405,'[1]Перечень товаров'!$A$2:$I9525,3,0),"")</f>
        <v>Мебель</v>
      </c>
      <c r="D1405" s="130" t="s">
        <v>429</v>
      </c>
      <c r="E1405" s="150" t="s">
        <v>546</v>
      </c>
      <c r="F1405" s="150"/>
      <c r="G1405" s="95">
        <v>2</v>
      </c>
      <c r="H1405" s="95"/>
      <c r="I1405" s="96"/>
      <c r="J1405" s="96"/>
      <c r="K1405" s="7"/>
      <c r="L1405" s="8"/>
      <c r="M1405" s="149"/>
      <c r="N1405" s="149"/>
      <c r="O1405" s="149"/>
      <c r="P1405" s="149"/>
      <c r="Q1405" s="149"/>
      <c r="R1405" s="149"/>
      <c r="S1405" s="149"/>
      <c r="T1405" s="149"/>
      <c r="U1405" s="149"/>
      <c r="V1405" s="149"/>
      <c r="W1405" s="149"/>
      <c r="X1405" s="149"/>
      <c r="Y1405" s="149"/>
      <c r="Z1405" s="149"/>
      <c r="AA1405" s="149"/>
      <c r="AB1405" s="149"/>
      <c r="AC1405" s="149"/>
      <c r="AD1405" s="149"/>
      <c r="AE1405" s="149"/>
      <c r="AF1405" s="149"/>
      <c r="AG1405" s="149"/>
      <c r="AH1405" s="149"/>
    </row>
    <row r="1406" spans="1:34" outlineLevel="2">
      <c r="A1406" s="125"/>
      <c r="B1406" s="12" t="str">
        <f>IFERROR(VLOOKUP(D1406,'[1]Перечень товаров'!$A$2:$I9525,2,0),"")</f>
        <v/>
      </c>
      <c r="C1406" s="12" t="str">
        <f>IFERROR(VLOOKUP(D1406,'[1]Перечень товаров'!$A$2:$I9525,3,0),"")</f>
        <v/>
      </c>
      <c r="D1406" s="126" t="s">
        <v>242</v>
      </c>
      <c r="E1406" s="146" t="s">
        <v>556</v>
      </c>
      <c r="F1406" s="146"/>
      <c r="G1406" s="131"/>
      <c r="H1406" s="131"/>
      <c r="I1406" s="132"/>
      <c r="J1406" s="132"/>
      <c r="K1406" s="7"/>
      <c r="L1406" s="8"/>
      <c r="M1406" s="149"/>
      <c r="N1406" s="149"/>
      <c r="O1406" s="149"/>
      <c r="P1406" s="149"/>
      <c r="Q1406" s="149"/>
      <c r="R1406" s="149"/>
      <c r="S1406" s="149"/>
      <c r="T1406" s="149"/>
      <c r="U1406" s="149"/>
      <c r="V1406" s="149"/>
      <c r="W1406" s="149"/>
      <c r="X1406" s="149"/>
      <c r="Y1406" s="149"/>
      <c r="Z1406" s="149"/>
      <c r="AA1406" s="149"/>
      <c r="AB1406" s="149"/>
      <c r="AC1406" s="149"/>
      <c r="AD1406" s="149"/>
      <c r="AE1406" s="149"/>
      <c r="AF1406" s="149"/>
      <c r="AG1406" s="149"/>
      <c r="AH1406" s="149"/>
    </row>
    <row r="1407" spans="1:34" ht="31.5" outlineLevel="2">
      <c r="A1407" s="129"/>
      <c r="B1407" s="12" t="str">
        <f>IFERROR(VLOOKUP(D1407,'[1]Перечень товаров'!$A$2:$I9525,2,0),"")</f>
        <v>т162</v>
      </c>
      <c r="C1407" s="12" t="str">
        <f>IFERROR(VLOOKUP(D1407,'[1]Перечень товаров'!$A$2:$I9525,3,0),"")</f>
        <v>Техника</v>
      </c>
      <c r="D1407" s="130" t="s">
        <v>431</v>
      </c>
      <c r="E1407" s="150" t="s">
        <v>534</v>
      </c>
      <c r="F1407" s="150"/>
      <c r="G1407" s="95">
        <v>8</v>
      </c>
      <c r="H1407" s="95"/>
      <c r="I1407" s="96"/>
      <c r="J1407" s="96"/>
      <c r="K1407" s="7"/>
      <c r="L1407" s="8"/>
      <c r="M1407" s="149"/>
      <c r="N1407" s="149"/>
      <c r="O1407" s="149"/>
      <c r="P1407" s="149"/>
      <c r="Q1407" s="149"/>
      <c r="R1407" s="149"/>
      <c r="S1407" s="149"/>
      <c r="T1407" s="149"/>
      <c r="U1407" s="149"/>
      <c r="V1407" s="149"/>
      <c r="W1407" s="149"/>
      <c r="X1407" s="149"/>
      <c r="Y1407" s="149"/>
      <c r="Z1407" s="149"/>
      <c r="AA1407" s="149"/>
      <c r="AB1407" s="149"/>
      <c r="AC1407" s="149"/>
      <c r="AD1407" s="149"/>
      <c r="AE1407" s="149"/>
      <c r="AF1407" s="149"/>
      <c r="AG1407" s="149"/>
      <c r="AH1407" s="149"/>
    </row>
    <row r="1408" spans="1:34" ht="31.5" outlineLevel="2">
      <c r="A1408" s="129"/>
      <c r="B1408" s="12" t="str">
        <f>IFERROR(VLOOKUP(D1408,'[1]Перечень товаров'!$A$2:$I9525,2,0),"")</f>
        <v>т197</v>
      </c>
      <c r="C1408" s="12" t="str">
        <f>IFERROR(VLOOKUP(D1408,'[1]Перечень товаров'!$A$2:$I9525,3,0),"")</f>
        <v>Техника</v>
      </c>
      <c r="D1408" s="130" t="s">
        <v>557</v>
      </c>
      <c r="E1408" s="150" t="s">
        <v>534</v>
      </c>
      <c r="F1408" s="150"/>
      <c r="G1408" s="95">
        <v>6</v>
      </c>
      <c r="H1408" s="95"/>
      <c r="I1408" s="96"/>
      <c r="J1408" s="96"/>
      <c r="K1408" s="7"/>
      <c r="L1408" s="8"/>
      <c r="M1408" s="149"/>
      <c r="N1408" s="149"/>
      <c r="O1408" s="149"/>
      <c r="P1408" s="149"/>
      <c r="Q1408" s="149"/>
      <c r="R1408" s="149"/>
      <c r="S1408" s="149"/>
      <c r="T1408" s="149"/>
      <c r="U1408" s="149"/>
      <c r="V1408" s="149"/>
      <c r="W1408" s="149"/>
      <c r="X1408" s="149"/>
      <c r="Y1408" s="149"/>
      <c r="Z1408" s="149"/>
      <c r="AA1408" s="149"/>
      <c r="AB1408" s="149"/>
      <c r="AC1408" s="149"/>
      <c r="AD1408" s="149"/>
      <c r="AE1408" s="149"/>
      <c r="AF1408" s="149"/>
      <c r="AG1408" s="149"/>
      <c r="AH1408" s="149"/>
    </row>
    <row r="1409" spans="1:34" ht="31.5" outlineLevel="2">
      <c r="A1409" s="129"/>
      <c r="B1409" s="12" t="str">
        <f>IFERROR(VLOOKUP(D1409,'[1]Перечень товаров'!$A$2:$I9525,2,0),"")</f>
        <v>т164</v>
      </c>
      <c r="C1409" s="12" t="str">
        <f>IFERROR(VLOOKUP(D1409,'[1]Перечень товаров'!$A$2:$I9525,3,0),"")</f>
        <v>Техника</v>
      </c>
      <c r="D1409" s="130" t="s">
        <v>433</v>
      </c>
      <c r="E1409" s="150" t="s">
        <v>534</v>
      </c>
      <c r="F1409" s="150"/>
      <c r="G1409" s="95">
        <v>2</v>
      </c>
      <c r="H1409" s="95"/>
      <c r="I1409" s="96"/>
      <c r="J1409" s="96"/>
      <c r="K1409" s="7"/>
      <c r="L1409" s="8"/>
      <c r="M1409" s="149"/>
      <c r="N1409" s="149"/>
      <c r="O1409" s="149"/>
      <c r="P1409" s="149"/>
      <c r="Q1409" s="149"/>
      <c r="R1409" s="149"/>
      <c r="S1409" s="149"/>
      <c r="T1409" s="149"/>
      <c r="U1409" s="149"/>
      <c r="V1409" s="149"/>
      <c r="W1409" s="149"/>
      <c r="X1409" s="149"/>
      <c r="Y1409" s="149"/>
      <c r="Z1409" s="149"/>
      <c r="AA1409" s="149"/>
      <c r="AB1409" s="149"/>
      <c r="AC1409" s="149"/>
      <c r="AD1409" s="149"/>
      <c r="AE1409" s="149"/>
      <c r="AF1409" s="149"/>
      <c r="AG1409" s="149"/>
      <c r="AH1409" s="149"/>
    </row>
    <row r="1410" spans="1:34" outlineLevel="2">
      <c r="A1410" s="129"/>
      <c r="B1410" s="12" t="str">
        <f>IFERROR(VLOOKUP(D1410,'[1]Перечень товаров'!$A$2:$I9525,2,0),"")</f>
        <v>т165</v>
      </c>
      <c r="C1410" s="12" t="str">
        <f>IFERROR(VLOOKUP(D1410,'[1]Перечень товаров'!$A$2:$I9525,3,0),"")</f>
        <v>Техника</v>
      </c>
      <c r="D1410" s="130" t="s">
        <v>434</v>
      </c>
      <c r="E1410" s="150" t="s">
        <v>534</v>
      </c>
      <c r="F1410" s="150"/>
      <c r="G1410" s="95">
        <v>4</v>
      </c>
      <c r="H1410" s="95"/>
      <c r="I1410" s="96"/>
      <c r="J1410" s="96"/>
      <c r="K1410" s="7"/>
      <c r="L1410" s="8"/>
      <c r="M1410" s="149"/>
      <c r="N1410" s="149"/>
      <c r="O1410" s="149"/>
      <c r="P1410" s="149"/>
      <c r="Q1410" s="149"/>
      <c r="R1410" s="149"/>
      <c r="S1410" s="149"/>
      <c r="T1410" s="149"/>
      <c r="U1410" s="149"/>
      <c r="V1410" s="149"/>
      <c r="W1410" s="149"/>
      <c r="X1410" s="149"/>
      <c r="Y1410" s="149"/>
      <c r="Z1410" s="149"/>
      <c r="AA1410" s="149"/>
      <c r="AB1410" s="149"/>
      <c r="AC1410" s="149"/>
      <c r="AD1410" s="149"/>
      <c r="AE1410" s="149"/>
      <c r="AF1410" s="149"/>
      <c r="AG1410" s="149"/>
      <c r="AH1410" s="149"/>
    </row>
    <row r="1411" spans="1:34" outlineLevel="2">
      <c r="A1411" s="129"/>
      <c r="B1411" s="12" t="str">
        <f>IFERROR(VLOOKUP(D1411,'[1]Перечень товаров'!$A$2:$I9525,2,0),"")</f>
        <v>тм23</v>
      </c>
      <c r="C1411" s="12" t="str">
        <f>IFERROR(VLOOKUP(D1411,'[1]Перечень товаров'!$A$2:$I9525,3,0),"")</f>
        <v>Техника муз</v>
      </c>
      <c r="D1411" s="130" t="s">
        <v>252</v>
      </c>
      <c r="E1411" s="150" t="s">
        <v>534</v>
      </c>
      <c r="F1411" s="150"/>
      <c r="G1411" s="95">
        <v>1</v>
      </c>
      <c r="H1411" s="95"/>
      <c r="I1411" s="96"/>
      <c r="J1411" s="96"/>
      <c r="K1411" s="7"/>
      <c r="L1411" s="8"/>
      <c r="M1411" s="149"/>
      <c r="N1411" s="149"/>
      <c r="O1411" s="149"/>
      <c r="P1411" s="149"/>
      <c r="Q1411" s="149"/>
      <c r="R1411" s="149"/>
      <c r="S1411" s="149"/>
      <c r="T1411" s="149"/>
      <c r="U1411" s="149"/>
      <c r="V1411" s="149"/>
      <c r="W1411" s="149"/>
      <c r="X1411" s="149"/>
      <c r="Y1411" s="149"/>
      <c r="Z1411" s="149"/>
      <c r="AA1411" s="149"/>
      <c r="AB1411" s="149"/>
      <c r="AC1411" s="149"/>
      <c r="AD1411" s="149"/>
      <c r="AE1411" s="149"/>
      <c r="AF1411" s="149"/>
      <c r="AG1411" s="149"/>
      <c r="AH1411" s="149"/>
    </row>
    <row r="1412" spans="1:34" ht="47.25" outlineLevel="2">
      <c r="A1412" s="129"/>
      <c r="B1412" s="12" t="str">
        <f>IFERROR(VLOOKUP(D1412,'[1]Перечень товаров'!$A$2:$I9525,2,0),"")</f>
        <v>т198</v>
      </c>
      <c r="C1412" s="12" t="str">
        <f>IFERROR(VLOOKUP(D1412,'[1]Перечень товаров'!$A$2:$I9525,3,0),"")</f>
        <v>Техника</v>
      </c>
      <c r="D1412" s="130" t="s">
        <v>558</v>
      </c>
      <c r="E1412" s="150" t="s">
        <v>534</v>
      </c>
      <c r="F1412" s="150"/>
      <c r="G1412" s="95">
        <v>4</v>
      </c>
      <c r="H1412" s="95"/>
      <c r="I1412" s="96"/>
      <c r="J1412" s="96"/>
      <c r="K1412" s="7"/>
      <c r="L1412" s="8"/>
      <c r="M1412" s="149"/>
      <c r="N1412" s="149"/>
      <c r="O1412" s="149"/>
      <c r="P1412" s="149"/>
      <c r="Q1412" s="149"/>
      <c r="R1412" s="149"/>
      <c r="S1412" s="149"/>
      <c r="T1412" s="149"/>
      <c r="U1412" s="149"/>
      <c r="V1412" s="149"/>
      <c r="W1412" s="149"/>
      <c r="X1412" s="149"/>
      <c r="Y1412" s="149"/>
      <c r="Z1412" s="149"/>
      <c r="AA1412" s="149"/>
      <c r="AB1412" s="149"/>
      <c r="AC1412" s="149"/>
      <c r="AD1412" s="149"/>
      <c r="AE1412" s="149"/>
      <c r="AF1412" s="149"/>
      <c r="AG1412" s="149"/>
      <c r="AH1412" s="149"/>
    </row>
    <row r="1413" spans="1:34" ht="31.5" outlineLevel="2">
      <c r="A1413" s="129"/>
      <c r="B1413" s="12" t="str">
        <f>IFERROR(VLOOKUP(D1413,'[1]Перечень товаров'!$A$2:$I9525,2,0),"")</f>
        <v>т168</v>
      </c>
      <c r="C1413" s="12" t="str">
        <f>IFERROR(VLOOKUP(D1413,'[1]Перечень товаров'!$A$2:$I9525,3,0),"")</f>
        <v>Техника</v>
      </c>
      <c r="D1413" s="130" t="s">
        <v>437</v>
      </c>
      <c r="E1413" s="150" t="s">
        <v>534</v>
      </c>
      <c r="F1413" s="150"/>
      <c r="G1413" s="95">
        <v>1</v>
      </c>
      <c r="H1413" s="95"/>
      <c r="I1413" s="96"/>
      <c r="J1413" s="96"/>
      <c r="K1413" s="7"/>
      <c r="L1413" s="8"/>
      <c r="M1413" s="149"/>
      <c r="N1413" s="149"/>
      <c r="O1413" s="149"/>
      <c r="P1413" s="149"/>
      <c r="Q1413" s="149"/>
      <c r="R1413" s="149"/>
      <c r="S1413" s="149"/>
      <c r="T1413" s="149"/>
      <c r="U1413" s="149"/>
      <c r="V1413" s="149"/>
      <c r="W1413" s="149"/>
      <c r="X1413" s="149"/>
      <c r="Y1413" s="149"/>
      <c r="Z1413" s="149"/>
      <c r="AA1413" s="149"/>
      <c r="AB1413" s="149"/>
      <c r="AC1413" s="149"/>
      <c r="AD1413" s="149"/>
      <c r="AE1413" s="149"/>
      <c r="AF1413" s="149"/>
      <c r="AG1413" s="149"/>
      <c r="AH1413" s="149"/>
    </row>
    <row r="1414" spans="1:34" ht="31.5" outlineLevel="2">
      <c r="A1414" s="129"/>
      <c r="B1414" s="12" t="str">
        <f>IFERROR(VLOOKUP(D1414,'[1]Перечень товаров'!$A$2:$I9525,2,0),"")</f>
        <v>т151</v>
      </c>
      <c r="C1414" s="12" t="str">
        <f>IFERROR(VLOOKUP(D1414,'[1]Перечень товаров'!$A$2:$I9525,3,0),"")</f>
        <v>Техника</v>
      </c>
      <c r="D1414" s="130" t="s">
        <v>253</v>
      </c>
      <c r="E1414" s="150"/>
      <c r="F1414" s="150"/>
      <c r="G1414" s="95">
        <v>1</v>
      </c>
      <c r="H1414" s="95"/>
      <c r="I1414" s="96"/>
      <c r="J1414" s="96"/>
      <c r="K1414" s="7"/>
      <c r="L1414" s="8"/>
      <c r="M1414" s="149"/>
      <c r="N1414" s="149"/>
      <c r="O1414" s="149"/>
      <c r="P1414" s="149"/>
      <c r="Q1414" s="149"/>
      <c r="R1414" s="149"/>
      <c r="S1414" s="149"/>
      <c r="T1414" s="149"/>
      <c r="U1414" s="149"/>
      <c r="V1414" s="149"/>
      <c r="W1414" s="149"/>
      <c r="X1414" s="149"/>
      <c r="Y1414" s="149"/>
      <c r="Z1414" s="149"/>
      <c r="AA1414" s="149"/>
      <c r="AB1414" s="149"/>
      <c r="AC1414" s="149"/>
      <c r="AD1414" s="149"/>
      <c r="AE1414" s="149"/>
      <c r="AF1414" s="149"/>
      <c r="AG1414" s="149"/>
      <c r="AH1414" s="149"/>
    </row>
    <row r="1415" spans="1:34" ht="31.5" outlineLevel="2">
      <c r="A1415" s="129"/>
      <c r="B1415" s="12" t="str">
        <f>IFERROR(VLOOKUP(D1415,'[1]Перечень товаров'!$A$2:$I9525,2,0),"")</f>
        <v>т152</v>
      </c>
      <c r="C1415" s="12" t="str">
        <f>IFERROR(VLOOKUP(D1415,'[1]Перечень товаров'!$A$2:$I9525,3,0),"")</f>
        <v>Техника</v>
      </c>
      <c r="D1415" s="130" t="s">
        <v>254</v>
      </c>
      <c r="E1415" s="150" t="s">
        <v>534</v>
      </c>
      <c r="F1415" s="150"/>
      <c r="G1415" s="95">
        <v>1</v>
      </c>
      <c r="H1415" s="95"/>
      <c r="I1415" s="96"/>
      <c r="J1415" s="96"/>
      <c r="K1415" s="7"/>
      <c r="L1415" s="8"/>
      <c r="M1415" s="149"/>
      <c r="N1415" s="149"/>
      <c r="O1415" s="149"/>
      <c r="P1415" s="149"/>
      <c r="Q1415" s="149"/>
      <c r="R1415" s="149"/>
      <c r="S1415" s="149"/>
      <c r="T1415" s="149"/>
      <c r="U1415" s="149"/>
      <c r="V1415" s="149"/>
      <c r="W1415" s="149"/>
      <c r="X1415" s="149"/>
      <c r="Y1415" s="149"/>
      <c r="Z1415" s="149"/>
      <c r="AA1415" s="149"/>
      <c r="AB1415" s="149"/>
      <c r="AC1415" s="149"/>
      <c r="AD1415" s="149"/>
      <c r="AE1415" s="149"/>
      <c r="AF1415" s="149"/>
      <c r="AG1415" s="149"/>
      <c r="AH1415" s="149"/>
    </row>
    <row r="1416" spans="1:34" ht="31.5" outlineLevel="2">
      <c r="A1416" s="129"/>
      <c r="B1416" s="12" t="str">
        <f>IFERROR(VLOOKUP(D1416,'[1]Перечень товаров'!$A$2:$I9525,2,0),"")</f>
        <v>т169</v>
      </c>
      <c r="C1416" s="12" t="str">
        <f>IFERROR(VLOOKUP(D1416,'[1]Перечень товаров'!$A$2:$I9525,3,0),"")</f>
        <v>Техника</v>
      </c>
      <c r="D1416" s="130" t="s">
        <v>438</v>
      </c>
      <c r="E1416" s="150" t="s">
        <v>534</v>
      </c>
      <c r="F1416" s="150"/>
      <c r="G1416" s="95">
        <v>25</v>
      </c>
      <c r="H1416" s="95"/>
      <c r="I1416" s="96"/>
      <c r="J1416" s="96"/>
      <c r="K1416" s="7"/>
      <c r="L1416" s="8"/>
      <c r="M1416" s="149"/>
      <c r="N1416" s="149"/>
      <c r="O1416" s="149"/>
      <c r="P1416" s="149"/>
      <c r="Q1416" s="149"/>
      <c r="R1416" s="149"/>
      <c r="S1416" s="149"/>
      <c r="T1416" s="149"/>
      <c r="U1416" s="149"/>
      <c r="V1416" s="149"/>
      <c r="W1416" s="149"/>
      <c r="X1416" s="149"/>
      <c r="Y1416" s="149"/>
      <c r="Z1416" s="149"/>
      <c r="AA1416" s="149"/>
      <c r="AB1416" s="149"/>
      <c r="AC1416" s="149"/>
      <c r="AD1416" s="149"/>
      <c r="AE1416" s="149"/>
      <c r="AF1416" s="149"/>
      <c r="AG1416" s="149"/>
      <c r="AH1416" s="149"/>
    </row>
    <row r="1417" spans="1:34" outlineLevel="2">
      <c r="A1417" s="125"/>
      <c r="B1417" s="12" t="str">
        <f>IFERROR(VLOOKUP(D1417,'[1]Перечень товаров'!$A$2:$I9525,2,0),"")</f>
        <v/>
      </c>
      <c r="C1417" s="12" t="str">
        <f>IFERROR(VLOOKUP(D1417,'[1]Перечень товаров'!$A$2:$I9525,3,0),"")</f>
        <v/>
      </c>
      <c r="D1417" s="126" t="s">
        <v>264</v>
      </c>
      <c r="E1417" s="146" t="s">
        <v>534</v>
      </c>
      <c r="F1417" s="146"/>
      <c r="G1417" s="131"/>
      <c r="H1417" s="131"/>
      <c r="I1417" s="132"/>
      <c r="J1417" s="132"/>
      <c r="K1417" s="7"/>
      <c r="L1417" s="8"/>
      <c r="M1417" s="149"/>
      <c r="N1417" s="149"/>
      <c r="O1417" s="149"/>
      <c r="P1417" s="149"/>
      <c r="Q1417" s="149"/>
      <c r="R1417" s="149"/>
      <c r="S1417" s="149"/>
      <c r="T1417" s="149"/>
      <c r="U1417" s="149"/>
      <c r="V1417" s="149"/>
      <c r="W1417" s="149"/>
      <c r="X1417" s="149"/>
      <c r="Y1417" s="149"/>
      <c r="Z1417" s="149"/>
      <c r="AA1417" s="149"/>
      <c r="AB1417" s="149"/>
      <c r="AC1417" s="149"/>
      <c r="AD1417" s="149"/>
      <c r="AE1417" s="149"/>
      <c r="AF1417" s="149"/>
      <c r="AG1417" s="149"/>
      <c r="AH1417" s="149"/>
    </row>
    <row r="1418" spans="1:34" ht="31.5" outlineLevel="2">
      <c r="A1418" s="129"/>
      <c r="B1418" s="12" t="str">
        <f>IFERROR(VLOOKUP(D1418,'[1]Перечень товаров'!$A$2:$I9525,2,0),"")</f>
        <v>т199</v>
      </c>
      <c r="C1418" s="12" t="str">
        <f>IFERROR(VLOOKUP(D1418,'[1]Перечень товаров'!$A$2:$I9525,3,0),"")</f>
        <v>Техника</v>
      </c>
      <c r="D1418" s="130" t="s">
        <v>559</v>
      </c>
      <c r="E1418" s="150" t="s">
        <v>560</v>
      </c>
      <c r="F1418" s="150"/>
      <c r="G1418" s="95">
        <v>1</v>
      </c>
      <c r="H1418" s="95"/>
      <c r="I1418" s="96"/>
      <c r="J1418" s="96"/>
      <c r="K1418" s="7"/>
      <c r="L1418" s="8"/>
      <c r="M1418" s="149"/>
      <c r="N1418" s="149"/>
      <c r="O1418" s="149"/>
      <c r="P1418" s="149"/>
      <c r="Q1418" s="149"/>
      <c r="R1418" s="149"/>
      <c r="S1418" s="149"/>
      <c r="T1418" s="149"/>
      <c r="U1418" s="149"/>
      <c r="V1418" s="149"/>
      <c r="W1418" s="149"/>
      <c r="X1418" s="149"/>
      <c r="Y1418" s="149"/>
      <c r="Z1418" s="149"/>
      <c r="AA1418" s="149"/>
      <c r="AB1418" s="149"/>
      <c r="AC1418" s="149"/>
      <c r="AD1418" s="149"/>
      <c r="AE1418" s="149"/>
      <c r="AF1418" s="149"/>
      <c r="AG1418" s="149"/>
      <c r="AH1418" s="149"/>
    </row>
    <row r="1419" spans="1:34" ht="31.5" outlineLevel="2">
      <c r="A1419" s="129"/>
      <c r="B1419" s="12" t="str">
        <f>IFERROR(VLOOKUP(D1419,'[1]Перечень товаров'!$A$2:$I9525,2,0),"")</f>
        <v>т172</v>
      </c>
      <c r="C1419" s="12" t="str">
        <f>IFERROR(VLOOKUP(D1419,'[1]Перечень товаров'!$A$2:$I9525,3,0),"")</f>
        <v>Техника</v>
      </c>
      <c r="D1419" s="130" t="s">
        <v>442</v>
      </c>
      <c r="E1419" s="150" t="s">
        <v>534</v>
      </c>
      <c r="F1419" s="150"/>
      <c r="G1419" s="95">
        <v>4</v>
      </c>
      <c r="H1419" s="95"/>
      <c r="I1419" s="96"/>
      <c r="J1419" s="96"/>
      <c r="K1419" s="7"/>
      <c r="L1419" s="8"/>
      <c r="M1419" s="149"/>
      <c r="N1419" s="149"/>
      <c r="O1419" s="149"/>
      <c r="P1419" s="149"/>
      <c r="Q1419" s="149"/>
      <c r="R1419" s="149"/>
      <c r="S1419" s="149"/>
      <c r="T1419" s="149"/>
      <c r="U1419" s="149"/>
      <c r="V1419" s="149"/>
      <c r="W1419" s="149"/>
      <c r="X1419" s="149"/>
      <c r="Y1419" s="149"/>
      <c r="Z1419" s="149"/>
      <c r="AA1419" s="149"/>
      <c r="AB1419" s="149"/>
      <c r="AC1419" s="149"/>
      <c r="AD1419" s="149"/>
      <c r="AE1419" s="149"/>
      <c r="AF1419" s="149"/>
      <c r="AG1419" s="149"/>
      <c r="AH1419" s="149"/>
    </row>
    <row r="1420" spans="1:34" ht="31.5" outlineLevel="2">
      <c r="A1420" s="129"/>
      <c r="B1420" s="12" t="str">
        <f>IFERROR(VLOOKUP(D1420,'[1]Перечень товаров'!$A$2:$I9525,2,0),"")</f>
        <v>т200</v>
      </c>
      <c r="C1420" s="12" t="str">
        <f>IFERROR(VLOOKUP(D1420,'[1]Перечень товаров'!$A$2:$I9525,3,0),"")</f>
        <v>Техника</v>
      </c>
      <c r="D1420" s="130" t="s">
        <v>561</v>
      </c>
      <c r="E1420" s="150"/>
      <c r="F1420" s="150"/>
      <c r="G1420" s="95">
        <v>2</v>
      </c>
      <c r="H1420" s="95"/>
      <c r="I1420" s="96"/>
      <c r="J1420" s="96"/>
      <c r="K1420" s="7"/>
      <c r="L1420" s="8"/>
      <c r="M1420" s="149"/>
      <c r="N1420" s="149"/>
      <c r="O1420" s="149"/>
      <c r="P1420" s="149"/>
      <c r="Q1420" s="149"/>
      <c r="R1420" s="149"/>
      <c r="S1420" s="149"/>
      <c r="T1420" s="149"/>
      <c r="U1420" s="149"/>
      <c r="V1420" s="149"/>
      <c r="W1420" s="149"/>
      <c r="X1420" s="149"/>
      <c r="Y1420" s="149"/>
      <c r="Z1420" s="149"/>
      <c r="AA1420" s="149"/>
      <c r="AB1420" s="149"/>
      <c r="AC1420" s="149"/>
      <c r="AD1420" s="149"/>
      <c r="AE1420" s="149"/>
      <c r="AF1420" s="149"/>
      <c r="AG1420" s="149"/>
      <c r="AH1420" s="149"/>
    </row>
    <row r="1421" spans="1:34" outlineLevel="2">
      <c r="A1421" s="129"/>
      <c r="B1421" s="12" t="str">
        <f>IFERROR(VLOOKUP(D1421,'[1]Перечень товаров'!$A$2:$I9525,2,0),"")</f>
        <v>т201</v>
      </c>
      <c r="C1421" s="12" t="str">
        <f>IFERROR(VLOOKUP(D1421,'[1]Перечень товаров'!$A$2:$I9525,3,0),"")</f>
        <v>Техника</v>
      </c>
      <c r="D1421" s="130" t="s">
        <v>562</v>
      </c>
      <c r="E1421" s="150"/>
      <c r="F1421" s="150"/>
      <c r="G1421" s="95">
        <v>2</v>
      </c>
      <c r="H1421" s="95"/>
      <c r="I1421" s="96"/>
      <c r="J1421" s="96"/>
      <c r="K1421" s="7"/>
      <c r="L1421" s="8"/>
      <c r="M1421" s="149"/>
      <c r="N1421" s="149"/>
      <c r="O1421" s="149"/>
      <c r="P1421" s="149"/>
      <c r="Q1421" s="149"/>
      <c r="R1421" s="149"/>
      <c r="S1421" s="149"/>
      <c r="T1421" s="149"/>
      <c r="U1421" s="149"/>
      <c r="V1421" s="149"/>
      <c r="W1421" s="149"/>
      <c r="X1421" s="149"/>
      <c r="Y1421" s="149"/>
      <c r="Z1421" s="149"/>
      <c r="AA1421" s="149"/>
      <c r="AB1421" s="149"/>
      <c r="AC1421" s="149"/>
      <c r="AD1421" s="149"/>
      <c r="AE1421" s="149"/>
      <c r="AF1421" s="149"/>
      <c r="AG1421" s="149"/>
      <c r="AH1421" s="149"/>
    </row>
    <row r="1422" spans="1:34" ht="47.25" outlineLevel="2">
      <c r="A1422" s="129"/>
      <c r="B1422" s="12" t="str">
        <f>IFERROR(VLOOKUP(D1422,'[1]Перечень товаров'!$A$2:$I9525,2,0),"")</f>
        <v>т202</v>
      </c>
      <c r="C1422" s="12" t="str">
        <f>IFERROR(VLOOKUP(D1422,'[1]Перечень товаров'!$A$2:$I9525,3,0),"")</f>
        <v>Техника</v>
      </c>
      <c r="D1422" s="130" t="s">
        <v>563</v>
      </c>
      <c r="E1422" s="150"/>
      <c r="F1422" s="150"/>
      <c r="G1422" s="95" t="s">
        <v>564</v>
      </c>
      <c r="H1422" s="95"/>
      <c r="I1422" s="96"/>
      <c r="J1422" s="96"/>
      <c r="K1422" s="7"/>
      <c r="L1422" s="8"/>
      <c r="M1422" s="149"/>
      <c r="N1422" s="149"/>
      <c r="O1422" s="149"/>
      <c r="P1422" s="149"/>
      <c r="Q1422" s="149"/>
      <c r="R1422" s="149"/>
      <c r="S1422" s="149"/>
      <c r="T1422" s="149"/>
      <c r="U1422" s="149"/>
      <c r="V1422" s="149"/>
      <c r="W1422" s="149"/>
      <c r="X1422" s="149"/>
      <c r="Y1422" s="149"/>
      <c r="Z1422" s="149"/>
      <c r="AA1422" s="149"/>
      <c r="AB1422" s="149"/>
      <c r="AC1422" s="149"/>
      <c r="AD1422" s="149"/>
      <c r="AE1422" s="149"/>
      <c r="AF1422" s="149"/>
      <c r="AG1422" s="149"/>
      <c r="AH1422" s="149"/>
    </row>
    <row r="1423" spans="1:34" ht="31.5" outlineLevel="2">
      <c r="A1423" s="129"/>
      <c r="B1423" s="12" t="str">
        <f>IFERROR(VLOOKUP(D1423,'[1]Перечень товаров'!$A$2:$I9525,2,0),"")</f>
        <v>т203</v>
      </c>
      <c r="C1423" s="12" t="str">
        <f>IFERROR(VLOOKUP(D1423,'[1]Перечень товаров'!$A$2:$I9525,3,0),"")</f>
        <v>Техника</v>
      </c>
      <c r="D1423" s="130" t="s">
        <v>565</v>
      </c>
      <c r="E1423" s="150"/>
      <c r="F1423" s="150"/>
      <c r="G1423" s="95">
        <v>6</v>
      </c>
      <c r="H1423" s="95"/>
      <c r="I1423" s="96"/>
      <c r="J1423" s="96"/>
      <c r="K1423" s="7"/>
      <c r="L1423" s="8"/>
      <c r="M1423" s="149"/>
      <c r="N1423" s="149"/>
      <c r="O1423" s="149"/>
      <c r="P1423" s="149"/>
      <c r="Q1423" s="149"/>
      <c r="R1423" s="149"/>
      <c r="S1423" s="149"/>
      <c r="T1423" s="149"/>
      <c r="U1423" s="149"/>
      <c r="V1423" s="149"/>
      <c r="W1423" s="149"/>
      <c r="X1423" s="149"/>
      <c r="Y1423" s="149"/>
      <c r="Z1423" s="149"/>
      <c r="AA1423" s="149"/>
      <c r="AB1423" s="149"/>
      <c r="AC1423" s="149"/>
      <c r="AD1423" s="149"/>
      <c r="AE1423" s="149"/>
      <c r="AF1423" s="149"/>
      <c r="AG1423" s="149"/>
      <c r="AH1423" s="149"/>
    </row>
    <row r="1424" spans="1:34" ht="31.5" outlineLevel="2">
      <c r="A1424" s="129"/>
      <c r="B1424" s="12" t="str">
        <f>IFERROR(VLOOKUP(D1424,'[1]Перечень товаров'!$A$2:$I9525,2,0),"")</f>
        <v>т204</v>
      </c>
      <c r="C1424" s="12" t="str">
        <f>IFERROR(VLOOKUP(D1424,'[1]Перечень товаров'!$A$2:$I9525,3,0),"")</f>
        <v>Техника</v>
      </c>
      <c r="D1424" s="130" t="s">
        <v>566</v>
      </c>
      <c r="E1424" s="150"/>
      <c r="F1424" s="150"/>
      <c r="G1424" s="95">
        <v>4</v>
      </c>
      <c r="H1424" s="95"/>
      <c r="I1424" s="96"/>
      <c r="J1424" s="96"/>
      <c r="K1424" s="7"/>
      <c r="L1424" s="8"/>
      <c r="M1424" s="149"/>
      <c r="N1424" s="149"/>
      <c r="O1424" s="149"/>
      <c r="P1424" s="149"/>
      <c r="Q1424" s="149"/>
      <c r="R1424" s="149"/>
      <c r="S1424" s="149"/>
      <c r="T1424" s="149"/>
      <c r="U1424" s="149"/>
      <c r="V1424" s="149"/>
      <c r="W1424" s="149"/>
      <c r="X1424" s="149"/>
      <c r="Y1424" s="149"/>
      <c r="Z1424" s="149"/>
      <c r="AA1424" s="149"/>
      <c r="AB1424" s="149"/>
      <c r="AC1424" s="149"/>
      <c r="AD1424" s="149"/>
      <c r="AE1424" s="149"/>
      <c r="AF1424" s="149"/>
      <c r="AG1424" s="149"/>
      <c r="AH1424" s="149"/>
    </row>
    <row r="1425" spans="1:34" ht="31.5" outlineLevel="2">
      <c r="A1425" s="129"/>
      <c r="B1425" s="12" t="str">
        <f>IFERROR(VLOOKUP(D1425,'[1]Перечень товаров'!$A$2:$I9525,2,0),"")</f>
        <v>т178</v>
      </c>
      <c r="C1425" s="12" t="str">
        <f>IFERROR(VLOOKUP(D1425,'[1]Перечень товаров'!$A$2:$I9525,3,0),"")</f>
        <v>Техника</v>
      </c>
      <c r="D1425" s="130" t="s">
        <v>448</v>
      </c>
      <c r="E1425" s="150"/>
      <c r="F1425" s="150"/>
      <c r="G1425" s="95">
        <v>1</v>
      </c>
      <c r="H1425" s="95"/>
      <c r="I1425" s="96"/>
      <c r="J1425" s="96"/>
      <c r="K1425" s="7"/>
      <c r="L1425" s="8"/>
      <c r="M1425" s="149"/>
      <c r="N1425" s="149"/>
      <c r="O1425" s="149"/>
      <c r="P1425" s="149"/>
      <c r="Q1425" s="149"/>
      <c r="R1425" s="149"/>
      <c r="S1425" s="149"/>
      <c r="T1425" s="149"/>
      <c r="U1425" s="149"/>
      <c r="V1425" s="149"/>
      <c r="W1425" s="149"/>
      <c r="X1425" s="149"/>
      <c r="Y1425" s="149"/>
      <c r="Z1425" s="149"/>
      <c r="AA1425" s="149"/>
      <c r="AB1425" s="149"/>
      <c r="AC1425" s="149"/>
      <c r="AD1425" s="149"/>
      <c r="AE1425" s="149"/>
      <c r="AF1425" s="149"/>
      <c r="AG1425" s="149"/>
      <c r="AH1425" s="149"/>
    </row>
    <row r="1426" spans="1:34" ht="31.5" outlineLevel="2">
      <c r="A1426" s="129"/>
      <c r="B1426" s="12" t="str">
        <f>IFERROR(VLOOKUP(D1426,'[1]Перечень товаров'!$A$2:$I9525,2,0),"")</f>
        <v>т180</v>
      </c>
      <c r="C1426" s="12" t="str">
        <f>IFERROR(VLOOKUP(D1426,'[1]Перечень товаров'!$A$2:$I9525,3,0),"")</f>
        <v>Техника</v>
      </c>
      <c r="D1426" s="130" t="s">
        <v>450</v>
      </c>
      <c r="E1426" s="150"/>
      <c r="F1426" s="150"/>
      <c r="G1426" s="95">
        <v>8</v>
      </c>
      <c r="H1426" s="95"/>
      <c r="I1426" s="96"/>
      <c r="J1426" s="96"/>
      <c r="K1426" s="7"/>
      <c r="L1426" s="8"/>
      <c r="M1426" s="149"/>
      <c r="N1426" s="149"/>
      <c r="O1426" s="149"/>
      <c r="P1426" s="149"/>
      <c r="Q1426" s="149"/>
      <c r="R1426" s="149"/>
      <c r="S1426" s="149"/>
      <c r="T1426" s="149"/>
      <c r="U1426" s="149"/>
      <c r="V1426" s="149"/>
      <c r="W1426" s="149"/>
      <c r="X1426" s="149"/>
      <c r="Y1426" s="149"/>
      <c r="Z1426" s="149"/>
      <c r="AA1426" s="149"/>
      <c r="AB1426" s="149"/>
      <c r="AC1426" s="149"/>
      <c r="AD1426" s="149"/>
      <c r="AE1426" s="149"/>
      <c r="AF1426" s="149"/>
      <c r="AG1426" s="149"/>
      <c r="AH1426" s="149"/>
    </row>
    <row r="1427" spans="1:34" ht="31.5" outlineLevel="2">
      <c r="A1427" s="129"/>
      <c r="B1427" s="12" t="str">
        <f>IFERROR(VLOOKUP(D1427,'[1]Перечень товаров'!$A$2:$I9525,2,0),"")</f>
        <v>т181</v>
      </c>
      <c r="C1427" s="12" t="str">
        <f>IFERROR(VLOOKUP(D1427,'[1]Перечень товаров'!$A$2:$I9525,3,0),"")</f>
        <v>Техника</v>
      </c>
      <c r="D1427" s="130" t="s">
        <v>451</v>
      </c>
      <c r="E1427" s="150"/>
      <c r="F1427" s="150"/>
      <c r="G1427" s="95">
        <v>6</v>
      </c>
      <c r="H1427" s="95"/>
      <c r="I1427" s="96"/>
      <c r="J1427" s="96"/>
      <c r="K1427" s="7"/>
      <c r="L1427" s="8"/>
      <c r="M1427" s="149"/>
      <c r="N1427" s="149"/>
      <c r="O1427" s="149"/>
      <c r="P1427" s="149"/>
      <c r="Q1427" s="149"/>
      <c r="R1427" s="149"/>
      <c r="S1427" s="149"/>
      <c r="T1427" s="149"/>
      <c r="U1427" s="149"/>
      <c r="V1427" s="149"/>
      <c r="W1427" s="149"/>
      <c r="X1427" s="149"/>
      <c r="Y1427" s="149"/>
      <c r="Z1427" s="149"/>
      <c r="AA1427" s="149"/>
      <c r="AB1427" s="149"/>
      <c r="AC1427" s="149"/>
      <c r="AD1427" s="149"/>
      <c r="AE1427" s="149"/>
      <c r="AF1427" s="149"/>
      <c r="AG1427" s="149"/>
      <c r="AH1427" s="149"/>
    </row>
    <row r="1428" spans="1:34" ht="31.5" outlineLevel="2">
      <c r="A1428" s="129"/>
      <c r="B1428" s="12" t="str">
        <f>IFERROR(VLOOKUP(D1428,'[1]Перечень товаров'!$A$2:$I9525,2,0),"")</f>
        <v>т205</v>
      </c>
      <c r="C1428" s="12" t="str">
        <f>IFERROR(VLOOKUP(D1428,'[1]Перечень товаров'!$A$2:$I9525,3,0),"")</f>
        <v>Техника</v>
      </c>
      <c r="D1428" s="130" t="s">
        <v>567</v>
      </c>
      <c r="E1428" s="150"/>
      <c r="F1428" s="150"/>
      <c r="G1428" s="95">
        <v>4</v>
      </c>
      <c r="H1428" s="95"/>
      <c r="I1428" s="96"/>
      <c r="J1428" s="96"/>
      <c r="K1428" s="7"/>
      <c r="L1428" s="8"/>
      <c r="M1428" s="149"/>
      <c r="N1428" s="149"/>
      <c r="O1428" s="149"/>
      <c r="P1428" s="149"/>
      <c r="Q1428" s="149"/>
      <c r="R1428" s="149"/>
      <c r="S1428" s="149"/>
      <c r="T1428" s="149"/>
      <c r="U1428" s="149"/>
      <c r="V1428" s="149"/>
      <c r="W1428" s="149"/>
      <c r="X1428" s="149"/>
      <c r="Y1428" s="149"/>
      <c r="Z1428" s="149"/>
      <c r="AA1428" s="149"/>
      <c r="AB1428" s="149"/>
      <c r="AC1428" s="149"/>
      <c r="AD1428" s="149"/>
      <c r="AE1428" s="149"/>
      <c r="AF1428" s="149"/>
      <c r="AG1428" s="149"/>
      <c r="AH1428" s="149"/>
    </row>
    <row r="1429" spans="1:34" ht="31.5" outlineLevel="2">
      <c r="A1429" s="129"/>
      <c r="B1429" s="12" t="str">
        <f>IFERROR(VLOOKUP(D1429,'[1]Перечень товаров'!$A$2:$I9525,2,0),"")</f>
        <v>т206</v>
      </c>
      <c r="C1429" s="12" t="str">
        <f>IFERROR(VLOOKUP(D1429,'[1]Перечень товаров'!$A$2:$I9525,3,0),"")</f>
        <v>Техника</v>
      </c>
      <c r="D1429" s="130" t="s">
        <v>568</v>
      </c>
      <c r="E1429" s="150"/>
      <c r="F1429" s="150"/>
      <c r="G1429" s="95">
        <v>4</v>
      </c>
      <c r="H1429" s="95"/>
      <c r="I1429" s="96"/>
      <c r="J1429" s="96"/>
      <c r="K1429" s="7"/>
      <c r="L1429" s="8"/>
      <c r="M1429" s="149"/>
      <c r="N1429" s="149"/>
      <c r="O1429" s="149"/>
      <c r="P1429" s="149"/>
      <c r="Q1429" s="149"/>
      <c r="R1429" s="149"/>
      <c r="S1429" s="149"/>
      <c r="T1429" s="149"/>
      <c r="U1429" s="149"/>
      <c r="V1429" s="149"/>
      <c r="W1429" s="149"/>
      <c r="X1429" s="149"/>
      <c r="Y1429" s="149"/>
      <c r="Z1429" s="149"/>
      <c r="AA1429" s="149"/>
      <c r="AB1429" s="149"/>
      <c r="AC1429" s="149"/>
      <c r="AD1429" s="149"/>
      <c r="AE1429" s="149"/>
      <c r="AF1429" s="149"/>
      <c r="AG1429" s="149"/>
      <c r="AH1429" s="149"/>
    </row>
    <row r="1430" spans="1:34" ht="31.5" outlineLevel="2">
      <c r="A1430" s="129"/>
      <c r="B1430" s="12" t="str">
        <f>IFERROR(VLOOKUP(D1430,'[1]Перечень товаров'!$A$2:$I9525,2,0),"")</f>
        <v>т207</v>
      </c>
      <c r="C1430" s="12" t="str">
        <f>IFERROR(VLOOKUP(D1430,'[1]Перечень товаров'!$A$2:$I9525,3,0),"")</f>
        <v>Техника</v>
      </c>
      <c r="D1430" s="130" t="s">
        <v>569</v>
      </c>
      <c r="E1430" s="150"/>
      <c r="F1430" s="150"/>
      <c r="G1430" s="95" t="s">
        <v>570</v>
      </c>
      <c r="H1430" s="95"/>
      <c r="I1430" s="96"/>
      <c r="J1430" s="96"/>
      <c r="K1430" s="7"/>
      <c r="L1430" s="8"/>
      <c r="M1430" s="149"/>
      <c r="N1430" s="149"/>
      <c r="O1430" s="149"/>
      <c r="P1430" s="149"/>
      <c r="Q1430" s="149"/>
      <c r="R1430" s="149"/>
      <c r="S1430" s="149"/>
      <c r="T1430" s="149"/>
      <c r="U1430" s="149"/>
      <c r="V1430" s="149"/>
      <c r="W1430" s="149"/>
      <c r="X1430" s="149"/>
      <c r="Y1430" s="149"/>
      <c r="Z1430" s="149"/>
      <c r="AA1430" s="149"/>
      <c r="AB1430" s="149"/>
      <c r="AC1430" s="149"/>
      <c r="AD1430" s="149"/>
      <c r="AE1430" s="149"/>
      <c r="AF1430" s="149"/>
      <c r="AG1430" s="149"/>
      <c r="AH1430" s="149"/>
    </row>
    <row r="1431" spans="1:34" outlineLevel="2">
      <c r="A1431" s="129"/>
      <c r="B1431" s="12" t="str">
        <f>IFERROR(VLOOKUP(D1431,'[1]Перечень товаров'!$A$2:$I9525,2,0),"")</f>
        <v>т188</v>
      </c>
      <c r="C1431" s="12" t="str">
        <f>IFERROR(VLOOKUP(D1431,'[1]Перечень товаров'!$A$2:$I9525,3,0),"")</f>
        <v>Техника</v>
      </c>
      <c r="D1431" s="130" t="s">
        <v>458</v>
      </c>
      <c r="E1431" s="150"/>
      <c r="F1431" s="150"/>
      <c r="G1431" s="95">
        <v>1</v>
      </c>
      <c r="H1431" s="95"/>
      <c r="I1431" s="96"/>
      <c r="J1431" s="96"/>
      <c r="K1431" s="7"/>
      <c r="L1431" s="8"/>
      <c r="M1431" s="149"/>
      <c r="N1431" s="149"/>
      <c r="O1431" s="149"/>
      <c r="P1431" s="149"/>
      <c r="Q1431" s="149"/>
      <c r="R1431" s="149"/>
      <c r="S1431" s="149"/>
      <c r="T1431" s="149"/>
      <c r="U1431" s="149"/>
      <c r="V1431" s="149"/>
      <c r="W1431" s="149"/>
      <c r="X1431" s="149"/>
      <c r="Y1431" s="149"/>
      <c r="Z1431" s="149"/>
      <c r="AA1431" s="149"/>
      <c r="AB1431" s="149"/>
      <c r="AC1431" s="149"/>
      <c r="AD1431" s="149"/>
      <c r="AE1431" s="149"/>
      <c r="AF1431" s="149"/>
      <c r="AG1431" s="149"/>
      <c r="AH1431" s="149"/>
    </row>
    <row r="1432" spans="1:34" outlineLevel="2">
      <c r="A1432" s="129"/>
      <c r="B1432" s="12" t="str">
        <f>IFERROR(VLOOKUP(D1432,'[1]Перечень товаров'!$A$2:$I9525,2,0),"")</f>
        <v>тм76</v>
      </c>
      <c r="C1432" s="12" t="str">
        <f>IFERROR(VLOOKUP(D1432,'[1]Перечень товаров'!$A$2:$I9525,3,0),"")</f>
        <v>Техника муз</v>
      </c>
      <c r="D1432" s="130" t="s">
        <v>423</v>
      </c>
      <c r="E1432" s="150"/>
      <c r="F1432" s="150"/>
      <c r="G1432" s="95">
        <v>1</v>
      </c>
      <c r="H1432" s="95"/>
      <c r="I1432" s="96"/>
      <c r="J1432" s="96"/>
      <c r="K1432" s="7"/>
      <c r="L1432" s="8"/>
      <c r="M1432" s="149"/>
      <c r="N1432" s="149"/>
      <c r="O1432" s="149"/>
      <c r="P1432" s="149"/>
      <c r="Q1432" s="149"/>
      <c r="R1432" s="149"/>
      <c r="S1432" s="149"/>
      <c r="T1432" s="149"/>
      <c r="U1432" s="149"/>
      <c r="V1432" s="149"/>
      <c r="W1432" s="149"/>
      <c r="X1432" s="149"/>
      <c r="Y1432" s="149"/>
      <c r="Z1432" s="149"/>
      <c r="AA1432" s="149"/>
      <c r="AB1432" s="149"/>
      <c r="AC1432" s="149"/>
      <c r="AD1432" s="149"/>
      <c r="AE1432" s="149"/>
      <c r="AF1432" s="149"/>
      <c r="AG1432" s="149"/>
      <c r="AH1432" s="149"/>
    </row>
    <row r="1433" spans="1:34" ht="31.5" outlineLevel="2">
      <c r="A1433" s="129"/>
      <c r="B1433" s="12" t="str">
        <f>IFERROR(VLOOKUP(D1433,'[1]Перечень товаров'!$A$2:$I9525,2,0),"")</f>
        <v>т208</v>
      </c>
      <c r="C1433" s="12" t="str">
        <f>IFERROR(VLOOKUP(D1433,'[1]Перечень товаров'!$A$2:$I9525,3,0),"")</f>
        <v>Техника</v>
      </c>
      <c r="D1433" s="130" t="s">
        <v>571</v>
      </c>
      <c r="E1433" s="150"/>
      <c r="F1433" s="150"/>
      <c r="G1433" s="95">
        <v>1</v>
      </c>
      <c r="H1433" s="95"/>
      <c r="I1433" s="96"/>
      <c r="J1433" s="96"/>
      <c r="K1433" s="7"/>
      <c r="L1433" s="8"/>
      <c r="M1433" s="149"/>
      <c r="N1433" s="149"/>
      <c r="O1433" s="149"/>
      <c r="P1433" s="149"/>
      <c r="Q1433" s="149"/>
      <c r="R1433" s="149"/>
      <c r="S1433" s="149"/>
      <c r="T1433" s="149"/>
      <c r="U1433" s="149"/>
      <c r="V1433" s="149"/>
      <c r="W1433" s="149"/>
      <c r="X1433" s="149"/>
      <c r="Y1433" s="149"/>
      <c r="Z1433" s="149"/>
      <c r="AA1433" s="149"/>
      <c r="AB1433" s="149"/>
      <c r="AC1433" s="149"/>
      <c r="AD1433" s="149"/>
      <c r="AE1433" s="149"/>
      <c r="AF1433" s="149"/>
      <c r="AG1433" s="149"/>
      <c r="AH1433" s="149"/>
    </row>
    <row r="1434" spans="1:34" outlineLevel="2">
      <c r="A1434" s="125"/>
      <c r="B1434" s="12" t="str">
        <f>IFERROR(VLOOKUP(D1434,'[1]Перечень товаров'!$A$2:$I9525,2,0),"")</f>
        <v/>
      </c>
      <c r="C1434" s="12" t="str">
        <f>IFERROR(VLOOKUP(D1434,'[1]Перечень товаров'!$A$2:$I9525,3,0),"")</f>
        <v/>
      </c>
      <c r="D1434" s="126" t="s">
        <v>572</v>
      </c>
      <c r="E1434" s="146"/>
      <c r="F1434" s="146"/>
      <c r="G1434" s="131"/>
      <c r="H1434" s="131"/>
      <c r="I1434" s="132"/>
      <c r="J1434" s="132"/>
      <c r="K1434" s="7"/>
      <c r="L1434" s="8"/>
      <c r="M1434" s="149"/>
      <c r="N1434" s="149"/>
      <c r="O1434" s="149"/>
      <c r="P1434" s="149"/>
      <c r="Q1434" s="149"/>
      <c r="R1434" s="149"/>
      <c r="S1434" s="149"/>
      <c r="T1434" s="149"/>
      <c r="U1434" s="149"/>
      <c r="V1434" s="149"/>
      <c r="W1434" s="149"/>
      <c r="X1434" s="149"/>
      <c r="Y1434" s="149"/>
      <c r="Z1434" s="149"/>
      <c r="AA1434" s="149"/>
      <c r="AB1434" s="149"/>
      <c r="AC1434" s="149"/>
      <c r="AD1434" s="149"/>
      <c r="AE1434" s="149"/>
      <c r="AF1434" s="149"/>
      <c r="AG1434" s="149"/>
      <c r="AH1434" s="149"/>
    </row>
    <row r="1435" spans="1:34" ht="31.5" outlineLevel="2">
      <c r="A1435" s="129"/>
      <c r="B1435" s="12" t="str">
        <f>IFERROR(VLOOKUP(D1435,'[1]Перечень товаров'!$A$2:$I9525,2,0),"")</f>
        <v>т209</v>
      </c>
      <c r="C1435" s="12" t="str">
        <f>IFERROR(VLOOKUP(D1435,'[1]Перечень товаров'!$A$2:$I9525,3,0),"")</f>
        <v>Техника</v>
      </c>
      <c r="D1435" s="130" t="s">
        <v>573</v>
      </c>
      <c r="E1435" s="150"/>
      <c r="F1435" s="150"/>
      <c r="G1435" s="95">
        <v>1</v>
      </c>
      <c r="H1435" s="95"/>
      <c r="I1435" s="96"/>
      <c r="J1435" s="96"/>
      <c r="K1435" s="7"/>
      <c r="L1435" s="8"/>
      <c r="M1435" s="149"/>
      <c r="N1435" s="149"/>
      <c r="O1435" s="149"/>
      <c r="P1435" s="149"/>
      <c r="Q1435" s="149"/>
      <c r="R1435" s="149"/>
      <c r="S1435" s="149"/>
      <c r="T1435" s="149"/>
      <c r="U1435" s="149"/>
      <c r="V1435" s="149"/>
      <c r="W1435" s="149"/>
      <c r="X1435" s="149"/>
      <c r="Y1435" s="149"/>
      <c r="Z1435" s="149"/>
      <c r="AA1435" s="149"/>
      <c r="AB1435" s="149"/>
      <c r="AC1435" s="149"/>
      <c r="AD1435" s="149"/>
      <c r="AE1435" s="149"/>
      <c r="AF1435" s="149"/>
      <c r="AG1435" s="149"/>
      <c r="AH1435" s="149"/>
    </row>
    <row r="1436" spans="1:34" ht="31.5" outlineLevel="2">
      <c r="A1436" s="129"/>
      <c r="B1436" s="12" t="str">
        <f>IFERROR(VLOOKUP(D1436,'[1]Перечень товаров'!$A$2:$I9525,2,0),"")</f>
        <v>т210</v>
      </c>
      <c r="C1436" s="12" t="str">
        <f>IFERROR(VLOOKUP(D1436,'[1]Перечень товаров'!$A$2:$I9525,3,0),"")</f>
        <v>Техника</v>
      </c>
      <c r="D1436" s="130" t="s">
        <v>574</v>
      </c>
      <c r="E1436" s="150"/>
      <c r="F1436" s="150"/>
      <c r="G1436" s="95">
        <v>1</v>
      </c>
      <c r="H1436" s="95"/>
      <c r="I1436" s="96"/>
      <c r="J1436" s="96"/>
      <c r="K1436" s="7"/>
      <c r="L1436" s="8"/>
      <c r="M1436" s="149"/>
      <c r="N1436" s="149"/>
      <c r="O1436" s="149"/>
      <c r="P1436" s="149"/>
      <c r="Q1436" s="149"/>
      <c r="R1436" s="149"/>
      <c r="S1436" s="149"/>
      <c r="T1436" s="149"/>
      <c r="U1436" s="149"/>
      <c r="V1436" s="149"/>
      <c r="W1436" s="149"/>
      <c r="X1436" s="149"/>
      <c r="Y1436" s="149"/>
      <c r="Z1436" s="149"/>
      <c r="AA1436" s="149"/>
      <c r="AB1436" s="149"/>
      <c r="AC1436" s="149"/>
      <c r="AD1436" s="149"/>
      <c r="AE1436" s="149"/>
      <c r="AF1436" s="149"/>
      <c r="AG1436" s="149"/>
      <c r="AH1436" s="149"/>
    </row>
    <row r="1437" spans="1:34" ht="31.5" outlineLevel="2">
      <c r="A1437" s="129"/>
      <c r="B1437" s="12" t="str">
        <f>IFERROR(VLOOKUP(D1437,'[1]Перечень товаров'!$A$2:$I9525,2,0),"")</f>
        <v>т211</v>
      </c>
      <c r="C1437" s="12" t="str">
        <f>IFERROR(VLOOKUP(D1437,'[1]Перечень товаров'!$A$2:$I9525,3,0),"")</f>
        <v>Техника</v>
      </c>
      <c r="D1437" s="130" t="s">
        <v>575</v>
      </c>
      <c r="E1437" s="150"/>
      <c r="F1437" s="150"/>
      <c r="G1437" s="95">
        <v>2</v>
      </c>
      <c r="H1437" s="95"/>
      <c r="I1437" s="96"/>
      <c r="J1437" s="96"/>
      <c r="K1437" s="7"/>
      <c r="L1437" s="8"/>
      <c r="M1437" s="149"/>
      <c r="N1437" s="149"/>
      <c r="O1437" s="149"/>
      <c r="P1437" s="149"/>
      <c r="Q1437" s="149"/>
      <c r="R1437" s="149"/>
      <c r="S1437" s="149"/>
      <c r="T1437" s="149"/>
      <c r="U1437" s="149"/>
      <c r="V1437" s="149"/>
      <c r="W1437" s="149"/>
      <c r="X1437" s="149"/>
      <c r="Y1437" s="149"/>
      <c r="Z1437" s="149"/>
      <c r="AA1437" s="149"/>
      <c r="AB1437" s="149"/>
      <c r="AC1437" s="149"/>
      <c r="AD1437" s="149"/>
      <c r="AE1437" s="149"/>
      <c r="AF1437" s="149"/>
      <c r="AG1437" s="149"/>
      <c r="AH1437" s="149"/>
    </row>
    <row r="1438" spans="1:34" ht="31.5" outlineLevel="2">
      <c r="A1438" s="129"/>
      <c r="B1438" s="12" t="str">
        <f>IFERROR(VLOOKUP(D1438,'[1]Перечень товаров'!$A$2:$I9525,2,0),"")</f>
        <v>т212</v>
      </c>
      <c r="C1438" s="12" t="str">
        <f>IFERROR(VLOOKUP(D1438,'[1]Перечень товаров'!$A$2:$I9525,3,0),"")</f>
        <v>Техника</v>
      </c>
      <c r="D1438" s="130" t="s">
        <v>576</v>
      </c>
      <c r="E1438" s="150"/>
      <c r="F1438" s="150"/>
      <c r="G1438" s="95">
        <v>2</v>
      </c>
      <c r="H1438" s="95"/>
      <c r="I1438" s="96"/>
      <c r="J1438" s="96"/>
      <c r="K1438" s="7"/>
      <c r="L1438" s="8"/>
      <c r="M1438" s="149"/>
      <c r="N1438" s="149"/>
      <c r="O1438" s="149"/>
      <c r="P1438" s="149"/>
      <c r="Q1438" s="149"/>
      <c r="R1438" s="149"/>
      <c r="S1438" s="149"/>
      <c r="T1438" s="149"/>
      <c r="U1438" s="149"/>
      <c r="V1438" s="149"/>
      <c r="W1438" s="149"/>
      <c r="X1438" s="149"/>
      <c r="Y1438" s="149"/>
      <c r="Z1438" s="149"/>
      <c r="AA1438" s="149"/>
      <c r="AB1438" s="149"/>
      <c r="AC1438" s="149"/>
      <c r="AD1438" s="149"/>
      <c r="AE1438" s="149"/>
      <c r="AF1438" s="149"/>
      <c r="AG1438" s="149"/>
      <c r="AH1438" s="149"/>
    </row>
    <row r="1439" spans="1:34" outlineLevel="2">
      <c r="A1439" s="129"/>
      <c r="B1439" s="12" t="str">
        <f>IFERROR(VLOOKUP(D1439,'[1]Перечень товаров'!$A$2:$I9525,2,0),"")</f>
        <v>т14</v>
      </c>
      <c r="C1439" s="12" t="str">
        <f>IFERROR(VLOOKUP(D1439,'[1]Перечень товаров'!$A$2:$I9525,3,0),"")</f>
        <v>Техника</v>
      </c>
      <c r="D1439" s="22" t="s">
        <v>61</v>
      </c>
      <c r="E1439" s="150"/>
      <c r="F1439" s="150"/>
      <c r="G1439" s="95">
        <v>1</v>
      </c>
      <c r="H1439" s="95"/>
      <c r="I1439" s="96"/>
      <c r="J1439" s="96"/>
      <c r="K1439" s="7"/>
      <c r="L1439" s="8"/>
      <c r="M1439" s="149"/>
      <c r="N1439" s="149"/>
      <c r="O1439" s="149"/>
      <c r="P1439" s="149"/>
      <c r="Q1439" s="149"/>
      <c r="R1439" s="149"/>
      <c r="S1439" s="149"/>
      <c r="T1439" s="149"/>
      <c r="U1439" s="149"/>
      <c r="V1439" s="149"/>
      <c r="W1439" s="149"/>
      <c r="X1439" s="149"/>
      <c r="Y1439" s="149"/>
      <c r="Z1439" s="149"/>
      <c r="AA1439" s="149"/>
      <c r="AB1439" s="149"/>
      <c r="AC1439" s="149"/>
      <c r="AD1439" s="149"/>
      <c r="AE1439" s="149"/>
      <c r="AF1439" s="149"/>
      <c r="AG1439" s="149"/>
      <c r="AH1439" s="149"/>
    </row>
    <row r="1440" spans="1:34" ht="31.5" outlineLevel="2">
      <c r="A1440" s="129"/>
      <c r="B1440" s="12" t="str">
        <f>IFERROR(VLOOKUP(D1440,'[1]Перечень товаров'!$A$2:$I9525,2,0),"")</f>
        <v>тм258</v>
      </c>
      <c r="C1440" s="12" t="str">
        <f>IFERROR(VLOOKUP(D1440,'[1]Перечень товаров'!$A$2:$I9525,3,0),"")</f>
        <v>Техника муз</v>
      </c>
      <c r="D1440" s="130" t="s">
        <v>577</v>
      </c>
      <c r="E1440" s="150"/>
      <c r="F1440" s="150"/>
      <c r="G1440" s="95">
        <v>1</v>
      </c>
      <c r="H1440" s="95"/>
      <c r="I1440" s="96"/>
      <c r="J1440" s="96"/>
      <c r="K1440" s="7"/>
      <c r="L1440" s="8"/>
      <c r="M1440" s="149"/>
      <c r="N1440" s="149"/>
      <c r="O1440" s="149"/>
      <c r="P1440" s="149"/>
      <c r="Q1440" s="149"/>
      <c r="R1440" s="149"/>
      <c r="S1440" s="149"/>
      <c r="T1440" s="149"/>
      <c r="U1440" s="149"/>
      <c r="V1440" s="149"/>
      <c r="W1440" s="149"/>
      <c r="X1440" s="149"/>
      <c r="Y1440" s="149"/>
      <c r="Z1440" s="149"/>
      <c r="AA1440" s="149"/>
      <c r="AB1440" s="149"/>
      <c r="AC1440" s="149"/>
      <c r="AD1440" s="149"/>
      <c r="AE1440" s="149"/>
      <c r="AF1440" s="149"/>
      <c r="AG1440" s="149"/>
      <c r="AH1440" s="149"/>
    </row>
    <row r="1441" spans="1:12" ht="12.75" outlineLevel="1">
      <c r="A1441" s="11"/>
      <c r="B1441" s="12" t="str">
        <f>IFERROR(VLOOKUP(D1441,'[1]Перечень товаров'!$A$2:$I9525,2,0),"")</f>
        <v/>
      </c>
      <c r="C1441" s="12" t="str">
        <f>IFERROR(VLOOKUP(D1441,'[1]Перечень товаров'!$A$2:$I9525,3,0),"")</f>
        <v/>
      </c>
      <c r="D1441" s="27" t="s">
        <v>182</v>
      </c>
      <c r="E1441" s="14" t="s">
        <v>405</v>
      </c>
      <c r="F1441" s="14"/>
      <c r="G1441" s="17"/>
      <c r="H1441" s="17"/>
      <c r="I1441" s="57"/>
      <c r="J1441" s="57"/>
      <c r="K1441" s="19"/>
      <c r="L1441" s="20"/>
    </row>
    <row r="1442" spans="1:12" ht="31.5" outlineLevel="2">
      <c r="A1442" s="70"/>
      <c r="B1442" s="12" t="str">
        <f>IFERROR(VLOOKUP(D1442,'[1]Перечень товаров'!$A$2:$I9525,2,0),"")</f>
        <v>т62</v>
      </c>
      <c r="C1442" s="12" t="str">
        <f>IFERROR(VLOOKUP(D1442,'[1]Перечень товаров'!$A$2:$I9525,3,0),"")</f>
        <v>Техника</v>
      </c>
      <c r="D1442" s="71" t="s">
        <v>184</v>
      </c>
      <c r="E1442" s="88"/>
      <c r="F1442" s="88"/>
      <c r="G1442" s="73">
        <v>6</v>
      </c>
      <c r="H1442" s="73"/>
      <c r="I1442" s="74"/>
      <c r="J1442" s="74"/>
      <c r="K1442" s="19"/>
      <c r="L1442" s="20"/>
    </row>
    <row r="1443" spans="1:12" ht="31.5" outlineLevel="2">
      <c r="A1443" s="70"/>
      <c r="B1443" s="12" t="str">
        <f>IFERROR(VLOOKUP(D1443,'[1]Перечень товаров'!$A$2:$I9525,2,0),"")</f>
        <v>т63</v>
      </c>
      <c r="C1443" s="12" t="str">
        <f>IFERROR(VLOOKUP(D1443,'[1]Перечень товаров'!$A$2:$I9525,3,0),"")</f>
        <v>Техника</v>
      </c>
      <c r="D1443" s="71" t="s">
        <v>185</v>
      </c>
      <c r="E1443" s="88"/>
      <c r="F1443" s="88"/>
      <c r="G1443" s="73">
        <v>4</v>
      </c>
      <c r="H1443" s="73"/>
      <c r="I1443" s="74"/>
      <c r="J1443" s="74"/>
      <c r="K1443" s="19"/>
      <c r="L1443" s="20"/>
    </row>
    <row r="1444" spans="1:12" ht="31.5" outlineLevel="2">
      <c r="A1444" s="70"/>
      <c r="B1444" s="12" t="str">
        <f>IFERROR(VLOOKUP(D1444,'[1]Перечень товаров'!$A$2:$I9525,2,0),"")</f>
        <v>т64</v>
      </c>
      <c r="C1444" s="12" t="str">
        <f>IFERROR(VLOOKUP(D1444,'[1]Перечень товаров'!$A$2:$I9525,3,0),"")</f>
        <v>Техника</v>
      </c>
      <c r="D1444" s="71" t="s">
        <v>186</v>
      </c>
      <c r="E1444" s="88"/>
      <c r="F1444" s="88"/>
      <c r="G1444" s="73">
        <v>2</v>
      </c>
      <c r="H1444" s="73"/>
      <c r="I1444" s="74"/>
      <c r="J1444" s="74"/>
      <c r="K1444" s="19"/>
      <c r="L1444" s="20"/>
    </row>
    <row r="1445" spans="1:12" ht="63" outlineLevel="2">
      <c r="A1445" s="70"/>
      <c r="B1445" s="12" t="str">
        <f>IFERROR(VLOOKUP(D1445,'[1]Перечень товаров'!$A$2:$I9525,2,0),"")</f>
        <v>т65</v>
      </c>
      <c r="C1445" s="12" t="str">
        <f>IFERROR(VLOOKUP(D1445,'[1]Перечень товаров'!$A$2:$I9525,3,0),"")</f>
        <v>Техника</v>
      </c>
      <c r="D1445" s="71" t="s">
        <v>187</v>
      </c>
      <c r="E1445" s="88"/>
      <c r="F1445" s="88"/>
      <c r="G1445" s="73">
        <v>1</v>
      </c>
      <c r="H1445" s="73"/>
      <c r="I1445" s="74"/>
      <c r="J1445" s="74"/>
      <c r="K1445" s="19"/>
      <c r="L1445" s="20"/>
    </row>
    <row r="1446" spans="1:12" outlineLevel="2">
      <c r="A1446" s="70"/>
      <c r="B1446" s="12" t="str">
        <f>IFERROR(VLOOKUP(D1446,'[1]Перечень товаров'!$A$2:$I9525,2,0),"")</f>
        <v>т66</v>
      </c>
      <c r="C1446" s="12" t="str">
        <f>IFERROR(VLOOKUP(D1446,'[1]Перечень товаров'!$A$2:$I9525,3,0),"")</f>
        <v>Техника</v>
      </c>
      <c r="D1446" s="71" t="s">
        <v>188</v>
      </c>
      <c r="E1446" s="88"/>
      <c r="F1446" s="88"/>
      <c r="G1446" s="73">
        <v>2</v>
      </c>
      <c r="H1446" s="73"/>
      <c r="I1446" s="74"/>
      <c r="J1446" s="74"/>
      <c r="K1446" s="19"/>
      <c r="L1446" s="20"/>
    </row>
    <row r="1447" spans="1:12" ht="31.5" outlineLevel="2">
      <c r="A1447" s="70"/>
      <c r="B1447" s="12" t="str">
        <f>IFERROR(VLOOKUP(D1447,'[1]Перечень товаров'!$A$2:$I9525,2,0),"")</f>
        <v>т67</v>
      </c>
      <c r="C1447" s="12" t="str">
        <f>IFERROR(VLOOKUP(D1447,'[1]Перечень товаров'!$A$2:$I9525,3,0),"")</f>
        <v>Техника</v>
      </c>
      <c r="D1447" s="71" t="s">
        <v>189</v>
      </c>
      <c r="E1447" s="88"/>
      <c r="F1447" s="88"/>
      <c r="G1447" s="73">
        <v>1</v>
      </c>
      <c r="H1447" s="73"/>
      <c r="I1447" s="74"/>
      <c r="J1447" s="74"/>
      <c r="K1447" s="19"/>
      <c r="L1447" s="20"/>
    </row>
    <row r="1448" spans="1:12" ht="31.5" outlineLevel="2">
      <c r="A1448" s="70"/>
      <c r="B1448" s="12" t="str">
        <f>IFERROR(VLOOKUP(D1448,'[1]Перечень товаров'!$A$2:$I9525,2,0),"")</f>
        <v>т68</v>
      </c>
      <c r="C1448" s="12" t="str">
        <f>IFERROR(VLOOKUP(D1448,'[1]Перечень товаров'!$A$2:$I9525,3,0),"")</f>
        <v>Техника</v>
      </c>
      <c r="D1448" s="71" t="s">
        <v>190</v>
      </c>
      <c r="E1448" s="88"/>
      <c r="F1448" s="88"/>
      <c r="G1448" s="73">
        <v>2</v>
      </c>
      <c r="H1448" s="73"/>
      <c r="I1448" s="74"/>
      <c r="J1448" s="74"/>
      <c r="K1448" s="19"/>
      <c r="L1448" s="20"/>
    </row>
    <row r="1449" spans="1:12" ht="31.5" outlineLevel="2">
      <c r="A1449" s="70"/>
      <c r="B1449" s="12" t="str">
        <f>IFERROR(VLOOKUP(D1449,'[1]Перечень товаров'!$A$2:$I9525,2,0),"")</f>
        <v>т69</v>
      </c>
      <c r="C1449" s="12" t="str">
        <f>IFERROR(VLOOKUP(D1449,'[1]Перечень товаров'!$A$2:$I9525,3,0),"")</f>
        <v>Техника</v>
      </c>
      <c r="D1449" s="71" t="s">
        <v>191</v>
      </c>
      <c r="E1449" s="88"/>
      <c r="F1449" s="88"/>
      <c r="G1449" s="73">
        <v>1</v>
      </c>
      <c r="H1449" s="73"/>
      <c r="I1449" s="74"/>
      <c r="J1449" s="74"/>
      <c r="K1449" s="19"/>
      <c r="L1449" s="20"/>
    </row>
    <row r="1450" spans="1:12" ht="47.25" outlineLevel="2">
      <c r="A1450" s="70"/>
      <c r="B1450" s="12" t="str">
        <f>IFERROR(VLOOKUP(D1450,'[1]Перечень товаров'!$A$2:$I9525,2,0),"")</f>
        <v>т70</v>
      </c>
      <c r="C1450" s="12" t="str">
        <f>IFERROR(VLOOKUP(D1450,'[1]Перечень товаров'!$A$2:$I9525,3,0),"")</f>
        <v>Техника</v>
      </c>
      <c r="D1450" s="71" t="s">
        <v>192</v>
      </c>
      <c r="E1450" s="88"/>
      <c r="F1450" s="88"/>
      <c r="G1450" s="73">
        <v>1</v>
      </c>
      <c r="H1450" s="73"/>
      <c r="I1450" s="74"/>
      <c r="J1450" s="74"/>
      <c r="K1450" s="19"/>
      <c r="L1450" s="20"/>
    </row>
    <row r="1451" spans="1:12" ht="31.5" outlineLevel="2">
      <c r="A1451" s="70"/>
      <c r="B1451" s="12" t="str">
        <f>IFERROR(VLOOKUP(D1451,'[1]Перечень товаров'!$A$2:$I9525,2,0),"")</f>
        <v>т71</v>
      </c>
      <c r="C1451" s="12" t="str">
        <f>IFERROR(VLOOKUP(D1451,'[1]Перечень товаров'!$A$2:$I9525,3,0),"")</f>
        <v>Техника</v>
      </c>
      <c r="D1451" s="71" t="s">
        <v>193</v>
      </c>
      <c r="E1451" s="88"/>
      <c r="F1451" s="88"/>
      <c r="G1451" s="73">
        <v>2</v>
      </c>
      <c r="H1451" s="73"/>
      <c r="I1451" s="74"/>
      <c r="J1451" s="74"/>
      <c r="K1451" s="19"/>
      <c r="L1451" s="20"/>
    </row>
    <row r="1452" spans="1:12" ht="31.5" outlineLevel="2">
      <c r="A1452" s="70"/>
      <c r="B1452" s="12" t="str">
        <f>IFERROR(VLOOKUP(D1452,'[1]Перечень товаров'!$A$2:$I9525,2,0),"")</f>
        <v>т72</v>
      </c>
      <c r="C1452" s="12" t="str">
        <f>IFERROR(VLOOKUP(D1452,'[1]Перечень товаров'!$A$2:$I9525,3,0),"")</f>
        <v>Техника</v>
      </c>
      <c r="D1452" s="71" t="s">
        <v>194</v>
      </c>
      <c r="E1452" s="88"/>
      <c r="F1452" s="88"/>
      <c r="G1452" s="73">
        <v>2</v>
      </c>
      <c r="H1452" s="73"/>
      <c r="I1452" s="74"/>
      <c r="J1452" s="74"/>
      <c r="K1452" s="19"/>
      <c r="L1452" s="20"/>
    </row>
    <row r="1453" spans="1:12" ht="31.5" outlineLevel="2">
      <c r="A1453" s="70"/>
      <c r="B1453" s="12" t="str">
        <f>IFERROR(VLOOKUP(D1453,'[1]Перечень товаров'!$A$2:$I9525,2,0),"")</f>
        <v>тм4</v>
      </c>
      <c r="C1453" s="12" t="str">
        <f>IFERROR(VLOOKUP(D1453,'[1]Перечень товаров'!$A$2:$I9525,3,0),"")</f>
        <v>Техника муз</v>
      </c>
      <c r="D1453" s="71" t="s">
        <v>195</v>
      </c>
      <c r="E1453" s="88"/>
      <c r="F1453" s="88"/>
      <c r="G1453" s="73">
        <v>6</v>
      </c>
      <c r="H1453" s="73"/>
      <c r="I1453" s="74"/>
      <c r="J1453" s="74"/>
      <c r="K1453" s="19"/>
      <c r="L1453" s="20"/>
    </row>
    <row r="1454" spans="1:12" ht="31.5" outlineLevel="2">
      <c r="A1454" s="70"/>
      <c r="B1454" s="12" t="str">
        <f>IFERROR(VLOOKUP(D1454,'[1]Перечень товаров'!$A$2:$I9525,2,0),"")</f>
        <v>т73</v>
      </c>
      <c r="C1454" s="12" t="str">
        <f>IFERROR(VLOOKUP(D1454,'[1]Перечень товаров'!$A$2:$I9525,3,0),"")</f>
        <v>Техника</v>
      </c>
      <c r="D1454" s="71" t="s">
        <v>196</v>
      </c>
      <c r="E1454" s="88"/>
      <c r="F1454" s="88"/>
      <c r="G1454" s="73">
        <v>2</v>
      </c>
      <c r="H1454" s="73"/>
      <c r="I1454" s="74"/>
      <c r="J1454" s="74"/>
      <c r="K1454" s="19"/>
      <c r="L1454" s="20"/>
    </row>
    <row r="1455" spans="1:12" ht="47.25" outlineLevel="2">
      <c r="A1455" s="70"/>
      <c r="B1455" s="12" t="str">
        <f>IFERROR(VLOOKUP(D1455,'[1]Перечень товаров'!$A$2:$I9525,2,0),"")</f>
        <v>тм5</v>
      </c>
      <c r="C1455" s="12" t="str">
        <f>IFERROR(VLOOKUP(D1455,'[1]Перечень товаров'!$A$2:$I9525,3,0),"")</f>
        <v>Техника муз</v>
      </c>
      <c r="D1455" s="71" t="s">
        <v>197</v>
      </c>
      <c r="E1455" s="88"/>
      <c r="F1455" s="88"/>
      <c r="G1455" s="73">
        <v>6</v>
      </c>
      <c r="H1455" s="73"/>
      <c r="I1455" s="74"/>
      <c r="J1455" s="74"/>
      <c r="K1455" s="19"/>
      <c r="L1455" s="20"/>
    </row>
    <row r="1456" spans="1:12" ht="31.5" outlineLevel="2">
      <c r="A1456" s="70"/>
      <c r="B1456" s="12" t="str">
        <f>IFERROR(VLOOKUP(D1456,'[1]Перечень товаров'!$A$2:$I9525,2,0),"")</f>
        <v>тм6</v>
      </c>
      <c r="C1456" s="12" t="str">
        <f>IFERROR(VLOOKUP(D1456,'[1]Перечень товаров'!$A$2:$I9525,3,0),"")</f>
        <v>Техника муз</v>
      </c>
      <c r="D1456" s="71" t="s">
        <v>198</v>
      </c>
      <c r="E1456" s="88"/>
      <c r="F1456" s="88"/>
      <c r="G1456" s="73">
        <v>2</v>
      </c>
      <c r="H1456" s="73"/>
      <c r="I1456" s="74"/>
      <c r="J1456" s="74"/>
      <c r="K1456" s="19"/>
      <c r="L1456" s="20"/>
    </row>
    <row r="1457" spans="1:12" ht="31.5" outlineLevel="2">
      <c r="A1457" s="70"/>
      <c r="B1457" s="12" t="str">
        <f>IFERROR(VLOOKUP(D1457,'[1]Перечень товаров'!$A$2:$I9525,2,0),"")</f>
        <v>т74</v>
      </c>
      <c r="C1457" s="12" t="str">
        <f>IFERROR(VLOOKUP(D1457,'[1]Перечень товаров'!$A$2:$I9525,3,0),"")</f>
        <v>Техника</v>
      </c>
      <c r="D1457" s="71" t="s">
        <v>199</v>
      </c>
      <c r="E1457" s="88"/>
      <c r="F1457" s="88"/>
      <c r="G1457" s="73">
        <v>8</v>
      </c>
      <c r="H1457" s="73"/>
      <c r="I1457" s="74"/>
      <c r="J1457" s="74"/>
      <c r="K1457" s="19"/>
      <c r="L1457" s="20"/>
    </row>
    <row r="1458" spans="1:12" ht="31.5" outlineLevel="2">
      <c r="A1458" s="70"/>
      <c r="B1458" s="12" t="str">
        <f>IFERROR(VLOOKUP(D1458,'[1]Перечень товаров'!$A$2:$I9525,2,0),"")</f>
        <v>тм7</v>
      </c>
      <c r="C1458" s="12" t="str">
        <f>IFERROR(VLOOKUP(D1458,'[1]Перечень товаров'!$A$2:$I9525,3,0),"")</f>
        <v>Техника муз</v>
      </c>
      <c r="D1458" s="71" t="s">
        <v>200</v>
      </c>
      <c r="E1458" s="88"/>
      <c r="F1458" s="88"/>
      <c r="G1458" s="73">
        <v>2</v>
      </c>
      <c r="H1458" s="73"/>
      <c r="I1458" s="74"/>
      <c r="J1458" s="74"/>
      <c r="K1458" s="19"/>
      <c r="L1458" s="20"/>
    </row>
    <row r="1459" spans="1:12" ht="31.5" outlineLevel="2">
      <c r="A1459" s="70"/>
      <c r="B1459" s="12" t="str">
        <f>IFERROR(VLOOKUP(D1459,'[1]Перечень товаров'!$A$2:$I9525,2,0),"")</f>
        <v>тм8</v>
      </c>
      <c r="C1459" s="12" t="str">
        <f>IFERROR(VLOOKUP(D1459,'[1]Перечень товаров'!$A$2:$I9525,3,0),"")</f>
        <v>Техника муз</v>
      </c>
      <c r="D1459" s="71" t="s">
        <v>201</v>
      </c>
      <c r="E1459" s="88"/>
      <c r="F1459" s="88"/>
      <c r="G1459" s="73">
        <v>4</v>
      </c>
      <c r="H1459" s="73"/>
      <c r="I1459" s="74"/>
      <c r="J1459" s="74"/>
      <c r="K1459" s="19"/>
      <c r="L1459" s="20"/>
    </row>
    <row r="1460" spans="1:12" outlineLevel="2">
      <c r="A1460" s="70"/>
      <c r="B1460" s="12" t="str">
        <f>IFERROR(VLOOKUP(D1460,'[1]Перечень товаров'!$A$2:$I9525,2,0),"")</f>
        <v>т75</v>
      </c>
      <c r="C1460" s="12" t="str">
        <f>IFERROR(VLOOKUP(D1460,'[1]Перечень товаров'!$A$2:$I9525,3,0),"")</f>
        <v>Техника</v>
      </c>
      <c r="D1460" s="71" t="s">
        <v>202</v>
      </c>
      <c r="E1460" s="88"/>
      <c r="F1460" s="88"/>
      <c r="G1460" s="73">
        <v>1</v>
      </c>
      <c r="H1460" s="73"/>
      <c r="I1460" s="74"/>
      <c r="J1460" s="74"/>
      <c r="K1460" s="19"/>
      <c r="L1460" s="20"/>
    </row>
    <row r="1461" spans="1:12" ht="31.5" outlineLevel="2">
      <c r="A1461" s="70"/>
      <c r="B1461" s="12" t="str">
        <f>IFERROR(VLOOKUP(D1461,'[1]Перечень товаров'!$A$2:$I9525,2,0),"")</f>
        <v>т76</v>
      </c>
      <c r="C1461" s="12" t="str">
        <f>IFERROR(VLOOKUP(D1461,'[1]Перечень товаров'!$A$2:$I9525,3,0),"")</f>
        <v>Техника</v>
      </c>
      <c r="D1461" s="71" t="s">
        <v>203</v>
      </c>
      <c r="E1461" s="88"/>
      <c r="F1461" s="88"/>
      <c r="G1461" s="73">
        <v>10</v>
      </c>
      <c r="H1461" s="73"/>
      <c r="I1461" s="74"/>
      <c r="J1461" s="74"/>
      <c r="K1461" s="19"/>
      <c r="L1461" s="20"/>
    </row>
    <row r="1462" spans="1:12" ht="47.25" outlineLevel="2">
      <c r="A1462" s="70"/>
      <c r="B1462" s="12" t="str">
        <f>IFERROR(VLOOKUP(D1462,'[1]Перечень товаров'!$A$2:$I9525,2,0),"")</f>
        <v>м31</v>
      </c>
      <c r="C1462" s="12" t="str">
        <f>IFERROR(VLOOKUP(D1462,'[1]Перечень товаров'!$A$2:$I9525,3,0),"")</f>
        <v>Мебель</v>
      </c>
      <c r="D1462" s="71" t="s">
        <v>204</v>
      </c>
      <c r="E1462" s="88"/>
      <c r="F1462" s="88"/>
      <c r="G1462" s="73">
        <v>10</v>
      </c>
      <c r="H1462" s="73"/>
      <c r="I1462" s="74"/>
      <c r="J1462" s="74"/>
      <c r="K1462" s="19"/>
      <c r="L1462" s="20"/>
    </row>
    <row r="1463" spans="1:12" ht="47.25" outlineLevel="2">
      <c r="A1463" s="70"/>
      <c r="B1463" s="12" t="str">
        <f>IFERROR(VLOOKUP(D1463,'[1]Перечень товаров'!$A$2:$I9525,2,0),"")</f>
        <v>м32</v>
      </c>
      <c r="C1463" s="12" t="str">
        <f>IFERROR(VLOOKUP(D1463,'[1]Перечень товаров'!$A$2:$I9525,3,0),"")</f>
        <v>Мебель</v>
      </c>
      <c r="D1463" s="71" t="s">
        <v>205</v>
      </c>
      <c r="E1463" s="88"/>
      <c r="F1463" s="88"/>
      <c r="G1463" s="73">
        <v>2</v>
      </c>
      <c r="H1463" s="73"/>
      <c r="I1463" s="74"/>
      <c r="J1463" s="74"/>
      <c r="K1463" s="19"/>
      <c r="L1463" s="20"/>
    </row>
    <row r="1464" spans="1:12" ht="31.5" outlineLevel="2">
      <c r="A1464" s="70"/>
      <c r="B1464" s="12" t="str">
        <f>IFERROR(VLOOKUP(D1464,'[1]Перечень товаров'!$A$2:$I9525,2,0),"")</f>
        <v>м33</v>
      </c>
      <c r="C1464" s="12" t="str">
        <f>IFERROR(VLOOKUP(D1464,'[1]Перечень товаров'!$A$2:$I9525,3,0),"")</f>
        <v>Мебель</v>
      </c>
      <c r="D1464" s="71" t="s">
        <v>206</v>
      </c>
      <c r="E1464" s="88"/>
      <c r="F1464" s="88"/>
      <c r="G1464" s="73">
        <v>4</v>
      </c>
      <c r="H1464" s="73"/>
      <c r="I1464" s="74"/>
      <c r="J1464" s="74"/>
      <c r="K1464" s="19"/>
      <c r="L1464" s="20"/>
    </row>
    <row r="1465" spans="1:12" ht="31.5" outlineLevel="2">
      <c r="A1465" s="70"/>
      <c r="B1465" s="12" t="str">
        <f>IFERROR(VLOOKUP(D1465,'[1]Перечень товаров'!$A$2:$I9525,2,0),"")</f>
        <v>м34</v>
      </c>
      <c r="C1465" s="12" t="str">
        <f>IFERROR(VLOOKUP(D1465,'[1]Перечень товаров'!$A$2:$I9525,3,0),"")</f>
        <v>Мебель</v>
      </c>
      <c r="D1465" s="71" t="s">
        <v>207</v>
      </c>
      <c r="E1465" s="88"/>
      <c r="F1465" s="88"/>
      <c r="G1465" s="73">
        <v>2</v>
      </c>
      <c r="H1465" s="73"/>
      <c r="I1465" s="74"/>
      <c r="J1465" s="74"/>
      <c r="K1465" s="19"/>
      <c r="L1465" s="20"/>
    </row>
    <row r="1466" spans="1:12" ht="31.5" outlineLevel="2">
      <c r="A1466" s="70"/>
      <c r="B1466" s="12" t="str">
        <f>IFERROR(VLOOKUP(D1466,'[1]Перечень товаров'!$A$2:$I9525,2,0),"")</f>
        <v>м35</v>
      </c>
      <c r="C1466" s="12" t="str">
        <f>IFERROR(VLOOKUP(D1466,'[1]Перечень товаров'!$A$2:$I9525,3,0),"")</f>
        <v>Мебель</v>
      </c>
      <c r="D1466" s="71" t="s">
        <v>208</v>
      </c>
      <c r="E1466" s="88"/>
      <c r="F1466" s="88"/>
      <c r="G1466" s="73">
        <v>1</v>
      </c>
      <c r="H1466" s="73"/>
      <c r="I1466" s="74"/>
      <c r="J1466" s="74"/>
      <c r="K1466" s="19"/>
      <c r="L1466" s="20"/>
    </row>
    <row r="1467" spans="1:12" outlineLevel="2">
      <c r="A1467" s="70"/>
      <c r="B1467" s="12" t="str">
        <f>IFERROR(VLOOKUP(D1467,'[1]Перечень товаров'!$A$2:$I9525,2,0),"")</f>
        <v>тм9</v>
      </c>
      <c r="C1467" s="12" t="str">
        <f>IFERROR(VLOOKUP(D1467,'[1]Перечень товаров'!$A$2:$I9525,3,0),"")</f>
        <v>Техника муз</v>
      </c>
      <c r="D1467" s="71" t="s">
        <v>209</v>
      </c>
      <c r="E1467" s="88"/>
      <c r="F1467" s="88"/>
      <c r="G1467" s="73">
        <v>1</v>
      </c>
      <c r="H1467" s="73"/>
      <c r="I1467" s="74"/>
      <c r="J1467" s="74"/>
      <c r="K1467" s="19"/>
      <c r="L1467" s="20"/>
    </row>
    <row r="1468" spans="1:12" outlineLevel="2">
      <c r="A1468" s="70"/>
      <c r="B1468" s="12" t="str">
        <f>IFERROR(VLOOKUP(D1468,'[1]Перечень товаров'!$A$2:$I9525,2,0),"")</f>
        <v>дм3</v>
      </c>
      <c r="C1468" s="12" t="str">
        <f>IFERROR(VLOOKUP(D1468,'[1]Перечень товаров'!$A$2:$I9525,3,0),"")</f>
        <v>Дидактика муз</v>
      </c>
      <c r="D1468" s="71" t="s">
        <v>210</v>
      </c>
      <c r="E1468" s="88"/>
      <c r="F1468" s="88"/>
      <c r="G1468" s="73">
        <v>3</v>
      </c>
      <c r="H1468" s="73"/>
      <c r="I1468" s="74"/>
      <c r="J1468" s="74"/>
      <c r="K1468" s="19"/>
      <c r="L1468" s="20"/>
    </row>
    <row r="1469" spans="1:12" ht="31.5" outlineLevel="2">
      <c r="A1469" s="70"/>
      <c r="B1469" s="12" t="str">
        <f>IFERROR(VLOOKUP(D1469,'[1]Перечень товаров'!$A$2:$I9525,2,0),"")</f>
        <v>тм10</v>
      </c>
      <c r="C1469" s="12" t="str">
        <f>IFERROR(VLOOKUP(D1469,'[1]Перечень товаров'!$A$2:$I9525,3,0),"")</f>
        <v>Техника муз</v>
      </c>
      <c r="D1469" s="71" t="s">
        <v>211</v>
      </c>
      <c r="E1469" s="88"/>
      <c r="F1469" s="88"/>
      <c r="G1469" s="73">
        <v>1</v>
      </c>
      <c r="H1469" s="73"/>
      <c r="I1469" s="74"/>
      <c r="J1469" s="74"/>
      <c r="K1469" s="19"/>
      <c r="L1469" s="20"/>
    </row>
    <row r="1470" spans="1:12" ht="47.25" outlineLevel="2">
      <c r="A1470" s="70"/>
      <c r="B1470" s="12" t="str">
        <f>IFERROR(VLOOKUP(D1470,'[1]Перечень товаров'!$A$2:$I9525,2,0),"")</f>
        <v>тм11</v>
      </c>
      <c r="C1470" s="12" t="str">
        <f>IFERROR(VLOOKUP(D1470,'[1]Перечень товаров'!$A$2:$I9525,3,0),"")</f>
        <v>Техника муз</v>
      </c>
      <c r="D1470" s="71" t="s">
        <v>212</v>
      </c>
      <c r="E1470" s="88"/>
      <c r="F1470" s="88"/>
      <c r="G1470" s="73">
        <v>1</v>
      </c>
      <c r="H1470" s="73"/>
      <c r="I1470" s="74"/>
      <c r="J1470" s="74"/>
      <c r="K1470" s="19"/>
      <c r="L1470" s="20"/>
    </row>
    <row r="1471" spans="1:12" ht="47.25" outlineLevel="2">
      <c r="A1471" s="70"/>
      <c r="B1471" s="12" t="str">
        <f>IFERROR(VLOOKUP(D1471,'[1]Перечень товаров'!$A$2:$I9525,2,0),"")</f>
        <v>мм2</v>
      </c>
      <c r="C1471" s="12" t="str">
        <f>IFERROR(VLOOKUP(D1471,'[1]Перечень товаров'!$A$2:$I9525,3,0),"")</f>
        <v>Мебель муз</v>
      </c>
      <c r="D1471" s="71" t="s">
        <v>213</v>
      </c>
      <c r="E1471" s="88"/>
      <c r="F1471" s="88"/>
      <c r="G1471" s="73">
        <v>2</v>
      </c>
      <c r="H1471" s="73"/>
      <c r="I1471" s="74"/>
      <c r="J1471" s="74"/>
      <c r="K1471" s="19"/>
      <c r="L1471" s="20"/>
    </row>
    <row r="1472" spans="1:12" ht="12.75" outlineLevel="1">
      <c r="A1472" s="11"/>
      <c r="B1472" s="12" t="str">
        <f>IFERROR(VLOOKUP(D1472,'[1]Перечень товаров'!$A$2:$I9525,2,0),"")</f>
        <v/>
      </c>
      <c r="C1472" s="12" t="str">
        <f>IFERROR(VLOOKUP(D1472,'[1]Перечень товаров'!$A$2:$I9525,3,0),"")</f>
        <v/>
      </c>
      <c r="D1472" s="27" t="s">
        <v>397</v>
      </c>
      <c r="E1472" s="99">
        <v>46216</v>
      </c>
      <c r="F1472" s="99"/>
      <c r="G1472" s="100"/>
      <c r="H1472" s="100"/>
      <c r="I1472" s="101"/>
      <c r="J1472" s="101"/>
      <c r="K1472" s="19"/>
      <c r="L1472" s="20"/>
    </row>
    <row r="1473" spans="1:12" outlineLevel="2">
      <c r="A1473" s="114"/>
      <c r="B1473" s="12" t="str">
        <f>IFERROR(VLOOKUP(D1473,'[1]Перечень товаров'!$A$2:$I9525,2,0),"")</f>
        <v/>
      </c>
      <c r="C1473" s="12" t="str">
        <f>IFERROR(VLOOKUP(D1473,'[1]Перечень товаров'!$A$2:$I9525,3,0),"")</f>
        <v/>
      </c>
      <c r="D1473" s="114" t="s">
        <v>19</v>
      </c>
      <c r="E1473" s="122"/>
      <c r="F1473" s="122"/>
      <c r="G1473" s="123"/>
      <c r="H1473" s="123"/>
      <c r="I1473" s="124"/>
      <c r="J1473" s="124"/>
      <c r="K1473" s="19"/>
      <c r="L1473" s="20"/>
    </row>
    <row r="1474" spans="1:12" outlineLevel="2">
      <c r="A1474" s="34"/>
      <c r="B1474" s="12" t="str">
        <f>IFERROR(VLOOKUP(D1474,'[1]Перечень товаров'!$A$2:$I9525,2,0),"")</f>
        <v>м62</v>
      </c>
      <c r="C1474" s="12" t="str">
        <f>IFERROR(VLOOKUP(D1474,'[1]Перечень товаров'!$A$2:$I9525,3,0),"")</f>
        <v>Мебель</v>
      </c>
      <c r="D1474" s="35" t="s">
        <v>398</v>
      </c>
      <c r="E1474" s="88"/>
      <c r="F1474" s="88"/>
      <c r="G1474" s="59">
        <v>1</v>
      </c>
      <c r="H1474" s="59"/>
      <c r="I1474" s="60"/>
      <c r="J1474" s="60"/>
      <c r="K1474" s="19"/>
      <c r="L1474" s="20"/>
    </row>
    <row r="1475" spans="1:12" outlineLevel="2">
      <c r="A1475" s="34"/>
      <c r="B1475" s="12" t="str">
        <f>IFERROR(VLOOKUP(D1475,'[1]Перечень товаров'!$A$2:$I9525,2,0),"")</f>
        <v>м61</v>
      </c>
      <c r="C1475" s="12" t="str">
        <f>IFERROR(VLOOKUP(D1475,'[1]Перечень товаров'!$A$2:$I9525,3,0),"")</f>
        <v>Мебель</v>
      </c>
      <c r="D1475" s="35" t="s">
        <v>383</v>
      </c>
      <c r="E1475" s="88"/>
      <c r="F1475" s="88"/>
      <c r="G1475" s="59">
        <v>1</v>
      </c>
      <c r="H1475" s="59"/>
      <c r="I1475" s="60"/>
      <c r="J1475" s="60"/>
      <c r="K1475" s="19"/>
      <c r="L1475" s="20"/>
    </row>
    <row r="1476" spans="1:12" outlineLevel="2">
      <c r="A1476" s="22"/>
      <c r="B1476" s="12" t="str">
        <f>IFERROR(VLOOKUP(D1476,'[1]Перечень товаров'!$A$2:$I9525,2,0),"")</f>
        <v>м13</v>
      </c>
      <c r="C1476" s="12" t="str">
        <f>IFERROR(VLOOKUP(D1476,'[1]Перечень товаров'!$A$2:$I9525,3,0),"")</f>
        <v>Мебель</v>
      </c>
      <c r="D1476" s="22" t="s">
        <v>42</v>
      </c>
      <c r="E1476" s="88"/>
      <c r="F1476" s="88"/>
      <c r="G1476" s="48">
        <v>1</v>
      </c>
      <c r="H1476" s="48"/>
      <c r="I1476" s="49"/>
      <c r="J1476" s="49"/>
      <c r="K1476" s="19"/>
      <c r="L1476" s="20"/>
    </row>
    <row r="1477" spans="1:12" outlineLevel="2">
      <c r="A1477" s="21"/>
      <c r="B1477" s="12" t="str">
        <f>IFERROR(VLOOKUP(D1477,'[1]Перечень товаров'!$A$2:$I9525,2,0),"")</f>
        <v>м14</v>
      </c>
      <c r="C1477" s="12" t="str">
        <f>IFERROR(VLOOKUP(D1477,'[1]Перечень товаров'!$A$2:$I9525,3,0),"")</f>
        <v>Мебель</v>
      </c>
      <c r="D1477" s="22" t="s">
        <v>43</v>
      </c>
      <c r="E1477" s="88"/>
      <c r="F1477" s="88"/>
      <c r="G1477" s="48">
        <v>1</v>
      </c>
      <c r="H1477" s="48"/>
      <c r="I1477" s="49"/>
      <c r="J1477" s="49"/>
      <c r="K1477" s="19"/>
      <c r="L1477" s="20"/>
    </row>
    <row r="1478" spans="1:12" outlineLevel="2">
      <c r="A1478" s="21"/>
      <c r="B1478" s="12" t="str">
        <f>IFERROR(VLOOKUP(D1478,'[1]Перечень товаров'!$A$2:$I9525,2,0),"")</f>
        <v>п2</v>
      </c>
      <c r="C1478" s="12" t="str">
        <f>IFERROR(VLOOKUP(D1478,'[1]Перечень товаров'!$A$2:$I9525,3,0),"")</f>
        <v>Прочее</v>
      </c>
      <c r="D1478" s="22" t="s">
        <v>46</v>
      </c>
      <c r="E1478" s="88"/>
      <c r="F1478" s="88"/>
      <c r="G1478" s="24">
        <v>1</v>
      </c>
      <c r="H1478" s="24"/>
      <c r="I1478" s="25"/>
      <c r="J1478" s="25"/>
      <c r="K1478" s="19"/>
      <c r="L1478" s="20"/>
    </row>
    <row r="1479" spans="1:12" outlineLevel="2">
      <c r="A1479" s="21"/>
      <c r="B1479" s="12" t="str">
        <f>IFERROR(VLOOKUP(D1479,'[1]Перечень товаров'!$A$2:$I9525,2,0),"")</f>
        <v>тм70</v>
      </c>
      <c r="C1479" s="12" t="str">
        <f>IFERROR(VLOOKUP(D1479,'[1]Перечень товаров'!$A$2:$I9525,3,0),"")</f>
        <v>Техника муз</v>
      </c>
      <c r="D1479" s="22" t="s">
        <v>399</v>
      </c>
      <c r="E1479" s="88"/>
      <c r="F1479" s="88"/>
      <c r="G1479" s="24">
        <v>1</v>
      </c>
      <c r="H1479" s="24"/>
      <c r="I1479" s="25"/>
      <c r="J1479" s="25"/>
      <c r="K1479" s="19"/>
      <c r="L1479" s="20"/>
    </row>
    <row r="1480" spans="1:12" outlineLevel="2">
      <c r="A1480" s="113"/>
      <c r="B1480" s="12" t="str">
        <f>IFERROR(VLOOKUP(D1480,'[1]Перечень товаров'!$A$2:$I9525,2,0),"")</f>
        <v/>
      </c>
      <c r="C1480" s="12" t="str">
        <f>IFERROR(VLOOKUP(D1480,'[1]Перечень товаров'!$A$2:$I9525,3,0),"")</f>
        <v/>
      </c>
      <c r="D1480" s="114" t="s">
        <v>391</v>
      </c>
      <c r="E1480" s="122"/>
      <c r="F1480" s="122"/>
      <c r="G1480" s="123"/>
      <c r="H1480" s="123"/>
      <c r="I1480" s="124"/>
      <c r="J1480" s="124"/>
      <c r="K1480" s="19"/>
      <c r="L1480" s="20"/>
    </row>
    <row r="1481" spans="1:12" outlineLevel="2">
      <c r="A1481" s="28"/>
      <c r="B1481" s="12" t="str">
        <f>IFERROR(VLOOKUP(D1481,'[1]Перечень товаров'!$A$2:$I9525,2,0),"")</f>
        <v>тм71</v>
      </c>
      <c r="C1481" s="12" t="str">
        <f>IFERROR(VLOOKUP(D1481,'[1]Перечень товаров'!$A$2:$I9525,3,0),"")</f>
        <v>Техника муз</v>
      </c>
      <c r="D1481" s="29" t="s">
        <v>400</v>
      </c>
      <c r="E1481" s="30"/>
      <c r="F1481" s="30"/>
      <c r="G1481" s="31">
        <v>1</v>
      </c>
      <c r="H1481" s="31"/>
      <c r="I1481" s="32"/>
      <c r="J1481" s="32"/>
      <c r="K1481" s="19"/>
      <c r="L1481" s="20"/>
    </row>
    <row r="1482" spans="1:12" outlineLevel="2">
      <c r="A1482" s="28"/>
      <c r="B1482" s="12" t="str">
        <f>IFERROR(VLOOKUP(D1482,'[1]Перечень товаров'!$A$2:$I9525,2,0),"")</f>
        <v>м66</v>
      </c>
      <c r="C1482" s="12" t="str">
        <f>IFERROR(VLOOKUP(D1482,'[1]Перечень товаров'!$A$2:$I9525,3,0),"")</f>
        <v>Мебель</v>
      </c>
      <c r="D1482" s="29" t="s">
        <v>401</v>
      </c>
      <c r="E1482" s="30"/>
      <c r="F1482" s="30"/>
      <c r="G1482" s="31">
        <v>10</v>
      </c>
      <c r="H1482" s="31"/>
      <c r="I1482" s="32"/>
      <c r="J1482" s="32"/>
      <c r="K1482" s="19"/>
      <c r="L1482" s="20"/>
    </row>
    <row r="1483" spans="1:12" outlineLevel="2">
      <c r="A1483" s="28"/>
      <c r="B1483" s="12" t="str">
        <f>IFERROR(VLOOKUP(D1483,'[1]Перечень товаров'!$A$2:$I9525,2,0),"")</f>
        <v>м51</v>
      </c>
      <c r="C1483" s="12" t="str">
        <f>IFERROR(VLOOKUP(D1483,'[1]Перечень товаров'!$A$2:$I9525,3,0),"")</f>
        <v>Мебель</v>
      </c>
      <c r="D1483" s="29" t="s">
        <v>318</v>
      </c>
      <c r="E1483" s="30"/>
      <c r="F1483" s="30"/>
      <c r="G1483" s="31">
        <v>6</v>
      </c>
      <c r="H1483" s="31"/>
      <c r="I1483" s="32"/>
      <c r="J1483" s="32"/>
      <c r="K1483" s="19"/>
      <c r="L1483" s="20"/>
    </row>
    <row r="1484" spans="1:12" outlineLevel="2">
      <c r="A1484" s="28"/>
      <c r="B1484" s="12" t="str">
        <f>IFERROR(VLOOKUP(D1484,'[1]Перечень товаров'!$A$2:$I9525,2,0),"")</f>
        <v>м67</v>
      </c>
      <c r="C1484" s="12" t="str">
        <f>IFERROR(VLOOKUP(D1484,'[1]Перечень товаров'!$A$2:$I9525,3,0),"")</f>
        <v>Мебель</v>
      </c>
      <c r="D1484" s="29" t="s">
        <v>402</v>
      </c>
      <c r="E1484" s="30"/>
      <c r="F1484" s="30"/>
      <c r="G1484" s="31">
        <v>2</v>
      </c>
      <c r="H1484" s="31"/>
      <c r="I1484" s="32"/>
      <c r="J1484" s="32"/>
      <c r="K1484" s="19"/>
      <c r="L1484" s="20"/>
    </row>
    <row r="1485" spans="1:12" ht="12.75" outlineLevel="1">
      <c r="A1485" s="11"/>
      <c r="B1485" s="12" t="str">
        <f>IFERROR(VLOOKUP(D1485,'[1]Перечень товаров'!$A$2:$I9525,2,0),"")</f>
        <v/>
      </c>
      <c r="C1485" s="12" t="str">
        <f>IFERROR(VLOOKUP(D1485,'[1]Перечень товаров'!$A$2:$I9525,3,0),"")</f>
        <v/>
      </c>
      <c r="D1485" s="27" t="s">
        <v>338</v>
      </c>
      <c r="E1485" s="99">
        <v>46032</v>
      </c>
      <c r="F1485" s="99"/>
      <c r="G1485" s="100"/>
      <c r="H1485" s="100"/>
      <c r="I1485" s="101"/>
      <c r="J1485" s="101"/>
      <c r="K1485" s="19"/>
      <c r="L1485" s="20"/>
    </row>
    <row r="1486" spans="1:12" ht="12.75" outlineLevel="2">
      <c r="A1486" s="77"/>
      <c r="B1486" s="12" t="str">
        <f>IFERROR(VLOOKUP(D1486,'[1]Перечень товаров'!$A$2:$I9525,2,0),"")</f>
        <v/>
      </c>
      <c r="C1486" s="12" t="str">
        <f>IFERROR(VLOOKUP(D1486,'[1]Перечень товаров'!$A$2:$I9525,3,0),"")</f>
        <v/>
      </c>
      <c r="D1486" s="78" t="s">
        <v>19</v>
      </c>
      <c r="E1486" s="79"/>
      <c r="F1486" s="79"/>
      <c r="G1486" s="100"/>
      <c r="H1486" s="100"/>
      <c r="I1486" s="101"/>
      <c r="J1486" s="101"/>
      <c r="K1486" s="19"/>
      <c r="L1486" s="20"/>
    </row>
    <row r="1487" spans="1:12" outlineLevel="2">
      <c r="A1487" s="43"/>
      <c r="B1487" s="12" t="str">
        <f>IFERROR(VLOOKUP(D1487,'[1]Перечень товаров'!$A$2:$I9525,2,0),"")</f>
        <v>м25</v>
      </c>
      <c r="C1487" s="12" t="str">
        <f>IFERROR(VLOOKUP(D1487,'[1]Перечень товаров'!$A$2:$I9525,3,0),"")</f>
        <v>Мебель</v>
      </c>
      <c r="D1487" s="44" t="s">
        <v>175</v>
      </c>
      <c r="E1487" s="23"/>
      <c r="F1487" s="23"/>
      <c r="G1487" s="23">
        <v>10</v>
      </c>
      <c r="H1487" s="23"/>
      <c r="I1487" s="121"/>
      <c r="J1487" s="121"/>
      <c r="K1487" s="19"/>
      <c r="L1487" s="20"/>
    </row>
    <row r="1488" spans="1:12" outlineLevel="2">
      <c r="A1488" s="43"/>
      <c r="B1488" s="12" t="str">
        <f>IFERROR(VLOOKUP(D1488,'[1]Перечень товаров'!$A$2:$I9525,2,0),"")</f>
        <v>м26</v>
      </c>
      <c r="C1488" s="12" t="str">
        <f>IFERROR(VLOOKUP(D1488,'[1]Перечень товаров'!$A$2:$I9525,3,0),"")</f>
        <v>Мебель</v>
      </c>
      <c r="D1488" s="44" t="s">
        <v>176</v>
      </c>
      <c r="E1488" s="23"/>
      <c r="F1488" s="23"/>
      <c r="G1488" s="23">
        <v>5</v>
      </c>
      <c r="H1488" s="23"/>
      <c r="I1488" s="121"/>
      <c r="J1488" s="121"/>
      <c r="K1488" s="19"/>
      <c r="L1488" s="20"/>
    </row>
    <row r="1489" spans="1:12" outlineLevel="2">
      <c r="A1489" s="43"/>
      <c r="B1489" s="12" t="str">
        <f>IFERROR(VLOOKUP(D1489,'[1]Перечень товаров'!$A$2:$I9525,2,0),"")</f>
        <v>м27</v>
      </c>
      <c r="C1489" s="12" t="str">
        <f>IFERROR(VLOOKUP(D1489,'[1]Перечень товаров'!$A$2:$I9525,3,0),"")</f>
        <v>Мебель</v>
      </c>
      <c r="D1489" s="44" t="s">
        <v>177</v>
      </c>
      <c r="E1489" s="23"/>
      <c r="F1489" s="23"/>
      <c r="G1489" s="23">
        <v>2</v>
      </c>
      <c r="H1489" s="23"/>
      <c r="I1489" s="121"/>
      <c r="J1489" s="121"/>
      <c r="K1489" s="19"/>
      <c r="L1489" s="20"/>
    </row>
    <row r="1490" spans="1:12" outlineLevel="2">
      <c r="A1490" s="43"/>
      <c r="B1490" s="12" t="str">
        <f>IFERROR(VLOOKUP(D1490,'[1]Перечень товаров'!$A$2:$I9525,2,0),"")</f>
        <v>м28</v>
      </c>
      <c r="C1490" s="12" t="str">
        <f>IFERROR(VLOOKUP(D1490,'[1]Перечень товаров'!$A$2:$I9525,3,0),"")</f>
        <v>Мебель</v>
      </c>
      <c r="D1490" s="44" t="s">
        <v>178</v>
      </c>
      <c r="E1490" s="23"/>
      <c r="F1490" s="23"/>
      <c r="G1490" s="23">
        <v>1</v>
      </c>
      <c r="H1490" s="23"/>
      <c r="I1490" s="121"/>
      <c r="J1490" s="121"/>
      <c r="K1490" s="19"/>
      <c r="L1490" s="20"/>
    </row>
    <row r="1491" spans="1:12" outlineLevel="2">
      <c r="A1491" s="21"/>
      <c r="B1491" s="12" t="str">
        <f>IFERROR(VLOOKUP(D1491,'[1]Перечень товаров'!$A$2:$I9525,2,0),"")</f>
        <v>мм1</v>
      </c>
      <c r="C1491" s="12" t="str">
        <f>IFERROR(VLOOKUP(D1491,'[1]Перечень товаров'!$A$2:$I9525,3,0),"")</f>
        <v>Мебель муз</v>
      </c>
      <c r="D1491" s="22" t="s">
        <v>179</v>
      </c>
      <c r="E1491" s="23"/>
      <c r="F1491" s="23"/>
      <c r="G1491" s="23">
        <v>1</v>
      </c>
      <c r="H1491" s="23"/>
      <c r="I1491" s="121"/>
      <c r="J1491" s="121"/>
      <c r="K1491" s="19"/>
      <c r="L1491" s="20"/>
    </row>
    <row r="1492" spans="1:12" ht="12.75" outlineLevel="1">
      <c r="A1492" s="89"/>
      <c r="B1492" s="12" t="str">
        <f>IFERROR(VLOOKUP(D1492,'[1]Перечень товаров'!$A$2:$I9525,2,0),"")</f>
        <v/>
      </c>
      <c r="C1492" s="12" t="str">
        <f>IFERROR(VLOOKUP(D1492,'[1]Перечень товаров'!$A$2:$I9525,3,0),"")</f>
        <v/>
      </c>
      <c r="D1492" s="90" t="s">
        <v>578</v>
      </c>
      <c r="E1492" s="108">
        <v>46039</v>
      </c>
      <c r="F1492" s="108"/>
      <c r="G1492" s="100"/>
      <c r="H1492" s="100"/>
      <c r="I1492" s="101"/>
      <c r="J1492" s="101"/>
      <c r="K1492" s="19"/>
      <c r="L1492" s="20"/>
    </row>
    <row r="1493" spans="1:12" outlineLevel="2">
      <c r="A1493" s="113"/>
      <c r="B1493" s="12" t="str">
        <f>IFERROR(VLOOKUP(D1493,'[1]Перечень товаров'!$A$2:$I9525,2,0),"")</f>
        <v/>
      </c>
      <c r="C1493" s="12" t="str">
        <f>IFERROR(VLOOKUP(D1493,'[1]Перечень товаров'!$A$2:$I9525,3,0),"")</f>
        <v/>
      </c>
      <c r="D1493" s="114" t="s">
        <v>19</v>
      </c>
      <c r="E1493" s="115"/>
      <c r="F1493" s="115"/>
      <c r="G1493" s="59"/>
      <c r="H1493" s="59"/>
      <c r="I1493" s="60"/>
      <c r="J1493" s="60"/>
      <c r="K1493" s="19"/>
      <c r="L1493" s="20"/>
    </row>
    <row r="1494" spans="1:12" outlineLevel="2">
      <c r="A1494" s="34"/>
      <c r="B1494" s="12" t="str">
        <f>IFERROR(VLOOKUP(D1494,'[1]Перечень товаров'!$A$2:$I9525,2,0),"")</f>
        <v>м62</v>
      </c>
      <c r="C1494" s="12" t="str">
        <f>IFERROR(VLOOKUP(D1494,'[1]Перечень товаров'!$A$2:$I9525,3,0),"")</f>
        <v>Мебель</v>
      </c>
      <c r="D1494" s="35" t="s">
        <v>398</v>
      </c>
      <c r="E1494" s="88"/>
      <c r="F1494" s="88"/>
      <c r="G1494" s="59">
        <v>1</v>
      </c>
      <c r="H1494" s="59"/>
      <c r="I1494" s="60"/>
      <c r="J1494" s="60"/>
      <c r="K1494" s="19"/>
      <c r="L1494" s="20"/>
    </row>
    <row r="1495" spans="1:12" outlineLevel="2">
      <c r="A1495" s="34"/>
      <c r="B1495" s="12" t="str">
        <f>IFERROR(VLOOKUP(D1495,'[1]Перечень товаров'!$A$2:$I9525,2,0),"")</f>
        <v>м61</v>
      </c>
      <c r="C1495" s="12" t="str">
        <f>IFERROR(VLOOKUP(D1495,'[1]Перечень товаров'!$A$2:$I9525,3,0),"")</f>
        <v>Мебель</v>
      </c>
      <c r="D1495" s="35" t="s">
        <v>383</v>
      </c>
      <c r="E1495" s="88"/>
      <c r="F1495" s="88"/>
      <c r="G1495" s="59">
        <v>1</v>
      </c>
      <c r="H1495" s="59"/>
      <c r="I1495" s="60"/>
      <c r="J1495" s="60"/>
      <c r="K1495" s="19"/>
      <c r="L1495" s="20"/>
    </row>
    <row r="1496" spans="1:12" outlineLevel="2">
      <c r="A1496" s="34"/>
      <c r="B1496" s="12" t="str">
        <f>IFERROR(VLOOKUP(D1496,'[1]Перечень товаров'!$A$2:$I9525,2,0),"")</f>
        <v>м179</v>
      </c>
      <c r="C1496" s="12" t="str">
        <f>IFERROR(VLOOKUP(D1496,'[1]Перечень товаров'!$A$2:$I9525,3,0),"")</f>
        <v>Мебель</v>
      </c>
      <c r="D1496" s="35" t="s">
        <v>579</v>
      </c>
      <c r="E1496" s="88"/>
      <c r="F1496" s="88"/>
      <c r="G1496" s="59">
        <v>10</v>
      </c>
      <c r="H1496" s="59"/>
      <c r="I1496" s="60"/>
      <c r="J1496" s="60"/>
      <c r="K1496" s="19"/>
      <c r="L1496" s="20"/>
    </row>
    <row r="1497" spans="1:12" outlineLevel="2">
      <c r="A1497" s="34"/>
      <c r="B1497" s="12" t="str">
        <f>IFERROR(VLOOKUP(D1497,'[1]Перечень товаров'!$A$2:$I9525,2,0),"")</f>
        <v>м61</v>
      </c>
      <c r="C1497" s="12" t="str">
        <f>IFERROR(VLOOKUP(D1497,'[1]Перечень товаров'!$A$2:$I9525,3,0),"")</f>
        <v>Мебель</v>
      </c>
      <c r="D1497" s="35" t="s">
        <v>384</v>
      </c>
      <c r="E1497" s="88"/>
      <c r="F1497" s="88"/>
      <c r="G1497" s="59">
        <v>20</v>
      </c>
      <c r="H1497" s="59"/>
      <c r="I1497" s="60"/>
      <c r="J1497" s="60"/>
      <c r="K1497" s="19"/>
      <c r="L1497" s="20"/>
    </row>
    <row r="1498" spans="1:12" outlineLevel="2">
      <c r="A1498" s="21"/>
      <c r="B1498" s="12" t="str">
        <f>IFERROR(VLOOKUP(D1498,'[1]Перечень товаров'!$A$2:$I9525,2,0),"")</f>
        <v>м13</v>
      </c>
      <c r="C1498" s="12" t="str">
        <f>IFERROR(VLOOKUP(D1498,'[1]Перечень товаров'!$A$2:$I9525,3,0),"")</f>
        <v>Мебель</v>
      </c>
      <c r="D1498" s="22" t="s">
        <v>42</v>
      </c>
      <c r="E1498" s="58"/>
      <c r="F1498" s="58"/>
      <c r="G1498" s="24">
        <v>1</v>
      </c>
      <c r="H1498" s="24"/>
      <c r="I1498" s="25"/>
      <c r="J1498" s="25"/>
      <c r="K1498" s="19"/>
      <c r="L1498" s="20"/>
    </row>
    <row r="1499" spans="1:12" outlineLevel="2">
      <c r="A1499" s="21"/>
      <c r="B1499" s="12" t="str">
        <f>IFERROR(VLOOKUP(D1499,'[1]Перечень товаров'!$A$2:$I9525,2,0),"")</f>
        <v>м14</v>
      </c>
      <c r="C1499" s="12" t="str">
        <f>IFERROR(VLOOKUP(D1499,'[1]Перечень товаров'!$A$2:$I9525,3,0),"")</f>
        <v>Мебель</v>
      </c>
      <c r="D1499" s="22" t="s">
        <v>43</v>
      </c>
      <c r="E1499" s="58"/>
      <c r="F1499" s="58"/>
      <c r="G1499" s="24">
        <v>1</v>
      </c>
      <c r="H1499" s="24"/>
      <c r="I1499" s="25"/>
      <c r="J1499" s="25"/>
      <c r="K1499" s="19"/>
      <c r="L1499" s="20"/>
    </row>
    <row r="1500" spans="1:12" ht="31.5" outlineLevel="2">
      <c r="A1500" s="155"/>
      <c r="B1500" s="12" t="str">
        <f>IFERROR(VLOOKUP(D1500,'[1]Перечень товаров'!$A$2:$I9525,2,0),"")</f>
        <v>м21</v>
      </c>
      <c r="C1500" s="12" t="str">
        <f>IFERROR(VLOOKUP(D1500,'[1]Перечень товаров'!$A$2:$I9525,3,0),"")</f>
        <v>Мебель</v>
      </c>
      <c r="D1500" s="156" t="s">
        <v>58</v>
      </c>
      <c r="E1500" s="58"/>
      <c r="F1500" s="58"/>
      <c r="G1500" s="24">
        <v>1</v>
      </c>
      <c r="H1500" s="24"/>
      <c r="I1500" s="25"/>
      <c r="J1500" s="25"/>
      <c r="K1500" s="19"/>
      <c r="L1500" s="20"/>
    </row>
    <row r="1501" spans="1:12" ht="15" outlineLevel="2">
      <c r="A1501" s="116"/>
      <c r="B1501" s="12" t="str">
        <f>IFERROR(VLOOKUP(D1501,'[1]Перечень товаров'!$A$2:$I9525,2,0),"")</f>
        <v/>
      </c>
      <c r="C1501" s="12" t="str">
        <f>IFERROR(VLOOKUP(D1501,'[1]Перечень товаров'!$A$2:$I9525,3,0),"")</f>
        <v/>
      </c>
      <c r="D1501" s="117" t="s">
        <v>391</v>
      </c>
      <c r="E1501" s="118"/>
      <c r="F1501" s="118"/>
      <c r="G1501" s="119"/>
      <c r="H1501" s="119"/>
      <c r="I1501" s="120"/>
      <c r="J1501" s="120"/>
      <c r="K1501" s="19"/>
      <c r="L1501" s="20"/>
    </row>
    <row r="1502" spans="1:12" ht="47.25" outlineLevel="2">
      <c r="A1502" s="28"/>
      <c r="B1502" s="12" t="str">
        <f>IFERROR(VLOOKUP(D1502,'[1]Перечень товаров'!$A$2:$I9525,2,0),"")</f>
        <v>м180</v>
      </c>
      <c r="C1502" s="12" t="str">
        <f>IFERROR(VLOOKUP(D1502,'[1]Перечень товаров'!$A$2:$I9525,3,0),"")</f>
        <v>Мебель</v>
      </c>
      <c r="D1502" s="29" t="s">
        <v>580</v>
      </c>
      <c r="E1502" s="30"/>
      <c r="F1502" s="30"/>
      <c r="G1502" s="59">
        <v>2</v>
      </c>
      <c r="H1502" s="59"/>
      <c r="I1502" s="60"/>
      <c r="J1502" s="60"/>
      <c r="K1502" s="19"/>
      <c r="L1502" s="20"/>
    </row>
    <row r="1503" spans="1:12" outlineLevel="2">
      <c r="A1503" s="28"/>
      <c r="B1503" s="12" t="str">
        <f>IFERROR(VLOOKUP(D1503,'[1]Перечень товаров'!$A$2:$I9525,2,0),"")</f>
        <v>м181</v>
      </c>
      <c r="C1503" s="12" t="str">
        <f>IFERROR(VLOOKUP(D1503,'[1]Перечень товаров'!$A$2:$I9525,3,0),"")</f>
        <v>Мебель</v>
      </c>
      <c r="D1503" s="29" t="s">
        <v>581</v>
      </c>
      <c r="E1503" s="30"/>
      <c r="F1503" s="30"/>
      <c r="G1503" s="59">
        <v>2</v>
      </c>
      <c r="H1503" s="59"/>
      <c r="I1503" s="60"/>
      <c r="J1503" s="60"/>
      <c r="K1503" s="19"/>
      <c r="L1503" s="20"/>
    </row>
    <row r="1504" spans="1:12" ht="31.5" outlineLevel="2">
      <c r="A1504" s="28"/>
      <c r="B1504" s="12" t="str">
        <f>IFERROR(VLOOKUP(D1504,'[1]Перечень товаров'!$A$2:$I9525,2,0),"")</f>
        <v>тм258</v>
      </c>
      <c r="C1504" s="12" t="str">
        <f>IFERROR(VLOOKUP(D1504,'[1]Перечень товаров'!$A$2:$I9525,3,0),"")</f>
        <v>Техника муз</v>
      </c>
      <c r="D1504" s="29" t="s">
        <v>582</v>
      </c>
      <c r="E1504" s="30"/>
      <c r="F1504" s="30"/>
      <c r="G1504" s="59">
        <v>1</v>
      </c>
      <c r="H1504" s="59"/>
      <c r="I1504" s="60"/>
      <c r="J1504" s="60"/>
      <c r="K1504" s="19"/>
      <c r="L1504" s="20"/>
    </row>
    <row r="1505" spans="1:12" ht="31.5" outlineLevel="2">
      <c r="A1505" s="28"/>
      <c r="B1505" s="12" t="str">
        <f>IFERROR(VLOOKUP(D1505,'[1]Перечень товаров'!$A$2:$I9525,2,0),"")</f>
        <v>тм259</v>
      </c>
      <c r="C1505" s="12" t="str">
        <f>IFERROR(VLOOKUP(D1505,'[1]Перечень товаров'!$A$2:$I9525,3,0),"")</f>
        <v>Техника муз</v>
      </c>
      <c r="D1505" s="29" t="s">
        <v>583</v>
      </c>
      <c r="E1505" s="30"/>
      <c r="F1505" s="30"/>
      <c r="G1505" s="59">
        <v>1</v>
      </c>
      <c r="H1505" s="59"/>
      <c r="I1505" s="60"/>
      <c r="J1505" s="60"/>
      <c r="K1505" s="19"/>
      <c r="L1505" s="20"/>
    </row>
    <row r="1506" spans="1:12" ht="47.25" outlineLevel="2">
      <c r="A1506" s="28"/>
      <c r="B1506" s="12" t="str">
        <f>IFERROR(VLOOKUP(D1506,'[1]Перечень товаров'!$A$2:$I9525,2,0),"")</f>
        <v>п49</v>
      </c>
      <c r="C1506" s="12" t="str">
        <f>IFERROR(VLOOKUP(D1506,'[1]Перечень товаров'!$A$2:$I9525,3,0),"")</f>
        <v>Прочее</v>
      </c>
      <c r="D1506" s="29" t="s">
        <v>584</v>
      </c>
      <c r="E1506" s="30"/>
      <c r="F1506" s="30"/>
      <c r="G1506" s="59">
        <v>1</v>
      </c>
      <c r="H1506" s="59"/>
      <c r="I1506" s="60"/>
      <c r="J1506" s="60"/>
      <c r="K1506" s="19"/>
      <c r="L1506" s="20"/>
    </row>
    <row r="1507" spans="1:12" outlineLevel="2">
      <c r="A1507" s="28"/>
      <c r="B1507" s="12" t="str">
        <f>IFERROR(VLOOKUP(D1507,'[1]Перечень товаров'!$A$2:$I9525,2,0),"")</f>
        <v>п50</v>
      </c>
      <c r="C1507" s="12" t="str">
        <f>IFERROR(VLOOKUP(D1507,'[1]Перечень товаров'!$A$2:$I9525,3,0),"")</f>
        <v>Прочее</v>
      </c>
      <c r="D1507" s="29" t="s">
        <v>585</v>
      </c>
      <c r="E1507" s="30"/>
      <c r="F1507" s="30"/>
      <c r="G1507" s="59">
        <v>1</v>
      </c>
      <c r="H1507" s="59"/>
      <c r="I1507" s="60"/>
      <c r="J1507" s="60"/>
      <c r="K1507" s="19"/>
      <c r="L1507" s="20"/>
    </row>
    <row r="1508" spans="1:12" ht="12.75" outlineLevel="1">
      <c r="A1508" s="89"/>
      <c r="B1508" s="12" t="str">
        <f>IFERROR(VLOOKUP(D1508,'[1]Перечень товаров'!$A$2:$I9525,2,0),"")</f>
        <v/>
      </c>
      <c r="C1508" s="12" t="str">
        <f>IFERROR(VLOOKUP(D1508,'[1]Перечень товаров'!$A$2:$I9525,3,0),"")</f>
        <v/>
      </c>
      <c r="D1508" s="90" t="s">
        <v>578</v>
      </c>
      <c r="E1508" s="108">
        <v>46250</v>
      </c>
      <c r="F1508" s="108"/>
      <c r="G1508" s="100"/>
      <c r="H1508" s="100"/>
      <c r="I1508" s="101"/>
      <c r="J1508" s="101"/>
      <c r="K1508" s="19"/>
      <c r="L1508" s="20"/>
    </row>
    <row r="1509" spans="1:12" outlineLevel="2">
      <c r="A1509" s="113"/>
      <c r="B1509" s="12" t="str">
        <f>IFERROR(VLOOKUP(D1509,'[1]Перечень товаров'!$A$2:$I9525,2,0),"")</f>
        <v/>
      </c>
      <c r="C1509" s="12" t="str">
        <f>IFERROR(VLOOKUP(D1509,'[1]Перечень товаров'!$A$2:$I9525,3,0),"")</f>
        <v/>
      </c>
      <c r="D1509" s="114" t="s">
        <v>19</v>
      </c>
      <c r="E1509" s="115"/>
      <c r="F1509" s="115"/>
      <c r="G1509" s="59"/>
      <c r="H1509" s="59"/>
      <c r="I1509" s="60"/>
      <c r="J1509" s="60"/>
      <c r="K1509" s="19"/>
      <c r="L1509" s="20"/>
    </row>
    <row r="1510" spans="1:12" outlineLevel="2">
      <c r="A1510" s="34"/>
      <c r="B1510" s="12" t="str">
        <f>IFERROR(VLOOKUP(D1510,'[1]Перечень товаров'!$A$2:$I9525,2,0),"")</f>
        <v>м62</v>
      </c>
      <c r="C1510" s="12" t="str">
        <f>IFERROR(VLOOKUP(D1510,'[1]Перечень товаров'!$A$2:$I9525,3,0),"")</f>
        <v>Мебель</v>
      </c>
      <c r="D1510" s="35" t="s">
        <v>398</v>
      </c>
      <c r="E1510" s="88"/>
      <c r="F1510" s="88"/>
      <c r="G1510" s="59">
        <v>1</v>
      </c>
      <c r="H1510" s="59"/>
      <c r="I1510" s="60"/>
      <c r="J1510" s="60"/>
      <c r="K1510" s="19"/>
      <c r="L1510" s="20"/>
    </row>
    <row r="1511" spans="1:12" outlineLevel="2">
      <c r="A1511" s="34"/>
      <c r="B1511" s="12" t="str">
        <f>IFERROR(VLOOKUP(D1511,'[1]Перечень товаров'!$A$2:$I9525,2,0),"")</f>
        <v>м61</v>
      </c>
      <c r="C1511" s="12" t="str">
        <f>IFERROR(VLOOKUP(D1511,'[1]Перечень товаров'!$A$2:$I9525,3,0),"")</f>
        <v>Мебель</v>
      </c>
      <c r="D1511" s="35" t="s">
        <v>383</v>
      </c>
      <c r="E1511" s="88"/>
      <c r="F1511" s="88"/>
      <c r="G1511" s="59">
        <v>1</v>
      </c>
      <c r="H1511" s="59"/>
      <c r="I1511" s="60"/>
      <c r="J1511" s="60"/>
      <c r="K1511" s="19"/>
      <c r="L1511" s="20"/>
    </row>
    <row r="1512" spans="1:12" outlineLevel="2">
      <c r="A1512" s="34"/>
      <c r="B1512" s="12" t="str">
        <f>IFERROR(VLOOKUP(D1512,'[1]Перечень товаров'!$A$2:$I9525,2,0),"")</f>
        <v>м179</v>
      </c>
      <c r="C1512" s="12" t="str">
        <f>IFERROR(VLOOKUP(D1512,'[1]Перечень товаров'!$A$2:$I9525,3,0),"")</f>
        <v>Мебель</v>
      </c>
      <c r="D1512" s="35" t="s">
        <v>579</v>
      </c>
      <c r="E1512" s="88"/>
      <c r="F1512" s="88"/>
      <c r="G1512" s="59">
        <v>10</v>
      </c>
      <c r="H1512" s="59"/>
      <c r="I1512" s="60"/>
      <c r="J1512" s="60"/>
      <c r="K1512" s="19"/>
      <c r="L1512" s="20"/>
    </row>
    <row r="1513" spans="1:12" outlineLevel="2">
      <c r="A1513" s="34"/>
      <c r="B1513" s="12" t="str">
        <f>IFERROR(VLOOKUP(D1513,'[1]Перечень товаров'!$A$2:$I9525,2,0),"")</f>
        <v>м61</v>
      </c>
      <c r="C1513" s="12" t="str">
        <f>IFERROR(VLOOKUP(D1513,'[1]Перечень товаров'!$A$2:$I9525,3,0),"")</f>
        <v>Мебель</v>
      </c>
      <c r="D1513" s="35" t="s">
        <v>384</v>
      </c>
      <c r="E1513" s="88"/>
      <c r="F1513" s="88"/>
      <c r="G1513" s="59">
        <v>20</v>
      </c>
      <c r="H1513" s="59"/>
      <c r="I1513" s="60"/>
      <c r="J1513" s="60"/>
      <c r="K1513" s="19"/>
      <c r="L1513" s="20"/>
    </row>
    <row r="1514" spans="1:12" outlineLevel="2">
      <c r="A1514" s="21"/>
      <c r="B1514" s="12" t="str">
        <f>IFERROR(VLOOKUP(D1514,'[1]Перечень товаров'!$A$2:$I9525,2,0),"")</f>
        <v>м13</v>
      </c>
      <c r="C1514" s="12" t="str">
        <f>IFERROR(VLOOKUP(D1514,'[1]Перечень товаров'!$A$2:$I9525,3,0),"")</f>
        <v>Мебель</v>
      </c>
      <c r="D1514" s="22" t="s">
        <v>42</v>
      </c>
      <c r="E1514" s="58"/>
      <c r="F1514" s="58"/>
      <c r="G1514" s="24">
        <v>1</v>
      </c>
      <c r="H1514" s="24"/>
      <c r="I1514" s="25"/>
      <c r="J1514" s="25"/>
      <c r="K1514" s="19"/>
      <c r="L1514" s="20"/>
    </row>
    <row r="1515" spans="1:12" outlineLevel="2">
      <c r="A1515" s="21"/>
      <c r="B1515" s="12" t="str">
        <f>IFERROR(VLOOKUP(D1515,'[1]Перечень товаров'!$A$2:$I9525,2,0),"")</f>
        <v>м14</v>
      </c>
      <c r="C1515" s="12" t="str">
        <f>IFERROR(VLOOKUP(D1515,'[1]Перечень товаров'!$A$2:$I9525,3,0),"")</f>
        <v>Мебель</v>
      </c>
      <c r="D1515" s="22" t="s">
        <v>43</v>
      </c>
      <c r="E1515" s="58"/>
      <c r="F1515" s="58"/>
      <c r="G1515" s="24">
        <v>1</v>
      </c>
      <c r="H1515" s="24"/>
      <c r="I1515" s="25"/>
      <c r="J1515" s="25"/>
      <c r="K1515" s="19"/>
      <c r="L1515" s="20"/>
    </row>
    <row r="1516" spans="1:12" ht="31.5" outlineLevel="2">
      <c r="A1516" s="155"/>
      <c r="B1516" s="12" t="str">
        <f>IFERROR(VLOOKUP(D1516,'[1]Перечень товаров'!$A$2:$I9525,2,0),"")</f>
        <v>м21</v>
      </c>
      <c r="C1516" s="12" t="str">
        <f>IFERROR(VLOOKUP(D1516,'[1]Перечень товаров'!$A$2:$I9525,3,0),"")</f>
        <v>Мебель</v>
      </c>
      <c r="D1516" s="156" t="s">
        <v>58</v>
      </c>
      <c r="E1516" s="58"/>
      <c r="F1516" s="58"/>
      <c r="G1516" s="24">
        <v>1</v>
      </c>
      <c r="H1516" s="24"/>
      <c r="I1516" s="25"/>
      <c r="J1516" s="25"/>
      <c r="K1516" s="19"/>
      <c r="L1516" s="20"/>
    </row>
    <row r="1517" spans="1:12" ht="15" outlineLevel="2">
      <c r="A1517" s="116"/>
      <c r="B1517" s="12" t="str">
        <f>IFERROR(VLOOKUP(D1517,'[1]Перечень товаров'!$A$2:$I9525,2,0),"")</f>
        <v/>
      </c>
      <c r="C1517" s="12" t="str">
        <f>IFERROR(VLOOKUP(D1517,'[1]Перечень товаров'!$A$2:$I9525,3,0),"")</f>
        <v/>
      </c>
      <c r="D1517" s="117" t="s">
        <v>391</v>
      </c>
      <c r="E1517" s="118"/>
      <c r="F1517" s="118"/>
      <c r="G1517" s="119"/>
      <c r="H1517" s="119"/>
      <c r="I1517" s="120"/>
      <c r="J1517" s="120"/>
      <c r="K1517" s="19"/>
      <c r="L1517" s="20"/>
    </row>
    <row r="1518" spans="1:12" ht="47.25" outlineLevel="2">
      <c r="A1518" s="28"/>
      <c r="B1518" s="12" t="str">
        <f>IFERROR(VLOOKUP(D1518,'[1]Перечень товаров'!$A$2:$I9525,2,0),"")</f>
        <v>м180</v>
      </c>
      <c r="C1518" s="12" t="str">
        <f>IFERROR(VLOOKUP(D1518,'[1]Перечень товаров'!$A$2:$I9525,3,0),"")</f>
        <v>Мебель</v>
      </c>
      <c r="D1518" s="29" t="s">
        <v>580</v>
      </c>
      <c r="E1518" s="30"/>
      <c r="F1518" s="30"/>
      <c r="G1518" s="59">
        <v>2</v>
      </c>
      <c r="H1518" s="59"/>
      <c r="I1518" s="60"/>
      <c r="J1518" s="60"/>
      <c r="K1518" s="19"/>
      <c r="L1518" s="20"/>
    </row>
    <row r="1519" spans="1:12" outlineLevel="2">
      <c r="A1519" s="28"/>
      <c r="B1519" s="12" t="str">
        <f>IFERROR(VLOOKUP(D1519,'[1]Перечень товаров'!$A$2:$I9525,2,0),"")</f>
        <v>м181</v>
      </c>
      <c r="C1519" s="12" t="str">
        <f>IFERROR(VLOOKUP(D1519,'[1]Перечень товаров'!$A$2:$I9525,3,0),"")</f>
        <v>Мебель</v>
      </c>
      <c r="D1519" s="29" t="s">
        <v>581</v>
      </c>
      <c r="E1519" s="30"/>
      <c r="F1519" s="30"/>
      <c r="G1519" s="59">
        <v>2</v>
      </c>
      <c r="H1519" s="59"/>
      <c r="I1519" s="60"/>
      <c r="J1519" s="60"/>
      <c r="K1519" s="19"/>
      <c r="L1519" s="20"/>
    </row>
    <row r="1520" spans="1:12" ht="31.5" outlineLevel="2">
      <c r="A1520" s="28"/>
      <c r="B1520" s="12" t="str">
        <f>IFERROR(VLOOKUP(D1520,'[1]Перечень товаров'!$A$2:$I9525,2,0),"")</f>
        <v>тм258</v>
      </c>
      <c r="C1520" s="12" t="str">
        <f>IFERROR(VLOOKUP(D1520,'[1]Перечень товаров'!$A$2:$I9525,3,0),"")</f>
        <v>Техника муз</v>
      </c>
      <c r="D1520" s="29" t="s">
        <v>582</v>
      </c>
      <c r="E1520" s="30"/>
      <c r="F1520" s="30"/>
      <c r="G1520" s="59">
        <v>1</v>
      </c>
      <c r="H1520" s="59"/>
      <c r="I1520" s="60"/>
      <c r="J1520" s="60"/>
      <c r="K1520" s="19"/>
      <c r="L1520" s="20"/>
    </row>
    <row r="1521" spans="1:12" ht="31.5" outlineLevel="2">
      <c r="A1521" s="28"/>
      <c r="B1521" s="12" t="str">
        <f>IFERROR(VLOOKUP(D1521,'[1]Перечень товаров'!$A$2:$I9525,2,0),"")</f>
        <v>тм259</v>
      </c>
      <c r="C1521" s="12" t="str">
        <f>IFERROR(VLOOKUP(D1521,'[1]Перечень товаров'!$A$2:$I9525,3,0),"")</f>
        <v>Техника муз</v>
      </c>
      <c r="D1521" s="29" t="s">
        <v>583</v>
      </c>
      <c r="E1521" s="30"/>
      <c r="F1521" s="30"/>
      <c r="G1521" s="59">
        <v>1</v>
      </c>
      <c r="H1521" s="59"/>
      <c r="I1521" s="60"/>
      <c r="J1521" s="60"/>
      <c r="K1521" s="19"/>
      <c r="L1521" s="20"/>
    </row>
    <row r="1522" spans="1:12" ht="47.25" outlineLevel="2">
      <c r="A1522" s="28"/>
      <c r="B1522" s="12" t="str">
        <f>IFERROR(VLOOKUP(D1522,'[1]Перечень товаров'!$A$2:$I9525,2,0),"")</f>
        <v>п49</v>
      </c>
      <c r="C1522" s="12" t="str">
        <f>IFERROR(VLOOKUP(D1522,'[1]Перечень товаров'!$A$2:$I9525,3,0),"")</f>
        <v>Прочее</v>
      </c>
      <c r="D1522" s="29" t="s">
        <v>584</v>
      </c>
      <c r="E1522" s="30"/>
      <c r="F1522" s="30"/>
      <c r="G1522" s="59">
        <v>1</v>
      </c>
      <c r="H1522" s="59"/>
      <c r="I1522" s="60"/>
      <c r="J1522" s="60"/>
      <c r="K1522" s="19"/>
      <c r="L1522" s="20"/>
    </row>
    <row r="1523" spans="1:12" outlineLevel="2">
      <c r="A1523" s="28"/>
      <c r="B1523" s="12" t="str">
        <f>IFERROR(VLOOKUP(D1523,'[1]Перечень товаров'!$A$2:$I9525,2,0),"")</f>
        <v>п50</v>
      </c>
      <c r="C1523" s="12" t="str">
        <f>IFERROR(VLOOKUP(D1523,'[1]Перечень товаров'!$A$2:$I9525,3,0),"")</f>
        <v>Прочее</v>
      </c>
      <c r="D1523" s="29" t="s">
        <v>585</v>
      </c>
      <c r="E1523" s="30"/>
      <c r="F1523" s="30"/>
      <c r="G1523" s="59">
        <v>1</v>
      </c>
      <c r="H1523" s="59"/>
      <c r="I1523" s="60"/>
      <c r="J1523" s="60"/>
      <c r="K1523" s="19"/>
      <c r="L1523" s="20"/>
    </row>
    <row r="1524" spans="1:12" ht="12.75" outlineLevel="1">
      <c r="A1524" s="89"/>
      <c r="B1524" s="12" t="str">
        <f>IFERROR(VLOOKUP(D1524,'[1]Перечень товаров'!$A$2:$I9525,2,0),"")</f>
        <v/>
      </c>
      <c r="C1524" s="12" t="str">
        <f>IFERROR(VLOOKUP(D1524,'[1]Перечень товаров'!$A$2:$I9525,3,0),"")</f>
        <v/>
      </c>
      <c r="D1524" s="90" t="s">
        <v>586</v>
      </c>
      <c r="E1524" s="108">
        <v>46072</v>
      </c>
      <c r="F1524" s="108"/>
      <c r="G1524" s="100"/>
      <c r="H1524" s="100"/>
      <c r="I1524" s="101"/>
      <c r="J1524" s="101"/>
      <c r="K1524" s="19"/>
      <c r="L1524" s="20"/>
    </row>
    <row r="1525" spans="1:12" outlineLevel="2">
      <c r="A1525" s="113"/>
      <c r="B1525" s="12" t="str">
        <f>IFERROR(VLOOKUP(D1525,'[1]Перечень товаров'!$A$2:$I9525,2,0),"")</f>
        <v/>
      </c>
      <c r="C1525" s="12" t="str">
        <f>IFERROR(VLOOKUP(D1525,'[1]Перечень товаров'!$A$2:$I9525,3,0),"")</f>
        <v/>
      </c>
      <c r="D1525" s="114" t="s">
        <v>19</v>
      </c>
      <c r="E1525" s="115"/>
      <c r="F1525" s="115"/>
      <c r="G1525" s="59"/>
      <c r="H1525" s="59"/>
      <c r="I1525" s="60"/>
      <c r="J1525" s="60"/>
      <c r="K1525" s="19"/>
      <c r="L1525" s="20"/>
    </row>
    <row r="1526" spans="1:12" outlineLevel="2">
      <c r="A1526" s="34"/>
      <c r="B1526" s="12" t="str">
        <f>IFERROR(VLOOKUP(D1526,'[1]Перечень товаров'!$A$2:$I9525,2,0),"")</f>
        <v>м62</v>
      </c>
      <c r="C1526" s="12" t="str">
        <f>IFERROR(VLOOKUP(D1526,'[1]Перечень товаров'!$A$2:$I9525,3,0),"")</f>
        <v>Мебель</v>
      </c>
      <c r="D1526" s="35" t="s">
        <v>398</v>
      </c>
      <c r="E1526" s="88"/>
      <c r="F1526" s="88"/>
      <c r="G1526" s="59">
        <v>1</v>
      </c>
      <c r="H1526" s="59"/>
      <c r="I1526" s="60"/>
      <c r="J1526" s="60"/>
      <c r="K1526" s="19"/>
      <c r="L1526" s="20"/>
    </row>
    <row r="1527" spans="1:12" outlineLevel="2">
      <c r="A1527" s="34"/>
      <c r="B1527" s="12" t="str">
        <f>IFERROR(VLOOKUP(D1527,'[1]Перечень товаров'!$A$2:$I9525,2,0),"")</f>
        <v>м61</v>
      </c>
      <c r="C1527" s="12" t="str">
        <f>IFERROR(VLOOKUP(D1527,'[1]Перечень товаров'!$A$2:$I9525,3,0),"")</f>
        <v>Мебель</v>
      </c>
      <c r="D1527" s="35" t="s">
        <v>383</v>
      </c>
      <c r="E1527" s="88"/>
      <c r="F1527" s="88"/>
      <c r="G1527" s="59">
        <v>1</v>
      </c>
      <c r="H1527" s="59"/>
      <c r="I1527" s="60"/>
      <c r="J1527" s="60"/>
      <c r="K1527" s="19"/>
      <c r="L1527" s="20"/>
    </row>
    <row r="1528" spans="1:12" outlineLevel="2">
      <c r="A1528" s="34"/>
      <c r="B1528" s="12" t="str">
        <f>IFERROR(VLOOKUP(D1528,'[1]Перечень товаров'!$A$2:$I9525,2,0),"")</f>
        <v>м179</v>
      </c>
      <c r="C1528" s="12" t="str">
        <f>IFERROR(VLOOKUP(D1528,'[1]Перечень товаров'!$A$2:$I9525,3,0),"")</f>
        <v>Мебель</v>
      </c>
      <c r="D1528" s="35" t="s">
        <v>579</v>
      </c>
      <c r="E1528" s="88"/>
      <c r="F1528" s="88"/>
      <c r="G1528" s="59">
        <v>10</v>
      </c>
      <c r="H1528" s="59"/>
      <c r="I1528" s="60"/>
      <c r="J1528" s="60"/>
      <c r="K1528" s="19"/>
      <c r="L1528" s="20"/>
    </row>
    <row r="1529" spans="1:12" outlineLevel="2">
      <c r="A1529" s="34"/>
      <c r="B1529" s="12" t="str">
        <f>IFERROR(VLOOKUP(D1529,'[1]Перечень товаров'!$A$2:$I9525,2,0),"")</f>
        <v>м61</v>
      </c>
      <c r="C1529" s="12" t="str">
        <f>IFERROR(VLOOKUP(D1529,'[1]Перечень товаров'!$A$2:$I9525,3,0),"")</f>
        <v>Мебель</v>
      </c>
      <c r="D1529" s="35" t="s">
        <v>384</v>
      </c>
      <c r="E1529" s="88"/>
      <c r="F1529" s="88"/>
      <c r="G1529" s="59">
        <v>20</v>
      </c>
      <c r="H1529" s="59"/>
      <c r="I1529" s="60"/>
      <c r="J1529" s="60"/>
      <c r="K1529" s="19"/>
      <c r="L1529" s="20"/>
    </row>
    <row r="1530" spans="1:12" outlineLevel="2">
      <c r="A1530" s="21"/>
      <c r="B1530" s="12" t="str">
        <f>IFERROR(VLOOKUP(D1530,'[1]Перечень товаров'!$A$2:$I9525,2,0),"")</f>
        <v>м13</v>
      </c>
      <c r="C1530" s="12" t="str">
        <f>IFERROR(VLOOKUP(D1530,'[1]Перечень товаров'!$A$2:$I9525,3,0),"")</f>
        <v>Мебель</v>
      </c>
      <c r="D1530" s="22" t="s">
        <v>42</v>
      </c>
      <c r="E1530" s="58"/>
      <c r="F1530" s="58"/>
      <c r="G1530" s="24">
        <v>1</v>
      </c>
      <c r="H1530" s="24"/>
      <c r="I1530" s="25"/>
      <c r="J1530" s="25"/>
      <c r="K1530" s="19"/>
      <c r="L1530" s="20"/>
    </row>
    <row r="1531" spans="1:12" outlineLevel="2">
      <c r="A1531" s="21"/>
      <c r="B1531" s="12" t="str">
        <f>IFERROR(VLOOKUP(D1531,'[1]Перечень товаров'!$A$2:$I9525,2,0),"")</f>
        <v>м14</v>
      </c>
      <c r="C1531" s="12" t="str">
        <f>IFERROR(VLOOKUP(D1531,'[1]Перечень товаров'!$A$2:$I9525,3,0),"")</f>
        <v>Мебель</v>
      </c>
      <c r="D1531" s="22" t="s">
        <v>43</v>
      </c>
      <c r="E1531" s="58"/>
      <c r="F1531" s="58"/>
      <c r="G1531" s="24">
        <v>1</v>
      </c>
      <c r="H1531" s="24"/>
      <c r="I1531" s="25"/>
      <c r="J1531" s="25"/>
      <c r="K1531" s="19"/>
      <c r="L1531" s="20"/>
    </row>
    <row r="1532" spans="1:12" ht="31.5" outlineLevel="2">
      <c r="A1532" s="155"/>
      <c r="B1532" s="12" t="str">
        <f>IFERROR(VLOOKUP(D1532,'[1]Перечень товаров'!$A$2:$I9525,2,0),"")</f>
        <v>м21</v>
      </c>
      <c r="C1532" s="12" t="str">
        <f>IFERROR(VLOOKUP(D1532,'[1]Перечень товаров'!$A$2:$I9525,3,0),"")</f>
        <v>Мебель</v>
      </c>
      <c r="D1532" s="156" t="s">
        <v>58</v>
      </c>
      <c r="E1532" s="58"/>
      <c r="F1532" s="58"/>
      <c r="G1532" s="24">
        <v>1</v>
      </c>
      <c r="H1532" s="24"/>
      <c r="I1532" s="25"/>
      <c r="J1532" s="25"/>
      <c r="K1532" s="19"/>
      <c r="L1532" s="20"/>
    </row>
    <row r="1533" spans="1:12" ht="15" outlineLevel="2">
      <c r="A1533" s="116"/>
      <c r="B1533" s="12" t="str">
        <f>IFERROR(VLOOKUP(D1533,'[1]Перечень товаров'!$A$2:$I9525,2,0),"")</f>
        <v/>
      </c>
      <c r="C1533" s="12" t="str">
        <f>IFERROR(VLOOKUP(D1533,'[1]Перечень товаров'!$A$2:$I9525,3,0),"")</f>
        <v/>
      </c>
      <c r="D1533" s="117" t="s">
        <v>391</v>
      </c>
      <c r="E1533" s="118"/>
      <c r="F1533" s="118"/>
      <c r="G1533" s="119"/>
      <c r="H1533" s="119"/>
      <c r="I1533" s="120"/>
      <c r="J1533" s="120"/>
      <c r="K1533" s="19"/>
      <c r="L1533" s="20"/>
    </row>
    <row r="1534" spans="1:12" ht="47.25" outlineLevel="2">
      <c r="A1534" s="28"/>
      <c r="B1534" s="12" t="str">
        <f>IFERROR(VLOOKUP(D1534,'[1]Перечень товаров'!$A$2:$I9525,2,0),"")</f>
        <v>м180</v>
      </c>
      <c r="C1534" s="12" t="str">
        <f>IFERROR(VLOOKUP(D1534,'[1]Перечень товаров'!$A$2:$I9525,3,0),"")</f>
        <v>Мебель</v>
      </c>
      <c r="D1534" s="29" t="s">
        <v>580</v>
      </c>
      <c r="E1534" s="30"/>
      <c r="F1534" s="30"/>
      <c r="G1534" s="59">
        <v>2</v>
      </c>
      <c r="H1534" s="59"/>
      <c r="I1534" s="60"/>
      <c r="J1534" s="60"/>
      <c r="K1534" s="19"/>
      <c r="L1534" s="20"/>
    </row>
    <row r="1535" spans="1:12" outlineLevel="2">
      <c r="A1535" s="28"/>
      <c r="B1535" s="12" t="str">
        <f>IFERROR(VLOOKUP(D1535,'[1]Перечень товаров'!$A$2:$I9525,2,0),"")</f>
        <v>м181</v>
      </c>
      <c r="C1535" s="12" t="str">
        <f>IFERROR(VLOOKUP(D1535,'[1]Перечень товаров'!$A$2:$I9525,3,0),"")</f>
        <v>Мебель</v>
      </c>
      <c r="D1535" s="29" t="s">
        <v>581</v>
      </c>
      <c r="E1535" s="30"/>
      <c r="F1535" s="30"/>
      <c r="G1535" s="59">
        <v>2</v>
      </c>
      <c r="H1535" s="59"/>
      <c r="I1535" s="60"/>
      <c r="J1535" s="60"/>
      <c r="K1535" s="19"/>
      <c r="L1535" s="20"/>
    </row>
    <row r="1536" spans="1:12" ht="31.5" outlineLevel="2">
      <c r="A1536" s="28"/>
      <c r="B1536" s="12" t="str">
        <f>IFERROR(VLOOKUP(D1536,'[1]Перечень товаров'!$A$2:$I9525,2,0),"")</f>
        <v>тм258</v>
      </c>
      <c r="C1536" s="12" t="str">
        <f>IFERROR(VLOOKUP(D1536,'[1]Перечень товаров'!$A$2:$I9525,3,0),"")</f>
        <v>Техника муз</v>
      </c>
      <c r="D1536" s="29" t="s">
        <v>582</v>
      </c>
      <c r="E1536" s="30"/>
      <c r="F1536" s="30"/>
      <c r="G1536" s="59">
        <v>1</v>
      </c>
      <c r="H1536" s="59"/>
      <c r="I1536" s="60"/>
      <c r="J1536" s="60"/>
      <c r="K1536" s="19"/>
      <c r="L1536" s="20"/>
    </row>
    <row r="1537" spans="1:12" ht="31.5" outlineLevel="2">
      <c r="A1537" s="28"/>
      <c r="B1537" s="12" t="str">
        <f>IFERROR(VLOOKUP(D1537,'[1]Перечень товаров'!$A$2:$I9525,2,0),"")</f>
        <v>тм259</v>
      </c>
      <c r="C1537" s="12" t="str">
        <f>IFERROR(VLOOKUP(D1537,'[1]Перечень товаров'!$A$2:$I9525,3,0),"")</f>
        <v>Техника муз</v>
      </c>
      <c r="D1537" s="29" t="s">
        <v>583</v>
      </c>
      <c r="E1537" s="30"/>
      <c r="F1537" s="30"/>
      <c r="G1537" s="59">
        <v>1</v>
      </c>
      <c r="H1537" s="59"/>
      <c r="I1537" s="60"/>
      <c r="J1537" s="60"/>
      <c r="K1537" s="19"/>
      <c r="L1537" s="20"/>
    </row>
    <row r="1538" spans="1:12" ht="47.25" outlineLevel="2">
      <c r="A1538" s="28"/>
      <c r="B1538" s="12" t="str">
        <f>IFERROR(VLOOKUP(D1538,'[1]Перечень товаров'!$A$2:$I9525,2,0),"")</f>
        <v>п49</v>
      </c>
      <c r="C1538" s="12" t="str">
        <f>IFERROR(VLOOKUP(D1538,'[1]Перечень товаров'!$A$2:$I9525,3,0),"")</f>
        <v>Прочее</v>
      </c>
      <c r="D1538" s="29" t="s">
        <v>584</v>
      </c>
      <c r="E1538" s="30"/>
      <c r="F1538" s="30"/>
      <c r="G1538" s="59">
        <v>1</v>
      </c>
      <c r="H1538" s="59"/>
      <c r="I1538" s="60"/>
      <c r="J1538" s="60"/>
      <c r="K1538" s="19"/>
      <c r="L1538" s="20"/>
    </row>
    <row r="1539" spans="1:12" outlineLevel="2">
      <c r="A1539" s="28"/>
      <c r="B1539" s="12" t="str">
        <f>IFERROR(VLOOKUP(D1539,'[1]Перечень товаров'!$A$2:$I9525,2,0),"")</f>
        <v>п50</v>
      </c>
      <c r="C1539" s="12" t="str">
        <f>IFERROR(VLOOKUP(D1539,'[1]Перечень товаров'!$A$2:$I9525,3,0),"")</f>
        <v>Прочее</v>
      </c>
      <c r="D1539" s="29" t="s">
        <v>585</v>
      </c>
      <c r="E1539" s="30"/>
      <c r="F1539" s="30"/>
      <c r="G1539" s="59">
        <v>1</v>
      </c>
      <c r="H1539" s="59"/>
      <c r="I1539" s="60"/>
      <c r="J1539" s="60"/>
      <c r="K1539" s="19"/>
      <c r="L1539" s="20"/>
    </row>
    <row r="1540" spans="1:12" ht="12.75" outlineLevel="1">
      <c r="A1540" s="89"/>
      <c r="B1540" s="12" t="str">
        <f>IFERROR(VLOOKUP(D1540,'[1]Перечень товаров'!$A$2:$I9525,2,0),"")</f>
        <v/>
      </c>
      <c r="C1540" s="12" t="str">
        <f>IFERROR(VLOOKUP(D1540,'[1]Перечень товаров'!$A$2:$I9525,3,0),"")</f>
        <v/>
      </c>
      <c r="D1540" s="90" t="s">
        <v>586</v>
      </c>
      <c r="E1540" s="108">
        <v>46192</v>
      </c>
      <c r="F1540" s="108"/>
      <c r="G1540" s="100"/>
      <c r="H1540" s="100"/>
      <c r="I1540" s="101"/>
      <c r="J1540" s="101"/>
      <c r="K1540" s="19"/>
      <c r="L1540" s="20"/>
    </row>
    <row r="1541" spans="1:12" outlineLevel="2">
      <c r="A1541" s="113"/>
      <c r="B1541" s="12" t="str">
        <f>IFERROR(VLOOKUP(D1541,'[1]Перечень товаров'!$A$2:$I9525,2,0),"")</f>
        <v/>
      </c>
      <c r="C1541" s="12" t="str">
        <f>IFERROR(VLOOKUP(D1541,'[1]Перечень товаров'!$A$2:$I9525,3,0),"")</f>
        <v/>
      </c>
      <c r="D1541" s="114" t="s">
        <v>19</v>
      </c>
      <c r="E1541" s="115"/>
      <c r="F1541" s="115"/>
      <c r="G1541" s="157"/>
      <c r="H1541" s="157"/>
      <c r="I1541" s="158"/>
      <c r="J1541" s="158"/>
      <c r="K1541" s="19"/>
      <c r="L1541" s="20"/>
    </row>
    <row r="1542" spans="1:12" outlineLevel="2">
      <c r="A1542" s="34"/>
      <c r="B1542" s="12" t="str">
        <f>IFERROR(VLOOKUP(D1542,'[1]Перечень товаров'!$A$2:$I9525,2,0),"")</f>
        <v>м62</v>
      </c>
      <c r="C1542" s="12" t="str">
        <f>IFERROR(VLOOKUP(D1542,'[1]Перечень товаров'!$A$2:$I9525,3,0),"")</f>
        <v>Мебель</v>
      </c>
      <c r="D1542" s="35" t="s">
        <v>398</v>
      </c>
      <c r="E1542" s="88"/>
      <c r="F1542" s="88"/>
      <c r="G1542" s="159">
        <v>1</v>
      </c>
      <c r="H1542" s="159"/>
      <c r="I1542" s="160"/>
      <c r="J1542" s="160"/>
      <c r="K1542" s="19"/>
      <c r="L1542" s="20"/>
    </row>
    <row r="1543" spans="1:12" outlineLevel="2">
      <c r="A1543" s="35"/>
      <c r="B1543" s="12" t="str">
        <f>IFERROR(VLOOKUP(D1543,'[1]Перечень товаров'!$A$2:$I9525,2,0),"")</f>
        <v>м61</v>
      </c>
      <c r="C1543" s="12" t="str">
        <f>IFERROR(VLOOKUP(D1543,'[1]Перечень товаров'!$A$2:$I9525,3,0),"")</f>
        <v>Мебель</v>
      </c>
      <c r="D1543" s="35" t="s">
        <v>383</v>
      </c>
      <c r="E1543" s="88"/>
      <c r="F1543" s="88"/>
      <c r="G1543" s="159">
        <v>1</v>
      </c>
      <c r="H1543" s="159"/>
      <c r="I1543" s="160"/>
      <c r="J1543" s="160"/>
      <c r="K1543" s="19"/>
      <c r="L1543" s="20"/>
    </row>
    <row r="1544" spans="1:12" outlineLevel="2">
      <c r="A1544" s="35"/>
      <c r="B1544" s="12" t="str">
        <f>IFERROR(VLOOKUP(D1544,'[1]Перечень товаров'!$A$2:$I9525,2,0),"")</f>
        <v>м179</v>
      </c>
      <c r="C1544" s="12" t="str">
        <f>IFERROR(VLOOKUP(D1544,'[1]Перечень товаров'!$A$2:$I9525,3,0),"")</f>
        <v>Мебель</v>
      </c>
      <c r="D1544" s="35" t="s">
        <v>579</v>
      </c>
      <c r="E1544" s="88"/>
      <c r="F1544" s="88"/>
      <c r="G1544" s="159">
        <v>10</v>
      </c>
      <c r="H1544" s="159"/>
      <c r="I1544" s="160"/>
      <c r="J1544" s="160"/>
      <c r="K1544" s="19"/>
      <c r="L1544" s="20"/>
    </row>
    <row r="1545" spans="1:12" outlineLevel="2">
      <c r="A1545" s="35"/>
      <c r="B1545" s="12" t="str">
        <f>IFERROR(VLOOKUP(D1545,'[1]Перечень товаров'!$A$2:$I9525,2,0),"")</f>
        <v>м61</v>
      </c>
      <c r="C1545" s="12" t="str">
        <f>IFERROR(VLOOKUP(D1545,'[1]Перечень товаров'!$A$2:$I9525,3,0),"")</f>
        <v>Мебель</v>
      </c>
      <c r="D1545" s="35" t="s">
        <v>384</v>
      </c>
      <c r="E1545" s="88"/>
      <c r="F1545" s="88"/>
      <c r="G1545" s="159">
        <v>20</v>
      </c>
      <c r="H1545" s="159"/>
      <c r="I1545" s="160"/>
      <c r="J1545" s="160"/>
      <c r="K1545" s="19"/>
      <c r="L1545" s="20"/>
    </row>
    <row r="1546" spans="1:12" outlineLevel="2">
      <c r="A1546" s="22"/>
      <c r="B1546" s="12" t="str">
        <f>IFERROR(VLOOKUP(D1546,'[1]Перечень товаров'!$A$2:$I9525,2,0),"")</f>
        <v>м13</v>
      </c>
      <c r="C1546" s="12" t="str">
        <f>IFERROR(VLOOKUP(D1546,'[1]Перечень товаров'!$A$2:$I9525,3,0),"")</f>
        <v>Мебель</v>
      </c>
      <c r="D1546" s="22" t="s">
        <v>42</v>
      </c>
      <c r="E1546" s="88"/>
      <c r="F1546" s="88"/>
      <c r="G1546" s="48">
        <v>1</v>
      </c>
      <c r="H1546" s="48"/>
      <c r="I1546" s="49"/>
      <c r="J1546" s="49"/>
      <c r="K1546" s="19"/>
      <c r="L1546" s="20"/>
    </row>
    <row r="1547" spans="1:12" outlineLevel="2">
      <c r="A1547" s="21"/>
      <c r="B1547" s="12" t="str">
        <f>IFERROR(VLOOKUP(D1547,'[1]Перечень товаров'!$A$2:$I9525,2,0),"")</f>
        <v>м14</v>
      </c>
      <c r="C1547" s="12" t="str">
        <f>IFERROR(VLOOKUP(D1547,'[1]Перечень товаров'!$A$2:$I9525,3,0),"")</f>
        <v>Мебель</v>
      </c>
      <c r="D1547" s="22" t="s">
        <v>43</v>
      </c>
      <c r="E1547" s="88"/>
      <c r="F1547" s="88"/>
      <c r="G1547" s="48">
        <v>1</v>
      </c>
      <c r="H1547" s="48"/>
      <c r="I1547" s="49"/>
      <c r="J1547" s="49"/>
      <c r="K1547" s="19"/>
      <c r="L1547" s="20"/>
    </row>
    <row r="1548" spans="1:12" ht="31.5" outlineLevel="2">
      <c r="A1548" s="21"/>
      <c r="B1548" s="12" t="str">
        <f>IFERROR(VLOOKUP(D1548,'[1]Перечень товаров'!$A$2:$I9525,2,0),"")</f>
        <v>м21</v>
      </c>
      <c r="C1548" s="12" t="str">
        <f>IFERROR(VLOOKUP(D1548,'[1]Перечень товаров'!$A$2:$I9525,3,0),"")</f>
        <v>Мебель</v>
      </c>
      <c r="D1548" s="22" t="s">
        <v>58</v>
      </c>
      <c r="E1548" s="88"/>
      <c r="F1548" s="88"/>
      <c r="G1548" s="48">
        <v>1</v>
      </c>
      <c r="H1548" s="48"/>
      <c r="I1548" s="49"/>
      <c r="J1548" s="49"/>
      <c r="K1548" s="19"/>
      <c r="L1548" s="20"/>
    </row>
    <row r="1549" spans="1:12" outlineLevel="2">
      <c r="A1549" s="114"/>
      <c r="B1549" s="12" t="str">
        <f>IFERROR(VLOOKUP(D1549,'[1]Перечень товаров'!$A$2:$I9525,2,0),"")</f>
        <v/>
      </c>
      <c r="C1549" s="12" t="str">
        <f>IFERROR(VLOOKUP(D1549,'[1]Перечень товаров'!$A$2:$I9525,3,0),"")</f>
        <v/>
      </c>
      <c r="D1549" s="114" t="s">
        <v>391</v>
      </c>
      <c r="E1549" s="161"/>
      <c r="F1549" s="161"/>
      <c r="G1549" s="162"/>
      <c r="H1549" s="162"/>
      <c r="I1549" s="163"/>
      <c r="J1549" s="163"/>
      <c r="K1549" s="19"/>
      <c r="L1549" s="20"/>
    </row>
    <row r="1550" spans="1:12" ht="47.25" outlineLevel="2">
      <c r="A1550" s="34"/>
      <c r="B1550" s="12" t="str">
        <f>IFERROR(VLOOKUP(D1550,'[1]Перечень товаров'!$A$2:$I9525,2,0),"")</f>
        <v>м180</v>
      </c>
      <c r="C1550" s="12" t="str">
        <f>IFERROR(VLOOKUP(D1550,'[1]Перечень товаров'!$A$2:$I9525,3,0),"")</f>
        <v>Мебель</v>
      </c>
      <c r="D1550" s="35" t="s">
        <v>580</v>
      </c>
      <c r="E1550" s="88"/>
      <c r="F1550" s="88"/>
      <c r="G1550" s="159">
        <v>2</v>
      </c>
      <c r="H1550" s="159"/>
      <c r="I1550" s="160"/>
      <c r="J1550" s="160"/>
      <c r="K1550" s="19"/>
      <c r="L1550" s="20"/>
    </row>
    <row r="1551" spans="1:12" outlineLevel="2">
      <c r="A1551" s="34"/>
      <c r="B1551" s="12" t="str">
        <f>IFERROR(VLOOKUP(D1551,'[1]Перечень товаров'!$A$2:$I9525,2,0),"")</f>
        <v>м181</v>
      </c>
      <c r="C1551" s="12" t="str">
        <f>IFERROR(VLOOKUP(D1551,'[1]Перечень товаров'!$A$2:$I9525,3,0),"")</f>
        <v>Мебель</v>
      </c>
      <c r="D1551" s="35" t="s">
        <v>581</v>
      </c>
      <c r="E1551" s="88"/>
      <c r="F1551" s="88"/>
      <c r="G1551" s="59">
        <v>2</v>
      </c>
      <c r="H1551" s="59"/>
      <c r="I1551" s="60"/>
      <c r="J1551" s="60"/>
      <c r="K1551" s="19"/>
      <c r="L1551" s="20"/>
    </row>
    <row r="1552" spans="1:12" ht="31.5" outlineLevel="2">
      <c r="A1552" s="34"/>
      <c r="B1552" s="12" t="str">
        <f>IFERROR(VLOOKUP(D1552,'[1]Перечень товаров'!$A$2:$I9525,2,0),"")</f>
        <v>тм258</v>
      </c>
      <c r="C1552" s="12" t="str">
        <f>IFERROR(VLOOKUP(D1552,'[1]Перечень товаров'!$A$2:$I9525,3,0),"")</f>
        <v>Техника муз</v>
      </c>
      <c r="D1552" s="35" t="s">
        <v>582</v>
      </c>
      <c r="E1552" s="88"/>
      <c r="F1552" s="88"/>
      <c r="G1552" s="59">
        <v>1</v>
      </c>
      <c r="H1552" s="59"/>
      <c r="I1552" s="60"/>
      <c r="J1552" s="60"/>
      <c r="K1552" s="19"/>
      <c r="L1552" s="20"/>
    </row>
    <row r="1553" spans="1:12" ht="31.5" outlineLevel="2">
      <c r="A1553" s="34"/>
      <c r="B1553" s="12" t="str">
        <f>IFERROR(VLOOKUP(D1553,'[1]Перечень товаров'!$A$2:$I9525,2,0),"")</f>
        <v>тм259</v>
      </c>
      <c r="C1553" s="12" t="str">
        <f>IFERROR(VLOOKUP(D1553,'[1]Перечень товаров'!$A$2:$I9525,3,0),"")</f>
        <v>Техника муз</v>
      </c>
      <c r="D1553" s="35" t="s">
        <v>583</v>
      </c>
      <c r="E1553" s="88"/>
      <c r="F1553" s="88"/>
      <c r="G1553" s="59">
        <v>1</v>
      </c>
      <c r="H1553" s="59"/>
      <c r="I1553" s="60"/>
      <c r="J1553" s="60"/>
      <c r="K1553" s="19"/>
      <c r="L1553" s="20"/>
    </row>
    <row r="1554" spans="1:12" ht="47.25" outlineLevel="2">
      <c r="A1554" s="34"/>
      <c r="B1554" s="12" t="str">
        <f>IFERROR(VLOOKUP(D1554,'[1]Перечень товаров'!$A$2:$I9525,2,0),"")</f>
        <v>п49</v>
      </c>
      <c r="C1554" s="12" t="str">
        <f>IFERROR(VLOOKUP(D1554,'[1]Перечень товаров'!$A$2:$I9525,3,0),"")</f>
        <v>Прочее</v>
      </c>
      <c r="D1554" s="35" t="s">
        <v>584</v>
      </c>
      <c r="E1554" s="88"/>
      <c r="F1554" s="88"/>
      <c r="G1554" s="59">
        <v>1</v>
      </c>
      <c r="H1554" s="59"/>
      <c r="I1554" s="60"/>
      <c r="J1554" s="60"/>
      <c r="K1554" s="19"/>
      <c r="L1554" s="20"/>
    </row>
    <row r="1555" spans="1:12" outlineLevel="2">
      <c r="A1555" s="34"/>
      <c r="B1555" s="12" t="str">
        <f>IFERROR(VLOOKUP(D1555,'[1]Перечень товаров'!$A$2:$I9525,2,0),"")</f>
        <v>п50</v>
      </c>
      <c r="C1555" s="12" t="str">
        <f>IFERROR(VLOOKUP(D1555,'[1]Перечень товаров'!$A$2:$I9525,3,0),"")</f>
        <v>Прочее</v>
      </c>
      <c r="D1555" s="35" t="s">
        <v>585</v>
      </c>
      <c r="E1555" s="88"/>
      <c r="F1555" s="88"/>
      <c r="G1555" s="59">
        <v>1</v>
      </c>
      <c r="H1555" s="59"/>
      <c r="I1555" s="60"/>
      <c r="J1555" s="60"/>
      <c r="K1555" s="19"/>
      <c r="L1555" s="20"/>
    </row>
    <row r="1556" spans="1:12" ht="12.75" outlineLevel="1">
      <c r="A1556" s="89"/>
      <c r="B1556" s="12" t="str">
        <f>IFERROR(VLOOKUP(D1556,'[1]Перечень товаров'!$A$2:$I9525,2,0),"")</f>
        <v/>
      </c>
      <c r="C1556" s="12" t="str">
        <f>IFERROR(VLOOKUP(D1556,'[1]Перечень товаров'!$A$2:$I9525,3,0),"")</f>
        <v/>
      </c>
      <c r="D1556" s="90" t="s">
        <v>586</v>
      </c>
      <c r="E1556" s="108">
        <v>46222</v>
      </c>
      <c r="F1556" s="108"/>
      <c r="G1556" s="100"/>
      <c r="H1556" s="100"/>
      <c r="I1556" s="101"/>
      <c r="J1556" s="101"/>
      <c r="K1556" s="19"/>
      <c r="L1556" s="20"/>
    </row>
    <row r="1557" spans="1:12" outlineLevel="2">
      <c r="A1557" s="113"/>
      <c r="B1557" s="12" t="str">
        <f>IFERROR(VLOOKUP(D1557,'[1]Перечень товаров'!$A$2:$I9525,2,0),"")</f>
        <v/>
      </c>
      <c r="C1557" s="12" t="str">
        <f>IFERROR(VLOOKUP(D1557,'[1]Перечень товаров'!$A$2:$I9525,3,0),"")</f>
        <v/>
      </c>
      <c r="D1557" s="114" t="s">
        <v>19</v>
      </c>
      <c r="E1557" s="115"/>
      <c r="F1557" s="115"/>
      <c r="G1557" s="157"/>
      <c r="H1557" s="157"/>
      <c r="I1557" s="158"/>
      <c r="J1557" s="158"/>
      <c r="K1557" s="19"/>
      <c r="L1557" s="20"/>
    </row>
    <row r="1558" spans="1:12" outlineLevel="2">
      <c r="A1558" s="34"/>
      <c r="B1558" s="12" t="str">
        <f>IFERROR(VLOOKUP(D1558,'[1]Перечень товаров'!$A$2:$I9525,2,0),"")</f>
        <v>м62</v>
      </c>
      <c r="C1558" s="12" t="str">
        <f>IFERROR(VLOOKUP(D1558,'[1]Перечень товаров'!$A$2:$I9525,3,0),"")</f>
        <v>Мебель</v>
      </c>
      <c r="D1558" s="35" t="s">
        <v>398</v>
      </c>
      <c r="E1558" s="88"/>
      <c r="F1558" s="88"/>
      <c r="G1558" s="159">
        <v>1</v>
      </c>
      <c r="H1558" s="159"/>
      <c r="I1558" s="160"/>
      <c r="J1558" s="160"/>
      <c r="K1558" s="19"/>
      <c r="L1558" s="20"/>
    </row>
    <row r="1559" spans="1:12" outlineLevel="2">
      <c r="A1559" s="35"/>
      <c r="B1559" s="12" t="str">
        <f>IFERROR(VLOOKUP(D1559,'[1]Перечень товаров'!$A$2:$I9525,2,0),"")</f>
        <v>м61</v>
      </c>
      <c r="C1559" s="12" t="str">
        <f>IFERROR(VLOOKUP(D1559,'[1]Перечень товаров'!$A$2:$I9525,3,0),"")</f>
        <v>Мебель</v>
      </c>
      <c r="D1559" s="35" t="s">
        <v>383</v>
      </c>
      <c r="E1559" s="88"/>
      <c r="F1559" s="88"/>
      <c r="G1559" s="159">
        <v>1</v>
      </c>
      <c r="H1559" s="159"/>
      <c r="I1559" s="160"/>
      <c r="J1559" s="160"/>
      <c r="K1559" s="19"/>
      <c r="L1559" s="20"/>
    </row>
    <row r="1560" spans="1:12" outlineLevel="2">
      <c r="A1560" s="35"/>
      <c r="B1560" s="12" t="str">
        <f>IFERROR(VLOOKUP(D1560,'[1]Перечень товаров'!$A$2:$I9525,2,0),"")</f>
        <v>м179</v>
      </c>
      <c r="C1560" s="12" t="str">
        <f>IFERROR(VLOOKUP(D1560,'[1]Перечень товаров'!$A$2:$I9525,3,0),"")</f>
        <v>Мебель</v>
      </c>
      <c r="D1560" s="35" t="s">
        <v>579</v>
      </c>
      <c r="E1560" s="88"/>
      <c r="F1560" s="88"/>
      <c r="G1560" s="159">
        <v>10</v>
      </c>
      <c r="H1560" s="159"/>
      <c r="I1560" s="160"/>
      <c r="J1560" s="160"/>
      <c r="K1560" s="19"/>
      <c r="L1560" s="20"/>
    </row>
    <row r="1561" spans="1:12" outlineLevel="2">
      <c r="A1561" s="35"/>
      <c r="B1561" s="12" t="str">
        <f>IFERROR(VLOOKUP(D1561,'[1]Перечень товаров'!$A$2:$I9525,2,0),"")</f>
        <v>м61</v>
      </c>
      <c r="C1561" s="12" t="str">
        <f>IFERROR(VLOOKUP(D1561,'[1]Перечень товаров'!$A$2:$I9525,3,0),"")</f>
        <v>Мебель</v>
      </c>
      <c r="D1561" s="35" t="s">
        <v>384</v>
      </c>
      <c r="E1561" s="88"/>
      <c r="F1561" s="88"/>
      <c r="G1561" s="159">
        <v>20</v>
      </c>
      <c r="H1561" s="159"/>
      <c r="I1561" s="160"/>
      <c r="J1561" s="160"/>
      <c r="K1561" s="19"/>
      <c r="L1561" s="20"/>
    </row>
    <row r="1562" spans="1:12" outlineLevel="2">
      <c r="A1562" s="22"/>
      <c r="B1562" s="12" t="str">
        <f>IFERROR(VLOOKUP(D1562,'[1]Перечень товаров'!$A$2:$I9525,2,0),"")</f>
        <v>м13</v>
      </c>
      <c r="C1562" s="12" t="str">
        <f>IFERROR(VLOOKUP(D1562,'[1]Перечень товаров'!$A$2:$I9525,3,0),"")</f>
        <v>Мебель</v>
      </c>
      <c r="D1562" s="22" t="s">
        <v>42</v>
      </c>
      <c r="E1562" s="88"/>
      <c r="F1562" s="88"/>
      <c r="G1562" s="48">
        <v>1</v>
      </c>
      <c r="H1562" s="48"/>
      <c r="I1562" s="49"/>
      <c r="J1562" s="49"/>
      <c r="K1562" s="19"/>
      <c r="L1562" s="20"/>
    </row>
    <row r="1563" spans="1:12" outlineLevel="2">
      <c r="A1563" s="21"/>
      <c r="B1563" s="12" t="str">
        <f>IFERROR(VLOOKUP(D1563,'[1]Перечень товаров'!$A$2:$I9525,2,0),"")</f>
        <v>м14</v>
      </c>
      <c r="C1563" s="12" t="str">
        <f>IFERROR(VLOOKUP(D1563,'[1]Перечень товаров'!$A$2:$I9525,3,0),"")</f>
        <v>Мебель</v>
      </c>
      <c r="D1563" s="22" t="s">
        <v>43</v>
      </c>
      <c r="E1563" s="88"/>
      <c r="F1563" s="88"/>
      <c r="G1563" s="48">
        <v>1</v>
      </c>
      <c r="H1563" s="48"/>
      <c r="I1563" s="49"/>
      <c r="J1563" s="49"/>
      <c r="K1563" s="19"/>
      <c r="L1563" s="20"/>
    </row>
    <row r="1564" spans="1:12" ht="31.5" outlineLevel="2">
      <c r="A1564" s="21"/>
      <c r="B1564" s="12" t="str">
        <f>IFERROR(VLOOKUP(D1564,'[1]Перечень товаров'!$A$2:$I9525,2,0),"")</f>
        <v>м21</v>
      </c>
      <c r="C1564" s="12" t="str">
        <f>IFERROR(VLOOKUP(D1564,'[1]Перечень товаров'!$A$2:$I9525,3,0),"")</f>
        <v>Мебель</v>
      </c>
      <c r="D1564" s="22" t="s">
        <v>58</v>
      </c>
      <c r="E1564" s="88"/>
      <c r="F1564" s="88"/>
      <c r="G1564" s="48">
        <v>1</v>
      </c>
      <c r="H1564" s="48"/>
      <c r="I1564" s="49"/>
      <c r="J1564" s="49"/>
      <c r="K1564" s="19"/>
      <c r="L1564" s="20"/>
    </row>
    <row r="1565" spans="1:12" outlineLevel="2">
      <c r="A1565" s="114"/>
      <c r="B1565" s="12" t="str">
        <f>IFERROR(VLOOKUP(D1565,'[1]Перечень товаров'!$A$2:$I9525,2,0),"")</f>
        <v/>
      </c>
      <c r="C1565" s="12" t="str">
        <f>IFERROR(VLOOKUP(D1565,'[1]Перечень товаров'!$A$2:$I9525,3,0),"")</f>
        <v/>
      </c>
      <c r="D1565" s="114" t="s">
        <v>391</v>
      </c>
      <c r="E1565" s="161"/>
      <c r="F1565" s="161"/>
      <c r="G1565" s="162"/>
      <c r="H1565" s="162"/>
      <c r="I1565" s="163"/>
      <c r="J1565" s="163"/>
      <c r="K1565" s="19"/>
      <c r="L1565" s="20"/>
    </row>
    <row r="1566" spans="1:12" ht="47.25" outlineLevel="2">
      <c r="A1566" s="34"/>
      <c r="B1566" s="12" t="str">
        <f>IFERROR(VLOOKUP(D1566,'[1]Перечень товаров'!$A$2:$I9525,2,0),"")</f>
        <v>м180</v>
      </c>
      <c r="C1566" s="12" t="str">
        <f>IFERROR(VLOOKUP(D1566,'[1]Перечень товаров'!$A$2:$I9525,3,0),"")</f>
        <v>Мебель</v>
      </c>
      <c r="D1566" s="35" t="s">
        <v>580</v>
      </c>
      <c r="E1566" s="88"/>
      <c r="F1566" s="88"/>
      <c r="G1566" s="159">
        <v>2</v>
      </c>
      <c r="H1566" s="159"/>
      <c r="I1566" s="160"/>
      <c r="J1566" s="160"/>
      <c r="K1566" s="19"/>
      <c r="L1566" s="20"/>
    </row>
    <row r="1567" spans="1:12" outlineLevel="2">
      <c r="A1567" s="34"/>
      <c r="B1567" s="12" t="str">
        <f>IFERROR(VLOOKUP(D1567,'[1]Перечень товаров'!$A$2:$I9525,2,0),"")</f>
        <v>м181</v>
      </c>
      <c r="C1567" s="12" t="str">
        <f>IFERROR(VLOOKUP(D1567,'[1]Перечень товаров'!$A$2:$I9525,3,0),"")</f>
        <v>Мебель</v>
      </c>
      <c r="D1567" s="35" t="s">
        <v>581</v>
      </c>
      <c r="E1567" s="88"/>
      <c r="F1567" s="88"/>
      <c r="G1567" s="59">
        <v>2</v>
      </c>
      <c r="H1567" s="59"/>
      <c r="I1567" s="60"/>
      <c r="J1567" s="60"/>
      <c r="K1567" s="19"/>
      <c r="L1567" s="20"/>
    </row>
    <row r="1568" spans="1:12" ht="31.5" outlineLevel="2">
      <c r="A1568" s="34"/>
      <c r="B1568" s="12" t="str">
        <f>IFERROR(VLOOKUP(D1568,'[1]Перечень товаров'!$A$2:$I9525,2,0),"")</f>
        <v>тм258</v>
      </c>
      <c r="C1568" s="12" t="str">
        <f>IFERROR(VLOOKUP(D1568,'[1]Перечень товаров'!$A$2:$I9525,3,0),"")</f>
        <v>Техника муз</v>
      </c>
      <c r="D1568" s="35" t="s">
        <v>582</v>
      </c>
      <c r="E1568" s="88"/>
      <c r="F1568" s="88"/>
      <c r="G1568" s="59">
        <v>1</v>
      </c>
      <c r="H1568" s="59"/>
      <c r="I1568" s="60"/>
      <c r="J1568" s="60"/>
      <c r="K1568" s="19"/>
      <c r="L1568" s="20"/>
    </row>
    <row r="1569" spans="1:12" ht="31.5" outlineLevel="2">
      <c r="A1569" s="34"/>
      <c r="B1569" s="12" t="str">
        <f>IFERROR(VLOOKUP(D1569,'[1]Перечень товаров'!$A$2:$I9525,2,0),"")</f>
        <v>тм259</v>
      </c>
      <c r="C1569" s="12" t="str">
        <f>IFERROR(VLOOKUP(D1569,'[1]Перечень товаров'!$A$2:$I9525,3,0),"")</f>
        <v>Техника муз</v>
      </c>
      <c r="D1569" s="35" t="s">
        <v>583</v>
      </c>
      <c r="E1569" s="88"/>
      <c r="F1569" s="88"/>
      <c r="G1569" s="59">
        <v>1</v>
      </c>
      <c r="H1569" s="59"/>
      <c r="I1569" s="60"/>
      <c r="J1569" s="60"/>
      <c r="K1569" s="19"/>
      <c r="L1569" s="20"/>
    </row>
    <row r="1570" spans="1:12" ht="47.25" outlineLevel="2">
      <c r="A1570" s="34"/>
      <c r="B1570" s="12" t="str">
        <f>IFERROR(VLOOKUP(D1570,'[1]Перечень товаров'!$A$2:$I9525,2,0),"")</f>
        <v>п49</v>
      </c>
      <c r="C1570" s="12" t="str">
        <f>IFERROR(VLOOKUP(D1570,'[1]Перечень товаров'!$A$2:$I9525,3,0),"")</f>
        <v>Прочее</v>
      </c>
      <c r="D1570" s="35" t="s">
        <v>584</v>
      </c>
      <c r="E1570" s="88"/>
      <c r="F1570" s="88"/>
      <c r="G1570" s="59">
        <v>1</v>
      </c>
      <c r="H1570" s="59"/>
      <c r="I1570" s="60"/>
      <c r="J1570" s="60"/>
      <c r="K1570" s="19"/>
      <c r="L1570" s="20"/>
    </row>
    <row r="1571" spans="1:12" outlineLevel="2">
      <c r="A1571" s="34"/>
      <c r="B1571" s="12" t="str">
        <f>IFERROR(VLOOKUP(D1571,'[1]Перечень товаров'!$A$2:$I9525,2,0),"")</f>
        <v>п50</v>
      </c>
      <c r="C1571" s="12" t="str">
        <f>IFERROR(VLOOKUP(D1571,'[1]Перечень товаров'!$A$2:$I9525,3,0),"")</f>
        <v>Прочее</v>
      </c>
      <c r="D1571" s="35" t="s">
        <v>585</v>
      </c>
      <c r="E1571" s="88"/>
      <c r="F1571" s="88"/>
      <c r="G1571" s="59">
        <v>1</v>
      </c>
      <c r="H1571" s="59"/>
      <c r="I1571" s="60"/>
      <c r="J1571" s="60"/>
      <c r="K1571" s="19"/>
      <c r="L1571" s="20"/>
    </row>
    <row r="1572" spans="1:12" ht="12.75" outlineLevel="1">
      <c r="A1572" s="89"/>
      <c r="B1572" s="12" t="str">
        <f>IFERROR(VLOOKUP(D1572,'[1]Перечень товаров'!$A$2:$I9525,2,0),"")</f>
        <v/>
      </c>
      <c r="C1572" s="12" t="str">
        <f>IFERROR(VLOOKUP(D1572,'[1]Перечень товаров'!$A$2:$I9525,3,0),"")</f>
        <v/>
      </c>
      <c r="D1572" s="90" t="s">
        <v>586</v>
      </c>
      <c r="E1572" s="91" t="s">
        <v>587</v>
      </c>
      <c r="F1572" s="91"/>
      <c r="G1572" s="17"/>
      <c r="H1572" s="17"/>
      <c r="I1572" s="57"/>
      <c r="J1572" s="57"/>
      <c r="K1572" s="19"/>
      <c r="L1572" s="20"/>
    </row>
    <row r="1573" spans="1:12" outlineLevel="2">
      <c r="A1573" s="113"/>
      <c r="B1573" s="12" t="str">
        <f>IFERROR(VLOOKUP(D1573,'[1]Перечень товаров'!$A$2:$I9525,2,0),"")</f>
        <v/>
      </c>
      <c r="C1573" s="12" t="str">
        <f>IFERROR(VLOOKUP(D1573,'[1]Перечень товаров'!$A$2:$I9525,3,0),"")</f>
        <v/>
      </c>
      <c r="D1573" s="114" t="s">
        <v>19</v>
      </c>
      <c r="E1573" s="115"/>
      <c r="F1573" s="115"/>
      <c r="G1573" s="157"/>
      <c r="H1573" s="157"/>
      <c r="I1573" s="158"/>
      <c r="J1573" s="158"/>
      <c r="K1573" s="19"/>
      <c r="L1573" s="20"/>
    </row>
    <row r="1574" spans="1:12" outlineLevel="2">
      <c r="A1574" s="34"/>
      <c r="B1574" s="12" t="str">
        <f>IFERROR(VLOOKUP(D1574,'[1]Перечень товаров'!$A$2:$I9525,2,0),"")</f>
        <v>м62</v>
      </c>
      <c r="C1574" s="12" t="str">
        <f>IFERROR(VLOOKUP(D1574,'[1]Перечень товаров'!$A$2:$I9525,3,0),"")</f>
        <v>Мебель</v>
      </c>
      <c r="D1574" s="35" t="s">
        <v>398</v>
      </c>
      <c r="E1574" s="88"/>
      <c r="F1574" s="88"/>
      <c r="G1574" s="159">
        <v>1</v>
      </c>
      <c r="H1574" s="159"/>
      <c r="I1574" s="160"/>
      <c r="J1574" s="160"/>
      <c r="K1574" s="19"/>
      <c r="L1574" s="20"/>
    </row>
    <row r="1575" spans="1:12" outlineLevel="2">
      <c r="A1575" s="35"/>
      <c r="B1575" s="12" t="str">
        <f>IFERROR(VLOOKUP(D1575,'[1]Перечень товаров'!$A$2:$I9525,2,0),"")</f>
        <v>м61</v>
      </c>
      <c r="C1575" s="12" t="str">
        <f>IFERROR(VLOOKUP(D1575,'[1]Перечень товаров'!$A$2:$I9525,3,0),"")</f>
        <v>Мебель</v>
      </c>
      <c r="D1575" s="35" t="s">
        <v>383</v>
      </c>
      <c r="E1575" s="88"/>
      <c r="F1575" s="88"/>
      <c r="G1575" s="159">
        <v>1</v>
      </c>
      <c r="H1575" s="159"/>
      <c r="I1575" s="160"/>
      <c r="J1575" s="160"/>
      <c r="K1575" s="19"/>
      <c r="L1575" s="20"/>
    </row>
    <row r="1576" spans="1:12" outlineLevel="2">
      <c r="A1576" s="35"/>
      <c r="B1576" s="12" t="str">
        <f>IFERROR(VLOOKUP(D1576,'[1]Перечень товаров'!$A$2:$I9525,2,0),"")</f>
        <v>м179</v>
      </c>
      <c r="C1576" s="12" t="str">
        <f>IFERROR(VLOOKUP(D1576,'[1]Перечень товаров'!$A$2:$I9525,3,0),"")</f>
        <v>Мебель</v>
      </c>
      <c r="D1576" s="35" t="s">
        <v>579</v>
      </c>
      <c r="E1576" s="88"/>
      <c r="F1576" s="88"/>
      <c r="G1576" s="159">
        <v>10</v>
      </c>
      <c r="H1576" s="159"/>
      <c r="I1576" s="160"/>
      <c r="J1576" s="160"/>
      <c r="K1576" s="19"/>
      <c r="L1576" s="20"/>
    </row>
    <row r="1577" spans="1:12" outlineLevel="2">
      <c r="A1577" s="35"/>
      <c r="B1577" s="12" t="str">
        <f>IFERROR(VLOOKUP(D1577,'[1]Перечень товаров'!$A$2:$I9525,2,0),"")</f>
        <v>м61</v>
      </c>
      <c r="C1577" s="12" t="str">
        <f>IFERROR(VLOOKUP(D1577,'[1]Перечень товаров'!$A$2:$I9525,3,0),"")</f>
        <v>Мебель</v>
      </c>
      <c r="D1577" s="35" t="s">
        <v>384</v>
      </c>
      <c r="E1577" s="88"/>
      <c r="F1577" s="88"/>
      <c r="G1577" s="159">
        <v>20</v>
      </c>
      <c r="H1577" s="159"/>
      <c r="I1577" s="160"/>
      <c r="J1577" s="160"/>
      <c r="K1577" s="19"/>
      <c r="L1577" s="20"/>
    </row>
    <row r="1578" spans="1:12" outlineLevel="2">
      <c r="A1578" s="22"/>
      <c r="B1578" s="12" t="str">
        <f>IFERROR(VLOOKUP(D1578,'[1]Перечень товаров'!$A$2:$I9525,2,0),"")</f>
        <v>м13</v>
      </c>
      <c r="C1578" s="12" t="str">
        <f>IFERROR(VLOOKUP(D1578,'[1]Перечень товаров'!$A$2:$I9525,3,0),"")</f>
        <v>Мебель</v>
      </c>
      <c r="D1578" s="22" t="s">
        <v>42</v>
      </c>
      <c r="E1578" s="88"/>
      <c r="F1578" s="88"/>
      <c r="G1578" s="48">
        <v>1</v>
      </c>
      <c r="H1578" s="48"/>
      <c r="I1578" s="49"/>
      <c r="J1578" s="49"/>
      <c r="K1578" s="19"/>
      <c r="L1578" s="20"/>
    </row>
    <row r="1579" spans="1:12" outlineLevel="2">
      <c r="A1579" s="21"/>
      <c r="B1579" s="12" t="str">
        <f>IFERROR(VLOOKUP(D1579,'[1]Перечень товаров'!$A$2:$I9525,2,0),"")</f>
        <v>м14</v>
      </c>
      <c r="C1579" s="12" t="str">
        <f>IFERROR(VLOOKUP(D1579,'[1]Перечень товаров'!$A$2:$I9525,3,0),"")</f>
        <v>Мебель</v>
      </c>
      <c r="D1579" s="22" t="s">
        <v>43</v>
      </c>
      <c r="E1579" s="88"/>
      <c r="F1579" s="88"/>
      <c r="G1579" s="48">
        <v>1</v>
      </c>
      <c r="H1579" s="48"/>
      <c r="I1579" s="49"/>
      <c r="J1579" s="49"/>
      <c r="K1579" s="19"/>
      <c r="L1579" s="20"/>
    </row>
    <row r="1580" spans="1:12" ht="31.5" outlineLevel="2">
      <c r="A1580" s="21"/>
      <c r="B1580" s="12" t="str">
        <f>IFERROR(VLOOKUP(D1580,'[1]Перечень товаров'!$A$2:$I9525,2,0),"")</f>
        <v>м21</v>
      </c>
      <c r="C1580" s="12" t="str">
        <f>IFERROR(VLOOKUP(D1580,'[1]Перечень товаров'!$A$2:$I9525,3,0),"")</f>
        <v>Мебель</v>
      </c>
      <c r="D1580" s="22" t="s">
        <v>58</v>
      </c>
      <c r="E1580" s="88"/>
      <c r="F1580" s="88"/>
      <c r="G1580" s="48">
        <v>1</v>
      </c>
      <c r="H1580" s="48"/>
      <c r="I1580" s="49"/>
      <c r="J1580" s="49"/>
      <c r="K1580" s="19"/>
      <c r="L1580" s="20"/>
    </row>
    <row r="1581" spans="1:12" outlineLevel="2">
      <c r="A1581" s="114"/>
      <c r="B1581" s="12" t="str">
        <f>IFERROR(VLOOKUP(D1581,'[1]Перечень товаров'!$A$2:$I9525,2,0),"")</f>
        <v/>
      </c>
      <c r="C1581" s="12" t="str">
        <f>IFERROR(VLOOKUP(D1581,'[1]Перечень товаров'!$A$2:$I9525,3,0),"")</f>
        <v/>
      </c>
      <c r="D1581" s="114" t="s">
        <v>391</v>
      </c>
      <c r="E1581" s="161"/>
      <c r="F1581" s="161"/>
      <c r="G1581" s="162"/>
      <c r="H1581" s="162"/>
      <c r="I1581" s="163"/>
      <c r="J1581" s="163"/>
      <c r="K1581" s="19"/>
      <c r="L1581" s="20"/>
    </row>
    <row r="1582" spans="1:12" ht="47.25" outlineLevel="2">
      <c r="A1582" s="34"/>
      <c r="B1582" s="12" t="str">
        <f>IFERROR(VLOOKUP(D1582,'[1]Перечень товаров'!$A$2:$I9525,2,0),"")</f>
        <v>м180</v>
      </c>
      <c r="C1582" s="12" t="str">
        <f>IFERROR(VLOOKUP(D1582,'[1]Перечень товаров'!$A$2:$I9525,3,0),"")</f>
        <v>Мебель</v>
      </c>
      <c r="D1582" s="35" t="s">
        <v>580</v>
      </c>
      <c r="E1582" s="88"/>
      <c r="F1582" s="88"/>
      <c r="G1582" s="159">
        <v>2</v>
      </c>
      <c r="H1582" s="159"/>
      <c r="I1582" s="160"/>
      <c r="J1582" s="160"/>
      <c r="K1582" s="19"/>
      <c r="L1582" s="20"/>
    </row>
    <row r="1583" spans="1:12" outlineLevel="2">
      <c r="A1583" s="34"/>
      <c r="B1583" s="12" t="str">
        <f>IFERROR(VLOOKUP(D1583,'[1]Перечень товаров'!$A$2:$I9525,2,0),"")</f>
        <v>м181</v>
      </c>
      <c r="C1583" s="12" t="str">
        <f>IFERROR(VLOOKUP(D1583,'[1]Перечень товаров'!$A$2:$I9525,3,0),"")</f>
        <v>Мебель</v>
      </c>
      <c r="D1583" s="35" t="s">
        <v>581</v>
      </c>
      <c r="E1583" s="88"/>
      <c r="F1583" s="88"/>
      <c r="G1583" s="59">
        <v>2</v>
      </c>
      <c r="H1583" s="59"/>
      <c r="I1583" s="60"/>
      <c r="J1583" s="60"/>
      <c r="K1583" s="19"/>
      <c r="L1583" s="20"/>
    </row>
    <row r="1584" spans="1:12" ht="31.5" outlineLevel="2">
      <c r="A1584" s="34"/>
      <c r="B1584" s="12" t="str">
        <f>IFERROR(VLOOKUP(D1584,'[1]Перечень товаров'!$A$2:$I9525,2,0),"")</f>
        <v>тм258</v>
      </c>
      <c r="C1584" s="12" t="str">
        <f>IFERROR(VLOOKUP(D1584,'[1]Перечень товаров'!$A$2:$I9525,3,0),"")</f>
        <v>Техника муз</v>
      </c>
      <c r="D1584" s="35" t="s">
        <v>582</v>
      </c>
      <c r="E1584" s="88"/>
      <c r="F1584" s="88"/>
      <c r="G1584" s="59">
        <v>1</v>
      </c>
      <c r="H1584" s="59"/>
      <c r="I1584" s="60"/>
      <c r="J1584" s="60"/>
      <c r="K1584" s="19"/>
      <c r="L1584" s="20"/>
    </row>
    <row r="1585" spans="1:12" ht="31.5" outlineLevel="2">
      <c r="A1585" s="34"/>
      <c r="B1585" s="12" t="str">
        <f>IFERROR(VLOOKUP(D1585,'[1]Перечень товаров'!$A$2:$I9525,2,0),"")</f>
        <v>тм259</v>
      </c>
      <c r="C1585" s="12" t="str">
        <f>IFERROR(VLOOKUP(D1585,'[1]Перечень товаров'!$A$2:$I9525,3,0),"")</f>
        <v>Техника муз</v>
      </c>
      <c r="D1585" s="35" t="s">
        <v>583</v>
      </c>
      <c r="E1585" s="88"/>
      <c r="F1585" s="88"/>
      <c r="G1585" s="59">
        <v>1</v>
      </c>
      <c r="H1585" s="59"/>
      <c r="I1585" s="60"/>
      <c r="J1585" s="60"/>
      <c r="K1585" s="19"/>
      <c r="L1585" s="20"/>
    </row>
    <row r="1586" spans="1:12" ht="47.25" outlineLevel="2">
      <c r="A1586" s="34"/>
      <c r="B1586" s="12" t="str">
        <f>IFERROR(VLOOKUP(D1586,'[1]Перечень товаров'!$A$2:$I9525,2,0),"")</f>
        <v>п49</v>
      </c>
      <c r="C1586" s="12" t="str">
        <f>IFERROR(VLOOKUP(D1586,'[1]Перечень товаров'!$A$2:$I9525,3,0),"")</f>
        <v>Прочее</v>
      </c>
      <c r="D1586" s="35" t="s">
        <v>584</v>
      </c>
      <c r="E1586" s="88"/>
      <c r="F1586" s="88"/>
      <c r="G1586" s="59">
        <v>1</v>
      </c>
      <c r="H1586" s="59"/>
      <c r="I1586" s="60"/>
      <c r="J1586" s="60"/>
      <c r="K1586" s="19"/>
      <c r="L1586" s="20"/>
    </row>
    <row r="1587" spans="1:12" outlineLevel="2">
      <c r="A1587" s="34"/>
      <c r="B1587" s="12" t="str">
        <f>IFERROR(VLOOKUP(D1587,'[1]Перечень товаров'!$A$2:$I9525,2,0),"")</f>
        <v>п50</v>
      </c>
      <c r="C1587" s="12" t="str">
        <f>IFERROR(VLOOKUP(D1587,'[1]Перечень товаров'!$A$2:$I9525,3,0),"")</f>
        <v>Прочее</v>
      </c>
      <c r="D1587" s="35" t="s">
        <v>585</v>
      </c>
      <c r="E1587" s="88"/>
      <c r="F1587" s="88"/>
      <c r="G1587" s="59">
        <v>1</v>
      </c>
      <c r="H1587" s="59"/>
      <c r="I1587" s="60"/>
      <c r="J1587" s="60"/>
      <c r="K1587" s="19"/>
      <c r="L1587" s="20"/>
    </row>
    <row r="1588" spans="1:12" ht="12.75" outlineLevel="1">
      <c r="A1588" s="89"/>
      <c r="B1588" s="12" t="str">
        <f>IFERROR(VLOOKUP(D1588,'[1]Перечень товаров'!$A$2:$I9525,2,0),"")</f>
        <v/>
      </c>
      <c r="C1588" s="12" t="str">
        <f>IFERROR(VLOOKUP(D1588,'[1]Перечень товаров'!$A$2:$I9525,3,0),"")</f>
        <v/>
      </c>
      <c r="D1588" s="90" t="s">
        <v>586</v>
      </c>
      <c r="E1588" s="108">
        <v>46192</v>
      </c>
      <c r="F1588" s="108"/>
      <c r="G1588" s="100"/>
      <c r="H1588" s="100"/>
      <c r="I1588" s="101"/>
      <c r="J1588" s="101"/>
      <c r="K1588" s="19"/>
      <c r="L1588" s="20"/>
    </row>
    <row r="1589" spans="1:12" outlineLevel="2">
      <c r="A1589" s="113"/>
      <c r="B1589" s="12" t="str">
        <f>IFERROR(VLOOKUP(D1589,'[1]Перечень товаров'!$A$2:$I9525,2,0),"")</f>
        <v/>
      </c>
      <c r="C1589" s="12" t="str">
        <f>IFERROR(VLOOKUP(D1589,'[1]Перечень товаров'!$A$2:$I9525,3,0),"")</f>
        <v/>
      </c>
      <c r="D1589" s="114" t="s">
        <v>19</v>
      </c>
      <c r="E1589" s="115"/>
      <c r="F1589" s="115"/>
      <c r="G1589" s="157"/>
      <c r="H1589" s="157"/>
      <c r="I1589" s="158"/>
      <c r="J1589" s="158"/>
      <c r="K1589" s="19"/>
      <c r="L1589" s="20"/>
    </row>
    <row r="1590" spans="1:12" outlineLevel="2">
      <c r="A1590" s="34"/>
      <c r="B1590" s="12" t="str">
        <f>IFERROR(VLOOKUP(D1590,'[1]Перечень товаров'!$A$2:$I9525,2,0),"")</f>
        <v>м62</v>
      </c>
      <c r="C1590" s="12" t="str">
        <f>IFERROR(VLOOKUP(D1590,'[1]Перечень товаров'!$A$2:$I9525,3,0),"")</f>
        <v>Мебель</v>
      </c>
      <c r="D1590" s="35" t="s">
        <v>398</v>
      </c>
      <c r="E1590" s="88"/>
      <c r="F1590" s="88"/>
      <c r="G1590" s="159">
        <v>1</v>
      </c>
      <c r="H1590" s="159"/>
      <c r="I1590" s="160"/>
      <c r="J1590" s="160"/>
      <c r="K1590" s="19"/>
      <c r="L1590" s="20"/>
    </row>
    <row r="1591" spans="1:12" outlineLevel="2">
      <c r="A1591" s="35"/>
      <c r="B1591" s="12" t="str">
        <f>IFERROR(VLOOKUP(D1591,'[1]Перечень товаров'!$A$2:$I9525,2,0),"")</f>
        <v>м61</v>
      </c>
      <c r="C1591" s="12" t="str">
        <f>IFERROR(VLOOKUP(D1591,'[1]Перечень товаров'!$A$2:$I9525,3,0),"")</f>
        <v>Мебель</v>
      </c>
      <c r="D1591" s="35" t="s">
        <v>383</v>
      </c>
      <c r="E1591" s="88"/>
      <c r="F1591" s="88"/>
      <c r="G1591" s="159">
        <v>1</v>
      </c>
      <c r="H1591" s="159"/>
      <c r="I1591" s="160"/>
      <c r="J1591" s="160"/>
      <c r="K1591" s="19"/>
      <c r="L1591" s="20"/>
    </row>
    <row r="1592" spans="1:12" outlineLevel="2">
      <c r="A1592" s="35"/>
      <c r="B1592" s="12" t="str">
        <f>IFERROR(VLOOKUP(D1592,'[1]Перечень товаров'!$A$2:$I9525,2,0),"")</f>
        <v>м179</v>
      </c>
      <c r="C1592" s="12" t="str">
        <f>IFERROR(VLOOKUP(D1592,'[1]Перечень товаров'!$A$2:$I9525,3,0),"")</f>
        <v>Мебель</v>
      </c>
      <c r="D1592" s="35" t="s">
        <v>579</v>
      </c>
      <c r="E1592" s="88"/>
      <c r="F1592" s="88"/>
      <c r="G1592" s="159">
        <v>10</v>
      </c>
      <c r="H1592" s="159"/>
      <c r="I1592" s="160"/>
      <c r="J1592" s="160"/>
      <c r="K1592" s="19"/>
      <c r="L1592" s="20"/>
    </row>
    <row r="1593" spans="1:12" outlineLevel="2">
      <c r="A1593" s="35"/>
      <c r="B1593" s="12" t="str">
        <f>IFERROR(VLOOKUP(D1593,'[1]Перечень товаров'!$A$2:$I9525,2,0),"")</f>
        <v>м61</v>
      </c>
      <c r="C1593" s="12" t="str">
        <f>IFERROR(VLOOKUP(D1593,'[1]Перечень товаров'!$A$2:$I9525,3,0),"")</f>
        <v>Мебель</v>
      </c>
      <c r="D1593" s="35" t="s">
        <v>384</v>
      </c>
      <c r="E1593" s="88"/>
      <c r="F1593" s="88"/>
      <c r="G1593" s="159">
        <v>20</v>
      </c>
      <c r="H1593" s="159"/>
      <c r="I1593" s="160"/>
      <c r="J1593" s="160"/>
      <c r="K1593" s="19"/>
      <c r="L1593" s="20"/>
    </row>
    <row r="1594" spans="1:12" outlineLevel="2">
      <c r="A1594" s="22"/>
      <c r="B1594" s="12" t="str">
        <f>IFERROR(VLOOKUP(D1594,'[1]Перечень товаров'!$A$2:$I9525,2,0),"")</f>
        <v>м13</v>
      </c>
      <c r="C1594" s="12" t="str">
        <f>IFERROR(VLOOKUP(D1594,'[1]Перечень товаров'!$A$2:$I9525,3,0),"")</f>
        <v>Мебель</v>
      </c>
      <c r="D1594" s="22" t="s">
        <v>42</v>
      </c>
      <c r="E1594" s="88"/>
      <c r="F1594" s="88"/>
      <c r="G1594" s="48">
        <v>1</v>
      </c>
      <c r="H1594" s="48"/>
      <c r="I1594" s="49"/>
      <c r="J1594" s="49"/>
      <c r="K1594" s="19"/>
      <c r="L1594" s="20"/>
    </row>
    <row r="1595" spans="1:12" outlineLevel="2">
      <c r="A1595" s="21"/>
      <c r="B1595" s="12" t="str">
        <f>IFERROR(VLOOKUP(D1595,'[1]Перечень товаров'!$A$2:$I9525,2,0),"")</f>
        <v>м14</v>
      </c>
      <c r="C1595" s="12" t="str">
        <f>IFERROR(VLOOKUP(D1595,'[1]Перечень товаров'!$A$2:$I9525,3,0),"")</f>
        <v>Мебель</v>
      </c>
      <c r="D1595" s="22" t="s">
        <v>43</v>
      </c>
      <c r="E1595" s="88"/>
      <c r="F1595" s="88"/>
      <c r="G1595" s="48">
        <v>1</v>
      </c>
      <c r="H1595" s="48"/>
      <c r="I1595" s="49"/>
      <c r="J1595" s="49"/>
      <c r="K1595" s="19"/>
      <c r="L1595" s="20"/>
    </row>
    <row r="1596" spans="1:12" ht="31.5" outlineLevel="2">
      <c r="A1596" s="21"/>
      <c r="B1596" s="12" t="str">
        <f>IFERROR(VLOOKUP(D1596,'[1]Перечень товаров'!$A$2:$I9525,2,0),"")</f>
        <v>м21</v>
      </c>
      <c r="C1596" s="12" t="str">
        <f>IFERROR(VLOOKUP(D1596,'[1]Перечень товаров'!$A$2:$I9525,3,0),"")</f>
        <v>Мебель</v>
      </c>
      <c r="D1596" s="22" t="s">
        <v>58</v>
      </c>
      <c r="E1596" s="88"/>
      <c r="F1596" s="88"/>
      <c r="G1596" s="48">
        <v>1</v>
      </c>
      <c r="H1596" s="48"/>
      <c r="I1596" s="49"/>
      <c r="J1596" s="49"/>
      <c r="K1596" s="19"/>
      <c r="L1596" s="20"/>
    </row>
    <row r="1597" spans="1:12" outlineLevel="2">
      <c r="A1597" s="114"/>
      <c r="B1597" s="12" t="str">
        <f>IFERROR(VLOOKUP(D1597,'[1]Перечень товаров'!$A$2:$I9525,2,0),"")</f>
        <v/>
      </c>
      <c r="C1597" s="12" t="str">
        <f>IFERROR(VLOOKUP(D1597,'[1]Перечень товаров'!$A$2:$I9525,3,0),"")</f>
        <v/>
      </c>
      <c r="D1597" s="114" t="s">
        <v>391</v>
      </c>
      <c r="E1597" s="161"/>
      <c r="F1597" s="161"/>
      <c r="G1597" s="162"/>
      <c r="H1597" s="162"/>
      <c r="I1597" s="163"/>
      <c r="J1597" s="163"/>
      <c r="K1597" s="19"/>
      <c r="L1597" s="20"/>
    </row>
    <row r="1598" spans="1:12" ht="47.25" outlineLevel="2">
      <c r="A1598" s="34"/>
      <c r="B1598" s="12" t="str">
        <f>IFERROR(VLOOKUP(D1598,'[1]Перечень товаров'!$A$2:$I9525,2,0),"")</f>
        <v>м180</v>
      </c>
      <c r="C1598" s="12" t="str">
        <f>IFERROR(VLOOKUP(D1598,'[1]Перечень товаров'!$A$2:$I9525,3,0),"")</f>
        <v>Мебель</v>
      </c>
      <c r="D1598" s="35" t="s">
        <v>580</v>
      </c>
      <c r="E1598" s="88"/>
      <c r="F1598" s="88"/>
      <c r="G1598" s="159">
        <v>2</v>
      </c>
      <c r="H1598" s="159"/>
      <c r="I1598" s="160"/>
      <c r="J1598" s="160"/>
      <c r="K1598" s="19"/>
      <c r="L1598" s="20"/>
    </row>
    <row r="1599" spans="1:12" outlineLevel="2">
      <c r="A1599" s="34"/>
      <c r="B1599" s="12" t="str">
        <f>IFERROR(VLOOKUP(D1599,'[1]Перечень товаров'!$A$2:$I9525,2,0),"")</f>
        <v>м181</v>
      </c>
      <c r="C1599" s="12" t="str">
        <f>IFERROR(VLOOKUP(D1599,'[1]Перечень товаров'!$A$2:$I9525,3,0),"")</f>
        <v>Мебель</v>
      </c>
      <c r="D1599" s="35" t="s">
        <v>581</v>
      </c>
      <c r="E1599" s="88"/>
      <c r="F1599" s="88"/>
      <c r="G1599" s="59">
        <v>2</v>
      </c>
      <c r="H1599" s="59"/>
      <c r="I1599" s="60"/>
      <c r="J1599" s="60"/>
      <c r="K1599" s="19"/>
      <c r="L1599" s="20"/>
    </row>
    <row r="1600" spans="1:12" ht="31.5" outlineLevel="2">
      <c r="A1600" s="34"/>
      <c r="B1600" s="12" t="str">
        <f>IFERROR(VLOOKUP(D1600,'[1]Перечень товаров'!$A$2:$I9525,2,0),"")</f>
        <v>тм258</v>
      </c>
      <c r="C1600" s="12" t="str">
        <f>IFERROR(VLOOKUP(D1600,'[1]Перечень товаров'!$A$2:$I9525,3,0),"")</f>
        <v>Техника муз</v>
      </c>
      <c r="D1600" s="35" t="s">
        <v>582</v>
      </c>
      <c r="E1600" s="88"/>
      <c r="F1600" s="88"/>
      <c r="G1600" s="59">
        <v>1</v>
      </c>
      <c r="H1600" s="59"/>
      <c r="I1600" s="60"/>
      <c r="J1600" s="60"/>
      <c r="K1600" s="19"/>
      <c r="L1600" s="20"/>
    </row>
    <row r="1601" spans="1:12" ht="31.5" outlineLevel="2">
      <c r="A1601" s="34"/>
      <c r="B1601" s="12" t="str">
        <f>IFERROR(VLOOKUP(D1601,'[1]Перечень товаров'!$A$2:$I9525,2,0),"")</f>
        <v>тм259</v>
      </c>
      <c r="C1601" s="12" t="str">
        <f>IFERROR(VLOOKUP(D1601,'[1]Перечень товаров'!$A$2:$I9525,3,0),"")</f>
        <v>Техника муз</v>
      </c>
      <c r="D1601" s="35" t="s">
        <v>583</v>
      </c>
      <c r="E1601" s="88"/>
      <c r="F1601" s="88"/>
      <c r="G1601" s="59">
        <v>1</v>
      </c>
      <c r="H1601" s="59"/>
      <c r="I1601" s="60"/>
      <c r="J1601" s="60"/>
      <c r="K1601" s="19"/>
      <c r="L1601" s="20"/>
    </row>
    <row r="1602" spans="1:12" ht="47.25" outlineLevel="2">
      <c r="A1602" s="34"/>
      <c r="B1602" s="12" t="str">
        <f>IFERROR(VLOOKUP(D1602,'[1]Перечень товаров'!$A$2:$I9525,2,0),"")</f>
        <v>п49</v>
      </c>
      <c r="C1602" s="12" t="str">
        <f>IFERROR(VLOOKUP(D1602,'[1]Перечень товаров'!$A$2:$I9525,3,0),"")</f>
        <v>Прочее</v>
      </c>
      <c r="D1602" s="35" t="s">
        <v>584</v>
      </c>
      <c r="E1602" s="88"/>
      <c r="F1602" s="88"/>
      <c r="G1602" s="59">
        <v>1</v>
      </c>
      <c r="H1602" s="59"/>
      <c r="I1602" s="60"/>
      <c r="J1602" s="60"/>
      <c r="K1602" s="19"/>
      <c r="L1602" s="20"/>
    </row>
    <row r="1603" spans="1:12" outlineLevel="2">
      <c r="A1603" s="34"/>
      <c r="B1603" s="12" t="str">
        <f>IFERROR(VLOOKUP(D1603,'[1]Перечень товаров'!$A$2:$I9525,2,0),"")</f>
        <v>п50</v>
      </c>
      <c r="C1603" s="12" t="str">
        <f>IFERROR(VLOOKUP(D1603,'[1]Перечень товаров'!$A$2:$I9525,3,0),"")</f>
        <v>Прочее</v>
      </c>
      <c r="D1603" s="35" t="s">
        <v>585</v>
      </c>
      <c r="E1603" s="88"/>
      <c r="F1603" s="88"/>
      <c r="G1603" s="59">
        <v>1</v>
      </c>
      <c r="H1603" s="59"/>
      <c r="I1603" s="60"/>
      <c r="J1603" s="60"/>
      <c r="K1603" s="19"/>
      <c r="L1603" s="20"/>
    </row>
    <row r="1604" spans="1:12" ht="12.75" outlineLevel="1">
      <c r="A1604" s="89"/>
      <c r="B1604" s="12" t="str">
        <f>IFERROR(VLOOKUP(D1604,'[1]Перечень товаров'!$A$2:$I9525,2,0),"")</f>
        <v/>
      </c>
      <c r="C1604" s="12" t="str">
        <f>IFERROR(VLOOKUP(D1604,'[1]Перечень товаров'!$A$2:$I9525,3,0),"")</f>
        <v/>
      </c>
      <c r="D1604" s="90" t="s">
        <v>586</v>
      </c>
      <c r="E1604" s="108">
        <v>46072</v>
      </c>
      <c r="F1604" s="108"/>
      <c r="G1604" s="100"/>
      <c r="H1604" s="100"/>
      <c r="I1604" s="101"/>
      <c r="J1604" s="101"/>
      <c r="K1604" s="19"/>
      <c r="L1604" s="20"/>
    </row>
    <row r="1605" spans="1:12" outlineLevel="2">
      <c r="A1605" s="113"/>
      <c r="B1605" s="12" t="str">
        <f>IFERROR(VLOOKUP(D1605,'[1]Перечень товаров'!$A$2:$I9525,2,0),"")</f>
        <v/>
      </c>
      <c r="C1605" s="12" t="str">
        <f>IFERROR(VLOOKUP(D1605,'[1]Перечень товаров'!$A$2:$I9525,3,0),"")</f>
        <v/>
      </c>
      <c r="D1605" s="114" t="s">
        <v>19</v>
      </c>
      <c r="E1605" s="115"/>
      <c r="F1605" s="115"/>
      <c r="G1605" s="157"/>
      <c r="H1605" s="157"/>
      <c r="I1605" s="158"/>
      <c r="J1605" s="158"/>
      <c r="K1605" s="19"/>
      <c r="L1605" s="20"/>
    </row>
    <row r="1606" spans="1:12" outlineLevel="2">
      <c r="A1606" s="34"/>
      <c r="B1606" s="12" t="str">
        <f>IFERROR(VLOOKUP(D1606,'[1]Перечень товаров'!$A$2:$I9525,2,0),"")</f>
        <v>м62</v>
      </c>
      <c r="C1606" s="12" t="str">
        <f>IFERROR(VLOOKUP(D1606,'[1]Перечень товаров'!$A$2:$I9525,3,0),"")</f>
        <v>Мебель</v>
      </c>
      <c r="D1606" s="35" t="s">
        <v>398</v>
      </c>
      <c r="E1606" s="88"/>
      <c r="F1606" s="88"/>
      <c r="G1606" s="159">
        <v>1</v>
      </c>
      <c r="H1606" s="159"/>
      <c r="I1606" s="160"/>
      <c r="J1606" s="160"/>
      <c r="K1606" s="19"/>
      <c r="L1606" s="20"/>
    </row>
    <row r="1607" spans="1:12" outlineLevel="2">
      <c r="A1607" s="35"/>
      <c r="B1607" s="12" t="str">
        <f>IFERROR(VLOOKUP(D1607,'[1]Перечень товаров'!$A$2:$I9525,2,0),"")</f>
        <v>м61</v>
      </c>
      <c r="C1607" s="12" t="str">
        <f>IFERROR(VLOOKUP(D1607,'[1]Перечень товаров'!$A$2:$I9525,3,0),"")</f>
        <v>Мебель</v>
      </c>
      <c r="D1607" s="35" t="s">
        <v>383</v>
      </c>
      <c r="E1607" s="88"/>
      <c r="F1607" s="88"/>
      <c r="G1607" s="159">
        <v>1</v>
      </c>
      <c r="H1607" s="159"/>
      <c r="I1607" s="160"/>
      <c r="J1607" s="160"/>
      <c r="K1607" s="19"/>
      <c r="L1607" s="20"/>
    </row>
    <row r="1608" spans="1:12" outlineLevel="2">
      <c r="A1608" s="35"/>
      <c r="B1608" s="12" t="str">
        <f>IFERROR(VLOOKUP(D1608,'[1]Перечень товаров'!$A$2:$I9525,2,0),"")</f>
        <v>м179</v>
      </c>
      <c r="C1608" s="12" t="str">
        <f>IFERROR(VLOOKUP(D1608,'[1]Перечень товаров'!$A$2:$I9525,3,0),"")</f>
        <v>Мебель</v>
      </c>
      <c r="D1608" s="35" t="s">
        <v>579</v>
      </c>
      <c r="E1608" s="88"/>
      <c r="F1608" s="88"/>
      <c r="G1608" s="159">
        <v>10</v>
      </c>
      <c r="H1608" s="159"/>
      <c r="I1608" s="160"/>
      <c r="J1608" s="160"/>
      <c r="K1608" s="19"/>
      <c r="L1608" s="20"/>
    </row>
    <row r="1609" spans="1:12" outlineLevel="2">
      <c r="A1609" s="35"/>
      <c r="B1609" s="12" t="str">
        <f>IFERROR(VLOOKUP(D1609,'[1]Перечень товаров'!$A$2:$I9525,2,0),"")</f>
        <v>м61</v>
      </c>
      <c r="C1609" s="12" t="str">
        <f>IFERROR(VLOOKUP(D1609,'[1]Перечень товаров'!$A$2:$I9525,3,0),"")</f>
        <v>Мебель</v>
      </c>
      <c r="D1609" s="35" t="s">
        <v>384</v>
      </c>
      <c r="E1609" s="88"/>
      <c r="F1609" s="88"/>
      <c r="G1609" s="159">
        <v>20</v>
      </c>
      <c r="H1609" s="159"/>
      <c r="I1609" s="160"/>
      <c r="J1609" s="160"/>
      <c r="K1609" s="19"/>
      <c r="L1609" s="20"/>
    </row>
    <row r="1610" spans="1:12" outlineLevel="2">
      <c r="A1610" s="22"/>
      <c r="B1610" s="12" t="str">
        <f>IFERROR(VLOOKUP(D1610,'[1]Перечень товаров'!$A$2:$I9525,2,0),"")</f>
        <v>м13</v>
      </c>
      <c r="C1610" s="12" t="str">
        <f>IFERROR(VLOOKUP(D1610,'[1]Перечень товаров'!$A$2:$I9525,3,0),"")</f>
        <v>Мебель</v>
      </c>
      <c r="D1610" s="22" t="s">
        <v>42</v>
      </c>
      <c r="E1610" s="88"/>
      <c r="F1610" s="88"/>
      <c r="G1610" s="48">
        <v>1</v>
      </c>
      <c r="H1610" s="48"/>
      <c r="I1610" s="49"/>
      <c r="J1610" s="49"/>
      <c r="K1610" s="19"/>
      <c r="L1610" s="20"/>
    </row>
    <row r="1611" spans="1:12" outlineLevel="2">
      <c r="A1611" s="21"/>
      <c r="B1611" s="12" t="str">
        <f>IFERROR(VLOOKUP(D1611,'[1]Перечень товаров'!$A$2:$I9525,2,0),"")</f>
        <v>м14</v>
      </c>
      <c r="C1611" s="12" t="str">
        <f>IFERROR(VLOOKUP(D1611,'[1]Перечень товаров'!$A$2:$I9525,3,0),"")</f>
        <v>Мебель</v>
      </c>
      <c r="D1611" s="22" t="s">
        <v>43</v>
      </c>
      <c r="E1611" s="88"/>
      <c r="F1611" s="88"/>
      <c r="G1611" s="48">
        <v>1</v>
      </c>
      <c r="H1611" s="48"/>
      <c r="I1611" s="49"/>
      <c r="J1611" s="49"/>
      <c r="K1611" s="19"/>
      <c r="L1611" s="20"/>
    </row>
    <row r="1612" spans="1:12" ht="31.5" outlineLevel="2">
      <c r="A1612" s="21"/>
      <c r="B1612" s="12" t="str">
        <f>IFERROR(VLOOKUP(D1612,'[1]Перечень товаров'!$A$2:$I9525,2,0),"")</f>
        <v>м21</v>
      </c>
      <c r="C1612" s="12" t="str">
        <f>IFERROR(VLOOKUP(D1612,'[1]Перечень товаров'!$A$2:$I9525,3,0),"")</f>
        <v>Мебель</v>
      </c>
      <c r="D1612" s="22" t="s">
        <v>58</v>
      </c>
      <c r="E1612" s="88"/>
      <c r="F1612" s="88"/>
      <c r="G1612" s="48">
        <v>1</v>
      </c>
      <c r="H1612" s="48"/>
      <c r="I1612" s="49"/>
      <c r="J1612" s="49"/>
      <c r="K1612" s="19"/>
      <c r="L1612" s="20"/>
    </row>
    <row r="1613" spans="1:12" outlineLevel="2">
      <c r="A1613" s="114"/>
      <c r="B1613" s="12" t="str">
        <f>IFERROR(VLOOKUP(D1613,'[1]Перечень товаров'!$A$2:$I9525,2,0),"")</f>
        <v/>
      </c>
      <c r="C1613" s="12" t="str">
        <f>IFERROR(VLOOKUP(D1613,'[1]Перечень товаров'!$A$2:$I9525,3,0),"")</f>
        <v/>
      </c>
      <c r="D1613" s="114" t="s">
        <v>391</v>
      </c>
      <c r="E1613" s="161"/>
      <c r="F1613" s="161"/>
      <c r="G1613" s="162"/>
      <c r="H1613" s="162"/>
      <c r="I1613" s="163"/>
      <c r="J1613" s="163"/>
      <c r="K1613" s="19"/>
      <c r="L1613" s="20"/>
    </row>
    <row r="1614" spans="1:12" ht="47.25" outlineLevel="2">
      <c r="A1614" s="34"/>
      <c r="B1614" s="12" t="str">
        <f>IFERROR(VLOOKUP(D1614,'[1]Перечень товаров'!$A$2:$I9525,2,0),"")</f>
        <v>м180</v>
      </c>
      <c r="C1614" s="12" t="str">
        <f>IFERROR(VLOOKUP(D1614,'[1]Перечень товаров'!$A$2:$I9525,3,0),"")</f>
        <v>Мебель</v>
      </c>
      <c r="D1614" s="35" t="s">
        <v>580</v>
      </c>
      <c r="E1614" s="88"/>
      <c r="F1614" s="88"/>
      <c r="G1614" s="159">
        <v>2</v>
      </c>
      <c r="H1614" s="159"/>
      <c r="I1614" s="160"/>
      <c r="J1614" s="160"/>
      <c r="K1614" s="19"/>
      <c r="L1614" s="20"/>
    </row>
    <row r="1615" spans="1:12" outlineLevel="2">
      <c r="A1615" s="34"/>
      <c r="B1615" s="12" t="str">
        <f>IFERROR(VLOOKUP(D1615,'[1]Перечень товаров'!$A$2:$I9525,2,0),"")</f>
        <v>м181</v>
      </c>
      <c r="C1615" s="12" t="str">
        <f>IFERROR(VLOOKUP(D1615,'[1]Перечень товаров'!$A$2:$I9525,3,0),"")</f>
        <v>Мебель</v>
      </c>
      <c r="D1615" s="35" t="s">
        <v>581</v>
      </c>
      <c r="E1615" s="88"/>
      <c r="F1615" s="88"/>
      <c r="G1615" s="59">
        <v>2</v>
      </c>
      <c r="H1615" s="59"/>
      <c r="I1615" s="60"/>
      <c r="J1615" s="60"/>
      <c r="K1615" s="19"/>
      <c r="L1615" s="20"/>
    </row>
    <row r="1616" spans="1:12" ht="31.5" outlineLevel="2">
      <c r="A1616" s="34"/>
      <c r="B1616" s="12" t="str">
        <f>IFERROR(VLOOKUP(D1616,'[1]Перечень товаров'!$A$2:$I9525,2,0),"")</f>
        <v>тм258</v>
      </c>
      <c r="C1616" s="12" t="str">
        <f>IFERROR(VLOOKUP(D1616,'[1]Перечень товаров'!$A$2:$I9525,3,0),"")</f>
        <v>Техника муз</v>
      </c>
      <c r="D1616" s="35" t="s">
        <v>582</v>
      </c>
      <c r="E1616" s="88"/>
      <c r="F1616" s="88"/>
      <c r="G1616" s="59">
        <v>1</v>
      </c>
      <c r="H1616" s="59"/>
      <c r="I1616" s="60"/>
      <c r="J1616" s="60"/>
      <c r="K1616" s="19"/>
      <c r="L1616" s="20"/>
    </row>
    <row r="1617" spans="1:12" ht="31.5" outlineLevel="2">
      <c r="A1617" s="34"/>
      <c r="B1617" s="12" t="str">
        <f>IFERROR(VLOOKUP(D1617,'[1]Перечень товаров'!$A$2:$I9525,2,0),"")</f>
        <v>тм259</v>
      </c>
      <c r="C1617" s="12" t="str">
        <f>IFERROR(VLOOKUP(D1617,'[1]Перечень товаров'!$A$2:$I9525,3,0),"")</f>
        <v>Техника муз</v>
      </c>
      <c r="D1617" s="35" t="s">
        <v>583</v>
      </c>
      <c r="E1617" s="88"/>
      <c r="F1617" s="88"/>
      <c r="G1617" s="59">
        <v>1</v>
      </c>
      <c r="H1617" s="59"/>
      <c r="I1617" s="60"/>
      <c r="J1617" s="60"/>
      <c r="K1617" s="19"/>
      <c r="L1617" s="20"/>
    </row>
    <row r="1618" spans="1:12" ht="47.25" outlineLevel="2">
      <c r="A1618" s="34"/>
      <c r="B1618" s="12" t="str">
        <f>IFERROR(VLOOKUP(D1618,'[1]Перечень товаров'!$A$2:$I9525,2,0),"")</f>
        <v>п49</v>
      </c>
      <c r="C1618" s="12" t="str">
        <f>IFERROR(VLOOKUP(D1618,'[1]Перечень товаров'!$A$2:$I9525,3,0),"")</f>
        <v>Прочее</v>
      </c>
      <c r="D1618" s="35" t="s">
        <v>584</v>
      </c>
      <c r="E1618" s="88"/>
      <c r="F1618" s="88"/>
      <c r="G1618" s="59">
        <v>1</v>
      </c>
      <c r="H1618" s="59"/>
      <c r="I1618" s="60"/>
      <c r="J1618" s="60"/>
      <c r="K1618" s="19"/>
      <c r="L1618" s="20"/>
    </row>
    <row r="1619" spans="1:12" outlineLevel="2">
      <c r="A1619" s="34"/>
      <c r="B1619" s="12" t="str">
        <f>IFERROR(VLOOKUP(D1619,'[1]Перечень товаров'!$A$2:$I9525,2,0),"")</f>
        <v>п50</v>
      </c>
      <c r="C1619" s="12" t="str">
        <f>IFERROR(VLOOKUP(D1619,'[1]Перечень товаров'!$A$2:$I9525,3,0),"")</f>
        <v>Прочее</v>
      </c>
      <c r="D1619" s="35" t="s">
        <v>585</v>
      </c>
      <c r="E1619" s="88"/>
      <c r="F1619" s="88"/>
      <c r="G1619" s="59">
        <v>1</v>
      </c>
      <c r="H1619" s="59"/>
      <c r="I1619" s="60"/>
      <c r="J1619" s="60"/>
      <c r="K1619" s="19"/>
      <c r="L1619" s="20"/>
    </row>
    <row r="1620" spans="1:12" ht="12.75" outlineLevel="1">
      <c r="A1620" s="89"/>
      <c r="B1620" s="12" t="str">
        <f>IFERROR(VLOOKUP(D1620,'[1]Перечень товаров'!$A$2:$I9525,2,0),"")</f>
        <v/>
      </c>
      <c r="C1620" s="12" t="str">
        <f>IFERROR(VLOOKUP(D1620,'[1]Перечень товаров'!$A$2:$I9525,3,0),"")</f>
        <v/>
      </c>
      <c r="D1620" s="90" t="s">
        <v>586</v>
      </c>
      <c r="E1620" s="91" t="s">
        <v>170</v>
      </c>
      <c r="F1620" s="91"/>
      <c r="G1620" s="17"/>
      <c r="H1620" s="17"/>
      <c r="I1620" s="57"/>
      <c r="J1620" s="57"/>
      <c r="K1620" s="19"/>
      <c r="L1620" s="20"/>
    </row>
    <row r="1621" spans="1:12" outlineLevel="2">
      <c r="A1621" s="113"/>
      <c r="B1621" s="12" t="str">
        <f>IFERROR(VLOOKUP(D1621,'[1]Перечень товаров'!$A$2:$I9525,2,0),"")</f>
        <v/>
      </c>
      <c r="C1621" s="12" t="str">
        <f>IFERROR(VLOOKUP(D1621,'[1]Перечень товаров'!$A$2:$I9525,3,0),"")</f>
        <v/>
      </c>
      <c r="D1621" s="114" t="s">
        <v>19</v>
      </c>
      <c r="E1621" s="115"/>
      <c r="F1621" s="115"/>
      <c r="G1621" s="157"/>
      <c r="H1621" s="157"/>
      <c r="I1621" s="158"/>
      <c r="J1621" s="158"/>
      <c r="K1621" s="19"/>
      <c r="L1621" s="20"/>
    </row>
    <row r="1622" spans="1:12" outlineLevel="2">
      <c r="A1622" s="34"/>
      <c r="B1622" s="12" t="str">
        <f>IFERROR(VLOOKUP(D1622,'[1]Перечень товаров'!$A$2:$I9525,2,0),"")</f>
        <v>м62</v>
      </c>
      <c r="C1622" s="12" t="str">
        <f>IFERROR(VLOOKUP(D1622,'[1]Перечень товаров'!$A$2:$I9525,3,0),"")</f>
        <v>Мебель</v>
      </c>
      <c r="D1622" s="35" t="s">
        <v>398</v>
      </c>
      <c r="E1622" s="88"/>
      <c r="F1622" s="88"/>
      <c r="G1622" s="159">
        <v>1</v>
      </c>
      <c r="H1622" s="159"/>
      <c r="I1622" s="160"/>
      <c r="J1622" s="160"/>
      <c r="K1622" s="19"/>
      <c r="L1622" s="20"/>
    </row>
    <row r="1623" spans="1:12" outlineLevel="2">
      <c r="A1623" s="35"/>
      <c r="B1623" s="12" t="str">
        <f>IFERROR(VLOOKUP(D1623,'[1]Перечень товаров'!$A$2:$I9525,2,0),"")</f>
        <v>м61</v>
      </c>
      <c r="C1623" s="12" t="str">
        <f>IFERROR(VLOOKUP(D1623,'[1]Перечень товаров'!$A$2:$I9525,3,0),"")</f>
        <v>Мебель</v>
      </c>
      <c r="D1623" s="35" t="s">
        <v>383</v>
      </c>
      <c r="E1623" s="88"/>
      <c r="F1623" s="88"/>
      <c r="G1623" s="159">
        <v>1</v>
      </c>
      <c r="H1623" s="159"/>
      <c r="I1623" s="160"/>
      <c r="J1623" s="160"/>
      <c r="K1623" s="19"/>
      <c r="L1623" s="20"/>
    </row>
    <row r="1624" spans="1:12" outlineLevel="2">
      <c r="A1624" s="35"/>
      <c r="B1624" s="12" t="str">
        <f>IFERROR(VLOOKUP(D1624,'[1]Перечень товаров'!$A$2:$I9525,2,0),"")</f>
        <v>м179</v>
      </c>
      <c r="C1624" s="12" t="str">
        <f>IFERROR(VLOOKUP(D1624,'[1]Перечень товаров'!$A$2:$I9525,3,0),"")</f>
        <v>Мебель</v>
      </c>
      <c r="D1624" s="35" t="s">
        <v>579</v>
      </c>
      <c r="E1624" s="88"/>
      <c r="F1624" s="88"/>
      <c r="G1624" s="159">
        <v>10</v>
      </c>
      <c r="H1624" s="159"/>
      <c r="I1624" s="160"/>
      <c r="J1624" s="160"/>
      <c r="K1624" s="19"/>
      <c r="L1624" s="20"/>
    </row>
    <row r="1625" spans="1:12" outlineLevel="2">
      <c r="A1625" s="35"/>
      <c r="B1625" s="12" t="str">
        <f>IFERROR(VLOOKUP(D1625,'[1]Перечень товаров'!$A$2:$I9525,2,0),"")</f>
        <v>м61</v>
      </c>
      <c r="C1625" s="12" t="str">
        <f>IFERROR(VLOOKUP(D1625,'[1]Перечень товаров'!$A$2:$I9525,3,0),"")</f>
        <v>Мебель</v>
      </c>
      <c r="D1625" s="35" t="s">
        <v>384</v>
      </c>
      <c r="E1625" s="88"/>
      <c r="F1625" s="88"/>
      <c r="G1625" s="159">
        <v>20</v>
      </c>
      <c r="H1625" s="159"/>
      <c r="I1625" s="160"/>
      <c r="J1625" s="160"/>
      <c r="K1625" s="19"/>
      <c r="L1625" s="20"/>
    </row>
    <row r="1626" spans="1:12" outlineLevel="2">
      <c r="A1626" s="22"/>
      <c r="B1626" s="12" t="str">
        <f>IFERROR(VLOOKUP(D1626,'[1]Перечень товаров'!$A$2:$I9525,2,0),"")</f>
        <v>м13</v>
      </c>
      <c r="C1626" s="12" t="str">
        <f>IFERROR(VLOOKUP(D1626,'[1]Перечень товаров'!$A$2:$I9525,3,0),"")</f>
        <v>Мебель</v>
      </c>
      <c r="D1626" s="22" t="s">
        <v>42</v>
      </c>
      <c r="E1626" s="88"/>
      <c r="F1626" s="88"/>
      <c r="G1626" s="48">
        <v>1</v>
      </c>
      <c r="H1626" s="48"/>
      <c r="I1626" s="49"/>
      <c r="J1626" s="49"/>
      <c r="K1626" s="19"/>
      <c r="L1626" s="20"/>
    </row>
    <row r="1627" spans="1:12" outlineLevel="2">
      <c r="A1627" s="21"/>
      <c r="B1627" s="12" t="str">
        <f>IFERROR(VLOOKUP(D1627,'[1]Перечень товаров'!$A$2:$I9525,2,0),"")</f>
        <v>м14</v>
      </c>
      <c r="C1627" s="12" t="str">
        <f>IFERROR(VLOOKUP(D1627,'[1]Перечень товаров'!$A$2:$I9525,3,0),"")</f>
        <v>Мебель</v>
      </c>
      <c r="D1627" s="22" t="s">
        <v>43</v>
      </c>
      <c r="E1627" s="88"/>
      <c r="F1627" s="88"/>
      <c r="G1627" s="48">
        <v>1</v>
      </c>
      <c r="H1627" s="48"/>
      <c r="I1627" s="49"/>
      <c r="J1627" s="49"/>
      <c r="K1627" s="19"/>
      <c r="L1627" s="20"/>
    </row>
    <row r="1628" spans="1:12" ht="31.5" outlineLevel="2">
      <c r="A1628" s="21"/>
      <c r="B1628" s="12" t="str">
        <f>IFERROR(VLOOKUP(D1628,'[1]Перечень товаров'!$A$2:$I9525,2,0),"")</f>
        <v>м21</v>
      </c>
      <c r="C1628" s="12" t="str">
        <f>IFERROR(VLOOKUP(D1628,'[1]Перечень товаров'!$A$2:$I9525,3,0),"")</f>
        <v>Мебель</v>
      </c>
      <c r="D1628" s="22" t="s">
        <v>58</v>
      </c>
      <c r="E1628" s="88"/>
      <c r="F1628" s="88"/>
      <c r="G1628" s="48">
        <v>1</v>
      </c>
      <c r="H1628" s="48"/>
      <c r="I1628" s="49"/>
      <c r="J1628" s="49"/>
      <c r="K1628" s="19"/>
      <c r="L1628" s="20"/>
    </row>
    <row r="1629" spans="1:12" outlineLevel="2">
      <c r="A1629" s="114"/>
      <c r="B1629" s="12" t="str">
        <f>IFERROR(VLOOKUP(D1629,'[1]Перечень товаров'!$A$2:$I9525,2,0),"")</f>
        <v/>
      </c>
      <c r="C1629" s="12" t="str">
        <f>IFERROR(VLOOKUP(D1629,'[1]Перечень товаров'!$A$2:$I9525,3,0),"")</f>
        <v/>
      </c>
      <c r="D1629" s="114" t="s">
        <v>391</v>
      </c>
      <c r="E1629" s="161"/>
      <c r="F1629" s="161"/>
      <c r="G1629" s="162"/>
      <c r="H1629" s="162"/>
      <c r="I1629" s="163"/>
      <c r="J1629" s="163"/>
      <c r="K1629" s="19"/>
      <c r="L1629" s="20"/>
    </row>
    <row r="1630" spans="1:12" ht="47.25" outlineLevel="2">
      <c r="A1630" s="34"/>
      <c r="B1630" s="12" t="str">
        <f>IFERROR(VLOOKUP(D1630,'[1]Перечень товаров'!$A$2:$I9525,2,0),"")</f>
        <v>м180</v>
      </c>
      <c r="C1630" s="12" t="str">
        <f>IFERROR(VLOOKUP(D1630,'[1]Перечень товаров'!$A$2:$I9525,3,0),"")</f>
        <v>Мебель</v>
      </c>
      <c r="D1630" s="35" t="s">
        <v>580</v>
      </c>
      <c r="E1630" s="88"/>
      <c r="F1630" s="88"/>
      <c r="G1630" s="159">
        <v>2</v>
      </c>
      <c r="H1630" s="159"/>
      <c r="I1630" s="160"/>
      <c r="J1630" s="160"/>
      <c r="K1630" s="19"/>
      <c r="L1630" s="20"/>
    </row>
    <row r="1631" spans="1:12" outlineLevel="2">
      <c r="A1631" s="34"/>
      <c r="B1631" s="12" t="str">
        <f>IFERROR(VLOOKUP(D1631,'[1]Перечень товаров'!$A$2:$I9525,2,0),"")</f>
        <v>м181</v>
      </c>
      <c r="C1631" s="12" t="str">
        <f>IFERROR(VLOOKUP(D1631,'[1]Перечень товаров'!$A$2:$I9525,3,0),"")</f>
        <v>Мебель</v>
      </c>
      <c r="D1631" s="35" t="s">
        <v>581</v>
      </c>
      <c r="E1631" s="88"/>
      <c r="F1631" s="88"/>
      <c r="G1631" s="59">
        <v>2</v>
      </c>
      <c r="H1631" s="59"/>
      <c r="I1631" s="60"/>
      <c r="J1631" s="60"/>
      <c r="K1631" s="19"/>
      <c r="L1631" s="20"/>
    </row>
    <row r="1632" spans="1:12" ht="31.5" outlineLevel="2">
      <c r="A1632" s="34"/>
      <c r="B1632" s="12" t="str">
        <f>IFERROR(VLOOKUP(D1632,'[1]Перечень товаров'!$A$2:$I9525,2,0),"")</f>
        <v>тм258</v>
      </c>
      <c r="C1632" s="12" t="str">
        <f>IFERROR(VLOOKUP(D1632,'[1]Перечень товаров'!$A$2:$I9525,3,0),"")</f>
        <v>Техника муз</v>
      </c>
      <c r="D1632" s="35" t="s">
        <v>582</v>
      </c>
      <c r="E1632" s="88"/>
      <c r="F1632" s="88"/>
      <c r="G1632" s="59">
        <v>1</v>
      </c>
      <c r="H1632" s="59"/>
      <c r="I1632" s="60"/>
      <c r="J1632" s="60"/>
      <c r="K1632" s="19"/>
      <c r="L1632" s="20"/>
    </row>
    <row r="1633" spans="1:12" ht="31.5" outlineLevel="2">
      <c r="A1633" s="34"/>
      <c r="B1633" s="12" t="str">
        <f>IFERROR(VLOOKUP(D1633,'[1]Перечень товаров'!$A$2:$I9525,2,0),"")</f>
        <v>тм259</v>
      </c>
      <c r="C1633" s="12" t="str">
        <f>IFERROR(VLOOKUP(D1633,'[1]Перечень товаров'!$A$2:$I9525,3,0),"")</f>
        <v>Техника муз</v>
      </c>
      <c r="D1633" s="35" t="s">
        <v>583</v>
      </c>
      <c r="E1633" s="88"/>
      <c r="F1633" s="88"/>
      <c r="G1633" s="59">
        <v>1</v>
      </c>
      <c r="H1633" s="59"/>
      <c r="I1633" s="60"/>
      <c r="J1633" s="60"/>
      <c r="K1633" s="19"/>
      <c r="L1633" s="20"/>
    </row>
    <row r="1634" spans="1:12" ht="47.25" outlineLevel="2">
      <c r="A1634" s="34"/>
      <c r="B1634" s="12" t="str">
        <f>IFERROR(VLOOKUP(D1634,'[1]Перечень товаров'!$A$2:$I9525,2,0),"")</f>
        <v>п49</v>
      </c>
      <c r="C1634" s="12" t="str">
        <f>IFERROR(VLOOKUP(D1634,'[1]Перечень товаров'!$A$2:$I9525,3,0),"")</f>
        <v>Прочее</v>
      </c>
      <c r="D1634" s="35" t="s">
        <v>584</v>
      </c>
      <c r="E1634" s="88"/>
      <c r="F1634" s="88"/>
      <c r="G1634" s="59">
        <v>1</v>
      </c>
      <c r="H1634" s="59"/>
      <c r="I1634" s="60"/>
      <c r="J1634" s="60"/>
      <c r="K1634" s="19"/>
      <c r="L1634" s="20"/>
    </row>
    <row r="1635" spans="1:12" outlineLevel="2">
      <c r="A1635" s="34"/>
      <c r="B1635" s="12" t="str">
        <f>IFERROR(VLOOKUP(D1635,'[1]Перечень товаров'!$A$2:$I9525,2,0),"")</f>
        <v>п50</v>
      </c>
      <c r="C1635" s="12" t="str">
        <f>IFERROR(VLOOKUP(D1635,'[1]Перечень товаров'!$A$2:$I9525,3,0),"")</f>
        <v>Прочее</v>
      </c>
      <c r="D1635" s="35" t="s">
        <v>585</v>
      </c>
      <c r="E1635" s="88"/>
      <c r="F1635" s="88"/>
      <c r="G1635" s="59">
        <v>1</v>
      </c>
      <c r="H1635" s="59"/>
      <c r="I1635" s="60"/>
      <c r="J1635" s="60"/>
      <c r="K1635" s="19"/>
      <c r="L1635" s="20"/>
    </row>
    <row r="1636" spans="1:12" ht="12.75" outlineLevel="1">
      <c r="A1636" s="89"/>
      <c r="B1636" s="12" t="str">
        <f>IFERROR(VLOOKUP(D1636,'[1]Перечень товаров'!$A$2:$I9525,2,0),"")</f>
        <v/>
      </c>
      <c r="C1636" s="12" t="str">
        <f>IFERROR(VLOOKUP(D1636,'[1]Перечень товаров'!$A$2:$I9525,3,0),"")</f>
        <v/>
      </c>
      <c r="D1636" s="90" t="s">
        <v>586</v>
      </c>
      <c r="E1636" s="91">
        <v>0</v>
      </c>
      <c r="F1636" s="91"/>
      <c r="G1636" s="17"/>
      <c r="H1636" s="17"/>
      <c r="I1636" s="57"/>
      <c r="J1636" s="57"/>
      <c r="K1636" s="19"/>
      <c r="L1636" s="20"/>
    </row>
    <row r="1637" spans="1:12" outlineLevel="2">
      <c r="A1637" s="113"/>
      <c r="B1637" s="12" t="str">
        <f>IFERROR(VLOOKUP(D1637,'[1]Перечень товаров'!$A$2:$I9525,2,0),"")</f>
        <v/>
      </c>
      <c r="C1637" s="12" t="str">
        <f>IFERROR(VLOOKUP(D1637,'[1]Перечень товаров'!$A$2:$I9525,3,0),"")</f>
        <v/>
      </c>
      <c r="D1637" s="114" t="s">
        <v>19</v>
      </c>
      <c r="E1637" s="115"/>
      <c r="F1637" s="115"/>
      <c r="G1637" s="157"/>
      <c r="H1637" s="157"/>
      <c r="I1637" s="158"/>
      <c r="J1637" s="158"/>
      <c r="K1637" s="19"/>
      <c r="L1637" s="20"/>
    </row>
    <row r="1638" spans="1:12" outlineLevel="2">
      <c r="A1638" s="34"/>
      <c r="B1638" s="12" t="str">
        <f>IFERROR(VLOOKUP(D1638,'[1]Перечень товаров'!$A$2:$I9525,2,0),"")</f>
        <v>м62</v>
      </c>
      <c r="C1638" s="12" t="str">
        <f>IFERROR(VLOOKUP(D1638,'[1]Перечень товаров'!$A$2:$I9525,3,0),"")</f>
        <v>Мебель</v>
      </c>
      <c r="D1638" s="35" t="s">
        <v>398</v>
      </c>
      <c r="E1638" s="88"/>
      <c r="F1638" s="88"/>
      <c r="G1638" s="159">
        <v>1</v>
      </c>
      <c r="H1638" s="159"/>
      <c r="I1638" s="160"/>
      <c r="J1638" s="160"/>
      <c r="K1638" s="19"/>
      <c r="L1638" s="20"/>
    </row>
    <row r="1639" spans="1:12" outlineLevel="2">
      <c r="A1639" s="35"/>
      <c r="B1639" s="12" t="str">
        <f>IFERROR(VLOOKUP(D1639,'[1]Перечень товаров'!$A$2:$I9525,2,0),"")</f>
        <v>м61</v>
      </c>
      <c r="C1639" s="12" t="str">
        <f>IFERROR(VLOOKUP(D1639,'[1]Перечень товаров'!$A$2:$I9525,3,0),"")</f>
        <v>Мебель</v>
      </c>
      <c r="D1639" s="35" t="s">
        <v>383</v>
      </c>
      <c r="E1639" s="88"/>
      <c r="F1639" s="88"/>
      <c r="G1639" s="159">
        <v>1</v>
      </c>
      <c r="H1639" s="159"/>
      <c r="I1639" s="160"/>
      <c r="J1639" s="160"/>
      <c r="K1639" s="19"/>
      <c r="L1639" s="20"/>
    </row>
    <row r="1640" spans="1:12" outlineLevel="2">
      <c r="A1640" s="35"/>
      <c r="B1640" s="12" t="str">
        <f>IFERROR(VLOOKUP(D1640,'[1]Перечень товаров'!$A$2:$I9525,2,0),"")</f>
        <v>м179</v>
      </c>
      <c r="C1640" s="12" t="str">
        <f>IFERROR(VLOOKUP(D1640,'[1]Перечень товаров'!$A$2:$I9525,3,0),"")</f>
        <v>Мебель</v>
      </c>
      <c r="D1640" s="35" t="s">
        <v>579</v>
      </c>
      <c r="E1640" s="88"/>
      <c r="F1640" s="88"/>
      <c r="G1640" s="159">
        <v>10</v>
      </c>
      <c r="H1640" s="159"/>
      <c r="I1640" s="160"/>
      <c r="J1640" s="160"/>
      <c r="K1640" s="19"/>
      <c r="L1640" s="20"/>
    </row>
    <row r="1641" spans="1:12" outlineLevel="2">
      <c r="A1641" s="35"/>
      <c r="B1641" s="12" t="str">
        <f>IFERROR(VLOOKUP(D1641,'[1]Перечень товаров'!$A$2:$I9525,2,0),"")</f>
        <v>м61</v>
      </c>
      <c r="C1641" s="12" t="str">
        <f>IFERROR(VLOOKUP(D1641,'[1]Перечень товаров'!$A$2:$I9525,3,0),"")</f>
        <v>Мебель</v>
      </c>
      <c r="D1641" s="35" t="s">
        <v>384</v>
      </c>
      <c r="E1641" s="88"/>
      <c r="F1641" s="88"/>
      <c r="G1641" s="159">
        <v>20</v>
      </c>
      <c r="H1641" s="159"/>
      <c r="I1641" s="160"/>
      <c r="J1641" s="160"/>
      <c r="K1641" s="19"/>
      <c r="L1641" s="20"/>
    </row>
    <row r="1642" spans="1:12" outlineLevel="2">
      <c r="A1642" s="22"/>
      <c r="B1642" s="12" t="str">
        <f>IFERROR(VLOOKUP(D1642,'[1]Перечень товаров'!$A$2:$I9525,2,0),"")</f>
        <v>м13</v>
      </c>
      <c r="C1642" s="12" t="str">
        <f>IFERROR(VLOOKUP(D1642,'[1]Перечень товаров'!$A$2:$I9525,3,0),"")</f>
        <v>Мебель</v>
      </c>
      <c r="D1642" s="22" t="s">
        <v>42</v>
      </c>
      <c r="E1642" s="88"/>
      <c r="F1642" s="88"/>
      <c r="G1642" s="48">
        <v>1</v>
      </c>
      <c r="H1642" s="48"/>
      <c r="I1642" s="49"/>
      <c r="J1642" s="49"/>
      <c r="K1642" s="19"/>
      <c r="L1642" s="20"/>
    </row>
    <row r="1643" spans="1:12" outlineLevel="2">
      <c r="A1643" s="21"/>
      <c r="B1643" s="12" t="str">
        <f>IFERROR(VLOOKUP(D1643,'[1]Перечень товаров'!$A$2:$I9525,2,0),"")</f>
        <v>м14</v>
      </c>
      <c r="C1643" s="12" t="str">
        <f>IFERROR(VLOOKUP(D1643,'[1]Перечень товаров'!$A$2:$I9525,3,0),"")</f>
        <v>Мебель</v>
      </c>
      <c r="D1643" s="22" t="s">
        <v>43</v>
      </c>
      <c r="E1643" s="88"/>
      <c r="F1643" s="88"/>
      <c r="G1643" s="48">
        <v>1</v>
      </c>
      <c r="H1643" s="48"/>
      <c r="I1643" s="49"/>
      <c r="J1643" s="49"/>
      <c r="K1643" s="19"/>
      <c r="L1643" s="20"/>
    </row>
    <row r="1644" spans="1:12" ht="31.5" outlineLevel="2">
      <c r="A1644" s="21"/>
      <c r="B1644" s="12" t="str">
        <f>IFERROR(VLOOKUP(D1644,'[1]Перечень товаров'!$A$2:$I9525,2,0),"")</f>
        <v>м21</v>
      </c>
      <c r="C1644" s="12" t="str">
        <f>IFERROR(VLOOKUP(D1644,'[1]Перечень товаров'!$A$2:$I9525,3,0),"")</f>
        <v>Мебель</v>
      </c>
      <c r="D1644" s="22" t="s">
        <v>58</v>
      </c>
      <c r="E1644" s="88"/>
      <c r="F1644" s="88"/>
      <c r="G1644" s="48">
        <v>1</v>
      </c>
      <c r="H1644" s="48"/>
      <c r="I1644" s="49"/>
      <c r="J1644" s="49"/>
      <c r="K1644" s="19"/>
      <c r="L1644" s="20"/>
    </row>
    <row r="1645" spans="1:12" outlineLevel="2">
      <c r="A1645" s="114"/>
      <c r="B1645" s="12" t="str">
        <f>IFERROR(VLOOKUP(D1645,'[1]Перечень товаров'!$A$2:$I9525,2,0),"")</f>
        <v/>
      </c>
      <c r="C1645" s="12" t="str">
        <f>IFERROR(VLOOKUP(D1645,'[1]Перечень товаров'!$A$2:$I9525,3,0),"")</f>
        <v/>
      </c>
      <c r="D1645" s="114" t="s">
        <v>391</v>
      </c>
      <c r="E1645" s="161"/>
      <c r="F1645" s="161"/>
      <c r="G1645" s="162"/>
      <c r="H1645" s="162"/>
      <c r="I1645" s="163"/>
      <c r="J1645" s="163"/>
      <c r="K1645" s="19"/>
      <c r="L1645" s="20"/>
    </row>
    <row r="1646" spans="1:12" ht="47.25" outlineLevel="2">
      <c r="A1646" s="34"/>
      <c r="B1646" s="12" t="str">
        <f>IFERROR(VLOOKUP(D1646,'[1]Перечень товаров'!$A$2:$I9525,2,0),"")</f>
        <v>м180</v>
      </c>
      <c r="C1646" s="12" t="str">
        <f>IFERROR(VLOOKUP(D1646,'[1]Перечень товаров'!$A$2:$I9525,3,0),"")</f>
        <v>Мебель</v>
      </c>
      <c r="D1646" s="35" t="s">
        <v>580</v>
      </c>
      <c r="E1646" s="88"/>
      <c r="F1646" s="88"/>
      <c r="G1646" s="159">
        <v>2</v>
      </c>
      <c r="H1646" s="159"/>
      <c r="I1646" s="160"/>
      <c r="J1646" s="160"/>
      <c r="K1646" s="19"/>
      <c r="L1646" s="20"/>
    </row>
    <row r="1647" spans="1:12" outlineLevel="2">
      <c r="A1647" s="34"/>
      <c r="B1647" s="12" t="str">
        <f>IFERROR(VLOOKUP(D1647,'[1]Перечень товаров'!$A$2:$I9525,2,0),"")</f>
        <v>м181</v>
      </c>
      <c r="C1647" s="12" t="str">
        <f>IFERROR(VLOOKUP(D1647,'[1]Перечень товаров'!$A$2:$I9525,3,0),"")</f>
        <v>Мебель</v>
      </c>
      <c r="D1647" s="35" t="s">
        <v>581</v>
      </c>
      <c r="E1647" s="88"/>
      <c r="F1647" s="88"/>
      <c r="G1647" s="59">
        <v>2</v>
      </c>
      <c r="H1647" s="59"/>
      <c r="I1647" s="60"/>
      <c r="J1647" s="60"/>
      <c r="K1647" s="19"/>
      <c r="L1647" s="20"/>
    </row>
    <row r="1648" spans="1:12" ht="31.5" outlineLevel="2">
      <c r="A1648" s="34"/>
      <c r="B1648" s="12" t="str">
        <f>IFERROR(VLOOKUP(D1648,'[1]Перечень товаров'!$A$2:$I9525,2,0),"")</f>
        <v>тм258</v>
      </c>
      <c r="C1648" s="12" t="str">
        <f>IFERROR(VLOOKUP(D1648,'[1]Перечень товаров'!$A$2:$I9525,3,0),"")</f>
        <v>Техника муз</v>
      </c>
      <c r="D1648" s="35" t="s">
        <v>582</v>
      </c>
      <c r="E1648" s="88"/>
      <c r="F1648" s="88"/>
      <c r="G1648" s="59">
        <v>1</v>
      </c>
      <c r="H1648" s="59"/>
      <c r="I1648" s="60"/>
      <c r="J1648" s="60"/>
      <c r="K1648" s="19"/>
      <c r="L1648" s="20"/>
    </row>
    <row r="1649" spans="1:12" ht="31.5" outlineLevel="2">
      <c r="A1649" s="34"/>
      <c r="B1649" s="12" t="str">
        <f>IFERROR(VLOOKUP(D1649,'[1]Перечень товаров'!$A$2:$I9525,2,0),"")</f>
        <v>тм259</v>
      </c>
      <c r="C1649" s="12" t="str">
        <f>IFERROR(VLOOKUP(D1649,'[1]Перечень товаров'!$A$2:$I9525,3,0),"")</f>
        <v>Техника муз</v>
      </c>
      <c r="D1649" s="35" t="s">
        <v>583</v>
      </c>
      <c r="E1649" s="88"/>
      <c r="F1649" s="88"/>
      <c r="G1649" s="59">
        <v>1</v>
      </c>
      <c r="H1649" s="59"/>
      <c r="I1649" s="60"/>
      <c r="J1649" s="60"/>
      <c r="K1649" s="19"/>
      <c r="L1649" s="20"/>
    </row>
    <row r="1650" spans="1:12" ht="47.25" outlineLevel="2">
      <c r="A1650" s="34"/>
      <c r="B1650" s="12" t="str">
        <f>IFERROR(VLOOKUP(D1650,'[1]Перечень товаров'!$A$2:$I9525,2,0),"")</f>
        <v>п49</v>
      </c>
      <c r="C1650" s="12" t="str">
        <f>IFERROR(VLOOKUP(D1650,'[1]Перечень товаров'!$A$2:$I9525,3,0),"")</f>
        <v>Прочее</v>
      </c>
      <c r="D1650" s="35" t="s">
        <v>584</v>
      </c>
      <c r="E1650" s="88"/>
      <c r="F1650" s="88"/>
      <c r="G1650" s="59">
        <v>1</v>
      </c>
      <c r="H1650" s="59"/>
      <c r="I1650" s="60"/>
      <c r="J1650" s="60"/>
      <c r="K1650" s="19"/>
      <c r="L1650" s="20"/>
    </row>
    <row r="1651" spans="1:12" outlineLevel="2">
      <c r="A1651" s="34"/>
      <c r="B1651" s="12" t="str">
        <f>IFERROR(VLOOKUP(D1651,'[1]Перечень товаров'!$A$2:$I9525,2,0),"")</f>
        <v>п50</v>
      </c>
      <c r="C1651" s="12" t="str">
        <f>IFERROR(VLOOKUP(D1651,'[1]Перечень товаров'!$A$2:$I9525,3,0),"")</f>
        <v>Прочее</v>
      </c>
      <c r="D1651" s="35" t="s">
        <v>585</v>
      </c>
      <c r="E1651" s="88"/>
      <c r="F1651" s="88"/>
      <c r="G1651" s="59">
        <v>1</v>
      </c>
      <c r="H1651" s="59"/>
      <c r="I1651" s="60"/>
      <c r="J1651" s="60"/>
      <c r="K1651" s="19"/>
      <c r="L1651" s="20"/>
    </row>
    <row r="1652" spans="1:12" ht="12.75" outlineLevel="1">
      <c r="A1652" s="89"/>
      <c r="B1652" s="12" t="str">
        <f>IFERROR(VLOOKUP(D1652,'[1]Перечень товаров'!$A$2:$I9525,2,0),"")</f>
        <v/>
      </c>
      <c r="C1652" s="12" t="str">
        <f>IFERROR(VLOOKUP(D1652,'[1]Перечень товаров'!$A$2:$I9525,3,0),"")</f>
        <v/>
      </c>
      <c r="D1652" s="90" t="s">
        <v>586</v>
      </c>
      <c r="E1652" s="108">
        <v>46072</v>
      </c>
      <c r="F1652" s="108"/>
      <c r="G1652" s="100"/>
      <c r="H1652" s="100"/>
      <c r="I1652" s="101"/>
      <c r="J1652" s="101"/>
      <c r="K1652" s="19"/>
      <c r="L1652" s="20"/>
    </row>
    <row r="1653" spans="1:12" outlineLevel="2">
      <c r="A1653" s="113"/>
      <c r="B1653" s="12" t="str">
        <f>IFERROR(VLOOKUP(D1653,'[1]Перечень товаров'!$A$2:$I9525,2,0),"")</f>
        <v/>
      </c>
      <c r="C1653" s="12" t="str">
        <f>IFERROR(VLOOKUP(D1653,'[1]Перечень товаров'!$A$2:$I9525,3,0),"")</f>
        <v/>
      </c>
      <c r="D1653" s="114" t="s">
        <v>19</v>
      </c>
      <c r="E1653" s="115"/>
      <c r="F1653" s="115"/>
      <c r="G1653" s="157"/>
      <c r="H1653" s="157"/>
      <c r="I1653" s="158"/>
      <c r="J1653" s="158"/>
      <c r="K1653" s="19"/>
      <c r="L1653" s="20"/>
    </row>
    <row r="1654" spans="1:12" outlineLevel="2">
      <c r="A1654" s="34"/>
      <c r="B1654" s="12" t="str">
        <f>IFERROR(VLOOKUP(D1654,'[1]Перечень товаров'!$A$2:$I9525,2,0),"")</f>
        <v>м62</v>
      </c>
      <c r="C1654" s="12" t="str">
        <f>IFERROR(VLOOKUP(D1654,'[1]Перечень товаров'!$A$2:$I9525,3,0),"")</f>
        <v>Мебель</v>
      </c>
      <c r="D1654" s="35" t="s">
        <v>398</v>
      </c>
      <c r="E1654" s="88"/>
      <c r="F1654" s="88"/>
      <c r="G1654" s="159">
        <v>1</v>
      </c>
      <c r="H1654" s="159"/>
      <c r="I1654" s="160"/>
      <c r="J1654" s="160"/>
      <c r="K1654" s="19"/>
      <c r="L1654" s="20"/>
    </row>
    <row r="1655" spans="1:12" outlineLevel="2">
      <c r="A1655" s="35"/>
      <c r="B1655" s="12" t="str">
        <f>IFERROR(VLOOKUP(D1655,'[1]Перечень товаров'!$A$2:$I9525,2,0),"")</f>
        <v>м61</v>
      </c>
      <c r="C1655" s="12" t="str">
        <f>IFERROR(VLOOKUP(D1655,'[1]Перечень товаров'!$A$2:$I9525,3,0),"")</f>
        <v>Мебель</v>
      </c>
      <c r="D1655" s="35" t="s">
        <v>383</v>
      </c>
      <c r="E1655" s="88"/>
      <c r="F1655" s="88"/>
      <c r="G1655" s="159">
        <v>1</v>
      </c>
      <c r="H1655" s="159"/>
      <c r="I1655" s="160"/>
      <c r="J1655" s="160"/>
      <c r="K1655" s="19"/>
      <c r="L1655" s="20"/>
    </row>
    <row r="1656" spans="1:12" outlineLevel="2">
      <c r="A1656" s="35"/>
      <c r="B1656" s="12" t="str">
        <f>IFERROR(VLOOKUP(D1656,'[1]Перечень товаров'!$A$2:$I9525,2,0),"")</f>
        <v>м179</v>
      </c>
      <c r="C1656" s="12" t="str">
        <f>IFERROR(VLOOKUP(D1656,'[1]Перечень товаров'!$A$2:$I9525,3,0),"")</f>
        <v>Мебель</v>
      </c>
      <c r="D1656" s="35" t="s">
        <v>579</v>
      </c>
      <c r="E1656" s="88"/>
      <c r="F1656" s="88"/>
      <c r="G1656" s="159">
        <v>10</v>
      </c>
      <c r="H1656" s="159"/>
      <c r="I1656" s="160"/>
      <c r="J1656" s="160"/>
      <c r="K1656" s="19"/>
      <c r="L1656" s="20"/>
    </row>
    <row r="1657" spans="1:12" outlineLevel="2">
      <c r="A1657" s="35"/>
      <c r="B1657" s="12" t="str">
        <f>IFERROR(VLOOKUP(D1657,'[1]Перечень товаров'!$A$2:$I9525,2,0),"")</f>
        <v>м61</v>
      </c>
      <c r="C1657" s="12" t="str">
        <f>IFERROR(VLOOKUP(D1657,'[1]Перечень товаров'!$A$2:$I9525,3,0),"")</f>
        <v>Мебель</v>
      </c>
      <c r="D1657" s="35" t="s">
        <v>384</v>
      </c>
      <c r="E1657" s="88"/>
      <c r="F1657" s="88"/>
      <c r="G1657" s="159">
        <v>20</v>
      </c>
      <c r="H1657" s="159"/>
      <c r="I1657" s="160"/>
      <c r="J1657" s="160"/>
      <c r="K1657" s="19"/>
      <c r="L1657" s="20"/>
    </row>
    <row r="1658" spans="1:12" outlineLevel="2">
      <c r="A1658" s="22"/>
      <c r="B1658" s="12" t="str">
        <f>IFERROR(VLOOKUP(D1658,'[1]Перечень товаров'!$A$2:$I9525,2,0),"")</f>
        <v>м13</v>
      </c>
      <c r="C1658" s="12" t="str">
        <f>IFERROR(VLOOKUP(D1658,'[1]Перечень товаров'!$A$2:$I9525,3,0),"")</f>
        <v>Мебель</v>
      </c>
      <c r="D1658" s="22" t="s">
        <v>42</v>
      </c>
      <c r="E1658" s="88"/>
      <c r="F1658" s="88"/>
      <c r="G1658" s="48">
        <v>1</v>
      </c>
      <c r="H1658" s="48"/>
      <c r="I1658" s="49"/>
      <c r="J1658" s="49"/>
      <c r="K1658" s="19"/>
      <c r="L1658" s="20"/>
    </row>
    <row r="1659" spans="1:12" outlineLevel="2">
      <c r="A1659" s="21"/>
      <c r="B1659" s="12" t="str">
        <f>IFERROR(VLOOKUP(D1659,'[1]Перечень товаров'!$A$2:$I9525,2,0),"")</f>
        <v>м14</v>
      </c>
      <c r="C1659" s="12" t="str">
        <f>IFERROR(VLOOKUP(D1659,'[1]Перечень товаров'!$A$2:$I9525,3,0),"")</f>
        <v>Мебель</v>
      </c>
      <c r="D1659" s="22" t="s">
        <v>43</v>
      </c>
      <c r="E1659" s="88"/>
      <c r="F1659" s="88"/>
      <c r="G1659" s="48">
        <v>1</v>
      </c>
      <c r="H1659" s="48"/>
      <c r="I1659" s="49"/>
      <c r="J1659" s="49"/>
      <c r="K1659" s="19"/>
      <c r="L1659" s="20"/>
    </row>
    <row r="1660" spans="1:12" ht="31.5" outlineLevel="2">
      <c r="A1660" s="21"/>
      <c r="B1660" s="12" t="str">
        <f>IFERROR(VLOOKUP(D1660,'[1]Перечень товаров'!$A$2:$I9525,2,0),"")</f>
        <v>м21</v>
      </c>
      <c r="C1660" s="12" t="str">
        <f>IFERROR(VLOOKUP(D1660,'[1]Перечень товаров'!$A$2:$I9525,3,0),"")</f>
        <v>Мебель</v>
      </c>
      <c r="D1660" s="22" t="s">
        <v>58</v>
      </c>
      <c r="E1660" s="88"/>
      <c r="F1660" s="88"/>
      <c r="G1660" s="48">
        <v>1</v>
      </c>
      <c r="H1660" s="48"/>
      <c r="I1660" s="49"/>
      <c r="J1660" s="49"/>
      <c r="K1660" s="19"/>
      <c r="L1660" s="20"/>
    </row>
    <row r="1661" spans="1:12" outlineLevel="2">
      <c r="A1661" s="114"/>
      <c r="B1661" s="12" t="str">
        <f>IFERROR(VLOOKUP(D1661,'[1]Перечень товаров'!$A$2:$I9525,2,0),"")</f>
        <v/>
      </c>
      <c r="C1661" s="12" t="str">
        <f>IFERROR(VLOOKUP(D1661,'[1]Перечень товаров'!$A$2:$I9525,3,0),"")</f>
        <v/>
      </c>
      <c r="D1661" s="114" t="s">
        <v>391</v>
      </c>
      <c r="E1661" s="161"/>
      <c r="F1661" s="161"/>
      <c r="G1661" s="162"/>
      <c r="H1661" s="162"/>
      <c r="I1661" s="163"/>
      <c r="J1661" s="163"/>
      <c r="K1661" s="19"/>
      <c r="L1661" s="20"/>
    </row>
    <row r="1662" spans="1:12" ht="47.25" outlineLevel="2">
      <c r="A1662" s="34"/>
      <c r="B1662" s="12" t="str">
        <f>IFERROR(VLOOKUP(D1662,'[1]Перечень товаров'!$A$2:$I9525,2,0),"")</f>
        <v>м180</v>
      </c>
      <c r="C1662" s="12" t="str">
        <f>IFERROR(VLOOKUP(D1662,'[1]Перечень товаров'!$A$2:$I9525,3,0),"")</f>
        <v>Мебель</v>
      </c>
      <c r="D1662" s="35" t="s">
        <v>580</v>
      </c>
      <c r="E1662" s="88"/>
      <c r="F1662" s="88"/>
      <c r="G1662" s="159">
        <v>2</v>
      </c>
      <c r="H1662" s="159"/>
      <c r="I1662" s="160"/>
      <c r="J1662" s="160"/>
      <c r="K1662" s="19"/>
      <c r="L1662" s="20"/>
    </row>
    <row r="1663" spans="1:12" outlineLevel="2">
      <c r="A1663" s="34"/>
      <c r="B1663" s="12" t="str">
        <f>IFERROR(VLOOKUP(D1663,'[1]Перечень товаров'!$A$2:$I9525,2,0),"")</f>
        <v>м181</v>
      </c>
      <c r="C1663" s="12" t="str">
        <f>IFERROR(VLOOKUP(D1663,'[1]Перечень товаров'!$A$2:$I9525,3,0),"")</f>
        <v>Мебель</v>
      </c>
      <c r="D1663" s="35" t="s">
        <v>581</v>
      </c>
      <c r="E1663" s="88"/>
      <c r="F1663" s="88"/>
      <c r="G1663" s="59">
        <v>2</v>
      </c>
      <c r="H1663" s="59"/>
      <c r="I1663" s="60"/>
      <c r="J1663" s="60"/>
      <c r="K1663" s="19"/>
      <c r="L1663" s="20"/>
    </row>
    <row r="1664" spans="1:12" ht="31.5" outlineLevel="2">
      <c r="A1664" s="34"/>
      <c r="B1664" s="12" t="str">
        <f>IFERROR(VLOOKUP(D1664,'[1]Перечень товаров'!$A$2:$I9525,2,0),"")</f>
        <v>тм258</v>
      </c>
      <c r="C1664" s="12" t="str">
        <f>IFERROR(VLOOKUP(D1664,'[1]Перечень товаров'!$A$2:$I9525,3,0),"")</f>
        <v>Техника муз</v>
      </c>
      <c r="D1664" s="35" t="s">
        <v>582</v>
      </c>
      <c r="E1664" s="88"/>
      <c r="F1664" s="88"/>
      <c r="G1664" s="59">
        <v>1</v>
      </c>
      <c r="H1664" s="59"/>
      <c r="I1664" s="60"/>
      <c r="J1664" s="60"/>
      <c r="K1664" s="19"/>
      <c r="L1664" s="20"/>
    </row>
    <row r="1665" spans="1:12" ht="31.5" outlineLevel="2">
      <c r="A1665" s="34"/>
      <c r="B1665" s="12" t="str">
        <f>IFERROR(VLOOKUP(D1665,'[1]Перечень товаров'!$A$2:$I9525,2,0),"")</f>
        <v>тм259</v>
      </c>
      <c r="C1665" s="12" t="str">
        <f>IFERROR(VLOOKUP(D1665,'[1]Перечень товаров'!$A$2:$I9525,3,0),"")</f>
        <v>Техника муз</v>
      </c>
      <c r="D1665" s="35" t="s">
        <v>583</v>
      </c>
      <c r="E1665" s="88"/>
      <c r="F1665" s="88"/>
      <c r="G1665" s="59">
        <v>1</v>
      </c>
      <c r="H1665" s="59"/>
      <c r="I1665" s="60"/>
      <c r="J1665" s="60"/>
      <c r="K1665" s="19"/>
      <c r="L1665" s="20"/>
    </row>
    <row r="1666" spans="1:12" ht="47.25" outlineLevel="2">
      <c r="A1666" s="34"/>
      <c r="B1666" s="12" t="str">
        <f>IFERROR(VLOOKUP(D1666,'[1]Перечень товаров'!$A$2:$I9525,2,0),"")</f>
        <v>п49</v>
      </c>
      <c r="C1666" s="12" t="str">
        <f>IFERROR(VLOOKUP(D1666,'[1]Перечень товаров'!$A$2:$I9525,3,0),"")</f>
        <v>Прочее</v>
      </c>
      <c r="D1666" s="35" t="s">
        <v>584</v>
      </c>
      <c r="E1666" s="88"/>
      <c r="F1666" s="88"/>
      <c r="G1666" s="59">
        <v>1</v>
      </c>
      <c r="H1666" s="59"/>
      <c r="I1666" s="60"/>
      <c r="J1666" s="60"/>
      <c r="K1666" s="19"/>
      <c r="L1666" s="20"/>
    </row>
    <row r="1667" spans="1:12" outlineLevel="2">
      <c r="A1667" s="34"/>
      <c r="B1667" s="12" t="str">
        <f>IFERROR(VLOOKUP(D1667,'[1]Перечень товаров'!$A$2:$I9525,2,0),"")</f>
        <v>п50</v>
      </c>
      <c r="C1667" s="12" t="str">
        <f>IFERROR(VLOOKUP(D1667,'[1]Перечень товаров'!$A$2:$I9525,3,0),"")</f>
        <v>Прочее</v>
      </c>
      <c r="D1667" s="35" t="s">
        <v>585</v>
      </c>
      <c r="E1667" s="88"/>
      <c r="F1667" s="88"/>
      <c r="G1667" s="59">
        <v>1</v>
      </c>
      <c r="H1667" s="59"/>
      <c r="I1667" s="60"/>
      <c r="J1667" s="60"/>
      <c r="K1667" s="19"/>
      <c r="L1667" s="20"/>
    </row>
    <row r="1668" spans="1:12" ht="12.75" outlineLevel="1">
      <c r="A1668" s="89"/>
      <c r="B1668" s="12" t="str">
        <f>IFERROR(VLOOKUP(D1668,'[1]Перечень товаров'!$A$2:$I9525,2,0),"")</f>
        <v/>
      </c>
      <c r="C1668" s="12" t="str">
        <f>IFERROR(VLOOKUP(D1668,'[1]Перечень товаров'!$A$2:$I9525,3,0),"")</f>
        <v/>
      </c>
      <c r="D1668" s="90" t="s">
        <v>586</v>
      </c>
      <c r="E1668" s="108">
        <v>46192</v>
      </c>
      <c r="F1668" s="108"/>
      <c r="G1668" s="100"/>
      <c r="H1668" s="100"/>
      <c r="I1668" s="101"/>
      <c r="J1668" s="101"/>
      <c r="K1668" s="19"/>
      <c r="L1668" s="20"/>
    </row>
    <row r="1669" spans="1:12" outlineLevel="2">
      <c r="A1669" s="113"/>
      <c r="B1669" s="12" t="str">
        <f>IFERROR(VLOOKUP(D1669,'[1]Перечень товаров'!$A$2:$I9525,2,0),"")</f>
        <v/>
      </c>
      <c r="C1669" s="12" t="str">
        <f>IFERROR(VLOOKUP(D1669,'[1]Перечень товаров'!$A$2:$I9525,3,0),"")</f>
        <v/>
      </c>
      <c r="D1669" s="114" t="s">
        <v>19</v>
      </c>
      <c r="E1669" s="115"/>
      <c r="F1669" s="115"/>
      <c r="G1669" s="157"/>
      <c r="H1669" s="157"/>
      <c r="I1669" s="158"/>
      <c r="J1669" s="158"/>
      <c r="K1669" s="19"/>
      <c r="L1669" s="20"/>
    </row>
    <row r="1670" spans="1:12" outlineLevel="2">
      <c r="A1670" s="34"/>
      <c r="B1670" s="12" t="str">
        <f>IFERROR(VLOOKUP(D1670,'[1]Перечень товаров'!$A$2:$I9525,2,0),"")</f>
        <v>м62</v>
      </c>
      <c r="C1670" s="12" t="str">
        <f>IFERROR(VLOOKUP(D1670,'[1]Перечень товаров'!$A$2:$I9525,3,0),"")</f>
        <v>Мебель</v>
      </c>
      <c r="D1670" s="35" t="s">
        <v>398</v>
      </c>
      <c r="E1670" s="88"/>
      <c r="F1670" s="88"/>
      <c r="G1670" s="159">
        <v>1</v>
      </c>
      <c r="H1670" s="159"/>
      <c r="I1670" s="160"/>
      <c r="J1670" s="160"/>
      <c r="K1670" s="19"/>
      <c r="L1670" s="20"/>
    </row>
    <row r="1671" spans="1:12" outlineLevel="2">
      <c r="A1671" s="35"/>
      <c r="B1671" s="12" t="str">
        <f>IFERROR(VLOOKUP(D1671,'[1]Перечень товаров'!$A$2:$I9525,2,0),"")</f>
        <v>м61</v>
      </c>
      <c r="C1671" s="12" t="str">
        <f>IFERROR(VLOOKUP(D1671,'[1]Перечень товаров'!$A$2:$I9525,3,0),"")</f>
        <v>Мебель</v>
      </c>
      <c r="D1671" s="35" t="s">
        <v>383</v>
      </c>
      <c r="E1671" s="88"/>
      <c r="F1671" s="88"/>
      <c r="G1671" s="159">
        <v>1</v>
      </c>
      <c r="H1671" s="159"/>
      <c r="I1671" s="160"/>
      <c r="J1671" s="160"/>
      <c r="K1671" s="19"/>
      <c r="L1671" s="20"/>
    </row>
    <row r="1672" spans="1:12" outlineLevel="2">
      <c r="A1672" s="35"/>
      <c r="B1672" s="12" t="str">
        <f>IFERROR(VLOOKUP(D1672,'[1]Перечень товаров'!$A$2:$I9525,2,0),"")</f>
        <v>м179</v>
      </c>
      <c r="C1672" s="12" t="str">
        <f>IFERROR(VLOOKUP(D1672,'[1]Перечень товаров'!$A$2:$I9525,3,0),"")</f>
        <v>Мебель</v>
      </c>
      <c r="D1672" s="35" t="s">
        <v>579</v>
      </c>
      <c r="E1672" s="88"/>
      <c r="F1672" s="88"/>
      <c r="G1672" s="159">
        <v>10</v>
      </c>
      <c r="H1672" s="159"/>
      <c r="I1672" s="160"/>
      <c r="J1672" s="160"/>
      <c r="K1672" s="19"/>
      <c r="L1672" s="20"/>
    </row>
    <row r="1673" spans="1:12" outlineLevel="2">
      <c r="A1673" s="35"/>
      <c r="B1673" s="12" t="str">
        <f>IFERROR(VLOOKUP(D1673,'[1]Перечень товаров'!$A$2:$I9525,2,0),"")</f>
        <v>м61</v>
      </c>
      <c r="C1673" s="12" t="str">
        <f>IFERROR(VLOOKUP(D1673,'[1]Перечень товаров'!$A$2:$I9525,3,0),"")</f>
        <v>Мебель</v>
      </c>
      <c r="D1673" s="35" t="s">
        <v>384</v>
      </c>
      <c r="E1673" s="88"/>
      <c r="F1673" s="88"/>
      <c r="G1673" s="159">
        <v>20</v>
      </c>
      <c r="H1673" s="159"/>
      <c r="I1673" s="160"/>
      <c r="J1673" s="160"/>
      <c r="K1673" s="19"/>
      <c r="L1673" s="20"/>
    </row>
    <row r="1674" spans="1:12" outlineLevel="2">
      <c r="A1674" s="22"/>
      <c r="B1674" s="12" t="str">
        <f>IFERROR(VLOOKUP(D1674,'[1]Перечень товаров'!$A$2:$I9525,2,0),"")</f>
        <v>м13</v>
      </c>
      <c r="C1674" s="12" t="str">
        <f>IFERROR(VLOOKUP(D1674,'[1]Перечень товаров'!$A$2:$I9525,3,0),"")</f>
        <v>Мебель</v>
      </c>
      <c r="D1674" s="22" t="s">
        <v>42</v>
      </c>
      <c r="E1674" s="88"/>
      <c r="F1674" s="88"/>
      <c r="G1674" s="48">
        <v>1</v>
      </c>
      <c r="H1674" s="48"/>
      <c r="I1674" s="49"/>
      <c r="J1674" s="49"/>
      <c r="K1674" s="19"/>
      <c r="L1674" s="20"/>
    </row>
    <row r="1675" spans="1:12" outlineLevel="2">
      <c r="A1675" s="21"/>
      <c r="B1675" s="12" t="str">
        <f>IFERROR(VLOOKUP(D1675,'[1]Перечень товаров'!$A$2:$I9525,2,0),"")</f>
        <v>м14</v>
      </c>
      <c r="C1675" s="12" t="str">
        <f>IFERROR(VLOOKUP(D1675,'[1]Перечень товаров'!$A$2:$I9525,3,0),"")</f>
        <v>Мебель</v>
      </c>
      <c r="D1675" s="22" t="s">
        <v>43</v>
      </c>
      <c r="E1675" s="88"/>
      <c r="F1675" s="88"/>
      <c r="G1675" s="48">
        <v>1</v>
      </c>
      <c r="H1675" s="48"/>
      <c r="I1675" s="49"/>
      <c r="J1675" s="49"/>
      <c r="K1675" s="19"/>
      <c r="L1675" s="20"/>
    </row>
    <row r="1676" spans="1:12" ht="31.5" outlineLevel="2">
      <c r="A1676" s="21"/>
      <c r="B1676" s="12" t="str">
        <f>IFERROR(VLOOKUP(D1676,'[1]Перечень товаров'!$A$2:$I9525,2,0),"")</f>
        <v>м21</v>
      </c>
      <c r="C1676" s="12" t="str">
        <f>IFERROR(VLOOKUP(D1676,'[1]Перечень товаров'!$A$2:$I9525,3,0),"")</f>
        <v>Мебель</v>
      </c>
      <c r="D1676" s="22" t="s">
        <v>58</v>
      </c>
      <c r="E1676" s="88"/>
      <c r="F1676" s="88"/>
      <c r="G1676" s="48">
        <v>1</v>
      </c>
      <c r="H1676" s="48"/>
      <c r="I1676" s="49"/>
      <c r="J1676" s="49"/>
      <c r="K1676" s="19"/>
      <c r="L1676" s="20"/>
    </row>
    <row r="1677" spans="1:12" outlineLevel="2">
      <c r="A1677" s="114"/>
      <c r="B1677" s="12" t="str">
        <f>IFERROR(VLOOKUP(D1677,'[1]Перечень товаров'!$A$2:$I9525,2,0),"")</f>
        <v/>
      </c>
      <c r="C1677" s="12" t="str">
        <f>IFERROR(VLOOKUP(D1677,'[1]Перечень товаров'!$A$2:$I9525,3,0),"")</f>
        <v/>
      </c>
      <c r="D1677" s="114" t="s">
        <v>391</v>
      </c>
      <c r="E1677" s="161"/>
      <c r="F1677" s="161"/>
      <c r="G1677" s="162"/>
      <c r="H1677" s="162"/>
      <c r="I1677" s="163"/>
      <c r="J1677" s="163"/>
      <c r="K1677" s="19"/>
      <c r="L1677" s="20"/>
    </row>
    <row r="1678" spans="1:12" ht="47.25" outlineLevel="2">
      <c r="A1678" s="34"/>
      <c r="B1678" s="12" t="str">
        <f>IFERROR(VLOOKUP(D1678,'[1]Перечень товаров'!$A$2:$I9525,2,0),"")</f>
        <v>м180</v>
      </c>
      <c r="C1678" s="12" t="str">
        <f>IFERROR(VLOOKUP(D1678,'[1]Перечень товаров'!$A$2:$I9525,3,0),"")</f>
        <v>Мебель</v>
      </c>
      <c r="D1678" s="35" t="s">
        <v>580</v>
      </c>
      <c r="E1678" s="88"/>
      <c r="F1678" s="88"/>
      <c r="G1678" s="159">
        <v>2</v>
      </c>
      <c r="H1678" s="159"/>
      <c r="I1678" s="160"/>
      <c r="J1678" s="160"/>
      <c r="K1678" s="19"/>
      <c r="L1678" s="20"/>
    </row>
    <row r="1679" spans="1:12" outlineLevel="2">
      <c r="A1679" s="34"/>
      <c r="B1679" s="12" t="str">
        <f>IFERROR(VLOOKUP(D1679,'[1]Перечень товаров'!$A$2:$I9525,2,0),"")</f>
        <v>м181</v>
      </c>
      <c r="C1679" s="12" t="str">
        <f>IFERROR(VLOOKUP(D1679,'[1]Перечень товаров'!$A$2:$I9525,3,0),"")</f>
        <v>Мебель</v>
      </c>
      <c r="D1679" s="35" t="s">
        <v>581</v>
      </c>
      <c r="E1679" s="88"/>
      <c r="F1679" s="88"/>
      <c r="G1679" s="59">
        <v>2</v>
      </c>
      <c r="H1679" s="59"/>
      <c r="I1679" s="60"/>
      <c r="J1679" s="60"/>
      <c r="K1679" s="19"/>
      <c r="L1679" s="20"/>
    </row>
    <row r="1680" spans="1:12" ht="31.5" outlineLevel="2">
      <c r="A1680" s="34"/>
      <c r="B1680" s="12" t="str">
        <f>IFERROR(VLOOKUP(D1680,'[1]Перечень товаров'!$A$2:$I9525,2,0),"")</f>
        <v>тм258</v>
      </c>
      <c r="C1680" s="12" t="str">
        <f>IFERROR(VLOOKUP(D1680,'[1]Перечень товаров'!$A$2:$I9525,3,0),"")</f>
        <v>Техника муз</v>
      </c>
      <c r="D1680" s="35" t="s">
        <v>582</v>
      </c>
      <c r="E1680" s="88"/>
      <c r="F1680" s="88"/>
      <c r="G1680" s="59">
        <v>1</v>
      </c>
      <c r="H1680" s="59"/>
      <c r="I1680" s="60"/>
      <c r="J1680" s="60"/>
      <c r="K1680" s="19"/>
      <c r="L1680" s="20"/>
    </row>
    <row r="1681" spans="1:12" ht="31.5" outlineLevel="2">
      <c r="A1681" s="34"/>
      <c r="B1681" s="12" t="str">
        <f>IFERROR(VLOOKUP(D1681,'[1]Перечень товаров'!$A$2:$I9525,2,0),"")</f>
        <v>тм259</v>
      </c>
      <c r="C1681" s="12" t="str">
        <f>IFERROR(VLOOKUP(D1681,'[1]Перечень товаров'!$A$2:$I9525,3,0),"")</f>
        <v>Техника муз</v>
      </c>
      <c r="D1681" s="35" t="s">
        <v>583</v>
      </c>
      <c r="E1681" s="88"/>
      <c r="F1681" s="88"/>
      <c r="G1681" s="59">
        <v>1</v>
      </c>
      <c r="H1681" s="59"/>
      <c r="I1681" s="60"/>
      <c r="J1681" s="60"/>
      <c r="K1681" s="19"/>
      <c r="L1681" s="20"/>
    </row>
    <row r="1682" spans="1:12" ht="47.25" outlineLevel="2">
      <c r="A1682" s="34"/>
      <c r="B1682" s="12" t="str">
        <f>IFERROR(VLOOKUP(D1682,'[1]Перечень товаров'!$A$2:$I9525,2,0),"")</f>
        <v>п49</v>
      </c>
      <c r="C1682" s="12" t="str">
        <f>IFERROR(VLOOKUP(D1682,'[1]Перечень товаров'!$A$2:$I9525,3,0),"")</f>
        <v>Прочее</v>
      </c>
      <c r="D1682" s="35" t="s">
        <v>584</v>
      </c>
      <c r="E1682" s="88"/>
      <c r="F1682" s="88"/>
      <c r="G1682" s="59">
        <v>1</v>
      </c>
      <c r="H1682" s="59"/>
      <c r="I1682" s="60"/>
      <c r="J1682" s="60"/>
      <c r="K1682" s="19"/>
      <c r="L1682" s="20"/>
    </row>
    <row r="1683" spans="1:12" outlineLevel="2">
      <c r="A1683" s="34"/>
      <c r="B1683" s="12" t="str">
        <f>IFERROR(VLOOKUP(D1683,'[1]Перечень товаров'!$A$2:$I9525,2,0),"")</f>
        <v>п50</v>
      </c>
      <c r="C1683" s="12" t="str">
        <f>IFERROR(VLOOKUP(D1683,'[1]Перечень товаров'!$A$2:$I9525,3,0),"")</f>
        <v>Прочее</v>
      </c>
      <c r="D1683" s="35" t="s">
        <v>585</v>
      </c>
      <c r="E1683" s="88"/>
      <c r="F1683" s="88"/>
      <c r="G1683" s="59">
        <v>1</v>
      </c>
      <c r="H1683" s="59"/>
      <c r="I1683" s="60"/>
      <c r="J1683" s="60"/>
      <c r="K1683" s="19"/>
      <c r="L1683" s="20"/>
    </row>
    <row r="1684" spans="1:12" ht="12.75" outlineLevel="1">
      <c r="A1684" s="89"/>
      <c r="B1684" s="12" t="str">
        <f>IFERROR(VLOOKUP(D1684,'[1]Перечень товаров'!$A$2:$I9525,2,0),"")</f>
        <v/>
      </c>
      <c r="C1684" s="12" t="str">
        <f>IFERROR(VLOOKUP(D1684,'[1]Перечень товаров'!$A$2:$I9525,3,0),"")</f>
        <v/>
      </c>
      <c r="D1684" s="90" t="s">
        <v>586</v>
      </c>
      <c r="E1684" s="108">
        <v>46072</v>
      </c>
      <c r="F1684" s="108"/>
      <c r="G1684" s="100"/>
      <c r="H1684" s="100"/>
      <c r="I1684" s="101"/>
      <c r="J1684" s="101"/>
      <c r="K1684" s="19"/>
      <c r="L1684" s="20"/>
    </row>
    <row r="1685" spans="1:12" outlineLevel="2">
      <c r="A1685" s="113"/>
      <c r="B1685" s="12" t="str">
        <f>IFERROR(VLOOKUP(D1685,'[1]Перечень товаров'!$A$2:$I9525,2,0),"")</f>
        <v/>
      </c>
      <c r="C1685" s="12" t="str">
        <f>IFERROR(VLOOKUP(D1685,'[1]Перечень товаров'!$A$2:$I9525,3,0),"")</f>
        <v/>
      </c>
      <c r="D1685" s="114" t="s">
        <v>19</v>
      </c>
      <c r="E1685" s="115"/>
      <c r="F1685" s="115"/>
      <c r="G1685" s="157"/>
      <c r="H1685" s="157"/>
      <c r="I1685" s="158"/>
      <c r="J1685" s="158"/>
      <c r="K1685" s="19"/>
      <c r="L1685" s="20"/>
    </row>
    <row r="1686" spans="1:12" outlineLevel="2">
      <c r="A1686" s="34"/>
      <c r="B1686" s="12" t="str">
        <f>IFERROR(VLOOKUP(D1686,'[1]Перечень товаров'!$A$2:$I9525,2,0),"")</f>
        <v>м62</v>
      </c>
      <c r="C1686" s="12" t="str">
        <f>IFERROR(VLOOKUP(D1686,'[1]Перечень товаров'!$A$2:$I9525,3,0),"")</f>
        <v>Мебель</v>
      </c>
      <c r="D1686" s="35" t="s">
        <v>398</v>
      </c>
      <c r="E1686" s="88"/>
      <c r="F1686" s="88"/>
      <c r="G1686" s="159">
        <v>1</v>
      </c>
      <c r="H1686" s="159"/>
      <c r="I1686" s="160"/>
      <c r="J1686" s="160"/>
      <c r="K1686" s="19"/>
      <c r="L1686" s="20"/>
    </row>
    <row r="1687" spans="1:12" outlineLevel="2">
      <c r="A1687" s="35"/>
      <c r="B1687" s="12" t="str">
        <f>IFERROR(VLOOKUP(D1687,'[1]Перечень товаров'!$A$2:$I9525,2,0),"")</f>
        <v>м61</v>
      </c>
      <c r="C1687" s="12" t="str">
        <f>IFERROR(VLOOKUP(D1687,'[1]Перечень товаров'!$A$2:$I9525,3,0),"")</f>
        <v>Мебель</v>
      </c>
      <c r="D1687" s="35" t="s">
        <v>383</v>
      </c>
      <c r="E1687" s="88"/>
      <c r="F1687" s="88"/>
      <c r="G1687" s="159">
        <v>1</v>
      </c>
      <c r="H1687" s="159"/>
      <c r="I1687" s="160"/>
      <c r="J1687" s="160"/>
      <c r="K1687" s="19"/>
      <c r="L1687" s="20"/>
    </row>
    <row r="1688" spans="1:12" outlineLevel="2">
      <c r="A1688" s="35"/>
      <c r="B1688" s="12" t="str">
        <f>IFERROR(VLOOKUP(D1688,'[1]Перечень товаров'!$A$2:$I9525,2,0),"")</f>
        <v>м179</v>
      </c>
      <c r="C1688" s="12" t="str">
        <f>IFERROR(VLOOKUP(D1688,'[1]Перечень товаров'!$A$2:$I9525,3,0),"")</f>
        <v>Мебель</v>
      </c>
      <c r="D1688" s="35" t="s">
        <v>579</v>
      </c>
      <c r="E1688" s="88"/>
      <c r="F1688" s="88"/>
      <c r="G1688" s="159">
        <v>10</v>
      </c>
      <c r="H1688" s="159"/>
      <c r="I1688" s="160"/>
      <c r="J1688" s="160"/>
      <c r="K1688" s="19"/>
      <c r="L1688" s="20"/>
    </row>
    <row r="1689" spans="1:12" outlineLevel="2">
      <c r="A1689" s="35"/>
      <c r="B1689" s="12" t="str">
        <f>IFERROR(VLOOKUP(D1689,'[1]Перечень товаров'!$A$2:$I9525,2,0),"")</f>
        <v>м61</v>
      </c>
      <c r="C1689" s="12" t="str">
        <f>IFERROR(VLOOKUP(D1689,'[1]Перечень товаров'!$A$2:$I9525,3,0),"")</f>
        <v>Мебель</v>
      </c>
      <c r="D1689" s="35" t="s">
        <v>384</v>
      </c>
      <c r="E1689" s="88"/>
      <c r="F1689" s="88"/>
      <c r="G1689" s="159">
        <v>20</v>
      </c>
      <c r="H1689" s="159"/>
      <c r="I1689" s="160"/>
      <c r="J1689" s="160"/>
      <c r="K1689" s="19"/>
      <c r="L1689" s="20"/>
    </row>
    <row r="1690" spans="1:12" outlineLevel="2">
      <c r="A1690" s="22"/>
      <c r="B1690" s="12" t="str">
        <f>IFERROR(VLOOKUP(D1690,'[1]Перечень товаров'!$A$2:$I9525,2,0),"")</f>
        <v>м13</v>
      </c>
      <c r="C1690" s="12" t="str">
        <f>IFERROR(VLOOKUP(D1690,'[1]Перечень товаров'!$A$2:$I9525,3,0),"")</f>
        <v>Мебель</v>
      </c>
      <c r="D1690" s="22" t="s">
        <v>42</v>
      </c>
      <c r="E1690" s="88"/>
      <c r="F1690" s="88"/>
      <c r="G1690" s="48">
        <v>1</v>
      </c>
      <c r="H1690" s="48"/>
      <c r="I1690" s="49"/>
      <c r="J1690" s="49"/>
      <c r="K1690" s="19"/>
      <c r="L1690" s="20"/>
    </row>
    <row r="1691" spans="1:12" outlineLevel="2">
      <c r="A1691" s="21"/>
      <c r="B1691" s="12" t="str">
        <f>IFERROR(VLOOKUP(D1691,'[1]Перечень товаров'!$A$2:$I9525,2,0),"")</f>
        <v>м14</v>
      </c>
      <c r="C1691" s="12" t="str">
        <f>IFERROR(VLOOKUP(D1691,'[1]Перечень товаров'!$A$2:$I9525,3,0),"")</f>
        <v>Мебель</v>
      </c>
      <c r="D1691" s="22" t="s">
        <v>43</v>
      </c>
      <c r="E1691" s="88"/>
      <c r="F1691" s="88"/>
      <c r="G1691" s="48">
        <v>1</v>
      </c>
      <c r="H1691" s="48"/>
      <c r="I1691" s="49"/>
      <c r="J1691" s="49"/>
      <c r="K1691" s="19"/>
      <c r="L1691" s="20"/>
    </row>
    <row r="1692" spans="1:12" ht="31.5" outlineLevel="2">
      <c r="A1692" s="21"/>
      <c r="B1692" s="12" t="str">
        <f>IFERROR(VLOOKUP(D1692,'[1]Перечень товаров'!$A$2:$I9525,2,0),"")</f>
        <v>м21</v>
      </c>
      <c r="C1692" s="12" t="str">
        <f>IFERROR(VLOOKUP(D1692,'[1]Перечень товаров'!$A$2:$I9525,3,0),"")</f>
        <v>Мебель</v>
      </c>
      <c r="D1692" s="22" t="s">
        <v>58</v>
      </c>
      <c r="E1692" s="88"/>
      <c r="F1692" s="88"/>
      <c r="G1692" s="48">
        <v>1</v>
      </c>
      <c r="H1692" s="48"/>
      <c r="I1692" s="49"/>
      <c r="J1692" s="49"/>
      <c r="K1692" s="19"/>
      <c r="L1692" s="20"/>
    </row>
    <row r="1693" spans="1:12" outlineLevel="2">
      <c r="A1693" s="114"/>
      <c r="B1693" s="12" t="str">
        <f>IFERROR(VLOOKUP(D1693,'[1]Перечень товаров'!$A$2:$I9525,2,0),"")</f>
        <v/>
      </c>
      <c r="C1693" s="12" t="str">
        <f>IFERROR(VLOOKUP(D1693,'[1]Перечень товаров'!$A$2:$I9525,3,0),"")</f>
        <v/>
      </c>
      <c r="D1693" s="114" t="s">
        <v>391</v>
      </c>
      <c r="E1693" s="161"/>
      <c r="F1693" s="161"/>
      <c r="G1693" s="162"/>
      <c r="H1693" s="162"/>
      <c r="I1693" s="163"/>
      <c r="J1693" s="163"/>
      <c r="K1693" s="19"/>
      <c r="L1693" s="20"/>
    </row>
    <row r="1694" spans="1:12" ht="47.25" outlineLevel="2">
      <c r="A1694" s="34"/>
      <c r="B1694" s="12" t="str">
        <f>IFERROR(VLOOKUP(D1694,'[1]Перечень товаров'!$A$2:$I9525,2,0),"")</f>
        <v>м180</v>
      </c>
      <c r="C1694" s="12" t="str">
        <f>IFERROR(VLOOKUP(D1694,'[1]Перечень товаров'!$A$2:$I9525,3,0),"")</f>
        <v>Мебель</v>
      </c>
      <c r="D1694" s="35" t="s">
        <v>580</v>
      </c>
      <c r="E1694" s="88"/>
      <c r="F1694" s="88"/>
      <c r="G1694" s="159">
        <v>2</v>
      </c>
      <c r="H1694" s="159"/>
      <c r="I1694" s="160"/>
      <c r="J1694" s="160"/>
      <c r="K1694" s="19"/>
      <c r="L1694" s="20"/>
    </row>
    <row r="1695" spans="1:12" outlineLevel="2">
      <c r="A1695" s="34"/>
      <c r="B1695" s="12" t="str">
        <f>IFERROR(VLOOKUP(D1695,'[1]Перечень товаров'!$A$2:$I9525,2,0),"")</f>
        <v>м181</v>
      </c>
      <c r="C1695" s="12" t="str">
        <f>IFERROR(VLOOKUP(D1695,'[1]Перечень товаров'!$A$2:$I9525,3,0),"")</f>
        <v>Мебель</v>
      </c>
      <c r="D1695" s="35" t="s">
        <v>581</v>
      </c>
      <c r="E1695" s="88"/>
      <c r="F1695" s="88"/>
      <c r="G1695" s="59">
        <v>2</v>
      </c>
      <c r="H1695" s="59"/>
      <c r="I1695" s="60"/>
      <c r="J1695" s="60"/>
      <c r="K1695" s="19"/>
      <c r="L1695" s="20"/>
    </row>
    <row r="1696" spans="1:12" ht="31.5" outlineLevel="2">
      <c r="A1696" s="34"/>
      <c r="B1696" s="12" t="str">
        <f>IFERROR(VLOOKUP(D1696,'[1]Перечень товаров'!$A$2:$I9525,2,0),"")</f>
        <v>тм258</v>
      </c>
      <c r="C1696" s="12" t="str">
        <f>IFERROR(VLOOKUP(D1696,'[1]Перечень товаров'!$A$2:$I9525,3,0),"")</f>
        <v>Техника муз</v>
      </c>
      <c r="D1696" s="35" t="s">
        <v>582</v>
      </c>
      <c r="E1696" s="88"/>
      <c r="F1696" s="88"/>
      <c r="G1696" s="59">
        <v>1</v>
      </c>
      <c r="H1696" s="59"/>
      <c r="I1696" s="60"/>
      <c r="J1696" s="60"/>
      <c r="K1696" s="19"/>
      <c r="L1696" s="20"/>
    </row>
    <row r="1697" spans="1:12" ht="31.5" outlineLevel="2">
      <c r="A1697" s="34"/>
      <c r="B1697" s="12" t="str">
        <f>IFERROR(VLOOKUP(D1697,'[1]Перечень товаров'!$A$2:$I9525,2,0),"")</f>
        <v>тм259</v>
      </c>
      <c r="C1697" s="12" t="str">
        <f>IFERROR(VLOOKUP(D1697,'[1]Перечень товаров'!$A$2:$I9525,3,0),"")</f>
        <v>Техника муз</v>
      </c>
      <c r="D1697" s="35" t="s">
        <v>583</v>
      </c>
      <c r="E1697" s="88"/>
      <c r="F1697" s="88"/>
      <c r="G1697" s="59">
        <v>1</v>
      </c>
      <c r="H1697" s="59"/>
      <c r="I1697" s="60"/>
      <c r="J1697" s="60"/>
      <c r="K1697" s="19"/>
      <c r="L1697" s="20"/>
    </row>
    <row r="1698" spans="1:12" ht="47.25" outlineLevel="2">
      <c r="A1698" s="34"/>
      <c r="B1698" s="12" t="str">
        <f>IFERROR(VLOOKUP(D1698,'[1]Перечень товаров'!$A$2:$I9525,2,0),"")</f>
        <v>п49</v>
      </c>
      <c r="C1698" s="12" t="str">
        <f>IFERROR(VLOOKUP(D1698,'[1]Перечень товаров'!$A$2:$I9525,3,0),"")</f>
        <v>Прочее</v>
      </c>
      <c r="D1698" s="35" t="s">
        <v>584</v>
      </c>
      <c r="E1698" s="88"/>
      <c r="F1698" s="88"/>
      <c r="G1698" s="59">
        <v>1</v>
      </c>
      <c r="H1698" s="59"/>
      <c r="I1698" s="60"/>
      <c r="J1698" s="60"/>
      <c r="K1698" s="19"/>
      <c r="L1698" s="20"/>
    </row>
    <row r="1699" spans="1:12" outlineLevel="2">
      <c r="A1699" s="34"/>
      <c r="B1699" s="12" t="str">
        <f>IFERROR(VLOOKUP(D1699,'[1]Перечень товаров'!$A$2:$I9525,2,0),"")</f>
        <v>п50</v>
      </c>
      <c r="C1699" s="12" t="str">
        <f>IFERROR(VLOOKUP(D1699,'[1]Перечень товаров'!$A$2:$I9525,3,0),"")</f>
        <v>Прочее</v>
      </c>
      <c r="D1699" s="35" t="s">
        <v>585</v>
      </c>
      <c r="E1699" s="88"/>
      <c r="F1699" s="88"/>
      <c r="G1699" s="59">
        <v>1</v>
      </c>
      <c r="H1699" s="59"/>
      <c r="I1699" s="60"/>
      <c r="J1699" s="60"/>
      <c r="K1699" s="19"/>
      <c r="L1699" s="20"/>
    </row>
    <row r="1700" spans="1:12" ht="12.75" outlineLevel="1">
      <c r="A1700" s="89"/>
      <c r="B1700" s="12" t="str">
        <f>IFERROR(VLOOKUP(D1700,'[1]Перечень товаров'!$A$2:$I9525,2,0),"")</f>
        <v/>
      </c>
      <c r="C1700" s="12" t="str">
        <f>IFERROR(VLOOKUP(D1700,'[1]Перечень товаров'!$A$2:$I9525,3,0),"")</f>
        <v/>
      </c>
      <c r="D1700" s="90" t="s">
        <v>586</v>
      </c>
      <c r="E1700" s="108">
        <v>46192</v>
      </c>
      <c r="F1700" s="108"/>
      <c r="G1700" s="100"/>
      <c r="H1700" s="100"/>
      <c r="I1700" s="101"/>
      <c r="J1700" s="101"/>
      <c r="K1700" s="19"/>
      <c r="L1700" s="20"/>
    </row>
    <row r="1701" spans="1:12" outlineLevel="2">
      <c r="A1701" s="113"/>
      <c r="B1701" s="12" t="str">
        <f>IFERROR(VLOOKUP(D1701,'[1]Перечень товаров'!$A$2:$I9525,2,0),"")</f>
        <v/>
      </c>
      <c r="C1701" s="12" t="str">
        <f>IFERROR(VLOOKUP(D1701,'[1]Перечень товаров'!$A$2:$I9525,3,0),"")</f>
        <v/>
      </c>
      <c r="D1701" s="114" t="s">
        <v>19</v>
      </c>
      <c r="E1701" s="115"/>
      <c r="F1701" s="115"/>
      <c r="G1701" s="157"/>
      <c r="H1701" s="157"/>
      <c r="I1701" s="158"/>
      <c r="J1701" s="158"/>
      <c r="K1701" s="19"/>
      <c r="L1701" s="20"/>
    </row>
    <row r="1702" spans="1:12" outlineLevel="2">
      <c r="A1702" s="34"/>
      <c r="B1702" s="12" t="str">
        <f>IFERROR(VLOOKUP(D1702,'[1]Перечень товаров'!$A$2:$I9525,2,0),"")</f>
        <v>м62</v>
      </c>
      <c r="C1702" s="12" t="str">
        <f>IFERROR(VLOOKUP(D1702,'[1]Перечень товаров'!$A$2:$I9525,3,0),"")</f>
        <v>Мебель</v>
      </c>
      <c r="D1702" s="35" t="s">
        <v>398</v>
      </c>
      <c r="E1702" s="88"/>
      <c r="F1702" s="88"/>
      <c r="G1702" s="159">
        <v>1</v>
      </c>
      <c r="H1702" s="159"/>
      <c r="I1702" s="160"/>
      <c r="J1702" s="160"/>
      <c r="K1702" s="19"/>
      <c r="L1702" s="20"/>
    </row>
    <row r="1703" spans="1:12" outlineLevel="2">
      <c r="A1703" s="35"/>
      <c r="B1703" s="12" t="str">
        <f>IFERROR(VLOOKUP(D1703,'[1]Перечень товаров'!$A$2:$I9525,2,0),"")</f>
        <v>м61</v>
      </c>
      <c r="C1703" s="12" t="str">
        <f>IFERROR(VLOOKUP(D1703,'[1]Перечень товаров'!$A$2:$I9525,3,0),"")</f>
        <v>Мебель</v>
      </c>
      <c r="D1703" s="35" t="s">
        <v>383</v>
      </c>
      <c r="E1703" s="88"/>
      <c r="F1703" s="88"/>
      <c r="G1703" s="159">
        <v>1</v>
      </c>
      <c r="H1703" s="159"/>
      <c r="I1703" s="160"/>
      <c r="J1703" s="160"/>
      <c r="K1703" s="19"/>
      <c r="L1703" s="20"/>
    </row>
    <row r="1704" spans="1:12" outlineLevel="2">
      <c r="A1704" s="35"/>
      <c r="B1704" s="12" t="str">
        <f>IFERROR(VLOOKUP(D1704,'[1]Перечень товаров'!$A$2:$I9525,2,0),"")</f>
        <v>м179</v>
      </c>
      <c r="C1704" s="12" t="str">
        <f>IFERROR(VLOOKUP(D1704,'[1]Перечень товаров'!$A$2:$I9525,3,0),"")</f>
        <v>Мебель</v>
      </c>
      <c r="D1704" s="35" t="s">
        <v>579</v>
      </c>
      <c r="E1704" s="88"/>
      <c r="F1704" s="88"/>
      <c r="G1704" s="159">
        <v>10</v>
      </c>
      <c r="H1704" s="159"/>
      <c r="I1704" s="160"/>
      <c r="J1704" s="160"/>
      <c r="K1704" s="19"/>
      <c r="L1704" s="20"/>
    </row>
    <row r="1705" spans="1:12" outlineLevel="2">
      <c r="A1705" s="35"/>
      <c r="B1705" s="12" t="str">
        <f>IFERROR(VLOOKUP(D1705,'[1]Перечень товаров'!$A$2:$I9525,2,0),"")</f>
        <v>м61</v>
      </c>
      <c r="C1705" s="12" t="str">
        <f>IFERROR(VLOOKUP(D1705,'[1]Перечень товаров'!$A$2:$I9525,3,0),"")</f>
        <v>Мебель</v>
      </c>
      <c r="D1705" s="35" t="s">
        <v>384</v>
      </c>
      <c r="E1705" s="88"/>
      <c r="F1705" s="88"/>
      <c r="G1705" s="159">
        <v>20</v>
      </c>
      <c r="H1705" s="159"/>
      <c r="I1705" s="160"/>
      <c r="J1705" s="160"/>
      <c r="K1705" s="19"/>
      <c r="L1705" s="20"/>
    </row>
    <row r="1706" spans="1:12" outlineLevel="2">
      <c r="A1706" s="22"/>
      <c r="B1706" s="12" t="str">
        <f>IFERROR(VLOOKUP(D1706,'[1]Перечень товаров'!$A$2:$I9525,2,0),"")</f>
        <v>м13</v>
      </c>
      <c r="C1706" s="12" t="str">
        <f>IFERROR(VLOOKUP(D1706,'[1]Перечень товаров'!$A$2:$I9525,3,0),"")</f>
        <v>Мебель</v>
      </c>
      <c r="D1706" s="22" t="s">
        <v>42</v>
      </c>
      <c r="E1706" s="88"/>
      <c r="F1706" s="88"/>
      <c r="G1706" s="48">
        <v>1</v>
      </c>
      <c r="H1706" s="48"/>
      <c r="I1706" s="49"/>
      <c r="J1706" s="49"/>
      <c r="K1706" s="19"/>
      <c r="L1706" s="20"/>
    </row>
    <row r="1707" spans="1:12" outlineLevel="2">
      <c r="A1707" s="21"/>
      <c r="B1707" s="12" t="str">
        <f>IFERROR(VLOOKUP(D1707,'[1]Перечень товаров'!$A$2:$I9525,2,0),"")</f>
        <v>м14</v>
      </c>
      <c r="C1707" s="12" t="str">
        <f>IFERROR(VLOOKUP(D1707,'[1]Перечень товаров'!$A$2:$I9525,3,0),"")</f>
        <v>Мебель</v>
      </c>
      <c r="D1707" s="22" t="s">
        <v>43</v>
      </c>
      <c r="E1707" s="88"/>
      <c r="F1707" s="88"/>
      <c r="G1707" s="48">
        <v>1</v>
      </c>
      <c r="H1707" s="48"/>
      <c r="I1707" s="49"/>
      <c r="J1707" s="49"/>
      <c r="K1707" s="19"/>
      <c r="L1707" s="20"/>
    </row>
    <row r="1708" spans="1:12" ht="31.5" outlineLevel="2">
      <c r="A1708" s="21"/>
      <c r="B1708" s="12" t="str">
        <f>IFERROR(VLOOKUP(D1708,'[1]Перечень товаров'!$A$2:$I9525,2,0),"")</f>
        <v>м21</v>
      </c>
      <c r="C1708" s="12" t="str">
        <f>IFERROR(VLOOKUP(D1708,'[1]Перечень товаров'!$A$2:$I9525,3,0),"")</f>
        <v>Мебель</v>
      </c>
      <c r="D1708" s="22" t="s">
        <v>58</v>
      </c>
      <c r="E1708" s="88"/>
      <c r="F1708" s="88"/>
      <c r="G1708" s="48">
        <v>1</v>
      </c>
      <c r="H1708" s="48"/>
      <c r="I1708" s="49"/>
      <c r="J1708" s="49"/>
      <c r="K1708" s="19"/>
      <c r="L1708" s="20"/>
    </row>
    <row r="1709" spans="1:12" outlineLevel="2">
      <c r="A1709" s="114"/>
      <c r="B1709" s="12" t="str">
        <f>IFERROR(VLOOKUP(D1709,'[1]Перечень товаров'!$A$2:$I9525,2,0),"")</f>
        <v/>
      </c>
      <c r="C1709" s="12" t="str">
        <f>IFERROR(VLOOKUP(D1709,'[1]Перечень товаров'!$A$2:$I9525,3,0),"")</f>
        <v/>
      </c>
      <c r="D1709" s="114" t="s">
        <v>391</v>
      </c>
      <c r="E1709" s="161"/>
      <c r="F1709" s="161"/>
      <c r="G1709" s="162"/>
      <c r="H1709" s="162"/>
      <c r="I1709" s="163"/>
      <c r="J1709" s="163"/>
      <c r="K1709" s="19"/>
      <c r="L1709" s="20"/>
    </row>
    <row r="1710" spans="1:12" ht="47.25" outlineLevel="2">
      <c r="A1710" s="34"/>
      <c r="B1710" s="12" t="str">
        <f>IFERROR(VLOOKUP(D1710,'[1]Перечень товаров'!$A$2:$I9525,2,0),"")</f>
        <v>м180</v>
      </c>
      <c r="C1710" s="12" t="str">
        <f>IFERROR(VLOOKUP(D1710,'[1]Перечень товаров'!$A$2:$I9525,3,0),"")</f>
        <v>Мебель</v>
      </c>
      <c r="D1710" s="35" t="s">
        <v>580</v>
      </c>
      <c r="E1710" s="88"/>
      <c r="F1710" s="88"/>
      <c r="G1710" s="159">
        <v>2</v>
      </c>
      <c r="H1710" s="159"/>
      <c r="I1710" s="160"/>
      <c r="J1710" s="160"/>
      <c r="K1710" s="19"/>
      <c r="L1710" s="20"/>
    </row>
    <row r="1711" spans="1:12" outlineLevel="2">
      <c r="A1711" s="34"/>
      <c r="B1711" s="12" t="str">
        <f>IFERROR(VLOOKUP(D1711,'[1]Перечень товаров'!$A$2:$I9525,2,0),"")</f>
        <v>м181</v>
      </c>
      <c r="C1711" s="12" t="str">
        <f>IFERROR(VLOOKUP(D1711,'[1]Перечень товаров'!$A$2:$I9525,3,0),"")</f>
        <v>Мебель</v>
      </c>
      <c r="D1711" s="35" t="s">
        <v>581</v>
      </c>
      <c r="E1711" s="88"/>
      <c r="F1711" s="88"/>
      <c r="G1711" s="59">
        <v>2</v>
      </c>
      <c r="H1711" s="59"/>
      <c r="I1711" s="60"/>
      <c r="J1711" s="60"/>
      <c r="K1711" s="19"/>
      <c r="L1711" s="20"/>
    </row>
    <row r="1712" spans="1:12" ht="31.5" outlineLevel="2">
      <c r="A1712" s="34"/>
      <c r="B1712" s="12" t="str">
        <f>IFERROR(VLOOKUP(D1712,'[1]Перечень товаров'!$A$2:$I9525,2,0),"")</f>
        <v>тм258</v>
      </c>
      <c r="C1712" s="12" t="str">
        <f>IFERROR(VLOOKUP(D1712,'[1]Перечень товаров'!$A$2:$I9525,3,0),"")</f>
        <v>Техника муз</v>
      </c>
      <c r="D1712" s="35" t="s">
        <v>582</v>
      </c>
      <c r="E1712" s="88"/>
      <c r="F1712" s="88"/>
      <c r="G1712" s="59">
        <v>1</v>
      </c>
      <c r="H1712" s="59"/>
      <c r="I1712" s="60"/>
      <c r="J1712" s="60"/>
      <c r="K1712" s="19"/>
      <c r="L1712" s="20"/>
    </row>
    <row r="1713" spans="1:12" ht="31.5" outlineLevel="2">
      <c r="A1713" s="34"/>
      <c r="B1713" s="12" t="str">
        <f>IFERROR(VLOOKUP(D1713,'[1]Перечень товаров'!$A$2:$I9525,2,0),"")</f>
        <v>тм259</v>
      </c>
      <c r="C1713" s="12" t="str">
        <f>IFERROR(VLOOKUP(D1713,'[1]Перечень товаров'!$A$2:$I9525,3,0),"")</f>
        <v>Техника муз</v>
      </c>
      <c r="D1713" s="35" t="s">
        <v>583</v>
      </c>
      <c r="E1713" s="88"/>
      <c r="F1713" s="88"/>
      <c r="G1713" s="59">
        <v>1</v>
      </c>
      <c r="H1713" s="59"/>
      <c r="I1713" s="60"/>
      <c r="J1713" s="60"/>
      <c r="K1713" s="19"/>
      <c r="L1713" s="20"/>
    </row>
    <row r="1714" spans="1:12" ht="47.25" outlineLevel="2">
      <c r="A1714" s="34"/>
      <c r="B1714" s="12" t="str">
        <f>IFERROR(VLOOKUP(D1714,'[1]Перечень товаров'!$A$2:$I9525,2,0),"")</f>
        <v>п49</v>
      </c>
      <c r="C1714" s="12" t="str">
        <f>IFERROR(VLOOKUP(D1714,'[1]Перечень товаров'!$A$2:$I9525,3,0),"")</f>
        <v>Прочее</v>
      </c>
      <c r="D1714" s="35" t="s">
        <v>584</v>
      </c>
      <c r="E1714" s="88"/>
      <c r="F1714" s="88"/>
      <c r="G1714" s="59">
        <v>1</v>
      </c>
      <c r="H1714" s="59"/>
      <c r="I1714" s="60"/>
      <c r="J1714" s="60"/>
      <c r="K1714" s="19"/>
      <c r="L1714" s="20"/>
    </row>
    <row r="1715" spans="1:12" outlineLevel="2">
      <c r="A1715" s="34"/>
      <c r="B1715" s="12" t="str">
        <f>IFERROR(VLOOKUP(D1715,'[1]Перечень товаров'!$A$2:$I9525,2,0),"")</f>
        <v>п50</v>
      </c>
      <c r="C1715" s="12" t="str">
        <f>IFERROR(VLOOKUP(D1715,'[1]Перечень товаров'!$A$2:$I9525,3,0),"")</f>
        <v>Прочее</v>
      </c>
      <c r="D1715" s="35" t="s">
        <v>585</v>
      </c>
      <c r="E1715" s="88"/>
      <c r="F1715" s="88"/>
      <c r="G1715" s="59">
        <v>1</v>
      </c>
      <c r="H1715" s="59"/>
      <c r="I1715" s="60"/>
      <c r="J1715" s="60"/>
      <c r="K1715" s="19"/>
      <c r="L1715" s="20"/>
    </row>
    <row r="1716" spans="1:12" ht="12.75" outlineLevel="1">
      <c r="A1716" s="89"/>
      <c r="B1716" s="12" t="str">
        <f>IFERROR(VLOOKUP(D1716,'[1]Перечень товаров'!$A$2:$I9525,2,0),"")</f>
        <v/>
      </c>
      <c r="C1716" s="12" t="str">
        <f>IFERROR(VLOOKUP(D1716,'[1]Перечень товаров'!$A$2:$I9525,3,0),"")</f>
        <v/>
      </c>
      <c r="D1716" s="90" t="s">
        <v>586</v>
      </c>
      <c r="E1716" s="108">
        <v>46072</v>
      </c>
      <c r="F1716" s="108"/>
      <c r="G1716" s="100"/>
      <c r="H1716" s="100"/>
      <c r="I1716" s="101"/>
      <c r="J1716" s="101"/>
      <c r="K1716" s="19"/>
      <c r="L1716" s="20"/>
    </row>
    <row r="1717" spans="1:12" ht="15" outlineLevel="2">
      <c r="A1717" s="109"/>
      <c r="B1717" s="12" t="str">
        <f>IFERROR(VLOOKUP(D1717,'[1]Перечень товаров'!$A$2:$I9525,2,0),"")</f>
        <v/>
      </c>
      <c r="C1717" s="12" t="str">
        <f>IFERROR(VLOOKUP(D1717,'[1]Перечень товаров'!$A$2:$I9525,3,0),"")</f>
        <v/>
      </c>
      <c r="D1717" s="110" t="s">
        <v>27</v>
      </c>
      <c r="E1717" s="45"/>
      <c r="F1717" s="45"/>
      <c r="G1717" s="111"/>
      <c r="H1717" s="111"/>
      <c r="I1717" s="112"/>
      <c r="J1717" s="112"/>
      <c r="K1717" s="19"/>
      <c r="L1717" s="20"/>
    </row>
    <row r="1718" spans="1:12" outlineLevel="2">
      <c r="A1718" s="21"/>
      <c r="B1718" s="12" t="str">
        <f>IFERROR(VLOOKUP(D1718,'[1]Перечень товаров'!$A$2:$I9525,2,0),"")</f>
        <v>т1</v>
      </c>
      <c r="C1718" s="12" t="str">
        <f>IFERROR(VLOOKUP(D1718,'[1]Перечень товаров'!$A$2:$I9525,3,0),"")</f>
        <v xml:space="preserve">Техника </v>
      </c>
      <c r="D1718" s="22" t="s">
        <v>28</v>
      </c>
      <c r="E1718" s="58"/>
      <c r="F1718" s="58"/>
      <c r="G1718" s="48">
        <v>1</v>
      </c>
      <c r="H1718" s="48"/>
      <c r="I1718" s="49"/>
      <c r="J1718" s="49"/>
      <c r="K1718" s="19"/>
      <c r="L1718" s="20"/>
    </row>
    <row r="1719" spans="1:12" outlineLevel="2">
      <c r="A1719" s="143"/>
      <c r="B1719" s="12" t="str">
        <f>IFERROR(VLOOKUP(D1719,'[1]Перечень товаров'!$A$2:$I9525,2,0),"")</f>
        <v>т9</v>
      </c>
      <c r="C1719" s="12" t="str">
        <f>IFERROR(VLOOKUP(D1719,'[1]Перечень товаров'!$A$2:$I9525,3,0),"")</f>
        <v>Техника</v>
      </c>
      <c r="D1719" s="143" t="s">
        <v>36</v>
      </c>
      <c r="E1719" s="58"/>
      <c r="F1719" s="58"/>
      <c r="G1719" s="48">
        <v>1</v>
      </c>
      <c r="H1719" s="48"/>
      <c r="I1719" s="49"/>
      <c r="J1719" s="49"/>
      <c r="K1719" s="19"/>
      <c r="L1719" s="20"/>
    </row>
    <row r="1720" spans="1:12" outlineLevel="2">
      <c r="A1720" s="35"/>
      <c r="B1720" s="12" t="str">
        <f>IFERROR(VLOOKUP(D1720,'[1]Перечень товаров'!$A$2:$I9525,2,0),"")</f>
        <v>т2</v>
      </c>
      <c r="C1720" s="12" t="str">
        <f>IFERROR(VLOOKUP(D1720,'[1]Перечень товаров'!$A$2:$I9525,3,0),"")</f>
        <v xml:space="preserve">Техника </v>
      </c>
      <c r="D1720" s="35" t="s">
        <v>29</v>
      </c>
      <c r="E1720" s="58"/>
      <c r="F1720" s="58"/>
      <c r="G1720" s="48">
        <v>1</v>
      </c>
      <c r="H1720" s="48"/>
      <c r="I1720" s="49"/>
      <c r="J1720" s="49"/>
      <c r="K1720" s="19"/>
      <c r="L1720" s="20"/>
    </row>
    <row r="1721" spans="1:12" outlineLevel="2">
      <c r="A1721" s="35"/>
      <c r="B1721" s="12" t="str">
        <f>IFERROR(VLOOKUP(D1721,'[1]Перечень товаров'!$A$2:$I9525,2,0),"")</f>
        <v>т3</v>
      </c>
      <c r="C1721" s="12" t="str">
        <f>IFERROR(VLOOKUP(D1721,'[1]Перечень товаров'!$A$2:$I9525,3,0),"")</f>
        <v xml:space="preserve">Техника </v>
      </c>
      <c r="D1721" s="35" t="s">
        <v>30</v>
      </c>
      <c r="E1721" s="58"/>
      <c r="F1721" s="58"/>
      <c r="G1721" s="48">
        <v>1</v>
      </c>
      <c r="H1721" s="48"/>
      <c r="I1721" s="49"/>
      <c r="J1721" s="49"/>
      <c r="K1721" s="19"/>
      <c r="L1721" s="20"/>
    </row>
    <row r="1722" spans="1:12" outlineLevel="2">
      <c r="A1722" s="35"/>
      <c r="B1722" s="12" t="str">
        <f>IFERROR(VLOOKUP(D1722,'[1]Перечень товаров'!$A$2:$I9525,2,0),"")</f>
        <v>т4</v>
      </c>
      <c r="C1722" s="12" t="str">
        <f>IFERROR(VLOOKUP(D1722,'[1]Перечень товаров'!$A$2:$I9525,3,0),"")</f>
        <v xml:space="preserve">Техника </v>
      </c>
      <c r="D1722" s="35" t="s">
        <v>31</v>
      </c>
      <c r="E1722" s="58"/>
      <c r="F1722" s="58"/>
      <c r="G1722" s="48">
        <v>1</v>
      </c>
      <c r="H1722" s="48"/>
      <c r="I1722" s="49"/>
      <c r="J1722" s="49"/>
      <c r="K1722" s="19"/>
      <c r="L1722" s="20"/>
    </row>
    <row r="1723" spans="1:12" outlineLevel="2">
      <c r="A1723" s="21"/>
      <c r="B1723" s="12" t="str">
        <f>IFERROR(VLOOKUP(D1723,'[1]Перечень товаров'!$A$2:$I9525,2,0),"")</f>
        <v>тм65</v>
      </c>
      <c r="C1723" s="12" t="str">
        <f>IFERROR(VLOOKUP(D1723,'[1]Перечень товаров'!$A$2:$I9525,3,0),"")</f>
        <v>Техника муз</v>
      </c>
      <c r="D1723" s="22" t="s">
        <v>380</v>
      </c>
      <c r="E1723" s="58"/>
      <c r="F1723" s="58"/>
      <c r="G1723" s="48">
        <v>1</v>
      </c>
      <c r="H1723" s="48"/>
      <c r="I1723" s="49"/>
      <c r="J1723" s="49"/>
      <c r="K1723" s="19"/>
      <c r="L1723" s="20"/>
    </row>
    <row r="1724" spans="1:12" outlineLevel="2">
      <c r="A1724" s="21"/>
      <c r="B1724" s="12" t="str">
        <f>IFERROR(VLOOKUP(D1724,'[1]Перечень товаров'!$A$2:$I9525,2,0),"")</f>
        <v>т12</v>
      </c>
      <c r="C1724" s="12" t="str">
        <f>IFERROR(VLOOKUP(D1724,'[1]Перечень товаров'!$A$2:$I9525,3,0),"")</f>
        <v>Техника</v>
      </c>
      <c r="D1724" s="22" t="s">
        <v>49</v>
      </c>
      <c r="E1724" s="58"/>
      <c r="F1724" s="58"/>
      <c r="G1724" s="48">
        <v>1</v>
      </c>
      <c r="H1724" s="48"/>
      <c r="I1724" s="49"/>
      <c r="J1724" s="49"/>
      <c r="K1724" s="19"/>
      <c r="L1724" s="20"/>
    </row>
    <row r="1725" spans="1:12" outlineLevel="2">
      <c r="A1725" s="35"/>
      <c r="B1725" s="12" t="str">
        <f>IFERROR(VLOOKUP(D1725,'[1]Перечень товаров'!$A$2:$I9525,2,0),"")</f>
        <v>т6</v>
      </c>
      <c r="C1725" s="12" t="str">
        <f>IFERROR(VLOOKUP(D1725,'[1]Перечень товаров'!$A$2:$I9525,3,0),"")</f>
        <v xml:space="preserve">Техника </v>
      </c>
      <c r="D1725" s="35" t="s">
        <v>33</v>
      </c>
      <c r="E1725" s="58"/>
      <c r="F1725" s="58"/>
      <c r="G1725" s="48">
        <v>1</v>
      </c>
      <c r="H1725" s="48"/>
      <c r="I1725" s="49"/>
      <c r="J1725" s="49"/>
      <c r="K1725" s="19"/>
      <c r="L1725" s="20"/>
    </row>
    <row r="1726" spans="1:12" outlineLevel="2">
      <c r="A1726" s="21"/>
      <c r="B1726" s="12" t="str">
        <f>IFERROR(VLOOKUP(D1726,'[1]Перечень товаров'!$A$2:$I9525,2,0),"")</f>
        <v>т7</v>
      </c>
      <c r="C1726" s="12" t="str">
        <f>IFERROR(VLOOKUP(D1726,'[1]Перечень товаров'!$A$2:$I9525,3,0),"")</f>
        <v xml:space="preserve">Техника </v>
      </c>
      <c r="D1726" s="22" t="s">
        <v>34</v>
      </c>
      <c r="E1726" s="58"/>
      <c r="F1726" s="58"/>
      <c r="G1726" s="48">
        <v>3</v>
      </c>
      <c r="H1726" s="48"/>
      <c r="I1726" s="49"/>
      <c r="J1726" s="49"/>
      <c r="K1726" s="19"/>
      <c r="L1726" s="20"/>
    </row>
    <row r="1727" spans="1:12" outlineLevel="2">
      <c r="A1727" s="28"/>
      <c r="B1727" s="12" t="str">
        <f>IFERROR(VLOOKUP(D1727,'[1]Перечень товаров'!$A$2:$I9525,2,0),"")</f>
        <v>т161</v>
      </c>
      <c r="C1727" s="12" t="str">
        <f>IFERROR(VLOOKUP(D1727,'[1]Перечень товаров'!$A$2:$I9525,3,0),"")</f>
        <v xml:space="preserve">Техника </v>
      </c>
      <c r="D1727" s="29" t="s">
        <v>381</v>
      </c>
      <c r="E1727" s="30"/>
      <c r="F1727" s="30"/>
      <c r="G1727" s="59">
        <v>1</v>
      </c>
      <c r="H1727" s="59"/>
      <c r="I1727" s="60"/>
      <c r="J1727" s="60"/>
      <c r="K1727" s="19"/>
      <c r="L1727" s="20"/>
    </row>
    <row r="1728" spans="1:12" outlineLevel="2">
      <c r="A1728" s="113"/>
      <c r="B1728" s="12" t="str">
        <f>IFERROR(VLOOKUP(D1728,'[1]Перечень товаров'!$A$2:$I9525,2,0),"")</f>
        <v/>
      </c>
      <c r="C1728" s="12" t="str">
        <f>IFERROR(VLOOKUP(D1728,'[1]Перечень товаров'!$A$2:$I9525,3,0),"")</f>
        <v/>
      </c>
      <c r="D1728" s="114" t="s">
        <v>19</v>
      </c>
      <c r="E1728" s="115"/>
      <c r="F1728" s="115"/>
      <c r="G1728" s="157"/>
      <c r="H1728" s="157"/>
      <c r="I1728" s="158"/>
      <c r="J1728" s="158"/>
      <c r="K1728" s="19"/>
      <c r="L1728" s="20"/>
    </row>
    <row r="1729" spans="1:12" outlineLevel="2">
      <c r="A1729" s="34"/>
      <c r="B1729" s="12" t="str">
        <f>IFERROR(VLOOKUP(D1729,'[1]Перечень товаров'!$A$2:$I9525,2,0),"")</f>
        <v>м62</v>
      </c>
      <c r="C1729" s="12" t="str">
        <f>IFERROR(VLOOKUP(D1729,'[1]Перечень товаров'!$A$2:$I9525,3,0),"")</f>
        <v>Мебель</v>
      </c>
      <c r="D1729" s="35" t="s">
        <v>398</v>
      </c>
      <c r="E1729" s="88"/>
      <c r="F1729" s="88"/>
      <c r="G1729" s="159">
        <v>1</v>
      </c>
      <c r="H1729" s="159"/>
      <c r="I1729" s="160"/>
      <c r="J1729" s="160"/>
      <c r="K1729" s="19"/>
      <c r="L1729" s="20"/>
    </row>
    <row r="1730" spans="1:12" outlineLevel="2">
      <c r="A1730" s="35"/>
      <c r="B1730" s="12" t="str">
        <f>IFERROR(VLOOKUP(D1730,'[1]Перечень товаров'!$A$2:$I9525,2,0),"")</f>
        <v>м61</v>
      </c>
      <c r="C1730" s="12" t="str">
        <f>IFERROR(VLOOKUP(D1730,'[1]Перечень товаров'!$A$2:$I9525,3,0),"")</f>
        <v>Мебель</v>
      </c>
      <c r="D1730" s="35" t="s">
        <v>383</v>
      </c>
      <c r="E1730" s="88"/>
      <c r="F1730" s="88"/>
      <c r="G1730" s="159">
        <v>1</v>
      </c>
      <c r="H1730" s="159"/>
      <c r="I1730" s="160"/>
      <c r="J1730" s="160"/>
      <c r="K1730" s="19"/>
      <c r="L1730" s="20"/>
    </row>
    <row r="1731" spans="1:12" outlineLevel="2">
      <c r="A1731" s="35"/>
      <c r="B1731" s="12" t="str">
        <f>IFERROR(VLOOKUP(D1731,'[1]Перечень товаров'!$A$2:$I9525,2,0),"")</f>
        <v>м179</v>
      </c>
      <c r="C1731" s="12" t="str">
        <f>IFERROR(VLOOKUP(D1731,'[1]Перечень товаров'!$A$2:$I9525,3,0),"")</f>
        <v>Мебель</v>
      </c>
      <c r="D1731" s="35" t="s">
        <v>579</v>
      </c>
      <c r="E1731" s="88"/>
      <c r="F1731" s="88"/>
      <c r="G1731" s="159">
        <v>10</v>
      </c>
      <c r="H1731" s="159"/>
      <c r="I1731" s="160"/>
      <c r="J1731" s="160"/>
      <c r="K1731" s="19"/>
      <c r="L1731" s="20"/>
    </row>
    <row r="1732" spans="1:12" outlineLevel="2">
      <c r="A1732" s="35"/>
      <c r="B1732" s="12" t="str">
        <f>IFERROR(VLOOKUP(D1732,'[1]Перечень товаров'!$A$2:$I9525,2,0),"")</f>
        <v>м61</v>
      </c>
      <c r="C1732" s="12" t="str">
        <f>IFERROR(VLOOKUP(D1732,'[1]Перечень товаров'!$A$2:$I9525,3,0),"")</f>
        <v>Мебель</v>
      </c>
      <c r="D1732" s="35" t="s">
        <v>384</v>
      </c>
      <c r="E1732" s="88"/>
      <c r="F1732" s="88"/>
      <c r="G1732" s="159">
        <v>20</v>
      </c>
      <c r="H1732" s="159"/>
      <c r="I1732" s="160"/>
      <c r="J1732" s="160"/>
      <c r="K1732" s="19"/>
      <c r="L1732" s="20"/>
    </row>
    <row r="1733" spans="1:12" outlineLevel="2">
      <c r="A1733" s="22"/>
      <c r="B1733" s="12" t="str">
        <f>IFERROR(VLOOKUP(D1733,'[1]Перечень товаров'!$A$2:$I9525,2,0),"")</f>
        <v>м13</v>
      </c>
      <c r="C1733" s="12" t="str">
        <f>IFERROR(VLOOKUP(D1733,'[1]Перечень товаров'!$A$2:$I9525,3,0),"")</f>
        <v>Мебель</v>
      </c>
      <c r="D1733" s="22" t="s">
        <v>42</v>
      </c>
      <c r="E1733" s="88"/>
      <c r="F1733" s="88"/>
      <c r="G1733" s="48">
        <v>1</v>
      </c>
      <c r="H1733" s="48"/>
      <c r="I1733" s="49"/>
      <c r="J1733" s="49"/>
      <c r="K1733" s="19"/>
      <c r="L1733" s="20"/>
    </row>
    <row r="1734" spans="1:12" outlineLevel="2">
      <c r="A1734" s="21"/>
      <c r="B1734" s="12" t="str">
        <f>IFERROR(VLOOKUP(D1734,'[1]Перечень товаров'!$A$2:$I9525,2,0),"")</f>
        <v>м14</v>
      </c>
      <c r="C1734" s="12" t="str">
        <f>IFERROR(VLOOKUP(D1734,'[1]Перечень товаров'!$A$2:$I9525,3,0),"")</f>
        <v>Мебель</v>
      </c>
      <c r="D1734" s="22" t="s">
        <v>43</v>
      </c>
      <c r="E1734" s="88"/>
      <c r="F1734" s="88"/>
      <c r="G1734" s="48">
        <v>1</v>
      </c>
      <c r="H1734" s="48"/>
      <c r="I1734" s="49"/>
      <c r="J1734" s="49"/>
      <c r="K1734" s="19"/>
      <c r="L1734" s="20"/>
    </row>
    <row r="1735" spans="1:12" ht="31.5" outlineLevel="2">
      <c r="A1735" s="21"/>
      <c r="B1735" s="12" t="str">
        <f>IFERROR(VLOOKUP(D1735,'[1]Перечень товаров'!$A$2:$I9525,2,0),"")</f>
        <v>м21</v>
      </c>
      <c r="C1735" s="12" t="str">
        <f>IFERROR(VLOOKUP(D1735,'[1]Перечень товаров'!$A$2:$I9525,3,0),"")</f>
        <v>Мебель</v>
      </c>
      <c r="D1735" s="22" t="s">
        <v>58</v>
      </c>
      <c r="E1735" s="88"/>
      <c r="F1735" s="88"/>
      <c r="G1735" s="48">
        <v>1</v>
      </c>
      <c r="H1735" s="48"/>
      <c r="I1735" s="49"/>
      <c r="J1735" s="49"/>
      <c r="K1735" s="19"/>
      <c r="L1735" s="20"/>
    </row>
    <row r="1736" spans="1:12" outlineLevel="2">
      <c r="A1736" s="114"/>
      <c r="B1736" s="12" t="str">
        <f>IFERROR(VLOOKUP(D1736,'[1]Перечень товаров'!$A$2:$I9525,2,0),"")</f>
        <v/>
      </c>
      <c r="C1736" s="12" t="str">
        <f>IFERROR(VLOOKUP(D1736,'[1]Перечень товаров'!$A$2:$I9525,3,0),"")</f>
        <v/>
      </c>
      <c r="D1736" s="114" t="s">
        <v>391</v>
      </c>
      <c r="E1736" s="161"/>
      <c r="F1736" s="161"/>
      <c r="G1736" s="162"/>
      <c r="H1736" s="162"/>
      <c r="I1736" s="163"/>
      <c r="J1736" s="163"/>
      <c r="K1736" s="19"/>
      <c r="L1736" s="20"/>
    </row>
    <row r="1737" spans="1:12" ht="47.25" outlineLevel="2">
      <c r="A1737" s="34"/>
      <c r="B1737" s="12" t="str">
        <f>IFERROR(VLOOKUP(D1737,'[1]Перечень товаров'!$A$2:$I9525,2,0),"")</f>
        <v>м180</v>
      </c>
      <c r="C1737" s="12" t="str">
        <f>IFERROR(VLOOKUP(D1737,'[1]Перечень товаров'!$A$2:$I9525,3,0),"")</f>
        <v>Мебель</v>
      </c>
      <c r="D1737" s="35" t="s">
        <v>580</v>
      </c>
      <c r="E1737" s="88"/>
      <c r="F1737" s="88"/>
      <c r="G1737" s="159">
        <v>2</v>
      </c>
      <c r="H1737" s="159"/>
      <c r="I1737" s="160"/>
      <c r="J1737" s="160"/>
      <c r="K1737" s="19"/>
      <c r="L1737" s="20"/>
    </row>
    <row r="1738" spans="1:12" outlineLevel="2">
      <c r="A1738" s="34"/>
      <c r="B1738" s="12" t="str">
        <f>IFERROR(VLOOKUP(D1738,'[1]Перечень товаров'!$A$2:$I9525,2,0),"")</f>
        <v>м181</v>
      </c>
      <c r="C1738" s="12" t="str">
        <f>IFERROR(VLOOKUP(D1738,'[1]Перечень товаров'!$A$2:$I9525,3,0),"")</f>
        <v>Мебель</v>
      </c>
      <c r="D1738" s="35" t="s">
        <v>581</v>
      </c>
      <c r="E1738" s="88"/>
      <c r="F1738" s="88"/>
      <c r="G1738" s="59">
        <v>2</v>
      </c>
      <c r="H1738" s="59"/>
      <c r="I1738" s="60"/>
      <c r="J1738" s="60"/>
      <c r="K1738" s="19"/>
      <c r="L1738" s="20"/>
    </row>
    <row r="1739" spans="1:12" ht="31.5" outlineLevel="2">
      <c r="A1739" s="34"/>
      <c r="B1739" s="12" t="str">
        <f>IFERROR(VLOOKUP(D1739,'[1]Перечень товаров'!$A$2:$I9525,2,0),"")</f>
        <v>тм258</v>
      </c>
      <c r="C1739" s="12" t="str">
        <f>IFERROR(VLOOKUP(D1739,'[1]Перечень товаров'!$A$2:$I9525,3,0),"")</f>
        <v>Техника муз</v>
      </c>
      <c r="D1739" s="35" t="s">
        <v>582</v>
      </c>
      <c r="E1739" s="88"/>
      <c r="F1739" s="88"/>
      <c r="G1739" s="59">
        <v>1</v>
      </c>
      <c r="H1739" s="59"/>
      <c r="I1739" s="60"/>
      <c r="J1739" s="60"/>
      <c r="K1739" s="19"/>
      <c r="L1739" s="20"/>
    </row>
    <row r="1740" spans="1:12" ht="31.5" outlineLevel="2">
      <c r="A1740" s="34"/>
      <c r="B1740" s="12" t="str">
        <f>IFERROR(VLOOKUP(D1740,'[1]Перечень товаров'!$A$2:$I9525,2,0),"")</f>
        <v>тм259</v>
      </c>
      <c r="C1740" s="12" t="str">
        <f>IFERROR(VLOOKUP(D1740,'[1]Перечень товаров'!$A$2:$I9525,3,0),"")</f>
        <v>Техника муз</v>
      </c>
      <c r="D1740" s="35" t="s">
        <v>583</v>
      </c>
      <c r="E1740" s="88"/>
      <c r="F1740" s="88"/>
      <c r="G1740" s="59">
        <v>1</v>
      </c>
      <c r="H1740" s="59"/>
      <c r="I1740" s="60"/>
      <c r="J1740" s="60"/>
      <c r="K1740" s="19"/>
      <c r="L1740" s="20"/>
    </row>
    <row r="1741" spans="1:12" ht="47.25" outlineLevel="2">
      <c r="A1741" s="34"/>
      <c r="B1741" s="12" t="str">
        <f>IFERROR(VLOOKUP(D1741,'[1]Перечень товаров'!$A$2:$I9525,2,0),"")</f>
        <v>п49</v>
      </c>
      <c r="C1741" s="12" t="str">
        <f>IFERROR(VLOOKUP(D1741,'[1]Перечень товаров'!$A$2:$I9525,3,0),"")</f>
        <v>Прочее</v>
      </c>
      <c r="D1741" s="35" t="s">
        <v>584</v>
      </c>
      <c r="E1741" s="88"/>
      <c r="F1741" s="88"/>
      <c r="G1741" s="59">
        <v>1</v>
      </c>
      <c r="H1741" s="59"/>
      <c r="I1741" s="60"/>
      <c r="J1741" s="60"/>
      <c r="K1741" s="19"/>
      <c r="L1741" s="20"/>
    </row>
    <row r="1742" spans="1:12" outlineLevel="2">
      <c r="A1742" s="34"/>
      <c r="B1742" s="12" t="str">
        <f>IFERROR(VLOOKUP(D1742,'[1]Перечень товаров'!$A$2:$I9525,2,0),"")</f>
        <v>п50</v>
      </c>
      <c r="C1742" s="12" t="str">
        <f>IFERROR(VLOOKUP(D1742,'[1]Перечень товаров'!$A$2:$I9525,3,0),"")</f>
        <v>Прочее</v>
      </c>
      <c r="D1742" s="35" t="s">
        <v>585</v>
      </c>
      <c r="E1742" s="88"/>
      <c r="F1742" s="88"/>
      <c r="G1742" s="59">
        <v>1</v>
      </c>
      <c r="H1742" s="59"/>
      <c r="I1742" s="60"/>
      <c r="J1742" s="60"/>
      <c r="K1742" s="19"/>
      <c r="L1742" s="20"/>
    </row>
    <row r="1743" spans="1:12" ht="12.75" outlineLevel="1">
      <c r="A1743" s="89"/>
      <c r="B1743" s="12" t="str">
        <f>IFERROR(VLOOKUP(D1743,'[1]Перечень товаров'!$A$2:$I9525,2,0),"")</f>
        <v/>
      </c>
      <c r="C1743" s="12" t="str">
        <f>IFERROR(VLOOKUP(D1743,'[1]Перечень товаров'!$A$2:$I9525,3,0),"")</f>
        <v/>
      </c>
      <c r="D1743" s="90" t="s">
        <v>588</v>
      </c>
      <c r="E1743" s="108">
        <v>46171</v>
      </c>
      <c r="F1743" s="108"/>
      <c r="G1743" s="100"/>
      <c r="H1743" s="100"/>
      <c r="I1743" s="101"/>
      <c r="J1743" s="101"/>
      <c r="K1743" s="19"/>
      <c r="L1743" s="20"/>
    </row>
    <row r="1744" spans="1:12" ht="30" outlineLevel="2">
      <c r="A1744" s="80"/>
      <c r="B1744" s="12" t="str">
        <f>IFERROR(VLOOKUP(D1744,'[1]Перечень товаров'!$A$2:$I9525,2,0),"")</f>
        <v/>
      </c>
      <c r="C1744" s="12" t="str">
        <f>IFERROR(VLOOKUP(D1744,'[1]Перечень товаров'!$A$2:$I9525,3,0),"")</f>
        <v/>
      </c>
      <c r="D1744" s="81" t="s">
        <v>589</v>
      </c>
      <c r="E1744" s="164"/>
      <c r="F1744" s="164"/>
      <c r="G1744" s="165"/>
      <c r="H1744" s="165"/>
      <c r="I1744" s="166"/>
      <c r="J1744" s="166"/>
      <c r="K1744" s="19"/>
      <c r="L1744" s="20"/>
    </row>
    <row r="1745" spans="1:12" outlineLevel="2">
      <c r="A1745" s="70"/>
      <c r="B1745" s="12" t="str">
        <f>IFERROR(VLOOKUP(D1745,'[1]Перечень товаров'!$A$2:$I9525,2,0),"")</f>
        <v>тм260</v>
      </c>
      <c r="C1745" s="12" t="str">
        <f>IFERROR(VLOOKUP(D1745,'[1]Перечень товаров'!$A$2:$I9525,3,0),"")</f>
        <v>Техника муз</v>
      </c>
      <c r="D1745" s="71" t="s">
        <v>590</v>
      </c>
      <c r="E1745" s="72"/>
      <c r="F1745" s="72"/>
      <c r="G1745" s="73">
        <v>20</v>
      </c>
      <c r="H1745" s="73"/>
      <c r="I1745" s="74"/>
      <c r="J1745" s="74"/>
      <c r="K1745" s="19"/>
      <c r="L1745" s="20"/>
    </row>
    <row r="1746" spans="1:12" outlineLevel="2">
      <c r="A1746" s="70"/>
      <c r="B1746" s="12" t="str">
        <f>IFERROR(VLOOKUP(D1746,'[1]Перечень товаров'!$A$2:$I9525,2,0),"")</f>
        <v>тм261</v>
      </c>
      <c r="C1746" s="12" t="str">
        <f>IFERROR(VLOOKUP(D1746,'[1]Перечень товаров'!$A$2:$I9525,3,0),"")</f>
        <v>Техника муз</v>
      </c>
      <c r="D1746" s="71" t="s">
        <v>591</v>
      </c>
      <c r="E1746" s="72"/>
      <c r="F1746" s="72"/>
      <c r="G1746" s="73">
        <v>8</v>
      </c>
      <c r="H1746" s="73"/>
      <c r="I1746" s="74"/>
      <c r="J1746" s="74"/>
      <c r="K1746" s="19"/>
      <c r="L1746" s="20"/>
    </row>
    <row r="1747" spans="1:12" outlineLevel="2">
      <c r="A1747" s="70"/>
      <c r="B1747" s="12" t="str">
        <f>IFERROR(VLOOKUP(D1747,'[1]Перечень товаров'!$A$2:$I9525,2,0),"")</f>
        <v>тм262</v>
      </c>
      <c r="C1747" s="12" t="str">
        <f>IFERROR(VLOOKUP(D1747,'[1]Перечень товаров'!$A$2:$I9525,3,0),"")</f>
        <v>Техника муз</v>
      </c>
      <c r="D1747" s="71" t="s">
        <v>592</v>
      </c>
      <c r="E1747" s="72"/>
      <c r="F1747" s="72"/>
      <c r="G1747" s="73">
        <v>4</v>
      </c>
      <c r="H1747" s="73"/>
      <c r="I1747" s="74"/>
      <c r="J1747" s="74"/>
      <c r="K1747" s="19"/>
      <c r="L1747" s="20"/>
    </row>
    <row r="1748" spans="1:12" ht="31.5" outlineLevel="2">
      <c r="A1748" s="70"/>
      <c r="B1748" s="12" t="str">
        <f>IFERROR(VLOOKUP(D1748,'[1]Перечень товаров'!$A$2:$I9525,2,0),"")</f>
        <v>тм263</v>
      </c>
      <c r="C1748" s="12" t="str">
        <f>IFERROR(VLOOKUP(D1748,'[1]Перечень товаров'!$A$2:$I9525,3,0),"")</f>
        <v>Техника муз</v>
      </c>
      <c r="D1748" s="71" t="s">
        <v>593</v>
      </c>
      <c r="E1748" s="72"/>
      <c r="F1748" s="72"/>
      <c r="G1748" s="73">
        <v>8</v>
      </c>
      <c r="H1748" s="73"/>
      <c r="I1748" s="74"/>
      <c r="J1748" s="74"/>
      <c r="K1748" s="19"/>
      <c r="L1748" s="20"/>
    </row>
    <row r="1749" spans="1:12" outlineLevel="2">
      <c r="A1749" s="70"/>
      <c r="B1749" s="12" t="str">
        <f>IFERROR(VLOOKUP(D1749,'[1]Перечень товаров'!$A$2:$I9525,2,0),"")</f>
        <v>тм264</v>
      </c>
      <c r="C1749" s="12" t="str">
        <f>IFERROR(VLOOKUP(D1749,'[1]Перечень товаров'!$A$2:$I9525,3,0),"")</f>
        <v>Техника муз</v>
      </c>
      <c r="D1749" s="71" t="s">
        <v>594</v>
      </c>
      <c r="E1749" s="72"/>
      <c r="F1749" s="72"/>
      <c r="G1749" s="73">
        <v>8</v>
      </c>
      <c r="H1749" s="73"/>
      <c r="I1749" s="74"/>
      <c r="J1749" s="74"/>
      <c r="K1749" s="19"/>
      <c r="L1749" s="20"/>
    </row>
    <row r="1750" spans="1:12" outlineLevel="2">
      <c r="A1750" s="70"/>
      <c r="B1750" s="12" t="str">
        <f>IFERROR(VLOOKUP(D1750,'[1]Перечень товаров'!$A$2:$I9525,2,0),"")</f>
        <v>тм265</v>
      </c>
      <c r="C1750" s="12" t="str">
        <f>IFERROR(VLOOKUP(D1750,'[1]Перечень товаров'!$A$2:$I9525,3,0),"")</f>
        <v>Техника муз</v>
      </c>
      <c r="D1750" s="71" t="s">
        <v>595</v>
      </c>
      <c r="E1750" s="72"/>
      <c r="F1750" s="72"/>
      <c r="G1750" s="73">
        <v>2</v>
      </c>
      <c r="H1750" s="73"/>
      <c r="I1750" s="74"/>
      <c r="J1750" s="74"/>
      <c r="K1750" s="19"/>
      <c r="L1750" s="20"/>
    </row>
    <row r="1751" spans="1:12" outlineLevel="2">
      <c r="A1751" s="70"/>
      <c r="B1751" s="12" t="str">
        <f>IFERROR(VLOOKUP(D1751,'[1]Перечень товаров'!$A$2:$I9525,2,0),"")</f>
        <v>тм266</v>
      </c>
      <c r="C1751" s="12" t="str">
        <f>IFERROR(VLOOKUP(D1751,'[1]Перечень товаров'!$A$2:$I9525,3,0),"")</f>
        <v>Техника муз</v>
      </c>
      <c r="D1751" s="71" t="s">
        <v>596</v>
      </c>
      <c r="E1751" s="72"/>
      <c r="F1751" s="72"/>
      <c r="G1751" s="73">
        <v>4</v>
      </c>
      <c r="H1751" s="73"/>
      <c r="I1751" s="74"/>
      <c r="J1751" s="74"/>
      <c r="K1751" s="19"/>
      <c r="L1751" s="20"/>
    </row>
    <row r="1752" spans="1:12" outlineLevel="2">
      <c r="A1752" s="28"/>
      <c r="B1752" s="12" t="str">
        <f>IFERROR(VLOOKUP(D1752,'[1]Перечень товаров'!$A$2:$I9525,2,0),"")</f>
        <v>тм267</v>
      </c>
      <c r="C1752" s="12" t="str">
        <f>IFERROR(VLOOKUP(D1752,'[1]Перечень товаров'!$A$2:$I9525,3,0),"")</f>
        <v>Техника муз</v>
      </c>
      <c r="D1752" s="29" t="s">
        <v>597</v>
      </c>
      <c r="E1752" s="72"/>
      <c r="F1752" s="72"/>
      <c r="G1752" s="73">
        <v>4</v>
      </c>
      <c r="H1752" s="73"/>
      <c r="I1752" s="74"/>
      <c r="J1752" s="74"/>
      <c r="K1752" s="19"/>
      <c r="L1752" s="20"/>
    </row>
    <row r="1753" spans="1:12" outlineLevel="2">
      <c r="A1753" s="70"/>
      <c r="B1753" s="12" t="str">
        <f>IFERROR(VLOOKUP(D1753,'[1]Перечень товаров'!$A$2:$I9525,2,0),"")</f>
        <v>тм268</v>
      </c>
      <c r="C1753" s="12" t="str">
        <f>IFERROR(VLOOKUP(D1753,'[1]Перечень товаров'!$A$2:$I9525,3,0),"")</f>
        <v>Техника муз</v>
      </c>
      <c r="D1753" s="71" t="s">
        <v>598</v>
      </c>
      <c r="E1753" s="72"/>
      <c r="F1753" s="72"/>
      <c r="G1753" s="73">
        <v>6</v>
      </c>
      <c r="H1753" s="73"/>
      <c r="I1753" s="74"/>
      <c r="J1753" s="74"/>
      <c r="K1753" s="19"/>
      <c r="L1753" s="20"/>
    </row>
    <row r="1754" spans="1:12" outlineLevel="2">
      <c r="A1754" s="70"/>
      <c r="B1754" s="12" t="str">
        <f>IFERROR(VLOOKUP(D1754,'[1]Перечень товаров'!$A$2:$I9525,2,0),"")</f>
        <v>тм269</v>
      </c>
      <c r="C1754" s="12" t="str">
        <f>IFERROR(VLOOKUP(D1754,'[1]Перечень товаров'!$A$2:$I9525,3,0),"")</f>
        <v>Техника муз</v>
      </c>
      <c r="D1754" s="71" t="s">
        <v>599</v>
      </c>
      <c r="E1754" s="72"/>
      <c r="F1754" s="72"/>
      <c r="G1754" s="73">
        <v>6</v>
      </c>
      <c r="H1754" s="73"/>
      <c r="I1754" s="74"/>
      <c r="J1754" s="74"/>
      <c r="K1754" s="19"/>
      <c r="L1754" s="20"/>
    </row>
    <row r="1755" spans="1:12" outlineLevel="2">
      <c r="A1755" s="28"/>
      <c r="B1755" s="12" t="str">
        <f>IFERROR(VLOOKUP(D1755,'[1]Перечень товаров'!$A$2:$I9525,2,0),"")</f>
        <v>тм270</v>
      </c>
      <c r="C1755" s="12" t="str">
        <f>IFERROR(VLOOKUP(D1755,'[1]Перечень товаров'!$A$2:$I9525,3,0),"")</f>
        <v>Техника муз</v>
      </c>
      <c r="D1755" s="29" t="s">
        <v>600</v>
      </c>
      <c r="E1755" s="72"/>
      <c r="F1755" s="72"/>
      <c r="G1755" s="73">
        <v>6</v>
      </c>
      <c r="H1755" s="73"/>
      <c r="I1755" s="74"/>
      <c r="J1755" s="74"/>
      <c r="K1755" s="19"/>
      <c r="L1755" s="20"/>
    </row>
    <row r="1756" spans="1:12" outlineLevel="2">
      <c r="A1756" s="28"/>
      <c r="B1756" s="12" t="str">
        <f>IFERROR(VLOOKUP(D1756,'[1]Перечень товаров'!$A$2:$I9525,2,0),"")</f>
        <v>тм271</v>
      </c>
      <c r="C1756" s="12" t="str">
        <f>IFERROR(VLOOKUP(D1756,'[1]Перечень товаров'!$A$2:$I9525,3,0),"")</f>
        <v>Техника муз</v>
      </c>
      <c r="D1756" s="29" t="s">
        <v>601</v>
      </c>
      <c r="E1756" s="72"/>
      <c r="F1756" s="72"/>
      <c r="G1756" s="73">
        <v>2</v>
      </c>
      <c r="H1756" s="73"/>
      <c r="I1756" s="74"/>
      <c r="J1756" s="74"/>
      <c r="K1756" s="19"/>
      <c r="L1756" s="20"/>
    </row>
    <row r="1757" spans="1:12" outlineLevel="2">
      <c r="A1757" s="70"/>
      <c r="B1757" s="12" t="str">
        <f>IFERROR(VLOOKUP(D1757,'[1]Перечень товаров'!$A$2:$I9525,2,0),"")</f>
        <v>тм272</v>
      </c>
      <c r="C1757" s="12" t="str">
        <f>IFERROR(VLOOKUP(D1757,'[1]Перечень товаров'!$A$2:$I9525,3,0),"")</f>
        <v>Техника муз</v>
      </c>
      <c r="D1757" s="71" t="s">
        <v>602</v>
      </c>
      <c r="E1757" s="72"/>
      <c r="F1757" s="72"/>
      <c r="G1757" s="73">
        <v>6</v>
      </c>
      <c r="H1757" s="73"/>
      <c r="I1757" s="74"/>
      <c r="J1757" s="74"/>
      <c r="K1757" s="19"/>
      <c r="L1757" s="20"/>
    </row>
    <row r="1758" spans="1:12" outlineLevel="2">
      <c r="A1758" s="70"/>
      <c r="B1758" s="12" t="str">
        <f>IFERROR(VLOOKUP(D1758,'[1]Перечень товаров'!$A$2:$I9525,2,0),"")</f>
        <v>тм273</v>
      </c>
      <c r="C1758" s="12" t="str">
        <f>IFERROR(VLOOKUP(D1758,'[1]Перечень товаров'!$A$2:$I9525,3,0),"")</f>
        <v>Техника муз</v>
      </c>
      <c r="D1758" s="71" t="s">
        <v>603</v>
      </c>
      <c r="E1758" s="72"/>
      <c r="F1758" s="72"/>
      <c r="G1758" s="73">
        <v>2</v>
      </c>
      <c r="H1758" s="73"/>
      <c r="I1758" s="74"/>
      <c r="J1758" s="74"/>
      <c r="K1758" s="19"/>
      <c r="L1758" s="20"/>
    </row>
    <row r="1759" spans="1:12" outlineLevel="2">
      <c r="A1759" s="70"/>
      <c r="B1759" s="12" t="str">
        <f>IFERROR(VLOOKUP(D1759,'[1]Перечень товаров'!$A$2:$I9525,2,0),"")</f>
        <v>тм254</v>
      </c>
      <c r="C1759" s="12" t="str">
        <f>IFERROR(VLOOKUP(D1759,'[1]Перечень товаров'!$A$2:$I9525,3,0),"")</f>
        <v>Техника муз</v>
      </c>
      <c r="D1759" s="71" t="s">
        <v>549</v>
      </c>
      <c r="E1759" s="72"/>
      <c r="F1759" s="72"/>
      <c r="G1759" s="73">
        <v>4</v>
      </c>
      <c r="H1759" s="73"/>
      <c r="I1759" s="74"/>
      <c r="J1759" s="74"/>
      <c r="K1759" s="19"/>
      <c r="L1759" s="20"/>
    </row>
    <row r="1760" spans="1:12" outlineLevel="2">
      <c r="A1760" s="70"/>
      <c r="B1760" s="12" t="str">
        <f>IFERROR(VLOOKUP(D1760,'[1]Перечень товаров'!$A$2:$I9525,2,0),"")</f>
        <v>тм255</v>
      </c>
      <c r="C1760" s="12" t="str">
        <f>IFERROR(VLOOKUP(D1760,'[1]Перечень товаров'!$A$2:$I9525,3,0),"")</f>
        <v>Техника муз</v>
      </c>
      <c r="D1760" s="71" t="s">
        <v>550</v>
      </c>
      <c r="E1760" s="72"/>
      <c r="F1760" s="72"/>
      <c r="G1760" s="73">
        <v>2</v>
      </c>
      <c r="H1760" s="73"/>
      <c r="I1760" s="74"/>
      <c r="J1760" s="74"/>
      <c r="K1760" s="19"/>
      <c r="L1760" s="20"/>
    </row>
    <row r="1761" spans="1:12" outlineLevel="2">
      <c r="A1761" s="28"/>
      <c r="B1761" s="12" t="str">
        <f>IFERROR(VLOOKUP(D1761,'[1]Перечень товаров'!$A$2:$I9525,2,0),"")</f>
        <v>тм256</v>
      </c>
      <c r="C1761" s="12" t="str">
        <f>IFERROR(VLOOKUP(D1761,'[1]Перечень товаров'!$A$2:$I9525,3,0),"")</f>
        <v>Техника муз</v>
      </c>
      <c r="D1761" s="29" t="s">
        <v>552</v>
      </c>
      <c r="E1761" s="72"/>
      <c r="F1761" s="72"/>
      <c r="G1761" s="73">
        <v>4</v>
      </c>
      <c r="H1761" s="73"/>
      <c r="I1761" s="74"/>
      <c r="J1761" s="74"/>
      <c r="K1761" s="19"/>
      <c r="L1761" s="20"/>
    </row>
    <row r="1762" spans="1:12" outlineLevel="2">
      <c r="A1762" s="70"/>
      <c r="B1762" s="12" t="str">
        <f>IFERROR(VLOOKUP(D1762,'[1]Перечень товаров'!$A$2:$I9525,2,0),"")</f>
        <v>тм274</v>
      </c>
      <c r="C1762" s="12" t="str">
        <f>IFERROR(VLOOKUP(D1762,'[1]Перечень товаров'!$A$2:$I9525,3,0),"")</f>
        <v>Техника муз</v>
      </c>
      <c r="D1762" s="71" t="s">
        <v>604</v>
      </c>
      <c r="E1762" s="72"/>
      <c r="F1762" s="72"/>
      <c r="G1762" s="73">
        <v>4</v>
      </c>
      <c r="H1762" s="73"/>
      <c r="I1762" s="74"/>
      <c r="J1762" s="74"/>
      <c r="K1762" s="19"/>
      <c r="L1762" s="20"/>
    </row>
    <row r="1763" spans="1:12" outlineLevel="2">
      <c r="A1763" s="28"/>
      <c r="B1763" s="12" t="str">
        <f>IFERROR(VLOOKUP(D1763,'[1]Перечень товаров'!$A$2:$I9525,2,0),"")</f>
        <v>тм275</v>
      </c>
      <c r="C1763" s="12" t="str">
        <f>IFERROR(VLOOKUP(D1763,'[1]Перечень товаров'!$A$2:$I9525,3,0),"")</f>
        <v>Техника муз</v>
      </c>
      <c r="D1763" s="29" t="s">
        <v>605</v>
      </c>
      <c r="E1763" s="72"/>
      <c r="F1763" s="72"/>
      <c r="G1763" s="73">
        <v>6</v>
      </c>
      <c r="H1763" s="73"/>
      <c r="I1763" s="74"/>
      <c r="J1763" s="74"/>
      <c r="K1763" s="19"/>
      <c r="L1763" s="20"/>
    </row>
    <row r="1764" spans="1:12" outlineLevel="2">
      <c r="A1764" s="28"/>
      <c r="B1764" s="12" t="str">
        <f>IFERROR(VLOOKUP(D1764,'[1]Перечень товаров'!$A$2:$I9525,2,0),"")</f>
        <v>тм276</v>
      </c>
      <c r="C1764" s="12" t="str">
        <f>IFERROR(VLOOKUP(D1764,'[1]Перечень товаров'!$A$2:$I9525,3,0),"")</f>
        <v>Техника муз</v>
      </c>
      <c r="D1764" s="29" t="s">
        <v>606</v>
      </c>
      <c r="E1764" s="72"/>
      <c r="F1764" s="72"/>
      <c r="G1764" s="73">
        <v>2</v>
      </c>
      <c r="H1764" s="73"/>
      <c r="I1764" s="74"/>
      <c r="J1764" s="74"/>
      <c r="K1764" s="19"/>
      <c r="L1764" s="20"/>
    </row>
    <row r="1765" spans="1:12" outlineLevel="2">
      <c r="A1765" s="70"/>
      <c r="B1765" s="12" t="str">
        <f>IFERROR(VLOOKUP(D1765,'[1]Перечень товаров'!$A$2:$I9525,2,0),"")</f>
        <v>тм277</v>
      </c>
      <c r="C1765" s="12" t="str">
        <f>IFERROR(VLOOKUP(D1765,'[1]Перечень товаров'!$A$2:$I9525,3,0),"")</f>
        <v>Техника муз</v>
      </c>
      <c r="D1765" s="71" t="s">
        <v>607</v>
      </c>
      <c r="E1765" s="72"/>
      <c r="F1765" s="72"/>
      <c r="G1765" s="73">
        <v>2</v>
      </c>
      <c r="H1765" s="73"/>
      <c r="I1765" s="74"/>
      <c r="J1765" s="74"/>
      <c r="K1765" s="19"/>
      <c r="L1765" s="20"/>
    </row>
    <row r="1766" spans="1:12" ht="30" outlineLevel="2">
      <c r="A1766" s="80"/>
      <c r="B1766" s="12" t="str">
        <f>IFERROR(VLOOKUP(D1766,'[1]Перечень товаров'!$A$2:$I9525,2,0),"")</f>
        <v/>
      </c>
      <c r="C1766" s="12" t="str">
        <f>IFERROR(VLOOKUP(D1766,'[1]Перечень товаров'!$A$2:$I9525,3,0),"")</f>
        <v/>
      </c>
      <c r="D1766" s="81" t="s">
        <v>608</v>
      </c>
      <c r="E1766" s="164"/>
      <c r="F1766" s="164"/>
      <c r="G1766" s="167"/>
      <c r="H1766" s="167"/>
      <c r="I1766" s="168"/>
      <c r="J1766" s="168"/>
      <c r="K1766" s="19"/>
      <c r="L1766" s="20"/>
    </row>
    <row r="1767" spans="1:12" ht="31.5" outlineLevel="2">
      <c r="A1767" s="70"/>
      <c r="B1767" s="12" t="str">
        <f>IFERROR(VLOOKUP(D1767,'[1]Перечень товаров'!$A$2:$I9525,2,0),"")</f>
        <v>тм278</v>
      </c>
      <c r="C1767" s="12" t="str">
        <f>IFERROR(VLOOKUP(D1767,'[1]Перечень товаров'!$A$2:$I9525,3,0),"")</f>
        <v>Техника муз</v>
      </c>
      <c r="D1767" s="71" t="s">
        <v>609</v>
      </c>
      <c r="E1767" s="72"/>
      <c r="F1767" s="72"/>
      <c r="G1767" s="73">
        <v>8</v>
      </c>
      <c r="H1767" s="73"/>
      <c r="I1767" s="74"/>
      <c r="J1767" s="74"/>
      <c r="K1767" s="19"/>
      <c r="L1767" s="20"/>
    </row>
    <row r="1768" spans="1:12" outlineLevel="2">
      <c r="A1768" s="70"/>
      <c r="B1768" s="12" t="str">
        <f>IFERROR(VLOOKUP(D1768,'[1]Перечень товаров'!$A$2:$I9525,2,0),"")</f>
        <v>тм279</v>
      </c>
      <c r="C1768" s="12" t="str">
        <f>IFERROR(VLOOKUP(D1768,'[1]Перечень товаров'!$A$2:$I9525,3,0),"")</f>
        <v>Техника муз</v>
      </c>
      <c r="D1768" s="71" t="s">
        <v>610</v>
      </c>
      <c r="E1768" s="72"/>
      <c r="F1768" s="72"/>
      <c r="G1768" s="73">
        <v>4</v>
      </c>
      <c r="H1768" s="73"/>
      <c r="I1768" s="74"/>
      <c r="J1768" s="74"/>
      <c r="K1768" s="19"/>
      <c r="L1768" s="20"/>
    </row>
    <row r="1769" spans="1:12" outlineLevel="2">
      <c r="A1769" s="70"/>
      <c r="B1769" s="12" t="str">
        <f>IFERROR(VLOOKUP(D1769,'[1]Перечень товаров'!$A$2:$I9525,2,0),"")</f>
        <v>тм280</v>
      </c>
      <c r="C1769" s="12" t="str">
        <f>IFERROR(VLOOKUP(D1769,'[1]Перечень товаров'!$A$2:$I9525,3,0),"")</f>
        <v>Техника муз</v>
      </c>
      <c r="D1769" s="71" t="s">
        <v>611</v>
      </c>
      <c r="E1769" s="72"/>
      <c r="F1769" s="72"/>
      <c r="G1769" s="73">
        <v>2</v>
      </c>
      <c r="H1769" s="73"/>
      <c r="I1769" s="74"/>
      <c r="J1769" s="74"/>
      <c r="K1769" s="19"/>
      <c r="L1769" s="20"/>
    </row>
    <row r="1770" spans="1:12" outlineLevel="2">
      <c r="A1770" s="70"/>
      <c r="B1770" s="12" t="str">
        <f>IFERROR(VLOOKUP(D1770,'[1]Перечень товаров'!$A$2:$I9525,2,0),"")</f>
        <v>тм281</v>
      </c>
      <c r="C1770" s="12" t="str">
        <f>IFERROR(VLOOKUP(D1770,'[1]Перечень товаров'!$A$2:$I9525,3,0),"")</f>
        <v>Техника муз</v>
      </c>
      <c r="D1770" s="71" t="s">
        <v>612</v>
      </c>
      <c r="E1770" s="72"/>
      <c r="F1770" s="72"/>
      <c r="G1770" s="73">
        <v>6</v>
      </c>
      <c r="H1770" s="73"/>
      <c r="I1770" s="74"/>
      <c r="J1770" s="74"/>
      <c r="K1770" s="19"/>
      <c r="L1770" s="20"/>
    </row>
    <row r="1771" spans="1:12" ht="31.5" outlineLevel="2">
      <c r="A1771" s="70"/>
      <c r="B1771" s="12" t="str">
        <f>IFERROR(VLOOKUP(D1771,'[1]Перечень товаров'!$A$2:$I9525,2,0),"")</f>
        <v>тм251</v>
      </c>
      <c r="C1771" s="12" t="str">
        <f>IFERROR(VLOOKUP(D1771,'[1]Перечень товаров'!$A$2:$I9525,3,0),"")</f>
        <v>Техника муз</v>
      </c>
      <c r="D1771" s="71" t="s">
        <v>545</v>
      </c>
      <c r="E1771" s="72"/>
      <c r="F1771" s="72"/>
      <c r="G1771" s="73">
        <v>4</v>
      </c>
      <c r="H1771" s="73"/>
      <c r="I1771" s="74"/>
      <c r="J1771" s="74"/>
      <c r="K1771" s="19"/>
      <c r="L1771" s="20"/>
    </row>
    <row r="1772" spans="1:12" outlineLevel="2">
      <c r="A1772" s="70"/>
      <c r="B1772" s="12" t="str">
        <f>IFERROR(VLOOKUP(D1772,'[1]Перечень товаров'!$A$2:$I9525,2,0),"")</f>
        <v>тм252</v>
      </c>
      <c r="C1772" s="12" t="str">
        <f>IFERROR(VLOOKUP(D1772,'[1]Перечень товаров'!$A$2:$I9525,3,0),"")</f>
        <v>Техника муз</v>
      </c>
      <c r="D1772" s="71" t="s">
        <v>547</v>
      </c>
      <c r="E1772" s="72"/>
      <c r="F1772" s="72"/>
      <c r="G1772" s="73">
        <v>4</v>
      </c>
      <c r="H1772" s="73"/>
      <c r="I1772" s="74"/>
      <c r="J1772" s="74"/>
      <c r="K1772" s="19"/>
      <c r="L1772" s="20"/>
    </row>
    <row r="1773" spans="1:12" ht="30" outlineLevel="2">
      <c r="A1773" s="80"/>
      <c r="B1773" s="12" t="str">
        <f>IFERROR(VLOOKUP(D1773,'[1]Перечень товаров'!$A$2:$I9525,2,0),"")</f>
        <v/>
      </c>
      <c r="C1773" s="12" t="str">
        <f>IFERROR(VLOOKUP(D1773,'[1]Перечень товаров'!$A$2:$I9525,3,0),"")</f>
        <v/>
      </c>
      <c r="D1773" s="81" t="s">
        <v>613</v>
      </c>
      <c r="E1773" s="164"/>
      <c r="F1773" s="164"/>
      <c r="G1773" s="167"/>
      <c r="H1773" s="167"/>
      <c r="I1773" s="168"/>
      <c r="J1773" s="168"/>
      <c r="K1773" s="19"/>
      <c r="L1773" s="20"/>
    </row>
    <row r="1774" spans="1:12" outlineLevel="2">
      <c r="A1774" s="28"/>
      <c r="B1774" s="12" t="str">
        <f>IFERROR(VLOOKUP(D1774,'[1]Перечень товаров'!$A$2:$I9525,2,0),"")</f>
        <v>тм282</v>
      </c>
      <c r="C1774" s="12" t="str">
        <f>IFERROR(VLOOKUP(D1774,'[1]Перечень товаров'!$A$2:$I9525,3,0),"")</f>
        <v>Техника муз</v>
      </c>
      <c r="D1774" s="29" t="s">
        <v>614</v>
      </c>
      <c r="E1774" s="72"/>
      <c r="F1774" s="72"/>
      <c r="G1774" s="73">
        <v>4</v>
      </c>
      <c r="H1774" s="73"/>
      <c r="I1774" s="74"/>
      <c r="J1774" s="74"/>
      <c r="K1774" s="19"/>
      <c r="L1774" s="20"/>
    </row>
    <row r="1775" spans="1:12" outlineLevel="2">
      <c r="A1775" s="70"/>
      <c r="B1775" s="12" t="str">
        <f>IFERROR(VLOOKUP(D1775,'[1]Перечень товаров'!$A$2:$I9525,2,0),"")</f>
        <v>тм283</v>
      </c>
      <c r="C1775" s="12" t="str">
        <f>IFERROR(VLOOKUP(D1775,'[1]Перечень товаров'!$A$2:$I9525,3,0),"")</f>
        <v>Техника муз</v>
      </c>
      <c r="D1775" s="71" t="s">
        <v>615</v>
      </c>
      <c r="E1775" s="72"/>
      <c r="F1775" s="72"/>
      <c r="G1775" s="73">
        <v>4</v>
      </c>
      <c r="H1775" s="73"/>
      <c r="I1775" s="74"/>
      <c r="J1775" s="74"/>
      <c r="K1775" s="19"/>
      <c r="L1775" s="20"/>
    </row>
    <row r="1776" spans="1:12" outlineLevel="2">
      <c r="A1776" s="70"/>
      <c r="B1776" s="12" t="str">
        <f>IFERROR(VLOOKUP(D1776,'[1]Перечень товаров'!$A$2:$I9525,2,0),"")</f>
        <v>тм284</v>
      </c>
      <c r="C1776" s="12" t="str">
        <f>IFERROR(VLOOKUP(D1776,'[1]Перечень товаров'!$A$2:$I9525,3,0),"")</f>
        <v>Техника муз</v>
      </c>
      <c r="D1776" s="71" t="s">
        <v>616</v>
      </c>
      <c r="E1776" s="72"/>
      <c r="F1776" s="72"/>
      <c r="G1776" s="73">
        <v>4</v>
      </c>
      <c r="H1776" s="73"/>
      <c r="I1776" s="74"/>
      <c r="J1776" s="74"/>
      <c r="K1776" s="19"/>
      <c r="L1776" s="20"/>
    </row>
    <row r="1777" spans="1:12" outlineLevel="2">
      <c r="A1777" s="28"/>
      <c r="B1777" s="12" t="str">
        <f>IFERROR(VLOOKUP(D1777,'[1]Перечень товаров'!$A$2:$I9525,2,0),"")</f>
        <v>тм285</v>
      </c>
      <c r="C1777" s="12" t="str">
        <f>IFERROR(VLOOKUP(D1777,'[1]Перечень товаров'!$A$2:$I9525,3,0),"")</f>
        <v>Техника муз</v>
      </c>
      <c r="D1777" s="29" t="s">
        <v>617</v>
      </c>
      <c r="E1777" s="72"/>
      <c r="F1777" s="72"/>
      <c r="G1777" s="73">
        <v>2</v>
      </c>
      <c r="H1777" s="73"/>
      <c r="I1777" s="74"/>
      <c r="J1777" s="74"/>
      <c r="K1777" s="19"/>
      <c r="L1777" s="20"/>
    </row>
    <row r="1778" spans="1:12" outlineLevel="2">
      <c r="A1778" s="70"/>
      <c r="B1778" s="12" t="str">
        <f>IFERROR(VLOOKUP(D1778,'[1]Перечень товаров'!$A$2:$I9525,2,0),"")</f>
        <v>тм286</v>
      </c>
      <c r="C1778" s="12" t="str">
        <f>IFERROR(VLOOKUP(D1778,'[1]Перечень товаров'!$A$2:$I9525,3,0),"")</f>
        <v>Техника муз</v>
      </c>
      <c r="D1778" s="71" t="s">
        <v>618</v>
      </c>
      <c r="E1778" s="72"/>
      <c r="F1778" s="72"/>
      <c r="G1778" s="73">
        <v>4</v>
      </c>
      <c r="H1778" s="73"/>
      <c r="I1778" s="74"/>
      <c r="J1778" s="74"/>
      <c r="K1778" s="19"/>
      <c r="L1778" s="20"/>
    </row>
    <row r="1779" spans="1:12" outlineLevel="2">
      <c r="A1779" s="28"/>
      <c r="B1779" s="12" t="str">
        <f>IFERROR(VLOOKUP(D1779,'[1]Перечень товаров'!$A$2:$I9525,2,0),"")</f>
        <v>тм287</v>
      </c>
      <c r="C1779" s="12" t="str">
        <f>IFERROR(VLOOKUP(D1779,'[1]Перечень товаров'!$A$2:$I9525,3,0),"")</f>
        <v>Техника муз</v>
      </c>
      <c r="D1779" s="29" t="s">
        <v>619</v>
      </c>
      <c r="E1779" s="72"/>
      <c r="F1779" s="72"/>
      <c r="G1779" s="73">
        <v>4</v>
      </c>
      <c r="H1779" s="73"/>
      <c r="I1779" s="74"/>
      <c r="J1779" s="74"/>
      <c r="K1779" s="19"/>
      <c r="L1779" s="20"/>
    </row>
    <row r="1780" spans="1:12" outlineLevel="2">
      <c r="A1780" s="70"/>
      <c r="B1780" s="12" t="str">
        <f>IFERROR(VLOOKUP(D1780,'[1]Перечень товаров'!$A$2:$I9525,2,0),"")</f>
        <v>тм288</v>
      </c>
      <c r="C1780" s="12" t="str">
        <f>IFERROR(VLOOKUP(D1780,'[1]Перечень товаров'!$A$2:$I9525,3,0),"")</f>
        <v>Техника муз</v>
      </c>
      <c r="D1780" s="71" t="s">
        <v>620</v>
      </c>
      <c r="E1780" s="72"/>
      <c r="F1780" s="72"/>
      <c r="G1780" s="73">
        <v>2</v>
      </c>
      <c r="H1780" s="73"/>
      <c r="I1780" s="74"/>
      <c r="J1780" s="74"/>
      <c r="K1780" s="19"/>
      <c r="L1780" s="20"/>
    </row>
    <row r="1781" spans="1:12" outlineLevel="2">
      <c r="A1781" s="28"/>
      <c r="B1781" s="12" t="str">
        <f>IFERROR(VLOOKUP(D1781,'[1]Перечень товаров'!$A$2:$I9525,2,0),"")</f>
        <v>тм289</v>
      </c>
      <c r="C1781" s="12" t="str">
        <f>IFERROR(VLOOKUP(D1781,'[1]Перечень товаров'!$A$2:$I9525,3,0),"")</f>
        <v>Техника муз</v>
      </c>
      <c r="D1781" s="29" t="s">
        <v>621</v>
      </c>
      <c r="E1781" s="72"/>
      <c r="F1781" s="72"/>
      <c r="G1781" s="73">
        <v>4</v>
      </c>
      <c r="H1781" s="73"/>
      <c r="I1781" s="74"/>
      <c r="J1781" s="74"/>
      <c r="K1781" s="19"/>
      <c r="L1781" s="20"/>
    </row>
    <row r="1782" spans="1:12" ht="30" outlineLevel="2">
      <c r="A1782" s="80"/>
      <c r="B1782" s="12" t="str">
        <f>IFERROR(VLOOKUP(D1782,'[1]Перечень товаров'!$A$2:$I9525,2,0),"")</f>
        <v/>
      </c>
      <c r="C1782" s="12" t="str">
        <f>IFERROR(VLOOKUP(D1782,'[1]Перечень товаров'!$A$2:$I9525,3,0),"")</f>
        <v/>
      </c>
      <c r="D1782" s="81" t="s">
        <v>622</v>
      </c>
      <c r="E1782" s="164"/>
      <c r="F1782" s="164"/>
      <c r="G1782" s="167"/>
      <c r="H1782" s="167"/>
      <c r="I1782" s="168"/>
      <c r="J1782" s="168"/>
      <c r="K1782" s="19"/>
      <c r="L1782" s="20"/>
    </row>
    <row r="1783" spans="1:12" outlineLevel="2">
      <c r="A1783" s="70"/>
      <c r="B1783" s="12" t="str">
        <f>IFERROR(VLOOKUP(D1783,'[1]Перечень товаров'!$A$2:$I9525,2,0),"")</f>
        <v>тм73</v>
      </c>
      <c r="C1783" s="12" t="str">
        <f>IFERROR(VLOOKUP(D1783,'[1]Перечень товаров'!$A$2:$I9525,3,0),"")</f>
        <v>Техника муз</v>
      </c>
      <c r="D1783" s="130" t="s">
        <v>420</v>
      </c>
      <c r="E1783" s="72"/>
      <c r="F1783" s="72"/>
      <c r="G1783" s="73">
        <v>1</v>
      </c>
      <c r="H1783" s="73"/>
      <c r="I1783" s="74"/>
      <c r="J1783" s="74"/>
      <c r="K1783" s="19"/>
      <c r="L1783" s="20"/>
    </row>
    <row r="1784" spans="1:12" outlineLevel="2">
      <c r="A1784" s="70"/>
      <c r="B1784" s="12" t="str">
        <f>IFERROR(VLOOKUP(D1784,'[1]Перечень товаров'!$A$2:$I9525,2,0),"")</f>
        <v>мм1</v>
      </c>
      <c r="C1784" s="12" t="str">
        <f>IFERROR(VLOOKUP(D1784,'[1]Перечень товаров'!$A$2:$I9525,3,0),"")</f>
        <v>Мебель муз</v>
      </c>
      <c r="D1784" s="71" t="s">
        <v>179</v>
      </c>
      <c r="E1784" s="72"/>
      <c r="F1784" s="72"/>
      <c r="G1784" s="73">
        <v>2</v>
      </c>
      <c r="H1784" s="73"/>
      <c r="I1784" s="74"/>
      <c r="J1784" s="74"/>
      <c r="K1784" s="19"/>
      <c r="L1784" s="20"/>
    </row>
    <row r="1785" spans="1:12" outlineLevel="2">
      <c r="A1785" s="70"/>
      <c r="B1785" s="12" t="str">
        <f>IFERROR(VLOOKUP(D1785,'[1]Перечень товаров'!$A$2:$I9525,2,0),"")</f>
        <v>м182</v>
      </c>
      <c r="C1785" s="12" t="str">
        <f>IFERROR(VLOOKUP(D1785,'[1]Перечень товаров'!$A$2:$I9525,3,0),"")</f>
        <v>Мебель</v>
      </c>
      <c r="D1785" s="71" t="s">
        <v>623</v>
      </c>
      <c r="E1785" s="72"/>
      <c r="F1785" s="72"/>
      <c r="G1785" s="73">
        <v>30</v>
      </c>
      <c r="H1785" s="73"/>
      <c r="I1785" s="74"/>
      <c r="J1785" s="74"/>
      <c r="K1785" s="19"/>
      <c r="L1785" s="20"/>
    </row>
    <row r="1786" spans="1:12" ht="31.5" outlineLevel="2">
      <c r="A1786" s="70"/>
      <c r="B1786" s="12" t="str">
        <f>IFERROR(VLOOKUP(D1786,'[1]Перечень товаров'!$A$2:$I9525,2,0),"")</f>
        <v>м183</v>
      </c>
      <c r="C1786" s="12" t="str">
        <f>IFERROR(VLOOKUP(D1786,'[1]Перечень товаров'!$A$2:$I9525,3,0),"")</f>
        <v>Мебель</v>
      </c>
      <c r="D1786" s="71" t="s">
        <v>624</v>
      </c>
      <c r="E1786" s="72"/>
      <c r="F1786" s="72"/>
      <c r="G1786" s="73">
        <v>60</v>
      </c>
      <c r="H1786" s="73"/>
      <c r="I1786" s="74"/>
      <c r="J1786" s="74"/>
      <c r="K1786" s="19"/>
      <c r="L1786" s="20"/>
    </row>
    <row r="1787" spans="1:12" outlineLevel="2">
      <c r="A1787" s="70"/>
      <c r="B1787" s="12" t="str">
        <f>IFERROR(VLOOKUP(D1787,'[1]Перечень товаров'!$A$2:$I9525,2,0),"")</f>
        <v>м184</v>
      </c>
      <c r="C1787" s="12" t="str">
        <f>IFERROR(VLOOKUP(D1787,'[1]Перечень товаров'!$A$2:$I9525,3,0),"")</f>
        <v>Мебель</v>
      </c>
      <c r="D1787" s="71" t="s">
        <v>625</v>
      </c>
      <c r="E1787" s="72"/>
      <c r="F1787" s="72"/>
      <c r="G1787" s="73">
        <v>6</v>
      </c>
      <c r="H1787" s="73"/>
      <c r="I1787" s="74"/>
      <c r="J1787" s="74"/>
      <c r="K1787" s="19"/>
      <c r="L1787" s="20"/>
    </row>
    <row r="1788" spans="1:12" outlineLevel="2">
      <c r="A1788" s="70"/>
      <c r="B1788" s="12" t="str">
        <f>IFERROR(VLOOKUP(D1788,'[1]Перечень товаров'!$A$2:$I9525,2,0),"")</f>
        <v>м185</v>
      </c>
      <c r="C1788" s="12" t="str">
        <f>IFERROR(VLOOKUP(D1788,'[1]Перечень товаров'!$A$2:$I9525,3,0),"")</f>
        <v>Мебель</v>
      </c>
      <c r="D1788" s="71" t="s">
        <v>626</v>
      </c>
      <c r="E1788" s="72"/>
      <c r="F1788" s="72"/>
      <c r="G1788" s="73">
        <v>2</v>
      </c>
      <c r="H1788" s="73"/>
      <c r="I1788" s="74"/>
      <c r="J1788" s="74"/>
      <c r="K1788" s="19"/>
      <c r="L1788" s="20"/>
    </row>
    <row r="1789" spans="1:12" outlineLevel="2">
      <c r="A1789" s="70"/>
      <c r="B1789" s="12" t="str">
        <f>IFERROR(VLOOKUP(D1789,'[1]Перечень товаров'!$A$2:$I9525,2,0),"")</f>
        <v>м186</v>
      </c>
      <c r="C1789" s="12" t="str">
        <f>IFERROR(VLOOKUP(D1789,'[1]Перечень товаров'!$A$2:$I9525,3,0),"")</f>
        <v>Мебель</v>
      </c>
      <c r="D1789" s="71" t="s">
        <v>627</v>
      </c>
      <c r="E1789" s="72"/>
      <c r="F1789" s="72"/>
      <c r="G1789" s="73">
        <v>2</v>
      </c>
      <c r="H1789" s="73"/>
      <c r="I1789" s="74"/>
      <c r="J1789" s="74"/>
      <c r="K1789" s="19"/>
      <c r="L1789" s="20"/>
    </row>
    <row r="1790" spans="1:12" ht="31.5" outlineLevel="2">
      <c r="A1790" s="70"/>
      <c r="B1790" s="12" t="str">
        <f>IFERROR(VLOOKUP(D1790,'[1]Перечень товаров'!$A$2:$I9525,2,0),"")</f>
        <v>м187</v>
      </c>
      <c r="C1790" s="12" t="str">
        <f>IFERROR(VLOOKUP(D1790,'[1]Перечень товаров'!$A$2:$I9525,3,0),"")</f>
        <v>Мебель</v>
      </c>
      <c r="D1790" s="71" t="s">
        <v>628</v>
      </c>
      <c r="E1790" s="72"/>
      <c r="F1790" s="72"/>
      <c r="G1790" s="73">
        <v>4</v>
      </c>
      <c r="H1790" s="73"/>
      <c r="I1790" s="74"/>
      <c r="J1790" s="74"/>
      <c r="K1790" s="19"/>
      <c r="L1790" s="20"/>
    </row>
    <row r="1791" spans="1:12" ht="31.5" outlineLevel="2">
      <c r="A1791" s="70"/>
      <c r="B1791" s="12" t="str">
        <f>IFERROR(VLOOKUP(D1791,'[1]Перечень товаров'!$A$2:$I9525,2,0),"")</f>
        <v>м188</v>
      </c>
      <c r="C1791" s="12" t="str">
        <f>IFERROR(VLOOKUP(D1791,'[1]Перечень товаров'!$A$2:$I9525,3,0),"")</f>
        <v>Мебель</v>
      </c>
      <c r="D1791" s="71" t="s">
        <v>629</v>
      </c>
      <c r="E1791" s="72"/>
      <c r="F1791" s="72"/>
      <c r="G1791" s="73">
        <v>6</v>
      </c>
      <c r="H1791" s="73"/>
      <c r="I1791" s="74"/>
      <c r="J1791" s="74"/>
      <c r="K1791" s="19"/>
      <c r="L1791" s="20"/>
    </row>
    <row r="1792" spans="1:12" ht="31.5" outlineLevel="2">
      <c r="A1792" s="70"/>
      <c r="B1792" s="12" t="str">
        <f>IFERROR(VLOOKUP(D1792,'[1]Перечень товаров'!$A$2:$I9525,2,0),"")</f>
        <v>т214</v>
      </c>
      <c r="C1792" s="12" t="str">
        <f>IFERROR(VLOOKUP(D1792,'[1]Перечень товаров'!$A$2:$I9525,3,0),"")</f>
        <v>Техника</v>
      </c>
      <c r="D1792" s="71" t="s">
        <v>630</v>
      </c>
      <c r="E1792" s="72"/>
      <c r="F1792" s="72"/>
      <c r="G1792" s="73">
        <v>2</v>
      </c>
      <c r="H1792" s="73"/>
      <c r="I1792" s="74"/>
      <c r="J1792" s="74"/>
      <c r="K1792" s="19"/>
      <c r="L1792" s="20"/>
    </row>
    <row r="1793" spans="1:12" outlineLevel="2">
      <c r="A1793" s="70"/>
      <c r="B1793" s="12" t="str">
        <f>IFERROR(VLOOKUP(D1793,'[1]Перечень товаров'!$A$2:$I9525,2,0),"")</f>
        <v>пм10</v>
      </c>
      <c r="C1793" s="12" t="str">
        <f>IFERROR(VLOOKUP(D1793,'[1]Перечень товаров'!$A$2:$I9525,3,0),"")</f>
        <v>Прочее муз</v>
      </c>
      <c r="D1793" s="71" t="s">
        <v>631</v>
      </c>
      <c r="E1793" s="72"/>
      <c r="F1793" s="72"/>
      <c r="G1793" s="73">
        <v>60</v>
      </c>
      <c r="H1793" s="73"/>
      <c r="I1793" s="74"/>
      <c r="J1793" s="74"/>
      <c r="K1793" s="19"/>
      <c r="L1793" s="20"/>
    </row>
    <row r="1794" spans="1:12" outlineLevel="2">
      <c r="A1794" s="70"/>
      <c r="B1794" s="12" t="str">
        <f>IFERROR(VLOOKUP(D1794,'[1]Перечень товаров'!$A$2:$I9525,2,0),"")</f>
        <v>пм11</v>
      </c>
      <c r="C1794" s="12" t="str">
        <f>IFERROR(VLOOKUP(D1794,'[1]Перечень товаров'!$A$2:$I9525,3,0),"")</f>
        <v>Прочее муз</v>
      </c>
      <c r="D1794" s="71" t="s">
        <v>632</v>
      </c>
      <c r="E1794" s="72"/>
      <c r="F1794" s="72"/>
      <c r="G1794" s="73">
        <v>40</v>
      </c>
      <c r="H1794" s="73"/>
      <c r="I1794" s="74"/>
      <c r="J1794" s="74"/>
      <c r="K1794" s="19"/>
      <c r="L1794" s="20"/>
    </row>
    <row r="1795" spans="1:12" outlineLevel="2">
      <c r="A1795" s="70"/>
      <c r="B1795" s="12" t="str">
        <f>IFERROR(VLOOKUP(D1795,'[1]Перечень товаров'!$A$2:$I9525,2,0),"")</f>
        <v>пм12</v>
      </c>
      <c r="C1795" s="12" t="str">
        <f>IFERROR(VLOOKUP(D1795,'[1]Перечень товаров'!$A$2:$I9525,3,0),"")</f>
        <v>Прочее муз</v>
      </c>
      <c r="D1795" s="71" t="s">
        <v>633</v>
      </c>
      <c r="E1795" s="72"/>
      <c r="F1795" s="72"/>
      <c r="G1795" s="73">
        <v>20</v>
      </c>
      <c r="H1795" s="73"/>
      <c r="I1795" s="74"/>
      <c r="J1795" s="74"/>
      <c r="K1795" s="19"/>
      <c r="L1795" s="20"/>
    </row>
    <row r="1796" spans="1:12" outlineLevel="2">
      <c r="A1796" s="70"/>
      <c r="B1796" s="12" t="str">
        <f>IFERROR(VLOOKUP(D1796,'[1]Перечень товаров'!$A$2:$I9525,2,0),"")</f>
        <v>тм54</v>
      </c>
      <c r="C1796" s="12" t="str">
        <f>IFERROR(VLOOKUP(D1796,'[1]Перечень товаров'!$A$2:$I9525,3,0),"")</f>
        <v>Техника муз</v>
      </c>
      <c r="D1796" s="71" t="s">
        <v>310</v>
      </c>
      <c r="E1796" s="72"/>
      <c r="F1796" s="72"/>
      <c r="G1796" s="73">
        <v>20</v>
      </c>
      <c r="H1796" s="73"/>
      <c r="I1796" s="74"/>
      <c r="J1796" s="74"/>
      <c r="K1796" s="19"/>
      <c r="L1796" s="20"/>
    </row>
    <row r="1797" spans="1:12" outlineLevel="2">
      <c r="A1797" s="70"/>
      <c r="B1797" s="12" t="str">
        <f>IFERROR(VLOOKUP(D1797,'[1]Перечень товаров'!$A$2:$I9525,2,0),"")</f>
        <v>пм13</v>
      </c>
      <c r="C1797" s="12" t="str">
        <f>IFERROR(VLOOKUP(D1797,'[1]Перечень товаров'!$A$2:$I9525,3,0),"")</f>
        <v>Прочее муз</v>
      </c>
      <c r="D1797" s="71" t="s">
        <v>634</v>
      </c>
      <c r="E1797" s="72"/>
      <c r="F1797" s="72"/>
      <c r="G1797" s="169" t="s">
        <v>635</v>
      </c>
      <c r="H1797" s="169"/>
      <c r="I1797" s="170"/>
      <c r="J1797" s="170"/>
      <c r="K1797" s="19"/>
      <c r="L1797" s="20"/>
    </row>
    <row r="1798" spans="1:12" ht="15" outlineLevel="2">
      <c r="A1798" s="80"/>
      <c r="B1798" s="12" t="str">
        <f>IFERROR(VLOOKUP(D1798,'[1]Перечень товаров'!$A$2:$I9525,2,0),"")</f>
        <v/>
      </c>
      <c r="C1798" s="12" t="str">
        <f>IFERROR(VLOOKUP(D1798,'[1]Перечень товаров'!$A$2:$I9525,3,0),"")</f>
        <v/>
      </c>
      <c r="D1798" s="81" t="s">
        <v>264</v>
      </c>
      <c r="E1798" s="164"/>
      <c r="F1798" s="164"/>
      <c r="G1798" s="167"/>
      <c r="H1798" s="167"/>
      <c r="I1798" s="168"/>
      <c r="J1798" s="168"/>
      <c r="K1798" s="19"/>
      <c r="L1798" s="20"/>
    </row>
    <row r="1799" spans="1:12" ht="31.5" outlineLevel="2">
      <c r="A1799" s="70"/>
      <c r="B1799" s="12" t="str">
        <f>IFERROR(VLOOKUP(D1799,'[1]Перечень товаров'!$A$2:$I9525,2,0),"")</f>
        <v>т215</v>
      </c>
      <c r="C1799" s="12" t="str">
        <f>IFERROR(VLOOKUP(D1799,'[1]Перечень товаров'!$A$2:$I9525,3,0),"")</f>
        <v>Техника</v>
      </c>
      <c r="D1799" s="71" t="s">
        <v>636</v>
      </c>
      <c r="E1799" s="72"/>
      <c r="F1799" s="72"/>
      <c r="G1799" s="73">
        <v>2</v>
      </c>
      <c r="H1799" s="73"/>
      <c r="I1799" s="74"/>
      <c r="J1799" s="74"/>
      <c r="K1799" s="19"/>
      <c r="L1799" s="20"/>
    </row>
    <row r="1800" spans="1:12" ht="31.5" outlineLevel="2">
      <c r="A1800" s="70"/>
      <c r="B1800" s="12" t="str">
        <f>IFERROR(VLOOKUP(D1800,'[1]Перечень товаров'!$A$2:$I9525,2,0),"")</f>
        <v>т216</v>
      </c>
      <c r="C1800" s="12" t="str">
        <f>IFERROR(VLOOKUP(D1800,'[1]Перечень товаров'!$A$2:$I9525,3,0),"")</f>
        <v>Техника</v>
      </c>
      <c r="D1800" s="71" t="s">
        <v>637</v>
      </c>
      <c r="E1800" s="72"/>
      <c r="F1800" s="72"/>
      <c r="G1800" s="73">
        <v>4</v>
      </c>
      <c r="H1800" s="73"/>
      <c r="I1800" s="74"/>
      <c r="J1800" s="74"/>
      <c r="K1800" s="19"/>
      <c r="L1800" s="20"/>
    </row>
    <row r="1801" spans="1:12" outlineLevel="2">
      <c r="A1801" s="70"/>
      <c r="B1801" s="12" t="str">
        <f>IFERROR(VLOOKUP(D1801,'[1]Перечень товаров'!$A$2:$I9525,2,0),"")</f>
        <v>т217</v>
      </c>
      <c r="C1801" s="12" t="str">
        <f>IFERROR(VLOOKUP(D1801,'[1]Перечень товаров'!$A$2:$I9525,3,0),"")</f>
        <v>Техника</v>
      </c>
      <c r="D1801" s="71" t="s">
        <v>638</v>
      </c>
      <c r="E1801" s="72"/>
      <c r="F1801" s="72"/>
      <c r="G1801" s="73">
        <v>4</v>
      </c>
      <c r="H1801" s="73"/>
      <c r="I1801" s="74"/>
      <c r="J1801" s="74"/>
      <c r="K1801" s="19"/>
      <c r="L1801" s="20"/>
    </row>
    <row r="1802" spans="1:12" outlineLevel="2">
      <c r="A1802" s="70"/>
      <c r="B1802" s="12" t="str">
        <f>IFERROR(VLOOKUP(D1802,'[1]Перечень товаров'!$A$2:$I9525,2,0),"")</f>
        <v>т218</v>
      </c>
      <c r="C1802" s="12" t="str">
        <f>IFERROR(VLOOKUP(D1802,'[1]Перечень товаров'!$A$2:$I9525,3,0),"")</f>
        <v>Техника</v>
      </c>
      <c r="D1802" s="71" t="s">
        <v>639</v>
      </c>
      <c r="E1802" s="72"/>
      <c r="F1802" s="72"/>
      <c r="G1802" s="73">
        <v>20</v>
      </c>
      <c r="H1802" s="73"/>
      <c r="I1802" s="74"/>
      <c r="J1802" s="74"/>
      <c r="K1802" s="19"/>
      <c r="L1802" s="20"/>
    </row>
    <row r="1803" spans="1:12" outlineLevel="2">
      <c r="A1803" s="70"/>
      <c r="B1803" s="12" t="str">
        <f>IFERROR(VLOOKUP(D1803,'[1]Перечень товаров'!$A$2:$I9525,2,0),"")</f>
        <v>т219</v>
      </c>
      <c r="C1803" s="12" t="str">
        <f>IFERROR(VLOOKUP(D1803,'[1]Перечень товаров'!$A$2:$I9525,3,0),"")</f>
        <v>Техника</v>
      </c>
      <c r="D1803" s="71" t="s">
        <v>640</v>
      </c>
      <c r="E1803" s="72"/>
      <c r="F1803" s="72"/>
      <c r="G1803" s="73">
        <v>4</v>
      </c>
      <c r="H1803" s="73"/>
      <c r="I1803" s="74"/>
      <c r="J1803" s="74"/>
      <c r="K1803" s="19"/>
      <c r="L1803" s="20"/>
    </row>
    <row r="1804" spans="1:12" outlineLevel="2">
      <c r="A1804" s="70"/>
      <c r="B1804" s="12" t="str">
        <f>IFERROR(VLOOKUP(D1804,'[1]Перечень товаров'!$A$2:$I9525,2,0),"")</f>
        <v>т220</v>
      </c>
      <c r="C1804" s="12" t="str">
        <f>IFERROR(VLOOKUP(D1804,'[1]Перечень товаров'!$A$2:$I9525,3,0),"")</f>
        <v>Техника</v>
      </c>
      <c r="D1804" s="71" t="s">
        <v>641</v>
      </c>
      <c r="E1804" s="72"/>
      <c r="F1804" s="72"/>
      <c r="G1804" s="73">
        <v>8</v>
      </c>
      <c r="H1804" s="73"/>
      <c r="I1804" s="74"/>
      <c r="J1804" s="74"/>
      <c r="K1804" s="19"/>
      <c r="L1804" s="20"/>
    </row>
    <row r="1805" spans="1:12" ht="31.5" outlineLevel="2">
      <c r="A1805" s="70"/>
      <c r="B1805" s="12" t="str">
        <f>IFERROR(VLOOKUP(D1805,'[1]Перечень товаров'!$A$2:$I9525,2,0),"")</f>
        <v>т74</v>
      </c>
      <c r="C1805" s="12" t="str">
        <f>IFERROR(VLOOKUP(D1805,'[1]Перечень товаров'!$A$2:$I9525,3,0),"")</f>
        <v>Техника</v>
      </c>
      <c r="D1805" s="71" t="s">
        <v>199</v>
      </c>
      <c r="E1805" s="72"/>
      <c r="F1805" s="72"/>
      <c r="G1805" s="73">
        <v>20</v>
      </c>
      <c r="H1805" s="73"/>
      <c r="I1805" s="74"/>
      <c r="J1805" s="74"/>
      <c r="K1805" s="19"/>
      <c r="L1805" s="20"/>
    </row>
    <row r="1806" spans="1:12" outlineLevel="2">
      <c r="A1806" s="70"/>
      <c r="B1806" s="12" t="str">
        <f>IFERROR(VLOOKUP(D1806,'[1]Перечень товаров'!$A$2:$I9525,2,0),"")</f>
        <v>тм292</v>
      </c>
      <c r="C1806" s="12" t="str">
        <f>IFERROR(VLOOKUP(D1806,'[1]Перечень товаров'!$A$2:$I9525,3,0),"")</f>
        <v>Техника муз</v>
      </c>
      <c r="D1806" s="71" t="s">
        <v>642</v>
      </c>
      <c r="E1806" s="72"/>
      <c r="F1806" s="72"/>
      <c r="G1806" s="73">
        <v>4</v>
      </c>
      <c r="H1806" s="73"/>
      <c r="I1806" s="74"/>
      <c r="J1806" s="74"/>
      <c r="K1806" s="19"/>
      <c r="L1806" s="20"/>
    </row>
    <row r="1807" spans="1:12" outlineLevel="2">
      <c r="A1807" s="70"/>
      <c r="B1807" s="12" t="str">
        <f>IFERROR(VLOOKUP(D1807,'[1]Перечень товаров'!$A$2:$I9525,2,0),"")</f>
        <v>тм76</v>
      </c>
      <c r="C1807" s="12" t="str">
        <f>IFERROR(VLOOKUP(D1807,'[1]Перечень товаров'!$A$2:$I9525,3,0),"")</f>
        <v>Техника муз</v>
      </c>
      <c r="D1807" s="71" t="s">
        <v>423</v>
      </c>
      <c r="E1807" s="72"/>
      <c r="F1807" s="72"/>
      <c r="G1807" s="73">
        <v>2</v>
      </c>
      <c r="H1807" s="73"/>
      <c r="I1807" s="74"/>
      <c r="J1807" s="74"/>
      <c r="K1807" s="19"/>
      <c r="L1807" s="20"/>
    </row>
    <row r="1808" spans="1:12" outlineLevel="2">
      <c r="A1808" s="70"/>
      <c r="B1808" s="12" t="str">
        <f>IFERROR(VLOOKUP(D1808,'[1]Перечень товаров'!$A$2:$I9525,2,0),"")</f>
        <v>т221</v>
      </c>
      <c r="C1808" s="12" t="str">
        <f>IFERROR(VLOOKUP(D1808,'[1]Перечень товаров'!$A$2:$I9525,3,0),"")</f>
        <v>Техника</v>
      </c>
      <c r="D1808" s="71" t="s">
        <v>643</v>
      </c>
      <c r="E1808" s="72"/>
      <c r="F1808" s="72"/>
      <c r="G1808" s="73">
        <v>2</v>
      </c>
      <c r="H1808" s="73"/>
      <c r="I1808" s="74"/>
      <c r="J1808" s="74"/>
      <c r="K1808" s="19"/>
      <c r="L1808" s="20"/>
    </row>
    <row r="1809" spans="1:12" ht="31.5" outlineLevel="2">
      <c r="A1809" s="70"/>
      <c r="B1809" s="12" t="str">
        <f>IFERROR(VLOOKUP(D1809,'[1]Перечень товаров'!$A$2:$I9525,2,0),"")</f>
        <v>тм293</v>
      </c>
      <c r="C1809" s="12" t="str">
        <f>IFERROR(VLOOKUP(D1809,'[1]Перечень товаров'!$A$2:$I9525,3,0),"")</f>
        <v>Техника муз</v>
      </c>
      <c r="D1809" s="71" t="s">
        <v>644</v>
      </c>
      <c r="E1809" s="72"/>
      <c r="F1809" s="72"/>
      <c r="G1809" s="169" t="s">
        <v>645</v>
      </c>
      <c r="H1809" s="169"/>
      <c r="I1809" s="170"/>
      <c r="J1809" s="170"/>
      <c r="K1809" s="19"/>
      <c r="L1809" s="20"/>
    </row>
    <row r="1810" spans="1:12" ht="47.25" outlineLevel="2">
      <c r="A1810" s="70"/>
      <c r="B1810" s="12" t="str">
        <f>IFERROR(VLOOKUP(D1810,'[1]Перечень товаров'!$A$2:$I9525,2,0),"")</f>
        <v>п49</v>
      </c>
      <c r="C1810" s="12" t="str">
        <f>IFERROR(VLOOKUP(D1810,'[1]Перечень товаров'!$A$2:$I9525,3,0),"")</f>
        <v>Прочее</v>
      </c>
      <c r="D1810" s="71" t="s">
        <v>584</v>
      </c>
      <c r="E1810" s="30"/>
      <c r="F1810" s="30"/>
      <c r="G1810" s="59">
        <v>1</v>
      </c>
      <c r="H1810" s="59"/>
      <c r="I1810" s="60"/>
      <c r="J1810" s="60"/>
      <c r="K1810" s="19"/>
      <c r="L1810" s="20"/>
    </row>
    <row r="1811" spans="1:12" outlineLevel="2">
      <c r="A1811" s="70"/>
      <c r="B1811" s="12" t="str">
        <f>IFERROR(VLOOKUP(D1811,'[1]Перечень товаров'!$A$2:$I9525,2,0),"")</f>
        <v>п50</v>
      </c>
      <c r="C1811" s="12" t="str">
        <f>IFERROR(VLOOKUP(D1811,'[1]Перечень товаров'!$A$2:$I9525,3,0),"")</f>
        <v>Прочее</v>
      </c>
      <c r="D1811" s="71" t="s">
        <v>585</v>
      </c>
      <c r="E1811" s="30"/>
      <c r="F1811" s="30"/>
      <c r="G1811" s="59">
        <v>1</v>
      </c>
      <c r="H1811" s="59"/>
      <c r="I1811" s="60"/>
      <c r="J1811" s="60"/>
      <c r="K1811" s="19"/>
      <c r="L1811" s="20"/>
    </row>
    <row r="1812" spans="1:12" ht="31.5" outlineLevel="2">
      <c r="A1812" s="70"/>
      <c r="B1812" s="12" t="str">
        <f>IFERROR(VLOOKUP(D1812,'[1]Перечень товаров'!$A$2:$I9525,2,0),"")</f>
        <v>м189</v>
      </c>
      <c r="C1812" s="12" t="str">
        <f>IFERROR(VLOOKUP(D1812,'[1]Перечень товаров'!$A$2:$I9525,3,0),"")</f>
        <v>Мебель</v>
      </c>
      <c r="D1812" s="71" t="s">
        <v>646</v>
      </c>
      <c r="E1812" s="30"/>
      <c r="F1812" s="30"/>
      <c r="G1812" s="59">
        <v>2</v>
      </c>
      <c r="H1812" s="59"/>
      <c r="I1812" s="60"/>
      <c r="J1812" s="60"/>
      <c r="K1812" s="19"/>
      <c r="L1812" s="20"/>
    </row>
    <row r="1813" spans="1:12" ht="31.5" outlineLevel="2">
      <c r="A1813" s="70"/>
      <c r="B1813" s="12" t="str">
        <f>IFERROR(VLOOKUP(D1813,'[1]Перечень товаров'!$A$2:$I9525,2,0),"")</f>
        <v>м190</v>
      </c>
      <c r="C1813" s="12" t="str">
        <f>IFERROR(VLOOKUP(D1813,'[1]Перечень товаров'!$A$2:$I9525,3,0),"")</f>
        <v>Мебель</v>
      </c>
      <c r="D1813" s="71" t="s">
        <v>647</v>
      </c>
      <c r="E1813" s="30"/>
      <c r="F1813" s="30"/>
      <c r="G1813" s="59">
        <v>1</v>
      </c>
      <c r="H1813" s="59"/>
      <c r="I1813" s="60"/>
      <c r="J1813" s="60"/>
      <c r="K1813" s="19"/>
      <c r="L1813" s="20"/>
    </row>
    <row r="1814" spans="1:12" ht="31.5" outlineLevel="2">
      <c r="A1814" s="70"/>
      <c r="B1814" s="12" t="str">
        <f>IFERROR(VLOOKUP(D1814,'[1]Перечень товаров'!$A$2:$I9525,2,0),"")</f>
        <v>м191</v>
      </c>
      <c r="C1814" s="12" t="str">
        <f>IFERROR(VLOOKUP(D1814,'[1]Перечень товаров'!$A$2:$I9525,3,0),"")</f>
        <v>Мебель</v>
      </c>
      <c r="D1814" s="71" t="s">
        <v>648</v>
      </c>
      <c r="E1814" s="30"/>
      <c r="F1814" s="30"/>
      <c r="G1814" s="59">
        <v>1</v>
      </c>
      <c r="H1814" s="59"/>
      <c r="I1814" s="60"/>
      <c r="J1814" s="60"/>
      <c r="K1814" s="19"/>
      <c r="L1814" s="20"/>
    </row>
    <row r="1815" spans="1:12" outlineLevel="2">
      <c r="A1815" s="171"/>
      <c r="B1815" s="12" t="str">
        <f>IFERROR(VLOOKUP(D1815,'[1]Перечень товаров'!$A$2:$I9525,2,0),"")</f>
        <v>м192</v>
      </c>
      <c r="C1815" s="12" t="str">
        <f>IFERROR(VLOOKUP(D1815,'[1]Перечень товаров'!$A$2:$I9525,3,0),"")</f>
        <v>Мебель</v>
      </c>
      <c r="D1815" s="172" t="s">
        <v>649</v>
      </c>
      <c r="E1815" s="173"/>
      <c r="F1815" s="173"/>
      <c r="G1815" s="59">
        <v>1</v>
      </c>
      <c r="H1815" s="59"/>
      <c r="I1815" s="60"/>
      <c r="J1815" s="60"/>
      <c r="K1815" s="19"/>
      <c r="L1815" s="20"/>
    </row>
    <row r="1816" spans="1:12" ht="12.75" outlineLevel="1">
      <c r="A1816" s="89"/>
      <c r="B1816" s="12" t="str">
        <f>IFERROR(VLOOKUP(D1816,'[1]Перечень товаров'!$A$2:$I9525,2,0),"")</f>
        <v/>
      </c>
      <c r="C1816" s="12" t="str">
        <f>IFERROR(VLOOKUP(D1816,'[1]Перечень товаров'!$A$2:$I9525,3,0),"")</f>
        <v/>
      </c>
      <c r="D1816" s="90" t="s">
        <v>588</v>
      </c>
      <c r="E1816" s="91" t="s">
        <v>650</v>
      </c>
      <c r="F1816" s="91"/>
      <c r="G1816" s="17"/>
      <c r="H1816" s="17"/>
      <c r="I1816" s="57"/>
      <c r="J1816" s="57"/>
      <c r="K1816" s="19"/>
      <c r="L1816" s="20"/>
    </row>
    <row r="1817" spans="1:12" ht="30" outlineLevel="2">
      <c r="A1817" s="80"/>
      <c r="B1817" s="12" t="str">
        <f>IFERROR(VLOOKUP(D1817,'[1]Перечень товаров'!$A$2:$I9525,2,0),"")</f>
        <v/>
      </c>
      <c r="C1817" s="12" t="str">
        <f>IFERROR(VLOOKUP(D1817,'[1]Перечень товаров'!$A$2:$I9525,3,0),"")</f>
        <v/>
      </c>
      <c r="D1817" s="81" t="s">
        <v>589</v>
      </c>
      <c r="E1817" s="164"/>
      <c r="F1817" s="164"/>
      <c r="G1817" s="165"/>
      <c r="H1817" s="165"/>
      <c r="I1817" s="166"/>
      <c r="J1817" s="166"/>
      <c r="K1817" s="19"/>
      <c r="L1817" s="20"/>
    </row>
    <row r="1818" spans="1:12" outlineLevel="2">
      <c r="A1818" s="70"/>
      <c r="B1818" s="12" t="str">
        <f>IFERROR(VLOOKUP(D1818,'[1]Перечень товаров'!$A$2:$I9525,2,0),"")</f>
        <v>тм260</v>
      </c>
      <c r="C1818" s="12" t="str">
        <f>IFERROR(VLOOKUP(D1818,'[1]Перечень товаров'!$A$2:$I9525,3,0),"")</f>
        <v>Техника муз</v>
      </c>
      <c r="D1818" s="71" t="s">
        <v>590</v>
      </c>
      <c r="E1818" s="72"/>
      <c r="F1818" s="72"/>
      <c r="G1818" s="73">
        <v>20</v>
      </c>
      <c r="H1818" s="73"/>
      <c r="I1818" s="74"/>
      <c r="J1818" s="74"/>
      <c r="K1818" s="19"/>
      <c r="L1818" s="20"/>
    </row>
    <row r="1819" spans="1:12" outlineLevel="2">
      <c r="A1819" s="70"/>
      <c r="B1819" s="12" t="str">
        <f>IFERROR(VLOOKUP(D1819,'[1]Перечень товаров'!$A$2:$I9525,2,0),"")</f>
        <v>тм261</v>
      </c>
      <c r="C1819" s="12" t="str">
        <f>IFERROR(VLOOKUP(D1819,'[1]Перечень товаров'!$A$2:$I9525,3,0),"")</f>
        <v>Техника муз</v>
      </c>
      <c r="D1819" s="71" t="s">
        <v>591</v>
      </c>
      <c r="E1819" s="72"/>
      <c r="F1819" s="72"/>
      <c r="G1819" s="73">
        <v>8</v>
      </c>
      <c r="H1819" s="73"/>
      <c r="I1819" s="74"/>
      <c r="J1819" s="74"/>
      <c r="K1819" s="19"/>
      <c r="L1819" s="20"/>
    </row>
    <row r="1820" spans="1:12" outlineLevel="2">
      <c r="A1820" s="70"/>
      <c r="B1820" s="12" t="str">
        <f>IFERROR(VLOOKUP(D1820,'[1]Перечень товаров'!$A$2:$I9525,2,0),"")</f>
        <v>тм262</v>
      </c>
      <c r="C1820" s="12" t="str">
        <f>IFERROR(VLOOKUP(D1820,'[1]Перечень товаров'!$A$2:$I9525,3,0),"")</f>
        <v>Техника муз</v>
      </c>
      <c r="D1820" s="71" t="s">
        <v>592</v>
      </c>
      <c r="E1820" s="72"/>
      <c r="F1820" s="72"/>
      <c r="G1820" s="73">
        <v>4</v>
      </c>
      <c r="H1820" s="73"/>
      <c r="I1820" s="74"/>
      <c r="J1820" s="74"/>
      <c r="K1820" s="19"/>
      <c r="L1820" s="20"/>
    </row>
    <row r="1821" spans="1:12" ht="31.5" outlineLevel="2">
      <c r="A1821" s="70"/>
      <c r="B1821" s="12" t="str">
        <f>IFERROR(VLOOKUP(D1821,'[1]Перечень товаров'!$A$2:$I9525,2,0),"")</f>
        <v>тм263</v>
      </c>
      <c r="C1821" s="12" t="str">
        <f>IFERROR(VLOOKUP(D1821,'[1]Перечень товаров'!$A$2:$I9525,3,0),"")</f>
        <v>Техника муз</v>
      </c>
      <c r="D1821" s="71" t="s">
        <v>593</v>
      </c>
      <c r="E1821" s="72"/>
      <c r="F1821" s="72"/>
      <c r="G1821" s="73">
        <v>8</v>
      </c>
      <c r="H1821" s="73"/>
      <c r="I1821" s="74"/>
      <c r="J1821" s="74"/>
      <c r="K1821" s="19"/>
      <c r="L1821" s="20"/>
    </row>
    <row r="1822" spans="1:12" outlineLevel="2">
      <c r="A1822" s="70"/>
      <c r="B1822" s="12" t="str">
        <f>IFERROR(VLOOKUP(D1822,'[1]Перечень товаров'!$A$2:$I9525,2,0),"")</f>
        <v>тм264</v>
      </c>
      <c r="C1822" s="12" t="str">
        <f>IFERROR(VLOOKUP(D1822,'[1]Перечень товаров'!$A$2:$I9525,3,0),"")</f>
        <v>Техника муз</v>
      </c>
      <c r="D1822" s="71" t="s">
        <v>594</v>
      </c>
      <c r="E1822" s="72"/>
      <c r="F1822" s="72"/>
      <c r="G1822" s="73">
        <v>8</v>
      </c>
      <c r="H1822" s="73"/>
      <c r="I1822" s="74"/>
      <c r="J1822" s="74"/>
      <c r="K1822" s="19"/>
      <c r="L1822" s="20"/>
    </row>
    <row r="1823" spans="1:12" outlineLevel="2">
      <c r="A1823" s="70"/>
      <c r="B1823" s="12" t="str">
        <f>IFERROR(VLOOKUP(D1823,'[1]Перечень товаров'!$A$2:$I9525,2,0),"")</f>
        <v>тм265</v>
      </c>
      <c r="C1823" s="12" t="str">
        <f>IFERROR(VLOOKUP(D1823,'[1]Перечень товаров'!$A$2:$I9525,3,0),"")</f>
        <v>Техника муз</v>
      </c>
      <c r="D1823" s="71" t="s">
        <v>595</v>
      </c>
      <c r="E1823" s="72"/>
      <c r="F1823" s="72"/>
      <c r="G1823" s="73">
        <v>2</v>
      </c>
      <c r="H1823" s="73"/>
      <c r="I1823" s="74"/>
      <c r="J1823" s="74"/>
      <c r="K1823" s="19"/>
      <c r="L1823" s="20"/>
    </row>
    <row r="1824" spans="1:12" outlineLevel="2">
      <c r="A1824" s="70"/>
      <c r="B1824" s="12" t="str">
        <f>IFERROR(VLOOKUP(D1824,'[1]Перечень товаров'!$A$2:$I9525,2,0),"")</f>
        <v>тм266</v>
      </c>
      <c r="C1824" s="12" t="str">
        <f>IFERROR(VLOOKUP(D1824,'[1]Перечень товаров'!$A$2:$I9525,3,0),"")</f>
        <v>Техника муз</v>
      </c>
      <c r="D1824" s="71" t="s">
        <v>596</v>
      </c>
      <c r="E1824" s="72"/>
      <c r="F1824" s="72"/>
      <c r="G1824" s="73">
        <v>4</v>
      </c>
      <c r="H1824" s="73"/>
      <c r="I1824" s="74"/>
      <c r="J1824" s="74"/>
      <c r="K1824" s="19"/>
      <c r="L1824" s="20"/>
    </row>
    <row r="1825" spans="1:12" outlineLevel="2">
      <c r="A1825" s="28"/>
      <c r="B1825" s="12" t="str">
        <f>IFERROR(VLOOKUP(D1825,'[1]Перечень товаров'!$A$2:$I9525,2,0),"")</f>
        <v>тм267</v>
      </c>
      <c r="C1825" s="12" t="str">
        <f>IFERROR(VLOOKUP(D1825,'[1]Перечень товаров'!$A$2:$I9525,3,0),"")</f>
        <v>Техника муз</v>
      </c>
      <c r="D1825" s="29" t="s">
        <v>597</v>
      </c>
      <c r="E1825" s="72"/>
      <c r="F1825" s="72"/>
      <c r="G1825" s="73">
        <v>4</v>
      </c>
      <c r="H1825" s="73"/>
      <c r="I1825" s="74"/>
      <c r="J1825" s="74"/>
      <c r="K1825" s="19"/>
      <c r="L1825" s="20"/>
    </row>
    <row r="1826" spans="1:12" outlineLevel="2">
      <c r="A1826" s="70"/>
      <c r="B1826" s="12" t="str">
        <f>IFERROR(VLOOKUP(D1826,'[1]Перечень товаров'!$A$2:$I9525,2,0),"")</f>
        <v>тм268</v>
      </c>
      <c r="C1826" s="12" t="str">
        <f>IFERROR(VLOOKUP(D1826,'[1]Перечень товаров'!$A$2:$I9525,3,0),"")</f>
        <v>Техника муз</v>
      </c>
      <c r="D1826" s="71" t="s">
        <v>598</v>
      </c>
      <c r="E1826" s="72"/>
      <c r="F1826" s="72"/>
      <c r="G1826" s="73">
        <v>6</v>
      </c>
      <c r="H1826" s="73"/>
      <c r="I1826" s="74"/>
      <c r="J1826" s="74"/>
      <c r="K1826" s="19"/>
      <c r="L1826" s="20"/>
    </row>
    <row r="1827" spans="1:12" outlineLevel="2">
      <c r="A1827" s="70"/>
      <c r="B1827" s="12" t="str">
        <f>IFERROR(VLOOKUP(D1827,'[1]Перечень товаров'!$A$2:$I9525,2,0),"")</f>
        <v>тм269</v>
      </c>
      <c r="C1827" s="12" t="str">
        <f>IFERROR(VLOOKUP(D1827,'[1]Перечень товаров'!$A$2:$I9525,3,0),"")</f>
        <v>Техника муз</v>
      </c>
      <c r="D1827" s="71" t="s">
        <v>599</v>
      </c>
      <c r="E1827" s="72"/>
      <c r="F1827" s="72"/>
      <c r="G1827" s="73">
        <v>6</v>
      </c>
      <c r="H1827" s="73"/>
      <c r="I1827" s="74"/>
      <c r="J1827" s="74"/>
      <c r="K1827" s="19"/>
      <c r="L1827" s="20"/>
    </row>
    <row r="1828" spans="1:12" outlineLevel="2">
      <c r="A1828" s="28"/>
      <c r="B1828" s="12" t="str">
        <f>IFERROR(VLOOKUP(D1828,'[1]Перечень товаров'!$A$2:$I9525,2,0),"")</f>
        <v>тм270</v>
      </c>
      <c r="C1828" s="12" t="str">
        <f>IFERROR(VLOOKUP(D1828,'[1]Перечень товаров'!$A$2:$I9525,3,0),"")</f>
        <v>Техника муз</v>
      </c>
      <c r="D1828" s="29" t="s">
        <v>600</v>
      </c>
      <c r="E1828" s="72"/>
      <c r="F1828" s="72"/>
      <c r="G1828" s="73">
        <v>6</v>
      </c>
      <c r="H1828" s="73"/>
      <c r="I1828" s="74"/>
      <c r="J1828" s="74"/>
      <c r="K1828" s="19"/>
      <c r="L1828" s="20"/>
    </row>
    <row r="1829" spans="1:12" outlineLevel="2">
      <c r="A1829" s="28"/>
      <c r="B1829" s="12" t="str">
        <f>IFERROR(VLOOKUP(D1829,'[1]Перечень товаров'!$A$2:$I9525,2,0),"")</f>
        <v>тм271</v>
      </c>
      <c r="C1829" s="12" t="str">
        <f>IFERROR(VLOOKUP(D1829,'[1]Перечень товаров'!$A$2:$I9525,3,0),"")</f>
        <v>Техника муз</v>
      </c>
      <c r="D1829" s="29" t="s">
        <v>601</v>
      </c>
      <c r="E1829" s="72"/>
      <c r="F1829" s="72"/>
      <c r="G1829" s="73">
        <v>2</v>
      </c>
      <c r="H1829" s="73"/>
      <c r="I1829" s="74"/>
      <c r="J1829" s="74"/>
      <c r="K1829" s="19"/>
      <c r="L1829" s="20"/>
    </row>
    <row r="1830" spans="1:12" outlineLevel="2">
      <c r="A1830" s="70"/>
      <c r="B1830" s="12" t="str">
        <f>IFERROR(VLOOKUP(D1830,'[1]Перечень товаров'!$A$2:$I9525,2,0),"")</f>
        <v>тм272</v>
      </c>
      <c r="C1830" s="12" t="str">
        <f>IFERROR(VLOOKUP(D1830,'[1]Перечень товаров'!$A$2:$I9525,3,0),"")</f>
        <v>Техника муз</v>
      </c>
      <c r="D1830" s="71" t="s">
        <v>602</v>
      </c>
      <c r="E1830" s="72"/>
      <c r="F1830" s="72"/>
      <c r="G1830" s="73">
        <v>6</v>
      </c>
      <c r="H1830" s="73"/>
      <c r="I1830" s="74"/>
      <c r="J1830" s="74"/>
      <c r="K1830" s="19"/>
      <c r="L1830" s="20"/>
    </row>
    <row r="1831" spans="1:12" outlineLevel="2">
      <c r="A1831" s="70"/>
      <c r="B1831" s="12" t="str">
        <f>IFERROR(VLOOKUP(D1831,'[1]Перечень товаров'!$A$2:$I9525,2,0),"")</f>
        <v>тм273</v>
      </c>
      <c r="C1831" s="12" t="str">
        <f>IFERROR(VLOOKUP(D1831,'[1]Перечень товаров'!$A$2:$I9525,3,0),"")</f>
        <v>Техника муз</v>
      </c>
      <c r="D1831" s="71" t="s">
        <v>603</v>
      </c>
      <c r="E1831" s="72"/>
      <c r="F1831" s="72"/>
      <c r="G1831" s="73">
        <v>2</v>
      </c>
      <c r="H1831" s="73"/>
      <c r="I1831" s="74"/>
      <c r="J1831" s="74"/>
      <c r="K1831" s="19"/>
      <c r="L1831" s="20"/>
    </row>
    <row r="1832" spans="1:12" outlineLevel="2">
      <c r="A1832" s="70"/>
      <c r="B1832" s="12" t="str">
        <f>IFERROR(VLOOKUP(D1832,'[1]Перечень товаров'!$A$2:$I9525,2,0),"")</f>
        <v>тм254</v>
      </c>
      <c r="C1832" s="12" t="str">
        <f>IFERROR(VLOOKUP(D1832,'[1]Перечень товаров'!$A$2:$I9525,3,0),"")</f>
        <v>Техника муз</v>
      </c>
      <c r="D1832" s="71" t="s">
        <v>549</v>
      </c>
      <c r="E1832" s="72"/>
      <c r="F1832" s="72"/>
      <c r="G1832" s="73">
        <v>4</v>
      </c>
      <c r="H1832" s="73"/>
      <c r="I1832" s="74"/>
      <c r="J1832" s="74"/>
      <c r="K1832" s="19"/>
      <c r="L1832" s="20"/>
    </row>
    <row r="1833" spans="1:12" outlineLevel="2">
      <c r="A1833" s="70"/>
      <c r="B1833" s="12" t="str">
        <f>IFERROR(VLOOKUP(D1833,'[1]Перечень товаров'!$A$2:$I9525,2,0),"")</f>
        <v>тм255</v>
      </c>
      <c r="C1833" s="12" t="str">
        <f>IFERROR(VLOOKUP(D1833,'[1]Перечень товаров'!$A$2:$I9525,3,0),"")</f>
        <v>Техника муз</v>
      </c>
      <c r="D1833" s="71" t="s">
        <v>550</v>
      </c>
      <c r="E1833" s="72"/>
      <c r="F1833" s="72"/>
      <c r="G1833" s="73">
        <v>2</v>
      </c>
      <c r="H1833" s="73"/>
      <c r="I1833" s="74"/>
      <c r="J1833" s="74"/>
      <c r="K1833" s="19"/>
      <c r="L1833" s="20"/>
    </row>
    <row r="1834" spans="1:12" outlineLevel="2">
      <c r="A1834" s="28"/>
      <c r="B1834" s="12" t="str">
        <f>IFERROR(VLOOKUP(D1834,'[1]Перечень товаров'!$A$2:$I9525,2,0),"")</f>
        <v>тм256</v>
      </c>
      <c r="C1834" s="12" t="str">
        <f>IFERROR(VLOOKUP(D1834,'[1]Перечень товаров'!$A$2:$I9525,3,0),"")</f>
        <v>Техника муз</v>
      </c>
      <c r="D1834" s="29" t="s">
        <v>552</v>
      </c>
      <c r="E1834" s="72"/>
      <c r="F1834" s="72"/>
      <c r="G1834" s="73">
        <v>4</v>
      </c>
      <c r="H1834" s="73"/>
      <c r="I1834" s="74"/>
      <c r="J1834" s="74"/>
      <c r="K1834" s="19"/>
      <c r="L1834" s="20"/>
    </row>
    <row r="1835" spans="1:12" outlineLevel="2">
      <c r="A1835" s="70"/>
      <c r="B1835" s="12" t="str">
        <f>IFERROR(VLOOKUP(D1835,'[1]Перечень товаров'!$A$2:$I9525,2,0),"")</f>
        <v>тм274</v>
      </c>
      <c r="C1835" s="12" t="str">
        <f>IFERROR(VLOOKUP(D1835,'[1]Перечень товаров'!$A$2:$I9525,3,0),"")</f>
        <v>Техника муз</v>
      </c>
      <c r="D1835" s="71" t="s">
        <v>604</v>
      </c>
      <c r="E1835" s="72"/>
      <c r="F1835" s="72"/>
      <c r="G1835" s="73">
        <v>4</v>
      </c>
      <c r="H1835" s="73"/>
      <c r="I1835" s="74"/>
      <c r="J1835" s="74"/>
      <c r="K1835" s="19"/>
      <c r="L1835" s="20"/>
    </row>
    <row r="1836" spans="1:12" outlineLevel="2">
      <c r="A1836" s="28"/>
      <c r="B1836" s="12" t="str">
        <f>IFERROR(VLOOKUP(D1836,'[1]Перечень товаров'!$A$2:$I9525,2,0),"")</f>
        <v>тм275</v>
      </c>
      <c r="C1836" s="12" t="str">
        <f>IFERROR(VLOOKUP(D1836,'[1]Перечень товаров'!$A$2:$I9525,3,0),"")</f>
        <v>Техника муз</v>
      </c>
      <c r="D1836" s="29" t="s">
        <v>605</v>
      </c>
      <c r="E1836" s="72"/>
      <c r="F1836" s="72"/>
      <c r="G1836" s="73">
        <v>6</v>
      </c>
      <c r="H1836" s="73"/>
      <c r="I1836" s="74"/>
      <c r="J1836" s="74"/>
      <c r="K1836" s="19"/>
      <c r="L1836" s="20"/>
    </row>
    <row r="1837" spans="1:12" outlineLevel="2">
      <c r="A1837" s="28"/>
      <c r="B1837" s="12" t="str">
        <f>IFERROR(VLOOKUP(D1837,'[1]Перечень товаров'!$A$2:$I9525,2,0),"")</f>
        <v>тм276</v>
      </c>
      <c r="C1837" s="12" t="str">
        <f>IFERROR(VLOOKUP(D1837,'[1]Перечень товаров'!$A$2:$I9525,3,0),"")</f>
        <v>Техника муз</v>
      </c>
      <c r="D1837" s="29" t="s">
        <v>606</v>
      </c>
      <c r="E1837" s="72"/>
      <c r="F1837" s="72"/>
      <c r="G1837" s="73">
        <v>2</v>
      </c>
      <c r="H1837" s="73"/>
      <c r="I1837" s="74"/>
      <c r="J1837" s="74"/>
      <c r="K1837" s="19"/>
      <c r="L1837" s="20"/>
    </row>
    <row r="1838" spans="1:12" outlineLevel="2">
      <c r="A1838" s="70"/>
      <c r="B1838" s="12" t="str">
        <f>IFERROR(VLOOKUP(D1838,'[1]Перечень товаров'!$A$2:$I9525,2,0),"")</f>
        <v>тм277</v>
      </c>
      <c r="C1838" s="12" t="str">
        <f>IFERROR(VLOOKUP(D1838,'[1]Перечень товаров'!$A$2:$I9525,3,0),"")</f>
        <v>Техника муз</v>
      </c>
      <c r="D1838" s="71" t="s">
        <v>607</v>
      </c>
      <c r="E1838" s="72"/>
      <c r="F1838" s="72"/>
      <c r="G1838" s="73">
        <v>2</v>
      </c>
      <c r="H1838" s="73"/>
      <c r="I1838" s="74"/>
      <c r="J1838" s="74"/>
      <c r="K1838" s="19"/>
      <c r="L1838" s="20"/>
    </row>
    <row r="1839" spans="1:12" ht="30" outlineLevel="2">
      <c r="A1839" s="80"/>
      <c r="B1839" s="12" t="str">
        <f>IFERROR(VLOOKUP(D1839,'[1]Перечень товаров'!$A$2:$I9525,2,0),"")</f>
        <v/>
      </c>
      <c r="C1839" s="12" t="str">
        <f>IFERROR(VLOOKUP(D1839,'[1]Перечень товаров'!$A$2:$I9525,3,0),"")</f>
        <v/>
      </c>
      <c r="D1839" s="81" t="s">
        <v>608</v>
      </c>
      <c r="E1839" s="164"/>
      <c r="F1839" s="164"/>
      <c r="G1839" s="167"/>
      <c r="H1839" s="167"/>
      <c r="I1839" s="168"/>
      <c r="J1839" s="168"/>
      <c r="K1839" s="19"/>
      <c r="L1839" s="20"/>
    </row>
    <row r="1840" spans="1:12" ht="31.5" outlineLevel="2">
      <c r="A1840" s="70"/>
      <c r="B1840" s="12" t="str">
        <f>IFERROR(VLOOKUP(D1840,'[1]Перечень товаров'!$A$2:$I9525,2,0),"")</f>
        <v>тм278</v>
      </c>
      <c r="C1840" s="12" t="str">
        <f>IFERROR(VLOOKUP(D1840,'[1]Перечень товаров'!$A$2:$I9525,3,0),"")</f>
        <v>Техника муз</v>
      </c>
      <c r="D1840" s="71" t="s">
        <v>609</v>
      </c>
      <c r="E1840" s="72"/>
      <c r="F1840" s="72"/>
      <c r="G1840" s="73">
        <v>8</v>
      </c>
      <c r="H1840" s="73"/>
      <c r="I1840" s="74"/>
      <c r="J1840" s="74"/>
      <c r="K1840" s="19"/>
      <c r="L1840" s="20"/>
    </row>
    <row r="1841" spans="1:12" outlineLevel="2">
      <c r="A1841" s="70"/>
      <c r="B1841" s="12" t="str">
        <f>IFERROR(VLOOKUP(D1841,'[1]Перечень товаров'!$A$2:$I9525,2,0),"")</f>
        <v>тм279</v>
      </c>
      <c r="C1841" s="12" t="str">
        <f>IFERROR(VLOOKUP(D1841,'[1]Перечень товаров'!$A$2:$I9525,3,0),"")</f>
        <v>Техника муз</v>
      </c>
      <c r="D1841" s="71" t="s">
        <v>610</v>
      </c>
      <c r="E1841" s="72"/>
      <c r="F1841" s="72"/>
      <c r="G1841" s="73">
        <v>4</v>
      </c>
      <c r="H1841" s="73"/>
      <c r="I1841" s="74"/>
      <c r="J1841" s="74"/>
      <c r="K1841" s="19"/>
      <c r="L1841" s="20"/>
    </row>
    <row r="1842" spans="1:12" outlineLevel="2">
      <c r="A1842" s="70"/>
      <c r="B1842" s="12" t="str">
        <f>IFERROR(VLOOKUP(D1842,'[1]Перечень товаров'!$A$2:$I9525,2,0),"")</f>
        <v>тм280</v>
      </c>
      <c r="C1842" s="12" t="str">
        <f>IFERROR(VLOOKUP(D1842,'[1]Перечень товаров'!$A$2:$I9525,3,0),"")</f>
        <v>Техника муз</v>
      </c>
      <c r="D1842" s="71" t="s">
        <v>611</v>
      </c>
      <c r="E1842" s="72"/>
      <c r="F1842" s="72"/>
      <c r="G1842" s="73">
        <v>2</v>
      </c>
      <c r="H1842" s="73"/>
      <c r="I1842" s="74"/>
      <c r="J1842" s="74"/>
      <c r="K1842" s="19"/>
      <c r="L1842" s="20"/>
    </row>
    <row r="1843" spans="1:12" outlineLevel="2">
      <c r="A1843" s="70"/>
      <c r="B1843" s="12" t="str">
        <f>IFERROR(VLOOKUP(D1843,'[1]Перечень товаров'!$A$2:$I9525,2,0),"")</f>
        <v>тм281</v>
      </c>
      <c r="C1843" s="12" t="str">
        <f>IFERROR(VLOOKUP(D1843,'[1]Перечень товаров'!$A$2:$I9525,3,0),"")</f>
        <v>Техника муз</v>
      </c>
      <c r="D1843" s="71" t="s">
        <v>612</v>
      </c>
      <c r="E1843" s="72"/>
      <c r="F1843" s="72"/>
      <c r="G1843" s="73">
        <v>6</v>
      </c>
      <c r="H1843" s="73"/>
      <c r="I1843" s="74"/>
      <c r="J1843" s="74"/>
      <c r="K1843" s="19"/>
      <c r="L1843" s="20"/>
    </row>
    <row r="1844" spans="1:12" ht="31.5" outlineLevel="2">
      <c r="A1844" s="70"/>
      <c r="B1844" s="12" t="str">
        <f>IFERROR(VLOOKUP(D1844,'[1]Перечень товаров'!$A$2:$I9525,2,0),"")</f>
        <v>тм251</v>
      </c>
      <c r="C1844" s="12" t="str">
        <f>IFERROR(VLOOKUP(D1844,'[1]Перечень товаров'!$A$2:$I9525,3,0),"")</f>
        <v>Техника муз</v>
      </c>
      <c r="D1844" s="71" t="s">
        <v>545</v>
      </c>
      <c r="E1844" s="72"/>
      <c r="F1844" s="72"/>
      <c r="G1844" s="73">
        <v>4</v>
      </c>
      <c r="H1844" s="73"/>
      <c r="I1844" s="74"/>
      <c r="J1844" s="74"/>
      <c r="K1844" s="19"/>
      <c r="L1844" s="20"/>
    </row>
    <row r="1845" spans="1:12" outlineLevel="2">
      <c r="A1845" s="70"/>
      <c r="B1845" s="12" t="str">
        <f>IFERROR(VLOOKUP(D1845,'[1]Перечень товаров'!$A$2:$I9525,2,0),"")</f>
        <v>тм252</v>
      </c>
      <c r="C1845" s="12" t="str">
        <f>IFERROR(VLOOKUP(D1845,'[1]Перечень товаров'!$A$2:$I9525,3,0),"")</f>
        <v>Техника муз</v>
      </c>
      <c r="D1845" s="71" t="s">
        <v>547</v>
      </c>
      <c r="E1845" s="72"/>
      <c r="F1845" s="72"/>
      <c r="G1845" s="73">
        <v>4</v>
      </c>
      <c r="H1845" s="73"/>
      <c r="I1845" s="74"/>
      <c r="J1845" s="74"/>
      <c r="K1845" s="19"/>
      <c r="L1845" s="20"/>
    </row>
    <row r="1846" spans="1:12" ht="30" outlineLevel="2">
      <c r="A1846" s="80"/>
      <c r="B1846" s="12" t="str">
        <f>IFERROR(VLOOKUP(D1846,'[1]Перечень товаров'!$A$2:$I9525,2,0),"")</f>
        <v/>
      </c>
      <c r="C1846" s="12" t="str">
        <f>IFERROR(VLOOKUP(D1846,'[1]Перечень товаров'!$A$2:$I9525,3,0),"")</f>
        <v/>
      </c>
      <c r="D1846" s="81" t="s">
        <v>613</v>
      </c>
      <c r="E1846" s="164"/>
      <c r="F1846" s="164"/>
      <c r="G1846" s="167"/>
      <c r="H1846" s="167"/>
      <c r="I1846" s="168"/>
      <c r="J1846" s="168"/>
      <c r="K1846" s="19"/>
      <c r="L1846" s="20"/>
    </row>
    <row r="1847" spans="1:12" outlineLevel="2">
      <c r="A1847" s="28"/>
      <c r="B1847" s="12" t="str">
        <f>IFERROR(VLOOKUP(D1847,'[1]Перечень товаров'!$A$2:$I9525,2,0),"")</f>
        <v>тм282</v>
      </c>
      <c r="C1847" s="12" t="str">
        <f>IFERROR(VLOOKUP(D1847,'[1]Перечень товаров'!$A$2:$I9525,3,0),"")</f>
        <v>Техника муз</v>
      </c>
      <c r="D1847" s="29" t="s">
        <v>614</v>
      </c>
      <c r="E1847" s="72"/>
      <c r="F1847" s="72"/>
      <c r="G1847" s="73">
        <v>4</v>
      </c>
      <c r="H1847" s="73"/>
      <c r="I1847" s="74"/>
      <c r="J1847" s="74"/>
      <c r="K1847" s="19"/>
      <c r="L1847" s="20"/>
    </row>
    <row r="1848" spans="1:12" outlineLevel="2">
      <c r="A1848" s="70"/>
      <c r="B1848" s="12" t="str">
        <f>IFERROR(VLOOKUP(D1848,'[1]Перечень товаров'!$A$2:$I9525,2,0),"")</f>
        <v>тм283</v>
      </c>
      <c r="C1848" s="12" t="str">
        <f>IFERROR(VLOOKUP(D1848,'[1]Перечень товаров'!$A$2:$I9525,3,0),"")</f>
        <v>Техника муз</v>
      </c>
      <c r="D1848" s="71" t="s">
        <v>615</v>
      </c>
      <c r="E1848" s="72"/>
      <c r="F1848" s="72"/>
      <c r="G1848" s="73">
        <v>4</v>
      </c>
      <c r="H1848" s="73"/>
      <c r="I1848" s="74"/>
      <c r="J1848" s="74"/>
      <c r="K1848" s="19"/>
      <c r="L1848" s="20"/>
    </row>
    <row r="1849" spans="1:12" outlineLevel="2">
      <c r="A1849" s="70"/>
      <c r="B1849" s="12" t="str">
        <f>IFERROR(VLOOKUP(D1849,'[1]Перечень товаров'!$A$2:$I9525,2,0),"")</f>
        <v>тм284</v>
      </c>
      <c r="C1849" s="12" t="str">
        <f>IFERROR(VLOOKUP(D1849,'[1]Перечень товаров'!$A$2:$I9525,3,0),"")</f>
        <v>Техника муз</v>
      </c>
      <c r="D1849" s="71" t="s">
        <v>616</v>
      </c>
      <c r="E1849" s="72"/>
      <c r="F1849" s="72"/>
      <c r="G1849" s="73">
        <v>4</v>
      </c>
      <c r="H1849" s="73"/>
      <c r="I1849" s="74"/>
      <c r="J1849" s="74"/>
      <c r="K1849" s="19"/>
      <c r="L1849" s="20"/>
    </row>
    <row r="1850" spans="1:12" outlineLevel="2">
      <c r="A1850" s="28"/>
      <c r="B1850" s="12" t="str">
        <f>IFERROR(VLOOKUP(D1850,'[1]Перечень товаров'!$A$2:$I9525,2,0),"")</f>
        <v>тм285</v>
      </c>
      <c r="C1850" s="12" t="str">
        <f>IFERROR(VLOOKUP(D1850,'[1]Перечень товаров'!$A$2:$I9525,3,0),"")</f>
        <v>Техника муз</v>
      </c>
      <c r="D1850" s="29" t="s">
        <v>617</v>
      </c>
      <c r="E1850" s="72"/>
      <c r="F1850" s="72"/>
      <c r="G1850" s="73">
        <v>2</v>
      </c>
      <c r="H1850" s="73"/>
      <c r="I1850" s="74"/>
      <c r="J1850" s="74"/>
      <c r="K1850" s="19"/>
      <c r="L1850" s="20"/>
    </row>
    <row r="1851" spans="1:12" outlineLevel="2">
      <c r="A1851" s="70"/>
      <c r="B1851" s="12" t="str">
        <f>IFERROR(VLOOKUP(D1851,'[1]Перечень товаров'!$A$2:$I9525,2,0),"")</f>
        <v>тм286</v>
      </c>
      <c r="C1851" s="12" t="str">
        <f>IFERROR(VLOOKUP(D1851,'[1]Перечень товаров'!$A$2:$I9525,3,0),"")</f>
        <v>Техника муз</v>
      </c>
      <c r="D1851" s="71" t="s">
        <v>618</v>
      </c>
      <c r="E1851" s="72"/>
      <c r="F1851" s="72"/>
      <c r="G1851" s="73">
        <v>4</v>
      </c>
      <c r="H1851" s="73"/>
      <c r="I1851" s="74"/>
      <c r="J1851" s="74"/>
      <c r="K1851" s="19"/>
      <c r="L1851" s="20"/>
    </row>
    <row r="1852" spans="1:12" outlineLevel="2">
      <c r="A1852" s="28"/>
      <c r="B1852" s="12" t="str">
        <f>IFERROR(VLOOKUP(D1852,'[1]Перечень товаров'!$A$2:$I9525,2,0),"")</f>
        <v>тм287</v>
      </c>
      <c r="C1852" s="12" t="str">
        <f>IFERROR(VLOOKUP(D1852,'[1]Перечень товаров'!$A$2:$I9525,3,0),"")</f>
        <v>Техника муз</v>
      </c>
      <c r="D1852" s="29" t="s">
        <v>619</v>
      </c>
      <c r="E1852" s="72"/>
      <c r="F1852" s="72"/>
      <c r="G1852" s="73">
        <v>4</v>
      </c>
      <c r="H1852" s="73"/>
      <c r="I1852" s="74"/>
      <c r="J1852" s="74"/>
      <c r="K1852" s="19"/>
      <c r="L1852" s="20"/>
    </row>
    <row r="1853" spans="1:12" outlineLevel="2">
      <c r="A1853" s="70"/>
      <c r="B1853" s="12" t="str">
        <f>IFERROR(VLOOKUP(D1853,'[1]Перечень товаров'!$A$2:$I9525,2,0),"")</f>
        <v>тм288</v>
      </c>
      <c r="C1853" s="12" t="str">
        <f>IFERROR(VLOOKUP(D1853,'[1]Перечень товаров'!$A$2:$I9525,3,0),"")</f>
        <v>Техника муз</v>
      </c>
      <c r="D1853" s="71" t="s">
        <v>620</v>
      </c>
      <c r="E1853" s="72"/>
      <c r="F1853" s="72"/>
      <c r="G1853" s="73">
        <v>2</v>
      </c>
      <c r="H1853" s="73"/>
      <c r="I1853" s="74"/>
      <c r="J1853" s="74"/>
      <c r="K1853" s="19"/>
      <c r="L1853" s="20"/>
    </row>
    <row r="1854" spans="1:12" outlineLevel="2">
      <c r="A1854" s="28"/>
      <c r="B1854" s="12" t="str">
        <f>IFERROR(VLOOKUP(D1854,'[1]Перечень товаров'!$A$2:$I9525,2,0),"")</f>
        <v>тм289</v>
      </c>
      <c r="C1854" s="12" t="str">
        <f>IFERROR(VLOOKUP(D1854,'[1]Перечень товаров'!$A$2:$I9525,3,0),"")</f>
        <v>Техника муз</v>
      </c>
      <c r="D1854" s="29" t="s">
        <v>621</v>
      </c>
      <c r="E1854" s="72"/>
      <c r="F1854" s="72"/>
      <c r="G1854" s="73">
        <v>4</v>
      </c>
      <c r="H1854" s="73"/>
      <c r="I1854" s="74"/>
      <c r="J1854" s="74"/>
      <c r="K1854" s="19"/>
      <c r="L1854" s="20"/>
    </row>
    <row r="1855" spans="1:12" ht="30" outlineLevel="2">
      <c r="A1855" s="80"/>
      <c r="B1855" s="12" t="str">
        <f>IFERROR(VLOOKUP(D1855,'[1]Перечень товаров'!$A$2:$I9525,2,0),"")</f>
        <v/>
      </c>
      <c r="C1855" s="12" t="str">
        <f>IFERROR(VLOOKUP(D1855,'[1]Перечень товаров'!$A$2:$I9525,3,0),"")</f>
        <v/>
      </c>
      <c r="D1855" s="81" t="s">
        <v>622</v>
      </c>
      <c r="E1855" s="164"/>
      <c r="F1855" s="164"/>
      <c r="G1855" s="167"/>
      <c r="H1855" s="167"/>
      <c r="I1855" s="168"/>
      <c r="J1855" s="168"/>
      <c r="K1855" s="19"/>
      <c r="L1855" s="20"/>
    </row>
    <row r="1856" spans="1:12" outlineLevel="2">
      <c r="A1856" s="70"/>
      <c r="B1856" s="12" t="str">
        <f>IFERROR(VLOOKUP(D1856,'[1]Перечень товаров'!$A$2:$I9525,2,0),"")</f>
        <v>тм290</v>
      </c>
      <c r="C1856" s="12" t="str">
        <f>IFERROR(VLOOKUP(D1856,'[1]Перечень товаров'!$A$2:$I9525,3,0),"")</f>
        <v>Техника муз</v>
      </c>
      <c r="D1856" s="71" t="s">
        <v>651</v>
      </c>
      <c r="E1856" s="72"/>
      <c r="F1856" s="72"/>
      <c r="G1856" s="73">
        <v>1</v>
      </c>
      <c r="H1856" s="73"/>
      <c r="I1856" s="74"/>
      <c r="J1856" s="74"/>
      <c r="K1856" s="19"/>
      <c r="L1856" s="20"/>
    </row>
    <row r="1857" spans="1:12" outlineLevel="2">
      <c r="A1857" s="70"/>
      <c r="B1857" s="12" t="str">
        <f>IFERROR(VLOOKUP(D1857,'[1]Перечень товаров'!$A$2:$I9525,2,0),"")</f>
        <v>мм1</v>
      </c>
      <c r="C1857" s="12" t="str">
        <f>IFERROR(VLOOKUP(D1857,'[1]Перечень товаров'!$A$2:$I9525,3,0),"")</f>
        <v>Мебель муз</v>
      </c>
      <c r="D1857" s="71" t="s">
        <v>179</v>
      </c>
      <c r="E1857" s="72"/>
      <c r="F1857" s="72"/>
      <c r="G1857" s="73">
        <v>2</v>
      </c>
      <c r="H1857" s="73"/>
      <c r="I1857" s="74"/>
      <c r="J1857" s="74"/>
      <c r="K1857" s="19"/>
      <c r="L1857" s="20"/>
    </row>
    <row r="1858" spans="1:12" outlineLevel="2">
      <c r="A1858" s="70"/>
      <c r="B1858" s="12" t="str">
        <f>IFERROR(VLOOKUP(D1858,'[1]Перечень товаров'!$A$2:$I9525,2,0),"")</f>
        <v>м182</v>
      </c>
      <c r="C1858" s="12" t="str">
        <f>IFERROR(VLOOKUP(D1858,'[1]Перечень товаров'!$A$2:$I9525,3,0),"")</f>
        <v>Мебель</v>
      </c>
      <c r="D1858" s="71" t="s">
        <v>623</v>
      </c>
      <c r="E1858" s="72"/>
      <c r="F1858" s="72"/>
      <c r="G1858" s="73">
        <v>30</v>
      </c>
      <c r="H1858" s="73"/>
      <c r="I1858" s="74"/>
      <c r="J1858" s="74"/>
      <c r="K1858" s="19"/>
      <c r="L1858" s="20"/>
    </row>
    <row r="1859" spans="1:12" ht="31.5" outlineLevel="2">
      <c r="A1859" s="70"/>
      <c r="B1859" s="12" t="str">
        <f>IFERROR(VLOOKUP(D1859,'[1]Перечень товаров'!$A$2:$I9525,2,0),"")</f>
        <v>м183</v>
      </c>
      <c r="C1859" s="12" t="str">
        <f>IFERROR(VLOOKUP(D1859,'[1]Перечень товаров'!$A$2:$I9525,3,0),"")</f>
        <v>Мебель</v>
      </c>
      <c r="D1859" s="71" t="s">
        <v>624</v>
      </c>
      <c r="E1859" s="72"/>
      <c r="F1859" s="72"/>
      <c r="G1859" s="73">
        <v>60</v>
      </c>
      <c r="H1859" s="73"/>
      <c r="I1859" s="74"/>
      <c r="J1859" s="74"/>
      <c r="K1859" s="19"/>
      <c r="L1859" s="20"/>
    </row>
    <row r="1860" spans="1:12" outlineLevel="2">
      <c r="A1860" s="70"/>
      <c r="B1860" s="12" t="str">
        <f>IFERROR(VLOOKUP(D1860,'[1]Перечень товаров'!$A$2:$I9525,2,0),"")</f>
        <v>м184</v>
      </c>
      <c r="C1860" s="12" t="str">
        <f>IFERROR(VLOOKUP(D1860,'[1]Перечень товаров'!$A$2:$I9525,3,0),"")</f>
        <v>Мебель</v>
      </c>
      <c r="D1860" s="71" t="s">
        <v>625</v>
      </c>
      <c r="E1860" s="72"/>
      <c r="F1860" s="72"/>
      <c r="G1860" s="73">
        <v>6</v>
      </c>
      <c r="H1860" s="73"/>
      <c r="I1860" s="74"/>
      <c r="J1860" s="74"/>
      <c r="K1860" s="19"/>
      <c r="L1860" s="20"/>
    </row>
    <row r="1861" spans="1:12" outlineLevel="2">
      <c r="A1861" s="70"/>
      <c r="B1861" s="12" t="str">
        <f>IFERROR(VLOOKUP(D1861,'[1]Перечень товаров'!$A$2:$I9525,2,0),"")</f>
        <v>м185</v>
      </c>
      <c r="C1861" s="12" t="str">
        <f>IFERROR(VLOOKUP(D1861,'[1]Перечень товаров'!$A$2:$I9525,3,0),"")</f>
        <v>Мебель</v>
      </c>
      <c r="D1861" s="71" t="s">
        <v>626</v>
      </c>
      <c r="E1861" s="72"/>
      <c r="F1861" s="72"/>
      <c r="G1861" s="73">
        <v>2</v>
      </c>
      <c r="H1861" s="73"/>
      <c r="I1861" s="74"/>
      <c r="J1861" s="74"/>
      <c r="K1861" s="19"/>
      <c r="L1861" s="20"/>
    </row>
    <row r="1862" spans="1:12" outlineLevel="2">
      <c r="A1862" s="70"/>
      <c r="B1862" s="12" t="str">
        <f>IFERROR(VLOOKUP(D1862,'[1]Перечень товаров'!$A$2:$I9525,2,0),"")</f>
        <v>м186</v>
      </c>
      <c r="C1862" s="12" t="str">
        <f>IFERROR(VLOOKUP(D1862,'[1]Перечень товаров'!$A$2:$I9525,3,0),"")</f>
        <v>Мебель</v>
      </c>
      <c r="D1862" s="71" t="s">
        <v>627</v>
      </c>
      <c r="E1862" s="72"/>
      <c r="F1862" s="72"/>
      <c r="G1862" s="73">
        <v>2</v>
      </c>
      <c r="H1862" s="73"/>
      <c r="I1862" s="74"/>
      <c r="J1862" s="74"/>
      <c r="K1862" s="19"/>
      <c r="L1862" s="20"/>
    </row>
    <row r="1863" spans="1:12" ht="31.5" outlineLevel="2">
      <c r="A1863" s="70"/>
      <c r="B1863" s="12" t="str">
        <f>IFERROR(VLOOKUP(D1863,'[1]Перечень товаров'!$A$2:$I9525,2,0),"")</f>
        <v>м187</v>
      </c>
      <c r="C1863" s="12" t="str">
        <f>IFERROR(VLOOKUP(D1863,'[1]Перечень товаров'!$A$2:$I9525,3,0),"")</f>
        <v>Мебель</v>
      </c>
      <c r="D1863" s="71" t="s">
        <v>628</v>
      </c>
      <c r="E1863" s="72"/>
      <c r="F1863" s="72"/>
      <c r="G1863" s="73">
        <v>4</v>
      </c>
      <c r="H1863" s="73"/>
      <c r="I1863" s="74"/>
      <c r="J1863" s="74"/>
      <c r="K1863" s="19"/>
      <c r="L1863" s="20"/>
    </row>
    <row r="1864" spans="1:12" ht="31.5" outlineLevel="2">
      <c r="A1864" s="70"/>
      <c r="B1864" s="12" t="str">
        <f>IFERROR(VLOOKUP(D1864,'[1]Перечень товаров'!$A$2:$I9525,2,0),"")</f>
        <v>м188</v>
      </c>
      <c r="C1864" s="12" t="str">
        <f>IFERROR(VLOOKUP(D1864,'[1]Перечень товаров'!$A$2:$I9525,3,0),"")</f>
        <v>Мебель</v>
      </c>
      <c r="D1864" s="71" t="s">
        <v>629</v>
      </c>
      <c r="E1864" s="72"/>
      <c r="F1864" s="72"/>
      <c r="G1864" s="73">
        <v>6</v>
      </c>
      <c r="H1864" s="73"/>
      <c r="I1864" s="74"/>
      <c r="J1864" s="74"/>
      <c r="K1864" s="19"/>
      <c r="L1864" s="20"/>
    </row>
    <row r="1865" spans="1:12" ht="31.5" outlineLevel="2">
      <c r="A1865" s="70"/>
      <c r="B1865" s="12" t="str">
        <f>IFERROR(VLOOKUP(D1865,'[1]Перечень товаров'!$A$2:$I9525,2,0),"")</f>
        <v>т214</v>
      </c>
      <c r="C1865" s="12" t="str">
        <f>IFERROR(VLOOKUP(D1865,'[1]Перечень товаров'!$A$2:$I9525,3,0),"")</f>
        <v>Техника</v>
      </c>
      <c r="D1865" s="71" t="s">
        <v>630</v>
      </c>
      <c r="E1865" s="72"/>
      <c r="F1865" s="72"/>
      <c r="G1865" s="73">
        <v>2</v>
      </c>
      <c r="H1865" s="73"/>
      <c r="I1865" s="74"/>
      <c r="J1865" s="74"/>
      <c r="K1865" s="19"/>
      <c r="L1865" s="20"/>
    </row>
    <row r="1866" spans="1:12" outlineLevel="2">
      <c r="A1866" s="70"/>
      <c r="B1866" s="12" t="str">
        <f>IFERROR(VLOOKUP(D1866,'[1]Перечень товаров'!$A$2:$I9525,2,0),"")</f>
        <v>пм10</v>
      </c>
      <c r="C1866" s="12" t="str">
        <f>IFERROR(VLOOKUP(D1866,'[1]Перечень товаров'!$A$2:$I9525,3,0),"")</f>
        <v>Прочее муз</v>
      </c>
      <c r="D1866" s="71" t="s">
        <v>631</v>
      </c>
      <c r="E1866" s="72"/>
      <c r="F1866" s="72"/>
      <c r="G1866" s="73">
        <v>60</v>
      </c>
      <c r="H1866" s="73"/>
      <c r="I1866" s="74"/>
      <c r="J1866" s="74"/>
      <c r="K1866" s="19"/>
      <c r="L1866" s="20"/>
    </row>
    <row r="1867" spans="1:12" outlineLevel="2">
      <c r="A1867" s="70"/>
      <c r="B1867" s="12" t="str">
        <f>IFERROR(VLOOKUP(D1867,'[1]Перечень товаров'!$A$2:$I9525,2,0),"")</f>
        <v>пм11</v>
      </c>
      <c r="C1867" s="12" t="str">
        <f>IFERROR(VLOOKUP(D1867,'[1]Перечень товаров'!$A$2:$I9525,3,0),"")</f>
        <v>Прочее муз</v>
      </c>
      <c r="D1867" s="71" t="s">
        <v>632</v>
      </c>
      <c r="E1867" s="72"/>
      <c r="F1867" s="72"/>
      <c r="G1867" s="73">
        <v>40</v>
      </c>
      <c r="H1867" s="73"/>
      <c r="I1867" s="74"/>
      <c r="J1867" s="74"/>
      <c r="K1867" s="19"/>
      <c r="L1867" s="20"/>
    </row>
    <row r="1868" spans="1:12" outlineLevel="2">
      <c r="A1868" s="70"/>
      <c r="B1868" s="12" t="str">
        <f>IFERROR(VLOOKUP(D1868,'[1]Перечень товаров'!$A$2:$I9525,2,0),"")</f>
        <v>пм12</v>
      </c>
      <c r="C1868" s="12" t="str">
        <f>IFERROR(VLOOKUP(D1868,'[1]Перечень товаров'!$A$2:$I9525,3,0),"")</f>
        <v>Прочее муз</v>
      </c>
      <c r="D1868" s="71" t="s">
        <v>633</v>
      </c>
      <c r="E1868" s="72"/>
      <c r="F1868" s="72"/>
      <c r="G1868" s="73">
        <v>20</v>
      </c>
      <c r="H1868" s="73"/>
      <c r="I1868" s="74"/>
      <c r="J1868" s="74"/>
      <c r="K1868" s="19"/>
      <c r="L1868" s="20"/>
    </row>
    <row r="1869" spans="1:12" outlineLevel="2">
      <c r="A1869" s="70"/>
      <c r="B1869" s="12" t="str">
        <f>IFERROR(VLOOKUP(D1869,'[1]Перечень товаров'!$A$2:$I9525,2,0),"")</f>
        <v>тм54</v>
      </c>
      <c r="C1869" s="12" t="str">
        <f>IFERROR(VLOOKUP(D1869,'[1]Перечень товаров'!$A$2:$I9525,3,0),"")</f>
        <v>Техника муз</v>
      </c>
      <c r="D1869" s="71" t="s">
        <v>310</v>
      </c>
      <c r="E1869" s="72"/>
      <c r="F1869" s="72"/>
      <c r="G1869" s="73">
        <v>20</v>
      </c>
      <c r="H1869" s="73"/>
      <c r="I1869" s="74"/>
      <c r="J1869" s="74"/>
      <c r="K1869" s="19"/>
      <c r="L1869" s="20"/>
    </row>
    <row r="1870" spans="1:12" outlineLevel="2">
      <c r="A1870" s="70"/>
      <c r="B1870" s="12" t="str">
        <f>IFERROR(VLOOKUP(D1870,'[1]Перечень товаров'!$A$2:$I9525,2,0),"")</f>
        <v>пм13</v>
      </c>
      <c r="C1870" s="12" t="str">
        <f>IFERROR(VLOOKUP(D1870,'[1]Перечень товаров'!$A$2:$I9525,3,0),"")</f>
        <v>Прочее муз</v>
      </c>
      <c r="D1870" s="71" t="s">
        <v>634</v>
      </c>
      <c r="E1870" s="72"/>
      <c r="F1870" s="72"/>
      <c r="G1870" s="169" t="s">
        <v>635</v>
      </c>
      <c r="H1870" s="169"/>
      <c r="I1870" s="170"/>
      <c r="J1870" s="170"/>
      <c r="K1870" s="19"/>
      <c r="L1870" s="20"/>
    </row>
    <row r="1871" spans="1:12" ht="15" outlineLevel="2">
      <c r="A1871" s="80"/>
      <c r="B1871" s="12" t="str">
        <f>IFERROR(VLOOKUP(D1871,'[1]Перечень товаров'!$A$2:$I9525,2,0),"")</f>
        <v/>
      </c>
      <c r="C1871" s="12" t="str">
        <f>IFERROR(VLOOKUP(D1871,'[1]Перечень товаров'!$A$2:$I9525,3,0),"")</f>
        <v/>
      </c>
      <c r="D1871" s="81" t="s">
        <v>264</v>
      </c>
      <c r="E1871" s="164"/>
      <c r="F1871" s="164"/>
      <c r="G1871" s="167"/>
      <c r="H1871" s="167"/>
      <c r="I1871" s="168"/>
      <c r="J1871" s="168"/>
      <c r="K1871" s="19"/>
      <c r="L1871" s="20"/>
    </row>
    <row r="1872" spans="1:12" ht="31.5" outlineLevel="2">
      <c r="A1872" s="70"/>
      <c r="B1872" s="12" t="str">
        <f>IFERROR(VLOOKUP(D1872,'[1]Перечень товаров'!$A$2:$I9525,2,0),"")</f>
        <v>т215</v>
      </c>
      <c r="C1872" s="12" t="str">
        <f>IFERROR(VLOOKUP(D1872,'[1]Перечень товаров'!$A$2:$I9525,3,0),"")</f>
        <v>Техника</v>
      </c>
      <c r="D1872" s="71" t="s">
        <v>636</v>
      </c>
      <c r="E1872" s="72"/>
      <c r="F1872" s="72"/>
      <c r="G1872" s="73">
        <v>2</v>
      </c>
      <c r="H1872" s="73"/>
      <c r="I1872" s="74"/>
      <c r="J1872" s="74"/>
      <c r="K1872" s="19"/>
      <c r="L1872" s="20"/>
    </row>
    <row r="1873" spans="1:12" ht="31.5" outlineLevel="2">
      <c r="A1873" s="70"/>
      <c r="B1873" s="12" t="str">
        <f>IFERROR(VLOOKUP(D1873,'[1]Перечень товаров'!$A$2:$I9525,2,0),"")</f>
        <v>т216</v>
      </c>
      <c r="C1873" s="12" t="str">
        <f>IFERROR(VLOOKUP(D1873,'[1]Перечень товаров'!$A$2:$I9525,3,0),"")</f>
        <v>Техника</v>
      </c>
      <c r="D1873" s="71" t="s">
        <v>637</v>
      </c>
      <c r="E1873" s="72"/>
      <c r="F1873" s="72"/>
      <c r="G1873" s="73">
        <v>4</v>
      </c>
      <c r="H1873" s="73"/>
      <c r="I1873" s="74"/>
      <c r="J1873" s="74"/>
      <c r="K1873" s="19"/>
      <c r="L1873" s="20"/>
    </row>
    <row r="1874" spans="1:12" outlineLevel="2">
      <c r="A1874" s="70"/>
      <c r="B1874" s="12" t="str">
        <f>IFERROR(VLOOKUP(D1874,'[1]Перечень товаров'!$A$2:$I9525,2,0),"")</f>
        <v>т217</v>
      </c>
      <c r="C1874" s="12" t="str">
        <f>IFERROR(VLOOKUP(D1874,'[1]Перечень товаров'!$A$2:$I9525,3,0),"")</f>
        <v>Техника</v>
      </c>
      <c r="D1874" s="71" t="s">
        <v>638</v>
      </c>
      <c r="E1874" s="72"/>
      <c r="F1874" s="72"/>
      <c r="G1874" s="73">
        <v>4</v>
      </c>
      <c r="H1874" s="73"/>
      <c r="I1874" s="74"/>
      <c r="J1874" s="74"/>
      <c r="K1874" s="19"/>
      <c r="L1874" s="20"/>
    </row>
    <row r="1875" spans="1:12" outlineLevel="2">
      <c r="A1875" s="70"/>
      <c r="B1875" s="12" t="str">
        <f>IFERROR(VLOOKUP(D1875,'[1]Перечень товаров'!$A$2:$I9525,2,0),"")</f>
        <v>т218</v>
      </c>
      <c r="C1875" s="12" t="str">
        <f>IFERROR(VLOOKUP(D1875,'[1]Перечень товаров'!$A$2:$I9525,3,0),"")</f>
        <v>Техника</v>
      </c>
      <c r="D1875" s="71" t="s">
        <v>639</v>
      </c>
      <c r="E1875" s="72"/>
      <c r="F1875" s="72"/>
      <c r="G1875" s="73">
        <v>20</v>
      </c>
      <c r="H1875" s="73"/>
      <c r="I1875" s="74"/>
      <c r="J1875" s="74"/>
      <c r="K1875" s="19"/>
      <c r="L1875" s="20"/>
    </row>
    <row r="1876" spans="1:12" outlineLevel="2">
      <c r="A1876" s="70"/>
      <c r="B1876" s="12" t="str">
        <f>IFERROR(VLOOKUP(D1876,'[1]Перечень товаров'!$A$2:$I9525,2,0),"")</f>
        <v>т219</v>
      </c>
      <c r="C1876" s="12" t="str">
        <f>IFERROR(VLOOKUP(D1876,'[1]Перечень товаров'!$A$2:$I9525,3,0),"")</f>
        <v>Техника</v>
      </c>
      <c r="D1876" s="71" t="s">
        <v>640</v>
      </c>
      <c r="E1876" s="72"/>
      <c r="F1876" s="72"/>
      <c r="G1876" s="73">
        <v>4</v>
      </c>
      <c r="H1876" s="73"/>
      <c r="I1876" s="74"/>
      <c r="J1876" s="74"/>
      <c r="K1876" s="19"/>
      <c r="L1876" s="20"/>
    </row>
    <row r="1877" spans="1:12" outlineLevel="2">
      <c r="A1877" s="70"/>
      <c r="B1877" s="12" t="str">
        <f>IFERROR(VLOOKUP(D1877,'[1]Перечень товаров'!$A$2:$I9525,2,0),"")</f>
        <v>т220</v>
      </c>
      <c r="C1877" s="12" t="str">
        <f>IFERROR(VLOOKUP(D1877,'[1]Перечень товаров'!$A$2:$I9525,3,0),"")</f>
        <v>Техника</v>
      </c>
      <c r="D1877" s="71" t="s">
        <v>641</v>
      </c>
      <c r="E1877" s="72"/>
      <c r="F1877" s="72"/>
      <c r="G1877" s="73">
        <v>8</v>
      </c>
      <c r="H1877" s="73"/>
      <c r="I1877" s="74"/>
      <c r="J1877" s="74"/>
      <c r="K1877" s="19"/>
      <c r="L1877" s="20"/>
    </row>
    <row r="1878" spans="1:12" ht="31.5" outlineLevel="2">
      <c r="A1878" s="70"/>
      <c r="B1878" s="12" t="str">
        <f>IFERROR(VLOOKUP(D1878,'[1]Перечень товаров'!$A$2:$I9525,2,0),"")</f>
        <v>т74</v>
      </c>
      <c r="C1878" s="12" t="str">
        <f>IFERROR(VLOOKUP(D1878,'[1]Перечень товаров'!$A$2:$I9525,3,0),"")</f>
        <v>Техника</v>
      </c>
      <c r="D1878" s="71" t="s">
        <v>199</v>
      </c>
      <c r="E1878" s="72"/>
      <c r="F1878" s="72"/>
      <c r="G1878" s="73">
        <v>20</v>
      </c>
      <c r="H1878" s="73"/>
      <c r="I1878" s="74"/>
      <c r="J1878" s="74"/>
      <c r="K1878" s="19"/>
      <c r="L1878" s="20"/>
    </row>
    <row r="1879" spans="1:12" outlineLevel="2">
      <c r="A1879" s="70"/>
      <c r="B1879" s="12" t="str">
        <f>IFERROR(VLOOKUP(D1879,'[1]Перечень товаров'!$A$2:$I9525,2,0),"")</f>
        <v>тм292</v>
      </c>
      <c r="C1879" s="12" t="str">
        <f>IFERROR(VLOOKUP(D1879,'[1]Перечень товаров'!$A$2:$I9525,3,0),"")</f>
        <v>Техника муз</v>
      </c>
      <c r="D1879" s="71" t="s">
        <v>642</v>
      </c>
      <c r="E1879" s="72"/>
      <c r="F1879" s="72"/>
      <c r="G1879" s="73">
        <v>4</v>
      </c>
      <c r="H1879" s="73"/>
      <c r="I1879" s="74"/>
      <c r="J1879" s="74"/>
      <c r="K1879" s="19"/>
      <c r="L1879" s="20"/>
    </row>
    <row r="1880" spans="1:12" outlineLevel="2">
      <c r="A1880" s="70"/>
      <c r="B1880" s="12" t="str">
        <f>IFERROR(VLOOKUP(D1880,'[1]Перечень товаров'!$A$2:$I9525,2,0),"")</f>
        <v>тм76</v>
      </c>
      <c r="C1880" s="12" t="str">
        <f>IFERROR(VLOOKUP(D1880,'[1]Перечень товаров'!$A$2:$I9525,3,0),"")</f>
        <v>Техника муз</v>
      </c>
      <c r="D1880" s="71" t="s">
        <v>423</v>
      </c>
      <c r="E1880" s="72"/>
      <c r="F1880" s="72"/>
      <c r="G1880" s="73">
        <v>2</v>
      </c>
      <c r="H1880" s="73"/>
      <c r="I1880" s="74"/>
      <c r="J1880" s="74"/>
      <c r="K1880" s="19"/>
      <c r="L1880" s="20"/>
    </row>
    <row r="1881" spans="1:12" outlineLevel="2">
      <c r="A1881" s="70"/>
      <c r="B1881" s="12" t="str">
        <f>IFERROR(VLOOKUP(D1881,'[1]Перечень товаров'!$A$2:$I9525,2,0),"")</f>
        <v>т221</v>
      </c>
      <c r="C1881" s="12" t="str">
        <f>IFERROR(VLOOKUP(D1881,'[1]Перечень товаров'!$A$2:$I9525,3,0),"")</f>
        <v>Техника</v>
      </c>
      <c r="D1881" s="71" t="s">
        <v>643</v>
      </c>
      <c r="E1881" s="72"/>
      <c r="F1881" s="72"/>
      <c r="G1881" s="73">
        <v>2</v>
      </c>
      <c r="H1881" s="73"/>
      <c r="I1881" s="74"/>
      <c r="J1881" s="74"/>
      <c r="K1881" s="19"/>
      <c r="L1881" s="20"/>
    </row>
    <row r="1882" spans="1:12" ht="31.5" outlineLevel="2">
      <c r="A1882" s="70"/>
      <c r="B1882" s="12" t="str">
        <f>IFERROR(VLOOKUP(D1882,'[1]Перечень товаров'!$A$2:$I9525,2,0),"")</f>
        <v>тм293</v>
      </c>
      <c r="C1882" s="12" t="str">
        <f>IFERROR(VLOOKUP(D1882,'[1]Перечень товаров'!$A$2:$I9525,3,0),"")</f>
        <v>Техника муз</v>
      </c>
      <c r="D1882" s="71" t="s">
        <v>644</v>
      </c>
      <c r="E1882" s="72"/>
      <c r="F1882" s="72"/>
      <c r="G1882" s="169" t="s">
        <v>645</v>
      </c>
      <c r="H1882" s="169"/>
      <c r="I1882" s="170"/>
      <c r="J1882" s="170"/>
      <c r="K1882" s="19"/>
      <c r="L1882" s="20"/>
    </row>
    <row r="1883" spans="1:12" ht="47.25" outlineLevel="2">
      <c r="A1883" s="70"/>
      <c r="B1883" s="12" t="str">
        <f>IFERROR(VLOOKUP(D1883,'[1]Перечень товаров'!$A$2:$I9525,2,0),"")</f>
        <v>п49</v>
      </c>
      <c r="C1883" s="12" t="str">
        <f>IFERROR(VLOOKUP(D1883,'[1]Перечень товаров'!$A$2:$I9525,3,0),"")</f>
        <v>Прочее</v>
      </c>
      <c r="D1883" s="71" t="s">
        <v>584</v>
      </c>
      <c r="E1883" s="30"/>
      <c r="F1883" s="30"/>
      <c r="G1883" s="59">
        <v>1</v>
      </c>
      <c r="H1883" s="59"/>
      <c r="I1883" s="60"/>
      <c r="J1883" s="60"/>
      <c r="K1883" s="19"/>
      <c r="L1883" s="20"/>
    </row>
    <row r="1884" spans="1:12" outlineLevel="2">
      <c r="A1884" s="70"/>
      <c r="B1884" s="12" t="str">
        <f>IFERROR(VLOOKUP(D1884,'[1]Перечень товаров'!$A$2:$I9525,2,0),"")</f>
        <v>п50</v>
      </c>
      <c r="C1884" s="12" t="str">
        <f>IFERROR(VLOOKUP(D1884,'[1]Перечень товаров'!$A$2:$I9525,3,0),"")</f>
        <v>Прочее</v>
      </c>
      <c r="D1884" s="71" t="s">
        <v>585</v>
      </c>
      <c r="E1884" s="30"/>
      <c r="F1884" s="30"/>
      <c r="G1884" s="59">
        <v>1</v>
      </c>
      <c r="H1884" s="59"/>
      <c r="I1884" s="60"/>
      <c r="J1884" s="60"/>
      <c r="K1884" s="19"/>
      <c r="L1884" s="20"/>
    </row>
    <row r="1885" spans="1:12" ht="31.5" outlineLevel="2">
      <c r="A1885" s="70"/>
      <c r="B1885" s="12" t="str">
        <f>IFERROR(VLOOKUP(D1885,'[1]Перечень товаров'!$A$2:$I9525,2,0),"")</f>
        <v>м189</v>
      </c>
      <c r="C1885" s="12" t="str">
        <f>IFERROR(VLOOKUP(D1885,'[1]Перечень товаров'!$A$2:$I9525,3,0),"")</f>
        <v>Мебель</v>
      </c>
      <c r="D1885" s="71" t="s">
        <v>646</v>
      </c>
      <c r="E1885" s="30"/>
      <c r="F1885" s="30"/>
      <c r="G1885" s="59">
        <v>2</v>
      </c>
      <c r="H1885" s="59"/>
      <c r="I1885" s="60"/>
      <c r="J1885" s="60"/>
      <c r="K1885" s="19"/>
      <c r="L1885" s="20"/>
    </row>
    <row r="1886" spans="1:12" ht="31.5" outlineLevel="2">
      <c r="A1886" s="70"/>
      <c r="B1886" s="12" t="str">
        <f>IFERROR(VLOOKUP(D1886,'[1]Перечень товаров'!$A$2:$I9525,2,0),"")</f>
        <v>м190</v>
      </c>
      <c r="C1886" s="12" t="str">
        <f>IFERROR(VLOOKUP(D1886,'[1]Перечень товаров'!$A$2:$I9525,3,0),"")</f>
        <v>Мебель</v>
      </c>
      <c r="D1886" s="71" t="s">
        <v>647</v>
      </c>
      <c r="E1886" s="30"/>
      <c r="F1886" s="30"/>
      <c r="G1886" s="59">
        <v>1</v>
      </c>
      <c r="H1886" s="59"/>
      <c r="I1886" s="60"/>
      <c r="J1886" s="60"/>
      <c r="K1886" s="19"/>
      <c r="L1886" s="20"/>
    </row>
    <row r="1887" spans="1:12" ht="31.5" outlineLevel="2">
      <c r="A1887" s="70"/>
      <c r="B1887" s="12" t="str">
        <f>IFERROR(VLOOKUP(D1887,'[1]Перечень товаров'!$A$2:$I9525,2,0),"")</f>
        <v>м191</v>
      </c>
      <c r="C1887" s="12" t="str">
        <f>IFERROR(VLOOKUP(D1887,'[1]Перечень товаров'!$A$2:$I9525,3,0),"")</f>
        <v>Мебель</v>
      </c>
      <c r="D1887" s="71" t="s">
        <v>648</v>
      </c>
      <c r="E1887" s="30"/>
      <c r="F1887" s="30"/>
      <c r="G1887" s="59">
        <v>1</v>
      </c>
      <c r="H1887" s="59"/>
      <c r="I1887" s="60"/>
      <c r="J1887" s="60"/>
      <c r="K1887" s="19"/>
      <c r="L1887" s="20"/>
    </row>
    <row r="1888" spans="1:12" outlineLevel="2">
      <c r="A1888" s="171"/>
      <c r="B1888" s="12" t="str">
        <f>IFERROR(VLOOKUP(D1888,'[1]Перечень товаров'!$A$2:$I9525,2,0),"")</f>
        <v>м192</v>
      </c>
      <c r="C1888" s="12" t="str">
        <f>IFERROR(VLOOKUP(D1888,'[1]Перечень товаров'!$A$2:$I9525,3,0),"")</f>
        <v>Мебель</v>
      </c>
      <c r="D1888" s="172" t="s">
        <v>649</v>
      </c>
      <c r="E1888" s="173"/>
      <c r="F1888" s="173"/>
      <c r="G1888" s="59">
        <v>1</v>
      </c>
      <c r="H1888" s="59"/>
      <c r="I1888" s="60"/>
      <c r="J1888" s="60"/>
      <c r="K1888" s="19"/>
      <c r="L1888" s="20"/>
    </row>
    <row r="1889" spans="1:12" ht="12.75" outlineLevel="1">
      <c r="A1889" s="11"/>
      <c r="B1889" s="12" t="str">
        <f>IFERROR(VLOOKUP(D1889,'[1]Перечень товаров'!$A$2:$I9525,2,0),"")</f>
        <v/>
      </c>
      <c r="C1889" s="12" t="str">
        <f>IFERROR(VLOOKUP(D1889,'[1]Перечень товаров'!$A$2:$I9525,3,0),"")</f>
        <v/>
      </c>
      <c r="D1889" s="27" t="s">
        <v>371</v>
      </c>
      <c r="E1889" s="99">
        <v>46148</v>
      </c>
      <c r="F1889" s="99"/>
      <c r="G1889" s="100"/>
      <c r="H1889" s="100"/>
      <c r="I1889" s="101"/>
      <c r="J1889" s="101"/>
      <c r="K1889" s="19"/>
      <c r="L1889" s="20"/>
    </row>
    <row r="1890" spans="1:12" outlineLevel="2">
      <c r="A1890" s="22"/>
      <c r="B1890" s="12" t="str">
        <f>IFERROR(VLOOKUP(D1890,'[1]Перечень товаров'!$A$2:$I9525,2,0),"")</f>
        <v>п25</v>
      </c>
      <c r="C1890" s="12" t="str">
        <f>IFERROR(VLOOKUP(D1890,'[1]Перечень товаров'!$A$2:$I9525,3,0),"")</f>
        <v>Прочее</v>
      </c>
      <c r="D1890" s="22" t="s">
        <v>360</v>
      </c>
      <c r="E1890" s="102"/>
      <c r="F1890" s="102"/>
      <c r="G1890" s="48">
        <v>3</v>
      </c>
      <c r="H1890" s="48"/>
      <c r="I1890" s="49"/>
      <c r="J1890" s="49"/>
      <c r="K1890" s="33"/>
      <c r="L1890" s="20"/>
    </row>
    <row r="1891" spans="1:12" outlineLevel="2">
      <c r="A1891" s="21"/>
      <c r="B1891" s="12" t="str">
        <f>IFERROR(VLOOKUP(D1891,'[1]Перечень товаров'!$A$2:$I9525,2,0),"")</f>
        <v>п26</v>
      </c>
      <c r="C1891" s="12" t="str">
        <f>IFERROR(VLOOKUP(D1891,'[1]Перечень товаров'!$A$2:$I9525,3,0),"")</f>
        <v>Прочее</v>
      </c>
      <c r="D1891" s="22" t="s">
        <v>361</v>
      </c>
      <c r="E1891" s="102"/>
      <c r="F1891" s="102"/>
      <c r="G1891" s="48">
        <v>2</v>
      </c>
      <c r="H1891" s="48"/>
      <c r="I1891" s="49"/>
      <c r="J1891" s="49"/>
      <c r="K1891" s="33"/>
      <c r="L1891" s="20"/>
    </row>
    <row r="1892" spans="1:12" outlineLevel="2">
      <c r="A1892" s="21"/>
      <c r="B1892" s="12" t="str">
        <f>IFERROR(VLOOKUP(D1892,'[1]Перечень товаров'!$A$2:$I9525,2,0),"")</f>
        <v>п27</v>
      </c>
      <c r="C1892" s="12" t="str">
        <f>IFERROR(VLOOKUP(D1892,'[1]Перечень товаров'!$A$2:$I9525,3,0),"")</f>
        <v>Прочее</v>
      </c>
      <c r="D1892" s="22" t="s">
        <v>362</v>
      </c>
      <c r="E1892" s="102"/>
      <c r="F1892" s="102"/>
      <c r="G1892" s="48">
        <v>2</v>
      </c>
      <c r="H1892" s="48"/>
      <c r="I1892" s="49"/>
      <c r="J1892" s="49"/>
      <c r="K1892" s="33"/>
      <c r="L1892" s="20"/>
    </row>
    <row r="1893" spans="1:12" outlineLevel="2">
      <c r="A1893" s="21"/>
      <c r="B1893" s="12" t="str">
        <f>IFERROR(VLOOKUP(D1893,'[1]Перечень товаров'!$A$2:$I9525,2,0),"")</f>
        <v>п28</v>
      </c>
      <c r="C1893" s="12" t="str">
        <f>IFERROR(VLOOKUP(D1893,'[1]Перечень товаров'!$A$2:$I9525,3,0),"")</f>
        <v>Прочее</v>
      </c>
      <c r="D1893" s="22" t="s">
        <v>363</v>
      </c>
      <c r="E1893" s="102"/>
      <c r="F1893" s="102"/>
      <c r="G1893" s="48">
        <v>1</v>
      </c>
      <c r="H1893" s="48"/>
      <c r="I1893" s="49"/>
      <c r="J1893" s="49"/>
      <c r="K1893" s="33"/>
      <c r="L1893" s="20"/>
    </row>
    <row r="1894" spans="1:12" outlineLevel="2">
      <c r="A1894" s="21"/>
      <c r="B1894" s="12" t="str">
        <f>IFERROR(VLOOKUP(D1894,'[1]Перечень товаров'!$A$2:$I9525,2,0),"")</f>
        <v>п29</v>
      </c>
      <c r="C1894" s="12" t="str">
        <f>IFERROR(VLOOKUP(D1894,'[1]Перечень товаров'!$A$2:$I9525,3,0),"")</f>
        <v>Прочее</v>
      </c>
      <c r="D1894" s="22" t="s">
        <v>364</v>
      </c>
      <c r="E1894" s="102"/>
      <c r="F1894" s="102"/>
      <c r="G1894" s="48">
        <v>6</v>
      </c>
      <c r="H1894" s="48"/>
      <c r="I1894" s="49"/>
      <c r="J1894" s="49"/>
      <c r="K1894" s="33"/>
      <c r="L1894" s="20"/>
    </row>
    <row r="1895" spans="1:12" outlineLevel="2">
      <c r="A1895" s="21"/>
      <c r="B1895" s="12" t="str">
        <f>IFERROR(VLOOKUP(D1895,'[1]Перечень товаров'!$A$2:$I9525,2,0),"")</f>
        <v>п30</v>
      </c>
      <c r="C1895" s="12" t="str">
        <f>IFERROR(VLOOKUP(D1895,'[1]Перечень товаров'!$A$2:$I9525,3,0),"")</f>
        <v>Прочее</v>
      </c>
      <c r="D1895" s="22" t="s">
        <v>365</v>
      </c>
      <c r="E1895" s="102"/>
      <c r="F1895" s="102"/>
      <c r="G1895" s="48">
        <v>2</v>
      </c>
      <c r="H1895" s="48"/>
      <c r="I1895" s="49"/>
      <c r="J1895" s="49"/>
      <c r="K1895" s="33"/>
      <c r="L1895" s="20"/>
    </row>
    <row r="1896" spans="1:12" ht="31.5" outlineLevel="2">
      <c r="A1896" s="21"/>
      <c r="B1896" s="12" t="str">
        <f>IFERROR(VLOOKUP(D1896,'[1]Перечень товаров'!$A$2:$I9525,2,0),"")</f>
        <v>п31</v>
      </c>
      <c r="C1896" s="12" t="str">
        <f>IFERROR(VLOOKUP(D1896,'[1]Перечень товаров'!$A$2:$I9525,3,0),"")</f>
        <v>Прочее</v>
      </c>
      <c r="D1896" s="22" t="s">
        <v>366</v>
      </c>
      <c r="E1896" s="102"/>
      <c r="F1896" s="102"/>
      <c r="G1896" s="48">
        <v>1</v>
      </c>
      <c r="H1896" s="48"/>
      <c r="I1896" s="49"/>
      <c r="J1896" s="49"/>
      <c r="K1896" s="33"/>
      <c r="L1896" s="20"/>
    </row>
    <row r="1897" spans="1:12" ht="31.5" outlineLevel="2">
      <c r="A1897" s="21"/>
      <c r="B1897" s="12" t="str">
        <f>IFERROR(VLOOKUP(D1897,'[1]Перечень товаров'!$A$2:$I9525,2,0),"")</f>
        <v>п32</v>
      </c>
      <c r="C1897" s="12" t="str">
        <f>IFERROR(VLOOKUP(D1897,'[1]Перечень товаров'!$A$2:$I9525,3,0),"")</f>
        <v>Прочее</v>
      </c>
      <c r="D1897" s="22" t="s">
        <v>367</v>
      </c>
      <c r="E1897" s="102"/>
      <c r="F1897" s="102"/>
      <c r="G1897" s="48">
        <v>2</v>
      </c>
      <c r="H1897" s="48"/>
      <c r="I1897" s="49"/>
      <c r="J1897" s="49"/>
      <c r="K1897" s="33"/>
      <c r="L1897" s="20"/>
    </row>
    <row r="1898" spans="1:12" ht="12.75" outlineLevel="1">
      <c r="A1898" s="11"/>
      <c r="B1898" s="12" t="str">
        <f>IFERROR(VLOOKUP(D1898,'[1]Перечень товаров'!$A$2:$I9525,2,0),"")</f>
        <v/>
      </c>
      <c r="C1898" s="12" t="str">
        <f>IFERROR(VLOOKUP(D1898,'[1]Перечень товаров'!$A$2:$I9525,3,0),"")</f>
        <v/>
      </c>
      <c r="D1898" s="27" t="s">
        <v>652</v>
      </c>
      <c r="E1898" s="99">
        <v>46206</v>
      </c>
      <c r="F1898" s="99"/>
      <c r="G1898" s="100"/>
      <c r="H1898" s="100"/>
      <c r="I1898" s="101"/>
      <c r="J1898" s="101"/>
      <c r="K1898" s="19"/>
      <c r="L1898" s="20"/>
    </row>
    <row r="1899" spans="1:12" outlineLevel="2">
      <c r="A1899" s="22"/>
      <c r="B1899" s="12" t="str">
        <f>IFERROR(VLOOKUP(D1899,'[1]Перечень товаров'!$A$2:$I9525,2,0),"")</f>
        <v>п25</v>
      </c>
      <c r="C1899" s="12" t="str">
        <f>IFERROR(VLOOKUP(D1899,'[1]Перечень товаров'!$A$2:$I9525,3,0),"")</f>
        <v>Прочее</v>
      </c>
      <c r="D1899" s="22" t="s">
        <v>360</v>
      </c>
      <c r="E1899" s="102"/>
      <c r="F1899" s="102"/>
      <c r="G1899" s="48">
        <v>3</v>
      </c>
      <c r="H1899" s="48"/>
      <c r="I1899" s="49"/>
      <c r="J1899" s="49"/>
      <c r="K1899" s="19"/>
      <c r="L1899" s="20"/>
    </row>
    <row r="1900" spans="1:12" outlineLevel="2">
      <c r="A1900" s="21"/>
      <c r="B1900" s="12" t="str">
        <f>IFERROR(VLOOKUP(D1900,'[1]Перечень товаров'!$A$2:$I9525,2,0),"")</f>
        <v>п26</v>
      </c>
      <c r="C1900" s="12" t="str">
        <f>IFERROR(VLOOKUP(D1900,'[1]Перечень товаров'!$A$2:$I9525,3,0),"")</f>
        <v>Прочее</v>
      </c>
      <c r="D1900" s="22" t="s">
        <v>361</v>
      </c>
      <c r="E1900" s="102"/>
      <c r="F1900" s="102"/>
      <c r="G1900" s="48">
        <v>2</v>
      </c>
      <c r="H1900" s="48"/>
      <c r="I1900" s="49"/>
      <c r="J1900" s="49"/>
      <c r="K1900" s="19"/>
      <c r="L1900" s="20"/>
    </row>
    <row r="1901" spans="1:12" outlineLevel="2">
      <c r="A1901" s="21"/>
      <c r="B1901" s="12" t="str">
        <f>IFERROR(VLOOKUP(D1901,'[1]Перечень товаров'!$A$2:$I9525,2,0),"")</f>
        <v>п27</v>
      </c>
      <c r="C1901" s="12" t="str">
        <f>IFERROR(VLOOKUP(D1901,'[1]Перечень товаров'!$A$2:$I9525,3,0),"")</f>
        <v>Прочее</v>
      </c>
      <c r="D1901" s="22" t="s">
        <v>362</v>
      </c>
      <c r="E1901" s="102"/>
      <c r="F1901" s="102"/>
      <c r="G1901" s="48">
        <v>2</v>
      </c>
      <c r="H1901" s="48"/>
      <c r="I1901" s="49"/>
      <c r="J1901" s="49"/>
      <c r="K1901" s="19"/>
      <c r="L1901" s="20"/>
    </row>
    <row r="1902" spans="1:12" outlineLevel="2">
      <c r="A1902" s="21"/>
      <c r="B1902" s="12" t="str">
        <f>IFERROR(VLOOKUP(D1902,'[1]Перечень товаров'!$A$2:$I9525,2,0),"")</f>
        <v>п28</v>
      </c>
      <c r="C1902" s="12" t="str">
        <f>IFERROR(VLOOKUP(D1902,'[1]Перечень товаров'!$A$2:$I9525,3,0),"")</f>
        <v>Прочее</v>
      </c>
      <c r="D1902" s="22" t="s">
        <v>363</v>
      </c>
      <c r="E1902" s="102"/>
      <c r="F1902" s="102"/>
      <c r="G1902" s="48">
        <v>1</v>
      </c>
      <c r="H1902" s="48"/>
      <c r="I1902" s="49"/>
      <c r="J1902" s="49"/>
      <c r="K1902" s="19"/>
      <c r="L1902" s="20"/>
    </row>
    <row r="1903" spans="1:12" outlineLevel="2">
      <c r="A1903" s="21"/>
      <c r="B1903" s="12" t="str">
        <f>IFERROR(VLOOKUP(D1903,'[1]Перечень товаров'!$A$2:$I9525,2,0),"")</f>
        <v>п29</v>
      </c>
      <c r="C1903" s="12" t="str">
        <f>IFERROR(VLOOKUP(D1903,'[1]Перечень товаров'!$A$2:$I9525,3,0),"")</f>
        <v>Прочее</v>
      </c>
      <c r="D1903" s="22" t="s">
        <v>364</v>
      </c>
      <c r="E1903" s="102"/>
      <c r="F1903" s="102"/>
      <c r="G1903" s="48">
        <v>6</v>
      </c>
      <c r="H1903" s="48"/>
      <c r="I1903" s="49"/>
      <c r="J1903" s="49"/>
      <c r="K1903" s="19"/>
      <c r="L1903" s="20"/>
    </row>
    <row r="1904" spans="1:12" outlineLevel="2">
      <c r="A1904" s="21"/>
      <c r="B1904" s="12" t="str">
        <f>IFERROR(VLOOKUP(D1904,'[1]Перечень товаров'!$A$2:$I9525,2,0),"")</f>
        <v>п30</v>
      </c>
      <c r="C1904" s="12" t="str">
        <f>IFERROR(VLOOKUP(D1904,'[1]Перечень товаров'!$A$2:$I9525,3,0),"")</f>
        <v>Прочее</v>
      </c>
      <c r="D1904" s="22" t="s">
        <v>365</v>
      </c>
      <c r="E1904" s="102"/>
      <c r="F1904" s="102"/>
      <c r="G1904" s="48">
        <v>2</v>
      </c>
      <c r="H1904" s="48"/>
      <c r="I1904" s="49"/>
      <c r="J1904" s="49"/>
      <c r="K1904" s="19"/>
      <c r="L1904" s="20"/>
    </row>
    <row r="1905" spans="1:12" ht="31.5" outlineLevel="2">
      <c r="A1905" s="21"/>
      <c r="B1905" s="12" t="str">
        <f>IFERROR(VLOOKUP(D1905,'[1]Перечень товаров'!$A$2:$I9525,2,0),"")</f>
        <v>п31</v>
      </c>
      <c r="C1905" s="12" t="str">
        <f>IFERROR(VLOOKUP(D1905,'[1]Перечень товаров'!$A$2:$I9525,3,0),"")</f>
        <v>Прочее</v>
      </c>
      <c r="D1905" s="22" t="s">
        <v>366</v>
      </c>
      <c r="E1905" s="102"/>
      <c r="F1905" s="102"/>
      <c r="G1905" s="48">
        <v>1</v>
      </c>
      <c r="H1905" s="48"/>
      <c r="I1905" s="49"/>
      <c r="J1905" s="49"/>
      <c r="K1905" s="19"/>
      <c r="L1905" s="20"/>
    </row>
    <row r="1906" spans="1:12" ht="31.5" outlineLevel="2">
      <c r="A1906" s="21"/>
      <c r="B1906" s="12" t="str">
        <f>IFERROR(VLOOKUP(D1906,'[1]Перечень товаров'!$A$2:$I9525,2,0),"")</f>
        <v>п32</v>
      </c>
      <c r="C1906" s="12" t="str">
        <f>IFERROR(VLOOKUP(D1906,'[1]Перечень товаров'!$A$2:$I9525,3,0),"")</f>
        <v>Прочее</v>
      </c>
      <c r="D1906" s="22" t="s">
        <v>367</v>
      </c>
      <c r="E1906" s="102"/>
      <c r="F1906" s="102"/>
      <c r="G1906" s="48">
        <v>2</v>
      </c>
      <c r="H1906" s="48"/>
      <c r="I1906" s="49"/>
      <c r="J1906" s="49"/>
      <c r="K1906" s="19"/>
      <c r="L1906" s="20"/>
    </row>
    <row r="1907" spans="1:12" ht="12.75" outlineLevel="1">
      <c r="A1907" s="11"/>
      <c r="B1907" s="12" t="str">
        <f>IFERROR(VLOOKUP(D1907,'[1]Перечень товаров'!$A$2:$I9525,2,0),"")</f>
        <v/>
      </c>
      <c r="C1907" s="12" t="str">
        <f>IFERROR(VLOOKUP(D1907,'[1]Перечень товаров'!$A$2:$I9525,3,0),"")</f>
        <v/>
      </c>
      <c r="D1907" s="27" t="s">
        <v>372</v>
      </c>
      <c r="E1907" s="99">
        <v>46240</v>
      </c>
      <c r="F1907" s="99"/>
      <c r="G1907" s="100"/>
      <c r="H1907" s="100"/>
      <c r="I1907" s="101"/>
      <c r="J1907" s="101"/>
      <c r="K1907" s="19"/>
      <c r="L1907" s="20"/>
    </row>
    <row r="1908" spans="1:12" outlineLevel="2">
      <c r="A1908" s="22"/>
      <c r="B1908" s="12" t="str">
        <f>IFERROR(VLOOKUP(D1908,'[1]Перечень товаров'!$A$2:$I9525,2,0),"")</f>
        <v>п25</v>
      </c>
      <c r="C1908" s="12" t="str">
        <f>IFERROR(VLOOKUP(D1908,'[1]Перечень товаров'!$A$2:$I9525,3,0),"")</f>
        <v>Прочее</v>
      </c>
      <c r="D1908" s="22" t="s">
        <v>360</v>
      </c>
      <c r="E1908" s="102"/>
      <c r="F1908" s="102"/>
      <c r="G1908" s="48">
        <v>3</v>
      </c>
      <c r="H1908" s="48"/>
      <c r="I1908" s="49"/>
      <c r="J1908" s="49"/>
      <c r="K1908" s="33"/>
      <c r="L1908" s="20"/>
    </row>
    <row r="1909" spans="1:12" outlineLevel="2">
      <c r="A1909" s="21"/>
      <c r="B1909" s="12" t="str">
        <f>IFERROR(VLOOKUP(D1909,'[1]Перечень товаров'!$A$2:$I9525,2,0),"")</f>
        <v>п26</v>
      </c>
      <c r="C1909" s="12" t="str">
        <f>IFERROR(VLOOKUP(D1909,'[1]Перечень товаров'!$A$2:$I9525,3,0),"")</f>
        <v>Прочее</v>
      </c>
      <c r="D1909" s="22" t="s">
        <v>361</v>
      </c>
      <c r="E1909" s="102"/>
      <c r="F1909" s="102"/>
      <c r="G1909" s="48">
        <v>2</v>
      </c>
      <c r="H1909" s="48"/>
      <c r="I1909" s="49"/>
      <c r="J1909" s="49"/>
      <c r="K1909" s="33"/>
      <c r="L1909" s="20"/>
    </row>
    <row r="1910" spans="1:12" outlineLevel="2">
      <c r="A1910" s="21"/>
      <c r="B1910" s="12" t="str">
        <f>IFERROR(VLOOKUP(D1910,'[1]Перечень товаров'!$A$2:$I9525,2,0),"")</f>
        <v>п27</v>
      </c>
      <c r="C1910" s="12" t="str">
        <f>IFERROR(VLOOKUP(D1910,'[1]Перечень товаров'!$A$2:$I9525,3,0),"")</f>
        <v>Прочее</v>
      </c>
      <c r="D1910" s="22" t="s">
        <v>362</v>
      </c>
      <c r="E1910" s="102"/>
      <c r="F1910" s="102"/>
      <c r="G1910" s="48">
        <v>2</v>
      </c>
      <c r="H1910" s="48"/>
      <c r="I1910" s="49"/>
      <c r="J1910" s="49"/>
      <c r="K1910" s="33"/>
      <c r="L1910" s="20"/>
    </row>
    <row r="1911" spans="1:12" outlineLevel="2">
      <c r="A1911" s="21"/>
      <c r="B1911" s="12" t="str">
        <f>IFERROR(VLOOKUP(D1911,'[1]Перечень товаров'!$A$2:$I9525,2,0),"")</f>
        <v>п28</v>
      </c>
      <c r="C1911" s="12" t="str">
        <f>IFERROR(VLOOKUP(D1911,'[1]Перечень товаров'!$A$2:$I9525,3,0),"")</f>
        <v>Прочее</v>
      </c>
      <c r="D1911" s="22" t="s">
        <v>363</v>
      </c>
      <c r="E1911" s="102"/>
      <c r="F1911" s="102"/>
      <c r="G1911" s="48">
        <v>1</v>
      </c>
      <c r="H1911" s="48"/>
      <c r="I1911" s="49"/>
      <c r="J1911" s="49"/>
      <c r="K1911" s="33"/>
      <c r="L1911" s="20"/>
    </row>
    <row r="1912" spans="1:12" outlineLevel="2">
      <c r="A1912" s="21"/>
      <c r="B1912" s="12" t="str">
        <f>IFERROR(VLOOKUP(D1912,'[1]Перечень товаров'!$A$2:$I9525,2,0),"")</f>
        <v>п29</v>
      </c>
      <c r="C1912" s="12" t="str">
        <f>IFERROR(VLOOKUP(D1912,'[1]Перечень товаров'!$A$2:$I9525,3,0),"")</f>
        <v>Прочее</v>
      </c>
      <c r="D1912" s="22" t="s">
        <v>364</v>
      </c>
      <c r="E1912" s="102"/>
      <c r="F1912" s="102"/>
      <c r="G1912" s="48">
        <v>6</v>
      </c>
      <c r="H1912" s="48"/>
      <c r="I1912" s="49"/>
      <c r="J1912" s="49"/>
      <c r="K1912" s="33"/>
      <c r="L1912" s="20"/>
    </row>
    <row r="1913" spans="1:12" outlineLevel="2">
      <c r="A1913" s="21"/>
      <c r="B1913" s="12" t="str">
        <f>IFERROR(VLOOKUP(D1913,'[1]Перечень товаров'!$A$2:$I9525,2,0),"")</f>
        <v>п30</v>
      </c>
      <c r="C1913" s="12" t="str">
        <f>IFERROR(VLOOKUP(D1913,'[1]Перечень товаров'!$A$2:$I9525,3,0),"")</f>
        <v>Прочее</v>
      </c>
      <c r="D1913" s="22" t="s">
        <v>365</v>
      </c>
      <c r="E1913" s="102"/>
      <c r="F1913" s="102"/>
      <c r="G1913" s="48">
        <v>2</v>
      </c>
      <c r="H1913" s="48"/>
      <c r="I1913" s="49"/>
      <c r="J1913" s="49"/>
      <c r="K1913" s="33"/>
      <c r="L1913" s="20"/>
    </row>
    <row r="1914" spans="1:12" ht="31.5" outlineLevel="2">
      <c r="A1914" s="21"/>
      <c r="B1914" s="12" t="str">
        <f>IFERROR(VLOOKUP(D1914,'[1]Перечень товаров'!$A$2:$I9525,2,0),"")</f>
        <v>п31</v>
      </c>
      <c r="C1914" s="12" t="str">
        <f>IFERROR(VLOOKUP(D1914,'[1]Перечень товаров'!$A$2:$I9525,3,0),"")</f>
        <v>Прочее</v>
      </c>
      <c r="D1914" s="22" t="s">
        <v>366</v>
      </c>
      <c r="E1914" s="102"/>
      <c r="F1914" s="102"/>
      <c r="G1914" s="48">
        <v>1</v>
      </c>
      <c r="H1914" s="48"/>
      <c r="I1914" s="49"/>
      <c r="J1914" s="49"/>
      <c r="K1914" s="33"/>
      <c r="L1914" s="20"/>
    </row>
    <row r="1915" spans="1:12" ht="31.5" outlineLevel="2">
      <c r="A1915" s="21"/>
      <c r="B1915" s="12" t="str">
        <f>IFERROR(VLOOKUP(D1915,'[1]Перечень товаров'!$A$2:$I9525,2,0),"")</f>
        <v>п32</v>
      </c>
      <c r="C1915" s="12" t="str">
        <f>IFERROR(VLOOKUP(D1915,'[1]Перечень товаров'!$A$2:$I9525,3,0),"")</f>
        <v>Прочее</v>
      </c>
      <c r="D1915" s="22" t="s">
        <v>367</v>
      </c>
      <c r="E1915" s="102"/>
      <c r="F1915" s="102"/>
      <c r="G1915" s="48">
        <v>2</v>
      </c>
      <c r="H1915" s="48"/>
      <c r="I1915" s="49"/>
      <c r="J1915" s="49"/>
      <c r="K1915" s="33"/>
      <c r="L1915" s="20"/>
    </row>
    <row r="1916" spans="1:12" outlineLevel="1">
      <c r="A1916" s="21"/>
      <c r="B1916" s="12" t="str">
        <f>IFERROR(VLOOKUP(D1916,'[1]Перечень товаров'!$A$2:$I9525,2,0),"")</f>
        <v/>
      </c>
      <c r="C1916" s="12" t="str">
        <f>IFERROR(VLOOKUP(D1916,'[1]Перечень товаров'!$A$2:$I9525,3,0),"")</f>
        <v/>
      </c>
      <c r="D1916" s="22" t="s">
        <v>311</v>
      </c>
      <c r="E1916" s="102">
        <v>46149</v>
      </c>
      <c r="F1916" s="102"/>
      <c r="G1916" s="103"/>
      <c r="H1916" s="103"/>
      <c r="I1916" s="104"/>
      <c r="J1916" s="104"/>
      <c r="K1916" s="19"/>
      <c r="L1916" s="20"/>
    </row>
    <row r="1917" spans="1:12" ht="12.75" outlineLevel="1">
      <c r="A1917" s="11"/>
      <c r="B1917" s="12" t="str">
        <f>IFERROR(VLOOKUP(D1917,'[1]Перечень товаров'!$A$2:$I9525,2,0),"")</f>
        <v/>
      </c>
      <c r="C1917" s="12" t="str">
        <f>IFERROR(VLOOKUP(D1917,'[1]Перечень товаров'!$A$2:$I9525,3,0),"")</f>
        <v/>
      </c>
      <c r="D1917" s="27" t="s">
        <v>371</v>
      </c>
      <c r="E1917" s="99">
        <v>46087</v>
      </c>
      <c r="F1917" s="99"/>
      <c r="G1917" s="100"/>
      <c r="H1917" s="100"/>
      <c r="I1917" s="101"/>
      <c r="J1917" s="101"/>
      <c r="K1917" s="19"/>
      <c r="L1917" s="20"/>
    </row>
    <row r="1918" spans="1:12" outlineLevel="2">
      <c r="A1918" s="22"/>
      <c r="B1918" s="12" t="str">
        <f>IFERROR(VLOOKUP(D1918,'[1]Перечень товаров'!$A$2:$I9525,2,0),"")</f>
        <v>п25</v>
      </c>
      <c r="C1918" s="12" t="str">
        <f>IFERROR(VLOOKUP(D1918,'[1]Перечень товаров'!$A$2:$I9525,3,0),"")</f>
        <v>Прочее</v>
      </c>
      <c r="D1918" s="22" t="s">
        <v>360</v>
      </c>
      <c r="E1918" s="102"/>
      <c r="F1918" s="102"/>
      <c r="G1918" s="48">
        <v>3</v>
      </c>
      <c r="H1918" s="48"/>
      <c r="I1918" s="49"/>
      <c r="J1918" s="49"/>
      <c r="K1918" s="33"/>
      <c r="L1918" s="20"/>
    </row>
    <row r="1919" spans="1:12" outlineLevel="2">
      <c r="A1919" s="21"/>
      <c r="B1919" s="12" t="str">
        <f>IFERROR(VLOOKUP(D1919,'[1]Перечень товаров'!$A$2:$I9525,2,0),"")</f>
        <v>п26</v>
      </c>
      <c r="C1919" s="12" t="str">
        <f>IFERROR(VLOOKUP(D1919,'[1]Перечень товаров'!$A$2:$I9525,3,0),"")</f>
        <v>Прочее</v>
      </c>
      <c r="D1919" s="22" t="s">
        <v>361</v>
      </c>
      <c r="E1919" s="102"/>
      <c r="F1919" s="102"/>
      <c r="G1919" s="48">
        <v>2</v>
      </c>
      <c r="H1919" s="48"/>
      <c r="I1919" s="49"/>
      <c r="J1919" s="49"/>
      <c r="K1919" s="33"/>
      <c r="L1919" s="20"/>
    </row>
    <row r="1920" spans="1:12" outlineLevel="2">
      <c r="A1920" s="21"/>
      <c r="B1920" s="12" t="str">
        <f>IFERROR(VLOOKUP(D1920,'[1]Перечень товаров'!$A$2:$I9525,2,0),"")</f>
        <v>п27</v>
      </c>
      <c r="C1920" s="12" t="str">
        <f>IFERROR(VLOOKUP(D1920,'[1]Перечень товаров'!$A$2:$I9525,3,0),"")</f>
        <v>Прочее</v>
      </c>
      <c r="D1920" s="22" t="s">
        <v>362</v>
      </c>
      <c r="E1920" s="102"/>
      <c r="F1920" s="102"/>
      <c r="G1920" s="48">
        <v>2</v>
      </c>
      <c r="H1920" s="48"/>
      <c r="I1920" s="49"/>
      <c r="J1920" s="49"/>
      <c r="K1920" s="33"/>
      <c r="L1920" s="20"/>
    </row>
    <row r="1921" spans="1:12" outlineLevel="2">
      <c r="A1921" s="21"/>
      <c r="B1921" s="12" t="str">
        <f>IFERROR(VLOOKUP(D1921,'[1]Перечень товаров'!$A$2:$I9525,2,0),"")</f>
        <v>п28</v>
      </c>
      <c r="C1921" s="12" t="str">
        <f>IFERROR(VLOOKUP(D1921,'[1]Перечень товаров'!$A$2:$I9525,3,0),"")</f>
        <v>Прочее</v>
      </c>
      <c r="D1921" s="22" t="s">
        <v>363</v>
      </c>
      <c r="E1921" s="102"/>
      <c r="F1921" s="102"/>
      <c r="G1921" s="48">
        <v>1</v>
      </c>
      <c r="H1921" s="48"/>
      <c r="I1921" s="49"/>
      <c r="J1921" s="49"/>
      <c r="K1921" s="33"/>
      <c r="L1921" s="20"/>
    </row>
    <row r="1922" spans="1:12" outlineLevel="2">
      <c r="A1922" s="21"/>
      <c r="B1922" s="12" t="str">
        <f>IFERROR(VLOOKUP(D1922,'[1]Перечень товаров'!$A$2:$I9525,2,0),"")</f>
        <v>п29</v>
      </c>
      <c r="C1922" s="12" t="str">
        <f>IFERROR(VLOOKUP(D1922,'[1]Перечень товаров'!$A$2:$I9525,3,0),"")</f>
        <v>Прочее</v>
      </c>
      <c r="D1922" s="22" t="s">
        <v>364</v>
      </c>
      <c r="E1922" s="102"/>
      <c r="F1922" s="102"/>
      <c r="G1922" s="48">
        <v>6</v>
      </c>
      <c r="H1922" s="48"/>
      <c r="I1922" s="49"/>
      <c r="J1922" s="49"/>
      <c r="K1922" s="33"/>
      <c r="L1922" s="20"/>
    </row>
    <row r="1923" spans="1:12" outlineLevel="2">
      <c r="A1923" s="21"/>
      <c r="B1923" s="12" t="str">
        <f>IFERROR(VLOOKUP(D1923,'[1]Перечень товаров'!$A$2:$I9525,2,0),"")</f>
        <v>п30</v>
      </c>
      <c r="C1923" s="12" t="str">
        <f>IFERROR(VLOOKUP(D1923,'[1]Перечень товаров'!$A$2:$I9525,3,0),"")</f>
        <v>Прочее</v>
      </c>
      <c r="D1923" s="22" t="s">
        <v>365</v>
      </c>
      <c r="E1923" s="102"/>
      <c r="F1923" s="102"/>
      <c r="G1923" s="48">
        <v>2</v>
      </c>
      <c r="H1923" s="48"/>
      <c r="I1923" s="49"/>
      <c r="J1923" s="49"/>
      <c r="K1923" s="33"/>
      <c r="L1923" s="20"/>
    </row>
    <row r="1924" spans="1:12" ht="31.5" outlineLevel="2">
      <c r="A1924" s="21"/>
      <c r="B1924" s="12" t="str">
        <f>IFERROR(VLOOKUP(D1924,'[1]Перечень товаров'!$A$2:$I9525,2,0),"")</f>
        <v>п31</v>
      </c>
      <c r="C1924" s="12" t="str">
        <f>IFERROR(VLOOKUP(D1924,'[1]Перечень товаров'!$A$2:$I9525,3,0),"")</f>
        <v>Прочее</v>
      </c>
      <c r="D1924" s="22" t="s">
        <v>366</v>
      </c>
      <c r="E1924" s="102"/>
      <c r="F1924" s="102"/>
      <c r="G1924" s="48">
        <v>1</v>
      </c>
      <c r="H1924" s="48"/>
      <c r="I1924" s="49"/>
      <c r="J1924" s="49"/>
      <c r="K1924" s="33"/>
      <c r="L1924" s="20"/>
    </row>
    <row r="1925" spans="1:12" ht="31.5" outlineLevel="2">
      <c r="A1925" s="21"/>
      <c r="B1925" s="12" t="str">
        <f>IFERROR(VLOOKUP(D1925,'[1]Перечень товаров'!$A$2:$I9525,2,0),"")</f>
        <v>п32</v>
      </c>
      <c r="C1925" s="12" t="str">
        <f>IFERROR(VLOOKUP(D1925,'[1]Перечень товаров'!$A$2:$I9525,3,0),"")</f>
        <v>Прочее</v>
      </c>
      <c r="D1925" s="22" t="s">
        <v>367</v>
      </c>
      <c r="E1925" s="102"/>
      <c r="F1925" s="102"/>
      <c r="G1925" s="48">
        <v>2</v>
      </c>
      <c r="H1925" s="48"/>
      <c r="I1925" s="49"/>
      <c r="J1925" s="49"/>
      <c r="K1925" s="33"/>
      <c r="L1925" s="20"/>
    </row>
    <row r="1926" spans="1:12" ht="12.75" outlineLevel="1">
      <c r="A1926" s="11"/>
      <c r="B1926" s="12" t="str">
        <f>IFERROR(VLOOKUP(D1926,'[1]Перечень товаров'!$A$2:$I9525,2,0),"")</f>
        <v/>
      </c>
      <c r="C1926" s="12" t="str">
        <f>IFERROR(VLOOKUP(D1926,'[1]Перечень товаров'!$A$2:$I9525,3,0),"")</f>
        <v/>
      </c>
      <c r="D1926" s="27" t="s">
        <v>373</v>
      </c>
      <c r="E1926" s="99">
        <v>46055</v>
      </c>
      <c r="F1926" s="99"/>
      <c r="G1926" s="100"/>
      <c r="H1926" s="100"/>
      <c r="I1926" s="101"/>
      <c r="J1926" s="101"/>
      <c r="K1926" s="19"/>
      <c r="L1926" s="20"/>
    </row>
    <row r="1927" spans="1:12" outlineLevel="2">
      <c r="A1927" s="22"/>
      <c r="B1927" s="12" t="str">
        <f>IFERROR(VLOOKUP(D1927,'[1]Перечень товаров'!$A$2:$I9525,2,0),"")</f>
        <v>п25</v>
      </c>
      <c r="C1927" s="12" t="str">
        <f>IFERROR(VLOOKUP(D1927,'[1]Перечень товаров'!$A$2:$I9525,3,0),"")</f>
        <v>Прочее</v>
      </c>
      <c r="D1927" s="22" t="s">
        <v>360</v>
      </c>
      <c r="E1927" s="102"/>
      <c r="F1927" s="102"/>
      <c r="G1927" s="48">
        <v>3</v>
      </c>
      <c r="H1927" s="48"/>
      <c r="I1927" s="49"/>
      <c r="J1927" s="49"/>
      <c r="K1927" s="19"/>
      <c r="L1927" s="20"/>
    </row>
    <row r="1928" spans="1:12" outlineLevel="2">
      <c r="A1928" s="21"/>
      <c r="B1928" s="12" t="str">
        <f>IFERROR(VLOOKUP(D1928,'[1]Перечень товаров'!$A$2:$I9525,2,0),"")</f>
        <v>п26</v>
      </c>
      <c r="C1928" s="12" t="str">
        <f>IFERROR(VLOOKUP(D1928,'[1]Перечень товаров'!$A$2:$I9525,3,0),"")</f>
        <v>Прочее</v>
      </c>
      <c r="D1928" s="22" t="s">
        <v>361</v>
      </c>
      <c r="E1928" s="102"/>
      <c r="F1928" s="102"/>
      <c r="G1928" s="48">
        <v>2</v>
      </c>
      <c r="H1928" s="48"/>
      <c r="I1928" s="49"/>
      <c r="J1928" s="49"/>
      <c r="K1928" s="19"/>
      <c r="L1928" s="20"/>
    </row>
    <row r="1929" spans="1:12" outlineLevel="2">
      <c r="A1929" s="21"/>
      <c r="B1929" s="12" t="str">
        <f>IFERROR(VLOOKUP(D1929,'[1]Перечень товаров'!$A$2:$I9525,2,0),"")</f>
        <v>п27</v>
      </c>
      <c r="C1929" s="12" t="str">
        <f>IFERROR(VLOOKUP(D1929,'[1]Перечень товаров'!$A$2:$I9525,3,0),"")</f>
        <v>Прочее</v>
      </c>
      <c r="D1929" s="22" t="s">
        <v>362</v>
      </c>
      <c r="E1929" s="102"/>
      <c r="F1929" s="102"/>
      <c r="G1929" s="48">
        <v>2</v>
      </c>
      <c r="H1929" s="48"/>
      <c r="I1929" s="49"/>
      <c r="J1929" s="49"/>
      <c r="K1929" s="19"/>
      <c r="L1929" s="20"/>
    </row>
    <row r="1930" spans="1:12" outlineLevel="2">
      <c r="A1930" s="21"/>
      <c r="B1930" s="12" t="str">
        <f>IFERROR(VLOOKUP(D1930,'[1]Перечень товаров'!$A$2:$I9525,2,0),"")</f>
        <v>п28</v>
      </c>
      <c r="C1930" s="12" t="str">
        <f>IFERROR(VLOOKUP(D1930,'[1]Перечень товаров'!$A$2:$I9525,3,0),"")</f>
        <v>Прочее</v>
      </c>
      <c r="D1930" s="22" t="s">
        <v>363</v>
      </c>
      <c r="E1930" s="102"/>
      <c r="F1930" s="102"/>
      <c r="G1930" s="48">
        <v>1</v>
      </c>
      <c r="H1930" s="48"/>
      <c r="I1930" s="49"/>
      <c r="J1930" s="49"/>
      <c r="K1930" s="19"/>
      <c r="L1930" s="20"/>
    </row>
    <row r="1931" spans="1:12" outlineLevel="2">
      <c r="A1931" s="21"/>
      <c r="B1931" s="12" t="str">
        <f>IFERROR(VLOOKUP(D1931,'[1]Перечень товаров'!$A$2:$I9525,2,0),"")</f>
        <v>п29</v>
      </c>
      <c r="C1931" s="12" t="str">
        <f>IFERROR(VLOOKUP(D1931,'[1]Перечень товаров'!$A$2:$I9525,3,0),"")</f>
        <v>Прочее</v>
      </c>
      <c r="D1931" s="22" t="s">
        <v>364</v>
      </c>
      <c r="E1931" s="102"/>
      <c r="F1931" s="102"/>
      <c r="G1931" s="48">
        <v>6</v>
      </c>
      <c r="H1931" s="48"/>
      <c r="I1931" s="49"/>
      <c r="J1931" s="49"/>
      <c r="K1931" s="19"/>
      <c r="L1931" s="20"/>
    </row>
    <row r="1932" spans="1:12" outlineLevel="2">
      <c r="A1932" s="21"/>
      <c r="B1932" s="12" t="str">
        <f>IFERROR(VLOOKUP(D1932,'[1]Перечень товаров'!$A$2:$I9525,2,0),"")</f>
        <v>п30</v>
      </c>
      <c r="C1932" s="12" t="str">
        <f>IFERROR(VLOOKUP(D1932,'[1]Перечень товаров'!$A$2:$I9525,3,0),"")</f>
        <v>Прочее</v>
      </c>
      <c r="D1932" s="22" t="s">
        <v>365</v>
      </c>
      <c r="E1932" s="102"/>
      <c r="F1932" s="102"/>
      <c r="G1932" s="48">
        <v>2</v>
      </c>
      <c r="H1932" s="48"/>
      <c r="I1932" s="49"/>
      <c r="J1932" s="49"/>
      <c r="K1932" s="19"/>
      <c r="L1932" s="20"/>
    </row>
    <row r="1933" spans="1:12" ht="31.5" outlineLevel="2">
      <c r="A1933" s="21"/>
      <c r="B1933" s="12" t="str">
        <f>IFERROR(VLOOKUP(D1933,'[1]Перечень товаров'!$A$2:$I9525,2,0),"")</f>
        <v>п31</v>
      </c>
      <c r="C1933" s="12" t="str">
        <f>IFERROR(VLOOKUP(D1933,'[1]Перечень товаров'!$A$2:$I9525,3,0),"")</f>
        <v>Прочее</v>
      </c>
      <c r="D1933" s="22" t="s">
        <v>366</v>
      </c>
      <c r="E1933" s="102"/>
      <c r="F1933" s="102"/>
      <c r="G1933" s="48">
        <v>1</v>
      </c>
      <c r="H1933" s="48"/>
      <c r="I1933" s="49"/>
      <c r="J1933" s="49"/>
      <c r="K1933" s="19"/>
      <c r="L1933" s="20"/>
    </row>
    <row r="1934" spans="1:12" ht="31.5" outlineLevel="2">
      <c r="A1934" s="21"/>
      <c r="B1934" s="12" t="str">
        <f>IFERROR(VLOOKUP(D1934,'[1]Перечень товаров'!$A$2:$I9525,2,0),"")</f>
        <v>п32</v>
      </c>
      <c r="C1934" s="12" t="str">
        <f>IFERROR(VLOOKUP(D1934,'[1]Перечень товаров'!$A$2:$I9525,3,0),"")</f>
        <v>Прочее</v>
      </c>
      <c r="D1934" s="22" t="s">
        <v>367</v>
      </c>
      <c r="E1934" s="102"/>
      <c r="F1934" s="102"/>
      <c r="G1934" s="48">
        <v>2</v>
      </c>
      <c r="H1934" s="48"/>
      <c r="I1934" s="49"/>
      <c r="J1934" s="49"/>
      <c r="K1934" s="19"/>
      <c r="L1934" s="20"/>
    </row>
    <row r="1935" spans="1:12" ht="12.75" outlineLevel="1">
      <c r="A1935" s="11"/>
      <c r="B1935" s="12" t="str">
        <f>IFERROR(VLOOKUP(D1935,'[1]Перечень товаров'!$A$2:$I9525,2,0),"")</f>
        <v/>
      </c>
      <c r="C1935" s="12" t="str">
        <f>IFERROR(VLOOKUP(D1935,'[1]Перечень товаров'!$A$2:$I9525,3,0),"")</f>
        <v/>
      </c>
      <c r="D1935" s="27" t="s">
        <v>372</v>
      </c>
      <c r="E1935" s="99">
        <v>46029</v>
      </c>
      <c r="F1935" s="99"/>
      <c r="G1935" s="100"/>
      <c r="H1935" s="100"/>
      <c r="I1935" s="101"/>
      <c r="J1935" s="101"/>
      <c r="K1935" s="19"/>
      <c r="L1935" s="20"/>
    </row>
    <row r="1936" spans="1:12" outlineLevel="2">
      <c r="A1936" s="22"/>
      <c r="B1936" s="12" t="str">
        <f>IFERROR(VLOOKUP(D1936,'[1]Перечень товаров'!$A$2:$I9525,2,0),"")</f>
        <v>п25</v>
      </c>
      <c r="C1936" s="12" t="str">
        <f>IFERROR(VLOOKUP(D1936,'[1]Перечень товаров'!$A$2:$I9525,3,0),"")</f>
        <v>Прочее</v>
      </c>
      <c r="D1936" s="22" t="s">
        <v>360</v>
      </c>
      <c r="E1936" s="102"/>
      <c r="F1936" s="102"/>
      <c r="G1936" s="48">
        <v>3</v>
      </c>
      <c r="H1936" s="48"/>
      <c r="I1936" s="49"/>
      <c r="J1936" s="49"/>
      <c r="K1936" s="33"/>
      <c r="L1936" s="20"/>
    </row>
    <row r="1937" spans="1:12" outlineLevel="2">
      <c r="A1937" s="21"/>
      <c r="B1937" s="12" t="str">
        <f>IFERROR(VLOOKUP(D1937,'[1]Перечень товаров'!$A$2:$I9525,2,0),"")</f>
        <v>п26</v>
      </c>
      <c r="C1937" s="12" t="str">
        <f>IFERROR(VLOOKUP(D1937,'[1]Перечень товаров'!$A$2:$I9525,3,0),"")</f>
        <v>Прочее</v>
      </c>
      <c r="D1937" s="22" t="s">
        <v>361</v>
      </c>
      <c r="E1937" s="102"/>
      <c r="F1937" s="102"/>
      <c r="G1937" s="48">
        <v>2</v>
      </c>
      <c r="H1937" s="48"/>
      <c r="I1937" s="49"/>
      <c r="J1937" s="49"/>
      <c r="K1937" s="33"/>
      <c r="L1937" s="20"/>
    </row>
    <row r="1938" spans="1:12" outlineLevel="2">
      <c r="A1938" s="21"/>
      <c r="B1938" s="12" t="str">
        <f>IFERROR(VLOOKUP(D1938,'[1]Перечень товаров'!$A$2:$I9525,2,0),"")</f>
        <v>п27</v>
      </c>
      <c r="C1938" s="12" t="str">
        <f>IFERROR(VLOOKUP(D1938,'[1]Перечень товаров'!$A$2:$I9525,3,0),"")</f>
        <v>Прочее</v>
      </c>
      <c r="D1938" s="22" t="s">
        <v>362</v>
      </c>
      <c r="E1938" s="102"/>
      <c r="F1938" s="102"/>
      <c r="G1938" s="48">
        <v>2</v>
      </c>
      <c r="H1938" s="48"/>
      <c r="I1938" s="49"/>
      <c r="J1938" s="49"/>
      <c r="K1938" s="33"/>
      <c r="L1938" s="20"/>
    </row>
    <row r="1939" spans="1:12" outlineLevel="2">
      <c r="A1939" s="21"/>
      <c r="B1939" s="12" t="str">
        <f>IFERROR(VLOOKUP(D1939,'[1]Перечень товаров'!$A$2:$I9525,2,0),"")</f>
        <v>п28</v>
      </c>
      <c r="C1939" s="12" t="str">
        <f>IFERROR(VLOOKUP(D1939,'[1]Перечень товаров'!$A$2:$I9525,3,0),"")</f>
        <v>Прочее</v>
      </c>
      <c r="D1939" s="22" t="s">
        <v>363</v>
      </c>
      <c r="E1939" s="102"/>
      <c r="F1939" s="102"/>
      <c r="G1939" s="48">
        <v>1</v>
      </c>
      <c r="H1939" s="48"/>
      <c r="I1939" s="49"/>
      <c r="J1939" s="49"/>
      <c r="K1939" s="33"/>
      <c r="L1939" s="20"/>
    </row>
    <row r="1940" spans="1:12" outlineLevel="2">
      <c r="A1940" s="21"/>
      <c r="B1940" s="12" t="str">
        <f>IFERROR(VLOOKUP(D1940,'[1]Перечень товаров'!$A$2:$I9525,2,0),"")</f>
        <v>п29</v>
      </c>
      <c r="C1940" s="12" t="str">
        <f>IFERROR(VLOOKUP(D1940,'[1]Перечень товаров'!$A$2:$I9525,3,0),"")</f>
        <v>Прочее</v>
      </c>
      <c r="D1940" s="22" t="s">
        <v>364</v>
      </c>
      <c r="E1940" s="102"/>
      <c r="F1940" s="102"/>
      <c r="G1940" s="48">
        <v>6</v>
      </c>
      <c r="H1940" s="48"/>
      <c r="I1940" s="49"/>
      <c r="J1940" s="49"/>
      <c r="K1940" s="33"/>
      <c r="L1940" s="20"/>
    </row>
    <row r="1941" spans="1:12" outlineLevel="2">
      <c r="A1941" s="21"/>
      <c r="B1941" s="12" t="str">
        <f>IFERROR(VLOOKUP(D1941,'[1]Перечень товаров'!$A$2:$I9525,2,0),"")</f>
        <v>п30</v>
      </c>
      <c r="C1941" s="12" t="str">
        <f>IFERROR(VLOOKUP(D1941,'[1]Перечень товаров'!$A$2:$I9525,3,0),"")</f>
        <v>Прочее</v>
      </c>
      <c r="D1941" s="22" t="s">
        <v>365</v>
      </c>
      <c r="E1941" s="102"/>
      <c r="F1941" s="102"/>
      <c r="G1941" s="48">
        <v>2</v>
      </c>
      <c r="H1941" s="48"/>
      <c r="I1941" s="49"/>
      <c r="J1941" s="49"/>
      <c r="K1941" s="33"/>
      <c r="L1941" s="20"/>
    </row>
    <row r="1942" spans="1:12" ht="31.5" outlineLevel="2">
      <c r="A1942" s="21"/>
      <c r="B1942" s="12" t="str">
        <f>IFERROR(VLOOKUP(D1942,'[1]Перечень товаров'!$A$2:$I9525,2,0),"")</f>
        <v>п31</v>
      </c>
      <c r="C1942" s="12" t="str">
        <f>IFERROR(VLOOKUP(D1942,'[1]Перечень товаров'!$A$2:$I9525,3,0),"")</f>
        <v>Прочее</v>
      </c>
      <c r="D1942" s="22" t="s">
        <v>366</v>
      </c>
      <c r="E1942" s="102"/>
      <c r="F1942" s="102"/>
      <c r="G1942" s="48">
        <v>1</v>
      </c>
      <c r="H1942" s="48"/>
      <c r="I1942" s="49"/>
      <c r="J1942" s="49"/>
      <c r="K1942" s="33"/>
      <c r="L1942" s="20"/>
    </row>
    <row r="1943" spans="1:12" ht="31.5" outlineLevel="2">
      <c r="A1943" s="21"/>
      <c r="B1943" s="12" t="str">
        <f>IFERROR(VLOOKUP(D1943,'[1]Перечень товаров'!$A$2:$I9525,2,0),"")</f>
        <v>п32</v>
      </c>
      <c r="C1943" s="12" t="str">
        <f>IFERROR(VLOOKUP(D1943,'[1]Перечень товаров'!$A$2:$I9525,3,0),"")</f>
        <v>Прочее</v>
      </c>
      <c r="D1943" s="22" t="s">
        <v>367</v>
      </c>
      <c r="E1943" s="102"/>
      <c r="F1943" s="102"/>
      <c r="G1943" s="48">
        <v>2</v>
      </c>
      <c r="H1943" s="48"/>
      <c r="I1943" s="49"/>
      <c r="J1943" s="49"/>
      <c r="K1943" s="33"/>
      <c r="L1943" s="20"/>
    </row>
    <row r="1944" spans="1:12" outlineLevel="1">
      <c r="A1944" s="21"/>
      <c r="B1944" s="12" t="str">
        <f>IFERROR(VLOOKUP(D1944,'[1]Перечень товаров'!$A$2:$I9525,2,0),"")</f>
        <v/>
      </c>
      <c r="C1944" s="12" t="str">
        <f>IFERROR(VLOOKUP(D1944,'[1]Перечень товаров'!$A$2:$I9525,3,0),"")</f>
        <v/>
      </c>
      <c r="D1944" s="22" t="s">
        <v>653</v>
      </c>
      <c r="E1944" s="102">
        <v>46246</v>
      </c>
      <c r="F1944" s="102"/>
      <c r="G1944" s="103"/>
      <c r="H1944" s="103"/>
      <c r="I1944" s="104"/>
      <c r="J1944" s="104"/>
      <c r="K1944" s="19"/>
      <c r="L1944" s="20"/>
    </row>
    <row r="1945" spans="1:12" ht="12.75" outlineLevel="1">
      <c r="A1945" s="11"/>
      <c r="B1945" s="12" t="str">
        <f>IFERROR(VLOOKUP(D1945,'[1]Перечень товаров'!$A$2:$I9525,2,0),"")</f>
        <v/>
      </c>
      <c r="C1945" s="12" t="str">
        <f>IFERROR(VLOOKUP(D1945,'[1]Перечень товаров'!$A$2:$I9525,3,0),"")</f>
        <v/>
      </c>
      <c r="D1945" s="27" t="s">
        <v>359</v>
      </c>
      <c r="E1945" s="99">
        <v>46086</v>
      </c>
      <c r="F1945" s="99"/>
      <c r="G1945" s="100"/>
      <c r="H1945" s="100"/>
      <c r="I1945" s="101"/>
      <c r="J1945" s="101"/>
      <c r="K1945" s="19"/>
      <c r="L1945" s="20"/>
    </row>
    <row r="1946" spans="1:12" outlineLevel="2">
      <c r="A1946" s="22"/>
      <c r="B1946" s="12" t="str">
        <f>IFERROR(VLOOKUP(D1946,'[1]Перечень товаров'!$A$2:$I9525,2,0),"")</f>
        <v>п25</v>
      </c>
      <c r="C1946" s="12" t="str">
        <f>IFERROR(VLOOKUP(D1946,'[1]Перечень товаров'!$A$2:$I9525,3,0),"")</f>
        <v>Прочее</v>
      </c>
      <c r="D1946" s="22" t="s">
        <v>360</v>
      </c>
      <c r="E1946" s="102"/>
      <c r="F1946" s="102"/>
      <c r="G1946" s="48">
        <v>3</v>
      </c>
      <c r="H1946" s="48"/>
      <c r="I1946" s="49"/>
      <c r="J1946" s="49"/>
      <c r="K1946" s="33"/>
      <c r="L1946" s="20"/>
    </row>
    <row r="1947" spans="1:12" outlineLevel="2">
      <c r="A1947" s="21"/>
      <c r="B1947" s="12" t="str">
        <f>IFERROR(VLOOKUP(D1947,'[1]Перечень товаров'!$A$2:$I9525,2,0),"")</f>
        <v>п26</v>
      </c>
      <c r="C1947" s="12" t="str">
        <f>IFERROR(VLOOKUP(D1947,'[1]Перечень товаров'!$A$2:$I9525,3,0),"")</f>
        <v>Прочее</v>
      </c>
      <c r="D1947" s="22" t="s">
        <v>361</v>
      </c>
      <c r="E1947" s="102"/>
      <c r="F1947" s="102"/>
      <c r="G1947" s="48">
        <v>2</v>
      </c>
      <c r="H1947" s="48"/>
      <c r="I1947" s="49"/>
      <c r="J1947" s="49"/>
      <c r="K1947" s="33"/>
      <c r="L1947" s="20"/>
    </row>
    <row r="1948" spans="1:12" outlineLevel="2">
      <c r="A1948" s="21"/>
      <c r="B1948" s="12" t="str">
        <f>IFERROR(VLOOKUP(D1948,'[1]Перечень товаров'!$A$2:$I9525,2,0),"")</f>
        <v>п27</v>
      </c>
      <c r="C1948" s="12" t="str">
        <f>IFERROR(VLOOKUP(D1948,'[1]Перечень товаров'!$A$2:$I9525,3,0),"")</f>
        <v>Прочее</v>
      </c>
      <c r="D1948" s="22" t="s">
        <v>362</v>
      </c>
      <c r="E1948" s="102"/>
      <c r="F1948" s="102"/>
      <c r="G1948" s="48">
        <v>2</v>
      </c>
      <c r="H1948" s="48"/>
      <c r="I1948" s="49"/>
      <c r="J1948" s="49"/>
      <c r="K1948" s="33"/>
      <c r="L1948" s="20"/>
    </row>
    <row r="1949" spans="1:12" outlineLevel="2">
      <c r="A1949" s="21"/>
      <c r="B1949" s="12" t="str">
        <f>IFERROR(VLOOKUP(D1949,'[1]Перечень товаров'!$A$2:$I9525,2,0),"")</f>
        <v>п28</v>
      </c>
      <c r="C1949" s="12" t="str">
        <f>IFERROR(VLOOKUP(D1949,'[1]Перечень товаров'!$A$2:$I9525,3,0),"")</f>
        <v>Прочее</v>
      </c>
      <c r="D1949" s="22" t="s">
        <v>363</v>
      </c>
      <c r="E1949" s="102"/>
      <c r="F1949" s="102"/>
      <c r="G1949" s="48">
        <v>1</v>
      </c>
      <c r="H1949" s="48"/>
      <c r="I1949" s="49"/>
      <c r="J1949" s="49"/>
      <c r="K1949" s="33"/>
      <c r="L1949" s="20"/>
    </row>
    <row r="1950" spans="1:12" outlineLevel="2">
      <c r="A1950" s="21"/>
      <c r="B1950" s="12" t="str">
        <f>IFERROR(VLOOKUP(D1950,'[1]Перечень товаров'!$A$2:$I9525,2,0),"")</f>
        <v>п29</v>
      </c>
      <c r="C1950" s="12" t="str">
        <f>IFERROR(VLOOKUP(D1950,'[1]Перечень товаров'!$A$2:$I9525,3,0),"")</f>
        <v>Прочее</v>
      </c>
      <c r="D1950" s="22" t="s">
        <v>364</v>
      </c>
      <c r="E1950" s="102"/>
      <c r="F1950" s="102"/>
      <c r="G1950" s="48">
        <v>6</v>
      </c>
      <c r="H1950" s="48"/>
      <c r="I1950" s="49"/>
      <c r="J1950" s="49"/>
      <c r="K1950" s="33"/>
      <c r="L1950" s="20"/>
    </row>
    <row r="1951" spans="1:12" outlineLevel="2">
      <c r="A1951" s="21"/>
      <c r="B1951" s="12" t="str">
        <f>IFERROR(VLOOKUP(D1951,'[1]Перечень товаров'!$A$2:$I9525,2,0),"")</f>
        <v>п30</v>
      </c>
      <c r="C1951" s="12" t="str">
        <f>IFERROR(VLOOKUP(D1951,'[1]Перечень товаров'!$A$2:$I9525,3,0),"")</f>
        <v>Прочее</v>
      </c>
      <c r="D1951" s="22" t="s">
        <v>365</v>
      </c>
      <c r="E1951" s="102"/>
      <c r="F1951" s="102"/>
      <c r="G1951" s="48">
        <v>2</v>
      </c>
      <c r="H1951" s="48"/>
      <c r="I1951" s="49"/>
      <c r="J1951" s="49"/>
      <c r="K1951" s="33"/>
      <c r="L1951" s="20"/>
    </row>
    <row r="1952" spans="1:12" ht="31.5" outlineLevel="2">
      <c r="A1952" s="21"/>
      <c r="B1952" s="12" t="str">
        <f>IFERROR(VLOOKUP(D1952,'[1]Перечень товаров'!$A$2:$I9525,2,0),"")</f>
        <v>п31</v>
      </c>
      <c r="C1952" s="12" t="str">
        <f>IFERROR(VLOOKUP(D1952,'[1]Перечень товаров'!$A$2:$I9525,3,0),"")</f>
        <v>Прочее</v>
      </c>
      <c r="D1952" s="22" t="s">
        <v>366</v>
      </c>
      <c r="E1952" s="102"/>
      <c r="F1952" s="102"/>
      <c r="G1952" s="48">
        <v>1</v>
      </c>
      <c r="H1952" s="48"/>
      <c r="I1952" s="49"/>
      <c r="J1952" s="49"/>
      <c r="K1952" s="33"/>
      <c r="L1952" s="20"/>
    </row>
    <row r="1953" spans="1:12" ht="31.5" outlineLevel="2">
      <c r="A1953" s="21"/>
      <c r="B1953" s="12" t="str">
        <f>IFERROR(VLOOKUP(D1953,'[1]Перечень товаров'!$A$2:$I9525,2,0),"")</f>
        <v>п32</v>
      </c>
      <c r="C1953" s="12" t="str">
        <f>IFERROR(VLOOKUP(D1953,'[1]Перечень товаров'!$A$2:$I9525,3,0),"")</f>
        <v>Прочее</v>
      </c>
      <c r="D1953" s="22" t="s">
        <v>367</v>
      </c>
      <c r="E1953" s="102"/>
      <c r="F1953" s="102"/>
      <c r="G1953" s="48">
        <v>2</v>
      </c>
      <c r="H1953" s="48"/>
      <c r="I1953" s="49"/>
      <c r="J1953" s="49"/>
      <c r="K1953" s="33"/>
      <c r="L1953" s="20"/>
    </row>
    <row r="1954" spans="1:12" ht="12.75" outlineLevel="1">
      <c r="A1954" s="11"/>
      <c r="B1954" s="12" t="str">
        <f>IFERROR(VLOOKUP(D1954,'[1]Перечень товаров'!$A$2:$I9525,2,0),"")</f>
        <v/>
      </c>
      <c r="C1954" s="12" t="str">
        <f>IFERROR(VLOOKUP(D1954,'[1]Перечень товаров'!$A$2:$I9525,3,0),"")</f>
        <v/>
      </c>
      <c r="D1954" s="27" t="s">
        <v>654</v>
      </c>
      <c r="E1954" s="99">
        <v>46184</v>
      </c>
      <c r="F1954" s="99"/>
      <c r="G1954" s="100"/>
      <c r="H1954" s="100"/>
      <c r="I1954" s="101"/>
      <c r="J1954" s="101"/>
      <c r="K1954" s="19"/>
      <c r="L1954" s="20"/>
    </row>
    <row r="1955" spans="1:12" outlineLevel="2">
      <c r="A1955" s="43"/>
      <c r="B1955" s="12" t="str">
        <f>IFERROR(VLOOKUP(D1955,'[1]Перечень товаров'!$A$2:$I9525,2,0),"")</f>
        <v>м193</v>
      </c>
      <c r="C1955" s="12" t="str">
        <f>IFERROR(VLOOKUP(D1955,'[1]Перечень товаров'!$A$2:$I9525,3,0),"")</f>
        <v>Мебель</v>
      </c>
      <c r="D1955" s="44" t="s">
        <v>655</v>
      </c>
      <c r="E1955" s="23"/>
      <c r="F1955" s="23"/>
      <c r="G1955" s="24">
        <v>5</v>
      </c>
      <c r="H1955" s="24"/>
      <c r="I1955" s="25"/>
      <c r="J1955" s="25"/>
      <c r="K1955" s="19"/>
      <c r="L1955" s="20"/>
    </row>
    <row r="1956" spans="1:12" outlineLevel="2">
      <c r="A1956" s="43"/>
      <c r="B1956" s="12" t="str">
        <f>IFERROR(VLOOKUP(D1956,'[1]Перечень товаров'!$A$2:$I9525,2,0),"")</f>
        <v>м194</v>
      </c>
      <c r="C1956" s="12" t="str">
        <f>IFERROR(VLOOKUP(D1956,'[1]Перечень товаров'!$A$2:$I9525,3,0),"")</f>
        <v>Мебель</v>
      </c>
      <c r="D1956" s="44" t="s">
        <v>656</v>
      </c>
      <c r="E1956" s="23"/>
      <c r="F1956" s="23"/>
      <c r="G1956" s="24">
        <v>2</v>
      </c>
      <c r="H1956" s="24"/>
      <c r="I1956" s="25"/>
      <c r="J1956" s="25"/>
      <c r="K1956" s="19"/>
      <c r="L1956" s="20"/>
    </row>
    <row r="1957" spans="1:12" outlineLevel="2">
      <c r="A1957" s="22"/>
      <c r="B1957" s="12" t="str">
        <f>IFERROR(VLOOKUP(D1957,'[1]Перечень товаров'!$A$2:$I9525,2,0),"")</f>
        <v>п25</v>
      </c>
      <c r="C1957" s="12" t="str">
        <f>IFERROR(VLOOKUP(D1957,'[1]Перечень товаров'!$A$2:$I9525,3,0),"")</f>
        <v>Прочее</v>
      </c>
      <c r="D1957" s="22" t="s">
        <v>360</v>
      </c>
      <c r="E1957" s="102"/>
      <c r="F1957" s="102"/>
      <c r="G1957" s="48">
        <v>2</v>
      </c>
      <c r="H1957" s="48"/>
      <c r="I1957" s="49"/>
      <c r="J1957" s="49"/>
      <c r="K1957" s="19"/>
      <c r="L1957" s="20"/>
    </row>
    <row r="1958" spans="1:12" outlineLevel="2">
      <c r="A1958" s="21"/>
      <c r="B1958" s="12" t="str">
        <f>IFERROR(VLOOKUP(D1958,'[1]Перечень товаров'!$A$2:$I9525,2,0),"")</f>
        <v>п28</v>
      </c>
      <c r="C1958" s="12" t="str">
        <f>IFERROR(VLOOKUP(D1958,'[1]Перечень товаров'!$A$2:$I9525,3,0),"")</f>
        <v>Прочее</v>
      </c>
      <c r="D1958" s="22" t="s">
        <v>363</v>
      </c>
      <c r="E1958" s="102"/>
      <c r="F1958" s="102"/>
      <c r="G1958" s="48">
        <v>1</v>
      </c>
      <c r="H1958" s="48"/>
      <c r="I1958" s="49"/>
      <c r="J1958" s="49"/>
      <c r="K1958" s="19"/>
      <c r="L1958" s="20"/>
    </row>
    <row r="1959" spans="1:12" ht="12.75" outlineLevel="1">
      <c r="A1959" s="11"/>
      <c r="B1959" s="12" t="str">
        <f>IFERROR(VLOOKUP(D1959,'[1]Перечень товаров'!$A$2:$I9525,2,0),"")</f>
        <v/>
      </c>
      <c r="C1959" s="12" t="str">
        <f>IFERROR(VLOOKUP(D1959,'[1]Перечень товаров'!$A$2:$I9525,3,0),"")</f>
        <v/>
      </c>
      <c r="D1959" s="27" t="s">
        <v>654</v>
      </c>
      <c r="E1959" s="99">
        <v>46215</v>
      </c>
      <c r="F1959" s="99"/>
      <c r="G1959" s="100"/>
      <c r="H1959" s="100"/>
      <c r="I1959" s="101"/>
      <c r="J1959" s="101"/>
      <c r="K1959" s="19"/>
      <c r="L1959" s="20"/>
    </row>
    <row r="1960" spans="1:12" outlineLevel="2">
      <c r="A1960" s="43"/>
      <c r="B1960" s="12" t="str">
        <f>IFERROR(VLOOKUP(D1960,'[1]Перечень товаров'!$A$2:$I9525,2,0),"")</f>
        <v>м193</v>
      </c>
      <c r="C1960" s="12" t="str">
        <f>IFERROR(VLOOKUP(D1960,'[1]Перечень товаров'!$A$2:$I9525,3,0),"")</f>
        <v>Мебель</v>
      </c>
      <c r="D1960" s="44" t="s">
        <v>655</v>
      </c>
      <c r="E1960" s="23"/>
      <c r="F1960" s="23"/>
      <c r="G1960" s="24">
        <v>6</v>
      </c>
      <c r="H1960" s="24"/>
      <c r="I1960" s="25"/>
      <c r="J1960" s="25"/>
      <c r="K1960" s="19"/>
      <c r="L1960" s="20"/>
    </row>
    <row r="1961" spans="1:12" outlineLevel="2">
      <c r="A1961" s="43"/>
      <c r="B1961" s="12" t="str">
        <f>IFERROR(VLOOKUP(D1961,'[1]Перечень товаров'!$A$2:$I9525,2,0),"")</f>
        <v>м194</v>
      </c>
      <c r="C1961" s="12" t="str">
        <f>IFERROR(VLOOKUP(D1961,'[1]Перечень товаров'!$A$2:$I9525,3,0),"")</f>
        <v>Мебель</v>
      </c>
      <c r="D1961" s="44" t="s">
        <v>656</v>
      </c>
      <c r="E1961" s="23"/>
      <c r="F1961" s="23"/>
      <c r="G1961" s="24">
        <v>2</v>
      </c>
      <c r="H1961" s="24"/>
      <c r="I1961" s="25"/>
      <c r="J1961" s="25"/>
      <c r="K1961" s="19"/>
      <c r="L1961" s="20"/>
    </row>
    <row r="1962" spans="1:12" outlineLevel="2">
      <c r="A1962" s="22"/>
      <c r="B1962" s="12" t="str">
        <f>IFERROR(VLOOKUP(D1962,'[1]Перечень товаров'!$A$2:$I9525,2,0),"")</f>
        <v>п25</v>
      </c>
      <c r="C1962" s="12" t="str">
        <f>IFERROR(VLOOKUP(D1962,'[1]Перечень товаров'!$A$2:$I9525,3,0),"")</f>
        <v>Прочее</v>
      </c>
      <c r="D1962" s="22" t="s">
        <v>360</v>
      </c>
      <c r="E1962" s="102"/>
      <c r="F1962" s="102"/>
      <c r="G1962" s="48">
        <v>2</v>
      </c>
      <c r="H1962" s="48"/>
      <c r="I1962" s="49"/>
      <c r="J1962" s="49"/>
      <c r="K1962" s="19"/>
      <c r="L1962" s="20"/>
    </row>
    <row r="1963" spans="1:12" outlineLevel="2">
      <c r="A1963" s="21"/>
      <c r="B1963" s="12" t="str">
        <f>IFERROR(VLOOKUP(D1963,'[1]Перечень товаров'!$A$2:$I9525,2,0),"")</f>
        <v>п28</v>
      </c>
      <c r="C1963" s="12" t="str">
        <f>IFERROR(VLOOKUP(D1963,'[1]Перечень товаров'!$A$2:$I9525,3,0),"")</f>
        <v>Прочее</v>
      </c>
      <c r="D1963" s="22" t="s">
        <v>363</v>
      </c>
      <c r="E1963" s="102"/>
      <c r="F1963" s="102"/>
      <c r="G1963" s="48">
        <v>1</v>
      </c>
      <c r="H1963" s="48"/>
      <c r="I1963" s="49"/>
      <c r="J1963" s="49"/>
      <c r="K1963" s="19"/>
      <c r="L1963" s="20"/>
    </row>
    <row r="1964" spans="1:12" ht="12.75" outlineLevel="1">
      <c r="A1964" s="11"/>
      <c r="B1964" s="12" t="str">
        <f>IFERROR(VLOOKUP(D1964,'[1]Перечень товаров'!$A$2:$I9525,2,0),"")</f>
        <v/>
      </c>
      <c r="C1964" s="12" t="str">
        <f>IFERROR(VLOOKUP(D1964,'[1]Перечень товаров'!$A$2:$I9525,3,0),"")</f>
        <v/>
      </c>
      <c r="D1964" s="27" t="s">
        <v>657</v>
      </c>
      <c r="E1964" s="14" t="s">
        <v>658</v>
      </c>
      <c r="F1964" s="14"/>
      <c r="G1964" s="174" t="s">
        <v>659</v>
      </c>
      <c r="H1964" s="175"/>
      <c r="I1964" s="176"/>
      <c r="J1964" s="176"/>
      <c r="K1964" s="19"/>
      <c r="L1964" s="20"/>
    </row>
    <row r="1965" spans="1:12" outlineLevel="2">
      <c r="A1965" s="21"/>
      <c r="B1965" s="12" t="str">
        <f>IFERROR(VLOOKUP(D1965,'[1]Перечень товаров'!$A$2:$I9525,2,0),"")</f>
        <v>м195</v>
      </c>
      <c r="C1965" s="12" t="str">
        <f>IFERROR(VLOOKUP(D1965,'[1]Перечень товаров'!$A$2:$I9525,3,0),"")</f>
        <v>Мебель</v>
      </c>
      <c r="D1965" s="22" t="s">
        <v>660</v>
      </c>
      <c r="E1965" s="23"/>
      <c r="F1965" s="23"/>
      <c r="G1965" s="24">
        <v>4</v>
      </c>
      <c r="H1965" s="24"/>
      <c r="I1965" s="25"/>
      <c r="J1965" s="25"/>
      <c r="K1965" s="19"/>
      <c r="L1965" s="20"/>
    </row>
    <row r="1966" spans="1:12" ht="31.5" outlineLevel="2">
      <c r="A1966" s="21"/>
      <c r="B1966" s="12" t="str">
        <f>IFERROR(VLOOKUP(D1966,'[1]Перечень товаров'!$A$2:$I9525,2,0),"")</f>
        <v>м196</v>
      </c>
      <c r="C1966" s="12" t="str">
        <f>IFERROR(VLOOKUP(D1966,'[1]Перечень товаров'!$A$2:$I9525,3,0),"")</f>
        <v>Мебель</v>
      </c>
      <c r="D1966" s="22" t="s">
        <v>661</v>
      </c>
      <c r="E1966" s="23"/>
      <c r="F1966" s="23"/>
      <c r="G1966" s="24">
        <v>4</v>
      </c>
      <c r="H1966" s="24"/>
      <c r="I1966" s="25"/>
      <c r="J1966" s="25"/>
      <c r="K1966" s="19"/>
      <c r="L1966" s="20"/>
    </row>
    <row r="1967" spans="1:12" ht="31.5" outlineLevel="2">
      <c r="A1967" s="21"/>
      <c r="B1967" s="12" t="str">
        <f>IFERROR(VLOOKUP(D1967,'[1]Перечень товаров'!$A$2:$I9525,2,0),"")</f>
        <v>м197</v>
      </c>
      <c r="C1967" s="12" t="str">
        <f>IFERROR(VLOOKUP(D1967,'[1]Перечень товаров'!$A$2:$I9525,3,0),"")</f>
        <v>Мебель</v>
      </c>
      <c r="D1967" s="22" t="s">
        <v>662</v>
      </c>
      <c r="E1967" s="23"/>
      <c r="F1967" s="23"/>
      <c r="G1967" s="24">
        <v>5</v>
      </c>
      <c r="H1967" s="24"/>
      <c r="I1967" s="25"/>
      <c r="J1967" s="25"/>
      <c r="K1967" s="19"/>
      <c r="L1967" s="20"/>
    </row>
    <row r="1968" spans="1:12" ht="31.5" outlineLevel="2">
      <c r="A1968" s="21"/>
      <c r="B1968" s="12" t="str">
        <f>IFERROR(VLOOKUP(D1968,'[1]Перечень товаров'!$A$2:$I9525,2,0),"")</f>
        <v>м198</v>
      </c>
      <c r="C1968" s="12" t="str">
        <f>IFERROR(VLOOKUP(D1968,'[1]Перечень товаров'!$A$2:$I9525,3,0),"")</f>
        <v>Мебель</v>
      </c>
      <c r="D1968" s="22" t="s">
        <v>663</v>
      </c>
      <c r="E1968" s="23"/>
      <c r="F1968" s="23"/>
      <c r="G1968" s="24">
        <v>4</v>
      </c>
      <c r="H1968" s="24"/>
      <c r="I1968" s="25"/>
      <c r="J1968" s="25"/>
      <c r="K1968" s="19"/>
      <c r="L1968" s="20"/>
    </row>
    <row r="1969" spans="1:12" outlineLevel="2">
      <c r="A1969" s="177"/>
      <c r="B1969" s="12" t="str">
        <f>IFERROR(VLOOKUP(D1969,'[1]Перечень товаров'!$A$2:$I9525,2,0),"")</f>
        <v>д11</v>
      </c>
      <c r="C1969" s="12" t="str">
        <f>IFERROR(VLOOKUP(D1969,'[1]Перечень товаров'!$A$2:$I9525,3,0),"")</f>
        <v>Дидактика</v>
      </c>
      <c r="D1969" s="178" t="s">
        <v>664</v>
      </c>
      <c r="E1969" s="23" t="s">
        <v>534</v>
      </c>
      <c r="F1969" s="23"/>
      <c r="G1969" s="24">
        <v>10</v>
      </c>
      <c r="H1969" s="24"/>
      <c r="I1969" s="25"/>
      <c r="J1969" s="25"/>
      <c r="K1969" s="19"/>
      <c r="L1969" s="20"/>
    </row>
    <row r="1970" spans="1:12" outlineLevel="2">
      <c r="A1970" s="177"/>
      <c r="B1970" s="12" t="str">
        <f>IFERROR(VLOOKUP(D1970,'[1]Перечень товаров'!$A$2:$I9525,2,0),"")</f>
        <v>д12</v>
      </c>
      <c r="C1970" s="12" t="str">
        <f>IFERROR(VLOOKUP(D1970,'[1]Перечень товаров'!$A$2:$I9525,3,0),"")</f>
        <v>Дидактика</v>
      </c>
      <c r="D1970" s="178" t="s">
        <v>665</v>
      </c>
      <c r="E1970" s="23" t="s">
        <v>534</v>
      </c>
      <c r="F1970" s="23"/>
      <c r="G1970" s="24">
        <v>10</v>
      </c>
      <c r="H1970" s="24"/>
      <c r="I1970" s="25"/>
      <c r="J1970" s="25"/>
      <c r="K1970" s="19"/>
      <c r="L1970" s="20"/>
    </row>
    <row r="1971" spans="1:12" outlineLevel="2">
      <c r="A1971" s="177"/>
      <c r="B1971" s="12" t="str">
        <f>IFERROR(VLOOKUP(D1971,'[1]Перечень товаров'!$A$2:$I9525,2,0),"")</f>
        <v>п51</v>
      </c>
      <c r="C1971" s="12" t="str">
        <f>IFERROR(VLOOKUP(D1971,'[1]Перечень товаров'!$A$2:$I9525,3,0),"")</f>
        <v>Прочее</v>
      </c>
      <c r="D1971" s="178" t="s">
        <v>666</v>
      </c>
      <c r="E1971" s="23" t="s">
        <v>534</v>
      </c>
      <c r="F1971" s="23"/>
      <c r="G1971" s="24">
        <v>15</v>
      </c>
      <c r="H1971" s="24"/>
      <c r="I1971" s="25"/>
      <c r="J1971" s="25"/>
      <c r="K1971" s="19"/>
      <c r="L1971" s="20"/>
    </row>
    <row r="1972" spans="1:12" ht="12.75" outlineLevel="1">
      <c r="A1972" s="11"/>
      <c r="B1972" s="12" t="str">
        <f>IFERROR(VLOOKUP(D1972,'[1]Перечень товаров'!$A$2:$I9525,2,0),"")</f>
        <v/>
      </c>
      <c r="C1972" s="12" t="str">
        <f>IFERROR(VLOOKUP(D1972,'[1]Перечень товаров'!$A$2:$I9525,3,0),"")</f>
        <v/>
      </c>
      <c r="D1972" s="27" t="s">
        <v>667</v>
      </c>
      <c r="E1972" s="99">
        <v>46135</v>
      </c>
      <c r="F1972" s="99"/>
      <c r="G1972" s="100"/>
      <c r="H1972" s="100"/>
      <c r="I1972" s="101"/>
      <c r="J1972" s="101"/>
      <c r="K1972" s="19"/>
      <c r="L1972" s="20"/>
    </row>
    <row r="1973" spans="1:12" ht="30" outlineLevel="2">
      <c r="A1973" s="179"/>
      <c r="B1973" s="12" t="str">
        <f>IFERROR(VLOOKUP(D1973,'[1]Перечень товаров'!$A$2:$I9525,2,0),"")</f>
        <v/>
      </c>
      <c r="C1973" s="12" t="str">
        <f>IFERROR(VLOOKUP(D1973,'[1]Перечень товаров'!$A$2:$I9525,3,0),"")</f>
        <v/>
      </c>
      <c r="D1973" s="180" t="s">
        <v>668</v>
      </c>
      <c r="E1973" s="107"/>
      <c r="F1973" s="107"/>
      <c r="G1973" s="100"/>
      <c r="H1973" s="100"/>
      <c r="I1973" s="101"/>
      <c r="J1973" s="101"/>
      <c r="K1973" s="19"/>
      <c r="L1973" s="20"/>
    </row>
    <row r="1974" spans="1:12" outlineLevel="2">
      <c r="A1974" s="43"/>
      <c r="B1974" s="12" t="str">
        <f>IFERROR(VLOOKUP(D1974,'[1]Перечень товаров'!$A$2:$I9525,2,0),"")</f>
        <v>т9</v>
      </c>
      <c r="C1974" s="12" t="str">
        <f>IFERROR(VLOOKUP(D1974,'[1]Перечень товаров'!$A$2:$I9525,3,0),"")</f>
        <v>Техника</v>
      </c>
      <c r="D1974" s="44" t="s">
        <v>36</v>
      </c>
      <c r="E1974" s="102"/>
      <c r="F1974" s="102"/>
      <c r="G1974" s="24">
        <v>1</v>
      </c>
      <c r="H1974" s="24"/>
      <c r="I1974" s="25"/>
      <c r="J1974" s="25"/>
      <c r="K1974" s="19"/>
      <c r="L1974" s="20"/>
    </row>
    <row r="1975" spans="1:12" ht="63" outlineLevel="2">
      <c r="A1975" s="21"/>
      <c r="B1975" s="12" t="str">
        <f>IFERROR(VLOOKUP(D1975,'[1]Перечень товаров'!$A$2:$I9525,2,0),"")</f>
        <v>т222</v>
      </c>
      <c r="C1975" s="12" t="str">
        <f>IFERROR(VLOOKUP(D1975,'[1]Перечень товаров'!$A$2:$I9525,3,0),"")</f>
        <v>Техника</v>
      </c>
      <c r="D1975" s="22" t="s">
        <v>669</v>
      </c>
      <c r="E1975" s="102"/>
      <c r="F1975" s="102"/>
      <c r="G1975" s="24">
        <v>1</v>
      </c>
      <c r="H1975" s="24"/>
      <c r="I1975" s="25"/>
      <c r="J1975" s="25"/>
      <c r="K1975" s="19"/>
      <c r="L1975" s="20"/>
    </row>
    <row r="1976" spans="1:12" outlineLevel="2">
      <c r="A1976" s="43"/>
      <c r="B1976" s="12" t="str">
        <f>IFERROR(VLOOKUP(D1976,'[1]Перечень товаров'!$A$2:$I9525,2,0),"")</f>
        <v>т223</v>
      </c>
      <c r="C1976" s="12" t="str">
        <f>IFERROR(VLOOKUP(D1976,'[1]Перечень товаров'!$A$2:$I9525,3,0),"")</f>
        <v>Техника</v>
      </c>
      <c r="D1976" s="44" t="s">
        <v>670</v>
      </c>
      <c r="E1976" s="102"/>
      <c r="F1976" s="102"/>
      <c r="G1976" s="24">
        <v>1</v>
      </c>
      <c r="H1976" s="24"/>
      <c r="I1976" s="25"/>
      <c r="J1976" s="25"/>
      <c r="K1976" s="19"/>
      <c r="L1976" s="20"/>
    </row>
    <row r="1977" spans="1:12" ht="31.5" outlineLevel="2">
      <c r="A1977" s="21"/>
      <c r="B1977" s="12" t="str">
        <f>IFERROR(VLOOKUP(D1977,'[1]Перечень товаров'!$A$2:$I9525,2,0),"")</f>
        <v>т224</v>
      </c>
      <c r="C1977" s="12" t="str">
        <f>IFERROR(VLOOKUP(D1977,'[1]Перечень товаров'!$A$2:$I9525,3,0),"")</f>
        <v>Техника</v>
      </c>
      <c r="D1977" s="22" t="s">
        <v>671</v>
      </c>
      <c r="E1977" s="102"/>
      <c r="F1977" s="102"/>
      <c r="G1977" s="24">
        <v>1</v>
      </c>
      <c r="H1977" s="24"/>
      <c r="I1977" s="25"/>
      <c r="J1977" s="25"/>
      <c r="K1977" s="19"/>
      <c r="L1977" s="20"/>
    </row>
    <row r="1978" spans="1:12" outlineLevel="2">
      <c r="A1978" s="21"/>
      <c r="B1978" s="12" t="str">
        <f>IFERROR(VLOOKUP(D1978,'[1]Перечень товаров'!$A$2:$I9525,2,0),"")</f>
        <v>т7</v>
      </c>
      <c r="C1978" s="12" t="str">
        <f>IFERROR(VLOOKUP(D1978,'[1]Перечень товаров'!$A$2:$I9525,3,0),"")</f>
        <v xml:space="preserve">Техника </v>
      </c>
      <c r="D1978" s="22" t="s">
        <v>34</v>
      </c>
      <c r="E1978" s="102"/>
      <c r="F1978" s="102"/>
      <c r="G1978" s="24">
        <v>4</v>
      </c>
      <c r="H1978" s="24"/>
      <c r="I1978" s="25"/>
      <c r="J1978" s="25"/>
      <c r="K1978" s="19"/>
      <c r="L1978" s="20"/>
    </row>
    <row r="1979" spans="1:12" ht="15" outlineLevel="2">
      <c r="A1979" s="181"/>
      <c r="B1979" s="12" t="str">
        <f>IFERROR(VLOOKUP(D1979,'[1]Перечень товаров'!$A$2:$I9525,2,0),"")</f>
        <v/>
      </c>
      <c r="C1979" s="12" t="str">
        <f>IFERROR(VLOOKUP(D1979,'[1]Перечень товаров'!$A$2:$I9525,3,0),"")</f>
        <v/>
      </c>
      <c r="D1979" s="182" t="s">
        <v>19</v>
      </c>
      <c r="E1979" s="107"/>
      <c r="F1979" s="107"/>
      <c r="G1979" s="100"/>
      <c r="H1979" s="100"/>
      <c r="I1979" s="101"/>
      <c r="J1979" s="101"/>
      <c r="K1979" s="19"/>
      <c r="L1979" s="20"/>
    </row>
    <row r="1980" spans="1:12" outlineLevel="2">
      <c r="A1980" s="43"/>
      <c r="B1980" s="12" t="str">
        <f>IFERROR(VLOOKUP(D1980,'[1]Перечень товаров'!$A$2:$I9525,2,0),"")</f>
        <v>м199</v>
      </c>
      <c r="C1980" s="12" t="str">
        <f>IFERROR(VLOOKUP(D1980,'[1]Перечень товаров'!$A$2:$I9525,3,0),"")</f>
        <v>Мебель</v>
      </c>
      <c r="D1980" s="44" t="s">
        <v>672</v>
      </c>
      <c r="E1980" s="102"/>
      <c r="F1980" s="102"/>
      <c r="G1980" s="24">
        <v>1</v>
      </c>
      <c r="H1980" s="24"/>
      <c r="I1980" s="25"/>
      <c r="J1980" s="25"/>
      <c r="K1980" s="19"/>
      <c r="L1980" s="20"/>
    </row>
    <row r="1981" spans="1:12" ht="31.5" outlineLevel="2">
      <c r="A1981" s="21"/>
      <c r="B1981" s="12" t="str">
        <f>IFERROR(VLOOKUP(D1981,'[1]Перечень товаров'!$A$2:$I9525,2,0),"")</f>
        <v>м200</v>
      </c>
      <c r="C1981" s="12" t="str">
        <f>IFERROR(VLOOKUP(D1981,'[1]Перечень товаров'!$A$2:$I9525,3,0),"")</f>
        <v>Мебель</v>
      </c>
      <c r="D1981" s="22" t="s">
        <v>673</v>
      </c>
      <c r="E1981" s="102"/>
      <c r="F1981" s="102"/>
      <c r="G1981" s="24">
        <v>1</v>
      </c>
      <c r="H1981" s="24"/>
      <c r="I1981" s="25"/>
      <c r="J1981" s="25"/>
      <c r="K1981" s="19"/>
      <c r="L1981" s="20"/>
    </row>
    <row r="1982" spans="1:12" outlineLevel="2">
      <c r="A1982" s="43"/>
      <c r="B1982" s="12" t="str">
        <f>IFERROR(VLOOKUP(D1982,'[1]Перечень товаров'!$A$2:$I9525,2,0),"")</f>
        <v>м201</v>
      </c>
      <c r="C1982" s="12" t="str">
        <f>IFERROR(VLOOKUP(D1982,'[1]Перечень товаров'!$A$2:$I9525,3,0),"")</f>
        <v>Мебель</v>
      </c>
      <c r="D1982" s="44" t="s">
        <v>674</v>
      </c>
      <c r="E1982" s="102"/>
      <c r="F1982" s="102"/>
      <c r="G1982" s="24">
        <v>2</v>
      </c>
      <c r="H1982" s="24"/>
      <c r="I1982" s="25"/>
      <c r="J1982" s="25"/>
      <c r="K1982" s="19"/>
      <c r="L1982" s="20"/>
    </row>
    <row r="1983" spans="1:12" outlineLevel="2">
      <c r="A1983" s="183"/>
      <c r="B1983" s="12" t="str">
        <f>IFERROR(VLOOKUP(D1983,'[1]Перечень товаров'!$A$2:$I9525,2,0),"")</f>
        <v/>
      </c>
      <c r="C1983" s="12" t="str">
        <f>IFERROR(VLOOKUP(D1983,'[1]Перечень товаров'!$A$2:$I9525,3,0),"")</f>
        <v/>
      </c>
      <c r="D1983" s="184" t="s">
        <v>675</v>
      </c>
      <c r="E1983" s="185"/>
      <c r="F1983" s="185"/>
      <c r="G1983" s="186"/>
      <c r="H1983" s="186"/>
      <c r="I1983" s="187"/>
      <c r="J1983" s="187"/>
      <c r="K1983" s="19"/>
      <c r="L1983" s="20"/>
    </row>
    <row r="1984" spans="1:12" outlineLevel="2">
      <c r="A1984" s="43"/>
      <c r="B1984" s="12" t="str">
        <f>IFERROR(VLOOKUP(D1984,'[1]Перечень товаров'!$A$2:$I9525,2,0),"")</f>
        <v>м202</v>
      </c>
      <c r="C1984" s="12" t="str">
        <f>IFERROR(VLOOKUP(D1984,'[1]Перечень товаров'!$A$2:$I9525,3,0),"")</f>
        <v>Мебель</v>
      </c>
      <c r="D1984" s="44" t="s">
        <v>676</v>
      </c>
      <c r="E1984" s="102"/>
      <c r="F1984" s="102"/>
      <c r="G1984" s="24">
        <v>1</v>
      </c>
      <c r="H1984" s="24"/>
      <c r="I1984" s="25"/>
      <c r="J1984" s="25"/>
      <c r="K1984" s="19"/>
      <c r="L1984" s="20"/>
    </row>
    <row r="1985" spans="1:12" outlineLevel="2">
      <c r="A1985" s="43"/>
      <c r="B1985" s="12" t="str">
        <f>IFERROR(VLOOKUP(D1985,'[1]Перечень товаров'!$A$2:$I9525,2,0),"")</f>
        <v>п52</v>
      </c>
      <c r="C1985" s="12" t="str">
        <f>IFERROR(VLOOKUP(D1985,'[1]Перечень товаров'!$A$2:$I9525,3,0),"")</f>
        <v>Прочее</v>
      </c>
      <c r="D1985" s="44" t="s">
        <v>677</v>
      </c>
      <c r="E1985" s="102"/>
      <c r="F1985" s="102"/>
      <c r="G1985" s="24">
        <v>1</v>
      </c>
      <c r="H1985" s="24"/>
      <c r="I1985" s="25"/>
      <c r="J1985" s="25"/>
      <c r="K1985" s="19"/>
      <c r="L1985" s="20"/>
    </row>
    <row r="1986" spans="1:12" outlineLevel="2">
      <c r="A1986" s="43"/>
      <c r="B1986" s="12" t="str">
        <f>IFERROR(VLOOKUP(D1986,'[1]Перечень товаров'!$A$2:$I9525,2,0),"")</f>
        <v>т225</v>
      </c>
      <c r="C1986" s="12" t="str">
        <f>IFERROR(VLOOKUP(D1986,'[1]Перечень товаров'!$A$2:$I9525,3,0),"")</f>
        <v>Техника</v>
      </c>
      <c r="D1986" s="44" t="s">
        <v>678</v>
      </c>
      <c r="E1986" s="102"/>
      <c r="F1986" s="102"/>
      <c r="G1986" s="24">
        <v>1</v>
      </c>
      <c r="H1986" s="24"/>
      <c r="I1986" s="25"/>
      <c r="J1986" s="25"/>
      <c r="K1986" s="19"/>
      <c r="L1986" s="20"/>
    </row>
    <row r="1987" spans="1:12" outlineLevel="2">
      <c r="A1987" s="43"/>
      <c r="B1987" s="12" t="str">
        <f>IFERROR(VLOOKUP(D1987,'[1]Перечень товаров'!$A$2:$I9525,2,0),"")</f>
        <v>т226</v>
      </c>
      <c r="C1987" s="12" t="str">
        <f>IFERROR(VLOOKUP(D1987,'[1]Перечень товаров'!$A$2:$I9525,3,0),"")</f>
        <v>Техника</v>
      </c>
      <c r="D1987" s="44" t="s">
        <v>679</v>
      </c>
      <c r="E1987" s="102"/>
      <c r="F1987" s="102"/>
      <c r="G1987" s="24">
        <v>1</v>
      </c>
      <c r="H1987" s="24"/>
      <c r="I1987" s="25"/>
      <c r="J1987" s="25"/>
      <c r="K1987" s="19"/>
      <c r="L1987" s="20"/>
    </row>
    <row r="1988" spans="1:12" outlineLevel="2">
      <c r="A1988" s="43"/>
      <c r="B1988" s="12" t="str">
        <f>IFERROR(VLOOKUP(D1988,'[1]Перечень товаров'!$A$2:$I9525,2,0),"")</f>
        <v>т227</v>
      </c>
      <c r="C1988" s="12" t="str">
        <f>IFERROR(VLOOKUP(D1988,'[1]Перечень товаров'!$A$2:$I9525,3,0),"")</f>
        <v>Техника</v>
      </c>
      <c r="D1988" s="44" t="s">
        <v>680</v>
      </c>
      <c r="E1988" s="102"/>
      <c r="F1988" s="102"/>
      <c r="G1988" s="24">
        <v>1</v>
      </c>
      <c r="H1988" s="24"/>
      <c r="I1988" s="25"/>
      <c r="J1988" s="25"/>
      <c r="K1988" s="19"/>
      <c r="L1988" s="20"/>
    </row>
    <row r="1989" spans="1:12" outlineLevel="2">
      <c r="A1989" s="43"/>
      <c r="B1989" s="12" t="str">
        <f>IFERROR(VLOOKUP(D1989,'[1]Перечень товаров'!$A$2:$I9525,2,0),"")</f>
        <v>т228</v>
      </c>
      <c r="C1989" s="12" t="str">
        <f>IFERROR(VLOOKUP(D1989,'[1]Перечень товаров'!$A$2:$I9525,3,0),"")</f>
        <v>Техника</v>
      </c>
      <c r="D1989" s="44" t="s">
        <v>681</v>
      </c>
      <c r="E1989" s="102"/>
      <c r="F1989" s="102"/>
      <c r="G1989" s="24">
        <v>1</v>
      </c>
      <c r="H1989" s="24"/>
      <c r="I1989" s="25"/>
      <c r="J1989" s="25"/>
      <c r="K1989" s="19"/>
      <c r="L1989" s="20"/>
    </row>
    <row r="1990" spans="1:12" outlineLevel="2">
      <c r="A1990" s="43"/>
      <c r="B1990" s="12" t="str">
        <f>IFERROR(VLOOKUP(D1990,'[1]Перечень товаров'!$A$2:$I9525,2,0),"")</f>
        <v>м203</v>
      </c>
      <c r="C1990" s="12" t="str">
        <f>IFERROR(VLOOKUP(D1990,'[1]Перечень товаров'!$A$2:$I9525,3,0),"")</f>
        <v>Мебель</v>
      </c>
      <c r="D1990" s="44" t="s">
        <v>682</v>
      </c>
      <c r="E1990" s="102"/>
      <c r="F1990" s="102"/>
      <c r="G1990" s="24">
        <v>1</v>
      </c>
      <c r="H1990" s="24"/>
      <c r="I1990" s="25"/>
      <c r="J1990" s="25"/>
      <c r="K1990" s="19"/>
      <c r="L1990" s="20"/>
    </row>
    <row r="1991" spans="1:12" outlineLevel="2">
      <c r="A1991" s="43"/>
      <c r="B1991" s="12" t="str">
        <f>IFERROR(VLOOKUP(D1991,'[1]Перечень товаров'!$A$2:$I9525,2,0),"")</f>
        <v>т229</v>
      </c>
      <c r="C1991" s="12" t="str">
        <f>IFERROR(VLOOKUP(D1991,'[1]Перечень товаров'!$A$2:$I9525,3,0),"")</f>
        <v>Техника</v>
      </c>
      <c r="D1991" s="44" t="s">
        <v>683</v>
      </c>
      <c r="E1991" s="102"/>
      <c r="F1991" s="102"/>
      <c r="G1991" s="24">
        <v>1</v>
      </c>
      <c r="H1991" s="24"/>
      <c r="I1991" s="25"/>
      <c r="J1991" s="25"/>
      <c r="K1991" s="19"/>
      <c r="L1991" s="20"/>
    </row>
    <row r="1992" spans="1:12" outlineLevel="2">
      <c r="A1992" s="43"/>
      <c r="B1992" s="12" t="str">
        <f>IFERROR(VLOOKUP(D1992,'[1]Перечень товаров'!$A$2:$I9525,2,0),"")</f>
        <v>т230</v>
      </c>
      <c r="C1992" s="12" t="str">
        <f>IFERROR(VLOOKUP(D1992,'[1]Перечень товаров'!$A$2:$I9525,3,0),"")</f>
        <v>Техника</v>
      </c>
      <c r="D1992" s="44" t="s">
        <v>684</v>
      </c>
      <c r="E1992" s="102"/>
      <c r="F1992" s="102"/>
      <c r="G1992" s="24">
        <v>1</v>
      </c>
      <c r="H1992" s="24"/>
      <c r="I1992" s="25"/>
      <c r="J1992" s="25"/>
      <c r="K1992" s="19"/>
      <c r="L1992" s="20"/>
    </row>
    <row r="1993" spans="1:12" outlineLevel="2">
      <c r="A1993" s="43"/>
      <c r="B1993" s="12" t="str">
        <f>IFERROR(VLOOKUP(D1993,'[1]Перечень товаров'!$A$2:$I9525,2,0),"")</f>
        <v>п53</v>
      </c>
      <c r="C1993" s="12" t="str">
        <f>IFERROR(VLOOKUP(D1993,'[1]Перечень товаров'!$A$2:$I9525,3,0),"")</f>
        <v>Прочее</v>
      </c>
      <c r="D1993" s="44" t="s">
        <v>685</v>
      </c>
      <c r="E1993" s="102"/>
      <c r="F1993" s="102"/>
      <c r="G1993" s="24">
        <v>12</v>
      </c>
      <c r="H1993" s="24"/>
      <c r="I1993" s="25"/>
      <c r="J1993" s="25"/>
      <c r="K1993" s="19"/>
      <c r="L1993" s="20"/>
    </row>
    <row r="1994" spans="1:12" outlineLevel="2">
      <c r="A1994" s="43"/>
      <c r="B1994" s="12" t="str">
        <f>IFERROR(VLOOKUP(D1994,'[1]Перечень товаров'!$A$2:$I9525,2,0),"")</f>
        <v>п54</v>
      </c>
      <c r="C1994" s="12" t="str">
        <f>IFERROR(VLOOKUP(D1994,'[1]Перечень товаров'!$A$2:$I9525,3,0),"")</f>
        <v>Прочее</v>
      </c>
      <c r="D1994" s="44" t="s">
        <v>686</v>
      </c>
      <c r="E1994" s="102"/>
      <c r="F1994" s="102"/>
      <c r="G1994" s="24">
        <v>2</v>
      </c>
      <c r="H1994" s="24"/>
      <c r="I1994" s="25"/>
      <c r="J1994" s="25"/>
      <c r="K1994" s="19"/>
      <c r="L1994" s="20"/>
    </row>
    <row r="1995" spans="1:12" outlineLevel="2">
      <c r="A1995" s="43"/>
      <c r="B1995" s="12" t="str">
        <f>IFERROR(VLOOKUP(D1995,'[1]Перечень товаров'!$A$2:$I9525,2,0),"")</f>
        <v>п55</v>
      </c>
      <c r="C1995" s="12" t="str">
        <f>IFERROR(VLOOKUP(D1995,'[1]Перечень товаров'!$A$2:$I9525,3,0),"")</f>
        <v>Прочее</v>
      </c>
      <c r="D1995" s="44" t="s">
        <v>687</v>
      </c>
      <c r="E1995" s="102"/>
      <c r="F1995" s="102"/>
      <c r="G1995" s="24">
        <v>4</v>
      </c>
      <c r="H1995" s="24"/>
      <c r="I1995" s="25"/>
      <c r="J1995" s="25"/>
      <c r="K1995" s="19"/>
      <c r="L1995" s="20"/>
    </row>
    <row r="1996" spans="1:12" outlineLevel="2">
      <c r="A1996" s="43"/>
      <c r="B1996" s="12" t="str">
        <f>IFERROR(VLOOKUP(D1996,'[1]Перечень товаров'!$A$2:$I9525,2,0),"")</f>
        <v>п56</v>
      </c>
      <c r="C1996" s="12" t="str">
        <f>IFERROR(VLOOKUP(D1996,'[1]Перечень товаров'!$A$2:$I9525,3,0),"")</f>
        <v>Прочее</v>
      </c>
      <c r="D1996" s="44" t="s">
        <v>688</v>
      </c>
      <c r="E1996" s="102"/>
      <c r="F1996" s="102"/>
      <c r="G1996" s="24">
        <v>2</v>
      </c>
      <c r="H1996" s="24"/>
      <c r="I1996" s="25"/>
      <c r="J1996" s="25"/>
      <c r="K1996" s="19"/>
      <c r="L1996" s="20"/>
    </row>
    <row r="1997" spans="1:12" outlineLevel="2">
      <c r="A1997" s="43"/>
      <c r="B1997" s="12" t="str">
        <f>IFERROR(VLOOKUP(D1997,'[1]Перечень товаров'!$A$2:$I9525,2,0),"")</f>
        <v>п57</v>
      </c>
      <c r="C1997" s="12" t="str">
        <f>IFERROR(VLOOKUP(D1997,'[1]Перечень товаров'!$A$2:$I9525,3,0),"")</f>
        <v>Прочее</v>
      </c>
      <c r="D1997" s="44" t="s">
        <v>689</v>
      </c>
      <c r="E1997" s="102"/>
      <c r="F1997" s="102"/>
      <c r="G1997" s="24">
        <v>1</v>
      </c>
      <c r="H1997" s="24"/>
      <c r="I1997" s="25"/>
      <c r="J1997" s="25"/>
      <c r="K1997" s="19"/>
      <c r="L1997" s="20"/>
    </row>
    <row r="1998" spans="1:12" outlineLevel="2">
      <c r="A1998" s="43"/>
      <c r="B1998" s="12" t="str">
        <f>IFERROR(VLOOKUP(D1998,'[1]Перечень товаров'!$A$2:$I9525,2,0),"")</f>
        <v>п58</v>
      </c>
      <c r="C1998" s="12" t="str">
        <f>IFERROR(VLOOKUP(D1998,'[1]Перечень товаров'!$A$2:$I9525,3,0),"")</f>
        <v>Прочее</v>
      </c>
      <c r="D1998" s="44" t="s">
        <v>690</v>
      </c>
      <c r="E1998" s="102"/>
      <c r="F1998" s="102"/>
      <c r="G1998" s="24">
        <v>2</v>
      </c>
      <c r="H1998" s="24"/>
      <c r="I1998" s="25"/>
      <c r="J1998" s="25"/>
      <c r="K1998" s="19"/>
      <c r="L1998" s="20"/>
    </row>
    <row r="1999" spans="1:12" outlineLevel="2">
      <c r="A1999" s="43"/>
      <c r="B1999" s="12" t="str">
        <f>IFERROR(VLOOKUP(D1999,'[1]Перечень товаров'!$A$2:$I9525,2,0),"")</f>
        <v>п59</v>
      </c>
      <c r="C1999" s="12" t="str">
        <f>IFERROR(VLOOKUP(D1999,'[1]Перечень товаров'!$A$2:$I9525,3,0),"")</f>
        <v>Прочее</v>
      </c>
      <c r="D1999" s="44" t="s">
        <v>691</v>
      </c>
      <c r="E1999" s="102"/>
      <c r="F1999" s="102"/>
      <c r="G1999" s="24">
        <v>2</v>
      </c>
      <c r="H1999" s="24"/>
      <c r="I1999" s="25"/>
      <c r="J1999" s="25"/>
      <c r="K1999" s="19"/>
      <c r="L1999" s="20"/>
    </row>
    <row r="2000" spans="1:12" outlineLevel="2">
      <c r="A2000" s="43"/>
      <c r="B2000" s="12" t="str">
        <f>IFERROR(VLOOKUP(D2000,'[1]Перечень товаров'!$A$2:$I9525,2,0),"")</f>
        <v>п60</v>
      </c>
      <c r="C2000" s="12" t="str">
        <f>IFERROR(VLOOKUP(D2000,'[1]Перечень товаров'!$A$2:$I9525,3,0),"")</f>
        <v>Прочее</v>
      </c>
      <c r="D2000" s="44" t="s">
        <v>692</v>
      </c>
      <c r="E2000" s="102"/>
      <c r="F2000" s="102"/>
      <c r="G2000" s="24">
        <v>5</v>
      </c>
      <c r="H2000" s="24"/>
      <c r="I2000" s="25"/>
      <c r="J2000" s="25"/>
      <c r="K2000" s="19"/>
      <c r="L2000" s="20"/>
    </row>
    <row r="2001" spans="1:12" outlineLevel="2">
      <c r="A2001" s="43"/>
      <c r="B2001" s="12" t="str">
        <f>IFERROR(VLOOKUP(D2001,'[1]Перечень товаров'!$A$2:$I9525,2,0),"")</f>
        <v>п61</v>
      </c>
      <c r="C2001" s="12" t="str">
        <f>IFERROR(VLOOKUP(D2001,'[1]Перечень товаров'!$A$2:$I9525,3,0),"")</f>
        <v>Прочее</v>
      </c>
      <c r="D2001" s="44" t="s">
        <v>693</v>
      </c>
      <c r="E2001" s="102"/>
      <c r="F2001" s="102"/>
      <c r="G2001" s="24">
        <v>12</v>
      </c>
      <c r="H2001" s="24"/>
      <c r="I2001" s="25"/>
      <c r="J2001" s="25"/>
      <c r="K2001" s="19"/>
      <c r="L2001" s="20"/>
    </row>
    <row r="2002" spans="1:12" outlineLevel="2">
      <c r="A2002" s="43"/>
      <c r="B2002" s="12" t="str">
        <f>IFERROR(VLOOKUP(D2002,'[1]Перечень товаров'!$A$2:$I9525,2,0),"")</f>
        <v>п62</v>
      </c>
      <c r="C2002" s="12" t="str">
        <f>IFERROR(VLOOKUP(D2002,'[1]Перечень товаров'!$A$2:$I9525,3,0),"")</f>
        <v>Прочее</v>
      </c>
      <c r="D2002" s="44" t="s">
        <v>694</v>
      </c>
      <c r="E2002" s="102"/>
      <c r="F2002" s="102"/>
      <c r="G2002" s="24">
        <v>12</v>
      </c>
      <c r="H2002" s="24"/>
      <c r="I2002" s="25"/>
      <c r="J2002" s="25"/>
      <c r="K2002" s="19"/>
      <c r="L2002" s="20"/>
    </row>
    <row r="2003" spans="1:12" outlineLevel="2">
      <c r="A2003" s="43"/>
      <c r="B2003" s="12" t="str">
        <f>IFERROR(VLOOKUP(D2003,'[1]Перечень товаров'!$A$2:$I9525,2,0),"")</f>
        <v>п63</v>
      </c>
      <c r="C2003" s="12" t="str">
        <f>IFERROR(VLOOKUP(D2003,'[1]Перечень товаров'!$A$2:$I9525,3,0),"")</f>
        <v>Прочее</v>
      </c>
      <c r="D2003" s="44" t="s">
        <v>695</v>
      </c>
      <c r="E2003" s="102"/>
      <c r="F2003" s="102"/>
      <c r="G2003" s="24">
        <v>1</v>
      </c>
      <c r="H2003" s="24"/>
      <c r="I2003" s="25"/>
      <c r="J2003" s="25"/>
      <c r="K2003" s="19"/>
      <c r="L2003" s="20"/>
    </row>
    <row r="2004" spans="1:12" outlineLevel="2">
      <c r="A2004" s="43"/>
      <c r="B2004" s="12" t="str">
        <f>IFERROR(VLOOKUP(D2004,'[1]Перечень товаров'!$A$2:$I9525,2,0),"")</f>
        <v>п64</v>
      </c>
      <c r="C2004" s="12" t="str">
        <f>IFERROR(VLOOKUP(D2004,'[1]Перечень товаров'!$A$2:$I9525,3,0),"")</f>
        <v>Прочее</v>
      </c>
      <c r="D2004" s="44" t="s">
        <v>696</v>
      </c>
      <c r="E2004" s="102"/>
      <c r="F2004" s="102"/>
      <c r="G2004" s="24">
        <v>1</v>
      </c>
      <c r="H2004" s="24"/>
      <c r="I2004" s="25"/>
      <c r="J2004" s="25"/>
      <c r="K2004" s="19"/>
      <c r="L2004" s="20"/>
    </row>
    <row r="2005" spans="1:12" outlineLevel="2">
      <c r="A2005" s="43"/>
      <c r="B2005" s="12" t="str">
        <f>IFERROR(VLOOKUP(D2005,'[1]Перечень товаров'!$A$2:$I9525,2,0),"")</f>
        <v>п65</v>
      </c>
      <c r="C2005" s="12" t="str">
        <f>IFERROR(VLOOKUP(D2005,'[1]Перечень товаров'!$A$2:$I9525,3,0),"")</f>
        <v>Прочее</v>
      </c>
      <c r="D2005" s="44" t="s">
        <v>697</v>
      </c>
      <c r="E2005" s="102"/>
      <c r="F2005" s="102"/>
      <c r="G2005" s="24">
        <v>1</v>
      </c>
      <c r="H2005" s="24"/>
      <c r="I2005" s="25"/>
      <c r="J2005" s="25"/>
      <c r="K2005" s="19"/>
      <c r="L2005" s="20"/>
    </row>
    <row r="2006" spans="1:12" outlineLevel="2">
      <c r="A2006" s="43"/>
      <c r="B2006" s="12" t="str">
        <f>IFERROR(VLOOKUP(D2006,'[1]Перечень товаров'!$A$2:$I9525,2,0),"")</f>
        <v>п66</v>
      </c>
      <c r="C2006" s="12" t="str">
        <f>IFERROR(VLOOKUP(D2006,'[1]Перечень товаров'!$A$2:$I9525,3,0),"")</f>
        <v>Прочее</v>
      </c>
      <c r="D2006" s="44" t="s">
        <v>698</v>
      </c>
      <c r="E2006" s="102"/>
      <c r="F2006" s="102"/>
      <c r="G2006" s="24">
        <v>2</v>
      </c>
      <c r="H2006" s="24"/>
      <c r="I2006" s="25"/>
      <c r="J2006" s="25"/>
      <c r="K2006" s="19"/>
      <c r="L2006" s="20"/>
    </row>
    <row r="2007" spans="1:12" outlineLevel="2">
      <c r="A2007" s="43"/>
      <c r="B2007" s="12" t="str">
        <f>IFERROR(VLOOKUP(D2007,'[1]Перечень товаров'!$A$2:$I9525,2,0),"")</f>
        <v>п67</v>
      </c>
      <c r="C2007" s="12" t="str">
        <f>IFERROR(VLOOKUP(D2007,'[1]Перечень товаров'!$A$2:$I9525,3,0),"")</f>
        <v>Прочее</v>
      </c>
      <c r="D2007" s="44" t="s">
        <v>699</v>
      </c>
      <c r="E2007" s="102"/>
      <c r="F2007" s="102"/>
      <c r="G2007" s="24">
        <v>2</v>
      </c>
      <c r="H2007" s="24"/>
      <c r="I2007" s="25"/>
      <c r="J2007" s="25"/>
      <c r="K2007" s="19"/>
      <c r="L2007" s="20"/>
    </row>
    <row r="2008" spans="1:12" outlineLevel="2">
      <c r="A2008" s="43"/>
      <c r="B2008" s="12" t="str">
        <f>IFERROR(VLOOKUP(D2008,'[1]Перечень товаров'!$A$2:$I9525,2,0),"")</f>
        <v>п68</v>
      </c>
      <c r="C2008" s="12" t="str">
        <f>IFERROR(VLOOKUP(D2008,'[1]Перечень товаров'!$A$2:$I9525,3,0),"")</f>
        <v>Прочее</v>
      </c>
      <c r="D2008" s="44" t="s">
        <v>700</v>
      </c>
      <c r="E2008" s="102"/>
      <c r="F2008" s="102"/>
      <c r="G2008" s="24">
        <v>1</v>
      </c>
      <c r="H2008" s="24"/>
      <c r="I2008" s="25"/>
      <c r="J2008" s="25"/>
      <c r="K2008" s="19"/>
      <c r="L2008" s="20"/>
    </row>
    <row r="2009" spans="1:12" outlineLevel="2">
      <c r="A2009" s="43"/>
      <c r="B2009" s="12" t="str">
        <f>IFERROR(VLOOKUP(D2009,'[1]Перечень товаров'!$A$2:$I9525,2,0),"")</f>
        <v>п69</v>
      </c>
      <c r="C2009" s="12" t="str">
        <f>IFERROR(VLOOKUP(D2009,'[1]Перечень товаров'!$A$2:$I9525,3,0),"")</f>
        <v>Прочее</v>
      </c>
      <c r="D2009" s="44" t="s">
        <v>701</v>
      </c>
      <c r="E2009" s="102"/>
      <c r="F2009" s="102"/>
      <c r="G2009" s="24">
        <v>1</v>
      </c>
      <c r="H2009" s="24"/>
      <c r="I2009" s="25"/>
      <c r="J2009" s="25"/>
      <c r="K2009" s="19"/>
      <c r="L2009" s="20"/>
    </row>
    <row r="2010" spans="1:12" outlineLevel="2">
      <c r="A2010" s="43"/>
      <c r="B2010" s="12" t="str">
        <f>IFERROR(VLOOKUP(D2010,'[1]Перечень товаров'!$A$2:$I9525,2,0),"")</f>
        <v>п70</v>
      </c>
      <c r="C2010" s="12" t="str">
        <f>IFERROR(VLOOKUP(D2010,'[1]Перечень товаров'!$A$2:$I9525,3,0),"")</f>
        <v>Прочее</v>
      </c>
      <c r="D2010" s="44" t="s">
        <v>702</v>
      </c>
      <c r="E2010" s="102"/>
      <c r="F2010" s="102"/>
      <c r="G2010" s="24">
        <v>1</v>
      </c>
      <c r="H2010" s="24"/>
      <c r="I2010" s="25"/>
      <c r="J2010" s="25"/>
      <c r="K2010" s="19"/>
      <c r="L2010" s="20"/>
    </row>
    <row r="2011" spans="1:12" outlineLevel="2">
      <c r="A2011" s="43"/>
      <c r="B2011" s="12" t="str">
        <f>IFERROR(VLOOKUP(D2011,'[1]Перечень товаров'!$A$2:$I9525,2,0),"")</f>
        <v>п71</v>
      </c>
      <c r="C2011" s="12" t="str">
        <f>IFERROR(VLOOKUP(D2011,'[1]Перечень товаров'!$A$2:$I9525,3,0),"")</f>
        <v>Прочее</v>
      </c>
      <c r="D2011" s="44" t="s">
        <v>703</v>
      </c>
      <c r="E2011" s="102"/>
      <c r="F2011" s="102"/>
      <c r="G2011" s="24">
        <v>1</v>
      </c>
      <c r="H2011" s="24"/>
      <c r="I2011" s="25"/>
      <c r="J2011" s="25"/>
      <c r="K2011" s="19"/>
      <c r="L2011" s="20"/>
    </row>
    <row r="2012" spans="1:12" outlineLevel="2">
      <c r="A2012" s="43"/>
      <c r="B2012" s="12" t="str">
        <f>IFERROR(VLOOKUP(D2012,'[1]Перечень товаров'!$A$2:$I9525,2,0),"")</f>
        <v>п72</v>
      </c>
      <c r="C2012" s="12" t="str">
        <f>IFERROR(VLOOKUP(D2012,'[1]Перечень товаров'!$A$2:$I9525,3,0),"")</f>
        <v>Прочее</v>
      </c>
      <c r="D2012" s="44" t="s">
        <v>704</v>
      </c>
      <c r="E2012" s="102"/>
      <c r="F2012" s="102"/>
      <c r="G2012" s="24">
        <v>12</v>
      </c>
      <c r="H2012" s="24"/>
      <c r="I2012" s="25"/>
      <c r="J2012" s="25"/>
      <c r="K2012" s="19"/>
      <c r="L2012" s="20"/>
    </row>
    <row r="2013" spans="1:12" outlineLevel="2">
      <c r="A2013" s="43"/>
      <c r="B2013" s="12" t="str">
        <f>IFERROR(VLOOKUP(D2013,'[1]Перечень товаров'!$A$2:$I9525,2,0),"")</f>
        <v>п73</v>
      </c>
      <c r="C2013" s="12" t="str">
        <f>IFERROR(VLOOKUP(D2013,'[1]Перечень товаров'!$A$2:$I9525,3,0),"")</f>
        <v>Прочее</v>
      </c>
      <c r="D2013" s="44" t="s">
        <v>705</v>
      </c>
      <c r="E2013" s="102"/>
      <c r="F2013" s="102"/>
      <c r="G2013" s="24">
        <v>1</v>
      </c>
      <c r="H2013" s="24"/>
      <c r="I2013" s="25"/>
      <c r="J2013" s="25"/>
      <c r="K2013" s="19"/>
      <c r="L2013" s="20"/>
    </row>
    <row r="2014" spans="1:12" outlineLevel="2">
      <c r="A2014" s="43"/>
      <c r="B2014" s="12" t="str">
        <f>IFERROR(VLOOKUP(D2014,'[1]Перечень товаров'!$A$2:$I9525,2,0),"")</f>
        <v>п74</v>
      </c>
      <c r="C2014" s="12" t="str">
        <f>IFERROR(VLOOKUP(D2014,'[1]Перечень товаров'!$A$2:$I9525,3,0),"")</f>
        <v>Прочее</v>
      </c>
      <c r="D2014" s="44" t="s">
        <v>706</v>
      </c>
      <c r="E2014" s="102"/>
      <c r="F2014" s="102"/>
      <c r="G2014" s="24">
        <v>2</v>
      </c>
      <c r="H2014" s="24"/>
      <c r="I2014" s="25"/>
      <c r="J2014" s="25"/>
      <c r="K2014" s="19"/>
      <c r="L2014" s="20"/>
    </row>
    <row r="2015" spans="1:12" outlineLevel="2">
      <c r="A2015" s="43"/>
      <c r="B2015" s="12" t="str">
        <f>IFERROR(VLOOKUP(D2015,'[1]Перечень товаров'!$A$2:$I9525,2,0),"")</f>
        <v>п75</v>
      </c>
      <c r="C2015" s="12" t="str">
        <f>IFERROR(VLOOKUP(D2015,'[1]Перечень товаров'!$A$2:$I9525,3,0),"")</f>
        <v>Прочее</v>
      </c>
      <c r="D2015" s="44" t="s">
        <v>707</v>
      </c>
      <c r="E2015" s="102"/>
      <c r="F2015" s="102"/>
      <c r="G2015" s="24">
        <v>2</v>
      </c>
      <c r="H2015" s="24"/>
      <c r="I2015" s="25"/>
      <c r="J2015" s="25"/>
      <c r="K2015" s="19"/>
      <c r="L2015" s="20"/>
    </row>
    <row r="2016" spans="1:12" outlineLevel="2">
      <c r="A2016" s="43"/>
      <c r="B2016" s="12" t="str">
        <f>IFERROR(VLOOKUP(D2016,'[1]Перечень товаров'!$A$2:$I9525,2,0),"")</f>
        <v>п76</v>
      </c>
      <c r="C2016" s="12" t="str">
        <f>IFERROR(VLOOKUP(D2016,'[1]Перечень товаров'!$A$2:$I9525,3,0),"")</f>
        <v>Прочее</v>
      </c>
      <c r="D2016" s="44" t="s">
        <v>708</v>
      </c>
      <c r="E2016" s="102"/>
      <c r="F2016" s="102"/>
      <c r="G2016" s="24">
        <v>1</v>
      </c>
      <c r="H2016" s="24"/>
      <c r="I2016" s="25"/>
      <c r="J2016" s="25"/>
      <c r="K2016" s="19"/>
      <c r="L2016" s="20"/>
    </row>
    <row r="2017" spans="1:12" outlineLevel="2">
      <c r="A2017" s="43"/>
      <c r="B2017" s="12" t="str">
        <f>IFERROR(VLOOKUP(D2017,'[1]Перечень товаров'!$A$2:$I9525,2,0),"")</f>
        <v>п77</v>
      </c>
      <c r="C2017" s="12" t="str">
        <f>IFERROR(VLOOKUP(D2017,'[1]Перечень товаров'!$A$2:$I9525,3,0),"")</f>
        <v>Прочее</v>
      </c>
      <c r="D2017" s="44" t="s">
        <v>709</v>
      </c>
      <c r="E2017" s="102"/>
      <c r="F2017" s="102"/>
      <c r="G2017" s="24">
        <v>12</v>
      </c>
      <c r="H2017" s="24"/>
      <c r="I2017" s="25"/>
      <c r="J2017" s="25"/>
      <c r="K2017" s="19"/>
      <c r="L2017" s="20"/>
    </row>
    <row r="2018" spans="1:12" outlineLevel="2">
      <c r="A2018" s="43"/>
      <c r="B2018" s="12" t="str">
        <f>IFERROR(VLOOKUP(D2018,'[1]Перечень товаров'!$A$2:$I9525,2,0),"")</f>
        <v>п78</v>
      </c>
      <c r="C2018" s="12" t="str">
        <f>IFERROR(VLOOKUP(D2018,'[1]Перечень товаров'!$A$2:$I9525,3,0),"")</f>
        <v>Прочее</v>
      </c>
      <c r="D2018" s="44" t="s">
        <v>710</v>
      </c>
      <c r="E2018" s="102"/>
      <c r="F2018" s="102"/>
      <c r="G2018" s="24">
        <v>1</v>
      </c>
      <c r="H2018" s="24"/>
      <c r="I2018" s="25"/>
      <c r="J2018" s="25"/>
      <c r="K2018" s="19"/>
      <c r="L2018" s="20"/>
    </row>
    <row r="2019" spans="1:12" outlineLevel="2">
      <c r="A2019" s="43"/>
      <c r="B2019" s="12" t="str">
        <f>IFERROR(VLOOKUP(D2019,'[1]Перечень товаров'!$A$2:$I9525,2,0),"")</f>
        <v>п79</v>
      </c>
      <c r="C2019" s="12" t="str">
        <f>IFERROR(VLOOKUP(D2019,'[1]Перечень товаров'!$A$2:$I9525,3,0),"")</f>
        <v>Прочее</v>
      </c>
      <c r="D2019" s="44" t="s">
        <v>711</v>
      </c>
      <c r="E2019" s="102"/>
      <c r="F2019" s="102"/>
      <c r="G2019" s="24">
        <v>1</v>
      </c>
      <c r="H2019" s="24"/>
      <c r="I2019" s="25"/>
      <c r="J2019" s="25"/>
      <c r="K2019" s="19"/>
      <c r="L2019" s="20"/>
    </row>
    <row r="2020" spans="1:12" outlineLevel="2">
      <c r="A2020" s="43"/>
      <c r="B2020" s="12" t="str">
        <f>IFERROR(VLOOKUP(D2020,'[1]Перечень товаров'!$A$2:$I9525,2,0),"")</f>
        <v>п80</v>
      </c>
      <c r="C2020" s="12" t="str">
        <f>IFERROR(VLOOKUP(D2020,'[1]Перечень товаров'!$A$2:$I9525,3,0),"")</f>
        <v>Прочее</v>
      </c>
      <c r="D2020" s="44" t="s">
        <v>712</v>
      </c>
      <c r="E2020" s="102"/>
      <c r="F2020" s="102"/>
      <c r="G2020" s="24">
        <v>1</v>
      </c>
      <c r="H2020" s="24"/>
      <c r="I2020" s="25"/>
      <c r="J2020" s="25"/>
      <c r="K2020" s="19"/>
      <c r="L2020" s="20"/>
    </row>
    <row r="2021" spans="1:12" outlineLevel="2">
      <c r="A2021" s="43"/>
      <c r="B2021" s="12" t="str">
        <f>IFERROR(VLOOKUP(D2021,'[1]Перечень товаров'!$A$2:$I9525,2,0),"")</f>
        <v>п81</v>
      </c>
      <c r="C2021" s="12" t="str">
        <f>IFERROR(VLOOKUP(D2021,'[1]Перечень товаров'!$A$2:$I9525,3,0),"")</f>
        <v>Прочее</v>
      </c>
      <c r="D2021" s="44" t="s">
        <v>713</v>
      </c>
      <c r="E2021" s="102"/>
      <c r="F2021" s="102"/>
      <c r="G2021" s="24">
        <v>2</v>
      </c>
      <c r="H2021" s="24"/>
      <c r="I2021" s="25"/>
      <c r="J2021" s="25"/>
      <c r="K2021" s="19"/>
      <c r="L2021" s="20"/>
    </row>
    <row r="2022" spans="1:12" outlineLevel="2">
      <c r="A2022" s="43"/>
      <c r="B2022" s="12" t="str">
        <f>IFERROR(VLOOKUP(D2022,'[1]Перечень товаров'!$A$2:$I9525,2,0),"")</f>
        <v>п82</v>
      </c>
      <c r="C2022" s="12" t="str">
        <f>IFERROR(VLOOKUP(D2022,'[1]Перечень товаров'!$A$2:$I9525,3,0),"")</f>
        <v>Прочее</v>
      </c>
      <c r="D2022" s="44" t="s">
        <v>714</v>
      </c>
      <c r="E2022" s="102"/>
      <c r="F2022" s="102"/>
      <c r="G2022" s="24">
        <v>2</v>
      </c>
      <c r="H2022" s="24"/>
      <c r="I2022" s="25"/>
      <c r="J2022" s="25"/>
      <c r="K2022" s="19"/>
      <c r="L2022" s="20"/>
    </row>
    <row r="2023" spans="1:12" outlineLevel="2">
      <c r="A2023" s="43"/>
      <c r="B2023" s="12" t="str">
        <f>IFERROR(VLOOKUP(D2023,'[1]Перечень товаров'!$A$2:$I9525,2,0),"")</f>
        <v>п83</v>
      </c>
      <c r="C2023" s="12" t="str">
        <f>IFERROR(VLOOKUP(D2023,'[1]Перечень товаров'!$A$2:$I9525,3,0),"")</f>
        <v>Прочее</v>
      </c>
      <c r="D2023" s="44" t="s">
        <v>715</v>
      </c>
      <c r="E2023" s="102"/>
      <c r="F2023" s="102"/>
      <c r="G2023" s="24">
        <v>2</v>
      </c>
      <c r="H2023" s="24"/>
      <c r="I2023" s="25"/>
      <c r="J2023" s="25"/>
      <c r="K2023" s="19"/>
      <c r="L2023" s="20"/>
    </row>
    <row r="2024" spans="1:12" outlineLevel="2">
      <c r="A2024" s="43"/>
      <c r="B2024" s="12" t="str">
        <f>IFERROR(VLOOKUP(D2024,'[1]Перечень товаров'!$A$2:$I9525,2,0),"")</f>
        <v>п84</v>
      </c>
      <c r="C2024" s="12" t="str">
        <f>IFERROR(VLOOKUP(D2024,'[1]Перечень товаров'!$A$2:$I9525,3,0),"")</f>
        <v>Прочее</v>
      </c>
      <c r="D2024" s="44" t="s">
        <v>716</v>
      </c>
      <c r="E2024" s="102"/>
      <c r="F2024" s="102"/>
      <c r="G2024" s="24">
        <v>4</v>
      </c>
      <c r="H2024" s="24"/>
      <c r="I2024" s="25"/>
      <c r="J2024" s="25"/>
      <c r="K2024" s="19"/>
      <c r="L2024" s="20"/>
    </row>
    <row r="2025" spans="1:12" outlineLevel="2">
      <c r="A2025" s="43"/>
      <c r="B2025" s="12" t="str">
        <f>IFERROR(VLOOKUP(D2025,'[1]Перечень товаров'!$A$2:$I9525,2,0),"")</f>
        <v>п85</v>
      </c>
      <c r="C2025" s="12" t="str">
        <f>IFERROR(VLOOKUP(D2025,'[1]Перечень товаров'!$A$2:$I9525,3,0),"")</f>
        <v>Прочее</v>
      </c>
      <c r="D2025" s="44" t="s">
        <v>717</v>
      </c>
      <c r="E2025" s="102"/>
      <c r="F2025" s="102"/>
      <c r="G2025" s="24">
        <v>1</v>
      </c>
      <c r="H2025" s="24"/>
      <c r="I2025" s="25"/>
      <c r="J2025" s="25"/>
      <c r="K2025" s="19"/>
      <c r="L2025" s="20"/>
    </row>
    <row r="2026" spans="1:12" outlineLevel="2">
      <c r="A2026" s="43"/>
      <c r="B2026" s="12" t="str">
        <f>IFERROR(VLOOKUP(D2026,'[1]Перечень товаров'!$A$2:$I9525,2,0),"")</f>
        <v>п86</v>
      </c>
      <c r="C2026" s="12" t="str">
        <f>IFERROR(VLOOKUP(D2026,'[1]Перечень товаров'!$A$2:$I9525,3,0),"")</f>
        <v>Прочее</v>
      </c>
      <c r="D2026" s="44" t="s">
        <v>718</v>
      </c>
      <c r="E2026" s="102"/>
      <c r="F2026" s="102"/>
      <c r="G2026" s="24">
        <v>1</v>
      </c>
      <c r="H2026" s="24"/>
      <c r="I2026" s="25"/>
      <c r="J2026" s="25"/>
      <c r="K2026" s="19"/>
      <c r="L2026" s="20"/>
    </row>
    <row r="2027" spans="1:12" outlineLevel="2">
      <c r="A2027" s="43"/>
      <c r="B2027" s="12" t="str">
        <f>IFERROR(VLOOKUP(D2027,'[1]Перечень товаров'!$A$2:$I9525,2,0),"")</f>
        <v>п87</v>
      </c>
      <c r="C2027" s="12" t="str">
        <f>IFERROR(VLOOKUP(D2027,'[1]Перечень товаров'!$A$2:$I9525,3,0),"")</f>
        <v>Прочее</v>
      </c>
      <c r="D2027" s="44" t="s">
        <v>719</v>
      </c>
      <c r="E2027" s="102"/>
      <c r="F2027" s="102"/>
      <c r="G2027" s="24">
        <v>2</v>
      </c>
      <c r="H2027" s="24"/>
      <c r="I2027" s="25"/>
      <c r="J2027" s="25"/>
      <c r="K2027" s="19"/>
      <c r="L2027" s="20"/>
    </row>
    <row r="2028" spans="1:12" outlineLevel="2">
      <c r="A2028" s="43"/>
      <c r="B2028" s="12" t="str">
        <f>IFERROR(VLOOKUP(D2028,'[1]Перечень товаров'!$A$2:$I9525,2,0),"")</f>
        <v>п88</v>
      </c>
      <c r="C2028" s="12" t="str">
        <f>IFERROR(VLOOKUP(D2028,'[1]Перечень товаров'!$A$2:$I9525,3,0),"")</f>
        <v>Прочее</v>
      </c>
      <c r="D2028" s="44" t="s">
        <v>720</v>
      </c>
      <c r="E2028" s="102"/>
      <c r="F2028" s="102"/>
      <c r="G2028" s="24">
        <v>12</v>
      </c>
      <c r="H2028" s="24"/>
      <c r="I2028" s="25"/>
      <c r="J2028" s="25"/>
      <c r="K2028" s="19"/>
      <c r="L2028" s="20"/>
    </row>
    <row r="2029" spans="1:12" outlineLevel="2">
      <c r="A2029" s="183"/>
      <c r="B2029" s="12" t="str">
        <f>IFERROR(VLOOKUP(D2029,'[1]Перечень товаров'!$A$2:$I9525,2,0),"")</f>
        <v/>
      </c>
      <c r="C2029" s="12" t="str">
        <f>IFERROR(VLOOKUP(D2029,'[1]Перечень товаров'!$A$2:$I9525,3,0),"")</f>
        <v/>
      </c>
      <c r="D2029" s="184" t="s">
        <v>721</v>
      </c>
      <c r="E2029" s="185"/>
      <c r="F2029" s="185"/>
      <c r="G2029" s="186"/>
      <c r="H2029" s="186"/>
      <c r="I2029" s="187"/>
      <c r="J2029" s="187"/>
      <c r="K2029" s="19"/>
      <c r="L2029" s="20"/>
    </row>
    <row r="2030" spans="1:12" outlineLevel="2">
      <c r="A2030" s="43"/>
      <c r="B2030" s="12" t="str">
        <f>IFERROR(VLOOKUP(D2030,'[1]Перечень товаров'!$A$2:$I9525,2,0),"")</f>
        <v>п89</v>
      </c>
      <c r="C2030" s="12" t="str">
        <f>IFERROR(VLOOKUP(D2030,'[1]Перечень товаров'!$A$2:$I9525,3,0),"")</f>
        <v>Прочее</v>
      </c>
      <c r="D2030" s="44" t="s">
        <v>722</v>
      </c>
      <c r="E2030" s="102"/>
      <c r="F2030" s="102"/>
      <c r="G2030" s="24">
        <v>1</v>
      </c>
      <c r="H2030" s="24"/>
      <c r="I2030" s="25"/>
      <c r="J2030" s="25"/>
      <c r="K2030" s="19"/>
      <c r="L2030" s="20"/>
    </row>
    <row r="2031" spans="1:12" outlineLevel="2">
      <c r="A2031" s="43"/>
      <c r="B2031" s="12" t="str">
        <f>IFERROR(VLOOKUP(D2031,'[1]Перечень товаров'!$A$2:$I9525,2,0),"")</f>
        <v>п90</v>
      </c>
      <c r="C2031" s="12" t="str">
        <f>IFERROR(VLOOKUP(D2031,'[1]Перечень товаров'!$A$2:$I9525,3,0),"")</f>
        <v>Прочее</v>
      </c>
      <c r="D2031" s="44" t="s">
        <v>723</v>
      </c>
      <c r="E2031" s="102"/>
      <c r="F2031" s="102"/>
      <c r="G2031" s="24">
        <v>1</v>
      </c>
      <c r="H2031" s="24"/>
      <c r="I2031" s="25"/>
      <c r="J2031" s="25"/>
      <c r="K2031" s="19"/>
      <c r="L2031" s="20"/>
    </row>
    <row r="2032" spans="1:12" outlineLevel="2">
      <c r="A2032" s="183"/>
      <c r="B2032" s="12" t="str">
        <f>IFERROR(VLOOKUP(D2032,'[1]Перечень товаров'!$A$2:$I9525,2,0),"")</f>
        <v/>
      </c>
      <c r="C2032" s="12" t="str">
        <f>IFERROR(VLOOKUP(D2032,'[1]Перечень товаров'!$A$2:$I9525,3,0),"")</f>
        <v/>
      </c>
      <c r="D2032" s="184" t="s">
        <v>724</v>
      </c>
      <c r="E2032" s="185"/>
      <c r="F2032" s="185"/>
      <c r="G2032" s="186"/>
      <c r="H2032" s="186"/>
      <c r="I2032" s="187"/>
      <c r="J2032" s="187"/>
      <c r="K2032" s="19"/>
      <c r="L2032" s="20"/>
    </row>
    <row r="2033" spans="1:12" ht="31.5" outlineLevel="2">
      <c r="A2033" s="21"/>
      <c r="B2033" s="12" t="str">
        <f>IFERROR(VLOOKUP(D2033,'[1]Перечень товаров'!$A$2:$I9525,2,0),"")</f>
        <v>т231</v>
      </c>
      <c r="C2033" s="12" t="str">
        <f>IFERROR(VLOOKUP(D2033,'[1]Перечень товаров'!$A$2:$I9525,3,0),"")</f>
        <v>Техника</v>
      </c>
      <c r="D2033" s="22" t="s">
        <v>725</v>
      </c>
      <c r="E2033" s="102"/>
      <c r="F2033" s="102"/>
      <c r="G2033" s="24">
        <v>1</v>
      </c>
      <c r="H2033" s="24"/>
      <c r="I2033" s="25"/>
      <c r="J2033" s="25"/>
      <c r="K2033" s="19"/>
      <c r="L2033" s="20"/>
    </row>
    <row r="2034" spans="1:12" outlineLevel="2">
      <c r="A2034" s="21"/>
      <c r="B2034" s="12" t="str">
        <f>IFERROR(VLOOKUP(D2034,'[1]Перечень товаров'!$A$2:$I9525,2,0),"")</f>
        <v>т232</v>
      </c>
      <c r="C2034" s="12" t="str">
        <f>IFERROR(VLOOKUP(D2034,'[1]Перечень товаров'!$A$2:$I9525,3,0),"")</f>
        <v>Техника</v>
      </c>
      <c r="D2034" s="22" t="s">
        <v>726</v>
      </c>
      <c r="E2034" s="102"/>
      <c r="F2034" s="102"/>
      <c r="G2034" s="24">
        <v>1</v>
      </c>
      <c r="H2034" s="24"/>
      <c r="I2034" s="25"/>
      <c r="J2034" s="25"/>
      <c r="K2034" s="19"/>
      <c r="L2034" s="20"/>
    </row>
    <row r="2035" spans="1:12" ht="31.5" outlineLevel="2">
      <c r="A2035" s="21"/>
      <c r="B2035" s="12" t="str">
        <f>IFERROR(VLOOKUP(D2035,'[1]Перечень товаров'!$A$2:$I9525,2,0),"")</f>
        <v>т233</v>
      </c>
      <c r="C2035" s="12" t="str">
        <f>IFERROR(VLOOKUP(D2035,'[1]Перечень товаров'!$A$2:$I9525,3,0),"")</f>
        <v>Техника</v>
      </c>
      <c r="D2035" s="22" t="s">
        <v>727</v>
      </c>
      <c r="E2035" s="102"/>
      <c r="F2035" s="102"/>
      <c r="G2035" s="24">
        <v>1</v>
      </c>
      <c r="H2035" s="24"/>
      <c r="I2035" s="25"/>
      <c r="J2035" s="25"/>
      <c r="K2035" s="19"/>
      <c r="L2035" s="20"/>
    </row>
    <row r="2036" spans="1:12" ht="31.5" outlineLevel="2">
      <c r="A2036" s="21"/>
      <c r="B2036" s="12" t="str">
        <f>IFERROR(VLOOKUP(D2036,'[1]Перечень товаров'!$A$2:$I9525,2,0),"")</f>
        <v>м204</v>
      </c>
      <c r="C2036" s="12" t="str">
        <f>IFERROR(VLOOKUP(D2036,'[1]Перечень товаров'!$A$2:$I9525,3,0),"")</f>
        <v>Мебель</v>
      </c>
      <c r="D2036" s="22" t="s">
        <v>728</v>
      </c>
      <c r="E2036" s="102"/>
      <c r="F2036" s="102"/>
      <c r="G2036" s="24">
        <v>12</v>
      </c>
      <c r="H2036" s="24"/>
      <c r="I2036" s="25"/>
      <c r="J2036" s="25"/>
      <c r="K2036" s="19"/>
      <c r="L2036" s="20"/>
    </row>
    <row r="2037" spans="1:12" outlineLevel="1">
      <c r="A2037" s="21"/>
      <c r="B2037" s="12" t="str">
        <f>IFERROR(VLOOKUP(D2037,'[1]Перечень товаров'!$A$2:$I9525,2,0),"")</f>
        <v/>
      </c>
      <c r="C2037" s="12" t="str">
        <f>IFERROR(VLOOKUP(D2037,'[1]Перечень товаров'!$A$2:$I9525,3,0),"")</f>
        <v/>
      </c>
      <c r="D2037" s="22" t="s">
        <v>338</v>
      </c>
      <c r="E2037" s="23">
        <v>0</v>
      </c>
      <c r="F2037" s="23"/>
      <c r="G2037" s="24"/>
      <c r="H2037" s="24"/>
      <c r="I2037" s="25"/>
      <c r="J2037" s="25"/>
      <c r="K2037" s="19"/>
      <c r="L2037" s="20"/>
    </row>
    <row r="2038" spans="1:12" outlineLevel="1">
      <c r="A2038" s="21"/>
      <c r="B2038" s="12" t="str">
        <f>IFERROR(VLOOKUP(D2038,'[1]Перечень товаров'!$A$2:$I9525,2,0),"")</f>
        <v/>
      </c>
      <c r="C2038" s="12" t="str">
        <f>IFERROR(VLOOKUP(D2038,'[1]Перечень товаров'!$A$2:$I9525,3,0),"")</f>
        <v/>
      </c>
      <c r="D2038" s="22" t="s">
        <v>311</v>
      </c>
      <c r="E2038" s="23" t="s">
        <v>729</v>
      </c>
      <c r="F2038" s="23"/>
      <c r="G2038" s="24"/>
      <c r="H2038" s="24"/>
      <c r="I2038" s="25"/>
      <c r="J2038" s="25"/>
      <c r="K2038" s="19"/>
      <c r="L2038" s="20"/>
    </row>
    <row r="2039" spans="1:12" outlineLevel="1">
      <c r="A2039" s="21"/>
      <c r="B2039" s="12" t="str">
        <f>IFERROR(VLOOKUP(D2039,'[1]Перечень товаров'!$A$2:$I9525,2,0),"")</f>
        <v/>
      </c>
      <c r="C2039" s="12" t="str">
        <f>IFERROR(VLOOKUP(D2039,'[1]Перечень товаров'!$A$2:$I9525,3,0),"")</f>
        <v/>
      </c>
      <c r="D2039" s="22" t="s">
        <v>730</v>
      </c>
      <c r="E2039" s="23" t="s">
        <v>731</v>
      </c>
      <c r="F2039" s="23"/>
      <c r="G2039" s="24"/>
      <c r="H2039" s="24"/>
      <c r="I2039" s="25"/>
      <c r="J2039" s="25"/>
      <c r="K2039" s="19"/>
      <c r="L2039" s="20"/>
    </row>
    <row r="2040" spans="1:12" outlineLevel="1">
      <c r="A2040" s="21"/>
      <c r="B2040" s="12" t="str">
        <f>IFERROR(VLOOKUP(D2040,'[1]Перечень товаров'!$A$2:$I9525,2,0),"")</f>
        <v/>
      </c>
      <c r="C2040" s="12" t="str">
        <f>IFERROR(VLOOKUP(D2040,'[1]Перечень товаров'!$A$2:$I9525,3,0),"")</f>
        <v/>
      </c>
      <c r="D2040" s="22" t="s">
        <v>348</v>
      </c>
      <c r="E2040" s="23" t="s">
        <v>732</v>
      </c>
      <c r="F2040" s="23"/>
      <c r="G2040" s="24"/>
      <c r="H2040" s="24"/>
      <c r="I2040" s="25"/>
      <c r="J2040" s="25"/>
      <c r="K2040" s="19"/>
      <c r="L2040" s="20"/>
    </row>
    <row r="2041" spans="1:12" ht="12.75" outlineLevel="1">
      <c r="A2041" s="11"/>
      <c r="B2041" s="12" t="str">
        <f>IFERROR(VLOOKUP(D2041,'[1]Перечень товаров'!$A$2:$I9525,2,0),"")</f>
        <v/>
      </c>
      <c r="C2041" s="12" t="str">
        <f>IFERROR(VLOOKUP(D2041,'[1]Перечень товаров'!$A$2:$I9525,3,0),"")</f>
        <v/>
      </c>
      <c r="D2041" s="27" t="s">
        <v>733</v>
      </c>
      <c r="E2041" s="99">
        <v>46036</v>
      </c>
      <c r="F2041" s="99"/>
      <c r="G2041" s="100"/>
      <c r="H2041" s="100"/>
      <c r="I2041" s="101"/>
      <c r="J2041" s="101"/>
      <c r="K2041" s="19"/>
      <c r="L2041" s="20"/>
    </row>
    <row r="2042" spans="1:12" outlineLevel="2">
      <c r="A2042" s="21"/>
      <c r="B2042" s="12" t="str">
        <f>IFERROR(VLOOKUP(D2042,'[1]Перечень товаров'!$A$2:$I9525,2,0),"")</f>
        <v>м205</v>
      </c>
      <c r="C2042" s="12" t="str">
        <f>IFERROR(VLOOKUP(D2042,'[1]Перечень товаров'!$A$2:$I9525,3,0),"")</f>
        <v>Мебель</v>
      </c>
      <c r="D2042" s="22" t="s">
        <v>734</v>
      </c>
      <c r="E2042" s="102"/>
      <c r="F2042" s="102"/>
      <c r="G2042" s="24">
        <v>1</v>
      </c>
      <c r="H2042" s="24"/>
      <c r="I2042" s="25"/>
      <c r="J2042" s="25"/>
      <c r="K2042" s="19"/>
      <c r="L2042" s="20"/>
    </row>
    <row r="2043" spans="1:12" outlineLevel="2">
      <c r="A2043" s="21"/>
      <c r="B2043" s="12" t="str">
        <f>IFERROR(VLOOKUP(D2043,'[1]Перечень товаров'!$A$2:$I9525,2,0),"")</f>
        <v>м12</v>
      </c>
      <c r="C2043" s="12" t="str">
        <f>IFERROR(VLOOKUP(D2043,'[1]Перечень товаров'!$A$2:$I9525,3,0),"")</f>
        <v>Мебель</v>
      </c>
      <c r="D2043" s="22" t="s">
        <v>21</v>
      </c>
      <c r="E2043" s="102"/>
      <c r="F2043" s="102"/>
      <c r="G2043" s="24">
        <v>1</v>
      </c>
      <c r="H2043" s="24"/>
      <c r="I2043" s="25"/>
      <c r="J2043" s="25"/>
      <c r="K2043" s="19"/>
      <c r="L2043" s="20"/>
    </row>
    <row r="2044" spans="1:12" outlineLevel="2">
      <c r="A2044" s="21"/>
      <c r="B2044" s="12" t="str">
        <f>IFERROR(VLOOKUP(D2044,'[1]Перечень товаров'!$A$2:$I9525,2,0),"")</f>
        <v>м14</v>
      </c>
      <c r="C2044" s="12" t="str">
        <f>IFERROR(VLOOKUP(D2044,'[1]Перечень товаров'!$A$2:$I9525,3,0),"")</f>
        <v>Мебель</v>
      </c>
      <c r="D2044" s="22" t="s">
        <v>43</v>
      </c>
      <c r="E2044" s="102"/>
      <c r="F2044" s="102"/>
      <c r="G2044" s="24">
        <v>1</v>
      </c>
      <c r="H2044" s="24"/>
      <c r="I2044" s="25"/>
      <c r="J2044" s="25"/>
      <c r="K2044" s="19"/>
      <c r="L2044" s="20"/>
    </row>
    <row r="2045" spans="1:12" outlineLevel="2">
      <c r="A2045" s="21"/>
      <c r="B2045" s="12" t="str">
        <f>IFERROR(VLOOKUP(D2045,'[1]Перечень товаров'!$A$2:$I9525,2,0),"")</f>
        <v>м27</v>
      </c>
      <c r="C2045" s="12" t="str">
        <f>IFERROR(VLOOKUP(D2045,'[1]Перечень товаров'!$A$2:$I9525,3,0),"")</f>
        <v>Мебель</v>
      </c>
      <c r="D2045" s="22" t="s">
        <v>177</v>
      </c>
      <c r="E2045" s="102"/>
      <c r="F2045" s="102"/>
      <c r="G2045" s="24">
        <v>1</v>
      </c>
      <c r="H2045" s="24"/>
      <c r="I2045" s="25"/>
      <c r="J2045" s="25"/>
      <c r="K2045" s="19"/>
      <c r="L2045" s="20"/>
    </row>
    <row r="2046" spans="1:12" outlineLevel="2">
      <c r="A2046" s="22"/>
      <c r="B2046" s="12" t="str">
        <f>IFERROR(VLOOKUP(D2046,'[1]Перечень товаров'!$A$2:$I9525,2,0),"")</f>
        <v>п25</v>
      </c>
      <c r="C2046" s="12" t="str">
        <f>IFERROR(VLOOKUP(D2046,'[1]Перечень товаров'!$A$2:$I9525,3,0),"")</f>
        <v>Прочее</v>
      </c>
      <c r="D2046" s="22" t="s">
        <v>360</v>
      </c>
      <c r="E2046" s="102"/>
      <c r="F2046" s="102"/>
      <c r="G2046" s="24">
        <v>1</v>
      </c>
      <c r="H2046" s="24"/>
      <c r="I2046" s="25"/>
      <c r="J2046" s="25"/>
      <c r="K2046" s="19"/>
      <c r="L2046" s="20"/>
    </row>
    <row r="2047" spans="1:12" ht="12.75" outlineLevel="1">
      <c r="A2047" s="11"/>
      <c r="B2047" s="12" t="str">
        <f>IFERROR(VLOOKUP(D2047,'[1]Перечень товаров'!$A$2:$I9525,2,0),"")</f>
        <v/>
      </c>
      <c r="C2047" s="12" t="str">
        <f>IFERROR(VLOOKUP(D2047,'[1]Перечень товаров'!$A$2:$I9525,3,0),"")</f>
        <v/>
      </c>
      <c r="D2047" s="27" t="s">
        <v>735</v>
      </c>
      <c r="E2047" s="99">
        <v>46185</v>
      </c>
      <c r="F2047" s="99"/>
      <c r="G2047" s="100"/>
      <c r="H2047" s="100"/>
      <c r="I2047" s="101"/>
      <c r="J2047" s="101"/>
      <c r="K2047" s="19"/>
      <c r="L2047" s="20"/>
    </row>
    <row r="2048" spans="1:12" ht="15" outlineLevel="2">
      <c r="A2048" s="179"/>
      <c r="B2048" s="12" t="str">
        <f>IFERROR(VLOOKUP(D2048,'[1]Перечень товаров'!$A$2:$I9525,2,0),"")</f>
        <v/>
      </c>
      <c r="C2048" s="12" t="str">
        <f>IFERROR(VLOOKUP(D2048,'[1]Перечень товаров'!$A$2:$I9525,3,0),"")</f>
        <v/>
      </c>
      <c r="D2048" s="180" t="s">
        <v>736</v>
      </c>
      <c r="E2048" s="107"/>
      <c r="F2048" s="107"/>
      <c r="G2048" s="100"/>
      <c r="H2048" s="100"/>
      <c r="I2048" s="101"/>
      <c r="J2048" s="101"/>
      <c r="K2048" s="19"/>
      <c r="L2048" s="20"/>
    </row>
    <row r="2049" spans="1:12" outlineLevel="2">
      <c r="A2049" s="34"/>
      <c r="B2049" s="12" t="str">
        <f>IFERROR(VLOOKUP(D2049,'[1]Перечень товаров'!$A$2:$I9525,2,0),"")</f>
        <v>т1</v>
      </c>
      <c r="C2049" s="12" t="str">
        <f>IFERROR(VLOOKUP(D2049,'[1]Перечень товаров'!$A$2:$I9525,3,0),"")</f>
        <v xml:space="preserve">Техника </v>
      </c>
      <c r="D2049" s="35" t="s">
        <v>28</v>
      </c>
      <c r="E2049" s="102"/>
      <c r="F2049" s="102"/>
      <c r="G2049" s="24">
        <v>3</v>
      </c>
      <c r="H2049" s="24"/>
      <c r="I2049" s="25"/>
      <c r="J2049" s="25"/>
      <c r="K2049" s="19"/>
      <c r="L2049" s="20"/>
    </row>
    <row r="2050" spans="1:12" outlineLevel="2">
      <c r="A2050" s="35"/>
      <c r="B2050" s="12" t="str">
        <f>IFERROR(VLOOKUP(D2050,'[1]Перечень товаров'!$A$2:$I9525,2,0),"")</f>
        <v>т2</v>
      </c>
      <c r="C2050" s="12" t="str">
        <f>IFERROR(VLOOKUP(D2050,'[1]Перечень товаров'!$A$2:$I9525,3,0),"")</f>
        <v xml:space="preserve">Техника </v>
      </c>
      <c r="D2050" s="35" t="s">
        <v>29</v>
      </c>
      <c r="E2050" s="102"/>
      <c r="F2050" s="102"/>
      <c r="G2050" s="24">
        <v>3</v>
      </c>
      <c r="H2050" s="24"/>
      <c r="I2050" s="25"/>
      <c r="J2050" s="25"/>
      <c r="K2050" s="19"/>
      <c r="L2050" s="20"/>
    </row>
    <row r="2051" spans="1:12" outlineLevel="2">
      <c r="A2051" s="35"/>
      <c r="B2051" s="12" t="str">
        <f>IFERROR(VLOOKUP(D2051,'[1]Перечень товаров'!$A$2:$I9525,2,0),"")</f>
        <v>т3</v>
      </c>
      <c r="C2051" s="12" t="str">
        <f>IFERROR(VLOOKUP(D2051,'[1]Перечень товаров'!$A$2:$I9525,3,0),"")</f>
        <v xml:space="preserve">Техника </v>
      </c>
      <c r="D2051" s="35" t="s">
        <v>30</v>
      </c>
      <c r="E2051" s="102"/>
      <c r="F2051" s="102"/>
      <c r="G2051" s="24">
        <v>3</v>
      </c>
      <c r="H2051" s="24"/>
      <c r="I2051" s="25"/>
      <c r="J2051" s="25"/>
      <c r="K2051" s="19"/>
      <c r="L2051" s="20"/>
    </row>
    <row r="2052" spans="1:12" outlineLevel="2">
      <c r="A2052" s="35"/>
      <c r="B2052" s="12" t="str">
        <f>IFERROR(VLOOKUP(D2052,'[1]Перечень товаров'!$A$2:$I9525,2,0),"")</f>
        <v>т4</v>
      </c>
      <c r="C2052" s="12" t="str">
        <f>IFERROR(VLOOKUP(D2052,'[1]Перечень товаров'!$A$2:$I9525,3,0),"")</f>
        <v xml:space="preserve">Техника </v>
      </c>
      <c r="D2052" s="35" t="s">
        <v>31</v>
      </c>
      <c r="E2052" s="102"/>
      <c r="F2052" s="102"/>
      <c r="G2052" s="24">
        <v>3</v>
      </c>
      <c r="H2052" s="24"/>
      <c r="I2052" s="25"/>
      <c r="J2052" s="25"/>
      <c r="K2052" s="19"/>
      <c r="L2052" s="20"/>
    </row>
    <row r="2053" spans="1:12" outlineLevel="2">
      <c r="A2053" s="21"/>
      <c r="B2053" s="12" t="str">
        <f>IFERROR(VLOOKUP(D2053,'[1]Перечень товаров'!$A$2:$I9525,2,0),"")</f>
        <v>т5</v>
      </c>
      <c r="C2053" s="12" t="str">
        <f>IFERROR(VLOOKUP(D2053,'[1]Перечень товаров'!$A$2:$I9525,3,0),"")</f>
        <v xml:space="preserve">Техника </v>
      </c>
      <c r="D2053" s="22" t="s">
        <v>32</v>
      </c>
      <c r="E2053" s="102"/>
      <c r="F2053" s="102"/>
      <c r="G2053" s="24">
        <v>1</v>
      </c>
      <c r="H2053" s="24"/>
      <c r="I2053" s="25"/>
      <c r="J2053" s="25"/>
      <c r="K2053" s="19"/>
      <c r="L2053" s="20"/>
    </row>
    <row r="2054" spans="1:12" outlineLevel="2">
      <c r="A2054" s="35"/>
      <c r="B2054" s="12" t="str">
        <f>IFERROR(VLOOKUP(D2054,'[1]Перечень товаров'!$A$2:$I9525,2,0),"")</f>
        <v>т6</v>
      </c>
      <c r="C2054" s="12" t="str">
        <f>IFERROR(VLOOKUP(D2054,'[1]Перечень товаров'!$A$2:$I9525,3,0),"")</f>
        <v xml:space="preserve">Техника </v>
      </c>
      <c r="D2054" s="35" t="s">
        <v>33</v>
      </c>
      <c r="E2054" s="102"/>
      <c r="F2054" s="102"/>
      <c r="G2054" s="24">
        <v>3</v>
      </c>
      <c r="H2054" s="24"/>
      <c r="I2054" s="25"/>
      <c r="J2054" s="25"/>
      <c r="K2054" s="19"/>
      <c r="L2054" s="20"/>
    </row>
    <row r="2055" spans="1:12" outlineLevel="2">
      <c r="A2055" s="21"/>
      <c r="B2055" s="12" t="str">
        <f>IFERROR(VLOOKUP(D2055,'[1]Перечень товаров'!$A$2:$I9525,2,0),"")</f>
        <v>т7</v>
      </c>
      <c r="C2055" s="12" t="str">
        <f>IFERROR(VLOOKUP(D2055,'[1]Перечень товаров'!$A$2:$I9525,3,0),"")</f>
        <v xml:space="preserve">Техника </v>
      </c>
      <c r="D2055" s="22" t="s">
        <v>34</v>
      </c>
      <c r="E2055" s="102"/>
      <c r="F2055" s="102"/>
      <c r="G2055" s="24">
        <v>3</v>
      </c>
      <c r="H2055" s="24"/>
      <c r="I2055" s="25"/>
      <c r="J2055" s="25"/>
      <c r="K2055" s="19"/>
      <c r="L2055" s="20"/>
    </row>
    <row r="2056" spans="1:12" outlineLevel="2">
      <c r="A2056" s="21"/>
      <c r="B2056" s="12" t="str">
        <f>IFERROR(VLOOKUP(D2056,'[1]Перечень товаров'!$A$2:$I9525,2,0),"")</f>
        <v>т8</v>
      </c>
      <c r="C2056" s="12" t="str">
        <f>IFERROR(VLOOKUP(D2056,'[1]Перечень товаров'!$A$2:$I9525,3,0),"")</f>
        <v xml:space="preserve">Техника </v>
      </c>
      <c r="D2056" s="22" t="s">
        <v>35</v>
      </c>
      <c r="E2056" s="102"/>
      <c r="F2056" s="102"/>
      <c r="G2056" s="24">
        <v>3</v>
      </c>
      <c r="H2056" s="24"/>
      <c r="I2056" s="25"/>
      <c r="J2056" s="25"/>
      <c r="K2056" s="19"/>
      <c r="L2056" s="20"/>
    </row>
    <row r="2057" spans="1:12" ht="12.75" outlineLevel="2">
      <c r="A2057" s="115"/>
      <c r="B2057" s="12" t="str">
        <f>IFERROR(VLOOKUP(D2057,'[1]Перечень товаров'!$A$2:$I9525,2,0),"")</f>
        <v/>
      </c>
      <c r="C2057" s="12" t="str">
        <f>IFERROR(VLOOKUP(D2057,'[1]Перечень товаров'!$A$2:$I9525,3,0),"")</f>
        <v/>
      </c>
      <c r="D2057" s="188" t="s">
        <v>19</v>
      </c>
      <c r="E2057" s="107"/>
      <c r="F2057" s="107"/>
      <c r="G2057" s="100"/>
      <c r="H2057" s="100"/>
      <c r="I2057" s="101"/>
      <c r="J2057" s="101"/>
      <c r="K2057" s="19"/>
      <c r="L2057" s="20"/>
    </row>
    <row r="2058" spans="1:12" outlineLevel="2">
      <c r="A2058" s="21"/>
      <c r="B2058" s="12" t="str">
        <f>IFERROR(VLOOKUP(D2058,'[1]Перечень товаров'!$A$2:$I9525,2,0),"")</f>
        <v>м11</v>
      </c>
      <c r="C2058" s="12" t="str">
        <f>IFERROR(VLOOKUP(D2058,'[1]Перечень товаров'!$A$2:$I9525,3,0),"")</f>
        <v>Мебель</v>
      </c>
      <c r="D2058" s="22" t="s">
        <v>737</v>
      </c>
      <c r="E2058" s="102"/>
      <c r="F2058" s="102"/>
      <c r="G2058" s="24">
        <v>3</v>
      </c>
      <c r="H2058" s="24"/>
      <c r="I2058" s="25"/>
      <c r="J2058" s="25"/>
      <c r="K2058" s="19"/>
      <c r="L2058" s="20"/>
    </row>
    <row r="2059" spans="1:12" outlineLevel="2">
      <c r="A2059" s="22"/>
      <c r="B2059" s="12" t="str">
        <f>IFERROR(VLOOKUP(D2059,'[1]Перечень товаров'!$A$2:$I9525,2,0),"")</f>
        <v>м12</v>
      </c>
      <c r="C2059" s="12" t="str">
        <f>IFERROR(VLOOKUP(D2059,'[1]Перечень товаров'!$A$2:$I9525,3,0),"")</f>
        <v>Мебель</v>
      </c>
      <c r="D2059" s="22" t="s">
        <v>21</v>
      </c>
      <c r="E2059" s="102"/>
      <c r="F2059" s="102"/>
      <c r="G2059" s="24">
        <v>3</v>
      </c>
      <c r="H2059" s="24"/>
      <c r="I2059" s="25"/>
      <c r="J2059" s="25"/>
      <c r="K2059" s="19"/>
      <c r="L2059" s="20"/>
    </row>
    <row r="2060" spans="1:12" outlineLevel="2">
      <c r="A2060" s="21"/>
      <c r="B2060" s="12" t="str">
        <f>IFERROR(VLOOKUP(D2060,'[1]Перечень товаров'!$A$2:$I9525,2,0),"")</f>
        <v>м13</v>
      </c>
      <c r="C2060" s="12" t="str">
        <f>IFERROR(VLOOKUP(D2060,'[1]Перечень товаров'!$A$2:$I9525,3,0),"")</f>
        <v>Мебель</v>
      </c>
      <c r="D2060" s="22" t="s">
        <v>42</v>
      </c>
      <c r="E2060" s="102"/>
      <c r="F2060" s="102"/>
      <c r="G2060" s="24">
        <v>2</v>
      </c>
      <c r="H2060" s="24"/>
      <c r="I2060" s="25"/>
      <c r="J2060" s="25"/>
      <c r="K2060" s="19"/>
      <c r="L2060" s="20"/>
    </row>
    <row r="2061" spans="1:12" outlineLevel="2">
      <c r="A2061" s="21"/>
      <c r="B2061" s="12" t="str">
        <f>IFERROR(VLOOKUP(D2061,'[1]Перечень товаров'!$A$2:$I9525,2,0),"")</f>
        <v>м14</v>
      </c>
      <c r="C2061" s="12" t="str">
        <f>IFERROR(VLOOKUP(D2061,'[1]Перечень товаров'!$A$2:$I9525,3,0),"")</f>
        <v>Мебель</v>
      </c>
      <c r="D2061" s="22" t="s">
        <v>43</v>
      </c>
      <c r="E2061" s="102"/>
      <c r="F2061" s="102"/>
      <c r="G2061" s="24">
        <v>1</v>
      </c>
      <c r="H2061" s="24"/>
      <c r="I2061" s="25"/>
      <c r="J2061" s="25"/>
      <c r="K2061" s="19"/>
      <c r="L2061" s="20"/>
    </row>
    <row r="2062" spans="1:12" outlineLevel="2">
      <c r="A2062" s="21"/>
      <c r="B2062" s="12" t="str">
        <f>IFERROR(VLOOKUP(D2062,'[1]Перечень товаров'!$A$2:$I9525,2,0),"")</f>
        <v>п3</v>
      </c>
      <c r="C2062" s="12" t="str">
        <f>IFERROR(VLOOKUP(D2062,'[1]Перечень товаров'!$A$2:$I9525,3,0),"")</f>
        <v>Прочее</v>
      </c>
      <c r="D2062" s="22" t="s">
        <v>47</v>
      </c>
      <c r="E2062" s="102"/>
      <c r="F2062" s="102"/>
      <c r="G2062" s="24">
        <v>3</v>
      </c>
      <c r="H2062" s="24"/>
      <c r="I2062" s="25"/>
      <c r="J2062" s="25"/>
      <c r="K2062" s="19"/>
      <c r="L2062" s="20"/>
    </row>
    <row r="2063" spans="1:12" outlineLevel="1">
      <c r="A2063" s="21"/>
      <c r="B2063" s="12" t="str">
        <f>IFERROR(VLOOKUP(D2063,'[1]Перечень товаров'!$A$2:$I9525,2,0),"")</f>
        <v/>
      </c>
      <c r="C2063" s="12" t="str">
        <f>IFERROR(VLOOKUP(D2063,'[1]Перечень товаров'!$A$2:$I9525,3,0),"")</f>
        <v/>
      </c>
      <c r="D2063" s="22" t="s">
        <v>345</v>
      </c>
      <c r="E2063" s="102">
        <v>46184</v>
      </c>
      <c r="F2063" s="102"/>
      <c r="G2063" s="103"/>
      <c r="H2063" s="103"/>
      <c r="I2063" s="104"/>
      <c r="J2063" s="104"/>
      <c r="K2063" s="19"/>
      <c r="L2063" s="20"/>
    </row>
    <row r="2064" spans="1:12" ht="12.75" outlineLevel="1">
      <c r="A2064" s="11"/>
      <c r="B2064" s="12" t="str">
        <f>IFERROR(VLOOKUP(D2064,'[1]Перечень товаров'!$A$2:$I9525,2,0),"")</f>
        <v/>
      </c>
      <c r="C2064" s="12" t="str">
        <f>IFERROR(VLOOKUP(D2064,'[1]Перечень товаров'!$A$2:$I9525,3,0),"")</f>
        <v/>
      </c>
      <c r="D2064" s="27" t="s">
        <v>738</v>
      </c>
      <c r="E2064" s="14" t="s">
        <v>739</v>
      </c>
      <c r="F2064" s="14"/>
      <c r="G2064" s="17"/>
      <c r="H2064" s="17"/>
      <c r="I2064" s="57"/>
      <c r="J2064" s="57"/>
      <c r="K2064" s="19"/>
      <c r="L2064" s="20"/>
    </row>
    <row r="2065" spans="1:12" ht="30" outlineLevel="2">
      <c r="A2065" s="189"/>
      <c r="B2065" s="12" t="str">
        <f>IFERROR(VLOOKUP(D2065,'[1]Перечень товаров'!$A$2:$I9525,2,0),"")</f>
        <v/>
      </c>
      <c r="C2065" s="12" t="str">
        <f>IFERROR(VLOOKUP(D2065,'[1]Перечень товаров'!$A$2:$I9525,3,0),"")</f>
        <v/>
      </c>
      <c r="D2065" s="190" t="s">
        <v>740</v>
      </c>
      <c r="E2065" s="61"/>
      <c r="F2065" s="61"/>
      <c r="G2065" s="186"/>
      <c r="H2065" s="186"/>
      <c r="I2065" s="187"/>
      <c r="J2065" s="187"/>
      <c r="K2065" s="19"/>
      <c r="L2065" s="20"/>
    </row>
    <row r="2066" spans="1:12" ht="30" outlineLevel="2">
      <c r="A2066" s="179"/>
      <c r="B2066" s="12" t="str">
        <f>IFERROR(VLOOKUP(D2066,'[1]Перечень товаров'!$A$2:$I9525,2,0),"")</f>
        <v/>
      </c>
      <c r="C2066" s="12" t="str">
        <f>IFERROR(VLOOKUP(D2066,'[1]Перечень товаров'!$A$2:$I9525,3,0),"")</f>
        <v/>
      </c>
      <c r="D2066" s="180" t="s">
        <v>668</v>
      </c>
      <c r="E2066" s="61"/>
      <c r="F2066" s="61"/>
      <c r="G2066" s="186"/>
      <c r="H2066" s="186"/>
      <c r="I2066" s="187"/>
      <c r="J2066" s="187"/>
      <c r="K2066" s="19"/>
      <c r="L2066" s="20"/>
    </row>
    <row r="2067" spans="1:12" outlineLevel="2">
      <c r="A2067" s="191"/>
      <c r="B2067" s="12" t="str">
        <f>IFERROR(VLOOKUP(D2067,'[1]Перечень товаров'!$A$2:$I9525,2,0),"")</f>
        <v>т9</v>
      </c>
      <c r="C2067" s="12" t="str">
        <f>IFERROR(VLOOKUP(D2067,'[1]Перечень товаров'!$A$2:$I9525,3,0),"")</f>
        <v>Техника</v>
      </c>
      <c r="D2067" s="192" t="s">
        <v>36</v>
      </c>
      <c r="E2067" s="23"/>
      <c r="F2067" s="23"/>
      <c r="G2067" s="193">
        <v>1</v>
      </c>
      <c r="H2067" s="193"/>
      <c r="I2067" s="194"/>
      <c r="J2067" s="194"/>
      <c r="K2067" s="19"/>
      <c r="L2067" s="20"/>
    </row>
    <row r="2068" spans="1:12" outlineLevel="2">
      <c r="A2068" s="191"/>
      <c r="B2068" s="12" t="str">
        <f>IFERROR(VLOOKUP(D2068,'[1]Перечень товаров'!$A$2:$I9525,2,0),"")</f>
        <v>т234</v>
      </c>
      <c r="C2068" s="12" t="str">
        <f>IFERROR(VLOOKUP(D2068,'[1]Перечень товаров'!$A$2:$I9525,3,0),"")</f>
        <v>Техника</v>
      </c>
      <c r="D2068" s="192" t="s">
        <v>741</v>
      </c>
      <c r="E2068" s="23"/>
      <c r="F2068" s="23"/>
      <c r="G2068" s="193">
        <v>1</v>
      </c>
      <c r="H2068" s="193"/>
      <c r="I2068" s="194"/>
      <c r="J2068" s="194"/>
      <c r="K2068" s="19"/>
      <c r="L2068" s="20"/>
    </row>
    <row r="2069" spans="1:12" outlineLevel="2">
      <c r="A2069" s="191"/>
      <c r="B2069" s="12" t="str">
        <f>IFERROR(VLOOKUP(D2069,'[1]Перечень товаров'!$A$2:$I9525,2,0),"")</f>
        <v>т1</v>
      </c>
      <c r="C2069" s="12" t="str">
        <f>IFERROR(VLOOKUP(D2069,'[1]Перечень товаров'!$A$2:$I9525,3,0),"")</f>
        <v xml:space="preserve">Техника </v>
      </c>
      <c r="D2069" s="192" t="s">
        <v>28</v>
      </c>
      <c r="E2069" s="23"/>
      <c r="F2069" s="23"/>
      <c r="G2069" s="193">
        <v>1</v>
      </c>
      <c r="H2069" s="193"/>
      <c r="I2069" s="194"/>
      <c r="J2069" s="194"/>
      <c r="K2069" s="19"/>
      <c r="L2069" s="20"/>
    </row>
    <row r="2070" spans="1:12" outlineLevel="2">
      <c r="A2070" s="191"/>
      <c r="B2070" s="12" t="str">
        <f>IFERROR(VLOOKUP(D2070,'[1]Перечень товаров'!$A$2:$I9525,2,0),"")</f>
        <v>т235</v>
      </c>
      <c r="C2070" s="12" t="str">
        <f>IFERROR(VLOOKUP(D2070,'[1]Перечень товаров'!$A$2:$I9525,3,0),"")</f>
        <v>Техника</v>
      </c>
      <c r="D2070" s="192" t="s">
        <v>742</v>
      </c>
      <c r="E2070" s="23"/>
      <c r="F2070" s="23"/>
      <c r="G2070" s="193">
        <v>1</v>
      </c>
      <c r="H2070" s="193"/>
      <c r="I2070" s="194"/>
      <c r="J2070" s="194"/>
      <c r="K2070" s="19"/>
      <c r="L2070" s="20"/>
    </row>
    <row r="2071" spans="1:12" outlineLevel="2">
      <c r="A2071" s="191"/>
      <c r="B2071" s="12" t="str">
        <f>IFERROR(VLOOKUP(D2071,'[1]Перечень товаров'!$A$2:$I9525,2,0),"")</f>
        <v>т8</v>
      </c>
      <c r="C2071" s="12" t="str">
        <f>IFERROR(VLOOKUP(D2071,'[1]Перечень товаров'!$A$2:$I9525,3,0),"")</f>
        <v xml:space="preserve">Техника </v>
      </c>
      <c r="D2071" s="192" t="s">
        <v>35</v>
      </c>
      <c r="E2071" s="23"/>
      <c r="F2071" s="23"/>
      <c r="G2071" s="193">
        <v>1</v>
      </c>
      <c r="H2071" s="193"/>
      <c r="I2071" s="194"/>
      <c r="J2071" s="194"/>
      <c r="K2071" s="19"/>
      <c r="L2071" s="20"/>
    </row>
    <row r="2072" spans="1:12" outlineLevel="2">
      <c r="A2072" s="191"/>
      <c r="B2072" s="12" t="str">
        <f>IFERROR(VLOOKUP(D2072,'[1]Перечень товаров'!$A$2:$I9525,2,0),"")</f>
        <v>т236</v>
      </c>
      <c r="C2072" s="12" t="str">
        <f>IFERROR(VLOOKUP(D2072,'[1]Перечень товаров'!$A$2:$I9525,3,0),"")</f>
        <v>Техника</v>
      </c>
      <c r="D2072" s="192" t="s">
        <v>743</v>
      </c>
      <c r="E2072" s="23"/>
      <c r="F2072" s="23"/>
      <c r="G2072" s="193">
        <v>1</v>
      </c>
      <c r="H2072" s="193"/>
      <c r="I2072" s="194"/>
      <c r="J2072" s="194"/>
      <c r="K2072" s="19"/>
      <c r="L2072" s="20"/>
    </row>
    <row r="2073" spans="1:12" outlineLevel="2">
      <c r="A2073" s="191"/>
      <c r="B2073" s="12" t="str">
        <f>IFERROR(VLOOKUP(D2073,'[1]Перечень товаров'!$A$2:$I9525,2,0),"")</f>
        <v>т237</v>
      </c>
      <c r="C2073" s="12" t="str">
        <f>IFERROR(VLOOKUP(D2073,'[1]Перечень товаров'!$A$2:$I9525,3,0),"")</f>
        <v>Техника</v>
      </c>
      <c r="D2073" s="192" t="s">
        <v>744</v>
      </c>
      <c r="E2073" s="23"/>
      <c r="F2073" s="23"/>
      <c r="G2073" s="193">
        <v>1</v>
      </c>
      <c r="H2073" s="193"/>
      <c r="I2073" s="194"/>
      <c r="J2073" s="194"/>
      <c r="K2073" s="19"/>
      <c r="L2073" s="20"/>
    </row>
    <row r="2074" spans="1:12" ht="31.5" outlineLevel="2">
      <c r="A2074" s="191"/>
      <c r="B2074" s="12" t="str">
        <f>IFERROR(VLOOKUP(D2074,'[1]Перечень товаров'!$A$2:$I9525,2,0),"")</f>
        <v>т238</v>
      </c>
      <c r="C2074" s="12" t="str">
        <f>IFERROR(VLOOKUP(D2074,'[1]Перечень товаров'!$A$2:$I9525,3,0),"")</f>
        <v>Техника</v>
      </c>
      <c r="D2074" s="192" t="s">
        <v>745</v>
      </c>
      <c r="E2074" s="23"/>
      <c r="F2074" s="23"/>
      <c r="G2074" s="193">
        <v>1</v>
      </c>
      <c r="H2074" s="193"/>
      <c r="I2074" s="194"/>
      <c r="J2074" s="194"/>
      <c r="K2074" s="19"/>
      <c r="L2074" s="20"/>
    </row>
    <row r="2075" spans="1:12" ht="15" outlineLevel="2">
      <c r="A2075" s="181"/>
      <c r="B2075" s="12" t="str">
        <f>IFERROR(VLOOKUP(D2075,'[1]Перечень товаров'!$A$2:$I9525,2,0),"")</f>
        <v/>
      </c>
      <c r="C2075" s="12" t="str">
        <f>IFERROR(VLOOKUP(D2075,'[1]Перечень товаров'!$A$2:$I9525,3,0),"")</f>
        <v/>
      </c>
      <c r="D2075" s="182" t="s">
        <v>19</v>
      </c>
      <c r="E2075" s="45"/>
      <c r="F2075" s="45"/>
      <c r="G2075" s="195"/>
      <c r="H2075" s="195"/>
      <c r="I2075" s="196"/>
      <c r="J2075" s="196"/>
      <c r="K2075" s="19"/>
      <c r="L2075" s="20"/>
    </row>
    <row r="2076" spans="1:12" ht="31.5" outlineLevel="2">
      <c r="A2076" s="191"/>
      <c r="B2076" s="12" t="str">
        <f>IFERROR(VLOOKUP(D2076,'[1]Перечень товаров'!$A$2:$I9525,2,0),"")</f>
        <v>м205</v>
      </c>
      <c r="C2076" s="12" t="str">
        <f>IFERROR(VLOOKUP(D2076,'[1]Перечень товаров'!$A$2:$I9525,3,0),"")</f>
        <v>Мебель</v>
      </c>
      <c r="D2076" s="192" t="s">
        <v>20</v>
      </c>
      <c r="E2076" s="23"/>
      <c r="F2076" s="23"/>
      <c r="G2076" s="193">
        <v>1</v>
      </c>
      <c r="H2076" s="193"/>
      <c r="I2076" s="194"/>
      <c r="J2076" s="194"/>
      <c r="K2076" s="19"/>
      <c r="L2076" s="20"/>
    </row>
    <row r="2077" spans="1:12" ht="31.5" outlineLevel="2">
      <c r="A2077" s="191"/>
      <c r="B2077" s="12" t="str">
        <f>IFERROR(VLOOKUP(D2077,'[1]Перечень товаров'!$A$2:$I9525,2,0),"")</f>
        <v>м206</v>
      </c>
      <c r="C2077" s="12" t="str">
        <f>IFERROR(VLOOKUP(D2077,'[1]Перечень товаров'!$A$2:$I9525,3,0),"")</f>
        <v>Мебель</v>
      </c>
      <c r="D2077" s="192" t="s">
        <v>746</v>
      </c>
      <c r="E2077" s="23"/>
      <c r="F2077" s="23"/>
      <c r="G2077" s="193">
        <v>1</v>
      </c>
      <c r="H2077" s="193"/>
      <c r="I2077" s="194"/>
      <c r="J2077" s="194"/>
      <c r="K2077" s="19"/>
      <c r="L2077" s="20"/>
    </row>
    <row r="2078" spans="1:12" ht="31.5" outlineLevel="2">
      <c r="A2078" s="191"/>
      <c r="B2078" s="12" t="str">
        <f>IFERROR(VLOOKUP(D2078,'[1]Перечень товаров'!$A$2:$I9525,2,0),"")</f>
        <v>м207</v>
      </c>
      <c r="C2078" s="12" t="str">
        <f>IFERROR(VLOOKUP(D2078,'[1]Перечень товаров'!$A$2:$I9525,3,0),"")</f>
        <v>Мебель</v>
      </c>
      <c r="D2078" s="192" t="s">
        <v>747</v>
      </c>
      <c r="E2078" s="23"/>
      <c r="F2078" s="23"/>
      <c r="G2078" s="193">
        <v>13</v>
      </c>
      <c r="H2078" s="193"/>
      <c r="I2078" s="194"/>
      <c r="J2078" s="194"/>
      <c r="K2078" s="19"/>
      <c r="L2078" s="20"/>
    </row>
    <row r="2079" spans="1:12" outlineLevel="2">
      <c r="A2079" s="191"/>
      <c r="B2079" s="12" t="str">
        <f>IFERROR(VLOOKUP(D2079,'[1]Перечень товаров'!$A$2:$I9525,2,0),"")</f>
        <v>м208</v>
      </c>
      <c r="C2079" s="12" t="str">
        <f>IFERROR(VLOOKUP(D2079,'[1]Перечень товаров'!$A$2:$I9525,3,0),"")</f>
        <v>Мебель</v>
      </c>
      <c r="D2079" s="192" t="s">
        <v>748</v>
      </c>
      <c r="E2079" s="23"/>
      <c r="F2079" s="23"/>
      <c r="G2079" s="193">
        <v>26</v>
      </c>
      <c r="H2079" s="193"/>
      <c r="I2079" s="194"/>
      <c r="J2079" s="194"/>
      <c r="K2079" s="19"/>
      <c r="L2079" s="20"/>
    </row>
    <row r="2080" spans="1:12" outlineLevel="2">
      <c r="A2080" s="191"/>
      <c r="B2080" s="12" t="str">
        <f>IFERROR(VLOOKUP(D2080,'[1]Перечень товаров'!$A$2:$I9525,2,0),"")</f>
        <v>м209</v>
      </c>
      <c r="C2080" s="12" t="str">
        <f>IFERROR(VLOOKUP(D2080,'[1]Перечень товаров'!$A$2:$I9525,3,0),"")</f>
        <v>Мебель</v>
      </c>
      <c r="D2080" s="192" t="s">
        <v>749</v>
      </c>
      <c r="E2080" s="23"/>
      <c r="F2080" s="23"/>
      <c r="G2080" s="193">
        <v>1</v>
      </c>
      <c r="H2080" s="193"/>
      <c r="I2080" s="194"/>
      <c r="J2080" s="194"/>
      <c r="K2080" s="19"/>
      <c r="L2080" s="20"/>
    </row>
    <row r="2081" spans="1:12" ht="47.25" outlineLevel="2">
      <c r="A2081" s="191"/>
      <c r="B2081" s="12" t="str">
        <f>IFERROR(VLOOKUP(D2081,'[1]Перечень товаров'!$A$2:$I9525,2,0),"")</f>
        <v>м210</v>
      </c>
      <c r="C2081" s="12" t="str">
        <f>IFERROR(VLOOKUP(D2081,'[1]Перечень товаров'!$A$2:$I9525,3,0),"")</f>
        <v>Мебель</v>
      </c>
      <c r="D2081" s="192" t="s">
        <v>750</v>
      </c>
      <c r="E2081" s="23"/>
      <c r="F2081" s="23"/>
      <c r="G2081" s="193">
        <v>2</v>
      </c>
      <c r="H2081" s="193"/>
      <c r="I2081" s="194"/>
      <c r="J2081" s="194"/>
      <c r="K2081" s="19"/>
      <c r="L2081" s="20"/>
    </row>
    <row r="2082" spans="1:12" ht="47.25" outlineLevel="2">
      <c r="A2082" s="191"/>
      <c r="B2082" s="12" t="str">
        <f>IFERROR(VLOOKUP(D2082,'[1]Перечень товаров'!$A$2:$I9525,2,0),"")</f>
        <v>п91</v>
      </c>
      <c r="C2082" s="12" t="str">
        <f>IFERROR(VLOOKUP(D2082,'[1]Перечень товаров'!$A$2:$I9525,3,0),"")</f>
        <v>Прочее</v>
      </c>
      <c r="D2082" s="192" t="s">
        <v>751</v>
      </c>
      <c r="E2082" s="23"/>
      <c r="F2082" s="23"/>
      <c r="G2082" s="193">
        <v>1</v>
      </c>
      <c r="H2082" s="193"/>
      <c r="I2082" s="194"/>
      <c r="J2082" s="194"/>
      <c r="K2082" s="19"/>
      <c r="L2082" s="20"/>
    </row>
    <row r="2083" spans="1:12" ht="15" outlineLevel="2">
      <c r="A2083" s="179"/>
      <c r="B2083" s="12" t="str">
        <f>IFERROR(VLOOKUP(D2083,'[1]Перечень товаров'!$A$2:$I9525,2,0),"")</f>
        <v/>
      </c>
      <c r="C2083" s="12" t="str">
        <f>IFERROR(VLOOKUP(D2083,'[1]Перечень товаров'!$A$2:$I9525,3,0),"")</f>
        <v/>
      </c>
      <c r="D2083" s="180" t="s">
        <v>752</v>
      </c>
      <c r="E2083" s="61"/>
      <c r="F2083" s="61"/>
      <c r="G2083" s="195"/>
      <c r="H2083" s="195"/>
      <c r="I2083" s="196"/>
      <c r="J2083" s="196"/>
      <c r="K2083" s="19"/>
      <c r="L2083" s="20"/>
    </row>
    <row r="2084" spans="1:12" ht="15" outlineLevel="2">
      <c r="A2084" s="179"/>
      <c r="B2084" s="12" t="str">
        <f>IFERROR(VLOOKUP(D2084,'[1]Перечень товаров'!$A$2:$I9525,2,0),"")</f>
        <v/>
      </c>
      <c r="C2084" s="12" t="str">
        <f>IFERROR(VLOOKUP(D2084,'[1]Перечень товаров'!$A$2:$I9525,3,0),"")</f>
        <v/>
      </c>
      <c r="D2084" s="180" t="s">
        <v>753</v>
      </c>
      <c r="E2084" s="61"/>
      <c r="F2084" s="61"/>
      <c r="G2084" s="195"/>
      <c r="H2084" s="195"/>
      <c r="I2084" s="196"/>
      <c r="J2084" s="196"/>
      <c r="K2084" s="19"/>
      <c r="L2084" s="20"/>
    </row>
    <row r="2085" spans="1:12" ht="31.5" outlineLevel="2">
      <c r="A2085" s="191"/>
      <c r="B2085" s="12" t="str">
        <f>IFERROR(VLOOKUP(D2085,'[1]Перечень товаров'!$A$2:$I9525,2,0),"")</f>
        <v>д13</v>
      </c>
      <c r="C2085" s="12" t="str">
        <f>IFERROR(VLOOKUP(D2085,'[1]Перечень товаров'!$A$2:$I9525,3,0),"")</f>
        <v>Дидактика</v>
      </c>
      <c r="D2085" s="192" t="s">
        <v>754</v>
      </c>
      <c r="E2085" s="23"/>
      <c r="F2085" s="23"/>
      <c r="G2085" s="193">
        <v>1</v>
      </c>
      <c r="H2085" s="193"/>
      <c r="I2085" s="194"/>
      <c r="J2085" s="194"/>
      <c r="K2085" s="19"/>
      <c r="L2085" s="20"/>
    </row>
    <row r="2086" spans="1:12" ht="47.25" outlineLevel="2">
      <c r="A2086" s="191"/>
      <c r="B2086" s="12" t="str">
        <f>IFERROR(VLOOKUP(D2086,'[1]Перечень товаров'!$A$2:$I9525,2,0),"")</f>
        <v>д14</v>
      </c>
      <c r="C2086" s="12" t="str">
        <f>IFERROR(VLOOKUP(D2086,'[1]Перечень товаров'!$A$2:$I9525,3,0),"")</f>
        <v>Дидактика</v>
      </c>
      <c r="D2086" s="192" t="s">
        <v>755</v>
      </c>
      <c r="E2086" s="23"/>
      <c r="F2086" s="23"/>
      <c r="G2086" s="193">
        <v>1</v>
      </c>
      <c r="H2086" s="193"/>
      <c r="I2086" s="194"/>
      <c r="J2086" s="194"/>
      <c r="K2086" s="19"/>
      <c r="L2086" s="20"/>
    </row>
    <row r="2087" spans="1:12" ht="31.5" outlineLevel="2">
      <c r="A2087" s="191"/>
      <c r="B2087" s="12" t="str">
        <f>IFERROR(VLOOKUP(D2087,'[1]Перечень товаров'!$A$2:$I9525,2,0),"")</f>
        <v>д15</v>
      </c>
      <c r="C2087" s="12" t="str">
        <f>IFERROR(VLOOKUP(D2087,'[1]Перечень товаров'!$A$2:$I9525,3,0),"")</f>
        <v>Дидактика</v>
      </c>
      <c r="D2087" s="192" t="s">
        <v>756</v>
      </c>
      <c r="E2087" s="23"/>
      <c r="F2087" s="23"/>
      <c r="G2087" s="193">
        <v>1</v>
      </c>
      <c r="H2087" s="193"/>
      <c r="I2087" s="194"/>
      <c r="J2087" s="194"/>
      <c r="K2087" s="19"/>
      <c r="L2087" s="20"/>
    </row>
    <row r="2088" spans="1:12" ht="30" outlineLevel="2">
      <c r="A2088" s="179"/>
      <c r="B2088" s="12" t="str">
        <f>IFERROR(VLOOKUP(D2088,'[1]Перечень товаров'!$A$2:$I9525,2,0),"")</f>
        <v/>
      </c>
      <c r="C2088" s="12" t="str">
        <f>IFERROR(VLOOKUP(D2088,'[1]Перечень товаров'!$A$2:$I9525,3,0),"")</f>
        <v/>
      </c>
      <c r="D2088" s="180" t="s">
        <v>757</v>
      </c>
      <c r="E2088" s="61"/>
      <c r="F2088" s="61"/>
      <c r="G2088" s="195"/>
      <c r="H2088" s="195"/>
      <c r="I2088" s="196"/>
      <c r="J2088" s="196"/>
      <c r="K2088" s="19"/>
      <c r="L2088" s="20"/>
    </row>
    <row r="2089" spans="1:12" outlineLevel="2">
      <c r="A2089" s="191"/>
      <c r="B2089" s="12" t="str">
        <f>IFERROR(VLOOKUP(D2089,'[1]Перечень товаров'!$A$2:$I9525,2,0),"")</f>
        <v>п92</v>
      </c>
      <c r="C2089" s="12" t="str">
        <f>IFERROR(VLOOKUP(D2089,'[1]Перечень товаров'!$A$2:$I9525,3,0),"")</f>
        <v>Прочее</v>
      </c>
      <c r="D2089" s="192" t="s">
        <v>758</v>
      </c>
      <c r="E2089" s="23"/>
      <c r="F2089" s="23"/>
      <c r="G2089" s="193">
        <v>13</v>
      </c>
      <c r="H2089" s="193"/>
      <c r="I2089" s="194"/>
      <c r="J2089" s="194"/>
      <c r="K2089" s="19"/>
      <c r="L2089" s="20"/>
    </row>
    <row r="2090" spans="1:12" ht="31.5" outlineLevel="2">
      <c r="A2090" s="191"/>
      <c r="B2090" s="12" t="str">
        <f>IFERROR(VLOOKUP(D2090,'[1]Перечень товаров'!$A$2:$I9525,2,0),"")</f>
        <v>д16</v>
      </c>
      <c r="C2090" s="12" t="str">
        <f>IFERROR(VLOOKUP(D2090,'[1]Перечень товаров'!$A$2:$I9525,3,0),"")</f>
        <v>Дидактика</v>
      </c>
      <c r="D2090" s="192" t="s">
        <v>759</v>
      </c>
      <c r="E2090" s="23"/>
      <c r="F2090" s="23"/>
      <c r="G2090" s="193">
        <v>1</v>
      </c>
      <c r="H2090" s="193"/>
      <c r="I2090" s="194"/>
      <c r="J2090" s="194"/>
      <c r="K2090" s="19"/>
      <c r="L2090" s="20"/>
    </row>
    <row r="2091" spans="1:12" ht="31.5" outlineLevel="2">
      <c r="A2091" s="191"/>
      <c r="B2091" s="12" t="str">
        <f>IFERROR(VLOOKUP(D2091,'[1]Перечень товаров'!$A$2:$I9525,2,0),"")</f>
        <v>д17</v>
      </c>
      <c r="C2091" s="12" t="str">
        <f>IFERROR(VLOOKUP(D2091,'[1]Перечень товаров'!$A$2:$I9525,3,0),"")</f>
        <v>Дидактика</v>
      </c>
      <c r="D2091" s="192" t="s">
        <v>760</v>
      </c>
      <c r="E2091" s="23"/>
      <c r="F2091" s="23"/>
      <c r="G2091" s="193">
        <v>1</v>
      </c>
      <c r="H2091" s="193"/>
      <c r="I2091" s="194"/>
      <c r="J2091" s="194"/>
      <c r="K2091" s="19"/>
      <c r="L2091" s="20"/>
    </row>
    <row r="2092" spans="1:12" ht="31.5" outlineLevel="2">
      <c r="A2092" s="191"/>
      <c r="B2092" s="12" t="str">
        <f>IFERROR(VLOOKUP(D2092,'[1]Перечень товаров'!$A$2:$I9525,2,0),"")</f>
        <v>д18</v>
      </c>
      <c r="C2092" s="12" t="str">
        <f>IFERROR(VLOOKUP(D2092,'[1]Перечень товаров'!$A$2:$I9525,3,0),"")</f>
        <v>Дидактика</v>
      </c>
      <c r="D2092" s="192" t="s">
        <v>761</v>
      </c>
      <c r="E2092" s="23"/>
      <c r="F2092" s="23"/>
      <c r="G2092" s="193">
        <v>13</v>
      </c>
      <c r="H2092" s="193"/>
      <c r="I2092" s="194"/>
      <c r="J2092" s="194"/>
      <c r="K2092" s="19"/>
      <c r="L2092" s="20"/>
    </row>
    <row r="2093" spans="1:12" ht="31.5" outlineLevel="2">
      <c r="A2093" s="191"/>
      <c r="B2093" s="12" t="str">
        <f>IFERROR(VLOOKUP(D2093,'[1]Перечень товаров'!$A$2:$I9525,2,0),"")</f>
        <v>д19</v>
      </c>
      <c r="C2093" s="12" t="str">
        <f>IFERROR(VLOOKUP(D2093,'[1]Перечень товаров'!$A$2:$I9525,3,0),"")</f>
        <v>Дидактика</v>
      </c>
      <c r="D2093" s="192" t="s">
        <v>762</v>
      </c>
      <c r="E2093" s="23"/>
      <c r="F2093" s="23"/>
      <c r="G2093" s="193">
        <v>1</v>
      </c>
      <c r="H2093" s="193"/>
      <c r="I2093" s="194"/>
      <c r="J2093" s="194"/>
      <c r="K2093" s="19"/>
      <c r="L2093" s="20"/>
    </row>
    <row r="2094" spans="1:12" ht="31.5" outlineLevel="2">
      <c r="A2094" s="191"/>
      <c r="B2094" s="12" t="str">
        <f>IFERROR(VLOOKUP(D2094,'[1]Перечень товаров'!$A$2:$I9525,2,0),"")</f>
        <v>д20</v>
      </c>
      <c r="C2094" s="12" t="str">
        <f>IFERROR(VLOOKUP(D2094,'[1]Перечень товаров'!$A$2:$I9525,3,0),"")</f>
        <v>Дидактика</v>
      </c>
      <c r="D2094" s="192" t="s">
        <v>763</v>
      </c>
      <c r="E2094" s="23"/>
      <c r="F2094" s="23"/>
      <c r="G2094" s="193">
        <v>1</v>
      </c>
      <c r="H2094" s="193"/>
      <c r="I2094" s="194"/>
      <c r="J2094" s="194"/>
      <c r="K2094" s="19"/>
      <c r="L2094" s="20"/>
    </row>
    <row r="2095" spans="1:12" ht="63" outlineLevel="2">
      <c r="A2095" s="191"/>
      <c r="B2095" s="12" t="str">
        <f>IFERROR(VLOOKUP(D2095,'[1]Перечень товаров'!$A$2:$I9525,2,0),"")</f>
        <v>д21</v>
      </c>
      <c r="C2095" s="12" t="str">
        <f>IFERROR(VLOOKUP(D2095,'[1]Перечень товаров'!$A$2:$I9525,3,0),"")</f>
        <v>Дидактика</v>
      </c>
      <c r="D2095" s="192" t="s">
        <v>764</v>
      </c>
      <c r="E2095" s="23"/>
      <c r="F2095" s="23"/>
      <c r="G2095" s="193">
        <v>1</v>
      </c>
      <c r="H2095" s="193"/>
      <c r="I2095" s="194"/>
      <c r="J2095" s="194"/>
      <c r="K2095" s="19"/>
      <c r="L2095" s="20"/>
    </row>
    <row r="2096" spans="1:12" ht="47.25" outlineLevel="2">
      <c r="A2096" s="191"/>
      <c r="B2096" s="12" t="str">
        <f>IFERROR(VLOOKUP(D2096,'[1]Перечень товаров'!$A$2:$I9525,2,0),"")</f>
        <v>д22</v>
      </c>
      <c r="C2096" s="12" t="str">
        <f>IFERROR(VLOOKUP(D2096,'[1]Перечень товаров'!$A$2:$I9525,3,0),"")</f>
        <v>Дидактика</v>
      </c>
      <c r="D2096" s="192" t="s">
        <v>765</v>
      </c>
      <c r="E2096" s="23"/>
      <c r="F2096" s="23"/>
      <c r="G2096" s="193">
        <v>1</v>
      </c>
      <c r="H2096" s="193"/>
      <c r="I2096" s="194"/>
      <c r="J2096" s="194"/>
      <c r="K2096" s="19"/>
      <c r="L2096" s="20"/>
    </row>
    <row r="2097" spans="1:12" ht="31.5" outlineLevel="2">
      <c r="A2097" s="191"/>
      <c r="B2097" s="12" t="str">
        <f>IFERROR(VLOOKUP(D2097,'[1]Перечень товаров'!$A$2:$I9525,2,0),"")</f>
        <v>д23</v>
      </c>
      <c r="C2097" s="12" t="str">
        <f>IFERROR(VLOOKUP(D2097,'[1]Перечень товаров'!$A$2:$I9525,3,0),"")</f>
        <v>Дидактика</v>
      </c>
      <c r="D2097" s="192" t="s">
        <v>766</v>
      </c>
      <c r="E2097" s="23"/>
      <c r="F2097" s="23"/>
      <c r="G2097" s="193">
        <v>13</v>
      </c>
      <c r="H2097" s="193"/>
      <c r="I2097" s="194"/>
      <c r="J2097" s="194"/>
      <c r="K2097" s="19"/>
      <c r="L2097" s="20"/>
    </row>
    <row r="2098" spans="1:12" ht="78.75" outlineLevel="2">
      <c r="A2098" s="191"/>
      <c r="B2098" s="12" t="str">
        <f>IFERROR(VLOOKUP(D2098,'[1]Перечень товаров'!$A$2:$I9525,2,0),"")</f>
        <v>д24</v>
      </c>
      <c r="C2098" s="12" t="str">
        <f>IFERROR(VLOOKUP(D2098,'[1]Перечень товаров'!$A$2:$I9525,3,0),"")</f>
        <v>Дидактика</v>
      </c>
      <c r="D2098" s="192" t="s">
        <v>767</v>
      </c>
      <c r="E2098" s="23"/>
      <c r="F2098" s="23"/>
      <c r="G2098" s="193">
        <v>1</v>
      </c>
      <c r="H2098" s="193"/>
      <c r="I2098" s="194"/>
      <c r="J2098" s="194"/>
      <c r="K2098" s="19"/>
      <c r="L2098" s="20"/>
    </row>
    <row r="2099" spans="1:12" ht="31.5" outlineLevel="2">
      <c r="A2099" s="191"/>
      <c r="B2099" s="12" t="str">
        <f>IFERROR(VLOOKUP(D2099,'[1]Перечень товаров'!$A$2:$I9525,2,0),"")</f>
        <v>д25</v>
      </c>
      <c r="C2099" s="12" t="str">
        <f>IFERROR(VLOOKUP(D2099,'[1]Перечень товаров'!$A$2:$I9525,3,0),"")</f>
        <v>Дидактика</v>
      </c>
      <c r="D2099" s="192" t="s">
        <v>768</v>
      </c>
      <c r="E2099" s="23"/>
      <c r="F2099" s="23"/>
      <c r="G2099" s="193">
        <v>1</v>
      </c>
      <c r="H2099" s="193"/>
      <c r="I2099" s="194"/>
      <c r="J2099" s="194"/>
      <c r="K2099" s="19"/>
      <c r="L2099" s="20"/>
    </row>
    <row r="2100" spans="1:12" outlineLevel="2">
      <c r="A2100" s="191"/>
      <c r="B2100" s="12" t="str">
        <f>IFERROR(VLOOKUP(D2100,'[1]Перечень товаров'!$A$2:$I9525,2,0),"")</f>
        <v>п92</v>
      </c>
      <c r="C2100" s="12" t="str">
        <f>IFERROR(VLOOKUP(D2100,'[1]Перечень товаров'!$A$2:$I9525,3,0),"")</f>
        <v>Прочее</v>
      </c>
      <c r="D2100" s="192" t="s">
        <v>769</v>
      </c>
      <c r="E2100" s="23"/>
      <c r="F2100" s="23"/>
      <c r="G2100" s="193">
        <v>13</v>
      </c>
      <c r="H2100" s="193"/>
      <c r="I2100" s="194"/>
      <c r="J2100" s="194"/>
      <c r="K2100" s="19"/>
      <c r="L2100" s="20"/>
    </row>
    <row r="2101" spans="1:12" ht="15" outlineLevel="2">
      <c r="A2101" s="179"/>
      <c r="B2101" s="12" t="str">
        <f>IFERROR(VLOOKUP(D2101,'[1]Перечень товаров'!$A$2:$I9525,2,0),"")</f>
        <v/>
      </c>
      <c r="C2101" s="12" t="str">
        <f>IFERROR(VLOOKUP(D2101,'[1]Перечень товаров'!$A$2:$I9525,3,0),"")</f>
        <v/>
      </c>
      <c r="D2101" s="180" t="s">
        <v>770</v>
      </c>
      <c r="E2101" s="61"/>
      <c r="F2101" s="61"/>
      <c r="G2101" s="195"/>
      <c r="H2101" s="195"/>
      <c r="I2101" s="196"/>
      <c r="J2101" s="196"/>
      <c r="K2101" s="19"/>
      <c r="L2101" s="20"/>
    </row>
    <row r="2102" spans="1:12" ht="31.5" outlineLevel="2">
      <c r="A2102" s="191"/>
      <c r="B2102" s="12" t="str">
        <f>IFERROR(VLOOKUP(D2102,'[1]Перечень товаров'!$A$2:$I9525,2,0),"")</f>
        <v>д26</v>
      </c>
      <c r="C2102" s="12" t="str">
        <f>IFERROR(VLOOKUP(D2102,'[1]Перечень товаров'!$A$2:$I9525,3,0),"")</f>
        <v>Дидактика</v>
      </c>
      <c r="D2102" s="192" t="s">
        <v>771</v>
      </c>
      <c r="E2102" s="23"/>
      <c r="F2102" s="23"/>
      <c r="G2102" s="193">
        <v>1</v>
      </c>
      <c r="H2102" s="193"/>
      <c r="I2102" s="194"/>
      <c r="J2102" s="194"/>
      <c r="K2102" s="19"/>
      <c r="L2102" s="20"/>
    </row>
    <row r="2103" spans="1:12" ht="31.5" outlineLevel="2">
      <c r="A2103" s="191"/>
      <c r="B2103" s="12" t="str">
        <f>IFERROR(VLOOKUP(D2103,'[1]Перечень товаров'!$A$2:$I9525,2,0),"")</f>
        <v>д27</v>
      </c>
      <c r="C2103" s="12" t="str">
        <f>IFERROR(VLOOKUP(D2103,'[1]Перечень товаров'!$A$2:$I9525,3,0),"")</f>
        <v>Дидактика</v>
      </c>
      <c r="D2103" s="192" t="s">
        <v>772</v>
      </c>
      <c r="E2103" s="23"/>
      <c r="F2103" s="23"/>
      <c r="G2103" s="193">
        <v>1</v>
      </c>
      <c r="H2103" s="193"/>
      <c r="I2103" s="194"/>
      <c r="J2103" s="194"/>
      <c r="K2103" s="19"/>
      <c r="L2103" s="20"/>
    </row>
    <row r="2104" spans="1:12" ht="47.25" outlineLevel="2">
      <c r="A2104" s="191"/>
      <c r="B2104" s="12" t="str">
        <f>IFERROR(VLOOKUP(D2104,'[1]Перечень товаров'!$A$2:$I9525,2,0),"")</f>
        <v>д28</v>
      </c>
      <c r="C2104" s="12" t="str">
        <f>IFERROR(VLOOKUP(D2104,'[1]Перечень товаров'!$A$2:$I9525,3,0),"")</f>
        <v>Дидактика</v>
      </c>
      <c r="D2104" s="192" t="s">
        <v>773</v>
      </c>
      <c r="E2104" s="23"/>
      <c r="F2104" s="23"/>
      <c r="G2104" s="193">
        <v>1</v>
      </c>
      <c r="H2104" s="193"/>
      <c r="I2104" s="194"/>
      <c r="J2104" s="194"/>
      <c r="K2104" s="19"/>
      <c r="L2104" s="20"/>
    </row>
    <row r="2105" spans="1:12" ht="31.5" outlineLevel="2">
      <c r="A2105" s="191"/>
      <c r="B2105" s="12" t="str">
        <f>IFERROR(VLOOKUP(D2105,'[1]Перечень товаров'!$A$2:$I9525,2,0),"")</f>
        <v>д29</v>
      </c>
      <c r="C2105" s="12" t="str">
        <f>IFERROR(VLOOKUP(D2105,'[1]Перечень товаров'!$A$2:$I9525,3,0),"")</f>
        <v>Дидактика</v>
      </c>
      <c r="D2105" s="192" t="s">
        <v>774</v>
      </c>
      <c r="E2105" s="23"/>
      <c r="F2105" s="23"/>
      <c r="G2105" s="193">
        <v>1</v>
      </c>
      <c r="H2105" s="193"/>
      <c r="I2105" s="194"/>
      <c r="J2105" s="194"/>
      <c r="K2105" s="19"/>
      <c r="L2105" s="20"/>
    </row>
    <row r="2106" spans="1:12" ht="31.5" outlineLevel="2">
      <c r="A2106" s="191"/>
      <c r="B2106" s="12" t="str">
        <f>IFERROR(VLOOKUP(D2106,'[1]Перечень товаров'!$A$2:$I9525,2,0),"")</f>
        <v>д30</v>
      </c>
      <c r="C2106" s="12" t="str">
        <f>IFERROR(VLOOKUP(D2106,'[1]Перечень товаров'!$A$2:$I9525,3,0),"")</f>
        <v>Дидактика</v>
      </c>
      <c r="D2106" s="192" t="s">
        <v>775</v>
      </c>
      <c r="E2106" s="23"/>
      <c r="F2106" s="23"/>
      <c r="G2106" s="193">
        <v>1</v>
      </c>
      <c r="H2106" s="193"/>
      <c r="I2106" s="194"/>
      <c r="J2106" s="194"/>
      <c r="K2106" s="19"/>
      <c r="L2106" s="20"/>
    </row>
    <row r="2107" spans="1:12" ht="31.5" outlineLevel="2">
      <c r="A2107" s="191"/>
      <c r="B2107" s="12" t="str">
        <f>IFERROR(VLOOKUP(D2107,'[1]Перечень товаров'!$A$2:$I9525,2,0),"")</f>
        <v>д31</v>
      </c>
      <c r="C2107" s="12" t="str">
        <f>IFERROR(VLOOKUP(D2107,'[1]Перечень товаров'!$A$2:$I9525,3,0),"")</f>
        <v>Дидактика</v>
      </c>
      <c r="D2107" s="192" t="s">
        <v>776</v>
      </c>
      <c r="E2107" s="23"/>
      <c r="F2107" s="23"/>
      <c r="G2107" s="193">
        <v>1</v>
      </c>
      <c r="H2107" s="193"/>
      <c r="I2107" s="194"/>
      <c r="J2107" s="194"/>
      <c r="K2107" s="19"/>
      <c r="L2107" s="20"/>
    </row>
    <row r="2108" spans="1:12" ht="31.5" outlineLevel="2">
      <c r="A2108" s="191"/>
      <c r="B2108" s="12" t="str">
        <f>IFERROR(VLOOKUP(D2108,'[1]Перечень товаров'!$A$2:$I9525,2,0),"")</f>
        <v>д32</v>
      </c>
      <c r="C2108" s="12" t="str">
        <f>IFERROR(VLOOKUP(D2108,'[1]Перечень товаров'!$A$2:$I9525,3,0),"")</f>
        <v>Дидактика</v>
      </c>
      <c r="D2108" s="192" t="s">
        <v>777</v>
      </c>
      <c r="E2108" s="23"/>
      <c r="F2108" s="23"/>
      <c r="G2108" s="193">
        <v>1</v>
      </c>
      <c r="H2108" s="193"/>
      <c r="I2108" s="194"/>
      <c r="J2108" s="194"/>
      <c r="K2108" s="19"/>
      <c r="L2108" s="20"/>
    </row>
    <row r="2109" spans="1:12" ht="47.25" outlineLevel="2">
      <c r="A2109" s="191"/>
      <c r="B2109" s="12" t="str">
        <f>IFERROR(VLOOKUP(D2109,'[1]Перечень товаров'!$A$2:$I9525,2,0),"")</f>
        <v>д33</v>
      </c>
      <c r="C2109" s="12" t="str">
        <f>IFERROR(VLOOKUP(D2109,'[1]Перечень товаров'!$A$2:$I9525,3,0),"")</f>
        <v>Дидактика</v>
      </c>
      <c r="D2109" s="192" t="s">
        <v>778</v>
      </c>
      <c r="E2109" s="23"/>
      <c r="F2109" s="23"/>
      <c r="G2109" s="193">
        <v>1</v>
      </c>
      <c r="H2109" s="193"/>
      <c r="I2109" s="194"/>
      <c r="J2109" s="194"/>
      <c r="K2109" s="19"/>
      <c r="L2109" s="20"/>
    </row>
    <row r="2110" spans="1:12" ht="31.5" outlineLevel="2">
      <c r="A2110" s="191"/>
      <c r="B2110" s="12" t="str">
        <f>IFERROR(VLOOKUP(D2110,'[1]Перечень товаров'!$A$2:$I9525,2,0),"")</f>
        <v>д34</v>
      </c>
      <c r="C2110" s="12" t="str">
        <f>IFERROR(VLOOKUP(D2110,'[1]Перечень товаров'!$A$2:$I9525,3,0),"")</f>
        <v>Дидактика</v>
      </c>
      <c r="D2110" s="192" t="s">
        <v>779</v>
      </c>
      <c r="E2110" s="23"/>
      <c r="F2110" s="23"/>
      <c r="G2110" s="193">
        <v>1</v>
      </c>
      <c r="H2110" s="193"/>
      <c r="I2110" s="194"/>
      <c r="J2110" s="194"/>
      <c r="K2110" s="19"/>
      <c r="L2110" s="20"/>
    </row>
    <row r="2111" spans="1:12" ht="31.5" outlineLevel="2">
      <c r="A2111" s="191"/>
      <c r="B2111" s="12" t="str">
        <f>IFERROR(VLOOKUP(D2111,'[1]Перечень товаров'!$A$2:$I9525,2,0),"")</f>
        <v>д35</v>
      </c>
      <c r="C2111" s="12" t="str">
        <f>IFERROR(VLOOKUP(D2111,'[1]Перечень товаров'!$A$2:$I9525,3,0),"")</f>
        <v>Дидактика</v>
      </c>
      <c r="D2111" s="192" t="s">
        <v>780</v>
      </c>
      <c r="E2111" s="23"/>
      <c r="F2111" s="23"/>
      <c r="G2111" s="193">
        <v>1</v>
      </c>
      <c r="H2111" s="193"/>
      <c r="I2111" s="194"/>
      <c r="J2111" s="194"/>
      <c r="K2111" s="19"/>
      <c r="L2111" s="20"/>
    </row>
    <row r="2112" spans="1:12" ht="31.5" outlineLevel="2">
      <c r="A2112" s="191"/>
      <c r="B2112" s="12" t="str">
        <f>IFERROR(VLOOKUP(D2112,'[1]Перечень товаров'!$A$2:$I9525,2,0),"")</f>
        <v>д36</v>
      </c>
      <c r="C2112" s="12" t="str">
        <f>IFERROR(VLOOKUP(D2112,'[1]Перечень товаров'!$A$2:$I9525,3,0),"")</f>
        <v>Дидактика</v>
      </c>
      <c r="D2112" s="192" t="s">
        <v>781</v>
      </c>
      <c r="E2112" s="23"/>
      <c r="F2112" s="23"/>
      <c r="G2112" s="193">
        <v>1</v>
      </c>
      <c r="H2112" s="193"/>
      <c r="I2112" s="194"/>
      <c r="J2112" s="194"/>
      <c r="K2112" s="19"/>
      <c r="L2112" s="20"/>
    </row>
    <row r="2113" spans="1:12" outlineLevel="2">
      <c r="A2113" s="191"/>
      <c r="B2113" s="12" t="str">
        <f>IFERROR(VLOOKUP(D2113,'[1]Перечень товаров'!$A$2:$I9525,2,0),"")</f>
        <v>д37</v>
      </c>
      <c r="C2113" s="12" t="str">
        <f>IFERROR(VLOOKUP(D2113,'[1]Перечень товаров'!$A$2:$I9525,3,0),"")</f>
        <v>Дидактика</v>
      </c>
      <c r="D2113" s="192" t="s">
        <v>782</v>
      </c>
      <c r="E2113" s="23"/>
      <c r="F2113" s="23"/>
      <c r="G2113" s="193">
        <v>1</v>
      </c>
      <c r="H2113" s="193"/>
      <c r="I2113" s="194"/>
      <c r="J2113" s="194"/>
      <c r="K2113" s="19"/>
      <c r="L2113" s="20"/>
    </row>
    <row r="2114" spans="1:12" ht="31.5" outlineLevel="2">
      <c r="A2114" s="191"/>
      <c r="B2114" s="12" t="str">
        <f>IFERROR(VLOOKUP(D2114,'[1]Перечень товаров'!$A$2:$I9525,2,0),"")</f>
        <v>д38</v>
      </c>
      <c r="C2114" s="12" t="str">
        <f>IFERROR(VLOOKUP(D2114,'[1]Перечень товаров'!$A$2:$I9525,3,0),"")</f>
        <v>Дидактика</v>
      </c>
      <c r="D2114" s="192" t="s">
        <v>783</v>
      </c>
      <c r="E2114" s="23"/>
      <c r="F2114" s="23"/>
      <c r="G2114" s="193">
        <v>1</v>
      </c>
      <c r="H2114" s="193"/>
      <c r="I2114" s="194"/>
      <c r="J2114" s="194"/>
      <c r="K2114" s="19"/>
      <c r="L2114" s="20"/>
    </row>
    <row r="2115" spans="1:12" outlineLevel="2">
      <c r="A2115" s="191"/>
      <c r="B2115" s="12" t="str">
        <f>IFERROR(VLOOKUP(D2115,'[1]Перечень товаров'!$A$2:$I9525,2,0),"")</f>
        <v>д39</v>
      </c>
      <c r="C2115" s="12" t="str">
        <f>IFERROR(VLOOKUP(D2115,'[1]Перечень товаров'!$A$2:$I9525,3,0),"")</f>
        <v>Дидактика</v>
      </c>
      <c r="D2115" s="192" t="s">
        <v>784</v>
      </c>
      <c r="E2115" s="23"/>
      <c r="F2115" s="23"/>
      <c r="G2115" s="193">
        <v>1</v>
      </c>
      <c r="H2115" s="193"/>
      <c r="I2115" s="194"/>
      <c r="J2115" s="194"/>
      <c r="K2115" s="19"/>
      <c r="L2115" s="20"/>
    </row>
    <row r="2116" spans="1:12" ht="31.5" outlineLevel="2">
      <c r="A2116" s="191"/>
      <c r="B2116" s="12" t="str">
        <f>IFERROR(VLOOKUP(D2116,'[1]Перечень товаров'!$A$2:$I9525,2,0),"")</f>
        <v>д40</v>
      </c>
      <c r="C2116" s="12" t="str">
        <f>IFERROR(VLOOKUP(D2116,'[1]Перечень товаров'!$A$2:$I9525,3,0),"")</f>
        <v>Дидактика</v>
      </c>
      <c r="D2116" s="192" t="s">
        <v>785</v>
      </c>
      <c r="E2116" s="23"/>
      <c r="F2116" s="23"/>
      <c r="G2116" s="193">
        <v>1</v>
      </c>
      <c r="H2116" s="193"/>
      <c r="I2116" s="194"/>
      <c r="J2116" s="194"/>
      <c r="K2116" s="19"/>
      <c r="L2116" s="20"/>
    </row>
    <row r="2117" spans="1:12" ht="47.25" outlineLevel="2">
      <c r="A2117" s="191"/>
      <c r="B2117" s="12" t="str">
        <f>IFERROR(VLOOKUP(D2117,'[1]Перечень товаров'!$A$2:$I9525,2,0),"")</f>
        <v>д41</v>
      </c>
      <c r="C2117" s="12" t="str">
        <f>IFERROR(VLOOKUP(D2117,'[1]Перечень товаров'!$A$2:$I9525,3,0),"")</f>
        <v>Дидактика</v>
      </c>
      <c r="D2117" s="192" t="s">
        <v>786</v>
      </c>
      <c r="E2117" s="23"/>
      <c r="F2117" s="23"/>
      <c r="G2117" s="193">
        <v>1</v>
      </c>
      <c r="H2117" s="193"/>
      <c r="I2117" s="194"/>
      <c r="J2117" s="194"/>
      <c r="K2117" s="19"/>
      <c r="L2117" s="20"/>
    </row>
    <row r="2118" spans="1:12" ht="31.5" outlineLevel="2">
      <c r="A2118" s="191"/>
      <c r="B2118" s="12" t="str">
        <f>IFERROR(VLOOKUP(D2118,'[1]Перечень товаров'!$A$2:$I9525,2,0),"")</f>
        <v>д42</v>
      </c>
      <c r="C2118" s="12" t="str">
        <f>IFERROR(VLOOKUP(D2118,'[1]Перечень товаров'!$A$2:$I9525,3,0),"")</f>
        <v>Дидактика</v>
      </c>
      <c r="D2118" s="192" t="s">
        <v>787</v>
      </c>
      <c r="E2118" s="23"/>
      <c r="F2118" s="23"/>
      <c r="G2118" s="193">
        <v>1</v>
      </c>
      <c r="H2118" s="193"/>
      <c r="I2118" s="194"/>
      <c r="J2118" s="194"/>
      <c r="K2118" s="19"/>
      <c r="L2118" s="20"/>
    </row>
    <row r="2119" spans="1:12" ht="31.5" outlineLevel="2">
      <c r="A2119" s="191"/>
      <c r="B2119" s="12" t="str">
        <f>IFERROR(VLOOKUP(D2119,'[1]Перечень товаров'!$A$2:$I9525,2,0),"")</f>
        <v>д43</v>
      </c>
      <c r="C2119" s="12" t="str">
        <f>IFERROR(VLOOKUP(D2119,'[1]Перечень товаров'!$A$2:$I9525,3,0),"")</f>
        <v>Дидактика</v>
      </c>
      <c r="D2119" s="192" t="s">
        <v>788</v>
      </c>
      <c r="E2119" s="23"/>
      <c r="F2119" s="23"/>
      <c r="G2119" s="193">
        <v>1</v>
      </c>
      <c r="H2119" s="193"/>
      <c r="I2119" s="194"/>
      <c r="J2119" s="194"/>
      <c r="K2119" s="19"/>
      <c r="L2119" s="20"/>
    </row>
    <row r="2120" spans="1:12" ht="31.5" outlineLevel="2">
      <c r="A2120" s="191"/>
      <c r="B2120" s="12" t="str">
        <f>IFERROR(VLOOKUP(D2120,'[1]Перечень товаров'!$A$2:$I9525,2,0),"")</f>
        <v>д44</v>
      </c>
      <c r="C2120" s="12" t="str">
        <f>IFERROR(VLOOKUP(D2120,'[1]Перечень товаров'!$A$2:$I9525,3,0),"")</f>
        <v>Дидактика</v>
      </c>
      <c r="D2120" s="192" t="s">
        <v>789</v>
      </c>
      <c r="E2120" s="23"/>
      <c r="F2120" s="23"/>
      <c r="G2120" s="193">
        <v>1</v>
      </c>
      <c r="H2120" s="193"/>
      <c r="I2120" s="194"/>
      <c r="J2120" s="194"/>
      <c r="K2120" s="19"/>
      <c r="L2120" s="20"/>
    </row>
    <row r="2121" spans="1:12" ht="47.25" outlineLevel="2">
      <c r="A2121" s="191"/>
      <c r="B2121" s="12" t="str">
        <f>IFERROR(VLOOKUP(D2121,'[1]Перечень товаров'!$A$2:$I9525,2,0),"")</f>
        <v>д45</v>
      </c>
      <c r="C2121" s="12" t="str">
        <f>IFERROR(VLOOKUP(D2121,'[1]Перечень товаров'!$A$2:$I9525,3,0),"")</f>
        <v>Дидактика</v>
      </c>
      <c r="D2121" s="192" t="s">
        <v>790</v>
      </c>
      <c r="E2121" s="23"/>
      <c r="F2121" s="23"/>
      <c r="G2121" s="193">
        <v>1</v>
      </c>
      <c r="H2121" s="193"/>
      <c r="I2121" s="194"/>
      <c r="J2121" s="194"/>
      <c r="K2121" s="19"/>
      <c r="L2121" s="20"/>
    </row>
    <row r="2122" spans="1:12" ht="31.5" outlineLevel="2">
      <c r="A2122" s="191"/>
      <c r="B2122" s="12" t="str">
        <f>IFERROR(VLOOKUP(D2122,'[1]Перечень товаров'!$A$2:$I9525,2,0),"")</f>
        <v>д46</v>
      </c>
      <c r="C2122" s="12" t="str">
        <f>IFERROR(VLOOKUP(D2122,'[1]Перечень товаров'!$A$2:$I9525,3,0),"")</f>
        <v>Дидактика</v>
      </c>
      <c r="D2122" s="192" t="s">
        <v>791</v>
      </c>
      <c r="E2122" s="23"/>
      <c r="F2122" s="23"/>
      <c r="G2122" s="193">
        <v>1</v>
      </c>
      <c r="H2122" s="193"/>
      <c r="I2122" s="194"/>
      <c r="J2122" s="194"/>
      <c r="K2122" s="19"/>
      <c r="L2122" s="20"/>
    </row>
    <row r="2123" spans="1:12" ht="31.5" outlineLevel="2">
      <c r="A2123" s="191"/>
      <c r="B2123" s="12" t="str">
        <f>IFERROR(VLOOKUP(D2123,'[1]Перечень товаров'!$A$2:$I9525,2,0),"")</f>
        <v>д47</v>
      </c>
      <c r="C2123" s="12" t="str">
        <f>IFERROR(VLOOKUP(D2123,'[1]Перечень товаров'!$A$2:$I9525,3,0),"")</f>
        <v>Дидактика</v>
      </c>
      <c r="D2123" s="192" t="s">
        <v>792</v>
      </c>
      <c r="E2123" s="23"/>
      <c r="F2123" s="23"/>
      <c r="G2123" s="193">
        <v>1</v>
      </c>
      <c r="H2123" s="193"/>
      <c r="I2123" s="194"/>
      <c r="J2123" s="194"/>
      <c r="K2123" s="19"/>
      <c r="L2123" s="20"/>
    </row>
    <row r="2124" spans="1:12" ht="31.5" outlineLevel="2">
      <c r="A2124" s="191"/>
      <c r="B2124" s="12" t="str">
        <f>IFERROR(VLOOKUP(D2124,'[1]Перечень товаров'!$A$2:$I9525,2,0),"")</f>
        <v>д48</v>
      </c>
      <c r="C2124" s="12" t="str">
        <f>IFERROR(VLOOKUP(D2124,'[1]Перечень товаров'!$A$2:$I9525,3,0),"")</f>
        <v>Дидактика</v>
      </c>
      <c r="D2124" s="192" t="s">
        <v>793</v>
      </c>
      <c r="E2124" s="23"/>
      <c r="F2124" s="23"/>
      <c r="G2124" s="193">
        <v>1</v>
      </c>
      <c r="H2124" s="193"/>
      <c r="I2124" s="194"/>
      <c r="J2124" s="194"/>
      <c r="K2124" s="19"/>
      <c r="L2124" s="20"/>
    </row>
    <row r="2125" spans="1:12" ht="31.5" outlineLevel="2">
      <c r="A2125" s="191"/>
      <c r="B2125" s="12" t="str">
        <f>IFERROR(VLOOKUP(D2125,'[1]Перечень товаров'!$A$2:$I9525,2,0),"")</f>
        <v>д49</v>
      </c>
      <c r="C2125" s="12" t="str">
        <f>IFERROR(VLOOKUP(D2125,'[1]Перечень товаров'!$A$2:$I9525,3,0),"")</f>
        <v>Дидактика</v>
      </c>
      <c r="D2125" s="192" t="s">
        <v>794</v>
      </c>
      <c r="E2125" s="23"/>
      <c r="F2125" s="23"/>
      <c r="G2125" s="193">
        <v>1</v>
      </c>
      <c r="H2125" s="193"/>
      <c r="I2125" s="194"/>
      <c r="J2125" s="194"/>
      <c r="K2125" s="19"/>
      <c r="L2125" s="20"/>
    </row>
    <row r="2126" spans="1:12" ht="31.5" outlineLevel="2">
      <c r="A2126" s="191"/>
      <c r="B2126" s="12" t="str">
        <f>IFERROR(VLOOKUP(D2126,'[1]Перечень товаров'!$A$2:$I9525,2,0),"")</f>
        <v>д50</v>
      </c>
      <c r="C2126" s="12" t="str">
        <f>IFERROR(VLOOKUP(D2126,'[1]Перечень товаров'!$A$2:$I9525,3,0),"")</f>
        <v>Дидактика</v>
      </c>
      <c r="D2126" s="192" t="s">
        <v>795</v>
      </c>
      <c r="E2126" s="23"/>
      <c r="F2126" s="23"/>
      <c r="G2126" s="193">
        <v>1</v>
      </c>
      <c r="H2126" s="193"/>
      <c r="I2126" s="194"/>
      <c r="J2126" s="194"/>
      <c r="K2126" s="19"/>
      <c r="L2126" s="20"/>
    </row>
    <row r="2127" spans="1:12" ht="31.5" outlineLevel="2">
      <c r="A2127" s="191"/>
      <c r="B2127" s="12" t="str">
        <f>IFERROR(VLOOKUP(D2127,'[1]Перечень товаров'!$A$2:$I9525,2,0),"")</f>
        <v>д51</v>
      </c>
      <c r="C2127" s="12" t="str">
        <f>IFERROR(VLOOKUP(D2127,'[1]Перечень товаров'!$A$2:$I9525,3,0),"")</f>
        <v>Дидактика</v>
      </c>
      <c r="D2127" s="192" t="s">
        <v>796</v>
      </c>
      <c r="E2127" s="23"/>
      <c r="F2127" s="23"/>
      <c r="G2127" s="193">
        <v>1</v>
      </c>
      <c r="H2127" s="193"/>
      <c r="I2127" s="194"/>
      <c r="J2127" s="194"/>
      <c r="K2127" s="19"/>
      <c r="L2127" s="20"/>
    </row>
    <row r="2128" spans="1:12" ht="31.5" outlineLevel="2">
      <c r="A2128" s="191"/>
      <c r="B2128" s="12" t="str">
        <f>IFERROR(VLOOKUP(D2128,'[1]Перечень товаров'!$A$2:$I9525,2,0),"")</f>
        <v>д34</v>
      </c>
      <c r="C2128" s="12" t="str">
        <f>IFERROR(VLOOKUP(D2128,'[1]Перечень товаров'!$A$2:$I9525,3,0),"")</f>
        <v>Дидактика</v>
      </c>
      <c r="D2128" s="192" t="s">
        <v>779</v>
      </c>
      <c r="E2128" s="23"/>
      <c r="F2128" s="23"/>
      <c r="G2128" s="193">
        <v>1</v>
      </c>
      <c r="H2128" s="193"/>
      <c r="I2128" s="194"/>
      <c r="J2128" s="194"/>
      <c r="K2128" s="19"/>
      <c r="L2128" s="20"/>
    </row>
    <row r="2129" spans="1:12" ht="31.5" outlineLevel="2">
      <c r="A2129" s="191"/>
      <c r="B2129" s="12" t="str">
        <f>IFERROR(VLOOKUP(D2129,'[1]Перечень товаров'!$A$2:$I9525,2,0),"")</f>
        <v>д52</v>
      </c>
      <c r="C2129" s="12" t="str">
        <f>IFERROR(VLOOKUP(D2129,'[1]Перечень товаров'!$A$2:$I9525,3,0),"")</f>
        <v>Дидактика</v>
      </c>
      <c r="D2129" s="192" t="s">
        <v>797</v>
      </c>
      <c r="E2129" s="23"/>
      <c r="F2129" s="23"/>
      <c r="G2129" s="193">
        <v>1</v>
      </c>
      <c r="H2129" s="193"/>
      <c r="I2129" s="194"/>
      <c r="J2129" s="194"/>
      <c r="K2129" s="19"/>
      <c r="L2129" s="20"/>
    </row>
    <row r="2130" spans="1:12" ht="31.5" outlineLevel="2">
      <c r="A2130" s="191"/>
      <c r="B2130" s="12" t="str">
        <f>IFERROR(VLOOKUP(D2130,'[1]Перечень товаров'!$A$2:$I9525,2,0),"")</f>
        <v>д53</v>
      </c>
      <c r="C2130" s="12" t="str">
        <f>IFERROR(VLOOKUP(D2130,'[1]Перечень товаров'!$A$2:$I9525,3,0),"")</f>
        <v>Дидактика</v>
      </c>
      <c r="D2130" s="192" t="s">
        <v>798</v>
      </c>
      <c r="E2130" s="23"/>
      <c r="F2130" s="23"/>
      <c r="G2130" s="193">
        <v>1</v>
      </c>
      <c r="H2130" s="193"/>
      <c r="I2130" s="194"/>
      <c r="J2130" s="194"/>
      <c r="K2130" s="19"/>
      <c r="L2130" s="20"/>
    </row>
    <row r="2131" spans="1:12" ht="31.5" outlineLevel="2">
      <c r="A2131" s="191"/>
      <c r="B2131" s="12" t="str">
        <f>IFERROR(VLOOKUP(D2131,'[1]Перечень товаров'!$A$2:$I9525,2,0),"")</f>
        <v>д54</v>
      </c>
      <c r="C2131" s="12" t="str">
        <f>IFERROR(VLOOKUP(D2131,'[1]Перечень товаров'!$A$2:$I9525,3,0),"")</f>
        <v>Дидактика</v>
      </c>
      <c r="D2131" s="192" t="s">
        <v>799</v>
      </c>
      <c r="E2131" s="23"/>
      <c r="F2131" s="23"/>
      <c r="G2131" s="193">
        <v>1</v>
      </c>
      <c r="H2131" s="193"/>
      <c r="I2131" s="194"/>
      <c r="J2131" s="194"/>
      <c r="K2131" s="19"/>
      <c r="L2131" s="20"/>
    </row>
    <row r="2132" spans="1:12" ht="47.25" outlineLevel="2">
      <c r="A2132" s="191"/>
      <c r="B2132" s="12" t="str">
        <f>IFERROR(VLOOKUP(D2132,'[1]Перечень товаров'!$A$2:$I9525,2,0),"")</f>
        <v>д55</v>
      </c>
      <c r="C2132" s="12" t="str">
        <f>IFERROR(VLOOKUP(D2132,'[1]Перечень товаров'!$A$2:$I9525,3,0),"")</f>
        <v>Дидактика</v>
      </c>
      <c r="D2132" s="192" t="s">
        <v>800</v>
      </c>
      <c r="E2132" s="23"/>
      <c r="F2132" s="23"/>
      <c r="G2132" s="193">
        <v>1</v>
      </c>
      <c r="H2132" s="193"/>
      <c r="I2132" s="194"/>
      <c r="J2132" s="194"/>
      <c r="K2132" s="19"/>
      <c r="L2132" s="20"/>
    </row>
    <row r="2133" spans="1:12" ht="47.25" outlineLevel="2">
      <c r="A2133" s="191"/>
      <c r="B2133" s="12" t="str">
        <f>IFERROR(VLOOKUP(D2133,'[1]Перечень товаров'!$A$2:$I9525,2,0),"")</f>
        <v>д56</v>
      </c>
      <c r="C2133" s="12" t="str">
        <f>IFERROR(VLOOKUP(D2133,'[1]Перечень товаров'!$A$2:$I9525,3,0),"")</f>
        <v>Дидактика</v>
      </c>
      <c r="D2133" s="192" t="s">
        <v>801</v>
      </c>
      <c r="E2133" s="23"/>
      <c r="F2133" s="23"/>
      <c r="G2133" s="193">
        <v>1</v>
      </c>
      <c r="H2133" s="193"/>
      <c r="I2133" s="194"/>
      <c r="J2133" s="194"/>
      <c r="K2133" s="19"/>
      <c r="L2133" s="20"/>
    </row>
    <row r="2134" spans="1:12" ht="47.25" outlineLevel="2">
      <c r="A2134" s="191"/>
      <c r="B2134" s="12" t="str">
        <f>IFERROR(VLOOKUP(D2134,'[1]Перечень товаров'!$A$2:$I9525,2,0),"")</f>
        <v>д57</v>
      </c>
      <c r="C2134" s="12" t="str">
        <f>IFERROR(VLOOKUP(D2134,'[1]Перечень товаров'!$A$2:$I9525,3,0),"")</f>
        <v>Дидактика</v>
      </c>
      <c r="D2134" s="192" t="s">
        <v>802</v>
      </c>
      <c r="E2134" s="23"/>
      <c r="F2134" s="23"/>
      <c r="G2134" s="193">
        <v>1</v>
      </c>
      <c r="H2134" s="193"/>
      <c r="I2134" s="194"/>
      <c r="J2134" s="194"/>
      <c r="K2134" s="19"/>
      <c r="L2134" s="20"/>
    </row>
    <row r="2135" spans="1:12" ht="47.25" outlineLevel="2">
      <c r="A2135" s="191"/>
      <c r="B2135" s="12" t="str">
        <f>IFERROR(VLOOKUP(D2135,'[1]Перечень товаров'!$A$2:$I9525,2,0),"")</f>
        <v>д58</v>
      </c>
      <c r="C2135" s="12" t="str">
        <f>IFERROR(VLOOKUP(D2135,'[1]Перечень товаров'!$A$2:$I9525,3,0),"")</f>
        <v>Дидактика</v>
      </c>
      <c r="D2135" s="192" t="s">
        <v>803</v>
      </c>
      <c r="E2135" s="23"/>
      <c r="F2135" s="23"/>
      <c r="G2135" s="193">
        <v>1</v>
      </c>
      <c r="H2135" s="193"/>
      <c r="I2135" s="194"/>
      <c r="J2135" s="194"/>
      <c r="K2135" s="19"/>
      <c r="L2135" s="20"/>
    </row>
    <row r="2136" spans="1:12" ht="47.25" outlineLevel="2">
      <c r="A2136" s="191"/>
      <c r="B2136" s="12" t="str">
        <f>IFERROR(VLOOKUP(D2136,'[1]Перечень товаров'!$A$2:$I9525,2,0),"")</f>
        <v>д59</v>
      </c>
      <c r="C2136" s="12" t="str">
        <f>IFERROR(VLOOKUP(D2136,'[1]Перечень товаров'!$A$2:$I9525,3,0),"")</f>
        <v>Дидактика</v>
      </c>
      <c r="D2136" s="192" t="s">
        <v>804</v>
      </c>
      <c r="E2136" s="23"/>
      <c r="F2136" s="23"/>
      <c r="G2136" s="193">
        <v>1</v>
      </c>
      <c r="H2136" s="193"/>
      <c r="I2136" s="194"/>
      <c r="J2136" s="194"/>
      <c r="K2136" s="19"/>
      <c r="L2136" s="20"/>
    </row>
    <row r="2137" spans="1:12" ht="47.25" outlineLevel="2">
      <c r="A2137" s="191"/>
      <c r="B2137" s="12" t="str">
        <f>IFERROR(VLOOKUP(D2137,'[1]Перечень товаров'!$A$2:$I9525,2,0),"")</f>
        <v>д60</v>
      </c>
      <c r="C2137" s="12" t="str">
        <f>IFERROR(VLOOKUP(D2137,'[1]Перечень товаров'!$A$2:$I9525,3,0),"")</f>
        <v>Дидактика</v>
      </c>
      <c r="D2137" s="192" t="s">
        <v>805</v>
      </c>
      <c r="E2137" s="23"/>
      <c r="F2137" s="23"/>
      <c r="G2137" s="193">
        <v>1</v>
      </c>
      <c r="H2137" s="193"/>
      <c r="I2137" s="194"/>
      <c r="J2137" s="194"/>
      <c r="K2137" s="19"/>
      <c r="L2137" s="20"/>
    </row>
    <row r="2138" spans="1:12" ht="47.25" outlineLevel="2">
      <c r="A2138" s="191"/>
      <c r="B2138" s="12" t="str">
        <f>IFERROR(VLOOKUP(D2138,'[1]Перечень товаров'!$A$2:$I9525,2,0),"")</f>
        <v>д61</v>
      </c>
      <c r="C2138" s="12" t="str">
        <f>IFERROR(VLOOKUP(D2138,'[1]Перечень товаров'!$A$2:$I9525,3,0),"")</f>
        <v>Дидактика</v>
      </c>
      <c r="D2138" s="192" t="s">
        <v>806</v>
      </c>
      <c r="E2138" s="23"/>
      <c r="F2138" s="23"/>
      <c r="G2138" s="193">
        <v>1</v>
      </c>
      <c r="H2138" s="193"/>
      <c r="I2138" s="194"/>
      <c r="J2138" s="194"/>
      <c r="K2138" s="19"/>
      <c r="L2138" s="20"/>
    </row>
    <row r="2139" spans="1:12" outlineLevel="2">
      <c r="A2139" s="191"/>
      <c r="B2139" s="12" t="str">
        <f>IFERROR(VLOOKUP(D2139,'[1]Перечень товаров'!$A$2:$I9525,2,0),"")</f>
        <v>д62</v>
      </c>
      <c r="C2139" s="12" t="str">
        <f>IFERROR(VLOOKUP(D2139,'[1]Перечень товаров'!$A$2:$I9525,3,0),"")</f>
        <v>Дидактика</v>
      </c>
      <c r="D2139" s="192" t="s">
        <v>807</v>
      </c>
      <c r="E2139" s="23"/>
      <c r="F2139" s="23"/>
      <c r="G2139" s="193">
        <v>1</v>
      </c>
      <c r="H2139" s="193"/>
      <c r="I2139" s="194"/>
      <c r="J2139" s="194"/>
      <c r="K2139" s="19"/>
      <c r="L2139" s="20"/>
    </row>
    <row r="2140" spans="1:12" ht="47.25" outlineLevel="2">
      <c r="A2140" s="191"/>
      <c r="B2140" s="12" t="str">
        <f>IFERROR(VLOOKUP(D2140,'[1]Перечень товаров'!$A$2:$I9525,2,0),"")</f>
        <v>д63</v>
      </c>
      <c r="C2140" s="12" t="str">
        <f>IFERROR(VLOOKUP(D2140,'[1]Перечень товаров'!$A$2:$I9525,3,0),"")</f>
        <v>Дидактика</v>
      </c>
      <c r="D2140" s="192" t="s">
        <v>808</v>
      </c>
      <c r="E2140" s="23"/>
      <c r="F2140" s="23"/>
      <c r="G2140" s="193">
        <v>1</v>
      </c>
      <c r="H2140" s="193"/>
      <c r="I2140" s="194"/>
      <c r="J2140" s="194"/>
      <c r="K2140" s="19"/>
      <c r="L2140" s="20"/>
    </row>
    <row r="2141" spans="1:12" ht="30" outlineLevel="2">
      <c r="A2141" s="179"/>
      <c r="B2141" s="12" t="str">
        <f>IFERROR(VLOOKUP(D2141,'[1]Перечень товаров'!$A$2:$I9525,2,0),"")</f>
        <v/>
      </c>
      <c r="C2141" s="12" t="str">
        <f>IFERROR(VLOOKUP(D2141,'[1]Перечень товаров'!$A$2:$I9525,3,0),"")</f>
        <v/>
      </c>
      <c r="D2141" s="180" t="s">
        <v>809</v>
      </c>
      <c r="E2141" s="61"/>
      <c r="F2141" s="61"/>
      <c r="G2141" s="195"/>
      <c r="H2141" s="195"/>
      <c r="I2141" s="196"/>
      <c r="J2141" s="196"/>
      <c r="K2141" s="19"/>
      <c r="L2141" s="20"/>
    </row>
    <row r="2142" spans="1:12" ht="31.5" outlineLevel="2">
      <c r="A2142" s="191"/>
      <c r="B2142" s="12" t="str">
        <f>IFERROR(VLOOKUP(D2142,'[1]Перечень товаров'!$A$2:$I9525,2,0),"")</f>
        <v>д64</v>
      </c>
      <c r="C2142" s="12" t="str">
        <f>IFERROR(VLOOKUP(D2142,'[1]Перечень товаров'!$A$2:$I9525,3,0),"")</f>
        <v>Дидактика</v>
      </c>
      <c r="D2142" s="192" t="s">
        <v>810</v>
      </c>
      <c r="E2142" s="23"/>
      <c r="F2142" s="23"/>
      <c r="G2142" s="193">
        <v>1</v>
      </c>
      <c r="H2142" s="193"/>
      <c r="I2142" s="194"/>
      <c r="J2142" s="194"/>
      <c r="K2142" s="19"/>
      <c r="L2142" s="20"/>
    </row>
    <row r="2143" spans="1:12" outlineLevel="2">
      <c r="A2143" s="191"/>
      <c r="B2143" s="12" t="str">
        <f>IFERROR(VLOOKUP(D2143,'[1]Перечень товаров'!$A$2:$I9525,2,0),"")</f>
        <v>д65</v>
      </c>
      <c r="C2143" s="12" t="str">
        <f>IFERROR(VLOOKUP(D2143,'[1]Перечень товаров'!$A$2:$I9525,3,0),"")</f>
        <v>Дидактика</v>
      </c>
      <c r="D2143" s="192" t="s">
        <v>811</v>
      </c>
      <c r="E2143" s="23"/>
      <c r="F2143" s="23"/>
      <c r="G2143" s="193">
        <v>1</v>
      </c>
      <c r="H2143" s="193"/>
      <c r="I2143" s="194"/>
      <c r="J2143" s="194"/>
      <c r="K2143" s="19"/>
      <c r="L2143" s="20"/>
    </row>
    <row r="2144" spans="1:12" outlineLevel="2">
      <c r="A2144" s="191"/>
      <c r="B2144" s="12" t="str">
        <f>IFERROR(VLOOKUP(D2144,'[1]Перечень товаров'!$A$2:$I9525,2,0),"")</f>
        <v>д66</v>
      </c>
      <c r="C2144" s="12" t="str">
        <f>IFERROR(VLOOKUP(D2144,'[1]Перечень товаров'!$A$2:$I9525,3,0),"")</f>
        <v>Дидактика</v>
      </c>
      <c r="D2144" s="192" t="s">
        <v>812</v>
      </c>
      <c r="E2144" s="23"/>
      <c r="F2144" s="23"/>
      <c r="G2144" s="193">
        <v>1</v>
      </c>
      <c r="H2144" s="193"/>
      <c r="I2144" s="194"/>
      <c r="J2144" s="194"/>
      <c r="K2144" s="19"/>
      <c r="L2144" s="20"/>
    </row>
    <row r="2145" spans="1:12" outlineLevel="2">
      <c r="A2145" s="191"/>
      <c r="B2145" s="12" t="str">
        <f>IFERROR(VLOOKUP(D2145,'[1]Перечень товаров'!$A$2:$I9525,2,0),"")</f>
        <v>д67</v>
      </c>
      <c r="C2145" s="12" t="str">
        <f>IFERROR(VLOOKUP(D2145,'[1]Перечень товаров'!$A$2:$I9525,3,0),"")</f>
        <v>Дидактика</v>
      </c>
      <c r="D2145" s="192" t="s">
        <v>813</v>
      </c>
      <c r="E2145" s="23"/>
      <c r="F2145" s="23"/>
      <c r="G2145" s="193">
        <v>1</v>
      </c>
      <c r="H2145" s="193"/>
      <c r="I2145" s="194"/>
      <c r="J2145" s="194"/>
      <c r="K2145" s="19"/>
      <c r="L2145" s="20"/>
    </row>
    <row r="2146" spans="1:12" outlineLevel="2">
      <c r="A2146" s="191"/>
      <c r="B2146" s="12" t="str">
        <f>IFERROR(VLOOKUP(D2146,'[1]Перечень товаров'!$A$2:$I9525,2,0),"")</f>
        <v>п90</v>
      </c>
      <c r="C2146" s="12" t="str">
        <f>IFERROR(VLOOKUP(D2146,'[1]Перечень товаров'!$A$2:$I9525,3,0),"")</f>
        <v>Прочее</v>
      </c>
      <c r="D2146" s="192" t="s">
        <v>723</v>
      </c>
      <c r="E2146" s="23"/>
      <c r="F2146" s="23"/>
      <c r="G2146" s="193">
        <v>1</v>
      </c>
      <c r="H2146" s="193"/>
      <c r="I2146" s="194"/>
      <c r="J2146" s="194"/>
      <c r="K2146" s="19"/>
      <c r="L2146" s="20"/>
    </row>
    <row r="2147" spans="1:12" outlineLevel="2">
      <c r="A2147" s="191"/>
      <c r="B2147" s="12" t="str">
        <f>IFERROR(VLOOKUP(D2147,'[1]Перечень товаров'!$A$2:$I9525,2,0),"")</f>
        <v>д68</v>
      </c>
      <c r="C2147" s="12" t="str">
        <f>IFERROR(VLOOKUP(D2147,'[1]Перечень товаров'!$A$2:$I9525,3,0),"")</f>
        <v>Дидактика</v>
      </c>
      <c r="D2147" s="192" t="s">
        <v>814</v>
      </c>
      <c r="E2147" s="23"/>
      <c r="F2147" s="23"/>
      <c r="G2147" s="193">
        <v>3</v>
      </c>
      <c r="H2147" s="193"/>
      <c r="I2147" s="194"/>
      <c r="J2147" s="194"/>
      <c r="K2147" s="19"/>
      <c r="L2147" s="20"/>
    </row>
    <row r="2148" spans="1:12" outlineLevel="2">
      <c r="A2148" s="191"/>
      <c r="B2148" s="12" t="str">
        <f>IFERROR(VLOOKUP(D2148,'[1]Перечень товаров'!$A$2:$I9525,2,0),"")</f>
        <v>д69</v>
      </c>
      <c r="C2148" s="12" t="str">
        <f>IFERROR(VLOOKUP(D2148,'[1]Перечень товаров'!$A$2:$I9525,3,0),"")</f>
        <v>Дидактика</v>
      </c>
      <c r="D2148" s="192" t="s">
        <v>815</v>
      </c>
      <c r="E2148" s="23"/>
      <c r="F2148" s="23"/>
      <c r="G2148" s="193">
        <v>8</v>
      </c>
      <c r="H2148" s="193"/>
      <c r="I2148" s="194"/>
      <c r="J2148" s="194"/>
      <c r="K2148" s="19"/>
      <c r="L2148" s="20"/>
    </row>
    <row r="2149" spans="1:12" outlineLevel="2">
      <c r="A2149" s="191"/>
      <c r="B2149" s="12" t="str">
        <f>IFERROR(VLOOKUP(D2149,'[1]Перечень товаров'!$A$2:$I9525,2,0),"")</f>
        <v>д70</v>
      </c>
      <c r="C2149" s="12" t="str">
        <f>IFERROR(VLOOKUP(D2149,'[1]Перечень товаров'!$A$2:$I9525,3,0),"")</f>
        <v>Дидактика</v>
      </c>
      <c r="D2149" s="192" t="s">
        <v>816</v>
      </c>
      <c r="E2149" s="23"/>
      <c r="F2149" s="23"/>
      <c r="G2149" s="193">
        <v>100</v>
      </c>
      <c r="H2149" s="193"/>
      <c r="I2149" s="194"/>
      <c r="J2149" s="194"/>
      <c r="K2149" s="19"/>
      <c r="L2149" s="20"/>
    </row>
    <row r="2150" spans="1:12" ht="12.75" outlineLevel="1">
      <c r="A2150" s="11"/>
      <c r="B2150" s="12" t="str">
        <f>IFERROR(VLOOKUP(D2150,'[1]Перечень товаров'!$A$2:$I9525,2,0),"")</f>
        <v/>
      </c>
      <c r="C2150" s="12" t="str">
        <f>IFERROR(VLOOKUP(D2150,'[1]Перечень товаров'!$A$2:$I9525,3,0),"")</f>
        <v/>
      </c>
      <c r="D2150" s="27" t="s">
        <v>738</v>
      </c>
      <c r="E2150" s="14" t="s">
        <v>525</v>
      </c>
      <c r="F2150" s="14"/>
      <c r="G2150" s="17"/>
      <c r="H2150" s="17"/>
      <c r="I2150" s="57"/>
      <c r="J2150" s="57"/>
      <c r="K2150" s="19"/>
      <c r="L2150" s="20"/>
    </row>
    <row r="2151" spans="1:12" ht="30" outlineLevel="2">
      <c r="A2151" s="189"/>
      <c r="B2151" s="12" t="str">
        <f>IFERROR(VLOOKUP(D2151,'[1]Перечень товаров'!$A$2:$I9525,2,0),"")</f>
        <v/>
      </c>
      <c r="C2151" s="12" t="str">
        <f>IFERROR(VLOOKUP(D2151,'[1]Перечень товаров'!$A$2:$I9525,3,0),"")</f>
        <v/>
      </c>
      <c r="D2151" s="190" t="s">
        <v>740</v>
      </c>
      <c r="E2151" s="61"/>
      <c r="F2151" s="61"/>
      <c r="G2151" s="186"/>
      <c r="H2151" s="186"/>
      <c r="I2151" s="187"/>
      <c r="J2151" s="187"/>
      <c r="K2151" s="19"/>
      <c r="L2151" s="20"/>
    </row>
    <row r="2152" spans="1:12" ht="30" outlineLevel="2">
      <c r="A2152" s="179"/>
      <c r="B2152" s="12" t="str">
        <f>IFERROR(VLOOKUP(D2152,'[1]Перечень товаров'!$A$2:$I9525,2,0),"")</f>
        <v/>
      </c>
      <c r="C2152" s="12" t="str">
        <f>IFERROR(VLOOKUP(D2152,'[1]Перечень товаров'!$A$2:$I9525,3,0),"")</f>
        <v/>
      </c>
      <c r="D2152" s="180" t="s">
        <v>668</v>
      </c>
      <c r="E2152" s="61"/>
      <c r="F2152" s="61"/>
      <c r="G2152" s="186"/>
      <c r="H2152" s="186"/>
      <c r="I2152" s="187"/>
      <c r="J2152" s="187"/>
      <c r="K2152" s="19"/>
      <c r="L2152" s="20"/>
    </row>
    <row r="2153" spans="1:12" outlineLevel="2">
      <c r="A2153" s="191"/>
      <c r="B2153" s="12" t="str">
        <f>IFERROR(VLOOKUP(D2153,'[1]Перечень товаров'!$A$2:$I9525,2,0),"")</f>
        <v>т9</v>
      </c>
      <c r="C2153" s="12" t="str">
        <f>IFERROR(VLOOKUP(D2153,'[1]Перечень товаров'!$A$2:$I9525,3,0),"")</f>
        <v>Техника</v>
      </c>
      <c r="D2153" s="192" t="s">
        <v>36</v>
      </c>
      <c r="E2153" s="23"/>
      <c r="F2153" s="23"/>
      <c r="G2153" s="193">
        <v>1</v>
      </c>
      <c r="H2153" s="193"/>
      <c r="I2153" s="194"/>
      <c r="J2153" s="194"/>
      <c r="K2153" s="19"/>
      <c r="L2153" s="20"/>
    </row>
    <row r="2154" spans="1:12" outlineLevel="2">
      <c r="A2154" s="191"/>
      <c r="B2154" s="12" t="str">
        <f>IFERROR(VLOOKUP(D2154,'[1]Перечень товаров'!$A$2:$I9525,2,0),"")</f>
        <v>т234</v>
      </c>
      <c r="C2154" s="12" t="str">
        <f>IFERROR(VLOOKUP(D2154,'[1]Перечень товаров'!$A$2:$I9525,3,0),"")</f>
        <v>Техника</v>
      </c>
      <c r="D2154" s="192" t="s">
        <v>741</v>
      </c>
      <c r="E2154" s="23"/>
      <c r="F2154" s="23"/>
      <c r="G2154" s="193">
        <v>1</v>
      </c>
      <c r="H2154" s="193"/>
      <c r="I2154" s="194"/>
      <c r="J2154" s="194"/>
      <c r="K2154" s="19"/>
      <c r="L2154" s="20"/>
    </row>
    <row r="2155" spans="1:12" outlineLevel="2">
      <c r="A2155" s="191"/>
      <c r="B2155" s="12" t="str">
        <f>IFERROR(VLOOKUP(D2155,'[1]Перечень товаров'!$A$2:$I9525,2,0),"")</f>
        <v>т1</v>
      </c>
      <c r="C2155" s="12" t="str">
        <f>IFERROR(VLOOKUP(D2155,'[1]Перечень товаров'!$A$2:$I9525,3,0),"")</f>
        <v xml:space="preserve">Техника </v>
      </c>
      <c r="D2155" s="192" t="s">
        <v>28</v>
      </c>
      <c r="E2155" s="23"/>
      <c r="F2155" s="23"/>
      <c r="G2155" s="193">
        <v>1</v>
      </c>
      <c r="H2155" s="193"/>
      <c r="I2155" s="194"/>
      <c r="J2155" s="194"/>
      <c r="K2155" s="19"/>
      <c r="L2155" s="20"/>
    </row>
    <row r="2156" spans="1:12" outlineLevel="2">
      <c r="A2156" s="191"/>
      <c r="B2156" s="12" t="str">
        <f>IFERROR(VLOOKUP(D2156,'[1]Перечень товаров'!$A$2:$I9525,2,0),"")</f>
        <v>т235</v>
      </c>
      <c r="C2156" s="12" t="str">
        <f>IFERROR(VLOOKUP(D2156,'[1]Перечень товаров'!$A$2:$I9525,3,0),"")</f>
        <v>Техника</v>
      </c>
      <c r="D2156" s="192" t="s">
        <v>742</v>
      </c>
      <c r="E2156" s="23"/>
      <c r="F2156" s="23"/>
      <c r="G2156" s="193">
        <v>1</v>
      </c>
      <c r="H2156" s="193"/>
      <c r="I2156" s="194"/>
      <c r="J2156" s="194"/>
      <c r="K2156" s="19"/>
      <c r="L2156" s="20"/>
    </row>
    <row r="2157" spans="1:12" outlineLevel="2">
      <c r="A2157" s="191"/>
      <c r="B2157" s="12" t="str">
        <f>IFERROR(VLOOKUP(D2157,'[1]Перечень товаров'!$A$2:$I9525,2,0),"")</f>
        <v>т8</v>
      </c>
      <c r="C2157" s="12" t="str">
        <f>IFERROR(VLOOKUP(D2157,'[1]Перечень товаров'!$A$2:$I9525,3,0),"")</f>
        <v xml:space="preserve">Техника </v>
      </c>
      <c r="D2157" s="192" t="s">
        <v>35</v>
      </c>
      <c r="E2157" s="23"/>
      <c r="F2157" s="23"/>
      <c r="G2157" s="193">
        <v>1</v>
      </c>
      <c r="H2157" s="193"/>
      <c r="I2157" s="194"/>
      <c r="J2157" s="194"/>
      <c r="K2157" s="19"/>
      <c r="L2157" s="20"/>
    </row>
    <row r="2158" spans="1:12" outlineLevel="2">
      <c r="A2158" s="191"/>
      <c r="B2158" s="12" t="str">
        <f>IFERROR(VLOOKUP(D2158,'[1]Перечень товаров'!$A$2:$I9525,2,0),"")</f>
        <v>т236</v>
      </c>
      <c r="C2158" s="12" t="str">
        <f>IFERROR(VLOOKUP(D2158,'[1]Перечень товаров'!$A$2:$I9525,3,0),"")</f>
        <v>Техника</v>
      </c>
      <c r="D2158" s="192" t="s">
        <v>743</v>
      </c>
      <c r="E2158" s="23"/>
      <c r="F2158" s="23"/>
      <c r="G2158" s="193">
        <v>1</v>
      </c>
      <c r="H2158" s="193"/>
      <c r="I2158" s="194"/>
      <c r="J2158" s="194"/>
      <c r="K2158" s="19"/>
      <c r="L2158" s="20"/>
    </row>
    <row r="2159" spans="1:12" outlineLevel="2">
      <c r="A2159" s="191"/>
      <c r="B2159" s="12" t="str">
        <f>IFERROR(VLOOKUP(D2159,'[1]Перечень товаров'!$A$2:$I9525,2,0),"")</f>
        <v>т237</v>
      </c>
      <c r="C2159" s="12" t="str">
        <f>IFERROR(VLOOKUP(D2159,'[1]Перечень товаров'!$A$2:$I9525,3,0),"")</f>
        <v>Техника</v>
      </c>
      <c r="D2159" s="192" t="s">
        <v>744</v>
      </c>
      <c r="E2159" s="23"/>
      <c r="F2159" s="23"/>
      <c r="G2159" s="193">
        <v>1</v>
      </c>
      <c r="H2159" s="193"/>
      <c r="I2159" s="194"/>
      <c r="J2159" s="194"/>
      <c r="K2159" s="19"/>
      <c r="L2159" s="20"/>
    </row>
    <row r="2160" spans="1:12" ht="31.5" outlineLevel="2">
      <c r="A2160" s="191"/>
      <c r="B2160" s="12" t="str">
        <f>IFERROR(VLOOKUP(D2160,'[1]Перечень товаров'!$A$2:$I9525,2,0),"")</f>
        <v>т238</v>
      </c>
      <c r="C2160" s="12" t="str">
        <f>IFERROR(VLOOKUP(D2160,'[1]Перечень товаров'!$A$2:$I9525,3,0),"")</f>
        <v>Техника</v>
      </c>
      <c r="D2160" s="192" t="s">
        <v>745</v>
      </c>
      <c r="E2160" s="23"/>
      <c r="F2160" s="23"/>
      <c r="G2160" s="193">
        <v>1</v>
      </c>
      <c r="H2160" s="193"/>
      <c r="I2160" s="194"/>
      <c r="J2160" s="194"/>
      <c r="K2160" s="19"/>
      <c r="L2160" s="20"/>
    </row>
    <row r="2161" spans="1:12" ht="15" outlineLevel="2">
      <c r="A2161" s="181"/>
      <c r="B2161" s="12" t="str">
        <f>IFERROR(VLOOKUP(D2161,'[1]Перечень товаров'!$A$2:$I9525,2,0),"")</f>
        <v/>
      </c>
      <c r="C2161" s="12" t="str">
        <f>IFERROR(VLOOKUP(D2161,'[1]Перечень товаров'!$A$2:$I9525,3,0),"")</f>
        <v/>
      </c>
      <c r="D2161" s="182" t="s">
        <v>19</v>
      </c>
      <c r="E2161" s="45"/>
      <c r="F2161" s="45"/>
      <c r="G2161" s="195"/>
      <c r="H2161" s="195"/>
      <c r="I2161" s="196"/>
      <c r="J2161" s="196"/>
      <c r="K2161" s="19"/>
      <c r="L2161" s="20"/>
    </row>
    <row r="2162" spans="1:12" ht="31.5" outlineLevel="2">
      <c r="A2162" s="191"/>
      <c r="B2162" s="12" t="str">
        <f>IFERROR(VLOOKUP(D2162,'[1]Перечень товаров'!$A$2:$I9525,2,0),"")</f>
        <v>м205</v>
      </c>
      <c r="C2162" s="12" t="str">
        <f>IFERROR(VLOOKUP(D2162,'[1]Перечень товаров'!$A$2:$I9525,3,0),"")</f>
        <v>Мебель</v>
      </c>
      <c r="D2162" s="192" t="s">
        <v>20</v>
      </c>
      <c r="E2162" s="23"/>
      <c r="F2162" s="23"/>
      <c r="G2162" s="193">
        <v>1</v>
      </c>
      <c r="H2162" s="193"/>
      <c r="I2162" s="194"/>
      <c r="J2162" s="194"/>
      <c r="K2162" s="19"/>
      <c r="L2162" s="20"/>
    </row>
    <row r="2163" spans="1:12" ht="31.5" outlineLevel="2">
      <c r="A2163" s="191"/>
      <c r="B2163" s="12" t="str">
        <f>IFERROR(VLOOKUP(D2163,'[1]Перечень товаров'!$A$2:$I9525,2,0),"")</f>
        <v>м206</v>
      </c>
      <c r="C2163" s="12" t="str">
        <f>IFERROR(VLOOKUP(D2163,'[1]Перечень товаров'!$A$2:$I9525,3,0),"")</f>
        <v>Мебель</v>
      </c>
      <c r="D2163" s="192" t="s">
        <v>746</v>
      </c>
      <c r="E2163" s="23"/>
      <c r="F2163" s="23"/>
      <c r="G2163" s="193">
        <v>1</v>
      </c>
      <c r="H2163" s="193"/>
      <c r="I2163" s="194"/>
      <c r="J2163" s="194"/>
      <c r="K2163" s="19"/>
      <c r="L2163" s="20"/>
    </row>
    <row r="2164" spans="1:12" ht="31.5" outlineLevel="2">
      <c r="A2164" s="191"/>
      <c r="B2164" s="12" t="str">
        <f>IFERROR(VLOOKUP(D2164,'[1]Перечень товаров'!$A$2:$I9525,2,0),"")</f>
        <v>м207</v>
      </c>
      <c r="C2164" s="12" t="str">
        <f>IFERROR(VLOOKUP(D2164,'[1]Перечень товаров'!$A$2:$I9525,3,0),"")</f>
        <v>Мебель</v>
      </c>
      <c r="D2164" s="192" t="s">
        <v>747</v>
      </c>
      <c r="E2164" s="23"/>
      <c r="F2164" s="23"/>
      <c r="G2164" s="193">
        <v>13</v>
      </c>
      <c r="H2164" s="193"/>
      <c r="I2164" s="194"/>
      <c r="J2164" s="194"/>
      <c r="K2164" s="19"/>
      <c r="L2164" s="20"/>
    </row>
    <row r="2165" spans="1:12" outlineLevel="2">
      <c r="A2165" s="191"/>
      <c r="B2165" s="12" t="str">
        <f>IFERROR(VLOOKUP(D2165,'[1]Перечень товаров'!$A$2:$I9525,2,0),"")</f>
        <v>м208</v>
      </c>
      <c r="C2165" s="12" t="str">
        <f>IFERROR(VLOOKUP(D2165,'[1]Перечень товаров'!$A$2:$I9525,3,0),"")</f>
        <v>Мебель</v>
      </c>
      <c r="D2165" s="192" t="s">
        <v>748</v>
      </c>
      <c r="E2165" s="23"/>
      <c r="F2165" s="23"/>
      <c r="G2165" s="193">
        <v>26</v>
      </c>
      <c r="H2165" s="193"/>
      <c r="I2165" s="194"/>
      <c r="J2165" s="194"/>
      <c r="K2165" s="19"/>
      <c r="L2165" s="20"/>
    </row>
    <row r="2166" spans="1:12" outlineLevel="2">
      <c r="A2166" s="191"/>
      <c r="B2166" s="12" t="str">
        <f>IFERROR(VLOOKUP(D2166,'[1]Перечень товаров'!$A$2:$I9525,2,0),"")</f>
        <v>м209</v>
      </c>
      <c r="C2166" s="12" t="str">
        <f>IFERROR(VLOOKUP(D2166,'[1]Перечень товаров'!$A$2:$I9525,3,0),"")</f>
        <v>Мебель</v>
      </c>
      <c r="D2166" s="192" t="s">
        <v>749</v>
      </c>
      <c r="E2166" s="23"/>
      <c r="F2166" s="23"/>
      <c r="G2166" s="193">
        <v>1</v>
      </c>
      <c r="H2166" s="193"/>
      <c r="I2166" s="194"/>
      <c r="J2166" s="194"/>
      <c r="K2166" s="19"/>
      <c r="L2166" s="20"/>
    </row>
    <row r="2167" spans="1:12" ht="47.25" outlineLevel="2">
      <c r="A2167" s="191"/>
      <c r="B2167" s="12" t="str">
        <f>IFERROR(VLOOKUP(D2167,'[1]Перечень товаров'!$A$2:$I9525,2,0),"")</f>
        <v>м210</v>
      </c>
      <c r="C2167" s="12" t="str">
        <f>IFERROR(VLOOKUP(D2167,'[1]Перечень товаров'!$A$2:$I9525,3,0),"")</f>
        <v>Мебель</v>
      </c>
      <c r="D2167" s="192" t="s">
        <v>750</v>
      </c>
      <c r="E2167" s="23"/>
      <c r="F2167" s="23"/>
      <c r="G2167" s="193">
        <v>2</v>
      </c>
      <c r="H2167" s="193"/>
      <c r="I2167" s="194"/>
      <c r="J2167" s="194"/>
      <c r="K2167" s="19"/>
      <c r="L2167" s="20"/>
    </row>
    <row r="2168" spans="1:12" ht="47.25" outlineLevel="2">
      <c r="A2168" s="191"/>
      <c r="B2168" s="12" t="str">
        <f>IFERROR(VLOOKUP(D2168,'[1]Перечень товаров'!$A$2:$I9525,2,0),"")</f>
        <v>п91</v>
      </c>
      <c r="C2168" s="12" t="str">
        <f>IFERROR(VLOOKUP(D2168,'[1]Перечень товаров'!$A$2:$I9525,3,0),"")</f>
        <v>Прочее</v>
      </c>
      <c r="D2168" s="192" t="s">
        <v>751</v>
      </c>
      <c r="E2168" s="23"/>
      <c r="F2168" s="23"/>
      <c r="G2168" s="193">
        <v>1</v>
      </c>
      <c r="H2168" s="193"/>
      <c r="I2168" s="194"/>
      <c r="J2168" s="194"/>
      <c r="K2168" s="19"/>
      <c r="L2168" s="20"/>
    </row>
    <row r="2169" spans="1:12" ht="15" outlineLevel="2">
      <c r="A2169" s="179"/>
      <c r="B2169" s="12" t="str">
        <f>IFERROR(VLOOKUP(D2169,'[1]Перечень товаров'!$A$2:$I9525,2,0),"")</f>
        <v/>
      </c>
      <c r="C2169" s="12" t="str">
        <f>IFERROR(VLOOKUP(D2169,'[1]Перечень товаров'!$A$2:$I9525,3,0),"")</f>
        <v/>
      </c>
      <c r="D2169" s="180" t="s">
        <v>752</v>
      </c>
      <c r="E2169" s="61"/>
      <c r="F2169" s="61"/>
      <c r="G2169" s="195"/>
      <c r="H2169" s="195"/>
      <c r="I2169" s="196"/>
      <c r="J2169" s="196"/>
      <c r="K2169" s="19"/>
      <c r="L2169" s="20"/>
    </row>
    <row r="2170" spans="1:12" ht="15" outlineLevel="2">
      <c r="A2170" s="179"/>
      <c r="B2170" s="12" t="str">
        <f>IFERROR(VLOOKUP(D2170,'[1]Перечень товаров'!$A$2:$I9525,2,0),"")</f>
        <v/>
      </c>
      <c r="C2170" s="12" t="str">
        <f>IFERROR(VLOOKUP(D2170,'[1]Перечень товаров'!$A$2:$I9525,3,0),"")</f>
        <v/>
      </c>
      <c r="D2170" s="180" t="s">
        <v>753</v>
      </c>
      <c r="E2170" s="61"/>
      <c r="F2170" s="61"/>
      <c r="G2170" s="195"/>
      <c r="H2170" s="195"/>
      <c r="I2170" s="196"/>
      <c r="J2170" s="196"/>
      <c r="K2170" s="19"/>
      <c r="L2170" s="20"/>
    </row>
    <row r="2171" spans="1:12" ht="31.5" outlineLevel="2">
      <c r="A2171" s="191"/>
      <c r="B2171" s="12" t="str">
        <f>IFERROR(VLOOKUP(D2171,'[1]Перечень товаров'!$A$2:$I9525,2,0),"")</f>
        <v>д13</v>
      </c>
      <c r="C2171" s="12" t="str">
        <f>IFERROR(VLOOKUP(D2171,'[1]Перечень товаров'!$A$2:$I9525,3,0),"")</f>
        <v>Дидактика</v>
      </c>
      <c r="D2171" s="192" t="s">
        <v>754</v>
      </c>
      <c r="E2171" s="23"/>
      <c r="F2171" s="23"/>
      <c r="G2171" s="193">
        <v>1</v>
      </c>
      <c r="H2171" s="193"/>
      <c r="I2171" s="194"/>
      <c r="J2171" s="194"/>
      <c r="K2171" s="19"/>
      <c r="L2171" s="20"/>
    </row>
    <row r="2172" spans="1:12" ht="47.25" outlineLevel="2">
      <c r="A2172" s="191"/>
      <c r="B2172" s="12" t="str">
        <f>IFERROR(VLOOKUP(D2172,'[1]Перечень товаров'!$A$2:$I9525,2,0),"")</f>
        <v>д14</v>
      </c>
      <c r="C2172" s="12" t="str">
        <f>IFERROR(VLOOKUP(D2172,'[1]Перечень товаров'!$A$2:$I9525,3,0),"")</f>
        <v>Дидактика</v>
      </c>
      <c r="D2172" s="192" t="s">
        <v>755</v>
      </c>
      <c r="E2172" s="23"/>
      <c r="F2172" s="23"/>
      <c r="G2172" s="193">
        <v>1</v>
      </c>
      <c r="H2172" s="193"/>
      <c r="I2172" s="194"/>
      <c r="J2172" s="194"/>
      <c r="K2172" s="19"/>
      <c r="L2172" s="20"/>
    </row>
    <row r="2173" spans="1:12" ht="31.5" outlineLevel="2">
      <c r="A2173" s="191"/>
      <c r="B2173" s="12" t="str">
        <f>IFERROR(VLOOKUP(D2173,'[1]Перечень товаров'!$A$2:$I9525,2,0),"")</f>
        <v>д15</v>
      </c>
      <c r="C2173" s="12" t="str">
        <f>IFERROR(VLOOKUP(D2173,'[1]Перечень товаров'!$A$2:$I9525,3,0),"")</f>
        <v>Дидактика</v>
      </c>
      <c r="D2173" s="192" t="s">
        <v>756</v>
      </c>
      <c r="E2173" s="23"/>
      <c r="F2173" s="23"/>
      <c r="G2173" s="193">
        <v>1</v>
      </c>
      <c r="H2173" s="193"/>
      <c r="I2173" s="194"/>
      <c r="J2173" s="194"/>
      <c r="K2173" s="19"/>
      <c r="L2173" s="20"/>
    </row>
    <row r="2174" spans="1:12" ht="30" outlineLevel="2">
      <c r="A2174" s="179"/>
      <c r="B2174" s="12" t="str">
        <f>IFERROR(VLOOKUP(D2174,'[1]Перечень товаров'!$A$2:$I9525,2,0),"")</f>
        <v/>
      </c>
      <c r="C2174" s="12" t="str">
        <f>IFERROR(VLOOKUP(D2174,'[1]Перечень товаров'!$A$2:$I9525,3,0),"")</f>
        <v/>
      </c>
      <c r="D2174" s="180" t="s">
        <v>757</v>
      </c>
      <c r="E2174" s="61"/>
      <c r="F2174" s="61"/>
      <c r="G2174" s="195"/>
      <c r="H2174" s="195"/>
      <c r="I2174" s="196"/>
      <c r="J2174" s="196"/>
      <c r="K2174" s="19"/>
      <c r="L2174" s="20"/>
    </row>
    <row r="2175" spans="1:12" outlineLevel="2">
      <c r="A2175" s="191"/>
      <c r="B2175" s="12" t="str">
        <f>IFERROR(VLOOKUP(D2175,'[1]Перечень товаров'!$A$2:$I9525,2,0),"")</f>
        <v>п92</v>
      </c>
      <c r="C2175" s="12" t="str">
        <f>IFERROR(VLOOKUP(D2175,'[1]Перечень товаров'!$A$2:$I9525,3,0),"")</f>
        <v>Прочее</v>
      </c>
      <c r="D2175" s="192" t="s">
        <v>758</v>
      </c>
      <c r="E2175" s="23"/>
      <c r="F2175" s="23"/>
      <c r="G2175" s="193">
        <v>13</v>
      </c>
      <c r="H2175" s="193"/>
      <c r="I2175" s="194"/>
      <c r="J2175" s="194"/>
      <c r="K2175" s="19"/>
      <c r="L2175" s="20"/>
    </row>
    <row r="2176" spans="1:12" ht="31.5" outlineLevel="2">
      <c r="A2176" s="191"/>
      <c r="B2176" s="12" t="str">
        <f>IFERROR(VLOOKUP(D2176,'[1]Перечень товаров'!$A$2:$I9525,2,0),"")</f>
        <v>д16</v>
      </c>
      <c r="C2176" s="12" t="str">
        <f>IFERROR(VLOOKUP(D2176,'[1]Перечень товаров'!$A$2:$I9525,3,0),"")</f>
        <v>Дидактика</v>
      </c>
      <c r="D2176" s="192" t="s">
        <v>759</v>
      </c>
      <c r="E2176" s="23"/>
      <c r="F2176" s="23"/>
      <c r="G2176" s="193">
        <v>1</v>
      </c>
      <c r="H2176" s="193"/>
      <c r="I2176" s="194"/>
      <c r="J2176" s="194"/>
      <c r="K2176" s="19"/>
      <c r="L2176" s="20"/>
    </row>
    <row r="2177" spans="1:12" ht="31.5" outlineLevel="2">
      <c r="A2177" s="191"/>
      <c r="B2177" s="12" t="str">
        <f>IFERROR(VLOOKUP(D2177,'[1]Перечень товаров'!$A$2:$I9525,2,0),"")</f>
        <v>д17</v>
      </c>
      <c r="C2177" s="12" t="str">
        <f>IFERROR(VLOOKUP(D2177,'[1]Перечень товаров'!$A$2:$I9525,3,0),"")</f>
        <v>Дидактика</v>
      </c>
      <c r="D2177" s="192" t="s">
        <v>760</v>
      </c>
      <c r="E2177" s="23"/>
      <c r="F2177" s="23"/>
      <c r="G2177" s="193">
        <v>1</v>
      </c>
      <c r="H2177" s="193"/>
      <c r="I2177" s="194"/>
      <c r="J2177" s="194"/>
      <c r="K2177" s="19"/>
      <c r="L2177" s="20"/>
    </row>
    <row r="2178" spans="1:12" ht="31.5" outlineLevel="2">
      <c r="A2178" s="191"/>
      <c r="B2178" s="12" t="str">
        <f>IFERROR(VLOOKUP(D2178,'[1]Перечень товаров'!$A$2:$I9525,2,0),"")</f>
        <v>д18</v>
      </c>
      <c r="C2178" s="12" t="str">
        <f>IFERROR(VLOOKUP(D2178,'[1]Перечень товаров'!$A$2:$I9525,3,0),"")</f>
        <v>Дидактика</v>
      </c>
      <c r="D2178" s="192" t="s">
        <v>761</v>
      </c>
      <c r="E2178" s="23"/>
      <c r="F2178" s="23"/>
      <c r="G2178" s="193">
        <v>13</v>
      </c>
      <c r="H2178" s="193"/>
      <c r="I2178" s="194"/>
      <c r="J2178" s="194"/>
      <c r="K2178" s="19"/>
      <c r="L2178" s="20"/>
    </row>
    <row r="2179" spans="1:12" ht="31.5" outlineLevel="2">
      <c r="A2179" s="191"/>
      <c r="B2179" s="12" t="str">
        <f>IFERROR(VLOOKUP(D2179,'[1]Перечень товаров'!$A$2:$I9525,2,0),"")</f>
        <v>д19</v>
      </c>
      <c r="C2179" s="12" t="str">
        <f>IFERROR(VLOOKUP(D2179,'[1]Перечень товаров'!$A$2:$I9525,3,0),"")</f>
        <v>Дидактика</v>
      </c>
      <c r="D2179" s="192" t="s">
        <v>762</v>
      </c>
      <c r="E2179" s="23"/>
      <c r="F2179" s="23"/>
      <c r="G2179" s="193">
        <v>1</v>
      </c>
      <c r="H2179" s="193"/>
      <c r="I2179" s="194"/>
      <c r="J2179" s="194"/>
      <c r="K2179" s="19"/>
      <c r="L2179" s="20"/>
    </row>
    <row r="2180" spans="1:12" ht="31.5" outlineLevel="2">
      <c r="A2180" s="191"/>
      <c r="B2180" s="12" t="str">
        <f>IFERROR(VLOOKUP(D2180,'[1]Перечень товаров'!$A$2:$I9525,2,0),"")</f>
        <v>д20</v>
      </c>
      <c r="C2180" s="12" t="str">
        <f>IFERROR(VLOOKUP(D2180,'[1]Перечень товаров'!$A$2:$I9525,3,0),"")</f>
        <v>Дидактика</v>
      </c>
      <c r="D2180" s="192" t="s">
        <v>763</v>
      </c>
      <c r="E2180" s="23"/>
      <c r="F2180" s="23"/>
      <c r="G2180" s="193">
        <v>1</v>
      </c>
      <c r="H2180" s="193"/>
      <c r="I2180" s="194"/>
      <c r="J2180" s="194"/>
      <c r="K2180" s="19"/>
      <c r="L2180" s="20"/>
    </row>
    <row r="2181" spans="1:12" ht="63" outlineLevel="2">
      <c r="A2181" s="191"/>
      <c r="B2181" s="12" t="str">
        <f>IFERROR(VLOOKUP(D2181,'[1]Перечень товаров'!$A$2:$I9525,2,0),"")</f>
        <v>д21</v>
      </c>
      <c r="C2181" s="12" t="str">
        <f>IFERROR(VLOOKUP(D2181,'[1]Перечень товаров'!$A$2:$I9525,3,0),"")</f>
        <v>Дидактика</v>
      </c>
      <c r="D2181" s="192" t="s">
        <v>764</v>
      </c>
      <c r="E2181" s="23"/>
      <c r="F2181" s="23"/>
      <c r="G2181" s="193">
        <v>1</v>
      </c>
      <c r="H2181" s="193"/>
      <c r="I2181" s="194"/>
      <c r="J2181" s="194"/>
      <c r="K2181" s="19"/>
      <c r="L2181" s="20"/>
    </row>
    <row r="2182" spans="1:12" ht="47.25" outlineLevel="2">
      <c r="A2182" s="191"/>
      <c r="B2182" s="12" t="str">
        <f>IFERROR(VLOOKUP(D2182,'[1]Перечень товаров'!$A$2:$I9525,2,0),"")</f>
        <v>д22</v>
      </c>
      <c r="C2182" s="12" t="str">
        <f>IFERROR(VLOOKUP(D2182,'[1]Перечень товаров'!$A$2:$I9525,3,0),"")</f>
        <v>Дидактика</v>
      </c>
      <c r="D2182" s="192" t="s">
        <v>765</v>
      </c>
      <c r="E2182" s="23"/>
      <c r="F2182" s="23"/>
      <c r="G2182" s="193">
        <v>1</v>
      </c>
      <c r="H2182" s="193"/>
      <c r="I2182" s="194"/>
      <c r="J2182" s="194"/>
      <c r="K2182" s="19"/>
      <c r="L2182" s="20"/>
    </row>
    <row r="2183" spans="1:12" ht="31.5" outlineLevel="2">
      <c r="A2183" s="191"/>
      <c r="B2183" s="12" t="str">
        <f>IFERROR(VLOOKUP(D2183,'[1]Перечень товаров'!$A$2:$I9525,2,0),"")</f>
        <v>д23</v>
      </c>
      <c r="C2183" s="12" t="str">
        <f>IFERROR(VLOOKUP(D2183,'[1]Перечень товаров'!$A$2:$I9525,3,0),"")</f>
        <v>Дидактика</v>
      </c>
      <c r="D2183" s="192" t="s">
        <v>766</v>
      </c>
      <c r="E2183" s="23"/>
      <c r="F2183" s="23"/>
      <c r="G2183" s="193">
        <v>13</v>
      </c>
      <c r="H2183" s="193"/>
      <c r="I2183" s="194"/>
      <c r="J2183" s="194"/>
      <c r="K2183" s="19"/>
      <c r="L2183" s="20"/>
    </row>
    <row r="2184" spans="1:12" ht="78.75" outlineLevel="2">
      <c r="A2184" s="191"/>
      <c r="B2184" s="12" t="str">
        <f>IFERROR(VLOOKUP(D2184,'[1]Перечень товаров'!$A$2:$I9525,2,0),"")</f>
        <v>д24</v>
      </c>
      <c r="C2184" s="12" t="str">
        <f>IFERROR(VLOOKUP(D2184,'[1]Перечень товаров'!$A$2:$I9525,3,0),"")</f>
        <v>Дидактика</v>
      </c>
      <c r="D2184" s="192" t="s">
        <v>767</v>
      </c>
      <c r="E2184" s="23"/>
      <c r="F2184" s="23"/>
      <c r="G2184" s="193">
        <v>1</v>
      </c>
      <c r="H2184" s="193"/>
      <c r="I2184" s="194"/>
      <c r="J2184" s="194"/>
      <c r="K2184" s="19"/>
      <c r="L2184" s="20"/>
    </row>
    <row r="2185" spans="1:12" ht="31.5" outlineLevel="2">
      <c r="A2185" s="191"/>
      <c r="B2185" s="12" t="str">
        <f>IFERROR(VLOOKUP(D2185,'[1]Перечень товаров'!$A$2:$I9525,2,0),"")</f>
        <v>д25</v>
      </c>
      <c r="C2185" s="12" t="str">
        <f>IFERROR(VLOOKUP(D2185,'[1]Перечень товаров'!$A$2:$I9525,3,0),"")</f>
        <v>Дидактика</v>
      </c>
      <c r="D2185" s="192" t="s">
        <v>768</v>
      </c>
      <c r="E2185" s="23"/>
      <c r="F2185" s="23"/>
      <c r="G2185" s="193">
        <v>1</v>
      </c>
      <c r="H2185" s="193"/>
      <c r="I2185" s="194"/>
      <c r="J2185" s="194"/>
      <c r="K2185" s="19"/>
      <c r="L2185" s="20"/>
    </row>
    <row r="2186" spans="1:12" outlineLevel="2">
      <c r="A2186" s="191"/>
      <c r="B2186" s="12" t="str">
        <f>IFERROR(VLOOKUP(D2186,'[1]Перечень товаров'!$A$2:$I9525,2,0),"")</f>
        <v>п92</v>
      </c>
      <c r="C2186" s="12" t="str">
        <f>IFERROR(VLOOKUP(D2186,'[1]Перечень товаров'!$A$2:$I9525,3,0),"")</f>
        <v>Прочее</v>
      </c>
      <c r="D2186" s="192" t="s">
        <v>769</v>
      </c>
      <c r="E2186" s="23"/>
      <c r="F2186" s="23"/>
      <c r="G2186" s="193">
        <v>13</v>
      </c>
      <c r="H2186" s="193"/>
      <c r="I2186" s="194"/>
      <c r="J2186" s="194"/>
      <c r="K2186" s="19"/>
      <c r="L2186" s="20"/>
    </row>
    <row r="2187" spans="1:12" ht="15" outlineLevel="2">
      <c r="A2187" s="179"/>
      <c r="B2187" s="12" t="str">
        <f>IFERROR(VLOOKUP(D2187,'[1]Перечень товаров'!$A$2:$I9525,2,0),"")</f>
        <v/>
      </c>
      <c r="C2187" s="12" t="str">
        <f>IFERROR(VLOOKUP(D2187,'[1]Перечень товаров'!$A$2:$I9525,3,0),"")</f>
        <v/>
      </c>
      <c r="D2187" s="180" t="s">
        <v>770</v>
      </c>
      <c r="E2187" s="61"/>
      <c r="F2187" s="61"/>
      <c r="G2187" s="195"/>
      <c r="H2187" s="195"/>
      <c r="I2187" s="196"/>
      <c r="J2187" s="196"/>
      <c r="K2187" s="19"/>
      <c r="L2187" s="20"/>
    </row>
    <row r="2188" spans="1:12" ht="31.5" outlineLevel="2">
      <c r="A2188" s="191"/>
      <c r="B2188" s="12" t="str">
        <f>IFERROR(VLOOKUP(D2188,'[1]Перечень товаров'!$A$2:$I9525,2,0),"")</f>
        <v>д26</v>
      </c>
      <c r="C2188" s="12" t="str">
        <f>IFERROR(VLOOKUP(D2188,'[1]Перечень товаров'!$A$2:$I9525,3,0),"")</f>
        <v>Дидактика</v>
      </c>
      <c r="D2188" s="192" t="s">
        <v>771</v>
      </c>
      <c r="E2188" s="23"/>
      <c r="F2188" s="23"/>
      <c r="G2188" s="193">
        <v>1</v>
      </c>
      <c r="H2188" s="193"/>
      <c r="I2188" s="194"/>
      <c r="J2188" s="194"/>
      <c r="K2188" s="19"/>
      <c r="L2188" s="20"/>
    </row>
    <row r="2189" spans="1:12" ht="31.5" outlineLevel="2">
      <c r="A2189" s="191"/>
      <c r="B2189" s="12" t="str">
        <f>IFERROR(VLOOKUP(D2189,'[1]Перечень товаров'!$A$2:$I9525,2,0),"")</f>
        <v>д27</v>
      </c>
      <c r="C2189" s="12" t="str">
        <f>IFERROR(VLOOKUP(D2189,'[1]Перечень товаров'!$A$2:$I9525,3,0),"")</f>
        <v>Дидактика</v>
      </c>
      <c r="D2189" s="192" t="s">
        <v>772</v>
      </c>
      <c r="E2189" s="23"/>
      <c r="F2189" s="23"/>
      <c r="G2189" s="193">
        <v>1</v>
      </c>
      <c r="H2189" s="193"/>
      <c r="I2189" s="194"/>
      <c r="J2189" s="194"/>
      <c r="K2189" s="19"/>
      <c r="L2189" s="20"/>
    </row>
    <row r="2190" spans="1:12" ht="47.25" outlineLevel="2">
      <c r="A2190" s="191"/>
      <c r="B2190" s="12" t="str">
        <f>IFERROR(VLOOKUP(D2190,'[1]Перечень товаров'!$A$2:$I9525,2,0),"")</f>
        <v>д28</v>
      </c>
      <c r="C2190" s="12" t="str">
        <f>IFERROR(VLOOKUP(D2190,'[1]Перечень товаров'!$A$2:$I9525,3,0),"")</f>
        <v>Дидактика</v>
      </c>
      <c r="D2190" s="192" t="s">
        <v>773</v>
      </c>
      <c r="E2190" s="23"/>
      <c r="F2190" s="23"/>
      <c r="G2190" s="193">
        <v>1</v>
      </c>
      <c r="H2190" s="193"/>
      <c r="I2190" s="194"/>
      <c r="J2190" s="194"/>
      <c r="K2190" s="19"/>
      <c r="L2190" s="20"/>
    </row>
    <row r="2191" spans="1:12" ht="31.5" outlineLevel="2">
      <c r="A2191" s="191"/>
      <c r="B2191" s="12" t="str">
        <f>IFERROR(VLOOKUP(D2191,'[1]Перечень товаров'!$A$2:$I9525,2,0),"")</f>
        <v>д29</v>
      </c>
      <c r="C2191" s="12" t="str">
        <f>IFERROR(VLOOKUP(D2191,'[1]Перечень товаров'!$A$2:$I9525,3,0),"")</f>
        <v>Дидактика</v>
      </c>
      <c r="D2191" s="192" t="s">
        <v>774</v>
      </c>
      <c r="E2191" s="23"/>
      <c r="F2191" s="23"/>
      <c r="G2191" s="193">
        <v>1</v>
      </c>
      <c r="H2191" s="193"/>
      <c r="I2191" s="194"/>
      <c r="J2191" s="194"/>
      <c r="K2191" s="19"/>
      <c r="L2191" s="20"/>
    </row>
    <row r="2192" spans="1:12" ht="31.5" outlineLevel="2">
      <c r="A2192" s="191"/>
      <c r="B2192" s="12" t="str">
        <f>IFERROR(VLOOKUP(D2192,'[1]Перечень товаров'!$A$2:$I9525,2,0),"")</f>
        <v>д30</v>
      </c>
      <c r="C2192" s="12" t="str">
        <f>IFERROR(VLOOKUP(D2192,'[1]Перечень товаров'!$A$2:$I9525,3,0),"")</f>
        <v>Дидактика</v>
      </c>
      <c r="D2192" s="192" t="s">
        <v>775</v>
      </c>
      <c r="E2192" s="23"/>
      <c r="F2192" s="23"/>
      <c r="G2192" s="193">
        <v>1</v>
      </c>
      <c r="H2192" s="193"/>
      <c r="I2192" s="194"/>
      <c r="J2192" s="194"/>
      <c r="K2192" s="19"/>
      <c r="L2192" s="20"/>
    </row>
    <row r="2193" spans="1:12" ht="31.5" outlineLevel="2">
      <c r="A2193" s="191"/>
      <c r="B2193" s="12" t="str">
        <f>IFERROR(VLOOKUP(D2193,'[1]Перечень товаров'!$A$2:$I9525,2,0),"")</f>
        <v>д31</v>
      </c>
      <c r="C2193" s="12" t="str">
        <f>IFERROR(VLOOKUP(D2193,'[1]Перечень товаров'!$A$2:$I9525,3,0),"")</f>
        <v>Дидактика</v>
      </c>
      <c r="D2193" s="192" t="s">
        <v>776</v>
      </c>
      <c r="E2193" s="23"/>
      <c r="F2193" s="23"/>
      <c r="G2193" s="193">
        <v>1</v>
      </c>
      <c r="H2193" s="193"/>
      <c r="I2193" s="194"/>
      <c r="J2193" s="194"/>
      <c r="K2193" s="19"/>
      <c r="L2193" s="20"/>
    </row>
    <row r="2194" spans="1:12" ht="31.5" outlineLevel="2">
      <c r="A2194" s="191"/>
      <c r="B2194" s="12" t="str">
        <f>IFERROR(VLOOKUP(D2194,'[1]Перечень товаров'!$A$2:$I9525,2,0),"")</f>
        <v>д32</v>
      </c>
      <c r="C2194" s="12" t="str">
        <f>IFERROR(VLOOKUP(D2194,'[1]Перечень товаров'!$A$2:$I9525,3,0),"")</f>
        <v>Дидактика</v>
      </c>
      <c r="D2194" s="192" t="s">
        <v>777</v>
      </c>
      <c r="E2194" s="23"/>
      <c r="F2194" s="23"/>
      <c r="G2194" s="193">
        <v>1</v>
      </c>
      <c r="H2194" s="193"/>
      <c r="I2194" s="194"/>
      <c r="J2194" s="194"/>
      <c r="K2194" s="19"/>
      <c r="L2194" s="20"/>
    </row>
    <row r="2195" spans="1:12" ht="47.25" outlineLevel="2">
      <c r="A2195" s="191"/>
      <c r="B2195" s="12" t="str">
        <f>IFERROR(VLOOKUP(D2195,'[1]Перечень товаров'!$A$2:$I9525,2,0),"")</f>
        <v>д33</v>
      </c>
      <c r="C2195" s="12" t="str">
        <f>IFERROR(VLOOKUP(D2195,'[1]Перечень товаров'!$A$2:$I9525,3,0),"")</f>
        <v>Дидактика</v>
      </c>
      <c r="D2195" s="192" t="s">
        <v>778</v>
      </c>
      <c r="E2195" s="23"/>
      <c r="F2195" s="23"/>
      <c r="G2195" s="193">
        <v>1</v>
      </c>
      <c r="H2195" s="193"/>
      <c r="I2195" s="194"/>
      <c r="J2195" s="194"/>
      <c r="K2195" s="19"/>
      <c r="L2195" s="20"/>
    </row>
    <row r="2196" spans="1:12" ht="31.5" outlineLevel="2">
      <c r="A2196" s="191"/>
      <c r="B2196" s="12" t="str">
        <f>IFERROR(VLOOKUP(D2196,'[1]Перечень товаров'!$A$2:$I9525,2,0),"")</f>
        <v>д34</v>
      </c>
      <c r="C2196" s="12" t="str">
        <f>IFERROR(VLOOKUP(D2196,'[1]Перечень товаров'!$A$2:$I9525,3,0),"")</f>
        <v>Дидактика</v>
      </c>
      <c r="D2196" s="192" t="s">
        <v>779</v>
      </c>
      <c r="E2196" s="23"/>
      <c r="F2196" s="23"/>
      <c r="G2196" s="193">
        <v>1</v>
      </c>
      <c r="H2196" s="193"/>
      <c r="I2196" s="194"/>
      <c r="J2196" s="194"/>
      <c r="K2196" s="19"/>
      <c r="L2196" s="20"/>
    </row>
    <row r="2197" spans="1:12" ht="31.5" outlineLevel="2">
      <c r="A2197" s="191"/>
      <c r="B2197" s="12" t="str">
        <f>IFERROR(VLOOKUP(D2197,'[1]Перечень товаров'!$A$2:$I9525,2,0),"")</f>
        <v>д35</v>
      </c>
      <c r="C2197" s="12" t="str">
        <f>IFERROR(VLOOKUP(D2197,'[1]Перечень товаров'!$A$2:$I9525,3,0),"")</f>
        <v>Дидактика</v>
      </c>
      <c r="D2197" s="192" t="s">
        <v>780</v>
      </c>
      <c r="E2197" s="23"/>
      <c r="F2197" s="23"/>
      <c r="G2197" s="193">
        <v>1</v>
      </c>
      <c r="H2197" s="193"/>
      <c r="I2197" s="194"/>
      <c r="J2197" s="194"/>
      <c r="K2197" s="19"/>
      <c r="L2197" s="20"/>
    </row>
    <row r="2198" spans="1:12" ht="31.5" outlineLevel="2">
      <c r="A2198" s="191"/>
      <c r="B2198" s="12" t="str">
        <f>IFERROR(VLOOKUP(D2198,'[1]Перечень товаров'!$A$2:$I9525,2,0),"")</f>
        <v>д36</v>
      </c>
      <c r="C2198" s="12" t="str">
        <f>IFERROR(VLOOKUP(D2198,'[1]Перечень товаров'!$A$2:$I9525,3,0),"")</f>
        <v>Дидактика</v>
      </c>
      <c r="D2198" s="192" t="s">
        <v>781</v>
      </c>
      <c r="E2198" s="23"/>
      <c r="F2198" s="23"/>
      <c r="G2198" s="193">
        <v>1</v>
      </c>
      <c r="H2198" s="193"/>
      <c r="I2198" s="194"/>
      <c r="J2198" s="194"/>
      <c r="K2198" s="19"/>
      <c r="L2198" s="20"/>
    </row>
    <row r="2199" spans="1:12" outlineLevel="2">
      <c r="A2199" s="191"/>
      <c r="B2199" s="12" t="str">
        <f>IFERROR(VLOOKUP(D2199,'[1]Перечень товаров'!$A$2:$I9525,2,0),"")</f>
        <v>д37</v>
      </c>
      <c r="C2199" s="12" t="str">
        <f>IFERROR(VLOOKUP(D2199,'[1]Перечень товаров'!$A$2:$I9525,3,0),"")</f>
        <v>Дидактика</v>
      </c>
      <c r="D2199" s="192" t="s">
        <v>782</v>
      </c>
      <c r="E2199" s="23"/>
      <c r="F2199" s="23"/>
      <c r="G2199" s="193">
        <v>1</v>
      </c>
      <c r="H2199" s="193"/>
      <c r="I2199" s="194"/>
      <c r="J2199" s="194"/>
      <c r="K2199" s="19"/>
      <c r="L2199" s="20"/>
    </row>
    <row r="2200" spans="1:12" ht="31.5" outlineLevel="2">
      <c r="A2200" s="191"/>
      <c r="B2200" s="12" t="str">
        <f>IFERROR(VLOOKUP(D2200,'[1]Перечень товаров'!$A$2:$I9525,2,0),"")</f>
        <v>д38</v>
      </c>
      <c r="C2200" s="12" t="str">
        <f>IFERROR(VLOOKUP(D2200,'[1]Перечень товаров'!$A$2:$I9525,3,0),"")</f>
        <v>Дидактика</v>
      </c>
      <c r="D2200" s="192" t="s">
        <v>783</v>
      </c>
      <c r="E2200" s="23"/>
      <c r="F2200" s="23"/>
      <c r="G2200" s="193">
        <v>1</v>
      </c>
      <c r="H2200" s="193"/>
      <c r="I2200" s="194"/>
      <c r="J2200" s="194"/>
      <c r="K2200" s="19"/>
      <c r="L2200" s="20"/>
    </row>
    <row r="2201" spans="1:12" outlineLevel="2">
      <c r="A2201" s="191"/>
      <c r="B2201" s="12" t="str">
        <f>IFERROR(VLOOKUP(D2201,'[1]Перечень товаров'!$A$2:$I9525,2,0),"")</f>
        <v>д39</v>
      </c>
      <c r="C2201" s="12" t="str">
        <f>IFERROR(VLOOKUP(D2201,'[1]Перечень товаров'!$A$2:$I9525,3,0),"")</f>
        <v>Дидактика</v>
      </c>
      <c r="D2201" s="192" t="s">
        <v>784</v>
      </c>
      <c r="E2201" s="23"/>
      <c r="F2201" s="23"/>
      <c r="G2201" s="193">
        <v>1</v>
      </c>
      <c r="H2201" s="193"/>
      <c r="I2201" s="194"/>
      <c r="J2201" s="194"/>
      <c r="K2201" s="19"/>
      <c r="L2201" s="20"/>
    </row>
    <row r="2202" spans="1:12" ht="31.5" outlineLevel="2">
      <c r="A2202" s="191"/>
      <c r="B2202" s="12" t="str">
        <f>IFERROR(VLOOKUP(D2202,'[1]Перечень товаров'!$A$2:$I9525,2,0),"")</f>
        <v>д40</v>
      </c>
      <c r="C2202" s="12" t="str">
        <f>IFERROR(VLOOKUP(D2202,'[1]Перечень товаров'!$A$2:$I9525,3,0),"")</f>
        <v>Дидактика</v>
      </c>
      <c r="D2202" s="192" t="s">
        <v>785</v>
      </c>
      <c r="E2202" s="23"/>
      <c r="F2202" s="23"/>
      <c r="G2202" s="193">
        <v>1</v>
      </c>
      <c r="H2202" s="193"/>
      <c r="I2202" s="194"/>
      <c r="J2202" s="194"/>
      <c r="K2202" s="19"/>
      <c r="L2202" s="20"/>
    </row>
    <row r="2203" spans="1:12" ht="47.25" outlineLevel="2">
      <c r="A2203" s="191"/>
      <c r="B2203" s="12" t="str">
        <f>IFERROR(VLOOKUP(D2203,'[1]Перечень товаров'!$A$2:$I9525,2,0),"")</f>
        <v>д41</v>
      </c>
      <c r="C2203" s="12" t="str">
        <f>IFERROR(VLOOKUP(D2203,'[1]Перечень товаров'!$A$2:$I9525,3,0),"")</f>
        <v>Дидактика</v>
      </c>
      <c r="D2203" s="192" t="s">
        <v>786</v>
      </c>
      <c r="E2203" s="23"/>
      <c r="F2203" s="23"/>
      <c r="G2203" s="193">
        <v>1</v>
      </c>
      <c r="H2203" s="193"/>
      <c r="I2203" s="194"/>
      <c r="J2203" s="194"/>
      <c r="K2203" s="19"/>
      <c r="L2203" s="20"/>
    </row>
    <row r="2204" spans="1:12" ht="31.5" outlineLevel="2">
      <c r="A2204" s="191"/>
      <c r="B2204" s="12" t="str">
        <f>IFERROR(VLOOKUP(D2204,'[1]Перечень товаров'!$A$2:$I9525,2,0),"")</f>
        <v>д42</v>
      </c>
      <c r="C2204" s="12" t="str">
        <f>IFERROR(VLOOKUP(D2204,'[1]Перечень товаров'!$A$2:$I9525,3,0),"")</f>
        <v>Дидактика</v>
      </c>
      <c r="D2204" s="192" t="s">
        <v>787</v>
      </c>
      <c r="E2204" s="23"/>
      <c r="F2204" s="23"/>
      <c r="G2204" s="193">
        <v>1</v>
      </c>
      <c r="H2204" s="193"/>
      <c r="I2204" s="194"/>
      <c r="J2204" s="194"/>
      <c r="K2204" s="19"/>
      <c r="L2204" s="20"/>
    </row>
    <row r="2205" spans="1:12" ht="31.5" outlineLevel="2">
      <c r="A2205" s="191"/>
      <c r="B2205" s="12" t="str">
        <f>IFERROR(VLOOKUP(D2205,'[1]Перечень товаров'!$A$2:$I9525,2,0),"")</f>
        <v>д43</v>
      </c>
      <c r="C2205" s="12" t="str">
        <f>IFERROR(VLOOKUP(D2205,'[1]Перечень товаров'!$A$2:$I9525,3,0),"")</f>
        <v>Дидактика</v>
      </c>
      <c r="D2205" s="192" t="s">
        <v>788</v>
      </c>
      <c r="E2205" s="23"/>
      <c r="F2205" s="23"/>
      <c r="G2205" s="193">
        <v>1</v>
      </c>
      <c r="H2205" s="193"/>
      <c r="I2205" s="194"/>
      <c r="J2205" s="194"/>
      <c r="K2205" s="19"/>
      <c r="L2205" s="20"/>
    </row>
    <row r="2206" spans="1:12" ht="31.5" outlineLevel="2">
      <c r="A2206" s="191"/>
      <c r="B2206" s="12" t="str">
        <f>IFERROR(VLOOKUP(D2206,'[1]Перечень товаров'!$A$2:$I9525,2,0),"")</f>
        <v>д44</v>
      </c>
      <c r="C2206" s="12" t="str">
        <f>IFERROR(VLOOKUP(D2206,'[1]Перечень товаров'!$A$2:$I9525,3,0),"")</f>
        <v>Дидактика</v>
      </c>
      <c r="D2206" s="192" t="s">
        <v>789</v>
      </c>
      <c r="E2206" s="23"/>
      <c r="F2206" s="23"/>
      <c r="G2206" s="193">
        <v>1</v>
      </c>
      <c r="H2206" s="193"/>
      <c r="I2206" s="194"/>
      <c r="J2206" s="194"/>
      <c r="K2206" s="19"/>
      <c r="L2206" s="20"/>
    </row>
    <row r="2207" spans="1:12" ht="47.25" outlineLevel="2">
      <c r="A2207" s="191"/>
      <c r="B2207" s="12" t="str">
        <f>IFERROR(VLOOKUP(D2207,'[1]Перечень товаров'!$A$2:$I9525,2,0),"")</f>
        <v>д45</v>
      </c>
      <c r="C2207" s="12" t="str">
        <f>IFERROR(VLOOKUP(D2207,'[1]Перечень товаров'!$A$2:$I9525,3,0),"")</f>
        <v>Дидактика</v>
      </c>
      <c r="D2207" s="192" t="s">
        <v>790</v>
      </c>
      <c r="E2207" s="23"/>
      <c r="F2207" s="23"/>
      <c r="G2207" s="193">
        <v>1</v>
      </c>
      <c r="H2207" s="193"/>
      <c r="I2207" s="194"/>
      <c r="J2207" s="194"/>
      <c r="K2207" s="19"/>
      <c r="L2207" s="20"/>
    </row>
    <row r="2208" spans="1:12" ht="31.5" outlineLevel="2">
      <c r="A2208" s="191"/>
      <c r="B2208" s="12" t="str">
        <f>IFERROR(VLOOKUP(D2208,'[1]Перечень товаров'!$A$2:$I9525,2,0),"")</f>
        <v>д46</v>
      </c>
      <c r="C2208" s="12" t="str">
        <f>IFERROR(VLOOKUP(D2208,'[1]Перечень товаров'!$A$2:$I9525,3,0),"")</f>
        <v>Дидактика</v>
      </c>
      <c r="D2208" s="192" t="s">
        <v>791</v>
      </c>
      <c r="E2208" s="23"/>
      <c r="F2208" s="23"/>
      <c r="G2208" s="193">
        <v>1</v>
      </c>
      <c r="H2208" s="193"/>
      <c r="I2208" s="194"/>
      <c r="J2208" s="194"/>
      <c r="K2208" s="19"/>
      <c r="L2208" s="20"/>
    </row>
    <row r="2209" spans="1:12" ht="31.5" outlineLevel="2">
      <c r="A2209" s="191"/>
      <c r="B2209" s="12" t="str">
        <f>IFERROR(VLOOKUP(D2209,'[1]Перечень товаров'!$A$2:$I9525,2,0),"")</f>
        <v>д47</v>
      </c>
      <c r="C2209" s="12" t="str">
        <f>IFERROR(VLOOKUP(D2209,'[1]Перечень товаров'!$A$2:$I9525,3,0),"")</f>
        <v>Дидактика</v>
      </c>
      <c r="D2209" s="192" t="s">
        <v>792</v>
      </c>
      <c r="E2209" s="23"/>
      <c r="F2209" s="23"/>
      <c r="G2209" s="193">
        <v>1</v>
      </c>
      <c r="H2209" s="193"/>
      <c r="I2209" s="194"/>
      <c r="J2209" s="194"/>
      <c r="K2209" s="19"/>
      <c r="L2209" s="20"/>
    </row>
    <row r="2210" spans="1:12" ht="31.5" outlineLevel="2">
      <c r="A2210" s="191"/>
      <c r="B2210" s="12" t="str">
        <f>IFERROR(VLOOKUP(D2210,'[1]Перечень товаров'!$A$2:$I9525,2,0),"")</f>
        <v>д48</v>
      </c>
      <c r="C2210" s="12" t="str">
        <f>IFERROR(VLOOKUP(D2210,'[1]Перечень товаров'!$A$2:$I9525,3,0),"")</f>
        <v>Дидактика</v>
      </c>
      <c r="D2210" s="192" t="s">
        <v>793</v>
      </c>
      <c r="E2210" s="23"/>
      <c r="F2210" s="23"/>
      <c r="G2210" s="193">
        <v>1</v>
      </c>
      <c r="H2210" s="193"/>
      <c r="I2210" s="194"/>
      <c r="J2210" s="194"/>
      <c r="K2210" s="19"/>
      <c r="L2210" s="20"/>
    </row>
    <row r="2211" spans="1:12" ht="31.5" outlineLevel="2">
      <c r="A2211" s="191"/>
      <c r="B2211" s="12" t="str">
        <f>IFERROR(VLOOKUP(D2211,'[1]Перечень товаров'!$A$2:$I9525,2,0),"")</f>
        <v>д49</v>
      </c>
      <c r="C2211" s="12" t="str">
        <f>IFERROR(VLOOKUP(D2211,'[1]Перечень товаров'!$A$2:$I9525,3,0),"")</f>
        <v>Дидактика</v>
      </c>
      <c r="D2211" s="192" t="s">
        <v>794</v>
      </c>
      <c r="E2211" s="23"/>
      <c r="F2211" s="23"/>
      <c r="G2211" s="193">
        <v>1</v>
      </c>
      <c r="H2211" s="193"/>
      <c r="I2211" s="194"/>
      <c r="J2211" s="194"/>
      <c r="K2211" s="19"/>
      <c r="L2211" s="20"/>
    </row>
    <row r="2212" spans="1:12" ht="31.5" outlineLevel="2">
      <c r="A2212" s="191"/>
      <c r="B2212" s="12" t="str">
        <f>IFERROR(VLOOKUP(D2212,'[1]Перечень товаров'!$A$2:$I9525,2,0),"")</f>
        <v>д50</v>
      </c>
      <c r="C2212" s="12" t="str">
        <f>IFERROR(VLOOKUP(D2212,'[1]Перечень товаров'!$A$2:$I9525,3,0),"")</f>
        <v>Дидактика</v>
      </c>
      <c r="D2212" s="192" t="s">
        <v>795</v>
      </c>
      <c r="E2212" s="23"/>
      <c r="F2212" s="23"/>
      <c r="G2212" s="193">
        <v>1</v>
      </c>
      <c r="H2212" s="193"/>
      <c r="I2212" s="194"/>
      <c r="J2212" s="194"/>
      <c r="K2212" s="19"/>
      <c r="L2212" s="20"/>
    </row>
    <row r="2213" spans="1:12" ht="31.5" outlineLevel="2">
      <c r="A2213" s="191"/>
      <c r="B2213" s="12" t="str">
        <f>IFERROR(VLOOKUP(D2213,'[1]Перечень товаров'!$A$2:$I9525,2,0),"")</f>
        <v>д51</v>
      </c>
      <c r="C2213" s="12" t="str">
        <f>IFERROR(VLOOKUP(D2213,'[1]Перечень товаров'!$A$2:$I9525,3,0),"")</f>
        <v>Дидактика</v>
      </c>
      <c r="D2213" s="192" t="s">
        <v>796</v>
      </c>
      <c r="E2213" s="23"/>
      <c r="F2213" s="23"/>
      <c r="G2213" s="193">
        <v>1</v>
      </c>
      <c r="H2213" s="193"/>
      <c r="I2213" s="194"/>
      <c r="J2213" s="194"/>
      <c r="K2213" s="19"/>
      <c r="L2213" s="20"/>
    </row>
    <row r="2214" spans="1:12" ht="31.5" outlineLevel="2">
      <c r="A2214" s="191"/>
      <c r="B2214" s="12" t="str">
        <f>IFERROR(VLOOKUP(D2214,'[1]Перечень товаров'!$A$2:$I9525,2,0),"")</f>
        <v>д34</v>
      </c>
      <c r="C2214" s="12" t="str">
        <f>IFERROR(VLOOKUP(D2214,'[1]Перечень товаров'!$A$2:$I9525,3,0),"")</f>
        <v>Дидактика</v>
      </c>
      <c r="D2214" s="192" t="s">
        <v>779</v>
      </c>
      <c r="E2214" s="23"/>
      <c r="F2214" s="23"/>
      <c r="G2214" s="193">
        <v>1</v>
      </c>
      <c r="H2214" s="193"/>
      <c r="I2214" s="194"/>
      <c r="J2214" s="194"/>
      <c r="K2214" s="19"/>
      <c r="L2214" s="20"/>
    </row>
    <row r="2215" spans="1:12" ht="31.5" outlineLevel="2">
      <c r="A2215" s="191"/>
      <c r="B2215" s="12" t="str">
        <f>IFERROR(VLOOKUP(D2215,'[1]Перечень товаров'!$A$2:$I9525,2,0),"")</f>
        <v>д52</v>
      </c>
      <c r="C2215" s="12" t="str">
        <f>IFERROR(VLOOKUP(D2215,'[1]Перечень товаров'!$A$2:$I9525,3,0),"")</f>
        <v>Дидактика</v>
      </c>
      <c r="D2215" s="192" t="s">
        <v>797</v>
      </c>
      <c r="E2215" s="23"/>
      <c r="F2215" s="23"/>
      <c r="G2215" s="193">
        <v>1</v>
      </c>
      <c r="H2215" s="193"/>
      <c r="I2215" s="194"/>
      <c r="J2215" s="194"/>
      <c r="K2215" s="19"/>
      <c r="L2215" s="20"/>
    </row>
    <row r="2216" spans="1:12" ht="31.5" outlineLevel="2">
      <c r="A2216" s="191"/>
      <c r="B2216" s="12" t="str">
        <f>IFERROR(VLOOKUP(D2216,'[1]Перечень товаров'!$A$2:$I9525,2,0),"")</f>
        <v>д53</v>
      </c>
      <c r="C2216" s="12" t="str">
        <f>IFERROR(VLOOKUP(D2216,'[1]Перечень товаров'!$A$2:$I9525,3,0),"")</f>
        <v>Дидактика</v>
      </c>
      <c r="D2216" s="192" t="s">
        <v>798</v>
      </c>
      <c r="E2216" s="23"/>
      <c r="F2216" s="23"/>
      <c r="G2216" s="193">
        <v>1</v>
      </c>
      <c r="H2216" s="193"/>
      <c r="I2216" s="194"/>
      <c r="J2216" s="194"/>
      <c r="K2216" s="19"/>
      <c r="L2216" s="20"/>
    </row>
    <row r="2217" spans="1:12" ht="31.5" outlineLevel="2">
      <c r="A2217" s="191"/>
      <c r="B2217" s="12" t="str">
        <f>IFERROR(VLOOKUP(D2217,'[1]Перечень товаров'!$A$2:$I9525,2,0),"")</f>
        <v>д54</v>
      </c>
      <c r="C2217" s="12" t="str">
        <f>IFERROR(VLOOKUP(D2217,'[1]Перечень товаров'!$A$2:$I9525,3,0),"")</f>
        <v>Дидактика</v>
      </c>
      <c r="D2217" s="192" t="s">
        <v>799</v>
      </c>
      <c r="E2217" s="23"/>
      <c r="F2217" s="23"/>
      <c r="G2217" s="193">
        <v>1</v>
      </c>
      <c r="H2217" s="193"/>
      <c r="I2217" s="194"/>
      <c r="J2217" s="194"/>
      <c r="K2217" s="19"/>
      <c r="L2217" s="20"/>
    </row>
    <row r="2218" spans="1:12" ht="47.25" outlineLevel="2">
      <c r="A2218" s="191"/>
      <c r="B2218" s="12" t="str">
        <f>IFERROR(VLOOKUP(D2218,'[1]Перечень товаров'!$A$2:$I9525,2,0),"")</f>
        <v>д55</v>
      </c>
      <c r="C2218" s="12" t="str">
        <f>IFERROR(VLOOKUP(D2218,'[1]Перечень товаров'!$A$2:$I9525,3,0),"")</f>
        <v>Дидактика</v>
      </c>
      <c r="D2218" s="192" t="s">
        <v>800</v>
      </c>
      <c r="E2218" s="23"/>
      <c r="F2218" s="23"/>
      <c r="G2218" s="193">
        <v>1</v>
      </c>
      <c r="H2218" s="193"/>
      <c r="I2218" s="194"/>
      <c r="J2218" s="194"/>
      <c r="K2218" s="19"/>
      <c r="L2218" s="20"/>
    </row>
    <row r="2219" spans="1:12" ht="47.25" outlineLevel="2">
      <c r="A2219" s="191"/>
      <c r="B2219" s="12" t="str">
        <f>IFERROR(VLOOKUP(D2219,'[1]Перечень товаров'!$A$2:$I9525,2,0),"")</f>
        <v>д56</v>
      </c>
      <c r="C2219" s="12" t="str">
        <f>IFERROR(VLOOKUP(D2219,'[1]Перечень товаров'!$A$2:$I9525,3,0),"")</f>
        <v>Дидактика</v>
      </c>
      <c r="D2219" s="192" t="s">
        <v>801</v>
      </c>
      <c r="E2219" s="23"/>
      <c r="F2219" s="23"/>
      <c r="G2219" s="193">
        <v>1</v>
      </c>
      <c r="H2219" s="193"/>
      <c r="I2219" s="194"/>
      <c r="J2219" s="194"/>
      <c r="K2219" s="19"/>
      <c r="L2219" s="20"/>
    </row>
    <row r="2220" spans="1:12" ht="47.25" outlineLevel="2">
      <c r="A2220" s="191"/>
      <c r="B2220" s="12" t="str">
        <f>IFERROR(VLOOKUP(D2220,'[1]Перечень товаров'!$A$2:$I9525,2,0),"")</f>
        <v>д57</v>
      </c>
      <c r="C2220" s="12" t="str">
        <f>IFERROR(VLOOKUP(D2220,'[1]Перечень товаров'!$A$2:$I9525,3,0),"")</f>
        <v>Дидактика</v>
      </c>
      <c r="D2220" s="192" t="s">
        <v>802</v>
      </c>
      <c r="E2220" s="23"/>
      <c r="F2220" s="23"/>
      <c r="G2220" s="193">
        <v>1</v>
      </c>
      <c r="H2220" s="193"/>
      <c r="I2220" s="194"/>
      <c r="J2220" s="194"/>
      <c r="K2220" s="19"/>
      <c r="L2220" s="20"/>
    </row>
    <row r="2221" spans="1:12" ht="47.25" outlineLevel="2">
      <c r="A2221" s="191"/>
      <c r="B2221" s="12" t="str">
        <f>IFERROR(VLOOKUP(D2221,'[1]Перечень товаров'!$A$2:$I9525,2,0),"")</f>
        <v>д58</v>
      </c>
      <c r="C2221" s="12" t="str">
        <f>IFERROR(VLOOKUP(D2221,'[1]Перечень товаров'!$A$2:$I9525,3,0),"")</f>
        <v>Дидактика</v>
      </c>
      <c r="D2221" s="192" t="s">
        <v>803</v>
      </c>
      <c r="E2221" s="23"/>
      <c r="F2221" s="23"/>
      <c r="G2221" s="193">
        <v>1</v>
      </c>
      <c r="H2221" s="193"/>
      <c r="I2221" s="194"/>
      <c r="J2221" s="194"/>
      <c r="K2221" s="19"/>
      <c r="L2221" s="20"/>
    </row>
    <row r="2222" spans="1:12" ht="47.25" outlineLevel="2">
      <c r="A2222" s="191"/>
      <c r="B2222" s="12" t="str">
        <f>IFERROR(VLOOKUP(D2222,'[1]Перечень товаров'!$A$2:$I9525,2,0),"")</f>
        <v>д59</v>
      </c>
      <c r="C2222" s="12" t="str">
        <f>IFERROR(VLOOKUP(D2222,'[1]Перечень товаров'!$A$2:$I9525,3,0),"")</f>
        <v>Дидактика</v>
      </c>
      <c r="D2222" s="192" t="s">
        <v>804</v>
      </c>
      <c r="E2222" s="23"/>
      <c r="F2222" s="23"/>
      <c r="G2222" s="193">
        <v>1</v>
      </c>
      <c r="H2222" s="193"/>
      <c r="I2222" s="194"/>
      <c r="J2222" s="194"/>
      <c r="K2222" s="19"/>
      <c r="L2222" s="20"/>
    </row>
    <row r="2223" spans="1:12" ht="47.25" outlineLevel="2">
      <c r="A2223" s="191"/>
      <c r="B2223" s="12" t="str">
        <f>IFERROR(VLOOKUP(D2223,'[1]Перечень товаров'!$A$2:$I9525,2,0),"")</f>
        <v>д60</v>
      </c>
      <c r="C2223" s="12" t="str">
        <f>IFERROR(VLOOKUP(D2223,'[1]Перечень товаров'!$A$2:$I9525,3,0),"")</f>
        <v>Дидактика</v>
      </c>
      <c r="D2223" s="192" t="s">
        <v>805</v>
      </c>
      <c r="E2223" s="23"/>
      <c r="F2223" s="23"/>
      <c r="G2223" s="193">
        <v>1</v>
      </c>
      <c r="H2223" s="193"/>
      <c r="I2223" s="194"/>
      <c r="J2223" s="194"/>
      <c r="K2223" s="19"/>
      <c r="L2223" s="20"/>
    </row>
    <row r="2224" spans="1:12" ht="47.25" outlineLevel="2">
      <c r="A2224" s="191"/>
      <c r="B2224" s="12" t="str">
        <f>IFERROR(VLOOKUP(D2224,'[1]Перечень товаров'!$A$2:$I9525,2,0),"")</f>
        <v>д61</v>
      </c>
      <c r="C2224" s="12" t="str">
        <f>IFERROR(VLOOKUP(D2224,'[1]Перечень товаров'!$A$2:$I9525,3,0),"")</f>
        <v>Дидактика</v>
      </c>
      <c r="D2224" s="192" t="s">
        <v>806</v>
      </c>
      <c r="E2224" s="23"/>
      <c r="F2224" s="23"/>
      <c r="G2224" s="193">
        <v>1</v>
      </c>
      <c r="H2224" s="193"/>
      <c r="I2224" s="194"/>
      <c r="J2224" s="194"/>
      <c r="K2224" s="19"/>
      <c r="L2224" s="20"/>
    </row>
    <row r="2225" spans="1:12" outlineLevel="2">
      <c r="A2225" s="191"/>
      <c r="B2225" s="12" t="str">
        <f>IFERROR(VLOOKUP(D2225,'[1]Перечень товаров'!$A$2:$I9525,2,0),"")</f>
        <v>д62</v>
      </c>
      <c r="C2225" s="12" t="str">
        <f>IFERROR(VLOOKUP(D2225,'[1]Перечень товаров'!$A$2:$I9525,3,0),"")</f>
        <v>Дидактика</v>
      </c>
      <c r="D2225" s="192" t="s">
        <v>807</v>
      </c>
      <c r="E2225" s="23"/>
      <c r="F2225" s="23"/>
      <c r="G2225" s="193">
        <v>1</v>
      </c>
      <c r="H2225" s="193"/>
      <c r="I2225" s="194"/>
      <c r="J2225" s="194"/>
      <c r="K2225" s="19"/>
      <c r="L2225" s="20"/>
    </row>
    <row r="2226" spans="1:12" ht="47.25" outlineLevel="2">
      <c r="A2226" s="191"/>
      <c r="B2226" s="12" t="str">
        <f>IFERROR(VLOOKUP(D2226,'[1]Перечень товаров'!$A$2:$I9525,2,0),"")</f>
        <v>д63</v>
      </c>
      <c r="C2226" s="12" t="str">
        <f>IFERROR(VLOOKUP(D2226,'[1]Перечень товаров'!$A$2:$I9525,3,0),"")</f>
        <v>Дидактика</v>
      </c>
      <c r="D2226" s="192" t="s">
        <v>808</v>
      </c>
      <c r="E2226" s="23"/>
      <c r="F2226" s="23"/>
      <c r="G2226" s="193">
        <v>1</v>
      </c>
      <c r="H2226" s="193"/>
      <c r="I2226" s="194"/>
      <c r="J2226" s="194"/>
      <c r="K2226" s="19"/>
      <c r="L2226" s="20"/>
    </row>
    <row r="2227" spans="1:12" ht="30" outlineLevel="2">
      <c r="A2227" s="179"/>
      <c r="B2227" s="12" t="str">
        <f>IFERROR(VLOOKUP(D2227,'[1]Перечень товаров'!$A$2:$I9525,2,0),"")</f>
        <v/>
      </c>
      <c r="C2227" s="12" t="str">
        <f>IFERROR(VLOOKUP(D2227,'[1]Перечень товаров'!$A$2:$I9525,3,0),"")</f>
        <v/>
      </c>
      <c r="D2227" s="180" t="s">
        <v>809</v>
      </c>
      <c r="E2227" s="61"/>
      <c r="F2227" s="61"/>
      <c r="G2227" s="195"/>
      <c r="H2227" s="195"/>
      <c r="I2227" s="196"/>
      <c r="J2227" s="196"/>
      <c r="K2227" s="19"/>
      <c r="L2227" s="20"/>
    </row>
    <row r="2228" spans="1:12" ht="31.5" outlineLevel="2">
      <c r="A2228" s="191"/>
      <c r="B2228" s="12" t="str">
        <f>IFERROR(VLOOKUP(D2228,'[1]Перечень товаров'!$A$2:$I9525,2,0),"")</f>
        <v>д64</v>
      </c>
      <c r="C2228" s="12" t="str">
        <f>IFERROR(VLOOKUP(D2228,'[1]Перечень товаров'!$A$2:$I9525,3,0),"")</f>
        <v>Дидактика</v>
      </c>
      <c r="D2228" s="192" t="s">
        <v>810</v>
      </c>
      <c r="E2228" s="23"/>
      <c r="F2228" s="23"/>
      <c r="G2228" s="193">
        <v>1</v>
      </c>
      <c r="H2228" s="193"/>
      <c r="I2228" s="194"/>
      <c r="J2228" s="194"/>
      <c r="K2228" s="19"/>
      <c r="L2228" s="20"/>
    </row>
    <row r="2229" spans="1:12" outlineLevel="2">
      <c r="A2229" s="191"/>
      <c r="B2229" s="12" t="str">
        <f>IFERROR(VLOOKUP(D2229,'[1]Перечень товаров'!$A$2:$I9525,2,0),"")</f>
        <v>д65</v>
      </c>
      <c r="C2229" s="12" t="str">
        <f>IFERROR(VLOOKUP(D2229,'[1]Перечень товаров'!$A$2:$I9525,3,0),"")</f>
        <v>Дидактика</v>
      </c>
      <c r="D2229" s="192" t="s">
        <v>811</v>
      </c>
      <c r="E2229" s="23"/>
      <c r="F2229" s="23"/>
      <c r="G2229" s="193">
        <v>1</v>
      </c>
      <c r="H2229" s="193"/>
      <c r="I2229" s="194"/>
      <c r="J2229" s="194"/>
      <c r="K2229" s="19"/>
      <c r="L2229" s="20"/>
    </row>
    <row r="2230" spans="1:12" outlineLevel="2">
      <c r="A2230" s="191"/>
      <c r="B2230" s="12" t="str">
        <f>IFERROR(VLOOKUP(D2230,'[1]Перечень товаров'!$A$2:$I9525,2,0),"")</f>
        <v>д66</v>
      </c>
      <c r="C2230" s="12" t="str">
        <f>IFERROR(VLOOKUP(D2230,'[1]Перечень товаров'!$A$2:$I9525,3,0),"")</f>
        <v>Дидактика</v>
      </c>
      <c r="D2230" s="192" t="s">
        <v>812</v>
      </c>
      <c r="E2230" s="23"/>
      <c r="F2230" s="23"/>
      <c r="G2230" s="193">
        <v>1</v>
      </c>
      <c r="H2230" s="193"/>
      <c r="I2230" s="194"/>
      <c r="J2230" s="194"/>
      <c r="K2230" s="19"/>
      <c r="L2230" s="20"/>
    </row>
    <row r="2231" spans="1:12" outlineLevel="2">
      <c r="A2231" s="191"/>
      <c r="B2231" s="12" t="str">
        <f>IFERROR(VLOOKUP(D2231,'[1]Перечень товаров'!$A$2:$I9525,2,0),"")</f>
        <v>д67</v>
      </c>
      <c r="C2231" s="12" t="str">
        <f>IFERROR(VLOOKUP(D2231,'[1]Перечень товаров'!$A$2:$I9525,3,0),"")</f>
        <v>Дидактика</v>
      </c>
      <c r="D2231" s="192" t="s">
        <v>813</v>
      </c>
      <c r="E2231" s="23"/>
      <c r="F2231" s="23"/>
      <c r="G2231" s="193">
        <v>1</v>
      </c>
      <c r="H2231" s="193"/>
      <c r="I2231" s="194"/>
      <c r="J2231" s="194"/>
      <c r="K2231" s="19"/>
      <c r="L2231" s="20"/>
    </row>
    <row r="2232" spans="1:12" outlineLevel="2">
      <c r="A2232" s="191"/>
      <c r="B2232" s="12" t="str">
        <f>IFERROR(VLOOKUP(D2232,'[1]Перечень товаров'!$A$2:$I9525,2,0),"")</f>
        <v>п90</v>
      </c>
      <c r="C2232" s="12" t="str">
        <f>IFERROR(VLOOKUP(D2232,'[1]Перечень товаров'!$A$2:$I9525,3,0),"")</f>
        <v>Прочее</v>
      </c>
      <c r="D2232" s="192" t="s">
        <v>723</v>
      </c>
      <c r="E2232" s="23"/>
      <c r="F2232" s="23"/>
      <c r="G2232" s="193">
        <v>1</v>
      </c>
      <c r="H2232" s="193"/>
      <c r="I2232" s="194"/>
      <c r="J2232" s="194"/>
      <c r="K2232" s="19"/>
      <c r="L2232" s="20"/>
    </row>
    <row r="2233" spans="1:12" outlineLevel="2">
      <c r="A2233" s="191"/>
      <c r="B2233" s="12" t="str">
        <f>IFERROR(VLOOKUP(D2233,'[1]Перечень товаров'!$A$2:$I9525,2,0),"")</f>
        <v>д68</v>
      </c>
      <c r="C2233" s="12" t="str">
        <f>IFERROR(VLOOKUP(D2233,'[1]Перечень товаров'!$A$2:$I9525,3,0),"")</f>
        <v>Дидактика</v>
      </c>
      <c r="D2233" s="192" t="s">
        <v>814</v>
      </c>
      <c r="E2233" s="23"/>
      <c r="F2233" s="23"/>
      <c r="G2233" s="193">
        <v>3</v>
      </c>
      <c r="H2233" s="193"/>
      <c r="I2233" s="194"/>
      <c r="J2233" s="194"/>
      <c r="K2233" s="19"/>
      <c r="L2233" s="20"/>
    </row>
    <row r="2234" spans="1:12" outlineLevel="2">
      <c r="A2234" s="191"/>
      <c r="B2234" s="12" t="str">
        <f>IFERROR(VLOOKUP(D2234,'[1]Перечень товаров'!$A$2:$I9525,2,0),"")</f>
        <v>д69</v>
      </c>
      <c r="C2234" s="12" t="str">
        <f>IFERROR(VLOOKUP(D2234,'[1]Перечень товаров'!$A$2:$I9525,3,0),"")</f>
        <v>Дидактика</v>
      </c>
      <c r="D2234" s="192" t="s">
        <v>815</v>
      </c>
      <c r="E2234" s="23"/>
      <c r="F2234" s="23"/>
      <c r="G2234" s="193">
        <v>8</v>
      </c>
      <c r="H2234" s="193"/>
      <c r="I2234" s="194"/>
      <c r="J2234" s="194"/>
      <c r="K2234" s="19"/>
      <c r="L2234" s="20"/>
    </row>
    <row r="2235" spans="1:12" outlineLevel="2">
      <c r="A2235" s="191"/>
      <c r="B2235" s="12" t="str">
        <f>IFERROR(VLOOKUP(D2235,'[1]Перечень товаров'!$A$2:$I9525,2,0),"")</f>
        <v>д70</v>
      </c>
      <c r="C2235" s="12" t="str">
        <f>IFERROR(VLOOKUP(D2235,'[1]Перечень товаров'!$A$2:$I9525,3,0),"")</f>
        <v>Дидактика</v>
      </c>
      <c r="D2235" s="192" t="s">
        <v>816</v>
      </c>
      <c r="E2235" s="23"/>
      <c r="F2235" s="23"/>
      <c r="G2235" s="193">
        <v>100</v>
      </c>
      <c r="H2235" s="193"/>
      <c r="I2235" s="194"/>
      <c r="J2235" s="194"/>
      <c r="K2235" s="19"/>
      <c r="L2235" s="20"/>
    </row>
    <row r="2236" spans="1:12" ht="12.75" outlineLevel="1">
      <c r="A2236" s="11"/>
      <c r="B2236" s="12" t="str">
        <f>IFERROR(VLOOKUP(D2236,'[1]Перечень товаров'!$A$2:$I9525,2,0),"")</f>
        <v/>
      </c>
      <c r="C2236" s="12" t="str">
        <f>IFERROR(VLOOKUP(D2236,'[1]Перечень товаров'!$A$2:$I9525,3,0),"")</f>
        <v/>
      </c>
      <c r="D2236" s="27" t="s">
        <v>817</v>
      </c>
      <c r="E2236" s="14" t="s">
        <v>818</v>
      </c>
      <c r="F2236" s="14"/>
      <c r="G2236" s="17"/>
      <c r="H2236" s="17"/>
      <c r="I2236" s="57"/>
      <c r="J2236" s="57"/>
      <c r="K2236" s="19"/>
      <c r="L2236" s="20"/>
    </row>
    <row r="2237" spans="1:12" ht="30" outlineLevel="2">
      <c r="A2237" s="189"/>
      <c r="B2237" s="12" t="str">
        <f>IFERROR(VLOOKUP(D2237,'[1]Перечень товаров'!$A$2:$I9525,2,0),"")</f>
        <v/>
      </c>
      <c r="C2237" s="12" t="str">
        <f>IFERROR(VLOOKUP(D2237,'[1]Перечень товаров'!$A$2:$I9525,3,0),"")</f>
        <v/>
      </c>
      <c r="D2237" s="190" t="s">
        <v>740</v>
      </c>
      <c r="E2237" s="61"/>
      <c r="F2237" s="61"/>
      <c r="G2237" s="186"/>
      <c r="H2237" s="186"/>
      <c r="I2237" s="187"/>
      <c r="J2237" s="187"/>
      <c r="K2237" s="19"/>
      <c r="L2237" s="20"/>
    </row>
    <row r="2238" spans="1:12" ht="30" outlineLevel="2">
      <c r="A2238" s="179"/>
      <c r="B2238" s="12" t="str">
        <f>IFERROR(VLOOKUP(D2238,'[1]Перечень товаров'!$A$2:$I9525,2,0),"")</f>
        <v/>
      </c>
      <c r="C2238" s="12" t="str">
        <f>IFERROR(VLOOKUP(D2238,'[1]Перечень товаров'!$A$2:$I9525,3,0),"")</f>
        <v/>
      </c>
      <c r="D2238" s="180" t="s">
        <v>668</v>
      </c>
      <c r="E2238" s="61"/>
      <c r="F2238" s="61"/>
      <c r="G2238" s="186"/>
      <c r="H2238" s="186"/>
      <c r="I2238" s="187"/>
      <c r="J2238" s="187"/>
      <c r="K2238" s="19"/>
      <c r="L2238" s="20"/>
    </row>
    <row r="2239" spans="1:12" outlineLevel="2">
      <c r="A2239" s="191"/>
      <c r="B2239" s="12" t="str">
        <f>IFERROR(VLOOKUP(D2239,'[1]Перечень товаров'!$A$2:$I9525,2,0),"")</f>
        <v>т9</v>
      </c>
      <c r="C2239" s="12" t="str">
        <f>IFERROR(VLOOKUP(D2239,'[1]Перечень товаров'!$A$2:$I9525,3,0),"")</f>
        <v>Техника</v>
      </c>
      <c r="D2239" s="192" t="s">
        <v>36</v>
      </c>
      <c r="E2239" s="23"/>
      <c r="F2239" s="23"/>
      <c r="G2239" s="193">
        <v>1</v>
      </c>
      <c r="H2239" s="193"/>
      <c r="I2239" s="194"/>
      <c r="J2239" s="194"/>
      <c r="K2239" s="19"/>
      <c r="L2239" s="20"/>
    </row>
    <row r="2240" spans="1:12" outlineLevel="2">
      <c r="A2240" s="191"/>
      <c r="B2240" s="12" t="str">
        <f>IFERROR(VLOOKUP(D2240,'[1]Перечень товаров'!$A$2:$I9525,2,0),"")</f>
        <v>т234</v>
      </c>
      <c r="C2240" s="12" t="str">
        <f>IFERROR(VLOOKUP(D2240,'[1]Перечень товаров'!$A$2:$I9525,3,0),"")</f>
        <v>Техника</v>
      </c>
      <c r="D2240" s="192" t="s">
        <v>741</v>
      </c>
      <c r="E2240" s="23"/>
      <c r="F2240" s="23"/>
      <c r="G2240" s="193">
        <v>1</v>
      </c>
      <c r="H2240" s="193"/>
      <c r="I2240" s="194"/>
      <c r="J2240" s="194"/>
      <c r="K2240" s="19"/>
      <c r="L2240" s="20"/>
    </row>
    <row r="2241" spans="1:12" outlineLevel="2">
      <c r="A2241" s="191"/>
      <c r="B2241" s="12" t="str">
        <f>IFERROR(VLOOKUP(D2241,'[1]Перечень товаров'!$A$2:$I9525,2,0),"")</f>
        <v>т1</v>
      </c>
      <c r="C2241" s="12" t="str">
        <f>IFERROR(VLOOKUP(D2241,'[1]Перечень товаров'!$A$2:$I9525,3,0),"")</f>
        <v xml:space="preserve">Техника </v>
      </c>
      <c r="D2241" s="192" t="s">
        <v>28</v>
      </c>
      <c r="E2241" s="23"/>
      <c r="F2241" s="23"/>
      <c r="G2241" s="193">
        <v>1</v>
      </c>
      <c r="H2241" s="193"/>
      <c r="I2241" s="194"/>
      <c r="J2241" s="194"/>
      <c r="K2241" s="19"/>
      <c r="L2241" s="20"/>
    </row>
    <row r="2242" spans="1:12" outlineLevel="2">
      <c r="A2242" s="191"/>
      <c r="B2242" s="12" t="str">
        <f>IFERROR(VLOOKUP(D2242,'[1]Перечень товаров'!$A$2:$I9525,2,0),"")</f>
        <v>т235</v>
      </c>
      <c r="C2242" s="12" t="str">
        <f>IFERROR(VLOOKUP(D2242,'[1]Перечень товаров'!$A$2:$I9525,3,0),"")</f>
        <v>Техника</v>
      </c>
      <c r="D2242" s="192" t="s">
        <v>742</v>
      </c>
      <c r="E2242" s="23"/>
      <c r="F2242" s="23"/>
      <c r="G2242" s="193">
        <v>1</v>
      </c>
      <c r="H2242" s="193"/>
      <c r="I2242" s="194"/>
      <c r="J2242" s="194"/>
      <c r="K2242" s="19"/>
      <c r="L2242" s="20"/>
    </row>
    <row r="2243" spans="1:12" outlineLevel="2">
      <c r="A2243" s="191"/>
      <c r="B2243" s="12" t="str">
        <f>IFERROR(VLOOKUP(D2243,'[1]Перечень товаров'!$A$2:$I9525,2,0),"")</f>
        <v>т8</v>
      </c>
      <c r="C2243" s="12" t="str">
        <f>IFERROR(VLOOKUP(D2243,'[1]Перечень товаров'!$A$2:$I9525,3,0),"")</f>
        <v xml:space="preserve">Техника </v>
      </c>
      <c r="D2243" s="192" t="s">
        <v>35</v>
      </c>
      <c r="E2243" s="23"/>
      <c r="F2243" s="23"/>
      <c r="G2243" s="193">
        <v>1</v>
      </c>
      <c r="H2243" s="193"/>
      <c r="I2243" s="194"/>
      <c r="J2243" s="194"/>
      <c r="K2243" s="19"/>
      <c r="L2243" s="20"/>
    </row>
    <row r="2244" spans="1:12" outlineLevel="2">
      <c r="A2244" s="191"/>
      <c r="B2244" s="12" t="str">
        <f>IFERROR(VLOOKUP(D2244,'[1]Перечень товаров'!$A$2:$I9525,2,0),"")</f>
        <v>т236</v>
      </c>
      <c r="C2244" s="12" t="str">
        <f>IFERROR(VLOOKUP(D2244,'[1]Перечень товаров'!$A$2:$I9525,3,0),"")</f>
        <v>Техника</v>
      </c>
      <c r="D2244" s="192" t="s">
        <v>743</v>
      </c>
      <c r="E2244" s="23"/>
      <c r="F2244" s="23"/>
      <c r="G2244" s="193">
        <v>1</v>
      </c>
      <c r="H2244" s="193"/>
      <c r="I2244" s="194"/>
      <c r="J2244" s="194"/>
      <c r="K2244" s="19"/>
      <c r="L2244" s="20"/>
    </row>
    <row r="2245" spans="1:12" outlineLevel="2">
      <c r="A2245" s="191"/>
      <c r="B2245" s="12" t="str">
        <f>IFERROR(VLOOKUP(D2245,'[1]Перечень товаров'!$A$2:$I9525,2,0),"")</f>
        <v>т237</v>
      </c>
      <c r="C2245" s="12" t="str">
        <f>IFERROR(VLOOKUP(D2245,'[1]Перечень товаров'!$A$2:$I9525,3,0),"")</f>
        <v>Техника</v>
      </c>
      <c r="D2245" s="192" t="s">
        <v>744</v>
      </c>
      <c r="E2245" s="23"/>
      <c r="F2245" s="23"/>
      <c r="G2245" s="193">
        <v>1</v>
      </c>
      <c r="H2245" s="193"/>
      <c r="I2245" s="194"/>
      <c r="J2245" s="194"/>
      <c r="K2245" s="19"/>
      <c r="L2245" s="20"/>
    </row>
    <row r="2246" spans="1:12" ht="31.5" outlineLevel="2">
      <c r="A2246" s="191"/>
      <c r="B2246" s="12" t="str">
        <f>IFERROR(VLOOKUP(D2246,'[1]Перечень товаров'!$A$2:$I9525,2,0),"")</f>
        <v>т238</v>
      </c>
      <c r="C2246" s="12" t="str">
        <f>IFERROR(VLOOKUP(D2246,'[1]Перечень товаров'!$A$2:$I9525,3,0),"")</f>
        <v>Техника</v>
      </c>
      <c r="D2246" s="192" t="s">
        <v>745</v>
      </c>
      <c r="E2246" s="23"/>
      <c r="F2246" s="23"/>
      <c r="G2246" s="193">
        <v>1</v>
      </c>
      <c r="H2246" s="193"/>
      <c r="I2246" s="194"/>
      <c r="J2246" s="194"/>
      <c r="K2246" s="19"/>
      <c r="L2246" s="20"/>
    </row>
    <row r="2247" spans="1:12" ht="15" outlineLevel="2">
      <c r="A2247" s="181"/>
      <c r="B2247" s="12" t="str">
        <f>IFERROR(VLOOKUP(D2247,'[1]Перечень товаров'!$A$2:$I9525,2,0),"")</f>
        <v/>
      </c>
      <c r="C2247" s="12" t="str">
        <f>IFERROR(VLOOKUP(D2247,'[1]Перечень товаров'!$A$2:$I9525,3,0),"")</f>
        <v/>
      </c>
      <c r="D2247" s="182" t="s">
        <v>19</v>
      </c>
      <c r="E2247" s="45"/>
      <c r="F2247" s="45"/>
      <c r="G2247" s="195"/>
      <c r="H2247" s="195"/>
      <c r="I2247" s="196"/>
      <c r="J2247" s="196"/>
      <c r="K2247" s="19"/>
      <c r="L2247" s="20"/>
    </row>
    <row r="2248" spans="1:12" ht="31.5" outlineLevel="2">
      <c r="A2248" s="191"/>
      <c r="B2248" s="12" t="str">
        <f>IFERROR(VLOOKUP(D2248,'[1]Перечень товаров'!$A$2:$I9525,2,0),"")</f>
        <v>м205</v>
      </c>
      <c r="C2248" s="12" t="str">
        <f>IFERROR(VLOOKUP(D2248,'[1]Перечень товаров'!$A$2:$I9525,3,0),"")</f>
        <v>Мебель</v>
      </c>
      <c r="D2248" s="192" t="s">
        <v>20</v>
      </c>
      <c r="E2248" s="23"/>
      <c r="F2248" s="23"/>
      <c r="G2248" s="193">
        <v>1</v>
      </c>
      <c r="H2248" s="193"/>
      <c r="I2248" s="194"/>
      <c r="J2248" s="194"/>
      <c r="K2248" s="19"/>
      <c r="L2248" s="20"/>
    </row>
    <row r="2249" spans="1:12" ht="31.5" outlineLevel="2">
      <c r="A2249" s="191"/>
      <c r="B2249" s="12" t="str">
        <f>IFERROR(VLOOKUP(D2249,'[1]Перечень товаров'!$A$2:$I9525,2,0),"")</f>
        <v>м206</v>
      </c>
      <c r="C2249" s="12" t="str">
        <f>IFERROR(VLOOKUP(D2249,'[1]Перечень товаров'!$A$2:$I9525,3,0),"")</f>
        <v>Мебель</v>
      </c>
      <c r="D2249" s="192" t="s">
        <v>746</v>
      </c>
      <c r="E2249" s="23"/>
      <c r="F2249" s="23"/>
      <c r="G2249" s="193">
        <v>1</v>
      </c>
      <c r="H2249" s="193"/>
      <c r="I2249" s="194"/>
      <c r="J2249" s="194"/>
      <c r="K2249" s="19"/>
      <c r="L2249" s="20"/>
    </row>
    <row r="2250" spans="1:12" ht="31.5" outlineLevel="2">
      <c r="A2250" s="191"/>
      <c r="B2250" s="12" t="str">
        <f>IFERROR(VLOOKUP(D2250,'[1]Перечень товаров'!$A$2:$I9525,2,0),"")</f>
        <v>м207</v>
      </c>
      <c r="C2250" s="12" t="str">
        <f>IFERROR(VLOOKUP(D2250,'[1]Перечень товаров'!$A$2:$I9525,3,0),"")</f>
        <v>Мебель</v>
      </c>
      <c r="D2250" s="192" t="s">
        <v>747</v>
      </c>
      <c r="E2250" s="23"/>
      <c r="F2250" s="23"/>
      <c r="G2250" s="193">
        <v>13</v>
      </c>
      <c r="H2250" s="193"/>
      <c r="I2250" s="194"/>
      <c r="J2250" s="194"/>
      <c r="K2250" s="19"/>
      <c r="L2250" s="20"/>
    </row>
    <row r="2251" spans="1:12" outlineLevel="2">
      <c r="A2251" s="191"/>
      <c r="B2251" s="12" t="str">
        <f>IFERROR(VLOOKUP(D2251,'[1]Перечень товаров'!$A$2:$I9525,2,0),"")</f>
        <v>м208</v>
      </c>
      <c r="C2251" s="12" t="str">
        <f>IFERROR(VLOOKUP(D2251,'[1]Перечень товаров'!$A$2:$I9525,3,0),"")</f>
        <v>Мебель</v>
      </c>
      <c r="D2251" s="192" t="s">
        <v>748</v>
      </c>
      <c r="E2251" s="23"/>
      <c r="F2251" s="23"/>
      <c r="G2251" s="193">
        <v>26</v>
      </c>
      <c r="H2251" s="193"/>
      <c r="I2251" s="194"/>
      <c r="J2251" s="194"/>
      <c r="K2251" s="19"/>
      <c r="L2251" s="20"/>
    </row>
    <row r="2252" spans="1:12" outlineLevel="2">
      <c r="A2252" s="191"/>
      <c r="B2252" s="12" t="str">
        <f>IFERROR(VLOOKUP(D2252,'[1]Перечень товаров'!$A$2:$I9525,2,0),"")</f>
        <v>м209</v>
      </c>
      <c r="C2252" s="12" t="str">
        <f>IFERROR(VLOOKUP(D2252,'[1]Перечень товаров'!$A$2:$I9525,3,0),"")</f>
        <v>Мебель</v>
      </c>
      <c r="D2252" s="192" t="s">
        <v>749</v>
      </c>
      <c r="E2252" s="23"/>
      <c r="F2252" s="23"/>
      <c r="G2252" s="193">
        <v>1</v>
      </c>
      <c r="H2252" s="193"/>
      <c r="I2252" s="194"/>
      <c r="J2252" s="194"/>
      <c r="K2252" s="19"/>
      <c r="L2252" s="20"/>
    </row>
    <row r="2253" spans="1:12" ht="47.25" outlineLevel="2">
      <c r="A2253" s="191"/>
      <c r="B2253" s="12" t="str">
        <f>IFERROR(VLOOKUP(D2253,'[1]Перечень товаров'!$A$2:$I9525,2,0),"")</f>
        <v>м210</v>
      </c>
      <c r="C2253" s="12" t="str">
        <f>IFERROR(VLOOKUP(D2253,'[1]Перечень товаров'!$A$2:$I9525,3,0),"")</f>
        <v>Мебель</v>
      </c>
      <c r="D2253" s="192" t="s">
        <v>750</v>
      </c>
      <c r="E2253" s="23"/>
      <c r="F2253" s="23"/>
      <c r="G2253" s="193">
        <v>2</v>
      </c>
      <c r="H2253" s="193"/>
      <c r="I2253" s="194"/>
      <c r="J2253" s="194"/>
      <c r="K2253" s="19"/>
      <c r="L2253" s="20"/>
    </row>
    <row r="2254" spans="1:12" ht="47.25" outlineLevel="2">
      <c r="A2254" s="191"/>
      <c r="B2254" s="12" t="str">
        <f>IFERROR(VLOOKUP(D2254,'[1]Перечень товаров'!$A$2:$I9525,2,0),"")</f>
        <v>п91</v>
      </c>
      <c r="C2254" s="12" t="str">
        <f>IFERROR(VLOOKUP(D2254,'[1]Перечень товаров'!$A$2:$I9525,3,0),"")</f>
        <v>Прочее</v>
      </c>
      <c r="D2254" s="192" t="s">
        <v>751</v>
      </c>
      <c r="E2254" s="23"/>
      <c r="F2254" s="23"/>
      <c r="G2254" s="193">
        <v>1</v>
      </c>
      <c r="H2254" s="193"/>
      <c r="I2254" s="194"/>
      <c r="J2254" s="194"/>
      <c r="K2254" s="19"/>
      <c r="L2254" s="20"/>
    </row>
    <row r="2255" spans="1:12" ht="15" outlineLevel="2">
      <c r="A2255" s="179"/>
      <c r="B2255" s="12" t="str">
        <f>IFERROR(VLOOKUP(D2255,'[1]Перечень товаров'!$A$2:$I9525,2,0),"")</f>
        <v/>
      </c>
      <c r="C2255" s="12" t="str">
        <f>IFERROR(VLOOKUP(D2255,'[1]Перечень товаров'!$A$2:$I9525,3,0),"")</f>
        <v/>
      </c>
      <c r="D2255" s="180" t="s">
        <v>752</v>
      </c>
      <c r="E2255" s="61"/>
      <c r="F2255" s="61"/>
      <c r="G2255" s="195"/>
      <c r="H2255" s="195"/>
      <c r="I2255" s="196"/>
      <c r="J2255" s="196"/>
      <c r="K2255" s="19"/>
      <c r="L2255" s="20"/>
    </row>
    <row r="2256" spans="1:12" ht="15" outlineLevel="2">
      <c r="A2256" s="179"/>
      <c r="B2256" s="12" t="str">
        <f>IFERROR(VLOOKUP(D2256,'[1]Перечень товаров'!$A$2:$I9525,2,0),"")</f>
        <v/>
      </c>
      <c r="C2256" s="12" t="str">
        <f>IFERROR(VLOOKUP(D2256,'[1]Перечень товаров'!$A$2:$I9525,3,0),"")</f>
        <v/>
      </c>
      <c r="D2256" s="180" t="s">
        <v>753</v>
      </c>
      <c r="E2256" s="61"/>
      <c r="F2256" s="61"/>
      <c r="G2256" s="195"/>
      <c r="H2256" s="195"/>
      <c r="I2256" s="196"/>
      <c r="J2256" s="196"/>
      <c r="K2256" s="19"/>
      <c r="L2256" s="20"/>
    </row>
    <row r="2257" spans="1:12" ht="31.5" outlineLevel="2">
      <c r="A2257" s="191"/>
      <c r="B2257" s="12" t="str">
        <f>IFERROR(VLOOKUP(D2257,'[1]Перечень товаров'!$A$2:$I9525,2,0),"")</f>
        <v>д13</v>
      </c>
      <c r="C2257" s="12" t="str">
        <f>IFERROR(VLOOKUP(D2257,'[1]Перечень товаров'!$A$2:$I9525,3,0),"")</f>
        <v>Дидактика</v>
      </c>
      <c r="D2257" s="192" t="s">
        <v>754</v>
      </c>
      <c r="E2257" s="23"/>
      <c r="F2257" s="23"/>
      <c r="G2257" s="193">
        <v>1</v>
      </c>
      <c r="H2257" s="193"/>
      <c r="I2257" s="194"/>
      <c r="J2257" s="194"/>
      <c r="K2257" s="19"/>
      <c r="L2257" s="20"/>
    </row>
    <row r="2258" spans="1:12" ht="47.25" outlineLevel="2">
      <c r="A2258" s="191"/>
      <c r="B2258" s="12" t="str">
        <f>IFERROR(VLOOKUP(D2258,'[1]Перечень товаров'!$A$2:$I9525,2,0),"")</f>
        <v>д14</v>
      </c>
      <c r="C2258" s="12" t="str">
        <f>IFERROR(VLOOKUP(D2258,'[1]Перечень товаров'!$A$2:$I9525,3,0),"")</f>
        <v>Дидактика</v>
      </c>
      <c r="D2258" s="192" t="s">
        <v>755</v>
      </c>
      <c r="E2258" s="23"/>
      <c r="F2258" s="23"/>
      <c r="G2258" s="193">
        <v>1</v>
      </c>
      <c r="H2258" s="193"/>
      <c r="I2258" s="194"/>
      <c r="J2258" s="194"/>
      <c r="K2258" s="19"/>
      <c r="L2258" s="20"/>
    </row>
    <row r="2259" spans="1:12" ht="31.5" outlineLevel="2">
      <c r="A2259" s="191"/>
      <c r="B2259" s="12" t="str">
        <f>IFERROR(VLOOKUP(D2259,'[1]Перечень товаров'!$A$2:$I9525,2,0),"")</f>
        <v>д15</v>
      </c>
      <c r="C2259" s="12" t="str">
        <f>IFERROR(VLOOKUP(D2259,'[1]Перечень товаров'!$A$2:$I9525,3,0),"")</f>
        <v>Дидактика</v>
      </c>
      <c r="D2259" s="192" t="s">
        <v>756</v>
      </c>
      <c r="E2259" s="23"/>
      <c r="F2259" s="23"/>
      <c r="G2259" s="193">
        <v>1</v>
      </c>
      <c r="H2259" s="193"/>
      <c r="I2259" s="194"/>
      <c r="J2259" s="194"/>
      <c r="K2259" s="19"/>
      <c r="L2259" s="20"/>
    </row>
    <row r="2260" spans="1:12" ht="30" outlineLevel="2">
      <c r="A2260" s="179"/>
      <c r="B2260" s="12" t="str">
        <f>IFERROR(VLOOKUP(D2260,'[1]Перечень товаров'!$A$2:$I9525,2,0),"")</f>
        <v/>
      </c>
      <c r="C2260" s="12" t="str">
        <f>IFERROR(VLOOKUP(D2260,'[1]Перечень товаров'!$A$2:$I9525,3,0),"")</f>
        <v/>
      </c>
      <c r="D2260" s="180" t="s">
        <v>757</v>
      </c>
      <c r="E2260" s="61"/>
      <c r="F2260" s="61"/>
      <c r="G2260" s="195"/>
      <c r="H2260" s="195"/>
      <c r="I2260" s="196"/>
      <c r="J2260" s="196"/>
      <c r="K2260" s="19"/>
      <c r="L2260" s="20"/>
    </row>
    <row r="2261" spans="1:12" outlineLevel="2">
      <c r="A2261" s="191"/>
      <c r="B2261" s="12" t="str">
        <f>IFERROR(VLOOKUP(D2261,'[1]Перечень товаров'!$A$2:$I9525,2,0),"")</f>
        <v>п92</v>
      </c>
      <c r="C2261" s="12" t="str">
        <f>IFERROR(VLOOKUP(D2261,'[1]Перечень товаров'!$A$2:$I9525,3,0),"")</f>
        <v>Прочее</v>
      </c>
      <c r="D2261" s="192" t="s">
        <v>758</v>
      </c>
      <c r="E2261" s="23"/>
      <c r="F2261" s="23"/>
      <c r="G2261" s="193">
        <v>13</v>
      </c>
      <c r="H2261" s="193"/>
      <c r="I2261" s="194"/>
      <c r="J2261" s="194"/>
      <c r="K2261" s="19"/>
      <c r="L2261" s="20"/>
    </row>
    <row r="2262" spans="1:12" ht="31.5" outlineLevel="2">
      <c r="A2262" s="191"/>
      <c r="B2262" s="12" t="str">
        <f>IFERROR(VLOOKUP(D2262,'[1]Перечень товаров'!$A$2:$I9525,2,0),"")</f>
        <v>д16</v>
      </c>
      <c r="C2262" s="12" t="str">
        <f>IFERROR(VLOOKUP(D2262,'[1]Перечень товаров'!$A$2:$I9525,3,0),"")</f>
        <v>Дидактика</v>
      </c>
      <c r="D2262" s="192" t="s">
        <v>759</v>
      </c>
      <c r="E2262" s="23"/>
      <c r="F2262" s="23"/>
      <c r="G2262" s="193">
        <v>1</v>
      </c>
      <c r="H2262" s="193"/>
      <c r="I2262" s="194"/>
      <c r="J2262" s="194"/>
      <c r="K2262" s="19"/>
      <c r="L2262" s="20"/>
    </row>
    <row r="2263" spans="1:12" ht="31.5" outlineLevel="2">
      <c r="A2263" s="191"/>
      <c r="B2263" s="12" t="str">
        <f>IFERROR(VLOOKUP(D2263,'[1]Перечень товаров'!$A$2:$I9525,2,0),"")</f>
        <v>д17</v>
      </c>
      <c r="C2263" s="12" t="str">
        <f>IFERROR(VLOOKUP(D2263,'[1]Перечень товаров'!$A$2:$I9525,3,0),"")</f>
        <v>Дидактика</v>
      </c>
      <c r="D2263" s="192" t="s">
        <v>760</v>
      </c>
      <c r="E2263" s="23"/>
      <c r="F2263" s="23"/>
      <c r="G2263" s="193">
        <v>1</v>
      </c>
      <c r="H2263" s="193"/>
      <c r="I2263" s="194"/>
      <c r="J2263" s="194"/>
      <c r="K2263" s="19"/>
      <c r="L2263" s="20"/>
    </row>
    <row r="2264" spans="1:12" ht="31.5" outlineLevel="2">
      <c r="A2264" s="191"/>
      <c r="B2264" s="12" t="str">
        <f>IFERROR(VLOOKUP(D2264,'[1]Перечень товаров'!$A$2:$I9525,2,0),"")</f>
        <v>д18</v>
      </c>
      <c r="C2264" s="12" t="str">
        <f>IFERROR(VLOOKUP(D2264,'[1]Перечень товаров'!$A$2:$I9525,3,0),"")</f>
        <v>Дидактика</v>
      </c>
      <c r="D2264" s="192" t="s">
        <v>761</v>
      </c>
      <c r="E2264" s="23"/>
      <c r="F2264" s="23"/>
      <c r="G2264" s="193">
        <v>13</v>
      </c>
      <c r="H2264" s="193"/>
      <c r="I2264" s="194"/>
      <c r="J2264" s="194"/>
      <c r="K2264" s="19"/>
      <c r="L2264" s="20"/>
    </row>
    <row r="2265" spans="1:12" ht="31.5" outlineLevel="2">
      <c r="A2265" s="191"/>
      <c r="B2265" s="12" t="str">
        <f>IFERROR(VLOOKUP(D2265,'[1]Перечень товаров'!$A$2:$I9525,2,0),"")</f>
        <v>д19</v>
      </c>
      <c r="C2265" s="12" t="str">
        <f>IFERROR(VLOOKUP(D2265,'[1]Перечень товаров'!$A$2:$I9525,3,0),"")</f>
        <v>Дидактика</v>
      </c>
      <c r="D2265" s="192" t="s">
        <v>762</v>
      </c>
      <c r="E2265" s="23"/>
      <c r="F2265" s="23"/>
      <c r="G2265" s="193">
        <v>1</v>
      </c>
      <c r="H2265" s="193"/>
      <c r="I2265" s="194"/>
      <c r="J2265" s="194"/>
      <c r="K2265" s="19"/>
      <c r="L2265" s="20"/>
    </row>
    <row r="2266" spans="1:12" ht="31.5" outlineLevel="2">
      <c r="A2266" s="191"/>
      <c r="B2266" s="12" t="str">
        <f>IFERROR(VLOOKUP(D2266,'[1]Перечень товаров'!$A$2:$I9525,2,0),"")</f>
        <v>д20</v>
      </c>
      <c r="C2266" s="12" t="str">
        <f>IFERROR(VLOOKUP(D2266,'[1]Перечень товаров'!$A$2:$I9525,3,0),"")</f>
        <v>Дидактика</v>
      </c>
      <c r="D2266" s="192" t="s">
        <v>763</v>
      </c>
      <c r="E2266" s="23"/>
      <c r="F2266" s="23"/>
      <c r="G2266" s="193">
        <v>1</v>
      </c>
      <c r="H2266" s="193"/>
      <c r="I2266" s="194"/>
      <c r="J2266" s="194"/>
      <c r="K2266" s="19"/>
      <c r="L2266" s="20"/>
    </row>
    <row r="2267" spans="1:12" ht="63" outlineLevel="2">
      <c r="A2267" s="191"/>
      <c r="B2267" s="12" t="str">
        <f>IFERROR(VLOOKUP(D2267,'[1]Перечень товаров'!$A$2:$I9525,2,0),"")</f>
        <v>д21</v>
      </c>
      <c r="C2267" s="12" t="str">
        <f>IFERROR(VLOOKUP(D2267,'[1]Перечень товаров'!$A$2:$I9525,3,0),"")</f>
        <v>Дидактика</v>
      </c>
      <c r="D2267" s="192" t="s">
        <v>764</v>
      </c>
      <c r="E2267" s="23"/>
      <c r="F2267" s="23"/>
      <c r="G2267" s="193">
        <v>1</v>
      </c>
      <c r="H2267" s="193"/>
      <c r="I2267" s="194"/>
      <c r="J2267" s="194"/>
      <c r="K2267" s="19"/>
      <c r="L2267" s="20"/>
    </row>
    <row r="2268" spans="1:12" ht="47.25" outlineLevel="2">
      <c r="A2268" s="191"/>
      <c r="B2268" s="12" t="str">
        <f>IFERROR(VLOOKUP(D2268,'[1]Перечень товаров'!$A$2:$I9525,2,0),"")</f>
        <v>д22</v>
      </c>
      <c r="C2268" s="12" t="str">
        <f>IFERROR(VLOOKUP(D2268,'[1]Перечень товаров'!$A$2:$I9525,3,0),"")</f>
        <v>Дидактика</v>
      </c>
      <c r="D2268" s="192" t="s">
        <v>765</v>
      </c>
      <c r="E2268" s="23"/>
      <c r="F2268" s="23"/>
      <c r="G2268" s="193">
        <v>1</v>
      </c>
      <c r="H2268" s="193"/>
      <c r="I2268" s="194"/>
      <c r="J2268" s="194"/>
      <c r="K2268" s="19"/>
      <c r="L2268" s="20"/>
    </row>
    <row r="2269" spans="1:12" ht="31.5" outlineLevel="2">
      <c r="A2269" s="191"/>
      <c r="B2269" s="12" t="str">
        <f>IFERROR(VLOOKUP(D2269,'[1]Перечень товаров'!$A$2:$I9525,2,0),"")</f>
        <v>д23</v>
      </c>
      <c r="C2269" s="12" t="str">
        <f>IFERROR(VLOOKUP(D2269,'[1]Перечень товаров'!$A$2:$I9525,3,0),"")</f>
        <v>Дидактика</v>
      </c>
      <c r="D2269" s="192" t="s">
        <v>766</v>
      </c>
      <c r="E2269" s="23"/>
      <c r="F2269" s="23"/>
      <c r="G2269" s="193">
        <v>13</v>
      </c>
      <c r="H2269" s="193"/>
      <c r="I2269" s="194"/>
      <c r="J2269" s="194"/>
      <c r="K2269" s="19"/>
      <c r="L2269" s="20"/>
    </row>
    <row r="2270" spans="1:12" ht="78.75" outlineLevel="2">
      <c r="A2270" s="191"/>
      <c r="B2270" s="12" t="str">
        <f>IFERROR(VLOOKUP(D2270,'[1]Перечень товаров'!$A$2:$I9525,2,0),"")</f>
        <v>д24</v>
      </c>
      <c r="C2270" s="12" t="str">
        <f>IFERROR(VLOOKUP(D2270,'[1]Перечень товаров'!$A$2:$I9525,3,0),"")</f>
        <v>Дидактика</v>
      </c>
      <c r="D2270" s="192" t="s">
        <v>767</v>
      </c>
      <c r="E2270" s="23"/>
      <c r="F2270" s="23"/>
      <c r="G2270" s="193">
        <v>1</v>
      </c>
      <c r="H2270" s="193"/>
      <c r="I2270" s="194"/>
      <c r="J2270" s="194"/>
      <c r="K2270" s="19"/>
      <c r="L2270" s="20"/>
    </row>
    <row r="2271" spans="1:12" ht="31.5" outlineLevel="2">
      <c r="A2271" s="191"/>
      <c r="B2271" s="12" t="str">
        <f>IFERROR(VLOOKUP(D2271,'[1]Перечень товаров'!$A$2:$I9525,2,0),"")</f>
        <v>д25</v>
      </c>
      <c r="C2271" s="12" t="str">
        <f>IFERROR(VLOOKUP(D2271,'[1]Перечень товаров'!$A$2:$I9525,3,0),"")</f>
        <v>Дидактика</v>
      </c>
      <c r="D2271" s="192" t="s">
        <v>768</v>
      </c>
      <c r="E2271" s="23"/>
      <c r="F2271" s="23"/>
      <c r="G2271" s="193">
        <v>1</v>
      </c>
      <c r="H2271" s="193"/>
      <c r="I2271" s="194"/>
      <c r="J2271" s="194"/>
      <c r="K2271" s="19"/>
      <c r="L2271" s="20"/>
    </row>
    <row r="2272" spans="1:12" outlineLevel="2">
      <c r="A2272" s="191"/>
      <c r="B2272" s="12" t="str">
        <f>IFERROR(VLOOKUP(D2272,'[1]Перечень товаров'!$A$2:$I9525,2,0),"")</f>
        <v>п92</v>
      </c>
      <c r="C2272" s="12" t="str">
        <f>IFERROR(VLOOKUP(D2272,'[1]Перечень товаров'!$A$2:$I9525,3,0),"")</f>
        <v>Прочее</v>
      </c>
      <c r="D2272" s="192" t="s">
        <v>769</v>
      </c>
      <c r="E2272" s="23"/>
      <c r="F2272" s="23"/>
      <c r="G2272" s="193">
        <v>13</v>
      </c>
      <c r="H2272" s="193"/>
      <c r="I2272" s="194"/>
      <c r="J2272" s="194"/>
      <c r="K2272" s="19"/>
      <c r="L2272" s="20"/>
    </row>
    <row r="2273" spans="1:12" ht="15" outlineLevel="2">
      <c r="A2273" s="179"/>
      <c r="B2273" s="12" t="str">
        <f>IFERROR(VLOOKUP(D2273,'[1]Перечень товаров'!$A$2:$I9525,2,0),"")</f>
        <v/>
      </c>
      <c r="C2273" s="12" t="str">
        <f>IFERROR(VLOOKUP(D2273,'[1]Перечень товаров'!$A$2:$I9525,3,0),"")</f>
        <v/>
      </c>
      <c r="D2273" s="180" t="s">
        <v>770</v>
      </c>
      <c r="E2273" s="61"/>
      <c r="F2273" s="61"/>
      <c r="G2273" s="195"/>
      <c r="H2273" s="195"/>
      <c r="I2273" s="196"/>
      <c r="J2273" s="196"/>
      <c r="K2273" s="19"/>
      <c r="L2273" s="20"/>
    </row>
    <row r="2274" spans="1:12" ht="31.5" outlineLevel="2">
      <c r="A2274" s="191"/>
      <c r="B2274" s="12" t="str">
        <f>IFERROR(VLOOKUP(D2274,'[1]Перечень товаров'!$A$2:$I9525,2,0),"")</f>
        <v>д26</v>
      </c>
      <c r="C2274" s="12" t="str">
        <f>IFERROR(VLOOKUP(D2274,'[1]Перечень товаров'!$A$2:$I9525,3,0),"")</f>
        <v>Дидактика</v>
      </c>
      <c r="D2274" s="192" t="s">
        <v>771</v>
      </c>
      <c r="E2274" s="23"/>
      <c r="F2274" s="23"/>
      <c r="G2274" s="193">
        <v>1</v>
      </c>
      <c r="H2274" s="193"/>
      <c r="I2274" s="194"/>
      <c r="J2274" s="194"/>
      <c r="K2274" s="19"/>
      <c r="L2274" s="20"/>
    </row>
    <row r="2275" spans="1:12" ht="31.5" outlineLevel="2">
      <c r="A2275" s="191"/>
      <c r="B2275" s="12" t="str">
        <f>IFERROR(VLOOKUP(D2275,'[1]Перечень товаров'!$A$2:$I9525,2,0),"")</f>
        <v>д27</v>
      </c>
      <c r="C2275" s="12" t="str">
        <f>IFERROR(VLOOKUP(D2275,'[1]Перечень товаров'!$A$2:$I9525,3,0),"")</f>
        <v>Дидактика</v>
      </c>
      <c r="D2275" s="192" t="s">
        <v>772</v>
      </c>
      <c r="E2275" s="23"/>
      <c r="F2275" s="23"/>
      <c r="G2275" s="193">
        <v>1</v>
      </c>
      <c r="H2275" s="193"/>
      <c r="I2275" s="194"/>
      <c r="J2275" s="194"/>
      <c r="K2275" s="19"/>
      <c r="L2275" s="20"/>
    </row>
    <row r="2276" spans="1:12" ht="47.25" outlineLevel="2">
      <c r="A2276" s="191"/>
      <c r="B2276" s="12" t="str">
        <f>IFERROR(VLOOKUP(D2276,'[1]Перечень товаров'!$A$2:$I9525,2,0),"")</f>
        <v>д28</v>
      </c>
      <c r="C2276" s="12" t="str">
        <f>IFERROR(VLOOKUP(D2276,'[1]Перечень товаров'!$A$2:$I9525,3,0),"")</f>
        <v>Дидактика</v>
      </c>
      <c r="D2276" s="192" t="s">
        <v>773</v>
      </c>
      <c r="E2276" s="23"/>
      <c r="F2276" s="23"/>
      <c r="G2276" s="193">
        <v>1</v>
      </c>
      <c r="H2276" s="193"/>
      <c r="I2276" s="194"/>
      <c r="J2276" s="194"/>
      <c r="K2276" s="19"/>
      <c r="L2276" s="20"/>
    </row>
    <row r="2277" spans="1:12" ht="31.5" outlineLevel="2">
      <c r="A2277" s="191"/>
      <c r="B2277" s="12" t="str">
        <f>IFERROR(VLOOKUP(D2277,'[1]Перечень товаров'!$A$2:$I9525,2,0),"")</f>
        <v>д29</v>
      </c>
      <c r="C2277" s="12" t="str">
        <f>IFERROR(VLOOKUP(D2277,'[1]Перечень товаров'!$A$2:$I9525,3,0),"")</f>
        <v>Дидактика</v>
      </c>
      <c r="D2277" s="192" t="s">
        <v>774</v>
      </c>
      <c r="E2277" s="23"/>
      <c r="F2277" s="23"/>
      <c r="G2277" s="193">
        <v>1</v>
      </c>
      <c r="H2277" s="193"/>
      <c r="I2277" s="194"/>
      <c r="J2277" s="194"/>
      <c r="K2277" s="19"/>
      <c r="L2277" s="20"/>
    </row>
    <row r="2278" spans="1:12" ht="31.5" outlineLevel="2">
      <c r="A2278" s="191"/>
      <c r="B2278" s="12" t="str">
        <f>IFERROR(VLOOKUP(D2278,'[1]Перечень товаров'!$A$2:$I9525,2,0),"")</f>
        <v>д30</v>
      </c>
      <c r="C2278" s="12" t="str">
        <f>IFERROR(VLOOKUP(D2278,'[1]Перечень товаров'!$A$2:$I9525,3,0),"")</f>
        <v>Дидактика</v>
      </c>
      <c r="D2278" s="192" t="s">
        <v>775</v>
      </c>
      <c r="E2278" s="23"/>
      <c r="F2278" s="23"/>
      <c r="G2278" s="193">
        <v>1</v>
      </c>
      <c r="H2278" s="193"/>
      <c r="I2278" s="194"/>
      <c r="J2278" s="194"/>
      <c r="K2278" s="19"/>
      <c r="L2278" s="20"/>
    </row>
    <row r="2279" spans="1:12" ht="31.5" outlineLevel="2">
      <c r="A2279" s="191"/>
      <c r="B2279" s="12" t="str">
        <f>IFERROR(VLOOKUP(D2279,'[1]Перечень товаров'!$A$2:$I9525,2,0),"")</f>
        <v>д31</v>
      </c>
      <c r="C2279" s="12" t="str">
        <f>IFERROR(VLOOKUP(D2279,'[1]Перечень товаров'!$A$2:$I9525,3,0),"")</f>
        <v>Дидактика</v>
      </c>
      <c r="D2279" s="192" t="s">
        <v>776</v>
      </c>
      <c r="E2279" s="23"/>
      <c r="F2279" s="23"/>
      <c r="G2279" s="193">
        <v>1</v>
      </c>
      <c r="H2279" s="193"/>
      <c r="I2279" s="194"/>
      <c r="J2279" s="194"/>
      <c r="K2279" s="19"/>
      <c r="L2279" s="20"/>
    </row>
    <row r="2280" spans="1:12" ht="31.5" outlineLevel="2">
      <c r="A2280" s="191"/>
      <c r="B2280" s="12" t="str">
        <f>IFERROR(VLOOKUP(D2280,'[1]Перечень товаров'!$A$2:$I9525,2,0),"")</f>
        <v>д32</v>
      </c>
      <c r="C2280" s="12" t="str">
        <f>IFERROR(VLOOKUP(D2280,'[1]Перечень товаров'!$A$2:$I9525,3,0),"")</f>
        <v>Дидактика</v>
      </c>
      <c r="D2280" s="192" t="s">
        <v>777</v>
      </c>
      <c r="E2280" s="23"/>
      <c r="F2280" s="23"/>
      <c r="G2280" s="193">
        <v>1</v>
      </c>
      <c r="H2280" s="193"/>
      <c r="I2280" s="194"/>
      <c r="J2280" s="194"/>
      <c r="K2280" s="19"/>
      <c r="L2280" s="20"/>
    </row>
    <row r="2281" spans="1:12" ht="47.25" outlineLevel="2">
      <c r="A2281" s="191"/>
      <c r="B2281" s="12" t="str">
        <f>IFERROR(VLOOKUP(D2281,'[1]Перечень товаров'!$A$2:$I9525,2,0),"")</f>
        <v>д33</v>
      </c>
      <c r="C2281" s="12" t="str">
        <f>IFERROR(VLOOKUP(D2281,'[1]Перечень товаров'!$A$2:$I9525,3,0),"")</f>
        <v>Дидактика</v>
      </c>
      <c r="D2281" s="192" t="s">
        <v>778</v>
      </c>
      <c r="E2281" s="23"/>
      <c r="F2281" s="23"/>
      <c r="G2281" s="193">
        <v>1</v>
      </c>
      <c r="H2281" s="193"/>
      <c r="I2281" s="194"/>
      <c r="J2281" s="194"/>
      <c r="K2281" s="19"/>
      <c r="L2281" s="20"/>
    </row>
    <row r="2282" spans="1:12" ht="31.5" outlineLevel="2">
      <c r="A2282" s="191"/>
      <c r="B2282" s="12" t="str">
        <f>IFERROR(VLOOKUP(D2282,'[1]Перечень товаров'!$A$2:$I9525,2,0),"")</f>
        <v>д34</v>
      </c>
      <c r="C2282" s="12" t="str">
        <f>IFERROR(VLOOKUP(D2282,'[1]Перечень товаров'!$A$2:$I9525,3,0),"")</f>
        <v>Дидактика</v>
      </c>
      <c r="D2282" s="192" t="s">
        <v>779</v>
      </c>
      <c r="E2282" s="23"/>
      <c r="F2282" s="23"/>
      <c r="G2282" s="193">
        <v>1</v>
      </c>
      <c r="H2282" s="193"/>
      <c r="I2282" s="194"/>
      <c r="J2282" s="194"/>
      <c r="K2282" s="19"/>
      <c r="L2282" s="20"/>
    </row>
    <row r="2283" spans="1:12" ht="31.5" outlineLevel="2">
      <c r="A2283" s="191"/>
      <c r="B2283" s="12" t="str">
        <f>IFERROR(VLOOKUP(D2283,'[1]Перечень товаров'!$A$2:$I9525,2,0),"")</f>
        <v>д35</v>
      </c>
      <c r="C2283" s="12" t="str">
        <f>IFERROR(VLOOKUP(D2283,'[1]Перечень товаров'!$A$2:$I9525,3,0),"")</f>
        <v>Дидактика</v>
      </c>
      <c r="D2283" s="192" t="s">
        <v>780</v>
      </c>
      <c r="E2283" s="23"/>
      <c r="F2283" s="23"/>
      <c r="G2283" s="193">
        <v>1</v>
      </c>
      <c r="H2283" s="193"/>
      <c r="I2283" s="194"/>
      <c r="J2283" s="194"/>
      <c r="K2283" s="19"/>
      <c r="L2283" s="20"/>
    </row>
    <row r="2284" spans="1:12" ht="31.5" outlineLevel="2">
      <c r="A2284" s="191"/>
      <c r="B2284" s="12" t="str">
        <f>IFERROR(VLOOKUP(D2284,'[1]Перечень товаров'!$A$2:$I9525,2,0),"")</f>
        <v>д36</v>
      </c>
      <c r="C2284" s="12" t="str">
        <f>IFERROR(VLOOKUP(D2284,'[1]Перечень товаров'!$A$2:$I9525,3,0),"")</f>
        <v>Дидактика</v>
      </c>
      <c r="D2284" s="192" t="s">
        <v>781</v>
      </c>
      <c r="E2284" s="23"/>
      <c r="F2284" s="23"/>
      <c r="G2284" s="193">
        <v>1</v>
      </c>
      <c r="H2284" s="193"/>
      <c r="I2284" s="194"/>
      <c r="J2284" s="194"/>
      <c r="K2284" s="19"/>
      <c r="L2284" s="20"/>
    </row>
    <row r="2285" spans="1:12" outlineLevel="2">
      <c r="A2285" s="191"/>
      <c r="B2285" s="12" t="str">
        <f>IFERROR(VLOOKUP(D2285,'[1]Перечень товаров'!$A$2:$I9525,2,0),"")</f>
        <v>д37</v>
      </c>
      <c r="C2285" s="12" t="str">
        <f>IFERROR(VLOOKUP(D2285,'[1]Перечень товаров'!$A$2:$I9525,3,0),"")</f>
        <v>Дидактика</v>
      </c>
      <c r="D2285" s="192" t="s">
        <v>782</v>
      </c>
      <c r="E2285" s="23"/>
      <c r="F2285" s="23"/>
      <c r="G2285" s="193">
        <v>1</v>
      </c>
      <c r="H2285" s="193"/>
      <c r="I2285" s="194"/>
      <c r="J2285" s="194"/>
      <c r="K2285" s="19"/>
      <c r="L2285" s="20"/>
    </row>
    <row r="2286" spans="1:12" ht="31.5" outlineLevel="2">
      <c r="A2286" s="191"/>
      <c r="B2286" s="12" t="str">
        <f>IFERROR(VLOOKUP(D2286,'[1]Перечень товаров'!$A$2:$I9525,2,0),"")</f>
        <v>д38</v>
      </c>
      <c r="C2286" s="12" t="str">
        <f>IFERROR(VLOOKUP(D2286,'[1]Перечень товаров'!$A$2:$I9525,3,0),"")</f>
        <v>Дидактика</v>
      </c>
      <c r="D2286" s="192" t="s">
        <v>783</v>
      </c>
      <c r="E2286" s="23"/>
      <c r="F2286" s="23"/>
      <c r="G2286" s="193">
        <v>1</v>
      </c>
      <c r="H2286" s="193"/>
      <c r="I2286" s="194"/>
      <c r="J2286" s="194"/>
      <c r="K2286" s="19"/>
      <c r="L2286" s="20"/>
    </row>
    <row r="2287" spans="1:12" outlineLevel="2">
      <c r="A2287" s="191"/>
      <c r="B2287" s="12" t="str">
        <f>IFERROR(VLOOKUP(D2287,'[1]Перечень товаров'!$A$2:$I9525,2,0),"")</f>
        <v>д39</v>
      </c>
      <c r="C2287" s="12" t="str">
        <f>IFERROR(VLOOKUP(D2287,'[1]Перечень товаров'!$A$2:$I9525,3,0),"")</f>
        <v>Дидактика</v>
      </c>
      <c r="D2287" s="192" t="s">
        <v>784</v>
      </c>
      <c r="E2287" s="23"/>
      <c r="F2287" s="23"/>
      <c r="G2287" s="193">
        <v>1</v>
      </c>
      <c r="H2287" s="193"/>
      <c r="I2287" s="194"/>
      <c r="J2287" s="194"/>
      <c r="K2287" s="19"/>
      <c r="L2287" s="20"/>
    </row>
    <row r="2288" spans="1:12" ht="31.5" outlineLevel="2">
      <c r="A2288" s="191"/>
      <c r="B2288" s="12" t="str">
        <f>IFERROR(VLOOKUP(D2288,'[1]Перечень товаров'!$A$2:$I9525,2,0),"")</f>
        <v>д40</v>
      </c>
      <c r="C2288" s="12" t="str">
        <f>IFERROR(VLOOKUP(D2288,'[1]Перечень товаров'!$A$2:$I9525,3,0),"")</f>
        <v>Дидактика</v>
      </c>
      <c r="D2288" s="192" t="s">
        <v>785</v>
      </c>
      <c r="E2288" s="23"/>
      <c r="F2288" s="23"/>
      <c r="G2288" s="193">
        <v>1</v>
      </c>
      <c r="H2288" s="193"/>
      <c r="I2288" s="194"/>
      <c r="J2288" s="194"/>
      <c r="K2288" s="19"/>
      <c r="L2288" s="20"/>
    </row>
    <row r="2289" spans="1:12" ht="47.25" outlineLevel="2">
      <c r="A2289" s="191"/>
      <c r="B2289" s="12" t="str">
        <f>IFERROR(VLOOKUP(D2289,'[1]Перечень товаров'!$A$2:$I9525,2,0),"")</f>
        <v>д41</v>
      </c>
      <c r="C2289" s="12" t="str">
        <f>IFERROR(VLOOKUP(D2289,'[1]Перечень товаров'!$A$2:$I9525,3,0),"")</f>
        <v>Дидактика</v>
      </c>
      <c r="D2289" s="192" t="s">
        <v>786</v>
      </c>
      <c r="E2289" s="23"/>
      <c r="F2289" s="23"/>
      <c r="G2289" s="193">
        <v>1</v>
      </c>
      <c r="H2289" s="193"/>
      <c r="I2289" s="194"/>
      <c r="J2289" s="194"/>
      <c r="K2289" s="19"/>
      <c r="L2289" s="20"/>
    </row>
    <row r="2290" spans="1:12" ht="31.5" outlineLevel="2">
      <c r="A2290" s="191"/>
      <c r="B2290" s="12" t="str">
        <f>IFERROR(VLOOKUP(D2290,'[1]Перечень товаров'!$A$2:$I9525,2,0),"")</f>
        <v>д42</v>
      </c>
      <c r="C2290" s="12" t="str">
        <f>IFERROR(VLOOKUP(D2290,'[1]Перечень товаров'!$A$2:$I9525,3,0),"")</f>
        <v>Дидактика</v>
      </c>
      <c r="D2290" s="192" t="s">
        <v>787</v>
      </c>
      <c r="E2290" s="23"/>
      <c r="F2290" s="23"/>
      <c r="G2290" s="193">
        <v>1</v>
      </c>
      <c r="H2290" s="193"/>
      <c r="I2290" s="194"/>
      <c r="J2290" s="194"/>
      <c r="K2290" s="19"/>
      <c r="L2290" s="20"/>
    </row>
    <row r="2291" spans="1:12" ht="31.5" outlineLevel="2">
      <c r="A2291" s="191"/>
      <c r="B2291" s="12" t="str">
        <f>IFERROR(VLOOKUP(D2291,'[1]Перечень товаров'!$A$2:$I9525,2,0),"")</f>
        <v>д43</v>
      </c>
      <c r="C2291" s="12" t="str">
        <f>IFERROR(VLOOKUP(D2291,'[1]Перечень товаров'!$A$2:$I9525,3,0),"")</f>
        <v>Дидактика</v>
      </c>
      <c r="D2291" s="192" t="s">
        <v>788</v>
      </c>
      <c r="E2291" s="23"/>
      <c r="F2291" s="23"/>
      <c r="G2291" s="193">
        <v>1</v>
      </c>
      <c r="H2291" s="193"/>
      <c r="I2291" s="194"/>
      <c r="J2291" s="194"/>
      <c r="K2291" s="19"/>
      <c r="L2291" s="20"/>
    </row>
    <row r="2292" spans="1:12" ht="31.5" outlineLevel="2">
      <c r="A2292" s="191"/>
      <c r="B2292" s="12" t="str">
        <f>IFERROR(VLOOKUP(D2292,'[1]Перечень товаров'!$A$2:$I9525,2,0),"")</f>
        <v>д44</v>
      </c>
      <c r="C2292" s="12" t="str">
        <f>IFERROR(VLOOKUP(D2292,'[1]Перечень товаров'!$A$2:$I9525,3,0),"")</f>
        <v>Дидактика</v>
      </c>
      <c r="D2292" s="192" t="s">
        <v>789</v>
      </c>
      <c r="E2292" s="23"/>
      <c r="F2292" s="23"/>
      <c r="G2292" s="193">
        <v>1</v>
      </c>
      <c r="H2292" s="193"/>
      <c r="I2292" s="194"/>
      <c r="J2292" s="194"/>
      <c r="K2292" s="19"/>
      <c r="L2292" s="20"/>
    </row>
    <row r="2293" spans="1:12" ht="47.25" outlineLevel="2">
      <c r="A2293" s="191"/>
      <c r="B2293" s="12" t="str">
        <f>IFERROR(VLOOKUP(D2293,'[1]Перечень товаров'!$A$2:$I9525,2,0),"")</f>
        <v>д45</v>
      </c>
      <c r="C2293" s="12" t="str">
        <f>IFERROR(VLOOKUP(D2293,'[1]Перечень товаров'!$A$2:$I9525,3,0),"")</f>
        <v>Дидактика</v>
      </c>
      <c r="D2293" s="192" t="s">
        <v>790</v>
      </c>
      <c r="E2293" s="23"/>
      <c r="F2293" s="23"/>
      <c r="G2293" s="193">
        <v>1</v>
      </c>
      <c r="H2293" s="193"/>
      <c r="I2293" s="194"/>
      <c r="J2293" s="194"/>
      <c r="K2293" s="19"/>
      <c r="L2293" s="20"/>
    </row>
    <row r="2294" spans="1:12" ht="31.5" outlineLevel="2">
      <c r="A2294" s="191"/>
      <c r="B2294" s="12" t="str">
        <f>IFERROR(VLOOKUP(D2294,'[1]Перечень товаров'!$A$2:$I9525,2,0),"")</f>
        <v>д46</v>
      </c>
      <c r="C2294" s="12" t="str">
        <f>IFERROR(VLOOKUP(D2294,'[1]Перечень товаров'!$A$2:$I9525,3,0),"")</f>
        <v>Дидактика</v>
      </c>
      <c r="D2294" s="192" t="s">
        <v>791</v>
      </c>
      <c r="E2294" s="23"/>
      <c r="F2294" s="23"/>
      <c r="G2294" s="193">
        <v>1</v>
      </c>
      <c r="H2294" s="193"/>
      <c r="I2294" s="194"/>
      <c r="J2294" s="194"/>
      <c r="K2294" s="19"/>
      <c r="L2294" s="20"/>
    </row>
    <row r="2295" spans="1:12" ht="31.5" outlineLevel="2">
      <c r="A2295" s="191"/>
      <c r="B2295" s="12" t="str">
        <f>IFERROR(VLOOKUP(D2295,'[1]Перечень товаров'!$A$2:$I9525,2,0),"")</f>
        <v>д47</v>
      </c>
      <c r="C2295" s="12" t="str">
        <f>IFERROR(VLOOKUP(D2295,'[1]Перечень товаров'!$A$2:$I9525,3,0),"")</f>
        <v>Дидактика</v>
      </c>
      <c r="D2295" s="192" t="s">
        <v>792</v>
      </c>
      <c r="E2295" s="23"/>
      <c r="F2295" s="23"/>
      <c r="G2295" s="193">
        <v>1</v>
      </c>
      <c r="H2295" s="193"/>
      <c r="I2295" s="194"/>
      <c r="J2295" s="194"/>
      <c r="K2295" s="19"/>
      <c r="L2295" s="20"/>
    </row>
    <row r="2296" spans="1:12" ht="31.5" outlineLevel="2">
      <c r="A2296" s="191"/>
      <c r="B2296" s="12" t="str">
        <f>IFERROR(VLOOKUP(D2296,'[1]Перечень товаров'!$A$2:$I9525,2,0),"")</f>
        <v>д48</v>
      </c>
      <c r="C2296" s="12" t="str">
        <f>IFERROR(VLOOKUP(D2296,'[1]Перечень товаров'!$A$2:$I9525,3,0),"")</f>
        <v>Дидактика</v>
      </c>
      <c r="D2296" s="192" t="s">
        <v>793</v>
      </c>
      <c r="E2296" s="23"/>
      <c r="F2296" s="23"/>
      <c r="G2296" s="193">
        <v>1</v>
      </c>
      <c r="H2296" s="193"/>
      <c r="I2296" s="194"/>
      <c r="J2296" s="194"/>
      <c r="K2296" s="19"/>
      <c r="L2296" s="20"/>
    </row>
    <row r="2297" spans="1:12" ht="31.5" outlineLevel="2">
      <c r="A2297" s="191"/>
      <c r="B2297" s="12" t="str">
        <f>IFERROR(VLOOKUP(D2297,'[1]Перечень товаров'!$A$2:$I9525,2,0),"")</f>
        <v>д49</v>
      </c>
      <c r="C2297" s="12" t="str">
        <f>IFERROR(VLOOKUP(D2297,'[1]Перечень товаров'!$A$2:$I9525,3,0),"")</f>
        <v>Дидактика</v>
      </c>
      <c r="D2297" s="192" t="s">
        <v>794</v>
      </c>
      <c r="E2297" s="23"/>
      <c r="F2297" s="23"/>
      <c r="G2297" s="193">
        <v>1</v>
      </c>
      <c r="H2297" s="193"/>
      <c r="I2297" s="194"/>
      <c r="J2297" s="194"/>
      <c r="K2297" s="19"/>
      <c r="L2297" s="20"/>
    </row>
    <row r="2298" spans="1:12" ht="31.5" outlineLevel="2">
      <c r="A2298" s="191"/>
      <c r="B2298" s="12" t="str">
        <f>IFERROR(VLOOKUP(D2298,'[1]Перечень товаров'!$A$2:$I9525,2,0),"")</f>
        <v>д50</v>
      </c>
      <c r="C2298" s="12" t="str">
        <f>IFERROR(VLOOKUP(D2298,'[1]Перечень товаров'!$A$2:$I9525,3,0),"")</f>
        <v>Дидактика</v>
      </c>
      <c r="D2298" s="192" t="s">
        <v>795</v>
      </c>
      <c r="E2298" s="23"/>
      <c r="F2298" s="23"/>
      <c r="G2298" s="193">
        <v>1</v>
      </c>
      <c r="H2298" s="193"/>
      <c r="I2298" s="194"/>
      <c r="J2298" s="194"/>
      <c r="K2298" s="19"/>
      <c r="L2298" s="20"/>
    </row>
    <row r="2299" spans="1:12" ht="31.5" outlineLevel="2">
      <c r="A2299" s="191"/>
      <c r="B2299" s="12" t="str">
        <f>IFERROR(VLOOKUP(D2299,'[1]Перечень товаров'!$A$2:$I9525,2,0),"")</f>
        <v>д51</v>
      </c>
      <c r="C2299" s="12" t="str">
        <f>IFERROR(VLOOKUP(D2299,'[1]Перечень товаров'!$A$2:$I9525,3,0),"")</f>
        <v>Дидактика</v>
      </c>
      <c r="D2299" s="192" t="s">
        <v>796</v>
      </c>
      <c r="E2299" s="23"/>
      <c r="F2299" s="23"/>
      <c r="G2299" s="193">
        <v>1</v>
      </c>
      <c r="H2299" s="193"/>
      <c r="I2299" s="194"/>
      <c r="J2299" s="194"/>
      <c r="K2299" s="19"/>
      <c r="L2299" s="20"/>
    </row>
    <row r="2300" spans="1:12" ht="31.5" outlineLevel="2">
      <c r="A2300" s="191"/>
      <c r="B2300" s="12" t="str">
        <f>IFERROR(VLOOKUP(D2300,'[1]Перечень товаров'!$A$2:$I9525,2,0),"")</f>
        <v>д34</v>
      </c>
      <c r="C2300" s="12" t="str">
        <f>IFERROR(VLOOKUP(D2300,'[1]Перечень товаров'!$A$2:$I9525,3,0),"")</f>
        <v>Дидактика</v>
      </c>
      <c r="D2300" s="192" t="s">
        <v>779</v>
      </c>
      <c r="E2300" s="23"/>
      <c r="F2300" s="23"/>
      <c r="G2300" s="193">
        <v>1</v>
      </c>
      <c r="H2300" s="193"/>
      <c r="I2300" s="194"/>
      <c r="J2300" s="194"/>
      <c r="K2300" s="19"/>
      <c r="L2300" s="20"/>
    </row>
    <row r="2301" spans="1:12" ht="31.5" outlineLevel="2">
      <c r="A2301" s="191"/>
      <c r="B2301" s="12" t="str">
        <f>IFERROR(VLOOKUP(D2301,'[1]Перечень товаров'!$A$2:$I9525,2,0),"")</f>
        <v>д52</v>
      </c>
      <c r="C2301" s="12" t="str">
        <f>IFERROR(VLOOKUP(D2301,'[1]Перечень товаров'!$A$2:$I9525,3,0),"")</f>
        <v>Дидактика</v>
      </c>
      <c r="D2301" s="192" t="s">
        <v>797</v>
      </c>
      <c r="E2301" s="23"/>
      <c r="F2301" s="23"/>
      <c r="G2301" s="193">
        <v>1</v>
      </c>
      <c r="H2301" s="193"/>
      <c r="I2301" s="194"/>
      <c r="J2301" s="194"/>
      <c r="K2301" s="19"/>
      <c r="L2301" s="20"/>
    </row>
    <row r="2302" spans="1:12" ht="31.5" outlineLevel="2">
      <c r="A2302" s="191"/>
      <c r="B2302" s="12" t="str">
        <f>IFERROR(VLOOKUP(D2302,'[1]Перечень товаров'!$A$2:$I9525,2,0),"")</f>
        <v>д53</v>
      </c>
      <c r="C2302" s="12" t="str">
        <f>IFERROR(VLOOKUP(D2302,'[1]Перечень товаров'!$A$2:$I9525,3,0),"")</f>
        <v>Дидактика</v>
      </c>
      <c r="D2302" s="192" t="s">
        <v>798</v>
      </c>
      <c r="E2302" s="23"/>
      <c r="F2302" s="23"/>
      <c r="G2302" s="193">
        <v>1</v>
      </c>
      <c r="H2302" s="193"/>
      <c r="I2302" s="194"/>
      <c r="J2302" s="194"/>
      <c r="K2302" s="19"/>
      <c r="L2302" s="20"/>
    </row>
    <row r="2303" spans="1:12" ht="31.5" outlineLevel="2">
      <c r="A2303" s="191"/>
      <c r="B2303" s="12" t="str">
        <f>IFERROR(VLOOKUP(D2303,'[1]Перечень товаров'!$A$2:$I9525,2,0),"")</f>
        <v>д54</v>
      </c>
      <c r="C2303" s="12" t="str">
        <f>IFERROR(VLOOKUP(D2303,'[1]Перечень товаров'!$A$2:$I9525,3,0),"")</f>
        <v>Дидактика</v>
      </c>
      <c r="D2303" s="192" t="s">
        <v>799</v>
      </c>
      <c r="E2303" s="23"/>
      <c r="F2303" s="23"/>
      <c r="G2303" s="193">
        <v>1</v>
      </c>
      <c r="H2303" s="193"/>
      <c r="I2303" s="194"/>
      <c r="J2303" s="194"/>
      <c r="K2303" s="19"/>
      <c r="L2303" s="20"/>
    </row>
    <row r="2304" spans="1:12" ht="47.25" outlineLevel="2">
      <c r="A2304" s="191"/>
      <c r="B2304" s="12" t="str">
        <f>IFERROR(VLOOKUP(D2304,'[1]Перечень товаров'!$A$2:$I9525,2,0),"")</f>
        <v>д55</v>
      </c>
      <c r="C2304" s="12" t="str">
        <f>IFERROR(VLOOKUP(D2304,'[1]Перечень товаров'!$A$2:$I9525,3,0),"")</f>
        <v>Дидактика</v>
      </c>
      <c r="D2304" s="192" t="s">
        <v>800</v>
      </c>
      <c r="E2304" s="23"/>
      <c r="F2304" s="23"/>
      <c r="G2304" s="193">
        <v>1</v>
      </c>
      <c r="H2304" s="193"/>
      <c r="I2304" s="194"/>
      <c r="J2304" s="194"/>
      <c r="K2304" s="19"/>
      <c r="L2304" s="20"/>
    </row>
    <row r="2305" spans="1:12" ht="47.25" outlineLevel="2">
      <c r="A2305" s="191"/>
      <c r="B2305" s="12" t="str">
        <f>IFERROR(VLOOKUP(D2305,'[1]Перечень товаров'!$A$2:$I9525,2,0),"")</f>
        <v>д56</v>
      </c>
      <c r="C2305" s="12" t="str">
        <f>IFERROR(VLOOKUP(D2305,'[1]Перечень товаров'!$A$2:$I9525,3,0),"")</f>
        <v>Дидактика</v>
      </c>
      <c r="D2305" s="192" t="s">
        <v>801</v>
      </c>
      <c r="E2305" s="23"/>
      <c r="F2305" s="23"/>
      <c r="G2305" s="193">
        <v>1</v>
      </c>
      <c r="H2305" s="193"/>
      <c r="I2305" s="194"/>
      <c r="J2305" s="194"/>
      <c r="K2305" s="19"/>
      <c r="L2305" s="20"/>
    </row>
    <row r="2306" spans="1:12" ht="47.25" outlineLevel="2">
      <c r="A2306" s="191"/>
      <c r="B2306" s="12" t="str">
        <f>IFERROR(VLOOKUP(D2306,'[1]Перечень товаров'!$A$2:$I9525,2,0),"")</f>
        <v>д57</v>
      </c>
      <c r="C2306" s="12" t="str">
        <f>IFERROR(VLOOKUP(D2306,'[1]Перечень товаров'!$A$2:$I9525,3,0),"")</f>
        <v>Дидактика</v>
      </c>
      <c r="D2306" s="192" t="s">
        <v>802</v>
      </c>
      <c r="E2306" s="23"/>
      <c r="F2306" s="23"/>
      <c r="G2306" s="193">
        <v>1</v>
      </c>
      <c r="H2306" s="193"/>
      <c r="I2306" s="194"/>
      <c r="J2306" s="194"/>
      <c r="K2306" s="19"/>
      <c r="L2306" s="20"/>
    </row>
    <row r="2307" spans="1:12" ht="47.25" outlineLevel="2">
      <c r="A2307" s="191"/>
      <c r="B2307" s="12" t="str">
        <f>IFERROR(VLOOKUP(D2307,'[1]Перечень товаров'!$A$2:$I9525,2,0),"")</f>
        <v>д58</v>
      </c>
      <c r="C2307" s="12" t="str">
        <f>IFERROR(VLOOKUP(D2307,'[1]Перечень товаров'!$A$2:$I9525,3,0),"")</f>
        <v>Дидактика</v>
      </c>
      <c r="D2307" s="192" t="s">
        <v>803</v>
      </c>
      <c r="E2307" s="23"/>
      <c r="F2307" s="23"/>
      <c r="G2307" s="193">
        <v>1</v>
      </c>
      <c r="H2307" s="193"/>
      <c r="I2307" s="194"/>
      <c r="J2307" s="194"/>
      <c r="K2307" s="19"/>
      <c r="L2307" s="20"/>
    </row>
    <row r="2308" spans="1:12" ht="47.25" outlineLevel="2">
      <c r="A2308" s="191"/>
      <c r="B2308" s="12" t="str">
        <f>IFERROR(VLOOKUP(D2308,'[1]Перечень товаров'!$A$2:$I9525,2,0),"")</f>
        <v>д59</v>
      </c>
      <c r="C2308" s="12" t="str">
        <f>IFERROR(VLOOKUP(D2308,'[1]Перечень товаров'!$A$2:$I9525,3,0),"")</f>
        <v>Дидактика</v>
      </c>
      <c r="D2308" s="192" t="s">
        <v>804</v>
      </c>
      <c r="E2308" s="23"/>
      <c r="F2308" s="23"/>
      <c r="G2308" s="193">
        <v>1</v>
      </c>
      <c r="H2308" s="193"/>
      <c r="I2308" s="194"/>
      <c r="J2308" s="194"/>
      <c r="K2308" s="19"/>
      <c r="L2308" s="20"/>
    </row>
    <row r="2309" spans="1:12" ht="47.25" outlineLevel="2">
      <c r="A2309" s="191"/>
      <c r="B2309" s="12" t="str">
        <f>IFERROR(VLOOKUP(D2309,'[1]Перечень товаров'!$A$2:$I9525,2,0),"")</f>
        <v>д60</v>
      </c>
      <c r="C2309" s="12" t="str">
        <f>IFERROR(VLOOKUP(D2309,'[1]Перечень товаров'!$A$2:$I9525,3,0),"")</f>
        <v>Дидактика</v>
      </c>
      <c r="D2309" s="192" t="s">
        <v>805</v>
      </c>
      <c r="E2309" s="23"/>
      <c r="F2309" s="23"/>
      <c r="G2309" s="193">
        <v>1</v>
      </c>
      <c r="H2309" s="193"/>
      <c r="I2309" s="194"/>
      <c r="J2309" s="194"/>
      <c r="K2309" s="19"/>
      <c r="L2309" s="20"/>
    </row>
    <row r="2310" spans="1:12" ht="47.25" outlineLevel="2">
      <c r="A2310" s="191"/>
      <c r="B2310" s="12" t="str">
        <f>IFERROR(VLOOKUP(D2310,'[1]Перечень товаров'!$A$2:$I9525,2,0),"")</f>
        <v>д61</v>
      </c>
      <c r="C2310" s="12" t="str">
        <f>IFERROR(VLOOKUP(D2310,'[1]Перечень товаров'!$A$2:$I9525,3,0),"")</f>
        <v>Дидактика</v>
      </c>
      <c r="D2310" s="192" t="s">
        <v>806</v>
      </c>
      <c r="E2310" s="23"/>
      <c r="F2310" s="23"/>
      <c r="G2310" s="193">
        <v>1</v>
      </c>
      <c r="H2310" s="193"/>
      <c r="I2310" s="194"/>
      <c r="J2310" s="194"/>
      <c r="K2310" s="19"/>
      <c r="L2310" s="20"/>
    </row>
    <row r="2311" spans="1:12" outlineLevel="2">
      <c r="A2311" s="191"/>
      <c r="B2311" s="12" t="str">
        <f>IFERROR(VLOOKUP(D2311,'[1]Перечень товаров'!$A$2:$I9525,2,0),"")</f>
        <v>д62</v>
      </c>
      <c r="C2311" s="12" t="str">
        <f>IFERROR(VLOOKUP(D2311,'[1]Перечень товаров'!$A$2:$I9525,3,0),"")</f>
        <v>Дидактика</v>
      </c>
      <c r="D2311" s="192" t="s">
        <v>807</v>
      </c>
      <c r="E2311" s="23"/>
      <c r="F2311" s="23"/>
      <c r="G2311" s="193">
        <v>1</v>
      </c>
      <c r="H2311" s="193"/>
      <c r="I2311" s="194"/>
      <c r="J2311" s="194"/>
      <c r="K2311" s="19"/>
      <c r="L2311" s="20"/>
    </row>
    <row r="2312" spans="1:12" ht="47.25" outlineLevel="2">
      <c r="A2312" s="191"/>
      <c r="B2312" s="12" t="str">
        <f>IFERROR(VLOOKUP(D2312,'[1]Перечень товаров'!$A$2:$I9525,2,0),"")</f>
        <v>д63</v>
      </c>
      <c r="C2312" s="12" t="str">
        <f>IFERROR(VLOOKUP(D2312,'[1]Перечень товаров'!$A$2:$I9525,3,0),"")</f>
        <v>Дидактика</v>
      </c>
      <c r="D2312" s="192" t="s">
        <v>808</v>
      </c>
      <c r="E2312" s="23"/>
      <c r="F2312" s="23"/>
      <c r="G2312" s="193">
        <v>1</v>
      </c>
      <c r="H2312" s="193"/>
      <c r="I2312" s="194"/>
      <c r="J2312" s="194"/>
      <c r="K2312" s="19"/>
      <c r="L2312" s="20"/>
    </row>
    <row r="2313" spans="1:12" ht="30" outlineLevel="2">
      <c r="A2313" s="179"/>
      <c r="B2313" s="12" t="str">
        <f>IFERROR(VLOOKUP(D2313,'[1]Перечень товаров'!$A$2:$I9525,2,0),"")</f>
        <v/>
      </c>
      <c r="C2313" s="12" t="str">
        <f>IFERROR(VLOOKUP(D2313,'[1]Перечень товаров'!$A$2:$I9525,3,0),"")</f>
        <v/>
      </c>
      <c r="D2313" s="180" t="s">
        <v>809</v>
      </c>
      <c r="E2313" s="61"/>
      <c r="F2313" s="61"/>
      <c r="G2313" s="195"/>
      <c r="H2313" s="195"/>
      <c r="I2313" s="196"/>
      <c r="J2313" s="196"/>
      <c r="K2313" s="19"/>
      <c r="L2313" s="20"/>
    </row>
    <row r="2314" spans="1:12" ht="31.5" outlineLevel="2">
      <c r="A2314" s="191"/>
      <c r="B2314" s="12" t="str">
        <f>IFERROR(VLOOKUP(D2314,'[1]Перечень товаров'!$A$2:$I9525,2,0),"")</f>
        <v>д64</v>
      </c>
      <c r="C2314" s="12" t="str">
        <f>IFERROR(VLOOKUP(D2314,'[1]Перечень товаров'!$A$2:$I9525,3,0),"")</f>
        <v>Дидактика</v>
      </c>
      <c r="D2314" s="192" t="s">
        <v>810</v>
      </c>
      <c r="E2314" s="23"/>
      <c r="F2314" s="23"/>
      <c r="G2314" s="193">
        <v>1</v>
      </c>
      <c r="H2314" s="193"/>
      <c r="I2314" s="194"/>
      <c r="J2314" s="194"/>
      <c r="K2314" s="19"/>
      <c r="L2314" s="20"/>
    </row>
    <row r="2315" spans="1:12" outlineLevel="2">
      <c r="A2315" s="191"/>
      <c r="B2315" s="12" t="str">
        <f>IFERROR(VLOOKUP(D2315,'[1]Перечень товаров'!$A$2:$I9525,2,0),"")</f>
        <v>д65</v>
      </c>
      <c r="C2315" s="12" t="str">
        <f>IFERROR(VLOOKUP(D2315,'[1]Перечень товаров'!$A$2:$I9525,3,0),"")</f>
        <v>Дидактика</v>
      </c>
      <c r="D2315" s="192" t="s">
        <v>811</v>
      </c>
      <c r="E2315" s="23"/>
      <c r="F2315" s="23"/>
      <c r="G2315" s="193">
        <v>1</v>
      </c>
      <c r="H2315" s="193"/>
      <c r="I2315" s="194"/>
      <c r="J2315" s="194"/>
      <c r="K2315" s="19"/>
      <c r="L2315" s="20"/>
    </row>
    <row r="2316" spans="1:12" outlineLevel="2">
      <c r="A2316" s="191"/>
      <c r="B2316" s="12" t="str">
        <f>IFERROR(VLOOKUP(D2316,'[1]Перечень товаров'!$A$2:$I9525,2,0),"")</f>
        <v>д66</v>
      </c>
      <c r="C2316" s="12" t="str">
        <f>IFERROR(VLOOKUP(D2316,'[1]Перечень товаров'!$A$2:$I9525,3,0),"")</f>
        <v>Дидактика</v>
      </c>
      <c r="D2316" s="192" t="s">
        <v>812</v>
      </c>
      <c r="E2316" s="23"/>
      <c r="F2316" s="23"/>
      <c r="G2316" s="193">
        <v>1</v>
      </c>
      <c r="H2316" s="193"/>
      <c r="I2316" s="194"/>
      <c r="J2316" s="194"/>
      <c r="K2316" s="19"/>
      <c r="L2316" s="20"/>
    </row>
    <row r="2317" spans="1:12" outlineLevel="2">
      <c r="A2317" s="191"/>
      <c r="B2317" s="12" t="str">
        <f>IFERROR(VLOOKUP(D2317,'[1]Перечень товаров'!$A$2:$I9525,2,0),"")</f>
        <v>д67</v>
      </c>
      <c r="C2317" s="12" t="str">
        <f>IFERROR(VLOOKUP(D2317,'[1]Перечень товаров'!$A$2:$I9525,3,0),"")</f>
        <v>Дидактика</v>
      </c>
      <c r="D2317" s="192" t="s">
        <v>813</v>
      </c>
      <c r="E2317" s="23"/>
      <c r="F2317" s="23"/>
      <c r="G2317" s="193">
        <v>1</v>
      </c>
      <c r="H2317" s="193"/>
      <c r="I2317" s="194"/>
      <c r="J2317" s="194"/>
      <c r="K2317" s="19"/>
      <c r="L2317" s="20"/>
    </row>
    <row r="2318" spans="1:12" outlineLevel="2">
      <c r="A2318" s="191"/>
      <c r="B2318" s="12" t="str">
        <f>IFERROR(VLOOKUP(D2318,'[1]Перечень товаров'!$A$2:$I9525,2,0),"")</f>
        <v>п90</v>
      </c>
      <c r="C2318" s="12" t="str">
        <f>IFERROR(VLOOKUP(D2318,'[1]Перечень товаров'!$A$2:$I9525,3,0),"")</f>
        <v>Прочее</v>
      </c>
      <c r="D2318" s="192" t="s">
        <v>723</v>
      </c>
      <c r="E2318" s="23"/>
      <c r="F2318" s="23"/>
      <c r="G2318" s="193">
        <v>1</v>
      </c>
      <c r="H2318" s="193"/>
      <c r="I2318" s="194"/>
      <c r="J2318" s="194"/>
      <c r="K2318" s="19"/>
      <c r="L2318" s="20"/>
    </row>
    <row r="2319" spans="1:12" outlineLevel="2">
      <c r="A2319" s="191"/>
      <c r="B2319" s="12" t="str">
        <f>IFERROR(VLOOKUP(D2319,'[1]Перечень товаров'!$A$2:$I9525,2,0),"")</f>
        <v>д68</v>
      </c>
      <c r="C2319" s="12" t="str">
        <f>IFERROR(VLOOKUP(D2319,'[1]Перечень товаров'!$A$2:$I9525,3,0),"")</f>
        <v>Дидактика</v>
      </c>
      <c r="D2319" s="192" t="s">
        <v>814</v>
      </c>
      <c r="E2319" s="23"/>
      <c r="F2319" s="23"/>
      <c r="G2319" s="193">
        <v>3</v>
      </c>
      <c r="H2319" s="193"/>
      <c r="I2319" s="194"/>
      <c r="J2319" s="194"/>
      <c r="K2319" s="19"/>
      <c r="L2319" s="20"/>
    </row>
    <row r="2320" spans="1:12" outlineLevel="2">
      <c r="A2320" s="191"/>
      <c r="B2320" s="12" t="str">
        <f>IFERROR(VLOOKUP(D2320,'[1]Перечень товаров'!$A$2:$I9525,2,0),"")</f>
        <v>д69</v>
      </c>
      <c r="C2320" s="12" t="str">
        <f>IFERROR(VLOOKUP(D2320,'[1]Перечень товаров'!$A$2:$I9525,3,0),"")</f>
        <v>Дидактика</v>
      </c>
      <c r="D2320" s="192" t="s">
        <v>815</v>
      </c>
      <c r="E2320" s="23"/>
      <c r="F2320" s="23"/>
      <c r="G2320" s="193">
        <v>8</v>
      </c>
      <c r="H2320" s="193"/>
      <c r="I2320" s="194"/>
      <c r="J2320" s="194"/>
      <c r="K2320" s="19"/>
      <c r="L2320" s="20"/>
    </row>
    <row r="2321" spans="1:12" outlineLevel="2">
      <c r="A2321" s="191"/>
      <c r="B2321" s="12" t="str">
        <f>IFERROR(VLOOKUP(D2321,'[1]Перечень товаров'!$A$2:$I9525,2,0),"")</f>
        <v>д70</v>
      </c>
      <c r="C2321" s="12" t="str">
        <f>IFERROR(VLOOKUP(D2321,'[1]Перечень товаров'!$A$2:$I9525,3,0),"")</f>
        <v>Дидактика</v>
      </c>
      <c r="D2321" s="192" t="s">
        <v>816</v>
      </c>
      <c r="E2321" s="23"/>
      <c r="F2321" s="23"/>
      <c r="G2321" s="193">
        <v>100</v>
      </c>
      <c r="H2321" s="193"/>
      <c r="I2321" s="194"/>
      <c r="J2321" s="194"/>
      <c r="K2321" s="19"/>
      <c r="L2321" s="20"/>
    </row>
    <row r="2322" spans="1:12" ht="12.75" outlineLevel="1">
      <c r="A2322" s="11"/>
      <c r="B2322" s="12" t="str">
        <f>IFERROR(VLOOKUP(D2322,'[1]Перечень товаров'!$A$2:$I9525,2,0),"")</f>
        <v/>
      </c>
      <c r="C2322" s="12" t="str">
        <f>IFERROR(VLOOKUP(D2322,'[1]Перечень товаров'!$A$2:$I9525,3,0),"")</f>
        <v/>
      </c>
      <c r="D2322" s="27" t="s">
        <v>371</v>
      </c>
      <c r="E2322" s="99">
        <v>46088</v>
      </c>
      <c r="F2322" s="99"/>
      <c r="G2322" s="100"/>
      <c r="H2322" s="100"/>
      <c r="I2322" s="101"/>
      <c r="J2322" s="101"/>
      <c r="K2322" s="19"/>
      <c r="L2322" s="20"/>
    </row>
    <row r="2323" spans="1:12" outlineLevel="2">
      <c r="A2323" s="22"/>
      <c r="B2323" s="12" t="str">
        <f>IFERROR(VLOOKUP(D2323,'[1]Перечень товаров'!$A$2:$I9525,2,0),"")</f>
        <v>п25</v>
      </c>
      <c r="C2323" s="12" t="str">
        <f>IFERROR(VLOOKUP(D2323,'[1]Перечень товаров'!$A$2:$I9525,3,0),"")</f>
        <v>Прочее</v>
      </c>
      <c r="D2323" s="22" t="s">
        <v>360</v>
      </c>
      <c r="E2323" s="102"/>
      <c r="F2323" s="102"/>
      <c r="G2323" s="48">
        <v>3</v>
      </c>
      <c r="H2323" s="48"/>
      <c r="I2323" s="49"/>
      <c r="J2323" s="49"/>
      <c r="K2323" s="33"/>
      <c r="L2323" s="20"/>
    </row>
    <row r="2324" spans="1:12" outlineLevel="2">
      <c r="A2324" s="21"/>
      <c r="B2324" s="12" t="str">
        <f>IFERROR(VLOOKUP(D2324,'[1]Перечень товаров'!$A$2:$I9525,2,0),"")</f>
        <v>п26</v>
      </c>
      <c r="C2324" s="12" t="str">
        <f>IFERROR(VLOOKUP(D2324,'[1]Перечень товаров'!$A$2:$I9525,3,0),"")</f>
        <v>Прочее</v>
      </c>
      <c r="D2324" s="22" t="s">
        <v>361</v>
      </c>
      <c r="E2324" s="102"/>
      <c r="F2324" s="102"/>
      <c r="G2324" s="48">
        <v>2</v>
      </c>
      <c r="H2324" s="48"/>
      <c r="I2324" s="49"/>
      <c r="J2324" s="49"/>
      <c r="K2324" s="33"/>
      <c r="L2324" s="20"/>
    </row>
    <row r="2325" spans="1:12" outlineLevel="2">
      <c r="A2325" s="21"/>
      <c r="B2325" s="12" t="str">
        <f>IFERROR(VLOOKUP(D2325,'[1]Перечень товаров'!$A$2:$I9525,2,0),"")</f>
        <v>п27</v>
      </c>
      <c r="C2325" s="12" t="str">
        <f>IFERROR(VLOOKUP(D2325,'[1]Перечень товаров'!$A$2:$I9525,3,0),"")</f>
        <v>Прочее</v>
      </c>
      <c r="D2325" s="22" t="s">
        <v>362</v>
      </c>
      <c r="E2325" s="102"/>
      <c r="F2325" s="102"/>
      <c r="G2325" s="48">
        <v>2</v>
      </c>
      <c r="H2325" s="48"/>
      <c r="I2325" s="49"/>
      <c r="J2325" s="49"/>
      <c r="K2325" s="33"/>
      <c r="L2325" s="20"/>
    </row>
    <row r="2326" spans="1:12" outlineLevel="2">
      <c r="A2326" s="21"/>
      <c r="B2326" s="12" t="str">
        <f>IFERROR(VLOOKUP(D2326,'[1]Перечень товаров'!$A$2:$I9525,2,0),"")</f>
        <v>п28</v>
      </c>
      <c r="C2326" s="12" t="str">
        <f>IFERROR(VLOOKUP(D2326,'[1]Перечень товаров'!$A$2:$I9525,3,0),"")</f>
        <v>Прочее</v>
      </c>
      <c r="D2326" s="22" t="s">
        <v>363</v>
      </c>
      <c r="E2326" s="102"/>
      <c r="F2326" s="102"/>
      <c r="G2326" s="48">
        <v>1</v>
      </c>
      <c r="H2326" s="48"/>
      <c r="I2326" s="49"/>
      <c r="J2326" s="49"/>
      <c r="K2326" s="33"/>
      <c r="L2326" s="20"/>
    </row>
    <row r="2327" spans="1:12" outlineLevel="2">
      <c r="A2327" s="21"/>
      <c r="B2327" s="12" t="str">
        <f>IFERROR(VLOOKUP(D2327,'[1]Перечень товаров'!$A$2:$I9525,2,0),"")</f>
        <v>п29</v>
      </c>
      <c r="C2327" s="12" t="str">
        <f>IFERROR(VLOOKUP(D2327,'[1]Перечень товаров'!$A$2:$I9525,3,0),"")</f>
        <v>Прочее</v>
      </c>
      <c r="D2327" s="22" t="s">
        <v>364</v>
      </c>
      <c r="E2327" s="102"/>
      <c r="F2327" s="102"/>
      <c r="G2327" s="48">
        <v>6</v>
      </c>
      <c r="H2327" s="48"/>
      <c r="I2327" s="49"/>
      <c r="J2327" s="49"/>
      <c r="K2327" s="33"/>
      <c r="L2327" s="20"/>
    </row>
    <row r="2328" spans="1:12" outlineLevel="2">
      <c r="A2328" s="21"/>
      <c r="B2328" s="12" t="str">
        <f>IFERROR(VLOOKUP(D2328,'[1]Перечень товаров'!$A$2:$I9525,2,0),"")</f>
        <v>п30</v>
      </c>
      <c r="C2328" s="12" t="str">
        <f>IFERROR(VLOOKUP(D2328,'[1]Перечень товаров'!$A$2:$I9525,3,0),"")</f>
        <v>Прочее</v>
      </c>
      <c r="D2328" s="22" t="s">
        <v>365</v>
      </c>
      <c r="E2328" s="102"/>
      <c r="F2328" s="102"/>
      <c r="G2328" s="48">
        <v>2</v>
      </c>
      <c r="H2328" s="48"/>
      <c r="I2328" s="49"/>
      <c r="J2328" s="49"/>
      <c r="K2328" s="33"/>
      <c r="L2328" s="20"/>
    </row>
    <row r="2329" spans="1:12" ht="31.5" outlineLevel="2">
      <c r="A2329" s="21"/>
      <c r="B2329" s="12" t="str">
        <f>IFERROR(VLOOKUP(D2329,'[1]Перечень товаров'!$A$2:$I9525,2,0),"")</f>
        <v>п31</v>
      </c>
      <c r="C2329" s="12" t="str">
        <f>IFERROR(VLOOKUP(D2329,'[1]Перечень товаров'!$A$2:$I9525,3,0),"")</f>
        <v>Прочее</v>
      </c>
      <c r="D2329" s="22" t="s">
        <v>366</v>
      </c>
      <c r="E2329" s="102"/>
      <c r="F2329" s="102"/>
      <c r="G2329" s="48">
        <v>1</v>
      </c>
      <c r="H2329" s="48"/>
      <c r="I2329" s="49"/>
      <c r="J2329" s="49"/>
      <c r="K2329" s="33"/>
      <c r="L2329" s="20"/>
    </row>
    <row r="2330" spans="1:12" ht="31.5" outlineLevel="2">
      <c r="A2330" s="21"/>
      <c r="B2330" s="12" t="str">
        <f>IFERROR(VLOOKUP(D2330,'[1]Перечень товаров'!$A$2:$I9525,2,0),"")</f>
        <v>п32</v>
      </c>
      <c r="C2330" s="12" t="str">
        <f>IFERROR(VLOOKUP(D2330,'[1]Перечень товаров'!$A$2:$I9525,3,0),"")</f>
        <v>Прочее</v>
      </c>
      <c r="D2330" s="22" t="s">
        <v>367</v>
      </c>
      <c r="E2330" s="102"/>
      <c r="F2330" s="102"/>
      <c r="G2330" s="48">
        <v>2</v>
      </c>
      <c r="H2330" s="48"/>
      <c r="I2330" s="49"/>
      <c r="J2330" s="49"/>
      <c r="K2330" s="33"/>
      <c r="L2330" s="20"/>
    </row>
    <row r="2331" spans="1:12" ht="12.75" outlineLevel="1">
      <c r="A2331" s="11"/>
      <c r="B2331" s="12" t="str">
        <f>IFERROR(VLOOKUP(D2331,'[1]Перечень товаров'!$A$2:$I9525,2,0),"")</f>
        <v/>
      </c>
      <c r="C2331" s="12" t="str">
        <f>IFERROR(VLOOKUP(D2331,'[1]Перечень товаров'!$A$2:$I9525,3,0),"")</f>
        <v/>
      </c>
      <c r="D2331" s="27" t="s">
        <v>372</v>
      </c>
      <c r="E2331" s="99">
        <v>46239</v>
      </c>
      <c r="F2331" s="99"/>
      <c r="G2331" s="100"/>
      <c r="H2331" s="100"/>
      <c r="I2331" s="101"/>
      <c r="J2331" s="101"/>
      <c r="K2331" s="19"/>
      <c r="L2331" s="20"/>
    </row>
    <row r="2332" spans="1:12" outlineLevel="2">
      <c r="A2332" s="22"/>
      <c r="B2332" s="12" t="str">
        <f>IFERROR(VLOOKUP(D2332,'[1]Перечень товаров'!$A$2:$I9525,2,0),"")</f>
        <v>п25</v>
      </c>
      <c r="C2332" s="12" t="str">
        <f>IFERROR(VLOOKUP(D2332,'[1]Перечень товаров'!$A$2:$I9525,3,0),"")</f>
        <v>Прочее</v>
      </c>
      <c r="D2332" s="22" t="s">
        <v>360</v>
      </c>
      <c r="E2332" s="102"/>
      <c r="F2332" s="102"/>
      <c r="G2332" s="48">
        <v>3</v>
      </c>
      <c r="H2332" s="48"/>
      <c r="I2332" s="49"/>
      <c r="J2332" s="49"/>
      <c r="K2332" s="33"/>
      <c r="L2332" s="20"/>
    </row>
    <row r="2333" spans="1:12" outlineLevel="2">
      <c r="A2333" s="21"/>
      <c r="B2333" s="12" t="str">
        <f>IFERROR(VLOOKUP(D2333,'[1]Перечень товаров'!$A$2:$I9525,2,0),"")</f>
        <v>п26</v>
      </c>
      <c r="C2333" s="12" t="str">
        <f>IFERROR(VLOOKUP(D2333,'[1]Перечень товаров'!$A$2:$I9525,3,0),"")</f>
        <v>Прочее</v>
      </c>
      <c r="D2333" s="22" t="s">
        <v>361</v>
      </c>
      <c r="E2333" s="102"/>
      <c r="F2333" s="102"/>
      <c r="G2333" s="48">
        <v>2</v>
      </c>
      <c r="H2333" s="48"/>
      <c r="I2333" s="49"/>
      <c r="J2333" s="49"/>
      <c r="K2333" s="33"/>
      <c r="L2333" s="20"/>
    </row>
    <row r="2334" spans="1:12" outlineLevel="2">
      <c r="A2334" s="21"/>
      <c r="B2334" s="12" t="str">
        <f>IFERROR(VLOOKUP(D2334,'[1]Перечень товаров'!$A$2:$I9525,2,0),"")</f>
        <v>п27</v>
      </c>
      <c r="C2334" s="12" t="str">
        <f>IFERROR(VLOOKUP(D2334,'[1]Перечень товаров'!$A$2:$I9525,3,0),"")</f>
        <v>Прочее</v>
      </c>
      <c r="D2334" s="22" t="s">
        <v>362</v>
      </c>
      <c r="E2334" s="102"/>
      <c r="F2334" s="102"/>
      <c r="G2334" s="48">
        <v>2</v>
      </c>
      <c r="H2334" s="48"/>
      <c r="I2334" s="49"/>
      <c r="J2334" s="49"/>
      <c r="K2334" s="33"/>
      <c r="L2334" s="20"/>
    </row>
    <row r="2335" spans="1:12" outlineLevel="2">
      <c r="A2335" s="21"/>
      <c r="B2335" s="12" t="str">
        <f>IFERROR(VLOOKUP(D2335,'[1]Перечень товаров'!$A$2:$I9525,2,0),"")</f>
        <v>п28</v>
      </c>
      <c r="C2335" s="12" t="str">
        <f>IFERROR(VLOOKUP(D2335,'[1]Перечень товаров'!$A$2:$I9525,3,0),"")</f>
        <v>Прочее</v>
      </c>
      <c r="D2335" s="22" t="s">
        <v>363</v>
      </c>
      <c r="E2335" s="102"/>
      <c r="F2335" s="102"/>
      <c r="G2335" s="48">
        <v>1</v>
      </c>
      <c r="H2335" s="48"/>
      <c r="I2335" s="49"/>
      <c r="J2335" s="49"/>
      <c r="K2335" s="33"/>
      <c r="L2335" s="20"/>
    </row>
    <row r="2336" spans="1:12" outlineLevel="2">
      <c r="A2336" s="21"/>
      <c r="B2336" s="12" t="str">
        <f>IFERROR(VLOOKUP(D2336,'[1]Перечень товаров'!$A$2:$I9525,2,0),"")</f>
        <v>п29</v>
      </c>
      <c r="C2336" s="12" t="str">
        <f>IFERROR(VLOOKUP(D2336,'[1]Перечень товаров'!$A$2:$I9525,3,0),"")</f>
        <v>Прочее</v>
      </c>
      <c r="D2336" s="22" t="s">
        <v>364</v>
      </c>
      <c r="E2336" s="102"/>
      <c r="F2336" s="102"/>
      <c r="G2336" s="48">
        <v>6</v>
      </c>
      <c r="H2336" s="48"/>
      <c r="I2336" s="49"/>
      <c r="J2336" s="49"/>
      <c r="K2336" s="33"/>
      <c r="L2336" s="20"/>
    </row>
    <row r="2337" spans="1:12" outlineLevel="2">
      <c r="A2337" s="21"/>
      <c r="B2337" s="12" t="str">
        <f>IFERROR(VLOOKUP(D2337,'[1]Перечень товаров'!$A$2:$I9525,2,0),"")</f>
        <v>п30</v>
      </c>
      <c r="C2337" s="12" t="str">
        <f>IFERROR(VLOOKUP(D2337,'[1]Перечень товаров'!$A$2:$I9525,3,0),"")</f>
        <v>Прочее</v>
      </c>
      <c r="D2337" s="22" t="s">
        <v>365</v>
      </c>
      <c r="E2337" s="102"/>
      <c r="F2337" s="102"/>
      <c r="G2337" s="48">
        <v>2</v>
      </c>
      <c r="H2337" s="48"/>
      <c r="I2337" s="49"/>
      <c r="J2337" s="49"/>
      <c r="K2337" s="33"/>
      <c r="L2337" s="20"/>
    </row>
    <row r="2338" spans="1:12" ht="31.5" outlineLevel="2">
      <c r="A2338" s="21"/>
      <c r="B2338" s="12" t="str">
        <f>IFERROR(VLOOKUP(D2338,'[1]Перечень товаров'!$A$2:$I9525,2,0),"")</f>
        <v>п31</v>
      </c>
      <c r="C2338" s="12" t="str">
        <f>IFERROR(VLOOKUP(D2338,'[1]Перечень товаров'!$A$2:$I9525,3,0),"")</f>
        <v>Прочее</v>
      </c>
      <c r="D2338" s="22" t="s">
        <v>366</v>
      </c>
      <c r="E2338" s="102"/>
      <c r="F2338" s="102"/>
      <c r="G2338" s="48">
        <v>1</v>
      </c>
      <c r="H2338" s="48"/>
      <c r="I2338" s="49"/>
      <c r="J2338" s="49"/>
      <c r="K2338" s="33"/>
      <c r="L2338" s="20"/>
    </row>
    <row r="2339" spans="1:12" ht="31.5" outlineLevel="2">
      <c r="A2339" s="21"/>
      <c r="B2339" s="12" t="str">
        <f>IFERROR(VLOOKUP(D2339,'[1]Перечень товаров'!$A$2:$I9525,2,0),"")</f>
        <v>п32</v>
      </c>
      <c r="C2339" s="12" t="str">
        <f>IFERROR(VLOOKUP(D2339,'[1]Перечень товаров'!$A$2:$I9525,3,0),"")</f>
        <v>Прочее</v>
      </c>
      <c r="D2339" s="22" t="s">
        <v>367</v>
      </c>
      <c r="E2339" s="102"/>
      <c r="F2339" s="102"/>
      <c r="G2339" s="48">
        <v>2</v>
      </c>
      <c r="H2339" s="48"/>
      <c r="I2339" s="49"/>
      <c r="J2339" s="49"/>
      <c r="K2339" s="33"/>
      <c r="L2339" s="20"/>
    </row>
    <row r="2340" spans="1:12" outlineLevel="1">
      <c r="A2340" s="21"/>
      <c r="B2340" s="12" t="str">
        <f>IFERROR(VLOOKUP(D2340,'[1]Перечень товаров'!$A$2:$I9525,2,0),"")</f>
        <v/>
      </c>
      <c r="C2340" s="12" t="str">
        <f>IFERROR(VLOOKUP(D2340,'[1]Перечень товаров'!$A$2:$I9525,3,0),"")</f>
        <v/>
      </c>
      <c r="D2340" s="22" t="s">
        <v>311</v>
      </c>
      <c r="E2340" s="23" t="s">
        <v>819</v>
      </c>
      <c r="F2340" s="23"/>
      <c r="G2340" s="24"/>
      <c r="H2340" s="24"/>
      <c r="I2340" s="25"/>
      <c r="J2340" s="25"/>
      <c r="K2340" s="19"/>
      <c r="L2340" s="20"/>
    </row>
    <row r="2341" spans="1:12" ht="12.75" outlineLevel="1">
      <c r="A2341" s="11"/>
      <c r="B2341" s="12" t="str">
        <f>IFERROR(VLOOKUP(D2341,'[1]Перечень товаров'!$A$2:$I9525,2,0),"")</f>
        <v/>
      </c>
      <c r="C2341" s="12" t="str">
        <f>IFERROR(VLOOKUP(D2341,'[1]Перечень товаров'!$A$2:$I9525,3,0),"")</f>
        <v/>
      </c>
      <c r="D2341" s="27" t="s">
        <v>820</v>
      </c>
      <c r="E2341" s="99">
        <v>46114</v>
      </c>
      <c r="F2341" s="99"/>
      <c r="G2341" s="100"/>
      <c r="H2341" s="100"/>
      <c r="I2341" s="101"/>
      <c r="J2341" s="101"/>
      <c r="K2341" s="19"/>
      <c r="L2341" s="20"/>
    </row>
    <row r="2342" spans="1:12" outlineLevel="2">
      <c r="A2342" s="22"/>
      <c r="B2342" s="12" t="str">
        <f>IFERROR(VLOOKUP(D2342,'[1]Перечень товаров'!$A$2:$I9525,2,0),"")</f>
        <v>п25</v>
      </c>
      <c r="C2342" s="12" t="str">
        <f>IFERROR(VLOOKUP(D2342,'[1]Перечень товаров'!$A$2:$I9525,3,0),"")</f>
        <v>Прочее</v>
      </c>
      <c r="D2342" s="22" t="s">
        <v>360</v>
      </c>
      <c r="E2342" s="102"/>
      <c r="F2342" s="102"/>
      <c r="G2342" s="48">
        <v>3</v>
      </c>
      <c r="H2342" s="48"/>
      <c r="I2342" s="49"/>
      <c r="J2342" s="49"/>
      <c r="K2342" s="19"/>
      <c r="L2342" s="20"/>
    </row>
    <row r="2343" spans="1:12" outlineLevel="2">
      <c r="A2343" s="21"/>
      <c r="B2343" s="12" t="str">
        <f>IFERROR(VLOOKUP(D2343,'[1]Перечень товаров'!$A$2:$I9525,2,0),"")</f>
        <v>п26</v>
      </c>
      <c r="C2343" s="12" t="str">
        <f>IFERROR(VLOOKUP(D2343,'[1]Перечень товаров'!$A$2:$I9525,3,0),"")</f>
        <v>Прочее</v>
      </c>
      <c r="D2343" s="22" t="s">
        <v>361</v>
      </c>
      <c r="E2343" s="102"/>
      <c r="F2343" s="102"/>
      <c r="G2343" s="48">
        <v>2</v>
      </c>
      <c r="H2343" s="48"/>
      <c r="I2343" s="49"/>
      <c r="J2343" s="49"/>
      <c r="K2343" s="19"/>
      <c r="L2343" s="20"/>
    </row>
    <row r="2344" spans="1:12" outlineLevel="2">
      <c r="A2344" s="21"/>
      <c r="B2344" s="12" t="str">
        <f>IFERROR(VLOOKUP(D2344,'[1]Перечень товаров'!$A$2:$I9525,2,0),"")</f>
        <v>п27</v>
      </c>
      <c r="C2344" s="12" t="str">
        <f>IFERROR(VLOOKUP(D2344,'[1]Перечень товаров'!$A$2:$I9525,3,0),"")</f>
        <v>Прочее</v>
      </c>
      <c r="D2344" s="22" t="s">
        <v>362</v>
      </c>
      <c r="E2344" s="102"/>
      <c r="F2344" s="102"/>
      <c r="G2344" s="48">
        <v>2</v>
      </c>
      <c r="H2344" s="48"/>
      <c r="I2344" s="49"/>
      <c r="J2344" s="49"/>
      <c r="K2344" s="19"/>
      <c r="L2344" s="20"/>
    </row>
    <row r="2345" spans="1:12" outlineLevel="2">
      <c r="A2345" s="21"/>
      <c r="B2345" s="12" t="str">
        <f>IFERROR(VLOOKUP(D2345,'[1]Перечень товаров'!$A$2:$I9525,2,0),"")</f>
        <v>п28</v>
      </c>
      <c r="C2345" s="12" t="str">
        <f>IFERROR(VLOOKUP(D2345,'[1]Перечень товаров'!$A$2:$I9525,3,0),"")</f>
        <v>Прочее</v>
      </c>
      <c r="D2345" s="22" t="s">
        <v>363</v>
      </c>
      <c r="E2345" s="102"/>
      <c r="F2345" s="102"/>
      <c r="G2345" s="48">
        <v>1</v>
      </c>
      <c r="H2345" s="48"/>
      <c r="I2345" s="49"/>
      <c r="J2345" s="49"/>
      <c r="K2345" s="19"/>
      <c r="L2345" s="20"/>
    </row>
    <row r="2346" spans="1:12" outlineLevel="2">
      <c r="A2346" s="21"/>
      <c r="B2346" s="12" t="str">
        <f>IFERROR(VLOOKUP(D2346,'[1]Перечень товаров'!$A$2:$I9525,2,0),"")</f>
        <v>п29</v>
      </c>
      <c r="C2346" s="12" t="str">
        <f>IFERROR(VLOOKUP(D2346,'[1]Перечень товаров'!$A$2:$I9525,3,0),"")</f>
        <v>Прочее</v>
      </c>
      <c r="D2346" s="22" t="s">
        <v>364</v>
      </c>
      <c r="E2346" s="102"/>
      <c r="F2346" s="102"/>
      <c r="G2346" s="48">
        <v>6</v>
      </c>
      <c r="H2346" s="48"/>
      <c r="I2346" s="49"/>
      <c r="J2346" s="49"/>
      <c r="K2346" s="19"/>
      <c r="L2346" s="20"/>
    </row>
    <row r="2347" spans="1:12" outlineLevel="2">
      <c r="A2347" s="21"/>
      <c r="B2347" s="12" t="str">
        <f>IFERROR(VLOOKUP(D2347,'[1]Перечень товаров'!$A$2:$I9525,2,0),"")</f>
        <v>п30</v>
      </c>
      <c r="C2347" s="12" t="str">
        <f>IFERROR(VLOOKUP(D2347,'[1]Перечень товаров'!$A$2:$I9525,3,0),"")</f>
        <v>Прочее</v>
      </c>
      <c r="D2347" s="22" t="s">
        <v>365</v>
      </c>
      <c r="E2347" s="102"/>
      <c r="F2347" s="102"/>
      <c r="G2347" s="48">
        <v>2</v>
      </c>
      <c r="H2347" s="48"/>
      <c r="I2347" s="49"/>
      <c r="J2347" s="49"/>
      <c r="K2347" s="19"/>
      <c r="L2347" s="20"/>
    </row>
    <row r="2348" spans="1:12" ht="31.5" outlineLevel="2">
      <c r="A2348" s="21"/>
      <c r="B2348" s="12" t="str">
        <f>IFERROR(VLOOKUP(D2348,'[1]Перечень товаров'!$A$2:$I9525,2,0),"")</f>
        <v>п31</v>
      </c>
      <c r="C2348" s="12" t="str">
        <f>IFERROR(VLOOKUP(D2348,'[1]Перечень товаров'!$A$2:$I9525,3,0),"")</f>
        <v>Прочее</v>
      </c>
      <c r="D2348" s="22" t="s">
        <v>366</v>
      </c>
      <c r="E2348" s="102"/>
      <c r="F2348" s="102"/>
      <c r="G2348" s="48">
        <v>1</v>
      </c>
      <c r="H2348" s="48"/>
      <c r="I2348" s="49"/>
      <c r="J2348" s="49"/>
      <c r="K2348" s="19"/>
      <c r="L2348" s="20"/>
    </row>
    <row r="2349" spans="1:12" ht="31.5" outlineLevel="2">
      <c r="A2349" s="21"/>
      <c r="B2349" s="12" t="str">
        <f>IFERROR(VLOOKUP(D2349,'[1]Перечень товаров'!$A$2:$I9525,2,0),"")</f>
        <v>п32</v>
      </c>
      <c r="C2349" s="12" t="str">
        <f>IFERROR(VLOOKUP(D2349,'[1]Перечень товаров'!$A$2:$I9525,3,0),"")</f>
        <v>Прочее</v>
      </c>
      <c r="D2349" s="22" t="s">
        <v>367</v>
      </c>
      <c r="E2349" s="102"/>
      <c r="F2349" s="102"/>
      <c r="G2349" s="48">
        <v>2</v>
      </c>
      <c r="H2349" s="48"/>
      <c r="I2349" s="49"/>
      <c r="J2349" s="49"/>
      <c r="K2349" s="19"/>
      <c r="L2349" s="20"/>
    </row>
    <row r="2350" spans="1:12" ht="12.75" outlineLevel="1">
      <c r="A2350" s="11"/>
      <c r="B2350" s="12" t="str">
        <f>IFERROR(VLOOKUP(D2350,'[1]Перечень товаров'!$A$2:$I9525,2,0),"")</f>
        <v/>
      </c>
      <c r="C2350" s="12" t="str">
        <f>IFERROR(VLOOKUP(D2350,'[1]Перечень товаров'!$A$2:$I9525,3,0),"")</f>
        <v/>
      </c>
      <c r="D2350" s="27" t="s">
        <v>817</v>
      </c>
      <c r="E2350" s="14" t="s">
        <v>818</v>
      </c>
      <c r="F2350" s="14"/>
      <c r="G2350" s="17"/>
      <c r="H2350" s="17"/>
      <c r="I2350" s="57"/>
      <c r="J2350" s="57"/>
      <c r="K2350" s="19"/>
      <c r="L2350" s="20"/>
    </row>
    <row r="2351" spans="1:12" ht="30" outlineLevel="2">
      <c r="A2351" s="189"/>
      <c r="B2351" s="12" t="str">
        <f>IFERROR(VLOOKUP(D2351,'[1]Перечень товаров'!$A$2:$I9525,2,0),"")</f>
        <v/>
      </c>
      <c r="C2351" s="12" t="str">
        <f>IFERROR(VLOOKUP(D2351,'[1]Перечень товаров'!$A$2:$I9525,3,0),"")</f>
        <v/>
      </c>
      <c r="D2351" s="190" t="s">
        <v>740</v>
      </c>
      <c r="E2351" s="61"/>
      <c r="F2351" s="61"/>
      <c r="G2351" s="186"/>
      <c r="H2351" s="186"/>
      <c r="I2351" s="187"/>
      <c r="J2351" s="187"/>
      <c r="K2351" s="19"/>
      <c r="L2351" s="20"/>
    </row>
    <row r="2352" spans="1:12" ht="30" outlineLevel="2">
      <c r="A2352" s="179"/>
      <c r="B2352" s="12" t="str">
        <f>IFERROR(VLOOKUP(D2352,'[1]Перечень товаров'!$A$2:$I9525,2,0),"")</f>
        <v/>
      </c>
      <c r="C2352" s="12" t="str">
        <f>IFERROR(VLOOKUP(D2352,'[1]Перечень товаров'!$A$2:$I9525,3,0),"")</f>
        <v/>
      </c>
      <c r="D2352" s="180" t="s">
        <v>668</v>
      </c>
      <c r="E2352" s="61"/>
      <c r="F2352" s="61"/>
      <c r="G2352" s="186"/>
      <c r="H2352" s="186"/>
      <c r="I2352" s="187"/>
      <c r="J2352" s="187"/>
      <c r="K2352" s="19"/>
      <c r="L2352" s="20"/>
    </row>
    <row r="2353" spans="1:12" outlineLevel="2">
      <c r="A2353" s="191"/>
      <c r="B2353" s="12" t="str">
        <f>IFERROR(VLOOKUP(D2353,'[1]Перечень товаров'!$A$2:$I9525,2,0),"")</f>
        <v>т9</v>
      </c>
      <c r="C2353" s="12" t="str">
        <f>IFERROR(VLOOKUP(D2353,'[1]Перечень товаров'!$A$2:$I9525,3,0),"")</f>
        <v>Техника</v>
      </c>
      <c r="D2353" s="192" t="s">
        <v>36</v>
      </c>
      <c r="E2353" s="23"/>
      <c r="F2353" s="23"/>
      <c r="G2353" s="193">
        <v>1</v>
      </c>
      <c r="H2353" s="193"/>
      <c r="I2353" s="194"/>
      <c r="J2353" s="194"/>
      <c r="K2353" s="19"/>
      <c r="L2353" s="20"/>
    </row>
    <row r="2354" spans="1:12" outlineLevel="2">
      <c r="A2354" s="191"/>
      <c r="B2354" s="12" t="str">
        <f>IFERROR(VLOOKUP(D2354,'[1]Перечень товаров'!$A$2:$I9525,2,0),"")</f>
        <v>т234</v>
      </c>
      <c r="C2354" s="12" t="str">
        <f>IFERROR(VLOOKUP(D2354,'[1]Перечень товаров'!$A$2:$I9525,3,0),"")</f>
        <v>Техника</v>
      </c>
      <c r="D2354" s="192" t="s">
        <v>741</v>
      </c>
      <c r="E2354" s="23"/>
      <c r="F2354" s="23"/>
      <c r="G2354" s="193">
        <v>1</v>
      </c>
      <c r="H2354" s="193"/>
      <c r="I2354" s="194"/>
      <c r="J2354" s="194"/>
      <c r="K2354" s="19"/>
      <c r="L2354" s="20"/>
    </row>
    <row r="2355" spans="1:12" outlineLevel="2">
      <c r="A2355" s="191"/>
      <c r="B2355" s="12" t="str">
        <f>IFERROR(VLOOKUP(D2355,'[1]Перечень товаров'!$A$2:$I9525,2,0),"")</f>
        <v>т1</v>
      </c>
      <c r="C2355" s="12" t="str">
        <f>IFERROR(VLOOKUP(D2355,'[1]Перечень товаров'!$A$2:$I9525,3,0),"")</f>
        <v xml:space="preserve">Техника </v>
      </c>
      <c r="D2355" s="192" t="s">
        <v>28</v>
      </c>
      <c r="E2355" s="23"/>
      <c r="F2355" s="23"/>
      <c r="G2355" s="193">
        <v>1</v>
      </c>
      <c r="H2355" s="193"/>
      <c r="I2355" s="194"/>
      <c r="J2355" s="194"/>
      <c r="K2355" s="19"/>
      <c r="L2355" s="20"/>
    </row>
    <row r="2356" spans="1:12" outlineLevel="2">
      <c r="A2356" s="191"/>
      <c r="B2356" s="12" t="str">
        <f>IFERROR(VLOOKUP(D2356,'[1]Перечень товаров'!$A$2:$I9525,2,0),"")</f>
        <v>т235</v>
      </c>
      <c r="C2356" s="12" t="str">
        <f>IFERROR(VLOOKUP(D2356,'[1]Перечень товаров'!$A$2:$I9525,3,0),"")</f>
        <v>Техника</v>
      </c>
      <c r="D2356" s="192" t="s">
        <v>742</v>
      </c>
      <c r="E2356" s="23"/>
      <c r="F2356" s="23"/>
      <c r="G2356" s="193">
        <v>1</v>
      </c>
      <c r="H2356" s="193"/>
      <c r="I2356" s="194"/>
      <c r="J2356" s="194"/>
      <c r="K2356" s="19"/>
      <c r="L2356" s="20"/>
    </row>
    <row r="2357" spans="1:12" outlineLevel="2">
      <c r="A2357" s="191"/>
      <c r="B2357" s="12" t="str">
        <f>IFERROR(VLOOKUP(D2357,'[1]Перечень товаров'!$A$2:$I9525,2,0),"")</f>
        <v>т8</v>
      </c>
      <c r="C2357" s="12" t="str">
        <f>IFERROR(VLOOKUP(D2357,'[1]Перечень товаров'!$A$2:$I9525,3,0),"")</f>
        <v xml:space="preserve">Техника </v>
      </c>
      <c r="D2357" s="192" t="s">
        <v>35</v>
      </c>
      <c r="E2357" s="23"/>
      <c r="F2357" s="23"/>
      <c r="G2357" s="193">
        <v>1</v>
      </c>
      <c r="H2357" s="193"/>
      <c r="I2357" s="194"/>
      <c r="J2357" s="194"/>
      <c r="K2357" s="19"/>
      <c r="L2357" s="20"/>
    </row>
    <row r="2358" spans="1:12" outlineLevel="2">
      <c r="A2358" s="191"/>
      <c r="B2358" s="12" t="str">
        <f>IFERROR(VLOOKUP(D2358,'[1]Перечень товаров'!$A$2:$I9525,2,0),"")</f>
        <v>т236</v>
      </c>
      <c r="C2358" s="12" t="str">
        <f>IFERROR(VLOOKUP(D2358,'[1]Перечень товаров'!$A$2:$I9525,3,0),"")</f>
        <v>Техника</v>
      </c>
      <c r="D2358" s="192" t="s">
        <v>743</v>
      </c>
      <c r="E2358" s="23"/>
      <c r="F2358" s="23"/>
      <c r="G2358" s="193">
        <v>1</v>
      </c>
      <c r="H2358" s="193"/>
      <c r="I2358" s="194"/>
      <c r="J2358" s="194"/>
      <c r="K2358" s="19"/>
      <c r="L2358" s="20"/>
    </row>
    <row r="2359" spans="1:12" outlineLevel="2">
      <c r="A2359" s="191"/>
      <c r="B2359" s="12" t="str">
        <f>IFERROR(VLOOKUP(D2359,'[1]Перечень товаров'!$A$2:$I9525,2,0),"")</f>
        <v>т237</v>
      </c>
      <c r="C2359" s="12" t="str">
        <f>IFERROR(VLOOKUP(D2359,'[1]Перечень товаров'!$A$2:$I9525,3,0),"")</f>
        <v>Техника</v>
      </c>
      <c r="D2359" s="192" t="s">
        <v>744</v>
      </c>
      <c r="E2359" s="23"/>
      <c r="F2359" s="23"/>
      <c r="G2359" s="193">
        <v>1</v>
      </c>
      <c r="H2359" s="193"/>
      <c r="I2359" s="194"/>
      <c r="J2359" s="194"/>
      <c r="K2359" s="19"/>
      <c r="L2359" s="20"/>
    </row>
    <row r="2360" spans="1:12" ht="31.5" outlineLevel="2">
      <c r="A2360" s="191"/>
      <c r="B2360" s="12" t="str">
        <f>IFERROR(VLOOKUP(D2360,'[1]Перечень товаров'!$A$2:$I9525,2,0),"")</f>
        <v>т238</v>
      </c>
      <c r="C2360" s="12" t="str">
        <f>IFERROR(VLOOKUP(D2360,'[1]Перечень товаров'!$A$2:$I9525,3,0),"")</f>
        <v>Техника</v>
      </c>
      <c r="D2360" s="192" t="s">
        <v>745</v>
      </c>
      <c r="E2360" s="23"/>
      <c r="F2360" s="23"/>
      <c r="G2360" s="193">
        <v>1</v>
      </c>
      <c r="H2360" s="193"/>
      <c r="I2360" s="194"/>
      <c r="J2360" s="194"/>
      <c r="K2360" s="19"/>
      <c r="L2360" s="20"/>
    </row>
    <row r="2361" spans="1:12" ht="15" outlineLevel="2">
      <c r="A2361" s="181"/>
      <c r="B2361" s="12" t="str">
        <f>IFERROR(VLOOKUP(D2361,'[1]Перечень товаров'!$A$2:$I9525,2,0),"")</f>
        <v/>
      </c>
      <c r="C2361" s="12" t="str">
        <f>IFERROR(VLOOKUP(D2361,'[1]Перечень товаров'!$A$2:$I9525,3,0),"")</f>
        <v/>
      </c>
      <c r="D2361" s="182" t="s">
        <v>19</v>
      </c>
      <c r="E2361" s="45"/>
      <c r="F2361" s="45"/>
      <c r="G2361" s="195"/>
      <c r="H2361" s="195"/>
      <c r="I2361" s="196"/>
      <c r="J2361" s="196"/>
      <c r="K2361" s="19"/>
      <c r="L2361" s="20"/>
    </row>
    <row r="2362" spans="1:12" ht="31.5" outlineLevel="2">
      <c r="A2362" s="191"/>
      <c r="B2362" s="12" t="str">
        <f>IFERROR(VLOOKUP(D2362,'[1]Перечень товаров'!$A$2:$I9525,2,0),"")</f>
        <v>м205</v>
      </c>
      <c r="C2362" s="12" t="str">
        <f>IFERROR(VLOOKUP(D2362,'[1]Перечень товаров'!$A$2:$I9525,3,0),"")</f>
        <v>Мебель</v>
      </c>
      <c r="D2362" s="192" t="s">
        <v>20</v>
      </c>
      <c r="E2362" s="23"/>
      <c r="F2362" s="23"/>
      <c r="G2362" s="193">
        <v>1</v>
      </c>
      <c r="H2362" s="193"/>
      <c r="I2362" s="194"/>
      <c r="J2362" s="194"/>
      <c r="K2362" s="19"/>
      <c r="L2362" s="20"/>
    </row>
    <row r="2363" spans="1:12" ht="31.5" outlineLevel="2">
      <c r="A2363" s="191"/>
      <c r="B2363" s="12" t="str">
        <f>IFERROR(VLOOKUP(D2363,'[1]Перечень товаров'!$A$2:$I9525,2,0),"")</f>
        <v>м206</v>
      </c>
      <c r="C2363" s="12" t="str">
        <f>IFERROR(VLOOKUP(D2363,'[1]Перечень товаров'!$A$2:$I9525,3,0),"")</f>
        <v>Мебель</v>
      </c>
      <c r="D2363" s="192" t="s">
        <v>746</v>
      </c>
      <c r="E2363" s="23"/>
      <c r="F2363" s="23"/>
      <c r="G2363" s="193">
        <v>1</v>
      </c>
      <c r="H2363" s="193"/>
      <c r="I2363" s="194"/>
      <c r="J2363" s="194"/>
      <c r="K2363" s="19"/>
      <c r="L2363" s="20"/>
    </row>
    <row r="2364" spans="1:12" ht="31.5" outlineLevel="2">
      <c r="A2364" s="191"/>
      <c r="B2364" s="12" t="str">
        <f>IFERROR(VLOOKUP(D2364,'[1]Перечень товаров'!$A$2:$I9525,2,0),"")</f>
        <v>м207</v>
      </c>
      <c r="C2364" s="12" t="str">
        <f>IFERROR(VLOOKUP(D2364,'[1]Перечень товаров'!$A$2:$I9525,3,0),"")</f>
        <v>Мебель</v>
      </c>
      <c r="D2364" s="192" t="s">
        <v>747</v>
      </c>
      <c r="E2364" s="23"/>
      <c r="F2364" s="23"/>
      <c r="G2364" s="193">
        <v>13</v>
      </c>
      <c r="H2364" s="193"/>
      <c r="I2364" s="194"/>
      <c r="J2364" s="194"/>
      <c r="K2364" s="19"/>
      <c r="L2364" s="20"/>
    </row>
    <row r="2365" spans="1:12" outlineLevel="2">
      <c r="A2365" s="191"/>
      <c r="B2365" s="12" t="str">
        <f>IFERROR(VLOOKUP(D2365,'[1]Перечень товаров'!$A$2:$I9525,2,0),"")</f>
        <v>м208</v>
      </c>
      <c r="C2365" s="12" t="str">
        <f>IFERROR(VLOOKUP(D2365,'[1]Перечень товаров'!$A$2:$I9525,3,0),"")</f>
        <v>Мебель</v>
      </c>
      <c r="D2365" s="192" t="s">
        <v>748</v>
      </c>
      <c r="E2365" s="23"/>
      <c r="F2365" s="23"/>
      <c r="G2365" s="193">
        <v>26</v>
      </c>
      <c r="H2365" s="193"/>
      <c r="I2365" s="194"/>
      <c r="J2365" s="194"/>
      <c r="K2365" s="19"/>
      <c r="L2365" s="20"/>
    </row>
    <row r="2366" spans="1:12" outlineLevel="2">
      <c r="A2366" s="191"/>
      <c r="B2366" s="12" t="str">
        <f>IFERROR(VLOOKUP(D2366,'[1]Перечень товаров'!$A$2:$I9525,2,0),"")</f>
        <v>м209</v>
      </c>
      <c r="C2366" s="12" t="str">
        <f>IFERROR(VLOOKUP(D2366,'[1]Перечень товаров'!$A$2:$I9525,3,0),"")</f>
        <v>Мебель</v>
      </c>
      <c r="D2366" s="192" t="s">
        <v>749</v>
      </c>
      <c r="E2366" s="23"/>
      <c r="F2366" s="23"/>
      <c r="G2366" s="193">
        <v>1</v>
      </c>
      <c r="H2366" s="193"/>
      <c r="I2366" s="194"/>
      <c r="J2366" s="194"/>
      <c r="K2366" s="19"/>
      <c r="L2366" s="20"/>
    </row>
    <row r="2367" spans="1:12" ht="47.25" outlineLevel="2">
      <c r="A2367" s="191"/>
      <c r="B2367" s="12" t="str">
        <f>IFERROR(VLOOKUP(D2367,'[1]Перечень товаров'!$A$2:$I9525,2,0),"")</f>
        <v>м210</v>
      </c>
      <c r="C2367" s="12" t="str">
        <f>IFERROR(VLOOKUP(D2367,'[1]Перечень товаров'!$A$2:$I9525,3,0),"")</f>
        <v>Мебель</v>
      </c>
      <c r="D2367" s="192" t="s">
        <v>750</v>
      </c>
      <c r="E2367" s="23"/>
      <c r="F2367" s="23"/>
      <c r="G2367" s="193">
        <v>2</v>
      </c>
      <c r="H2367" s="193"/>
      <c r="I2367" s="194"/>
      <c r="J2367" s="194"/>
      <c r="K2367" s="19"/>
      <c r="L2367" s="20"/>
    </row>
    <row r="2368" spans="1:12" ht="47.25" outlineLevel="2">
      <c r="A2368" s="191"/>
      <c r="B2368" s="12" t="str">
        <f>IFERROR(VLOOKUP(D2368,'[1]Перечень товаров'!$A$2:$I9525,2,0),"")</f>
        <v>п91</v>
      </c>
      <c r="C2368" s="12" t="str">
        <f>IFERROR(VLOOKUP(D2368,'[1]Перечень товаров'!$A$2:$I9525,3,0),"")</f>
        <v>Прочее</v>
      </c>
      <c r="D2368" s="192" t="s">
        <v>751</v>
      </c>
      <c r="E2368" s="23"/>
      <c r="F2368" s="23"/>
      <c r="G2368" s="193">
        <v>1</v>
      </c>
      <c r="H2368" s="193"/>
      <c r="I2368" s="194"/>
      <c r="J2368" s="194"/>
      <c r="K2368" s="19"/>
      <c r="L2368" s="20"/>
    </row>
    <row r="2369" spans="1:12" ht="15" outlineLevel="2">
      <c r="A2369" s="179"/>
      <c r="B2369" s="12" t="str">
        <f>IFERROR(VLOOKUP(D2369,'[1]Перечень товаров'!$A$2:$I9525,2,0),"")</f>
        <v/>
      </c>
      <c r="C2369" s="12" t="str">
        <f>IFERROR(VLOOKUP(D2369,'[1]Перечень товаров'!$A$2:$I9525,3,0),"")</f>
        <v/>
      </c>
      <c r="D2369" s="180" t="s">
        <v>752</v>
      </c>
      <c r="E2369" s="61"/>
      <c r="F2369" s="61"/>
      <c r="G2369" s="195"/>
      <c r="H2369" s="195"/>
      <c r="I2369" s="196"/>
      <c r="J2369" s="196"/>
      <c r="K2369" s="19"/>
      <c r="L2369" s="20"/>
    </row>
    <row r="2370" spans="1:12" ht="15" outlineLevel="2">
      <c r="A2370" s="179"/>
      <c r="B2370" s="12" t="str">
        <f>IFERROR(VLOOKUP(D2370,'[1]Перечень товаров'!$A$2:$I9525,2,0),"")</f>
        <v/>
      </c>
      <c r="C2370" s="12" t="str">
        <f>IFERROR(VLOOKUP(D2370,'[1]Перечень товаров'!$A$2:$I9525,3,0),"")</f>
        <v/>
      </c>
      <c r="D2370" s="180" t="s">
        <v>753</v>
      </c>
      <c r="E2370" s="61"/>
      <c r="F2370" s="61"/>
      <c r="G2370" s="195"/>
      <c r="H2370" s="195"/>
      <c r="I2370" s="196"/>
      <c r="J2370" s="196"/>
      <c r="K2370" s="19"/>
      <c r="L2370" s="20"/>
    </row>
    <row r="2371" spans="1:12" ht="31.5" outlineLevel="2">
      <c r="A2371" s="191"/>
      <c r="B2371" s="12" t="str">
        <f>IFERROR(VLOOKUP(D2371,'[1]Перечень товаров'!$A$2:$I9525,2,0),"")</f>
        <v>д13</v>
      </c>
      <c r="C2371" s="12" t="str">
        <f>IFERROR(VLOOKUP(D2371,'[1]Перечень товаров'!$A$2:$I9525,3,0),"")</f>
        <v>Дидактика</v>
      </c>
      <c r="D2371" s="192" t="s">
        <v>754</v>
      </c>
      <c r="E2371" s="23"/>
      <c r="F2371" s="23"/>
      <c r="G2371" s="193">
        <v>1</v>
      </c>
      <c r="H2371" s="193"/>
      <c r="I2371" s="194"/>
      <c r="J2371" s="194"/>
      <c r="K2371" s="19"/>
      <c r="L2371" s="20"/>
    </row>
    <row r="2372" spans="1:12" ht="47.25" outlineLevel="2">
      <c r="A2372" s="191"/>
      <c r="B2372" s="12" t="str">
        <f>IFERROR(VLOOKUP(D2372,'[1]Перечень товаров'!$A$2:$I9525,2,0),"")</f>
        <v>д14</v>
      </c>
      <c r="C2372" s="12" t="str">
        <f>IFERROR(VLOOKUP(D2372,'[1]Перечень товаров'!$A$2:$I9525,3,0),"")</f>
        <v>Дидактика</v>
      </c>
      <c r="D2372" s="192" t="s">
        <v>755</v>
      </c>
      <c r="E2372" s="23"/>
      <c r="F2372" s="23"/>
      <c r="G2372" s="193">
        <v>1</v>
      </c>
      <c r="H2372" s="193"/>
      <c r="I2372" s="194"/>
      <c r="J2372" s="194"/>
      <c r="K2372" s="19"/>
      <c r="L2372" s="20"/>
    </row>
    <row r="2373" spans="1:12" ht="31.5" outlineLevel="2">
      <c r="A2373" s="191"/>
      <c r="B2373" s="12" t="str">
        <f>IFERROR(VLOOKUP(D2373,'[1]Перечень товаров'!$A$2:$I9525,2,0),"")</f>
        <v>д15</v>
      </c>
      <c r="C2373" s="12" t="str">
        <f>IFERROR(VLOOKUP(D2373,'[1]Перечень товаров'!$A$2:$I9525,3,0),"")</f>
        <v>Дидактика</v>
      </c>
      <c r="D2373" s="192" t="s">
        <v>756</v>
      </c>
      <c r="E2373" s="23"/>
      <c r="F2373" s="23"/>
      <c r="G2373" s="193">
        <v>1</v>
      </c>
      <c r="H2373" s="193"/>
      <c r="I2373" s="194"/>
      <c r="J2373" s="194"/>
      <c r="K2373" s="19"/>
      <c r="L2373" s="20"/>
    </row>
    <row r="2374" spans="1:12" ht="30" outlineLevel="2">
      <c r="A2374" s="179"/>
      <c r="B2374" s="12" t="str">
        <f>IFERROR(VLOOKUP(D2374,'[1]Перечень товаров'!$A$2:$I9525,2,0),"")</f>
        <v/>
      </c>
      <c r="C2374" s="12" t="str">
        <f>IFERROR(VLOOKUP(D2374,'[1]Перечень товаров'!$A$2:$I9525,3,0),"")</f>
        <v/>
      </c>
      <c r="D2374" s="180" t="s">
        <v>757</v>
      </c>
      <c r="E2374" s="61"/>
      <c r="F2374" s="61"/>
      <c r="G2374" s="195"/>
      <c r="H2374" s="195"/>
      <c r="I2374" s="196"/>
      <c r="J2374" s="196"/>
      <c r="K2374" s="19"/>
      <c r="L2374" s="20"/>
    </row>
    <row r="2375" spans="1:12" outlineLevel="2">
      <c r="A2375" s="191"/>
      <c r="B2375" s="12" t="str">
        <f>IFERROR(VLOOKUP(D2375,'[1]Перечень товаров'!$A$2:$I9525,2,0),"")</f>
        <v>п92</v>
      </c>
      <c r="C2375" s="12" t="str">
        <f>IFERROR(VLOOKUP(D2375,'[1]Перечень товаров'!$A$2:$I9525,3,0),"")</f>
        <v>Прочее</v>
      </c>
      <c r="D2375" s="192" t="s">
        <v>758</v>
      </c>
      <c r="E2375" s="23"/>
      <c r="F2375" s="23"/>
      <c r="G2375" s="193">
        <v>13</v>
      </c>
      <c r="H2375" s="193"/>
      <c r="I2375" s="194"/>
      <c r="J2375" s="194"/>
      <c r="K2375" s="19"/>
      <c r="L2375" s="20"/>
    </row>
    <row r="2376" spans="1:12" ht="31.5" outlineLevel="2">
      <c r="A2376" s="191"/>
      <c r="B2376" s="12" t="str">
        <f>IFERROR(VLOOKUP(D2376,'[1]Перечень товаров'!$A$2:$I9525,2,0),"")</f>
        <v>д16</v>
      </c>
      <c r="C2376" s="12" t="str">
        <f>IFERROR(VLOOKUP(D2376,'[1]Перечень товаров'!$A$2:$I9525,3,0),"")</f>
        <v>Дидактика</v>
      </c>
      <c r="D2376" s="192" t="s">
        <v>759</v>
      </c>
      <c r="E2376" s="23"/>
      <c r="F2376" s="23"/>
      <c r="G2376" s="193">
        <v>1</v>
      </c>
      <c r="H2376" s="193"/>
      <c r="I2376" s="194"/>
      <c r="J2376" s="194"/>
      <c r="K2376" s="19"/>
      <c r="L2376" s="20"/>
    </row>
    <row r="2377" spans="1:12" ht="31.5" outlineLevel="2">
      <c r="A2377" s="191"/>
      <c r="B2377" s="12" t="str">
        <f>IFERROR(VLOOKUP(D2377,'[1]Перечень товаров'!$A$2:$I9525,2,0),"")</f>
        <v>д17</v>
      </c>
      <c r="C2377" s="12" t="str">
        <f>IFERROR(VLOOKUP(D2377,'[1]Перечень товаров'!$A$2:$I9525,3,0),"")</f>
        <v>Дидактика</v>
      </c>
      <c r="D2377" s="192" t="s">
        <v>760</v>
      </c>
      <c r="E2377" s="23"/>
      <c r="F2377" s="23"/>
      <c r="G2377" s="193">
        <v>1</v>
      </c>
      <c r="H2377" s="193"/>
      <c r="I2377" s="194"/>
      <c r="J2377" s="194"/>
      <c r="K2377" s="19"/>
      <c r="L2377" s="20"/>
    </row>
    <row r="2378" spans="1:12" ht="31.5" outlineLevel="2">
      <c r="A2378" s="191"/>
      <c r="B2378" s="12" t="str">
        <f>IFERROR(VLOOKUP(D2378,'[1]Перечень товаров'!$A$2:$I9525,2,0),"")</f>
        <v>д18</v>
      </c>
      <c r="C2378" s="12" t="str">
        <f>IFERROR(VLOOKUP(D2378,'[1]Перечень товаров'!$A$2:$I9525,3,0),"")</f>
        <v>Дидактика</v>
      </c>
      <c r="D2378" s="192" t="s">
        <v>761</v>
      </c>
      <c r="E2378" s="23"/>
      <c r="F2378" s="23"/>
      <c r="G2378" s="193">
        <v>13</v>
      </c>
      <c r="H2378" s="193"/>
      <c r="I2378" s="194"/>
      <c r="J2378" s="194"/>
      <c r="K2378" s="19"/>
      <c r="L2378" s="20"/>
    </row>
    <row r="2379" spans="1:12" ht="31.5" outlineLevel="2">
      <c r="A2379" s="191"/>
      <c r="B2379" s="12" t="str">
        <f>IFERROR(VLOOKUP(D2379,'[1]Перечень товаров'!$A$2:$I9525,2,0),"")</f>
        <v>д19</v>
      </c>
      <c r="C2379" s="12" t="str">
        <f>IFERROR(VLOOKUP(D2379,'[1]Перечень товаров'!$A$2:$I9525,3,0),"")</f>
        <v>Дидактика</v>
      </c>
      <c r="D2379" s="192" t="s">
        <v>762</v>
      </c>
      <c r="E2379" s="23"/>
      <c r="F2379" s="23"/>
      <c r="G2379" s="193">
        <v>1</v>
      </c>
      <c r="H2379" s="193"/>
      <c r="I2379" s="194"/>
      <c r="J2379" s="194"/>
      <c r="K2379" s="19"/>
      <c r="L2379" s="20"/>
    </row>
    <row r="2380" spans="1:12" ht="31.5" outlineLevel="2">
      <c r="A2380" s="191"/>
      <c r="B2380" s="12" t="str">
        <f>IFERROR(VLOOKUP(D2380,'[1]Перечень товаров'!$A$2:$I9525,2,0),"")</f>
        <v>д20</v>
      </c>
      <c r="C2380" s="12" t="str">
        <f>IFERROR(VLOOKUP(D2380,'[1]Перечень товаров'!$A$2:$I9525,3,0),"")</f>
        <v>Дидактика</v>
      </c>
      <c r="D2380" s="192" t="s">
        <v>763</v>
      </c>
      <c r="E2380" s="23"/>
      <c r="F2380" s="23"/>
      <c r="G2380" s="193">
        <v>1</v>
      </c>
      <c r="H2380" s="193"/>
      <c r="I2380" s="194"/>
      <c r="J2380" s="194"/>
      <c r="K2380" s="19"/>
      <c r="L2380" s="20"/>
    </row>
    <row r="2381" spans="1:12" ht="63" outlineLevel="2">
      <c r="A2381" s="191"/>
      <c r="B2381" s="12" t="str">
        <f>IFERROR(VLOOKUP(D2381,'[1]Перечень товаров'!$A$2:$I9525,2,0),"")</f>
        <v>д21</v>
      </c>
      <c r="C2381" s="12" t="str">
        <f>IFERROR(VLOOKUP(D2381,'[1]Перечень товаров'!$A$2:$I9525,3,0),"")</f>
        <v>Дидактика</v>
      </c>
      <c r="D2381" s="192" t="s">
        <v>764</v>
      </c>
      <c r="E2381" s="23"/>
      <c r="F2381" s="23"/>
      <c r="G2381" s="193">
        <v>1</v>
      </c>
      <c r="H2381" s="193"/>
      <c r="I2381" s="194"/>
      <c r="J2381" s="194"/>
      <c r="K2381" s="19"/>
      <c r="L2381" s="20"/>
    </row>
    <row r="2382" spans="1:12" ht="47.25" outlineLevel="2">
      <c r="A2382" s="191"/>
      <c r="B2382" s="12" t="str">
        <f>IFERROR(VLOOKUP(D2382,'[1]Перечень товаров'!$A$2:$I9525,2,0),"")</f>
        <v>д22</v>
      </c>
      <c r="C2382" s="12" t="str">
        <f>IFERROR(VLOOKUP(D2382,'[1]Перечень товаров'!$A$2:$I9525,3,0),"")</f>
        <v>Дидактика</v>
      </c>
      <c r="D2382" s="192" t="s">
        <v>765</v>
      </c>
      <c r="E2382" s="23"/>
      <c r="F2382" s="23"/>
      <c r="G2382" s="193">
        <v>1</v>
      </c>
      <c r="H2382" s="193"/>
      <c r="I2382" s="194"/>
      <c r="J2382" s="194"/>
      <c r="K2382" s="19"/>
      <c r="L2382" s="20"/>
    </row>
    <row r="2383" spans="1:12" ht="31.5" outlineLevel="2">
      <c r="A2383" s="191"/>
      <c r="B2383" s="12" t="str">
        <f>IFERROR(VLOOKUP(D2383,'[1]Перечень товаров'!$A$2:$I9525,2,0),"")</f>
        <v>д23</v>
      </c>
      <c r="C2383" s="12" t="str">
        <f>IFERROR(VLOOKUP(D2383,'[1]Перечень товаров'!$A$2:$I9525,3,0),"")</f>
        <v>Дидактика</v>
      </c>
      <c r="D2383" s="192" t="s">
        <v>766</v>
      </c>
      <c r="E2383" s="23"/>
      <c r="F2383" s="23"/>
      <c r="G2383" s="193">
        <v>13</v>
      </c>
      <c r="H2383" s="193"/>
      <c r="I2383" s="194"/>
      <c r="J2383" s="194"/>
      <c r="K2383" s="19"/>
      <c r="L2383" s="20"/>
    </row>
    <row r="2384" spans="1:12" ht="78.75" outlineLevel="2">
      <c r="A2384" s="191"/>
      <c r="B2384" s="12" t="str">
        <f>IFERROR(VLOOKUP(D2384,'[1]Перечень товаров'!$A$2:$I9525,2,0),"")</f>
        <v>д24</v>
      </c>
      <c r="C2384" s="12" t="str">
        <f>IFERROR(VLOOKUP(D2384,'[1]Перечень товаров'!$A$2:$I9525,3,0),"")</f>
        <v>Дидактика</v>
      </c>
      <c r="D2384" s="192" t="s">
        <v>767</v>
      </c>
      <c r="E2384" s="23"/>
      <c r="F2384" s="23"/>
      <c r="G2384" s="193">
        <v>1</v>
      </c>
      <c r="H2384" s="193"/>
      <c r="I2384" s="194"/>
      <c r="J2384" s="194"/>
      <c r="K2384" s="19"/>
      <c r="L2384" s="20"/>
    </row>
    <row r="2385" spans="1:12" ht="31.5" outlineLevel="2">
      <c r="A2385" s="191"/>
      <c r="B2385" s="12" t="str">
        <f>IFERROR(VLOOKUP(D2385,'[1]Перечень товаров'!$A$2:$I9525,2,0),"")</f>
        <v>д25</v>
      </c>
      <c r="C2385" s="12" t="str">
        <f>IFERROR(VLOOKUP(D2385,'[1]Перечень товаров'!$A$2:$I9525,3,0),"")</f>
        <v>Дидактика</v>
      </c>
      <c r="D2385" s="192" t="s">
        <v>768</v>
      </c>
      <c r="E2385" s="23"/>
      <c r="F2385" s="23"/>
      <c r="G2385" s="193">
        <v>1</v>
      </c>
      <c r="H2385" s="193"/>
      <c r="I2385" s="194"/>
      <c r="J2385" s="194"/>
      <c r="K2385" s="19"/>
      <c r="L2385" s="20"/>
    </row>
    <row r="2386" spans="1:12" outlineLevel="2">
      <c r="A2386" s="191"/>
      <c r="B2386" s="12" t="str">
        <f>IFERROR(VLOOKUP(D2386,'[1]Перечень товаров'!$A$2:$I9525,2,0),"")</f>
        <v>п92</v>
      </c>
      <c r="C2386" s="12" t="str">
        <f>IFERROR(VLOOKUP(D2386,'[1]Перечень товаров'!$A$2:$I9525,3,0),"")</f>
        <v>Прочее</v>
      </c>
      <c r="D2386" s="192" t="s">
        <v>769</v>
      </c>
      <c r="E2386" s="23"/>
      <c r="F2386" s="23"/>
      <c r="G2386" s="193">
        <v>13</v>
      </c>
      <c r="H2386" s="193"/>
      <c r="I2386" s="194"/>
      <c r="J2386" s="194"/>
      <c r="K2386" s="19"/>
      <c r="L2386" s="20"/>
    </row>
    <row r="2387" spans="1:12" ht="15" outlineLevel="2">
      <c r="A2387" s="179"/>
      <c r="B2387" s="12" t="str">
        <f>IFERROR(VLOOKUP(D2387,'[1]Перечень товаров'!$A$2:$I9525,2,0),"")</f>
        <v/>
      </c>
      <c r="C2387" s="12" t="str">
        <f>IFERROR(VLOOKUP(D2387,'[1]Перечень товаров'!$A$2:$I9525,3,0),"")</f>
        <v/>
      </c>
      <c r="D2387" s="180" t="s">
        <v>770</v>
      </c>
      <c r="E2387" s="61"/>
      <c r="F2387" s="61"/>
      <c r="G2387" s="195"/>
      <c r="H2387" s="195"/>
      <c r="I2387" s="196"/>
      <c r="J2387" s="196"/>
      <c r="K2387" s="19"/>
      <c r="L2387" s="20"/>
    </row>
    <row r="2388" spans="1:12" ht="31.5" outlineLevel="2">
      <c r="A2388" s="191"/>
      <c r="B2388" s="12" t="str">
        <f>IFERROR(VLOOKUP(D2388,'[1]Перечень товаров'!$A$2:$I9525,2,0),"")</f>
        <v>д26</v>
      </c>
      <c r="C2388" s="12" t="str">
        <f>IFERROR(VLOOKUP(D2388,'[1]Перечень товаров'!$A$2:$I9525,3,0),"")</f>
        <v>Дидактика</v>
      </c>
      <c r="D2388" s="192" t="s">
        <v>771</v>
      </c>
      <c r="E2388" s="23"/>
      <c r="F2388" s="23"/>
      <c r="G2388" s="193">
        <v>1</v>
      </c>
      <c r="H2388" s="193"/>
      <c r="I2388" s="194"/>
      <c r="J2388" s="194"/>
      <c r="K2388" s="19"/>
      <c r="L2388" s="20"/>
    </row>
    <row r="2389" spans="1:12" ht="31.5" outlineLevel="2">
      <c r="A2389" s="191"/>
      <c r="B2389" s="12" t="str">
        <f>IFERROR(VLOOKUP(D2389,'[1]Перечень товаров'!$A$2:$I9525,2,0),"")</f>
        <v>д27</v>
      </c>
      <c r="C2389" s="12" t="str">
        <f>IFERROR(VLOOKUP(D2389,'[1]Перечень товаров'!$A$2:$I9525,3,0),"")</f>
        <v>Дидактика</v>
      </c>
      <c r="D2389" s="192" t="s">
        <v>772</v>
      </c>
      <c r="E2389" s="23"/>
      <c r="F2389" s="23"/>
      <c r="G2389" s="193">
        <v>1</v>
      </c>
      <c r="H2389" s="193"/>
      <c r="I2389" s="194"/>
      <c r="J2389" s="194"/>
      <c r="K2389" s="19"/>
      <c r="L2389" s="20"/>
    </row>
    <row r="2390" spans="1:12" ht="47.25" outlineLevel="2">
      <c r="A2390" s="191"/>
      <c r="B2390" s="12" t="str">
        <f>IFERROR(VLOOKUP(D2390,'[1]Перечень товаров'!$A$2:$I9525,2,0),"")</f>
        <v>д28</v>
      </c>
      <c r="C2390" s="12" t="str">
        <f>IFERROR(VLOOKUP(D2390,'[1]Перечень товаров'!$A$2:$I9525,3,0),"")</f>
        <v>Дидактика</v>
      </c>
      <c r="D2390" s="192" t="s">
        <v>773</v>
      </c>
      <c r="E2390" s="23"/>
      <c r="F2390" s="23"/>
      <c r="G2390" s="193">
        <v>1</v>
      </c>
      <c r="H2390" s="193"/>
      <c r="I2390" s="194"/>
      <c r="J2390" s="194"/>
      <c r="K2390" s="19"/>
      <c r="L2390" s="20"/>
    </row>
    <row r="2391" spans="1:12" ht="31.5" outlineLevel="2">
      <c r="A2391" s="191"/>
      <c r="B2391" s="12" t="str">
        <f>IFERROR(VLOOKUP(D2391,'[1]Перечень товаров'!$A$2:$I9525,2,0),"")</f>
        <v>д29</v>
      </c>
      <c r="C2391" s="12" t="str">
        <f>IFERROR(VLOOKUP(D2391,'[1]Перечень товаров'!$A$2:$I9525,3,0),"")</f>
        <v>Дидактика</v>
      </c>
      <c r="D2391" s="192" t="s">
        <v>774</v>
      </c>
      <c r="E2391" s="23"/>
      <c r="F2391" s="23"/>
      <c r="G2391" s="193">
        <v>1</v>
      </c>
      <c r="H2391" s="193"/>
      <c r="I2391" s="194"/>
      <c r="J2391" s="194"/>
      <c r="K2391" s="19"/>
      <c r="L2391" s="20"/>
    </row>
    <row r="2392" spans="1:12" ht="31.5" outlineLevel="2">
      <c r="A2392" s="191"/>
      <c r="B2392" s="12" t="str">
        <f>IFERROR(VLOOKUP(D2392,'[1]Перечень товаров'!$A$2:$I9525,2,0),"")</f>
        <v>д30</v>
      </c>
      <c r="C2392" s="12" t="str">
        <f>IFERROR(VLOOKUP(D2392,'[1]Перечень товаров'!$A$2:$I9525,3,0),"")</f>
        <v>Дидактика</v>
      </c>
      <c r="D2392" s="192" t="s">
        <v>775</v>
      </c>
      <c r="E2392" s="23"/>
      <c r="F2392" s="23"/>
      <c r="G2392" s="193">
        <v>1</v>
      </c>
      <c r="H2392" s="193"/>
      <c r="I2392" s="194"/>
      <c r="J2392" s="194"/>
      <c r="K2392" s="19"/>
      <c r="L2392" s="20"/>
    </row>
    <row r="2393" spans="1:12" ht="31.5" outlineLevel="2">
      <c r="A2393" s="191"/>
      <c r="B2393" s="12" t="str">
        <f>IFERROR(VLOOKUP(D2393,'[1]Перечень товаров'!$A$2:$I9525,2,0),"")</f>
        <v>д31</v>
      </c>
      <c r="C2393" s="12" t="str">
        <f>IFERROR(VLOOKUP(D2393,'[1]Перечень товаров'!$A$2:$I9525,3,0),"")</f>
        <v>Дидактика</v>
      </c>
      <c r="D2393" s="192" t="s">
        <v>776</v>
      </c>
      <c r="E2393" s="23"/>
      <c r="F2393" s="23"/>
      <c r="G2393" s="193">
        <v>1</v>
      </c>
      <c r="H2393" s="193"/>
      <c r="I2393" s="194"/>
      <c r="J2393" s="194"/>
      <c r="K2393" s="19"/>
      <c r="L2393" s="20"/>
    </row>
    <row r="2394" spans="1:12" ht="31.5" outlineLevel="2">
      <c r="A2394" s="191"/>
      <c r="B2394" s="12" t="str">
        <f>IFERROR(VLOOKUP(D2394,'[1]Перечень товаров'!$A$2:$I9525,2,0),"")</f>
        <v>д32</v>
      </c>
      <c r="C2394" s="12" t="str">
        <f>IFERROR(VLOOKUP(D2394,'[1]Перечень товаров'!$A$2:$I9525,3,0),"")</f>
        <v>Дидактика</v>
      </c>
      <c r="D2394" s="192" t="s">
        <v>777</v>
      </c>
      <c r="E2394" s="23"/>
      <c r="F2394" s="23"/>
      <c r="G2394" s="193">
        <v>1</v>
      </c>
      <c r="H2394" s="193"/>
      <c r="I2394" s="194"/>
      <c r="J2394" s="194"/>
      <c r="K2394" s="19"/>
      <c r="L2394" s="20"/>
    </row>
    <row r="2395" spans="1:12" ht="47.25" outlineLevel="2">
      <c r="A2395" s="191"/>
      <c r="B2395" s="12" t="str">
        <f>IFERROR(VLOOKUP(D2395,'[1]Перечень товаров'!$A$2:$I9525,2,0),"")</f>
        <v>д33</v>
      </c>
      <c r="C2395" s="12" t="str">
        <f>IFERROR(VLOOKUP(D2395,'[1]Перечень товаров'!$A$2:$I9525,3,0),"")</f>
        <v>Дидактика</v>
      </c>
      <c r="D2395" s="192" t="s">
        <v>778</v>
      </c>
      <c r="E2395" s="23"/>
      <c r="F2395" s="23"/>
      <c r="G2395" s="193">
        <v>1</v>
      </c>
      <c r="H2395" s="193"/>
      <c r="I2395" s="194"/>
      <c r="J2395" s="194"/>
      <c r="K2395" s="19"/>
      <c r="L2395" s="20"/>
    </row>
    <row r="2396" spans="1:12" ht="31.5" outlineLevel="2">
      <c r="A2396" s="191"/>
      <c r="B2396" s="12" t="str">
        <f>IFERROR(VLOOKUP(D2396,'[1]Перечень товаров'!$A$2:$I9525,2,0),"")</f>
        <v>д34</v>
      </c>
      <c r="C2396" s="12" t="str">
        <f>IFERROR(VLOOKUP(D2396,'[1]Перечень товаров'!$A$2:$I9525,3,0),"")</f>
        <v>Дидактика</v>
      </c>
      <c r="D2396" s="192" t="s">
        <v>779</v>
      </c>
      <c r="E2396" s="23"/>
      <c r="F2396" s="23"/>
      <c r="G2396" s="193">
        <v>1</v>
      </c>
      <c r="H2396" s="193"/>
      <c r="I2396" s="194"/>
      <c r="J2396" s="194"/>
      <c r="K2396" s="19"/>
      <c r="L2396" s="20"/>
    </row>
    <row r="2397" spans="1:12" ht="31.5" outlineLevel="2">
      <c r="A2397" s="191"/>
      <c r="B2397" s="12" t="str">
        <f>IFERROR(VLOOKUP(D2397,'[1]Перечень товаров'!$A$2:$I9525,2,0),"")</f>
        <v>д35</v>
      </c>
      <c r="C2397" s="12" t="str">
        <f>IFERROR(VLOOKUP(D2397,'[1]Перечень товаров'!$A$2:$I9525,3,0),"")</f>
        <v>Дидактика</v>
      </c>
      <c r="D2397" s="192" t="s">
        <v>780</v>
      </c>
      <c r="E2397" s="23"/>
      <c r="F2397" s="23"/>
      <c r="G2397" s="193">
        <v>1</v>
      </c>
      <c r="H2397" s="193"/>
      <c r="I2397" s="194"/>
      <c r="J2397" s="194"/>
      <c r="K2397" s="19"/>
      <c r="L2397" s="20"/>
    </row>
    <row r="2398" spans="1:12" ht="31.5" outlineLevel="2">
      <c r="A2398" s="191"/>
      <c r="B2398" s="12" t="str">
        <f>IFERROR(VLOOKUP(D2398,'[1]Перечень товаров'!$A$2:$I9525,2,0),"")</f>
        <v>д36</v>
      </c>
      <c r="C2398" s="12" t="str">
        <f>IFERROR(VLOOKUP(D2398,'[1]Перечень товаров'!$A$2:$I9525,3,0),"")</f>
        <v>Дидактика</v>
      </c>
      <c r="D2398" s="192" t="s">
        <v>781</v>
      </c>
      <c r="E2398" s="23"/>
      <c r="F2398" s="23"/>
      <c r="G2398" s="193">
        <v>1</v>
      </c>
      <c r="H2398" s="193"/>
      <c r="I2398" s="194"/>
      <c r="J2398" s="194"/>
      <c r="K2398" s="19"/>
      <c r="L2398" s="20"/>
    </row>
    <row r="2399" spans="1:12" outlineLevel="2">
      <c r="A2399" s="191"/>
      <c r="B2399" s="12" t="str">
        <f>IFERROR(VLOOKUP(D2399,'[1]Перечень товаров'!$A$2:$I9525,2,0),"")</f>
        <v>д37</v>
      </c>
      <c r="C2399" s="12" t="str">
        <f>IFERROR(VLOOKUP(D2399,'[1]Перечень товаров'!$A$2:$I9525,3,0),"")</f>
        <v>Дидактика</v>
      </c>
      <c r="D2399" s="192" t="s">
        <v>782</v>
      </c>
      <c r="E2399" s="23"/>
      <c r="F2399" s="23"/>
      <c r="G2399" s="193">
        <v>1</v>
      </c>
      <c r="H2399" s="193"/>
      <c r="I2399" s="194"/>
      <c r="J2399" s="194"/>
      <c r="K2399" s="19"/>
      <c r="L2399" s="20"/>
    </row>
    <row r="2400" spans="1:12" ht="31.5" outlineLevel="2">
      <c r="A2400" s="191"/>
      <c r="B2400" s="12" t="str">
        <f>IFERROR(VLOOKUP(D2400,'[1]Перечень товаров'!$A$2:$I9525,2,0),"")</f>
        <v>д38</v>
      </c>
      <c r="C2400" s="12" t="str">
        <f>IFERROR(VLOOKUP(D2400,'[1]Перечень товаров'!$A$2:$I9525,3,0),"")</f>
        <v>Дидактика</v>
      </c>
      <c r="D2400" s="192" t="s">
        <v>783</v>
      </c>
      <c r="E2400" s="23"/>
      <c r="F2400" s="23"/>
      <c r="G2400" s="193">
        <v>1</v>
      </c>
      <c r="H2400" s="193"/>
      <c r="I2400" s="194"/>
      <c r="J2400" s="194"/>
      <c r="K2400" s="19"/>
      <c r="L2400" s="20"/>
    </row>
    <row r="2401" spans="1:12" outlineLevel="2">
      <c r="A2401" s="191"/>
      <c r="B2401" s="12" t="str">
        <f>IFERROR(VLOOKUP(D2401,'[1]Перечень товаров'!$A$2:$I9525,2,0),"")</f>
        <v>д39</v>
      </c>
      <c r="C2401" s="12" t="str">
        <f>IFERROR(VLOOKUP(D2401,'[1]Перечень товаров'!$A$2:$I9525,3,0),"")</f>
        <v>Дидактика</v>
      </c>
      <c r="D2401" s="192" t="s">
        <v>784</v>
      </c>
      <c r="E2401" s="23"/>
      <c r="F2401" s="23"/>
      <c r="G2401" s="193">
        <v>1</v>
      </c>
      <c r="H2401" s="193"/>
      <c r="I2401" s="194"/>
      <c r="J2401" s="194"/>
      <c r="K2401" s="19"/>
      <c r="L2401" s="20"/>
    </row>
    <row r="2402" spans="1:12" ht="31.5" outlineLevel="2">
      <c r="A2402" s="191"/>
      <c r="B2402" s="12" t="str">
        <f>IFERROR(VLOOKUP(D2402,'[1]Перечень товаров'!$A$2:$I9525,2,0),"")</f>
        <v>д40</v>
      </c>
      <c r="C2402" s="12" t="str">
        <f>IFERROR(VLOOKUP(D2402,'[1]Перечень товаров'!$A$2:$I9525,3,0),"")</f>
        <v>Дидактика</v>
      </c>
      <c r="D2402" s="192" t="s">
        <v>785</v>
      </c>
      <c r="E2402" s="23"/>
      <c r="F2402" s="23"/>
      <c r="G2402" s="193">
        <v>1</v>
      </c>
      <c r="H2402" s="193"/>
      <c r="I2402" s="194"/>
      <c r="J2402" s="194"/>
      <c r="K2402" s="19"/>
      <c r="L2402" s="20"/>
    </row>
    <row r="2403" spans="1:12" ht="47.25" outlineLevel="2">
      <c r="A2403" s="191"/>
      <c r="B2403" s="12" t="str">
        <f>IFERROR(VLOOKUP(D2403,'[1]Перечень товаров'!$A$2:$I9525,2,0),"")</f>
        <v>д41</v>
      </c>
      <c r="C2403" s="12" t="str">
        <f>IFERROR(VLOOKUP(D2403,'[1]Перечень товаров'!$A$2:$I9525,3,0),"")</f>
        <v>Дидактика</v>
      </c>
      <c r="D2403" s="192" t="s">
        <v>786</v>
      </c>
      <c r="E2403" s="23"/>
      <c r="F2403" s="23"/>
      <c r="G2403" s="193">
        <v>1</v>
      </c>
      <c r="H2403" s="193"/>
      <c r="I2403" s="194"/>
      <c r="J2403" s="194"/>
      <c r="K2403" s="19"/>
      <c r="L2403" s="20"/>
    </row>
    <row r="2404" spans="1:12" ht="31.5" outlineLevel="2">
      <c r="A2404" s="191"/>
      <c r="B2404" s="12" t="str">
        <f>IFERROR(VLOOKUP(D2404,'[1]Перечень товаров'!$A$2:$I9525,2,0),"")</f>
        <v>д42</v>
      </c>
      <c r="C2404" s="12" t="str">
        <f>IFERROR(VLOOKUP(D2404,'[1]Перечень товаров'!$A$2:$I9525,3,0),"")</f>
        <v>Дидактика</v>
      </c>
      <c r="D2404" s="192" t="s">
        <v>787</v>
      </c>
      <c r="E2404" s="23"/>
      <c r="F2404" s="23"/>
      <c r="G2404" s="193">
        <v>1</v>
      </c>
      <c r="H2404" s="193"/>
      <c r="I2404" s="194"/>
      <c r="J2404" s="194"/>
      <c r="K2404" s="19"/>
      <c r="L2404" s="20"/>
    </row>
    <row r="2405" spans="1:12" ht="31.5" outlineLevel="2">
      <c r="A2405" s="191"/>
      <c r="B2405" s="12" t="str">
        <f>IFERROR(VLOOKUP(D2405,'[1]Перечень товаров'!$A$2:$I9525,2,0),"")</f>
        <v>д43</v>
      </c>
      <c r="C2405" s="12" t="str">
        <f>IFERROR(VLOOKUP(D2405,'[1]Перечень товаров'!$A$2:$I9525,3,0),"")</f>
        <v>Дидактика</v>
      </c>
      <c r="D2405" s="192" t="s">
        <v>788</v>
      </c>
      <c r="E2405" s="23"/>
      <c r="F2405" s="23"/>
      <c r="G2405" s="193">
        <v>1</v>
      </c>
      <c r="H2405" s="193"/>
      <c r="I2405" s="194"/>
      <c r="J2405" s="194"/>
      <c r="K2405" s="19"/>
      <c r="L2405" s="20"/>
    </row>
    <row r="2406" spans="1:12" ht="31.5" outlineLevel="2">
      <c r="A2406" s="191"/>
      <c r="B2406" s="12" t="str">
        <f>IFERROR(VLOOKUP(D2406,'[1]Перечень товаров'!$A$2:$I9525,2,0),"")</f>
        <v>д44</v>
      </c>
      <c r="C2406" s="12" t="str">
        <f>IFERROR(VLOOKUP(D2406,'[1]Перечень товаров'!$A$2:$I9525,3,0),"")</f>
        <v>Дидактика</v>
      </c>
      <c r="D2406" s="192" t="s">
        <v>789</v>
      </c>
      <c r="E2406" s="23"/>
      <c r="F2406" s="23"/>
      <c r="G2406" s="193">
        <v>1</v>
      </c>
      <c r="H2406" s="193"/>
      <c r="I2406" s="194"/>
      <c r="J2406" s="194"/>
      <c r="K2406" s="19"/>
      <c r="L2406" s="20"/>
    </row>
    <row r="2407" spans="1:12" ht="47.25" outlineLevel="2">
      <c r="A2407" s="191"/>
      <c r="B2407" s="12" t="str">
        <f>IFERROR(VLOOKUP(D2407,'[1]Перечень товаров'!$A$2:$I9525,2,0),"")</f>
        <v>д45</v>
      </c>
      <c r="C2407" s="12" t="str">
        <f>IFERROR(VLOOKUP(D2407,'[1]Перечень товаров'!$A$2:$I9525,3,0),"")</f>
        <v>Дидактика</v>
      </c>
      <c r="D2407" s="192" t="s">
        <v>790</v>
      </c>
      <c r="E2407" s="23"/>
      <c r="F2407" s="23"/>
      <c r="G2407" s="193">
        <v>1</v>
      </c>
      <c r="H2407" s="193"/>
      <c r="I2407" s="194"/>
      <c r="J2407" s="194"/>
      <c r="K2407" s="19"/>
      <c r="L2407" s="20"/>
    </row>
    <row r="2408" spans="1:12" ht="31.5" outlineLevel="2">
      <c r="A2408" s="191"/>
      <c r="B2408" s="12" t="str">
        <f>IFERROR(VLOOKUP(D2408,'[1]Перечень товаров'!$A$2:$I9525,2,0),"")</f>
        <v>д46</v>
      </c>
      <c r="C2408" s="12" t="str">
        <f>IFERROR(VLOOKUP(D2408,'[1]Перечень товаров'!$A$2:$I9525,3,0),"")</f>
        <v>Дидактика</v>
      </c>
      <c r="D2408" s="192" t="s">
        <v>791</v>
      </c>
      <c r="E2408" s="23"/>
      <c r="F2408" s="23"/>
      <c r="G2408" s="193">
        <v>1</v>
      </c>
      <c r="H2408" s="193"/>
      <c r="I2408" s="194"/>
      <c r="J2408" s="194"/>
      <c r="K2408" s="19"/>
      <c r="L2408" s="20"/>
    </row>
    <row r="2409" spans="1:12" ht="31.5" outlineLevel="2">
      <c r="A2409" s="191"/>
      <c r="B2409" s="12" t="str">
        <f>IFERROR(VLOOKUP(D2409,'[1]Перечень товаров'!$A$2:$I9525,2,0),"")</f>
        <v>д47</v>
      </c>
      <c r="C2409" s="12" t="str">
        <f>IFERROR(VLOOKUP(D2409,'[1]Перечень товаров'!$A$2:$I9525,3,0),"")</f>
        <v>Дидактика</v>
      </c>
      <c r="D2409" s="192" t="s">
        <v>792</v>
      </c>
      <c r="E2409" s="23"/>
      <c r="F2409" s="23"/>
      <c r="G2409" s="193">
        <v>1</v>
      </c>
      <c r="H2409" s="193"/>
      <c r="I2409" s="194"/>
      <c r="J2409" s="194"/>
      <c r="K2409" s="19"/>
      <c r="L2409" s="20"/>
    </row>
    <row r="2410" spans="1:12" ht="31.5" outlineLevel="2">
      <c r="A2410" s="191"/>
      <c r="B2410" s="12" t="str">
        <f>IFERROR(VLOOKUP(D2410,'[1]Перечень товаров'!$A$2:$I9525,2,0),"")</f>
        <v>д48</v>
      </c>
      <c r="C2410" s="12" t="str">
        <f>IFERROR(VLOOKUP(D2410,'[1]Перечень товаров'!$A$2:$I9525,3,0),"")</f>
        <v>Дидактика</v>
      </c>
      <c r="D2410" s="192" t="s">
        <v>793</v>
      </c>
      <c r="E2410" s="23"/>
      <c r="F2410" s="23"/>
      <c r="G2410" s="193">
        <v>1</v>
      </c>
      <c r="H2410" s="193"/>
      <c r="I2410" s="194"/>
      <c r="J2410" s="194"/>
      <c r="K2410" s="19"/>
      <c r="L2410" s="20"/>
    </row>
    <row r="2411" spans="1:12" ht="31.5" outlineLevel="2">
      <c r="A2411" s="191"/>
      <c r="B2411" s="12" t="str">
        <f>IFERROR(VLOOKUP(D2411,'[1]Перечень товаров'!$A$2:$I9525,2,0),"")</f>
        <v>д49</v>
      </c>
      <c r="C2411" s="12" t="str">
        <f>IFERROR(VLOOKUP(D2411,'[1]Перечень товаров'!$A$2:$I9525,3,0),"")</f>
        <v>Дидактика</v>
      </c>
      <c r="D2411" s="192" t="s">
        <v>794</v>
      </c>
      <c r="E2411" s="23"/>
      <c r="F2411" s="23"/>
      <c r="G2411" s="193">
        <v>1</v>
      </c>
      <c r="H2411" s="193"/>
      <c r="I2411" s="194"/>
      <c r="J2411" s="194"/>
      <c r="K2411" s="19"/>
      <c r="L2411" s="20"/>
    </row>
    <row r="2412" spans="1:12" ht="31.5" outlineLevel="2">
      <c r="A2412" s="191"/>
      <c r="B2412" s="12" t="str">
        <f>IFERROR(VLOOKUP(D2412,'[1]Перечень товаров'!$A$2:$I9525,2,0),"")</f>
        <v>д50</v>
      </c>
      <c r="C2412" s="12" t="str">
        <f>IFERROR(VLOOKUP(D2412,'[1]Перечень товаров'!$A$2:$I9525,3,0),"")</f>
        <v>Дидактика</v>
      </c>
      <c r="D2412" s="192" t="s">
        <v>795</v>
      </c>
      <c r="E2412" s="23"/>
      <c r="F2412" s="23"/>
      <c r="G2412" s="193">
        <v>1</v>
      </c>
      <c r="H2412" s="193"/>
      <c r="I2412" s="194"/>
      <c r="J2412" s="194"/>
      <c r="K2412" s="19"/>
      <c r="L2412" s="20"/>
    </row>
    <row r="2413" spans="1:12" ht="31.5" outlineLevel="2">
      <c r="A2413" s="191"/>
      <c r="B2413" s="12" t="str">
        <f>IFERROR(VLOOKUP(D2413,'[1]Перечень товаров'!$A$2:$I9525,2,0),"")</f>
        <v>д51</v>
      </c>
      <c r="C2413" s="12" t="str">
        <f>IFERROR(VLOOKUP(D2413,'[1]Перечень товаров'!$A$2:$I9525,3,0),"")</f>
        <v>Дидактика</v>
      </c>
      <c r="D2413" s="192" t="s">
        <v>796</v>
      </c>
      <c r="E2413" s="23"/>
      <c r="F2413" s="23"/>
      <c r="G2413" s="193">
        <v>1</v>
      </c>
      <c r="H2413" s="193"/>
      <c r="I2413" s="194"/>
      <c r="J2413" s="194"/>
      <c r="K2413" s="19"/>
      <c r="L2413" s="20"/>
    </row>
    <row r="2414" spans="1:12" ht="31.5" outlineLevel="2">
      <c r="A2414" s="191"/>
      <c r="B2414" s="12" t="str">
        <f>IFERROR(VLOOKUP(D2414,'[1]Перечень товаров'!$A$2:$I9525,2,0),"")</f>
        <v>д34</v>
      </c>
      <c r="C2414" s="12" t="str">
        <f>IFERROR(VLOOKUP(D2414,'[1]Перечень товаров'!$A$2:$I9525,3,0),"")</f>
        <v>Дидактика</v>
      </c>
      <c r="D2414" s="192" t="s">
        <v>779</v>
      </c>
      <c r="E2414" s="23"/>
      <c r="F2414" s="23"/>
      <c r="G2414" s="193">
        <v>1</v>
      </c>
      <c r="H2414" s="193"/>
      <c r="I2414" s="194"/>
      <c r="J2414" s="194"/>
      <c r="K2414" s="19"/>
      <c r="L2414" s="20"/>
    </row>
    <row r="2415" spans="1:12" ht="31.5" outlineLevel="2">
      <c r="A2415" s="191"/>
      <c r="B2415" s="12" t="str">
        <f>IFERROR(VLOOKUP(D2415,'[1]Перечень товаров'!$A$2:$I9525,2,0),"")</f>
        <v>д52</v>
      </c>
      <c r="C2415" s="12" t="str">
        <f>IFERROR(VLOOKUP(D2415,'[1]Перечень товаров'!$A$2:$I9525,3,0),"")</f>
        <v>Дидактика</v>
      </c>
      <c r="D2415" s="192" t="s">
        <v>797</v>
      </c>
      <c r="E2415" s="23"/>
      <c r="F2415" s="23"/>
      <c r="G2415" s="193">
        <v>1</v>
      </c>
      <c r="H2415" s="193"/>
      <c r="I2415" s="194"/>
      <c r="J2415" s="194"/>
      <c r="K2415" s="19"/>
      <c r="L2415" s="20"/>
    </row>
    <row r="2416" spans="1:12" ht="31.5" outlineLevel="2">
      <c r="A2416" s="191"/>
      <c r="B2416" s="12" t="str">
        <f>IFERROR(VLOOKUP(D2416,'[1]Перечень товаров'!$A$2:$I9525,2,0),"")</f>
        <v>д53</v>
      </c>
      <c r="C2416" s="12" t="str">
        <f>IFERROR(VLOOKUP(D2416,'[1]Перечень товаров'!$A$2:$I9525,3,0),"")</f>
        <v>Дидактика</v>
      </c>
      <c r="D2416" s="192" t="s">
        <v>798</v>
      </c>
      <c r="E2416" s="23"/>
      <c r="F2416" s="23"/>
      <c r="G2416" s="193">
        <v>1</v>
      </c>
      <c r="H2416" s="193"/>
      <c r="I2416" s="194"/>
      <c r="J2416" s="194"/>
      <c r="K2416" s="19"/>
      <c r="L2416" s="20"/>
    </row>
    <row r="2417" spans="1:12" ht="31.5" outlineLevel="2">
      <c r="A2417" s="191"/>
      <c r="B2417" s="12" t="str">
        <f>IFERROR(VLOOKUP(D2417,'[1]Перечень товаров'!$A$2:$I9525,2,0),"")</f>
        <v>д54</v>
      </c>
      <c r="C2417" s="12" t="str">
        <f>IFERROR(VLOOKUP(D2417,'[1]Перечень товаров'!$A$2:$I9525,3,0),"")</f>
        <v>Дидактика</v>
      </c>
      <c r="D2417" s="192" t="s">
        <v>799</v>
      </c>
      <c r="E2417" s="23"/>
      <c r="F2417" s="23"/>
      <c r="G2417" s="193">
        <v>1</v>
      </c>
      <c r="H2417" s="193"/>
      <c r="I2417" s="194"/>
      <c r="J2417" s="194"/>
      <c r="K2417" s="19"/>
      <c r="L2417" s="20"/>
    </row>
    <row r="2418" spans="1:12" ht="47.25" outlineLevel="2">
      <c r="A2418" s="191"/>
      <c r="B2418" s="12" t="str">
        <f>IFERROR(VLOOKUP(D2418,'[1]Перечень товаров'!$A$2:$I9525,2,0),"")</f>
        <v>д55</v>
      </c>
      <c r="C2418" s="12" t="str">
        <f>IFERROR(VLOOKUP(D2418,'[1]Перечень товаров'!$A$2:$I9525,3,0),"")</f>
        <v>Дидактика</v>
      </c>
      <c r="D2418" s="192" t="s">
        <v>800</v>
      </c>
      <c r="E2418" s="23"/>
      <c r="F2418" s="23"/>
      <c r="G2418" s="193">
        <v>1</v>
      </c>
      <c r="H2418" s="193"/>
      <c r="I2418" s="194"/>
      <c r="J2418" s="194"/>
      <c r="K2418" s="19"/>
      <c r="L2418" s="20"/>
    </row>
    <row r="2419" spans="1:12" ht="47.25" outlineLevel="2">
      <c r="A2419" s="191"/>
      <c r="B2419" s="12" t="str">
        <f>IFERROR(VLOOKUP(D2419,'[1]Перечень товаров'!$A$2:$I9525,2,0),"")</f>
        <v>д56</v>
      </c>
      <c r="C2419" s="12" t="str">
        <f>IFERROR(VLOOKUP(D2419,'[1]Перечень товаров'!$A$2:$I9525,3,0),"")</f>
        <v>Дидактика</v>
      </c>
      <c r="D2419" s="192" t="s">
        <v>801</v>
      </c>
      <c r="E2419" s="23"/>
      <c r="F2419" s="23"/>
      <c r="G2419" s="193">
        <v>1</v>
      </c>
      <c r="H2419" s="193"/>
      <c r="I2419" s="194"/>
      <c r="J2419" s="194"/>
      <c r="K2419" s="19"/>
      <c r="L2419" s="20"/>
    </row>
    <row r="2420" spans="1:12" ht="47.25" outlineLevel="2">
      <c r="A2420" s="191"/>
      <c r="B2420" s="12" t="str">
        <f>IFERROR(VLOOKUP(D2420,'[1]Перечень товаров'!$A$2:$I9525,2,0),"")</f>
        <v>д57</v>
      </c>
      <c r="C2420" s="12" t="str">
        <f>IFERROR(VLOOKUP(D2420,'[1]Перечень товаров'!$A$2:$I9525,3,0),"")</f>
        <v>Дидактика</v>
      </c>
      <c r="D2420" s="192" t="s">
        <v>802</v>
      </c>
      <c r="E2420" s="23"/>
      <c r="F2420" s="23"/>
      <c r="G2420" s="193">
        <v>1</v>
      </c>
      <c r="H2420" s="193"/>
      <c r="I2420" s="194"/>
      <c r="J2420" s="194"/>
      <c r="K2420" s="19"/>
      <c r="L2420" s="20"/>
    </row>
    <row r="2421" spans="1:12" ht="47.25" outlineLevel="2">
      <c r="A2421" s="191"/>
      <c r="B2421" s="12" t="str">
        <f>IFERROR(VLOOKUP(D2421,'[1]Перечень товаров'!$A$2:$I9525,2,0),"")</f>
        <v>д58</v>
      </c>
      <c r="C2421" s="12" t="str">
        <f>IFERROR(VLOOKUP(D2421,'[1]Перечень товаров'!$A$2:$I9525,3,0),"")</f>
        <v>Дидактика</v>
      </c>
      <c r="D2421" s="192" t="s">
        <v>803</v>
      </c>
      <c r="E2421" s="23"/>
      <c r="F2421" s="23"/>
      <c r="G2421" s="193">
        <v>1</v>
      </c>
      <c r="H2421" s="193"/>
      <c r="I2421" s="194"/>
      <c r="J2421" s="194"/>
      <c r="K2421" s="19"/>
      <c r="L2421" s="20"/>
    </row>
    <row r="2422" spans="1:12" ht="47.25" outlineLevel="2">
      <c r="A2422" s="191"/>
      <c r="B2422" s="12" t="str">
        <f>IFERROR(VLOOKUP(D2422,'[1]Перечень товаров'!$A$2:$I9525,2,0),"")</f>
        <v>д59</v>
      </c>
      <c r="C2422" s="12" t="str">
        <f>IFERROR(VLOOKUP(D2422,'[1]Перечень товаров'!$A$2:$I9525,3,0),"")</f>
        <v>Дидактика</v>
      </c>
      <c r="D2422" s="192" t="s">
        <v>804</v>
      </c>
      <c r="E2422" s="23"/>
      <c r="F2422" s="23"/>
      <c r="G2422" s="193">
        <v>1</v>
      </c>
      <c r="H2422" s="193"/>
      <c r="I2422" s="194"/>
      <c r="J2422" s="194"/>
      <c r="K2422" s="19"/>
      <c r="L2422" s="20"/>
    </row>
    <row r="2423" spans="1:12" ht="47.25" outlineLevel="2">
      <c r="A2423" s="191"/>
      <c r="B2423" s="12" t="str">
        <f>IFERROR(VLOOKUP(D2423,'[1]Перечень товаров'!$A$2:$I9525,2,0),"")</f>
        <v>д60</v>
      </c>
      <c r="C2423" s="12" t="str">
        <f>IFERROR(VLOOKUP(D2423,'[1]Перечень товаров'!$A$2:$I9525,3,0),"")</f>
        <v>Дидактика</v>
      </c>
      <c r="D2423" s="192" t="s">
        <v>805</v>
      </c>
      <c r="E2423" s="23"/>
      <c r="F2423" s="23"/>
      <c r="G2423" s="193">
        <v>1</v>
      </c>
      <c r="H2423" s="193"/>
      <c r="I2423" s="194"/>
      <c r="J2423" s="194"/>
      <c r="K2423" s="19"/>
      <c r="L2423" s="20"/>
    </row>
    <row r="2424" spans="1:12" ht="47.25" outlineLevel="2">
      <c r="A2424" s="191"/>
      <c r="B2424" s="12" t="str">
        <f>IFERROR(VLOOKUP(D2424,'[1]Перечень товаров'!$A$2:$I9525,2,0),"")</f>
        <v>д61</v>
      </c>
      <c r="C2424" s="12" t="str">
        <f>IFERROR(VLOOKUP(D2424,'[1]Перечень товаров'!$A$2:$I9525,3,0),"")</f>
        <v>Дидактика</v>
      </c>
      <c r="D2424" s="192" t="s">
        <v>806</v>
      </c>
      <c r="E2424" s="23"/>
      <c r="F2424" s="23"/>
      <c r="G2424" s="193">
        <v>1</v>
      </c>
      <c r="H2424" s="193"/>
      <c r="I2424" s="194"/>
      <c r="J2424" s="194"/>
      <c r="K2424" s="19"/>
      <c r="L2424" s="20"/>
    </row>
    <row r="2425" spans="1:12" outlineLevel="2">
      <c r="A2425" s="191"/>
      <c r="B2425" s="12" t="str">
        <f>IFERROR(VLOOKUP(D2425,'[1]Перечень товаров'!$A$2:$I9525,2,0),"")</f>
        <v>д62</v>
      </c>
      <c r="C2425" s="12" t="str">
        <f>IFERROR(VLOOKUP(D2425,'[1]Перечень товаров'!$A$2:$I9525,3,0),"")</f>
        <v>Дидактика</v>
      </c>
      <c r="D2425" s="192" t="s">
        <v>807</v>
      </c>
      <c r="E2425" s="23"/>
      <c r="F2425" s="23"/>
      <c r="G2425" s="193">
        <v>1</v>
      </c>
      <c r="H2425" s="193"/>
      <c r="I2425" s="194"/>
      <c r="J2425" s="194"/>
      <c r="K2425" s="19"/>
      <c r="L2425" s="20"/>
    </row>
    <row r="2426" spans="1:12" ht="47.25" outlineLevel="2">
      <c r="A2426" s="191"/>
      <c r="B2426" s="12" t="str">
        <f>IFERROR(VLOOKUP(D2426,'[1]Перечень товаров'!$A$2:$I9525,2,0),"")</f>
        <v>д63</v>
      </c>
      <c r="C2426" s="12" t="str">
        <f>IFERROR(VLOOKUP(D2426,'[1]Перечень товаров'!$A$2:$I9525,3,0),"")</f>
        <v>Дидактика</v>
      </c>
      <c r="D2426" s="192" t="s">
        <v>808</v>
      </c>
      <c r="E2426" s="23"/>
      <c r="F2426" s="23"/>
      <c r="G2426" s="193">
        <v>1</v>
      </c>
      <c r="H2426" s="193"/>
      <c r="I2426" s="194"/>
      <c r="J2426" s="194"/>
      <c r="K2426" s="19"/>
      <c r="L2426" s="20"/>
    </row>
    <row r="2427" spans="1:12" ht="30" outlineLevel="2">
      <c r="A2427" s="179"/>
      <c r="B2427" s="12" t="str">
        <f>IFERROR(VLOOKUP(D2427,'[1]Перечень товаров'!$A$2:$I9525,2,0),"")</f>
        <v/>
      </c>
      <c r="C2427" s="12" t="str">
        <f>IFERROR(VLOOKUP(D2427,'[1]Перечень товаров'!$A$2:$I9525,3,0),"")</f>
        <v/>
      </c>
      <c r="D2427" s="180" t="s">
        <v>809</v>
      </c>
      <c r="E2427" s="61"/>
      <c r="F2427" s="61"/>
      <c r="G2427" s="195"/>
      <c r="H2427" s="195"/>
      <c r="I2427" s="196"/>
      <c r="J2427" s="196"/>
      <c r="K2427" s="19"/>
      <c r="L2427" s="20"/>
    </row>
    <row r="2428" spans="1:12" ht="31.5" outlineLevel="2">
      <c r="A2428" s="191"/>
      <c r="B2428" s="12" t="str">
        <f>IFERROR(VLOOKUP(D2428,'[1]Перечень товаров'!$A$2:$I9525,2,0),"")</f>
        <v>д64</v>
      </c>
      <c r="C2428" s="12" t="str">
        <f>IFERROR(VLOOKUP(D2428,'[1]Перечень товаров'!$A$2:$I9525,3,0),"")</f>
        <v>Дидактика</v>
      </c>
      <c r="D2428" s="192" t="s">
        <v>810</v>
      </c>
      <c r="E2428" s="23"/>
      <c r="F2428" s="23"/>
      <c r="G2428" s="193">
        <v>1</v>
      </c>
      <c r="H2428" s="193"/>
      <c r="I2428" s="194"/>
      <c r="J2428" s="194"/>
      <c r="K2428" s="19"/>
      <c r="L2428" s="20"/>
    </row>
    <row r="2429" spans="1:12" outlineLevel="2">
      <c r="A2429" s="191"/>
      <c r="B2429" s="12" t="str">
        <f>IFERROR(VLOOKUP(D2429,'[1]Перечень товаров'!$A$2:$I9525,2,0),"")</f>
        <v>д65</v>
      </c>
      <c r="C2429" s="12" t="str">
        <f>IFERROR(VLOOKUP(D2429,'[1]Перечень товаров'!$A$2:$I9525,3,0),"")</f>
        <v>Дидактика</v>
      </c>
      <c r="D2429" s="192" t="s">
        <v>811</v>
      </c>
      <c r="E2429" s="23"/>
      <c r="F2429" s="23"/>
      <c r="G2429" s="193">
        <v>1</v>
      </c>
      <c r="H2429" s="193"/>
      <c r="I2429" s="194"/>
      <c r="J2429" s="194"/>
      <c r="K2429" s="19"/>
      <c r="L2429" s="20"/>
    </row>
    <row r="2430" spans="1:12" outlineLevel="2">
      <c r="A2430" s="191"/>
      <c r="B2430" s="12" t="str">
        <f>IFERROR(VLOOKUP(D2430,'[1]Перечень товаров'!$A$2:$I9525,2,0),"")</f>
        <v>д66</v>
      </c>
      <c r="C2430" s="12" t="str">
        <f>IFERROR(VLOOKUP(D2430,'[1]Перечень товаров'!$A$2:$I9525,3,0),"")</f>
        <v>Дидактика</v>
      </c>
      <c r="D2430" s="192" t="s">
        <v>812</v>
      </c>
      <c r="E2430" s="23"/>
      <c r="F2430" s="23"/>
      <c r="G2430" s="193">
        <v>1</v>
      </c>
      <c r="H2430" s="193"/>
      <c r="I2430" s="194"/>
      <c r="J2430" s="194"/>
      <c r="K2430" s="19"/>
      <c r="L2430" s="20"/>
    </row>
    <row r="2431" spans="1:12" outlineLevel="2">
      <c r="A2431" s="191"/>
      <c r="B2431" s="12" t="str">
        <f>IFERROR(VLOOKUP(D2431,'[1]Перечень товаров'!$A$2:$I9525,2,0),"")</f>
        <v>д67</v>
      </c>
      <c r="C2431" s="12" t="str">
        <f>IFERROR(VLOOKUP(D2431,'[1]Перечень товаров'!$A$2:$I9525,3,0),"")</f>
        <v>Дидактика</v>
      </c>
      <c r="D2431" s="192" t="s">
        <v>813</v>
      </c>
      <c r="E2431" s="23"/>
      <c r="F2431" s="23"/>
      <c r="G2431" s="193">
        <v>1</v>
      </c>
      <c r="H2431" s="193"/>
      <c r="I2431" s="194"/>
      <c r="J2431" s="194"/>
      <c r="K2431" s="19"/>
      <c r="L2431" s="20"/>
    </row>
    <row r="2432" spans="1:12" outlineLevel="2">
      <c r="A2432" s="191"/>
      <c r="B2432" s="12" t="str">
        <f>IFERROR(VLOOKUP(D2432,'[1]Перечень товаров'!$A$2:$I9525,2,0),"")</f>
        <v>п90</v>
      </c>
      <c r="C2432" s="12" t="str">
        <f>IFERROR(VLOOKUP(D2432,'[1]Перечень товаров'!$A$2:$I9525,3,0),"")</f>
        <v>Прочее</v>
      </c>
      <c r="D2432" s="192" t="s">
        <v>723</v>
      </c>
      <c r="E2432" s="23"/>
      <c r="F2432" s="23"/>
      <c r="G2432" s="193">
        <v>1</v>
      </c>
      <c r="H2432" s="193"/>
      <c r="I2432" s="194"/>
      <c r="J2432" s="194"/>
      <c r="K2432" s="19"/>
      <c r="L2432" s="20"/>
    </row>
    <row r="2433" spans="1:12" outlineLevel="2">
      <c r="A2433" s="191"/>
      <c r="B2433" s="12" t="str">
        <f>IFERROR(VLOOKUP(D2433,'[1]Перечень товаров'!$A$2:$I9525,2,0),"")</f>
        <v>д68</v>
      </c>
      <c r="C2433" s="12" t="str">
        <f>IFERROR(VLOOKUP(D2433,'[1]Перечень товаров'!$A$2:$I9525,3,0),"")</f>
        <v>Дидактика</v>
      </c>
      <c r="D2433" s="192" t="s">
        <v>814</v>
      </c>
      <c r="E2433" s="23"/>
      <c r="F2433" s="23"/>
      <c r="G2433" s="193">
        <v>3</v>
      </c>
      <c r="H2433" s="193"/>
      <c r="I2433" s="194"/>
      <c r="J2433" s="194"/>
      <c r="K2433" s="19"/>
      <c r="L2433" s="20"/>
    </row>
    <row r="2434" spans="1:12" outlineLevel="2">
      <c r="A2434" s="191"/>
      <c r="B2434" s="12" t="str">
        <f>IFERROR(VLOOKUP(D2434,'[1]Перечень товаров'!$A$2:$I9525,2,0),"")</f>
        <v>д69</v>
      </c>
      <c r="C2434" s="12" t="str">
        <f>IFERROR(VLOOKUP(D2434,'[1]Перечень товаров'!$A$2:$I9525,3,0),"")</f>
        <v>Дидактика</v>
      </c>
      <c r="D2434" s="192" t="s">
        <v>815</v>
      </c>
      <c r="E2434" s="23"/>
      <c r="F2434" s="23"/>
      <c r="G2434" s="193">
        <v>8</v>
      </c>
      <c r="H2434" s="193"/>
      <c r="I2434" s="194"/>
      <c r="J2434" s="194"/>
      <c r="K2434" s="19"/>
      <c r="L2434" s="20"/>
    </row>
    <row r="2435" spans="1:12" outlineLevel="2">
      <c r="A2435" s="191"/>
      <c r="B2435" s="12" t="str">
        <f>IFERROR(VLOOKUP(D2435,'[1]Перечень товаров'!$A$2:$I9525,2,0),"")</f>
        <v>д70</v>
      </c>
      <c r="C2435" s="12" t="str">
        <f>IFERROR(VLOOKUP(D2435,'[1]Перечень товаров'!$A$2:$I9525,3,0),"")</f>
        <v>Дидактика</v>
      </c>
      <c r="D2435" s="192" t="s">
        <v>816</v>
      </c>
      <c r="E2435" s="23"/>
      <c r="F2435" s="23"/>
      <c r="G2435" s="193">
        <v>100</v>
      </c>
      <c r="H2435" s="193"/>
      <c r="I2435" s="194"/>
      <c r="J2435" s="194"/>
      <c r="K2435" s="19"/>
      <c r="L2435" s="20"/>
    </row>
    <row r="2436" spans="1:12" ht="12.75" outlineLevel="1">
      <c r="A2436" s="11"/>
      <c r="B2436" s="12" t="str">
        <f>IFERROR(VLOOKUP(D2436,'[1]Перечень товаров'!$A$2:$I9525,2,0),"")</f>
        <v/>
      </c>
      <c r="C2436" s="12" t="str">
        <f>IFERROR(VLOOKUP(D2436,'[1]Перечень товаров'!$A$2:$I9525,3,0),"")</f>
        <v/>
      </c>
      <c r="D2436" s="27" t="s">
        <v>821</v>
      </c>
      <c r="E2436" s="14" t="s">
        <v>822</v>
      </c>
      <c r="F2436" s="14"/>
      <c r="G2436" s="17"/>
      <c r="H2436" s="17"/>
      <c r="I2436" s="57"/>
      <c r="J2436" s="57"/>
      <c r="K2436" s="19"/>
      <c r="L2436" s="20"/>
    </row>
    <row r="2437" spans="1:12" ht="30" outlineLevel="2">
      <c r="A2437" s="189"/>
      <c r="B2437" s="12" t="str">
        <f>IFERROR(VLOOKUP(D2437,'[1]Перечень товаров'!$A$2:$I9525,2,0),"")</f>
        <v/>
      </c>
      <c r="C2437" s="12" t="str">
        <f>IFERROR(VLOOKUP(D2437,'[1]Перечень товаров'!$A$2:$I9525,3,0),"")</f>
        <v/>
      </c>
      <c r="D2437" s="190" t="s">
        <v>740</v>
      </c>
      <c r="E2437" s="61"/>
      <c r="F2437" s="61"/>
      <c r="G2437" s="186"/>
      <c r="H2437" s="186"/>
      <c r="I2437" s="187"/>
      <c r="J2437" s="187"/>
      <c r="K2437" s="19"/>
      <c r="L2437" s="20"/>
    </row>
    <row r="2438" spans="1:12" ht="30" outlineLevel="2">
      <c r="A2438" s="179"/>
      <c r="B2438" s="12" t="str">
        <f>IFERROR(VLOOKUP(D2438,'[1]Перечень товаров'!$A$2:$I9525,2,0),"")</f>
        <v/>
      </c>
      <c r="C2438" s="12" t="str">
        <f>IFERROR(VLOOKUP(D2438,'[1]Перечень товаров'!$A$2:$I9525,3,0),"")</f>
        <v/>
      </c>
      <c r="D2438" s="180" t="s">
        <v>668</v>
      </c>
      <c r="E2438" s="61"/>
      <c r="F2438" s="61"/>
      <c r="G2438" s="186"/>
      <c r="H2438" s="186"/>
      <c r="I2438" s="187"/>
      <c r="J2438" s="187"/>
      <c r="K2438" s="19"/>
      <c r="L2438" s="20"/>
    </row>
    <row r="2439" spans="1:12" outlineLevel="2">
      <c r="A2439" s="191"/>
      <c r="B2439" s="12" t="str">
        <f>IFERROR(VLOOKUP(D2439,'[1]Перечень товаров'!$A$2:$I9525,2,0),"")</f>
        <v>т9</v>
      </c>
      <c r="C2439" s="12" t="str">
        <f>IFERROR(VLOOKUP(D2439,'[1]Перечень товаров'!$A$2:$I9525,3,0),"")</f>
        <v>Техника</v>
      </c>
      <c r="D2439" s="192" t="s">
        <v>36</v>
      </c>
      <c r="E2439" s="23"/>
      <c r="F2439" s="23"/>
      <c r="G2439" s="193">
        <v>1</v>
      </c>
      <c r="H2439" s="193"/>
      <c r="I2439" s="194"/>
      <c r="J2439" s="194"/>
      <c r="K2439" s="19"/>
      <c r="L2439" s="20"/>
    </row>
    <row r="2440" spans="1:12" outlineLevel="2">
      <c r="A2440" s="191"/>
      <c r="B2440" s="12" t="str">
        <f>IFERROR(VLOOKUP(D2440,'[1]Перечень товаров'!$A$2:$I9525,2,0),"")</f>
        <v>т234</v>
      </c>
      <c r="C2440" s="12" t="str">
        <f>IFERROR(VLOOKUP(D2440,'[1]Перечень товаров'!$A$2:$I9525,3,0),"")</f>
        <v>Техника</v>
      </c>
      <c r="D2440" s="192" t="s">
        <v>741</v>
      </c>
      <c r="E2440" s="23"/>
      <c r="F2440" s="23"/>
      <c r="G2440" s="193">
        <v>1</v>
      </c>
      <c r="H2440" s="193"/>
      <c r="I2440" s="194"/>
      <c r="J2440" s="194"/>
      <c r="K2440" s="19"/>
      <c r="L2440" s="20"/>
    </row>
    <row r="2441" spans="1:12" outlineLevel="2">
      <c r="A2441" s="191"/>
      <c r="B2441" s="12" t="str">
        <f>IFERROR(VLOOKUP(D2441,'[1]Перечень товаров'!$A$2:$I9525,2,0),"")</f>
        <v>т1</v>
      </c>
      <c r="C2441" s="12" t="str">
        <f>IFERROR(VLOOKUP(D2441,'[1]Перечень товаров'!$A$2:$I9525,3,0),"")</f>
        <v xml:space="preserve">Техника </v>
      </c>
      <c r="D2441" s="192" t="s">
        <v>28</v>
      </c>
      <c r="E2441" s="23"/>
      <c r="F2441" s="23"/>
      <c r="G2441" s="193">
        <v>1</v>
      </c>
      <c r="H2441" s="193"/>
      <c r="I2441" s="194"/>
      <c r="J2441" s="194"/>
      <c r="K2441" s="19"/>
      <c r="L2441" s="20"/>
    </row>
    <row r="2442" spans="1:12" outlineLevel="2">
      <c r="A2442" s="191"/>
      <c r="B2442" s="12" t="str">
        <f>IFERROR(VLOOKUP(D2442,'[1]Перечень товаров'!$A$2:$I9525,2,0),"")</f>
        <v>т235</v>
      </c>
      <c r="C2442" s="12" t="str">
        <f>IFERROR(VLOOKUP(D2442,'[1]Перечень товаров'!$A$2:$I9525,3,0),"")</f>
        <v>Техника</v>
      </c>
      <c r="D2442" s="192" t="s">
        <v>742</v>
      </c>
      <c r="E2442" s="23"/>
      <c r="F2442" s="23"/>
      <c r="G2442" s="193">
        <v>1</v>
      </c>
      <c r="H2442" s="193"/>
      <c r="I2442" s="194"/>
      <c r="J2442" s="194"/>
      <c r="K2442" s="19"/>
      <c r="L2442" s="20"/>
    </row>
    <row r="2443" spans="1:12" outlineLevel="2">
      <c r="A2443" s="191"/>
      <c r="B2443" s="12" t="str">
        <f>IFERROR(VLOOKUP(D2443,'[1]Перечень товаров'!$A$2:$I9525,2,0),"")</f>
        <v>т8</v>
      </c>
      <c r="C2443" s="12" t="str">
        <f>IFERROR(VLOOKUP(D2443,'[1]Перечень товаров'!$A$2:$I9525,3,0),"")</f>
        <v xml:space="preserve">Техника </v>
      </c>
      <c r="D2443" s="192" t="s">
        <v>35</v>
      </c>
      <c r="E2443" s="23"/>
      <c r="F2443" s="23"/>
      <c r="G2443" s="193">
        <v>1</v>
      </c>
      <c r="H2443" s="193"/>
      <c r="I2443" s="194"/>
      <c r="J2443" s="194"/>
      <c r="K2443" s="19"/>
      <c r="L2443" s="20"/>
    </row>
    <row r="2444" spans="1:12" outlineLevel="2">
      <c r="A2444" s="191"/>
      <c r="B2444" s="12" t="str">
        <f>IFERROR(VLOOKUP(D2444,'[1]Перечень товаров'!$A$2:$I9525,2,0),"")</f>
        <v>т236</v>
      </c>
      <c r="C2444" s="12" t="str">
        <f>IFERROR(VLOOKUP(D2444,'[1]Перечень товаров'!$A$2:$I9525,3,0),"")</f>
        <v>Техника</v>
      </c>
      <c r="D2444" s="192" t="s">
        <v>743</v>
      </c>
      <c r="E2444" s="23"/>
      <c r="F2444" s="23"/>
      <c r="G2444" s="193">
        <v>1</v>
      </c>
      <c r="H2444" s="193"/>
      <c r="I2444" s="194"/>
      <c r="J2444" s="194"/>
      <c r="K2444" s="19"/>
      <c r="L2444" s="20"/>
    </row>
    <row r="2445" spans="1:12" outlineLevel="2">
      <c r="A2445" s="191"/>
      <c r="B2445" s="12" t="str">
        <f>IFERROR(VLOOKUP(D2445,'[1]Перечень товаров'!$A$2:$I9525,2,0),"")</f>
        <v>т237</v>
      </c>
      <c r="C2445" s="12" t="str">
        <f>IFERROR(VLOOKUP(D2445,'[1]Перечень товаров'!$A$2:$I9525,3,0),"")</f>
        <v>Техника</v>
      </c>
      <c r="D2445" s="192" t="s">
        <v>744</v>
      </c>
      <c r="E2445" s="23"/>
      <c r="F2445" s="23"/>
      <c r="G2445" s="193">
        <v>1</v>
      </c>
      <c r="H2445" s="193"/>
      <c r="I2445" s="194"/>
      <c r="J2445" s="194"/>
      <c r="K2445" s="19"/>
      <c r="L2445" s="20"/>
    </row>
    <row r="2446" spans="1:12" ht="31.5" outlineLevel="2">
      <c r="A2446" s="191"/>
      <c r="B2446" s="12" t="str">
        <f>IFERROR(VLOOKUP(D2446,'[1]Перечень товаров'!$A$2:$I9525,2,0),"")</f>
        <v>т238</v>
      </c>
      <c r="C2446" s="12" t="str">
        <f>IFERROR(VLOOKUP(D2446,'[1]Перечень товаров'!$A$2:$I9525,3,0),"")</f>
        <v>Техника</v>
      </c>
      <c r="D2446" s="192" t="s">
        <v>745</v>
      </c>
      <c r="E2446" s="23"/>
      <c r="F2446" s="23"/>
      <c r="G2446" s="193">
        <v>1</v>
      </c>
      <c r="H2446" s="193"/>
      <c r="I2446" s="194"/>
      <c r="J2446" s="194"/>
      <c r="K2446" s="19"/>
      <c r="L2446" s="20"/>
    </row>
    <row r="2447" spans="1:12" ht="15" outlineLevel="2">
      <c r="A2447" s="181"/>
      <c r="B2447" s="12" t="str">
        <f>IFERROR(VLOOKUP(D2447,'[1]Перечень товаров'!$A$2:$I9525,2,0),"")</f>
        <v/>
      </c>
      <c r="C2447" s="12" t="str">
        <f>IFERROR(VLOOKUP(D2447,'[1]Перечень товаров'!$A$2:$I9525,3,0),"")</f>
        <v/>
      </c>
      <c r="D2447" s="182" t="s">
        <v>19</v>
      </c>
      <c r="E2447" s="45"/>
      <c r="F2447" s="45"/>
      <c r="G2447" s="195"/>
      <c r="H2447" s="195"/>
      <c r="I2447" s="196"/>
      <c r="J2447" s="196"/>
      <c r="K2447" s="19"/>
      <c r="L2447" s="20"/>
    </row>
    <row r="2448" spans="1:12" ht="31.5" outlineLevel="2">
      <c r="A2448" s="191"/>
      <c r="B2448" s="12" t="str">
        <f>IFERROR(VLOOKUP(D2448,'[1]Перечень товаров'!$A$2:$I9525,2,0),"")</f>
        <v>м205</v>
      </c>
      <c r="C2448" s="12" t="str">
        <f>IFERROR(VLOOKUP(D2448,'[1]Перечень товаров'!$A$2:$I9525,3,0),"")</f>
        <v>Мебель</v>
      </c>
      <c r="D2448" s="192" t="s">
        <v>20</v>
      </c>
      <c r="E2448" s="23"/>
      <c r="F2448" s="23"/>
      <c r="G2448" s="193">
        <v>1</v>
      </c>
      <c r="H2448" s="193"/>
      <c r="I2448" s="194"/>
      <c r="J2448" s="194"/>
      <c r="K2448" s="19"/>
      <c r="L2448" s="20"/>
    </row>
    <row r="2449" spans="1:12" ht="31.5" outlineLevel="2">
      <c r="A2449" s="191"/>
      <c r="B2449" s="12" t="str">
        <f>IFERROR(VLOOKUP(D2449,'[1]Перечень товаров'!$A$2:$I9525,2,0),"")</f>
        <v>м206</v>
      </c>
      <c r="C2449" s="12" t="str">
        <f>IFERROR(VLOOKUP(D2449,'[1]Перечень товаров'!$A$2:$I9525,3,0),"")</f>
        <v>Мебель</v>
      </c>
      <c r="D2449" s="192" t="s">
        <v>746</v>
      </c>
      <c r="E2449" s="23"/>
      <c r="F2449" s="23"/>
      <c r="G2449" s="193">
        <v>1</v>
      </c>
      <c r="H2449" s="193"/>
      <c r="I2449" s="194"/>
      <c r="J2449" s="194"/>
      <c r="K2449" s="19"/>
      <c r="L2449" s="20"/>
    </row>
    <row r="2450" spans="1:12" ht="31.5" outlineLevel="2">
      <c r="A2450" s="191"/>
      <c r="B2450" s="12" t="str">
        <f>IFERROR(VLOOKUP(D2450,'[1]Перечень товаров'!$A$2:$I9525,2,0),"")</f>
        <v>м207</v>
      </c>
      <c r="C2450" s="12" t="str">
        <f>IFERROR(VLOOKUP(D2450,'[1]Перечень товаров'!$A$2:$I9525,3,0),"")</f>
        <v>Мебель</v>
      </c>
      <c r="D2450" s="192" t="s">
        <v>747</v>
      </c>
      <c r="E2450" s="23"/>
      <c r="F2450" s="23"/>
      <c r="G2450" s="193">
        <v>13</v>
      </c>
      <c r="H2450" s="193"/>
      <c r="I2450" s="194"/>
      <c r="J2450" s="194"/>
      <c r="K2450" s="19"/>
      <c r="L2450" s="20"/>
    </row>
    <row r="2451" spans="1:12" outlineLevel="2">
      <c r="A2451" s="191"/>
      <c r="B2451" s="12" t="str">
        <f>IFERROR(VLOOKUP(D2451,'[1]Перечень товаров'!$A$2:$I9525,2,0),"")</f>
        <v>м208</v>
      </c>
      <c r="C2451" s="12" t="str">
        <f>IFERROR(VLOOKUP(D2451,'[1]Перечень товаров'!$A$2:$I9525,3,0),"")</f>
        <v>Мебель</v>
      </c>
      <c r="D2451" s="192" t="s">
        <v>748</v>
      </c>
      <c r="E2451" s="23"/>
      <c r="F2451" s="23"/>
      <c r="G2451" s="193">
        <v>26</v>
      </c>
      <c r="H2451" s="193"/>
      <c r="I2451" s="194"/>
      <c r="J2451" s="194"/>
      <c r="K2451" s="19"/>
      <c r="L2451" s="20"/>
    </row>
    <row r="2452" spans="1:12" outlineLevel="2">
      <c r="A2452" s="191"/>
      <c r="B2452" s="12" t="str">
        <f>IFERROR(VLOOKUP(D2452,'[1]Перечень товаров'!$A$2:$I9525,2,0),"")</f>
        <v>м209</v>
      </c>
      <c r="C2452" s="12" t="str">
        <f>IFERROR(VLOOKUP(D2452,'[1]Перечень товаров'!$A$2:$I9525,3,0),"")</f>
        <v>Мебель</v>
      </c>
      <c r="D2452" s="192" t="s">
        <v>749</v>
      </c>
      <c r="E2452" s="23"/>
      <c r="F2452" s="23"/>
      <c r="G2452" s="193">
        <v>1</v>
      </c>
      <c r="H2452" s="193"/>
      <c r="I2452" s="194"/>
      <c r="J2452" s="194"/>
      <c r="K2452" s="19"/>
      <c r="L2452" s="20"/>
    </row>
    <row r="2453" spans="1:12" ht="47.25" outlineLevel="2">
      <c r="A2453" s="191"/>
      <c r="B2453" s="12" t="str">
        <f>IFERROR(VLOOKUP(D2453,'[1]Перечень товаров'!$A$2:$I9525,2,0),"")</f>
        <v>м210</v>
      </c>
      <c r="C2453" s="12" t="str">
        <f>IFERROR(VLOOKUP(D2453,'[1]Перечень товаров'!$A$2:$I9525,3,0),"")</f>
        <v>Мебель</v>
      </c>
      <c r="D2453" s="192" t="s">
        <v>750</v>
      </c>
      <c r="E2453" s="23"/>
      <c r="F2453" s="23"/>
      <c r="G2453" s="193">
        <v>2</v>
      </c>
      <c r="H2453" s="193"/>
      <c r="I2453" s="194"/>
      <c r="J2453" s="194"/>
      <c r="K2453" s="19"/>
      <c r="L2453" s="20"/>
    </row>
    <row r="2454" spans="1:12" ht="47.25" outlineLevel="2">
      <c r="A2454" s="191"/>
      <c r="B2454" s="12" t="str">
        <f>IFERROR(VLOOKUP(D2454,'[1]Перечень товаров'!$A$2:$I9525,2,0),"")</f>
        <v>п91</v>
      </c>
      <c r="C2454" s="12" t="str">
        <f>IFERROR(VLOOKUP(D2454,'[1]Перечень товаров'!$A$2:$I9525,3,0),"")</f>
        <v>Прочее</v>
      </c>
      <c r="D2454" s="192" t="s">
        <v>751</v>
      </c>
      <c r="E2454" s="23"/>
      <c r="F2454" s="23"/>
      <c r="G2454" s="193">
        <v>1</v>
      </c>
      <c r="H2454" s="193"/>
      <c r="I2454" s="194"/>
      <c r="J2454" s="194"/>
      <c r="K2454" s="19"/>
      <c r="L2454" s="20"/>
    </row>
    <row r="2455" spans="1:12" ht="15" outlineLevel="2">
      <c r="A2455" s="179"/>
      <c r="B2455" s="12" t="str">
        <f>IFERROR(VLOOKUP(D2455,'[1]Перечень товаров'!$A$2:$I9525,2,0),"")</f>
        <v/>
      </c>
      <c r="C2455" s="12" t="str">
        <f>IFERROR(VLOOKUP(D2455,'[1]Перечень товаров'!$A$2:$I9525,3,0),"")</f>
        <v/>
      </c>
      <c r="D2455" s="180" t="s">
        <v>752</v>
      </c>
      <c r="E2455" s="61"/>
      <c r="F2455" s="61"/>
      <c r="G2455" s="195"/>
      <c r="H2455" s="195"/>
      <c r="I2455" s="196"/>
      <c r="J2455" s="196"/>
      <c r="K2455" s="19"/>
      <c r="L2455" s="20"/>
    </row>
    <row r="2456" spans="1:12" ht="15" outlineLevel="2">
      <c r="A2456" s="179"/>
      <c r="B2456" s="12" t="str">
        <f>IFERROR(VLOOKUP(D2456,'[1]Перечень товаров'!$A$2:$I9525,2,0),"")</f>
        <v/>
      </c>
      <c r="C2456" s="12" t="str">
        <f>IFERROR(VLOOKUP(D2456,'[1]Перечень товаров'!$A$2:$I9525,3,0),"")</f>
        <v/>
      </c>
      <c r="D2456" s="180" t="s">
        <v>753</v>
      </c>
      <c r="E2456" s="61"/>
      <c r="F2456" s="61"/>
      <c r="G2456" s="195"/>
      <c r="H2456" s="195"/>
      <c r="I2456" s="196"/>
      <c r="J2456" s="196"/>
      <c r="K2456" s="19"/>
      <c r="L2456" s="20"/>
    </row>
    <row r="2457" spans="1:12" ht="31.5" outlineLevel="2">
      <c r="A2457" s="191"/>
      <c r="B2457" s="12" t="str">
        <f>IFERROR(VLOOKUP(D2457,'[1]Перечень товаров'!$A$2:$I9525,2,0),"")</f>
        <v>д13</v>
      </c>
      <c r="C2457" s="12" t="str">
        <f>IFERROR(VLOOKUP(D2457,'[1]Перечень товаров'!$A$2:$I9525,3,0),"")</f>
        <v>Дидактика</v>
      </c>
      <c r="D2457" s="192" t="s">
        <v>754</v>
      </c>
      <c r="E2457" s="23"/>
      <c r="F2457" s="23"/>
      <c r="G2457" s="193">
        <v>1</v>
      </c>
      <c r="H2457" s="193"/>
      <c r="I2457" s="194"/>
      <c r="J2457" s="194"/>
      <c r="K2457" s="19"/>
      <c r="L2457" s="20"/>
    </row>
    <row r="2458" spans="1:12" ht="47.25" outlineLevel="2">
      <c r="A2458" s="191"/>
      <c r="B2458" s="12" t="str">
        <f>IFERROR(VLOOKUP(D2458,'[1]Перечень товаров'!$A$2:$I9525,2,0),"")</f>
        <v>д14</v>
      </c>
      <c r="C2458" s="12" t="str">
        <f>IFERROR(VLOOKUP(D2458,'[1]Перечень товаров'!$A$2:$I9525,3,0),"")</f>
        <v>Дидактика</v>
      </c>
      <c r="D2458" s="192" t="s">
        <v>755</v>
      </c>
      <c r="E2458" s="23"/>
      <c r="F2458" s="23"/>
      <c r="G2458" s="193">
        <v>1</v>
      </c>
      <c r="H2458" s="193"/>
      <c r="I2458" s="194"/>
      <c r="J2458" s="194"/>
      <c r="K2458" s="19"/>
      <c r="L2458" s="20"/>
    </row>
    <row r="2459" spans="1:12" ht="31.5" outlineLevel="2">
      <c r="A2459" s="191"/>
      <c r="B2459" s="12" t="str">
        <f>IFERROR(VLOOKUP(D2459,'[1]Перечень товаров'!$A$2:$I9525,2,0),"")</f>
        <v>д15</v>
      </c>
      <c r="C2459" s="12" t="str">
        <f>IFERROR(VLOOKUP(D2459,'[1]Перечень товаров'!$A$2:$I9525,3,0),"")</f>
        <v>Дидактика</v>
      </c>
      <c r="D2459" s="192" t="s">
        <v>756</v>
      </c>
      <c r="E2459" s="23"/>
      <c r="F2459" s="23"/>
      <c r="G2459" s="193">
        <v>1</v>
      </c>
      <c r="H2459" s="193"/>
      <c r="I2459" s="194"/>
      <c r="J2459" s="194"/>
      <c r="K2459" s="19"/>
      <c r="L2459" s="20"/>
    </row>
    <row r="2460" spans="1:12" ht="30" outlineLevel="2">
      <c r="A2460" s="179"/>
      <c r="B2460" s="12" t="str">
        <f>IFERROR(VLOOKUP(D2460,'[1]Перечень товаров'!$A$2:$I9525,2,0),"")</f>
        <v/>
      </c>
      <c r="C2460" s="12" t="str">
        <f>IFERROR(VLOOKUP(D2460,'[1]Перечень товаров'!$A$2:$I9525,3,0),"")</f>
        <v/>
      </c>
      <c r="D2460" s="180" t="s">
        <v>757</v>
      </c>
      <c r="E2460" s="61"/>
      <c r="F2460" s="61"/>
      <c r="G2460" s="195"/>
      <c r="H2460" s="195"/>
      <c r="I2460" s="196"/>
      <c r="J2460" s="196"/>
      <c r="K2460" s="19"/>
      <c r="L2460" s="20"/>
    </row>
    <row r="2461" spans="1:12" outlineLevel="2">
      <c r="A2461" s="191"/>
      <c r="B2461" s="12" t="str">
        <f>IFERROR(VLOOKUP(D2461,'[1]Перечень товаров'!$A$2:$I9525,2,0),"")</f>
        <v>п92</v>
      </c>
      <c r="C2461" s="12" t="str">
        <f>IFERROR(VLOOKUP(D2461,'[1]Перечень товаров'!$A$2:$I9525,3,0),"")</f>
        <v>Прочее</v>
      </c>
      <c r="D2461" s="192" t="s">
        <v>758</v>
      </c>
      <c r="E2461" s="23"/>
      <c r="F2461" s="23"/>
      <c r="G2461" s="193">
        <v>13</v>
      </c>
      <c r="H2461" s="193"/>
      <c r="I2461" s="194"/>
      <c r="J2461" s="194"/>
      <c r="K2461" s="19"/>
      <c r="L2461" s="20"/>
    </row>
    <row r="2462" spans="1:12" ht="31.5" outlineLevel="2">
      <c r="A2462" s="191"/>
      <c r="B2462" s="12" t="str">
        <f>IFERROR(VLOOKUP(D2462,'[1]Перечень товаров'!$A$2:$I9525,2,0),"")</f>
        <v>д16</v>
      </c>
      <c r="C2462" s="12" t="str">
        <f>IFERROR(VLOOKUP(D2462,'[1]Перечень товаров'!$A$2:$I9525,3,0),"")</f>
        <v>Дидактика</v>
      </c>
      <c r="D2462" s="192" t="s">
        <v>759</v>
      </c>
      <c r="E2462" s="23"/>
      <c r="F2462" s="23"/>
      <c r="G2462" s="193">
        <v>1</v>
      </c>
      <c r="H2462" s="193"/>
      <c r="I2462" s="194"/>
      <c r="J2462" s="194"/>
      <c r="K2462" s="19"/>
      <c r="L2462" s="20"/>
    </row>
    <row r="2463" spans="1:12" ht="31.5" outlineLevel="2">
      <c r="A2463" s="191"/>
      <c r="B2463" s="12" t="str">
        <f>IFERROR(VLOOKUP(D2463,'[1]Перечень товаров'!$A$2:$I9525,2,0),"")</f>
        <v>д17</v>
      </c>
      <c r="C2463" s="12" t="str">
        <f>IFERROR(VLOOKUP(D2463,'[1]Перечень товаров'!$A$2:$I9525,3,0),"")</f>
        <v>Дидактика</v>
      </c>
      <c r="D2463" s="192" t="s">
        <v>760</v>
      </c>
      <c r="E2463" s="23"/>
      <c r="F2463" s="23"/>
      <c r="G2463" s="193">
        <v>1</v>
      </c>
      <c r="H2463" s="193"/>
      <c r="I2463" s="194"/>
      <c r="J2463" s="194"/>
      <c r="K2463" s="19"/>
      <c r="L2463" s="20"/>
    </row>
    <row r="2464" spans="1:12" ht="31.5" outlineLevel="2">
      <c r="A2464" s="191"/>
      <c r="B2464" s="12" t="str">
        <f>IFERROR(VLOOKUP(D2464,'[1]Перечень товаров'!$A$2:$I9525,2,0),"")</f>
        <v>д18</v>
      </c>
      <c r="C2464" s="12" t="str">
        <f>IFERROR(VLOOKUP(D2464,'[1]Перечень товаров'!$A$2:$I9525,3,0),"")</f>
        <v>Дидактика</v>
      </c>
      <c r="D2464" s="192" t="s">
        <v>761</v>
      </c>
      <c r="E2464" s="23"/>
      <c r="F2464" s="23"/>
      <c r="G2464" s="193">
        <v>13</v>
      </c>
      <c r="H2464" s="193"/>
      <c r="I2464" s="194"/>
      <c r="J2464" s="194"/>
      <c r="K2464" s="19"/>
      <c r="L2464" s="20"/>
    </row>
    <row r="2465" spans="1:12" ht="31.5" outlineLevel="2">
      <c r="A2465" s="191"/>
      <c r="B2465" s="12" t="str">
        <f>IFERROR(VLOOKUP(D2465,'[1]Перечень товаров'!$A$2:$I9525,2,0),"")</f>
        <v>д19</v>
      </c>
      <c r="C2465" s="12" t="str">
        <f>IFERROR(VLOOKUP(D2465,'[1]Перечень товаров'!$A$2:$I9525,3,0),"")</f>
        <v>Дидактика</v>
      </c>
      <c r="D2465" s="192" t="s">
        <v>762</v>
      </c>
      <c r="E2465" s="23"/>
      <c r="F2465" s="23"/>
      <c r="G2465" s="193">
        <v>1</v>
      </c>
      <c r="H2465" s="193"/>
      <c r="I2465" s="194"/>
      <c r="J2465" s="194"/>
      <c r="K2465" s="19"/>
      <c r="L2465" s="20"/>
    </row>
    <row r="2466" spans="1:12" ht="31.5" outlineLevel="2">
      <c r="A2466" s="191"/>
      <c r="B2466" s="12" t="str">
        <f>IFERROR(VLOOKUP(D2466,'[1]Перечень товаров'!$A$2:$I9525,2,0),"")</f>
        <v>д20</v>
      </c>
      <c r="C2466" s="12" t="str">
        <f>IFERROR(VLOOKUP(D2466,'[1]Перечень товаров'!$A$2:$I9525,3,0),"")</f>
        <v>Дидактика</v>
      </c>
      <c r="D2466" s="192" t="s">
        <v>763</v>
      </c>
      <c r="E2466" s="23"/>
      <c r="F2466" s="23"/>
      <c r="G2466" s="193">
        <v>1</v>
      </c>
      <c r="H2466" s="193"/>
      <c r="I2466" s="194"/>
      <c r="J2466" s="194"/>
      <c r="K2466" s="19"/>
      <c r="L2466" s="20"/>
    </row>
    <row r="2467" spans="1:12" ht="63" outlineLevel="2">
      <c r="A2467" s="191"/>
      <c r="B2467" s="12" t="str">
        <f>IFERROR(VLOOKUP(D2467,'[1]Перечень товаров'!$A$2:$I9525,2,0),"")</f>
        <v>д21</v>
      </c>
      <c r="C2467" s="12" t="str">
        <f>IFERROR(VLOOKUP(D2467,'[1]Перечень товаров'!$A$2:$I9525,3,0),"")</f>
        <v>Дидактика</v>
      </c>
      <c r="D2467" s="192" t="s">
        <v>764</v>
      </c>
      <c r="E2467" s="23"/>
      <c r="F2467" s="23"/>
      <c r="G2467" s="193">
        <v>1</v>
      </c>
      <c r="H2467" s="193"/>
      <c r="I2467" s="194"/>
      <c r="J2467" s="194"/>
      <c r="K2467" s="19"/>
      <c r="L2467" s="20"/>
    </row>
    <row r="2468" spans="1:12" ht="47.25" outlineLevel="2">
      <c r="A2468" s="191"/>
      <c r="B2468" s="12" t="str">
        <f>IFERROR(VLOOKUP(D2468,'[1]Перечень товаров'!$A$2:$I9525,2,0),"")</f>
        <v>д22</v>
      </c>
      <c r="C2468" s="12" t="str">
        <f>IFERROR(VLOOKUP(D2468,'[1]Перечень товаров'!$A$2:$I9525,3,0),"")</f>
        <v>Дидактика</v>
      </c>
      <c r="D2468" s="192" t="s">
        <v>765</v>
      </c>
      <c r="E2468" s="23"/>
      <c r="F2468" s="23"/>
      <c r="G2468" s="193">
        <v>1</v>
      </c>
      <c r="H2468" s="193"/>
      <c r="I2468" s="194"/>
      <c r="J2468" s="194"/>
      <c r="K2468" s="19"/>
      <c r="L2468" s="20"/>
    </row>
    <row r="2469" spans="1:12" ht="31.5" outlineLevel="2">
      <c r="A2469" s="191"/>
      <c r="B2469" s="12" t="str">
        <f>IFERROR(VLOOKUP(D2469,'[1]Перечень товаров'!$A$2:$I9525,2,0),"")</f>
        <v>д23</v>
      </c>
      <c r="C2469" s="12" t="str">
        <f>IFERROR(VLOOKUP(D2469,'[1]Перечень товаров'!$A$2:$I9525,3,0),"")</f>
        <v>Дидактика</v>
      </c>
      <c r="D2469" s="192" t="s">
        <v>766</v>
      </c>
      <c r="E2469" s="23"/>
      <c r="F2469" s="23"/>
      <c r="G2469" s="193">
        <v>13</v>
      </c>
      <c r="H2469" s="193"/>
      <c r="I2469" s="194"/>
      <c r="J2469" s="194"/>
      <c r="K2469" s="19"/>
      <c r="L2469" s="20"/>
    </row>
    <row r="2470" spans="1:12" ht="78.75" outlineLevel="2">
      <c r="A2470" s="191"/>
      <c r="B2470" s="12" t="str">
        <f>IFERROR(VLOOKUP(D2470,'[1]Перечень товаров'!$A$2:$I9525,2,0),"")</f>
        <v>д24</v>
      </c>
      <c r="C2470" s="12" t="str">
        <f>IFERROR(VLOOKUP(D2470,'[1]Перечень товаров'!$A$2:$I9525,3,0),"")</f>
        <v>Дидактика</v>
      </c>
      <c r="D2470" s="192" t="s">
        <v>767</v>
      </c>
      <c r="E2470" s="23"/>
      <c r="F2470" s="23"/>
      <c r="G2470" s="193">
        <v>1</v>
      </c>
      <c r="H2470" s="193"/>
      <c r="I2470" s="194"/>
      <c r="J2470" s="194"/>
      <c r="K2470" s="19"/>
      <c r="L2470" s="20"/>
    </row>
    <row r="2471" spans="1:12" ht="31.5" outlineLevel="2">
      <c r="A2471" s="191"/>
      <c r="B2471" s="12" t="str">
        <f>IFERROR(VLOOKUP(D2471,'[1]Перечень товаров'!$A$2:$I9525,2,0),"")</f>
        <v>д25</v>
      </c>
      <c r="C2471" s="12" t="str">
        <f>IFERROR(VLOOKUP(D2471,'[1]Перечень товаров'!$A$2:$I9525,3,0),"")</f>
        <v>Дидактика</v>
      </c>
      <c r="D2471" s="192" t="s">
        <v>768</v>
      </c>
      <c r="E2471" s="23"/>
      <c r="F2471" s="23"/>
      <c r="G2471" s="193">
        <v>1</v>
      </c>
      <c r="H2471" s="193"/>
      <c r="I2471" s="194"/>
      <c r="J2471" s="194"/>
      <c r="K2471" s="19"/>
      <c r="L2471" s="20"/>
    </row>
    <row r="2472" spans="1:12" outlineLevel="2">
      <c r="A2472" s="191"/>
      <c r="B2472" s="12" t="str">
        <f>IFERROR(VLOOKUP(D2472,'[1]Перечень товаров'!$A$2:$I9525,2,0),"")</f>
        <v>п92</v>
      </c>
      <c r="C2472" s="12" t="str">
        <f>IFERROR(VLOOKUP(D2472,'[1]Перечень товаров'!$A$2:$I9525,3,0),"")</f>
        <v>Прочее</v>
      </c>
      <c r="D2472" s="192" t="s">
        <v>769</v>
      </c>
      <c r="E2472" s="23"/>
      <c r="F2472" s="23"/>
      <c r="G2472" s="193">
        <v>13</v>
      </c>
      <c r="H2472" s="193"/>
      <c r="I2472" s="194"/>
      <c r="J2472" s="194"/>
      <c r="K2472" s="19"/>
      <c r="L2472" s="20"/>
    </row>
    <row r="2473" spans="1:12" ht="15" outlineLevel="2">
      <c r="A2473" s="179"/>
      <c r="B2473" s="12" t="str">
        <f>IFERROR(VLOOKUP(D2473,'[1]Перечень товаров'!$A$2:$I9525,2,0),"")</f>
        <v/>
      </c>
      <c r="C2473" s="12" t="str">
        <f>IFERROR(VLOOKUP(D2473,'[1]Перечень товаров'!$A$2:$I9525,3,0),"")</f>
        <v/>
      </c>
      <c r="D2473" s="180" t="s">
        <v>770</v>
      </c>
      <c r="E2473" s="61"/>
      <c r="F2473" s="61"/>
      <c r="G2473" s="195"/>
      <c r="H2473" s="195"/>
      <c r="I2473" s="196"/>
      <c r="J2473" s="196"/>
      <c r="K2473" s="19"/>
      <c r="L2473" s="20"/>
    </row>
    <row r="2474" spans="1:12" ht="31.5" outlineLevel="2">
      <c r="A2474" s="191"/>
      <c r="B2474" s="12" t="str">
        <f>IFERROR(VLOOKUP(D2474,'[1]Перечень товаров'!$A$2:$I9525,2,0),"")</f>
        <v>д26</v>
      </c>
      <c r="C2474" s="12" t="str">
        <f>IFERROR(VLOOKUP(D2474,'[1]Перечень товаров'!$A$2:$I9525,3,0),"")</f>
        <v>Дидактика</v>
      </c>
      <c r="D2474" s="192" t="s">
        <v>771</v>
      </c>
      <c r="E2474" s="23"/>
      <c r="F2474" s="23"/>
      <c r="G2474" s="193">
        <v>1</v>
      </c>
      <c r="H2474" s="193"/>
      <c r="I2474" s="194"/>
      <c r="J2474" s="194"/>
      <c r="K2474" s="19"/>
      <c r="L2474" s="20"/>
    </row>
    <row r="2475" spans="1:12" ht="31.5" outlineLevel="2">
      <c r="A2475" s="191"/>
      <c r="B2475" s="12" t="str">
        <f>IFERROR(VLOOKUP(D2475,'[1]Перечень товаров'!$A$2:$I9525,2,0),"")</f>
        <v>д27</v>
      </c>
      <c r="C2475" s="12" t="str">
        <f>IFERROR(VLOOKUP(D2475,'[1]Перечень товаров'!$A$2:$I9525,3,0),"")</f>
        <v>Дидактика</v>
      </c>
      <c r="D2475" s="192" t="s">
        <v>772</v>
      </c>
      <c r="E2475" s="23"/>
      <c r="F2475" s="23"/>
      <c r="G2475" s="193">
        <v>1</v>
      </c>
      <c r="H2475" s="193"/>
      <c r="I2475" s="194"/>
      <c r="J2475" s="194"/>
      <c r="K2475" s="19"/>
      <c r="L2475" s="20"/>
    </row>
    <row r="2476" spans="1:12" ht="47.25" outlineLevel="2">
      <c r="A2476" s="191"/>
      <c r="B2476" s="12" t="str">
        <f>IFERROR(VLOOKUP(D2476,'[1]Перечень товаров'!$A$2:$I9525,2,0),"")</f>
        <v>д28</v>
      </c>
      <c r="C2476" s="12" t="str">
        <f>IFERROR(VLOOKUP(D2476,'[1]Перечень товаров'!$A$2:$I9525,3,0),"")</f>
        <v>Дидактика</v>
      </c>
      <c r="D2476" s="192" t="s">
        <v>773</v>
      </c>
      <c r="E2476" s="23"/>
      <c r="F2476" s="23"/>
      <c r="G2476" s="193">
        <v>1</v>
      </c>
      <c r="H2476" s="193"/>
      <c r="I2476" s="194"/>
      <c r="J2476" s="194"/>
      <c r="K2476" s="19"/>
      <c r="L2476" s="20"/>
    </row>
    <row r="2477" spans="1:12" ht="31.5" outlineLevel="2">
      <c r="A2477" s="191"/>
      <c r="B2477" s="12" t="str">
        <f>IFERROR(VLOOKUP(D2477,'[1]Перечень товаров'!$A$2:$I9525,2,0),"")</f>
        <v>д29</v>
      </c>
      <c r="C2477" s="12" t="str">
        <f>IFERROR(VLOOKUP(D2477,'[1]Перечень товаров'!$A$2:$I9525,3,0),"")</f>
        <v>Дидактика</v>
      </c>
      <c r="D2477" s="192" t="s">
        <v>774</v>
      </c>
      <c r="E2477" s="23"/>
      <c r="F2477" s="23"/>
      <c r="G2477" s="193">
        <v>1</v>
      </c>
      <c r="H2477" s="193"/>
      <c r="I2477" s="194"/>
      <c r="J2477" s="194"/>
      <c r="K2477" s="19"/>
      <c r="L2477" s="20"/>
    </row>
    <row r="2478" spans="1:12" ht="31.5" outlineLevel="2">
      <c r="A2478" s="191"/>
      <c r="B2478" s="12" t="str">
        <f>IFERROR(VLOOKUP(D2478,'[1]Перечень товаров'!$A$2:$I9525,2,0),"")</f>
        <v>д30</v>
      </c>
      <c r="C2478" s="12" t="str">
        <f>IFERROR(VLOOKUP(D2478,'[1]Перечень товаров'!$A$2:$I9525,3,0),"")</f>
        <v>Дидактика</v>
      </c>
      <c r="D2478" s="192" t="s">
        <v>775</v>
      </c>
      <c r="E2478" s="23"/>
      <c r="F2478" s="23"/>
      <c r="G2478" s="193">
        <v>1</v>
      </c>
      <c r="H2478" s="193"/>
      <c r="I2478" s="194"/>
      <c r="J2478" s="194"/>
      <c r="K2478" s="19"/>
      <c r="L2478" s="20"/>
    </row>
    <row r="2479" spans="1:12" ht="31.5" outlineLevel="2">
      <c r="A2479" s="191"/>
      <c r="B2479" s="12" t="str">
        <f>IFERROR(VLOOKUP(D2479,'[1]Перечень товаров'!$A$2:$I9525,2,0),"")</f>
        <v>д31</v>
      </c>
      <c r="C2479" s="12" t="str">
        <f>IFERROR(VLOOKUP(D2479,'[1]Перечень товаров'!$A$2:$I9525,3,0),"")</f>
        <v>Дидактика</v>
      </c>
      <c r="D2479" s="192" t="s">
        <v>776</v>
      </c>
      <c r="E2479" s="23"/>
      <c r="F2479" s="23"/>
      <c r="G2479" s="193">
        <v>1</v>
      </c>
      <c r="H2479" s="193"/>
      <c r="I2479" s="194"/>
      <c r="J2479" s="194"/>
      <c r="K2479" s="19"/>
      <c r="L2479" s="20"/>
    </row>
    <row r="2480" spans="1:12" ht="31.5" outlineLevel="2">
      <c r="A2480" s="191"/>
      <c r="B2480" s="12" t="str">
        <f>IFERROR(VLOOKUP(D2480,'[1]Перечень товаров'!$A$2:$I9525,2,0),"")</f>
        <v>д32</v>
      </c>
      <c r="C2480" s="12" t="str">
        <f>IFERROR(VLOOKUP(D2480,'[1]Перечень товаров'!$A$2:$I9525,3,0),"")</f>
        <v>Дидактика</v>
      </c>
      <c r="D2480" s="192" t="s">
        <v>777</v>
      </c>
      <c r="E2480" s="23"/>
      <c r="F2480" s="23"/>
      <c r="G2480" s="193">
        <v>1</v>
      </c>
      <c r="H2480" s="193"/>
      <c r="I2480" s="194"/>
      <c r="J2480" s="194"/>
      <c r="K2480" s="19"/>
      <c r="L2480" s="20"/>
    </row>
    <row r="2481" spans="1:12" ht="47.25" outlineLevel="2">
      <c r="A2481" s="191"/>
      <c r="B2481" s="12" t="str">
        <f>IFERROR(VLOOKUP(D2481,'[1]Перечень товаров'!$A$2:$I9525,2,0),"")</f>
        <v>д33</v>
      </c>
      <c r="C2481" s="12" t="str">
        <f>IFERROR(VLOOKUP(D2481,'[1]Перечень товаров'!$A$2:$I9525,3,0),"")</f>
        <v>Дидактика</v>
      </c>
      <c r="D2481" s="192" t="s">
        <v>778</v>
      </c>
      <c r="E2481" s="23"/>
      <c r="F2481" s="23"/>
      <c r="G2481" s="193">
        <v>1</v>
      </c>
      <c r="H2481" s="193"/>
      <c r="I2481" s="194"/>
      <c r="J2481" s="194"/>
      <c r="K2481" s="19"/>
      <c r="L2481" s="20"/>
    </row>
    <row r="2482" spans="1:12" ht="31.5" outlineLevel="2">
      <c r="A2482" s="191"/>
      <c r="B2482" s="12" t="str">
        <f>IFERROR(VLOOKUP(D2482,'[1]Перечень товаров'!$A$2:$I9525,2,0),"")</f>
        <v>д34</v>
      </c>
      <c r="C2482" s="12" t="str">
        <f>IFERROR(VLOOKUP(D2482,'[1]Перечень товаров'!$A$2:$I9525,3,0),"")</f>
        <v>Дидактика</v>
      </c>
      <c r="D2482" s="192" t="s">
        <v>779</v>
      </c>
      <c r="E2482" s="23"/>
      <c r="F2482" s="23"/>
      <c r="G2482" s="193">
        <v>1</v>
      </c>
      <c r="H2482" s="193"/>
      <c r="I2482" s="194"/>
      <c r="J2482" s="194"/>
      <c r="K2482" s="19"/>
      <c r="L2482" s="20"/>
    </row>
    <row r="2483" spans="1:12" ht="31.5" outlineLevel="2">
      <c r="A2483" s="191"/>
      <c r="B2483" s="12" t="str">
        <f>IFERROR(VLOOKUP(D2483,'[1]Перечень товаров'!$A$2:$I9525,2,0),"")</f>
        <v>д35</v>
      </c>
      <c r="C2483" s="12" t="str">
        <f>IFERROR(VLOOKUP(D2483,'[1]Перечень товаров'!$A$2:$I9525,3,0),"")</f>
        <v>Дидактика</v>
      </c>
      <c r="D2483" s="192" t="s">
        <v>780</v>
      </c>
      <c r="E2483" s="23"/>
      <c r="F2483" s="23"/>
      <c r="G2483" s="193">
        <v>1</v>
      </c>
      <c r="H2483" s="193"/>
      <c r="I2483" s="194"/>
      <c r="J2483" s="194"/>
      <c r="K2483" s="19"/>
      <c r="L2483" s="20"/>
    </row>
    <row r="2484" spans="1:12" ht="31.5" outlineLevel="2">
      <c r="A2484" s="191"/>
      <c r="B2484" s="12" t="str">
        <f>IFERROR(VLOOKUP(D2484,'[1]Перечень товаров'!$A$2:$I9525,2,0),"")</f>
        <v>д36</v>
      </c>
      <c r="C2484" s="12" t="str">
        <f>IFERROR(VLOOKUP(D2484,'[1]Перечень товаров'!$A$2:$I9525,3,0),"")</f>
        <v>Дидактика</v>
      </c>
      <c r="D2484" s="192" t="s">
        <v>781</v>
      </c>
      <c r="E2484" s="23"/>
      <c r="F2484" s="23"/>
      <c r="G2484" s="193">
        <v>1</v>
      </c>
      <c r="H2484" s="193"/>
      <c r="I2484" s="194"/>
      <c r="J2484" s="194"/>
      <c r="K2484" s="19"/>
      <c r="L2484" s="20"/>
    </row>
    <row r="2485" spans="1:12" outlineLevel="2">
      <c r="A2485" s="191"/>
      <c r="B2485" s="12" t="str">
        <f>IFERROR(VLOOKUP(D2485,'[1]Перечень товаров'!$A$2:$I9525,2,0),"")</f>
        <v>д37</v>
      </c>
      <c r="C2485" s="12" t="str">
        <f>IFERROR(VLOOKUP(D2485,'[1]Перечень товаров'!$A$2:$I9525,3,0),"")</f>
        <v>Дидактика</v>
      </c>
      <c r="D2485" s="192" t="s">
        <v>782</v>
      </c>
      <c r="E2485" s="23"/>
      <c r="F2485" s="23"/>
      <c r="G2485" s="193">
        <v>1</v>
      </c>
      <c r="H2485" s="193"/>
      <c r="I2485" s="194"/>
      <c r="J2485" s="194"/>
      <c r="K2485" s="19"/>
      <c r="L2485" s="20"/>
    </row>
    <row r="2486" spans="1:12" ht="31.5" outlineLevel="2">
      <c r="A2486" s="191"/>
      <c r="B2486" s="12" t="str">
        <f>IFERROR(VLOOKUP(D2486,'[1]Перечень товаров'!$A$2:$I9525,2,0),"")</f>
        <v>д38</v>
      </c>
      <c r="C2486" s="12" t="str">
        <f>IFERROR(VLOOKUP(D2486,'[1]Перечень товаров'!$A$2:$I9525,3,0),"")</f>
        <v>Дидактика</v>
      </c>
      <c r="D2486" s="192" t="s">
        <v>783</v>
      </c>
      <c r="E2486" s="23"/>
      <c r="F2486" s="23"/>
      <c r="G2486" s="193">
        <v>1</v>
      </c>
      <c r="H2486" s="193"/>
      <c r="I2486" s="194"/>
      <c r="J2486" s="194"/>
      <c r="K2486" s="19"/>
      <c r="L2486" s="20"/>
    </row>
    <row r="2487" spans="1:12" outlineLevel="2">
      <c r="A2487" s="191"/>
      <c r="B2487" s="12" t="str">
        <f>IFERROR(VLOOKUP(D2487,'[1]Перечень товаров'!$A$2:$I9525,2,0),"")</f>
        <v>д39</v>
      </c>
      <c r="C2487" s="12" t="str">
        <f>IFERROR(VLOOKUP(D2487,'[1]Перечень товаров'!$A$2:$I9525,3,0),"")</f>
        <v>Дидактика</v>
      </c>
      <c r="D2487" s="192" t="s">
        <v>784</v>
      </c>
      <c r="E2487" s="23"/>
      <c r="F2487" s="23"/>
      <c r="G2487" s="193">
        <v>1</v>
      </c>
      <c r="H2487" s="193"/>
      <c r="I2487" s="194"/>
      <c r="J2487" s="194"/>
      <c r="K2487" s="19"/>
      <c r="L2487" s="20"/>
    </row>
    <row r="2488" spans="1:12" ht="31.5" outlineLevel="2">
      <c r="A2488" s="191"/>
      <c r="B2488" s="12" t="str">
        <f>IFERROR(VLOOKUP(D2488,'[1]Перечень товаров'!$A$2:$I9525,2,0),"")</f>
        <v>д40</v>
      </c>
      <c r="C2488" s="12" t="str">
        <f>IFERROR(VLOOKUP(D2488,'[1]Перечень товаров'!$A$2:$I9525,3,0),"")</f>
        <v>Дидактика</v>
      </c>
      <c r="D2488" s="192" t="s">
        <v>785</v>
      </c>
      <c r="E2488" s="23"/>
      <c r="F2488" s="23"/>
      <c r="G2488" s="193">
        <v>1</v>
      </c>
      <c r="H2488" s="193"/>
      <c r="I2488" s="194"/>
      <c r="J2488" s="194"/>
      <c r="K2488" s="19"/>
      <c r="L2488" s="20"/>
    </row>
    <row r="2489" spans="1:12" ht="47.25" outlineLevel="2">
      <c r="A2489" s="191"/>
      <c r="B2489" s="12" t="str">
        <f>IFERROR(VLOOKUP(D2489,'[1]Перечень товаров'!$A$2:$I9525,2,0),"")</f>
        <v>д41</v>
      </c>
      <c r="C2489" s="12" t="str">
        <f>IFERROR(VLOOKUP(D2489,'[1]Перечень товаров'!$A$2:$I9525,3,0),"")</f>
        <v>Дидактика</v>
      </c>
      <c r="D2489" s="192" t="s">
        <v>786</v>
      </c>
      <c r="E2489" s="23"/>
      <c r="F2489" s="23"/>
      <c r="G2489" s="193">
        <v>1</v>
      </c>
      <c r="H2489" s="193"/>
      <c r="I2489" s="194"/>
      <c r="J2489" s="194"/>
      <c r="K2489" s="19"/>
      <c r="L2489" s="20"/>
    </row>
    <row r="2490" spans="1:12" ht="31.5" outlineLevel="2">
      <c r="A2490" s="191"/>
      <c r="B2490" s="12" t="str">
        <f>IFERROR(VLOOKUP(D2490,'[1]Перечень товаров'!$A$2:$I9525,2,0),"")</f>
        <v>д42</v>
      </c>
      <c r="C2490" s="12" t="str">
        <f>IFERROR(VLOOKUP(D2490,'[1]Перечень товаров'!$A$2:$I9525,3,0),"")</f>
        <v>Дидактика</v>
      </c>
      <c r="D2490" s="192" t="s">
        <v>787</v>
      </c>
      <c r="E2490" s="23"/>
      <c r="F2490" s="23"/>
      <c r="G2490" s="193">
        <v>1</v>
      </c>
      <c r="H2490" s="193"/>
      <c r="I2490" s="194"/>
      <c r="J2490" s="194"/>
      <c r="K2490" s="19"/>
      <c r="L2490" s="20"/>
    </row>
    <row r="2491" spans="1:12" ht="31.5" outlineLevel="2">
      <c r="A2491" s="191"/>
      <c r="B2491" s="12" t="str">
        <f>IFERROR(VLOOKUP(D2491,'[1]Перечень товаров'!$A$2:$I9525,2,0),"")</f>
        <v>д43</v>
      </c>
      <c r="C2491" s="12" t="str">
        <f>IFERROR(VLOOKUP(D2491,'[1]Перечень товаров'!$A$2:$I9525,3,0),"")</f>
        <v>Дидактика</v>
      </c>
      <c r="D2491" s="192" t="s">
        <v>788</v>
      </c>
      <c r="E2491" s="23"/>
      <c r="F2491" s="23"/>
      <c r="G2491" s="193">
        <v>1</v>
      </c>
      <c r="H2491" s="193"/>
      <c r="I2491" s="194"/>
      <c r="J2491" s="194"/>
      <c r="K2491" s="19"/>
      <c r="L2491" s="20"/>
    </row>
    <row r="2492" spans="1:12" ht="31.5" outlineLevel="2">
      <c r="A2492" s="191"/>
      <c r="B2492" s="12" t="str">
        <f>IFERROR(VLOOKUP(D2492,'[1]Перечень товаров'!$A$2:$I9525,2,0),"")</f>
        <v>д44</v>
      </c>
      <c r="C2492" s="12" t="str">
        <f>IFERROR(VLOOKUP(D2492,'[1]Перечень товаров'!$A$2:$I9525,3,0),"")</f>
        <v>Дидактика</v>
      </c>
      <c r="D2492" s="192" t="s">
        <v>789</v>
      </c>
      <c r="E2492" s="23"/>
      <c r="F2492" s="23"/>
      <c r="G2492" s="193">
        <v>1</v>
      </c>
      <c r="H2492" s="193"/>
      <c r="I2492" s="194"/>
      <c r="J2492" s="194"/>
      <c r="K2492" s="19"/>
      <c r="L2492" s="20"/>
    </row>
    <row r="2493" spans="1:12" ht="47.25" outlineLevel="2">
      <c r="A2493" s="191"/>
      <c r="B2493" s="12" t="str">
        <f>IFERROR(VLOOKUP(D2493,'[1]Перечень товаров'!$A$2:$I9525,2,0),"")</f>
        <v>д45</v>
      </c>
      <c r="C2493" s="12" t="str">
        <f>IFERROR(VLOOKUP(D2493,'[1]Перечень товаров'!$A$2:$I9525,3,0),"")</f>
        <v>Дидактика</v>
      </c>
      <c r="D2493" s="192" t="s">
        <v>790</v>
      </c>
      <c r="E2493" s="23"/>
      <c r="F2493" s="23"/>
      <c r="G2493" s="193">
        <v>1</v>
      </c>
      <c r="H2493" s="193"/>
      <c r="I2493" s="194"/>
      <c r="J2493" s="194"/>
      <c r="K2493" s="19"/>
      <c r="L2493" s="20"/>
    </row>
    <row r="2494" spans="1:12" ht="31.5" outlineLevel="2">
      <c r="A2494" s="191"/>
      <c r="B2494" s="12" t="str">
        <f>IFERROR(VLOOKUP(D2494,'[1]Перечень товаров'!$A$2:$I9525,2,0),"")</f>
        <v>д46</v>
      </c>
      <c r="C2494" s="12" t="str">
        <f>IFERROR(VLOOKUP(D2494,'[1]Перечень товаров'!$A$2:$I9525,3,0),"")</f>
        <v>Дидактика</v>
      </c>
      <c r="D2494" s="192" t="s">
        <v>791</v>
      </c>
      <c r="E2494" s="23"/>
      <c r="F2494" s="23"/>
      <c r="G2494" s="193">
        <v>1</v>
      </c>
      <c r="H2494" s="193"/>
      <c r="I2494" s="194"/>
      <c r="J2494" s="194"/>
      <c r="K2494" s="19"/>
      <c r="L2494" s="20"/>
    </row>
    <row r="2495" spans="1:12" ht="31.5" outlineLevel="2">
      <c r="A2495" s="191"/>
      <c r="B2495" s="12" t="str">
        <f>IFERROR(VLOOKUP(D2495,'[1]Перечень товаров'!$A$2:$I9525,2,0),"")</f>
        <v>д47</v>
      </c>
      <c r="C2495" s="12" t="str">
        <f>IFERROR(VLOOKUP(D2495,'[1]Перечень товаров'!$A$2:$I9525,3,0),"")</f>
        <v>Дидактика</v>
      </c>
      <c r="D2495" s="192" t="s">
        <v>792</v>
      </c>
      <c r="E2495" s="23"/>
      <c r="F2495" s="23"/>
      <c r="G2495" s="193">
        <v>1</v>
      </c>
      <c r="H2495" s="193"/>
      <c r="I2495" s="194"/>
      <c r="J2495" s="194"/>
      <c r="K2495" s="19"/>
      <c r="L2495" s="20"/>
    </row>
    <row r="2496" spans="1:12" ht="31.5" outlineLevel="2">
      <c r="A2496" s="191"/>
      <c r="B2496" s="12" t="str">
        <f>IFERROR(VLOOKUP(D2496,'[1]Перечень товаров'!$A$2:$I9525,2,0),"")</f>
        <v>д48</v>
      </c>
      <c r="C2496" s="12" t="str">
        <f>IFERROR(VLOOKUP(D2496,'[1]Перечень товаров'!$A$2:$I9525,3,0),"")</f>
        <v>Дидактика</v>
      </c>
      <c r="D2496" s="192" t="s">
        <v>793</v>
      </c>
      <c r="E2496" s="23"/>
      <c r="F2496" s="23"/>
      <c r="G2496" s="193">
        <v>1</v>
      </c>
      <c r="H2496" s="193"/>
      <c r="I2496" s="194"/>
      <c r="J2496" s="194"/>
      <c r="K2496" s="19"/>
      <c r="L2496" s="20"/>
    </row>
    <row r="2497" spans="1:12" ht="31.5" outlineLevel="2">
      <c r="A2497" s="191"/>
      <c r="B2497" s="12" t="str">
        <f>IFERROR(VLOOKUP(D2497,'[1]Перечень товаров'!$A$2:$I9525,2,0),"")</f>
        <v>д49</v>
      </c>
      <c r="C2497" s="12" t="str">
        <f>IFERROR(VLOOKUP(D2497,'[1]Перечень товаров'!$A$2:$I9525,3,0),"")</f>
        <v>Дидактика</v>
      </c>
      <c r="D2497" s="192" t="s">
        <v>794</v>
      </c>
      <c r="E2497" s="23"/>
      <c r="F2497" s="23"/>
      <c r="G2497" s="193">
        <v>1</v>
      </c>
      <c r="H2497" s="193"/>
      <c r="I2497" s="194"/>
      <c r="J2497" s="194"/>
      <c r="K2497" s="19"/>
      <c r="L2497" s="20"/>
    </row>
    <row r="2498" spans="1:12" ht="31.5" outlineLevel="2">
      <c r="A2498" s="191"/>
      <c r="B2498" s="12" t="str">
        <f>IFERROR(VLOOKUP(D2498,'[1]Перечень товаров'!$A$2:$I9525,2,0),"")</f>
        <v>д50</v>
      </c>
      <c r="C2498" s="12" t="str">
        <f>IFERROR(VLOOKUP(D2498,'[1]Перечень товаров'!$A$2:$I9525,3,0),"")</f>
        <v>Дидактика</v>
      </c>
      <c r="D2498" s="192" t="s">
        <v>795</v>
      </c>
      <c r="E2498" s="23"/>
      <c r="F2498" s="23"/>
      <c r="G2498" s="193">
        <v>1</v>
      </c>
      <c r="H2498" s="193"/>
      <c r="I2498" s="194"/>
      <c r="J2498" s="194"/>
      <c r="K2498" s="19"/>
      <c r="L2498" s="20"/>
    </row>
    <row r="2499" spans="1:12" ht="31.5" outlineLevel="2">
      <c r="A2499" s="191"/>
      <c r="B2499" s="12" t="str">
        <f>IFERROR(VLOOKUP(D2499,'[1]Перечень товаров'!$A$2:$I9525,2,0),"")</f>
        <v>д51</v>
      </c>
      <c r="C2499" s="12" t="str">
        <f>IFERROR(VLOOKUP(D2499,'[1]Перечень товаров'!$A$2:$I9525,3,0),"")</f>
        <v>Дидактика</v>
      </c>
      <c r="D2499" s="192" t="s">
        <v>796</v>
      </c>
      <c r="E2499" s="23"/>
      <c r="F2499" s="23"/>
      <c r="G2499" s="193">
        <v>1</v>
      </c>
      <c r="H2499" s="193"/>
      <c r="I2499" s="194"/>
      <c r="J2499" s="194"/>
      <c r="K2499" s="19"/>
      <c r="L2499" s="20"/>
    </row>
    <row r="2500" spans="1:12" ht="31.5" outlineLevel="2">
      <c r="A2500" s="191"/>
      <c r="B2500" s="12" t="str">
        <f>IFERROR(VLOOKUP(D2500,'[1]Перечень товаров'!$A$2:$I9525,2,0),"")</f>
        <v>д34</v>
      </c>
      <c r="C2500" s="12" t="str">
        <f>IFERROR(VLOOKUP(D2500,'[1]Перечень товаров'!$A$2:$I9525,3,0),"")</f>
        <v>Дидактика</v>
      </c>
      <c r="D2500" s="192" t="s">
        <v>779</v>
      </c>
      <c r="E2500" s="23"/>
      <c r="F2500" s="23"/>
      <c r="G2500" s="193">
        <v>1</v>
      </c>
      <c r="H2500" s="193"/>
      <c r="I2500" s="194"/>
      <c r="J2500" s="194"/>
      <c r="K2500" s="19"/>
      <c r="L2500" s="20"/>
    </row>
    <row r="2501" spans="1:12" ht="31.5" outlineLevel="2">
      <c r="A2501" s="191"/>
      <c r="B2501" s="12" t="str">
        <f>IFERROR(VLOOKUP(D2501,'[1]Перечень товаров'!$A$2:$I9525,2,0),"")</f>
        <v>д52</v>
      </c>
      <c r="C2501" s="12" t="str">
        <f>IFERROR(VLOOKUP(D2501,'[1]Перечень товаров'!$A$2:$I9525,3,0),"")</f>
        <v>Дидактика</v>
      </c>
      <c r="D2501" s="192" t="s">
        <v>797</v>
      </c>
      <c r="E2501" s="23"/>
      <c r="F2501" s="23"/>
      <c r="G2501" s="193">
        <v>1</v>
      </c>
      <c r="H2501" s="193"/>
      <c r="I2501" s="194"/>
      <c r="J2501" s="194"/>
      <c r="K2501" s="19"/>
      <c r="L2501" s="20"/>
    </row>
    <row r="2502" spans="1:12" ht="31.5" outlineLevel="2">
      <c r="A2502" s="191"/>
      <c r="B2502" s="12" t="str">
        <f>IFERROR(VLOOKUP(D2502,'[1]Перечень товаров'!$A$2:$I9525,2,0),"")</f>
        <v>д53</v>
      </c>
      <c r="C2502" s="12" t="str">
        <f>IFERROR(VLOOKUP(D2502,'[1]Перечень товаров'!$A$2:$I9525,3,0),"")</f>
        <v>Дидактика</v>
      </c>
      <c r="D2502" s="192" t="s">
        <v>798</v>
      </c>
      <c r="E2502" s="23"/>
      <c r="F2502" s="23"/>
      <c r="G2502" s="193">
        <v>1</v>
      </c>
      <c r="H2502" s="193"/>
      <c r="I2502" s="194"/>
      <c r="J2502" s="194"/>
      <c r="K2502" s="19"/>
      <c r="L2502" s="20"/>
    </row>
    <row r="2503" spans="1:12" ht="31.5" outlineLevel="2">
      <c r="A2503" s="191"/>
      <c r="B2503" s="12" t="str">
        <f>IFERROR(VLOOKUP(D2503,'[1]Перечень товаров'!$A$2:$I9525,2,0),"")</f>
        <v>д54</v>
      </c>
      <c r="C2503" s="12" t="str">
        <f>IFERROR(VLOOKUP(D2503,'[1]Перечень товаров'!$A$2:$I9525,3,0),"")</f>
        <v>Дидактика</v>
      </c>
      <c r="D2503" s="192" t="s">
        <v>799</v>
      </c>
      <c r="E2503" s="23"/>
      <c r="F2503" s="23"/>
      <c r="G2503" s="193">
        <v>1</v>
      </c>
      <c r="H2503" s="193"/>
      <c r="I2503" s="194"/>
      <c r="J2503" s="194"/>
      <c r="K2503" s="19"/>
      <c r="L2503" s="20"/>
    </row>
    <row r="2504" spans="1:12" ht="47.25" outlineLevel="2">
      <c r="A2504" s="191"/>
      <c r="B2504" s="12" t="str">
        <f>IFERROR(VLOOKUP(D2504,'[1]Перечень товаров'!$A$2:$I9525,2,0),"")</f>
        <v>д55</v>
      </c>
      <c r="C2504" s="12" t="str">
        <f>IFERROR(VLOOKUP(D2504,'[1]Перечень товаров'!$A$2:$I9525,3,0),"")</f>
        <v>Дидактика</v>
      </c>
      <c r="D2504" s="192" t="s">
        <v>800</v>
      </c>
      <c r="E2504" s="23"/>
      <c r="F2504" s="23"/>
      <c r="G2504" s="193">
        <v>1</v>
      </c>
      <c r="H2504" s="193"/>
      <c r="I2504" s="194"/>
      <c r="J2504" s="194"/>
      <c r="K2504" s="19"/>
      <c r="L2504" s="20"/>
    </row>
    <row r="2505" spans="1:12" ht="47.25" outlineLevel="2">
      <c r="A2505" s="191"/>
      <c r="B2505" s="12" t="str">
        <f>IFERROR(VLOOKUP(D2505,'[1]Перечень товаров'!$A$2:$I9525,2,0),"")</f>
        <v>д56</v>
      </c>
      <c r="C2505" s="12" t="str">
        <f>IFERROR(VLOOKUP(D2505,'[1]Перечень товаров'!$A$2:$I9525,3,0),"")</f>
        <v>Дидактика</v>
      </c>
      <c r="D2505" s="192" t="s">
        <v>801</v>
      </c>
      <c r="E2505" s="23"/>
      <c r="F2505" s="23"/>
      <c r="G2505" s="193">
        <v>1</v>
      </c>
      <c r="H2505" s="193"/>
      <c r="I2505" s="194"/>
      <c r="J2505" s="194"/>
      <c r="K2505" s="19"/>
      <c r="L2505" s="20"/>
    </row>
    <row r="2506" spans="1:12" ht="47.25" outlineLevel="2">
      <c r="A2506" s="191"/>
      <c r="B2506" s="12" t="str">
        <f>IFERROR(VLOOKUP(D2506,'[1]Перечень товаров'!$A$2:$I9525,2,0),"")</f>
        <v>д57</v>
      </c>
      <c r="C2506" s="12" t="str">
        <f>IFERROR(VLOOKUP(D2506,'[1]Перечень товаров'!$A$2:$I9525,3,0),"")</f>
        <v>Дидактика</v>
      </c>
      <c r="D2506" s="192" t="s">
        <v>802</v>
      </c>
      <c r="E2506" s="23"/>
      <c r="F2506" s="23"/>
      <c r="G2506" s="193">
        <v>1</v>
      </c>
      <c r="H2506" s="193"/>
      <c r="I2506" s="194"/>
      <c r="J2506" s="194"/>
      <c r="K2506" s="19"/>
      <c r="L2506" s="20"/>
    </row>
    <row r="2507" spans="1:12" ht="47.25" outlineLevel="2">
      <c r="A2507" s="191"/>
      <c r="B2507" s="12" t="str">
        <f>IFERROR(VLOOKUP(D2507,'[1]Перечень товаров'!$A$2:$I9525,2,0),"")</f>
        <v>д58</v>
      </c>
      <c r="C2507" s="12" t="str">
        <f>IFERROR(VLOOKUP(D2507,'[1]Перечень товаров'!$A$2:$I9525,3,0),"")</f>
        <v>Дидактика</v>
      </c>
      <c r="D2507" s="192" t="s">
        <v>803</v>
      </c>
      <c r="E2507" s="23"/>
      <c r="F2507" s="23"/>
      <c r="G2507" s="193">
        <v>1</v>
      </c>
      <c r="H2507" s="193"/>
      <c r="I2507" s="194"/>
      <c r="J2507" s="194"/>
      <c r="K2507" s="19"/>
      <c r="L2507" s="20"/>
    </row>
    <row r="2508" spans="1:12" ht="47.25" outlineLevel="2">
      <c r="A2508" s="191"/>
      <c r="B2508" s="12" t="str">
        <f>IFERROR(VLOOKUP(D2508,'[1]Перечень товаров'!$A$2:$I9525,2,0),"")</f>
        <v>д59</v>
      </c>
      <c r="C2508" s="12" t="str">
        <f>IFERROR(VLOOKUP(D2508,'[1]Перечень товаров'!$A$2:$I9525,3,0),"")</f>
        <v>Дидактика</v>
      </c>
      <c r="D2508" s="192" t="s">
        <v>804</v>
      </c>
      <c r="E2508" s="23"/>
      <c r="F2508" s="23"/>
      <c r="G2508" s="193">
        <v>1</v>
      </c>
      <c r="H2508" s="193"/>
      <c r="I2508" s="194"/>
      <c r="J2508" s="194"/>
      <c r="K2508" s="19"/>
      <c r="L2508" s="20"/>
    </row>
    <row r="2509" spans="1:12" ht="47.25" outlineLevel="2">
      <c r="A2509" s="191"/>
      <c r="B2509" s="12" t="str">
        <f>IFERROR(VLOOKUP(D2509,'[1]Перечень товаров'!$A$2:$I9525,2,0),"")</f>
        <v>д60</v>
      </c>
      <c r="C2509" s="12" t="str">
        <f>IFERROR(VLOOKUP(D2509,'[1]Перечень товаров'!$A$2:$I9525,3,0),"")</f>
        <v>Дидактика</v>
      </c>
      <c r="D2509" s="192" t="s">
        <v>805</v>
      </c>
      <c r="E2509" s="23"/>
      <c r="F2509" s="23"/>
      <c r="G2509" s="193">
        <v>1</v>
      </c>
      <c r="H2509" s="193"/>
      <c r="I2509" s="194"/>
      <c r="J2509" s="194"/>
      <c r="K2509" s="19"/>
      <c r="L2509" s="20"/>
    </row>
    <row r="2510" spans="1:12" ht="47.25" outlineLevel="2">
      <c r="A2510" s="191"/>
      <c r="B2510" s="12" t="str">
        <f>IFERROR(VLOOKUP(D2510,'[1]Перечень товаров'!$A$2:$I9525,2,0),"")</f>
        <v>д61</v>
      </c>
      <c r="C2510" s="12" t="str">
        <f>IFERROR(VLOOKUP(D2510,'[1]Перечень товаров'!$A$2:$I9525,3,0),"")</f>
        <v>Дидактика</v>
      </c>
      <c r="D2510" s="192" t="s">
        <v>806</v>
      </c>
      <c r="E2510" s="23"/>
      <c r="F2510" s="23"/>
      <c r="G2510" s="193">
        <v>1</v>
      </c>
      <c r="H2510" s="193"/>
      <c r="I2510" s="194"/>
      <c r="J2510" s="194"/>
      <c r="K2510" s="19"/>
      <c r="L2510" s="20"/>
    </row>
    <row r="2511" spans="1:12" outlineLevel="2">
      <c r="A2511" s="191"/>
      <c r="B2511" s="12" t="str">
        <f>IFERROR(VLOOKUP(D2511,'[1]Перечень товаров'!$A$2:$I9525,2,0),"")</f>
        <v>д62</v>
      </c>
      <c r="C2511" s="12" t="str">
        <f>IFERROR(VLOOKUP(D2511,'[1]Перечень товаров'!$A$2:$I9525,3,0),"")</f>
        <v>Дидактика</v>
      </c>
      <c r="D2511" s="192" t="s">
        <v>807</v>
      </c>
      <c r="E2511" s="23"/>
      <c r="F2511" s="23"/>
      <c r="G2511" s="193">
        <v>1</v>
      </c>
      <c r="H2511" s="193"/>
      <c r="I2511" s="194"/>
      <c r="J2511" s="194"/>
      <c r="K2511" s="19"/>
      <c r="L2511" s="20"/>
    </row>
    <row r="2512" spans="1:12" ht="47.25" outlineLevel="2">
      <c r="A2512" s="191"/>
      <c r="B2512" s="12" t="str">
        <f>IFERROR(VLOOKUP(D2512,'[1]Перечень товаров'!$A$2:$I9525,2,0),"")</f>
        <v>д63</v>
      </c>
      <c r="C2512" s="12" t="str">
        <f>IFERROR(VLOOKUP(D2512,'[1]Перечень товаров'!$A$2:$I9525,3,0),"")</f>
        <v>Дидактика</v>
      </c>
      <c r="D2512" s="192" t="s">
        <v>808</v>
      </c>
      <c r="E2512" s="23"/>
      <c r="F2512" s="23"/>
      <c r="G2512" s="193">
        <v>1</v>
      </c>
      <c r="H2512" s="193"/>
      <c r="I2512" s="194"/>
      <c r="J2512" s="194"/>
      <c r="K2512" s="19"/>
      <c r="L2512" s="20"/>
    </row>
    <row r="2513" spans="1:12" ht="30" outlineLevel="2">
      <c r="A2513" s="179"/>
      <c r="B2513" s="12" t="str">
        <f>IFERROR(VLOOKUP(D2513,'[1]Перечень товаров'!$A$2:$I9525,2,0),"")</f>
        <v/>
      </c>
      <c r="C2513" s="12" t="str">
        <f>IFERROR(VLOOKUP(D2513,'[1]Перечень товаров'!$A$2:$I9525,3,0),"")</f>
        <v/>
      </c>
      <c r="D2513" s="180" t="s">
        <v>809</v>
      </c>
      <c r="E2513" s="61"/>
      <c r="F2513" s="61"/>
      <c r="G2513" s="195"/>
      <c r="H2513" s="195"/>
      <c r="I2513" s="196"/>
      <c r="J2513" s="196"/>
      <c r="K2513" s="19"/>
      <c r="L2513" s="20"/>
    </row>
    <row r="2514" spans="1:12" ht="31.5" outlineLevel="2">
      <c r="A2514" s="191"/>
      <c r="B2514" s="12" t="str">
        <f>IFERROR(VLOOKUP(D2514,'[1]Перечень товаров'!$A$2:$I9525,2,0),"")</f>
        <v>д64</v>
      </c>
      <c r="C2514" s="12" t="str">
        <f>IFERROR(VLOOKUP(D2514,'[1]Перечень товаров'!$A$2:$I9525,3,0),"")</f>
        <v>Дидактика</v>
      </c>
      <c r="D2514" s="192" t="s">
        <v>810</v>
      </c>
      <c r="E2514" s="23"/>
      <c r="F2514" s="23"/>
      <c r="G2514" s="193">
        <v>1</v>
      </c>
      <c r="H2514" s="193"/>
      <c r="I2514" s="194"/>
      <c r="J2514" s="194"/>
      <c r="K2514" s="19"/>
      <c r="L2514" s="20"/>
    </row>
    <row r="2515" spans="1:12" outlineLevel="2">
      <c r="A2515" s="191"/>
      <c r="B2515" s="12" t="str">
        <f>IFERROR(VLOOKUP(D2515,'[1]Перечень товаров'!$A$2:$I9525,2,0),"")</f>
        <v>д65</v>
      </c>
      <c r="C2515" s="12" t="str">
        <f>IFERROR(VLOOKUP(D2515,'[1]Перечень товаров'!$A$2:$I9525,3,0),"")</f>
        <v>Дидактика</v>
      </c>
      <c r="D2515" s="192" t="s">
        <v>811</v>
      </c>
      <c r="E2515" s="23"/>
      <c r="F2515" s="23"/>
      <c r="G2515" s="193">
        <v>1</v>
      </c>
      <c r="H2515" s="193"/>
      <c r="I2515" s="194"/>
      <c r="J2515" s="194"/>
      <c r="K2515" s="19"/>
      <c r="L2515" s="20"/>
    </row>
    <row r="2516" spans="1:12" outlineLevel="2">
      <c r="A2516" s="191"/>
      <c r="B2516" s="12" t="str">
        <f>IFERROR(VLOOKUP(D2516,'[1]Перечень товаров'!$A$2:$I9525,2,0),"")</f>
        <v>д66</v>
      </c>
      <c r="C2516" s="12" t="str">
        <f>IFERROR(VLOOKUP(D2516,'[1]Перечень товаров'!$A$2:$I9525,3,0),"")</f>
        <v>Дидактика</v>
      </c>
      <c r="D2516" s="192" t="s">
        <v>812</v>
      </c>
      <c r="E2516" s="23"/>
      <c r="F2516" s="23"/>
      <c r="G2516" s="193">
        <v>1</v>
      </c>
      <c r="H2516" s="193"/>
      <c r="I2516" s="194"/>
      <c r="J2516" s="194"/>
      <c r="K2516" s="19"/>
      <c r="L2516" s="20"/>
    </row>
    <row r="2517" spans="1:12" outlineLevel="2">
      <c r="A2517" s="191"/>
      <c r="B2517" s="12" t="str">
        <f>IFERROR(VLOOKUP(D2517,'[1]Перечень товаров'!$A$2:$I9525,2,0),"")</f>
        <v>д67</v>
      </c>
      <c r="C2517" s="12" t="str">
        <f>IFERROR(VLOOKUP(D2517,'[1]Перечень товаров'!$A$2:$I9525,3,0),"")</f>
        <v>Дидактика</v>
      </c>
      <c r="D2517" s="192" t="s">
        <v>813</v>
      </c>
      <c r="E2517" s="23"/>
      <c r="F2517" s="23"/>
      <c r="G2517" s="193">
        <v>1</v>
      </c>
      <c r="H2517" s="193"/>
      <c r="I2517" s="194"/>
      <c r="J2517" s="194"/>
      <c r="K2517" s="19"/>
      <c r="L2517" s="20"/>
    </row>
    <row r="2518" spans="1:12" outlineLevel="2">
      <c r="A2518" s="191"/>
      <c r="B2518" s="12" t="str">
        <f>IFERROR(VLOOKUP(D2518,'[1]Перечень товаров'!$A$2:$I9525,2,0),"")</f>
        <v>п90</v>
      </c>
      <c r="C2518" s="12" t="str">
        <f>IFERROR(VLOOKUP(D2518,'[1]Перечень товаров'!$A$2:$I9525,3,0),"")</f>
        <v>Прочее</v>
      </c>
      <c r="D2518" s="192" t="s">
        <v>723</v>
      </c>
      <c r="E2518" s="23"/>
      <c r="F2518" s="23"/>
      <c r="G2518" s="193">
        <v>1</v>
      </c>
      <c r="H2518" s="193"/>
      <c r="I2518" s="194"/>
      <c r="J2518" s="194"/>
      <c r="K2518" s="19"/>
      <c r="L2518" s="20"/>
    </row>
    <row r="2519" spans="1:12" outlineLevel="2">
      <c r="A2519" s="191"/>
      <c r="B2519" s="12" t="str">
        <f>IFERROR(VLOOKUP(D2519,'[1]Перечень товаров'!$A$2:$I9525,2,0),"")</f>
        <v>д68</v>
      </c>
      <c r="C2519" s="12" t="str">
        <f>IFERROR(VLOOKUP(D2519,'[1]Перечень товаров'!$A$2:$I9525,3,0),"")</f>
        <v>Дидактика</v>
      </c>
      <c r="D2519" s="192" t="s">
        <v>814</v>
      </c>
      <c r="E2519" s="23"/>
      <c r="F2519" s="23"/>
      <c r="G2519" s="193">
        <v>3</v>
      </c>
      <c r="H2519" s="193"/>
      <c r="I2519" s="194"/>
      <c r="J2519" s="194"/>
      <c r="K2519" s="19"/>
      <c r="L2519" s="20"/>
    </row>
    <row r="2520" spans="1:12" outlineLevel="2">
      <c r="A2520" s="191"/>
      <c r="B2520" s="12" t="str">
        <f>IFERROR(VLOOKUP(D2520,'[1]Перечень товаров'!$A$2:$I9525,2,0),"")</f>
        <v>д69</v>
      </c>
      <c r="C2520" s="12" t="str">
        <f>IFERROR(VLOOKUP(D2520,'[1]Перечень товаров'!$A$2:$I9525,3,0),"")</f>
        <v>Дидактика</v>
      </c>
      <c r="D2520" s="192" t="s">
        <v>815</v>
      </c>
      <c r="E2520" s="23"/>
      <c r="F2520" s="23"/>
      <c r="G2520" s="193">
        <v>8</v>
      </c>
      <c r="H2520" s="193"/>
      <c r="I2520" s="194"/>
      <c r="J2520" s="194"/>
      <c r="K2520" s="19"/>
      <c r="L2520" s="20"/>
    </row>
    <row r="2521" spans="1:12" outlineLevel="2">
      <c r="A2521" s="191"/>
      <c r="B2521" s="12" t="str">
        <f>IFERROR(VLOOKUP(D2521,'[1]Перечень товаров'!$A$2:$I9525,2,0),"")</f>
        <v>д70</v>
      </c>
      <c r="C2521" s="12" t="str">
        <f>IFERROR(VLOOKUP(D2521,'[1]Перечень товаров'!$A$2:$I9525,3,0),"")</f>
        <v>Дидактика</v>
      </c>
      <c r="D2521" s="192" t="s">
        <v>816</v>
      </c>
      <c r="E2521" s="23"/>
      <c r="F2521" s="23"/>
      <c r="G2521" s="193">
        <v>100</v>
      </c>
      <c r="H2521" s="193"/>
      <c r="I2521" s="194"/>
      <c r="J2521" s="194"/>
      <c r="K2521" s="19"/>
      <c r="L2521" s="20"/>
    </row>
    <row r="2522" spans="1:12" ht="12.75" outlineLevel="1">
      <c r="A2522" s="11"/>
      <c r="B2522" s="12" t="str">
        <f>IFERROR(VLOOKUP(D2522,'[1]Перечень товаров'!$A$2:$I9525,2,0),"")</f>
        <v/>
      </c>
      <c r="C2522" s="12" t="str">
        <f>IFERROR(VLOOKUP(D2522,'[1]Перечень товаров'!$A$2:$I9525,3,0),"")</f>
        <v/>
      </c>
      <c r="D2522" s="27" t="s">
        <v>817</v>
      </c>
      <c r="E2522" s="14" t="s">
        <v>823</v>
      </c>
      <c r="F2522" s="14"/>
      <c r="G2522" s="17"/>
      <c r="H2522" s="17"/>
      <c r="I2522" s="57"/>
      <c r="J2522" s="57"/>
      <c r="K2522" s="19"/>
      <c r="L2522" s="20"/>
    </row>
    <row r="2523" spans="1:12" ht="30" outlineLevel="2">
      <c r="A2523" s="189"/>
      <c r="B2523" s="12" t="str">
        <f>IFERROR(VLOOKUP(D2523,'[1]Перечень товаров'!$A$2:$I9525,2,0),"")</f>
        <v/>
      </c>
      <c r="C2523" s="12" t="str">
        <f>IFERROR(VLOOKUP(D2523,'[1]Перечень товаров'!$A$2:$I9525,3,0),"")</f>
        <v/>
      </c>
      <c r="D2523" s="190" t="s">
        <v>740</v>
      </c>
      <c r="E2523" s="61"/>
      <c r="F2523" s="61"/>
      <c r="G2523" s="186"/>
      <c r="H2523" s="186"/>
      <c r="I2523" s="187"/>
      <c r="J2523" s="187"/>
      <c r="K2523" s="19"/>
      <c r="L2523" s="20"/>
    </row>
    <row r="2524" spans="1:12" ht="30" outlineLevel="2">
      <c r="A2524" s="179"/>
      <c r="B2524" s="12" t="str">
        <f>IFERROR(VLOOKUP(D2524,'[1]Перечень товаров'!$A$2:$I9525,2,0),"")</f>
        <v/>
      </c>
      <c r="C2524" s="12" t="str">
        <f>IFERROR(VLOOKUP(D2524,'[1]Перечень товаров'!$A$2:$I9525,3,0),"")</f>
        <v/>
      </c>
      <c r="D2524" s="180" t="s">
        <v>668</v>
      </c>
      <c r="E2524" s="61"/>
      <c r="F2524" s="61"/>
      <c r="G2524" s="186"/>
      <c r="H2524" s="186"/>
      <c r="I2524" s="187"/>
      <c r="J2524" s="187"/>
      <c r="K2524" s="19"/>
      <c r="L2524" s="20"/>
    </row>
    <row r="2525" spans="1:12" outlineLevel="2">
      <c r="A2525" s="191"/>
      <c r="B2525" s="12" t="str">
        <f>IFERROR(VLOOKUP(D2525,'[1]Перечень товаров'!$A$2:$I9525,2,0),"")</f>
        <v>т9</v>
      </c>
      <c r="C2525" s="12" t="str">
        <f>IFERROR(VLOOKUP(D2525,'[1]Перечень товаров'!$A$2:$I9525,3,0),"")</f>
        <v>Техника</v>
      </c>
      <c r="D2525" s="192" t="s">
        <v>36</v>
      </c>
      <c r="E2525" s="23"/>
      <c r="F2525" s="23"/>
      <c r="G2525" s="193">
        <v>1</v>
      </c>
      <c r="H2525" s="193"/>
      <c r="I2525" s="194"/>
      <c r="J2525" s="194"/>
      <c r="K2525" s="19"/>
      <c r="L2525" s="20"/>
    </row>
    <row r="2526" spans="1:12" outlineLevel="2">
      <c r="A2526" s="191"/>
      <c r="B2526" s="12" t="str">
        <f>IFERROR(VLOOKUP(D2526,'[1]Перечень товаров'!$A$2:$I9525,2,0),"")</f>
        <v>т234</v>
      </c>
      <c r="C2526" s="12" t="str">
        <f>IFERROR(VLOOKUP(D2526,'[1]Перечень товаров'!$A$2:$I9525,3,0),"")</f>
        <v>Техника</v>
      </c>
      <c r="D2526" s="192" t="s">
        <v>741</v>
      </c>
      <c r="E2526" s="23"/>
      <c r="F2526" s="23"/>
      <c r="G2526" s="193">
        <v>1</v>
      </c>
      <c r="H2526" s="193"/>
      <c r="I2526" s="194"/>
      <c r="J2526" s="194"/>
      <c r="K2526" s="19"/>
      <c r="L2526" s="20"/>
    </row>
    <row r="2527" spans="1:12" outlineLevel="2">
      <c r="A2527" s="191"/>
      <c r="B2527" s="12" t="str">
        <f>IFERROR(VLOOKUP(D2527,'[1]Перечень товаров'!$A$2:$I9525,2,0),"")</f>
        <v>т1</v>
      </c>
      <c r="C2527" s="12" t="str">
        <f>IFERROR(VLOOKUP(D2527,'[1]Перечень товаров'!$A$2:$I9525,3,0),"")</f>
        <v xml:space="preserve">Техника </v>
      </c>
      <c r="D2527" s="192" t="s">
        <v>28</v>
      </c>
      <c r="E2527" s="23"/>
      <c r="F2527" s="23"/>
      <c r="G2527" s="193">
        <v>1</v>
      </c>
      <c r="H2527" s="193"/>
      <c r="I2527" s="194"/>
      <c r="J2527" s="194"/>
      <c r="K2527" s="19"/>
      <c r="L2527" s="20"/>
    </row>
    <row r="2528" spans="1:12" outlineLevel="2">
      <c r="A2528" s="191"/>
      <c r="B2528" s="12" t="str">
        <f>IFERROR(VLOOKUP(D2528,'[1]Перечень товаров'!$A$2:$I9525,2,0),"")</f>
        <v>т235</v>
      </c>
      <c r="C2528" s="12" t="str">
        <f>IFERROR(VLOOKUP(D2528,'[1]Перечень товаров'!$A$2:$I9525,3,0),"")</f>
        <v>Техника</v>
      </c>
      <c r="D2528" s="192" t="s">
        <v>742</v>
      </c>
      <c r="E2528" s="23"/>
      <c r="F2528" s="23"/>
      <c r="G2528" s="193">
        <v>1</v>
      </c>
      <c r="H2528" s="193"/>
      <c r="I2528" s="194"/>
      <c r="J2528" s="194"/>
      <c r="K2528" s="19"/>
      <c r="L2528" s="20"/>
    </row>
    <row r="2529" spans="1:12" outlineLevel="2">
      <c r="A2529" s="191"/>
      <c r="B2529" s="12" t="str">
        <f>IFERROR(VLOOKUP(D2529,'[1]Перечень товаров'!$A$2:$I9525,2,0),"")</f>
        <v>т8</v>
      </c>
      <c r="C2529" s="12" t="str">
        <f>IFERROR(VLOOKUP(D2529,'[1]Перечень товаров'!$A$2:$I9525,3,0),"")</f>
        <v xml:space="preserve">Техника </v>
      </c>
      <c r="D2529" s="192" t="s">
        <v>35</v>
      </c>
      <c r="E2529" s="23"/>
      <c r="F2529" s="23"/>
      <c r="G2529" s="193">
        <v>1</v>
      </c>
      <c r="H2529" s="193"/>
      <c r="I2529" s="194"/>
      <c r="J2529" s="194"/>
      <c r="K2529" s="19"/>
      <c r="L2529" s="20"/>
    </row>
    <row r="2530" spans="1:12" outlineLevel="2">
      <c r="A2530" s="191"/>
      <c r="B2530" s="12" t="str">
        <f>IFERROR(VLOOKUP(D2530,'[1]Перечень товаров'!$A$2:$I9525,2,0),"")</f>
        <v>т236</v>
      </c>
      <c r="C2530" s="12" t="str">
        <f>IFERROR(VLOOKUP(D2530,'[1]Перечень товаров'!$A$2:$I9525,3,0),"")</f>
        <v>Техника</v>
      </c>
      <c r="D2530" s="192" t="s">
        <v>743</v>
      </c>
      <c r="E2530" s="23"/>
      <c r="F2530" s="23"/>
      <c r="G2530" s="193">
        <v>1</v>
      </c>
      <c r="H2530" s="193"/>
      <c r="I2530" s="194"/>
      <c r="J2530" s="194"/>
      <c r="K2530" s="19"/>
      <c r="L2530" s="20"/>
    </row>
    <row r="2531" spans="1:12" outlineLevel="2">
      <c r="A2531" s="191"/>
      <c r="B2531" s="12" t="str">
        <f>IFERROR(VLOOKUP(D2531,'[1]Перечень товаров'!$A$2:$I9525,2,0),"")</f>
        <v>т237</v>
      </c>
      <c r="C2531" s="12" t="str">
        <f>IFERROR(VLOOKUP(D2531,'[1]Перечень товаров'!$A$2:$I9525,3,0),"")</f>
        <v>Техника</v>
      </c>
      <c r="D2531" s="192" t="s">
        <v>744</v>
      </c>
      <c r="E2531" s="23"/>
      <c r="F2531" s="23"/>
      <c r="G2531" s="193">
        <v>1</v>
      </c>
      <c r="H2531" s="193"/>
      <c r="I2531" s="194"/>
      <c r="J2531" s="194"/>
      <c r="K2531" s="19"/>
      <c r="L2531" s="20"/>
    </row>
    <row r="2532" spans="1:12" ht="31.5" outlineLevel="2">
      <c r="A2532" s="191"/>
      <c r="B2532" s="12" t="str">
        <f>IFERROR(VLOOKUP(D2532,'[1]Перечень товаров'!$A$2:$I9525,2,0),"")</f>
        <v>т238</v>
      </c>
      <c r="C2532" s="12" t="str">
        <f>IFERROR(VLOOKUP(D2532,'[1]Перечень товаров'!$A$2:$I9525,3,0),"")</f>
        <v>Техника</v>
      </c>
      <c r="D2532" s="192" t="s">
        <v>745</v>
      </c>
      <c r="E2532" s="23"/>
      <c r="F2532" s="23"/>
      <c r="G2532" s="193">
        <v>1</v>
      </c>
      <c r="H2532" s="193"/>
      <c r="I2532" s="194"/>
      <c r="J2532" s="194"/>
      <c r="K2532" s="19"/>
      <c r="L2532" s="20"/>
    </row>
    <row r="2533" spans="1:12" ht="15" outlineLevel="2">
      <c r="A2533" s="181"/>
      <c r="B2533" s="12" t="str">
        <f>IFERROR(VLOOKUP(D2533,'[1]Перечень товаров'!$A$2:$I9525,2,0),"")</f>
        <v/>
      </c>
      <c r="C2533" s="12" t="str">
        <f>IFERROR(VLOOKUP(D2533,'[1]Перечень товаров'!$A$2:$I9525,3,0),"")</f>
        <v/>
      </c>
      <c r="D2533" s="182" t="s">
        <v>19</v>
      </c>
      <c r="E2533" s="45"/>
      <c r="F2533" s="45"/>
      <c r="G2533" s="195"/>
      <c r="H2533" s="195"/>
      <c r="I2533" s="196"/>
      <c r="J2533" s="196"/>
      <c r="K2533" s="19"/>
      <c r="L2533" s="20"/>
    </row>
    <row r="2534" spans="1:12" ht="31.5" outlineLevel="2">
      <c r="A2534" s="191"/>
      <c r="B2534" s="12" t="str">
        <f>IFERROR(VLOOKUP(D2534,'[1]Перечень товаров'!$A$2:$I9525,2,0),"")</f>
        <v>м205</v>
      </c>
      <c r="C2534" s="12" t="str">
        <f>IFERROR(VLOOKUP(D2534,'[1]Перечень товаров'!$A$2:$I9525,3,0),"")</f>
        <v>Мебель</v>
      </c>
      <c r="D2534" s="192" t="s">
        <v>20</v>
      </c>
      <c r="E2534" s="23"/>
      <c r="F2534" s="23"/>
      <c r="G2534" s="193">
        <v>1</v>
      </c>
      <c r="H2534" s="193"/>
      <c r="I2534" s="194"/>
      <c r="J2534" s="194"/>
      <c r="K2534" s="19"/>
      <c r="L2534" s="20"/>
    </row>
    <row r="2535" spans="1:12" ht="31.5" outlineLevel="2">
      <c r="A2535" s="191"/>
      <c r="B2535" s="12" t="str">
        <f>IFERROR(VLOOKUP(D2535,'[1]Перечень товаров'!$A$2:$I9525,2,0),"")</f>
        <v>м206</v>
      </c>
      <c r="C2535" s="12" t="str">
        <f>IFERROR(VLOOKUP(D2535,'[1]Перечень товаров'!$A$2:$I9525,3,0),"")</f>
        <v>Мебель</v>
      </c>
      <c r="D2535" s="192" t="s">
        <v>746</v>
      </c>
      <c r="E2535" s="23"/>
      <c r="F2535" s="23"/>
      <c r="G2535" s="193">
        <v>1</v>
      </c>
      <c r="H2535" s="193"/>
      <c r="I2535" s="194"/>
      <c r="J2535" s="194"/>
      <c r="K2535" s="19"/>
      <c r="L2535" s="20"/>
    </row>
    <row r="2536" spans="1:12" ht="31.5" outlineLevel="2">
      <c r="A2536" s="191"/>
      <c r="B2536" s="12" t="str">
        <f>IFERROR(VLOOKUP(D2536,'[1]Перечень товаров'!$A$2:$I9525,2,0),"")</f>
        <v>м207</v>
      </c>
      <c r="C2536" s="12" t="str">
        <f>IFERROR(VLOOKUP(D2536,'[1]Перечень товаров'!$A$2:$I9525,3,0),"")</f>
        <v>Мебель</v>
      </c>
      <c r="D2536" s="192" t="s">
        <v>747</v>
      </c>
      <c r="E2536" s="23"/>
      <c r="F2536" s="23"/>
      <c r="G2536" s="193">
        <v>13</v>
      </c>
      <c r="H2536" s="193"/>
      <c r="I2536" s="194"/>
      <c r="J2536" s="194"/>
      <c r="K2536" s="19"/>
      <c r="L2536" s="20"/>
    </row>
    <row r="2537" spans="1:12" outlineLevel="2">
      <c r="A2537" s="191"/>
      <c r="B2537" s="12" t="str">
        <f>IFERROR(VLOOKUP(D2537,'[1]Перечень товаров'!$A$2:$I9525,2,0),"")</f>
        <v>м208</v>
      </c>
      <c r="C2537" s="12" t="str">
        <f>IFERROR(VLOOKUP(D2537,'[1]Перечень товаров'!$A$2:$I9525,3,0),"")</f>
        <v>Мебель</v>
      </c>
      <c r="D2537" s="192" t="s">
        <v>748</v>
      </c>
      <c r="E2537" s="23"/>
      <c r="F2537" s="23"/>
      <c r="G2537" s="193">
        <v>26</v>
      </c>
      <c r="H2537" s="193"/>
      <c r="I2537" s="194"/>
      <c r="J2537" s="194"/>
      <c r="K2537" s="19"/>
      <c r="L2537" s="20"/>
    </row>
    <row r="2538" spans="1:12" outlineLevel="2">
      <c r="A2538" s="191"/>
      <c r="B2538" s="12" t="str">
        <f>IFERROR(VLOOKUP(D2538,'[1]Перечень товаров'!$A$2:$I9525,2,0),"")</f>
        <v>м209</v>
      </c>
      <c r="C2538" s="12" t="str">
        <f>IFERROR(VLOOKUP(D2538,'[1]Перечень товаров'!$A$2:$I9525,3,0),"")</f>
        <v>Мебель</v>
      </c>
      <c r="D2538" s="192" t="s">
        <v>749</v>
      </c>
      <c r="E2538" s="23"/>
      <c r="F2538" s="23"/>
      <c r="G2538" s="193">
        <v>1</v>
      </c>
      <c r="H2538" s="193"/>
      <c r="I2538" s="194"/>
      <c r="J2538" s="194"/>
      <c r="K2538" s="19"/>
      <c r="L2538" s="20"/>
    </row>
    <row r="2539" spans="1:12" ht="47.25" outlineLevel="2">
      <c r="A2539" s="191"/>
      <c r="B2539" s="12" t="str">
        <f>IFERROR(VLOOKUP(D2539,'[1]Перечень товаров'!$A$2:$I9525,2,0),"")</f>
        <v>м210</v>
      </c>
      <c r="C2539" s="12" t="str">
        <f>IFERROR(VLOOKUP(D2539,'[1]Перечень товаров'!$A$2:$I9525,3,0),"")</f>
        <v>Мебель</v>
      </c>
      <c r="D2539" s="192" t="s">
        <v>750</v>
      </c>
      <c r="E2539" s="23"/>
      <c r="F2539" s="23"/>
      <c r="G2539" s="193">
        <v>2</v>
      </c>
      <c r="H2539" s="193"/>
      <c r="I2539" s="194"/>
      <c r="J2539" s="194"/>
      <c r="K2539" s="19"/>
      <c r="L2539" s="20"/>
    </row>
    <row r="2540" spans="1:12" ht="47.25" outlineLevel="2">
      <c r="A2540" s="191"/>
      <c r="B2540" s="12" t="str">
        <f>IFERROR(VLOOKUP(D2540,'[1]Перечень товаров'!$A$2:$I9525,2,0),"")</f>
        <v>п91</v>
      </c>
      <c r="C2540" s="12" t="str">
        <f>IFERROR(VLOOKUP(D2540,'[1]Перечень товаров'!$A$2:$I9525,3,0),"")</f>
        <v>Прочее</v>
      </c>
      <c r="D2540" s="192" t="s">
        <v>751</v>
      </c>
      <c r="E2540" s="23"/>
      <c r="F2540" s="23"/>
      <c r="G2540" s="193">
        <v>1</v>
      </c>
      <c r="H2540" s="193"/>
      <c r="I2540" s="194"/>
      <c r="J2540" s="194"/>
      <c r="K2540" s="19"/>
      <c r="L2540" s="20"/>
    </row>
    <row r="2541" spans="1:12" ht="15" outlineLevel="2">
      <c r="A2541" s="179"/>
      <c r="B2541" s="12" t="str">
        <f>IFERROR(VLOOKUP(D2541,'[1]Перечень товаров'!$A$2:$I9525,2,0),"")</f>
        <v/>
      </c>
      <c r="C2541" s="12" t="str">
        <f>IFERROR(VLOOKUP(D2541,'[1]Перечень товаров'!$A$2:$I9525,3,0),"")</f>
        <v/>
      </c>
      <c r="D2541" s="180" t="s">
        <v>752</v>
      </c>
      <c r="E2541" s="61"/>
      <c r="F2541" s="61"/>
      <c r="G2541" s="195"/>
      <c r="H2541" s="195"/>
      <c r="I2541" s="196"/>
      <c r="J2541" s="196"/>
      <c r="K2541" s="19"/>
      <c r="L2541" s="20"/>
    </row>
    <row r="2542" spans="1:12" ht="15" outlineLevel="2">
      <c r="A2542" s="179"/>
      <c r="B2542" s="12" t="str">
        <f>IFERROR(VLOOKUP(D2542,'[1]Перечень товаров'!$A$2:$I9525,2,0),"")</f>
        <v/>
      </c>
      <c r="C2542" s="12" t="str">
        <f>IFERROR(VLOOKUP(D2542,'[1]Перечень товаров'!$A$2:$I9525,3,0),"")</f>
        <v/>
      </c>
      <c r="D2542" s="180" t="s">
        <v>753</v>
      </c>
      <c r="E2542" s="61"/>
      <c r="F2542" s="61"/>
      <c r="G2542" s="195"/>
      <c r="H2542" s="195"/>
      <c r="I2542" s="196"/>
      <c r="J2542" s="196"/>
      <c r="K2542" s="19"/>
      <c r="L2542" s="20"/>
    </row>
    <row r="2543" spans="1:12" ht="31.5" outlineLevel="2">
      <c r="A2543" s="191"/>
      <c r="B2543" s="12" t="str">
        <f>IFERROR(VLOOKUP(D2543,'[1]Перечень товаров'!$A$2:$I9525,2,0),"")</f>
        <v>д13</v>
      </c>
      <c r="C2543" s="12" t="str">
        <f>IFERROR(VLOOKUP(D2543,'[1]Перечень товаров'!$A$2:$I9525,3,0),"")</f>
        <v>Дидактика</v>
      </c>
      <c r="D2543" s="192" t="s">
        <v>754</v>
      </c>
      <c r="E2543" s="23"/>
      <c r="F2543" s="23"/>
      <c r="G2543" s="193">
        <v>1</v>
      </c>
      <c r="H2543" s="193"/>
      <c r="I2543" s="194"/>
      <c r="J2543" s="194"/>
      <c r="K2543" s="19"/>
      <c r="L2543" s="20"/>
    </row>
    <row r="2544" spans="1:12" ht="47.25" outlineLevel="2">
      <c r="A2544" s="191"/>
      <c r="B2544" s="12" t="str">
        <f>IFERROR(VLOOKUP(D2544,'[1]Перечень товаров'!$A$2:$I9525,2,0),"")</f>
        <v>д14</v>
      </c>
      <c r="C2544" s="12" t="str">
        <f>IFERROR(VLOOKUP(D2544,'[1]Перечень товаров'!$A$2:$I9525,3,0),"")</f>
        <v>Дидактика</v>
      </c>
      <c r="D2544" s="192" t="s">
        <v>755</v>
      </c>
      <c r="E2544" s="23"/>
      <c r="F2544" s="23"/>
      <c r="G2544" s="193">
        <v>1</v>
      </c>
      <c r="H2544" s="193"/>
      <c r="I2544" s="194"/>
      <c r="J2544" s="194"/>
      <c r="K2544" s="19"/>
      <c r="L2544" s="20"/>
    </row>
    <row r="2545" spans="1:12" ht="31.5" outlineLevel="2">
      <c r="A2545" s="191"/>
      <c r="B2545" s="12" t="str">
        <f>IFERROR(VLOOKUP(D2545,'[1]Перечень товаров'!$A$2:$I9525,2,0),"")</f>
        <v>д15</v>
      </c>
      <c r="C2545" s="12" t="str">
        <f>IFERROR(VLOOKUP(D2545,'[1]Перечень товаров'!$A$2:$I9525,3,0),"")</f>
        <v>Дидактика</v>
      </c>
      <c r="D2545" s="192" t="s">
        <v>756</v>
      </c>
      <c r="E2545" s="23"/>
      <c r="F2545" s="23"/>
      <c r="G2545" s="193">
        <v>1</v>
      </c>
      <c r="H2545" s="193"/>
      <c r="I2545" s="194"/>
      <c r="J2545" s="194"/>
      <c r="K2545" s="19"/>
      <c r="L2545" s="20"/>
    </row>
    <row r="2546" spans="1:12" ht="30" outlineLevel="2">
      <c r="A2546" s="179"/>
      <c r="B2546" s="12" t="str">
        <f>IFERROR(VLOOKUP(D2546,'[1]Перечень товаров'!$A$2:$I9525,2,0),"")</f>
        <v/>
      </c>
      <c r="C2546" s="12" t="str">
        <f>IFERROR(VLOOKUP(D2546,'[1]Перечень товаров'!$A$2:$I9525,3,0),"")</f>
        <v/>
      </c>
      <c r="D2546" s="180" t="s">
        <v>757</v>
      </c>
      <c r="E2546" s="61"/>
      <c r="F2546" s="61"/>
      <c r="G2546" s="195"/>
      <c r="H2546" s="195"/>
      <c r="I2546" s="196"/>
      <c r="J2546" s="196"/>
      <c r="K2546" s="19"/>
      <c r="L2546" s="20"/>
    </row>
    <row r="2547" spans="1:12" outlineLevel="2">
      <c r="A2547" s="191"/>
      <c r="B2547" s="12" t="str">
        <f>IFERROR(VLOOKUP(D2547,'[1]Перечень товаров'!$A$2:$I9525,2,0),"")</f>
        <v>п92</v>
      </c>
      <c r="C2547" s="12" t="str">
        <f>IFERROR(VLOOKUP(D2547,'[1]Перечень товаров'!$A$2:$I9525,3,0),"")</f>
        <v>Прочее</v>
      </c>
      <c r="D2547" s="192" t="s">
        <v>758</v>
      </c>
      <c r="E2547" s="23"/>
      <c r="F2547" s="23"/>
      <c r="G2547" s="193">
        <v>13</v>
      </c>
      <c r="H2547" s="193"/>
      <c r="I2547" s="194"/>
      <c r="J2547" s="194"/>
      <c r="K2547" s="19"/>
      <c r="L2547" s="20"/>
    </row>
    <row r="2548" spans="1:12" ht="31.5" outlineLevel="2">
      <c r="A2548" s="191"/>
      <c r="B2548" s="12" t="str">
        <f>IFERROR(VLOOKUP(D2548,'[1]Перечень товаров'!$A$2:$I9525,2,0),"")</f>
        <v>д16</v>
      </c>
      <c r="C2548" s="12" t="str">
        <f>IFERROR(VLOOKUP(D2548,'[1]Перечень товаров'!$A$2:$I9525,3,0),"")</f>
        <v>Дидактика</v>
      </c>
      <c r="D2548" s="192" t="s">
        <v>759</v>
      </c>
      <c r="E2548" s="23"/>
      <c r="F2548" s="23"/>
      <c r="G2548" s="193">
        <v>1</v>
      </c>
      <c r="H2548" s="193"/>
      <c r="I2548" s="194"/>
      <c r="J2548" s="194"/>
      <c r="K2548" s="19"/>
      <c r="L2548" s="20"/>
    </row>
    <row r="2549" spans="1:12" ht="31.5" outlineLevel="2">
      <c r="A2549" s="191"/>
      <c r="B2549" s="12" t="str">
        <f>IFERROR(VLOOKUP(D2549,'[1]Перечень товаров'!$A$2:$I9525,2,0),"")</f>
        <v>д17</v>
      </c>
      <c r="C2549" s="12" t="str">
        <f>IFERROR(VLOOKUP(D2549,'[1]Перечень товаров'!$A$2:$I9525,3,0),"")</f>
        <v>Дидактика</v>
      </c>
      <c r="D2549" s="192" t="s">
        <v>760</v>
      </c>
      <c r="E2549" s="23"/>
      <c r="F2549" s="23"/>
      <c r="G2549" s="193">
        <v>1</v>
      </c>
      <c r="H2549" s="193"/>
      <c r="I2549" s="194"/>
      <c r="J2549" s="194"/>
      <c r="K2549" s="19"/>
      <c r="L2549" s="20"/>
    </row>
    <row r="2550" spans="1:12" ht="31.5" outlineLevel="2">
      <c r="A2550" s="191"/>
      <c r="B2550" s="12" t="str">
        <f>IFERROR(VLOOKUP(D2550,'[1]Перечень товаров'!$A$2:$I9525,2,0),"")</f>
        <v>д18</v>
      </c>
      <c r="C2550" s="12" t="str">
        <f>IFERROR(VLOOKUP(D2550,'[1]Перечень товаров'!$A$2:$I9525,3,0),"")</f>
        <v>Дидактика</v>
      </c>
      <c r="D2550" s="192" t="s">
        <v>761</v>
      </c>
      <c r="E2550" s="23"/>
      <c r="F2550" s="23"/>
      <c r="G2550" s="193">
        <v>13</v>
      </c>
      <c r="H2550" s="193"/>
      <c r="I2550" s="194"/>
      <c r="J2550" s="194"/>
      <c r="K2550" s="19"/>
      <c r="L2550" s="20"/>
    </row>
    <row r="2551" spans="1:12" ht="31.5" outlineLevel="2">
      <c r="A2551" s="191"/>
      <c r="B2551" s="12" t="str">
        <f>IFERROR(VLOOKUP(D2551,'[1]Перечень товаров'!$A$2:$I9525,2,0),"")</f>
        <v>д19</v>
      </c>
      <c r="C2551" s="12" t="str">
        <f>IFERROR(VLOOKUP(D2551,'[1]Перечень товаров'!$A$2:$I9525,3,0),"")</f>
        <v>Дидактика</v>
      </c>
      <c r="D2551" s="192" t="s">
        <v>762</v>
      </c>
      <c r="E2551" s="23"/>
      <c r="F2551" s="23"/>
      <c r="G2551" s="193">
        <v>1</v>
      </c>
      <c r="H2551" s="193"/>
      <c r="I2551" s="194"/>
      <c r="J2551" s="194"/>
      <c r="K2551" s="19"/>
      <c r="L2551" s="20"/>
    </row>
    <row r="2552" spans="1:12" ht="31.5" outlineLevel="2">
      <c r="A2552" s="191"/>
      <c r="B2552" s="12" t="str">
        <f>IFERROR(VLOOKUP(D2552,'[1]Перечень товаров'!$A$2:$I9525,2,0),"")</f>
        <v>д20</v>
      </c>
      <c r="C2552" s="12" t="str">
        <f>IFERROR(VLOOKUP(D2552,'[1]Перечень товаров'!$A$2:$I9525,3,0),"")</f>
        <v>Дидактика</v>
      </c>
      <c r="D2552" s="192" t="s">
        <v>763</v>
      </c>
      <c r="E2552" s="23"/>
      <c r="F2552" s="23"/>
      <c r="G2552" s="193">
        <v>1</v>
      </c>
      <c r="H2552" s="193"/>
      <c r="I2552" s="194"/>
      <c r="J2552" s="194"/>
      <c r="K2552" s="19"/>
      <c r="L2552" s="20"/>
    </row>
    <row r="2553" spans="1:12" ht="63" outlineLevel="2">
      <c r="A2553" s="191"/>
      <c r="B2553" s="12" t="str">
        <f>IFERROR(VLOOKUP(D2553,'[1]Перечень товаров'!$A$2:$I9525,2,0),"")</f>
        <v>д21</v>
      </c>
      <c r="C2553" s="12" t="str">
        <f>IFERROR(VLOOKUP(D2553,'[1]Перечень товаров'!$A$2:$I9525,3,0),"")</f>
        <v>Дидактика</v>
      </c>
      <c r="D2553" s="192" t="s">
        <v>764</v>
      </c>
      <c r="E2553" s="23"/>
      <c r="F2553" s="23"/>
      <c r="G2553" s="193">
        <v>1</v>
      </c>
      <c r="H2553" s="193"/>
      <c r="I2553" s="194"/>
      <c r="J2553" s="194"/>
      <c r="K2553" s="19"/>
      <c r="L2553" s="20"/>
    </row>
    <row r="2554" spans="1:12" ht="47.25" outlineLevel="2">
      <c r="A2554" s="191"/>
      <c r="B2554" s="12" t="str">
        <f>IFERROR(VLOOKUP(D2554,'[1]Перечень товаров'!$A$2:$I9525,2,0),"")</f>
        <v>д22</v>
      </c>
      <c r="C2554" s="12" t="str">
        <f>IFERROR(VLOOKUP(D2554,'[1]Перечень товаров'!$A$2:$I9525,3,0),"")</f>
        <v>Дидактика</v>
      </c>
      <c r="D2554" s="192" t="s">
        <v>765</v>
      </c>
      <c r="E2554" s="23"/>
      <c r="F2554" s="23"/>
      <c r="G2554" s="193">
        <v>1</v>
      </c>
      <c r="H2554" s="193"/>
      <c r="I2554" s="194"/>
      <c r="J2554" s="194"/>
      <c r="K2554" s="19"/>
      <c r="L2554" s="20"/>
    </row>
    <row r="2555" spans="1:12" ht="31.5" outlineLevel="2">
      <c r="A2555" s="191"/>
      <c r="B2555" s="12" t="str">
        <f>IFERROR(VLOOKUP(D2555,'[1]Перечень товаров'!$A$2:$I9525,2,0),"")</f>
        <v>д23</v>
      </c>
      <c r="C2555" s="12" t="str">
        <f>IFERROR(VLOOKUP(D2555,'[1]Перечень товаров'!$A$2:$I9525,3,0),"")</f>
        <v>Дидактика</v>
      </c>
      <c r="D2555" s="192" t="s">
        <v>766</v>
      </c>
      <c r="E2555" s="23"/>
      <c r="F2555" s="23"/>
      <c r="G2555" s="193">
        <v>13</v>
      </c>
      <c r="H2555" s="193"/>
      <c r="I2555" s="194"/>
      <c r="J2555" s="194"/>
      <c r="K2555" s="19"/>
      <c r="L2555" s="20"/>
    </row>
    <row r="2556" spans="1:12" ht="78.75" outlineLevel="2">
      <c r="A2556" s="191"/>
      <c r="B2556" s="12" t="str">
        <f>IFERROR(VLOOKUP(D2556,'[1]Перечень товаров'!$A$2:$I9525,2,0),"")</f>
        <v>д24</v>
      </c>
      <c r="C2556" s="12" t="str">
        <f>IFERROR(VLOOKUP(D2556,'[1]Перечень товаров'!$A$2:$I9525,3,0),"")</f>
        <v>Дидактика</v>
      </c>
      <c r="D2556" s="192" t="s">
        <v>767</v>
      </c>
      <c r="E2556" s="23"/>
      <c r="F2556" s="23"/>
      <c r="G2556" s="193">
        <v>1</v>
      </c>
      <c r="H2556" s="193"/>
      <c r="I2556" s="194"/>
      <c r="J2556" s="194"/>
      <c r="K2556" s="19"/>
      <c r="L2556" s="20"/>
    </row>
    <row r="2557" spans="1:12" ht="31.5" outlineLevel="2">
      <c r="A2557" s="191"/>
      <c r="B2557" s="12" t="str">
        <f>IFERROR(VLOOKUP(D2557,'[1]Перечень товаров'!$A$2:$I9525,2,0),"")</f>
        <v>д25</v>
      </c>
      <c r="C2557" s="12" t="str">
        <f>IFERROR(VLOOKUP(D2557,'[1]Перечень товаров'!$A$2:$I9525,3,0),"")</f>
        <v>Дидактика</v>
      </c>
      <c r="D2557" s="192" t="s">
        <v>768</v>
      </c>
      <c r="E2557" s="23"/>
      <c r="F2557" s="23"/>
      <c r="G2557" s="193">
        <v>1</v>
      </c>
      <c r="H2557" s="193"/>
      <c r="I2557" s="194"/>
      <c r="J2557" s="194"/>
      <c r="K2557" s="19"/>
      <c r="L2557" s="20"/>
    </row>
    <row r="2558" spans="1:12" outlineLevel="2">
      <c r="A2558" s="191"/>
      <c r="B2558" s="12" t="str">
        <f>IFERROR(VLOOKUP(D2558,'[1]Перечень товаров'!$A$2:$I9525,2,0),"")</f>
        <v>п92</v>
      </c>
      <c r="C2558" s="12" t="str">
        <f>IFERROR(VLOOKUP(D2558,'[1]Перечень товаров'!$A$2:$I9525,3,0),"")</f>
        <v>Прочее</v>
      </c>
      <c r="D2558" s="192" t="s">
        <v>769</v>
      </c>
      <c r="E2558" s="23"/>
      <c r="F2558" s="23"/>
      <c r="G2558" s="193">
        <v>13</v>
      </c>
      <c r="H2558" s="193"/>
      <c r="I2558" s="194"/>
      <c r="J2558" s="194"/>
      <c r="K2558" s="19"/>
      <c r="L2558" s="20"/>
    </row>
    <row r="2559" spans="1:12" ht="15" outlineLevel="2">
      <c r="A2559" s="179"/>
      <c r="B2559" s="12" t="str">
        <f>IFERROR(VLOOKUP(D2559,'[1]Перечень товаров'!$A$2:$I9525,2,0),"")</f>
        <v/>
      </c>
      <c r="C2559" s="12" t="str">
        <f>IFERROR(VLOOKUP(D2559,'[1]Перечень товаров'!$A$2:$I9525,3,0),"")</f>
        <v/>
      </c>
      <c r="D2559" s="180" t="s">
        <v>770</v>
      </c>
      <c r="E2559" s="61"/>
      <c r="F2559" s="61"/>
      <c r="G2559" s="195"/>
      <c r="H2559" s="195"/>
      <c r="I2559" s="196"/>
      <c r="J2559" s="196"/>
      <c r="K2559" s="19"/>
      <c r="L2559" s="20"/>
    </row>
    <row r="2560" spans="1:12" ht="31.5" outlineLevel="2">
      <c r="A2560" s="191"/>
      <c r="B2560" s="12" t="str">
        <f>IFERROR(VLOOKUP(D2560,'[1]Перечень товаров'!$A$2:$I9525,2,0),"")</f>
        <v>д26</v>
      </c>
      <c r="C2560" s="12" t="str">
        <f>IFERROR(VLOOKUP(D2560,'[1]Перечень товаров'!$A$2:$I9525,3,0),"")</f>
        <v>Дидактика</v>
      </c>
      <c r="D2560" s="192" t="s">
        <v>771</v>
      </c>
      <c r="E2560" s="23"/>
      <c r="F2560" s="23"/>
      <c r="G2560" s="193">
        <v>1</v>
      </c>
      <c r="H2560" s="193"/>
      <c r="I2560" s="194"/>
      <c r="J2560" s="194"/>
      <c r="K2560" s="19"/>
      <c r="L2560" s="20"/>
    </row>
    <row r="2561" spans="1:12" ht="31.5" outlineLevel="2">
      <c r="A2561" s="191"/>
      <c r="B2561" s="12" t="str">
        <f>IFERROR(VLOOKUP(D2561,'[1]Перечень товаров'!$A$2:$I9525,2,0),"")</f>
        <v>д27</v>
      </c>
      <c r="C2561" s="12" t="str">
        <f>IFERROR(VLOOKUP(D2561,'[1]Перечень товаров'!$A$2:$I9525,3,0),"")</f>
        <v>Дидактика</v>
      </c>
      <c r="D2561" s="192" t="s">
        <v>772</v>
      </c>
      <c r="E2561" s="23"/>
      <c r="F2561" s="23"/>
      <c r="G2561" s="193">
        <v>1</v>
      </c>
      <c r="H2561" s="193"/>
      <c r="I2561" s="194"/>
      <c r="J2561" s="194"/>
      <c r="K2561" s="19"/>
      <c r="L2561" s="20"/>
    </row>
    <row r="2562" spans="1:12" ht="47.25" outlineLevel="2">
      <c r="A2562" s="191"/>
      <c r="B2562" s="12" t="str">
        <f>IFERROR(VLOOKUP(D2562,'[1]Перечень товаров'!$A$2:$I9525,2,0),"")</f>
        <v>д28</v>
      </c>
      <c r="C2562" s="12" t="str">
        <f>IFERROR(VLOOKUP(D2562,'[1]Перечень товаров'!$A$2:$I9525,3,0),"")</f>
        <v>Дидактика</v>
      </c>
      <c r="D2562" s="192" t="s">
        <v>773</v>
      </c>
      <c r="E2562" s="23"/>
      <c r="F2562" s="23"/>
      <c r="G2562" s="193">
        <v>1</v>
      </c>
      <c r="H2562" s="193"/>
      <c r="I2562" s="194"/>
      <c r="J2562" s="194"/>
      <c r="K2562" s="19"/>
      <c r="L2562" s="20"/>
    </row>
    <row r="2563" spans="1:12" ht="31.5" outlineLevel="2">
      <c r="A2563" s="191"/>
      <c r="B2563" s="12" t="str">
        <f>IFERROR(VLOOKUP(D2563,'[1]Перечень товаров'!$A$2:$I9525,2,0),"")</f>
        <v>д29</v>
      </c>
      <c r="C2563" s="12" t="str">
        <f>IFERROR(VLOOKUP(D2563,'[1]Перечень товаров'!$A$2:$I9525,3,0),"")</f>
        <v>Дидактика</v>
      </c>
      <c r="D2563" s="192" t="s">
        <v>774</v>
      </c>
      <c r="E2563" s="23"/>
      <c r="F2563" s="23"/>
      <c r="G2563" s="193">
        <v>1</v>
      </c>
      <c r="H2563" s="193"/>
      <c r="I2563" s="194"/>
      <c r="J2563" s="194"/>
      <c r="K2563" s="19"/>
      <c r="L2563" s="20"/>
    </row>
    <row r="2564" spans="1:12" ht="31.5" outlineLevel="2">
      <c r="A2564" s="191"/>
      <c r="B2564" s="12" t="str">
        <f>IFERROR(VLOOKUP(D2564,'[1]Перечень товаров'!$A$2:$I9525,2,0),"")</f>
        <v>д30</v>
      </c>
      <c r="C2564" s="12" t="str">
        <f>IFERROR(VLOOKUP(D2564,'[1]Перечень товаров'!$A$2:$I9525,3,0),"")</f>
        <v>Дидактика</v>
      </c>
      <c r="D2564" s="192" t="s">
        <v>775</v>
      </c>
      <c r="E2564" s="23"/>
      <c r="F2564" s="23"/>
      <c r="G2564" s="193">
        <v>1</v>
      </c>
      <c r="H2564" s="193"/>
      <c r="I2564" s="194"/>
      <c r="J2564" s="194"/>
      <c r="K2564" s="19"/>
      <c r="L2564" s="20"/>
    </row>
    <row r="2565" spans="1:12" ht="31.5" outlineLevel="2">
      <c r="A2565" s="191"/>
      <c r="B2565" s="12" t="str">
        <f>IFERROR(VLOOKUP(D2565,'[1]Перечень товаров'!$A$2:$I9525,2,0),"")</f>
        <v>д31</v>
      </c>
      <c r="C2565" s="12" t="str">
        <f>IFERROR(VLOOKUP(D2565,'[1]Перечень товаров'!$A$2:$I9525,3,0),"")</f>
        <v>Дидактика</v>
      </c>
      <c r="D2565" s="192" t="s">
        <v>776</v>
      </c>
      <c r="E2565" s="23"/>
      <c r="F2565" s="23"/>
      <c r="G2565" s="193">
        <v>1</v>
      </c>
      <c r="H2565" s="193"/>
      <c r="I2565" s="194"/>
      <c r="J2565" s="194"/>
      <c r="K2565" s="19"/>
      <c r="L2565" s="20"/>
    </row>
    <row r="2566" spans="1:12" ht="31.5" outlineLevel="2">
      <c r="A2566" s="191"/>
      <c r="B2566" s="12" t="str">
        <f>IFERROR(VLOOKUP(D2566,'[1]Перечень товаров'!$A$2:$I9525,2,0),"")</f>
        <v>д32</v>
      </c>
      <c r="C2566" s="12" t="str">
        <f>IFERROR(VLOOKUP(D2566,'[1]Перечень товаров'!$A$2:$I9525,3,0),"")</f>
        <v>Дидактика</v>
      </c>
      <c r="D2566" s="192" t="s">
        <v>777</v>
      </c>
      <c r="E2566" s="23"/>
      <c r="F2566" s="23"/>
      <c r="G2566" s="193">
        <v>1</v>
      </c>
      <c r="H2566" s="193"/>
      <c r="I2566" s="194"/>
      <c r="J2566" s="194"/>
      <c r="K2566" s="19"/>
      <c r="L2566" s="20"/>
    </row>
    <row r="2567" spans="1:12" ht="47.25" outlineLevel="2">
      <c r="A2567" s="191"/>
      <c r="B2567" s="12" t="str">
        <f>IFERROR(VLOOKUP(D2567,'[1]Перечень товаров'!$A$2:$I9525,2,0),"")</f>
        <v>д33</v>
      </c>
      <c r="C2567" s="12" t="str">
        <f>IFERROR(VLOOKUP(D2567,'[1]Перечень товаров'!$A$2:$I9525,3,0),"")</f>
        <v>Дидактика</v>
      </c>
      <c r="D2567" s="192" t="s">
        <v>778</v>
      </c>
      <c r="E2567" s="23"/>
      <c r="F2567" s="23"/>
      <c r="G2567" s="193">
        <v>1</v>
      </c>
      <c r="H2567" s="193"/>
      <c r="I2567" s="194"/>
      <c r="J2567" s="194"/>
      <c r="K2567" s="19"/>
      <c r="L2567" s="20"/>
    </row>
    <row r="2568" spans="1:12" ht="31.5" outlineLevel="2">
      <c r="A2568" s="191"/>
      <c r="B2568" s="12" t="str">
        <f>IFERROR(VLOOKUP(D2568,'[1]Перечень товаров'!$A$2:$I9525,2,0),"")</f>
        <v>д34</v>
      </c>
      <c r="C2568" s="12" t="str">
        <f>IFERROR(VLOOKUP(D2568,'[1]Перечень товаров'!$A$2:$I9525,3,0),"")</f>
        <v>Дидактика</v>
      </c>
      <c r="D2568" s="192" t="s">
        <v>779</v>
      </c>
      <c r="E2568" s="23"/>
      <c r="F2568" s="23"/>
      <c r="G2568" s="193">
        <v>1</v>
      </c>
      <c r="H2568" s="193"/>
      <c r="I2568" s="194"/>
      <c r="J2568" s="194"/>
      <c r="K2568" s="19"/>
      <c r="L2568" s="20"/>
    </row>
    <row r="2569" spans="1:12" ht="31.5" outlineLevel="2">
      <c r="A2569" s="191"/>
      <c r="B2569" s="12" t="str">
        <f>IFERROR(VLOOKUP(D2569,'[1]Перечень товаров'!$A$2:$I9525,2,0),"")</f>
        <v>д35</v>
      </c>
      <c r="C2569" s="12" t="str">
        <f>IFERROR(VLOOKUP(D2569,'[1]Перечень товаров'!$A$2:$I9525,3,0),"")</f>
        <v>Дидактика</v>
      </c>
      <c r="D2569" s="192" t="s">
        <v>780</v>
      </c>
      <c r="E2569" s="23"/>
      <c r="F2569" s="23"/>
      <c r="G2569" s="193">
        <v>1</v>
      </c>
      <c r="H2569" s="193"/>
      <c r="I2569" s="194"/>
      <c r="J2569" s="194"/>
      <c r="K2569" s="19"/>
      <c r="L2569" s="20"/>
    </row>
    <row r="2570" spans="1:12" ht="31.5" outlineLevel="2">
      <c r="A2570" s="191"/>
      <c r="B2570" s="12" t="str">
        <f>IFERROR(VLOOKUP(D2570,'[1]Перечень товаров'!$A$2:$I9525,2,0),"")</f>
        <v>д36</v>
      </c>
      <c r="C2570" s="12" t="str">
        <f>IFERROR(VLOOKUP(D2570,'[1]Перечень товаров'!$A$2:$I9525,3,0),"")</f>
        <v>Дидактика</v>
      </c>
      <c r="D2570" s="192" t="s">
        <v>781</v>
      </c>
      <c r="E2570" s="23"/>
      <c r="F2570" s="23"/>
      <c r="G2570" s="193">
        <v>1</v>
      </c>
      <c r="H2570" s="193"/>
      <c r="I2570" s="194"/>
      <c r="J2570" s="194"/>
      <c r="K2570" s="19"/>
      <c r="L2570" s="20"/>
    </row>
    <row r="2571" spans="1:12" outlineLevel="2">
      <c r="A2571" s="191"/>
      <c r="B2571" s="12" t="str">
        <f>IFERROR(VLOOKUP(D2571,'[1]Перечень товаров'!$A$2:$I9525,2,0),"")</f>
        <v>д37</v>
      </c>
      <c r="C2571" s="12" t="str">
        <f>IFERROR(VLOOKUP(D2571,'[1]Перечень товаров'!$A$2:$I9525,3,0),"")</f>
        <v>Дидактика</v>
      </c>
      <c r="D2571" s="192" t="s">
        <v>782</v>
      </c>
      <c r="E2571" s="23"/>
      <c r="F2571" s="23"/>
      <c r="G2571" s="193">
        <v>1</v>
      </c>
      <c r="H2571" s="193"/>
      <c r="I2571" s="194"/>
      <c r="J2571" s="194"/>
      <c r="K2571" s="19"/>
      <c r="L2571" s="20"/>
    </row>
    <row r="2572" spans="1:12" ht="31.5" outlineLevel="2">
      <c r="A2572" s="191"/>
      <c r="B2572" s="12" t="str">
        <f>IFERROR(VLOOKUP(D2572,'[1]Перечень товаров'!$A$2:$I9525,2,0),"")</f>
        <v>д38</v>
      </c>
      <c r="C2572" s="12" t="str">
        <f>IFERROR(VLOOKUP(D2572,'[1]Перечень товаров'!$A$2:$I9525,3,0),"")</f>
        <v>Дидактика</v>
      </c>
      <c r="D2572" s="192" t="s">
        <v>783</v>
      </c>
      <c r="E2572" s="23"/>
      <c r="F2572" s="23"/>
      <c r="G2572" s="193">
        <v>1</v>
      </c>
      <c r="H2572" s="193"/>
      <c r="I2572" s="194"/>
      <c r="J2572" s="194"/>
      <c r="K2572" s="19"/>
      <c r="L2572" s="20"/>
    </row>
    <row r="2573" spans="1:12" outlineLevel="2">
      <c r="A2573" s="191"/>
      <c r="B2573" s="12" t="str">
        <f>IFERROR(VLOOKUP(D2573,'[1]Перечень товаров'!$A$2:$I9525,2,0),"")</f>
        <v>д39</v>
      </c>
      <c r="C2573" s="12" t="str">
        <f>IFERROR(VLOOKUP(D2573,'[1]Перечень товаров'!$A$2:$I9525,3,0),"")</f>
        <v>Дидактика</v>
      </c>
      <c r="D2573" s="192" t="s">
        <v>784</v>
      </c>
      <c r="E2573" s="23"/>
      <c r="F2573" s="23"/>
      <c r="G2573" s="193">
        <v>1</v>
      </c>
      <c r="H2573" s="193"/>
      <c r="I2573" s="194"/>
      <c r="J2573" s="194"/>
      <c r="K2573" s="19"/>
      <c r="L2573" s="20"/>
    </row>
    <row r="2574" spans="1:12" ht="31.5" outlineLevel="2">
      <c r="A2574" s="191"/>
      <c r="B2574" s="12" t="str">
        <f>IFERROR(VLOOKUP(D2574,'[1]Перечень товаров'!$A$2:$I9525,2,0),"")</f>
        <v>д40</v>
      </c>
      <c r="C2574" s="12" t="str">
        <f>IFERROR(VLOOKUP(D2574,'[1]Перечень товаров'!$A$2:$I9525,3,0),"")</f>
        <v>Дидактика</v>
      </c>
      <c r="D2574" s="192" t="s">
        <v>785</v>
      </c>
      <c r="E2574" s="23"/>
      <c r="F2574" s="23"/>
      <c r="G2574" s="193">
        <v>1</v>
      </c>
      <c r="H2574" s="193"/>
      <c r="I2574" s="194"/>
      <c r="J2574" s="194"/>
      <c r="K2574" s="19"/>
      <c r="L2574" s="20"/>
    </row>
    <row r="2575" spans="1:12" ht="47.25" outlineLevel="2">
      <c r="A2575" s="191"/>
      <c r="B2575" s="12" t="str">
        <f>IFERROR(VLOOKUP(D2575,'[1]Перечень товаров'!$A$2:$I9525,2,0),"")</f>
        <v>д41</v>
      </c>
      <c r="C2575" s="12" t="str">
        <f>IFERROR(VLOOKUP(D2575,'[1]Перечень товаров'!$A$2:$I9525,3,0),"")</f>
        <v>Дидактика</v>
      </c>
      <c r="D2575" s="192" t="s">
        <v>786</v>
      </c>
      <c r="E2575" s="23"/>
      <c r="F2575" s="23"/>
      <c r="G2575" s="193">
        <v>1</v>
      </c>
      <c r="H2575" s="193"/>
      <c r="I2575" s="194"/>
      <c r="J2575" s="194"/>
      <c r="K2575" s="19"/>
      <c r="L2575" s="20"/>
    </row>
    <row r="2576" spans="1:12" ht="31.5" outlineLevel="2">
      <c r="A2576" s="191"/>
      <c r="B2576" s="12" t="str">
        <f>IFERROR(VLOOKUP(D2576,'[1]Перечень товаров'!$A$2:$I9525,2,0),"")</f>
        <v>д42</v>
      </c>
      <c r="C2576" s="12" t="str">
        <f>IFERROR(VLOOKUP(D2576,'[1]Перечень товаров'!$A$2:$I9525,3,0),"")</f>
        <v>Дидактика</v>
      </c>
      <c r="D2576" s="192" t="s">
        <v>787</v>
      </c>
      <c r="E2576" s="23"/>
      <c r="F2576" s="23"/>
      <c r="G2576" s="193">
        <v>1</v>
      </c>
      <c r="H2576" s="193"/>
      <c r="I2576" s="194"/>
      <c r="J2576" s="194"/>
      <c r="K2576" s="19"/>
      <c r="L2576" s="20"/>
    </row>
    <row r="2577" spans="1:12" ht="31.5" outlineLevel="2">
      <c r="A2577" s="191"/>
      <c r="B2577" s="12" t="str">
        <f>IFERROR(VLOOKUP(D2577,'[1]Перечень товаров'!$A$2:$I9525,2,0),"")</f>
        <v>д43</v>
      </c>
      <c r="C2577" s="12" t="str">
        <f>IFERROR(VLOOKUP(D2577,'[1]Перечень товаров'!$A$2:$I9525,3,0),"")</f>
        <v>Дидактика</v>
      </c>
      <c r="D2577" s="192" t="s">
        <v>788</v>
      </c>
      <c r="E2577" s="23"/>
      <c r="F2577" s="23"/>
      <c r="G2577" s="193">
        <v>1</v>
      </c>
      <c r="H2577" s="193"/>
      <c r="I2577" s="194"/>
      <c r="J2577" s="194"/>
      <c r="K2577" s="19"/>
      <c r="L2577" s="20"/>
    </row>
    <row r="2578" spans="1:12" ht="31.5" outlineLevel="2">
      <c r="A2578" s="191"/>
      <c r="B2578" s="12" t="str">
        <f>IFERROR(VLOOKUP(D2578,'[1]Перечень товаров'!$A$2:$I9525,2,0),"")</f>
        <v>д44</v>
      </c>
      <c r="C2578" s="12" t="str">
        <f>IFERROR(VLOOKUP(D2578,'[1]Перечень товаров'!$A$2:$I9525,3,0),"")</f>
        <v>Дидактика</v>
      </c>
      <c r="D2578" s="192" t="s">
        <v>789</v>
      </c>
      <c r="E2578" s="23"/>
      <c r="F2578" s="23"/>
      <c r="G2578" s="193">
        <v>1</v>
      </c>
      <c r="H2578" s="193"/>
      <c r="I2578" s="194"/>
      <c r="J2578" s="194"/>
      <c r="K2578" s="19"/>
      <c r="L2578" s="20"/>
    </row>
    <row r="2579" spans="1:12" ht="47.25" outlineLevel="2">
      <c r="A2579" s="191"/>
      <c r="B2579" s="12" t="str">
        <f>IFERROR(VLOOKUP(D2579,'[1]Перечень товаров'!$A$2:$I9525,2,0),"")</f>
        <v>д45</v>
      </c>
      <c r="C2579" s="12" t="str">
        <f>IFERROR(VLOOKUP(D2579,'[1]Перечень товаров'!$A$2:$I9525,3,0),"")</f>
        <v>Дидактика</v>
      </c>
      <c r="D2579" s="192" t="s">
        <v>790</v>
      </c>
      <c r="E2579" s="23"/>
      <c r="F2579" s="23"/>
      <c r="G2579" s="193">
        <v>1</v>
      </c>
      <c r="H2579" s="193"/>
      <c r="I2579" s="194"/>
      <c r="J2579" s="194"/>
      <c r="K2579" s="19"/>
      <c r="L2579" s="20"/>
    </row>
    <row r="2580" spans="1:12" ht="31.5" outlineLevel="2">
      <c r="A2580" s="191"/>
      <c r="B2580" s="12" t="str">
        <f>IFERROR(VLOOKUP(D2580,'[1]Перечень товаров'!$A$2:$I9525,2,0),"")</f>
        <v>д46</v>
      </c>
      <c r="C2580" s="12" t="str">
        <f>IFERROR(VLOOKUP(D2580,'[1]Перечень товаров'!$A$2:$I9525,3,0),"")</f>
        <v>Дидактика</v>
      </c>
      <c r="D2580" s="192" t="s">
        <v>791</v>
      </c>
      <c r="E2580" s="23"/>
      <c r="F2580" s="23"/>
      <c r="G2580" s="193">
        <v>1</v>
      </c>
      <c r="H2580" s="193"/>
      <c r="I2580" s="194"/>
      <c r="J2580" s="194"/>
      <c r="K2580" s="19"/>
      <c r="L2580" s="20"/>
    </row>
    <row r="2581" spans="1:12" ht="31.5" outlineLevel="2">
      <c r="A2581" s="191"/>
      <c r="B2581" s="12" t="str">
        <f>IFERROR(VLOOKUP(D2581,'[1]Перечень товаров'!$A$2:$I9525,2,0),"")</f>
        <v>д47</v>
      </c>
      <c r="C2581" s="12" t="str">
        <f>IFERROR(VLOOKUP(D2581,'[1]Перечень товаров'!$A$2:$I9525,3,0),"")</f>
        <v>Дидактика</v>
      </c>
      <c r="D2581" s="192" t="s">
        <v>792</v>
      </c>
      <c r="E2581" s="23"/>
      <c r="F2581" s="23"/>
      <c r="G2581" s="193">
        <v>1</v>
      </c>
      <c r="H2581" s="193"/>
      <c r="I2581" s="194"/>
      <c r="J2581" s="194"/>
      <c r="K2581" s="19"/>
      <c r="L2581" s="20"/>
    </row>
    <row r="2582" spans="1:12" ht="31.5" outlineLevel="2">
      <c r="A2582" s="191"/>
      <c r="B2582" s="12" t="str">
        <f>IFERROR(VLOOKUP(D2582,'[1]Перечень товаров'!$A$2:$I9525,2,0),"")</f>
        <v>д48</v>
      </c>
      <c r="C2582" s="12" t="str">
        <f>IFERROR(VLOOKUP(D2582,'[1]Перечень товаров'!$A$2:$I9525,3,0),"")</f>
        <v>Дидактика</v>
      </c>
      <c r="D2582" s="192" t="s">
        <v>793</v>
      </c>
      <c r="E2582" s="23"/>
      <c r="F2582" s="23"/>
      <c r="G2582" s="193">
        <v>1</v>
      </c>
      <c r="H2582" s="193"/>
      <c r="I2582" s="194"/>
      <c r="J2582" s="194"/>
      <c r="K2582" s="19"/>
      <c r="L2582" s="20"/>
    </row>
    <row r="2583" spans="1:12" ht="31.5" outlineLevel="2">
      <c r="A2583" s="191"/>
      <c r="B2583" s="12" t="str">
        <f>IFERROR(VLOOKUP(D2583,'[1]Перечень товаров'!$A$2:$I9525,2,0),"")</f>
        <v>д49</v>
      </c>
      <c r="C2583" s="12" t="str">
        <f>IFERROR(VLOOKUP(D2583,'[1]Перечень товаров'!$A$2:$I9525,3,0),"")</f>
        <v>Дидактика</v>
      </c>
      <c r="D2583" s="192" t="s">
        <v>794</v>
      </c>
      <c r="E2583" s="23"/>
      <c r="F2583" s="23"/>
      <c r="G2583" s="193">
        <v>1</v>
      </c>
      <c r="H2583" s="193"/>
      <c r="I2583" s="194"/>
      <c r="J2583" s="194"/>
      <c r="K2583" s="19"/>
      <c r="L2583" s="20"/>
    </row>
    <row r="2584" spans="1:12" ht="31.5" outlineLevel="2">
      <c r="A2584" s="191"/>
      <c r="B2584" s="12" t="str">
        <f>IFERROR(VLOOKUP(D2584,'[1]Перечень товаров'!$A$2:$I9525,2,0),"")</f>
        <v>д50</v>
      </c>
      <c r="C2584" s="12" t="str">
        <f>IFERROR(VLOOKUP(D2584,'[1]Перечень товаров'!$A$2:$I9525,3,0),"")</f>
        <v>Дидактика</v>
      </c>
      <c r="D2584" s="192" t="s">
        <v>795</v>
      </c>
      <c r="E2584" s="23"/>
      <c r="F2584" s="23"/>
      <c r="G2584" s="193">
        <v>1</v>
      </c>
      <c r="H2584" s="193"/>
      <c r="I2584" s="194"/>
      <c r="J2584" s="194"/>
      <c r="K2584" s="19"/>
      <c r="L2584" s="20"/>
    </row>
    <row r="2585" spans="1:12" ht="31.5" outlineLevel="2">
      <c r="A2585" s="191"/>
      <c r="B2585" s="12" t="str">
        <f>IFERROR(VLOOKUP(D2585,'[1]Перечень товаров'!$A$2:$I9525,2,0),"")</f>
        <v>д51</v>
      </c>
      <c r="C2585" s="12" t="str">
        <f>IFERROR(VLOOKUP(D2585,'[1]Перечень товаров'!$A$2:$I9525,3,0),"")</f>
        <v>Дидактика</v>
      </c>
      <c r="D2585" s="192" t="s">
        <v>796</v>
      </c>
      <c r="E2585" s="23"/>
      <c r="F2585" s="23"/>
      <c r="G2585" s="193">
        <v>1</v>
      </c>
      <c r="H2585" s="193"/>
      <c r="I2585" s="194"/>
      <c r="J2585" s="194"/>
      <c r="K2585" s="19"/>
      <c r="L2585" s="20"/>
    </row>
    <row r="2586" spans="1:12" ht="31.5" outlineLevel="2">
      <c r="A2586" s="191"/>
      <c r="B2586" s="12" t="str">
        <f>IFERROR(VLOOKUP(D2586,'[1]Перечень товаров'!$A$2:$I9525,2,0),"")</f>
        <v>д34</v>
      </c>
      <c r="C2586" s="12" t="str">
        <f>IFERROR(VLOOKUP(D2586,'[1]Перечень товаров'!$A$2:$I9525,3,0),"")</f>
        <v>Дидактика</v>
      </c>
      <c r="D2586" s="192" t="s">
        <v>779</v>
      </c>
      <c r="E2586" s="23"/>
      <c r="F2586" s="23"/>
      <c r="G2586" s="193">
        <v>1</v>
      </c>
      <c r="H2586" s="193"/>
      <c r="I2586" s="194"/>
      <c r="J2586" s="194"/>
      <c r="K2586" s="19"/>
      <c r="L2586" s="20"/>
    </row>
    <row r="2587" spans="1:12" ht="31.5" outlineLevel="2">
      <c r="A2587" s="191"/>
      <c r="B2587" s="12" t="str">
        <f>IFERROR(VLOOKUP(D2587,'[1]Перечень товаров'!$A$2:$I9525,2,0),"")</f>
        <v>д52</v>
      </c>
      <c r="C2587" s="12" t="str">
        <f>IFERROR(VLOOKUP(D2587,'[1]Перечень товаров'!$A$2:$I9525,3,0),"")</f>
        <v>Дидактика</v>
      </c>
      <c r="D2587" s="192" t="s">
        <v>797</v>
      </c>
      <c r="E2587" s="23"/>
      <c r="F2587" s="23"/>
      <c r="G2587" s="193">
        <v>1</v>
      </c>
      <c r="H2587" s="193"/>
      <c r="I2587" s="194"/>
      <c r="J2587" s="194"/>
      <c r="K2587" s="19"/>
      <c r="L2587" s="20"/>
    </row>
    <row r="2588" spans="1:12" ht="31.5" outlineLevel="2">
      <c r="A2588" s="191"/>
      <c r="B2588" s="12" t="str">
        <f>IFERROR(VLOOKUP(D2588,'[1]Перечень товаров'!$A$2:$I9525,2,0),"")</f>
        <v>д53</v>
      </c>
      <c r="C2588" s="12" t="str">
        <f>IFERROR(VLOOKUP(D2588,'[1]Перечень товаров'!$A$2:$I9525,3,0),"")</f>
        <v>Дидактика</v>
      </c>
      <c r="D2588" s="192" t="s">
        <v>798</v>
      </c>
      <c r="E2588" s="23"/>
      <c r="F2588" s="23"/>
      <c r="G2588" s="193">
        <v>1</v>
      </c>
      <c r="H2588" s="193"/>
      <c r="I2588" s="194"/>
      <c r="J2588" s="194"/>
      <c r="K2588" s="19"/>
      <c r="L2588" s="20"/>
    </row>
    <row r="2589" spans="1:12" ht="31.5" outlineLevel="2">
      <c r="A2589" s="191"/>
      <c r="B2589" s="12" t="str">
        <f>IFERROR(VLOOKUP(D2589,'[1]Перечень товаров'!$A$2:$I9525,2,0),"")</f>
        <v>д54</v>
      </c>
      <c r="C2589" s="12" t="str">
        <f>IFERROR(VLOOKUP(D2589,'[1]Перечень товаров'!$A$2:$I9525,3,0),"")</f>
        <v>Дидактика</v>
      </c>
      <c r="D2589" s="192" t="s">
        <v>799</v>
      </c>
      <c r="E2589" s="23"/>
      <c r="F2589" s="23"/>
      <c r="G2589" s="193">
        <v>1</v>
      </c>
      <c r="H2589" s="193"/>
      <c r="I2589" s="194"/>
      <c r="J2589" s="194"/>
      <c r="K2589" s="19"/>
      <c r="L2589" s="20"/>
    </row>
    <row r="2590" spans="1:12" ht="47.25" outlineLevel="2">
      <c r="A2590" s="191"/>
      <c r="B2590" s="12" t="str">
        <f>IFERROR(VLOOKUP(D2590,'[1]Перечень товаров'!$A$2:$I9525,2,0),"")</f>
        <v>д55</v>
      </c>
      <c r="C2590" s="12" t="str">
        <f>IFERROR(VLOOKUP(D2590,'[1]Перечень товаров'!$A$2:$I9525,3,0),"")</f>
        <v>Дидактика</v>
      </c>
      <c r="D2590" s="192" t="s">
        <v>800</v>
      </c>
      <c r="E2590" s="23"/>
      <c r="F2590" s="23"/>
      <c r="G2590" s="193">
        <v>1</v>
      </c>
      <c r="H2590" s="193"/>
      <c r="I2590" s="194"/>
      <c r="J2590" s="194"/>
      <c r="K2590" s="19"/>
      <c r="L2590" s="20"/>
    </row>
    <row r="2591" spans="1:12" ht="47.25" outlineLevel="2">
      <c r="A2591" s="191"/>
      <c r="B2591" s="12" t="str">
        <f>IFERROR(VLOOKUP(D2591,'[1]Перечень товаров'!$A$2:$I9525,2,0),"")</f>
        <v>д56</v>
      </c>
      <c r="C2591" s="12" t="str">
        <f>IFERROR(VLOOKUP(D2591,'[1]Перечень товаров'!$A$2:$I9525,3,0),"")</f>
        <v>Дидактика</v>
      </c>
      <c r="D2591" s="192" t="s">
        <v>801</v>
      </c>
      <c r="E2591" s="23"/>
      <c r="F2591" s="23"/>
      <c r="G2591" s="193">
        <v>1</v>
      </c>
      <c r="H2591" s="193"/>
      <c r="I2591" s="194"/>
      <c r="J2591" s="194"/>
      <c r="K2591" s="19"/>
      <c r="L2591" s="20"/>
    </row>
    <row r="2592" spans="1:12" ht="47.25" outlineLevel="2">
      <c r="A2592" s="191"/>
      <c r="B2592" s="12" t="str">
        <f>IFERROR(VLOOKUP(D2592,'[1]Перечень товаров'!$A$2:$I9525,2,0),"")</f>
        <v>д57</v>
      </c>
      <c r="C2592" s="12" t="str">
        <f>IFERROR(VLOOKUP(D2592,'[1]Перечень товаров'!$A$2:$I9525,3,0),"")</f>
        <v>Дидактика</v>
      </c>
      <c r="D2592" s="192" t="s">
        <v>802</v>
      </c>
      <c r="E2592" s="23"/>
      <c r="F2592" s="23"/>
      <c r="G2592" s="193">
        <v>1</v>
      </c>
      <c r="H2592" s="193"/>
      <c r="I2592" s="194"/>
      <c r="J2592" s="194"/>
      <c r="K2592" s="19"/>
      <c r="L2592" s="20"/>
    </row>
    <row r="2593" spans="1:12" ht="47.25" outlineLevel="2">
      <c r="A2593" s="191"/>
      <c r="B2593" s="12" t="str">
        <f>IFERROR(VLOOKUP(D2593,'[1]Перечень товаров'!$A$2:$I9525,2,0),"")</f>
        <v>д58</v>
      </c>
      <c r="C2593" s="12" t="str">
        <f>IFERROR(VLOOKUP(D2593,'[1]Перечень товаров'!$A$2:$I9525,3,0),"")</f>
        <v>Дидактика</v>
      </c>
      <c r="D2593" s="192" t="s">
        <v>803</v>
      </c>
      <c r="E2593" s="23"/>
      <c r="F2593" s="23"/>
      <c r="G2593" s="193">
        <v>1</v>
      </c>
      <c r="H2593" s="193"/>
      <c r="I2593" s="194"/>
      <c r="J2593" s="194"/>
      <c r="K2593" s="19"/>
      <c r="L2593" s="20"/>
    </row>
    <row r="2594" spans="1:12" ht="47.25" outlineLevel="2">
      <c r="A2594" s="191"/>
      <c r="B2594" s="12" t="str">
        <f>IFERROR(VLOOKUP(D2594,'[1]Перечень товаров'!$A$2:$I9525,2,0),"")</f>
        <v>д59</v>
      </c>
      <c r="C2594" s="12" t="str">
        <f>IFERROR(VLOOKUP(D2594,'[1]Перечень товаров'!$A$2:$I9525,3,0),"")</f>
        <v>Дидактика</v>
      </c>
      <c r="D2594" s="192" t="s">
        <v>804</v>
      </c>
      <c r="E2594" s="23"/>
      <c r="F2594" s="23"/>
      <c r="G2594" s="193">
        <v>1</v>
      </c>
      <c r="H2594" s="193"/>
      <c r="I2594" s="194"/>
      <c r="J2594" s="194"/>
      <c r="K2594" s="19"/>
      <c r="L2594" s="20"/>
    </row>
    <row r="2595" spans="1:12" ht="47.25" outlineLevel="2">
      <c r="A2595" s="191"/>
      <c r="B2595" s="12" t="str">
        <f>IFERROR(VLOOKUP(D2595,'[1]Перечень товаров'!$A$2:$I9525,2,0),"")</f>
        <v>д60</v>
      </c>
      <c r="C2595" s="12" t="str">
        <f>IFERROR(VLOOKUP(D2595,'[1]Перечень товаров'!$A$2:$I9525,3,0),"")</f>
        <v>Дидактика</v>
      </c>
      <c r="D2595" s="192" t="s">
        <v>805</v>
      </c>
      <c r="E2595" s="23"/>
      <c r="F2595" s="23"/>
      <c r="G2595" s="193">
        <v>1</v>
      </c>
      <c r="H2595" s="193"/>
      <c r="I2595" s="194"/>
      <c r="J2595" s="194"/>
      <c r="K2595" s="19"/>
      <c r="L2595" s="20"/>
    </row>
    <row r="2596" spans="1:12" ht="47.25" outlineLevel="2">
      <c r="A2596" s="191"/>
      <c r="B2596" s="12" t="str">
        <f>IFERROR(VLOOKUP(D2596,'[1]Перечень товаров'!$A$2:$I9525,2,0),"")</f>
        <v>д61</v>
      </c>
      <c r="C2596" s="12" t="str">
        <f>IFERROR(VLOOKUP(D2596,'[1]Перечень товаров'!$A$2:$I9525,3,0),"")</f>
        <v>Дидактика</v>
      </c>
      <c r="D2596" s="192" t="s">
        <v>806</v>
      </c>
      <c r="E2596" s="23"/>
      <c r="F2596" s="23"/>
      <c r="G2596" s="193">
        <v>1</v>
      </c>
      <c r="H2596" s="193"/>
      <c r="I2596" s="194"/>
      <c r="J2596" s="194"/>
      <c r="K2596" s="19"/>
      <c r="L2596" s="20"/>
    </row>
    <row r="2597" spans="1:12" outlineLevel="2">
      <c r="A2597" s="191"/>
      <c r="B2597" s="12" t="str">
        <f>IFERROR(VLOOKUP(D2597,'[1]Перечень товаров'!$A$2:$I9525,2,0),"")</f>
        <v>д62</v>
      </c>
      <c r="C2597" s="12" t="str">
        <f>IFERROR(VLOOKUP(D2597,'[1]Перечень товаров'!$A$2:$I9525,3,0),"")</f>
        <v>Дидактика</v>
      </c>
      <c r="D2597" s="192" t="s">
        <v>807</v>
      </c>
      <c r="E2597" s="23"/>
      <c r="F2597" s="23"/>
      <c r="G2597" s="193">
        <v>1</v>
      </c>
      <c r="H2597" s="193"/>
      <c r="I2597" s="194"/>
      <c r="J2597" s="194"/>
      <c r="K2597" s="19"/>
      <c r="L2597" s="20"/>
    </row>
    <row r="2598" spans="1:12" ht="47.25" outlineLevel="2">
      <c r="A2598" s="191"/>
      <c r="B2598" s="12" t="str">
        <f>IFERROR(VLOOKUP(D2598,'[1]Перечень товаров'!$A$2:$I9525,2,0),"")</f>
        <v>д63</v>
      </c>
      <c r="C2598" s="12" t="str">
        <f>IFERROR(VLOOKUP(D2598,'[1]Перечень товаров'!$A$2:$I9525,3,0),"")</f>
        <v>Дидактика</v>
      </c>
      <c r="D2598" s="192" t="s">
        <v>808</v>
      </c>
      <c r="E2598" s="23"/>
      <c r="F2598" s="23"/>
      <c r="G2598" s="193">
        <v>1</v>
      </c>
      <c r="H2598" s="193"/>
      <c r="I2598" s="194"/>
      <c r="J2598" s="194"/>
      <c r="K2598" s="19"/>
      <c r="L2598" s="20"/>
    </row>
    <row r="2599" spans="1:12" ht="30" outlineLevel="2">
      <c r="A2599" s="179"/>
      <c r="B2599" s="12" t="str">
        <f>IFERROR(VLOOKUP(D2599,'[1]Перечень товаров'!$A$2:$I9525,2,0),"")</f>
        <v/>
      </c>
      <c r="C2599" s="12" t="str">
        <f>IFERROR(VLOOKUP(D2599,'[1]Перечень товаров'!$A$2:$I9525,3,0),"")</f>
        <v/>
      </c>
      <c r="D2599" s="180" t="s">
        <v>809</v>
      </c>
      <c r="E2599" s="61"/>
      <c r="F2599" s="61"/>
      <c r="G2599" s="195"/>
      <c r="H2599" s="195"/>
      <c r="I2599" s="196"/>
      <c r="J2599" s="196"/>
      <c r="K2599" s="19"/>
      <c r="L2599" s="20"/>
    </row>
    <row r="2600" spans="1:12" ht="31.5" outlineLevel="2">
      <c r="A2600" s="191"/>
      <c r="B2600" s="12" t="str">
        <f>IFERROR(VLOOKUP(D2600,'[1]Перечень товаров'!$A$2:$I9525,2,0),"")</f>
        <v>д64</v>
      </c>
      <c r="C2600" s="12" t="str">
        <f>IFERROR(VLOOKUP(D2600,'[1]Перечень товаров'!$A$2:$I9525,3,0),"")</f>
        <v>Дидактика</v>
      </c>
      <c r="D2600" s="192" t="s">
        <v>810</v>
      </c>
      <c r="E2600" s="23"/>
      <c r="F2600" s="23"/>
      <c r="G2600" s="193">
        <v>1</v>
      </c>
      <c r="H2600" s="193"/>
      <c r="I2600" s="194"/>
      <c r="J2600" s="194"/>
      <c r="K2600" s="19"/>
      <c r="L2600" s="20"/>
    </row>
    <row r="2601" spans="1:12" outlineLevel="2">
      <c r="A2601" s="191"/>
      <c r="B2601" s="12" t="str">
        <f>IFERROR(VLOOKUP(D2601,'[1]Перечень товаров'!$A$2:$I9525,2,0),"")</f>
        <v>д65</v>
      </c>
      <c r="C2601" s="12" t="str">
        <f>IFERROR(VLOOKUP(D2601,'[1]Перечень товаров'!$A$2:$I9525,3,0),"")</f>
        <v>Дидактика</v>
      </c>
      <c r="D2601" s="192" t="s">
        <v>811</v>
      </c>
      <c r="E2601" s="23"/>
      <c r="F2601" s="23"/>
      <c r="G2601" s="193">
        <v>1</v>
      </c>
      <c r="H2601" s="193"/>
      <c r="I2601" s="194"/>
      <c r="J2601" s="194"/>
      <c r="K2601" s="19"/>
      <c r="L2601" s="20"/>
    </row>
    <row r="2602" spans="1:12" outlineLevel="2">
      <c r="A2602" s="191"/>
      <c r="B2602" s="12" t="str">
        <f>IFERROR(VLOOKUP(D2602,'[1]Перечень товаров'!$A$2:$I9525,2,0),"")</f>
        <v>д66</v>
      </c>
      <c r="C2602" s="12" t="str">
        <f>IFERROR(VLOOKUP(D2602,'[1]Перечень товаров'!$A$2:$I9525,3,0),"")</f>
        <v>Дидактика</v>
      </c>
      <c r="D2602" s="192" t="s">
        <v>812</v>
      </c>
      <c r="E2602" s="23"/>
      <c r="F2602" s="23"/>
      <c r="G2602" s="193">
        <v>1</v>
      </c>
      <c r="H2602" s="193"/>
      <c r="I2602" s="194"/>
      <c r="J2602" s="194"/>
      <c r="K2602" s="19"/>
      <c r="L2602" s="20"/>
    </row>
    <row r="2603" spans="1:12" outlineLevel="2">
      <c r="A2603" s="191"/>
      <c r="B2603" s="12" t="str">
        <f>IFERROR(VLOOKUP(D2603,'[1]Перечень товаров'!$A$2:$I9525,2,0),"")</f>
        <v>д67</v>
      </c>
      <c r="C2603" s="12" t="str">
        <f>IFERROR(VLOOKUP(D2603,'[1]Перечень товаров'!$A$2:$I9525,3,0),"")</f>
        <v>Дидактика</v>
      </c>
      <c r="D2603" s="192" t="s">
        <v>813</v>
      </c>
      <c r="E2603" s="23"/>
      <c r="F2603" s="23"/>
      <c r="G2603" s="193">
        <v>1</v>
      </c>
      <c r="H2603" s="193"/>
      <c r="I2603" s="194"/>
      <c r="J2603" s="194"/>
      <c r="K2603" s="19"/>
      <c r="L2603" s="20"/>
    </row>
    <row r="2604" spans="1:12" outlineLevel="2">
      <c r="A2604" s="191"/>
      <c r="B2604" s="12" t="str">
        <f>IFERROR(VLOOKUP(D2604,'[1]Перечень товаров'!$A$2:$I9525,2,0),"")</f>
        <v>п90</v>
      </c>
      <c r="C2604" s="12" t="str">
        <f>IFERROR(VLOOKUP(D2604,'[1]Перечень товаров'!$A$2:$I9525,3,0),"")</f>
        <v>Прочее</v>
      </c>
      <c r="D2604" s="192" t="s">
        <v>723</v>
      </c>
      <c r="E2604" s="23"/>
      <c r="F2604" s="23"/>
      <c r="G2604" s="193">
        <v>1</v>
      </c>
      <c r="H2604" s="193"/>
      <c r="I2604" s="194"/>
      <c r="J2604" s="194"/>
      <c r="K2604" s="19"/>
      <c r="L2604" s="20"/>
    </row>
    <row r="2605" spans="1:12" outlineLevel="2">
      <c r="A2605" s="191"/>
      <c r="B2605" s="12" t="str">
        <f>IFERROR(VLOOKUP(D2605,'[1]Перечень товаров'!$A$2:$I9525,2,0),"")</f>
        <v>д68</v>
      </c>
      <c r="C2605" s="12" t="str">
        <f>IFERROR(VLOOKUP(D2605,'[1]Перечень товаров'!$A$2:$I9525,3,0),"")</f>
        <v>Дидактика</v>
      </c>
      <c r="D2605" s="192" t="s">
        <v>814</v>
      </c>
      <c r="E2605" s="23"/>
      <c r="F2605" s="23"/>
      <c r="G2605" s="193">
        <v>3</v>
      </c>
      <c r="H2605" s="193"/>
      <c r="I2605" s="194"/>
      <c r="J2605" s="194"/>
      <c r="K2605" s="19"/>
      <c r="L2605" s="20"/>
    </row>
    <row r="2606" spans="1:12" outlineLevel="2">
      <c r="A2606" s="191"/>
      <c r="B2606" s="12" t="str">
        <f>IFERROR(VLOOKUP(D2606,'[1]Перечень товаров'!$A$2:$I9525,2,0),"")</f>
        <v>д69</v>
      </c>
      <c r="C2606" s="12" t="str">
        <f>IFERROR(VLOOKUP(D2606,'[1]Перечень товаров'!$A$2:$I9525,3,0),"")</f>
        <v>Дидактика</v>
      </c>
      <c r="D2606" s="192" t="s">
        <v>815</v>
      </c>
      <c r="E2606" s="23"/>
      <c r="F2606" s="23"/>
      <c r="G2606" s="193">
        <v>8</v>
      </c>
      <c r="H2606" s="193"/>
      <c r="I2606" s="194"/>
      <c r="J2606" s="194"/>
      <c r="K2606" s="19"/>
      <c r="L2606" s="20"/>
    </row>
    <row r="2607" spans="1:12" outlineLevel="2">
      <c r="A2607" s="191"/>
      <c r="B2607" s="12" t="str">
        <f>IFERROR(VLOOKUP(D2607,'[1]Перечень товаров'!$A$2:$I9525,2,0),"")</f>
        <v>д70</v>
      </c>
      <c r="C2607" s="12" t="str">
        <f>IFERROR(VLOOKUP(D2607,'[1]Перечень товаров'!$A$2:$I9525,3,0),"")</f>
        <v>Дидактика</v>
      </c>
      <c r="D2607" s="192" t="s">
        <v>816</v>
      </c>
      <c r="E2607" s="23"/>
      <c r="F2607" s="23"/>
      <c r="G2607" s="193">
        <v>100</v>
      </c>
      <c r="H2607" s="193"/>
      <c r="I2607" s="194"/>
      <c r="J2607" s="194"/>
      <c r="K2607" s="19"/>
      <c r="L2607" s="20"/>
    </row>
    <row r="2608" spans="1:12" ht="12.75" outlineLevel="1">
      <c r="A2608" s="11"/>
      <c r="B2608" s="12" t="str">
        <f>IFERROR(VLOOKUP(D2608,'[1]Перечень товаров'!$A$2:$I9525,2,0),"")</f>
        <v/>
      </c>
      <c r="C2608" s="12" t="str">
        <f>IFERROR(VLOOKUP(D2608,'[1]Перечень товаров'!$A$2:$I9525,3,0),"")</f>
        <v/>
      </c>
      <c r="D2608" s="27" t="s">
        <v>338</v>
      </c>
      <c r="E2608" s="14" t="s">
        <v>824</v>
      </c>
      <c r="F2608" s="14"/>
      <c r="G2608" s="17"/>
      <c r="H2608" s="17"/>
      <c r="I2608" s="57"/>
      <c r="J2608" s="57"/>
      <c r="K2608" s="19"/>
      <c r="L2608" s="20"/>
    </row>
    <row r="2609" spans="1:12" ht="12.75" outlineLevel="2">
      <c r="A2609" s="77"/>
      <c r="B2609" s="12" t="str">
        <f>IFERROR(VLOOKUP(D2609,'[1]Перечень товаров'!$A$2:$I9525,2,0),"")</f>
        <v/>
      </c>
      <c r="C2609" s="12" t="str">
        <f>IFERROR(VLOOKUP(D2609,'[1]Перечень товаров'!$A$2:$I9525,3,0),"")</f>
        <v/>
      </c>
      <c r="D2609" s="78" t="s">
        <v>19</v>
      </c>
      <c r="E2609" s="79"/>
      <c r="F2609" s="79"/>
      <c r="G2609" s="17"/>
      <c r="H2609" s="17"/>
      <c r="I2609" s="57"/>
      <c r="J2609" s="57"/>
      <c r="K2609" s="19"/>
      <c r="L2609" s="20"/>
    </row>
    <row r="2610" spans="1:12" outlineLevel="2">
      <c r="A2610" s="43"/>
      <c r="B2610" s="12" t="str">
        <f>IFERROR(VLOOKUP(D2610,'[1]Перечень товаров'!$A$2:$I9525,2,0),"")</f>
        <v>м25</v>
      </c>
      <c r="C2610" s="12" t="str">
        <f>IFERROR(VLOOKUP(D2610,'[1]Перечень товаров'!$A$2:$I9525,3,0),"")</f>
        <v>Мебель</v>
      </c>
      <c r="D2610" s="44" t="s">
        <v>175</v>
      </c>
      <c r="E2610" s="23"/>
      <c r="F2610" s="23"/>
      <c r="G2610" s="23">
        <v>10</v>
      </c>
      <c r="H2610" s="23"/>
      <c r="I2610" s="121"/>
      <c r="J2610" s="121"/>
      <c r="K2610" s="19"/>
      <c r="L2610" s="20"/>
    </row>
    <row r="2611" spans="1:12" outlineLevel="2">
      <c r="A2611" s="43"/>
      <c r="B2611" s="12" t="str">
        <f>IFERROR(VLOOKUP(D2611,'[1]Перечень товаров'!$A$2:$I9525,2,0),"")</f>
        <v>м26</v>
      </c>
      <c r="C2611" s="12" t="str">
        <f>IFERROR(VLOOKUP(D2611,'[1]Перечень товаров'!$A$2:$I9525,3,0),"")</f>
        <v>Мебель</v>
      </c>
      <c r="D2611" s="44" t="s">
        <v>176</v>
      </c>
      <c r="E2611" s="23"/>
      <c r="F2611" s="23"/>
      <c r="G2611" s="23">
        <v>5</v>
      </c>
      <c r="H2611" s="23"/>
      <c r="I2611" s="121"/>
      <c r="J2611" s="121"/>
      <c r="K2611" s="19"/>
      <c r="L2611" s="20"/>
    </row>
    <row r="2612" spans="1:12" outlineLevel="2">
      <c r="A2612" s="43"/>
      <c r="B2612" s="12" t="str">
        <f>IFERROR(VLOOKUP(D2612,'[1]Перечень товаров'!$A$2:$I9525,2,0),"")</f>
        <v>м27</v>
      </c>
      <c r="C2612" s="12" t="str">
        <f>IFERROR(VLOOKUP(D2612,'[1]Перечень товаров'!$A$2:$I9525,3,0),"")</f>
        <v>Мебель</v>
      </c>
      <c r="D2612" s="44" t="s">
        <v>177</v>
      </c>
      <c r="E2612" s="23"/>
      <c r="F2612" s="23"/>
      <c r="G2612" s="23">
        <v>2</v>
      </c>
      <c r="H2612" s="23"/>
      <c r="I2612" s="121"/>
      <c r="J2612" s="121"/>
      <c r="K2612" s="19"/>
      <c r="L2612" s="20"/>
    </row>
    <row r="2613" spans="1:12" outlineLevel="2">
      <c r="A2613" s="43"/>
      <c r="B2613" s="12" t="str">
        <f>IFERROR(VLOOKUP(D2613,'[1]Перечень товаров'!$A$2:$I9525,2,0),"")</f>
        <v>м28</v>
      </c>
      <c r="C2613" s="12" t="str">
        <f>IFERROR(VLOOKUP(D2613,'[1]Перечень товаров'!$A$2:$I9525,3,0),"")</f>
        <v>Мебель</v>
      </c>
      <c r="D2613" s="44" t="s">
        <v>178</v>
      </c>
      <c r="E2613" s="23"/>
      <c r="F2613" s="23"/>
      <c r="G2613" s="23">
        <v>1</v>
      </c>
      <c r="H2613" s="23"/>
      <c r="I2613" s="121"/>
      <c r="J2613" s="121"/>
      <c r="K2613" s="19"/>
      <c r="L2613" s="20"/>
    </row>
    <row r="2614" spans="1:12" outlineLevel="2">
      <c r="A2614" s="21"/>
      <c r="B2614" s="12" t="str">
        <f>IFERROR(VLOOKUP(D2614,'[1]Перечень товаров'!$A$2:$I9525,2,0),"")</f>
        <v>мм1</v>
      </c>
      <c r="C2614" s="12" t="str">
        <f>IFERROR(VLOOKUP(D2614,'[1]Перечень товаров'!$A$2:$I9525,3,0),"")</f>
        <v>Мебель муз</v>
      </c>
      <c r="D2614" s="22" t="s">
        <v>179</v>
      </c>
      <c r="E2614" s="23"/>
      <c r="F2614" s="23"/>
      <c r="G2614" s="23">
        <v>1</v>
      </c>
      <c r="H2614" s="23"/>
      <c r="I2614" s="121"/>
      <c r="J2614" s="121"/>
      <c r="K2614" s="19"/>
      <c r="L2614" s="20"/>
    </row>
    <row r="2615" spans="1:12" outlineLevel="1">
      <c r="A2615" s="21"/>
      <c r="B2615" s="12" t="str">
        <f>IFERROR(VLOOKUP(D2615,'[1]Перечень товаров'!$A$2:$I9525,2,0),"")</f>
        <v/>
      </c>
      <c r="C2615" s="12" t="str">
        <f>IFERROR(VLOOKUP(D2615,'[1]Перечень товаров'!$A$2:$I9525,3,0),"")</f>
        <v/>
      </c>
      <c r="D2615" s="22" t="s">
        <v>825</v>
      </c>
      <c r="E2615" s="23" t="s">
        <v>826</v>
      </c>
      <c r="F2615" s="23"/>
      <c r="G2615" s="24"/>
      <c r="H2615" s="24"/>
      <c r="I2615" s="25"/>
      <c r="J2615" s="25"/>
      <c r="K2615" s="19"/>
      <c r="L2615" s="20"/>
    </row>
    <row r="2616" spans="1:12" outlineLevel="1">
      <c r="A2616" s="21"/>
      <c r="B2616" s="12" t="str">
        <f>IFERROR(VLOOKUP(D2616,'[1]Перечень товаров'!$A$2:$I9525,2,0),"")</f>
        <v/>
      </c>
      <c r="C2616" s="12" t="str">
        <f>IFERROR(VLOOKUP(D2616,'[1]Перечень товаров'!$A$2:$I9525,3,0),"")</f>
        <v/>
      </c>
      <c r="D2616" s="22" t="s">
        <v>827</v>
      </c>
      <c r="E2616" s="23" t="s">
        <v>828</v>
      </c>
      <c r="F2616" s="23"/>
      <c r="G2616" s="24"/>
      <c r="H2616" s="24"/>
      <c r="I2616" s="25"/>
      <c r="J2616" s="25"/>
      <c r="K2616" s="19"/>
      <c r="L2616" s="20"/>
    </row>
    <row r="2617" spans="1:12" ht="31.5" outlineLevel="1">
      <c r="A2617" s="21"/>
      <c r="B2617" s="12" t="str">
        <f>IFERROR(VLOOKUP(D2617,'[1]Перечень товаров'!$A$2:$I9525,2,0),"")</f>
        <v/>
      </c>
      <c r="C2617" s="12" t="str">
        <f>IFERROR(VLOOKUP(D2617,'[1]Перечень товаров'!$A$2:$I9525,3,0),"")</f>
        <v/>
      </c>
      <c r="D2617" s="22" t="s">
        <v>829</v>
      </c>
      <c r="E2617" s="23" t="s">
        <v>830</v>
      </c>
      <c r="F2617" s="23"/>
      <c r="G2617" s="24"/>
      <c r="H2617" s="24"/>
      <c r="I2617" s="25"/>
      <c r="J2617" s="25"/>
      <c r="K2617" s="19"/>
      <c r="L2617" s="20"/>
    </row>
    <row r="2618" spans="1:12" outlineLevel="1">
      <c r="A2618" s="21"/>
      <c r="B2618" s="12" t="str">
        <f>IFERROR(VLOOKUP(D2618,'[1]Перечень товаров'!$A$2:$I9525,2,0),"")</f>
        <v/>
      </c>
      <c r="C2618" s="12" t="str">
        <f>IFERROR(VLOOKUP(D2618,'[1]Перечень товаров'!$A$2:$I9525,3,0),"")</f>
        <v/>
      </c>
      <c r="D2618" s="22" t="s">
        <v>831</v>
      </c>
      <c r="E2618" s="23" t="s">
        <v>832</v>
      </c>
      <c r="F2618" s="23"/>
      <c r="G2618" s="24"/>
      <c r="H2618" s="24"/>
      <c r="I2618" s="25"/>
      <c r="J2618" s="25"/>
      <c r="K2618" s="19"/>
      <c r="L2618" s="20"/>
    </row>
    <row r="2619" spans="1:12" ht="12.75" outlineLevel="1">
      <c r="A2619" s="11"/>
      <c r="B2619" s="12" t="str">
        <f>IFERROR(VLOOKUP(D2619,'[1]Перечень товаров'!$A$2:$I9525,2,0),"")</f>
        <v/>
      </c>
      <c r="C2619" s="12" t="str">
        <f>IFERROR(VLOOKUP(D2619,'[1]Перечень товаров'!$A$2:$I9525,3,0),"")</f>
        <v/>
      </c>
      <c r="D2619" s="27" t="s">
        <v>833</v>
      </c>
      <c r="E2619" s="99">
        <v>46210</v>
      </c>
      <c r="F2619" s="99"/>
      <c r="G2619" s="100"/>
      <c r="H2619" s="100"/>
      <c r="I2619" s="101"/>
      <c r="J2619" s="101"/>
      <c r="K2619" s="19"/>
      <c r="L2619" s="20"/>
    </row>
    <row r="2620" spans="1:12" outlineLevel="2">
      <c r="A2620" s="43"/>
      <c r="B2620" s="12" t="str">
        <f>IFERROR(VLOOKUP(D2620,'[1]Перечень товаров'!$A$2:$I9525,2,0),"")</f>
        <v>п93</v>
      </c>
      <c r="C2620" s="12" t="str">
        <f>IFERROR(VLOOKUP(D2620,'[1]Перечень товаров'!$A$2:$I9525,3,0),"")</f>
        <v>Прочее</v>
      </c>
      <c r="D2620" s="44" t="s">
        <v>834</v>
      </c>
      <c r="E2620" s="102"/>
      <c r="F2620" s="102"/>
      <c r="G2620" s="24">
        <v>3</v>
      </c>
      <c r="H2620" s="24"/>
      <c r="I2620" s="25"/>
      <c r="J2620" s="25"/>
      <c r="K2620" s="19"/>
      <c r="L2620" s="20"/>
    </row>
    <row r="2621" spans="1:12" outlineLevel="2">
      <c r="A2621" s="43"/>
      <c r="B2621" s="12" t="str">
        <f>IFERROR(VLOOKUP(D2621,'[1]Перечень товаров'!$A$2:$I9525,2,0),"")</f>
        <v>п94</v>
      </c>
      <c r="C2621" s="12" t="str">
        <f>IFERROR(VLOOKUP(D2621,'[1]Перечень товаров'!$A$2:$I9525,3,0),"")</f>
        <v>Прочее</v>
      </c>
      <c r="D2621" s="44" t="s">
        <v>835</v>
      </c>
      <c r="E2621" s="102"/>
      <c r="F2621" s="102"/>
      <c r="G2621" s="24">
        <v>3</v>
      </c>
      <c r="H2621" s="24"/>
      <c r="I2621" s="25"/>
      <c r="J2621" s="25"/>
      <c r="K2621" s="19"/>
      <c r="L2621" s="20"/>
    </row>
    <row r="2622" spans="1:12" outlineLevel="2">
      <c r="A2622" s="43"/>
      <c r="B2622" s="12" t="str">
        <f>IFERROR(VLOOKUP(D2622,'[1]Перечень товаров'!$A$2:$I9525,2,0),"")</f>
        <v>п95</v>
      </c>
      <c r="C2622" s="12" t="str">
        <f>IFERROR(VLOOKUP(D2622,'[1]Перечень товаров'!$A$2:$I9525,3,0),"")</f>
        <v>Прочее</v>
      </c>
      <c r="D2622" s="44" t="s">
        <v>836</v>
      </c>
      <c r="E2622" s="102"/>
      <c r="F2622" s="102"/>
      <c r="G2622" s="24">
        <v>3</v>
      </c>
      <c r="H2622" s="24"/>
      <c r="I2622" s="25"/>
      <c r="J2622" s="25"/>
      <c r="K2622" s="19"/>
      <c r="L2622" s="20"/>
    </row>
    <row r="2623" spans="1:12" outlineLevel="2">
      <c r="A2623" s="43"/>
      <c r="B2623" s="12" t="str">
        <f>IFERROR(VLOOKUP(D2623,'[1]Перечень товаров'!$A$2:$I9525,2,0),"")</f>
        <v>п96</v>
      </c>
      <c r="C2623" s="12" t="str">
        <f>IFERROR(VLOOKUP(D2623,'[1]Перечень товаров'!$A$2:$I9525,3,0),"")</f>
        <v>Прочее</v>
      </c>
      <c r="D2623" s="44" t="s">
        <v>837</v>
      </c>
      <c r="E2623" s="102"/>
      <c r="F2623" s="102"/>
      <c r="G2623" s="24">
        <v>3</v>
      </c>
      <c r="H2623" s="24"/>
      <c r="I2623" s="25"/>
      <c r="J2623" s="25"/>
      <c r="K2623" s="19"/>
      <c r="L2623" s="20"/>
    </row>
    <row r="2624" spans="1:12" outlineLevel="2">
      <c r="A2624" s="43"/>
      <c r="B2624" s="12" t="str">
        <f>IFERROR(VLOOKUP(D2624,'[1]Перечень товаров'!$A$2:$I9525,2,0),"")</f>
        <v>п28</v>
      </c>
      <c r="C2624" s="12" t="str">
        <f>IFERROR(VLOOKUP(D2624,'[1]Перечень товаров'!$A$2:$I9525,3,0),"")</f>
        <v>Прочее</v>
      </c>
      <c r="D2624" s="44" t="s">
        <v>363</v>
      </c>
      <c r="E2624" s="102"/>
      <c r="F2624" s="102"/>
      <c r="G2624" s="24">
        <v>3</v>
      </c>
      <c r="H2624" s="24"/>
      <c r="I2624" s="25"/>
      <c r="J2624" s="25"/>
      <c r="K2624" s="19"/>
      <c r="L2624" s="20"/>
    </row>
    <row r="2625" spans="1:12" ht="12.75" outlineLevel="1">
      <c r="A2625" s="11"/>
      <c r="B2625" s="12" t="str">
        <f>IFERROR(VLOOKUP(D2625,'[1]Перечень товаров'!$A$2:$I9525,2,0),"")</f>
        <v/>
      </c>
      <c r="C2625" s="12" t="str">
        <f>IFERROR(VLOOKUP(D2625,'[1]Перечень товаров'!$A$2:$I9525,3,0),"")</f>
        <v/>
      </c>
      <c r="D2625" s="27" t="s">
        <v>833</v>
      </c>
      <c r="E2625" s="99">
        <v>46129</v>
      </c>
      <c r="F2625" s="99"/>
      <c r="G2625" s="100"/>
      <c r="H2625" s="100"/>
      <c r="I2625" s="101"/>
      <c r="J2625" s="101"/>
      <c r="K2625" s="19"/>
      <c r="L2625" s="20"/>
    </row>
    <row r="2626" spans="1:12" outlineLevel="2">
      <c r="A2626" s="43"/>
      <c r="B2626" s="12" t="str">
        <f>IFERROR(VLOOKUP(D2626,'[1]Перечень товаров'!$A$2:$I9525,2,0),"")</f>
        <v>п93</v>
      </c>
      <c r="C2626" s="12" t="str">
        <f>IFERROR(VLOOKUP(D2626,'[1]Перечень товаров'!$A$2:$I9525,3,0),"")</f>
        <v>Прочее</v>
      </c>
      <c r="D2626" s="44" t="s">
        <v>834</v>
      </c>
      <c r="E2626" s="102"/>
      <c r="F2626" s="102"/>
      <c r="G2626" s="24">
        <v>3</v>
      </c>
      <c r="H2626" s="24"/>
      <c r="I2626" s="25"/>
      <c r="J2626" s="25"/>
      <c r="K2626" s="19"/>
      <c r="L2626" s="20"/>
    </row>
    <row r="2627" spans="1:12" outlineLevel="2">
      <c r="A2627" s="43"/>
      <c r="B2627" s="12" t="str">
        <f>IFERROR(VLOOKUP(D2627,'[1]Перечень товаров'!$A$2:$I9525,2,0),"")</f>
        <v>п94</v>
      </c>
      <c r="C2627" s="12" t="str">
        <f>IFERROR(VLOOKUP(D2627,'[1]Перечень товаров'!$A$2:$I9525,3,0),"")</f>
        <v>Прочее</v>
      </c>
      <c r="D2627" s="44" t="s">
        <v>835</v>
      </c>
      <c r="E2627" s="102"/>
      <c r="F2627" s="102"/>
      <c r="G2627" s="24">
        <v>3</v>
      </c>
      <c r="H2627" s="24"/>
      <c r="I2627" s="25"/>
      <c r="J2627" s="25"/>
      <c r="K2627" s="19"/>
      <c r="L2627" s="20"/>
    </row>
    <row r="2628" spans="1:12" outlineLevel="2">
      <c r="A2628" s="43"/>
      <c r="B2628" s="12" t="str">
        <f>IFERROR(VLOOKUP(D2628,'[1]Перечень товаров'!$A$2:$I9525,2,0),"")</f>
        <v>п95</v>
      </c>
      <c r="C2628" s="12" t="str">
        <f>IFERROR(VLOOKUP(D2628,'[1]Перечень товаров'!$A$2:$I9525,3,0),"")</f>
        <v>Прочее</v>
      </c>
      <c r="D2628" s="44" t="s">
        <v>836</v>
      </c>
      <c r="E2628" s="102"/>
      <c r="F2628" s="102"/>
      <c r="G2628" s="24">
        <v>3</v>
      </c>
      <c r="H2628" s="24"/>
      <c r="I2628" s="25"/>
      <c r="J2628" s="25"/>
      <c r="K2628" s="19"/>
      <c r="L2628" s="20"/>
    </row>
    <row r="2629" spans="1:12" outlineLevel="2">
      <c r="A2629" s="43"/>
      <c r="B2629" s="12" t="str">
        <f>IFERROR(VLOOKUP(D2629,'[1]Перечень товаров'!$A$2:$I9525,2,0),"")</f>
        <v>п96</v>
      </c>
      <c r="C2629" s="12" t="str">
        <f>IFERROR(VLOOKUP(D2629,'[1]Перечень товаров'!$A$2:$I9525,3,0),"")</f>
        <v>Прочее</v>
      </c>
      <c r="D2629" s="44" t="s">
        <v>837</v>
      </c>
      <c r="E2629" s="102"/>
      <c r="F2629" s="102"/>
      <c r="G2629" s="24">
        <v>3</v>
      </c>
      <c r="H2629" s="24"/>
      <c r="I2629" s="25"/>
      <c r="J2629" s="25"/>
      <c r="K2629" s="19"/>
      <c r="L2629" s="20"/>
    </row>
    <row r="2630" spans="1:12" outlineLevel="2">
      <c r="A2630" s="43"/>
      <c r="B2630" s="12" t="str">
        <f>IFERROR(VLOOKUP(D2630,'[1]Перечень товаров'!$A$2:$I9525,2,0),"")</f>
        <v>п28</v>
      </c>
      <c r="C2630" s="12" t="str">
        <f>IFERROR(VLOOKUP(D2630,'[1]Перечень товаров'!$A$2:$I9525,3,0),"")</f>
        <v>Прочее</v>
      </c>
      <c r="D2630" s="44" t="s">
        <v>363</v>
      </c>
      <c r="E2630" s="102"/>
      <c r="F2630" s="102"/>
      <c r="G2630" s="24">
        <v>3</v>
      </c>
      <c r="H2630" s="24"/>
      <c r="I2630" s="25"/>
      <c r="J2630" s="25"/>
      <c r="K2630" s="19"/>
      <c r="L2630" s="20"/>
    </row>
    <row r="2631" spans="1:12" outlineLevel="1">
      <c r="A2631" s="21"/>
      <c r="B2631" s="12" t="str">
        <f>IFERROR(VLOOKUP(D2631,'[1]Перечень товаров'!$A$2:$I9525,2,0),"")</f>
        <v/>
      </c>
      <c r="C2631" s="12" t="str">
        <f>IFERROR(VLOOKUP(D2631,'[1]Перечень товаров'!$A$2:$I9525,3,0),"")</f>
        <v/>
      </c>
      <c r="D2631" s="22" t="s">
        <v>831</v>
      </c>
      <c r="E2631" s="23" t="s">
        <v>838</v>
      </c>
      <c r="F2631" s="23"/>
      <c r="G2631" s="24"/>
      <c r="H2631" s="24"/>
      <c r="I2631" s="25"/>
      <c r="J2631" s="25"/>
      <c r="K2631" s="19"/>
      <c r="L2631" s="20"/>
    </row>
    <row r="2632" spans="1:12" ht="12.75" outlineLevel="1">
      <c r="A2632" s="11"/>
      <c r="B2632" s="12" t="str">
        <f>IFERROR(VLOOKUP(D2632,'[1]Перечень товаров'!$A$2:$I9525,2,0),"")</f>
        <v/>
      </c>
      <c r="C2632" s="12" t="str">
        <f>IFERROR(VLOOKUP(D2632,'[1]Перечень товаров'!$A$2:$I9525,3,0),"")</f>
        <v/>
      </c>
      <c r="D2632" s="27" t="s">
        <v>528</v>
      </c>
      <c r="E2632" s="99">
        <v>46057</v>
      </c>
      <c r="F2632" s="99"/>
      <c r="G2632" s="100"/>
      <c r="H2632" s="100"/>
      <c r="I2632" s="101"/>
      <c r="J2632" s="101"/>
      <c r="K2632" s="19"/>
      <c r="L2632" s="20"/>
    </row>
    <row r="2633" spans="1:12" outlineLevel="2">
      <c r="A2633" s="21"/>
      <c r="B2633" s="12" t="str">
        <f>IFERROR(VLOOKUP(D2633,'[1]Перечень товаров'!$A$2:$I9525,2,0),"")</f>
        <v>м167</v>
      </c>
      <c r="C2633" s="12" t="str">
        <f>IFERROR(VLOOKUP(D2633,'[1]Перечень товаров'!$A$2:$I9525,3,0),"")</f>
        <v>Мебель</v>
      </c>
      <c r="D2633" s="22" t="s">
        <v>508</v>
      </c>
      <c r="E2633" s="102"/>
      <c r="F2633" s="102"/>
      <c r="G2633" s="48">
        <v>2</v>
      </c>
      <c r="H2633" s="48"/>
      <c r="I2633" s="49"/>
      <c r="J2633" s="49"/>
      <c r="K2633" s="19"/>
      <c r="L2633" s="20"/>
    </row>
    <row r="2634" spans="1:12" outlineLevel="2">
      <c r="A2634" s="21"/>
      <c r="B2634" s="12" t="str">
        <f>IFERROR(VLOOKUP(D2634,'[1]Перечень товаров'!$A$2:$I9525,2,0),"")</f>
        <v>п46</v>
      </c>
      <c r="C2634" s="12" t="str">
        <f>IFERROR(VLOOKUP(D2634,'[1]Перечень товаров'!$A$2:$I9525,3,0),"")</f>
        <v>Прочее</v>
      </c>
      <c r="D2634" s="22" t="s">
        <v>509</v>
      </c>
      <c r="E2634" s="102"/>
      <c r="F2634" s="102"/>
      <c r="G2634" s="48">
        <v>2</v>
      </c>
      <c r="H2634" s="48"/>
      <c r="I2634" s="49"/>
      <c r="J2634" s="49"/>
      <c r="K2634" s="19"/>
      <c r="L2634" s="20"/>
    </row>
    <row r="2635" spans="1:12" outlineLevel="2">
      <c r="A2635" s="21"/>
      <c r="B2635" s="12" t="str">
        <f>IFERROR(VLOOKUP(D2635,'[1]Перечень товаров'!$A$2:$I9525,2,0),"")</f>
        <v>п47</v>
      </c>
      <c r="C2635" s="12" t="str">
        <f>IFERROR(VLOOKUP(D2635,'[1]Перечень товаров'!$A$2:$I9525,3,0),"")</f>
        <v>Прочее</v>
      </c>
      <c r="D2635" s="22" t="s">
        <v>510</v>
      </c>
      <c r="E2635" s="102"/>
      <c r="F2635" s="102"/>
      <c r="G2635" s="48">
        <v>3</v>
      </c>
      <c r="H2635" s="48"/>
      <c r="I2635" s="49"/>
      <c r="J2635" s="49"/>
      <c r="K2635" s="19"/>
      <c r="L2635" s="20"/>
    </row>
    <row r="2636" spans="1:12" outlineLevel="2">
      <c r="A2636" s="21"/>
      <c r="B2636" s="12" t="str">
        <f>IFERROR(VLOOKUP(D2636,'[1]Перечень товаров'!$A$2:$I9525,2,0),"")</f>
        <v>п48</v>
      </c>
      <c r="C2636" s="12" t="str">
        <f>IFERROR(VLOOKUP(D2636,'[1]Перечень товаров'!$A$2:$I9525,3,0),"")</f>
        <v>Прочее</v>
      </c>
      <c r="D2636" s="22" t="s">
        <v>511</v>
      </c>
      <c r="E2636" s="102"/>
      <c r="F2636" s="102"/>
      <c r="G2636" s="48">
        <v>6</v>
      </c>
      <c r="H2636" s="48"/>
      <c r="I2636" s="49"/>
      <c r="J2636" s="49"/>
      <c r="K2636" s="19"/>
      <c r="L2636" s="20"/>
    </row>
    <row r="2637" spans="1:12" ht="31.5" outlineLevel="2">
      <c r="A2637" s="21"/>
      <c r="B2637" s="12" t="str">
        <f>IFERROR(VLOOKUP(D2637,'[1]Перечень товаров'!$A$2:$I9525,2,0),"")</f>
        <v>м168</v>
      </c>
      <c r="C2637" s="12" t="str">
        <f>IFERROR(VLOOKUP(D2637,'[1]Перечень товаров'!$A$2:$I9525,3,0),"")</f>
        <v>Мебель</v>
      </c>
      <c r="D2637" s="22" t="s">
        <v>512</v>
      </c>
      <c r="E2637" s="102"/>
      <c r="F2637" s="102"/>
      <c r="G2637" s="48">
        <v>1</v>
      </c>
      <c r="H2637" s="48"/>
      <c r="I2637" s="49"/>
      <c r="J2637" s="49"/>
      <c r="K2637" s="19"/>
      <c r="L2637" s="20"/>
    </row>
    <row r="2638" spans="1:12" ht="12.75" outlineLevel="1">
      <c r="A2638" s="11"/>
      <c r="B2638" s="12" t="str">
        <f>IFERROR(VLOOKUP(D2638,'[1]Перечень товаров'!$A$2:$I9525,2,0),"")</f>
        <v/>
      </c>
      <c r="C2638" s="12" t="str">
        <f>IFERROR(VLOOKUP(D2638,'[1]Перечень товаров'!$A$2:$I9525,3,0),"")</f>
        <v/>
      </c>
      <c r="D2638" s="27" t="s">
        <v>833</v>
      </c>
      <c r="E2638" s="99">
        <v>46148</v>
      </c>
      <c r="F2638" s="99"/>
      <c r="G2638" s="100"/>
      <c r="H2638" s="100"/>
      <c r="I2638" s="101"/>
      <c r="J2638" s="101"/>
      <c r="K2638" s="19"/>
      <c r="L2638" s="20"/>
    </row>
    <row r="2639" spans="1:12" outlineLevel="2">
      <c r="A2639" s="43"/>
      <c r="B2639" s="12" t="str">
        <f>IFERROR(VLOOKUP(D2639,'[1]Перечень товаров'!$A$2:$I9525,2,0),"")</f>
        <v>п93</v>
      </c>
      <c r="C2639" s="12" t="str">
        <f>IFERROR(VLOOKUP(D2639,'[1]Перечень товаров'!$A$2:$I9525,3,0),"")</f>
        <v>Прочее</v>
      </c>
      <c r="D2639" s="44" t="s">
        <v>834</v>
      </c>
      <c r="E2639" s="102"/>
      <c r="F2639" s="102"/>
      <c r="G2639" s="24">
        <v>3</v>
      </c>
      <c r="H2639" s="24"/>
      <c r="I2639" s="25"/>
      <c r="J2639" s="25"/>
      <c r="K2639" s="19"/>
      <c r="L2639" s="20"/>
    </row>
    <row r="2640" spans="1:12" outlineLevel="2">
      <c r="A2640" s="43"/>
      <c r="B2640" s="12" t="str">
        <f>IFERROR(VLOOKUP(D2640,'[1]Перечень товаров'!$A$2:$I9525,2,0),"")</f>
        <v>п94</v>
      </c>
      <c r="C2640" s="12" t="str">
        <f>IFERROR(VLOOKUP(D2640,'[1]Перечень товаров'!$A$2:$I9525,3,0),"")</f>
        <v>Прочее</v>
      </c>
      <c r="D2640" s="44" t="s">
        <v>835</v>
      </c>
      <c r="E2640" s="102"/>
      <c r="F2640" s="102"/>
      <c r="G2640" s="24">
        <v>3</v>
      </c>
      <c r="H2640" s="24"/>
      <c r="I2640" s="25"/>
      <c r="J2640" s="25"/>
      <c r="K2640" s="19"/>
      <c r="L2640" s="20"/>
    </row>
    <row r="2641" spans="1:12" outlineLevel="2">
      <c r="A2641" s="43"/>
      <c r="B2641" s="12" t="str">
        <f>IFERROR(VLOOKUP(D2641,'[1]Перечень товаров'!$A$2:$I9525,2,0),"")</f>
        <v>п95</v>
      </c>
      <c r="C2641" s="12" t="str">
        <f>IFERROR(VLOOKUP(D2641,'[1]Перечень товаров'!$A$2:$I9525,3,0),"")</f>
        <v>Прочее</v>
      </c>
      <c r="D2641" s="44" t="s">
        <v>836</v>
      </c>
      <c r="E2641" s="102"/>
      <c r="F2641" s="102"/>
      <c r="G2641" s="24">
        <v>3</v>
      </c>
      <c r="H2641" s="24"/>
      <c r="I2641" s="25"/>
      <c r="J2641" s="25"/>
      <c r="K2641" s="19"/>
      <c r="L2641" s="20"/>
    </row>
    <row r="2642" spans="1:12" outlineLevel="2">
      <c r="A2642" s="43"/>
      <c r="B2642" s="12" t="str">
        <f>IFERROR(VLOOKUP(D2642,'[1]Перечень товаров'!$A$2:$I9525,2,0),"")</f>
        <v>п96</v>
      </c>
      <c r="C2642" s="12" t="str">
        <f>IFERROR(VLOOKUP(D2642,'[1]Перечень товаров'!$A$2:$I9525,3,0),"")</f>
        <v>Прочее</v>
      </c>
      <c r="D2642" s="44" t="s">
        <v>837</v>
      </c>
      <c r="E2642" s="102"/>
      <c r="F2642" s="102"/>
      <c r="G2642" s="24">
        <v>3</v>
      </c>
      <c r="H2642" s="24"/>
      <c r="I2642" s="25"/>
      <c r="J2642" s="25"/>
      <c r="K2642" s="19"/>
      <c r="L2642" s="20"/>
    </row>
    <row r="2643" spans="1:12" outlineLevel="2">
      <c r="A2643" s="43"/>
      <c r="B2643" s="12" t="str">
        <f>IFERROR(VLOOKUP(D2643,'[1]Перечень товаров'!$A$2:$I9525,2,0),"")</f>
        <v>п28</v>
      </c>
      <c r="C2643" s="12" t="str">
        <f>IFERROR(VLOOKUP(D2643,'[1]Перечень товаров'!$A$2:$I9525,3,0),"")</f>
        <v>Прочее</v>
      </c>
      <c r="D2643" s="44" t="s">
        <v>363</v>
      </c>
      <c r="E2643" s="102"/>
      <c r="F2643" s="102"/>
      <c r="G2643" s="24">
        <v>3</v>
      </c>
      <c r="H2643" s="24"/>
      <c r="I2643" s="25"/>
      <c r="J2643" s="25"/>
      <c r="K2643" s="19"/>
      <c r="L2643" s="20"/>
    </row>
    <row r="2644" spans="1:12" ht="12.75" outlineLevel="1">
      <c r="A2644" s="11"/>
      <c r="B2644" s="12" t="str">
        <f>IFERROR(VLOOKUP(D2644,'[1]Перечень товаров'!$A$2:$I9525,2,0),"")</f>
        <v/>
      </c>
      <c r="C2644" s="12" t="str">
        <f>IFERROR(VLOOKUP(D2644,'[1]Перечень товаров'!$A$2:$I9525,3,0),"")</f>
        <v/>
      </c>
      <c r="D2644" s="27" t="s">
        <v>833</v>
      </c>
      <c r="E2644" s="99">
        <v>46148</v>
      </c>
      <c r="F2644" s="99"/>
      <c r="G2644" s="100"/>
      <c r="H2644" s="100"/>
      <c r="I2644" s="101"/>
      <c r="J2644" s="101"/>
      <c r="K2644" s="19"/>
      <c r="L2644" s="20"/>
    </row>
    <row r="2645" spans="1:12" outlineLevel="2">
      <c r="A2645" s="43"/>
      <c r="B2645" s="12" t="str">
        <f>IFERROR(VLOOKUP(D2645,'[1]Перечень товаров'!$A$2:$I9525,2,0),"")</f>
        <v>п93</v>
      </c>
      <c r="C2645" s="12" t="str">
        <f>IFERROR(VLOOKUP(D2645,'[1]Перечень товаров'!$A$2:$I9525,3,0),"")</f>
        <v>Прочее</v>
      </c>
      <c r="D2645" s="44" t="s">
        <v>834</v>
      </c>
      <c r="E2645" s="102"/>
      <c r="F2645" s="102"/>
      <c r="G2645" s="24">
        <v>3</v>
      </c>
      <c r="H2645" s="24"/>
      <c r="I2645" s="25"/>
      <c r="J2645" s="25"/>
      <c r="K2645" s="19"/>
      <c r="L2645" s="20"/>
    </row>
    <row r="2646" spans="1:12" outlineLevel="2">
      <c r="A2646" s="43"/>
      <c r="B2646" s="12" t="str">
        <f>IFERROR(VLOOKUP(D2646,'[1]Перечень товаров'!$A$2:$I9525,2,0),"")</f>
        <v>п94</v>
      </c>
      <c r="C2646" s="12" t="str">
        <f>IFERROR(VLOOKUP(D2646,'[1]Перечень товаров'!$A$2:$I9525,3,0),"")</f>
        <v>Прочее</v>
      </c>
      <c r="D2646" s="44" t="s">
        <v>835</v>
      </c>
      <c r="E2646" s="102"/>
      <c r="F2646" s="102"/>
      <c r="G2646" s="24">
        <v>3</v>
      </c>
      <c r="H2646" s="24"/>
      <c r="I2646" s="25"/>
      <c r="J2646" s="25"/>
      <c r="K2646" s="19"/>
      <c r="L2646" s="20"/>
    </row>
    <row r="2647" spans="1:12" outlineLevel="2">
      <c r="A2647" s="43"/>
      <c r="B2647" s="12" t="str">
        <f>IFERROR(VLOOKUP(D2647,'[1]Перечень товаров'!$A$2:$I9525,2,0),"")</f>
        <v>п95</v>
      </c>
      <c r="C2647" s="12" t="str">
        <f>IFERROR(VLOOKUP(D2647,'[1]Перечень товаров'!$A$2:$I9525,3,0),"")</f>
        <v>Прочее</v>
      </c>
      <c r="D2647" s="44" t="s">
        <v>836</v>
      </c>
      <c r="E2647" s="102"/>
      <c r="F2647" s="102"/>
      <c r="G2647" s="24">
        <v>3</v>
      </c>
      <c r="H2647" s="24"/>
      <c r="I2647" s="25"/>
      <c r="J2647" s="25"/>
      <c r="K2647" s="19"/>
      <c r="L2647" s="20"/>
    </row>
    <row r="2648" spans="1:12" outlineLevel="2">
      <c r="A2648" s="43"/>
      <c r="B2648" s="12" t="str">
        <f>IFERROR(VLOOKUP(D2648,'[1]Перечень товаров'!$A$2:$I9525,2,0),"")</f>
        <v>п96</v>
      </c>
      <c r="C2648" s="12" t="str">
        <f>IFERROR(VLOOKUP(D2648,'[1]Перечень товаров'!$A$2:$I9525,3,0),"")</f>
        <v>Прочее</v>
      </c>
      <c r="D2648" s="44" t="s">
        <v>837</v>
      </c>
      <c r="E2648" s="102"/>
      <c r="F2648" s="102"/>
      <c r="G2648" s="24">
        <v>3</v>
      </c>
      <c r="H2648" s="24"/>
      <c r="I2648" s="25"/>
      <c r="J2648" s="25"/>
      <c r="K2648" s="19"/>
      <c r="L2648" s="20"/>
    </row>
    <row r="2649" spans="1:12" outlineLevel="2">
      <c r="A2649" s="43"/>
      <c r="B2649" s="12" t="str">
        <f>IFERROR(VLOOKUP(D2649,'[1]Перечень товаров'!$A$2:$I9525,2,0),"")</f>
        <v>п28</v>
      </c>
      <c r="C2649" s="12" t="str">
        <f>IFERROR(VLOOKUP(D2649,'[1]Перечень товаров'!$A$2:$I9525,3,0),"")</f>
        <v>Прочее</v>
      </c>
      <c r="D2649" s="44" t="s">
        <v>363</v>
      </c>
      <c r="E2649" s="102"/>
      <c r="F2649" s="102"/>
      <c r="G2649" s="24">
        <v>3</v>
      </c>
      <c r="H2649" s="24"/>
      <c r="I2649" s="25"/>
      <c r="J2649" s="25"/>
      <c r="K2649" s="19"/>
      <c r="L2649" s="20"/>
    </row>
    <row r="2650" spans="1:12" outlineLevel="1">
      <c r="A2650" s="21"/>
      <c r="B2650" s="12" t="str">
        <f>IFERROR(VLOOKUP(D2650,'[1]Перечень товаров'!$A$2:$I9525,2,0),"")</f>
        <v/>
      </c>
      <c r="C2650" s="12" t="str">
        <f>IFERROR(VLOOKUP(D2650,'[1]Перечень товаров'!$A$2:$I9525,3,0),"")</f>
        <v/>
      </c>
      <c r="D2650" s="22" t="s">
        <v>839</v>
      </c>
      <c r="E2650" s="102">
        <v>46218</v>
      </c>
      <c r="F2650" s="102"/>
      <c r="G2650" s="103"/>
      <c r="H2650" s="103"/>
      <c r="I2650" s="104"/>
      <c r="J2650" s="104"/>
      <c r="K2650" s="19"/>
      <c r="L2650" s="20"/>
    </row>
    <row r="2651" spans="1:12" ht="12.75" outlineLevel="1">
      <c r="A2651" s="11"/>
      <c r="B2651" s="12" t="str">
        <f>IFERROR(VLOOKUP(D2651,'[1]Перечень товаров'!$A$2:$I9525,2,0),"")</f>
        <v/>
      </c>
      <c r="C2651" s="12" t="str">
        <f>IFERROR(VLOOKUP(D2651,'[1]Перечень товаров'!$A$2:$I9525,3,0),"")</f>
        <v/>
      </c>
      <c r="D2651" s="27" t="s">
        <v>377</v>
      </c>
      <c r="E2651" s="99">
        <v>46280</v>
      </c>
      <c r="F2651" s="99"/>
      <c r="G2651" s="100"/>
      <c r="H2651" s="100"/>
      <c r="I2651" s="101"/>
      <c r="J2651" s="101"/>
      <c r="K2651" s="19"/>
      <c r="L2651" s="20"/>
    </row>
    <row r="2652" spans="1:12" outlineLevel="2">
      <c r="A2652" s="22"/>
      <c r="B2652" s="12" t="str">
        <f>IFERROR(VLOOKUP(D2652,'[1]Перечень товаров'!$A$2:$I9525,2,0),"")</f>
        <v>т1</v>
      </c>
      <c r="C2652" s="12" t="str">
        <f>IFERROR(VLOOKUP(D2652,'[1]Перечень товаров'!$A$2:$I9525,3,0),"")</f>
        <v xml:space="preserve">Техника </v>
      </c>
      <c r="D2652" s="22" t="s">
        <v>28</v>
      </c>
      <c r="E2652" s="102"/>
      <c r="F2652" s="102"/>
      <c r="G2652" s="48">
        <v>1</v>
      </c>
      <c r="H2652" s="48"/>
      <c r="I2652" s="49"/>
      <c r="J2652" s="49"/>
      <c r="K2652" s="19"/>
      <c r="L2652" s="20"/>
    </row>
    <row r="2653" spans="1:12" outlineLevel="2">
      <c r="A2653" s="35"/>
      <c r="B2653" s="12" t="str">
        <f>IFERROR(VLOOKUP(D2653,'[1]Перечень товаров'!$A$2:$I9525,2,0),"")</f>
        <v>т2</v>
      </c>
      <c r="C2653" s="12" t="str">
        <f>IFERROR(VLOOKUP(D2653,'[1]Перечень товаров'!$A$2:$I9525,3,0),"")</f>
        <v xml:space="preserve">Техника </v>
      </c>
      <c r="D2653" s="35" t="s">
        <v>29</v>
      </c>
      <c r="E2653" s="102"/>
      <c r="F2653" s="102"/>
      <c r="G2653" s="48">
        <v>1</v>
      </c>
      <c r="H2653" s="48"/>
      <c r="I2653" s="49"/>
      <c r="J2653" s="49"/>
      <c r="K2653" s="19"/>
      <c r="L2653" s="20"/>
    </row>
    <row r="2654" spans="1:12" outlineLevel="2">
      <c r="A2654" s="35"/>
      <c r="B2654" s="12" t="str">
        <f>IFERROR(VLOOKUP(D2654,'[1]Перечень товаров'!$A$2:$I9525,2,0),"")</f>
        <v>т3</v>
      </c>
      <c r="C2654" s="12" t="str">
        <f>IFERROR(VLOOKUP(D2654,'[1]Перечень товаров'!$A$2:$I9525,3,0),"")</f>
        <v xml:space="preserve">Техника </v>
      </c>
      <c r="D2654" s="35" t="s">
        <v>30</v>
      </c>
      <c r="E2654" s="102"/>
      <c r="F2654" s="102"/>
      <c r="G2654" s="48">
        <v>1</v>
      </c>
      <c r="H2654" s="48"/>
      <c r="I2654" s="49"/>
      <c r="J2654" s="49"/>
      <c r="K2654" s="19"/>
      <c r="L2654" s="20"/>
    </row>
    <row r="2655" spans="1:12" outlineLevel="2">
      <c r="A2655" s="35"/>
      <c r="B2655" s="12" t="str">
        <f>IFERROR(VLOOKUP(D2655,'[1]Перечень товаров'!$A$2:$I9525,2,0),"")</f>
        <v>т4</v>
      </c>
      <c r="C2655" s="12" t="str">
        <f>IFERROR(VLOOKUP(D2655,'[1]Перечень товаров'!$A$2:$I9525,3,0),"")</f>
        <v xml:space="preserve">Техника </v>
      </c>
      <c r="D2655" s="35" t="s">
        <v>31</v>
      </c>
      <c r="E2655" s="102"/>
      <c r="F2655" s="102"/>
      <c r="G2655" s="48">
        <v>1</v>
      </c>
      <c r="H2655" s="48"/>
      <c r="I2655" s="49"/>
      <c r="J2655" s="49"/>
      <c r="K2655" s="19"/>
      <c r="L2655" s="20"/>
    </row>
    <row r="2656" spans="1:12" outlineLevel="2">
      <c r="A2656" s="21"/>
      <c r="B2656" s="12" t="str">
        <f>IFERROR(VLOOKUP(D2656,'[1]Перечень товаров'!$A$2:$I9525,2,0),"")</f>
        <v>т7</v>
      </c>
      <c r="C2656" s="12" t="str">
        <f>IFERROR(VLOOKUP(D2656,'[1]Перечень товаров'!$A$2:$I9525,3,0),"")</f>
        <v xml:space="preserve">Техника </v>
      </c>
      <c r="D2656" s="22" t="s">
        <v>34</v>
      </c>
      <c r="E2656" s="102"/>
      <c r="F2656" s="102"/>
      <c r="G2656" s="48">
        <v>1</v>
      </c>
      <c r="H2656" s="48"/>
      <c r="I2656" s="49"/>
      <c r="J2656" s="49"/>
      <c r="K2656" s="19"/>
      <c r="L2656" s="20"/>
    </row>
    <row r="2657" spans="1:12" ht="12.75" outlineLevel="2">
      <c r="A2657" s="62"/>
      <c r="B2657" s="12" t="str">
        <f>IFERROR(VLOOKUP(D2657,'[1]Перечень товаров'!$A$2:$I9525,2,0),"")</f>
        <v/>
      </c>
      <c r="C2657" s="12" t="str">
        <f>IFERROR(VLOOKUP(D2657,'[1]Перечень товаров'!$A$2:$I9525,3,0),"")</f>
        <v/>
      </c>
      <c r="D2657" s="63" t="s">
        <v>378</v>
      </c>
      <c r="E2657" s="107"/>
      <c r="F2657" s="107"/>
      <c r="G2657" s="52"/>
      <c r="H2657" s="52"/>
      <c r="I2657" s="53"/>
      <c r="J2657" s="53"/>
      <c r="K2657" s="19"/>
      <c r="L2657" s="20"/>
    </row>
    <row r="2658" spans="1:12" outlineLevel="2">
      <c r="A2658" s="35"/>
      <c r="B2658" s="12" t="str">
        <f>IFERROR(VLOOKUP(D2658,'[1]Перечень товаров'!$A$2:$I9525,2,0),"")</f>
        <v>м19</v>
      </c>
      <c r="C2658" s="12" t="str">
        <f>IFERROR(VLOOKUP(D2658,'[1]Перечень товаров'!$A$2:$I9525,3,0),"")</f>
        <v>Мебель</v>
      </c>
      <c r="D2658" s="35" t="s">
        <v>53</v>
      </c>
      <c r="E2658" s="102"/>
      <c r="F2658" s="102"/>
      <c r="G2658" s="48">
        <v>2</v>
      </c>
      <c r="H2658" s="48"/>
      <c r="I2658" s="49"/>
      <c r="J2658" s="49"/>
      <c r="K2658" s="19"/>
      <c r="L2658" s="20"/>
    </row>
    <row r="2659" spans="1:12" outlineLevel="2">
      <c r="A2659" s="22"/>
      <c r="B2659" s="12" t="str">
        <f>IFERROR(VLOOKUP(D2659,'[1]Перечень товаров'!$A$2:$I9525,2,0),"")</f>
        <v>м8</v>
      </c>
      <c r="C2659" s="12" t="str">
        <f>IFERROR(VLOOKUP(D2659,'[1]Перечень товаров'!$A$2:$I9525,3,0),"")</f>
        <v>Мебель</v>
      </c>
      <c r="D2659" s="22" t="s">
        <v>840</v>
      </c>
      <c r="E2659" s="102"/>
      <c r="F2659" s="102"/>
      <c r="G2659" s="48">
        <v>1</v>
      </c>
      <c r="H2659" s="48"/>
      <c r="I2659" s="49"/>
      <c r="J2659" s="49"/>
      <c r="K2659" s="19"/>
      <c r="L2659" s="20"/>
    </row>
    <row r="2660" spans="1:12" outlineLevel="2">
      <c r="A2660" s="22"/>
      <c r="B2660" s="12" t="str">
        <f>IFERROR(VLOOKUP(D2660,'[1]Перечень товаров'!$A$2:$I9525,2,0),"")</f>
        <v>м23</v>
      </c>
      <c r="C2660" s="12" t="str">
        <f>IFERROR(VLOOKUP(D2660,'[1]Перечень товаров'!$A$2:$I9525,3,0),"")</f>
        <v>Мебель</v>
      </c>
      <c r="D2660" s="22" t="s">
        <v>76</v>
      </c>
      <c r="E2660" s="102"/>
      <c r="F2660" s="102"/>
      <c r="G2660" s="48">
        <v>1</v>
      </c>
      <c r="H2660" s="48"/>
      <c r="I2660" s="49"/>
      <c r="J2660" s="49"/>
      <c r="K2660" s="19"/>
      <c r="L2660" s="20"/>
    </row>
    <row r="2661" spans="1:12" outlineLevel="2">
      <c r="A2661" s="22"/>
      <c r="B2661" s="12" t="str">
        <f>IFERROR(VLOOKUP(D2661,'[1]Перечень товаров'!$A$2:$I9525,2,0),"")</f>
        <v>м14</v>
      </c>
      <c r="C2661" s="12" t="str">
        <f>IFERROR(VLOOKUP(D2661,'[1]Перечень товаров'!$A$2:$I9525,3,0),"")</f>
        <v>Мебель</v>
      </c>
      <c r="D2661" s="22" t="s">
        <v>43</v>
      </c>
      <c r="E2661" s="102"/>
      <c r="F2661" s="102"/>
      <c r="G2661" s="48">
        <v>1</v>
      </c>
      <c r="H2661" s="48"/>
      <c r="I2661" s="49"/>
      <c r="J2661" s="49"/>
      <c r="K2661" s="19"/>
      <c r="L2661" s="20"/>
    </row>
    <row r="2662" spans="1:12" outlineLevel="2">
      <c r="A2662" s="21"/>
      <c r="B2662" s="12" t="str">
        <f>IFERROR(VLOOKUP(D2662,'[1]Перечень товаров'!$A$2:$I9525,2,0),"")</f>
        <v>п3</v>
      </c>
      <c r="C2662" s="12" t="str">
        <f>IFERROR(VLOOKUP(D2662,'[1]Перечень товаров'!$A$2:$I9525,3,0),"")</f>
        <v>Прочее</v>
      </c>
      <c r="D2662" s="22" t="s">
        <v>47</v>
      </c>
      <c r="E2662" s="102"/>
      <c r="F2662" s="102"/>
      <c r="G2662" s="48">
        <v>1</v>
      </c>
      <c r="H2662" s="48"/>
      <c r="I2662" s="49"/>
      <c r="J2662" s="49"/>
      <c r="K2662" s="19"/>
      <c r="L2662" s="20"/>
    </row>
    <row r="2663" spans="1:12" outlineLevel="1">
      <c r="A2663" s="21"/>
      <c r="B2663" s="12" t="str">
        <f>IFERROR(VLOOKUP(D2663,'[1]Перечень товаров'!$A$2:$I9525,2,0),"")</f>
        <v/>
      </c>
      <c r="C2663" s="12" t="str">
        <f>IFERROR(VLOOKUP(D2663,'[1]Перечень товаров'!$A$2:$I9525,3,0),"")</f>
        <v/>
      </c>
      <c r="D2663" s="22" t="s">
        <v>841</v>
      </c>
      <c r="E2663" s="102">
        <v>46276</v>
      </c>
      <c r="F2663" s="102"/>
      <c r="G2663" s="103"/>
      <c r="H2663" s="103"/>
      <c r="I2663" s="104"/>
      <c r="J2663" s="104"/>
      <c r="K2663" s="19"/>
      <c r="L2663" s="20"/>
    </row>
    <row r="2664" spans="1:12" ht="12.75" outlineLevel="1">
      <c r="A2664" s="11"/>
      <c r="B2664" s="12" t="str">
        <f>IFERROR(VLOOKUP(D2664,'[1]Перечень товаров'!$A$2:$I9525,2,0),"")</f>
        <v/>
      </c>
      <c r="C2664" s="12" t="str">
        <f>IFERROR(VLOOKUP(D2664,'[1]Перечень товаров'!$A$2:$I9525,3,0),"")</f>
        <v/>
      </c>
      <c r="D2664" s="27" t="s">
        <v>521</v>
      </c>
      <c r="E2664" s="99">
        <v>46144</v>
      </c>
      <c r="F2664" s="99"/>
      <c r="G2664" s="100"/>
      <c r="H2664" s="100"/>
      <c r="I2664" s="101"/>
      <c r="J2664" s="101"/>
      <c r="K2664" s="19"/>
      <c r="L2664" s="20"/>
    </row>
    <row r="2665" spans="1:12" outlineLevel="2">
      <c r="A2665" s="22"/>
      <c r="B2665" s="12" t="str">
        <f>IFERROR(VLOOKUP(D2665,'[1]Перечень товаров'!$A$2:$I9525,2,0),"")</f>
        <v>п25</v>
      </c>
      <c r="C2665" s="12" t="str">
        <f>IFERROR(VLOOKUP(D2665,'[1]Перечень товаров'!$A$2:$I9525,3,0),"")</f>
        <v>Прочее</v>
      </c>
      <c r="D2665" s="22" t="s">
        <v>360</v>
      </c>
      <c r="E2665" s="102"/>
      <c r="F2665" s="102"/>
      <c r="G2665" s="48">
        <v>3</v>
      </c>
      <c r="H2665" s="48"/>
      <c r="I2665" s="49"/>
      <c r="J2665" s="49"/>
      <c r="K2665" s="19"/>
      <c r="L2665" s="20"/>
    </row>
    <row r="2666" spans="1:12" outlineLevel="2">
      <c r="A2666" s="21"/>
      <c r="B2666" s="12" t="str">
        <f>IFERROR(VLOOKUP(D2666,'[1]Перечень товаров'!$A$2:$I9525,2,0),"")</f>
        <v>п26</v>
      </c>
      <c r="C2666" s="12" t="str">
        <f>IFERROR(VLOOKUP(D2666,'[1]Перечень товаров'!$A$2:$I9525,3,0),"")</f>
        <v>Прочее</v>
      </c>
      <c r="D2666" s="22" t="s">
        <v>361</v>
      </c>
      <c r="E2666" s="102"/>
      <c r="F2666" s="102"/>
      <c r="G2666" s="48">
        <v>2</v>
      </c>
      <c r="H2666" s="48"/>
      <c r="I2666" s="49"/>
      <c r="J2666" s="49"/>
      <c r="K2666" s="19"/>
      <c r="L2666" s="20"/>
    </row>
    <row r="2667" spans="1:12" outlineLevel="2">
      <c r="A2667" s="21"/>
      <c r="B2667" s="12" t="str">
        <f>IFERROR(VLOOKUP(D2667,'[1]Перечень товаров'!$A$2:$I9525,2,0),"")</f>
        <v>п27</v>
      </c>
      <c r="C2667" s="12" t="str">
        <f>IFERROR(VLOOKUP(D2667,'[1]Перечень товаров'!$A$2:$I9525,3,0),"")</f>
        <v>Прочее</v>
      </c>
      <c r="D2667" s="22" t="s">
        <v>362</v>
      </c>
      <c r="E2667" s="102"/>
      <c r="F2667" s="102"/>
      <c r="G2667" s="48">
        <v>2</v>
      </c>
      <c r="H2667" s="48"/>
      <c r="I2667" s="49"/>
      <c r="J2667" s="49"/>
      <c r="K2667" s="19"/>
      <c r="L2667" s="20"/>
    </row>
    <row r="2668" spans="1:12" outlineLevel="2">
      <c r="A2668" s="21"/>
      <c r="B2668" s="12" t="str">
        <f>IFERROR(VLOOKUP(D2668,'[1]Перечень товаров'!$A$2:$I9525,2,0),"")</f>
        <v>п28</v>
      </c>
      <c r="C2668" s="12" t="str">
        <f>IFERROR(VLOOKUP(D2668,'[1]Перечень товаров'!$A$2:$I9525,3,0),"")</f>
        <v>Прочее</v>
      </c>
      <c r="D2668" s="22" t="s">
        <v>363</v>
      </c>
      <c r="E2668" s="102"/>
      <c r="F2668" s="102"/>
      <c r="G2668" s="48">
        <v>1</v>
      </c>
      <c r="H2668" s="48"/>
      <c r="I2668" s="49"/>
      <c r="J2668" s="49"/>
      <c r="K2668" s="19"/>
      <c r="L2668" s="20"/>
    </row>
    <row r="2669" spans="1:12" outlineLevel="2">
      <c r="A2669" s="21"/>
      <c r="B2669" s="12" t="str">
        <f>IFERROR(VLOOKUP(D2669,'[1]Перечень товаров'!$A$2:$I9525,2,0),"")</f>
        <v>п29</v>
      </c>
      <c r="C2669" s="12" t="str">
        <f>IFERROR(VLOOKUP(D2669,'[1]Перечень товаров'!$A$2:$I9525,3,0),"")</f>
        <v>Прочее</v>
      </c>
      <c r="D2669" s="22" t="s">
        <v>364</v>
      </c>
      <c r="E2669" s="102"/>
      <c r="F2669" s="102"/>
      <c r="G2669" s="48">
        <v>6</v>
      </c>
      <c r="H2669" s="48"/>
      <c r="I2669" s="49"/>
      <c r="J2669" s="49"/>
      <c r="K2669" s="19"/>
      <c r="L2669" s="20"/>
    </row>
    <row r="2670" spans="1:12" outlineLevel="2">
      <c r="A2670" s="21"/>
      <c r="B2670" s="12" t="str">
        <f>IFERROR(VLOOKUP(D2670,'[1]Перечень товаров'!$A$2:$I9525,2,0),"")</f>
        <v>п30</v>
      </c>
      <c r="C2670" s="12" t="str">
        <f>IFERROR(VLOOKUP(D2670,'[1]Перечень товаров'!$A$2:$I9525,3,0),"")</f>
        <v>Прочее</v>
      </c>
      <c r="D2670" s="22" t="s">
        <v>365</v>
      </c>
      <c r="E2670" s="102"/>
      <c r="F2670" s="102"/>
      <c r="G2670" s="48">
        <v>2</v>
      </c>
      <c r="H2670" s="48"/>
      <c r="I2670" s="49"/>
      <c r="J2670" s="49"/>
      <c r="K2670" s="19"/>
      <c r="L2670" s="20"/>
    </row>
    <row r="2671" spans="1:12" ht="31.5" outlineLevel="2">
      <c r="A2671" s="21"/>
      <c r="B2671" s="12" t="str">
        <f>IFERROR(VLOOKUP(D2671,'[1]Перечень товаров'!$A$2:$I9525,2,0),"")</f>
        <v>п31</v>
      </c>
      <c r="C2671" s="12" t="str">
        <f>IFERROR(VLOOKUP(D2671,'[1]Перечень товаров'!$A$2:$I9525,3,0),"")</f>
        <v>Прочее</v>
      </c>
      <c r="D2671" s="22" t="s">
        <v>366</v>
      </c>
      <c r="E2671" s="102"/>
      <c r="F2671" s="102"/>
      <c r="G2671" s="48">
        <v>1</v>
      </c>
      <c r="H2671" s="48"/>
      <c r="I2671" s="49"/>
      <c r="J2671" s="49"/>
      <c r="K2671" s="19"/>
      <c r="L2671" s="20"/>
    </row>
    <row r="2672" spans="1:12" ht="31.5" outlineLevel="2">
      <c r="A2672" s="21"/>
      <c r="B2672" s="12" t="str">
        <f>IFERROR(VLOOKUP(D2672,'[1]Перечень товаров'!$A$2:$I9525,2,0),"")</f>
        <v>п32</v>
      </c>
      <c r="C2672" s="12" t="str">
        <f>IFERROR(VLOOKUP(D2672,'[1]Перечень товаров'!$A$2:$I9525,3,0),"")</f>
        <v>Прочее</v>
      </c>
      <c r="D2672" s="22" t="s">
        <v>367</v>
      </c>
      <c r="E2672" s="102"/>
      <c r="F2672" s="102"/>
      <c r="G2672" s="48">
        <v>2</v>
      </c>
      <c r="H2672" s="48"/>
      <c r="I2672" s="49"/>
      <c r="J2672" s="49"/>
      <c r="K2672" s="19"/>
      <c r="L2672" s="20"/>
    </row>
    <row r="2673" spans="1:12" ht="12.75" outlineLevel="1">
      <c r="A2673" s="11"/>
      <c r="B2673" s="12" t="str">
        <f>IFERROR(VLOOKUP(D2673,'[1]Перечень товаров'!$A$2:$I9525,2,0),"")</f>
        <v/>
      </c>
      <c r="C2673" s="12" t="str">
        <f>IFERROR(VLOOKUP(D2673,'[1]Перечень товаров'!$A$2:$I9525,3,0),"")</f>
        <v/>
      </c>
      <c r="D2673" s="27" t="s">
        <v>521</v>
      </c>
      <c r="E2673" s="99">
        <v>46175</v>
      </c>
      <c r="F2673" s="99"/>
      <c r="G2673" s="100"/>
      <c r="H2673" s="100"/>
      <c r="I2673" s="101"/>
      <c r="J2673" s="101"/>
      <c r="K2673" s="19"/>
      <c r="L2673" s="20"/>
    </row>
    <row r="2674" spans="1:12" outlineLevel="2">
      <c r="A2674" s="22"/>
      <c r="B2674" s="12" t="str">
        <f>IFERROR(VLOOKUP(D2674,'[1]Перечень товаров'!$A$2:$I9525,2,0),"")</f>
        <v>п25</v>
      </c>
      <c r="C2674" s="12" t="str">
        <f>IFERROR(VLOOKUP(D2674,'[1]Перечень товаров'!$A$2:$I9525,3,0),"")</f>
        <v>Прочее</v>
      </c>
      <c r="D2674" s="22" t="s">
        <v>360</v>
      </c>
      <c r="E2674" s="102"/>
      <c r="F2674" s="102"/>
      <c r="G2674" s="48">
        <v>3</v>
      </c>
      <c r="H2674" s="48"/>
      <c r="I2674" s="49"/>
      <c r="J2674" s="49"/>
      <c r="K2674" s="19"/>
      <c r="L2674" s="20"/>
    </row>
    <row r="2675" spans="1:12" outlineLevel="2">
      <c r="A2675" s="21"/>
      <c r="B2675" s="12" t="str">
        <f>IFERROR(VLOOKUP(D2675,'[1]Перечень товаров'!$A$2:$I9525,2,0),"")</f>
        <v>п26</v>
      </c>
      <c r="C2675" s="12" t="str">
        <f>IFERROR(VLOOKUP(D2675,'[1]Перечень товаров'!$A$2:$I9525,3,0),"")</f>
        <v>Прочее</v>
      </c>
      <c r="D2675" s="22" t="s">
        <v>361</v>
      </c>
      <c r="E2675" s="102"/>
      <c r="F2675" s="102"/>
      <c r="G2675" s="48">
        <v>2</v>
      </c>
      <c r="H2675" s="48"/>
      <c r="I2675" s="49"/>
      <c r="J2675" s="49"/>
      <c r="K2675" s="19"/>
      <c r="L2675" s="20"/>
    </row>
    <row r="2676" spans="1:12" outlineLevel="2">
      <c r="A2676" s="21"/>
      <c r="B2676" s="12" t="str">
        <f>IFERROR(VLOOKUP(D2676,'[1]Перечень товаров'!$A$2:$I9525,2,0),"")</f>
        <v>п27</v>
      </c>
      <c r="C2676" s="12" t="str">
        <f>IFERROR(VLOOKUP(D2676,'[1]Перечень товаров'!$A$2:$I9525,3,0),"")</f>
        <v>Прочее</v>
      </c>
      <c r="D2676" s="22" t="s">
        <v>362</v>
      </c>
      <c r="E2676" s="102"/>
      <c r="F2676" s="102"/>
      <c r="G2676" s="48">
        <v>2</v>
      </c>
      <c r="H2676" s="48"/>
      <c r="I2676" s="49"/>
      <c r="J2676" s="49"/>
      <c r="K2676" s="19"/>
      <c r="L2676" s="20"/>
    </row>
    <row r="2677" spans="1:12" outlineLevel="2">
      <c r="A2677" s="21"/>
      <c r="B2677" s="12" t="str">
        <f>IFERROR(VLOOKUP(D2677,'[1]Перечень товаров'!$A$2:$I9525,2,0),"")</f>
        <v>п28</v>
      </c>
      <c r="C2677" s="12" t="str">
        <f>IFERROR(VLOOKUP(D2677,'[1]Перечень товаров'!$A$2:$I9525,3,0),"")</f>
        <v>Прочее</v>
      </c>
      <c r="D2677" s="22" t="s">
        <v>363</v>
      </c>
      <c r="E2677" s="102"/>
      <c r="F2677" s="102"/>
      <c r="G2677" s="48">
        <v>1</v>
      </c>
      <c r="H2677" s="48"/>
      <c r="I2677" s="49"/>
      <c r="J2677" s="49"/>
      <c r="K2677" s="19"/>
      <c r="L2677" s="20"/>
    </row>
    <row r="2678" spans="1:12" outlineLevel="2">
      <c r="A2678" s="21"/>
      <c r="B2678" s="12" t="str">
        <f>IFERROR(VLOOKUP(D2678,'[1]Перечень товаров'!$A$2:$I9525,2,0),"")</f>
        <v>п29</v>
      </c>
      <c r="C2678" s="12" t="str">
        <f>IFERROR(VLOOKUP(D2678,'[1]Перечень товаров'!$A$2:$I9525,3,0),"")</f>
        <v>Прочее</v>
      </c>
      <c r="D2678" s="22" t="s">
        <v>364</v>
      </c>
      <c r="E2678" s="102"/>
      <c r="F2678" s="102"/>
      <c r="G2678" s="48">
        <v>6</v>
      </c>
      <c r="H2678" s="48"/>
      <c r="I2678" s="49"/>
      <c r="J2678" s="49"/>
      <c r="K2678" s="19"/>
      <c r="L2678" s="20"/>
    </row>
    <row r="2679" spans="1:12" outlineLevel="2">
      <c r="A2679" s="21"/>
      <c r="B2679" s="12" t="str">
        <f>IFERROR(VLOOKUP(D2679,'[1]Перечень товаров'!$A$2:$I9525,2,0),"")</f>
        <v>п30</v>
      </c>
      <c r="C2679" s="12" t="str">
        <f>IFERROR(VLOOKUP(D2679,'[1]Перечень товаров'!$A$2:$I9525,3,0),"")</f>
        <v>Прочее</v>
      </c>
      <c r="D2679" s="22" t="s">
        <v>365</v>
      </c>
      <c r="E2679" s="102"/>
      <c r="F2679" s="102"/>
      <c r="G2679" s="48">
        <v>2</v>
      </c>
      <c r="H2679" s="48"/>
      <c r="I2679" s="49"/>
      <c r="J2679" s="49"/>
      <c r="K2679" s="19"/>
      <c r="L2679" s="20"/>
    </row>
    <row r="2680" spans="1:12" ht="31.5" outlineLevel="2">
      <c r="A2680" s="21"/>
      <c r="B2680" s="12" t="str">
        <f>IFERROR(VLOOKUP(D2680,'[1]Перечень товаров'!$A$2:$I9525,2,0),"")</f>
        <v>п31</v>
      </c>
      <c r="C2680" s="12" t="str">
        <f>IFERROR(VLOOKUP(D2680,'[1]Перечень товаров'!$A$2:$I9525,3,0),"")</f>
        <v>Прочее</v>
      </c>
      <c r="D2680" s="22" t="s">
        <v>366</v>
      </c>
      <c r="E2680" s="102"/>
      <c r="F2680" s="102"/>
      <c r="G2680" s="48">
        <v>1</v>
      </c>
      <c r="H2680" s="48"/>
      <c r="I2680" s="49"/>
      <c r="J2680" s="49"/>
      <c r="K2680" s="19"/>
      <c r="L2680" s="20"/>
    </row>
    <row r="2681" spans="1:12" ht="31.5" outlineLevel="2">
      <c r="A2681" s="21"/>
      <c r="B2681" s="12" t="str">
        <f>IFERROR(VLOOKUP(D2681,'[1]Перечень товаров'!$A$2:$I9525,2,0),"")</f>
        <v>п32</v>
      </c>
      <c r="C2681" s="12" t="str">
        <f>IFERROR(VLOOKUP(D2681,'[1]Перечень товаров'!$A$2:$I9525,3,0),"")</f>
        <v>Прочее</v>
      </c>
      <c r="D2681" s="22" t="s">
        <v>367</v>
      </c>
      <c r="E2681" s="102"/>
      <c r="F2681" s="102"/>
      <c r="G2681" s="48">
        <v>2</v>
      </c>
      <c r="H2681" s="48"/>
      <c r="I2681" s="49"/>
      <c r="J2681" s="49"/>
      <c r="K2681" s="19"/>
      <c r="L2681" s="20"/>
    </row>
    <row r="2682" spans="1:12" outlineLevel="1">
      <c r="A2682" s="21"/>
      <c r="B2682" s="12" t="str">
        <f>IFERROR(VLOOKUP(D2682,'[1]Перечень товаров'!$A$2:$I9525,2,0),"")</f>
        <v/>
      </c>
      <c r="C2682" s="12" t="str">
        <f>IFERROR(VLOOKUP(D2682,'[1]Перечень товаров'!$A$2:$I9525,3,0),"")</f>
        <v/>
      </c>
      <c r="D2682" s="22" t="s">
        <v>343</v>
      </c>
      <c r="E2682" s="23" t="s">
        <v>842</v>
      </c>
      <c r="F2682" s="23"/>
      <c r="G2682" s="24"/>
      <c r="H2682" s="24"/>
      <c r="I2682" s="25"/>
      <c r="J2682" s="25"/>
      <c r="K2682" s="19"/>
      <c r="L2682" s="20"/>
    </row>
    <row r="2683" spans="1:12" outlineLevel="1">
      <c r="A2683" s="21"/>
      <c r="B2683" s="12" t="str">
        <f>IFERROR(VLOOKUP(D2683,'[1]Перечень товаров'!$A$2:$I9525,2,0),"")</f>
        <v/>
      </c>
      <c r="C2683" s="12" t="str">
        <f>IFERROR(VLOOKUP(D2683,'[1]Перечень товаров'!$A$2:$I9525,3,0),"")</f>
        <v/>
      </c>
      <c r="D2683" s="22" t="s">
        <v>368</v>
      </c>
      <c r="E2683" s="102">
        <v>46238</v>
      </c>
      <c r="F2683" s="102"/>
      <c r="G2683" s="103"/>
      <c r="H2683" s="103"/>
      <c r="I2683" s="104"/>
      <c r="J2683" s="104"/>
      <c r="K2683" s="19"/>
      <c r="L2683" s="20"/>
    </row>
    <row r="2684" spans="1:12" outlineLevel="1">
      <c r="A2684" s="21"/>
      <c r="B2684" s="12" t="str">
        <f>IFERROR(VLOOKUP(D2684,'[1]Перечень товаров'!$A$2:$I9525,2,0),"")</f>
        <v/>
      </c>
      <c r="C2684" s="12" t="str">
        <f>IFERROR(VLOOKUP(D2684,'[1]Перечень товаров'!$A$2:$I9525,3,0),"")</f>
        <v/>
      </c>
      <c r="D2684" s="22" t="s">
        <v>348</v>
      </c>
      <c r="E2684" s="23" t="s">
        <v>843</v>
      </c>
      <c r="F2684" s="23"/>
      <c r="G2684" s="24"/>
      <c r="H2684" s="24"/>
      <c r="I2684" s="25"/>
      <c r="J2684" s="25"/>
      <c r="K2684" s="19"/>
      <c r="L2684" s="20"/>
    </row>
    <row r="2685" spans="1:12" outlineLevel="1">
      <c r="A2685" s="21"/>
      <c r="B2685" s="12" t="str">
        <f>IFERROR(VLOOKUP(D2685,'[1]Перечень товаров'!$A$2:$I9525,2,0),"")</f>
        <v/>
      </c>
      <c r="C2685" s="12" t="str">
        <f>IFERROR(VLOOKUP(D2685,'[1]Перечень товаров'!$A$2:$I9525,3,0),"")</f>
        <v/>
      </c>
      <c r="D2685" s="22" t="s">
        <v>345</v>
      </c>
      <c r="E2685" s="102">
        <v>46118</v>
      </c>
      <c r="F2685" s="102"/>
      <c r="G2685" s="103"/>
      <c r="H2685" s="103"/>
      <c r="I2685" s="104"/>
      <c r="J2685" s="104"/>
      <c r="K2685" s="19"/>
      <c r="L2685" s="20"/>
    </row>
    <row r="2686" spans="1:12" outlineLevel="1">
      <c r="A2686" s="21"/>
      <c r="B2686" s="12" t="str">
        <f>IFERROR(VLOOKUP(D2686,'[1]Перечень товаров'!$A$2:$I9525,2,0),"")</f>
        <v/>
      </c>
      <c r="C2686" s="12" t="str">
        <f>IFERROR(VLOOKUP(D2686,'[1]Перечень товаров'!$A$2:$I9525,3,0),"")</f>
        <v/>
      </c>
      <c r="D2686" s="22" t="s">
        <v>169</v>
      </c>
      <c r="E2686" s="23">
        <v>0</v>
      </c>
      <c r="F2686" s="23"/>
      <c r="G2686" s="24"/>
      <c r="H2686" s="24"/>
      <c r="I2686" s="25"/>
      <c r="J2686" s="25"/>
      <c r="K2686" s="19"/>
      <c r="L2686" s="20"/>
    </row>
    <row r="2687" spans="1:12" ht="12.75" outlineLevel="1">
      <c r="A2687" s="11"/>
      <c r="B2687" s="12" t="str">
        <f>IFERROR(VLOOKUP(D2687,'[1]Перечень товаров'!$A$2:$I9525,2,0),"")</f>
        <v/>
      </c>
      <c r="C2687" s="12" t="str">
        <f>IFERROR(VLOOKUP(D2687,'[1]Перечень товаров'!$A$2:$I9525,3,0),"")</f>
        <v/>
      </c>
      <c r="D2687" s="27" t="s">
        <v>844</v>
      </c>
      <c r="E2687" s="99">
        <v>46127</v>
      </c>
      <c r="F2687" s="99"/>
      <c r="G2687" s="100"/>
      <c r="H2687" s="100"/>
      <c r="I2687" s="101"/>
      <c r="J2687" s="101"/>
      <c r="K2687" s="19"/>
      <c r="L2687" s="20"/>
    </row>
    <row r="2688" spans="1:12" outlineLevel="2">
      <c r="A2688" s="28"/>
      <c r="B2688" s="12" t="str">
        <f>IFERROR(VLOOKUP(D2688,'[1]Перечень товаров'!$A$2:$I9525,2,0),"")</f>
        <v>тм1</v>
      </c>
      <c r="C2688" s="12" t="str">
        <f>IFERROR(VLOOKUP(D2688,'[1]Перечень товаров'!$A$2:$I9525,3,0),"")</f>
        <v>Техника муз</v>
      </c>
      <c r="D2688" s="29" t="s">
        <v>14</v>
      </c>
      <c r="E2688" s="30"/>
      <c r="F2688" s="30"/>
      <c r="G2688" s="31">
        <v>1</v>
      </c>
      <c r="H2688" s="31"/>
      <c r="I2688" s="32"/>
      <c r="J2688" s="32"/>
      <c r="K2688" s="19"/>
      <c r="L2688" s="20"/>
    </row>
    <row r="2689" spans="1:12" ht="31.5" outlineLevel="2">
      <c r="A2689" s="28"/>
      <c r="B2689" s="12" t="str">
        <f>IFERROR(VLOOKUP(D2689,'[1]Перечень товаров'!$A$2:$I9525,2,0),"")</f>
        <v>тм2</v>
      </c>
      <c r="C2689" s="12" t="str">
        <f>IFERROR(VLOOKUP(D2689,'[1]Перечень товаров'!$A$2:$I9525,3,0),"")</f>
        <v>Техника муз</v>
      </c>
      <c r="D2689" s="29" t="s">
        <v>15</v>
      </c>
      <c r="E2689" s="30"/>
      <c r="F2689" s="30"/>
      <c r="G2689" s="31">
        <v>1</v>
      </c>
      <c r="H2689" s="31"/>
      <c r="I2689" s="32"/>
      <c r="J2689" s="32"/>
      <c r="K2689" s="19"/>
      <c r="L2689" s="20"/>
    </row>
    <row r="2690" spans="1:12" ht="47.25" outlineLevel="2">
      <c r="A2690" s="28"/>
      <c r="B2690" s="12" t="str">
        <f>IFERROR(VLOOKUP(D2690,'[1]Перечень товаров'!$A$2:$I9525,2,0),"")</f>
        <v>тм3</v>
      </c>
      <c r="C2690" s="12" t="str">
        <f>IFERROR(VLOOKUP(D2690,'[1]Перечень товаров'!$A$2:$I9525,3,0),"")</f>
        <v>Техника муз</v>
      </c>
      <c r="D2690" s="29" t="s">
        <v>16</v>
      </c>
      <c r="E2690" s="30"/>
      <c r="F2690" s="30"/>
      <c r="G2690" s="31">
        <v>1</v>
      </c>
      <c r="H2690" s="31"/>
      <c r="I2690" s="32"/>
      <c r="J2690" s="32"/>
      <c r="K2690" s="19"/>
      <c r="L2690" s="20"/>
    </row>
    <row r="2691" spans="1:12" ht="31.5" outlineLevel="2">
      <c r="A2691" s="34"/>
      <c r="B2691" s="12" t="str">
        <f>IFERROR(VLOOKUP(D2691,'[1]Перечень товаров'!$A$2:$I9525,2,0),"")</f>
        <v>дм1</v>
      </c>
      <c r="C2691" s="12" t="str">
        <f>IFERROR(VLOOKUP(D2691,'[1]Перечень товаров'!$A$2:$I9525,3,0),"")</f>
        <v>Дидактика муз</v>
      </c>
      <c r="D2691" s="35" t="s">
        <v>17</v>
      </c>
      <c r="E2691" s="30"/>
      <c r="F2691" s="30"/>
      <c r="G2691" s="31">
        <v>1</v>
      </c>
      <c r="H2691" s="31"/>
      <c r="I2691" s="32"/>
      <c r="J2691" s="32"/>
      <c r="K2691" s="19"/>
      <c r="L2691" s="20"/>
    </row>
    <row r="2692" spans="1:12" ht="31.5" outlineLevel="2">
      <c r="A2692" s="34"/>
      <c r="B2692" s="12" t="str">
        <f>IFERROR(VLOOKUP(D2692,'[1]Перечень товаров'!$A$2:$I9525,2,0),"")</f>
        <v>м1</v>
      </c>
      <c r="C2692" s="12" t="str">
        <f>IFERROR(VLOOKUP(D2692,'[1]Перечень товаров'!$A$2:$I9525,3,0),"")</f>
        <v>Мебель</v>
      </c>
      <c r="D2692" s="35" t="s">
        <v>18</v>
      </c>
      <c r="E2692" s="30"/>
      <c r="F2692" s="30"/>
      <c r="G2692" s="31">
        <v>1</v>
      </c>
      <c r="H2692" s="31"/>
      <c r="I2692" s="32"/>
      <c r="J2692" s="32"/>
      <c r="K2692" s="19"/>
      <c r="L2692" s="20"/>
    </row>
    <row r="2693" spans="1:12" ht="15" outlineLevel="2">
      <c r="A2693" s="37"/>
      <c r="B2693" s="12" t="str">
        <f>IFERROR(VLOOKUP(D2693,'[1]Перечень товаров'!$A$2:$I9525,2,0),"")</f>
        <v/>
      </c>
      <c r="C2693" s="12" t="str">
        <f>IFERROR(VLOOKUP(D2693,'[1]Перечень товаров'!$A$2:$I9525,3,0),"")</f>
        <v/>
      </c>
      <c r="D2693" s="38" t="s">
        <v>19</v>
      </c>
      <c r="E2693" s="39"/>
      <c r="F2693" s="39"/>
      <c r="G2693" s="40"/>
      <c r="H2693" s="40"/>
      <c r="I2693" s="41"/>
      <c r="J2693" s="41"/>
      <c r="K2693" s="19"/>
      <c r="L2693" s="20"/>
    </row>
    <row r="2694" spans="1:12" outlineLevel="2">
      <c r="A2694" s="34"/>
      <c r="B2694" s="12" t="str">
        <f>IFERROR(VLOOKUP(D2694,'[1]Перечень товаров'!$A$2:$I9525,2,0),"")</f>
        <v>м2</v>
      </c>
      <c r="C2694" s="12" t="str">
        <f>IFERROR(VLOOKUP(D2694,'[1]Перечень товаров'!$A$2:$I9525,3,0),"")</f>
        <v>Мебель</v>
      </c>
      <c r="D2694" s="35" t="s">
        <v>845</v>
      </c>
      <c r="E2694" s="30"/>
      <c r="F2694" s="30"/>
      <c r="G2694" s="31">
        <v>1</v>
      </c>
      <c r="H2694" s="31"/>
      <c r="I2694" s="32"/>
      <c r="J2694" s="32"/>
      <c r="K2694" s="19"/>
      <c r="L2694" s="20"/>
    </row>
    <row r="2695" spans="1:12" outlineLevel="2">
      <c r="A2695" s="34"/>
      <c r="B2695" s="12" t="str">
        <f>IFERROR(VLOOKUP(D2695,'[1]Перечень товаров'!$A$2:$I9525,2,0),"")</f>
        <v>м12</v>
      </c>
      <c r="C2695" s="12" t="str">
        <f>IFERROR(VLOOKUP(D2695,'[1]Перечень товаров'!$A$2:$I9525,3,0),"")</f>
        <v>Мебель</v>
      </c>
      <c r="D2695" s="35" t="s">
        <v>21</v>
      </c>
      <c r="E2695" s="30"/>
      <c r="F2695" s="30"/>
      <c r="G2695" s="31">
        <v>1</v>
      </c>
      <c r="H2695" s="31"/>
      <c r="I2695" s="32"/>
      <c r="J2695" s="32"/>
      <c r="K2695" s="19"/>
      <c r="L2695" s="20"/>
    </row>
    <row r="2696" spans="1:12" ht="63" outlineLevel="2">
      <c r="A2696" s="34"/>
      <c r="B2696" s="12" t="str">
        <f>IFERROR(VLOOKUP(D2696,'[1]Перечень товаров'!$A$2:$I9525,2,0),"")</f>
        <v>м5</v>
      </c>
      <c r="C2696" s="12" t="str">
        <f>IFERROR(VLOOKUP(D2696,'[1]Перечень товаров'!$A$2:$I9525,3,0),"")</f>
        <v>Мебель</v>
      </c>
      <c r="D2696" s="35" t="s">
        <v>22</v>
      </c>
      <c r="E2696" s="30"/>
      <c r="F2696" s="30"/>
      <c r="G2696" s="31">
        <v>1</v>
      </c>
      <c r="H2696" s="31"/>
      <c r="I2696" s="32"/>
      <c r="J2696" s="32"/>
      <c r="K2696" s="19"/>
      <c r="L2696" s="20"/>
    </row>
    <row r="2697" spans="1:12" ht="31.5" outlineLevel="2">
      <c r="A2697" s="34"/>
      <c r="B2697" s="12" t="str">
        <f>IFERROR(VLOOKUP(D2697,'[1]Перечень товаров'!$A$2:$I9525,2,0),"")</f>
        <v>м6</v>
      </c>
      <c r="C2697" s="12" t="str">
        <f>IFERROR(VLOOKUP(D2697,'[1]Перечень товаров'!$A$2:$I9525,3,0),"")</f>
        <v>Мебель</v>
      </c>
      <c r="D2697" s="35" t="s">
        <v>23</v>
      </c>
      <c r="E2697" s="30"/>
      <c r="F2697" s="30"/>
      <c r="G2697" s="31">
        <v>1</v>
      </c>
      <c r="H2697" s="31"/>
      <c r="I2697" s="32"/>
      <c r="J2697" s="32"/>
      <c r="K2697" s="19"/>
      <c r="L2697" s="20"/>
    </row>
    <row r="2698" spans="1:12" outlineLevel="2">
      <c r="A2698" s="34"/>
      <c r="B2698" s="12" t="str">
        <f>IFERROR(VLOOKUP(D2698,'[1]Перечень товаров'!$A$2:$I9525,2,0),"")</f>
        <v>м7</v>
      </c>
      <c r="C2698" s="12" t="str">
        <f>IFERROR(VLOOKUP(D2698,'[1]Перечень товаров'!$A$2:$I9525,3,0),"")</f>
        <v>Мебель</v>
      </c>
      <c r="D2698" s="35" t="s">
        <v>24</v>
      </c>
      <c r="E2698" s="30"/>
      <c r="F2698" s="30"/>
      <c r="G2698" s="31">
        <v>1</v>
      </c>
      <c r="H2698" s="31"/>
      <c r="I2698" s="32"/>
      <c r="J2698" s="32"/>
      <c r="K2698" s="19"/>
      <c r="L2698" s="20"/>
    </row>
    <row r="2699" spans="1:12" outlineLevel="2">
      <c r="A2699" s="28"/>
      <c r="B2699" s="12" t="str">
        <f>IFERROR(VLOOKUP(D2699,'[1]Перечень товаров'!$A$2:$I9525,2,0),"")</f>
        <v>м8</v>
      </c>
      <c r="C2699" s="12" t="str">
        <f>IFERROR(VLOOKUP(D2699,'[1]Перечень товаров'!$A$2:$I9525,3,0),"")</f>
        <v>Мебель</v>
      </c>
      <c r="D2699" s="29" t="s">
        <v>504</v>
      </c>
      <c r="E2699" s="30"/>
      <c r="F2699" s="30"/>
      <c r="G2699" s="31">
        <v>1</v>
      </c>
      <c r="H2699" s="31"/>
      <c r="I2699" s="32"/>
      <c r="J2699" s="32"/>
      <c r="K2699" s="19"/>
      <c r="L2699" s="20"/>
    </row>
    <row r="2700" spans="1:12" outlineLevel="2">
      <c r="A2700" s="28"/>
      <c r="B2700" s="12" t="str">
        <f>IFERROR(VLOOKUP(D2700,'[1]Перечень товаров'!$A$2:$I9525,2,0),"")</f>
        <v>м9</v>
      </c>
      <c r="C2700" s="12" t="str">
        <f>IFERROR(VLOOKUP(D2700,'[1]Перечень товаров'!$A$2:$I9525,3,0),"")</f>
        <v>Мебель</v>
      </c>
      <c r="D2700" s="29" t="s">
        <v>26</v>
      </c>
      <c r="E2700" s="30"/>
      <c r="F2700" s="30"/>
      <c r="G2700" s="31">
        <v>12</v>
      </c>
      <c r="H2700" s="31"/>
      <c r="I2700" s="32"/>
      <c r="J2700" s="32"/>
      <c r="K2700" s="19"/>
      <c r="L2700" s="20"/>
    </row>
    <row r="2701" spans="1:12" ht="30" outlineLevel="2">
      <c r="A2701" s="37"/>
      <c r="B2701" s="12" t="str">
        <f>IFERROR(VLOOKUP(D2701,'[1]Перечень товаров'!$A$2:$I9525,2,0),"")</f>
        <v/>
      </c>
      <c r="C2701" s="12" t="str">
        <f>IFERROR(VLOOKUP(D2701,'[1]Перечень товаров'!$A$2:$I9525,3,0),"")</f>
        <v/>
      </c>
      <c r="D2701" s="38" t="s">
        <v>27</v>
      </c>
      <c r="E2701" s="39"/>
      <c r="F2701" s="39"/>
      <c r="G2701" s="40"/>
      <c r="H2701" s="40"/>
      <c r="I2701" s="41"/>
      <c r="J2701" s="41"/>
      <c r="K2701" s="19"/>
      <c r="L2701" s="20"/>
    </row>
    <row r="2702" spans="1:12" outlineLevel="2">
      <c r="A2702" s="21"/>
      <c r="B2702" s="12" t="str">
        <f>IFERROR(VLOOKUP(D2702,'[1]Перечень товаров'!$A$2:$I9525,2,0),"")</f>
        <v>т1</v>
      </c>
      <c r="C2702" s="12" t="str">
        <f>IFERROR(VLOOKUP(D2702,'[1]Перечень товаров'!$A$2:$I9525,3,0),"")</f>
        <v xml:space="preserve">Техника </v>
      </c>
      <c r="D2702" s="22" t="s">
        <v>28</v>
      </c>
      <c r="E2702" s="30"/>
      <c r="F2702" s="30"/>
      <c r="G2702" s="31">
        <v>1</v>
      </c>
      <c r="H2702" s="31"/>
      <c r="I2702" s="32"/>
      <c r="J2702" s="32"/>
      <c r="K2702" s="19"/>
      <c r="L2702" s="20"/>
    </row>
    <row r="2703" spans="1:12" outlineLevel="2">
      <c r="A2703" s="35"/>
      <c r="B2703" s="12" t="str">
        <f>IFERROR(VLOOKUP(D2703,'[1]Перечень товаров'!$A$2:$I9525,2,0),"")</f>
        <v>т2</v>
      </c>
      <c r="C2703" s="12" t="str">
        <f>IFERROR(VLOOKUP(D2703,'[1]Перечень товаров'!$A$2:$I9525,3,0),"")</f>
        <v xml:space="preserve">Техника </v>
      </c>
      <c r="D2703" s="35" t="s">
        <v>29</v>
      </c>
      <c r="E2703" s="30"/>
      <c r="F2703" s="30"/>
      <c r="G2703" s="31">
        <v>1</v>
      </c>
      <c r="H2703" s="31"/>
      <c r="I2703" s="32"/>
      <c r="J2703" s="32"/>
      <c r="K2703" s="19"/>
      <c r="L2703" s="20"/>
    </row>
    <row r="2704" spans="1:12" outlineLevel="2">
      <c r="A2704" s="35"/>
      <c r="B2704" s="12" t="str">
        <f>IFERROR(VLOOKUP(D2704,'[1]Перечень товаров'!$A$2:$I9525,2,0),"")</f>
        <v>т3</v>
      </c>
      <c r="C2704" s="12" t="str">
        <f>IFERROR(VLOOKUP(D2704,'[1]Перечень товаров'!$A$2:$I9525,3,0),"")</f>
        <v xml:space="preserve">Техника </v>
      </c>
      <c r="D2704" s="35" t="s">
        <v>30</v>
      </c>
      <c r="E2704" s="30"/>
      <c r="F2704" s="30"/>
      <c r="G2704" s="31">
        <v>1</v>
      </c>
      <c r="H2704" s="31"/>
      <c r="I2704" s="32"/>
      <c r="J2704" s="32"/>
      <c r="K2704" s="19"/>
      <c r="L2704" s="20"/>
    </row>
    <row r="2705" spans="1:12" outlineLevel="2">
      <c r="A2705" s="35"/>
      <c r="B2705" s="12" t="str">
        <f>IFERROR(VLOOKUP(D2705,'[1]Перечень товаров'!$A$2:$I9525,2,0),"")</f>
        <v>т4</v>
      </c>
      <c r="C2705" s="12" t="str">
        <f>IFERROR(VLOOKUP(D2705,'[1]Перечень товаров'!$A$2:$I9525,3,0),"")</f>
        <v xml:space="preserve">Техника </v>
      </c>
      <c r="D2705" s="35" t="s">
        <v>31</v>
      </c>
      <c r="E2705" s="30"/>
      <c r="F2705" s="30"/>
      <c r="G2705" s="31">
        <v>1</v>
      </c>
      <c r="H2705" s="31"/>
      <c r="I2705" s="32"/>
      <c r="J2705" s="32"/>
      <c r="K2705" s="19"/>
      <c r="L2705" s="20"/>
    </row>
    <row r="2706" spans="1:12" outlineLevel="2">
      <c r="A2706" s="21"/>
      <c r="B2706" s="12" t="str">
        <f>IFERROR(VLOOKUP(D2706,'[1]Перечень товаров'!$A$2:$I9525,2,0),"")</f>
        <v>т5</v>
      </c>
      <c r="C2706" s="12" t="str">
        <f>IFERROR(VLOOKUP(D2706,'[1]Перечень товаров'!$A$2:$I9525,3,0),"")</f>
        <v xml:space="preserve">Техника </v>
      </c>
      <c r="D2706" s="22" t="s">
        <v>32</v>
      </c>
      <c r="E2706" s="30"/>
      <c r="F2706" s="30"/>
      <c r="G2706" s="31">
        <v>1</v>
      </c>
      <c r="H2706" s="31"/>
      <c r="I2706" s="32"/>
      <c r="J2706" s="32"/>
      <c r="K2706" s="19"/>
      <c r="L2706" s="20"/>
    </row>
    <row r="2707" spans="1:12" outlineLevel="2">
      <c r="A2707" s="35"/>
      <c r="B2707" s="12" t="str">
        <f>IFERROR(VLOOKUP(D2707,'[1]Перечень товаров'!$A$2:$I9525,2,0),"")</f>
        <v>т6</v>
      </c>
      <c r="C2707" s="12" t="str">
        <f>IFERROR(VLOOKUP(D2707,'[1]Перечень товаров'!$A$2:$I9525,3,0),"")</f>
        <v xml:space="preserve">Техника </v>
      </c>
      <c r="D2707" s="35" t="s">
        <v>33</v>
      </c>
      <c r="E2707" s="30"/>
      <c r="F2707" s="30"/>
      <c r="G2707" s="31">
        <v>1</v>
      </c>
      <c r="H2707" s="31"/>
      <c r="I2707" s="32"/>
      <c r="J2707" s="32"/>
      <c r="K2707" s="19"/>
      <c r="L2707" s="20"/>
    </row>
    <row r="2708" spans="1:12" outlineLevel="2">
      <c r="A2708" s="21"/>
      <c r="B2708" s="12" t="str">
        <f>IFERROR(VLOOKUP(D2708,'[1]Перечень товаров'!$A$2:$I9525,2,0),"")</f>
        <v>т7</v>
      </c>
      <c r="C2708" s="12" t="str">
        <f>IFERROR(VLOOKUP(D2708,'[1]Перечень товаров'!$A$2:$I9525,3,0),"")</f>
        <v xml:space="preserve">Техника </v>
      </c>
      <c r="D2708" s="22" t="s">
        <v>34</v>
      </c>
      <c r="E2708" s="30"/>
      <c r="F2708" s="30"/>
      <c r="G2708" s="31">
        <v>2</v>
      </c>
      <c r="H2708" s="31"/>
      <c r="I2708" s="32"/>
      <c r="J2708" s="32"/>
      <c r="K2708" s="19"/>
      <c r="L2708" s="20"/>
    </row>
    <row r="2709" spans="1:12" outlineLevel="2">
      <c r="A2709" s="21"/>
      <c r="B2709" s="12" t="str">
        <f>IFERROR(VLOOKUP(D2709,'[1]Перечень товаров'!$A$2:$I9525,2,0),"")</f>
        <v>т8</v>
      </c>
      <c r="C2709" s="12" t="str">
        <f>IFERROR(VLOOKUP(D2709,'[1]Перечень товаров'!$A$2:$I9525,3,0),"")</f>
        <v xml:space="preserve">Техника </v>
      </c>
      <c r="D2709" s="22" t="s">
        <v>35</v>
      </c>
      <c r="E2709" s="30"/>
      <c r="F2709" s="30"/>
      <c r="G2709" s="31">
        <v>1</v>
      </c>
      <c r="H2709" s="31"/>
      <c r="I2709" s="32"/>
      <c r="J2709" s="32"/>
      <c r="K2709" s="19"/>
      <c r="L2709" s="20"/>
    </row>
    <row r="2710" spans="1:12" outlineLevel="2">
      <c r="A2710" s="43"/>
      <c r="B2710" s="12" t="str">
        <f>IFERROR(VLOOKUP(D2710,'[1]Перечень товаров'!$A$2:$I9525,2,0),"")</f>
        <v>т9</v>
      </c>
      <c r="C2710" s="12" t="str">
        <f>IFERROR(VLOOKUP(D2710,'[1]Перечень товаров'!$A$2:$I9525,3,0),"")</f>
        <v>Техника</v>
      </c>
      <c r="D2710" s="44" t="s">
        <v>36</v>
      </c>
      <c r="E2710" s="30"/>
      <c r="F2710" s="30"/>
      <c r="G2710" s="31">
        <v>1</v>
      </c>
      <c r="H2710" s="31"/>
      <c r="I2710" s="32"/>
      <c r="J2710" s="32"/>
      <c r="K2710" s="19"/>
      <c r="L2710" s="20"/>
    </row>
    <row r="2711" spans="1:12" outlineLevel="2">
      <c r="A2711" s="43"/>
      <c r="B2711" s="12" t="str">
        <f>IFERROR(VLOOKUP(D2711,'[1]Перечень товаров'!$A$2:$I9525,2,0),"")</f>
        <v>п1</v>
      </c>
      <c r="C2711" s="12" t="str">
        <f>IFERROR(VLOOKUP(D2711,'[1]Перечень товаров'!$A$2:$I9525,3,0),"")</f>
        <v>Прочее</v>
      </c>
      <c r="D2711" s="44" t="s">
        <v>37</v>
      </c>
      <c r="E2711" s="30"/>
      <c r="F2711" s="30"/>
      <c r="G2711" s="31">
        <v>1</v>
      </c>
      <c r="H2711" s="31"/>
      <c r="I2711" s="32"/>
      <c r="J2711" s="32"/>
      <c r="K2711" s="19"/>
      <c r="L2711" s="20"/>
    </row>
    <row r="2712" spans="1:12" outlineLevel="2">
      <c r="A2712" s="43"/>
      <c r="B2712" s="12" t="str">
        <f>IFERROR(VLOOKUP(D2712,'[1]Перечень товаров'!$A$2:$I9525,2,0),"")</f>
        <v>м10</v>
      </c>
      <c r="C2712" s="12" t="str">
        <f>IFERROR(VLOOKUP(D2712,'[1]Перечень товаров'!$A$2:$I9525,3,0),"")</f>
        <v>Мебель</v>
      </c>
      <c r="D2712" s="44" t="s">
        <v>38</v>
      </c>
      <c r="E2712" s="30"/>
      <c r="F2712" s="30"/>
      <c r="G2712" s="31">
        <v>1</v>
      </c>
      <c r="H2712" s="31"/>
      <c r="I2712" s="32"/>
      <c r="J2712" s="32"/>
      <c r="K2712" s="19"/>
      <c r="L2712" s="20"/>
    </row>
    <row r="2713" spans="1:12" outlineLevel="2">
      <c r="A2713" s="21"/>
      <c r="B2713" s="12" t="str">
        <f>IFERROR(VLOOKUP(D2713,'[1]Перечень товаров'!$A$2:$I9525,2,0),"")</f>
        <v>т10</v>
      </c>
      <c r="C2713" s="12" t="str">
        <f>IFERROR(VLOOKUP(D2713,'[1]Перечень товаров'!$A$2:$I9525,3,0),"")</f>
        <v xml:space="preserve">Техника </v>
      </c>
      <c r="D2713" s="22" t="s">
        <v>39</v>
      </c>
      <c r="E2713" s="102"/>
      <c r="F2713" s="102"/>
      <c r="G2713" s="24">
        <v>1</v>
      </c>
      <c r="H2713" s="24"/>
      <c r="I2713" s="25"/>
      <c r="J2713" s="25"/>
      <c r="K2713" s="19"/>
      <c r="L2713" s="20"/>
    </row>
    <row r="2714" spans="1:12" ht="12.75" outlineLevel="1">
      <c r="A2714" s="11"/>
      <c r="B2714" s="12" t="str">
        <f>IFERROR(VLOOKUP(D2714,'[1]Перечень товаров'!$A$2:$I9525,2,0),"")</f>
        <v/>
      </c>
      <c r="C2714" s="12" t="str">
        <f>IFERROR(VLOOKUP(D2714,'[1]Перечень товаров'!$A$2:$I9525,3,0),"")</f>
        <v/>
      </c>
      <c r="D2714" s="27" t="s">
        <v>528</v>
      </c>
      <c r="E2714" s="99">
        <v>46205</v>
      </c>
      <c r="F2714" s="99"/>
      <c r="G2714" s="100"/>
      <c r="H2714" s="100"/>
      <c r="I2714" s="101"/>
      <c r="J2714" s="101"/>
      <c r="K2714" s="19"/>
      <c r="L2714" s="20"/>
    </row>
    <row r="2715" spans="1:12" outlineLevel="2">
      <c r="A2715" s="21"/>
      <c r="B2715" s="12" t="str">
        <f>IFERROR(VLOOKUP(D2715,'[1]Перечень товаров'!$A$2:$I9525,2,0),"")</f>
        <v>м167</v>
      </c>
      <c r="C2715" s="12" t="str">
        <f>IFERROR(VLOOKUP(D2715,'[1]Перечень товаров'!$A$2:$I9525,3,0),"")</f>
        <v>Мебель</v>
      </c>
      <c r="D2715" s="22" t="s">
        <v>508</v>
      </c>
      <c r="E2715" s="102"/>
      <c r="F2715" s="102"/>
      <c r="G2715" s="48">
        <v>2</v>
      </c>
      <c r="H2715" s="48"/>
      <c r="I2715" s="49"/>
      <c r="J2715" s="49"/>
      <c r="K2715" s="19"/>
      <c r="L2715" s="20"/>
    </row>
    <row r="2716" spans="1:12" outlineLevel="2">
      <c r="A2716" s="21"/>
      <c r="B2716" s="12" t="str">
        <f>IFERROR(VLOOKUP(D2716,'[1]Перечень товаров'!$A$2:$I9525,2,0),"")</f>
        <v>п46</v>
      </c>
      <c r="C2716" s="12" t="str">
        <f>IFERROR(VLOOKUP(D2716,'[1]Перечень товаров'!$A$2:$I9525,3,0),"")</f>
        <v>Прочее</v>
      </c>
      <c r="D2716" s="22" t="s">
        <v>509</v>
      </c>
      <c r="E2716" s="102"/>
      <c r="F2716" s="102"/>
      <c r="G2716" s="48">
        <v>2</v>
      </c>
      <c r="H2716" s="48"/>
      <c r="I2716" s="49"/>
      <c r="J2716" s="49"/>
      <c r="K2716" s="19"/>
      <c r="L2716" s="20"/>
    </row>
    <row r="2717" spans="1:12" outlineLevel="2">
      <c r="A2717" s="21"/>
      <c r="B2717" s="12" t="str">
        <f>IFERROR(VLOOKUP(D2717,'[1]Перечень товаров'!$A$2:$I9525,2,0),"")</f>
        <v>п47</v>
      </c>
      <c r="C2717" s="12" t="str">
        <f>IFERROR(VLOOKUP(D2717,'[1]Перечень товаров'!$A$2:$I9525,3,0),"")</f>
        <v>Прочее</v>
      </c>
      <c r="D2717" s="22" t="s">
        <v>510</v>
      </c>
      <c r="E2717" s="102"/>
      <c r="F2717" s="102"/>
      <c r="G2717" s="48">
        <v>3</v>
      </c>
      <c r="H2717" s="48"/>
      <c r="I2717" s="49"/>
      <c r="J2717" s="49"/>
      <c r="K2717" s="19"/>
      <c r="L2717" s="20"/>
    </row>
    <row r="2718" spans="1:12" outlineLevel="2">
      <c r="A2718" s="21"/>
      <c r="B2718" s="12" t="str">
        <f>IFERROR(VLOOKUP(D2718,'[1]Перечень товаров'!$A$2:$I9525,2,0),"")</f>
        <v>п48</v>
      </c>
      <c r="C2718" s="12" t="str">
        <f>IFERROR(VLOOKUP(D2718,'[1]Перечень товаров'!$A$2:$I9525,3,0),"")</f>
        <v>Прочее</v>
      </c>
      <c r="D2718" s="22" t="s">
        <v>511</v>
      </c>
      <c r="E2718" s="102"/>
      <c r="F2718" s="102"/>
      <c r="G2718" s="48">
        <v>6</v>
      </c>
      <c r="H2718" s="48"/>
      <c r="I2718" s="49"/>
      <c r="J2718" s="49"/>
      <c r="K2718" s="19"/>
      <c r="L2718" s="20"/>
    </row>
    <row r="2719" spans="1:12" ht="31.5" outlineLevel="2">
      <c r="A2719" s="21"/>
      <c r="B2719" s="12" t="str">
        <f>IFERROR(VLOOKUP(D2719,'[1]Перечень товаров'!$A$2:$I9525,2,0),"")</f>
        <v>м168</v>
      </c>
      <c r="C2719" s="12" t="str">
        <f>IFERROR(VLOOKUP(D2719,'[1]Перечень товаров'!$A$2:$I9525,3,0),"")</f>
        <v>Мебель</v>
      </c>
      <c r="D2719" s="22" t="s">
        <v>512</v>
      </c>
      <c r="E2719" s="102"/>
      <c r="F2719" s="102"/>
      <c r="G2719" s="48">
        <v>1</v>
      </c>
      <c r="H2719" s="48"/>
      <c r="I2719" s="49"/>
      <c r="J2719" s="49"/>
      <c r="K2719" s="19"/>
      <c r="L2719" s="20"/>
    </row>
    <row r="2720" spans="1:12" ht="12.75" outlineLevel="1">
      <c r="A2720" s="11"/>
      <c r="B2720" s="12" t="str">
        <f>IFERROR(VLOOKUP(D2720,'[1]Перечень товаров'!$A$2:$I9525,2,0),"")</f>
        <v/>
      </c>
      <c r="C2720" s="12" t="str">
        <f>IFERROR(VLOOKUP(D2720,'[1]Перечень товаров'!$A$2:$I9525,3,0),"")</f>
        <v/>
      </c>
      <c r="D2720" s="27" t="s">
        <v>846</v>
      </c>
      <c r="E2720" s="99">
        <v>46279</v>
      </c>
      <c r="F2720" s="99"/>
      <c r="G2720" s="100"/>
      <c r="H2720" s="100"/>
      <c r="I2720" s="101"/>
      <c r="J2720" s="101"/>
      <c r="K2720" s="19"/>
      <c r="L2720" s="20"/>
    </row>
    <row r="2721" spans="1:12" ht="12.75" outlineLevel="2">
      <c r="A2721" s="197"/>
      <c r="B2721" s="12" t="str">
        <f>IFERROR(VLOOKUP(D2721,'[1]Перечень товаров'!$A$2:$I9525,2,0),"")</f>
        <v/>
      </c>
      <c r="C2721" s="12" t="str">
        <f>IFERROR(VLOOKUP(D2721,'[1]Перечень товаров'!$A$2:$I9525,3,0),"")</f>
        <v/>
      </c>
      <c r="D2721" s="198" t="s">
        <v>668</v>
      </c>
      <c r="E2721" s="107"/>
      <c r="F2721" s="107"/>
      <c r="G2721" s="100"/>
      <c r="H2721" s="100"/>
      <c r="I2721" s="101"/>
      <c r="J2721" s="101"/>
      <c r="K2721" s="19"/>
      <c r="L2721" s="20"/>
    </row>
    <row r="2722" spans="1:12" outlineLevel="2">
      <c r="A2722" s="34"/>
      <c r="B2722" s="12" t="str">
        <f>IFERROR(VLOOKUP(D2722,'[1]Перечень товаров'!$A$2:$I9525,2,0),"")</f>
        <v>т1</v>
      </c>
      <c r="C2722" s="12" t="str">
        <f>IFERROR(VLOOKUP(D2722,'[1]Перечень товаров'!$A$2:$I9525,3,0),"")</f>
        <v xml:space="preserve">Техника </v>
      </c>
      <c r="D2722" s="22" t="s">
        <v>28</v>
      </c>
      <c r="E2722" s="199" t="s">
        <v>534</v>
      </c>
      <c r="F2722" s="199"/>
      <c r="G2722" s="24">
        <v>1</v>
      </c>
      <c r="H2722" s="24"/>
      <c r="I2722" s="25"/>
      <c r="J2722" s="25"/>
      <c r="K2722" s="19"/>
      <c r="L2722" s="20"/>
    </row>
    <row r="2723" spans="1:12" outlineLevel="2">
      <c r="A2723" s="34"/>
      <c r="B2723" s="12" t="str">
        <f>IFERROR(VLOOKUP(D2723,'[1]Перечень товаров'!$A$2:$I9525,2,0),"")</f>
        <v>т235</v>
      </c>
      <c r="C2723" s="12" t="str">
        <f>IFERROR(VLOOKUP(D2723,'[1]Перечень товаров'!$A$2:$I9525,3,0),"")</f>
        <v>Техника</v>
      </c>
      <c r="D2723" s="35" t="s">
        <v>742</v>
      </c>
      <c r="E2723" s="199" t="s">
        <v>534</v>
      </c>
      <c r="F2723" s="199"/>
      <c r="G2723" s="24">
        <v>1</v>
      </c>
      <c r="H2723" s="24"/>
      <c r="I2723" s="25"/>
      <c r="J2723" s="25"/>
      <c r="K2723" s="19"/>
      <c r="L2723" s="20"/>
    </row>
    <row r="2724" spans="1:12" outlineLevel="2">
      <c r="A2724" s="34"/>
      <c r="B2724" s="12" t="str">
        <f>IFERROR(VLOOKUP(D2724,'[1]Перечень товаров'!$A$2:$I9525,2,0),"")</f>
        <v>т8</v>
      </c>
      <c r="C2724" s="12" t="str">
        <f>IFERROR(VLOOKUP(D2724,'[1]Перечень товаров'!$A$2:$I9525,3,0),"")</f>
        <v xml:space="preserve">Техника </v>
      </c>
      <c r="D2724" s="35" t="s">
        <v>35</v>
      </c>
      <c r="E2724" s="199" t="s">
        <v>534</v>
      </c>
      <c r="F2724" s="199"/>
      <c r="G2724" s="24">
        <v>1</v>
      </c>
      <c r="H2724" s="24"/>
      <c r="I2724" s="25"/>
      <c r="J2724" s="25"/>
      <c r="K2724" s="19"/>
      <c r="L2724" s="20"/>
    </row>
    <row r="2725" spans="1:12" outlineLevel="2">
      <c r="A2725" s="34"/>
      <c r="B2725" s="12" t="str">
        <f>IFERROR(VLOOKUP(D2725,'[1]Перечень товаров'!$A$2:$I9525,2,0),"")</f>
        <v>т239</v>
      </c>
      <c r="C2725" s="12" t="str">
        <f>IFERROR(VLOOKUP(D2725,'[1]Перечень товаров'!$A$2:$I9525,3,0),"")</f>
        <v>Техника</v>
      </c>
      <c r="D2725" s="35" t="s">
        <v>847</v>
      </c>
      <c r="E2725" s="199" t="s">
        <v>534</v>
      </c>
      <c r="F2725" s="199"/>
      <c r="G2725" s="24">
        <v>1</v>
      </c>
      <c r="H2725" s="24"/>
      <c r="I2725" s="25"/>
      <c r="J2725" s="25"/>
      <c r="K2725" s="19"/>
      <c r="L2725" s="20"/>
    </row>
    <row r="2726" spans="1:12" outlineLevel="2">
      <c r="A2726" s="34"/>
      <c r="B2726" s="12" t="str">
        <f>IFERROR(VLOOKUP(D2726,'[1]Перечень товаров'!$A$2:$I9525,2,0),"")</f>
        <v>т240</v>
      </c>
      <c r="C2726" s="12" t="str">
        <f>IFERROR(VLOOKUP(D2726,'[1]Перечень товаров'!$A$2:$I9525,3,0),"")</f>
        <v>Техника</v>
      </c>
      <c r="D2726" s="35" t="s">
        <v>848</v>
      </c>
      <c r="E2726" s="199" t="s">
        <v>534</v>
      </c>
      <c r="F2726" s="199"/>
      <c r="G2726" s="24">
        <v>1</v>
      </c>
      <c r="H2726" s="24"/>
      <c r="I2726" s="25"/>
      <c r="J2726" s="25"/>
      <c r="K2726" s="19"/>
      <c r="L2726" s="20"/>
    </row>
    <row r="2727" spans="1:12" outlineLevel="2">
      <c r="A2727" s="34"/>
      <c r="B2727" s="12" t="str">
        <f>IFERROR(VLOOKUP(D2727,'[1]Перечень товаров'!$A$2:$I9525,2,0),"")</f>
        <v>т4</v>
      </c>
      <c r="C2727" s="12" t="str">
        <f>IFERROR(VLOOKUP(D2727,'[1]Перечень товаров'!$A$2:$I9525,3,0),"")</f>
        <v xml:space="preserve">Техника </v>
      </c>
      <c r="D2727" s="35" t="s">
        <v>31</v>
      </c>
      <c r="E2727" s="199" t="s">
        <v>534</v>
      </c>
      <c r="F2727" s="199"/>
      <c r="G2727" s="24">
        <v>1</v>
      </c>
      <c r="H2727" s="24"/>
      <c r="I2727" s="25"/>
      <c r="J2727" s="25"/>
      <c r="K2727" s="19"/>
      <c r="L2727" s="20"/>
    </row>
    <row r="2728" spans="1:12" outlineLevel="2">
      <c r="A2728" s="34"/>
      <c r="B2728" s="12" t="str">
        <f>IFERROR(VLOOKUP(D2728,'[1]Перечень товаров'!$A$2:$I9525,2,0),"")</f>
        <v>т236</v>
      </c>
      <c r="C2728" s="12" t="str">
        <f>IFERROR(VLOOKUP(D2728,'[1]Перечень товаров'!$A$2:$I9525,3,0),"")</f>
        <v>Техника</v>
      </c>
      <c r="D2728" s="35" t="s">
        <v>743</v>
      </c>
      <c r="E2728" s="199" t="s">
        <v>534</v>
      </c>
      <c r="F2728" s="199"/>
      <c r="G2728" s="24">
        <v>1</v>
      </c>
      <c r="H2728" s="24"/>
      <c r="I2728" s="25"/>
      <c r="J2728" s="25"/>
      <c r="K2728" s="19"/>
      <c r="L2728" s="20"/>
    </row>
    <row r="2729" spans="1:12" outlineLevel="2">
      <c r="A2729" s="34"/>
      <c r="B2729" s="12" t="str">
        <f>IFERROR(VLOOKUP(D2729,'[1]Перечень товаров'!$A$2:$I9525,2,0),"")</f>
        <v>т237</v>
      </c>
      <c r="C2729" s="12" t="str">
        <f>IFERROR(VLOOKUP(D2729,'[1]Перечень товаров'!$A$2:$I9525,3,0),"")</f>
        <v>Техника</v>
      </c>
      <c r="D2729" s="35" t="s">
        <v>744</v>
      </c>
      <c r="E2729" s="199" t="s">
        <v>534</v>
      </c>
      <c r="F2729" s="199"/>
      <c r="G2729" s="24">
        <v>2</v>
      </c>
      <c r="H2729" s="24"/>
      <c r="I2729" s="25"/>
      <c r="J2729" s="25"/>
      <c r="K2729" s="19"/>
      <c r="L2729" s="20"/>
    </row>
    <row r="2730" spans="1:12" ht="12.75" outlineLevel="2">
      <c r="A2730" s="197"/>
      <c r="B2730" s="12" t="str">
        <f>IFERROR(VLOOKUP(D2730,'[1]Перечень товаров'!$A$2:$I9525,2,0),"")</f>
        <v/>
      </c>
      <c r="C2730" s="12" t="str">
        <f>IFERROR(VLOOKUP(D2730,'[1]Перечень товаров'!$A$2:$I9525,3,0),"")</f>
        <v/>
      </c>
      <c r="D2730" s="198" t="s">
        <v>19</v>
      </c>
      <c r="E2730" s="200"/>
      <c r="F2730" s="200"/>
      <c r="G2730" s="100"/>
      <c r="H2730" s="100"/>
      <c r="I2730" s="101"/>
      <c r="J2730" s="101"/>
      <c r="K2730" s="19"/>
      <c r="L2730" s="20"/>
    </row>
    <row r="2731" spans="1:12" outlineLevel="2">
      <c r="A2731" s="34"/>
      <c r="B2731" s="12" t="str">
        <f>IFERROR(VLOOKUP(D2731,'[1]Перечень товаров'!$A$2:$I9525,2,0),"")</f>
        <v>м62</v>
      </c>
      <c r="C2731" s="12" t="str">
        <f>IFERROR(VLOOKUP(D2731,'[1]Перечень товаров'!$A$2:$I9525,3,0),"")</f>
        <v>Мебель</v>
      </c>
      <c r="D2731" s="35" t="s">
        <v>398</v>
      </c>
      <c r="E2731" s="199" t="s">
        <v>534</v>
      </c>
      <c r="F2731" s="199"/>
      <c r="G2731" s="24">
        <v>1</v>
      </c>
      <c r="H2731" s="24"/>
      <c r="I2731" s="25"/>
      <c r="J2731" s="25"/>
      <c r="K2731" s="19"/>
      <c r="L2731" s="20"/>
    </row>
    <row r="2732" spans="1:12" outlineLevel="2">
      <c r="A2732" s="34"/>
      <c r="B2732" s="12" t="str">
        <f>IFERROR(VLOOKUP(D2732,'[1]Перечень товаров'!$A$2:$I9525,2,0),"")</f>
        <v>м61</v>
      </c>
      <c r="C2732" s="12" t="str">
        <f>IFERROR(VLOOKUP(D2732,'[1]Перечень товаров'!$A$2:$I9525,3,0),"")</f>
        <v>Мебель</v>
      </c>
      <c r="D2732" s="35" t="s">
        <v>383</v>
      </c>
      <c r="E2732" s="199" t="s">
        <v>534</v>
      </c>
      <c r="F2732" s="199"/>
      <c r="G2732" s="24">
        <v>1</v>
      </c>
      <c r="H2732" s="24"/>
      <c r="I2732" s="25"/>
      <c r="J2732" s="25"/>
      <c r="K2732" s="19"/>
      <c r="L2732" s="20"/>
    </row>
    <row r="2733" spans="1:12" outlineLevel="2">
      <c r="A2733" s="34"/>
      <c r="B2733" s="12" t="str">
        <f>IFERROR(VLOOKUP(D2733,'[1]Перечень товаров'!$A$2:$I9525,2,0),"")</f>
        <v>м19</v>
      </c>
      <c r="C2733" s="12" t="str">
        <f>IFERROR(VLOOKUP(D2733,'[1]Перечень товаров'!$A$2:$I9525,3,0),"")</f>
        <v>Мебель</v>
      </c>
      <c r="D2733" s="35" t="s">
        <v>53</v>
      </c>
      <c r="E2733" s="199" t="s">
        <v>534</v>
      </c>
      <c r="F2733" s="199"/>
      <c r="G2733" s="24">
        <v>1</v>
      </c>
      <c r="H2733" s="24"/>
      <c r="I2733" s="25"/>
      <c r="J2733" s="25"/>
      <c r="K2733" s="19"/>
      <c r="L2733" s="20"/>
    </row>
    <row r="2734" spans="1:12" ht="31.5" outlineLevel="2">
      <c r="A2734" s="34"/>
      <c r="B2734" s="12" t="str">
        <f>IFERROR(VLOOKUP(D2734,'[1]Перечень товаров'!$A$2:$I9525,2,0),"")</f>
        <v>м211</v>
      </c>
      <c r="C2734" s="12" t="str">
        <f>IFERROR(VLOOKUP(D2734,'[1]Перечень товаров'!$A$2:$I9525,3,0),"")</f>
        <v>Мебель</v>
      </c>
      <c r="D2734" s="35" t="s">
        <v>849</v>
      </c>
      <c r="E2734" s="199" t="s">
        <v>534</v>
      </c>
      <c r="F2734" s="199"/>
      <c r="G2734" s="24">
        <v>1</v>
      </c>
      <c r="H2734" s="24"/>
      <c r="I2734" s="25"/>
      <c r="J2734" s="25"/>
      <c r="K2734" s="19"/>
      <c r="L2734" s="20"/>
    </row>
    <row r="2735" spans="1:12" outlineLevel="2">
      <c r="A2735" s="34"/>
      <c r="B2735" s="12" t="str">
        <f>IFERROR(VLOOKUP(D2735,'[1]Перечень товаров'!$A$2:$I9525,2,0),"")</f>
        <v>м212</v>
      </c>
      <c r="C2735" s="12" t="str">
        <f>IFERROR(VLOOKUP(D2735,'[1]Перечень товаров'!$A$2:$I9525,3,0),"")</f>
        <v>Мебель</v>
      </c>
      <c r="D2735" s="35" t="s">
        <v>850</v>
      </c>
      <c r="E2735" s="199" t="s">
        <v>534</v>
      </c>
      <c r="F2735" s="199"/>
      <c r="G2735" s="24">
        <v>1</v>
      </c>
      <c r="H2735" s="24"/>
      <c r="I2735" s="25"/>
      <c r="J2735" s="25"/>
      <c r="K2735" s="19"/>
      <c r="L2735" s="20"/>
    </row>
    <row r="2736" spans="1:12" outlineLevel="2">
      <c r="A2736" s="34"/>
      <c r="B2736" s="12" t="str">
        <f>IFERROR(VLOOKUP(D2736,'[1]Перечень товаров'!$A$2:$I9525,2,0),"")</f>
        <v>м213</v>
      </c>
      <c r="C2736" s="12" t="str">
        <f>IFERROR(VLOOKUP(D2736,'[1]Перечень товаров'!$A$2:$I9525,3,0),"")</f>
        <v>Мебель</v>
      </c>
      <c r="D2736" s="35" t="s">
        <v>851</v>
      </c>
      <c r="E2736" s="199" t="s">
        <v>534</v>
      </c>
      <c r="F2736" s="199"/>
      <c r="G2736" s="24">
        <v>1</v>
      </c>
      <c r="H2736" s="24"/>
      <c r="I2736" s="25"/>
      <c r="J2736" s="25"/>
      <c r="K2736" s="19"/>
      <c r="L2736" s="20"/>
    </row>
    <row r="2737" spans="1:12" outlineLevel="2">
      <c r="A2737" s="34"/>
      <c r="B2737" s="12" t="str">
        <f>IFERROR(VLOOKUP(D2737,'[1]Перечень товаров'!$A$2:$I9525,2,0),"")</f>
        <v>м214</v>
      </c>
      <c r="C2737" s="12" t="str">
        <f>IFERROR(VLOOKUP(D2737,'[1]Перечень товаров'!$A$2:$I9525,3,0),"")</f>
        <v>Мебель</v>
      </c>
      <c r="D2737" s="35" t="s">
        <v>852</v>
      </c>
      <c r="E2737" s="199" t="s">
        <v>534</v>
      </c>
      <c r="F2737" s="199"/>
      <c r="G2737" s="24">
        <v>2</v>
      </c>
      <c r="H2737" s="24"/>
      <c r="I2737" s="25"/>
      <c r="J2737" s="25"/>
      <c r="K2737" s="19"/>
      <c r="L2737" s="20"/>
    </row>
    <row r="2738" spans="1:12" outlineLevel="2">
      <c r="A2738" s="34"/>
      <c r="B2738" s="12" t="str">
        <f>IFERROR(VLOOKUP(D2738,'[1]Перечень товаров'!$A$2:$I9525,2,0),"")</f>
        <v>м215</v>
      </c>
      <c r="C2738" s="12" t="str">
        <f>IFERROR(VLOOKUP(D2738,'[1]Перечень товаров'!$A$2:$I9525,3,0),"")</f>
        <v>Мебель</v>
      </c>
      <c r="D2738" s="35" t="s">
        <v>853</v>
      </c>
      <c r="E2738" s="199" t="s">
        <v>534</v>
      </c>
      <c r="F2738" s="199"/>
      <c r="G2738" s="24">
        <v>2</v>
      </c>
      <c r="H2738" s="24"/>
      <c r="I2738" s="25"/>
      <c r="J2738" s="25"/>
      <c r="K2738" s="19"/>
      <c r="L2738" s="20"/>
    </row>
    <row r="2739" spans="1:12" outlineLevel="2">
      <c r="A2739" s="34"/>
      <c r="B2739" s="12" t="str">
        <f>IFERROR(VLOOKUP(D2739,'[1]Перечень товаров'!$A$2:$I9525,2,0),"")</f>
        <v>м216</v>
      </c>
      <c r="C2739" s="12" t="str">
        <f>IFERROR(VLOOKUP(D2739,'[1]Перечень товаров'!$A$2:$I9525,3,0),"")</f>
        <v>Мебель</v>
      </c>
      <c r="D2739" s="35" t="s">
        <v>854</v>
      </c>
      <c r="E2739" s="199" t="s">
        <v>855</v>
      </c>
      <c r="F2739" s="199"/>
      <c r="G2739" s="24">
        <v>1</v>
      </c>
      <c r="H2739" s="24"/>
      <c r="I2739" s="25"/>
      <c r="J2739" s="25"/>
      <c r="K2739" s="19"/>
      <c r="L2739" s="20"/>
    </row>
    <row r="2740" spans="1:12" outlineLevel="2">
      <c r="A2740" s="34"/>
      <c r="B2740" s="12" t="str">
        <f>IFERROR(VLOOKUP(D2740,'[1]Перечень товаров'!$A$2:$I9525,2,0),"")</f>
        <v>п97</v>
      </c>
      <c r="C2740" s="12" t="str">
        <f>IFERROR(VLOOKUP(D2740,'[1]Перечень товаров'!$A$2:$I9525,3,0),"")</f>
        <v>Прочее</v>
      </c>
      <c r="D2740" s="35" t="s">
        <v>856</v>
      </c>
      <c r="E2740" s="199" t="s">
        <v>534</v>
      </c>
      <c r="F2740" s="199"/>
      <c r="G2740" s="24">
        <v>1</v>
      </c>
      <c r="H2740" s="24"/>
      <c r="I2740" s="25"/>
      <c r="J2740" s="25"/>
      <c r="K2740" s="19"/>
      <c r="L2740" s="20"/>
    </row>
    <row r="2741" spans="1:12" ht="12.75" outlineLevel="2">
      <c r="A2741" s="197"/>
      <c r="B2741" s="12" t="str">
        <f>IFERROR(VLOOKUP(D2741,'[1]Перечень товаров'!$A$2:$I9525,2,0),"")</f>
        <v/>
      </c>
      <c r="C2741" s="12" t="str">
        <f>IFERROR(VLOOKUP(D2741,'[1]Перечень товаров'!$A$2:$I9525,3,0),"")</f>
        <v/>
      </c>
      <c r="D2741" s="198" t="s">
        <v>857</v>
      </c>
      <c r="E2741" s="200"/>
      <c r="F2741" s="200"/>
      <c r="G2741" s="100"/>
      <c r="H2741" s="100"/>
      <c r="I2741" s="101"/>
      <c r="J2741" s="101"/>
      <c r="K2741" s="19"/>
      <c r="L2741" s="20"/>
    </row>
    <row r="2742" spans="1:12" ht="31.5" outlineLevel="2">
      <c r="A2742" s="21"/>
      <c r="B2742" s="12" t="str">
        <f>IFERROR(VLOOKUP(D2742,'[1]Перечень товаров'!$A$2:$I9525,2,0),"")</f>
        <v>д71</v>
      </c>
      <c r="C2742" s="12" t="str">
        <f>IFERROR(VLOOKUP(D2742,'[1]Перечень товаров'!$A$2:$I9525,3,0),"")</f>
        <v>Дидактика</v>
      </c>
      <c r="D2742" s="22" t="s">
        <v>858</v>
      </c>
      <c r="E2742" s="102" t="s">
        <v>534</v>
      </c>
      <c r="F2742" s="102"/>
      <c r="G2742" s="24">
        <v>11</v>
      </c>
      <c r="H2742" s="24"/>
      <c r="I2742" s="25"/>
      <c r="J2742" s="25"/>
      <c r="K2742" s="19"/>
      <c r="L2742" s="20"/>
    </row>
    <row r="2743" spans="1:12" ht="31.5" outlineLevel="2">
      <c r="A2743" s="21"/>
      <c r="B2743" s="12" t="str">
        <f>IFERROR(VLOOKUP(D2743,'[1]Перечень товаров'!$A$2:$I9525,2,0),"")</f>
        <v>д72</v>
      </c>
      <c r="C2743" s="12" t="str">
        <f>IFERROR(VLOOKUP(D2743,'[1]Перечень товаров'!$A$2:$I9525,3,0),"")</f>
        <v>Дидактика</v>
      </c>
      <c r="D2743" s="22" t="s">
        <v>859</v>
      </c>
      <c r="E2743" s="102" t="s">
        <v>534</v>
      </c>
      <c r="F2743" s="102"/>
      <c r="G2743" s="24">
        <v>11</v>
      </c>
      <c r="H2743" s="24"/>
      <c r="I2743" s="25"/>
      <c r="J2743" s="25"/>
      <c r="K2743" s="19"/>
      <c r="L2743" s="20"/>
    </row>
    <row r="2744" spans="1:12" ht="31.5" outlineLevel="2">
      <c r="A2744" s="21"/>
      <c r="B2744" s="12" t="str">
        <f>IFERROR(VLOOKUP(D2744,'[1]Перечень товаров'!$A$2:$I9525,2,0),"")</f>
        <v>д73</v>
      </c>
      <c r="C2744" s="12" t="str">
        <f>IFERROR(VLOOKUP(D2744,'[1]Перечень товаров'!$A$2:$I9525,3,0),"")</f>
        <v>Дидактика</v>
      </c>
      <c r="D2744" s="22" t="s">
        <v>860</v>
      </c>
      <c r="E2744" s="102" t="s">
        <v>534</v>
      </c>
      <c r="F2744" s="102"/>
      <c r="G2744" s="24">
        <v>11</v>
      </c>
      <c r="H2744" s="24"/>
      <c r="I2744" s="25"/>
      <c r="J2744" s="25"/>
      <c r="K2744" s="19"/>
      <c r="L2744" s="20"/>
    </row>
    <row r="2745" spans="1:12" ht="31.5" outlineLevel="2">
      <c r="A2745" s="21"/>
      <c r="B2745" s="12" t="str">
        <f>IFERROR(VLOOKUP(D2745,'[1]Перечень товаров'!$A$2:$I9525,2,0),"")</f>
        <v>д74</v>
      </c>
      <c r="C2745" s="12" t="str">
        <f>IFERROR(VLOOKUP(D2745,'[1]Перечень товаров'!$A$2:$I9525,3,0),"")</f>
        <v>Дидактика</v>
      </c>
      <c r="D2745" s="22" t="s">
        <v>861</v>
      </c>
      <c r="E2745" s="102" t="s">
        <v>534</v>
      </c>
      <c r="F2745" s="102"/>
      <c r="G2745" s="24">
        <v>11</v>
      </c>
      <c r="H2745" s="24"/>
      <c r="I2745" s="25"/>
      <c r="J2745" s="25"/>
      <c r="K2745" s="19"/>
      <c r="L2745" s="20"/>
    </row>
    <row r="2746" spans="1:12" ht="47.25" outlineLevel="2">
      <c r="A2746" s="21"/>
      <c r="B2746" s="12" t="str">
        <f>IFERROR(VLOOKUP(D2746,'[1]Перечень товаров'!$A$2:$I9525,2,0),"")</f>
        <v>д75</v>
      </c>
      <c r="C2746" s="12" t="str">
        <f>IFERROR(VLOOKUP(D2746,'[1]Перечень товаров'!$A$2:$I9525,3,0),"")</f>
        <v>Дидактика</v>
      </c>
      <c r="D2746" s="22" t="s">
        <v>862</v>
      </c>
      <c r="E2746" s="102" t="s">
        <v>863</v>
      </c>
      <c r="F2746" s="102"/>
      <c r="G2746" s="24">
        <v>1</v>
      </c>
      <c r="H2746" s="24"/>
      <c r="I2746" s="25"/>
      <c r="J2746" s="25"/>
      <c r="K2746" s="19"/>
      <c r="L2746" s="20"/>
    </row>
    <row r="2747" spans="1:12" outlineLevel="2">
      <c r="A2747" s="21"/>
      <c r="B2747" s="12" t="str">
        <f>IFERROR(VLOOKUP(D2747,'[1]Перечень товаров'!$A$2:$I9525,2,0),"")</f>
        <v>д76</v>
      </c>
      <c r="C2747" s="12" t="str">
        <f>IFERROR(VLOOKUP(D2747,'[1]Перечень товаров'!$A$2:$I9525,3,0),"")</f>
        <v>Дидактика</v>
      </c>
      <c r="D2747" s="22" t="s">
        <v>864</v>
      </c>
      <c r="E2747" s="102" t="s">
        <v>863</v>
      </c>
      <c r="F2747" s="102"/>
      <c r="G2747" s="24">
        <v>1</v>
      </c>
      <c r="H2747" s="24"/>
      <c r="I2747" s="25"/>
      <c r="J2747" s="25"/>
      <c r="K2747" s="19"/>
      <c r="L2747" s="20"/>
    </row>
    <row r="2748" spans="1:12" ht="31.5" outlineLevel="2">
      <c r="A2748" s="21"/>
      <c r="B2748" s="12" t="str">
        <f>IFERROR(VLOOKUP(D2748,'[1]Перечень товаров'!$A$2:$I9525,2,0),"")</f>
        <v>т239</v>
      </c>
      <c r="C2748" s="12" t="str">
        <f>IFERROR(VLOOKUP(D2748,'[1]Перечень товаров'!$A$2:$I9525,3,0),"")</f>
        <v>Техника</v>
      </c>
      <c r="D2748" s="22" t="s">
        <v>865</v>
      </c>
      <c r="E2748" s="102" t="s">
        <v>534</v>
      </c>
      <c r="F2748" s="102"/>
      <c r="G2748" s="24">
        <v>1</v>
      </c>
      <c r="H2748" s="24"/>
      <c r="I2748" s="25"/>
      <c r="J2748" s="25"/>
      <c r="K2748" s="19"/>
      <c r="L2748" s="20"/>
    </row>
    <row r="2749" spans="1:12" ht="31.5" outlineLevel="2">
      <c r="A2749" s="21"/>
      <c r="B2749" s="12" t="str">
        <f>IFERROR(VLOOKUP(D2749,'[1]Перечень товаров'!$A$2:$I9525,2,0),"")</f>
        <v>т240</v>
      </c>
      <c r="C2749" s="12" t="str">
        <f>IFERROR(VLOOKUP(D2749,'[1]Перечень товаров'!$A$2:$I9525,3,0),"")</f>
        <v>Техника</v>
      </c>
      <c r="D2749" s="22" t="s">
        <v>866</v>
      </c>
      <c r="E2749" s="102" t="s">
        <v>534</v>
      </c>
      <c r="F2749" s="102"/>
      <c r="G2749" s="24">
        <v>1</v>
      </c>
      <c r="H2749" s="24"/>
      <c r="I2749" s="25"/>
      <c r="J2749" s="25"/>
      <c r="K2749" s="19"/>
      <c r="L2749" s="20"/>
    </row>
    <row r="2750" spans="1:12" outlineLevel="2">
      <c r="A2750" s="21"/>
      <c r="B2750" s="12" t="str">
        <f>IFERROR(VLOOKUP(D2750,'[1]Перечень товаров'!$A$2:$I9525,2,0),"")</f>
        <v>м217</v>
      </c>
      <c r="C2750" s="12" t="str">
        <f>IFERROR(VLOOKUP(D2750,'[1]Перечень товаров'!$A$2:$I9525,3,0),"")</f>
        <v>Мебель</v>
      </c>
      <c r="D2750" s="22" t="s">
        <v>867</v>
      </c>
      <c r="E2750" s="102" t="s">
        <v>863</v>
      </c>
      <c r="F2750" s="102"/>
      <c r="G2750" s="24">
        <v>1</v>
      </c>
      <c r="H2750" s="24"/>
      <c r="I2750" s="25"/>
      <c r="J2750" s="25"/>
      <c r="K2750" s="19"/>
      <c r="L2750" s="20"/>
    </row>
    <row r="2751" spans="1:12" ht="12.75" outlineLevel="1">
      <c r="A2751" s="11"/>
      <c r="B2751" s="12" t="str">
        <f>IFERROR(VLOOKUP(D2751,'[1]Перечень товаров'!$A$2:$I9525,2,0),"")</f>
        <v/>
      </c>
      <c r="C2751" s="12" t="str">
        <f>IFERROR(VLOOKUP(D2751,'[1]Перечень товаров'!$A$2:$I9525,3,0),"")</f>
        <v/>
      </c>
      <c r="D2751" s="27" t="s">
        <v>846</v>
      </c>
      <c r="E2751" s="99">
        <v>46156</v>
      </c>
      <c r="F2751" s="99"/>
      <c r="G2751" s="100"/>
      <c r="H2751" s="100"/>
      <c r="I2751" s="101"/>
      <c r="J2751" s="101"/>
      <c r="K2751" s="19"/>
      <c r="L2751" s="20"/>
    </row>
    <row r="2752" spans="1:12" ht="12.75" outlineLevel="2">
      <c r="A2752" s="197"/>
      <c r="B2752" s="12" t="str">
        <f>IFERROR(VLOOKUP(D2752,'[1]Перечень товаров'!$A$2:$I9525,2,0),"")</f>
        <v/>
      </c>
      <c r="C2752" s="12" t="str">
        <f>IFERROR(VLOOKUP(D2752,'[1]Перечень товаров'!$A$2:$I9525,3,0),"")</f>
        <v/>
      </c>
      <c r="D2752" s="198" t="s">
        <v>668</v>
      </c>
      <c r="E2752" s="107"/>
      <c r="F2752" s="107"/>
      <c r="G2752" s="100"/>
      <c r="H2752" s="100"/>
      <c r="I2752" s="101"/>
      <c r="J2752" s="101"/>
      <c r="K2752" s="19"/>
      <c r="L2752" s="20"/>
    </row>
    <row r="2753" spans="1:12" outlineLevel="2">
      <c r="A2753" s="34"/>
      <c r="B2753" s="12" t="str">
        <f>IFERROR(VLOOKUP(D2753,'[1]Перечень товаров'!$A$2:$I9525,2,0),"")</f>
        <v>т1</v>
      </c>
      <c r="C2753" s="12" t="str">
        <f>IFERROR(VLOOKUP(D2753,'[1]Перечень товаров'!$A$2:$I9525,3,0),"")</f>
        <v xml:space="preserve">Техника </v>
      </c>
      <c r="D2753" s="22" t="s">
        <v>28</v>
      </c>
      <c r="E2753" s="199" t="s">
        <v>534</v>
      </c>
      <c r="F2753" s="199"/>
      <c r="G2753" s="24">
        <v>1</v>
      </c>
      <c r="H2753" s="24"/>
      <c r="I2753" s="25"/>
      <c r="J2753" s="25"/>
      <c r="K2753" s="19"/>
      <c r="L2753" s="20"/>
    </row>
    <row r="2754" spans="1:12" outlineLevel="2">
      <c r="A2754" s="34"/>
      <c r="B2754" s="12" t="str">
        <f>IFERROR(VLOOKUP(D2754,'[1]Перечень товаров'!$A$2:$I9525,2,0),"")</f>
        <v>т235</v>
      </c>
      <c r="C2754" s="12" t="str">
        <f>IFERROR(VLOOKUP(D2754,'[1]Перечень товаров'!$A$2:$I9525,3,0),"")</f>
        <v>Техника</v>
      </c>
      <c r="D2754" s="35" t="s">
        <v>742</v>
      </c>
      <c r="E2754" s="199" t="s">
        <v>534</v>
      </c>
      <c r="F2754" s="199"/>
      <c r="G2754" s="24">
        <v>1</v>
      </c>
      <c r="H2754" s="24"/>
      <c r="I2754" s="25"/>
      <c r="J2754" s="25"/>
      <c r="K2754" s="19"/>
      <c r="L2754" s="20"/>
    </row>
    <row r="2755" spans="1:12" outlineLevel="2">
      <c r="A2755" s="34"/>
      <c r="B2755" s="12" t="str">
        <f>IFERROR(VLOOKUP(D2755,'[1]Перечень товаров'!$A$2:$I9525,2,0),"")</f>
        <v>т8</v>
      </c>
      <c r="C2755" s="12" t="str">
        <f>IFERROR(VLOOKUP(D2755,'[1]Перечень товаров'!$A$2:$I9525,3,0),"")</f>
        <v xml:space="preserve">Техника </v>
      </c>
      <c r="D2755" s="35" t="s">
        <v>35</v>
      </c>
      <c r="E2755" s="199" t="s">
        <v>534</v>
      </c>
      <c r="F2755" s="199"/>
      <c r="G2755" s="24">
        <v>1</v>
      </c>
      <c r="H2755" s="24"/>
      <c r="I2755" s="25"/>
      <c r="J2755" s="25"/>
      <c r="K2755" s="19"/>
      <c r="L2755" s="20"/>
    </row>
    <row r="2756" spans="1:12" outlineLevel="2">
      <c r="A2756" s="34"/>
      <c r="B2756" s="12" t="str">
        <f>IFERROR(VLOOKUP(D2756,'[1]Перечень товаров'!$A$2:$I9525,2,0),"")</f>
        <v>т239</v>
      </c>
      <c r="C2756" s="12" t="str">
        <f>IFERROR(VLOOKUP(D2756,'[1]Перечень товаров'!$A$2:$I9525,3,0),"")</f>
        <v>Техника</v>
      </c>
      <c r="D2756" s="35" t="s">
        <v>847</v>
      </c>
      <c r="E2756" s="199" t="s">
        <v>534</v>
      </c>
      <c r="F2756" s="199"/>
      <c r="G2756" s="24">
        <v>1</v>
      </c>
      <c r="H2756" s="24"/>
      <c r="I2756" s="25"/>
      <c r="J2756" s="25"/>
      <c r="K2756" s="19"/>
      <c r="L2756" s="20"/>
    </row>
    <row r="2757" spans="1:12" outlineLevel="2">
      <c r="A2757" s="34"/>
      <c r="B2757" s="12" t="str">
        <f>IFERROR(VLOOKUP(D2757,'[1]Перечень товаров'!$A$2:$I9525,2,0),"")</f>
        <v>т240</v>
      </c>
      <c r="C2757" s="12" t="str">
        <f>IFERROR(VLOOKUP(D2757,'[1]Перечень товаров'!$A$2:$I9525,3,0),"")</f>
        <v>Техника</v>
      </c>
      <c r="D2757" s="35" t="s">
        <v>848</v>
      </c>
      <c r="E2757" s="199" t="s">
        <v>534</v>
      </c>
      <c r="F2757" s="199"/>
      <c r="G2757" s="24">
        <v>1</v>
      </c>
      <c r="H2757" s="24"/>
      <c r="I2757" s="25"/>
      <c r="J2757" s="25"/>
      <c r="K2757" s="19"/>
      <c r="L2757" s="20"/>
    </row>
    <row r="2758" spans="1:12" outlineLevel="2">
      <c r="A2758" s="34"/>
      <c r="B2758" s="12" t="str">
        <f>IFERROR(VLOOKUP(D2758,'[1]Перечень товаров'!$A$2:$I9525,2,0),"")</f>
        <v>т4</v>
      </c>
      <c r="C2758" s="12" t="str">
        <f>IFERROR(VLOOKUP(D2758,'[1]Перечень товаров'!$A$2:$I9525,3,0),"")</f>
        <v xml:space="preserve">Техника </v>
      </c>
      <c r="D2758" s="35" t="s">
        <v>31</v>
      </c>
      <c r="E2758" s="199" t="s">
        <v>534</v>
      </c>
      <c r="F2758" s="199"/>
      <c r="G2758" s="24">
        <v>1</v>
      </c>
      <c r="H2758" s="24"/>
      <c r="I2758" s="25"/>
      <c r="J2758" s="25"/>
      <c r="K2758" s="19"/>
      <c r="L2758" s="20"/>
    </row>
    <row r="2759" spans="1:12" outlineLevel="2">
      <c r="A2759" s="34"/>
      <c r="B2759" s="12" t="str">
        <f>IFERROR(VLOOKUP(D2759,'[1]Перечень товаров'!$A$2:$I9525,2,0),"")</f>
        <v>т236</v>
      </c>
      <c r="C2759" s="12" t="str">
        <f>IFERROR(VLOOKUP(D2759,'[1]Перечень товаров'!$A$2:$I9525,3,0),"")</f>
        <v>Техника</v>
      </c>
      <c r="D2759" s="35" t="s">
        <v>743</v>
      </c>
      <c r="E2759" s="199" t="s">
        <v>534</v>
      </c>
      <c r="F2759" s="199"/>
      <c r="G2759" s="24">
        <v>1</v>
      </c>
      <c r="H2759" s="24"/>
      <c r="I2759" s="25"/>
      <c r="J2759" s="25"/>
      <c r="K2759" s="19"/>
      <c r="L2759" s="20"/>
    </row>
    <row r="2760" spans="1:12" outlineLevel="2">
      <c r="A2760" s="34"/>
      <c r="B2760" s="12" t="str">
        <f>IFERROR(VLOOKUP(D2760,'[1]Перечень товаров'!$A$2:$I9525,2,0),"")</f>
        <v>т237</v>
      </c>
      <c r="C2760" s="12" t="str">
        <f>IFERROR(VLOOKUP(D2760,'[1]Перечень товаров'!$A$2:$I9525,3,0),"")</f>
        <v>Техника</v>
      </c>
      <c r="D2760" s="35" t="s">
        <v>744</v>
      </c>
      <c r="E2760" s="199" t="s">
        <v>534</v>
      </c>
      <c r="F2760" s="199"/>
      <c r="G2760" s="24">
        <v>2</v>
      </c>
      <c r="H2760" s="24"/>
      <c r="I2760" s="25"/>
      <c r="J2760" s="25"/>
      <c r="K2760" s="19"/>
      <c r="L2760" s="20"/>
    </row>
    <row r="2761" spans="1:12" ht="12.75" outlineLevel="2">
      <c r="A2761" s="197"/>
      <c r="B2761" s="12" t="str">
        <f>IFERROR(VLOOKUP(D2761,'[1]Перечень товаров'!$A$2:$I9525,2,0),"")</f>
        <v/>
      </c>
      <c r="C2761" s="12" t="str">
        <f>IFERROR(VLOOKUP(D2761,'[1]Перечень товаров'!$A$2:$I9525,3,0),"")</f>
        <v/>
      </c>
      <c r="D2761" s="198" t="s">
        <v>19</v>
      </c>
      <c r="E2761" s="200"/>
      <c r="F2761" s="200"/>
      <c r="G2761" s="100"/>
      <c r="H2761" s="100"/>
      <c r="I2761" s="101"/>
      <c r="J2761" s="101"/>
      <c r="K2761" s="19"/>
      <c r="L2761" s="20"/>
    </row>
    <row r="2762" spans="1:12" outlineLevel="2">
      <c r="A2762" s="34"/>
      <c r="B2762" s="12" t="str">
        <f>IFERROR(VLOOKUP(D2762,'[1]Перечень товаров'!$A$2:$I9525,2,0),"")</f>
        <v>м62</v>
      </c>
      <c r="C2762" s="12" t="str">
        <f>IFERROR(VLOOKUP(D2762,'[1]Перечень товаров'!$A$2:$I9525,3,0),"")</f>
        <v>Мебель</v>
      </c>
      <c r="D2762" s="35" t="s">
        <v>398</v>
      </c>
      <c r="E2762" s="199" t="s">
        <v>534</v>
      </c>
      <c r="F2762" s="199"/>
      <c r="G2762" s="24">
        <v>1</v>
      </c>
      <c r="H2762" s="24"/>
      <c r="I2762" s="25"/>
      <c r="J2762" s="25"/>
      <c r="K2762" s="19"/>
      <c r="L2762" s="20"/>
    </row>
    <row r="2763" spans="1:12" outlineLevel="2">
      <c r="A2763" s="34"/>
      <c r="B2763" s="12" t="str">
        <f>IFERROR(VLOOKUP(D2763,'[1]Перечень товаров'!$A$2:$I9525,2,0),"")</f>
        <v>м61</v>
      </c>
      <c r="C2763" s="12" t="str">
        <f>IFERROR(VLOOKUP(D2763,'[1]Перечень товаров'!$A$2:$I9525,3,0),"")</f>
        <v>Мебель</v>
      </c>
      <c r="D2763" s="35" t="s">
        <v>383</v>
      </c>
      <c r="E2763" s="199" t="s">
        <v>534</v>
      </c>
      <c r="F2763" s="199"/>
      <c r="G2763" s="24">
        <v>1</v>
      </c>
      <c r="H2763" s="24"/>
      <c r="I2763" s="25"/>
      <c r="J2763" s="25"/>
      <c r="K2763" s="19"/>
      <c r="L2763" s="20"/>
    </row>
    <row r="2764" spans="1:12" outlineLevel="2">
      <c r="A2764" s="34"/>
      <c r="B2764" s="12" t="str">
        <f>IFERROR(VLOOKUP(D2764,'[1]Перечень товаров'!$A$2:$I9525,2,0),"")</f>
        <v>м19</v>
      </c>
      <c r="C2764" s="12" t="str">
        <f>IFERROR(VLOOKUP(D2764,'[1]Перечень товаров'!$A$2:$I9525,3,0),"")</f>
        <v>Мебель</v>
      </c>
      <c r="D2764" s="35" t="s">
        <v>53</v>
      </c>
      <c r="E2764" s="199" t="s">
        <v>534</v>
      </c>
      <c r="F2764" s="199"/>
      <c r="G2764" s="24">
        <v>1</v>
      </c>
      <c r="H2764" s="24"/>
      <c r="I2764" s="25"/>
      <c r="J2764" s="25"/>
      <c r="K2764" s="19"/>
      <c r="L2764" s="20"/>
    </row>
    <row r="2765" spans="1:12" ht="31.5" outlineLevel="2">
      <c r="A2765" s="34"/>
      <c r="B2765" s="12" t="str">
        <f>IFERROR(VLOOKUP(D2765,'[1]Перечень товаров'!$A$2:$I9525,2,0),"")</f>
        <v>м211</v>
      </c>
      <c r="C2765" s="12" t="str">
        <f>IFERROR(VLOOKUP(D2765,'[1]Перечень товаров'!$A$2:$I9525,3,0),"")</f>
        <v>Мебель</v>
      </c>
      <c r="D2765" s="35" t="s">
        <v>849</v>
      </c>
      <c r="E2765" s="199" t="s">
        <v>534</v>
      </c>
      <c r="F2765" s="199"/>
      <c r="G2765" s="24">
        <v>1</v>
      </c>
      <c r="H2765" s="24"/>
      <c r="I2765" s="25"/>
      <c r="J2765" s="25"/>
      <c r="K2765" s="19"/>
      <c r="L2765" s="20"/>
    </row>
    <row r="2766" spans="1:12" outlineLevel="2">
      <c r="A2766" s="34"/>
      <c r="B2766" s="12" t="str">
        <f>IFERROR(VLOOKUP(D2766,'[1]Перечень товаров'!$A$2:$I9525,2,0),"")</f>
        <v>м212</v>
      </c>
      <c r="C2766" s="12" t="str">
        <f>IFERROR(VLOOKUP(D2766,'[1]Перечень товаров'!$A$2:$I9525,3,0),"")</f>
        <v>Мебель</v>
      </c>
      <c r="D2766" s="35" t="s">
        <v>850</v>
      </c>
      <c r="E2766" s="199" t="s">
        <v>534</v>
      </c>
      <c r="F2766" s="199"/>
      <c r="G2766" s="24">
        <v>1</v>
      </c>
      <c r="H2766" s="24"/>
      <c r="I2766" s="25"/>
      <c r="J2766" s="25"/>
      <c r="K2766" s="19"/>
      <c r="L2766" s="20"/>
    </row>
    <row r="2767" spans="1:12" outlineLevel="2">
      <c r="A2767" s="34"/>
      <c r="B2767" s="12" t="str">
        <f>IFERROR(VLOOKUP(D2767,'[1]Перечень товаров'!$A$2:$I9525,2,0),"")</f>
        <v>м213</v>
      </c>
      <c r="C2767" s="12" t="str">
        <f>IFERROR(VLOOKUP(D2767,'[1]Перечень товаров'!$A$2:$I9525,3,0),"")</f>
        <v>Мебель</v>
      </c>
      <c r="D2767" s="35" t="s">
        <v>851</v>
      </c>
      <c r="E2767" s="199" t="s">
        <v>534</v>
      </c>
      <c r="F2767" s="199"/>
      <c r="G2767" s="24">
        <v>1</v>
      </c>
      <c r="H2767" s="24"/>
      <c r="I2767" s="25"/>
      <c r="J2767" s="25"/>
      <c r="K2767" s="19"/>
      <c r="L2767" s="20"/>
    </row>
    <row r="2768" spans="1:12" outlineLevel="2">
      <c r="A2768" s="34"/>
      <c r="B2768" s="12" t="str">
        <f>IFERROR(VLOOKUP(D2768,'[1]Перечень товаров'!$A$2:$I9525,2,0),"")</f>
        <v>м214</v>
      </c>
      <c r="C2768" s="12" t="str">
        <f>IFERROR(VLOOKUP(D2768,'[1]Перечень товаров'!$A$2:$I9525,3,0),"")</f>
        <v>Мебель</v>
      </c>
      <c r="D2768" s="35" t="s">
        <v>852</v>
      </c>
      <c r="E2768" s="199" t="s">
        <v>534</v>
      </c>
      <c r="F2768" s="199"/>
      <c r="G2768" s="24">
        <v>2</v>
      </c>
      <c r="H2768" s="24"/>
      <c r="I2768" s="25"/>
      <c r="J2768" s="25"/>
      <c r="K2768" s="19"/>
      <c r="L2768" s="20"/>
    </row>
    <row r="2769" spans="1:12" outlineLevel="2">
      <c r="A2769" s="34"/>
      <c r="B2769" s="12" t="str">
        <f>IFERROR(VLOOKUP(D2769,'[1]Перечень товаров'!$A$2:$I9525,2,0),"")</f>
        <v>м215</v>
      </c>
      <c r="C2769" s="12" t="str">
        <f>IFERROR(VLOOKUP(D2769,'[1]Перечень товаров'!$A$2:$I9525,3,0),"")</f>
        <v>Мебель</v>
      </c>
      <c r="D2769" s="35" t="s">
        <v>853</v>
      </c>
      <c r="E2769" s="199" t="s">
        <v>534</v>
      </c>
      <c r="F2769" s="199"/>
      <c r="G2769" s="24">
        <v>2</v>
      </c>
      <c r="H2769" s="24"/>
      <c r="I2769" s="25"/>
      <c r="J2769" s="25"/>
      <c r="K2769" s="19"/>
      <c r="L2769" s="20"/>
    </row>
    <row r="2770" spans="1:12" outlineLevel="2">
      <c r="A2770" s="34"/>
      <c r="B2770" s="12" t="str">
        <f>IFERROR(VLOOKUP(D2770,'[1]Перечень товаров'!$A$2:$I9525,2,0),"")</f>
        <v>м216</v>
      </c>
      <c r="C2770" s="12" t="str">
        <f>IFERROR(VLOOKUP(D2770,'[1]Перечень товаров'!$A$2:$I9525,3,0),"")</f>
        <v>Мебель</v>
      </c>
      <c r="D2770" s="35" t="s">
        <v>854</v>
      </c>
      <c r="E2770" s="199" t="s">
        <v>855</v>
      </c>
      <c r="F2770" s="199"/>
      <c r="G2770" s="24">
        <v>1</v>
      </c>
      <c r="H2770" s="24"/>
      <c r="I2770" s="25"/>
      <c r="J2770" s="25"/>
      <c r="K2770" s="19"/>
      <c r="L2770" s="20"/>
    </row>
    <row r="2771" spans="1:12" outlineLevel="2">
      <c r="A2771" s="34"/>
      <c r="B2771" s="12" t="str">
        <f>IFERROR(VLOOKUP(D2771,'[1]Перечень товаров'!$A$2:$I9525,2,0),"")</f>
        <v>п97</v>
      </c>
      <c r="C2771" s="12" t="str">
        <f>IFERROR(VLOOKUP(D2771,'[1]Перечень товаров'!$A$2:$I9525,3,0),"")</f>
        <v>Прочее</v>
      </c>
      <c r="D2771" s="35" t="s">
        <v>856</v>
      </c>
      <c r="E2771" s="199" t="s">
        <v>534</v>
      </c>
      <c r="F2771" s="199"/>
      <c r="G2771" s="24">
        <v>1</v>
      </c>
      <c r="H2771" s="24"/>
      <c r="I2771" s="25"/>
      <c r="J2771" s="25"/>
      <c r="K2771" s="19"/>
      <c r="L2771" s="20"/>
    </row>
    <row r="2772" spans="1:12" ht="12.75" outlineLevel="2">
      <c r="A2772" s="197"/>
      <c r="B2772" s="12" t="str">
        <f>IFERROR(VLOOKUP(D2772,'[1]Перечень товаров'!$A$2:$I9525,2,0),"")</f>
        <v/>
      </c>
      <c r="C2772" s="12" t="str">
        <f>IFERROR(VLOOKUP(D2772,'[1]Перечень товаров'!$A$2:$I9525,3,0),"")</f>
        <v/>
      </c>
      <c r="D2772" s="198" t="s">
        <v>857</v>
      </c>
      <c r="E2772" s="200"/>
      <c r="F2772" s="200"/>
      <c r="G2772" s="100"/>
      <c r="H2772" s="100"/>
      <c r="I2772" s="101"/>
      <c r="J2772" s="101"/>
      <c r="K2772" s="19"/>
      <c r="L2772" s="20"/>
    </row>
    <row r="2773" spans="1:12" ht="31.5" outlineLevel="2">
      <c r="A2773" s="21"/>
      <c r="B2773" s="12" t="str">
        <f>IFERROR(VLOOKUP(D2773,'[1]Перечень товаров'!$A$2:$I9525,2,0),"")</f>
        <v>д71</v>
      </c>
      <c r="C2773" s="12" t="str">
        <f>IFERROR(VLOOKUP(D2773,'[1]Перечень товаров'!$A$2:$I9525,3,0),"")</f>
        <v>Дидактика</v>
      </c>
      <c r="D2773" s="22" t="s">
        <v>858</v>
      </c>
      <c r="E2773" s="102" t="s">
        <v>534</v>
      </c>
      <c r="F2773" s="102"/>
      <c r="G2773" s="24">
        <v>11</v>
      </c>
      <c r="H2773" s="24"/>
      <c r="I2773" s="25"/>
      <c r="J2773" s="25"/>
      <c r="K2773" s="19"/>
      <c r="L2773" s="20"/>
    </row>
    <row r="2774" spans="1:12" ht="31.5" outlineLevel="2">
      <c r="A2774" s="21"/>
      <c r="B2774" s="12" t="str">
        <f>IFERROR(VLOOKUP(D2774,'[1]Перечень товаров'!$A$2:$I9525,2,0),"")</f>
        <v>д72</v>
      </c>
      <c r="C2774" s="12" t="str">
        <f>IFERROR(VLOOKUP(D2774,'[1]Перечень товаров'!$A$2:$I9525,3,0),"")</f>
        <v>Дидактика</v>
      </c>
      <c r="D2774" s="22" t="s">
        <v>859</v>
      </c>
      <c r="E2774" s="102" t="s">
        <v>534</v>
      </c>
      <c r="F2774" s="102"/>
      <c r="G2774" s="24">
        <v>11</v>
      </c>
      <c r="H2774" s="24"/>
      <c r="I2774" s="25"/>
      <c r="J2774" s="25"/>
      <c r="K2774" s="19"/>
      <c r="L2774" s="20"/>
    </row>
    <row r="2775" spans="1:12" ht="31.5" outlineLevel="2">
      <c r="A2775" s="21"/>
      <c r="B2775" s="12" t="str">
        <f>IFERROR(VLOOKUP(D2775,'[1]Перечень товаров'!$A$2:$I9525,2,0),"")</f>
        <v>д73</v>
      </c>
      <c r="C2775" s="12" t="str">
        <f>IFERROR(VLOOKUP(D2775,'[1]Перечень товаров'!$A$2:$I9525,3,0),"")</f>
        <v>Дидактика</v>
      </c>
      <c r="D2775" s="22" t="s">
        <v>860</v>
      </c>
      <c r="E2775" s="102" t="s">
        <v>534</v>
      </c>
      <c r="F2775" s="102"/>
      <c r="G2775" s="24">
        <v>11</v>
      </c>
      <c r="H2775" s="24"/>
      <c r="I2775" s="25"/>
      <c r="J2775" s="25"/>
      <c r="K2775" s="19"/>
      <c r="L2775" s="20"/>
    </row>
    <row r="2776" spans="1:12" ht="31.5" outlineLevel="2">
      <c r="A2776" s="21"/>
      <c r="B2776" s="12" t="str">
        <f>IFERROR(VLOOKUP(D2776,'[1]Перечень товаров'!$A$2:$I9525,2,0),"")</f>
        <v>д74</v>
      </c>
      <c r="C2776" s="12" t="str">
        <f>IFERROR(VLOOKUP(D2776,'[1]Перечень товаров'!$A$2:$I9525,3,0),"")</f>
        <v>Дидактика</v>
      </c>
      <c r="D2776" s="22" t="s">
        <v>861</v>
      </c>
      <c r="E2776" s="102" t="s">
        <v>534</v>
      </c>
      <c r="F2776" s="102"/>
      <c r="G2776" s="24">
        <v>11</v>
      </c>
      <c r="H2776" s="24"/>
      <c r="I2776" s="25"/>
      <c r="J2776" s="25"/>
      <c r="K2776" s="19"/>
      <c r="L2776" s="20"/>
    </row>
    <row r="2777" spans="1:12" ht="47.25" outlineLevel="2">
      <c r="A2777" s="21"/>
      <c r="B2777" s="12" t="str">
        <f>IFERROR(VLOOKUP(D2777,'[1]Перечень товаров'!$A$2:$I9525,2,0),"")</f>
        <v>д75</v>
      </c>
      <c r="C2777" s="12" t="str">
        <f>IFERROR(VLOOKUP(D2777,'[1]Перечень товаров'!$A$2:$I9525,3,0),"")</f>
        <v>Дидактика</v>
      </c>
      <c r="D2777" s="22" t="s">
        <v>862</v>
      </c>
      <c r="E2777" s="102" t="s">
        <v>863</v>
      </c>
      <c r="F2777" s="102"/>
      <c r="G2777" s="24">
        <v>1</v>
      </c>
      <c r="H2777" s="24"/>
      <c r="I2777" s="25"/>
      <c r="J2777" s="25"/>
      <c r="K2777" s="19"/>
      <c r="L2777" s="20"/>
    </row>
    <row r="2778" spans="1:12" outlineLevel="2">
      <c r="A2778" s="21"/>
      <c r="B2778" s="12" t="str">
        <f>IFERROR(VLOOKUP(D2778,'[1]Перечень товаров'!$A$2:$I9525,2,0),"")</f>
        <v>д76</v>
      </c>
      <c r="C2778" s="12" t="str">
        <f>IFERROR(VLOOKUP(D2778,'[1]Перечень товаров'!$A$2:$I9525,3,0),"")</f>
        <v>Дидактика</v>
      </c>
      <c r="D2778" s="22" t="s">
        <v>864</v>
      </c>
      <c r="E2778" s="102" t="s">
        <v>863</v>
      </c>
      <c r="F2778" s="102"/>
      <c r="G2778" s="24">
        <v>1</v>
      </c>
      <c r="H2778" s="24"/>
      <c r="I2778" s="25"/>
      <c r="J2778" s="25"/>
      <c r="K2778" s="19"/>
      <c r="L2778" s="20"/>
    </row>
    <row r="2779" spans="1:12" ht="31.5" outlineLevel="2">
      <c r="A2779" s="21"/>
      <c r="B2779" s="12" t="str">
        <f>IFERROR(VLOOKUP(D2779,'[1]Перечень товаров'!$A$2:$I9525,2,0),"")</f>
        <v>т239</v>
      </c>
      <c r="C2779" s="12" t="str">
        <f>IFERROR(VLOOKUP(D2779,'[1]Перечень товаров'!$A$2:$I9525,3,0),"")</f>
        <v>Техника</v>
      </c>
      <c r="D2779" s="22" t="s">
        <v>865</v>
      </c>
      <c r="E2779" s="102" t="s">
        <v>534</v>
      </c>
      <c r="F2779" s="102"/>
      <c r="G2779" s="24">
        <v>1</v>
      </c>
      <c r="H2779" s="24"/>
      <c r="I2779" s="25"/>
      <c r="J2779" s="25"/>
      <c r="K2779" s="19"/>
      <c r="L2779" s="20"/>
    </row>
    <row r="2780" spans="1:12" ht="31.5" outlineLevel="2">
      <c r="A2780" s="21"/>
      <c r="B2780" s="12" t="str">
        <f>IFERROR(VLOOKUP(D2780,'[1]Перечень товаров'!$A$2:$I9525,2,0),"")</f>
        <v>т240</v>
      </c>
      <c r="C2780" s="12" t="str">
        <f>IFERROR(VLOOKUP(D2780,'[1]Перечень товаров'!$A$2:$I9525,3,0),"")</f>
        <v>Техника</v>
      </c>
      <c r="D2780" s="22" t="s">
        <v>866</v>
      </c>
      <c r="E2780" s="102" t="s">
        <v>534</v>
      </c>
      <c r="F2780" s="102"/>
      <c r="G2780" s="24">
        <v>1</v>
      </c>
      <c r="H2780" s="24"/>
      <c r="I2780" s="25"/>
      <c r="J2780" s="25"/>
      <c r="K2780" s="19"/>
      <c r="L2780" s="20"/>
    </row>
    <row r="2781" spans="1:12" outlineLevel="2">
      <c r="A2781" s="21"/>
      <c r="B2781" s="12" t="str">
        <f>IFERROR(VLOOKUP(D2781,'[1]Перечень товаров'!$A$2:$I9525,2,0),"")</f>
        <v>м217</v>
      </c>
      <c r="C2781" s="12" t="str">
        <f>IFERROR(VLOOKUP(D2781,'[1]Перечень товаров'!$A$2:$I9525,3,0),"")</f>
        <v>Мебель</v>
      </c>
      <c r="D2781" s="22" t="s">
        <v>867</v>
      </c>
      <c r="E2781" s="102" t="s">
        <v>863</v>
      </c>
      <c r="F2781" s="102"/>
      <c r="G2781" s="24">
        <v>1</v>
      </c>
      <c r="H2781" s="24"/>
      <c r="I2781" s="25"/>
      <c r="J2781" s="25"/>
      <c r="K2781" s="19"/>
      <c r="L2781" s="20"/>
    </row>
    <row r="2782" spans="1:12" ht="12.75" outlineLevel="1">
      <c r="A2782" s="97"/>
      <c r="B2782" s="12" t="str">
        <f>IFERROR(VLOOKUP(D2782,'[1]Перечень товаров'!$A$2:$I9525,2,0),"")</f>
        <v/>
      </c>
      <c r="C2782" s="12" t="str">
        <f>IFERROR(VLOOKUP(D2782,'[1]Перечень товаров'!$A$2:$I9525,3,0),"")</f>
        <v/>
      </c>
      <c r="D2782" s="98" t="s">
        <v>471</v>
      </c>
      <c r="E2782" s="201">
        <v>46156</v>
      </c>
      <c r="F2782" s="201"/>
      <c r="G2782" s="17"/>
      <c r="H2782" s="17"/>
      <c r="I2782" s="57"/>
      <c r="J2782" s="57"/>
      <c r="K2782" s="19"/>
      <c r="L2782" s="20"/>
    </row>
    <row r="2783" spans="1:12" ht="12.75" outlineLevel="2">
      <c r="A2783" s="197"/>
      <c r="B2783" s="12" t="str">
        <f>IFERROR(VLOOKUP(D2783,'[1]Перечень товаров'!$A$2:$I9525,2,0),"")</f>
        <v/>
      </c>
      <c r="C2783" s="12" t="str">
        <f>IFERROR(VLOOKUP(D2783,'[1]Перечень товаров'!$A$2:$I9525,3,0),"")</f>
        <v/>
      </c>
      <c r="D2783" s="198" t="s">
        <v>19</v>
      </c>
      <c r="E2783" s="202"/>
      <c r="F2783" s="202"/>
      <c r="G2783" s="17"/>
      <c r="H2783" s="17"/>
      <c r="I2783" s="57"/>
      <c r="J2783" s="57"/>
      <c r="K2783" s="19"/>
      <c r="L2783" s="20"/>
    </row>
    <row r="2784" spans="1:12" ht="31.5" outlineLevel="2">
      <c r="A2784" s="21"/>
      <c r="B2784" s="12" t="str">
        <f>IFERROR(VLOOKUP(D2784,'[1]Перечень товаров'!$A$2:$I9525,2,0),"")</f>
        <v>м157</v>
      </c>
      <c r="C2784" s="12" t="str">
        <f>IFERROR(VLOOKUP(D2784,'[1]Перечень товаров'!$A$2:$I9525,3,0),"")</f>
        <v>Мебель</v>
      </c>
      <c r="D2784" s="22" t="s">
        <v>472</v>
      </c>
      <c r="E2784" s="102"/>
      <c r="F2784" s="102"/>
      <c r="G2784" s="48">
        <v>1</v>
      </c>
      <c r="H2784" s="48"/>
      <c r="I2784" s="49"/>
      <c r="J2784" s="49"/>
      <c r="K2784" s="19"/>
      <c r="L2784" s="20"/>
    </row>
    <row r="2785" spans="1:12" outlineLevel="2">
      <c r="A2785" s="21"/>
      <c r="B2785" s="12" t="str">
        <f>IFERROR(VLOOKUP(D2785,'[1]Перечень товаров'!$A$2:$I9525,2,0),"")</f>
        <v>м19</v>
      </c>
      <c r="C2785" s="12" t="str">
        <f>IFERROR(VLOOKUP(D2785,'[1]Перечень товаров'!$A$2:$I9525,3,0),"")</f>
        <v>Мебель</v>
      </c>
      <c r="D2785" s="22" t="s">
        <v>53</v>
      </c>
      <c r="E2785" s="102"/>
      <c r="F2785" s="102"/>
      <c r="G2785" s="48">
        <v>2</v>
      </c>
      <c r="H2785" s="48"/>
      <c r="I2785" s="49"/>
      <c r="J2785" s="49"/>
      <c r="K2785" s="19"/>
      <c r="L2785" s="20"/>
    </row>
    <row r="2786" spans="1:12" outlineLevel="2">
      <c r="A2786" s="21"/>
      <c r="B2786" s="12" t="str">
        <f>IFERROR(VLOOKUP(D2786,'[1]Перечень товаров'!$A$2:$I9525,2,0),"")</f>
        <v>м14</v>
      </c>
      <c r="C2786" s="12" t="str">
        <f>IFERROR(VLOOKUP(D2786,'[1]Перечень товаров'!$A$2:$I9525,3,0),"")</f>
        <v>Мебель</v>
      </c>
      <c r="D2786" s="22" t="s">
        <v>43</v>
      </c>
      <c r="E2786" s="102"/>
      <c r="F2786" s="102"/>
      <c r="G2786" s="48">
        <v>1</v>
      </c>
      <c r="H2786" s="48"/>
      <c r="I2786" s="49"/>
      <c r="J2786" s="49"/>
      <c r="K2786" s="19"/>
      <c r="L2786" s="20"/>
    </row>
    <row r="2787" spans="1:12" outlineLevel="2">
      <c r="A2787" s="34"/>
      <c r="B2787" s="12" t="str">
        <f>IFERROR(VLOOKUP(D2787,'[1]Перечень товаров'!$A$2:$I9525,2,0),"")</f>
        <v>м158</v>
      </c>
      <c r="C2787" s="12" t="str">
        <f>IFERROR(VLOOKUP(D2787,'[1]Перечень товаров'!$A$2:$I9525,3,0),"")</f>
        <v>Мебель</v>
      </c>
      <c r="D2787" s="35" t="s">
        <v>473</v>
      </c>
      <c r="E2787" s="102"/>
      <c r="F2787" s="102"/>
      <c r="G2787" s="48">
        <v>1</v>
      </c>
      <c r="H2787" s="48"/>
      <c r="I2787" s="49"/>
      <c r="J2787" s="49"/>
      <c r="K2787" s="19"/>
      <c r="L2787" s="20"/>
    </row>
    <row r="2788" spans="1:12" outlineLevel="2">
      <c r="A2788" s="34"/>
      <c r="B2788" s="12" t="str">
        <f>IFERROR(VLOOKUP(D2788,'[1]Перечень товаров'!$A$2:$I9525,2,0),"")</f>
        <v>м159</v>
      </c>
      <c r="C2788" s="12" t="str">
        <f>IFERROR(VLOOKUP(D2788,'[1]Перечень товаров'!$A$2:$I9525,3,0),"")</f>
        <v>Мебель</v>
      </c>
      <c r="D2788" s="35" t="s">
        <v>474</v>
      </c>
      <c r="E2788" s="102"/>
      <c r="F2788" s="102"/>
      <c r="G2788" s="48">
        <v>1</v>
      </c>
      <c r="H2788" s="48"/>
      <c r="I2788" s="49"/>
      <c r="J2788" s="49"/>
      <c r="K2788" s="19"/>
      <c r="L2788" s="20"/>
    </row>
    <row r="2789" spans="1:12" outlineLevel="2">
      <c r="A2789" s="21"/>
      <c r="B2789" s="12" t="str">
        <f>IFERROR(VLOOKUP(D2789,'[1]Перечень товаров'!$A$2:$I9525,2,0),"")</f>
        <v>м160</v>
      </c>
      <c r="C2789" s="12" t="str">
        <f>IFERROR(VLOOKUP(D2789,'[1]Перечень товаров'!$A$2:$I9525,3,0),"")</f>
        <v>Мебель</v>
      </c>
      <c r="D2789" s="22" t="s">
        <v>475</v>
      </c>
      <c r="E2789" s="102"/>
      <c r="F2789" s="102"/>
      <c r="G2789" s="48">
        <v>1</v>
      </c>
      <c r="H2789" s="48"/>
      <c r="I2789" s="49"/>
      <c r="J2789" s="49"/>
      <c r="K2789" s="19"/>
      <c r="L2789" s="20"/>
    </row>
    <row r="2790" spans="1:12" outlineLevel="2">
      <c r="A2790" s="34"/>
      <c r="B2790" s="12" t="str">
        <f>IFERROR(VLOOKUP(D2790,'[1]Перечень товаров'!$A$2:$I9525,2,0),"")</f>
        <v>т194</v>
      </c>
      <c r="C2790" s="12" t="str">
        <f>IFERROR(VLOOKUP(D2790,'[1]Перечень товаров'!$A$2:$I9525,3,0),"")</f>
        <v>Техника</v>
      </c>
      <c r="D2790" s="35" t="s">
        <v>476</v>
      </c>
      <c r="E2790" s="102"/>
      <c r="F2790" s="102"/>
      <c r="G2790" s="48">
        <v>1</v>
      </c>
      <c r="H2790" s="48"/>
      <c r="I2790" s="49"/>
      <c r="J2790" s="49"/>
      <c r="K2790" s="19"/>
      <c r="L2790" s="20"/>
    </row>
    <row r="2791" spans="1:12" ht="12.75" outlineLevel="2">
      <c r="A2791" s="197"/>
      <c r="B2791" s="12" t="str">
        <f>IFERROR(VLOOKUP(D2791,'[1]Перечень товаров'!$A$2:$I9525,2,0),"")</f>
        <v/>
      </c>
      <c r="C2791" s="12" t="str">
        <f>IFERROR(VLOOKUP(D2791,'[1]Перечень товаров'!$A$2:$I9525,3,0),"")</f>
        <v/>
      </c>
      <c r="D2791" s="198" t="s">
        <v>857</v>
      </c>
      <c r="E2791" s="202"/>
      <c r="F2791" s="202"/>
      <c r="G2791" s="141"/>
      <c r="H2791" s="141"/>
      <c r="I2791" s="142"/>
      <c r="J2791" s="142"/>
      <c r="K2791" s="19"/>
      <c r="L2791" s="20"/>
    </row>
    <row r="2792" spans="1:12" outlineLevel="2">
      <c r="A2792" s="34"/>
      <c r="B2792" s="12" t="str">
        <f>IFERROR(VLOOKUP(D2792,'[1]Перечень товаров'!$A$2:$I9525,2,0),"")</f>
        <v>т195</v>
      </c>
      <c r="C2792" s="12" t="str">
        <f>IFERROR(VLOOKUP(D2792,'[1]Перечень товаров'!$A$2:$I9525,3,0),"")</f>
        <v>Техника</v>
      </c>
      <c r="D2792" s="35" t="s">
        <v>480</v>
      </c>
      <c r="E2792" s="102"/>
      <c r="F2792" s="102"/>
      <c r="G2792" s="48">
        <v>2</v>
      </c>
      <c r="H2792" s="48"/>
      <c r="I2792" s="49"/>
      <c r="J2792" s="49"/>
      <c r="K2792" s="19"/>
      <c r="L2792" s="20"/>
    </row>
    <row r="2793" spans="1:12" outlineLevel="2">
      <c r="A2793" s="34"/>
      <c r="B2793" s="12" t="str">
        <f>IFERROR(VLOOKUP(D2793,'[1]Перечень товаров'!$A$2:$I9525,2,0),"")</f>
        <v>п36</v>
      </c>
      <c r="C2793" s="12" t="str">
        <f>IFERROR(VLOOKUP(D2793,'[1]Перечень товаров'!$A$2:$I9525,3,0),"")</f>
        <v>Прочее</v>
      </c>
      <c r="D2793" s="35" t="s">
        <v>481</v>
      </c>
      <c r="E2793" s="102"/>
      <c r="F2793" s="102"/>
      <c r="G2793" s="48">
        <v>2</v>
      </c>
      <c r="H2793" s="48"/>
      <c r="I2793" s="49"/>
      <c r="J2793" s="49"/>
      <c r="K2793" s="19"/>
      <c r="L2793" s="20"/>
    </row>
    <row r="2794" spans="1:12" ht="31.5" outlineLevel="2">
      <c r="A2794" s="34"/>
      <c r="B2794" s="12" t="str">
        <f>IFERROR(VLOOKUP(D2794,'[1]Перечень товаров'!$A$2:$I9525,2,0),"")</f>
        <v>п37</v>
      </c>
      <c r="C2794" s="12" t="str">
        <f>IFERROR(VLOOKUP(D2794,'[1]Перечень товаров'!$A$2:$I9525,3,0),"")</f>
        <v>Прочее</v>
      </c>
      <c r="D2794" s="35" t="s">
        <v>482</v>
      </c>
      <c r="E2794" s="102"/>
      <c r="F2794" s="102"/>
      <c r="G2794" s="48">
        <v>2</v>
      </c>
      <c r="H2794" s="48"/>
      <c r="I2794" s="49"/>
      <c r="J2794" s="49"/>
      <c r="K2794" s="19"/>
      <c r="L2794" s="20"/>
    </row>
    <row r="2795" spans="1:12" outlineLevel="2">
      <c r="A2795" s="34"/>
      <c r="B2795" s="12" t="str">
        <f>IFERROR(VLOOKUP(D2795,'[1]Перечень товаров'!$A$2:$I9525,2,0),"")</f>
        <v>п38</v>
      </c>
      <c r="C2795" s="12" t="str">
        <f>IFERROR(VLOOKUP(D2795,'[1]Перечень товаров'!$A$2:$I9525,3,0),"")</f>
        <v>Прочее</v>
      </c>
      <c r="D2795" s="35" t="s">
        <v>483</v>
      </c>
      <c r="E2795" s="102"/>
      <c r="F2795" s="102"/>
      <c r="G2795" s="48">
        <v>1</v>
      </c>
      <c r="H2795" s="48"/>
      <c r="I2795" s="49"/>
      <c r="J2795" s="49"/>
      <c r="K2795" s="19"/>
      <c r="L2795" s="20"/>
    </row>
    <row r="2796" spans="1:12" ht="31.5" outlineLevel="2">
      <c r="A2796" s="34"/>
      <c r="B2796" s="12" t="str">
        <f>IFERROR(VLOOKUP(D2796,'[1]Перечень товаров'!$A$2:$I9525,2,0),"")</f>
        <v>д4</v>
      </c>
      <c r="C2796" s="12" t="str">
        <f>IFERROR(VLOOKUP(D2796,'[1]Перечень товаров'!$A$2:$I9525,3,0),"")</f>
        <v>Дидактика</v>
      </c>
      <c r="D2796" s="35" t="s">
        <v>484</v>
      </c>
      <c r="E2796" s="102"/>
      <c r="F2796" s="102"/>
      <c r="G2796" s="48">
        <v>1</v>
      </c>
      <c r="H2796" s="48"/>
      <c r="I2796" s="49"/>
      <c r="J2796" s="49"/>
      <c r="K2796" s="19"/>
      <c r="L2796" s="20"/>
    </row>
    <row r="2797" spans="1:12" outlineLevel="2">
      <c r="A2797" s="34"/>
      <c r="B2797" s="12" t="str">
        <f>IFERROR(VLOOKUP(D2797,'[1]Перечень товаров'!$A$2:$I9525,2,0),"")</f>
        <v>д5</v>
      </c>
      <c r="C2797" s="12" t="str">
        <f>IFERROR(VLOOKUP(D2797,'[1]Перечень товаров'!$A$2:$I9525,3,0),"")</f>
        <v>Дидактика</v>
      </c>
      <c r="D2797" s="35" t="s">
        <v>485</v>
      </c>
      <c r="E2797" s="102"/>
      <c r="F2797" s="102"/>
      <c r="G2797" s="48">
        <v>1</v>
      </c>
      <c r="H2797" s="48"/>
      <c r="I2797" s="49"/>
      <c r="J2797" s="49"/>
      <c r="K2797" s="19"/>
      <c r="L2797" s="20"/>
    </row>
    <row r="2798" spans="1:12" outlineLevel="2">
      <c r="A2798" s="34"/>
      <c r="B2798" s="12" t="str">
        <f>IFERROR(VLOOKUP(D2798,'[1]Перечень товаров'!$A$2:$I9525,2,0),"")</f>
        <v>д6</v>
      </c>
      <c r="C2798" s="12" t="str">
        <f>IFERROR(VLOOKUP(D2798,'[1]Перечень товаров'!$A$2:$I9525,3,0),"")</f>
        <v>Дидактика</v>
      </c>
      <c r="D2798" s="35" t="s">
        <v>486</v>
      </c>
      <c r="E2798" s="102"/>
      <c r="F2798" s="102"/>
      <c r="G2798" s="48">
        <v>2</v>
      </c>
      <c r="H2798" s="48"/>
      <c r="I2798" s="49"/>
      <c r="J2798" s="49"/>
      <c r="K2798" s="19"/>
      <c r="L2798" s="20"/>
    </row>
    <row r="2799" spans="1:12" ht="31.5" outlineLevel="2">
      <c r="A2799" s="34"/>
      <c r="B2799" s="12" t="str">
        <f>IFERROR(VLOOKUP(D2799,'[1]Перечень товаров'!$A$2:$I9525,2,0),"")</f>
        <v>д7</v>
      </c>
      <c r="C2799" s="12" t="str">
        <f>IFERROR(VLOOKUP(D2799,'[1]Перечень товаров'!$A$2:$I9525,3,0),"")</f>
        <v>Дидактика</v>
      </c>
      <c r="D2799" s="35" t="s">
        <v>487</v>
      </c>
      <c r="E2799" s="102"/>
      <c r="F2799" s="102"/>
      <c r="G2799" s="48">
        <v>2</v>
      </c>
      <c r="H2799" s="48"/>
      <c r="I2799" s="49"/>
      <c r="J2799" s="49"/>
      <c r="K2799" s="19"/>
      <c r="L2799" s="20"/>
    </row>
    <row r="2800" spans="1:12" ht="31.5" outlineLevel="2">
      <c r="A2800" s="34"/>
      <c r="B2800" s="12" t="str">
        <f>IFERROR(VLOOKUP(D2800,'[1]Перечень товаров'!$A$2:$I9525,2,0),"")</f>
        <v>п39</v>
      </c>
      <c r="C2800" s="12" t="str">
        <f>IFERROR(VLOOKUP(D2800,'[1]Перечень товаров'!$A$2:$I9525,3,0),"")</f>
        <v>Прочее</v>
      </c>
      <c r="D2800" s="35" t="s">
        <v>488</v>
      </c>
      <c r="E2800" s="102"/>
      <c r="F2800" s="102"/>
      <c r="G2800" s="48">
        <v>1</v>
      </c>
      <c r="H2800" s="48"/>
      <c r="I2800" s="49"/>
      <c r="J2800" s="49"/>
      <c r="K2800" s="19"/>
      <c r="L2800" s="20"/>
    </row>
    <row r="2801" spans="1:12" ht="31.5" outlineLevel="2">
      <c r="A2801" s="34"/>
      <c r="B2801" s="12" t="str">
        <f>IFERROR(VLOOKUP(D2801,'[1]Перечень товаров'!$A$2:$I9525,2,0),"")</f>
        <v>п40</v>
      </c>
      <c r="C2801" s="12" t="str">
        <f>IFERROR(VLOOKUP(D2801,'[1]Перечень товаров'!$A$2:$I9525,3,0),"")</f>
        <v>Прочее</v>
      </c>
      <c r="D2801" s="35" t="s">
        <v>489</v>
      </c>
      <c r="E2801" s="102"/>
      <c r="F2801" s="102"/>
      <c r="G2801" s="48">
        <v>1</v>
      </c>
      <c r="H2801" s="48"/>
      <c r="I2801" s="49"/>
      <c r="J2801" s="49"/>
      <c r="K2801" s="19"/>
      <c r="L2801" s="20"/>
    </row>
    <row r="2802" spans="1:12" outlineLevel="2">
      <c r="A2802" s="34"/>
      <c r="B2802" s="12" t="str">
        <f>IFERROR(VLOOKUP(D2802,'[1]Перечень товаров'!$A$2:$I9525,2,0),"")</f>
        <v>д8</v>
      </c>
      <c r="C2802" s="12" t="str">
        <f>IFERROR(VLOOKUP(D2802,'[1]Перечень товаров'!$A$2:$I9525,3,0),"")</f>
        <v>Дидактика</v>
      </c>
      <c r="D2802" s="35" t="s">
        <v>490</v>
      </c>
      <c r="E2802" s="102"/>
      <c r="F2802" s="102"/>
      <c r="G2802" s="48">
        <v>2</v>
      </c>
      <c r="H2802" s="48"/>
      <c r="I2802" s="49"/>
      <c r="J2802" s="49"/>
      <c r="K2802" s="19"/>
      <c r="L2802" s="20"/>
    </row>
    <row r="2803" spans="1:12" outlineLevel="2">
      <c r="A2803" s="34"/>
      <c r="B2803" s="12" t="str">
        <f>IFERROR(VLOOKUP(D2803,'[1]Перечень товаров'!$A$2:$I9525,2,0),"")</f>
        <v>д9</v>
      </c>
      <c r="C2803" s="12" t="str">
        <f>IFERROR(VLOOKUP(D2803,'[1]Перечень товаров'!$A$2:$I9525,3,0),"")</f>
        <v>Дидактика</v>
      </c>
      <c r="D2803" s="35" t="s">
        <v>491</v>
      </c>
      <c r="E2803" s="102"/>
      <c r="F2803" s="102"/>
      <c r="G2803" s="48">
        <v>2</v>
      </c>
      <c r="H2803" s="48"/>
      <c r="I2803" s="49"/>
      <c r="J2803" s="49"/>
      <c r="K2803" s="19"/>
      <c r="L2803" s="20"/>
    </row>
    <row r="2804" spans="1:12" outlineLevel="2">
      <c r="A2804" s="34"/>
      <c r="B2804" s="12" t="str">
        <f>IFERROR(VLOOKUP(D2804,'[1]Перечень товаров'!$A$2:$I9525,2,0),"")</f>
        <v>п41</v>
      </c>
      <c r="C2804" s="12" t="str">
        <f>IFERROR(VLOOKUP(D2804,'[1]Перечень товаров'!$A$2:$I9525,3,0),"")</f>
        <v>Прочее</v>
      </c>
      <c r="D2804" s="35" t="s">
        <v>492</v>
      </c>
      <c r="E2804" s="102"/>
      <c r="F2804" s="102"/>
      <c r="G2804" s="48">
        <v>2</v>
      </c>
      <c r="H2804" s="48"/>
      <c r="I2804" s="49"/>
      <c r="J2804" s="49"/>
      <c r="K2804" s="19"/>
      <c r="L2804" s="20"/>
    </row>
    <row r="2805" spans="1:12" outlineLevel="2">
      <c r="A2805" s="34"/>
      <c r="B2805" s="12" t="str">
        <f>IFERROR(VLOOKUP(D2805,'[1]Перечень товаров'!$A$2:$I9525,2,0),"")</f>
        <v>п42</v>
      </c>
      <c r="C2805" s="12" t="str">
        <f>IFERROR(VLOOKUP(D2805,'[1]Перечень товаров'!$A$2:$I9525,3,0),"")</f>
        <v>Прочее</v>
      </c>
      <c r="D2805" s="35" t="s">
        <v>493</v>
      </c>
      <c r="E2805" s="102"/>
      <c r="F2805" s="102"/>
      <c r="G2805" s="48">
        <v>2</v>
      </c>
      <c r="H2805" s="48"/>
      <c r="I2805" s="49"/>
      <c r="J2805" s="49"/>
      <c r="K2805" s="19"/>
      <c r="L2805" s="20"/>
    </row>
    <row r="2806" spans="1:12" outlineLevel="2">
      <c r="A2806" s="34"/>
      <c r="B2806" s="12" t="str">
        <f>IFERROR(VLOOKUP(D2806,'[1]Перечень товаров'!$A$2:$I9525,2,0),"")</f>
        <v>д10</v>
      </c>
      <c r="C2806" s="12" t="str">
        <f>IFERROR(VLOOKUP(D2806,'[1]Перечень товаров'!$A$2:$I9525,3,0),"")</f>
        <v>Дидактика</v>
      </c>
      <c r="D2806" s="35" t="s">
        <v>494</v>
      </c>
      <c r="E2806" s="102"/>
      <c r="F2806" s="102"/>
      <c r="G2806" s="48">
        <v>3</v>
      </c>
      <c r="H2806" s="48"/>
      <c r="I2806" s="49"/>
      <c r="J2806" s="49"/>
      <c r="K2806" s="19"/>
      <c r="L2806" s="20"/>
    </row>
    <row r="2807" spans="1:12" ht="12.75" outlineLevel="1">
      <c r="A2807" s="11"/>
      <c r="B2807" s="12" t="str">
        <f>IFERROR(VLOOKUP(D2807,'[1]Перечень товаров'!$A$2:$I9525,2,0),"")</f>
        <v/>
      </c>
      <c r="C2807" s="12" t="str">
        <f>IFERROR(VLOOKUP(D2807,'[1]Перечень товаров'!$A$2:$I9525,3,0),"")</f>
        <v/>
      </c>
      <c r="D2807" s="27" t="s">
        <v>495</v>
      </c>
      <c r="E2807" s="99">
        <v>46252</v>
      </c>
      <c r="F2807" s="99"/>
      <c r="G2807" s="100"/>
      <c r="H2807" s="100"/>
      <c r="I2807" s="101"/>
      <c r="J2807" s="101"/>
      <c r="K2807" s="19"/>
      <c r="L2807" s="20"/>
    </row>
    <row r="2808" spans="1:12" ht="15" outlineLevel="2">
      <c r="A2808" s="109"/>
      <c r="B2808" s="12" t="str">
        <f>IFERROR(VLOOKUP(D2808,'[1]Перечень товаров'!$A$2:$I9525,2,0),"")</f>
        <v/>
      </c>
      <c r="C2808" s="12" t="str">
        <f>IFERROR(VLOOKUP(D2808,'[1]Перечень товаров'!$A$2:$I9525,3,0),"")</f>
        <v/>
      </c>
      <c r="D2808" s="110" t="s">
        <v>27</v>
      </c>
      <c r="E2808" s="79"/>
      <c r="F2808" s="79"/>
      <c r="G2808" s="100"/>
      <c r="H2808" s="100"/>
      <c r="I2808" s="101"/>
      <c r="J2808" s="101"/>
      <c r="K2808" s="19"/>
      <c r="L2808" s="20"/>
    </row>
    <row r="2809" spans="1:12" outlineLevel="2">
      <c r="A2809" s="34"/>
      <c r="B2809" s="12" t="str">
        <f>IFERROR(VLOOKUP(D2809,'[1]Перечень товаров'!$A$2:$I9525,2,0),"")</f>
        <v>т1</v>
      </c>
      <c r="C2809" s="12" t="str">
        <f>IFERROR(VLOOKUP(D2809,'[1]Перечень товаров'!$A$2:$I9525,3,0),"")</f>
        <v xml:space="preserve">Техника </v>
      </c>
      <c r="D2809" s="22" t="s">
        <v>28</v>
      </c>
      <c r="E2809" s="102"/>
      <c r="F2809" s="102"/>
      <c r="G2809" s="24">
        <v>2</v>
      </c>
      <c r="H2809" s="24"/>
      <c r="I2809" s="25"/>
      <c r="J2809" s="25"/>
      <c r="K2809" s="19"/>
      <c r="L2809" s="20"/>
    </row>
    <row r="2810" spans="1:12" outlineLevel="2">
      <c r="A2810" s="35"/>
      <c r="B2810" s="12" t="str">
        <f>IFERROR(VLOOKUP(D2810,'[1]Перечень товаров'!$A$2:$I9525,2,0),"")</f>
        <v>т2</v>
      </c>
      <c r="C2810" s="12" t="str">
        <f>IFERROR(VLOOKUP(D2810,'[1]Перечень товаров'!$A$2:$I9525,3,0),"")</f>
        <v xml:space="preserve">Техника </v>
      </c>
      <c r="D2810" s="35" t="s">
        <v>29</v>
      </c>
      <c r="E2810" s="102"/>
      <c r="F2810" s="102"/>
      <c r="G2810" s="24">
        <v>2</v>
      </c>
      <c r="H2810" s="24"/>
      <c r="I2810" s="25"/>
      <c r="J2810" s="25"/>
      <c r="K2810" s="19"/>
      <c r="L2810" s="20"/>
    </row>
    <row r="2811" spans="1:12" outlineLevel="2">
      <c r="A2811" s="35"/>
      <c r="B2811" s="12" t="str">
        <f>IFERROR(VLOOKUP(D2811,'[1]Перечень товаров'!$A$2:$I9525,2,0),"")</f>
        <v>т3</v>
      </c>
      <c r="C2811" s="12" t="str">
        <f>IFERROR(VLOOKUP(D2811,'[1]Перечень товаров'!$A$2:$I9525,3,0),"")</f>
        <v xml:space="preserve">Техника </v>
      </c>
      <c r="D2811" s="35" t="s">
        <v>30</v>
      </c>
      <c r="E2811" s="102"/>
      <c r="F2811" s="102"/>
      <c r="G2811" s="24">
        <v>2</v>
      </c>
      <c r="H2811" s="24"/>
      <c r="I2811" s="25"/>
      <c r="J2811" s="25"/>
      <c r="K2811" s="19"/>
      <c r="L2811" s="20"/>
    </row>
    <row r="2812" spans="1:12" outlineLevel="2">
      <c r="A2812" s="34"/>
      <c r="B2812" s="12" t="str">
        <f>IFERROR(VLOOKUP(D2812,'[1]Перечень товаров'!$A$2:$I9525,2,0),"")</f>
        <v>т8</v>
      </c>
      <c r="C2812" s="12" t="str">
        <f>IFERROR(VLOOKUP(D2812,'[1]Перечень товаров'!$A$2:$I9525,3,0),"")</f>
        <v xml:space="preserve">Техника </v>
      </c>
      <c r="D2812" s="35" t="s">
        <v>35</v>
      </c>
      <c r="E2812" s="102"/>
      <c r="F2812" s="102"/>
      <c r="G2812" s="24">
        <v>2</v>
      </c>
      <c r="H2812" s="24"/>
      <c r="I2812" s="25"/>
      <c r="J2812" s="25"/>
      <c r="K2812" s="19"/>
      <c r="L2812" s="20"/>
    </row>
    <row r="2813" spans="1:12" outlineLevel="2">
      <c r="A2813" s="35"/>
      <c r="B2813" s="12" t="str">
        <f>IFERROR(VLOOKUP(D2813,'[1]Перечень товаров'!$A$2:$I9525,2,0),"")</f>
        <v>т4</v>
      </c>
      <c r="C2813" s="12" t="str">
        <f>IFERROR(VLOOKUP(D2813,'[1]Перечень товаров'!$A$2:$I9525,3,0),"")</f>
        <v xml:space="preserve">Техника </v>
      </c>
      <c r="D2813" s="35" t="s">
        <v>31</v>
      </c>
      <c r="E2813" s="102"/>
      <c r="F2813" s="102"/>
      <c r="G2813" s="24">
        <v>2</v>
      </c>
      <c r="H2813" s="24"/>
      <c r="I2813" s="25"/>
      <c r="J2813" s="25"/>
      <c r="K2813" s="19"/>
      <c r="L2813" s="20"/>
    </row>
    <row r="2814" spans="1:12" outlineLevel="2">
      <c r="A2814" s="34"/>
      <c r="B2814" s="12" t="str">
        <f>IFERROR(VLOOKUP(D2814,'[1]Перечень товаров'!$A$2:$I9525,2,0),"")</f>
        <v>т5</v>
      </c>
      <c r="C2814" s="12" t="str">
        <f>IFERROR(VLOOKUP(D2814,'[1]Перечень товаров'!$A$2:$I9525,3,0),"")</f>
        <v xml:space="preserve">Техника </v>
      </c>
      <c r="D2814" s="35" t="s">
        <v>32</v>
      </c>
      <c r="E2814" s="102"/>
      <c r="F2814" s="102"/>
      <c r="G2814" s="24">
        <v>1</v>
      </c>
      <c r="H2814" s="24"/>
      <c r="I2814" s="25"/>
      <c r="J2814" s="25"/>
      <c r="K2814" s="19"/>
      <c r="L2814" s="20"/>
    </row>
    <row r="2815" spans="1:12" ht="31.5" outlineLevel="2">
      <c r="A2815" s="34"/>
      <c r="B2815" s="12" t="str">
        <f>IFERROR(VLOOKUP(D2815,'[1]Перечень товаров'!$A$2:$I9525,2,0),"")</f>
        <v>т196</v>
      </c>
      <c r="C2815" s="12" t="str">
        <f>IFERROR(VLOOKUP(D2815,'[1]Перечень товаров'!$A$2:$I9525,3,0),"")</f>
        <v>Техника</v>
      </c>
      <c r="D2815" s="35" t="s">
        <v>496</v>
      </c>
      <c r="E2815" s="102"/>
      <c r="F2815" s="102"/>
      <c r="G2815" s="24">
        <v>1</v>
      </c>
      <c r="H2815" s="24"/>
      <c r="I2815" s="25"/>
      <c r="J2815" s="25"/>
      <c r="K2815" s="19"/>
      <c r="L2815" s="20"/>
    </row>
    <row r="2816" spans="1:12" outlineLevel="2">
      <c r="A2816" s="35"/>
      <c r="B2816" s="12" t="str">
        <f>IFERROR(VLOOKUP(D2816,'[1]Перечень товаров'!$A$2:$I9525,2,0),"")</f>
        <v>т6</v>
      </c>
      <c r="C2816" s="12" t="str">
        <f>IFERROR(VLOOKUP(D2816,'[1]Перечень товаров'!$A$2:$I9525,3,0),"")</f>
        <v xml:space="preserve">Техника </v>
      </c>
      <c r="D2816" s="35" t="s">
        <v>33</v>
      </c>
      <c r="E2816" s="102"/>
      <c r="F2816" s="102"/>
      <c r="G2816" s="24">
        <v>2</v>
      </c>
      <c r="H2816" s="24"/>
      <c r="I2816" s="25"/>
      <c r="J2816" s="25"/>
      <c r="K2816" s="19"/>
      <c r="L2816" s="20"/>
    </row>
    <row r="2817" spans="1:12" outlineLevel="2">
      <c r="A2817" s="34"/>
      <c r="B2817" s="12" t="str">
        <f>IFERROR(VLOOKUP(D2817,'[1]Перечень товаров'!$A$2:$I9525,2,0),"")</f>
        <v>т7</v>
      </c>
      <c r="C2817" s="12" t="str">
        <f>IFERROR(VLOOKUP(D2817,'[1]Перечень товаров'!$A$2:$I9525,3,0),"")</f>
        <v xml:space="preserve">Техника </v>
      </c>
      <c r="D2817" s="35" t="s">
        <v>34</v>
      </c>
      <c r="E2817" s="102"/>
      <c r="F2817" s="102"/>
      <c r="G2817" s="24">
        <v>2</v>
      </c>
      <c r="H2817" s="24"/>
      <c r="I2817" s="25"/>
      <c r="J2817" s="25"/>
      <c r="K2817" s="19"/>
      <c r="L2817" s="20"/>
    </row>
    <row r="2818" spans="1:12" ht="15" outlineLevel="2">
      <c r="A2818" s="133"/>
      <c r="B2818" s="12" t="str">
        <f>IFERROR(VLOOKUP(D2818,'[1]Перечень товаров'!$A$2:$I9525,2,0),"")</f>
        <v/>
      </c>
      <c r="C2818" s="12" t="str">
        <f>IFERROR(VLOOKUP(D2818,'[1]Перечень товаров'!$A$2:$I9525,3,0),"")</f>
        <v/>
      </c>
      <c r="D2818" s="134" t="s">
        <v>19</v>
      </c>
      <c r="E2818" s="107"/>
      <c r="F2818" s="107"/>
      <c r="G2818" s="100"/>
      <c r="H2818" s="100"/>
      <c r="I2818" s="101"/>
      <c r="J2818" s="101"/>
      <c r="K2818" s="19"/>
      <c r="L2818" s="20"/>
    </row>
    <row r="2819" spans="1:12" ht="31.5" outlineLevel="2">
      <c r="A2819" s="34"/>
      <c r="B2819" s="12" t="str">
        <f>IFERROR(VLOOKUP(D2819,'[1]Перечень товаров'!$A$2:$I9525,2,0),"")</f>
        <v>м157</v>
      </c>
      <c r="C2819" s="12" t="str">
        <f>IFERROR(VLOOKUP(D2819,'[1]Перечень товаров'!$A$2:$I9525,3,0),"")</f>
        <v>Мебель</v>
      </c>
      <c r="D2819" s="35" t="s">
        <v>472</v>
      </c>
      <c r="E2819" s="102"/>
      <c r="F2819" s="102"/>
      <c r="G2819" s="24">
        <v>2</v>
      </c>
      <c r="H2819" s="24"/>
      <c r="I2819" s="25"/>
      <c r="J2819" s="25"/>
      <c r="K2819" s="19"/>
      <c r="L2819" s="20"/>
    </row>
    <row r="2820" spans="1:12" outlineLevel="2">
      <c r="A2820" s="34"/>
      <c r="B2820" s="12" t="str">
        <f>IFERROR(VLOOKUP(D2820,'[1]Перечень товаров'!$A$2:$I9525,2,0),"")</f>
        <v>м19</v>
      </c>
      <c r="C2820" s="12" t="str">
        <f>IFERROR(VLOOKUP(D2820,'[1]Перечень товаров'!$A$2:$I9525,3,0),"")</f>
        <v>Мебель</v>
      </c>
      <c r="D2820" s="35" t="s">
        <v>53</v>
      </c>
      <c r="E2820" s="102"/>
      <c r="F2820" s="102"/>
      <c r="G2820" s="24">
        <v>2</v>
      </c>
      <c r="H2820" s="24"/>
      <c r="I2820" s="25"/>
      <c r="J2820" s="25"/>
      <c r="K2820" s="19"/>
      <c r="L2820" s="20"/>
    </row>
    <row r="2821" spans="1:12" outlineLevel="2">
      <c r="A2821" s="34"/>
      <c r="B2821" s="12" t="str">
        <f>IFERROR(VLOOKUP(D2821,'[1]Перечень товаров'!$A$2:$I9525,2,0),"")</f>
        <v>м14</v>
      </c>
      <c r="C2821" s="12" t="str">
        <f>IFERROR(VLOOKUP(D2821,'[1]Перечень товаров'!$A$2:$I9525,3,0),"")</f>
        <v>Мебель</v>
      </c>
      <c r="D2821" s="35" t="s">
        <v>43</v>
      </c>
      <c r="E2821" s="102"/>
      <c r="F2821" s="102"/>
      <c r="G2821" s="24">
        <v>2</v>
      </c>
      <c r="H2821" s="24"/>
      <c r="I2821" s="25"/>
      <c r="J2821" s="25"/>
      <c r="K2821" s="19"/>
      <c r="L2821" s="20"/>
    </row>
    <row r="2822" spans="1:12" outlineLevel="2">
      <c r="A2822" s="34"/>
      <c r="B2822" s="12" t="str">
        <f>IFERROR(VLOOKUP(D2822,'[1]Перечень товаров'!$A$2:$I9525,2,0),"")</f>
        <v>м13</v>
      </c>
      <c r="C2822" s="12" t="str">
        <f>IFERROR(VLOOKUP(D2822,'[1]Перечень товаров'!$A$2:$I9525,3,0),"")</f>
        <v>Мебель</v>
      </c>
      <c r="D2822" s="35" t="s">
        <v>42</v>
      </c>
      <c r="E2822" s="102"/>
      <c r="F2822" s="102"/>
      <c r="G2822" s="24">
        <v>2</v>
      </c>
      <c r="H2822" s="24"/>
      <c r="I2822" s="25"/>
      <c r="J2822" s="25"/>
      <c r="K2822" s="19"/>
      <c r="L2822" s="20"/>
    </row>
    <row r="2823" spans="1:12" ht="15" outlineLevel="2">
      <c r="A2823" s="133"/>
      <c r="B2823" s="12" t="str">
        <f>IFERROR(VLOOKUP(D2823,'[1]Перечень товаров'!$A$2:$I9525,2,0),"")</f>
        <v/>
      </c>
      <c r="C2823" s="12" t="str">
        <f>IFERROR(VLOOKUP(D2823,'[1]Перечень товаров'!$A$2:$I9525,3,0),"")</f>
        <v/>
      </c>
      <c r="D2823" s="134" t="s">
        <v>479</v>
      </c>
      <c r="E2823" s="107"/>
      <c r="F2823" s="107"/>
      <c r="G2823" s="100"/>
      <c r="H2823" s="100"/>
      <c r="I2823" s="101"/>
      <c r="J2823" s="101"/>
      <c r="K2823" s="19"/>
      <c r="L2823" s="20"/>
    </row>
    <row r="2824" spans="1:12" outlineLevel="2">
      <c r="A2824" s="34"/>
      <c r="B2824" s="12" t="str">
        <f>IFERROR(VLOOKUP(D2824,'[1]Перечень товаров'!$A$2:$I9525,2,0),"")</f>
        <v>м160</v>
      </c>
      <c r="C2824" s="12" t="str">
        <f>IFERROR(VLOOKUP(D2824,'[1]Перечень товаров'!$A$2:$I9525,3,0),"")</f>
        <v>Мебель</v>
      </c>
      <c r="D2824" s="35" t="s">
        <v>475</v>
      </c>
      <c r="E2824" s="102"/>
      <c r="F2824" s="102"/>
      <c r="G2824" s="24">
        <v>1</v>
      </c>
      <c r="H2824" s="24"/>
      <c r="I2824" s="25"/>
      <c r="J2824" s="25"/>
      <c r="K2824" s="19"/>
      <c r="L2824" s="20"/>
    </row>
    <row r="2825" spans="1:12" ht="31.5" outlineLevel="2">
      <c r="A2825" s="34"/>
      <c r="B2825" s="12" t="str">
        <f>IFERROR(VLOOKUP(D2825,'[1]Перечень товаров'!$A$2:$I9525,2,0),"")</f>
        <v>п37</v>
      </c>
      <c r="C2825" s="12" t="str">
        <f>IFERROR(VLOOKUP(D2825,'[1]Перечень товаров'!$A$2:$I9525,3,0),"")</f>
        <v>Прочее</v>
      </c>
      <c r="D2825" s="35" t="s">
        <v>482</v>
      </c>
      <c r="E2825" s="102"/>
      <c r="F2825" s="102"/>
      <c r="G2825" s="24">
        <v>1</v>
      </c>
      <c r="H2825" s="24"/>
      <c r="I2825" s="25"/>
      <c r="J2825" s="25"/>
      <c r="K2825" s="19"/>
      <c r="L2825" s="20"/>
    </row>
    <row r="2826" spans="1:12" outlineLevel="2">
      <c r="A2826" s="34"/>
      <c r="B2826" s="12" t="str">
        <f>IFERROR(VLOOKUP(D2826,'[1]Перечень товаров'!$A$2:$I9525,2,0),"")</f>
        <v>п38</v>
      </c>
      <c r="C2826" s="12" t="str">
        <f>IFERROR(VLOOKUP(D2826,'[1]Перечень товаров'!$A$2:$I9525,3,0),"")</f>
        <v>Прочее</v>
      </c>
      <c r="D2826" s="35" t="s">
        <v>483</v>
      </c>
      <c r="E2826" s="102"/>
      <c r="F2826" s="102"/>
      <c r="G2826" s="24">
        <v>1</v>
      </c>
      <c r="H2826" s="24"/>
      <c r="I2826" s="25"/>
      <c r="J2826" s="25"/>
      <c r="K2826" s="19"/>
      <c r="L2826" s="20"/>
    </row>
    <row r="2827" spans="1:12" ht="31.5" outlineLevel="2">
      <c r="A2827" s="34"/>
      <c r="B2827" s="12" t="str">
        <f>IFERROR(VLOOKUP(D2827,'[1]Перечень товаров'!$A$2:$I9525,2,0),"")</f>
        <v>д4</v>
      </c>
      <c r="C2827" s="12" t="str">
        <f>IFERROR(VLOOKUP(D2827,'[1]Перечень товаров'!$A$2:$I9525,3,0),"")</f>
        <v>Дидактика</v>
      </c>
      <c r="D2827" s="35" t="s">
        <v>484</v>
      </c>
      <c r="E2827" s="102"/>
      <c r="F2827" s="102"/>
      <c r="G2827" s="24">
        <v>1</v>
      </c>
      <c r="H2827" s="24"/>
      <c r="I2827" s="25"/>
      <c r="J2827" s="25"/>
      <c r="K2827" s="19"/>
      <c r="L2827" s="20"/>
    </row>
    <row r="2828" spans="1:12" outlineLevel="2">
      <c r="A2828" s="34"/>
      <c r="B2828" s="12" t="str">
        <f>IFERROR(VLOOKUP(D2828,'[1]Перечень товаров'!$A$2:$I9525,2,0),"")</f>
        <v>п43</v>
      </c>
      <c r="C2828" s="12" t="str">
        <f>IFERROR(VLOOKUP(D2828,'[1]Перечень товаров'!$A$2:$I9525,3,0),"")</f>
        <v>Прочее</v>
      </c>
      <c r="D2828" s="35" t="s">
        <v>497</v>
      </c>
      <c r="E2828" s="102"/>
      <c r="F2828" s="102"/>
      <c r="G2828" s="24">
        <v>1</v>
      </c>
      <c r="H2828" s="24"/>
      <c r="I2828" s="25"/>
      <c r="J2828" s="25"/>
      <c r="K2828" s="19"/>
      <c r="L2828" s="20"/>
    </row>
    <row r="2829" spans="1:12" outlineLevel="2">
      <c r="A2829" s="34"/>
      <c r="B2829" s="12" t="str">
        <f>IFERROR(VLOOKUP(D2829,'[1]Перечень товаров'!$A$2:$I9525,2,0),"")</f>
        <v>п44</v>
      </c>
      <c r="C2829" s="12" t="str">
        <f>IFERROR(VLOOKUP(D2829,'[1]Перечень товаров'!$A$2:$I9525,3,0),"")</f>
        <v>Прочее</v>
      </c>
      <c r="D2829" s="35" t="s">
        <v>498</v>
      </c>
      <c r="E2829" s="102"/>
      <c r="F2829" s="102"/>
      <c r="G2829" s="24">
        <v>1</v>
      </c>
      <c r="H2829" s="24"/>
      <c r="I2829" s="25"/>
      <c r="J2829" s="25"/>
      <c r="K2829" s="19"/>
      <c r="L2829" s="20"/>
    </row>
    <row r="2830" spans="1:12" outlineLevel="2">
      <c r="A2830" s="34"/>
      <c r="B2830" s="12" t="str">
        <f>IFERROR(VLOOKUP(D2830,'[1]Перечень товаров'!$A$2:$I9525,2,0),"")</f>
        <v>п45</v>
      </c>
      <c r="C2830" s="12" t="str">
        <f>IFERROR(VLOOKUP(D2830,'[1]Перечень товаров'!$A$2:$I9525,3,0),"")</f>
        <v>Прочее</v>
      </c>
      <c r="D2830" s="35" t="s">
        <v>499</v>
      </c>
      <c r="E2830" s="102"/>
      <c r="F2830" s="102"/>
      <c r="G2830" s="24">
        <v>5</v>
      </c>
      <c r="H2830" s="24"/>
      <c r="I2830" s="25"/>
      <c r="J2830" s="25"/>
      <c r="K2830" s="19"/>
      <c r="L2830" s="20"/>
    </row>
    <row r="2831" spans="1:12" ht="12.75" outlineLevel="1">
      <c r="A2831" s="11"/>
      <c r="B2831" s="12" t="str">
        <f>IFERROR(VLOOKUP(D2831,'[1]Перечень товаров'!$A$2:$I9525,2,0),"")</f>
        <v/>
      </c>
      <c r="C2831" s="12" t="str">
        <f>IFERROR(VLOOKUP(D2831,'[1]Перечень товаров'!$A$2:$I9525,3,0),"")</f>
        <v/>
      </c>
      <c r="D2831" s="27" t="s">
        <v>868</v>
      </c>
      <c r="E2831" s="99">
        <v>46090</v>
      </c>
      <c r="F2831" s="99"/>
      <c r="G2831" s="100"/>
      <c r="H2831" s="100"/>
      <c r="I2831" s="101"/>
      <c r="J2831" s="101"/>
      <c r="K2831" s="19"/>
      <c r="L2831" s="20"/>
    </row>
    <row r="2832" spans="1:12" outlineLevel="2">
      <c r="A2832" s="21"/>
      <c r="B2832" s="12" t="str">
        <f>IFERROR(VLOOKUP(D2832,'[1]Перечень товаров'!$A$2:$I9525,2,0),"")</f>
        <v>м163</v>
      </c>
      <c r="C2832" s="12" t="str">
        <f>IFERROR(VLOOKUP(D2832,'[1]Перечень товаров'!$A$2:$I9525,3,0),"")</f>
        <v>Мебель</v>
      </c>
      <c r="D2832" s="22" t="s">
        <v>501</v>
      </c>
      <c r="E2832" s="102"/>
      <c r="F2832" s="102"/>
      <c r="G2832" s="24">
        <v>2</v>
      </c>
      <c r="H2832" s="24"/>
      <c r="I2832" s="25"/>
      <c r="J2832" s="25"/>
      <c r="K2832" s="19"/>
      <c r="L2832" s="20"/>
    </row>
    <row r="2833" spans="1:12" outlineLevel="2">
      <c r="A2833" s="21"/>
      <c r="B2833" s="12" t="str">
        <f>IFERROR(VLOOKUP(D2833,'[1]Перечень товаров'!$A$2:$I9525,2,0),"")</f>
        <v>м164</v>
      </c>
      <c r="C2833" s="12" t="str">
        <f>IFERROR(VLOOKUP(D2833,'[1]Перечень товаров'!$A$2:$I9525,3,0),"")</f>
        <v>Мебель</v>
      </c>
      <c r="D2833" s="22" t="s">
        <v>502</v>
      </c>
      <c r="E2833" s="102"/>
      <c r="F2833" s="102"/>
      <c r="G2833" s="24">
        <v>2</v>
      </c>
      <c r="H2833" s="24"/>
      <c r="I2833" s="25"/>
      <c r="J2833" s="25"/>
      <c r="K2833" s="19"/>
      <c r="L2833" s="20"/>
    </row>
    <row r="2834" spans="1:12" outlineLevel="2">
      <c r="A2834" s="21"/>
      <c r="B2834" s="12" t="str">
        <f>IFERROR(VLOOKUP(D2834,'[1]Перечень товаров'!$A$2:$I9525,2,0),"")</f>
        <v>м165</v>
      </c>
      <c r="C2834" s="12" t="str">
        <f>IFERROR(VLOOKUP(D2834,'[1]Перечень товаров'!$A$2:$I9525,3,0),"")</f>
        <v>Мебель</v>
      </c>
      <c r="D2834" s="22" t="s">
        <v>503</v>
      </c>
      <c r="E2834" s="102"/>
      <c r="F2834" s="102"/>
      <c r="G2834" s="24">
        <v>2</v>
      </c>
      <c r="H2834" s="24"/>
      <c r="I2834" s="25"/>
      <c r="J2834" s="25"/>
      <c r="K2834" s="19"/>
      <c r="L2834" s="20"/>
    </row>
    <row r="2835" spans="1:12" outlineLevel="2">
      <c r="A2835" s="21"/>
      <c r="B2835" s="12" t="str">
        <f>IFERROR(VLOOKUP(D2835,'[1]Перечень товаров'!$A$2:$I9525,2,0),"")</f>
        <v>м8</v>
      </c>
      <c r="C2835" s="12" t="str">
        <f>IFERROR(VLOOKUP(D2835,'[1]Перечень товаров'!$A$2:$I9525,3,0),"")</f>
        <v>Мебель</v>
      </c>
      <c r="D2835" s="22" t="s">
        <v>504</v>
      </c>
      <c r="E2835" s="102"/>
      <c r="F2835" s="102"/>
      <c r="G2835" s="24">
        <v>1</v>
      </c>
      <c r="H2835" s="24"/>
      <c r="I2835" s="25"/>
      <c r="J2835" s="25"/>
      <c r="K2835" s="19"/>
      <c r="L2835" s="20"/>
    </row>
    <row r="2836" spans="1:12" outlineLevel="2">
      <c r="A2836" s="21"/>
      <c r="B2836" s="12" t="str">
        <f>IFERROR(VLOOKUP(D2836,'[1]Перечень товаров'!$A$2:$I9525,2,0),"")</f>
        <v/>
      </c>
      <c r="C2836" s="12" t="str">
        <f>IFERROR(VLOOKUP(D2836,'[1]Перечень товаров'!$A$2:$I9525,3,0),"")</f>
        <v/>
      </c>
      <c r="D2836" s="22" t="s">
        <v>505</v>
      </c>
      <c r="E2836" s="102"/>
      <c r="F2836" s="102"/>
      <c r="G2836" s="24">
        <v>2</v>
      </c>
      <c r="H2836" s="24"/>
      <c r="I2836" s="25"/>
      <c r="J2836" s="25"/>
      <c r="K2836" s="19"/>
      <c r="L2836" s="20"/>
    </row>
    <row r="2837" spans="1:12" ht="31.5" outlineLevel="2">
      <c r="A2837" s="34"/>
      <c r="B2837" s="12" t="str">
        <f>IFERROR(VLOOKUP(D2837,'[1]Перечень товаров'!$A$2:$I9525,2,0),"")</f>
        <v>т196</v>
      </c>
      <c r="C2837" s="12" t="str">
        <f>IFERROR(VLOOKUP(D2837,'[1]Перечень товаров'!$A$2:$I9525,3,0),"")</f>
        <v>Техника</v>
      </c>
      <c r="D2837" s="35" t="s">
        <v>496</v>
      </c>
      <c r="E2837" s="102"/>
      <c r="F2837" s="102"/>
      <c r="G2837" s="24">
        <v>1</v>
      </c>
      <c r="H2837" s="24"/>
      <c r="I2837" s="25"/>
      <c r="J2837" s="25"/>
      <c r="K2837" s="19"/>
      <c r="L2837" s="20"/>
    </row>
    <row r="2838" spans="1:12" ht="12.75" outlineLevel="1">
      <c r="A2838" s="11"/>
      <c r="B2838" s="12" t="str">
        <f>IFERROR(VLOOKUP(D2838,'[1]Перечень товаров'!$A$2:$I9525,2,0),"")</f>
        <v/>
      </c>
      <c r="C2838" s="12" t="str">
        <f>IFERROR(VLOOKUP(D2838,'[1]Перечень товаров'!$A$2:$I9525,3,0),"")</f>
        <v/>
      </c>
      <c r="D2838" s="27" t="s">
        <v>869</v>
      </c>
      <c r="E2838" s="99">
        <v>46211</v>
      </c>
      <c r="F2838" s="99"/>
      <c r="G2838" s="100"/>
      <c r="H2838" s="100"/>
      <c r="I2838" s="101"/>
      <c r="J2838" s="101"/>
      <c r="K2838" s="19"/>
      <c r="L2838" s="20"/>
    </row>
    <row r="2839" spans="1:12" outlineLevel="2">
      <c r="A2839" s="21"/>
      <c r="B2839" s="12" t="str">
        <f>IFERROR(VLOOKUP(D2839,'[1]Перечень товаров'!$A$2:$I9525,2,0),"")</f>
        <v>м163</v>
      </c>
      <c r="C2839" s="12" t="str">
        <f>IFERROR(VLOOKUP(D2839,'[1]Перечень товаров'!$A$2:$I9525,3,0),"")</f>
        <v>Мебель</v>
      </c>
      <c r="D2839" s="22" t="s">
        <v>501</v>
      </c>
      <c r="E2839" s="102"/>
      <c r="F2839" s="102"/>
      <c r="G2839" s="24">
        <v>2</v>
      </c>
      <c r="H2839" s="24"/>
      <c r="I2839" s="25"/>
      <c r="J2839" s="25"/>
      <c r="K2839" s="19"/>
      <c r="L2839" s="20"/>
    </row>
    <row r="2840" spans="1:12" outlineLevel="2">
      <c r="A2840" s="21"/>
      <c r="B2840" s="12" t="str">
        <f>IFERROR(VLOOKUP(D2840,'[1]Перечень товаров'!$A$2:$I9525,2,0),"")</f>
        <v>м164</v>
      </c>
      <c r="C2840" s="12" t="str">
        <f>IFERROR(VLOOKUP(D2840,'[1]Перечень товаров'!$A$2:$I9525,3,0),"")</f>
        <v>Мебель</v>
      </c>
      <c r="D2840" s="22" t="s">
        <v>502</v>
      </c>
      <c r="E2840" s="102"/>
      <c r="F2840" s="102"/>
      <c r="G2840" s="24">
        <v>2</v>
      </c>
      <c r="H2840" s="24"/>
      <c r="I2840" s="25"/>
      <c r="J2840" s="25"/>
      <c r="K2840" s="19"/>
      <c r="L2840" s="20"/>
    </row>
    <row r="2841" spans="1:12" outlineLevel="2">
      <c r="A2841" s="21"/>
      <c r="B2841" s="12" t="str">
        <f>IFERROR(VLOOKUP(D2841,'[1]Перечень товаров'!$A$2:$I9525,2,0),"")</f>
        <v>м165</v>
      </c>
      <c r="C2841" s="12" t="str">
        <f>IFERROR(VLOOKUP(D2841,'[1]Перечень товаров'!$A$2:$I9525,3,0),"")</f>
        <v>Мебель</v>
      </c>
      <c r="D2841" s="22" t="s">
        <v>503</v>
      </c>
      <c r="E2841" s="102"/>
      <c r="F2841" s="102"/>
      <c r="G2841" s="24">
        <v>2</v>
      </c>
      <c r="H2841" s="24"/>
      <c r="I2841" s="25"/>
      <c r="J2841" s="25"/>
      <c r="K2841" s="19"/>
      <c r="L2841" s="20"/>
    </row>
    <row r="2842" spans="1:12" outlineLevel="2">
      <c r="A2842" s="21"/>
      <c r="B2842" s="12" t="str">
        <f>IFERROR(VLOOKUP(D2842,'[1]Перечень товаров'!$A$2:$I9525,2,0),"")</f>
        <v>м8</v>
      </c>
      <c r="C2842" s="12" t="str">
        <f>IFERROR(VLOOKUP(D2842,'[1]Перечень товаров'!$A$2:$I9525,3,0),"")</f>
        <v>Мебель</v>
      </c>
      <c r="D2842" s="22" t="s">
        <v>504</v>
      </c>
      <c r="E2842" s="102"/>
      <c r="F2842" s="102"/>
      <c r="G2842" s="24">
        <v>1</v>
      </c>
      <c r="H2842" s="24"/>
      <c r="I2842" s="25"/>
      <c r="J2842" s="25"/>
      <c r="K2842" s="19"/>
      <c r="L2842" s="20"/>
    </row>
    <row r="2843" spans="1:12" outlineLevel="2">
      <c r="A2843" s="21"/>
      <c r="B2843" s="12" t="str">
        <f>IFERROR(VLOOKUP(D2843,'[1]Перечень товаров'!$A$2:$I9525,2,0),"")</f>
        <v/>
      </c>
      <c r="C2843" s="12" t="str">
        <f>IFERROR(VLOOKUP(D2843,'[1]Перечень товаров'!$A$2:$I9525,3,0),"")</f>
        <v/>
      </c>
      <c r="D2843" s="22" t="s">
        <v>505</v>
      </c>
      <c r="E2843" s="102"/>
      <c r="F2843" s="102"/>
      <c r="G2843" s="24">
        <v>2</v>
      </c>
      <c r="H2843" s="24"/>
      <c r="I2843" s="25"/>
      <c r="J2843" s="25"/>
      <c r="K2843" s="19"/>
      <c r="L2843" s="20"/>
    </row>
    <row r="2844" spans="1:12" ht="31.5" outlineLevel="2">
      <c r="A2844" s="34"/>
      <c r="B2844" s="12" t="str">
        <f>IFERROR(VLOOKUP(D2844,'[1]Перечень товаров'!$A$2:$I9525,2,0),"")</f>
        <v>т196</v>
      </c>
      <c r="C2844" s="12" t="str">
        <f>IFERROR(VLOOKUP(D2844,'[1]Перечень товаров'!$A$2:$I9525,3,0),"")</f>
        <v>Техника</v>
      </c>
      <c r="D2844" s="35" t="s">
        <v>496</v>
      </c>
      <c r="E2844" s="102"/>
      <c r="F2844" s="102"/>
      <c r="G2844" s="24">
        <v>1</v>
      </c>
      <c r="H2844" s="24"/>
      <c r="I2844" s="25"/>
      <c r="J2844" s="25"/>
      <c r="K2844" s="19"/>
      <c r="L2844" s="20"/>
    </row>
    <row r="2845" spans="1:12" outlineLevel="1">
      <c r="A2845" s="21"/>
      <c r="B2845" s="12" t="str">
        <f>IFERROR(VLOOKUP(D2845,'[1]Перечень товаров'!$A$2:$I9525,2,0),"")</f>
        <v/>
      </c>
      <c r="C2845" s="12" t="str">
        <f>IFERROR(VLOOKUP(D2845,'[1]Перечень товаров'!$A$2:$I9525,3,0),"")</f>
        <v/>
      </c>
      <c r="D2845" s="22" t="s">
        <v>345</v>
      </c>
      <c r="E2845" s="102">
        <v>46236</v>
      </c>
      <c r="F2845" s="102"/>
      <c r="G2845" s="103"/>
      <c r="H2845" s="103"/>
      <c r="I2845" s="104"/>
      <c r="J2845" s="104"/>
      <c r="K2845" s="19"/>
      <c r="L2845" s="20"/>
    </row>
    <row r="2846" spans="1:12" outlineLevel="1">
      <c r="A2846" s="21"/>
      <c r="B2846" s="12" t="str">
        <f>IFERROR(VLOOKUP(D2846,'[1]Перечень товаров'!$A$2:$I9525,2,0),"")</f>
        <v/>
      </c>
      <c r="C2846" s="12" t="str">
        <f>IFERROR(VLOOKUP(D2846,'[1]Перечень товаров'!$A$2:$I9525,3,0),"")</f>
        <v/>
      </c>
      <c r="D2846" s="22" t="s">
        <v>311</v>
      </c>
      <c r="E2846" s="102">
        <v>46147</v>
      </c>
      <c r="F2846" s="102"/>
      <c r="G2846" s="103"/>
      <c r="H2846" s="103"/>
      <c r="I2846" s="104"/>
      <c r="J2846" s="104"/>
      <c r="K2846" s="19"/>
      <c r="L2846" s="20"/>
    </row>
    <row r="2847" spans="1:12" outlineLevel="1">
      <c r="A2847" s="21"/>
      <c r="B2847" s="12" t="str">
        <f>IFERROR(VLOOKUP(D2847,'[1]Перечень товаров'!$A$2:$I9525,2,0),"")</f>
        <v/>
      </c>
      <c r="C2847" s="12" t="str">
        <f>IFERROR(VLOOKUP(D2847,'[1]Перечень товаров'!$A$2:$I9525,3,0),"")</f>
        <v/>
      </c>
      <c r="D2847" s="22" t="s">
        <v>345</v>
      </c>
      <c r="E2847" s="102">
        <v>46024</v>
      </c>
      <c r="F2847" s="102"/>
      <c r="G2847" s="103"/>
      <c r="H2847" s="103"/>
      <c r="I2847" s="104"/>
      <c r="J2847" s="104"/>
      <c r="K2847" s="19"/>
      <c r="L2847" s="20"/>
    </row>
    <row r="2848" spans="1:12" ht="12.75" outlineLevel="1">
      <c r="A2848" s="11"/>
      <c r="B2848" s="12" t="str">
        <f>IFERROR(VLOOKUP(D2848,'[1]Перечень товаров'!$A$2:$I9525,2,0),"")</f>
        <v/>
      </c>
      <c r="C2848" s="12" t="str">
        <f>IFERROR(VLOOKUP(D2848,'[1]Перечень товаров'!$A$2:$I9525,3,0),"")</f>
        <v/>
      </c>
      <c r="D2848" s="27" t="s">
        <v>870</v>
      </c>
      <c r="E2848" s="99">
        <v>46207</v>
      </c>
      <c r="F2848" s="99"/>
      <c r="G2848" s="100"/>
      <c r="H2848" s="100"/>
      <c r="I2848" s="101"/>
      <c r="J2848" s="101"/>
      <c r="K2848" s="19"/>
      <c r="L2848" s="20"/>
    </row>
    <row r="2849" spans="1:12" outlineLevel="2">
      <c r="A2849" s="22"/>
      <c r="B2849" s="12" t="str">
        <f>IFERROR(VLOOKUP(D2849,'[1]Перечень товаров'!$A$2:$I9525,2,0),"")</f>
        <v>п25</v>
      </c>
      <c r="C2849" s="12" t="str">
        <f>IFERROR(VLOOKUP(D2849,'[1]Перечень товаров'!$A$2:$I9525,3,0),"")</f>
        <v>Прочее</v>
      </c>
      <c r="D2849" s="22" t="s">
        <v>360</v>
      </c>
      <c r="E2849" s="102"/>
      <c r="F2849" s="102"/>
      <c r="G2849" s="48">
        <v>3</v>
      </c>
      <c r="H2849" s="48"/>
      <c r="I2849" s="49"/>
      <c r="J2849" s="49"/>
      <c r="K2849" s="19"/>
      <c r="L2849" s="20"/>
    </row>
    <row r="2850" spans="1:12" outlineLevel="2">
      <c r="A2850" s="21"/>
      <c r="B2850" s="12" t="str">
        <f>IFERROR(VLOOKUP(D2850,'[1]Перечень товаров'!$A$2:$I9525,2,0),"")</f>
        <v>п26</v>
      </c>
      <c r="C2850" s="12" t="str">
        <f>IFERROR(VLOOKUP(D2850,'[1]Перечень товаров'!$A$2:$I9525,3,0),"")</f>
        <v>Прочее</v>
      </c>
      <c r="D2850" s="22" t="s">
        <v>361</v>
      </c>
      <c r="E2850" s="102"/>
      <c r="F2850" s="102"/>
      <c r="G2850" s="48">
        <v>2</v>
      </c>
      <c r="H2850" s="48"/>
      <c r="I2850" s="49"/>
      <c r="J2850" s="49"/>
      <c r="K2850" s="19"/>
      <c r="L2850" s="20"/>
    </row>
    <row r="2851" spans="1:12" outlineLevel="2">
      <c r="A2851" s="21"/>
      <c r="B2851" s="12" t="str">
        <f>IFERROR(VLOOKUP(D2851,'[1]Перечень товаров'!$A$2:$I9525,2,0),"")</f>
        <v>п27</v>
      </c>
      <c r="C2851" s="12" t="str">
        <f>IFERROR(VLOOKUP(D2851,'[1]Перечень товаров'!$A$2:$I9525,3,0),"")</f>
        <v>Прочее</v>
      </c>
      <c r="D2851" s="22" t="s">
        <v>362</v>
      </c>
      <c r="E2851" s="102"/>
      <c r="F2851" s="102"/>
      <c r="G2851" s="48">
        <v>2</v>
      </c>
      <c r="H2851" s="48"/>
      <c r="I2851" s="49"/>
      <c r="J2851" s="49"/>
      <c r="K2851" s="19"/>
      <c r="L2851" s="20"/>
    </row>
    <row r="2852" spans="1:12" outlineLevel="2">
      <c r="A2852" s="21"/>
      <c r="B2852" s="12" t="str">
        <f>IFERROR(VLOOKUP(D2852,'[1]Перечень товаров'!$A$2:$I9525,2,0),"")</f>
        <v>п28</v>
      </c>
      <c r="C2852" s="12" t="str">
        <f>IFERROR(VLOOKUP(D2852,'[1]Перечень товаров'!$A$2:$I9525,3,0),"")</f>
        <v>Прочее</v>
      </c>
      <c r="D2852" s="22" t="s">
        <v>363</v>
      </c>
      <c r="E2852" s="102"/>
      <c r="F2852" s="102"/>
      <c r="G2852" s="48">
        <v>1</v>
      </c>
      <c r="H2852" s="48"/>
      <c r="I2852" s="49"/>
      <c r="J2852" s="49"/>
      <c r="K2852" s="19"/>
      <c r="L2852" s="20"/>
    </row>
    <row r="2853" spans="1:12" outlineLevel="2">
      <c r="A2853" s="21"/>
      <c r="B2853" s="12" t="str">
        <f>IFERROR(VLOOKUP(D2853,'[1]Перечень товаров'!$A$2:$I9525,2,0),"")</f>
        <v>п29</v>
      </c>
      <c r="C2853" s="12" t="str">
        <f>IFERROR(VLOOKUP(D2853,'[1]Перечень товаров'!$A$2:$I9525,3,0),"")</f>
        <v>Прочее</v>
      </c>
      <c r="D2853" s="22" t="s">
        <v>364</v>
      </c>
      <c r="E2853" s="102"/>
      <c r="F2853" s="102"/>
      <c r="G2853" s="48">
        <v>6</v>
      </c>
      <c r="H2853" s="48"/>
      <c r="I2853" s="49"/>
      <c r="J2853" s="49"/>
      <c r="K2853" s="19"/>
      <c r="L2853" s="20"/>
    </row>
    <row r="2854" spans="1:12" outlineLevel="2">
      <c r="A2854" s="21"/>
      <c r="B2854" s="12" t="str">
        <f>IFERROR(VLOOKUP(D2854,'[1]Перечень товаров'!$A$2:$I9525,2,0),"")</f>
        <v>п30</v>
      </c>
      <c r="C2854" s="12" t="str">
        <f>IFERROR(VLOOKUP(D2854,'[1]Перечень товаров'!$A$2:$I9525,3,0),"")</f>
        <v>Прочее</v>
      </c>
      <c r="D2854" s="22" t="s">
        <v>365</v>
      </c>
      <c r="E2854" s="102"/>
      <c r="F2854" s="102"/>
      <c r="G2854" s="48">
        <v>2</v>
      </c>
      <c r="H2854" s="48"/>
      <c r="I2854" s="49"/>
      <c r="J2854" s="49"/>
      <c r="K2854" s="19"/>
      <c r="L2854" s="20"/>
    </row>
    <row r="2855" spans="1:12" ht="31.5" outlineLevel="2">
      <c r="A2855" s="21"/>
      <c r="B2855" s="12" t="str">
        <f>IFERROR(VLOOKUP(D2855,'[1]Перечень товаров'!$A$2:$I9525,2,0),"")</f>
        <v>п31</v>
      </c>
      <c r="C2855" s="12" t="str">
        <f>IFERROR(VLOOKUP(D2855,'[1]Перечень товаров'!$A$2:$I9525,3,0),"")</f>
        <v>Прочее</v>
      </c>
      <c r="D2855" s="22" t="s">
        <v>366</v>
      </c>
      <c r="E2855" s="102"/>
      <c r="F2855" s="102"/>
      <c r="G2855" s="48">
        <v>1</v>
      </c>
      <c r="H2855" s="48"/>
      <c r="I2855" s="49"/>
      <c r="J2855" s="49"/>
      <c r="K2855" s="19"/>
      <c r="L2855" s="20"/>
    </row>
    <row r="2856" spans="1:12" ht="31.5" outlineLevel="2">
      <c r="A2856" s="21"/>
      <c r="B2856" s="12" t="str">
        <f>IFERROR(VLOOKUP(D2856,'[1]Перечень товаров'!$A$2:$I9525,2,0),"")</f>
        <v>п32</v>
      </c>
      <c r="C2856" s="12" t="str">
        <f>IFERROR(VLOOKUP(D2856,'[1]Перечень товаров'!$A$2:$I9525,3,0),"")</f>
        <v>Прочее</v>
      </c>
      <c r="D2856" s="22" t="s">
        <v>367</v>
      </c>
      <c r="E2856" s="102"/>
      <c r="F2856" s="102"/>
      <c r="G2856" s="48">
        <v>2</v>
      </c>
      <c r="H2856" s="48"/>
      <c r="I2856" s="49"/>
      <c r="J2856" s="49"/>
      <c r="K2856" s="19"/>
      <c r="L2856" s="20"/>
    </row>
    <row r="2857" spans="1:12" outlineLevel="1">
      <c r="A2857" s="21"/>
      <c r="B2857" s="12" t="str">
        <f>IFERROR(VLOOKUP(D2857,'[1]Перечень товаров'!$A$2:$I9525,2,0),"")</f>
        <v/>
      </c>
      <c r="C2857" s="12" t="str">
        <f>IFERROR(VLOOKUP(D2857,'[1]Перечень товаров'!$A$2:$I9525,3,0),"")</f>
        <v/>
      </c>
      <c r="D2857" s="22" t="s">
        <v>311</v>
      </c>
      <c r="E2857" s="102">
        <v>46222</v>
      </c>
      <c r="F2857" s="102"/>
      <c r="G2857" s="103"/>
      <c r="H2857" s="103"/>
      <c r="I2857" s="104"/>
      <c r="J2857" s="104"/>
      <c r="K2857" s="19"/>
      <c r="L2857" s="20"/>
    </row>
    <row r="2858" spans="1:12" ht="12.75" outlineLevel="1">
      <c r="A2858" s="11"/>
      <c r="B2858" s="12" t="str">
        <f>IFERROR(VLOOKUP(D2858,'[1]Перечень товаров'!$A$2:$I9525,2,0),"")</f>
        <v/>
      </c>
      <c r="C2858" s="12" t="str">
        <f>IFERROR(VLOOKUP(D2858,'[1]Перечень товаров'!$A$2:$I9525,3,0),"")</f>
        <v/>
      </c>
      <c r="D2858" s="27" t="s">
        <v>521</v>
      </c>
      <c r="E2858" s="99">
        <v>46056</v>
      </c>
      <c r="F2858" s="99"/>
      <c r="G2858" s="100"/>
      <c r="H2858" s="100"/>
      <c r="I2858" s="101"/>
      <c r="J2858" s="101"/>
      <c r="K2858" s="19"/>
      <c r="L2858" s="20"/>
    </row>
    <row r="2859" spans="1:12" outlineLevel="2">
      <c r="A2859" s="22"/>
      <c r="B2859" s="12" t="str">
        <f>IFERROR(VLOOKUP(D2859,'[1]Перечень товаров'!$A$2:$I9525,2,0),"")</f>
        <v>п25</v>
      </c>
      <c r="C2859" s="12" t="str">
        <f>IFERROR(VLOOKUP(D2859,'[1]Перечень товаров'!$A$2:$I9525,3,0),"")</f>
        <v>Прочее</v>
      </c>
      <c r="D2859" s="22" t="s">
        <v>360</v>
      </c>
      <c r="E2859" s="102"/>
      <c r="F2859" s="102"/>
      <c r="G2859" s="48">
        <v>3</v>
      </c>
      <c r="H2859" s="48"/>
      <c r="I2859" s="49"/>
      <c r="J2859" s="49"/>
      <c r="K2859" s="33"/>
      <c r="L2859" s="20"/>
    </row>
    <row r="2860" spans="1:12" outlineLevel="2">
      <c r="A2860" s="21"/>
      <c r="B2860" s="12" t="str">
        <f>IFERROR(VLOOKUP(D2860,'[1]Перечень товаров'!$A$2:$I9525,2,0),"")</f>
        <v>п26</v>
      </c>
      <c r="C2860" s="12" t="str">
        <f>IFERROR(VLOOKUP(D2860,'[1]Перечень товаров'!$A$2:$I9525,3,0),"")</f>
        <v>Прочее</v>
      </c>
      <c r="D2860" s="22" t="s">
        <v>361</v>
      </c>
      <c r="E2860" s="102"/>
      <c r="F2860" s="102"/>
      <c r="G2860" s="48">
        <v>2</v>
      </c>
      <c r="H2860" s="48"/>
      <c r="I2860" s="49"/>
      <c r="J2860" s="49"/>
      <c r="K2860" s="33"/>
      <c r="L2860" s="20"/>
    </row>
    <row r="2861" spans="1:12" outlineLevel="2">
      <c r="A2861" s="21"/>
      <c r="B2861" s="12" t="str">
        <f>IFERROR(VLOOKUP(D2861,'[1]Перечень товаров'!$A$2:$I9525,2,0),"")</f>
        <v>п27</v>
      </c>
      <c r="C2861" s="12" t="str">
        <f>IFERROR(VLOOKUP(D2861,'[1]Перечень товаров'!$A$2:$I9525,3,0),"")</f>
        <v>Прочее</v>
      </c>
      <c r="D2861" s="22" t="s">
        <v>362</v>
      </c>
      <c r="E2861" s="102"/>
      <c r="F2861" s="102"/>
      <c r="G2861" s="48">
        <v>2</v>
      </c>
      <c r="H2861" s="48"/>
      <c r="I2861" s="49"/>
      <c r="J2861" s="49"/>
      <c r="K2861" s="33"/>
      <c r="L2861" s="20"/>
    </row>
    <row r="2862" spans="1:12" outlineLevel="2">
      <c r="A2862" s="21"/>
      <c r="B2862" s="12" t="str">
        <f>IFERROR(VLOOKUP(D2862,'[1]Перечень товаров'!$A$2:$I9525,2,0),"")</f>
        <v>п28</v>
      </c>
      <c r="C2862" s="12" t="str">
        <f>IFERROR(VLOOKUP(D2862,'[1]Перечень товаров'!$A$2:$I9525,3,0),"")</f>
        <v>Прочее</v>
      </c>
      <c r="D2862" s="22" t="s">
        <v>363</v>
      </c>
      <c r="E2862" s="102"/>
      <c r="F2862" s="102"/>
      <c r="G2862" s="48">
        <v>1</v>
      </c>
      <c r="H2862" s="48"/>
      <c r="I2862" s="49"/>
      <c r="J2862" s="49"/>
      <c r="K2862" s="33"/>
      <c r="L2862" s="20"/>
    </row>
    <row r="2863" spans="1:12" outlineLevel="2">
      <c r="A2863" s="21"/>
      <c r="B2863" s="12" t="str">
        <f>IFERROR(VLOOKUP(D2863,'[1]Перечень товаров'!$A$2:$I9525,2,0),"")</f>
        <v>п29</v>
      </c>
      <c r="C2863" s="12" t="str">
        <f>IFERROR(VLOOKUP(D2863,'[1]Перечень товаров'!$A$2:$I9525,3,0),"")</f>
        <v>Прочее</v>
      </c>
      <c r="D2863" s="22" t="s">
        <v>364</v>
      </c>
      <c r="E2863" s="102"/>
      <c r="F2863" s="102"/>
      <c r="G2863" s="48">
        <v>6</v>
      </c>
      <c r="H2863" s="48"/>
      <c r="I2863" s="49"/>
      <c r="J2863" s="49"/>
      <c r="K2863" s="33"/>
      <c r="L2863" s="20"/>
    </row>
    <row r="2864" spans="1:12" outlineLevel="2">
      <c r="A2864" s="21"/>
      <c r="B2864" s="12" t="str">
        <f>IFERROR(VLOOKUP(D2864,'[1]Перечень товаров'!$A$2:$I9525,2,0),"")</f>
        <v>п30</v>
      </c>
      <c r="C2864" s="12" t="str">
        <f>IFERROR(VLOOKUP(D2864,'[1]Перечень товаров'!$A$2:$I9525,3,0),"")</f>
        <v>Прочее</v>
      </c>
      <c r="D2864" s="22" t="s">
        <v>365</v>
      </c>
      <c r="E2864" s="102"/>
      <c r="F2864" s="102"/>
      <c r="G2864" s="48">
        <v>2</v>
      </c>
      <c r="H2864" s="48"/>
      <c r="I2864" s="49"/>
      <c r="J2864" s="49"/>
      <c r="K2864" s="33"/>
      <c r="L2864" s="20"/>
    </row>
    <row r="2865" spans="1:12" ht="31.5" outlineLevel="2">
      <c r="A2865" s="21"/>
      <c r="B2865" s="12" t="str">
        <f>IFERROR(VLOOKUP(D2865,'[1]Перечень товаров'!$A$2:$I9525,2,0),"")</f>
        <v>п31</v>
      </c>
      <c r="C2865" s="12" t="str">
        <f>IFERROR(VLOOKUP(D2865,'[1]Перечень товаров'!$A$2:$I9525,3,0),"")</f>
        <v>Прочее</v>
      </c>
      <c r="D2865" s="22" t="s">
        <v>366</v>
      </c>
      <c r="E2865" s="102"/>
      <c r="F2865" s="102"/>
      <c r="G2865" s="48">
        <v>1</v>
      </c>
      <c r="H2865" s="48"/>
      <c r="I2865" s="49"/>
      <c r="J2865" s="49"/>
      <c r="K2865" s="33"/>
      <c r="L2865" s="20"/>
    </row>
    <row r="2866" spans="1:12" ht="31.5" outlineLevel="2">
      <c r="A2866" s="21"/>
      <c r="B2866" s="12" t="str">
        <f>IFERROR(VLOOKUP(D2866,'[1]Перечень товаров'!$A$2:$I9525,2,0),"")</f>
        <v>п32</v>
      </c>
      <c r="C2866" s="12" t="str">
        <f>IFERROR(VLOOKUP(D2866,'[1]Перечень товаров'!$A$2:$I9525,3,0),"")</f>
        <v>Прочее</v>
      </c>
      <c r="D2866" s="22" t="s">
        <v>367</v>
      </c>
      <c r="E2866" s="102"/>
      <c r="F2866" s="102"/>
      <c r="G2866" s="48">
        <v>2</v>
      </c>
      <c r="H2866" s="48"/>
      <c r="I2866" s="49"/>
      <c r="J2866" s="49"/>
      <c r="K2866" s="33"/>
      <c r="L2866" s="20"/>
    </row>
    <row r="2867" spans="1:12" ht="12.75" outlineLevel="1">
      <c r="A2867" s="11"/>
      <c r="B2867" s="12" t="str">
        <f>IFERROR(VLOOKUP(D2867,'[1]Перечень товаров'!$A$2:$I9525,2,0),"")</f>
        <v/>
      </c>
      <c r="C2867" s="12" t="str">
        <f>IFERROR(VLOOKUP(D2867,'[1]Перечень товаров'!$A$2:$I9525,3,0),"")</f>
        <v/>
      </c>
      <c r="D2867" s="27" t="s">
        <v>871</v>
      </c>
      <c r="E2867" s="99">
        <v>46128</v>
      </c>
      <c r="F2867" s="99"/>
      <c r="G2867" s="100"/>
      <c r="H2867" s="100"/>
      <c r="I2867" s="101"/>
      <c r="J2867" s="101"/>
      <c r="K2867" s="19"/>
      <c r="L2867" s="20"/>
    </row>
    <row r="2868" spans="1:12" outlineLevel="2">
      <c r="A2868" s="22"/>
      <c r="B2868" s="12" t="str">
        <f>IFERROR(VLOOKUP(D2868,'[1]Перечень товаров'!$A$2:$I9525,2,0),"")</f>
        <v>м14</v>
      </c>
      <c r="C2868" s="12" t="str">
        <f>IFERROR(VLOOKUP(D2868,'[1]Перечень товаров'!$A$2:$I9525,3,0),"")</f>
        <v>Мебель</v>
      </c>
      <c r="D2868" s="22" t="s">
        <v>43</v>
      </c>
      <c r="E2868" s="203"/>
      <c r="F2868" s="203"/>
      <c r="G2868" s="24">
        <v>1</v>
      </c>
      <c r="H2868" s="24"/>
      <c r="I2868" s="25"/>
      <c r="J2868" s="25"/>
      <c r="K2868" s="19"/>
      <c r="L2868" s="20"/>
    </row>
    <row r="2869" spans="1:12" outlineLevel="2">
      <c r="A2869" s="21"/>
      <c r="B2869" s="12" t="str">
        <f>IFERROR(VLOOKUP(D2869,'[1]Перечень товаров'!$A$2:$I9525,2,0),"")</f>
        <v>м167</v>
      </c>
      <c r="C2869" s="12" t="str">
        <f>IFERROR(VLOOKUP(D2869,'[1]Перечень товаров'!$A$2:$I9525,3,0),"")</f>
        <v>Мебель</v>
      </c>
      <c r="D2869" s="22" t="s">
        <v>508</v>
      </c>
      <c r="E2869" s="203"/>
      <c r="F2869" s="203"/>
      <c r="G2869" s="24">
        <v>1</v>
      </c>
      <c r="H2869" s="24"/>
      <c r="I2869" s="25"/>
      <c r="J2869" s="25"/>
      <c r="K2869" s="19"/>
      <c r="L2869" s="20"/>
    </row>
    <row r="2870" spans="1:12" outlineLevel="2">
      <c r="A2870" s="21"/>
      <c r="B2870" s="12" t="str">
        <f>IFERROR(VLOOKUP(D2870,'[1]Перечень товаров'!$A$2:$I9525,2,0),"")</f>
        <v>м218</v>
      </c>
      <c r="C2870" s="12" t="str">
        <f>IFERROR(VLOOKUP(D2870,'[1]Перечень товаров'!$A$2:$I9525,3,0),"")</f>
        <v>Мебель</v>
      </c>
      <c r="D2870" s="22" t="s">
        <v>872</v>
      </c>
      <c r="E2870" s="203"/>
      <c r="F2870" s="203"/>
      <c r="G2870" s="24">
        <v>2</v>
      </c>
      <c r="H2870" s="24"/>
      <c r="I2870" s="25"/>
      <c r="J2870" s="25"/>
      <c r="K2870" s="19"/>
      <c r="L2870" s="20"/>
    </row>
    <row r="2871" spans="1:12" outlineLevel="2">
      <c r="A2871" s="21"/>
      <c r="B2871" s="12" t="str">
        <f>IFERROR(VLOOKUP(D2871,'[1]Перечень товаров'!$A$2:$I9525,2,0),"")</f>
        <v>м219</v>
      </c>
      <c r="C2871" s="12" t="str">
        <f>IFERROR(VLOOKUP(D2871,'[1]Перечень товаров'!$A$2:$I9525,3,0),"")</f>
        <v>Мебель</v>
      </c>
      <c r="D2871" s="22" t="s">
        <v>873</v>
      </c>
      <c r="E2871" s="203"/>
      <c r="F2871" s="203"/>
      <c r="G2871" s="24">
        <v>4</v>
      </c>
      <c r="H2871" s="24"/>
      <c r="I2871" s="25"/>
      <c r="J2871" s="25"/>
      <c r="K2871" s="19"/>
      <c r="L2871" s="20"/>
    </row>
    <row r="2872" spans="1:12" outlineLevel="2">
      <c r="A2872" s="21"/>
      <c r="B2872" s="12" t="str">
        <f>IFERROR(VLOOKUP(D2872,'[1]Перечень товаров'!$A$2:$I9525,2,0),"")</f>
        <v>м220</v>
      </c>
      <c r="C2872" s="12" t="str">
        <f>IFERROR(VLOOKUP(D2872,'[1]Перечень товаров'!$A$2:$I9525,3,0),"")</f>
        <v>Мебель</v>
      </c>
      <c r="D2872" s="22" t="s">
        <v>874</v>
      </c>
      <c r="E2872" s="203"/>
      <c r="F2872" s="203"/>
      <c r="G2872" s="24">
        <v>1</v>
      </c>
      <c r="H2872" s="24"/>
      <c r="I2872" s="25"/>
      <c r="J2872" s="25"/>
      <c r="K2872" s="19"/>
      <c r="L2872" s="20"/>
    </row>
    <row r="2873" spans="1:12" outlineLevel="2">
      <c r="A2873" s="21"/>
      <c r="B2873" s="12" t="str">
        <f>IFERROR(VLOOKUP(D2873,'[1]Перечень товаров'!$A$2:$I9525,2,0),"")</f>
        <v>тм77</v>
      </c>
      <c r="C2873" s="12" t="str">
        <f>IFERROR(VLOOKUP(D2873,'[1]Перечень товаров'!$A$2:$I9525,3,0),"")</f>
        <v>Техника муз</v>
      </c>
      <c r="D2873" s="22" t="s">
        <v>875</v>
      </c>
      <c r="E2873" s="203"/>
      <c r="F2873" s="203"/>
      <c r="G2873" s="24">
        <v>1</v>
      </c>
      <c r="H2873" s="24"/>
      <c r="I2873" s="25"/>
      <c r="J2873" s="25"/>
      <c r="K2873" s="19"/>
      <c r="L2873" s="20"/>
    </row>
    <row r="2874" spans="1:12" outlineLevel="2">
      <c r="A2874" s="21"/>
      <c r="B2874" s="12" t="str">
        <f>IFERROR(VLOOKUP(D2874,'[1]Перечень товаров'!$A$2:$I9525,2,0),"")</f>
        <v>м137</v>
      </c>
      <c r="C2874" s="12" t="str">
        <f>IFERROR(VLOOKUP(D2874,'[1]Перечень товаров'!$A$2:$I9525,3,0),"")</f>
        <v>мебель</v>
      </c>
      <c r="D2874" s="22" t="s">
        <v>876</v>
      </c>
      <c r="E2874" s="203"/>
      <c r="F2874" s="203"/>
      <c r="G2874" s="24">
        <v>1</v>
      </c>
      <c r="H2874" s="24"/>
      <c r="I2874" s="25"/>
      <c r="J2874" s="25"/>
      <c r="K2874" s="19"/>
      <c r="L2874" s="20"/>
    </row>
    <row r="2875" spans="1:12" outlineLevel="2">
      <c r="A2875" s="21"/>
      <c r="B2875" s="12" t="str">
        <f>IFERROR(VLOOKUP(D2875,'[1]Перечень товаров'!$A$2:$I9525,2,0),"")</f>
        <v>м187</v>
      </c>
      <c r="C2875" s="12" t="str">
        <f>IFERROR(VLOOKUP(D2875,'[1]Перечень товаров'!$A$2:$I9525,3,0),"")</f>
        <v>мебель</v>
      </c>
      <c r="D2875" s="22" t="s">
        <v>877</v>
      </c>
      <c r="E2875" s="203"/>
      <c r="F2875" s="203"/>
      <c r="G2875" s="24">
        <v>1</v>
      </c>
      <c r="H2875" s="24"/>
      <c r="I2875" s="25"/>
      <c r="J2875" s="25"/>
      <c r="K2875" s="19"/>
      <c r="L2875" s="20"/>
    </row>
    <row r="2876" spans="1:12" outlineLevel="2">
      <c r="A2876" s="21"/>
      <c r="B2876" s="12" t="str">
        <f>IFERROR(VLOOKUP(D2876,'[1]Перечень товаров'!$A$2:$I9525,2,0),"")</f>
        <v>м30</v>
      </c>
      <c r="C2876" s="12" t="str">
        <f>IFERROR(VLOOKUP(D2876,'[1]Перечень товаров'!$A$2:$I9525,3,0),"")</f>
        <v>Мебель</v>
      </c>
      <c r="D2876" s="22" t="s">
        <v>181</v>
      </c>
      <c r="E2876" s="203"/>
      <c r="F2876" s="203"/>
      <c r="G2876" s="24">
        <v>2</v>
      </c>
      <c r="H2876" s="24"/>
      <c r="I2876" s="25"/>
      <c r="J2876" s="25"/>
      <c r="K2876" s="19"/>
      <c r="L2876" s="20"/>
    </row>
    <row r="2877" spans="1:12" outlineLevel="2">
      <c r="A2877" s="21"/>
      <c r="B2877" s="12" t="str">
        <f>IFERROR(VLOOKUP(D2877,'[1]Перечень товаров'!$A$2:$I9525,2,0),"")</f>
        <v>м221</v>
      </c>
      <c r="C2877" s="12" t="str">
        <f>IFERROR(VLOOKUP(D2877,'[1]Перечень товаров'!$A$2:$I9525,3,0),"")</f>
        <v>Мебель</v>
      </c>
      <c r="D2877" s="22" t="s">
        <v>878</v>
      </c>
      <c r="E2877" s="203"/>
      <c r="F2877" s="203"/>
      <c r="G2877" s="24">
        <v>2</v>
      </c>
      <c r="H2877" s="24"/>
      <c r="I2877" s="25"/>
      <c r="J2877" s="25"/>
      <c r="K2877" s="19"/>
      <c r="L2877" s="20"/>
    </row>
    <row r="2878" spans="1:12" ht="12.75" outlineLevel="1">
      <c r="A2878" s="11"/>
      <c r="B2878" s="12" t="str">
        <f>IFERROR(VLOOKUP(D2878,'[1]Перечень товаров'!$A$2:$I9525,2,0),"")</f>
        <v/>
      </c>
      <c r="C2878" s="12" t="str">
        <f>IFERROR(VLOOKUP(D2878,'[1]Перечень товаров'!$A$2:$I9525,3,0),"")</f>
        <v/>
      </c>
      <c r="D2878" s="27" t="s">
        <v>521</v>
      </c>
      <c r="E2878" s="99">
        <v>46238</v>
      </c>
      <c r="F2878" s="99"/>
      <c r="G2878" s="100"/>
      <c r="H2878" s="100"/>
      <c r="I2878" s="101"/>
      <c r="J2878" s="101"/>
      <c r="K2878" s="19"/>
      <c r="L2878" s="20"/>
    </row>
    <row r="2879" spans="1:12" outlineLevel="2">
      <c r="A2879" s="22"/>
      <c r="B2879" s="12" t="str">
        <f>IFERROR(VLOOKUP(D2879,'[1]Перечень товаров'!$A$2:$I9525,2,0),"")</f>
        <v>п25</v>
      </c>
      <c r="C2879" s="12" t="str">
        <f>IFERROR(VLOOKUP(D2879,'[1]Перечень товаров'!$A$2:$I9525,3,0),"")</f>
        <v>Прочее</v>
      </c>
      <c r="D2879" s="22" t="s">
        <v>360</v>
      </c>
      <c r="E2879" s="102"/>
      <c r="F2879" s="102"/>
      <c r="G2879" s="48">
        <v>3</v>
      </c>
      <c r="H2879" s="48"/>
      <c r="I2879" s="49"/>
      <c r="J2879" s="49"/>
      <c r="K2879" s="33"/>
      <c r="L2879" s="20"/>
    </row>
    <row r="2880" spans="1:12" outlineLevel="2">
      <c r="A2880" s="21"/>
      <c r="B2880" s="12" t="str">
        <f>IFERROR(VLOOKUP(D2880,'[1]Перечень товаров'!$A$2:$I9525,2,0),"")</f>
        <v>п26</v>
      </c>
      <c r="C2880" s="12" t="str">
        <f>IFERROR(VLOOKUP(D2880,'[1]Перечень товаров'!$A$2:$I9525,3,0),"")</f>
        <v>Прочее</v>
      </c>
      <c r="D2880" s="22" t="s">
        <v>361</v>
      </c>
      <c r="E2880" s="102"/>
      <c r="F2880" s="102"/>
      <c r="G2880" s="48">
        <v>2</v>
      </c>
      <c r="H2880" s="48"/>
      <c r="I2880" s="49"/>
      <c r="J2880" s="49"/>
      <c r="K2880" s="33"/>
      <c r="L2880" s="20"/>
    </row>
    <row r="2881" spans="1:12" outlineLevel="2">
      <c r="A2881" s="21"/>
      <c r="B2881" s="12" t="str">
        <f>IFERROR(VLOOKUP(D2881,'[1]Перечень товаров'!$A$2:$I9525,2,0),"")</f>
        <v>п27</v>
      </c>
      <c r="C2881" s="12" t="str">
        <f>IFERROR(VLOOKUP(D2881,'[1]Перечень товаров'!$A$2:$I9525,3,0),"")</f>
        <v>Прочее</v>
      </c>
      <c r="D2881" s="22" t="s">
        <v>362</v>
      </c>
      <c r="E2881" s="102"/>
      <c r="F2881" s="102"/>
      <c r="G2881" s="48">
        <v>2</v>
      </c>
      <c r="H2881" s="48"/>
      <c r="I2881" s="49"/>
      <c r="J2881" s="49"/>
      <c r="K2881" s="33"/>
      <c r="L2881" s="20"/>
    </row>
    <row r="2882" spans="1:12" outlineLevel="2">
      <c r="A2882" s="21"/>
      <c r="B2882" s="12" t="str">
        <f>IFERROR(VLOOKUP(D2882,'[1]Перечень товаров'!$A$2:$I9525,2,0),"")</f>
        <v>п28</v>
      </c>
      <c r="C2882" s="12" t="str">
        <f>IFERROR(VLOOKUP(D2882,'[1]Перечень товаров'!$A$2:$I9525,3,0),"")</f>
        <v>Прочее</v>
      </c>
      <c r="D2882" s="22" t="s">
        <v>363</v>
      </c>
      <c r="E2882" s="102"/>
      <c r="F2882" s="102"/>
      <c r="G2882" s="48">
        <v>1</v>
      </c>
      <c r="H2882" s="48"/>
      <c r="I2882" s="49"/>
      <c r="J2882" s="49"/>
      <c r="K2882" s="33"/>
      <c r="L2882" s="20"/>
    </row>
    <row r="2883" spans="1:12" outlineLevel="2">
      <c r="A2883" s="21"/>
      <c r="B2883" s="12" t="str">
        <f>IFERROR(VLOOKUP(D2883,'[1]Перечень товаров'!$A$2:$I9525,2,0),"")</f>
        <v>п29</v>
      </c>
      <c r="C2883" s="12" t="str">
        <f>IFERROR(VLOOKUP(D2883,'[1]Перечень товаров'!$A$2:$I9525,3,0),"")</f>
        <v>Прочее</v>
      </c>
      <c r="D2883" s="22" t="s">
        <v>364</v>
      </c>
      <c r="E2883" s="102"/>
      <c r="F2883" s="102"/>
      <c r="G2883" s="48">
        <v>6</v>
      </c>
      <c r="H2883" s="48"/>
      <c r="I2883" s="49"/>
      <c r="J2883" s="49"/>
      <c r="K2883" s="33"/>
      <c r="L2883" s="20"/>
    </row>
    <row r="2884" spans="1:12" outlineLevel="2">
      <c r="A2884" s="21"/>
      <c r="B2884" s="12" t="str">
        <f>IFERROR(VLOOKUP(D2884,'[1]Перечень товаров'!$A$2:$I9525,2,0),"")</f>
        <v>п30</v>
      </c>
      <c r="C2884" s="12" t="str">
        <f>IFERROR(VLOOKUP(D2884,'[1]Перечень товаров'!$A$2:$I9525,3,0),"")</f>
        <v>Прочее</v>
      </c>
      <c r="D2884" s="22" t="s">
        <v>365</v>
      </c>
      <c r="E2884" s="102"/>
      <c r="F2884" s="102"/>
      <c r="G2884" s="48">
        <v>2</v>
      </c>
      <c r="H2884" s="48"/>
      <c r="I2884" s="49"/>
      <c r="J2884" s="49"/>
      <c r="K2884" s="33"/>
      <c r="L2884" s="20"/>
    </row>
    <row r="2885" spans="1:12" ht="31.5" outlineLevel="2">
      <c r="A2885" s="21"/>
      <c r="B2885" s="12" t="str">
        <f>IFERROR(VLOOKUP(D2885,'[1]Перечень товаров'!$A$2:$I9525,2,0),"")</f>
        <v>п31</v>
      </c>
      <c r="C2885" s="12" t="str">
        <f>IFERROR(VLOOKUP(D2885,'[1]Перечень товаров'!$A$2:$I9525,3,0),"")</f>
        <v>Прочее</v>
      </c>
      <c r="D2885" s="22" t="s">
        <v>366</v>
      </c>
      <c r="E2885" s="102"/>
      <c r="F2885" s="102"/>
      <c r="G2885" s="48">
        <v>1</v>
      </c>
      <c r="H2885" s="48"/>
      <c r="I2885" s="49"/>
      <c r="J2885" s="49"/>
      <c r="K2885" s="33"/>
      <c r="L2885" s="20"/>
    </row>
    <row r="2886" spans="1:12" ht="31.5" outlineLevel="2">
      <c r="A2886" s="21"/>
      <c r="B2886" s="12" t="str">
        <f>IFERROR(VLOOKUP(D2886,'[1]Перечень товаров'!$A$2:$I9525,2,0),"")</f>
        <v>п32</v>
      </c>
      <c r="C2886" s="12" t="str">
        <f>IFERROR(VLOOKUP(D2886,'[1]Перечень товаров'!$A$2:$I9525,3,0),"")</f>
        <v>Прочее</v>
      </c>
      <c r="D2886" s="22" t="s">
        <v>367</v>
      </c>
      <c r="E2886" s="102"/>
      <c r="F2886" s="102"/>
      <c r="G2886" s="48">
        <v>2</v>
      </c>
      <c r="H2886" s="48"/>
      <c r="I2886" s="49"/>
      <c r="J2886" s="49"/>
      <c r="K2886" s="33"/>
      <c r="L2886" s="20"/>
    </row>
    <row r="2887" spans="1:12" ht="12.75" outlineLevel="1">
      <c r="A2887" s="11"/>
      <c r="B2887" s="12" t="str">
        <f>IFERROR(VLOOKUP(D2887,'[1]Перечень товаров'!$A$2:$I9525,2,0),"")</f>
        <v/>
      </c>
      <c r="C2887" s="12" t="str">
        <f>IFERROR(VLOOKUP(D2887,'[1]Перечень товаров'!$A$2:$I9525,3,0),"")</f>
        <v/>
      </c>
      <c r="D2887" s="27" t="s">
        <v>879</v>
      </c>
      <c r="E2887" s="99">
        <v>46270</v>
      </c>
      <c r="F2887" s="99"/>
      <c r="G2887" s="100"/>
      <c r="H2887" s="100"/>
      <c r="I2887" s="101"/>
      <c r="J2887" s="101"/>
      <c r="K2887" s="19"/>
      <c r="L2887" s="20"/>
    </row>
    <row r="2888" spans="1:12" outlineLevel="2">
      <c r="A2888" s="43"/>
      <c r="B2888" s="12" t="str">
        <f>IFERROR(VLOOKUP(D2888,'[1]Перечень товаров'!$A$2:$I9525,2,0),"")</f>
        <v>м222</v>
      </c>
      <c r="C2888" s="12" t="str">
        <f>IFERROR(VLOOKUP(D2888,'[1]Перечень товаров'!$A$2:$I9525,3,0),"")</f>
        <v>Мебель</v>
      </c>
      <c r="D2888" s="44" t="s">
        <v>880</v>
      </c>
      <c r="E2888" s="102"/>
      <c r="F2888" s="102"/>
      <c r="G2888" s="24">
        <v>1</v>
      </c>
      <c r="H2888" s="24"/>
      <c r="I2888" s="25"/>
      <c r="J2888" s="25"/>
      <c r="K2888" s="19"/>
      <c r="L2888" s="20"/>
    </row>
    <row r="2889" spans="1:12" outlineLevel="2">
      <c r="A2889" s="43"/>
      <c r="B2889" s="12" t="str">
        <f>IFERROR(VLOOKUP(D2889,'[1]Перечень товаров'!$A$2:$I9525,2,0),"")</f>
        <v>м223</v>
      </c>
      <c r="C2889" s="12" t="str">
        <f>IFERROR(VLOOKUP(D2889,'[1]Перечень товаров'!$A$2:$I9525,3,0),"")</f>
        <v>Мебель</v>
      </c>
      <c r="D2889" s="44" t="s">
        <v>881</v>
      </c>
      <c r="E2889" s="102"/>
      <c r="F2889" s="102"/>
      <c r="G2889" s="24">
        <v>1</v>
      </c>
      <c r="H2889" s="24"/>
      <c r="I2889" s="25"/>
      <c r="J2889" s="25"/>
      <c r="K2889" s="19"/>
      <c r="L2889" s="20"/>
    </row>
    <row r="2890" spans="1:12" outlineLevel="2">
      <c r="A2890" s="43"/>
      <c r="B2890" s="12" t="str">
        <f>IFERROR(VLOOKUP(D2890,'[1]Перечень товаров'!$A$2:$I9525,2,0),"")</f>
        <v>м224</v>
      </c>
      <c r="C2890" s="12" t="str">
        <f>IFERROR(VLOOKUP(D2890,'[1]Перечень товаров'!$A$2:$I9525,3,0),"")</f>
        <v>Мебель</v>
      </c>
      <c r="D2890" s="44" t="s">
        <v>882</v>
      </c>
      <c r="E2890" s="102"/>
      <c r="F2890" s="102"/>
      <c r="G2890" s="24">
        <v>1</v>
      </c>
      <c r="H2890" s="24"/>
      <c r="I2890" s="25"/>
      <c r="J2890" s="25"/>
      <c r="K2890" s="19"/>
      <c r="L2890" s="20"/>
    </row>
    <row r="2891" spans="1:12" outlineLevel="2">
      <c r="A2891" s="43"/>
      <c r="B2891" s="12" t="str">
        <f>IFERROR(VLOOKUP(D2891,'[1]Перечень товаров'!$A$2:$I9525,2,0),"")</f>
        <v>м225</v>
      </c>
      <c r="C2891" s="12" t="str">
        <f>IFERROR(VLOOKUP(D2891,'[1]Перечень товаров'!$A$2:$I9525,3,0),"")</f>
        <v>Мебель</v>
      </c>
      <c r="D2891" s="44" t="s">
        <v>883</v>
      </c>
      <c r="E2891" s="102"/>
      <c r="F2891" s="102"/>
      <c r="G2891" s="24">
        <v>1</v>
      </c>
      <c r="H2891" s="24"/>
      <c r="I2891" s="25"/>
      <c r="J2891" s="25"/>
      <c r="K2891" s="19"/>
      <c r="L2891" s="20"/>
    </row>
    <row r="2892" spans="1:12" outlineLevel="2">
      <c r="A2892" s="43"/>
      <c r="B2892" s="12" t="str">
        <f>IFERROR(VLOOKUP(D2892,'[1]Перечень товаров'!$A$2:$I9525,2,0),"")</f>
        <v>п28</v>
      </c>
      <c r="C2892" s="12" t="str">
        <f>IFERROR(VLOOKUP(D2892,'[1]Перечень товаров'!$A$2:$I9525,3,0),"")</f>
        <v>Прочее</v>
      </c>
      <c r="D2892" s="44" t="s">
        <v>363</v>
      </c>
      <c r="E2892" s="102"/>
      <c r="F2892" s="102"/>
      <c r="G2892" s="24">
        <v>1</v>
      </c>
      <c r="H2892" s="24"/>
      <c r="I2892" s="25"/>
      <c r="J2892" s="25"/>
      <c r="K2892" s="19"/>
      <c r="L2892" s="20"/>
    </row>
    <row r="2893" spans="1:12" outlineLevel="2">
      <c r="A2893" s="43"/>
      <c r="B2893" s="12" t="str">
        <f>IFERROR(VLOOKUP(D2893,'[1]Перечень товаров'!$A$2:$I9525,2,0),"")</f>
        <v>м226</v>
      </c>
      <c r="C2893" s="12" t="str">
        <f>IFERROR(VLOOKUP(D2893,'[1]Перечень товаров'!$A$2:$I9525,3,0),"")</f>
        <v>Мебель</v>
      </c>
      <c r="D2893" s="44" t="s">
        <v>884</v>
      </c>
      <c r="E2893" s="102"/>
      <c r="F2893" s="102"/>
      <c r="G2893" s="24">
        <v>1</v>
      </c>
      <c r="H2893" s="24"/>
      <c r="I2893" s="25"/>
      <c r="J2893" s="25"/>
      <c r="K2893" s="19"/>
      <c r="L2893" s="20"/>
    </row>
    <row r="2894" spans="1:12" ht="12.75" outlineLevel="1">
      <c r="A2894" s="11"/>
      <c r="B2894" s="12" t="str">
        <f>IFERROR(VLOOKUP(D2894,'[1]Перечень товаров'!$A$2:$I9525,2,0),"")</f>
        <v/>
      </c>
      <c r="C2894" s="12" t="str">
        <f>IFERROR(VLOOKUP(D2894,'[1]Перечень товаров'!$A$2:$I9525,3,0),"")</f>
        <v/>
      </c>
      <c r="D2894" s="27" t="s">
        <v>871</v>
      </c>
      <c r="E2894" s="99">
        <v>46128</v>
      </c>
      <c r="F2894" s="99"/>
      <c r="G2894" s="100"/>
      <c r="H2894" s="100"/>
      <c r="I2894" s="101"/>
      <c r="J2894" s="101"/>
      <c r="K2894" s="19"/>
      <c r="L2894" s="20"/>
    </row>
    <row r="2895" spans="1:12" outlineLevel="2">
      <c r="A2895" s="22"/>
      <c r="B2895" s="12" t="str">
        <f>IFERROR(VLOOKUP(D2895,'[1]Перечень товаров'!$A$2:$I9525,2,0),"")</f>
        <v>м14</v>
      </c>
      <c r="C2895" s="12" t="str">
        <f>IFERROR(VLOOKUP(D2895,'[1]Перечень товаров'!$A$2:$I9525,3,0),"")</f>
        <v>Мебель</v>
      </c>
      <c r="D2895" s="22" t="s">
        <v>43</v>
      </c>
      <c r="E2895" s="203"/>
      <c r="F2895" s="203"/>
      <c r="G2895" s="24">
        <v>1</v>
      </c>
      <c r="H2895" s="24"/>
      <c r="I2895" s="25"/>
      <c r="J2895" s="25"/>
      <c r="K2895" s="19"/>
      <c r="L2895" s="20"/>
    </row>
    <row r="2896" spans="1:12" outlineLevel="2">
      <c r="A2896" s="21"/>
      <c r="B2896" s="12" t="str">
        <f>IFERROR(VLOOKUP(D2896,'[1]Перечень товаров'!$A$2:$I9525,2,0),"")</f>
        <v>м167</v>
      </c>
      <c r="C2896" s="12" t="str">
        <f>IFERROR(VLOOKUP(D2896,'[1]Перечень товаров'!$A$2:$I9525,3,0),"")</f>
        <v>Мебель</v>
      </c>
      <c r="D2896" s="22" t="s">
        <v>508</v>
      </c>
      <c r="E2896" s="203"/>
      <c r="F2896" s="203"/>
      <c r="G2896" s="24">
        <v>1</v>
      </c>
      <c r="H2896" s="24"/>
      <c r="I2896" s="25"/>
      <c r="J2896" s="25"/>
      <c r="K2896" s="19"/>
      <c r="L2896" s="20"/>
    </row>
    <row r="2897" spans="1:12" outlineLevel="2">
      <c r="A2897" s="21"/>
      <c r="B2897" s="12" t="str">
        <f>IFERROR(VLOOKUP(D2897,'[1]Перечень товаров'!$A$2:$I9525,2,0),"")</f>
        <v>м218</v>
      </c>
      <c r="C2897" s="12" t="str">
        <f>IFERROR(VLOOKUP(D2897,'[1]Перечень товаров'!$A$2:$I9525,3,0),"")</f>
        <v>Мебель</v>
      </c>
      <c r="D2897" s="22" t="s">
        <v>872</v>
      </c>
      <c r="E2897" s="203"/>
      <c r="F2897" s="203"/>
      <c r="G2897" s="24">
        <v>2</v>
      </c>
      <c r="H2897" s="24"/>
      <c r="I2897" s="25"/>
      <c r="J2897" s="25"/>
      <c r="K2897" s="19"/>
      <c r="L2897" s="20"/>
    </row>
    <row r="2898" spans="1:12" outlineLevel="2">
      <c r="A2898" s="21"/>
      <c r="B2898" s="12" t="str">
        <f>IFERROR(VLOOKUP(D2898,'[1]Перечень товаров'!$A$2:$I9525,2,0),"")</f>
        <v>м219</v>
      </c>
      <c r="C2898" s="12" t="str">
        <f>IFERROR(VLOOKUP(D2898,'[1]Перечень товаров'!$A$2:$I9525,3,0),"")</f>
        <v>Мебель</v>
      </c>
      <c r="D2898" s="22" t="s">
        <v>873</v>
      </c>
      <c r="E2898" s="203"/>
      <c r="F2898" s="203"/>
      <c r="G2898" s="24">
        <v>4</v>
      </c>
      <c r="H2898" s="24"/>
      <c r="I2898" s="25"/>
      <c r="J2898" s="25"/>
      <c r="K2898" s="19"/>
      <c r="L2898" s="20"/>
    </row>
    <row r="2899" spans="1:12" outlineLevel="2">
      <c r="A2899" s="21"/>
      <c r="B2899" s="12" t="str">
        <f>IFERROR(VLOOKUP(D2899,'[1]Перечень товаров'!$A$2:$I9525,2,0),"")</f>
        <v>м220</v>
      </c>
      <c r="C2899" s="12" t="str">
        <f>IFERROR(VLOOKUP(D2899,'[1]Перечень товаров'!$A$2:$I9525,3,0),"")</f>
        <v>Мебель</v>
      </c>
      <c r="D2899" s="22" t="s">
        <v>874</v>
      </c>
      <c r="E2899" s="203"/>
      <c r="F2899" s="203"/>
      <c r="G2899" s="24">
        <v>1</v>
      </c>
      <c r="H2899" s="24"/>
      <c r="I2899" s="25"/>
      <c r="J2899" s="25"/>
      <c r="K2899" s="19"/>
      <c r="L2899" s="20"/>
    </row>
    <row r="2900" spans="1:12" outlineLevel="2">
      <c r="A2900" s="21"/>
      <c r="B2900" s="12" t="str">
        <f>IFERROR(VLOOKUP(D2900,'[1]Перечень товаров'!$A$2:$I9525,2,0),"")</f>
        <v>м187</v>
      </c>
      <c r="C2900" s="12" t="str">
        <f>IFERROR(VLOOKUP(D2900,'[1]Перечень товаров'!$A$2:$I9525,3,0),"")</f>
        <v>мебель</v>
      </c>
      <c r="D2900" s="22" t="s">
        <v>877</v>
      </c>
      <c r="E2900" s="203"/>
      <c r="F2900" s="203"/>
      <c r="G2900" s="24">
        <v>1</v>
      </c>
      <c r="H2900" s="24"/>
      <c r="I2900" s="25"/>
      <c r="J2900" s="25"/>
      <c r="K2900" s="19"/>
      <c r="L2900" s="20"/>
    </row>
    <row r="2901" spans="1:12" outlineLevel="2">
      <c r="A2901" s="21"/>
      <c r="B2901" s="12" t="str">
        <f>IFERROR(VLOOKUP(D2901,'[1]Перечень товаров'!$A$2:$I9525,2,0),"")</f>
        <v>м30</v>
      </c>
      <c r="C2901" s="12" t="str">
        <f>IFERROR(VLOOKUP(D2901,'[1]Перечень товаров'!$A$2:$I9525,3,0),"")</f>
        <v>Мебель</v>
      </c>
      <c r="D2901" s="22" t="s">
        <v>181</v>
      </c>
      <c r="E2901" s="203"/>
      <c r="F2901" s="203"/>
      <c r="G2901" s="24">
        <v>2</v>
      </c>
      <c r="H2901" s="24"/>
      <c r="I2901" s="25"/>
      <c r="J2901" s="25"/>
      <c r="K2901" s="19"/>
      <c r="L2901" s="20"/>
    </row>
    <row r="2902" spans="1:12" outlineLevel="2">
      <c r="A2902" s="21"/>
      <c r="B2902" s="12" t="str">
        <f>IFERROR(VLOOKUP(D2902,'[1]Перечень товаров'!$A$2:$I9525,2,0),"")</f>
        <v>м221</v>
      </c>
      <c r="C2902" s="12" t="str">
        <f>IFERROR(VLOOKUP(D2902,'[1]Перечень товаров'!$A$2:$I9525,3,0),"")</f>
        <v>Мебель</v>
      </c>
      <c r="D2902" s="22" t="s">
        <v>878</v>
      </c>
      <c r="E2902" s="203"/>
      <c r="F2902" s="203"/>
      <c r="G2902" s="24">
        <v>2</v>
      </c>
      <c r="H2902" s="24"/>
      <c r="I2902" s="25"/>
      <c r="J2902" s="25"/>
      <c r="K2902" s="19"/>
      <c r="L2902" s="20"/>
    </row>
    <row r="2903" spans="1:12" outlineLevel="1">
      <c r="A2903" s="21"/>
      <c r="B2903" s="12" t="str">
        <f>IFERROR(VLOOKUP(D2903,'[1]Перечень товаров'!$A$2:$I9525,2,0),"")</f>
        <v/>
      </c>
      <c r="C2903" s="12" t="str">
        <f>IFERROR(VLOOKUP(D2903,'[1]Перечень товаров'!$A$2:$I9525,3,0),"")</f>
        <v/>
      </c>
      <c r="D2903" s="22" t="s">
        <v>885</v>
      </c>
      <c r="E2903" s="23" t="s">
        <v>375</v>
      </c>
      <c r="F2903" s="23"/>
      <c r="G2903" s="24"/>
      <c r="H2903" s="24"/>
      <c r="I2903" s="25"/>
      <c r="J2903" s="25"/>
      <c r="K2903" s="19"/>
      <c r="L2903" s="20"/>
    </row>
    <row r="2904" spans="1:12" outlineLevel="1">
      <c r="A2904" s="21"/>
      <c r="B2904" s="12" t="str">
        <f>IFERROR(VLOOKUP(D2904,'[1]Перечень товаров'!$A$2:$I9525,2,0),"")</f>
        <v/>
      </c>
      <c r="C2904" s="12" t="str">
        <f>IFERROR(VLOOKUP(D2904,'[1]Перечень товаров'!$A$2:$I9525,3,0),"")</f>
        <v/>
      </c>
      <c r="D2904" s="22" t="s">
        <v>886</v>
      </c>
      <c r="E2904" s="102">
        <v>46223</v>
      </c>
      <c r="F2904" s="102"/>
      <c r="G2904" s="103"/>
      <c r="H2904" s="103"/>
      <c r="I2904" s="104"/>
      <c r="J2904" s="104"/>
      <c r="K2904" s="19"/>
      <c r="L2904" s="20"/>
    </row>
    <row r="2905" spans="1:12" outlineLevel="1">
      <c r="A2905" s="21"/>
      <c r="B2905" s="12" t="str">
        <f>IFERROR(VLOOKUP(D2905,'[1]Перечень товаров'!$A$2:$I9525,2,0),"")</f>
        <v>т116</v>
      </c>
      <c r="C2905" s="12"/>
      <c r="D2905" s="44" t="s">
        <v>887</v>
      </c>
      <c r="E2905" s="102"/>
      <c r="F2905" s="102"/>
      <c r="G2905" s="103"/>
      <c r="H2905" s="103"/>
      <c r="I2905" s="104"/>
      <c r="J2905" s="104"/>
      <c r="K2905" s="19"/>
      <c r="L2905" s="20"/>
    </row>
    <row r="2906" spans="1:12" outlineLevel="1">
      <c r="A2906" s="21"/>
      <c r="B2906" s="12" t="str">
        <f>IFERROR(VLOOKUP(D2906,'[1]Перечень товаров'!$A$2:$I9525,2,0),"")</f>
        <v>т115</v>
      </c>
      <c r="C2906" s="12"/>
      <c r="D2906" s="44" t="s">
        <v>888</v>
      </c>
      <c r="E2906" s="102"/>
      <c r="F2906" s="102"/>
      <c r="G2906" s="103"/>
      <c r="H2906" s="103"/>
      <c r="I2906" s="104"/>
      <c r="J2906" s="104"/>
      <c r="K2906" s="19"/>
      <c r="L2906" s="20"/>
    </row>
    <row r="2907" spans="1:12" outlineLevel="1">
      <c r="A2907" s="21"/>
      <c r="B2907" s="12" t="str">
        <f>IFERROR(VLOOKUP(D2907,'[1]Перечень товаров'!$A$2:$I9525,2,0),"")</f>
        <v>м136</v>
      </c>
      <c r="C2907" s="12"/>
      <c r="D2907" s="44" t="s">
        <v>889</v>
      </c>
      <c r="E2907" s="102"/>
      <c r="F2907" s="102"/>
      <c r="G2907" s="103"/>
      <c r="H2907" s="103"/>
      <c r="I2907" s="104"/>
      <c r="J2907" s="104"/>
      <c r="K2907" s="19"/>
      <c r="L2907" s="20"/>
    </row>
    <row r="2908" spans="1:12" outlineLevel="1">
      <c r="A2908" s="21"/>
      <c r="B2908" s="12" t="str">
        <f>IFERROR(VLOOKUP(D2908,'[1]Перечень товаров'!$A$2:$I9525,2,0),"")</f>
        <v>м135</v>
      </c>
      <c r="C2908" s="12"/>
      <c r="D2908" s="44" t="s">
        <v>890</v>
      </c>
      <c r="E2908" s="102"/>
      <c r="F2908" s="102"/>
      <c r="G2908" s="103"/>
      <c r="H2908" s="103"/>
      <c r="I2908" s="104"/>
      <c r="J2908" s="104"/>
      <c r="K2908" s="19"/>
      <c r="L2908" s="20"/>
    </row>
    <row r="2909" spans="1:12" outlineLevel="1">
      <c r="A2909" s="21"/>
      <c r="B2909" s="12" t="str">
        <f>IFERROR(VLOOKUP(D2909,'[1]Перечень товаров'!$A$2:$I9525,2,0),"")</f>
        <v>д256</v>
      </c>
      <c r="C2909" s="12"/>
      <c r="D2909" s="44" t="s">
        <v>891</v>
      </c>
      <c r="E2909" s="102"/>
      <c r="F2909" s="102"/>
      <c r="G2909" s="103"/>
      <c r="H2909" s="103"/>
      <c r="I2909" s="104"/>
      <c r="J2909" s="104"/>
      <c r="K2909" s="19"/>
      <c r="L2909" s="20"/>
    </row>
    <row r="2910" spans="1:12" outlineLevel="1">
      <c r="A2910" s="21"/>
      <c r="B2910" s="12" t="str">
        <f>IFERROR(VLOOKUP(D2910,'[1]Перечень товаров'!$A$2:$I9525,2,0),"")</f>
        <v>д255</v>
      </c>
      <c r="C2910" s="12"/>
      <c r="D2910" s="44" t="s">
        <v>892</v>
      </c>
      <c r="E2910" s="102"/>
      <c r="F2910" s="102"/>
      <c r="G2910" s="103"/>
      <c r="H2910" s="103"/>
      <c r="I2910" s="104"/>
      <c r="J2910" s="104"/>
      <c r="K2910" s="19"/>
      <c r="L2910" s="20"/>
    </row>
    <row r="2911" spans="1:12" outlineLevel="1">
      <c r="A2911" s="21"/>
      <c r="B2911" s="12" t="str">
        <f>IFERROR(VLOOKUP(D2911,'[1]Перечень товаров'!$A$2:$I9525,2,0),"")</f>
        <v>м134</v>
      </c>
      <c r="C2911" s="12"/>
      <c r="D2911" s="44" t="s">
        <v>893</v>
      </c>
      <c r="E2911" s="102"/>
      <c r="F2911" s="102"/>
      <c r="G2911" s="103"/>
      <c r="H2911" s="103"/>
      <c r="I2911" s="104"/>
      <c r="J2911" s="104"/>
      <c r="K2911" s="19"/>
      <c r="L2911" s="20"/>
    </row>
    <row r="2912" spans="1:12" ht="12.75" outlineLevel="1">
      <c r="A2912" s="11"/>
      <c r="B2912" s="12" t="str">
        <f>IFERROR(VLOOKUP(D2912,'[1]Перечень товаров'!$A$2:$I9525,2,0),"")</f>
        <v/>
      </c>
      <c r="C2912" s="12" t="str">
        <f>IFERROR(VLOOKUP(D2912,'[1]Перечень товаров'!$A$2:$I9525,3,0),"")</f>
        <v/>
      </c>
      <c r="D2912" s="27" t="s">
        <v>871</v>
      </c>
      <c r="E2912" s="99">
        <v>46128</v>
      </c>
      <c r="F2912" s="99"/>
      <c r="G2912" s="100"/>
      <c r="H2912" s="100"/>
      <c r="I2912" s="101"/>
      <c r="J2912" s="101"/>
      <c r="K2912" s="19"/>
      <c r="L2912" s="20"/>
    </row>
    <row r="2913" spans="1:12" outlineLevel="2">
      <c r="A2913" s="22"/>
      <c r="B2913" s="12" t="str">
        <f>IFERROR(VLOOKUP(D2913,'[1]Перечень товаров'!$A$2:$I9525,2,0),"")</f>
        <v>м14</v>
      </c>
      <c r="C2913" s="12" t="str">
        <f>IFERROR(VLOOKUP(D2913,'[1]Перечень товаров'!$A$2:$I9525,3,0),"")</f>
        <v>Мебель</v>
      </c>
      <c r="D2913" s="22" t="s">
        <v>43</v>
      </c>
      <c r="E2913" s="203"/>
      <c r="F2913" s="203"/>
      <c r="G2913" s="24">
        <v>1</v>
      </c>
      <c r="H2913" s="24"/>
      <c r="I2913" s="25"/>
      <c r="J2913" s="25"/>
      <c r="K2913" s="19"/>
      <c r="L2913" s="20"/>
    </row>
    <row r="2914" spans="1:12" outlineLevel="2">
      <c r="A2914" s="21"/>
      <c r="B2914" s="12" t="str">
        <f>IFERROR(VLOOKUP(D2914,'[1]Перечень товаров'!$A$2:$I9525,2,0),"")</f>
        <v>м167</v>
      </c>
      <c r="C2914" s="12" t="str">
        <f>IFERROR(VLOOKUP(D2914,'[1]Перечень товаров'!$A$2:$I9525,3,0),"")</f>
        <v>Мебель</v>
      </c>
      <c r="D2914" s="22" t="s">
        <v>508</v>
      </c>
      <c r="E2914" s="203"/>
      <c r="F2914" s="203"/>
      <c r="G2914" s="24">
        <v>1</v>
      </c>
      <c r="H2914" s="24"/>
      <c r="I2914" s="25"/>
      <c r="J2914" s="25"/>
      <c r="K2914" s="19"/>
      <c r="L2914" s="20"/>
    </row>
    <row r="2915" spans="1:12" outlineLevel="2">
      <c r="A2915" s="21"/>
      <c r="B2915" s="12" t="str">
        <f>IFERROR(VLOOKUP(D2915,'[1]Перечень товаров'!$A$2:$I9525,2,0),"")</f>
        <v>м218</v>
      </c>
      <c r="C2915" s="12" t="str">
        <f>IFERROR(VLOOKUP(D2915,'[1]Перечень товаров'!$A$2:$I9525,3,0),"")</f>
        <v>Мебель</v>
      </c>
      <c r="D2915" s="22" t="s">
        <v>872</v>
      </c>
      <c r="E2915" s="203"/>
      <c r="F2915" s="203"/>
      <c r="G2915" s="24">
        <v>2</v>
      </c>
      <c r="H2915" s="24"/>
      <c r="I2915" s="25"/>
      <c r="J2915" s="25"/>
      <c r="K2915" s="19"/>
      <c r="L2915" s="20"/>
    </row>
    <row r="2916" spans="1:12" outlineLevel="2">
      <c r="A2916" s="21"/>
      <c r="B2916" s="12" t="str">
        <f>IFERROR(VLOOKUP(D2916,'[1]Перечень товаров'!$A$2:$I9525,2,0),"")</f>
        <v>м219</v>
      </c>
      <c r="C2916" s="12" t="str">
        <f>IFERROR(VLOOKUP(D2916,'[1]Перечень товаров'!$A$2:$I9525,3,0),"")</f>
        <v>Мебель</v>
      </c>
      <c r="D2916" s="22" t="s">
        <v>873</v>
      </c>
      <c r="E2916" s="203"/>
      <c r="F2916" s="203"/>
      <c r="G2916" s="24">
        <v>4</v>
      </c>
      <c r="H2916" s="24"/>
      <c r="I2916" s="25"/>
      <c r="J2916" s="25"/>
      <c r="K2916" s="19"/>
      <c r="L2916" s="20"/>
    </row>
    <row r="2917" spans="1:12" outlineLevel="2">
      <c r="A2917" s="21"/>
      <c r="B2917" s="12" t="str">
        <f>IFERROR(VLOOKUP(D2917,'[1]Перечень товаров'!$A$2:$I9525,2,0),"")</f>
        <v>м220</v>
      </c>
      <c r="C2917" s="12" t="str">
        <f>IFERROR(VLOOKUP(D2917,'[1]Перечень товаров'!$A$2:$I9525,3,0),"")</f>
        <v>Мебель</v>
      </c>
      <c r="D2917" s="22" t="s">
        <v>874</v>
      </c>
      <c r="E2917" s="203"/>
      <c r="F2917" s="203"/>
      <c r="G2917" s="24">
        <v>1</v>
      </c>
      <c r="H2917" s="24"/>
      <c r="I2917" s="25"/>
      <c r="J2917" s="25"/>
      <c r="K2917" s="19"/>
      <c r="L2917" s="20"/>
    </row>
    <row r="2918" spans="1:12" outlineLevel="2">
      <c r="A2918" s="21"/>
      <c r="B2918" s="12" t="str">
        <f>IFERROR(VLOOKUP(D2918,'[1]Перечень товаров'!$A$2:$I9525,2,0),"")</f>
        <v>тм77</v>
      </c>
      <c r="C2918" s="12" t="str">
        <f>IFERROR(VLOOKUP(D2918,'[1]Перечень товаров'!$A$2:$I9525,3,0),"")</f>
        <v>Техника муз</v>
      </c>
      <c r="D2918" s="22" t="s">
        <v>875</v>
      </c>
      <c r="E2918" s="203"/>
      <c r="F2918" s="203"/>
      <c r="G2918" s="24">
        <v>1</v>
      </c>
      <c r="H2918" s="24"/>
      <c r="I2918" s="25"/>
      <c r="J2918" s="25"/>
      <c r="K2918" s="19"/>
      <c r="L2918" s="20"/>
    </row>
    <row r="2919" spans="1:12" outlineLevel="2">
      <c r="A2919" s="21"/>
      <c r="B2919" s="12" t="str">
        <f>IFERROR(VLOOKUP(D2919,'[1]Перечень товаров'!$A$2:$I9525,2,0),"")</f>
        <v>м137</v>
      </c>
      <c r="C2919" s="12" t="str">
        <f>IFERROR(VLOOKUP(D2919,'[1]Перечень товаров'!$A$2:$I9525,3,0),"")</f>
        <v>мебель</v>
      </c>
      <c r="D2919" s="22" t="s">
        <v>876</v>
      </c>
      <c r="E2919" s="203"/>
      <c r="F2919" s="203"/>
      <c r="G2919" s="24">
        <v>1</v>
      </c>
      <c r="H2919" s="24"/>
      <c r="I2919" s="25"/>
      <c r="J2919" s="25"/>
      <c r="K2919" s="19"/>
      <c r="L2919" s="20"/>
    </row>
    <row r="2920" spans="1:12" outlineLevel="2">
      <c r="A2920" s="21"/>
      <c r="B2920" s="12" t="str">
        <f>IFERROR(VLOOKUP(D2920,'[1]Перечень товаров'!$A$2:$I9525,2,0),"")</f>
        <v>м187</v>
      </c>
      <c r="C2920" s="12" t="str">
        <f>IFERROR(VLOOKUP(D2920,'[1]Перечень товаров'!$A$2:$I9525,3,0),"")</f>
        <v>мебель</v>
      </c>
      <c r="D2920" s="22" t="s">
        <v>877</v>
      </c>
      <c r="E2920" s="203"/>
      <c r="F2920" s="203"/>
      <c r="G2920" s="24">
        <v>1</v>
      </c>
      <c r="H2920" s="24"/>
      <c r="I2920" s="25"/>
      <c r="J2920" s="25"/>
      <c r="K2920" s="19"/>
      <c r="L2920" s="20"/>
    </row>
    <row r="2921" spans="1:12" outlineLevel="2">
      <c r="A2921" s="21"/>
      <c r="B2921" s="12" t="str">
        <f>IFERROR(VLOOKUP(D2921,'[1]Перечень товаров'!$A$2:$I9525,2,0),"")</f>
        <v>м30</v>
      </c>
      <c r="C2921" s="12" t="str">
        <f>IFERROR(VLOOKUP(D2921,'[1]Перечень товаров'!$A$2:$I9525,3,0),"")</f>
        <v>Мебель</v>
      </c>
      <c r="D2921" s="22" t="s">
        <v>181</v>
      </c>
      <c r="E2921" s="203"/>
      <c r="F2921" s="203"/>
      <c r="G2921" s="24">
        <v>2</v>
      </c>
      <c r="H2921" s="24"/>
      <c r="I2921" s="25"/>
      <c r="J2921" s="25"/>
      <c r="K2921" s="19"/>
      <c r="L2921" s="20"/>
    </row>
    <row r="2922" spans="1:12" outlineLevel="2">
      <c r="A2922" s="21"/>
      <c r="B2922" s="12" t="str">
        <f>IFERROR(VLOOKUP(D2922,'[1]Перечень товаров'!$A$2:$I9525,2,0),"")</f>
        <v>м221</v>
      </c>
      <c r="C2922" s="12" t="str">
        <f>IFERROR(VLOOKUP(D2922,'[1]Перечень товаров'!$A$2:$I9525,3,0),"")</f>
        <v>Мебель</v>
      </c>
      <c r="D2922" s="22" t="s">
        <v>878</v>
      </c>
      <c r="E2922" s="203"/>
      <c r="F2922" s="203"/>
      <c r="G2922" s="24">
        <v>2</v>
      </c>
      <c r="H2922" s="24"/>
      <c r="I2922" s="25"/>
      <c r="J2922" s="25"/>
      <c r="K2922" s="19"/>
      <c r="L2922" s="20"/>
    </row>
    <row r="2923" spans="1:12" ht="12.75" outlineLevel="1">
      <c r="A2923" s="11"/>
      <c r="B2923" s="12" t="str">
        <f>IFERROR(VLOOKUP(D2923,'[1]Перечень товаров'!$A$2:$I9525,2,0),"")</f>
        <v/>
      </c>
      <c r="C2923" s="12" t="str">
        <f>IFERROR(VLOOKUP(D2923,'[1]Перечень товаров'!$A$2:$I9525,3,0),"")</f>
        <v/>
      </c>
      <c r="D2923" s="27" t="s">
        <v>521</v>
      </c>
      <c r="E2923" s="99">
        <v>46238</v>
      </c>
      <c r="F2923" s="99"/>
      <c r="G2923" s="100"/>
      <c r="H2923" s="100"/>
      <c r="I2923" s="101"/>
      <c r="J2923" s="101"/>
      <c r="K2923" s="19"/>
      <c r="L2923" s="20"/>
    </row>
    <row r="2924" spans="1:12" outlineLevel="2">
      <c r="A2924" s="22"/>
      <c r="B2924" s="12" t="str">
        <f>IFERROR(VLOOKUP(D2924,'[1]Перечень товаров'!$A$2:$I9525,2,0),"")</f>
        <v>п25</v>
      </c>
      <c r="C2924" s="12" t="str">
        <f>IFERROR(VLOOKUP(D2924,'[1]Перечень товаров'!$A$2:$I9525,3,0),"")</f>
        <v>Прочее</v>
      </c>
      <c r="D2924" s="22" t="s">
        <v>360</v>
      </c>
      <c r="E2924" s="102"/>
      <c r="F2924" s="102"/>
      <c r="G2924" s="48">
        <v>3</v>
      </c>
      <c r="H2924" s="48"/>
      <c r="I2924" s="49"/>
      <c r="J2924" s="49"/>
      <c r="K2924" s="33"/>
      <c r="L2924" s="20"/>
    </row>
    <row r="2925" spans="1:12" outlineLevel="2">
      <c r="A2925" s="21"/>
      <c r="B2925" s="12" t="str">
        <f>IFERROR(VLOOKUP(D2925,'[1]Перечень товаров'!$A$2:$I9525,2,0),"")</f>
        <v>п26</v>
      </c>
      <c r="C2925" s="12" t="str">
        <f>IFERROR(VLOOKUP(D2925,'[1]Перечень товаров'!$A$2:$I9525,3,0),"")</f>
        <v>Прочее</v>
      </c>
      <c r="D2925" s="22" t="s">
        <v>361</v>
      </c>
      <c r="E2925" s="102"/>
      <c r="F2925" s="102"/>
      <c r="G2925" s="48">
        <v>2</v>
      </c>
      <c r="H2925" s="48"/>
      <c r="I2925" s="49"/>
      <c r="J2925" s="49"/>
      <c r="K2925" s="33"/>
      <c r="L2925" s="20"/>
    </row>
    <row r="2926" spans="1:12" outlineLevel="2">
      <c r="A2926" s="21"/>
      <c r="B2926" s="12" t="str">
        <f>IFERROR(VLOOKUP(D2926,'[1]Перечень товаров'!$A$2:$I9525,2,0),"")</f>
        <v>п27</v>
      </c>
      <c r="C2926" s="12" t="str">
        <f>IFERROR(VLOOKUP(D2926,'[1]Перечень товаров'!$A$2:$I9525,3,0),"")</f>
        <v>Прочее</v>
      </c>
      <c r="D2926" s="22" t="s">
        <v>362</v>
      </c>
      <c r="E2926" s="102"/>
      <c r="F2926" s="102"/>
      <c r="G2926" s="48">
        <v>2</v>
      </c>
      <c r="H2926" s="48"/>
      <c r="I2926" s="49"/>
      <c r="J2926" s="49"/>
      <c r="K2926" s="33"/>
      <c r="L2926" s="20"/>
    </row>
    <row r="2927" spans="1:12" outlineLevel="2">
      <c r="A2927" s="21"/>
      <c r="B2927" s="12" t="str">
        <f>IFERROR(VLOOKUP(D2927,'[1]Перечень товаров'!$A$2:$I9525,2,0),"")</f>
        <v>п28</v>
      </c>
      <c r="C2927" s="12" t="str">
        <f>IFERROR(VLOOKUP(D2927,'[1]Перечень товаров'!$A$2:$I9525,3,0),"")</f>
        <v>Прочее</v>
      </c>
      <c r="D2927" s="22" t="s">
        <v>363</v>
      </c>
      <c r="E2927" s="102"/>
      <c r="F2927" s="102"/>
      <c r="G2927" s="48">
        <v>1</v>
      </c>
      <c r="H2927" s="48"/>
      <c r="I2927" s="49"/>
      <c r="J2927" s="49"/>
      <c r="K2927" s="33"/>
      <c r="L2927" s="20"/>
    </row>
    <row r="2928" spans="1:12" outlineLevel="2">
      <c r="A2928" s="21"/>
      <c r="B2928" s="12" t="str">
        <f>IFERROR(VLOOKUP(D2928,'[1]Перечень товаров'!$A$2:$I9525,2,0),"")</f>
        <v>п29</v>
      </c>
      <c r="C2928" s="12" t="str">
        <f>IFERROR(VLOOKUP(D2928,'[1]Перечень товаров'!$A$2:$I9525,3,0),"")</f>
        <v>Прочее</v>
      </c>
      <c r="D2928" s="22" t="s">
        <v>364</v>
      </c>
      <c r="E2928" s="102"/>
      <c r="F2928" s="102"/>
      <c r="G2928" s="48">
        <v>6</v>
      </c>
      <c r="H2928" s="48"/>
      <c r="I2928" s="49"/>
      <c r="J2928" s="49"/>
      <c r="K2928" s="33"/>
      <c r="L2928" s="20"/>
    </row>
    <row r="2929" spans="1:12" outlineLevel="2">
      <c r="A2929" s="21"/>
      <c r="B2929" s="12" t="str">
        <f>IFERROR(VLOOKUP(D2929,'[1]Перечень товаров'!$A$2:$I9525,2,0),"")</f>
        <v>п30</v>
      </c>
      <c r="C2929" s="12" t="str">
        <f>IFERROR(VLOOKUP(D2929,'[1]Перечень товаров'!$A$2:$I9525,3,0),"")</f>
        <v>Прочее</v>
      </c>
      <c r="D2929" s="22" t="s">
        <v>365</v>
      </c>
      <c r="E2929" s="102"/>
      <c r="F2929" s="102"/>
      <c r="G2929" s="48">
        <v>2</v>
      </c>
      <c r="H2929" s="48"/>
      <c r="I2929" s="49"/>
      <c r="J2929" s="49"/>
      <c r="K2929" s="33"/>
      <c r="L2929" s="20"/>
    </row>
    <row r="2930" spans="1:12" ht="31.5" outlineLevel="2">
      <c r="A2930" s="21"/>
      <c r="B2930" s="12" t="str">
        <f>IFERROR(VLOOKUP(D2930,'[1]Перечень товаров'!$A$2:$I9525,2,0),"")</f>
        <v>п31</v>
      </c>
      <c r="C2930" s="12" t="str">
        <f>IFERROR(VLOOKUP(D2930,'[1]Перечень товаров'!$A$2:$I9525,3,0),"")</f>
        <v>Прочее</v>
      </c>
      <c r="D2930" s="22" t="s">
        <v>366</v>
      </c>
      <c r="E2930" s="102"/>
      <c r="F2930" s="102"/>
      <c r="G2930" s="48">
        <v>1</v>
      </c>
      <c r="H2930" s="48"/>
      <c r="I2930" s="49"/>
      <c r="J2930" s="49"/>
      <c r="K2930" s="33"/>
      <c r="L2930" s="20"/>
    </row>
    <row r="2931" spans="1:12" ht="31.5" outlineLevel="2">
      <c r="A2931" s="21"/>
      <c r="B2931" s="12" t="str">
        <f>IFERROR(VLOOKUP(D2931,'[1]Перечень товаров'!$A$2:$I9525,2,0),"")</f>
        <v>п32</v>
      </c>
      <c r="C2931" s="12" t="str">
        <f>IFERROR(VLOOKUP(D2931,'[1]Перечень товаров'!$A$2:$I9525,3,0),"")</f>
        <v>Прочее</v>
      </c>
      <c r="D2931" s="22" t="s">
        <v>367</v>
      </c>
      <c r="E2931" s="102"/>
      <c r="F2931" s="102"/>
      <c r="G2931" s="48">
        <v>2</v>
      </c>
      <c r="H2931" s="48"/>
      <c r="I2931" s="49"/>
      <c r="J2931" s="49"/>
      <c r="K2931" s="33"/>
      <c r="L2931" s="20"/>
    </row>
    <row r="2932" spans="1:12" ht="12.75" outlineLevel="1">
      <c r="A2932" s="11"/>
      <c r="B2932" s="12" t="str">
        <f>IFERROR(VLOOKUP(D2932,'[1]Перечень товаров'!$A$2:$I9525,2,0),"")</f>
        <v/>
      </c>
      <c r="C2932" s="12" t="str">
        <f>IFERROR(VLOOKUP(D2932,'[1]Перечень товаров'!$A$2:$I9525,3,0),"")</f>
        <v/>
      </c>
      <c r="D2932" s="27" t="s">
        <v>879</v>
      </c>
      <c r="E2932" s="99">
        <v>46270</v>
      </c>
      <c r="F2932" s="99"/>
      <c r="G2932" s="100"/>
      <c r="H2932" s="100"/>
      <c r="I2932" s="101"/>
      <c r="J2932" s="101"/>
      <c r="K2932" s="19"/>
      <c r="L2932" s="20"/>
    </row>
    <row r="2933" spans="1:12" outlineLevel="2">
      <c r="A2933" s="43"/>
      <c r="B2933" s="12" t="str">
        <f>IFERROR(VLOOKUP(D2933,'[1]Перечень товаров'!$A$2:$I9525,2,0),"")</f>
        <v>м222</v>
      </c>
      <c r="C2933" s="12" t="str">
        <f>IFERROR(VLOOKUP(D2933,'[1]Перечень товаров'!$A$2:$I9525,3,0),"")</f>
        <v>Мебель</v>
      </c>
      <c r="D2933" s="44" t="s">
        <v>880</v>
      </c>
      <c r="E2933" s="102"/>
      <c r="F2933" s="102"/>
      <c r="G2933" s="24">
        <v>1</v>
      </c>
      <c r="H2933" s="24"/>
      <c r="I2933" s="25"/>
      <c r="J2933" s="25"/>
      <c r="K2933" s="19"/>
      <c r="L2933" s="20"/>
    </row>
    <row r="2934" spans="1:12" outlineLevel="2">
      <c r="A2934" s="43"/>
      <c r="B2934" s="12" t="str">
        <f>IFERROR(VLOOKUP(D2934,'[1]Перечень товаров'!$A$2:$I9525,2,0),"")</f>
        <v>м223</v>
      </c>
      <c r="C2934" s="12" t="str">
        <f>IFERROR(VLOOKUP(D2934,'[1]Перечень товаров'!$A$2:$I9525,3,0),"")</f>
        <v>Мебель</v>
      </c>
      <c r="D2934" s="44" t="s">
        <v>881</v>
      </c>
      <c r="E2934" s="102"/>
      <c r="F2934" s="102"/>
      <c r="G2934" s="24">
        <v>1</v>
      </c>
      <c r="H2934" s="24"/>
      <c r="I2934" s="25"/>
      <c r="J2934" s="25"/>
      <c r="K2934" s="19"/>
      <c r="L2934" s="20"/>
    </row>
    <row r="2935" spans="1:12" outlineLevel="2">
      <c r="A2935" s="43"/>
      <c r="B2935" s="12" t="str">
        <f>IFERROR(VLOOKUP(D2935,'[1]Перечень товаров'!$A$2:$I9525,2,0),"")</f>
        <v>м224</v>
      </c>
      <c r="C2935" s="12" t="str">
        <f>IFERROR(VLOOKUP(D2935,'[1]Перечень товаров'!$A$2:$I9525,3,0),"")</f>
        <v>Мебель</v>
      </c>
      <c r="D2935" s="44" t="s">
        <v>882</v>
      </c>
      <c r="E2935" s="102"/>
      <c r="F2935" s="102"/>
      <c r="G2935" s="24">
        <v>1</v>
      </c>
      <c r="H2935" s="24"/>
      <c r="I2935" s="25"/>
      <c r="J2935" s="25"/>
      <c r="K2935" s="19"/>
      <c r="L2935" s="20"/>
    </row>
    <row r="2936" spans="1:12" outlineLevel="2">
      <c r="A2936" s="43"/>
      <c r="B2936" s="12" t="str">
        <f>IFERROR(VLOOKUP(D2936,'[1]Перечень товаров'!$A$2:$I9525,2,0),"")</f>
        <v>м225</v>
      </c>
      <c r="C2936" s="12" t="str">
        <f>IFERROR(VLOOKUP(D2936,'[1]Перечень товаров'!$A$2:$I9525,3,0),"")</f>
        <v>Мебель</v>
      </c>
      <c r="D2936" s="44" t="s">
        <v>883</v>
      </c>
      <c r="E2936" s="102"/>
      <c r="F2936" s="102"/>
      <c r="G2936" s="24">
        <v>1</v>
      </c>
      <c r="H2936" s="24"/>
      <c r="I2936" s="25"/>
      <c r="J2936" s="25"/>
      <c r="K2936" s="19"/>
      <c r="L2936" s="20"/>
    </row>
    <row r="2937" spans="1:12" outlineLevel="2">
      <c r="A2937" s="43"/>
      <c r="B2937" s="12" t="str">
        <f>IFERROR(VLOOKUP(D2937,'[1]Перечень товаров'!$A$2:$I9525,2,0),"")</f>
        <v>п28</v>
      </c>
      <c r="C2937" s="12" t="str">
        <f>IFERROR(VLOOKUP(D2937,'[1]Перечень товаров'!$A$2:$I9525,3,0),"")</f>
        <v>Прочее</v>
      </c>
      <c r="D2937" s="44" t="s">
        <v>363</v>
      </c>
      <c r="E2937" s="102"/>
      <c r="F2937" s="102"/>
      <c r="G2937" s="24">
        <v>1</v>
      </c>
      <c r="H2937" s="24"/>
      <c r="I2937" s="25"/>
      <c r="J2937" s="25"/>
      <c r="K2937" s="19"/>
      <c r="L2937" s="20"/>
    </row>
    <row r="2938" spans="1:12" outlineLevel="2">
      <c r="A2938" s="43"/>
      <c r="B2938" s="12" t="str">
        <f>IFERROR(VLOOKUP(D2938,'[1]Перечень товаров'!$A$2:$I9525,2,0),"")</f>
        <v>м226</v>
      </c>
      <c r="C2938" s="12" t="str">
        <f>IFERROR(VLOOKUP(D2938,'[1]Перечень товаров'!$A$2:$I9525,3,0),"")</f>
        <v>Мебель</v>
      </c>
      <c r="D2938" s="44" t="s">
        <v>884</v>
      </c>
      <c r="E2938" s="102"/>
      <c r="F2938" s="102"/>
      <c r="G2938" s="24">
        <v>1</v>
      </c>
      <c r="H2938" s="24"/>
      <c r="I2938" s="25"/>
      <c r="J2938" s="25"/>
      <c r="K2938" s="19"/>
      <c r="L2938" s="20"/>
    </row>
    <row r="2939" spans="1:12" ht="12.75" outlineLevel="1">
      <c r="A2939" s="11"/>
      <c r="B2939" s="12" t="str">
        <f>IFERROR(VLOOKUP(D2939,'[1]Перечень товаров'!$A$2:$I9525,2,0),"")</f>
        <v/>
      </c>
      <c r="C2939" s="12" t="str">
        <f>IFERROR(VLOOKUP(D2939,'[1]Перечень товаров'!$A$2:$I9525,3,0),"")</f>
        <v/>
      </c>
      <c r="D2939" s="27" t="s">
        <v>871</v>
      </c>
      <c r="E2939" s="99">
        <v>46128</v>
      </c>
      <c r="F2939" s="99"/>
      <c r="G2939" s="100"/>
      <c r="H2939" s="100"/>
      <c r="I2939" s="101"/>
      <c r="J2939" s="101"/>
      <c r="K2939" s="19"/>
      <c r="L2939" s="20"/>
    </row>
    <row r="2940" spans="1:12" outlineLevel="2">
      <c r="A2940" s="22"/>
      <c r="B2940" s="12" t="str">
        <f>IFERROR(VLOOKUP(D2940,'[1]Перечень товаров'!$A$2:$I9525,2,0),"")</f>
        <v>м14</v>
      </c>
      <c r="C2940" s="12" t="str">
        <f>IFERROR(VLOOKUP(D2940,'[1]Перечень товаров'!$A$2:$I9525,3,0),"")</f>
        <v>Мебель</v>
      </c>
      <c r="D2940" s="22" t="s">
        <v>43</v>
      </c>
      <c r="E2940" s="203"/>
      <c r="F2940" s="203"/>
      <c r="G2940" s="24">
        <v>1</v>
      </c>
      <c r="H2940" s="24"/>
      <c r="I2940" s="25"/>
      <c r="J2940" s="25"/>
      <c r="K2940" s="19"/>
      <c r="L2940" s="20"/>
    </row>
    <row r="2941" spans="1:12" outlineLevel="2">
      <c r="A2941" s="21"/>
      <c r="B2941" s="12" t="str">
        <f>IFERROR(VLOOKUP(D2941,'[1]Перечень товаров'!$A$2:$I9525,2,0),"")</f>
        <v>м167</v>
      </c>
      <c r="C2941" s="12" t="str">
        <f>IFERROR(VLOOKUP(D2941,'[1]Перечень товаров'!$A$2:$I9525,3,0),"")</f>
        <v>Мебель</v>
      </c>
      <c r="D2941" s="22" t="s">
        <v>508</v>
      </c>
      <c r="E2941" s="203"/>
      <c r="F2941" s="203"/>
      <c r="G2941" s="24">
        <v>1</v>
      </c>
      <c r="H2941" s="24"/>
      <c r="I2941" s="25"/>
      <c r="J2941" s="25"/>
      <c r="K2941" s="19"/>
      <c r="L2941" s="20"/>
    </row>
    <row r="2942" spans="1:12" outlineLevel="2">
      <c r="A2942" s="21"/>
      <c r="B2942" s="12" t="str">
        <f>IFERROR(VLOOKUP(D2942,'[1]Перечень товаров'!$A$2:$I9525,2,0),"")</f>
        <v>м218</v>
      </c>
      <c r="C2942" s="12" t="str">
        <f>IFERROR(VLOOKUP(D2942,'[1]Перечень товаров'!$A$2:$I9525,3,0),"")</f>
        <v>Мебель</v>
      </c>
      <c r="D2942" s="22" t="s">
        <v>872</v>
      </c>
      <c r="E2942" s="203"/>
      <c r="F2942" s="203"/>
      <c r="G2942" s="24">
        <v>2</v>
      </c>
      <c r="H2942" s="24"/>
      <c r="I2942" s="25"/>
      <c r="J2942" s="25"/>
      <c r="K2942" s="19"/>
      <c r="L2942" s="20"/>
    </row>
    <row r="2943" spans="1:12" outlineLevel="2">
      <c r="A2943" s="21"/>
      <c r="B2943" s="12" t="str">
        <f>IFERROR(VLOOKUP(D2943,'[1]Перечень товаров'!$A$2:$I9525,2,0),"")</f>
        <v>м219</v>
      </c>
      <c r="C2943" s="12" t="str">
        <f>IFERROR(VLOOKUP(D2943,'[1]Перечень товаров'!$A$2:$I9525,3,0),"")</f>
        <v>Мебель</v>
      </c>
      <c r="D2943" s="22" t="s">
        <v>873</v>
      </c>
      <c r="E2943" s="203"/>
      <c r="F2943" s="203"/>
      <c r="G2943" s="24">
        <v>4</v>
      </c>
      <c r="H2943" s="24"/>
      <c r="I2943" s="25"/>
      <c r="J2943" s="25"/>
      <c r="K2943" s="19"/>
      <c r="L2943" s="20"/>
    </row>
    <row r="2944" spans="1:12" outlineLevel="2">
      <c r="A2944" s="21"/>
      <c r="B2944" s="12" t="str">
        <f>IFERROR(VLOOKUP(D2944,'[1]Перечень товаров'!$A$2:$I9525,2,0),"")</f>
        <v>м220</v>
      </c>
      <c r="C2944" s="12" t="str">
        <f>IFERROR(VLOOKUP(D2944,'[1]Перечень товаров'!$A$2:$I9525,3,0),"")</f>
        <v>Мебель</v>
      </c>
      <c r="D2944" s="22" t="s">
        <v>874</v>
      </c>
      <c r="E2944" s="203"/>
      <c r="F2944" s="203"/>
      <c r="G2944" s="24">
        <v>1</v>
      </c>
      <c r="H2944" s="24"/>
      <c r="I2944" s="25"/>
      <c r="J2944" s="25"/>
      <c r="K2944" s="19"/>
      <c r="L2944" s="20"/>
    </row>
    <row r="2945" spans="1:12" outlineLevel="2">
      <c r="A2945" s="21"/>
      <c r="B2945" s="12" t="str">
        <f>IFERROR(VLOOKUP(D2945,'[1]Перечень товаров'!$A$2:$I9525,2,0),"")</f>
        <v>м187</v>
      </c>
      <c r="C2945" s="12" t="str">
        <f>IFERROR(VLOOKUP(D2945,'[1]Перечень товаров'!$A$2:$I9525,3,0),"")</f>
        <v>мебель</v>
      </c>
      <c r="D2945" s="22" t="s">
        <v>877</v>
      </c>
      <c r="E2945" s="203"/>
      <c r="F2945" s="203"/>
      <c r="G2945" s="24">
        <v>1</v>
      </c>
      <c r="H2945" s="24"/>
      <c r="I2945" s="25"/>
      <c r="J2945" s="25"/>
      <c r="K2945" s="19"/>
      <c r="L2945" s="20"/>
    </row>
    <row r="2946" spans="1:12" outlineLevel="2">
      <c r="A2946" s="21"/>
      <c r="B2946" s="12" t="str">
        <f>IFERROR(VLOOKUP(D2946,'[1]Перечень товаров'!$A$2:$I9525,2,0),"")</f>
        <v>м30</v>
      </c>
      <c r="C2946" s="12" t="str">
        <f>IFERROR(VLOOKUP(D2946,'[1]Перечень товаров'!$A$2:$I9525,3,0),"")</f>
        <v>Мебель</v>
      </c>
      <c r="D2946" s="22" t="s">
        <v>181</v>
      </c>
      <c r="E2946" s="203"/>
      <c r="F2946" s="203"/>
      <c r="G2946" s="24">
        <v>2</v>
      </c>
      <c r="H2946" s="24"/>
      <c r="I2946" s="25"/>
      <c r="J2946" s="25"/>
      <c r="K2946" s="19"/>
      <c r="L2946" s="20"/>
    </row>
    <row r="2947" spans="1:12" outlineLevel="2">
      <c r="A2947" s="21"/>
      <c r="B2947" s="12" t="str">
        <f>IFERROR(VLOOKUP(D2947,'[1]Перечень товаров'!$A$2:$I9525,2,0),"")</f>
        <v>м221</v>
      </c>
      <c r="C2947" s="12" t="str">
        <f>IFERROR(VLOOKUP(D2947,'[1]Перечень товаров'!$A$2:$I9525,3,0),"")</f>
        <v>Мебель</v>
      </c>
      <c r="D2947" s="22" t="s">
        <v>878</v>
      </c>
      <c r="E2947" s="203"/>
      <c r="F2947" s="203"/>
      <c r="G2947" s="24">
        <v>2</v>
      </c>
      <c r="H2947" s="24"/>
      <c r="I2947" s="25"/>
      <c r="J2947" s="25"/>
      <c r="K2947" s="19"/>
      <c r="L2947" s="20"/>
    </row>
    <row r="2948" spans="1:12" outlineLevel="1">
      <c r="A2948" s="21"/>
      <c r="B2948" s="12" t="str">
        <f>IFERROR(VLOOKUP(D2948,'[1]Перечень товаров'!$A$2:$I9525,2,0),"")</f>
        <v/>
      </c>
      <c r="C2948" s="12" t="str">
        <f>IFERROR(VLOOKUP(D2948,'[1]Перечень товаров'!$A$2:$I9525,3,0),"")</f>
        <v/>
      </c>
      <c r="D2948" s="22" t="s">
        <v>885</v>
      </c>
      <c r="E2948" s="23" t="s">
        <v>375</v>
      </c>
      <c r="F2948" s="23"/>
      <c r="G2948" s="24"/>
      <c r="H2948" s="24"/>
      <c r="I2948" s="25"/>
      <c r="J2948" s="25"/>
      <c r="K2948" s="19"/>
      <c r="L2948" s="20"/>
    </row>
    <row r="2949" spans="1:12" outlineLevel="1">
      <c r="A2949" s="21"/>
      <c r="B2949" s="12" t="str">
        <f>IFERROR(VLOOKUP(D2949,'[1]Перечень товаров'!$A$2:$I9525,2,0),"")</f>
        <v/>
      </c>
      <c r="C2949" s="12" t="str">
        <f>IFERROR(VLOOKUP(D2949,'[1]Перечень товаров'!$A$2:$I9525,3,0),"")</f>
        <v/>
      </c>
      <c r="D2949" s="22" t="s">
        <v>894</v>
      </c>
      <c r="E2949" s="23" t="s">
        <v>895</v>
      </c>
      <c r="F2949" s="23"/>
      <c r="G2949" s="24"/>
      <c r="H2949" s="24"/>
      <c r="I2949" s="25"/>
      <c r="J2949" s="25"/>
      <c r="K2949" s="19"/>
      <c r="L2949" s="20"/>
    </row>
    <row r="2950" spans="1:12" ht="12.75" outlineLevel="1">
      <c r="A2950" s="11"/>
      <c r="B2950" s="12" t="str">
        <f>IFERROR(VLOOKUP(D2950,'[1]Перечень товаров'!$A$2:$I9525,2,0),"")</f>
        <v/>
      </c>
      <c r="C2950" s="12" t="str">
        <f>IFERROR(VLOOKUP(D2950,'[1]Перечень товаров'!$A$2:$I9525,3,0),"")</f>
        <v/>
      </c>
      <c r="D2950" s="27" t="s">
        <v>896</v>
      </c>
      <c r="E2950" s="14" t="s">
        <v>897</v>
      </c>
      <c r="F2950" s="14"/>
      <c r="G2950" s="204" t="s">
        <v>898</v>
      </c>
      <c r="H2950" s="17"/>
      <c r="I2950" s="57"/>
      <c r="J2950" s="57"/>
      <c r="K2950" s="19"/>
      <c r="L2950" s="20"/>
    </row>
    <row r="2951" spans="1:12" outlineLevel="2">
      <c r="A2951" s="21"/>
      <c r="B2951" s="12" t="str">
        <f>IFERROR(VLOOKUP(D2951,'[1]Перечень товаров'!$A$2:$I9525,2,0),"")</f>
        <v>д562</v>
      </c>
      <c r="C2951" s="12" t="str">
        <f>IFERROR(VLOOKUP(D2951,'[1]Перечень товаров'!$A$2:$I9525,3,0),"")</f>
        <v>Дидактика</v>
      </c>
      <c r="D2951" s="22" t="s">
        <v>899</v>
      </c>
      <c r="E2951" s="23"/>
      <c r="F2951" s="23"/>
      <c r="G2951" s="24">
        <v>1</v>
      </c>
      <c r="H2951" s="24"/>
      <c r="I2951" s="25"/>
      <c r="J2951" s="25"/>
      <c r="K2951" s="19"/>
      <c r="L2951" s="20"/>
    </row>
    <row r="2952" spans="1:12" ht="31.5" outlineLevel="2">
      <c r="A2952" s="21"/>
      <c r="B2952" s="12" t="str">
        <f>IFERROR(VLOOKUP(D2952,'[1]Перечень товаров'!$A$2:$I9525,2,0),"")</f>
        <v>д563</v>
      </c>
      <c r="C2952" s="12" t="str">
        <f>IFERROR(VLOOKUP(D2952,'[1]Перечень товаров'!$A$2:$I9525,3,0),"")</f>
        <v>Дидактика</v>
      </c>
      <c r="D2952" s="22" t="s">
        <v>900</v>
      </c>
      <c r="E2952" s="23"/>
      <c r="F2952" s="23"/>
      <c r="G2952" s="24">
        <v>1</v>
      </c>
      <c r="H2952" s="24"/>
      <c r="I2952" s="25"/>
      <c r="J2952" s="25"/>
      <c r="K2952" s="19"/>
      <c r="L2952" s="20"/>
    </row>
    <row r="2953" spans="1:12" ht="31.5" outlineLevel="2">
      <c r="A2953" s="21"/>
      <c r="B2953" s="12" t="str">
        <f>IFERROR(VLOOKUP(D2953,'[1]Перечень товаров'!$A$2:$I9525,2,0),"")</f>
        <v>д564</v>
      </c>
      <c r="C2953" s="12" t="str">
        <f>IFERROR(VLOOKUP(D2953,'[1]Перечень товаров'!$A$2:$I9525,3,0),"")</f>
        <v>Дидактика</v>
      </c>
      <c r="D2953" s="22" t="s">
        <v>901</v>
      </c>
      <c r="E2953" s="23"/>
      <c r="F2953" s="23"/>
      <c r="G2953" s="24">
        <v>1</v>
      </c>
      <c r="H2953" s="24"/>
      <c r="I2953" s="25"/>
      <c r="J2953" s="25"/>
      <c r="K2953" s="19"/>
      <c r="L2953" s="20"/>
    </row>
    <row r="2954" spans="1:12" ht="31.5" outlineLevel="2">
      <c r="A2954" s="21"/>
      <c r="B2954" s="12" t="str">
        <f>IFERROR(VLOOKUP(D2954,'[1]Перечень товаров'!$A$2:$I9525,2,0),"")</f>
        <v>д565</v>
      </c>
      <c r="C2954" s="12" t="str">
        <f>IFERROR(VLOOKUP(D2954,'[1]Перечень товаров'!$A$2:$I9525,3,0),"")</f>
        <v>Дидактика</v>
      </c>
      <c r="D2954" s="22" t="s">
        <v>902</v>
      </c>
      <c r="E2954" s="23"/>
      <c r="F2954" s="23"/>
      <c r="G2954" s="24">
        <v>1</v>
      </c>
      <c r="H2954" s="24"/>
      <c r="I2954" s="25"/>
      <c r="J2954" s="25"/>
      <c r="K2954" s="19"/>
      <c r="L2954" s="20"/>
    </row>
    <row r="2955" spans="1:12" ht="31.5" outlineLevel="2">
      <c r="A2955" s="21"/>
      <c r="B2955" s="12" t="str">
        <f>IFERROR(VLOOKUP(D2955,'[1]Перечень товаров'!$A$2:$I9525,2,0),"")</f>
        <v>д566</v>
      </c>
      <c r="C2955" s="12" t="str">
        <f>IFERROR(VLOOKUP(D2955,'[1]Перечень товаров'!$A$2:$I9525,3,0),"")</f>
        <v>Дидактика</v>
      </c>
      <c r="D2955" s="22" t="s">
        <v>903</v>
      </c>
      <c r="E2955" s="23"/>
      <c r="F2955" s="23"/>
      <c r="G2955" s="24">
        <v>1</v>
      </c>
      <c r="H2955" s="24"/>
      <c r="I2955" s="25"/>
      <c r="J2955" s="25"/>
      <c r="K2955" s="19"/>
      <c r="L2955" s="20"/>
    </row>
    <row r="2956" spans="1:12" outlineLevel="2">
      <c r="A2956" s="21"/>
      <c r="B2956" s="12" t="str">
        <f>IFERROR(VLOOKUP(D2956,'[1]Перечень товаров'!$A$2:$I9525,2,0),"")</f>
        <v>д567</v>
      </c>
      <c r="C2956" s="12" t="str">
        <f>IFERROR(VLOOKUP(D2956,'[1]Перечень товаров'!$A$2:$I9525,3,0),"")</f>
        <v>Дидактика</v>
      </c>
      <c r="D2956" s="22" t="s">
        <v>904</v>
      </c>
      <c r="E2956" s="23"/>
      <c r="F2956" s="23"/>
      <c r="G2956" s="24">
        <v>1</v>
      </c>
      <c r="H2956" s="24"/>
      <c r="I2956" s="25"/>
      <c r="J2956" s="25"/>
      <c r="K2956" s="19"/>
      <c r="L2956" s="20"/>
    </row>
    <row r="2957" spans="1:12" outlineLevel="2">
      <c r="A2957" s="21"/>
      <c r="B2957" s="12" t="str">
        <f>IFERROR(VLOOKUP(D2957,'[1]Перечень товаров'!$A$2:$I9525,2,0),"")</f>
        <v>д568</v>
      </c>
      <c r="C2957" s="12" t="str">
        <f>IFERROR(VLOOKUP(D2957,'[1]Перечень товаров'!$A$2:$I9525,3,0),"")</f>
        <v>Дидактика</v>
      </c>
      <c r="D2957" s="22" t="s">
        <v>905</v>
      </c>
      <c r="E2957" s="23"/>
      <c r="F2957" s="23"/>
      <c r="G2957" s="24">
        <v>2</v>
      </c>
      <c r="H2957" s="24"/>
      <c r="I2957" s="25"/>
      <c r="J2957" s="25"/>
      <c r="K2957" s="19"/>
      <c r="L2957" s="20"/>
    </row>
    <row r="2958" spans="1:12" outlineLevel="2">
      <c r="A2958" s="21"/>
      <c r="B2958" s="12" t="str">
        <f>IFERROR(VLOOKUP(D2958,'[1]Перечень товаров'!$A$2:$I9525,2,0),"")</f>
        <v>д569</v>
      </c>
      <c r="C2958" s="12" t="str">
        <f>IFERROR(VLOOKUP(D2958,'[1]Перечень товаров'!$A$2:$I9525,3,0),"")</f>
        <v>Дидактика</v>
      </c>
      <c r="D2958" s="22" t="s">
        <v>906</v>
      </c>
      <c r="E2958" s="23"/>
      <c r="F2958" s="23"/>
      <c r="G2958" s="24">
        <v>1</v>
      </c>
      <c r="H2958" s="24"/>
      <c r="I2958" s="25"/>
      <c r="J2958" s="25"/>
      <c r="K2958" s="19"/>
      <c r="L2958" s="20"/>
    </row>
    <row r="2959" spans="1:12" outlineLevel="2">
      <c r="A2959" s="21"/>
      <c r="B2959" s="12" t="str">
        <f>IFERROR(VLOOKUP(D2959,'[1]Перечень товаров'!$A$2:$I9525,2,0),"")</f>
        <v>д569</v>
      </c>
      <c r="C2959" s="12" t="str">
        <f>IFERROR(VLOOKUP(D2959,'[1]Перечень товаров'!$A$2:$I9525,3,0),"")</f>
        <v>Дидактика</v>
      </c>
      <c r="D2959" s="22" t="s">
        <v>906</v>
      </c>
      <c r="E2959" s="23"/>
      <c r="F2959" s="23"/>
      <c r="G2959" s="24">
        <v>1</v>
      </c>
      <c r="H2959" s="24"/>
      <c r="I2959" s="25"/>
      <c r="J2959" s="25"/>
      <c r="K2959" s="19"/>
      <c r="L2959" s="20"/>
    </row>
    <row r="2960" spans="1:12" outlineLevel="2">
      <c r="A2960" s="21"/>
      <c r="B2960" s="12" t="str">
        <f>IFERROR(VLOOKUP(D2960,'[1]Перечень товаров'!$A$2:$I9525,2,0),"")</f>
        <v>д570</v>
      </c>
      <c r="C2960" s="12" t="str">
        <f>IFERROR(VLOOKUP(D2960,'[1]Перечень товаров'!$A$2:$I9525,3,0),"")</f>
        <v>Дидактика</v>
      </c>
      <c r="D2960" s="22" t="s">
        <v>907</v>
      </c>
      <c r="E2960" s="23"/>
      <c r="F2960" s="23"/>
      <c r="G2960" s="24">
        <v>1</v>
      </c>
      <c r="H2960" s="24"/>
      <c r="I2960" s="25"/>
      <c r="J2960" s="25"/>
      <c r="K2960" s="19"/>
      <c r="L2960" s="20"/>
    </row>
    <row r="2961" spans="1:12" outlineLevel="2">
      <c r="A2961" s="21"/>
      <c r="B2961" s="12" t="str">
        <f>IFERROR(VLOOKUP(D2961,'[1]Перечень товаров'!$A$2:$I9525,2,0),"")</f>
        <v>д571</v>
      </c>
      <c r="C2961" s="12" t="str">
        <f>IFERROR(VLOOKUP(D2961,'[1]Перечень товаров'!$A$2:$I9525,3,0),"")</f>
        <v>Дидактика</v>
      </c>
      <c r="D2961" s="22" t="s">
        <v>908</v>
      </c>
      <c r="E2961" s="23"/>
      <c r="F2961" s="23"/>
      <c r="G2961" s="24">
        <v>1</v>
      </c>
      <c r="H2961" s="24"/>
      <c r="I2961" s="25"/>
      <c r="J2961" s="25"/>
      <c r="K2961" s="19"/>
      <c r="L2961" s="20"/>
    </row>
    <row r="2962" spans="1:12" outlineLevel="2">
      <c r="A2962" s="21"/>
      <c r="B2962" s="12" t="str">
        <f>IFERROR(VLOOKUP(D2962,'[1]Перечень товаров'!$A$2:$I9525,2,0),"")</f>
        <v>д572</v>
      </c>
      <c r="C2962" s="12" t="str">
        <f>IFERROR(VLOOKUP(D2962,'[1]Перечень товаров'!$A$2:$I9525,3,0),"")</f>
        <v>Дидактика</v>
      </c>
      <c r="D2962" s="22" t="s">
        <v>909</v>
      </c>
      <c r="E2962" s="23"/>
      <c r="F2962" s="23"/>
      <c r="G2962" s="24">
        <v>1</v>
      </c>
      <c r="H2962" s="24"/>
      <c r="I2962" s="25"/>
      <c r="J2962" s="25"/>
      <c r="K2962" s="19"/>
      <c r="L2962" s="20"/>
    </row>
    <row r="2963" spans="1:12" outlineLevel="2">
      <c r="A2963" s="21"/>
      <c r="B2963" s="12" t="str">
        <f>IFERROR(VLOOKUP(D2963,'[1]Перечень товаров'!$A$2:$I9525,2,0),"")</f>
        <v>д573</v>
      </c>
      <c r="C2963" s="12" t="str">
        <f>IFERROR(VLOOKUP(D2963,'[1]Перечень товаров'!$A$2:$I9525,3,0),"")</f>
        <v>Дидактика</v>
      </c>
      <c r="D2963" s="22" t="s">
        <v>910</v>
      </c>
      <c r="E2963" s="23"/>
      <c r="F2963" s="23"/>
      <c r="G2963" s="24">
        <v>1</v>
      </c>
      <c r="H2963" s="24"/>
      <c r="I2963" s="25"/>
      <c r="J2963" s="25"/>
      <c r="K2963" s="19"/>
      <c r="L2963" s="20"/>
    </row>
    <row r="2964" spans="1:12" outlineLevel="2">
      <c r="A2964" s="21"/>
      <c r="B2964" s="12" t="str">
        <f>IFERROR(VLOOKUP(D2964,'[1]Перечень товаров'!$A$2:$I9525,2,0),"")</f>
        <v>д574</v>
      </c>
      <c r="C2964" s="12" t="str">
        <f>IFERROR(VLOOKUP(D2964,'[1]Перечень товаров'!$A$2:$I9525,3,0),"")</f>
        <v>Дидактика</v>
      </c>
      <c r="D2964" s="22" t="s">
        <v>911</v>
      </c>
      <c r="E2964" s="23"/>
      <c r="F2964" s="23"/>
      <c r="G2964" s="24">
        <v>1</v>
      </c>
      <c r="H2964" s="24"/>
      <c r="I2964" s="25"/>
      <c r="J2964" s="25"/>
      <c r="K2964" s="19"/>
      <c r="L2964" s="20"/>
    </row>
    <row r="2965" spans="1:12" ht="31.5" outlineLevel="2">
      <c r="A2965" s="21"/>
      <c r="B2965" s="12" t="str">
        <f>IFERROR(VLOOKUP(D2965,'[1]Перечень товаров'!$A$2:$I9525,2,0),"")</f>
        <v>д575</v>
      </c>
      <c r="C2965" s="12" t="str">
        <f>IFERROR(VLOOKUP(D2965,'[1]Перечень товаров'!$A$2:$I9525,3,0),"")</f>
        <v>Дидактика</v>
      </c>
      <c r="D2965" s="22" t="s">
        <v>912</v>
      </c>
      <c r="E2965" s="23"/>
      <c r="F2965" s="23"/>
      <c r="G2965" s="24">
        <v>1</v>
      </c>
      <c r="H2965" s="24"/>
      <c r="I2965" s="25"/>
      <c r="J2965" s="25"/>
      <c r="K2965" s="19"/>
      <c r="L2965" s="20"/>
    </row>
    <row r="2966" spans="1:12" ht="12.75" outlineLevel="1">
      <c r="A2966" s="11"/>
      <c r="B2966" s="12" t="str">
        <f>IFERROR(VLOOKUP(D2966,'[1]Перечень товаров'!$A$2:$I9525,2,0),"")</f>
        <v/>
      </c>
      <c r="C2966" s="12" t="str">
        <f>IFERROR(VLOOKUP(D2966,'[1]Перечень товаров'!$A$2:$I9525,3,0),"")</f>
        <v/>
      </c>
      <c r="D2966" s="27" t="s">
        <v>913</v>
      </c>
      <c r="E2966" s="99">
        <v>46158</v>
      </c>
      <c r="F2966" s="99"/>
      <c r="G2966" s="100"/>
      <c r="H2966" s="100"/>
      <c r="I2966" s="101"/>
      <c r="J2966" s="101"/>
      <c r="K2966" s="19"/>
      <c r="L2966" s="20"/>
    </row>
    <row r="2967" spans="1:12" outlineLevel="2">
      <c r="A2967" s="22"/>
      <c r="B2967" s="12" t="str">
        <f>IFERROR(VLOOKUP(D2967,'[1]Перечень товаров'!$A$2:$I9525,2,0),"")</f>
        <v>м14</v>
      </c>
      <c r="C2967" s="12" t="str">
        <f>IFERROR(VLOOKUP(D2967,'[1]Перечень товаров'!$A$2:$I9525,3,0),"")</f>
        <v>Мебель</v>
      </c>
      <c r="D2967" s="22" t="s">
        <v>43</v>
      </c>
      <c r="E2967" s="203"/>
      <c r="F2967" s="203"/>
      <c r="G2967" s="24">
        <v>1</v>
      </c>
      <c r="H2967" s="24"/>
      <c r="I2967" s="25"/>
      <c r="J2967" s="25"/>
      <c r="K2967" s="19"/>
      <c r="L2967" s="20"/>
    </row>
    <row r="2968" spans="1:12" outlineLevel="2">
      <c r="A2968" s="21"/>
      <c r="B2968" s="12" t="str">
        <f>IFERROR(VLOOKUP(D2968,'[1]Перечень товаров'!$A$2:$I9525,2,0),"")</f>
        <v>м167</v>
      </c>
      <c r="C2968" s="12" t="str">
        <f>IFERROR(VLOOKUP(D2968,'[1]Перечень товаров'!$A$2:$I9525,3,0),"")</f>
        <v>Мебель</v>
      </c>
      <c r="D2968" s="22" t="s">
        <v>508</v>
      </c>
      <c r="E2968" s="203"/>
      <c r="F2968" s="203"/>
      <c r="G2968" s="24">
        <v>1</v>
      </c>
      <c r="H2968" s="24"/>
      <c r="I2968" s="25"/>
      <c r="J2968" s="25"/>
      <c r="K2968" s="19"/>
      <c r="L2968" s="20"/>
    </row>
    <row r="2969" spans="1:12" outlineLevel="2">
      <c r="A2969" s="21"/>
      <c r="B2969" s="12" t="str">
        <f>IFERROR(VLOOKUP(D2969,'[1]Перечень товаров'!$A$2:$I9525,2,0),"")</f>
        <v>м218</v>
      </c>
      <c r="C2969" s="12" t="str">
        <f>IFERROR(VLOOKUP(D2969,'[1]Перечень товаров'!$A$2:$I9525,3,0),"")</f>
        <v>Мебель</v>
      </c>
      <c r="D2969" s="22" t="s">
        <v>872</v>
      </c>
      <c r="E2969" s="203"/>
      <c r="F2969" s="203"/>
      <c r="G2969" s="24">
        <v>2</v>
      </c>
      <c r="H2969" s="24"/>
      <c r="I2969" s="25"/>
      <c r="J2969" s="25"/>
      <c r="K2969" s="19"/>
      <c r="L2969" s="20"/>
    </row>
    <row r="2970" spans="1:12" outlineLevel="2">
      <c r="A2970" s="21"/>
      <c r="B2970" s="12" t="str">
        <f>IFERROR(VLOOKUP(D2970,'[1]Перечень товаров'!$A$2:$I9525,2,0),"")</f>
        <v>м219</v>
      </c>
      <c r="C2970" s="12" t="str">
        <f>IFERROR(VLOOKUP(D2970,'[1]Перечень товаров'!$A$2:$I9525,3,0),"")</f>
        <v>Мебель</v>
      </c>
      <c r="D2970" s="22" t="s">
        <v>873</v>
      </c>
      <c r="E2970" s="203"/>
      <c r="F2970" s="203"/>
      <c r="G2970" s="24">
        <v>4</v>
      </c>
      <c r="H2970" s="24"/>
      <c r="I2970" s="25"/>
      <c r="J2970" s="25"/>
      <c r="K2970" s="19"/>
      <c r="L2970" s="20"/>
    </row>
    <row r="2971" spans="1:12" outlineLevel="2">
      <c r="A2971" s="21"/>
      <c r="B2971" s="12" t="str">
        <f>IFERROR(VLOOKUP(D2971,'[1]Перечень товаров'!$A$2:$I9525,2,0),"")</f>
        <v>м220</v>
      </c>
      <c r="C2971" s="12" t="str">
        <f>IFERROR(VLOOKUP(D2971,'[1]Перечень товаров'!$A$2:$I9525,3,0),"")</f>
        <v>Мебель</v>
      </c>
      <c r="D2971" s="22" t="s">
        <v>874</v>
      </c>
      <c r="E2971" s="203"/>
      <c r="F2971" s="203"/>
      <c r="G2971" s="24">
        <v>1</v>
      </c>
      <c r="H2971" s="24"/>
      <c r="I2971" s="25"/>
      <c r="J2971" s="25"/>
      <c r="K2971" s="19"/>
      <c r="L2971" s="20"/>
    </row>
    <row r="2972" spans="1:12" outlineLevel="2">
      <c r="A2972" s="21"/>
      <c r="B2972" s="12" t="str">
        <f>IFERROR(VLOOKUP(D2972,'[1]Перечень товаров'!$A$2:$I9525,2,0),"")</f>
        <v>м187</v>
      </c>
      <c r="C2972" s="12" t="str">
        <f>IFERROR(VLOOKUP(D2972,'[1]Перечень товаров'!$A$2:$I9525,3,0),"")</f>
        <v>мебель</v>
      </c>
      <c r="D2972" s="22" t="s">
        <v>877</v>
      </c>
      <c r="E2972" s="203"/>
      <c r="F2972" s="203"/>
      <c r="G2972" s="24">
        <v>1</v>
      </c>
      <c r="H2972" s="24"/>
      <c r="I2972" s="25"/>
      <c r="J2972" s="25"/>
      <c r="K2972" s="19"/>
      <c r="L2972" s="20"/>
    </row>
    <row r="2973" spans="1:12" outlineLevel="2">
      <c r="A2973" s="21"/>
      <c r="B2973" s="12" t="str">
        <f>IFERROR(VLOOKUP(D2973,'[1]Перечень товаров'!$A$2:$I9525,2,0),"")</f>
        <v>м30</v>
      </c>
      <c r="C2973" s="12" t="str">
        <f>IFERROR(VLOOKUP(D2973,'[1]Перечень товаров'!$A$2:$I9525,3,0),"")</f>
        <v>Мебель</v>
      </c>
      <c r="D2973" s="22" t="s">
        <v>181</v>
      </c>
      <c r="E2973" s="203"/>
      <c r="F2973" s="203"/>
      <c r="G2973" s="24">
        <v>2</v>
      </c>
      <c r="H2973" s="24"/>
      <c r="I2973" s="25"/>
      <c r="J2973" s="25"/>
      <c r="K2973" s="19"/>
      <c r="L2973" s="20"/>
    </row>
    <row r="2974" spans="1:12" outlineLevel="2">
      <c r="A2974" s="21"/>
      <c r="B2974" s="12" t="str">
        <f>IFERROR(VLOOKUP(D2974,'[1]Перечень товаров'!$A$2:$I9525,2,0),"")</f>
        <v>м221</v>
      </c>
      <c r="C2974" s="12" t="str">
        <f>IFERROR(VLOOKUP(D2974,'[1]Перечень товаров'!$A$2:$I9525,3,0),"")</f>
        <v>Мебель</v>
      </c>
      <c r="D2974" s="22" t="s">
        <v>878</v>
      </c>
      <c r="E2974" s="203"/>
      <c r="F2974" s="203"/>
      <c r="G2974" s="24">
        <v>2</v>
      </c>
      <c r="H2974" s="24"/>
      <c r="I2974" s="25"/>
      <c r="J2974" s="25"/>
      <c r="K2974" s="19"/>
      <c r="L2974" s="20"/>
    </row>
    <row r="2975" spans="1:12" ht="12.75" outlineLevel="1">
      <c r="A2975" s="11"/>
      <c r="B2975" s="12" t="str">
        <f>IFERROR(VLOOKUP(D2975,'[1]Перечень товаров'!$A$2:$I9525,2,0),"")</f>
        <v/>
      </c>
      <c r="C2975" s="12" t="str">
        <f>IFERROR(VLOOKUP(D2975,'[1]Перечень товаров'!$A$2:$I9525,3,0),"")</f>
        <v/>
      </c>
      <c r="D2975" s="27" t="s">
        <v>914</v>
      </c>
      <c r="E2975" s="99">
        <v>46178</v>
      </c>
      <c r="F2975" s="99"/>
      <c r="G2975" s="100"/>
      <c r="H2975" s="100"/>
      <c r="I2975" s="101"/>
      <c r="J2975" s="101"/>
      <c r="K2975" s="19"/>
      <c r="L2975" s="20"/>
    </row>
    <row r="2976" spans="1:12" outlineLevel="2">
      <c r="A2976" s="22"/>
      <c r="B2976" s="12" t="str">
        <f>IFERROR(VLOOKUP(D2976,'[1]Перечень товаров'!$A$2:$I9525,2,0),"")</f>
        <v>п25</v>
      </c>
      <c r="C2976" s="12" t="str">
        <f>IFERROR(VLOOKUP(D2976,'[1]Перечень товаров'!$A$2:$I9525,3,0),"")</f>
        <v>Прочее</v>
      </c>
      <c r="D2976" s="22" t="s">
        <v>360</v>
      </c>
      <c r="E2976" s="102"/>
      <c r="F2976" s="102"/>
      <c r="G2976" s="48">
        <v>3</v>
      </c>
      <c r="H2976" s="48"/>
      <c r="I2976" s="49"/>
      <c r="J2976" s="49"/>
      <c r="K2976" s="19"/>
      <c r="L2976" s="20"/>
    </row>
    <row r="2977" spans="1:12" outlineLevel="2">
      <c r="A2977" s="21"/>
      <c r="B2977" s="12" t="str">
        <f>IFERROR(VLOOKUP(D2977,'[1]Перечень товаров'!$A$2:$I9525,2,0),"")</f>
        <v>п26</v>
      </c>
      <c r="C2977" s="12" t="str">
        <f>IFERROR(VLOOKUP(D2977,'[1]Перечень товаров'!$A$2:$I9525,3,0),"")</f>
        <v>Прочее</v>
      </c>
      <c r="D2977" s="22" t="s">
        <v>361</v>
      </c>
      <c r="E2977" s="102"/>
      <c r="F2977" s="102"/>
      <c r="G2977" s="48">
        <v>2</v>
      </c>
      <c r="H2977" s="48"/>
      <c r="I2977" s="49"/>
      <c r="J2977" s="49"/>
      <c r="K2977" s="19"/>
      <c r="L2977" s="20"/>
    </row>
    <row r="2978" spans="1:12" outlineLevel="2">
      <c r="A2978" s="21"/>
      <c r="B2978" s="12" t="str">
        <f>IFERROR(VLOOKUP(D2978,'[1]Перечень товаров'!$A$2:$I9525,2,0),"")</f>
        <v>п27</v>
      </c>
      <c r="C2978" s="12" t="str">
        <f>IFERROR(VLOOKUP(D2978,'[1]Перечень товаров'!$A$2:$I9525,3,0),"")</f>
        <v>Прочее</v>
      </c>
      <c r="D2978" s="22" t="s">
        <v>362</v>
      </c>
      <c r="E2978" s="102"/>
      <c r="F2978" s="102"/>
      <c r="G2978" s="48">
        <v>2</v>
      </c>
      <c r="H2978" s="48"/>
      <c r="I2978" s="49"/>
      <c r="J2978" s="49"/>
      <c r="K2978" s="19"/>
      <c r="L2978" s="20"/>
    </row>
    <row r="2979" spans="1:12" outlineLevel="2">
      <c r="A2979" s="21"/>
      <c r="B2979" s="12" t="str">
        <f>IFERROR(VLOOKUP(D2979,'[1]Перечень товаров'!$A$2:$I9525,2,0),"")</f>
        <v>п28</v>
      </c>
      <c r="C2979" s="12" t="str">
        <f>IFERROR(VLOOKUP(D2979,'[1]Перечень товаров'!$A$2:$I9525,3,0),"")</f>
        <v>Прочее</v>
      </c>
      <c r="D2979" s="22" t="s">
        <v>363</v>
      </c>
      <c r="E2979" s="102"/>
      <c r="F2979" s="102"/>
      <c r="G2979" s="48">
        <v>1</v>
      </c>
      <c r="H2979" s="48"/>
      <c r="I2979" s="49"/>
      <c r="J2979" s="49"/>
      <c r="K2979" s="19"/>
      <c r="L2979" s="20"/>
    </row>
    <row r="2980" spans="1:12" outlineLevel="2">
      <c r="A2980" s="21"/>
      <c r="B2980" s="12" t="str">
        <f>IFERROR(VLOOKUP(D2980,'[1]Перечень товаров'!$A$2:$I9525,2,0),"")</f>
        <v>п29</v>
      </c>
      <c r="C2980" s="12" t="str">
        <f>IFERROR(VLOOKUP(D2980,'[1]Перечень товаров'!$A$2:$I9525,3,0),"")</f>
        <v>Прочее</v>
      </c>
      <c r="D2980" s="22" t="s">
        <v>364</v>
      </c>
      <c r="E2980" s="102"/>
      <c r="F2980" s="102"/>
      <c r="G2980" s="48">
        <v>6</v>
      </c>
      <c r="H2980" s="48"/>
      <c r="I2980" s="49"/>
      <c r="J2980" s="49"/>
      <c r="K2980" s="19"/>
      <c r="L2980" s="20"/>
    </row>
    <row r="2981" spans="1:12" outlineLevel="2">
      <c r="A2981" s="21"/>
      <c r="B2981" s="12" t="str">
        <f>IFERROR(VLOOKUP(D2981,'[1]Перечень товаров'!$A$2:$I9525,2,0),"")</f>
        <v>п30</v>
      </c>
      <c r="C2981" s="12" t="str">
        <f>IFERROR(VLOOKUP(D2981,'[1]Перечень товаров'!$A$2:$I9525,3,0),"")</f>
        <v>Прочее</v>
      </c>
      <c r="D2981" s="22" t="s">
        <v>365</v>
      </c>
      <c r="E2981" s="102"/>
      <c r="F2981" s="102"/>
      <c r="G2981" s="48">
        <v>2</v>
      </c>
      <c r="H2981" s="48"/>
      <c r="I2981" s="49"/>
      <c r="J2981" s="49"/>
      <c r="K2981" s="19"/>
      <c r="L2981" s="20"/>
    </row>
    <row r="2982" spans="1:12" ht="31.5" outlineLevel="2">
      <c r="A2982" s="21"/>
      <c r="B2982" s="12" t="str">
        <f>IFERROR(VLOOKUP(D2982,'[1]Перечень товаров'!$A$2:$I9525,2,0),"")</f>
        <v>п31</v>
      </c>
      <c r="C2982" s="12" t="str">
        <f>IFERROR(VLOOKUP(D2982,'[1]Перечень товаров'!$A$2:$I9525,3,0),"")</f>
        <v>Прочее</v>
      </c>
      <c r="D2982" s="22" t="s">
        <v>366</v>
      </c>
      <c r="E2982" s="102"/>
      <c r="F2982" s="102"/>
      <c r="G2982" s="48">
        <v>1</v>
      </c>
      <c r="H2982" s="48"/>
      <c r="I2982" s="49"/>
      <c r="J2982" s="49"/>
      <c r="K2982" s="19"/>
      <c r="L2982" s="20"/>
    </row>
    <row r="2983" spans="1:12" ht="31.5" outlineLevel="2">
      <c r="A2983" s="21"/>
      <c r="B2983" s="12" t="str">
        <f>IFERROR(VLOOKUP(D2983,'[1]Перечень товаров'!$A$2:$I9525,2,0),"")</f>
        <v>п32</v>
      </c>
      <c r="C2983" s="12" t="str">
        <f>IFERROR(VLOOKUP(D2983,'[1]Перечень товаров'!$A$2:$I9525,3,0),"")</f>
        <v>Прочее</v>
      </c>
      <c r="D2983" s="22" t="s">
        <v>367</v>
      </c>
      <c r="E2983" s="102"/>
      <c r="F2983" s="102"/>
      <c r="G2983" s="48">
        <v>2</v>
      </c>
      <c r="H2983" s="48"/>
      <c r="I2983" s="49"/>
      <c r="J2983" s="49"/>
      <c r="K2983" s="19"/>
      <c r="L2983" s="20"/>
    </row>
    <row r="2984" spans="1:12" ht="12.75" outlineLevel="1">
      <c r="A2984" s="11"/>
      <c r="B2984" s="12" t="str">
        <f>IFERROR(VLOOKUP(D2984,'[1]Перечень товаров'!$A$2:$I9525,2,0),"")</f>
        <v/>
      </c>
      <c r="C2984" s="12" t="str">
        <f>IFERROR(VLOOKUP(D2984,'[1]Перечень товаров'!$A$2:$I9525,3,0),"")</f>
        <v/>
      </c>
      <c r="D2984" s="27" t="s">
        <v>879</v>
      </c>
      <c r="E2984" s="14" t="s">
        <v>819</v>
      </c>
      <c r="F2984" s="14"/>
      <c r="G2984" s="17"/>
      <c r="H2984" s="17"/>
      <c r="I2984" s="57"/>
      <c r="J2984" s="57"/>
      <c r="K2984" s="19"/>
      <c r="L2984" s="20"/>
    </row>
    <row r="2985" spans="1:12" outlineLevel="2">
      <c r="A2985" s="43"/>
      <c r="B2985" s="12" t="str">
        <f>IFERROR(VLOOKUP(D2985,'[1]Перечень товаров'!$A$2:$I9525,2,0),"")</f>
        <v>м222</v>
      </c>
      <c r="C2985" s="12" t="str">
        <f>IFERROR(VLOOKUP(D2985,'[1]Перечень товаров'!$A$2:$I9525,3,0),"")</f>
        <v>Мебель</v>
      </c>
      <c r="D2985" s="44" t="s">
        <v>880</v>
      </c>
      <c r="E2985" s="102"/>
      <c r="F2985" s="102"/>
      <c r="G2985" s="24">
        <v>1</v>
      </c>
      <c r="H2985" s="24"/>
      <c r="I2985" s="25"/>
      <c r="J2985" s="25"/>
      <c r="K2985" s="19"/>
      <c r="L2985" s="20"/>
    </row>
    <row r="2986" spans="1:12" outlineLevel="2">
      <c r="A2986" s="43"/>
      <c r="B2986" s="12" t="str">
        <f>IFERROR(VLOOKUP(D2986,'[1]Перечень товаров'!$A$2:$I9525,2,0),"")</f>
        <v>м223</v>
      </c>
      <c r="C2986" s="12" t="str">
        <f>IFERROR(VLOOKUP(D2986,'[1]Перечень товаров'!$A$2:$I9525,3,0),"")</f>
        <v>Мебель</v>
      </c>
      <c r="D2986" s="44" t="s">
        <v>881</v>
      </c>
      <c r="E2986" s="102"/>
      <c r="F2986" s="102"/>
      <c r="G2986" s="24">
        <v>1</v>
      </c>
      <c r="H2986" s="24"/>
      <c r="I2986" s="25"/>
      <c r="J2986" s="25"/>
      <c r="K2986" s="19"/>
      <c r="L2986" s="20"/>
    </row>
    <row r="2987" spans="1:12" outlineLevel="2">
      <c r="A2987" s="43"/>
      <c r="B2987" s="12" t="str">
        <f>IFERROR(VLOOKUP(D2987,'[1]Перечень товаров'!$A$2:$I9525,2,0),"")</f>
        <v>м224</v>
      </c>
      <c r="C2987" s="12" t="str">
        <f>IFERROR(VLOOKUP(D2987,'[1]Перечень товаров'!$A$2:$I9525,3,0),"")</f>
        <v>Мебель</v>
      </c>
      <c r="D2987" s="44" t="s">
        <v>882</v>
      </c>
      <c r="E2987" s="102"/>
      <c r="F2987" s="102"/>
      <c r="G2987" s="24">
        <v>1</v>
      </c>
      <c r="H2987" s="24"/>
      <c r="I2987" s="25"/>
      <c r="J2987" s="25"/>
      <c r="K2987" s="19"/>
      <c r="L2987" s="20"/>
    </row>
    <row r="2988" spans="1:12" outlineLevel="2">
      <c r="A2988" s="43"/>
      <c r="B2988" s="12" t="str">
        <f>IFERROR(VLOOKUP(D2988,'[1]Перечень товаров'!$A$2:$I9525,2,0),"")</f>
        <v>м225</v>
      </c>
      <c r="C2988" s="12" t="str">
        <f>IFERROR(VLOOKUP(D2988,'[1]Перечень товаров'!$A$2:$I9525,3,0),"")</f>
        <v>Мебель</v>
      </c>
      <c r="D2988" s="44" t="s">
        <v>883</v>
      </c>
      <c r="E2988" s="102"/>
      <c r="F2988" s="102"/>
      <c r="G2988" s="24">
        <v>1</v>
      </c>
      <c r="H2988" s="24"/>
      <c r="I2988" s="25"/>
      <c r="J2988" s="25"/>
      <c r="K2988" s="19"/>
      <c r="L2988" s="20"/>
    </row>
    <row r="2989" spans="1:12" outlineLevel="2">
      <c r="A2989" s="43"/>
      <c r="B2989" s="12" t="str">
        <f>IFERROR(VLOOKUP(D2989,'[1]Перечень товаров'!$A$2:$I9525,2,0),"")</f>
        <v>п28</v>
      </c>
      <c r="C2989" s="12" t="str">
        <f>IFERROR(VLOOKUP(D2989,'[1]Перечень товаров'!$A$2:$I9525,3,0),"")</f>
        <v>Прочее</v>
      </c>
      <c r="D2989" s="44" t="s">
        <v>363</v>
      </c>
      <c r="E2989" s="102"/>
      <c r="F2989" s="102"/>
      <c r="G2989" s="24">
        <v>1</v>
      </c>
      <c r="H2989" s="24"/>
      <c r="I2989" s="25"/>
      <c r="J2989" s="25"/>
      <c r="K2989" s="19"/>
      <c r="L2989" s="20"/>
    </row>
    <row r="2990" spans="1:12" outlineLevel="2">
      <c r="A2990" s="43"/>
      <c r="B2990" s="12" t="str">
        <f>IFERROR(VLOOKUP(D2990,'[1]Перечень товаров'!$A$2:$I9525,2,0),"")</f>
        <v>м226</v>
      </c>
      <c r="C2990" s="12" t="str">
        <f>IFERROR(VLOOKUP(D2990,'[1]Перечень товаров'!$A$2:$I9525,3,0),"")</f>
        <v>Мебель</v>
      </c>
      <c r="D2990" s="44" t="s">
        <v>884</v>
      </c>
      <c r="E2990" s="102"/>
      <c r="F2990" s="102"/>
      <c r="G2990" s="24">
        <v>1</v>
      </c>
      <c r="H2990" s="24"/>
      <c r="I2990" s="25"/>
      <c r="J2990" s="25"/>
      <c r="K2990" s="19"/>
      <c r="L2990" s="20"/>
    </row>
    <row r="2991" spans="1:12" ht="12.75" outlineLevel="1">
      <c r="A2991" s="11"/>
      <c r="B2991" s="12" t="str">
        <f>IFERROR(VLOOKUP(D2991,'[1]Перечень товаров'!$A$2:$I9525,2,0),"")</f>
        <v/>
      </c>
      <c r="C2991" s="12" t="str">
        <f>IFERROR(VLOOKUP(D2991,'[1]Перечень товаров'!$A$2:$I9525,3,0),"")</f>
        <v/>
      </c>
      <c r="D2991" s="27" t="s">
        <v>528</v>
      </c>
      <c r="E2991" s="99">
        <v>46057</v>
      </c>
      <c r="F2991" s="99"/>
      <c r="G2991" s="100"/>
      <c r="H2991" s="100"/>
      <c r="I2991" s="101"/>
      <c r="J2991" s="101"/>
      <c r="K2991" s="19"/>
      <c r="L2991" s="20"/>
    </row>
    <row r="2992" spans="1:12" outlineLevel="2">
      <c r="A2992" s="21"/>
      <c r="B2992" s="12" t="str">
        <f>IFERROR(VLOOKUP(D2992,'[1]Перечень товаров'!$A$2:$I9525,2,0),"")</f>
        <v>м167</v>
      </c>
      <c r="C2992" s="12" t="str">
        <f>IFERROR(VLOOKUP(D2992,'[1]Перечень товаров'!$A$2:$I9525,3,0),"")</f>
        <v>Мебель</v>
      </c>
      <c r="D2992" s="22" t="s">
        <v>508</v>
      </c>
      <c r="E2992" s="102"/>
      <c r="F2992" s="102"/>
      <c r="G2992" s="48">
        <v>2</v>
      </c>
      <c r="H2992" s="48"/>
      <c r="I2992" s="49"/>
      <c r="J2992" s="49"/>
      <c r="K2992" s="19"/>
      <c r="L2992" s="20"/>
    </row>
    <row r="2993" spans="1:12" outlineLevel="2">
      <c r="A2993" s="21"/>
      <c r="B2993" s="12" t="str">
        <f>IFERROR(VLOOKUP(D2993,'[1]Перечень товаров'!$A$2:$I9525,2,0),"")</f>
        <v>п46</v>
      </c>
      <c r="C2993" s="12" t="str">
        <f>IFERROR(VLOOKUP(D2993,'[1]Перечень товаров'!$A$2:$I9525,3,0),"")</f>
        <v>Прочее</v>
      </c>
      <c r="D2993" s="22" t="s">
        <v>509</v>
      </c>
      <c r="E2993" s="102"/>
      <c r="F2993" s="102"/>
      <c r="G2993" s="48">
        <v>2</v>
      </c>
      <c r="H2993" s="48"/>
      <c r="I2993" s="49"/>
      <c r="J2993" s="49"/>
      <c r="K2993" s="19"/>
      <c r="L2993" s="20"/>
    </row>
    <row r="2994" spans="1:12" outlineLevel="2">
      <c r="A2994" s="21"/>
      <c r="B2994" s="12" t="str">
        <f>IFERROR(VLOOKUP(D2994,'[1]Перечень товаров'!$A$2:$I9525,2,0),"")</f>
        <v>п47</v>
      </c>
      <c r="C2994" s="12" t="str">
        <f>IFERROR(VLOOKUP(D2994,'[1]Перечень товаров'!$A$2:$I9525,3,0),"")</f>
        <v>Прочее</v>
      </c>
      <c r="D2994" s="22" t="s">
        <v>510</v>
      </c>
      <c r="E2994" s="102"/>
      <c r="F2994" s="102"/>
      <c r="G2994" s="48">
        <v>3</v>
      </c>
      <c r="H2994" s="48"/>
      <c r="I2994" s="49"/>
      <c r="J2994" s="49"/>
      <c r="K2994" s="19"/>
      <c r="L2994" s="20"/>
    </row>
    <row r="2995" spans="1:12" outlineLevel="2">
      <c r="A2995" s="21"/>
      <c r="B2995" s="12" t="str">
        <f>IFERROR(VLOOKUP(D2995,'[1]Перечень товаров'!$A$2:$I9525,2,0),"")</f>
        <v>п48</v>
      </c>
      <c r="C2995" s="12" t="str">
        <f>IFERROR(VLOOKUP(D2995,'[1]Перечень товаров'!$A$2:$I9525,3,0),"")</f>
        <v>Прочее</v>
      </c>
      <c r="D2995" s="22" t="s">
        <v>511</v>
      </c>
      <c r="E2995" s="102"/>
      <c r="F2995" s="102"/>
      <c r="G2995" s="48">
        <v>6</v>
      </c>
      <c r="H2995" s="48"/>
      <c r="I2995" s="49"/>
      <c r="J2995" s="49"/>
      <c r="K2995" s="19"/>
      <c r="L2995" s="20"/>
    </row>
    <row r="2996" spans="1:12" ht="31.5" outlineLevel="2">
      <c r="A2996" s="21"/>
      <c r="B2996" s="12" t="str">
        <f>IFERROR(VLOOKUP(D2996,'[1]Перечень товаров'!$A$2:$I9525,2,0),"")</f>
        <v>м168</v>
      </c>
      <c r="C2996" s="12" t="str">
        <f>IFERROR(VLOOKUP(D2996,'[1]Перечень товаров'!$A$2:$I9525,3,0),"")</f>
        <v>Мебель</v>
      </c>
      <c r="D2996" s="22" t="s">
        <v>512</v>
      </c>
      <c r="E2996" s="102"/>
      <c r="F2996" s="102"/>
      <c r="G2996" s="48">
        <v>1</v>
      </c>
      <c r="H2996" s="48"/>
      <c r="I2996" s="49"/>
      <c r="J2996" s="49"/>
      <c r="K2996" s="19"/>
      <c r="L2996" s="20"/>
    </row>
    <row r="2997" spans="1:12" ht="12.75" outlineLevel="1">
      <c r="A2997" s="11"/>
      <c r="B2997" s="12" t="str">
        <f>IFERROR(VLOOKUP(D2997,'[1]Перечень товаров'!$A$2:$I9525,2,0),"")</f>
        <v/>
      </c>
      <c r="C2997" s="12" t="str">
        <f>IFERROR(VLOOKUP(D2997,'[1]Перечень товаров'!$A$2:$I9525,3,0),"")</f>
        <v/>
      </c>
      <c r="D2997" s="27" t="s">
        <v>915</v>
      </c>
      <c r="E2997" s="99">
        <v>46277</v>
      </c>
      <c r="F2997" s="99"/>
      <c r="G2997" s="100"/>
      <c r="H2997" s="100"/>
      <c r="I2997" s="101"/>
      <c r="J2997" s="101"/>
      <c r="K2997" s="19"/>
      <c r="L2997" s="20"/>
    </row>
    <row r="2998" spans="1:12" outlineLevel="2">
      <c r="A2998" s="21"/>
      <c r="B2998" s="12" t="str">
        <f>IFERROR(VLOOKUP(D2998,'[1]Перечень товаров'!$A$2:$I9525,2,0),"")</f>
        <v>т1</v>
      </c>
      <c r="C2998" s="12" t="str">
        <f>IFERROR(VLOOKUP(D2998,'[1]Перечень товаров'!$A$2:$I9525,3,0),"")</f>
        <v xml:space="preserve">Техника </v>
      </c>
      <c r="D2998" s="22" t="s">
        <v>28</v>
      </c>
      <c r="E2998" s="23"/>
      <c r="F2998" s="23"/>
      <c r="G2998" s="48">
        <v>1</v>
      </c>
      <c r="H2998" s="48"/>
      <c r="I2998" s="49"/>
      <c r="J2998" s="49"/>
      <c r="K2998" s="19"/>
      <c r="L2998" s="20"/>
    </row>
    <row r="2999" spans="1:12" outlineLevel="2">
      <c r="A2999" s="21"/>
      <c r="B2999" s="12" t="str">
        <f>IFERROR(VLOOKUP(D2999,'[1]Перечень товаров'!$A$2:$I9525,2,0),"")</f>
        <v>т2</v>
      </c>
      <c r="C2999" s="12" t="str">
        <f>IFERROR(VLOOKUP(D2999,'[1]Перечень товаров'!$A$2:$I9525,3,0),"")</f>
        <v xml:space="preserve">Техника </v>
      </c>
      <c r="D2999" s="22" t="s">
        <v>29</v>
      </c>
      <c r="E2999" s="23"/>
      <c r="F2999" s="23"/>
      <c r="G2999" s="48">
        <v>1</v>
      </c>
      <c r="H2999" s="48"/>
      <c r="I2999" s="49"/>
      <c r="J2999" s="49"/>
      <c r="K2999" s="19"/>
      <c r="L2999" s="20"/>
    </row>
    <row r="3000" spans="1:12" outlineLevel="2">
      <c r="A3000" s="35"/>
      <c r="B3000" s="12" t="str">
        <f>IFERROR(VLOOKUP(D3000,'[1]Перечень товаров'!$A$2:$I9525,2,0),"")</f>
        <v>т3</v>
      </c>
      <c r="C3000" s="12" t="str">
        <f>IFERROR(VLOOKUP(D3000,'[1]Перечень товаров'!$A$2:$I9525,3,0),"")</f>
        <v xml:space="preserve">Техника </v>
      </c>
      <c r="D3000" s="35" t="s">
        <v>30</v>
      </c>
      <c r="E3000" s="23"/>
      <c r="F3000" s="23"/>
      <c r="G3000" s="48">
        <v>1</v>
      </c>
      <c r="H3000" s="48"/>
      <c r="I3000" s="49"/>
      <c r="J3000" s="49"/>
      <c r="K3000" s="19"/>
      <c r="L3000" s="20"/>
    </row>
    <row r="3001" spans="1:12" outlineLevel="2">
      <c r="A3001" s="21"/>
      <c r="B3001" s="12" t="str">
        <f>IFERROR(VLOOKUP(D3001,'[1]Перечень товаров'!$A$2:$I9525,2,0),"")</f>
        <v>т8</v>
      </c>
      <c r="C3001" s="12" t="str">
        <f>IFERROR(VLOOKUP(D3001,'[1]Перечень товаров'!$A$2:$I9525,3,0),"")</f>
        <v xml:space="preserve">Техника </v>
      </c>
      <c r="D3001" s="22" t="s">
        <v>35</v>
      </c>
      <c r="E3001" s="23"/>
      <c r="F3001" s="23"/>
      <c r="G3001" s="205">
        <v>1</v>
      </c>
      <c r="H3001" s="205"/>
      <c r="I3001" s="206"/>
      <c r="J3001" s="206"/>
      <c r="K3001" s="19"/>
      <c r="L3001" s="20"/>
    </row>
    <row r="3002" spans="1:12" outlineLevel="2">
      <c r="A3002" s="21"/>
      <c r="B3002" s="12" t="str">
        <f>IFERROR(VLOOKUP(D3002,'[1]Перечень товаров'!$A$2:$I9525,2,0),"")</f>
        <v>т7</v>
      </c>
      <c r="C3002" s="12" t="str">
        <f>IFERROR(VLOOKUP(D3002,'[1]Перечень товаров'!$A$2:$I9525,3,0),"")</f>
        <v xml:space="preserve">Техника </v>
      </c>
      <c r="D3002" s="22" t="s">
        <v>34</v>
      </c>
      <c r="E3002" s="23"/>
      <c r="F3002" s="23"/>
      <c r="G3002" s="205">
        <v>2</v>
      </c>
      <c r="H3002" s="205"/>
      <c r="I3002" s="206"/>
      <c r="J3002" s="206"/>
      <c r="K3002" s="19"/>
      <c r="L3002" s="20"/>
    </row>
    <row r="3003" spans="1:12" outlineLevel="2">
      <c r="A3003" s="21"/>
      <c r="B3003" s="12" t="str">
        <f>IFERROR(VLOOKUP(D3003,'[1]Перечень товаров'!$A$2:$I9525,2,0),"")</f>
        <v>тм65</v>
      </c>
      <c r="C3003" s="12" t="str">
        <f>IFERROR(VLOOKUP(D3003,'[1]Перечень товаров'!$A$2:$I9525,3,0),"")</f>
        <v>Техника муз</v>
      </c>
      <c r="D3003" s="22" t="s">
        <v>380</v>
      </c>
      <c r="E3003" s="23"/>
      <c r="F3003" s="23"/>
      <c r="G3003" s="205">
        <v>1</v>
      </c>
      <c r="H3003" s="205"/>
      <c r="I3003" s="206"/>
      <c r="J3003" s="206"/>
      <c r="K3003" s="19"/>
      <c r="L3003" s="20"/>
    </row>
    <row r="3004" spans="1:12" outlineLevel="2">
      <c r="A3004" s="35"/>
      <c r="B3004" s="12" t="str">
        <f>IFERROR(VLOOKUP(D3004,'[1]Перечень товаров'!$A$2:$I9525,2,0),"")</f>
        <v>т182</v>
      </c>
      <c r="C3004" s="12" t="str">
        <f>IFERROR(VLOOKUP(D3004,'[1]Перечень товаров'!$A$2:$I9525,3,0),"")</f>
        <v>техника</v>
      </c>
      <c r="D3004" s="35" t="s">
        <v>916</v>
      </c>
      <c r="E3004" s="23"/>
      <c r="F3004" s="23"/>
      <c r="G3004" s="48">
        <v>1</v>
      </c>
      <c r="H3004" s="48"/>
      <c r="I3004" s="49"/>
      <c r="J3004" s="49"/>
      <c r="K3004" s="19"/>
      <c r="L3004" s="20"/>
    </row>
    <row r="3005" spans="1:12" outlineLevel="2">
      <c r="A3005" s="35"/>
      <c r="B3005" s="12" t="str">
        <f>IFERROR(VLOOKUP(D3005,'[1]Перечень товаров'!$A$2:$I9525,2,0),"")</f>
        <v>т12</v>
      </c>
      <c r="C3005" s="12" t="str">
        <f>IFERROR(VLOOKUP(D3005,'[1]Перечень товаров'!$A$2:$I9525,3,0),"")</f>
        <v>Техника</v>
      </c>
      <c r="D3005" s="35" t="s">
        <v>49</v>
      </c>
      <c r="E3005" s="23"/>
      <c r="F3005" s="23"/>
      <c r="G3005" s="205">
        <v>1</v>
      </c>
      <c r="H3005" s="205"/>
      <c r="I3005" s="206"/>
      <c r="J3005" s="206"/>
      <c r="K3005" s="19"/>
      <c r="L3005" s="20"/>
    </row>
    <row r="3006" spans="1:12" outlineLevel="2">
      <c r="A3006" s="35"/>
      <c r="B3006" s="12" t="str">
        <f>IFERROR(VLOOKUP(D3006,'[1]Перечень товаров'!$A$2:$I9525,2,0),"")</f>
        <v>т181</v>
      </c>
      <c r="C3006" s="12" t="str">
        <f>IFERROR(VLOOKUP(D3006,'[1]Перечень товаров'!$A$2:$I9525,3,0),"")</f>
        <v>техника</v>
      </c>
      <c r="D3006" s="35" t="s">
        <v>917</v>
      </c>
      <c r="E3006" s="23"/>
      <c r="F3006" s="23"/>
      <c r="G3006" s="205">
        <v>1</v>
      </c>
      <c r="H3006" s="205"/>
      <c r="I3006" s="206"/>
      <c r="J3006" s="206"/>
      <c r="K3006" s="19"/>
      <c r="L3006" s="20"/>
    </row>
    <row r="3007" spans="1:12" outlineLevel="2">
      <c r="A3007" s="35"/>
      <c r="B3007" s="12" t="str">
        <f>IFERROR(VLOOKUP(D3007,'[1]Перечень товаров'!$A$2:$I9525,2,0),"")</f>
        <v>т6</v>
      </c>
      <c r="C3007" s="12" t="str">
        <f>IFERROR(VLOOKUP(D3007,'[1]Перечень товаров'!$A$2:$I9525,3,0),"")</f>
        <v xml:space="preserve">Техника </v>
      </c>
      <c r="D3007" s="35" t="s">
        <v>33</v>
      </c>
      <c r="E3007" s="23"/>
      <c r="F3007" s="23"/>
      <c r="G3007" s="205">
        <v>1</v>
      </c>
      <c r="H3007" s="205"/>
      <c r="I3007" s="206"/>
      <c r="J3007" s="206"/>
      <c r="K3007" s="19"/>
      <c r="L3007" s="20"/>
    </row>
    <row r="3008" spans="1:12" outlineLevel="2">
      <c r="A3008" s="21"/>
      <c r="B3008" s="12" t="str">
        <f>IFERROR(VLOOKUP(D3008,'[1]Перечень товаров'!$A$2:$I9525,2,0),"")</f>
        <v>д563</v>
      </c>
      <c r="C3008" s="12" t="str">
        <f>IFERROR(VLOOKUP(D3008,'[1]Перечень товаров'!$A$2:$I9525,3,0),"")</f>
        <v>дидактика</v>
      </c>
      <c r="D3008" s="22" t="s">
        <v>918</v>
      </c>
      <c r="E3008" s="23"/>
      <c r="F3008" s="23"/>
      <c r="G3008" s="205">
        <v>1</v>
      </c>
      <c r="H3008" s="205"/>
      <c r="I3008" s="206"/>
      <c r="J3008" s="206"/>
      <c r="K3008" s="19"/>
      <c r="L3008" s="20"/>
    </row>
    <row r="3009" spans="1:12" outlineLevel="2">
      <c r="A3009" s="21"/>
      <c r="B3009" s="12" t="str">
        <f>IFERROR(VLOOKUP(D3009,'[1]Перечень товаров'!$A$2:$I9525,2,0),"")</f>
        <v>д562</v>
      </c>
      <c r="C3009" s="12" t="str">
        <f>IFERROR(VLOOKUP(D3009,'[1]Перечень товаров'!$A$2:$I9525,3,0),"")</f>
        <v>дидактика</v>
      </c>
      <c r="D3009" s="22" t="s">
        <v>919</v>
      </c>
      <c r="E3009" s="23"/>
      <c r="F3009" s="23"/>
      <c r="G3009" s="205">
        <v>1</v>
      </c>
      <c r="H3009" s="205"/>
      <c r="I3009" s="206"/>
      <c r="J3009" s="206"/>
      <c r="K3009" s="19"/>
      <c r="L3009" s="20"/>
    </row>
    <row r="3010" spans="1:12" outlineLevel="2">
      <c r="A3010" s="21"/>
      <c r="B3010" s="12" t="str">
        <f>IFERROR(VLOOKUP(D3010,'[1]Перечень товаров'!$A$2:$I9525,2,0),"")</f>
        <v>д561</v>
      </c>
      <c r="C3010" s="12" t="str">
        <f>IFERROR(VLOOKUP(D3010,'[1]Перечень товаров'!$A$2:$I9525,3,0),"")</f>
        <v>дидактика</v>
      </c>
      <c r="D3010" s="22" t="s">
        <v>920</v>
      </c>
      <c r="E3010" s="23"/>
      <c r="F3010" s="23"/>
      <c r="G3010" s="205">
        <v>1</v>
      </c>
      <c r="H3010" s="205"/>
      <c r="I3010" s="206"/>
      <c r="J3010" s="206"/>
      <c r="K3010" s="19"/>
      <c r="L3010" s="20"/>
    </row>
    <row r="3011" spans="1:12" ht="12.75" outlineLevel="2">
      <c r="A3011" s="77"/>
      <c r="B3011" s="12" t="str">
        <f>IFERROR(VLOOKUP(D3011,'[1]Перечень товаров'!$A$2:$I9525,2,0),"")</f>
        <v/>
      </c>
      <c r="C3011" s="12" t="str">
        <f>IFERROR(VLOOKUP(D3011,'[1]Перечень товаров'!$A$2:$I9525,3,0),"")</f>
        <v/>
      </c>
      <c r="D3011" s="78" t="s">
        <v>921</v>
      </c>
      <c r="E3011" s="15"/>
      <c r="F3011" s="15"/>
      <c r="G3011" s="17"/>
      <c r="H3011" s="17"/>
      <c r="I3011" s="57"/>
      <c r="J3011" s="57"/>
      <c r="K3011" s="19"/>
      <c r="L3011" s="20"/>
    </row>
    <row r="3012" spans="1:12" outlineLevel="2">
      <c r="A3012" s="21"/>
      <c r="B3012" s="12" t="str">
        <f>IFERROR(VLOOKUP(D3012,'[1]Перечень товаров'!$A$2:$I9525,2,0),"")</f>
        <v>м190</v>
      </c>
      <c r="C3012" s="12" t="str">
        <f>IFERROR(VLOOKUP(D3012,'[1]Перечень товаров'!$A$2:$I9525,3,0),"")</f>
        <v>мебель</v>
      </c>
      <c r="D3012" s="22" t="s">
        <v>922</v>
      </c>
      <c r="E3012" s="23"/>
      <c r="F3012" s="23"/>
      <c r="G3012" s="24">
        <v>1</v>
      </c>
      <c r="H3012" s="24"/>
      <c r="I3012" s="25"/>
      <c r="J3012" s="25"/>
      <c r="K3012" s="19"/>
      <c r="L3012" s="20"/>
    </row>
    <row r="3013" spans="1:12" outlineLevel="2">
      <c r="A3013" s="21"/>
      <c r="B3013" s="12" t="str">
        <f>IFERROR(VLOOKUP(D3013,'[1]Перечень товаров'!$A$2:$I9525,2,0),"")</f>
        <v>д560</v>
      </c>
      <c r="C3013" s="12" t="str">
        <f>IFERROR(VLOOKUP(D3013,'[1]Перечень товаров'!$A$2:$I9525,3,0),"")</f>
        <v>дидактика</v>
      </c>
      <c r="D3013" s="22" t="s">
        <v>923</v>
      </c>
      <c r="E3013" s="23"/>
      <c r="F3013" s="23"/>
      <c r="G3013" s="24">
        <v>1</v>
      </c>
      <c r="H3013" s="24"/>
      <c r="I3013" s="25"/>
      <c r="J3013" s="25"/>
      <c r="K3013" s="19"/>
      <c r="L3013" s="20"/>
    </row>
    <row r="3014" spans="1:12" outlineLevel="2">
      <c r="A3014" s="21"/>
      <c r="B3014" s="12" t="str">
        <f>IFERROR(VLOOKUP(D3014,'[1]Перечень товаров'!$A$2:$I9525,2,0),"")</f>
        <v>м14</v>
      </c>
      <c r="C3014" s="12" t="str">
        <f>IFERROR(VLOOKUP(D3014,'[1]Перечень товаров'!$A$2:$I9525,3,0),"")</f>
        <v>Мебель</v>
      </c>
      <c r="D3014" s="22" t="s">
        <v>43</v>
      </c>
      <c r="E3014" s="23"/>
      <c r="F3014" s="23"/>
      <c r="G3014" s="24">
        <v>1</v>
      </c>
      <c r="H3014" s="24"/>
      <c r="I3014" s="25"/>
      <c r="J3014" s="25"/>
      <c r="K3014" s="19"/>
      <c r="L3014" s="20"/>
    </row>
    <row r="3015" spans="1:12" outlineLevel="2">
      <c r="A3015" s="21"/>
      <c r="B3015" s="12" t="str">
        <f>IFERROR(VLOOKUP(D3015,'[1]Перечень товаров'!$A$2:$I9525,2,0),"")</f>
        <v>м189</v>
      </c>
      <c r="C3015" s="12" t="str">
        <f>IFERROR(VLOOKUP(D3015,'[1]Перечень товаров'!$A$2:$I9525,3,0),"")</f>
        <v>мебель</v>
      </c>
      <c r="D3015" s="22" t="s">
        <v>924</v>
      </c>
      <c r="E3015" s="23"/>
      <c r="F3015" s="23"/>
      <c r="G3015" s="24">
        <v>1</v>
      </c>
      <c r="H3015" s="24"/>
      <c r="I3015" s="25"/>
      <c r="J3015" s="25"/>
      <c r="K3015" s="19"/>
      <c r="L3015" s="20"/>
    </row>
    <row r="3016" spans="1:12" outlineLevel="2">
      <c r="A3016" s="21"/>
      <c r="B3016" s="12" t="str">
        <f>IFERROR(VLOOKUP(D3016,'[1]Перечень товаров'!$A$2:$I9525,2,0),"")</f>
        <v>м188</v>
      </c>
      <c r="C3016" s="12" t="str">
        <f>IFERROR(VLOOKUP(D3016,'[1]Перечень товаров'!$A$2:$I9525,3,0),"")</f>
        <v>мебель</v>
      </c>
      <c r="D3016" s="22" t="s">
        <v>925</v>
      </c>
      <c r="E3016" s="23"/>
      <c r="F3016" s="23"/>
      <c r="G3016" s="24">
        <v>1</v>
      </c>
      <c r="H3016" s="24"/>
      <c r="I3016" s="25"/>
      <c r="J3016" s="25"/>
      <c r="K3016" s="19"/>
      <c r="L3016" s="20"/>
    </row>
    <row r="3017" spans="1:12" outlineLevel="2">
      <c r="A3017" s="21"/>
      <c r="B3017" s="12" t="str">
        <f>IFERROR(VLOOKUP(D3017,'[1]Перечень товаров'!$A$2:$I9525,2,0),"")</f>
        <v>м19</v>
      </c>
      <c r="C3017" s="12" t="str">
        <f>IFERROR(VLOOKUP(D3017,'[1]Перечень товаров'!$A$2:$I9525,3,0),"")</f>
        <v>Мебель</v>
      </c>
      <c r="D3017" s="22" t="s">
        <v>53</v>
      </c>
      <c r="E3017" s="23"/>
      <c r="F3017" s="23"/>
      <c r="G3017" s="24">
        <v>1</v>
      </c>
      <c r="H3017" s="24"/>
      <c r="I3017" s="25"/>
      <c r="J3017" s="25"/>
      <c r="K3017" s="19"/>
      <c r="L3017" s="20"/>
    </row>
    <row r="3018" spans="1:12" outlineLevel="2">
      <c r="A3018" s="21"/>
      <c r="B3018" s="12" t="str">
        <f>IFERROR(VLOOKUP(D3018,'[1]Перечень товаров'!$A$2:$I9525,2,0),"")</f>
        <v>м187</v>
      </c>
      <c r="C3018" s="12" t="str">
        <f>IFERROR(VLOOKUP(D3018,'[1]Перечень товаров'!$A$2:$I9525,3,0),"")</f>
        <v>мебель</v>
      </c>
      <c r="D3018" s="22" t="s">
        <v>877</v>
      </c>
      <c r="E3018" s="23"/>
      <c r="F3018" s="23"/>
      <c r="G3018" s="24">
        <v>1</v>
      </c>
      <c r="H3018" s="24"/>
      <c r="I3018" s="25"/>
      <c r="J3018" s="25"/>
      <c r="K3018" s="19"/>
      <c r="L3018" s="20"/>
    </row>
    <row r="3019" spans="1:12" outlineLevel="2">
      <c r="A3019" s="21"/>
      <c r="B3019" s="12" t="str">
        <f>IFERROR(VLOOKUP(D3019,'[1]Перечень товаров'!$A$2:$I9525,2,0),"")</f>
        <v>тм77</v>
      </c>
      <c r="C3019" s="12" t="str">
        <f>IFERROR(VLOOKUP(D3019,'[1]Перечень товаров'!$A$2:$I9525,3,0),"")</f>
        <v>Техника муз</v>
      </c>
      <c r="D3019" s="22" t="s">
        <v>875</v>
      </c>
      <c r="E3019" s="23"/>
      <c r="F3019" s="23"/>
      <c r="G3019" s="24">
        <v>1</v>
      </c>
      <c r="H3019" s="24"/>
      <c r="I3019" s="25"/>
      <c r="J3019" s="25"/>
      <c r="K3019" s="19"/>
      <c r="L3019" s="20"/>
    </row>
    <row r="3020" spans="1:12" outlineLevel="2">
      <c r="A3020" s="21"/>
      <c r="B3020" s="12" t="str">
        <f>IFERROR(VLOOKUP(D3020,'[1]Перечень товаров'!$A$2:$I9525,2,0),"")</f>
        <v>м137</v>
      </c>
      <c r="C3020" s="12" t="str">
        <f>IFERROR(VLOOKUP(D3020,'[1]Перечень товаров'!$A$2:$I9525,3,0),"")</f>
        <v>мебель</v>
      </c>
      <c r="D3020" s="22" t="s">
        <v>876</v>
      </c>
      <c r="E3020" s="23"/>
      <c r="F3020" s="23"/>
      <c r="G3020" s="24">
        <v>1</v>
      </c>
      <c r="H3020" s="24"/>
      <c r="I3020" s="25"/>
      <c r="J3020" s="25"/>
      <c r="K3020" s="19"/>
      <c r="L3020" s="20"/>
    </row>
    <row r="3021" spans="1:12" outlineLevel="1">
      <c r="A3021" s="21"/>
      <c r="B3021" s="12" t="str">
        <f>IFERROR(VLOOKUP(D3021,'[1]Перечень товаров'!$A$2:$I9525,2,0),"")</f>
        <v/>
      </c>
      <c r="C3021" s="12" t="str">
        <f>IFERROR(VLOOKUP(D3021,'[1]Перечень товаров'!$A$2:$I9525,3,0),"")</f>
        <v/>
      </c>
      <c r="D3021" s="22" t="s">
        <v>169</v>
      </c>
      <c r="E3021" s="23">
        <v>0</v>
      </c>
      <c r="F3021" s="23"/>
      <c r="G3021" s="24"/>
      <c r="H3021" s="24"/>
      <c r="I3021" s="25"/>
      <c r="J3021" s="25"/>
      <c r="K3021" s="19"/>
      <c r="L3021" s="20"/>
    </row>
    <row r="3022" spans="1:12" ht="12.75" outlineLevel="1">
      <c r="A3022" s="11"/>
      <c r="B3022" s="12" t="str">
        <f>IFERROR(VLOOKUP(D3022,'[1]Перечень товаров'!$A$2:$I9525,2,0),"")</f>
        <v/>
      </c>
      <c r="C3022" s="12" t="str">
        <f>IFERROR(VLOOKUP(D3022,'[1]Перечень товаров'!$A$2:$I9525,3,0),"")</f>
        <v/>
      </c>
      <c r="D3022" s="27" t="s">
        <v>926</v>
      </c>
      <c r="E3022" s="99">
        <v>46068</v>
      </c>
      <c r="F3022" s="99"/>
      <c r="G3022" s="100"/>
      <c r="H3022" s="100"/>
      <c r="I3022" s="101"/>
      <c r="J3022" s="101"/>
      <c r="K3022" s="19"/>
      <c r="L3022" s="20"/>
    </row>
    <row r="3023" spans="1:12" outlineLevel="2">
      <c r="A3023" s="22"/>
      <c r="B3023" s="12" t="str">
        <f>IFERROR(VLOOKUP(D3023,'[1]Перечень товаров'!$A$2:$I9525,2,0),"")</f>
        <v>м14</v>
      </c>
      <c r="C3023" s="12" t="str">
        <f>IFERROR(VLOOKUP(D3023,'[1]Перечень товаров'!$A$2:$I9525,3,0),"")</f>
        <v>Мебель</v>
      </c>
      <c r="D3023" s="22" t="s">
        <v>43</v>
      </c>
      <c r="E3023" s="203"/>
      <c r="F3023" s="203"/>
      <c r="G3023" s="24">
        <v>1</v>
      </c>
      <c r="H3023" s="24"/>
      <c r="I3023" s="25"/>
      <c r="J3023" s="25"/>
      <c r="K3023" s="19"/>
      <c r="L3023" s="20"/>
    </row>
    <row r="3024" spans="1:12" outlineLevel="2">
      <c r="A3024" s="21"/>
      <c r="B3024" s="12" t="str">
        <f>IFERROR(VLOOKUP(D3024,'[1]Перечень товаров'!$A$2:$I9525,2,0),"")</f>
        <v>м167</v>
      </c>
      <c r="C3024" s="12" t="str">
        <f>IFERROR(VLOOKUP(D3024,'[1]Перечень товаров'!$A$2:$I9525,3,0),"")</f>
        <v>Мебель</v>
      </c>
      <c r="D3024" s="22" t="s">
        <v>508</v>
      </c>
      <c r="E3024" s="203"/>
      <c r="F3024" s="203"/>
      <c r="G3024" s="24">
        <v>1</v>
      </c>
      <c r="H3024" s="24"/>
      <c r="I3024" s="25"/>
      <c r="J3024" s="25"/>
      <c r="K3024" s="19"/>
      <c r="L3024" s="20"/>
    </row>
    <row r="3025" spans="1:12" outlineLevel="2">
      <c r="A3025" s="21"/>
      <c r="B3025" s="12" t="str">
        <f>IFERROR(VLOOKUP(D3025,'[1]Перечень товаров'!$A$2:$I9525,2,0),"")</f>
        <v>м218</v>
      </c>
      <c r="C3025" s="12" t="str">
        <f>IFERROR(VLOOKUP(D3025,'[1]Перечень товаров'!$A$2:$I9525,3,0),"")</f>
        <v>Мебель</v>
      </c>
      <c r="D3025" s="22" t="s">
        <v>872</v>
      </c>
      <c r="E3025" s="203"/>
      <c r="F3025" s="203"/>
      <c r="G3025" s="24">
        <v>2</v>
      </c>
      <c r="H3025" s="24"/>
      <c r="I3025" s="25"/>
      <c r="J3025" s="25"/>
      <c r="K3025" s="19"/>
      <c r="L3025" s="20"/>
    </row>
    <row r="3026" spans="1:12" outlineLevel="2">
      <c r="A3026" s="21"/>
      <c r="B3026" s="12" t="str">
        <f>IFERROR(VLOOKUP(D3026,'[1]Перечень товаров'!$A$2:$I9525,2,0),"")</f>
        <v>м219</v>
      </c>
      <c r="C3026" s="12" t="str">
        <f>IFERROR(VLOOKUP(D3026,'[1]Перечень товаров'!$A$2:$I9525,3,0),"")</f>
        <v>Мебель</v>
      </c>
      <c r="D3026" s="22" t="s">
        <v>873</v>
      </c>
      <c r="E3026" s="203"/>
      <c r="F3026" s="203"/>
      <c r="G3026" s="24">
        <v>4</v>
      </c>
      <c r="H3026" s="24"/>
      <c r="I3026" s="25"/>
      <c r="J3026" s="25"/>
      <c r="K3026" s="19"/>
      <c r="L3026" s="20"/>
    </row>
    <row r="3027" spans="1:12" outlineLevel="2">
      <c r="A3027" s="21"/>
      <c r="B3027" s="12" t="str">
        <f>IFERROR(VLOOKUP(D3027,'[1]Перечень товаров'!$A$2:$I9525,2,0),"")</f>
        <v>м220</v>
      </c>
      <c r="C3027" s="12" t="str">
        <f>IFERROR(VLOOKUP(D3027,'[1]Перечень товаров'!$A$2:$I9525,3,0),"")</f>
        <v>Мебель</v>
      </c>
      <c r="D3027" s="22" t="s">
        <v>874</v>
      </c>
      <c r="E3027" s="203"/>
      <c r="F3027" s="203"/>
      <c r="G3027" s="24">
        <v>1</v>
      </c>
      <c r="H3027" s="24"/>
      <c r="I3027" s="25"/>
      <c r="J3027" s="25"/>
      <c r="K3027" s="19"/>
      <c r="L3027" s="20"/>
    </row>
    <row r="3028" spans="1:12" outlineLevel="2">
      <c r="A3028" s="21"/>
      <c r="B3028" s="12" t="str">
        <f>IFERROR(VLOOKUP(D3028,'[1]Перечень товаров'!$A$2:$I9525,2,0),"")</f>
        <v>м187</v>
      </c>
      <c r="C3028" s="12" t="str">
        <f>IFERROR(VLOOKUP(D3028,'[1]Перечень товаров'!$A$2:$I9525,3,0),"")</f>
        <v>мебель</v>
      </c>
      <c r="D3028" s="22" t="s">
        <v>877</v>
      </c>
      <c r="E3028" s="203"/>
      <c r="F3028" s="203"/>
      <c r="G3028" s="24">
        <v>1</v>
      </c>
      <c r="H3028" s="24"/>
      <c r="I3028" s="25"/>
      <c r="J3028" s="25"/>
      <c r="K3028" s="19"/>
      <c r="L3028" s="20"/>
    </row>
    <row r="3029" spans="1:12" outlineLevel="2">
      <c r="A3029" s="21"/>
      <c r="B3029" s="12" t="str">
        <f>IFERROR(VLOOKUP(D3029,'[1]Перечень товаров'!$A$2:$I9525,2,0),"")</f>
        <v>м30</v>
      </c>
      <c r="C3029" s="12" t="str">
        <f>IFERROR(VLOOKUP(D3029,'[1]Перечень товаров'!$A$2:$I9525,3,0),"")</f>
        <v>Мебель</v>
      </c>
      <c r="D3029" s="22" t="s">
        <v>181</v>
      </c>
      <c r="E3029" s="203"/>
      <c r="F3029" s="203"/>
      <c r="G3029" s="24">
        <v>2</v>
      </c>
      <c r="H3029" s="24"/>
      <c r="I3029" s="25"/>
      <c r="J3029" s="25"/>
      <c r="K3029" s="19"/>
      <c r="L3029" s="20"/>
    </row>
    <row r="3030" spans="1:12" outlineLevel="2">
      <c r="A3030" s="21"/>
      <c r="B3030" s="12" t="str">
        <f>IFERROR(VLOOKUP(D3030,'[1]Перечень товаров'!$A$2:$I9525,2,0),"")</f>
        <v>м221</v>
      </c>
      <c r="C3030" s="12" t="str">
        <f>IFERROR(VLOOKUP(D3030,'[1]Перечень товаров'!$A$2:$I9525,3,0),"")</f>
        <v>Мебель</v>
      </c>
      <c r="D3030" s="22" t="s">
        <v>878</v>
      </c>
      <c r="E3030" s="203"/>
      <c r="F3030" s="203"/>
      <c r="G3030" s="24">
        <v>2</v>
      </c>
      <c r="H3030" s="24"/>
      <c r="I3030" s="25"/>
      <c r="J3030" s="25"/>
      <c r="K3030" s="19"/>
      <c r="L3030" s="20"/>
    </row>
    <row r="3031" spans="1:12" ht="12.75" outlineLevel="1">
      <c r="A3031" s="11"/>
      <c r="B3031" s="12" t="str">
        <f>IFERROR(VLOOKUP(D3031,'[1]Перечень товаров'!$A$2:$I9525,2,0),"")</f>
        <v/>
      </c>
      <c r="C3031" s="12" t="str">
        <f>IFERROR(VLOOKUP(D3031,'[1]Перечень товаров'!$A$2:$I9525,3,0),"")</f>
        <v/>
      </c>
      <c r="D3031" s="27" t="s">
        <v>521</v>
      </c>
      <c r="E3031" s="99">
        <v>46085</v>
      </c>
      <c r="F3031" s="99"/>
      <c r="G3031" s="100"/>
      <c r="H3031" s="100"/>
      <c r="I3031" s="101"/>
      <c r="J3031" s="101"/>
      <c r="K3031" s="19"/>
      <c r="L3031" s="20"/>
    </row>
    <row r="3032" spans="1:12" outlineLevel="2">
      <c r="A3032" s="22"/>
      <c r="B3032" s="12" t="str">
        <f>IFERROR(VLOOKUP(D3032,'[1]Перечень товаров'!$A$2:$I9525,2,0),"")</f>
        <v>п25</v>
      </c>
      <c r="C3032" s="12" t="str">
        <f>IFERROR(VLOOKUP(D3032,'[1]Перечень товаров'!$A$2:$I9525,3,0),"")</f>
        <v>Прочее</v>
      </c>
      <c r="D3032" s="22" t="s">
        <v>360</v>
      </c>
      <c r="E3032" s="102"/>
      <c r="F3032" s="102"/>
      <c r="G3032" s="48">
        <v>3</v>
      </c>
      <c r="H3032" s="48"/>
      <c r="I3032" s="49"/>
      <c r="J3032" s="49"/>
      <c r="K3032" s="33"/>
      <c r="L3032" s="20"/>
    </row>
    <row r="3033" spans="1:12" outlineLevel="2">
      <c r="A3033" s="21"/>
      <c r="B3033" s="12" t="str">
        <f>IFERROR(VLOOKUP(D3033,'[1]Перечень товаров'!$A$2:$I9525,2,0),"")</f>
        <v>п26</v>
      </c>
      <c r="C3033" s="12" t="str">
        <f>IFERROR(VLOOKUP(D3033,'[1]Перечень товаров'!$A$2:$I9525,3,0),"")</f>
        <v>Прочее</v>
      </c>
      <c r="D3033" s="22" t="s">
        <v>361</v>
      </c>
      <c r="E3033" s="102"/>
      <c r="F3033" s="102"/>
      <c r="G3033" s="48">
        <v>2</v>
      </c>
      <c r="H3033" s="48"/>
      <c r="I3033" s="49"/>
      <c r="J3033" s="49"/>
      <c r="K3033" s="33"/>
      <c r="L3033" s="20"/>
    </row>
    <row r="3034" spans="1:12" outlineLevel="2">
      <c r="A3034" s="21"/>
      <c r="B3034" s="12" t="str">
        <f>IFERROR(VLOOKUP(D3034,'[1]Перечень товаров'!$A$2:$I9525,2,0),"")</f>
        <v>п27</v>
      </c>
      <c r="C3034" s="12" t="str">
        <f>IFERROR(VLOOKUP(D3034,'[1]Перечень товаров'!$A$2:$I9525,3,0),"")</f>
        <v>Прочее</v>
      </c>
      <c r="D3034" s="22" t="s">
        <v>362</v>
      </c>
      <c r="E3034" s="102"/>
      <c r="F3034" s="102"/>
      <c r="G3034" s="48">
        <v>2</v>
      </c>
      <c r="H3034" s="48"/>
      <c r="I3034" s="49"/>
      <c r="J3034" s="49"/>
      <c r="K3034" s="33"/>
      <c r="L3034" s="20"/>
    </row>
    <row r="3035" spans="1:12" outlineLevel="2">
      <c r="A3035" s="21"/>
      <c r="B3035" s="12" t="str">
        <f>IFERROR(VLOOKUP(D3035,'[1]Перечень товаров'!$A$2:$I9525,2,0),"")</f>
        <v>п28</v>
      </c>
      <c r="C3035" s="12" t="str">
        <f>IFERROR(VLOOKUP(D3035,'[1]Перечень товаров'!$A$2:$I9525,3,0),"")</f>
        <v>Прочее</v>
      </c>
      <c r="D3035" s="22" t="s">
        <v>363</v>
      </c>
      <c r="E3035" s="102"/>
      <c r="F3035" s="102"/>
      <c r="G3035" s="48">
        <v>1</v>
      </c>
      <c r="H3035" s="48"/>
      <c r="I3035" s="49"/>
      <c r="J3035" s="49"/>
      <c r="K3035" s="33"/>
      <c r="L3035" s="20"/>
    </row>
    <row r="3036" spans="1:12" outlineLevel="2">
      <c r="A3036" s="21"/>
      <c r="B3036" s="12" t="str">
        <f>IFERROR(VLOOKUP(D3036,'[1]Перечень товаров'!$A$2:$I9525,2,0),"")</f>
        <v>п29</v>
      </c>
      <c r="C3036" s="12" t="str">
        <f>IFERROR(VLOOKUP(D3036,'[1]Перечень товаров'!$A$2:$I9525,3,0),"")</f>
        <v>Прочее</v>
      </c>
      <c r="D3036" s="22" t="s">
        <v>364</v>
      </c>
      <c r="E3036" s="102"/>
      <c r="F3036" s="102"/>
      <c r="G3036" s="48">
        <v>6</v>
      </c>
      <c r="H3036" s="48"/>
      <c r="I3036" s="49"/>
      <c r="J3036" s="49"/>
      <c r="K3036" s="33"/>
      <c r="L3036" s="20"/>
    </row>
    <row r="3037" spans="1:12" outlineLevel="2">
      <c r="A3037" s="21"/>
      <c r="B3037" s="12" t="str">
        <f>IFERROR(VLOOKUP(D3037,'[1]Перечень товаров'!$A$2:$I9525,2,0),"")</f>
        <v>п30</v>
      </c>
      <c r="C3037" s="12" t="str">
        <f>IFERROR(VLOOKUP(D3037,'[1]Перечень товаров'!$A$2:$I9525,3,0),"")</f>
        <v>Прочее</v>
      </c>
      <c r="D3037" s="22" t="s">
        <v>365</v>
      </c>
      <c r="E3037" s="102"/>
      <c r="F3037" s="102"/>
      <c r="G3037" s="48">
        <v>2</v>
      </c>
      <c r="H3037" s="48"/>
      <c r="I3037" s="49"/>
      <c r="J3037" s="49"/>
      <c r="K3037" s="33"/>
      <c r="L3037" s="20"/>
    </row>
    <row r="3038" spans="1:12" ht="31.5" outlineLevel="2">
      <c r="A3038" s="21"/>
      <c r="B3038" s="12" t="str">
        <f>IFERROR(VLOOKUP(D3038,'[1]Перечень товаров'!$A$2:$I9525,2,0),"")</f>
        <v>п31</v>
      </c>
      <c r="C3038" s="12" t="str">
        <f>IFERROR(VLOOKUP(D3038,'[1]Перечень товаров'!$A$2:$I9525,3,0),"")</f>
        <v>Прочее</v>
      </c>
      <c r="D3038" s="22" t="s">
        <v>366</v>
      </c>
      <c r="E3038" s="102"/>
      <c r="F3038" s="102"/>
      <c r="G3038" s="48">
        <v>1</v>
      </c>
      <c r="H3038" s="48"/>
      <c r="I3038" s="49"/>
      <c r="J3038" s="49"/>
      <c r="K3038" s="33"/>
      <c r="L3038" s="20"/>
    </row>
    <row r="3039" spans="1:12" ht="31.5" outlineLevel="2">
      <c r="A3039" s="21"/>
      <c r="B3039" s="12" t="str">
        <f>IFERROR(VLOOKUP(D3039,'[1]Перечень товаров'!$A$2:$I9525,2,0),"")</f>
        <v>п32</v>
      </c>
      <c r="C3039" s="12" t="str">
        <f>IFERROR(VLOOKUP(D3039,'[1]Перечень товаров'!$A$2:$I9525,3,0),"")</f>
        <v>Прочее</v>
      </c>
      <c r="D3039" s="22" t="s">
        <v>367</v>
      </c>
      <c r="E3039" s="102"/>
      <c r="F3039" s="102"/>
      <c r="G3039" s="48">
        <v>2</v>
      </c>
      <c r="H3039" s="48"/>
      <c r="I3039" s="49"/>
      <c r="J3039" s="49"/>
      <c r="K3039" s="33"/>
      <c r="L3039" s="20"/>
    </row>
    <row r="3040" spans="1:12" ht="12.75" outlineLevel="1">
      <c r="A3040" s="11"/>
      <c r="B3040" s="12" t="str">
        <f>IFERROR(VLOOKUP(D3040,'[1]Перечень товаров'!$A$2:$I9525,2,0),"")</f>
        <v/>
      </c>
      <c r="C3040" s="12" t="str">
        <f>IFERROR(VLOOKUP(D3040,'[1]Перечень товаров'!$A$2:$I9525,3,0),"")</f>
        <v/>
      </c>
      <c r="D3040" s="27" t="s">
        <v>871</v>
      </c>
      <c r="E3040" s="99">
        <v>46128</v>
      </c>
      <c r="F3040" s="99"/>
      <c r="G3040" s="100"/>
      <c r="H3040" s="100"/>
      <c r="I3040" s="101"/>
      <c r="J3040" s="101"/>
      <c r="K3040" s="19"/>
      <c r="L3040" s="20"/>
    </row>
    <row r="3041" spans="1:12" outlineLevel="2">
      <c r="A3041" s="22"/>
      <c r="B3041" s="12" t="str">
        <f>IFERROR(VLOOKUP(D3041,'[1]Перечень товаров'!$A$2:$I9525,2,0),"")</f>
        <v>м14</v>
      </c>
      <c r="C3041" s="12" t="str">
        <f>IFERROR(VLOOKUP(D3041,'[1]Перечень товаров'!$A$2:$I9525,3,0),"")</f>
        <v>Мебель</v>
      </c>
      <c r="D3041" s="22" t="s">
        <v>43</v>
      </c>
      <c r="E3041" s="203"/>
      <c r="F3041" s="203"/>
      <c r="G3041" s="24">
        <v>1</v>
      </c>
      <c r="H3041" s="24"/>
      <c r="I3041" s="25"/>
      <c r="J3041" s="25"/>
      <c r="K3041" s="19"/>
      <c r="L3041" s="20"/>
    </row>
    <row r="3042" spans="1:12" outlineLevel="2">
      <c r="A3042" s="21"/>
      <c r="B3042" s="12" t="str">
        <f>IFERROR(VLOOKUP(D3042,'[1]Перечень товаров'!$A$2:$I9525,2,0),"")</f>
        <v>м167</v>
      </c>
      <c r="C3042" s="12" t="str">
        <f>IFERROR(VLOOKUP(D3042,'[1]Перечень товаров'!$A$2:$I9525,3,0),"")</f>
        <v>Мебель</v>
      </c>
      <c r="D3042" s="22" t="s">
        <v>508</v>
      </c>
      <c r="E3042" s="203"/>
      <c r="F3042" s="203"/>
      <c r="G3042" s="24">
        <v>1</v>
      </c>
      <c r="H3042" s="24"/>
      <c r="I3042" s="25"/>
      <c r="J3042" s="25"/>
      <c r="K3042" s="19"/>
      <c r="L3042" s="20"/>
    </row>
    <row r="3043" spans="1:12" outlineLevel="2">
      <c r="A3043" s="21"/>
      <c r="B3043" s="12" t="str">
        <f>IFERROR(VLOOKUP(D3043,'[1]Перечень товаров'!$A$2:$I9525,2,0),"")</f>
        <v>м218</v>
      </c>
      <c r="C3043" s="12" t="str">
        <f>IFERROR(VLOOKUP(D3043,'[1]Перечень товаров'!$A$2:$I9525,3,0),"")</f>
        <v>Мебель</v>
      </c>
      <c r="D3043" s="22" t="s">
        <v>872</v>
      </c>
      <c r="E3043" s="203"/>
      <c r="F3043" s="203"/>
      <c r="G3043" s="24">
        <v>2</v>
      </c>
      <c r="H3043" s="24"/>
      <c r="I3043" s="25"/>
      <c r="J3043" s="25"/>
      <c r="K3043" s="19"/>
      <c r="L3043" s="20"/>
    </row>
    <row r="3044" spans="1:12" outlineLevel="2">
      <c r="A3044" s="21"/>
      <c r="B3044" s="12" t="str">
        <f>IFERROR(VLOOKUP(D3044,'[1]Перечень товаров'!$A$2:$I9525,2,0),"")</f>
        <v>м219</v>
      </c>
      <c r="C3044" s="12" t="str">
        <f>IFERROR(VLOOKUP(D3044,'[1]Перечень товаров'!$A$2:$I9525,3,0),"")</f>
        <v>Мебель</v>
      </c>
      <c r="D3044" s="22" t="s">
        <v>873</v>
      </c>
      <c r="E3044" s="203"/>
      <c r="F3044" s="203"/>
      <c r="G3044" s="24">
        <v>4</v>
      </c>
      <c r="H3044" s="24"/>
      <c r="I3044" s="25"/>
      <c r="J3044" s="25"/>
      <c r="K3044" s="19"/>
      <c r="L3044" s="20"/>
    </row>
    <row r="3045" spans="1:12" outlineLevel="2">
      <c r="A3045" s="21"/>
      <c r="B3045" s="12" t="str">
        <f>IFERROR(VLOOKUP(D3045,'[1]Перечень товаров'!$A$2:$I9525,2,0),"")</f>
        <v>м220</v>
      </c>
      <c r="C3045" s="12" t="str">
        <f>IFERROR(VLOOKUP(D3045,'[1]Перечень товаров'!$A$2:$I9525,3,0),"")</f>
        <v>Мебель</v>
      </c>
      <c r="D3045" s="22" t="s">
        <v>874</v>
      </c>
      <c r="E3045" s="203"/>
      <c r="F3045" s="203"/>
      <c r="G3045" s="24">
        <v>1</v>
      </c>
      <c r="H3045" s="24"/>
      <c r="I3045" s="25"/>
      <c r="J3045" s="25"/>
      <c r="K3045" s="19"/>
      <c r="L3045" s="20"/>
    </row>
    <row r="3046" spans="1:12" outlineLevel="2">
      <c r="A3046" s="21"/>
      <c r="B3046" s="12" t="str">
        <f>IFERROR(VLOOKUP(D3046,'[1]Перечень товаров'!$A$2:$I9525,2,0),"")</f>
        <v>тм77</v>
      </c>
      <c r="C3046" s="12" t="str">
        <f>IFERROR(VLOOKUP(D3046,'[1]Перечень товаров'!$A$2:$I9525,3,0),"")</f>
        <v>Техника муз</v>
      </c>
      <c r="D3046" s="22" t="s">
        <v>875</v>
      </c>
      <c r="E3046" s="203"/>
      <c r="F3046" s="203"/>
      <c r="G3046" s="24">
        <v>1</v>
      </c>
      <c r="H3046" s="24"/>
      <c r="I3046" s="25"/>
      <c r="J3046" s="25"/>
      <c r="K3046" s="19"/>
      <c r="L3046" s="20"/>
    </row>
    <row r="3047" spans="1:12" outlineLevel="2">
      <c r="A3047" s="21"/>
      <c r="B3047" s="12" t="str">
        <f>IFERROR(VLOOKUP(D3047,'[1]Перечень товаров'!$A$2:$I9525,2,0),"")</f>
        <v>м137</v>
      </c>
      <c r="C3047" s="12" t="str">
        <f>IFERROR(VLOOKUP(D3047,'[1]Перечень товаров'!$A$2:$I9525,3,0),"")</f>
        <v>мебель</v>
      </c>
      <c r="D3047" s="22" t="s">
        <v>876</v>
      </c>
      <c r="E3047" s="203"/>
      <c r="F3047" s="203"/>
      <c r="G3047" s="24">
        <v>1</v>
      </c>
      <c r="H3047" s="24"/>
      <c r="I3047" s="25"/>
      <c r="J3047" s="25"/>
      <c r="K3047" s="19"/>
      <c r="L3047" s="20"/>
    </row>
    <row r="3048" spans="1:12" outlineLevel="2">
      <c r="A3048" s="21"/>
      <c r="B3048" s="12" t="str">
        <f>IFERROR(VLOOKUP(D3048,'[1]Перечень товаров'!$A$2:$I9525,2,0),"")</f>
        <v>м187</v>
      </c>
      <c r="C3048" s="12" t="str">
        <f>IFERROR(VLOOKUP(D3048,'[1]Перечень товаров'!$A$2:$I9525,3,0),"")</f>
        <v>мебель</v>
      </c>
      <c r="D3048" s="22" t="s">
        <v>877</v>
      </c>
      <c r="E3048" s="203"/>
      <c r="F3048" s="203"/>
      <c r="G3048" s="24">
        <v>1</v>
      </c>
      <c r="H3048" s="24"/>
      <c r="I3048" s="25"/>
      <c r="J3048" s="25"/>
      <c r="K3048" s="19"/>
      <c r="L3048" s="20"/>
    </row>
    <row r="3049" spans="1:12" outlineLevel="2">
      <c r="A3049" s="21"/>
      <c r="B3049" s="12" t="str">
        <f>IFERROR(VLOOKUP(D3049,'[1]Перечень товаров'!$A$2:$I9525,2,0),"")</f>
        <v>м30</v>
      </c>
      <c r="C3049" s="12" t="str">
        <f>IFERROR(VLOOKUP(D3049,'[1]Перечень товаров'!$A$2:$I9525,3,0),"")</f>
        <v>Мебель</v>
      </c>
      <c r="D3049" s="22" t="s">
        <v>181</v>
      </c>
      <c r="E3049" s="203"/>
      <c r="F3049" s="203"/>
      <c r="G3049" s="24">
        <v>2</v>
      </c>
      <c r="H3049" s="24"/>
      <c r="I3049" s="25"/>
      <c r="J3049" s="25"/>
      <c r="K3049" s="19"/>
      <c r="L3049" s="20"/>
    </row>
    <row r="3050" spans="1:12" outlineLevel="2">
      <c r="A3050" s="21"/>
      <c r="B3050" s="12" t="str">
        <f>IFERROR(VLOOKUP(D3050,'[1]Перечень товаров'!$A$2:$I9525,2,0),"")</f>
        <v>м221</v>
      </c>
      <c r="C3050" s="12" t="str">
        <f>IFERROR(VLOOKUP(D3050,'[1]Перечень товаров'!$A$2:$I9525,3,0),"")</f>
        <v>Мебель</v>
      </c>
      <c r="D3050" s="22" t="s">
        <v>878</v>
      </c>
      <c r="E3050" s="203"/>
      <c r="F3050" s="203"/>
      <c r="G3050" s="24">
        <v>2</v>
      </c>
      <c r="H3050" s="24"/>
      <c r="I3050" s="25"/>
      <c r="J3050" s="25"/>
      <c r="K3050" s="19"/>
      <c r="L3050" s="20"/>
    </row>
    <row r="3051" spans="1:12" ht="12.75" outlineLevel="1">
      <c r="A3051" s="11"/>
      <c r="B3051" s="12" t="str">
        <f>IFERROR(VLOOKUP(D3051,'[1]Перечень товаров'!$A$2:$I9525,2,0),"")</f>
        <v/>
      </c>
      <c r="C3051" s="12" t="str">
        <f>IFERROR(VLOOKUP(D3051,'[1]Перечень товаров'!$A$2:$I9525,3,0),"")</f>
        <v/>
      </c>
      <c r="D3051" s="27" t="s">
        <v>879</v>
      </c>
      <c r="E3051" s="99">
        <v>46270</v>
      </c>
      <c r="F3051" s="99"/>
      <c r="G3051" s="100"/>
      <c r="H3051" s="100"/>
      <c r="I3051" s="101"/>
      <c r="J3051" s="101"/>
      <c r="K3051" s="19"/>
      <c r="L3051" s="20"/>
    </row>
    <row r="3052" spans="1:12" outlineLevel="2">
      <c r="A3052" s="43"/>
      <c r="B3052" s="12" t="str">
        <f>IFERROR(VLOOKUP(D3052,'[1]Перечень товаров'!$A$2:$I9525,2,0),"")</f>
        <v>м222</v>
      </c>
      <c r="C3052" s="12" t="str">
        <f>IFERROR(VLOOKUP(D3052,'[1]Перечень товаров'!$A$2:$I9525,3,0),"")</f>
        <v>Мебель</v>
      </c>
      <c r="D3052" s="44" t="s">
        <v>880</v>
      </c>
      <c r="E3052" s="102"/>
      <c r="F3052" s="102"/>
      <c r="G3052" s="24">
        <v>1</v>
      </c>
      <c r="H3052" s="24"/>
      <c r="I3052" s="25"/>
      <c r="J3052" s="25"/>
      <c r="K3052" s="19"/>
      <c r="L3052" s="20"/>
    </row>
    <row r="3053" spans="1:12" outlineLevel="2">
      <c r="A3053" s="43"/>
      <c r="B3053" s="12" t="str">
        <f>IFERROR(VLOOKUP(D3053,'[1]Перечень товаров'!$A$2:$I9525,2,0),"")</f>
        <v>м223</v>
      </c>
      <c r="C3053" s="12" t="str">
        <f>IFERROR(VLOOKUP(D3053,'[1]Перечень товаров'!$A$2:$I9525,3,0),"")</f>
        <v>Мебель</v>
      </c>
      <c r="D3053" s="44" t="s">
        <v>881</v>
      </c>
      <c r="E3053" s="102"/>
      <c r="F3053" s="102"/>
      <c r="G3053" s="24">
        <v>1</v>
      </c>
      <c r="H3053" s="24"/>
      <c r="I3053" s="25"/>
      <c r="J3053" s="25"/>
      <c r="K3053" s="19"/>
      <c r="L3053" s="20"/>
    </row>
    <row r="3054" spans="1:12" outlineLevel="2">
      <c r="A3054" s="43"/>
      <c r="B3054" s="12" t="str">
        <f>IFERROR(VLOOKUP(D3054,'[1]Перечень товаров'!$A$2:$I9525,2,0),"")</f>
        <v>м224</v>
      </c>
      <c r="C3054" s="12" t="str">
        <f>IFERROR(VLOOKUP(D3054,'[1]Перечень товаров'!$A$2:$I9525,3,0),"")</f>
        <v>Мебель</v>
      </c>
      <c r="D3054" s="44" t="s">
        <v>882</v>
      </c>
      <c r="E3054" s="102"/>
      <c r="F3054" s="102"/>
      <c r="G3054" s="24">
        <v>1</v>
      </c>
      <c r="H3054" s="24"/>
      <c r="I3054" s="25"/>
      <c r="J3054" s="25"/>
      <c r="K3054" s="19"/>
      <c r="L3054" s="20"/>
    </row>
    <row r="3055" spans="1:12" outlineLevel="2">
      <c r="A3055" s="43"/>
      <c r="B3055" s="12" t="str">
        <f>IFERROR(VLOOKUP(D3055,'[1]Перечень товаров'!$A$2:$I9525,2,0),"")</f>
        <v>м225</v>
      </c>
      <c r="C3055" s="12" t="str">
        <f>IFERROR(VLOOKUP(D3055,'[1]Перечень товаров'!$A$2:$I9525,3,0),"")</f>
        <v>Мебель</v>
      </c>
      <c r="D3055" s="44" t="s">
        <v>883</v>
      </c>
      <c r="E3055" s="102"/>
      <c r="F3055" s="102"/>
      <c r="G3055" s="24">
        <v>1</v>
      </c>
      <c r="H3055" s="24"/>
      <c r="I3055" s="25"/>
      <c r="J3055" s="25"/>
      <c r="K3055" s="19"/>
      <c r="L3055" s="20"/>
    </row>
    <row r="3056" spans="1:12" outlineLevel="2">
      <c r="A3056" s="43"/>
      <c r="B3056" s="12" t="str">
        <f>IFERROR(VLOOKUP(D3056,'[1]Перечень товаров'!$A$2:$I9525,2,0),"")</f>
        <v>п28</v>
      </c>
      <c r="C3056" s="12" t="str">
        <f>IFERROR(VLOOKUP(D3056,'[1]Перечень товаров'!$A$2:$I9525,3,0),"")</f>
        <v>Прочее</v>
      </c>
      <c r="D3056" s="44" t="s">
        <v>363</v>
      </c>
      <c r="E3056" s="102"/>
      <c r="F3056" s="102"/>
      <c r="G3056" s="24">
        <v>1</v>
      </c>
      <c r="H3056" s="24"/>
      <c r="I3056" s="25"/>
      <c r="J3056" s="25"/>
      <c r="K3056" s="19"/>
      <c r="L3056" s="20"/>
    </row>
    <row r="3057" spans="1:34" outlineLevel="2">
      <c r="A3057" s="43"/>
      <c r="B3057" s="12" t="str">
        <f>IFERROR(VLOOKUP(D3057,'[1]Перечень товаров'!$A$2:$I9525,2,0),"")</f>
        <v>м226</v>
      </c>
      <c r="C3057" s="12" t="str">
        <f>IFERROR(VLOOKUP(D3057,'[1]Перечень товаров'!$A$2:$I9525,3,0),"")</f>
        <v>Мебель</v>
      </c>
      <c r="D3057" s="44" t="s">
        <v>884</v>
      </c>
      <c r="E3057" s="102"/>
      <c r="F3057" s="102"/>
      <c r="G3057" s="24">
        <v>1</v>
      </c>
      <c r="H3057" s="24"/>
      <c r="I3057" s="25"/>
      <c r="J3057" s="25"/>
      <c r="K3057" s="19"/>
      <c r="L3057" s="20"/>
    </row>
    <row r="3058" spans="1:34" outlineLevel="1">
      <c r="A3058" s="21"/>
      <c r="B3058" s="12" t="str">
        <f>IFERROR(VLOOKUP(D3058,'[1]Перечень товаров'!$A$2:$I9525,2,0),"")</f>
        <v/>
      </c>
      <c r="C3058" s="12" t="str">
        <f>IFERROR(VLOOKUP(D3058,'[1]Перечень товаров'!$A$2:$I9525,3,0),"")</f>
        <v/>
      </c>
      <c r="D3058" s="22" t="s">
        <v>885</v>
      </c>
      <c r="E3058" s="23" t="s">
        <v>375</v>
      </c>
      <c r="F3058" s="23"/>
      <c r="G3058" s="24"/>
      <c r="H3058" s="24"/>
      <c r="I3058" s="25"/>
      <c r="J3058" s="25"/>
      <c r="K3058" s="19"/>
      <c r="L3058" s="20"/>
    </row>
    <row r="3059" spans="1:34" outlineLevel="1">
      <c r="A3059" s="21"/>
      <c r="B3059" s="12" t="str">
        <f>IFERROR(VLOOKUP(D3059,'[1]Перечень товаров'!$A$2:$I9525,2,0),"")</f>
        <v/>
      </c>
      <c r="C3059" s="12" t="str">
        <f>IFERROR(VLOOKUP(D3059,'[1]Перечень товаров'!$A$2:$I9525,3,0),"")</f>
        <v/>
      </c>
      <c r="D3059" s="22" t="s">
        <v>311</v>
      </c>
      <c r="E3059" s="23" t="s">
        <v>927</v>
      </c>
      <c r="F3059" s="23"/>
      <c r="G3059" s="24"/>
      <c r="H3059" s="24"/>
      <c r="I3059" s="25"/>
      <c r="J3059" s="25"/>
      <c r="K3059" s="19"/>
      <c r="L3059" s="20"/>
    </row>
    <row r="3060" spans="1:34" outlineLevel="1">
      <c r="A3060" s="21"/>
      <c r="B3060" s="12" t="str">
        <f>IFERROR(VLOOKUP(D3060,'[1]Перечень товаров'!$A$2:$I9525,2,0),"")</f>
        <v/>
      </c>
      <c r="C3060" s="12" t="str">
        <f>IFERROR(VLOOKUP(D3060,'[1]Перечень товаров'!$A$2:$I9525,3,0),"")</f>
        <v/>
      </c>
      <c r="D3060" s="22"/>
      <c r="E3060" s="23"/>
      <c r="F3060" s="23"/>
      <c r="G3060" s="24"/>
      <c r="H3060" s="24"/>
      <c r="I3060" s="25"/>
      <c r="J3060" s="25"/>
      <c r="K3060" s="19"/>
      <c r="L3060" s="20"/>
    </row>
    <row r="3061" spans="1:34" ht="12.75">
      <c r="A3061" s="11"/>
      <c r="B3061" s="12" t="str">
        <f>IFERROR(VLOOKUP(D3061,'[1]Перечень товаров'!$A$2:$I9525,2,0),"")</f>
        <v/>
      </c>
      <c r="C3061" s="12" t="str">
        <f>IFERROR(VLOOKUP(D3061,'[1]Перечень товаров'!$A$2:$I9525,3,0),"")</f>
        <v/>
      </c>
      <c r="D3061" s="27" t="s">
        <v>928</v>
      </c>
      <c r="E3061" s="14"/>
      <c r="F3061" s="14"/>
      <c r="G3061" s="16"/>
      <c r="H3061" s="16"/>
      <c r="I3061" s="18"/>
      <c r="J3061" s="18"/>
      <c r="K3061" s="19"/>
      <c r="L3061" s="20"/>
      <c r="M3061" s="10"/>
      <c r="N3061" s="10"/>
      <c r="O3061" s="10"/>
      <c r="P3061" s="10"/>
      <c r="Q3061" s="10"/>
      <c r="R3061" s="10"/>
      <c r="S3061" s="10"/>
      <c r="T3061" s="10"/>
      <c r="U3061" s="10"/>
      <c r="V3061" s="10"/>
      <c r="W3061" s="10"/>
      <c r="X3061" s="10"/>
      <c r="Y3061" s="10"/>
      <c r="Z3061" s="10"/>
      <c r="AA3061" s="10"/>
      <c r="AB3061" s="10"/>
      <c r="AC3061" s="10"/>
      <c r="AD3061" s="10"/>
      <c r="AE3061" s="10"/>
      <c r="AF3061" s="10"/>
      <c r="AG3061" s="10"/>
      <c r="AH3061" s="10"/>
    </row>
    <row r="3062" spans="1:34" ht="12.75" outlineLevel="1">
      <c r="A3062" s="11"/>
      <c r="B3062" s="12" t="str">
        <f>IFERROR(VLOOKUP(D3062,'[1]Перечень товаров'!$A$2:$I9525,2,0),"")</f>
        <v/>
      </c>
      <c r="C3062" s="12" t="str">
        <f>IFERROR(VLOOKUP(D3062,'[1]Перечень товаров'!$A$2:$I9525,3,0),"")</f>
        <v/>
      </c>
      <c r="D3062" s="27" t="s">
        <v>929</v>
      </c>
      <c r="E3062" s="14" t="s">
        <v>168</v>
      </c>
      <c r="F3062" s="14"/>
      <c r="G3062" s="16"/>
      <c r="H3062" s="16"/>
      <c r="I3062" s="18"/>
      <c r="J3062" s="18"/>
      <c r="K3062" s="19"/>
      <c r="L3062" s="20"/>
      <c r="M3062" s="10"/>
      <c r="N3062" s="10"/>
      <c r="O3062" s="10"/>
      <c r="P3062" s="10"/>
      <c r="Q3062" s="10"/>
      <c r="R3062" s="10"/>
      <c r="S3062" s="10"/>
      <c r="T3062" s="10"/>
      <c r="U3062" s="10"/>
      <c r="V3062" s="10"/>
      <c r="W3062" s="10"/>
      <c r="X3062" s="10"/>
      <c r="Y3062" s="10"/>
      <c r="Z3062" s="10"/>
      <c r="AA3062" s="10"/>
      <c r="AB3062" s="10"/>
      <c r="AC3062" s="10"/>
      <c r="AD3062" s="10"/>
      <c r="AE3062" s="10"/>
      <c r="AF3062" s="10"/>
      <c r="AG3062" s="10"/>
      <c r="AH3062" s="10"/>
    </row>
    <row r="3063" spans="1:34" outlineLevel="1">
      <c r="A3063" s="21"/>
      <c r="B3063" s="12" t="str">
        <f>IFERROR(VLOOKUP(D3063,'[1]Перечень товаров'!$A$2:$I9525,2,0),"")</f>
        <v/>
      </c>
      <c r="C3063" s="12" t="str">
        <f>IFERROR(VLOOKUP(D3063,'[1]Перечень товаров'!$A$2:$I9525,3,0),"")</f>
        <v/>
      </c>
      <c r="D3063" s="22" t="s">
        <v>11</v>
      </c>
      <c r="E3063" s="23">
        <v>53.3</v>
      </c>
      <c r="F3063" s="23"/>
      <c r="G3063" s="24"/>
      <c r="H3063" s="24"/>
      <c r="I3063" s="25"/>
      <c r="J3063" s="25"/>
      <c r="K3063" s="19"/>
      <c r="L3063" s="20"/>
      <c r="M3063" s="10"/>
      <c r="N3063" s="10"/>
      <c r="O3063" s="10"/>
      <c r="P3063" s="10"/>
      <c r="Q3063" s="10"/>
      <c r="R3063" s="10"/>
      <c r="S3063" s="10"/>
      <c r="T3063" s="10"/>
      <c r="U3063" s="10"/>
      <c r="V3063" s="10"/>
      <c r="W3063" s="10"/>
      <c r="X3063" s="10"/>
      <c r="Y3063" s="10"/>
      <c r="Z3063" s="10"/>
      <c r="AA3063" s="10"/>
      <c r="AB3063" s="10"/>
      <c r="AC3063" s="10"/>
      <c r="AD3063" s="10"/>
      <c r="AE3063" s="10"/>
      <c r="AF3063" s="10"/>
      <c r="AG3063" s="10"/>
      <c r="AH3063" s="10"/>
    </row>
    <row r="3064" spans="1:34" ht="12.75" outlineLevel="1">
      <c r="A3064" s="11"/>
      <c r="B3064" s="12" t="str">
        <f>IFERROR(VLOOKUP(D3064,'[1]Перечень товаров'!$A$2:$I9525,2,0),"")</f>
        <v/>
      </c>
      <c r="C3064" s="12" t="str">
        <f>IFERROR(VLOOKUP(D3064,'[1]Перечень товаров'!$A$2:$I9525,3,0),"")</f>
        <v/>
      </c>
      <c r="D3064" s="27" t="s">
        <v>930</v>
      </c>
      <c r="E3064" s="15">
        <v>9.4</v>
      </c>
      <c r="F3064" s="15"/>
      <c r="G3064" s="17"/>
      <c r="H3064" s="17"/>
      <c r="I3064" s="57"/>
      <c r="J3064" s="57"/>
      <c r="K3064" s="19"/>
      <c r="L3064" s="20"/>
      <c r="M3064" s="10"/>
      <c r="N3064" s="10"/>
      <c r="O3064" s="10"/>
      <c r="P3064" s="10"/>
      <c r="Q3064" s="10"/>
      <c r="R3064" s="10"/>
      <c r="S3064" s="10"/>
      <c r="T3064" s="10"/>
      <c r="U3064" s="10"/>
      <c r="V3064" s="10"/>
      <c r="W3064" s="10"/>
      <c r="X3064" s="10"/>
      <c r="Y3064" s="10"/>
      <c r="Z3064" s="10"/>
      <c r="AA3064" s="10"/>
      <c r="AB3064" s="10"/>
      <c r="AC3064" s="10"/>
      <c r="AD3064" s="10"/>
      <c r="AE3064" s="10"/>
      <c r="AF3064" s="10"/>
      <c r="AG3064" s="10"/>
      <c r="AH3064" s="10"/>
    </row>
    <row r="3065" spans="1:34" ht="12.75" outlineLevel="2">
      <c r="A3065" s="77"/>
      <c r="B3065" s="12" t="str">
        <f>IFERROR(VLOOKUP(D3065,'[1]Перечень товаров'!$A$2:$I9525,2,0),"")</f>
        <v/>
      </c>
      <c r="C3065" s="12" t="str">
        <f>IFERROR(VLOOKUP(D3065,'[1]Перечень товаров'!$A$2:$I9525,3,0),"")</f>
        <v/>
      </c>
      <c r="D3065" s="78" t="s">
        <v>931</v>
      </c>
      <c r="E3065" s="45"/>
      <c r="F3065" s="45"/>
      <c r="G3065" s="17"/>
      <c r="H3065" s="17"/>
      <c r="I3065" s="57"/>
      <c r="J3065" s="57"/>
      <c r="K3065" s="19"/>
      <c r="L3065" s="20"/>
      <c r="M3065" s="10"/>
      <c r="N3065" s="10"/>
      <c r="O3065" s="10"/>
      <c r="P3065" s="10"/>
      <c r="Q3065" s="10"/>
      <c r="R3065" s="10"/>
      <c r="S3065" s="10"/>
      <c r="T3065" s="10"/>
      <c r="U3065" s="10"/>
      <c r="V3065" s="10"/>
      <c r="W3065" s="10"/>
      <c r="X3065" s="10"/>
      <c r="Y3065" s="10"/>
      <c r="Z3065" s="10"/>
      <c r="AA3065" s="10"/>
      <c r="AB3065" s="10"/>
      <c r="AC3065" s="10"/>
      <c r="AD3065" s="10"/>
      <c r="AE3065" s="10"/>
      <c r="AF3065" s="10"/>
      <c r="AG3065" s="10"/>
      <c r="AH3065" s="10"/>
    </row>
    <row r="3066" spans="1:34" ht="31.5" outlineLevel="2">
      <c r="A3066" s="28"/>
      <c r="B3066" s="12" t="str">
        <f>IFERROR(VLOOKUP(D3066,'[1]Перечень товаров'!$A$2:$I9525,2,0),"")</f>
        <v>тм75</v>
      </c>
      <c r="C3066" s="12" t="str">
        <f>IFERROR(VLOOKUP(D3066,'[1]Перечень товаров'!$A$2:$I9525,3,0),"")</f>
        <v>Техника муз</v>
      </c>
      <c r="D3066" s="29" t="s">
        <v>422</v>
      </c>
      <c r="E3066" s="23"/>
      <c r="F3066" s="23"/>
      <c r="G3066" s="24">
        <v>1</v>
      </c>
      <c r="H3066" s="24"/>
      <c r="I3066" s="25"/>
      <c r="J3066" s="25"/>
      <c r="K3066" s="19"/>
      <c r="L3066" s="20"/>
      <c r="M3066" s="10"/>
      <c r="N3066" s="10"/>
      <c r="O3066" s="10"/>
      <c r="P3066" s="10"/>
      <c r="Q3066" s="10"/>
      <c r="R3066" s="10"/>
      <c r="S3066" s="10"/>
      <c r="T3066" s="10"/>
      <c r="U3066" s="10"/>
      <c r="V3066" s="10"/>
      <c r="W3066" s="10"/>
      <c r="X3066" s="10"/>
      <c r="Y3066" s="10"/>
      <c r="Z3066" s="10"/>
      <c r="AA3066" s="10"/>
      <c r="AB3066" s="10"/>
      <c r="AC3066" s="10"/>
      <c r="AD3066" s="10"/>
      <c r="AE3066" s="10"/>
      <c r="AF3066" s="10"/>
      <c r="AG3066" s="10"/>
      <c r="AH3066" s="10"/>
    </row>
    <row r="3067" spans="1:34" outlineLevel="2">
      <c r="A3067" s="28"/>
      <c r="B3067" s="12" t="str">
        <f>IFERROR(VLOOKUP(D3067,'[1]Перечень товаров'!$A$2:$I9525,2,0),"")</f>
        <v>пм217</v>
      </c>
      <c r="C3067" s="12" t="str">
        <f>IFERROR(VLOOKUP(D3067,'[1]Перечень товаров'!$A$2:$I9525,3,0),"")</f>
        <v>прочее муз</v>
      </c>
      <c r="D3067" s="29" t="s">
        <v>932</v>
      </c>
      <c r="E3067" s="23"/>
      <c r="F3067" s="23"/>
      <c r="G3067" s="24">
        <v>1</v>
      </c>
      <c r="H3067" s="24"/>
      <c r="I3067" s="25"/>
      <c r="J3067" s="25"/>
      <c r="K3067" s="19"/>
      <c r="L3067" s="20"/>
      <c r="M3067" s="10"/>
      <c r="N3067" s="10"/>
      <c r="O3067" s="10"/>
      <c r="P3067" s="10"/>
      <c r="Q3067" s="10"/>
      <c r="R3067" s="10"/>
      <c r="S3067" s="10"/>
      <c r="T3067" s="10"/>
      <c r="U3067" s="10"/>
      <c r="V3067" s="10"/>
      <c r="W3067" s="10"/>
      <c r="X3067" s="10"/>
      <c r="Y3067" s="10"/>
      <c r="Z3067" s="10"/>
      <c r="AA3067" s="10"/>
      <c r="AB3067" s="10"/>
      <c r="AC3067" s="10"/>
      <c r="AD3067" s="10"/>
      <c r="AE3067" s="10"/>
      <c r="AF3067" s="10"/>
      <c r="AG3067" s="10"/>
      <c r="AH3067" s="10"/>
    </row>
    <row r="3068" spans="1:34" ht="31.5" outlineLevel="2">
      <c r="A3068" s="28"/>
      <c r="B3068" s="12" t="str">
        <f>IFERROR(VLOOKUP(D3068,'[1]Перечень товаров'!$A$2:$I9525,2,0),"")</f>
        <v>пм216</v>
      </c>
      <c r="C3068" s="12" t="str">
        <f>IFERROR(VLOOKUP(D3068,'[1]Перечень товаров'!$A$2:$I9525,3,0),"")</f>
        <v>прочее муз</v>
      </c>
      <c r="D3068" s="29" t="s">
        <v>933</v>
      </c>
      <c r="E3068" s="23"/>
      <c r="F3068" s="23"/>
      <c r="G3068" s="24">
        <v>2</v>
      </c>
      <c r="H3068" s="24"/>
      <c r="I3068" s="25"/>
      <c r="J3068" s="25"/>
      <c r="K3068" s="19"/>
      <c r="L3068" s="20"/>
      <c r="M3068" s="10"/>
      <c r="N3068" s="10"/>
      <c r="O3068" s="10"/>
      <c r="P3068" s="10"/>
      <c r="Q3068" s="10"/>
      <c r="R3068" s="10"/>
      <c r="S3068" s="10"/>
      <c r="T3068" s="10"/>
      <c r="U3068" s="10"/>
      <c r="V3068" s="10"/>
      <c r="W3068" s="10"/>
      <c r="X3068" s="10"/>
      <c r="Y3068" s="10"/>
      <c r="Z3068" s="10"/>
      <c r="AA3068" s="10"/>
      <c r="AB3068" s="10"/>
      <c r="AC3068" s="10"/>
      <c r="AD3068" s="10"/>
      <c r="AE3068" s="10"/>
      <c r="AF3068" s="10"/>
      <c r="AG3068" s="10"/>
      <c r="AH3068" s="10"/>
    </row>
    <row r="3069" spans="1:34" ht="15" outlineLevel="2">
      <c r="A3069" s="116"/>
      <c r="B3069" s="12" t="str">
        <f>IFERROR(VLOOKUP(D3069,'[1]Перечень товаров'!$A$2:$I9525,2,0),"")</f>
        <v/>
      </c>
      <c r="C3069" s="12" t="str">
        <f>IFERROR(VLOOKUP(D3069,'[1]Перечень товаров'!$A$2:$I9525,3,0),"")</f>
        <v/>
      </c>
      <c r="D3069" s="117" t="s">
        <v>19</v>
      </c>
      <c r="E3069" s="45"/>
      <c r="F3069" s="45"/>
      <c r="G3069" s="17"/>
      <c r="H3069" s="17"/>
      <c r="I3069" s="57"/>
      <c r="J3069" s="57"/>
      <c r="K3069" s="19"/>
      <c r="L3069" s="20"/>
      <c r="M3069" s="10"/>
      <c r="N3069" s="10"/>
      <c r="O3069" s="10"/>
      <c r="P3069" s="10"/>
      <c r="Q3069" s="10"/>
      <c r="R3069" s="10"/>
      <c r="S3069" s="10"/>
      <c r="T3069" s="10"/>
      <c r="U3069" s="10"/>
      <c r="V3069" s="10"/>
      <c r="W3069" s="10"/>
      <c r="X3069" s="10"/>
      <c r="Y3069" s="10"/>
      <c r="Z3069" s="10"/>
      <c r="AA3069" s="10"/>
      <c r="AB3069" s="10"/>
      <c r="AC3069" s="10"/>
      <c r="AD3069" s="10"/>
      <c r="AE3069" s="10"/>
      <c r="AF3069" s="10"/>
      <c r="AG3069" s="10"/>
      <c r="AH3069" s="10"/>
    </row>
    <row r="3070" spans="1:34" outlineLevel="2">
      <c r="A3070" s="34"/>
      <c r="B3070" s="12" t="str">
        <f>IFERROR(VLOOKUP(D3070,'[1]Перечень товаров'!$A$2:$I9525,2,0),"")</f>
        <v>м62</v>
      </c>
      <c r="C3070" s="12" t="str">
        <f>IFERROR(VLOOKUP(D3070,'[1]Перечень товаров'!$A$2:$I9525,3,0),"")</f>
        <v>Мебель</v>
      </c>
      <c r="D3070" s="35" t="s">
        <v>398</v>
      </c>
      <c r="E3070" s="23"/>
      <c r="F3070" s="23"/>
      <c r="G3070" s="24">
        <v>1</v>
      </c>
      <c r="H3070" s="24"/>
      <c r="I3070" s="25"/>
      <c r="J3070" s="25"/>
      <c r="K3070" s="19"/>
      <c r="L3070" s="20"/>
      <c r="M3070" s="10"/>
      <c r="N3070" s="10"/>
      <c r="O3070" s="10"/>
      <c r="P3070" s="10"/>
      <c r="Q3070" s="10"/>
      <c r="R3070" s="10"/>
      <c r="S3070" s="10"/>
      <c r="T3070" s="10"/>
      <c r="U3070" s="10"/>
      <c r="V3070" s="10"/>
      <c r="W3070" s="10"/>
      <c r="X3070" s="10"/>
      <c r="Y3070" s="10"/>
      <c r="Z3070" s="10"/>
      <c r="AA3070" s="10"/>
      <c r="AB3070" s="10"/>
      <c r="AC3070" s="10"/>
      <c r="AD3070" s="10"/>
      <c r="AE3070" s="10"/>
      <c r="AF3070" s="10"/>
      <c r="AG3070" s="10"/>
      <c r="AH3070" s="10"/>
    </row>
    <row r="3071" spans="1:34" outlineLevel="2">
      <c r="A3071" s="34"/>
      <c r="B3071" s="12" t="str">
        <f>IFERROR(VLOOKUP(D3071,'[1]Перечень товаров'!$A$2:$I9525,2,0),"")</f>
        <v>м61</v>
      </c>
      <c r="C3071" s="12" t="str">
        <f>IFERROR(VLOOKUP(D3071,'[1]Перечень товаров'!$A$2:$I9525,3,0),"")</f>
        <v>Мебель</v>
      </c>
      <c r="D3071" s="35" t="s">
        <v>383</v>
      </c>
      <c r="E3071" s="23"/>
      <c r="F3071" s="23"/>
      <c r="G3071" s="24">
        <v>1</v>
      </c>
      <c r="H3071" s="24"/>
      <c r="I3071" s="25"/>
      <c r="J3071" s="25"/>
      <c r="K3071" s="19"/>
      <c r="L3071" s="20"/>
      <c r="M3071" s="10"/>
      <c r="N3071" s="10"/>
      <c r="O3071" s="10"/>
      <c r="P3071" s="10"/>
      <c r="Q3071" s="10"/>
      <c r="R3071" s="10"/>
      <c r="S3071" s="10"/>
      <c r="T3071" s="10"/>
      <c r="U3071" s="10"/>
      <c r="V3071" s="10"/>
      <c r="W3071" s="10"/>
      <c r="X3071" s="10"/>
      <c r="Y3071" s="10"/>
      <c r="Z3071" s="10"/>
      <c r="AA3071" s="10"/>
      <c r="AB3071" s="10"/>
      <c r="AC3071" s="10"/>
      <c r="AD3071" s="10"/>
      <c r="AE3071" s="10"/>
      <c r="AF3071" s="10"/>
      <c r="AG3071" s="10"/>
      <c r="AH3071" s="10"/>
    </row>
    <row r="3072" spans="1:34" outlineLevel="2">
      <c r="A3072" s="34"/>
      <c r="B3072" s="12" t="str">
        <f>IFERROR(VLOOKUP(D3072,'[1]Перечень товаров'!$A$2:$I9525,2,0),"")</f>
        <v>м209</v>
      </c>
      <c r="C3072" s="12" t="str">
        <f>IFERROR(VLOOKUP(D3072,'[1]Перечень товаров'!$A$2:$I9525,3,0),"")</f>
        <v>Мебель</v>
      </c>
      <c r="D3072" s="35" t="s">
        <v>749</v>
      </c>
      <c r="E3072" s="23"/>
      <c r="F3072" s="23"/>
      <c r="G3072" s="24">
        <v>1</v>
      </c>
      <c r="H3072" s="24"/>
      <c r="I3072" s="25"/>
      <c r="J3072" s="25"/>
      <c r="K3072" s="19"/>
      <c r="L3072" s="20"/>
      <c r="M3072" s="10"/>
      <c r="N3072" s="10"/>
      <c r="O3072" s="10"/>
      <c r="P3072" s="10"/>
      <c r="Q3072" s="10"/>
      <c r="R3072" s="10"/>
      <c r="S3072" s="10"/>
      <c r="T3072" s="10"/>
      <c r="U3072" s="10"/>
      <c r="V3072" s="10"/>
      <c r="W3072" s="10"/>
      <c r="X3072" s="10"/>
      <c r="Y3072" s="10"/>
      <c r="Z3072" s="10"/>
      <c r="AA3072" s="10"/>
      <c r="AB3072" s="10"/>
      <c r="AC3072" s="10"/>
      <c r="AD3072" s="10"/>
      <c r="AE3072" s="10"/>
      <c r="AF3072" s="10"/>
      <c r="AG3072" s="10"/>
      <c r="AH3072" s="10"/>
    </row>
    <row r="3073" spans="1:34" outlineLevel="2">
      <c r="A3073" s="34"/>
      <c r="B3073" s="12" t="str">
        <f>IFERROR(VLOOKUP(D3073,'[1]Перечень товаров'!$A$2:$I9525,2,0),"")</f>
        <v>м216</v>
      </c>
      <c r="C3073" s="12" t="str">
        <f>IFERROR(VLOOKUP(D3073,'[1]Перечень товаров'!$A$2:$I9525,3,0),"")</f>
        <v>Мебель</v>
      </c>
      <c r="D3073" s="35" t="s">
        <v>854</v>
      </c>
      <c r="E3073" s="23"/>
      <c r="F3073" s="23"/>
      <c r="G3073" s="24">
        <v>1</v>
      </c>
      <c r="H3073" s="24"/>
      <c r="I3073" s="25"/>
      <c r="J3073" s="25"/>
      <c r="K3073" s="19"/>
      <c r="L3073" s="20"/>
      <c r="M3073" s="10"/>
      <c r="N3073" s="10"/>
      <c r="O3073" s="10"/>
      <c r="P3073" s="10"/>
      <c r="Q3073" s="10"/>
      <c r="R3073" s="10"/>
      <c r="S3073" s="10"/>
      <c r="T3073" s="10"/>
      <c r="U3073" s="10"/>
      <c r="V3073" s="10"/>
      <c r="W3073" s="10"/>
      <c r="X3073" s="10"/>
      <c r="Y3073" s="10"/>
      <c r="Z3073" s="10"/>
      <c r="AA3073" s="10"/>
      <c r="AB3073" s="10"/>
      <c r="AC3073" s="10"/>
      <c r="AD3073" s="10"/>
      <c r="AE3073" s="10"/>
      <c r="AF3073" s="10"/>
      <c r="AG3073" s="10"/>
      <c r="AH3073" s="10"/>
    </row>
    <row r="3074" spans="1:34" outlineLevel="2">
      <c r="A3074" s="34"/>
      <c r="B3074" s="12" t="str">
        <f>IFERROR(VLOOKUP(D3074,'[1]Перечень товаров'!$A$2:$I9525,2,0),"")</f>
        <v>м14</v>
      </c>
      <c r="C3074" s="12" t="str">
        <f>IFERROR(VLOOKUP(D3074,'[1]Перечень товаров'!$A$2:$I9525,3,0),"")</f>
        <v>Мебель</v>
      </c>
      <c r="D3074" s="35" t="s">
        <v>43</v>
      </c>
      <c r="E3074" s="23"/>
      <c r="F3074" s="23"/>
      <c r="G3074" s="24">
        <v>1</v>
      </c>
      <c r="H3074" s="24"/>
      <c r="I3074" s="25"/>
      <c r="J3074" s="25"/>
      <c r="K3074" s="19"/>
      <c r="L3074" s="20"/>
      <c r="M3074" s="10"/>
      <c r="N3074" s="10"/>
      <c r="O3074" s="10"/>
      <c r="P3074" s="10"/>
      <c r="Q3074" s="10"/>
      <c r="R3074" s="10"/>
      <c r="S3074" s="10"/>
      <c r="T3074" s="10"/>
      <c r="U3074" s="10"/>
      <c r="V3074" s="10"/>
      <c r="W3074" s="10"/>
      <c r="X3074" s="10"/>
      <c r="Y3074" s="10"/>
      <c r="Z3074" s="10"/>
      <c r="AA3074" s="10"/>
      <c r="AB3074" s="10"/>
      <c r="AC3074" s="10"/>
      <c r="AD3074" s="10"/>
      <c r="AE3074" s="10"/>
      <c r="AF3074" s="10"/>
      <c r="AG3074" s="10"/>
      <c r="AH3074" s="10"/>
    </row>
    <row r="3075" spans="1:34" ht="12.75" outlineLevel="1">
      <c r="A3075" s="11"/>
      <c r="B3075" s="12" t="str">
        <f>IFERROR(VLOOKUP(D3075,'[1]Перечень товаров'!$A$2:$I9525,2,0),"")</f>
        <v/>
      </c>
      <c r="C3075" s="12" t="str">
        <f>IFERROR(VLOOKUP(D3075,'[1]Перечень товаров'!$A$2:$I9525,3,0),"")</f>
        <v/>
      </c>
      <c r="D3075" s="27" t="s">
        <v>930</v>
      </c>
      <c r="E3075" s="15">
        <v>12.2</v>
      </c>
      <c r="F3075" s="15"/>
      <c r="G3075" s="17"/>
      <c r="H3075" s="17"/>
      <c r="I3075" s="57"/>
      <c r="J3075" s="57"/>
      <c r="K3075" s="19"/>
      <c r="L3075" s="20"/>
      <c r="M3075" s="10"/>
      <c r="N3075" s="10"/>
      <c r="O3075" s="10"/>
      <c r="P3075" s="10"/>
      <c r="Q3075" s="10"/>
      <c r="R3075" s="10"/>
      <c r="S3075" s="10"/>
      <c r="T3075" s="10"/>
      <c r="U3075" s="10"/>
      <c r="V3075" s="10"/>
      <c r="W3075" s="10"/>
      <c r="X3075" s="10"/>
      <c r="Y3075" s="10"/>
      <c r="Z3075" s="10"/>
      <c r="AA3075" s="10"/>
      <c r="AB3075" s="10"/>
      <c r="AC3075" s="10"/>
      <c r="AD3075" s="10"/>
      <c r="AE3075" s="10"/>
      <c r="AF3075" s="10"/>
      <c r="AG3075" s="10"/>
      <c r="AH3075" s="10"/>
    </row>
    <row r="3076" spans="1:34" outlineLevel="2">
      <c r="A3076" s="21"/>
      <c r="B3076" s="12" t="str">
        <f>IFERROR(VLOOKUP(D3076,'[1]Перечень товаров'!$A$2:$I9525,2,0),"")</f>
        <v/>
      </c>
      <c r="C3076" s="12" t="str">
        <f>IFERROR(VLOOKUP(D3076,'[1]Перечень товаров'!$A$2:$I9525,3,0),"")</f>
        <v/>
      </c>
      <c r="D3076" s="22" t="s">
        <v>931</v>
      </c>
      <c r="E3076" s="23"/>
      <c r="F3076" s="23"/>
      <c r="G3076" s="24"/>
      <c r="H3076" s="24"/>
      <c r="I3076" s="25"/>
      <c r="J3076" s="25"/>
      <c r="K3076" s="19"/>
      <c r="L3076" s="20"/>
      <c r="M3076" s="10"/>
      <c r="N3076" s="10"/>
      <c r="O3076" s="10"/>
      <c r="P3076" s="10"/>
      <c r="Q3076" s="10"/>
      <c r="R3076" s="10"/>
      <c r="S3076" s="10"/>
      <c r="T3076" s="10"/>
      <c r="U3076" s="10"/>
      <c r="V3076" s="10"/>
      <c r="W3076" s="10"/>
      <c r="X3076" s="10"/>
      <c r="Y3076" s="10"/>
      <c r="Z3076" s="10"/>
      <c r="AA3076" s="10"/>
      <c r="AB3076" s="10"/>
      <c r="AC3076" s="10"/>
      <c r="AD3076" s="10"/>
      <c r="AE3076" s="10"/>
      <c r="AF3076" s="10"/>
      <c r="AG3076" s="10"/>
      <c r="AH3076" s="10"/>
    </row>
    <row r="3077" spans="1:34" ht="31.5" outlineLevel="2">
      <c r="A3077" s="28"/>
      <c r="B3077" s="12" t="str">
        <f>IFERROR(VLOOKUP(D3077,'[1]Перечень товаров'!$A$2:$I9525,2,0),"")</f>
        <v>тм75</v>
      </c>
      <c r="C3077" s="12" t="str">
        <f>IFERROR(VLOOKUP(D3077,'[1]Перечень товаров'!$A$2:$I9525,3,0),"")</f>
        <v>Техника муз</v>
      </c>
      <c r="D3077" s="29" t="s">
        <v>422</v>
      </c>
      <c r="E3077" s="23"/>
      <c r="F3077" s="23"/>
      <c r="G3077" s="24">
        <v>1</v>
      </c>
      <c r="H3077" s="24"/>
      <c r="I3077" s="25"/>
      <c r="J3077" s="25"/>
      <c r="K3077" s="19"/>
      <c r="L3077" s="20"/>
      <c r="M3077" s="10"/>
      <c r="N3077" s="10"/>
      <c r="O3077" s="10"/>
      <c r="P3077" s="10"/>
      <c r="Q3077" s="10"/>
      <c r="R3077" s="10"/>
      <c r="S3077" s="10"/>
      <c r="T3077" s="10"/>
      <c r="U3077" s="10"/>
      <c r="V3077" s="10"/>
      <c r="W3077" s="10"/>
      <c r="X3077" s="10"/>
      <c r="Y3077" s="10"/>
      <c r="Z3077" s="10"/>
      <c r="AA3077" s="10"/>
      <c r="AB3077" s="10"/>
      <c r="AC3077" s="10"/>
      <c r="AD3077" s="10"/>
      <c r="AE3077" s="10"/>
      <c r="AF3077" s="10"/>
      <c r="AG3077" s="10"/>
      <c r="AH3077" s="10"/>
    </row>
    <row r="3078" spans="1:34" outlineLevel="2">
      <c r="A3078" s="28"/>
      <c r="B3078" s="12" t="str">
        <f>IFERROR(VLOOKUP(D3078,'[1]Перечень товаров'!$A$2:$I9525,2,0),"")</f>
        <v>пм217</v>
      </c>
      <c r="C3078" s="12" t="str">
        <f>IFERROR(VLOOKUP(D3078,'[1]Перечень товаров'!$A$2:$I9525,3,0),"")</f>
        <v>прочее муз</v>
      </c>
      <c r="D3078" s="29" t="s">
        <v>932</v>
      </c>
      <c r="E3078" s="23"/>
      <c r="F3078" s="23"/>
      <c r="G3078" s="24">
        <v>1</v>
      </c>
      <c r="H3078" s="24"/>
      <c r="I3078" s="25"/>
      <c r="J3078" s="25"/>
      <c r="K3078" s="19"/>
      <c r="L3078" s="20"/>
      <c r="M3078" s="10"/>
      <c r="N3078" s="10"/>
      <c r="O3078" s="10"/>
      <c r="P3078" s="10"/>
      <c r="Q3078" s="10"/>
      <c r="R3078" s="10"/>
      <c r="S3078" s="10"/>
      <c r="T3078" s="10"/>
      <c r="U3078" s="10"/>
      <c r="V3078" s="10"/>
      <c r="W3078" s="10"/>
      <c r="X3078" s="10"/>
      <c r="Y3078" s="10"/>
      <c r="Z3078" s="10"/>
      <c r="AA3078" s="10"/>
      <c r="AB3078" s="10"/>
      <c r="AC3078" s="10"/>
      <c r="AD3078" s="10"/>
      <c r="AE3078" s="10"/>
      <c r="AF3078" s="10"/>
      <c r="AG3078" s="10"/>
      <c r="AH3078" s="10"/>
    </row>
    <row r="3079" spans="1:34" ht="31.5" outlineLevel="2">
      <c r="A3079" s="28"/>
      <c r="B3079" s="12" t="str">
        <f>IFERROR(VLOOKUP(D3079,'[1]Перечень товаров'!$A$2:$I9525,2,0),"")</f>
        <v>пм216</v>
      </c>
      <c r="C3079" s="12" t="str">
        <f>IFERROR(VLOOKUP(D3079,'[1]Перечень товаров'!$A$2:$I9525,3,0),"")</f>
        <v>прочее муз</v>
      </c>
      <c r="D3079" s="29" t="s">
        <v>933</v>
      </c>
      <c r="E3079" s="23"/>
      <c r="F3079" s="23"/>
      <c r="G3079" s="24">
        <v>2</v>
      </c>
      <c r="H3079" s="24"/>
      <c r="I3079" s="25"/>
      <c r="J3079" s="25"/>
      <c r="K3079" s="19"/>
      <c r="L3079" s="20"/>
      <c r="M3079" s="10"/>
      <c r="N3079" s="10"/>
      <c r="O3079" s="10"/>
      <c r="P3079" s="10"/>
      <c r="Q3079" s="10"/>
      <c r="R3079" s="10"/>
      <c r="S3079" s="10"/>
      <c r="T3079" s="10"/>
      <c r="U3079" s="10"/>
      <c r="V3079" s="10"/>
      <c r="W3079" s="10"/>
      <c r="X3079" s="10"/>
      <c r="Y3079" s="10"/>
      <c r="Z3079" s="10"/>
      <c r="AA3079" s="10"/>
      <c r="AB3079" s="10"/>
      <c r="AC3079" s="10"/>
      <c r="AD3079" s="10"/>
      <c r="AE3079" s="10"/>
      <c r="AF3079" s="10"/>
      <c r="AG3079" s="10"/>
      <c r="AH3079" s="10"/>
    </row>
    <row r="3080" spans="1:34" ht="15" outlineLevel="2">
      <c r="A3080" s="116"/>
      <c r="B3080" s="12" t="str">
        <f>IFERROR(VLOOKUP(D3080,'[1]Перечень товаров'!$A$2:$I9525,2,0),"")</f>
        <v/>
      </c>
      <c r="C3080" s="12" t="str">
        <f>IFERROR(VLOOKUP(D3080,'[1]Перечень товаров'!$A$2:$I9525,3,0),"")</f>
        <v/>
      </c>
      <c r="D3080" s="117" t="s">
        <v>19</v>
      </c>
      <c r="E3080" s="45"/>
      <c r="F3080" s="45"/>
      <c r="G3080" s="127"/>
      <c r="H3080" s="127"/>
      <c r="I3080" s="128"/>
      <c r="J3080" s="128"/>
      <c r="K3080" s="19"/>
      <c r="L3080" s="20"/>
      <c r="M3080" s="10"/>
      <c r="N3080" s="10"/>
      <c r="O3080" s="10"/>
      <c r="P3080" s="10"/>
      <c r="Q3080" s="10"/>
      <c r="R3080" s="10"/>
      <c r="S3080" s="10"/>
      <c r="T3080" s="10"/>
      <c r="U3080" s="10"/>
      <c r="V3080" s="10"/>
      <c r="W3080" s="10"/>
      <c r="X3080" s="10"/>
      <c r="Y3080" s="10"/>
      <c r="Z3080" s="10"/>
      <c r="AA3080" s="10"/>
      <c r="AB3080" s="10"/>
      <c r="AC3080" s="10"/>
      <c r="AD3080" s="10"/>
      <c r="AE3080" s="10"/>
      <c r="AF3080" s="10"/>
      <c r="AG3080" s="10"/>
      <c r="AH3080" s="10"/>
    </row>
    <row r="3081" spans="1:34" outlineLevel="2">
      <c r="A3081" s="34"/>
      <c r="B3081" s="12" t="str">
        <f>IFERROR(VLOOKUP(D3081,'[1]Перечень товаров'!$A$2:$I9525,2,0),"")</f>
        <v>м62</v>
      </c>
      <c r="C3081" s="12" t="str">
        <f>IFERROR(VLOOKUP(D3081,'[1]Перечень товаров'!$A$2:$I9525,3,0),"")</f>
        <v>Мебель</v>
      </c>
      <c r="D3081" s="35" t="s">
        <v>398</v>
      </c>
      <c r="E3081" s="23"/>
      <c r="F3081" s="23"/>
      <c r="G3081" s="24">
        <v>1</v>
      </c>
      <c r="H3081" s="24"/>
      <c r="I3081" s="25"/>
      <c r="J3081" s="25"/>
      <c r="K3081" s="19"/>
      <c r="L3081" s="20"/>
      <c r="M3081" s="10"/>
      <c r="N3081" s="10"/>
      <c r="O3081" s="10"/>
      <c r="P3081" s="10"/>
      <c r="Q3081" s="10"/>
      <c r="R3081" s="10"/>
      <c r="S3081" s="10"/>
      <c r="T3081" s="10"/>
      <c r="U3081" s="10"/>
      <c r="V3081" s="10"/>
      <c r="W3081" s="10"/>
      <c r="X3081" s="10"/>
      <c r="Y3081" s="10"/>
      <c r="Z3081" s="10"/>
      <c r="AA3081" s="10"/>
      <c r="AB3081" s="10"/>
      <c r="AC3081" s="10"/>
      <c r="AD3081" s="10"/>
      <c r="AE3081" s="10"/>
      <c r="AF3081" s="10"/>
      <c r="AG3081" s="10"/>
      <c r="AH3081" s="10"/>
    </row>
    <row r="3082" spans="1:34" outlineLevel="2">
      <c r="A3082" s="34"/>
      <c r="B3082" s="12" t="str">
        <f>IFERROR(VLOOKUP(D3082,'[1]Перечень товаров'!$A$2:$I9525,2,0),"")</f>
        <v>м61</v>
      </c>
      <c r="C3082" s="12" t="str">
        <f>IFERROR(VLOOKUP(D3082,'[1]Перечень товаров'!$A$2:$I9525,3,0),"")</f>
        <v>Мебель</v>
      </c>
      <c r="D3082" s="35" t="s">
        <v>383</v>
      </c>
      <c r="E3082" s="23"/>
      <c r="F3082" s="23"/>
      <c r="G3082" s="24">
        <v>1</v>
      </c>
      <c r="H3082" s="24"/>
      <c r="I3082" s="25"/>
      <c r="J3082" s="25"/>
      <c r="K3082" s="19"/>
      <c r="L3082" s="20"/>
      <c r="M3082" s="10"/>
      <c r="N3082" s="10"/>
      <c r="O3082" s="10"/>
      <c r="P3082" s="10"/>
      <c r="Q3082" s="10"/>
      <c r="R3082" s="10"/>
      <c r="S3082" s="10"/>
      <c r="T3082" s="10"/>
      <c r="U3082" s="10"/>
      <c r="V3082" s="10"/>
      <c r="W3082" s="10"/>
      <c r="X3082" s="10"/>
      <c r="Y3082" s="10"/>
      <c r="Z3082" s="10"/>
      <c r="AA3082" s="10"/>
      <c r="AB3082" s="10"/>
      <c r="AC3082" s="10"/>
      <c r="AD3082" s="10"/>
      <c r="AE3082" s="10"/>
      <c r="AF3082" s="10"/>
      <c r="AG3082" s="10"/>
      <c r="AH3082" s="10"/>
    </row>
    <row r="3083" spans="1:34" outlineLevel="2">
      <c r="A3083" s="34"/>
      <c r="B3083" s="12" t="str">
        <f>IFERROR(VLOOKUP(D3083,'[1]Перечень товаров'!$A$2:$I9525,2,0),"")</f>
        <v>м209</v>
      </c>
      <c r="C3083" s="12" t="str">
        <f>IFERROR(VLOOKUP(D3083,'[1]Перечень товаров'!$A$2:$I9525,3,0),"")</f>
        <v>Мебель</v>
      </c>
      <c r="D3083" s="35" t="s">
        <v>749</v>
      </c>
      <c r="E3083" s="23"/>
      <c r="F3083" s="23"/>
      <c r="G3083" s="24">
        <v>1</v>
      </c>
      <c r="H3083" s="24"/>
      <c r="I3083" s="25"/>
      <c r="J3083" s="25"/>
      <c r="K3083" s="19"/>
      <c r="L3083" s="20"/>
      <c r="M3083" s="10"/>
      <c r="N3083" s="10"/>
      <c r="O3083" s="10"/>
      <c r="P3083" s="10"/>
      <c r="Q3083" s="10"/>
      <c r="R3083" s="10"/>
      <c r="S3083" s="10"/>
      <c r="T3083" s="10"/>
      <c r="U3083" s="10"/>
      <c r="V3083" s="10"/>
      <c r="W3083" s="10"/>
      <c r="X3083" s="10"/>
      <c r="Y3083" s="10"/>
      <c r="Z3083" s="10"/>
      <c r="AA3083" s="10"/>
      <c r="AB3083" s="10"/>
      <c r="AC3083" s="10"/>
      <c r="AD3083" s="10"/>
      <c r="AE3083" s="10"/>
      <c r="AF3083" s="10"/>
      <c r="AG3083" s="10"/>
      <c r="AH3083" s="10"/>
    </row>
    <row r="3084" spans="1:34" outlineLevel="2">
      <c r="A3084" s="34"/>
      <c r="B3084" s="12" t="str">
        <f>IFERROR(VLOOKUP(D3084,'[1]Перечень товаров'!$A$2:$I9525,2,0),"")</f>
        <v>м216</v>
      </c>
      <c r="C3084" s="12" t="str">
        <f>IFERROR(VLOOKUP(D3084,'[1]Перечень товаров'!$A$2:$I9525,3,0),"")</f>
        <v>Мебель</v>
      </c>
      <c r="D3084" s="35" t="s">
        <v>854</v>
      </c>
      <c r="E3084" s="23"/>
      <c r="F3084" s="23"/>
      <c r="G3084" s="24">
        <v>1</v>
      </c>
      <c r="H3084" s="24"/>
      <c r="I3084" s="25"/>
      <c r="J3084" s="25"/>
      <c r="K3084" s="19"/>
      <c r="L3084" s="20"/>
      <c r="M3084" s="10"/>
      <c r="N3084" s="10"/>
      <c r="O3084" s="10"/>
      <c r="P3084" s="10"/>
      <c r="Q3084" s="10"/>
      <c r="R3084" s="10"/>
      <c r="S3084" s="10"/>
      <c r="T3084" s="10"/>
      <c r="U3084" s="10"/>
      <c r="V3084" s="10"/>
      <c r="W3084" s="10"/>
      <c r="X3084" s="10"/>
      <c r="Y3084" s="10"/>
      <c r="Z3084" s="10"/>
      <c r="AA3084" s="10"/>
      <c r="AB3084" s="10"/>
      <c r="AC3084" s="10"/>
      <c r="AD3084" s="10"/>
      <c r="AE3084" s="10"/>
      <c r="AF3084" s="10"/>
      <c r="AG3084" s="10"/>
      <c r="AH3084" s="10"/>
    </row>
    <row r="3085" spans="1:34" outlineLevel="2">
      <c r="A3085" s="34"/>
      <c r="B3085" s="12" t="str">
        <f>IFERROR(VLOOKUP(D3085,'[1]Перечень товаров'!$A$2:$I9525,2,0),"")</f>
        <v>м14</v>
      </c>
      <c r="C3085" s="12" t="str">
        <f>IFERROR(VLOOKUP(D3085,'[1]Перечень товаров'!$A$2:$I9525,3,0),"")</f>
        <v>Мебель</v>
      </c>
      <c r="D3085" s="35" t="s">
        <v>43</v>
      </c>
      <c r="E3085" s="23"/>
      <c r="F3085" s="23"/>
      <c r="G3085" s="24">
        <v>1</v>
      </c>
      <c r="H3085" s="24"/>
      <c r="I3085" s="25"/>
      <c r="J3085" s="25"/>
      <c r="K3085" s="19"/>
      <c r="L3085" s="20"/>
      <c r="M3085" s="10"/>
      <c r="N3085" s="10"/>
      <c r="O3085" s="10"/>
      <c r="P3085" s="10"/>
      <c r="Q3085" s="10"/>
      <c r="R3085" s="10"/>
      <c r="S3085" s="10"/>
      <c r="T3085" s="10"/>
      <c r="U3085" s="10"/>
      <c r="V3085" s="10"/>
      <c r="W3085" s="10"/>
      <c r="X3085" s="10"/>
      <c r="Y3085" s="10"/>
      <c r="Z3085" s="10"/>
      <c r="AA3085" s="10"/>
      <c r="AB3085" s="10"/>
      <c r="AC3085" s="10"/>
      <c r="AD3085" s="10"/>
      <c r="AE3085" s="10"/>
      <c r="AF3085" s="10"/>
      <c r="AG3085" s="10"/>
      <c r="AH3085" s="10"/>
    </row>
    <row r="3086" spans="1:34" ht="12.75" outlineLevel="1">
      <c r="A3086" s="11"/>
      <c r="B3086" s="12" t="str">
        <f>IFERROR(VLOOKUP(D3086,'[1]Перечень товаров'!$A$2:$I9525,2,0),"")</f>
        <v/>
      </c>
      <c r="C3086" s="12" t="str">
        <f>IFERROR(VLOOKUP(D3086,'[1]Перечень товаров'!$A$2:$I9525,3,0),"")</f>
        <v/>
      </c>
      <c r="D3086" s="27" t="s">
        <v>521</v>
      </c>
      <c r="E3086" s="14">
        <v>2</v>
      </c>
      <c r="F3086" s="14"/>
      <c r="G3086" s="17"/>
      <c r="H3086" s="17"/>
      <c r="I3086" s="57"/>
      <c r="J3086" s="57"/>
      <c r="K3086" s="19"/>
      <c r="L3086" s="20"/>
      <c r="M3086" s="10"/>
      <c r="N3086" s="10"/>
      <c r="O3086" s="10"/>
      <c r="P3086" s="10"/>
      <c r="Q3086" s="10"/>
      <c r="R3086" s="10"/>
      <c r="S3086" s="10"/>
      <c r="T3086" s="10"/>
      <c r="U3086" s="10"/>
      <c r="V3086" s="10"/>
      <c r="W3086" s="10"/>
      <c r="X3086" s="10"/>
      <c r="Y3086" s="10"/>
      <c r="Z3086" s="10"/>
      <c r="AA3086" s="10"/>
      <c r="AB3086" s="10"/>
      <c r="AC3086" s="10"/>
      <c r="AD3086" s="10"/>
      <c r="AE3086" s="10"/>
      <c r="AF3086" s="10"/>
      <c r="AG3086" s="10"/>
      <c r="AH3086" s="10"/>
    </row>
    <row r="3087" spans="1:34" outlineLevel="2">
      <c r="A3087" s="22"/>
      <c r="B3087" s="12" t="str">
        <f>IFERROR(VLOOKUP(D3087,'[1]Перечень товаров'!$A$2:$I9525,2,0),"")</f>
        <v>п25</v>
      </c>
      <c r="C3087" s="12" t="str">
        <f>IFERROR(VLOOKUP(D3087,'[1]Перечень товаров'!$A$2:$I9525,3,0),"")</f>
        <v>Прочее</v>
      </c>
      <c r="D3087" s="22" t="s">
        <v>360</v>
      </c>
      <c r="E3087" s="102"/>
      <c r="F3087" s="102"/>
      <c r="G3087" s="48">
        <v>3</v>
      </c>
      <c r="H3087" s="48"/>
      <c r="I3087" s="49"/>
      <c r="J3087" s="49"/>
      <c r="K3087" s="33"/>
      <c r="L3087" s="20"/>
      <c r="M3087" s="10"/>
      <c r="N3087" s="10"/>
      <c r="O3087" s="10"/>
      <c r="P3087" s="10"/>
      <c r="Q3087" s="10"/>
      <c r="R3087" s="10"/>
      <c r="S3087" s="10"/>
      <c r="T3087" s="10"/>
      <c r="U3087" s="10"/>
      <c r="V3087" s="10"/>
      <c r="W3087" s="10"/>
      <c r="X3087" s="10"/>
      <c r="Y3087" s="10"/>
      <c r="Z3087" s="10"/>
      <c r="AA3087" s="10"/>
      <c r="AB3087" s="10"/>
      <c r="AC3087" s="10"/>
      <c r="AD3087" s="10"/>
      <c r="AE3087" s="10"/>
      <c r="AF3087" s="10"/>
      <c r="AG3087" s="10"/>
      <c r="AH3087" s="10"/>
    </row>
    <row r="3088" spans="1:34" outlineLevel="2">
      <c r="A3088" s="21"/>
      <c r="B3088" s="12" t="str">
        <f>IFERROR(VLOOKUP(D3088,'[1]Перечень товаров'!$A$2:$I9525,2,0),"")</f>
        <v>п26</v>
      </c>
      <c r="C3088" s="12" t="str">
        <f>IFERROR(VLOOKUP(D3088,'[1]Перечень товаров'!$A$2:$I9525,3,0),"")</f>
        <v>Прочее</v>
      </c>
      <c r="D3088" s="22" t="s">
        <v>361</v>
      </c>
      <c r="E3088" s="102"/>
      <c r="F3088" s="102"/>
      <c r="G3088" s="48">
        <v>2</v>
      </c>
      <c r="H3088" s="48"/>
      <c r="I3088" s="49"/>
      <c r="J3088" s="49"/>
      <c r="K3088" s="33"/>
      <c r="L3088" s="20"/>
      <c r="M3088" s="10"/>
      <c r="N3088" s="10"/>
      <c r="O3088" s="10"/>
      <c r="P3088" s="10"/>
      <c r="Q3088" s="10"/>
      <c r="R3088" s="10"/>
      <c r="S3088" s="10"/>
      <c r="T3088" s="10"/>
      <c r="U3088" s="10"/>
      <c r="V3088" s="10"/>
      <c r="W3088" s="10"/>
      <c r="X3088" s="10"/>
      <c r="Y3088" s="10"/>
      <c r="Z3088" s="10"/>
      <c r="AA3088" s="10"/>
      <c r="AB3088" s="10"/>
      <c r="AC3088" s="10"/>
      <c r="AD3088" s="10"/>
      <c r="AE3088" s="10"/>
      <c r="AF3088" s="10"/>
      <c r="AG3088" s="10"/>
      <c r="AH3088" s="10"/>
    </row>
    <row r="3089" spans="1:34" outlineLevel="2">
      <c r="A3089" s="21"/>
      <c r="B3089" s="12" t="str">
        <f>IFERROR(VLOOKUP(D3089,'[1]Перечень товаров'!$A$2:$I9525,2,0),"")</f>
        <v>п27</v>
      </c>
      <c r="C3089" s="12" t="str">
        <f>IFERROR(VLOOKUP(D3089,'[1]Перечень товаров'!$A$2:$I9525,3,0),"")</f>
        <v>Прочее</v>
      </c>
      <c r="D3089" s="22" t="s">
        <v>362</v>
      </c>
      <c r="E3089" s="102"/>
      <c r="F3089" s="102"/>
      <c r="G3089" s="48">
        <v>2</v>
      </c>
      <c r="H3089" s="48"/>
      <c r="I3089" s="49"/>
      <c r="J3089" s="49"/>
      <c r="K3089" s="33"/>
      <c r="L3089" s="20"/>
      <c r="M3089" s="10"/>
      <c r="N3089" s="10"/>
      <c r="O3089" s="10"/>
      <c r="P3089" s="10"/>
      <c r="Q3089" s="10"/>
      <c r="R3089" s="10"/>
      <c r="S3089" s="10"/>
      <c r="T3089" s="10"/>
      <c r="U3089" s="10"/>
      <c r="V3089" s="10"/>
      <c r="W3089" s="10"/>
      <c r="X3089" s="10"/>
      <c r="Y3089" s="10"/>
      <c r="Z3089" s="10"/>
      <c r="AA3089" s="10"/>
      <c r="AB3089" s="10"/>
      <c r="AC3089" s="10"/>
      <c r="AD3089" s="10"/>
      <c r="AE3089" s="10"/>
      <c r="AF3089" s="10"/>
      <c r="AG3089" s="10"/>
      <c r="AH3089" s="10"/>
    </row>
    <row r="3090" spans="1:34" outlineLevel="2">
      <c r="A3090" s="21"/>
      <c r="B3090" s="12" t="str">
        <f>IFERROR(VLOOKUP(D3090,'[1]Перечень товаров'!$A$2:$I9525,2,0),"")</f>
        <v>п28</v>
      </c>
      <c r="C3090" s="12" t="str">
        <f>IFERROR(VLOOKUP(D3090,'[1]Перечень товаров'!$A$2:$I9525,3,0),"")</f>
        <v>Прочее</v>
      </c>
      <c r="D3090" s="22" t="s">
        <v>363</v>
      </c>
      <c r="E3090" s="102"/>
      <c r="F3090" s="102"/>
      <c r="G3090" s="48">
        <v>1</v>
      </c>
      <c r="H3090" s="48"/>
      <c r="I3090" s="49"/>
      <c r="J3090" s="49"/>
      <c r="K3090" s="33"/>
      <c r="L3090" s="20"/>
      <c r="M3090" s="10"/>
      <c r="N3090" s="10"/>
      <c r="O3090" s="10"/>
      <c r="P3090" s="10"/>
      <c r="Q3090" s="10"/>
      <c r="R3090" s="10"/>
      <c r="S3090" s="10"/>
      <c r="T3090" s="10"/>
      <c r="U3090" s="10"/>
      <c r="V3090" s="10"/>
      <c r="W3090" s="10"/>
      <c r="X3090" s="10"/>
      <c r="Y3090" s="10"/>
      <c r="Z3090" s="10"/>
      <c r="AA3090" s="10"/>
      <c r="AB3090" s="10"/>
      <c r="AC3090" s="10"/>
      <c r="AD3090" s="10"/>
      <c r="AE3090" s="10"/>
      <c r="AF3090" s="10"/>
      <c r="AG3090" s="10"/>
      <c r="AH3090" s="10"/>
    </row>
    <row r="3091" spans="1:34" outlineLevel="2">
      <c r="A3091" s="21"/>
      <c r="B3091" s="12" t="str">
        <f>IFERROR(VLOOKUP(D3091,'[1]Перечень товаров'!$A$2:$I9525,2,0),"")</f>
        <v>п29</v>
      </c>
      <c r="C3091" s="12" t="str">
        <f>IFERROR(VLOOKUP(D3091,'[1]Перечень товаров'!$A$2:$I9525,3,0),"")</f>
        <v>Прочее</v>
      </c>
      <c r="D3091" s="22" t="s">
        <v>364</v>
      </c>
      <c r="E3091" s="102"/>
      <c r="F3091" s="102"/>
      <c r="G3091" s="48">
        <v>6</v>
      </c>
      <c r="H3091" s="48"/>
      <c r="I3091" s="49"/>
      <c r="J3091" s="49"/>
      <c r="K3091" s="33"/>
      <c r="L3091" s="20"/>
      <c r="M3091" s="10"/>
      <c r="N3091" s="10"/>
      <c r="O3091" s="10"/>
      <c r="P3091" s="10"/>
      <c r="Q3091" s="10"/>
      <c r="R3091" s="10"/>
      <c r="S3091" s="10"/>
      <c r="T3091" s="10"/>
      <c r="U3091" s="10"/>
      <c r="V3091" s="10"/>
      <c r="W3091" s="10"/>
      <c r="X3091" s="10"/>
      <c r="Y3091" s="10"/>
      <c r="Z3091" s="10"/>
      <c r="AA3091" s="10"/>
      <c r="AB3091" s="10"/>
      <c r="AC3091" s="10"/>
      <c r="AD3091" s="10"/>
      <c r="AE3091" s="10"/>
      <c r="AF3091" s="10"/>
      <c r="AG3091" s="10"/>
      <c r="AH3091" s="10"/>
    </row>
    <row r="3092" spans="1:34" outlineLevel="2">
      <c r="A3092" s="21"/>
      <c r="B3092" s="12" t="str">
        <f>IFERROR(VLOOKUP(D3092,'[1]Перечень товаров'!$A$2:$I9525,2,0),"")</f>
        <v>п30</v>
      </c>
      <c r="C3092" s="12" t="str">
        <f>IFERROR(VLOOKUP(D3092,'[1]Перечень товаров'!$A$2:$I9525,3,0),"")</f>
        <v>Прочее</v>
      </c>
      <c r="D3092" s="22" t="s">
        <v>365</v>
      </c>
      <c r="E3092" s="102"/>
      <c r="F3092" s="102"/>
      <c r="G3092" s="48">
        <v>2</v>
      </c>
      <c r="H3092" s="48"/>
      <c r="I3092" s="49"/>
      <c r="J3092" s="49"/>
      <c r="K3092" s="33"/>
      <c r="L3092" s="20"/>
      <c r="M3092" s="10"/>
      <c r="N3092" s="10"/>
      <c r="O3092" s="10"/>
      <c r="P3092" s="10"/>
      <c r="Q3092" s="10"/>
      <c r="R3092" s="10"/>
      <c r="S3092" s="10"/>
      <c r="T3092" s="10"/>
      <c r="U3092" s="10"/>
      <c r="V3092" s="10"/>
      <c r="W3092" s="10"/>
      <c r="X3092" s="10"/>
      <c r="Y3092" s="10"/>
      <c r="Z3092" s="10"/>
      <c r="AA3092" s="10"/>
      <c r="AB3092" s="10"/>
      <c r="AC3092" s="10"/>
      <c r="AD3092" s="10"/>
      <c r="AE3092" s="10"/>
      <c r="AF3092" s="10"/>
      <c r="AG3092" s="10"/>
      <c r="AH3092" s="10"/>
    </row>
    <row r="3093" spans="1:34" ht="31.5" outlineLevel="2">
      <c r="A3093" s="21"/>
      <c r="B3093" s="12" t="str">
        <f>IFERROR(VLOOKUP(D3093,'[1]Перечень товаров'!$A$2:$I9525,2,0),"")</f>
        <v>п31</v>
      </c>
      <c r="C3093" s="12" t="str">
        <f>IFERROR(VLOOKUP(D3093,'[1]Перечень товаров'!$A$2:$I9525,3,0),"")</f>
        <v>Прочее</v>
      </c>
      <c r="D3093" s="22" t="s">
        <v>366</v>
      </c>
      <c r="E3093" s="102"/>
      <c r="F3093" s="102"/>
      <c r="G3093" s="48">
        <v>1</v>
      </c>
      <c r="H3093" s="48"/>
      <c r="I3093" s="49"/>
      <c r="J3093" s="49"/>
      <c r="K3093" s="33"/>
      <c r="L3093" s="20"/>
      <c r="M3093" s="10"/>
      <c r="N3093" s="10"/>
      <c r="O3093" s="10"/>
      <c r="P3093" s="10"/>
      <c r="Q3093" s="10"/>
      <c r="R3093" s="10"/>
      <c r="S3093" s="10"/>
      <c r="T3093" s="10"/>
      <c r="U3093" s="10"/>
      <c r="V3093" s="10"/>
      <c r="W3093" s="10"/>
      <c r="X3093" s="10"/>
      <c r="Y3093" s="10"/>
      <c r="Z3093" s="10"/>
      <c r="AA3093" s="10"/>
      <c r="AB3093" s="10"/>
      <c r="AC3093" s="10"/>
      <c r="AD3093" s="10"/>
      <c r="AE3093" s="10"/>
      <c r="AF3093" s="10"/>
      <c r="AG3093" s="10"/>
      <c r="AH3093" s="10"/>
    </row>
    <row r="3094" spans="1:34" ht="31.5" outlineLevel="2">
      <c r="A3094" s="21"/>
      <c r="B3094" s="12" t="str">
        <f>IFERROR(VLOOKUP(D3094,'[1]Перечень товаров'!$A$2:$I9525,2,0),"")</f>
        <v>п32</v>
      </c>
      <c r="C3094" s="12" t="str">
        <f>IFERROR(VLOOKUP(D3094,'[1]Перечень товаров'!$A$2:$I9525,3,0),"")</f>
        <v>Прочее</v>
      </c>
      <c r="D3094" s="22" t="s">
        <v>367</v>
      </c>
      <c r="E3094" s="102"/>
      <c r="F3094" s="102"/>
      <c r="G3094" s="48">
        <v>2</v>
      </c>
      <c r="H3094" s="48"/>
      <c r="I3094" s="49"/>
      <c r="J3094" s="49"/>
      <c r="K3094" s="33"/>
      <c r="L3094" s="20"/>
      <c r="M3094" s="10"/>
      <c r="N3094" s="10"/>
      <c r="O3094" s="10"/>
      <c r="P3094" s="10"/>
      <c r="Q3094" s="10"/>
      <c r="R3094" s="10"/>
      <c r="S3094" s="10"/>
      <c r="T3094" s="10"/>
      <c r="U3094" s="10"/>
      <c r="V3094" s="10"/>
      <c r="W3094" s="10"/>
      <c r="X3094" s="10"/>
      <c r="Y3094" s="10"/>
      <c r="Z3094" s="10"/>
      <c r="AA3094" s="10"/>
      <c r="AB3094" s="10"/>
      <c r="AC3094" s="10"/>
      <c r="AD3094" s="10"/>
      <c r="AE3094" s="10"/>
      <c r="AF3094" s="10"/>
      <c r="AG3094" s="10"/>
      <c r="AH3094" s="10"/>
    </row>
    <row r="3095" spans="1:34" outlineLevel="1">
      <c r="A3095" s="21"/>
      <c r="B3095" s="12" t="str">
        <f>IFERROR(VLOOKUP(D3095,'[1]Перечень товаров'!$A$2:$I9525,2,0),"")</f>
        <v/>
      </c>
      <c r="C3095" s="12" t="str">
        <f>IFERROR(VLOOKUP(D3095,'[1]Перечень товаров'!$A$2:$I9525,3,0),"")</f>
        <v/>
      </c>
      <c r="D3095" s="22" t="s">
        <v>934</v>
      </c>
      <c r="E3095" s="23">
        <v>2.4</v>
      </c>
      <c r="F3095" s="23"/>
      <c r="G3095" s="24"/>
      <c r="H3095" s="24"/>
      <c r="I3095" s="25"/>
      <c r="J3095" s="25"/>
      <c r="K3095" s="19"/>
      <c r="L3095" s="20"/>
      <c r="M3095" s="10"/>
      <c r="N3095" s="10"/>
      <c r="O3095" s="10"/>
      <c r="P3095" s="10"/>
      <c r="Q3095" s="10"/>
      <c r="R3095" s="10"/>
      <c r="S3095" s="10"/>
      <c r="T3095" s="10"/>
      <c r="U3095" s="10"/>
      <c r="V3095" s="10"/>
      <c r="W3095" s="10"/>
      <c r="X3095" s="10"/>
      <c r="Y3095" s="10"/>
      <c r="Z3095" s="10"/>
      <c r="AA3095" s="10"/>
      <c r="AB3095" s="10"/>
      <c r="AC3095" s="10"/>
      <c r="AD3095" s="10"/>
      <c r="AE3095" s="10"/>
      <c r="AF3095" s="10"/>
      <c r="AG3095" s="10"/>
      <c r="AH3095" s="10"/>
    </row>
    <row r="3096" spans="1:34" outlineLevel="1">
      <c r="A3096" s="21"/>
      <c r="B3096" s="12" t="str">
        <f>IFERROR(VLOOKUP(D3096,'[1]Перечень товаров'!$A$2:$I9525,2,0),"")</f>
        <v/>
      </c>
      <c r="C3096" s="12" t="str">
        <f>IFERROR(VLOOKUP(D3096,'[1]Перечень товаров'!$A$2:$I9525,3,0),"")</f>
        <v/>
      </c>
      <c r="D3096" s="22" t="s">
        <v>935</v>
      </c>
      <c r="E3096" s="23">
        <v>171.1</v>
      </c>
      <c r="F3096" s="23"/>
      <c r="G3096" s="24"/>
      <c r="H3096" s="24"/>
      <c r="I3096" s="25"/>
      <c r="J3096" s="25"/>
      <c r="K3096" s="19"/>
      <c r="L3096" s="20"/>
      <c r="M3096" s="10"/>
      <c r="N3096" s="10"/>
      <c r="O3096" s="10"/>
      <c r="P3096" s="10"/>
      <c r="Q3096" s="10"/>
      <c r="R3096" s="10"/>
      <c r="S3096" s="10"/>
      <c r="T3096" s="10"/>
      <c r="U3096" s="10"/>
      <c r="V3096" s="10"/>
      <c r="W3096" s="10"/>
      <c r="X3096" s="10"/>
      <c r="Y3096" s="10"/>
      <c r="Z3096" s="10"/>
      <c r="AA3096" s="10"/>
      <c r="AB3096" s="10"/>
      <c r="AC3096" s="10"/>
      <c r="AD3096" s="10"/>
      <c r="AE3096" s="10"/>
      <c r="AF3096" s="10"/>
      <c r="AG3096" s="10"/>
      <c r="AH3096" s="10"/>
    </row>
    <row r="3097" spans="1:34" ht="12.75" outlineLevel="1">
      <c r="A3097" s="11"/>
      <c r="B3097" s="12" t="str">
        <f>IFERROR(VLOOKUP(D3097,'[1]Перечень товаров'!$A$2:$I9525,2,0),"")</f>
        <v/>
      </c>
      <c r="C3097" s="12" t="str">
        <f>IFERROR(VLOOKUP(D3097,'[1]Перечень товаров'!$A$2:$I9525,3,0),"")</f>
        <v/>
      </c>
      <c r="D3097" s="27" t="s">
        <v>936</v>
      </c>
      <c r="E3097" s="14"/>
      <c r="F3097" s="14"/>
      <c r="G3097" s="17"/>
      <c r="H3097" s="17"/>
      <c r="I3097" s="57"/>
      <c r="J3097" s="57"/>
      <c r="K3097" s="19"/>
      <c r="L3097" s="20"/>
      <c r="M3097" s="10"/>
      <c r="N3097" s="10"/>
      <c r="O3097" s="10"/>
      <c r="P3097" s="10"/>
      <c r="Q3097" s="10"/>
      <c r="R3097" s="10"/>
      <c r="S3097" s="10"/>
      <c r="T3097" s="10"/>
      <c r="U3097" s="10"/>
      <c r="V3097" s="10"/>
      <c r="W3097" s="10"/>
      <c r="X3097" s="10"/>
      <c r="Y3097" s="10"/>
      <c r="Z3097" s="10"/>
      <c r="AA3097" s="10"/>
      <c r="AB3097" s="10"/>
      <c r="AC3097" s="10"/>
      <c r="AD3097" s="10"/>
      <c r="AE3097" s="10"/>
      <c r="AF3097" s="10"/>
      <c r="AG3097" s="10"/>
      <c r="AH3097" s="10"/>
    </row>
    <row r="3098" spans="1:34" outlineLevel="2">
      <c r="A3098" s="113"/>
      <c r="B3098" s="12" t="str">
        <f>IFERROR(VLOOKUP(D3098,'[1]Перечень товаров'!$A$2:$I9525,2,0),"")</f>
        <v/>
      </c>
      <c r="C3098" s="12" t="str">
        <f>IFERROR(VLOOKUP(D3098,'[1]Перечень товаров'!$A$2:$I9525,3,0),"")</f>
        <v/>
      </c>
      <c r="D3098" s="114" t="s">
        <v>391</v>
      </c>
      <c r="E3098" s="15"/>
      <c r="F3098" s="15"/>
      <c r="G3098" s="17"/>
      <c r="H3098" s="17"/>
      <c r="I3098" s="57"/>
      <c r="J3098" s="57"/>
      <c r="K3098" s="19"/>
      <c r="L3098" s="20"/>
      <c r="M3098" s="10"/>
      <c r="N3098" s="10"/>
      <c r="O3098" s="10"/>
      <c r="P3098" s="10"/>
      <c r="Q3098" s="10"/>
      <c r="R3098" s="10"/>
      <c r="S3098" s="10"/>
      <c r="T3098" s="10"/>
      <c r="U3098" s="10"/>
      <c r="V3098" s="10"/>
      <c r="W3098" s="10"/>
      <c r="X3098" s="10"/>
      <c r="Y3098" s="10"/>
      <c r="Z3098" s="10"/>
      <c r="AA3098" s="10"/>
      <c r="AB3098" s="10"/>
      <c r="AC3098" s="10"/>
      <c r="AD3098" s="10"/>
      <c r="AE3098" s="10"/>
      <c r="AF3098" s="10"/>
      <c r="AG3098" s="10"/>
      <c r="AH3098" s="10"/>
    </row>
    <row r="3099" spans="1:34" outlineLevel="2">
      <c r="A3099" s="21"/>
      <c r="B3099" s="12" t="str">
        <f>IFERROR(VLOOKUP(D3099,'[1]Перечень товаров'!$A$2:$I9525,2,0),"")</f>
        <v>тм236</v>
      </c>
      <c r="C3099" s="12" t="str">
        <f>IFERROR(VLOOKUP(D3099,'[1]Перечень товаров'!$A$2:$I9525,3,0),"")</f>
        <v>Техника муз</v>
      </c>
      <c r="D3099" s="22" t="s">
        <v>937</v>
      </c>
      <c r="E3099" s="23" t="s">
        <v>938</v>
      </c>
      <c r="F3099" s="23"/>
      <c r="G3099" s="24">
        <v>1</v>
      </c>
      <c r="H3099" s="24"/>
      <c r="I3099" s="25"/>
      <c r="J3099" s="25"/>
      <c r="K3099" s="19"/>
      <c r="L3099" s="20"/>
      <c r="M3099" s="10"/>
      <c r="N3099" s="10"/>
      <c r="O3099" s="10"/>
      <c r="P3099" s="10"/>
      <c r="Q3099" s="10"/>
      <c r="R3099" s="10"/>
      <c r="S3099" s="10"/>
      <c r="T3099" s="10"/>
      <c r="U3099" s="10"/>
      <c r="V3099" s="10"/>
      <c r="W3099" s="10"/>
      <c r="X3099" s="10"/>
      <c r="Y3099" s="10"/>
      <c r="Z3099" s="10"/>
      <c r="AA3099" s="10"/>
      <c r="AB3099" s="10"/>
      <c r="AC3099" s="10"/>
      <c r="AD3099" s="10"/>
      <c r="AE3099" s="10"/>
      <c r="AF3099" s="10"/>
      <c r="AG3099" s="10"/>
      <c r="AH3099" s="10"/>
    </row>
    <row r="3100" spans="1:34" outlineLevel="2">
      <c r="A3100" s="21"/>
      <c r="B3100" s="12" t="str">
        <f>IFERROR(VLOOKUP(D3100,'[1]Перечень товаров'!$A$2:$I9525,2,0),"")</f>
        <v>тм235</v>
      </c>
      <c r="C3100" s="12" t="str">
        <f>IFERROR(VLOOKUP(D3100,'[1]Перечень товаров'!$A$2:$I9525,3,0),"")</f>
        <v>Техника муз</v>
      </c>
      <c r="D3100" s="22" t="s">
        <v>939</v>
      </c>
      <c r="E3100" s="23" t="s">
        <v>938</v>
      </c>
      <c r="F3100" s="23"/>
      <c r="G3100" s="24">
        <v>1</v>
      </c>
      <c r="H3100" s="24"/>
      <c r="I3100" s="25"/>
      <c r="J3100" s="25"/>
      <c r="K3100" s="19"/>
      <c r="L3100" s="20"/>
      <c r="M3100" s="10"/>
      <c r="N3100" s="10"/>
      <c r="O3100" s="10"/>
      <c r="P3100" s="10"/>
      <c r="Q3100" s="10"/>
      <c r="R3100" s="10"/>
      <c r="S3100" s="10"/>
      <c r="T3100" s="10"/>
      <c r="U3100" s="10"/>
      <c r="V3100" s="10"/>
      <c r="W3100" s="10"/>
      <c r="X3100" s="10"/>
      <c r="Y3100" s="10"/>
      <c r="Z3100" s="10"/>
      <c r="AA3100" s="10"/>
      <c r="AB3100" s="10"/>
      <c r="AC3100" s="10"/>
      <c r="AD3100" s="10"/>
      <c r="AE3100" s="10"/>
      <c r="AF3100" s="10"/>
      <c r="AG3100" s="10"/>
      <c r="AH3100" s="10"/>
    </row>
    <row r="3101" spans="1:34" outlineLevel="2">
      <c r="A3101" s="21"/>
      <c r="B3101" s="12" t="str">
        <f>IFERROR(VLOOKUP(D3101,'[1]Перечень товаров'!$A$2:$I9525,2,0),"")</f>
        <v>тм234</v>
      </c>
      <c r="C3101" s="12" t="str">
        <f>IFERROR(VLOOKUP(D3101,'[1]Перечень товаров'!$A$2:$I9525,3,0),"")</f>
        <v>Техника муз</v>
      </c>
      <c r="D3101" s="22" t="s">
        <v>940</v>
      </c>
      <c r="E3101" s="23" t="s">
        <v>938</v>
      </c>
      <c r="F3101" s="23"/>
      <c r="G3101" s="24">
        <v>1</v>
      </c>
      <c r="H3101" s="24"/>
      <c r="I3101" s="25"/>
      <c r="J3101" s="25"/>
      <c r="K3101" s="19"/>
      <c r="L3101" s="20"/>
      <c r="M3101" s="10"/>
      <c r="N3101" s="10"/>
      <c r="O3101" s="10"/>
      <c r="P3101" s="10"/>
      <c r="Q3101" s="10"/>
      <c r="R3101" s="10"/>
      <c r="S3101" s="10"/>
      <c r="T3101" s="10"/>
      <c r="U3101" s="10"/>
      <c r="V3101" s="10"/>
      <c r="W3101" s="10"/>
      <c r="X3101" s="10"/>
      <c r="Y3101" s="10"/>
      <c r="Z3101" s="10"/>
      <c r="AA3101" s="10"/>
      <c r="AB3101" s="10"/>
      <c r="AC3101" s="10"/>
      <c r="AD3101" s="10"/>
      <c r="AE3101" s="10"/>
      <c r="AF3101" s="10"/>
      <c r="AG3101" s="10"/>
      <c r="AH3101" s="10"/>
    </row>
    <row r="3102" spans="1:34" outlineLevel="2">
      <c r="A3102" s="21"/>
      <c r="B3102" s="12" t="str">
        <f>IFERROR(VLOOKUP(D3102,'[1]Перечень товаров'!$A$2:$I9525,2,0),"")</f>
        <v>тм233</v>
      </c>
      <c r="C3102" s="12" t="str">
        <f>IFERROR(VLOOKUP(D3102,'[1]Перечень товаров'!$A$2:$I9525,3,0),"")</f>
        <v>Техника муз</v>
      </c>
      <c r="D3102" s="22" t="s">
        <v>941</v>
      </c>
      <c r="E3102" s="23" t="s">
        <v>942</v>
      </c>
      <c r="F3102" s="23"/>
      <c r="G3102" s="24">
        <v>4</v>
      </c>
      <c r="H3102" s="24"/>
      <c r="I3102" s="25"/>
      <c r="J3102" s="25"/>
      <c r="K3102" s="19"/>
      <c r="L3102" s="20"/>
      <c r="M3102" s="10"/>
      <c r="N3102" s="10"/>
      <c r="O3102" s="10"/>
      <c r="P3102" s="10"/>
      <c r="Q3102" s="10"/>
      <c r="R3102" s="10"/>
      <c r="S3102" s="10"/>
      <c r="T3102" s="10"/>
      <c r="U3102" s="10"/>
      <c r="V3102" s="10"/>
      <c r="W3102" s="10"/>
      <c r="X3102" s="10"/>
      <c r="Y3102" s="10"/>
      <c r="Z3102" s="10"/>
      <c r="AA3102" s="10"/>
      <c r="AB3102" s="10"/>
      <c r="AC3102" s="10"/>
      <c r="AD3102" s="10"/>
      <c r="AE3102" s="10"/>
      <c r="AF3102" s="10"/>
      <c r="AG3102" s="10"/>
      <c r="AH3102" s="10"/>
    </row>
    <row r="3103" spans="1:34" outlineLevel="2">
      <c r="A3103" s="21"/>
      <c r="B3103" s="12" t="str">
        <f>IFERROR(VLOOKUP(D3103,'[1]Перечень товаров'!$A$2:$I9525,2,0),"")</f>
        <v>тм232</v>
      </c>
      <c r="C3103" s="12" t="str">
        <f>IFERROR(VLOOKUP(D3103,'[1]Перечень товаров'!$A$2:$I9525,3,0),"")</f>
        <v>Техника муз</v>
      </c>
      <c r="D3103" s="22" t="s">
        <v>943</v>
      </c>
      <c r="E3103" s="23" t="s">
        <v>938</v>
      </c>
      <c r="F3103" s="23"/>
      <c r="G3103" s="24">
        <v>1</v>
      </c>
      <c r="H3103" s="24"/>
      <c r="I3103" s="25"/>
      <c r="J3103" s="25"/>
      <c r="K3103" s="19"/>
      <c r="L3103" s="20"/>
      <c r="M3103" s="10"/>
      <c r="N3103" s="10"/>
      <c r="O3103" s="10"/>
      <c r="P3103" s="10"/>
      <c r="Q3103" s="10"/>
      <c r="R3103" s="10"/>
      <c r="S3103" s="10"/>
      <c r="T3103" s="10"/>
      <c r="U3103" s="10"/>
      <c r="V3103" s="10"/>
      <c r="W3103" s="10"/>
      <c r="X3103" s="10"/>
      <c r="Y3103" s="10"/>
      <c r="Z3103" s="10"/>
      <c r="AA3103" s="10"/>
      <c r="AB3103" s="10"/>
      <c r="AC3103" s="10"/>
      <c r="AD3103" s="10"/>
      <c r="AE3103" s="10"/>
      <c r="AF3103" s="10"/>
      <c r="AG3103" s="10"/>
      <c r="AH3103" s="10"/>
    </row>
    <row r="3104" spans="1:34" outlineLevel="2">
      <c r="A3104" s="21"/>
      <c r="B3104" s="12" t="str">
        <f>IFERROR(VLOOKUP(D3104,'[1]Перечень товаров'!$A$2:$I9525,2,0),"")</f>
        <v>тм231</v>
      </c>
      <c r="C3104" s="12" t="str">
        <f>IFERROR(VLOOKUP(D3104,'[1]Перечень товаров'!$A$2:$I9525,3,0),"")</f>
        <v>Техника муз</v>
      </c>
      <c r="D3104" s="22" t="s">
        <v>944</v>
      </c>
      <c r="E3104" s="23" t="s">
        <v>942</v>
      </c>
      <c r="F3104" s="23"/>
      <c r="G3104" s="24">
        <v>1</v>
      </c>
      <c r="H3104" s="24"/>
      <c r="I3104" s="25"/>
      <c r="J3104" s="25"/>
      <c r="K3104" s="19"/>
      <c r="L3104" s="20"/>
      <c r="M3104" s="10"/>
      <c r="N3104" s="10"/>
      <c r="O3104" s="10"/>
      <c r="P3104" s="10"/>
      <c r="Q3104" s="10"/>
      <c r="R3104" s="10"/>
      <c r="S3104" s="10"/>
      <c r="T3104" s="10"/>
      <c r="U3104" s="10"/>
      <c r="V3104" s="10"/>
      <c r="W3104" s="10"/>
      <c r="X3104" s="10"/>
      <c r="Y3104" s="10"/>
      <c r="Z3104" s="10"/>
      <c r="AA3104" s="10"/>
      <c r="AB3104" s="10"/>
      <c r="AC3104" s="10"/>
      <c r="AD3104" s="10"/>
      <c r="AE3104" s="10"/>
      <c r="AF3104" s="10"/>
      <c r="AG3104" s="10"/>
      <c r="AH3104" s="10"/>
    </row>
    <row r="3105" spans="1:34" ht="47.25" outlineLevel="2">
      <c r="A3105" s="21"/>
      <c r="B3105" s="12" t="str">
        <f>IFERROR(VLOOKUP(D3105,'[1]Перечень товаров'!$A$2:$I9525,2,0),"")</f>
        <v>тм230</v>
      </c>
      <c r="C3105" s="12" t="str">
        <f>IFERROR(VLOOKUP(D3105,'[1]Перечень товаров'!$A$2:$I9525,3,0),"")</f>
        <v>Техника муз</v>
      </c>
      <c r="D3105" s="22" t="s">
        <v>945</v>
      </c>
      <c r="E3105" s="23" t="s">
        <v>942</v>
      </c>
      <c r="F3105" s="23"/>
      <c r="G3105" s="24">
        <v>1</v>
      </c>
      <c r="H3105" s="24"/>
      <c r="I3105" s="25"/>
      <c r="J3105" s="25"/>
      <c r="K3105" s="19"/>
      <c r="L3105" s="20"/>
      <c r="M3105" s="10"/>
      <c r="N3105" s="10"/>
      <c r="O3105" s="10"/>
      <c r="P3105" s="10"/>
      <c r="Q3105" s="10"/>
      <c r="R3105" s="10"/>
      <c r="S3105" s="10"/>
      <c r="T3105" s="10"/>
      <c r="U3105" s="10"/>
      <c r="V3105" s="10"/>
      <c r="W3105" s="10"/>
      <c r="X3105" s="10"/>
      <c r="Y3105" s="10"/>
      <c r="Z3105" s="10"/>
      <c r="AA3105" s="10"/>
      <c r="AB3105" s="10"/>
      <c r="AC3105" s="10"/>
      <c r="AD3105" s="10"/>
      <c r="AE3105" s="10"/>
      <c r="AF3105" s="10"/>
      <c r="AG3105" s="10"/>
      <c r="AH3105" s="10"/>
    </row>
    <row r="3106" spans="1:34" ht="31.5" outlineLevel="2">
      <c r="A3106" s="21"/>
      <c r="B3106" s="12" t="str">
        <f>IFERROR(VLOOKUP(D3106,'[1]Перечень товаров'!$A$2:$I9525,2,0),"")</f>
        <v>тм229</v>
      </c>
      <c r="C3106" s="12" t="str">
        <f>IFERROR(VLOOKUP(D3106,'[1]Перечень товаров'!$A$2:$I9525,3,0),"")</f>
        <v>Техника муз</v>
      </c>
      <c r="D3106" s="22" t="s">
        <v>946</v>
      </c>
      <c r="E3106" s="23" t="s">
        <v>942</v>
      </c>
      <c r="F3106" s="23"/>
      <c r="G3106" s="24">
        <v>1</v>
      </c>
      <c r="H3106" s="24"/>
      <c r="I3106" s="25"/>
      <c r="J3106" s="25"/>
      <c r="K3106" s="19"/>
      <c r="L3106" s="20"/>
      <c r="M3106" s="10"/>
      <c r="N3106" s="10"/>
      <c r="O3106" s="10"/>
      <c r="P3106" s="10"/>
      <c r="Q3106" s="10"/>
      <c r="R3106" s="10"/>
      <c r="S3106" s="10"/>
      <c r="T3106" s="10"/>
      <c r="U3106" s="10"/>
      <c r="V3106" s="10"/>
      <c r="W3106" s="10"/>
      <c r="X3106" s="10"/>
      <c r="Y3106" s="10"/>
      <c r="Z3106" s="10"/>
      <c r="AA3106" s="10"/>
      <c r="AB3106" s="10"/>
      <c r="AC3106" s="10"/>
      <c r="AD3106" s="10"/>
      <c r="AE3106" s="10"/>
      <c r="AF3106" s="10"/>
      <c r="AG3106" s="10"/>
      <c r="AH3106" s="10"/>
    </row>
    <row r="3107" spans="1:34" ht="31.5" outlineLevel="2">
      <c r="A3107" s="21"/>
      <c r="B3107" s="12" t="str">
        <f>IFERROR(VLOOKUP(D3107,'[1]Перечень товаров'!$A$2:$I9525,2,0),"")</f>
        <v>пм216</v>
      </c>
      <c r="C3107" s="12" t="str">
        <f>IFERROR(VLOOKUP(D3107,'[1]Перечень товаров'!$A$2:$I9525,3,0),"")</f>
        <v>прочее муз</v>
      </c>
      <c r="D3107" s="22" t="s">
        <v>947</v>
      </c>
      <c r="E3107" s="23" t="s">
        <v>942</v>
      </c>
      <c r="F3107" s="23"/>
      <c r="G3107" s="24">
        <v>18</v>
      </c>
      <c r="H3107" s="24"/>
      <c r="I3107" s="25"/>
      <c r="J3107" s="25"/>
      <c r="K3107" s="19"/>
      <c r="L3107" s="20"/>
      <c r="M3107" s="10"/>
      <c r="N3107" s="10"/>
      <c r="O3107" s="10"/>
      <c r="P3107" s="10"/>
      <c r="Q3107" s="10"/>
      <c r="R3107" s="10"/>
      <c r="S3107" s="10"/>
      <c r="T3107" s="10"/>
      <c r="U3107" s="10"/>
      <c r="V3107" s="10"/>
      <c r="W3107" s="10"/>
      <c r="X3107" s="10"/>
      <c r="Y3107" s="10"/>
      <c r="Z3107" s="10"/>
      <c r="AA3107" s="10"/>
      <c r="AB3107" s="10"/>
      <c r="AC3107" s="10"/>
      <c r="AD3107" s="10"/>
      <c r="AE3107" s="10"/>
      <c r="AF3107" s="10"/>
      <c r="AG3107" s="10"/>
      <c r="AH3107" s="10"/>
    </row>
    <row r="3108" spans="1:34" outlineLevel="2">
      <c r="A3108" s="21"/>
      <c r="B3108" s="12" t="str">
        <f>IFERROR(VLOOKUP(D3108,'[1]Перечень товаров'!$A$2:$I9525,2,0),"")</f>
        <v>пм215</v>
      </c>
      <c r="C3108" s="12" t="str">
        <f>IFERROR(VLOOKUP(D3108,'[1]Перечень товаров'!$A$2:$I9525,3,0),"")</f>
        <v>прочее муз</v>
      </c>
      <c r="D3108" s="22" t="s">
        <v>948</v>
      </c>
      <c r="E3108" s="23" t="s">
        <v>942</v>
      </c>
      <c r="F3108" s="23"/>
      <c r="G3108" s="24">
        <v>18</v>
      </c>
      <c r="H3108" s="24"/>
      <c r="I3108" s="25"/>
      <c r="J3108" s="25"/>
      <c r="K3108" s="19"/>
      <c r="L3108" s="20"/>
      <c r="M3108" s="10"/>
      <c r="N3108" s="10"/>
      <c r="O3108" s="10"/>
      <c r="P3108" s="10"/>
      <c r="Q3108" s="10"/>
      <c r="R3108" s="10"/>
      <c r="S3108" s="10"/>
      <c r="T3108" s="10"/>
      <c r="U3108" s="10"/>
      <c r="V3108" s="10"/>
      <c r="W3108" s="10"/>
      <c r="X3108" s="10"/>
      <c r="Y3108" s="10"/>
      <c r="Z3108" s="10"/>
      <c r="AA3108" s="10"/>
      <c r="AB3108" s="10"/>
      <c r="AC3108" s="10"/>
      <c r="AD3108" s="10"/>
      <c r="AE3108" s="10"/>
      <c r="AF3108" s="10"/>
      <c r="AG3108" s="10"/>
      <c r="AH3108" s="10"/>
    </row>
    <row r="3109" spans="1:34" outlineLevel="2">
      <c r="A3109" s="21"/>
      <c r="B3109" s="12" t="str">
        <f>IFERROR(VLOOKUP(D3109,'[1]Перечень товаров'!$A$2:$I9525,2,0),"")</f>
        <v>тм228</v>
      </c>
      <c r="C3109" s="12" t="str">
        <f>IFERROR(VLOOKUP(D3109,'[1]Перечень товаров'!$A$2:$I9525,3,0),"")</f>
        <v>Техника муз</v>
      </c>
      <c r="D3109" s="22" t="s">
        <v>949</v>
      </c>
      <c r="E3109" s="23" t="s">
        <v>942</v>
      </c>
      <c r="F3109" s="23"/>
      <c r="G3109" s="24">
        <v>4</v>
      </c>
      <c r="H3109" s="24"/>
      <c r="I3109" s="25"/>
      <c r="J3109" s="25"/>
      <c r="K3109" s="19"/>
      <c r="L3109" s="20"/>
      <c r="M3109" s="10"/>
      <c r="N3109" s="10"/>
      <c r="O3109" s="10"/>
      <c r="P3109" s="10"/>
      <c r="Q3109" s="10"/>
      <c r="R3109" s="10"/>
      <c r="S3109" s="10"/>
      <c r="T3109" s="10"/>
      <c r="U3109" s="10"/>
      <c r="V3109" s="10"/>
      <c r="W3109" s="10"/>
      <c r="X3109" s="10"/>
      <c r="Y3109" s="10"/>
      <c r="Z3109" s="10"/>
      <c r="AA3109" s="10"/>
      <c r="AB3109" s="10"/>
      <c r="AC3109" s="10"/>
      <c r="AD3109" s="10"/>
      <c r="AE3109" s="10"/>
      <c r="AF3109" s="10"/>
      <c r="AG3109" s="10"/>
      <c r="AH3109" s="10"/>
    </row>
    <row r="3110" spans="1:34" outlineLevel="2">
      <c r="A3110" s="21"/>
      <c r="B3110" s="12" t="str">
        <f>IFERROR(VLOOKUP(D3110,'[1]Перечень товаров'!$A$2:$I9525,2,0),"")</f>
        <v>тм227</v>
      </c>
      <c r="C3110" s="12" t="str">
        <f>IFERROR(VLOOKUP(D3110,'[1]Перечень товаров'!$A$2:$I9525,3,0),"")</f>
        <v>Техника муз</v>
      </c>
      <c r="D3110" s="22" t="s">
        <v>950</v>
      </c>
      <c r="E3110" s="23" t="s">
        <v>942</v>
      </c>
      <c r="F3110" s="23"/>
      <c r="G3110" s="24">
        <v>8</v>
      </c>
      <c r="H3110" s="24"/>
      <c r="I3110" s="25"/>
      <c r="J3110" s="25"/>
      <c r="K3110" s="19"/>
      <c r="L3110" s="20"/>
      <c r="M3110" s="10"/>
      <c r="N3110" s="10"/>
      <c r="O3110" s="10"/>
      <c r="P3110" s="10"/>
      <c r="Q3110" s="10"/>
      <c r="R3110" s="10"/>
      <c r="S3110" s="10"/>
      <c r="T3110" s="10"/>
      <c r="U3110" s="10"/>
      <c r="V3110" s="10"/>
      <c r="W3110" s="10"/>
      <c r="X3110" s="10"/>
      <c r="Y3110" s="10"/>
      <c r="Z3110" s="10"/>
      <c r="AA3110" s="10"/>
      <c r="AB3110" s="10"/>
      <c r="AC3110" s="10"/>
      <c r="AD3110" s="10"/>
      <c r="AE3110" s="10"/>
      <c r="AF3110" s="10"/>
      <c r="AG3110" s="10"/>
      <c r="AH3110" s="10"/>
    </row>
    <row r="3111" spans="1:34" outlineLevel="2">
      <c r="A3111" s="21"/>
      <c r="B3111" s="12" t="str">
        <f>IFERROR(VLOOKUP(D3111,'[1]Перечень товаров'!$A$2:$I9525,2,0),"")</f>
        <v>тм226</v>
      </c>
      <c r="C3111" s="12" t="str">
        <f>IFERROR(VLOOKUP(D3111,'[1]Перечень товаров'!$A$2:$I9525,3,0),"")</f>
        <v>Техника муз</v>
      </c>
      <c r="D3111" s="22" t="s">
        <v>951</v>
      </c>
      <c r="E3111" s="23" t="s">
        <v>938</v>
      </c>
      <c r="F3111" s="23"/>
      <c r="G3111" s="24">
        <v>1</v>
      </c>
      <c r="H3111" s="24"/>
      <c r="I3111" s="25"/>
      <c r="J3111" s="25"/>
      <c r="K3111" s="19"/>
      <c r="L3111" s="20"/>
      <c r="M3111" s="10"/>
      <c r="N3111" s="10"/>
      <c r="O3111" s="10"/>
      <c r="P3111" s="10"/>
      <c r="Q3111" s="10"/>
      <c r="R3111" s="10"/>
      <c r="S3111" s="10"/>
      <c r="T3111" s="10"/>
      <c r="U3111" s="10"/>
      <c r="V3111" s="10"/>
      <c r="W3111" s="10"/>
      <c r="X3111" s="10"/>
      <c r="Y3111" s="10"/>
      <c r="Z3111" s="10"/>
      <c r="AA3111" s="10"/>
      <c r="AB3111" s="10"/>
      <c r="AC3111" s="10"/>
      <c r="AD3111" s="10"/>
      <c r="AE3111" s="10"/>
      <c r="AF3111" s="10"/>
      <c r="AG3111" s="10"/>
      <c r="AH3111" s="10"/>
    </row>
    <row r="3112" spans="1:34" ht="31.5" outlineLevel="2">
      <c r="A3112" s="21"/>
      <c r="B3112" s="12" t="str">
        <f>IFERROR(VLOOKUP(D3112,'[1]Перечень товаров'!$A$2:$I9525,2,0),"")</f>
        <v>т180</v>
      </c>
      <c r="C3112" s="12" t="str">
        <f>IFERROR(VLOOKUP(D3112,'[1]Перечень товаров'!$A$2:$I9525,3,0),"")</f>
        <v>техника</v>
      </c>
      <c r="D3112" s="22" t="s">
        <v>952</v>
      </c>
      <c r="E3112" s="23" t="s">
        <v>938</v>
      </c>
      <c r="F3112" s="23"/>
      <c r="G3112" s="24">
        <v>1</v>
      </c>
      <c r="H3112" s="24"/>
      <c r="I3112" s="25"/>
      <c r="J3112" s="25"/>
      <c r="K3112" s="19"/>
      <c r="L3112" s="20"/>
      <c r="M3112" s="10"/>
      <c r="N3112" s="10"/>
      <c r="O3112" s="10"/>
      <c r="P3112" s="10"/>
      <c r="Q3112" s="10"/>
      <c r="R3112" s="10"/>
      <c r="S3112" s="10"/>
      <c r="T3112" s="10"/>
      <c r="U3112" s="10"/>
      <c r="V3112" s="10"/>
      <c r="W3112" s="10"/>
      <c r="X3112" s="10"/>
      <c r="Y3112" s="10"/>
      <c r="Z3112" s="10"/>
      <c r="AA3112" s="10"/>
      <c r="AB3112" s="10"/>
      <c r="AC3112" s="10"/>
      <c r="AD3112" s="10"/>
      <c r="AE3112" s="10"/>
      <c r="AF3112" s="10"/>
      <c r="AG3112" s="10"/>
      <c r="AH3112" s="10"/>
    </row>
    <row r="3113" spans="1:34" outlineLevel="2">
      <c r="A3113" s="21"/>
      <c r="B3113" s="12" t="str">
        <f>IFERROR(VLOOKUP(D3113,'[1]Перечень товаров'!$A$2:$I9525,2,0),"")</f>
        <v>т179</v>
      </c>
      <c r="C3113" s="12" t="str">
        <f>IFERROR(VLOOKUP(D3113,'[1]Перечень товаров'!$A$2:$I9525,3,0),"")</f>
        <v>техника</v>
      </c>
      <c r="D3113" s="22" t="s">
        <v>953</v>
      </c>
      <c r="E3113" s="23" t="s">
        <v>942</v>
      </c>
      <c r="F3113" s="23"/>
      <c r="G3113" s="24">
        <v>1</v>
      </c>
      <c r="H3113" s="24"/>
      <c r="I3113" s="25"/>
      <c r="J3113" s="25"/>
      <c r="K3113" s="19"/>
      <c r="L3113" s="20"/>
      <c r="M3113" s="10"/>
      <c r="N3113" s="10"/>
      <c r="O3113" s="10"/>
      <c r="P3113" s="10"/>
      <c r="Q3113" s="10"/>
      <c r="R3113" s="10"/>
      <c r="S3113" s="10"/>
      <c r="T3113" s="10"/>
      <c r="U3113" s="10"/>
      <c r="V3113" s="10"/>
      <c r="W3113" s="10"/>
      <c r="X3113" s="10"/>
      <c r="Y3113" s="10"/>
      <c r="Z3113" s="10"/>
      <c r="AA3113" s="10"/>
      <c r="AB3113" s="10"/>
      <c r="AC3113" s="10"/>
      <c r="AD3113" s="10"/>
      <c r="AE3113" s="10"/>
      <c r="AF3113" s="10"/>
      <c r="AG3113" s="10"/>
      <c r="AH3113" s="10"/>
    </row>
    <row r="3114" spans="1:34" outlineLevel="2">
      <c r="A3114" s="21"/>
      <c r="B3114" s="12" t="str">
        <f>IFERROR(VLOOKUP(D3114,'[1]Перечень товаров'!$A$2:$I9525,2,0),"")</f>
        <v>м178</v>
      </c>
      <c r="C3114" s="12" t="str">
        <f>IFERROR(VLOOKUP(D3114,'[1]Перечень товаров'!$A$2:$I9525,3,0),"")</f>
        <v>мехника</v>
      </c>
      <c r="D3114" s="22" t="s">
        <v>954</v>
      </c>
      <c r="E3114" s="23" t="s">
        <v>942</v>
      </c>
      <c r="F3114" s="23"/>
      <c r="G3114" s="24">
        <v>1</v>
      </c>
      <c r="H3114" s="24"/>
      <c r="I3114" s="25"/>
      <c r="J3114" s="25"/>
      <c r="K3114" s="19"/>
      <c r="L3114" s="20"/>
      <c r="M3114" s="10"/>
      <c r="N3114" s="10"/>
      <c r="O3114" s="10"/>
      <c r="P3114" s="10"/>
      <c r="Q3114" s="10"/>
      <c r="R3114" s="10"/>
      <c r="S3114" s="10"/>
      <c r="T3114" s="10"/>
      <c r="U3114" s="10"/>
      <c r="V3114" s="10"/>
      <c r="W3114" s="10"/>
      <c r="X3114" s="10"/>
      <c r="Y3114" s="10"/>
      <c r="Z3114" s="10"/>
      <c r="AA3114" s="10"/>
      <c r="AB3114" s="10"/>
      <c r="AC3114" s="10"/>
      <c r="AD3114" s="10"/>
      <c r="AE3114" s="10"/>
      <c r="AF3114" s="10"/>
      <c r="AG3114" s="10"/>
      <c r="AH3114" s="10"/>
    </row>
    <row r="3115" spans="1:34" ht="31.5" outlineLevel="2">
      <c r="A3115" s="21"/>
      <c r="B3115" s="12" t="str">
        <f>IFERROR(VLOOKUP(D3115,'[1]Перечень товаров'!$A$2:$I9525,2,0),"")</f>
        <v>тм225</v>
      </c>
      <c r="C3115" s="12" t="str">
        <f>IFERROR(VLOOKUP(D3115,'[1]Перечень товаров'!$A$2:$I9525,3,0),"")</f>
        <v>Техника муз</v>
      </c>
      <c r="D3115" s="22" t="s">
        <v>955</v>
      </c>
      <c r="E3115" s="23" t="s">
        <v>938</v>
      </c>
      <c r="F3115" s="23"/>
      <c r="G3115" s="24">
        <v>12</v>
      </c>
      <c r="H3115" s="207"/>
      <c r="I3115" s="208"/>
      <c r="J3115" s="208"/>
      <c r="K3115" s="19"/>
      <c r="L3115" s="20"/>
      <c r="M3115" s="10"/>
      <c r="N3115" s="10"/>
      <c r="O3115" s="10"/>
      <c r="P3115" s="10"/>
      <c r="Q3115" s="10"/>
      <c r="R3115" s="10"/>
      <c r="S3115" s="10"/>
      <c r="T3115" s="10"/>
      <c r="U3115" s="10"/>
      <c r="V3115" s="10"/>
      <c r="W3115" s="10"/>
      <c r="X3115" s="10"/>
      <c r="Y3115" s="10"/>
      <c r="Z3115" s="10"/>
      <c r="AA3115" s="10"/>
      <c r="AB3115" s="10"/>
      <c r="AC3115" s="10"/>
      <c r="AD3115" s="10"/>
      <c r="AE3115" s="10"/>
      <c r="AF3115" s="10"/>
      <c r="AG3115" s="10"/>
      <c r="AH3115" s="10"/>
    </row>
    <row r="3116" spans="1:34" outlineLevel="2">
      <c r="A3116" s="114"/>
      <c r="B3116" s="12" t="str">
        <f>IFERROR(VLOOKUP(D3116,'[1]Перечень товаров'!$A$2:$I9525,2,0),"")</f>
        <v/>
      </c>
      <c r="C3116" s="12" t="str">
        <f>IFERROR(VLOOKUP(D3116,'[1]Перечень товаров'!$A$2:$I9525,3,0),"")</f>
        <v/>
      </c>
      <c r="D3116" s="114" t="s">
        <v>19</v>
      </c>
      <c r="E3116" s="15"/>
      <c r="F3116" s="15"/>
      <c r="G3116" s="17"/>
      <c r="H3116" s="17"/>
      <c r="I3116" s="57"/>
      <c r="J3116" s="57"/>
      <c r="K3116" s="19"/>
      <c r="L3116" s="20"/>
      <c r="M3116" s="10"/>
      <c r="N3116" s="10"/>
      <c r="O3116" s="10"/>
      <c r="P3116" s="10"/>
      <c r="Q3116" s="10"/>
      <c r="R3116" s="10"/>
      <c r="S3116" s="10"/>
      <c r="T3116" s="10"/>
      <c r="U3116" s="10"/>
      <c r="V3116" s="10"/>
      <c r="W3116" s="10"/>
      <c r="X3116" s="10"/>
      <c r="Y3116" s="10"/>
      <c r="Z3116" s="10"/>
      <c r="AA3116" s="10"/>
      <c r="AB3116" s="10"/>
      <c r="AC3116" s="10"/>
      <c r="AD3116" s="10"/>
      <c r="AE3116" s="10"/>
      <c r="AF3116" s="10"/>
      <c r="AG3116" s="10"/>
      <c r="AH3116" s="10"/>
    </row>
    <row r="3117" spans="1:34" outlineLevel="2">
      <c r="A3117" s="21"/>
      <c r="B3117" s="12" t="str">
        <f>IFERROR(VLOOKUP(D3117,'[1]Перечень товаров'!$A$2:$I9525,2,0),"")</f>
        <v>м9</v>
      </c>
      <c r="C3117" s="12" t="str">
        <f>IFERROR(VLOOKUP(D3117,'[1]Перечень товаров'!$A$2:$I9525,3,0),"")</f>
        <v>Мебель</v>
      </c>
      <c r="D3117" s="22" t="s">
        <v>956</v>
      </c>
      <c r="E3117" s="23" t="s">
        <v>942</v>
      </c>
      <c r="F3117" s="23"/>
      <c r="G3117" s="24">
        <v>5</v>
      </c>
      <c r="H3117" s="24"/>
      <c r="I3117" s="25"/>
      <c r="J3117" s="25"/>
      <c r="K3117" s="19"/>
      <c r="L3117" s="20"/>
      <c r="M3117" s="10"/>
      <c r="N3117" s="10"/>
      <c r="O3117" s="10"/>
      <c r="P3117" s="10"/>
      <c r="Q3117" s="10"/>
      <c r="R3117" s="10"/>
      <c r="S3117" s="10"/>
      <c r="T3117" s="10"/>
      <c r="U3117" s="10"/>
      <c r="V3117" s="10"/>
      <c r="W3117" s="10"/>
      <c r="X3117" s="10"/>
      <c r="Y3117" s="10"/>
      <c r="Z3117" s="10"/>
      <c r="AA3117" s="10"/>
      <c r="AB3117" s="10"/>
      <c r="AC3117" s="10"/>
      <c r="AD3117" s="10"/>
      <c r="AE3117" s="10"/>
      <c r="AF3117" s="10"/>
      <c r="AG3117" s="10"/>
      <c r="AH3117" s="10"/>
    </row>
    <row r="3118" spans="1:34" outlineLevel="2">
      <c r="A3118" s="21"/>
      <c r="B3118" s="12" t="str">
        <f>IFERROR(VLOOKUP(D3118,'[1]Перечень товаров'!$A$2:$I9525,2,0),"")</f>
        <v>м61</v>
      </c>
      <c r="C3118" s="12" t="str">
        <f>IFERROR(VLOOKUP(D3118,'[1]Перечень товаров'!$A$2:$I9525,3,0),"")</f>
        <v>Мебель</v>
      </c>
      <c r="D3118" s="35" t="s">
        <v>383</v>
      </c>
      <c r="E3118" s="23" t="s">
        <v>942</v>
      </c>
      <c r="F3118" s="23"/>
      <c r="G3118" s="24">
        <v>1</v>
      </c>
      <c r="H3118" s="24"/>
      <c r="I3118" s="25"/>
      <c r="J3118" s="25"/>
      <c r="K3118" s="19"/>
      <c r="L3118" s="20"/>
      <c r="M3118" s="10"/>
      <c r="N3118" s="10"/>
      <c r="O3118" s="10"/>
      <c r="P3118" s="10"/>
      <c r="Q3118" s="10"/>
      <c r="R3118" s="10"/>
      <c r="S3118" s="10"/>
      <c r="T3118" s="10"/>
      <c r="U3118" s="10"/>
      <c r="V3118" s="10"/>
      <c r="W3118" s="10"/>
      <c r="X3118" s="10"/>
      <c r="Y3118" s="10"/>
      <c r="Z3118" s="10"/>
      <c r="AA3118" s="10"/>
      <c r="AB3118" s="10"/>
      <c r="AC3118" s="10"/>
      <c r="AD3118" s="10"/>
      <c r="AE3118" s="10"/>
      <c r="AF3118" s="10"/>
      <c r="AG3118" s="10"/>
      <c r="AH3118" s="10"/>
    </row>
    <row r="3119" spans="1:34" ht="31.5" outlineLevel="2">
      <c r="A3119" s="21"/>
      <c r="B3119" s="12" t="str">
        <f>IFERROR(VLOOKUP(D3119,'[1]Перечень товаров'!$A$2:$I9525,2,0),"")</f>
        <v>м186</v>
      </c>
      <c r="C3119" s="12" t="str">
        <f>IFERROR(VLOOKUP(D3119,'[1]Перечень товаров'!$A$2:$I9525,3,0),"")</f>
        <v>мебель</v>
      </c>
      <c r="D3119" s="22" t="s">
        <v>957</v>
      </c>
      <c r="E3119" s="23" t="s">
        <v>942</v>
      </c>
      <c r="F3119" s="23"/>
      <c r="G3119" s="24">
        <v>1</v>
      </c>
      <c r="H3119" s="24"/>
      <c r="I3119" s="25"/>
      <c r="J3119" s="25"/>
      <c r="K3119" s="19"/>
      <c r="L3119" s="20"/>
      <c r="M3119" s="10"/>
      <c r="N3119" s="10"/>
      <c r="O3119" s="10"/>
      <c r="P3119" s="10"/>
      <c r="Q3119" s="10"/>
      <c r="R3119" s="10"/>
      <c r="S3119" s="10"/>
      <c r="T3119" s="10"/>
      <c r="U3119" s="10"/>
      <c r="V3119" s="10"/>
      <c r="W3119" s="10"/>
      <c r="X3119" s="10"/>
      <c r="Y3119" s="10"/>
      <c r="Z3119" s="10"/>
      <c r="AA3119" s="10"/>
      <c r="AB3119" s="10"/>
      <c r="AC3119" s="10"/>
      <c r="AD3119" s="10"/>
      <c r="AE3119" s="10"/>
      <c r="AF3119" s="10"/>
      <c r="AG3119" s="10"/>
      <c r="AH3119" s="10"/>
    </row>
    <row r="3120" spans="1:34" outlineLevel="2">
      <c r="A3120" s="21"/>
      <c r="B3120" s="12" t="str">
        <f>IFERROR(VLOOKUP(D3120,'[1]Перечень товаров'!$A$2:$I9525,2,0),"")</f>
        <v>м185</v>
      </c>
      <c r="C3120" s="12" t="str">
        <f>IFERROR(VLOOKUP(D3120,'[1]Перечень товаров'!$A$2:$I9525,3,0),"")</f>
        <v>мебель</v>
      </c>
      <c r="D3120" s="22" t="s">
        <v>958</v>
      </c>
      <c r="E3120" s="23" t="s">
        <v>942</v>
      </c>
      <c r="F3120" s="23"/>
      <c r="G3120" s="24">
        <v>1</v>
      </c>
      <c r="H3120" s="24"/>
      <c r="I3120" s="25"/>
      <c r="J3120" s="25"/>
      <c r="K3120" s="19"/>
      <c r="L3120" s="20"/>
      <c r="M3120" s="10"/>
      <c r="N3120" s="10"/>
      <c r="O3120" s="10"/>
      <c r="P3120" s="10"/>
      <c r="Q3120" s="10"/>
      <c r="R3120" s="10"/>
      <c r="S3120" s="10"/>
      <c r="T3120" s="10"/>
      <c r="U3120" s="10"/>
      <c r="V3120" s="10"/>
      <c r="W3120" s="10"/>
      <c r="X3120" s="10"/>
      <c r="Y3120" s="10"/>
      <c r="Z3120" s="10"/>
      <c r="AA3120" s="10"/>
      <c r="AB3120" s="10"/>
      <c r="AC3120" s="10"/>
      <c r="AD3120" s="10"/>
      <c r="AE3120" s="10"/>
      <c r="AF3120" s="10"/>
      <c r="AG3120" s="10"/>
      <c r="AH3120" s="10"/>
    </row>
    <row r="3121" spans="1:34" outlineLevel="2">
      <c r="A3121" s="21"/>
      <c r="B3121" s="12" t="str">
        <f>IFERROR(VLOOKUP(D3121,'[1]Перечень товаров'!$A$2:$I9525,2,0),"")</f>
        <v>м184</v>
      </c>
      <c r="C3121" s="12" t="str">
        <f>IFERROR(VLOOKUP(D3121,'[1]Перечень товаров'!$A$2:$I9525,3,0),"")</f>
        <v>мебель</v>
      </c>
      <c r="D3121" s="22" t="s">
        <v>959</v>
      </c>
      <c r="E3121" s="23" t="s">
        <v>942</v>
      </c>
      <c r="F3121" s="23"/>
      <c r="G3121" s="24">
        <v>1</v>
      </c>
      <c r="H3121" s="24"/>
      <c r="I3121" s="25"/>
      <c r="J3121" s="25"/>
      <c r="K3121" s="19"/>
      <c r="L3121" s="20"/>
      <c r="M3121" s="10"/>
      <c r="N3121" s="10"/>
      <c r="O3121" s="10"/>
      <c r="P3121" s="10"/>
      <c r="Q3121" s="10"/>
      <c r="R3121" s="10"/>
      <c r="S3121" s="10"/>
      <c r="T3121" s="10"/>
      <c r="U3121" s="10"/>
      <c r="V3121" s="10"/>
      <c r="W3121" s="10"/>
      <c r="X3121" s="10"/>
      <c r="Y3121" s="10"/>
      <c r="Z3121" s="10"/>
      <c r="AA3121" s="10"/>
      <c r="AB3121" s="10"/>
      <c r="AC3121" s="10"/>
      <c r="AD3121" s="10"/>
      <c r="AE3121" s="10"/>
      <c r="AF3121" s="10"/>
      <c r="AG3121" s="10"/>
      <c r="AH3121" s="10"/>
    </row>
    <row r="3122" spans="1:34" outlineLevel="2">
      <c r="A3122" s="21"/>
      <c r="B3122" s="12" t="str">
        <f>IFERROR(VLOOKUP(D3122,'[1]Перечень товаров'!$A$2:$I9525,2,0),"")</f>
        <v>м183</v>
      </c>
      <c r="C3122" s="12" t="str">
        <f>IFERROR(VLOOKUP(D3122,'[1]Перечень товаров'!$A$2:$I9525,3,0),"")</f>
        <v>мебель</v>
      </c>
      <c r="D3122" s="22" t="s">
        <v>960</v>
      </c>
      <c r="E3122" s="23" t="s">
        <v>942</v>
      </c>
      <c r="F3122" s="23"/>
      <c r="G3122" s="24">
        <v>500</v>
      </c>
      <c r="H3122" s="24"/>
      <c r="I3122" s="25"/>
      <c r="J3122" s="25"/>
      <c r="K3122" s="19"/>
      <c r="L3122" s="20"/>
      <c r="M3122" s="10"/>
      <c r="N3122" s="10"/>
      <c r="O3122" s="10"/>
      <c r="P3122" s="10"/>
      <c r="Q3122" s="10"/>
      <c r="R3122" s="10"/>
      <c r="S3122" s="10"/>
      <c r="T3122" s="10"/>
      <c r="U3122" s="10"/>
      <c r="V3122" s="10"/>
      <c r="W3122" s="10"/>
      <c r="X3122" s="10"/>
      <c r="Y3122" s="10"/>
      <c r="Z3122" s="10"/>
      <c r="AA3122" s="10"/>
      <c r="AB3122" s="10"/>
      <c r="AC3122" s="10"/>
      <c r="AD3122" s="10"/>
      <c r="AE3122" s="10"/>
      <c r="AF3122" s="10"/>
      <c r="AG3122" s="10"/>
      <c r="AH3122" s="10"/>
    </row>
    <row r="3123" spans="1:34" ht="15" outlineLevel="2">
      <c r="A3123" s="109"/>
      <c r="B3123" s="12" t="str">
        <f>IFERROR(VLOOKUP(D3123,'[1]Перечень товаров'!$A$2:$I9525,2,0),"")</f>
        <v/>
      </c>
      <c r="C3123" s="12" t="str">
        <f>IFERROR(VLOOKUP(D3123,'[1]Перечень товаров'!$A$2:$I9525,3,0),"")</f>
        <v/>
      </c>
      <c r="D3123" s="110" t="s">
        <v>27</v>
      </c>
      <c r="E3123" s="15"/>
      <c r="F3123" s="15"/>
      <c r="G3123" s="17"/>
      <c r="H3123" s="17"/>
      <c r="I3123" s="57"/>
      <c r="J3123" s="57"/>
      <c r="K3123" s="19"/>
      <c r="L3123" s="20"/>
      <c r="M3123" s="10"/>
      <c r="N3123" s="10"/>
      <c r="O3123" s="10"/>
      <c r="P3123" s="10"/>
      <c r="Q3123" s="10"/>
      <c r="R3123" s="10"/>
      <c r="S3123" s="10"/>
      <c r="T3123" s="10"/>
      <c r="U3123" s="10"/>
      <c r="V3123" s="10"/>
      <c r="W3123" s="10"/>
      <c r="X3123" s="10"/>
      <c r="Y3123" s="10"/>
      <c r="Z3123" s="10"/>
      <c r="AA3123" s="10"/>
      <c r="AB3123" s="10"/>
      <c r="AC3123" s="10"/>
      <c r="AD3123" s="10"/>
      <c r="AE3123" s="10"/>
      <c r="AF3123" s="10"/>
      <c r="AG3123" s="10"/>
      <c r="AH3123" s="10"/>
    </row>
    <row r="3124" spans="1:34" outlineLevel="2">
      <c r="A3124" s="21"/>
      <c r="B3124" s="12" t="str">
        <f>IFERROR(VLOOKUP(D3124,'[1]Перечень товаров'!$A$2:$I9525,2,0),"")</f>
        <v>т4</v>
      </c>
      <c r="C3124" s="12" t="str">
        <f>IFERROR(VLOOKUP(D3124,'[1]Перечень товаров'!$A$2:$I9525,3,0),"")</f>
        <v xml:space="preserve">Техника </v>
      </c>
      <c r="D3124" s="35" t="s">
        <v>31</v>
      </c>
      <c r="E3124" s="23" t="s">
        <v>942</v>
      </c>
      <c r="F3124" s="23"/>
      <c r="G3124" s="24">
        <v>1</v>
      </c>
      <c r="H3124" s="24"/>
      <c r="I3124" s="25"/>
      <c r="J3124" s="25"/>
      <c r="K3124" s="19"/>
      <c r="L3124" s="20"/>
      <c r="M3124" s="10"/>
      <c r="N3124" s="10"/>
      <c r="O3124" s="10"/>
      <c r="P3124" s="10"/>
      <c r="Q3124" s="10"/>
      <c r="R3124" s="10"/>
      <c r="S3124" s="10"/>
      <c r="T3124" s="10"/>
      <c r="U3124" s="10"/>
      <c r="V3124" s="10"/>
      <c r="W3124" s="10"/>
      <c r="X3124" s="10"/>
      <c r="Y3124" s="10"/>
      <c r="Z3124" s="10"/>
      <c r="AA3124" s="10"/>
      <c r="AB3124" s="10"/>
      <c r="AC3124" s="10"/>
      <c r="AD3124" s="10"/>
      <c r="AE3124" s="10"/>
      <c r="AF3124" s="10"/>
      <c r="AG3124" s="10"/>
      <c r="AH3124" s="10"/>
    </row>
    <row r="3125" spans="1:34" outlineLevel="2">
      <c r="A3125" s="21"/>
      <c r="B3125" s="12" t="str">
        <f>IFERROR(VLOOKUP(D3125,'[1]Перечень товаров'!$A$2:$I9525,2,0),"")</f>
        <v>т14</v>
      </c>
      <c r="C3125" s="12" t="str">
        <f>IFERROR(VLOOKUP(D3125,'[1]Перечень товаров'!$A$2:$I9525,3,0),"")</f>
        <v>Техника</v>
      </c>
      <c r="D3125" s="22" t="s">
        <v>61</v>
      </c>
      <c r="E3125" s="23" t="s">
        <v>942</v>
      </c>
      <c r="F3125" s="23"/>
      <c r="G3125" s="24">
        <v>1</v>
      </c>
      <c r="H3125" s="24"/>
      <c r="I3125" s="25"/>
      <c r="J3125" s="25"/>
      <c r="K3125" s="19"/>
      <c r="L3125" s="20"/>
      <c r="M3125" s="10"/>
      <c r="N3125" s="10"/>
      <c r="O3125" s="10"/>
      <c r="P3125" s="10"/>
      <c r="Q3125" s="10"/>
      <c r="R3125" s="10"/>
      <c r="S3125" s="10"/>
      <c r="T3125" s="10"/>
      <c r="U3125" s="10"/>
      <c r="V3125" s="10"/>
      <c r="W3125" s="10"/>
      <c r="X3125" s="10"/>
      <c r="Y3125" s="10"/>
      <c r="Z3125" s="10"/>
      <c r="AA3125" s="10"/>
      <c r="AB3125" s="10"/>
      <c r="AC3125" s="10"/>
      <c r="AD3125" s="10"/>
      <c r="AE3125" s="10"/>
      <c r="AF3125" s="10"/>
      <c r="AG3125" s="10"/>
      <c r="AH3125" s="10"/>
    </row>
    <row r="3126" spans="1:34" ht="31.5" outlineLevel="2">
      <c r="A3126" s="21"/>
      <c r="B3126" s="12" t="str">
        <f>IFERROR(VLOOKUP(D3126,'[1]Перечень товаров'!$A$2:$I9525,2,0),"")</f>
        <v>тм224</v>
      </c>
      <c r="C3126" s="12" t="str">
        <f>IFERROR(VLOOKUP(D3126,'[1]Перечень товаров'!$A$2:$I9525,3,0),"")</f>
        <v>Техника муз</v>
      </c>
      <c r="D3126" s="22" t="s">
        <v>961</v>
      </c>
      <c r="E3126" s="23" t="s">
        <v>942</v>
      </c>
      <c r="F3126" s="23"/>
      <c r="G3126" s="24">
        <v>1</v>
      </c>
      <c r="H3126" s="24"/>
      <c r="I3126" s="25"/>
      <c r="J3126" s="25"/>
      <c r="K3126" s="19"/>
      <c r="L3126" s="20"/>
      <c r="M3126" s="10"/>
      <c r="N3126" s="10"/>
      <c r="O3126" s="10"/>
      <c r="P3126" s="10"/>
      <c r="Q3126" s="10"/>
      <c r="R3126" s="10"/>
      <c r="S3126" s="10"/>
      <c r="T3126" s="10"/>
      <c r="U3126" s="10"/>
      <c r="V3126" s="10"/>
      <c r="W3126" s="10"/>
      <c r="X3126" s="10"/>
      <c r="Y3126" s="10"/>
      <c r="Z3126" s="10"/>
      <c r="AA3126" s="10"/>
      <c r="AB3126" s="10"/>
      <c r="AC3126" s="10"/>
      <c r="AD3126" s="10"/>
      <c r="AE3126" s="10"/>
      <c r="AF3126" s="10"/>
      <c r="AG3126" s="10"/>
      <c r="AH3126" s="10"/>
    </row>
    <row r="3127" spans="1:34" ht="31.5" outlineLevel="2">
      <c r="A3127" s="21"/>
      <c r="B3127" s="12" t="str">
        <f>IFERROR(VLOOKUP(D3127,'[1]Перечень товаров'!$A$2:$I9525,2,0),"")</f>
        <v>тм223</v>
      </c>
      <c r="C3127" s="12" t="str">
        <f>IFERROR(VLOOKUP(D3127,'[1]Перечень товаров'!$A$2:$I9525,3,0),"")</f>
        <v>Техника муз</v>
      </c>
      <c r="D3127" s="22" t="s">
        <v>962</v>
      </c>
      <c r="E3127" s="23" t="s">
        <v>938</v>
      </c>
      <c r="F3127" s="23"/>
      <c r="G3127" s="24">
        <v>1</v>
      </c>
      <c r="H3127" s="24"/>
      <c r="I3127" s="25"/>
      <c r="J3127" s="25"/>
      <c r="K3127" s="19"/>
      <c r="L3127" s="20"/>
      <c r="M3127" s="10"/>
      <c r="N3127" s="10"/>
      <c r="O3127" s="10"/>
      <c r="P3127" s="10"/>
      <c r="Q3127" s="10"/>
      <c r="R3127" s="10"/>
      <c r="S3127" s="10"/>
      <c r="T3127" s="10"/>
      <c r="U3127" s="10"/>
      <c r="V3127" s="10"/>
      <c r="W3127" s="10"/>
      <c r="X3127" s="10"/>
      <c r="Y3127" s="10"/>
      <c r="Z3127" s="10"/>
      <c r="AA3127" s="10"/>
      <c r="AB3127" s="10"/>
      <c r="AC3127" s="10"/>
      <c r="AD3127" s="10"/>
      <c r="AE3127" s="10"/>
      <c r="AF3127" s="10"/>
      <c r="AG3127" s="10"/>
      <c r="AH3127" s="10"/>
    </row>
    <row r="3128" spans="1:34" outlineLevel="2">
      <c r="A3128" s="21"/>
      <c r="B3128" s="12" t="str">
        <f>IFERROR(VLOOKUP(D3128,'[1]Перечень товаров'!$A$2:$I9525,2,0),"")</f>
        <v>тм222</v>
      </c>
      <c r="C3128" s="12" t="str">
        <f>IFERROR(VLOOKUP(D3128,'[1]Перечень товаров'!$A$2:$I9525,3,0),"")</f>
        <v>Техника муз</v>
      </c>
      <c r="D3128" s="22" t="s">
        <v>963</v>
      </c>
      <c r="E3128" s="23" t="s">
        <v>942</v>
      </c>
      <c r="F3128" s="23"/>
      <c r="G3128" s="24">
        <v>1</v>
      </c>
      <c r="H3128" s="24"/>
      <c r="I3128" s="25"/>
      <c r="J3128" s="25"/>
      <c r="K3128" s="19"/>
      <c r="L3128" s="20"/>
      <c r="M3128" s="10"/>
      <c r="N3128" s="10"/>
      <c r="O3128" s="10"/>
      <c r="P3128" s="10"/>
      <c r="Q3128" s="10"/>
      <c r="R3128" s="10"/>
      <c r="S3128" s="10"/>
      <c r="T3128" s="10"/>
      <c r="U3128" s="10"/>
      <c r="V3128" s="10"/>
      <c r="W3128" s="10"/>
      <c r="X3128" s="10"/>
      <c r="Y3128" s="10"/>
      <c r="Z3128" s="10"/>
      <c r="AA3128" s="10"/>
      <c r="AB3128" s="10"/>
      <c r="AC3128" s="10"/>
      <c r="AD3128" s="10"/>
      <c r="AE3128" s="10"/>
      <c r="AF3128" s="10"/>
      <c r="AG3128" s="10"/>
      <c r="AH3128" s="10"/>
    </row>
    <row r="3129" spans="1:34" outlineLevel="2">
      <c r="A3129" s="21"/>
      <c r="B3129" s="12" t="str">
        <f>IFERROR(VLOOKUP(D3129,'[1]Перечень товаров'!$A$2:$I9525,2,0),"")</f>
        <v>т176</v>
      </c>
      <c r="C3129" s="12" t="str">
        <f>IFERROR(VLOOKUP(D3129,'[1]Перечень товаров'!$A$2:$I9525,3,0),"")</f>
        <v>техника</v>
      </c>
      <c r="D3129" s="22" t="s">
        <v>964</v>
      </c>
      <c r="E3129" s="23" t="s">
        <v>942</v>
      </c>
      <c r="F3129" s="23"/>
      <c r="G3129" s="207">
        <v>46114</v>
      </c>
      <c r="H3129" s="207"/>
      <c r="I3129" s="208"/>
      <c r="J3129" s="208"/>
      <c r="K3129" s="19"/>
      <c r="L3129" s="20"/>
      <c r="M3129" s="10"/>
      <c r="N3129" s="10"/>
      <c r="O3129" s="10"/>
      <c r="P3129" s="10"/>
      <c r="Q3129" s="10"/>
      <c r="R3129" s="10"/>
      <c r="S3129" s="10"/>
      <c r="T3129" s="10"/>
      <c r="U3129" s="10"/>
      <c r="V3129" s="10"/>
      <c r="W3129" s="10"/>
      <c r="X3129" s="10"/>
      <c r="Y3129" s="10"/>
      <c r="Z3129" s="10"/>
      <c r="AA3129" s="10"/>
      <c r="AB3129" s="10"/>
      <c r="AC3129" s="10"/>
      <c r="AD3129" s="10"/>
      <c r="AE3129" s="10"/>
      <c r="AF3129" s="10"/>
      <c r="AG3129" s="10"/>
      <c r="AH3129" s="10"/>
    </row>
    <row r="3130" spans="1:34" ht="31.5" outlineLevel="2">
      <c r="A3130" s="21"/>
      <c r="B3130" s="12" t="str">
        <f>IFERROR(VLOOKUP(D3130,'[1]Перечень товаров'!$A$2:$I9525,2,0),"")</f>
        <v>тм221</v>
      </c>
      <c r="C3130" s="12" t="str">
        <f>IFERROR(VLOOKUP(D3130,'[1]Перечень товаров'!$A$2:$I9525,3,0),"")</f>
        <v>Техника муз</v>
      </c>
      <c r="D3130" s="22" t="s">
        <v>965</v>
      </c>
      <c r="E3130" s="23" t="s">
        <v>938</v>
      </c>
      <c r="F3130" s="23"/>
      <c r="G3130" s="24">
        <v>1</v>
      </c>
      <c r="H3130" s="24"/>
      <c r="I3130" s="25"/>
      <c r="J3130" s="25"/>
      <c r="K3130" s="19"/>
      <c r="L3130" s="20"/>
      <c r="M3130" s="10"/>
      <c r="N3130" s="10"/>
      <c r="O3130" s="10"/>
      <c r="P3130" s="10"/>
      <c r="Q3130" s="10"/>
      <c r="R3130" s="10"/>
      <c r="S3130" s="10"/>
      <c r="T3130" s="10"/>
      <c r="U3130" s="10"/>
      <c r="V3130" s="10"/>
      <c r="W3130" s="10"/>
      <c r="X3130" s="10"/>
      <c r="Y3130" s="10"/>
      <c r="Z3130" s="10"/>
      <c r="AA3130" s="10"/>
      <c r="AB3130" s="10"/>
      <c r="AC3130" s="10"/>
      <c r="AD3130" s="10"/>
      <c r="AE3130" s="10"/>
      <c r="AF3130" s="10"/>
      <c r="AG3130" s="10"/>
      <c r="AH3130" s="10"/>
    </row>
    <row r="3131" spans="1:34" outlineLevel="2">
      <c r="A3131" s="21"/>
      <c r="B3131" s="12" t="str">
        <f>IFERROR(VLOOKUP(D3131,'[1]Перечень товаров'!$A$2:$I9525,2,0),"")</f>
        <v>тм220</v>
      </c>
      <c r="C3131" s="12" t="str">
        <f>IFERROR(VLOOKUP(D3131,'[1]Перечень товаров'!$A$2:$I9525,3,0),"")</f>
        <v>Техника муз</v>
      </c>
      <c r="D3131" s="22" t="s">
        <v>966</v>
      </c>
      <c r="E3131" s="23" t="s">
        <v>942</v>
      </c>
      <c r="F3131" s="23"/>
      <c r="G3131" s="24">
        <v>1</v>
      </c>
      <c r="H3131" s="24"/>
      <c r="I3131" s="25"/>
      <c r="J3131" s="25"/>
      <c r="K3131" s="19"/>
      <c r="L3131" s="20"/>
      <c r="M3131" s="10"/>
      <c r="N3131" s="10"/>
      <c r="O3131" s="10"/>
      <c r="P3131" s="10"/>
      <c r="Q3131" s="10"/>
      <c r="R3131" s="10"/>
      <c r="S3131" s="10"/>
      <c r="T3131" s="10"/>
      <c r="U3131" s="10"/>
      <c r="V3131" s="10"/>
      <c r="W3131" s="10"/>
      <c r="X3131" s="10"/>
      <c r="Y3131" s="10"/>
      <c r="Z3131" s="10"/>
      <c r="AA3131" s="10"/>
      <c r="AB3131" s="10"/>
      <c r="AC3131" s="10"/>
      <c r="AD3131" s="10"/>
      <c r="AE3131" s="10"/>
      <c r="AF3131" s="10"/>
      <c r="AG3131" s="10"/>
      <c r="AH3131" s="10"/>
    </row>
    <row r="3132" spans="1:34" ht="12.75" outlineLevel="1">
      <c r="A3132" s="11"/>
      <c r="B3132" s="12" t="str">
        <f>IFERROR(VLOOKUP(D3132,'[1]Перечень товаров'!$A$2:$I9525,2,0),"")</f>
        <v/>
      </c>
      <c r="C3132" s="12" t="str">
        <f>IFERROR(VLOOKUP(D3132,'[1]Перечень товаров'!$A$2:$I9525,3,0),"")</f>
        <v/>
      </c>
      <c r="D3132" s="27" t="s">
        <v>359</v>
      </c>
      <c r="E3132" s="14">
        <v>6.1</v>
      </c>
      <c r="F3132" s="14"/>
      <c r="G3132" s="17"/>
      <c r="H3132" s="17"/>
      <c r="I3132" s="57"/>
      <c r="J3132" s="57"/>
      <c r="K3132" s="19"/>
      <c r="L3132" s="20"/>
      <c r="M3132" s="10"/>
      <c r="N3132" s="10"/>
      <c r="O3132" s="10"/>
      <c r="P3132" s="10"/>
      <c r="Q3132" s="10"/>
      <c r="R3132" s="10"/>
      <c r="S3132" s="10"/>
      <c r="T3132" s="10"/>
      <c r="U3132" s="10"/>
      <c r="V3132" s="10"/>
      <c r="W3132" s="10"/>
      <c r="X3132" s="10"/>
      <c r="Y3132" s="10"/>
      <c r="Z3132" s="10"/>
      <c r="AA3132" s="10"/>
      <c r="AB3132" s="10"/>
      <c r="AC3132" s="10"/>
      <c r="AD3132" s="10"/>
      <c r="AE3132" s="10"/>
      <c r="AF3132" s="10"/>
      <c r="AG3132" s="10"/>
      <c r="AH3132" s="10"/>
    </row>
    <row r="3133" spans="1:34" outlineLevel="2">
      <c r="A3133" s="22"/>
      <c r="B3133" s="12" t="str">
        <f>IFERROR(VLOOKUP(D3133,'[1]Перечень товаров'!$A$2:$I9525,2,0),"")</f>
        <v>п25</v>
      </c>
      <c r="C3133" s="12" t="str">
        <f>IFERROR(VLOOKUP(D3133,'[1]Перечень товаров'!$A$2:$I9525,3,0),"")</f>
        <v>Прочее</v>
      </c>
      <c r="D3133" s="22" t="s">
        <v>360</v>
      </c>
      <c r="E3133" s="102"/>
      <c r="F3133" s="102"/>
      <c r="G3133" s="48">
        <v>3</v>
      </c>
      <c r="H3133" s="48"/>
      <c r="I3133" s="49"/>
      <c r="J3133" s="49"/>
      <c r="K3133" s="33"/>
      <c r="L3133" s="20"/>
      <c r="M3133" s="10"/>
      <c r="N3133" s="10"/>
      <c r="O3133" s="10"/>
      <c r="P3133" s="10"/>
      <c r="Q3133" s="10"/>
      <c r="R3133" s="10"/>
      <c r="S3133" s="10"/>
      <c r="T3133" s="10"/>
      <c r="U3133" s="10"/>
      <c r="V3133" s="10"/>
      <c r="W3133" s="10"/>
      <c r="X3133" s="10"/>
      <c r="Y3133" s="10"/>
      <c r="Z3133" s="10"/>
      <c r="AA3133" s="10"/>
      <c r="AB3133" s="10"/>
      <c r="AC3133" s="10"/>
      <c r="AD3133" s="10"/>
      <c r="AE3133" s="10"/>
      <c r="AF3133" s="10"/>
      <c r="AG3133" s="10"/>
      <c r="AH3133" s="10"/>
    </row>
    <row r="3134" spans="1:34" outlineLevel="2">
      <c r="A3134" s="21"/>
      <c r="B3134" s="12" t="str">
        <f>IFERROR(VLOOKUP(D3134,'[1]Перечень товаров'!$A$2:$I9525,2,0),"")</f>
        <v>п26</v>
      </c>
      <c r="C3134" s="12" t="str">
        <f>IFERROR(VLOOKUP(D3134,'[1]Перечень товаров'!$A$2:$I9525,3,0),"")</f>
        <v>Прочее</v>
      </c>
      <c r="D3134" s="22" t="s">
        <v>361</v>
      </c>
      <c r="E3134" s="102"/>
      <c r="F3134" s="102"/>
      <c r="G3134" s="48">
        <v>2</v>
      </c>
      <c r="H3134" s="48"/>
      <c r="I3134" s="49"/>
      <c r="J3134" s="49"/>
      <c r="K3134" s="33"/>
      <c r="L3134" s="20"/>
      <c r="M3134" s="10"/>
      <c r="N3134" s="10"/>
      <c r="O3134" s="10"/>
      <c r="P3134" s="10"/>
      <c r="Q3134" s="10"/>
      <c r="R3134" s="10"/>
      <c r="S3134" s="10"/>
      <c r="T3134" s="10"/>
      <c r="U3134" s="10"/>
      <c r="V3134" s="10"/>
      <c r="W3134" s="10"/>
      <c r="X3134" s="10"/>
      <c r="Y3134" s="10"/>
      <c r="Z3134" s="10"/>
      <c r="AA3134" s="10"/>
      <c r="AB3134" s="10"/>
      <c r="AC3134" s="10"/>
      <c r="AD3134" s="10"/>
      <c r="AE3134" s="10"/>
      <c r="AF3134" s="10"/>
      <c r="AG3134" s="10"/>
      <c r="AH3134" s="10"/>
    </row>
    <row r="3135" spans="1:34" outlineLevel="2">
      <c r="A3135" s="21"/>
      <c r="B3135" s="12" t="str">
        <f>IFERROR(VLOOKUP(D3135,'[1]Перечень товаров'!$A$2:$I9525,2,0),"")</f>
        <v>п27</v>
      </c>
      <c r="C3135" s="12" t="str">
        <f>IFERROR(VLOOKUP(D3135,'[1]Перечень товаров'!$A$2:$I9525,3,0),"")</f>
        <v>Прочее</v>
      </c>
      <c r="D3135" s="22" t="s">
        <v>362</v>
      </c>
      <c r="E3135" s="102"/>
      <c r="F3135" s="102"/>
      <c r="G3135" s="48">
        <v>2</v>
      </c>
      <c r="H3135" s="48"/>
      <c r="I3135" s="49"/>
      <c r="J3135" s="49"/>
      <c r="K3135" s="33"/>
      <c r="L3135" s="20"/>
      <c r="M3135" s="10"/>
      <c r="N3135" s="10"/>
      <c r="O3135" s="10"/>
      <c r="P3135" s="10"/>
      <c r="Q3135" s="10"/>
      <c r="R3135" s="10"/>
      <c r="S3135" s="10"/>
      <c r="T3135" s="10"/>
      <c r="U3135" s="10"/>
      <c r="V3135" s="10"/>
      <c r="W3135" s="10"/>
      <c r="X3135" s="10"/>
      <c r="Y3135" s="10"/>
      <c r="Z3135" s="10"/>
      <c r="AA3135" s="10"/>
      <c r="AB3135" s="10"/>
      <c r="AC3135" s="10"/>
      <c r="AD3135" s="10"/>
      <c r="AE3135" s="10"/>
      <c r="AF3135" s="10"/>
      <c r="AG3135" s="10"/>
      <c r="AH3135" s="10"/>
    </row>
    <row r="3136" spans="1:34" outlineLevel="2">
      <c r="A3136" s="21"/>
      <c r="B3136" s="12" t="str">
        <f>IFERROR(VLOOKUP(D3136,'[1]Перечень товаров'!$A$2:$I9525,2,0),"")</f>
        <v>п28</v>
      </c>
      <c r="C3136" s="12" t="str">
        <f>IFERROR(VLOOKUP(D3136,'[1]Перечень товаров'!$A$2:$I9525,3,0),"")</f>
        <v>Прочее</v>
      </c>
      <c r="D3136" s="22" t="s">
        <v>363</v>
      </c>
      <c r="E3136" s="102"/>
      <c r="F3136" s="102"/>
      <c r="G3136" s="48">
        <v>1</v>
      </c>
      <c r="H3136" s="48"/>
      <c r="I3136" s="49"/>
      <c r="J3136" s="49"/>
      <c r="K3136" s="33"/>
      <c r="L3136" s="20"/>
      <c r="M3136" s="10"/>
      <c r="N3136" s="10"/>
      <c r="O3136" s="10"/>
      <c r="P3136" s="10"/>
      <c r="Q3136" s="10"/>
      <c r="R3136" s="10"/>
      <c r="S3136" s="10"/>
      <c r="T3136" s="10"/>
      <c r="U3136" s="10"/>
      <c r="V3136" s="10"/>
      <c r="W3136" s="10"/>
      <c r="X3136" s="10"/>
      <c r="Y3136" s="10"/>
      <c r="Z3136" s="10"/>
      <c r="AA3136" s="10"/>
      <c r="AB3136" s="10"/>
      <c r="AC3136" s="10"/>
      <c r="AD3136" s="10"/>
      <c r="AE3136" s="10"/>
      <c r="AF3136" s="10"/>
      <c r="AG3136" s="10"/>
      <c r="AH3136" s="10"/>
    </row>
    <row r="3137" spans="1:34" outlineLevel="2">
      <c r="A3137" s="21"/>
      <c r="B3137" s="12" t="str">
        <f>IFERROR(VLOOKUP(D3137,'[1]Перечень товаров'!$A$2:$I9525,2,0),"")</f>
        <v>п29</v>
      </c>
      <c r="C3137" s="12" t="str">
        <f>IFERROR(VLOOKUP(D3137,'[1]Перечень товаров'!$A$2:$I9525,3,0),"")</f>
        <v>Прочее</v>
      </c>
      <c r="D3137" s="22" t="s">
        <v>364</v>
      </c>
      <c r="E3137" s="102"/>
      <c r="F3137" s="102"/>
      <c r="G3137" s="48">
        <v>6</v>
      </c>
      <c r="H3137" s="48"/>
      <c r="I3137" s="49"/>
      <c r="J3137" s="49"/>
      <c r="K3137" s="33"/>
      <c r="L3137" s="20"/>
      <c r="M3137" s="10"/>
      <c r="N3137" s="10"/>
      <c r="O3137" s="10"/>
      <c r="P3137" s="10"/>
      <c r="Q3137" s="10"/>
      <c r="R3137" s="10"/>
      <c r="S3137" s="10"/>
      <c r="T3137" s="10"/>
      <c r="U3137" s="10"/>
      <c r="V3137" s="10"/>
      <c r="W3137" s="10"/>
      <c r="X3137" s="10"/>
      <c r="Y3137" s="10"/>
      <c r="Z3137" s="10"/>
      <c r="AA3137" s="10"/>
      <c r="AB3137" s="10"/>
      <c r="AC3137" s="10"/>
      <c r="AD3137" s="10"/>
      <c r="AE3137" s="10"/>
      <c r="AF3137" s="10"/>
      <c r="AG3137" s="10"/>
      <c r="AH3137" s="10"/>
    </row>
    <row r="3138" spans="1:34" outlineLevel="2">
      <c r="A3138" s="21"/>
      <c r="B3138" s="12" t="str">
        <f>IFERROR(VLOOKUP(D3138,'[1]Перечень товаров'!$A$2:$I9525,2,0),"")</f>
        <v>п30</v>
      </c>
      <c r="C3138" s="12" t="str">
        <f>IFERROR(VLOOKUP(D3138,'[1]Перечень товаров'!$A$2:$I9525,3,0),"")</f>
        <v>Прочее</v>
      </c>
      <c r="D3138" s="22" t="s">
        <v>365</v>
      </c>
      <c r="E3138" s="102"/>
      <c r="F3138" s="102"/>
      <c r="G3138" s="48">
        <v>2</v>
      </c>
      <c r="H3138" s="48"/>
      <c r="I3138" s="49"/>
      <c r="J3138" s="49"/>
      <c r="K3138" s="33"/>
      <c r="L3138" s="20"/>
      <c r="M3138" s="10"/>
      <c r="N3138" s="10"/>
      <c r="O3138" s="10"/>
      <c r="P3138" s="10"/>
      <c r="Q3138" s="10"/>
      <c r="R3138" s="10"/>
      <c r="S3138" s="10"/>
      <c r="T3138" s="10"/>
      <c r="U3138" s="10"/>
      <c r="V3138" s="10"/>
      <c r="W3138" s="10"/>
      <c r="X3138" s="10"/>
      <c r="Y3138" s="10"/>
      <c r="Z3138" s="10"/>
      <c r="AA3138" s="10"/>
      <c r="AB3138" s="10"/>
      <c r="AC3138" s="10"/>
      <c r="AD3138" s="10"/>
      <c r="AE3138" s="10"/>
      <c r="AF3138" s="10"/>
      <c r="AG3138" s="10"/>
      <c r="AH3138" s="10"/>
    </row>
    <row r="3139" spans="1:34" ht="31.5" outlineLevel="2">
      <c r="A3139" s="21"/>
      <c r="B3139" s="12" t="str">
        <f>IFERROR(VLOOKUP(D3139,'[1]Перечень товаров'!$A$2:$I9525,2,0),"")</f>
        <v>п31</v>
      </c>
      <c r="C3139" s="12" t="str">
        <f>IFERROR(VLOOKUP(D3139,'[1]Перечень товаров'!$A$2:$I9525,3,0),"")</f>
        <v>Прочее</v>
      </c>
      <c r="D3139" s="22" t="s">
        <v>366</v>
      </c>
      <c r="E3139" s="102"/>
      <c r="F3139" s="102"/>
      <c r="G3139" s="48">
        <v>1</v>
      </c>
      <c r="H3139" s="48"/>
      <c r="I3139" s="49"/>
      <c r="J3139" s="49"/>
      <c r="K3139" s="33"/>
      <c r="L3139" s="20"/>
      <c r="M3139" s="10"/>
      <c r="N3139" s="10"/>
      <c r="O3139" s="10"/>
      <c r="P3139" s="10"/>
      <c r="Q3139" s="10"/>
      <c r="R3139" s="10"/>
      <c r="S3139" s="10"/>
      <c r="T3139" s="10"/>
      <c r="U3139" s="10"/>
      <c r="V3139" s="10"/>
      <c r="W3139" s="10"/>
      <c r="X3139" s="10"/>
      <c r="Y3139" s="10"/>
      <c r="Z3139" s="10"/>
      <c r="AA3139" s="10"/>
      <c r="AB3139" s="10"/>
      <c r="AC3139" s="10"/>
      <c r="AD3139" s="10"/>
      <c r="AE3139" s="10"/>
      <c r="AF3139" s="10"/>
      <c r="AG3139" s="10"/>
      <c r="AH3139" s="10"/>
    </row>
    <row r="3140" spans="1:34" ht="31.5" outlineLevel="2">
      <c r="A3140" s="21"/>
      <c r="B3140" s="12" t="str">
        <f>IFERROR(VLOOKUP(D3140,'[1]Перечень товаров'!$A$2:$I9525,2,0),"")</f>
        <v>п32</v>
      </c>
      <c r="C3140" s="12" t="str">
        <f>IFERROR(VLOOKUP(D3140,'[1]Перечень товаров'!$A$2:$I9525,3,0),"")</f>
        <v>Прочее</v>
      </c>
      <c r="D3140" s="22" t="s">
        <v>367</v>
      </c>
      <c r="E3140" s="102"/>
      <c r="F3140" s="102"/>
      <c r="G3140" s="48">
        <v>2</v>
      </c>
      <c r="H3140" s="48"/>
      <c r="I3140" s="49"/>
      <c r="J3140" s="49"/>
      <c r="K3140" s="33"/>
      <c r="L3140" s="20"/>
      <c r="M3140" s="10"/>
      <c r="N3140" s="10"/>
      <c r="O3140" s="10"/>
      <c r="P3140" s="10"/>
      <c r="Q3140" s="10"/>
      <c r="R3140" s="10"/>
      <c r="S3140" s="10"/>
      <c r="T3140" s="10"/>
      <c r="U3140" s="10"/>
      <c r="V3140" s="10"/>
      <c r="W3140" s="10"/>
      <c r="X3140" s="10"/>
      <c r="Y3140" s="10"/>
      <c r="Z3140" s="10"/>
      <c r="AA3140" s="10"/>
      <c r="AB3140" s="10"/>
      <c r="AC3140" s="10"/>
      <c r="AD3140" s="10"/>
      <c r="AE3140" s="10"/>
      <c r="AF3140" s="10"/>
      <c r="AG3140" s="10"/>
      <c r="AH3140" s="10"/>
    </row>
    <row r="3141" spans="1:34" ht="12.75" outlineLevel="1">
      <c r="A3141" s="11"/>
      <c r="B3141" s="12" t="str">
        <f>IFERROR(VLOOKUP(D3141,'[1]Перечень товаров'!$A$2:$I9525,2,0),"")</f>
        <v/>
      </c>
      <c r="C3141" s="12" t="str">
        <f>IFERROR(VLOOKUP(D3141,'[1]Перечень товаров'!$A$2:$I9525,3,0),"")</f>
        <v/>
      </c>
      <c r="D3141" s="27" t="s">
        <v>967</v>
      </c>
      <c r="E3141" s="15">
        <v>28</v>
      </c>
      <c r="F3141" s="15"/>
      <c r="G3141" s="17"/>
      <c r="H3141" s="17"/>
      <c r="I3141" s="57"/>
      <c r="J3141" s="57"/>
      <c r="K3141" s="19"/>
      <c r="L3141" s="20"/>
      <c r="M3141" s="10"/>
      <c r="N3141" s="10"/>
      <c r="O3141" s="10"/>
      <c r="P3141" s="10"/>
      <c r="Q3141" s="10"/>
      <c r="R3141" s="10"/>
      <c r="S3141" s="10"/>
      <c r="T3141" s="10"/>
      <c r="U3141" s="10"/>
      <c r="V3141" s="10"/>
      <c r="W3141" s="10"/>
      <c r="X3141" s="10"/>
      <c r="Y3141" s="10"/>
      <c r="Z3141" s="10"/>
      <c r="AA3141" s="10"/>
      <c r="AB3141" s="10"/>
      <c r="AC3141" s="10"/>
      <c r="AD3141" s="10"/>
      <c r="AE3141" s="10"/>
      <c r="AF3141" s="10"/>
      <c r="AG3141" s="10"/>
      <c r="AH3141" s="10"/>
    </row>
    <row r="3142" spans="1:34" outlineLevel="2">
      <c r="A3142" s="35"/>
      <c r="B3142" s="12" t="str">
        <f>IFERROR(VLOOKUP(D3142,'[1]Перечень товаров'!$A$2:$I9525,2,0),"")</f>
        <v>п25</v>
      </c>
      <c r="C3142" s="12" t="str">
        <f>IFERROR(VLOOKUP(D3142,'[1]Перечень товаров'!$A$2:$I9525,3,0),"")</f>
        <v>Прочее</v>
      </c>
      <c r="D3142" s="35" t="s">
        <v>360</v>
      </c>
      <c r="E3142" s="102"/>
      <c r="F3142" s="102"/>
      <c r="G3142" s="48">
        <v>3</v>
      </c>
      <c r="H3142" s="48"/>
      <c r="I3142" s="49"/>
      <c r="J3142" s="49"/>
      <c r="K3142" s="33"/>
      <c r="L3142" s="20"/>
      <c r="M3142" s="10"/>
      <c r="N3142" s="10"/>
      <c r="O3142" s="10"/>
      <c r="P3142" s="10"/>
      <c r="Q3142" s="10"/>
      <c r="R3142" s="10"/>
      <c r="S3142" s="10"/>
      <c r="T3142" s="10"/>
      <c r="U3142" s="10"/>
      <c r="V3142" s="10"/>
      <c r="W3142" s="10"/>
      <c r="X3142" s="10"/>
      <c r="Y3142" s="10"/>
      <c r="Z3142" s="10"/>
      <c r="AA3142" s="10"/>
      <c r="AB3142" s="10"/>
      <c r="AC3142" s="10"/>
      <c r="AD3142" s="10"/>
      <c r="AE3142" s="10"/>
      <c r="AF3142" s="10"/>
      <c r="AG3142" s="10"/>
      <c r="AH3142" s="10"/>
    </row>
    <row r="3143" spans="1:34" outlineLevel="2">
      <c r="A3143" s="34"/>
      <c r="B3143" s="12" t="str">
        <f>IFERROR(VLOOKUP(D3143,'[1]Перечень товаров'!$A$2:$I9525,2,0),"")</f>
        <v>п26</v>
      </c>
      <c r="C3143" s="12" t="str">
        <f>IFERROR(VLOOKUP(D3143,'[1]Перечень товаров'!$A$2:$I9525,3,0),"")</f>
        <v>Прочее</v>
      </c>
      <c r="D3143" s="35" t="s">
        <v>361</v>
      </c>
      <c r="E3143" s="102"/>
      <c r="F3143" s="102"/>
      <c r="G3143" s="48">
        <v>2</v>
      </c>
      <c r="H3143" s="48"/>
      <c r="I3143" s="49"/>
      <c r="J3143" s="49"/>
      <c r="K3143" s="33"/>
      <c r="L3143" s="20"/>
      <c r="M3143" s="10"/>
      <c r="N3143" s="10"/>
      <c r="O3143" s="10"/>
      <c r="P3143" s="10"/>
      <c r="Q3143" s="10"/>
      <c r="R3143" s="10"/>
      <c r="S3143" s="10"/>
      <c r="T3143" s="10"/>
      <c r="U3143" s="10"/>
      <c r="V3143" s="10"/>
      <c r="W3143" s="10"/>
      <c r="X3143" s="10"/>
      <c r="Y3143" s="10"/>
      <c r="Z3143" s="10"/>
      <c r="AA3143" s="10"/>
      <c r="AB3143" s="10"/>
      <c r="AC3143" s="10"/>
      <c r="AD3143" s="10"/>
      <c r="AE3143" s="10"/>
      <c r="AF3143" s="10"/>
      <c r="AG3143" s="10"/>
      <c r="AH3143" s="10"/>
    </row>
    <row r="3144" spans="1:34" outlineLevel="2">
      <c r="A3144" s="34"/>
      <c r="B3144" s="12" t="str">
        <f>IFERROR(VLOOKUP(D3144,'[1]Перечень товаров'!$A$2:$I9525,2,0),"")</f>
        <v>п27</v>
      </c>
      <c r="C3144" s="12" t="str">
        <f>IFERROR(VLOOKUP(D3144,'[1]Перечень товаров'!$A$2:$I9525,3,0),"")</f>
        <v>Прочее</v>
      </c>
      <c r="D3144" s="35" t="s">
        <v>362</v>
      </c>
      <c r="E3144" s="102"/>
      <c r="F3144" s="102"/>
      <c r="G3144" s="48">
        <v>2</v>
      </c>
      <c r="H3144" s="48"/>
      <c r="I3144" s="49"/>
      <c r="J3144" s="49"/>
      <c r="K3144" s="33"/>
      <c r="L3144" s="20"/>
      <c r="M3144" s="10"/>
      <c r="N3144" s="10"/>
      <c r="O3144" s="10"/>
      <c r="P3144" s="10"/>
      <c r="Q3144" s="10"/>
      <c r="R3144" s="10"/>
      <c r="S3144" s="10"/>
      <c r="T3144" s="10"/>
      <c r="U3144" s="10"/>
      <c r="V3144" s="10"/>
      <c r="W3144" s="10"/>
      <c r="X3144" s="10"/>
      <c r="Y3144" s="10"/>
      <c r="Z3144" s="10"/>
      <c r="AA3144" s="10"/>
      <c r="AB3144" s="10"/>
      <c r="AC3144" s="10"/>
      <c r="AD3144" s="10"/>
      <c r="AE3144" s="10"/>
      <c r="AF3144" s="10"/>
      <c r="AG3144" s="10"/>
      <c r="AH3144" s="10"/>
    </row>
    <row r="3145" spans="1:34" outlineLevel="2">
      <c r="A3145" s="34"/>
      <c r="B3145" s="12" t="str">
        <f>IFERROR(VLOOKUP(D3145,'[1]Перечень товаров'!$A$2:$I9525,2,0),"")</f>
        <v>п28</v>
      </c>
      <c r="C3145" s="12" t="str">
        <f>IFERROR(VLOOKUP(D3145,'[1]Перечень товаров'!$A$2:$I9525,3,0),"")</f>
        <v>Прочее</v>
      </c>
      <c r="D3145" s="35" t="s">
        <v>363</v>
      </c>
      <c r="E3145" s="102"/>
      <c r="F3145" s="102"/>
      <c r="G3145" s="48">
        <v>1</v>
      </c>
      <c r="H3145" s="48"/>
      <c r="I3145" s="49"/>
      <c r="J3145" s="49"/>
      <c r="K3145" s="33"/>
      <c r="L3145" s="20"/>
      <c r="M3145" s="10"/>
      <c r="N3145" s="10"/>
      <c r="O3145" s="10"/>
      <c r="P3145" s="10"/>
      <c r="Q3145" s="10"/>
      <c r="R3145" s="10"/>
      <c r="S3145" s="10"/>
      <c r="T3145" s="10"/>
      <c r="U3145" s="10"/>
      <c r="V3145" s="10"/>
      <c r="W3145" s="10"/>
      <c r="X3145" s="10"/>
      <c r="Y3145" s="10"/>
      <c r="Z3145" s="10"/>
      <c r="AA3145" s="10"/>
      <c r="AB3145" s="10"/>
      <c r="AC3145" s="10"/>
      <c r="AD3145" s="10"/>
      <c r="AE3145" s="10"/>
      <c r="AF3145" s="10"/>
      <c r="AG3145" s="10"/>
      <c r="AH3145" s="10"/>
    </row>
    <row r="3146" spans="1:34" outlineLevel="2">
      <c r="A3146" s="34"/>
      <c r="B3146" s="12" t="str">
        <f>IFERROR(VLOOKUP(D3146,'[1]Перечень товаров'!$A$2:$I9525,2,0),"")</f>
        <v>п29</v>
      </c>
      <c r="C3146" s="12" t="str">
        <f>IFERROR(VLOOKUP(D3146,'[1]Перечень товаров'!$A$2:$I9525,3,0),"")</f>
        <v>Прочее</v>
      </c>
      <c r="D3146" s="35" t="s">
        <v>364</v>
      </c>
      <c r="E3146" s="102"/>
      <c r="F3146" s="102"/>
      <c r="G3146" s="48">
        <v>6</v>
      </c>
      <c r="H3146" s="48"/>
      <c r="I3146" s="49"/>
      <c r="J3146" s="49"/>
      <c r="K3146" s="33"/>
      <c r="L3146" s="20"/>
      <c r="M3146" s="10"/>
      <c r="N3146" s="10"/>
      <c r="O3146" s="10"/>
      <c r="P3146" s="10"/>
      <c r="Q3146" s="10"/>
      <c r="R3146" s="10"/>
      <c r="S3146" s="10"/>
      <c r="T3146" s="10"/>
      <c r="U3146" s="10"/>
      <c r="V3146" s="10"/>
      <c r="W3146" s="10"/>
      <c r="X3146" s="10"/>
      <c r="Y3146" s="10"/>
      <c r="Z3146" s="10"/>
      <c r="AA3146" s="10"/>
      <c r="AB3146" s="10"/>
      <c r="AC3146" s="10"/>
      <c r="AD3146" s="10"/>
      <c r="AE3146" s="10"/>
      <c r="AF3146" s="10"/>
      <c r="AG3146" s="10"/>
      <c r="AH3146" s="10"/>
    </row>
    <row r="3147" spans="1:34" outlineLevel="2">
      <c r="A3147" s="34"/>
      <c r="B3147" s="12" t="str">
        <f>IFERROR(VLOOKUP(D3147,'[1]Перечень товаров'!$A$2:$I9525,2,0),"")</f>
        <v>п30</v>
      </c>
      <c r="C3147" s="12" t="str">
        <f>IFERROR(VLOOKUP(D3147,'[1]Перечень товаров'!$A$2:$I9525,3,0),"")</f>
        <v>Прочее</v>
      </c>
      <c r="D3147" s="35" t="s">
        <v>365</v>
      </c>
      <c r="E3147" s="102"/>
      <c r="F3147" s="102"/>
      <c r="G3147" s="48">
        <v>2</v>
      </c>
      <c r="H3147" s="48"/>
      <c r="I3147" s="49"/>
      <c r="J3147" s="49"/>
      <c r="K3147" s="33"/>
      <c r="L3147" s="20"/>
      <c r="M3147" s="10"/>
      <c r="N3147" s="10"/>
      <c r="O3147" s="10"/>
      <c r="P3147" s="10"/>
      <c r="Q3147" s="10"/>
      <c r="R3147" s="10"/>
      <c r="S3147" s="10"/>
      <c r="T3147" s="10"/>
      <c r="U3147" s="10"/>
      <c r="V3147" s="10"/>
      <c r="W3147" s="10"/>
      <c r="X3147" s="10"/>
      <c r="Y3147" s="10"/>
      <c r="Z3147" s="10"/>
      <c r="AA3147" s="10"/>
      <c r="AB3147" s="10"/>
      <c r="AC3147" s="10"/>
      <c r="AD3147" s="10"/>
      <c r="AE3147" s="10"/>
      <c r="AF3147" s="10"/>
      <c r="AG3147" s="10"/>
      <c r="AH3147" s="10"/>
    </row>
    <row r="3148" spans="1:34" ht="31.5" outlineLevel="2">
      <c r="A3148" s="34"/>
      <c r="B3148" s="12" t="str">
        <f>IFERROR(VLOOKUP(D3148,'[1]Перечень товаров'!$A$2:$I9525,2,0),"")</f>
        <v>п31</v>
      </c>
      <c r="C3148" s="12" t="str">
        <f>IFERROR(VLOOKUP(D3148,'[1]Перечень товаров'!$A$2:$I9525,3,0),"")</f>
        <v>Прочее</v>
      </c>
      <c r="D3148" s="35" t="s">
        <v>366</v>
      </c>
      <c r="E3148" s="102"/>
      <c r="F3148" s="102"/>
      <c r="G3148" s="48">
        <v>1</v>
      </c>
      <c r="H3148" s="48"/>
      <c r="I3148" s="49"/>
      <c r="J3148" s="49"/>
      <c r="K3148" s="33"/>
      <c r="L3148" s="20"/>
      <c r="M3148" s="10"/>
      <c r="N3148" s="10"/>
      <c r="O3148" s="10"/>
      <c r="P3148" s="10"/>
      <c r="Q3148" s="10"/>
      <c r="R3148" s="10"/>
      <c r="S3148" s="10"/>
      <c r="T3148" s="10"/>
      <c r="U3148" s="10"/>
      <c r="V3148" s="10"/>
      <c r="W3148" s="10"/>
      <c r="X3148" s="10"/>
      <c r="Y3148" s="10"/>
      <c r="Z3148" s="10"/>
      <c r="AA3148" s="10"/>
      <c r="AB3148" s="10"/>
      <c r="AC3148" s="10"/>
      <c r="AD3148" s="10"/>
      <c r="AE3148" s="10"/>
      <c r="AF3148" s="10"/>
      <c r="AG3148" s="10"/>
      <c r="AH3148" s="10"/>
    </row>
    <row r="3149" spans="1:34" ht="31.5" outlineLevel="2">
      <c r="A3149" s="34"/>
      <c r="B3149" s="12" t="str">
        <f>IFERROR(VLOOKUP(D3149,'[1]Перечень товаров'!$A$2:$I9525,2,0),"")</f>
        <v>п32</v>
      </c>
      <c r="C3149" s="12" t="str">
        <f>IFERROR(VLOOKUP(D3149,'[1]Перечень товаров'!$A$2:$I9525,3,0),"")</f>
        <v>Прочее</v>
      </c>
      <c r="D3149" s="35" t="s">
        <v>367</v>
      </c>
      <c r="E3149" s="102"/>
      <c r="F3149" s="102"/>
      <c r="G3149" s="48">
        <v>2</v>
      </c>
      <c r="H3149" s="48"/>
      <c r="I3149" s="49"/>
      <c r="J3149" s="49"/>
      <c r="K3149" s="33"/>
      <c r="L3149" s="20"/>
      <c r="M3149" s="10"/>
      <c r="N3149" s="10"/>
      <c r="O3149" s="10"/>
      <c r="P3149" s="10"/>
      <c r="Q3149" s="10"/>
      <c r="R3149" s="10"/>
      <c r="S3149" s="10"/>
      <c r="T3149" s="10"/>
      <c r="U3149" s="10"/>
      <c r="V3149" s="10"/>
      <c r="W3149" s="10"/>
      <c r="X3149" s="10"/>
      <c r="Y3149" s="10"/>
      <c r="Z3149" s="10"/>
      <c r="AA3149" s="10"/>
      <c r="AB3149" s="10"/>
      <c r="AC3149" s="10"/>
      <c r="AD3149" s="10"/>
      <c r="AE3149" s="10"/>
      <c r="AF3149" s="10"/>
      <c r="AG3149" s="10"/>
      <c r="AH3149" s="10"/>
    </row>
    <row r="3150" spans="1:34" ht="12.75" outlineLevel="1">
      <c r="A3150" s="11"/>
      <c r="B3150" s="12" t="str">
        <f>IFERROR(VLOOKUP(D3150,'[1]Перечень товаров'!$A$2:$I9525,2,0),"")</f>
        <v/>
      </c>
      <c r="C3150" s="12" t="str">
        <f>IFERROR(VLOOKUP(D3150,'[1]Перечень товаров'!$A$2:$I9525,3,0),"")</f>
        <v/>
      </c>
      <c r="D3150" s="27" t="s">
        <v>968</v>
      </c>
      <c r="E3150" s="15">
        <v>29.3</v>
      </c>
      <c r="F3150" s="15"/>
      <c r="G3150" s="17"/>
      <c r="H3150" s="17"/>
      <c r="I3150" s="57"/>
      <c r="J3150" s="57"/>
      <c r="K3150" s="19"/>
      <c r="L3150" s="20"/>
      <c r="M3150" s="10"/>
      <c r="N3150" s="10"/>
      <c r="O3150" s="10"/>
      <c r="P3150" s="10"/>
      <c r="Q3150" s="10"/>
      <c r="R3150" s="10"/>
      <c r="S3150" s="10"/>
      <c r="T3150" s="10"/>
      <c r="U3150" s="10"/>
      <c r="V3150" s="10"/>
      <c r="W3150" s="10"/>
      <c r="X3150" s="10"/>
      <c r="Y3150" s="10"/>
      <c r="Z3150" s="10"/>
      <c r="AA3150" s="10"/>
      <c r="AB3150" s="10"/>
      <c r="AC3150" s="10"/>
      <c r="AD3150" s="10"/>
      <c r="AE3150" s="10"/>
      <c r="AF3150" s="10"/>
      <c r="AG3150" s="10"/>
      <c r="AH3150" s="10"/>
    </row>
    <row r="3151" spans="1:34" outlineLevel="2">
      <c r="A3151" s="22"/>
      <c r="B3151" s="12" t="str">
        <f>IFERROR(VLOOKUP(D3151,'[1]Перечень товаров'!$A$2:$I9525,2,0),"")</f>
        <v>п25</v>
      </c>
      <c r="C3151" s="12" t="str">
        <f>IFERROR(VLOOKUP(D3151,'[1]Перечень товаров'!$A$2:$I9525,3,0),"")</f>
        <v>Прочее</v>
      </c>
      <c r="D3151" s="22" t="s">
        <v>360</v>
      </c>
      <c r="E3151" s="102"/>
      <c r="F3151" s="102"/>
      <c r="G3151" s="48">
        <v>3</v>
      </c>
      <c r="H3151" s="48"/>
      <c r="I3151" s="49"/>
      <c r="J3151" s="49"/>
      <c r="K3151" s="33"/>
      <c r="L3151" s="20"/>
      <c r="M3151" s="10"/>
      <c r="N3151" s="10"/>
      <c r="O3151" s="10"/>
      <c r="P3151" s="10"/>
      <c r="Q3151" s="10"/>
      <c r="R3151" s="10"/>
      <c r="S3151" s="10"/>
      <c r="T3151" s="10"/>
      <c r="U3151" s="10"/>
      <c r="V3151" s="10"/>
      <c r="W3151" s="10"/>
      <c r="X3151" s="10"/>
      <c r="Y3151" s="10"/>
      <c r="Z3151" s="10"/>
      <c r="AA3151" s="10"/>
      <c r="AB3151" s="10"/>
      <c r="AC3151" s="10"/>
      <c r="AD3151" s="10"/>
      <c r="AE3151" s="10"/>
      <c r="AF3151" s="10"/>
      <c r="AG3151" s="10"/>
      <c r="AH3151" s="10"/>
    </row>
    <row r="3152" spans="1:34" outlineLevel="2">
      <c r="A3152" s="21"/>
      <c r="B3152" s="12" t="str">
        <f>IFERROR(VLOOKUP(D3152,'[1]Перечень товаров'!$A$2:$I9525,2,0),"")</f>
        <v>п26</v>
      </c>
      <c r="C3152" s="12" t="str">
        <f>IFERROR(VLOOKUP(D3152,'[1]Перечень товаров'!$A$2:$I9525,3,0),"")</f>
        <v>Прочее</v>
      </c>
      <c r="D3152" s="22" t="s">
        <v>361</v>
      </c>
      <c r="E3152" s="102"/>
      <c r="F3152" s="102"/>
      <c r="G3152" s="48">
        <v>2</v>
      </c>
      <c r="H3152" s="48"/>
      <c r="I3152" s="49"/>
      <c r="J3152" s="49"/>
      <c r="K3152" s="33"/>
      <c r="L3152" s="20"/>
      <c r="M3152" s="10"/>
      <c r="N3152" s="10"/>
      <c r="O3152" s="10"/>
      <c r="P3152" s="10"/>
      <c r="Q3152" s="10"/>
      <c r="R3152" s="10"/>
      <c r="S3152" s="10"/>
      <c r="T3152" s="10"/>
      <c r="U3152" s="10"/>
      <c r="V3152" s="10"/>
      <c r="W3152" s="10"/>
      <c r="X3152" s="10"/>
      <c r="Y3152" s="10"/>
      <c r="Z3152" s="10"/>
      <c r="AA3152" s="10"/>
      <c r="AB3152" s="10"/>
      <c r="AC3152" s="10"/>
      <c r="AD3152" s="10"/>
      <c r="AE3152" s="10"/>
      <c r="AF3152" s="10"/>
      <c r="AG3152" s="10"/>
      <c r="AH3152" s="10"/>
    </row>
    <row r="3153" spans="1:34" outlineLevel="2">
      <c r="A3153" s="21"/>
      <c r="B3153" s="12" t="str">
        <f>IFERROR(VLOOKUP(D3153,'[1]Перечень товаров'!$A$2:$I9525,2,0),"")</f>
        <v>п27</v>
      </c>
      <c r="C3153" s="12" t="str">
        <f>IFERROR(VLOOKUP(D3153,'[1]Перечень товаров'!$A$2:$I9525,3,0),"")</f>
        <v>Прочее</v>
      </c>
      <c r="D3153" s="22" t="s">
        <v>362</v>
      </c>
      <c r="E3153" s="102"/>
      <c r="F3153" s="102"/>
      <c r="G3153" s="48">
        <v>2</v>
      </c>
      <c r="H3153" s="48"/>
      <c r="I3153" s="49"/>
      <c r="J3153" s="49"/>
      <c r="K3153" s="33"/>
      <c r="L3153" s="20"/>
      <c r="M3153" s="10"/>
      <c r="N3153" s="10"/>
      <c r="O3153" s="10"/>
      <c r="P3153" s="10"/>
      <c r="Q3153" s="10"/>
      <c r="R3153" s="10"/>
      <c r="S3153" s="10"/>
      <c r="T3153" s="10"/>
      <c r="U3153" s="10"/>
      <c r="V3153" s="10"/>
      <c r="W3153" s="10"/>
      <c r="X3153" s="10"/>
      <c r="Y3153" s="10"/>
      <c r="Z3153" s="10"/>
      <c r="AA3153" s="10"/>
      <c r="AB3153" s="10"/>
      <c r="AC3153" s="10"/>
      <c r="AD3153" s="10"/>
      <c r="AE3153" s="10"/>
      <c r="AF3153" s="10"/>
      <c r="AG3153" s="10"/>
      <c r="AH3153" s="10"/>
    </row>
    <row r="3154" spans="1:34" outlineLevel="2">
      <c r="A3154" s="21"/>
      <c r="B3154" s="12" t="str">
        <f>IFERROR(VLOOKUP(D3154,'[1]Перечень товаров'!$A$2:$I9525,2,0),"")</f>
        <v>п28</v>
      </c>
      <c r="C3154" s="12" t="str">
        <f>IFERROR(VLOOKUP(D3154,'[1]Перечень товаров'!$A$2:$I9525,3,0),"")</f>
        <v>Прочее</v>
      </c>
      <c r="D3154" s="22" t="s">
        <v>363</v>
      </c>
      <c r="E3154" s="102"/>
      <c r="F3154" s="102"/>
      <c r="G3154" s="48">
        <v>1</v>
      </c>
      <c r="H3154" s="48"/>
      <c r="I3154" s="49"/>
      <c r="J3154" s="49"/>
      <c r="K3154" s="33"/>
      <c r="L3154" s="20"/>
      <c r="M3154" s="10"/>
      <c r="N3154" s="10"/>
      <c r="O3154" s="10"/>
      <c r="P3154" s="10"/>
      <c r="Q3154" s="10"/>
      <c r="R3154" s="10"/>
      <c r="S3154" s="10"/>
      <c r="T3154" s="10"/>
      <c r="U3154" s="10"/>
      <c r="V3154" s="10"/>
      <c r="W3154" s="10"/>
      <c r="X3154" s="10"/>
      <c r="Y3154" s="10"/>
      <c r="Z3154" s="10"/>
      <c r="AA3154" s="10"/>
      <c r="AB3154" s="10"/>
      <c r="AC3154" s="10"/>
      <c r="AD3154" s="10"/>
      <c r="AE3154" s="10"/>
      <c r="AF3154" s="10"/>
      <c r="AG3154" s="10"/>
      <c r="AH3154" s="10"/>
    </row>
    <row r="3155" spans="1:34" outlineLevel="2">
      <c r="A3155" s="21"/>
      <c r="B3155" s="12" t="str">
        <f>IFERROR(VLOOKUP(D3155,'[1]Перечень товаров'!$A$2:$I9525,2,0),"")</f>
        <v>п29</v>
      </c>
      <c r="C3155" s="12" t="str">
        <f>IFERROR(VLOOKUP(D3155,'[1]Перечень товаров'!$A$2:$I9525,3,0),"")</f>
        <v>Прочее</v>
      </c>
      <c r="D3155" s="22" t="s">
        <v>364</v>
      </c>
      <c r="E3155" s="102"/>
      <c r="F3155" s="102"/>
      <c r="G3155" s="48">
        <v>6</v>
      </c>
      <c r="H3155" s="48"/>
      <c r="I3155" s="49"/>
      <c r="J3155" s="49"/>
      <c r="K3155" s="33"/>
      <c r="L3155" s="20"/>
      <c r="M3155" s="10"/>
      <c r="N3155" s="10"/>
      <c r="O3155" s="10"/>
      <c r="P3155" s="10"/>
      <c r="Q3155" s="10"/>
      <c r="R3155" s="10"/>
      <c r="S3155" s="10"/>
      <c r="T3155" s="10"/>
      <c r="U3155" s="10"/>
      <c r="V3155" s="10"/>
      <c r="W3155" s="10"/>
      <c r="X3155" s="10"/>
      <c r="Y3155" s="10"/>
      <c r="Z3155" s="10"/>
      <c r="AA3155" s="10"/>
      <c r="AB3155" s="10"/>
      <c r="AC3155" s="10"/>
      <c r="AD3155" s="10"/>
      <c r="AE3155" s="10"/>
      <c r="AF3155" s="10"/>
      <c r="AG3155" s="10"/>
      <c r="AH3155" s="10"/>
    </row>
    <row r="3156" spans="1:34" outlineLevel="2">
      <c r="A3156" s="21"/>
      <c r="B3156" s="12" t="str">
        <f>IFERROR(VLOOKUP(D3156,'[1]Перечень товаров'!$A$2:$I9525,2,0),"")</f>
        <v>п30</v>
      </c>
      <c r="C3156" s="12" t="str">
        <f>IFERROR(VLOOKUP(D3156,'[1]Перечень товаров'!$A$2:$I9525,3,0),"")</f>
        <v>Прочее</v>
      </c>
      <c r="D3156" s="22" t="s">
        <v>365</v>
      </c>
      <c r="E3156" s="102"/>
      <c r="F3156" s="102"/>
      <c r="G3156" s="48">
        <v>2</v>
      </c>
      <c r="H3156" s="48"/>
      <c r="I3156" s="49"/>
      <c r="J3156" s="49"/>
      <c r="K3156" s="33"/>
      <c r="L3156" s="20"/>
      <c r="M3156" s="10"/>
      <c r="N3156" s="10"/>
      <c r="O3156" s="10"/>
      <c r="P3156" s="10"/>
      <c r="Q3156" s="10"/>
      <c r="R3156" s="10"/>
      <c r="S3156" s="10"/>
      <c r="T3156" s="10"/>
      <c r="U3156" s="10"/>
      <c r="V3156" s="10"/>
      <c r="W3156" s="10"/>
      <c r="X3156" s="10"/>
      <c r="Y3156" s="10"/>
      <c r="Z3156" s="10"/>
      <c r="AA3156" s="10"/>
      <c r="AB3156" s="10"/>
      <c r="AC3156" s="10"/>
      <c r="AD3156" s="10"/>
      <c r="AE3156" s="10"/>
      <c r="AF3156" s="10"/>
      <c r="AG3156" s="10"/>
      <c r="AH3156" s="10"/>
    </row>
    <row r="3157" spans="1:34" ht="31.5" outlineLevel="2">
      <c r="A3157" s="21"/>
      <c r="B3157" s="12" t="str">
        <f>IFERROR(VLOOKUP(D3157,'[1]Перечень товаров'!$A$2:$I9525,2,0),"")</f>
        <v>п31</v>
      </c>
      <c r="C3157" s="12" t="str">
        <f>IFERROR(VLOOKUP(D3157,'[1]Перечень товаров'!$A$2:$I9525,3,0),"")</f>
        <v>Прочее</v>
      </c>
      <c r="D3157" s="22" t="s">
        <v>366</v>
      </c>
      <c r="E3157" s="102"/>
      <c r="F3157" s="102"/>
      <c r="G3157" s="48">
        <v>1</v>
      </c>
      <c r="H3157" s="48"/>
      <c r="I3157" s="49"/>
      <c r="J3157" s="49"/>
      <c r="K3157" s="33"/>
      <c r="L3157" s="20"/>
      <c r="M3157" s="10"/>
      <c r="N3157" s="10"/>
      <c r="O3157" s="10"/>
      <c r="P3157" s="10"/>
      <c r="Q3157" s="10"/>
      <c r="R3157" s="10"/>
      <c r="S3157" s="10"/>
      <c r="T3157" s="10"/>
      <c r="U3157" s="10"/>
      <c r="V3157" s="10"/>
      <c r="W3157" s="10"/>
      <c r="X3157" s="10"/>
      <c r="Y3157" s="10"/>
      <c r="Z3157" s="10"/>
      <c r="AA3157" s="10"/>
      <c r="AB3157" s="10"/>
      <c r="AC3157" s="10"/>
      <c r="AD3157" s="10"/>
      <c r="AE3157" s="10"/>
      <c r="AF3157" s="10"/>
      <c r="AG3157" s="10"/>
      <c r="AH3157" s="10"/>
    </row>
    <row r="3158" spans="1:34" ht="31.5" outlineLevel="2">
      <c r="A3158" s="21"/>
      <c r="B3158" s="12" t="str">
        <f>IFERROR(VLOOKUP(D3158,'[1]Перечень товаров'!$A$2:$I9525,2,0),"")</f>
        <v>п32</v>
      </c>
      <c r="C3158" s="12" t="str">
        <f>IFERROR(VLOOKUP(D3158,'[1]Перечень товаров'!$A$2:$I9525,3,0),"")</f>
        <v>Прочее</v>
      </c>
      <c r="D3158" s="22" t="s">
        <v>367</v>
      </c>
      <c r="E3158" s="102"/>
      <c r="F3158" s="102"/>
      <c r="G3158" s="48">
        <v>2</v>
      </c>
      <c r="H3158" s="48"/>
      <c r="I3158" s="49"/>
      <c r="J3158" s="49"/>
      <c r="K3158" s="33"/>
      <c r="L3158" s="20"/>
      <c r="M3158" s="10"/>
      <c r="N3158" s="10"/>
      <c r="O3158" s="10"/>
      <c r="P3158" s="10"/>
      <c r="Q3158" s="10"/>
      <c r="R3158" s="10"/>
      <c r="S3158" s="10"/>
      <c r="T3158" s="10"/>
      <c r="U3158" s="10"/>
      <c r="V3158" s="10"/>
      <c r="W3158" s="10"/>
      <c r="X3158" s="10"/>
      <c r="Y3158" s="10"/>
      <c r="Z3158" s="10"/>
      <c r="AA3158" s="10"/>
      <c r="AB3158" s="10"/>
      <c r="AC3158" s="10"/>
      <c r="AD3158" s="10"/>
      <c r="AE3158" s="10"/>
      <c r="AF3158" s="10"/>
      <c r="AG3158" s="10"/>
      <c r="AH3158" s="10"/>
    </row>
    <row r="3159" spans="1:34" ht="12.75" outlineLevel="1">
      <c r="A3159" s="11"/>
      <c r="B3159" s="12" t="str">
        <f>IFERROR(VLOOKUP(D3159,'[1]Перечень товаров'!$A$2:$I9525,2,0),"")</f>
        <v/>
      </c>
      <c r="C3159" s="12" t="str">
        <f>IFERROR(VLOOKUP(D3159,'[1]Перечень товаров'!$A$2:$I9525,3,0),"")</f>
        <v/>
      </c>
      <c r="D3159" s="27" t="s">
        <v>528</v>
      </c>
      <c r="E3159" s="14">
        <v>7</v>
      </c>
      <c r="F3159" s="14"/>
      <c r="G3159" s="17"/>
      <c r="H3159" s="17"/>
      <c r="I3159" s="57"/>
      <c r="J3159" s="57"/>
      <c r="K3159" s="19"/>
      <c r="L3159" s="20"/>
      <c r="M3159" s="10"/>
      <c r="N3159" s="10"/>
      <c r="O3159" s="10"/>
      <c r="P3159" s="10"/>
      <c r="Q3159" s="10"/>
      <c r="R3159" s="10"/>
      <c r="S3159" s="10"/>
      <c r="T3159" s="10"/>
      <c r="U3159" s="10"/>
      <c r="V3159" s="10"/>
      <c r="W3159" s="10"/>
      <c r="X3159" s="10"/>
      <c r="Y3159" s="10"/>
      <c r="Z3159" s="10"/>
      <c r="AA3159" s="10"/>
      <c r="AB3159" s="10"/>
      <c r="AC3159" s="10"/>
      <c r="AD3159" s="10"/>
      <c r="AE3159" s="10"/>
      <c r="AF3159" s="10"/>
      <c r="AG3159" s="10"/>
      <c r="AH3159" s="10"/>
    </row>
    <row r="3160" spans="1:34" outlineLevel="2">
      <c r="A3160" s="22"/>
      <c r="B3160" s="12" t="str">
        <f>IFERROR(VLOOKUP(D3160,'[1]Перечень товаров'!$A$2:$I9525,2,0),"")</f>
        <v>п25</v>
      </c>
      <c r="C3160" s="12" t="str">
        <f>IFERROR(VLOOKUP(D3160,'[1]Перечень товаров'!$A$2:$I9525,3,0),"")</f>
        <v>Прочее</v>
      </c>
      <c r="D3160" s="22" t="s">
        <v>360</v>
      </c>
      <c r="E3160" s="102"/>
      <c r="F3160" s="102"/>
      <c r="G3160" s="48">
        <v>3</v>
      </c>
      <c r="H3160" s="48"/>
      <c r="I3160" s="49"/>
      <c r="J3160" s="49"/>
      <c r="K3160" s="19"/>
      <c r="L3160" s="20"/>
      <c r="M3160" s="10"/>
      <c r="N3160" s="10"/>
      <c r="O3160" s="10"/>
      <c r="P3160" s="10"/>
      <c r="Q3160" s="10"/>
      <c r="R3160" s="10"/>
      <c r="S3160" s="10"/>
      <c r="T3160" s="10"/>
      <c r="U3160" s="10"/>
      <c r="V3160" s="10"/>
      <c r="W3160" s="10"/>
      <c r="X3160" s="10"/>
      <c r="Y3160" s="10"/>
      <c r="Z3160" s="10"/>
      <c r="AA3160" s="10"/>
      <c r="AB3160" s="10"/>
      <c r="AC3160" s="10"/>
      <c r="AD3160" s="10"/>
      <c r="AE3160" s="10"/>
      <c r="AF3160" s="10"/>
      <c r="AG3160" s="10"/>
      <c r="AH3160" s="10"/>
    </row>
    <row r="3161" spans="1:34" outlineLevel="2">
      <c r="A3161" s="21"/>
      <c r="B3161" s="12" t="str">
        <f>IFERROR(VLOOKUP(D3161,'[1]Перечень товаров'!$A$2:$I9525,2,0),"")</f>
        <v>п26</v>
      </c>
      <c r="C3161" s="12" t="str">
        <f>IFERROR(VLOOKUP(D3161,'[1]Перечень товаров'!$A$2:$I9525,3,0),"")</f>
        <v>Прочее</v>
      </c>
      <c r="D3161" s="22" t="s">
        <v>361</v>
      </c>
      <c r="E3161" s="102"/>
      <c r="F3161" s="102"/>
      <c r="G3161" s="48">
        <v>2</v>
      </c>
      <c r="H3161" s="48"/>
      <c r="I3161" s="49"/>
      <c r="J3161" s="49"/>
      <c r="K3161" s="19"/>
      <c r="L3161" s="20"/>
      <c r="M3161" s="10"/>
      <c r="N3161" s="10"/>
      <c r="O3161" s="10"/>
      <c r="P3161" s="10"/>
      <c r="Q3161" s="10"/>
      <c r="R3161" s="10"/>
      <c r="S3161" s="10"/>
      <c r="T3161" s="10"/>
      <c r="U3161" s="10"/>
      <c r="V3161" s="10"/>
      <c r="W3161" s="10"/>
      <c r="X3161" s="10"/>
      <c r="Y3161" s="10"/>
      <c r="Z3161" s="10"/>
      <c r="AA3161" s="10"/>
      <c r="AB3161" s="10"/>
      <c r="AC3161" s="10"/>
      <c r="AD3161" s="10"/>
      <c r="AE3161" s="10"/>
      <c r="AF3161" s="10"/>
      <c r="AG3161" s="10"/>
      <c r="AH3161" s="10"/>
    </row>
    <row r="3162" spans="1:34" outlineLevel="2">
      <c r="A3162" s="21"/>
      <c r="B3162" s="12" t="str">
        <f>IFERROR(VLOOKUP(D3162,'[1]Перечень товаров'!$A$2:$I9525,2,0),"")</f>
        <v>п27</v>
      </c>
      <c r="C3162" s="12" t="str">
        <f>IFERROR(VLOOKUP(D3162,'[1]Перечень товаров'!$A$2:$I9525,3,0),"")</f>
        <v>Прочее</v>
      </c>
      <c r="D3162" s="22" t="s">
        <v>362</v>
      </c>
      <c r="E3162" s="102"/>
      <c r="F3162" s="102"/>
      <c r="G3162" s="48">
        <v>2</v>
      </c>
      <c r="H3162" s="48"/>
      <c r="I3162" s="49"/>
      <c r="J3162" s="49"/>
      <c r="K3162" s="19"/>
      <c r="L3162" s="20"/>
      <c r="M3162" s="10"/>
      <c r="N3162" s="10"/>
      <c r="O3162" s="10"/>
      <c r="P3162" s="10"/>
      <c r="Q3162" s="10"/>
      <c r="R3162" s="10"/>
      <c r="S3162" s="10"/>
      <c r="T3162" s="10"/>
      <c r="U3162" s="10"/>
      <c r="V3162" s="10"/>
      <c r="W3162" s="10"/>
      <c r="X3162" s="10"/>
      <c r="Y3162" s="10"/>
      <c r="Z3162" s="10"/>
      <c r="AA3162" s="10"/>
      <c r="AB3162" s="10"/>
      <c r="AC3162" s="10"/>
      <c r="AD3162" s="10"/>
      <c r="AE3162" s="10"/>
      <c r="AF3162" s="10"/>
      <c r="AG3162" s="10"/>
      <c r="AH3162" s="10"/>
    </row>
    <row r="3163" spans="1:34" outlineLevel="2">
      <c r="A3163" s="21"/>
      <c r="B3163" s="12" t="str">
        <f>IFERROR(VLOOKUP(D3163,'[1]Перечень товаров'!$A$2:$I9525,2,0),"")</f>
        <v>п28</v>
      </c>
      <c r="C3163" s="12" t="str">
        <f>IFERROR(VLOOKUP(D3163,'[1]Перечень товаров'!$A$2:$I9525,3,0),"")</f>
        <v>Прочее</v>
      </c>
      <c r="D3163" s="22" t="s">
        <v>363</v>
      </c>
      <c r="E3163" s="102"/>
      <c r="F3163" s="102"/>
      <c r="G3163" s="48">
        <v>1</v>
      </c>
      <c r="H3163" s="48"/>
      <c r="I3163" s="49"/>
      <c r="J3163" s="49"/>
      <c r="K3163" s="19"/>
      <c r="L3163" s="20"/>
      <c r="M3163" s="10"/>
      <c r="N3163" s="10"/>
      <c r="O3163" s="10"/>
      <c r="P3163" s="10"/>
      <c r="Q3163" s="10"/>
      <c r="R3163" s="10"/>
      <c r="S3163" s="10"/>
      <c r="T3163" s="10"/>
      <c r="U3163" s="10"/>
      <c r="V3163" s="10"/>
      <c r="W3163" s="10"/>
      <c r="X3163" s="10"/>
      <c r="Y3163" s="10"/>
      <c r="Z3163" s="10"/>
      <c r="AA3163" s="10"/>
      <c r="AB3163" s="10"/>
      <c r="AC3163" s="10"/>
      <c r="AD3163" s="10"/>
      <c r="AE3163" s="10"/>
      <c r="AF3163" s="10"/>
      <c r="AG3163" s="10"/>
      <c r="AH3163" s="10"/>
    </row>
    <row r="3164" spans="1:34" outlineLevel="2">
      <c r="A3164" s="21"/>
      <c r="B3164" s="12" t="str">
        <f>IFERROR(VLOOKUP(D3164,'[1]Перечень товаров'!$A$2:$I9525,2,0),"")</f>
        <v>п29</v>
      </c>
      <c r="C3164" s="12" t="str">
        <f>IFERROR(VLOOKUP(D3164,'[1]Перечень товаров'!$A$2:$I9525,3,0),"")</f>
        <v>Прочее</v>
      </c>
      <c r="D3164" s="22" t="s">
        <v>364</v>
      </c>
      <c r="E3164" s="102"/>
      <c r="F3164" s="102"/>
      <c r="G3164" s="48">
        <v>6</v>
      </c>
      <c r="H3164" s="48"/>
      <c r="I3164" s="49"/>
      <c r="J3164" s="49"/>
      <c r="K3164" s="19"/>
      <c r="L3164" s="20"/>
      <c r="M3164" s="10"/>
      <c r="N3164" s="10"/>
      <c r="O3164" s="10"/>
      <c r="P3164" s="10"/>
      <c r="Q3164" s="10"/>
      <c r="R3164" s="10"/>
      <c r="S3164" s="10"/>
      <c r="T3164" s="10"/>
      <c r="U3164" s="10"/>
      <c r="V3164" s="10"/>
      <c r="W3164" s="10"/>
      <c r="X3164" s="10"/>
      <c r="Y3164" s="10"/>
      <c r="Z3164" s="10"/>
      <c r="AA3164" s="10"/>
      <c r="AB3164" s="10"/>
      <c r="AC3164" s="10"/>
      <c r="AD3164" s="10"/>
      <c r="AE3164" s="10"/>
      <c r="AF3164" s="10"/>
      <c r="AG3164" s="10"/>
      <c r="AH3164" s="10"/>
    </row>
    <row r="3165" spans="1:34" outlineLevel="2">
      <c r="A3165" s="21"/>
      <c r="B3165" s="12" t="str">
        <f>IFERROR(VLOOKUP(D3165,'[1]Перечень товаров'!$A$2:$I9525,2,0),"")</f>
        <v>п30</v>
      </c>
      <c r="C3165" s="12" t="str">
        <f>IFERROR(VLOOKUP(D3165,'[1]Перечень товаров'!$A$2:$I9525,3,0),"")</f>
        <v>Прочее</v>
      </c>
      <c r="D3165" s="22" t="s">
        <v>365</v>
      </c>
      <c r="E3165" s="102"/>
      <c r="F3165" s="102"/>
      <c r="G3165" s="48">
        <v>2</v>
      </c>
      <c r="H3165" s="48"/>
      <c r="I3165" s="49"/>
      <c r="J3165" s="49"/>
      <c r="K3165" s="19"/>
      <c r="L3165" s="20"/>
      <c r="M3165" s="10"/>
      <c r="N3165" s="10"/>
      <c r="O3165" s="10"/>
      <c r="P3165" s="10"/>
      <c r="Q3165" s="10"/>
      <c r="R3165" s="10"/>
      <c r="S3165" s="10"/>
      <c r="T3165" s="10"/>
      <c r="U3165" s="10"/>
      <c r="V3165" s="10"/>
      <c r="W3165" s="10"/>
      <c r="X3165" s="10"/>
      <c r="Y3165" s="10"/>
      <c r="Z3165" s="10"/>
      <c r="AA3165" s="10"/>
      <c r="AB3165" s="10"/>
      <c r="AC3165" s="10"/>
      <c r="AD3165" s="10"/>
      <c r="AE3165" s="10"/>
      <c r="AF3165" s="10"/>
      <c r="AG3165" s="10"/>
      <c r="AH3165" s="10"/>
    </row>
    <row r="3166" spans="1:34" ht="31.5" outlineLevel="2">
      <c r="A3166" s="21"/>
      <c r="B3166" s="12" t="str">
        <f>IFERROR(VLOOKUP(D3166,'[1]Перечень товаров'!$A$2:$I9525,2,0),"")</f>
        <v>п31</v>
      </c>
      <c r="C3166" s="12" t="str">
        <f>IFERROR(VLOOKUP(D3166,'[1]Перечень товаров'!$A$2:$I9525,3,0),"")</f>
        <v>Прочее</v>
      </c>
      <c r="D3166" s="22" t="s">
        <v>366</v>
      </c>
      <c r="E3166" s="102"/>
      <c r="F3166" s="102"/>
      <c r="G3166" s="48">
        <v>1</v>
      </c>
      <c r="H3166" s="48"/>
      <c r="I3166" s="49"/>
      <c r="J3166" s="49"/>
      <c r="K3166" s="19"/>
      <c r="L3166" s="20"/>
      <c r="M3166" s="10"/>
      <c r="N3166" s="10"/>
      <c r="O3166" s="10"/>
      <c r="P3166" s="10"/>
      <c r="Q3166" s="10"/>
      <c r="R3166" s="10"/>
      <c r="S3166" s="10"/>
      <c r="T3166" s="10"/>
      <c r="U3166" s="10"/>
      <c r="V3166" s="10"/>
      <c r="W3166" s="10"/>
      <c r="X3166" s="10"/>
      <c r="Y3166" s="10"/>
      <c r="Z3166" s="10"/>
      <c r="AA3166" s="10"/>
      <c r="AB3166" s="10"/>
      <c r="AC3166" s="10"/>
      <c r="AD3166" s="10"/>
      <c r="AE3166" s="10"/>
      <c r="AF3166" s="10"/>
      <c r="AG3166" s="10"/>
      <c r="AH3166" s="10"/>
    </row>
    <row r="3167" spans="1:34" ht="31.5" outlineLevel="2">
      <c r="A3167" s="21"/>
      <c r="B3167" s="12" t="str">
        <f>IFERROR(VLOOKUP(D3167,'[1]Перечень товаров'!$A$2:$I9525,2,0),"")</f>
        <v>п32</v>
      </c>
      <c r="C3167" s="12" t="str">
        <f>IFERROR(VLOOKUP(D3167,'[1]Перечень товаров'!$A$2:$I9525,3,0),"")</f>
        <v>Прочее</v>
      </c>
      <c r="D3167" s="22" t="s">
        <v>367</v>
      </c>
      <c r="E3167" s="102"/>
      <c r="F3167" s="102"/>
      <c r="G3167" s="48">
        <v>2</v>
      </c>
      <c r="H3167" s="48"/>
      <c r="I3167" s="49"/>
      <c r="J3167" s="49"/>
      <c r="K3167" s="19"/>
      <c r="L3167" s="20"/>
      <c r="M3167" s="10"/>
      <c r="N3167" s="10"/>
      <c r="O3167" s="10"/>
      <c r="P3167" s="10"/>
      <c r="Q3167" s="10"/>
      <c r="R3167" s="10"/>
      <c r="S3167" s="10"/>
      <c r="T3167" s="10"/>
      <c r="U3167" s="10"/>
      <c r="V3167" s="10"/>
      <c r="W3167" s="10"/>
      <c r="X3167" s="10"/>
      <c r="Y3167" s="10"/>
      <c r="Z3167" s="10"/>
      <c r="AA3167" s="10"/>
      <c r="AB3167" s="10"/>
      <c r="AC3167" s="10"/>
      <c r="AD3167" s="10"/>
      <c r="AE3167" s="10"/>
      <c r="AF3167" s="10"/>
      <c r="AG3167" s="10"/>
      <c r="AH3167" s="10"/>
    </row>
    <row r="3168" spans="1:34" ht="12.75" outlineLevel="1">
      <c r="A3168" s="11"/>
      <c r="B3168" s="12" t="str">
        <f>IFERROR(VLOOKUP(D3168,'[1]Перечень товаров'!$A$2:$I9525,2,0),"")</f>
        <v/>
      </c>
      <c r="C3168" s="12" t="str">
        <f>IFERROR(VLOOKUP(D3168,'[1]Перечень товаров'!$A$2:$I9525,3,0),"")</f>
        <v/>
      </c>
      <c r="D3168" s="27" t="s">
        <v>969</v>
      </c>
      <c r="E3168" s="14">
        <v>127.8</v>
      </c>
      <c r="F3168" s="14"/>
      <c r="G3168" s="17"/>
      <c r="H3168" s="17"/>
      <c r="I3168" s="57"/>
      <c r="J3168" s="57"/>
      <c r="K3168" s="19"/>
      <c r="L3168" s="20"/>
      <c r="M3168" s="10"/>
      <c r="N3168" s="10"/>
      <c r="O3168" s="10"/>
      <c r="P3168" s="10"/>
      <c r="Q3168" s="10"/>
      <c r="R3168" s="10"/>
      <c r="S3168" s="10"/>
      <c r="T3168" s="10"/>
      <c r="U3168" s="10"/>
      <c r="V3168" s="10"/>
      <c r="W3168" s="10"/>
      <c r="X3168" s="10"/>
      <c r="Y3168" s="10"/>
      <c r="Z3168" s="10"/>
      <c r="AA3168" s="10"/>
      <c r="AB3168" s="10"/>
      <c r="AC3168" s="10"/>
      <c r="AD3168" s="10"/>
      <c r="AE3168" s="10"/>
      <c r="AF3168" s="10"/>
      <c r="AG3168" s="10"/>
      <c r="AH3168" s="10"/>
    </row>
    <row r="3169" spans="1:34" outlineLevel="2">
      <c r="A3169" s="43"/>
      <c r="B3169" s="12" t="str">
        <f>IFERROR(VLOOKUP(D3169,'[1]Перечень товаров'!$A$2:$I9525,2,0),"")</f>
        <v>м182</v>
      </c>
      <c r="C3169" s="12" t="str">
        <f>IFERROR(VLOOKUP(D3169,'[1]Перечень товаров'!$A$2:$I9525,3,0),"")</f>
        <v>мебель</v>
      </c>
      <c r="D3169" s="44" t="s">
        <v>970</v>
      </c>
      <c r="E3169" s="23"/>
      <c r="F3169" s="23"/>
      <c r="G3169" s="24">
        <v>2</v>
      </c>
      <c r="H3169" s="24"/>
      <c r="I3169" s="25"/>
      <c r="J3169" s="25"/>
      <c r="K3169" s="19"/>
      <c r="L3169" s="20"/>
      <c r="M3169" s="10"/>
      <c r="N3169" s="10"/>
      <c r="O3169" s="10"/>
      <c r="P3169" s="10"/>
      <c r="Q3169" s="10"/>
      <c r="R3169" s="10"/>
      <c r="S3169" s="10"/>
      <c r="T3169" s="10"/>
      <c r="U3169" s="10"/>
      <c r="V3169" s="10"/>
      <c r="W3169" s="10"/>
      <c r="X3169" s="10"/>
      <c r="Y3169" s="10"/>
      <c r="Z3169" s="10"/>
      <c r="AA3169" s="10"/>
      <c r="AB3169" s="10"/>
      <c r="AC3169" s="10"/>
      <c r="AD3169" s="10"/>
      <c r="AE3169" s="10"/>
      <c r="AF3169" s="10"/>
      <c r="AG3169" s="10"/>
      <c r="AH3169" s="10"/>
    </row>
    <row r="3170" spans="1:34" outlineLevel="2">
      <c r="A3170" s="43"/>
      <c r="B3170" s="12" t="str">
        <f>IFERROR(VLOOKUP(D3170,'[1]Перечень товаров'!$A$2:$I9525,2,0),"")</f>
        <v>м181</v>
      </c>
      <c r="C3170" s="12" t="str">
        <f>IFERROR(VLOOKUP(D3170,'[1]Перечень товаров'!$A$2:$I9525,3,0),"")</f>
        <v>мебель</v>
      </c>
      <c r="D3170" s="44" t="s">
        <v>971</v>
      </c>
      <c r="E3170" s="23"/>
      <c r="F3170" s="23"/>
      <c r="G3170" s="24">
        <v>10</v>
      </c>
      <c r="H3170" s="24"/>
      <c r="I3170" s="25"/>
      <c r="J3170" s="25"/>
      <c r="K3170" s="19"/>
      <c r="L3170" s="20"/>
      <c r="M3170" s="10"/>
      <c r="N3170" s="10"/>
      <c r="O3170" s="10"/>
      <c r="P3170" s="10"/>
      <c r="Q3170" s="10"/>
      <c r="R3170" s="10"/>
      <c r="S3170" s="10"/>
      <c r="T3170" s="10"/>
      <c r="U3170" s="10"/>
      <c r="V3170" s="10"/>
      <c r="W3170" s="10"/>
      <c r="X3170" s="10"/>
      <c r="Y3170" s="10"/>
      <c r="Z3170" s="10"/>
      <c r="AA3170" s="10"/>
      <c r="AB3170" s="10"/>
      <c r="AC3170" s="10"/>
      <c r="AD3170" s="10"/>
      <c r="AE3170" s="10"/>
      <c r="AF3170" s="10"/>
      <c r="AG3170" s="10"/>
      <c r="AH3170" s="10"/>
    </row>
    <row r="3171" spans="1:34" outlineLevel="2">
      <c r="A3171" s="43"/>
      <c r="B3171" s="12" t="str">
        <f>IFERROR(VLOOKUP(D3171,'[1]Перечень товаров'!$A$2:$I9525,2,0),"")</f>
        <v>м180</v>
      </c>
      <c r="C3171" s="12" t="str">
        <f>IFERROR(VLOOKUP(D3171,'[1]Перечень товаров'!$A$2:$I9525,3,0),"")</f>
        <v>мебель</v>
      </c>
      <c r="D3171" s="44" t="s">
        <v>972</v>
      </c>
      <c r="E3171" s="23"/>
      <c r="F3171" s="23"/>
      <c r="G3171" s="24">
        <v>5</v>
      </c>
      <c r="H3171" s="24"/>
      <c r="I3171" s="25"/>
      <c r="J3171" s="25"/>
      <c r="K3171" s="19"/>
      <c r="L3171" s="20"/>
      <c r="M3171" s="10"/>
      <c r="N3171" s="10"/>
      <c r="O3171" s="10"/>
      <c r="P3171" s="10"/>
      <c r="Q3171" s="10"/>
      <c r="R3171" s="10"/>
      <c r="S3171" s="10"/>
      <c r="T3171" s="10"/>
      <c r="U3171" s="10"/>
      <c r="V3171" s="10"/>
      <c r="W3171" s="10"/>
      <c r="X3171" s="10"/>
      <c r="Y3171" s="10"/>
      <c r="Z3171" s="10"/>
      <c r="AA3171" s="10"/>
      <c r="AB3171" s="10"/>
      <c r="AC3171" s="10"/>
      <c r="AD3171" s="10"/>
      <c r="AE3171" s="10"/>
      <c r="AF3171" s="10"/>
      <c r="AG3171" s="10"/>
      <c r="AH3171" s="10"/>
    </row>
    <row r="3172" spans="1:34" outlineLevel="2">
      <c r="A3172" s="43"/>
      <c r="B3172" s="12" t="str">
        <f>IFERROR(VLOOKUP(D3172,'[1]Перечень товаров'!$A$2:$I9525,2,0),"")</f>
        <v>м179</v>
      </c>
      <c r="C3172" s="12" t="str">
        <f>IFERROR(VLOOKUP(D3172,'[1]Перечень товаров'!$A$2:$I9525,3,0),"")</f>
        <v>мебель</v>
      </c>
      <c r="D3172" s="44" t="s">
        <v>973</v>
      </c>
      <c r="E3172" s="23"/>
      <c r="F3172" s="23"/>
      <c r="G3172" s="24">
        <v>5</v>
      </c>
      <c r="H3172" s="24"/>
      <c r="I3172" s="25"/>
      <c r="J3172" s="25"/>
      <c r="K3172" s="19"/>
      <c r="L3172" s="20"/>
      <c r="M3172" s="10"/>
      <c r="N3172" s="10"/>
      <c r="O3172" s="10"/>
      <c r="P3172" s="10"/>
      <c r="Q3172" s="10"/>
      <c r="R3172" s="10"/>
      <c r="S3172" s="10"/>
      <c r="T3172" s="10"/>
      <c r="U3172" s="10"/>
      <c r="V3172" s="10"/>
      <c r="W3172" s="10"/>
      <c r="X3172" s="10"/>
      <c r="Y3172" s="10"/>
      <c r="Z3172" s="10"/>
      <c r="AA3172" s="10"/>
      <c r="AB3172" s="10"/>
      <c r="AC3172" s="10"/>
      <c r="AD3172" s="10"/>
      <c r="AE3172" s="10"/>
      <c r="AF3172" s="10"/>
      <c r="AG3172" s="10"/>
      <c r="AH3172" s="10"/>
    </row>
    <row r="3173" spans="1:34" outlineLevel="2">
      <c r="A3173" s="43"/>
      <c r="B3173" s="12" t="str">
        <f>IFERROR(VLOOKUP(D3173,'[1]Перечень товаров'!$A$2:$I9525,2,0),"")</f>
        <v>д559</v>
      </c>
      <c r="C3173" s="12" t="str">
        <f>IFERROR(VLOOKUP(D3173,'[1]Перечень товаров'!$A$2:$I9525,3,0),"")</f>
        <v>дидактика</v>
      </c>
      <c r="D3173" s="44" t="s">
        <v>974</v>
      </c>
      <c r="E3173" s="23"/>
      <c r="F3173" s="23"/>
      <c r="G3173" s="24">
        <v>2</v>
      </c>
      <c r="H3173" s="24"/>
      <c r="I3173" s="25"/>
      <c r="J3173" s="25"/>
      <c r="K3173" s="19"/>
      <c r="L3173" s="20"/>
      <c r="M3173" s="10"/>
      <c r="N3173" s="10"/>
      <c r="O3173" s="10"/>
      <c r="P3173" s="10"/>
      <c r="Q3173" s="10"/>
      <c r="R3173" s="10"/>
      <c r="S3173" s="10"/>
      <c r="T3173" s="10"/>
      <c r="U3173" s="10"/>
      <c r="V3173" s="10"/>
      <c r="W3173" s="10"/>
      <c r="X3173" s="10"/>
      <c r="Y3173" s="10"/>
      <c r="Z3173" s="10"/>
      <c r="AA3173" s="10"/>
      <c r="AB3173" s="10"/>
      <c r="AC3173" s="10"/>
      <c r="AD3173" s="10"/>
      <c r="AE3173" s="10"/>
      <c r="AF3173" s="10"/>
      <c r="AG3173" s="10"/>
      <c r="AH3173" s="10"/>
    </row>
    <row r="3174" spans="1:34" outlineLevel="2">
      <c r="A3174" s="43"/>
      <c r="B3174" s="12" t="str">
        <f>IFERROR(VLOOKUP(D3174,'[1]Перечень товаров'!$A$2:$I9525,2,0),"")</f>
        <v>м25</v>
      </c>
      <c r="C3174" s="12" t="str">
        <f>IFERROR(VLOOKUP(D3174,'[1]Перечень товаров'!$A$2:$I9525,3,0),"")</f>
        <v>Мебель</v>
      </c>
      <c r="D3174" s="44" t="s">
        <v>175</v>
      </c>
      <c r="E3174" s="23"/>
      <c r="F3174" s="23"/>
      <c r="G3174" s="24">
        <v>15</v>
      </c>
      <c r="H3174" s="24"/>
      <c r="I3174" s="25"/>
      <c r="J3174" s="25"/>
      <c r="K3174" s="19"/>
      <c r="L3174" s="20"/>
      <c r="M3174" s="10"/>
      <c r="N3174" s="10"/>
      <c r="O3174" s="10"/>
      <c r="P3174" s="10"/>
      <c r="Q3174" s="10"/>
      <c r="R3174" s="10"/>
      <c r="S3174" s="10"/>
      <c r="T3174" s="10"/>
      <c r="U3174" s="10"/>
      <c r="V3174" s="10"/>
      <c r="W3174" s="10"/>
      <c r="X3174" s="10"/>
      <c r="Y3174" s="10"/>
      <c r="Z3174" s="10"/>
      <c r="AA3174" s="10"/>
      <c r="AB3174" s="10"/>
      <c r="AC3174" s="10"/>
      <c r="AD3174" s="10"/>
      <c r="AE3174" s="10"/>
      <c r="AF3174" s="10"/>
      <c r="AG3174" s="10"/>
      <c r="AH3174" s="10"/>
    </row>
    <row r="3175" spans="1:34" outlineLevel="2">
      <c r="A3175" s="43"/>
      <c r="B3175" s="12" t="str">
        <f>IFERROR(VLOOKUP(D3175,'[1]Перечень товаров'!$A$2:$I9525,2,0),"")</f>
        <v>м179</v>
      </c>
      <c r="C3175" s="12" t="str">
        <f>IFERROR(VLOOKUP(D3175,'[1]Перечень товаров'!$A$2:$I9525,3,0),"")</f>
        <v>мебель</v>
      </c>
      <c r="D3175" s="44" t="s">
        <v>975</v>
      </c>
      <c r="E3175" s="23"/>
      <c r="F3175" s="23"/>
      <c r="G3175" s="24">
        <v>5</v>
      </c>
      <c r="H3175" s="24"/>
      <c r="I3175" s="25"/>
      <c r="J3175" s="25"/>
      <c r="K3175" s="19"/>
      <c r="L3175" s="20"/>
      <c r="M3175" s="10"/>
      <c r="N3175" s="10"/>
      <c r="O3175" s="10"/>
      <c r="P3175" s="10"/>
      <c r="Q3175" s="10"/>
      <c r="R3175" s="10"/>
      <c r="S3175" s="10"/>
      <c r="T3175" s="10"/>
      <c r="U3175" s="10"/>
      <c r="V3175" s="10"/>
      <c r="W3175" s="10"/>
      <c r="X3175" s="10"/>
      <c r="Y3175" s="10"/>
      <c r="Z3175" s="10"/>
      <c r="AA3175" s="10"/>
      <c r="AB3175" s="10"/>
      <c r="AC3175" s="10"/>
      <c r="AD3175" s="10"/>
      <c r="AE3175" s="10"/>
      <c r="AF3175" s="10"/>
      <c r="AG3175" s="10"/>
      <c r="AH3175" s="10"/>
    </row>
    <row r="3176" spans="1:34" outlineLevel="2">
      <c r="A3176" s="43"/>
      <c r="B3176" s="12" t="str">
        <f>IFERROR(VLOOKUP(D3176,'[1]Перечень товаров'!$A$2:$I9525,2,0),"")</f>
        <v>м178</v>
      </c>
      <c r="C3176" s="12" t="str">
        <f>IFERROR(VLOOKUP(D3176,'[1]Перечень товаров'!$A$2:$I9525,3,0),"")</f>
        <v>мебель</v>
      </c>
      <c r="D3176" s="44" t="s">
        <v>976</v>
      </c>
      <c r="E3176" s="23"/>
      <c r="F3176" s="23"/>
      <c r="G3176" s="24">
        <v>1</v>
      </c>
      <c r="H3176" s="24"/>
      <c r="I3176" s="25"/>
      <c r="J3176" s="25"/>
      <c r="K3176" s="19"/>
      <c r="L3176" s="20"/>
      <c r="M3176" s="10"/>
      <c r="N3176" s="10"/>
      <c r="O3176" s="10"/>
      <c r="P3176" s="10"/>
      <c r="Q3176" s="10"/>
      <c r="R3176" s="10"/>
      <c r="S3176" s="10"/>
      <c r="T3176" s="10"/>
      <c r="U3176" s="10"/>
      <c r="V3176" s="10"/>
      <c r="W3176" s="10"/>
      <c r="X3176" s="10"/>
      <c r="Y3176" s="10"/>
      <c r="Z3176" s="10"/>
      <c r="AA3176" s="10"/>
      <c r="AB3176" s="10"/>
      <c r="AC3176" s="10"/>
      <c r="AD3176" s="10"/>
      <c r="AE3176" s="10"/>
      <c r="AF3176" s="10"/>
      <c r="AG3176" s="10"/>
      <c r="AH3176" s="10"/>
    </row>
    <row r="3177" spans="1:34" outlineLevel="2">
      <c r="A3177" s="43"/>
      <c r="B3177" s="12" t="str">
        <f>IFERROR(VLOOKUP(D3177,'[1]Перечень товаров'!$A$2:$I9525,2,0),"")</f>
        <v>т175</v>
      </c>
      <c r="C3177" s="12" t="str">
        <f>IFERROR(VLOOKUP(D3177,'[1]Перечень товаров'!$A$2:$I9525,3,0),"")</f>
        <v>техника</v>
      </c>
      <c r="D3177" s="44" t="s">
        <v>977</v>
      </c>
      <c r="E3177" s="23"/>
      <c r="F3177" s="23"/>
      <c r="G3177" s="24">
        <v>1</v>
      </c>
      <c r="H3177" s="24"/>
      <c r="I3177" s="25"/>
      <c r="J3177" s="25"/>
      <c r="K3177" s="19"/>
      <c r="L3177" s="20"/>
      <c r="M3177" s="10"/>
      <c r="N3177" s="10"/>
      <c r="O3177" s="10"/>
      <c r="P3177" s="10"/>
      <c r="Q3177" s="10"/>
      <c r="R3177" s="10"/>
      <c r="S3177" s="10"/>
      <c r="T3177" s="10"/>
      <c r="U3177" s="10"/>
      <c r="V3177" s="10"/>
      <c r="W3177" s="10"/>
      <c r="X3177" s="10"/>
      <c r="Y3177" s="10"/>
      <c r="Z3177" s="10"/>
      <c r="AA3177" s="10"/>
      <c r="AB3177" s="10"/>
      <c r="AC3177" s="10"/>
      <c r="AD3177" s="10"/>
      <c r="AE3177" s="10"/>
      <c r="AF3177" s="10"/>
      <c r="AG3177" s="10"/>
      <c r="AH3177" s="10"/>
    </row>
    <row r="3178" spans="1:34" outlineLevel="2">
      <c r="A3178" s="43"/>
      <c r="B3178" s="12" t="str">
        <f>IFERROR(VLOOKUP(D3178,'[1]Перечень товаров'!$A$2:$I9525,2,0),"")</f>
        <v>т174</v>
      </c>
      <c r="C3178" s="12" t="str">
        <f>IFERROR(VLOOKUP(D3178,'[1]Перечень товаров'!$A$2:$I9525,3,0),"")</f>
        <v>техника</v>
      </c>
      <c r="D3178" s="44" t="s">
        <v>978</v>
      </c>
      <c r="E3178" s="23"/>
      <c r="F3178" s="23"/>
      <c r="G3178" s="24">
        <v>2</v>
      </c>
      <c r="H3178" s="24"/>
      <c r="I3178" s="25"/>
      <c r="J3178" s="25"/>
      <c r="K3178" s="19"/>
      <c r="L3178" s="20"/>
      <c r="M3178" s="10"/>
      <c r="N3178" s="10"/>
      <c r="O3178" s="10"/>
      <c r="P3178" s="10"/>
      <c r="Q3178" s="10"/>
      <c r="R3178" s="10"/>
      <c r="S3178" s="10"/>
      <c r="T3178" s="10"/>
      <c r="U3178" s="10"/>
      <c r="V3178" s="10"/>
      <c r="W3178" s="10"/>
      <c r="X3178" s="10"/>
      <c r="Y3178" s="10"/>
      <c r="Z3178" s="10"/>
      <c r="AA3178" s="10"/>
      <c r="AB3178" s="10"/>
      <c r="AC3178" s="10"/>
      <c r="AD3178" s="10"/>
      <c r="AE3178" s="10"/>
      <c r="AF3178" s="10"/>
      <c r="AG3178" s="10"/>
      <c r="AH3178" s="10"/>
    </row>
    <row r="3179" spans="1:34" outlineLevel="2">
      <c r="A3179" s="43"/>
      <c r="B3179" s="12" t="str">
        <f>IFERROR(VLOOKUP(D3179,'[1]Перечень товаров'!$A$2:$I9525,2,0),"")</f>
        <v>д558</v>
      </c>
      <c r="C3179" s="12" t="str">
        <f>IFERROR(VLOOKUP(D3179,'[1]Перечень товаров'!$A$2:$I9525,3,0),"")</f>
        <v>дидактика</v>
      </c>
      <c r="D3179" s="44" t="s">
        <v>979</v>
      </c>
      <c r="E3179" s="23"/>
      <c r="F3179" s="23"/>
      <c r="G3179" s="24">
        <v>10</v>
      </c>
      <c r="H3179" s="24"/>
      <c r="I3179" s="25"/>
      <c r="J3179" s="25"/>
      <c r="K3179" s="19"/>
      <c r="L3179" s="20"/>
      <c r="M3179" s="10"/>
      <c r="N3179" s="10"/>
      <c r="O3179" s="10"/>
      <c r="P3179" s="10"/>
      <c r="Q3179" s="10"/>
      <c r="R3179" s="10"/>
      <c r="S3179" s="10"/>
      <c r="T3179" s="10"/>
      <c r="U3179" s="10"/>
      <c r="V3179" s="10"/>
      <c r="W3179" s="10"/>
      <c r="X3179" s="10"/>
      <c r="Y3179" s="10"/>
      <c r="Z3179" s="10"/>
      <c r="AA3179" s="10"/>
      <c r="AB3179" s="10"/>
      <c r="AC3179" s="10"/>
      <c r="AD3179" s="10"/>
      <c r="AE3179" s="10"/>
      <c r="AF3179" s="10"/>
      <c r="AG3179" s="10"/>
      <c r="AH3179" s="10"/>
    </row>
    <row r="3180" spans="1:34" outlineLevel="2">
      <c r="A3180" s="43"/>
      <c r="B3180" s="12" t="str">
        <f>IFERROR(VLOOKUP(D3180,'[1]Перечень товаров'!$A$2:$I9525,2,0),"")</f>
        <v>д557</v>
      </c>
      <c r="C3180" s="12" t="str">
        <f>IFERROR(VLOOKUP(D3180,'[1]Перечень товаров'!$A$2:$I9525,3,0),"")</f>
        <v>дидактика</v>
      </c>
      <c r="D3180" s="44" t="s">
        <v>980</v>
      </c>
      <c r="E3180" s="23"/>
      <c r="F3180" s="23"/>
      <c r="G3180" s="24">
        <v>1</v>
      </c>
      <c r="H3180" s="24"/>
      <c r="I3180" s="25"/>
      <c r="J3180" s="25"/>
      <c r="K3180" s="19"/>
      <c r="L3180" s="20"/>
      <c r="M3180" s="10"/>
      <c r="N3180" s="10"/>
      <c r="O3180" s="10"/>
      <c r="P3180" s="10"/>
      <c r="Q3180" s="10"/>
      <c r="R3180" s="10"/>
      <c r="S3180" s="10"/>
      <c r="T3180" s="10"/>
      <c r="U3180" s="10"/>
      <c r="V3180" s="10"/>
      <c r="W3180" s="10"/>
      <c r="X3180" s="10"/>
      <c r="Y3180" s="10"/>
      <c r="Z3180" s="10"/>
      <c r="AA3180" s="10"/>
      <c r="AB3180" s="10"/>
      <c r="AC3180" s="10"/>
      <c r="AD3180" s="10"/>
      <c r="AE3180" s="10"/>
      <c r="AF3180" s="10"/>
      <c r="AG3180" s="10"/>
      <c r="AH3180" s="10"/>
    </row>
    <row r="3181" spans="1:34" ht="12.75" outlineLevel="1">
      <c r="A3181" s="209"/>
      <c r="B3181" s="12" t="str">
        <f>IFERROR(VLOOKUP(D3181,'[1]Перечень товаров'!$A$2:$I9525,2,0),"")</f>
        <v/>
      </c>
      <c r="C3181" s="12" t="str">
        <f>IFERROR(VLOOKUP(D3181,'[1]Перечень товаров'!$A$2:$I9525,3,0),"")</f>
        <v/>
      </c>
      <c r="D3181" s="210" t="s">
        <v>981</v>
      </c>
      <c r="E3181" s="91">
        <v>40.799999999999997</v>
      </c>
      <c r="F3181" s="91"/>
      <c r="G3181" s="17"/>
      <c r="H3181" s="17"/>
      <c r="I3181" s="57"/>
      <c r="J3181" s="57"/>
      <c r="K3181" s="19"/>
      <c r="L3181" s="20"/>
      <c r="M3181" s="10"/>
      <c r="N3181" s="10"/>
      <c r="O3181" s="10"/>
      <c r="P3181" s="10"/>
      <c r="Q3181" s="10"/>
      <c r="R3181" s="10"/>
      <c r="S3181" s="10"/>
      <c r="T3181" s="10"/>
      <c r="U3181" s="10"/>
      <c r="V3181" s="10"/>
      <c r="W3181" s="10"/>
      <c r="X3181" s="10"/>
      <c r="Y3181" s="10"/>
      <c r="Z3181" s="10"/>
      <c r="AA3181" s="10"/>
      <c r="AB3181" s="10"/>
      <c r="AC3181" s="10"/>
      <c r="AD3181" s="10"/>
      <c r="AE3181" s="10"/>
      <c r="AF3181" s="10"/>
      <c r="AG3181" s="10"/>
      <c r="AH3181" s="10"/>
    </row>
    <row r="3182" spans="1:34" ht="15" outlineLevel="2">
      <c r="A3182" s="109"/>
      <c r="B3182" s="12" t="str">
        <f>IFERROR(VLOOKUP(D3182,'[1]Перечень товаров'!$A$2:$I9525,2,0),"")</f>
        <v/>
      </c>
      <c r="C3182" s="12" t="str">
        <f>IFERROR(VLOOKUP(D3182,'[1]Перечень товаров'!$A$2:$I9525,3,0),"")</f>
        <v/>
      </c>
      <c r="D3182" s="110" t="s">
        <v>27</v>
      </c>
      <c r="E3182" s="115"/>
      <c r="F3182" s="115"/>
      <c r="G3182" s="211"/>
      <c r="H3182" s="211"/>
      <c r="I3182" s="212"/>
      <c r="J3182" s="212"/>
      <c r="K3182" s="19"/>
      <c r="L3182" s="20"/>
      <c r="M3182" s="10"/>
      <c r="N3182" s="10"/>
      <c r="O3182" s="10"/>
      <c r="P3182" s="10"/>
      <c r="Q3182" s="10"/>
      <c r="R3182" s="10"/>
      <c r="S3182" s="10"/>
      <c r="T3182" s="10"/>
      <c r="U3182" s="10"/>
      <c r="V3182" s="10"/>
      <c r="W3182" s="10"/>
      <c r="X3182" s="10"/>
      <c r="Y3182" s="10"/>
      <c r="Z3182" s="10"/>
      <c r="AA3182" s="10"/>
      <c r="AB3182" s="10"/>
      <c r="AC3182" s="10"/>
      <c r="AD3182" s="10"/>
      <c r="AE3182" s="10"/>
      <c r="AF3182" s="10"/>
      <c r="AG3182" s="10"/>
      <c r="AH3182" s="10"/>
    </row>
    <row r="3183" spans="1:34" outlineLevel="2">
      <c r="A3183" s="21"/>
      <c r="B3183" s="12" t="str">
        <f>IFERROR(VLOOKUP(D3183,'[1]Перечень товаров'!$A$2:$I9525,2,0),"")</f>
        <v>т1</v>
      </c>
      <c r="C3183" s="12" t="str">
        <f>IFERROR(VLOOKUP(D3183,'[1]Перечень товаров'!$A$2:$I9525,3,0),"")</f>
        <v xml:space="preserve">Техника </v>
      </c>
      <c r="D3183" s="22" t="s">
        <v>28</v>
      </c>
      <c r="E3183" s="88"/>
      <c r="F3183" s="88"/>
      <c r="G3183" s="48">
        <v>1</v>
      </c>
      <c r="H3183" s="48"/>
      <c r="I3183" s="49"/>
      <c r="J3183" s="49"/>
      <c r="K3183" s="19"/>
      <c r="L3183" s="20"/>
      <c r="M3183" s="10"/>
      <c r="N3183" s="10"/>
      <c r="O3183" s="10"/>
      <c r="P3183" s="10"/>
      <c r="Q3183" s="10"/>
      <c r="R3183" s="10"/>
      <c r="S3183" s="10"/>
      <c r="T3183" s="10"/>
      <c r="U3183" s="10"/>
      <c r="V3183" s="10"/>
      <c r="W3183" s="10"/>
      <c r="X3183" s="10"/>
      <c r="Y3183" s="10"/>
      <c r="Z3183" s="10"/>
      <c r="AA3183" s="10"/>
      <c r="AB3183" s="10"/>
      <c r="AC3183" s="10"/>
      <c r="AD3183" s="10"/>
      <c r="AE3183" s="10"/>
      <c r="AF3183" s="10"/>
      <c r="AG3183" s="10"/>
      <c r="AH3183" s="10"/>
    </row>
    <row r="3184" spans="1:34" outlineLevel="2">
      <c r="A3184" s="22"/>
      <c r="B3184" s="12" t="str">
        <f>IFERROR(VLOOKUP(D3184,'[1]Перечень товаров'!$A$2:$I9525,2,0),"")</f>
        <v>т9</v>
      </c>
      <c r="C3184" s="12" t="str">
        <f>IFERROR(VLOOKUP(D3184,'[1]Перечень товаров'!$A$2:$I9525,3,0),"")</f>
        <v>Техника</v>
      </c>
      <c r="D3184" s="22" t="s">
        <v>36</v>
      </c>
      <c r="E3184" s="88"/>
      <c r="F3184" s="88"/>
      <c r="G3184" s="48">
        <v>1</v>
      </c>
      <c r="H3184" s="48"/>
      <c r="I3184" s="49"/>
      <c r="J3184" s="49"/>
      <c r="K3184" s="19"/>
      <c r="L3184" s="20"/>
      <c r="M3184" s="10"/>
      <c r="N3184" s="10"/>
      <c r="O3184" s="10"/>
      <c r="P3184" s="10"/>
      <c r="Q3184" s="10"/>
      <c r="R3184" s="10"/>
      <c r="S3184" s="10"/>
      <c r="T3184" s="10"/>
      <c r="U3184" s="10"/>
      <c r="V3184" s="10"/>
      <c r="W3184" s="10"/>
      <c r="X3184" s="10"/>
      <c r="Y3184" s="10"/>
      <c r="Z3184" s="10"/>
      <c r="AA3184" s="10"/>
      <c r="AB3184" s="10"/>
      <c r="AC3184" s="10"/>
      <c r="AD3184" s="10"/>
      <c r="AE3184" s="10"/>
      <c r="AF3184" s="10"/>
      <c r="AG3184" s="10"/>
      <c r="AH3184" s="10"/>
    </row>
    <row r="3185" spans="1:34" outlineLevel="2">
      <c r="A3185" s="35"/>
      <c r="B3185" s="12" t="str">
        <f>IFERROR(VLOOKUP(D3185,'[1]Перечень товаров'!$A$2:$I9525,2,0),"")</f>
        <v>т2</v>
      </c>
      <c r="C3185" s="12" t="str">
        <f>IFERROR(VLOOKUP(D3185,'[1]Перечень товаров'!$A$2:$I9525,3,0),"")</f>
        <v xml:space="preserve">Техника </v>
      </c>
      <c r="D3185" s="35" t="s">
        <v>29</v>
      </c>
      <c r="E3185" s="88"/>
      <c r="F3185" s="88"/>
      <c r="G3185" s="48">
        <v>1</v>
      </c>
      <c r="H3185" s="48"/>
      <c r="I3185" s="49"/>
      <c r="J3185" s="49"/>
      <c r="K3185" s="19"/>
      <c r="L3185" s="20"/>
      <c r="M3185" s="10"/>
      <c r="N3185" s="10"/>
      <c r="O3185" s="10"/>
      <c r="P3185" s="10"/>
      <c r="Q3185" s="10"/>
      <c r="R3185" s="10"/>
      <c r="S3185" s="10"/>
      <c r="T3185" s="10"/>
      <c r="U3185" s="10"/>
      <c r="V3185" s="10"/>
      <c r="W3185" s="10"/>
      <c r="X3185" s="10"/>
      <c r="Y3185" s="10"/>
      <c r="Z3185" s="10"/>
      <c r="AA3185" s="10"/>
      <c r="AB3185" s="10"/>
      <c r="AC3185" s="10"/>
      <c r="AD3185" s="10"/>
      <c r="AE3185" s="10"/>
      <c r="AF3185" s="10"/>
      <c r="AG3185" s="10"/>
      <c r="AH3185" s="10"/>
    </row>
    <row r="3186" spans="1:34" outlineLevel="2">
      <c r="A3186" s="35"/>
      <c r="B3186" s="12" t="str">
        <f>IFERROR(VLOOKUP(D3186,'[1]Перечень товаров'!$A$2:$I9525,2,0),"")</f>
        <v>т3</v>
      </c>
      <c r="C3186" s="12" t="str">
        <f>IFERROR(VLOOKUP(D3186,'[1]Перечень товаров'!$A$2:$I9525,3,0),"")</f>
        <v xml:space="preserve">Техника </v>
      </c>
      <c r="D3186" s="35" t="s">
        <v>30</v>
      </c>
      <c r="E3186" s="88"/>
      <c r="F3186" s="88"/>
      <c r="G3186" s="48">
        <v>1</v>
      </c>
      <c r="H3186" s="48"/>
      <c r="I3186" s="49"/>
      <c r="J3186" s="49"/>
      <c r="K3186" s="19"/>
      <c r="L3186" s="20"/>
      <c r="M3186" s="10"/>
      <c r="N3186" s="10"/>
      <c r="O3186" s="10"/>
      <c r="P3186" s="10"/>
      <c r="Q3186" s="10"/>
      <c r="R3186" s="10"/>
      <c r="S3186" s="10"/>
      <c r="T3186" s="10"/>
      <c r="U3186" s="10"/>
      <c r="V3186" s="10"/>
      <c r="W3186" s="10"/>
      <c r="X3186" s="10"/>
      <c r="Y3186" s="10"/>
      <c r="Z3186" s="10"/>
      <c r="AA3186" s="10"/>
      <c r="AB3186" s="10"/>
      <c r="AC3186" s="10"/>
      <c r="AD3186" s="10"/>
      <c r="AE3186" s="10"/>
      <c r="AF3186" s="10"/>
      <c r="AG3186" s="10"/>
      <c r="AH3186" s="10"/>
    </row>
    <row r="3187" spans="1:34" outlineLevel="2">
      <c r="A3187" s="35"/>
      <c r="B3187" s="12" t="str">
        <f>IFERROR(VLOOKUP(D3187,'[1]Перечень товаров'!$A$2:$I9525,2,0),"")</f>
        <v>т4</v>
      </c>
      <c r="C3187" s="12" t="str">
        <f>IFERROR(VLOOKUP(D3187,'[1]Перечень товаров'!$A$2:$I9525,3,0),"")</f>
        <v xml:space="preserve">Техника </v>
      </c>
      <c r="D3187" s="35" t="s">
        <v>31</v>
      </c>
      <c r="E3187" s="88"/>
      <c r="F3187" s="88"/>
      <c r="G3187" s="48">
        <v>1</v>
      </c>
      <c r="H3187" s="48"/>
      <c r="I3187" s="49"/>
      <c r="J3187" s="49"/>
      <c r="K3187" s="19"/>
      <c r="L3187" s="20"/>
      <c r="M3187" s="10"/>
      <c r="N3187" s="10"/>
      <c r="O3187" s="10"/>
      <c r="P3187" s="10"/>
      <c r="Q3187" s="10"/>
      <c r="R3187" s="10"/>
      <c r="S3187" s="10"/>
      <c r="T3187" s="10"/>
      <c r="U3187" s="10"/>
      <c r="V3187" s="10"/>
      <c r="W3187" s="10"/>
      <c r="X3187" s="10"/>
      <c r="Y3187" s="10"/>
      <c r="Z3187" s="10"/>
      <c r="AA3187" s="10"/>
      <c r="AB3187" s="10"/>
      <c r="AC3187" s="10"/>
      <c r="AD3187" s="10"/>
      <c r="AE3187" s="10"/>
      <c r="AF3187" s="10"/>
      <c r="AG3187" s="10"/>
      <c r="AH3187" s="10"/>
    </row>
    <row r="3188" spans="1:34" outlineLevel="2">
      <c r="A3188" s="21"/>
      <c r="B3188" s="12" t="str">
        <f>IFERROR(VLOOKUP(D3188,'[1]Перечень товаров'!$A$2:$I9525,2,0),"")</f>
        <v>тм65</v>
      </c>
      <c r="C3188" s="12" t="str">
        <f>IFERROR(VLOOKUP(D3188,'[1]Перечень товаров'!$A$2:$I9525,3,0),"")</f>
        <v>Техника муз</v>
      </c>
      <c r="D3188" s="22" t="s">
        <v>380</v>
      </c>
      <c r="E3188" s="88"/>
      <c r="F3188" s="88"/>
      <c r="G3188" s="48">
        <v>1</v>
      </c>
      <c r="H3188" s="48"/>
      <c r="I3188" s="49"/>
      <c r="J3188" s="49"/>
      <c r="K3188" s="19"/>
      <c r="L3188" s="20"/>
      <c r="M3188" s="10"/>
      <c r="N3188" s="10"/>
      <c r="O3188" s="10"/>
      <c r="P3188" s="10"/>
      <c r="Q3188" s="10"/>
      <c r="R3188" s="10"/>
      <c r="S3188" s="10"/>
      <c r="T3188" s="10"/>
      <c r="U3188" s="10"/>
      <c r="V3188" s="10"/>
      <c r="W3188" s="10"/>
      <c r="X3188" s="10"/>
      <c r="Y3188" s="10"/>
      <c r="Z3188" s="10"/>
      <c r="AA3188" s="10"/>
      <c r="AB3188" s="10"/>
      <c r="AC3188" s="10"/>
      <c r="AD3188" s="10"/>
      <c r="AE3188" s="10"/>
      <c r="AF3188" s="10"/>
      <c r="AG3188" s="10"/>
      <c r="AH3188" s="10"/>
    </row>
    <row r="3189" spans="1:34" outlineLevel="2">
      <c r="A3189" s="21"/>
      <c r="B3189" s="12" t="str">
        <f>IFERROR(VLOOKUP(D3189,'[1]Перечень товаров'!$A$2:$I9525,2,0),"")</f>
        <v>т12</v>
      </c>
      <c r="C3189" s="12" t="str">
        <f>IFERROR(VLOOKUP(D3189,'[1]Перечень товаров'!$A$2:$I9525,3,0),"")</f>
        <v>Техника</v>
      </c>
      <c r="D3189" s="22" t="s">
        <v>49</v>
      </c>
      <c r="E3189" s="88"/>
      <c r="F3189" s="88"/>
      <c r="G3189" s="48">
        <v>1</v>
      </c>
      <c r="H3189" s="48"/>
      <c r="I3189" s="49"/>
      <c r="J3189" s="49"/>
      <c r="K3189" s="19"/>
      <c r="L3189" s="20"/>
      <c r="M3189" s="10"/>
      <c r="N3189" s="10"/>
      <c r="O3189" s="10"/>
      <c r="P3189" s="10"/>
      <c r="Q3189" s="10"/>
      <c r="R3189" s="10"/>
      <c r="S3189" s="10"/>
      <c r="T3189" s="10"/>
      <c r="U3189" s="10"/>
      <c r="V3189" s="10"/>
      <c r="W3189" s="10"/>
      <c r="X3189" s="10"/>
      <c r="Y3189" s="10"/>
      <c r="Z3189" s="10"/>
      <c r="AA3189" s="10"/>
      <c r="AB3189" s="10"/>
      <c r="AC3189" s="10"/>
      <c r="AD3189" s="10"/>
      <c r="AE3189" s="10"/>
      <c r="AF3189" s="10"/>
      <c r="AG3189" s="10"/>
      <c r="AH3189" s="10"/>
    </row>
    <row r="3190" spans="1:34" outlineLevel="2">
      <c r="A3190" s="35"/>
      <c r="B3190" s="12" t="str">
        <f>IFERROR(VLOOKUP(D3190,'[1]Перечень товаров'!$A$2:$I9525,2,0),"")</f>
        <v>т6</v>
      </c>
      <c r="C3190" s="12" t="str">
        <f>IFERROR(VLOOKUP(D3190,'[1]Перечень товаров'!$A$2:$I9525,3,0),"")</f>
        <v xml:space="preserve">Техника </v>
      </c>
      <c r="D3190" s="35" t="s">
        <v>33</v>
      </c>
      <c r="E3190" s="88"/>
      <c r="F3190" s="88"/>
      <c r="G3190" s="48">
        <v>1</v>
      </c>
      <c r="H3190" s="48"/>
      <c r="I3190" s="49"/>
      <c r="J3190" s="49"/>
      <c r="K3190" s="19"/>
      <c r="L3190" s="20"/>
      <c r="M3190" s="10"/>
      <c r="N3190" s="10"/>
      <c r="O3190" s="10"/>
      <c r="P3190" s="10"/>
      <c r="Q3190" s="10"/>
      <c r="R3190" s="10"/>
      <c r="S3190" s="10"/>
      <c r="T3190" s="10"/>
      <c r="U3190" s="10"/>
      <c r="V3190" s="10"/>
      <c r="W3190" s="10"/>
      <c r="X3190" s="10"/>
      <c r="Y3190" s="10"/>
      <c r="Z3190" s="10"/>
      <c r="AA3190" s="10"/>
      <c r="AB3190" s="10"/>
      <c r="AC3190" s="10"/>
      <c r="AD3190" s="10"/>
      <c r="AE3190" s="10"/>
      <c r="AF3190" s="10"/>
      <c r="AG3190" s="10"/>
      <c r="AH3190" s="10"/>
    </row>
    <row r="3191" spans="1:34" outlineLevel="2">
      <c r="A3191" s="22"/>
      <c r="B3191" s="12" t="str">
        <f>IFERROR(VLOOKUP(D3191,'[1]Перечень товаров'!$A$2:$I9525,2,0),"")</f>
        <v>т7</v>
      </c>
      <c r="C3191" s="12" t="str">
        <f>IFERROR(VLOOKUP(D3191,'[1]Перечень товаров'!$A$2:$I9525,3,0),"")</f>
        <v xml:space="preserve">Техника </v>
      </c>
      <c r="D3191" s="22" t="s">
        <v>34</v>
      </c>
      <c r="E3191" s="88"/>
      <c r="F3191" s="88"/>
      <c r="G3191" s="48">
        <v>3</v>
      </c>
      <c r="H3191" s="48"/>
      <c r="I3191" s="49"/>
      <c r="J3191" s="49"/>
      <c r="K3191" s="19"/>
      <c r="L3191" s="20"/>
      <c r="M3191" s="10"/>
      <c r="N3191" s="10"/>
      <c r="O3191" s="10"/>
      <c r="P3191" s="10"/>
      <c r="Q3191" s="10"/>
      <c r="R3191" s="10"/>
      <c r="S3191" s="10"/>
      <c r="T3191" s="10"/>
      <c r="U3191" s="10"/>
      <c r="V3191" s="10"/>
      <c r="W3191" s="10"/>
      <c r="X3191" s="10"/>
      <c r="Y3191" s="10"/>
      <c r="Z3191" s="10"/>
      <c r="AA3191" s="10"/>
      <c r="AB3191" s="10"/>
      <c r="AC3191" s="10"/>
      <c r="AD3191" s="10"/>
      <c r="AE3191" s="10"/>
      <c r="AF3191" s="10"/>
      <c r="AG3191" s="10"/>
      <c r="AH3191" s="10"/>
    </row>
    <row r="3192" spans="1:34" outlineLevel="2">
      <c r="A3192" s="35"/>
      <c r="B3192" s="12" t="str">
        <f>IFERROR(VLOOKUP(D3192,'[1]Перечень товаров'!$A$2:$I9525,2,0),"")</f>
        <v>т161</v>
      </c>
      <c r="C3192" s="12" t="str">
        <f>IFERROR(VLOOKUP(D3192,'[1]Перечень товаров'!$A$2:$I9525,3,0),"")</f>
        <v xml:space="preserve">Техника </v>
      </c>
      <c r="D3192" s="29" t="s">
        <v>381</v>
      </c>
      <c r="E3192" s="88"/>
      <c r="F3192" s="88"/>
      <c r="G3192" s="159">
        <v>1</v>
      </c>
      <c r="H3192" s="159"/>
      <c r="I3192" s="160"/>
      <c r="J3192" s="160"/>
      <c r="K3192" s="19"/>
      <c r="L3192" s="20"/>
      <c r="M3192" s="10"/>
      <c r="N3192" s="10"/>
      <c r="O3192" s="10"/>
      <c r="P3192" s="10"/>
      <c r="Q3192" s="10"/>
      <c r="R3192" s="10"/>
      <c r="S3192" s="10"/>
      <c r="T3192" s="10"/>
      <c r="U3192" s="10"/>
      <c r="V3192" s="10"/>
      <c r="W3192" s="10"/>
      <c r="X3192" s="10"/>
      <c r="Y3192" s="10"/>
      <c r="Z3192" s="10"/>
      <c r="AA3192" s="10"/>
      <c r="AB3192" s="10"/>
      <c r="AC3192" s="10"/>
      <c r="AD3192" s="10"/>
      <c r="AE3192" s="10"/>
      <c r="AF3192" s="10"/>
      <c r="AG3192" s="10"/>
      <c r="AH3192" s="10"/>
    </row>
    <row r="3193" spans="1:34" outlineLevel="2">
      <c r="A3193" s="114"/>
      <c r="B3193" s="12" t="str">
        <f>IFERROR(VLOOKUP(D3193,'[1]Перечень товаров'!$A$2:$I9525,2,0),"")</f>
        <v/>
      </c>
      <c r="C3193" s="12" t="str">
        <f>IFERROR(VLOOKUP(D3193,'[1]Перечень товаров'!$A$2:$I9525,3,0),"")</f>
        <v/>
      </c>
      <c r="D3193" s="114" t="s">
        <v>19</v>
      </c>
      <c r="E3193" s="115"/>
      <c r="F3193" s="115"/>
      <c r="G3193" s="157"/>
      <c r="H3193" s="157"/>
      <c r="I3193" s="158"/>
      <c r="J3193" s="158"/>
      <c r="K3193" s="19"/>
      <c r="L3193" s="20"/>
      <c r="M3193" s="10"/>
      <c r="N3193" s="10"/>
      <c r="O3193" s="10"/>
      <c r="P3193" s="10"/>
      <c r="Q3193" s="10"/>
      <c r="R3193" s="10"/>
      <c r="S3193" s="10"/>
      <c r="T3193" s="10"/>
      <c r="U3193" s="10"/>
      <c r="V3193" s="10"/>
      <c r="W3193" s="10"/>
      <c r="X3193" s="10"/>
      <c r="Y3193" s="10"/>
      <c r="Z3193" s="10"/>
      <c r="AA3193" s="10"/>
      <c r="AB3193" s="10"/>
      <c r="AC3193" s="10"/>
      <c r="AD3193" s="10"/>
      <c r="AE3193" s="10"/>
      <c r="AF3193" s="10"/>
      <c r="AG3193" s="10"/>
      <c r="AH3193" s="10"/>
    </row>
    <row r="3194" spans="1:34" outlineLevel="2">
      <c r="A3194" s="34"/>
      <c r="B3194" s="12" t="str">
        <f>IFERROR(VLOOKUP(D3194,'[1]Перечень товаров'!$A$2:$I9525,2,0),"")</f>
        <v>м62</v>
      </c>
      <c r="C3194" s="12" t="str">
        <f>IFERROR(VLOOKUP(D3194,'[1]Перечень товаров'!$A$2:$I9525,3,0),"")</f>
        <v>Мебель</v>
      </c>
      <c r="D3194" s="35" t="s">
        <v>398</v>
      </c>
      <c r="E3194" s="88"/>
      <c r="F3194" s="88"/>
      <c r="G3194" s="59">
        <v>1</v>
      </c>
      <c r="H3194" s="59"/>
      <c r="I3194" s="60"/>
      <c r="J3194" s="60"/>
      <c r="K3194" s="19"/>
      <c r="L3194" s="20"/>
      <c r="M3194" s="10"/>
      <c r="N3194" s="10"/>
      <c r="O3194" s="10"/>
      <c r="P3194" s="10"/>
      <c r="Q3194" s="10"/>
      <c r="R3194" s="10"/>
      <c r="S3194" s="10"/>
      <c r="T3194" s="10"/>
      <c r="U3194" s="10"/>
      <c r="V3194" s="10"/>
      <c r="W3194" s="10"/>
      <c r="X3194" s="10"/>
      <c r="Y3194" s="10"/>
      <c r="Z3194" s="10"/>
      <c r="AA3194" s="10"/>
      <c r="AB3194" s="10"/>
      <c r="AC3194" s="10"/>
      <c r="AD3194" s="10"/>
      <c r="AE3194" s="10"/>
      <c r="AF3194" s="10"/>
      <c r="AG3194" s="10"/>
      <c r="AH3194" s="10"/>
    </row>
    <row r="3195" spans="1:34" outlineLevel="2">
      <c r="A3195" s="34"/>
      <c r="B3195" s="12" t="str">
        <f>IFERROR(VLOOKUP(D3195,'[1]Перечень товаров'!$A$2:$I9525,2,0),"")</f>
        <v>м61</v>
      </c>
      <c r="C3195" s="12" t="str">
        <f>IFERROR(VLOOKUP(D3195,'[1]Перечень товаров'!$A$2:$I9525,3,0),"")</f>
        <v>Мебель</v>
      </c>
      <c r="D3195" s="35" t="s">
        <v>383</v>
      </c>
      <c r="E3195" s="88"/>
      <c r="F3195" s="88"/>
      <c r="G3195" s="59">
        <v>1</v>
      </c>
      <c r="H3195" s="59"/>
      <c r="I3195" s="60"/>
      <c r="J3195" s="60"/>
      <c r="K3195" s="19"/>
      <c r="L3195" s="20"/>
      <c r="M3195" s="10"/>
      <c r="N3195" s="10"/>
      <c r="O3195" s="10"/>
      <c r="P3195" s="10"/>
      <c r="Q3195" s="10"/>
      <c r="R3195" s="10"/>
      <c r="S3195" s="10"/>
      <c r="T3195" s="10"/>
      <c r="U3195" s="10"/>
      <c r="V3195" s="10"/>
      <c r="W3195" s="10"/>
      <c r="X3195" s="10"/>
      <c r="Y3195" s="10"/>
      <c r="Z3195" s="10"/>
      <c r="AA3195" s="10"/>
      <c r="AB3195" s="10"/>
      <c r="AC3195" s="10"/>
      <c r="AD3195" s="10"/>
      <c r="AE3195" s="10"/>
      <c r="AF3195" s="10"/>
      <c r="AG3195" s="10"/>
      <c r="AH3195" s="10"/>
    </row>
    <row r="3196" spans="1:34" outlineLevel="2">
      <c r="A3196" s="34"/>
      <c r="B3196" s="12" t="str">
        <f>IFERROR(VLOOKUP(D3196,'[1]Перечень товаров'!$A$2:$I9525,2,0),"")</f>
        <v>м61</v>
      </c>
      <c r="C3196" s="12" t="str">
        <f>IFERROR(VLOOKUP(D3196,'[1]Перечень товаров'!$A$2:$I9525,3,0),"")</f>
        <v>Мебель</v>
      </c>
      <c r="D3196" s="35" t="s">
        <v>384</v>
      </c>
      <c r="E3196" s="88"/>
      <c r="F3196" s="88"/>
      <c r="G3196" s="159">
        <v>8</v>
      </c>
      <c r="H3196" s="159"/>
      <c r="I3196" s="160"/>
      <c r="J3196" s="160"/>
      <c r="K3196" s="19"/>
      <c r="L3196" s="20"/>
      <c r="M3196" s="10"/>
      <c r="N3196" s="10"/>
      <c r="O3196" s="10"/>
      <c r="P3196" s="10"/>
      <c r="Q3196" s="10"/>
      <c r="R3196" s="10"/>
      <c r="S3196" s="10"/>
      <c r="T3196" s="10"/>
      <c r="U3196" s="10"/>
      <c r="V3196" s="10"/>
      <c r="W3196" s="10"/>
      <c r="X3196" s="10"/>
      <c r="Y3196" s="10"/>
      <c r="Z3196" s="10"/>
      <c r="AA3196" s="10"/>
      <c r="AB3196" s="10"/>
      <c r="AC3196" s="10"/>
      <c r="AD3196" s="10"/>
      <c r="AE3196" s="10"/>
      <c r="AF3196" s="10"/>
      <c r="AG3196" s="10"/>
      <c r="AH3196" s="10"/>
    </row>
    <row r="3197" spans="1:34" outlineLevel="2">
      <c r="A3197" s="22"/>
      <c r="B3197" s="12" t="str">
        <f>IFERROR(VLOOKUP(D3197,'[1]Перечень товаров'!$A$2:$I9525,2,0),"")</f>
        <v>м13</v>
      </c>
      <c r="C3197" s="12" t="str">
        <f>IFERROR(VLOOKUP(D3197,'[1]Перечень товаров'!$A$2:$I9525,3,0),"")</f>
        <v>Мебель</v>
      </c>
      <c r="D3197" s="22" t="s">
        <v>42</v>
      </c>
      <c r="E3197" s="88"/>
      <c r="F3197" s="88"/>
      <c r="G3197" s="48">
        <v>1</v>
      </c>
      <c r="H3197" s="48"/>
      <c r="I3197" s="49"/>
      <c r="J3197" s="49"/>
      <c r="K3197" s="19"/>
      <c r="L3197" s="20"/>
      <c r="M3197" s="10"/>
      <c r="N3197" s="10"/>
      <c r="O3197" s="10"/>
      <c r="P3197" s="10"/>
      <c r="Q3197" s="10"/>
      <c r="R3197" s="10"/>
      <c r="S3197" s="10"/>
      <c r="T3197" s="10"/>
      <c r="U3197" s="10"/>
      <c r="V3197" s="10"/>
      <c r="W3197" s="10"/>
      <c r="X3197" s="10"/>
      <c r="Y3197" s="10"/>
      <c r="Z3197" s="10"/>
      <c r="AA3197" s="10"/>
      <c r="AB3197" s="10"/>
      <c r="AC3197" s="10"/>
      <c r="AD3197" s="10"/>
      <c r="AE3197" s="10"/>
      <c r="AF3197" s="10"/>
      <c r="AG3197" s="10"/>
      <c r="AH3197" s="10"/>
    </row>
    <row r="3198" spans="1:34" outlineLevel="2">
      <c r="A3198" s="21"/>
      <c r="B3198" s="12" t="str">
        <f>IFERROR(VLOOKUP(D3198,'[1]Перечень товаров'!$A$2:$I9525,2,0),"")</f>
        <v>м14</v>
      </c>
      <c r="C3198" s="12" t="str">
        <f>IFERROR(VLOOKUP(D3198,'[1]Перечень товаров'!$A$2:$I9525,3,0),"")</f>
        <v>Мебель</v>
      </c>
      <c r="D3198" s="22" t="s">
        <v>43</v>
      </c>
      <c r="E3198" s="88"/>
      <c r="F3198" s="88"/>
      <c r="G3198" s="48">
        <v>1</v>
      </c>
      <c r="H3198" s="48"/>
      <c r="I3198" s="49"/>
      <c r="J3198" s="49"/>
      <c r="K3198" s="19"/>
      <c r="L3198" s="20"/>
      <c r="M3198" s="10"/>
      <c r="N3198" s="10"/>
      <c r="O3198" s="10"/>
      <c r="P3198" s="10"/>
      <c r="Q3198" s="10"/>
      <c r="R3198" s="10"/>
      <c r="S3198" s="10"/>
      <c r="T3198" s="10"/>
      <c r="U3198" s="10"/>
      <c r="V3198" s="10"/>
      <c r="W3198" s="10"/>
      <c r="X3198" s="10"/>
      <c r="Y3198" s="10"/>
      <c r="Z3198" s="10"/>
      <c r="AA3198" s="10"/>
      <c r="AB3198" s="10"/>
      <c r="AC3198" s="10"/>
      <c r="AD3198" s="10"/>
      <c r="AE3198" s="10"/>
      <c r="AF3198" s="10"/>
      <c r="AG3198" s="10"/>
      <c r="AH3198" s="10"/>
    </row>
    <row r="3199" spans="1:34" outlineLevel="2">
      <c r="A3199" s="21"/>
      <c r="B3199" s="12" t="str">
        <f>IFERROR(VLOOKUP(D3199,'[1]Перечень товаров'!$A$2:$I9525,2,0),"")</f>
        <v>п2</v>
      </c>
      <c r="C3199" s="12" t="str">
        <f>IFERROR(VLOOKUP(D3199,'[1]Перечень товаров'!$A$2:$I9525,3,0),"")</f>
        <v>Прочее</v>
      </c>
      <c r="D3199" s="22" t="s">
        <v>46</v>
      </c>
      <c r="E3199" s="88"/>
      <c r="F3199" s="88"/>
      <c r="G3199" s="24">
        <v>1</v>
      </c>
      <c r="H3199" s="24"/>
      <c r="I3199" s="25"/>
      <c r="J3199" s="25"/>
      <c r="K3199" s="19"/>
      <c r="L3199" s="20"/>
      <c r="M3199" s="10"/>
      <c r="N3199" s="10"/>
      <c r="O3199" s="10"/>
      <c r="P3199" s="10"/>
      <c r="Q3199" s="10"/>
      <c r="R3199" s="10"/>
      <c r="S3199" s="10"/>
      <c r="T3199" s="10"/>
      <c r="U3199" s="10"/>
      <c r="V3199" s="10"/>
      <c r="W3199" s="10"/>
      <c r="X3199" s="10"/>
      <c r="Y3199" s="10"/>
      <c r="Z3199" s="10"/>
      <c r="AA3199" s="10"/>
      <c r="AB3199" s="10"/>
      <c r="AC3199" s="10"/>
      <c r="AD3199" s="10"/>
      <c r="AE3199" s="10"/>
      <c r="AF3199" s="10"/>
      <c r="AG3199" s="10"/>
      <c r="AH3199" s="10"/>
    </row>
    <row r="3200" spans="1:34" outlineLevel="2">
      <c r="A3200" s="113"/>
      <c r="B3200" s="12" t="str">
        <f>IFERROR(VLOOKUP(D3200,'[1]Перечень товаров'!$A$2:$I9525,2,0),"")</f>
        <v/>
      </c>
      <c r="C3200" s="12" t="str">
        <f>IFERROR(VLOOKUP(D3200,'[1]Перечень товаров'!$A$2:$I9525,3,0),"")</f>
        <v/>
      </c>
      <c r="D3200" s="114" t="s">
        <v>391</v>
      </c>
      <c r="E3200" s="122"/>
      <c r="F3200" s="122"/>
      <c r="G3200" s="17"/>
      <c r="H3200" s="17"/>
      <c r="I3200" s="57"/>
      <c r="J3200" s="57"/>
      <c r="K3200" s="19"/>
      <c r="L3200" s="20"/>
      <c r="M3200" s="10"/>
      <c r="N3200" s="10"/>
      <c r="O3200" s="10"/>
      <c r="P3200" s="10"/>
      <c r="Q3200" s="10"/>
      <c r="R3200" s="10"/>
      <c r="S3200" s="10"/>
      <c r="T3200" s="10"/>
      <c r="U3200" s="10"/>
      <c r="V3200" s="10"/>
      <c r="W3200" s="10"/>
      <c r="X3200" s="10"/>
      <c r="Y3200" s="10"/>
      <c r="Z3200" s="10"/>
      <c r="AA3200" s="10"/>
      <c r="AB3200" s="10"/>
      <c r="AC3200" s="10"/>
      <c r="AD3200" s="10"/>
      <c r="AE3200" s="10"/>
      <c r="AF3200" s="10"/>
      <c r="AG3200" s="10"/>
      <c r="AH3200" s="10"/>
    </row>
    <row r="3201" spans="1:34" outlineLevel="2">
      <c r="A3201" s="28"/>
      <c r="B3201" s="12" t="str">
        <f>IFERROR(VLOOKUP(D3201,'[1]Перечень товаров'!$A$2:$I9525,2,0),"")</f>
        <v>тм71</v>
      </c>
      <c r="C3201" s="12" t="str">
        <f>IFERROR(VLOOKUP(D3201,'[1]Перечень товаров'!$A$2:$I9525,3,0),"")</f>
        <v>Техника муз</v>
      </c>
      <c r="D3201" s="29" t="s">
        <v>982</v>
      </c>
      <c r="E3201" s="30"/>
      <c r="F3201" s="30"/>
      <c r="G3201" s="24">
        <v>1</v>
      </c>
      <c r="H3201" s="24"/>
      <c r="I3201" s="25"/>
      <c r="J3201" s="25"/>
      <c r="K3201" s="19"/>
      <c r="L3201" s="20"/>
      <c r="M3201" s="10"/>
      <c r="N3201" s="10"/>
      <c r="O3201" s="10"/>
      <c r="P3201" s="10"/>
      <c r="Q3201" s="10"/>
      <c r="R3201" s="10"/>
      <c r="S3201" s="10"/>
      <c r="T3201" s="10"/>
      <c r="U3201" s="10"/>
      <c r="V3201" s="10"/>
      <c r="W3201" s="10"/>
      <c r="X3201" s="10"/>
      <c r="Y3201" s="10"/>
      <c r="Z3201" s="10"/>
      <c r="AA3201" s="10"/>
      <c r="AB3201" s="10"/>
      <c r="AC3201" s="10"/>
      <c r="AD3201" s="10"/>
      <c r="AE3201" s="10"/>
      <c r="AF3201" s="10"/>
      <c r="AG3201" s="10"/>
      <c r="AH3201" s="10"/>
    </row>
    <row r="3202" spans="1:34" ht="31.5" outlineLevel="2">
      <c r="A3202" s="28"/>
      <c r="B3202" s="12" t="str">
        <f>IFERROR(VLOOKUP(D3202,'[1]Перечень товаров'!$A$2:$I9525,2,0),"")</f>
        <v>м178</v>
      </c>
      <c r="C3202" s="12" t="str">
        <f>IFERROR(VLOOKUP(D3202,'[1]Перечень товаров'!$A$2:$I9525,3,0),"")</f>
        <v>мебель</v>
      </c>
      <c r="D3202" s="29" t="s">
        <v>983</v>
      </c>
      <c r="E3202" s="30"/>
      <c r="F3202" s="30"/>
      <c r="G3202" s="24">
        <v>2</v>
      </c>
      <c r="H3202" s="24"/>
      <c r="I3202" s="25"/>
      <c r="J3202" s="25"/>
      <c r="K3202" s="19"/>
      <c r="L3202" s="20"/>
      <c r="M3202" s="10"/>
      <c r="N3202" s="10"/>
      <c r="O3202" s="10"/>
      <c r="P3202" s="10"/>
      <c r="Q3202" s="10"/>
      <c r="R3202" s="10"/>
      <c r="S3202" s="10"/>
      <c r="T3202" s="10"/>
      <c r="U3202" s="10"/>
      <c r="V3202" s="10"/>
      <c r="W3202" s="10"/>
      <c r="X3202" s="10"/>
      <c r="Y3202" s="10"/>
      <c r="Z3202" s="10"/>
      <c r="AA3202" s="10"/>
      <c r="AB3202" s="10"/>
      <c r="AC3202" s="10"/>
      <c r="AD3202" s="10"/>
      <c r="AE3202" s="10"/>
      <c r="AF3202" s="10"/>
      <c r="AG3202" s="10"/>
      <c r="AH3202" s="10"/>
    </row>
    <row r="3203" spans="1:34" ht="31.5" outlineLevel="2">
      <c r="A3203" s="28"/>
      <c r="B3203" s="12" t="str">
        <f>IFERROR(VLOOKUP(D3203,'[1]Перечень товаров'!$A$2:$I9525,2,0),"")</f>
        <v>пм214</v>
      </c>
      <c r="C3203" s="12" t="str">
        <f>IFERROR(VLOOKUP(D3203,'[1]Перечень товаров'!$A$2:$I9525,3,0),"")</f>
        <v>прочее муз</v>
      </c>
      <c r="D3203" s="29" t="s">
        <v>984</v>
      </c>
      <c r="E3203" s="30"/>
      <c r="F3203" s="30"/>
      <c r="G3203" s="24">
        <v>1</v>
      </c>
      <c r="H3203" s="24"/>
      <c r="I3203" s="25"/>
      <c r="J3203" s="25"/>
      <c r="K3203" s="19"/>
      <c r="L3203" s="20"/>
      <c r="M3203" s="10"/>
      <c r="N3203" s="10"/>
      <c r="O3203" s="10"/>
      <c r="P3203" s="10"/>
      <c r="Q3203" s="10"/>
      <c r="R3203" s="10"/>
      <c r="S3203" s="10"/>
      <c r="T3203" s="10"/>
      <c r="U3203" s="10"/>
      <c r="V3203" s="10"/>
      <c r="W3203" s="10"/>
      <c r="X3203" s="10"/>
      <c r="Y3203" s="10"/>
      <c r="Z3203" s="10"/>
      <c r="AA3203" s="10"/>
      <c r="AB3203" s="10"/>
      <c r="AC3203" s="10"/>
      <c r="AD3203" s="10"/>
      <c r="AE3203" s="10"/>
      <c r="AF3203" s="10"/>
      <c r="AG3203" s="10"/>
      <c r="AH3203" s="10"/>
    </row>
    <row r="3204" spans="1:34" outlineLevel="2">
      <c r="A3204" s="28"/>
      <c r="B3204" s="12" t="str">
        <f>IFERROR(VLOOKUP(D3204,'[1]Перечень товаров'!$A$2:$I9525,2,0),"")</f>
        <v>м177</v>
      </c>
      <c r="C3204" s="12" t="str">
        <f>IFERROR(VLOOKUP(D3204,'[1]Перечень товаров'!$A$2:$I9525,3,0),"")</f>
        <v>мебель</v>
      </c>
      <c r="D3204" s="29" t="s">
        <v>985</v>
      </c>
      <c r="E3204" s="30"/>
      <c r="F3204" s="30"/>
      <c r="G3204" s="24">
        <v>1</v>
      </c>
      <c r="H3204" s="24"/>
      <c r="I3204" s="25"/>
      <c r="J3204" s="25"/>
      <c r="K3204" s="19"/>
      <c r="L3204" s="20"/>
      <c r="M3204" s="10"/>
      <c r="N3204" s="10"/>
      <c r="O3204" s="10"/>
      <c r="P3204" s="10"/>
      <c r="Q3204" s="10"/>
      <c r="R3204" s="10"/>
      <c r="S3204" s="10"/>
      <c r="T3204" s="10"/>
      <c r="U3204" s="10"/>
      <c r="V3204" s="10"/>
      <c r="W3204" s="10"/>
      <c r="X3204" s="10"/>
      <c r="Y3204" s="10"/>
      <c r="Z3204" s="10"/>
      <c r="AA3204" s="10"/>
      <c r="AB3204" s="10"/>
      <c r="AC3204" s="10"/>
      <c r="AD3204" s="10"/>
      <c r="AE3204" s="10"/>
      <c r="AF3204" s="10"/>
      <c r="AG3204" s="10"/>
      <c r="AH3204" s="10"/>
    </row>
    <row r="3205" spans="1:34" ht="12.75" outlineLevel="1">
      <c r="A3205" s="97"/>
      <c r="B3205" s="12" t="str">
        <f>IFERROR(VLOOKUP(D3205,'[1]Перечень товаров'!$A$2:$I9525,2,0),"")</f>
        <v/>
      </c>
      <c r="C3205" s="12" t="str">
        <f>IFERROR(VLOOKUP(D3205,'[1]Перечень товаров'!$A$2:$I9525,3,0),"")</f>
        <v/>
      </c>
      <c r="D3205" s="98" t="s">
        <v>986</v>
      </c>
      <c r="E3205" s="14">
        <v>108.7</v>
      </c>
      <c r="F3205" s="14"/>
      <c r="G3205" s="17"/>
      <c r="H3205" s="17"/>
      <c r="I3205" s="57"/>
      <c r="J3205" s="57"/>
      <c r="K3205" s="19"/>
      <c r="L3205" s="20"/>
      <c r="M3205" s="10"/>
      <c r="N3205" s="10"/>
      <c r="O3205" s="10"/>
      <c r="P3205" s="10"/>
      <c r="Q3205" s="10"/>
      <c r="R3205" s="10"/>
      <c r="S3205" s="10"/>
      <c r="T3205" s="10"/>
      <c r="U3205" s="10"/>
      <c r="V3205" s="10"/>
      <c r="W3205" s="10"/>
      <c r="X3205" s="10"/>
      <c r="Y3205" s="10"/>
      <c r="Z3205" s="10"/>
      <c r="AA3205" s="10"/>
      <c r="AB3205" s="10"/>
      <c r="AC3205" s="10"/>
      <c r="AD3205" s="10"/>
      <c r="AE3205" s="10"/>
      <c r="AF3205" s="10"/>
      <c r="AG3205" s="10"/>
      <c r="AH3205" s="10"/>
    </row>
    <row r="3206" spans="1:34" outlineLevel="2">
      <c r="A3206" s="43"/>
      <c r="B3206" s="12" t="str">
        <f>IFERROR(VLOOKUP(D3206,'[1]Перечень товаров'!$A$2:$I9525,2,0),"")</f>
        <v>м182</v>
      </c>
      <c r="C3206" s="12" t="str">
        <f>IFERROR(VLOOKUP(D3206,'[1]Перечень товаров'!$A$2:$I9525,3,0),"")</f>
        <v>мебель</v>
      </c>
      <c r="D3206" s="44" t="s">
        <v>970</v>
      </c>
      <c r="E3206" s="23"/>
      <c r="F3206" s="23"/>
      <c r="G3206" s="24">
        <v>2</v>
      </c>
      <c r="H3206" s="24"/>
      <c r="I3206" s="25"/>
      <c r="J3206" s="25"/>
      <c r="K3206" s="19"/>
      <c r="L3206" s="20"/>
      <c r="M3206" s="10"/>
      <c r="N3206" s="10"/>
      <c r="O3206" s="10"/>
      <c r="P3206" s="10"/>
      <c r="Q3206" s="10"/>
      <c r="R3206" s="10"/>
      <c r="S3206" s="10"/>
      <c r="T3206" s="10"/>
      <c r="U3206" s="10"/>
      <c r="V3206" s="10"/>
      <c r="W3206" s="10"/>
      <c r="X3206" s="10"/>
      <c r="Y3206" s="10"/>
      <c r="Z3206" s="10"/>
      <c r="AA3206" s="10"/>
      <c r="AB3206" s="10"/>
      <c r="AC3206" s="10"/>
      <c r="AD3206" s="10"/>
      <c r="AE3206" s="10"/>
      <c r="AF3206" s="10"/>
      <c r="AG3206" s="10"/>
      <c r="AH3206" s="10"/>
    </row>
    <row r="3207" spans="1:34" outlineLevel="2">
      <c r="A3207" s="43"/>
      <c r="B3207" s="12" t="str">
        <f>IFERROR(VLOOKUP(D3207,'[1]Перечень товаров'!$A$2:$I9525,2,0),"")</f>
        <v>м181</v>
      </c>
      <c r="C3207" s="12" t="str">
        <f>IFERROR(VLOOKUP(D3207,'[1]Перечень товаров'!$A$2:$I9525,3,0),"")</f>
        <v>мебель</v>
      </c>
      <c r="D3207" s="44" t="s">
        <v>971</v>
      </c>
      <c r="E3207" s="23"/>
      <c r="F3207" s="23"/>
      <c r="G3207" s="24">
        <v>10</v>
      </c>
      <c r="H3207" s="24"/>
      <c r="I3207" s="25"/>
      <c r="J3207" s="25"/>
      <c r="K3207" s="19"/>
      <c r="L3207" s="20"/>
      <c r="M3207" s="10"/>
      <c r="N3207" s="10"/>
      <c r="O3207" s="10"/>
      <c r="P3207" s="10"/>
      <c r="Q3207" s="10"/>
      <c r="R3207" s="10"/>
      <c r="S3207" s="10"/>
      <c r="T3207" s="10"/>
      <c r="U3207" s="10"/>
      <c r="V3207" s="10"/>
      <c r="W3207" s="10"/>
      <c r="X3207" s="10"/>
      <c r="Y3207" s="10"/>
      <c r="Z3207" s="10"/>
      <c r="AA3207" s="10"/>
      <c r="AB3207" s="10"/>
      <c r="AC3207" s="10"/>
      <c r="AD3207" s="10"/>
      <c r="AE3207" s="10"/>
      <c r="AF3207" s="10"/>
      <c r="AG3207" s="10"/>
      <c r="AH3207" s="10"/>
    </row>
    <row r="3208" spans="1:34" outlineLevel="2">
      <c r="A3208" s="43"/>
      <c r="B3208" s="12" t="str">
        <f>IFERROR(VLOOKUP(D3208,'[1]Перечень товаров'!$A$2:$I9525,2,0),"")</f>
        <v>м180</v>
      </c>
      <c r="C3208" s="12" t="str">
        <f>IFERROR(VLOOKUP(D3208,'[1]Перечень товаров'!$A$2:$I9525,3,0),"")</f>
        <v>мебель</v>
      </c>
      <c r="D3208" s="44" t="s">
        <v>972</v>
      </c>
      <c r="E3208" s="23"/>
      <c r="F3208" s="23"/>
      <c r="G3208" s="24">
        <v>5</v>
      </c>
      <c r="H3208" s="24"/>
      <c r="I3208" s="25"/>
      <c r="J3208" s="25"/>
      <c r="K3208" s="19"/>
      <c r="L3208" s="20"/>
      <c r="M3208" s="10"/>
      <c r="N3208" s="10"/>
      <c r="O3208" s="10"/>
      <c r="P3208" s="10"/>
      <c r="Q3208" s="10"/>
      <c r="R3208" s="10"/>
      <c r="S3208" s="10"/>
      <c r="T3208" s="10"/>
      <c r="U3208" s="10"/>
      <c r="V3208" s="10"/>
      <c r="W3208" s="10"/>
      <c r="X3208" s="10"/>
      <c r="Y3208" s="10"/>
      <c r="Z3208" s="10"/>
      <c r="AA3208" s="10"/>
      <c r="AB3208" s="10"/>
      <c r="AC3208" s="10"/>
      <c r="AD3208" s="10"/>
      <c r="AE3208" s="10"/>
      <c r="AF3208" s="10"/>
      <c r="AG3208" s="10"/>
      <c r="AH3208" s="10"/>
    </row>
    <row r="3209" spans="1:34" outlineLevel="2">
      <c r="A3209" s="43"/>
      <c r="B3209" s="12" t="str">
        <f>IFERROR(VLOOKUP(D3209,'[1]Перечень товаров'!$A$2:$I9525,2,0),"")</f>
        <v>м179</v>
      </c>
      <c r="C3209" s="12" t="str">
        <f>IFERROR(VLOOKUP(D3209,'[1]Перечень товаров'!$A$2:$I9525,3,0),"")</f>
        <v>мебель</v>
      </c>
      <c r="D3209" s="44" t="s">
        <v>973</v>
      </c>
      <c r="E3209" s="23"/>
      <c r="F3209" s="23"/>
      <c r="G3209" s="24">
        <v>5</v>
      </c>
      <c r="H3209" s="24"/>
      <c r="I3209" s="25"/>
      <c r="J3209" s="25"/>
      <c r="K3209" s="19"/>
      <c r="L3209" s="20"/>
      <c r="M3209" s="10"/>
      <c r="N3209" s="10"/>
      <c r="O3209" s="10"/>
      <c r="P3209" s="10"/>
      <c r="Q3209" s="10"/>
      <c r="R3209" s="10"/>
      <c r="S3209" s="10"/>
      <c r="T3209" s="10"/>
      <c r="U3209" s="10"/>
      <c r="V3209" s="10"/>
      <c r="W3209" s="10"/>
      <c r="X3209" s="10"/>
      <c r="Y3209" s="10"/>
      <c r="Z3209" s="10"/>
      <c r="AA3209" s="10"/>
      <c r="AB3209" s="10"/>
      <c r="AC3209" s="10"/>
      <c r="AD3209" s="10"/>
      <c r="AE3209" s="10"/>
      <c r="AF3209" s="10"/>
      <c r="AG3209" s="10"/>
      <c r="AH3209" s="10"/>
    </row>
    <row r="3210" spans="1:34" outlineLevel="2">
      <c r="A3210" s="43"/>
      <c r="B3210" s="12" t="str">
        <f>IFERROR(VLOOKUP(D3210,'[1]Перечень товаров'!$A$2:$I9525,2,0),"")</f>
        <v>д559</v>
      </c>
      <c r="C3210" s="12" t="str">
        <f>IFERROR(VLOOKUP(D3210,'[1]Перечень товаров'!$A$2:$I9525,3,0),"")</f>
        <v>дидактика</v>
      </c>
      <c r="D3210" s="44" t="s">
        <v>974</v>
      </c>
      <c r="E3210" s="23"/>
      <c r="F3210" s="23"/>
      <c r="G3210" s="24">
        <v>2</v>
      </c>
      <c r="H3210" s="24"/>
      <c r="I3210" s="25"/>
      <c r="J3210" s="25"/>
      <c r="K3210" s="19"/>
      <c r="L3210" s="20"/>
      <c r="M3210" s="10"/>
      <c r="N3210" s="10"/>
      <c r="O3210" s="10"/>
      <c r="P3210" s="10"/>
      <c r="Q3210" s="10"/>
      <c r="R3210" s="10"/>
      <c r="S3210" s="10"/>
      <c r="T3210" s="10"/>
      <c r="U3210" s="10"/>
      <c r="V3210" s="10"/>
      <c r="W3210" s="10"/>
      <c r="X3210" s="10"/>
      <c r="Y3210" s="10"/>
      <c r="Z3210" s="10"/>
      <c r="AA3210" s="10"/>
      <c r="AB3210" s="10"/>
      <c r="AC3210" s="10"/>
      <c r="AD3210" s="10"/>
      <c r="AE3210" s="10"/>
      <c r="AF3210" s="10"/>
      <c r="AG3210" s="10"/>
      <c r="AH3210" s="10"/>
    </row>
    <row r="3211" spans="1:34" outlineLevel="2">
      <c r="A3211" s="43"/>
      <c r="B3211" s="12" t="str">
        <f>IFERROR(VLOOKUP(D3211,'[1]Перечень товаров'!$A$2:$I9525,2,0),"")</f>
        <v>м25</v>
      </c>
      <c r="C3211" s="12" t="str">
        <f>IFERROR(VLOOKUP(D3211,'[1]Перечень товаров'!$A$2:$I9525,3,0),"")</f>
        <v>Мебель</v>
      </c>
      <c r="D3211" s="44" t="s">
        <v>175</v>
      </c>
      <c r="E3211" s="23"/>
      <c r="F3211" s="23"/>
      <c r="G3211" s="24">
        <v>15</v>
      </c>
      <c r="H3211" s="24"/>
      <c r="I3211" s="25"/>
      <c r="J3211" s="25"/>
      <c r="K3211" s="19"/>
      <c r="L3211" s="20"/>
      <c r="M3211" s="10"/>
      <c r="N3211" s="10"/>
      <c r="O3211" s="10"/>
      <c r="P3211" s="10"/>
      <c r="Q3211" s="10"/>
      <c r="R3211" s="10"/>
      <c r="S3211" s="10"/>
      <c r="T3211" s="10"/>
      <c r="U3211" s="10"/>
      <c r="V3211" s="10"/>
      <c r="W3211" s="10"/>
      <c r="X3211" s="10"/>
      <c r="Y3211" s="10"/>
      <c r="Z3211" s="10"/>
      <c r="AA3211" s="10"/>
      <c r="AB3211" s="10"/>
      <c r="AC3211" s="10"/>
      <c r="AD3211" s="10"/>
      <c r="AE3211" s="10"/>
      <c r="AF3211" s="10"/>
      <c r="AG3211" s="10"/>
      <c r="AH3211" s="10"/>
    </row>
    <row r="3212" spans="1:34" outlineLevel="2">
      <c r="A3212" s="43"/>
      <c r="B3212" s="12" t="str">
        <f>IFERROR(VLOOKUP(D3212,'[1]Перечень товаров'!$A$2:$I9525,2,0),"")</f>
        <v>м179</v>
      </c>
      <c r="C3212" s="12" t="str">
        <f>IFERROR(VLOOKUP(D3212,'[1]Перечень товаров'!$A$2:$I9525,3,0),"")</f>
        <v>мебель</v>
      </c>
      <c r="D3212" s="44" t="s">
        <v>975</v>
      </c>
      <c r="E3212" s="23"/>
      <c r="F3212" s="23"/>
      <c r="G3212" s="24">
        <v>5</v>
      </c>
      <c r="H3212" s="24"/>
      <c r="I3212" s="25"/>
      <c r="J3212" s="25"/>
      <c r="K3212" s="19"/>
      <c r="L3212" s="20"/>
      <c r="M3212" s="10"/>
      <c r="N3212" s="10"/>
      <c r="O3212" s="10"/>
      <c r="P3212" s="10"/>
      <c r="Q3212" s="10"/>
      <c r="R3212" s="10"/>
      <c r="S3212" s="10"/>
      <c r="T3212" s="10"/>
      <c r="U3212" s="10"/>
      <c r="V3212" s="10"/>
      <c r="W3212" s="10"/>
      <c r="X3212" s="10"/>
      <c r="Y3212" s="10"/>
      <c r="Z3212" s="10"/>
      <c r="AA3212" s="10"/>
      <c r="AB3212" s="10"/>
      <c r="AC3212" s="10"/>
      <c r="AD3212" s="10"/>
      <c r="AE3212" s="10"/>
      <c r="AF3212" s="10"/>
      <c r="AG3212" s="10"/>
      <c r="AH3212" s="10"/>
    </row>
    <row r="3213" spans="1:34" outlineLevel="2">
      <c r="A3213" s="43"/>
      <c r="B3213" s="12" t="str">
        <f>IFERROR(VLOOKUP(D3213,'[1]Перечень товаров'!$A$2:$I9525,2,0),"")</f>
        <v>м178</v>
      </c>
      <c r="C3213" s="12" t="str">
        <f>IFERROR(VLOOKUP(D3213,'[1]Перечень товаров'!$A$2:$I9525,3,0),"")</f>
        <v>мебель</v>
      </c>
      <c r="D3213" s="44" t="s">
        <v>976</v>
      </c>
      <c r="E3213" s="23"/>
      <c r="F3213" s="23"/>
      <c r="G3213" s="24">
        <v>1</v>
      </c>
      <c r="H3213" s="24"/>
      <c r="I3213" s="25"/>
      <c r="J3213" s="25"/>
      <c r="K3213" s="19"/>
      <c r="L3213" s="20"/>
      <c r="M3213" s="10"/>
      <c r="N3213" s="10"/>
      <c r="O3213" s="10"/>
      <c r="P3213" s="10"/>
      <c r="Q3213" s="10"/>
      <c r="R3213" s="10"/>
      <c r="S3213" s="10"/>
      <c r="T3213" s="10"/>
      <c r="U3213" s="10"/>
      <c r="V3213" s="10"/>
      <c r="W3213" s="10"/>
      <c r="X3213" s="10"/>
      <c r="Y3213" s="10"/>
      <c r="Z3213" s="10"/>
      <c r="AA3213" s="10"/>
      <c r="AB3213" s="10"/>
      <c r="AC3213" s="10"/>
      <c r="AD3213" s="10"/>
      <c r="AE3213" s="10"/>
      <c r="AF3213" s="10"/>
      <c r="AG3213" s="10"/>
      <c r="AH3213" s="10"/>
    </row>
    <row r="3214" spans="1:34" outlineLevel="2">
      <c r="A3214" s="43"/>
      <c r="B3214" s="12" t="str">
        <f>IFERROR(VLOOKUP(D3214,'[1]Перечень товаров'!$A$2:$I9525,2,0),"")</f>
        <v>т175</v>
      </c>
      <c r="C3214" s="12" t="str">
        <f>IFERROR(VLOOKUP(D3214,'[1]Перечень товаров'!$A$2:$I9525,3,0),"")</f>
        <v>техника</v>
      </c>
      <c r="D3214" s="44" t="s">
        <v>977</v>
      </c>
      <c r="E3214" s="23"/>
      <c r="F3214" s="23"/>
      <c r="G3214" s="24">
        <v>1</v>
      </c>
      <c r="H3214" s="24"/>
      <c r="I3214" s="25"/>
      <c r="J3214" s="25"/>
      <c r="K3214" s="19"/>
      <c r="L3214" s="20"/>
      <c r="M3214" s="10"/>
      <c r="N3214" s="10"/>
      <c r="O3214" s="10"/>
      <c r="P3214" s="10"/>
      <c r="Q3214" s="10"/>
      <c r="R3214" s="10"/>
      <c r="S3214" s="10"/>
      <c r="T3214" s="10"/>
      <c r="U3214" s="10"/>
      <c r="V3214" s="10"/>
      <c r="W3214" s="10"/>
      <c r="X3214" s="10"/>
      <c r="Y3214" s="10"/>
      <c r="Z3214" s="10"/>
      <c r="AA3214" s="10"/>
      <c r="AB3214" s="10"/>
      <c r="AC3214" s="10"/>
      <c r="AD3214" s="10"/>
      <c r="AE3214" s="10"/>
      <c r="AF3214" s="10"/>
      <c r="AG3214" s="10"/>
      <c r="AH3214" s="10"/>
    </row>
    <row r="3215" spans="1:34" outlineLevel="2">
      <c r="A3215" s="43"/>
      <c r="B3215" s="12" t="str">
        <f>IFERROR(VLOOKUP(D3215,'[1]Перечень товаров'!$A$2:$I9525,2,0),"")</f>
        <v>т174</v>
      </c>
      <c r="C3215" s="12" t="str">
        <f>IFERROR(VLOOKUP(D3215,'[1]Перечень товаров'!$A$2:$I9525,3,0),"")</f>
        <v>техника</v>
      </c>
      <c r="D3215" s="44" t="s">
        <v>978</v>
      </c>
      <c r="E3215" s="23"/>
      <c r="F3215" s="23"/>
      <c r="G3215" s="24">
        <v>2</v>
      </c>
      <c r="H3215" s="24"/>
      <c r="I3215" s="25"/>
      <c r="J3215" s="25"/>
      <c r="K3215" s="19"/>
      <c r="L3215" s="20"/>
      <c r="M3215" s="10"/>
      <c r="N3215" s="10"/>
      <c r="O3215" s="10"/>
      <c r="P3215" s="10"/>
      <c r="Q3215" s="10"/>
      <c r="R3215" s="10"/>
      <c r="S3215" s="10"/>
      <c r="T3215" s="10"/>
      <c r="U3215" s="10"/>
      <c r="V3215" s="10"/>
      <c r="W3215" s="10"/>
      <c r="X3215" s="10"/>
      <c r="Y3215" s="10"/>
      <c r="Z3215" s="10"/>
      <c r="AA3215" s="10"/>
      <c r="AB3215" s="10"/>
      <c r="AC3215" s="10"/>
      <c r="AD3215" s="10"/>
      <c r="AE3215" s="10"/>
      <c r="AF3215" s="10"/>
      <c r="AG3215" s="10"/>
      <c r="AH3215" s="10"/>
    </row>
    <row r="3216" spans="1:34" outlineLevel="2">
      <c r="A3216" s="43"/>
      <c r="B3216" s="12" t="str">
        <f>IFERROR(VLOOKUP(D3216,'[1]Перечень товаров'!$A$2:$I9525,2,0),"")</f>
        <v>д558</v>
      </c>
      <c r="C3216" s="12" t="str">
        <f>IFERROR(VLOOKUP(D3216,'[1]Перечень товаров'!$A$2:$I9525,3,0),"")</f>
        <v>дидактика</v>
      </c>
      <c r="D3216" s="44" t="s">
        <v>979</v>
      </c>
      <c r="E3216" s="23"/>
      <c r="F3216" s="23"/>
      <c r="G3216" s="24">
        <v>10</v>
      </c>
      <c r="H3216" s="24"/>
      <c r="I3216" s="25"/>
      <c r="J3216" s="25"/>
      <c r="K3216" s="19"/>
      <c r="L3216" s="20"/>
      <c r="M3216" s="10"/>
      <c r="N3216" s="10"/>
      <c r="O3216" s="10"/>
      <c r="P3216" s="10"/>
      <c r="Q3216" s="10"/>
      <c r="R3216" s="10"/>
      <c r="S3216" s="10"/>
      <c r="T3216" s="10"/>
      <c r="U3216" s="10"/>
      <c r="V3216" s="10"/>
      <c r="W3216" s="10"/>
      <c r="X3216" s="10"/>
      <c r="Y3216" s="10"/>
      <c r="Z3216" s="10"/>
      <c r="AA3216" s="10"/>
      <c r="AB3216" s="10"/>
      <c r="AC3216" s="10"/>
      <c r="AD3216" s="10"/>
      <c r="AE3216" s="10"/>
      <c r="AF3216" s="10"/>
      <c r="AG3216" s="10"/>
      <c r="AH3216" s="10"/>
    </row>
    <row r="3217" spans="1:34" outlineLevel="2">
      <c r="A3217" s="43"/>
      <c r="B3217" s="12" t="str">
        <f>IFERROR(VLOOKUP(D3217,'[1]Перечень товаров'!$A$2:$I9525,2,0),"")</f>
        <v>д557</v>
      </c>
      <c r="C3217" s="12" t="str">
        <f>IFERROR(VLOOKUP(D3217,'[1]Перечень товаров'!$A$2:$I9525,3,0),"")</f>
        <v>дидактика</v>
      </c>
      <c r="D3217" s="44" t="s">
        <v>980</v>
      </c>
      <c r="E3217" s="23"/>
      <c r="F3217" s="23"/>
      <c r="G3217" s="24">
        <v>1</v>
      </c>
      <c r="H3217" s="24"/>
      <c r="I3217" s="25"/>
      <c r="J3217" s="25"/>
      <c r="K3217" s="19"/>
      <c r="L3217" s="20"/>
      <c r="M3217" s="10"/>
      <c r="N3217" s="10"/>
      <c r="O3217" s="10"/>
      <c r="P3217" s="10"/>
      <c r="Q3217" s="10"/>
      <c r="R3217" s="10"/>
      <c r="S3217" s="10"/>
      <c r="T3217" s="10"/>
      <c r="U3217" s="10"/>
      <c r="V3217" s="10"/>
      <c r="W3217" s="10"/>
      <c r="X3217" s="10"/>
      <c r="Y3217" s="10"/>
      <c r="Z3217" s="10"/>
      <c r="AA3217" s="10"/>
      <c r="AB3217" s="10"/>
      <c r="AC3217" s="10"/>
      <c r="AD3217" s="10"/>
      <c r="AE3217" s="10"/>
      <c r="AF3217" s="10"/>
      <c r="AG3217" s="10"/>
      <c r="AH3217" s="10"/>
    </row>
    <row r="3218" spans="1:34" outlineLevel="1">
      <c r="A3218" s="21"/>
      <c r="B3218" s="12" t="str">
        <f>IFERROR(VLOOKUP(D3218,'[1]Перечень товаров'!$A$2:$I9525,2,0),"")</f>
        <v/>
      </c>
      <c r="C3218" s="12" t="str">
        <f>IFERROR(VLOOKUP(D3218,'[1]Перечень товаров'!$A$2:$I9525,3,0),"")</f>
        <v/>
      </c>
      <c r="D3218" s="22" t="s">
        <v>987</v>
      </c>
      <c r="E3218" s="23">
        <v>40.200000000000003</v>
      </c>
      <c r="F3218" s="23"/>
      <c r="G3218" s="24"/>
      <c r="H3218" s="24"/>
      <c r="I3218" s="25"/>
      <c r="J3218" s="25"/>
      <c r="K3218" s="19"/>
      <c r="L3218" s="20"/>
      <c r="M3218" s="10"/>
      <c r="N3218" s="10"/>
      <c r="O3218" s="10"/>
      <c r="P3218" s="10"/>
      <c r="Q3218" s="10"/>
      <c r="R3218" s="10"/>
      <c r="S3218" s="10"/>
      <c r="T3218" s="10"/>
      <c r="U3218" s="10"/>
      <c r="V3218" s="10"/>
      <c r="W3218" s="10"/>
      <c r="X3218" s="10"/>
      <c r="Y3218" s="10"/>
      <c r="Z3218" s="10"/>
      <c r="AA3218" s="10"/>
      <c r="AB3218" s="10"/>
      <c r="AC3218" s="10"/>
      <c r="AD3218" s="10"/>
      <c r="AE3218" s="10"/>
      <c r="AF3218" s="10"/>
      <c r="AG3218" s="10"/>
      <c r="AH3218" s="10"/>
    </row>
    <row r="3219" spans="1:34" ht="12.75" outlineLevel="1">
      <c r="A3219" s="11"/>
      <c r="B3219" s="12" t="str">
        <f>IFERROR(VLOOKUP(D3219,'[1]Перечень товаров'!$A$2:$I9525,2,0),"")</f>
        <v/>
      </c>
      <c r="C3219" s="12" t="str">
        <f>IFERROR(VLOOKUP(D3219,'[1]Перечень товаров'!$A$2:$I9525,3,0),"")</f>
        <v/>
      </c>
      <c r="D3219" s="27" t="s">
        <v>988</v>
      </c>
      <c r="E3219" s="14">
        <v>22.4</v>
      </c>
      <c r="F3219" s="14"/>
      <c r="G3219" s="17"/>
      <c r="H3219" s="17"/>
      <c r="I3219" s="57"/>
      <c r="J3219" s="57"/>
      <c r="K3219" s="19"/>
      <c r="L3219" s="20"/>
      <c r="M3219" s="10"/>
      <c r="N3219" s="10"/>
      <c r="O3219" s="10"/>
      <c r="P3219" s="10"/>
      <c r="Q3219" s="10"/>
      <c r="R3219" s="10"/>
      <c r="S3219" s="10"/>
      <c r="T3219" s="10"/>
      <c r="U3219" s="10"/>
      <c r="V3219" s="10"/>
      <c r="W3219" s="10"/>
      <c r="X3219" s="10"/>
      <c r="Y3219" s="10"/>
      <c r="Z3219" s="10"/>
      <c r="AA3219" s="10"/>
      <c r="AB3219" s="10"/>
      <c r="AC3219" s="10"/>
      <c r="AD3219" s="10"/>
      <c r="AE3219" s="10"/>
      <c r="AF3219" s="10"/>
      <c r="AG3219" s="10"/>
      <c r="AH3219" s="10"/>
    </row>
    <row r="3220" spans="1:34" outlineLevel="2">
      <c r="A3220" s="21"/>
      <c r="B3220" s="12" t="str">
        <f>IFERROR(VLOOKUP(D3220,'[1]Перечень товаров'!$A$2:$I9525,2,0),"")</f>
        <v>пм213</v>
      </c>
      <c r="C3220" s="12" t="str">
        <f>IFERROR(VLOOKUP(D3220,'[1]Перечень товаров'!$A$2:$I9525,3,0),"")</f>
        <v>прочее муз</v>
      </c>
      <c r="D3220" s="22" t="s">
        <v>989</v>
      </c>
      <c r="E3220" s="23"/>
      <c r="F3220" s="23"/>
      <c r="G3220" s="24">
        <v>20</v>
      </c>
      <c r="H3220" s="24"/>
      <c r="I3220" s="25"/>
      <c r="J3220" s="25"/>
      <c r="K3220" s="19"/>
      <c r="L3220" s="20"/>
      <c r="M3220" s="10"/>
      <c r="N3220" s="10"/>
      <c r="O3220" s="10"/>
      <c r="P3220" s="10"/>
      <c r="Q3220" s="10"/>
      <c r="R3220" s="10"/>
      <c r="S3220" s="10"/>
      <c r="T3220" s="10"/>
      <c r="U3220" s="10"/>
      <c r="V3220" s="10"/>
      <c r="W3220" s="10"/>
      <c r="X3220" s="10"/>
      <c r="Y3220" s="10"/>
      <c r="Z3220" s="10"/>
      <c r="AA3220" s="10"/>
      <c r="AB3220" s="10"/>
      <c r="AC3220" s="10"/>
      <c r="AD3220" s="10"/>
      <c r="AE3220" s="10"/>
      <c r="AF3220" s="10"/>
      <c r="AG3220" s="10"/>
      <c r="AH3220" s="10"/>
    </row>
    <row r="3221" spans="1:34" ht="12.75" outlineLevel="1">
      <c r="A3221" s="11"/>
      <c r="B3221" s="12" t="str">
        <f>IFERROR(VLOOKUP(D3221,'[1]Перечень товаров'!$A$2:$I9525,2,0),"")</f>
        <v/>
      </c>
      <c r="C3221" s="12" t="str">
        <f>IFERROR(VLOOKUP(D3221,'[1]Перечень товаров'!$A$2:$I9525,3,0),"")</f>
        <v/>
      </c>
      <c r="D3221" s="27" t="s">
        <v>528</v>
      </c>
      <c r="E3221" s="14">
        <v>6.3</v>
      </c>
      <c r="F3221" s="14"/>
      <c r="G3221" s="17"/>
      <c r="H3221" s="17"/>
      <c r="I3221" s="57"/>
      <c r="J3221" s="57"/>
      <c r="K3221" s="19"/>
      <c r="L3221" s="20"/>
      <c r="M3221" s="10"/>
      <c r="N3221" s="10"/>
      <c r="O3221" s="10"/>
      <c r="P3221" s="10"/>
      <c r="Q3221" s="10"/>
      <c r="R3221" s="10"/>
      <c r="S3221" s="10"/>
      <c r="T3221" s="10"/>
      <c r="U3221" s="10"/>
      <c r="V3221" s="10"/>
      <c r="W3221" s="10"/>
      <c r="X3221" s="10"/>
      <c r="Y3221" s="10"/>
      <c r="Z3221" s="10"/>
      <c r="AA3221" s="10"/>
      <c r="AB3221" s="10"/>
      <c r="AC3221" s="10"/>
      <c r="AD3221" s="10"/>
      <c r="AE3221" s="10"/>
      <c r="AF3221" s="10"/>
      <c r="AG3221" s="10"/>
      <c r="AH3221" s="10"/>
    </row>
    <row r="3222" spans="1:34" outlineLevel="2">
      <c r="A3222" s="22"/>
      <c r="B3222" s="12" t="str">
        <f>IFERROR(VLOOKUP(D3222,'[1]Перечень товаров'!$A$2:$I9525,2,0),"")</f>
        <v>п25</v>
      </c>
      <c r="C3222" s="12" t="str">
        <f>IFERROR(VLOOKUP(D3222,'[1]Перечень товаров'!$A$2:$I9525,3,0),"")</f>
        <v>Прочее</v>
      </c>
      <c r="D3222" s="22" t="s">
        <v>360</v>
      </c>
      <c r="E3222" s="102"/>
      <c r="F3222" s="102"/>
      <c r="G3222" s="48">
        <v>3</v>
      </c>
      <c r="H3222" s="48"/>
      <c r="I3222" s="49"/>
      <c r="J3222" s="49"/>
      <c r="K3222" s="19"/>
      <c r="L3222" s="20"/>
      <c r="M3222" s="10"/>
      <c r="N3222" s="10"/>
      <c r="O3222" s="10"/>
      <c r="P3222" s="10"/>
      <c r="Q3222" s="10"/>
      <c r="R3222" s="10"/>
      <c r="S3222" s="10"/>
      <c r="T3222" s="10"/>
      <c r="U3222" s="10"/>
      <c r="V3222" s="10"/>
      <c r="W3222" s="10"/>
      <c r="X3222" s="10"/>
      <c r="Y3222" s="10"/>
      <c r="Z3222" s="10"/>
      <c r="AA3222" s="10"/>
      <c r="AB3222" s="10"/>
      <c r="AC3222" s="10"/>
      <c r="AD3222" s="10"/>
      <c r="AE3222" s="10"/>
      <c r="AF3222" s="10"/>
      <c r="AG3222" s="10"/>
      <c r="AH3222" s="10"/>
    </row>
    <row r="3223" spans="1:34" outlineLevel="2">
      <c r="A3223" s="21"/>
      <c r="B3223" s="12" t="str">
        <f>IFERROR(VLOOKUP(D3223,'[1]Перечень товаров'!$A$2:$I9525,2,0),"")</f>
        <v>п26</v>
      </c>
      <c r="C3223" s="12" t="str">
        <f>IFERROR(VLOOKUP(D3223,'[1]Перечень товаров'!$A$2:$I9525,3,0),"")</f>
        <v>Прочее</v>
      </c>
      <c r="D3223" s="22" t="s">
        <v>361</v>
      </c>
      <c r="E3223" s="102"/>
      <c r="F3223" s="102"/>
      <c r="G3223" s="48">
        <v>2</v>
      </c>
      <c r="H3223" s="48"/>
      <c r="I3223" s="49"/>
      <c r="J3223" s="49"/>
      <c r="K3223" s="19"/>
      <c r="L3223" s="20"/>
      <c r="M3223" s="10"/>
      <c r="N3223" s="10"/>
      <c r="O3223" s="10"/>
      <c r="P3223" s="10"/>
      <c r="Q3223" s="10"/>
      <c r="R3223" s="10"/>
      <c r="S3223" s="10"/>
      <c r="T3223" s="10"/>
      <c r="U3223" s="10"/>
      <c r="V3223" s="10"/>
      <c r="W3223" s="10"/>
      <c r="X3223" s="10"/>
      <c r="Y3223" s="10"/>
      <c r="Z3223" s="10"/>
      <c r="AA3223" s="10"/>
      <c r="AB3223" s="10"/>
      <c r="AC3223" s="10"/>
      <c r="AD3223" s="10"/>
      <c r="AE3223" s="10"/>
      <c r="AF3223" s="10"/>
      <c r="AG3223" s="10"/>
      <c r="AH3223" s="10"/>
    </row>
    <row r="3224" spans="1:34" outlineLevel="2">
      <c r="A3224" s="21"/>
      <c r="B3224" s="12" t="str">
        <f>IFERROR(VLOOKUP(D3224,'[1]Перечень товаров'!$A$2:$I9525,2,0),"")</f>
        <v>п27</v>
      </c>
      <c r="C3224" s="12" t="str">
        <f>IFERROR(VLOOKUP(D3224,'[1]Перечень товаров'!$A$2:$I9525,3,0),"")</f>
        <v>Прочее</v>
      </c>
      <c r="D3224" s="22" t="s">
        <v>362</v>
      </c>
      <c r="E3224" s="102"/>
      <c r="F3224" s="102"/>
      <c r="G3224" s="48">
        <v>2</v>
      </c>
      <c r="H3224" s="48"/>
      <c r="I3224" s="49"/>
      <c r="J3224" s="49"/>
      <c r="K3224" s="19"/>
      <c r="L3224" s="20"/>
      <c r="M3224" s="10"/>
      <c r="N3224" s="10"/>
      <c r="O3224" s="10"/>
      <c r="P3224" s="10"/>
      <c r="Q3224" s="10"/>
      <c r="R3224" s="10"/>
      <c r="S3224" s="10"/>
      <c r="T3224" s="10"/>
      <c r="U3224" s="10"/>
      <c r="V3224" s="10"/>
      <c r="W3224" s="10"/>
      <c r="X3224" s="10"/>
      <c r="Y3224" s="10"/>
      <c r="Z3224" s="10"/>
      <c r="AA3224" s="10"/>
      <c r="AB3224" s="10"/>
      <c r="AC3224" s="10"/>
      <c r="AD3224" s="10"/>
      <c r="AE3224" s="10"/>
      <c r="AF3224" s="10"/>
      <c r="AG3224" s="10"/>
      <c r="AH3224" s="10"/>
    </row>
    <row r="3225" spans="1:34" outlineLevel="2">
      <c r="A3225" s="21"/>
      <c r="B3225" s="12" t="str">
        <f>IFERROR(VLOOKUP(D3225,'[1]Перечень товаров'!$A$2:$I9525,2,0),"")</f>
        <v>п28</v>
      </c>
      <c r="C3225" s="12" t="str">
        <f>IFERROR(VLOOKUP(D3225,'[1]Перечень товаров'!$A$2:$I9525,3,0),"")</f>
        <v>Прочее</v>
      </c>
      <c r="D3225" s="22" t="s">
        <v>363</v>
      </c>
      <c r="E3225" s="102"/>
      <c r="F3225" s="102"/>
      <c r="G3225" s="48">
        <v>1</v>
      </c>
      <c r="H3225" s="48"/>
      <c r="I3225" s="49"/>
      <c r="J3225" s="49"/>
      <c r="K3225" s="19"/>
      <c r="L3225" s="20"/>
      <c r="M3225" s="10"/>
      <c r="N3225" s="10"/>
      <c r="O3225" s="10"/>
      <c r="P3225" s="10"/>
      <c r="Q3225" s="10"/>
      <c r="R3225" s="10"/>
      <c r="S3225" s="10"/>
      <c r="T3225" s="10"/>
      <c r="U3225" s="10"/>
      <c r="V3225" s="10"/>
      <c r="W3225" s="10"/>
      <c r="X3225" s="10"/>
      <c r="Y3225" s="10"/>
      <c r="Z3225" s="10"/>
      <c r="AA3225" s="10"/>
      <c r="AB3225" s="10"/>
      <c r="AC3225" s="10"/>
      <c r="AD3225" s="10"/>
      <c r="AE3225" s="10"/>
      <c r="AF3225" s="10"/>
      <c r="AG3225" s="10"/>
      <c r="AH3225" s="10"/>
    </row>
    <row r="3226" spans="1:34" outlineLevel="2">
      <c r="A3226" s="21"/>
      <c r="B3226" s="12" t="str">
        <f>IFERROR(VLOOKUP(D3226,'[1]Перечень товаров'!$A$2:$I9525,2,0),"")</f>
        <v>п29</v>
      </c>
      <c r="C3226" s="12" t="str">
        <f>IFERROR(VLOOKUP(D3226,'[1]Перечень товаров'!$A$2:$I9525,3,0),"")</f>
        <v>Прочее</v>
      </c>
      <c r="D3226" s="22" t="s">
        <v>364</v>
      </c>
      <c r="E3226" s="102"/>
      <c r="F3226" s="102"/>
      <c r="G3226" s="48">
        <v>6</v>
      </c>
      <c r="H3226" s="48"/>
      <c r="I3226" s="49"/>
      <c r="J3226" s="49"/>
      <c r="K3226" s="19"/>
      <c r="L3226" s="20"/>
      <c r="M3226" s="10"/>
      <c r="N3226" s="10"/>
      <c r="O3226" s="10"/>
      <c r="P3226" s="10"/>
      <c r="Q3226" s="10"/>
      <c r="R3226" s="10"/>
      <c r="S3226" s="10"/>
      <c r="T3226" s="10"/>
      <c r="U3226" s="10"/>
      <c r="V3226" s="10"/>
      <c r="W3226" s="10"/>
      <c r="X3226" s="10"/>
      <c r="Y3226" s="10"/>
      <c r="Z3226" s="10"/>
      <c r="AA3226" s="10"/>
      <c r="AB3226" s="10"/>
      <c r="AC3226" s="10"/>
      <c r="AD3226" s="10"/>
      <c r="AE3226" s="10"/>
      <c r="AF3226" s="10"/>
      <c r="AG3226" s="10"/>
      <c r="AH3226" s="10"/>
    </row>
    <row r="3227" spans="1:34" outlineLevel="2">
      <c r="A3227" s="21"/>
      <c r="B3227" s="12" t="str">
        <f>IFERROR(VLOOKUP(D3227,'[1]Перечень товаров'!$A$2:$I9525,2,0),"")</f>
        <v>п30</v>
      </c>
      <c r="C3227" s="12" t="str">
        <f>IFERROR(VLOOKUP(D3227,'[1]Перечень товаров'!$A$2:$I9525,3,0),"")</f>
        <v>Прочее</v>
      </c>
      <c r="D3227" s="22" t="s">
        <v>365</v>
      </c>
      <c r="E3227" s="102"/>
      <c r="F3227" s="102"/>
      <c r="G3227" s="48">
        <v>2</v>
      </c>
      <c r="H3227" s="48"/>
      <c r="I3227" s="49"/>
      <c r="J3227" s="49"/>
      <c r="K3227" s="19"/>
      <c r="L3227" s="20"/>
      <c r="M3227" s="10"/>
      <c r="N3227" s="10"/>
      <c r="O3227" s="10"/>
      <c r="P3227" s="10"/>
      <c r="Q3227" s="10"/>
      <c r="R3227" s="10"/>
      <c r="S3227" s="10"/>
      <c r="T3227" s="10"/>
      <c r="U3227" s="10"/>
      <c r="V3227" s="10"/>
      <c r="W3227" s="10"/>
      <c r="X3227" s="10"/>
      <c r="Y3227" s="10"/>
      <c r="Z3227" s="10"/>
      <c r="AA3227" s="10"/>
      <c r="AB3227" s="10"/>
      <c r="AC3227" s="10"/>
      <c r="AD3227" s="10"/>
      <c r="AE3227" s="10"/>
      <c r="AF3227" s="10"/>
      <c r="AG3227" s="10"/>
      <c r="AH3227" s="10"/>
    </row>
    <row r="3228" spans="1:34" ht="31.5" outlineLevel="2">
      <c r="A3228" s="21"/>
      <c r="B3228" s="12" t="str">
        <f>IFERROR(VLOOKUP(D3228,'[1]Перечень товаров'!$A$2:$I9525,2,0),"")</f>
        <v>п31</v>
      </c>
      <c r="C3228" s="12" t="str">
        <f>IFERROR(VLOOKUP(D3228,'[1]Перечень товаров'!$A$2:$I9525,3,0),"")</f>
        <v>Прочее</v>
      </c>
      <c r="D3228" s="22" t="s">
        <v>366</v>
      </c>
      <c r="E3228" s="102"/>
      <c r="F3228" s="102"/>
      <c r="G3228" s="48">
        <v>1</v>
      </c>
      <c r="H3228" s="48"/>
      <c r="I3228" s="49"/>
      <c r="J3228" s="49"/>
      <c r="K3228" s="19"/>
      <c r="L3228" s="20"/>
      <c r="M3228" s="10"/>
      <c r="N3228" s="10"/>
      <c r="O3228" s="10"/>
      <c r="P3228" s="10"/>
      <c r="Q3228" s="10"/>
      <c r="R3228" s="10"/>
      <c r="S3228" s="10"/>
      <c r="T3228" s="10"/>
      <c r="U3228" s="10"/>
      <c r="V3228" s="10"/>
      <c r="W3228" s="10"/>
      <c r="X3228" s="10"/>
      <c r="Y3228" s="10"/>
      <c r="Z3228" s="10"/>
      <c r="AA3228" s="10"/>
      <c r="AB3228" s="10"/>
      <c r="AC3228" s="10"/>
      <c r="AD3228" s="10"/>
      <c r="AE3228" s="10"/>
      <c r="AF3228" s="10"/>
      <c r="AG3228" s="10"/>
      <c r="AH3228" s="10"/>
    </row>
    <row r="3229" spans="1:34" ht="31.5" outlineLevel="2">
      <c r="A3229" s="21"/>
      <c r="B3229" s="12" t="str">
        <f>IFERROR(VLOOKUP(D3229,'[1]Перечень товаров'!$A$2:$I9525,2,0),"")</f>
        <v>п32</v>
      </c>
      <c r="C3229" s="12" t="str">
        <f>IFERROR(VLOOKUP(D3229,'[1]Перечень товаров'!$A$2:$I9525,3,0),"")</f>
        <v>Прочее</v>
      </c>
      <c r="D3229" s="22" t="s">
        <v>367</v>
      </c>
      <c r="E3229" s="102"/>
      <c r="F3229" s="102"/>
      <c r="G3229" s="48">
        <v>2</v>
      </c>
      <c r="H3229" s="48"/>
      <c r="I3229" s="49"/>
      <c r="J3229" s="49"/>
      <c r="K3229" s="19"/>
      <c r="L3229" s="20"/>
      <c r="M3229" s="10"/>
      <c r="N3229" s="10"/>
      <c r="O3229" s="10"/>
      <c r="P3229" s="10"/>
      <c r="Q3229" s="10"/>
      <c r="R3229" s="10"/>
      <c r="S3229" s="10"/>
      <c r="T3229" s="10"/>
      <c r="U3229" s="10"/>
      <c r="V3229" s="10"/>
      <c r="W3229" s="10"/>
      <c r="X3229" s="10"/>
      <c r="Y3229" s="10"/>
      <c r="Z3229" s="10"/>
      <c r="AA3229" s="10"/>
      <c r="AB3229" s="10"/>
      <c r="AC3229" s="10"/>
      <c r="AD3229" s="10"/>
      <c r="AE3229" s="10"/>
      <c r="AF3229" s="10"/>
      <c r="AG3229" s="10"/>
      <c r="AH3229" s="10"/>
    </row>
    <row r="3230" spans="1:34" ht="12.75" outlineLevel="1">
      <c r="A3230" s="11"/>
      <c r="B3230" s="12" t="str">
        <f>IFERROR(VLOOKUP(D3230,'[1]Перечень товаров'!$A$2:$I9525,2,0),"")</f>
        <v/>
      </c>
      <c r="C3230" s="12" t="str">
        <f>IFERROR(VLOOKUP(D3230,'[1]Перечень товаров'!$A$2:$I9525,3,0),"")</f>
        <v/>
      </c>
      <c r="D3230" s="27" t="s">
        <v>359</v>
      </c>
      <c r="E3230" s="14">
        <v>7.8</v>
      </c>
      <c r="F3230" s="14"/>
      <c r="G3230" s="17"/>
      <c r="H3230" s="17"/>
      <c r="I3230" s="57"/>
      <c r="J3230" s="57"/>
      <c r="K3230" s="19"/>
      <c r="L3230" s="20"/>
      <c r="M3230" s="10"/>
      <c r="N3230" s="10"/>
      <c r="O3230" s="10"/>
      <c r="P3230" s="10"/>
      <c r="Q3230" s="10"/>
      <c r="R3230" s="10"/>
      <c r="S3230" s="10"/>
      <c r="T3230" s="10"/>
      <c r="U3230" s="10"/>
      <c r="V3230" s="10"/>
      <c r="W3230" s="10"/>
      <c r="X3230" s="10"/>
      <c r="Y3230" s="10"/>
      <c r="Z3230" s="10"/>
      <c r="AA3230" s="10"/>
      <c r="AB3230" s="10"/>
      <c r="AC3230" s="10"/>
      <c r="AD3230" s="10"/>
      <c r="AE3230" s="10"/>
      <c r="AF3230" s="10"/>
      <c r="AG3230" s="10"/>
      <c r="AH3230" s="10"/>
    </row>
    <row r="3231" spans="1:34" outlineLevel="2">
      <c r="A3231" s="22"/>
      <c r="B3231" s="12" t="str">
        <f>IFERROR(VLOOKUP(D3231,'[1]Перечень товаров'!$A$2:$I9525,2,0),"")</f>
        <v>п25</v>
      </c>
      <c r="C3231" s="12" t="str">
        <f>IFERROR(VLOOKUP(D3231,'[1]Перечень товаров'!$A$2:$I9525,3,0),"")</f>
        <v>Прочее</v>
      </c>
      <c r="D3231" s="22" t="s">
        <v>360</v>
      </c>
      <c r="E3231" s="102"/>
      <c r="F3231" s="102"/>
      <c r="G3231" s="48">
        <v>3</v>
      </c>
      <c r="H3231" s="48"/>
      <c r="I3231" s="49"/>
      <c r="J3231" s="49"/>
      <c r="K3231" s="33"/>
      <c r="L3231" s="20"/>
      <c r="M3231" s="10"/>
      <c r="N3231" s="10"/>
      <c r="O3231" s="10"/>
      <c r="P3231" s="10"/>
      <c r="Q3231" s="10"/>
      <c r="R3231" s="10"/>
      <c r="S3231" s="10"/>
      <c r="T3231" s="10"/>
      <c r="U3231" s="10"/>
      <c r="V3231" s="10"/>
      <c r="W3231" s="10"/>
      <c r="X3231" s="10"/>
      <c r="Y3231" s="10"/>
      <c r="Z3231" s="10"/>
      <c r="AA3231" s="10"/>
      <c r="AB3231" s="10"/>
      <c r="AC3231" s="10"/>
      <c r="AD3231" s="10"/>
      <c r="AE3231" s="10"/>
      <c r="AF3231" s="10"/>
      <c r="AG3231" s="10"/>
      <c r="AH3231" s="10"/>
    </row>
    <row r="3232" spans="1:34" outlineLevel="2">
      <c r="A3232" s="21"/>
      <c r="B3232" s="12" t="str">
        <f>IFERROR(VLOOKUP(D3232,'[1]Перечень товаров'!$A$2:$I9525,2,0),"")</f>
        <v>п26</v>
      </c>
      <c r="C3232" s="12" t="str">
        <f>IFERROR(VLOOKUP(D3232,'[1]Перечень товаров'!$A$2:$I9525,3,0),"")</f>
        <v>Прочее</v>
      </c>
      <c r="D3232" s="22" t="s">
        <v>361</v>
      </c>
      <c r="E3232" s="102"/>
      <c r="F3232" s="102"/>
      <c r="G3232" s="48">
        <v>2</v>
      </c>
      <c r="H3232" s="48"/>
      <c r="I3232" s="49"/>
      <c r="J3232" s="49"/>
      <c r="K3232" s="33"/>
      <c r="L3232" s="20"/>
      <c r="M3232" s="10"/>
      <c r="N3232" s="10"/>
      <c r="O3232" s="10"/>
      <c r="P3232" s="10"/>
      <c r="Q3232" s="10"/>
      <c r="R3232" s="10"/>
      <c r="S3232" s="10"/>
      <c r="T3232" s="10"/>
      <c r="U3232" s="10"/>
      <c r="V3232" s="10"/>
      <c r="W3232" s="10"/>
      <c r="X3232" s="10"/>
      <c r="Y3232" s="10"/>
      <c r="Z3232" s="10"/>
      <c r="AA3232" s="10"/>
      <c r="AB3232" s="10"/>
      <c r="AC3232" s="10"/>
      <c r="AD3232" s="10"/>
      <c r="AE3232" s="10"/>
      <c r="AF3232" s="10"/>
      <c r="AG3232" s="10"/>
      <c r="AH3232" s="10"/>
    </row>
    <row r="3233" spans="1:34" outlineLevel="2">
      <c r="A3233" s="21"/>
      <c r="B3233" s="12" t="str">
        <f>IFERROR(VLOOKUP(D3233,'[1]Перечень товаров'!$A$2:$I9525,2,0),"")</f>
        <v>п27</v>
      </c>
      <c r="C3233" s="12" t="str">
        <f>IFERROR(VLOOKUP(D3233,'[1]Перечень товаров'!$A$2:$I9525,3,0),"")</f>
        <v>Прочее</v>
      </c>
      <c r="D3233" s="22" t="s">
        <v>362</v>
      </c>
      <c r="E3233" s="102"/>
      <c r="F3233" s="102"/>
      <c r="G3233" s="48">
        <v>2</v>
      </c>
      <c r="H3233" s="48"/>
      <c r="I3233" s="49"/>
      <c r="J3233" s="49"/>
      <c r="K3233" s="33"/>
      <c r="L3233" s="20"/>
      <c r="M3233" s="10"/>
      <c r="N3233" s="10"/>
      <c r="O3233" s="10"/>
      <c r="P3233" s="10"/>
      <c r="Q3233" s="10"/>
      <c r="R3233" s="10"/>
      <c r="S3233" s="10"/>
      <c r="T3233" s="10"/>
      <c r="U3233" s="10"/>
      <c r="V3233" s="10"/>
      <c r="W3233" s="10"/>
      <c r="X3233" s="10"/>
      <c r="Y3233" s="10"/>
      <c r="Z3233" s="10"/>
      <c r="AA3233" s="10"/>
      <c r="AB3233" s="10"/>
      <c r="AC3233" s="10"/>
      <c r="AD3233" s="10"/>
      <c r="AE3233" s="10"/>
      <c r="AF3233" s="10"/>
      <c r="AG3233" s="10"/>
      <c r="AH3233" s="10"/>
    </row>
    <row r="3234" spans="1:34" outlineLevel="2">
      <c r="A3234" s="21"/>
      <c r="B3234" s="12" t="str">
        <f>IFERROR(VLOOKUP(D3234,'[1]Перечень товаров'!$A$2:$I9525,2,0),"")</f>
        <v>п28</v>
      </c>
      <c r="C3234" s="12" t="str">
        <f>IFERROR(VLOOKUP(D3234,'[1]Перечень товаров'!$A$2:$I9525,3,0),"")</f>
        <v>Прочее</v>
      </c>
      <c r="D3234" s="22" t="s">
        <v>363</v>
      </c>
      <c r="E3234" s="102"/>
      <c r="F3234" s="102"/>
      <c r="G3234" s="48">
        <v>1</v>
      </c>
      <c r="H3234" s="48"/>
      <c r="I3234" s="49"/>
      <c r="J3234" s="49"/>
      <c r="K3234" s="33"/>
      <c r="L3234" s="20"/>
      <c r="M3234" s="10"/>
      <c r="N3234" s="10"/>
      <c r="O3234" s="10"/>
      <c r="P3234" s="10"/>
      <c r="Q3234" s="10"/>
      <c r="R3234" s="10"/>
      <c r="S3234" s="10"/>
      <c r="T3234" s="10"/>
      <c r="U3234" s="10"/>
      <c r="V3234" s="10"/>
      <c r="W3234" s="10"/>
      <c r="X3234" s="10"/>
      <c r="Y3234" s="10"/>
      <c r="Z3234" s="10"/>
      <c r="AA3234" s="10"/>
      <c r="AB3234" s="10"/>
      <c r="AC3234" s="10"/>
      <c r="AD3234" s="10"/>
      <c r="AE3234" s="10"/>
      <c r="AF3234" s="10"/>
      <c r="AG3234" s="10"/>
      <c r="AH3234" s="10"/>
    </row>
    <row r="3235" spans="1:34" outlineLevel="2">
      <c r="A3235" s="21"/>
      <c r="B3235" s="12" t="str">
        <f>IFERROR(VLOOKUP(D3235,'[1]Перечень товаров'!$A$2:$I9525,2,0),"")</f>
        <v>п29</v>
      </c>
      <c r="C3235" s="12" t="str">
        <f>IFERROR(VLOOKUP(D3235,'[1]Перечень товаров'!$A$2:$I9525,3,0),"")</f>
        <v>Прочее</v>
      </c>
      <c r="D3235" s="22" t="s">
        <v>364</v>
      </c>
      <c r="E3235" s="102"/>
      <c r="F3235" s="102"/>
      <c r="G3235" s="48">
        <v>6</v>
      </c>
      <c r="H3235" s="48"/>
      <c r="I3235" s="49"/>
      <c r="J3235" s="49"/>
      <c r="K3235" s="33"/>
      <c r="L3235" s="20"/>
      <c r="M3235" s="10"/>
      <c r="N3235" s="10"/>
      <c r="O3235" s="10"/>
      <c r="P3235" s="10"/>
      <c r="Q3235" s="10"/>
      <c r="R3235" s="10"/>
      <c r="S3235" s="10"/>
      <c r="T3235" s="10"/>
      <c r="U3235" s="10"/>
      <c r="V3235" s="10"/>
      <c r="W3235" s="10"/>
      <c r="X3235" s="10"/>
      <c r="Y3235" s="10"/>
      <c r="Z3235" s="10"/>
      <c r="AA3235" s="10"/>
      <c r="AB3235" s="10"/>
      <c r="AC3235" s="10"/>
      <c r="AD3235" s="10"/>
      <c r="AE3235" s="10"/>
      <c r="AF3235" s="10"/>
      <c r="AG3235" s="10"/>
      <c r="AH3235" s="10"/>
    </row>
    <row r="3236" spans="1:34" outlineLevel="2">
      <c r="A3236" s="21"/>
      <c r="B3236" s="12" t="str">
        <f>IFERROR(VLOOKUP(D3236,'[1]Перечень товаров'!$A$2:$I9525,2,0),"")</f>
        <v>п30</v>
      </c>
      <c r="C3236" s="12" t="str">
        <f>IFERROR(VLOOKUP(D3236,'[1]Перечень товаров'!$A$2:$I9525,3,0),"")</f>
        <v>Прочее</v>
      </c>
      <c r="D3236" s="22" t="s">
        <v>365</v>
      </c>
      <c r="E3236" s="102"/>
      <c r="F3236" s="102"/>
      <c r="G3236" s="48">
        <v>2</v>
      </c>
      <c r="H3236" s="48"/>
      <c r="I3236" s="49"/>
      <c r="J3236" s="49"/>
      <c r="K3236" s="33"/>
      <c r="L3236" s="20"/>
      <c r="M3236" s="10"/>
      <c r="N3236" s="10"/>
      <c r="O3236" s="10"/>
      <c r="P3236" s="10"/>
      <c r="Q3236" s="10"/>
      <c r="R3236" s="10"/>
      <c r="S3236" s="10"/>
      <c r="T3236" s="10"/>
      <c r="U3236" s="10"/>
      <c r="V3236" s="10"/>
      <c r="W3236" s="10"/>
      <c r="X3236" s="10"/>
      <c r="Y3236" s="10"/>
      <c r="Z3236" s="10"/>
      <c r="AA3236" s="10"/>
      <c r="AB3236" s="10"/>
      <c r="AC3236" s="10"/>
      <c r="AD3236" s="10"/>
      <c r="AE3236" s="10"/>
      <c r="AF3236" s="10"/>
      <c r="AG3236" s="10"/>
      <c r="AH3236" s="10"/>
    </row>
    <row r="3237" spans="1:34" ht="31.5" outlineLevel="2">
      <c r="A3237" s="21"/>
      <c r="B3237" s="12" t="str">
        <f>IFERROR(VLOOKUP(D3237,'[1]Перечень товаров'!$A$2:$I9525,2,0),"")</f>
        <v>п31</v>
      </c>
      <c r="C3237" s="12" t="str">
        <f>IFERROR(VLOOKUP(D3237,'[1]Перечень товаров'!$A$2:$I9525,3,0),"")</f>
        <v>Прочее</v>
      </c>
      <c r="D3237" s="22" t="s">
        <v>366</v>
      </c>
      <c r="E3237" s="102"/>
      <c r="F3237" s="102"/>
      <c r="G3237" s="48">
        <v>1</v>
      </c>
      <c r="H3237" s="48"/>
      <c r="I3237" s="49"/>
      <c r="J3237" s="49"/>
      <c r="K3237" s="33"/>
      <c r="L3237" s="20"/>
      <c r="M3237" s="10"/>
      <c r="N3237" s="10"/>
      <c r="O3237" s="10"/>
      <c r="P3237" s="10"/>
      <c r="Q3237" s="10"/>
      <c r="R3237" s="10"/>
      <c r="S3237" s="10"/>
      <c r="T3237" s="10"/>
      <c r="U3237" s="10"/>
      <c r="V3237" s="10"/>
      <c r="W3237" s="10"/>
      <c r="X3237" s="10"/>
      <c r="Y3237" s="10"/>
      <c r="Z3237" s="10"/>
      <c r="AA3237" s="10"/>
      <c r="AB3237" s="10"/>
      <c r="AC3237" s="10"/>
      <c r="AD3237" s="10"/>
      <c r="AE3237" s="10"/>
      <c r="AF3237" s="10"/>
      <c r="AG3237" s="10"/>
      <c r="AH3237" s="10"/>
    </row>
    <row r="3238" spans="1:34" ht="31.5" outlineLevel="2">
      <c r="A3238" s="21"/>
      <c r="B3238" s="12" t="str">
        <f>IFERROR(VLOOKUP(D3238,'[1]Перечень товаров'!$A$2:$I9525,2,0),"")</f>
        <v>п32</v>
      </c>
      <c r="C3238" s="12" t="str">
        <f>IFERROR(VLOOKUP(D3238,'[1]Перечень товаров'!$A$2:$I9525,3,0),"")</f>
        <v>Прочее</v>
      </c>
      <c r="D3238" s="22" t="s">
        <v>367</v>
      </c>
      <c r="E3238" s="102"/>
      <c r="F3238" s="102"/>
      <c r="G3238" s="48">
        <v>2</v>
      </c>
      <c r="H3238" s="48"/>
      <c r="I3238" s="49"/>
      <c r="J3238" s="49"/>
      <c r="K3238" s="33"/>
      <c r="L3238" s="20"/>
      <c r="M3238" s="10"/>
      <c r="N3238" s="10"/>
      <c r="O3238" s="10"/>
      <c r="P3238" s="10"/>
      <c r="Q3238" s="10"/>
      <c r="R3238" s="10"/>
      <c r="S3238" s="10"/>
      <c r="T3238" s="10"/>
      <c r="U3238" s="10"/>
      <c r="V3238" s="10"/>
      <c r="W3238" s="10"/>
      <c r="X3238" s="10"/>
      <c r="Y3238" s="10"/>
      <c r="Z3238" s="10"/>
      <c r="AA3238" s="10"/>
      <c r="AB3238" s="10"/>
      <c r="AC3238" s="10"/>
      <c r="AD3238" s="10"/>
      <c r="AE3238" s="10"/>
      <c r="AF3238" s="10"/>
      <c r="AG3238" s="10"/>
      <c r="AH3238" s="10"/>
    </row>
    <row r="3239" spans="1:34" outlineLevel="1">
      <c r="A3239" s="21"/>
      <c r="B3239" s="12" t="str">
        <f>IFERROR(VLOOKUP(D3239,'[1]Перечень товаров'!$A$2:$I9525,2,0),"")</f>
        <v/>
      </c>
      <c r="C3239" s="12" t="str">
        <f>IFERROR(VLOOKUP(D3239,'[1]Перечень товаров'!$A$2:$I9525,3,0),"")</f>
        <v/>
      </c>
      <c r="D3239" s="22" t="s">
        <v>11</v>
      </c>
      <c r="E3239" s="23">
        <v>53.6</v>
      </c>
      <c r="F3239" s="23"/>
      <c r="G3239" s="24"/>
      <c r="H3239" s="24"/>
      <c r="I3239" s="25"/>
      <c r="J3239" s="25"/>
      <c r="K3239" s="19"/>
      <c r="L3239" s="20"/>
      <c r="M3239" s="10"/>
      <c r="N3239" s="10"/>
      <c r="O3239" s="10"/>
      <c r="P3239" s="10"/>
      <c r="Q3239" s="10"/>
      <c r="R3239" s="10"/>
      <c r="S3239" s="10"/>
      <c r="T3239" s="10"/>
      <c r="U3239" s="10"/>
      <c r="V3239" s="10"/>
      <c r="W3239" s="10"/>
      <c r="X3239" s="10"/>
      <c r="Y3239" s="10"/>
      <c r="Z3239" s="10"/>
      <c r="AA3239" s="10"/>
      <c r="AB3239" s="10"/>
      <c r="AC3239" s="10"/>
      <c r="AD3239" s="10"/>
      <c r="AE3239" s="10"/>
      <c r="AF3239" s="10"/>
      <c r="AG3239" s="10"/>
      <c r="AH3239" s="10"/>
    </row>
    <row r="3240" spans="1:34" ht="12.75" outlineLevel="1">
      <c r="A3240" s="11"/>
      <c r="B3240" s="12" t="str">
        <f>IFERROR(VLOOKUP(D3240,'[1]Перечень товаров'!$A$2:$I9525,2,0),"")</f>
        <v/>
      </c>
      <c r="C3240" s="12" t="str">
        <f>IFERROR(VLOOKUP(D3240,'[1]Перечень товаров'!$A$2:$I9525,3,0),"")</f>
        <v/>
      </c>
      <c r="D3240" s="27" t="s">
        <v>529</v>
      </c>
      <c r="E3240" s="14">
        <v>5.9</v>
      </c>
      <c r="F3240" s="14"/>
      <c r="G3240" s="17"/>
      <c r="H3240" s="17"/>
      <c r="I3240" s="57"/>
      <c r="J3240" s="57"/>
      <c r="K3240" s="19"/>
      <c r="L3240" s="20"/>
      <c r="M3240" s="10"/>
      <c r="N3240" s="10"/>
      <c r="O3240" s="10"/>
      <c r="P3240" s="10"/>
      <c r="Q3240" s="10"/>
      <c r="R3240" s="10"/>
      <c r="S3240" s="10"/>
      <c r="T3240" s="10"/>
      <c r="U3240" s="10"/>
      <c r="V3240" s="10"/>
      <c r="W3240" s="10"/>
      <c r="X3240" s="10"/>
      <c r="Y3240" s="10"/>
      <c r="Z3240" s="10"/>
      <c r="AA3240" s="10"/>
      <c r="AB3240" s="10"/>
      <c r="AC3240" s="10"/>
      <c r="AD3240" s="10"/>
      <c r="AE3240" s="10"/>
      <c r="AF3240" s="10"/>
      <c r="AG3240" s="10"/>
      <c r="AH3240" s="10"/>
    </row>
    <row r="3241" spans="1:34" outlineLevel="2">
      <c r="A3241" s="22"/>
      <c r="B3241" s="12" t="str">
        <f>IFERROR(VLOOKUP(D3241,'[1]Перечень товаров'!$A$2:$I9525,2,0),"")</f>
        <v>п25</v>
      </c>
      <c r="C3241" s="12" t="str">
        <f>IFERROR(VLOOKUP(D3241,'[1]Перечень товаров'!$A$2:$I9525,3,0),"")</f>
        <v>Прочее</v>
      </c>
      <c r="D3241" s="22" t="s">
        <v>360</v>
      </c>
      <c r="E3241" s="102"/>
      <c r="F3241" s="102"/>
      <c r="G3241" s="48">
        <v>3</v>
      </c>
      <c r="H3241" s="48"/>
      <c r="I3241" s="49"/>
      <c r="J3241" s="49"/>
      <c r="K3241" s="33"/>
      <c r="L3241" s="20"/>
      <c r="M3241" s="10"/>
      <c r="N3241" s="10"/>
      <c r="O3241" s="10"/>
      <c r="P3241" s="10"/>
      <c r="Q3241" s="10"/>
      <c r="R3241" s="10"/>
      <c r="S3241" s="10"/>
      <c r="T3241" s="10"/>
      <c r="U3241" s="10"/>
      <c r="V3241" s="10"/>
      <c r="W3241" s="10"/>
      <c r="X3241" s="10"/>
      <c r="Y3241" s="10"/>
      <c r="Z3241" s="10"/>
      <c r="AA3241" s="10"/>
      <c r="AB3241" s="10"/>
      <c r="AC3241" s="10"/>
      <c r="AD3241" s="10"/>
      <c r="AE3241" s="10"/>
      <c r="AF3241" s="10"/>
      <c r="AG3241" s="10"/>
      <c r="AH3241" s="10"/>
    </row>
    <row r="3242" spans="1:34" outlineLevel="2">
      <c r="A3242" s="21"/>
      <c r="B3242" s="12" t="str">
        <f>IFERROR(VLOOKUP(D3242,'[1]Перечень товаров'!$A$2:$I9525,2,0),"")</f>
        <v>п26</v>
      </c>
      <c r="C3242" s="12" t="str">
        <f>IFERROR(VLOOKUP(D3242,'[1]Перечень товаров'!$A$2:$I9525,3,0),"")</f>
        <v>Прочее</v>
      </c>
      <c r="D3242" s="22" t="s">
        <v>361</v>
      </c>
      <c r="E3242" s="102"/>
      <c r="F3242" s="102"/>
      <c r="G3242" s="48">
        <v>2</v>
      </c>
      <c r="H3242" s="48"/>
      <c r="I3242" s="49"/>
      <c r="J3242" s="49"/>
      <c r="K3242" s="33"/>
      <c r="L3242" s="20"/>
      <c r="M3242" s="10"/>
      <c r="N3242" s="10"/>
      <c r="O3242" s="10"/>
      <c r="P3242" s="10"/>
      <c r="Q3242" s="10"/>
      <c r="R3242" s="10"/>
      <c r="S3242" s="10"/>
      <c r="T3242" s="10"/>
      <c r="U3242" s="10"/>
      <c r="V3242" s="10"/>
      <c r="W3242" s="10"/>
      <c r="X3242" s="10"/>
      <c r="Y3242" s="10"/>
      <c r="Z3242" s="10"/>
      <c r="AA3242" s="10"/>
      <c r="AB3242" s="10"/>
      <c r="AC3242" s="10"/>
      <c r="AD3242" s="10"/>
      <c r="AE3242" s="10"/>
      <c r="AF3242" s="10"/>
      <c r="AG3242" s="10"/>
      <c r="AH3242" s="10"/>
    </row>
    <row r="3243" spans="1:34" outlineLevel="2">
      <c r="A3243" s="21"/>
      <c r="B3243" s="12" t="str">
        <f>IFERROR(VLOOKUP(D3243,'[1]Перечень товаров'!$A$2:$I9525,2,0),"")</f>
        <v>п27</v>
      </c>
      <c r="C3243" s="12" t="str">
        <f>IFERROR(VLOOKUP(D3243,'[1]Перечень товаров'!$A$2:$I9525,3,0),"")</f>
        <v>Прочее</v>
      </c>
      <c r="D3243" s="22" t="s">
        <v>362</v>
      </c>
      <c r="E3243" s="102"/>
      <c r="F3243" s="102"/>
      <c r="G3243" s="48">
        <v>2</v>
      </c>
      <c r="H3243" s="48"/>
      <c r="I3243" s="49"/>
      <c r="J3243" s="49"/>
      <c r="K3243" s="33"/>
      <c r="L3243" s="20"/>
      <c r="M3243" s="10"/>
      <c r="N3243" s="10"/>
      <c r="O3243" s="10"/>
      <c r="P3243" s="10"/>
      <c r="Q3243" s="10"/>
      <c r="R3243" s="10"/>
      <c r="S3243" s="10"/>
      <c r="T3243" s="10"/>
      <c r="U3243" s="10"/>
      <c r="V3243" s="10"/>
      <c r="W3243" s="10"/>
      <c r="X3243" s="10"/>
      <c r="Y3243" s="10"/>
      <c r="Z3243" s="10"/>
      <c r="AA3243" s="10"/>
      <c r="AB3243" s="10"/>
      <c r="AC3243" s="10"/>
      <c r="AD3243" s="10"/>
      <c r="AE3243" s="10"/>
      <c r="AF3243" s="10"/>
      <c r="AG3243" s="10"/>
      <c r="AH3243" s="10"/>
    </row>
    <row r="3244" spans="1:34" outlineLevel="2">
      <c r="A3244" s="21"/>
      <c r="B3244" s="12" t="str">
        <f>IFERROR(VLOOKUP(D3244,'[1]Перечень товаров'!$A$2:$I9525,2,0),"")</f>
        <v>п28</v>
      </c>
      <c r="C3244" s="12" t="str">
        <f>IFERROR(VLOOKUP(D3244,'[1]Перечень товаров'!$A$2:$I9525,3,0),"")</f>
        <v>Прочее</v>
      </c>
      <c r="D3244" s="22" t="s">
        <v>363</v>
      </c>
      <c r="E3244" s="102"/>
      <c r="F3244" s="102"/>
      <c r="G3244" s="48">
        <v>1</v>
      </c>
      <c r="H3244" s="48"/>
      <c r="I3244" s="49"/>
      <c r="J3244" s="49"/>
      <c r="K3244" s="33"/>
      <c r="L3244" s="20"/>
      <c r="M3244" s="10"/>
      <c r="N3244" s="10"/>
      <c r="O3244" s="10"/>
      <c r="P3244" s="10"/>
      <c r="Q3244" s="10"/>
      <c r="R3244" s="10"/>
      <c r="S3244" s="10"/>
      <c r="T3244" s="10"/>
      <c r="U3244" s="10"/>
      <c r="V3244" s="10"/>
      <c r="W3244" s="10"/>
      <c r="X3244" s="10"/>
      <c r="Y3244" s="10"/>
      <c r="Z3244" s="10"/>
      <c r="AA3244" s="10"/>
      <c r="AB3244" s="10"/>
      <c r="AC3244" s="10"/>
      <c r="AD3244" s="10"/>
      <c r="AE3244" s="10"/>
      <c r="AF3244" s="10"/>
      <c r="AG3244" s="10"/>
      <c r="AH3244" s="10"/>
    </row>
    <row r="3245" spans="1:34" outlineLevel="2">
      <c r="A3245" s="21"/>
      <c r="B3245" s="12" t="str">
        <f>IFERROR(VLOOKUP(D3245,'[1]Перечень товаров'!$A$2:$I9525,2,0),"")</f>
        <v>п29</v>
      </c>
      <c r="C3245" s="12" t="str">
        <f>IFERROR(VLOOKUP(D3245,'[1]Перечень товаров'!$A$2:$I9525,3,0),"")</f>
        <v>Прочее</v>
      </c>
      <c r="D3245" s="22" t="s">
        <v>364</v>
      </c>
      <c r="E3245" s="102"/>
      <c r="F3245" s="102"/>
      <c r="G3245" s="48">
        <v>6</v>
      </c>
      <c r="H3245" s="48"/>
      <c r="I3245" s="49"/>
      <c r="J3245" s="49"/>
      <c r="K3245" s="33"/>
      <c r="L3245" s="20"/>
      <c r="M3245" s="10"/>
      <c r="N3245" s="10"/>
      <c r="O3245" s="10"/>
      <c r="P3245" s="10"/>
      <c r="Q3245" s="10"/>
      <c r="R3245" s="10"/>
      <c r="S3245" s="10"/>
      <c r="T3245" s="10"/>
      <c r="U3245" s="10"/>
      <c r="V3245" s="10"/>
      <c r="W3245" s="10"/>
      <c r="X3245" s="10"/>
      <c r="Y3245" s="10"/>
      <c r="Z3245" s="10"/>
      <c r="AA3245" s="10"/>
      <c r="AB3245" s="10"/>
      <c r="AC3245" s="10"/>
      <c r="AD3245" s="10"/>
      <c r="AE3245" s="10"/>
      <c r="AF3245" s="10"/>
      <c r="AG3245" s="10"/>
      <c r="AH3245" s="10"/>
    </row>
    <row r="3246" spans="1:34" outlineLevel="2">
      <c r="A3246" s="21"/>
      <c r="B3246" s="12" t="str">
        <f>IFERROR(VLOOKUP(D3246,'[1]Перечень товаров'!$A$2:$I9525,2,0),"")</f>
        <v>п30</v>
      </c>
      <c r="C3246" s="12" t="str">
        <f>IFERROR(VLOOKUP(D3246,'[1]Перечень товаров'!$A$2:$I9525,3,0),"")</f>
        <v>Прочее</v>
      </c>
      <c r="D3246" s="22" t="s">
        <v>365</v>
      </c>
      <c r="E3246" s="102"/>
      <c r="F3246" s="102"/>
      <c r="G3246" s="48">
        <v>2</v>
      </c>
      <c r="H3246" s="48"/>
      <c r="I3246" s="49"/>
      <c r="J3246" s="49"/>
      <c r="K3246" s="33"/>
      <c r="L3246" s="20"/>
      <c r="M3246" s="10"/>
      <c r="N3246" s="10"/>
      <c r="O3246" s="10"/>
      <c r="P3246" s="10"/>
      <c r="Q3246" s="10"/>
      <c r="R3246" s="10"/>
      <c r="S3246" s="10"/>
      <c r="T3246" s="10"/>
      <c r="U3246" s="10"/>
      <c r="V3246" s="10"/>
      <c r="W3246" s="10"/>
      <c r="X3246" s="10"/>
      <c r="Y3246" s="10"/>
      <c r="Z3246" s="10"/>
      <c r="AA3246" s="10"/>
      <c r="AB3246" s="10"/>
      <c r="AC3246" s="10"/>
      <c r="AD3246" s="10"/>
      <c r="AE3246" s="10"/>
      <c r="AF3246" s="10"/>
      <c r="AG3246" s="10"/>
      <c r="AH3246" s="10"/>
    </row>
    <row r="3247" spans="1:34" ht="31.5" outlineLevel="2">
      <c r="A3247" s="21"/>
      <c r="B3247" s="12" t="str">
        <f>IFERROR(VLOOKUP(D3247,'[1]Перечень товаров'!$A$2:$I9525,2,0),"")</f>
        <v>п31</v>
      </c>
      <c r="C3247" s="12" t="str">
        <f>IFERROR(VLOOKUP(D3247,'[1]Перечень товаров'!$A$2:$I9525,3,0),"")</f>
        <v>Прочее</v>
      </c>
      <c r="D3247" s="22" t="s">
        <v>366</v>
      </c>
      <c r="E3247" s="102"/>
      <c r="F3247" s="102"/>
      <c r="G3247" s="48">
        <v>1</v>
      </c>
      <c r="H3247" s="48"/>
      <c r="I3247" s="49"/>
      <c r="J3247" s="49"/>
      <c r="K3247" s="33"/>
      <c r="L3247" s="20"/>
      <c r="M3247" s="10"/>
      <c r="N3247" s="10"/>
      <c r="O3247" s="10"/>
      <c r="P3247" s="10"/>
      <c r="Q3247" s="10"/>
      <c r="R3247" s="10"/>
      <c r="S3247" s="10"/>
      <c r="T3247" s="10"/>
      <c r="U3247" s="10"/>
      <c r="V3247" s="10"/>
      <c r="W3247" s="10"/>
      <c r="X3247" s="10"/>
      <c r="Y3247" s="10"/>
      <c r="Z3247" s="10"/>
      <c r="AA3247" s="10"/>
      <c r="AB3247" s="10"/>
      <c r="AC3247" s="10"/>
      <c r="AD3247" s="10"/>
      <c r="AE3247" s="10"/>
      <c r="AF3247" s="10"/>
      <c r="AG3247" s="10"/>
      <c r="AH3247" s="10"/>
    </row>
    <row r="3248" spans="1:34" ht="31.5" outlineLevel="2">
      <c r="A3248" s="21"/>
      <c r="B3248" s="12" t="str">
        <f>IFERROR(VLOOKUP(D3248,'[1]Перечень товаров'!$A$2:$I9525,2,0),"")</f>
        <v>п32</v>
      </c>
      <c r="C3248" s="12" t="str">
        <f>IFERROR(VLOOKUP(D3248,'[1]Перечень товаров'!$A$2:$I9525,3,0),"")</f>
        <v>Прочее</v>
      </c>
      <c r="D3248" s="22" t="s">
        <v>367</v>
      </c>
      <c r="E3248" s="102"/>
      <c r="F3248" s="102"/>
      <c r="G3248" s="48">
        <v>2</v>
      </c>
      <c r="H3248" s="48"/>
      <c r="I3248" s="49"/>
      <c r="J3248" s="49"/>
      <c r="K3248" s="33"/>
      <c r="L3248" s="20"/>
      <c r="M3248" s="10"/>
      <c r="N3248" s="10"/>
      <c r="O3248" s="10"/>
      <c r="P3248" s="10"/>
      <c r="Q3248" s="10"/>
      <c r="R3248" s="10"/>
      <c r="S3248" s="10"/>
      <c r="T3248" s="10"/>
      <c r="U3248" s="10"/>
      <c r="V3248" s="10"/>
      <c r="W3248" s="10"/>
      <c r="X3248" s="10"/>
      <c r="Y3248" s="10"/>
      <c r="Z3248" s="10"/>
      <c r="AA3248" s="10"/>
      <c r="AB3248" s="10"/>
      <c r="AC3248" s="10"/>
      <c r="AD3248" s="10"/>
      <c r="AE3248" s="10"/>
      <c r="AF3248" s="10"/>
      <c r="AG3248" s="10"/>
      <c r="AH3248" s="10"/>
    </row>
    <row r="3249" spans="1:34" ht="12.75" outlineLevel="1">
      <c r="A3249" s="11"/>
      <c r="B3249" s="12" t="str">
        <f>IFERROR(VLOOKUP(D3249,'[1]Перечень товаров'!$A$2:$I9525,2,0),"")</f>
        <v/>
      </c>
      <c r="C3249" s="12" t="str">
        <f>IFERROR(VLOOKUP(D3249,'[1]Перечень товаров'!$A$2:$I9525,3,0),"")</f>
        <v/>
      </c>
      <c r="D3249" s="27" t="s">
        <v>373</v>
      </c>
      <c r="E3249" s="14">
        <v>2.2000000000000002</v>
      </c>
      <c r="F3249" s="14"/>
      <c r="G3249" s="17"/>
      <c r="H3249" s="17"/>
      <c r="I3249" s="57"/>
      <c r="J3249" s="57"/>
      <c r="K3249" s="19"/>
      <c r="L3249" s="20"/>
      <c r="M3249" s="10"/>
      <c r="N3249" s="10"/>
      <c r="O3249" s="10"/>
      <c r="P3249" s="10"/>
      <c r="Q3249" s="10"/>
      <c r="R3249" s="10"/>
      <c r="S3249" s="10"/>
      <c r="T3249" s="10"/>
      <c r="U3249" s="10"/>
      <c r="V3249" s="10"/>
      <c r="W3249" s="10"/>
      <c r="X3249" s="10"/>
      <c r="Y3249" s="10"/>
      <c r="Z3249" s="10"/>
      <c r="AA3249" s="10"/>
      <c r="AB3249" s="10"/>
      <c r="AC3249" s="10"/>
      <c r="AD3249" s="10"/>
      <c r="AE3249" s="10"/>
      <c r="AF3249" s="10"/>
      <c r="AG3249" s="10"/>
      <c r="AH3249" s="10"/>
    </row>
    <row r="3250" spans="1:34" outlineLevel="2">
      <c r="A3250" s="22"/>
      <c r="B3250" s="12" t="str">
        <f>IFERROR(VLOOKUP(D3250,'[1]Перечень товаров'!$A$2:$I9525,2,0),"")</f>
        <v>п25</v>
      </c>
      <c r="C3250" s="12" t="str">
        <f>IFERROR(VLOOKUP(D3250,'[1]Перечень товаров'!$A$2:$I9525,3,0),"")</f>
        <v>Прочее</v>
      </c>
      <c r="D3250" s="22" t="s">
        <v>360</v>
      </c>
      <c r="E3250" s="102"/>
      <c r="F3250" s="102"/>
      <c r="G3250" s="48">
        <v>3</v>
      </c>
      <c r="H3250" s="48"/>
      <c r="I3250" s="49"/>
      <c r="J3250" s="49"/>
      <c r="K3250" s="19"/>
      <c r="L3250" s="20"/>
      <c r="M3250" s="10"/>
      <c r="N3250" s="10"/>
      <c r="O3250" s="10"/>
      <c r="P3250" s="10"/>
      <c r="Q3250" s="10"/>
      <c r="R3250" s="10"/>
      <c r="S3250" s="10"/>
      <c r="T3250" s="10"/>
      <c r="U3250" s="10"/>
      <c r="V3250" s="10"/>
      <c r="W3250" s="10"/>
      <c r="X3250" s="10"/>
      <c r="Y3250" s="10"/>
      <c r="Z3250" s="10"/>
      <c r="AA3250" s="10"/>
      <c r="AB3250" s="10"/>
      <c r="AC3250" s="10"/>
      <c r="AD3250" s="10"/>
      <c r="AE3250" s="10"/>
      <c r="AF3250" s="10"/>
      <c r="AG3250" s="10"/>
      <c r="AH3250" s="10"/>
    </row>
    <row r="3251" spans="1:34" outlineLevel="2">
      <c r="A3251" s="21"/>
      <c r="B3251" s="12" t="str">
        <f>IFERROR(VLOOKUP(D3251,'[1]Перечень товаров'!$A$2:$I9525,2,0),"")</f>
        <v>п26</v>
      </c>
      <c r="C3251" s="12" t="str">
        <f>IFERROR(VLOOKUP(D3251,'[1]Перечень товаров'!$A$2:$I9525,3,0),"")</f>
        <v>Прочее</v>
      </c>
      <c r="D3251" s="22" t="s">
        <v>361</v>
      </c>
      <c r="E3251" s="102"/>
      <c r="F3251" s="102"/>
      <c r="G3251" s="48">
        <v>2</v>
      </c>
      <c r="H3251" s="48"/>
      <c r="I3251" s="49"/>
      <c r="J3251" s="49"/>
      <c r="K3251" s="19"/>
      <c r="L3251" s="20"/>
      <c r="M3251" s="10"/>
      <c r="N3251" s="10"/>
      <c r="O3251" s="10"/>
      <c r="P3251" s="10"/>
      <c r="Q3251" s="10"/>
      <c r="R3251" s="10"/>
      <c r="S3251" s="10"/>
      <c r="T3251" s="10"/>
      <c r="U3251" s="10"/>
      <c r="V3251" s="10"/>
      <c r="W3251" s="10"/>
      <c r="X3251" s="10"/>
      <c r="Y3251" s="10"/>
      <c r="Z3251" s="10"/>
      <c r="AA3251" s="10"/>
      <c r="AB3251" s="10"/>
      <c r="AC3251" s="10"/>
      <c r="AD3251" s="10"/>
      <c r="AE3251" s="10"/>
      <c r="AF3251" s="10"/>
      <c r="AG3251" s="10"/>
      <c r="AH3251" s="10"/>
    </row>
    <row r="3252" spans="1:34" outlineLevel="2">
      <c r="A3252" s="21"/>
      <c r="B3252" s="12" t="str">
        <f>IFERROR(VLOOKUP(D3252,'[1]Перечень товаров'!$A$2:$I9525,2,0),"")</f>
        <v>п27</v>
      </c>
      <c r="C3252" s="12" t="str">
        <f>IFERROR(VLOOKUP(D3252,'[1]Перечень товаров'!$A$2:$I9525,3,0),"")</f>
        <v>Прочее</v>
      </c>
      <c r="D3252" s="22" t="s">
        <v>362</v>
      </c>
      <c r="E3252" s="102"/>
      <c r="F3252" s="102"/>
      <c r="G3252" s="48">
        <v>2</v>
      </c>
      <c r="H3252" s="48"/>
      <c r="I3252" s="49"/>
      <c r="J3252" s="49"/>
      <c r="K3252" s="19"/>
      <c r="L3252" s="20"/>
      <c r="M3252" s="10"/>
      <c r="N3252" s="10"/>
      <c r="O3252" s="10"/>
      <c r="P3252" s="10"/>
      <c r="Q3252" s="10"/>
      <c r="R3252" s="10"/>
      <c r="S3252" s="10"/>
      <c r="T3252" s="10"/>
      <c r="U3252" s="10"/>
      <c r="V3252" s="10"/>
      <c r="W3252" s="10"/>
      <c r="X3252" s="10"/>
      <c r="Y3252" s="10"/>
      <c r="Z3252" s="10"/>
      <c r="AA3252" s="10"/>
      <c r="AB3252" s="10"/>
      <c r="AC3252" s="10"/>
      <c r="AD3252" s="10"/>
      <c r="AE3252" s="10"/>
      <c r="AF3252" s="10"/>
      <c r="AG3252" s="10"/>
      <c r="AH3252" s="10"/>
    </row>
    <row r="3253" spans="1:34" outlineLevel="2">
      <c r="A3253" s="21"/>
      <c r="B3253" s="12" t="str">
        <f>IFERROR(VLOOKUP(D3253,'[1]Перечень товаров'!$A$2:$I9525,2,0),"")</f>
        <v>п28</v>
      </c>
      <c r="C3253" s="12" t="str">
        <f>IFERROR(VLOOKUP(D3253,'[1]Перечень товаров'!$A$2:$I9525,3,0),"")</f>
        <v>Прочее</v>
      </c>
      <c r="D3253" s="22" t="s">
        <v>363</v>
      </c>
      <c r="E3253" s="102"/>
      <c r="F3253" s="102"/>
      <c r="G3253" s="48">
        <v>1</v>
      </c>
      <c r="H3253" s="48"/>
      <c r="I3253" s="49"/>
      <c r="J3253" s="49"/>
      <c r="K3253" s="19"/>
      <c r="L3253" s="20"/>
      <c r="M3253" s="10"/>
      <c r="N3253" s="10"/>
      <c r="O3253" s="10"/>
      <c r="P3253" s="10"/>
      <c r="Q3253" s="10"/>
      <c r="R3253" s="10"/>
      <c r="S3253" s="10"/>
      <c r="T3253" s="10"/>
      <c r="U3253" s="10"/>
      <c r="V3253" s="10"/>
      <c r="W3253" s="10"/>
      <c r="X3253" s="10"/>
      <c r="Y3253" s="10"/>
      <c r="Z3253" s="10"/>
      <c r="AA3253" s="10"/>
      <c r="AB3253" s="10"/>
      <c r="AC3253" s="10"/>
      <c r="AD3253" s="10"/>
      <c r="AE3253" s="10"/>
      <c r="AF3253" s="10"/>
      <c r="AG3253" s="10"/>
      <c r="AH3253" s="10"/>
    </row>
    <row r="3254" spans="1:34" outlineLevel="2">
      <c r="A3254" s="21"/>
      <c r="B3254" s="12" t="str">
        <f>IFERROR(VLOOKUP(D3254,'[1]Перечень товаров'!$A$2:$I9525,2,0),"")</f>
        <v>п29</v>
      </c>
      <c r="C3254" s="12" t="str">
        <f>IFERROR(VLOOKUP(D3254,'[1]Перечень товаров'!$A$2:$I9525,3,0),"")</f>
        <v>Прочее</v>
      </c>
      <c r="D3254" s="22" t="s">
        <v>364</v>
      </c>
      <c r="E3254" s="102"/>
      <c r="F3254" s="102"/>
      <c r="G3254" s="48">
        <v>6</v>
      </c>
      <c r="H3254" s="48"/>
      <c r="I3254" s="49"/>
      <c r="J3254" s="49"/>
      <c r="K3254" s="19"/>
      <c r="L3254" s="20"/>
      <c r="M3254" s="10"/>
      <c r="N3254" s="10"/>
      <c r="O3254" s="10"/>
      <c r="P3254" s="10"/>
      <c r="Q3254" s="10"/>
      <c r="R3254" s="10"/>
      <c r="S3254" s="10"/>
      <c r="T3254" s="10"/>
      <c r="U3254" s="10"/>
      <c r="V3254" s="10"/>
      <c r="W3254" s="10"/>
      <c r="X3254" s="10"/>
      <c r="Y3254" s="10"/>
      <c r="Z3254" s="10"/>
      <c r="AA3254" s="10"/>
      <c r="AB3254" s="10"/>
      <c r="AC3254" s="10"/>
      <c r="AD3254" s="10"/>
      <c r="AE3254" s="10"/>
      <c r="AF3254" s="10"/>
      <c r="AG3254" s="10"/>
      <c r="AH3254" s="10"/>
    </row>
    <row r="3255" spans="1:34" outlineLevel="2">
      <c r="A3255" s="21"/>
      <c r="B3255" s="12" t="str">
        <f>IFERROR(VLOOKUP(D3255,'[1]Перечень товаров'!$A$2:$I9525,2,0),"")</f>
        <v>п30</v>
      </c>
      <c r="C3255" s="12" t="str">
        <f>IFERROR(VLOOKUP(D3255,'[1]Перечень товаров'!$A$2:$I9525,3,0),"")</f>
        <v>Прочее</v>
      </c>
      <c r="D3255" s="22" t="s">
        <v>365</v>
      </c>
      <c r="E3255" s="102"/>
      <c r="F3255" s="102"/>
      <c r="G3255" s="48">
        <v>2</v>
      </c>
      <c r="H3255" s="48"/>
      <c r="I3255" s="49"/>
      <c r="J3255" s="49"/>
      <c r="K3255" s="19"/>
      <c r="L3255" s="20"/>
      <c r="M3255" s="10"/>
      <c r="N3255" s="10"/>
      <c r="O3255" s="10"/>
      <c r="P3255" s="10"/>
      <c r="Q3255" s="10"/>
      <c r="R3255" s="10"/>
      <c r="S3255" s="10"/>
      <c r="T3255" s="10"/>
      <c r="U3255" s="10"/>
      <c r="V3255" s="10"/>
      <c r="W3255" s="10"/>
      <c r="X3255" s="10"/>
      <c r="Y3255" s="10"/>
      <c r="Z3255" s="10"/>
      <c r="AA3255" s="10"/>
      <c r="AB3255" s="10"/>
      <c r="AC3255" s="10"/>
      <c r="AD3255" s="10"/>
      <c r="AE3255" s="10"/>
      <c r="AF3255" s="10"/>
      <c r="AG3255" s="10"/>
      <c r="AH3255" s="10"/>
    </row>
    <row r="3256" spans="1:34" ht="31.5" outlineLevel="2">
      <c r="A3256" s="21"/>
      <c r="B3256" s="12" t="str">
        <f>IFERROR(VLOOKUP(D3256,'[1]Перечень товаров'!$A$2:$I9525,2,0),"")</f>
        <v>п31</v>
      </c>
      <c r="C3256" s="12" t="str">
        <f>IFERROR(VLOOKUP(D3256,'[1]Перечень товаров'!$A$2:$I9525,3,0),"")</f>
        <v>Прочее</v>
      </c>
      <c r="D3256" s="22" t="s">
        <v>366</v>
      </c>
      <c r="E3256" s="102"/>
      <c r="F3256" s="102"/>
      <c r="G3256" s="48">
        <v>1</v>
      </c>
      <c r="H3256" s="48"/>
      <c r="I3256" s="49"/>
      <c r="J3256" s="49"/>
      <c r="K3256" s="19"/>
      <c r="L3256" s="20"/>
      <c r="M3256" s="10"/>
      <c r="N3256" s="10"/>
      <c r="O3256" s="10"/>
      <c r="P3256" s="10"/>
      <c r="Q3256" s="10"/>
      <c r="R3256" s="10"/>
      <c r="S3256" s="10"/>
      <c r="T3256" s="10"/>
      <c r="U3256" s="10"/>
      <c r="V3256" s="10"/>
      <c r="W3256" s="10"/>
      <c r="X3256" s="10"/>
      <c r="Y3256" s="10"/>
      <c r="Z3256" s="10"/>
      <c r="AA3256" s="10"/>
      <c r="AB3256" s="10"/>
      <c r="AC3256" s="10"/>
      <c r="AD3256" s="10"/>
      <c r="AE3256" s="10"/>
      <c r="AF3256" s="10"/>
      <c r="AG3256" s="10"/>
      <c r="AH3256" s="10"/>
    </row>
    <row r="3257" spans="1:34" ht="31.5" outlineLevel="2">
      <c r="A3257" s="21"/>
      <c r="B3257" s="12" t="str">
        <f>IFERROR(VLOOKUP(D3257,'[1]Перечень товаров'!$A$2:$I9525,2,0),"")</f>
        <v>п32</v>
      </c>
      <c r="C3257" s="12" t="str">
        <f>IFERROR(VLOOKUP(D3257,'[1]Перечень товаров'!$A$2:$I9525,3,0),"")</f>
        <v>Прочее</v>
      </c>
      <c r="D3257" s="22" t="s">
        <v>367</v>
      </c>
      <c r="E3257" s="102"/>
      <c r="F3257" s="102"/>
      <c r="G3257" s="48">
        <v>2</v>
      </c>
      <c r="H3257" s="48"/>
      <c r="I3257" s="49"/>
      <c r="J3257" s="49"/>
      <c r="K3257" s="19"/>
      <c r="L3257" s="20"/>
      <c r="M3257" s="10"/>
      <c r="N3257" s="10"/>
      <c r="O3257" s="10"/>
      <c r="P3257" s="10"/>
      <c r="Q3257" s="10"/>
      <c r="R3257" s="10"/>
      <c r="S3257" s="10"/>
      <c r="T3257" s="10"/>
      <c r="U3257" s="10"/>
      <c r="V3257" s="10"/>
      <c r="W3257" s="10"/>
      <c r="X3257" s="10"/>
      <c r="Y3257" s="10"/>
      <c r="Z3257" s="10"/>
      <c r="AA3257" s="10"/>
      <c r="AB3257" s="10"/>
      <c r="AC3257" s="10"/>
      <c r="AD3257" s="10"/>
      <c r="AE3257" s="10"/>
      <c r="AF3257" s="10"/>
      <c r="AG3257" s="10"/>
      <c r="AH3257" s="10"/>
    </row>
    <row r="3258" spans="1:34" ht="12.75" outlineLevel="1">
      <c r="A3258" s="11"/>
      <c r="B3258" s="12" t="str">
        <f>IFERROR(VLOOKUP(D3258,'[1]Перечень товаров'!$A$2:$I9525,2,0),"")</f>
        <v/>
      </c>
      <c r="C3258" s="12" t="str">
        <f>IFERROR(VLOOKUP(D3258,'[1]Перечень товаров'!$A$2:$I9525,3,0),"")</f>
        <v/>
      </c>
      <c r="D3258" s="27" t="s">
        <v>529</v>
      </c>
      <c r="E3258" s="14">
        <v>6.8</v>
      </c>
      <c r="F3258" s="14"/>
      <c r="G3258" s="17"/>
      <c r="H3258" s="17"/>
      <c r="I3258" s="57"/>
      <c r="J3258" s="57"/>
      <c r="K3258" s="19"/>
      <c r="L3258" s="20"/>
      <c r="M3258" s="10"/>
      <c r="N3258" s="10"/>
      <c r="O3258" s="10"/>
      <c r="P3258" s="10"/>
      <c r="Q3258" s="10"/>
      <c r="R3258" s="10"/>
      <c r="S3258" s="10"/>
      <c r="T3258" s="10"/>
      <c r="U3258" s="10"/>
      <c r="V3258" s="10"/>
      <c r="W3258" s="10"/>
      <c r="X3258" s="10"/>
      <c r="Y3258" s="10"/>
      <c r="Z3258" s="10"/>
      <c r="AA3258" s="10"/>
      <c r="AB3258" s="10"/>
      <c r="AC3258" s="10"/>
      <c r="AD3258" s="10"/>
      <c r="AE3258" s="10"/>
      <c r="AF3258" s="10"/>
      <c r="AG3258" s="10"/>
      <c r="AH3258" s="10"/>
    </row>
    <row r="3259" spans="1:34" outlineLevel="2">
      <c r="A3259" s="22"/>
      <c r="B3259" s="12" t="str">
        <f>IFERROR(VLOOKUP(D3259,'[1]Перечень товаров'!$A$2:$I9525,2,0),"")</f>
        <v>п25</v>
      </c>
      <c r="C3259" s="12" t="str">
        <f>IFERROR(VLOOKUP(D3259,'[1]Перечень товаров'!$A$2:$I9525,3,0),"")</f>
        <v>Прочее</v>
      </c>
      <c r="D3259" s="22" t="s">
        <v>360</v>
      </c>
      <c r="E3259" s="102"/>
      <c r="F3259" s="102"/>
      <c r="G3259" s="48">
        <v>3</v>
      </c>
      <c r="H3259" s="48"/>
      <c r="I3259" s="49"/>
      <c r="J3259" s="49"/>
      <c r="K3259" s="33"/>
      <c r="L3259" s="20"/>
      <c r="M3259" s="10"/>
      <c r="N3259" s="10"/>
      <c r="O3259" s="10"/>
      <c r="P3259" s="10"/>
      <c r="Q3259" s="10"/>
      <c r="R3259" s="10"/>
      <c r="S3259" s="10"/>
      <c r="T3259" s="10"/>
      <c r="U3259" s="10"/>
      <c r="V3259" s="10"/>
      <c r="W3259" s="10"/>
      <c r="X3259" s="10"/>
      <c r="Y3259" s="10"/>
      <c r="Z3259" s="10"/>
      <c r="AA3259" s="10"/>
      <c r="AB3259" s="10"/>
      <c r="AC3259" s="10"/>
      <c r="AD3259" s="10"/>
      <c r="AE3259" s="10"/>
      <c r="AF3259" s="10"/>
      <c r="AG3259" s="10"/>
      <c r="AH3259" s="10"/>
    </row>
    <row r="3260" spans="1:34" outlineLevel="2">
      <c r="A3260" s="21"/>
      <c r="B3260" s="12" t="str">
        <f>IFERROR(VLOOKUP(D3260,'[1]Перечень товаров'!$A$2:$I9525,2,0),"")</f>
        <v>п26</v>
      </c>
      <c r="C3260" s="12" t="str">
        <f>IFERROR(VLOOKUP(D3260,'[1]Перечень товаров'!$A$2:$I9525,3,0),"")</f>
        <v>Прочее</v>
      </c>
      <c r="D3260" s="22" t="s">
        <v>361</v>
      </c>
      <c r="E3260" s="102"/>
      <c r="F3260" s="102"/>
      <c r="G3260" s="48">
        <v>2</v>
      </c>
      <c r="H3260" s="48"/>
      <c r="I3260" s="49"/>
      <c r="J3260" s="49"/>
      <c r="K3260" s="33"/>
      <c r="L3260" s="20"/>
      <c r="M3260" s="10"/>
      <c r="N3260" s="10"/>
      <c r="O3260" s="10"/>
      <c r="P3260" s="10"/>
      <c r="Q3260" s="10"/>
      <c r="R3260" s="10"/>
      <c r="S3260" s="10"/>
      <c r="T3260" s="10"/>
      <c r="U3260" s="10"/>
      <c r="V3260" s="10"/>
      <c r="W3260" s="10"/>
      <c r="X3260" s="10"/>
      <c r="Y3260" s="10"/>
      <c r="Z3260" s="10"/>
      <c r="AA3260" s="10"/>
      <c r="AB3260" s="10"/>
      <c r="AC3260" s="10"/>
      <c r="AD3260" s="10"/>
      <c r="AE3260" s="10"/>
      <c r="AF3260" s="10"/>
      <c r="AG3260" s="10"/>
      <c r="AH3260" s="10"/>
    </row>
    <row r="3261" spans="1:34" outlineLevel="2">
      <c r="A3261" s="21"/>
      <c r="B3261" s="12" t="str">
        <f>IFERROR(VLOOKUP(D3261,'[1]Перечень товаров'!$A$2:$I9525,2,0),"")</f>
        <v>п27</v>
      </c>
      <c r="C3261" s="12" t="str">
        <f>IFERROR(VLOOKUP(D3261,'[1]Перечень товаров'!$A$2:$I9525,3,0),"")</f>
        <v>Прочее</v>
      </c>
      <c r="D3261" s="22" t="s">
        <v>362</v>
      </c>
      <c r="E3261" s="102"/>
      <c r="F3261" s="102"/>
      <c r="G3261" s="48">
        <v>2</v>
      </c>
      <c r="H3261" s="48"/>
      <c r="I3261" s="49"/>
      <c r="J3261" s="49"/>
      <c r="K3261" s="33"/>
      <c r="L3261" s="20"/>
      <c r="M3261" s="10"/>
      <c r="N3261" s="10"/>
      <c r="O3261" s="10"/>
      <c r="P3261" s="10"/>
      <c r="Q3261" s="10"/>
      <c r="R3261" s="10"/>
      <c r="S3261" s="10"/>
      <c r="T3261" s="10"/>
      <c r="U3261" s="10"/>
      <c r="V3261" s="10"/>
      <c r="W3261" s="10"/>
      <c r="X3261" s="10"/>
      <c r="Y3261" s="10"/>
      <c r="Z3261" s="10"/>
      <c r="AA3261" s="10"/>
      <c r="AB3261" s="10"/>
      <c r="AC3261" s="10"/>
      <c r="AD3261" s="10"/>
      <c r="AE3261" s="10"/>
      <c r="AF3261" s="10"/>
      <c r="AG3261" s="10"/>
      <c r="AH3261" s="10"/>
    </row>
    <row r="3262" spans="1:34" outlineLevel="2">
      <c r="A3262" s="21"/>
      <c r="B3262" s="12" t="str">
        <f>IFERROR(VLOOKUP(D3262,'[1]Перечень товаров'!$A$2:$I9525,2,0),"")</f>
        <v>п28</v>
      </c>
      <c r="C3262" s="12" t="str">
        <f>IFERROR(VLOOKUP(D3262,'[1]Перечень товаров'!$A$2:$I9525,3,0),"")</f>
        <v>Прочее</v>
      </c>
      <c r="D3262" s="22" t="s">
        <v>363</v>
      </c>
      <c r="E3262" s="102"/>
      <c r="F3262" s="102"/>
      <c r="G3262" s="48">
        <v>1</v>
      </c>
      <c r="H3262" s="48"/>
      <c r="I3262" s="49"/>
      <c r="J3262" s="49"/>
      <c r="K3262" s="33"/>
      <c r="L3262" s="20"/>
      <c r="M3262" s="10"/>
      <c r="N3262" s="10"/>
      <c r="O3262" s="10"/>
      <c r="P3262" s="10"/>
      <c r="Q3262" s="10"/>
      <c r="R3262" s="10"/>
      <c r="S3262" s="10"/>
      <c r="T3262" s="10"/>
      <c r="U3262" s="10"/>
      <c r="V3262" s="10"/>
      <c r="W3262" s="10"/>
      <c r="X3262" s="10"/>
      <c r="Y3262" s="10"/>
      <c r="Z3262" s="10"/>
      <c r="AA3262" s="10"/>
      <c r="AB3262" s="10"/>
      <c r="AC3262" s="10"/>
      <c r="AD3262" s="10"/>
      <c r="AE3262" s="10"/>
      <c r="AF3262" s="10"/>
      <c r="AG3262" s="10"/>
      <c r="AH3262" s="10"/>
    </row>
    <row r="3263" spans="1:34" outlineLevel="2">
      <c r="A3263" s="21"/>
      <c r="B3263" s="12" t="str">
        <f>IFERROR(VLOOKUP(D3263,'[1]Перечень товаров'!$A$2:$I9525,2,0),"")</f>
        <v>п29</v>
      </c>
      <c r="C3263" s="12" t="str">
        <f>IFERROR(VLOOKUP(D3263,'[1]Перечень товаров'!$A$2:$I9525,3,0),"")</f>
        <v>Прочее</v>
      </c>
      <c r="D3263" s="22" t="s">
        <v>364</v>
      </c>
      <c r="E3263" s="102"/>
      <c r="F3263" s="102"/>
      <c r="G3263" s="48">
        <v>6</v>
      </c>
      <c r="H3263" s="48"/>
      <c r="I3263" s="49"/>
      <c r="J3263" s="49"/>
      <c r="K3263" s="33"/>
      <c r="L3263" s="20"/>
      <c r="M3263" s="10"/>
      <c r="N3263" s="10"/>
      <c r="O3263" s="10"/>
      <c r="P3263" s="10"/>
      <c r="Q3263" s="10"/>
      <c r="R3263" s="10"/>
      <c r="S3263" s="10"/>
      <c r="T3263" s="10"/>
      <c r="U3263" s="10"/>
      <c r="V3263" s="10"/>
      <c r="W3263" s="10"/>
      <c r="X3263" s="10"/>
      <c r="Y3263" s="10"/>
      <c r="Z3263" s="10"/>
      <c r="AA3263" s="10"/>
      <c r="AB3263" s="10"/>
      <c r="AC3263" s="10"/>
      <c r="AD3263" s="10"/>
      <c r="AE3263" s="10"/>
      <c r="AF3263" s="10"/>
      <c r="AG3263" s="10"/>
      <c r="AH3263" s="10"/>
    </row>
    <row r="3264" spans="1:34" outlineLevel="2">
      <c r="A3264" s="21"/>
      <c r="B3264" s="12" t="str">
        <f>IFERROR(VLOOKUP(D3264,'[1]Перечень товаров'!$A$2:$I9525,2,0),"")</f>
        <v>п30</v>
      </c>
      <c r="C3264" s="12" t="str">
        <f>IFERROR(VLOOKUP(D3264,'[1]Перечень товаров'!$A$2:$I9525,3,0),"")</f>
        <v>Прочее</v>
      </c>
      <c r="D3264" s="22" t="s">
        <v>365</v>
      </c>
      <c r="E3264" s="102"/>
      <c r="F3264" s="102"/>
      <c r="G3264" s="48">
        <v>2</v>
      </c>
      <c r="H3264" s="48"/>
      <c r="I3264" s="49"/>
      <c r="J3264" s="49"/>
      <c r="K3264" s="33"/>
      <c r="L3264" s="20"/>
      <c r="M3264" s="10"/>
      <c r="N3264" s="10"/>
      <c r="O3264" s="10"/>
      <c r="P3264" s="10"/>
      <c r="Q3264" s="10"/>
      <c r="R3264" s="10"/>
      <c r="S3264" s="10"/>
      <c r="T3264" s="10"/>
      <c r="U3264" s="10"/>
      <c r="V3264" s="10"/>
      <c r="W3264" s="10"/>
      <c r="X3264" s="10"/>
      <c r="Y3264" s="10"/>
      <c r="Z3264" s="10"/>
      <c r="AA3264" s="10"/>
      <c r="AB3264" s="10"/>
      <c r="AC3264" s="10"/>
      <c r="AD3264" s="10"/>
      <c r="AE3264" s="10"/>
      <c r="AF3264" s="10"/>
      <c r="AG3264" s="10"/>
      <c r="AH3264" s="10"/>
    </row>
    <row r="3265" spans="1:34" ht="31.5" outlineLevel="2">
      <c r="A3265" s="21"/>
      <c r="B3265" s="12" t="str">
        <f>IFERROR(VLOOKUP(D3265,'[1]Перечень товаров'!$A$2:$I9525,2,0),"")</f>
        <v>п31</v>
      </c>
      <c r="C3265" s="12" t="str">
        <f>IFERROR(VLOOKUP(D3265,'[1]Перечень товаров'!$A$2:$I9525,3,0),"")</f>
        <v>Прочее</v>
      </c>
      <c r="D3265" s="22" t="s">
        <v>366</v>
      </c>
      <c r="E3265" s="102"/>
      <c r="F3265" s="102"/>
      <c r="G3265" s="48">
        <v>1</v>
      </c>
      <c r="H3265" s="48"/>
      <c r="I3265" s="49"/>
      <c r="J3265" s="49"/>
      <c r="K3265" s="33"/>
      <c r="L3265" s="20"/>
      <c r="M3265" s="10"/>
      <c r="N3265" s="10"/>
      <c r="O3265" s="10"/>
      <c r="P3265" s="10"/>
      <c r="Q3265" s="10"/>
      <c r="R3265" s="10"/>
      <c r="S3265" s="10"/>
      <c r="T3265" s="10"/>
      <c r="U3265" s="10"/>
      <c r="V3265" s="10"/>
      <c r="W3265" s="10"/>
      <c r="X3265" s="10"/>
      <c r="Y3265" s="10"/>
      <c r="Z3265" s="10"/>
      <c r="AA3265" s="10"/>
      <c r="AB3265" s="10"/>
      <c r="AC3265" s="10"/>
      <c r="AD3265" s="10"/>
      <c r="AE3265" s="10"/>
      <c r="AF3265" s="10"/>
      <c r="AG3265" s="10"/>
      <c r="AH3265" s="10"/>
    </row>
    <row r="3266" spans="1:34" ht="31.5" outlineLevel="2">
      <c r="A3266" s="21"/>
      <c r="B3266" s="12" t="str">
        <f>IFERROR(VLOOKUP(D3266,'[1]Перечень товаров'!$A$2:$I9525,2,0),"")</f>
        <v>п32</v>
      </c>
      <c r="C3266" s="12" t="str">
        <f>IFERROR(VLOOKUP(D3266,'[1]Перечень товаров'!$A$2:$I9525,3,0),"")</f>
        <v>Прочее</v>
      </c>
      <c r="D3266" s="22" t="s">
        <v>367</v>
      </c>
      <c r="E3266" s="102"/>
      <c r="F3266" s="102"/>
      <c r="G3266" s="48">
        <v>2</v>
      </c>
      <c r="H3266" s="48"/>
      <c r="I3266" s="49"/>
      <c r="J3266" s="49"/>
      <c r="K3266" s="33"/>
      <c r="L3266" s="20"/>
      <c r="M3266" s="10"/>
      <c r="N3266" s="10"/>
      <c r="O3266" s="10"/>
      <c r="P3266" s="10"/>
      <c r="Q3266" s="10"/>
      <c r="R3266" s="10"/>
      <c r="S3266" s="10"/>
      <c r="T3266" s="10"/>
      <c r="U3266" s="10"/>
      <c r="V3266" s="10"/>
      <c r="W3266" s="10"/>
      <c r="X3266" s="10"/>
      <c r="Y3266" s="10"/>
      <c r="Z3266" s="10"/>
      <c r="AA3266" s="10"/>
      <c r="AB3266" s="10"/>
      <c r="AC3266" s="10"/>
      <c r="AD3266" s="10"/>
      <c r="AE3266" s="10"/>
      <c r="AF3266" s="10"/>
      <c r="AG3266" s="10"/>
      <c r="AH3266" s="10"/>
    </row>
    <row r="3267" spans="1:34" ht="12.75" outlineLevel="1">
      <c r="A3267" s="11"/>
      <c r="B3267" s="12" t="str">
        <f>IFERROR(VLOOKUP(D3267,'[1]Перечень товаров'!$A$2:$I9525,2,0),"")</f>
        <v/>
      </c>
      <c r="C3267" s="12" t="str">
        <f>IFERROR(VLOOKUP(D3267,'[1]Перечень товаров'!$A$2:$I9525,3,0),"")</f>
        <v/>
      </c>
      <c r="D3267" s="27" t="s">
        <v>527</v>
      </c>
      <c r="E3267" s="14">
        <v>5.9</v>
      </c>
      <c r="F3267" s="14"/>
      <c r="G3267" s="17"/>
      <c r="H3267" s="17"/>
      <c r="I3267" s="57"/>
      <c r="J3267" s="57"/>
      <c r="K3267" s="19"/>
      <c r="L3267" s="20"/>
      <c r="M3267" s="10"/>
      <c r="N3267" s="10"/>
      <c r="O3267" s="10"/>
      <c r="P3267" s="10"/>
      <c r="Q3267" s="10"/>
      <c r="R3267" s="10"/>
      <c r="S3267" s="10"/>
      <c r="T3267" s="10"/>
      <c r="U3267" s="10"/>
      <c r="V3267" s="10"/>
      <c r="W3267" s="10"/>
      <c r="X3267" s="10"/>
      <c r="Y3267" s="10"/>
      <c r="Z3267" s="10"/>
      <c r="AA3267" s="10"/>
      <c r="AB3267" s="10"/>
      <c r="AC3267" s="10"/>
      <c r="AD3267" s="10"/>
      <c r="AE3267" s="10"/>
      <c r="AF3267" s="10"/>
      <c r="AG3267" s="10"/>
      <c r="AH3267" s="10"/>
    </row>
    <row r="3268" spans="1:34" outlineLevel="2">
      <c r="A3268" s="22"/>
      <c r="B3268" s="12" t="str">
        <f>IFERROR(VLOOKUP(D3268,'[1]Перечень товаров'!$A$2:$I9525,2,0),"")</f>
        <v>п25</v>
      </c>
      <c r="C3268" s="12" t="str">
        <f>IFERROR(VLOOKUP(D3268,'[1]Перечень товаров'!$A$2:$I9525,3,0),"")</f>
        <v>Прочее</v>
      </c>
      <c r="D3268" s="22" t="s">
        <v>360</v>
      </c>
      <c r="E3268" s="102"/>
      <c r="F3268" s="102"/>
      <c r="G3268" s="48">
        <v>3</v>
      </c>
      <c r="H3268" s="48"/>
      <c r="I3268" s="49"/>
      <c r="J3268" s="49"/>
      <c r="K3268" s="33"/>
      <c r="L3268" s="20"/>
      <c r="M3268" s="10"/>
      <c r="N3268" s="10"/>
      <c r="O3268" s="10"/>
      <c r="P3268" s="10"/>
      <c r="Q3268" s="10"/>
      <c r="R3268" s="10"/>
      <c r="S3268" s="10"/>
      <c r="T3268" s="10"/>
      <c r="U3268" s="10"/>
      <c r="V3268" s="10"/>
      <c r="W3268" s="10"/>
      <c r="X3268" s="10"/>
      <c r="Y3268" s="10"/>
      <c r="Z3268" s="10"/>
      <c r="AA3268" s="10"/>
      <c r="AB3268" s="10"/>
      <c r="AC3268" s="10"/>
      <c r="AD3268" s="10"/>
      <c r="AE3268" s="10"/>
      <c r="AF3268" s="10"/>
      <c r="AG3268" s="10"/>
      <c r="AH3268" s="10"/>
    </row>
    <row r="3269" spans="1:34" outlineLevel="2">
      <c r="A3269" s="21"/>
      <c r="B3269" s="12" t="str">
        <f>IFERROR(VLOOKUP(D3269,'[1]Перечень товаров'!$A$2:$I9525,2,0),"")</f>
        <v>п26</v>
      </c>
      <c r="C3269" s="12" t="str">
        <f>IFERROR(VLOOKUP(D3269,'[1]Перечень товаров'!$A$2:$I9525,3,0),"")</f>
        <v>Прочее</v>
      </c>
      <c r="D3269" s="22" t="s">
        <v>361</v>
      </c>
      <c r="E3269" s="102"/>
      <c r="F3269" s="102"/>
      <c r="G3269" s="48">
        <v>2</v>
      </c>
      <c r="H3269" s="48"/>
      <c r="I3269" s="49"/>
      <c r="J3269" s="49"/>
      <c r="K3269" s="33"/>
      <c r="L3269" s="20"/>
      <c r="M3269" s="10"/>
      <c r="N3269" s="10"/>
      <c r="O3269" s="10"/>
      <c r="P3269" s="10"/>
      <c r="Q3269" s="10"/>
      <c r="R3269" s="10"/>
      <c r="S3269" s="10"/>
      <c r="T3269" s="10"/>
      <c r="U3269" s="10"/>
      <c r="V3269" s="10"/>
      <c r="W3269" s="10"/>
      <c r="X3269" s="10"/>
      <c r="Y3269" s="10"/>
      <c r="Z3269" s="10"/>
      <c r="AA3269" s="10"/>
      <c r="AB3269" s="10"/>
      <c r="AC3269" s="10"/>
      <c r="AD3269" s="10"/>
      <c r="AE3269" s="10"/>
      <c r="AF3269" s="10"/>
      <c r="AG3269" s="10"/>
      <c r="AH3269" s="10"/>
    </row>
    <row r="3270" spans="1:34" outlineLevel="2">
      <c r="A3270" s="21"/>
      <c r="B3270" s="12" t="str">
        <f>IFERROR(VLOOKUP(D3270,'[1]Перечень товаров'!$A$2:$I9525,2,0),"")</f>
        <v>п27</v>
      </c>
      <c r="C3270" s="12" t="str">
        <f>IFERROR(VLOOKUP(D3270,'[1]Перечень товаров'!$A$2:$I9525,3,0),"")</f>
        <v>Прочее</v>
      </c>
      <c r="D3270" s="22" t="s">
        <v>362</v>
      </c>
      <c r="E3270" s="102"/>
      <c r="F3270" s="102"/>
      <c r="G3270" s="48">
        <v>2</v>
      </c>
      <c r="H3270" s="48"/>
      <c r="I3270" s="49"/>
      <c r="J3270" s="49"/>
      <c r="K3270" s="33"/>
      <c r="L3270" s="20"/>
      <c r="M3270" s="10"/>
      <c r="N3270" s="10"/>
      <c r="O3270" s="10"/>
      <c r="P3270" s="10"/>
      <c r="Q3270" s="10"/>
      <c r="R3270" s="10"/>
      <c r="S3270" s="10"/>
      <c r="T3270" s="10"/>
      <c r="U3270" s="10"/>
      <c r="V3270" s="10"/>
      <c r="W3270" s="10"/>
      <c r="X3270" s="10"/>
      <c r="Y3270" s="10"/>
      <c r="Z3270" s="10"/>
      <c r="AA3270" s="10"/>
      <c r="AB3270" s="10"/>
      <c r="AC3270" s="10"/>
      <c r="AD3270" s="10"/>
      <c r="AE3270" s="10"/>
      <c r="AF3270" s="10"/>
      <c r="AG3270" s="10"/>
      <c r="AH3270" s="10"/>
    </row>
    <row r="3271" spans="1:34" outlineLevel="2">
      <c r="A3271" s="21"/>
      <c r="B3271" s="12" t="str">
        <f>IFERROR(VLOOKUP(D3271,'[1]Перечень товаров'!$A$2:$I9525,2,0),"")</f>
        <v>п28</v>
      </c>
      <c r="C3271" s="12" t="str">
        <f>IFERROR(VLOOKUP(D3271,'[1]Перечень товаров'!$A$2:$I9525,3,0),"")</f>
        <v>Прочее</v>
      </c>
      <c r="D3271" s="22" t="s">
        <v>363</v>
      </c>
      <c r="E3271" s="102"/>
      <c r="F3271" s="102"/>
      <c r="G3271" s="48">
        <v>1</v>
      </c>
      <c r="H3271" s="48"/>
      <c r="I3271" s="49"/>
      <c r="J3271" s="49"/>
      <c r="K3271" s="33"/>
      <c r="L3271" s="20"/>
      <c r="M3271" s="10"/>
      <c r="N3271" s="10"/>
      <c r="O3271" s="10"/>
      <c r="P3271" s="10"/>
      <c r="Q3271" s="10"/>
      <c r="R3271" s="10"/>
      <c r="S3271" s="10"/>
      <c r="T3271" s="10"/>
      <c r="U3271" s="10"/>
      <c r="V3271" s="10"/>
      <c r="W3271" s="10"/>
      <c r="X3271" s="10"/>
      <c r="Y3271" s="10"/>
      <c r="Z3271" s="10"/>
      <c r="AA3271" s="10"/>
      <c r="AB3271" s="10"/>
      <c r="AC3271" s="10"/>
      <c r="AD3271" s="10"/>
      <c r="AE3271" s="10"/>
      <c r="AF3271" s="10"/>
      <c r="AG3271" s="10"/>
      <c r="AH3271" s="10"/>
    </row>
    <row r="3272" spans="1:34" outlineLevel="2">
      <c r="A3272" s="21"/>
      <c r="B3272" s="12" t="str">
        <f>IFERROR(VLOOKUP(D3272,'[1]Перечень товаров'!$A$2:$I9525,2,0),"")</f>
        <v>п29</v>
      </c>
      <c r="C3272" s="12" t="str">
        <f>IFERROR(VLOOKUP(D3272,'[1]Перечень товаров'!$A$2:$I9525,3,0),"")</f>
        <v>Прочее</v>
      </c>
      <c r="D3272" s="22" t="s">
        <v>364</v>
      </c>
      <c r="E3272" s="102"/>
      <c r="F3272" s="102"/>
      <c r="G3272" s="48">
        <v>6</v>
      </c>
      <c r="H3272" s="48"/>
      <c r="I3272" s="49"/>
      <c r="J3272" s="49"/>
      <c r="K3272" s="33"/>
      <c r="L3272" s="20"/>
      <c r="M3272" s="10"/>
      <c r="N3272" s="10"/>
      <c r="O3272" s="10"/>
      <c r="P3272" s="10"/>
      <c r="Q3272" s="10"/>
      <c r="R3272" s="10"/>
      <c r="S3272" s="10"/>
      <c r="T3272" s="10"/>
      <c r="U3272" s="10"/>
      <c r="V3272" s="10"/>
      <c r="W3272" s="10"/>
      <c r="X3272" s="10"/>
      <c r="Y3272" s="10"/>
      <c r="Z3272" s="10"/>
      <c r="AA3272" s="10"/>
      <c r="AB3272" s="10"/>
      <c r="AC3272" s="10"/>
      <c r="AD3272" s="10"/>
      <c r="AE3272" s="10"/>
      <c r="AF3272" s="10"/>
      <c r="AG3272" s="10"/>
      <c r="AH3272" s="10"/>
    </row>
    <row r="3273" spans="1:34" outlineLevel="2">
      <c r="A3273" s="21"/>
      <c r="B3273" s="12" t="str">
        <f>IFERROR(VLOOKUP(D3273,'[1]Перечень товаров'!$A$2:$I9525,2,0),"")</f>
        <v>п30</v>
      </c>
      <c r="C3273" s="12" t="str">
        <f>IFERROR(VLOOKUP(D3273,'[1]Перечень товаров'!$A$2:$I9525,3,0),"")</f>
        <v>Прочее</v>
      </c>
      <c r="D3273" s="22" t="s">
        <v>365</v>
      </c>
      <c r="E3273" s="102"/>
      <c r="F3273" s="102"/>
      <c r="G3273" s="48">
        <v>2</v>
      </c>
      <c r="H3273" s="48"/>
      <c r="I3273" s="49"/>
      <c r="J3273" s="49"/>
      <c r="K3273" s="33"/>
      <c r="L3273" s="20"/>
      <c r="M3273" s="10"/>
      <c r="N3273" s="10"/>
      <c r="O3273" s="10"/>
      <c r="P3273" s="10"/>
      <c r="Q3273" s="10"/>
      <c r="R3273" s="10"/>
      <c r="S3273" s="10"/>
      <c r="T3273" s="10"/>
      <c r="U3273" s="10"/>
      <c r="V3273" s="10"/>
      <c r="W3273" s="10"/>
      <c r="X3273" s="10"/>
      <c r="Y3273" s="10"/>
      <c r="Z3273" s="10"/>
      <c r="AA3273" s="10"/>
      <c r="AB3273" s="10"/>
      <c r="AC3273" s="10"/>
      <c r="AD3273" s="10"/>
      <c r="AE3273" s="10"/>
      <c r="AF3273" s="10"/>
      <c r="AG3273" s="10"/>
      <c r="AH3273" s="10"/>
    </row>
    <row r="3274" spans="1:34" ht="31.5" outlineLevel="2">
      <c r="A3274" s="21"/>
      <c r="B3274" s="12" t="str">
        <f>IFERROR(VLOOKUP(D3274,'[1]Перечень товаров'!$A$2:$I9525,2,0),"")</f>
        <v>п31</v>
      </c>
      <c r="C3274" s="12" t="str">
        <f>IFERROR(VLOOKUP(D3274,'[1]Перечень товаров'!$A$2:$I9525,3,0),"")</f>
        <v>Прочее</v>
      </c>
      <c r="D3274" s="22" t="s">
        <v>366</v>
      </c>
      <c r="E3274" s="102"/>
      <c r="F3274" s="102"/>
      <c r="G3274" s="48">
        <v>1</v>
      </c>
      <c r="H3274" s="48"/>
      <c r="I3274" s="49"/>
      <c r="J3274" s="49"/>
      <c r="K3274" s="33"/>
      <c r="L3274" s="20"/>
      <c r="M3274" s="10"/>
      <c r="N3274" s="10"/>
      <c r="O3274" s="10"/>
      <c r="P3274" s="10"/>
      <c r="Q3274" s="10"/>
      <c r="R3274" s="10"/>
      <c r="S3274" s="10"/>
      <c r="T3274" s="10"/>
      <c r="U3274" s="10"/>
      <c r="V3274" s="10"/>
      <c r="W3274" s="10"/>
      <c r="X3274" s="10"/>
      <c r="Y3274" s="10"/>
      <c r="Z3274" s="10"/>
      <c r="AA3274" s="10"/>
      <c r="AB3274" s="10"/>
      <c r="AC3274" s="10"/>
      <c r="AD3274" s="10"/>
      <c r="AE3274" s="10"/>
      <c r="AF3274" s="10"/>
      <c r="AG3274" s="10"/>
      <c r="AH3274" s="10"/>
    </row>
    <row r="3275" spans="1:34" ht="31.5" outlineLevel="2">
      <c r="A3275" s="21"/>
      <c r="B3275" s="12" t="str">
        <f>IFERROR(VLOOKUP(D3275,'[1]Перечень товаров'!$A$2:$I9525,2,0),"")</f>
        <v>п32</v>
      </c>
      <c r="C3275" s="12" t="str">
        <f>IFERROR(VLOOKUP(D3275,'[1]Перечень товаров'!$A$2:$I9525,3,0),"")</f>
        <v>Прочее</v>
      </c>
      <c r="D3275" s="22" t="s">
        <v>367</v>
      </c>
      <c r="E3275" s="102"/>
      <c r="F3275" s="102"/>
      <c r="G3275" s="48">
        <v>2</v>
      </c>
      <c r="H3275" s="48"/>
      <c r="I3275" s="49"/>
      <c r="J3275" s="49"/>
      <c r="K3275" s="33"/>
      <c r="L3275" s="20"/>
      <c r="M3275" s="10"/>
      <c r="N3275" s="10"/>
      <c r="O3275" s="10"/>
      <c r="P3275" s="10"/>
      <c r="Q3275" s="10"/>
      <c r="R3275" s="10"/>
      <c r="S3275" s="10"/>
      <c r="T3275" s="10"/>
      <c r="U3275" s="10"/>
      <c r="V3275" s="10"/>
      <c r="W3275" s="10"/>
      <c r="X3275" s="10"/>
      <c r="Y3275" s="10"/>
      <c r="Z3275" s="10"/>
      <c r="AA3275" s="10"/>
      <c r="AB3275" s="10"/>
      <c r="AC3275" s="10"/>
      <c r="AD3275" s="10"/>
      <c r="AE3275" s="10"/>
      <c r="AF3275" s="10"/>
      <c r="AG3275" s="10"/>
      <c r="AH3275" s="10"/>
    </row>
    <row r="3276" spans="1:34" ht="12.75" outlineLevel="1">
      <c r="A3276" s="11"/>
      <c r="B3276" s="12" t="str">
        <f>IFERROR(VLOOKUP(D3276,'[1]Перечень товаров'!$A$2:$I9525,2,0),"")</f>
        <v/>
      </c>
      <c r="C3276" s="12" t="str">
        <f>IFERROR(VLOOKUP(D3276,'[1]Перечень товаров'!$A$2:$I9525,3,0),"")</f>
        <v/>
      </c>
      <c r="D3276" s="27" t="s">
        <v>990</v>
      </c>
      <c r="E3276" s="14">
        <v>2</v>
      </c>
      <c r="F3276" s="14"/>
      <c r="G3276" s="17"/>
      <c r="H3276" s="17"/>
      <c r="I3276" s="57"/>
      <c r="J3276" s="57"/>
      <c r="K3276" s="19"/>
      <c r="L3276" s="20"/>
      <c r="M3276" s="10"/>
      <c r="N3276" s="10"/>
      <c r="O3276" s="10"/>
      <c r="P3276" s="10"/>
      <c r="Q3276" s="10"/>
      <c r="R3276" s="10"/>
      <c r="S3276" s="10"/>
      <c r="T3276" s="10"/>
      <c r="U3276" s="10"/>
      <c r="V3276" s="10"/>
      <c r="W3276" s="10"/>
      <c r="X3276" s="10"/>
      <c r="Y3276" s="10"/>
      <c r="Z3276" s="10"/>
      <c r="AA3276" s="10"/>
      <c r="AB3276" s="10"/>
      <c r="AC3276" s="10"/>
      <c r="AD3276" s="10"/>
      <c r="AE3276" s="10"/>
      <c r="AF3276" s="10"/>
      <c r="AG3276" s="10"/>
      <c r="AH3276" s="10"/>
    </row>
    <row r="3277" spans="1:34" outlineLevel="2">
      <c r="A3277" s="22"/>
      <c r="B3277" s="12" t="str">
        <f>IFERROR(VLOOKUP(D3277,'[1]Перечень товаров'!$A$2:$I9525,2,0),"")</f>
        <v>п25</v>
      </c>
      <c r="C3277" s="12" t="str">
        <f>IFERROR(VLOOKUP(D3277,'[1]Перечень товаров'!$A$2:$I9525,3,0),"")</f>
        <v>Прочее</v>
      </c>
      <c r="D3277" s="22" t="s">
        <v>360</v>
      </c>
      <c r="E3277" s="102"/>
      <c r="F3277" s="102"/>
      <c r="G3277" s="48">
        <v>3</v>
      </c>
      <c r="H3277" s="48"/>
      <c r="I3277" s="49"/>
      <c r="J3277" s="49"/>
      <c r="K3277" s="33"/>
      <c r="L3277" s="20"/>
      <c r="M3277" s="10"/>
      <c r="N3277" s="10"/>
      <c r="O3277" s="10"/>
      <c r="P3277" s="10"/>
      <c r="Q3277" s="10"/>
      <c r="R3277" s="10"/>
      <c r="S3277" s="10"/>
      <c r="T3277" s="10"/>
      <c r="U3277" s="10"/>
      <c r="V3277" s="10"/>
      <c r="W3277" s="10"/>
      <c r="X3277" s="10"/>
      <c r="Y3277" s="10"/>
      <c r="Z3277" s="10"/>
      <c r="AA3277" s="10"/>
      <c r="AB3277" s="10"/>
      <c r="AC3277" s="10"/>
      <c r="AD3277" s="10"/>
      <c r="AE3277" s="10"/>
      <c r="AF3277" s="10"/>
      <c r="AG3277" s="10"/>
      <c r="AH3277" s="10"/>
    </row>
    <row r="3278" spans="1:34" outlineLevel="2">
      <c r="A3278" s="21"/>
      <c r="B3278" s="12" t="str">
        <f>IFERROR(VLOOKUP(D3278,'[1]Перечень товаров'!$A$2:$I9525,2,0),"")</f>
        <v>п26</v>
      </c>
      <c r="C3278" s="12" t="str">
        <f>IFERROR(VLOOKUP(D3278,'[1]Перечень товаров'!$A$2:$I9525,3,0),"")</f>
        <v>Прочее</v>
      </c>
      <c r="D3278" s="22" t="s">
        <v>361</v>
      </c>
      <c r="E3278" s="102"/>
      <c r="F3278" s="102"/>
      <c r="G3278" s="48">
        <v>2</v>
      </c>
      <c r="H3278" s="48"/>
      <c r="I3278" s="49"/>
      <c r="J3278" s="49"/>
      <c r="K3278" s="33"/>
      <c r="L3278" s="20"/>
      <c r="M3278" s="10"/>
      <c r="N3278" s="10"/>
      <c r="O3278" s="10"/>
      <c r="P3278" s="10"/>
      <c r="Q3278" s="10"/>
      <c r="R3278" s="10"/>
      <c r="S3278" s="10"/>
      <c r="T3278" s="10"/>
      <c r="U3278" s="10"/>
      <c r="V3278" s="10"/>
      <c r="W3278" s="10"/>
      <c r="X3278" s="10"/>
      <c r="Y3278" s="10"/>
      <c r="Z3278" s="10"/>
      <c r="AA3278" s="10"/>
      <c r="AB3278" s="10"/>
      <c r="AC3278" s="10"/>
      <c r="AD3278" s="10"/>
      <c r="AE3278" s="10"/>
      <c r="AF3278" s="10"/>
      <c r="AG3278" s="10"/>
      <c r="AH3278" s="10"/>
    </row>
    <row r="3279" spans="1:34" outlineLevel="2">
      <c r="A3279" s="21"/>
      <c r="B3279" s="12" t="str">
        <f>IFERROR(VLOOKUP(D3279,'[1]Перечень товаров'!$A$2:$I9525,2,0),"")</f>
        <v>п27</v>
      </c>
      <c r="C3279" s="12" t="str">
        <f>IFERROR(VLOOKUP(D3279,'[1]Перечень товаров'!$A$2:$I9525,3,0),"")</f>
        <v>Прочее</v>
      </c>
      <c r="D3279" s="22" t="s">
        <v>362</v>
      </c>
      <c r="E3279" s="102"/>
      <c r="F3279" s="102"/>
      <c r="G3279" s="48">
        <v>2</v>
      </c>
      <c r="H3279" s="48"/>
      <c r="I3279" s="49"/>
      <c r="J3279" s="49"/>
      <c r="K3279" s="33"/>
      <c r="L3279" s="20"/>
      <c r="M3279" s="10"/>
      <c r="N3279" s="10"/>
      <c r="O3279" s="10"/>
      <c r="P3279" s="10"/>
      <c r="Q3279" s="10"/>
      <c r="R3279" s="10"/>
      <c r="S3279" s="10"/>
      <c r="T3279" s="10"/>
      <c r="U3279" s="10"/>
      <c r="V3279" s="10"/>
      <c r="W3279" s="10"/>
      <c r="X3279" s="10"/>
      <c r="Y3279" s="10"/>
      <c r="Z3279" s="10"/>
      <c r="AA3279" s="10"/>
      <c r="AB3279" s="10"/>
      <c r="AC3279" s="10"/>
      <c r="AD3279" s="10"/>
      <c r="AE3279" s="10"/>
      <c r="AF3279" s="10"/>
      <c r="AG3279" s="10"/>
      <c r="AH3279" s="10"/>
    </row>
    <row r="3280" spans="1:34" outlineLevel="2">
      <c r="A3280" s="21"/>
      <c r="B3280" s="12" t="str">
        <f>IFERROR(VLOOKUP(D3280,'[1]Перечень товаров'!$A$2:$I9525,2,0),"")</f>
        <v>п28</v>
      </c>
      <c r="C3280" s="12" t="str">
        <f>IFERROR(VLOOKUP(D3280,'[1]Перечень товаров'!$A$2:$I9525,3,0),"")</f>
        <v>Прочее</v>
      </c>
      <c r="D3280" s="22" t="s">
        <v>363</v>
      </c>
      <c r="E3280" s="102"/>
      <c r="F3280" s="102"/>
      <c r="G3280" s="48">
        <v>1</v>
      </c>
      <c r="H3280" s="48"/>
      <c r="I3280" s="49"/>
      <c r="J3280" s="49"/>
      <c r="K3280" s="33"/>
      <c r="L3280" s="20"/>
      <c r="M3280" s="10"/>
      <c r="N3280" s="10"/>
      <c r="O3280" s="10"/>
      <c r="P3280" s="10"/>
      <c r="Q3280" s="10"/>
      <c r="R3280" s="10"/>
      <c r="S3280" s="10"/>
      <c r="T3280" s="10"/>
      <c r="U3280" s="10"/>
      <c r="V3280" s="10"/>
      <c r="W3280" s="10"/>
      <c r="X3280" s="10"/>
      <c r="Y3280" s="10"/>
      <c r="Z3280" s="10"/>
      <c r="AA3280" s="10"/>
      <c r="AB3280" s="10"/>
      <c r="AC3280" s="10"/>
      <c r="AD3280" s="10"/>
      <c r="AE3280" s="10"/>
      <c r="AF3280" s="10"/>
      <c r="AG3280" s="10"/>
      <c r="AH3280" s="10"/>
    </row>
    <row r="3281" spans="1:34" outlineLevel="2">
      <c r="A3281" s="21"/>
      <c r="B3281" s="12" t="str">
        <f>IFERROR(VLOOKUP(D3281,'[1]Перечень товаров'!$A$2:$I9525,2,0),"")</f>
        <v>п29</v>
      </c>
      <c r="C3281" s="12" t="str">
        <f>IFERROR(VLOOKUP(D3281,'[1]Перечень товаров'!$A$2:$I9525,3,0),"")</f>
        <v>Прочее</v>
      </c>
      <c r="D3281" s="22" t="s">
        <v>364</v>
      </c>
      <c r="E3281" s="102"/>
      <c r="F3281" s="102"/>
      <c r="G3281" s="48">
        <v>6</v>
      </c>
      <c r="H3281" s="48"/>
      <c r="I3281" s="49"/>
      <c r="J3281" s="49"/>
      <c r="K3281" s="33"/>
      <c r="L3281" s="20"/>
      <c r="M3281" s="10"/>
      <c r="N3281" s="10"/>
      <c r="O3281" s="10"/>
      <c r="P3281" s="10"/>
      <c r="Q3281" s="10"/>
      <c r="R3281" s="10"/>
      <c r="S3281" s="10"/>
      <c r="T3281" s="10"/>
      <c r="U3281" s="10"/>
      <c r="V3281" s="10"/>
      <c r="W3281" s="10"/>
      <c r="X3281" s="10"/>
      <c r="Y3281" s="10"/>
      <c r="Z3281" s="10"/>
      <c r="AA3281" s="10"/>
      <c r="AB3281" s="10"/>
      <c r="AC3281" s="10"/>
      <c r="AD3281" s="10"/>
      <c r="AE3281" s="10"/>
      <c r="AF3281" s="10"/>
      <c r="AG3281" s="10"/>
      <c r="AH3281" s="10"/>
    </row>
    <row r="3282" spans="1:34" outlineLevel="2">
      <c r="A3282" s="21"/>
      <c r="B3282" s="12" t="str">
        <f>IFERROR(VLOOKUP(D3282,'[1]Перечень товаров'!$A$2:$I9525,2,0),"")</f>
        <v>п30</v>
      </c>
      <c r="C3282" s="12" t="str">
        <f>IFERROR(VLOOKUP(D3282,'[1]Перечень товаров'!$A$2:$I9525,3,0),"")</f>
        <v>Прочее</v>
      </c>
      <c r="D3282" s="22" t="s">
        <v>365</v>
      </c>
      <c r="E3282" s="102"/>
      <c r="F3282" s="102"/>
      <c r="G3282" s="48">
        <v>2</v>
      </c>
      <c r="H3282" s="48"/>
      <c r="I3282" s="49"/>
      <c r="J3282" s="49"/>
      <c r="K3282" s="33"/>
      <c r="L3282" s="20"/>
      <c r="M3282" s="10"/>
      <c r="N3282" s="10"/>
      <c r="O3282" s="10"/>
      <c r="P3282" s="10"/>
      <c r="Q3282" s="10"/>
      <c r="R3282" s="10"/>
      <c r="S3282" s="10"/>
      <c r="T3282" s="10"/>
      <c r="U3282" s="10"/>
      <c r="V3282" s="10"/>
      <c r="W3282" s="10"/>
      <c r="X3282" s="10"/>
      <c r="Y3282" s="10"/>
      <c r="Z3282" s="10"/>
      <c r="AA3282" s="10"/>
      <c r="AB3282" s="10"/>
      <c r="AC3282" s="10"/>
      <c r="AD3282" s="10"/>
      <c r="AE3282" s="10"/>
      <c r="AF3282" s="10"/>
      <c r="AG3282" s="10"/>
      <c r="AH3282" s="10"/>
    </row>
    <row r="3283" spans="1:34" ht="31.5" outlineLevel="2">
      <c r="A3283" s="21"/>
      <c r="B3283" s="12" t="str">
        <f>IFERROR(VLOOKUP(D3283,'[1]Перечень товаров'!$A$2:$I9525,2,0),"")</f>
        <v>п31</v>
      </c>
      <c r="C3283" s="12" t="str">
        <f>IFERROR(VLOOKUP(D3283,'[1]Перечень товаров'!$A$2:$I9525,3,0),"")</f>
        <v>Прочее</v>
      </c>
      <c r="D3283" s="22" t="s">
        <v>366</v>
      </c>
      <c r="E3283" s="102"/>
      <c r="F3283" s="102"/>
      <c r="G3283" s="48">
        <v>1</v>
      </c>
      <c r="H3283" s="48"/>
      <c r="I3283" s="49"/>
      <c r="J3283" s="49"/>
      <c r="K3283" s="33"/>
      <c r="L3283" s="20"/>
      <c r="M3283" s="10"/>
      <c r="N3283" s="10"/>
      <c r="O3283" s="10"/>
      <c r="P3283" s="10"/>
      <c r="Q3283" s="10"/>
      <c r="R3283" s="10"/>
      <c r="S3283" s="10"/>
      <c r="T3283" s="10"/>
      <c r="U3283" s="10"/>
      <c r="V3283" s="10"/>
      <c r="W3283" s="10"/>
      <c r="X3283" s="10"/>
      <c r="Y3283" s="10"/>
      <c r="Z3283" s="10"/>
      <c r="AA3283" s="10"/>
      <c r="AB3283" s="10"/>
      <c r="AC3283" s="10"/>
      <c r="AD3283" s="10"/>
      <c r="AE3283" s="10"/>
      <c r="AF3283" s="10"/>
      <c r="AG3283" s="10"/>
      <c r="AH3283" s="10"/>
    </row>
    <row r="3284" spans="1:34" ht="31.5" outlineLevel="2">
      <c r="A3284" s="21"/>
      <c r="B3284" s="12" t="str">
        <f>IFERROR(VLOOKUP(D3284,'[1]Перечень товаров'!$A$2:$I9525,2,0),"")</f>
        <v>п32</v>
      </c>
      <c r="C3284" s="12" t="str">
        <f>IFERROR(VLOOKUP(D3284,'[1]Перечень товаров'!$A$2:$I9525,3,0),"")</f>
        <v>Прочее</v>
      </c>
      <c r="D3284" s="22" t="s">
        <v>367</v>
      </c>
      <c r="E3284" s="102"/>
      <c r="F3284" s="102"/>
      <c r="G3284" s="48">
        <v>2</v>
      </c>
      <c r="H3284" s="48"/>
      <c r="I3284" s="49"/>
      <c r="J3284" s="49"/>
      <c r="K3284" s="33"/>
      <c r="L3284" s="20"/>
      <c r="M3284" s="10"/>
      <c r="N3284" s="10"/>
      <c r="O3284" s="10"/>
      <c r="P3284" s="10"/>
      <c r="Q3284" s="10"/>
      <c r="R3284" s="10"/>
      <c r="S3284" s="10"/>
      <c r="T3284" s="10"/>
      <c r="U3284" s="10"/>
      <c r="V3284" s="10"/>
      <c r="W3284" s="10"/>
      <c r="X3284" s="10"/>
      <c r="Y3284" s="10"/>
      <c r="Z3284" s="10"/>
      <c r="AA3284" s="10"/>
      <c r="AB3284" s="10"/>
      <c r="AC3284" s="10"/>
      <c r="AD3284" s="10"/>
      <c r="AE3284" s="10"/>
      <c r="AF3284" s="10"/>
      <c r="AG3284" s="10"/>
      <c r="AH3284" s="10"/>
    </row>
    <row r="3285" spans="1:34" ht="12.75" outlineLevel="1">
      <c r="A3285" s="11"/>
      <c r="B3285" s="12" t="str">
        <f>IFERROR(VLOOKUP(D3285,'[1]Перечень товаров'!$A$2:$I9525,2,0),"")</f>
        <v/>
      </c>
      <c r="C3285" s="12" t="str">
        <f>IFERROR(VLOOKUP(D3285,'[1]Перечень товаров'!$A$2:$I9525,3,0),"")</f>
        <v/>
      </c>
      <c r="D3285" s="27" t="s">
        <v>527</v>
      </c>
      <c r="E3285" s="14">
        <v>6.2</v>
      </c>
      <c r="F3285" s="14"/>
      <c r="G3285" s="17"/>
      <c r="H3285" s="17"/>
      <c r="I3285" s="57"/>
      <c r="J3285" s="57"/>
      <c r="K3285" s="19"/>
      <c r="L3285" s="20"/>
      <c r="M3285" s="10"/>
      <c r="N3285" s="10"/>
      <c r="O3285" s="10"/>
      <c r="P3285" s="10"/>
      <c r="Q3285" s="10"/>
      <c r="R3285" s="10"/>
      <c r="S3285" s="10"/>
      <c r="T3285" s="10"/>
      <c r="U3285" s="10"/>
      <c r="V3285" s="10"/>
      <c r="W3285" s="10"/>
      <c r="X3285" s="10"/>
      <c r="Y3285" s="10"/>
      <c r="Z3285" s="10"/>
      <c r="AA3285" s="10"/>
      <c r="AB3285" s="10"/>
      <c r="AC3285" s="10"/>
      <c r="AD3285" s="10"/>
      <c r="AE3285" s="10"/>
      <c r="AF3285" s="10"/>
      <c r="AG3285" s="10"/>
      <c r="AH3285" s="10"/>
    </row>
    <row r="3286" spans="1:34" outlineLevel="2">
      <c r="A3286" s="22"/>
      <c r="B3286" s="12" t="str">
        <f>IFERROR(VLOOKUP(D3286,'[1]Перечень товаров'!$A$2:$I9525,2,0),"")</f>
        <v>п25</v>
      </c>
      <c r="C3286" s="12" t="str">
        <f>IFERROR(VLOOKUP(D3286,'[1]Перечень товаров'!$A$2:$I9525,3,0),"")</f>
        <v>Прочее</v>
      </c>
      <c r="D3286" s="22" t="s">
        <v>360</v>
      </c>
      <c r="E3286" s="102"/>
      <c r="F3286" s="102"/>
      <c r="G3286" s="48">
        <v>3</v>
      </c>
      <c r="H3286" s="48"/>
      <c r="I3286" s="49"/>
      <c r="J3286" s="49"/>
      <c r="K3286" s="33"/>
      <c r="L3286" s="20"/>
      <c r="M3286" s="10"/>
      <c r="N3286" s="10"/>
      <c r="O3286" s="10"/>
      <c r="P3286" s="10"/>
      <c r="Q3286" s="10"/>
      <c r="R3286" s="10"/>
      <c r="S3286" s="10"/>
      <c r="T3286" s="10"/>
      <c r="U3286" s="10"/>
      <c r="V3286" s="10"/>
      <c r="W3286" s="10"/>
      <c r="X3286" s="10"/>
      <c r="Y3286" s="10"/>
      <c r="Z3286" s="10"/>
      <c r="AA3286" s="10"/>
      <c r="AB3286" s="10"/>
      <c r="AC3286" s="10"/>
      <c r="AD3286" s="10"/>
      <c r="AE3286" s="10"/>
      <c r="AF3286" s="10"/>
      <c r="AG3286" s="10"/>
      <c r="AH3286" s="10"/>
    </row>
    <row r="3287" spans="1:34" outlineLevel="2">
      <c r="A3287" s="21"/>
      <c r="B3287" s="12" t="str">
        <f>IFERROR(VLOOKUP(D3287,'[1]Перечень товаров'!$A$2:$I9525,2,0),"")</f>
        <v>п26</v>
      </c>
      <c r="C3287" s="12" t="str">
        <f>IFERROR(VLOOKUP(D3287,'[1]Перечень товаров'!$A$2:$I9525,3,0),"")</f>
        <v>Прочее</v>
      </c>
      <c r="D3287" s="22" t="s">
        <v>361</v>
      </c>
      <c r="E3287" s="102"/>
      <c r="F3287" s="102"/>
      <c r="G3287" s="48">
        <v>2</v>
      </c>
      <c r="H3287" s="48"/>
      <c r="I3287" s="49"/>
      <c r="J3287" s="49"/>
      <c r="K3287" s="33"/>
      <c r="L3287" s="20"/>
      <c r="M3287" s="10"/>
      <c r="N3287" s="10"/>
      <c r="O3287" s="10"/>
      <c r="P3287" s="10"/>
      <c r="Q3287" s="10"/>
      <c r="R3287" s="10"/>
      <c r="S3287" s="10"/>
      <c r="T3287" s="10"/>
      <c r="U3287" s="10"/>
      <c r="V3287" s="10"/>
      <c r="W3287" s="10"/>
      <c r="X3287" s="10"/>
      <c r="Y3287" s="10"/>
      <c r="Z3287" s="10"/>
      <c r="AA3287" s="10"/>
      <c r="AB3287" s="10"/>
      <c r="AC3287" s="10"/>
      <c r="AD3287" s="10"/>
      <c r="AE3287" s="10"/>
      <c r="AF3287" s="10"/>
      <c r="AG3287" s="10"/>
      <c r="AH3287" s="10"/>
    </row>
    <row r="3288" spans="1:34" outlineLevel="2">
      <c r="A3288" s="21"/>
      <c r="B3288" s="12" t="str">
        <f>IFERROR(VLOOKUP(D3288,'[1]Перечень товаров'!$A$2:$I9525,2,0),"")</f>
        <v>п27</v>
      </c>
      <c r="C3288" s="12" t="str">
        <f>IFERROR(VLOOKUP(D3288,'[1]Перечень товаров'!$A$2:$I9525,3,0),"")</f>
        <v>Прочее</v>
      </c>
      <c r="D3288" s="22" t="s">
        <v>362</v>
      </c>
      <c r="E3288" s="102"/>
      <c r="F3288" s="102"/>
      <c r="G3288" s="48">
        <v>2</v>
      </c>
      <c r="H3288" s="48"/>
      <c r="I3288" s="49"/>
      <c r="J3288" s="49"/>
      <c r="K3288" s="33"/>
      <c r="L3288" s="20"/>
      <c r="M3288" s="10"/>
      <c r="N3288" s="10"/>
      <c r="O3288" s="10"/>
      <c r="P3288" s="10"/>
      <c r="Q3288" s="10"/>
      <c r="R3288" s="10"/>
      <c r="S3288" s="10"/>
      <c r="T3288" s="10"/>
      <c r="U3288" s="10"/>
      <c r="V3288" s="10"/>
      <c r="W3288" s="10"/>
      <c r="X3288" s="10"/>
      <c r="Y3288" s="10"/>
      <c r="Z3288" s="10"/>
      <c r="AA3288" s="10"/>
      <c r="AB3288" s="10"/>
      <c r="AC3288" s="10"/>
      <c r="AD3288" s="10"/>
      <c r="AE3288" s="10"/>
      <c r="AF3288" s="10"/>
      <c r="AG3288" s="10"/>
      <c r="AH3288" s="10"/>
    </row>
    <row r="3289" spans="1:34" outlineLevel="2">
      <c r="A3289" s="21"/>
      <c r="B3289" s="12" t="str">
        <f>IFERROR(VLOOKUP(D3289,'[1]Перечень товаров'!$A$2:$I9525,2,0),"")</f>
        <v>п28</v>
      </c>
      <c r="C3289" s="12" t="str">
        <f>IFERROR(VLOOKUP(D3289,'[1]Перечень товаров'!$A$2:$I9525,3,0),"")</f>
        <v>Прочее</v>
      </c>
      <c r="D3289" s="22" t="s">
        <v>363</v>
      </c>
      <c r="E3289" s="102"/>
      <c r="F3289" s="102"/>
      <c r="G3289" s="48">
        <v>1</v>
      </c>
      <c r="H3289" s="48"/>
      <c r="I3289" s="49"/>
      <c r="J3289" s="49"/>
      <c r="K3289" s="33"/>
      <c r="L3289" s="20"/>
      <c r="M3289" s="10"/>
      <c r="N3289" s="10"/>
      <c r="O3289" s="10"/>
      <c r="P3289" s="10"/>
      <c r="Q3289" s="10"/>
      <c r="R3289" s="10"/>
      <c r="S3289" s="10"/>
      <c r="T3289" s="10"/>
      <c r="U3289" s="10"/>
      <c r="V3289" s="10"/>
      <c r="W3289" s="10"/>
      <c r="X3289" s="10"/>
      <c r="Y3289" s="10"/>
      <c r="Z3289" s="10"/>
      <c r="AA3289" s="10"/>
      <c r="AB3289" s="10"/>
      <c r="AC3289" s="10"/>
      <c r="AD3289" s="10"/>
      <c r="AE3289" s="10"/>
      <c r="AF3289" s="10"/>
      <c r="AG3289" s="10"/>
      <c r="AH3289" s="10"/>
    </row>
    <row r="3290" spans="1:34" outlineLevel="2">
      <c r="A3290" s="21"/>
      <c r="B3290" s="12" t="str">
        <f>IFERROR(VLOOKUP(D3290,'[1]Перечень товаров'!$A$2:$I9525,2,0),"")</f>
        <v>п29</v>
      </c>
      <c r="C3290" s="12" t="str">
        <f>IFERROR(VLOOKUP(D3290,'[1]Перечень товаров'!$A$2:$I9525,3,0),"")</f>
        <v>Прочее</v>
      </c>
      <c r="D3290" s="22" t="s">
        <v>364</v>
      </c>
      <c r="E3290" s="102"/>
      <c r="F3290" s="102"/>
      <c r="G3290" s="48">
        <v>6</v>
      </c>
      <c r="H3290" s="48"/>
      <c r="I3290" s="49"/>
      <c r="J3290" s="49"/>
      <c r="K3290" s="33"/>
      <c r="L3290" s="20"/>
      <c r="M3290" s="10"/>
      <c r="N3290" s="10"/>
      <c r="O3290" s="10"/>
      <c r="P3290" s="10"/>
      <c r="Q3290" s="10"/>
      <c r="R3290" s="10"/>
      <c r="S3290" s="10"/>
      <c r="T3290" s="10"/>
      <c r="U3290" s="10"/>
      <c r="V3290" s="10"/>
      <c r="W3290" s="10"/>
      <c r="X3290" s="10"/>
      <c r="Y3290" s="10"/>
      <c r="Z3290" s="10"/>
      <c r="AA3290" s="10"/>
      <c r="AB3290" s="10"/>
      <c r="AC3290" s="10"/>
      <c r="AD3290" s="10"/>
      <c r="AE3290" s="10"/>
      <c r="AF3290" s="10"/>
      <c r="AG3290" s="10"/>
      <c r="AH3290" s="10"/>
    </row>
    <row r="3291" spans="1:34" outlineLevel="2">
      <c r="A3291" s="21"/>
      <c r="B3291" s="12" t="str">
        <f>IFERROR(VLOOKUP(D3291,'[1]Перечень товаров'!$A$2:$I9525,2,0),"")</f>
        <v>п30</v>
      </c>
      <c r="C3291" s="12" t="str">
        <f>IFERROR(VLOOKUP(D3291,'[1]Перечень товаров'!$A$2:$I9525,3,0),"")</f>
        <v>Прочее</v>
      </c>
      <c r="D3291" s="22" t="s">
        <v>365</v>
      </c>
      <c r="E3291" s="102"/>
      <c r="F3291" s="102"/>
      <c r="G3291" s="48">
        <v>2</v>
      </c>
      <c r="H3291" s="48"/>
      <c r="I3291" s="49"/>
      <c r="J3291" s="49"/>
      <c r="K3291" s="33"/>
      <c r="L3291" s="20"/>
      <c r="M3291" s="10"/>
      <c r="N3291" s="10"/>
      <c r="O3291" s="10"/>
      <c r="P3291" s="10"/>
      <c r="Q3291" s="10"/>
      <c r="R3291" s="10"/>
      <c r="S3291" s="10"/>
      <c r="T3291" s="10"/>
      <c r="U3291" s="10"/>
      <c r="V3291" s="10"/>
      <c r="W3291" s="10"/>
      <c r="X3291" s="10"/>
      <c r="Y3291" s="10"/>
      <c r="Z3291" s="10"/>
      <c r="AA3291" s="10"/>
      <c r="AB3291" s="10"/>
      <c r="AC3291" s="10"/>
      <c r="AD3291" s="10"/>
      <c r="AE3291" s="10"/>
      <c r="AF3291" s="10"/>
      <c r="AG3291" s="10"/>
      <c r="AH3291" s="10"/>
    </row>
    <row r="3292" spans="1:34" ht="31.5" outlineLevel="2">
      <c r="A3292" s="21"/>
      <c r="B3292" s="12" t="str">
        <f>IFERROR(VLOOKUP(D3292,'[1]Перечень товаров'!$A$2:$I9525,2,0),"")</f>
        <v>п31</v>
      </c>
      <c r="C3292" s="12" t="str">
        <f>IFERROR(VLOOKUP(D3292,'[1]Перечень товаров'!$A$2:$I9525,3,0),"")</f>
        <v>Прочее</v>
      </c>
      <c r="D3292" s="22" t="s">
        <v>366</v>
      </c>
      <c r="E3292" s="102"/>
      <c r="F3292" s="102"/>
      <c r="G3292" s="48">
        <v>1</v>
      </c>
      <c r="H3292" s="48"/>
      <c r="I3292" s="49"/>
      <c r="J3292" s="49"/>
      <c r="K3292" s="33"/>
      <c r="L3292" s="20"/>
      <c r="M3292" s="10"/>
      <c r="N3292" s="10"/>
      <c r="O3292" s="10"/>
      <c r="P3292" s="10"/>
      <c r="Q3292" s="10"/>
      <c r="R3292" s="10"/>
      <c r="S3292" s="10"/>
      <c r="T3292" s="10"/>
      <c r="U3292" s="10"/>
      <c r="V3292" s="10"/>
      <c r="W3292" s="10"/>
      <c r="X3292" s="10"/>
      <c r="Y3292" s="10"/>
      <c r="Z3292" s="10"/>
      <c r="AA3292" s="10"/>
      <c r="AB3292" s="10"/>
      <c r="AC3292" s="10"/>
      <c r="AD3292" s="10"/>
      <c r="AE3292" s="10"/>
      <c r="AF3292" s="10"/>
      <c r="AG3292" s="10"/>
      <c r="AH3292" s="10"/>
    </row>
    <row r="3293" spans="1:34" ht="31.5" outlineLevel="2">
      <c r="A3293" s="21"/>
      <c r="B3293" s="12" t="str">
        <f>IFERROR(VLOOKUP(D3293,'[1]Перечень товаров'!$A$2:$I9525,2,0),"")</f>
        <v>п32</v>
      </c>
      <c r="C3293" s="12" t="str">
        <f>IFERROR(VLOOKUP(D3293,'[1]Перечень товаров'!$A$2:$I9525,3,0),"")</f>
        <v>Прочее</v>
      </c>
      <c r="D3293" s="22" t="s">
        <v>367</v>
      </c>
      <c r="E3293" s="102"/>
      <c r="F3293" s="102"/>
      <c r="G3293" s="48">
        <v>2</v>
      </c>
      <c r="H3293" s="48"/>
      <c r="I3293" s="49"/>
      <c r="J3293" s="49"/>
      <c r="K3293" s="33"/>
      <c r="L3293" s="20"/>
      <c r="M3293" s="10"/>
      <c r="N3293" s="10"/>
      <c r="O3293" s="10"/>
      <c r="P3293" s="10"/>
      <c r="Q3293" s="10"/>
      <c r="R3293" s="10"/>
      <c r="S3293" s="10"/>
      <c r="T3293" s="10"/>
      <c r="U3293" s="10"/>
      <c r="V3293" s="10"/>
      <c r="W3293" s="10"/>
      <c r="X3293" s="10"/>
      <c r="Y3293" s="10"/>
      <c r="Z3293" s="10"/>
      <c r="AA3293" s="10"/>
      <c r="AB3293" s="10"/>
      <c r="AC3293" s="10"/>
      <c r="AD3293" s="10"/>
      <c r="AE3293" s="10"/>
      <c r="AF3293" s="10"/>
      <c r="AG3293" s="10"/>
      <c r="AH3293" s="10"/>
    </row>
    <row r="3294" spans="1:34" outlineLevel="1">
      <c r="A3294" s="21"/>
      <c r="B3294" s="12" t="str">
        <f>IFERROR(VLOOKUP(D3294,'[1]Перечень товаров'!$A$2:$I9525,2,0),"")</f>
        <v/>
      </c>
      <c r="C3294" s="12" t="str">
        <f>IFERROR(VLOOKUP(D3294,'[1]Перечень товаров'!$A$2:$I9525,3,0),"")</f>
        <v/>
      </c>
      <c r="D3294" s="22" t="s">
        <v>11</v>
      </c>
      <c r="E3294" s="23">
        <v>10.3</v>
      </c>
      <c r="F3294" s="23"/>
      <c r="G3294" s="24"/>
      <c r="H3294" s="24"/>
      <c r="I3294" s="25"/>
      <c r="J3294" s="25"/>
      <c r="K3294" s="19"/>
      <c r="L3294" s="20"/>
      <c r="M3294" s="10"/>
      <c r="N3294" s="10"/>
      <c r="O3294" s="10"/>
      <c r="P3294" s="10"/>
      <c r="Q3294" s="10"/>
      <c r="R3294" s="10"/>
      <c r="S3294" s="10"/>
      <c r="T3294" s="10"/>
      <c r="U3294" s="10"/>
      <c r="V3294" s="10"/>
      <c r="W3294" s="10"/>
      <c r="X3294" s="10"/>
      <c r="Y3294" s="10"/>
      <c r="Z3294" s="10"/>
      <c r="AA3294" s="10"/>
      <c r="AB3294" s="10"/>
      <c r="AC3294" s="10"/>
      <c r="AD3294" s="10"/>
      <c r="AE3294" s="10"/>
      <c r="AF3294" s="10"/>
      <c r="AG3294" s="10"/>
      <c r="AH3294" s="10"/>
    </row>
    <row r="3295" spans="1:34" ht="12.75" outlineLevel="1">
      <c r="A3295" s="11"/>
      <c r="B3295" s="12" t="str">
        <f>IFERROR(VLOOKUP(D3295,'[1]Перечень товаров'!$A$2:$I9525,2,0),"")</f>
        <v/>
      </c>
      <c r="C3295" s="12" t="str">
        <f>IFERROR(VLOOKUP(D3295,'[1]Перечень товаров'!$A$2:$I9525,3,0),"")</f>
        <v/>
      </c>
      <c r="D3295" s="27" t="s">
        <v>338</v>
      </c>
      <c r="E3295" s="14">
        <v>16</v>
      </c>
      <c r="F3295" s="14"/>
      <c r="G3295" s="17"/>
      <c r="H3295" s="17"/>
      <c r="I3295" s="57"/>
      <c r="J3295" s="57"/>
      <c r="K3295" s="19"/>
      <c r="L3295" s="20"/>
      <c r="M3295" s="10"/>
      <c r="N3295" s="10"/>
      <c r="O3295" s="10"/>
      <c r="P3295" s="10"/>
      <c r="Q3295" s="10"/>
      <c r="R3295" s="10"/>
      <c r="S3295" s="10"/>
      <c r="T3295" s="10"/>
      <c r="U3295" s="10"/>
      <c r="V3295" s="10"/>
      <c r="W3295" s="10"/>
      <c r="X3295" s="10"/>
      <c r="Y3295" s="10"/>
      <c r="Z3295" s="10"/>
      <c r="AA3295" s="10"/>
      <c r="AB3295" s="10"/>
      <c r="AC3295" s="10"/>
      <c r="AD3295" s="10"/>
      <c r="AE3295" s="10"/>
      <c r="AF3295" s="10"/>
      <c r="AG3295" s="10"/>
      <c r="AH3295" s="10"/>
    </row>
    <row r="3296" spans="1:34" ht="12.75" outlineLevel="2">
      <c r="A3296" s="77"/>
      <c r="B3296" s="12" t="str">
        <f>IFERROR(VLOOKUP(D3296,'[1]Перечень товаров'!$A$2:$I9525,2,0),"")</f>
        <v/>
      </c>
      <c r="C3296" s="12" t="str">
        <f>IFERROR(VLOOKUP(D3296,'[1]Перечень товаров'!$A$2:$I9525,3,0),"")</f>
        <v/>
      </c>
      <c r="D3296" s="78" t="s">
        <v>19</v>
      </c>
      <c r="E3296" s="79"/>
      <c r="F3296" s="79"/>
      <c r="G3296" s="17"/>
      <c r="H3296" s="17"/>
      <c r="I3296" s="57"/>
      <c r="J3296" s="57"/>
      <c r="K3296" s="19"/>
      <c r="L3296" s="20"/>
      <c r="M3296" s="10"/>
      <c r="N3296" s="10"/>
      <c r="O3296" s="10"/>
      <c r="P3296" s="10"/>
      <c r="Q3296" s="10"/>
      <c r="R3296" s="10"/>
      <c r="S3296" s="10"/>
      <c r="T3296" s="10"/>
      <c r="U3296" s="10"/>
      <c r="V3296" s="10"/>
      <c r="W3296" s="10"/>
      <c r="X3296" s="10"/>
      <c r="Y3296" s="10"/>
      <c r="Z3296" s="10"/>
      <c r="AA3296" s="10"/>
      <c r="AB3296" s="10"/>
      <c r="AC3296" s="10"/>
      <c r="AD3296" s="10"/>
      <c r="AE3296" s="10"/>
      <c r="AF3296" s="10"/>
      <c r="AG3296" s="10"/>
      <c r="AH3296" s="10"/>
    </row>
    <row r="3297" spans="1:34" outlineLevel="2">
      <c r="A3297" s="43"/>
      <c r="B3297" s="12" t="str">
        <f>IFERROR(VLOOKUP(D3297,'[1]Перечень товаров'!$A$2:$I9525,2,0),"")</f>
        <v>м25</v>
      </c>
      <c r="C3297" s="12" t="str">
        <f>IFERROR(VLOOKUP(D3297,'[1]Перечень товаров'!$A$2:$I9525,3,0),"")</f>
        <v>Мебель</v>
      </c>
      <c r="D3297" s="44" t="s">
        <v>175</v>
      </c>
      <c r="E3297" s="23">
        <v>10</v>
      </c>
      <c r="F3297" s="23"/>
      <c r="G3297" s="24"/>
      <c r="H3297" s="24"/>
      <c r="I3297" s="25"/>
      <c r="J3297" s="25"/>
      <c r="K3297" s="19"/>
      <c r="L3297" s="20"/>
      <c r="M3297" s="10"/>
      <c r="N3297" s="10"/>
      <c r="O3297" s="10"/>
      <c r="P3297" s="10"/>
      <c r="Q3297" s="10"/>
      <c r="R3297" s="10"/>
      <c r="S3297" s="10"/>
      <c r="T3297" s="10"/>
      <c r="U3297" s="10"/>
      <c r="V3297" s="10"/>
      <c r="W3297" s="10"/>
      <c r="X3297" s="10"/>
      <c r="Y3297" s="10"/>
      <c r="Z3297" s="10"/>
      <c r="AA3297" s="10"/>
      <c r="AB3297" s="10"/>
      <c r="AC3297" s="10"/>
      <c r="AD3297" s="10"/>
      <c r="AE3297" s="10"/>
      <c r="AF3297" s="10"/>
      <c r="AG3297" s="10"/>
      <c r="AH3297" s="10"/>
    </row>
    <row r="3298" spans="1:34" outlineLevel="2">
      <c r="A3298" s="43"/>
      <c r="B3298" s="12" t="str">
        <f>IFERROR(VLOOKUP(D3298,'[1]Перечень товаров'!$A$2:$I9525,2,0),"")</f>
        <v>м26</v>
      </c>
      <c r="C3298" s="12" t="str">
        <f>IFERROR(VLOOKUP(D3298,'[1]Перечень товаров'!$A$2:$I9525,3,0),"")</f>
        <v>Мебель</v>
      </c>
      <c r="D3298" s="44" t="s">
        <v>176</v>
      </c>
      <c r="E3298" s="23">
        <v>5</v>
      </c>
      <c r="F3298" s="23"/>
      <c r="G3298" s="24"/>
      <c r="H3298" s="24"/>
      <c r="I3298" s="25"/>
      <c r="J3298" s="25"/>
      <c r="K3298" s="19"/>
      <c r="L3298" s="20"/>
      <c r="M3298" s="10"/>
      <c r="N3298" s="10"/>
      <c r="O3298" s="10"/>
      <c r="P3298" s="10"/>
      <c r="Q3298" s="10"/>
      <c r="R3298" s="10"/>
      <c r="S3298" s="10"/>
      <c r="T3298" s="10"/>
      <c r="U3298" s="10"/>
      <c r="V3298" s="10"/>
      <c r="W3298" s="10"/>
      <c r="X3298" s="10"/>
      <c r="Y3298" s="10"/>
      <c r="Z3298" s="10"/>
      <c r="AA3298" s="10"/>
      <c r="AB3298" s="10"/>
      <c r="AC3298" s="10"/>
      <c r="AD3298" s="10"/>
      <c r="AE3298" s="10"/>
      <c r="AF3298" s="10"/>
      <c r="AG3298" s="10"/>
      <c r="AH3298" s="10"/>
    </row>
    <row r="3299" spans="1:34" outlineLevel="2">
      <c r="A3299" s="43"/>
      <c r="B3299" s="12" t="str">
        <f>IFERROR(VLOOKUP(D3299,'[1]Перечень товаров'!$A$2:$I9525,2,0),"")</f>
        <v>м27</v>
      </c>
      <c r="C3299" s="12" t="str">
        <f>IFERROR(VLOOKUP(D3299,'[1]Перечень товаров'!$A$2:$I9525,3,0),"")</f>
        <v>Мебель</v>
      </c>
      <c r="D3299" s="44" t="s">
        <v>177</v>
      </c>
      <c r="E3299" s="23">
        <v>2</v>
      </c>
      <c r="F3299" s="23"/>
      <c r="G3299" s="24"/>
      <c r="H3299" s="24"/>
      <c r="I3299" s="25"/>
      <c r="J3299" s="25"/>
      <c r="K3299" s="19"/>
      <c r="L3299" s="20"/>
      <c r="M3299" s="10"/>
      <c r="N3299" s="10"/>
      <c r="O3299" s="10"/>
      <c r="P3299" s="10"/>
      <c r="Q3299" s="10"/>
      <c r="R3299" s="10"/>
      <c r="S3299" s="10"/>
      <c r="T3299" s="10"/>
      <c r="U3299" s="10"/>
      <c r="V3299" s="10"/>
      <c r="W3299" s="10"/>
      <c r="X3299" s="10"/>
      <c r="Y3299" s="10"/>
      <c r="Z3299" s="10"/>
      <c r="AA3299" s="10"/>
      <c r="AB3299" s="10"/>
      <c r="AC3299" s="10"/>
      <c r="AD3299" s="10"/>
      <c r="AE3299" s="10"/>
      <c r="AF3299" s="10"/>
      <c r="AG3299" s="10"/>
      <c r="AH3299" s="10"/>
    </row>
    <row r="3300" spans="1:34" outlineLevel="2">
      <c r="A3300" s="43"/>
      <c r="B3300" s="12" t="str">
        <f>IFERROR(VLOOKUP(D3300,'[1]Перечень товаров'!$A$2:$I9525,2,0),"")</f>
        <v>м28</v>
      </c>
      <c r="C3300" s="12" t="str">
        <f>IFERROR(VLOOKUP(D3300,'[1]Перечень товаров'!$A$2:$I9525,3,0),"")</f>
        <v>Мебель</v>
      </c>
      <c r="D3300" s="44" t="s">
        <v>178</v>
      </c>
      <c r="E3300" s="23">
        <v>1</v>
      </c>
      <c r="F3300" s="23"/>
      <c r="G3300" s="24"/>
      <c r="H3300" s="24"/>
      <c r="I3300" s="25"/>
      <c r="J3300" s="25"/>
      <c r="K3300" s="19"/>
      <c r="L3300" s="20"/>
      <c r="M3300" s="10"/>
      <c r="N3300" s="10"/>
      <c r="O3300" s="10"/>
      <c r="P3300" s="10"/>
      <c r="Q3300" s="10"/>
      <c r="R3300" s="10"/>
      <c r="S3300" s="10"/>
      <c r="T3300" s="10"/>
      <c r="U3300" s="10"/>
      <c r="V3300" s="10"/>
      <c r="W3300" s="10"/>
      <c r="X3300" s="10"/>
      <c r="Y3300" s="10"/>
      <c r="Z3300" s="10"/>
      <c r="AA3300" s="10"/>
      <c r="AB3300" s="10"/>
      <c r="AC3300" s="10"/>
      <c r="AD3300" s="10"/>
      <c r="AE3300" s="10"/>
      <c r="AF3300" s="10"/>
      <c r="AG3300" s="10"/>
      <c r="AH3300" s="10"/>
    </row>
    <row r="3301" spans="1:34" outlineLevel="2">
      <c r="A3301" s="21"/>
      <c r="B3301" s="12" t="str">
        <f>IFERROR(VLOOKUP(D3301,'[1]Перечень товаров'!$A$2:$I9525,2,0),"")</f>
        <v>мм1</v>
      </c>
      <c r="C3301" s="12" t="str">
        <f>IFERROR(VLOOKUP(D3301,'[1]Перечень товаров'!$A$2:$I9525,3,0),"")</f>
        <v>Мебель муз</v>
      </c>
      <c r="D3301" s="22" t="s">
        <v>179</v>
      </c>
      <c r="E3301" s="23">
        <v>1</v>
      </c>
      <c r="F3301" s="23"/>
      <c r="G3301" s="24"/>
      <c r="H3301" s="24"/>
      <c r="I3301" s="25"/>
      <c r="J3301" s="25"/>
      <c r="K3301" s="19"/>
      <c r="L3301" s="20"/>
      <c r="M3301" s="10"/>
      <c r="N3301" s="10"/>
      <c r="O3301" s="10"/>
      <c r="P3301" s="10"/>
      <c r="Q3301" s="10"/>
      <c r="R3301" s="10"/>
      <c r="S3301" s="10"/>
      <c r="T3301" s="10"/>
      <c r="U3301" s="10"/>
      <c r="V3301" s="10"/>
      <c r="W3301" s="10"/>
      <c r="X3301" s="10"/>
      <c r="Y3301" s="10"/>
      <c r="Z3301" s="10"/>
      <c r="AA3301" s="10"/>
      <c r="AB3301" s="10"/>
      <c r="AC3301" s="10"/>
      <c r="AD3301" s="10"/>
      <c r="AE3301" s="10"/>
      <c r="AF3301" s="10"/>
      <c r="AG3301" s="10"/>
      <c r="AH3301" s="10"/>
    </row>
    <row r="3302" spans="1:34" outlineLevel="1">
      <c r="A3302" s="21"/>
      <c r="B3302" s="12" t="str">
        <f>IFERROR(VLOOKUP(D3302,'[1]Перечень товаров'!$A$2:$I9525,2,0),"")</f>
        <v/>
      </c>
      <c r="C3302" s="12" t="str">
        <f>IFERROR(VLOOKUP(D3302,'[1]Перечень товаров'!$A$2:$I9525,3,0),"")</f>
        <v/>
      </c>
      <c r="D3302" s="22" t="s">
        <v>11</v>
      </c>
      <c r="E3302" s="23">
        <v>158.19999999999999</v>
      </c>
      <c r="F3302" s="23"/>
      <c r="G3302" s="24"/>
      <c r="H3302" s="24"/>
      <c r="I3302" s="25"/>
      <c r="J3302" s="25"/>
      <c r="K3302" s="19"/>
      <c r="L3302" s="20"/>
      <c r="M3302" s="10"/>
      <c r="N3302" s="10"/>
      <c r="O3302" s="10"/>
      <c r="P3302" s="10"/>
      <c r="Q3302" s="10"/>
      <c r="R3302" s="10"/>
      <c r="S3302" s="10"/>
      <c r="T3302" s="10"/>
      <c r="U3302" s="10"/>
      <c r="V3302" s="10"/>
      <c r="W3302" s="10"/>
      <c r="X3302" s="10"/>
      <c r="Y3302" s="10"/>
      <c r="Z3302" s="10"/>
      <c r="AA3302" s="10"/>
      <c r="AB3302" s="10"/>
      <c r="AC3302" s="10"/>
      <c r="AD3302" s="10"/>
      <c r="AE3302" s="10"/>
      <c r="AF3302" s="10"/>
      <c r="AG3302" s="10"/>
      <c r="AH3302" s="10"/>
    </row>
    <row r="3303" spans="1:34" ht="25.5" outlineLevel="1">
      <c r="A3303" s="11"/>
      <c r="B3303" s="12" t="str">
        <f>IFERROR(VLOOKUP(D3303,'[1]Перечень товаров'!$A$2:$I9525,2,0),"")</f>
        <v/>
      </c>
      <c r="C3303" s="12" t="str">
        <f>IFERROR(VLOOKUP(D3303,'[1]Перечень товаров'!$A$2:$I9525,3,0),"")</f>
        <v/>
      </c>
      <c r="D3303" s="27" t="s">
        <v>991</v>
      </c>
      <c r="E3303" s="14">
        <v>23.6</v>
      </c>
      <c r="F3303" s="14"/>
      <c r="G3303" s="17"/>
      <c r="H3303" s="17"/>
      <c r="I3303" s="57"/>
      <c r="J3303" s="57"/>
      <c r="K3303" s="19"/>
      <c r="L3303" s="20"/>
      <c r="M3303" s="10"/>
      <c r="N3303" s="10"/>
      <c r="O3303" s="10"/>
      <c r="P3303" s="10"/>
      <c r="Q3303" s="10"/>
      <c r="R3303" s="10"/>
      <c r="S3303" s="10"/>
      <c r="T3303" s="10"/>
      <c r="U3303" s="10"/>
      <c r="V3303" s="10"/>
      <c r="W3303" s="10"/>
      <c r="X3303" s="10"/>
      <c r="Y3303" s="10"/>
      <c r="Z3303" s="10"/>
      <c r="AA3303" s="10"/>
      <c r="AB3303" s="10"/>
      <c r="AC3303" s="10"/>
      <c r="AD3303" s="10"/>
      <c r="AE3303" s="10"/>
      <c r="AF3303" s="10"/>
      <c r="AG3303" s="10"/>
      <c r="AH3303" s="10"/>
    </row>
    <row r="3304" spans="1:34" outlineLevel="2">
      <c r="A3304" s="113"/>
      <c r="B3304" s="12" t="str">
        <f>IFERROR(VLOOKUP(D3304,'[1]Перечень товаров'!$A$2:$I9525,2,0),"")</f>
        <v/>
      </c>
      <c r="C3304" s="12" t="str">
        <f>IFERROR(VLOOKUP(D3304,'[1]Перечень товаров'!$A$2:$I9525,3,0),"")</f>
        <v/>
      </c>
      <c r="D3304" s="114" t="s">
        <v>391</v>
      </c>
      <c r="E3304" s="122"/>
      <c r="F3304" s="122"/>
      <c r="G3304" s="123"/>
      <c r="H3304" s="123"/>
      <c r="I3304" s="124"/>
      <c r="J3304" s="124"/>
      <c r="K3304" s="19"/>
      <c r="L3304" s="20"/>
      <c r="M3304" s="10"/>
      <c r="N3304" s="10"/>
      <c r="O3304" s="10"/>
      <c r="P3304" s="10"/>
      <c r="Q3304" s="10"/>
      <c r="R3304" s="10"/>
      <c r="S3304" s="10"/>
      <c r="T3304" s="10"/>
      <c r="U3304" s="10"/>
      <c r="V3304" s="10"/>
      <c r="W3304" s="10"/>
      <c r="X3304" s="10"/>
      <c r="Y3304" s="10"/>
      <c r="Z3304" s="10"/>
      <c r="AA3304" s="10"/>
      <c r="AB3304" s="10"/>
      <c r="AC3304" s="10"/>
      <c r="AD3304" s="10"/>
      <c r="AE3304" s="10"/>
      <c r="AF3304" s="10"/>
      <c r="AG3304" s="10"/>
      <c r="AH3304" s="10"/>
    </row>
    <row r="3305" spans="1:34" outlineLevel="2">
      <c r="A3305" s="28"/>
      <c r="B3305" s="12" t="str">
        <f>IFERROR(VLOOKUP(D3305,'[1]Перечень товаров'!$A$2:$I9525,2,0),"")</f>
        <v/>
      </c>
      <c r="C3305" s="12" t="str">
        <f>IFERROR(VLOOKUP(D3305,'[1]Перечень товаров'!$A$2:$I9525,3,0),"")</f>
        <v/>
      </c>
      <c r="D3305" s="29" t="s">
        <v>992</v>
      </c>
      <c r="E3305" s="30"/>
      <c r="F3305" s="30"/>
      <c r="G3305" s="31">
        <v>1</v>
      </c>
      <c r="H3305" s="31"/>
      <c r="I3305" s="32"/>
      <c r="J3305" s="32"/>
      <c r="K3305" s="19"/>
      <c r="L3305" s="20"/>
      <c r="M3305" s="10"/>
      <c r="N3305" s="10"/>
      <c r="O3305" s="10"/>
      <c r="P3305" s="10"/>
      <c r="Q3305" s="10"/>
      <c r="R3305" s="10"/>
      <c r="S3305" s="10"/>
      <c r="T3305" s="10"/>
      <c r="U3305" s="10"/>
      <c r="V3305" s="10"/>
      <c r="W3305" s="10"/>
      <c r="X3305" s="10"/>
      <c r="Y3305" s="10"/>
      <c r="Z3305" s="10"/>
      <c r="AA3305" s="10"/>
      <c r="AB3305" s="10"/>
      <c r="AC3305" s="10"/>
      <c r="AD3305" s="10"/>
      <c r="AE3305" s="10"/>
      <c r="AF3305" s="10"/>
      <c r="AG3305" s="10"/>
      <c r="AH3305" s="10"/>
    </row>
    <row r="3306" spans="1:34" ht="31.5" outlineLevel="2">
      <c r="A3306" s="28"/>
      <c r="B3306" s="12" t="str">
        <f>IFERROR(VLOOKUP(D3306,'[1]Перечень товаров'!$A$2:$I9525,2,0),"")</f>
        <v>д556</v>
      </c>
      <c r="C3306" s="12" t="str">
        <f>IFERROR(VLOOKUP(D3306,'[1]Перечень товаров'!$A$2:$I9525,3,0),"")</f>
        <v>дидактика</v>
      </c>
      <c r="D3306" s="29" t="s">
        <v>993</v>
      </c>
      <c r="E3306" s="30"/>
      <c r="F3306" s="30"/>
      <c r="G3306" s="31">
        <v>1</v>
      </c>
      <c r="H3306" s="31"/>
      <c r="I3306" s="32"/>
      <c r="J3306" s="32"/>
      <c r="K3306" s="19"/>
      <c r="L3306" s="20"/>
      <c r="M3306" s="10"/>
      <c r="N3306" s="10"/>
      <c r="O3306" s="10"/>
      <c r="P3306" s="10"/>
      <c r="Q3306" s="10"/>
      <c r="R3306" s="10"/>
      <c r="S3306" s="10"/>
      <c r="T3306" s="10"/>
      <c r="U3306" s="10"/>
      <c r="V3306" s="10"/>
      <c r="W3306" s="10"/>
      <c r="X3306" s="10"/>
      <c r="Y3306" s="10"/>
      <c r="Z3306" s="10"/>
      <c r="AA3306" s="10"/>
      <c r="AB3306" s="10"/>
      <c r="AC3306" s="10"/>
      <c r="AD3306" s="10"/>
      <c r="AE3306" s="10"/>
      <c r="AF3306" s="10"/>
      <c r="AG3306" s="10"/>
      <c r="AH3306" s="10"/>
    </row>
    <row r="3307" spans="1:34" ht="31.5" outlineLevel="2">
      <c r="A3307" s="28"/>
      <c r="B3307" s="12" t="str">
        <f>IFERROR(VLOOKUP(D3307,'[1]Перечень товаров'!$A$2:$I9525,2,0),"")</f>
        <v>пм212</v>
      </c>
      <c r="C3307" s="12" t="str">
        <f>IFERROR(VLOOKUP(D3307,'[1]Перечень товаров'!$A$2:$I9525,3,0),"")</f>
        <v>прочее муз</v>
      </c>
      <c r="D3307" s="29" t="s">
        <v>994</v>
      </c>
      <c r="E3307" s="30"/>
      <c r="F3307" s="30"/>
      <c r="G3307" s="31">
        <v>1</v>
      </c>
      <c r="H3307" s="31"/>
      <c r="I3307" s="32"/>
      <c r="J3307" s="32"/>
      <c r="K3307" s="19"/>
      <c r="L3307" s="20"/>
      <c r="M3307" s="10"/>
      <c r="N3307" s="10"/>
      <c r="O3307" s="10"/>
      <c r="P3307" s="10"/>
      <c r="Q3307" s="10"/>
      <c r="R3307" s="10"/>
      <c r="S3307" s="10"/>
      <c r="T3307" s="10"/>
      <c r="U3307" s="10"/>
      <c r="V3307" s="10"/>
      <c r="W3307" s="10"/>
      <c r="X3307" s="10"/>
      <c r="Y3307" s="10"/>
      <c r="Z3307" s="10"/>
      <c r="AA3307" s="10"/>
      <c r="AB3307" s="10"/>
      <c r="AC3307" s="10"/>
      <c r="AD3307" s="10"/>
      <c r="AE3307" s="10"/>
      <c r="AF3307" s="10"/>
      <c r="AG3307" s="10"/>
      <c r="AH3307" s="10"/>
    </row>
    <row r="3308" spans="1:34" outlineLevel="2">
      <c r="A3308" s="28"/>
      <c r="B3308" s="12" t="str">
        <f>IFERROR(VLOOKUP(D3308,'[1]Перечень товаров'!$A$2:$I9525,2,0),"")</f>
        <v>пм211</v>
      </c>
      <c r="C3308" s="12" t="str">
        <f>IFERROR(VLOOKUP(D3308,'[1]Перечень товаров'!$A$2:$I9525,3,0),"")</f>
        <v>прочее муз</v>
      </c>
      <c r="D3308" s="29" t="s">
        <v>995</v>
      </c>
      <c r="E3308" s="30"/>
      <c r="F3308" s="30"/>
      <c r="G3308" s="31">
        <v>2</v>
      </c>
      <c r="H3308" s="31"/>
      <c r="I3308" s="32"/>
      <c r="J3308" s="32"/>
      <c r="K3308" s="19"/>
      <c r="L3308" s="20"/>
      <c r="M3308" s="10"/>
      <c r="N3308" s="10"/>
      <c r="O3308" s="10"/>
      <c r="P3308" s="10"/>
      <c r="Q3308" s="10"/>
      <c r="R3308" s="10"/>
      <c r="S3308" s="10"/>
      <c r="T3308" s="10"/>
      <c r="U3308" s="10"/>
      <c r="V3308" s="10"/>
      <c r="W3308" s="10"/>
      <c r="X3308" s="10"/>
      <c r="Y3308" s="10"/>
      <c r="Z3308" s="10"/>
      <c r="AA3308" s="10"/>
      <c r="AB3308" s="10"/>
      <c r="AC3308" s="10"/>
      <c r="AD3308" s="10"/>
      <c r="AE3308" s="10"/>
      <c r="AF3308" s="10"/>
      <c r="AG3308" s="10"/>
      <c r="AH3308" s="10"/>
    </row>
    <row r="3309" spans="1:34" ht="31.5" outlineLevel="2">
      <c r="A3309" s="28"/>
      <c r="B3309" s="12" t="str">
        <f>IFERROR(VLOOKUP(D3309,'[1]Перечень товаров'!$A$2:$I9525,2,0),"")</f>
        <v>пм210</v>
      </c>
      <c r="C3309" s="12" t="str">
        <f>IFERROR(VLOOKUP(D3309,'[1]Перечень товаров'!$A$2:$I9525,3,0),"")</f>
        <v>прочее муз</v>
      </c>
      <c r="D3309" s="29" t="s">
        <v>996</v>
      </c>
      <c r="E3309" s="30"/>
      <c r="F3309" s="30"/>
      <c r="G3309" s="31">
        <v>1</v>
      </c>
      <c r="H3309" s="31"/>
      <c r="I3309" s="32"/>
      <c r="J3309" s="32"/>
      <c r="K3309" s="19"/>
      <c r="L3309" s="20"/>
      <c r="M3309" s="10"/>
      <c r="N3309" s="10"/>
      <c r="O3309" s="10"/>
      <c r="P3309" s="10"/>
      <c r="Q3309" s="10"/>
      <c r="R3309" s="10"/>
      <c r="S3309" s="10"/>
      <c r="T3309" s="10"/>
      <c r="U3309" s="10"/>
      <c r="V3309" s="10"/>
      <c r="W3309" s="10"/>
      <c r="X3309" s="10"/>
      <c r="Y3309" s="10"/>
      <c r="Z3309" s="10"/>
      <c r="AA3309" s="10"/>
      <c r="AB3309" s="10"/>
      <c r="AC3309" s="10"/>
      <c r="AD3309" s="10"/>
      <c r="AE3309" s="10"/>
      <c r="AF3309" s="10"/>
      <c r="AG3309" s="10"/>
      <c r="AH3309" s="10"/>
    </row>
    <row r="3310" spans="1:34" ht="15" outlineLevel="2">
      <c r="A3310" s="109"/>
      <c r="B3310" s="12" t="str">
        <f>IFERROR(VLOOKUP(D3310,'[1]Перечень товаров'!$A$2:$I9525,2,0),"")</f>
        <v/>
      </c>
      <c r="C3310" s="12" t="str">
        <f>IFERROR(VLOOKUP(D3310,'[1]Перечень товаров'!$A$2:$I9525,3,0),"")</f>
        <v/>
      </c>
      <c r="D3310" s="110" t="s">
        <v>27</v>
      </c>
      <c r="E3310" s="115"/>
      <c r="F3310" s="115"/>
      <c r="G3310" s="211"/>
      <c r="H3310" s="211"/>
      <c r="I3310" s="212"/>
      <c r="J3310" s="212"/>
      <c r="K3310" s="19"/>
      <c r="L3310" s="20"/>
      <c r="M3310" s="10"/>
      <c r="N3310" s="10"/>
      <c r="O3310" s="10"/>
      <c r="P3310" s="10"/>
      <c r="Q3310" s="10"/>
      <c r="R3310" s="10"/>
      <c r="S3310" s="10"/>
      <c r="T3310" s="10"/>
      <c r="U3310" s="10"/>
      <c r="V3310" s="10"/>
      <c r="W3310" s="10"/>
      <c r="X3310" s="10"/>
      <c r="Y3310" s="10"/>
      <c r="Z3310" s="10"/>
      <c r="AA3310" s="10"/>
      <c r="AB3310" s="10"/>
      <c r="AC3310" s="10"/>
      <c r="AD3310" s="10"/>
      <c r="AE3310" s="10"/>
      <c r="AF3310" s="10"/>
      <c r="AG3310" s="10"/>
      <c r="AH3310" s="10"/>
    </row>
    <row r="3311" spans="1:34" outlineLevel="2">
      <c r="A3311" s="21"/>
      <c r="B3311" s="12" t="str">
        <f>IFERROR(VLOOKUP(D3311,'[1]Перечень товаров'!$A$2:$I9525,2,0),"")</f>
        <v>т1</v>
      </c>
      <c r="C3311" s="12" t="str">
        <f>IFERROR(VLOOKUP(D3311,'[1]Перечень товаров'!$A$2:$I9525,3,0),"")</f>
        <v xml:space="preserve">Техника </v>
      </c>
      <c r="D3311" s="22" t="s">
        <v>28</v>
      </c>
      <c r="E3311" s="88"/>
      <c r="F3311" s="88"/>
      <c r="G3311" s="48">
        <v>1</v>
      </c>
      <c r="H3311" s="48"/>
      <c r="I3311" s="49"/>
      <c r="J3311" s="49"/>
      <c r="K3311" s="19"/>
      <c r="L3311" s="20"/>
      <c r="M3311" s="10"/>
      <c r="N3311" s="10"/>
      <c r="O3311" s="10"/>
      <c r="P3311" s="10"/>
      <c r="Q3311" s="10"/>
      <c r="R3311" s="10"/>
      <c r="S3311" s="10"/>
      <c r="T3311" s="10"/>
      <c r="U3311" s="10"/>
      <c r="V3311" s="10"/>
      <c r="W3311" s="10"/>
      <c r="X3311" s="10"/>
      <c r="Y3311" s="10"/>
      <c r="Z3311" s="10"/>
      <c r="AA3311" s="10"/>
      <c r="AB3311" s="10"/>
      <c r="AC3311" s="10"/>
      <c r="AD3311" s="10"/>
      <c r="AE3311" s="10"/>
      <c r="AF3311" s="10"/>
      <c r="AG3311" s="10"/>
      <c r="AH3311" s="10"/>
    </row>
    <row r="3312" spans="1:34" outlineLevel="2">
      <c r="A3312" s="22"/>
      <c r="B3312" s="12" t="str">
        <f>IFERROR(VLOOKUP(D3312,'[1]Перечень товаров'!$A$2:$I9525,2,0),"")</f>
        <v>т9</v>
      </c>
      <c r="C3312" s="12" t="str">
        <f>IFERROR(VLOOKUP(D3312,'[1]Перечень товаров'!$A$2:$I9525,3,0),"")</f>
        <v>Техника</v>
      </c>
      <c r="D3312" s="22" t="s">
        <v>36</v>
      </c>
      <c r="E3312" s="88"/>
      <c r="F3312" s="88"/>
      <c r="G3312" s="48">
        <v>1</v>
      </c>
      <c r="H3312" s="48"/>
      <c r="I3312" s="49"/>
      <c r="J3312" s="49"/>
      <c r="K3312" s="19"/>
      <c r="L3312" s="20"/>
      <c r="M3312" s="10"/>
      <c r="N3312" s="10"/>
      <c r="O3312" s="10"/>
      <c r="P3312" s="10"/>
      <c r="Q3312" s="10"/>
      <c r="R3312" s="10"/>
      <c r="S3312" s="10"/>
      <c r="T3312" s="10"/>
      <c r="U3312" s="10"/>
      <c r="V3312" s="10"/>
      <c r="W3312" s="10"/>
      <c r="X3312" s="10"/>
      <c r="Y3312" s="10"/>
      <c r="Z3312" s="10"/>
      <c r="AA3312" s="10"/>
      <c r="AB3312" s="10"/>
      <c r="AC3312" s="10"/>
      <c r="AD3312" s="10"/>
      <c r="AE3312" s="10"/>
      <c r="AF3312" s="10"/>
      <c r="AG3312" s="10"/>
      <c r="AH3312" s="10"/>
    </row>
    <row r="3313" spans="1:34" outlineLevel="2">
      <c r="A3313" s="35"/>
      <c r="B3313" s="12" t="str">
        <f>IFERROR(VLOOKUP(D3313,'[1]Перечень товаров'!$A$2:$I9525,2,0),"")</f>
        <v>т2</v>
      </c>
      <c r="C3313" s="12" t="str">
        <f>IFERROR(VLOOKUP(D3313,'[1]Перечень товаров'!$A$2:$I9525,3,0),"")</f>
        <v xml:space="preserve">Техника </v>
      </c>
      <c r="D3313" s="35" t="s">
        <v>29</v>
      </c>
      <c r="E3313" s="88"/>
      <c r="F3313" s="88"/>
      <c r="G3313" s="48">
        <v>1</v>
      </c>
      <c r="H3313" s="48"/>
      <c r="I3313" s="49"/>
      <c r="J3313" s="49"/>
      <c r="K3313" s="19"/>
      <c r="L3313" s="20"/>
      <c r="M3313" s="10"/>
      <c r="N3313" s="10"/>
      <c r="O3313" s="10"/>
      <c r="P3313" s="10"/>
      <c r="Q3313" s="10"/>
      <c r="R3313" s="10"/>
      <c r="S3313" s="10"/>
      <c r="T3313" s="10"/>
      <c r="U3313" s="10"/>
      <c r="V3313" s="10"/>
      <c r="W3313" s="10"/>
      <c r="X3313" s="10"/>
      <c r="Y3313" s="10"/>
      <c r="Z3313" s="10"/>
      <c r="AA3313" s="10"/>
      <c r="AB3313" s="10"/>
      <c r="AC3313" s="10"/>
      <c r="AD3313" s="10"/>
      <c r="AE3313" s="10"/>
      <c r="AF3313" s="10"/>
      <c r="AG3313" s="10"/>
      <c r="AH3313" s="10"/>
    </row>
    <row r="3314" spans="1:34" outlineLevel="2">
      <c r="A3314" s="35"/>
      <c r="B3314" s="12" t="str">
        <f>IFERROR(VLOOKUP(D3314,'[1]Перечень товаров'!$A$2:$I9525,2,0),"")</f>
        <v>т3</v>
      </c>
      <c r="C3314" s="12" t="str">
        <f>IFERROR(VLOOKUP(D3314,'[1]Перечень товаров'!$A$2:$I9525,3,0),"")</f>
        <v xml:space="preserve">Техника </v>
      </c>
      <c r="D3314" s="35" t="s">
        <v>30</v>
      </c>
      <c r="E3314" s="88"/>
      <c r="F3314" s="88"/>
      <c r="G3314" s="48">
        <v>1</v>
      </c>
      <c r="H3314" s="48"/>
      <c r="I3314" s="49"/>
      <c r="J3314" s="49"/>
      <c r="K3314" s="19"/>
      <c r="L3314" s="20"/>
      <c r="M3314" s="10"/>
      <c r="N3314" s="10"/>
      <c r="O3314" s="10"/>
      <c r="P3314" s="10"/>
      <c r="Q3314" s="10"/>
      <c r="R3314" s="10"/>
      <c r="S3314" s="10"/>
      <c r="T3314" s="10"/>
      <c r="U3314" s="10"/>
      <c r="V3314" s="10"/>
      <c r="W3314" s="10"/>
      <c r="X3314" s="10"/>
      <c r="Y3314" s="10"/>
      <c r="Z3314" s="10"/>
      <c r="AA3314" s="10"/>
      <c r="AB3314" s="10"/>
      <c r="AC3314" s="10"/>
      <c r="AD3314" s="10"/>
      <c r="AE3314" s="10"/>
      <c r="AF3314" s="10"/>
      <c r="AG3314" s="10"/>
      <c r="AH3314" s="10"/>
    </row>
    <row r="3315" spans="1:34" outlineLevel="2">
      <c r="A3315" s="35"/>
      <c r="B3315" s="12" t="str">
        <f>IFERROR(VLOOKUP(D3315,'[1]Перечень товаров'!$A$2:$I9525,2,0),"")</f>
        <v>т4</v>
      </c>
      <c r="C3315" s="12" t="str">
        <f>IFERROR(VLOOKUP(D3315,'[1]Перечень товаров'!$A$2:$I9525,3,0),"")</f>
        <v xml:space="preserve">Техника </v>
      </c>
      <c r="D3315" s="35" t="s">
        <v>31</v>
      </c>
      <c r="E3315" s="88"/>
      <c r="F3315" s="88"/>
      <c r="G3315" s="48">
        <v>1</v>
      </c>
      <c r="H3315" s="48"/>
      <c r="I3315" s="49"/>
      <c r="J3315" s="49"/>
      <c r="K3315" s="19"/>
      <c r="L3315" s="20"/>
      <c r="M3315" s="10"/>
      <c r="N3315" s="10"/>
      <c r="O3315" s="10"/>
      <c r="P3315" s="10"/>
      <c r="Q3315" s="10"/>
      <c r="R3315" s="10"/>
      <c r="S3315" s="10"/>
      <c r="T3315" s="10"/>
      <c r="U3315" s="10"/>
      <c r="V3315" s="10"/>
      <c r="W3315" s="10"/>
      <c r="X3315" s="10"/>
      <c r="Y3315" s="10"/>
      <c r="Z3315" s="10"/>
      <c r="AA3315" s="10"/>
      <c r="AB3315" s="10"/>
      <c r="AC3315" s="10"/>
      <c r="AD3315" s="10"/>
      <c r="AE3315" s="10"/>
      <c r="AF3315" s="10"/>
      <c r="AG3315" s="10"/>
      <c r="AH3315" s="10"/>
    </row>
    <row r="3316" spans="1:34" outlineLevel="2">
      <c r="A3316" s="21"/>
      <c r="B3316" s="12" t="str">
        <f>IFERROR(VLOOKUP(D3316,'[1]Перечень товаров'!$A$2:$I9525,2,0),"")</f>
        <v>тм65</v>
      </c>
      <c r="C3316" s="12" t="str">
        <f>IFERROR(VLOOKUP(D3316,'[1]Перечень товаров'!$A$2:$I9525,3,0),"")</f>
        <v>Техника муз</v>
      </c>
      <c r="D3316" s="22" t="s">
        <v>380</v>
      </c>
      <c r="E3316" s="88"/>
      <c r="F3316" s="88"/>
      <c r="G3316" s="48">
        <v>1</v>
      </c>
      <c r="H3316" s="48"/>
      <c r="I3316" s="49"/>
      <c r="J3316" s="49"/>
      <c r="K3316" s="19"/>
      <c r="L3316" s="20"/>
      <c r="M3316" s="10"/>
      <c r="N3316" s="10"/>
      <c r="O3316" s="10"/>
      <c r="P3316" s="10"/>
      <c r="Q3316" s="10"/>
      <c r="R3316" s="10"/>
      <c r="S3316" s="10"/>
      <c r="T3316" s="10"/>
      <c r="U3316" s="10"/>
      <c r="V3316" s="10"/>
      <c r="W3316" s="10"/>
      <c r="X3316" s="10"/>
      <c r="Y3316" s="10"/>
      <c r="Z3316" s="10"/>
      <c r="AA3316" s="10"/>
      <c r="AB3316" s="10"/>
      <c r="AC3316" s="10"/>
      <c r="AD3316" s="10"/>
      <c r="AE3316" s="10"/>
      <c r="AF3316" s="10"/>
      <c r="AG3316" s="10"/>
      <c r="AH3316" s="10"/>
    </row>
    <row r="3317" spans="1:34" outlineLevel="2">
      <c r="A3317" s="21"/>
      <c r="B3317" s="12" t="str">
        <f>IFERROR(VLOOKUP(D3317,'[1]Перечень товаров'!$A$2:$I9525,2,0),"")</f>
        <v>т12</v>
      </c>
      <c r="C3317" s="12" t="str">
        <f>IFERROR(VLOOKUP(D3317,'[1]Перечень товаров'!$A$2:$I9525,3,0),"")</f>
        <v>Техника</v>
      </c>
      <c r="D3317" s="22" t="s">
        <v>49</v>
      </c>
      <c r="E3317" s="88"/>
      <c r="F3317" s="88"/>
      <c r="G3317" s="48">
        <v>1</v>
      </c>
      <c r="H3317" s="48"/>
      <c r="I3317" s="49"/>
      <c r="J3317" s="49"/>
      <c r="K3317" s="19"/>
      <c r="L3317" s="20"/>
      <c r="M3317" s="10"/>
      <c r="N3317" s="10"/>
      <c r="O3317" s="10"/>
      <c r="P3317" s="10"/>
      <c r="Q3317" s="10"/>
      <c r="R3317" s="10"/>
      <c r="S3317" s="10"/>
      <c r="T3317" s="10"/>
      <c r="U3317" s="10"/>
      <c r="V3317" s="10"/>
      <c r="W3317" s="10"/>
      <c r="X3317" s="10"/>
      <c r="Y3317" s="10"/>
      <c r="Z3317" s="10"/>
      <c r="AA3317" s="10"/>
      <c r="AB3317" s="10"/>
      <c r="AC3317" s="10"/>
      <c r="AD3317" s="10"/>
      <c r="AE3317" s="10"/>
      <c r="AF3317" s="10"/>
      <c r="AG3317" s="10"/>
      <c r="AH3317" s="10"/>
    </row>
    <row r="3318" spans="1:34" outlineLevel="2">
      <c r="A3318" s="35"/>
      <c r="B3318" s="12" t="str">
        <f>IFERROR(VLOOKUP(D3318,'[1]Перечень товаров'!$A$2:$I9525,2,0),"")</f>
        <v>т6</v>
      </c>
      <c r="C3318" s="12" t="str">
        <f>IFERROR(VLOOKUP(D3318,'[1]Перечень товаров'!$A$2:$I9525,3,0),"")</f>
        <v xml:space="preserve">Техника </v>
      </c>
      <c r="D3318" s="35" t="s">
        <v>33</v>
      </c>
      <c r="E3318" s="88"/>
      <c r="F3318" s="88"/>
      <c r="G3318" s="48">
        <v>1</v>
      </c>
      <c r="H3318" s="48"/>
      <c r="I3318" s="49"/>
      <c r="J3318" s="49"/>
      <c r="K3318" s="19"/>
      <c r="L3318" s="20"/>
      <c r="M3318" s="10"/>
      <c r="N3318" s="10"/>
      <c r="O3318" s="10"/>
      <c r="P3318" s="10"/>
      <c r="Q3318" s="10"/>
      <c r="R3318" s="10"/>
      <c r="S3318" s="10"/>
      <c r="T3318" s="10"/>
      <c r="U3318" s="10"/>
      <c r="V3318" s="10"/>
      <c r="W3318" s="10"/>
      <c r="X3318" s="10"/>
      <c r="Y3318" s="10"/>
      <c r="Z3318" s="10"/>
      <c r="AA3318" s="10"/>
      <c r="AB3318" s="10"/>
      <c r="AC3318" s="10"/>
      <c r="AD3318" s="10"/>
      <c r="AE3318" s="10"/>
      <c r="AF3318" s="10"/>
      <c r="AG3318" s="10"/>
      <c r="AH3318" s="10"/>
    </row>
    <row r="3319" spans="1:34" outlineLevel="2">
      <c r="A3319" s="22"/>
      <c r="B3319" s="12" t="str">
        <f>IFERROR(VLOOKUP(D3319,'[1]Перечень товаров'!$A$2:$I9525,2,0),"")</f>
        <v>т7</v>
      </c>
      <c r="C3319" s="12" t="str">
        <f>IFERROR(VLOOKUP(D3319,'[1]Перечень товаров'!$A$2:$I9525,3,0),"")</f>
        <v xml:space="preserve">Техника </v>
      </c>
      <c r="D3319" s="22" t="s">
        <v>34</v>
      </c>
      <c r="E3319" s="88"/>
      <c r="F3319" s="88"/>
      <c r="G3319" s="48">
        <v>3</v>
      </c>
      <c r="H3319" s="48"/>
      <c r="I3319" s="49"/>
      <c r="J3319" s="49"/>
      <c r="K3319" s="19"/>
      <c r="L3319" s="20"/>
      <c r="M3319" s="10"/>
      <c r="N3319" s="10"/>
      <c r="O3319" s="10"/>
      <c r="P3319" s="10"/>
      <c r="Q3319" s="10"/>
      <c r="R3319" s="10"/>
      <c r="S3319" s="10"/>
      <c r="T3319" s="10"/>
      <c r="U3319" s="10"/>
      <c r="V3319" s="10"/>
      <c r="W3319" s="10"/>
      <c r="X3319" s="10"/>
      <c r="Y3319" s="10"/>
      <c r="Z3319" s="10"/>
      <c r="AA3319" s="10"/>
      <c r="AB3319" s="10"/>
      <c r="AC3319" s="10"/>
      <c r="AD3319" s="10"/>
      <c r="AE3319" s="10"/>
      <c r="AF3319" s="10"/>
      <c r="AG3319" s="10"/>
      <c r="AH3319" s="10"/>
    </row>
    <row r="3320" spans="1:34" outlineLevel="2">
      <c r="A3320" s="35"/>
      <c r="B3320" s="12" t="str">
        <f>IFERROR(VLOOKUP(D3320,'[1]Перечень товаров'!$A$2:$I9525,2,0),"")</f>
        <v>т161</v>
      </c>
      <c r="C3320" s="12" t="str">
        <f>IFERROR(VLOOKUP(D3320,'[1]Перечень товаров'!$A$2:$I9525,3,0),"")</f>
        <v xml:space="preserve">Техника </v>
      </c>
      <c r="D3320" s="29" t="s">
        <v>381</v>
      </c>
      <c r="E3320" s="88"/>
      <c r="F3320" s="88"/>
      <c r="G3320" s="159">
        <v>1</v>
      </c>
      <c r="H3320" s="159"/>
      <c r="I3320" s="160"/>
      <c r="J3320" s="160"/>
      <c r="K3320" s="19"/>
      <c r="L3320" s="20"/>
      <c r="M3320" s="10"/>
      <c r="N3320" s="10"/>
      <c r="O3320" s="10"/>
      <c r="P3320" s="10"/>
      <c r="Q3320" s="10"/>
      <c r="R3320" s="10"/>
      <c r="S3320" s="10"/>
      <c r="T3320" s="10"/>
      <c r="U3320" s="10"/>
      <c r="V3320" s="10"/>
      <c r="W3320" s="10"/>
      <c r="X3320" s="10"/>
      <c r="Y3320" s="10"/>
      <c r="Z3320" s="10"/>
      <c r="AA3320" s="10"/>
      <c r="AB3320" s="10"/>
      <c r="AC3320" s="10"/>
      <c r="AD3320" s="10"/>
      <c r="AE3320" s="10"/>
      <c r="AF3320" s="10"/>
      <c r="AG3320" s="10"/>
      <c r="AH3320" s="10"/>
    </row>
    <row r="3321" spans="1:34" outlineLevel="2">
      <c r="A3321" s="114"/>
      <c r="B3321" s="12" t="str">
        <f>IFERROR(VLOOKUP(D3321,'[1]Перечень товаров'!$A$2:$I9525,2,0),"")</f>
        <v/>
      </c>
      <c r="C3321" s="12" t="str">
        <f>IFERROR(VLOOKUP(D3321,'[1]Перечень товаров'!$A$2:$I9525,3,0),"")</f>
        <v/>
      </c>
      <c r="D3321" s="114" t="s">
        <v>19</v>
      </c>
      <c r="E3321" s="115"/>
      <c r="F3321" s="115"/>
      <c r="G3321" s="157"/>
      <c r="H3321" s="157"/>
      <c r="I3321" s="158"/>
      <c r="J3321" s="158"/>
      <c r="K3321" s="19"/>
      <c r="L3321" s="20"/>
      <c r="M3321" s="10"/>
      <c r="N3321" s="10"/>
      <c r="O3321" s="10"/>
      <c r="P3321" s="10"/>
      <c r="Q3321" s="10"/>
      <c r="R3321" s="10"/>
      <c r="S3321" s="10"/>
      <c r="T3321" s="10"/>
      <c r="U3321" s="10"/>
      <c r="V3321" s="10"/>
      <c r="W3321" s="10"/>
      <c r="X3321" s="10"/>
      <c r="Y3321" s="10"/>
      <c r="Z3321" s="10"/>
      <c r="AA3321" s="10"/>
      <c r="AB3321" s="10"/>
      <c r="AC3321" s="10"/>
      <c r="AD3321" s="10"/>
      <c r="AE3321" s="10"/>
      <c r="AF3321" s="10"/>
      <c r="AG3321" s="10"/>
      <c r="AH3321" s="10"/>
    </row>
    <row r="3322" spans="1:34" outlineLevel="2">
      <c r="A3322" s="34"/>
      <c r="B3322" s="12" t="str">
        <f>IFERROR(VLOOKUP(D3322,'[1]Перечень товаров'!$A$2:$I9525,2,0),"")</f>
        <v>м62</v>
      </c>
      <c r="C3322" s="12" t="str">
        <f>IFERROR(VLOOKUP(D3322,'[1]Перечень товаров'!$A$2:$I9525,3,0),"")</f>
        <v>Мебель</v>
      </c>
      <c r="D3322" s="35" t="s">
        <v>398</v>
      </c>
      <c r="E3322" s="88"/>
      <c r="F3322" s="88"/>
      <c r="G3322" s="59">
        <v>1</v>
      </c>
      <c r="H3322" s="59"/>
      <c r="I3322" s="60"/>
      <c r="J3322" s="60"/>
      <c r="K3322" s="19"/>
      <c r="L3322" s="20"/>
      <c r="M3322" s="10"/>
      <c r="N3322" s="10"/>
      <c r="O3322" s="10"/>
      <c r="P3322" s="10"/>
      <c r="Q3322" s="10"/>
      <c r="R3322" s="10"/>
      <c r="S3322" s="10"/>
      <c r="T3322" s="10"/>
      <c r="U3322" s="10"/>
      <c r="V3322" s="10"/>
      <c r="W3322" s="10"/>
      <c r="X3322" s="10"/>
      <c r="Y3322" s="10"/>
      <c r="Z3322" s="10"/>
      <c r="AA3322" s="10"/>
      <c r="AB3322" s="10"/>
      <c r="AC3322" s="10"/>
      <c r="AD3322" s="10"/>
      <c r="AE3322" s="10"/>
      <c r="AF3322" s="10"/>
      <c r="AG3322" s="10"/>
      <c r="AH3322" s="10"/>
    </row>
    <row r="3323" spans="1:34" outlineLevel="2">
      <c r="A3323" s="34"/>
      <c r="B3323" s="12" t="str">
        <f>IFERROR(VLOOKUP(D3323,'[1]Перечень товаров'!$A$2:$I9525,2,0),"")</f>
        <v>м61</v>
      </c>
      <c r="C3323" s="12" t="str">
        <f>IFERROR(VLOOKUP(D3323,'[1]Перечень товаров'!$A$2:$I9525,3,0),"")</f>
        <v>Мебель</v>
      </c>
      <c r="D3323" s="35" t="s">
        <v>383</v>
      </c>
      <c r="E3323" s="88"/>
      <c r="F3323" s="88"/>
      <c r="G3323" s="59">
        <v>1</v>
      </c>
      <c r="H3323" s="59"/>
      <c r="I3323" s="60"/>
      <c r="J3323" s="60"/>
      <c r="K3323" s="19"/>
      <c r="L3323" s="20"/>
      <c r="M3323" s="10"/>
      <c r="N3323" s="10"/>
      <c r="O3323" s="10"/>
      <c r="P3323" s="10"/>
      <c r="Q3323" s="10"/>
      <c r="R3323" s="10"/>
      <c r="S3323" s="10"/>
      <c r="T3323" s="10"/>
      <c r="U3323" s="10"/>
      <c r="V3323" s="10"/>
      <c r="W3323" s="10"/>
      <c r="X3323" s="10"/>
      <c r="Y3323" s="10"/>
      <c r="Z3323" s="10"/>
      <c r="AA3323" s="10"/>
      <c r="AB3323" s="10"/>
      <c r="AC3323" s="10"/>
      <c r="AD3323" s="10"/>
      <c r="AE3323" s="10"/>
      <c r="AF3323" s="10"/>
      <c r="AG3323" s="10"/>
      <c r="AH3323" s="10"/>
    </row>
    <row r="3324" spans="1:34" outlineLevel="2">
      <c r="A3324" s="34"/>
      <c r="B3324" s="12" t="str">
        <f>IFERROR(VLOOKUP(D3324,'[1]Перечень товаров'!$A$2:$I9525,2,0),"")</f>
        <v>м61</v>
      </c>
      <c r="C3324" s="12" t="str">
        <f>IFERROR(VLOOKUP(D3324,'[1]Перечень товаров'!$A$2:$I9525,3,0),"")</f>
        <v>Мебель</v>
      </c>
      <c r="D3324" s="35" t="s">
        <v>384</v>
      </c>
      <c r="E3324" s="88"/>
      <c r="F3324" s="88"/>
      <c r="G3324" s="159">
        <v>4</v>
      </c>
      <c r="H3324" s="159"/>
      <c r="I3324" s="160"/>
      <c r="J3324" s="160"/>
      <c r="K3324" s="19"/>
      <c r="L3324" s="20"/>
      <c r="M3324" s="10"/>
      <c r="N3324" s="10"/>
      <c r="O3324" s="10"/>
      <c r="P3324" s="10"/>
      <c r="Q3324" s="10"/>
      <c r="R3324" s="10"/>
      <c r="S3324" s="10"/>
      <c r="T3324" s="10"/>
      <c r="U3324" s="10"/>
      <c r="V3324" s="10"/>
      <c r="W3324" s="10"/>
      <c r="X3324" s="10"/>
      <c r="Y3324" s="10"/>
      <c r="Z3324" s="10"/>
      <c r="AA3324" s="10"/>
      <c r="AB3324" s="10"/>
      <c r="AC3324" s="10"/>
      <c r="AD3324" s="10"/>
      <c r="AE3324" s="10"/>
      <c r="AF3324" s="10"/>
      <c r="AG3324" s="10"/>
      <c r="AH3324" s="10"/>
    </row>
    <row r="3325" spans="1:34" outlineLevel="2">
      <c r="A3325" s="22"/>
      <c r="B3325" s="12" t="str">
        <f>IFERROR(VLOOKUP(D3325,'[1]Перечень товаров'!$A$2:$I9525,2,0),"")</f>
        <v>м13</v>
      </c>
      <c r="C3325" s="12" t="str">
        <f>IFERROR(VLOOKUP(D3325,'[1]Перечень товаров'!$A$2:$I9525,3,0),"")</f>
        <v>Мебель</v>
      </c>
      <c r="D3325" s="22" t="s">
        <v>42</v>
      </c>
      <c r="E3325" s="88"/>
      <c r="F3325" s="88"/>
      <c r="G3325" s="48">
        <v>1</v>
      </c>
      <c r="H3325" s="48"/>
      <c r="I3325" s="49"/>
      <c r="J3325" s="49"/>
      <c r="K3325" s="19"/>
      <c r="L3325" s="20"/>
      <c r="M3325" s="10"/>
      <c r="N3325" s="10"/>
      <c r="O3325" s="10"/>
      <c r="P3325" s="10"/>
      <c r="Q3325" s="10"/>
      <c r="R3325" s="10"/>
      <c r="S3325" s="10"/>
      <c r="T3325" s="10"/>
      <c r="U3325" s="10"/>
      <c r="V3325" s="10"/>
      <c r="W3325" s="10"/>
      <c r="X3325" s="10"/>
      <c r="Y3325" s="10"/>
      <c r="Z3325" s="10"/>
      <c r="AA3325" s="10"/>
      <c r="AB3325" s="10"/>
      <c r="AC3325" s="10"/>
      <c r="AD3325" s="10"/>
      <c r="AE3325" s="10"/>
      <c r="AF3325" s="10"/>
      <c r="AG3325" s="10"/>
      <c r="AH3325" s="10"/>
    </row>
    <row r="3326" spans="1:34" outlineLevel="2">
      <c r="A3326" s="21"/>
      <c r="B3326" s="12" t="str">
        <f>IFERROR(VLOOKUP(D3326,'[1]Перечень товаров'!$A$2:$I9525,2,0),"")</f>
        <v>м14</v>
      </c>
      <c r="C3326" s="12" t="str">
        <f>IFERROR(VLOOKUP(D3326,'[1]Перечень товаров'!$A$2:$I9525,3,0),"")</f>
        <v>Мебель</v>
      </c>
      <c r="D3326" s="22" t="s">
        <v>43</v>
      </c>
      <c r="E3326" s="88"/>
      <c r="F3326" s="88"/>
      <c r="G3326" s="48">
        <v>1</v>
      </c>
      <c r="H3326" s="48"/>
      <c r="I3326" s="49"/>
      <c r="J3326" s="49"/>
      <c r="K3326" s="19"/>
      <c r="L3326" s="20"/>
      <c r="M3326" s="10"/>
      <c r="N3326" s="10"/>
      <c r="O3326" s="10"/>
      <c r="P3326" s="10"/>
      <c r="Q3326" s="10"/>
      <c r="R3326" s="10"/>
      <c r="S3326" s="10"/>
      <c r="T3326" s="10"/>
      <c r="U3326" s="10"/>
      <c r="V3326" s="10"/>
      <c r="W3326" s="10"/>
      <c r="X3326" s="10"/>
      <c r="Y3326" s="10"/>
      <c r="Z3326" s="10"/>
      <c r="AA3326" s="10"/>
      <c r="AB3326" s="10"/>
      <c r="AC3326" s="10"/>
      <c r="AD3326" s="10"/>
      <c r="AE3326" s="10"/>
      <c r="AF3326" s="10"/>
      <c r="AG3326" s="10"/>
      <c r="AH3326" s="10"/>
    </row>
    <row r="3327" spans="1:34" outlineLevel="2">
      <c r="A3327" s="21"/>
      <c r="B3327" s="12" t="str">
        <f>IFERROR(VLOOKUP(D3327,'[1]Перечень товаров'!$A$2:$I9525,2,0),"")</f>
        <v>п2</v>
      </c>
      <c r="C3327" s="12" t="str">
        <f>IFERROR(VLOOKUP(D3327,'[1]Перечень товаров'!$A$2:$I9525,3,0),"")</f>
        <v>Прочее</v>
      </c>
      <c r="D3327" s="22" t="s">
        <v>46</v>
      </c>
      <c r="E3327" s="88"/>
      <c r="F3327" s="88"/>
      <c r="G3327" s="24">
        <v>1</v>
      </c>
      <c r="H3327" s="24"/>
      <c r="I3327" s="25"/>
      <c r="J3327" s="25"/>
      <c r="K3327" s="19"/>
      <c r="L3327" s="20"/>
      <c r="M3327" s="10"/>
      <c r="N3327" s="10"/>
      <c r="O3327" s="10"/>
      <c r="P3327" s="10"/>
      <c r="Q3327" s="10"/>
      <c r="R3327" s="10"/>
      <c r="S3327" s="10"/>
      <c r="T3327" s="10"/>
      <c r="U3327" s="10"/>
      <c r="V3327" s="10"/>
      <c r="W3327" s="10"/>
      <c r="X3327" s="10"/>
      <c r="Y3327" s="10"/>
      <c r="Z3327" s="10"/>
      <c r="AA3327" s="10"/>
      <c r="AB3327" s="10"/>
      <c r="AC3327" s="10"/>
      <c r="AD3327" s="10"/>
      <c r="AE3327" s="10"/>
      <c r="AF3327" s="10"/>
      <c r="AG3327" s="10"/>
      <c r="AH3327" s="10"/>
    </row>
    <row r="3328" spans="1:34" ht="25.5" outlineLevel="1">
      <c r="A3328" s="11"/>
      <c r="B3328" s="12" t="str">
        <f>IFERROR(VLOOKUP(D3328,'[1]Перечень товаров'!$A$2:$I9525,2,0),"")</f>
        <v/>
      </c>
      <c r="C3328" s="12" t="str">
        <f>IFERROR(VLOOKUP(D3328,'[1]Перечень товаров'!$A$2:$I9525,3,0),"")</f>
        <v/>
      </c>
      <c r="D3328" s="27" t="s">
        <v>991</v>
      </c>
      <c r="E3328" s="14">
        <v>23.9</v>
      </c>
      <c r="F3328" s="14"/>
      <c r="G3328" s="17"/>
      <c r="H3328" s="17"/>
      <c r="I3328" s="57"/>
      <c r="J3328" s="57"/>
      <c r="K3328" s="19"/>
      <c r="L3328" s="20"/>
      <c r="M3328" s="10"/>
      <c r="N3328" s="10"/>
      <c r="O3328" s="10"/>
      <c r="P3328" s="10"/>
      <c r="Q3328" s="10"/>
      <c r="R3328" s="10"/>
      <c r="S3328" s="10"/>
      <c r="T3328" s="10"/>
      <c r="U3328" s="10"/>
      <c r="V3328" s="10"/>
      <c r="W3328" s="10"/>
      <c r="X3328" s="10"/>
      <c r="Y3328" s="10"/>
      <c r="Z3328" s="10"/>
      <c r="AA3328" s="10"/>
      <c r="AB3328" s="10"/>
      <c r="AC3328" s="10"/>
      <c r="AD3328" s="10"/>
      <c r="AE3328" s="10"/>
      <c r="AF3328" s="10"/>
      <c r="AG3328" s="10"/>
      <c r="AH3328" s="10"/>
    </row>
    <row r="3329" spans="1:34" outlineLevel="2">
      <c r="A3329" s="113"/>
      <c r="B3329" s="12" t="str">
        <f>IFERROR(VLOOKUP(D3329,'[1]Перечень товаров'!$A$2:$I9525,2,0),"")</f>
        <v/>
      </c>
      <c r="C3329" s="12" t="str">
        <f>IFERROR(VLOOKUP(D3329,'[1]Перечень товаров'!$A$2:$I9525,3,0),"")</f>
        <v/>
      </c>
      <c r="D3329" s="114" t="s">
        <v>391</v>
      </c>
      <c r="E3329" s="122"/>
      <c r="F3329" s="122"/>
      <c r="G3329" s="123"/>
      <c r="H3329" s="123"/>
      <c r="I3329" s="124"/>
      <c r="J3329" s="124"/>
      <c r="K3329" s="19"/>
      <c r="L3329" s="20"/>
      <c r="M3329" s="10"/>
      <c r="N3329" s="10"/>
      <c r="O3329" s="10"/>
      <c r="P3329" s="10"/>
      <c r="Q3329" s="10"/>
      <c r="R3329" s="10"/>
      <c r="S3329" s="10"/>
      <c r="T3329" s="10"/>
      <c r="U3329" s="10"/>
      <c r="V3329" s="10"/>
      <c r="W3329" s="10"/>
      <c r="X3329" s="10"/>
      <c r="Y3329" s="10"/>
      <c r="Z3329" s="10"/>
      <c r="AA3329" s="10"/>
      <c r="AB3329" s="10"/>
      <c r="AC3329" s="10"/>
      <c r="AD3329" s="10"/>
      <c r="AE3329" s="10"/>
      <c r="AF3329" s="10"/>
      <c r="AG3329" s="10"/>
      <c r="AH3329" s="10"/>
    </row>
    <row r="3330" spans="1:34" outlineLevel="2">
      <c r="A3330" s="28"/>
      <c r="B3330" s="12" t="str">
        <f>IFERROR(VLOOKUP(D3330,'[1]Перечень товаров'!$A$2:$I9525,2,0),"")</f>
        <v/>
      </c>
      <c r="C3330" s="12" t="str">
        <f>IFERROR(VLOOKUP(D3330,'[1]Перечень товаров'!$A$2:$I9525,3,0),"")</f>
        <v/>
      </c>
      <c r="D3330" s="29" t="s">
        <v>992</v>
      </c>
      <c r="E3330" s="30"/>
      <c r="F3330" s="30"/>
      <c r="G3330" s="31">
        <v>1</v>
      </c>
      <c r="H3330" s="31"/>
      <c r="I3330" s="32"/>
      <c r="J3330" s="32"/>
      <c r="K3330" s="19"/>
      <c r="L3330" s="20"/>
      <c r="M3330" s="10"/>
      <c r="N3330" s="10"/>
      <c r="O3330" s="10"/>
      <c r="P3330" s="10"/>
      <c r="Q3330" s="10"/>
      <c r="R3330" s="10"/>
      <c r="S3330" s="10"/>
      <c r="T3330" s="10"/>
      <c r="U3330" s="10"/>
      <c r="V3330" s="10"/>
      <c r="W3330" s="10"/>
      <c r="X3330" s="10"/>
      <c r="Y3330" s="10"/>
      <c r="Z3330" s="10"/>
      <c r="AA3330" s="10"/>
      <c r="AB3330" s="10"/>
      <c r="AC3330" s="10"/>
      <c r="AD3330" s="10"/>
      <c r="AE3330" s="10"/>
      <c r="AF3330" s="10"/>
      <c r="AG3330" s="10"/>
      <c r="AH3330" s="10"/>
    </row>
    <row r="3331" spans="1:34" ht="31.5" outlineLevel="2">
      <c r="A3331" s="28"/>
      <c r="B3331" s="12" t="str">
        <f>IFERROR(VLOOKUP(D3331,'[1]Перечень товаров'!$A$2:$I9525,2,0),"")</f>
        <v>д556</v>
      </c>
      <c r="C3331" s="12" t="str">
        <f>IFERROR(VLOOKUP(D3331,'[1]Перечень товаров'!$A$2:$I9525,3,0),"")</f>
        <v>дидактика</v>
      </c>
      <c r="D3331" s="29" t="s">
        <v>993</v>
      </c>
      <c r="E3331" s="30"/>
      <c r="F3331" s="30"/>
      <c r="G3331" s="31">
        <v>1</v>
      </c>
      <c r="H3331" s="31"/>
      <c r="I3331" s="32"/>
      <c r="J3331" s="32"/>
      <c r="K3331" s="19"/>
      <c r="L3331" s="20"/>
      <c r="M3331" s="10"/>
      <c r="N3331" s="10"/>
      <c r="O3331" s="10"/>
      <c r="P3331" s="10"/>
      <c r="Q3331" s="10"/>
      <c r="R3331" s="10"/>
      <c r="S3331" s="10"/>
      <c r="T3331" s="10"/>
      <c r="U3331" s="10"/>
      <c r="V3331" s="10"/>
      <c r="W3331" s="10"/>
      <c r="X3331" s="10"/>
      <c r="Y3331" s="10"/>
      <c r="Z3331" s="10"/>
      <c r="AA3331" s="10"/>
      <c r="AB3331" s="10"/>
      <c r="AC3331" s="10"/>
      <c r="AD3331" s="10"/>
      <c r="AE3331" s="10"/>
      <c r="AF3331" s="10"/>
      <c r="AG3331" s="10"/>
      <c r="AH3331" s="10"/>
    </row>
    <row r="3332" spans="1:34" ht="31.5" outlineLevel="2">
      <c r="A3332" s="28"/>
      <c r="B3332" s="12" t="str">
        <f>IFERROR(VLOOKUP(D3332,'[1]Перечень товаров'!$A$2:$I9525,2,0),"")</f>
        <v>пм212</v>
      </c>
      <c r="C3332" s="12" t="str">
        <f>IFERROR(VLOOKUP(D3332,'[1]Перечень товаров'!$A$2:$I9525,3,0),"")</f>
        <v>прочее муз</v>
      </c>
      <c r="D3332" s="29" t="s">
        <v>994</v>
      </c>
      <c r="E3332" s="30"/>
      <c r="F3332" s="30"/>
      <c r="G3332" s="31">
        <v>1</v>
      </c>
      <c r="H3332" s="31"/>
      <c r="I3332" s="32"/>
      <c r="J3332" s="32"/>
      <c r="K3332" s="19"/>
      <c r="L3332" s="20"/>
      <c r="M3332" s="10"/>
      <c r="N3332" s="10"/>
      <c r="O3332" s="10"/>
      <c r="P3332" s="10"/>
      <c r="Q3332" s="10"/>
      <c r="R3332" s="10"/>
      <c r="S3332" s="10"/>
      <c r="T3332" s="10"/>
      <c r="U3332" s="10"/>
      <c r="V3332" s="10"/>
      <c r="W3332" s="10"/>
      <c r="X3332" s="10"/>
      <c r="Y3332" s="10"/>
      <c r="Z3332" s="10"/>
      <c r="AA3332" s="10"/>
      <c r="AB3332" s="10"/>
      <c r="AC3332" s="10"/>
      <c r="AD3332" s="10"/>
      <c r="AE3332" s="10"/>
      <c r="AF3332" s="10"/>
      <c r="AG3332" s="10"/>
      <c r="AH3332" s="10"/>
    </row>
    <row r="3333" spans="1:34" outlineLevel="2">
      <c r="A3333" s="28"/>
      <c r="B3333" s="12" t="str">
        <f>IFERROR(VLOOKUP(D3333,'[1]Перечень товаров'!$A$2:$I9525,2,0),"")</f>
        <v>пм211</v>
      </c>
      <c r="C3333" s="12" t="str">
        <f>IFERROR(VLOOKUP(D3333,'[1]Перечень товаров'!$A$2:$I9525,3,0),"")</f>
        <v>прочее муз</v>
      </c>
      <c r="D3333" s="29" t="s">
        <v>995</v>
      </c>
      <c r="E3333" s="30"/>
      <c r="F3333" s="30"/>
      <c r="G3333" s="31">
        <v>2</v>
      </c>
      <c r="H3333" s="31"/>
      <c r="I3333" s="32"/>
      <c r="J3333" s="32"/>
      <c r="K3333" s="19"/>
      <c r="L3333" s="20"/>
      <c r="M3333" s="10"/>
      <c r="N3333" s="10"/>
      <c r="O3333" s="10"/>
      <c r="P3333" s="10"/>
      <c r="Q3333" s="10"/>
      <c r="R3333" s="10"/>
      <c r="S3333" s="10"/>
      <c r="T3333" s="10"/>
      <c r="U3333" s="10"/>
      <c r="V3333" s="10"/>
      <c r="W3333" s="10"/>
      <c r="X3333" s="10"/>
      <c r="Y3333" s="10"/>
      <c r="Z3333" s="10"/>
      <c r="AA3333" s="10"/>
      <c r="AB3333" s="10"/>
      <c r="AC3333" s="10"/>
      <c r="AD3333" s="10"/>
      <c r="AE3333" s="10"/>
      <c r="AF3333" s="10"/>
      <c r="AG3333" s="10"/>
      <c r="AH3333" s="10"/>
    </row>
    <row r="3334" spans="1:34" ht="31.5" outlineLevel="2">
      <c r="A3334" s="28"/>
      <c r="B3334" s="12" t="str">
        <f>IFERROR(VLOOKUP(D3334,'[1]Перечень товаров'!$A$2:$I9525,2,0),"")</f>
        <v>пм210</v>
      </c>
      <c r="C3334" s="12" t="str">
        <f>IFERROR(VLOOKUP(D3334,'[1]Перечень товаров'!$A$2:$I9525,3,0),"")</f>
        <v>прочее муз</v>
      </c>
      <c r="D3334" s="29" t="s">
        <v>996</v>
      </c>
      <c r="E3334" s="30"/>
      <c r="F3334" s="30"/>
      <c r="G3334" s="31">
        <v>1</v>
      </c>
      <c r="H3334" s="31"/>
      <c r="I3334" s="32"/>
      <c r="J3334" s="32"/>
      <c r="K3334" s="19"/>
      <c r="L3334" s="20"/>
      <c r="M3334" s="10"/>
      <c r="N3334" s="10"/>
      <c r="O3334" s="10"/>
      <c r="P3334" s="10"/>
      <c r="Q3334" s="10"/>
      <c r="R3334" s="10"/>
      <c r="S3334" s="10"/>
      <c r="T3334" s="10"/>
      <c r="U3334" s="10"/>
      <c r="V3334" s="10"/>
      <c r="W3334" s="10"/>
      <c r="X3334" s="10"/>
      <c r="Y3334" s="10"/>
      <c r="Z3334" s="10"/>
      <c r="AA3334" s="10"/>
      <c r="AB3334" s="10"/>
      <c r="AC3334" s="10"/>
      <c r="AD3334" s="10"/>
      <c r="AE3334" s="10"/>
      <c r="AF3334" s="10"/>
      <c r="AG3334" s="10"/>
      <c r="AH3334" s="10"/>
    </row>
    <row r="3335" spans="1:34" ht="15" outlineLevel="2">
      <c r="A3335" s="109"/>
      <c r="B3335" s="12" t="str">
        <f>IFERROR(VLOOKUP(D3335,'[1]Перечень товаров'!$A$2:$I9525,2,0),"")</f>
        <v/>
      </c>
      <c r="C3335" s="12" t="str">
        <f>IFERROR(VLOOKUP(D3335,'[1]Перечень товаров'!$A$2:$I9525,3,0),"")</f>
        <v/>
      </c>
      <c r="D3335" s="110" t="s">
        <v>27</v>
      </c>
      <c r="E3335" s="115"/>
      <c r="F3335" s="115"/>
      <c r="G3335" s="211"/>
      <c r="H3335" s="211"/>
      <c r="I3335" s="212"/>
      <c r="J3335" s="212"/>
      <c r="K3335" s="19"/>
      <c r="L3335" s="20"/>
      <c r="M3335" s="10"/>
      <c r="N3335" s="10"/>
      <c r="O3335" s="10"/>
      <c r="P3335" s="10"/>
      <c r="Q3335" s="10"/>
      <c r="R3335" s="10"/>
      <c r="S3335" s="10"/>
      <c r="T3335" s="10"/>
      <c r="U3335" s="10"/>
      <c r="V3335" s="10"/>
      <c r="W3335" s="10"/>
      <c r="X3335" s="10"/>
      <c r="Y3335" s="10"/>
      <c r="Z3335" s="10"/>
      <c r="AA3335" s="10"/>
      <c r="AB3335" s="10"/>
      <c r="AC3335" s="10"/>
      <c r="AD3335" s="10"/>
      <c r="AE3335" s="10"/>
      <c r="AF3335" s="10"/>
      <c r="AG3335" s="10"/>
      <c r="AH3335" s="10"/>
    </row>
    <row r="3336" spans="1:34" outlineLevel="2">
      <c r="A3336" s="21"/>
      <c r="B3336" s="12" t="str">
        <f>IFERROR(VLOOKUP(D3336,'[1]Перечень товаров'!$A$2:$I9525,2,0),"")</f>
        <v>т1</v>
      </c>
      <c r="C3336" s="12" t="str">
        <f>IFERROR(VLOOKUP(D3336,'[1]Перечень товаров'!$A$2:$I9525,3,0),"")</f>
        <v xml:space="preserve">Техника </v>
      </c>
      <c r="D3336" s="22" t="s">
        <v>28</v>
      </c>
      <c r="E3336" s="88"/>
      <c r="F3336" s="88"/>
      <c r="G3336" s="48">
        <v>1</v>
      </c>
      <c r="H3336" s="48"/>
      <c r="I3336" s="49"/>
      <c r="J3336" s="49"/>
      <c r="K3336" s="19"/>
      <c r="L3336" s="20"/>
      <c r="M3336" s="10"/>
      <c r="N3336" s="10"/>
      <c r="O3336" s="10"/>
      <c r="P3336" s="10"/>
      <c r="Q3336" s="10"/>
      <c r="R3336" s="10"/>
      <c r="S3336" s="10"/>
      <c r="T3336" s="10"/>
      <c r="U3336" s="10"/>
      <c r="V3336" s="10"/>
      <c r="W3336" s="10"/>
      <c r="X3336" s="10"/>
      <c r="Y3336" s="10"/>
      <c r="Z3336" s="10"/>
      <c r="AA3336" s="10"/>
      <c r="AB3336" s="10"/>
      <c r="AC3336" s="10"/>
      <c r="AD3336" s="10"/>
      <c r="AE3336" s="10"/>
      <c r="AF3336" s="10"/>
      <c r="AG3336" s="10"/>
      <c r="AH3336" s="10"/>
    </row>
    <row r="3337" spans="1:34" outlineLevel="2">
      <c r="A3337" s="22"/>
      <c r="B3337" s="12" t="str">
        <f>IFERROR(VLOOKUP(D3337,'[1]Перечень товаров'!$A$2:$I9525,2,0),"")</f>
        <v>т9</v>
      </c>
      <c r="C3337" s="12" t="str">
        <f>IFERROR(VLOOKUP(D3337,'[1]Перечень товаров'!$A$2:$I9525,3,0),"")</f>
        <v>Техника</v>
      </c>
      <c r="D3337" s="22" t="s">
        <v>36</v>
      </c>
      <c r="E3337" s="88"/>
      <c r="F3337" s="88"/>
      <c r="G3337" s="48">
        <v>1</v>
      </c>
      <c r="H3337" s="48"/>
      <c r="I3337" s="49"/>
      <c r="J3337" s="49"/>
      <c r="K3337" s="19"/>
      <c r="L3337" s="20"/>
      <c r="M3337" s="10"/>
      <c r="N3337" s="10"/>
      <c r="O3337" s="10"/>
      <c r="P3337" s="10"/>
      <c r="Q3337" s="10"/>
      <c r="R3337" s="10"/>
      <c r="S3337" s="10"/>
      <c r="T3337" s="10"/>
      <c r="U3337" s="10"/>
      <c r="V3337" s="10"/>
      <c r="W3337" s="10"/>
      <c r="X3337" s="10"/>
      <c r="Y3337" s="10"/>
      <c r="Z3337" s="10"/>
      <c r="AA3337" s="10"/>
      <c r="AB3337" s="10"/>
      <c r="AC3337" s="10"/>
      <c r="AD3337" s="10"/>
      <c r="AE3337" s="10"/>
      <c r="AF3337" s="10"/>
      <c r="AG3337" s="10"/>
      <c r="AH3337" s="10"/>
    </row>
    <row r="3338" spans="1:34" outlineLevel="2">
      <c r="A3338" s="35"/>
      <c r="B3338" s="12" t="str">
        <f>IFERROR(VLOOKUP(D3338,'[1]Перечень товаров'!$A$2:$I9525,2,0),"")</f>
        <v>т2</v>
      </c>
      <c r="C3338" s="12" t="str">
        <f>IFERROR(VLOOKUP(D3338,'[1]Перечень товаров'!$A$2:$I9525,3,0),"")</f>
        <v xml:space="preserve">Техника </v>
      </c>
      <c r="D3338" s="35" t="s">
        <v>29</v>
      </c>
      <c r="E3338" s="88"/>
      <c r="F3338" s="88"/>
      <c r="G3338" s="48">
        <v>1</v>
      </c>
      <c r="H3338" s="48"/>
      <c r="I3338" s="49"/>
      <c r="J3338" s="49"/>
      <c r="K3338" s="19"/>
      <c r="L3338" s="20"/>
      <c r="M3338" s="10"/>
      <c r="N3338" s="10"/>
      <c r="O3338" s="10"/>
      <c r="P3338" s="10"/>
      <c r="Q3338" s="10"/>
      <c r="R3338" s="10"/>
      <c r="S3338" s="10"/>
      <c r="T3338" s="10"/>
      <c r="U3338" s="10"/>
      <c r="V3338" s="10"/>
      <c r="W3338" s="10"/>
      <c r="X3338" s="10"/>
      <c r="Y3338" s="10"/>
      <c r="Z3338" s="10"/>
      <c r="AA3338" s="10"/>
      <c r="AB3338" s="10"/>
      <c r="AC3338" s="10"/>
      <c r="AD3338" s="10"/>
      <c r="AE3338" s="10"/>
      <c r="AF3338" s="10"/>
      <c r="AG3338" s="10"/>
      <c r="AH3338" s="10"/>
    </row>
    <row r="3339" spans="1:34" outlineLevel="2">
      <c r="A3339" s="35"/>
      <c r="B3339" s="12" t="str">
        <f>IFERROR(VLOOKUP(D3339,'[1]Перечень товаров'!$A$2:$I9525,2,0),"")</f>
        <v>т3</v>
      </c>
      <c r="C3339" s="12" t="str">
        <f>IFERROR(VLOOKUP(D3339,'[1]Перечень товаров'!$A$2:$I9525,3,0),"")</f>
        <v xml:space="preserve">Техника </v>
      </c>
      <c r="D3339" s="35" t="s">
        <v>30</v>
      </c>
      <c r="E3339" s="88"/>
      <c r="F3339" s="88"/>
      <c r="G3339" s="48">
        <v>1</v>
      </c>
      <c r="H3339" s="48"/>
      <c r="I3339" s="49"/>
      <c r="J3339" s="49"/>
      <c r="K3339" s="19"/>
      <c r="L3339" s="20"/>
      <c r="M3339" s="10"/>
      <c r="N3339" s="10"/>
      <c r="O3339" s="10"/>
      <c r="P3339" s="10"/>
      <c r="Q3339" s="10"/>
      <c r="R3339" s="10"/>
      <c r="S3339" s="10"/>
      <c r="T3339" s="10"/>
      <c r="U3339" s="10"/>
      <c r="V3339" s="10"/>
      <c r="W3339" s="10"/>
      <c r="X3339" s="10"/>
      <c r="Y3339" s="10"/>
      <c r="Z3339" s="10"/>
      <c r="AA3339" s="10"/>
      <c r="AB3339" s="10"/>
      <c r="AC3339" s="10"/>
      <c r="AD3339" s="10"/>
      <c r="AE3339" s="10"/>
      <c r="AF3339" s="10"/>
      <c r="AG3339" s="10"/>
      <c r="AH3339" s="10"/>
    </row>
    <row r="3340" spans="1:34" outlineLevel="2">
      <c r="A3340" s="35"/>
      <c r="B3340" s="12" t="str">
        <f>IFERROR(VLOOKUP(D3340,'[1]Перечень товаров'!$A$2:$I9525,2,0),"")</f>
        <v>т4</v>
      </c>
      <c r="C3340" s="12" t="str">
        <f>IFERROR(VLOOKUP(D3340,'[1]Перечень товаров'!$A$2:$I9525,3,0),"")</f>
        <v xml:space="preserve">Техника </v>
      </c>
      <c r="D3340" s="35" t="s">
        <v>31</v>
      </c>
      <c r="E3340" s="88"/>
      <c r="F3340" s="88"/>
      <c r="G3340" s="48">
        <v>1</v>
      </c>
      <c r="H3340" s="48"/>
      <c r="I3340" s="49"/>
      <c r="J3340" s="49"/>
      <c r="K3340" s="19"/>
      <c r="L3340" s="20"/>
      <c r="M3340" s="10"/>
      <c r="N3340" s="10"/>
      <c r="O3340" s="10"/>
      <c r="P3340" s="10"/>
      <c r="Q3340" s="10"/>
      <c r="R3340" s="10"/>
      <c r="S3340" s="10"/>
      <c r="T3340" s="10"/>
      <c r="U3340" s="10"/>
      <c r="V3340" s="10"/>
      <c r="W3340" s="10"/>
      <c r="X3340" s="10"/>
      <c r="Y3340" s="10"/>
      <c r="Z3340" s="10"/>
      <c r="AA3340" s="10"/>
      <c r="AB3340" s="10"/>
      <c r="AC3340" s="10"/>
      <c r="AD3340" s="10"/>
      <c r="AE3340" s="10"/>
      <c r="AF3340" s="10"/>
      <c r="AG3340" s="10"/>
      <c r="AH3340" s="10"/>
    </row>
    <row r="3341" spans="1:34" outlineLevel="2">
      <c r="A3341" s="21"/>
      <c r="B3341" s="12" t="str">
        <f>IFERROR(VLOOKUP(D3341,'[1]Перечень товаров'!$A$2:$I9525,2,0),"")</f>
        <v>тм65</v>
      </c>
      <c r="C3341" s="12" t="str">
        <f>IFERROR(VLOOKUP(D3341,'[1]Перечень товаров'!$A$2:$I9525,3,0),"")</f>
        <v>Техника муз</v>
      </c>
      <c r="D3341" s="22" t="s">
        <v>380</v>
      </c>
      <c r="E3341" s="88"/>
      <c r="F3341" s="88"/>
      <c r="G3341" s="48">
        <v>1</v>
      </c>
      <c r="H3341" s="48"/>
      <c r="I3341" s="49"/>
      <c r="J3341" s="49"/>
      <c r="K3341" s="19"/>
      <c r="L3341" s="20"/>
      <c r="M3341" s="10"/>
      <c r="N3341" s="10"/>
      <c r="O3341" s="10"/>
      <c r="P3341" s="10"/>
      <c r="Q3341" s="10"/>
      <c r="R3341" s="10"/>
      <c r="S3341" s="10"/>
      <c r="T3341" s="10"/>
      <c r="U3341" s="10"/>
      <c r="V3341" s="10"/>
      <c r="W3341" s="10"/>
      <c r="X3341" s="10"/>
      <c r="Y3341" s="10"/>
      <c r="Z3341" s="10"/>
      <c r="AA3341" s="10"/>
      <c r="AB3341" s="10"/>
      <c r="AC3341" s="10"/>
      <c r="AD3341" s="10"/>
      <c r="AE3341" s="10"/>
      <c r="AF3341" s="10"/>
      <c r="AG3341" s="10"/>
      <c r="AH3341" s="10"/>
    </row>
    <row r="3342" spans="1:34" outlineLevel="2">
      <c r="A3342" s="21"/>
      <c r="B3342" s="12" t="str">
        <f>IFERROR(VLOOKUP(D3342,'[1]Перечень товаров'!$A$2:$I9525,2,0),"")</f>
        <v>т12</v>
      </c>
      <c r="C3342" s="12" t="str">
        <f>IFERROR(VLOOKUP(D3342,'[1]Перечень товаров'!$A$2:$I9525,3,0),"")</f>
        <v>Техника</v>
      </c>
      <c r="D3342" s="22" t="s">
        <v>49</v>
      </c>
      <c r="E3342" s="88"/>
      <c r="F3342" s="88"/>
      <c r="G3342" s="48">
        <v>1</v>
      </c>
      <c r="H3342" s="48"/>
      <c r="I3342" s="49"/>
      <c r="J3342" s="49"/>
      <c r="K3342" s="19"/>
      <c r="L3342" s="20"/>
      <c r="M3342" s="10"/>
      <c r="N3342" s="10"/>
      <c r="O3342" s="10"/>
      <c r="P3342" s="10"/>
      <c r="Q3342" s="10"/>
      <c r="R3342" s="10"/>
      <c r="S3342" s="10"/>
      <c r="T3342" s="10"/>
      <c r="U3342" s="10"/>
      <c r="V3342" s="10"/>
      <c r="W3342" s="10"/>
      <c r="X3342" s="10"/>
      <c r="Y3342" s="10"/>
      <c r="Z3342" s="10"/>
      <c r="AA3342" s="10"/>
      <c r="AB3342" s="10"/>
      <c r="AC3342" s="10"/>
      <c r="AD3342" s="10"/>
      <c r="AE3342" s="10"/>
      <c r="AF3342" s="10"/>
      <c r="AG3342" s="10"/>
      <c r="AH3342" s="10"/>
    </row>
    <row r="3343" spans="1:34" outlineLevel="2">
      <c r="A3343" s="35"/>
      <c r="B3343" s="12" t="str">
        <f>IFERROR(VLOOKUP(D3343,'[1]Перечень товаров'!$A$2:$I9525,2,0),"")</f>
        <v>т6</v>
      </c>
      <c r="C3343" s="12" t="str">
        <f>IFERROR(VLOOKUP(D3343,'[1]Перечень товаров'!$A$2:$I9525,3,0),"")</f>
        <v xml:space="preserve">Техника </v>
      </c>
      <c r="D3343" s="35" t="s">
        <v>33</v>
      </c>
      <c r="E3343" s="88"/>
      <c r="F3343" s="88"/>
      <c r="G3343" s="48">
        <v>1</v>
      </c>
      <c r="H3343" s="48"/>
      <c r="I3343" s="49"/>
      <c r="J3343" s="49"/>
      <c r="K3343" s="19"/>
      <c r="L3343" s="20"/>
      <c r="M3343" s="10"/>
      <c r="N3343" s="10"/>
      <c r="O3343" s="10"/>
      <c r="P3343" s="10"/>
      <c r="Q3343" s="10"/>
      <c r="R3343" s="10"/>
      <c r="S3343" s="10"/>
      <c r="T3343" s="10"/>
      <c r="U3343" s="10"/>
      <c r="V3343" s="10"/>
      <c r="W3343" s="10"/>
      <c r="X3343" s="10"/>
      <c r="Y3343" s="10"/>
      <c r="Z3343" s="10"/>
      <c r="AA3343" s="10"/>
      <c r="AB3343" s="10"/>
      <c r="AC3343" s="10"/>
      <c r="AD3343" s="10"/>
      <c r="AE3343" s="10"/>
      <c r="AF3343" s="10"/>
      <c r="AG3343" s="10"/>
      <c r="AH3343" s="10"/>
    </row>
    <row r="3344" spans="1:34" outlineLevel="2">
      <c r="A3344" s="22"/>
      <c r="B3344" s="12" t="str">
        <f>IFERROR(VLOOKUP(D3344,'[1]Перечень товаров'!$A$2:$I9525,2,0),"")</f>
        <v>т7</v>
      </c>
      <c r="C3344" s="12" t="str">
        <f>IFERROR(VLOOKUP(D3344,'[1]Перечень товаров'!$A$2:$I9525,3,0),"")</f>
        <v xml:space="preserve">Техника </v>
      </c>
      <c r="D3344" s="22" t="s">
        <v>34</v>
      </c>
      <c r="E3344" s="88"/>
      <c r="F3344" s="88"/>
      <c r="G3344" s="48">
        <v>3</v>
      </c>
      <c r="H3344" s="48"/>
      <c r="I3344" s="49"/>
      <c r="J3344" s="49"/>
      <c r="K3344" s="19"/>
      <c r="L3344" s="20"/>
      <c r="M3344" s="10"/>
      <c r="N3344" s="10"/>
      <c r="O3344" s="10"/>
      <c r="P3344" s="10"/>
      <c r="Q3344" s="10"/>
      <c r="R3344" s="10"/>
      <c r="S3344" s="10"/>
      <c r="T3344" s="10"/>
      <c r="U3344" s="10"/>
      <c r="V3344" s="10"/>
      <c r="W3344" s="10"/>
      <c r="X3344" s="10"/>
      <c r="Y3344" s="10"/>
      <c r="Z3344" s="10"/>
      <c r="AA3344" s="10"/>
      <c r="AB3344" s="10"/>
      <c r="AC3344" s="10"/>
      <c r="AD3344" s="10"/>
      <c r="AE3344" s="10"/>
      <c r="AF3344" s="10"/>
      <c r="AG3344" s="10"/>
      <c r="AH3344" s="10"/>
    </row>
    <row r="3345" spans="1:34" outlineLevel="2">
      <c r="A3345" s="35"/>
      <c r="B3345" s="12" t="str">
        <f>IFERROR(VLOOKUP(D3345,'[1]Перечень товаров'!$A$2:$I9525,2,0),"")</f>
        <v>т161</v>
      </c>
      <c r="C3345" s="12" t="str">
        <f>IFERROR(VLOOKUP(D3345,'[1]Перечень товаров'!$A$2:$I9525,3,0),"")</f>
        <v xml:space="preserve">Техника </v>
      </c>
      <c r="D3345" s="29" t="s">
        <v>381</v>
      </c>
      <c r="E3345" s="88"/>
      <c r="F3345" s="88"/>
      <c r="G3345" s="159">
        <v>1</v>
      </c>
      <c r="H3345" s="159"/>
      <c r="I3345" s="160"/>
      <c r="J3345" s="160"/>
      <c r="K3345" s="19"/>
      <c r="L3345" s="20"/>
      <c r="M3345" s="10"/>
      <c r="N3345" s="10"/>
      <c r="O3345" s="10"/>
      <c r="P3345" s="10"/>
      <c r="Q3345" s="10"/>
      <c r="R3345" s="10"/>
      <c r="S3345" s="10"/>
      <c r="T3345" s="10"/>
      <c r="U3345" s="10"/>
      <c r="V3345" s="10"/>
      <c r="W3345" s="10"/>
      <c r="X3345" s="10"/>
      <c r="Y3345" s="10"/>
      <c r="Z3345" s="10"/>
      <c r="AA3345" s="10"/>
      <c r="AB3345" s="10"/>
      <c r="AC3345" s="10"/>
      <c r="AD3345" s="10"/>
      <c r="AE3345" s="10"/>
      <c r="AF3345" s="10"/>
      <c r="AG3345" s="10"/>
      <c r="AH3345" s="10"/>
    </row>
    <row r="3346" spans="1:34" outlineLevel="2">
      <c r="A3346" s="114"/>
      <c r="B3346" s="12" t="str">
        <f>IFERROR(VLOOKUP(D3346,'[1]Перечень товаров'!$A$2:$I9525,2,0),"")</f>
        <v/>
      </c>
      <c r="C3346" s="12" t="str">
        <f>IFERROR(VLOOKUP(D3346,'[1]Перечень товаров'!$A$2:$I9525,3,0),"")</f>
        <v/>
      </c>
      <c r="D3346" s="114" t="s">
        <v>19</v>
      </c>
      <c r="E3346" s="115"/>
      <c r="F3346" s="115"/>
      <c r="G3346" s="157"/>
      <c r="H3346" s="157"/>
      <c r="I3346" s="158"/>
      <c r="J3346" s="158"/>
      <c r="K3346" s="19"/>
      <c r="L3346" s="20"/>
      <c r="M3346" s="10"/>
      <c r="N3346" s="10"/>
      <c r="O3346" s="10"/>
      <c r="P3346" s="10"/>
      <c r="Q3346" s="10"/>
      <c r="R3346" s="10"/>
      <c r="S3346" s="10"/>
      <c r="T3346" s="10"/>
      <c r="U3346" s="10"/>
      <c r="V3346" s="10"/>
      <c r="W3346" s="10"/>
      <c r="X3346" s="10"/>
      <c r="Y3346" s="10"/>
      <c r="Z3346" s="10"/>
      <c r="AA3346" s="10"/>
      <c r="AB3346" s="10"/>
      <c r="AC3346" s="10"/>
      <c r="AD3346" s="10"/>
      <c r="AE3346" s="10"/>
      <c r="AF3346" s="10"/>
      <c r="AG3346" s="10"/>
      <c r="AH3346" s="10"/>
    </row>
    <row r="3347" spans="1:34" outlineLevel="2">
      <c r="A3347" s="34"/>
      <c r="B3347" s="12" t="str">
        <f>IFERROR(VLOOKUP(D3347,'[1]Перечень товаров'!$A$2:$I9525,2,0),"")</f>
        <v>м62</v>
      </c>
      <c r="C3347" s="12" t="str">
        <f>IFERROR(VLOOKUP(D3347,'[1]Перечень товаров'!$A$2:$I9525,3,0),"")</f>
        <v>Мебель</v>
      </c>
      <c r="D3347" s="35" t="s">
        <v>398</v>
      </c>
      <c r="E3347" s="88"/>
      <c r="F3347" s="88"/>
      <c r="G3347" s="59">
        <v>1</v>
      </c>
      <c r="H3347" s="59"/>
      <c r="I3347" s="60"/>
      <c r="J3347" s="60"/>
      <c r="K3347" s="19"/>
      <c r="L3347" s="20"/>
      <c r="M3347" s="10"/>
      <c r="N3347" s="10"/>
      <c r="O3347" s="10"/>
      <c r="P3347" s="10"/>
      <c r="Q3347" s="10"/>
      <c r="R3347" s="10"/>
      <c r="S3347" s="10"/>
      <c r="T3347" s="10"/>
      <c r="U3347" s="10"/>
      <c r="V3347" s="10"/>
      <c r="W3347" s="10"/>
      <c r="X3347" s="10"/>
      <c r="Y3347" s="10"/>
      <c r="Z3347" s="10"/>
      <c r="AA3347" s="10"/>
      <c r="AB3347" s="10"/>
      <c r="AC3347" s="10"/>
      <c r="AD3347" s="10"/>
      <c r="AE3347" s="10"/>
      <c r="AF3347" s="10"/>
      <c r="AG3347" s="10"/>
      <c r="AH3347" s="10"/>
    </row>
    <row r="3348" spans="1:34" outlineLevel="2">
      <c r="A3348" s="34"/>
      <c r="B3348" s="12" t="str">
        <f>IFERROR(VLOOKUP(D3348,'[1]Перечень товаров'!$A$2:$I9525,2,0),"")</f>
        <v>м61</v>
      </c>
      <c r="C3348" s="12" t="str">
        <f>IFERROR(VLOOKUP(D3348,'[1]Перечень товаров'!$A$2:$I9525,3,0),"")</f>
        <v>Мебель</v>
      </c>
      <c r="D3348" s="35" t="s">
        <v>383</v>
      </c>
      <c r="E3348" s="88"/>
      <c r="F3348" s="88"/>
      <c r="G3348" s="59">
        <v>1</v>
      </c>
      <c r="H3348" s="59"/>
      <c r="I3348" s="60"/>
      <c r="J3348" s="60"/>
      <c r="K3348" s="19"/>
      <c r="L3348" s="20"/>
      <c r="M3348" s="10"/>
      <c r="N3348" s="10"/>
      <c r="O3348" s="10"/>
      <c r="P3348" s="10"/>
      <c r="Q3348" s="10"/>
      <c r="R3348" s="10"/>
      <c r="S3348" s="10"/>
      <c r="T3348" s="10"/>
      <c r="U3348" s="10"/>
      <c r="V3348" s="10"/>
      <c r="W3348" s="10"/>
      <c r="X3348" s="10"/>
      <c r="Y3348" s="10"/>
      <c r="Z3348" s="10"/>
      <c r="AA3348" s="10"/>
      <c r="AB3348" s="10"/>
      <c r="AC3348" s="10"/>
      <c r="AD3348" s="10"/>
      <c r="AE3348" s="10"/>
      <c r="AF3348" s="10"/>
      <c r="AG3348" s="10"/>
      <c r="AH3348" s="10"/>
    </row>
    <row r="3349" spans="1:34" outlineLevel="2">
      <c r="A3349" s="34"/>
      <c r="B3349" s="12" t="str">
        <f>IFERROR(VLOOKUP(D3349,'[1]Перечень товаров'!$A$2:$I9525,2,0),"")</f>
        <v>м61</v>
      </c>
      <c r="C3349" s="12" t="str">
        <f>IFERROR(VLOOKUP(D3349,'[1]Перечень товаров'!$A$2:$I9525,3,0),"")</f>
        <v>Мебель</v>
      </c>
      <c r="D3349" s="35" t="s">
        <v>384</v>
      </c>
      <c r="E3349" s="88"/>
      <c r="F3349" s="88"/>
      <c r="G3349" s="159">
        <v>4</v>
      </c>
      <c r="H3349" s="159"/>
      <c r="I3349" s="160"/>
      <c r="J3349" s="160"/>
      <c r="K3349" s="19"/>
      <c r="L3349" s="20"/>
      <c r="M3349" s="10"/>
      <c r="N3349" s="10"/>
      <c r="O3349" s="10"/>
      <c r="P3349" s="10"/>
      <c r="Q3349" s="10"/>
      <c r="R3349" s="10"/>
      <c r="S3349" s="10"/>
      <c r="T3349" s="10"/>
      <c r="U3349" s="10"/>
      <c r="V3349" s="10"/>
      <c r="W3349" s="10"/>
      <c r="X3349" s="10"/>
      <c r="Y3349" s="10"/>
      <c r="Z3349" s="10"/>
      <c r="AA3349" s="10"/>
      <c r="AB3349" s="10"/>
      <c r="AC3349" s="10"/>
      <c r="AD3349" s="10"/>
      <c r="AE3349" s="10"/>
      <c r="AF3349" s="10"/>
      <c r="AG3349" s="10"/>
      <c r="AH3349" s="10"/>
    </row>
    <row r="3350" spans="1:34" outlineLevel="2">
      <c r="A3350" s="22"/>
      <c r="B3350" s="12" t="str">
        <f>IFERROR(VLOOKUP(D3350,'[1]Перечень товаров'!$A$2:$I9525,2,0),"")</f>
        <v>м13</v>
      </c>
      <c r="C3350" s="12" t="str">
        <f>IFERROR(VLOOKUP(D3350,'[1]Перечень товаров'!$A$2:$I9525,3,0),"")</f>
        <v>Мебель</v>
      </c>
      <c r="D3350" s="22" t="s">
        <v>42</v>
      </c>
      <c r="E3350" s="88"/>
      <c r="F3350" s="88"/>
      <c r="G3350" s="48">
        <v>1</v>
      </c>
      <c r="H3350" s="48"/>
      <c r="I3350" s="49"/>
      <c r="J3350" s="49"/>
      <c r="K3350" s="19"/>
      <c r="L3350" s="20"/>
      <c r="M3350" s="10"/>
      <c r="N3350" s="10"/>
      <c r="O3350" s="10"/>
      <c r="P3350" s="10"/>
      <c r="Q3350" s="10"/>
      <c r="R3350" s="10"/>
      <c r="S3350" s="10"/>
      <c r="T3350" s="10"/>
      <c r="U3350" s="10"/>
      <c r="V3350" s="10"/>
      <c r="W3350" s="10"/>
      <c r="X3350" s="10"/>
      <c r="Y3350" s="10"/>
      <c r="Z3350" s="10"/>
      <c r="AA3350" s="10"/>
      <c r="AB3350" s="10"/>
      <c r="AC3350" s="10"/>
      <c r="AD3350" s="10"/>
      <c r="AE3350" s="10"/>
      <c r="AF3350" s="10"/>
      <c r="AG3350" s="10"/>
      <c r="AH3350" s="10"/>
    </row>
    <row r="3351" spans="1:34" outlineLevel="2">
      <c r="A3351" s="21"/>
      <c r="B3351" s="12" t="str">
        <f>IFERROR(VLOOKUP(D3351,'[1]Перечень товаров'!$A$2:$I9525,2,0),"")</f>
        <v>м14</v>
      </c>
      <c r="C3351" s="12" t="str">
        <f>IFERROR(VLOOKUP(D3351,'[1]Перечень товаров'!$A$2:$I9525,3,0),"")</f>
        <v>Мебель</v>
      </c>
      <c r="D3351" s="22" t="s">
        <v>43</v>
      </c>
      <c r="E3351" s="88"/>
      <c r="F3351" s="88"/>
      <c r="G3351" s="48">
        <v>1</v>
      </c>
      <c r="H3351" s="48"/>
      <c r="I3351" s="49"/>
      <c r="J3351" s="49"/>
      <c r="K3351" s="19"/>
      <c r="L3351" s="20"/>
      <c r="M3351" s="10"/>
      <c r="N3351" s="10"/>
      <c r="O3351" s="10"/>
      <c r="P3351" s="10"/>
      <c r="Q3351" s="10"/>
      <c r="R3351" s="10"/>
      <c r="S3351" s="10"/>
      <c r="T3351" s="10"/>
      <c r="U3351" s="10"/>
      <c r="V3351" s="10"/>
      <c r="W3351" s="10"/>
      <c r="X3351" s="10"/>
      <c r="Y3351" s="10"/>
      <c r="Z3351" s="10"/>
      <c r="AA3351" s="10"/>
      <c r="AB3351" s="10"/>
      <c r="AC3351" s="10"/>
      <c r="AD3351" s="10"/>
      <c r="AE3351" s="10"/>
      <c r="AF3351" s="10"/>
      <c r="AG3351" s="10"/>
      <c r="AH3351" s="10"/>
    </row>
    <row r="3352" spans="1:34" outlineLevel="2">
      <c r="A3352" s="21"/>
      <c r="B3352" s="12" t="str">
        <f>IFERROR(VLOOKUP(D3352,'[1]Перечень товаров'!$A$2:$I9525,2,0),"")</f>
        <v>п2</v>
      </c>
      <c r="C3352" s="12" t="str">
        <f>IFERROR(VLOOKUP(D3352,'[1]Перечень товаров'!$A$2:$I9525,3,0),"")</f>
        <v>Прочее</v>
      </c>
      <c r="D3352" s="22" t="s">
        <v>46</v>
      </c>
      <c r="E3352" s="88"/>
      <c r="F3352" s="88"/>
      <c r="G3352" s="24">
        <v>1</v>
      </c>
      <c r="H3352" s="24"/>
      <c r="I3352" s="25"/>
      <c r="J3352" s="25"/>
      <c r="K3352" s="19"/>
      <c r="L3352" s="20"/>
      <c r="M3352" s="10"/>
      <c r="N3352" s="10"/>
      <c r="O3352" s="10"/>
      <c r="P3352" s="10"/>
      <c r="Q3352" s="10"/>
      <c r="R3352" s="10"/>
      <c r="S3352" s="10"/>
      <c r="T3352" s="10"/>
      <c r="U3352" s="10"/>
      <c r="V3352" s="10"/>
      <c r="W3352" s="10"/>
      <c r="X3352" s="10"/>
      <c r="Y3352" s="10"/>
      <c r="Z3352" s="10"/>
      <c r="AA3352" s="10"/>
      <c r="AB3352" s="10"/>
      <c r="AC3352" s="10"/>
      <c r="AD3352" s="10"/>
      <c r="AE3352" s="10"/>
      <c r="AF3352" s="10"/>
      <c r="AG3352" s="10"/>
      <c r="AH3352" s="10"/>
    </row>
    <row r="3353" spans="1:34" ht="12.75" outlineLevel="1">
      <c r="A3353" s="11"/>
      <c r="B3353" s="12" t="str">
        <f>IFERROR(VLOOKUP(D3353,'[1]Перечень товаров'!$A$2:$I9525,2,0),"")</f>
        <v/>
      </c>
      <c r="C3353" s="12" t="str">
        <f>IFERROR(VLOOKUP(D3353,'[1]Перечень товаров'!$A$2:$I9525,3,0),"")</f>
        <v/>
      </c>
      <c r="D3353" s="27" t="s">
        <v>997</v>
      </c>
      <c r="E3353" s="14">
        <v>22.4</v>
      </c>
      <c r="F3353" s="14"/>
      <c r="G3353" s="17"/>
      <c r="H3353" s="17"/>
      <c r="I3353" s="57"/>
      <c r="J3353" s="57"/>
      <c r="K3353" s="19"/>
      <c r="L3353" s="20"/>
      <c r="M3353" s="10"/>
      <c r="N3353" s="10"/>
      <c r="O3353" s="10"/>
      <c r="P3353" s="10"/>
      <c r="Q3353" s="10"/>
      <c r="R3353" s="10"/>
      <c r="S3353" s="10"/>
      <c r="T3353" s="10"/>
      <c r="U3353" s="10"/>
      <c r="V3353" s="10"/>
      <c r="W3353" s="10"/>
      <c r="X3353" s="10"/>
      <c r="Y3353" s="10"/>
      <c r="Z3353" s="10"/>
      <c r="AA3353" s="10"/>
      <c r="AB3353" s="10"/>
      <c r="AC3353" s="10"/>
      <c r="AD3353" s="10"/>
      <c r="AE3353" s="10"/>
      <c r="AF3353" s="10"/>
      <c r="AG3353" s="10"/>
      <c r="AH3353" s="10"/>
    </row>
    <row r="3354" spans="1:34" outlineLevel="2">
      <c r="A3354" s="113"/>
      <c r="B3354" s="12" t="str">
        <f>IFERROR(VLOOKUP(D3354,'[1]Перечень товаров'!$A$2:$I9525,2,0),"")</f>
        <v/>
      </c>
      <c r="C3354" s="12" t="str">
        <f>IFERROR(VLOOKUP(D3354,'[1]Перечень товаров'!$A$2:$I9525,3,0),"")</f>
        <v/>
      </c>
      <c r="D3354" s="114" t="s">
        <v>391</v>
      </c>
      <c r="E3354" s="122"/>
      <c r="F3354" s="122"/>
      <c r="G3354" s="123"/>
      <c r="H3354" s="123"/>
      <c r="I3354" s="124"/>
      <c r="J3354" s="124"/>
      <c r="K3354" s="19"/>
      <c r="L3354" s="20"/>
      <c r="M3354" s="10"/>
      <c r="N3354" s="10"/>
      <c r="O3354" s="10"/>
      <c r="P3354" s="10"/>
      <c r="Q3354" s="10"/>
      <c r="R3354" s="10"/>
      <c r="S3354" s="10"/>
      <c r="T3354" s="10"/>
      <c r="U3354" s="10"/>
      <c r="V3354" s="10"/>
      <c r="W3354" s="10"/>
      <c r="X3354" s="10"/>
      <c r="Y3354" s="10"/>
      <c r="Z3354" s="10"/>
      <c r="AA3354" s="10"/>
      <c r="AB3354" s="10"/>
      <c r="AC3354" s="10"/>
      <c r="AD3354" s="10"/>
      <c r="AE3354" s="10"/>
      <c r="AF3354" s="10"/>
      <c r="AG3354" s="10"/>
      <c r="AH3354" s="10"/>
    </row>
    <row r="3355" spans="1:34" outlineLevel="2">
      <c r="A3355" s="28"/>
      <c r="B3355" s="12" t="str">
        <f>IFERROR(VLOOKUP(D3355,'[1]Перечень товаров'!$A$2:$I9525,2,0),"")</f>
        <v/>
      </c>
      <c r="C3355" s="12" t="str">
        <f>IFERROR(VLOOKUP(D3355,'[1]Перечень товаров'!$A$2:$I9525,3,0),"")</f>
        <v/>
      </c>
      <c r="D3355" s="29" t="s">
        <v>992</v>
      </c>
      <c r="E3355" s="30"/>
      <c r="F3355" s="30"/>
      <c r="G3355" s="31">
        <v>1</v>
      </c>
      <c r="H3355" s="31"/>
      <c r="I3355" s="32"/>
      <c r="J3355" s="32"/>
      <c r="K3355" s="19"/>
      <c r="L3355" s="20"/>
      <c r="M3355" s="10"/>
      <c r="N3355" s="10"/>
      <c r="O3355" s="10"/>
      <c r="P3355" s="10"/>
      <c r="Q3355" s="10"/>
      <c r="R3355" s="10"/>
      <c r="S3355" s="10"/>
      <c r="T3355" s="10"/>
      <c r="U3355" s="10"/>
      <c r="V3355" s="10"/>
      <c r="W3355" s="10"/>
      <c r="X3355" s="10"/>
      <c r="Y3355" s="10"/>
      <c r="Z3355" s="10"/>
      <c r="AA3355" s="10"/>
      <c r="AB3355" s="10"/>
      <c r="AC3355" s="10"/>
      <c r="AD3355" s="10"/>
      <c r="AE3355" s="10"/>
      <c r="AF3355" s="10"/>
      <c r="AG3355" s="10"/>
      <c r="AH3355" s="10"/>
    </row>
    <row r="3356" spans="1:34" ht="31.5" outlineLevel="2">
      <c r="A3356" s="28"/>
      <c r="B3356" s="12" t="str">
        <f>IFERROR(VLOOKUP(D3356,'[1]Перечень товаров'!$A$2:$I9525,2,0),"")</f>
        <v>д556</v>
      </c>
      <c r="C3356" s="12" t="str">
        <f>IFERROR(VLOOKUP(D3356,'[1]Перечень товаров'!$A$2:$I9525,3,0),"")</f>
        <v>дидактика</v>
      </c>
      <c r="D3356" s="29" t="s">
        <v>993</v>
      </c>
      <c r="E3356" s="30"/>
      <c r="F3356" s="30"/>
      <c r="G3356" s="31">
        <v>1</v>
      </c>
      <c r="H3356" s="31"/>
      <c r="I3356" s="32"/>
      <c r="J3356" s="32"/>
      <c r="K3356" s="19"/>
      <c r="L3356" s="20"/>
      <c r="M3356" s="10"/>
      <c r="N3356" s="10"/>
      <c r="O3356" s="10"/>
      <c r="P3356" s="10"/>
      <c r="Q3356" s="10"/>
      <c r="R3356" s="10"/>
      <c r="S3356" s="10"/>
      <c r="T3356" s="10"/>
      <c r="U3356" s="10"/>
      <c r="V3356" s="10"/>
      <c r="W3356" s="10"/>
      <c r="X3356" s="10"/>
      <c r="Y3356" s="10"/>
      <c r="Z3356" s="10"/>
      <c r="AA3356" s="10"/>
      <c r="AB3356" s="10"/>
      <c r="AC3356" s="10"/>
      <c r="AD3356" s="10"/>
      <c r="AE3356" s="10"/>
      <c r="AF3356" s="10"/>
      <c r="AG3356" s="10"/>
      <c r="AH3356" s="10"/>
    </row>
    <row r="3357" spans="1:34" ht="31.5" outlineLevel="2">
      <c r="A3357" s="28"/>
      <c r="B3357" s="12" t="str">
        <f>IFERROR(VLOOKUP(D3357,'[1]Перечень товаров'!$A$2:$I9525,2,0),"")</f>
        <v>пм212</v>
      </c>
      <c r="C3357" s="12" t="str">
        <f>IFERROR(VLOOKUP(D3357,'[1]Перечень товаров'!$A$2:$I9525,3,0),"")</f>
        <v>прочее муз</v>
      </c>
      <c r="D3357" s="29" t="s">
        <v>994</v>
      </c>
      <c r="E3357" s="30"/>
      <c r="F3357" s="30"/>
      <c r="G3357" s="31">
        <v>1</v>
      </c>
      <c r="H3357" s="31"/>
      <c r="I3357" s="32"/>
      <c r="J3357" s="32"/>
      <c r="K3357" s="19"/>
      <c r="L3357" s="20"/>
      <c r="M3357" s="10"/>
      <c r="N3357" s="10"/>
      <c r="O3357" s="10"/>
      <c r="P3357" s="10"/>
      <c r="Q3357" s="10"/>
      <c r="R3357" s="10"/>
      <c r="S3357" s="10"/>
      <c r="T3357" s="10"/>
      <c r="U3357" s="10"/>
      <c r="V3357" s="10"/>
      <c r="W3357" s="10"/>
      <c r="X3357" s="10"/>
      <c r="Y3357" s="10"/>
      <c r="Z3357" s="10"/>
      <c r="AA3357" s="10"/>
      <c r="AB3357" s="10"/>
      <c r="AC3357" s="10"/>
      <c r="AD3357" s="10"/>
      <c r="AE3357" s="10"/>
      <c r="AF3357" s="10"/>
      <c r="AG3357" s="10"/>
      <c r="AH3357" s="10"/>
    </row>
    <row r="3358" spans="1:34" outlineLevel="2">
      <c r="A3358" s="28"/>
      <c r="B3358" s="12" t="str">
        <f>IFERROR(VLOOKUP(D3358,'[1]Перечень товаров'!$A$2:$I9525,2,0),"")</f>
        <v>пм211</v>
      </c>
      <c r="C3358" s="12" t="str">
        <f>IFERROR(VLOOKUP(D3358,'[1]Перечень товаров'!$A$2:$I9525,3,0),"")</f>
        <v>прочее муз</v>
      </c>
      <c r="D3358" s="29" t="s">
        <v>995</v>
      </c>
      <c r="E3358" s="30"/>
      <c r="F3358" s="30"/>
      <c r="G3358" s="31">
        <v>2</v>
      </c>
      <c r="H3358" s="31"/>
      <c r="I3358" s="32"/>
      <c r="J3358" s="32"/>
      <c r="K3358" s="19"/>
      <c r="L3358" s="20"/>
      <c r="M3358" s="10"/>
      <c r="N3358" s="10"/>
      <c r="O3358" s="10"/>
      <c r="P3358" s="10"/>
      <c r="Q3358" s="10"/>
      <c r="R3358" s="10"/>
      <c r="S3358" s="10"/>
      <c r="T3358" s="10"/>
      <c r="U3358" s="10"/>
      <c r="V3358" s="10"/>
      <c r="W3358" s="10"/>
      <c r="X3358" s="10"/>
      <c r="Y3358" s="10"/>
      <c r="Z3358" s="10"/>
      <c r="AA3358" s="10"/>
      <c r="AB3358" s="10"/>
      <c r="AC3358" s="10"/>
      <c r="AD3358" s="10"/>
      <c r="AE3358" s="10"/>
      <c r="AF3358" s="10"/>
      <c r="AG3358" s="10"/>
      <c r="AH3358" s="10"/>
    </row>
    <row r="3359" spans="1:34" ht="31.5" outlineLevel="2">
      <c r="A3359" s="28"/>
      <c r="B3359" s="12" t="str">
        <f>IFERROR(VLOOKUP(D3359,'[1]Перечень товаров'!$A$2:$I9525,2,0),"")</f>
        <v>пм210</v>
      </c>
      <c r="C3359" s="12" t="str">
        <f>IFERROR(VLOOKUP(D3359,'[1]Перечень товаров'!$A$2:$I9525,3,0),"")</f>
        <v>прочее муз</v>
      </c>
      <c r="D3359" s="29" t="s">
        <v>996</v>
      </c>
      <c r="E3359" s="30"/>
      <c r="F3359" s="30"/>
      <c r="G3359" s="31">
        <v>1</v>
      </c>
      <c r="H3359" s="31"/>
      <c r="I3359" s="32"/>
      <c r="J3359" s="32"/>
      <c r="K3359" s="19"/>
      <c r="L3359" s="20"/>
      <c r="M3359" s="10"/>
      <c r="N3359" s="10"/>
      <c r="O3359" s="10"/>
      <c r="P3359" s="10"/>
      <c r="Q3359" s="10"/>
      <c r="R3359" s="10"/>
      <c r="S3359" s="10"/>
      <c r="T3359" s="10"/>
      <c r="U3359" s="10"/>
      <c r="V3359" s="10"/>
      <c r="W3359" s="10"/>
      <c r="X3359" s="10"/>
      <c r="Y3359" s="10"/>
      <c r="Z3359" s="10"/>
      <c r="AA3359" s="10"/>
      <c r="AB3359" s="10"/>
      <c r="AC3359" s="10"/>
      <c r="AD3359" s="10"/>
      <c r="AE3359" s="10"/>
      <c r="AF3359" s="10"/>
      <c r="AG3359" s="10"/>
      <c r="AH3359" s="10"/>
    </row>
    <row r="3360" spans="1:34" ht="15" outlineLevel="2">
      <c r="A3360" s="109"/>
      <c r="B3360" s="12" t="str">
        <f>IFERROR(VLOOKUP(D3360,'[1]Перечень товаров'!$A$2:$I9525,2,0),"")</f>
        <v/>
      </c>
      <c r="C3360" s="12" t="str">
        <f>IFERROR(VLOOKUP(D3360,'[1]Перечень товаров'!$A$2:$I9525,3,0),"")</f>
        <v/>
      </c>
      <c r="D3360" s="110" t="s">
        <v>27</v>
      </c>
      <c r="E3360" s="115"/>
      <c r="F3360" s="115"/>
      <c r="G3360" s="211"/>
      <c r="H3360" s="211"/>
      <c r="I3360" s="212"/>
      <c r="J3360" s="212"/>
      <c r="K3360" s="19"/>
      <c r="L3360" s="20"/>
      <c r="M3360" s="10"/>
      <c r="N3360" s="10"/>
      <c r="O3360" s="10"/>
      <c r="P3360" s="10"/>
      <c r="Q3360" s="10"/>
      <c r="R3360" s="10"/>
      <c r="S3360" s="10"/>
      <c r="T3360" s="10"/>
      <c r="U3360" s="10"/>
      <c r="V3360" s="10"/>
      <c r="W3360" s="10"/>
      <c r="X3360" s="10"/>
      <c r="Y3360" s="10"/>
      <c r="Z3360" s="10"/>
      <c r="AA3360" s="10"/>
      <c r="AB3360" s="10"/>
      <c r="AC3360" s="10"/>
      <c r="AD3360" s="10"/>
      <c r="AE3360" s="10"/>
      <c r="AF3360" s="10"/>
      <c r="AG3360" s="10"/>
      <c r="AH3360" s="10"/>
    </row>
    <row r="3361" spans="1:34" outlineLevel="2">
      <c r="A3361" s="21"/>
      <c r="B3361" s="12" t="str">
        <f>IFERROR(VLOOKUP(D3361,'[1]Перечень товаров'!$A$2:$I9525,2,0),"")</f>
        <v>т1</v>
      </c>
      <c r="C3361" s="12" t="str">
        <f>IFERROR(VLOOKUP(D3361,'[1]Перечень товаров'!$A$2:$I9525,3,0),"")</f>
        <v xml:space="preserve">Техника </v>
      </c>
      <c r="D3361" s="22" t="s">
        <v>28</v>
      </c>
      <c r="E3361" s="88"/>
      <c r="F3361" s="88"/>
      <c r="G3361" s="48">
        <v>1</v>
      </c>
      <c r="H3361" s="48"/>
      <c r="I3361" s="49"/>
      <c r="J3361" s="49"/>
      <c r="K3361" s="19"/>
      <c r="L3361" s="20"/>
      <c r="M3361" s="10"/>
      <c r="N3361" s="10"/>
      <c r="O3361" s="10"/>
      <c r="P3361" s="10"/>
      <c r="Q3361" s="10"/>
      <c r="R3361" s="10"/>
      <c r="S3361" s="10"/>
      <c r="T3361" s="10"/>
      <c r="U3361" s="10"/>
      <c r="V3361" s="10"/>
      <c r="W3361" s="10"/>
      <c r="X3361" s="10"/>
      <c r="Y3361" s="10"/>
      <c r="Z3361" s="10"/>
      <c r="AA3361" s="10"/>
      <c r="AB3361" s="10"/>
      <c r="AC3361" s="10"/>
      <c r="AD3361" s="10"/>
      <c r="AE3361" s="10"/>
      <c r="AF3361" s="10"/>
      <c r="AG3361" s="10"/>
      <c r="AH3361" s="10"/>
    </row>
    <row r="3362" spans="1:34" outlineLevel="2">
      <c r="A3362" s="22"/>
      <c r="B3362" s="12" t="str">
        <f>IFERROR(VLOOKUP(D3362,'[1]Перечень товаров'!$A$2:$I9525,2,0),"")</f>
        <v>т9</v>
      </c>
      <c r="C3362" s="12" t="str">
        <f>IFERROR(VLOOKUP(D3362,'[1]Перечень товаров'!$A$2:$I9525,3,0),"")</f>
        <v>Техника</v>
      </c>
      <c r="D3362" s="22" t="s">
        <v>36</v>
      </c>
      <c r="E3362" s="88"/>
      <c r="F3362" s="88"/>
      <c r="G3362" s="48">
        <v>1</v>
      </c>
      <c r="H3362" s="48"/>
      <c r="I3362" s="49"/>
      <c r="J3362" s="49"/>
      <c r="K3362" s="19"/>
      <c r="L3362" s="20"/>
      <c r="M3362" s="10"/>
      <c r="N3362" s="10"/>
      <c r="O3362" s="10"/>
      <c r="P3362" s="10"/>
      <c r="Q3362" s="10"/>
      <c r="R3362" s="10"/>
      <c r="S3362" s="10"/>
      <c r="T3362" s="10"/>
      <c r="U3362" s="10"/>
      <c r="V3362" s="10"/>
      <c r="W3362" s="10"/>
      <c r="X3362" s="10"/>
      <c r="Y3362" s="10"/>
      <c r="Z3362" s="10"/>
      <c r="AA3362" s="10"/>
      <c r="AB3362" s="10"/>
      <c r="AC3362" s="10"/>
      <c r="AD3362" s="10"/>
      <c r="AE3362" s="10"/>
      <c r="AF3362" s="10"/>
      <c r="AG3362" s="10"/>
      <c r="AH3362" s="10"/>
    </row>
    <row r="3363" spans="1:34" outlineLevel="2">
      <c r="A3363" s="35"/>
      <c r="B3363" s="12" t="str">
        <f>IFERROR(VLOOKUP(D3363,'[1]Перечень товаров'!$A$2:$I9525,2,0),"")</f>
        <v>т2</v>
      </c>
      <c r="C3363" s="12" t="str">
        <f>IFERROR(VLOOKUP(D3363,'[1]Перечень товаров'!$A$2:$I9525,3,0),"")</f>
        <v xml:space="preserve">Техника </v>
      </c>
      <c r="D3363" s="35" t="s">
        <v>29</v>
      </c>
      <c r="E3363" s="88"/>
      <c r="F3363" s="88"/>
      <c r="G3363" s="48">
        <v>1</v>
      </c>
      <c r="H3363" s="48"/>
      <c r="I3363" s="49"/>
      <c r="J3363" s="49"/>
      <c r="K3363" s="19"/>
      <c r="L3363" s="20"/>
      <c r="M3363" s="10"/>
      <c r="N3363" s="10"/>
      <c r="O3363" s="10"/>
      <c r="P3363" s="10"/>
      <c r="Q3363" s="10"/>
      <c r="R3363" s="10"/>
      <c r="S3363" s="10"/>
      <c r="T3363" s="10"/>
      <c r="U3363" s="10"/>
      <c r="V3363" s="10"/>
      <c r="W3363" s="10"/>
      <c r="X3363" s="10"/>
      <c r="Y3363" s="10"/>
      <c r="Z3363" s="10"/>
      <c r="AA3363" s="10"/>
      <c r="AB3363" s="10"/>
      <c r="AC3363" s="10"/>
      <c r="AD3363" s="10"/>
      <c r="AE3363" s="10"/>
      <c r="AF3363" s="10"/>
      <c r="AG3363" s="10"/>
      <c r="AH3363" s="10"/>
    </row>
    <row r="3364" spans="1:34" outlineLevel="2">
      <c r="A3364" s="35"/>
      <c r="B3364" s="12" t="str">
        <f>IFERROR(VLOOKUP(D3364,'[1]Перечень товаров'!$A$2:$I9525,2,0),"")</f>
        <v>т3</v>
      </c>
      <c r="C3364" s="12" t="str">
        <f>IFERROR(VLOOKUP(D3364,'[1]Перечень товаров'!$A$2:$I9525,3,0),"")</f>
        <v xml:space="preserve">Техника </v>
      </c>
      <c r="D3364" s="35" t="s">
        <v>30</v>
      </c>
      <c r="E3364" s="88"/>
      <c r="F3364" s="88"/>
      <c r="G3364" s="48">
        <v>1</v>
      </c>
      <c r="H3364" s="48"/>
      <c r="I3364" s="49"/>
      <c r="J3364" s="49"/>
      <c r="K3364" s="19"/>
      <c r="L3364" s="20"/>
      <c r="M3364" s="10"/>
      <c r="N3364" s="10"/>
      <c r="O3364" s="10"/>
      <c r="P3364" s="10"/>
      <c r="Q3364" s="10"/>
      <c r="R3364" s="10"/>
      <c r="S3364" s="10"/>
      <c r="T3364" s="10"/>
      <c r="U3364" s="10"/>
      <c r="V3364" s="10"/>
      <c r="W3364" s="10"/>
      <c r="X3364" s="10"/>
      <c r="Y3364" s="10"/>
      <c r="Z3364" s="10"/>
      <c r="AA3364" s="10"/>
      <c r="AB3364" s="10"/>
      <c r="AC3364" s="10"/>
      <c r="AD3364" s="10"/>
      <c r="AE3364" s="10"/>
      <c r="AF3364" s="10"/>
      <c r="AG3364" s="10"/>
      <c r="AH3364" s="10"/>
    </row>
    <row r="3365" spans="1:34" outlineLevel="2">
      <c r="A3365" s="35"/>
      <c r="B3365" s="12" t="str">
        <f>IFERROR(VLOOKUP(D3365,'[1]Перечень товаров'!$A$2:$I9525,2,0),"")</f>
        <v>т4</v>
      </c>
      <c r="C3365" s="12" t="str">
        <f>IFERROR(VLOOKUP(D3365,'[1]Перечень товаров'!$A$2:$I9525,3,0),"")</f>
        <v xml:space="preserve">Техника </v>
      </c>
      <c r="D3365" s="35" t="s">
        <v>31</v>
      </c>
      <c r="E3365" s="88"/>
      <c r="F3365" s="88"/>
      <c r="G3365" s="48">
        <v>1</v>
      </c>
      <c r="H3365" s="48"/>
      <c r="I3365" s="49"/>
      <c r="J3365" s="49"/>
      <c r="K3365" s="19"/>
      <c r="L3365" s="20"/>
      <c r="M3365" s="10"/>
      <c r="N3365" s="10"/>
      <c r="O3365" s="10"/>
      <c r="P3365" s="10"/>
      <c r="Q3365" s="10"/>
      <c r="R3365" s="10"/>
      <c r="S3365" s="10"/>
      <c r="T3365" s="10"/>
      <c r="U3365" s="10"/>
      <c r="V3365" s="10"/>
      <c r="W3365" s="10"/>
      <c r="X3365" s="10"/>
      <c r="Y3365" s="10"/>
      <c r="Z3365" s="10"/>
      <c r="AA3365" s="10"/>
      <c r="AB3365" s="10"/>
      <c r="AC3365" s="10"/>
      <c r="AD3365" s="10"/>
      <c r="AE3365" s="10"/>
      <c r="AF3365" s="10"/>
      <c r="AG3365" s="10"/>
      <c r="AH3365" s="10"/>
    </row>
    <row r="3366" spans="1:34" outlineLevel="2">
      <c r="A3366" s="21"/>
      <c r="B3366" s="12" t="str">
        <f>IFERROR(VLOOKUP(D3366,'[1]Перечень товаров'!$A$2:$I9525,2,0),"")</f>
        <v>тм65</v>
      </c>
      <c r="C3366" s="12" t="str">
        <f>IFERROR(VLOOKUP(D3366,'[1]Перечень товаров'!$A$2:$I9525,3,0),"")</f>
        <v>Техника муз</v>
      </c>
      <c r="D3366" s="22" t="s">
        <v>380</v>
      </c>
      <c r="E3366" s="88"/>
      <c r="F3366" s="88"/>
      <c r="G3366" s="48">
        <v>1</v>
      </c>
      <c r="H3366" s="48"/>
      <c r="I3366" s="49"/>
      <c r="J3366" s="49"/>
      <c r="K3366" s="19"/>
      <c r="L3366" s="20"/>
      <c r="M3366" s="10"/>
      <c r="N3366" s="10"/>
      <c r="O3366" s="10"/>
      <c r="P3366" s="10"/>
      <c r="Q3366" s="10"/>
      <c r="R3366" s="10"/>
      <c r="S3366" s="10"/>
      <c r="T3366" s="10"/>
      <c r="U3366" s="10"/>
      <c r="V3366" s="10"/>
      <c r="W3366" s="10"/>
      <c r="X3366" s="10"/>
      <c r="Y3366" s="10"/>
      <c r="Z3366" s="10"/>
      <c r="AA3366" s="10"/>
      <c r="AB3366" s="10"/>
      <c r="AC3366" s="10"/>
      <c r="AD3366" s="10"/>
      <c r="AE3366" s="10"/>
      <c r="AF3366" s="10"/>
      <c r="AG3366" s="10"/>
      <c r="AH3366" s="10"/>
    </row>
    <row r="3367" spans="1:34" outlineLevel="2">
      <c r="A3367" s="21"/>
      <c r="B3367" s="12" t="str">
        <f>IFERROR(VLOOKUP(D3367,'[1]Перечень товаров'!$A$2:$I9525,2,0),"")</f>
        <v>т12</v>
      </c>
      <c r="C3367" s="12" t="str">
        <f>IFERROR(VLOOKUP(D3367,'[1]Перечень товаров'!$A$2:$I9525,3,0),"")</f>
        <v>Техника</v>
      </c>
      <c r="D3367" s="22" t="s">
        <v>49</v>
      </c>
      <c r="E3367" s="88"/>
      <c r="F3367" s="88"/>
      <c r="G3367" s="48">
        <v>1</v>
      </c>
      <c r="H3367" s="48"/>
      <c r="I3367" s="49"/>
      <c r="J3367" s="49"/>
      <c r="K3367" s="19"/>
      <c r="L3367" s="20"/>
      <c r="M3367" s="10"/>
      <c r="N3367" s="10"/>
      <c r="O3367" s="10"/>
      <c r="P3367" s="10"/>
      <c r="Q3367" s="10"/>
      <c r="R3367" s="10"/>
      <c r="S3367" s="10"/>
      <c r="T3367" s="10"/>
      <c r="U3367" s="10"/>
      <c r="V3367" s="10"/>
      <c r="W3367" s="10"/>
      <c r="X3367" s="10"/>
      <c r="Y3367" s="10"/>
      <c r="Z3367" s="10"/>
      <c r="AA3367" s="10"/>
      <c r="AB3367" s="10"/>
      <c r="AC3367" s="10"/>
      <c r="AD3367" s="10"/>
      <c r="AE3367" s="10"/>
      <c r="AF3367" s="10"/>
      <c r="AG3367" s="10"/>
      <c r="AH3367" s="10"/>
    </row>
    <row r="3368" spans="1:34" outlineLevel="2">
      <c r="A3368" s="35"/>
      <c r="B3368" s="12" t="str">
        <f>IFERROR(VLOOKUP(D3368,'[1]Перечень товаров'!$A$2:$I9525,2,0),"")</f>
        <v>т6</v>
      </c>
      <c r="C3368" s="12" t="str">
        <f>IFERROR(VLOOKUP(D3368,'[1]Перечень товаров'!$A$2:$I9525,3,0),"")</f>
        <v xml:space="preserve">Техника </v>
      </c>
      <c r="D3368" s="35" t="s">
        <v>33</v>
      </c>
      <c r="E3368" s="88"/>
      <c r="F3368" s="88"/>
      <c r="G3368" s="48">
        <v>1</v>
      </c>
      <c r="H3368" s="48"/>
      <c r="I3368" s="49"/>
      <c r="J3368" s="49"/>
      <c r="K3368" s="19"/>
      <c r="L3368" s="20"/>
      <c r="M3368" s="10"/>
      <c r="N3368" s="10"/>
      <c r="O3368" s="10"/>
      <c r="P3368" s="10"/>
      <c r="Q3368" s="10"/>
      <c r="R3368" s="10"/>
      <c r="S3368" s="10"/>
      <c r="T3368" s="10"/>
      <c r="U3368" s="10"/>
      <c r="V3368" s="10"/>
      <c r="W3368" s="10"/>
      <c r="X3368" s="10"/>
      <c r="Y3368" s="10"/>
      <c r="Z3368" s="10"/>
      <c r="AA3368" s="10"/>
      <c r="AB3368" s="10"/>
      <c r="AC3368" s="10"/>
      <c r="AD3368" s="10"/>
      <c r="AE3368" s="10"/>
      <c r="AF3368" s="10"/>
      <c r="AG3368" s="10"/>
      <c r="AH3368" s="10"/>
    </row>
    <row r="3369" spans="1:34" outlineLevel="2">
      <c r="A3369" s="22"/>
      <c r="B3369" s="12" t="str">
        <f>IFERROR(VLOOKUP(D3369,'[1]Перечень товаров'!$A$2:$I9525,2,0),"")</f>
        <v>т7</v>
      </c>
      <c r="C3369" s="12" t="str">
        <f>IFERROR(VLOOKUP(D3369,'[1]Перечень товаров'!$A$2:$I9525,3,0),"")</f>
        <v xml:space="preserve">Техника </v>
      </c>
      <c r="D3369" s="22" t="s">
        <v>34</v>
      </c>
      <c r="E3369" s="88"/>
      <c r="F3369" s="88"/>
      <c r="G3369" s="48">
        <v>3</v>
      </c>
      <c r="H3369" s="48"/>
      <c r="I3369" s="49"/>
      <c r="J3369" s="49"/>
      <c r="K3369" s="19"/>
      <c r="L3369" s="20"/>
      <c r="M3369" s="10"/>
      <c r="N3369" s="10"/>
      <c r="O3369" s="10"/>
      <c r="P3369" s="10"/>
      <c r="Q3369" s="10"/>
      <c r="R3369" s="10"/>
      <c r="S3369" s="10"/>
      <c r="T3369" s="10"/>
      <c r="U3369" s="10"/>
      <c r="V3369" s="10"/>
      <c r="W3369" s="10"/>
      <c r="X3369" s="10"/>
      <c r="Y3369" s="10"/>
      <c r="Z3369" s="10"/>
      <c r="AA3369" s="10"/>
      <c r="AB3369" s="10"/>
      <c r="AC3369" s="10"/>
      <c r="AD3369" s="10"/>
      <c r="AE3369" s="10"/>
      <c r="AF3369" s="10"/>
      <c r="AG3369" s="10"/>
      <c r="AH3369" s="10"/>
    </row>
    <row r="3370" spans="1:34" outlineLevel="2">
      <c r="A3370" s="35"/>
      <c r="B3370" s="12" t="str">
        <f>IFERROR(VLOOKUP(D3370,'[1]Перечень товаров'!$A$2:$I9525,2,0),"")</f>
        <v>т161</v>
      </c>
      <c r="C3370" s="12" t="str">
        <f>IFERROR(VLOOKUP(D3370,'[1]Перечень товаров'!$A$2:$I9525,3,0),"")</f>
        <v xml:space="preserve">Техника </v>
      </c>
      <c r="D3370" s="29" t="s">
        <v>381</v>
      </c>
      <c r="E3370" s="88"/>
      <c r="F3370" s="88"/>
      <c r="G3370" s="159">
        <v>1</v>
      </c>
      <c r="H3370" s="159"/>
      <c r="I3370" s="160"/>
      <c r="J3370" s="160"/>
      <c r="K3370" s="19"/>
      <c r="L3370" s="20"/>
      <c r="M3370" s="10"/>
      <c r="N3370" s="10"/>
      <c r="O3370" s="10"/>
      <c r="P3370" s="10"/>
      <c r="Q3370" s="10"/>
      <c r="R3370" s="10"/>
      <c r="S3370" s="10"/>
      <c r="T3370" s="10"/>
      <c r="U3370" s="10"/>
      <c r="V3370" s="10"/>
      <c r="W3370" s="10"/>
      <c r="X3370" s="10"/>
      <c r="Y3370" s="10"/>
      <c r="Z3370" s="10"/>
      <c r="AA3370" s="10"/>
      <c r="AB3370" s="10"/>
      <c r="AC3370" s="10"/>
      <c r="AD3370" s="10"/>
      <c r="AE3370" s="10"/>
      <c r="AF3370" s="10"/>
      <c r="AG3370" s="10"/>
      <c r="AH3370" s="10"/>
    </row>
    <row r="3371" spans="1:34" outlineLevel="2">
      <c r="A3371" s="114"/>
      <c r="B3371" s="12" t="str">
        <f>IFERROR(VLOOKUP(D3371,'[1]Перечень товаров'!$A$2:$I9525,2,0),"")</f>
        <v/>
      </c>
      <c r="C3371" s="12" t="str">
        <f>IFERROR(VLOOKUP(D3371,'[1]Перечень товаров'!$A$2:$I9525,3,0),"")</f>
        <v/>
      </c>
      <c r="D3371" s="114" t="s">
        <v>19</v>
      </c>
      <c r="E3371" s="115"/>
      <c r="F3371" s="115"/>
      <c r="G3371" s="157"/>
      <c r="H3371" s="157"/>
      <c r="I3371" s="158"/>
      <c r="J3371" s="158"/>
      <c r="K3371" s="19"/>
      <c r="L3371" s="20"/>
      <c r="M3371" s="10"/>
      <c r="N3371" s="10"/>
      <c r="O3371" s="10"/>
      <c r="P3371" s="10"/>
      <c r="Q3371" s="10"/>
      <c r="R3371" s="10"/>
      <c r="S3371" s="10"/>
      <c r="T3371" s="10"/>
      <c r="U3371" s="10"/>
      <c r="V3371" s="10"/>
      <c r="W3371" s="10"/>
      <c r="X3371" s="10"/>
      <c r="Y3371" s="10"/>
      <c r="Z3371" s="10"/>
      <c r="AA3371" s="10"/>
      <c r="AB3371" s="10"/>
      <c r="AC3371" s="10"/>
      <c r="AD3371" s="10"/>
      <c r="AE3371" s="10"/>
      <c r="AF3371" s="10"/>
      <c r="AG3371" s="10"/>
      <c r="AH3371" s="10"/>
    </row>
    <row r="3372" spans="1:34" outlineLevel="2">
      <c r="A3372" s="34"/>
      <c r="B3372" s="12" t="str">
        <f>IFERROR(VLOOKUP(D3372,'[1]Перечень товаров'!$A$2:$I9525,2,0),"")</f>
        <v>м62</v>
      </c>
      <c r="C3372" s="12" t="str">
        <f>IFERROR(VLOOKUP(D3372,'[1]Перечень товаров'!$A$2:$I9525,3,0),"")</f>
        <v>Мебель</v>
      </c>
      <c r="D3372" s="35" t="s">
        <v>398</v>
      </c>
      <c r="E3372" s="88"/>
      <c r="F3372" s="88"/>
      <c r="G3372" s="59">
        <v>1</v>
      </c>
      <c r="H3372" s="59"/>
      <c r="I3372" s="60"/>
      <c r="J3372" s="60"/>
      <c r="K3372" s="19"/>
      <c r="L3372" s="20"/>
      <c r="M3372" s="10"/>
      <c r="N3372" s="10"/>
      <c r="O3372" s="10"/>
      <c r="P3372" s="10"/>
      <c r="Q3372" s="10"/>
      <c r="R3372" s="10"/>
      <c r="S3372" s="10"/>
      <c r="T3372" s="10"/>
      <c r="U3372" s="10"/>
      <c r="V3372" s="10"/>
      <c r="W3372" s="10"/>
      <c r="X3372" s="10"/>
      <c r="Y3372" s="10"/>
      <c r="Z3372" s="10"/>
      <c r="AA3372" s="10"/>
      <c r="AB3372" s="10"/>
      <c r="AC3372" s="10"/>
      <c r="AD3372" s="10"/>
      <c r="AE3372" s="10"/>
      <c r="AF3372" s="10"/>
      <c r="AG3372" s="10"/>
      <c r="AH3372" s="10"/>
    </row>
    <row r="3373" spans="1:34" outlineLevel="2">
      <c r="A3373" s="34"/>
      <c r="B3373" s="12" t="str">
        <f>IFERROR(VLOOKUP(D3373,'[1]Перечень товаров'!$A$2:$I9525,2,0),"")</f>
        <v>м61</v>
      </c>
      <c r="C3373" s="12" t="str">
        <f>IFERROR(VLOOKUP(D3373,'[1]Перечень товаров'!$A$2:$I9525,3,0),"")</f>
        <v>Мебель</v>
      </c>
      <c r="D3373" s="35" t="s">
        <v>383</v>
      </c>
      <c r="E3373" s="88"/>
      <c r="F3373" s="88"/>
      <c r="G3373" s="59">
        <v>1</v>
      </c>
      <c r="H3373" s="59"/>
      <c r="I3373" s="60"/>
      <c r="J3373" s="60"/>
      <c r="K3373" s="19"/>
      <c r="L3373" s="20"/>
      <c r="M3373" s="10"/>
      <c r="N3373" s="10"/>
      <c r="O3373" s="10"/>
      <c r="P3373" s="10"/>
      <c r="Q3373" s="10"/>
      <c r="R3373" s="10"/>
      <c r="S3373" s="10"/>
      <c r="T3373" s="10"/>
      <c r="U3373" s="10"/>
      <c r="V3373" s="10"/>
      <c r="W3373" s="10"/>
      <c r="X3373" s="10"/>
      <c r="Y3373" s="10"/>
      <c r="Z3373" s="10"/>
      <c r="AA3373" s="10"/>
      <c r="AB3373" s="10"/>
      <c r="AC3373" s="10"/>
      <c r="AD3373" s="10"/>
      <c r="AE3373" s="10"/>
      <c r="AF3373" s="10"/>
      <c r="AG3373" s="10"/>
      <c r="AH3373" s="10"/>
    </row>
    <row r="3374" spans="1:34" outlineLevel="2">
      <c r="A3374" s="213"/>
      <c r="B3374" s="12" t="str">
        <f>IFERROR(VLOOKUP(D3374,'[1]Перечень товаров'!$A$2:$I9525,2,0),"")</f>
        <v>м176</v>
      </c>
      <c r="C3374" s="12" t="str">
        <f>IFERROR(VLOOKUP(D3374,'[1]Перечень товаров'!$A$2:$I9525,3,0),"")</f>
        <v>мебель</v>
      </c>
      <c r="D3374" s="214" t="s">
        <v>998</v>
      </c>
      <c r="E3374" s="88"/>
      <c r="F3374" s="88"/>
      <c r="G3374" s="159">
        <v>4</v>
      </c>
      <c r="H3374" s="159"/>
      <c r="I3374" s="160"/>
      <c r="J3374" s="160"/>
      <c r="K3374" s="19"/>
      <c r="L3374" s="20"/>
      <c r="M3374" s="10"/>
      <c r="N3374" s="10"/>
      <c r="O3374" s="10"/>
      <c r="P3374" s="10"/>
      <c r="Q3374" s="10"/>
      <c r="R3374" s="10"/>
      <c r="S3374" s="10"/>
      <c r="T3374" s="10"/>
      <c r="U3374" s="10"/>
      <c r="V3374" s="10"/>
      <c r="W3374" s="10"/>
      <c r="X3374" s="10"/>
      <c r="Y3374" s="10"/>
      <c r="Z3374" s="10"/>
      <c r="AA3374" s="10"/>
      <c r="AB3374" s="10"/>
      <c r="AC3374" s="10"/>
      <c r="AD3374" s="10"/>
      <c r="AE3374" s="10"/>
      <c r="AF3374" s="10"/>
      <c r="AG3374" s="10"/>
      <c r="AH3374" s="10"/>
    </row>
    <row r="3375" spans="1:34" outlineLevel="2">
      <c r="A3375" s="34"/>
      <c r="B3375" s="12" t="str">
        <f>IFERROR(VLOOKUP(D3375,'[1]Перечень товаров'!$A$2:$I9525,2,0),"")</f>
        <v>м61</v>
      </c>
      <c r="C3375" s="12" t="str">
        <f>IFERROR(VLOOKUP(D3375,'[1]Перечень товаров'!$A$2:$I9525,3,0),"")</f>
        <v>Мебель</v>
      </c>
      <c r="D3375" s="35" t="s">
        <v>384</v>
      </c>
      <c r="E3375" s="88"/>
      <c r="F3375" s="88"/>
      <c r="G3375" s="159">
        <v>4</v>
      </c>
      <c r="H3375" s="159"/>
      <c r="I3375" s="160"/>
      <c r="J3375" s="160"/>
      <c r="K3375" s="19"/>
      <c r="L3375" s="20"/>
      <c r="M3375" s="10"/>
      <c r="N3375" s="10"/>
      <c r="O3375" s="10"/>
      <c r="P3375" s="10"/>
      <c r="Q3375" s="10"/>
      <c r="R3375" s="10"/>
      <c r="S3375" s="10"/>
      <c r="T3375" s="10"/>
      <c r="U3375" s="10"/>
      <c r="V3375" s="10"/>
      <c r="W3375" s="10"/>
      <c r="X3375" s="10"/>
      <c r="Y3375" s="10"/>
      <c r="Z3375" s="10"/>
      <c r="AA3375" s="10"/>
      <c r="AB3375" s="10"/>
      <c r="AC3375" s="10"/>
      <c r="AD3375" s="10"/>
      <c r="AE3375" s="10"/>
      <c r="AF3375" s="10"/>
      <c r="AG3375" s="10"/>
      <c r="AH3375" s="10"/>
    </row>
    <row r="3376" spans="1:34" outlineLevel="2">
      <c r="A3376" s="22"/>
      <c r="B3376" s="12" t="str">
        <f>IFERROR(VLOOKUP(D3376,'[1]Перечень товаров'!$A$2:$I9525,2,0),"")</f>
        <v>м13</v>
      </c>
      <c r="C3376" s="12" t="str">
        <f>IFERROR(VLOOKUP(D3376,'[1]Перечень товаров'!$A$2:$I9525,3,0),"")</f>
        <v>Мебель</v>
      </c>
      <c r="D3376" s="22" t="s">
        <v>42</v>
      </c>
      <c r="E3376" s="88"/>
      <c r="F3376" s="88"/>
      <c r="G3376" s="48">
        <v>1</v>
      </c>
      <c r="H3376" s="48"/>
      <c r="I3376" s="49"/>
      <c r="J3376" s="49"/>
      <c r="K3376" s="19"/>
      <c r="L3376" s="20"/>
      <c r="M3376" s="10"/>
      <c r="N3376" s="10"/>
      <c r="O3376" s="10"/>
      <c r="P3376" s="10"/>
      <c r="Q3376" s="10"/>
      <c r="R3376" s="10"/>
      <c r="S3376" s="10"/>
      <c r="T3376" s="10"/>
      <c r="U3376" s="10"/>
      <c r="V3376" s="10"/>
      <c r="W3376" s="10"/>
      <c r="X3376" s="10"/>
      <c r="Y3376" s="10"/>
      <c r="Z3376" s="10"/>
      <c r="AA3376" s="10"/>
      <c r="AB3376" s="10"/>
      <c r="AC3376" s="10"/>
      <c r="AD3376" s="10"/>
      <c r="AE3376" s="10"/>
      <c r="AF3376" s="10"/>
      <c r="AG3376" s="10"/>
      <c r="AH3376" s="10"/>
    </row>
    <row r="3377" spans="1:34" outlineLevel="2">
      <c r="A3377" s="21"/>
      <c r="B3377" s="12" t="str">
        <f>IFERROR(VLOOKUP(D3377,'[1]Перечень товаров'!$A$2:$I9525,2,0),"")</f>
        <v>м14</v>
      </c>
      <c r="C3377" s="12" t="str">
        <f>IFERROR(VLOOKUP(D3377,'[1]Перечень товаров'!$A$2:$I9525,3,0),"")</f>
        <v>Мебель</v>
      </c>
      <c r="D3377" s="22" t="s">
        <v>43</v>
      </c>
      <c r="E3377" s="88"/>
      <c r="F3377" s="88"/>
      <c r="G3377" s="48">
        <v>1</v>
      </c>
      <c r="H3377" s="48"/>
      <c r="I3377" s="49"/>
      <c r="J3377" s="49"/>
      <c r="K3377" s="19"/>
      <c r="L3377" s="20"/>
      <c r="M3377" s="10"/>
      <c r="N3377" s="10"/>
      <c r="O3377" s="10"/>
      <c r="P3377" s="10"/>
      <c r="Q3377" s="10"/>
      <c r="R3377" s="10"/>
      <c r="S3377" s="10"/>
      <c r="T3377" s="10"/>
      <c r="U3377" s="10"/>
      <c r="V3377" s="10"/>
      <c r="W3377" s="10"/>
      <c r="X3377" s="10"/>
      <c r="Y3377" s="10"/>
      <c r="Z3377" s="10"/>
      <c r="AA3377" s="10"/>
      <c r="AB3377" s="10"/>
      <c r="AC3377" s="10"/>
      <c r="AD3377" s="10"/>
      <c r="AE3377" s="10"/>
      <c r="AF3377" s="10"/>
      <c r="AG3377" s="10"/>
      <c r="AH3377" s="10"/>
    </row>
    <row r="3378" spans="1:34" outlineLevel="2">
      <c r="A3378" s="21"/>
      <c r="B3378" s="12" t="str">
        <f>IFERROR(VLOOKUP(D3378,'[1]Перечень товаров'!$A$2:$I9525,2,0),"")</f>
        <v>п2</v>
      </c>
      <c r="C3378" s="12" t="str">
        <f>IFERROR(VLOOKUP(D3378,'[1]Перечень товаров'!$A$2:$I9525,3,0),"")</f>
        <v>Прочее</v>
      </c>
      <c r="D3378" s="22" t="s">
        <v>46</v>
      </c>
      <c r="E3378" s="88"/>
      <c r="F3378" s="88"/>
      <c r="G3378" s="24">
        <v>1</v>
      </c>
      <c r="H3378" s="24"/>
      <c r="I3378" s="25"/>
      <c r="J3378" s="25"/>
      <c r="K3378" s="19"/>
      <c r="L3378" s="20"/>
      <c r="M3378" s="10"/>
      <c r="N3378" s="10"/>
      <c r="O3378" s="10"/>
      <c r="P3378" s="10"/>
      <c r="Q3378" s="10"/>
      <c r="R3378" s="10"/>
      <c r="S3378" s="10"/>
      <c r="T3378" s="10"/>
      <c r="U3378" s="10"/>
      <c r="V3378" s="10"/>
      <c r="W3378" s="10"/>
      <c r="X3378" s="10"/>
      <c r="Y3378" s="10"/>
      <c r="Z3378" s="10"/>
      <c r="AA3378" s="10"/>
      <c r="AB3378" s="10"/>
      <c r="AC3378" s="10"/>
      <c r="AD3378" s="10"/>
      <c r="AE3378" s="10"/>
      <c r="AF3378" s="10"/>
      <c r="AG3378" s="10"/>
      <c r="AH3378" s="10"/>
    </row>
    <row r="3379" spans="1:34" ht="12.75" outlineLevel="1">
      <c r="A3379" s="11"/>
      <c r="B3379" s="12" t="str">
        <f>IFERROR(VLOOKUP(D3379,'[1]Перечень товаров'!$A$2:$I9525,2,0),"")</f>
        <v/>
      </c>
      <c r="C3379" s="12" t="str">
        <f>IFERROR(VLOOKUP(D3379,'[1]Перечень товаров'!$A$2:$I9525,3,0),"")</f>
        <v/>
      </c>
      <c r="D3379" s="27" t="s">
        <v>997</v>
      </c>
      <c r="E3379" s="14">
        <v>23.8</v>
      </c>
      <c r="F3379" s="14"/>
      <c r="G3379" s="17"/>
      <c r="H3379" s="17"/>
      <c r="I3379" s="57"/>
      <c r="J3379" s="57"/>
      <c r="K3379" s="19"/>
      <c r="L3379" s="20"/>
      <c r="M3379" s="10"/>
      <c r="N3379" s="10"/>
      <c r="O3379" s="10"/>
      <c r="P3379" s="10"/>
      <c r="Q3379" s="10"/>
      <c r="R3379" s="10"/>
      <c r="S3379" s="10"/>
      <c r="T3379" s="10"/>
      <c r="U3379" s="10"/>
      <c r="V3379" s="10"/>
      <c r="W3379" s="10"/>
      <c r="X3379" s="10"/>
      <c r="Y3379" s="10"/>
      <c r="Z3379" s="10"/>
      <c r="AA3379" s="10"/>
      <c r="AB3379" s="10"/>
      <c r="AC3379" s="10"/>
      <c r="AD3379" s="10"/>
      <c r="AE3379" s="10"/>
      <c r="AF3379" s="10"/>
      <c r="AG3379" s="10"/>
      <c r="AH3379" s="10"/>
    </row>
    <row r="3380" spans="1:34" outlineLevel="2">
      <c r="A3380" s="113"/>
      <c r="B3380" s="12" t="str">
        <f>IFERROR(VLOOKUP(D3380,'[1]Перечень товаров'!$A$2:$I9525,2,0),"")</f>
        <v/>
      </c>
      <c r="C3380" s="12" t="str">
        <f>IFERROR(VLOOKUP(D3380,'[1]Перечень товаров'!$A$2:$I9525,3,0),"")</f>
        <v/>
      </c>
      <c r="D3380" s="114" t="s">
        <v>391</v>
      </c>
      <c r="E3380" s="122"/>
      <c r="F3380" s="122"/>
      <c r="G3380" s="123"/>
      <c r="H3380" s="123"/>
      <c r="I3380" s="124"/>
      <c r="J3380" s="124"/>
      <c r="K3380" s="19"/>
      <c r="L3380" s="20"/>
      <c r="M3380" s="10"/>
      <c r="N3380" s="10"/>
      <c r="O3380" s="10"/>
      <c r="P3380" s="10"/>
      <c r="Q3380" s="10"/>
      <c r="R3380" s="10"/>
      <c r="S3380" s="10"/>
      <c r="T3380" s="10"/>
      <c r="U3380" s="10"/>
      <c r="V3380" s="10"/>
      <c r="W3380" s="10"/>
      <c r="X3380" s="10"/>
      <c r="Y3380" s="10"/>
      <c r="Z3380" s="10"/>
      <c r="AA3380" s="10"/>
      <c r="AB3380" s="10"/>
      <c r="AC3380" s="10"/>
      <c r="AD3380" s="10"/>
      <c r="AE3380" s="10"/>
      <c r="AF3380" s="10"/>
      <c r="AG3380" s="10"/>
      <c r="AH3380" s="10"/>
    </row>
    <row r="3381" spans="1:34" outlineLevel="2">
      <c r="A3381" s="28"/>
      <c r="B3381" s="12" t="str">
        <f>IFERROR(VLOOKUP(D3381,'[1]Перечень товаров'!$A$2:$I9525,2,0),"")</f>
        <v/>
      </c>
      <c r="C3381" s="12" t="str">
        <f>IFERROR(VLOOKUP(D3381,'[1]Перечень товаров'!$A$2:$I9525,3,0),"")</f>
        <v/>
      </c>
      <c r="D3381" s="29" t="s">
        <v>992</v>
      </c>
      <c r="E3381" s="30"/>
      <c r="F3381" s="30"/>
      <c r="G3381" s="31">
        <v>1</v>
      </c>
      <c r="H3381" s="31"/>
      <c r="I3381" s="32"/>
      <c r="J3381" s="32"/>
      <c r="K3381" s="19"/>
      <c r="L3381" s="20"/>
      <c r="M3381" s="10"/>
      <c r="N3381" s="10"/>
      <c r="O3381" s="10"/>
      <c r="P3381" s="10"/>
      <c r="Q3381" s="10"/>
      <c r="R3381" s="10"/>
      <c r="S3381" s="10"/>
      <c r="T3381" s="10"/>
      <c r="U3381" s="10"/>
      <c r="V3381" s="10"/>
      <c r="W3381" s="10"/>
      <c r="X3381" s="10"/>
      <c r="Y3381" s="10"/>
      <c r="Z3381" s="10"/>
      <c r="AA3381" s="10"/>
      <c r="AB3381" s="10"/>
      <c r="AC3381" s="10"/>
      <c r="AD3381" s="10"/>
      <c r="AE3381" s="10"/>
      <c r="AF3381" s="10"/>
      <c r="AG3381" s="10"/>
      <c r="AH3381" s="10"/>
    </row>
    <row r="3382" spans="1:34" ht="31.5" outlineLevel="2">
      <c r="A3382" s="28"/>
      <c r="B3382" s="12" t="str">
        <f>IFERROR(VLOOKUP(D3382,'[1]Перечень товаров'!$A$2:$I9525,2,0),"")</f>
        <v>д556</v>
      </c>
      <c r="C3382" s="12" t="str">
        <f>IFERROR(VLOOKUP(D3382,'[1]Перечень товаров'!$A$2:$I9525,3,0),"")</f>
        <v>дидактика</v>
      </c>
      <c r="D3382" s="29" t="s">
        <v>993</v>
      </c>
      <c r="E3382" s="30"/>
      <c r="F3382" s="30"/>
      <c r="G3382" s="31">
        <v>1</v>
      </c>
      <c r="H3382" s="31"/>
      <c r="I3382" s="32"/>
      <c r="J3382" s="32"/>
      <c r="K3382" s="19"/>
      <c r="L3382" s="20"/>
      <c r="M3382" s="10"/>
      <c r="N3382" s="10"/>
      <c r="O3382" s="10"/>
      <c r="P3382" s="10"/>
      <c r="Q3382" s="10"/>
      <c r="R3382" s="10"/>
      <c r="S3382" s="10"/>
      <c r="T3382" s="10"/>
      <c r="U3382" s="10"/>
      <c r="V3382" s="10"/>
      <c r="W3382" s="10"/>
      <c r="X3382" s="10"/>
      <c r="Y3382" s="10"/>
      <c r="Z3382" s="10"/>
      <c r="AA3382" s="10"/>
      <c r="AB3382" s="10"/>
      <c r="AC3382" s="10"/>
      <c r="AD3382" s="10"/>
      <c r="AE3382" s="10"/>
      <c r="AF3382" s="10"/>
      <c r="AG3382" s="10"/>
      <c r="AH3382" s="10"/>
    </row>
    <row r="3383" spans="1:34" ht="31.5" outlineLevel="2">
      <c r="A3383" s="28"/>
      <c r="B3383" s="12" t="str">
        <f>IFERROR(VLOOKUP(D3383,'[1]Перечень товаров'!$A$2:$I9525,2,0),"")</f>
        <v>пм212</v>
      </c>
      <c r="C3383" s="12" t="str">
        <f>IFERROR(VLOOKUP(D3383,'[1]Перечень товаров'!$A$2:$I9525,3,0),"")</f>
        <v>прочее муз</v>
      </c>
      <c r="D3383" s="29" t="s">
        <v>994</v>
      </c>
      <c r="E3383" s="30"/>
      <c r="F3383" s="30"/>
      <c r="G3383" s="31">
        <v>1</v>
      </c>
      <c r="H3383" s="31"/>
      <c r="I3383" s="32"/>
      <c r="J3383" s="32"/>
      <c r="K3383" s="19"/>
      <c r="L3383" s="20"/>
      <c r="M3383" s="10"/>
      <c r="N3383" s="10"/>
      <c r="O3383" s="10"/>
      <c r="P3383" s="10"/>
      <c r="Q3383" s="10"/>
      <c r="R3383" s="10"/>
      <c r="S3383" s="10"/>
      <c r="T3383" s="10"/>
      <c r="U3383" s="10"/>
      <c r="V3383" s="10"/>
      <c r="W3383" s="10"/>
      <c r="X3383" s="10"/>
      <c r="Y3383" s="10"/>
      <c r="Z3383" s="10"/>
      <c r="AA3383" s="10"/>
      <c r="AB3383" s="10"/>
      <c r="AC3383" s="10"/>
      <c r="AD3383" s="10"/>
      <c r="AE3383" s="10"/>
      <c r="AF3383" s="10"/>
      <c r="AG3383" s="10"/>
      <c r="AH3383" s="10"/>
    </row>
    <row r="3384" spans="1:34" outlineLevel="2">
      <c r="A3384" s="28"/>
      <c r="B3384" s="12" t="str">
        <f>IFERROR(VLOOKUP(D3384,'[1]Перечень товаров'!$A$2:$I9525,2,0),"")</f>
        <v>пм211</v>
      </c>
      <c r="C3384" s="12" t="str">
        <f>IFERROR(VLOOKUP(D3384,'[1]Перечень товаров'!$A$2:$I9525,3,0),"")</f>
        <v>прочее муз</v>
      </c>
      <c r="D3384" s="29" t="s">
        <v>995</v>
      </c>
      <c r="E3384" s="30"/>
      <c r="F3384" s="30"/>
      <c r="G3384" s="31">
        <v>2</v>
      </c>
      <c r="H3384" s="31"/>
      <c r="I3384" s="32"/>
      <c r="J3384" s="32"/>
      <c r="K3384" s="19"/>
      <c r="L3384" s="20"/>
      <c r="M3384" s="10"/>
      <c r="N3384" s="10"/>
      <c r="O3384" s="10"/>
      <c r="P3384" s="10"/>
      <c r="Q3384" s="10"/>
      <c r="R3384" s="10"/>
      <c r="S3384" s="10"/>
      <c r="T3384" s="10"/>
      <c r="U3384" s="10"/>
      <c r="V3384" s="10"/>
      <c r="W3384" s="10"/>
      <c r="X3384" s="10"/>
      <c r="Y3384" s="10"/>
      <c r="Z3384" s="10"/>
      <c r="AA3384" s="10"/>
      <c r="AB3384" s="10"/>
      <c r="AC3384" s="10"/>
      <c r="AD3384" s="10"/>
      <c r="AE3384" s="10"/>
      <c r="AF3384" s="10"/>
      <c r="AG3384" s="10"/>
      <c r="AH3384" s="10"/>
    </row>
    <row r="3385" spans="1:34" ht="31.5" outlineLevel="2">
      <c r="A3385" s="28"/>
      <c r="B3385" s="12" t="str">
        <f>IFERROR(VLOOKUP(D3385,'[1]Перечень товаров'!$A$2:$I9525,2,0),"")</f>
        <v>пм210</v>
      </c>
      <c r="C3385" s="12" t="str">
        <f>IFERROR(VLOOKUP(D3385,'[1]Перечень товаров'!$A$2:$I9525,3,0),"")</f>
        <v>прочее муз</v>
      </c>
      <c r="D3385" s="29" t="s">
        <v>996</v>
      </c>
      <c r="E3385" s="30"/>
      <c r="F3385" s="30"/>
      <c r="G3385" s="31">
        <v>1</v>
      </c>
      <c r="H3385" s="31"/>
      <c r="I3385" s="32"/>
      <c r="J3385" s="32"/>
      <c r="K3385" s="19"/>
      <c r="L3385" s="20"/>
      <c r="M3385" s="10"/>
      <c r="N3385" s="10"/>
      <c r="O3385" s="10"/>
      <c r="P3385" s="10"/>
      <c r="Q3385" s="10"/>
      <c r="R3385" s="10"/>
      <c r="S3385" s="10"/>
      <c r="T3385" s="10"/>
      <c r="U3385" s="10"/>
      <c r="V3385" s="10"/>
      <c r="W3385" s="10"/>
      <c r="X3385" s="10"/>
      <c r="Y3385" s="10"/>
      <c r="Z3385" s="10"/>
      <c r="AA3385" s="10"/>
      <c r="AB3385" s="10"/>
      <c r="AC3385" s="10"/>
      <c r="AD3385" s="10"/>
      <c r="AE3385" s="10"/>
      <c r="AF3385" s="10"/>
      <c r="AG3385" s="10"/>
      <c r="AH3385" s="10"/>
    </row>
    <row r="3386" spans="1:34" ht="15" outlineLevel="2">
      <c r="A3386" s="109"/>
      <c r="B3386" s="12" t="str">
        <f>IFERROR(VLOOKUP(D3386,'[1]Перечень товаров'!$A$2:$I9525,2,0),"")</f>
        <v/>
      </c>
      <c r="C3386" s="12" t="str">
        <f>IFERROR(VLOOKUP(D3386,'[1]Перечень товаров'!$A$2:$I9525,3,0),"")</f>
        <v/>
      </c>
      <c r="D3386" s="110" t="s">
        <v>27</v>
      </c>
      <c r="E3386" s="115"/>
      <c r="F3386" s="115"/>
      <c r="G3386" s="211"/>
      <c r="H3386" s="211"/>
      <c r="I3386" s="212"/>
      <c r="J3386" s="212"/>
      <c r="K3386" s="19"/>
      <c r="L3386" s="20"/>
      <c r="M3386" s="10"/>
      <c r="N3386" s="10"/>
      <c r="O3386" s="10"/>
      <c r="P3386" s="10"/>
      <c r="Q3386" s="10"/>
      <c r="R3386" s="10"/>
      <c r="S3386" s="10"/>
      <c r="T3386" s="10"/>
      <c r="U3386" s="10"/>
      <c r="V3386" s="10"/>
      <c r="W3386" s="10"/>
      <c r="X3386" s="10"/>
      <c r="Y3386" s="10"/>
      <c r="Z3386" s="10"/>
      <c r="AA3386" s="10"/>
      <c r="AB3386" s="10"/>
      <c r="AC3386" s="10"/>
      <c r="AD3386" s="10"/>
      <c r="AE3386" s="10"/>
      <c r="AF3386" s="10"/>
      <c r="AG3386" s="10"/>
      <c r="AH3386" s="10"/>
    </row>
    <row r="3387" spans="1:34" outlineLevel="2">
      <c r="A3387" s="21"/>
      <c r="B3387" s="12" t="str">
        <f>IFERROR(VLOOKUP(D3387,'[1]Перечень товаров'!$A$2:$I9525,2,0),"")</f>
        <v>т1</v>
      </c>
      <c r="C3387" s="12" t="str">
        <f>IFERROR(VLOOKUP(D3387,'[1]Перечень товаров'!$A$2:$I9525,3,0),"")</f>
        <v xml:space="preserve">Техника </v>
      </c>
      <c r="D3387" s="22" t="s">
        <v>28</v>
      </c>
      <c r="E3387" s="88"/>
      <c r="F3387" s="88"/>
      <c r="G3387" s="48">
        <v>1</v>
      </c>
      <c r="H3387" s="48"/>
      <c r="I3387" s="49"/>
      <c r="J3387" s="49"/>
      <c r="K3387" s="19"/>
      <c r="L3387" s="20"/>
      <c r="M3387" s="10"/>
      <c r="N3387" s="10"/>
      <c r="O3387" s="10"/>
      <c r="P3387" s="10"/>
      <c r="Q3387" s="10"/>
      <c r="R3387" s="10"/>
      <c r="S3387" s="10"/>
      <c r="T3387" s="10"/>
      <c r="U3387" s="10"/>
      <c r="V3387" s="10"/>
      <c r="W3387" s="10"/>
      <c r="X3387" s="10"/>
      <c r="Y3387" s="10"/>
      <c r="Z3387" s="10"/>
      <c r="AA3387" s="10"/>
      <c r="AB3387" s="10"/>
      <c r="AC3387" s="10"/>
      <c r="AD3387" s="10"/>
      <c r="AE3387" s="10"/>
      <c r="AF3387" s="10"/>
      <c r="AG3387" s="10"/>
      <c r="AH3387" s="10"/>
    </row>
    <row r="3388" spans="1:34" outlineLevel="2">
      <c r="A3388" s="22"/>
      <c r="B3388" s="12" t="str">
        <f>IFERROR(VLOOKUP(D3388,'[1]Перечень товаров'!$A$2:$I9525,2,0),"")</f>
        <v>т9</v>
      </c>
      <c r="C3388" s="12" t="str">
        <f>IFERROR(VLOOKUP(D3388,'[1]Перечень товаров'!$A$2:$I9525,3,0),"")</f>
        <v>Техника</v>
      </c>
      <c r="D3388" s="22" t="s">
        <v>36</v>
      </c>
      <c r="E3388" s="88"/>
      <c r="F3388" s="88"/>
      <c r="G3388" s="48">
        <v>1</v>
      </c>
      <c r="H3388" s="48"/>
      <c r="I3388" s="49"/>
      <c r="J3388" s="49"/>
      <c r="K3388" s="19"/>
      <c r="L3388" s="20"/>
      <c r="M3388" s="10"/>
      <c r="N3388" s="10"/>
      <c r="O3388" s="10"/>
      <c r="P3388" s="10"/>
      <c r="Q3388" s="10"/>
      <c r="R3388" s="10"/>
      <c r="S3388" s="10"/>
      <c r="T3388" s="10"/>
      <c r="U3388" s="10"/>
      <c r="V3388" s="10"/>
      <c r="W3388" s="10"/>
      <c r="X3388" s="10"/>
      <c r="Y3388" s="10"/>
      <c r="Z3388" s="10"/>
      <c r="AA3388" s="10"/>
      <c r="AB3388" s="10"/>
      <c r="AC3388" s="10"/>
      <c r="AD3388" s="10"/>
      <c r="AE3388" s="10"/>
      <c r="AF3388" s="10"/>
      <c r="AG3388" s="10"/>
      <c r="AH3388" s="10"/>
    </row>
    <row r="3389" spans="1:34" outlineLevel="2">
      <c r="A3389" s="35"/>
      <c r="B3389" s="12" t="str">
        <f>IFERROR(VLOOKUP(D3389,'[1]Перечень товаров'!$A$2:$I9525,2,0),"")</f>
        <v>т2</v>
      </c>
      <c r="C3389" s="12" t="str">
        <f>IFERROR(VLOOKUP(D3389,'[1]Перечень товаров'!$A$2:$I9525,3,0),"")</f>
        <v xml:space="preserve">Техника </v>
      </c>
      <c r="D3389" s="35" t="s">
        <v>29</v>
      </c>
      <c r="E3389" s="88"/>
      <c r="F3389" s="88"/>
      <c r="G3389" s="48">
        <v>1</v>
      </c>
      <c r="H3389" s="48"/>
      <c r="I3389" s="49"/>
      <c r="J3389" s="49"/>
      <c r="K3389" s="19"/>
      <c r="L3389" s="20"/>
      <c r="M3389" s="10"/>
      <c r="N3389" s="10"/>
      <c r="O3389" s="10"/>
      <c r="P3389" s="10"/>
      <c r="Q3389" s="10"/>
      <c r="R3389" s="10"/>
      <c r="S3389" s="10"/>
      <c r="T3389" s="10"/>
      <c r="U3389" s="10"/>
      <c r="V3389" s="10"/>
      <c r="W3389" s="10"/>
      <c r="X3389" s="10"/>
      <c r="Y3389" s="10"/>
      <c r="Z3389" s="10"/>
      <c r="AA3389" s="10"/>
      <c r="AB3389" s="10"/>
      <c r="AC3389" s="10"/>
      <c r="AD3389" s="10"/>
      <c r="AE3389" s="10"/>
      <c r="AF3389" s="10"/>
      <c r="AG3389" s="10"/>
      <c r="AH3389" s="10"/>
    </row>
    <row r="3390" spans="1:34" outlineLevel="2">
      <c r="A3390" s="35"/>
      <c r="B3390" s="12" t="str">
        <f>IFERROR(VLOOKUP(D3390,'[1]Перечень товаров'!$A$2:$I9525,2,0),"")</f>
        <v>т3</v>
      </c>
      <c r="C3390" s="12" t="str">
        <f>IFERROR(VLOOKUP(D3390,'[1]Перечень товаров'!$A$2:$I9525,3,0),"")</f>
        <v xml:space="preserve">Техника </v>
      </c>
      <c r="D3390" s="35" t="s">
        <v>30</v>
      </c>
      <c r="E3390" s="88"/>
      <c r="F3390" s="88"/>
      <c r="G3390" s="48">
        <v>1</v>
      </c>
      <c r="H3390" s="48"/>
      <c r="I3390" s="49"/>
      <c r="J3390" s="49"/>
      <c r="K3390" s="19"/>
      <c r="L3390" s="20"/>
      <c r="M3390" s="10"/>
      <c r="N3390" s="10"/>
      <c r="O3390" s="10"/>
      <c r="P3390" s="10"/>
      <c r="Q3390" s="10"/>
      <c r="R3390" s="10"/>
      <c r="S3390" s="10"/>
      <c r="T3390" s="10"/>
      <c r="U3390" s="10"/>
      <c r="V3390" s="10"/>
      <c r="W3390" s="10"/>
      <c r="X3390" s="10"/>
      <c r="Y3390" s="10"/>
      <c r="Z3390" s="10"/>
      <c r="AA3390" s="10"/>
      <c r="AB3390" s="10"/>
      <c r="AC3390" s="10"/>
      <c r="AD3390" s="10"/>
      <c r="AE3390" s="10"/>
      <c r="AF3390" s="10"/>
      <c r="AG3390" s="10"/>
      <c r="AH3390" s="10"/>
    </row>
    <row r="3391" spans="1:34" outlineLevel="2">
      <c r="A3391" s="35"/>
      <c r="B3391" s="12" t="str">
        <f>IFERROR(VLOOKUP(D3391,'[1]Перечень товаров'!$A$2:$I9525,2,0),"")</f>
        <v>т4</v>
      </c>
      <c r="C3391" s="12" t="str">
        <f>IFERROR(VLOOKUP(D3391,'[1]Перечень товаров'!$A$2:$I9525,3,0),"")</f>
        <v xml:space="preserve">Техника </v>
      </c>
      <c r="D3391" s="35" t="s">
        <v>31</v>
      </c>
      <c r="E3391" s="88"/>
      <c r="F3391" s="88"/>
      <c r="G3391" s="48">
        <v>1</v>
      </c>
      <c r="H3391" s="48"/>
      <c r="I3391" s="49"/>
      <c r="J3391" s="49"/>
      <c r="K3391" s="19"/>
      <c r="L3391" s="20"/>
      <c r="M3391" s="10"/>
      <c r="N3391" s="10"/>
      <c r="O3391" s="10"/>
      <c r="P3391" s="10"/>
      <c r="Q3391" s="10"/>
      <c r="R3391" s="10"/>
      <c r="S3391" s="10"/>
      <c r="T3391" s="10"/>
      <c r="U3391" s="10"/>
      <c r="V3391" s="10"/>
      <c r="W3391" s="10"/>
      <c r="X3391" s="10"/>
      <c r="Y3391" s="10"/>
      <c r="Z3391" s="10"/>
      <c r="AA3391" s="10"/>
      <c r="AB3391" s="10"/>
      <c r="AC3391" s="10"/>
      <c r="AD3391" s="10"/>
      <c r="AE3391" s="10"/>
      <c r="AF3391" s="10"/>
      <c r="AG3391" s="10"/>
      <c r="AH3391" s="10"/>
    </row>
    <row r="3392" spans="1:34" outlineLevel="2">
      <c r="A3392" s="21"/>
      <c r="B3392" s="12" t="str">
        <f>IFERROR(VLOOKUP(D3392,'[1]Перечень товаров'!$A$2:$I9525,2,0),"")</f>
        <v>тм65</v>
      </c>
      <c r="C3392" s="12" t="str">
        <f>IFERROR(VLOOKUP(D3392,'[1]Перечень товаров'!$A$2:$I9525,3,0),"")</f>
        <v>Техника муз</v>
      </c>
      <c r="D3392" s="22" t="s">
        <v>380</v>
      </c>
      <c r="E3392" s="88"/>
      <c r="F3392" s="88"/>
      <c r="G3392" s="48">
        <v>1</v>
      </c>
      <c r="H3392" s="48"/>
      <c r="I3392" s="49"/>
      <c r="J3392" s="49"/>
      <c r="K3392" s="19"/>
      <c r="L3392" s="20"/>
      <c r="M3392" s="10"/>
      <c r="N3392" s="10"/>
      <c r="O3392" s="10"/>
      <c r="P3392" s="10"/>
      <c r="Q3392" s="10"/>
      <c r="R3392" s="10"/>
      <c r="S3392" s="10"/>
      <c r="T3392" s="10"/>
      <c r="U3392" s="10"/>
      <c r="V3392" s="10"/>
      <c r="W3392" s="10"/>
      <c r="X3392" s="10"/>
      <c r="Y3392" s="10"/>
      <c r="Z3392" s="10"/>
      <c r="AA3392" s="10"/>
      <c r="AB3392" s="10"/>
      <c r="AC3392" s="10"/>
      <c r="AD3392" s="10"/>
      <c r="AE3392" s="10"/>
      <c r="AF3392" s="10"/>
      <c r="AG3392" s="10"/>
      <c r="AH3392" s="10"/>
    </row>
    <row r="3393" spans="1:34" outlineLevel="2">
      <c r="A3393" s="21"/>
      <c r="B3393" s="12" t="str">
        <f>IFERROR(VLOOKUP(D3393,'[1]Перечень товаров'!$A$2:$I9525,2,0),"")</f>
        <v>т12</v>
      </c>
      <c r="C3393" s="12" t="str">
        <f>IFERROR(VLOOKUP(D3393,'[1]Перечень товаров'!$A$2:$I9525,3,0),"")</f>
        <v>Техника</v>
      </c>
      <c r="D3393" s="22" t="s">
        <v>49</v>
      </c>
      <c r="E3393" s="88"/>
      <c r="F3393" s="88"/>
      <c r="G3393" s="48">
        <v>1</v>
      </c>
      <c r="H3393" s="48"/>
      <c r="I3393" s="49"/>
      <c r="J3393" s="49"/>
      <c r="K3393" s="19"/>
      <c r="L3393" s="20"/>
      <c r="M3393" s="10"/>
      <c r="N3393" s="10"/>
      <c r="O3393" s="10"/>
      <c r="P3393" s="10"/>
      <c r="Q3393" s="10"/>
      <c r="R3393" s="10"/>
      <c r="S3393" s="10"/>
      <c r="T3393" s="10"/>
      <c r="U3393" s="10"/>
      <c r="V3393" s="10"/>
      <c r="W3393" s="10"/>
      <c r="X3393" s="10"/>
      <c r="Y3393" s="10"/>
      <c r="Z3393" s="10"/>
      <c r="AA3393" s="10"/>
      <c r="AB3393" s="10"/>
      <c r="AC3393" s="10"/>
      <c r="AD3393" s="10"/>
      <c r="AE3393" s="10"/>
      <c r="AF3393" s="10"/>
      <c r="AG3393" s="10"/>
      <c r="AH3393" s="10"/>
    </row>
    <row r="3394" spans="1:34" outlineLevel="2">
      <c r="A3394" s="35"/>
      <c r="B3394" s="12" t="str">
        <f>IFERROR(VLOOKUP(D3394,'[1]Перечень товаров'!$A$2:$I9525,2,0),"")</f>
        <v>т6</v>
      </c>
      <c r="C3394" s="12" t="str">
        <f>IFERROR(VLOOKUP(D3394,'[1]Перечень товаров'!$A$2:$I9525,3,0),"")</f>
        <v xml:space="preserve">Техника </v>
      </c>
      <c r="D3394" s="35" t="s">
        <v>33</v>
      </c>
      <c r="E3394" s="88"/>
      <c r="F3394" s="88"/>
      <c r="G3394" s="48">
        <v>1</v>
      </c>
      <c r="H3394" s="48"/>
      <c r="I3394" s="49"/>
      <c r="J3394" s="49"/>
      <c r="K3394" s="19"/>
      <c r="L3394" s="20"/>
      <c r="M3394" s="10"/>
      <c r="N3394" s="10"/>
      <c r="O3394" s="10"/>
      <c r="P3394" s="10"/>
      <c r="Q3394" s="10"/>
      <c r="R3394" s="10"/>
      <c r="S3394" s="10"/>
      <c r="T3394" s="10"/>
      <c r="U3394" s="10"/>
      <c r="V3394" s="10"/>
      <c r="W3394" s="10"/>
      <c r="X3394" s="10"/>
      <c r="Y3394" s="10"/>
      <c r="Z3394" s="10"/>
      <c r="AA3394" s="10"/>
      <c r="AB3394" s="10"/>
      <c r="AC3394" s="10"/>
      <c r="AD3394" s="10"/>
      <c r="AE3394" s="10"/>
      <c r="AF3394" s="10"/>
      <c r="AG3394" s="10"/>
      <c r="AH3394" s="10"/>
    </row>
    <row r="3395" spans="1:34" outlineLevel="2">
      <c r="A3395" s="22"/>
      <c r="B3395" s="12" t="str">
        <f>IFERROR(VLOOKUP(D3395,'[1]Перечень товаров'!$A$2:$I9525,2,0),"")</f>
        <v>т7</v>
      </c>
      <c r="C3395" s="12" t="str">
        <f>IFERROR(VLOOKUP(D3395,'[1]Перечень товаров'!$A$2:$I9525,3,0),"")</f>
        <v xml:space="preserve">Техника </v>
      </c>
      <c r="D3395" s="22" t="s">
        <v>34</v>
      </c>
      <c r="E3395" s="88"/>
      <c r="F3395" s="88"/>
      <c r="G3395" s="48">
        <v>3</v>
      </c>
      <c r="H3395" s="48"/>
      <c r="I3395" s="49"/>
      <c r="J3395" s="49"/>
      <c r="K3395" s="19"/>
      <c r="L3395" s="20"/>
      <c r="M3395" s="10"/>
      <c r="N3395" s="10"/>
      <c r="O3395" s="10"/>
      <c r="P3395" s="10"/>
      <c r="Q3395" s="10"/>
      <c r="R3395" s="10"/>
      <c r="S3395" s="10"/>
      <c r="T3395" s="10"/>
      <c r="U3395" s="10"/>
      <c r="V3395" s="10"/>
      <c r="W3395" s="10"/>
      <c r="X3395" s="10"/>
      <c r="Y3395" s="10"/>
      <c r="Z3395" s="10"/>
      <c r="AA3395" s="10"/>
      <c r="AB3395" s="10"/>
      <c r="AC3395" s="10"/>
      <c r="AD3395" s="10"/>
      <c r="AE3395" s="10"/>
      <c r="AF3395" s="10"/>
      <c r="AG3395" s="10"/>
      <c r="AH3395" s="10"/>
    </row>
    <row r="3396" spans="1:34" outlineLevel="2">
      <c r="A3396" s="35"/>
      <c r="B3396" s="12" t="str">
        <f>IFERROR(VLOOKUP(D3396,'[1]Перечень товаров'!$A$2:$I9525,2,0),"")</f>
        <v>т161</v>
      </c>
      <c r="C3396" s="12" t="str">
        <f>IFERROR(VLOOKUP(D3396,'[1]Перечень товаров'!$A$2:$I9525,3,0),"")</f>
        <v xml:space="preserve">Техника </v>
      </c>
      <c r="D3396" s="29" t="s">
        <v>381</v>
      </c>
      <c r="E3396" s="88"/>
      <c r="F3396" s="88"/>
      <c r="G3396" s="159">
        <v>1</v>
      </c>
      <c r="H3396" s="159"/>
      <c r="I3396" s="160"/>
      <c r="J3396" s="160"/>
      <c r="K3396" s="19"/>
      <c r="L3396" s="20"/>
      <c r="M3396" s="10"/>
      <c r="N3396" s="10"/>
      <c r="O3396" s="10"/>
      <c r="P3396" s="10"/>
      <c r="Q3396" s="10"/>
      <c r="R3396" s="10"/>
      <c r="S3396" s="10"/>
      <c r="T3396" s="10"/>
      <c r="U3396" s="10"/>
      <c r="V3396" s="10"/>
      <c r="W3396" s="10"/>
      <c r="X3396" s="10"/>
      <c r="Y3396" s="10"/>
      <c r="Z3396" s="10"/>
      <c r="AA3396" s="10"/>
      <c r="AB3396" s="10"/>
      <c r="AC3396" s="10"/>
      <c r="AD3396" s="10"/>
      <c r="AE3396" s="10"/>
      <c r="AF3396" s="10"/>
      <c r="AG3396" s="10"/>
      <c r="AH3396" s="10"/>
    </row>
    <row r="3397" spans="1:34" outlineLevel="2">
      <c r="A3397" s="114"/>
      <c r="B3397" s="12" t="str">
        <f>IFERROR(VLOOKUP(D3397,'[1]Перечень товаров'!$A$2:$I9525,2,0),"")</f>
        <v/>
      </c>
      <c r="C3397" s="12" t="str">
        <f>IFERROR(VLOOKUP(D3397,'[1]Перечень товаров'!$A$2:$I9525,3,0),"")</f>
        <v/>
      </c>
      <c r="D3397" s="114" t="s">
        <v>19</v>
      </c>
      <c r="E3397" s="115"/>
      <c r="F3397" s="115"/>
      <c r="G3397" s="157"/>
      <c r="H3397" s="157"/>
      <c r="I3397" s="158"/>
      <c r="J3397" s="158"/>
      <c r="K3397" s="19"/>
      <c r="L3397" s="20"/>
      <c r="M3397" s="10"/>
      <c r="N3397" s="10"/>
      <c r="O3397" s="10"/>
      <c r="P3397" s="10"/>
      <c r="Q3397" s="10"/>
      <c r="R3397" s="10"/>
      <c r="S3397" s="10"/>
      <c r="T3397" s="10"/>
      <c r="U3397" s="10"/>
      <c r="V3397" s="10"/>
      <c r="W3397" s="10"/>
      <c r="X3397" s="10"/>
      <c r="Y3397" s="10"/>
      <c r="Z3397" s="10"/>
      <c r="AA3397" s="10"/>
      <c r="AB3397" s="10"/>
      <c r="AC3397" s="10"/>
      <c r="AD3397" s="10"/>
      <c r="AE3397" s="10"/>
      <c r="AF3397" s="10"/>
      <c r="AG3397" s="10"/>
      <c r="AH3397" s="10"/>
    </row>
    <row r="3398" spans="1:34" outlineLevel="2">
      <c r="A3398" s="34"/>
      <c r="B3398" s="12" t="str">
        <f>IFERROR(VLOOKUP(D3398,'[1]Перечень товаров'!$A$2:$I9525,2,0),"")</f>
        <v>м62</v>
      </c>
      <c r="C3398" s="12" t="str">
        <f>IFERROR(VLOOKUP(D3398,'[1]Перечень товаров'!$A$2:$I9525,3,0),"")</f>
        <v>Мебель</v>
      </c>
      <c r="D3398" s="35" t="s">
        <v>398</v>
      </c>
      <c r="E3398" s="88"/>
      <c r="F3398" s="88"/>
      <c r="G3398" s="59">
        <v>1</v>
      </c>
      <c r="H3398" s="59"/>
      <c r="I3398" s="60"/>
      <c r="J3398" s="60"/>
      <c r="K3398" s="19"/>
      <c r="L3398" s="20"/>
      <c r="M3398" s="10"/>
      <c r="N3398" s="10"/>
      <c r="O3398" s="10"/>
      <c r="P3398" s="10"/>
      <c r="Q3398" s="10"/>
      <c r="R3398" s="10"/>
      <c r="S3398" s="10"/>
      <c r="T3398" s="10"/>
      <c r="U3398" s="10"/>
      <c r="V3398" s="10"/>
      <c r="W3398" s="10"/>
      <c r="X3398" s="10"/>
      <c r="Y3398" s="10"/>
      <c r="Z3398" s="10"/>
      <c r="AA3398" s="10"/>
      <c r="AB3398" s="10"/>
      <c r="AC3398" s="10"/>
      <c r="AD3398" s="10"/>
      <c r="AE3398" s="10"/>
      <c r="AF3398" s="10"/>
      <c r="AG3398" s="10"/>
      <c r="AH3398" s="10"/>
    </row>
    <row r="3399" spans="1:34" outlineLevel="2">
      <c r="A3399" s="34"/>
      <c r="B3399" s="12" t="str">
        <f>IFERROR(VLOOKUP(D3399,'[1]Перечень товаров'!$A$2:$I9525,2,0),"")</f>
        <v>м61</v>
      </c>
      <c r="C3399" s="12" t="str">
        <f>IFERROR(VLOOKUP(D3399,'[1]Перечень товаров'!$A$2:$I9525,3,0),"")</f>
        <v>Мебель</v>
      </c>
      <c r="D3399" s="35" t="s">
        <v>383</v>
      </c>
      <c r="E3399" s="88"/>
      <c r="F3399" s="88"/>
      <c r="G3399" s="59">
        <v>1</v>
      </c>
      <c r="H3399" s="59"/>
      <c r="I3399" s="60"/>
      <c r="J3399" s="60"/>
      <c r="K3399" s="19"/>
      <c r="L3399" s="20"/>
      <c r="M3399" s="10"/>
      <c r="N3399" s="10"/>
      <c r="O3399" s="10"/>
      <c r="P3399" s="10"/>
      <c r="Q3399" s="10"/>
      <c r="R3399" s="10"/>
      <c r="S3399" s="10"/>
      <c r="T3399" s="10"/>
      <c r="U3399" s="10"/>
      <c r="V3399" s="10"/>
      <c r="W3399" s="10"/>
      <c r="X3399" s="10"/>
      <c r="Y3399" s="10"/>
      <c r="Z3399" s="10"/>
      <c r="AA3399" s="10"/>
      <c r="AB3399" s="10"/>
      <c r="AC3399" s="10"/>
      <c r="AD3399" s="10"/>
      <c r="AE3399" s="10"/>
      <c r="AF3399" s="10"/>
      <c r="AG3399" s="10"/>
      <c r="AH3399" s="10"/>
    </row>
    <row r="3400" spans="1:34" outlineLevel="2">
      <c r="A3400" s="213"/>
      <c r="B3400" s="12" t="str">
        <f>IFERROR(VLOOKUP(D3400,'[1]Перечень товаров'!$A$2:$I9525,2,0),"")</f>
        <v>м176</v>
      </c>
      <c r="C3400" s="12" t="str">
        <f>IFERROR(VLOOKUP(D3400,'[1]Перечень товаров'!$A$2:$I9525,3,0),"")</f>
        <v>мебель</v>
      </c>
      <c r="D3400" s="214" t="s">
        <v>998</v>
      </c>
      <c r="E3400" s="88"/>
      <c r="F3400" s="88"/>
      <c r="G3400" s="159">
        <v>4</v>
      </c>
      <c r="H3400" s="159"/>
      <c r="I3400" s="160"/>
      <c r="J3400" s="160"/>
      <c r="K3400" s="19"/>
      <c r="L3400" s="20"/>
      <c r="M3400" s="10"/>
      <c r="N3400" s="10"/>
      <c r="O3400" s="10"/>
      <c r="P3400" s="10"/>
      <c r="Q3400" s="10"/>
      <c r="R3400" s="10"/>
      <c r="S3400" s="10"/>
      <c r="T3400" s="10"/>
      <c r="U3400" s="10"/>
      <c r="V3400" s="10"/>
      <c r="W3400" s="10"/>
      <c r="X3400" s="10"/>
      <c r="Y3400" s="10"/>
      <c r="Z3400" s="10"/>
      <c r="AA3400" s="10"/>
      <c r="AB3400" s="10"/>
      <c r="AC3400" s="10"/>
      <c r="AD3400" s="10"/>
      <c r="AE3400" s="10"/>
      <c r="AF3400" s="10"/>
      <c r="AG3400" s="10"/>
      <c r="AH3400" s="10"/>
    </row>
    <row r="3401" spans="1:34" outlineLevel="2">
      <c r="A3401" s="34"/>
      <c r="B3401" s="12" t="str">
        <f>IFERROR(VLOOKUP(D3401,'[1]Перечень товаров'!$A$2:$I9525,2,0),"")</f>
        <v>м61</v>
      </c>
      <c r="C3401" s="12" t="str">
        <f>IFERROR(VLOOKUP(D3401,'[1]Перечень товаров'!$A$2:$I9525,3,0),"")</f>
        <v>Мебель</v>
      </c>
      <c r="D3401" s="35" t="s">
        <v>384</v>
      </c>
      <c r="E3401" s="88"/>
      <c r="F3401" s="88"/>
      <c r="G3401" s="159">
        <v>4</v>
      </c>
      <c r="H3401" s="159"/>
      <c r="I3401" s="160"/>
      <c r="J3401" s="160"/>
      <c r="K3401" s="19"/>
      <c r="L3401" s="20"/>
      <c r="M3401" s="10"/>
      <c r="N3401" s="10"/>
      <c r="O3401" s="10"/>
      <c r="P3401" s="10"/>
      <c r="Q3401" s="10"/>
      <c r="R3401" s="10"/>
      <c r="S3401" s="10"/>
      <c r="T3401" s="10"/>
      <c r="U3401" s="10"/>
      <c r="V3401" s="10"/>
      <c r="W3401" s="10"/>
      <c r="X3401" s="10"/>
      <c r="Y3401" s="10"/>
      <c r="Z3401" s="10"/>
      <c r="AA3401" s="10"/>
      <c r="AB3401" s="10"/>
      <c r="AC3401" s="10"/>
      <c r="AD3401" s="10"/>
      <c r="AE3401" s="10"/>
      <c r="AF3401" s="10"/>
      <c r="AG3401" s="10"/>
      <c r="AH3401" s="10"/>
    </row>
    <row r="3402" spans="1:34" outlineLevel="2">
      <c r="A3402" s="22"/>
      <c r="B3402" s="12" t="str">
        <f>IFERROR(VLOOKUP(D3402,'[1]Перечень товаров'!$A$2:$I9525,2,0),"")</f>
        <v>м13</v>
      </c>
      <c r="C3402" s="12" t="str">
        <f>IFERROR(VLOOKUP(D3402,'[1]Перечень товаров'!$A$2:$I9525,3,0),"")</f>
        <v>Мебель</v>
      </c>
      <c r="D3402" s="22" t="s">
        <v>42</v>
      </c>
      <c r="E3402" s="88"/>
      <c r="F3402" s="88"/>
      <c r="G3402" s="48">
        <v>1</v>
      </c>
      <c r="H3402" s="48"/>
      <c r="I3402" s="49"/>
      <c r="J3402" s="49"/>
      <c r="K3402" s="19"/>
      <c r="L3402" s="20"/>
      <c r="M3402" s="10"/>
      <c r="N3402" s="10"/>
      <c r="O3402" s="10"/>
      <c r="P3402" s="10"/>
      <c r="Q3402" s="10"/>
      <c r="R3402" s="10"/>
      <c r="S3402" s="10"/>
      <c r="T3402" s="10"/>
      <c r="U3402" s="10"/>
      <c r="V3402" s="10"/>
      <c r="W3402" s="10"/>
      <c r="X3402" s="10"/>
      <c r="Y3402" s="10"/>
      <c r="Z3402" s="10"/>
      <c r="AA3402" s="10"/>
      <c r="AB3402" s="10"/>
      <c r="AC3402" s="10"/>
      <c r="AD3402" s="10"/>
      <c r="AE3402" s="10"/>
      <c r="AF3402" s="10"/>
      <c r="AG3402" s="10"/>
      <c r="AH3402" s="10"/>
    </row>
    <row r="3403" spans="1:34" outlineLevel="2">
      <c r="A3403" s="21"/>
      <c r="B3403" s="12" t="str">
        <f>IFERROR(VLOOKUP(D3403,'[1]Перечень товаров'!$A$2:$I9525,2,0),"")</f>
        <v>м14</v>
      </c>
      <c r="C3403" s="12" t="str">
        <f>IFERROR(VLOOKUP(D3403,'[1]Перечень товаров'!$A$2:$I9525,3,0),"")</f>
        <v>Мебель</v>
      </c>
      <c r="D3403" s="22" t="s">
        <v>43</v>
      </c>
      <c r="E3403" s="88"/>
      <c r="F3403" s="88"/>
      <c r="G3403" s="48">
        <v>1</v>
      </c>
      <c r="H3403" s="48"/>
      <c r="I3403" s="49"/>
      <c r="J3403" s="49"/>
      <c r="K3403" s="19"/>
      <c r="L3403" s="20"/>
      <c r="M3403" s="10"/>
      <c r="N3403" s="10"/>
      <c r="O3403" s="10"/>
      <c r="P3403" s="10"/>
      <c r="Q3403" s="10"/>
      <c r="R3403" s="10"/>
      <c r="S3403" s="10"/>
      <c r="T3403" s="10"/>
      <c r="U3403" s="10"/>
      <c r="V3403" s="10"/>
      <c r="W3403" s="10"/>
      <c r="X3403" s="10"/>
      <c r="Y3403" s="10"/>
      <c r="Z3403" s="10"/>
      <c r="AA3403" s="10"/>
      <c r="AB3403" s="10"/>
      <c r="AC3403" s="10"/>
      <c r="AD3403" s="10"/>
      <c r="AE3403" s="10"/>
      <c r="AF3403" s="10"/>
      <c r="AG3403" s="10"/>
      <c r="AH3403" s="10"/>
    </row>
    <row r="3404" spans="1:34" outlineLevel="2">
      <c r="A3404" s="21"/>
      <c r="B3404" s="12" t="str">
        <f>IFERROR(VLOOKUP(D3404,'[1]Перечень товаров'!$A$2:$I9525,2,0),"")</f>
        <v>п2</v>
      </c>
      <c r="C3404" s="12" t="str">
        <f>IFERROR(VLOOKUP(D3404,'[1]Перечень товаров'!$A$2:$I9525,3,0),"")</f>
        <v>Прочее</v>
      </c>
      <c r="D3404" s="22" t="s">
        <v>46</v>
      </c>
      <c r="E3404" s="88"/>
      <c r="F3404" s="88"/>
      <c r="G3404" s="24">
        <v>1</v>
      </c>
      <c r="H3404" s="24"/>
      <c r="I3404" s="25"/>
      <c r="J3404" s="25"/>
      <c r="K3404" s="19"/>
      <c r="L3404" s="20"/>
      <c r="M3404" s="10"/>
      <c r="N3404" s="10"/>
      <c r="O3404" s="10"/>
      <c r="P3404" s="10"/>
      <c r="Q3404" s="10"/>
      <c r="R3404" s="10"/>
      <c r="S3404" s="10"/>
      <c r="T3404" s="10"/>
      <c r="U3404" s="10"/>
      <c r="V3404" s="10"/>
      <c r="W3404" s="10"/>
      <c r="X3404" s="10"/>
      <c r="Y3404" s="10"/>
      <c r="Z3404" s="10"/>
      <c r="AA3404" s="10"/>
      <c r="AB3404" s="10"/>
      <c r="AC3404" s="10"/>
      <c r="AD3404" s="10"/>
      <c r="AE3404" s="10"/>
      <c r="AF3404" s="10"/>
      <c r="AG3404" s="10"/>
      <c r="AH3404" s="10"/>
    </row>
    <row r="3405" spans="1:34" ht="12.75" outlineLevel="1">
      <c r="A3405" s="11"/>
      <c r="B3405" s="12" t="str">
        <f>IFERROR(VLOOKUP(D3405,'[1]Перечень товаров'!$A$2:$I9525,2,0),"")</f>
        <v/>
      </c>
      <c r="C3405" s="12" t="str">
        <f>IFERROR(VLOOKUP(D3405,'[1]Перечень товаров'!$A$2:$I9525,3,0),"")</f>
        <v/>
      </c>
      <c r="D3405" s="27" t="s">
        <v>997</v>
      </c>
      <c r="E3405" s="14">
        <v>22.4</v>
      </c>
      <c r="F3405" s="14"/>
      <c r="G3405" s="17"/>
      <c r="H3405" s="17"/>
      <c r="I3405" s="57"/>
      <c r="J3405" s="57"/>
      <c r="K3405" s="19"/>
      <c r="L3405" s="20"/>
      <c r="M3405" s="10"/>
      <c r="N3405" s="10"/>
      <c r="O3405" s="10"/>
      <c r="P3405" s="10"/>
      <c r="Q3405" s="10"/>
      <c r="R3405" s="10"/>
      <c r="S3405" s="10"/>
      <c r="T3405" s="10"/>
      <c r="U3405" s="10"/>
      <c r="V3405" s="10"/>
      <c r="W3405" s="10"/>
      <c r="X3405" s="10"/>
      <c r="Y3405" s="10"/>
      <c r="Z3405" s="10"/>
      <c r="AA3405" s="10"/>
      <c r="AB3405" s="10"/>
      <c r="AC3405" s="10"/>
      <c r="AD3405" s="10"/>
      <c r="AE3405" s="10"/>
      <c r="AF3405" s="10"/>
      <c r="AG3405" s="10"/>
      <c r="AH3405" s="10"/>
    </row>
    <row r="3406" spans="1:34" outlineLevel="2">
      <c r="A3406" s="113"/>
      <c r="B3406" s="12" t="str">
        <f>IFERROR(VLOOKUP(D3406,'[1]Перечень товаров'!$A$2:$I9525,2,0),"")</f>
        <v/>
      </c>
      <c r="C3406" s="12" t="str">
        <f>IFERROR(VLOOKUP(D3406,'[1]Перечень товаров'!$A$2:$I9525,3,0),"")</f>
        <v/>
      </c>
      <c r="D3406" s="114" t="s">
        <v>391</v>
      </c>
      <c r="E3406" s="122"/>
      <c r="F3406" s="122"/>
      <c r="G3406" s="123"/>
      <c r="H3406" s="123"/>
      <c r="I3406" s="124"/>
      <c r="J3406" s="124"/>
      <c r="K3406" s="19"/>
      <c r="L3406" s="20"/>
      <c r="M3406" s="10"/>
      <c r="N3406" s="10"/>
      <c r="O3406" s="10"/>
      <c r="P3406" s="10"/>
      <c r="Q3406" s="10"/>
      <c r="R3406" s="10"/>
      <c r="S3406" s="10"/>
      <c r="T3406" s="10"/>
      <c r="U3406" s="10"/>
      <c r="V3406" s="10"/>
      <c r="W3406" s="10"/>
      <c r="X3406" s="10"/>
      <c r="Y3406" s="10"/>
      <c r="Z3406" s="10"/>
      <c r="AA3406" s="10"/>
      <c r="AB3406" s="10"/>
      <c r="AC3406" s="10"/>
      <c r="AD3406" s="10"/>
      <c r="AE3406" s="10"/>
      <c r="AF3406" s="10"/>
      <c r="AG3406" s="10"/>
      <c r="AH3406" s="10"/>
    </row>
    <row r="3407" spans="1:34" outlineLevel="2">
      <c r="A3407" s="28"/>
      <c r="B3407" s="12" t="str">
        <f>IFERROR(VLOOKUP(D3407,'[1]Перечень товаров'!$A$2:$I9525,2,0),"")</f>
        <v/>
      </c>
      <c r="C3407" s="12" t="str">
        <f>IFERROR(VLOOKUP(D3407,'[1]Перечень товаров'!$A$2:$I9525,3,0),"")</f>
        <v/>
      </c>
      <c r="D3407" s="29" t="s">
        <v>992</v>
      </c>
      <c r="E3407" s="30"/>
      <c r="F3407" s="30"/>
      <c r="G3407" s="31">
        <v>1</v>
      </c>
      <c r="H3407" s="31"/>
      <c r="I3407" s="32"/>
      <c r="J3407" s="32"/>
      <c r="K3407" s="19"/>
      <c r="L3407" s="20"/>
      <c r="M3407" s="10"/>
      <c r="N3407" s="10"/>
      <c r="O3407" s="10"/>
      <c r="P3407" s="10"/>
      <c r="Q3407" s="10"/>
      <c r="R3407" s="10"/>
      <c r="S3407" s="10"/>
      <c r="T3407" s="10"/>
      <c r="U3407" s="10"/>
      <c r="V3407" s="10"/>
      <c r="W3407" s="10"/>
      <c r="X3407" s="10"/>
      <c r="Y3407" s="10"/>
      <c r="Z3407" s="10"/>
      <c r="AA3407" s="10"/>
      <c r="AB3407" s="10"/>
      <c r="AC3407" s="10"/>
      <c r="AD3407" s="10"/>
      <c r="AE3407" s="10"/>
      <c r="AF3407" s="10"/>
      <c r="AG3407" s="10"/>
      <c r="AH3407" s="10"/>
    </row>
    <row r="3408" spans="1:34" ht="31.5" outlineLevel="2">
      <c r="A3408" s="28"/>
      <c r="B3408" s="12" t="str">
        <f>IFERROR(VLOOKUP(D3408,'[1]Перечень товаров'!$A$2:$I9525,2,0),"")</f>
        <v>д556</v>
      </c>
      <c r="C3408" s="12" t="str">
        <f>IFERROR(VLOOKUP(D3408,'[1]Перечень товаров'!$A$2:$I9525,3,0),"")</f>
        <v>дидактика</v>
      </c>
      <c r="D3408" s="29" t="s">
        <v>993</v>
      </c>
      <c r="E3408" s="30"/>
      <c r="F3408" s="30"/>
      <c r="G3408" s="31">
        <v>1</v>
      </c>
      <c r="H3408" s="31"/>
      <c r="I3408" s="32"/>
      <c r="J3408" s="32"/>
      <c r="K3408" s="19"/>
      <c r="L3408" s="20"/>
      <c r="M3408" s="10"/>
      <c r="N3408" s="10"/>
      <c r="O3408" s="10"/>
      <c r="P3408" s="10"/>
      <c r="Q3408" s="10"/>
      <c r="R3408" s="10"/>
      <c r="S3408" s="10"/>
      <c r="T3408" s="10"/>
      <c r="U3408" s="10"/>
      <c r="V3408" s="10"/>
      <c r="W3408" s="10"/>
      <c r="X3408" s="10"/>
      <c r="Y3408" s="10"/>
      <c r="Z3408" s="10"/>
      <c r="AA3408" s="10"/>
      <c r="AB3408" s="10"/>
      <c r="AC3408" s="10"/>
      <c r="AD3408" s="10"/>
      <c r="AE3408" s="10"/>
      <c r="AF3408" s="10"/>
      <c r="AG3408" s="10"/>
      <c r="AH3408" s="10"/>
    </row>
    <row r="3409" spans="1:34" ht="31.5" outlineLevel="2">
      <c r="A3409" s="28"/>
      <c r="B3409" s="12" t="str">
        <f>IFERROR(VLOOKUP(D3409,'[1]Перечень товаров'!$A$2:$I9525,2,0),"")</f>
        <v>пм212</v>
      </c>
      <c r="C3409" s="12" t="str">
        <f>IFERROR(VLOOKUP(D3409,'[1]Перечень товаров'!$A$2:$I9525,3,0),"")</f>
        <v>прочее муз</v>
      </c>
      <c r="D3409" s="29" t="s">
        <v>994</v>
      </c>
      <c r="E3409" s="30"/>
      <c r="F3409" s="30"/>
      <c r="G3409" s="31">
        <v>1</v>
      </c>
      <c r="H3409" s="31"/>
      <c r="I3409" s="32"/>
      <c r="J3409" s="32"/>
      <c r="K3409" s="19"/>
      <c r="L3409" s="20"/>
      <c r="M3409" s="10"/>
      <c r="N3409" s="10"/>
      <c r="O3409" s="10"/>
      <c r="P3409" s="10"/>
      <c r="Q3409" s="10"/>
      <c r="R3409" s="10"/>
      <c r="S3409" s="10"/>
      <c r="T3409" s="10"/>
      <c r="U3409" s="10"/>
      <c r="V3409" s="10"/>
      <c r="W3409" s="10"/>
      <c r="X3409" s="10"/>
      <c r="Y3409" s="10"/>
      <c r="Z3409" s="10"/>
      <c r="AA3409" s="10"/>
      <c r="AB3409" s="10"/>
      <c r="AC3409" s="10"/>
      <c r="AD3409" s="10"/>
      <c r="AE3409" s="10"/>
      <c r="AF3409" s="10"/>
      <c r="AG3409" s="10"/>
      <c r="AH3409" s="10"/>
    </row>
    <row r="3410" spans="1:34" outlineLevel="2">
      <c r="A3410" s="28"/>
      <c r="B3410" s="12" t="str">
        <f>IFERROR(VLOOKUP(D3410,'[1]Перечень товаров'!$A$2:$I9525,2,0),"")</f>
        <v>пм211</v>
      </c>
      <c r="C3410" s="12" t="str">
        <f>IFERROR(VLOOKUP(D3410,'[1]Перечень товаров'!$A$2:$I9525,3,0),"")</f>
        <v>прочее муз</v>
      </c>
      <c r="D3410" s="29" t="s">
        <v>995</v>
      </c>
      <c r="E3410" s="30"/>
      <c r="F3410" s="30"/>
      <c r="G3410" s="31">
        <v>2</v>
      </c>
      <c r="H3410" s="31"/>
      <c r="I3410" s="32"/>
      <c r="J3410" s="32"/>
      <c r="K3410" s="19"/>
      <c r="L3410" s="20"/>
      <c r="M3410" s="10"/>
      <c r="N3410" s="10"/>
      <c r="O3410" s="10"/>
      <c r="P3410" s="10"/>
      <c r="Q3410" s="10"/>
      <c r="R3410" s="10"/>
      <c r="S3410" s="10"/>
      <c r="T3410" s="10"/>
      <c r="U3410" s="10"/>
      <c r="V3410" s="10"/>
      <c r="W3410" s="10"/>
      <c r="X3410" s="10"/>
      <c r="Y3410" s="10"/>
      <c r="Z3410" s="10"/>
      <c r="AA3410" s="10"/>
      <c r="AB3410" s="10"/>
      <c r="AC3410" s="10"/>
      <c r="AD3410" s="10"/>
      <c r="AE3410" s="10"/>
      <c r="AF3410" s="10"/>
      <c r="AG3410" s="10"/>
      <c r="AH3410" s="10"/>
    </row>
    <row r="3411" spans="1:34" ht="31.5" outlineLevel="2">
      <c r="A3411" s="28"/>
      <c r="B3411" s="12" t="str">
        <f>IFERROR(VLOOKUP(D3411,'[1]Перечень товаров'!$A$2:$I9525,2,0),"")</f>
        <v>пм210</v>
      </c>
      <c r="C3411" s="12" t="str">
        <f>IFERROR(VLOOKUP(D3411,'[1]Перечень товаров'!$A$2:$I9525,3,0),"")</f>
        <v>прочее муз</v>
      </c>
      <c r="D3411" s="29" t="s">
        <v>996</v>
      </c>
      <c r="E3411" s="30"/>
      <c r="F3411" s="30"/>
      <c r="G3411" s="31">
        <v>1</v>
      </c>
      <c r="H3411" s="31"/>
      <c r="I3411" s="32"/>
      <c r="J3411" s="32"/>
      <c r="K3411" s="19"/>
      <c r="L3411" s="20"/>
      <c r="M3411" s="10"/>
      <c r="N3411" s="10"/>
      <c r="O3411" s="10"/>
      <c r="P3411" s="10"/>
      <c r="Q3411" s="10"/>
      <c r="R3411" s="10"/>
      <c r="S3411" s="10"/>
      <c r="T3411" s="10"/>
      <c r="U3411" s="10"/>
      <c r="V3411" s="10"/>
      <c r="W3411" s="10"/>
      <c r="X3411" s="10"/>
      <c r="Y3411" s="10"/>
      <c r="Z3411" s="10"/>
      <c r="AA3411" s="10"/>
      <c r="AB3411" s="10"/>
      <c r="AC3411" s="10"/>
      <c r="AD3411" s="10"/>
      <c r="AE3411" s="10"/>
      <c r="AF3411" s="10"/>
      <c r="AG3411" s="10"/>
      <c r="AH3411" s="10"/>
    </row>
    <row r="3412" spans="1:34" ht="15" outlineLevel="2">
      <c r="A3412" s="109"/>
      <c r="B3412" s="12" t="str">
        <f>IFERROR(VLOOKUP(D3412,'[1]Перечень товаров'!$A$2:$I9525,2,0),"")</f>
        <v/>
      </c>
      <c r="C3412" s="12" t="str">
        <f>IFERROR(VLOOKUP(D3412,'[1]Перечень товаров'!$A$2:$I9525,3,0),"")</f>
        <v/>
      </c>
      <c r="D3412" s="110" t="s">
        <v>27</v>
      </c>
      <c r="E3412" s="115"/>
      <c r="F3412" s="115"/>
      <c r="G3412" s="211"/>
      <c r="H3412" s="211"/>
      <c r="I3412" s="212"/>
      <c r="J3412" s="212"/>
      <c r="K3412" s="19"/>
      <c r="L3412" s="20"/>
      <c r="M3412" s="10"/>
      <c r="N3412" s="10"/>
      <c r="O3412" s="10"/>
      <c r="P3412" s="10"/>
      <c r="Q3412" s="10"/>
      <c r="R3412" s="10"/>
      <c r="S3412" s="10"/>
      <c r="T3412" s="10"/>
      <c r="U3412" s="10"/>
      <c r="V3412" s="10"/>
      <c r="W3412" s="10"/>
      <c r="X3412" s="10"/>
      <c r="Y3412" s="10"/>
      <c r="Z3412" s="10"/>
      <c r="AA3412" s="10"/>
      <c r="AB3412" s="10"/>
      <c r="AC3412" s="10"/>
      <c r="AD3412" s="10"/>
      <c r="AE3412" s="10"/>
      <c r="AF3412" s="10"/>
      <c r="AG3412" s="10"/>
      <c r="AH3412" s="10"/>
    </row>
    <row r="3413" spans="1:34" outlineLevel="2">
      <c r="A3413" s="21"/>
      <c r="B3413" s="12" t="str">
        <f>IFERROR(VLOOKUP(D3413,'[1]Перечень товаров'!$A$2:$I9525,2,0),"")</f>
        <v>т1</v>
      </c>
      <c r="C3413" s="12" t="str">
        <f>IFERROR(VLOOKUP(D3413,'[1]Перечень товаров'!$A$2:$I9525,3,0),"")</f>
        <v xml:space="preserve">Техника </v>
      </c>
      <c r="D3413" s="22" t="s">
        <v>28</v>
      </c>
      <c r="E3413" s="88"/>
      <c r="F3413" s="88"/>
      <c r="G3413" s="48">
        <v>1</v>
      </c>
      <c r="H3413" s="48"/>
      <c r="I3413" s="49"/>
      <c r="J3413" s="49"/>
      <c r="K3413" s="19"/>
      <c r="L3413" s="20"/>
      <c r="M3413" s="10"/>
      <c r="N3413" s="10"/>
      <c r="O3413" s="10"/>
      <c r="P3413" s="10"/>
      <c r="Q3413" s="10"/>
      <c r="R3413" s="10"/>
      <c r="S3413" s="10"/>
      <c r="T3413" s="10"/>
      <c r="U3413" s="10"/>
      <c r="V3413" s="10"/>
      <c r="W3413" s="10"/>
      <c r="X3413" s="10"/>
      <c r="Y3413" s="10"/>
      <c r="Z3413" s="10"/>
      <c r="AA3413" s="10"/>
      <c r="AB3413" s="10"/>
      <c r="AC3413" s="10"/>
      <c r="AD3413" s="10"/>
      <c r="AE3413" s="10"/>
      <c r="AF3413" s="10"/>
      <c r="AG3413" s="10"/>
      <c r="AH3413" s="10"/>
    </row>
    <row r="3414" spans="1:34" outlineLevel="2">
      <c r="A3414" s="22"/>
      <c r="B3414" s="12" t="str">
        <f>IFERROR(VLOOKUP(D3414,'[1]Перечень товаров'!$A$2:$I9525,2,0),"")</f>
        <v>т9</v>
      </c>
      <c r="C3414" s="12" t="str">
        <f>IFERROR(VLOOKUP(D3414,'[1]Перечень товаров'!$A$2:$I9525,3,0),"")</f>
        <v>Техника</v>
      </c>
      <c r="D3414" s="22" t="s">
        <v>36</v>
      </c>
      <c r="E3414" s="88"/>
      <c r="F3414" s="88"/>
      <c r="G3414" s="48">
        <v>1</v>
      </c>
      <c r="H3414" s="48"/>
      <c r="I3414" s="49"/>
      <c r="J3414" s="49"/>
      <c r="K3414" s="19"/>
      <c r="L3414" s="20"/>
      <c r="M3414" s="10"/>
      <c r="N3414" s="10"/>
      <c r="O3414" s="10"/>
      <c r="P3414" s="10"/>
      <c r="Q3414" s="10"/>
      <c r="R3414" s="10"/>
      <c r="S3414" s="10"/>
      <c r="T3414" s="10"/>
      <c r="U3414" s="10"/>
      <c r="V3414" s="10"/>
      <c r="W3414" s="10"/>
      <c r="X3414" s="10"/>
      <c r="Y3414" s="10"/>
      <c r="Z3414" s="10"/>
      <c r="AA3414" s="10"/>
      <c r="AB3414" s="10"/>
      <c r="AC3414" s="10"/>
      <c r="AD3414" s="10"/>
      <c r="AE3414" s="10"/>
      <c r="AF3414" s="10"/>
      <c r="AG3414" s="10"/>
      <c r="AH3414" s="10"/>
    </row>
    <row r="3415" spans="1:34" outlineLevel="2">
      <c r="A3415" s="35"/>
      <c r="B3415" s="12" t="str">
        <f>IFERROR(VLOOKUP(D3415,'[1]Перечень товаров'!$A$2:$I9525,2,0),"")</f>
        <v>т2</v>
      </c>
      <c r="C3415" s="12" t="str">
        <f>IFERROR(VLOOKUP(D3415,'[1]Перечень товаров'!$A$2:$I9525,3,0),"")</f>
        <v xml:space="preserve">Техника </v>
      </c>
      <c r="D3415" s="35" t="s">
        <v>29</v>
      </c>
      <c r="E3415" s="88"/>
      <c r="F3415" s="88"/>
      <c r="G3415" s="48">
        <v>1</v>
      </c>
      <c r="H3415" s="48"/>
      <c r="I3415" s="49"/>
      <c r="J3415" s="49"/>
      <c r="K3415" s="19"/>
      <c r="L3415" s="20"/>
      <c r="M3415" s="10"/>
      <c r="N3415" s="10"/>
      <c r="O3415" s="10"/>
      <c r="P3415" s="10"/>
      <c r="Q3415" s="10"/>
      <c r="R3415" s="10"/>
      <c r="S3415" s="10"/>
      <c r="T3415" s="10"/>
      <c r="U3415" s="10"/>
      <c r="V3415" s="10"/>
      <c r="W3415" s="10"/>
      <c r="X3415" s="10"/>
      <c r="Y3415" s="10"/>
      <c r="Z3415" s="10"/>
      <c r="AA3415" s="10"/>
      <c r="AB3415" s="10"/>
      <c r="AC3415" s="10"/>
      <c r="AD3415" s="10"/>
      <c r="AE3415" s="10"/>
      <c r="AF3415" s="10"/>
      <c r="AG3415" s="10"/>
      <c r="AH3415" s="10"/>
    </row>
    <row r="3416" spans="1:34" outlineLevel="2">
      <c r="A3416" s="35"/>
      <c r="B3416" s="12" t="str">
        <f>IFERROR(VLOOKUP(D3416,'[1]Перечень товаров'!$A$2:$I9525,2,0),"")</f>
        <v>т3</v>
      </c>
      <c r="C3416" s="12" t="str">
        <f>IFERROR(VLOOKUP(D3416,'[1]Перечень товаров'!$A$2:$I9525,3,0),"")</f>
        <v xml:space="preserve">Техника </v>
      </c>
      <c r="D3416" s="35" t="s">
        <v>30</v>
      </c>
      <c r="E3416" s="88"/>
      <c r="F3416" s="88"/>
      <c r="G3416" s="48">
        <v>1</v>
      </c>
      <c r="H3416" s="48"/>
      <c r="I3416" s="49"/>
      <c r="J3416" s="49"/>
      <c r="K3416" s="19"/>
      <c r="L3416" s="20"/>
      <c r="M3416" s="10"/>
      <c r="N3416" s="10"/>
      <c r="O3416" s="10"/>
      <c r="P3416" s="10"/>
      <c r="Q3416" s="10"/>
      <c r="R3416" s="10"/>
      <c r="S3416" s="10"/>
      <c r="T3416" s="10"/>
      <c r="U3416" s="10"/>
      <c r="V3416" s="10"/>
      <c r="W3416" s="10"/>
      <c r="X3416" s="10"/>
      <c r="Y3416" s="10"/>
      <c r="Z3416" s="10"/>
      <c r="AA3416" s="10"/>
      <c r="AB3416" s="10"/>
      <c r="AC3416" s="10"/>
      <c r="AD3416" s="10"/>
      <c r="AE3416" s="10"/>
      <c r="AF3416" s="10"/>
      <c r="AG3416" s="10"/>
      <c r="AH3416" s="10"/>
    </row>
    <row r="3417" spans="1:34" outlineLevel="2">
      <c r="A3417" s="35"/>
      <c r="B3417" s="12" t="str">
        <f>IFERROR(VLOOKUP(D3417,'[1]Перечень товаров'!$A$2:$I9525,2,0),"")</f>
        <v>т4</v>
      </c>
      <c r="C3417" s="12" t="str">
        <f>IFERROR(VLOOKUP(D3417,'[1]Перечень товаров'!$A$2:$I9525,3,0),"")</f>
        <v xml:space="preserve">Техника </v>
      </c>
      <c r="D3417" s="35" t="s">
        <v>31</v>
      </c>
      <c r="E3417" s="88"/>
      <c r="F3417" s="88"/>
      <c r="G3417" s="48">
        <v>1</v>
      </c>
      <c r="H3417" s="48"/>
      <c r="I3417" s="49"/>
      <c r="J3417" s="49"/>
      <c r="K3417" s="19"/>
      <c r="L3417" s="20"/>
      <c r="M3417" s="10"/>
      <c r="N3417" s="10"/>
      <c r="O3417" s="10"/>
      <c r="P3417" s="10"/>
      <c r="Q3417" s="10"/>
      <c r="R3417" s="10"/>
      <c r="S3417" s="10"/>
      <c r="T3417" s="10"/>
      <c r="U3417" s="10"/>
      <c r="V3417" s="10"/>
      <c r="W3417" s="10"/>
      <c r="X3417" s="10"/>
      <c r="Y3417" s="10"/>
      <c r="Z3417" s="10"/>
      <c r="AA3417" s="10"/>
      <c r="AB3417" s="10"/>
      <c r="AC3417" s="10"/>
      <c r="AD3417" s="10"/>
      <c r="AE3417" s="10"/>
      <c r="AF3417" s="10"/>
      <c r="AG3417" s="10"/>
      <c r="AH3417" s="10"/>
    </row>
    <row r="3418" spans="1:34" outlineLevel="2">
      <c r="A3418" s="21"/>
      <c r="B3418" s="12" t="str">
        <f>IFERROR(VLOOKUP(D3418,'[1]Перечень товаров'!$A$2:$I9525,2,0),"")</f>
        <v>тм65</v>
      </c>
      <c r="C3418" s="12" t="str">
        <f>IFERROR(VLOOKUP(D3418,'[1]Перечень товаров'!$A$2:$I9525,3,0),"")</f>
        <v>Техника муз</v>
      </c>
      <c r="D3418" s="22" t="s">
        <v>380</v>
      </c>
      <c r="E3418" s="88"/>
      <c r="F3418" s="88"/>
      <c r="G3418" s="48">
        <v>1</v>
      </c>
      <c r="H3418" s="48"/>
      <c r="I3418" s="49"/>
      <c r="J3418" s="49"/>
      <c r="K3418" s="19"/>
      <c r="L3418" s="20"/>
      <c r="M3418" s="10"/>
      <c r="N3418" s="10"/>
      <c r="O3418" s="10"/>
      <c r="P3418" s="10"/>
      <c r="Q3418" s="10"/>
      <c r="R3418" s="10"/>
      <c r="S3418" s="10"/>
      <c r="T3418" s="10"/>
      <c r="U3418" s="10"/>
      <c r="V3418" s="10"/>
      <c r="W3418" s="10"/>
      <c r="X3418" s="10"/>
      <c r="Y3418" s="10"/>
      <c r="Z3418" s="10"/>
      <c r="AA3418" s="10"/>
      <c r="AB3418" s="10"/>
      <c r="AC3418" s="10"/>
      <c r="AD3418" s="10"/>
      <c r="AE3418" s="10"/>
      <c r="AF3418" s="10"/>
      <c r="AG3418" s="10"/>
      <c r="AH3418" s="10"/>
    </row>
    <row r="3419" spans="1:34" outlineLevel="2">
      <c r="A3419" s="21"/>
      <c r="B3419" s="12" t="str">
        <f>IFERROR(VLOOKUP(D3419,'[1]Перечень товаров'!$A$2:$I9525,2,0),"")</f>
        <v>т12</v>
      </c>
      <c r="C3419" s="12" t="str">
        <f>IFERROR(VLOOKUP(D3419,'[1]Перечень товаров'!$A$2:$I9525,3,0),"")</f>
        <v>Техника</v>
      </c>
      <c r="D3419" s="22" t="s">
        <v>49</v>
      </c>
      <c r="E3419" s="88"/>
      <c r="F3419" s="88"/>
      <c r="G3419" s="48">
        <v>1</v>
      </c>
      <c r="H3419" s="48"/>
      <c r="I3419" s="49"/>
      <c r="J3419" s="49"/>
      <c r="K3419" s="19"/>
      <c r="L3419" s="20"/>
      <c r="M3419" s="10"/>
      <c r="N3419" s="10"/>
      <c r="O3419" s="10"/>
      <c r="P3419" s="10"/>
      <c r="Q3419" s="10"/>
      <c r="R3419" s="10"/>
      <c r="S3419" s="10"/>
      <c r="T3419" s="10"/>
      <c r="U3419" s="10"/>
      <c r="V3419" s="10"/>
      <c r="W3419" s="10"/>
      <c r="X3419" s="10"/>
      <c r="Y3419" s="10"/>
      <c r="Z3419" s="10"/>
      <c r="AA3419" s="10"/>
      <c r="AB3419" s="10"/>
      <c r="AC3419" s="10"/>
      <c r="AD3419" s="10"/>
      <c r="AE3419" s="10"/>
      <c r="AF3419" s="10"/>
      <c r="AG3419" s="10"/>
      <c r="AH3419" s="10"/>
    </row>
    <row r="3420" spans="1:34" outlineLevel="2">
      <c r="A3420" s="35"/>
      <c r="B3420" s="12" t="str">
        <f>IFERROR(VLOOKUP(D3420,'[1]Перечень товаров'!$A$2:$I9525,2,0),"")</f>
        <v>т6</v>
      </c>
      <c r="C3420" s="12" t="str">
        <f>IFERROR(VLOOKUP(D3420,'[1]Перечень товаров'!$A$2:$I9525,3,0),"")</f>
        <v xml:space="preserve">Техника </v>
      </c>
      <c r="D3420" s="35" t="s">
        <v>33</v>
      </c>
      <c r="E3420" s="88"/>
      <c r="F3420" s="88"/>
      <c r="G3420" s="48">
        <v>1</v>
      </c>
      <c r="H3420" s="48"/>
      <c r="I3420" s="49"/>
      <c r="J3420" s="49"/>
      <c r="K3420" s="19"/>
      <c r="L3420" s="20"/>
      <c r="M3420" s="10"/>
      <c r="N3420" s="10"/>
      <c r="O3420" s="10"/>
      <c r="P3420" s="10"/>
      <c r="Q3420" s="10"/>
      <c r="R3420" s="10"/>
      <c r="S3420" s="10"/>
      <c r="T3420" s="10"/>
      <c r="U3420" s="10"/>
      <c r="V3420" s="10"/>
      <c r="W3420" s="10"/>
      <c r="X3420" s="10"/>
      <c r="Y3420" s="10"/>
      <c r="Z3420" s="10"/>
      <c r="AA3420" s="10"/>
      <c r="AB3420" s="10"/>
      <c r="AC3420" s="10"/>
      <c r="AD3420" s="10"/>
      <c r="AE3420" s="10"/>
      <c r="AF3420" s="10"/>
      <c r="AG3420" s="10"/>
      <c r="AH3420" s="10"/>
    </row>
    <row r="3421" spans="1:34" outlineLevel="2">
      <c r="A3421" s="22"/>
      <c r="B3421" s="12" t="str">
        <f>IFERROR(VLOOKUP(D3421,'[1]Перечень товаров'!$A$2:$I9525,2,0),"")</f>
        <v>т7</v>
      </c>
      <c r="C3421" s="12" t="str">
        <f>IFERROR(VLOOKUP(D3421,'[1]Перечень товаров'!$A$2:$I9525,3,0),"")</f>
        <v xml:space="preserve">Техника </v>
      </c>
      <c r="D3421" s="22" t="s">
        <v>34</v>
      </c>
      <c r="E3421" s="88"/>
      <c r="F3421" s="88"/>
      <c r="G3421" s="48">
        <v>3</v>
      </c>
      <c r="H3421" s="48"/>
      <c r="I3421" s="49"/>
      <c r="J3421" s="49"/>
      <c r="K3421" s="19"/>
      <c r="L3421" s="20"/>
      <c r="M3421" s="10"/>
      <c r="N3421" s="10"/>
      <c r="O3421" s="10"/>
      <c r="P3421" s="10"/>
      <c r="Q3421" s="10"/>
      <c r="R3421" s="10"/>
      <c r="S3421" s="10"/>
      <c r="T3421" s="10"/>
      <c r="U3421" s="10"/>
      <c r="V3421" s="10"/>
      <c r="W3421" s="10"/>
      <c r="X3421" s="10"/>
      <c r="Y3421" s="10"/>
      <c r="Z3421" s="10"/>
      <c r="AA3421" s="10"/>
      <c r="AB3421" s="10"/>
      <c r="AC3421" s="10"/>
      <c r="AD3421" s="10"/>
      <c r="AE3421" s="10"/>
      <c r="AF3421" s="10"/>
      <c r="AG3421" s="10"/>
      <c r="AH3421" s="10"/>
    </row>
    <row r="3422" spans="1:34" outlineLevel="2">
      <c r="A3422" s="35"/>
      <c r="B3422" s="12" t="str">
        <f>IFERROR(VLOOKUP(D3422,'[1]Перечень товаров'!$A$2:$I9525,2,0),"")</f>
        <v>т161</v>
      </c>
      <c r="C3422" s="12" t="str">
        <f>IFERROR(VLOOKUP(D3422,'[1]Перечень товаров'!$A$2:$I9525,3,0),"")</f>
        <v xml:space="preserve">Техника </v>
      </c>
      <c r="D3422" s="29" t="s">
        <v>381</v>
      </c>
      <c r="E3422" s="88"/>
      <c r="F3422" s="88"/>
      <c r="G3422" s="159">
        <v>1</v>
      </c>
      <c r="H3422" s="159"/>
      <c r="I3422" s="160"/>
      <c r="J3422" s="160"/>
      <c r="K3422" s="19"/>
      <c r="L3422" s="20"/>
      <c r="M3422" s="10"/>
      <c r="N3422" s="10"/>
      <c r="O3422" s="10"/>
      <c r="P3422" s="10"/>
      <c r="Q3422" s="10"/>
      <c r="R3422" s="10"/>
      <c r="S3422" s="10"/>
      <c r="T3422" s="10"/>
      <c r="U3422" s="10"/>
      <c r="V3422" s="10"/>
      <c r="W3422" s="10"/>
      <c r="X3422" s="10"/>
      <c r="Y3422" s="10"/>
      <c r="Z3422" s="10"/>
      <c r="AA3422" s="10"/>
      <c r="AB3422" s="10"/>
      <c r="AC3422" s="10"/>
      <c r="AD3422" s="10"/>
      <c r="AE3422" s="10"/>
      <c r="AF3422" s="10"/>
      <c r="AG3422" s="10"/>
      <c r="AH3422" s="10"/>
    </row>
    <row r="3423" spans="1:34" outlineLevel="2">
      <c r="A3423" s="114"/>
      <c r="B3423" s="12" t="str">
        <f>IFERROR(VLOOKUP(D3423,'[1]Перечень товаров'!$A$2:$I9525,2,0),"")</f>
        <v/>
      </c>
      <c r="C3423" s="12" t="str">
        <f>IFERROR(VLOOKUP(D3423,'[1]Перечень товаров'!$A$2:$I9525,3,0),"")</f>
        <v/>
      </c>
      <c r="D3423" s="114" t="s">
        <v>19</v>
      </c>
      <c r="E3423" s="115"/>
      <c r="F3423" s="115"/>
      <c r="G3423" s="157"/>
      <c r="H3423" s="157"/>
      <c r="I3423" s="158"/>
      <c r="J3423" s="158"/>
      <c r="K3423" s="19"/>
      <c r="L3423" s="20"/>
      <c r="M3423" s="10"/>
      <c r="N3423" s="10"/>
      <c r="O3423" s="10"/>
      <c r="P3423" s="10"/>
      <c r="Q3423" s="10"/>
      <c r="R3423" s="10"/>
      <c r="S3423" s="10"/>
      <c r="T3423" s="10"/>
      <c r="U3423" s="10"/>
      <c r="V3423" s="10"/>
      <c r="W3423" s="10"/>
      <c r="X3423" s="10"/>
      <c r="Y3423" s="10"/>
      <c r="Z3423" s="10"/>
      <c r="AA3423" s="10"/>
      <c r="AB3423" s="10"/>
      <c r="AC3423" s="10"/>
      <c r="AD3423" s="10"/>
      <c r="AE3423" s="10"/>
      <c r="AF3423" s="10"/>
      <c r="AG3423" s="10"/>
      <c r="AH3423" s="10"/>
    </row>
    <row r="3424" spans="1:34" outlineLevel="2">
      <c r="A3424" s="34"/>
      <c r="B3424" s="12" t="str">
        <f>IFERROR(VLOOKUP(D3424,'[1]Перечень товаров'!$A$2:$I9525,2,0),"")</f>
        <v>м62</v>
      </c>
      <c r="C3424" s="12" t="str">
        <f>IFERROR(VLOOKUP(D3424,'[1]Перечень товаров'!$A$2:$I9525,3,0),"")</f>
        <v>Мебель</v>
      </c>
      <c r="D3424" s="35" t="s">
        <v>398</v>
      </c>
      <c r="E3424" s="88"/>
      <c r="F3424" s="88"/>
      <c r="G3424" s="59">
        <v>1</v>
      </c>
      <c r="H3424" s="59"/>
      <c r="I3424" s="60"/>
      <c r="J3424" s="60"/>
      <c r="K3424" s="19"/>
      <c r="L3424" s="20"/>
      <c r="M3424" s="10"/>
      <c r="N3424" s="10"/>
      <c r="O3424" s="10"/>
      <c r="P3424" s="10"/>
      <c r="Q3424" s="10"/>
      <c r="R3424" s="10"/>
      <c r="S3424" s="10"/>
      <c r="T3424" s="10"/>
      <c r="U3424" s="10"/>
      <c r="V3424" s="10"/>
      <c r="W3424" s="10"/>
      <c r="X3424" s="10"/>
      <c r="Y3424" s="10"/>
      <c r="Z3424" s="10"/>
      <c r="AA3424" s="10"/>
      <c r="AB3424" s="10"/>
      <c r="AC3424" s="10"/>
      <c r="AD3424" s="10"/>
      <c r="AE3424" s="10"/>
      <c r="AF3424" s="10"/>
      <c r="AG3424" s="10"/>
      <c r="AH3424" s="10"/>
    </row>
    <row r="3425" spans="1:34" outlineLevel="2">
      <c r="A3425" s="34"/>
      <c r="B3425" s="12" t="str">
        <f>IFERROR(VLOOKUP(D3425,'[1]Перечень товаров'!$A$2:$I9525,2,0),"")</f>
        <v>м61</v>
      </c>
      <c r="C3425" s="12" t="str">
        <f>IFERROR(VLOOKUP(D3425,'[1]Перечень товаров'!$A$2:$I9525,3,0),"")</f>
        <v>Мебель</v>
      </c>
      <c r="D3425" s="35" t="s">
        <v>383</v>
      </c>
      <c r="E3425" s="88"/>
      <c r="F3425" s="88"/>
      <c r="G3425" s="59">
        <v>1</v>
      </c>
      <c r="H3425" s="59"/>
      <c r="I3425" s="60"/>
      <c r="J3425" s="60"/>
      <c r="K3425" s="19"/>
      <c r="L3425" s="20"/>
      <c r="M3425" s="10"/>
      <c r="N3425" s="10"/>
      <c r="O3425" s="10"/>
      <c r="P3425" s="10"/>
      <c r="Q3425" s="10"/>
      <c r="R3425" s="10"/>
      <c r="S3425" s="10"/>
      <c r="T3425" s="10"/>
      <c r="U3425" s="10"/>
      <c r="V3425" s="10"/>
      <c r="W3425" s="10"/>
      <c r="X3425" s="10"/>
      <c r="Y3425" s="10"/>
      <c r="Z3425" s="10"/>
      <c r="AA3425" s="10"/>
      <c r="AB3425" s="10"/>
      <c r="AC3425" s="10"/>
      <c r="AD3425" s="10"/>
      <c r="AE3425" s="10"/>
      <c r="AF3425" s="10"/>
      <c r="AG3425" s="10"/>
      <c r="AH3425" s="10"/>
    </row>
    <row r="3426" spans="1:34" outlineLevel="2">
      <c r="A3426" s="213"/>
      <c r="B3426" s="12" t="str">
        <f>IFERROR(VLOOKUP(D3426,'[1]Перечень товаров'!$A$2:$I9525,2,0),"")</f>
        <v>м176</v>
      </c>
      <c r="C3426" s="12" t="str">
        <f>IFERROR(VLOOKUP(D3426,'[1]Перечень товаров'!$A$2:$I9525,3,0),"")</f>
        <v>мебель</v>
      </c>
      <c r="D3426" s="214" t="s">
        <v>998</v>
      </c>
      <c r="E3426" s="88"/>
      <c r="F3426" s="88"/>
      <c r="G3426" s="159">
        <v>4</v>
      </c>
      <c r="H3426" s="159"/>
      <c r="I3426" s="160"/>
      <c r="J3426" s="160"/>
      <c r="K3426" s="19"/>
      <c r="L3426" s="20"/>
      <c r="M3426" s="10"/>
      <c r="N3426" s="10"/>
      <c r="O3426" s="10"/>
      <c r="P3426" s="10"/>
      <c r="Q3426" s="10"/>
      <c r="R3426" s="10"/>
      <c r="S3426" s="10"/>
      <c r="T3426" s="10"/>
      <c r="U3426" s="10"/>
      <c r="V3426" s="10"/>
      <c r="W3426" s="10"/>
      <c r="X3426" s="10"/>
      <c r="Y3426" s="10"/>
      <c r="Z3426" s="10"/>
      <c r="AA3426" s="10"/>
      <c r="AB3426" s="10"/>
      <c r="AC3426" s="10"/>
      <c r="AD3426" s="10"/>
      <c r="AE3426" s="10"/>
      <c r="AF3426" s="10"/>
      <c r="AG3426" s="10"/>
      <c r="AH3426" s="10"/>
    </row>
    <row r="3427" spans="1:34" outlineLevel="2">
      <c r="A3427" s="34"/>
      <c r="B3427" s="12" t="str">
        <f>IFERROR(VLOOKUP(D3427,'[1]Перечень товаров'!$A$2:$I9525,2,0),"")</f>
        <v>м61</v>
      </c>
      <c r="C3427" s="12" t="str">
        <f>IFERROR(VLOOKUP(D3427,'[1]Перечень товаров'!$A$2:$I9525,3,0),"")</f>
        <v>Мебель</v>
      </c>
      <c r="D3427" s="35" t="s">
        <v>384</v>
      </c>
      <c r="E3427" s="88"/>
      <c r="F3427" s="88"/>
      <c r="G3427" s="159">
        <v>4</v>
      </c>
      <c r="H3427" s="159"/>
      <c r="I3427" s="160"/>
      <c r="J3427" s="160"/>
      <c r="K3427" s="19"/>
      <c r="L3427" s="20"/>
      <c r="M3427" s="10"/>
      <c r="N3427" s="10"/>
      <c r="O3427" s="10"/>
      <c r="P3427" s="10"/>
      <c r="Q3427" s="10"/>
      <c r="R3427" s="10"/>
      <c r="S3427" s="10"/>
      <c r="T3427" s="10"/>
      <c r="U3427" s="10"/>
      <c r="V3427" s="10"/>
      <c r="W3427" s="10"/>
      <c r="X3427" s="10"/>
      <c r="Y3427" s="10"/>
      <c r="Z3427" s="10"/>
      <c r="AA3427" s="10"/>
      <c r="AB3427" s="10"/>
      <c r="AC3427" s="10"/>
      <c r="AD3427" s="10"/>
      <c r="AE3427" s="10"/>
      <c r="AF3427" s="10"/>
      <c r="AG3427" s="10"/>
      <c r="AH3427" s="10"/>
    </row>
    <row r="3428" spans="1:34" outlineLevel="2">
      <c r="A3428" s="22"/>
      <c r="B3428" s="12" t="str">
        <f>IFERROR(VLOOKUP(D3428,'[1]Перечень товаров'!$A$2:$I9525,2,0),"")</f>
        <v>м13</v>
      </c>
      <c r="C3428" s="12" t="str">
        <f>IFERROR(VLOOKUP(D3428,'[1]Перечень товаров'!$A$2:$I9525,3,0),"")</f>
        <v>Мебель</v>
      </c>
      <c r="D3428" s="22" t="s">
        <v>42</v>
      </c>
      <c r="E3428" s="88"/>
      <c r="F3428" s="88"/>
      <c r="G3428" s="48">
        <v>1</v>
      </c>
      <c r="H3428" s="48"/>
      <c r="I3428" s="49"/>
      <c r="J3428" s="49"/>
      <c r="K3428" s="19"/>
      <c r="L3428" s="20"/>
      <c r="M3428" s="10"/>
      <c r="N3428" s="10"/>
      <c r="O3428" s="10"/>
      <c r="P3428" s="10"/>
      <c r="Q3428" s="10"/>
      <c r="R3428" s="10"/>
      <c r="S3428" s="10"/>
      <c r="T3428" s="10"/>
      <c r="U3428" s="10"/>
      <c r="V3428" s="10"/>
      <c r="W3428" s="10"/>
      <c r="X3428" s="10"/>
      <c r="Y3428" s="10"/>
      <c r="Z3428" s="10"/>
      <c r="AA3428" s="10"/>
      <c r="AB3428" s="10"/>
      <c r="AC3428" s="10"/>
      <c r="AD3428" s="10"/>
      <c r="AE3428" s="10"/>
      <c r="AF3428" s="10"/>
      <c r="AG3428" s="10"/>
      <c r="AH3428" s="10"/>
    </row>
    <row r="3429" spans="1:34" outlineLevel="2">
      <c r="A3429" s="21"/>
      <c r="B3429" s="12" t="str">
        <f>IFERROR(VLOOKUP(D3429,'[1]Перечень товаров'!$A$2:$I9525,2,0),"")</f>
        <v>м14</v>
      </c>
      <c r="C3429" s="12" t="str">
        <f>IFERROR(VLOOKUP(D3429,'[1]Перечень товаров'!$A$2:$I9525,3,0),"")</f>
        <v>Мебель</v>
      </c>
      <c r="D3429" s="22" t="s">
        <v>43</v>
      </c>
      <c r="E3429" s="88"/>
      <c r="F3429" s="88"/>
      <c r="G3429" s="48">
        <v>1</v>
      </c>
      <c r="H3429" s="48"/>
      <c r="I3429" s="49"/>
      <c r="J3429" s="49"/>
      <c r="K3429" s="19"/>
      <c r="L3429" s="20"/>
      <c r="M3429" s="10"/>
      <c r="N3429" s="10"/>
      <c r="O3429" s="10"/>
      <c r="P3429" s="10"/>
      <c r="Q3429" s="10"/>
      <c r="R3429" s="10"/>
      <c r="S3429" s="10"/>
      <c r="T3429" s="10"/>
      <c r="U3429" s="10"/>
      <c r="V3429" s="10"/>
      <c r="W3429" s="10"/>
      <c r="X3429" s="10"/>
      <c r="Y3429" s="10"/>
      <c r="Z3429" s="10"/>
      <c r="AA3429" s="10"/>
      <c r="AB3429" s="10"/>
      <c r="AC3429" s="10"/>
      <c r="AD3429" s="10"/>
      <c r="AE3429" s="10"/>
      <c r="AF3429" s="10"/>
      <c r="AG3429" s="10"/>
      <c r="AH3429" s="10"/>
    </row>
    <row r="3430" spans="1:34" outlineLevel="2">
      <c r="A3430" s="21"/>
      <c r="B3430" s="12" t="str">
        <f>IFERROR(VLOOKUP(D3430,'[1]Перечень товаров'!$A$2:$I9525,2,0),"")</f>
        <v>п2</v>
      </c>
      <c r="C3430" s="12" t="str">
        <f>IFERROR(VLOOKUP(D3430,'[1]Перечень товаров'!$A$2:$I9525,3,0),"")</f>
        <v>Прочее</v>
      </c>
      <c r="D3430" s="22" t="s">
        <v>46</v>
      </c>
      <c r="E3430" s="88"/>
      <c r="F3430" s="88"/>
      <c r="G3430" s="24">
        <v>1</v>
      </c>
      <c r="H3430" s="24"/>
      <c r="I3430" s="25"/>
      <c r="J3430" s="25"/>
      <c r="K3430" s="19"/>
      <c r="L3430" s="20"/>
      <c r="M3430" s="10"/>
      <c r="N3430" s="10"/>
      <c r="O3430" s="10"/>
      <c r="P3430" s="10"/>
      <c r="Q3430" s="10"/>
      <c r="R3430" s="10"/>
      <c r="S3430" s="10"/>
      <c r="T3430" s="10"/>
      <c r="U3430" s="10"/>
      <c r="V3430" s="10"/>
      <c r="W3430" s="10"/>
      <c r="X3430" s="10"/>
      <c r="Y3430" s="10"/>
      <c r="Z3430" s="10"/>
      <c r="AA3430" s="10"/>
      <c r="AB3430" s="10"/>
      <c r="AC3430" s="10"/>
      <c r="AD3430" s="10"/>
      <c r="AE3430" s="10"/>
      <c r="AF3430" s="10"/>
      <c r="AG3430" s="10"/>
      <c r="AH3430" s="10"/>
    </row>
    <row r="3431" spans="1:34" ht="12.75" outlineLevel="1">
      <c r="A3431" s="11"/>
      <c r="B3431" s="12" t="str">
        <f>IFERROR(VLOOKUP(D3431,'[1]Перечень товаров'!$A$2:$I9525,2,0),"")</f>
        <v/>
      </c>
      <c r="C3431" s="12" t="str">
        <f>IFERROR(VLOOKUP(D3431,'[1]Перечень товаров'!$A$2:$I9525,3,0),"")</f>
        <v/>
      </c>
      <c r="D3431" s="27" t="s">
        <v>997</v>
      </c>
      <c r="E3431" s="14">
        <v>22</v>
      </c>
      <c r="F3431" s="14"/>
      <c r="G3431" s="17"/>
      <c r="H3431" s="17"/>
      <c r="I3431" s="57"/>
      <c r="J3431" s="57"/>
      <c r="K3431" s="19"/>
      <c r="L3431" s="20"/>
      <c r="M3431" s="10"/>
      <c r="N3431" s="10"/>
      <c r="O3431" s="10"/>
      <c r="P3431" s="10"/>
      <c r="Q3431" s="10"/>
      <c r="R3431" s="10"/>
      <c r="S3431" s="10"/>
      <c r="T3431" s="10"/>
      <c r="U3431" s="10"/>
      <c r="V3431" s="10"/>
      <c r="W3431" s="10"/>
      <c r="X3431" s="10"/>
      <c r="Y3431" s="10"/>
      <c r="Z3431" s="10"/>
      <c r="AA3431" s="10"/>
      <c r="AB3431" s="10"/>
      <c r="AC3431" s="10"/>
      <c r="AD3431" s="10"/>
      <c r="AE3431" s="10"/>
      <c r="AF3431" s="10"/>
      <c r="AG3431" s="10"/>
      <c r="AH3431" s="10"/>
    </row>
    <row r="3432" spans="1:34" outlineLevel="2">
      <c r="A3432" s="113"/>
      <c r="B3432" s="12" t="str">
        <f>IFERROR(VLOOKUP(D3432,'[1]Перечень товаров'!$A$2:$I9525,2,0),"")</f>
        <v/>
      </c>
      <c r="C3432" s="12" t="str">
        <f>IFERROR(VLOOKUP(D3432,'[1]Перечень товаров'!$A$2:$I9525,3,0),"")</f>
        <v/>
      </c>
      <c r="D3432" s="114" t="s">
        <v>391</v>
      </c>
      <c r="E3432" s="122"/>
      <c r="F3432" s="122"/>
      <c r="G3432" s="123"/>
      <c r="H3432" s="123"/>
      <c r="I3432" s="124"/>
      <c r="J3432" s="124"/>
      <c r="K3432" s="19"/>
      <c r="L3432" s="20"/>
      <c r="M3432" s="10"/>
      <c r="N3432" s="10"/>
      <c r="O3432" s="10"/>
      <c r="P3432" s="10"/>
      <c r="Q3432" s="10"/>
      <c r="R3432" s="10"/>
      <c r="S3432" s="10"/>
      <c r="T3432" s="10"/>
      <c r="U3432" s="10"/>
      <c r="V3432" s="10"/>
      <c r="W3432" s="10"/>
      <c r="X3432" s="10"/>
      <c r="Y3432" s="10"/>
      <c r="Z3432" s="10"/>
      <c r="AA3432" s="10"/>
      <c r="AB3432" s="10"/>
      <c r="AC3432" s="10"/>
      <c r="AD3432" s="10"/>
      <c r="AE3432" s="10"/>
      <c r="AF3432" s="10"/>
      <c r="AG3432" s="10"/>
      <c r="AH3432" s="10"/>
    </row>
    <row r="3433" spans="1:34" outlineLevel="2">
      <c r="A3433" s="28"/>
      <c r="B3433" s="12" t="str">
        <f>IFERROR(VLOOKUP(D3433,'[1]Перечень товаров'!$A$2:$I9525,2,0),"")</f>
        <v/>
      </c>
      <c r="C3433" s="12" t="str">
        <f>IFERROR(VLOOKUP(D3433,'[1]Перечень товаров'!$A$2:$I9525,3,0),"")</f>
        <v/>
      </c>
      <c r="D3433" s="29" t="s">
        <v>992</v>
      </c>
      <c r="E3433" s="30"/>
      <c r="F3433" s="30"/>
      <c r="G3433" s="31">
        <v>1</v>
      </c>
      <c r="H3433" s="31"/>
      <c r="I3433" s="32"/>
      <c r="J3433" s="32"/>
      <c r="K3433" s="19"/>
      <c r="L3433" s="20"/>
      <c r="M3433" s="10"/>
      <c r="N3433" s="10"/>
      <c r="O3433" s="10"/>
      <c r="P3433" s="10"/>
      <c r="Q3433" s="10"/>
      <c r="R3433" s="10"/>
      <c r="S3433" s="10"/>
      <c r="T3433" s="10"/>
      <c r="U3433" s="10"/>
      <c r="V3433" s="10"/>
      <c r="W3433" s="10"/>
      <c r="X3433" s="10"/>
      <c r="Y3433" s="10"/>
      <c r="Z3433" s="10"/>
      <c r="AA3433" s="10"/>
      <c r="AB3433" s="10"/>
      <c r="AC3433" s="10"/>
      <c r="AD3433" s="10"/>
      <c r="AE3433" s="10"/>
      <c r="AF3433" s="10"/>
      <c r="AG3433" s="10"/>
      <c r="AH3433" s="10"/>
    </row>
    <row r="3434" spans="1:34" ht="31.5" outlineLevel="2">
      <c r="A3434" s="28"/>
      <c r="B3434" s="12" t="str">
        <f>IFERROR(VLOOKUP(D3434,'[1]Перечень товаров'!$A$2:$I9525,2,0),"")</f>
        <v>д556</v>
      </c>
      <c r="C3434" s="12" t="str">
        <f>IFERROR(VLOOKUP(D3434,'[1]Перечень товаров'!$A$2:$I9525,3,0),"")</f>
        <v>дидактика</v>
      </c>
      <c r="D3434" s="29" t="s">
        <v>993</v>
      </c>
      <c r="E3434" s="30"/>
      <c r="F3434" s="30"/>
      <c r="G3434" s="31">
        <v>1</v>
      </c>
      <c r="H3434" s="31"/>
      <c r="I3434" s="32"/>
      <c r="J3434" s="32"/>
      <c r="K3434" s="19"/>
      <c r="L3434" s="20"/>
      <c r="M3434" s="10"/>
      <c r="N3434" s="10"/>
      <c r="O3434" s="10"/>
      <c r="P3434" s="10"/>
      <c r="Q3434" s="10"/>
      <c r="R3434" s="10"/>
      <c r="S3434" s="10"/>
      <c r="T3434" s="10"/>
      <c r="U3434" s="10"/>
      <c r="V3434" s="10"/>
      <c r="W3434" s="10"/>
      <c r="X3434" s="10"/>
      <c r="Y3434" s="10"/>
      <c r="Z3434" s="10"/>
      <c r="AA3434" s="10"/>
      <c r="AB3434" s="10"/>
      <c r="AC3434" s="10"/>
      <c r="AD3434" s="10"/>
      <c r="AE3434" s="10"/>
      <c r="AF3434" s="10"/>
      <c r="AG3434" s="10"/>
      <c r="AH3434" s="10"/>
    </row>
    <row r="3435" spans="1:34" ht="31.5" outlineLevel="2">
      <c r="A3435" s="28"/>
      <c r="B3435" s="12" t="str">
        <f>IFERROR(VLOOKUP(D3435,'[1]Перечень товаров'!$A$2:$I9525,2,0),"")</f>
        <v>пм212</v>
      </c>
      <c r="C3435" s="12" t="str">
        <f>IFERROR(VLOOKUP(D3435,'[1]Перечень товаров'!$A$2:$I9525,3,0),"")</f>
        <v>прочее муз</v>
      </c>
      <c r="D3435" s="29" t="s">
        <v>994</v>
      </c>
      <c r="E3435" s="30"/>
      <c r="F3435" s="30"/>
      <c r="G3435" s="31">
        <v>1</v>
      </c>
      <c r="H3435" s="31"/>
      <c r="I3435" s="32"/>
      <c r="J3435" s="32"/>
      <c r="K3435" s="19"/>
      <c r="L3435" s="20"/>
      <c r="M3435" s="10"/>
      <c r="N3435" s="10"/>
      <c r="O3435" s="10"/>
      <c r="P3435" s="10"/>
      <c r="Q3435" s="10"/>
      <c r="R3435" s="10"/>
      <c r="S3435" s="10"/>
      <c r="T3435" s="10"/>
      <c r="U3435" s="10"/>
      <c r="V3435" s="10"/>
      <c r="W3435" s="10"/>
      <c r="X3435" s="10"/>
      <c r="Y3435" s="10"/>
      <c r="Z3435" s="10"/>
      <c r="AA3435" s="10"/>
      <c r="AB3435" s="10"/>
      <c r="AC3435" s="10"/>
      <c r="AD3435" s="10"/>
      <c r="AE3435" s="10"/>
      <c r="AF3435" s="10"/>
      <c r="AG3435" s="10"/>
      <c r="AH3435" s="10"/>
    </row>
    <row r="3436" spans="1:34" outlineLevel="2">
      <c r="A3436" s="28"/>
      <c r="B3436" s="12" t="str">
        <f>IFERROR(VLOOKUP(D3436,'[1]Перечень товаров'!$A$2:$I9525,2,0),"")</f>
        <v>пм211</v>
      </c>
      <c r="C3436" s="12" t="str">
        <f>IFERROR(VLOOKUP(D3436,'[1]Перечень товаров'!$A$2:$I9525,3,0),"")</f>
        <v>прочее муз</v>
      </c>
      <c r="D3436" s="29" t="s">
        <v>995</v>
      </c>
      <c r="E3436" s="30"/>
      <c r="F3436" s="30"/>
      <c r="G3436" s="31">
        <v>2</v>
      </c>
      <c r="H3436" s="31"/>
      <c r="I3436" s="32"/>
      <c r="J3436" s="32"/>
      <c r="K3436" s="19"/>
      <c r="L3436" s="20"/>
      <c r="M3436" s="10"/>
      <c r="N3436" s="10"/>
      <c r="O3436" s="10"/>
      <c r="P3436" s="10"/>
      <c r="Q3436" s="10"/>
      <c r="R3436" s="10"/>
      <c r="S3436" s="10"/>
      <c r="T3436" s="10"/>
      <c r="U3436" s="10"/>
      <c r="V3436" s="10"/>
      <c r="W3436" s="10"/>
      <c r="X3436" s="10"/>
      <c r="Y3436" s="10"/>
      <c r="Z3436" s="10"/>
      <c r="AA3436" s="10"/>
      <c r="AB3436" s="10"/>
      <c r="AC3436" s="10"/>
      <c r="AD3436" s="10"/>
      <c r="AE3436" s="10"/>
      <c r="AF3436" s="10"/>
      <c r="AG3436" s="10"/>
      <c r="AH3436" s="10"/>
    </row>
    <row r="3437" spans="1:34" ht="31.5" outlineLevel="2">
      <c r="A3437" s="28"/>
      <c r="B3437" s="12" t="str">
        <f>IFERROR(VLOOKUP(D3437,'[1]Перечень товаров'!$A$2:$I9525,2,0),"")</f>
        <v>пм210</v>
      </c>
      <c r="C3437" s="12" t="str">
        <f>IFERROR(VLOOKUP(D3437,'[1]Перечень товаров'!$A$2:$I9525,3,0),"")</f>
        <v>прочее муз</v>
      </c>
      <c r="D3437" s="29" t="s">
        <v>996</v>
      </c>
      <c r="E3437" s="30"/>
      <c r="F3437" s="30"/>
      <c r="G3437" s="31">
        <v>1</v>
      </c>
      <c r="H3437" s="31"/>
      <c r="I3437" s="32"/>
      <c r="J3437" s="32"/>
      <c r="K3437" s="19"/>
      <c r="L3437" s="20"/>
      <c r="M3437" s="10"/>
      <c r="N3437" s="10"/>
      <c r="O3437" s="10"/>
      <c r="P3437" s="10"/>
      <c r="Q3437" s="10"/>
      <c r="R3437" s="10"/>
      <c r="S3437" s="10"/>
      <c r="T3437" s="10"/>
      <c r="U3437" s="10"/>
      <c r="V3437" s="10"/>
      <c r="W3437" s="10"/>
      <c r="X3437" s="10"/>
      <c r="Y3437" s="10"/>
      <c r="Z3437" s="10"/>
      <c r="AA3437" s="10"/>
      <c r="AB3437" s="10"/>
      <c r="AC3437" s="10"/>
      <c r="AD3437" s="10"/>
      <c r="AE3437" s="10"/>
      <c r="AF3437" s="10"/>
      <c r="AG3437" s="10"/>
      <c r="AH3437" s="10"/>
    </row>
    <row r="3438" spans="1:34" ht="15" outlineLevel="2">
      <c r="A3438" s="109"/>
      <c r="B3438" s="12" t="str">
        <f>IFERROR(VLOOKUP(D3438,'[1]Перечень товаров'!$A$2:$I9525,2,0),"")</f>
        <v/>
      </c>
      <c r="C3438" s="12" t="str">
        <f>IFERROR(VLOOKUP(D3438,'[1]Перечень товаров'!$A$2:$I9525,3,0),"")</f>
        <v/>
      </c>
      <c r="D3438" s="110" t="s">
        <v>27</v>
      </c>
      <c r="E3438" s="115"/>
      <c r="F3438" s="115"/>
      <c r="G3438" s="211"/>
      <c r="H3438" s="211"/>
      <c r="I3438" s="212"/>
      <c r="J3438" s="212"/>
      <c r="K3438" s="19"/>
      <c r="L3438" s="20"/>
      <c r="M3438" s="10"/>
      <c r="N3438" s="10"/>
      <c r="O3438" s="10"/>
      <c r="P3438" s="10"/>
      <c r="Q3438" s="10"/>
      <c r="R3438" s="10"/>
      <c r="S3438" s="10"/>
      <c r="T3438" s="10"/>
      <c r="U3438" s="10"/>
      <c r="V3438" s="10"/>
      <c r="W3438" s="10"/>
      <c r="X3438" s="10"/>
      <c r="Y3438" s="10"/>
      <c r="Z3438" s="10"/>
      <c r="AA3438" s="10"/>
      <c r="AB3438" s="10"/>
      <c r="AC3438" s="10"/>
      <c r="AD3438" s="10"/>
      <c r="AE3438" s="10"/>
      <c r="AF3438" s="10"/>
      <c r="AG3438" s="10"/>
      <c r="AH3438" s="10"/>
    </row>
    <row r="3439" spans="1:34" outlineLevel="2">
      <c r="A3439" s="21"/>
      <c r="B3439" s="12" t="str">
        <f>IFERROR(VLOOKUP(D3439,'[1]Перечень товаров'!$A$2:$I9525,2,0),"")</f>
        <v>т1</v>
      </c>
      <c r="C3439" s="12" t="str">
        <f>IFERROR(VLOOKUP(D3439,'[1]Перечень товаров'!$A$2:$I9525,3,0),"")</f>
        <v xml:space="preserve">Техника </v>
      </c>
      <c r="D3439" s="22" t="s">
        <v>28</v>
      </c>
      <c r="E3439" s="88"/>
      <c r="F3439" s="88"/>
      <c r="G3439" s="48">
        <v>1</v>
      </c>
      <c r="H3439" s="48"/>
      <c r="I3439" s="49"/>
      <c r="J3439" s="49"/>
      <c r="K3439" s="19"/>
      <c r="L3439" s="20"/>
      <c r="M3439" s="10"/>
      <c r="N3439" s="10"/>
      <c r="O3439" s="10"/>
      <c r="P3439" s="10"/>
      <c r="Q3439" s="10"/>
      <c r="R3439" s="10"/>
      <c r="S3439" s="10"/>
      <c r="T3439" s="10"/>
      <c r="U3439" s="10"/>
      <c r="V3439" s="10"/>
      <c r="W3439" s="10"/>
      <c r="X3439" s="10"/>
      <c r="Y3439" s="10"/>
      <c r="Z3439" s="10"/>
      <c r="AA3439" s="10"/>
      <c r="AB3439" s="10"/>
      <c r="AC3439" s="10"/>
      <c r="AD3439" s="10"/>
      <c r="AE3439" s="10"/>
      <c r="AF3439" s="10"/>
      <c r="AG3439" s="10"/>
      <c r="AH3439" s="10"/>
    </row>
    <row r="3440" spans="1:34" outlineLevel="2">
      <c r="A3440" s="22"/>
      <c r="B3440" s="12" t="str">
        <f>IFERROR(VLOOKUP(D3440,'[1]Перечень товаров'!$A$2:$I9525,2,0),"")</f>
        <v>т9</v>
      </c>
      <c r="C3440" s="12" t="str">
        <f>IFERROR(VLOOKUP(D3440,'[1]Перечень товаров'!$A$2:$I9525,3,0),"")</f>
        <v>Техника</v>
      </c>
      <c r="D3440" s="22" t="s">
        <v>36</v>
      </c>
      <c r="E3440" s="88"/>
      <c r="F3440" s="88"/>
      <c r="G3440" s="48">
        <v>1</v>
      </c>
      <c r="H3440" s="48"/>
      <c r="I3440" s="49"/>
      <c r="J3440" s="49"/>
      <c r="K3440" s="19"/>
      <c r="L3440" s="20"/>
      <c r="M3440" s="10"/>
      <c r="N3440" s="10"/>
      <c r="O3440" s="10"/>
      <c r="P3440" s="10"/>
      <c r="Q3440" s="10"/>
      <c r="R3440" s="10"/>
      <c r="S3440" s="10"/>
      <c r="T3440" s="10"/>
      <c r="U3440" s="10"/>
      <c r="V3440" s="10"/>
      <c r="W3440" s="10"/>
      <c r="X3440" s="10"/>
      <c r="Y3440" s="10"/>
      <c r="Z3440" s="10"/>
      <c r="AA3440" s="10"/>
      <c r="AB3440" s="10"/>
      <c r="AC3440" s="10"/>
      <c r="AD3440" s="10"/>
      <c r="AE3440" s="10"/>
      <c r="AF3440" s="10"/>
      <c r="AG3440" s="10"/>
      <c r="AH3440" s="10"/>
    </row>
    <row r="3441" spans="1:34" outlineLevel="2">
      <c r="A3441" s="35"/>
      <c r="B3441" s="12" t="str">
        <f>IFERROR(VLOOKUP(D3441,'[1]Перечень товаров'!$A$2:$I9525,2,0),"")</f>
        <v>т2</v>
      </c>
      <c r="C3441" s="12" t="str">
        <f>IFERROR(VLOOKUP(D3441,'[1]Перечень товаров'!$A$2:$I9525,3,0),"")</f>
        <v xml:space="preserve">Техника </v>
      </c>
      <c r="D3441" s="35" t="s">
        <v>29</v>
      </c>
      <c r="E3441" s="88"/>
      <c r="F3441" s="88"/>
      <c r="G3441" s="48">
        <v>1</v>
      </c>
      <c r="H3441" s="48"/>
      <c r="I3441" s="49"/>
      <c r="J3441" s="49"/>
      <c r="K3441" s="19"/>
      <c r="L3441" s="20"/>
      <c r="M3441" s="10"/>
      <c r="N3441" s="10"/>
      <c r="O3441" s="10"/>
      <c r="P3441" s="10"/>
      <c r="Q3441" s="10"/>
      <c r="R3441" s="10"/>
      <c r="S3441" s="10"/>
      <c r="T3441" s="10"/>
      <c r="U3441" s="10"/>
      <c r="V3441" s="10"/>
      <c r="W3441" s="10"/>
      <c r="X3441" s="10"/>
      <c r="Y3441" s="10"/>
      <c r="Z3441" s="10"/>
      <c r="AA3441" s="10"/>
      <c r="AB3441" s="10"/>
      <c r="AC3441" s="10"/>
      <c r="AD3441" s="10"/>
      <c r="AE3441" s="10"/>
      <c r="AF3441" s="10"/>
      <c r="AG3441" s="10"/>
      <c r="AH3441" s="10"/>
    </row>
    <row r="3442" spans="1:34" outlineLevel="2">
      <c r="A3442" s="35"/>
      <c r="B3442" s="12" t="str">
        <f>IFERROR(VLOOKUP(D3442,'[1]Перечень товаров'!$A$2:$I9525,2,0),"")</f>
        <v>т3</v>
      </c>
      <c r="C3442" s="12" t="str">
        <f>IFERROR(VLOOKUP(D3442,'[1]Перечень товаров'!$A$2:$I9525,3,0),"")</f>
        <v xml:space="preserve">Техника </v>
      </c>
      <c r="D3442" s="35" t="s">
        <v>30</v>
      </c>
      <c r="E3442" s="88"/>
      <c r="F3442" s="88"/>
      <c r="G3442" s="48">
        <v>1</v>
      </c>
      <c r="H3442" s="48"/>
      <c r="I3442" s="49"/>
      <c r="J3442" s="49"/>
      <c r="K3442" s="19"/>
      <c r="L3442" s="20"/>
      <c r="M3442" s="10"/>
      <c r="N3442" s="10"/>
      <c r="O3442" s="10"/>
      <c r="P3442" s="10"/>
      <c r="Q3442" s="10"/>
      <c r="R3442" s="10"/>
      <c r="S3442" s="10"/>
      <c r="T3442" s="10"/>
      <c r="U3442" s="10"/>
      <c r="V3442" s="10"/>
      <c r="W3442" s="10"/>
      <c r="X3442" s="10"/>
      <c r="Y3442" s="10"/>
      <c r="Z3442" s="10"/>
      <c r="AA3442" s="10"/>
      <c r="AB3442" s="10"/>
      <c r="AC3442" s="10"/>
      <c r="AD3442" s="10"/>
      <c r="AE3442" s="10"/>
      <c r="AF3442" s="10"/>
      <c r="AG3442" s="10"/>
      <c r="AH3442" s="10"/>
    </row>
    <row r="3443" spans="1:34" outlineLevel="2">
      <c r="A3443" s="35"/>
      <c r="B3443" s="12" t="str">
        <f>IFERROR(VLOOKUP(D3443,'[1]Перечень товаров'!$A$2:$I9525,2,0),"")</f>
        <v>т4</v>
      </c>
      <c r="C3443" s="12" t="str">
        <f>IFERROR(VLOOKUP(D3443,'[1]Перечень товаров'!$A$2:$I9525,3,0),"")</f>
        <v xml:space="preserve">Техника </v>
      </c>
      <c r="D3443" s="35" t="s">
        <v>31</v>
      </c>
      <c r="E3443" s="88"/>
      <c r="F3443" s="88"/>
      <c r="G3443" s="48">
        <v>1</v>
      </c>
      <c r="H3443" s="48"/>
      <c r="I3443" s="49"/>
      <c r="J3443" s="49"/>
      <c r="K3443" s="19"/>
      <c r="L3443" s="20"/>
      <c r="M3443" s="10"/>
      <c r="N3443" s="10"/>
      <c r="O3443" s="10"/>
      <c r="P3443" s="10"/>
      <c r="Q3443" s="10"/>
      <c r="R3443" s="10"/>
      <c r="S3443" s="10"/>
      <c r="T3443" s="10"/>
      <c r="U3443" s="10"/>
      <c r="V3443" s="10"/>
      <c r="W3443" s="10"/>
      <c r="X3443" s="10"/>
      <c r="Y3443" s="10"/>
      <c r="Z3443" s="10"/>
      <c r="AA3443" s="10"/>
      <c r="AB3443" s="10"/>
      <c r="AC3443" s="10"/>
      <c r="AD3443" s="10"/>
      <c r="AE3443" s="10"/>
      <c r="AF3443" s="10"/>
      <c r="AG3443" s="10"/>
      <c r="AH3443" s="10"/>
    </row>
    <row r="3444" spans="1:34" outlineLevel="2">
      <c r="A3444" s="21"/>
      <c r="B3444" s="12" t="str">
        <f>IFERROR(VLOOKUP(D3444,'[1]Перечень товаров'!$A$2:$I9525,2,0),"")</f>
        <v>тм65</v>
      </c>
      <c r="C3444" s="12" t="str">
        <f>IFERROR(VLOOKUP(D3444,'[1]Перечень товаров'!$A$2:$I9525,3,0),"")</f>
        <v>Техника муз</v>
      </c>
      <c r="D3444" s="22" t="s">
        <v>380</v>
      </c>
      <c r="E3444" s="88"/>
      <c r="F3444" s="88"/>
      <c r="G3444" s="48">
        <v>1</v>
      </c>
      <c r="H3444" s="48"/>
      <c r="I3444" s="49"/>
      <c r="J3444" s="49"/>
      <c r="K3444" s="19"/>
      <c r="L3444" s="20"/>
      <c r="M3444" s="10"/>
      <c r="N3444" s="10"/>
      <c r="O3444" s="10"/>
      <c r="P3444" s="10"/>
      <c r="Q3444" s="10"/>
      <c r="R3444" s="10"/>
      <c r="S3444" s="10"/>
      <c r="T3444" s="10"/>
      <c r="U3444" s="10"/>
      <c r="V3444" s="10"/>
      <c r="W3444" s="10"/>
      <c r="X3444" s="10"/>
      <c r="Y3444" s="10"/>
      <c r="Z3444" s="10"/>
      <c r="AA3444" s="10"/>
      <c r="AB3444" s="10"/>
      <c r="AC3444" s="10"/>
      <c r="AD3444" s="10"/>
      <c r="AE3444" s="10"/>
      <c r="AF3444" s="10"/>
      <c r="AG3444" s="10"/>
      <c r="AH3444" s="10"/>
    </row>
    <row r="3445" spans="1:34" outlineLevel="2">
      <c r="A3445" s="21"/>
      <c r="B3445" s="12" t="str">
        <f>IFERROR(VLOOKUP(D3445,'[1]Перечень товаров'!$A$2:$I9525,2,0),"")</f>
        <v>т12</v>
      </c>
      <c r="C3445" s="12" t="str">
        <f>IFERROR(VLOOKUP(D3445,'[1]Перечень товаров'!$A$2:$I9525,3,0),"")</f>
        <v>Техника</v>
      </c>
      <c r="D3445" s="22" t="s">
        <v>49</v>
      </c>
      <c r="E3445" s="88"/>
      <c r="F3445" s="88"/>
      <c r="G3445" s="48">
        <v>1</v>
      </c>
      <c r="H3445" s="48"/>
      <c r="I3445" s="49"/>
      <c r="J3445" s="49"/>
      <c r="K3445" s="19"/>
      <c r="L3445" s="20"/>
      <c r="M3445" s="10"/>
      <c r="N3445" s="10"/>
      <c r="O3445" s="10"/>
      <c r="P3445" s="10"/>
      <c r="Q3445" s="10"/>
      <c r="R3445" s="10"/>
      <c r="S3445" s="10"/>
      <c r="T3445" s="10"/>
      <c r="U3445" s="10"/>
      <c r="V3445" s="10"/>
      <c r="W3445" s="10"/>
      <c r="X3445" s="10"/>
      <c r="Y3445" s="10"/>
      <c r="Z3445" s="10"/>
      <c r="AA3445" s="10"/>
      <c r="AB3445" s="10"/>
      <c r="AC3445" s="10"/>
      <c r="AD3445" s="10"/>
      <c r="AE3445" s="10"/>
      <c r="AF3445" s="10"/>
      <c r="AG3445" s="10"/>
      <c r="AH3445" s="10"/>
    </row>
    <row r="3446" spans="1:34" outlineLevel="2">
      <c r="A3446" s="35"/>
      <c r="B3446" s="12" t="str">
        <f>IFERROR(VLOOKUP(D3446,'[1]Перечень товаров'!$A$2:$I9525,2,0),"")</f>
        <v>т6</v>
      </c>
      <c r="C3446" s="12" t="str">
        <f>IFERROR(VLOOKUP(D3446,'[1]Перечень товаров'!$A$2:$I9525,3,0),"")</f>
        <v xml:space="preserve">Техника </v>
      </c>
      <c r="D3446" s="35" t="s">
        <v>33</v>
      </c>
      <c r="E3446" s="88"/>
      <c r="F3446" s="88"/>
      <c r="G3446" s="48">
        <v>1</v>
      </c>
      <c r="H3446" s="48"/>
      <c r="I3446" s="49"/>
      <c r="J3446" s="49"/>
      <c r="K3446" s="19"/>
      <c r="L3446" s="20"/>
      <c r="M3446" s="10"/>
      <c r="N3446" s="10"/>
      <c r="O3446" s="10"/>
      <c r="P3446" s="10"/>
      <c r="Q3446" s="10"/>
      <c r="R3446" s="10"/>
      <c r="S3446" s="10"/>
      <c r="T3446" s="10"/>
      <c r="U3446" s="10"/>
      <c r="V3446" s="10"/>
      <c r="W3446" s="10"/>
      <c r="X3446" s="10"/>
      <c r="Y3446" s="10"/>
      <c r="Z3446" s="10"/>
      <c r="AA3446" s="10"/>
      <c r="AB3446" s="10"/>
      <c r="AC3446" s="10"/>
      <c r="AD3446" s="10"/>
      <c r="AE3446" s="10"/>
      <c r="AF3446" s="10"/>
      <c r="AG3446" s="10"/>
      <c r="AH3446" s="10"/>
    </row>
    <row r="3447" spans="1:34" outlineLevel="2">
      <c r="A3447" s="22"/>
      <c r="B3447" s="12" t="str">
        <f>IFERROR(VLOOKUP(D3447,'[1]Перечень товаров'!$A$2:$I9525,2,0),"")</f>
        <v>т7</v>
      </c>
      <c r="C3447" s="12" t="str">
        <f>IFERROR(VLOOKUP(D3447,'[1]Перечень товаров'!$A$2:$I9525,3,0),"")</f>
        <v xml:space="preserve">Техника </v>
      </c>
      <c r="D3447" s="22" t="s">
        <v>34</v>
      </c>
      <c r="E3447" s="88"/>
      <c r="F3447" s="88"/>
      <c r="G3447" s="48">
        <v>3</v>
      </c>
      <c r="H3447" s="48"/>
      <c r="I3447" s="49"/>
      <c r="J3447" s="49"/>
      <c r="K3447" s="19"/>
      <c r="L3447" s="20"/>
      <c r="M3447" s="10"/>
      <c r="N3447" s="10"/>
      <c r="O3447" s="10"/>
      <c r="P3447" s="10"/>
      <c r="Q3447" s="10"/>
      <c r="R3447" s="10"/>
      <c r="S3447" s="10"/>
      <c r="T3447" s="10"/>
      <c r="U3447" s="10"/>
      <c r="V3447" s="10"/>
      <c r="W3447" s="10"/>
      <c r="X3447" s="10"/>
      <c r="Y3447" s="10"/>
      <c r="Z3447" s="10"/>
      <c r="AA3447" s="10"/>
      <c r="AB3447" s="10"/>
      <c r="AC3447" s="10"/>
      <c r="AD3447" s="10"/>
      <c r="AE3447" s="10"/>
      <c r="AF3447" s="10"/>
      <c r="AG3447" s="10"/>
      <c r="AH3447" s="10"/>
    </row>
    <row r="3448" spans="1:34" outlineLevel="2">
      <c r="A3448" s="35"/>
      <c r="B3448" s="12" t="str">
        <f>IFERROR(VLOOKUP(D3448,'[1]Перечень товаров'!$A$2:$I9525,2,0),"")</f>
        <v>т161</v>
      </c>
      <c r="C3448" s="12" t="str">
        <f>IFERROR(VLOOKUP(D3448,'[1]Перечень товаров'!$A$2:$I9525,3,0),"")</f>
        <v xml:space="preserve">Техника </v>
      </c>
      <c r="D3448" s="29" t="s">
        <v>381</v>
      </c>
      <c r="E3448" s="88"/>
      <c r="F3448" s="88"/>
      <c r="G3448" s="159">
        <v>1</v>
      </c>
      <c r="H3448" s="159"/>
      <c r="I3448" s="160"/>
      <c r="J3448" s="160"/>
      <c r="K3448" s="19"/>
      <c r="L3448" s="20"/>
      <c r="M3448" s="10"/>
      <c r="N3448" s="10"/>
      <c r="O3448" s="10"/>
      <c r="P3448" s="10"/>
      <c r="Q3448" s="10"/>
      <c r="R3448" s="10"/>
      <c r="S3448" s="10"/>
      <c r="T3448" s="10"/>
      <c r="U3448" s="10"/>
      <c r="V3448" s="10"/>
      <c r="W3448" s="10"/>
      <c r="X3448" s="10"/>
      <c r="Y3448" s="10"/>
      <c r="Z3448" s="10"/>
      <c r="AA3448" s="10"/>
      <c r="AB3448" s="10"/>
      <c r="AC3448" s="10"/>
      <c r="AD3448" s="10"/>
      <c r="AE3448" s="10"/>
      <c r="AF3448" s="10"/>
      <c r="AG3448" s="10"/>
      <c r="AH3448" s="10"/>
    </row>
    <row r="3449" spans="1:34" outlineLevel="2">
      <c r="A3449" s="114"/>
      <c r="B3449" s="12" t="str">
        <f>IFERROR(VLOOKUP(D3449,'[1]Перечень товаров'!$A$2:$I9525,2,0),"")</f>
        <v/>
      </c>
      <c r="C3449" s="12" t="str">
        <f>IFERROR(VLOOKUP(D3449,'[1]Перечень товаров'!$A$2:$I9525,3,0),"")</f>
        <v/>
      </c>
      <c r="D3449" s="114" t="s">
        <v>19</v>
      </c>
      <c r="E3449" s="115"/>
      <c r="F3449" s="115"/>
      <c r="G3449" s="157"/>
      <c r="H3449" s="157"/>
      <c r="I3449" s="158"/>
      <c r="J3449" s="158"/>
      <c r="K3449" s="19"/>
      <c r="L3449" s="20"/>
      <c r="M3449" s="10"/>
      <c r="N3449" s="10"/>
      <c r="O3449" s="10"/>
      <c r="P3449" s="10"/>
      <c r="Q3449" s="10"/>
      <c r="R3449" s="10"/>
      <c r="S3449" s="10"/>
      <c r="T3449" s="10"/>
      <c r="U3449" s="10"/>
      <c r="V3449" s="10"/>
      <c r="W3449" s="10"/>
      <c r="X3449" s="10"/>
      <c r="Y3449" s="10"/>
      <c r="Z3449" s="10"/>
      <c r="AA3449" s="10"/>
      <c r="AB3449" s="10"/>
      <c r="AC3449" s="10"/>
      <c r="AD3449" s="10"/>
      <c r="AE3449" s="10"/>
      <c r="AF3449" s="10"/>
      <c r="AG3449" s="10"/>
      <c r="AH3449" s="10"/>
    </row>
    <row r="3450" spans="1:34" outlineLevel="2">
      <c r="A3450" s="34"/>
      <c r="B3450" s="12" t="str">
        <f>IFERROR(VLOOKUP(D3450,'[1]Перечень товаров'!$A$2:$I9525,2,0),"")</f>
        <v>м62</v>
      </c>
      <c r="C3450" s="12" t="str">
        <f>IFERROR(VLOOKUP(D3450,'[1]Перечень товаров'!$A$2:$I9525,3,0),"")</f>
        <v>Мебель</v>
      </c>
      <c r="D3450" s="35" t="s">
        <v>398</v>
      </c>
      <c r="E3450" s="88"/>
      <c r="F3450" s="88"/>
      <c r="G3450" s="59">
        <v>1</v>
      </c>
      <c r="H3450" s="59"/>
      <c r="I3450" s="60"/>
      <c r="J3450" s="60"/>
      <c r="K3450" s="19"/>
      <c r="L3450" s="20"/>
      <c r="M3450" s="10"/>
      <c r="N3450" s="10"/>
      <c r="O3450" s="10"/>
      <c r="P3450" s="10"/>
      <c r="Q3450" s="10"/>
      <c r="R3450" s="10"/>
      <c r="S3450" s="10"/>
      <c r="T3450" s="10"/>
      <c r="U3450" s="10"/>
      <c r="V3450" s="10"/>
      <c r="W3450" s="10"/>
      <c r="X3450" s="10"/>
      <c r="Y3450" s="10"/>
      <c r="Z3450" s="10"/>
      <c r="AA3450" s="10"/>
      <c r="AB3450" s="10"/>
      <c r="AC3450" s="10"/>
      <c r="AD3450" s="10"/>
      <c r="AE3450" s="10"/>
      <c r="AF3450" s="10"/>
      <c r="AG3450" s="10"/>
      <c r="AH3450" s="10"/>
    </row>
    <row r="3451" spans="1:34" outlineLevel="2">
      <c r="A3451" s="34"/>
      <c r="B3451" s="12" t="str">
        <f>IFERROR(VLOOKUP(D3451,'[1]Перечень товаров'!$A$2:$I9525,2,0),"")</f>
        <v>м61</v>
      </c>
      <c r="C3451" s="12" t="str">
        <f>IFERROR(VLOOKUP(D3451,'[1]Перечень товаров'!$A$2:$I9525,3,0),"")</f>
        <v>Мебель</v>
      </c>
      <c r="D3451" s="35" t="s">
        <v>383</v>
      </c>
      <c r="E3451" s="88"/>
      <c r="F3451" s="88"/>
      <c r="G3451" s="59">
        <v>1</v>
      </c>
      <c r="H3451" s="59"/>
      <c r="I3451" s="60"/>
      <c r="J3451" s="60"/>
      <c r="K3451" s="19"/>
      <c r="L3451" s="20"/>
      <c r="M3451" s="10"/>
      <c r="N3451" s="10"/>
      <c r="O3451" s="10"/>
      <c r="P3451" s="10"/>
      <c r="Q3451" s="10"/>
      <c r="R3451" s="10"/>
      <c r="S3451" s="10"/>
      <c r="T3451" s="10"/>
      <c r="U3451" s="10"/>
      <c r="V3451" s="10"/>
      <c r="W3451" s="10"/>
      <c r="X3451" s="10"/>
      <c r="Y3451" s="10"/>
      <c r="Z3451" s="10"/>
      <c r="AA3451" s="10"/>
      <c r="AB3451" s="10"/>
      <c r="AC3451" s="10"/>
      <c r="AD3451" s="10"/>
      <c r="AE3451" s="10"/>
      <c r="AF3451" s="10"/>
      <c r="AG3451" s="10"/>
      <c r="AH3451" s="10"/>
    </row>
    <row r="3452" spans="1:34" outlineLevel="2">
      <c r="A3452" s="213"/>
      <c r="B3452" s="12" t="str">
        <f>IFERROR(VLOOKUP(D3452,'[1]Перечень товаров'!$A$2:$I9525,2,0),"")</f>
        <v>м176</v>
      </c>
      <c r="C3452" s="12" t="str">
        <f>IFERROR(VLOOKUP(D3452,'[1]Перечень товаров'!$A$2:$I9525,3,0),"")</f>
        <v>мебель</v>
      </c>
      <c r="D3452" s="214" t="s">
        <v>998</v>
      </c>
      <c r="E3452" s="88"/>
      <c r="F3452" s="88"/>
      <c r="G3452" s="159">
        <v>4</v>
      </c>
      <c r="H3452" s="159"/>
      <c r="I3452" s="160"/>
      <c r="J3452" s="160"/>
      <c r="K3452" s="19"/>
      <c r="L3452" s="20"/>
      <c r="M3452" s="10"/>
      <c r="N3452" s="10"/>
      <c r="O3452" s="10"/>
      <c r="P3452" s="10"/>
      <c r="Q3452" s="10"/>
      <c r="R3452" s="10"/>
      <c r="S3452" s="10"/>
      <c r="T3452" s="10"/>
      <c r="U3452" s="10"/>
      <c r="V3452" s="10"/>
      <c r="W3452" s="10"/>
      <c r="X3452" s="10"/>
      <c r="Y3452" s="10"/>
      <c r="Z3452" s="10"/>
      <c r="AA3452" s="10"/>
      <c r="AB3452" s="10"/>
      <c r="AC3452" s="10"/>
      <c r="AD3452" s="10"/>
      <c r="AE3452" s="10"/>
      <c r="AF3452" s="10"/>
      <c r="AG3452" s="10"/>
      <c r="AH3452" s="10"/>
    </row>
    <row r="3453" spans="1:34" outlineLevel="2">
      <c r="A3453" s="34"/>
      <c r="B3453" s="12" t="str">
        <f>IFERROR(VLOOKUP(D3453,'[1]Перечень товаров'!$A$2:$I9525,2,0),"")</f>
        <v>м61</v>
      </c>
      <c r="C3453" s="12" t="str">
        <f>IFERROR(VLOOKUP(D3453,'[1]Перечень товаров'!$A$2:$I9525,3,0),"")</f>
        <v>Мебель</v>
      </c>
      <c r="D3453" s="35" t="s">
        <v>384</v>
      </c>
      <c r="E3453" s="88"/>
      <c r="F3453" s="88"/>
      <c r="G3453" s="159">
        <v>4</v>
      </c>
      <c r="H3453" s="159"/>
      <c r="I3453" s="160"/>
      <c r="J3453" s="160"/>
      <c r="K3453" s="19"/>
      <c r="L3453" s="20"/>
      <c r="M3453" s="10"/>
      <c r="N3453" s="10"/>
      <c r="O3453" s="10"/>
      <c r="P3453" s="10"/>
      <c r="Q3453" s="10"/>
      <c r="R3453" s="10"/>
      <c r="S3453" s="10"/>
      <c r="T3453" s="10"/>
      <c r="U3453" s="10"/>
      <c r="V3453" s="10"/>
      <c r="W3453" s="10"/>
      <c r="X3453" s="10"/>
      <c r="Y3453" s="10"/>
      <c r="Z3453" s="10"/>
      <c r="AA3453" s="10"/>
      <c r="AB3453" s="10"/>
      <c r="AC3453" s="10"/>
      <c r="AD3453" s="10"/>
      <c r="AE3453" s="10"/>
      <c r="AF3453" s="10"/>
      <c r="AG3453" s="10"/>
      <c r="AH3453" s="10"/>
    </row>
    <row r="3454" spans="1:34" outlineLevel="2">
      <c r="A3454" s="22"/>
      <c r="B3454" s="12" t="str">
        <f>IFERROR(VLOOKUP(D3454,'[1]Перечень товаров'!$A$2:$I9525,2,0),"")</f>
        <v>м13</v>
      </c>
      <c r="C3454" s="12" t="str">
        <f>IFERROR(VLOOKUP(D3454,'[1]Перечень товаров'!$A$2:$I9525,3,0),"")</f>
        <v>Мебель</v>
      </c>
      <c r="D3454" s="22" t="s">
        <v>42</v>
      </c>
      <c r="E3454" s="88"/>
      <c r="F3454" s="88"/>
      <c r="G3454" s="48">
        <v>1</v>
      </c>
      <c r="H3454" s="48"/>
      <c r="I3454" s="49"/>
      <c r="J3454" s="49"/>
      <c r="K3454" s="19"/>
      <c r="L3454" s="20"/>
      <c r="M3454" s="10"/>
      <c r="N3454" s="10"/>
      <c r="O3454" s="10"/>
      <c r="P3454" s="10"/>
      <c r="Q3454" s="10"/>
      <c r="R3454" s="10"/>
      <c r="S3454" s="10"/>
      <c r="T3454" s="10"/>
      <c r="U3454" s="10"/>
      <c r="V3454" s="10"/>
      <c r="W3454" s="10"/>
      <c r="X3454" s="10"/>
      <c r="Y3454" s="10"/>
      <c r="Z3454" s="10"/>
      <c r="AA3454" s="10"/>
      <c r="AB3454" s="10"/>
      <c r="AC3454" s="10"/>
      <c r="AD3454" s="10"/>
      <c r="AE3454" s="10"/>
      <c r="AF3454" s="10"/>
      <c r="AG3454" s="10"/>
      <c r="AH3454" s="10"/>
    </row>
    <row r="3455" spans="1:34" outlineLevel="2">
      <c r="A3455" s="21"/>
      <c r="B3455" s="12" t="str">
        <f>IFERROR(VLOOKUP(D3455,'[1]Перечень товаров'!$A$2:$I9525,2,0),"")</f>
        <v>м14</v>
      </c>
      <c r="C3455" s="12" t="str">
        <f>IFERROR(VLOOKUP(D3455,'[1]Перечень товаров'!$A$2:$I9525,3,0),"")</f>
        <v>Мебель</v>
      </c>
      <c r="D3455" s="22" t="s">
        <v>43</v>
      </c>
      <c r="E3455" s="88"/>
      <c r="F3455" s="88"/>
      <c r="G3455" s="48">
        <v>1</v>
      </c>
      <c r="H3455" s="48"/>
      <c r="I3455" s="49"/>
      <c r="J3455" s="49"/>
      <c r="K3455" s="19"/>
      <c r="L3455" s="20"/>
      <c r="M3455" s="10"/>
      <c r="N3455" s="10"/>
      <c r="O3455" s="10"/>
      <c r="P3455" s="10"/>
      <c r="Q3455" s="10"/>
      <c r="R3455" s="10"/>
      <c r="S3455" s="10"/>
      <c r="T3455" s="10"/>
      <c r="U3455" s="10"/>
      <c r="V3455" s="10"/>
      <c r="W3455" s="10"/>
      <c r="X3455" s="10"/>
      <c r="Y3455" s="10"/>
      <c r="Z3455" s="10"/>
      <c r="AA3455" s="10"/>
      <c r="AB3455" s="10"/>
      <c r="AC3455" s="10"/>
      <c r="AD3455" s="10"/>
      <c r="AE3455" s="10"/>
      <c r="AF3455" s="10"/>
      <c r="AG3455" s="10"/>
      <c r="AH3455" s="10"/>
    </row>
    <row r="3456" spans="1:34" outlineLevel="2">
      <c r="A3456" s="21"/>
      <c r="B3456" s="12" t="str">
        <f>IFERROR(VLOOKUP(D3456,'[1]Перечень товаров'!$A$2:$I9525,2,0),"")</f>
        <v>п2</v>
      </c>
      <c r="C3456" s="12" t="str">
        <f>IFERROR(VLOOKUP(D3456,'[1]Перечень товаров'!$A$2:$I9525,3,0),"")</f>
        <v>Прочее</v>
      </c>
      <c r="D3456" s="22" t="s">
        <v>46</v>
      </c>
      <c r="E3456" s="88"/>
      <c r="F3456" s="88"/>
      <c r="G3456" s="24">
        <v>1</v>
      </c>
      <c r="H3456" s="24"/>
      <c r="I3456" s="25"/>
      <c r="J3456" s="25"/>
      <c r="K3456" s="19"/>
      <c r="L3456" s="20"/>
      <c r="M3456" s="10"/>
      <c r="N3456" s="10"/>
      <c r="O3456" s="10"/>
      <c r="P3456" s="10"/>
      <c r="Q3456" s="10"/>
      <c r="R3456" s="10"/>
      <c r="S3456" s="10"/>
      <c r="T3456" s="10"/>
      <c r="U3456" s="10"/>
      <c r="V3456" s="10"/>
      <c r="W3456" s="10"/>
      <c r="X3456" s="10"/>
      <c r="Y3456" s="10"/>
      <c r="Z3456" s="10"/>
      <c r="AA3456" s="10"/>
      <c r="AB3456" s="10"/>
      <c r="AC3456" s="10"/>
      <c r="AD3456" s="10"/>
      <c r="AE3456" s="10"/>
      <c r="AF3456" s="10"/>
      <c r="AG3456" s="10"/>
      <c r="AH3456" s="10"/>
    </row>
    <row r="3457" spans="1:34" ht="12.75" outlineLevel="1">
      <c r="A3457" s="11"/>
      <c r="B3457" s="12" t="str">
        <f>IFERROR(VLOOKUP(D3457,'[1]Перечень товаров'!$A$2:$I9525,2,0),"")</f>
        <v/>
      </c>
      <c r="C3457" s="12" t="str">
        <f>IFERROR(VLOOKUP(D3457,'[1]Перечень товаров'!$A$2:$I9525,3,0),"")</f>
        <v/>
      </c>
      <c r="D3457" s="27" t="s">
        <v>997</v>
      </c>
      <c r="E3457" s="14">
        <v>22.4</v>
      </c>
      <c r="F3457" s="14"/>
      <c r="G3457" s="17"/>
      <c r="H3457" s="17"/>
      <c r="I3457" s="57"/>
      <c r="J3457" s="57"/>
      <c r="K3457" s="19"/>
      <c r="L3457" s="20"/>
      <c r="M3457" s="10"/>
      <c r="N3457" s="10"/>
      <c r="O3457" s="10"/>
      <c r="P3457" s="10"/>
      <c r="Q3457" s="10"/>
      <c r="R3457" s="10"/>
      <c r="S3457" s="10"/>
      <c r="T3457" s="10"/>
      <c r="U3457" s="10"/>
      <c r="V3457" s="10"/>
      <c r="W3457" s="10"/>
      <c r="X3457" s="10"/>
      <c r="Y3457" s="10"/>
      <c r="Z3457" s="10"/>
      <c r="AA3457" s="10"/>
      <c r="AB3457" s="10"/>
      <c r="AC3457" s="10"/>
      <c r="AD3457" s="10"/>
      <c r="AE3457" s="10"/>
      <c r="AF3457" s="10"/>
      <c r="AG3457" s="10"/>
      <c r="AH3457" s="10"/>
    </row>
    <row r="3458" spans="1:34" outlineLevel="2">
      <c r="A3458" s="113"/>
      <c r="B3458" s="12" t="str">
        <f>IFERROR(VLOOKUP(D3458,'[1]Перечень товаров'!$A$2:$I9525,2,0),"")</f>
        <v/>
      </c>
      <c r="C3458" s="12" t="str">
        <f>IFERROR(VLOOKUP(D3458,'[1]Перечень товаров'!$A$2:$I9525,3,0),"")</f>
        <v/>
      </c>
      <c r="D3458" s="114" t="s">
        <v>391</v>
      </c>
      <c r="E3458" s="122"/>
      <c r="F3458" s="122"/>
      <c r="G3458" s="123"/>
      <c r="H3458" s="123"/>
      <c r="I3458" s="124"/>
      <c r="J3458" s="124"/>
      <c r="K3458" s="19"/>
      <c r="L3458" s="20"/>
      <c r="M3458" s="10"/>
      <c r="N3458" s="10"/>
      <c r="O3458" s="10"/>
      <c r="P3458" s="10"/>
      <c r="Q3458" s="10"/>
      <c r="R3458" s="10"/>
      <c r="S3458" s="10"/>
      <c r="T3458" s="10"/>
      <c r="U3458" s="10"/>
      <c r="V3458" s="10"/>
      <c r="W3458" s="10"/>
      <c r="X3458" s="10"/>
      <c r="Y3458" s="10"/>
      <c r="Z3458" s="10"/>
      <c r="AA3458" s="10"/>
      <c r="AB3458" s="10"/>
      <c r="AC3458" s="10"/>
      <c r="AD3458" s="10"/>
      <c r="AE3458" s="10"/>
      <c r="AF3458" s="10"/>
      <c r="AG3458" s="10"/>
      <c r="AH3458" s="10"/>
    </row>
    <row r="3459" spans="1:34" outlineLevel="2">
      <c r="A3459" s="28"/>
      <c r="B3459" s="12" t="str">
        <f>IFERROR(VLOOKUP(D3459,'[1]Перечень товаров'!$A$2:$I9525,2,0),"")</f>
        <v/>
      </c>
      <c r="C3459" s="12" t="str">
        <f>IFERROR(VLOOKUP(D3459,'[1]Перечень товаров'!$A$2:$I9525,3,0),"")</f>
        <v/>
      </c>
      <c r="D3459" s="29" t="s">
        <v>992</v>
      </c>
      <c r="E3459" s="30"/>
      <c r="F3459" s="30"/>
      <c r="G3459" s="31">
        <v>1</v>
      </c>
      <c r="H3459" s="31"/>
      <c r="I3459" s="32"/>
      <c r="J3459" s="32"/>
      <c r="K3459" s="19"/>
      <c r="L3459" s="20"/>
      <c r="M3459" s="10"/>
      <c r="N3459" s="10"/>
      <c r="O3459" s="10"/>
      <c r="P3459" s="10"/>
      <c r="Q3459" s="10"/>
      <c r="R3459" s="10"/>
      <c r="S3459" s="10"/>
      <c r="T3459" s="10"/>
      <c r="U3459" s="10"/>
      <c r="V3459" s="10"/>
      <c r="W3459" s="10"/>
      <c r="X3459" s="10"/>
      <c r="Y3459" s="10"/>
      <c r="Z3459" s="10"/>
      <c r="AA3459" s="10"/>
      <c r="AB3459" s="10"/>
      <c r="AC3459" s="10"/>
      <c r="AD3459" s="10"/>
      <c r="AE3459" s="10"/>
      <c r="AF3459" s="10"/>
      <c r="AG3459" s="10"/>
      <c r="AH3459" s="10"/>
    </row>
    <row r="3460" spans="1:34" ht="31.5" outlineLevel="2">
      <c r="A3460" s="28"/>
      <c r="B3460" s="12" t="str">
        <f>IFERROR(VLOOKUP(D3460,'[1]Перечень товаров'!$A$2:$I9525,2,0),"")</f>
        <v>д556</v>
      </c>
      <c r="C3460" s="12" t="str">
        <f>IFERROR(VLOOKUP(D3460,'[1]Перечень товаров'!$A$2:$I9525,3,0),"")</f>
        <v>дидактика</v>
      </c>
      <c r="D3460" s="29" t="s">
        <v>993</v>
      </c>
      <c r="E3460" s="30"/>
      <c r="F3460" s="30"/>
      <c r="G3460" s="31">
        <v>1</v>
      </c>
      <c r="H3460" s="31"/>
      <c r="I3460" s="32"/>
      <c r="J3460" s="32"/>
      <c r="K3460" s="19"/>
      <c r="L3460" s="20"/>
      <c r="M3460" s="10"/>
      <c r="N3460" s="10"/>
      <c r="O3460" s="10"/>
      <c r="P3460" s="10"/>
      <c r="Q3460" s="10"/>
      <c r="R3460" s="10"/>
      <c r="S3460" s="10"/>
      <c r="T3460" s="10"/>
      <c r="U3460" s="10"/>
      <c r="V3460" s="10"/>
      <c r="W3460" s="10"/>
      <c r="X3460" s="10"/>
      <c r="Y3460" s="10"/>
      <c r="Z3460" s="10"/>
      <c r="AA3460" s="10"/>
      <c r="AB3460" s="10"/>
      <c r="AC3460" s="10"/>
      <c r="AD3460" s="10"/>
      <c r="AE3460" s="10"/>
      <c r="AF3460" s="10"/>
      <c r="AG3460" s="10"/>
      <c r="AH3460" s="10"/>
    </row>
    <row r="3461" spans="1:34" ht="31.5" outlineLevel="2">
      <c r="A3461" s="28"/>
      <c r="B3461" s="12" t="str">
        <f>IFERROR(VLOOKUP(D3461,'[1]Перечень товаров'!$A$2:$I9525,2,0),"")</f>
        <v>пм212</v>
      </c>
      <c r="C3461" s="12" t="str">
        <f>IFERROR(VLOOKUP(D3461,'[1]Перечень товаров'!$A$2:$I9525,3,0),"")</f>
        <v>прочее муз</v>
      </c>
      <c r="D3461" s="29" t="s">
        <v>994</v>
      </c>
      <c r="E3461" s="30"/>
      <c r="F3461" s="30"/>
      <c r="G3461" s="31">
        <v>1</v>
      </c>
      <c r="H3461" s="31"/>
      <c r="I3461" s="32"/>
      <c r="J3461" s="32"/>
      <c r="K3461" s="19"/>
      <c r="L3461" s="20"/>
      <c r="M3461" s="10"/>
      <c r="N3461" s="10"/>
      <c r="O3461" s="10"/>
      <c r="P3461" s="10"/>
      <c r="Q3461" s="10"/>
      <c r="R3461" s="10"/>
      <c r="S3461" s="10"/>
      <c r="T3461" s="10"/>
      <c r="U3461" s="10"/>
      <c r="V3461" s="10"/>
      <c r="W3461" s="10"/>
      <c r="X3461" s="10"/>
      <c r="Y3461" s="10"/>
      <c r="Z3461" s="10"/>
      <c r="AA3461" s="10"/>
      <c r="AB3461" s="10"/>
      <c r="AC3461" s="10"/>
      <c r="AD3461" s="10"/>
      <c r="AE3461" s="10"/>
      <c r="AF3461" s="10"/>
      <c r="AG3461" s="10"/>
      <c r="AH3461" s="10"/>
    </row>
    <row r="3462" spans="1:34" outlineLevel="2">
      <c r="A3462" s="28"/>
      <c r="B3462" s="12" t="str">
        <f>IFERROR(VLOOKUP(D3462,'[1]Перечень товаров'!$A$2:$I9525,2,0),"")</f>
        <v>пм211</v>
      </c>
      <c r="C3462" s="12" t="str">
        <f>IFERROR(VLOOKUP(D3462,'[1]Перечень товаров'!$A$2:$I9525,3,0),"")</f>
        <v>прочее муз</v>
      </c>
      <c r="D3462" s="29" t="s">
        <v>995</v>
      </c>
      <c r="E3462" s="30"/>
      <c r="F3462" s="30"/>
      <c r="G3462" s="31">
        <v>2</v>
      </c>
      <c r="H3462" s="31"/>
      <c r="I3462" s="32"/>
      <c r="J3462" s="32"/>
      <c r="K3462" s="19"/>
      <c r="L3462" s="20"/>
      <c r="M3462" s="10"/>
      <c r="N3462" s="10"/>
      <c r="O3462" s="10"/>
      <c r="P3462" s="10"/>
      <c r="Q3462" s="10"/>
      <c r="R3462" s="10"/>
      <c r="S3462" s="10"/>
      <c r="T3462" s="10"/>
      <c r="U3462" s="10"/>
      <c r="V3462" s="10"/>
      <c r="W3462" s="10"/>
      <c r="X3462" s="10"/>
      <c r="Y3462" s="10"/>
      <c r="Z3462" s="10"/>
      <c r="AA3462" s="10"/>
      <c r="AB3462" s="10"/>
      <c r="AC3462" s="10"/>
      <c r="AD3462" s="10"/>
      <c r="AE3462" s="10"/>
      <c r="AF3462" s="10"/>
      <c r="AG3462" s="10"/>
      <c r="AH3462" s="10"/>
    </row>
    <row r="3463" spans="1:34" ht="31.5" outlineLevel="2">
      <c r="A3463" s="28"/>
      <c r="B3463" s="12" t="str">
        <f>IFERROR(VLOOKUP(D3463,'[1]Перечень товаров'!$A$2:$I9525,2,0),"")</f>
        <v>пм210</v>
      </c>
      <c r="C3463" s="12" t="str">
        <f>IFERROR(VLOOKUP(D3463,'[1]Перечень товаров'!$A$2:$I9525,3,0),"")</f>
        <v>прочее муз</v>
      </c>
      <c r="D3463" s="29" t="s">
        <v>996</v>
      </c>
      <c r="E3463" s="30"/>
      <c r="F3463" s="30"/>
      <c r="G3463" s="31">
        <v>1</v>
      </c>
      <c r="H3463" s="31"/>
      <c r="I3463" s="32"/>
      <c r="J3463" s="32"/>
      <c r="K3463" s="19"/>
      <c r="L3463" s="20"/>
      <c r="M3463" s="10"/>
      <c r="N3463" s="10"/>
      <c r="O3463" s="10"/>
      <c r="P3463" s="10"/>
      <c r="Q3463" s="10"/>
      <c r="R3463" s="10"/>
      <c r="S3463" s="10"/>
      <c r="T3463" s="10"/>
      <c r="U3463" s="10"/>
      <c r="V3463" s="10"/>
      <c r="W3463" s="10"/>
      <c r="X3463" s="10"/>
      <c r="Y3463" s="10"/>
      <c r="Z3463" s="10"/>
      <c r="AA3463" s="10"/>
      <c r="AB3463" s="10"/>
      <c r="AC3463" s="10"/>
      <c r="AD3463" s="10"/>
      <c r="AE3463" s="10"/>
      <c r="AF3463" s="10"/>
      <c r="AG3463" s="10"/>
      <c r="AH3463" s="10"/>
    </row>
    <row r="3464" spans="1:34" ht="15" outlineLevel="2">
      <c r="A3464" s="109"/>
      <c r="B3464" s="12" t="str">
        <f>IFERROR(VLOOKUP(D3464,'[1]Перечень товаров'!$A$2:$I9525,2,0),"")</f>
        <v/>
      </c>
      <c r="C3464" s="12" t="str">
        <f>IFERROR(VLOOKUP(D3464,'[1]Перечень товаров'!$A$2:$I9525,3,0),"")</f>
        <v/>
      </c>
      <c r="D3464" s="110" t="s">
        <v>27</v>
      </c>
      <c r="E3464" s="115"/>
      <c r="F3464" s="115"/>
      <c r="G3464" s="211"/>
      <c r="H3464" s="211"/>
      <c r="I3464" s="212"/>
      <c r="J3464" s="212"/>
      <c r="K3464" s="19"/>
      <c r="L3464" s="20"/>
      <c r="M3464" s="10"/>
      <c r="N3464" s="10"/>
      <c r="O3464" s="10"/>
      <c r="P3464" s="10"/>
      <c r="Q3464" s="10"/>
      <c r="R3464" s="10"/>
      <c r="S3464" s="10"/>
      <c r="T3464" s="10"/>
      <c r="U3464" s="10"/>
      <c r="V3464" s="10"/>
      <c r="W3464" s="10"/>
      <c r="X3464" s="10"/>
      <c r="Y3464" s="10"/>
      <c r="Z3464" s="10"/>
      <c r="AA3464" s="10"/>
      <c r="AB3464" s="10"/>
      <c r="AC3464" s="10"/>
      <c r="AD3464" s="10"/>
      <c r="AE3464" s="10"/>
      <c r="AF3464" s="10"/>
      <c r="AG3464" s="10"/>
      <c r="AH3464" s="10"/>
    </row>
    <row r="3465" spans="1:34" outlineLevel="2">
      <c r="A3465" s="21"/>
      <c r="B3465" s="12" t="str">
        <f>IFERROR(VLOOKUP(D3465,'[1]Перечень товаров'!$A$2:$I9525,2,0),"")</f>
        <v>т1</v>
      </c>
      <c r="C3465" s="12" t="str">
        <f>IFERROR(VLOOKUP(D3465,'[1]Перечень товаров'!$A$2:$I9525,3,0),"")</f>
        <v xml:space="preserve">Техника </v>
      </c>
      <c r="D3465" s="22" t="s">
        <v>28</v>
      </c>
      <c r="E3465" s="88"/>
      <c r="F3465" s="88"/>
      <c r="G3465" s="48">
        <v>1</v>
      </c>
      <c r="H3465" s="48"/>
      <c r="I3465" s="49"/>
      <c r="J3465" s="49"/>
      <c r="K3465" s="19"/>
      <c r="L3465" s="20"/>
      <c r="M3465" s="10"/>
      <c r="N3465" s="10"/>
      <c r="O3465" s="10"/>
      <c r="P3465" s="10"/>
      <c r="Q3465" s="10"/>
      <c r="R3465" s="10"/>
      <c r="S3465" s="10"/>
      <c r="T3465" s="10"/>
      <c r="U3465" s="10"/>
      <c r="V3465" s="10"/>
      <c r="W3465" s="10"/>
      <c r="X3465" s="10"/>
      <c r="Y3465" s="10"/>
      <c r="Z3465" s="10"/>
      <c r="AA3465" s="10"/>
      <c r="AB3465" s="10"/>
      <c r="AC3465" s="10"/>
      <c r="AD3465" s="10"/>
      <c r="AE3465" s="10"/>
      <c r="AF3465" s="10"/>
      <c r="AG3465" s="10"/>
      <c r="AH3465" s="10"/>
    </row>
    <row r="3466" spans="1:34" outlineLevel="2">
      <c r="A3466" s="22"/>
      <c r="B3466" s="12" t="str">
        <f>IFERROR(VLOOKUP(D3466,'[1]Перечень товаров'!$A$2:$I9525,2,0),"")</f>
        <v>т9</v>
      </c>
      <c r="C3466" s="12" t="str">
        <f>IFERROR(VLOOKUP(D3466,'[1]Перечень товаров'!$A$2:$I9525,3,0),"")</f>
        <v>Техника</v>
      </c>
      <c r="D3466" s="22" t="s">
        <v>36</v>
      </c>
      <c r="E3466" s="88"/>
      <c r="F3466" s="88"/>
      <c r="G3466" s="48">
        <v>1</v>
      </c>
      <c r="H3466" s="48"/>
      <c r="I3466" s="49"/>
      <c r="J3466" s="49"/>
      <c r="K3466" s="19"/>
      <c r="L3466" s="20"/>
      <c r="M3466" s="10"/>
      <c r="N3466" s="10"/>
      <c r="O3466" s="10"/>
      <c r="P3466" s="10"/>
      <c r="Q3466" s="10"/>
      <c r="R3466" s="10"/>
      <c r="S3466" s="10"/>
      <c r="T3466" s="10"/>
      <c r="U3466" s="10"/>
      <c r="V3466" s="10"/>
      <c r="W3466" s="10"/>
      <c r="X3466" s="10"/>
      <c r="Y3466" s="10"/>
      <c r="Z3466" s="10"/>
      <c r="AA3466" s="10"/>
      <c r="AB3466" s="10"/>
      <c r="AC3466" s="10"/>
      <c r="AD3466" s="10"/>
      <c r="AE3466" s="10"/>
      <c r="AF3466" s="10"/>
      <c r="AG3466" s="10"/>
      <c r="AH3466" s="10"/>
    </row>
    <row r="3467" spans="1:34" outlineLevel="2">
      <c r="A3467" s="35"/>
      <c r="B3467" s="12" t="str">
        <f>IFERROR(VLOOKUP(D3467,'[1]Перечень товаров'!$A$2:$I9525,2,0),"")</f>
        <v>т2</v>
      </c>
      <c r="C3467" s="12" t="str">
        <f>IFERROR(VLOOKUP(D3467,'[1]Перечень товаров'!$A$2:$I9525,3,0),"")</f>
        <v xml:space="preserve">Техника </v>
      </c>
      <c r="D3467" s="35" t="s">
        <v>29</v>
      </c>
      <c r="E3467" s="88"/>
      <c r="F3467" s="88"/>
      <c r="G3467" s="48">
        <v>1</v>
      </c>
      <c r="H3467" s="48"/>
      <c r="I3467" s="49"/>
      <c r="J3467" s="49"/>
      <c r="K3467" s="19"/>
      <c r="L3467" s="20"/>
      <c r="M3467" s="10"/>
      <c r="N3467" s="10"/>
      <c r="O3467" s="10"/>
      <c r="P3467" s="10"/>
      <c r="Q3467" s="10"/>
      <c r="R3467" s="10"/>
      <c r="S3467" s="10"/>
      <c r="T3467" s="10"/>
      <c r="U3467" s="10"/>
      <c r="V3467" s="10"/>
      <c r="W3467" s="10"/>
      <c r="X3467" s="10"/>
      <c r="Y3467" s="10"/>
      <c r="Z3467" s="10"/>
      <c r="AA3467" s="10"/>
      <c r="AB3467" s="10"/>
      <c r="AC3467" s="10"/>
      <c r="AD3467" s="10"/>
      <c r="AE3467" s="10"/>
      <c r="AF3467" s="10"/>
      <c r="AG3467" s="10"/>
      <c r="AH3467" s="10"/>
    </row>
    <row r="3468" spans="1:34" outlineLevel="2">
      <c r="A3468" s="35"/>
      <c r="B3468" s="12" t="str">
        <f>IFERROR(VLOOKUP(D3468,'[1]Перечень товаров'!$A$2:$I9525,2,0),"")</f>
        <v>т3</v>
      </c>
      <c r="C3468" s="12" t="str">
        <f>IFERROR(VLOOKUP(D3468,'[1]Перечень товаров'!$A$2:$I9525,3,0),"")</f>
        <v xml:space="preserve">Техника </v>
      </c>
      <c r="D3468" s="35" t="s">
        <v>30</v>
      </c>
      <c r="E3468" s="88"/>
      <c r="F3468" s="88"/>
      <c r="G3468" s="48">
        <v>1</v>
      </c>
      <c r="H3468" s="48"/>
      <c r="I3468" s="49"/>
      <c r="J3468" s="49"/>
      <c r="K3468" s="19"/>
      <c r="L3468" s="20"/>
      <c r="M3468" s="10"/>
      <c r="N3468" s="10"/>
      <c r="O3468" s="10"/>
      <c r="P3468" s="10"/>
      <c r="Q3468" s="10"/>
      <c r="R3468" s="10"/>
      <c r="S3468" s="10"/>
      <c r="T3468" s="10"/>
      <c r="U3468" s="10"/>
      <c r="V3468" s="10"/>
      <c r="W3468" s="10"/>
      <c r="X3468" s="10"/>
      <c r="Y3468" s="10"/>
      <c r="Z3468" s="10"/>
      <c r="AA3468" s="10"/>
      <c r="AB3468" s="10"/>
      <c r="AC3468" s="10"/>
      <c r="AD3468" s="10"/>
      <c r="AE3468" s="10"/>
      <c r="AF3468" s="10"/>
      <c r="AG3468" s="10"/>
      <c r="AH3468" s="10"/>
    </row>
    <row r="3469" spans="1:34" outlineLevel="2">
      <c r="A3469" s="35"/>
      <c r="B3469" s="12" t="str">
        <f>IFERROR(VLOOKUP(D3469,'[1]Перечень товаров'!$A$2:$I9525,2,0),"")</f>
        <v>т4</v>
      </c>
      <c r="C3469" s="12" t="str">
        <f>IFERROR(VLOOKUP(D3469,'[1]Перечень товаров'!$A$2:$I9525,3,0),"")</f>
        <v xml:space="preserve">Техника </v>
      </c>
      <c r="D3469" s="35" t="s">
        <v>31</v>
      </c>
      <c r="E3469" s="88"/>
      <c r="F3469" s="88"/>
      <c r="G3469" s="48">
        <v>1</v>
      </c>
      <c r="H3469" s="48"/>
      <c r="I3469" s="49"/>
      <c r="J3469" s="49"/>
      <c r="K3469" s="19"/>
      <c r="L3469" s="20"/>
      <c r="M3469" s="10"/>
      <c r="N3469" s="10"/>
      <c r="O3469" s="10"/>
      <c r="P3469" s="10"/>
      <c r="Q3469" s="10"/>
      <c r="R3469" s="10"/>
      <c r="S3469" s="10"/>
      <c r="T3469" s="10"/>
      <c r="U3469" s="10"/>
      <c r="V3469" s="10"/>
      <c r="W3469" s="10"/>
      <c r="X3469" s="10"/>
      <c r="Y3469" s="10"/>
      <c r="Z3469" s="10"/>
      <c r="AA3469" s="10"/>
      <c r="AB3469" s="10"/>
      <c r="AC3469" s="10"/>
      <c r="AD3469" s="10"/>
      <c r="AE3469" s="10"/>
      <c r="AF3469" s="10"/>
      <c r="AG3469" s="10"/>
      <c r="AH3469" s="10"/>
    </row>
    <row r="3470" spans="1:34" outlineLevel="2">
      <c r="A3470" s="21"/>
      <c r="B3470" s="12" t="str">
        <f>IFERROR(VLOOKUP(D3470,'[1]Перечень товаров'!$A$2:$I9525,2,0),"")</f>
        <v>тм65</v>
      </c>
      <c r="C3470" s="12" t="str">
        <f>IFERROR(VLOOKUP(D3470,'[1]Перечень товаров'!$A$2:$I9525,3,0),"")</f>
        <v>Техника муз</v>
      </c>
      <c r="D3470" s="22" t="s">
        <v>380</v>
      </c>
      <c r="E3470" s="88"/>
      <c r="F3470" s="88"/>
      <c r="G3470" s="48">
        <v>1</v>
      </c>
      <c r="H3470" s="48"/>
      <c r="I3470" s="49"/>
      <c r="J3470" s="49"/>
      <c r="K3470" s="19"/>
      <c r="L3470" s="20"/>
      <c r="M3470" s="10"/>
      <c r="N3470" s="10"/>
      <c r="O3470" s="10"/>
      <c r="P3470" s="10"/>
      <c r="Q3470" s="10"/>
      <c r="R3470" s="10"/>
      <c r="S3470" s="10"/>
      <c r="T3470" s="10"/>
      <c r="U3470" s="10"/>
      <c r="V3470" s="10"/>
      <c r="W3470" s="10"/>
      <c r="X3470" s="10"/>
      <c r="Y3470" s="10"/>
      <c r="Z3470" s="10"/>
      <c r="AA3470" s="10"/>
      <c r="AB3470" s="10"/>
      <c r="AC3470" s="10"/>
      <c r="AD3470" s="10"/>
      <c r="AE3470" s="10"/>
      <c r="AF3470" s="10"/>
      <c r="AG3470" s="10"/>
      <c r="AH3470" s="10"/>
    </row>
    <row r="3471" spans="1:34" outlineLevel="2">
      <c r="A3471" s="21"/>
      <c r="B3471" s="12" t="str">
        <f>IFERROR(VLOOKUP(D3471,'[1]Перечень товаров'!$A$2:$I9525,2,0),"")</f>
        <v>т12</v>
      </c>
      <c r="C3471" s="12" t="str">
        <f>IFERROR(VLOOKUP(D3471,'[1]Перечень товаров'!$A$2:$I9525,3,0),"")</f>
        <v>Техника</v>
      </c>
      <c r="D3471" s="22" t="s">
        <v>49</v>
      </c>
      <c r="E3471" s="88"/>
      <c r="F3471" s="88"/>
      <c r="G3471" s="48">
        <v>1</v>
      </c>
      <c r="H3471" s="48"/>
      <c r="I3471" s="49"/>
      <c r="J3471" s="49"/>
      <c r="K3471" s="19"/>
      <c r="L3471" s="20"/>
      <c r="M3471" s="10"/>
      <c r="N3471" s="10"/>
      <c r="O3471" s="10"/>
      <c r="P3471" s="10"/>
      <c r="Q3471" s="10"/>
      <c r="R3471" s="10"/>
      <c r="S3471" s="10"/>
      <c r="T3471" s="10"/>
      <c r="U3471" s="10"/>
      <c r="V3471" s="10"/>
      <c r="W3471" s="10"/>
      <c r="X3471" s="10"/>
      <c r="Y3471" s="10"/>
      <c r="Z3471" s="10"/>
      <c r="AA3471" s="10"/>
      <c r="AB3471" s="10"/>
      <c r="AC3471" s="10"/>
      <c r="AD3471" s="10"/>
      <c r="AE3471" s="10"/>
      <c r="AF3471" s="10"/>
      <c r="AG3471" s="10"/>
      <c r="AH3471" s="10"/>
    </row>
    <row r="3472" spans="1:34" outlineLevel="2">
      <c r="A3472" s="35"/>
      <c r="B3472" s="12" t="str">
        <f>IFERROR(VLOOKUP(D3472,'[1]Перечень товаров'!$A$2:$I9525,2,0),"")</f>
        <v>т6</v>
      </c>
      <c r="C3472" s="12" t="str">
        <f>IFERROR(VLOOKUP(D3472,'[1]Перечень товаров'!$A$2:$I9525,3,0),"")</f>
        <v xml:space="preserve">Техника </v>
      </c>
      <c r="D3472" s="35" t="s">
        <v>33</v>
      </c>
      <c r="E3472" s="88"/>
      <c r="F3472" s="88"/>
      <c r="G3472" s="48">
        <v>1</v>
      </c>
      <c r="H3472" s="48"/>
      <c r="I3472" s="49"/>
      <c r="J3472" s="49"/>
      <c r="K3472" s="19"/>
      <c r="L3472" s="20"/>
      <c r="M3472" s="10"/>
      <c r="N3472" s="10"/>
      <c r="O3472" s="10"/>
      <c r="P3472" s="10"/>
      <c r="Q3472" s="10"/>
      <c r="R3472" s="10"/>
      <c r="S3472" s="10"/>
      <c r="T3472" s="10"/>
      <c r="U3472" s="10"/>
      <c r="V3472" s="10"/>
      <c r="W3472" s="10"/>
      <c r="X3472" s="10"/>
      <c r="Y3472" s="10"/>
      <c r="Z3472" s="10"/>
      <c r="AA3472" s="10"/>
      <c r="AB3472" s="10"/>
      <c r="AC3472" s="10"/>
      <c r="AD3472" s="10"/>
      <c r="AE3472" s="10"/>
      <c r="AF3472" s="10"/>
      <c r="AG3472" s="10"/>
      <c r="AH3472" s="10"/>
    </row>
    <row r="3473" spans="1:34" outlineLevel="2">
      <c r="A3473" s="22"/>
      <c r="B3473" s="12" t="str">
        <f>IFERROR(VLOOKUP(D3473,'[1]Перечень товаров'!$A$2:$I9525,2,0),"")</f>
        <v>т7</v>
      </c>
      <c r="C3473" s="12" t="str">
        <f>IFERROR(VLOOKUP(D3473,'[1]Перечень товаров'!$A$2:$I9525,3,0),"")</f>
        <v xml:space="preserve">Техника </v>
      </c>
      <c r="D3473" s="22" t="s">
        <v>34</v>
      </c>
      <c r="E3473" s="88"/>
      <c r="F3473" s="88"/>
      <c r="G3473" s="48">
        <v>3</v>
      </c>
      <c r="H3473" s="48"/>
      <c r="I3473" s="49"/>
      <c r="J3473" s="49"/>
      <c r="K3473" s="19"/>
      <c r="L3473" s="20"/>
      <c r="M3473" s="10"/>
      <c r="N3473" s="10"/>
      <c r="O3473" s="10"/>
      <c r="P3473" s="10"/>
      <c r="Q3473" s="10"/>
      <c r="R3473" s="10"/>
      <c r="S3473" s="10"/>
      <c r="T3473" s="10"/>
      <c r="U3473" s="10"/>
      <c r="V3473" s="10"/>
      <c r="W3473" s="10"/>
      <c r="X3473" s="10"/>
      <c r="Y3473" s="10"/>
      <c r="Z3473" s="10"/>
      <c r="AA3473" s="10"/>
      <c r="AB3473" s="10"/>
      <c r="AC3473" s="10"/>
      <c r="AD3473" s="10"/>
      <c r="AE3473" s="10"/>
      <c r="AF3473" s="10"/>
      <c r="AG3473" s="10"/>
      <c r="AH3473" s="10"/>
    </row>
    <row r="3474" spans="1:34" outlineLevel="2">
      <c r="A3474" s="35"/>
      <c r="B3474" s="12" t="str">
        <f>IFERROR(VLOOKUP(D3474,'[1]Перечень товаров'!$A$2:$I9525,2,0),"")</f>
        <v>т161</v>
      </c>
      <c r="C3474" s="12" t="str">
        <f>IFERROR(VLOOKUP(D3474,'[1]Перечень товаров'!$A$2:$I9525,3,0),"")</f>
        <v xml:space="preserve">Техника </v>
      </c>
      <c r="D3474" s="29" t="s">
        <v>381</v>
      </c>
      <c r="E3474" s="88"/>
      <c r="F3474" s="88"/>
      <c r="G3474" s="159">
        <v>1</v>
      </c>
      <c r="H3474" s="159"/>
      <c r="I3474" s="160"/>
      <c r="J3474" s="160"/>
      <c r="K3474" s="19"/>
      <c r="L3474" s="20"/>
      <c r="M3474" s="10"/>
      <c r="N3474" s="10"/>
      <c r="O3474" s="10"/>
      <c r="P3474" s="10"/>
      <c r="Q3474" s="10"/>
      <c r="R3474" s="10"/>
      <c r="S3474" s="10"/>
      <c r="T3474" s="10"/>
      <c r="U3474" s="10"/>
      <c r="V3474" s="10"/>
      <c r="W3474" s="10"/>
      <c r="X3474" s="10"/>
      <c r="Y3474" s="10"/>
      <c r="Z3474" s="10"/>
      <c r="AA3474" s="10"/>
      <c r="AB3474" s="10"/>
      <c r="AC3474" s="10"/>
      <c r="AD3474" s="10"/>
      <c r="AE3474" s="10"/>
      <c r="AF3474" s="10"/>
      <c r="AG3474" s="10"/>
      <c r="AH3474" s="10"/>
    </row>
    <row r="3475" spans="1:34" outlineLevel="2">
      <c r="A3475" s="114"/>
      <c r="B3475" s="12" t="str">
        <f>IFERROR(VLOOKUP(D3475,'[1]Перечень товаров'!$A$2:$I9525,2,0),"")</f>
        <v/>
      </c>
      <c r="C3475" s="12" t="str">
        <f>IFERROR(VLOOKUP(D3475,'[1]Перечень товаров'!$A$2:$I9525,3,0),"")</f>
        <v/>
      </c>
      <c r="D3475" s="114" t="s">
        <v>19</v>
      </c>
      <c r="E3475" s="115"/>
      <c r="F3475" s="115"/>
      <c r="G3475" s="157"/>
      <c r="H3475" s="157"/>
      <c r="I3475" s="158"/>
      <c r="J3475" s="158"/>
      <c r="K3475" s="19"/>
      <c r="L3475" s="20"/>
      <c r="M3475" s="10"/>
      <c r="N3475" s="10"/>
      <c r="O3475" s="10"/>
      <c r="P3475" s="10"/>
      <c r="Q3475" s="10"/>
      <c r="R3475" s="10"/>
      <c r="S3475" s="10"/>
      <c r="T3475" s="10"/>
      <c r="U3475" s="10"/>
      <c r="V3475" s="10"/>
      <c r="W3475" s="10"/>
      <c r="X3475" s="10"/>
      <c r="Y3475" s="10"/>
      <c r="Z3475" s="10"/>
      <c r="AA3475" s="10"/>
      <c r="AB3475" s="10"/>
      <c r="AC3475" s="10"/>
      <c r="AD3475" s="10"/>
      <c r="AE3475" s="10"/>
      <c r="AF3475" s="10"/>
      <c r="AG3475" s="10"/>
      <c r="AH3475" s="10"/>
    </row>
    <row r="3476" spans="1:34" outlineLevel="2">
      <c r="A3476" s="34"/>
      <c r="B3476" s="12" t="str">
        <f>IFERROR(VLOOKUP(D3476,'[1]Перечень товаров'!$A$2:$I9525,2,0),"")</f>
        <v>м62</v>
      </c>
      <c r="C3476" s="12" t="str">
        <f>IFERROR(VLOOKUP(D3476,'[1]Перечень товаров'!$A$2:$I9525,3,0),"")</f>
        <v>Мебель</v>
      </c>
      <c r="D3476" s="35" t="s">
        <v>398</v>
      </c>
      <c r="E3476" s="88"/>
      <c r="F3476" s="88"/>
      <c r="G3476" s="59">
        <v>1</v>
      </c>
      <c r="H3476" s="59"/>
      <c r="I3476" s="60"/>
      <c r="J3476" s="60"/>
      <c r="K3476" s="19"/>
      <c r="L3476" s="20"/>
      <c r="M3476" s="10"/>
      <c r="N3476" s="10"/>
      <c r="O3476" s="10"/>
      <c r="P3476" s="10"/>
      <c r="Q3476" s="10"/>
      <c r="R3476" s="10"/>
      <c r="S3476" s="10"/>
      <c r="T3476" s="10"/>
      <c r="U3476" s="10"/>
      <c r="V3476" s="10"/>
      <c r="W3476" s="10"/>
      <c r="X3476" s="10"/>
      <c r="Y3476" s="10"/>
      <c r="Z3476" s="10"/>
      <c r="AA3476" s="10"/>
      <c r="AB3476" s="10"/>
      <c r="AC3476" s="10"/>
      <c r="AD3476" s="10"/>
      <c r="AE3476" s="10"/>
      <c r="AF3476" s="10"/>
      <c r="AG3476" s="10"/>
      <c r="AH3476" s="10"/>
    </row>
    <row r="3477" spans="1:34" outlineLevel="2">
      <c r="A3477" s="34"/>
      <c r="B3477" s="12" t="str">
        <f>IFERROR(VLOOKUP(D3477,'[1]Перечень товаров'!$A$2:$I9525,2,0),"")</f>
        <v>м61</v>
      </c>
      <c r="C3477" s="12" t="str">
        <f>IFERROR(VLOOKUP(D3477,'[1]Перечень товаров'!$A$2:$I9525,3,0),"")</f>
        <v>Мебель</v>
      </c>
      <c r="D3477" s="35" t="s">
        <v>383</v>
      </c>
      <c r="E3477" s="88"/>
      <c r="F3477" s="88"/>
      <c r="G3477" s="59">
        <v>1</v>
      </c>
      <c r="H3477" s="59"/>
      <c r="I3477" s="60"/>
      <c r="J3477" s="60"/>
      <c r="K3477" s="19"/>
      <c r="L3477" s="20"/>
      <c r="M3477" s="10"/>
      <c r="N3477" s="10"/>
      <c r="O3477" s="10"/>
      <c r="P3477" s="10"/>
      <c r="Q3477" s="10"/>
      <c r="R3477" s="10"/>
      <c r="S3477" s="10"/>
      <c r="T3477" s="10"/>
      <c r="U3477" s="10"/>
      <c r="V3477" s="10"/>
      <c r="W3477" s="10"/>
      <c r="X3477" s="10"/>
      <c r="Y3477" s="10"/>
      <c r="Z3477" s="10"/>
      <c r="AA3477" s="10"/>
      <c r="AB3477" s="10"/>
      <c r="AC3477" s="10"/>
      <c r="AD3477" s="10"/>
      <c r="AE3477" s="10"/>
      <c r="AF3477" s="10"/>
      <c r="AG3477" s="10"/>
      <c r="AH3477" s="10"/>
    </row>
    <row r="3478" spans="1:34" outlineLevel="2">
      <c r="A3478" s="213"/>
      <c r="B3478" s="12" t="str">
        <f>IFERROR(VLOOKUP(D3478,'[1]Перечень товаров'!$A$2:$I9525,2,0),"")</f>
        <v>м176</v>
      </c>
      <c r="C3478" s="12" t="str">
        <f>IFERROR(VLOOKUP(D3478,'[1]Перечень товаров'!$A$2:$I9525,3,0),"")</f>
        <v>мебель</v>
      </c>
      <c r="D3478" s="214" t="s">
        <v>998</v>
      </c>
      <c r="E3478" s="88"/>
      <c r="F3478" s="88"/>
      <c r="G3478" s="159">
        <v>4</v>
      </c>
      <c r="H3478" s="159"/>
      <c r="I3478" s="160"/>
      <c r="J3478" s="160"/>
      <c r="K3478" s="19"/>
      <c r="L3478" s="20"/>
      <c r="M3478" s="10"/>
      <c r="N3478" s="10"/>
      <c r="O3478" s="10"/>
      <c r="P3478" s="10"/>
      <c r="Q3478" s="10"/>
      <c r="R3478" s="10"/>
      <c r="S3478" s="10"/>
      <c r="T3478" s="10"/>
      <c r="U3478" s="10"/>
      <c r="V3478" s="10"/>
      <c r="W3478" s="10"/>
      <c r="X3478" s="10"/>
      <c r="Y3478" s="10"/>
      <c r="Z3478" s="10"/>
      <c r="AA3478" s="10"/>
      <c r="AB3478" s="10"/>
      <c r="AC3478" s="10"/>
      <c r="AD3478" s="10"/>
      <c r="AE3478" s="10"/>
      <c r="AF3478" s="10"/>
      <c r="AG3478" s="10"/>
      <c r="AH3478" s="10"/>
    </row>
    <row r="3479" spans="1:34" outlineLevel="2">
      <c r="A3479" s="34"/>
      <c r="B3479" s="12" t="str">
        <f>IFERROR(VLOOKUP(D3479,'[1]Перечень товаров'!$A$2:$I9525,2,0),"")</f>
        <v>м61</v>
      </c>
      <c r="C3479" s="12" t="str">
        <f>IFERROR(VLOOKUP(D3479,'[1]Перечень товаров'!$A$2:$I9525,3,0),"")</f>
        <v>Мебель</v>
      </c>
      <c r="D3479" s="35" t="s">
        <v>384</v>
      </c>
      <c r="E3479" s="88"/>
      <c r="F3479" s="88"/>
      <c r="G3479" s="159">
        <v>4</v>
      </c>
      <c r="H3479" s="159"/>
      <c r="I3479" s="160"/>
      <c r="J3479" s="160"/>
      <c r="K3479" s="19"/>
      <c r="L3479" s="20"/>
      <c r="M3479" s="10"/>
      <c r="N3479" s="10"/>
      <c r="O3479" s="10"/>
      <c r="P3479" s="10"/>
      <c r="Q3479" s="10"/>
      <c r="R3479" s="10"/>
      <c r="S3479" s="10"/>
      <c r="T3479" s="10"/>
      <c r="U3479" s="10"/>
      <c r="V3479" s="10"/>
      <c r="W3479" s="10"/>
      <c r="X3479" s="10"/>
      <c r="Y3479" s="10"/>
      <c r="Z3479" s="10"/>
      <c r="AA3479" s="10"/>
      <c r="AB3479" s="10"/>
      <c r="AC3479" s="10"/>
      <c r="AD3479" s="10"/>
      <c r="AE3479" s="10"/>
      <c r="AF3479" s="10"/>
      <c r="AG3479" s="10"/>
      <c r="AH3479" s="10"/>
    </row>
    <row r="3480" spans="1:34" outlineLevel="2">
      <c r="A3480" s="22"/>
      <c r="B3480" s="12" t="str">
        <f>IFERROR(VLOOKUP(D3480,'[1]Перечень товаров'!$A$2:$I9525,2,0),"")</f>
        <v>м13</v>
      </c>
      <c r="C3480" s="12" t="str">
        <f>IFERROR(VLOOKUP(D3480,'[1]Перечень товаров'!$A$2:$I9525,3,0),"")</f>
        <v>Мебель</v>
      </c>
      <c r="D3480" s="22" t="s">
        <v>42</v>
      </c>
      <c r="E3480" s="88"/>
      <c r="F3480" s="88"/>
      <c r="G3480" s="48">
        <v>1</v>
      </c>
      <c r="H3480" s="48"/>
      <c r="I3480" s="49"/>
      <c r="J3480" s="49"/>
      <c r="K3480" s="19"/>
      <c r="L3480" s="20"/>
      <c r="M3480" s="10"/>
      <c r="N3480" s="10"/>
      <c r="O3480" s="10"/>
      <c r="P3480" s="10"/>
      <c r="Q3480" s="10"/>
      <c r="R3480" s="10"/>
      <c r="S3480" s="10"/>
      <c r="T3480" s="10"/>
      <c r="U3480" s="10"/>
      <c r="V3480" s="10"/>
      <c r="W3480" s="10"/>
      <c r="X3480" s="10"/>
      <c r="Y3480" s="10"/>
      <c r="Z3480" s="10"/>
      <c r="AA3480" s="10"/>
      <c r="AB3480" s="10"/>
      <c r="AC3480" s="10"/>
      <c r="AD3480" s="10"/>
      <c r="AE3480" s="10"/>
      <c r="AF3480" s="10"/>
      <c r="AG3480" s="10"/>
      <c r="AH3480" s="10"/>
    </row>
    <row r="3481" spans="1:34" outlineLevel="2">
      <c r="A3481" s="21"/>
      <c r="B3481" s="12" t="str">
        <f>IFERROR(VLOOKUP(D3481,'[1]Перечень товаров'!$A$2:$I9525,2,0),"")</f>
        <v>м14</v>
      </c>
      <c r="C3481" s="12" t="str">
        <f>IFERROR(VLOOKUP(D3481,'[1]Перечень товаров'!$A$2:$I9525,3,0),"")</f>
        <v>Мебель</v>
      </c>
      <c r="D3481" s="22" t="s">
        <v>43</v>
      </c>
      <c r="E3481" s="88"/>
      <c r="F3481" s="88"/>
      <c r="G3481" s="48">
        <v>1</v>
      </c>
      <c r="H3481" s="48"/>
      <c r="I3481" s="49"/>
      <c r="J3481" s="49"/>
      <c r="K3481" s="19"/>
      <c r="L3481" s="20"/>
      <c r="M3481" s="10"/>
      <c r="N3481" s="10"/>
      <c r="O3481" s="10"/>
      <c r="P3481" s="10"/>
      <c r="Q3481" s="10"/>
      <c r="R3481" s="10"/>
      <c r="S3481" s="10"/>
      <c r="T3481" s="10"/>
      <c r="U3481" s="10"/>
      <c r="V3481" s="10"/>
      <c r="W3481" s="10"/>
      <c r="X3481" s="10"/>
      <c r="Y3481" s="10"/>
      <c r="Z3481" s="10"/>
      <c r="AA3481" s="10"/>
      <c r="AB3481" s="10"/>
      <c r="AC3481" s="10"/>
      <c r="AD3481" s="10"/>
      <c r="AE3481" s="10"/>
      <c r="AF3481" s="10"/>
      <c r="AG3481" s="10"/>
      <c r="AH3481" s="10"/>
    </row>
    <row r="3482" spans="1:34" outlineLevel="2">
      <c r="A3482" s="21"/>
      <c r="B3482" s="12" t="str">
        <f>IFERROR(VLOOKUP(D3482,'[1]Перечень товаров'!$A$2:$I9525,2,0),"")</f>
        <v>п2</v>
      </c>
      <c r="C3482" s="12" t="str">
        <f>IFERROR(VLOOKUP(D3482,'[1]Перечень товаров'!$A$2:$I9525,3,0),"")</f>
        <v>Прочее</v>
      </c>
      <c r="D3482" s="22" t="s">
        <v>46</v>
      </c>
      <c r="E3482" s="88"/>
      <c r="F3482" s="88"/>
      <c r="G3482" s="24">
        <v>1</v>
      </c>
      <c r="H3482" s="24"/>
      <c r="I3482" s="25"/>
      <c r="J3482" s="25"/>
      <c r="K3482" s="19"/>
      <c r="L3482" s="20"/>
      <c r="M3482" s="10"/>
      <c r="N3482" s="10"/>
      <c r="O3482" s="10"/>
      <c r="P3482" s="10"/>
      <c r="Q3482" s="10"/>
      <c r="R3482" s="10"/>
      <c r="S3482" s="10"/>
      <c r="T3482" s="10"/>
      <c r="U3482" s="10"/>
      <c r="V3482" s="10"/>
      <c r="W3482" s="10"/>
      <c r="X3482" s="10"/>
      <c r="Y3482" s="10"/>
      <c r="Z3482" s="10"/>
      <c r="AA3482" s="10"/>
      <c r="AB3482" s="10"/>
      <c r="AC3482" s="10"/>
      <c r="AD3482" s="10"/>
      <c r="AE3482" s="10"/>
      <c r="AF3482" s="10"/>
      <c r="AG3482" s="10"/>
      <c r="AH3482" s="10"/>
    </row>
    <row r="3483" spans="1:34" ht="12.75" outlineLevel="1">
      <c r="A3483" s="11"/>
      <c r="B3483" s="12" t="str">
        <f>IFERROR(VLOOKUP(D3483,'[1]Перечень товаров'!$A$2:$I9525,2,0),"")</f>
        <v/>
      </c>
      <c r="C3483" s="12" t="str">
        <f>IFERROR(VLOOKUP(D3483,'[1]Перечень товаров'!$A$2:$I9525,3,0),"")</f>
        <v/>
      </c>
      <c r="D3483" s="27" t="s">
        <v>997</v>
      </c>
      <c r="E3483" s="14">
        <v>22</v>
      </c>
      <c r="F3483" s="14"/>
      <c r="G3483" s="17"/>
      <c r="H3483" s="17"/>
      <c r="I3483" s="57"/>
      <c r="J3483" s="57"/>
      <c r="K3483" s="19"/>
      <c r="L3483" s="20"/>
      <c r="M3483" s="10"/>
      <c r="N3483" s="10"/>
      <c r="O3483" s="10"/>
      <c r="P3483" s="10"/>
      <c r="Q3483" s="10"/>
      <c r="R3483" s="10"/>
      <c r="S3483" s="10"/>
      <c r="T3483" s="10"/>
      <c r="U3483" s="10"/>
      <c r="V3483" s="10"/>
      <c r="W3483" s="10"/>
      <c r="X3483" s="10"/>
      <c r="Y3483" s="10"/>
      <c r="Z3483" s="10"/>
      <c r="AA3483" s="10"/>
      <c r="AB3483" s="10"/>
      <c r="AC3483" s="10"/>
      <c r="AD3483" s="10"/>
      <c r="AE3483" s="10"/>
      <c r="AF3483" s="10"/>
      <c r="AG3483" s="10"/>
      <c r="AH3483" s="10"/>
    </row>
    <row r="3484" spans="1:34" outlineLevel="2">
      <c r="A3484" s="113"/>
      <c r="B3484" s="12" t="str">
        <f>IFERROR(VLOOKUP(D3484,'[1]Перечень товаров'!$A$2:$I9525,2,0),"")</f>
        <v/>
      </c>
      <c r="C3484" s="12" t="str">
        <f>IFERROR(VLOOKUP(D3484,'[1]Перечень товаров'!$A$2:$I9525,3,0),"")</f>
        <v/>
      </c>
      <c r="D3484" s="114" t="s">
        <v>391</v>
      </c>
      <c r="E3484" s="122"/>
      <c r="F3484" s="122"/>
      <c r="G3484" s="123"/>
      <c r="H3484" s="123"/>
      <c r="I3484" s="124"/>
      <c r="J3484" s="124"/>
      <c r="K3484" s="19"/>
      <c r="L3484" s="20"/>
      <c r="M3484" s="10"/>
      <c r="N3484" s="10"/>
      <c r="O3484" s="10"/>
      <c r="P3484" s="10"/>
      <c r="Q3484" s="10"/>
      <c r="R3484" s="10"/>
      <c r="S3484" s="10"/>
      <c r="T3484" s="10"/>
      <c r="U3484" s="10"/>
      <c r="V3484" s="10"/>
      <c r="W3484" s="10"/>
      <c r="X3484" s="10"/>
      <c r="Y3484" s="10"/>
      <c r="Z3484" s="10"/>
      <c r="AA3484" s="10"/>
      <c r="AB3484" s="10"/>
      <c r="AC3484" s="10"/>
      <c r="AD3484" s="10"/>
      <c r="AE3484" s="10"/>
      <c r="AF3484" s="10"/>
      <c r="AG3484" s="10"/>
      <c r="AH3484" s="10"/>
    </row>
    <row r="3485" spans="1:34" outlineLevel="2">
      <c r="A3485" s="28"/>
      <c r="B3485" s="12" t="str">
        <f>IFERROR(VLOOKUP(D3485,'[1]Перечень товаров'!$A$2:$I9525,2,0),"")</f>
        <v/>
      </c>
      <c r="C3485" s="12" t="str">
        <f>IFERROR(VLOOKUP(D3485,'[1]Перечень товаров'!$A$2:$I9525,3,0),"")</f>
        <v/>
      </c>
      <c r="D3485" s="29" t="s">
        <v>992</v>
      </c>
      <c r="E3485" s="30"/>
      <c r="F3485" s="30"/>
      <c r="G3485" s="31">
        <v>1</v>
      </c>
      <c r="H3485" s="31"/>
      <c r="I3485" s="32"/>
      <c r="J3485" s="32"/>
      <c r="K3485" s="19"/>
      <c r="L3485" s="20"/>
      <c r="M3485" s="10"/>
      <c r="N3485" s="10"/>
      <c r="O3485" s="10"/>
      <c r="P3485" s="10"/>
      <c r="Q3485" s="10"/>
      <c r="R3485" s="10"/>
      <c r="S3485" s="10"/>
      <c r="T3485" s="10"/>
      <c r="U3485" s="10"/>
      <c r="V3485" s="10"/>
      <c r="W3485" s="10"/>
      <c r="X3485" s="10"/>
      <c r="Y3485" s="10"/>
      <c r="Z3485" s="10"/>
      <c r="AA3485" s="10"/>
      <c r="AB3485" s="10"/>
      <c r="AC3485" s="10"/>
      <c r="AD3485" s="10"/>
      <c r="AE3485" s="10"/>
      <c r="AF3485" s="10"/>
      <c r="AG3485" s="10"/>
      <c r="AH3485" s="10"/>
    </row>
    <row r="3486" spans="1:34" ht="31.5" outlineLevel="2">
      <c r="A3486" s="28"/>
      <c r="B3486" s="12" t="str">
        <f>IFERROR(VLOOKUP(D3486,'[1]Перечень товаров'!$A$2:$I9525,2,0),"")</f>
        <v>д556</v>
      </c>
      <c r="C3486" s="12" t="str">
        <f>IFERROR(VLOOKUP(D3486,'[1]Перечень товаров'!$A$2:$I9525,3,0),"")</f>
        <v>дидактика</v>
      </c>
      <c r="D3486" s="29" t="s">
        <v>993</v>
      </c>
      <c r="E3486" s="30"/>
      <c r="F3486" s="30"/>
      <c r="G3486" s="31">
        <v>1</v>
      </c>
      <c r="H3486" s="31"/>
      <c r="I3486" s="32"/>
      <c r="J3486" s="32"/>
      <c r="K3486" s="19"/>
      <c r="L3486" s="20"/>
      <c r="M3486" s="10"/>
      <c r="N3486" s="10"/>
      <c r="O3486" s="10"/>
      <c r="P3486" s="10"/>
      <c r="Q3486" s="10"/>
      <c r="R3486" s="10"/>
      <c r="S3486" s="10"/>
      <c r="T3486" s="10"/>
      <c r="U3486" s="10"/>
      <c r="V3486" s="10"/>
      <c r="W3486" s="10"/>
      <c r="X3486" s="10"/>
      <c r="Y3486" s="10"/>
      <c r="Z3486" s="10"/>
      <c r="AA3486" s="10"/>
      <c r="AB3486" s="10"/>
      <c r="AC3486" s="10"/>
      <c r="AD3486" s="10"/>
      <c r="AE3486" s="10"/>
      <c r="AF3486" s="10"/>
      <c r="AG3486" s="10"/>
      <c r="AH3486" s="10"/>
    </row>
    <row r="3487" spans="1:34" ht="31.5" outlineLevel="2">
      <c r="A3487" s="28"/>
      <c r="B3487" s="12" t="str">
        <f>IFERROR(VLOOKUP(D3487,'[1]Перечень товаров'!$A$2:$I9525,2,0),"")</f>
        <v>пм212</v>
      </c>
      <c r="C3487" s="12" t="str">
        <f>IFERROR(VLOOKUP(D3487,'[1]Перечень товаров'!$A$2:$I9525,3,0),"")</f>
        <v>прочее муз</v>
      </c>
      <c r="D3487" s="29" t="s">
        <v>994</v>
      </c>
      <c r="E3487" s="30"/>
      <c r="F3487" s="30"/>
      <c r="G3487" s="31">
        <v>1</v>
      </c>
      <c r="H3487" s="31"/>
      <c r="I3487" s="32"/>
      <c r="J3487" s="32"/>
      <c r="K3487" s="19"/>
      <c r="L3487" s="20"/>
      <c r="M3487" s="10"/>
      <c r="N3487" s="10"/>
      <c r="O3487" s="10"/>
      <c r="P3487" s="10"/>
      <c r="Q3487" s="10"/>
      <c r="R3487" s="10"/>
      <c r="S3487" s="10"/>
      <c r="T3487" s="10"/>
      <c r="U3487" s="10"/>
      <c r="V3487" s="10"/>
      <c r="W3487" s="10"/>
      <c r="X3487" s="10"/>
      <c r="Y3487" s="10"/>
      <c r="Z3487" s="10"/>
      <c r="AA3487" s="10"/>
      <c r="AB3487" s="10"/>
      <c r="AC3487" s="10"/>
      <c r="AD3487" s="10"/>
      <c r="AE3487" s="10"/>
      <c r="AF3487" s="10"/>
      <c r="AG3487" s="10"/>
      <c r="AH3487" s="10"/>
    </row>
    <row r="3488" spans="1:34" outlineLevel="2">
      <c r="A3488" s="28"/>
      <c r="B3488" s="12" t="str">
        <f>IFERROR(VLOOKUP(D3488,'[1]Перечень товаров'!$A$2:$I9525,2,0),"")</f>
        <v>пм211</v>
      </c>
      <c r="C3488" s="12" t="str">
        <f>IFERROR(VLOOKUP(D3488,'[1]Перечень товаров'!$A$2:$I9525,3,0),"")</f>
        <v>прочее муз</v>
      </c>
      <c r="D3488" s="29" t="s">
        <v>995</v>
      </c>
      <c r="E3488" s="30"/>
      <c r="F3488" s="30"/>
      <c r="G3488" s="31">
        <v>2</v>
      </c>
      <c r="H3488" s="31"/>
      <c r="I3488" s="32"/>
      <c r="J3488" s="32"/>
      <c r="K3488" s="19"/>
      <c r="L3488" s="20"/>
      <c r="M3488" s="10"/>
      <c r="N3488" s="10"/>
      <c r="O3488" s="10"/>
      <c r="P3488" s="10"/>
      <c r="Q3488" s="10"/>
      <c r="R3488" s="10"/>
      <c r="S3488" s="10"/>
      <c r="T3488" s="10"/>
      <c r="U3488" s="10"/>
      <c r="V3488" s="10"/>
      <c r="W3488" s="10"/>
      <c r="X3488" s="10"/>
      <c r="Y3488" s="10"/>
      <c r="Z3488" s="10"/>
      <c r="AA3488" s="10"/>
      <c r="AB3488" s="10"/>
      <c r="AC3488" s="10"/>
      <c r="AD3488" s="10"/>
      <c r="AE3488" s="10"/>
      <c r="AF3488" s="10"/>
      <c r="AG3488" s="10"/>
      <c r="AH3488" s="10"/>
    </row>
    <row r="3489" spans="1:34" ht="31.5" outlineLevel="2">
      <c r="A3489" s="28"/>
      <c r="B3489" s="12" t="str">
        <f>IFERROR(VLOOKUP(D3489,'[1]Перечень товаров'!$A$2:$I9525,2,0),"")</f>
        <v>пм210</v>
      </c>
      <c r="C3489" s="12" t="str">
        <f>IFERROR(VLOOKUP(D3489,'[1]Перечень товаров'!$A$2:$I9525,3,0),"")</f>
        <v>прочее муз</v>
      </c>
      <c r="D3489" s="29" t="s">
        <v>996</v>
      </c>
      <c r="E3489" s="30"/>
      <c r="F3489" s="30"/>
      <c r="G3489" s="31">
        <v>1</v>
      </c>
      <c r="H3489" s="31"/>
      <c r="I3489" s="32"/>
      <c r="J3489" s="32"/>
      <c r="K3489" s="19"/>
      <c r="L3489" s="20"/>
      <c r="M3489" s="10"/>
      <c r="N3489" s="10"/>
      <c r="O3489" s="10"/>
      <c r="P3489" s="10"/>
      <c r="Q3489" s="10"/>
      <c r="R3489" s="10"/>
      <c r="S3489" s="10"/>
      <c r="T3489" s="10"/>
      <c r="U3489" s="10"/>
      <c r="V3489" s="10"/>
      <c r="W3489" s="10"/>
      <c r="X3489" s="10"/>
      <c r="Y3489" s="10"/>
      <c r="Z3489" s="10"/>
      <c r="AA3489" s="10"/>
      <c r="AB3489" s="10"/>
      <c r="AC3489" s="10"/>
      <c r="AD3489" s="10"/>
      <c r="AE3489" s="10"/>
      <c r="AF3489" s="10"/>
      <c r="AG3489" s="10"/>
      <c r="AH3489" s="10"/>
    </row>
    <row r="3490" spans="1:34" ht="15" outlineLevel="2">
      <c r="A3490" s="109"/>
      <c r="B3490" s="12" t="str">
        <f>IFERROR(VLOOKUP(D3490,'[1]Перечень товаров'!$A$2:$I9525,2,0),"")</f>
        <v/>
      </c>
      <c r="C3490" s="12" t="str">
        <f>IFERROR(VLOOKUP(D3490,'[1]Перечень товаров'!$A$2:$I9525,3,0),"")</f>
        <v/>
      </c>
      <c r="D3490" s="110" t="s">
        <v>27</v>
      </c>
      <c r="E3490" s="115"/>
      <c r="F3490" s="115"/>
      <c r="G3490" s="211"/>
      <c r="H3490" s="211"/>
      <c r="I3490" s="212"/>
      <c r="J3490" s="212"/>
      <c r="K3490" s="19"/>
      <c r="L3490" s="20"/>
      <c r="M3490" s="10"/>
      <c r="N3490" s="10"/>
      <c r="O3490" s="10"/>
      <c r="P3490" s="10"/>
      <c r="Q3490" s="10"/>
      <c r="R3490" s="10"/>
      <c r="S3490" s="10"/>
      <c r="T3490" s="10"/>
      <c r="U3490" s="10"/>
      <c r="V3490" s="10"/>
      <c r="W3490" s="10"/>
      <c r="X3490" s="10"/>
      <c r="Y3490" s="10"/>
      <c r="Z3490" s="10"/>
      <c r="AA3490" s="10"/>
      <c r="AB3490" s="10"/>
      <c r="AC3490" s="10"/>
      <c r="AD3490" s="10"/>
      <c r="AE3490" s="10"/>
      <c r="AF3490" s="10"/>
      <c r="AG3490" s="10"/>
      <c r="AH3490" s="10"/>
    </row>
    <row r="3491" spans="1:34" outlineLevel="2">
      <c r="A3491" s="21"/>
      <c r="B3491" s="12" t="str">
        <f>IFERROR(VLOOKUP(D3491,'[1]Перечень товаров'!$A$2:$I9525,2,0),"")</f>
        <v>т1</v>
      </c>
      <c r="C3491" s="12" t="str">
        <f>IFERROR(VLOOKUP(D3491,'[1]Перечень товаров'!$A$2:$I9525,3,0),"")</f>
        <v xml:space="preserve">Техника </v>
      </c>
      <c r="D3491" s="22" t="s">
        <v>28</v>
      </c>
      <c r="E3491" s="88"/>
      <c r="F3491" s="88"/>
      <c r="G3491" s="48">
        <v>1</v>
      </c>
      <c r="H3491" s="48"/>
      <c r="I3491" s="49"/>
      <c r="J3491" s="49"/>
      <c r="K3491" s="19"/>
      <c r="L3491" s="20"/>
      <c r="M3491" s="10"/>
      <c r="N3491" s="10"/>
      <c r="O3491" s="10"/>
      <c r="P3491" s="10"/>
      <c r="Q3491" s="10"/>
      <c r="R3491" s="10"/>
      <c r="S3491" s="10"/>
      <c r="T3491" s="10"/>
      <c r="U3491" s="10"/>
      <c r="V3491" s="10"/>
      <c r="W3491" s="10"/>
      <c r="X3491" s="10"/>
      <c r="Y3491" s="10"/>
      <c r="Z3491" s="10"/>
      <c r="AA3491" s="10"/>
      <c r="AB3491" s="10"/>
      <c r="AC3491" s="10"/>
      <c r="AD3491" s="10"/>
      <c r="AE3491" s="10"/>
      <c r="AF3491" s="10"/>
      <c r="AG3491" s="10"/>
      <c r="AH3491" s="10"/>
    </row>
    <row r="3492" spans="1:34" outlineLevel="2">
      <c r="A3492" s="22"/>
      <c r="B3492" s="12" t="str">
        <f>IFERROR(VLOOKUP(D3492,'[1]Перечень товаров'!$A$2:$I9525,2,0),"")</f>
        <v>т9</v>
      </c>
      <c r="C3492" s="12" t="str">
        <f>IFERROR(VLOOKUP(D3492,'[1]Перечень товаров'!$A$2:$I9525,3,0),"")</f>
        <v>Техника</v>
      </c>
      <c r="D3492" s="22" t="s">
        <v>36</v>
      </c>
      <c r="E3492" s="88"/>
      <c r="F3492" s="88"/>
      <c r="G3492" s="48">
        <v>1</v>
      </c>
      <c r="H3492" s="48"/>
      <c r="I3492" s="49"/>
      <c r="J3492" s="49"/>
      <c r="K3492" s="19"/>
      <c r="L3492" s="20"/>
      <c r="M3492" s="10"/>
      <c r="N3492" s="10"/>
      <c r="O3492" s="10"/>
      <c r="P3492" s="10"/>
      <c r="Q3492" s="10"/>
      <c r="R3492" s="10"/>
      <c r="S3492" s="10"/>
      <c r="T3492" s="10"/>
      <c r="U3492" s="10"/>
      <c r="V3492" s="10"/>
      <c r="W3492" s="10"/>
      <c r="X3492" s="10"/>
      <c r="Y3492" s="10"/>
      <c r="Z3492" s="10"/>
      <c r="AA3492" s="10"/>
      <c r="AB3492" s="10"/>
      <c r="AC3492" s="10"/>
      <c r="AD3492" s="10"/>
      <c r="AE3492" s="10"/>
      <c r="AF3492" s="10"/>
      <c r="AG3492" s="10"/>
      <c r="AH3492" s="10"/>
    </row>
    <row r="3493" spans="1:34" outlineLevel="2">
      <c r="A3493" s="35"/>
      <c r="B3493" s="12" t="str">
        <f>IFERROR(VLOOKUP(D3493,'[1]Перечень товаров'!$A$2:$I9525,2,0),"")</f>
        <v>т2</v>
      </c>
      <c r="C3493" s="12" t="str">
        <f>IFERROR(VLOOKUP(D3493,'[1]Перечень товаров'!$A$2:$I9525,3,0),"")</f>
        <v xml:space="preserve">Техника </v>
      </c>
      <c r="D3493" s="35" t="s">
        <v>29</v>
      </c>
      <c r="E3493" s="88"/>
      <c r="F3493" s="88"/>
      <c r="G3493" s="48">
        <v>1</v>
      </c>
      <c r="H3493" s="48"/>
      <c r="I3493" s="49"/>
      <c r="J3493" s="49"/>
      <c r="K3493" s="19"/>
      <c r="L3493" s="20"/>
      <c r="M3493" s="10"/>
      <c r="N3493" s="10"/>
      <c r="O3493" s="10"/>
      <c r="P3493" s="10"/>
      <c r="Q3493" s="10"/>
      <c r="R3493" s="10"/>
      <c r="S3493" s="10"/>
      <c r="T3493" s="10"/>
      <c r="U3493" s="10"/>
      <c r="V3493" s="10"/>
      <c r="W3493" s="10"/>
      <c r="X3493" s="10"/>
      <c r="Y3493" s="10"/>
      <c r="Z3493" s="10"/>
      <c r="AA3493" s="10"/>
      <c r="AB3493" s="10"/>
      <c r="AC3493" s="10"/>
      <c r="AD3493" s="10"/>
      <c r="AE3493" s="10"/>
      <c r="AF3493" s="10"/>
      <c r="AG3493" s="10"/>
      <c r="AH3493" s="10"/>
    </row>
    <row r="3494" spans="1:34" outlineLevel="2">
      <c r="A3494" s="35"/>
      <c r="B3494" s="12" t="str">
        <f>IFERROR(VLOOKUP(D3494,'[1]Перечень товаров'!$A$2:$I9525,2,0),"")</f>
        <v>т3</v>
      </c>
      <c r="C3494" s="12" t="str">
        <f>IFERROR(VLOOKUP(D3494,'[1]Перечень товаров'!$A$2:$I9525,3,0),"")</f>
        <v xml:space="preserve">Техника </v>
      </c>
      <c r="D3494" s="35" t="s">
        <v>30</v>
      </c>
      <c r="E3494" s="88"/>
      <c r="F3494" s="88"/>
      <c r="G3494" s="48">
        <v>1</v>
      </c>
      <c r="H3494" s="48"/>
      <c r="I3494" s="49"/>
      <c r="J3494" s="49"/>
      <c r="K3494" s="19"/>
      <c r="L3494" s="20"/>
      <c r="M3494" s="10"/>
      <c r="N3494" s="10"/>
      <c r="O3494" s="10"/>
      <c r="P3494" s="10"/>
      <c r="Q3494" s="10"/>
      <c r="R3494" s="10"/>
      <c r="S3494" s="10"/>
      <c r="T3494" s="10"/>
      <c r="U3494" s="10"/>
      <c r="V3494" s="10"/>
      <c r="W3494" s="10"/>
      <c r="X3494" s="10"/>
      <c r="Y3494" s="10"/>
      <c r="Z3494" s="10"/>
      <c r="AA3494" s="10"/>
      <c r="AB3494" s="10"/>
      <c r="AC3494" s="10"/>
      <c r="AD3494" s="10"/>
      <c r="AE3494" s="10"/>
      <c r="AF3494" s="10"/>
      <c r="AG3494" s="10"/>
      <c r="AH3494" s="10"/>
    </row>
    <row r="3495" spans="1:34" outlineLevel="2">
      <c r="A3495" s="35"/>
      <c r="B3495" s="12" t="str">
        <f>IFERROR(VLOOKUP(D3495,'[1]Перечень товаров'!$A$2:$I9525,2,0),"")</f>
        <v>т4</v>
      </c>
      <c r="C3495" s="12" t="str">
        <f>IFERROR(VLOOKUP(D3495,'[1]Перечень товаров'!$A$2:$I9525,3,0),"")</f>
        <v xml:space="preserve">Техника </v>
      </c>
      <c r="D3495" s="35" t="s">
        <v>31</v>
      </c>
      <c r="E3495" s="88"/>
      <c r="F3495" s="88"/>
      <c r="G3495" s="48">
        <v>1</v>
      </c>
      <c r="H3495" s="48"/>
      <c r="I3495" s="49"/>
      <c r="J3495" s="49"/>
      <c r="K3495" s="19"/>
      <c r="L3495" s="20"/>
      <c r="M3495" s="10"/>
      <c r="N3495" s="10"/>
      <c r="O3495" s="10"/>
      <c r="P3495" s="10"/>
      <c r="Q3495" s="10"/>
      <c r="R3495" s="10"/>
      <c r="S3495" s="10"/>
      <c r="T3495" s="10"/>
      <c r="U3495" s="10"/>
      <c r="V3495" s="10"/>
      <c r="W3495" s="10"/>
      <c r="X3495" s="10"/>
      <c r="Y3495" s="10"/>
      <c r="Z3495" s="10"/>
      <c r="AA3495" s="10"/>
      <c r="AB3495" s="10"/>
      <c r="AC3495" s="10"/>
      <c r="AD3495" s="10"/>
      <c r="AE3495" s="10"/>
      <c r="AF3495" s="10"/>
      <c r="AG3495" s="10"/>
      <c r="AH3495" s="10"/>
    </row>
    <row r="3496" spans="1:34" outlineLevel="2">
      <c r="A3496" s="21"/>
      <c r="B3496" s="12" t="str">
        <f>IFERROR(VLOOKUP(D3496,'[1]Перечень товаров'!$A$2:$I9525,2,0),"")</f>
        <v>тм65</v>
      </c>
      <c r="C3496" s="12" t="str">
        <f>IFERROR(VLOOKUP(D3496,'[1]Перечень товаров'!$A$2:$I9525,3,0),"")</f>
        <v>Техника муз</v>
      </c>
      <c r="D3496" s="22" t="s">
        <v>380</v>
      </c>
      <c r="E3496" s="88"/>
      <c r="F3496" s="88"/>
      <c r="G3496" s="48">
        <v>1</v>
      </c>
      <c r="H3496" s="48"/>
      <c r="I3496" s="49"/>
      <c r="J3496" s="49"/>
      <c r="K3496" s="19"/>
      <c r="L3496" s="20"/>
      <c r="M3496" s="10"/>
      <c r="N3496" s="10"/>
      <c r="O3496" s="10"/>
      <c r="P3496" s="10"/>
      <c r="Q3496" s="10"/>
      <c r="R3496" s="10"/>
      <c r="S3496" s="10"/>
      <c r="T3496" s="10"/>
      <c r="U3496" s="10"/>
      <c r="V3496" s="10"/>
      <c r="W3496" s="10"/>
      <c r="X3496" s="10"/>
      <c r="Y3496" s="10"/>
      <c r="Z3496" s="10"/>
      <c r="AA3496" s="10"/>
      <c r="AB3496" s="10"/>
      <c r="AC3496" s="10"/>
      <c r="AD3496" s="10"/>
      <c r="AE3496" s="10"/>
      <c r="AF3496" s="10"/>
      <c r="AG3496" s="10"/>
      <c r="AH3496" s="10"/>
    </row>
    <row r="3497" spans="1:34" outlineLevel="2">
      <c r="A3497" s="21"/>
      <c r="B3497" s="12" t="str">
        <f>IFERROR(VLOOKUP(D3497,'[1]Перечень товаров'!$A$2:$I9525,2,0),"")</f>
        <v>т12</v>
      </c>
      <c r="C3497" s="12" t="str">
        <f>IFERROR(VLOOKUP(D3497,'[1]Перечень товаров'!$A$2:$I9525,3,0),"")</f>
        <v>Техника</v>
      </c>
      <c r="D3497" s="22" t="s">
        <v>49</v>
      </c>
      <c r="E3497" s="88"/>
      <c r="F3497" s="88"/>
      <c r="G3497" s="48">
        <v>1</v>
      </c>
      <c r="H3497" s="48"/>
      <c r="I3497" s="49"/>
      <c r="J3497" s="49"/>
      <c r="K3497" s="19"/>
      <c r="L3497" s="20"/>
      <c r="M3497" s="10"/>
      <c r="N3497" s="10"/>
      <c r="O3497" s="10"/>
      <c r="P3497" s="10"/>
      <c r="Q3497" s="10"/>
      <c r="R3497" s="10"/>
      <c r="S3497" s="10"/>
      <c r="T3497" s="10"/>
      <c r="U3497" s="10"/>
      <c r="V3497" s="10"/>
      <c r="W3497" s="10"/>
      <c r="X3497" s="10"/>
      <c r="Y3497" s="10"/>
      <c r="Z3497" s="10"/>
      <c r="AA3497" s="10"/>
      <c r="AB3497" s="10"/>
      <c r="AC3497" s="10"/>
      <c r="AD3497" s="10"/>
      <c r="AE3497" s="10"/>
      <c r="AF3497" s="10"/>
      <c r="AG3497" s="10"/>
      <c r="AH3497" s="10"/>
    </row>
    <row r="3498" spans="1:34" outlineLevel="2">
      <c r="A3498" s="35"/>
      <c r="B3498" s="12" t="str">
        <f>IFERROR(VLOOKUP(D3498,'[1]Перечень товаров'!$A$2:$I9525,2,0),"")</f>
        <v>т6</v>
      </c>
      <c r="C3498" s="12" t="str">
        <f>IFERROR(VLOOKUP(D3498,'[1]Перечень товаров'!$A$2:$I9525,3,0),"")</f>
        <v xml:space="preserve">Техника </v>
      </c>
      <c r="D3498" s="35" t="s">
        <v>33</v>
      </c>
      <c r="E3498" s="88"/>
      <c r="F3498" s="88"/>
      <c r="G3498" s="48">
        <v>1</v>
      </c>
      <c r="H3498" s="48"/>
      <c r="I3498" s="49"/>
      <c r="J3498" s="49"/>
      <c r="K3498" s="19"/>
      <c r="L3498" s="20"/>
      <c r="M3498" s="10"/>
      <c r="N3498" s="10"/>
      <c r="O3498" s="10"/>
      <c r="P3498" s="10"/>
      <c r="Q3498" s="10"/>
      <c r="R3498" s="10"/>
      <c r="S3498" s="10"/>
      <c r="T3498" s="10"/>
      <c r="U3498" s="10"/>
      <c r="V3498" s="10"/>
      <c r="W3498" s="10"/>
      <c r="X3498" s="10"/>
      <c r="Y3498" s="10"/>
      <c r="Z3498" s="10"/>
      <c r="AA3498" s="10"/>
      <c r="AB3498" s="10"/>
      <c r="AC3498" s="10"/>
      <c r="AD3498" s="10"/>
      <c r="AE3498" s="10"/>
      <c r="AF3498" s="10"/>
      <c r="AG3498" s="10"/>
      <c r="AH3498" s="10"/>
    </row>
    <row r="3499" spans="1:34" outlineLevel="2">
      <c r="A3499" s="22"/>
      <c r="B3499" s="12" t="str">
        <f>IFERROR(VLOOKUP(D3499,'[1]Перечень товаров'!$A$2:$I9525,2,0),"")</f>
        <v>т7</v>
      </c>
      <c r="C3499" s="12" t="str">
        <f>IFERROR(VLOOKUP(D3499,'[1]Перечень товаров'!$A$2:$I9525,3,0),"")</f>
        <v xml:space="preserve">Техника </v>
      </c>
      <c r="D3499" s="22" t="s">
        <v>34</v>
      </c>
      <c r="E3499" s="88"/>
      <c r="F3499" s="88"/>
      <c r="G3499" s="48">
        <v>3</v>
      </c>
      <c r="H3499" s="48"/>
      <c r="I3499" s="49"/>
      <c r="J3499" s="49"/>
      <c r="K3499" s="19"/>
      <c r="L3499" s="20"/>
      <c r="M3499" s="10"/>
      <c r="N3499" s="10"/>
      <c r="O3499" s="10"/>
      <c r="P3499" s="10"/>
      <c r="Q3499" s="10"/>
      <c r="R3499" s="10"/>
      <c r="S3499" s="10"/>
      <c r="T3499" s="10"/>
      <c r="U3499" s="10"/>
      <c r="V3499" s="10"/>
      <c r="W3499" s="10"/>
      <c r="X3499" s="10"/>
      <c r="Y3499" s="10"/>
      <c r="Z3499" s="10"/>
      <c r="AA3499" s="10"/>
      <c r="AB3499" s="10"/>
      <c r="AC3499" s="10"/>
      <c r="AD3499" s="10"/>
      <c r="AE3499" s="10"/>
      <c r="AF3499" s="10"/>
      <c r="AG3499" s="10"/>
      <c r="AH3499" s="10"/>
    </row>
    <row r="3500" spans="1:34" outlineLevel="2">
      <c r="A3500" s="35"/>
      <c r="B3500" s="12" t="str">
        <f>IFERROR(VLOOKUP(D3500,'[1]Перечень товаров'!$A$2:$I9525,2,0),"")</f>
        <v>т161</v>
      </c>
      <c r="C3500" s="12" t="str">
        <f>IFERROR(VLOOKUP(D3500,'[1]Перечень товаров'!$A$2:$I9525,3,0),"")</f>
        <v xml:space="preserve">Техника </v>
      </c>
      <c r="D3500" s="29" t="s">
        <v>381</v>
      </c>
      <c r="E3500" s="88"/>
      <c r="F3500" s="88"/>
      <c r="G3500" s="159">
        <v>1</v>
      </c>
      <c r="H3500" s="159"/>
      <c r="I3500" s="160"/>
      <c r="J3500" s="160"/>
      <c r="K3500" s="19"/>
      <c r="L3500" s="20"/>
      <c r="M3500" s="10"/>
      <c r="N3500" s="10"/>
      <c r="O3500" s="10"/>
      <c r="P3500" s="10"/>
      <c r="Q3500" s="10"/>
      <c r="R3500" s="10"/>
      <c r="S3500" s="10"/>
      <c r="T3500" s="10"/>
      <c r="U3500" s="10"/>
      <c r="V3500" s="10"/>
      <c r="W3500" s="10"/>
      <c r="X3500" s="10"/>
      <c r="Y3500" s="10"/>
      <c r="Z3500" s="10"/>
      <c r="AA3500" s="10"/>
      <c r="AB3500" s="10"/>
      <c r="AC3500" s="10"/>
      <c r="AD3500" s="10"/>
      <c r="AE3500" s="10"/>
      <c r="AF3500" s="10"/>
      <c r="AG3500" s="10"/>
      <c r="AH3500" s="10"/>
    </row>
    <row r="3501" spans="1:34" outlineLevel="2">
      <c r="A3501" s="114"/>
      <c r="B3501" s="12" t="str">
        <f>IFERROR(VLOOKUP(D3501,'[1]Перечень товаров'!$A$2:$I9525,2,0),"")</f>
        <v/>
      </c>
      <c r="C3501" s="12" t="str">
        <f>IFERROR(VLOOKUP(D3501,'[1]Перечень товаров'!$A$2:$I9525,3,0),"")</f>
        <v/>
      </c>
      <c r="D3501" s="114" t="s">
        <v>19</v>
      </c>
      <c r="E3501" s="115"/>
      <c r="F3501" s="115"/>
      <c r="G3501" s="157"/>
      <c r="H3501" s="157"/>
      <c r="I3501" s="158"/>
      <c r="J3501" s="158"/>
      <c r="K3501" s="19"/>
      <c r="L3501" s="20"/>
      <c r="M3501" s="10"/>
      <c r="N3501" s="10"/>
      <c r="O3501" s="10"/>
      <c r="P3501" s="10"/>
      <c r="Q3501" s="10"/>
      <c r="R3501" s="10"/>
      <c r="S3501" s="10"/>
      <c r="T3501" s="10"/>
      <c r="U3501" s="10"/>
      <c r="V3501" s="10"/>
      <c r="W3501" s="10"/>
      <c r="X3501" s="10"/>
      <c r="Y3501" s="10"/>
      <c r="Z3501" s="10"/>
      <c r="AA3501" s="10"/>
      <c r="AB3501" s="10"/>
      <c r="AC3501" s="10"/>
      <c r="AD3501" s="10"/>
      <c r="AE3501" s="10"/>
      <c r="AF3501" s="10"/>
      <c r="AG3501" s="10"/>
      <c r="AH3501" s="10"/>
    </row>
    <row r="3502" spans="1:34" outlineLevel="2">
      <c r="A3502" s="34"/>
      <c r="B3502" s="12" t="str">
        <f>IFERROR(VLOOKUP(D3502,'[1]Перечень товаров'!$A$2:$I9525,2,0),"")</f>
        <v>м62</v>
      </c>
      <c r="C3502" s="12" t="str">
        <f>IFERROR(VLOOKUP(D3502,'[1]Перечень товаров'!$A$2:$I9525,3,0),"")</f>
        <v>Мебель</v>
      </c>
      <c r="D3502" s="35" t="s">
        <v>398</v>
      </c>
      <c r="E3502" s="88"/>
      <c r="F3502" s="88"/>
      <c r="G3502" s="59">
        <v>1</v>
      </c>
      <c r="H3502" s="59"/>
      <c r="I3502" s="60"/>
      <c r="J3502" s="60"/>
      <c r="K3502" s="19"/>
      <c r="L3502" s="20"/>
      <c r="M3502" s="10"/>
      <c r="N3502" s="10"/>
      <c r="O3502" s="10"/>
      <c r="P3502" s="10"/>
      <c r="Q3502" s="10"/>
      <c r="R3502" s="10"/>
      <c r="S3502" s="10"/>
      <c r="T3502" s="10"/>
      <c r="U3502" s="10"/>
      <c r="V3502" s="10"/>
      <c r="W3502" s="10"/>
      <c r="X3502" s="10"/>
      <c r="Y3502" s="10"/>
      <c r="Z3502" s="10"/>
      <c r="AA3502" s="10"/>
      <c r="AB3502" s="10"/>
      <c r="AC3502" s="10"/>
      <c r="AD3502" s="10"/>
      <c r="AE3502" s="10"/>
      <c r="AF3502" s="10"/>
      <c r="AG3502" s="10"/>
      <c r="AH3502" s="10"/>
    </row>
    <row r="3503" spans="1:34" outlineLevel="2">
      <c r="A3503" s="34"/>
      <c r="B3503" s="12" t="str">
        <f>IFERROR(VLOOKUP(D3503,'[1]Перечень товаров'!$A$2:$I9525,2,0),"")</f>
        <v>м61</v>
      </c>
      <c r="C3503" s="12" t="str">
        <f>IFERROR(VLOOKUP(D3503,'[1]Перечень товаров'!$A$2:$I9525,3,0),"")</f>
        <v>Мебель</v>
      </c>
      <c r="D3503" s="35" t="s">
        <v>383</v>
      </c>
      <c r="E3503" s="88"/>
      <c r="F3503" s="88"/>
      <c r="G3503" s="59">
        <v>1</v>
      </c>
      <c r="H3503" s="59"/>
      <c r="I3503" s="60"/>
      <c r="J3503" s="60"/>
      <c r="K3503" s="19"/>
      <c r="L3503" s="20"/>
      <c r="M3503" s="10"/>
      <c r="N3503" s="10"/>
      <c r="O3503" s="10"/>
      <c r="P3503" s="10"/>
      <c r="Q3503" s="10"/>
      <c r="R3503" s="10"/>
      <c r="S3503" s="10"/>
      <c r="T3503" s="10"/>
      <c r="U3503" s="10"/>
      <c r="V3503" s="10"/>
      <c r="W3503" s="10"/>
      <c r="X3503" s="10"/>
      <c r="Y3503" s="10"/>
      <c r="Z3503" s="10"/>
      <c r="AA3503" s="10"/>
      <c r="AB3503" s="10"/>
      <c r="AC3503" s="10"/>
      <c r="AD3503" s="10"/>
      <c r="AE3503" s="10"/>
      <c r="AF3503" s="10"/>
      <c r="AG3503" s="10"/>
      <c r="AH3503" s="10"/>
    </row>
    <row r="3504" spans="1:34" outlineLevel="2">
      <c r="A3504" s="213"/>
      <c r="B3504" s="12" t="str">
        <f>IFERROR(VLOOKUP(D3504,'[1]Перечень товаров'!$A$2:$I9525,2,0),"")</f>
        <v>м176</v>
      </c>
      <c r="C3504" s="12" t="str">
        <f>IFERROR(VLOOKUP(D3504,'[1]Перечень товаров'!$A$2:$I9525,3,0),"")</f>
        <v>мебель</v>
      </c>
      <c r="D3504" s="214" t="s">
        <v>998</v>
      </c>
      <c r="E3504" s="88"/>
      <c r="F3504" s="88"/>
      <c r="G3504" s="159">
        <v>4</v>
      </c>
      <c r="H3504" s="159"/>
      <c r="I3504" s="160"/>
      <c r="J3504" s="160"/>
      <c r="K3504" s="19"/>
      <c r="L3504" s="20"/>
      <c r="M3504" s="10"/>
      <c r="N3504" s="10"/>
      <c r="O3504" s="10"/>
      <c r="P3504" s="10"/>
      <c r="Q3504" s="10"/>
      <c r="R3504" s="10"/>
      <c r="S3504" s="10"/>
      <c r="T3504" s="10"/>
      <c r="U3504" s="10"/>
      <c r="V3504" s="10"/>
      <c r="W3504" s="10"/>
      <c r="X3504" s="10"/>
      <c r="Y3504" s="10"/>
      <c r="Z3504" s="10"/>
      <c r="AA3504" s="10"/>
      <c r="AB3504" s="10"/>
      <c r="AC3504" s="10"/>
      <c r="AD3504" s="10"/>
      <c r="AE3504" s="10"/>
      <c r="AF3504" s="10"/>
      <c r="AG3504" s="10"/>
      <c r="AH3504" s="10"/>
    </row>
    <row r="3505" spans="1:34" outlineLevel="2">
      <c r="A3505" s="34"/>
      <c r="B3505" s="12" t="str">
        <f>IFERROR(VLOOKUP(D3505,'[1]Перечень товаров'!$A$2:$I9525,2,0),"")</f>
        <v>м61</v>
      </c>
      <c r="C3505" s="12" t="str">
        <f>IFERROR(VLOOKUP(D3505,'[1]Перечень товаров'!$A$2:$I9525,3,0),"")</f>
        <v>Мебель</v>
      </c>
      <c r="D3505" s="35" t="s">
        <v>384</v>
      </c>
      <c r="E3505" s="88"/>
      <c r="F3505" s="88"/>
      <c r="G3505" s="159">
        <v>4</v>
      </c>
      <c r="H3505" s="159"/>
      <c r="I3505" s="160"/>
      <c r="J3505" s="160"/>
      <c r="K3505" s="19"/>
      <c r="L3505" s="20"/>
      <c r="M3505" s="10"/>
      <c r="N3505" s="10"/>
      <c r="O3505" s="10"/>
      <c r="P3505" s="10"/>
      <c r="Q3505" s="10"/>
      <c r="R3505" s="10"/>
      <c r="S3505" s="10"/>
      <c r="T3505" s="10"/>
      <c r="U3505" s="10"/>
      <c r="V3505" s="10"/>
      <c r="W3505" s="10"/>
      <c r="X3505" s="10"/>
      <c r="Y3505" s="10"/>
      <c r="Z3505" s="10"/>
      <c r="AA3505" s="10"/>
      <c r="AB3505" s="10"/>
      <c r="AC3505" s="10"/>
      <c r="AD3505" s="10"/>
      <c r="AE3505" s="10"/>
      <c r="AF3505" s="10"/>
      <c r="AG3505" s="10"/>
      <c r="AH3505" s="10"/>
    </row>
    <row r="3506" spans="1:34" outlineLevel="2">
      <c r="A3506" s="22"/>
      <c r="B3506" s="12" t="str">
        <f>IFERROR(VLOOKUP(D3506,'[1]Перечень товаров'!$A$2:$I9525,2,0),"")</f>
        <v>м13</v>
      </c>
      <c r="C3506" s="12" t="str">
        <f>IFERROR(VLOOKUP(D3506,'[1]Перечень товаров'!$A$2:$I9525,3,0),"")</f>
        <v>Мебель</v>
      </c>
      <c r="D3506" s="22" t="s">
        <v>42</v>
      </c>
      <c r="E3506" s="88"/>
      <c r="F3506" s="88"/>
      <c r="G3506" s="48">
        <v>1</v>
      </c>
      <c r="H3506" s="48"/>
      <c r="I3506" s="49"/>
      <c r="J3506" s="49"/>
      <c r="K3506" s="19"/>
      <c r="L3506" s="20"/>
      <c r="M3506" s="10"/>
      <c r="N3506" s="10"/>
      <c r="O3506" s="10"/>
      <c r="P3506" s="10"/>
      <c r="Q3506" s="10"/>
      <c r="R3506" s="10"/>
      <c r="S3506" s="10"/>
      <c r="T3506" s="10"/>
      <c r="U3506" s="10"/>
      <c r="V3506" s="10"/>
      <c r="W3506" s="10"/>
      <c r="X3506" s="10"/>
      <c r="Y3506" s="10"/>
      <c r="Z3506" s="10"/>
      <c r="AA3506" s="10"/>
      <c r="AB3506" s="10"/>
      <c r="AC3506" s="10"/>
      <c r="AD3506" s="10"/>
      <c r="AE3506" s="10"/>
      <c r="AF3506" s="10"/>
      <c r="AG3506" s="10"/>
      <c r="AH3506" s="10"/>
    </row>
    <row r="3507" spans="1:34" outlineLevel="2">
      <c r="A3507" s="21"/>
      <c r="B3507" s="12" t="str">
        <f>IFERROR(VLOOKUP(D3507,'[1]Перечень товаров'!$A$2:$I9525,2,0),"")</f>
        <v>м14</v>
      </c>
      <c r="C3507" s="12" t="str">
        <f>IFERROR(VLOOKUP(D3507,'[1]Перечень товаров'!$A$2:$I9525,3,0),"")</f>
        <v>Мебель</v>
      </c>
      <c r="D3507" s="22" t="s">
        <v>43</v>
      </c>
      <c r="E3507" s="88"/>
      <c r="F3507" s="88"/>
      <c r="G3507" s="48">
        <v>1</v>
      </c>
      <c r="H3507" s="48"/>
      <c r="I3507" s="49"/>
      <c r="J3507" s="49"/>
      <c r="K3507" s="19"/>
      <c r="L3507" s="20"/>
      <c r="M3507" s="10"/>
      <c r="N3507" s="10"/>
      <c r="O3507" s="10"/>
      <c r="P3507" s="10"/>
      <c r="Q3507" s="10"/>
      <c r="R3507" s="10"/>
      <c r="S3507" s="10"/>
      <c r="T3507" s="10"/>
      <c r="U3507" s="10"/>
      <c r="V3507" s="10"/>
      <c r="W3507" s="10"/>
      <c r="X3507" s="10"/>
      <c r="Y3507" s="10"/>
      <c r="Z3507" s="10"/>
      <c r="AA3507" s="10"/>
      <c r="AB3507" s="10"/>
      <c r="AC3507" s="10"/>
      <c r="AD3507" s="10"/>
      <c r="AE3507" s="10"/>
      <c r="AF3507" s="10"/>
      <c r="AG3507" s="10"/>
      <c r="AH3507" s="10"/>
    </row>
    <row r="3508" spans="1:34" outlineLevel="2">
      <c r="A3508" s="21"/>
      <c r="B3508" s="12" t="str">
        <f>IFERROR(VLOOKUP(D3508,'[1]Перечень товаров'!$A$2:$I9525,2,0),"")</f>
        <v>п2</v>
      </c>
      <c r="C3508" s="12" t="str">
        <f>IFERROR(VLOOKUP(D3508,'[1]Перечень товаров'!$A$2:$I9525,3,0),"")</f>
        <v>Прочее</v>
      </c>
      <c r="D3508" s="22" t="s">
        <v>46</v>
      </c>
      <c r="E3508" s="88"/>
      <c r="F3508" s="88"/>
      <c r="G3508" s="24">
        <v>1</v>
      </c>
      <c r="H3508" s="24"/>
      <c r="I3508" s="25"/>
      <c r="J3508" s="25"/>
      <c r="K3508" s="19"/>
      <c r="L3508" s="20"/>
      <c r="M3508" s="10"/>
      <c r="N3508" s="10"/>
      <c r="O3508" s="10"/>
      <c r="P3508" s="10"/>
      <c r="Q3508" s="10"/>
      <c r="R3508" s="10"/>
      <c r="S3508" s="10"/>
      <c r="T3508" s="10"/>
      <c r="U3508" s="10"/>
      <c r="V3508" s="10"/>
      <c r="W3508" s="10"/>
      <c r="X3508" s="10"/>
      <c r="Y3508" s="10"/>
      <c r="Z3508" s="10"/>
      <c r="AA3508" s="10"/>
      <c r="AB3508" s="10"/>
      <c r="AC3508" s="10"/>
      <c r="AD3508" s="10"/>
      <c r="AE3508" s="10"/>
      <c r="AF3508" s="10"/>
      <c r="AG3508" s="10"/>
      <c r="AH3508" s="10"/>
    </row>
    <row r="3509" spans="1:34" ht="12.75" outlineLevel="1">
      <c r="A3509" s="11"/>
      <c r="B3509" s="12" t="str">
        <f>IFERROR(VLOOKUP(D3509,'[1]Перечень товаров'!$A$2:$I9525,2,0),"")</f>
        <v/>
      </c>
      <c r="C3509" s="12" t="str">
        <f>IFERROR(VLOOKUP(D3509,'[1]Перечень товаров'!$A$2:$I9525,3,0),"")</f>
        <v/>
      </c>
      <c r="D3509" s="27" t="s">
        <v>999</v>
      </c>
      <c r="E3509" s="14">
        <v>26.6</v>
      </c>
      <c r="F3509" s="14"/>
      <c r="G3509" s="17"/>
      <c r="H3509" s="17"/>
      <c r="I3509" s="57"/>
      <c r="J3509" s="57"/>
      <c r="K3509" s="19"/>
      <c r="L3509" s="20"/>
      <c r="M3509" s="10"/>
      <c r="N3509" s="10"/>
      <c r="O3509" s="10"/>
      <c r="P3509" s="10"/>
      <c r="Q3509" s="10"/>
      <c r="R3509" s="10"/>
      <c r="S3509" s="10"/>
      <c r="T3509" s="10"/>
      <c r="U3509" s="10"/>
      <c r="V3509" s="10"/>
      <c r="W3509" s="10"/>
      <c r="X3509" s="10"/>
      <c r="Y3509" s="10"/>
      <c r="Z3509" s="10"/>
      <c r="AA3509" s="10"/>
      <c r="AB3509" s="10"/>
      <c r="AC3509" s="10"/>
      <c r="AD3509" s="10"/>
      <c r="AE3509" s="10"/>
      <c r="AF3509" s="10"/>
      <c r="AG3509" s="10"/>
      <c r="AH3509" s="10"/>
    </row>
    <row r="3510" spans="1:34" ht="15" outlineLevel="2">
      <c r="A3510" s="109"/>
      <c r="B3510" s="12" t="str">
        <f>IFERROR(VLOOKUP(D3510,'[1]Перечень товаров'!$A$2:$I9525,2,0),"")</f>
        <v/>
      </c>
      <c r="C3510" s="12" t="str">
        <f>IFERROR(VLOOKUP(D3510,'[1]Перечень товаров'!$A$2:$I9525,3,0),"")</f>
        <v/>
      </c>
      <c r="D3510" s="110" t="s">
        <v>27</v>
      </c>
      <c r="E3510" s="115"/>
      <c r="F3510" s="115"/>
      <c r="G3510" s="211"/>
      <c r="H3510" s="211"/>
      <c r="I3510" s="212"/>
      <c r="J3510" s="212"/>
      <c r="K3510" s="19"/>
      <c r="L3510" s="20"/>
      <c r="M3510" s="10"/>
      <c r="N3510" s="10"/>
      <c r="O3510" s="10"/>
      <c r="P3510" s="10"/>
      <c r="Q3510" s="10"/>
      <c r="R3510" s="10"/>
      <c r="S3510" s="10"/>
      <c r="T3510" s="10"/>
      <c r="U3510" s="10"/>
      <c r="V3510" s="10"/>
      <c r="W3510" s="10"/>
      <c r="X3510" s="10"/>
      <c r="Y3510" s="10"/>
      <c r="Z3510" s="10"/>
      <c r="AA3510" s="10"/>
      <c r="AB3510" s="10"/>
      <c r="AC3510" s="10"/>
      <c r="AD3510" s="10"/>
      <c r="AE3510" s="10"/>
      <c r="AF3510" s="10"/>
      <c r="AG3510" s="10"/>
      <c r="AH3510" s="10"/>
    </row>
    <row r="3511" spans="1:34" outlineLevel="2">
      <c r="A3511" s="21"/>
      <c r="B3511" s="12" t="str">
        <f>IFERROR(VLOOKUP(D3511,'[1]Перечень товаров'!$A$2:$I9525,2,0),"")</f>
        <v>т1</v>
      </c>
      <c r="C3511" s="12" t="str">
        <f>IFERROR(VLOOKUP(D3511,'[1]Перечень товаров'!$A$2:$I9525,3,0),"")</f>
        <v xml:space="preserve">Техника </v>
      </c>
      <c r="D3511" s="22" t="s">
        <v>28</v>
      </c>
      <c r="E3511" s="88"/>
      <c r="F3511" s="88"/>
      <c r="G3511" s="48">
        <v>1</v>
      </c>
      <c r="H3511" s="48"/>
      <c r="I3511" s="49"/>
      <c r="J3511" s="49"/>
      <c r="K3511" s="19"/>
      <c r="L3511" s="20"/>
      <c r="M3511" s="10"/>
      <c r="N3511" s="10"/>
      <c r="O3511" s="10"/>
      <c r="P3511" s="10"/>
      <c r="Q3511" s="10"/>
      <c r="R3511" s="10"/>
      <c r="S3511" s="10"/>
      <c r="T3511" s="10"/>
      <c r="U3511" s="10"/>
      <c r="V3511" s="10"/>
      <c r="W3511" s="10"/>
      <c r="X3511" s="10"/>
      <c r="Y3511" s="10"/>
      <c r="Z3511" s="10"/>
      <c r="AA3511" s="10"/>
      <c r="AB3511" s="10"/>
      <c r="AC3511" s="10"/>
      <c r="AD3511" s="10"/>
      <c r="AE3511" s="10"/>
      <c r="AF3511" s="10"/>
      <c r="AG3511" s="10"/>
      <c r="AH3511" s="10"/>
    </row>
    <row r="3512" spans="1:34" outlineLevel="2">
      <c r="A3512" s="22"/>
      <c r="B3512" s="12" t="str">
        <f>IFERROR(VLOOKUP(D3512,'[1]Перечень товаров'!$A$2:$I9525,2,0),"")</f>
        <v>т9</v>
      </c>
      <c r="C3512" s="12" t="str">
        <f>IFERROR(VLOOKUP(D3512,'[1]Перечень товаров'!$A$2:$I9525,3,0),"")</f>
        <v>Техника</v>
      </c>
      <c r="D3512" s="22" t="s">
        <v>36</v>
      </c>
      <c r="E3512" s="88"/>
      <c r="F3512" s="88"/>
      <c r="G3512" s="48">
        <v>1</v>
      </c>
      <c r="H3512" s="48"/>
      <c r="I3512" s="49"/>
      <c r="J3512" s="49"/>
      <c r="K3512" s="19"/>
      <c r="L3512" s="20"/>
      <c r="M3512" s="10"/>
      <c r="N3512" s="10"/>
      <c r="O3512" s="10"/>
      <c r="P3512" s="10"/>
      <c r="Q3512" s="10"/>
      <c r="R3512" s="10"/>
      <c r="S3512" s="10"/>
      <c r="T3512" s="10"/>
      <c r="U3512" s="10"/>
      <c r="V3512" s="10"/>
      <c r="W3512" s="10"/>
      <c r="X3512" s="10"/>
      <c r="Y3512" s="10"/>
      <c r="Z3512" s="10"/>
      <c r="AA3512" s="10"/>
      <c r="AB3512" s="10"/>
      <c r="AC3512" s="10"/>
      <c r="AD3512" s="10"/>
      <c r="AE3512" s="10"/>
      <c r="AF3512" s="10"/>
      <c r="AG3512" s="10"/>
      <c r="AH3512" s="10"/>
    </row>
    <row r="3513" spans="1:34" outlineLevel="2">
      <c r="A3513" s="35"/>
      <c r="B3513" s="12" t="str">
        <f>IFERROR(VLOOKUP(D3513,'[1]Перечень товаров'!$A$2:$I9525,2,0),"")</f>
        <v>т2</v>
      </c>
      <c r="C3513" s="12" t="str">
        <f>IFERROR(VLOOKUP(D3513,'[1]Перечень товаров'!$A$2:$I9525,3,0),"")</f>
        <v xml:space="preserve">Техника </v>
      </c>
      <c r="D3513" s="35" t="s">
        <v>29</v>
      </c>
      <c r="E3513" s="88"/>
      <c r="F3513" s="88"/>
      <c r="G3513" s="48">
        <v>1</v>
      </c>
      <c r="H3513" s="48"/>
      <c r="I3513" s="49"/>
      <c r="J3513" s="49"/>
      <c r="K3513" s="19"/>
      <c r="L3513" s="20"/>
      <c r="M3513" s="10"/>
      <c r="N3513" s="10"/>
      <c r="O3513" s="10"/>
      <c r="P3513" s="10"/>
      <c r="Q3513" s="10"/>
      <c r="R3513" s="10"/>
      <c r="S3513" s="10"/>
      <c r="T3513" s="10"/>
      <c r="U3513" s="10"/>
      <c r="V3513" s="10"/>
      <c r="W3513" s="10"/>
      <c r="X3513" s="10"/>
      <c r="Y3513" s="10"/>
      <c r="Z3513" s="10"/>
      <c r="AA3513" s="10"/>
      <c r="AB3513" s="10"/>
      <c r="AC3513" s="10"/>
      <c r="AD3513" s="10"/>
      <c r="AE3513" s="10"/>
      <c r="AF3513" s="10"/>
      <c r="AG3513" s="10"/>
      <c r="AH3513" s="10"/>
    </row>
    <row r="3514" spans="1:34" outlineLevel="2">
      <c r="A3514" s="35"/>
      <c r="B3514" s="12" t="str">
        <f>IFERROR(VLOOKUP(D3514,'[1]Перечень товаров'!$A$2:$I9525,2,0),"")</f>
        <v>т3</v>
      </c>
      <c r="C3514" s="12" t="str">
        <f>IFERROR(VLOOKUP(D3514,'[1]Перечень товаров'!$A$2:$I9525,3,0),"")</f>
        <v xml:space="preserve">Техника </v>
      </c>
      <c r="D3514" s="35" t="s">
        <v>30</v>
      </c>
      <c r="E3514" s="88"/>
      <c r="F3514" s="88"/>
      <c r="G3514" s="48">
        <v>1</v>
      </c>
      <c r="H3514" s="48"/>
      <c r="I3514" s="49"/>
      <c r="J3514" s="49"/>
      <c r="K3514" s="19"/>
      <c r="L3514" s="20"/>
      <c r="M3514" s="10"/>
      <c r="N3514" s="10"/>
      <c r="O3514" s="10"/>
      <c r="P3514" s="10"/>
      <c r="Q3514" s="10"/>
      <c r="R3514" s="10"/>
      <c r="S3514" s="10"/>
      <c r="T3514" s="10"/>
      <c r="U3514" s="10"/>
      <c r="V3514" s="10"/>
      <c r="W3514" s="10"/>
      <c r="X3514" s="10"/>
      <c r="Y3514" s="10"/>
      <c r="Z3514" s="10"/>
      <c r="AA3514" s="10"/>
      <c r="AB3514" s="10"/>
      <c r="AC3514" s="10"/>
      <c r="AD3514" s="10"/>
      <c r="AE3514" s="10"/>
      <c r="AF3514" s="10"/>
      <c r="AG3514" s="10"/>
      <c r="AH3514" s="10"/>
    </row>
    <row r="3515" spans="1:34" outlineLevel="2">
      <c r="A3515" s="35"/>
      <c r="B3515" s="12" t="str">
        <f>IFERROR(VLOOKUP(D3515,'[1]Перечень товаров'!$A$2:$I9525,2,0),"")</f>
        <v>т4</v>
      </c>
      <c r="C3515" s="12" t="str">
        <f>IFERROR(VLOOKUP(D3515,'[1]Перечень товаров'!$A$2:$I9525,3,0),"")</f>
        <v xml:space="preserve">Техника </v>
      </c>
      <c r="D3515" s="35" t="s">
        <v>31</v>
      </c>
      <c r="E3515" s="88"/>
      <c r="F3515" s="88"/>
      <c r="G3515" s="48">
        <v>1</v>
      </c>
      <c r="H3515" s="48"/>
      <c r="I3515" s="49"/>
      <c r="J3515" s="49"/>
      <c r="K3515" s="19"/>
      <c r="L3515" s="20"/>
      <c r="M3515" s="10"/>
      <c r="N3515" s="10"/>
      <c r="O3515" s="10"/>
      <c r="P3515" s="10"/>
      <c r="Q3515" s="10"/>
      <c r="R3515" s="10"/>
      <c r="S3515" s="10"/>
      <c r="T3515" s="10"/>
      <c r="U3515" s="10"/>
      <c r="V3515" s="10"/>
      <c r="W3515" s="10"/>
      <c r="X3515" s="10"/>
      <c r="Y3515" s="10"/>
      <c r="Z3515" s="10"/>
      <c r="AA3515" s="10"/>
      <c r="AB3515" s="10"/>
      <c r="AC3515" s="10"/>
      <c r="AD3515" s="10"/>
      <c r="AE3515" s="10"/>
      <c r="AF3515" s="10"/>
      <c r="AG3515" s="10"/>
      <c r="AH3515" s="10"/>
    </row>
    <row r="3516" spans="1:34" outlineLevel="2">
      <c r="A3516" s="21"/>
      <c r="B3516" s="12" t="str">
        <f>IFERROR(VLOOKUP(D3516,'[1]Перечень товаров'!$A$2:$I9525,2,0),"")</f>
        <v>тм65</v>
      </c>
      <c r="C3516" s="12" t="str">
        <f>IFERROR(VLOOKUP(D3516,'[1]Перечень товаров'!$A$2:$I9525,3,0),"")</f>
        <v>Техника муз</v>
      </c>
      <c r="D3516" s="22" t="s">
        <v>380</v>
      </c>
      <c r="E3516" s="88"/>
      <c r="F3516" s="88"/>
      <c r="G3516" s="48">
        <v>1</v>
      </c>
      <c r="H3516" s="48"/>
      <c r="I3516" s="49"/>
      <c r="J3516" s="49"/>
      <c r="K3516" s="19"/>
      <c r="L3516" s="20"/>
      <c r="M3516" s="10"/>
      <c r="N3516" s="10"/>
      <c r="O3516" s="10"/>
      <c r="P3516" s="10"/>
      <c r="Q3516" s="10"/>
      <c r="R3516" s="10"/>
      <c r="S3516" s="10"/>
      <c r="T3516" s="10"/>
      <c r="U3516" s="10"/>
      <c r="V3516" s="10"/>
      <c r="W3516" s="10"/>
      <c r="X3516" s="10"/>
      <c r="Y3516" s="10"/>
      <c r="Z3516" s="10"/>
      <c r="AA3516" s="10"/>
      <c r="AB3516" s="10"/>
      <c r="AC3516" s="10"/>
      <c r="AD3516" s="10"/>
      <c r="AE3516" s="10"/>
      <c r="AF3516" s="10"/>
      <c r="AG3516" s="10"/>
      <c r="AH3516" s="10"/>
    </row>
    <row r="3517" spans="1:34" outlineLevel="2">
      <c r="A3517" s="21"/>
      <c r="B3517" s="12" t="str">
        <f>IFERROR(VLOOKUP(D3517,'[1]Перечень товаров'!$A$2:$I9525,2,0),"")</f>
        <v>т12</v>
      </c>
      <c r="C3517" s="12" t="str">
        <f>IFERROR(VLOOKUP(D3517,'[1]Перечень товаров'!$A$2:$I9525,3,0),"")</f>
        <v>Техника</v>
      </c>
      <c r="D3517" s="22" t="s">
        <v>49</v>
      </c>
      <c r="E3517" s="88"/>
      <c r="F3517" s="88"/>
      <c r="G3517" s="48">
        <v>1</v>
      </c>
      <c r="H3517" s="48"/>
      <c r="I3517" s="49"/>
      <c r="J3517" s="49"/>
      <c r="K3517" s="19"/>
      <c r="L3517" s="20"/>
      <c r="M3517" s="10"/>
      <c r="N3517" s="10"/>
      <c r="O3517" s="10"/>
      <c r="P3517" s="10"/>
      <c r="Q3517" s="10"/>
      <c r="R3517" s="10"/>
      <c r="S3517" s="10"/>
      <c r="T3517" s="10"/>
      <c r="U3517" s="10"/>
      <c r="V3517" s="10"/>
      <c r="W3517" s="10"/>
      <c r="X3517" s="10"/>
      <c r="Y3517" s="10"/>
      <c r="Z3517" s="10"/>
      <c r="AA3517" s="10"/>
      <c r="AB3517" s="10"/>
      <c r="AC3517" s="10"/>
      <c r="AD3517" s="10"/>
      <c r="AE3517" s="10"/>
      <c r="AF3517" s="10"/>
      <c r="AG3517" s="10"/>
      <c r="AH3517" s="10"/>
    </row>
    <row r="3518" spans="1:34" outlineLevel="2">
      <c r="A3518" s="35"/>
      <c r="B3518" s="12" t="str">
        <f>IFERROR(VLOOKUP(D3518,'[1]Перечень товаров'!$A$2:$I9525,2,0),"")</f>
        <v>т6</v>
      </c>
      <c r="C3518" s="12" t="str">
        <f>IFERROR(VLOOKUP(D3518,'[1]Перечень товаров'!$A$2:$I9525,3,0),"")</f>
        <v xml:space="preserve">Техника </v>
      </c>
      <c r="D3518" s="35" t="s">
        <v>33</v>
      </c>
      <c r="E3518" s="88"/>
      <c r="F3518" s="88"/>
      <c r="G3518" s="48">
        <v>1</v>
      </c>
      <c r="H3518" s="48"/>
      <c r="I3518" s="49"/>
      <c r="J3518" s="49"/>
      <c r="K3518" s="19"/>
      <c r="L3518" s="20"/>
      <c r="M3518" s="10"/>
      <c r="N3518" s="10"/>
      <c r="O3518" s="10"/>
      <c r="P3518" s="10"/>
      <c r="Q3518" s="10"/>
      <c r="R3518" s="10"/>
      <c r="S3518" s="10"/>
      <c r="T3518" s="10"/>
      <c r="U3518" s="10"/>
      <c r="V3518" s="10"/>
      <c r="W3518" s="10"/>
      <c r="X3518" s="10"/>
      <c r="Y3518" s="10"/>
      <c r="Z3518" s="10"/>
      <c r="AA3518" s="10"/>
      <c r="AB3518" s="10"/>
      <c r="AC3518" s="10"/>
      <c r="AD3518" s="10"/>
      <c r="AE3518" s="10"/>
      <c r="AF3518" s="10"/>
      <c r="AG3518" s="10"/>
      <c r="AH3518" s="10"/>
    </row>
    <row r="3519" spans="1:34" outlineLevel="2">
      <c r="A3519" s="22"/>
      <c r="B3519" s="12" t="str">
        <f>IFERROR(VLOOKUP(D3519,'[1]Перечень товаров'!$A$2:$I9525,2,0),"")</f>
        <v>т7</v>
      </c>
      <c r="C3519" s="12" t="str">
        <f>IFERROR(VLOOKUP(D3519,'[1]Перечень товаров'!$A$2:$I9525,3,0),"")</f>
        <v xml:space="preserve">Техника </v>
      </c>
      <c r="D3519" s="22" t="s">
        <v>34</v>
      </c>
      <c r="E3519" s="88"/>
      <c r="F3519" s="88"/>
      <c r="G3519" s="48">
        <v>3</v>
      </c>
      <c r="H3519" s="48"/>
      <c r="I3519" s="49"/>
      <c r="J3519" s="49"/>
      <c r="K3519" s="19"/>
      <c r="L3519" s="20"/>
      <c r="M3519" s="10"/>
      <c r="N3519" s="10"/>
      <c r="O3519" s="10"/>
      <c r="P3519" s="10"/>
      <c r="Q3519" s="10"/>
      <c r="R3519" s="10"/>
      <c r="S3519" s="10"/>
      <c r="T3519" s="10"/>
      <c r="U3519" s="10"/>
      <c r="V3519" s="10"/>
      <c r="W3519" s="10"/>
      <c r="X3519" s="10"/>
      <c r="Y3519" s="10"/>
      <c r="Z3519" s="10"/>
      <c r="AA3519" s="10"/>
      <c r="AB3519" s="10"/>
      <c r="AC3519" s="10"/>
      <c r="AD3519" s="10"/>
      <c r="AE3519" s="10"/>
      <c r="AF3519" s="10"/>
      <c r="AG3519" s="10"/>
      <c r="AH3519" s="10"/>
    </row>
    <row r="3520" spans="1:34" outlineLevel="2">
      <c r="A3520" s="35"/>
      <c r="B3520" s="12" t="str">
        <f>IFERROR(VLOOKUP(D3520,'[1]Перечень товаров'!$A$2:$I9525,2,0),"")</f>
        <v>т161</v>
      </c>
      <c r="C3520" s="12" t="str">
        <f>IFERROR(VLOOKUP(D3520,'[1]Перечень товаров'!$A$2:$I9525,3,0),"")</f>
        <v xml:space="preserve">Техника </v>
      </c>
      <c r="D3520" s="29" t="s">
        <v>381</v>
      </c>
      <c r="E3520" s="88"/>
      <c r="F3520" s="88"/>
      <c r="G3520" s="159">
        <v>1</v>
      </c>
      <c r="H3520" s="159"/>
      <c r="I3520" s="160"/>
      <c r="J3520" s="160"/>
      <c r="K3520" s="19"/>
      <c r="L3520" s="20"/>
      <c r="M3520" s="10"/>
      <c r="N3520" s="10"/>
      <c r="O3520" s="10"/>
      <c r="P3520" s="10"/>
      <c r="Q3520" s="10"/>
      <c r="R3520" s="10"/>
      <c r="S3520" s="10"/>
      <c r="T3520" s="10"/>
      <c r="U3520" s="10"/>
      <c r="V3520" s="10"/>
      <c r="W3520" s="10"/>
      <c r="X3520" s="10"/>
      <c r="Y3520" s="10"/>
      <c r="Z3520" s="10"/>
      <c r="AA3520" s="10"/>
      <c r="AB3520" s="10"/>
      <c r="AC3520" s="10"/>
      <c r="AD3520" s="10"/>
      <c r="AE3520" s="10"/>
      <c r="AF3520" s="10"/>
      <c r="AG3520" s="10"/>
      <c r="AH3520" s="10"/>
    </row>
    <row r="3521" spans="1:34" outlineLevel="2">
      <c r="A3521" s="114"/>
      <c r="B3521" s="12" t="str">
        <f>IFERROR(VLOOKUP(D3521,'[1]Перечень товаров'!$A$2:$I9525,2,0),"")</f>
        <v/>
      </c>
      <c r="C3521" s="12" t="str">
        <f>IFERROR(VLOOKUP(D3521,'[1]Перечень товаров'!$A$2:$I9525,3,0),"")</f>
        <v/>
      </c>
      <c r="D3521" s="114" t="s">
        <v>19</v>
      </c>
      <c r="E3521" s="115"/>
      <c r="F3521" s="115"/>
      <c r="G3521" s="157"/>
      <c r="H3521" s="157"/>
      <c r="I3521" s="158"/>
      <c r="J3521" s="158"/>
      <c r="K3521" s="19"/>
      <c r="L3521" s="20"/>
      <c r="M3521" s="10"/>
      <c r="N3521" s="10"/>
      <c r="O3521" s="10"/>
      <c r="P3521" s="10"/>
      <c r="Q3521" s="10"/>
      <c r="R3521" s="10"/>
      <c r="S3521" s="10"/>
      <c r="T3521" s="10"/>
      <c r="U3521" s="10"/>
      <c r="V3521" s="10"/>
      <c r="W3521" s="10"/>
      <c r="X3521" s="10"/>
      <c r="Y3521" s="10"/>
      <c r="Z3521" s="10"/>
      <c r="AA3521" s="10"/>
      <c r="AB3521" s="10"/>
      <c r="AC3521" s="10"/>
      <c r="AD3521" s="10"/>
      <c r="AE3521" s="10"/>
      <c r="AF3521" s="10"/>
      <c r="AG3521" s="10"/>
      <c r="AH3521" s="10"/>
    </row>
    <row r="3522" spans="1:34" outlineLevel="2">
      <c r="A3522" s="34"/>
      <c r="B3522" s="12" t="str">
        <f>IFERROR(VLOOKUP(D3522,'[1]Перечень товаров'!$A$2:$I9525,2,0),"")</f>
        <v>м62</v>
      </c>
      <c r="C3522" s="12" t="str">
        <f>IFERROR(VLOOKUP(D3522,'[1]Перечень товаров'!$A$2:$I9525,3,0),"")</f>
        <v>Мебель</v>
      </c>
      <c r="D3522" s="35" t="s">
        <v>398</v>
      </c>
      <c r="E3522" s="88"/>
      <c r="F3522" s="88"/>
      <c r="G3522" s="59">
        <v>1</v>
      </c>
      <c r="H3522" s="59"/>
      <c r="I3522" s="60"/>
      <c r="J3522" s="60"/>
      <c r="K3522" s="19"/>
      <c r="L3522" s="20"/>
      <c r="M3522" s="10"/>
      <c r="N3522" s="10"/>
      <c r="O3522" s="10"/>
      <c r="P3522" s="10"/>
      <c r="Q3522" s="10"/>
      <c r="R3522" s="10"/>
      <c r="S3522" s="10"/>
      <c r="T3522" s="10"/>
      <c r="U3522" s="10"/>
      <c r="V3522" s="10"/>
      <c r="W3522" s="10"/>
      <c r="X3522" s="10"/>
      <c r="Y3522" s="10"/>
      <c r="Z3522" s="10"/>
      <c r="AA3522" s="10"/>
      <c r="AB3522" s="10"/>
      <c r="AC3522" s="10"/>
      <c r="AD3522" s="10"/>
      <c r="AE3522" s="10"/>
      <c r="AF3522" s="10"/>
      <c r="AG3522" s="10"/>
      <c r="AH3522" s="10"/>
    </row>
    <row r="3523" spans="1:34" outlineLevel="2">
      <c r="A3523" s="34"/>
      <c r="B3523" s="12" t="str">
        <f>IFERROR(VLOOKUP(D3523,'[1]Перечень товаров'!$A$2:$I9525,2,0),"")</f>
        <v>м61</v>
      </c>
      <c r="C3523" s="12" t="str">
        <f>IFERROR(VLOOKUP(D3523,'[1]Перечень товаров'!$A$2:$I9525,3,0),"")</f>
        <v>Мебель</v>
      </c>
      <c r="D3523" s="35" t="s">
        <v>383</v>
      </c>
      <c r="E3523" s="88"/>
      <c r="F3523" s="88"/>
      <c r="G3523" s="59">
        <v>1</v>
      </c>
      <c r="H3523" s="59"/>
      <c r="I3523" s="60"/>
      <c r="J3523" s="60"/>
      <c r="K3523" s="19"/>
      <c r="L3523" s="20"/>
      <c r="M3523" s="10"/>
      <c r="N3523" s="10"/>
      <c r="O3523" s="10"/>
      <c r="P3523" s="10"/>
      <c r="Q3523" s="10"/>
      <c r="R3523" s="10"/>
      <c r="S3523" s="10"/>
      <c r="T3523" s="10"/>
      <c r="U3523" s="10"/>
      <c r="V3523" s="10"/>
      <c r="W3523" s="10"/>
      <c r="X3523" s="10"/>
      <c r="Y3523" s="10"/>
      <c r="Z3523" s="10"/>
      <c r="AA3523" s="10"/>
      <c r="AB3523" s="10"/>
      <c r="AC3523" s="10"/>
      <c r="AD3523" s="10"/>
      <c r="AE3523" s="10"/>
      <c r="AF3523" s="10"/>
      <c r="AG3523" s="10"/>
      <c r="AH3523" s="10"/>
    </row>
    <row r="3524" spans="1:34" outlineLevel="2">
      <c r="A3524" s="34"/>
      <c r="B3524" s="12" t="str">
        <f>IFERROR(VLOOKUP(D3524,'[1]Перечень товаров'!$A$2:$I9525,2,0),"")</f>
        <v>м179</v>
      </c>
      <c r="C3524" s="12" t="str">
        <f>IFERROR(VLOOKUP(D3524,'[1]Перечень товаров'!$A$2:$I9525,3,0),"")</f>
        <v>Мебель</v>
      </c>
      <c r="D3524" s="35" t="s">
        <v>579</v>
      </c>
      <c r="E3524" s="88"/>
      <c r="F3524" s="88"/>
      <c r="G3524" s="159">
        <v>10</v>
      </c>
      <c r="H3524" s="159"/>
      <c r="I3524" s="160"/>
      <c r="J3524" s="160"/>
      <c r="K3524" s="19"/>
      <c r="L3524" s="20"/>
      <c r="M3524" s="10"/>
      <c r="N3524" s="10"/>
      <c r="O3524" s="10"/>
      <c r="P3524" s="10"/>
      <c r="Q3524" s="10"/>
      <c r="R3524" s="10"/>
      <c r="S3524" s="10"/>
      <c r="T3524" s="10"/>
      <c r="U3524" s="10"/>
      <c r="V3524" s="10"/>
      <c r="W3524" s="10"/>
      <c r="X3524" s="10"/>
      <c r="Y3524" s="10"/>
      <c r="Z3524" s="10"/>
      <c r="AA3524" s="10"/>
      <c r="AB3524" s="10"/>
      <c r="AC3524" s="10"/>
      <c r="AD3524" s="10"/>
      <c r="AE3524" s="10"/>
      <c r="AF3524" s="10"/>
      <c r="AG3524" s="10"/>
      <c r="AH3524" s="10"/>
    </row>
    <row r="3525" spans="1:34" outlineLevel="2">
      <c r="A3525" s="34"/>
      <c r="B3525" s="12" t="str">
        <f>IFERROR(VLOOKUP(D3525,'[1]Перечень товаров'!$A$2:$I9525,2,0),"")</f>
        <v>м61</v>
      </c>
      <c r="C3525" s="12" t="str">
        <f>IFERROR(VLOOKUP(D3525,'[1]Перечень товаров'!$A$2:$I9525,3,0),"")</f>
        <v>Мебель</v>
      </c>
      <c r="D3525" s="35" t="s">
        <v>384</v>
      </c>
      <c r="E3525" s="88"/>
      <c r="F3525" s="88"/>
      <c r="G3525" s="159">
        <v>20</v>
      </c>
      <c r="H3525" s="159"/>
      <c r="I3525" s="160"/>
      <c r="J3525" s="160"/>
      <c r="K3525" s="19"/>
      <c r="L3525" s="20"/>
      <c r="M3525" s="10"/>
      <c r="N3525" s="10"/>
      <c r="O3525" s="10"/>
      <c r="P3525" s="10"/>
      <c r="Q3525" s="10"/>
      <c r="R3525" s="10"/>
      <c r="S3525" s="10"/>
      <c r="T3525" s="10"/>
      <c r="U3525" s="10"/>
      <c r="V3525" s="10"/>
      <c r="W3525" s="10"/>
      <c r="X3525" s="10"/>
      <c r="Y3525" s="10"/>
      <c r="Z3525" s="10"/>
      <c r="AA3525" s="10"/>
      <c r="AB3525" s="10"/>
      <c r="AC3525" s="10"/>
      <c r="AD3525" s="10"/>
      <c r="AE3525" s="10"/>
      <c r="AF3525" s="10"/>
      <c r="AG3525" s="10"/>
      <c r="AH3525" s="10"/>
    </row>
    <row r="3526" spans="1:34" outlineLevel="2">
      <c r="A3526" s="22"/>
      <c r="B3526" s="12" t="str">
        <f>IFERROR(VLOOKUP(D3526,'[1]Перечень товаров'!$A$2:$I9525,2,0),"")</f>
        <v>м13</v>
      </c>
      <c r="C3526" s="12" t="str">
        <f>IFERROR(VLOOKUP(D3526,'[1]Перечень товаров'!$A$2:$I9525,3,0),"")</f>
        <v>Мебель</v>
      </c>
      <c r="D3526" s="22" t="s">
        <v>42</v>
      </c>
      <c r="E3526" s="88"/>
      <c r="F3526" s="88"/>
      <c r="G3526" s="48">
        <v>1</v>
      </c>
      <c r="H3526" s="48"/>
      <c r="I3526" s="49"/>
      <c r="J3526" s="49"/>
      <c r="K3526" s="19"/>
      <c r="L3526" s="20"/>
      <c r="M3526" s="10"/>
      <c r="N3526" s="10"/>
      <c r="O3526" s="10"/>
      <c r="P3526" s="10"/>
      <c r="Q3526" s="10"/>
      <c r="R3526" s="10"/>
      <c r="S3526" s="10"/>
      <c r="T3526" s="10"/>
      <c r="U3526" s="10"/>
      <c r="V3526" s="10"/>
      <c r="W3526" s="10"/>
      <c r="X3526" s="10"/>
      <c r="Y3526" s="10"/>
      <c r="Z3526" s="10"/>
      <c r="AA3526" s="10"/>
      <c r="AB3526" s="10"/>
      <c r="AC3526" s="10"/>
      <c r="AD3526" s="10"/>
      <c r="AE3526" s="10"/>
      <c r="AF3526" s="10"/>
      <c r="AG3526" s="10"/>
      <c r="AH3526" s="10"/>
    </row>
    <row r="3527" spans="1:34" outlineLevel="2">
      <c r="A3527" s="21"/>
      <c r="B3527" s="12" t="str">
        <f>IFERROR(VLOOKUP(D3527,'[1]Перечень товаров'!$A$2:$I9525,2,0),"")</f>
        <v>м14</v>
      </c>
      <c r="C3527" s="12" t="str">
        <f>IFERROR(VLOOKUP(D3527,'[1]Перечень товаров'!$A$2:$I9525,3,0),"")</f>
        <v>Мебель</v>
      </c>
      <c r="D3527" s="22" t="s">
        <v>43</v>
      </c>
      <c r="E3527" s="88"/>
      <c r="F3527" s="88"/>
      <c r="G3527" s="48">
        <v>1</v>
      </c>
      <c r="H3527" s="48"/>
      <c r="I3527" s="49"/>
      <c r="J3527" s="49"/>
      <c r="K3527" s="19"/>
      <c r="L3527" s="20"/>
      <c r="M3527" s="10"/>
      <c r="N3527" s="10"/>
      <c r="O3527" s="10"/>
      <c r="P3527" s="10"/>
      <c r="Q3527" s="10"/>
      <c r="R3527" s="10"/>
      <c r="S3527" s="10"/>
      <c r="T3527" s="10"/>
      <c r="U3527" s="10"/>
      <c r="V3527" s="10"/>
      <c r="W3527" s="10"/>
      <c r="X3527" s="10"/>
      <c r="Y3527" s="10"/>
      <c r="Z3527" s="10"/>
      <c r="AA3527" s="10"/>
      <c r="AB3527" s="10"/>
      <c r="AC3527" s="10"/>
      <c r="AD3527" s="10"/>
      <c r="AE3527" s="10"/>
      <c r="AF3527" s="10"/>
      <c r="AG3527" s="10"/>
      <c r="AH3527" s="10"/>
    </row>
    <row r="3528" spans="1:34" outlineLevel="2">
      <c r="A3528" s="21"/>
      <c r="B3528" s="12" t="str">
        <f>IFERROR(VLOOKUP(D3528,'[1]Перечень товаров'!$A$2:$I9525,2,0),"")</f>
        <v>п2</v>
      </c>
      <c r="C3528" s="12" t="str">
        <f>IFERROR(VLOOKUP(D3528,'[1]Перечень товаров'!$A$2:$I9525,3,0),"")</f>
        <v>Прочее</v>
      </c>
      <c r="D3528" s="22" t="s">
        <v>46</v>
      </c>
      <c r="E3528" s="88"/>
      <c r="F3528" s="88"/>
      <c r="G3528" s="24">
        <v>1</v>
      </c>
      <c r="H3528" s="24"/>
      <c r="I3528" s="25"/>
      <c r="J3528" s="25"/>
      <c r="K3528" s="19"/>
      <c r="L3528" s="20"/>
      <c r="M3528" s="10"/>
      <c r="N3528" s="10"/>
      <c r="O3528" s="10"/>
      <c r="P3528" s="10"/>
      <c r="Q3528" s="10"/>
      <c r="R3528" s="10"/>
      <c r="S3528" s="10"/>
      <c r="T3528" s="10"/>
      <c r="U3528" s="10"/>
      <c r="V3528" s="10"/>
      <c r="W3528" s="10"/>
      <c r="X3528" s="10"/>
      <c r="Y3528" s="10"/>
      <c r="Z3528" s="10"/>
      <c r="AA3528" s="10"/>
      <c r="AB3528" s="10"/>
      <c r="AC3528" s="10"/>
      <c r="AD3528" s="10"/>
      <c r="AE3528" s="10"/>
      <c r="AF3528" s="10"/>
      <c r="AG3528" s="10"/>
      <c r="AH3528" s="10"/>
    </row>
    <row r="3529" spans="1:34" ht="31.5" outlineLevel="2">
      <c r="A3529" s="21"/>
      <c r="B3529" s="12" t="str">
        <f>IFERROR(VLOOKUP(D3529,'[1]Перечень товаров'!$A$2:$I9525,2,0),"")</f>
        <v>м21</v>
      </c>
      <c r="C3529" s="12" t="str">
        <f>IFERROR(VLOOKUP(D3529,'[1]Перечень товаров'!$A$2:$I9525,3,0),"")</f>
        <v>Мебель</v>
      </c>
      <c r="D3529" s="22" t="s">
        <v>58</v>
      </c>
      <c r="E3529" s="88"/>
      <c r="F3529" s="88"/>
      <c r="G3529" s="24">
        <v>1</v>
      </c>
      <c r="H3529" s="24"/>
      <c r="I3529" s="25"/>
      <c r="J3529" s="25"/>
      <c r="K3529" s="19"/>
      <c r="L3529" s="20"/>
      <c r="M3529" s="10"/>
      <c r="N3529" s="10"/>
      <c r="O3529" s="10"/>
      <c r="P3529" s="10"/>
      <c r="Q3529" s="10"/>
      <c r="R3529" s="10"/>
      <c r="S3529" s="10"/>
      <c r="T3529" s="10"/>
      <c r="U3529" s="10"/>
      <c r="V3529" s="10"/>
      <c r="W3529" s="10"/>
      <c r="X3529" s="10"/>
      <c r="Y3529" s="10"/>
      <c r="Z3529" s="10"/>
      <c r="AA3529" s="10"/>
      <c r="AB3529" s="10"/>
      <c r="AC3529" s="10"/>
      <c r="AD3529" s="10"/>
      <c r="AE3529" s="10"/>
      <c r="AF3529" s="10"/>
      <c r="AG3529" s="10"/>
      <c r="AH3529" s="10"/>
    </row>
    <row r="3530" spans="1:34" outlineLevel="2">
      <c r="A3530" s="113"/>
      <c r="B3530" s="12" t="str">
        <f>IFERROR(VLOOKUP(D3530,'[1]Перечень товаров'!$A$2:$I9525,2,0),"")</f>
        <v/>
      </c>
      <c r="C3530" s="12" t="str">
        <f>IFERROR(VLOOKUP(D3530,'[1]Перечень товаров'!$A$2:$I9525,3,0),"")</f>
        <v/>
      </c>
      <c r="D3530" s="114" t="s">
        <v>391</v>
      </c>
      <c r="E3530" s="115"/>
      <c r="F3530" s="115"/>
      <c r="G3530" s="215"/>
      <c r="H3530" s="215"/>
      <c r="I3530" s="216"/>
      <c r="J3530" s="216"/>
      <c r="K3530" s="19"/>
      <c r="L3530" s="20"/>
      <c r="M3530" s="10"/>
      <c r="N3530" s="10"/>
      <c r="O3530" s="10"/>
      <c r="P3530" s="10"/>
      <c r="Q3530" s="10"/>
      <c r="R3530" s="10"/>
      <c r="S3530" s="10"/>
      <c r="T3530" s="10"/>
      <c r="U3530" s="10"/>
      <c r="V3530" s="10"/>
      <c r="W3530" s="10"/>
      <c r="X3530" s="10"/>
      <c r="Y3530" s="10"/>
      <c r="Z3530" s="10"/>
      <c r="AA3530" s="10"/>
      <c r="AB3530" s="10"/>
      <c r="AC3530" s="10"/>
      <c r="AD3530" s="10"/>
      <c r="AE3530" s="10"/>
      <c r="AF3530" s="10"/>
      <c r="AG3530" s="10"/>
      <c r="AH3530" s="10"/>
    </row>
    <row r="3531" spans="1:34" ht="31.5" outlineLevel="2">
      <c r="A3531" s="28"/>
      <c r="B3531" s="12" t="str">
        <f>IFERROR(VLOOKUP(D3531,'[1]Перечень товаров'!$A$2:$I9525,2,0),"")</f>
        <v>тм219</v>
      </c>
      <c r="C3531" s="12" t="str">
        <f>IFERROR(VLOOKUP(D3531,'[1]Перечень товаров'!$A$2:$I9525,3,0),"")</f>
        <v>Техника муз</v>
      </c>
      <c r="D3531" s="29" t="s">
        <v>1000</v>
      </c>
      <c r="E3531" s="30"/>
      <c r="F3531" s="30"/>
      <c r="G3531" s="31">
        <v>1</v>
      </c>
      <c r="H3531" s="31"/>
      <c r="I3531" s="32"/>
      <c r="J3531" s="32"/>
      <c r="K3531" s="19"/>
      <c r="L3531" s="20"/>
      <c r="M3531" s="10"/>
      <c r="N3531" s="10"/>
      <c r="O3531" s="10"/>
      <c r="P3531" s="10"/>
      <c r="Q3531" s="10"/>
      <c r="R3531" s="10"/>
      <c r="S3531" s="10"/>
      <c r="T3531" s="10"/>
      <c r="U3531" s="10"/>
      <c r="V3531" s="10"/>
      <c r="W3531" s="10"/>
      <c r="X3531" s="10"/>
      <c r="Y3531" s="10"/>
      <c r="Z3531" s="10"/>
      <c r="AA3531" s="10"/>
      <c r="AB3531" s="10"/>
      <c r="AC3531" s="10"/>
      <c r="AD3531" s="10"/>
      <c r="AE3531" s="10"/>
      <c r="AF3531" s="10"/>
      <c r="AG3531" s="10"/>
      <c r="AH3531" s="10"/>
    </row>
    <row r="3532" spans="1:34" outlineLevel="2">
      <c r="A3532" s="28"/>
      <c r="B3532" s="12" t="str">
        <f>IFERROR(VLOOKUP(D3532,'[1]Перечень товаров'!$A$2:$I9525,2,0),"")</f>
        <v>м175</v>
      </c>
      <c r="C3532" s="12" t="str">
        <f>IFERROR(VLOOKUP(D3532,'[1]Перечень товаров'!$A$2:$I9525,3,0),"")</f>
        <v>мебель</v>
      </c>
      <c r="D3532" s="29" t="s">
        <v>1001</v>
      </c>
      <c r="E3532" s="30"/>
      <c r="F3532" s="30"/>
      <c r="G3532" s="31">
        <v>2</v>
      </c>
      <c r="H3532" s="31"/>
      <c r="I3532" s="32"/>
      <c r="J3532" s="32"/>
      <c r="K3532" s="19"/>
      <c r="L3532" s="20"/>
      <c r="M3532" s="10"/>
      <c r="N3532" s="10"/>
      <c r="O3532" s="10"/>
      <c r="P3532" s="10"/>
      <c r="Q3532" s="10"/>
      <c r="R3532" s="10"/>
      <c r="S3532" s="10"/>
      <c r="T3532" s="10"/>
      <c r="U3532" s="10"/>
      <c r="V3532" s="10"/>
      <c r="W3532" s="10"/>
      <c r="X3532" s="10"/>
      <c r="Y3532" s="10"/>
      <c r="Z3532" s="10"/>
      <c r="AA3532" s="10"/>
      <c r="AB3532" s="10"/>
      <c r="AC3532" s="10"/>
      <c r="AD3532" s="10"/>
      <c r="AE3532" s="10"/>
      <c r="AF3532" s="10"/>
      <c r="AG3532" s="10"/>
      <c r="AH3532" s="10"/>
    </row>
    <row r="3533" spans="1:34" outlineLevel="2">
      <c r="A3533" s="28"/>
      <c r="B3533" s="12" t="str">
        <f>IFERROR(VLOOKUP(D3533,'[1]Перечень товаров'!$A$2:$I9525,2,0),"")</f>
        <v>тм218</v>
      </c>
      <c r="C3533" s="12" t="str">
        <f>IFERROR(VLOOKUP(D3533,'[1]Перечень товаров'!$A$2:$I9525,3,0),"")</f>
        <v>Техника муз</v>
      </c>
      <c r="D3533" s="29" t="s">
        <v>1002</v>
      </c>
      <c r="E3533" s="30"/>
      <c r="F3533" s="30"/>
      <c r="G3533" s="31">
        <v>2</v>
      </c>
      <c r="H3533" s="31"/>
      <c r="I3533" s="32"/>
      <c r="J3533" s="32"/>
      <c r="K3533" s="19"/>
      <c r="L3533" s="20"/>
      <c r="M3533" s="10"/>
      <c r="N3533" s="10"/>
      <c r="O3533" s="10"/>
      <c r="P3533" s="10"/>
      <c r="Q3533" s="10"/>
      <c r="R3533" s="10"/>
      <c r="S3533" s="10"/>
      <c r="T3533" s="10"/>
      <c r="U3533" s="10"/>
      <c r="V3533" s="10"/>
      <c r="W3533" s="10"/>
      <c r="X3533" s="10"/>
      <c r="Y3533" s="10"/>
      <c r="Z3533" s="10"/>
      <c r="AA3533" s="10"/>
      <c r="AB3533" s="10"/>
      <c r="AC3533" s="10"/>
      <c r="AD3533" s="10"/>
      <c r="AE3533" s="10"/>
      <c r="AF3533" s="10"/>
      <c r="AG3533" s="10"/>
      <c r="AH3533" s="10"/>
    </row>
    <row r="3534" spans="1:34" outlineLevel="2">
      <c r="A3534" s="28"/>
      <c r="B3534" s="12" t="str">
        <f>IFERROR(VLOOKUP(D3534,'[1]Перечень товаров'!$A$2:$I9525,2,0),"")</f>
        <v>тм217</v>
      </c>
      <c r="C3534" s="12" t="str">
        <f>IFERROR(VLOOKUP(D3534,'[1]Перечень товаров'!$A$2:$I9525,3,0),"")</f>
        <v>Техника муз</v>
      </c>
      <c r="D3534" s="29" t="s">
        <v>1003</v>
      </c>
      <c r="E3534" s="30"/>
      <c r="F3534" s="30"/>
      <c r="G3534" s="31">
        <v>1</v>
      </c>
      <c r="H3534" s="31"/>
      <c r="I3534" s="32"/>
      <c r="J3534" s="32"/>
      <c r="K3534" s="19"/>
      <c r="L3534" s="20"/>
      <c r="M3534" s="10"/>
      <c r="N3534" s="10"/>
      <c r="O3534" s="10"/>
      <c r="P3534" s="10"/>
      <c r="Q3534" s="10"/>
      <c r="R3534" s="10"/>
      <c r="S3534" s="10"/>
      <c r="T3534" s="10"/>
      <c r="U3534" s="10"/>
      <c r="V3534" s="10"/>
      <c r="W3534" s="10"/>
      <c r="X3534" s="10"/>
      <c r="Y3534" s="10"/>
      <c r="Z3534" s="10"/>
      <c r="AA3534" s="10"/>
      <c r="AB3534" s="10"/>
      <c r="AC3534" s="10"/>
      <c r="AD3534" s="10"/>
      <c r="AE3534" s="10"/>
      <c r="AF3534" s="10"/>
      <c r="AG3534" s="10"/>
      <c r="AH3534" s="10"/>
    </row>
    <row r="3535" spans="1:34" ht="31.5" outlineLevel="2">
      <c r="A3535" s="28"/>
      <c r="B3535" s="12" t="str">
        <f>IFERROR(VLOOKUP(D3535,'[1]Перечень товаров'!$A$2:$I9525,2,0),"")</f>
        <v>пм210</v>
      </c>
      <c r="C3535" s="12" t="str">
        <f>IFERROR(VLOOKUP(D3535,'[1]Перечень товаров'!$A$2:$I9525,3,0),"")</f>
        <v>прочее муз</v>
      </c>
      <c r="D3535" s="29" t="s">
        <v>1004</v>
      </c>
      <c r="E3535" s="30"/>
      <c r="F3535" s="30"/>
      <c r="G3535" s="31">
        <v>3</v>
      </c>
      <c r="H3535" s="31"/>
      <c r="I3535" s="32"/>
      <c r="J3535" s="32"/>
      <c r="K3535" s="19"/>
      <c r="L3535" s="20"/>
      <c r="M3535" s="10"/>
      <c r="N3535" s="10"/>
      <c r="O3535" s="10"/>
      <c r="P3535" s="10"/>
      <c r="Q3535" s="10"/>
      <c r="R3535" s="10"/>
      <c r="S3535" s="10"/>
      <c r="T3535" s="10"/>
      <c r="U3535" s="10"/>
      <c r="V3535" s="10"/>
      <c r="W3535" s="10"/>
      <c r="X3535" s="10"/>
      <c r="Y3535" s="10"/>
      <c r="Z3535" s="10"/>
      <c r="AA3535" s="10"/>
      <c r="AB3535" s="10"/>
      <c r="AC3535" s="10"/>
      <c r="AD3535" s="10"/>
      <c r="AE3535" s="10"/>
      <c r="AF3535" s="10"/>
      <c r="AG3535" s="10"/>
      <c r="AH3535" s="10"/>
    </row>
    <row r="3536" spans="1:34" ht="31.5" outlineLevel="2">
      <c r="A3536" s="28"/>
      <c r="B3536" s="12" t="str">
        <f>IFERROR(VLOOKUP(D3536,'[1]Перечень товаров'!$A$2:$I9525,2,0),"")</f>
        <v/>
      </c>
      <c r="C3536" s="12" t="str">
        <f>IFERROR(VLOOKUP(D3536,'[1]Перечень товаров'!$A$2:$I9525,3,0),"")</f>
        <v/>
      </c>
      <c r="D3536" s="29" t="s">
        <v>1005</v>
      </c>
      <c r="E3536" s="30"/>
      <c r="F3536" s="30"/>
      <c r="G3536" s="31">
        <v>2</v>
      </c>
      <c r="H3536" s="31"/>
      <c r="I3536" s="32"/>
      <c r="J3536" s="32"/>
      <c r="K3536" s="19"/>
      <c r="L3536" s="20"/>
      <c r="M3536" s="10"/>
      <c r="N3536" s="10"/>
      <c r="O3536" s="10"/>
      <c r="P3536" s="10"/>
      <c r="Q3536" s="10"/>
      <c r="R3536" s="10"/>
      <c r="S3536" s="10"/>
      <c r="T3536" s="10"/>
      <c r="U3536" s="10"/>
      <c r="V3536" s="10"/>
      <c r="W3536" s="10"/>
      <c r="X3536" s="10"/>
      <c r="Y3536" s="10"/>
      <c r="Z3536" s="10"/>
      <c r="AA3536" s="10"/>
      <c r="AB3536" s="10"/>
      <c r="AC3536" s="10"/>
      <c r="AD3536" s="10"/>
      <c r="AE3536" s="10"/>
      <c r="AF3536" s="10"/>
      <c r="AG3536" s="10"/>
      <c r="AH3536" s="10"/>
    </row>
    <row r="3537" spans="1:34" outlineLevel="2">
      <c r="A3537" s="28"/>
      <c r="B3537" s="12" t="str">
        <f>IFERROR(VLOOKUP(D3537,'[1]Перечень товаров'!$A$2:$I9525,2,0),"")</f>
        <v>пм209</v>
      </c>
      <c r="C3537" s="12" t="str">
        <f>IFERROR(VLOOKUP(D3537,'[1]Перечень товаров'!$A$2:$I9525,3,0),"")</f>
        <v>прочее муз</v>
      </c>
      <c r="D3537" s="29" t="s">
        <v>1006</v>
      </c>
      <c r="E3537" s="30"/>
      <c r="F3537" s="30"/>
      <c r="G3537" s="31">
        <v>2</v>
      </c>
      <c r="H3537" s="31"/>
      <c r="I3537" s="32"/>
      <c r="J3537" s="32"/>
      <c r="K3537" s="19"/>
      <c r="L3537" s="20"/>
      <c r="M3537" s="10"/>
      <c r="N3537" s="10"/>
      <c r="O3537" s="10"/>
      <c r="P3537" s="10"/>
      <c r="Q3537" s="10"/>
      <c r="R3537" s="10"/>
      <c r="S3537" s="10"/>
      <c r="T3537" s="10"/>
      <c r="U3537" s="10"/>
      <c r="V3537" s="10"/>
      <c r="W3537" s="10"/>
      <c r="X3537" s="10"/>
      <c r="Y3537" s="10"/>
      <c r="Z3537" s="10"/>
      <c r="AA3537" s="10"/>
      <c r="AB3537" s="10"/>
      <c r="AC3537" s="10"/>
      <c r="AD3537" s="10"/>
      <c r="AE3537" s="10"/>
      <c r="AF3537" s="10"/>
      <c r="AG3537" s="10"/>
      <c r="AH3537" s="10"/>
    </row>
    <row r="3538" spans="1:34" outlineLevel="2">
      <c r="A3538" s="28"/>
      <c r="B3538" s="12" t="str">
        <f>IFERROR(VLOOKUP(D3538,'[1]Перечень товаров'!$A$2:$I9525,2,0),"")</f>
        <v/>
      </c>
      <c r="C3538" s="12" t="str">
        <f>IFERROR(VLOOKUP(D3538,'[1]Перечень товаров'!$A$2:$I9525,3,0),"")</f>
        <v/>
      </c>
      <c r="D3538" s="29" t="s">
        <v>1007</v>
      </c>
      <c r="E3538" s="30"/>
      <c r="F3538" s="30"/>
      <c r="G3538" s="31">
        <v>3</v>
      </c>
      <c r="H3538" s="31"/>
      <c r="I3538" s="32"/>
      <c r="J3538" s="32"/>
      <c r="K3538" s="19"/>
      <c r="L3538" s="20"/>
      <c r="M3538" s="10"/>
      <c r="N3538" s="10"/>
      <c r="O3538" s="10"/>
      <c r="P3538" s="10"/>
      <c r="Q3538" s="10"/>
      <c r="R3538" s="10"/>
      <c r="S3538" s="10"/>
      <c r="T3538" s="10"/>
      <c r="U3538" s="10"/>
      <c r="V3538" s="10"/>
      <c r="W3538" s="10"/>
      <c r="X3538" s="10"/>
      <c r="Y3538" s="10"/>
      <c r="Z3538" s="10"/>
      <c r="AA3538" s="10"/>
      <c r="AB3538" s="10"/>
      <c r="AC3538" s="10"/>
      <c r="AD3538" s="10"/>
      <c r="AE3538" s="10"/>
      <c r="AF3538" s="10"/>
      <c r="AG3538" s="10"/>
      <c r="AH3538" s="10"/>
    </row>
    <row r="3539" spans="1:34" outlineLevel="2">
      <c r="A3539" s="28"/>
      <c r="B3539" s="12" t="str">
        <f>IFERROR(VLOOKUP(D3539,'[1]Перечень товаров'!$A$2:$I9525,2,0),"")</f>
        <v>м174</v>
      </c>
      <c r="C3539" s="12" t="str">
        <f>IFERROR(VLOOKUP(D3539,'[1]Перечень товаров'!$A$2:$I9525,3,0),"")</f>
        <v>мебель</v>
      </c>
      <c r="D3539" s="29" t="s">
        <v>1008</v>
      </c>
      <c r="E3539" s="30"/>
      <c r="F3539" s="30"/>
      <c r="G3539" s="31">
        <v>1</v>
      </c>
      <c r="H3539" s="31"/>
      <c r="I3539" s="32"/>
      <c r="J3539" s="32"/>
      <c r="K3539" s="19"/>
      <c r="L3539" s="20"/>
      <c r="M3539" s="10"/>
      <c r="N3539" s="10"/>
      <c r="O3539" s="10"/>
      <c r="P3539" s="10"/>
      <c r="Q3539" s="10"/>
      <c r="R3539" s="10"/>
      <c r="S3539" s="10"/>
      <c r="T3539" s="10"/>
      <c r="U3539" s="10"/>
      <c r="V3539" s="10"/>
      <c r="W3539" s="10"/>
      <c r="X3539" s="10"/>
      <c r="Y3539" s="10"/>
      <c r="Z3539" s="10"/>
      <c r="AA3539" s="10"/>
      <c r="AB3539" s="10"/>
      <c r="AC3539" s="10"/>
      <c r="AD3539" s="10"/>
      <c r="AE3539" s="10"/>
      <c r="AF3539" s="10"/>
      <c r="AG3539" s="10"/>
      <c r="AH3539" s="10"/>
    </row>
    <row r="3540" spans="1:34" ht="31.5" outlineLevel="2">
      <c r="A3540" s="28"/>
      <c r="B3540" s="12" t="str">
        <f>IFERROR(VLOOKUP(D3540,'[1]Перечень товаров'!$A$2:$I9525,2,0),"")</f>
        <v>пм208</v>
      </c>
      <c r="C3540" s="12" t="str">
        <f>IFERROR(VLOOKUP(D3540,'[1]Перечень товаров'!$A$2:$I9525,3,0),"")</f>
        <v>прочее муз</v>
      </c>
      <c r="D3540" s="29" t="s">
        <v>1009</v>
      </c>
      <c r="E3540" s="30"/>
      <c r="F3540" s="30"/>
      <c r="G3540" s="31">
        <v>1</v>
      </c>
      <c r="H3540" s="31"/>
      <c r="I3540" s="32"/>
      <c r="J3540" s="32"/>
      <c r="K3540" s="19"/>
      <c r="L3540" s="20"/>
      <c r="M3540" s="10"/>
      <c r="N3540" s="10"/>
      <c r="O3540" s="10"/>
      <c r="P3540" s="10"/>
      <c r="Q3540" s="10"/>
      <c r="R3540" s="10"/>
      <c r="S3540" s="10"/>
      <c r="T3540" s="10"/>
      <c r="U3540" s="10"/>
      <c r="V3540" s="10"/>
      <c r="W3540" s="10"/>
      <c r="X3540" s="10"/>
      <c r="Y3540" s="10"/>
      <c r="Z3540" s="10"/>
      <c r="AA3540" s="10"/>
      <c r="AB3540" s="10"/>
      <c r="AC3540" s="10"/>
      <c r="AD3540" s="10"/>
      <c r="AE3540" s="10"/>
      <c r="AF3540" s="10"/>
      <c r="AG3540" s="10"/>
      <c r="AH3540" s="10"/>
    </row>
    <row r="3541" spans="1:34" ht="12.75" outlineLevel="1">
      <c r="A3541" s="11"/>
      <c r="B3541" s="12" t="str">
        <f>IFERROR(VLOOKUP(D3541,'[1]Перечень товаров'!$A$2:$I9525,2,0),"")</f>
        <v/>
      </c>
      <c r="C3541" s="12" t="str">
        <f>IFERROR(VLOOKUP(D3541,'[1]Перечень товаров'!$A$2:$I9525,3,0),"")</f>
        <v/>
      </c>
      <c r="D3541" s="27" t="s">
        <v>1010</v>
      </c>
      <c r="E3541" s="14">
        <v>48.1</v>
      </c>
      <c r="F3541" s="14"/>
      <c r="G3541" s="17"/>
      <c r="H3541" s="17"/>
      <c r="I3541" s="57"/>
      <c r="J3541" s="57"/>
      <c r="K3541" s="19"/>
      <c r="L3541" s="20"/>
      <c r="M3541" s="10"/>
      <c r="N3541" s="10"/>
      <c r="O3541" s="10"/>
      <c r="P3541" s="10"/>
      <c r="Q3541" s="10"/>
      <c r="R3541" s="10"/>
      <c r="S3541" s="10"/>
      <c r="T3541" s="10"/>
      <c r="U3541" s="10"/>
      <c r="V3541" s="10"/>
      <c r="W3541" s="10"/>
      <c r="X3541" s="10"/>
      <c r="Y3541" s="10"/>
      <c r="Z3541" s="10"/>
      <c r="AA3541" s="10"/>
      <c r="AB3541" s="10"/>
      <c r="AC3541" s="10"/>
      <c r="AD3541" s="10"/>
      <c r="AE3541" s="10"/>
      <c r="AF3541" s="10"/>
      <c r="AG3541" s="10"/>
      <c r="AH3541" s="10"/>
    </row>
    <row r="3542" spans="1:34" ht="31.5" outlineLevel="2">
      <c r="A3542" s="70"/>
      <c r="B3542" s="12" t="str">
        <f>IFERROR(VLOOKUP(D3542,'[1]Перечень товаров'!$A$2:$I9525,2,0),"")</f>
        <v>т62</v>
      </c>
      <c r="C3542" s="12" t="str">
        <f>IFERROR(VLOOKUP(D3542,'[1]Перечень товаров'!$A$2:$I9525,3,0),"")</f>
        <v>Техника</v>
      </c>
      <c r="D3542" s="71" t="s">
        <v>184</v>
      </c>
      <c r="E3542" s="88"/>
      <c r="F3542" s="88"/>
      <c r="G3542" s="73">
        <v>6</v>
      </c>
      <c r="H3542" s="73"/>
      <c r="I3542" s="74"/>
      <c r="J3542" s="74"/>
      <c r="K3542" s="19"/>
      <c r="L3542" s="20"/>
      <c r="M3542" s="10"/>
      <c r="N3542" s="10"/>
      <c r="O3542" s="10"/>
      <c r="P3542" s="10"/>
      <c r="Q3542" s="10"/>
      <c r="R3542" s="10"/>
      <c r="S3542" s="10"/>
      <c r="T3542" s="10"/>
      <c r="U3542" s="10"/>
      <c r="V3542" s="10"/>
      <c r="W3542" s="10"/>
      <c r="X3542" s="10"/>
      <c r="Y3542" s="10"/>
      <c r="Z3542" s="10"/>
      <c r="AA3542" s="10"/>
      <c r="AB3542" s="10"/>
      <c r="AC3542" s="10"/>
      <c r="AD3542" s="10"/>
      <c r="AE3542" s="10"/>
      <c r="AF3542" s="10"/>
      <c r="AG3542" s="10"/>
      <c r="AH3542" s="10"/>
    </row>
    <row r="3543" spans="1:34" ht="31.5" outlineLevel="2">
      <c r="A3543" s="70"/>
      <c r="B3543" s="12" t="str">
        <f>IFERROR(VLOOKUP(D3543,'[1]Перечень товаров'!$A$2:$I9525,2,0),"")</f>
        <v>т63</v>
      </c>
      <c r="C3543" s="12" t="str">
        <f>IFERROR(VLOOKUP(D3543,'[1]Перечень товаров'!$A$2:$I9525,3,0),"")</f>
        <v>Техника</v>
      </c>
      <c r="D3543" s="71" t="s">
        <v>185</v>
      </c>
      <c r="E3543" s="88"/>
      <c r="F3543" s="88"/>
      <c r="G3543" s="73">
        <v>4</v>
      </c>
      <c r="H3543" s="73"/>
      <c r="I3543" s="74"/>
      <c r="J3543" s="74"/>
      <c r="K3543" s="19"/>
      <c r="L3543" s="20"/>
      <c r="M3543" s="10"/>
      <c r="N3543" s="10"/>
      <c r="O3543" s="10"/>
      <c r="P3543" s="10"/>
      <c r="Q3543" s="10"/>
      <c r="R3543" s="10"/>
      <c r="S3543" s="10"/>
      <c r="T3543" s="10"/>
      <c r="U3543" s="10"/>
      <c r="V3543" s="10"/>
      <c r="W3543" s="10"/>
      <c r="X3543" s="10"/>
      <c r="Y3543" s="10"/>
      <c r="Z3543" s="10"/>
      <c r="AA3543" s="10"/>
      <c r="AB3543" s="10"/>
      <c r="AC3543" s="10"/>
      <c r="AD3543" s="10"/>
      <c r="AE3543" s="10"/>
      <c r="AF3543" s="10"/>
      <c r="AG3543" s="10"/>
      <c r="AH3543" s="10"/>
    </row>
    <row r="3544" spans="1:34" ht="31.5" outlineLevel="2">
      <c r="A3544" s="70"/>
      <c r="B3544" s="12" t="str">
        <f>IFERROR(VLOOKUP(D3544,'[1]Перечень товаров'!$A$2:$I9525,2,0),"")</f>
        <v>т64</v>
      </c>
      <c r="C3544" s="12" t="str">
        <f>IFERROR(VLOOKUP(D3544,'[1]Перечень товаров'!$A$2:$I9525,3,0),"")</f>
        <v>Техника</v>
      </c>
      <c r="D3544" s="71" t="s">
        <v>186</v>
      </c>
      <c r="E3544" s="88"/>
      <c r="F3544" s="88"/>
      <c r="G3544" s="73">
        <v>2</v>
      </c>
      <c r="H3544" s="73"/>
      <c r="I3544" s="74"/>
      <c r="J3544" s="74"/>
      <c r="K3544" s="19"/>
      <c r="L3544" s="20"/>
      <c r="M3544" s="10"/>
      <c r="N3544" s="10"/>
      <c r="O3544" s="10"/>
      <c r="P3544" s="10"/>
      <c r="Q3544" s="10"/>
      <c r="R3544" s="10"/>
      <c r="S3544" s="10"/>
      <c r="T3544" s="10"/>
      <c r="U3544" s="10"/>
      <c r="V3544" s="10"/>
      <c r="W3544" s="10"/>
      <c r="X3544" s="10"/>
      <c r="Y3544" s="10"/>
      <c r="Z3544" s="10"/>
      <c r="AA3544" s="10"/>
      <c r="AB3544" s="10"/>
      <c r="AC3544" s="10"/>
      <c r="AD3544" s="10"/>
      <c r="AE3544" s="10"/>
      <c r="AF3544" s="10"/>
      <c r="AG3544" s="10"/>
      <c r="AH3544" s="10"/>
    </row>
    <row r="3545" spans="1:34" ht="63" outlineLevel="2">
      <c r="A3545" s="70"/>
      <c r="B3545" s="12" t="str">
        <f>IFERROR(VLOOKUP(D3545,'[1]Перечень товаров'!$A$2:$I9525,2,0),"")</f>
        <v>т65</v>
      </c>
      <c r="C3545" s="12" t="str">
        <f>IFERROR(VLOOKUP(D3545,'[1]Перечень товаров'!$A$2:$I9525,3,0),"")</f>
        <v>Техника</v>
      </c>
      <c r="D3545" s="71" t="s">
        <v>187</v>
      </c>
      <c r="E3545" s="88"/>
      <c r="F3545" s="88"/>
      <c r="G3545" s="73">
        <v>1</v>
      </c>
      <c r="H3545" s="73"/>
      <c r="I3545" s="74"/>
      <c r="J3545" s="74"/>
      <c r="K3545" s="19"/>
      <c r="L3545" s="20"/>
      <c r="M3545" s="10"/>
      <c r="N3545" s="10"/>
      <c r="O3545" s="10"/>
      <c r="P3545" s="10"/>
      <c r="Q3545" s="10"/>
      <c r="R3545" s="10"/>
      <c r="S3545" s="10"/>
      <c r="T3545" s="10"/>
      <c r="U3545" s="10"/>
      <c r="V3545" s="10"/>
      <c r="W3545" s="10"/>
      <c r="X3545" s="10"/>
      <c r="Y3545" s="10"/>
      <c r="Z3545" s="10"/>
      <c r="AA3545" s="10"/>
      <c r="AB3545" s="10"/>
      <c r="AC3545" s="10"/>
      <c r="AD3545" s="10"/>
      <c r="AE3545" s="10"/>
      <c r="AF3545" s="10"/>
      <c r="AG3545" s="10"/>
      <c r="AH3545" s="10"/>
    </row>
    <row r="3546" spans="1:34" outlineLevel="2">
      <c r="A3546" s="70"/>
      <c r="B3546" s="12" t="str">
        <f>IFERROR(VLOOKUP(D3546,'[1]Перечень товаров'!$A$2:$I9525,2,0),"")</f>
        <v>т66</v>
      </c>
      <c r="C3546" s="12" t="str">
        <f>IFERROR(VLOOKUP(D3546,'[1]Перечень товаров'!$A$2:$I9525,3,0),"")</f>
        <v>Техника</v>
      </c>
      <c r="D3546" s="71" t="s">
        <v>188</v>
      </c>
      <c r="E3546" s="88"/>
      <c r="F3546" s="88"/>
      <c r="G3546" s="73">
        <v>2</v>
      </c>
      <c r="H3546" s="73"/>
      <c r="I3546" s="74"/>
      <c r="J3546" s="74"/>
      <c r="K3546" s="19"/>
      <c r="L3546" s="20"/>
      <c r="M3546" s="10"/>
      <c r="N3546" s="10"/>
      <c r="O3546" s="10"/>
      <c r="P3546" s="10"/>
      <c r="Q3546" s="10"/>
      <c r="R3546" s="10"/>
      <c r="S3546" s="10"/>
      <c r="T3546" s="10"/>
      <c r="U3546" s="10"/>
      <c r="V3546" s="10"/>
      <c r="W3546" s="10"/>
      <c r="X3546" s="10"/>
      <c r="Y3546" s="10"/>
      <c r="Z3546" s="10"/>
      <c r="AA3546" s="10"/>
      <c r="AB3546" s="10"/>
      <c r="AC3546" s="10"/>
      <c r="AD3546" s="10"/>
      <c r="AE3546" s="10"/>
      <c r="AF3546" s="10"/>
      <c r="AG3546" s="10"/>
      <c r="AH3546" s="10"/>
    </row>
    <row r="3547" spans="1:34" ht="31.5" outlineLevel="2">
      <c r="A3547" s="70"/>
      <c r="B3547" s="12" t="str">
        <f>IFERROR(VLOOKUP(D3547,'[1]Перечень товаров'!$A$2:$I9525,2,0),"")</f>
        <v>т67</v>
      </c>
      <c r="C3547" s="12" t="str">
        <f>IFERROR(VLOOKUP(D3547,'[1]Перечень товаров'!$A$2:$I9525,3,0),"")</f>
        <v>Техника</v>
      </c>
      <c r="D3547" s="71" t="s">
        <v>189</v>
      </c>
      <c r="E3547" s="88"/>
      <c r="F3547" s="88"/>
      <c r="G3547" s="73">
        <v>1</v>
      </c>
      <c r="H3547" s="73"/>
      <c r="I3547" s="74"/>
      <c r="J3547" s="74"/>
      <c r="K3547" s="19"/>
      <c r="L3547" s="20"/>
      <c r="M3547" s="10"/>
      <c r="N3547" s="10"/>
      <c r="O3547" s="10"/>
      <c r="P3547" s="10"/>
      <c r="Q3547" s="10"/>
      <c r="R3547" s="10"/>
      <c r="S3547" s="10"/>
      <c r="T3547" s="10"/>
      <c r="U3547" s="10"/>
      <c r="V3547" s="10"/>
      <c r="W3547" s="10"/>
      <c r="X3547" s="10"/>
      <c r="Y3547" s="10"/>
      <c r="Z3547" s="10"/>
      <c r="AA3547" s="10"/>
      <c r="AB3547" s="10"/>
      <c r="AC3547" s="10"/>
      <c r="AD3547" s="10"/>
      <c r="AE3547" s="10"/>
      <c r="AF3547" s="10"/>
      <c r="AG3547" s="10"/>
      <c r="AH3547" s="10"/>
    </row>
    <row r="3548" spans="1:34" ht="31.5" outlineLevel="2">
      <c r="A3548" s="70"/>
      <c r="B3548" s="12" t="str">
        <f>IFERROR(VLOOKUP(D3548,'[1]Перечень товаров'!$A$2:$I9525,2,0),"")</f>
        <v>т68</v>
      </c>
      <c r="C3548" s="12" t="str">
        <f>IFERROR(VLOOKUP(D3548,'[1]Перечень товаров'!$A$2:$I9525,3,0),"")</f>
        <v>Техника</v>
      </c>
      <c r="D3548" s="71" t="s">
        <v>190</v>
      </c>
      <c r="E3548" s="88"/>
      <c r="F3548" s="88"/>
      <c r="G3548" s="73">
        <v>2</v>
      </c>
      <c r="H3548" s="73"/>
      <c r="I3548" s="74"/>
      <c r="J3548" s="74"/>
      <c r="K3548" s="19"/>
      <c r="L3548" s="20"/>
      <c r="M3548" s="10"/>
      <c r="N3548" s="10"/>
      <c r="O3548" s="10"/>
      <c r="P3548" s="10"/>
      <c r="Q3548" s="10"/>
      <c r="R3548" s="10"/>
      <c r="S3548" s="10"/>
      <c r="T3548" s="10"/>
      <c r="U3548" s="10"/>
      <c r="V3548" s="10"/>
      <c r="W3548" s="10"/>
      <c r="X3548" s="10"/>
      <c r="Y3548" s="10"/>
      <c r="Z3548" s="10"/>
      <c r="AA3548" s="10"/>
      <c r="AB3548" s="10"/>
      <c r="AC3548" s="10"/>
      <c r="AD3548" s="10"/>
      <c r="AE3548" s="10"/>
      <c r="AF3548" s="10"/>
      <c r="AG3548" s="10"/>
      <c r="AH3548" s="10"/>
    </row>
    <row r="3549" spans="1:34" ht="31.5" outlineLevel="2">
      <c r="A3549" s="70"/>
      <c r="B3549" s="12" t="str">
        <f>IFERROR(VLOOKUP(D3549,'[1]Перечень товаров'!$A$2:$I9525,2,0),"")</f>
        <v>т69</v>
      </c>
      <c r="C3549" s="12" t="str">
        <f>IFERROR(VLOOKUP(D3549,'[1]Перечень товаров'!$A$2:$I9525,3,0),"")</f>
        <v>Техника</v>
      </c>
      <c r="D3549" s="71" t="s">
        <v>191</v>
      </c>
      <c r="E3549" s="88"/>
      <c r="F3549" s="88"/>
      <c r="G3549" s="73">
        <v>1</v>
      </c>
      <c r="H3549" s="73"/>
      <c r="I3549" s="74"/>
      <c r="J3549" s="74"/>
      <c r="K3549" s="19"/>
      <c r="L3549" s="20"/>
      <c r="M3549" s="10"/>
      <c r="N3549" s="10"/>
      <c r="O3549" s="10"/>
      <c r="P3549" s="10"/>
      <c r="Q3549" s="10"/>
      <c r="R3549" s="10"/>
      <c r="S3549" s="10"/>
      <c r="T3549" s="10"/>
      <c r="U3549" s="10"/>
      <c r="V3549" s="10"/>
      <c r="W3549" s="10"/>
      <c r="X3549" s="10"/>
      <c r="Y3549" s="10"/>
      <c r="Z3549" s="10"/>
      <c r="AA3549" s="10"/>
      <c r="AB3549" s="10"/>
      <c r="AC3549" s="10"/>
      <c r="AD3549" s="10"/>
      <c r="AE3549" s="10"/>
      <c r="AF3549" s="10"/>
      <c r="AG3549" s="10"/>
      <c r="AH3549" s="10"/>
    </row>
    <row r="3550" spans="1:34" ht="47.25" outlineLevel="2">
      <c r="A3550" s="70"/>
      <c r="B3550" s="12" t="str">
        <f>IFERROR(VLOOKUP(D3550,'[1]Перечень товаров'!$A$2:$I9525,2,0),"")</f>
        <v>т70</v>
      </c>
      <c r="C3550" s="12" t="str">
        <f>IFERROR(VLOOKUP(D3550,'[1]Перечень товаров'!$A$2:$I9525,3,0),"")</f>
        <v>Техника</v>
      </c>
      <c r="D3550" s="71" t="s">
        <v>192</v>
      </c>
      <c r="E3550" s="88"/>
      <c r="F3550" s="88"/>
      <c r="G3550" s="73">
        <v>1</v>
      </c>
      <c r="H3550" s="73"/>
      <c r="I3550" s="74"/>
      <c r="J3550" s="74"/>
      <c r="K3550" s="19"/>
      <c r="L3550" s="20"/>
      <c r="M3550" s="10"/>
      <c r="N3550" s="10"/>
      <c r="O3550" s="10"/>
      <c r="P3550" s="10"/>
      <c r="Q3550" s="10"/>
      <c r="R3550" s="10"/>
      <c r="S3550" s="10"/>
      <c r="T3550" s="10"/>
      <c r="U3550" s="10"/>
      <c r="V3550" s="10"/>
      <c r="W3550" s="10"/>
      <c r="X3550" s="10"/>
      <c r="Y3550" s="10"/>
      <c r="Z3550" s="10"/>
      <c r="AA3550" s="10"/>
      <c r="AB3550" s="10"/>
      <c r="AC3550" s="10"/>
      <c r="AD3550" s="10"/>
      <c r="AE3550" s="10"/>
      <c r="AF3550" s="10"/>
      <c r="AG3550" s="10"/>
      <c r="AH3550" s="10"/>
    </row>
    <row r="3551" spans="1:34" ht="31.5" outlineLevel="2">
      <c r="A3551" s="70"/>
      <c r="B3551" s="12" t="str">
        <f>IFERROR(VLOOKUP(D3551,'[1]Перечень товаров'!$A$2:$I9525,2,0),"")</f>
        <v>т71</v>
      </c>
      <c r="C3551" s="12" t="str">
        <f>IFERROR(VLOOKUP(D3551,'[1]Перечень товаров'!$A$2:$I9525,3,0),"")</f>
        <v>Техника</v>
      </c>
      <c r="D3551" s="71" t="s">
        <v>193</v>
      </c>
      <c r="E3551" s="88"/>
      <c r="F3551" s="88"/>
      <c r="G3551" s="73">
        <v>2</v>
      </c>
      <c r="H3551" s="73"/>
      <c r="I3551" s="74"/>
      <c r="J3551" s="74"/>
      <c r="K3551" s="19"/>
      <c r="L3551" s="20"/>
      <c r="M3551" s="10"/>
      <c r="N3551" s="10"/>
      <c r="O3551" s="10"/>
      <c r="P3551" s="10"/>
      <c r="Q3551" s="10"/>
      <c r="R3551" s="10"/>
      <c r="S3551" s="10"/>
      <c r="T3551" s="10"/>
      <c r="U3551" s="10"/>
      <c r="V3551" s="10"/>
      <c r="W3551" s="10"/>
      <c r="X3551" s="10"/>
      <c r="Y3551" s="10"/>
      <c r="Z3551" s="10"/>
      <c r="AA3551" s="10"/>
      <c r="AB3551" s="10"/>
      <c r="AC3551" s="10"/>
      <c r="AD3551" s="10"/>
      <c r="AE3551" s="10"/>
      <c r="AF3551" s="10"/>
      <c r="AG3551" s="10"/>
      <c r="AH3551" s="10"/>
    </row>
    <row r="3552" spans="1:34" ht="31.5" outlineLevel="2">
      <c r="A3552" s="70"/>
      <c r="B3552" s="12" t="str">
        <f>IFERROR(VLOOKUP(D3552,'[1]Перечень товаров'!$A$2:$I9525,2,0),"")</f>
        <v>т72</v>
      </c>
      <c r="C3552" s="12" t="str">
        <f>IFERROR(VLOOKUP(D3552,'[1]Перечень товаров'!$A$2:$I9525,3,0),"")</f>
        <v>Техника</v>
      </c>
      <c r="D3552" s="71" t="s">
        <v>194</v>
      </c>
      <c r="E3552" s="88"/>
      <c r="F3552" s="88"/>
      <c r="G3552" s="73">
        <v>2</v>
      </c>
      <c r="H3552" s="73"/>
      <c r="I3552" s="74"/>
      <c r="J3552" s="74"/>
      <c r="K3552" s="19"/>
      <c r="L3552" s="20"/>
      <c r="M3552" s="10"/>
      <c r="N3552" s="10"/>
      <c r="O3552" s="10"/>
      <c r="P3552" s="10"/>
      <c r="Q3552" s="10"/>
      <c r="R3552" s="10"/>
      <c r="S3552" s="10"/>
      <c r="T3552" s="10"/>
      <c r="U3552" s="10"/>
      <c r="V3552" s="10"/>
      <c r="W3552" s="10"/>
      <c r="X3552" s="10"/>
      <c r="Y3552" s="10"/>
      <c r="Z3552" s="10"/>
      <c r="AA3552" s="10"/>
      <c r="AB3552" s="10"/>
      <c r="AC3552" s="10"/>
      <c r="AD3552" s="10"/>
      <c r="AE3552" s="10"/>
      <c r="AF3552" s="10"/>
      <c r="AG3552" s="10"/>
      <c r="AH3552" s="10"/>
    </row>
    <row r="3553" spans="1:34" ht="31.5" outlineLevel="2">
      <c r="A3553" s="70"/>
      <c r="B3553" s="12" t="str">
        <f>IFERROR(VLOOKUP(D3553,'[1]Перечень товаров'!$A$2:$I9525,2,0),"")</f>
        <v>тм4</v>
      </c>
      <c r="C3553" s="12" t="str">
        <f>IFERROR(VLOOKUP(D3553,'[1]Перечень товаров'!$A$2:$I9525,3,0),"")</f>
        <v>Техника муз</v>
      </c>
      <c r="D3553" s="71" t="s">
        <v>195</v>
      </c>
      <c r="E3553" s="88"/>
      <c r="F3553" s="88"/>
      <c r="G3553" s="73">
        <v>6</v>
      </c>
      <c r="H3553" s="73"/>
      <c r="I3553" s="74"/>
      <c r="J3553" s="74"/>
      <c r="K3553" s="19"/>
      <c r="L3553" s="20"/>
      <c r="M3553" s="10"/>
      <c r="N3553" s="10"/>
      <c r="O3553" s="10"/>
      <c r="P3553" s="10"/>
      <c r="Q3553" s="10"/>
      <c r="R3553" s="10"/>
      <c r="S3553" s="10"/>
      <c r="T3553" s="10"/>
      <c r="U3553" s="10"/>
      <c r="V3553" s="10"/>
      <c r="W3553" s="10"/>
      <c r="X3553" s="10"/>
      <c r="Y3553" s="10"/>
      <c r="Z3553" s="10"/>
      <c r="AA3553" s="10"/>
      <c r="AB3553" s="10"/>
      <c r="AC3553" s="10"/>
      <c r="AD3553" s="10"/>
      <c r="AE3553" s="10"/>
      <c r="AF3553" s="10"/>
      <c r="AG3553" s="10"/>
      <c r="AH3553" s="10"/>
    </row>
    <row r="3554" spans="1:34" ht="31.5" outlineLevel="2">
      <c r="A3554" s="70"/>
      <c r="B3554" s="12" t="str">
        <f>IFERROR(VLOOKUP(D3554,'[1]Перечень товаров'!$A$2:$I9525,2,0),"")</f>
        <v>т73</v>
      </c>
      <c r="C3554" s="12" t="str">
        <f>IFERROR(VLOOKUP(D3554,'[1]Перечень товаров'!$A$2:$I9525,3,0),"")</f>
        <v>Техника</v>
      </c>
      <c r="D3554" s="71" t="s">
        <v>196</v>
      </c>
      <c r="E3554" s="88"/>
      <c r="F3554" s="88"/>
      <c r="G3554" s="73">
        <v>2</v>
      </c>
      <c r="H3554" s="73"/>
      <c r="I3554" s="74"/>
      <c r="J3554" s="74"/>
      <c r="K3554" s="19"/>
      <c r="L3554" s="20"/>
      <c r="M3554" s="10"/>
      <c r="N3554" s="10"/>
      <c r="O3554" s="10"/>
      <c r="P3554" s="10"/>
      <c r="Q3554" s="10"/>
      <c r="R3554" s="10"/>
      <c r="S3554" s="10"/>
      <c r="T3554" s="10"/>
      <c r="U3554" s="10"/>
      <c r="V3554" s="10"/>
      <c r="W3554" s="10"/>
      <c r="X3554" s="10"/>
      <c r="Y3554" s="10"/>
      <c r="Z3554" s="10"/>
      <c r="AA3554" s="10"/>
      <c r="AB3554" s="10"/>
      <c r="AC3554" s="10"/>
      <c r="AD3554" s="10"/>
      <c r="AE3554" s="10"/>
      <c r="AF3554" s="10"/>
      <c r="AG3554" s="10"/>
      <c r="AH3554" s="10"/>
    </row>
    <row r="3555" spans="1:34" ht="47.25" outlineLevel="2">
      <c r="A3555" s="70"/>
      <c r="B3555" s="12" t="str">
        <f>IFERROR(VLOOKUP(D3555,'[1]Перечень товаров'!$A$2:$I9525,2,0),"")</f>
        <v>тм5</v>
      </c>
      <c r="C3555" s="12" t="str">
        <f>IFERROR(VLOOKUP(D3555,'[1]Перечень товаров'!$A$2:$I9525,3,0),"")</f>
        <v>Техника муз</v>
      </c>
      <c r="D3555" s="71" t="s">
        <v>197</v>
      </c>
      <c r="E3555" s="88"/>
      <c r="F3555" s="88"/>
      <c r="G3555" s="73">
        <v>6</v>
      </c>
      <c r="H3555" s="73"/>
      <c r="I3555" s="74"/>
      <c r="J3555" s="74"/>
      <c r="K3555" s="19"/>
      <c r="L3555" s="20"/>
      <c r="M3555" s="10"/>
      <c r="N3555" s="10"/>
      <c r="O3555" s="10"/>
      <c r="P3555" s="10"/>
      <c r="Q3555" s="10"/>
      <c r="R3555" s="10"/>
      <c r="S3555" s="10"/>
      <c r="T3555" s="10"/>
      <c r="U3555" s="10"/>
      <c r="V3555" s="10"/>
      <c r="W3555" s="10"/>
      <c r="X3555" s="10"/>
      <c r="Y3555" s="10"/>
      <c r="Z3555" s="10"/>
      <c r="AA3555" s="10"/>
      <c r="AB3555" s="10"/>
      <c r="AC3555" s="10"/>
      <c r="AD3555" s="10"/>
      <c r="AE3555" s="10"/>
      <c r="AF3555" s="10"/>
      <c r="AG3555" s="10"/>
      <c r="AH3555" s="10"/>
    </row>
    <row r="3556" spans="1:34" ht="31.5" outlineLevel="2">
      <c r="A3556" s="70"/>
      <c r="B3556" s="12" t="str">
        <f>IFERROR(VLOOKUP(D3556,'[1]Перечень товаров'!$A$2:$I9525,2,0),"")</f>
        <v>тм6</v>
      </c>
      <c r="C3556" s="12" t="str">
        <f>IFERROR(VLOOKUP(D3556,'[1]Перечень товаров'!$A$2:$I9525,3,0),"")</f>
        <v>Техника муз</v>
      </c>
      <c r="D3556" s="71" t="s">
        <v>198</v>
      </c>
      <c r="E3556" s="88"/>
      <c r="F3556" s="88"/>
      <c r="G3556" s="73">
        <v>2</v>
      </c>
      <c r="H3556" s="73"/>
      <c r="I3556" s="74"/>
      <c r="J3556" s="74"/>
      <c r="K3556" s="19"/>
      <c r="L3556" s="20"/>
      <c r="M3556" s="10"/>
      <c r="N3556" s="10"/>
      <c r="O3556" s="10"/>
      <c r="P3556" s="10"/>
      <c r="Q3556" s="10"/>
      <c r="R3556" s="10"/>
      <c r="S3556" s="10"/>
      <c r="T3556" s="10"/>
      <c r="U3556" s="10"/>
      <c r="V3556" s="10"/>
      <c r="W3556" s="10"/>
      <c r="X3556" s="10"/>
      <c r="Y3556" s="10"/>
      <c r="Z3556" s="10"/>
      <c r="AA3556" s="10"/>
      <c r="AB3556" s="10"/>
      <c r="AC3556" s="10"/>
      <c r="AD3556" s="10"/>
      <c r="AE3556" s="10"/>
      <c r="AF3556" s="10"/>
      <c r="AG3556" s="10"/>
      <c r="AH3556" s="10"/>
    </row>
    <row r="3557" spans="1:34" ht="31.5" outlineLevel="2">
      <c r="A3557" s="70"/>
      <c r="B3557" s="12" t="str">
        <f>IFERROR(VLOOKUP(D3557,'[1]Перечень товаров'!$A$2:$I9525,2,0),"")</f>
        <v>т74</v>
      </c>
      <c r="C3557" s="12" t="str">
        <f>IFERROR(VLOOKUP(D3557,'[1]Перечень товаров'!$A$2:$I9525,3,0),"")</f>
        <v>Техника</v>
      </c>
      <c r="D3557" s="71" t="s">
        <v>199</v>
      </c>
      <c r="E3557" s="88"/>
      <c r="F3557" s="88"/>
      <c r="G3557" s="73">
        <v>8</v>
      </c>
      <c r="H3557" s="73"/>
      <c r="I3557" s="74"/>
      <c r="J3557" s="74"/>
      <c r="K3557" s="19"/>
      <c r="L3557" s="20"/>
      <c r="M3557" s="10"/>
      <c r="N3557" s="10"/>
      <c r="O3557" s="10"/>
      <c r="P3557" s="10"/>
      <c r="Q3557" s="10"/>
      <c r="R3557" s="10"/>
      <c r="S3557" s="10"/>
      <c r="T3557" s="10"/>
      <c r="U3557" s="10"/>
      <c r="V3557" s="10"/>
      <c r="W3557" s="10"/>
      <c r="X3557" s="10"/>
      <c r="Y3557" s="10"/>
      <c r="Z3557" s="10"/>
      <c r="AA3557" s="10"/>
      <c r="AB3557" s="10"/>
      <c r="AC3557" s="10"/>
      <c r="AD3557" s="10"/>
      <c r="AE3557" s="10"/>
      <c r="AF3557" s="10"/>
      <c r="AG3557" s="10"/>
      <c r="AH3557" s="10"/>
    </row>
    <row r="3558" spans="1:34" ht="31.5" outlineLevel="2">
      <c r="A3558" s="70"/>
      <c r="B3558" s="12" t="str">
        <f>IFERROR(VLOOKUP(D3558,'[1]Перечень товаров'!$A$2:$I9525,2,0),"")</f>
        <v>тм7</v>
      </c>
      <c r="C3558" s="12" t="str">
        <f>IFERROR(VLOOKUP(D3558,'[1]Перечень товаров'!$A$2:$I9525,3,0),"")</f>
        <v>Техника муз</v>
      </c>
      <c r="D3558" s="71" t="s">
        <v>200</v>
      </c>
      <c r="E3558" s="88"/>
      <c r="F3558" s="88"/>
      <c r="G3558" s="73">
        <v>2</v>
      </c>
      <c r="H3558" s="73"/>
      <c r="I3558" s="74"/>
      <c r="J3558" s="74"/>
      <c r="K3558" s="19"/>
      <c r="L3558" s="20"/>
      <c r="M3558" s="10"/>
      <c r="N3558" s="10"/>
      <c r="O3558" s="10"/>
      <c r="P3558" s="10"/>
      <c r="Q3558" s="10"/>
      <c r="R3558" s="10"/>
      <c r="S3558" s="10"/>
      <c r="T3558" s="10"/>
      <c r="U3558" s="10"/>
      <c r="V3558" s="10"/>
      <c r="W3558" s="10"/>
      <c r="X3558" s="10"/>
      <c r="Y3558" s="10"/>
      <c r="Z3558" s="10"/>
      <c r="AA3558" s="10"/>
      <c r="AB3558" s="10"/>
      <c r="AC3558" s="10"/>
      <c r="AD3558" s="10"/>
      <c r="AE3558" s="10"/>
      <c r="AF3558" s="10"/>
      <c r="AG3558" s="10"/>
      <c r="AH3558" s="10"/>
    </row>
    <row r="3559" spans="1:34" ht="31.5" outlineLevel="2">
      <c r="A3559" s="70"/>
      <c r="B3559" s="12" t="str">
        <f>IFERROR(VLOOKUP(D3559,'[1]Перечень товаров'!$A$2:$I9525,2,0),"")</f>
        <v>тм8</v>
      </c>
      <c r="C3559" s="12" t="str">
        <f>IFERROR(VLOOKUP(D3559,'[1]Перечень товаров'!$A$2:$I9525,3,0),"")</f>
        <v>Техника муз</v>
      </c>
      <c r="D3559" s="71" t="s">
        <v>201</v>
      </c>
      <c r="E3559" s="88"/>
      <c r="F3559" s="88"/>
      <c r="G3559" s="73">
        <v>4</v>
      </c>
      <c r="H3559" s="73"/>
      <c r="I3559" s="74"/>
      <c r="J3559" s="74"/>
      <c r="K3559" s="19"/>
      <c r="L3559" s="20"/>
      <c r="M3559" s="10"/>
      <c r="N3559" s="10"/>
      <c r="O3559" s="10"/>
      <c r="P3559" s="10"/>
      <c r="Q3559" s="10"/>
      <c r="R3559" s="10"/>
      <c r="S3559" s="10"/>
      <c r="T3559" s="10"/>
      <c r="U3559" s="10"/>
      <c r="V3559" s="10"/>
      <c r="W3559" s="10"/>
      <c r="X3559" s="10"/>
      <c r="Y3559" s="10"/>
      <c r="Z3559" s="10"/>
      <c r="AA3559" s="10"/>
      <c r="AB3559" s="10"/>
      <c r="AC3559" s="10"/>
      <c r="AD3559" s="10"/>
      <c r="AE3559" s="10"/>
      <c r="AF3559" s="10"/>
      <c r="AG3559" s="10"/>
      <c r="AH3559" s="10"/>
    </row>
    <row r="3560" spans="1:34" outlineLevel="2">
      <c r="A3560" s="70"/>
      <c r="B3560" s="12" t="str">
        <f>IFERROR(VLOOKUP(D3560,'[1]Перечень товаров'!$A$2:$I9525,2,0),"")</f>
        <v>т75</v>
      </c>
      <c r="C3560" s="12" t="str">
        <f>IFERROR(VLOOKUP(D3560,'[1]Перечень товаров'!$A$2:$I9525,3,0),"")</f>
        <v>Техника</v>
      </c>
      <c r="D3560" s="71" t="s">
        <v>202</v>
      </c>
      <c r="E3560" s="88"/>
      <c r="F3560" s="88"/>
      <c r="G3560" s="73">
        <v>1</v>
      </c>
      <c r="H3560" s="73"/>
      <c r="I3560" s="74"/>
      <c r="J3560" s="74"/>
      <c r="K3560" s="19"/>
      <c r="L3560" s="20"/>
      <c r="M3560" s="10"/>
      <c r="N3560" s="10"/>
      <c r="O3560" s="10"/>
      <c r="P3560" s="10"/>
      <c r="Q3560" s="10"/>
      <c r="R3560" s="10"/>
      <c r="S3560" s="10"/>
      <c r="T3560" s="10"/>
      <c r="U3560" s="10"/>
      <c r="V3560" s="10"/>
      <c r="W3560" s="10"/>
      <c r="X3560" s="10"/>
      <c r="Y3560" s="10"/>
      <c r="Z3560" s="10"/>
      <c r="AA3560" s="10"/>
      <c r="AB3560" s="10"/>
      <c r="AC3560" s="10"/>
      <c r="AD3560" s="10"/>
      <c r="AE3560" s="10"/>
      <c r="AF3560" s="10"/>
      <c r="AG3560" s="10"/>
      <c r="AH3560" s="10"/>
    </row>
    <row r="3561" spans="1:34" ht="31.5" outlineLevel="2">
      <c r="A3561" s="70"/>
      <c r="B3561" s="12" t="str">
        <f>IFERROR(VLOOKUP(D3561,'[1]Перечень товаров'!$A$2:$I9525,2,0),"")</f>
        <v>т76</v>
      </c>
      <c r="C3561" s="12" t="str">
        <f>IFERROR(VLOOKUP(D3561,'[1]Перечень товаров'!$A$2:$I9525,3,0),"")</f>
        <v>Техника</v>
      </c>
      <c r="D3561" s="71" t="s">
        <v>203</v>
      </c>
      <c r="E3561" s="88"/>
      <c r="F3561" s="88"/>
      <c r="G3561" s="73">
        <v>10</v>
      </c>
      <c r="H3561" s="73"/>
      <c r="I3561" s="74"/>
      <c r="J3561" s="74"/>
      <c r="K3561" s="19"/>
      <c r="L3561" s="20"/>
      <c r="M3561" s="10"/>
      <c r="N3561" s="10"/>
      <c r="O3561" s="10"/>
      <c r="P3561" s="10"/>
      <c r="Q3561" s="10"/>
      <c r="R3561" s="10"/>
      <c r="S3561" s="10"/>
      <c r="T3561" s="10"/>
      <c r="U3561" s="10"/>
      <c r="V3561" s="10"/>
      <c r="W3561" s="10"/>
      <c r="X3561" s="10"/>
      <c r="Y3561" s="10"/>
      <c r="Z3561" s="10"/>
      <c r="AA3561" s="10"/>
      <c r="AB3561" s="10"/>
      <c r="AC3561" s="10"/>
      <c r="AD3561" s="10"/>
      <c r="AE3561" s="10"/>
      <c r="AF3561" s="10"/>
      <c r="AG3561" s="10"/>
      <c r="AH3561" s="10"/>
    </row>
    <row r="3562" spans="1:34" ht="47.25" outlineLevel="2">
      <c r="A3562" s="70"/>
      <c r="B3562" s="12" t="str">
        <f>IFERROR(VLOOKUP(D3562,'[1]Перечень товаров'!$A$2:$I9525,2,0),"")</f>
        <v>м31</v>
      </c>
      <c r="C3562" s="12" t="str">
        <f>IFERROR(VLOOKUP(D3562,'[1]Перечень товаров'!$A$2:$I9525,3,0),"")</f>
        <v>Мебель</v>
      </c>
      <c r="D3562" s="71" t="s">
        <v>204</v>
      </c>
      <c r="E3562" s="88"/>
      <c r="F3562" s="88"/>
      <c r="G3562" s="73">
        <v>10</v>
      </c>
      <c r="H3562" s="73"/>
      <c r="I3562" s="74"/>
      <c r="J3562" s="74"/>
      <c r="K3562" s="19"/>
      <c r="L3562" s="20"/>
      <c r="M3562" s="10"/>
      <c r="N3562" s="10"/>
      <c r="O3562" s="10"/>
      <c r="P3562" s="10"/>
      <c r="Q3562" s="10"/>
      <c r="R3562" s="10"/>
      <c r="S3562" s="10"/>
      <c r="T3562" s="10"/>
      <c r="U3562" s="10"/>
      <c r="V3562" s="10"/>
      <c r="W3562" s="10"/>
      <c r="X3562" s="10"/>
      <c r="Y3562" s="10"/>
      <c r="Z3562" s="10"/>
      <c r="AA3562" s="10"/>
      <c r="AB3562" s="10"/>
      <c r="AC3562" s="10"/>
      <c r="AD3562" s="10"/>
      <c r="AE3562" s="10"/>
      <c r="AF3562" s="10"/>
      <c r="AG3562" s="10"/>
      <c r="AH3562" s="10"/>
    </row>
    <row r="3563" spans="1:34" ht="47.25" outlineLevel="2">
      <c r="A3563" s="70"/>
      <c r="B3563" s="12" t="str">
        <f>IFERROR(VLOOKUP(D3563,'[1]Перечень товаров'!$A$2:$I9525,2,0),"")</f>
        <v>м32</v>
      </c>
      <c r="C3563" s="12" t="str">
        <f>IFERROR(VLOOKUP(D3563,'[1]Перечень товаров'!$A$2:$I9525,3,0),"")</f>
        <v>Мебель</v>
      </c>
      <c r="D3563" s="71" t="s">
        <v>205</v>
      </c>
      <c r="E3563" s="88"/>
      <c r="F3563" s="88"/>
      <c r="G3563" s="73">
        <v>2</v>
      </c>
      <c r="H3563" s="73"/>
      <c r="I3563" s="74"/>
      <c r="J3563" s="74"/>
      <c r="K3563" s="19"/>
      <c r="L3563" s="20"/>
      <c r="M3563" s="10"/>
      <c r="N3563" s="10"/>
      <c r="O3563" s="10"/>
      <c r="P3563" s="10"/>
      <c r="Q3563" s="10"/>
      <c r="R3563" s="10"/>
      <c r="S3563" s="10"/>
      <c r="T3563" s="10"/>
      <c r="U3563" s="10"/>
      <c r="V3563" s="10"/>
      <c r="W3563" s="10"/>
      <c r="X3563" s="10"/>
      <c r="Y3563" s="10"/>
      <c r="Z3563" s="10"/>
      <c r="AA3563" s="10"/>
      <c r="AB3563" s="10"/>
      <c r="AC3563" s="10"/>
      <c r="AD3563" s="10"/>
      <c r="AE3563" s="10"/>
      <c r="AF3563" s="10"/>
      <c r="AG3563" s="10"/>
      <c r="AH3563" s="10"/>
    </row>
    <row r="3564" spans="1:34" ht="31.5" outlineLevel="2">
      <c r="A3564" s="70"/>
      <c r="B3564" s="12" t="str">
        <f>IFERROR(VLOOKUP(D3564,'[1]Перечень товаров'!$A$2:$I9525,2,0),"")</f>
        <v>м33</v>
      </c>
      <c r="C3564" s="12" t="str">
        <f>IFERROR(VLOOKUP(D3564,'[1]Перечень товаров'!$A$2:$I9525,3,0),"")</f>
        <v>Мебель</v>
      </c>
      <c r="D3564" s="71" t="s">
        <v>206</v>
      </c>
      <c r="E3564" s="88"/>
      <c r="F3564" s="88"/>
      <c r="G3564" s="73">
        <v>4</v>
      </c>
      <c r="H3564" s="73"/>
      <c r="I3564" s="74"/>
      <c r="J3564" s="74"/>
      <c r="K3564" s="19"/>
      <c r="L3564" s="20"/>
      <c r="M3564" s="10"/>
      <c r="N3564" s="10"/>
      <c r="O3564" s="10"/>
      <c r="P3564" s="10"/>
      <c r="Q3564" s="10"/>
      <c r="R3564" s="10"/>
      <c r="S3564" s="10"/>
      <c r="T3564" s="10"/>
      <c r="U3564" s="10"/>
      <c r="V3564" s="10"/>
      <c r="W3564" s="10"/>
      <c r="X3564" s="10"/>
      <c r="Y3564" s="10"/>
      <c r="Z3564" s="10"/>
      <c r="AA3564" s="10"/>
      <c r="AB3564" s="10"/>
      <c r="AC3564" s="10"/>
      <c r="AD3564" s="10"/>
      <c r="AE3564" s="10"/>
      <c r="AF3564" s="10"/>
      <c r="AG3564" s="10"/>
      <c r="AH3564" s="10"/>
    </row>
    <row r="3565" spans="1:34" ht="31.5" outlineLevel="2">
      <c r="A3565" s="70"/>
      <c r="B3565" s="12" t="str">
        <f>IFERROR(VLOOKUP(D3565,'[1]Перечень товаров'!$A$2:$I9525,2,0),"")</f>
        <v>м34</v>
      </c>
      <c r="C3565" s="12" t="str">
        <f>IFERROR(VLOOKUP(D3565,'[1]Перечень товаров'!$A$2:$I9525,3,0),"")</f>
        <v>Мебель</v>
      </c>
      <c r="D3565" s="71" t="s">
        <v>207</v>
      </c>
      <c r="E3565" s="88"/>
      <c r="F3565" s="88"/>
      <c r="G3565" s="73">
        <v>2</v>
      </c>
      <c r="H3565" s="73"/>
      <c r="I3565" s="74"/>
      <c r="J3565" s="74"/>
      <c r="K3565" s="19"/>
      <c r="L3565" s="20"/>
      <c r="M3565" s="10"/>
      <c r="N3565" s="10"/>
      <c r="O3565" s="10"/>
      <c r="P3565" s="10"/>
      <c r="Q3565" s="10"/>
      <c r="R3565" s="10"/>
      <c r="S3565" s="10"/>
      <c r="T3565" s="10"/>
      <c r="U3565" s="10"/>
      <c r="V3565" s="10"/>
      <c r="W3565" s="10"/>
      <c r="X3565" s="10"/>
      <c r="Y3565" s="10"/>
      <c r="Z3565" s="10"/>
      <c r="AA3565" s="10"/>
      <c r="AB3565" s="10"/>
      <c r="AC3565" s="10"/>
      <c r="AD3565" s="10"/>
      <c r="AE3565" s="10"/>
      <c r="AF3565" s="10"/>
      <c r="AG3565" s="10"/>
      <c r="AH3565" s="10"/>
    </row>
    <row r="3566" spans="1:34" ht="31.5" outlineLevel="2">
      <c r="A3566" s="70"/>
      <c r="B3566" s="12" t="str">
        <f>IFERROR(VLOOKUP(D3566,'[1]Перечень товаров'!$A$2:$I9525,2,0),"")</f>
        <v>м35</v>
      </c>
      <c r="C3566" s="12" t="str">
        <f>IFERROR(VLOOKUP(D3566,'[1]Перечень товаров'!$A$2:$I9525,3,0),"")</f>
        <v>Мебель</v>
      </c>
      <c r="D3566" s="71" t="s">
        <v>208</v>
      </c>
      <c r="E3566" s="88"/>
      <c r="F3566" s="88"/>
      <c r="G3566" s="73">
        <v>1</v>
      </c>
      <c r="H3566" s="73"/>
      <c r="I3566" s="74"/>
      <c r="J3566" s="74"/>
      <c r="K3566" s="19"/>
      <c r="L3566" s="20"/>
      <c r="M3566" s="10"/>
      <c r="N3566" s="10"/>
      <c r="O3566" s="10"/>
      <c r="P3566" s="10"/>
      <c r="Q3566" s="10"/>
      <c r="R3566" s="10"/>
      <c r="S3566" s="10"/>
      <c r="T3566" s="10"/>
      <c r="U3566" s="10"/>
      <c r="V3566" s="10"/>
      <c r="W3566" s="10"/>
      <c r="X3566" s="10"/>
      <c r="Y3566" s="10"/>
      <c r="Z3566" s="10"/>
      <c r="AA3566" s="10"/>
      <c r="AB3566" s="10"/>
      <c r="AC3566" s="10"/>
      <c r="AD3566" s="10"/>
      <c r="AE3566" s="10"/>
      <c r="AF3566" s="10"/>
      <c r="AG3566" s="10"/>
      <c r="AH3566" s="10"/>
    </row>
    <row r="3567" spans="1:34" outlineLevel="2">
      <c r="A3567" s="70"/>
      <c r="B3567" s="12" t="str">
        <f>IFERROR(VLOOKUP(D3567,'[1]Перечень товаров'!$A$2:$I9525,2,0),"")</f>
        <v>тм9</v>
      </c>
      <c r="C3567" s="12" t="str">
        <f>IFERROR(VLOOKUP(D3567,'[1]Перечень товаров'!$A$2:$I9525,3,0),"")</f>
        <v>Техника муз</v>
      </c>
      <c r="D3567" s="71" t="s">
        <v>209</v>
      </c>
      <c r="E3567" s="88"/>
      <c r="F3567" s="88"/>
      <c r="G3567" s="73">
        <v>1</v>
      </c>
      <c r="H3567" s="73"/>
      <c r="I3567" s="74"/>
      <c r="J3567" s="74"/>
      <c r="K3567" s="19"/>
      <c r="L3567" s="20"/>
      <c r="M3567" s="10"/>
      <c r="N3567" s="10"/>
      <c r="O3567" s="10"/>
      <c r="P3567" s="10"/>
      <c r="Q3567" s="10"/>
      <c r="R3567" s="10"/>
      <c r="S3567" s="10"/>
      <c r="T3567" s="10"/>
      <c r="U3567" s="10"/>
      <c r="V3567" s="10"/>
      <c r="W3567" s="10"/>
      <c r="X3567" s="10"/>
      <c r="Y3567" s="10"/>
      <c r="Z3567" s="10"/>
      <c r="AA3567" s="10"/>
      <c r="AB3567" s="10"/>
      <c r="AC3567" s="10"/>
      <c r="AD3567" s="10"/>
      <c r="AE3567" s="10"/>
      <c r="AF3567" s="10"/>
      <c r="AG3567" s="10"/>
      <c r="AH3567" s="10"/>
    </row>
    <row r="3568" spans="1:34" outlineLevel="2">
      <c r="A3568" s="70"/>
      <c r="B3568" s="12" t="str">
        <f>IFERROR(VLOOKUP(D3568,'[1]Перечень товаров'!$A$2:$I9525,2,0),"")</f>
        <v>дм3</v>
      </c>
      <c r="C3568" s="12" t="str">
        <f>IFERROR(VLOOKUP(D3568,'[1]Перечень товаров'!$A$2:$I9525,3,0),"")</f>
        <v>Дидактика муз</v>
      </c>
      <c r="D3568" s="71" t="s">
        <v>210</v>
      </c>
      <c r="E3568" s="88"/>
      <c r="F3568" s="88"/>
      <c r="G3568" s="73">
        <v>3</v>
      </c>
      <c r="H3568" s="73"/>
      <c r="I3568" s="74"/>
      <c r="J3568" s="74"/>
      <c r="K3568" s="19"/>
      <c r="L3568" s="20"/>
      <c r="M3568" s="10"/>
      <c r="N3568" s="10"/>
      <c r="O3568" s="10"/>
      <c r="P3568" s="10"/>
      <c r="Q3568" s="10"/>
      <c r="R3568" s="10"/>
      <c r="S3568" s="10"/>
      <c r="T3568" s="10"/>
      <c r="U3568" s="10"/>
      <c r="V3568" s="10"/>
      <c r="W3568" s="10"/>
      <c r="X3568" s="10"/>
      <c r="Y3568" s="10"/>
      <c r="Z3568" s="10"/>
      <c r="AA3568" s="10"/>
      <c r="AB3568" s="10"/>
      <c r="AC3568" s="10"/>
      <c r="AD3568" s="10"/>
      <c r="AE3568" s="10"/>
      <c r="AF3568" s="10"/>
      <c r="AG3568" s="10"/>
      <c r="AH3568" s="10"/>
    </row>
    <row r="3569" spans="1:34" ht="31.5" outlineLevel="2">
      <c r="A3569" s="70"/>
      <c r="B3569" s="12" t="str">
        <f>IFERROR(VLOOKUP(D3569,'[1]Перечень товаров'!$A$2:$I9525,2,0),"")</f>
        <v>тм10</v>
      </c>
      <c r="C3569" s="12" t="str">
        <f>IFERROR(VLOOKUP(D3569,'[1]Перечень товаров'!$A$2:$I9525,3,0),"")</f>
        <v>Техника муз</v>
      </c>
      <c r="D3569" s="71" t="s">
        <v>211</v>
      </c>
      <c r="E3569" s="88"/>
      <c r="F3569" s="88"/>
      <c r="G3569" s="73">
        <v>1</v>
      </c>
      <c r="H3569" s="73"/>
      <c r="I3569" s="74"/>
      <c r="J3569" s="74"/>
      <c r="K3569" s="19"/>
      <c r="L3569" s="20"/>
      <c r="M3569" s="10"/>
      <c r="N3569" s="10"/>
      <c r="O3569" s="10"/>
      <c r="P3569" s="10"/>
      <c r="Q3569" s="10"/>
      <c r="R3569" s="10"/>
      <c r="S3569" s="10"/>
      <c r="T3569" s="10"/>
      <c r="U3569" s="10"/>
      <c r="V3569" s="10"/>
      <c r="W3569" s="10"/>
      <c r="X3569" s="10"/>
      <c r="Y3569" s="10"/>
      <c r="Z3569" s="10"/>
      <c r="AA3569" s="10"/>
      <c r="AB3569" s="10"/>
      <c r="AC3569" s="10"/>
      <c r="AD3569" s="10"/>
      <c r="AE3569" s="10"/>
      <c r="AF3569" s="10"/>
      <c r="AG3569" s="10"/>
      <c r="AH3569" s="10"/>
    </row>
    <row r="3570" spans="1:34" ht="47.25" outlineLevel="2">
      <c r="A3570" s="70"/>
      <c r="B3570" s="12" t="str">
        <f>IFERROR(VLOOKUP(D3570,'[1]Перечень товаров'!$A$2:$I9525,2,0),"")</f>
        <v>тм11</v>
      </c>
      <c r="C3570" s="12" t="str">
        <f>IFERROR(VLOOKUP(D3570,'[1]Перечень товаров'!$A$2:$I9525,3,0),"")</f>
        <v>Техника муз</v>
      </c>
      <c r="D3570" s="71" t="s">
        <v>212</v>
      </c>
      <c r="E3570" s="88"/>
      <c r="F3570" s="88"/>
      <c r="G3570" s="73">
        <v>1</v>
      </c>
      <c r="H3570" s="73"/>
      <c r="I3570" s="74"/>
      <c r="J3570" s="74"/>
      <c r="K3570" s="19"/>
      <c r="L3570" s="20"/>
      <c r="M3570" s="10"/>
      <c r="N3570" s="10"/>
      <c r="O3570" s="10"/>
      <c r="P3570" s="10"/>
      <c r="Q3570" s="10"/>
      <c r="R3570" s="10"/>
      <c r="S3570" s="10"/>
      <c r="T3570" s="10"/>
      <c r="U3570" s="10"/>
      <c r="V3570" s="10"/>
      <c r="W3570" s="10"/>
      <c r="X3570" s="10"/>
      <c r="Y3570" s="10"/>
      <c r="Z3570" s="10"/>
      <c r="AA3570" s="10"/>
      <c r="AB3570" s="10"/>
      <c r="AC3570" s="10"/>
      <c r="AD3570" s="10"/>
      <c r="AE3570" s="10"/>
      <c r="AF3570" s="10"/>
      <c r="AG3570" s="10"/>
      <c r="AH3570" s="10"/>
    </row>
    <row r="3571" spans="1:34" ht="47.25" outlineLevel="2">
      <c r="A3571" s="70"/>
      <c r="B3571" s="12" t="str">
        <f>IFERROR(VLOOKUP(D3571,'[1]Перечень товаров'!$A$2:$I9525,2,0),"")</f>
        <v>мм2</v>
      </c>
      <c r="C3571" s="12" t="str">
        <f>IFERROR(VLOOKUP(D3571,'[1]Перечень товаров'!$A$2:$I9525,3,0),"")</f>
        <v>Мебель муз</v>
      </c>
      <c r="D3571" s="71" t="s">
        <v>213</v>
      </c>
      <c r="E3571" s="88"/>
      <c r="F3571" s="88"/>
      <c r="G3571" s="73">
        <v>2</v>
      </c>
      <c r="H3571" s="73"/>
      <c r="I3571" s="74"/>
      <c r="J3571" s="74"/>
      <c r="K3571" s="19"/>
      <c r="L3571" s="20"/>
      <c r="M3571" s="10"/>
      <c r="N3571" s="10"/>
      <c r="O3571" s="10"/>
      <c r="P3571" s="10"/>
      <c r="Q3571" s="10"/>
      <c r="R3571" s="10"/>
      <c r="S3571" s="10"/>
      <c r="T3571" s="10"/>
      <c r="U3571" s="10"/>
      <c r="V3571" s="10"/>
      <c r="W3571" s="10"/>
      <c r="X3571" s="10"/>
      <c r="Y3571" s="10"/>
      <c r="Z3571" s="10"/>
      <c r="AA3571" s="10"/>
      <c r="AB3571" s="10"/>
      <c r="AC3571" s="10"/>
      <c r="AD3571" s="10"/>
      <c r="AE3571" s="10"/>
      <c r="AF3571" s="10"/>
      <c r="AG3571" s="10"/>
      <c r="AH3571" s="10"/>
    </row>
    <row r="3572" spans="1:34" ht="12.75" outlineLevel="1">
      <c r="A3572" s="89"/>
      <c r="B3572" s="12" t="str">
        <f>IFERROR(VLOOKUP(D3572,'[1]Перечень товаров'!$A$2:$I9525,2,0),"")</f>
        <v/>
      </c>
      <c r="C3572" s="12" t="str">
        <f>IFERROR(VLOOKUP(D3572,'[1]Перечень товаров'!$A$2:$I9525,3,0),"")</f>
        <v/>
      </c>
      <c r="D3572" s="90" t="s">
        <v>1011</v>
      </c>
      <c r="E3572" s="91">
        <v>76.3</v>
      </c>
      <c r="F3572" s="91"/>
      <c r="G3572" s="17"/>
      <c r="H3572" s="17"/>
      <c r="I3572" s="57"/>
      <c r="J3572" s="57"/>
      <c r="K3572" s="19"/>
      <c r="L3572" s="20"/>
      <c r="M3572" s="10"/>
      <c r="N3572" s="10"/>
      <c r="O3572" s="10"/>
      <c r="P3572" s="10"/>
      <c r="Q3572" s="10"/>
      <c r="R3572" s="10"/>
      <c r="S3572" s="10"/>
      <c r="T3572" s="10"/>
      <c r="U3572" s="10"/>
      <c r="V3572" s="10"/>
      <c r="W3572" s="10"/>
      <c r="X3572" s="10"/>
      <c r="Y3572" s="10"/>
      <c r="Z3572" s="10"/>
      <c r="AA3572" s="10"/>
      <c r="AB3572" s="10"/>
      <c r="AC3572" s="10"/>
      <c r="AD3572" s="10"/>
      <c r="AE3572" s="10"/>
      <c r="AF3572" s="10"/>
      <c r="AG3572" s="10"/>
      <c r="AH3572" s="10"/>
    </row>
    <row r="3573" spans="1:34" ht="30" outlineLevel="2">
      <c r="A3573" s="116"/>
      <c r="B3573" s="12" t="str">
        <f>IFERROR(VLOOKUP(D3573,'[1]Перечень товаров'!$A$2:$I9525,2,0),"")</f>
        <v/>
      </c>
      <c r="C3573" s="12" t="str">
        <f>IFERROR(VLOOKUP(D3573,'[1]Перечень товаров'!$A$2:$I9525,3,0),"")</f>
        <v/>
      </c>
      <c r="D3573" s="117" t="s">
        <v>553</v>
      </c>
      <c r="E3573" s="217"/>
      <c r="F3573" s="217"/>
      <c r="G3573" s="123"/>
      <c r="H3573" s="123"/>
      <c r="I3573" s="124"/>
      <c r="J3573" s="124"/>
      <c r="K3573" s="19"/>
      <c r="L3573" s="20"/>
      <c r="M3573" s="10"/>
      <c r="N3573" s="10"/>
      <c r="O3573" s="10"/>
      <c r="P3573" s="10"/>
      <c r="Q3573" s="10"/>
      <c r="R3573" s="10"/>
      <c r="S3573" s="10"/>
      <c r="T3573" s="10"/>
      <c r="U3573" s="10"/>
      <c r="V3573" s="10"/>
      <c r="W3573" s="10"/>
      <c r="X3573" s="10"/>
      <c r="Y3573" s="10"/>
      <c r="Z3573" s="10"/>
      <c r="AA3573" s="10"/>
      <c r="AB3573" s="10"/>
      <c r="AC3573" s="10"/>
      <c r="AD3573" s="10"/>
      <c r="AE3573" s="10"/>
      <c r="AF3573" s="10"/>
      <c r="AG3573" s="10"/>
      <c r="AH3573" s="10"/>
    </row>
    <row r="3574" spans="1:34" ht="31.5" outlineLevel="2">
      <c r="A3574" s="28"/>
      <c r="B3574" s="12" t="str">
        <f>IFERROR(VLOOKUP(D3574,'[1]Перечень товаров'!$A$2:$I9525,2,0),"")</f>
        <v>пм207</v>
      </c>
      <c r="C3574" s="12" t="str">
        <f>IFERROR(VLOOKUP(D3574,'[1]Перечень товаров'!$A$2:$I9525,3,0),"")</f>
        <v>прочее муз</v>
      </c>
      <c r="D3574" s="29" t="s">
        <v>1012</v>
      </c>
      <c r="E3574" s="30"/>
      <c r="F3574" s="30"/>
      <c r="G3574" s="31">
        <v>12</v>
      </c>
      <c r="H3574" s="31"/>
      <c r="I3574" s="32"/>
      <c r="J3574" s="32"/>
      <c r="K3574" s="19"/>
      <c r="L3574" s="20"/>
      <c r="M3574" s="10"/>
      <c r="N3574" s="10"/>
      <c r="O3574" s="10"/>
      <c r="P3574" s="10"/>
      <c r="Q3574" s="10"/>
      <c r="R3574" s="10"/>
      <c r="S3574" s="10"/>
      <c r="T3574" s="10"/>
      <c r="U3574" s="10"/>
      <c r="V3574" s="10"/>
      <c r="W3574" s="10"/>
      <c r="X3574" s="10"/>
      <c r="Y3574" s="10"/>
      <c r="Z3574" s="10"/>
      <c r="AA3574" s="10"/>
      <c r="AB3574" s="10"/>
      <c r="AC3574" s="10"/>
      <c r="AD3574" s="10"/>
      <c r="AE3574" s="10"/>
      <c r="AF3574" s="10"/>
      <c r="AG3574" s="10"/>
      <c r="AH3574" s="10"/>
    </row>
    <row r="3575" spans="1:34" ht="47.25" outlineLevel="2">
      <c r="A3575" s="28"/>
      <c r="B3575" s="12" t="str">
        <f>IFERROR(VLOOKUP(D3575,'[1]Перечень товаров'!$A$2:$I9525,2,0),"")</f>
        <v>м173</v>
      </c>
      <c r="C3575" s="12" t="str">
        <f>IFERROR(VLOOKUP(D3575,'[1]Перечень товаров'!$A$2:$I9525,3,0),"")</f>
        <v>мебель</v>
      </c>
      <c r="D3575" s="29" t="s">
        <v>1013</v>
      </c>
      <c r="E3575" s="30"/>
      <c r="F3575" s="30"/>
      <c r="G3575" s="31">
        <v>25</v>
      </c>
      <c r="H3575" s="31"/>
      <c r="I3575" s="32"/>
      <c r="J3575" s="32"/>
      <c r="K3575" s="19"/>
      <c r="L3575" s="20"/>
      <c r="M3575" s="10"/>
      <c r="N3575" s="10"/>
      <c r="O3575" s="10"/>
      <c r="P3575" s="10"/>
      <c r="Q3575" s="10"/>
      <c r="R3575" s="10"/>
      <c r="S3575" s="10"/>
      <c r="T3575" s="10"/>
      <c r="U3575" s="10"/>
      <c r="V3575" s="10"/>
      <c r="W3575" s="10"/>
      <c r="X3575" s="10"/>
      <c r="Y3575" s="10"/>
      <c r="Z3575" s="10"/>
      <c r="AA3575" s="10"/>
      <c r="AB3575" s="10"/>
      <c r="AC3575" s="10"/>
      <c r="AD3575" s="10"/>
      <c r="AE3575" s="10"/>
      <c r="AF3575" s="10"/>
      <c r="AG3575" s="10"/>
      <c r="AH3575" s="10"/>
    </row>
    <row r="3576" spans="1:34" ht="31.5" outlineLevel="2">
      <c r="A3576" s="28"/>
      <c r="B3576" s="12" t="str">
        <f>IFERROR(VLOOKUP(D3576,'[1]Перечень товаров'!$A$2:$I9525,2,0),"")</f>
        <v>д555</v>
      </c>
      <c r="C3576" s="12" t="str">
        <f>IFERROR(VLOOKUP(D3576,'[1]Перечень товаров'!$A$2:$I9525,3,0),"")</f>
        <v>дидактика</v>
      </c>
      <c r="D3576" s="29" t="s">
        <v>1014</v>
      </c>
      <c r="E3576" s="30"/>
      <c r="F3576" s="30"/>
      <c r="G3576" s="31">
        <v>3</v>
      </c>
      <c r="H3576" s="31"/>
      <c r="I3576" s="32"/>
      <c r="J3576" s="32"/>
      <c r="K3576" s="19"/>
      <c r="L3576" s="20"/>
      <c r="M3576" s="10"/>
      <c r="N3576" s="10"/>
      <c r="O3576" s="10"/>
      <c r="P3576" s="10"/>
      <c r="Q3576" s="10"/>
      <c r="R3576" s="10"/>
      <c r="S3576" s="10"/>
      <c r="T3576" s="10"/>
      <c r="U3576" s="10"/>
      <c r="V3576" s="10"/>
      <c r="W3576" s="10"/>
      <c r="X3576" s="10"/>
      <c r="Y3576" s="10"/>
      <c r="Z3576" s="10"/>
      <c r="AA3576" s="10"/>
      <c r="AB3576" s="10"/>
      <c r="AC3576" s="10"/>
      <c r="AD3576" s="10"/>
      <c r="AE3576" s="10"/>
      <c r="AF3576" s="10"/>
      <c r="AG3576" s="10"/>
      <c r="AH3576" s="10"/>
    </row>
    <row r="3577" spans="1:34" ht="31.5" outlineLevel="2">
      <c r="A3577" s="28"/>
      <c r="B3577" s="12" t="str">
        <f>IFERROR(VLOOKUP(D3577,'[1]Перечень товаров'!$A$2:$I9525,2,0),"")</f>
        <v>м187</v>
      </c>
      <c r="C3577" s="12" t="str">
        <f>IFERROR(VLOOKUP(D3577,'[1]Перечень товаров'!$A$2:$I9525,3,0),"")</f>
        <v>Мебель</v>
      </c>
      <c r="D3577" s="29" t="s">
        <v>628</v>
      </c>
      <c r="E3577" s="30"/>
      <c r="F3577" s="30"/>
      <c r="G3577" s="31">
        <v>2</v>
      </c>
      <c r="H3577" s="31"/>
      <c r="I3577" s="32"/>
      <c r="J3577" s="32"/>
      <c r="K3577" s="19"/>
      <c r="L3577" s="20"/>
      <c r="M3577" s="10"/>
      <c r="N3577" s="10"/>
      <c r="O3577" s="10"/>
      <c r="P3577" s="10"/>
      <c r="Q3577" s="10"/>
      <c r="R3577" s="10"/>
      <c r="S3577" s="10"/>
      <c r="T3577" s="10"/>
      <c r="U3577" s="10"/>
      <c r="V3577" s="10"/>
      <c r="W3577" s="10"/>
      <c r="X3577" s="10"/>
      <c r="Y3577" s="10"/>
      <c r="Z3577" s="10"/>
      <c r="AA3577" s="10"/>
      <c r="AB3577" s="10"/>
      <c r="AC3577" s="10"/>
      <c r="AD3577" s="10"/>
      <c r="AE3577" s="10"/>
      <c r="AF3577" s="10"/>
      <c r="AG3577" s="10"/>
      <c r="AH3577" s="10"/>
    </row>
    <row r="3578" spans="1:34" ht="15" outlineLevel="2">
      <c r="A3578" s="116"/>
      <c r="B3578" s="12" t="str">
        <f>IFERROR(VLOOKUP(D3578,'[1]Перечень товаров'!$A$2:$I9525,2,0),"")</f>
        <v/>
      </c>
      <c r="C3578" s="12" t="str">
        <f>IFERROR(VLOOKUP(D3578,'[1]Перечень товаров'!$A$2:$I9525,3,0),"")</f>
        <v/>
      </c>
      <c r="D3578" s="117" t="s">
        <v>264</v>
      </c>
      <c r="E3578" s="217"/>
      <c r="F3578" s="217"/>
      <c r="G3578" s="123"/>
      <c r="H3578" s="123"/>
      <c r="I3578" s="124"/>
      <c r="J3578" s="124"/>
      <c r="K3578" s="19"/>
      <c r="L3578" s="20"/>
      <c r="M3578" s="10"/>
      <c r="N3578" s="10"/>
      <c r="O3578" s="10"/>
      <c r="P3578" s="10"/>
      <c r="Q3578" s="10"/>
      <c r="R3578" s="10"/>
      <c r="S3578" s="10"/>
      <c r="T3578" s="10"/>
      <c r="U3578" s="10"/>
      <c r="V3578" s="10"/>
      <c r="W3578" s="10"/>
      <c r="X3578" s="10"/>
      <c r="Y3578" s="10"/>
      <c r="Z3578" s="10"/>
      <c r="AA3578" s="10"/>
      <c r="AB3578" s="10"/>
      <c r="AC3578" s="10"/>
      <c r="AD3578" s="10"/>
      <c r="AE3578" s="10"/>
      <c r="AF3578" s="10"/>
      <c r="AG3578" s="10"/>
      <c r="AH3578" s="10"/>
    </row>
    <row r="3579" spans="1:34" outlineLevel="2">
      <c r="A3579" s="28"/>
      <c r="B3579" s="12" t="str">
        <f>IFERROR(VLOOKUP(D3579,'[1]Перечень товаров'!$A$2:$I9525,2,0),"")</f>
        <v>пм206</v>
      </c>
      <c r="C3579" s="12" t="str">
        <f>IFERROR(VLOOKUP(D3579,'[1]Перечень товаров'!$A$2:$I9525,3,0),"")</f>
        <v>прочее муз</v>
      </c>
      <c r="D3579" s="29" t="s">
        <v>1015</v>
      </c>
      <c r="E3579" s="30"/>
      <c r="F3579" s="30"/>
      <c r="G3579" s="31">
        <v>1</v>
      </c>
      <c r="H3579" s="31"/>
      <c r="I3579" s="32"/>
      <c r="J3579" s="32"/>
      <c r="K3579" s="19"/>
      <c r="L3579" s="20"/>
      <c r="M3579" s="10"/>
      <c r="N3579" s="10"/>
      <c r="O3579" s="10"/>
      <c r="P3579" s="10"/>
      <c r="Q3579" s="10"/>
      <c r="R3579" s="10"/>
      <c r="S3579" s="10"/>
      <c r="T3579" s="10"/>
      <c r="U3579" s="10"/>
      <c r="V3579" s="10"/>
      <c r="W3579" s="10"/>
      <c r="X3579" s="10"/>
      <c r="Y3579" s="10"/>
      <c r="Z3579" s="10"/>
      <c r="AA3579" s="10"/>
      <c r="AB3579" s="10"/>
      <c r="AC3579" s="10"/>
      <c r="AD3579" s="10"/>
      <c r="AE3579" s="10"/>
      <c r="AF3579" s="10"/>
      <c r="AG3579" s="10"/>
      <c r="AH3579" s="10"/>
    </row>
    <row r="3580" spans="1:34" outlineLevel="2">
      <c r="A3580" s="28"/>
      <c r="B3580" s="12" t="str">
        <f>IFERROR(VLOOKUP(D3580,'[1]Перечень товаров'!$A$2:$I9525,2,0),"")</f>
        <v>пм205</v>
      </c>
      <c r="C3580" s="12" t="str">
        <f>IFERROR(VLOOKUP(D3580,'[1]Перечень товаров'!$A$2:$I9525,3,0),"")</f>
        <v>прочее муз</v>
      </c>
      <c r="D3580" s="29" t="s">
        <v>1016</v>
      </c>
      <c r="E3580" s="30"/>
      <c r="F3580" s="30"/>
      <c r="G3580" s="31">
        <v>4</v>
      </c>
      <c r="H3580" s="31"/>
      <c r="I3580" s="32"/>
      <c r="J3580" s="32"/>
      <c r="K3580" s="19"/>
      <c r="L3580" s="20"/>
      <c r="M3580" s="10"/>
      <c r="N3580" s="10"/>
      <c r="O3580" s="10"/>
      <c r="P3580" s="10"/>
      <c r="Q3580" s="10"/>
      <c r="R3580" s="10"/>
      <c r="S3580" s="10"/>
      <c r="T3580" s="10"/>
      <c r="U3580" s="10"/>
      <c r="V3580" s="10"/>
      <c r="W3580" s="10"/>
      <c r="X3580" s="10"/>
      <c r="Y3580" s="10"/>
      <c r="Z3580" s="10"/>
      <c r="AA3580" s="10"/>
      <c r="AB3580" s="10"/>
      <c r="AC3580" s="10"/>
      <c r="AD3580" s="10"/>
      <c r="AE3580" s="10"/>
      <c r="AF3580" s="10"/>
      <c r="AG3580" s="10"/>
      <c r="AH3580" s="10"/>
    </row>
    <row r="3581" spans="1:34" outlineLevel="2">
      <c r="A3581" s="28"/>
      <c r="B3581" s="12" t="str">
        <f>IFERROR(VLOOKUP(D3581,'[1]Перечень товаров'!$A$2:$I9525,2,0),"")</f>
        <v>тм59</v>
      </c>
      <c r="C3581" s="12" t="str">
        <f>IFERROR(VLOOKUP(D3581,'[1]Перечень товаров'!$A$2:$I9525,3,0),"")</f>
        <v>Техника муз</v>
      </c>
      <c r="D3581" s="29" t="s">
        <v>324</v>
      </c>
      <c r="E3581" s="30"/>
      <c r="F3581" s="30"/>
      <c r="G3581" s="31">
        <v>2</v>
      </c>
      <c r="H3581" s="31"/>
      <c r="I3581" s="32"/>
      <c r="J3581" s="32"/>
      <c r="K3581" s="19"/>
      <c r="L3581" s="20"/>
      <c r="M3581" s="10"/>
      <c r="N3581" s="10"/>
      <c r="O3581" s="10"/>
      <c r="P3581" s="10"/>
      <c r="Q3581" s="10"/>
      <c r="R3581" s="10"/>
      <c r="S3581" s="10"/>
      <c r="T3581" s="10"/>
      <c r="U3581" s="10"/>
      <c r="V3581" s="10"/>
      <c r="W3581" s="10"/>
      <c r="X3581" s="10"/>
      <c r="Y3581" s="10"/>
      <c r="Z3581" s="10"/>
      <c r="AA3581" s="10"/>
      <c r="AB3581" s="10"/>
      <c r="AC3581" s="10"/>
      <c r="AD3581" s="10"/>
      <c r="AE3581" s="10"/>
      <c r="AF3581" s="10"/>
      <c r="AG3581" s="10"/>
      <c r="AH3581" s="10"/>
    </row>
    <row r="3582" spans="1:34" ht="31.5" outlineLevel="2">
      <c r="A3582" s="28"/>
      <c r="B3582" s="12" t="str">
        <f>IFERROR(VLOOKUP(D3582,'[1]Перечень товаров'!$A$2:$I9525,2,0),"")</f>
        <v>пм204</v>
      </c>
      <c r="C3582" s="12" t="str">
        <f>IFERROR(VLOOKUP(D3582,'[1]Перечень товаров'!$A$2:$I9525,3,0),"")</f>
        <v>прочее муз</v>
      </c>
      <c r="D3582" s="29" t="s">
        <v>1017</v>
      </c>
      <c r="E3582" s="30"/>
      <c r="F3582" s="30"/>
      <c r="G3582" s="31">
        <v>2</v>
      </c>
      <c r="H3582" s="31"/>
      <c r="I3582" s="32"/>
      <c r="J3582" s="32"/>
      <c r="K3582" s="19"/>
      <c r="L3582" s="20"/>
      <c r="M3582" s="10"/>
      <c r="N3582" s="10"/>
      <c r="O3582" s="10"/>
      <c r="P3582" s="10"/>
      <c r="Q3582" s="10"/>
      <c r="R3582" s="10"/>
      <c r="S3582" s="10"/>
      <c r="T3582" s="10"/>
      <c r="U3582" s="10"/>
      <c r="V3582" s="10"/>
      <c r="W3582" s="10"/>
      <c r="X3582" s="10"/>
      <c r="Y3582" s="10"/>
      <c r="Z3582" s="10"/>
      <c r="AA3582" s="10"/>
      <c r="AB3582" s="10"/>
      <c r="AC3582" s="10"/>
      <c r="AD3582" s="10"/>
      <c r="AE3582" s="10"/>
      <c r="AF3582" s="10"/>
      <c r="AG3582" s="10"/>
      <c r="AH3582" s="10"/>
    </row>
    <row r="3583" spans="1:34" ht="31.5" outlineLevel="2">
      <c r="A3583" s="28"/>
      <c r="B3583" s="12" t="str">
        <f>IFERROR(VLOOKUP(D3583,'[1]Перечень товаров'!$A$2:$I9525,2,0),"")</f>
        <v>пм203</v>
      </c>
      <c r="C3583" s="12" t="str">
        <f>IFERROR(VLOOKUP(D3583,'[1]Перечень товаров'!$A$2:$I9525,3,0),"")</f>
        <v>прочее муз</v>
      </c>
      <c r="D3583" s="29" t="s">
        <v>1018</v>
      </c>
      <c r="E3583" s="30"/>
      <c r="F3583" s="30"/>
      <c r="G3583" s="31">
        <v>6</v>
      </c>
      <c r="H3583" s="31"/>
      <c r="I3583" s="32"/>
      <c r="J3583" s="32"/>
      <c r="K3583" s="19"/>
      <c r="L3583" s="20"/>
      <c r="M3583" s="10"/>
      <c r="N3583" s="10"/>
      <c r="O3583" s="10"/>
      <c r="P3583" s="10"/>
      <c r="Q3583" s="10"/>
      <c r="R3583" s="10"/>
      <c r="S3583" s="10"/>
      <c r="T3583" s="10"/>
      <c r="U3583" s="10"/>
      <c r="V3583" s="10"/>
      <c r="W3583" s="10"/>
      <c r="X3583" s="10"/>
      <c r="Y3583" s="10"/>
      <c r="Z3583" s="10"/>
      <c r="AA3583" s="10"/>
      <c r="AB3583" s="10"/>
      <c r="AC3583" s="10"/>
      <c r="AD3583" s="10"/>
      <c r="AE3583" s="10"/>
      <c r="AF3583" s="10"/>
      <c r="AG3583" s="10"/>
      <c r="AH3583" s="10"/>
    </row>
    <row r="3584" spans="1:34" ht="31.5" outlineLevel="2">
      <c r="A3584" s="28"/>
      <c r="B3584" s="12" t="str">
        <f>IFERROR(VLOOKUP(D3584,'[1]Перечень товаров'!$A$2:$I9525,2,0),"")</f>
        <v>пм202</v>
      </c>
      <c r="C3584" s="12" t="str">
        <f>IFERROR(VLOOKUP(D3584,'[1]Перечень товаров'!$A$2:$I9525,3,0),"")</f>
        <v>прочее муз</v>
      </c>
      <c r="D3584" s="29" t="s">
        <v>1019</v>
      </c>
      <c r="E3584" s="30"/>
      <c r="F3584" s="30"/>
      <c r="G3584" s="31">
        <v>6</v>
      </c>
      <c r="H3584" s="31"/>
      <c r="I3584" s="32"/>
      <c r="J3584" s="32"/>
      <c r="K3584" s="19"/>
      <c r="L3584" s="20"/>
      <c r="M3584" s="10"/>
      <c r="N3584" s="10"/>
      <c r="O3584" s="10"/>
      <c r="P3584" s="10"/>
      <c r="Q3584" s="10"/>
      <c r="R3584" s="10"/>
      <c r="S3584" s="10"/>
      <c r="T3584" s="10"/>
      <c r="U3584" s="10"/>
      <c r="V3584" s="10"/>
      <c r="W3584" s="10"/>
      <c r="X3584" s="10"/>
      <c r="Y3584" s="10"/>
      <c r="Z3584" s="10"/>
      <c r="AA3584" s="10"/>
      <c r="AB3584" s="10"/>
      <c r="AC3584" s="10"/>
      <c r="AD3584" s="10"/>
      <c r="AE3584" s="10"/>
      <c r="AF3584" s="10"/>
      <c r="AG3584" s="10"/>
      <c r="AH3584" s="10"/>
    </row>
    <row r="3585" spans="1:34" outlineLevel="2">
      <c r="A3585" s="28"/>
      <c r="B3585" s="12" t="str">
        <f>IFERROR(VLOOKUP(D3585,'[1]Перечень товаров'!$A$2:$I9525,2,0),"")</f>
        <v>д554</v>
      </c>
      <c r="C3585" s="12" t="str">
        <f>IFERROR(VLOOKUP(D3585,'[1]Перечень товаров'!$A$2:$I9525,3,0),"")</f>
        <v>дидактика</v>
      </c>
      <c r="D3585" s="29" t="s">
        <v>1020</v>
      </c>
      <c r="E3585" s="30"/>
      <c r="F3585" s="30"/>
      <c r="G3585" s="31" t="s">
        <v>1021</v>
      </c>
      <c r="H3585" s="31"/>
      <c r="I3585" s="32"/>
      <c r="J3585" s="32"/>
      <c r="K3585" s="19"/>
      <c r="L3585" s="20"/>
      <c r="M3585" s="10"/>
      <c r="N3585" s="10"/>
      <c r="O3585" s="10"/>
      <c r="P3585" s="10"/>
      <c r="Q3585" s="10"/>
      <c r="R3585" s="10"/>
      <c r="S3585" s="10"/>
      <c r="T3585" s="10"/>
      <c r="U3585" s="10"/>
      <c r="V3585" s="10"/>
      <c r="W3585" s="10"/>
      <c r="X3585" s="10"/>
      <c r="Y3585" s="10"/>
      <c r="Z3585" s="10"/>
      <c r="AA3585" s="10"/>
      <c r="AB3585" s="10"/>
      <c r="AC3585" s="10"/>
      <c r="AD3585" s="10"/>
      <c r="AE3585" s="10"/>
      <c r="AF3585" s="10"/>
      <c r="AG3585" s="10"/>
      <c r="AH3585" s="10"/>
    </row>
    <row r="3586" spans="1:34" ht="15" outlineLevel="2">
      <c r="A3586" s="116"/>
      <c r="B3586" s="12" t="str">
        <f>IFERROR(VLOOKUP(D3586,'[1]Перечень товаров'!$A$2:$I9525,2,0),"")</f>
        <v/>
      </c>
      <c r="C3586" s="12" t="str">
        <f>IFERROR(VLOOKUP(D3586,'[1]Перечень товаров'!$A$2:$I9525,3,0),"")</f>
        <v/>
      </c>
      <c r="D3586" s="117" t="s">
        <v>1022</v>
      </c>
      <c r="E3586" s="217"/>
      <c r="F3586" s="217"/>
      <c r="G3586" s="123"/>
      <c r="H3586" s="123"/>
      <c r="I3586" s="124"/>
      <c r="J3586" s="124"/>
      <c r="K3586" s="19"/>
      <c r="L3586" s="20"/>
      <c r="M3586" s="10"/>
      <c r="N3586" s="10"/>
      <c r="O3586" s="10"/>
      <c r="P3586" s="10"/>
      <c r="Q3586" s="10"/>
      <c r="R3586" s="10"/>
      <c r="S3586" s="10"/>
      <c r="T3586" s="10"/>
      <c r="U3586" s="10"/>
      <c r="V3586" s="10"/>
      <c r="W3586" s="10"/>
      <c r="X3586" s="10"/>
      <c r="Y3586" s="10"/>
      <c r="Z3586" s="10"/>
      <c r="AA3586" s="10"/>
      <c r="AB3586" s="10"/>
      <c r="AC3586" s="10"/>
      <c r="AD3586" s="10"/>
      <c r="AE3586" s="10"/>
      <c r="AF3586" s="10"/>
      <c r="AG3586" s="10"/>
      <c r="AH3586" s="10"/>
    </row>
    <row r="3587" spans="1:34" ht="31.5" outlineLevel="2">
      <c r="A3587" s="28"/>
      <c r="B3587" s="12" t="str">
        <f>IFERROR(VLOOKUP(D3587,'[1]Перечень товаров'!$A$2:$I9525,2,0),"")</f>
        <v>т173</v>
      </c>
      <c r="C3587" s="12" t="str">
        <f>IFERROR(VLOOKUP(D3587,'[1]Перечень товаров'!$A$2:$I9525,3,0),"")</f>
        <v>Техника</v>
      </c>
      <c r="D3587" s="29" t="s">
        <v>1023</v>
      </c>
      <c r="E3587" s="30"/>
      <c r="F3587" s="30"/>
      <c r="G3587" s="31">
        <v>2</v>
      </c>
      <c r="H3587" s="31"/>
      <c r="I3587" s="32"/>
      <c r="J3587" s="32"/>
      <c r="K3587" s="19"/>
      <c r="L3587" s="20"/>
      <c r="M3587" s="10"/>
      <c r="N3587" s="10"/>
      <c r="O3587" s="10"/>
      <c r="P3587" s="10"/>
      <c r="Q3587" s="10"/>
      <c r="R3587" s="10"/>
      <c r="S3587" s="10"/>
      <c r="T3587" s="10"/>
      <c r="U3587" s="10"/>
      <c r="V3587" s="10"/>
      <c r="W3587" s="10"/>
      <c r="X3587" s="10"/>
      <c r="Y3587" s="10"/>
      <c r="Z3587" s="10"/>
      <c r="AA3587" s="10"/>
      <c r="AB3587" s="10"/>
      <c r="AC3587" s="10"/>
      <c r="AD3587" s="10"/>
      <c r="AE3587" s="10"/>
      <c r="AF3587" s="10"/>
      <c r="AG3587" s="10"/>
      <c r="AH3587" s="10"/>
    </row>
    <row r="3588" spans="1:34" outlineLevel="2">
      <c r="A3588" s="28"/>
      <c r="B3588" s="12" t="str">
        <f>IFERROR(VLOOKUP(D3588,'[1]Перечень товаров'!$A$2:$I9525,2,0),"")</f>
        <v>т172</v>
      </c>
      <c r="C3588" s="12" t="str">
        <f>IFERROR(VLOOKUP(D3588,'[1]Перечень товаров'!$A$2:$I9525,3,0),"")</f>
        <v>Техника</v>
      </c>
      <c r="D3588" s="29" t="s">
        <v>1024</v>
      </c>
      <c r="E3588" s="30"/>
      <c r="F3588" s="30"/>
      <c r="G3588" s="31">
        <v>2</v>
      </c>
      <c r="H3588" s="31"/>
      <c r="I3588" s="32"/>
      <c r="J3588" s="32"/>
      <c r="K3588" s="19"/>
      <c r="L3588" s="20"/>
      <c r="M3588" s="10"/>
      <c r="N3588" s="10"/>
      <c r="O3588" s="10"/>
      <c r="P3588" s="10"/>
      <c r="Q3588" s="10"/>
      <c r="R3588" s="10"/>
      <c r="S3588" s="10"/>
      <c r="T3588" s="10"/>
      <c r="U3588" s="10"/>
      <c r="V3588" s="10"/>
      <c r="W3588" s="10"/>
      <c r="X3588" s="10"/>
      <c r="Y3588" s="10"/>
      <c r="Z3588" s="10"/>
      <c r="AA3588" s="10"/>
      <c r="AB3588" s="10"/>
      <c r="AC3588" s="10"/>
      <c r="AD3588" s="10"/>
      <c r="AE3588" s="10"/>
      <c r="AF3588" s="10"/>
      <c r="AG3588" s="10"/>
      <c r="AH3588" s="10"/>
    </row>
    <row r="3589" spans="1:34" outlineLevel="2">
      <c r="A3589" s="28"/>
      <c r="B3589" s="12" t="str">
        <f>IFERROR(VLOOKUP(D3589,'[1]Перечень товаров'!$A$2:$I9525,2,0),"")</f>
        <v>т87</v>
      </c>
      <c r="C3589" s="12" t="str">
        <f>IFERROR(VLOOKUP(D3589,'[1]Перечень товаров'!$A$2:$I9525,3,0),"")</f>
        <v>Техника</v>
      </c>
      <c r="D3589" s="29" t="s">
        <v>1025</v>
      </c>
      <c r="E3589" s="30"/>
      <c r="F3589" s="30"/>
      <c r="G3589" s="31">
        <v>1</v>
      </c>
      <c r="H3589" s="31"/>
      <c r="I3589" s="32"/>
      <c r="J3589" s="32"/>
      <c r="K3589" s="19"/>
      <c r="L3589" s="20"/>
      <c r="M3589" s="10"/>
      <c r="N3589" s="10"/>
      <c r="O3589" s="10"/>
      <c r="P3589" s="10"/>
      <c r="Q3589" s="10"/>
      <c r="R3589" s="10"/>
      <c r="S3589" s="10"/>
      <c r="T3589" s="10"/>
      <c r="U3589" s="10"/>
      <c r="V3589" s="10"/>
      <c r="W3589" s="10"/>
      <c r="X3589" s="10"/>
      <c r="Y3589" s="10"/>
      <c r="Z3589" s="10"/>
      <c r="AA3589" s="10"/>
      <c r="AB3589" s="10"/>
      <c r="AC3589" s="10"/>
      <c r="AD3589" s="10"/>
      <c r="AE3589" s="10"/>
      <c r="AF3589" s="10"/>
      <c r="AG3589" s="10"/>
      <c r="AH3589" s="10"/>
    </row>
    <row r="3590" spans="1:34" ht="15" outlineLevel="2">
      <c r="A3590" s="218"/>
      <c r="B3590" s="12" t="str">
        <f>IFERROR(VLOOKUP(D3590,'[1]Перечень товаров'!$A$2:$I9525,2,0),"")</f>
        <v/>
      </c>
      <c r="C3590" s="12" t="str">
        <f>IFERROR(VLOOKUP(D3590,'[1]Перечень товаров'!$A$2:$I9525,3,0),"")</f>
        <v/>
      </c>
      <c r="D3590" s="219" t="s">
        <v>1026</v>
      </c>
      <c r="E3590" s="220"/>
      <c r="F3590" s="220"/>
      <c r="G3590" s="123"/>
      <c r="H3590" s="123"/>
      <c r="I3590" s="124"/>
      <c r="J3590" s="124"/>
      <c r="K3590" s="19"/>
      <c r="L3590" s="20"/>
      <c r="M3590" s="10"/>
      <c r="N3590" s="10"/>
      <c r="O3590" s="10"/>
      <c r="P3590" s="10"/>
      <c r="Q3590" s="10"/>
      <c r="R3590" s="10"/>
      <c r="S3590" s="10"/>
      <c r="T3590" s="10"/>
      <c r="U3590" s="10"/>
      <c r="V3590" s="10"/>
      <c r="W3590" s="10"/>
      <c r="X3590" s="10"/>
      <c r="Y3590" s="10"/>
      <c r="Z3590" s="10"/>
      <c r="AA3590" s="10"/>
      <c r="AB3590" s="10"/>
      <c r="AC3590" s="10"/>
      <c r="AD3590" s="10"/>
      <c r="AE3590" s="10"/>
      <c r="AF3590" s="10"/>
      <c r="AG3590" s="10"/>
      <c r="AH3590" s="10"/>
    </row>
    <row r="3591" spans="1:34" ht="31.5" outlineLevel="2">
      <c r="A3591" s="28"/>
      <c r="B3591" s="12" t="str">
        <f>IFERROR(VLOOKUP(D3591,'[1]Перечень товаров'!$A$2:$I9525,2,0),"")</f>
        <v>т214</v>
      </c>
      <c r="C3591" s="12" t="str">
        <f>IFERROR(VLOOKUP(D3591,'[1]Перечень товаров'!$A$2:$I9525,3,0),"")</f>
        <v>Техника</v>
      </c>
      <c r="D3591" s="29" t="s">
        <v>630</v>
      </c>
      <c r="E3591" s="30"/>
      <c r="F3591" s="30"/>
      <c r="G3591" s="31">
        <v>1</v>
      </c>
      <c r="H3591" s="31"/>
      <c r="I3591" s="32"/>
      <c r="J3591" s="32"/>
      <c r="K3591" s="19"/>
      <c r="L3591" s="20"/>
      <c r="M3591" s="10"/>
      <c r="N3591" s="10"/>
      <c r="O3591" s="10"/>
      <c r="P3591" s="10"/>
      <c r="Q3591" s="10"/>
      <c r="R3591" s="10"/>
      <c r="S3591" s="10"/>
      <c r="T3591" s="10"/>
      <c r="U3591" s="10"/>
      <c r="V3591" s="10"/>
      <c r="W3591" s="10"/>
      <c r="X3591" s="10"/>
      <c r="Y3591" s="10"/>
      <c r="Z3591" s="10"/>
      <c r="AA3591" s="10"/>
      <c r="AB3591" s="10"/>
      <c r="AC3591" s="10"/>
      <c r="AD3591" s="10"/>
      <c r="AE3591" s="10"/>
      <c r="AF3591" s="10"/>
      <c r="AG3591" s="10"/>
      <c r="AH3591" s="10"/>
    </row>
    <row r="3592" spans="1:34" outlineLevel="2">
      <c r="A3592" s="28"/>
      <c r="B3592" s="12" t="str">
        <f>IFERROR(VLOOKUP(D3592,'[1]Перечень товаров'!$A$2:$I9525,2,0),"")</f>
        <v>д553</v>
      </c>
      <c r="C3592" s="12" t="str">
        <f>IFERROR(VLOOKUP(D3592,'[1]Перечень товаров'!$A$2:$I9525,3,0),"")</f>
        <v>дидактика</v>
      </c>
      <c r="D3592" s="29" t="s">
        <v>1027</v>
      </c>
      <c r="E3592" s="30"/>
      <c r="F3592" s="30"/>
      <c r="G3592" s="31">
        <v>2</v>
      </c>
      <c r="H3592" s="31"/>
      <c r="I3592" s="32"/>
      <c r="J3592" s="32"/>
      <c r="K3592" s="19"/>
      <c r="L3592" s="20"/>
      <c r="M3592" s="10"/>
      <c r="N3592" s="10"/>
      <c r="O3592" s="10"/>
      <c r="P3592" s="10"/>
      <c r="Q3592" s="10"/>
      <c r="R3592" s="10"/>
      <c r="S3592" s="10"/>
      <c r="T3592" s="10"/>
      <c r="U3592" s="10"/>
      <c r="V3592" s="10"/>
      <c r="W3592" s="10"/>
      <c r="X3592" s="10"/>
      <c r="Y3592" s="10"/>
      <c r="Z3592" s="10"/>
      <c r="AA3592" s="10"/>
      <c r="AB3592" s="10"/>
      <c r="AC3592" s="10"/>
      <c r="AD3592" s="10"/>
      <c r="AE3592" s="10"/>
      <c r="AF3592" s="10"/>
      <c r="AG3592" s="10"/>
      <c r="AH3592" s="10"/>
    </row>
    <row r="3593" spans="1:34" ht="15" outlineLevel="2">
      <c r="A3593" s="116"/>
      <c r="B3593" s="12" t="str">
        <f>IFERROR(VLOOKUP(D3593,'[1]Перечень товаров'!$A$2:$I9525,2,0),"")</f>
        <v/>
      </c>
      <c r="C3593" s="12" t="str">
        <f>IFERROR(VLOOKUP(D3593,'[1]Перечень товаров'!$A$2:$I9525,3,0),"")</f>
        <v/>
      </c>
      <c r="D3593" s="117" t="s">
        <v>1028</v>
      </c>
      <c r="E3593" s="217"/>
      <c r="F3593" s="217"/>
      <c r="G3593" s="123"/>
      <c r="H3593" s="123"/>
      <c r="I3593" s="124"/>
      <c r="J3593" s="124"/>
      <c r="K3593" s="19"/>
      <c r="L3593" s="20"/>
      <c r="M3593" s="10"/>
      <c r="N3593" s="10"/>
      <c r="O3593" s="10"/>
      <c r="P3593" s="10"/>
      <c r="Q3593" s="10"/>
      <c r="R3593" s="10"/>
      <c r="S3593" s="10"/>
      <c r="T3593" s="10"/>
      <c r="U3593" s="10"/>
      <c r="V3593" s="10"/>
      <c r="W3593" s="10"/>
      <c r="X3593" s="10"/>
      <c r="Y3593" s="10"/>
      <c r="Z3593" s="10"/>
      <c r="AA3593" s="10"/>
      <c r="AB3593" s="10"/>
      <c r="AC3593" s="10"/>
      <c r="AD3593" s="10"/>
      <c r="AE3593" s="10"/>
      <c r="AF3593" s="10"/>
      <c r="AG3593" s="10"/>
      <c r="AH3593" s="10"/>
    </row>
    <row r="3594" spans="1:34" ht="31.5" outlineLevel="2">
      <c r="A3594" s="28"/>
      <c r="B3594" s="12" t="str">
        <f>IFERROR(VLOOKUP(D3594,'[1]Перечень товаров'!$A$2:$I9525,2,0),"")</f>
        <v>м172</v>
      </c>
      <c r="C3594" s="12" t="str">
        <f>IFERROR(VLOOKUP(D3594,'[1]Перечень товаров'!$A$2:$I9525,3,0),"")</f>
        <v>мебель</v>
      </c>
      <c r="D3594" s="29" t="s">
        <v>1029</v>
      </c>
      <c r="E3594" s="30"/>
      <c r="F3594" s="30"/>
      <c r="G3594" s="31">
        <v>6</v>
      </c>
      <c r="H3594" s="31"/>
      <c r="I3594" s="32"/>
      <c r="J3594" s="32"/>
      <c r="K3594" s="19"/>
      <c r="L3594" s="20"/>
      <c r="M3594" s="10"/>
      <c r="N3594" s="10"/>
      <c r="O3594" s="10"/>
      <c r="P3594" s="10"/>
      <c r="Q3594" s="10"/>
      <c r="R3594" s="10"/>
      <c r="S3594" s="10"/>
      <c r="T3594" s="10"/>
      <c r="U3594" s="10"/>
      <c r="V3594" s="10"/>
      <c r="W3594" s="10"/>
      <c r="X3594" s="10"/>
      <c r="Y3594" s="10"/>
      <c r="Z3594" s="10"/>
      <c r="AA3594" s="10"/>
      <c r="AB3594" s="10"/>
      <c r="AC3594" s="10"/>
      <c r="AD3594" s="10"/>
      <c r="AE3594" s="10"/>
      <c r="AF3594" s="10"/>
      <c r="AG3594" s="10"/>
      <c r="AH3594" s="10"/>
    </row>
    <row r="3595" spans="1:34" outlineLevel="2">
      <c r="A3595" s="28"/>
      <c r="B3595" s="12" t="str">
        <f>IFERROR(VLOOKUP(D3595,'[1]Перечень товаров'!$A$2:$I9525,2,0),"")</f>
        <v>м171</v>
      </c>
      <c r="C3595" s="12" t="str">
        <f>IFERROR(VLOOKUP(D3595,'[1]Перечень товаров'!$A$2:$I9525,3,0),"")</f>
        <v>мебель</v>
      </c>
      <c r="D3595" s="29" t="s">
        <v>1030</v>
      </c>
      <c r="E3595" s="30"/>
      <c r="F3595" s="30"/>
      <c r="G3595" s="31">
        <v>6</v>
      </c>
      <c r="H3595" s="31"/>
      <c r="I3595" s="32"/>
      <c r="J3595" s="32"/>
      <c r="K3595" s="19"/>
      <c r="L3595" s="20"/>
      <c r="M3595" s="10"/>
      <c r="N3595" s="10"/>
      <c r="O3595" s="10"/>
      <c r="P3595" s="10"/>
      <c r="Q3595" s="10"/>
      <c r="R3595" s="10"/>
      <c r="S3595" s="10"/>
      <c r="T3595" s="10"/>
      <c r="U3595" s="10"/>
      <c r="V3595" s="10"/>
      <c r="W3595" s="10"/>
      <c r="X3595" s="10"/>
      <c r="Y3595" s="10"/>
      <c r="Z3595" s="10"/>
      <c r="AA3595" s="10"/>
      <c r="AB3595" s="10"/>
      <c r="AC3595" s="10"/>
      <c r="AD3595" s="10"/>
      <c r="AE3595" s="10"/>
      <c r="AF3595" s="10"/>
      <c r="AG3595" s="10"/>
      <c r="AH3595" s="10"/>
    </row>
    <row r="3596" spans="1:34" ht="12.75" outlineLevel="1">
      <c r="A3596" s="11"/>
      <c r="B3596" s="12" t="str">
        <f>IFERROR(VLOOKUP(D3596,'[1]Перечень товаров'!$A$2:$I9525,2,0),"")</f>
        <v/>
      </c>
      <c r="C3596" s="12" t="str">
        <f>IFERROR(VLOOKUP(D3596,'[1]Перечень товаров'!$A$2:$I9525,3,0),"")</f>
        <v/>
      </c>
      <c r="D3596" s="27" t="s">
        <v>997</v>
      </c>
      <c r="E3596" s="14">
        <v>22.4</v>
      </c>
      <c r="F3596" s="14"/>
      <c r="G3596" s="17"/>
      <c r="H3596" s="17"/>
      <c r="I3596" s="57"/>
      <c r="J3596" s="57"/>
      <c r="K3596" s="19"/>
      <c r="L3596" s="20"/>
      <c r="M3596" s="10"/>
      <c r="N3596" s="10"/>
      <c r="O3596" s="10"/>
      <c r="P3596" s="10"/>
      <c r="Q3596" s="10"/>
      <c r="R3596" s="10"/>
      <c r="S3596" s="10"/>
      <c r="T3596" s="10"/>
      <c r="U3596" s="10"/>
      <c r="V3596" s="10"/>
      <c r="W3596" s="10"/>
      <c r="X3596" s="10"/>
      <c r="Y3596" s="10"/>
      <c r="Z3596" s="10"/>
      <c r="AA3596" s="10"/>
      <c r="AB3596" s="10"/>
      <c r="AC3596" s="10"/>
      <c r="AD3596" s="10"/>
      <c r="AE3596" s="10"/>
      <c r="AF3596" s="10"/>
      <c r="AG3596" s="10"/>
      <c r="AH3596" s="10"/>
    </row>
    <row r="3597" spans="1:34" outlineLevel="2">
      <c r="A3597" s="113"/>
      <c r="B3597" s="12" t="str">
        <f>IFERROR(VLOOKUP(D3597,'[1]Перечень товаров'!$A$2:$I9525,2,0),"")</f>
        <v/>
      </c>
      <c r="C3597" s="12" t="str">
        <f>IFERROR(VLOOKUP(D3597,'[1]Перечень товаров'!$A$2:$I9525,3,0),"")</f>
        <v/>
      </c>
      <c r="D3597" s="114" t="s">
        <v>391</v>
      </c>
      <c r="E3597" s="122"/>
      <c r="F3597" s="122"/>
      <c r="G3597" s="123"/>
      <c r="H3597" s="123"/>
      <c r="I3597" s="124"/>
      <c r="J3597" s="124"/>
      <c r="K3597" s="19"/>
      <c r="L3597" s="20"/>
      <c r="M3597" s="10"/>
      <c r="N3597" s="10"/>
      <c r="O3597" s="10"/>
      <c r="P3597" s="10"/>
      <c r="Q3597" s="10"/>
      <c r="R3597" s="10"/>
      <c r="S3597" s="10"/>
      <c r="T3597" s="10"/>
      <c r="U3597" s="10"/>
      <c r="V3597" s="10"/>
      <c r="W3597" s="10"/>
      <c r="X3597" s="10"/>
      <c r="Y3597" s="10"/>
      <c r="Z3597" s="10"/>
      <c r="AA3597" s="10"/>
      <c r="AB3597" s="10"/>
      <c r="AC3597" s="10"/>
      <c r="AD3597" s="10"/>
      <c r="AE3597" s="10"/>
      <c r="AF3597" s="10"/>
      <c r="AG3597" s="10"/>
      <c r="AH3597" s="10"/>
    </row>
    <row r="3598" spans="1:34" outlineLevel="2">
      <c r="A3598" s="28"/>
      <c r="B3598" s="12" t="str">
        <f>IFERROR(VLOOKUP(D3598,'[1]Перечень товаров'!$A$2:$I9525,2,0),"")</f>
        <v/>
      </c>
      <c r="C3598" s="12" t="str">
        <f>IFERROR(VLOOKUP(D3598,'[1]Перечень товаров'!$A$2:$I9525,3,0),"")</f>
        <v/>
      </c>
      <c r="D3598" s="29" t="s">
        <v>992</v>
      </c>
      <c r="E3598" s="30"/>
      <c r="F3598" s="30"/>
      <c r="G3598" s="31">
        <v>1</v>
      </c>
      <c r="H3598" s="31"/>
      <c r="I3598" s="32"/>
      <c r="J3598" s="32"/>
      <c r="K3598" s="19"/>
      <c r="L3598" s="20"/>
      <c r="M3598" s="10"/>
      <c r="N3598" s="10"/>
      <c r="O3598" s="10"/>
      <c r="P3598" s="10"/>
      <c r="Q3598" s="10"/>
      <c r="R3598" s="10"/>
      <c r="S3598" s="10"/>
      <c r="T3598" s="10"/>
      <c r="U3598" s="10"/>
      <c r="V3598" s="10"/>
      <c r="W3598" s="10"/>
      <c r="X3598" s="10"/>
      <c r="Y3598" s="10"/>
      <c r="Z3598" s="10"/>
      <c r="AA3598" s="10"/>
      <c r="AB3598" s="10"/>
      <c r="AC3598" s="10"/>
      <c r="AD3598" s="10"/>
      <c r="AE3598" s="10"/>
      <c r="AF3598" s="10"/>
      <c r="AG3598" s="10"/>
      <c r="AH3598" s="10"/>
    </row>
    <row r="3599" spans="1:34" ht="31.5" outlineLevel="2">
      <c r="A3599" s="28"/>
      <c r="B3599" s="12" t="str">
        <f>IFERROR(VLOOKUP(D3599,'[1]Перечень товаров'!$A$2:$I9525,2,0),"")</f>
        <v>д556</v>
      </c>
      <c r="C3599" s="12" t="str">
        <f>IFERROR(VLOOKUP(D3599,'[1]Перечень товаров'!$A$2:$I9525,3,0),"")</f>
        <v>дидактика</v>
      </c>
      <c r="D3599" s="29" t="s">
        <v>993</v>
      </c>
      <c r="E3599" s="30"/>
      <c r="F3599" s="30"/>
      <c r="G3599" s="31">
        <v>1</v>
      </c>
      <c r="H3599" s="31"/>
      <c r="I3599" s="32"/>
      <c r="J3599" s="32"/>
      <c r="K3599" s="19"/>
      <c r="L3599" s="20"/>
      <c r="M3599" s="10"/>
      <c r="N3599" s="10"/>
      <c r="O3599" s="10"/>
      <c r="P3599" s="10"/>
      <c r="Q3599" s="10"/>
      <c r="R3599" s="10"/>
      <c r="S3599" s="10"/>
      <c r="T3599" s="10"/>
      <c r="U3599" s="10"/>
      <c r="V3599" s="10"/>
      <c r="W3599" s="10"/>
      <c r="X3599" s="10"/>
      <c r="Y3599" s="10"/>
      <c r="Z3599" s="10"/>
      <c r="AA3599" s="10"/>
      <c r="AB3599" s="10"/>
      <c r="AC3599" s="10"/>
      <c r="AD3599" s="10"/>
      <c r="AE3599" s="10"/>
      <c r="AF3599" s="10"/>
      <c r="AG3599" s="10"/>
      <c r="AH3599" s="10"/>
    </row>
    <row r="3600" spans="1:34" ht="31.5" outlineLevel="2">
      <c r="A3600" s="28"/>
      <c r="B3600" s="12" t="str">
        <f>IFERROR(VLOOKUP(D3600,'[1]Перечень товаров'!$A$2:$I9525,2,0),"")</f>
        <v>пм212</v>
      </c>
      <c r="C3600" s="12" t="str">
        <f>IFERROR(VLOOKUP(D3600,'[1]Перечень товаров'!$A$2:$I9525,3,0),"")</f>
        <v>прочее муз</v>
      </c>
      <c r="D3600" s="29" t="s">
        <v>994</v>
      </c>
      <c r="E3600" s="30"/>
      <c r="F3600" s="30"/>
      <c r="G3600" s="31">
        <v>1</v>
      </c>
      <c r="H3600" s="31"/>
      <c r="I3600" s="32"/>
      <c r="J3600" s="32"/>
      <c r="K3600" s="19"/>
      <c r="L3600" s="20"/>
      <c r="M3600" s="10"/>
      <c r="N3600" s="10"/>
      <c r="O3600" s="10"/>
      <c r="P3600" s="10"/>
      <c r="Q3600" s="10"/>
      <c r="R3600" s="10"/>
      <c r="S3600" s="10"/>
      <c r="T3600" s="10"/>
      <c r="U3600" s="10"/>
      <c r="V3600" s="10"/>
      <c r="W3600" s="10"/>
      <c r="X3600" s="10"/>
      <c r="Y3600" s="10"/>
      <c r="Z3600" s="10"/>
      <c r="AA3600" s="10"/>
      <c r="AB3600" s="10"/>
      <c r="AC3600" s="10"/>
      <c r="AD3600" s="10"/>
      <c r="AE3600" s="10"/>
      <c r="AF3600" s="10"/>
      <c r="AG3600" s="10"/>
      <c r="AH3600" s="10"/>
    </row>
    <row r="3601" spans="1:34" outlineLevel="2">
      <c r="A3601" s="28"/>
      <c r="B3601" s="12" t="str">
        <f>IFERROR(VLOOKUP(D3601,'[1]Перечень товаров'!$A$2:$I9525,2,0),"")</f>
        <v>пм211</v>
      </c>
      <c r="C3601" s="12" t="str">
        <f>IFERROR(VLOOKUP(D3601,'[1]Перечень товаров'!$A$2:$I9525,3,0),"")</f>
        <v>прочее муз</v>
      </c>
      <c r="D3601" s="29" t="s">
        <v>995</v>
      </c>
      <c r="E3601" s="30"/>
      <c r="F3601" s="30"/>
      <c r="G3601" s="31">
        <v>2</v>
      </c>
      <c r="H3601" s="31"/>
      <c r="I3601" s="32"/>
      <c r="J3601" s="32"/>
      <c r="K3601" s="19"/>
      <c r="L3601" s="20"/>
      <c r="M3601" s="10"/>
      <c r="N3601" s="10"/>
      <c r="O3601" s="10"/>
      <c r="P3601" s="10"/>
      <c r="Q3601" s="10"/>
      <c r="R3601" s="10"/>
      <c r="S3601" s="10"/>
      <c r="T3601" s="10"/>
      <c r="U3601" s="10"/>
      <c r="V3601" s="10"/>
      <c r="W3601" s="10"/>
      <c r="X3601" s="10"/>
      <c r="Y3601" s="10"/>
      <c r="Z3601" s="10"/>
      <c r="AA3601" s="10"/>
      <c r="AB3601" s="10"/>
      <c r="AC3601" s="10"/>
      <c r="AD3601" s="10"/>
      <c r="AE3601" s="10"/>
      <c r="AF3601" s="10"/>
      <c r="AG3601" s="10"/>
      <c r="AH3601" s="10"/>
    </row>
    <row r="3602" spans="1:34" ht="31.5" outlineLevel="2">
      <c r="A3602" s="28"/>
      <c r="B3602" s="12" t="str">
        <f>IFERROR(VLOOKUP(D3602,'[1]Перечень товаров'!$A$2:$I9525,2,0),"")</f>
        <v>пм210</v>
      </c>
      <c r="C3602" s="12" t="str">
        <f>IFERROR(VLOOKUP(D3602,'[1]Перечень товаров'!$A$2:$I9525,3,0),"")</f>
        <v>прочее муз</v>
      </c>
      <c r="D3602" s="29" t="s">
        <v>996</v>
      </c>
      <c r="E3602" s="30"/>
      <c r="F3602" s="30"/>
      <c r="G3602" s="31">
        <v>1</v>
      </c>
      <c r="H3602" s="31"/>
      <c r="I3602" s="32"/>
      <c r="J3602" s="32"/>
      <c r="K3602" s="19"/>
      <c r="L3602" s="20"/>
      <c r="M3602" s="10"/>
      <c r="N3602" s="10"/>
      <c r="O3602" s="10"/>
      <c r="P3602" s="10"/>
      <c r="Q3602" s="10"/>
      <c r="R3602" s="10"/>
      <c r="S3602" s="10"/>
      <c r="T3602" s="10"/>
      <c r="U3602" s="10"/>
      <c r="V3602" s="10"/>
      <c r="W3602" s="10"/>
      <c r="X3602" s="10"/>
      <c r="Y3602" s="10"/>
      <c r="Z3602" s="10"/>
      <c r="AA3602" s="10"/>
      <c r="AB3602" s="10"/>
      <c r="AC3602" s="10"/>
      <c r="AD3602" s="10"/>
      <c r="AE3602" s="10"/>
      <c r="AF3602" s="10"/>
      <c r="AG3602" s="10"/>
      <c r="AH3602" s="10"/>
    </row>
    <row r="3603" spans="1:34" ht="15" outlineLevel="2">
      <c r="A3603" s="109"/>
      <c r="B3603" s="12" t="str">
        <f>IFERROR(VLOOKUP(D3603,'[1]Перечень товаров'!$A$2:$I9525,2,0),"")</f>
        <v/>
      </c>
      <c r="C3603" s="12" t="str">
        <f>IFERROR(VLOOKUP(D3603,'[1]Перечень товаров'!$A$2:$I9525,3,0),"")</f>
        <v/>
      </c>
      <c r="D3603" s="110" t="s">
        <v>27</v>
      </c>
      <c r="E3603" s="115"/>
      <c r="F3603" s="115"/>
      <c r="G3603" s="211"/>
      <c r="H3603" s="211"/>
      <c r="I3603" s="212"/>
      <c r="J3603" s="212"/>
      <c r="K3603" s="19"/>
      <c r="L3603" s="20"/>
      <c r="M3603" s="10"/>
      <c r="N3603" s="10"/>
      <c r="O3603" s="10"/>
      <c r="P3603" s="10"/>
      <c r="Q3603" s="10"/>
      <c r="R3603" s="10"/>
      <c r="S3603" s="10"/>
      <c r="T3603" s="10"/>
      <c r="U3603" s="10"/>
      <c r="V3603" s="10"/>
      <c r="W3603" s="10"/>
      <c r="X3603" s="10"/>
      <c r="Y3603" s="10"/>
      <c r="Z3603" s="10"/>
      <c r="AA3603" s="10"/>
      <c r="AB3603" s="10"/>
      <c r="AC3603" s="10"/>
      <c r="AD3603" s="10"/>
      <c r="AE3603" s="10"/>
      <c r="AF3603" s="10"/>
      <c r="AG3603" s="10"/>
      <c r="AH3603" s="10"/>
    </row>
    <row r="3604" spans="1:34" outlineLevel="2">
      <c r="A3604" s="21"/>
      <c r="B3604" s="12" t="str">
        <f>IFERROR(VLOOKUP(D3604,'[1]Перечень товаров'!$A$2:$I9525,2,0),"")</f>
        <v>т1</v>
      </c>
      <c r="C3604" s="12" t="str">
        <f>IFERROR(VLOOKUP(D3604,'[1]Перечень товаров'!$A$2:$I9525,3,0),"")</f>
        <v xml:space="preserve">Техника </v>
      </c>
      <c r="D3604" s="22" t="s">
        <v>28</v>
      </c>
      <c r="E3604" s="88"/>
      <c r="F3604" s="88"/>
      <c r="G3604" s="48">
        <v>1</v>
      </c>
      <c r="H3604" s="48"/>
      <c r="I3604" s="49"/>
      <c r="J3604" s="49"/>
      <c r="K3604" s="19"/>
      <c r="L3604" s="20"/>
      <c r="M3604" s="10"/>
      <c r="N3604" s="10"/>
      <c r="O3604" s="10"/>
      <c r="P3604" s="10"/>
      <c r="Q3604" s="10"/>
      <c r="R3604" s="10"/>
      <c r="S3604" s="10"/>
      <c r="T3604" s="10"/>
      <c r="U3604" s="10"/>
      <c r="V3604" s="10"/>
      <c r="W3604" s="10"/>
      <c r="X3604" s="10"/>
      <c r="Y3604" s="10"/>
      <c r="Z3604" s="10"/>
      <c r="AA3604" s="10"/>
      <c r="AB3604" s="10"/>
      <c r="AC3604" s="10"/>
      <c r="AD3604" s="10"/>
      <c r="AE3604" s="10"/>
      <c r="AF3604" s="10"/>
      <c r="AG3604" s="10"/>
      <c r="AH3604" s="10"/>
    </row>
    <row r="3605" spans="1:34" outlineLevel="2">
      <c r="A3605" s="22"/>
      <c r="B3605" s="12" t="str">
        <f>IFERROR(VLOOKUP(D3605,'[1]Перечень товаров'!$A$2:$I9525,2,0),"")</f>
        <v>т9</v>
      </c>
      <c r="C3605" s="12" t="str">
        <f>IFERROR(VLOOKUP(D3605,'[1]Перечень товаров'!$A$2:$I9525,3,0),"")</f>
        <v>Техника</v>
      </c>
      <c r="D3605" s="22" t="s">
        <v>36</v>
      </c>
      <c r="E3605" s="88"/>
      <c r="F3605" s="88"/>
      <c r="G3605" s="48">
        <v>1</v>
      </c>
      <c r="H3605" s="48"/>
      <c r="I3605" s="49"/>
      <c r="J3605" s="49"/>
      <c r="K3605" s="19"/>
      <c r="L3605" s="20"/>
      <c r="M3605" s="10"/>
      <c r="N3605" s="10"/>
      <c r="O3605" s="10"/>
      <c r="P3605" s="10"/>
      <c r="Q3605" s="10"/>
      <c r="R3605" s="10"/>
      <c r="S3605" s="10"/>
      <c r="T3605" s="10"/>
      <c r="U3605" s="10"/>
      <c r="V3605" s="10"/>
      <c r="W3605" s="10"/>
      <c r="X3605" s="10"/>
      <c r="Y3605" s="10"/>
      <c r="Z3605" s="10"/>
      <c r="AA3605" s="10"/>
      <c r="AB3605" s="10"/>
      <c r="AC3605" s="10"/>
      <c r="AD3605" s="10"/>
      <c r="AE3605" s="10"/>
      <c r="AF3605" s="10"/>
      <c r="AG3605" s="10"/>
      <c r="AH3605" s="10"/>
    </row>
    <row r="3606" spans="1:34" outlineLevel="2">
      <c r="A3606" s="35"/>
      <c r="B3606" s="12" t="str">
        <f>IFERROR(VLOOKUP(D3606,'[1]Перечень товаров'!$A$2:$I9525,2,0),"")</f>
        <v>т2</v>
      </c>
      <c r="C3606" s="12" t="str">
        <f>IFERROR(VLOOKUP(D3606,'[1]Перечень товаров'!$A$2:$I9525,3,0),"")</f>
        <v xml:space="preserve">Техника </v>
      </c>
      <c r="D3606" s="35" t="s">
        <v>29</v>
      </c>
      <c r="E3606" s="88"/>
      <c r="F3606" s="88"/>
      <c r="G3606" s="48">
        <v>1</v>
      </c>
      <c r="H3606" s="48"/>
      <c r="I3606" s="49"/>
      <c r="J3606" s="49"/>
      <c r="K3606" s="19"/>
      <c r="L3606" s="20"/>
      <c r="M3606" s="10"/>
      <c r="N3606" s="10"/>
      <c r="O3606" s="10"/>
      <c r="P3606" s="10"/>
      <c r="Q3606" s="10"/>
      <c r="R3606" s="10"/>
      <c r="S3606" s="10"/>
      <c r="T3606" s="10"/>
      <c r="U3606" s="10"/>
      <c r="V3606" s="10"/>
      <c r="W3606" s="10"/>
      <c r="X3606" s="10"/>
      <c r="Y3606" s="10"/>
      <c r="Z3606" s="10"/>
      <c r="AA3606" s="10"/>
      <c r="AB3606" s="10"/>
      <c r="AC3606" s="10"/>
      <c r="AD3606" s="10"/>
      <c r="AE3606" s="10"/>
      <c r="AF3606" s="10"/>
      <c r="AG3606" s="10"/>
      <c r="AH3606" s="10"/>
    </row>
    <row r="3607" spans="1:34" outlineLevel="2">
      <c r="A3607" s="35"/>
      <c r="B3607" s="12" t="str">
        <f>IFERROR(VLOOKUP(D3607,'[1]Перечень товаров'!$A$2:$I9525,2,0),"")</f>
        <v>т3</v>
      </c>
      <c r="C3607" s="12" t="str">
        <f>IFERROR(VLOOKUP(D3607,'[1]Перечень товаров'!$A$2:$I9525,3,0),"")</f>
        <v xml:space="preserve">Техника </v>
      </c>
      <c r="D3607" s="35" t="s">
        <v>30</v>
      </c>
      <c r="E3607" s="88"/>
      <c r="F3607" s="88"/>
      <c r="G3607" s="48">
        <v>1</v>
      </c>
      <c r="H3607" s="48"/>
      <c r="I3607" s="49"/>
      <c r="J3607" s="49"/>
      <c r="K3607" s="19"/>
      <c r="L3607" s="20"/>
      <c r="M3607" s="10"/>
      <c r="N3607" s="10"/>
      <c r="O3607" s="10"/>
      <c r="P3607" s="10"/>
      <c r="Q3607" s="10"/>
      <c r="R3607" s="10"/>
      <c r="S3607" s="10"/>
      <c r="T3607" s="10"/>
      <c r="U3607" s="10"/>
      <c r="V3607" s="10"/>
      <c r="W3607" s="10"/>
      <c r="X3607" s="10"/>
      <c r="Y3607" s="10"/>
      <c r="Z3607" s="10"/>
      <c r="AA3607" s="10"/>
      <c r="AB3607" s="10"/>
      <c r="AC3607" s="10"/>
      <c r="AD3607" s="10"/>
      <c r="AE3607" s="10"/>
      <c r="AF3607" s="10"/>
      <c r="AG3607" s="10"/>
      <c r="AH3607" s="10"/>
    </row>
    <row r="3608" spans="1:34" outlineLevel="2">
      <c r="A3608" s="35"/>
      <c r="B3608" s="12" t="str">
        <f>IFERROR(VLOOKUP(D3608,'[1]Перечень товаров'!$A$2:$I9525,2,0),"")</f>
        <v>т4</v>
      </c>
      <c r="C3608" s="12" t="str">
        <f>IFERROR(VLOOKUP(D3608,'[1]Перечень товаров'!$A$2:$I9525,3,0),"")</f>
        <v xml:space="preserve">Техника </v>
      </c>
      <c r="D3608" s="35" t="s">
        <v>31</v>
      </c>
      <c r="E3608" s="88"/>
      <c r="F3608" s="88"/>
      <c r="G3608" s="48">
        <v>1</v>
      </c>
      <c r="H3608" s="48"/>
      <c r="I3608" s="49"/>
      <c r="J3608" s="49"/>
      <c r="K3608" s="19"/>
      <c r="L3608" s="20"/>
      <c r="M3608" s="10"/>
      <c r="N3608" s="10"/>
      <c r="O3608" s="10"/>
      <c r="P3608" s="10"/>
      <c r="Q3608" s="10"/>
      <c r="R3608" s="10"/>
      <c r="S3608" s="10"/>
      <c r="T3608" s="10"/>
      <c r="U3608" s="10"/>
      <c r="V3608" s="10"/>
      <c r="W3608" s="10"/>
      <c r="X3608" s="10"/>
      <c r="Y3608" s="10"/>
      <c r="Z3608" s="10"/>
      <c r="AA3608" s="10"/>
      <c r="AB3608" s="10"/>
      <c r="AC3608" s="10"/>
      <c r="AD3608" s="10"/>
      <c r="AE3608" s="10"/>
      <c r="AF3608" s="10"/>
      <c r="AG3608" s="10"/>
      <c r="AH3608" s="10"/>
    </row>
    <row r="3609" spans="1:34" outlineLevel="2">
      <c r="A3609" s="21"/>
      <c r="B3609" s="12" t="str">
        <f>IFERROR(VLOOKUP(D3609,'[1]Перечень товаров'!$A$2:$I9525,2,0),"")</f>
        <v>тм65</v>
      </c>
      <c r="C3609" s="12" t="str">
        <f>IFERROR(VLOOKUP(D3609,'[1]Перечень товаров'!$A$2:$I9525,3,0),"")</f>
        <v>Техника муз</v>
      </c>
      <c r="D3609" s="22" t="s">
        <v>380</v>
      </c>
      <c r="E3609" s="88"/>
      <c r="F3609" s="88"/>
      <c r="G3609" s="48">
        <v>1</v>
      </c>
      <c r="H3609" s="48"/>
      <c r="I3609" s="49"/>
      <c r="J3609" s="49"/>
      <c r="K3609" s="19"/>
      <c r="L3609" s="20"/>
      <c r="M3609" s="10"/>
      <c r="N3609" s="10"/>
      <c r="O3609" s="10"/>
      <c r="P3609" s="10"/>
      <c r="Q3609" s="10"/>
      <c r="R3609" s="10"/>
      <c r="S3609" s="10"/>
      <c r="T3609" s="10"/>
      <c r="U3609" s="10"/>
      <c r="V3609" s="10"/>
      <c r="W3609" s="10"/>
      <c r="X3609" s="10"/>
      <c r="Y3609" s="10"/>
      <c r="Z3609" s="10"/>
      <c r="AA3609" s="10"/>
      <c r="AB3609" s="10"/>
      <c r="AC3609" s="10"/>
      <c r="AD3609" s="10"/>
      <c r="AE3609" s="10"/>
      <c r="AF3609" s="10"/>
      <c r="AG3609" s="10"/>
      <c r="AH3609" s="10"/>
    </row>
    <row r="3610" spans="1:34" outlineLevel="2">
      <c r="A3610" s="21"/>
      <c r="B3610" s="12" t="str">
        <f>IFERROR(VLOOKUP(D3610,'[1]Перечень товаров'!$A$2:$I9525,2,0),"")</f>
        <v>т12</v>
      </c>
      <c r="C3610" s="12" t="str">
        <f>IFERROR(VLOOKUP(D3610,'[1]Перечень товаров'!$A$2:$I9525,3,0),"")</f>
        <v>Техника</v>
      </c>
      <c r="D3610" s="22" t="s">
        <v>49</v>
      </c>
      <c r="E3610" s="88"/>
      <c r="F3610" s="88"/>
      <c r="G3610" s="48">
        <v>1</v>
      </c>
      <c r="H3610" s="48"/>
      <c r="I3610" s="49"/>
      <c r="J3610" s="49"/>
      <c r="K3610" s="19"/>
      <c r="L3610" s="20"/>
      <c r="M3610" s="10"/>
      <c r="N3610" s="10"/>
      <c r="O3610" s="10"/>
      <c r="P3610" s="10"/>
      <c r="Q3610" s="10"/>
      <c r="R3610" s="10"/>
      <c r="S3610" s="10"/>
      <c r="T3610" s="10"/>
      <c r="U3610" s="10"/>
      <c r="V3610" s="10"/>
      <c r="W3610" s="10"/>
      <c r="X3610" s="10"/>
      <c r="Y3610" s="10"/>
      <c r="Z3610" s="10"/>
      <c r="AA3610" s="10"/>
      <c r="AB3610" s="10"/>
      <c r="AC3610" s="10"/>
      <c r="AD3610" s="10"/>
      <c r="AE3610" s="10"/>
      <c r="AF3610" s="10"/>
      <c r="AG3610" s="10"/>
      <c r="AH3610" s="10"/>
    </row>
    <row r="3611" spans="1:34" outlineLevel="2">
      <c r="A3611" s="35"/>
      <c r="B3611" s="12" t="str">
        <f>IFERROR(VLOOKUP(D3611,'[1]Перечень товаров'!$A$2:$I9525,2,0),"")</f>
        <v>т6</v>
      </c>
      <c r="C3611" s="12" t="str">
        <f>IFERROR(VLOOKUP(D3611,'[1]Перечень товаров'!$A$2:$I9525,3,0),"")</f>
        <v xml:space="preserve">Техника </v>
      </c>
      <c r="D3611" s="35" t="s">
        <v>33</v>
      </c>
      <c r="E3611" s="88"/>
      <c r="F3611" s="88"/>
      <c r="G3611" s="48">
        <v>1</v>
      </c>
      <c r="H3611" s="48"/>
      <c r="I3611" s="49"/>
      <c r="J3611" s="49"/>
      <c r="K3611" s="19"/>
      <c r="L3611" s="20"/>
      <c r="M3611" s="10"/>
      <c r="N3611" s="10"/>
      <c r="O3611" s="10"/>
      <c r="P3611" s="10"/>
      <c r="Q3611" s="10"/>
      <c r="R3611" s="10"/>
      <c r="S3611" s="10"/>
      <c r="T3611" s="10"/>
      <c r="U3611" s="10"/>
      <c r="V3611" s="10"/>
      <c r="W3611" s="10"/>
      <c r="X3611" s="10"/>
      <c r="Y3611" s="10"/>
      <c r="Z3611" s="10"/>
      <c r="AA3611" s="10"/>
      <c r="AB3611" s="10"/>
      <c r="AC3611" s="10"/>
      <c r="AD3611" s="10"/>
      <c r="AE3611" s="10"/>
      <c r="AF3611" s="10"/>
      <c r="AG3611" s="10"/>
      <c r="AH3611" s="10"/>
    </row>
    <row r="3612" spans="1:34" outlineLevel="2">
      <c r="A3612" s="22"/>
      <c r="B3612" s="12" t="str">
        <f>IFERROR(VLOOKUP(D3612,'[1]Перечень товаров'!$A$2:$I9525,2,0),"")</f>
        <v>т7</v>
      </c>
      <c r="C3612" s="12" t="str">
        <f>IFERROR(VLOOKUP(D3612,'[1]Перечень товаров'!$A$2:$I9525,3,0),"")</f>
        <v xml:space="preserve">Техника </v>
      </c>
      <c r="D3612" s="22" t="s">
        <v>34</v>
      </c>
      <c r="E3612" s="88"/>
      <c r="F3612" s="88"/>
      <c r="G3612" s="48">
        <v>3</v>
      </c>
      <c r="H3612" s="48"/>
      <c r="I3612" s="49"/>
      <c r="J3612" s="49"/>
      <c r="K3612" s="19"/>
      <c r="L3612" s="20"/>
      <c r="M3612" s="10"/>
      <c r="N3612" s="10"/>
      <c r="O3612" s="10"/>
      <c r="P3612" s="10"/>
      <c r="Q3612" s="10"/>
      <c r="R3612" s="10"/>
      <c r="S3612" s="10"/>
      <c r="T3612" s="10"/>
      <c r="U3612" s="10"/>
      <c r="V3612" s="10"/>
      <c r="W3612" s="10"/>
      <c r="X3612" s="10"/>
      <c r="Y3612" s="10"/>
      <c r="Z3612" s="10"/>
      <c r="AA3612" s="10"/>
      <c r="AB3612" s="10"/>
      <c r="AC3612" s="10"/>
      <c r="AD3612" s="10"/>
      <c r="AE3612" s="10"/>
      <c r="AF3612" s="10"/>
      <c r="AG3612" s="10"/>
      <c r="AH3612" s="10"/>
    </row>
    <row r="3613" spans="1:34" outlineLevel="2">
      <c r="A3613" s="35"/>
      <c r="B3613" s="12" t="str">
        <f>IFERROR(VLOOKUP(D3613,'[1]Перечень товаров'!$A$2:$I9525,2,0),"")</f>
        <v>т161</v>
      </c>
      <c r="C3613" s="12" t="str">
        <f>IFERROR(VLOOKUP(D3613,'[1]Перечень товаров'!$A$2:$I9525,3,0),"")</f>
        <v xml:space="preserve">Техника </v>
      </c>
      <c r="D3613" s="29" t="s">
        <v>381</v>
      </c>
      <c r="E3613" s="88"/>
      <c r="F3613" s="88"/>
      <c r="G3613" s="159">
        <v>1</v>
      </c>
      <c r="H3613" s="159"/>
      <c r="I3613" s="160"/>
      <c r="J3613" s="160"/>
      <c r="K3613" s="19"/>
      <c r="L3613" s="20"/>
      <c r="M3613" s="10"/>
      <c r="N3613" s="10"/>
      <c r="O3613" s="10"/>
      <c r="P3613" s="10"/>
      <c r="Q3613" s="10"/>
      <c r="R3613" s="10"/>
      <c r="S3613" s="10"/>
      <c r="T3613" s="10"/>
      <c r="U3613" s="10"/>
      <c r="V3613" s="10"/>
      <c r="W3613" s="10"/>
      <c r="X3613" s="10"/>
      <c r="Y3613" s="10"/>
      <c r="Z3613" s="10"/>
      <c r="AA3613" s="10"/>
      <c r="AB3613" s="10"/>
      <c r="AC3613" s="10"/>
      <c r="AD3613" s="10"/>
      <c r="AE3613" s="10"/>
      <c r="AF3613" s="10"/>
      <c r="AG3613" s="10"/>
      <c r="AH3613" s="10"/>
    </row>
    <row r="3614" spans="1:34" outlineLevel="2">
      <c r="A3614" s="114"/>
      <c r="B3614" s="12" t="str">
        <f>IFERROR(VLOOKUP(D3614,'[1]Перечень товаров'!$A$2:$I9525,2,0),"")</f>
        <v/>
      </c>
      <c r="C3614" s="12" t="str">
        <f>IFERROR(VLOOKUP(D3614,'[1]Перечень товаров'!$A$2:$I9525,3,0),"")</f>
        <v/>
      </c>
      <c r="D3614" s="114" t="s">
        <v>19</v>
      </c>
      <c r="E3614" s="115"/>
      <c r="F3614" s="115"/>
      <c r="G3614" s="157"/>
      <c r="H3614" s="157"/>
      <c r="I3614" s="158"/>
      <c r="J3614" s="158"/>
      <c r="K3614" s="19"/>
      <c r="L3614" s="20"/>
      <c r="M3614" s="10"/>
      <c r="N3614" s="10"/>
      <c r="O3614" s="10"/>
      <c r="P3614" s="10"/>
      <c r="Q3614" s="10"/>
      <c r="R3614" s="10"/>
      <c r="S3614" s="10"/>
      <c r="T3614" s="10"/>
      <c r="U3614" s="10"/>
      <c r="V3614" s="10"/>
      <c r="W3614" s="10"/>
      <c r="X3614" s="10"/>
      <c r="Y3614" s="10"/>
      <c r="Z3614" s="10"/>
      <c r="AA3614" s="10"/>
      <c r="AB3614" s="10"/>
      <c r="AC3614" s="10"/>
      <c r="AD3614" s="10"/>
      <c r="AE3614" s="10"/>
      <c r="AF3614" s="10"/>
      <c r="AG3614" s="10"/>
      <c r="AH3614" s="10"/>
    </row>
    <row r="3615" spans="1:34" outlineLevel="2">
      <c r="A3615" s="34"/>
      <c r="B3615" s="12" t="str">
        <f>IFERROR(VLOOKUP(D3615,'[1]Перечень товаров'!$A$2:$I9525,2,0),"")</f>
        <v>м62</v>
      </c>
      <c r="C3615" s="12" t="str">
        <f>IFERROR(VLOOKUP(D3615,'[1]Перечень товаров'!$A$2:$I9525,3,0),"")</f>
        <v>Мебель</v>
      </c>
      <c r="D3615" s="35" t="s">
        <v>398</v>
      </c>
      <c r="E3615" s="88"/>
      <c r="F3615" s="88"/>
      <c r="G3615" s="59">
        <v>1</v>
      </c>
      <c r="H3615" s="59"/>
      <c r="I3615" s="60"/>
      <c r="J3615" s="60"/>
      <c r="K3615" s="19"/>
      <c r="L3615" s="20"/>
      <c r="M3615" s="10"/>
      <c r="N3615" s="10"/>
      <c r="O3615" s="10"/>
      <c r="P3615" s="10"/>
      <c r="Q3615" s="10"/>
      <c r="R3615" s="10"/>
      <c r="S3615" s="10"/>
      <c r="T3615" s="10"/>
      <c r="U3615" s="10"/>
      <c r="V3615" s="10"/>
      <c r="W3615" s="10"/>
      <c r="X3615" s="10"/>
      <c r="Y3615" s="10"/>
      <c r="Z3615" s="10"/>
      <c r="AA3615" s="10"/>
      <c r="AB3615" s="10"/>
      <c r="AC3615" s="10"/>
      <c r="AD3615" s="10"/>
      <c r="AE3615" s="10"/>
      <c r="AF3615" s="10"/>
      <c r="AG3615" s="10"/>
      <c r="AH3615" s="10"/>
    </row>
    <row r="3616" spans="1:34" outlineLevel="2">
      <c r="A3616" s="34"/>
      <c r="B3616" s="12" t="str">
        <f>IFERROR(VLOOKUP(D3616,'[1]Перечень товаров'!$A$2:$I9525,2,0),"")</f>
        <v>м61</v>
      </c>
      <c r="C3616" s="12" t="str">
        <f>IFERROR(VLOOKUP(D3616,'[1]Перечень товаров'!$A$2:$I9525,3,0),"")</f>
        <v>Мебель</v>
      </c>
      <c r="D3616" s="35" t="s">
        <v>383</v>
      </c>
      <c r="E3616" s="88"/>
      <c r="F3616" s="88"/>
      <c r="G3616" s="59">
        <v>1</v>
      </c>
      <c r="H3616" s="59"/>
      <c r="I3616" s="60"/>
      <c r="J3616" s="60"/>
      <c r="K3616" s="19"/>
      <c r="L3616" s="20"/>
      <c r="M3616" s="10"/>
      <c r="N3616" s="10"/>
      <c r="O3616" s="10"/>
      <c r="P3616" s="10"/>
      <c r="Q3616" s="10"/>
      <c r="R3616" s="10"/>
      <c r="S3616" s="10"/>
      <c r="T3616" s="10"/>
      <c r="U3616" s="10"/>
      <c r="V3616" s="10"/>
      <c r="W3616" s="10"/>
      <c r="X3616" s="10"/>
      <c r="Y3616" s="10"/>
      <c r="Z3616" s="10"/>
      <c r="AA3616" s="10"/>
      <c r="AB3616" s="10"/>
      <c r="AC3616" s="10"/>
      <c r="AD3616" s="10"/>
      <c r="AE3616" s="10"/>
      <c r="AF3616" s="10"/>
      <c r="AG3616" s="10"/>
      <c r="AH3616" s="10"/>
    </row>
    <row r="3617" spans="1:34" outlineLevel="2">
      <c r="A3617" s="213"/>
      <c r="B3617" s="12" t="str">
        <f>IFERROR(VLOOKUP(D3617,'[1]Перечень товаров'!$A$2:$I9525,2,0),"")</f>
        <v>м176</v>
      </c>
      <c r="C3617" s="12" t="str">
        <f>IFERROR(VLOOKUP(D3617,'[1]Перечень товаров'!$A$2:$I9525,3,0),"")</f>
        <v>мебель</v>
      </c>
      <c r="D3617" s="214" t="s">
        <v>998</v>
      </c>
      <c r="E3617" s="88"/>
      <c r="F3617" s="88"/>
      <c r="G3617" s="159">
        <v>4</v>
      </c>
      <c r="H3617" s="159"/>
      <c r="I3617" s="160"/>
      <c r="J3617" s="160"/>
      <c r="K3617" s="19"/>
      <c r="L3617" s="20"/>
      <c r="M3617" s="10"/>
      <c r="N3617" s="10"/>
      <c r="O3617" s="10"/>
      <c r="P3617" s="10"/>
      <c r="Q3617" s="10"/>
      <c r="R3617" s="10"/>
      <c r="S3617" s="10"/>
      <c r="T3617" s="10"/>
      <c r="U3617" s="10"/>
      <c r="V3617" s="10"/>
      <c r="W3617" s="10"/>
      <c r="X3617" s="10"/>
      <c r="Y3617" s="10"/>
      <c r="Z3617" s="10"/>
      <c r="AA3617" s="10"/>
      <c r="AB3617" s="10"/>
      <c r="AC3617" s="10"/>
      <c r="AD3617" s="10"/>
      <c r="AE3617" s="10"/>
      <c r="AF3617" s="10"/>
      <c r="AG3617" s="10"/>
      <c r="AH3617" s="10"/>
    </row>
    <row r="3618" spans="1:34" outlineLevel="2">
      <c r="A3618" s="34"/>
      <c r="B3618" s="12" t="str">
        <f>IFERROR(VLOOKUP(D3618,'[1]Перечень товаров'!$A$2:$I9525,2,0),"")</f>
        <v>м61</v>
      </c>
      <c r="C3618" s="12" t="str">
        <f>IFERROR(VLOOKUP(D3618,'[1]Перечень товаров'!$A$2:$I9525,3,0),"")</f>
        <v>Мебель</v>
      </c>
      <c r="D3618" s="35" t="s">
        <v>384</v>
      </c>
      <c r="E3618" s="88"/>
      <c r="F3618" s="88"/>
      <c r="G3618" s="159">
        <v>4</v>
      </c>
      <c r="H3618" s="159"/>
      <c r="I3618" s="160"/>
      <c r="J3618" s="160"/>
      <c r="K3618" s="19"/>
      <c r="L3618" s="20"/>
      <c r="M3618" s="10"/>
      <c r="N3618" s="10"/>
      <c r="O3618" s="10"/>
      <c r="P3618" s="10"/>
      <c r="Q3618" s="10"/>
      <c r="R3618" s="10"/>
      <c r="S3618" s="10"/>
      <c r="T3618" s="10"/>
      <c r="U3618" s="10"/>
      <c r="V3618" s="10"/>
      <c r="W3618" s="10"/>
      <c r="X3618" s="10"/>
      <c r="Y3618" s="10"/>
      <c r="Z3618" s="10"/>
      <c r="AA3618" s="10"/>
      <c r="AB3618" s="10"/>
      <c r="AC3618" s="10"/>
      <c r="AD3618" s="10"/>
      <c r="AE3618" s="10"/>
      <c r="AF3618" s="10"/>
      <c r="AG3618" s="10"/>
      <c r="AH3618" s="10"/>
    </row>
    <row r="3619" spans="1:34" outlineLevel="2">
      <c r="A3619" s="22"/>
      <c r="B3619" s="12" t="str">
        <f>IFERROR(VLOOKUP(D3619,'[1]Перечень товаров'!$A$2:$I9525,2,0),"")</f>
        <v>м13</v>
      </c>
      <c r="C3619" s="12" t="str">
        <f>IFERROR(VLOOKUP(D3619,'[1]Перечень товаров'!$A$2:$I9525,3,0),"")</f>
        <v>Мебель</v>
      </c>
      <c r="D3619" s="22" t="s">
        <v>42</v>
      </c>
      <c r="E3619" s="88"/>
      <c r="F3619" s="88"/>
      <c r="G3619" s="48">
        <v>1</v>
      </c>
      <c r="H3619" s="48"/>
      <c r="I3619" s="49"/>
      <c r="J3619" s="49"/>
      <c r="K3619" s="19"/>
      <c r="L3619" s="20"/>
      <c r="M3619" s="10"/>
      <c r="N3619" s="10"/>
      <c r="O3619" s="10"/>
      <c r="P3619" s="10"/>
      <c r="Q3619" s="10"/>
      <c r="R3619" s="10"/>
      <c r="S3619" s="10"/>
      <c r="T3619" s="10"/>
      <c r="U3619" s="10"/>
      <c r="V3619" s="10"/>
      <c r="W3619" s="10"/>
      <c r="X3619" s="10"/>
      <c r="Y3619" s="10"/>
      <c r="Z3619" s="10"/>
      <c r="AA3619" s="10"/>
      <c r="AB3619" s="10"/>
      <c r="AC3619" s="10"/>
      <c r="AD3619" s="10"/>
      <c r="AE3619" s="10"/>
      <c r="AF3619" s="10"/>
      <c r="AG3619" s="10"/>
      <c r="AH3619" s="10"/>
    </row>
    <row r="3620" spans="1:34" outlineLevel="2">
      <c r="A3620" s="21"/>
      <c r="B3620" s="12" t="str">
        <f>IFERROR(VLOOKUP(D3620,'[1]Перечень товаров'!$A$2:$I9525,2,0),"")</f>
        <v>м14</v>
      </c>
      <c r="C3620" s="12" t="str">
        <f>IFERROR(VLOOKUP(D3620,'[1]Перечень товаров'!$A$2:$I9525,3,0),"")</f>
        <v>Мебель</v>
      </c>
      <c r="D3620" s="22" t="s">
        <v>43</v>
      </c>
      <c r="E3620" s="88"/>
      <c r="F3620" s="88"/>
      <c r="G3620" s="48">
        <v>1</v>
      </c>
      <c r="H3620" s="48"/>
      <c r="I3620" s="49"/>
      <c r="J3620" s="49"/>
      <c r="K3620" s="19"/>
      <c r="L3620" s="20"/>
      <c r="M3620" s="10"/>
      <c r="N3620" s="10"/>
      <c r="O3620" s="10"/>
      <c r="P3620" s="10"/>
      <c r="Q3620" s="10"/>
      <c r="R3620" s="10"/>
      <c r="S3620" s="10"/>
      <c r="T3620" s="10"/>
      <c r="U3620" s="10"/>
      <c r="V3620" s="10"/>
      <c r="W3620" s="10"/>
      <c r="X3620" s="10"/>
      <c r="Y3620" s="10"/>
      <c r="Z3620" s="10"/>
      <c r="AA3620" s="10"/>
      <c r="AB3620" s="10"/>
      <c r="AC3620" s="10"/>
      <c r="AD3620" s="10"/>
      <c r="AE3620" s="10"/>
      <c r="AF3620" s="10"/>
      <c r="AG3620" s="10"/>
      <c r="AH3620" s="10"/>
    </row>
    <row r="3621" spans="1:34" outlineLevel="2">
      <c r="A3621" s="21"/>
      <c r="B3621" s="12" t="str">
        <f>IFERROR(VLOOKUP(D3621,'[1]Перечень товаров'!$A$2:$I9525,2,0),"")</f>
        <v>п2</v>
      </c>
      <c r="C3621" s="12" t="str">
        <f>IFERROR(VLOOKUP(D3621,'[1]Перечень товаров'!$A$2:$I9525,3,0),"")</f>
        <v>Прочее</v>
      </c>
      <c r="D3621" s="22" t="s">
        <v>46</v>
      </c>
      <c r="E3621" s="88"/>
      <c r="F3621" s="88"/>
      <c r="G3621" s="24">
        <v>1</v>
      </c>
      <c r="H3621" s="24"/>
      <c r="I3621" s="25"/>
      <c r="J3621" s="25"/>
      <c r="K3621" s="19"/>
      <c r="L3621" s="20"/>
      <c r="M3621" s="10"/>
      <c r="N3621" s="10"/>
      <c r="O3621" s="10"/>
      <c r="P3621" s="10"/>
      <c r="Q3621" s="10"/>
      <c r="R3621" s="10"/>
      <c r="S3621" s="10"/>
      <c r="T3621" s="10"/>
      <c r="U3621" s="10"/>
      <c r="V3621" s="10"/>
      <c r="W3621" s="10"/>
      <c r="X3621" s="10"/>
      <c r="Y3621" s="10"/>
      <c r="Z3621" s="10"/>
      <c r="AA3621" s="10"/>
      <c r="AB3621" s="10"/>
      <c r="AC3621" s="10"/>
      <c r="AD3621" s="10"/>
      <c r="AE3621" s="10"/>
      <c r="AF3621" s="10"/>
      <c r="AG3621" s="10"/>
      <c r="AH3621" s="10"/>
    </row>
    <row r="3622" spans="1:34" ht="12.75" outlineLevel="1">
      <c r="A3622" s="11"/>
      <c r="B3622" s="12" t="str">
        <f>IFERROR(VLOOKUP(D3622,'[1]Перечень товаров'!$A$2:$I9525,2,0),"")</f>
        <v/>
      </c>
      <c r="C3622" s="12" t="str">
        <f>IFERROR(VLOOKUP(D3622,'[1]Перечень товаров'!$A$2:$I9525,3,0),"")</f>
        <v/>
      </c>
      <c r="D3622" s="27" t="s">
        <v>997</v>
      </c>
      <c r="E3622" s="14">
        <v>21.9</v>
      </c>
      <c r="F3622" s="14"/>
      <c r="G3622" s="17"/>
      <c r="H3622" s="17"/>
      <c r="I3622" s="57"/>
      <c r="J3622" s="57"/>
      <c r="K3622" s="19"/>
      <c r="L3622" s="20"/>
      <c r="M3622" s="10"/>
      <c r="N3622" s="10"/>
      <c r="O3622" s="10"/>
      <c r="P3622" s="10"/>
      <c r="Q3622" s="10"/>
      <c r="R3622" s="10"/>
      <c r="S3622" s="10"/>
      <c r="T3622" s="10"/>
      <c r="U3622" s="10"/>
      <c r="V3622" s="10"/>
      <c r="W3622" s="10"/>
      <c r="X3622" s="10"/>
      <c r="Y3622" s="10"/>
      <c r="Z3622" s="10"/>
      <c r="AA3622" s="10"/>
      <c r="AB3622" s="10"/>
      <c r="AC3622" s="10"/>
      <c r="AD3622" s="10"/>
      <c r="AE3622" s="10"/>
      <c r="AF3622" s="10"/>
      <c r="AG3622" s="10"/>
      <c r="AH3622" s="10"/>
    </row>
    <row r="3623" spans="1:34" outlineLevel="2">
      <c r="A3623" s="113"/>
      <c r="B3623" s="12" t="str">
        <f>IFERROR(VLOOKUP(D3623,'[1]Перечень товаров'!$A$2:$I9525,2,0),"")</f>
        <v/>
      </c>
      <c r="C3623" s="12" t="str">
        <f>IFERROR(VLOOKUP(D3623,'[1]Перечень товаров'!$A$2:$I9525,3,0),"")</f>
        <v/>
      </c>
      <c r="D3623" s="114" t="s">
        <v>391</v>
      </c>
      <c r="E3623" s="122"/>
      <c r="F3623" s="122"/>
      <c r="G3623" s="123"/>
      <c r="H3623" s="123"/>
      <c r="I3623" s="124"/>
      <c r="J3623" s="124"/>
      <c r="K3623" s="19"/>
      <c r="L3623" s="20"/>
      <c r="M3623" s="10"/>
      <c r="N3623" s="10"/>
      <c r="O3623" s="10"/>
      <c r="P3623" s="10"/>
      <c r="Q3623" s="10"/>
      <c r="R3623" s="10"/>
      <c r="S3623" s="10"/>
      <c r="T3623" s="10"/>
      <c r="U3623" s="10"/>
      <c r="V3623" s="10"/>
      <c r="W3623" s="10"/>
      <c r="X3623" s="10"/>
      <c r="Y3623" s="10"/>
      <c r="Z3623" s="10"/>
      <c r="AA3623" s="10"/>
      <c r="AB3623" s="10"/>
      <c r="AC3623" s="10"/>
      <c r="AD3623" s="10"/>
      <c r="AE3623" s="10"/>
      <c r="AF3623" s="10"/>
      <c r="AG3623" s="10"/>
      <c r="AH3623" s="10"/>
    </row>
    <row r="3624" spans="1:34" outlineLevel="2">
      <c r="A3624" s="28"/>
      <c r="B3624" s="12" t="str">
        <f>IFERROR(VLOOKUP(D3624,'[1]Перечень товаров'!$A$2:$I9525,2,0),"")</f>
        <v/>
      </c>
      <c r="C3624" s="12" t="str">
        <f>IFERROR(VLOOKUP(D3624,'[1]Перечень товаров'!$A$2:$I9525,3,0),"")</f>
        <v/>
      </c>
      <c r="D3624" s="29" t="s">
        <v>992</v>
      </c>
      <c r="E3624" s="30"/>
      <c r="F3624" s="30"/>
      <c r="G3624" s="31">
        <v>1</v>
      </c>
      <c r="H3624" s="31"/>
      <c r="I3624" s="32"/>
      <c r="J3624" s="32"/>
      <c r="K3624" s="19"/>
      <c r="L3624" s="20"/>
      <c r="M3624" s="10"/>
      <c r="N3624" s="10"/>
      <c r="O3624" s="10"/>
      <c r="P3624" s="10"/>
      <c r="Q3624" s="10"/>
      <c r="R3624" s="10"/>
      <c r="S3624" s="10"/>
      <c r="T3624" s="10"/>
      <c r="U3624" s="10"/>
      <c r="V3624" s="10"/>
      <c r="W3624" s="10"/>
      <c r="X3624" s="10"/>
      <c r="Y3624" s="10"/>
      <c r="Z3624" s="10"/>
      <c r="AA3624" s="10"/>
      <c r="AB3624" s="10"/>
      <c r="AC3624" s="10"/>
      <c r="AD3624" s="10"/>
      <c r="AE3624" s="10"/>
      <c r="AF3624" s="10"/>
      <c r="AG3624" s="10"/>
      <c r="AH3624" s="10"/>
    </row>
    <row r="3625" spans="1:34" ht="31.5" outlineLevel="2">
      <c r="A3625" s="28"/>
      <c r="B3625" s="12" t="str">
        <f>IFERROR(VLOOKUP(D3625,'[1]Перечень товаров'!$A$2:$I9525,2,0),"")</f>
        <v>д556</v>
      </c>
      <c r="C3625" s="12" t="str">
        <f>IFERROR(VLOOKUP(D3625,'[1]Перечень товаров'!$A$2:$I9525,3,0),"")</f>
        <v>дидактика</v>
      </c>
      <c r="D3625" s="29" t="s">
        <v>993</v>
      </c>
      <c r="E3625" s="30"/>
      <c r="F3625" s="30"/>
      <c r="G3625" s="31">
        <v>1</v>
      </c>
      <c r="H3625" s="31"/>
      <c r="I3625" s="32"/>
      <c r="J3625" s="32"/>
      <c r="K3625" s="19"/>
      <c r="L3625" s="20"/>
      <c r="M3625" s="10"/>
      <c r="N3625" s="10"/>
      <c r="O3625" s="10"/>
      <c r="P3625" s="10"/>
      <c r="Q3625" s="10"/>
      <c r="R3625" s="10"/>
      <c r="S3625" s="10"/>
      <c r="T3625" s="10"/>
      <c r="U3625" s="10"/>
      <c r="V3625" s="10"/>
      <c r="W3625" s="10"/>
      <c r="X3625" s="10"/>
      <c r="Y3625" s="10"/>
      <c r="Z3625" s="10"/>
      <c r="AA3625" s="10"/>
      <c r="AB3625" s="10"/>
      <c r="AC3625" s="10"/>
      <c r="AD3625" s="10"/>
      <c r="AE3625" s="10"/>
      <c r="AF3625" s="10"/>
      <c r="AG3625" s="10"/>
      <c r="AH3625" s="10"/>
    </row>
    <row r="3626" spans="1:34" ht="31.5" outlineLevel="2">
      <c r="A3626" s="28"/>
      <c r="B3626" s="12" t="str">
        <f>IFERROR(VLOOKUP(D3626,'[1]Перечень товаров'!$A$2:$I9525,2,0),"")</f>
        <v>пм212</v>
      </c>
      <c r="C3626" s="12" t="str">
        <f>IFERROR(VLOOKUP(D3626,'[1]Перечень товаров'!$A$2:$I9525,3,0),"")</f>
        <v>прочее муз</v>
      </c>
      <c r="D3626" s="29" t="s">
        <v>994</v>
      </c>
      <c r="E3626" s="30"/>
      <c r="F3626" s="30"/>
      <c r="G3626" s="31">
        <v>1</v>
      </c>
      <c r="H3626" s="31"/>
      <c r="I3626" s="32"/>
      <c r="J3626" s="32"/>
      <c r="K3626" s="19"/>
      <c r="L3626" s="20"/>
      <c r="M3626" s="10"/>
      <c r="N3626" s="10"/>
      <c r="O3626" s="10"/>
      <c r="P3626" s="10"/>
      <c r="Q3626" s="10"/>
      <c r="R3626" s="10"/>
      <c r="S3626" s="10"/>
      <c r="T3626" s="10"/>
      <c r="U3626" s="10"/>
      <c r="V3626" s="10"/>
      <c r="W3626" s="10"/>
      <c r="X3626" s="10"/>
      <c r="Y3626" s="10"/>
      <c r="Z3626" s="10"/>
      <c r="AA3626" s="10"/>
      <c r="AB3626" s="10"/>
      <c r="AC3626" s="10"/>
      <c r="AD3626" s="10"/>
      <c r="AE3626" s="10"/>
      <c r="AF3626" s="10"/>
      <c r="AG3626" s="10"/>
      <c r="AH3626" s="10"/>
    </row>
    <row r="3627" spans="1:34" outlineLevel="2">
      <c r="A3627" s="28"/>
      <c r="B3627" s="12" t="str">
        <f>IFERROR(VLOOKUP(D3627,'[1]Перечень товаров'!$A$2:$I9525,2,0),"")</f>
        <v>пм211</v>
      </c>
      <c r="C3627" s="12" t="str">
        <f>IFERROR(VLOOKUP(D3627,'[1]Перечень товаров'!$A$2:$I9525,3,0),"")</f>
        <v>прочее муз</v>
      </c>
      <c r="D3627" s="29" t="s">
        <v>995</v>
      </c>
      <c r="E3627" s="30"/>
      <c r="F3627" s="30"/>
      <c r="G3627" s="31">
        <v>2</v>
      </c>
      <c r="H3627" s="31"/>
      <c r="I3627" s="32"/>
      <c r="J3627" s="32"/>
      <c r="K3627" s="19"/>
      <c r="L3627" s="20"/>
      <c r="M3627" s="10"/>
      <c r="N3627" s="10"/>
      <c r="O3627" s="10"/>
      <c r="P3627" s="10"/>
      <c r="Q3627" s="10"/>
      <c r="R3627" s="10"/>
      <c r="S3627" s="10"/>
      <c r="T3627" s="10"/>
      <c r="U3627" s="10"/>
      <c r="V3627" s="10"/>
      <c r="W3627" s="10"/>
      <c r="X3627" s="10"/>
      <c r="Y3627" s="10"/>
      <c r="Z3627" s="10"/>
      <c r="AA3627" s="10"/>
      <c r="AB3627" s="10"/>
      <c r="AC3627" s="10"/>
      <c r="AD3627" s="10"/>
      <c r="AE3627" s="10"/>
      <c r="AF3627" s="10"/>
      <c r="AG3627" s="10"/>
      <c r="AH3627" s="10"/>
    </row>
    <row r="3628" spans="1:34" ht="31.5" outlineLevel="2">
      <c r="A3628" s="28"/>
      <c r="B3628" s="12" t="str">
        <f>IFERROR(VLOOKUP(D3628,'[1]Перечень товаров'!$A$2:$I9525,2,0),"")</f>
        <v>пм210</v>
      </c>
      <c r="C3628" s="12" t="str">
        <f>IFERROR(VLOOKUP(D3628,'[1]Перечень товаров'!$A$2:$I9525,3,0),"")</f>
        <v>прочее муз</v>
      </c>
      <c r="D3628" s="29" t="s">
        <v>996</v>
      </c>
      <c r="E3628" s="30"/>
      <c r="F3628" s="30"/>
      <c r="G3628" s="31">
        <v>1</v>
      </c>
      <c r="H3628" s="31"/>
      <c r="I3628" s="32"/>
      <c r="J3628" s="32"/>
      <c r="K3628" s="19"/>
      <c r="L3628" s="20"/>
      <c r="M3628" s="10"/>
      <c r="N3628" s="10"/>
      <c r="O3628" s="10"/>
      <c r="P3628" s="10"/>
      <c r="Q3628" s="10"/>
      <c r="R3628" s="10"/>
      <c r="S3628" s="10"/>
      <c r="T3628" s="10"/>
      <c r="U3628" s="10"/>
      <c r="V3628" s="10"/>
      <c r="W3628" s="10"/>
      <c r="X3628" s="10"/>
      <c r="Y3628" s="10"/>
      <c r="Z3628" s="10"/>
      <c r="AA3628" s="10"/>
      <c r="AB3628" s="10"/>
      <c r="AC3628" s="10"/>
      <c r="AD3628" s="10"/>
      <c r="AE3628" s="10"/>
      <c r="AF3628" s="10"/>
      <c r="AG3628" s="10"/>
      <c r="AH3628" s="10"/>
    </row>
    <row r="3629" spans="1:34" ht="15" outlineLevel="2">
      <c r="A3629" s="109"/>
      <c r="B3629" s="12" t="str">
        <f>IFERROR(VLOOKUP(D3629,'[1]Перечень товаров'!$A$2:$I9525,2,0),"")</f>
        <v/>
      </c>
      <c r="C3629" s="12" t="str">
        <f>IFERROR(VLOOKUP(D3629,'[1]Перечень товаров'!$A$2:$I9525,3,0),"")</f>
        <v/>
      </c>
      <c r="D3629" s="110" t="s">
        <v>27</v>
      </c>
      <c r="E3629" s="115"/>
      <c r="F3629" s="115"/>
      <c r="G3629" s="211"/>
      <c r="H3629" s="211"/>
      <c r="I3629" s="212"/>
      <c r="J3629" s="212"/>
      <c r="K3629" s="19"/>
      <c r="L3629" s="20"/>
      <c r="M3629" s="10"/>
      <c r="N3629" s="10"/>
      <c r="O3629" s="10"/>
      <c r="P3629" s="10"/>
      <c r="Q3629" s="10"/>
      <c r="R3629" s="10"/>
      <c r="S3629" s="10"/>
      <c r="T3629" s="10"/>
      <c r="U3629" s="10"/>
      <c r="V3629" s="10"/>
      <c r="W3629" s="10"/>
      <c r="X3629" s="10"/>
      <c r="Y3629" s="10"/>
      <c r="Z3629" s="10"/>
      <c r="AA3629" s="10"/>
      <c r="AB3629" s="10"/>
      <c r="AC3629" s="10"/>
      <c r="AD3629" s="10"/>
      <c r="AE3629" s="10"/>
      <c r="AF3629" s="10"/>
      <c r="AG3629" s="10"/>
      <c r="AH3629" s="10"/>
    </row>
    <row r="3630" spans="1:34" outlineLevel="2">
      <c r="A3630" s="21"/>
      <c r="B3630" s="12" t="str">
        <f>IFERROR(VLOOKUP(D3630,'[1]Перечень товаров'!$A$2:$I9525,2,0),"")</f>
        <v>т1</v>
      </c>
      <c r="C3630" s="12" t="str">
        <f>IFERROR(VLOOKUP(D3630,'[1]Перечень товаров'!$A$2:$I9525,3,0),"")</f>
        <v xml:space="preserve">Техника </v>
      </c>
      <c r="D3630" s="22" t="s">
        <v>28</v>
      </c>
      <c r="E3630" s="88"/>
      <c r="F3630" s="88"/>
      <c r="G3630" s="48">
        <v>1</v>
      </c>
      <c r="H3630" s="48"/>
      <c r="I3630" s="49"/>
      <c r="J3630" s="49"/>
      <c r="K3630" s="19"/>
      <c r="L3630" s="20"/>
      <c r="M3630" s="10"/>
      <c r="N3630" s="10"/>
      <c r="O3630" s="10"/>
      <c r="P3630" s="10"/>
      <c r="Q3630" s="10"/>
      <c r="R3630" s="10"/>
      <c r="S3630" s="10"/>
      <c r="T3630" s="10"/>
      <c r="U3630" s="10"/>
      <c r="V3630" s="10"/>
      <c r="W3630" s="10"/>
      <c r="X3630" s="10"/>
      <c r="Y3630" s="10"/>
      <c r="Z3630" s="10"/>
      <c r="AA3630" s="10"/>
      <c r="AB3630" s="10"/>
      <c r="AC3630" s="10"/>
      <c r="AD3630" s="10"/>
      <c r="AE3630" s="10"/>
      <c r="AF3630" s="10"/>
      <c r="AG3630" s="10"/>
      <c r="AH3630" s="10"/>
    </row>
    <row r="3631" spans="1:34" outlineLevel="2">
      <c r="A3631" s="22"/>
      <c r="B3631" s="12" t="str">
        <f>IFERROR(VLOOKUP(D3631,'[1]Перечень товаров'!$A$2:$I9525,2,0),"")</f>
        <v>т9</v>
      </c>
      <c r="C3631" s="12" t="str">
        <f>IFERROR(VLOOKUP(D3631,'[1]Перечень товаров'!$A$2:$I9525,3,0),"")</f>
        <v>Техника</v>
      </c>
      <c r="D3631" s="22" t="s">
        <v>36</v>
      </c>
      <c r="E3631" s="88"/>
      <c r="F3631" s="88"/>
      <c r="G3631" s="48">
        <v>1</v>
      </c>
      <c r="H3631" s="48"/>
      <c r="I3631" s="49"/>
      <c r="J3631" s="49"/>
      <c r="K3631" s="19"/>
      <c r="L3631" s="20"/>
      <c r="M3631" s="10"/>
      <c r="N3631" s="10"/>
      <c r="O3631" s="10"/>
      <c r="P3631" s="10"/>
      <c r="Q3631" s="10"/>
      <c r="R3631" s="10"/>
      <c r="S3631" s="10"/>
      <c r="T3631" s="10"/>
      <c r="U3631" s="10"/>
      <c r="V3631" s="10"/>
      <c r="W3631" s="10"/>
      <c r="X3631" s="10"/>
      <c r="Y3631" s="10"/>
      <c r="Z3631" s="10"/>
      <c r="AA3631" s="10"/>
      <c r="AB3631" s="10"/>
      <c r="AC3631" s="10"/>
      <c r="AD3631" s="10"/>
      <c r="AE3631" s="10"/>
      <c r="AF3631" s="10"/>
      <c r="AG3631" s="10"/>
      <c r="AH3631" s="10"/>
    </row>
    <row r="3632" spans="1:34" outlineLevel="2">
      <c r="A3632" s="35"/>
      <c r="B3632" s="12" t="str">
        <f>IFERROR(VLOOKUP(D3632,'[1]Перечень товаров'!$A$2:$I9525,2,0),"")</f>
        <v>т2</v>
      </c>
      <c r="C3632" s="12" t="str">
        <f>IFERROR(VLOOKUP(D3632,'[1]Перечень товаров'!$A$2:$I9525,3,0),"")</f>
        <v xml:space="preserve">Техника </v>
      </c>
      <c r="D3632" s="35" t="s">
        <v>29</v>
      </c>
      <c r="E3632" s="88"/>
      <c r="F3632" s="88"/>
      <c r="G3632" s="48">
        <v>1</v>
      </c>
      <c r="H3632" s="48"/>
      <c r="I3632" s="49"/>
      <c r="J3632" s="49"/>
      <c r="K3632" s="19"/>
      <c r="L3632" s="20"/>
      <c r="M3632" s="10"/>
      <c r="N3632" s="10"/>
      <c r="O3632" s="10"/>
      <c r="P3632" s="10"/>
      <c r="Q3632" s="10"/>
      <c r="R3632" s="10"/>
      <c r="S3632" s="10"/>
      <c r="T3632" s="10"/>
      <c r="U3632" s="10"/>
      <c r="V3632" s="10"/>
      <c r="W3632" s="10"/>
      <c r="X3632" s="10"/>
      <c r="Y3632" s="10"/>
      <c r="Z3632" s="10"/>
      <c r="AA3632" s="10"/>
      <c r="AB3632" s="10"/>
      <c r="AC3632" s="10"/>
      <c r="AD3632" s="10"/>
      <c r="AE3632" s="10"/>
      <c r="AF3632" s="10"/>
      <c r="AG3632" s="10"/>
      <c r="AH3632" s="10"/>
    </row>
    <row r="3633" spans="1:34" outlineLevel="2">
      <c r="A3633" s="35"/>
      <c r="B3633" s="12" t="str">
        <f>IFERROR(VLOOKUP(D3633,'[1]Перечень товаров'!$A$2:$I9525,2,0),"")</f>
        <v>т3</v>
      </c>
      <c r="C3633" s="12" t="str">
        <f>IFERROR(VLOOKUP(D3633,'[1]Перечень товаров'!$A$2:$I9525,3,0),"")</f>
        <v xml:space="preserve">Техника </v>
      </c>
      <c r="D3633" s="35" t="s">
        <v>30</v>
      </c>
      <c r="E3633" s="88"/>
      <c r="F3633" s="88"/>
      <c r="G3633" s="48">
        <v>1</v>
      </c>
      <c r="H3633" s="48"/>
      <c r="I3633" s="49"/>
      <c r="J3633" s="49"/>
      <c r="K3633" s="19"/>
      <c r="L3633" s="20"/>
      <c r="M3633" s="10"/>
      <c r="N3633" s="10"/>
      <c r="O3633" s="10"/>
      <c r="P3633" s="10"/>
      <c r="Q3633" s="10"/>
      <c r="R3633" s="10"/>
      <c r="S3633" s="10"/>
      <c r="T3633" s="10"/>
      <c r="U3633" s="10"/>
      <c r="V3633" s="10"/>
      <c r="W3633" s="10"/>
      <c r="X3633" s="10"/>
      <c r="Y3633" s="10"/>
      <c r="Z3633" s="10"/>
      <c r="AA3633" s="10"/>
      <c r="AB3633" s="10"/>
      <c r="AC3633" s="10"/>
      <c r="AD3633" s="10"/>
      <c r="AE3633" s="10"/>
      <c r="AF3633" s="10"/>
      <c r="AG3633" s="10"/>
      <c r="AH3633" s="10"/>
    </row>
    <row r="3634" spans="1:34" outlineLevel="2">
      <c r="A3634" s="35"/>
      <c r="B3634" s="12" t="str">
        <f>IFERROR(VLOOKUP(D3634,'[1]Перечень товаров'!$A$2:$I9525,2,0),"")</f>
        <v>т4</v>
      </c>
      <c r="C3634" s="12" t="str">
        <f>IFERROR(VLOOKUP(D3634,'[1]Перечень товаров'!$A$2:$I9525,3,0),"")</f>
        <v xml:space="preserve">Техника </v>
      </c>
      <c r="D3634" s="35" t="s">
        <v>31</v>
      </c>
      <c r="E3634" s="88"/>
      <c r="F3634" s="88"/>
      <c r="G3634" s="48">
        <v>1</v>
      </c>
      <c r="H3634" s="48"/>
      <c r="I3634" s="49"/>
      <c r="J3634" s="49"/>
      <c r="K3634" s="19"/>
      <c r="L3634" s="20"/>
      <c r="M3634" s="10"/>
      <c r="N3634" s="10"/>
      <c r="O3634" s="10"/>
      <c r="P3634" s="10"/>
      <c r="Q3634" s="10"/>
      <c r="R3634" s="10"/>
      <c r="S3634" s="10"/>
      <c r="T3634" s="10"/>
      <c r="U3634" s="10"/>
      <c r="V3634" s="10"/>
      <c r="W3634" s="10"/>
      <c r="X3634" s="10"/>
      <c r="Y3634" s="10"/>
      <c r="Z3634" s="10"/>
      <c r="AA3634" s="10"/>
      <c r="AB3634" s="10"/>
      <c r="AC3634" s="10"/>
      <c r="AD3634" s="10"/>
      <c r="AE3634" s="10"/>
      <c r="AF3634" s="10"/>
      <c r="AG3634" s="10"/>
      <c r="AH3634" s="10"/>
    </row>
    <row r="3635" spans="1:34" outlineLevel="2">
      <c r="A3635" s="21"/>
      <c r="B3635" s="12" t="str">
        <f>IFERROR(VLOOKUP(D3635,'[1]Перечень товаров'!$A$2:$I9525,2,0),"")</f>
        <v>тм65</v>
      </c>
      <c r="C3635" s="12" t="str">
        <f>IFERROR(VLOOKUP(D3635,'[1]Перечень товаров'!$A$2:$I9525,3,0),"")</f>
        <v>Техника муз</v>
      </c>
      <c r="D3635" s="22" t="s">
        <v>380</v>
      </c>
      <c r="E3635" s="88"/>
      <c r="F3635" s="88"/>
      <c r="G3635" s="48">
        <v>1</v>
      </c>
      <c r="H3635" s="48"/>
      <c r="I3635" s="49"/>
      <c r="J3635" s="49"/>
      <c r="K3635" s="19"/>
      <c r="L3635" s="20"/>
      <c r="M3635" s="10"/>
      <c r="N3635" s="10"/>
      <c r="O3635" s="10"/>
      <c r="P3635" s="10"/>
      <c r="Q3635" s="10"/>
      <c r="R3635" s="10"/>
      <c r="S3635" s="10"/>
      <c r="T3635" s="10"/>
      <c r="U3635" s="10"/>
      <c r="V3635" s="10"/>
      <c r="W3635" s="10"/>
      <c r="X3635" s="10"/>
      <c r="Y3635" s="10"/>
      <c r="Z3635" s="10"/>
      <c r="AA3635" s="10"/>
      <c r="AB3635" s="10"/>
      <c r="AC3635" s="10"/>
      <c r="AD3635" s="10"/>
      <c r="AE3635" s="10"/>
      <c r="AF3635" s="10"/>
      <c r="AG3635" s="10"/>
      <c r="AH3635" s="10"/>
    </row>
    <row r="3636" spans="1:34" outlineLevel="2">
      <c r="A3636" s="21"/>
      <c r="B3636" s="12" t="str">
        <f>IFERROR(VLOOKUP(D3636,'[1]Перечень товаров'!$A$2:$I9525,2,0),"")</f>
        <v>т12</v>
      </c>
      <c r="C3636" s="12" t="str">
        <f>IFERROR(VLOOKUP(D3636,'[1]Перечень товаров'!$A$2:$I9525,3,0),"")</f>
        <v>Техника</v>
      </c>
      <c r="D3636" s="22" t="s">
        <v>49</v>
      </c>
      <c r="E3636" s="88"/>
      <c r="F3636" s="88"/>
      <c r="G3636" s="48">
        <v>1</v>
      </c>
      <c r="H3636" s="48"/>
      <c r="I3636" s="49"/>
      <c r="J3636" s="49"/>
      <c r="K3636" s="19"/>
      <c r="L3636" s="20"/>
      <c r="M3636" s="10"/>
      <c r="N3636" s="10"/>
      <c r="O3636" s="10"/>
      <c r="P3636" s="10"/>
      <c r="Q3636" s="10"/>
      <c r="R3636" s="10"/>
      <c r="S3636" s="10"/>
      <c r="T3636" s="10"/>
      <c r="U3636" s="10"/>
      <c r="V3636" s="10"/>
      <c r="W3636" s="10"/>
      <c r="X3636" s="10"/>
      <c r="Y3636" s="10"/>
      <c r="Z3636" s="10"/>
      <c r="AA3636" s="10"/>
      <c r="AB3636" s="10"/>
      <c r="AC3636" s="10"/>
      <c r="AD3636" s="10"/>
      <c r="AE3636" s="10"/>
      <c r="AF3636" s="10"/>
      <c r="AG3636" s="10"/>
      <c r="AH3636" s="10"/>
    </row>
    <row r="3637" spans="1:34" outlineLevel="2">
      <c r="A3637" s="35"/>
      <c r="B3637" s="12" t="str">
        <f>IFERROR(VLOOKUP(D3637,'[1]Перечень товаров'!$A$2:$I9525,2,0),"")</f>
        <v>т6</v>
      </c>
      <c r="C3637" s="12" t="str">
        <f>IFERROR(VLOOKUP(D3637,'[1]Перечень товаров'!$A$2:$I9525,3,0),"")</f>
        <v xml:space="preserve">Техника </v>
      </c>
      <c r="D3637" s="35" t="s">
        <v>33</v>
      </c>
      <c r="E3637" s="88"/>
      <c r="F3637" s="88"/>
      <c r="G3637" s="48">
        <v>1</v>
      </c>
      <c r="H3637" s="48"/>
      <c r="I3637" s="49"/>
      <c r="J3637" s="49"/>
      <c r="K3637" s="19"/>
      <c r="L3637" s="20"/>
      <c r="M3637" s="10"/>
      <c r="N3637" s="10"/>
      <c r="O3637" s="10"/>
      <c r="P3637" s="10"/>
      <c r="Q3637" s="10"/>
      <c r="R3637" s="10"/>
      <c r="S3637" s="10"/>
      <c r="T3637" s="10"/>
      <c r="U3637" s="10"/>
      <c r="V3637" s="10"/>
      <c r="W3637" s="10"/>
      <c r="X3637" s="10"/>
      <c r="Y3637" s="10"/>
      <c r="Z3637" s="10"/>
      <c r="AA3637" s="10"/>
      <c r="AB3637" s="10"/>
      <c r="AC3637" s="10"/>
      <c r="AD3637" s="10"/>
      <c r="AE3637" s="10"/>
      <c r="AF3637" s="10"/>
      <c r="AG3637" s="10"/>
      <c r="AH3637" s="10"/>
    </row>
    <row r="3638" spans="1:34" outlineLevel="2">
      <c r="A3638" s="22"/>
      <c r="B3638" s="12" t="str">
        <f>IFERROR(VLOOKUP(D3638,'[1]Перечень товаров'!$A$2:$I9525,2,0),"")</f>
        <v>т7</v>
      </c>
      <c r="C3638" s="12" t="str">
        <f>IFERROR(VLOOKUP(D3638,'[1]Перечень товаров'!$A$2:$I9525,3,0),"")</f>
        <v xml:space="preserve">Техника </v>
      </c>
      <c r="D3638" s="22" t="s">
        <v>34</v>
      </c>
      <c r="E3638" s="88"/>
      <c r="F3638" s="88"/>
      <c r="G3638" s="48">
        <v>3</v>
      </c>
      <c r="H3638" s="48"/>
      <c r="I3638" s="49"/>
      <c r="J3638" s="49"/>
      <c r="K3638" s="19"/>
      <c r="L3638" s="20"/>
      <c r="M3638" s="10"/>
      <c r="N3638" s="10"/>
      <c r="O3638" s="10"/>
      <c r="P3638" s="10"/>
      <c r="Q3638" s="10"/>
      <c r="R3638" s="10"/>
      <c r="S3638" s="10"/>
      <c r="T3638" s="10"/>
      <c r="U3638" s="10"/>
      <c r="V3638" s="10"/>
      <c r="W3638" s="10"/>
      <c r="X3638" s="10"/>
      <c r="Y3638" s="10"/>
      <c r="Z3638" s="10"/>
      <c r="AA3638" s="10"/>
      <c r="AB3638" s="10"/>
      <c r="AC3638" s="10"/>
      <c r="AD3638" s="10"/>
      <c r="AE3638" s="10"/>
      <c r="AF3638" s="10"/>
      <c r="AG3638" s="10"/>
      <c r="AH3638" s="10"/>
    </row>
    <row r="3639" spans="1:34" outlineLevel="2">
      <c r="A3639" s="35"/>
      <c r="B3639" s="12" t="str">
        <f>IFERROR(VLOOKUP(D3639,'[1]Перечень товаров'!$A$2:$I9525,2,0),"")</f>
        <v>т161</v>
      </c>
      <c r="C3639" s="12" t="str">
        <f>IFERROR(VLOOKUP(D3639,'[1]Перечень товаров'!$A$2:$I9525,3,0),"")</f>
        <v xml:space="preserve">Техника </v>
      </c>
      <c r="D3639" s="29" t="s">
        <v>381</v>
      </c>
      <c r="E3639" s="88"/>
      <c r="F3639" s="88"/>
      <c r="G3639" s="159">
        <v>1</v>
      </c>
      <c r="H3639" s="159"/>
      <c r="I3639" s="160"/>
      <c r="J3639" s="160"/>
      <c r="K3639" s="19"/>
      <c r="L3639" s="20"/>
      <c r="M3639" s="10"/>
      <c r="N3639" s="10"/>
      <c r="O3639" s="10"/>
      <c r="P3639" s="10"/>
      <c r="Q3639" s="10"/>
      <c r="R3639" s="10"/>
      <c r="S3639" s="10"/>
      <c r="T3639" s="10"/>
      <c r="U3639" s="10"/>
      <c r="V3639" s="10"/>
      <c r="W3639" s="10"/>
      <c r="X3639" s="10"/>
      <c r="Y3639" s="10"/>
      <c r="Z3639" s="10"/>
      <c r="AA3639" s="10"/>
      <c r="AB3639" s="10"/>
      <c r="AC3639" s="10"/>
      <c r="AD3639" s="10"/>
      <c r="AE3639" s="10"/>
      <c r="AF3639" s="10"/>
      <c r="AG3639" s="10"/>
      <c r="AH3639" s="10"/>
    </row>
    <row r="3640" spans="1:34" outlineLevel="2">
      <c r="A3640" s="114"/>
      <c r="B3640" s="12" t="str">
        <f>IFERROR(VLOOKUP(D3640,'[1]Перечень товаров'!$A$2:$I9525,2,0),"")</f>
        <v/>
      </c>
      <c r="C3640" s="12" t="str">
        <f>IFERROR(VLOOKUP(D3640,'[1]Перечень товаров'!$A$2:$I9525,3,0),"")</f>
        <v/>
      </c>
      <c r="D3640" s="114" t="s">
        <v>19</v>
      </c>
      <c r="E3640" s="115"/>
      <c r="F3640" s="115"/>
      <c r="G3640" s="157"/>
      <c r="H3640" s="157"/>
      <c r="I3640" s="158"/>
      <c r="J3640" s="158"/>
      <c r="K3640" s="19"/>
      <c r="L3640" s="20"/>
      <c r="M3640" s="10"/>
      <c r="N3640" s="10"/>
      <c r="O3640" s="10"/>
      <c r="P3640" s="10"/>
      <c r="Q3640" s="10"/>
      <c r="R3640" s="10"/>
      <c r="S3640" s="10"/>
      <c r="T3640" s="10"/>
      <c r="U3640" s="10"/>
      <c r="V3640" s="10"/>
      <c r="W3640" s="10"/>
      <c r="X3640" s="10"/>
      <c r="Y3640" s="10"/>
      <c r="Z3640" s="10"/>
      <c r="AA3640" s="10"/>
      <c r="AB3640" s="10"/>
      <c r="AC3640" s="10"/>
      <c r="AD3640" s="10"/>
      <c r="AE3640" s="10"/>
      <c r="AF3640" s="10"/>
      <c r="AG3640" s="10"/>
      <c r="AH3640" s="10"/>
    </row>
    <row r="3641" spans="1:34" outlineLevel="2">
      <c r="A3641" s="34"/>
      <c r="B3641" s="12" t="str">
        <f>IFERROR(VLOOKUP(D3641,'[1]Перечень товаров'!$A$2:$I9525,2,0),"")</f>
        <v>м62</v>
      </c>
      <c r="C3641" s="12" t="str">
        <f>IFERROR(VLOOKUP(D3641,'[1]Перечень товаров'!$A$2:$I9525,3,0),"")</f>
        <v>Мебель</v>
      </c>
      <c r="D3641" s="35" t="s">
        <v>398</v>
      </c>
      <c r="E3641" s="88"/>
      <c r="F3641" s="88"/>
      <c r="G3641" s="59">
        <v>1</v>
      </c>
      <c r="H3641" s="59"/>
      <c r="I3641" s="60"/>
      <c r="J3641" s="60"/>
      <c r="K3641" s="19"/>
      <c r="L3641" s="20"/>
      <c r="M3641" s="10"/>
      <c r="N3641" s="10"/>
      <c r="O3641" s="10"/>
      <c r="P3641" s="10"/>
      <c r="Q3641" s="10"/>
      <c r="R3641" s="10"/>
      <c r="S3641" s="10"/>
      <c r="T3641" s="10"/>
      <c r="U3641" s="10"/>
      <c r="V3641" s="10"/>
      <c r="W3641" s="10"/>
      <c r="X3641" s="10"/>
      <c r="Y3641" s="10"/>
      <c r="Z3641" s="10"/>
      <c r="AA3641" s="10"/>
      <c r="AB3641" s="10"/>
      <c r="AC3641" s="10"/>
      <c r="AD3641" s="10"/>
      <c r="AE3641" s="10"/>
      <c r="AF3641" s="10"/>
      <c r="AG3641" s="10"/>
      <c r="AH3641" s="10"/>
    </row>
    <row r="3642" spans="1:34" outlineLevel="2">
      <c r="A3642" s="34"/>
      <c r="B3642" s="12" t="str">
        <f>IFERROR(VLOOKUP(D3642,'[1]Перечень товаров'!$A$2:$I9525,2,0),"")</f>
        <v>м61</v>
      </c>
      <c r="C3642" s="12" t="str">
        <f>IFERROR(VLOOKUP(D3642,'[1]Перечень товаров'!$A$2:$I9525,3,0),"")</f>
        <v>Мебель</v>
      </c>
      <c r="D3642" s="35" t="s">
        <v>383</v>
      </c>
      <c r="E3642" s="88"/>
      <c r="F3642" s="88"/>
      <c r="G3642" s="59">
        <v>1</v>
      </c>
      <c r="H3642" s="59"/>
      <c r="I3642" s="60"/>
      <c r="J3642" s="60"/>
      <c r="K3642" s="19"/>
      <c r="L3642" s="20"/>
      <c r="M3642" s="10"/>
      <c r="N3642" s="10"/>
      <c r="O3642" s="10"/>
      <c r="P3642" s="10"/>
      <c r="Q3642" s="10"/>
      <c r="R3642" s="10"/>
      <c r="S3642" s="10"/>
      <c r="T3642" s="10"/>
      <c r="U3642" s="10"/>
      <c r="V3642" s="10"/>
      <c r="W3642" s="10"/>
      <c r="X3642" s="10"/>
      <c r="Y3642" s="10"/>
      <c r="Z3642" s="10"/>
      <c r="AA3642" s="10"/>
      <c r="AB3642" s="10"/>
      <c r="AC3642" s="10"/>
      <c r="AD3642" s="10"/>
      <c r="AE3642" s="10"/>
      <c r="AF3642" s="10"/>
      <c r="AG3642" s="10"/>
      <c r="AH3642" s="10"/>
    </row>
    <row r="3643" spans="1:34" outlineLevel="2">
      <c r="A3643" s="213"/>
      <c r="B3643" s="12" t="str">
        <f>IFERROR(VLOOKUP(D3643,'[1]Перечень товаров'!$A$2:$I9525,2,0),"")</f>
        <v>м176</v>
      </c>
      <c r="C3643" s="12" t="str">
        <f>IFERROR(VLOOKUP(D3643,'[1]Перечень товаров'!$A$2:$I9525,3,0),"")</f>
        <v>мебель</v>
      </c>
      <c r="D3643" s="214" t="s">
        <v>998</v>
      </c>
      <c r="E3643" s="88"/>
      <c r="F3643" s="88"/>
      <c r="G3643" s="159">
        <v>4</v>
      </c>
      <c r="H3643" s="159"/>
      <c r="I3643" s="160"/>
      <c r="J3643" s="160"/>
      <c r="K3643" s="19"/>
      <c r="L3643" s="20"/>
      <c r="M3643" s="10"/>
      <c r="N3643" s="10"/>
      <c r="O3643" s="10"/>
      <c r="P3643" s="10"/>
      <c r="Q3643" s="10"/>
      <c r="R3643" s="10"/>
      <c r="S3643" s="10"/>
      <c r="T3643" s="10"/>
      <c r="U3643" s="10"/>
      <c r="V3643" s="10"/>
      <c r="W3643" s="10"/>
      <c r="X3643" s="10"/>
      <c r="Y3643" s="10"/>
      <c r="Z3643" s="10"/>
      <c r="AA3643" s="10"/>
      <c r="AB3643" s="10"/>
      <c r="AC3643" s="10"/>
      <c r="AD3643" s="10"/>
      <c r="AE3643" s="10"/>
      <c r="AF3643" s="10"/>
      <c r="AG3643" s="10"/>
      <c r="AH3643" s="10"/>
    </row>
    <row r="3644" spans="1:34" outlineLevel="2">
      <c r="A3644" s="34"/>
      <c r="B3644" s="12" t="str">
        <f>IFERROR(VLOOKUP(D3644,'[1]Перечень товаров'!$A$2:$I9525,2,0),"")</f>
        <v>м61</v>
      </c>
      <c r="C3644" s="12" t="str">
        <f>IFERROR(VLOOKUP(D3644,'[1]Перечень товаров'!$A$2:$I9525,3,0),"")</f>
        <v>Мебель</v>
      </c>
      <c r="D3644" s="35" t="s">
        <v>384</v>
      </c>
      <c r="E3644" s="88"/>
      <c r="F3644" s="88"/>
      <c r="G3644" s="159">
        <v>4</v>
      </c>
      <c r="H3644" s="159"/>
      <c r="I3644" s="160"/>
      <c r="J3644" s="160"/>
      <c r="K3644" s="19"/>
      <c r="L3644" s="20"/>
      <c r="M3644" s="10"/>
      <c r="N3644" s="10"/>
      <c r="O3644" s="10"/>
      <c r="P3644" s="10"/>
      <c r="Q3644" s="10"/>
      <c r="R3644" s="10"/>
      <c r="S3644" s="10"/>
      <c r="T3644" s="10"/>
      <c r="U3644" s="10"/>
      <c r="V3644" s="10"/>
      <c r="W3644" s="10"/>
      <c r="X3644" s="10"/>
      <c r="Y3644" s="10"/>
      <c r="Z3644" s="10"/>
      <c r="AA3644" s="10"/>
      <c r="AB3644" s="10"/>
      <c r="AC3644" s="10"/>
      <c r="AD3644" s="10"/>
      <c r="AE3644" s="10"/>
      <c r="AF3644" s="10"/>
      <c r="AG3644" s="10"/>
      <c r="AH3644" s="10"/>
    </row>
    <row r="3645" spans="1:34" outlineLevel="2">
      <c r="A3645" s="22"/>
      <c r="B3645" s="12" t="str">
        <f>IFERROR(VLOOKUP(D3645,'[1]Перечень товаров'!$A$2:$I9525,2,0),"")</f>
        <v>м13</v>
      </c>
      <c r="C3645" s="12" t="str">
        <f>IFERROR(VLOOKUP(D3645,'[1]Перечень товаров'!$A$2:$I9525,3,0),"")</f>
        <v>Мебель</v>
      </c>
      <c r="D3645" s="22" t="s">
        <v>42</v>
      </c>
      <c r="E3645" s="88"/>
      <c r="F3645" s="88"/>
      <c r="G3645" s="48">
        <v>1</v>
      </c>
      <c r="H3645" s="48"/>
      <c r="I3645" s="49"/>
      <c r="J3645" s="49"/>
      <c r="K3645" s="19"/>
      <c r="L3645" s="20"/>
      <c r="M3645" s="10"/>
      <c r="N3645" s="10"/>
      <c r="O3645" s="10"/>
      <c r="P3645" s="10"/>
      <c r="Q3645" s="10"/>
      <c r="R3645" s="10"/>
      <c r="S3645" s="10"/>
      <c r="T3645" s="10"/>
      <c r="U3645" s="10"/>
      <c r="V3645" s="10"/>
      <c r="W3645" s="10"/>
      <c r="X3645" s="10"/>
      <c r="Y3645" s="10"/>
      <c r="Z3645" s="10"/>
      <c r="AA3645" s="10"/>
      <c r="AB3645" s="10"/>
      <c r="AC3645" s="10"/>
      <c r="AD3645" s="10"/>
      <c r="AE3645" s="10"/>
      <c r="AF3645" s="10"/>
      <c r="AG3645" s="10"/>
      <c r="AH3645" s="10"/>
    </row>
    <row r="3646" spans="1:34" outlineLevel="2">
      <c r="A3646" s="21"/>
      <c r="B3646" s="12" t="str">
        <f>IFERROR(VLOOKUP(D3646,'[1]Перечень товаров'!$A$2:$I9525,2,0),"")</f>
        <v>м14</v>
      </c>
      <c r="C3646" s="12" t="str">
        <f>IFERROR(VLOOKUP(D3646,'[1]Перечень товаров'!$A$2:$I9525,3,0),"")</f>
        <v>Мебель</v>
      </c>
      <c r="D3646" s="22" t="s">
        <v>43</v>
      </c>
      <c r="E3646" s="88"/>
      <c r="F3646" s="88"/>
      <c r="G3646" s="48">
        <v>1</v>
      </c>
      <c r="H3646" s="48"/>
      <c r="I3646" s="49"/>
      <c r="J3646" s="49"/>
      <c r="K3646" s="19"/>
      <c r="L3646" s="20"/>
      <c r="M3646" s="10"/>
      <c r="N3646" s="10"/>
      <c r="O3646" s="10"/>
      <c r="P3646" s="10"/>
      <c r="Q3646" s="10"/>
      <c r="R3646" s="10"/>
      <c r="S3646" s="10"/>
      <c r="T3646" s="10"/>
      <c r="U3646" s="10"/>
      <c r="V3646" s="10"/>
      <c r="W3646" s="10"/>
      <c r="X3646" s="10"/>
      <c r="Y3646" s="10"/>
      <c r="Z3646" s="10"/>
      <c r="AA3646" s="10"/>
      <c r="AB3646" s="10"/>
      <c r="AC3646" s="10"/>
      <c r="AD3646" s="10"/>
      <c r="AE3646" s="10"/>
      <c r="AF3646" s="10"/>
      <c r="AG3646" s="10"/>
      <c r="AH3646" s="10"/>
    </row>
    <row r="3647" spans="1:34" outlineLevel="2">
      <c r="A3647" s="21"/>
      <c r="B3647" s="12" t="str">
        <f>IFERROR(VLOOKUP(D3647,'[1]Перечень товаров'!$A$2:$I9525,2,0),"")</f>
        <v>п2</v>
      </c>
      <c r="C3647" s="12" t="str">
        <f>IFERROR(VLOOKUP(D3647,'[1]Перечень товаров'!$A$2:$I9525,3,0),"")</f>
        <v>Прочее</v>
      </c>
      <c r="D3647" s="22" t="s">
        <v>46</v>
      </c>
      <c r="E3647" s="88"/>
      <c r="F3647" s="88"/>
      <c r="G3647" s="24">
        <v>1</v>
      </c>
      <c r="H3647" s="24"/>
      <c r="I3647" s="25"/>
      <c r="J3647" s="25"/>
      <c r="K3647" s="19"/>
      <c r="L3647" s="20"/>
      <c r="M3647" s="10"/>
      <c r="N3647" s="10"/>
      <c r="O3647" s="10"/>
      <c r="P3647" s="10"/>
      <c r="Q3647" s="10"/>
      <c r="R3647" s="10"/>
      <c r="S3647" s="10"/>
      <c r="T3647" s="10"/>
      <c r="U3647" s="10"/>
      <c r="V3647" s="10"/>
      <c r="W3647" s="10"/>
      <c r="X3647" s="10"/>
      <c r="Y3647" s="10"/>
      <c r="Z3647" s="10"/>
      <c r="AA3647" s="10"/>
      <c r="AB3647" s="10"/>
      <c r="AC3647" s="10"/>
      <c r="AD3647" s="10"/>
      <c r="AE3647" s="10"/>
      <c r="AF3647" s="10"/>
      <c r="AG3647" s="10"/>
      <c r="AH3647" s="10"/>
    </row>
    <row r="3648" spans="1:34" ht="12.75" outlineLevel="1">
      <c r="A3648" s="11"/>
      <c r="B3648" s="12" t="str">
        <f>IFERROR(VLOOKUP(D3648,'[1]Перечень товаров'!$A$2:$I9525,2,0),"")</f>
        <v/>
      </c>
      <c r="C3648" s="12" t="str">
        <f>IFERROR(VLOOKUP(D3648,'[1]Перечень товаров'!$A$2:$I9525,3,0),"")</f>
        <v/>
      </c>
      <c r="D3648" s="27" t="s">
        <v>997</v>
      </c>
      <c r="E3648" s="14">
        <v>22.3</v>
      </c>
      <c r="F3648" s="14"/>
      <c r="G3648" s="17"/>
      <c r="H3648" s="17"/>
      <c r="I3648" s="57"/>
      <c r="J3648" s="57"/>
      <c r="K3648" s="19"/>
      <c r="L3648" s="20"/>
      <c r="M3648" s="10"/>
      <c r="N3648" s="10"/>
      <c r="O3648" s="10"/>
      <c r="P3648" s="10"/>
      <c r="Q3648" s="10"/>
      <c r="R3648" s="10"/>
      <c r="S3648" s="10"/>
      <c r="T3648" s="10"/>
      <c r="U3648" s="10"/>
      <c r="V3648" s="10"/>
      <c r="W3648" s="10"/>
      <c r="X3648" s="10"/>
      <c r="Y3648" s="10"/>
      <c r="Z3648" s="10"/>
      <c r="AA3648" s="10"/>
      <c r="AB3648" s="10"/>
      <c r="AC3648" s="10"/>
      <c r="AD3648" s="10"/>
      <c r="AE3648" s="10"/>
      <c r="AF3648" s="10"/>
      <c r="AG3648" s="10"/>
      <c r="AH3648" s="10"/>
    </row>
    <row r="3649" spans="1:34" outlineLevel="2">
      <c r="A3649" s="113"/>
      <c r="B3649" s="12" t="str">
        <f>IFERROR(VLOOKUP(D3649,'[1]Перечень товаров'!$A$2:$I9525,2,0),"")</f>
        <v/>
      </c>
      <c r="C3649" s="12" t="str">
        <f>IFERROR(VLOOKUP(D3649,'[1]Перечень товаров'!$A$2:$I9525,3,0),"")</f>
        <v/>
      </c>
      <c r="D3649" s="114" t="s">
        <v>391</v>
      </c>
      <c r="E3649" s="122"/>
      <c r="F3649" s="122"/>
      <c r="G3649" s="123"/>
      <c r="H3649" s="123"/>
      <c r="I3649" s="124"/>
      <c r="J3649" s="124"/>
      <c r="K3649" s="19"/>
      <c r="L3649" s="20"/>
      <c r="M3649" s="10"/>
      <c r="N3649" s="10"/>
      <c r="O3649" s="10"/>
      <c r="P3649" s="10"/>
      <c r="Q3649" s="10"/>
      <c r="R3649" s="10"/>
      <c r="S3649" s="10"/>
      <c r="T3649" s="10"/>
      <c r="U3649" s="10"/>
      <c r="V3649" s="10"/>
      <c r="W3649" s="10"/>
      <c r="X3649" s="10"/>
      <c r="Y3649" s="10"/>
      <c r="Z3649" s="10"/>
      <c r="AA3649" s="10"/>
      <c r="AB3649" s="10"/>
      <c r="AC3649" s="10"/>
      <c r="AD3649" s="10"/>
      <c r="AE3649" s="10"/>
      <c r="AF3649" s="10"/>
      <c r="AG3649" s="10"/>
      <c r="AH3649" s="10"/>
    </row>
    <row r="3650" spans="1:34" outlineLevel="2">
      <c r="A3650" s="28"/>
      <c r="B3650" s="12" t="str">
        <f>IFERROR(VLOOKUP(D3650,'[1]Перечень товаров'!$A$2:$I9525,2,0),"")</f>
        <v/>
      </c>
      <c r="C3650" s="12" t="str">
        <f>IFERROR(VLOOKUP(D3650,'[1]Перечень товаров'!$A$2:$I9525,3,0),"")</f>
        <v/>
      </c>
      <c r="D3650" s="29" t="s">
        <v>992</v>
      </c>
      <c r="E3650" s="30"/>
      <c r="F3650" s="30"/>
      <c r="G3650" s="31">
        <v>1</v>
      </c>
      <c r="H3650" s="31"/>
      <c r="I3650" s="32"/>
      <c r="J3650" s="32"/>
      <c r="K3650" s="19"/>
      <c r="L3650" s="20"/>
      <c r="M3650" s="10"/>
      <c r="N3650" s="10"/>
      <c r="O3650" s="10"/>
      <c r="P3650" s="10"/>
      <c r="Q3650" s="10"/>
      <c r="R3650" s="10"/>
      <c r="S3650" s="10"/>
      <c r="T3650" s="10"/>
      <c r="U3650" s="10"/>
      <c r="V3650" s="10"/>
      <c r="W3650" s="10"/>
      <c r="X3650" s="10"/>
      <c r="Y3650" s="10"/>
      <c r="Z3650" s="10"/>
      <c r="AA3650" s="10"/>
      <c r="AB3650" s="10"/>
      <c r="AC3650" s="10"/>
      <c r="AD3650" s="10"/>
      <c r="AE3650" s="10"/>
      <c r="AF3650" s="10"/>
      <c r="AG3650" s="10"/>
      <c r="AH3650" s="10"/>
    </row>
    <row r="3651" spans="1:34" ht="31.5" outlineLevel="2">
      <c r="A3651" s="28"/>
      <c r="B3651" s="12" t="str">
        <f>IFERROR(VLOOKUP(D3651,'[1]Перечень товаров'!$A$2:$I9525,2,0),"")</f>
        <v>д556</v>
      </c>
      <c r="C3651" s="12" t="str">
        <f>IFERROR(VLOOKUP(D3651,'[1]Перечень товаров'!$A$2:$I9525,3,0),"")</f>
        <v>дидактика</v>
      </c>
      <c r="D3651" s="29" t="s">
        <v>993</v>
      </c>
      <c r="E3651" s="30"/>
      <c r="F3651" s="30"/>
      <c r="G3651" s="31">
        <v>1</v>
      </c>
      <c r="H3651" s="31"/>
      <c r="I3651" s="32"/>
      <c r="J3651" s="32"/>
      <c r="K3651" s="19"/>
      <c r="L3651" s="20"/>
      <c r="M3651" s="10"/>
      <c r="N3651" s="10"/>
      <c r="O3651" s="10"/>
      <c r="P3651" s="10"/>
      <c r="Q3651" s="10"/>
      <c r="R3651" s="10"/>
      <c r="S3651" s="10"/>
      <c r="T3651" s="10"/>
      <c r="U3651" s="10"/>
      <c r="V3651" s="10"/>
      <c r="W3651" s="10"/>
      <c r="X3651" s="10"/>
      <c r="Y3651" s="10"/>
      <c r="Z3651" s="10"/>
      <c r="AA3651" s="10"/>
      <c r="AB3651" s="10"/>
      <c r="AC3651" s="10"/>
      <c r="AD3651" s="10"/>
      <c r="AE3651" s="10"/>
      <c r="AF3651" s="10"/>
      <c r="AG3651" s="10"/>
      <c r="AH3651" s="10"/>
    </row>
    <row r="3652" spans="1:34" ht="31.5" outlineLevel="2">
      <c r="A3652" s="28"/>
      <c r="B3652" s="12" t="str">
        <f>IFERROR(VLOOKUP(D3652,'[1]Перечень товаров'!$A$2:$I9525,2,0),"")</f>
        <v>пм212</v>
      </c>
      <c r="C3652" s="12" t="str">
        <f>IFERROR(VLOOKUP(D3652,'[1]Перечень товаров'!$A$2:$I9525,3,0),"")</f>
        <v>прочее муз</v>
      </c>
      <c r="D3652" s="29" t="s">
        <v>994</v>
      </c>
      <c r="E3652" s="30"/>
      <c r="F3652" s="30"/>
      <c r="G3652" s="31">
        <v>1</v>
      </c>
      <c r="H3652" s="31"/>
      <c r="I3652" s="32"/>
      <c r="J3652" s="32"/>
      <c r="K3652" s="19"/>
      <c r="L3652" s="20"/>
      <c r="M3652" s="10"/>
      <c r="N3652" s="10"/>
      <c r="O3652" s="10"/>
      <c r="P3652" s="10"/>
      <c r="Q3652" s="10"/>
      <c r="R3652" s="10"/>
      <c r="S3652" s="10"/>
      <c r="T3652" s="10"/>
      <c r="U3652" s="10"/>
      <c r="V3652" s="10"/>
      <c r="W3652" s="10"/>
      <c r="X3652" s="10"/>
      <c r="Y3652" s="10"/>
      <c r="Z3652" s="10"/>
      <c r="AA3652" s="10"/>
      <c r="AB3652" s="10"/>
      <c r="AC3652" s="10"/>
      <c r="AD3652" s="10"/>
      <c r="AE3652" s="10"/>
      <c r="AF3652" s="10"/>
      <c r="AG3652" s="10"/>
      <c r="AH3652" s="10"/>
    </row>
    <row r="3653" spans="1:34" outlineLevel="2">
      <c r="A3653" s="28"/>
      <c r="B3653" s="12" t="str">
        <f>IFERROR(VLOOKUP(D3653,'[1]Перечень товаров'!$A$2:$I9525,2,0),"")</f>
        <v>пм211</v>
      </c>
      <c r="C3653" s="12" t="str">
        <f>IFERROR(VLOOKUP(D3653,'[1]Перечень товаров'!$A$2:$I9525,3,0),"")</f>
        <v>прочее муз</v>
      </c>
      <c r="D3653" s="29" t="s">
        <v>995</v>
      </c>
      <c r="E3653" s="30"/>
      <c r="F3653" s="30"/>
      <c r="G3653" s="31">
        <v>2</v>
      </c>
      <c r="H3653" s="31"/>
      <c r="I3653" s="32"/>
      <c r="J3653" s="32"/>
      <c r="K3653" s="19"/>
      <c r="L3653" s="20"/>
      <c r="M3653" s="10"/>
      <c r="N3653" s="10"/>
      <c r="O3653" s="10"/>
      <c r="P3653" s="10"/>
      <c r="Q3653" s="10"/>
      <c r="R3653" s="10"/>
      <c r="S3653" s="10"/>
      <c r="T3653" s="10"/>
      <c r="U3653" s="10"/>
      <c r="V3653" s="10"/>
      <c r="W3653" s="10"/>
      <c r="X3653" s="10"/>
      <c r="Y3653" s="10"/>
      <c r="Z3653" s="10"/>
      <c r="AA3653" s="10"/>
      <c r="AB3653" s="10"/>
      <c r="AC3653" s="10"/>
      <c r="AD3653" s="10"/>
      <c r="AE3653" s="10"/>
      <c r="AF3653" s="10"/>
      <c r="AG3653" s="10"/>
      <c r="AH3653" s="10"/>
    </row>
    <row r="3654" spans="1:34" ht="31.5" outlineLevel="2">
      <c r="A3654" s="28"/>
      <c r="B3654" s="12" t="str">
        <f>IFERROR(VLOOKUP(D3654,'[1]Перечень товаров'!$A$2:$I9525,2,0),"")</f>
        <v>пм210</v>
      </c>
      <c r="C3654" s="12" t="str">
        <f>IFERROR(VLOOKUP(D3654,'[1]Перечень товаров'!$A$2:$I9525,3,0),"")</f>
        <v>прочее муз</v>
      </c>
      <c r="D3654" s="29" t="s">
        <v>996</v>
      </c>
      <c r="E3654" s="30"/>
      <c r="F3654" s="30"/>
      <c r="G3654" s="31">
        <v>1</v>
      </c>
      <c r="H3654" s="31"/>
      <c r="I3654" s="32"/>
      <c r="J3654" s="32"/>
      <c r="K3654" s="19"/>
      <c r="L3654" s="20"/>
      <c r="M3654" s="10"/>
      <c r="N3654" s="10"/>
      <c r="O3654" s="10"/>
      <c r="P3654" s="10"/>
      <c r="Q3654" s="10"/>
      <c r="R3654" s="10"/>
      <c r="S3654" s="10"/>
      <c r="T3654" s="10"/>
      <c r="U3654" s="10"/>
      <c r="V3654" s="10"/>
      <c r="W3654" s="10"/>
      <c r="X3654" s="10"/>
      <c r="Y3654" s="10"/>
      <c r="Z3654" s="10"/>
      <c r="AA3654" s="10"/>
      <c r="AB3654" s="10"/>
      <c r="AC3654" s="10"/>
      <c r="AD3654" s="10"/>
      <c r="AE3654" s="10"/>
      <c r="AF3654" s="10"/>
      <c r="AG3654" s="10"/>
      <c r="AH3654" s="10"/>
    </row>
    <row r="3655" spans="1:34" ht="15" outlineLevel="2">
      <c r="A3655" s="109"/>
      <c r="B3655" s="12" t="str">
        <f>IFERROR(VLOOKUP(D3655,'[1]Перечень товаров'!$A$2:$I9525,2,0),"")</f>
        <v/>
      </c>
      <c r="C3655" s="12" t="str">
        <f>IFERROR(VLOOKUP(D3655,'[1]Перечень товаров'!$A$2:$I9525,3,0),"")</f>
        <v/>
      </c>
      <c r="D3655" s="110" t="s">
        <v>27</v>
      </c>
      <c r="E3655" s="115"/>
      <c r="F3655" s="115"/>
      <c r="G3655" s="211"/>
      <c r="H3655" s="211"/>
      <c r="I3655" s="212"/>
      <c r="J3655" s="212"/>
      <c r="K3655" s="19"/>
      <c r="L3655" s="20"/>
      <c r="M3655" s="10"/>
      <c r="N3655" s="10"/>
      <c r="O3655" s="10"/>
      <c r="P3655" s="10"/>
      <c r="Q3655" s="10"/>
      <c r="R3655" s="10"/>
      <c r="S3655" s="10"/>
      <c r="T3655" s="10"/>
      <c r="U3655" s="10"/>
      <c r="V3655" s="10"/>
      <c r="W3655" s="10"/>
      <c r="X3655" s="10"/>
      <c r="Y3655" s="10"/>
      <c r="Z3655" s="10"/>
      <c r="AA3655" s="10"/>
      <c r="AB3655" s="10"/>
      <c r="AC3655" s="10"/>
      <c r="AD3655" s="10"/>
      <c r="AE3655" s="10"/>
      <c r="AF3655" s="10"/>
      <c r="AG3655" s="10"/>
      <c r="AH3655" s="10"/>
    </row>
    <row r="3656" spans="1:34" outlineLevel="2">
      <c r="A3656" s="21"/>
      <c r="B3656" s="12" t="str">
        <f>IFERROR(VLOOKUP(D3656,'[1]Перечень товаров'!$A$2:$I9525,2,0),"")</f>
        <v>т1</v>
      </c>
      <c r="C3656" s="12" t="str">
        <f>IFERROR(VLOOKUP(D3656,'[1]Перечень товаров'!$A$2:$I9525,3,0),"")</f>
        <v xml:space="preserve">Техника </v>
      </c>
      <c r="D3656" s="22" t="s">
        <v>28</v>
      </c>
      <c r="E3656" s="88"/>
      <c r="F3656" s="88"/>
      <c r="G3656" s="48">
        <v>1</v>
      </c>
      <c r="H3656" s="48"/>
      <c r="I3656" s="49"/>
      <c r="J3656" s="49"/>
      <c r="K3656" s="19"/>
      <c r="L3656" s="20"/>
      <c r="M3656" s="10"/>
      <c r="N3656" s="10"/>
      <c r="O3656" s="10"/>
      <c r="P3656" s="10"/>
      <c r="Q3656" s="10"/>
      <c r="R3656" s="10"/>
      <c r="S3656" s="10"/>
      <c r="T3656" s="10"/>
      <c r="U3656" s="10"/>
      <c r="V3656" s="10"/>
      <c r="W3656" s="10"/>
      <c r="X3656" s="10"/>
      <c r="Y3656" s="10"/>
      <c r="Z3656" s="10"/>
      <c r="AA3656" s="10"/>
      <c r="AB3656" s="10"/>
      <c r="AC3656" s="10"/>
      <c r="AD3656" s="10"/>
      <c r="AE3656" s="10"/>
      <c r="AF3656" s="10"/>
      <c r="AG3656" s="10"/>
      <c r="AH3656" s="10"/>
    </row>
    <row r="3657" spans="1:34" outlineLevel="2">
      <c r="A3657" s="22"/>
      <c r="B3657" s="12" t="str">
        <f>IFERROR(VLOOKUP(D3657,'[1]Перечень товаров'!$A$2:$I9525,2,0),"")</f>
        <v>т9</v>
      </c>
      <c r="C3657" s="12" t="str">
        <f>IFERROR(VLOOKUP(D3657,'[1]Перечень товаров'!$A$2:$I9525,3,0),"")</f>
        <v>Техника</v>
      </c>
      <c r="D3657" s="22" t="s">
        <v>36</v>
      </c>
      <c r="E3657" s="88"/>
      <c r="F3657" s="88"/>
      <c r="G3657" s="48">
        <v>1</v>
      </c>
      <c r="H3657" s="48"/>
      <c r="I3657" s="49"/>
      <c r="J3657" s="49"/>
      <c r="K3657" s="19"/>
      <c r="L3657" s="20"/>
      <c r="M3657" s="10"/>
      <c r="N3657" s="10"/>
      <c r="O3657" s="10"/>
      <c r="P3657" s="10"/>
      <c r="Q3657" s="10"/>
      <c r="R3657" s="10"/>
      <c r="S3657" s="10"/>
      <c r="T3657" s="10"/>
      <c r="U3657" s="10"/>
      <c r="V3657" s="10"/>
      <c r="W3657" s="10"/>
      <c r="X3657" s="10"/>
      <c r="Y3657" s="10"/>
      <c r="Z3657" s="10"/>
      <c r="AA3657" s="10"/>
      <c r="AB3657" s="10"/>
      <c r="AC3657" s="10"/>
      <c r="AD3657" s="10"/>
      <c r="AE3657" s="10"/>
      <c r="AF3657" s="10"/>
      <c r="AG3657" s="10"/>
      <c r="AH3657" s="10"/>
    </row>
    <row r="3658" spans="1:34" outlineLevel="2">
      <c r="A3658" s="35"/>
      <c r="B3658" s="12" t="str">
        <f>IFERROR(VLOOKUP(D3658,'[1]Перечень товаров'!$A$2:$I9525,2,0),"")</f>
        <v>т2</v>
      </c>
      <c r="C3658" s="12" t="str">
        <f>IFERROR(VLOOKUP(D3658,'[1]Перечень товаров'!$A$2:$I9525,3,0),"")</f>
        <v xml:space="preserve">Техника </v>
      </c>
      <c r="D3658" s="35" t="s">
        <v>29</v>
      </c>
      <c r="E3658" s="88"/>
      <c r="F3658" s="88"/>
      <c r="G3658" s="48">
        <v>1</v>
      </c>
      <c r="H3658" s="48"/>
      <c r="I3658" s="49"/>
      <c r="J3658" s="49"/>
      <c r="K3658" s="19"/>
      <c r="L3658" s="20"/>
      <c r="M3658" s="10"/>
      <c r="N3658" s="10"/>
      <c r="O3658" s="10"/>
      <c r="P3658" s="10"/>
      <c r="Q3658" s="10"/>
      <c r="R3658" s="10"/>
      <c r="S3658" s="10"/>
      <c r="T3658" s="10"/>
      <c r="U3658" s="10"/>
      <c r="V3658" s="10"/>
      <c r="W3658" s="10"/>
      <c r="X3658" s="10"/>
      <c r="Y3658" s="10"/>
      <c r="Z3658" s="10"/>
      <c r="AA3658" s="10"/>
      <c r="AB3658" s="10"/>
      <c r="AC3658" s="10"/>
      <c r="AD3658" s="10"/>
      <c r="AE3658" s="10"/>
      <c r="AF3658" s="10"/>
      <c r="AG3658" s="10"/>
      <c r="AH3658" s="10"/>
    </row>
    <row r="3659" spans="1:34" outlineLevel="2">
      <c r="A3659" s="35"/>
      <c r="B3659" s="12" t="str">
        <f>IFERROR(VLOOKUP(D3659,'[1]Перечень товаров'!$A$2:$I9525,2,0),"")</f>
        <v>т3</v>
      </c>
      <c r="C3659" s="12" t="str">
        <f>IFERROR(VLOOKUP(D3659,'[1]Перечень товаров'!$A$2:$I9525,3,0),"")</f>
        <v xml:space="preserve">Техника </v>
      </c>
      <c r="D3659" s="35" t="s">
        <v>30</v>
      </c>
      <c r="E3659" s="88"/>
      <c r="F3659" s="88"/>
      <c r="G3659" s="48">
        <v>1</v>
      </c>
      <c r="H3659" s="48"/>
      <c r="I3659" s="49"/>
      <c r="J3659" s="49"/>
      <c r="K3659" s="19"/>
      <c r="L3659" s="20"/>
      <c r="M3659" s="10"/>
      <c r="N3659" s="10"/>
      <c r="O3659" s="10"/>
      <c r="P3659" s="10"/>
      <c r="Q3659" s="10"/>
      <c r="R3659" s="10"/>
      <c r="S3659" s="10"/>
      <c r="T3659" s="10"/>
      <c r="U3659" s="10"/>
      <c r="V3659" s="10"/>
      <c r="W3659" s="10"/>
      <c r="X3659" s="10"/>
      <c r="Y3659" s="10"/>
      <c r="Z3659" s="10"/>
      <c r="AA3659" s="10"/>
      <c r="AB3659" s="10"/>
      <c r="AC3659" s="10"/>
      <c r="AD3659" s="10"/>
      <c r="AE3659" s="10"/>
      <c r="AF3659" s="10"/>
      <c r="AG3659" s="10"/>
      <c r="AH3659" s="10"/>
    </row>
    <row r="3660" spans="1:34" outlineLevel="2">
      <c r="A3660" s="35"/>
      <c r="B3660" s="12" t="str">
        <f>IFERROR(VLOOKUP(D3660,'[1]Перечень товаров'!$A$2:$I9525,2,0),"")</f>
        <v>т4</v>
      </c>
      <c r="C3660" s="12" t="str">
        <f>IFERROR(VLOOKUP(D3660,'[1]Перечень товаров'!$A$2:$I9525,3,0),"")</f>
        <v xml:space="preserve">Техника </v>
      </c>
      <c r="D3660" s="35" t="s">
        <v>31</v>
      </c>
      <c r="E3660" s="88"/>
      <c r="F3660" s="88"/>
      <c r="G3660" s="48">
        <v>1</v>
      </c>
      <c r="H3660" s="48"/>
      <c r="I3660" s="49"/>
      <c r="J3660" s="49"/>
      <c r="K3660" s="19"/>
      <c r="L3660" s="20"/>
      <c r="M3660" s="10"/>
      <c r="N3660" s="10"/>
      <c r="O3660" s="10"/>
      <c r="P3660" s="10"/>
      <c r="Q3660" s="10"/>
      <c r="R3660" s="10"/>
      <c r="S3660" s="10"/>
      <c r="T3660" s="10"/>
      <c r="U3660" s="10"/>
      <c r="V3660" s="10"/>
      <c r="W3660" s="10"/>
      <c r="X3660" s="10"/>
      <c r="Y3660" s="10"/>
      <c r="Z3660" s="10"/>
      <c r="AA3660" s="10"/>
      <c r="AB3660" s="10"/>
      <c r="AC3660" s="10"/>
      <c r="AD3660" s="10"/>
      <c r="AE3660" s="10"/>
      <c r="AF3660" s="10"/>
      <c r="AG3660" s="10"/>
      <c r="AH3660" s="10"/>
    </row>
    <row r="3661" spans="1:34" outlineLevel="2">
      <c r="A3661" s="21"/>
      <c r="B3661" s="12" t="str">
        <f>IFERROR(VLOOKUP(D3661,'[1]Перечень товаров'!$A$2:$I9525,2,0),"")</f>
        <v>тм65</v>
      </c>
      <c r="C3661" s="12" t="str">
        <f>IFERROR(VLOOKUP(D3661,'[1]Перечень товаров'!$A$2:$I9525,3,0),"")</f>
        <v>Техника муз</v>
      </c>
      <c r="D3661" s="22" t="s">
        <v>380</v>
      </c>
      <c r="E3661" s="88"/>
      <c r="F3661" s="88"/>
      <c r="G3661" s="48">
        <v>1</v>
      </c>
      <c r="H3661" s="48"/>
      <c r="I3661" s="49"/>
      <c r="J3661" s="49"/>
      <c r="K3661" s="19"/>
      <c r="L3661" s="20"/>
      <c r="M3661" s="10"/>
      <c r="N3661" s="10"/>
      <c r="O3661" s="10"/>
      <c r="P3661" s="10"/>
      <c r="Q3661" s="10"/>
      <c r="R3661" s="10"/>
      <c r="S3661" s="10"/>
      <c r="T3661" s="10"/>
      <c r="U3661" s="10"/>
      <c r="V3661" s="10"/>
      <c r="W3661" s="10"/>
      <c r="X3661" s="10"/>
      <c r="Y3661" s="10"/>
      <c r="Z3661" s="10"/>
      <c r="AA3661" s="10"/>
      <c r="AB3661" s="10"/>
      <c r="AC3661" s="10"/>
      <c r="AD3661" s="10"/>
      <c r="AE3661" s="10"/>
      <c r="AF3661" s="10"/>
      <c r="AG3661" s="10"/>
      <c r="AH3661" s="10"/>
    </row>
    <row r="3662" spans="1:34" outlineLevel="2">
      <c r="A3662" s="21"/>
      <c r="B3662" s="12" t="str">
        <f>IFERROR(VLOOKUP(D3662,'[1]Перечень товаров'!$A$2:$I9525,2,0),"")</f>
        <v>т12</v>
      </c>
      <c r="C3662" s="12" t="str">
        <f>IFERROR(VLOOKUP(D3662,'[1]Перечень товаров'!$A$2:$I9525,3,0),"")</f>
        <v>Техника</v>
      </c>
      <c r="D3662" s="22" t="s">
        <v>49</v>
      </c>
      <c r="E3662" s="88"/>
      <c r="F3662" s="88"/>
      <c r="G3662" s="48">
        <v>1</v>
      </c>
      <c r="H3662" s="48"/>
      <c r="I3662" s="49"/>
      <c r="J3662" s="49"/>
      <c r="K3662" s="19"/>
      <c r="L3662" s="20"/>
      <c r="M3662" s="10"/>
      <c r="N3662" s="10"/>
      <c r="O3662" s="10"/>
      <c r="P3662" s="10"/>
      <c r="Q3662" s="10"/>
      <c r="R3662" s="10"/>
      <c r="S3662" s="10"/>
      <c r="T3662" s="10"/>
      <c r="U3662" s="10"/>
      <c r="V3662" s="10"/>
      <c r="W3662" s="10"/>
      <c r="X3662" s="10"/>
      <c r="Y3662" s="10"/>
      <c r="Z3662" s="10"/>
      <c r="AA3662" s="10"/>
      <c r="AB3662" s="10"/>
      <c r="AC3662" s="10"/>
      <c r="AD3662" s="10"/>
      <c r="AE3662" s="10"/>
      <c r="AF3662" s="10"/>
      <c r="AG3662" s="10"/>
      <c r="AH3662" s="10"/>
    </row>
    <row r="3663" spans="1:34" outlineLevel="2">
      <c r="A3663" s="35"/>
      <c r="B3663" s="12" t="str">
        <f>IFERROR(VLOOKUP(D3663,'[1]Перечень товаров'!$A$2:$I9525,2,0),"")</f>
        <v>т6</v>
      </c>
      <c r="C3663" s="12" t="str">
        <f>IFERROR(VLOOKUP(D3663,'[1]Перечень товаров'!$A$2:$I9525,3,0),"")</f>
        <v xml:space="preserve">Техника </v>
      </c>
      <c r="D3663" s="35" t="s">
        <v>33</v>
      </c>
      <c r="E3663" s="88"/>
      <c r="F3663" s="88"/>
      <c r="G3663" s="48">
        <v>1</v>
      </c>
      <c r="H3663" s="48"/>
      <c r="I3663" s="49"/>
      <c r="J3663" s="49"/>
      <c r="K3663" s="19"/>
      <c r="L3663" s="20"/>
      <c r="M3663" s="10"/>
      <c r="N3663" s="10"/>
      <c r="O3663" s="10"/>
      <c r="P3663" s="10"/>
      <c r="Q3663" s="10"/>
      <c r="R3663" s="10"/>
      <c r="S3663" s="10"/>
      <c r="T3663" s="10"/>
      <c r="U3663" s="10"/>
      <c r="V3663" s="10"/>
      <c r="W3663" s="10"/>
      <c r="X3663" s="10"/>
      <c r="Y3663" s="10"/>
      <c r="Z3663" s="10"/>
      <c r="AA3663" s="10"/>
      <c r="AB3663" s="10"/>
      <c r="AC3663" s="10"/>
      <c r="AD3663" s="10"/>
      <c r="AE3663" s="10"/>
      <c r="AF3663" s="10"/>
      <c r="AG3663" s="10"/>
      <c r="AH3663" s="10"/>
    </row>
    <row r="3664" spans="1:34" outlineLevel="2">
      <c r="A3664" s="22"/>
      <c r="B3664" s="12" t="str">
        <f>IFERROR(VLOOKUP(D3664,'[1]Перечень товаров'!$A$2:$I9525,2,0),"")</f>
        <v>т7</v>
      </c>
      <c r="C3664" s="12" t="str">
        <f>IFERROR(VLOOKUP(D3664,'[1]Перечень товаров'!$A$2:$I9525,3,0),"")</f>
        <v xml:space="preserve">Техника </v>
      </c>
      <c r="D3664" s="22" t="s">
        <v>34</v>
      </c>
      <c r="E3664" s="88"/>
      <c r="F3664" s="88"/>
      <c r="G3664" s="48">
        <v>3</v>
      </c>
      <c r="H3664" s="48"/>
      <c r="I3664" s="49"/>
      <c r="J3664" s="49"/>
      <c r="K3664" s="19"/>
      <c r="L3664" s="20"/>
      <c r="M3664" s="10"/>
      <c r="N3664" s="10"/>
      <c r="O3664" s="10"/>
      <c r="P3664" s="10"/>
      <c r="Q3664" s="10"/>
      <c r="R3664" s="10"/>
      <c r="S3664" s="10"/>
      <c r="T3664" s="10"/>
      <c r="U3664" s="10"/>
      <c r="V3664" s="10"/>
      <c r="W3664" s="10"/>
      <c r="X3664" s="10"/>
      <c r="Y3664" s="10"/>
      <c r="Z3664" s="10"/>
      <c r="AA3664" s="10"/>
      <c r="AB3664" s="10"/>
      <c r="AC3664" s="10"/>
      <c r="AD3664" s="10"/>
      <c r="AE3664" s="10"/>
      <c r="AF3664" s="10"/>
      <c r="AG3664" s="10"/>
      <c r="AH3664" s="10"/>
    </row>
    <row r="3665" spans="1:34" outlineLevel="2">
      <c r="A3665" s="35"/>
      <c r="B3665" s="12" t="str">
        <f>IFERROR(VLOOKUP(D3665,'[1]Перечень товаров'!$A$2:$I9525,2,0),"")</f>
        <v>т161</v>
      </c>
      <c r="C3665" s="12" t="str">
        <f>IFERROR(VLOOKUP(D3665,'[1]Перечень товаров'!$A$2:$I9525,3,0),"")</f>
        <v xml:space="preserve">Техника </v>
      </c>
      <c r="D3665" s="29" t="s">
        <v>381</v>
      </c>
      <c r="E3665" s="88"/>
      <c r="F3665" s="88"/>
      <c r="G3665" s="159">
        <v>1</v>
      </c>
      <c r="H3665" s="159"/>
      <c r="I3665" s="160"/>
      <c r="J3665" s="160"/>
      <c r="K3665" s="19"/>
      <c r="L3665" s="20"/>
      <c r="M3665" s="10"/>
      <c r="N3665" s="10"/>
      <c r="O3665" s="10"/>
      <c r="P3665" s="10"/>
      <c r="Q3665" s="10"/>
      <c r="R3665" s="10"/>
      <c r="S3665" s="10"/>
      <c r="T3665" s="10"/>
      <c r="U3665" s="10"/>
      <c r="V3665" s="10"/>
      <c r="W3665" s="10"/>
      <c r="X3665" s="10"/>
      <c r="Y3665" s="10"/>
      <c r="Z3665" s="10"/>
      <c r="AA3665" s="10"/>
      <c r="AB3665" s="10"/>
      <c r="AC3665" s="10"/>
      <c r="AD3665" s="10"/>
      <c r="AE3665" s="10"/>
      <c r="AF3665" s="10"/>
      <c r="AG3665" s="10"/>
      <c r="AH3665" s="10"/>
    </row>
    <row r="3666" spans="1:34" outlineLevel="2">
      <c r="A3666" s="114"/>
      <c r="B3666" s="12" t="str">
        <f>IFERROR(VLOOKUP(D3666,'[1]Перечень товаров'!$A$2:$I9525,2,0),"")</f>
        <v/>
      </c>
      <c r="C3666" s="12" t="str">
        <f>IFERROR(VLOOKUP(D3666,'[1]Перечень товаров'!$A$2:$I9525,3,0),"")</f>
        <v/>
      </c>
      <c r="D3666" s="114" t="s">
        <v>19</v>
      </c>
      <c r="E3666" s="115"/>
      <c r="F3666" s="115"/>
      <c r="G3666" s="157"/>
      <c r="H3666" s="157"/>
      <c r="I3666" s="158"/>
      <c r="J3666" s="158"/>
      <c r="K3666" s="19"/>
      <c r="L3666" s="20"/>
      <c r="M3666" s="10"/>
      <c r="N3666" s="10"/>
      <c r="O3666" s="10"/>
      <c r="P3666" s="10"/>
      <c r="Q3666" s="10"/>
      <c r="R3666" s="10"/>
      <c r="S3666" s="10"/>
      <c r="T3666" s="10"/>
      <c r="U3666" s="10"/>
      <c r="V3666" s="10"/>
      <c r="W3666" s="10"/>
      <c r="X3666" s="10"/>
      <c r="Y3666" s="10"/>
      <c r="Z3666" s="10"/>
      <c r="AA3666" s="10"/>
      <c r="AB3666" s="10"/>
      <c r="AC3666" s="10"/>
      <c r="AD3666" s="10"/>
      <c r="AE3666" s="10"/>
      <c r="AF3666" s="10"/>
      <c r="AG3666" s="10"/>
      <c r="AH3666" s="10"/>
    </row>
    <row r="3667" spans="1:34" outlineLevel="2">
      <c r="A3667" s="34"/>
      <c r="B3667" s="12" t="str">
        <f>IFERROR(VLOOKUP(D3667,'[1]Перечень товаров'!$A$2:$I9525,2,0),"")</f>
        <v>м62</v>
      </c>
      <c r="C3667" s="12" t="str">
        <f>IFERROR(VLOOKUP(D3667,'[1]Перечень товаров'!$A$2:$I9525,3,0),"")</f>
        <v>Мебель</v>
      </c>
      <c r="D3667" s="35" t="s">
        <v>398</v>
      </c>
      <c r="E3667" s="88"/>
      <c r="F3667" s="88"/>
      <c r="G3667" s="59">
        <v>1</v>
      </c>
      <c r="H3667" s="59"/>
      <c r="I3667" s="60"/>
      <c r="J3667" s="60"/>
      <c r="K3667" s="19"/>
      <c r="L3667" s="20"/>
      <c r="M3667" s="10"/>
      <c r="N3667" s="10"/>
      <c r="O3667" s="10"/>
      <c r="P3667" s="10"/>
      <c r="Q3667" s="10"/>
      <c r="R3667" s="10"/>
      <c r="S3667" s="10"/>
      <c r="T3667" s="10"/>
      <c r="U3667" s="10"/>
      <c r="V3667" s="10"/>
      <c r="W3667" s="10"/>
      <c r="X3667" s="10"/>
      <c r="Y3667" s="10"/>
      <c r="Z3667" s="10"/>
      <c r="AA3667" s="10"/>
      <c r="AB3667" s="10"/>
      <c r="AC3667" s="10"/>
      <c r="AD3667" s="10"/>
      <c r="AE3667" s="10"/>
      <c r="AF3667" s="10"/>
      <c r="AG3667" s="10"/>
      <c r="AH3667" s="10"/>
    </row>
    <row r="3668" spans="1:34" outlineLevel="2">
      <c r="A3668" s="34"/>
      <c r="B3668" s="12" t="str">
        <f>IFERROR(VLOOKUP(D3668,'[1]Перечень товаров'!$A$2:$I9525,2,0),"")</f>
        <v>м61</v>
      </c>
      <c r="C3668" s="12" t="str">
        <f>IFERROR(VLOOKUP(D3668,'[1]Перечень товаров'!$A$2:$I9525,3,0),"")</f>
        <v>Мебель</v>
      </c>
      <c r="D3668" s="35" t="s">
        <v>383</v>
      </c>
      <c r="E3668" s="88"/>
      <c r="F3668" s="88"/>
      <c r="G3668" s="59">
        <v>1</v>
      </c>
      <c r="H3668" s="59"/>
      <c r="I3668" s="60"/>
      <c r="J3668" s="60"/>
      <c r="K3668" s="19"/>
      <c r="L3668" s="20"/>
      <c r="M3668" s="10"/>
      <c r="N3668" s="10"/>
      <c r="O3668" s="10"/>
      <c r="P3668" s="10"/>
      <c r="Q3668" s="10"/>
      <c r="R3668" s="10"/>
      <c r="S3668" s="10"/>
      <c r="T3668" s="10"/>
      <c r="U3668" s="10"/>
      <c r="V3668" s="10"/>
      <c r="W3668" s="10"/>
      <c r="X3668" s="10"/>
      <c r="Y3668" s="10"/>
      <c r="Z3668" s="10"/>
      <c r="AA3668" s="10"/>
      <c r="AB3668" s="10"/>
      <c r="AC3668" s="10"/>
      <c r="AD3668" s="10"/>
      <c r="AE3668" s="10"/>
      <c r="AF3668" s="10"/>
      <c r="AG3668" s="10"/>
      <c r="AH3668" s="10"/>
    </row>
    <row r="3669" spans="1:34" outlineLevel="2">
      <c r="A3669" s="213"/>
      <c r="B3669" s="12" t="str">
        <f>IFERROR(VLOOKUP(D3669,'[1]Перечень товаров'!$A$2:$I9525,2,0),"")</f>
        <v>м176</v>
      </c>
      <c r="C3669" s="12" t="str">
        <f>IFERROR(VLOOKUP(D3669,'[1]Перечень товаров'!$A$2:$I9525,3,0),"")</f>
        <v>мебель</v>
      </c>
      <c r="D3669" s="214" t="s">
        <v>998</v>
      </c>
      <c r="E3669" s="88"/>
      <c r="F3669" s="88"/>
      <c r="G3669" s="159">
        <v>4</v>
      </c>
      <c r="H3669" s="159"/>
      <c r="I3669" s="160"/>
      <c r="J3669" s="160"/>
      <c r="K3669" s="19"/>
      <c r="L3669" s="20"/>
      <c r="M3669" s="10"/>
      <c r="N3669" s="10"/>
      <c r="O3669" s="10"/>
      <c r="P3669" s="10"/>
      <c r="Q3669" s="10"/>
      <c r="R3669" s="10"/>
      <c r="S3669" s="10"/>
      <c r="T3669" s="10"/>
      <c r="U3669" s="10"/>
      <c r="V3669" s="10"/>
      <c r="W3669" s="10"/>
      <c r="X3669" s="10"/>
      <c r="Y3669" s="10"/>
      <c r="Z3669" s="10"/>
      <c r="AA3669" s="10"/>
      <c r="AB3669" s="10"/>
      <c r="AC3669" s="10"/>
      <c r="AD3669" s="10"/>
      <c r="AE3669" s="10"/>
      <c r="AF3669" s="10"/>
      <c r="AG3669" s="10"/>
      <c r="AH3669" s="10"/>
    </row>
    <row r="3670" spans="1:34" outlineLevel="2">
      <c r="A3670" s="34"/>
      <c r="B3670" s="12" t="str">
        <f>IFERROR(VLOOKUP(D3670,'[1]Перечень товаров'!$A$2:$I9525,2,0),"")</f>
        <v>м61</v>
      </c>
      <c r="C3670" s="12" t="str">
        <f>IFERROR(VLOOKUP(D3670,'[1]Перечень товаров'!$A$2:$I9525,3,0),"")</f>
        <v>Мебель</v>
      </c>
      <c r="D3670" s="35" t="s">
        <v>384</v>
      </c>
      <c r="E3670" s="88"/>
      <c r="F3670" s="88"/>
      <c r="G3670" s="159">
        <v>4</v>
      </c>
      <c r="H3670" s="159"/>
      <c r="I3670" s="160"/>
      <c r="J3670" s="160"/>
      <c r="K3670" s="19"/>
      <c r="L3670" s="20"/>
      <c r="M3670" s="10"/>
      <c r="N3670" s="10"/>
      <c r="O3670" s="10"/>
      <c r="P3670" s="10"/>
      <c r="Q3670" s="10"/>
      <c r="R3670" s="10"/>
      <c r="S3670" s="10"/>
      <c r="T3670" s="10"/>
      <c r="U3670" s="10"/>
      <c r="V3670" s="10"/>
      <c r="W3670" s="10"/>
      <c r="X3670" s="10"/>
      <c r="Y3670" s="10"/>
      <c r="Z3670" s="10"/>
      <c r="AA3670" s="10"/>
      <c r="AB3670" s="10"/>
      <c r="AC3670" s="10"/>
      <c r="AD3670" s="10"/>
      <c r="AE3670" s="10"/>
      <c r="AF3670" s="10"/>
      <c r="AG3670" s="10"/>
      <c r="AH3670" s="10"/>
    </row>
    <row r="3671" spans="1:34" outlineLevel="2">
      <c r="A3671" s="22"/>
      <c r="B3671" s="12" t="str">
        <f>IFERROR(VLOOKUP(D3671,'[1]Перечень товаров'!$A$2:$I9525,2,0),"")</f>
        <v>м13</v>
      </c>
      <c r="C3671" s="12" t="str">
        <f>IFERROR(VLOOKUP(D3671,'[1]Перечень товаров'!$A$2:$I9525,3,0),"")</f>
        <v>Мебель</v>
      </c>
      <c r="D3671" s="22" t="s">
        <v>42</v>
      </c>
      <c r="E3671" s="88"/>
      <c r="F3671" s="88"/>
      <c r="G3671" s="48">
        <v>1</v>
      </c>
      <c r="H3671" s="48"/>
      <c r="I3671" s="49"/>
      <c r="J3671" s="49"/>
      <c r="K3671" s="19"/>
      <c r="L3671" s="20"/>
      <c r="M3671" s="10"/>
      <c r="N3671" s="10"/>
      <c r="O3671" s="10"/>
      <c r="P3671" s="10"/>
      <c r="Q3671" s="10"/>
      <c r="R3671" s="10"/>
      <c r="S3671" s="10"/>
      <c r="T3671" s="10"/>
      <c r="U3671" s="10"/>
      <c r="V3671" s="10"/>
      <c r="W3671" s="10"/>
      <c r="X3671" s="10"/>
      <c r="Y3671" s="10"/>
      <c r="Z3671" s="10"/>
      <c r="AA3671" s="10"/>
      <c r="AB3671" s="10"/>
      <c r="AC3671" s="10"/>
      <c r="AD3671" s="10"/>
      <c r="AE3671" s="10"/>
      <c r="AF3671" s="10"/>
      <c r="AG3671" s="10"/>
      <c r="AH3671" s="10"/>
    </row>
    <row r="3672" spans="1:34" outlineLevel="2">
      <c r="A3672" s="21"/>
      <c r="B3672" s="12" t="str">
        <f>IFERROR(VLOOKUP(D3672,'[1]Перечень товаров'!$A$2:$I9525,2,0),"")</f>
        <v>м14</v>
      </c>
      <c r="C3672" s="12" t="str">
        <f>IFERROR(VLOOKUP(D3672,'[1]Перечень товаров'!$A$2:$I9525,3,0),"")</f>
        <v>Мебель</v>
      </c>
      <c r="D3672" s="22" t="s">
        <v>43</v>
      </c>
      <c r="E3672" s="88"/>
      <c r="F3672" s="88"/>
      <c r="G3672" s="48">
        <v>1</v>
      </c>
      <c r="H3672" s="48"/>
      <c r="I3672" s="49"/>
      <c r="J3672" s="49"/>
      <c r="K3672" s="19"/>
      <c r="L3672" s="20"/>
      <c r="M3672" s="10"/>
      <c r="N3672" s="10"/>
      <c r="O3672" s="10"/>
      <c r="P3672" s="10"/>
      <c r="Q3672" s="10"/>
      <c r="R3672" s="10"/>
      <c r="S3672" s="10"/>
      <c r="T3672" s="10"/>
      <c r="U3672" s="10"/>
      <c r="V3672" s="10"/>
      <c r="W3672" s="10"/>
      <c r="X3672" s="10"/>
      <c r="Y3672" s="10"/>
      <c r="Z3672" s="10"/>
      <c r="AA3672" s="10"/>
      <c r="AB3672" s="10"/>
      <c r="AC3672" s="10"/>
      <c r="AD3672" s="10"/>
      <c r="AE3672" s="10"/>
      <c r="AF3672" s="10"/>
      <c r="AG3672" s="10"/>
      <c r="AH3672" s="10"/>
    </row>
    <row r="3673" spans="1:34" outlineLevel="2">
      <c r="A3673" s="21"/>
      <c r="B3673" s="12" t="str">
        <f>IFERROR(VLOOKUP(D3673,'[1]Перечень товаров'!$A$2:$I9525,2,0),"")</f>
        <v>п2</v>
      </c>
      <c r="C3673" s="12" t="str">
        <f>IFERROR(VLOOKUP(D3673,'[1]Перечень товаров'!$A$2:$I9525,3,0),"")</f>
        <v>Прочее</v>
      </c>
      <c r="D3673" s="22" t="s">
        <v>46</v>
      </c>
      <c r="E3673" s="88"/>
      <c r="F3673" s="88"/>
      <c r="G3673" s="24">
        <v>1</v>
      </c>
      <c r="H3673" s="24"/>
      <c r="I3673" s="25"/>
      <c r="J3673" s="25"/>
      <c r="K3673" s="19"/>
      <c r="L3673" s="20"/>
      <c r="M3673" s="10"/>
      <c r="N3673" s="10"/>
      <c r="O3673" s="10"/>
      <c r="P3673" s="10"/>
      <c r="Q3673" s="10"/>
      <c r="R3673" s="10"/>
      <c r="S3673" s="10"/>
      <c r="T3673" s="10"/>
      <c r="U3673" s="10"/>
      <c r="V3673" s="10"/>
      <c r="W3673" s="10"/>
      <c r="X3673" s="10"/>
      <c r="Y3673" s="10"/>
      <c r="Z3673" s="10"/>
      <c r="AA3673" s="10"/>
      <c r="AB3673" s="10"/>
      <c r="AC3673" s="10"/>
      <c r="AD3673" s="10"/>
      <c r="AE3673" s="10"/>
      <c r="AF3673" s="10"/>
      <c r="AG3673" s="10"/>
      <c r="AH3673" s="10"/>
    </row>
    <row r="3674" spans="1:34" ht="12.75" outlineLevel="1">
      <c r="A3674" s="11"/>
      <c r="B3674" s="12" t="str">
        <f>IFERROR(VLOOKUP(D3674,'[1]Перечень товаров'!$A$2:$I9525,2,0),"")</f>
        <v/>
      </c>
      <c r="C3674" s="12" t="str">
        <f>IFERROR(VLOOKUP(D3674,'[1]Перечень товаров'!$A$2:$I9525,3,0),"")</f>
        <v/>
      </c>
      <c r="D3674" s="27" t="s">
        <v>997</v>
      </c>
      <c r="E3674" s="14">
        <v>22.2</v>
      </c>
      <c r="F3674" s="14"/>
      <c r="G3674" s="17"/>
      <c r="H3674" s="17"/>
      <c r="I3674" s="57"/>
      <c r="J3674" s="57"/>
      <c r="K3674" s="19"/>
      <c r="L3674" s="20"/>
      <c r="M3674" s="10"/>
      <c r="N3674" s="10"/>
      <c r="O3674" s="10"/>
      <c r="P3674" s="10"/>
      <c r="Q3674" s="10"/>
      <c r="R3674" s="10"/>
      <c r="S3674" s="10"/>
      <c r="T3674" s="10"/>
      <c r="U3674" s="10"/>
      <c r="V3674" s="10"/>
      <c r="W3674" s="10"/>
      <c r="X3674" s="10"/>
      <c r="Y3674" s="10"/>
      <c r="Z3674" s="10"/>
      <c r="AA3674" s="10"/>
      <c r="AB3674" s="10"/>
      <c r="AC3674" s="10"/>
      <c r="AD3674" s="10"/>
      <c r="AE3674" s="10"/>
      <c r="AF3674" s="10"/>
      <c r="AG3674" s="10"/>
      <c r="AH3674" s="10"/>
    </row>
    <row r="3675" spans="1:34" outlineLevel="2">
      <c r="A3675" s="113"/>
      <c r="B3675" s="12" t="str">
        <f>IFERROR(VLOOKUP(D3675,'[1]Перечень товаров'!$A$2:$I9525,2,0),"")</f>
        <v/>
      </c>
      <c r="C3675" s="12" t="str">
        <f>IFERROR(VLOOKUP(D3675,'[1]Перечень товаров'!$A$2:$I9525,3,0),"")</f>
        <v/>
      </c>
      <c r="D3675" s="114" t="s">
        <v>391</v>
      </c>
      <c r="E3675" s="122"/>
      <c r="F3675" s="122"/>
      <c r="G3675" s="123"/>
      <c r="H3675" s="123"/>
      <c r="I3675" s="124"/>
      <c r="J3675" s="124"/>
      <c r="K3675" s="19"/>
      <c r="L3675" s="20"/>
      <c r="M3675" s="10"/>
      <c r="N3675" s="10"/>
      <c r="O3675" s="10"/>
      <c r="P3675" s="10"/>
      <c r="Q3675" s="10"/>
      <c r="R3675" s="10"/>
      <c r="S3675" s="10"/>
      <c r="T3675" s="10"/>
      <c r="U3675" s="10"/>
      <c r="V3675" s="10"/>
      <c r="W3675" s="10"/>
      <c r="X3675" s="10"/>
      <c r="Y3675" s="10"/>
      <c r="Z3675" s="10"/>
      <c r="AA3675" s="10"/>
      <c r="AB3675" s="10"/>
      <c r="AC3675" s="10"/>
      <c r="AD3675" s="10"/>
      <c r="AE3675" s="10"/>
      <c r="AF3675" s="10"/>
      <c r="AG3675" s="10"/>
      <c r="AH3675" s="10"/>
    </row>
    <row r="3676" spans="1:34" outlineLevel="2">
      <c r="A3676" s="28"/>
      <c r="B3676" s="12" t="str">
        <f>IFERROR(VLOOKUP(D3676,'[1]Перечень товаров'!$A$2:$I9525,2,0),"")</f>
        <v/>
      </c>
      <c r="C3676" s="12" t="str">
        <f>IFERROR(VLOOKUP(D3676,'[1]Перечень товаров'!$A$2:$I9525,3,0),"")</f>
        <v/>
      </c>
      <c r="D3676" s="29" t="s">
        <v>992</v>
      </c>
      <c r="E3676" s="30"/>
      <c r="F3676" s="30"/>
      <c r="G3676" s="31">
        <v>1</v>
      </c>
      <c r="H3676" s="31"/>
      <c r="I3676" s="32"/>
      <c r="J3676" s="32"/>
      <c r="K3676" s="19"/>
      <c r="L3676" s="20"/>
      <c r="M3676" s="10"/>
      <c r="N3676" s="10"/>
      <c r="O3676" s="10"/>
      <c r="P3676" s="10"/>
      <c r="Q3676" s="10"/>
      <c r="R3676" s="10"/>
      <c r="S3676" s="10"/>
      <c r="T3676" s="10"/>
      <c r="U3676" s="10"/>
      <c r="V3676" s="10"/>
      <c r="W3676" s="10"/>
      <c r="X3676" s="10"/>
      <c r="Y3676" s="10"/>
      <c r="Z3676" s="10"/>
      <c r="AA3676" s="10"/>
      <c r="AB3676" s="10"/>
      <c r="AC3676" s="10"/>
      <c r="AD3676" s="10"/>
      <c r="AE3676" s="10"/>
      <c r="AF3676" s="10"/>
      <c r="AG3676" s="10"/>
      <c r="AH3676" s="10"/>
    </row>
    <row r="3677" spans="1:34" ht="31.5" outlineLevel="2">
      <c r="A3677" s="28"/>
      <c r="B3677" s="12" t="str">
        <f>IFERROR(VLOOKUP(D3677,'[1]Перечень товаров'!$A$2:$I9525,2,0),"")</f>
        <v>д556</v>
      </c>
      <c r="C3677" s="12" t="str">
        <f>IFERROR(VLOOKUP(D3677,'[1]Перечень товаров'!$A$2:$I9525,3,0),"")</f>
        <v>дидактика</v>
      </c>
      <c r="D3677" s="29" t="s">
        <v>993</v>
      </c>
      <c r="E3677" s="30"/>
      <c r="F3677" s="30"/>
      <c r="G3677" s="31">
        <v>1</v>
      </c>
      <c r="H3677" s="31"/>
      <c r="I3677" s="32"/>
      <c r="J3677" s="32"/>
      <c r="K3677" s="19"/>
      <c r="L3677" s="20"/>
      <c r="M3677" s="10"/>
      <c r="N3677" s="10"/>
      <c r="O3677" s="10"/>
      <c r="P3677" s="10"/>
      <c r="Q3677" s="10"/>
      <c r="R3677" s="10"/>
      <c r="S3677" s="10"/>
      <c r="T3677" s="10"/>
      <c r="U3677" s="10"/>
      <c r="V3677" s="10"/>
      <c r="W3677" s="10"/>
      <c r="X3677" s="10"/>
      <c r="Y3677" s="10"/>
      <c r="Z3677" s="10"/>
      <c r="AA3677" s="10"/>
      <c r="AB3677" s="10"/>
      <c r="AC3677" s="10"/>
      <c r="AD3677" s="10"/>
      <c r="AE3677" s="10"/>
      <c r="AF3677" s="10"/>
      <c r="AG3677" s="10"/>
      <c r="AH3677" s="10"/>
    </row>
    <row r="3678" spans="1:34" ht="31.5" outlineLevel="2">
      <c r="A3678" s="28"/>
      <c r="B3678" s="12" t="str">
        <f>IFERROR(VLOOKUP(D3678,'[1]Перечень товаров'!$A$2:$I9525,2,0),"")</f>
        <v>пм212</v>
      </c>
      <c r="C3678" s="12" t="str">
        <f>IFERROR(VLOOKUP(D3678,'[1]Перечень товаров'!$A$2:$I9525,3,0),"")</f>
        <v>прочее муз</v>
      </c>
      <c r="D3678" s="29" t="s">
        <v>994</v>
      </c>
      <c r="E3678" s="30"/>
      <c r="F3678" s="30"/>
      <c r="G3678" s="31">
        <v>1</v>
      </c>
      <c r="H3678" s="31"/>
      <c r="I3678" s="32"/>
      <c r="J3678" s="32"/>
      <c r="K3678" s="19"/>
      <c r="L3678" s="20"/>
      <c r="M3678" s="10"/>
      <c r="N3678" s="10"/>
      <c r="O3678" s="10"/>
      <c r="P3678" s="10"/>
      <c r="Q3678" s="10"/>
      <c r="R3678" s="10"/>
      <c r="S3678" s="10"/>
      <c r="T3678" s="10"/>
      <c r="U3678" s="10"/>
      <c r="V3678" s="10"/>
      <c r="W3678" s="10"/>
      <c r="X3678" s="10"/>
      <c r="Y3678" s="10"/>
      <c r="Z3678" s="10"/>
      <c r="AA3678" s="10"/>
      <c r="AB3678" s="10"/>
      <c r="AC3678" s="10"/>
      <c r="AD3678" s="10"/>
      <c r="AE3678" s="10"/>
      <c r="AF3678" s="10"/>
      <c r="AG3678" s="10"/>
      <c r="AH3678" s="10"/>
    </row>
    <row r="3679" spans="1:34" outlineLevel="2">
      <c r="A3679" s="28"/>
      <c r="B3679" s="12" t="str">
        <f>IFERROR(VLOOKUP(D3679,'[1]Перечень товаров'!$A$2:$I9525,2,0),"")</f>
        <v>пм211</v>
      </c>
      <c r="C3679" s="12" t="str">
        <f>IFERROR(VLOOKUP(D3679,'[1]Перечень товаров'!$A$2:$I9525,3,0),"")</f>
        <v>прочее муз</v>
      </c>
      <c r="D3679" s="29" t="s">
        <v>995</v>
      </c>
      <c r="E3679" s="30"/>
      <c r="F3679" s="30"/>
      <c r="G3679" s="31">
        <v>2</v>
      </c>
      <c r="H3679" s="31"/>
      <c r="I3679" s="32"/>
      <c r="J3679" s="32"/>
      <c r="K3679" s="19"/>
      <c r="L3679" s="20"/>
      <c r="M3679" s="10"/>
      <c r="N3679" s="10"/>
      <c r="O3679" s="10"/>
      <c r="P3679" s="10"/>
      <c r="Q3679" s="10"/>
      <c r="R3679" s="10"/>
      <c r="S3679" s="10"/>
      <c r="T3679" s="10"/>
      <c r="U3679" s="10"/>
      <c r="V3679" s="10"/>
      <c r="W3679" s="10"/>
      <c r="X3679" s="10"/>
      <c r="Y3679" s="10"/>
      <c r="Z3679" s="10"/>
      <c r="AA3679" s="10"/>
      <c r="AB3679" s="10"/>
      <c r="AC3679" s="10"/>
      <c r="AD3679" s="10"/>
      <c r="AE3679" s="10"/>
      <c r="AF3679" s="10"/>
      <c r="AG3679" s="10"/>
      <c r="AH3679" s="10"/>
    </row>
    <row r="3680" spans="1:34" ht="31.5" outlineLevel="2">
      <c r="A3680" s="28"/>
      <c r="B3680" s="12" t="str">
        <f>IFERROR(VLOOKUP(D3680,'[1]Перечень товаров'!$A$2:$I9525,2,0),"")</f>
        <v>пм210</v>
      </c>
      <c r="C3680" s="12" t="str">
        <f>IFERROR(VLOOKUP(D3680,'[1]Перечень товаров'!$A$2:$I9525,3,0),"")</f>
        <v>прочее муз</v>
      </c>
      <c r="D3680" s="29" t="s">
        <v>996</v>
      </c>
      <c r="E3680" s="30"/>
      <c r="F3680" s="30"/>
      <c r="G3680" s="31">
        <v>1</v>
      </c>
      <c r="H3680" s="31"/>
      <c r="I3680" s="32"/>
      <c r="J3680" s="32"/>
      <c r="K3680" s="19"/>
      <c r="L3680" s="20"/>
      <c r="M3680" s="10"/>
      <c r="N3680" s="10"/>
      <c r="O3680" s="10"/>
      <c r="P3680" s="10"/>
      <c r="Q3680" s="10"/>
      <c r="R3680" s="10"/>
      <c r="S3680" s="10"/>
      <c r="T3680" s="10"/>
      <c r="U3680" s="10"/>
      <c r="V3680" s="10"/>
      <c r="W3680" s="10"/>
      <c r="X3680" s="10"/>
      <c r="Y3680" s="10"/>
      <c r="Z3680" s="10"/>
      <c r="AA3680" s="10"/>
      <c r="AB3680" s="10"/>
      <c r="AC3680" s="10"/>
      <c r="AD3680" s="10"/>
      <c r="AE3680" s="10"/>
      <c r="AF3680" s="10"/>
      <c r="AG3680" s="10"/>
      <c r="AH3680" s="10"/>
    </row>
    <row r="3681" spans="1:34" ht="15" outlineLevel="2">
      <c r="A3681" s="109"/>
      <c r="B3681" s="12" t="str">
        <f>IFERROR(VLOOKUP(D3681,'[1]Перечень товаров'!$A$2:$I9525,2,0),"")</f>
        <v/>
      </c>
      <c r="C3681" s="12" t="str">
        <f>IFERROR(VLOOKUP(D3681,'[1]Перечень товаров'!$A$2:$I9525,3,0),"")</f>
        <v/>
      </c>
      <c r="D3681" s="110" t="s">
        <v>27</v>
      </c>
      <c r="E3681" s="115"/>
      <c r="F3681" s="115"/>
      <c r="G3681" s="211"/>
      <c r="H3681" s="211"/>
      <c r="I3681" s="212"/>
      <c r="J3681" s="212"/>
      <c r="K3681" s="19"/>
      <c r="L3681" s="20"/>
      <c r="M3681" s="10"/>
      <c r="N3681" s="10"/>
      <c r="O3681" s="10"/>
      <c r="P3681" s="10"/>
      <c r="Q3681" s="10"/>
      <c r="R3681" s="10"/>
      <c r="S3681" s="10"/>
      <c r="T3681" s="10"/>
      <c r="U3681" s="10"/>
      <c r="V3681" s="10"/>
      <c r="W3681" s="10"/>
      <c r="X3681" s="10"/>
      <c r="Y3681" s="10"/>
      <c r="Z3681" s="10"/>
      <c r="AA3681" s="10"/>
      <c r="AB3681" s="10"/>
      <c r="AC3681" s="10"/>
      <c r="AD3681" s="10"/>
      <c r="AE3681" s="10"/>
      <c r="AF3681" s="10"/>
      <c r="AG3681" s="10"/>
      <c r="AH3681" s="10"/>
    </row>
    <row r="3682" spans="1:34" outlineLevel="2">
      <c r="A3682" s="21"/>
      <c r="B3682" s="12" t="str">
        <f>IFERROR(VLOOKUP(D3682,'[1]Перечень товаров'!$A$2:$I9525,2,0),"")</f>
        <v>т1</v>
      </c>
      <c r="C3682" s="12" t="str">
        <f>IFERROR(VLOOKUP(D3682,'[1]Перечень товаров'!$A$2:$I9525,3,0),"")</f>
        <v xml:space="preserve">Техника </v>
      </c>
      <c r="D3682" s="22" t="s">
        <v>28</v>
      </c>
      <c r="E3682" s="88"/>
      <c r="F3682" s="88"/>
      <c r="G3682" s="48">
        <v>1</v>
      </c>
      <c r="H3682" s="48"/>
      <c r="I3682" s="49"/>
      <c r="J3682" s="49"/>
      <c r="K3682" s="19"/>
      <c r="L3682" s="20"/>
      <c r="M3682" s="10"/>
      <c r="N3682" s="10"/>
      <c r="O3682" s="10"/>
      <c r="P3682" s="10"/>
      <c r="Q3682" s="10"/>
      <c r="R3682" s="10"/>
      <c r="S3682" s="10"/>
      <c r="T3682" s="10"/>
      <c r="U3682" s="10"/>
      <c r="V3682" s="10"/>
      <c r="W3682" s="10"/>
      <c r="X3682" s="10"/>
      <c r="Y3682" s="10"/>
      <c r="Z3682" s="10"/>
      <c r="AA3682" s="10"/>
      <c r="AB3682" s="10"/>
      <c r="AC3682" s="10"/>
      <c r="AD3682" s="10"/>
      <c r="AE3682" s="10"/>
      <c r="AF3682" s="10"/>
      <c r="AG3682" s="10"/>
      <c r="AH3682" s="10"/>
    </row>
    <row r="3683" spans="1:34" outlineLevel="2">
      <c r="A3683" s="22"/>
      <c r="B3683" s="12" t="str">
        <f>IFERROR(VLOOKUP(D3683,'[1]Перечень товаров'!$A$2:$I9525,2,0),"")</f>
        <v>т9</v>
      </c>
      <c r="C3683" s="12" t="str">
        <f>IFERROR(VLOOKUP(D3683,'[1]Перечень товаров'!$A$2:$I9525,3,0),"")</f>
        <v>Техника</v>
      </c>
      <c r="D3683" s="22" t="s">
        <v>36</v>
      </c>
      <c r="E3683" s="88"/>
      <c r="F3683" s="88"/>
      <c r="G3683" s="48">
        <v>1</v>
      </c>
      <c r="H3683" s="48"/>
      <c r="I3683" s="49"/>
      <c r="J3683" s="49"/>
      <c r="K3683" s="19"/>
      <c r="L3683" s="20"/>
      <c r="M3683" s="10"/>
      <c r="N3683" s="10"/>
      <c r="O3683" s="10"/>
      <c r="P3683" s="10"/>
      <c r="Q3683" s="10"/>
      <c r="R3683" s="10"/>
      <c r="S3683" s="10"/>
      <c r="T3683" s="10"/>
      <c r="U3683" s="10"/>
      <c r="V3683" s="10"/>
      <c r="W3683" s="10"/>
      <c r="X3683" s="10"/>
      <c r="Y3683" s="10"/>
      <c r="Z3683" s="10"/>
      <c r="AA3683" s="10"/>
      <c r="AB3683" s="10"/>
      <c r="AC3683" s="10"/>
      <c r="AD3683" s="10"/>
      <c r="AE3683" s="10"/>
      <c r="AF3683" s="10"/>
      <c r="AG3683" s="10"/>
      <c r="AH3683" s="10"/>
    </row>
    <row r="3684" spans="1:34" outlineLevel="2">
      <c r="A3684" s="35"/>
      <c r="B3684" s="12" t="str">
        <f>IFERROR(VLOOKUP(D3684,'[1]Перечень товаров'!$A$2:$I9525,2,0),"")</f>
        <v>т2</v>
      </c>
      <c r="C3684" s="12" t="str">
        <f>IFERROR(VLOOKUP(D3684,'[1]Перечень товаров'!$A$2:$I9525,3,0),"")</f>
        <v xml:space="preserve">Техника </v>
      </c>
      <c r="D3684" s="35" t="s">
        <v>29</v>
      </c>
      <c r="E3684" s="88"/>
      <c r="F3684" s="88"/>
      <c r="G3684" s="48">
        <v>1</v>
      </c>
      <c r="H3684" s="48"/>
      <c r="I3684" s="49"/>
      <c r="J3684" s="49"/>
      <c r="K3684" s="19"/>
      <c r="L3684" s="20"/>
      <c r="M3684" s="10"/>
      <c r="N3684" s="10"/>
      <c r="O3684" s="10"/>
      <c r="P3684" s="10"/>
      <c r="Q3684" s="10"/>
      <c r="R3684" s="10"/>
      <c r="S3684" s="10"/>
      <c r="T3684" s="10"/>
      <c r="U3684" s="10"/>
      <c r="V3684" s="10"/>
      <c r="W3684" s="10"/>
      <c r="X3684" s="10"/>
      <c r="Y3684" s="10"/>
      <c r="Z3684" s="10"/>
      <c r="AA3684" s="10"/>
      <c r="AB3684" s="10"/>
      <c r="AC3684" s="10"/>
      <c r="AD3684" s="10"/>
      <c r="AE3684" s="10"/>
      <c r="AF3684" s="10"/>
      <c r="AG3684" s="10"/>
      <c r="AH3684" s="10"/>
    </row>
    <row r="3685" spans="1:34" outlineLevel="2">
      <c r="A3685" s="35"/>
      <c r="B3685" s="12" t="str">
        <f>IFERROR(VLOOKUP(D3685,'[1]Перечень товаров'!$A$2:$I9525,2,0),"")</f>
        <v>т3</v>
      </c>
      <c r="C3685" s="12" t="str">
        <f>IFERROR(VLOOKUP(D3685,'[1]Перечень товаров'!$A$2:$I9525,3,0),"")</f>
        <v xml:space="preserve">Техника </v>
      </c>
      <c r="D3685" s="35" t="s">
        <v>30</v>
      </c>
      <c r="E3685" s="88"/>
      <c r="F3685" s="88"/>
      <c r="G3685" s="48">
        <v>1</v>
      </c>
      <c r="H3685" s="48"/>
      <c r="I3685" s="49"/>
      <c r="J3685" s="49"/>
      <c r="K3685" s="19"/>
      <c r="L3685" s="20"/>
      <c r="M3685" s="10"/>
      <c r="N3685" s="10"/>
      <c r="O3685" s="10"/>
      <c r="P3685" s="10"/>
      <c r="Q3685" s="10"/>
      <c r="R3685" s="10"/>
      <c r="S3685" s="10"/>
      <c r="T3685" s="10"/>
      <c r="U3685" s="10"/>
      <c r="V3685" s="10"/>
      <c r="W3685" s="10"/>
      <c r="X3685" s="10"/>
      <c r="Y3685" s="10"/>
      <c r="Z3685" s="10"/>
      <c r="AA3685" s="10"/>
      <c r="AB3685" s="10"/>
      <c r="AC3685" s="10"/>
      <c r="AD3685" s="10"/>
      <c r="AE3685" s="10"/>
      <c r="AF3685" s="10"/>
      <c r="AG3685" s="10"/>
      <c r="AH3685" s="10"/>
    </row>
    <row r="3686" spans="1:34" outlineLevel="2">
      <c r="A3686" s="35"/>
      <c r="B3686" s="12" t="str">
        <f>IFERROR(VLOOKUP(D3686,'[1]Перечень товаров'!$A$2:$I9525,2,0),"")</f>
        <v>т4</v>
      </c>
      <c r="C3686" s="12" t="str">
        <f>IFERROR(VLOOKUP(D3686,'[1]Перечень товаров'!$A$2:$I9525,3,0),"")</f>
        <v xml:space="preserve">Техника </v>
      </c>
      <c r="D3686" s="35" t="s">
        <v>31</v>
      </c>
      <c r="E3686" s="88"/>
      <c r="F3686" s="88"/>
      <c r="G3686" s="48">
        <v>1</v>
      </c>
      <c r="H3686" s="48"/>
      <c r="I3686" s="49"/>
      <c r="J3686" s="49"/>
      <c r="K3686" s="19"/>
      <c r="L3686" s="20"/>
      <c r="M3686" s="10"/>
      <c r="N3686" s="10"/>
      <c r="O3686" s="10"/>
      <c r="P3686" s="10"/>
      <c r="Q3686" s="10"/>
      <c r="R3686" s="10"/>
      <c r="S3686" s="10"/>
      <c r="T3686" s="10"/>
      <c r="U3686" s="10"/>
      <c r="V3686" s="10"/>
      <c r="W3686" s="10"/>
      <c r="X3686" s="10"/>
      <c r="Y3686" s="10"/>
      <c r="Z3686" s="10"/>
      <c r="AA3686" s="10"/>
      <c r="AB3686" s="10"/>
      <c r="AC3686" s="10"/>
      <c r="AD3686" s="10"/>
      <c r="AE3686" s="10"/>
      <c r="AF3686" s="10"/>
      <c r="AG3686" s="10"/>
      <c r="AH3686" s="10"/>
    </row>
    <row r="3687" spans="1:34" outlineLevel="2">
      <c r="A3687" s="21"/>
      <c r="B3687" s="12" t="str">
        <f>IFERROR(VLOOKUP(D3687,'[1]Перечень товаров'!$A$2:$I9525,2,0),"")</f>
        <v>тм65</v>
      </c>
      <c r="C3687" s="12" t="str">
        <f>IFERROR(VLOOKUP(D3687,'[1]Перечень товаров'!$A$2:$I9525,3,0),"")</f>
        <v>Техника муз</v>
      </c>
      <c r="D3687" s="22" t="s">
        <v>380</v>
      </c>
      <c r="E3687" s="88"/>
      <c r="F3687" s="88"/>
      <c r="G3687" s="48">
        <v>1</v>
      </c>
      <c r="H3687" s="48"/>
      <c r="I3687" s="49"/>
      <c r="J3687" s="49"/>
      <c r="K3687" s="19"/>
      <c r="L3687" s="20"/>
      <c r="M3687" s="10"/>
      <c r="N3687" s="10"/>
      <c r="O3687" s="10"/>
      <c r="P3687" s="10"/>
      <c r="Q3687" s="10"/>
      <c r="R3687" s="10"/>
      <c r="S3687" s="10"/>
      <c r="T3687" s="10"/>
      <c r="U3687" s="10"/>
      <c r="V3687" s="10"/>
      <c r="W3687" s="10"/>
      <c r="X3687" s="10"/>
      <c r="Y3687" s="10"/>
      <c r="Z3687" s="10"/>
      <c r="AA3687" s="10"/>
      <c r="AB3687" s="10"/>
      <c r="AC3687" s="10"/>
      <c r="AD3687" s="10"/>
      <c r="AE3687" s="10"/>
      <c r="AF3687" s="10"/>
      <c r="AG3687" s="10"/>
      <c r="AH3687" s="10"/>
    </row>
    <row r="3688" spans="1:34" outlineLevel="2">
      <c r="A3688" s="21"/>
      <c r="B3688" s="12" t="str">
        <f>IFERROR(VLOOKUP(D3688,'[1]Перечень товаров'!$A$2:$I9525,2,0),"")</f>
        <v>т12</v>
      </c>
      <c r="C3688" s="12" t="str">
        <f>IFERROR(VLOOKUP(D3688,'[1]Перечень товаров'!$A$2:$I9525,3,0),"")</f>
        <v>Техника</v>
      </c>
      <c r="D3688" s="22" t="s">
        <v>49</v>
      </c>
      <c r="E3688" s="88"/>
      <c r="F3688" s="88"/>
      <c r="G3688" s="48">
        <v>1</v>
      </c>
      <c r="H3688" s="48"/>
      <c r="I3688" s="49"/>
      <c r="J3688" s="49"/>
      <c r="K3688" s="19"/>
      <c r="L3688" s="20"/>
      <c r="M3688" s="10"/>
      <c r="N3688" s="10"/>
      <c r="O3688" s="10"/>
      <c r="P3688" s="10"/>
      <c r="Q3688" s="10"/>
      <c r="R3688" s="10"/>
      <c r="S3688" s="10"/>
      <c r="T3688" s="10"/>
      <c r="U3688" s="10"/>
      <c r="V3688" s="10"/>
      <c r="W3688" s="10"/>
      <c r="X3688" s="10"/>
      <c r="Y3688" s="10"/>
      <c r="Z3688" s="10"/>
      <c r="AA3688" s="10"/>
      <c r="AB3688" s="10"/>
      <c r="AC3688" s="10"/>
      <c r="AD3688" s="10"/>
      <c r="AE3688" s="10"/>
      <c r="AF3688" s="10"/>
      <c r="AG3688" s="10"/>
      <c r="AH3688" s="10"/>
    </row>
    <row r="3689" spans="1:34" outlineLevel="2">
      <c r="A3689" s="35"/>
      <c r="B3689" s="12" t="str">
        <f>IFERROR(VLOOKUP(D3689,'[1]Перечень товаров'!$A$2:$I9525,2,0),"")</f>
        <v>т6</v>
      </c>
      <c r="C3689" s="12" t="str">
        <f>IFERROR(VLOOKUP(D3689,'[1]Перечень товаров'!$A$2:$I9525,3,0),"")</f>
        <v xml:space="preserve">Техника </v>
      </c>
      <c r="D3689" s="35" t="s">
        <v>33</v>
      </c>
      <c r="E3689" s="88"/>
      <c r="F3689" s="88"/>
      <c r="G3689" s="48">
        <v>1</v>
      </c>
      <c r="H3689" s="48"/>
      <c r="I3689" s="49"/>
      <c r="J3689" s="49"/>
      <c r="K3689" s="19"/>
      <c r="L3689" s="20"/>
      <c r="M3689" s="10"/>
      <c r="N3689" s="10"/>
      <c r="O3689" s="10"/>
      <c r="P3689" s="10"/>
      <c r="Q3689" s="10"/>
      <c r="R3689" s="10"/>
      <c r="S3689" s="10"/>
      <c r="T3689" s="10"/>
      <c r="U3689" s="10"/>
      <c r="V3689" s="10"/>
      <c r="W3689" s="10"/>
      <c r="X3689" s="10"/>
      <c r="Y3689" s="10"/>
      <c r="Z3689" s="10"/>
      <c r="AA3689" s="10"/>
      <c r="AB3689" s="10"/>
      <c r="AC3689" s="10"/>
      <c r="AD3689" s="10"/>
      <c r="AE3689" s="10"/>
      <c r="AF3689" s="10"/>
      <c r="AG3689" s="10"/>
      <c r="AH3689" s="10"/>
    </row>
    <row r="3690" spans="1:34" outlineLevel="2">
      <c r="A3690" s="22"/>
      <c r="B3690" s="12" t="str">
        <f>IFERROR(VLOOKUP(D3690,'[1]Перечень товаров'!$A$2:$I9525,2,0),"")</f>
        <v>т7</v>
      </c>
      <c r="C3690" s="12" t="str">
        <f>IFERROR(VLOOKUP(D3690,'[1]Перечень товаров'!$A$2:$I9525,3,0),"")</f>
        <v xml:space="preserve">Техника </v>
      </c>
      <c r="D3690" s="22" t="s">
        <v>34</v>
      </c>
      <c r="E3690" s="88"/>
      <c r="F3690" s="88"/>
      <c r="G3690" s="48">
        <v>3</v>
      </c>
      <c r="H3690" s="48"/>
      <c r="I3690" s="49"/>
      <c r="J3690" s="49"/>
      <c r="K3690" s="19"/>
      <c r="L3690" s="20"/>
      <c r="M3690" s="10"/>
      <c r="N3690" s="10"/>
      <c r="O3690" s="10"/>
      <c r="P3690" s="10"/>
      <c r="Q3690" s="10"/>
      <c r="R3690" s="10"/>
      <c r="S3690" s="10"/>
      <c r="T3690" s="10"/>
      <c r="U3690" s="10"/>
      <c r="V3690" s="10"/>
      <c r="W3690" s="10"/>
      <c r="X3690" s="10"/>
      <c r="Y3690" s="10"/>
      <c r="Z3690" s="10"/>
      <c r="AA3690" s="10"/>
      <c r="AB3690" s="10"/>
      <c r="AC3690" s="10"/>
      <c r="AD3690" s="10"/>
      <c r="AE3690" s="10"/>
      <c r="AF3690" s="10"/>
      <c r="AG3690" s="10"/>
      <c r="AH3690" s="10"/>
    </row>
    <row r="3691" spans="1:34" outlineLevel="2">
      <c r="A3691" s="35"/>
      <c r="B3691" s="12" t="str">
        <f>IFERROR(VLOOKUP(D3691,'[1]Перечень товаров'!$A$2:$I9525,2,0),"")</f>
        <v>т161</v>
      </c>
      <c r="C3691" s="12" t="str">
        <f>IFERROR(VLOOKUP(D3691,'[1]Перечень товаров'!$A$2:$I9525,3,0),"")</f>
        <v xml:space="preserve">Техника </v>
      </c>
      <c r="D3691" s="29" t="s">
        <v>381</v>
      </c>
      <c r="E3691" s="88"/>
      <c r="F3691" s="88"/>
      <c r="G3691" s="159">
        <v>1</v>
      </c>
      <c r="H3691" s="159"/>
      <c r="I3691" s="160"/>
      <c r="J3691" s="160"/>
      <c r="K3691" s="19"/>
      <c r="L3691" s="20"/>
      <c r="M3691" s="10"/>
      <c r="N3691" s="10"/>
      <c r="O3691" s="10"/>
      <c r="P3691" s="10"/>
      <c r="Q3691" s="10"/>
      <c r="R3691" s="10"/>
      <c r="S3691" s="10"/>
      <c r="T3691" s="10"/>
      <c r="U3691" s="10"/>
      <c r="V3691" s="10"/>
      <c r="W3691" s="10"/>
      <c r="X3691" s="10"/>
      <c r="Y3691" s="10"/>
      <c r="Z3691" s="10"/>
      <c r="AA3691" s="10"/>
      <c r="AB3691" s="10"/>
      <c r="AC3691" s="10"/>
      <c r="AD3691" s="10"/>
      <c r="AE3691" s="10"/>
      <c r="AF3691" s="10"/>
      <c r="AG3691" s="10"/>
      <c r="AH3691" s="10"/>
    </row>
    <row r="3692" spans="1:34" outlineLevel="2">
      <c r="A3692" s="114"/>
      <c r="B3692" s="12" t="str">
        <f>IFERROR(VLOOKUP(D3692,'[1]Перечень товаров'!$A$2:$I9525,2,0),"")</f>
        <v/>
      </c>
      <c r="C3692" s="12" t="str">
        <f>IFERROR(VLOOKUP(D3692,'[1]Перечень товаров'!$A$2:$I9525,3,0),"")</f>
        <v/>
      </c>
      <c r="D3692" s="114" t="s">
        <v>19</v>
      </c>
      <c r="E3692" s="115"/>
      <c r="F3692" s="115"/>
      <c r="G3692" s="157"/>
      <c r="H3692" s="157"/>
      <c r="I3692" s="158"/>
      <c r="J3692" s="158"/>
      <c r="K3692" s="19"/>
      <c r="L3692" s="20"/>
      <c r="M3692" s="10"/>
      <c r="N3692" s="10"/>
      <c r="O3692" s="10"/>
      <c r="P3692" s="10"/>
      <c r="Q3692" s="10"/>
      <c r="R3692" s="10"/>
      <c r="S3692" s="10"/>
      <c r="T3692" s="10"/>
      <c r="U3692" s="10"/>
      <c r="V3692" s="10"/>
      <c r="W3692" s="10"/>
      <c r="X3692" s="10"/>
      <c r="Y3692" s="10"/>
      <c r="Z3692" s="10"/>
      <c r="AA3692" s="10"/>
      <c r="AB3692" s="10"/>
      <c r="AC3692" s="10"/>
      <c r="AD3692" s="10"/>
      <c r="AE3692" s="10"/>
      <c r="AF3692" s="10"/>
      <c r="AG3692" s="10"/>
      <c r="AH3692" s="10"/>
    </row>
    <row r="3693" spans="1:34" outlineLevel="2">
      <c r="A3693" s="34"/>
      <c r="B3693" s="12" t="str">
        <f>IFERROR(VLOOKUP(D3693,'[1]Перечень товаров'!$A$2:$I9525,2,0),"")</f>
        <v>м62</v>
      </c>
      <c r="C3693" s="12" t="str">
        <f>IFERROR(VLOOKUP(D3693,'[1]Перечень товаров'!$A$2:$I9525,3,0),"")</f>
        <v>Мебель</v>
      </c>
      <c r="D3693" s="35" t="s">
        <v>398</v>
      </c>
      <c r="E3693" s="88"/>
      <c r="F3693" s="88"/>
      <c r="G3693" s="59">
        <v>1</v>
      </c>
      <c r="H3693" s="59"/>
      <c r="I3693" s="60"/>
      <c r="J3693" s="60"/>
      <c r="K3693" s="19"/>
      <c r="L3693" s="20"/>
      <c r="M3693" s="10"/>
      <c r="N3693" s="10"/>
      <c r="O3693" s="10"/>
      <c r="P3693" s="10"/>
      <c r="Q3693" s="10"/>
      <c r="R3693" s="10"/>
      <c r="S3693" s="10"/>
      <c r="T3693" s="10"/>
      <c r="U3693" s="10"/>
      <c r="V3693" s="10"/>
      <c r="W3693" s="10"/>
      <c r="X3693" s="10"/>
      <c r="Y3693" s="10"/>
      <c r="Z3693" s="10"/>
      <c r="AA3693" s="10"/>
      <c r="AB3693" s="10"/>
      <c r="AC3693" s="10"/>
      <c r="AD3693" s="10"/>
      <c r="AE3693" s="10"/>
      <c r="AF3693" s="10"/>
      <c r="AG3693" s="10"/>
      <c r="AH3693" s="10"/>
    </row>
    <row r="3694" spans="1:34" outlineLevel="2">
      <c r="A3694" s="34"/>
      <c r="B3694" s="12" t="str">
        <f>IFERROR(VLOOKUP(D3694,'[1]Перечень товаров'!$A$2:$I9525,2,0),"")</f>
        <v>м61</v>
      </c>
      <c r="C3694" s="12" t="str">
        <f>IFERROR(VLOOKUP(D3694,'[1]Перечень товаров'!$A$2:$I9525,3,0),"")</f>
        <v>Мебель</v>
      </c>
      <c r="D3694" s="35" t="s">
        <v>383</v>
      </c>
      <c r="E3694" s="88"/>
      <c r="F3694" s="88"/>
      <c r="G3694" s="59">
        <v>1</v>
      </c>
      <c r="H3694" s="59"/>
      <c r="I3694" s="60"/>
      <c r="J3694" s="60"/>
      <c r="K3694" s="19"/>
      <c r="L3694" s="20"/>
      <c r="M3694" s="10"/>
      <c r="N3694" s="10"/>
      <c r="O3694" s="10"/>
      <c r="P3694" s="10"/>
      <c r="Q3694" s="10"/>
      <c r="R3694" s="10"/>
      <c r="S3694" s="10"/>
      <c r="T3694" s="10"/>
      <c r="U3694" s="10"/>
      <c r="V3694" s="10"/>
      <c r="W3694" s="10"/>
      <c r="X3694" s="10"/>
      <c r="Y3694" s="10"/>
      <c r="Z3694" s="10"/>
      <c r="AA3694" s="10"/>
      <c r="AB3694" s="10"/>
      <c r="AC3694" s="10"/>
      <c r="AD3694" s="10"/>
      <c r="AE3694" s="10"/>
      <c r="AF3694" s="10"/>
      <c r="AG3694" s="10"/>
      <c r="AH3694" s="10"/>
    </row>
    <row r="3695" spans="1:34" outlineLevel="2">
      <c r="A3695" s="213"/>
      <c r="B3695" s="12" t="str">
        <f>IFERROR(VLOOKUP(D3695,'[1]Перечень товаров'!$A$2:$I9525,2,0),"")</f>
        <v>м176</v>
      </c>
      <c r="C3695" s="12" t="str">
        <f>IFERROR(VLOOKUP(D3695,'[1]Перечень товаров'!$A$2:$I9525,3,0),"")</f>
        <v>мебель</v>
      </c>
      <c r="D3695" s="214" t="s">
        <v>998</v>
      </c>
      <c r="E3695" s="88"/>
      <c r="F3695" s="88"/>
      <c r="G3695" s="159">
        <v>4</v>
      </c>
      <c r="H3695" s="159"/>
      <c r="I3695" s="160"/>
      <c r="J3695" s="160"/>
      <c r="K3695" s="19"/>
      <c r="L3695" s="20"/>
      <c r="M3695" s="10"/>
      <c r="N3695" s="10"/>
      <c r="O3695" s="10"/>
      <c r="P3695" s="10"/>
      <c r="Q3695" s="10"/>
      <c r="R3695" s="10"/>
      <c r="S3695" s="10"/>
      <c r="T3695" s="10"/>
      <c r="U3695" s="10"/>
      <c r="V3695" s="10"/>
      <c r="W3695" s="10"/>
      <c r="X3695" s="10"/>
      <c r="Y3695" s="10"/>
      <c r="Z3695" s="10"/>
      <c r="AA3695" s="10"/>
      <c r="AB3695" s="10"/>
      <c r="AC3695" s="10"/>
      <c r="AD3695" s="10"/>
      <c r="AE3695" s="10"/>
      <c r="AF3695" s="10"/>
      <c r="AG3695" s="10"/>
      <c r="AH3695" s="10"/>
    </row>
    <row r="3696" spans="1:34" outlineLevel="2">
      <c r="A3696" s="34"/>
      <c r="B3696" s="12" t="str">
        <f>IFERROR(VLOOKUP(D3696,'[1]Перечень товаров'!$A$2:$I9525,2,0),"")</f>
        <v>м61</v>
      </c>
      <c r="C3696" s="12" t="str">
        <f>IFERROR(VLOOKUP(D3696,'[1]Перечень товаров'!$A$2:$I9525,3,0),"")</f>
        <v>Мебель</v>
      </c>
      <c r="D3696" s="35" t="s">
        <v>384</v>
      </c>
      <c r="E3696" s="88"/>
      <c r="F3696" s="88"/>
      <c r="G3696" s="159">
        <v>4</v>
      </c>
      <c r="H3696" s="159"/>
      <c r="I3696" s="160"/>
      <c r="J3696" s="160"/>
      <c r="K3696" s="19"/>
      <c r="L3696" s="20"/>
      <c r="M3696" s="10"/>
      <c r="N3696" s="10"/>
      <c r="O3696" s="10"/>
      <c r="P3696" s="10"/>
      <c r="Q3696" s="10"/>
      <c r="R3696" s="10"/>
      <c r="S3696" s="10"/>
      <c r="T3696" s="10"/>
      <c r="U3696" s="10"/>
      <c r="V3696" s="10"/>
      <c r="W3696" s="10"/>
      <c r="X3696" s="10"/>
      <c r="Y3696" s="10"/>
      <c r="Z3696" s="10"/>
      <c r="AA3696" s="10"/>
      <c r="AB3696" s="10"/>
      <c r="AC3696" s="10"/>
      <c r="AD3696" s="10"/>
      <c r="AE3696" s="10"/>
      <c r="AF3696" s="10"/>
      <c r="AG3696" s="10"/>
      <c r="AH3696" s="10"/>
    </row>
    <row r="3697" spans="1:34" outlineLevel="2">
      <c r="A3697" s="22"/>
      <c r="B3697" s="12" t="str">
        <f>IFERROR(VLOOKUP(D3697,'[1]Перечень товаров'!$A$2:$I9525,2,0),"")</f>
        <v>м13</v>
      </c>
      <c r="C3697" s="12" t="str">
        <f>IFERROR(VLOOKUP(D3697,'[1]Перечень товаров'!$A$2:$I9525,3,0),"")</f>
        <v>Мебель</v>
      </c>
      <c r="D3697" s="22" t="s">
        <v>42</v>
      </c>
      <c r="E3697" s="88"/>
      <c r="F3697" s="88"/>
      <c r="G3697" s="48">
        <v>1</v>
      </c>
      <c r="H3697" s="48"/>
      <c r="I3697" s="49"/>
      <c r="J3697" s="49"/>
      <c r="K3697" s="19"/>
      <c r="L3697" s="20"/>
      <c r="M3697" s="10"/>
      <c r="N3697" s="10"/>
      <c r="O3697" s="10"/>
      <c r="P3697" s="10"/>
      <c r="Q3697" s="10"/>
      <c r="R3697" s="10"/>
      <c r="S3697" s="10"/>
      <c r="T3697" s="10"/>
      <c r="U3697" s="10"/>
      <c r="V3697" s="10"/>
      <c r="W3697" s="10"/>
      <c r="X3697" s="10"/>
      <c r="Y3697" s="10"/>
      <c r="Z3697" s="10"/>
      <c r="AA3697" s="10"/>
      <c r="AB3697" s="10"/>
      <c r="AC3697" s="10"/>
      <c r="AD3697" s="10"/>
      <c r="AE3697" s="10"/>
      <c r="AF3697" s="10"/>
      <c r="AG3697" s="10"/>
      <c r="AH3697" s="10"/>
    </row>
    <row r="3698" spans="1:34" outlineLevel="2">
      <c r="A3698" s="21"/>
      <c r="B3698" s="12" t="str">
        <f>IFERROR(VLOOKUP(D3698,'[1]Перечень товаров'!$A$2:$I9525,2,0),"")</f>
        <v>м14</v>
      </c>
      <c r="C3698" s="12" t="str">
        <f>IFERROR(VLOOKUP(D3698,'[1]Перечень товаров'!$A$2:$I9525,3,0),"")</f>
        <v>Мебель</v>
      </c>
      <c r="D3698" s="22" t="s">
        <v>43</v>
      </c>
      <c r="E3698" s="88"/>
      <c r="F3698" s="88"/>
      <c r="G3698" s="48">
        <v>1</v>
      </c>
      <c r="H3698" s="48"/>
      <c r="I3698" s="49"/>
      <c r="J3698" s="49"/>
      <c r="K3698" s="19"/>
      <c r="L3698" s="20"/>
      <c r="M3698" s="10"/>
      <c r="N3698" s="10"/>
      <c r="O3698" s="10"/>
      <c r="P3698" s="10"/>
      <c r="Q3698" s="10"/>
      <c r="R3698" s="10"/>
      <c r="S3698" s="10"/>
      <c r="T3698" s="10"/>
      <c r="U3698" s="10"/>
      <c r="V3698" s="10"/>
      <c r="W3698" s="10"/>
      <c r="X3698" s="10"/>
      <c r="Y3698" s="10"/>
      <c r="Z3698" s="10"/>
      <c r="AA3698" s="10"/>
      <c r="AB3698" s="10"/>
      <c r="AC3698" s="10"/>
      <c r="AD3698" s="10"/>
      <c r="AE3698" s="10"/>
      <c r="AF3698" s="10"/>
      <c r="AG3698" s="10"/>
      <c r="AH3698" s="10"/>
    </row>
    <row r="3699" spans="1:34" outlineLevel="2">
      <c r="A3699" s="21"/>
      <c r="B3699" s="12" t="str">
        <f>IFERROR(VLOOKUP(D3699,'[1]Перечень товаров'!$A$2:$I9525,2,0),"")</f>
        <v>п2</v>
      </c>
      <c r="C3699" s="12" t="str">
        <f>IFERROR(VLOOKUP(D3699,'[1]Перечень товаров'!$A$2:$I9525,3,0),"")</f>
        <v>Прочее</v>
      </c>
      <c r="D3699" s="22" t="s">
        <v>46</v>
      </c>
      <c r="E3699" s="88"/>
      <c r="F3699" s="88"/>
      <c r="G3699" s="24">
        <v>1</v>
      </c>
      <c r="H3699" s="24"/>
      <c r="I3699" s="25"/>
      <c r="J3699" s="25"/>
      <c r="K3699" s="19"/>
      <c r="L3699" s="20"/>
      <c r="M3699" s="10"/>
      <c r="N3699" s="10"/>
      <c r="O3699" s="10"/>
      <c r="P3699" s="10"/>
      <c r="Q3699" s="10"/>
      <c r="R3699" s="10"/>
      <c r="S3699" s="10"/>
      <c r="T3699" s="10"/>
      <c r="U3699" s="10"/>
      <c r="V3699" s="10"/>
      <c r="W3699" s="10"/>
      <c r="X3699" s="10"/>
      <c r="Y3699" s="10"/>
      <c r="Z3699" s="10"/>
      <c r="AA3699" s="10"/>
      <c r="AB3699" s="10"/>
      <c r="AC3699" s="10"/>
      <c r="AD3699" s="10"/>
      <c r="AE3699" s="10"/>
      <c r="AF3699" s="10"/>
      <c r="AG3699" s="10"/>
      <c r="AH3699" s="10"/>
    </row>
    <row r="3700" spans="1:34" ht="12.75" outlineLevel="1">
      <c r="A3700" s="11"/>
      <c r="B3700" s="12" t="str">
        <f>IFERROR(VLOOKUP(D3700,'[1]Перечень товаров'!$A$2:$I9525,2,0),"")</f>
        <v/>
      </c>
      <c r="C3700" s="12" t="str">
        <f>IFERROR(VLOOKUP(D3700,'[1]Перечень товаров'!$A$2:$I9525,3,0),"")</f>
        <v/>
      </c>
      <c r="D3700" s="27" t="s">
        <v>997</v>
      </c>
      <c r="E3700" s="14">
        <v>22</v>
      </c>
      <c r="F3700" s="14"/>
      <c r="G3700" s="17"/>
      <c r="H3700" s="17"/>
      <c r="I3700" s="57"/>
      <c r="J3700" s="57"/>
      <c r="K3700" s="19"/>
      <c r="L3700" s="20"/>
      <c r="M3700" s="10"/>
      <c r="N3700" s="10"/>
      <c r="O3700" s="10"/>
      <c r="P3700" s="10"/>
      <c r="Q3700" s="10"/>
      <c r="R3700" s="10"/>
      <c r="S3700" s="10"/>
      <c r="T3700" s="10"/>
      <c r="U3700" s="10"/>
      <c r="V3700" s="10"/>
      <c r="W3700" s="10"/>
      <c r="X3700" s="10"/>
      <c r="Y3700" s="10"/>
      <c r="Z3700" s="10"/>
      <c r="AA3700" s="10"/>
      <c r="AB3700" s="10"/>
      <c r="AC3700" s="10"/>
      <c r="AD3700" s="10"/>
      <c r="AE3700" s="10"/>
      <c r="AF3700" s="10"/>
      <c r="AG3700" s="10"/>
      <c r="AH3700" s="10"/>
    </row>
    <row r="3701" spans="1:34" outlineLevel="2">
      <c r="A3701" s="113"/>
      <c r="B3701" s="12" t="str">
        <f>IFERROR(VLOOKUP(D3701,'[1]Перечень товаров'!$A$2:$I9525,2,0),"")</f>
        <v/>
      </c>
      <c r="C3701" s="12" t="str">
        <f>IFERROR(VLOOKUP(D3701,'[1]Перечень товаров'!$A$2:$I9525,3,0),"")</f>
        <v/>
      </c>
      <c r="D3701" s="114" t="s">
        <v>391</v>
      </c>
      <c r="E3701" s="122"/>
      <c r="F3701" s="122"/>
      <c r="G3701" s="123"/>
      <c r="H3701" s="123"/>
      <c r="I3701" s="124"/>
      <c r="J3701" s="124"/>
      <c r="K3701" s="19"/>
      <c r="L3701" s="20"/>
      <c r="M3701" s="10"/>
      <c r="N3701" s="10"/>
      <c r="O3701" s="10"/>
      <c r="P3701" s="10"/>
      <c r="Q3701" s="10"/>
      <c r="R3701" s="10"/>
      <c r="S3701" s="10"/>
      <c r="T3701" s="10"/>
      <c r="U3701" s="10"/>
      <c r="V3701" s="10"/>
      <c r="W3701" s="10"/>
      <c r="X3701" s="10"/>
      <c r="Y3701" s="10"/>
      <c r="Z3701" s="10"/>
      <c r="AA3701" s="10"/>
      <c r="AB3701" s="10"/>
      <c r="AC3701" s="10"/>
      <c r="AD3701" s="10"/>
      <c r="AE3701" s="10"/>
      <c r="AF3701" s="10"/>
      <c r="AG3701" s="10"/>
      <c r="AH3701" s="10"/>
    </row>
    <row r="3702" spans="1:34" outlineLevel="2">
      <c r="A3702" s="28"/>
      <c r="B3702" s="12" t="str">
        <f>IFERROR(VLOOKUP(D3702,'[1]Перечень товаров'!$A$2:$I9525,2,0),"")</f>
        <v/>
      </c>
      <c r="C3702" s="12" t="str">
        <f>IFERROR(VLOOKUP(D3702,'[1]Перечень товаров'!$A$2:$I9525,3,0),"")</f>
        <v/>
      </c>
      <c r="D3702" s="29" t="s">
        <v>992</v>
      </c>
      <c r="E3702" s="30"/>
      <c r="F3702" s="30"/>
      <c r="G3702" s="31">
        <v>1</v>
      </c>
      <c r="H3702" s="31"/>
      <c r="I3702" s="32"/>
      <c r="J3702" s="32"/>
      <c r="K3702" s="19"/>
      <c r="L3702" s="20"/>
      <c r="M3702" s="10"/>
      <c r="N3702" s="10"/>
      <c r="O3702" s="10"/>
      <c r="P3702" s="10"/>
      <c r="Q3702" s="10"/>
      <c r="R3702" s="10"/>
      <c r="S3702" s="10"/>
      <c r="T3702" s="10"/>
      <c r="U3702" s="10"/>
      <c r="V3702" s="10"/>
      <c r="W3702" s="10"/>
      <c r="X3702" s="10"/>
      <c r="Y3702" s="10"/>
      <c r="Z3702" s="10"/>
      <c r="AA3702" s="10"/>
      <c r="AB3702" s="10"/>
      <c r="AC3702" s="10"/>
      <c r="AD3702" s="10"/>
      <c r="AE3702" s="10"/>
      <c r="AF3702" s="10"/>
      <c r="AG3702" s="10"/>
      <c r="AH3702" s="10"/>
    </row>
    <row r="3703" spans="1:34" ht="31.5" outlineLevel="2">
      <c r="A3703" s="28"/>
      <c r="B3703" s="12" t="str">
        <f>IFERROR(VLOOKUP(D3703,'[1]Перечень товаров'!$A$2:$I9525,2,0),"")</f>
        <v>д556</v>
      </c>
      <c r="C3703" s="12" t="str">
        <f>IFERROR(VLOOKUP(D3703,'[1]Перечень товаров'!$A$2:$I9525,3,0),"")</f>
        <v>дидактика</v>
      </c>
      <c r="D3703" s="29" t="s">
        <v>993</v>
      </c>
      <c r="E3703" s="30"/>
      <c r="F3703" s="30"/>
      <c r="G3703" s="31">
        <v>1</v>
      </c>
      <c r="H3703" s="31"/>
      <c r="I3703" s="32"/>
      <c r="J3703" s="32"/>
      <c r="K3703" s="19"/>
      <c r="L3703" s="20"/>
      <c r="M3703" s="10"/>
      <c r="N3703" s="10"/>
      <c r="O3703" s="10"/>
      <c r="P3703" s="10"/>
      <c r="Q3703" s="10"/>
      <c r="R3703" s="10"/>
      <c r="S3703" s="10"/>
      <c r="T3703" s="10"/>
      <c r="U3703" s="10"/>
      <c r="V3703" s="10"/>
      <c r="W3703" s="10"/>
      <c r="X3703" s="10"/>
      <c r="Y3703" s="10"/>
      <c r="Z3703" s="10"/>
      <c r="AA3703" s="10"/>
      <c r="AB3703" s="10"/>
      <c r="AC3703" s="10"/>
      <c r="AD3703" s="10"/>
      <c r="AE3703" s="10"/>
      <c r="AF3703" s="10"/>
      <c r="AG3703" s="10"/>
      <c r="AH3703" s="10"/>
    </row>
    <row r="3704" spans="1:34" ht="31.5" outlineLevel="2">
      <c r="A3704" s="28"/>
      <c r="B3704" s="12" t="str">
        <f>IFERROR(VLOOKUP(D3704,'[1]Перечень товаров'!$A$2:$I9525,2,0),"")</f>
        <v>пм212</v>
      </c>
      <c r="C3704" s="12" t="str">
        <f>IFERROR(VLOOKUP(D3704,'[1]Перечень товаров'!$A$2:$I9525,3,0),"")</f>
        <v>прочее муз</v>
      </c>
      <c r="D3704" s="29" t="s">
        <v>994</v>
      </c>
      <c r="E3704" s="30"/>
      <c r="F3704" s="30"/>
      <c r="G3704" s="31">
        <v>1</v>
      </c>
      <c r="H3704" s="31"/>
      <c r="I3704" s="32"/>
      <c r="J3704" s="32"/>
      <c r="K3704" s="19"/>
      <c r="L3704" s="20"/>
      <c r="M3704" s="10"/>
      <c r="N3704" s="10"/>
      <c r="O3704" s="10"/>
      <c r="P3704" s="10"/>
      <c r="Q3704" s="10"/>
      <c r="R3704" s="10"/>
      <c r="S3704" s="10"/>
      <c r="T3704" s="10"/>
      <c r="U3704" s="10"/>
      <c r="V3704" s="10"/>
      <c r="W3704" s="10"/>
      <c r="X3704" s="10"/>
      <c r="Y3704" s="10"/>
      <c r="Z3704" s="10"/>
      <c r="AA3704" s="10"/>
      <c r="AB3704" s="10"/>
      <c r="AC3704" s="10"/>
      <c r="AD3704" s="10"/>
      <c r="AE3704" s="10"/>
      <c r="AF3704" s="10"/>
      <c r="AG3704" s="10"/>
      <c r="AH3704" s="10"/>
    </row>
    <row r="3705" spans="1:34" outlineLevel="2">
      <c r="A3705" s="28"/>
      <c r="B3705" s="12" t="str">
        <f>IFERROR(VLOOKUP(D3705,'[1]Перечень товаров'!$A$2:$I9525,2,0),"")</f>
        <v>пм211</v>
      </c>
      <c r="C3705" s="12" t="str">
        <f>IFERROR(VLOOKUP(D3705,'[1]Перечень товаров'!$A$2:$I9525,3,0),"")</f>
        <v>прочее муз</v>
      </c>
      <c r="D3705" s="29" t="s">
        <v>995</v>
      </c>
      <c r="E3705" s="30"/>
      <c r="F3705" s="30"/>
      <c r="G3705" s="31">
        <v>2</v>
      </c>
      <c r="H3705" s="31"/>
      <c r="I3705" s="32"/>
      <c r="J3705" s="32"/>
      <c r="K3705" s="19"/>
      <c r="L3705" s="20"/>
      <c r="M3705" s="10"/>
      <c r="N3705" s="10"/>
      <c r="O3705" s="10"/>
      <c r="P3705" s="10"/>
      <c r="Q3705" s="10"/>
      <c r="R3705" s="10"/>
      <c r="S3705" s="10"/>
      <c r="T3705" s="10"/>
      <c r="U3705" s="10"/>
      <c r="V3705" s="10"/>
      <c r="W3705" s="10"/>
      <c r="X3705" s="10"/>
      <c r="Y3705" s="10"/>
      <c r="Z3705" s="10"/>
      <c r="AA3705" s="10"/>
      <c r="AB3705" s="10"/>
      <c r="AC3705" s="10"/>
      <c r="AD3705" s="10"/>
      <c r="AE3705" s="10"/>
      <c r="AF3705" s="10"/>
      <c r="AG3705" s="10"/>
      <c r="AH3705" s="10"/>
    </row>
    <row r="3706" spans="1:34" ht="31.5" outlineLevel="2">
      <c r="A3706" s="28"/>
      <c r="B3706" s="12" t="str">
        <f>IFERROR(VLOOKUP(D3706,'[1]Перечень товаров'!$A$2:$I9525,2,0),"")</f>
        <v>пм210</v>
      </c>
      <c r="C3706" s="12" t="str">
        <f>IFERROR(VLOOKUP(D3706,'[1]Перечень товаров'!$A$2:$I9525,3,0),"")</f>
        <v>прочее муз</v>
      </c>
      <c r="D3706" s="29" t="s">
        <v>996</v>
      </c>
      <c r="E3706" s="30"/>
      <c r="F3706" s="30"/>
      <c r="G3706" s="31">
        <v>1</v>
      </c>
      <c r="H3706" s="31"/>
      <c r="I3706" s="32"/>
      <c r="J3706" s="32"/>
      <c r="K3706" s="19"/>
      <c r="L3706" s="20"/>
      <c r="M3706" s="10"/>
      <c r="N3706" s="10"/>
      <c r="O3706" s="10"/>
      <c r="P3706" s="10"/>
      <c r="Q3706" s="10"/>
      <c r="R3706" s="10"/>
      <c r="S3706" s="10"/>
      <c r="T3706" s="10"/>
      <c r="U3706" s="10"/>
      <c r="V3706" s="10"/>
      <c r="W3706" s="10"/>
      <c r="X3706" s="10"/>
      <c r="Y3706" s="10"/>
      <c r="Z3706" s="10"/>
      <c r="AA3706" s="10"/>
      <c r="AB3706" s="10"/>
      <c r="AC3706" s="10"/>
      <c r="AD3706" s="10"/>
      <c r="AE3706" s="10"/>
      <c r="AF3706" s="10"/>
      <c r="AG3706" s="10"/>
      <c r="AH3706" s="10"/>
    </row>
    <row r="3707" spans="1:34" ht="15" outlineLevel="2">
      <c r="A3707" s="109"/>
      <c r="B3707" s="12" t="str">
        <f>IFERROR(VLOOKUP(D3707,'[1]Перечень товаров'!$A$2:$I9525,2,0),"")</f>
        <v/>
      </c>
      <c r="C3707" s="12" t="str">
        <f>IFERROR(VLOOKUP(D3707,'[1]Перечень товаров'!$A$2:$I9525,3,0),"")</f>
        <v/>
      </c>
      <c r="D3707" s="110" t="s">
        <v>27</v>
      </c>
      <c r="E3707" s="115"/>
      <c r="F3707" s="115"/>
      <c r="G3707" s="211"/>
      <c r="H3707" s="211"/>
      <c r="I3707" s="212"/>
      <c r="J3707" s="212"/>
      <c r="K3707" s="19"/>
      <c r="L3707" s="20"/>
      <c r="M3707" s="10"/>
      <c r="N3707" s="10"/>
      <c r="O3707" s="10"/>
      <c r="P3707" s="10"/>
      <c r="Q3707" s="10"/>
      <c r="R3707" s="10"/>
      <c r="S3707" s="10"/>
      <c r="T3707" s="10"/>
      <c r="U3707" s="10"/>
      <c r="V3707" s="10"/>
      <c r="W3707" s="10"/>
      <c r="X3707" s="10"/>
      <c r="Y3707" s="10"/>
      <c r="Z3707" s="10"/>
      <c r="AA3707" s="10"/>
      <c r="AB3707" s="10"/>
      <c r="AC3707" s="10"/>
      <c r="AD3707" s="10"/>
      <c r="AE3707" s="10"/>
      <c r="AF3707" s="10"/>
      <c r="AG3707" s="10"/>
      <c r="AH3707" s="10"/>
    </row>
    <row r="3708" spans="1:34" outlineLevel="2">
      <c r="A3708" s="21"/>
      <c r="B3708" s="12" t="str">
        <f>IFERROR(VLOOKUP(D3708,'[1]Перечень товаров'!$A$2:$I9525,2,0),"")</f>
        <v>т1</v>
      </c>
      <c r="C3708" s="12" t="str">
        <f>IFERROR(VLOOKUP(D3708,'[1]Перечень товаров'!$A$2:$I9525,3,0),"")</f>
        <v xml:space="preserve">Техника </v>
      </c>
      <c r="D3708" s="22" t="s">
        <v>28</v>
      </c>
      <c r="E3708" s="88"/>
      <c r="F3708" s="88"/>
      <c r="G3708" s="48">
        <v>1</v>
      </c>
      <c r="H3708" s="48"/>
      <c r="I3708" s="49"/>
      <c r="J3708" s="49"/>
      <c r="K3708" s="19"/>
      <c r="L3708" s="20"/>
      <c r="M3708" s="10"/>
      <c r="N3708" s="10"/>
      <c r="O3708" s="10"/>
      <c r="P3708" s="10"/>
      <c r="Q3708" s="10"/>
      <c r="R3708" s="10"/>
      <c r="S3708" s="10"/>
      <c r="T3708" s="10"/>
      <c r="U3708" s="10"/>
      <c r="V3708" s="10"/>
      <c r="W3708" s="10"/>
      <c r="X3708" s="10"/>
      <c r="Y3708" s="10"/>
      <c r="Z3708" s="10"/>
      <c r="AA3708" s="10"/>
      <c r="AB3708" s="10"/>
      <c r="AC3708" s="10"/>
      <c r="AD3708" s="10"/>
      <c r="AE3708" s="10"/>
      <c r="AF3708" s="10"/>
      <c r="AG3708" s="10"/>
      <c r="AH3708" s="10"/>
    </row>
    <row r="3709" spans="1:34" outlineLevel="2">
      <c r="A3709" s="22"/>
      <c r="B3709" s="12" t="str">
        <f>IFERROR(VLOOKUP(D3709,'[1]Перечень товаров'!$A$2:$I9525,2,0),"")</f>
        <v>т9</v>
      </c>
      <c r="C3709" s="12" t="str">
        <f>IFERROR(VLOOKUP(D3709,'[1]Перечень товаров'!$A$2:$I9525,3,0),"")</f>
        <v>Техника</v>
      </c>
      <c r="D3709" s="22" t="s">
        <v>36</v>
      </c>
      <c r="E3709" s="88"/>
      <c r="F3709" s="88"/>
      <c r="G3709" s="48">
        <v>1</v>
      </c>
      <c r="H3709" s="48"/>
      <c r="I3709" s="49"/>
      <c r="J3709" s="49"/>
      <c r="K3709" s="19"/>
      <c r="L3709" s="20"/>
      <c r="M3709" s="10"/>
      <c r="N3709" s="10"/>
      <c r="O3709" s="10"/>
      <c r="P3709" s="10"/>
      <c r="Q3709" s="10"/>
      <c r="R3709" s="10"/>
      <c r="S3709" s="10"/>
      <c r="T3709" s="10"/>
      <c r="U3709" s="10"/>
      <c r="V3709" s="10"/>
      <c r="W3709" s="10"/>
      <c r="X3709" s="10"/>
      <c r="Y3709" s="10"/>
      <c r="Z3709" s="10"/>
      <c r="AA3709" s="10"/>
      <c r="AB3709" s="10"/>
      <c r="AC3709" s="10"/>
      <c r="AD3709" s="10"/>
      <c r="AE3709" s="10"/>
      <c r="AF3709" s="10"/>
      <c r="AG3709" s="10"/>
      <c r="AH3709" s="10"/>
    </row>
    <row r="3710" spans="1:34" outlineLevel="2">
      <c r="A3710" s="35"/>
      <c r="B3710" s="12" t="str">
        <f>IFERROR(VLOOKUP(D3710,'[1]Перечень товаров'!$A$2:$I9525,2,0),"")</f>
        <v>т2</v>
      </c>
      <c r="C3710" s="12" t="str">
        <f>IFERROR(VLOOKUP(D3710,'[1]Перечень товаров'!$A$2:$I9525,3,0),"")</f>
        <v xml:space="preserve">Техника </v>
      </c>
      <c r="D3710" s="35" t="s">
        <v>29</v>
      </c>
      <c r="E3710" s="88"/>
      <c r="F3710" s="88"/>
      <c r="G3710" s="48">
        <v>1</v>
      </c>
      <c r="H3710" s="48"/>
      <c r="I3710" s="49"/>
      <c r="J3710" s="49"/>
      <c r="K3710" s="19"/>
      <c r="L3710" s="20"/>
      <c r="M3710" s="10"/>
      <c r="N3710" s="10"/>
      <c r="O3710" s="10"/>
      <c r="P3710" s="10"/>
      <c r="Q3710" s="10"/>
      <c r="R3710" s="10"/>
      <c r="S3710" s="10"/>
      <c r="T3710" s="10"/>
      <c r="U3710" s="10"/>
      <c r="V3710" s="10"/>
      <c r="W3710" s="10"/>
      <c r="X3710" s="10"/>
      <c r="Y3710" s="10"/>
      <c r="Z3710" s="10"/>
      <c r="AA3710" s="10"/>
      <c r="AB3710" s="10"/>
      <c r="AC3710" s="10"/>
      <c r="AD3710" s="10"/>
      <c r="AE3710" s="10"/>
      <c r="AF3710" s="10"/>
      <c r="AG3710" s="10"/>
      <c r="AH3710" s="10"/>
    </row>
    <row r="3711" spans="1:34" outlineLevel="2">
      <c r="A3711" s="35"/>
      <c r="B3711" s="12" t="str">
        <f>IFERROR(VLOOKUP(D3711,'[1]Перечень товаров'!$A$2:$I9525,2,0),"")</f>
        <v>т3</v>
      </c>
      <c r="C3711" s="12" t="str">
        <f>IFERROR(VLOOKUP(D3711,'[1]Перечень товаров'!$A$2:$I9525,3,0),"")</f>
        <v xml:space="preserve">Техника </v>
      </c>
      <c r="D3711" s="35" t="s">
        <v>30</v>
      </c>
      <c r="E3711" s="88"/>
      <c r="F3711" s="88"/>
      <c r="G3711" s="48">
        <v>1</v>
      </c>
      <c r="H3711" s="48"/>
      <c r="I3711" s="49"/>
      <c r="J3711" s="49"/>
      <c r="K3711" s="19"/>
      <c r="L3711" s="20"/>
      <c r="M3711" s="10"/>
      <c r="N3711" s="10"/>
      <c r="O3711" s="10"/>
      <c r="P3711" s="10"/>
      <c r="Q3711" s="10"/>
      <c r="R3711" s="10"/>
      <c r="S3711" s="10"/>
      <c r="T3711" s="10"/>
      <c r="U3711" s="10"/>
      <c r="V3711" s="10"/>
      <c r="W3711" s="10"/>
      <c r="X3711" s="10"/>
      <c r="Y3711" s="10"/>
      <c r="Z3711" s="10"/>
      <c r="AA3711" s="10"/>
      <c r="AB3711" s="10"/>
      <c r="AC3711" s="10"/>
      <c r="AD3711" s="10"/>
      <c r="AE3711" s="10"/>
      <c r="AF3711" s="10"/>
      <c r="AG3711" s="10"/>
      <c r="AH3711" s="10"/>
    </row>
    <row r="3712" spans="1:34" outlineLevel="2">
      <c r="A3712" s="35"/>
      <c r="B3712" s="12" t="str">
        <f>IFERROR(VLOOKUP(D3712,'[1]Перечень товаров'!$A$2:$I9525,2,0),"")</f>
        <v>т4</v>
      </c>
      <c r="C3712" s="12" t="str">
        <f>IFERROR(VLOOKUP(D3712,'[1]Перечень товаров'!$A$2:$I9525,3,0),"")</f>
        <v xml:space="preserve">Техника </v>
      </c>
      <c r="D3712" s="35" t="s">
        <v>31</v>
      </c>
      <c r="E3712" s="88"/>
      <c r="F3712" s="88"/>
      <c r="G3712" s="48">
        <v>1</v>
      </c>
      <c r="H3712" s="48"/>
      <c r="I3712" s="49"/>
      <c r="J3712" s="49"/>
      <c r="K3712" s="19"/>
      <c r="L3712" s="20"/>
      <c r="M3712" s="10"/>
      <c r="N3712" s="10"/>
      <c r="O3712" s="10"/>
      <c r="P3712" s="10"/>
      <c r="Q3712" s="10"/>
      <c r="R3712" s="10"/>
      <c r="S3712" s="10"/>
      <c r="T3712" s="10"/>
      <c r="U3712" s="10"/>
      <c r="V3712" s="10"/>
      <c r="W3712" s="10"/>
      <c r="X3712" s="10"/>
      <c r="Y3712" s="10"/>
      <c r="Z3712" s="10"/>
      <c r="AA3712" s="10"/>
      <c r="AB3712" s="10"/>
      <c r="AC3712" s="10"/>
      <c r="AD3712" s="10"/>
      <c r="AE3712" s="10"/>
      <c r="AF3712" s="10"/>
      <c r="AG3712" s="10"/>
      <c r="AH3712" s="10"/>
    </row>
    <row r="3713" spans="1:34" outlineLevel="2">
      <c r="A3713" s="21"/>
      <c r="B3713" s="12" t="str">
        <f>IFERROR(VLOOKUP(D3713,'[1]Перечень товаров'!$A$2:$I9525,2,0),"")</f>
        <v>тм65</v>
      </c>
      <c r="C3713" s="12" t="str">
        <f>IFERROR(VLOOKUP(D3713,'[1]Перечень товаров'!$A$2:$I9525,3,0),"")</f>
        <v>Техника муз</v>
      </c>
      <c r="D3713" s="22" t="s">
        <v>380</v>
      </c>
      <c r="E3713" s="88"/>
      <c r="F3713" s="88"/>
      <c r="G3713" s="48">
        <v>1</v>
      </c>
      <c r="H3713" s="48"/>
      <c r="I3713" s="49"/>
      <c r="J3713" s="49"/>
      <c r="K3713" s="19"/>
      <c r="L3713" s="20"/>
      <c r="M3713" s="10"/>
      <c r="N3713" s="10"/>
      <c r="O3713" s="10"/>
      <c r="P3713" s="10"/>
      <c r="Q3713" s="10"/>
      <c r="R3713" s="10"/>
      <c r="S3713" s="10"/>
      <c r="T3713" s="10"/>
      <c r="U3713" s="10"/>
      <c r="V3713" s="10"/>
      <c r="W3713" s="10"/>
      <c r="X3713" s="10"/>
      <c r="Y3713" s="10"/>
      <c r="Z3713" s="10"/>
      <c r="AA3713" s="10"/>
      <c r="AB3713" s="10"/>
      <c r="AC3713" s="10"/>
      <c r="AD3713" s="10"/>
      <c r="AE3713" s="10"/>
      <c r="AF3713" s="10"/>
      <c r="AG3713" s="10"/>
      <c r="AH3713" s="10"/>
    </row>
    <row r="3714" spans="1:34" outlineLevel="2">
      <c r="A3714" s="21"/>
      <c r="B3714" s="12" t="str">
        <f>IFERROR(VLOOKUP(D3714,'[1]Перечень товаров'!$A$2:$I9525,2,0),"")</f>
        <v>т12</v>
      </c>
      <c r="C3714" s="12" t="str">
        <f>IFERROR(VLOOKUP(D3714,'[1]Перечень товаров'!$A$2:$I9525,3,0),"")</f>
        <v>Техника</v>
      </c>
      <c r="D3714" s="22" t="s">
        <v>49</v>
      </c>
      <c r="E3714" s="88"/>
      <c r="F3714" s="88"/>
      <c r="G3714" s="48">
        <v>1</v>
      </c>
      <c r="H3714" s="48"/>
      <c r="I3714" s="49"/>
      <c r="J3714" s="49"/>
      <c r="K3714" s="19"/>
      <c r="L3714" s="20"/>
      <c r="M3714" s="10"/>
      <c r="N3714" s="10"/>
      <c r="O3714" s="10"/>
      <c r="P3714" s="10"/>
      <c r="Q3714" s="10"/>
      <c r="R3714" s="10"/>
      <c r="S3714" s="10"/>
      <c r="T3714" s="10"/>
      <c r="U3714" s="10"/>
      <c r="V3714" s="10"/>
      <c r="W3714" s="10"/>
      <c r="X3714" s="10"/>
      <c r="Y3714" s="10"/>
      <c r="Z3714" s="10"/>
      <c r="AA3714" s="10"/>
      <c r="AB3714" s="10"/>
      <c r="AC3714" s="10"/>
      <c r="AD3714" s="10"/>
      <c r="AE3714" s="10"/>
      <c r="AF3714" s="10"/>
      <c r="AG3714" s="10"/>
      <c r="AH3714" s="10"/>
    </row>
    <row r="3715" spans="1:34" outlineLevel="2">
      <c r="A3715" s="35"/>
      <c r="B3715" s="12" t="str">
        <f>IFERROR(VLOOKUP(D3715,'[1]Перечень товаров'!$A$2:$I9525,2,0),"")</f>
        <v>т6</v>
      </c>
      <c r="C3715" s="12" t="str">
        <f>IFERROR(VLOOKUP(D3715,'[1]Перечень товаров'!$A$2:$I9525,3,0),"")</f>
        <v xml:space="preserve">Техника </v>
      </c>
      <c r="D3715" s="35" t="s">
        <v>33</v>
      </c>
      <c r="E3715" s="88"/>
      <c r="F3715" s="88"/>
      <c r="G3715" s="48">
        <v>1</v>
      </c>
      <c r="H3715" s="48"/>
      <c r="I3715" s="49"/>
      <c r="J3715" s="49"/>
      <c r="K3715" s="19"/>
      <c r="L3715" s="20"/>
      <c r="M3715" s="10"/>
      <c r="N3715" s="10"/>
      <c r="O3715" s="10"/>
      <c r="P3715" s="10"/>
      <c r="Q3715" s="10"/>
      <c r="R3715" s="10"/>
      <c r="S3715" s="10"/>
      <c r="T3715" s="10"/>
      <c r="U3715" s="10"/>
      <c r="V3715" s="10"/>
      <c r="W3715" s="10"/>
      <c r="X3715" s="10"/>
      <c r="Y3715" s="10"/>
      <c r="Z3715" s="10"/>
      <c r="AA3715" s="10"/>
      <c r="AB3715" s="10"/>
      <c r="AC3715" s="10"/>
      <c r="AD3715" s="10"/>
      <c r="AE3715" s="10"/>
      <c r="AF3715" s="10"/>
      <c r="AG3715" s="10"/>
      <c r="AH3715" s="10"/>
    </row>
    <row r="3716" spans="1:34" outlineLevel="2">
      <c r="A3716" s="22"/>
      <c r="B3716" s="12" t="str">
        <f>IFERROR(VLOOKUP(D3716,'[1]Перечень товаров'!$A$2:$I9525,2,0),"")</f>
        <v>т7</v>
      </c>
      <c r="C3716" s="12" t="str">
        <f>IFERROR(VLOOKUP(D3716,'[1]Перечень товаров'!$A$2:$I9525,3,0),"")</f>
        <v xml:space="preserve">Техника </v>
      </c>
      <c r="D3716" s="22" t="s">
        <v>34</v>
      </c>
      <c r="E3716" s="88"/>
      <c r="F3716" s="88"/>
      <c r="G3716" s="48">
        <v>3</v>
      </c>
      <c r="H3716" s="48"/>
      <c r="I3716" s="49"/>
      <c r="J3716" s="49"/>
      <c r="K3716" s="19"/>
      <c r="L3716" s="20"/>
      <c r="M3716" s="10"/>
      <c r="N3716" s="10"/>
      <c r="O3716" s="10"/>
      <c r="P3716" s="10"/>
      <c r="Q3716" s="10"/>
      <c r="R3716" s="10"/>
      <c r="S3716" s="10"/>
      <c r="T3716" s="10"/>
      <c r="U3716" s="10"/>
      <c r="V3716" s="10"/>
      <c r="W3716" s="10"/>
      <c r="X3716" s="10"/>
      <c r="Y3716" s="10"/>
      <c r="Z3716" s="10"/>
      <c r="AA3716" s="10"/>
      <c r="AB3716" s="10"/>
      <c r="AC3716" s="10"/>
      <c r="AD3716" s="10"/>
      <c r="AE3716" s="10"/>
      <c r="AF3716" s="10"/>
      <c r="AG3716" s="10"/>
      <c r="AH3716" s="10"/>
    </row>
    <row r="3717" spans="1:34" outlineLevel="2">
      <c r="A3717" s="35"/>
      <c r="B3717" s="12" t="str">
        <f>IFERROR(VLOOKUP(D3717,'[1]Перечень товаров'!$A$2:$I9525,2,0),"")</f>
        <v>т161</v>
      </c>
      <c r="C3717" s="12" t="str">
        <f>IFERROR(VLOOKUP(D3717,'[1]Перечень товаров'!$A$2:$I9525,3,0),"")</f>
        <v xml:space="preserve">Техника </v>
      </c>
      <c r="D3717" s="29" t="s">
        <v>381</v>
      </c>
      <c r="E3717" s="88"/>
      <c r="F3717" s="88"/>
      <c r="G3717" s="159">
        <v>1</v>
      </c>
      <c r="H3717" s="159"/>
      <c r="I3717" s="160"/>
      <c r="J3717" s="160"/>
      <c r="K3717" s="19"/>
      <c r="L3717" s="20"/>
      <c r="M3717" s="10"/>
      <c r="N3717" s="10"/>
      <c r="O3717" s="10"/>
      <c r="P3717" s="10"/>
      <c r="Q3717" s="10"/>
      <c r="R3717" s="10"/>
      <c r="S3717" s="10"/>
      <c r="T3717" s="10"/>
      <c r="U3717" s="10"/>
      <c r="V3717" s="10"/>
      <c r="W3717" s="10"/>
      <c r="X3717" s="10"/>
      <c r="Y3717" s="10"/>
      <c r="Z3717" s="10"/>
      <c r="AA3717" s="10"/>
      <c r="AB3717" s="10"/>
      <c r="AC3717" s="10"/>
      <c r="AD3717" s="10"/>
      <c r="AE3717" s="10"/>
      <c r="AF3717" s="10"/>
      <c r="AG3717" s="10"/>
      <c r="AH3717" s="10"/>
    </row>
    <row r="3718" spans="1:34" outlineLevel="2">
      <c r="A3718" s="114"/>
      <c r="B3718" s="12" t="str">
        <f>IFERROR(VLOOKUP(D3718,'[1]Перечень товаров'!$A$2:$I9525,2,0),"")</f>
        <v/>
      </c>
      <c r="C3718" s="12" t="str">
        <f>IFERROR(VLOOKUP(D3718,'[1]Перечень товаров'!$A$2:$I9525,3,0),"")</f>
        <v/>
      </c>
      <c r="D3718" s="114" t="s">
        <v>19</v>
      </c>
      <c r="E3718" s="115"/>
      <c r="F3718" s="115"/>
      <c r="G3718" s="157"/>
      <c r="H3718" s="157"/>
      <c r="I3718" s="158"/>
      <c r="J3718" s="158"/>
      <c r="K3718" s="19"/>
      <c r="L3718" s="20"/>
      <c r="M3718" s="10"/>
      <c r="N3718" s="10"/>
      <c r="O3718" s="10"/>
      <c r="P3718" s="10"/>
      <c r="Q3718" s="10"/>
      <c r="R3718" s="10"/>
      <c r="S3718" s="10"/>
      <c r="T3718" s="10"/>
      <c r="U3718" s="10"/>
      <c r="V3718" s="10"/>
      <c r="W3718" s="10"/>
      <c r="X3718" s="10"/>
      <c r="Y3718" s="10"/>
      <c r="Z3718" s="10"/>
      <c r="AA3718" s="10"/>
      <c r="AB3718" s="10"/>
      <c r="AC3718" s="10"/>
      <c r="AD3718" s="10"/>
      <c r="AE3718" s="10"/>
      <c r="AF3718" s="10"/>
      <c r="AG3718" s="10"/>
      <c r="AH3718" s="10"/>
    </row>
    <row r="3719" spans="1:34" outlineLevel="2">
      <c r="A3719" s="34"/>
      <c r="B3719" s="12" t="str">
        <f>IFERROR(VLOOKUP(D3719,'[1]Перечень товаров'!$A$2:$I9525,2,0),"")</f>
        <v>м62</v>
      </c>
      <c r="C3719" s="12" t="str">
        <f>IFERROR(VLOOKUP(D3719,'[1]Перечень товаров'!$A$2:$I9525,3,0),"")</f>
        <v>Мебель</v>
      </c>
      <c r="D3719" s="35" t="s">
        <v>398</v>
      </c>
      <c r="E3719" s="88"/>
      <c r="F3719" s="88"/>
      <c r="G3719" s="59">
        <v>1</v>
      </c>
      <c r="H3719" s="59"/>
      <c r="I3719" s="60"/>
      <c r="J3719" s="60"/>
      <c r="K3719" s="19"/>
      <c r="L3719" s="20"/>
      <c r="M3719" s="10"/>
      <c r="N3719" s="10"/>
      <c r="O3719" s="10"/>
      <c r="P3719" s="10"/>
      <c r="Q3719" s="10"/>
      <c r="R3719" s="10"/>
      <c r="S3719" s="10"/>
      <c r="T3719" s="10"/>
      <c r="U3719" s="10"/>
      <c r="V3719" s="10"/>
      <c r="W3719" s="10"/>
      <c r="X3719" s="10"/>
      <c r="Y3719" s="10"/>
      <c r="Z3719" s="10"/>
      <c r="AA3719" s="10"/>
      <c r="AB3719" s="10"/>
      <c r="AC3719" s="10"/>
      <c r="AD3719" s="10"/>
      <c r="AE3719" s="10"/>
      <c r="AF3719" s="10"/>
      <c r="AG3719" s="10"/>
      <c r="AH3719" s="10"/>
    </row>
    <row r="3720" spans="1:34" outlineLevel="2">
      <c r="A3720" s="34"/>
      <c r="B3720" s="12" t="str">
        <f>IFERROR(VLOOKUP(D3720,'[1]Перечень товаров'!$A$2:$I9525,2,0),"")</f>
        <v>м61</v>
      </c>
      <c r="C3720" s="12" t="str">
        <f>IFERROR(VLOOKUP(D3720,'[1]Перечень товаров'!$A$2:$I9525,3,0),"")</f>
        <v>Мебель</v>
      </c>
      <c r="D3720" s="35" t="s">
        <v>383</v>
      </c>
      <c r="E3720" s="88"/>
      <c r="F3720" s="88"/>
      <c r="G3720" s="59">
        <v>1</v>
      </c>
      <c r="H3720" s="59"/>
      <c r="I3720" s="60"/>
      <c r="J3720" s="60"/>
      <c r="K3720" s="19"/>
      <c r="L3720" s="20"/>
      <c r="M3720" s="10"/>
      <c r="N3720" s="10"/>
      <c r="O3720" s="10"/>
      <c r="P3720" s="10"/>
      <c r="Q3720" s="10"/>
      <c r="R3720" s="10"/>
      <c r="S3720" s="10"/>
      <c r="T3720" s="10"/>
      <c r="U3720" s="10"/>
      <c r="V3720" s="10"/>
      <c r="W3720" s="10"/>
      <c r="X3720" s="10"/>
      <c r="Y3720" s="10"/>
      <c r="Z3720" s="10"/>
      <c r="AA3720" s="10"/>
      <c r="AB3720" s="10"/>
      <c r="AC3720" s="10"/>
      <c r="AD3720" s="10"/>
      <c r="AE3720" s="10"/>
      <c r="AF3720" s="10"/>
      <c r="AG3720" s="10"/>
      <c r="AH3720" s="10"/>
    </row>
    <row r="3721" spans="1:34" outlineLevel="2">
      <c r="A3721" s="213"/>
      <c r="B3721" s="12" t="str">
        <f>IFERROR(VLOOKUP(D3721,'[1]Перечень товаров'!$A$2:$I9525,2,0),"")</f>
        <v>м176</v>
      </c>
      <c r="C3721" s="12" t="str">
        <f>IFERROR(VLOOKUP(D3721,'[1]Перечень товаров'!$A$2:$I9525,3,0),"")</f>
        <v>мебель</v>
      </c>
      <c r="D3721" s="214" t="s">
        <v>998</v>
      </c>
      <c r="E3721" s="88"/>
      <c r="F3721" s="88"/>
      <c r="G3721" s="159">
        <v>4</v>
      </c>
      <c r="H3721" s="159"/>
      <c r="I3721" s="160"/>
      <c r="J3721" s="160"/>
      <c r="K3721" s="19"/>
      <c r="L3721" s="20"/>
      <c r="M3721" s="10"/>
      <c r="N3721" s="10"/>
      <c r="O3721" s="10"/>
      <c r="P3721" s="10"/>
      <c r="Q3721" s="10"/>
      <c r="R3721" s="10"/>
      <c r="S3721" s="10"/>
      <c r="T3721" s="10"/>
      <c r="U3721" s="10"/>
      <c r="V3721" s="10"/>
      <c r="W3721" s="10"/>
      <c r="X3721" s="10"/>
      <c r="Y3721" s="10"/>
      <c r="Z3721" s="10"/>
      <c r="AA3721" s="10"/>
      <c r="AB3721" s="10"/>
      <c r="AC3721" s="10"/>
      <c r="AD3721" s="10"/>
      <c r="AE3721" s="10"/>
      <c r="AF3721" s="10"/>
      <c r="AG3721" s="10"/>
      <c r="AH3721" s="10"/>
    </row>
    <row r="3722" spans="1:34" outlineLevel="2">
      <c r="A3722" s="34"/>
      <c r="B3722" s="12" t="str">
        <f>IFERROR(VLOOKUP(D3722,'[1]Перечень товаров'!$A$2:$I9525,2,0),"")</f>
        <v>м61</v>
      </c>
      <c r="C3722" s="12" t="str">
        <f>IFERROR(VLOOKUP(D3722,'[1]Перечень товаров'!$A$2:$I9525,3,0),"")</f>
        <v>Мебель</v>
      </c>
      <c r="D3722" s="35" t="s">
        <v>384</v>
      </c>
      <c r="E3722" s="88"/>
      <c r="F3722" s="88"/>
      <c r="G3722" s="159">
        <v>4</v>
      </c>
      <c r="H3722" s="159"/>
      <c r="I3722" s="160"/>
      <c r="J3722" s="160"/>
      <c r="K3722" s="19"/>
      <c r="L3722" s="20"/>
      <c r="M3722" s="10"/>
      <c r="N3722" s="10"/>
      <c r="O3722" s="10"/>
      <c r="P3722" s="10"/>
      <c r="Q3722" s="10"/>
      <c r="R3722" s="10"/>
      <c r="S3722" s="10"/>
      <c r="T3722" s="10"/>
      <c r="U3722" s="10"/>
      <c r="V3722" s="10"/>
      <c r="W3722" s="10"/>
      <c r="X3722" s="10"/>
      <c r="Y3722" s="10"/>
      <c r="Z3722" s="10"/>
      <c r="AA3722" s="10"/>
      <c r="AB3722" s="10"/>
      <c r="AC3722" s="10"/>
      <c r="AD3722" s="10"/>
      <c r="AE3722" s="10"/>
      <c r="AF3722" s="10"/>
      <c r="AG3722" s="10"/>
      <c r="AH3722" s="10"/>
    </row>
    <row r="3723" spans="1:34" outlineLevel="2">
      <c r="A3723" s="22"/>
      <c r="B3723" s="12" t="str">
        <f>IFERROR(VLOOKUP(D3723,'[1]Перечень товаров'!$A$2:$I9525,2,0),"")</f>
        <v>м13</v>
      </c>
      <c r="C3723" s="12" t="str">
        <f>IFERROR(VLOOKUP(D3723,'[1]Перечень товаров'!$A$2:$I9525,3,0),"")</f>
        <v>Мебель</v>
      </c>
      <c r="D3723" s="22" t="s">
        <v>42</v>
      </c>
      <c r="E3723" s="88"/>
      <c r="F3723" s="88"/>
      <c r="G3723" s="48">
        <v>1</v>
      </c>
      <c r="H3723" s="48"/>
      <c r="I3723" s="49"/>
      <c r="J3723" s="49"/>
      <c r="K3723" s="19"/>
      <c r="L3723" s="20"/>
      <c r="M3723" s="10"/>
      <c r="N3723" s="10"/>
      <c r="O3723" s="10"/>
      <c r="P3723" s="10"/>
      <c r="Q3723" s="10"/>
      <c r="R3723" s="10"/>
      <c r="S3723" s="10"/>
      <c r="T3723" s="10"/>
      <c r="U3723" s="10"/>
      <c r="V3723" s="10"/>
      <c r="W3723" s="10"/>
      <c r="X3723" s="10"/>
      <c r="Y3723" s="10"/>
      <c r="Z3723" s="10"/>
      <c r="AA3723" s="10"/>
      <c r="AB3723" s="10"/>
      <c r="AC3723" s="10"/>
      <c r="AD3723" s="10"/>
      <c r="AE3723" s="10"/>
      <c r="AF3723" s="10"/>
      <c r="AG3723" s="10"/>
      <c r="AH3723" s="10"/>
    </row>
    <row r="3724" spans="1:34" outlineLevel="2">
      <c r="A3724" s="21"/>
      <c r="B3724" s="12" t="str">
        <f>IFERROR(VLOOKUP(D3724,'[1]Перечень товаров'!$A$2:$I9525,2,0),"")</f>
        <v>м14</v>
      </c>
      <c r="C3724" s="12" t="str">
        <f>IFERROR(VLOOKUP(D3724,'[1]Перечень товаров'!$A$2:$I9525,3,0),"")</f>
        <v>Мебель</v>
      </c>
      <c r="D3724" s="22" t="s">
        <v>43</v>
      </c>
      <c r="E3724" s="88"/>
      <c r="F3724" s="88"/>
      <c r="G3724" s="48">
        <v>1</v>
      </c>
      <c r="H3724" s="48"/>
      <c r="I3724" s="49"/>
      <c r="J3724" s="49"/>
      <c r="K3724" s="19"/>
      <c r="L3724" s="20"/>
      <c r="M3724" s="10"/>
      <c r="N3724" s="10"/>
      <c r="O3724" s="10"/>
      <c r="P3724" s="10"/>
      <c r="Q3724" s="10"/>
      <c r="R3724" s="10"/>
      <c r="S3724" s="10"/>
      <c r="T3724" s="10"/>
      <c r="U3724" s="10"/>
      <c r="V3724" s="10"/>
      <c r="W3724" s="10"/>
      <c r="X3724" s="10"/>
      <c r="Y3724" s="10"/>
      <c r="Z3724" s="10"/>
      <c r="AA3724" s="10"/>
      <c r="AB3724" s="10"/>
      <c r="AC3724" s="10"/>
      <c r="AD3724" s="10"/>
      <c r="AE3724" s="10"/>
      <c r="AF3724" s="10"/>
      <c r="AG3724" s="10"/>
      <c r="AH3724" s="10"/>
    </row>
    <row r="3725" spans="1:34" outlineLevel="2">
      <c r="A3725" s="21"/>
      <c r="B3725" s="12" t="str">
        <f>IFERROR(VLOOKUP(D3725,'[1]Перечень товаров'!$A$2:$I9525,2,0),"")</f>
        <v>п2</v>
      </c>
      <c r="C3725" s="12" t="str">
        <f>IFERROR(VLOOKUP(D3725,'[1]Перечень товаров'!$A$2:$I9525,3,0),"")</f>
        <v>Прочее</v>
      </c>
      <c r="D3725" s="22" t="s">
        <v>46</v>
      </c>
      <c r="E3725" s="88"/>
      <c r="F3725" s="88"/>
      <c r="G3725" s="24">
        <v>1</v>
      </c>
      <c r="H3725" s="24"/>
      <c r="I3725" s="25"/>
      <c r="J3725" s="25"/>
      <c r="K3725" s="19"/>
      <c r="L3725" s="20"/>
      <c r="M3725" s="10"/>
      <c r="N3725" s="10"/>
      <c r="O3725" s="10"/>
      <c r="P3725" s="10"/>
      <c r="Q3725" s="10"/>
      <c r="R3725" s="10"/>
      <c r="S3725" s="10"/>
      <c r="T3725" s="10"/>
      <c r="U3725" s="10"/>
      <c r="V3725" s="10"/>
      <c r="W3725" s="10"/>
      <c r="X3725" s="10"/>
      <c r="Y3725" s="10"/>
      <c r="Z3725" s="10"/>
      <c r="AA3725" s="10"/>
      <c r="AB3725" s="10"/>
      <c r="AC3725" s="10"/>
      <c r="AD3725" s="10"/>
      <c r="AE3725" s="10"/>
      <c r="AF3725" s="10"/>
      <c r="AG3725" s="10"/>
      <c r="AH3725" s="10"/>
    </row>
    <row r="3726" spans="1:34" ht="12.75" outlineLevel="1">
      <c r="A3726" s="11"/>
      <c r="B3726" s="12" t="str">
        <f>IFERROR(VLOOKUP(D3726,'[1]Перечень товаров'!$A$2:$I9525,2,0),"")</f>
        <v/>
      </c>
      <c r="C3726" s="12" t="str">
        <f>IFERROR(VLOOKUP(D3726,'[1]Перечень товаров'!$A$2:$I9525,3,0),"")</f>
        <v/>
      </c>
      <c r="D3726" s="27" t="s">
        <v>997</v>
      </c>
      <c r="E3726" s="14">
        <v>22.4</v>
      </c>
      <c r="F3726" s="14"/>
      <c r="G3726" s="17"/>
      <c r="H3726" s="17"/>
      <c r="I3726" s="57"/>
      <c r="J3726" s="57"/>
      <c r="K3726" s="19"/>
      <c r="L3726" s="20"/>
      <c r="M3726" s="10"/>
      <c r="N3726" s="10"/>
      <c r="O3726" s="10"/>
      <c r="P3726" s="10"/>
      <c r="Q3726" s="10"/>
      <c r="R3726" s="10"/>
      <c r="S3726" s="10"/>
      <c r="T3726" s="10"/>
      <c r="U3726" s="10"/>
      <c r="V3726" s="10"/>
      <c r="W3726" s="10"/>
      <c r="X3726" s="10"/>
      <c r="Y3726" s="10"/>
      <c r="Z3726" s="10"/>
      <c r="AA3726" s="10"/>
      <c r="AB3726" s="10"/>
      <c r="AC3726" s="10"/>
      <c r="AD3726" s="10"/>
      <c r="AE3726" s="10"/>
      <c r="AF3726" s="10"/>
      <c r="AG3726" s="10"/>
      <c r="AH3726" s="10"/>
    </row>
    <row r="3727" spans="1:34" outlineLevel="2">
      <c r="A3727" s="113"/>
      <c r="B3727" s="12" t="str">
        <f>IFERROR(VLOOKUP(D3727,'[1]Перечень товаров'!$A$2:$I9525,2,0),"")</f>
        <v/>
      </c>
      <c r="C3727" s="12" t="str">
        <f>IFERROR(VLOOKUP(D3727,'[1]Перечень товаров'!$A$2:$I9525,3,0),"")</f>
        <v/>
      </c>
      <c r="D3727" s="114" t="s">
        <v>391</v>
      </c>
      <c r="E3727" s="122"/>
      <c r="F3727" s="122"/>
      <c r="G3727" s="123"/>
      <c r="H3727" s="123"/>
      <c r="I3727" s="124"/>
      <c r="J3727" s="124"/>
      <c r="K3727" s="19"/>
      <c r="L3727" s="20"/>
      <c r="M3727" s="10"/>
      <c r="N3727" s="10"/>
      <c r="O3727" s="10"/>
      <c r="P3727" s="10"/>
      <c r="Q3727" s="10"/>
      <c r="R3727" s="10"/>
      <c r="S3727" s="10"/>
      <c r="T3727" s="10"/>
      <c r="U3727" s="10"/>
      <c r="V3727" s="10"/>
      <c r="W3727" s="10"/>
      <c r="X3727" s="10"/>
      <c r="Y3727" s="10"/>
      <c r="Z3727" s="10"/>
      <c r="AA3727" s="10"/>
      <c r="AB3727" s="10"/>
      <c r="AC3727" s="10"/>
      <c r="AD3727" s="10"/>
      <c r="AE3727" s="10"/>
      <c r="AF3727" s="10"/>
      <c r="AG3727" s="10"/>
      <c r="AH3727" s="10"/>
    </row>
    <row r="3728" spans="1:34" outlineLevel="2">
      <c r="A3728" s="28"/>
      <c r="B3728" s="12" t="str">
        <f>IFERROR(VLOOKUP(D3728,'[1]Перечень товаров'!$A$2:$I9525,2,0),"")</f>
        <v/>
      </c>
      <c r="C3728" s="12" t="str">
        <f>IFERROR(VLOOKUP(D3728,'[1]Перечень товаров'!$A$2:$I9525,3,0),"")</f>
        <v/>
      </c>
      <c r="D3728" s="29" t="s">
        <v>992</v>
      </c>
      <c r="E3728" s="30"/>
      <c r="F3728" s="30"/>
      <c r="G3728" s="31">
        <v>1</v>
      </c>
      <c r="H3728" s="31"/>
      <c r="I3728" s="32"/>
      <c r="J3728" s="32"/>
      <c r="K3728" s="19"/>
      <c r="L3728" s="20"/>
      <c r="M3728" s="10"/>
      <c r="N3728" s="10"/>
      <c r="O3728" s="10"/>
      <c r="P3728" s="10"/>
      <c r="Q3728" s="10"/>
      <c r="R3728" s="10"/>
      <c r="S3728" s="10"/>
      <c r="T3728" s="10"/>
      <c r="U3728" s="10"/>
      <c r="V3728" s="10"/>
      <c r="W3728" s="10"/>
      <c r="X3728" s="10"/>
      <c r="Y3728" s="10"/>
      <c r="Z3728" s="10"/>
      <c r="AA3728" s="10"/>
      <c r="AB3728" s="10"/>
      <c r="AC3728" s="10"/>
      <c r="AD3728" s="10"/>
      <c r="AE3728" s="10"/>
      <c r="AF3728" s="10"/>
      <c r="AG3728" s="10"/>
      <c r="AH3728" s="10"/>
    </row>
    <row r="3729" spans="1:34" ht="31.5" outlineLevel="2">
      <c r="A3729" s="28"/>
      <c r="B3729" s="12" t="str">
        <f>IFERROR(VLOOKUP(D3729,'[1]Перечень товаров'!$A$2:$I9525,2,0),"")</f>
        <v>д556</v>
      </c>
      <c r="C3729" s="12" t="str">
        <f>IFERROR(VLOOKUP(D3729,'[1]Перечень товаров'!$A$2:$I9525,3,0),"")</f>
        <v>дидактика</v>
      </c>
      <c r="D3729" s="29" t="s">
        <v>993</v>
      </c>
      <c r="E3729" s="30"/>
      <c r="F3729" s="30"/>
      <c r="G3729" s="31">
        <v>1</v>
      </c>
      <c r="H3729" s="31"/>
      <c r="I3729" s="32"/>
      <c r="J3729" s="32"/>
      <c r="K3729" s="19"/>
      <c r="L3729" s="20"/>
      <c r="M3729" s="10"/>
      <c r="N3729" s="10"/>
      <c r="O3729" s="10"/>
      <c r="P3729" s="10"/>
      <c r="Q3729" s="10"/>
      <c r="R3729" s="10"/>
      <c r="S3729" s="10"/>
      <c r="T3729" s="10"/>
      <c r="U3729" s="10"/>
      <c r="V3729" s="10"/>
      <c r="W3729" s="10"/>
      <c r="X3729" s="10"/>
      <c r="Y3729" s="10"/>
      <c r="Z3729" s="10"/>
      <c r="AA3729" s="10"/>
      <c r="AB3729" s="10"/>
      <c r="AC3729" s="10"/>
      <c r="AD3729" s="10"/>
      <c r="AE3729" s="10"/>
      <c r="AF3729" s="10"/>
      <c r="AG3729" s="10"/>
      <c r="AH3729" s="10"/>
    </row>
    <row r="3730" spans="1:34" ht="31.5" outlineLevel="2">
      <c r="A3730" s="28"/>
      <c r="B3730" s="12" t="str">
        <f>IFERROR(VLOOKUP(D3730,'[1]Перечень товаров'!$A$2:$I9525,2,0),"")</f>
        <v>пм212</v>
      </c>
      <c r="C3730" s="12" t="str">
        <f>IFERROR(VLOOKUP(D3730,'[1]Перечень товаров'!$A$2:$I9525,3,0),"")</f>
        <v>прочее муз</v>
      </c>
      <c r="D3730" s="29" t="s">
        <v>994</v>
      </c>
      <c r="E3730" s="30"/>
      <c r="F3730" s="30"/>
      <c r="G3730" s="31">
        <v>1</v>
      </c>
      <c r="H3730" s="31"/>
      <c r="I3730" s="32"/>
      <c r="J3730" s="32"/>
      <c r="K3730" s="19"/>
      <c r="L3730" s="20"/>
      <c r="M3730" s="10"/>
      <c r="N3730" s="10"/>
      <c r="O3730" s="10"/>
      <c r="P3730" s="10"/>
      <c r="Q3730" s="10"/>
      <c r="R3730" s="10"/>
      <c r="S3730" s="10"/>
      <c r="T3730" s="10"/>
      <c r="U3730" s="10"/>
      <c r="V3730" s="10"/>
      <c r="W3730" s="10"/>
      <c r="X3730" s="10"/>
      <c r="Y3730" s="10"/>
      <c r="Z3730" s="10"/>
      <c r="AA3730" s="10"/>
      <c r="AB3730" s="10"/>
      <c r="AC3730" s="10"/>
      <c r="AD3730" s="10"/>
      <c r="AE3730" s="10"/>
      <c r="AF3730" s="10"/>
      <c r="AG3730" s="10"/>
      <c r="AH3730" s="10"/>
    </row>
    <row r="3731" spans="1:34" outlineLevel="2">
      <c r="A3731" s="28"/>
      <c r="B3731" s="12" t="str">
        <f>IFERROR(VLOOKUP(D3731,'[1]Перечень товаров'!$A$2:$I9525,2,0),"")</f>
        <v>пм211</v>
      </c>
      <c r="C3731" s="12" t="str">
        <f>IFERROR(VLOOKUP(D3731,'[1]Перечень товаров'!$A$2:$I9525,3,0),"")</f>
        <v>прочее муз</v>
      </c>
      <c r="D3731" s="29" t="s">
        <v>995</v>
      </c>
      <c r="E3731" s="30"/>
      <c r="F3731" s="30"/>
      <c r="G3731" s="31">
        <v>2</v>
      </c>
      <c r="H3731" s="31"/>
      <c r="I3731" s="32"/>
      <c r="J3731" s="32"/>
      <c r="K3731" s="19"/>
      <c r="L3731" s="20"/>
      <c r="M3731" s="10"/>
      <c r="N3731" s="10"/>
      <c r="O3731" s="10"/>
      <c r="P3731" s="10"/>
      <c r="Q3731" s="10"/>
      <c r="R3731" s="10"/>
      <c r="S3731" s="10"/>
      <c r="T3731" s="10"/>
      <c r="U3731" s="10"/>
      <c r="V3731" s="10"/>
      <c r="W3731" s="10"/>
      <c r="X3731" s="10"/>
      <c r="Y3731" s="10"/>
      <c r="Z3731" s="10"/>
      <c r="AA3731" s="10"/>
      <c r="AB3731" s="10"/>
      <c r="AC3731" s="10"/>
      <c r="AD3731" s="10"/>
      <c r="AE3731" s="10"/>
      <c r="AF3731" s="10"/>
      <c r="AG3731" s="10"/>
      <c r="AH3731" s="10"/>
    </row>
    <row r="3732" spans="1:34" ht="31.5" outlineLevel="2">
      <c r="A3732" s="28"/>
      <c r="B3732" s="12" t="str">
        <f>IFERROR(VLOOKUP(D3732,'[1]Перечень товаров'!$A$2:$I9525,2,0),"")</f>
        <v>пм210</v>
      </c>
      <c r="C3732" s="12" t="str">
        <f>IFERROR(VLOOKUP(D3732,'[1]Перечень товаров'!$A$2:$I9525,3,0),"")</f>
        <v>прочее муз</v>
      </c>
      <c r="D3732" s="29" t="s">
        <v>996</v>
      </c>
      <c r="E3732" s="30"/>
      <c r="F3732" s="30"/>
      <c r="G3732" s="31">
        <v>1</v>
      </c>
      <c r="H3732" s="31"/>
      <c r="I3732" s="32"/>
      <c r="J3732" s="32"/>
      <c r="K3732" s="19"/>
      <c r="L3732" s="20"/>
      <c r="M3732" s="10"/>
      <c r="N3732" s="10"/>
      <c r="O3732" s="10"/>
      <c r="P3732" s="10"/>
      <c r="Q3732" s="10"/>
      <c r="R3732" s="10"/>
      <c r="S3732" s="10"/>
      <c r="T3732" s="10"/>
      <c r="U3732" s="10"/>
      <c r="V3732" s="10"/>
      <c r="W3732" s="10"/>
      <c r="X3732" s="10"/>
      <c r="Y3732" s="10"/>
      <c r="Z3732" s="10"/>
      <c r="AA3732" s="10"/>
      <c r="AB3732" s="10"/>
      <c r="AC3732" s="10"/>
      <c r="AD3732" s="10"/>
      <c r="AE3732" s="10"/>
      <c r="AF3732" s="10"/>
      <c r="AG3732" s="10"/>
      <c r="AH3732" s="10"/>
    </row>
    <row r="3733" spans="1:34" ht="15" outlineLevel="2">
      <c r="A3733" s="109"/>
      <c r="B3733" s="12" t="str">
        <f>IFERROR(VLOOKUP(D3733,'[1]Перечень товаров'!$A$2:$I9525,2,0),"")</f>
        <v/>
      </c>
      <c r="C3733" s="12" t="str">
        <f>IFERROR(VLOOKUP(D3733,'[1]Перечень товаров'!$A$2:$I9525,3,0),"")</f>
        <v/>
      </c>
      <c r="D3733" s="110" t="s">
        <v>27</v>
      </c>
      <c r="E3733" s="115"/>
      <c r="F3733" s="115"/>
      <c r="G3733" s="211"/>
      <c r="H3733" s="211"/>
      <c r="I3733" s="212"/>
      <c r="J3733" s="212"/>
      <c r="K3733" s="19"/>
      <c r="L3733" s="20"/>
      <c r="M3733" s="10"/>
      <c r="N3733" s="10"/>
      <c r="O3733" s="10"/>
      <c r="P3733" s="10"/>
      <c r="Q3733" s="10"/>
      <c r="R3733" s="10"/>
      <c r="S3733" s="10"/>
      <c r="T3733" s="10"/>
      <c r="U3733" s="10"/>
      <c r="V3733" s="10"/>
      <c r="W3733" s="10"/>
      <c r="X3733" s="10"/>
      <c r="Y3733" s="10"/>
      <c r="Z3733" s="10"/>
      <c r="AA3733" s="10"/>
      <c r="AB3733" s="10"/>
      <c r="AC3733" s="10"/>
      <c r="AD3733" s="10"/>
      <c r="AE3733" s="10"/>
      <c r="AF3733" s="10"/>
      <c r="AG3733" s="10"/>
      <c r="AH3733" s="10"/>
    </row>
    <row r="3734" spans="1:34" outlineLevel="2">
      <c r="A3734" s="21"/>
      <c r="B3734" s="12" t="str">
        <f>IFERROR(VLOOKUP(D3734,'[1]Перечень товаров'!$A$2:$I9525,2,0),"")</f>
        <v>т1</v>
      </c>
      <c r="C3734" s="12" t="str">
        <f>IFERROR(VLOOKUP(D3734,'[1]Перечень товаров'!$A$2:$I9525,3,0),"")</f>
        <v xml:space="preserve">Техника </v>
      </c>
      <c r="D3734" s="22" t="s">
        <v>28</v>
      </c>
      <c r="E3734" s="88"/>
      <c r="F3734" s="88"/>
      <c r="G3734" s="48">
        <v>1</v>
      </c>
      <c r="H3734" s="48"/>
      <c r="I3734" s="49"/>
      <c r="J3734" s="49"/>
      <c r="K3734" s="19"/>
      <c r="L3734" s="20"/>
      <c r="M3734" s="10"/>
      <c r="N3734" s="10"/>
      <c r="O3734" s="10"/>
      <c r="P3734" s="10"/>
      <c r="Q3734" s="10"/>
      <c r="R3734" s="10"/>
      <c r="S3734" s="10"/>
      <c r="T3734" s="10"/>
      <c r="U3734" s="10"/>
      <c r="V3734" s="10"/>
      <c r="W3734" s="10"/>
      <c r="X3734" s="10"/>
      <c r="Y3734" s="10"/>
      <c r="Z3734" s="10"/>
      <c r="AA3734" s="10"/>
      <c r="AB3734" s="10"/>
      <c r="AC3734" s="10"/>
      <c r="AD3734" s="10"/>
      <c r="AE3734" s="10"/>
      <c r="AF3734" s="10"/>
      <c r="AG3734" s="10"/>
      <c r="AH3734" s="10"/>
    </row>
    <row r="3735" spans="1:34" outlineLevel="2">
      <c r="A3735" s="22"/>
      <c r="B3735" s="12" t="str">
        <f>IFERROR(VLOOKUP(D3735,'[1]Перечень товаров'!$A$2:$I9525,2,0),"")</f>
        <v>т9</v>
      </c>
      <c r="C3735" s="12" t="str">
        <f>IFERROR(VLOOKUP(D3735,'[1]Перечень товаров'!$A$2:$I9525,3,0),"")</f>
        <v>Техника</v>
      </c>
      <c r="D3735" s="22" t="s">
        <v>36</v>
      </c>
      <c r="E3735" s="88"/>
      <c r="F3735" s="88"/>
      <c r="G3735" s="48">
        <v>1</v>
      </c>
      <c r="H3735" s="48"/>
      <c r="I3735" s="49"/>
      <c r="J3735" s="49"/>
      <c r="K3735" s="19"/>
      <c r="L3735" s="20"/>
      <c r="M3735" s="10"/>
      <c r="N3735" s="10"/>
      <c r="O3735" s="10"/>
      <c r="P3735" s="10"/>
      <c r="Q3735" s="10"/>
      <c r="R3735" s="10"/>
      <c r="S3735" s="10"/>
      <c r="T3735" s="10"/>
      <c r="U3735" s="10"/>
      <c r="V3735" s="10"/>
      <c r="W3735" s="10"/>
      <c r="X3735" s="10"/>
      <c r="Y3735" s="10"/>
      <c r="Z3735" s="10"/>
      <c r="AA3735" s="10"/>
      <c r="AB3735" s="10"/>
      <c r="AC3735" s="10"/>
      <c r="AD3735" s="10"/>
      <c r="AE3735" s="10"/>
      <c r="AF3735" s="10"/>
      <c r="AG3735" s="10"/>
      <c r="AH3735" s="10"/>
    </row>
    <row r="3736" spans="1:34" outlineLevel="2">
      <c r="A3736" s="35"/>
      <c r="B3736" s="12" t="str">
        <f>IFERROR(VLOOKUP(D3736,'[1]Перечень товаров'!$A$2:$I9525,2,0),"")</f>
        <v>т2</v>
      </c>
      <c r="C3736" s="12" t="str">
        <f>IFERROR(VLOOKUP(D3736,'[1]Перечень товаров'!$A$2:$I9525,3,0),"")</f>
        <v xml:space="preserve">Техника </v>
      </c>
      <c r="D3736" s="35" t="s">
        <v>29</v>
      </c>
      <c r="E3736" s="88"/>
      <c r="F3736" s="88"/>
      <c r="G3736" s="48">
        <v>1</v>
      </c>
      <c r="H3736" s="48"/>
      <c r="I3736" s="49"/>
      <c r="J3736" s="49"/>
      <c r="K3736" s="19"/>
      <c r="L3736" s="20"/>
      <c r="M3736" s="10"/>
      <c r="N3736" s="10"/>
      <c r="O3736" s="10"/>
      <c r="P3736" s="10"/>
      <c r="Q3736" s="10"/>
      <c r="R3736" s="10"/>
      <c r="S3736" s="10"/>
      <c r="T3736" s="10"/>
      <c r="U3736" s="10"/>
      <c r="V3736" s="10"/>
      <c r="W3736" s="10"/>
      <c r="X3736" s="10"/>
      <c r="Y3736" s="10"/>
      <c r="Z3736" s="10"/>
      <c r="AA3736" s="10"/>
      <c r="AB3736" s="10"/>
      <c r="AC3736" s="10"/>
      <c r="AD3736" s="10"/>
      <c r="AE3736" s="10"/>
      <c r="AF3736" s="10"/>
      <c r="AG3736" s="10"/>
      <c r="AH3736" s="10"/>
    </row>
    <row r="3737" spans="1:34" outlineLevel="2">
      <c r="A3737" s="35"/>
      <c r="B3737" s="12" t="str">
        <f>IFERROR(VLOOKUP(D3737,'[1]Перечень товаров'!$A$2:$I9525,2,0),"")</f>
        <v>т3</v>
      </c>
      <c r="C3737" s="12" t="str">
        <f>IFERROR(VLOOKUP(D3737,'[1]Перечень товаров'!$A$2:$I9525,3,0),"")</f>
        <v xml:space="preserve">Техника </v>
      </c>
      <c r="D3737" s="35" t="s">
        <v>30</v>
      </c>
      <c r="E3737" s="88"/>
      <c r="F3737" s="88"/>
      <c r="G3737" s="48">
        <v>1</v>
      </c>
      <c r="H3737" s="48"/>
      <c r="I3737" s="49"/>
      <c r="J3737" s="49"/>
      <c r="K3737" s="19"/>
      <c r="L3737" s="20"/>
      <c r="M3737" s="10"/>
      <c r="N3737" s="10"/>
      <c r="O3737" s="10"/>
      <c r="P3737" s="10"/>
      <c r="Q3737" s="10"/>
      <c r="R3737" s="10"/>
      <c r="S3737" s="10"/>
      <c r="T3737" s="10"/>
      <c r="U3737" s="10"/>
      <c r="V3737" s="10"/>
      <c r="W3737" s="10"/>
      <c r="X3737" s="10"/>
      <c r="Y3737" s="10"/>
      <c r="Z3737" s="10"/>
      <c r="AA3737" s="10"/>
      <c r="AB3737" s="10"/>
      <c r="AC3737" s="10"/>
      <c r="AD3737" s="10"/>
      <c r="AE3737" s="10"/>
      <c r="AF3737" s="10"/>
      <c r="AG3737" s="10"/>
      <c r="AH3737" s="10"/>
    </row>
    <row r="3738" spans="1:34" outlineLevel="2">
      <c r="A3738" s="35"/>
      <c r="B3738" s="12" t="str">
        <f>IFERROR(VLOOKUP(D3738,'[1]Перечень товаров'!$A$2:$I9525,2,0),"")</f>
        <v>т4</v>
      </c>
      <c r="C3738" s="12" t="str">
        <f>IFERROR(VLOOKUP(D3738,'[1]Перечень товаров'!$A$2:$I9525,3,0),"")</f>
        <v xml:space="preserve">Техника </v>
      </c>
      <c r="D3738" s="35" t="s">
        <v>31</v>
      </c>
      <c r="E3738" s="88"/>
      <c r="F3738" s="88"/>
      <c r="G3738" s="48">
        <v>1</v>
      </c>
      <c r="H3738" s="48"/>
      <c r="I3738" s="49"/>
      <c r="J3738" s="49"/>
      <c r="K3738" s="19"/>
      <c r="L3738" s="20"/>
      <c r="M3738" s="10"/>
      <c r="N3738" s="10"/>
      <c r="O3738" s="10"/>
      <c r="P3738" s="10"/>
      <c r="Q3738" s="10"/>
      <c r="R3738" s="10"/>
      <c r="S3738" s="10"/>
      <c r="T3738" s="10"/>
      <c r="U3738" s="10"/>
      <c r="V3738" s="10"/>
      <c r="W3738" s="10"/>
      <c r="X3738" s="10"/>
      <c r="Y3738" s="10"/>
      <c r="Z3738" s="10"/>
      <c r="AA3738" s="10"/>
      <c r="AB3738" s="10"/>
      <c r="AC3738" s="10"/>
      <c r="AD3738" s="10"/>
      <c r="AE3738" s="10"/>
      <c r="AF3738" s="10"/>
      <c r="AG3738" s="10"/>
      <c r="AH3738" s="10"/>
    </row>
    <row r="3739" spans="1:34" outlineLevel="2">
      <c r="A3739" s="21"/>
      <c r="B3739" s="12" t="str">
        <f>IFERROR(VLOOKUP(D3739,'[1]Перечень товаров'!$A$2:$I9525,2,0),"")</f>
        <v>тм65</v>
      </c>
      <c r="C3739" s="12" t="str">
        <f>IFERROR(VLOOKUP(D3739,'[1]Перечень товаров'!$A$2:$I9525,3,0),"")</f>
        <v>Техника муз</v>
      </c>
      <c r="D3739" s="22" t="s">
        <v>380</v>
      </c>
      <c r="E3739" s="88"/>
      <c r="F3739" s="88"/>
      <c r="G3739" s="48">
        <v>1</v>
      </c>
      <c r="H3739" s="48"/>
      <c r="I3739" s="49"/>
      <c r="J3739" s="49"/>
      <c r="K3739" s="19"/>
      <c r="L3739" s="20"/>
      <c r="M3739" s="10"/>
      <c r="N3739" s="10"/>
      <c r="O3739" s="10"/>
      <c r="P3739" s="10"/>
      <c r="Q3739" s="10"/>
      <c r="R3739" s="10"/>
      <c r="S3739" s="10"/>
      <c r="T3739" s="10"/>
      <c r="U3739" s="10"/>
      <c r="V3739" s="10"/>
      <c r="W3739" s="10"/>
      <c r="X3739" s="10"/>
      <c r="Y3739" s="10"/>
      <c r="Z3739" s="10"/>
      <c r="AA3739" s="10"/>
      <c r="AB3739" s="10"/>
      <c r="AC3739" s="10"/>
      <c r="AD3739" s="10"/>
      <c r="AE3739" s="10"/>
      <c r="AF3739" s="10"/>
      <c r="AG3739" s="10"/>
      <c r="AH3739" s="10"/>
    </row>
    <row r="3740" spans="1:34" outlineLevel="2">
      <c r="A3740" s="21"/>
      <c r="B3740" s="12" t="str">
        <f>IFERROR(VLOOKUP(D3740,'[1]Перечень товаров'!$A$2:$I9525,2,0),"")</f>
        <v>т12</v>
      </c>
      <c r="C3740" s="12" t="str">
        <f>IFERROR(VLOOKUP(D3740,'[1]Перечень товаров'!$A$2:$I9525,3,0),"")</f>
        <v>Техника</v>
      </c>
      <c r="D3740" s="22" t="s">
        <v>49</v>
      </c>
      <c r="E3740" s="88"/>
      <c r="F3740" s="88"/>
      <c r="G3740" s="48">
        <v>1</v>
      </c>
      <c r="H3740" s="48"/>
      <c r="I3740" s="49"/>
      <c r="J3740" s="49"/>
      <c r="K3740" s="19"/>
      <c r="L3740" s="20"/>
      <c r="M3740" s="10"/>
      <c r="N3740" s="10"/>
      <c r="O3740" s="10"/>
      <c r="P3740" s="10"/>
      <c r="Q3740" s="10"/>
      <c r="R3740" s="10"/>
      <c r="S3740" s="10"/>
      <c r="T3740" s="10"/>
      <c r="U3740" s="10"/>
      <c r="V3740" s="10"/>
      <c r="W3740" s="10"/>
      <c r="X3740" s="10"/>
      <c r="Y3740" s="10"/>
      <c r="Z3740" s="10"/>
      <c r="AA3740" s="10"/>
      <c r="AB3740" s="10"/>
      <c r="AC3740" s="10"/>
      <c r="AD3740" s="10"/>
      <c r="AE3740" s="10"/>
      <c r="AF3740" s="10"/>
      <c r="AG3740" s="10"/>
      <c r="AH3740" s="10"/>
    </row>
    <row r="3741" spans="1:34" outlineLevel="2">
      <c r="A3741" s="35"/>
      <c r="B3741" s="12" t="str">
        <f>IFERROR(VLOOKUP(D3741,'[1]Перечень товаров'!$A$2:$I9525,2,0),"")</f>
        <v>т6</v>
      </c>
      <c r="C3741" s="12" t="str">
        <f>IFERROR(VLOOKUP(D3741,'[1]Перечень товаров'!$A$2:$I9525,3,0),"")</f>
        <v xml:space="preserve">Техника </v>
      </c>
      <c r="D3741" s="35" t="s">
        <v>33</v>
      </c>
      <c r="E3741" s="88"/>
      <c r="F3741" s="88"/>
      <c r="G3741" s="48">
        <v>1</v>
      </c>
      <c r="H3741" s="48"/>
      <c r="I3741" s="49"/>
      <c r="J3741" s="49"/>
      <c r="K3741" s="19"/>
      <c r="L3741" s="20"/>
      <c r="M3741" s="10"/>
      <c r="N3741" s="10"/>
      <c r="O3741" s="10"/>
      <c r="P3741" s="10"/>
      <c r="Q3741" s="10"/>
      <c r="R3741" s="10"/>
      <c r="S3741" s="10"/>
      <c r="T3741" s="10"/>
      <c r="U3741" s="10"/>
      <c r="V3741" s="10"/>
      <c r="W3741" s="10"/>
      <c r="X3741" s="10"/>
      <c r="Y3741" s="10"/>
      <c r="Z3741" s="10"/>
      <c r="AA3741" s="10"/>
      <c r="AB3741" s="10"/>
      <c r="AC3741" s="10"/>
      <c r="AD3741" s="10"/>
      <c r="AE3741" s="10"/>
      <c r="AF3741" s="10"/>
      <c r="AG3741" s="10"/>
      <c r="AH3741" s="10"/>
    </row>
    <row r="3742" spans="1:34" outlineLevel="2">
      <c r="A3742" s="22"/>
      <c r="B3742" s="12" t="str">
        <f>IFERROR(VLOOKUP(D3742,'[1]Перечень товаров'!$A$2:$I9525,2,0),"")</f>
        <v>т7</v>
      </c>
      <c r="C3742" s="12" t="str">
        <f>IFERROR(VLOOKUP(D3742,'[1]Перечень товаров'!$A$2:$I9525,3,0),"")</f>
        <v xml:space="preserve">Техника </v>
      </c>
      <c r="D3742" s="22" t="s">
        <v>34</v>
      </c>
      <c r="E3742" s="88"/>
      <c r="F3742" s="88"/>
      <c r="G3742" s="48">
        <v>3</v>
      </c>
      <c r="H3742" s="48"/>
      <c r="I3742" s="49"/>
      <c r="J3742" s="49"/>
      <c r="K3742" s="19"/>
      <c r="L3742" s="20"/>
      <c r="M3742" s="10"/>
      <c r="N3742" s="10"/>
      <c r="O3742" s="10"/>
      <c r="P3742" s="10"/>
      <c r="Q3742" s="10"/>
      <c r="R3742" s="10"/>
      <c r="S3742" s="10"/>
      <c r="T3742" s="10"/>
      <c r="U3742" s="10"/>
      <c r="V3742" s="10"/>
      <c r="W3742" s="10"/>
      <c r="X3742" s="10"/>
      <c r="Y3742" s="10"/>
      <c r="Z3742" s="10"/>
      <c r="AA3742" s="10"/>
      <c r="AB3742" s="10"/>
      <c r="AC3742" s="10"/>
      <c r="AD3742" s="10"/>
      <c r="AE3742" s="10"/>
      <c r="AF3742" s="10"/>
      <c r="AG3742" s="10"/>
      <c r="AH3742" s="10"/>
    </row>
    <row r="3743" spans="1:34" outlineLevel="2">
      <c r="A3743" s="35"/>
      <c r="B3743" s="12" t="str">
        <f>IFERROR(VLOOKUP(D3743,'[1]Перечень товаров'!$A$2:$I9525,2,0),"")</f>
        <v>т161</v>
      </c>
      <c r="C3743" s="12" t="str">
        <f>IFERROR(VLOOKUP(D3743,'[1]Перечень товаров'!$A$2:$I9525,3,0),"")</f>
        <v xml:space="preserve">Техника </v>
      </c>
      <c r="D3743" s="29" t="s">
        <v>381</v>
      </c>
      <c r="E3743" s="88"/>
      <c r="F3743" s="88"/>
      <c r="G3743" s="159">
        <v>1</v>
      </c>
      <c r="H3743" s="159"/>
      <c r="I3743" s="160"/>
      <c r="J3743" s="160"/>
      <c r="K3743" s="19"/>
      <c r="L3743" s="20"/>
      <c r="M3743" s="10"/>
      <c r="N3743" s="10"/>
      <c r="O3743" s="10"/>
      <c r="P3743" s="10"/>
      <c r="Q3743" s="10"/>
      <c r="R3743" s="10"/>
      <c r="S3743" s="10"/>
      <c r="T3743" s="10"/>
      <c r="U3743" s="10"/>
      <c r="V3743" s="10"/>
      <c r="W3743" s="10"/>
      <c r="X3743" s="10"/>
      <c r="Y3743" s="10"/>
      <c r="Z3743" s="10"/>
      <c r="AA3743" s="10"/>
      <c r="AB3743" s="10"/>
      <c r="AC3743" s="10"/>
      <c r="AD3743" s="10"/>
      <c r="AE3743" s="10"/>
      <c r="AF3743" s="10"/>
      <c r="AG3743" s="10"/>
      <c r="AH3743" s="10"/>
    </row>
    <row r="3744" spans="1:34" outlineLevel="2">
      <c r="A3744" s="114"/>
      <c r="B3744" s="12" t="str">
        <f>IFERROR(VLOOKUP(D3744,'[1]Перечень товаров'!$A$2:$I9525,2,0),"")</f>
        <v/>
      </c>
      <c r="C3744" s="12" t="str">
        <f>IFERROR(VLOOKUP(D3744,'[1]Перечень товаров'!$A$2:$I9525,3,0),"")</f>
        <v/>
      </c>
      <c r="D3744" s="114" t="s">
        <v>19</v>
      </c>
      <c r="E3744" s="115"/>
      <c r="F3744" s="115"/>
      <c r="G3744" s="157"/>
      <c r="H3744" s="157"/>
      <c r="I3744" s="158"/>
      <c r="J3744" s="158"/>
      <c r="K3744" s="19"/>
      <c r="L3744" s="20"/>
      <c r="M3744" s="10"/>
      <c r="N3744" s="10"/>
      <c r="O3744" s="10"/>
      <c r="P3744" s="10"/>
      <c r="Q3744" s="10"/>
      <c r="R3744" s="10"/>
      <c r="S3744" s="10"/>
      <c r="T3744" s="10"/>
      <c r="U3744" s="10"/>
      <c r="V3744" s="10"/>
      <c r="W3744" s="10"/>
      <c r="X3744" s="10"/>
      <c r="Y3744" s="10"/>
      <c r="Z3744" s="10"/>
      <c r="AA3744" s="10"/>
      <c r="AB3744" s="10"/>
      <c r="AC3744" s="10"/>
      <c r="AD3744" s="10"/>
      <c r="AE3744" s="10"/>
      <c r="AF3744" s="10"/>
      <c r="AG3744" s="10"/>
      <c r="AH3744" s="10"/>
    </row>
    <row r="3745" spans="1:34" outlineLevel="2">
      <c r="A3745" s="34"/>
      <c r="B3745" s="12" t="str">
        <f>IFERROR(VLOOKUP(D3745,'[1]Перечень товаров'!$A$2:$I9525,2,0),"")</f>
        <v>м62</v>
      </c>
      <c r="C3745" s="12" t="str">
        <f>IFERROR(VLOOKUP(D3745,'[1]Перечень товаров'!$A$2:$I9525,3,0),"")</f>
        <v>Мебель</v>
      </c>
      <c r="D3745" s="35" t="s">
        <v>398</v>
      </c>
      <c r="E3745" s="88"/>
      <c r="F3745" s="88"/>
      <c r="G3745" s="59">
        <v>1</v>
      </c>
      <c r="H3745" s="59"/>
      <c r="I3745" s="60"/>
      <c r="J3745" s="60"/>
      <c r="K3745" s="19"/>
      <c r="L3745" s="20"/>
      <c r="M3745" s="10"/>
      <c r="N3745" s="10"/>
      <c r="O3745" s="10"/>
      <c r="P3745" s="10"/>
      <c r="Q3745" s="10"/>
      <c r="R3745" s="10"/>
      <c r="S3745" s="10"/>
      <c r="T3745" s="10"/>
      <c r="U3745" s="10"/>
      <c r="V3745" s="10"/>
      <c r="W3745" s="10"/>
      <c r="X3745" s="10"/>
      <c r="Y3745" s="10"/>
      <c r="Z3745" s="10"/>
      <c r="AA3745" s="10"/>
      <c r="AB3745" s="10"/>
      <c r="AC3745" s="10"/>
      <c r="AD3745" s="10"/>
      <c r="AE3745" s="10"/>
      <c r="AF3745" s="10"/>
      <c r="AG3745" s="10"/>
      <c r="AH3745" s="10"/>
    </row>
    <row r="3746" spans="1:34" outlineLevel="2">
      <c r="A3746" s="34"/>
      <c r="B3746" s="12" t="str">
        <f>IFERROR(VLOOKUP(D3746,'[1]Перечень товаров'!$A$2:$I9525,2,0),"")</f>
        <v>м61</v>
      </c>
      <c r="C3746" s="12" t="str">
        <f>IFERROR(VLOOKUP(D3746,'[1]Перечень товаров'!$A$2:$I9525,3,0),"")</f>
        <v>Мебель</v>
      </c>
      <c r="D3746" s="35" t="s">
        <v>383</v>
      </c>
      <c r="E3746" s="88"/>
      <c r="F3746" s="88"/>
      <c r="G3746" s="59">
        <v>1</v>
      </c>
      <c r="H3746" s="59"/>
      <c r="I3746" s="60"/>
      <c r="J3746" s="60"/>
      <c r="K3746" s="19"/>
      <c r="L3746" s="20"/>
      <c r="M3746" s="10"/>
      <c r="N3746" s="10"/>
      <c r="O3746" s="10"/>
      <c r="P3746" s="10"/>
      <c r="Q3746" s="10"/>
      <c r="R3746" s="10"/>
      <c r="S3746" s="10"/>
      <c r="T3746" s="10"/>
      <c r="U3746" s="10"/>
      <c r="V3746" s="10"/>
      <c r="W3746" s="10"/>
      <c r="X3746" s="10"/>
      <c r="Y3746" s="10"/>
      <c r="Z3746" s="10"/>
      <c r="AA3746" s="10"/>
      <c r="AB3746" s="10"/>
      <c r="AC3746" s="10"/>
      <c r="AD3746" s="10"/>
      <c r="AE3746" s="10"/>
      <c r="AF3746" s="10"/>
      <c r="AG3746" s="10"/>
      <c r="AH3746" s="10"/>
    </row>
    <row r="3747" spans="1:34" outlineLevel="2">
      <c r="A3747" s="213"/>
      <c r="B3747" s="12" t="str">
        <f>IFERROR(VLOOKUP(D3747,'[1]Перечень товаров'!$A$2:$I9525,2,0),"")</f>
        <v>м176</v>
      </c>
      <c r="C3747" s="12" t="str">
        <f>IFERROR(VLOOKUP(D3747,'[1]Перечень товаров'!$A$2:$I9525,3,0),"")</f>
        <v>мебель</v>
      </c>
      <c r="D3747" s="214" t="s">
        <v>998</v>
      </c>
      <c r="E3747" s="88"/>
      <c r="F3747" s="88"/>
      <c r="G3747" s="159">
        <v>4</v>
      </c>
      <c r="H3747" s="159"/>
      <c r="I3747" s="160"/>
      <c r="J3747" s="160"/>
      <c r="K3747" s="19"/>
      <c r="L3747" s="20"/>
      <c r="M3747" s="10"/>
      <c r="N3747" s="10"/>
      <c r="O3747" s="10"/>
      <c r="P3747" s="10"/>
      <c r="Q3747" s="10"/>
      <c r="R3747" s="10"/>
      <c r="S3747" s="10"/>
      <c r="T3747" s="10"/>
      <c r="U3747" s="10"/>
      <c r="V3747" s="10"/>
      <c r="W3747" s="10"/>
      <c r="X3747" s="10"/>
      <c r="Y3747" s="10"/>
      <c r="Z3747" s="10"/>
      <c r="AA3747" s="10"/>
      <c r="AB3747" s="10"/>
      <c r="AC3747" s="10"/>
      <c r="AD3747" s="10"/>
      <c r="AE3747" s="10"/>
      <c r="AF3747" s="10"/>
      <c r="AG3747" s="10"/>
      <c r="AH3747" s="10"/>
    </row>
    <row r="3748" spans="1:34" outlineLevel="2">
      <c r="A3748" s="34"/>
      <c r="B3748" s="12" t="str">
        <f>IFERROR(VLOOKUP(D3748,'[1]Перечень товаров'!$A$2:$I9525,2,0),"")</f>
        <v>м61</v>
      </c>
      <c r="C3748" s="12" t="str">
        <f>IFERROR(VLOOKUP(D3748,'[1]Перечень товаров'!$A$2:$I9525,3,0),"")</f>
        <v>Мебель</v>
      </c>
      <c r="D3748" s="35" t="s">
        <v>384</v>
      </c>
      <c r="E3748" s="88"/>
      <c r="F3748" s="88"/>
      <c r="G3748" s="159">
        <v>4</v>
      </c>
      <c r="H3748" s="159"/>
      <c r="I3748" s="160"/>
      <c r="J3748" s="160"/>
      <c r="K3748" s="19"/>
      <c r="L3748" s="20"/>
      <c r="M3748" s="10"/>
      <c r="N3748" s="10"/>
      <c r="O3748" s="10"/>
      <c r="P3748" s="10"/>
      <c r="Q3748" s="10"/>
      <c r="R3748" s="10"/>
      <c r="S3748" s="10"/>
      <c r="T3748" s="10"/>
      <c r="U3748" s="10"/>
      <c r="V3748" s="10"/>
      <c r="W3748" s="10"/>
      <c r="X3748" s="10"/>
      <c r="Y3748" s="10"/>
      <c r="Z3748" s="10"/>
      <c r="AA3748" s="10"/>
      <c r="AB3748" s="10"/>
      <c r="AC3748" s="10"/>
      <c r="AD3748" s="10"/>
      <c r="AE3748" s="10"/>
      <c r="AF3748" s="10"/>
      <c r="AG3748" s="10"/>
      <c r="AH3748" s="10"/>
    </row>
    <row r="3749" spans="1:34" outlineLevel="2">
      <c r="A3749" s="22"/>
      <c r="B3749" s="12" t="str">
        <f>IFERROR(VLOOKUP(D3749,'[1]Перечень товаров'!$A$2:$I9525,2,0),"")</f>
        <v>м13</v>
      </c>
      <c r="C3749" s="12" t="str">
        <f>IFERROR(VLOOKUP(D3749,'[1]Перечень товаров'!$A$2:$I9525,3,0),"")</f>
        <v>Мебель</v>
      </c>
      <c r="D3749" s="22" t="s">
        <v>42</v>
      </c>
      <c r="E3749" s="88"/>
      <c r="F3749" s="88"/>
      <c r="G3749" s="48">
        <v>1</v>
      </c>
      <c r="H3749" s="48"/>
      <c r="I3749" s="49"/>
      <c r="J3749" s="49"/>
      <c r="K3749" s="19"/>
      <c r="L3749" s="20"/>
      <c r="M3749" s="10"/>
      <c r="N3749" s="10"/>
      <c r="O3749" s="10"/>
      <c r="P3749" s="10"/>
      <c r="Q3749" s="10"/>
      <c r="R3749" s="10"/>
      <c r="S3749" s="10"/>
      <c r="T3749" s="10"/>
      <c r="U3749" s="10"/>
      <c r="V3749" s="10"/>
      <c r="W3749" s="10"/>
      <c r="X3749" s="10"/>
      <c r="Y3749" s="10"/>
      <c r="Z3749" s="10"/>
      <c r="AA3749" s="10"/>
      <c r="AB3749" s="10"/>
      <c r="AC3749" s="10"/>
      <c r="AD3749" s="10"/>
      <c r="AE3749" s="10"/>
      <c r="AF3749" s="10"/>
      <c r="AG3749" s="10"/>
      <c r="AH3749" s="10"/>
    </row>
    <row r="3750" spans="1:34" outlineLevel="2">
      <c r="A3750" s="21"/>
      <c r="B3750" s="12" t="str">
        <f>IFERROR(VLOOKUP(D3750,'[1]Перечень товаров'!$A$2:$I9525,2,0),"")</f>
        <v>м14</v>
      </c>
      <c r="C3750" s="12" t="str">
        <f>IFERROR(VLOOKUP(D3750,'[1]Перечень товаров'!$A$2:$I9525,3,0),"")</f>
        <v>Мебель</v>
      </c>
      <c r="D3750" s="22" t="s">
        <v>43</v>
      </c>
      <c r="E3750" s="88"/>
      <c r="F3750" s="88"/>
      <c r="G3750" s="48">
        <v>1</v>
      </c>
      <c r="H3750" s="48"/>
      <c r="I3750" s="49"/>
      <c r="J3750" s="49"/>
      <c r="K3750" s="19"/>
      <c r="L3750" s="20"/>
      <c r="M3750" s="10"/>
      <c r="N3750" s="10"/>
      <c r="O3750" s="10"/>
      <c r="P3750" s="10"/>
      <c r="Q3750" s="10"/>
      <c r="R3750" s="10"/>
      <c r="S3750" s="10"/>
      <c r="T3750" s="10"/>
      <c r="U3750" s="10"/>
      <c r="V3750" s="10"/>
      <c r="W3750" s="10"/>
      <c r="X3750" s="10"/>
      <c r="Y3750" s="10"/>
      <c r="Z3750" s="10"/>
      <c r="AA3750" s="10"/>
      <c r="AB3750" s="10"/>
      <c r="AC3750" s="10"/>
      <c r="AD3750" s="10"/>
      <c r="AE3750" s="10"/>
      <c r="AF3750" s="10"/>
      <c r="AG3750" s="10"/>
      <c r="AH3750" s="10"/>
    </row>
    <row r="3751" spans="1:34" outlineLevel="2">
      <c r="A3751" s="21"/>
      <c r="B3751" s="12" t="str">
        <f>IFERROR(VLOOKUP(D3751,'[1]Перечень товаров'!$A$2:$I9525,2,0),"")</f>
        <v>п2</v>
      </c>
      <c r="C3751" s="12" t="str">
        <f>IFERROR(VLOOKUP(D3751,'[1]Перечень товаров'!$A$2:$I9525,3,0),"")</f>
        <v>Прочее</v>
      </c>
      <c r="D3751" s="22" t="s">
        <v>46</v>
      </c>
      <c r="E3751" s="88"/>
      <c r="F3751" s="88"/>
      <c r="G3751" s="24">
        <v>1</v>
      </c>
      <c r="H3751" s="24"/>
      <c r="I3751" s="25"/>
      <c r="J3751" s="25"/>
      <c r="K3751" s="19"/>
      <c r="L3751" s="20"/>
      <c r="M3751" s="10"/>
      <c r="N3751" s="10"/>
      <c r="O3751" s="10"/>
      <c r="P3751" s="10"/>
      <c r="Q3751" s="10"/>
      <c r="R3751" s="10"/>
      <c r="S3751" s="10"/>
      <c r="T3751" s="10"/>
      <c r="U3751" s="10"/>
      <c r="V3751" s="10"/>
      <c r="W3751" s="10"/>
      <c r="X3751" s="10"/>
      <c r="Y3751" s="10"/>
      <c r="Z3751" s="10"/>
      <c r="AA3751" s="10"/>
      <c r="AB3751" s="10"/>
      <c r="AC3751" s="10"/>
      <c r="AD3751" s="10"/>
      <c r="AE3751" s="10"/>
      <c r="AF3751" s="10"/>
      <c r="AG3751" s="10"/>
      <c r="AH3751" s="10"/>
    </row>
    <row r="3752" spans="1:34" ht="12.75" outlineLevel="1">
      <c r="A3752" s="89"/>
      <c r="B3752" s="12" t="str">
        <f>IFERROR(VLOOKUP(D3752,'[1]Перечень товаров'!$A$2:$I9525,2,0),"")</f>
        <v/>
      </c>
      <c r="C3752" s="12" t="str">
        <f>IFERROR(VLOOKUP(D3752,'[1]Перечень товаров'!$A$2:$I9525,3,0),"")</f>
        <v/>
      </c>
      <c r="D3752" s="90" t="s">
        <v>1031</v>
      </c>
      <c r="E3752" s="91">
        <v>25.7</v>
      </c>
      <c r="F3752" s="91"/>
      <c r="G3752" s="17"/>
      <c r="H3752" s="17"/>
      <c r="I3752" s="57"/>
      <c r="J3752" s="57"/>
      <c r="K3752" s="19"/>
      <c r="L3752" s="20"/>
      <c r="M3752" s="10"/>
      <c r="N3752" s="10"/>
      <c r="O3752" s="10"/>
      <c r="P3752" s="10"/>
      <c r="Q3752" s="10"/>
      <c r="R3752" s="10"/>
      <c r="S3752" s="10"/>
      <c r="T3752" s="10"/>
      <c r="U3752" s="10"/>
      <c r="V3752" s="10"/>
      <c r="W3752" s="10"/>
      <c r="X3752" s="10"/>
      <c r="Y3752" s="10"/>
      <c r="Z3752" s="10"/>
      <c r="AA3752" s="10"/>
      <c r="AB3752" s="10"/>
      <c r="AC3752" s="10"/>
      <c r="AD3752" s="10"/>
      <c r="AE3752" s="10"/>
      <c r="AF3752" s="10"/>
      <c r="AG3752" s="10"/>
      <c r="AH3752" s="10"/>
    </row>
    <row r="3753" spans="1:34" ht="15" outlineLevel="2">
      <c r="A3753" s="109"/>
      <c r="B3753" s="12" t="str">
        <f>IFERROR(VLOOKUP(D3753,'[1]Перечень товаров'!$A$2:$I9525,2,0),"")</f>
        <v/>
      </c>
      <c r="C3753" s="12" t="str">
        <f>IFERROR(VLOOKUP(D3753,'[1]Перечень товаров'!$A$2:$I9525,3,0),"")</f>
        <v/>
      </c>
      <c r="D3753" s="110" t="s">
        <v>27</v>
      </c>
      <c r="E3753" s="115"/>
      <c r="F3753" s="115"/>
      <c r="G3753" s="211"/>
      <c r="H3753" s="211"/>
      <c r="I3753" s="212"/>
      <c r="J3753" s="212"/>
      <c r="K3753" s="19"/>
      <c r="L3753" s="20"/>
      <c r="M3753" s="10"/>
      <c r="N3753" s="10"/>
      <c r="O3753" s="10"/>
      <c r="P3753" s="10"/>
      <c r="Q3753" s="10"/>
      <c r="R3753" s="10"/>
      <c r="S3753" s="10"/>
      <c r="T3753" s="10"/>
      <c r="U3753" s="10"/>
      <c r="V3753" s="10"/>
      <c r="W3753" s="10"/>
      <c r="X3753" s="10"/>
      <c r="Y3753" s="10"/>
      <c r="Z3753" s="10"/>
      <c r="AA3753" s="10"/>
      <c r="AB3753" s="10"/>
      <c r="AC3753" s="10"/>
      <c r="AD3753" s="10"/>
      <c r="AE3753" s="10"/>
      <c r="AF3753" s="10"/>
      <c r="AG3753" s="10"/>
      <c r="AH3753" s="10"/>
    </row>
    <row r="3754" spans="1:34" outlineLevel="2">
      <c r="A3754" s="21"/>
      <c r="B3754" s="12" t="str">
        <f>IFERROR(VLOOKUP(D3754,'[1]Перечень товаров'!$A$2:$I9525,2,0),"")</f>
        <v>т1</v>
      </c>
      <c r="C3754" s="12" t="str">
        <f>IFERROR(VLOOKUP(D3754,'[1]Перечень товаров'!$A$2:$I9525,3,0),"")</f>
        <v xml:space="preserve">Техника </v>
      </c>
      <c r="D3754" s="22" t="s">
        <v>28</v>
      </c>
      <c r="E3754" s="88"/>
      <c r="F3754" s="88"/>
      <c r="G3754" s="48">
        <v>1</v>
      </c>
      <c r="H3754" s="48"/>
      <c r="I3754" s="49"/>
      <c r="J3754" s="49"/>
      <c r="K3754" s="19"/>
      <c r="L3754" s="20"/>
      <c r="M3754" s="10"/>
      <c r="N3754" s="10"/>
      <c r="O3754" s="10"/>
      <c r="P3754" s="10"/>
      <c r="Q3754" s="10"/>
      <c r="R3754" s="10"/>
      <c r="S3754" s="10"/>
      <c r="T3754" s="10"/>
      <c r="U3754" s="10"/>
      <c r="V3754" s="10"/>
      <c r="W3754" s="10"/>
      <c r="X3754" s="10"/>
      <c r="Y3754" s="10"/>
      <c r="Z3754" s="10"/>
      <c r="AA3754" s="10"/>
      <c r="AB3754" s="10"/>
      <c r="AC3754" s="10"/>
      <c r="AD3754" s="10"/>
      <c r="AE3754" s="10"/>
      <c r="AF3754" s="10"/>
      <c r="AG3754" s="10"/>
      <c r="AH3754" s="10"/>
    </row>
    <row r="3755" spans="1:34" outlineLevel="2">
      <c r="A3755" s="22"/>
      <c r="B3755" s="12" t="str">
        <f>IFERROR(VLOOKUP(D3755,'[1]Перечень товаров'!$A$2:$I9525,2,0),"")</f>
        <v>т9</v>
      </c>
      <c r="C3755" s="12" t="str">
        <f>IFERROR(VLOOKUP(D3755,'[1]Перечень товаров'!$A$2:$I9525,3,0),"")</f>
        <v>Техника</v>
      </c>
      <c r="D3755" s="22" t="s">
        <v>36</v>
      </c>
      <c r="E3755" s="88"/>
      <c r="F3755" s="88"/>
      <c r="G3755" s="48">
        <v>1</v>
      </c>
      <c r="H3755" s="48"/>
      <c r="I3755" s="49"/>
      <c r="J3755" s="49"/>
      <c r="K3755" s="19"/>
      <c r="L3755" s="20"/>
      <c r="M3755" s="10"/>
      <c r="N3755" s="10"/>
      <c r="O3755" s="10"/>
      <c r="P3755" s="10"/>
      <c r="Q3755" s="10"/>
      <c r="R3755" s="10"/>
      <c r="S3755" s="10"/>
      <c r="T3755" s="10"/>
      <c r="U3755" s="10"/>
      <c r="V3755" s="10"/>
      <c r="W3755" s="10"/>
      <c r="X3755" s="10"/>
      <c r="Y3755" s="10"/>
      <c r="Z3755" s="10"/>
      <c r="AA3755" s="10"/>
      <c r="AB3755" s="10"/>
      <c r="AC3755" s="10"/>
      <c r="AD3755" s="10"/>
      <c r="AE3755" s="10"/>
      <c r="AF3755" s="10"/>
      <c r="AG3755" s="10"/>
      <c r="AH3755" s="10"/>
    </row>
    <row r="3756" spans="1:34" outlineLevel="2">
      <c r="A3756" s="35"/>
      <c r="B3756" s="12" t="str">
        <f>IFERROR(VLOOKUP(D3756,'[1]Перечень товаров'!$A$2:$I9525,2,0),"")</f>
        <v>т2</v>
      </c>
      <c r="C3756" s="12" t="str">
        <f>IFERROR(VLOOKUP(D3756,'[1]Перечень товаров'!$A$2:$I9525,3,0),"")</f>
        <v xml:space="preserve">Техника </v>
      </c>
      <c r="D3756" s="35" t="s">
        <v>29</v>
      </c>
      <c r="E3756" s="88"/>
      <c r="F3756" s="88"/>
      <c r="G3756" s="48">
        <v>1</v>
      </c>
      <c r="H3756" s="48"/>
      <c r="I3756" s="49"/>
      <c r="J3756" s="49"/>
      <c r="K3756" s="19"/>
      <c r="L3756" s="20"/>
      <c r="M3756" s="10"/>
      <c r="N3756" s="10"/>
      <c r="O3756" s="10"/>
      <c r="P3756" s="10"/>
      <c r="Q3756" s="10"/>
      <c r="R3756" s="10"/>
      <c r="S3756" s="10"/>
      <c r="T3756" s="10"/>
      <c r="U3756" s="10"/>
      <c r="V3756" s="10"/>
      <c r="W3756" s="10"/>
      <c r="X3756" s="10"/>
      <c r="Y3756" s="10"/>
      <c r="Z3756" s="10"/>
      <c r="AA3756" s="10"/>
      <c r="AB3756" s="10"/>
      <c r="AC3756" s="10"/>
      <c r="AD3756" s="10"/>
      <c r="AE3756" s="10"/>
      <c r="AF3756" s="10"/>
      <c r="AG3756" s="10"/>
      <c r="AH3756" s="10"/>
    </row>
    <row r="3757" spans="1:34" outlineLevel="2">
      <c r="A3757" s="35"/>
      <c r="B3757" s="12" t="str">
        <f>IFERROR(VLOOKUP(D3757,'[1]Перечень товаров'!$A$2:$I9525,2,0),"")</f>
        <v>т3</v>
      </c>
      <c r="C3757" s="12" t="str">
        <f>IFERROR(VLOOKUP(D3757,'[1]Перечень товаров'!$A$2:$I9525,3,0),"")</f>
        <v xml:space="preserve">Техника </v>
      </c>
      <c r="D3757" s="35" t="s">
        <v>30</v>
      </c>
      <c r="E3757" s="88"/>
      <c r="F3757" s="88"/>
      <c r="G3757" s="48">
        <v>1</v>
      </c>
      <c r="H3757" s="48"/>
      <c r="I3757" s="49"/>
      <c r="J3757" s="49"/>
      <c r="K3757" s="19"/>
      <c r="L3757" s="20"/>
      <c r="M3757" s="10"/>
      <c r="N3757" s="10"/>
      <c r="O3757" s="10"/>
      <c r="P3757" s="10"/>
      <c r="Q3757" s="10"/>
      <c r="R3757" s="10"/>
      <c r="S3757" s="10"/>
      <c r="T3757" s="10"/>
      <c r="U3757" s="10"/>
      <c r="V3757" s="10"/>
      <c r="W3757" s="10"/>
      <c r="X3757" s="10"/>
      <c r="Y3757" s="10"/>
      <c r="Z3757" s="10"/>
      <c r="AA3757" s="10"/>
      <c r="AB3757" s="10"/>
      <c r="AC3757" s="10"/>
      <c r="AD3757" s="10"/>
      <c r="AE3757" s="10"/>
      <c r="AF3757" s="10"/>
      <c r="AG3757" s="10"/>
      <c r="AH3757" s="10"/>
    </row>
    <row r="3758" spans="1:34" outlineLevel="2">
      <c r="A3758" s="35"/>
      <c r="B3758" s="12" t="str">
        <f>IFERROR(VLOOKUP(D3758,'[1]Перечень товаров'!$A$2:$I9525,2,0),"")</f>
        <v>т4</v>
      </c>
      <c r="C3758" s="12" t="str">
        <f>IFERROR(VLOOKUP(D3758,'[1]Перечень товаров'!$A$2:$I9525,3,0),"")</f>
        <v xml:space="preserve">Техника </v>
      </c>
      <c r="D3758" s="35" t="s">
        <v>31</v>
      </c>
      <c r="E3758" s="88"/>
      <c r="F3758" s="88"/>
      <c r="G3758" s="48">
        <v>1</v>
      </c>
      <c r="H3758" s="48"/>
      <c r="I3758" s="49"/>
      <c r="J3758" s="49"/>
      <c r="K3758" s="19"/>
      <c r="L3758" s="20"/>
      <c r="M3758" s="10"/>
      <c r="N3758" s="10"/>
      <c r="O3758" s="10"/>
      <c r="P3758" s="10"/>
      <c r="Q3758" s="10"/>
      <c r="R3758" s="10"/>
      <c r="S3758" s="10"/>
      <c r="T3758" s="10"/>
      <c r="U3758" s="10"/>
      <c r="V3758" s="10"/>
      <c r="W3758" s="10"/>
      <c r="X3758" s="10"/>
      <c r="Y3758" s="10"/>
      <c r="Z3758" s="10"/>
      <c r="AA3758" s="10"/>
      <c r="AB3758" s="10"/>
      <c r="AC3758" s="10"/>
      <c r="AD3758" s="10"/>
      <c r="AE3758" s="10"/>
      <c r="AF3758" s="10"/>
      <c r="AG3758" s="10"/>
      <c r="AH3758" s="10"/>
    </row>
    <row r="3759" spans="1:34" outlineLevel="2">
      <c r="A3759" s="21"/>
      <c r="B3759" s="12" t="str">
        <f>IFERROR(VLOOKUP(D3759,'[1]Перечень товаров'!$A$2:$I9525,2,0),"")</f>
        <v>тм65</v>
      </c>
      <c r="C3759" s="12" t="str">
        <f>IFERROR(VLOOKUP(D3759,'[1]Перечень товаров'!$A$2:$I9525,3,0),"")</f>
        <v>Техника муз</v>
      </c>
      <c r="D3759" s="22" t="s">
        <v>380</v>
      </c>
      <c r="E3759" s="88"/>
      <c r="F3759" s="88"/>
      <c r="G3759" s="48">
        <v>1</v>
      </c>
      <c r="H3759" s="48"/>
      <c r="I3759" s="49"/>
      <c r="J3759" s="49"/>
      <c r="K3759" s="19"/>
      <c r="L3759" s="20"/>
      <c r="M3759" s="10"/>
      <c r="N3759" s="10"/>
      <c r="O3759" s="10"/>
      <c r="P3759" s="10"/>
      <c r="Q3759" s="10"/>
      <c r="R3759" s="10"/>
      <c r="S3759" s="10"/>
      <c r="T3759" s="10"/>
      <c r="U3759" s="10"/>
      <c r="V3759" s="10"/>
      <c r="W3759" s="10"/>
      <c r="X3759" s="10"/>
      <c r="Y3759" s="10"/>
      <c r="Z3759" s="10"/>
      <c r="AA3759" s="10"/>
      <c r="AB3759" s="10"/>
      <c r="AC3759" s="10"/>
      <c r="AD3759" s="10"/>
      <c r="AE3759" s="10"/>
      <c r="AF3759" s="10"/>
      <c r="AG3759" s="10"/>
      <c r="AH3759" s="10"/>
    </row>
    <row r="3760" spans="1:34" outlineLevel="2">
      <c r="A3760" s="21"/>
      <c r="B3760" s="12" t="str">
        <f>IFERROR(VLOOKUP(D3760,'[1]Перечень товаров'!$A$2:$I9525,2,0),"")</f>
        <v>т12</v>
      </c>
      <c r="C3760" s="12" t="str">
        <f>IFERROR(VLOOKUP(D3760,'[1]Перечень товаров'!$A$2:$I9525,3,0),"")</f>
        <v>Техника</v>
      </c>
      <c r="D3760" s="22" t="s">
        <v>49</v>
      </c>
      <c r="E3760" s="88"/>
      <c r="F3760" s="88"/>
      <c r="G3760" s="48">
        <v>1</v>
      </c>
      <c r="H3760" s="48"/>
      <c r="I3760" s="49"/>
      <c r="J3760" s="49"/>
      <c r="K3760" s="19"/>
      <c r="L3760" s="20"/>
      <c r="M3760" s="10"/>
      <c r="N3760" s="10"/>
      <c r="O3760" s="10"/>
      <c r="P3760" s="10"/>
      <c r="Q3760" s="10"/>
      <c r="R3760" s="10"/>
      <c r="S3760" s="10"/>
      <c r="T3760" s="10"/>
      <c r="U3760" s="10"/>
      <c r="V3760" s="10"/>
      <c r="W3760" s="10"/>
      <c r="X3760" s="10"/>
      <c r="Y3760" s="10"/>
      <c r="Z3760" s="10"/>
      <c r="AA3760" s="10"/>
      <c r="AB3760" s="10"/>
      <c r="AC3760" s="10"/>
      <c r="AD3760" s="10"/>
      <c r="AE3760" s="10"/>
      <c r="AF3760" s="10"/>
      <c r="AG3760" s="10"/>
      <c r="AH3760" s="10"/>
    </row>
    <row r="3761" spans="1:34" outlineLevel="2">
      <c r="A3761" s="35"/>
      <c r="B3761" s="12" t="str">
        <f>IFERROR(VLOOKUP(D3761,'[1]Перечень товаров'!$A$2:$I9525,2,0),"")</f>
        <v>т6</v>
      </c>
      <c r="C3761" s="12" t="str">
        <f>IFERROR(VLOOKUP(D3761,'[1]Перечень товаров'!$A$2:$I9525,3,0),"")</f>
        <v xml:space="preserve">Техника </v>
      </c>
      <c r="D3761" s="35" t="s">
        <v>33</v>
      </c>
      <c r="E3761" s="88"/>
      <c r="F3761" s="88"/>
      <c r="G3761" s="48">
        <v>1</v>
      </c>
      <c r="H3761" s="48"/>
      <c r="I3761" s="49"/>
      <c r="J3761" s="49"/>
      <c r="K3761" s="19"/>
      <c r="L3761" s="20"/>
      <c r="M3761" s="10"/>
      <c r="N3761" s="10"/>
      <c r="O3761" s="10"/>
      <c r="P3761" s="10"/>
      <c r="Q3761" s="10"/>
      <c r="R3761" s="10"/>
      <c r="S3761" s="10"/>
      <c r="T3761" s="10"/>
      <c r="U3761" s="10"/>
      <c r="V3761" s="10"/>
      <c r="W3761" s="10"/>
      <c r="X3761" s="10"/>
      <c r="Y3761" s="10"/>
      <c r="Z3761" s="10"/>
      <c r="AA3761" s="10"/>
      <c r="AB3761" s="10"/>
      <c r="AC3761" s="10"/>
      <c r="AD3761" s="10"/>
      <c r="AE3761" s="10"/>
      <c r="AF3761" s="10"/>
      <c r="AG3761" s="10"/>
      <c r="AH3761" s="10"/>
    </row>
    <row r="3762" spans="1:34" outlineLevel="2">
      <c r="A3762" s="22"/>
      <c r="B3762" s="12" t="str">
        <f>IFERROR(VLOOKUP(D3762,'[1]Перечень товаров'!$A$2:$I9525,2,0),"")</f>
        <v>т7</v>
      </c>
      <c r="C3762" s="12" t="str">
        <f>IFERROR(VLOOKUP(D3762,'[1]Перечень товаров'!$A$2:$I9525,3,0),"")</f>
        <v xml:space="preserve">Техника </v>
      </c>
      <c r="D3762" s="22" t="s">
        <v>34</v>
      </c>
      <c r="E3762" s="88"/>
      <c r="F3762" s="88"/>
      <c r="G3762" s="48">
        <v>3</v>
      </c>
      <c r="H3762" s="48"/>
      <c r="I3762" s="49"/>
      <c r="J3762" s="49"/>
      <c r="K3762" s="19"/>
      <c r="L3762" s="20"/>
      <c r="M3762" s="10"/>
      <c r="N3762" s="10"/>
      <c r="O3762" s="10"/>
      <c r="P3762" s="10"/>
      <c r="Q3762" s="10"/>
      <c r="R3762" s="10"/>
      <c r="S3762" s="10"/>
      <c r="T3762" s="10"/>
      <c r="U3762" s="10"/>
      <c r="V3762" s="10"/>
      <c r="W3762" s="10"/>
      <c r="X3762" s="10"/>
      <c r="Y3762" s="10"/>
      <c r="Z3762" s="10"/>
      <c r="AA3762" s="10"/>
      <c r="AB3762" s="10"/>
      <c r="AC3762" s="10"/>
      <c r="AD3762" s="10"/>
      <c r="AE3762" s="10"/>
      <c r="AF3762" s="10"/>
      <c r="AG3762" s="10"/>
      <c r="AH3762" s="10"/>
    </row>
    <row r="3763" spans="1:34" outlineLevel="2">
      <c r="A3763" s="35"/>
      <c r="B3763" s="12" t="str">
        <f>IFERROR(VLOOKUP(D3763,'[1]Перечень товаров'!$A$2:$I9525,2,0),"")</f>
        <v>т161</v>
      </c>
      <c r="C3763" s="12" t="str">
        <f>IFERROR(VLOOKUP(D3763,'[1]Перечень товаров'!$A$2:$I9525,3,0),"")</f>
        <v xml:space="preserve">Техника </v>
      </c>
      <c r="D3763" s="29" t="s">
        <v>381</v>
      </c>
      <c r="E3763" s="88"/>
      <c r="F3763" s="88"/>
      <c r="G3763" s="159">
        <v>1</v>
      </c>
      <c r="H3763" s="159"/>
      <c r="I3763" s="160"/>
      <c r="J3763" s="160"/>
      <c r="K3763" s="19"/>
      <c r="L3763" s="20"/>
      <c r="M3763" s="10"/>
      <c r="N3763" s="10"/>
      <c r="O3763" s="10"/>
      <c r="P3763" s="10"/>
      <c r="Q3763" s="10"/>
      <c r="R3763" s="10"/>
      <c r="S3763" s="10"/>
      <c r="T3763" s="10"/>
      <c r="U3763" s="10"/>
      <c r="V3763" s="10"/>
      <c r="W3763" s="10"/>
      <c r="X3763" s="10"/>
      <c r="Y3763" s="10"/>
      <c r="Z3763" s="10"/>
      <c r="AA3763" s="10"/>
      <c r="AB3763" s="10"/>
      <c r="AC3763" s="10"/>
      <c r="AD3763" s="10"/>
      <c r="AE3763" s="10"/>
      <c r="AF3763" s="10"/>
      <c r="AG3763" s="10"/>
      <c r="AH3763" s="10"/>
    </row>
    <row r="3764" spans="1:34" outlineLevel="2">
      <c r="A3764" s="114"/>
      <c r="B3764" s="12" t="str">
        <f>IFERROR(VLOOKUP(D3764,'[1]Перечень товаров'!$A$2:$I9525,2,0),"")</f>
        <v/>
      </c>
      <c r="C3764" s="12" t="str">
        <f>IFERROR(VLOOKUP(D3764,'[1]Перечень товаров'!$A$2:$I9525,3,0),"")</f>
        <v/>
      </c>
      <c r="D3764" s="114" t="s">
        <v>19</v>
      </c>
      <c r="E3764" s="115"/>
      <c r="F3764" s="115"/>
      <c r="G3764" s="157"/>
      <c r="H3764" s="157"/>
      <c r="I3764" s="158"/>
      <c r="J3764" s="158"/>
      <c r="K3764" s="19"/>
      <c r="L3764" s="20"/>
      <c r="M3764" s="10"/>
      <c r="N3764" s="10"/>
      <c r="O3764" s="10"/>
      <c r="P3764" s="10"/>
      <c r="Q3764" s="10"/>
      <c r="R3764" s="10"/>
      <c r="S3764" s="10"/>
      <c r="T3764" s="10"/>
      <c r="U3764" s="10"/>
      <c r="V3764" s="10"/>
      <c r="W3764" s="10"/>
      <c r="X3764" s="10"/>
      <c r="Y3764" s="10"/>
      <c r="Z3764" s="10"/>
      <c r="AA3764" s="10"/>
      <c r="AB3764" s="10"/>
      <c r="AC3764" s="10"/>
      <c r="AD3764" s="10"/>
      <c r="AE3764" s="10"/>
      <c r="AF3764" s="10"/>
      <c r="AG3764" s="10"/>
      <c r="AH3764" s="10"/>
    </row>
    <row r="3765" spans="1:34" outlineLevel="2">
      <c r="A3765" s="34"/>
      <c r="B3765" s="12" t="str">
        <f>IFERROR(VLOOKUP(D3765,'[1]Перечень товаров'!$A$2:$I9525,2,0),"")</f>
        <v>м62</v>
      </c>
      <c r="C3765" s="12" t="str">
        <f>IFERROR(VLOOKUP(D3765,'[1]Перечень товаров'!$A$2:$I9525,3,0),"")</f>
        <v>Мебель</v>
      </c>
      <c r="D3765" s="35" t="s">
        <v>398</v>
      </c>
      <c r="E3765" s="88"/>
      <c r="F3765" s="88"/>
      <c r="G3765" s="59">
        <v>1</v>
      </c>
      <c r="H3765" s="59"/>
      <c r="I3765" s="60"/>
      <c r="J3765" s="60"/>
      <c r="K3765" s="19"/>
      <c r="L3765" s="20"/>
      <c r="M3765" s="10"/>
      <c r="N3765" s="10"/>
      <c r="O3765" s="10"/>
      <c r="P3765" s="10"/>
      <c r="Q3765" s="10"/>
      <c r="R3765" s="10"/>
      <c r="S3765" s="10"/>
      <c r="T3765" s="10"/>
      <c r="U3765" s="10"/>
      <c r="V3765" s="10"/>
      <c r="W3765" s="10"/>
      <c r="X3765" s="10"/>
      <c r="Y3765" s="10"/>
      <c r="Z3765" s="10"/>
      <c r="AA3765" s="10"/>
      <c r="AB3765" s="10"/>
      <c r="AC3765" s="10"/>
      <c r="AD3765" s="10"/>
      <c r="AE3765" s="10"/>
      <c r="AF3765" s="10"/>
      <c r="AG3765" s="10"/>
      <c r="AH3765" s="10"/>
    </row>
    <row r="3766" spans="1:34" outlineLevel="2">
      <c r="A3766" s="34"/>
      <c r="B3766" s="12" t="str">
        <f>IFERROR(VLOOKUP(D3766,'[1]Перечень товаров'!$A$2:$I9525,2,0),"")</f>
        <v>м61</v>
      </c>
      <c r="C3766" s="12" t="str">
        <f>IFERROR(VLOOKUP(D3766,'[1]Перечень товаров'!$A$2:$I9525,3,0),"")</f>
        <v>Мебель</v>
      </c>
      <c r="D3766" s="35" t="s">
        <v>383</v>
      </c>
      <c r="E3766" s="88"/>
      <c r="F3766" s="88"/>
      <c r="G3766" s="59">
        <v>1</v>
      </c>
      <c r="H3766" s="59"/>
      <c r="I3766" s="60"/>
      <c r="J3766" s="60"/>
      <c r="K3766" s="19"/>
      <c r="L3766" s="20"/>
      <c r="M3766" s="10"/>
      <c r="N3766" s="10"/>
      <c r="O3766" s="10"/>
      <c r="P3766" s="10"/>
      <c r="Q3766" s="10"/>
      <c r="R3766" s="10"/>
      <c r="S3766" s="10"/>
      <c r="T3766" s="10"/>
      <c r="U3766" s="10"/>
      <c r="V3766" s="10"/>
      <c r="W3766" s="10"/>
      <c r="X3766" s="10"/>
      <c r="Y3766" s="10"/>
      <c r="Z3766" s="10"/>
      <c r="AA3766" s="10"/>
      <c r="AB3766" s="10"/>
      <c r="AC3766" s="10"/>
      <c r="AD3766" s="10"/>
      <c r="AE3766" s="10"/>
      <c r="AF3766" s="10"/>
      <c r="AG3766" s="10"/>
      <c r="AH3766" s="10"/>
    </row>
    <row r="3767" spans="1:34" outlineLevel="2">
      <c r="A3767" s="34"/>
      <c r="B3767" s="12" t="str">
        <f>IFERROR(VLOOKUP(D3767,'[1]Перечень товаров'!$A$2:$I9525,2,0),"")</f>
        <v>м179</v>
      </c>
      <c r="C3767" s="12" t="str">
        <f>IFERROR(VLOOKUP(D3767,'[1]Перечень товаров'!$A$2:$I9525,3,0),"")</f>
        <v>Мебель</v>
      </c>
      <c r="D3767" s="35" t="s">
        <v>579</v>
      </c>
      <c r="E3767" s="88"/>
      <c r="F3767" s="88"/>
      <c r="G3767" s="159">
        <v>10</v>
      </c>
      <c r="H3767" s="159"/>
      <c r="I3767" s="160"/>
      <c r="J3767" s="160"/>
      <c r="K3767" s="19"/>
      <c r="L3767" s="20"/>
      <c r="M3767" s="10"/>
      <c r="N3767" s="10"/>
      <c r="O3767" s="10"/>
      <c r="P3767" s="10"/>
      <c r="Q3767" s="10"/>
      <c r="R3767" s="10"/>
      <c r="S3767" s="10"/>
      <c r="T3767" s="10"/>
      <c r="U3767" s="10"/>
      <c r="V3767" s="10"/>
      <c r="W3767" s="10"/>
      <c r="X3767" s="10"/>
      <c r="Y3767" s="10"/>
      <c r="Z3767" s="10"/>
      <c r="AA3767" s="10"/>
      <c r="AB3767" s="10"/>
      <c r="AC3767" s="10"/>
      <c r="AD3767" s="10"/>
      <c r="AE3767" s="10"/>
      <c r="AF3767" s="10"/>
      <c r="AG3767" s="10"/>
      <c r="AH3767" s="10"/>
    </row>
    <row r="3768" spans="1:34" outlineLevel="2">
      <c r="A3768" s="34"/>
      <c r="B3768" s="12" t="str">
        <f>IFERROR(VLOOKUP(D3768,'[1]Перечень товаров'!$A$2:$I9525,2,0),"")</f>
        <v>м61</v>
      </c>
      <c r="C3768" s="12" t="str">
        <f>IFERROR(VLOOKUP(D3768,'[1]Перечень товаров'!$A$2:$I9525,3,0),"")</f>
        <v>Мебель</v>
      </c>
      <c r="D3768" s="35" t="s">
        <v>384</v>
      </c>
      <c r="E3768" s="88"/>
      <c r="F3768" s="88"/>
      <c r="G3768" s="159">
        <v>20</v>
      </c>
      <c r="H3768" s="159"/>
      <c r="I3768" s="160"/>
      <c r="J3768" s="160"/>
      <c r="K3768" s="19"/>
      <c r="L3768" s="20"/>
      <c r="M3768" s="10"/>
      <c r="N3768" s="10"/>
      <c r="O3768" s="10"/>
      <c r="P3768" s="10"/>
      <c r="Q3768" s="10"/>
      <c r="R3768" s="10"/>
      <c r="S3768" s="10"/>
      <c r="T3768" s="10"/>
      <c r="U3768" s="10"/>
      <c r="V3768" s="10"/>
      <c r="W3768" s="10"/>
      <c r="X3768" s="10"/>
      <c r="Y3768" s="10"/>
      <c r="Z3768" s="10"/>
      <c r="AA3768" s="10"/>
      <c r="AB3768" s="10"/>
      <c r="AC3768" s="10"/>
      <c r="AD3768" s="10"/>
      <c r="AE3768" s="10"/>
      <c r="AF3768" s="10"/>
      <c r="AG3768" s="10"/>
      <c r="AH3768" s="10"/>
    </row>
    <row r="3769" spans="1:34" outlineLevel="2">
      <c r="A3769" s="22"/>
      <c r="B3769" s="12" t="str">
        <f>IFERROR(VLOOKUP(D3769,'[1]Перечень товаров'!$A$2:$I9525,2,0),"")</f>
        <v>м13</v>
      </c>
      <c r="C3769" s="12" t="str">
        <f>IFERROR(VLOOKUP(D3769,'[1]Перечень товаров'!$A$2:$I9525,3,0),"")</f>
        <v>Мебель</v>
      </c>
      <c r="D3769" s="22" t="s">
        <v>42</v>
      </c>
      <c r="E3769" s="88"/>
      <c r="F3769" s="88"/>
      <c r="G3769" s="48">
        <v>1</v>
      </c>
      <c r="H3769" s="48"/>
      <c r="I3769" s="49"/>
      <c r="J3769" s="49"/>
      <c r="K3769" s="19"/>
      <c r="L3769" s="20"/>
      <c r="M3769" s="10"/>
      <c r="N3769" s="10"/>
      <c r="O3769" s="10"/>
      <c r="P3769" s="10"/>
      <c r="Q3769" s="10"/>
      <c r="R3769" s="10"/>
      <c r="S3769" s="10"/>
      <c r="T3769" s="10"/>
      <c r="U3769" s="10"/>
      <c r="V3769" s="10"/>
      <c r="W3769" s="10"/>
      <c r="X3769" s="10"/>
      <c r="Y3769" s="10"/>
      <c r="Z3769" s="10"/>
      <c r="AA3769" s="10"/>
      <c r="AB3769" s="10"/>
      <c r="AC3769" s="10"/>
      <c r="AD3769" s="10"/>
      <c r="AE3769" s="10"/>
      <c r="AF3769" s="10"/>
      <c r="AG3769" s="10"/>
      <c r="AH3769" s="10"/>
    </row>
    <row r="3770" spans="1:34" outlineLevel="2">
      <c r="A3770" s="21"/>
      <c r="B3770" s="12" t="str">
        <f>IFERROR(VLOOKUP(D3770,'[1]Перечень товаров'!$A$2:$I9525,2,0),"")</f>
        <v>м14</v>
      </c>
      <c r="C3770" s="12" t="str">
        <f>IFERROR(VLOOKUP(D3770,'[1]Перечень товаров'!$A$2:$I9525,3,0),"")</f>
        <v>Мебель</v>
      </c>
      <c r="D3770" s="22" t="s">
        <v>43</v>
      </c>
      <c r="E3770" s="88"/>
      <c r="F3770" s="88"/>
      <c r="G3770" s="48">
        <v>1</v>
      </c>
      <c r="H3770" s="48"/>
      <c r="I3770" s="49"/>
      <c r="J3770" s="49"/>
      <c r="K3770" s="19"/>
      <c r="L3770" s="20"/>
      <c r="M3770" s="10"/>
      <c r="N3770" s="10"/>
      <c r="O3770" s="10"/>
      <c r="P3770" s="10"/>
      <c r="Q3770" s="10"/>
      <c r="R3770" s="10"/>
      <c r="S3770" s="10"/>
      <c r="T3770" s="10"/>
      <c r="U3770" s="10"/>
      <c r="V3770" s="10"/>
      <c r="W3770" s="10"/>
      <c r="X3770" s="10"/>
      <c r="Y3770" s="10"/>
      <c r="Z3770" s="10"/>
      <c r="AA3770" s="10"/>
      <c r="AB3770" s="10"/>
      <c r="AC3770" s="10"/>
      <c r="AD3770" s="10"/>
      <c r="AE3770" s="10"/>
      <c r="AF3770" s="10"/>
      <c r="AG3770" s="10"/>
      <c r="AH3770" s="10"/>
    </row>
    <row r="3771" spans="1:34" outlineLevel="2">
      <c r="A3771" s="21"/>
      <c r="B3771" s="12" t="str">
        <f>IFERROR(VLOOKUP(D3771,'[1]Перечень товаров'!$A$2:$I9525,2,0),"")</f>
        <v>п2</v>
      </c>
      <c r="C3771" s="12" t="str">
        <f>IFERROR(VLOOKUP(D3771,'[1]Перечень товаров'!$A$2:$I9525,3,0),"")</f>
        <v>Прочее</v>
      </c>
      <c r="D3771" s="22" t="s">
        <v>46</v>
      </c>
      <c r="E3771" s="88"/>
      <c r="F3771" s="88"/>
      <c r="G3771" s="24">
        <v>1</v>
      </c>
      <c r="H3771" s="24"/>
      <c r="I3771" s="25"/>
      <c r="J3771" s="25"/>
      <c r="K3771" s="19"/>
      <c r="L3771" s="20"/>
      <c r="M3771" s="10"/>
      <c r="N3771" s="10"/>
      <c r="O3771" s="10"/>
      <c r="P3771" s="10"/>
      <c r="Q3771" s="10"/>
      <c r="R3771" s="10"/>
      <c r="S3771" s="10"/>
      <c r="T3771" s="10"/>
      <c r="U3771" s="10"/>
      <c r="V3771" s="10"/>
      <c r="W3771" s="10"/>
      <c r="X3771" s="10"/>
      <c r="Y3771" s="10"/>
      <c r="Z3771" s="10"/>
      <c r="AA3771" s="10"/>
      <c r="AB3771" s="10"/>
      <c r="AC3771" s="10"/>
      <c r="AD3771" s="10"/>
      <c r="AE3771" s="10"/>
      <c r="AF3771" s="10"/>
      <c r="AG3771" s="10"/>
      <c r="AH3771" s="10"/>
    </row>
    <row r="3772" spans="1:34" outlineLevel="2">
      <c r="A3772" s="113"/>
      <c r="B3772" s="12" t="str">
        <f>IFERROR(VLOOKUP(D3772,'[1]Перечень товаров'!$A$2:$I9525,2,0),"")</f>
        <v/>
      </c>
      <c r="C3772" s="12" t="str">
        <f>IFERROR(VLOOKUP(D3772,'[1]Перечень товаров'!$A$2:$I9525,3,0),"")</f>
        <v/>
      </c>
      <c r="D3772" s="114" t="s">
        <v>391</v>
      </c>
      <c r="E3772" s="115"/>
      <c r="F3772" s="115"/>
      <c r="G3772" s="215"/>
      <c r="H3772" s="215"/>
      <c r="I3772" s="216"/>
      <c r="J3772" s="216"/>
      <c r="K3772" s="19"/>
      <c r="L3772" s="20"/>
      <c r="M3772" s="10"/>
      <c r="N3772" s="10"/>
      <c r="O3772" s="10"/>
      <c r="P3772" s="10"/>
      <c r="Q3772" s="10"/>
      <c r="R3772" s="10"/>
      <c r="S3772" s="10"/>
      <c r="T3772" s="10"/>
      <c r="U3772" s="10"/>
      <c r="V3772" s="10"/>
      <c r="W3772" s="10"/>
      <c r="X3772" s="10"/>
      <c r="Y3772" s="10"/>
      <c r="Z3772" s="10"/>
      <c r="AA3772" s="10"/>
      <c r="AB3772" s="10"/>
      <c r="AC3772" s="10"/>
      <c r="AD3772" s="10"/>
      <c r="AE3772" s="10"/>
      <c r="AF3772" s="10"/>
      <c r="AG3772" s="10"/>
      <c r="AH3772" s="10"/>
    </row>
    <row r="3773" spans="1:34" ht="31.5" outlineLevel="2">
      <c r="A3773" s="28"/>
      <c r="B3773" s="12" t="str">
        <f>IFERROR(VLOOKUP(D3773,'[1]Перечень товаров'!$A$2:$I9525,2,0),"")</f>
        <v>тм219</v>
      </c>
      <c r="C3773" s="12" t="str">
        <f>IFERROR(VLOOKUP(D3773,'[1]Перечень товаров'!$A$2:$I9525,3,0),"")</f>
        <v>Техника муз</v>
      </c>
      <c r="D3773" s="29" t="s">
        <v>1000</v>
      </c>
      <c r="E3773" s="30"/>
      <c r="F3773" s="30"/>
      <c r="G3773" s="31">
        <v>1</v>
      </c>
      <c r="H3773" s="31"/>
      <c r="I3773" s="32"/>
      <c r="J3773" s="32"/>
      <c r="K3773" s="19"/>
      <c r="L3773" s="20"/>
      <c r="M3773" s="10"/>
      <c r="N3773" s="10"/>
      <c r="O3773" s="10"/>
      <c r="P3773" s="10"/>
      <c r="Q3773" s="10"/>
      <c r="R3773" s="10"/>
      <c r="S3773" s="10"/>
      <c r="T3773" s="10"/>
      <c r="U3773" s="10"/>
      <c r="V3773" s="10"/>
      <c r="W3773" s="10"/>
      <c r="X3773" s="10"/>
      <c r="Y3773" s="10"/>
      <c r="Z3773" s="10"/>
      <c r="AA3773" s="10"/>
      <c r="AB3773" s="10"/>
      <c r="AC3773" s="10"/>
      <c r="AD3773" s="10"/>
      <c r="AE3773" s="10"/>
      <c r="AF3773" s="10"/>
      <c r="AG3773" s="10"/>
      <c r="AH3773" s="10"/>
    </row>
    <row r="3774" spans="1:34" outlineLevel="2">
      <c r="A3774" s="28"/>
      <c r="B3774" s="12" t="str">
        <f>IFERROR(VLOOKUP(D3774,'[1]Перечень товаров'!$A$2:$I9525,2,0),"")</f>
        <v>м175</v>
      </c>
      <c r="C3774" s="12" t="str">
        <f>IFERROR(VLOOKUP(D3774,'[1]Перечень товаров'!$A$2:$I9525,3,0),"")</f>
        <v>мебель</v>
      </c>
      <c r="D3774" s="29" t="s">
        <v>1001</v>
      </c>
      <c r="E3774" s="30"/>
      <c r="F3774" s="30"/>
      <c r="G3774" s="31">
        <v>2</v>
      </c>
      <c r="H3774" s="31"/>
      <c r="I3774" s="32"/>
      <c r="J3774" s="32"/>
      <c r="K3774" s="19"/>
      <c r="L3774" s="20"/>
      <c r="M3774" s="10"/>
      <c r="N3774" s="10"/>
      <c r="O3774" s="10"/>
      <c r="P3774" s="10"/>
      <c r="Q3774" s="10"/>
      <c r="R3774" s="10"/>
      <c r="S3774" s="10"/>
      <c r="T3774" s="10"/>
      <c r="U3774" s="10"/>
      <c r="V3774" s="10"/>
      <c r="W3774" s="10"/>
      <c r="X3774" s="10"/>
      <c r="Y3774" s="10"/>
      <c r="Z3774" s="10"/>
      <c r="AA3774" s="10"/>
      <c r="AB3774" s="10"/>
      <c r="AC3774" s="10"/>
      <c r="AD3774" s="10"/>
      <c r="AE3774" s="10"/>
      <c r="AF3774" s="10"/>
      <c r="AG3774" s="10"/>
      <c r="AH3774" s="10"/>
    </row>
    <row r="3775" spans="1:34" outlineLevel="2">
      <c r="A3775" s="28"/>
      <c r="B3775" s="12" t="str">
        <f>IFERROR(VLOOKUP(D3775,'[1]Перечень товаров'!$A$2:$I9525,2,0),"")</f>
        <v>тм218</v>
      </c>
      <c r="C3775" s="12" t="str">
        <f>IFERROR(VLOOKUP(D3775,'[1]Перечень товаров'!$A$2:$I9525,3,0),"")</f>
        <v>Техника муз</v>
      </c>
      <c r="D3775" s="29" t="s">
        <v>1002</v>
      </c>
      <c r="E3775" s="30"/>
      <c r="F3775" s="30"/>
      <c r="G3775" s="31">
        <v>2</v>
      </c>
      <c r="H3775" s="31"/>
      <c r="I3775" s="32"/>
      <c r="J3775" s="32"/>
      <c r="K3775" s="19"/>
      <c r="L3775" s="20"/>
      <c r="M3775" s="10"/>
      <c r="N3775" s="10"/>
      <c r="O3775" s="10"/>
      <c r="P3775" s="10"/>
      <c r="Q3775" s="10"/>
      <c r="R3775" s="10"/>
      <c r="S3775" s="10"/>
      <c r="T3775" s="10"/>
      <c r="U3775" s="10"/>
      <c r="V3775" s="10"/>
      <c r="W3775" s="10"/>
      <c r="X3775" s="10"/>
      <c r="Y3775" s="10"/>
      <c r="Z3775" s="10"/>
      <c r="AA3775" s="10"/>
      <c r="AB3775" s="10"/>
      <c r="AC3775" s="10"/>
      <c r="AD3775" s="10"/>
      <c r="AE3775" s="10"/>
      <c r="AF3775" s="10"/>
      <c r="AG3775" s="10"/>
      <c r="AH3775" s="10"/>
    </row>
    <row r="3776" spans="1:34" outlineLevel="2">
      <c r="A3776" s="28"/>
      <c r="B3776" s="12" t="str">
        <f>IFERROR(VLOOKUP(D3776,'[1]Перечень товаров'!$A$2:$I9525,2,0),"")</f>
        <v>тм217</v>
      </c>
      <c r="C3776" s="12" t="str">
        <f>IFERROR(VLOOKUP(D3776,'[1]Перечень товаров'!$A$2:$I9525,3,0),"")</f>
        <v>Техника муз</v>
      </c>
      <c r="D3776" s="29" t="s">
        <v>1003</v>
      </c>
      <c r="E3776" s="30"/>
      <c r="F3776" s="30"/>
      <c r="G3776" s="31">
        <v>1</v>
      </c>
      <c r="H3776" s="31"/>
      <c r="I3776" s="32"/>
      <c r="J3776" s="32"/>
      <c r="K3776" s="19"/>
      <c r="L3776" s="20"/>
      <c r="M3776" s="10"/>
      <c r="N3776" s="10"/>
      <c r="O3776" s="10"/>
      <c r="P3776" s="10"/>
      <c r="Q3776" s="10"/>
      <c r="R3776" s="10"/>
      <c r="S3776" s="10"/>
      <c r="T3776" s="10"/>
      <c r="U3776" s="10"/>
      <c r="V3776" s="10"/>
      <c r="W3776" s="10"/>
      <c r="X3776" s="10"/>
      <c r="Y3776" s="10"/>
      <c r="Z3776" s="10"/>
      <c r="AA3776" s="10"/>
      <c r="AB3776" s="10"/>
      <c r="AC3776" s="10"/>
      <c r="AD3776" s="10"/>
      <c r="AE3776" s="10"/>
      <c r="AF3776" s="10"/>
      <c r="AG3776" s="10"/>
      <c r="AH3776" s="10"/>
    </row>
    <row r="3777" spans="1:34" ht="31.5" outlineLevel="2">
      <c r="A3777" s="28"/>
      <c r="B3777" s="12" t="str">
        <f>IFERROR(VLOOKUP(D3777,'[1]Перечень товаров'!$A$2:$I9525,2,0),"")</f>
        <v>пм210</v>
      </c>
      <c r="C3777" s="12" t="str">
        <f>IFERROR(VLOOKUP(D3777,'[1]Перечень товаров'!$A$2:$I9525,3,0),"")</f>
        <v>прочее муз</v>
      </c>
      <c r="D3777" s="29" t="s">
        <v>1004</v>
      </c>
      <c r="E3777" s="30"/>
      <c r="F3777" s="30"/>
      <c r="G3777" s="31">
        <v>3</v>
      </c>
      <c r="H3777" s="31"/>
      <c r="I3777" s="32"/>
      <c r="J3777" s="32"/>
      <c r="K3777" s="19"/>
      <c r="L3777" s="20"/>
      <c r="M3777" s="10"/>
      <c r="N3777" s="10"/>
      <c r="O3777" s="10"/>
      <c r="P3777" s="10"/>
      <c r="Q3777" s="10"/>
      <c r="R3777" s="10"/>
      <c r="S3777" s="10"/>
      <c r="T3777" s="10"/>
      <c r="U3777" s="10"/>
      <c r="V3777" s="10"/>
      <c r="W3777" s="10"/>
      <c r="X3777" s="10"/>
      <c r="Y3777" s="10"/>
      <c r="Z3777" s="10"/>
      <c r="AA3777" s="10"/>
      <c r="AB3777" s="10"/>
      <c r="AC3777" s="10"/>
      <c r="AD3777" s="10"/>
      <c r="AE3777" s="10"/>
      <c r="AF3777" s="10"/>
      <c r="AG3777" s="10"/>
      <c r="AH3777" s="10"/>
    </row>
    <row r="3778" spans="1:34" outlineLevel="2">
      <c r="A3778" s="28"/>
      <c r="B3778" s="12" t="str">
        <f>IFERROR(VLOOKUP(D3778,'[1]Перечень товаров'!$A$2:$I9525,2,0),"")</f>
        <v>м174</v>
      </c>
      <c r="C3778" s="12" t="str">
        <f>IFERROR(VLOOKUP(D3778,'[1]Перечень товаров'!$A$2:$I9525,3,0),"")</f>
        <v>мебель</v>
      </c>
      <c r="D3778" s="29" t="s">
        <v>1032</v>
      </c>
      <c r="E3778" s="30"/>
      <c r="F3778" s="30"/>
      <c r="G3778" s="31">
        <v>2</v>
      </c>
      <c r="H3778" s="31"/>
      <c r="I3778" s="32"/>
      <c r="J3778" s="32"/>
      <c r="K3778" s="19"/>
      <c r="L3778" s="20"/>
      <c r="M3778" s="10"/>
      <c r="N3778" s="10"/>
      <c r="O3778" s="10"/>
      <c r="P3778" s="10"/>
      <c r="Q3778" s="10"/>
      <c r="R3778" s="10"/>
      <c r="S3778" s="10"/>
      <c r="T3778" s="10"/>
      <c r="U3778" s="10"/>
      <c r="V3778" s="10"/>
      <c r="W3778" s="10"/>
      <c r="X3778" s="10"/>
      <c r="Y3778" s="10"/>
      <c r="Z3778" s="10"/>
      <c r="AA3778" s="10"/>
      <c r="AB3778" s="10"/>
      <c r="AC3778" s="10"/>
      <c r="AD3778" s="10"/>
      <c r="AE3778" s="10"/>
      <c r="AF3778" s="10"/>
      <c r="AG3778" s="10"/>
      <c r="AH3778" s="10"/>
    </row>
    <row r="3779" spans="1:34" outlineLevel="2">
      <c r="A3779" s="28"/>
      <c r="B3779" s="12" t="str">
        <f>IFERROR(VLOOKUP(D3779,'[1]Перечень товаров'!$A$2:$I9525,2,0),"")</f>
        <v>пм209</v>
      </c>
      <c r="C3779" s="12" t="str">
        <f>IFERROR(VLOOKUP(D3779,'[1]Перечень товаров'!$A$2:$I9525,3,0),"")</f>
        <v>прочее муз</v>
      </c>
      <c r="D3779" s="29" t="s">
        <v>1006</v>
      </c>
      <c r="E3779" s="30"/>
      <c r="F3779" s="30"/>
      <c r="G3779" s="31">
        <v>2</v>
      </c>
      <c r="H3779" s="31"/>
      <c r="I3779" s="32"/>
      <c r="J3779" s="32"/>
      <c r="K3779" s="19"/>
      <c r="L3779" s="20"/>
      <c r="M3779" s="10"/>
      <c r="N3779" s="10"/>
      <c r="O3779" s="10"/>
      <c r="P3779" s="10"/>
      <c r="Q3779" s="10"/>
      <c r="R3779" s="10"/>
      <c r="S3779" s="10"/>
      <c r="T3779" s="10"/>
      <c r="U3779" s="10"/>
      <c r="V3779" s="10"/>
      <c r="W3779" s="10"/>
      <c r="X3779" s="10"/>
      <c r="Y3779" s="10"/>
      <c r="Z3779" s="10"/>
      <c r="AA3779" s="10"/>
      <c r="AB3779" s="10"/>
      <c r="AC3779" s="10"/>
      <c r="AD3779" s="10"/>
      <c r="AE3779" s="10"/>
      <c r="AF3779" s="10"/>
      <c r="AG3779" s="10"/>
      <c r="AH3779" s="10"/>
    </row>
    <row r="3780" spans="1:34" outlineLevel="2">
      <c r="A3780" s="28"/>
      <c r="B3780" s="12" t="str">
        <f>IFERROR(VLOOKUP(D3780,'[1]Перечень товаров'!$A$2:$I9525,2,0),"")</f>
        <v>пм208</v>
      </c>
      <c r="C3780" s="12" t="str">
        <f>IFERROR(VLOOKUP(D3780,'[1]Перечень товаров'!$A$2:$I9525,3,0),"")</f>
        <v>прочее муз</v>
      </c>
      <c r="D3780" s="29" t="s">
        <v>1033</v>
      </c>
      <c r="E3780" s="30"/>
      <c r="F3780" s="30"/>
      <c r="G3780" s="31">
        <v>3</v>
      </c>
      <c r="H3780" s="31"/>
      <c r="I3780" s="32"/>
      <c r="J3780" s="32"/>
      <c r="K3780" s="19"/>
      <c r="L3780" s="20"/>
      <c r="M3780" s="10"/>
      <c r="N3780" s="10"/>
      <c r="O3780" s="10"/>
      <c r="P3780" s="10"/>
      <c r="Q3780" s="10"/>
      <c r="R3780" s="10"/>
      <c r="S3780" s="10"/>
      <c r="T3780" s="10"/>
      <c r="U3780" s="10"/>
      <c r="V3780" s="10"/>
      <c r="W3780" s="10"/>
      <c r="X3780" s="10"/>
      <c r="Y3780" s="10"/>
      <c r="Z3780" s="10"/>
      <c r="AA3780" s="10"/>
      <c r="AB3780" s="10"/>
      <c r="AC3780" s="10"/>
      <c r="AD3780" s="10"/>
      <c r="AE3780" s="10"/>
      <c r="AF3780" s="10"/>
      <c r="AG3780" s="10"/>
      <c r="AH3780" s="10"/>
    </row>
    <row r="3781" spans="1:34" outlineLevel="2">
      <c r="A3781" s="28"/>
      <c r="B3781" s="12" t="str">
        <f>IFERROR(VLOOKUP(D3781,'[1]Перечень товаров'!$A$2:$I9525,2,0),"")</f>
        <v>м174</v>
      </c>
      <c r="C3781" s="12" t="str">
        <f>IFERROR(VLOOKUP(D3781,'[1]Перечень товаров'!$A$2:$I9525,3,0),"")</f>
        <v>мебель</v>
      </c>
      <c r="D3781" s="29" t="s">
        <v>1008</v>
      </c>
      <c r="E3781" s="30"/>
      <c r="F3781" s="30"/>
      <c r="G3781" s="31">
        <v>1</v>
      </c>
      <c r="H3781" s="31"/>
      <c r="I3781" s="32"/>
      <c r="J3781" s="32"/>
      <c r="K3781" s="19"/>
      <c r="L3781" s="20"/>
      <c r="M3781" s="10"/>
      <c r="N3781" s="10"/>
      <c r="O3781" s="10"/>
      <c r="P3781" s="10"/>
      <c r="Q3781" s="10"/>
      <c r="R3781" s="10"/>
      <c r="S3781" s="10"/>
      <c r="T3781" s="10"/>
      <c r="U3781" s="10"/>
      <c r="V3781" s="10"/>
      <c r="W3781" s="10"/>
      <c r="X3781" s="10"/>
      <c r="Y3781" s="10"/>
      <c r="Z3781" s="10"/>
      <c r="AA3781" s="10"/>
      <c r="AB3781" s="10"/>
      <c r="AC3781" s="10"/>
      <c r="AD3781" s="10"/>
      <c r="AE3781" s="10"/>
      <c r="AF3781" s="10"/>
      <c r="AG3781" s="10"/>
      <c r="AH3781" s="10"/>
    </row>
    <row r="3782" spans="1:34" ht="31.5" outlineLevel="2">
      <c r="A3782" s="28"/>
      <c r="B3782" s="12" t="str">
        <f>IFERROR(VLOOKUP(D3782,'[1]Перечень товаров'!$A$2:$I9525,2,0),"")</f>
        <v>пм208</v>
      </c>
      <c r="C3782" s="12" t="str">
        <f>IFERROR(VLOOKUP(D3782,'[1]Перечень товаров'!$A$2:$I9525,3,0),"")</f>
        <v>прочее муз</v>
      </c>
      <c r="D3782" s="29" t="s">
        <v>1009</v>
      </c>
      <c r="E3782" s="30"/>
      <c r="F3782" s="30"/>
      <c r="G3782" s="31">
        <v>1</v>
      </c>
      <c r="H3782" s="31"/>
      <c r="I3782" s="32"/>
      <c r="J3782" s="32"/>
      <c r="K3782" s="19"/>
      <c r="L3782" s="20"/>
      <c r="M3782" s="10"/>
      <c r="N3782" s="10"/>
      <c r="O3782" s="10"/>
      <c r="P3782" s="10"/>
      <c r="Q3782" s="10"/>
      <c r="R3782" s="10"/>
      <c r="S3782" s="10"/>
      <c r="T3782" s="10"/>
      <c r="U3782" s="10"/>
      <c r="V3782" s="10"/>
      <c r="W3782" s="10"/>
      <c r="X3782" s="10"/>
      <c r="Y3782" s="10"/>
      <c r="Z3782" s="10"/>
      <c r="AA3782" s="10"/>
      <c r="AB3782" s="10"/>
      <c r="AC3782" s="10"/>
      <c r="AD3782" s="10"/>
      <c r="AE3782" s="10"/>
      <c r="AF3782" s="10"/>
      <c r="AG3782" s="10"/>
      <c r="AH3782" s="10"/>
    </row>
    <row r="3783" spans="1:34" ht="12.75" outlineLevel="1">
      <c r="A3783" s="89"/>
      <c r="B3783" s="12" t="str">
        <f>IFERROR(VLOOKUP(D3783,'[1]Перечень товаров'!$A$2:$I9525,2,0),"")</f>
        <v/>
      </c>
      <c r="C3783" s="12" t="str">
        <f>IFERROR(VLOOKUP(D3783,'[1]Перечень товаров'!$A$2:$I9525,3,0),"")</f>
        <v/>
      </c>
      <c r="D3783" s="90" t="s">
        <v>1034</v>
      </c>
      <c r="E3783" s="91">
        <v>20.9</v>
      </c>
      <c r="F3783" s="91"/>
      <c r="G3783" s="17"/>
      <c r="H3783" s="17"/>
      <c r="I3783" s="57"/>
      <c r="J3783" s="57"/>
      <c r="K3783" s="19"/>
      <c r="L3783" s="20"/>
      <c r="M3783" s="10"/>
      <c r="N3783" s="10"/>
      <c r="O3783" s="10"/>
      <c r="P3783" s="10"/>
      <c r="Q3783" s="10"/>
      <c r="R3783" s="10"/>
      <c r="S3783" s="10"/>
      <c r="T3783" s="10"/>
      <c r="U3783" s="10"/>
      <c r="V3783" s="10"/>
      <c r="W3783" s="10"/>
      <c r="X3783" s="10"/>
      <c r="Y3783" s="10"/>
      <c r="Z3783" s="10"/>
      <c r="AA3783" s="10"/>
      <c r="AB3783" s="10"/>
      <c r="AC3783" s="10"/>
      <c r="AD3783" s="10"/>
      <c r="AE3783" s="10"/>
      <c r="AF3783" s="10"/>
      <c r="AG3783" s="10"/>
      <c r="AH3783" s="10"/>
    </row>
    <row r="3784" spans="1:34" ht="15" outlineLevel="2">
      <c r="A3784" s="109"/>
      <c r="B3784" s="12" t="str">
        <f>IFERROR(VLOOKUP(D3784,'[1]Перечень товаров'!$A$2:$I9525,2,0),"")</f>
        <v/>
      </c>
      <c r="C3784" s="12" t="str">
        <f>IFERROR(VLOOKUP(D3784,'[1]Перечень товаров'!$A$2:$I9525,3,0),"")</f>
        <v/>
      </c>
      <c r="D3784" s="110" t="s">
        <v>27</v>
      </c>
      <c r="E3784" s="115"/>
      <c r="F3784" s="115"/>
      <c r="G3784" s="211"/>
      <c r="H3784" s="211"/>
      <c r="I3784" s="212"/>
      <c r="J3784" s="212"/>
      <c r="K3784" s="19"/>
      <c r="L3784" s="20"/>
      <c r="M3784" s="10"/>
      <c r="N3784" s="10"/>
      <c r="O3784" s="10"/>
      <c r="P3784" s="10"/>
      <c r="Q3784" s="10"/>
      <c r="R3784" s="10"/>
      <c r="S3784" s="10"/>
      <c r="T3784" s="10"/>
      <c r="U3784" s="10"/>
      <c r="V3784" s="10"/>
      <c r="W3784" s="10"/>
      <c r="X3784" s="10"/>
      <c r="Y3784" s="10"/>
      <c r="Z3784" s="10"/>
      <c r="AA3784" s="10"/>
      <c r="AB3784" s="10"/>
      <c r="AC3784" s="10"/>
      <c r="AD3784" s="10"/>
      <c r="AE3784" s="10"/>
      <c r="AF3784" s="10"/>
      <c r="AG3784" s="10"/>
      <c r="AH3784" s="10"/>
    </row>
    <row r="3785" spans="1:34" outlineLevel="2">
      <c r="A3785" s="21"/>
      <c r="B3785" s="12" t="str">
        <f>IFERROR(VLOOKUP(D3785,'[1]Перечень товаров'!$A$2:$I9525,2,0),"")</f>
        <v>т1</v>
      </c>
      <c r="C3785" s="12" t="str">
        <f>IFERROR(VLOOKUP(D3785,'[1]Перечень товаров'!$A$2:$I9525,3,0),"")</f>
        <v xml:space="preserve">Техника </v>
      </c>
      <c r="D3785" s="22" t="s">
        <v>28</v>
      </c>
      <c r="E3785" s="88"/>
      <c r="F3785" s="88"/>
      <c r="G3785" s="48">
        <v>1</v>
      </c>
      <c r="H3785" s="48"/>
      <c r="I3785" s="49"/>
      <c r="J3785" s="49"/>
      <c r="K3785" s="19"/>
      <c r="L3785" s="20"/>
      <c r="M3785" s="10"/>
      <c r="N3785" s="10"/>
      <c r="O3785" s="10"/>
      <c r="P3785" s="10"/>
      <c r="Q3785" s="10"/>
      <c r="R3785" s="10"/>
      <c r="S3785" s="10"/>
      <c r="T3785" s="10"/>
      <c r="U3785" s="10"/>
      <c r="V3785" s="10"/>
      <c r="W3785" s="10"/>
      <c r="X3785" s="10"/>
      <c r="Y3785" s="10"/>
      <c r="Z3785" s="10"/>
      <c r="AA3785" s="10"/>
      <c r="AB3785" s="10"/>
      <c r="AC3785" s="10"/>
      <c r="AD3785" s="10"/>
      <c r="AE3785" s="10"/>
      <c r="AF3785" s="10"/>
      <c r="AG3785" s="10"/>
      <c r="AH3785" s="10"/>
    </row>
    <row r="3786" spans="1:34" outlineLevel="2">
      <c r="A3786" s="22"/>
      <c r="B3786" s="12" t="str">
        <f>IFERROR(VLOOKUP(D3786,'[1]Перечень товаров'!$A$2:$I9525,2,0),"")</f>
        <v>т9</v>
      </c>
      <c r="C3786" s="12" t="str">
        <f>IFERROR(VLOOKUP(D3786,'[1]Перечень товаров'!$A$2:$I9525,3,0),"")</f>
        <v>Техника</v>
      </c>
      <c r="D3786" s="22" t="s">
        <v>36</v>
      </c>
      <c r="E3786" s="88"/>
      <c r="F3786" s="88"/>
      <c r="G3786" s="48">
        <v>1</v>
      </c>
      <c r="H3786" s="48"/>
      <c r="I3786" s="49"/>
      <c r="J3786" s="49"/>
      <c r="K3786" s="19"/>
      <c r="L3786" s="20"/>
      <c r="M3786" s="10"/>
      <c r="N3786" s="10"/>
      <c r="O3786" s="10"/>
      <c r="P3786" s="10"/>
      <c r="Q3786" s="10"/>
      <c r="R3786" s="10"/>
      <c r="S3786" s="10"/>
      <c r="T3786" s="10"/>
      <c r="U3786" s="10"/>
      <c r="V3786" s="10"/>
      <c r="W3786" s="10"/>
      <c r="X3786" s="10"/>
      <c r="Y3786" s="10"/>
      <c r="Z3786" s="10"/>
      <c r="AA3786" s="10"/>
      <c r="AB3786" s="10"/>
      <c r="AC3786" s="10"/>
      <c r="AD3786" s="10"/>
      <c r="AE3786" s="10"/>
      <c r="AF3786" s="10"/>
      <c r="AG3786" s="10"/>
      <c r="AH3786" s="10"/>
    </row>
    <row r="3787" spans="1:34" outlineLevel="2">
      <c r="A3787" s="35"/>
      <c r="B3787" s="12" t="str">
        <f>IFERROR(VLOOKUP(D3787,'[1]Перечень товаров'!$A$2:$I9525,2,0),"")</f>
        <v>т2</v>
      </c>
      <c r="C3787" s="12" t="str">
        <f>IFERROR(VLOOKUP(D3787,'[1]Перечень товаров'!$A$2:$I9525,3,0),"")</f>
        <v xml:space="preserve">Техника </v>
      </c>
      <c r="D3787" s="35" t="s">
        <v>29</v>
      </c>
      <c r="E3787" s="88"/>
      <c r="F3787" s="88"/>
      <c r="G3787" s="48">
        <v>1</v>
      </c>
      <c r="H3787" s="48"/>
      <c r="I3787" s="49"/>
      <c r="J3787" s="49"/>
      <c r="K3787" s="19"/>
      <c r="L3787" s="20"/>
      <c r="M3787" s="10"/>
      <c r="N3787" s="10"/>
      <c r="O3787" s="10"/>
      <c r="P3787" s="10"/>
      <c r="Q3787" s="10"/>
      <c r="R3787" s="10"/>
      <c r="S3787" s="10"/>
      <c r="T3787" s="10"/>
      <c r="U3787" s="10"/>
      <c r="V3787" s="10"/>
      <c r="W3787" s="10"/>
      <c r="X3787" s="10"/>
      <c r="Y3787" s="10"/>
      <c r="Z3787" s="10"/>
      <c r="AA3787" s="10"/>
      <c r="AB3787" s="10"/>
      <c r="AC3787" s="10"/>
      <c r="AD3787" s="10"/>
      <c r="AE3787" s="10"/>
      <c r="AF3787" s="10"/>
      <c r="AG3787" s="10"/>
      <c r="AH3787" s="10"/>
    </row>
    <row r="3788" spans="1:34" outlineLevel="2">
      <c r="A3788" s="35"/>
      <c r="B3788" s="12" t="str">
        <f>IFERROR(VLOOKUP(D3788,'[1]Перечень товаров'!$A$2:$I9525,2,0),"")</f>
        <v>т3</v>
      </c>
      <c r="C3788" s="12" t="str">
        <f>IFERROR(VLOOKUP(D3788,'[1]Перечень товаров'!$A$2:$I9525,3,0),"")</f>
        <v xml:space="preserve">Техника </v>
      </c>
      <c r="D3788" s="35" t="s">
        <v>30</v>
      </c>
      <c r="E3788" s="88"/>
      <c r="F3788" s="88"/>
      <c r="G3788" s="48">
        <v>1</v>
      </c>
      <c r="H3788" s="48"/>
      <c r="I3788" s="49"/>
      <c r="J3788" s="49"/>
      <c r="K3788" s="19"/>
      <c r="L3788" s="20"/>
      <c r="M3788" s="10"/>
      <c r="N3788" s="10"/>
      <c r="O3788" s="10"/>
      <c r="P3788" s="10"/>
      <c r="Q3788" s="10"/>
      <c r="R3788" s="10"/>
      <c r="S3788" s="10"/>
      <c r="T3788" s="10"/>
      <c r="U3788" s="10"/>
      <c r="V3788" s="10"/>
      <c r="W3788" s="10"/>
      <c r="X3788" s="10"/>
      <c r="Y3788" s="10"/>
      <c r="Z3788" s="10"/>
      <c r="AA3788" s="10"/>
      <c r="AB3788" s="10"/>
      <c r="AC3788" s="10"/>
      <c r="AD3788" s="10"/>
      <c r="AE3788" s="10"/>
      <c r="AF3788" s="10"/>
      <c r="AG3788" s="10"/>
      <c r="AH3788" s="10"/>
    </row>
    <row r="3789" spans="1:34" outlineLevel="2">
      <c r="A3789" s="35"/>
      <c r="B3789" s="12" t="str">
        <f>IFERROR(VLOOKUP(D3789,'[1]Перечень товаров'!$A$2:$I9525,2,0),"")</f>
        <v>т4</v>
      </c>
      <c r="C3789" s="12" t="str">
        <f>IFERROR(VLOOKUP(D3789,'[1]Перечень товаров'!$A$2:$I9525,3,0),"")</f>
        <v xml:space="preserve">Техника </v>
      </c>
      <c r="D3789" s="35" t="s">
        <v>31</v>
      </c>
      <c r="E3789" s="88"/>
      <c r="F3789" s="88"/>
      <c r="G3789" s="48">
        <v>1</v>
      </c>
      <c r="H3789" s="48"/>
      <c r="I3789" s="49"/>
      <c r="J3789" s="49"/>
      <c r="K3789" s="19"/>
      <c r="L3789" s="20"/>
      <c r="M3789" s="10"/>
      <c r="N3789" s="10"/>
      <c r="O3789" s="10"/>
      <c r="P3789" s="10"/>
      <c r="Q3789" s="10"/>
      <c r="R3789" s="10"/>
      <c r="S3789" s="10"/>
      <c r="T3789" s="10"/>
      <c r="U3789" s="10"/>
      <c r="V3789" s="10"/>
      <c r="W3789" s="10"/>
      <c r="X3789" s="10"/>
      <c r="Y3789" s="10"/>
      <c r="Z3789" s="10"/>
      <c r="AA3789" s="10"/>
      <c r="AB3789" s="10"/>
      <c r="AC3789" s="10"/>
      <c r="AD3789" s="10"/>
      <c r="AE3789" s="10"/>
      <c r="AF3789" s="10"/>
      <c r="AG3789" s="10"/>
      <c r="AH3789" s="10"/>
    </row>
    <row r="3790" spans="1:34" outlineLevel="2">
      <c r="A3790" s="21"/>
      <c r="B3790" s="12" t="str">
        <f>IFERROR(VLOOKUP(D3790,'[1]Перечень товаров'!$A$2:$I9525,2,0),"")</f>
        <v>тм65</v>
      </c>
      <c r="C3790" s="12" t="str">
        <f>IFERROR(VLOOKUP(D3790,'[1]Перечень товаров'!$A$2:$I9525,3,0),"")</f>
        <v>Техника муз</v>
      </c>
      <c r="D3790" s="22" t="s">
        <v>380</v>
      </c>
      <c r="E3790" s="88"/>
      <c r="F3790" s="88"/>
      <c r="G3790" s="48">
        <v>1</v>
      </c>
      <c r="H3790" s="48"/>
      <c r="I3790" s="49"/>
      <c r="J3790" s="49"/>
      <c r="K3790" s="19"/>
      <c r="L3790" s="20"/>
      <c r="M3790" s="10"/>
      <c r="N3790" s="10"/>
      <c r="O3790" s="10"/>
      <c r="P3790" s="10"/>
      <c r="Q3790" s="10"/>
      <c r="R3790" s="10"/>
      <c r="S3790" s="10"/>
      <c r="T3790" s="10"/>
      <c r="U3790" s="10"/>
      <c r="V3790" s="10"/>
      <c r="W3790" s="10"/>
      <c r="X3790" s="10"/>
      <c r="Y3790" s="10"/>
      <c r="Z3790" s="10"/>
      <c r="AA3790" s="10"/>
      <c r="AB3790" s="10"/>
      <c r="AC3790" s="10"/>
      <c r="AD3790" s="10"/>
      <c r="AE3790" s="10"/>
      <c r="AF3790" s="10"/>
      <c r="AG3790" s="10"/>
      <c r="AH3790" s="10"/>
    </row>
    <row r="3791" spans="1:34" outlineLevel="2">
      <c r="A3791" s="21"/>
      <c r="B3791" s="12" t="str">
        <f>IFERROR(VLOOKUP(D3791,'[1]Перечень товаров'!$A$2:$I9525,2,0),"")</f>
        <v>т12</v>
      </c>
      <c r="C3791" s="12" t="str">
        <f>IFERROR(VLOOKUP(D3791,'[1]Перечень товаров'!$A$2:$I9525,3,0),"")</f>
        <v>Техника</v>
      </c>
      <c r="D3791" s="22" t="s">
        <v>49</v>
      </c>
      <c r="E3791" s="88"/>
      <c r="F3791" s="88"/>
      <c r="G3791" s="48">
        <v>1</v>
      </c>
      <c r="H3791" s="48"/>
      <c r="I3791" s="49"/>
      <c r="J3791" s="49"/>
      <c r="K3791" s="19"/>
      <c r="L3791" s="20"/>
      <c r="M3791" s="10"/>
      <c r="N3791" s="10"/>
      <c r="O3791" s="10"/>
      <c r="P3791" s="10"/>
      <c r="Q3791" s="10"/>
      <c r="R3791" s="10"/>
      <c r="S3791" s="10"/>
      <c r="T3791" s="10"/>
      <c r="U3791" s="10"/>
      <c r="V3791" s="10"/>
      <c r="W3791" s="10"/>
      <c r="X3791" s="10"/>
      <c r="Y3791" s="10"/>
      <c r="Z3791" s="10"/>
      <c r="AA3791" s="10"/>
      <c r="AB3791" s="10"/>
      <c r="AC3791" s="10"/>
      <c r="AD3791" s="10"/>
      <c r="AE3791" s="10"/>
      <c r="AF3791" s="10"/>
      <c r="AG3791" s="10"/>
      <c r="AH3791" s="10"/>
    </row>
    <row r="3792" spans="1:34" outlineLevel="2">
      <c r="A3792" s="35"/>
      <c r="B3792" s="12" t="str">
        <f>IFERROR(VLOOKUP(D3792,'[1]Перечень товаров'!$A$2:$I9525,2,0),"")</f>
        <v>т6</v>
      </c>
      <c r="C3792" s="12" t="str">
        <f>IFERROR(VLOOKUP(D3792,'[1]Перечень товаров'!$A$2:$I9525,3,0),"")</f>
        <v xml:space="preserve">Техника </v>
      </c>
      <c r="D3792" s="35" t="s">
        <v>33</v>
      </c>
      <c r="E3792" s="88"/>
      <c r="F3792" s="88"/>
      <c r="G3792" s="48">
        <v>1</v>
      </c>
      <c r="H3792" s="48"/>
      <c r="I3792" s="49"/>
      <c r="J3792" s="49"/>
      <c r="K3792" s="19"/>
      <c r="L3792" s="20"/>
      <c r="M3792" s="10"/>
      <c r="N3792" s="10"/>
      <c r="O3792" s="10"/>
      <c r="P3792" s="10"/>
      <c r="Q3792" s="10"/>
      <c r="R3792" s="10"/>
      <c r="S3792" s="10"/>
      <c r="T3792" s="10"/>
      <c r="U3792" s="10"/>
      <c r="V3792" s="10"/>
      <c r="W3792" s="10"/>
      <c r="X3792" s="10"/>
      <c r="Y3792" s="10"/>
      <c r="Z3792" s="10"/>
      <c r="AA3792" s="10"/>
      <c r="AB3792" s="10"/>
      <c r="AC3792" s="10"/>
      <c r="AD3792" s="10"/>
      <c r="AE3792" s="10"/>
      <c r="AF3792" s="10"/>
      <c r="AG3792" s="10"/>
      <c r="AH3792" s="10"/>
    </row>
    <row r="3793" spans="1:34" outlineLevel="2">
      <c r="A3793" s="22"/>
      <c r="B3793" s="12" t="str">
        <f>IFERROR(VLOOKUP(D3793,'[1]Перечень товаров'!$A$2:$I9525,2,0),"")</f>
        <v>т7</v>
      </c>
      <c r="C3793" s="12" t="str">
        <f>IFERROR(VLOOKUP(D3793,'[1]Перечень товаров'!$A$2:$I9525,3,0),"")</f>
        <v xml:space="preserve">Техника </v>
      </c>
      <c r="D3793" s="22" t="s">
        <v>34</v>
      </c>
      <c r="E3793" s="88"/>
      <c r="F3793" s="88"/>
      <c r="G3793" s="48">
        <v>3</v>
      </c>
      <c r="H3793" s="48"/>
      <c r="I3793" s="49"/>
      <c r="J3793" s="49"/>
      <c r="K3793" s="19"/>
      <c r="L3793" s="20"/>
      <c r="M3793" s="10"/>
      <c r="N3793" s="10"/>
      <c r="O3793" s="10"/>
      <c r="P3793" s="10"/>
      <c r="Q3793" s="10"/>
      <c r="R3793" s="10"/>
      <c r="S3793" s="10"/>
      <c r="T3793" s="10"/>
      <c r="U3793" s="10"/>
      <c r="V3793" s="10"/>
      <c r="W3793" s="10"/>
      <c r="X3793" s="10"/>
      <c r="Y3793" s="10"/>
      <c r="Z3793" s="10"/>
      <c r="AA3793" s="10"/>
      <c r="AB3793" s="10"/>
      <c r="AC3793" s="10"/>
      <c r="AD3793" s="10"/>
      <c r="AE3793" s="10"/>
      <c r="AF3793" s="10"/>
      <c r="AG3793" s="10"/>
      <c r="AH3793" s="10"/>
    </row>
    <row r="3794" spans="1:34" outlineLevel="2">
      <c r="A3794" s="35"/>
      <c r="B3794" s="12" t="str">
        <f>IFERROR(VLOOKUP(D3794,'[1]Перечень товаров'!$A$2:$I9525,2,0),"")</f>
        <v>т161</v>
      </c>
      <c r="C3794" s="12" t="str">
        <f>IFERROR(VLOOKUP(D3794,'[1]Перечень товаров'!$A$2:$I9525,3,0),"")</f>
        <v xml:space="preserve">Техника </v>
      </c>
      <c r="D3794" s="29" t="s">
        <v>381</v>
      </c>
      <c r="E3794" s="88"/>
      <c r="F3794" s="88"/>
      <c r="G3794" s="159">
        <v>1</v>
      </c>
      <c r="H3794" s="159"/>
      <c r="I3794" s="160"/>
      <c r="J3794" s="160"/>
      <c r="K3794" s="19"/>
      <c r="L3794" s="20"/>
      <c r="M3794" s="10"/>
      <c r="N3794" s="10"/>
      <c r="O3794" s="10"/>
      <c r="P3794" s="10"/>
      <c r="Q3794" s="10"/>
      <c r="R3794" s="10"/>
      <c r="S3794" s="10"/>
      <c r="T3794" s="10"/>
      <c r="U3794" s="10"/>
      <c r="V3794" s="10"/>
      <c r="W3794" s="10"/>
      <c r="X3794" s="10"/>
      <c r="Y3794" s="10"/>
      <c r="Z3794" s="10"/>
      <c r="AA3794" s="10"/>
      <c r="AB3794" s="10"/>
      <c r="AC3794" s="10"/>
      <c r="AD3794" s="10"/>
      <c r="AE3794" s="10"/>
      <c r="AF3794" s="10"/>
      <c r="AG3794" s="10"/>
      <c r="AH3794" s="10"/>
    </row>
    <row r="3795" spans="1:34" outlineLevel="2">
      <c r="A3795" s="114"/>
      <c r="B3795" s="12" t="str">
        <f>IFERROR(VLOOKUP(D3795,'[1]Перечень товаров'!$A$2:$I9525,2,0),"")</f>
        <v/>
      </c>
      <c r="C3795" s="12" t="str">
        <f>IFERROR(VLOOKUP(D3795,'[1]Перечень товаров'!$A$2:$I9525,3,0),"")</f>
        <v/>
      </c>
      <c r="D3795" s="114" t="s">
        <v>19</v>
      </c>
      <c r="E3795" s="115"/>
      <c r="F3795" s="115"/>
      <c r="G3795" s="157"/>
      <c r="H3795" s="157"/>
      <c r="I3795" s="158"/>
      <c r="J3795" s="158"/>
      <c r="K3795" s="19"/>
      <c r="L3795" s="20"/>
      <c r="M3795" s="10"/>
      <c r="N3795" s="10"/>
      <c r="O3795" s="10"/>
      <c r="P3795" s="10"/>
      <c r="Q3795" s="10"/>
      <c r="R3795" s="10"/>
      <c r="S3795" s="10"/>
      <c r="T3795" s="10"/>
      <c r="U3795" s="10"/>
      <c r="V3795" s="10"/>
      <c r="W3795" s="10"/>
      <c r="X3795" s="10"/>
      <c r="Y3795" s="10"/>
      <c r="Z3795" s="10"/>
      <c r="AA3795" s="10"/>
      <c r="AB3795" s="10"/>
      <c r="AC3795" s="10"/>
      <c r="AD3795" s="10"/>
      <c r="AE3795" s="10"/>
      <c r="AF3795" s="10"/>
      <c r="AG3795" s="10"/>
      <c r="AH3795" s="10"/>
    </row>
    <row r="3796" spans="1:34" outlineLevel="2">
      <c r="A3796" s="34"/>
      <c r="B3796" s="12" t="str">
        <f>IFERROR(VLOOKUP(D3796,'[1]Перечень товаров'!$A$2:$I9525,2,0),"")</f>
        <v>м62</v>
      </c>
      <c r="C3796" s="12" t="str">
        <f>IFERROR(VLOOKUP(D3796,'[1]Перечень товаров'!$A$2:$I9525,3,0),"")</f>
        <v>Мебель</v>
      </c>
      <c r="D3796" s="35" t="s">
        <v>398</v>
      </c>
      <c r="E3796" s="88"/>
      <c r="F3796" s="88"/>
      <c r="G3796" s="59">
        <v>1</v>
      </c>
      <c r="H3796" s="59"/>
      <c r="I3796" s="60"/>
      <c r="J3796" s="60"/>
      <c r="K3796" s="19"/>
      <c r="L3796" s="20"/>
      <c r="M3796" s="10"/>
      <c r="N3796" s="10"/>
      <c r="O3796" s="10"/>
      <c r="P3796" s="10"/>
      <c r="Q3796" s="10"/>
      <c r="R3796" s="10"/>
      <c r="S3796" s="10"/>
      <c r="T3796" s="10"/>
      <c r="U3796" s="10"/>
      <c r="V3796" s="10"/>
      <c r="W3796" s="10"/>
      <c r="X3796" s="10"/>
      <c r="Y3796" s="10"/>
      <c r="Z3796" s="10"/>
      <c r="AA3796" s="10"/>
      <c r="AB3796" s="10"/>
      <c r="AC3796" s="10"/>
      <c r="AD3796" s="10"/>
      <c r="AE3796" s="10"/>
      <c r="AF3796" s="10"/>
      <c r="AG3796" s="10"/>
      <c r="AH3796" s="10"/>
    </row>
    <row r="3797" spans="1:34" outlineLevel="2">
      <c r="A3797" s="34"/>
      <c r="B3797" s="12" t="str">
        <f>IFERROR(VLOOKUP(D3797,'[1]Перечень товаров'!$A$2:$I9525,2,0),"")</f>
        <v>м61</v>
      </c>
      <c r="C3797" s="12" t="str">
        <f>IFERROR(VLOOKUP(D3797,'[1]Перечень товаров'!$A$2:$I9525,3,0),"")</f>
        <v>Мебель</v>
      </c>
      <c r="D3797" s="35" t="s">
        <v>383</v>
      </c>
      <c r="E3797" s="88"/>
      <c r="F3797" s="88"/>
      <c r="G3797" s="59">
        <v>1</v>
      </c>
      <c r="H3797" s="59"/>
      <c r="I3797" s="60"/>
      <c r="J3797" s="60"/>
      <c r="K3797" s="19"/>
      <c r="L3797" s="20"/>
      <c r="M3797" s="10"/>
      <c r="N3797" s="10"/>
      <c r="O3797" s="10"/>
      <c r="P3797" s="10"/>
      <c r="Q3797" s="10"/>
      <c r="R3797" s="10"/>
      <c r="S3797" s="10"/>
      <c r="T3797" s="10"/>
      <c r="U3797" s="10"/>
      <c r="V3797" s="10"/>
      <c r="W3797" s="10"/>
      <c r="X3797" s="10"/>
      <c r="Y3797" s="10"/>
      <c r="Z3797" s="10"/>
      <c r="AA3797" s="10"/>
      <c r="AB3797" s="10"/>
      <c r="AC3797" s="10"/>
      <c r="AD3797" s="10"/>
      <c r="AE3797" s="10"/>
      <c r="AF3797" s="10"/>
      <c r="AG3797" s="10"/>
      <c r="AH3797" s="10"/>
    </row>
    <row r="3798" spans="1:34" outlineLevel="2">
      <c r="A3798" s="34"/>
      <c r="B3798" s="12" t="str">
        <f>IFERROR(VLOOKUP(D3798,'[1]Перечень товаров'!$A$2:$I9525,2,0),"")</f>
        <v>м179</v>
      </c>
      <c r="C3798" s="12" t="str">
        <f>IFERROR(VLOOKUP(D3798,'[1]Перечень товаров'!$A$2:$I9525,3,0),"")</f>
        <v>Мебель</v>
      </c>
      <c r="D3798" s="35" t="s">
        <v>579</v>
      </c>
      <c r="E3798" s="88"/>
      <c r="F3798" s="88"/>
      <c r="G3798" s="159">
        <v>10</v>
      </c>
      <c r="H3798" s="159"/>
      <c r="I3798" s="160"/>
      <c r="J3798" s="160"/>
      <c r="K3798" s="19"/>
      <c r="L3798" s="20"/>
      <c r="M3798" s="10"/>
      <c r="N3798" s="10"/>
      <c r="O3798" s="10"/>
      <c r="P3798" s="10"/>
      <c r="Q3798" s="10"/>
      <c r="R3798" s="10"/>
      <c r="S3798" s="10"/>
      <c r="T3798" s="10"/>
      <c r="U3798" s="10"/>
      <c r="V3798" s="10"/>
      <c r="W3798" s="10"/>
      <c r="X3798" s="10"/>
      <c r="Y3798" s="10"/>
      <c r="Z3798" s="10"/>
      <c r="AA3798" s="10"/>
      <c r="AB3798" s="10"/>
      <c r="AC3798" s="10"/>
      <c r="AD3798" s="10"/>
      <c r="AE3798" s="10"/>
      <c r="AF3798" s="10"/>
      <c r="AG3798" s="10"/>
      <c r="AH3798" s="10"/>
    </row>
    <row r="3799" spans="1:34" outlineLevel="2">
      <c r="A3799" s="34"/>
      <c r="B3799" s="12" t="str">
        <f>IFERROR(VLOOKUP(D3799,'[1]Перечень товаров'!$A$2:$I9525,2,0),"")</f>
        <v>м61</v>
      </c>
      <c r="C3799" s="12" t="str">
        <f>IFERROR(VLOOKUP(D3799,'[1]Перечень товаров'!$A$2:$I9525,3,0),"")</f>
        <v>Мебель</v>
      </c>
      <c r="D3799" s="35" t="s">
        <v>384</v>
      </c>
      <c r="E3799" s="88"/>
      <c r="F3799" s="88"/>
      <c r="G3799" s="159">
        <v>20</v>
      </c>
      <c r="H3799" s="159"/>
      <c r="I3799" s="160"/>
      <c r="J3799" s="160"/>
      <c r="K3799" s="19"/>
      <c r="L3799" s="20"/>
      <c r="M3799" s="10"/>
      <c r="N3799" s="10"/>
      <c r="O3799" s="10"/>
      <c r="P3799" s="10"/>
      <c r="Q3799" s="10"/>
      <c r="R3799" s="10"/>
      <c r="S3799" s="10"/>
      <c r="T3799" s="10"/>
      <c r="U3799" s="10"/>
      <c r="V3799" s="10"/>
      <c r="W3799" s="10"/>
      <c r="X3799" s="10"/>
      <c r="Y3799" s="10"/>
      <c r="Z3799" s="10"/>
      <c r="AA3799" s="10"/>
      <c r="AB3799" s="10"/>
      <c r="AC3799" s="10"/>
      <c r="AD3799" s="10"/>
      <c r="AE3799" s="10"/>
      <c r="AF3799" s="10"/>
      <c r="AG3799" s="10"/>
      <c r="AH3799" s="10"/>
    </row>
    <row r="3800" spans="1:34" outlineLevel="2">
      <c r="A3800" s="22"/>
      <c r="B3800" s="12" t="str">
        <f>IFERROR(VLOOKUP(D3800,'[1]Перечень товаров'!$A$2:$I9525,2,0),"")</f>
        <v>м13</v>
      </c>
      <c r="C3800" s="12" t="str">
        <f>IFERROR(VLOOKUP(D3800,'[1]Перечень товаров'!$A$2:$I9525,3,0),"")</f>
        <v>Мебель</v>
      </c>
      <c r="D3800" s="22" t="s">
        <v>42</v>
      </c>
      <c r="E3800" s="88"/>
      <c r="F3800" s="88"/>
      <c r="G3800" s="48">
        <v>1</v>
      </c>
      <c r="H3800" s="48"/>
      <c r="I3800" s="49"/>
      <c r="J3800" s="49"/>
      <c r="K3800" s="19"/>
      <c r="L3800" s="20"/>
      <c r="M3800" s="10"/>
      <c r="N3800" s="10"/>
      <c r="O3800" s="10"/>
      <c r="P3800" s="10"/>
      <c r="Q3800" s="10"/>
      <c r="R3800" s="10"/>
      <c r="S3800" s="10"/>
      <c r="T3800" s="10"/>
      <c r="U3800" s="10"/>
      <c r="V3800" s="10"/>
      <c r="W3800" s="10"/>
      <c r="X3800" s="10"/>
      <c r="Y3800" s="10"/>
      <c r="Z3800" s="10"/>
      <c r="AA3800" s="10"/>
      <c r="AB3800" s="10"/>
      <c r="AC3800" s="10"/>
      <c r="AD3800" s="10"/>
      <c r="AE3800" s="10"/>
      <c r="AF3800" s="10"/>
      <c r="AG3800" s="10"/>
      <c r="AH3800" s="10"/>
    </row>
    <row r="3801" spans="1:34" outlineLevel="2">
      <c r="A3801" s="21"/>
      <c r="B3801" s="12" t="str">
        <f>IFERROR(VLOOKUP(D3801,'[1]Перечень товаров'!$A$2:$I9525,2,0),"")</f>
        <v>м14</v>
      </c>
      <c r="C3801" s="12" t="str">
        <f>IFERROR(VLOOKUP(D3801,'[1]Перечень товаров'!$A$2:$I9525,3,0),"")</f>
        <v>Мебель</v>
      </c>
      <c r="D3801" s="22" t="s">
        <v>43</v>
      </c>
      <c r="E3801" s="88"/>
      <c r="F3801" s="88"/>
      <c r="G3801" s="48">
        <v>1</v>
      </c>
      <c r="H3801" s="48"/>
      <c r="I3801" s="49"/>
      <c r="J3801" s="49"/>
      <c r="K3801" s="19"/>
      <c r="L3801" s="20"/>
      <c r="M3801" s="10"/>
      <c r="N3801" s="10"/>
      <c r="O3801" s="10"/>
      <c r="P3801" s="10"/>
      <c r="Q3801" s="10"/>
      <c r="R3801" s="10"/>
      <c r="S3801" s="10"/>
      <c r="T3801" s="10"/>
      <c r="U3801" s="10"/>
      <c r="V3801" s="10"/>
      <c r="W3801" s="10"/>
      <c r="X3801" s="10"/>
      <c r="Y3801" s="10"/>
      <c r="Z3801" s="10"/>
      <c r="AA3801" s="10"/>
      <c r="AB3801" s="10"/>
      <c r="AC3801" s="10"/>
      <c r="AD3801" s="10"/>
      <c r="AE3801" s="10"/>
      <c r="AF3801" s="10"/>
      <c r="AG3801" s="10"/>
      <c r="AH3801" s="10"/>
    </row>
    <row r="3802" spans="1:34" outlineLevel="2">
      <c r="A3802" s="21"/>
      <c r="B3802" s="12" t="str">
        <f>IFERROR(VLOOKUP(D3802,'[1]Перечень товаров'!$A$2:$I9525,2,0),"")</f>
        <v>п2</v>
      </c>
      <c r="C3802" s="12" t="str">
        <f>IFERROR(VLOOKUP(D3802,'[1]Перечень товаров'!$A$2:$I9525,3,0),"")</f>
        <v>Прочее</v>
      </c>
      <c r="D3802" s="22" t="s">
        <v>46</v>
      </c>
      <c r="E3802" s="88"/>
      <c r="F3802" s="88"/>
      <c r="G3802" s="24">
        <v>1</v>
      </c>
      <c r="H3802" s="24"/>
      <c r="I3802" s="25"/>
      <c r="J3802" s="25"/>
      <c r="K3802" s="19"/>
      <c r="L3802" s="20"/>
      <c r="M3802" s="10"/>
      <c r="N3802" s="10"/>
      <c r="O3802" s="10"/>
      <c r="P3802" s="10"/>
      <c r="Q3802" s="10"/>
      <c r="R3802" s="10"/>
      <c r="S3802" s="10"/>
      <c r="T3802" s="10"/>
      <c r="U3802" s="10"/>
      <c r="V3802" s="10"/>
      <c r="W3802" s="10"/>
      <c r="X3802" s="10"/>
      <c r="Y3802" s="10"/>
      <c r="Z3802" s="10"/>
      <c r="AA3802" s="10"/>
      <c r="AB3802" s="10"/>
      <c r="AC3802" s="10"/>
      <c r="AD3802" s="10"/>
      <c r="AE3802" s="10"/>
      <c r="AF3802" s="10"/>
      <c r="AG3802" s="10"/>
      <c r="AH3802" s="10"/>
    </row>
    <row r="3803" spans="1:34" outlineLevel="2">
      <c r="A3803" s="113"/>
      <c r="B3803" s="12" t="str">
        <f>IFERROR(VLOOKUP(D3803,'[1]Перечень товаров'!$A$2:$I9525,2,0),"")</f>
        <v/>
      </c>
      <c r="C3803" s="12" t="str">
        <f>IFERROR(VLOOKUP(D3803,'[1]Перечень товаров'!$A$2:$I9525,3,0),"")</f>
        <v/>
      </c>
      <c r="D3803" s="114" t="s">
        <v>391</v>
      </c>
      <c r="E3803" s="115"/>
      <c r="F3803" s="115"/>
      <c r="G3803" s="215"/>
      <c r="H3803" s="215"/>
      <c r="I3803" s="216"/>
      <c r="J3803" s="216"/>
      <c r="K3803" s="19"/>
      <c r="L3803" s="20"/>
      <c r="M3803" s="10"/>
      <c r="N3803" s="10"/>
      <c r="O3803" s="10"/>
      <c r="P3803" s="10"/>
      <c r="Q3803" s="10"/>
      <c r="R3803" s="10"/>
      <c r="S3803" s="10"/>
      <c r="T3803" s="10"/>
      <c r="U3803" s="10"/>
      <c r="V3803" s="10"/>
      <c r="W3803" s="10"/>
      <c r="X3803" s="10"/>
      <c r="Y3803" s="10"/>
      <c r="Z3803" s="10"/>
      <c r="AA3803" s="10"/>
      <c r="AB3803" s="10"/>
      <c r="AC3803" s="10"/>
      <c r="AD3803" s="10"/>
      <c r="AE3803" s="10"/>
      <c r="AF3803" s="10"/>
      <c r="AG3803" s="10"/>
      <c r="AH3803" s="10"/>
    </row>
    <row r="3804" spans="1:34" ht="31.5" outlineLevel="2">
      <c r="A3804" s="28"/>
      <c r="B3804" s="12" t="str">
        <f>IFERROR(VLOOKUP(D3804,'[1]Перечень товаров'!$A$2:$I9525,2,0),"")</f>
        <v>тм219</v>
      </c>
      <c r="C3804" s="12" t="str">
        <f>IFERROR(VLOOKUP(D3804,'[1]Перечень товаров'!$A$2:$I9525,3,0),"")</f>
        <v>Техника муз</v>
      </c>
      <c r="D3804" s="29" t="s">
        <v>1000</v>
      </c>
      <c r="E3804" s="30"/>
      <c r="F3804" s="30"/>
      <c r="G3804" s="31">
        <v>1</v>
      </c>
      <c r="H3804" s="31"/>
      <c r="I3804" s="32"/>
      <c r="J3804" s="32"/>
      <c r="K3804" s="19"/>
      <c r="L3804" s="20"/>
      <c r="M3804" s="10"/>
      <c r="N3804" s="10"/>
      <c r="O3804" s="10"/>
      <c r="P3804" s="10"/>
      <c r="Q3804" s="10"/>
      <c r="R3804" s="10"/>
      <c r="S3804" s="10"/>
      <c r="T3804" s="10"/>
      <c r="U3804" s="10"/>
      <c r="V3804" s="10"/>
      <c r="W3804" s="10"/>
      <c r="X3804" s="10"/>
      <c r="Y3804" s="10"/>
      <c r="Z3804" s="10"/>
      <c r="AA3804" s="10"/>
      <c r="AB3804" s="10"/>
      <c r="AC3804" s="10"/>
      <c r="AD3804" s="10"/>
      <c r="AE3804" s="10"/>
      <c r="AF3804" s="10"/>
      <c r="AG3804" s="10"/>
      <c r="AH3804" s="10"/>
    </row>
    <row r="3805" spans="1:34" outlineLevel="2">
      <c r="A3805" s="28"/>
      <c r="B3805" s="12" t="str">
        <f>IFERROR(VLOOKUP(D3805,'[1]Перечень товаров'!$A$2:$I9525,2,0),"")</f>
        <v>м175</v>
      </c>
      <c r="C3805" s="12" t="str">
        <f>IFERROR(VLOOKUP(D3805,'[1]Перечень товаров'!$A$2:$I9525,3,0),"")</f>
        <v>мебель</v>
      </c>
      <c r="D3805" s="29" t="s">
        <v>1001</v>
      </c>
      <c r="E3805" s="30"/>
      <c r="F3805" s="30"/>
      <c r="G3805" s="31">
        <v>2</v>
      </c>
      <c r="H3805" s="31"/>
      <c r="I3805" s="32"/>
      <c r="J3805" s="32"/>
      <c r="K3805" s="19"/>
      <c r="L3805" s="20"/>
      <c r="M3805" s="10"/>
      <c r="N3805" s="10"/>
      <c r="O3805" s="10"/>
      <c r="P3805" s="10"/>
      <c r="Q3805" s="10"/>
      <c r="R3805" s="10"/>
      <c r="S3805" s="10"/>
      <c r="T3805" s="10"/>
      <c r="U3805" s="10"/>
      <c r="V3805" s="10"/>
      <c r="W3805" s="10"/>
      <c r="X3805" s="10"/>
      <c r="Y3805" s="10"/>
      <c r="Z3805" s="10"/>
      <c r="AA3805" s="10"/>
      <c r="AB3805" s="10"/>
      <c r="AC3805" s="10"/>
      <c r="AD3805" s="10"/>
      <c r="AE3805" s="10"/>
      <c r="AF3805" s="10"/>
      <c r="AG3805" s="10"/>
      <c r="AH3805" s="10"/>
    </row>
    <row r="3806" spans="1:34" ht="31.5" outlineLevel="2">
      <c r="A3806" s="28"/>
      <c r="B3806" s="12" t="str">
        <f>IFERROR(VLOOKUP(D3806,'[1]Перечень товаров'!$A$2:$I9525,2,0),"")</f>
        <v>пм201</v>
      </c>
      <c r="C3806" s="12" t="str">
        <f>IFERROR(VLOOKUP(D3806,'[1]Перечень товаров'!$A$2:$I9525,3,0),"")</f>
        <v>прочее муз</v>
      </c>
      <c r="D3806" s="29" t="s">
        <v>1035</v>
      </c>
      <c r="E3806" s="30"/>
      <c r="F3806" s="30"/>
      <c r="G3806" s="31">
        <v>1</v>
      </c>
      <c r="H3806" s="31"/>
      <c r="I3806" s="32"/>
      <c r="J3806" s="32"/>
      <c r="K3806" s="19"/>
      <c r="L3806" s="20"/>
      <c r="M3806" s="10"/>
      <c r="N3806" s="10"/>
      <c r="O3806" s="10"/>
      <c r="P3806" s="10"/>
      <c r="Q3806" s="10"/>
      <c r="R3806" s="10"/>
      <c r="S3806" s="10"/>
      <c r="T3806" s="10"/>
      <c r="U3806" s="10"/>
      <c r="V3806" s="10"/>
      <c r="W3806" s="10"/>
      <c r="X3806" s="10"/>
      <c r="Y3806" s="10"/>
      <c r="Z3806" s="10"/>
      <c r="AA3806" s="10"/>
      <c r="AB3806" s="10"/>
      <c r="AC3806" s="10"/>
      <c r="AD3806" s="10"/>
      <c r="AE3806" s="10"/>
      <c r="AF3806" s="10"/>
      <c r="AG3806" s="10"/>
      <c r="AH3806" s="10"/>
    </row>
    <row r="3807" spans="1:34" outlineLevel="2">
      <c r="A3807" s="28"/>
      <c r="B3807" s="12" t="str">
        <f>IFERROR(VLOOKUP(D3807,'[1]Перечень товаров'!$A$2:$I9525,2,0),"")</f>
        <v>пм200</v>
      </c>
      <c r="C3807" s="12" t="str">
        <f>IFERROR(VLOOKUP(D3807,'[1]Перечень товаров'!$A$2:$I9525,3,0),"")</f>
        <v>прочее муз</v>
      </c>
      <c r="D3807" s="29" t="s">
        <v>1036</v>
      </c>
      <c r="E3807" s="30"/>
      <c r="F3807" s="30"/>
      <c r="G3807" s="31">
        <v>1</v>
      </c>
      <c r="H3807" s="31"/>
      <c r="I3807" s="32"/>
      <c r="J3807" s="32"/>
      <c r="K3807" s="19"/>
      <c r="L3807" s="20"/>
      <c r="M3807" s="10"/>
      <c r="N3807" s="10"/>
      <c r="O3807" s="10"/>
      <c r="P3807" s="10"/>
      <c r="Q3807" s="10"/>
      <c r="R3807" s="10"/>
      <c r="S3807" s="10"/>
      <c r="T3807" s="10"/>
      <c r="U3807" s="10"/>
      <c r="V3807" s="10"/>
      <c r="W3807" s="10"/>
      <c r="X3807" s="10"/>
      <c r="Y3807" s="10"/>
      <c r="Z3807" s="10"/>
      <c r="AA3807" s="10"/>
      <c r="AB3807" s="10"/>
      <c r="AC3807" s="10"/>
      <c r="AD3807" s="10"/>
      <c r="AE3807" s="10"/>
      <c r="AF3807" s="10"/>
      <c r="AG3807" s="10"/>
      <c r="AH3807" s="10"/>
    </row>
    <row r="3808" spans="1:34" outlineLevel="2">
      <c r="A3808" s="28"/>
      <c r="B3808" s="12" t="str">
        <f>IFERROR(VLOOKUP(D3808,'[1]Перечень товаров'!$A$2:$I9525,2,0),"")</f>
        <v>пм199</v>
      </c>
      <c r="C3808" s="12" t="str">
        <f>IFERROR(VLOOKUP(D3808,'[1]Перечень товаров'!$A$2:$I9525,3,0),"")</f>
        <v>прочее муз</v>
      </c>
      <c r="D3808" s="29" t="s">
        <v>1037</v>
      </c>
      <c r="E3808" s="30"/>
      <c r="F3808" s="30"/>
      <c r="G3808" s="31">
        <v>1</v>
      </c>
      <c r="H3808" s="31"/>
      <c r="I3808" s="32"/>
      <c r="J3808" s="32"/>
      <c r="K3808" s="19"/>
      <c r="L3808" s="20"/>
      <c r="M3808" s="10"/>
      <c r="N3808" s="10"/>
      <c r="O3808" s="10"/>
      <c r="P3808" s="10"/>
      <c r="Q3808" s="10"/>
      <c r="R3808" s="10"/>
      <c r="S3808" s="10"/>
      <c r="T3808" s="10"/>
      <c r="U3808" s="10"/>
      <c r="V3808" s="10"/>
      <c r="W3808" s="10"/>
      <c r="X3808" s="10"/>
      <c r="Y3808" s="10"/>
      <c r="Z3808" s="10"/>
      <c r="AA3808" s="10"/>
      <c r="AB3808" s="10"/>
      <c r="AC3808" s="10"/>
      <c r="AD3808" s="10"/>
      <c r="AE3808" s="10"/>
      <c r="AF3808" s="10"/>
      <c r="AG3808" s="10"/>
      <c r="AH3808" s="10"/>
    </row>
    <row r="3809" spans="1:34" ht="31.5" outlineLevel="2">
      <c r="A3809" s="28"/>
      <c r="B3809" s="12" t="str">
        <f>IFERROR(VLOOKUP(D3809,'[1]Перечень товаров'!$A$2:$I9525,2,0),"")</f>
        <v>пм198</v>
      </c>
      <c r="C3809" s="12" t="str">
        <f>IFERROR(VLOOKUP(D3809,'[1]Перечень товаров'!$A$2:$I9525,3,0),"")</f>
        <v>прочее муз</v>
      </c>
      <c r="D3809" s="29" t="s">
        <v>1038</v>
      </c>
      <c r="E3809" s="30"/>
      <c r="F3809" s="30"/>
      <c r="G3809" s="31">
        <v>1</v>
      </c>
      <c r="H3809" s="31"/>
      <c r="I3809" s="32"/>
      <c r="J3809" s="32"/>
      <c r="K3809" s="19"/>
      <c r="L3809" s="20"/>
      <c r="M3809" s="10"/>
      <c r="N3809" s="10"/>
      <c r="O3809" s="10"/>
      <c r="P3809" s="10"/>
      <c r="Q3809" s="10"/>
      <c r="R3809" s="10"/>
      <c r="S3809" s="10"/>
      <c r="T3809" s="10"/>
      <c r="U3809" s="10"/>
      <c r="V3809" s="10"/>
      <c r="W3809" s="10"/>
      <c r="X3809" s="10"/>
      <c r="Y3809" s="10"/>
      <c r="Z3809" s="10"/>
      <c r="AA3809" s="10"/>
      <c r="AB3809" s="10"/>
      <c r="AC3809" s="10"/>
      <c r="AD3809" s="10"/>
      <c r="AE3809" s="10"/>
      <c r="AF3809" s="10"/>
      <c r="AG3809" s="10"/>
      <c r="AH3809" s="10"/>
    </row>
    <row r="3810" spans="1:34" outlineLevel="2">
      <c r="A3810" s="28"/>
      <c r="B3810" s="12" t="str">
        <f>IFERROR(VLOOKUP(D3810,'[1]Перечень товаров'!$A$2:$I9525,2,0),"")</f>
        <v>пм197</v>
      </c>
      <c r="C3810" s="12" t="str">
        <f>IFERROR(VLOOKUP(D3810,'[1]Перечень товаров'!$A$2:$I9525,3,0),"")</f>
        <v>прочее муз</v>
      </c>
      <c r="D3810" s="29" t="s">
        <v>1039</v>
      </c>
      <c r="E3810" s="30"/>
      <c r="F3810" s="30"/>
      <c r="G3810" s="31">
        <v>1</v>
      </c>
      <c r="H3810" s="31"/>
      <c r="I3810" s="32"/>
      <c r="J3810" s="32"/>
      <c r="K3810" s="19"/>
      <c r="L3810" s="20"/>
      <c r="M3810" s="10"/>
      <c r="N3810" s="10"/>
      <c r="O3810" s="10"/>
      <c r="P3810" s="10"/>
      <c r="Q3810" s="10"/>
      <c r="R3810" s="10"/>
      <c r="S3810" s="10"/>
      <c r="T3810" s="10"/>
      <c r="U3810" s="10"/>
      <c r="V3810" s="10"/>
      <c r="W3810" s="10"/>
      <c r="X3810" s="10"/>
      <c r="Y3810" s="10"/>
      <c r="Z3810" s="10"/>
      <c r="AA3810" s="10"/>
      <c r="AB3810" s="10"/>
      <c r="AC3810" s="10"/>
      <c r="AD3810" s="10"/>
      <c r="AE3810" s="10"/>
      <c r="AF3810" s="10"/>
      <c r="AG3810" s="10"/>
      <c r="AH3810" s="10"/>
    </row>
    <row r="3811" spans="1:34" ht="47.25" outlineLevel="2">
      <c r="A3811" s="28"/>
      <c r="B3811" s="12" t="str">
        <f>IFERROR(VLOOKUP(D3811,'[1]Перечень товаров'!$A$2:$I9525,2,0),"")</f>
        <v>пм196</v>
      </c>
      <c r="C3811" s="12" t="str">
        <f>IFERROR(VLOOKUP(D3811,'[1]Перечень товаров'!$A$2:$I9525,3,0),"")</f>
        <v>прочее муз</v>
      </c>
      <c r="D3811" s="29" t="s">
        <v>1040</v>
      </c>
      <c r="E3811" s="30"/>
      <c r="F3811" s="30"/>
      <c r="G3811" s="31">
        <v>1</v>
      </c>
      <c r="H3811" s="31"/>
      <c r="I3811" s="32"/>
      <c r="J3811" s="32"/>
      <c r="K3811" s="19"/>
      <c r="L3811" s="20"/>
      <c r="M3811" s="10"/>
      <c r="N3811" s="10"/>
      <c r="O3811" s="10"/>
      <c r="P3811" s="10"/>
      <c r="Q3811" s="10"/>
      <c r="R3811" s="10"/>
      <c r="S3811" s="10"/>
      <c r="T3811" s="10"/>
      <c r="U3811" s="10"/>
      <c r="V3811" s="10"/>
      <c r="W3811" s="10"/>
      <c r="X3811" s="10"/>
      <c r="Y3811" s="10"/>
      <c r="Z3811" s="10"/>
      <c r="AA3811" s="10"/>
      <c r="AB3811" s="10"/>
      <c r="AC3811" s="10"/>
      <c r="AD3811" s="10"/>
      <c r="AE3811" s="10"/>
      <c r="AF3811" s="10"/>
      <c r="AG3811" s="10"/>
      <c r="AH3811" s="10"/>
    </row>
    <row r="3812" spans="1:34" ht="31.5" outlineLevel="2">
      <c r="A3812" s="28"/>
      <c r="B3812" s="12" t="str">
        <f>IFERROR(VLOOKUP(D3812,'[1]Перечень товаров'!$A$2:$I9525,2,0),"")</f>
        <v>д552</v>
      </c>
      <c r="C3812" s="12" t="str">
        <f>IFERROR(VLOOKUP(D3812,'[1]Перечень товаров'!$A$2:$I9525,3,0),"")</f>
        <v>дидактика</v>
      </c>
      <c r="D3812" s="29" t="s">
        <v>1041</v>
      </c>
      <c r="E3812" s="30"/>
      <c r="F3812" s="30"/>
      <c r="G3812" s="31">
        <v>1</v>
      </c>
      <c r="H3812" s="31"/>
      <c r="I3812" s="32"/>
      <c r="J3812" s="32"/>
      <c r="K3812" s="19"/>
      <c r="L3812" s="20"/>
      <c r="M3812" s="10"/>
      <c r="N3812" s="10"/>
      <c r="O3812" s="10"/>
      <c r="P3812" s="10"/>
      <c r="Q3812" s="10"/>
      <c r="R3812" s="10"/>
      <c r="S3812" s="10"/>
      <c r="T3812" s="10"/>
      <c r="U3812" s="10"/>
      <c r="V3812" s="10"/>
      <c r="W3812" s="10"/>
      <c r="X3812" s="10"/>
      <c r="Y3812" s="10"/>
      <c r="Z3812" s="10"/>
      <c r="AA3812" s="10"/>
      <c r="AB3812" s="10"/>
      <c r="AC3812" s="10"/>
      <c r="AD3812" s="10"/>
      <c r="AE3812" s="10"/>
      <c r="AF3812" s="10"/>
      <c r="AG3812" s="10"/>
      <c r="AH3812" s="10"/>
    </row>
    <row r="3813" spans="1:34" ht="31.5" outlineLevel="2">
      <c r="A3813" s="28"/>
      <c r="B3813" s="12" t="str">
        <f>IFERROR(VLOOKUP(D3813,'[1]Перечень товаров'!$A$2:$I9525,2,0),"")</f>
        <v>тм216</v>
      </c>
      <c r="C3813" s="12" t="str">
        <f>IFERROR(VLOOKUP(D3813,'[1]Перечень товаров'!$A$2:$I9525,3,0),"")</f>
        <v>Техника муз</v>
      </c>
      <c r="D3813" s="29" t="s">
        <v>1042</v>
      </c>
      <c r="E3813" s="30"/>
      <c r="F3813" s="30"/>
      <c r="G3813" s="31">
        <v>1</v>
      </c>
      <c r="H3813" s="31"/>
      <c r="I3813" s="32"/>
      <c r="J3813" s="32"/>
      <c r="K3813" s="19"/>
      <c r="L3813" s="20"/>
      <c r="M3813" s="10"/>
      <c r="N3813" s="10"/>
      <c r="O3813" s="10"/>
      <c r="P3813" s="10"/>
      <c r="Q3813" s="10"/>
      <c r="R3813" s="10"/>
      <c r="S3813" s="10"/>
      <c r="T3813" s="10"/>
      <c r="U3813" s="10"/>
      <c r="V3813" s="10"/>
      <c r="W3813" s="10"/>
      <c r="X3813" s="10"/>
      <c r="Y3813" s="10"/>
      <c r="Z3813" s="10"/>
      <c r="AA3813" s="10"/>
      <c r="AB3813" s="10"/>
      <c r="AC3813" s="10"/>
      <c r="AD3813" s="10"/>
      <c r="AE3813" s="10"/>
      <c r="AF3813" s="10"/>
      <c r="AG3813" s="10"/>
      <c r="AH3813" s="10"/>
    </row>
    <row r="3814" spans="1:34" ht="12.75" outlineLevel="1">
      <c r="A3814" s="11"/>
      <c r="B3814" s="12" t="str">
        <f>IFERROR(VLOOKUP(D3814,'[1]Перечень товаров'!$A$2:$I9525,2,0),"")</f>
        <v/>
      </c>
      <c r="C3814" s="12" t="str">
        <f>IFERROR(VLOOKUP(D3814,'[1]Перечень товаров'!$A$2:$I9525,3,0),"")</f>
        <v/>
      </c>
      <c r="D3814" s="27" t="s">
        <v>1043</v>
      </c>
      <c r="E3814" s="14">
        <v>26.4</v>
      </c>
      <c r="F3814" s="14"/>
      <c r="G3814" s="17"/>
      <c r="H3814" s="17"/>
      <c r="I3814" s="57"/>
      <c r="J3814" s="57"/>
      <c r="K3814" s="19"/>
      <c r="L3814" s="20"/>
      <c r="M3814" s="10"/>
      <c r="N3814" s="10"/>
      <c r="O3814" s="10"/>
      <c r="P3814" s="10"/>
      <c r="Q3814" s="10"/>
      <c r="R3814" s="10"/>
      <c r="S3814" s="10"/>
      <c r="T3814" s="10"/>
      <c r="U3814" s="10"/>
      <c r="V3814" s="10"/>
      <c r="W3814" s="10"/>
      <c r="X3814" s="10"/>
      <c r="Y3814" s="10"/>
      <c r="Z3814" s="10"/>
      <c r="AA3814" s="10"/>
      <c r="AB3814" s="10"/>
      <c r="AC3814" s="10"/>
      <c r="AD3814" s="10"/>
      <c r="AE3814" s="10"/>
      <c r="AF3814" s="10"/>
      <c r="AG3814" s="10"/>
      <c r="AH3814" s="10"/>
    </row>
    <row r="3815" spans="1:34" outlineLevel="2">
      <c r="A3815" s="113"/>
      <c r="B3815" s="12" t="str">
        <f>IFERROR(VLOOKUP(D3815,'[1]Перечень товаров'!$A$2:$I9525,2,0),"")</f>
        <v/>
      </c>
      <c r="C3815" s="12" t="str">
        <f>IFERROR(VLOOKUP(D3815,'[1]Перечень товаров'!$A$2:$I9525,3,0),"")</f>
        <v/>
      </c>
      <c r="D3815" s="114" t="s">
        <v>391</v>
      </c>
      <c r="E3815" s="217"/>
      <c r="F3815" s="217"/>
      <c r="G3815" s="221"/>
      <c r="H3815" s="221"/>
      <c r="I3815" s="222"/>
      <c r="J3815" s="222"/>
      <c r="K3815" s="19"/>
      <c r="L3815" s="20"/>
      <c r="M3815" s="10"/>
      <c r="N3815" s="10"/>
      <c r="O3815" s="10"/>
      <c r="P3815" s="10"/>
      <c r="Q3815" s="10"/>
      <c r="R3815" s="10"/>
      <c r="S3815" s="10"/>
      <c r="T3815" s="10"/>
      <c r="U3815" s="10"/>
      <c r="V3815" s="10"/>
      <c r="W3815" s="10"/>
      <c r="X3815" s="10"/>
      <c r="Y3815" s="10"/>
      <c r="Z3815" s="10"/>
      <c r="AA3815" s="10"/>
      <c r="AB3815" s="10"/>
      <c r="AC3815" s="10"/>
      <c r="AD3815" s="10"/>
      <c r="AE3815" s="10"/>
      <c r="AF3815" s="10"/>
      <c r="AG3815" s="10"/>
      <c r="AH3815" s="10"/>
    </row>
    <row r="3816" spans="1:34" outlineLevel="2">
      <c r="A3816" s="28"/>
      <c r="B3816" s="12" t="str">
        <f>IFERROR(VLOOKUP(D3816,'[1]Перечень товаров'!$A$2:$I9525,2,0),"")</f>
        <v>тм1</v>
      </c>
      <c r="C3816" s="12" t="str">
        <f>IFERROR(VLOOKUP(D3816,'[1]Перечень товаров'!$A$2:$I9525,3,0),"")</f>
        <v>Техника муз</v>
      </c>
      <c r="D3816" s="29" t="s">
        <v>14</v>
      </c>
      <c r="E3816" s="30"/>
      <c r="F3816" s="30"/>
      <c r="G3816" s="31">
        <v>1</v>
      </c>
      <c r="H3816" s="31"/>
      <c r="I3816" s="32"/>
      <c r="J3816" s="32"/>
      <c r="K3816" s="19"/>
      <c r="L3816" s="20"/>
      <c r="M3816" s="10"/>
      <c r="N3816" s="10"/>
      <c r="O3816" s="10"/>
      <c r="P3816" s="10"/>
      <c r="Q3816" s="10"/>
      <c r="R3816" s="10"/>
      <c r="S3816" s="10"/>
      <c r="T3816" s="10"/>
      <c r="U3816" s="10"/>
      <c r="V3816" s="10"/>
      <c r="W3816" s="10"/>
      <c r="X3816" s="10"/>
      <c r="Y3816" s="10"/>
      <c r="Z3816" s="10"/>
      <c r="AA3816" s="10"/>
      <c r="AB3816" s="10"/>
      <c r="AC3816" s="10"/>
      <c r="AD3816" s="10"/>
      <c r="AE3816" s="10"/>
      <c r="AF3816" s="10"/>
      <c r="AG3816" s="10"/>
      <c r="AH3816" s="10"/>
    </row>
    <row r="3817" spans="1:34" ht="31.5" outlineLevel="2">
      <c r="A3817" s="28"/>
      <c r="B3817" s="12" t="str">
        <f>IFERROR(VLOOKUP(D3817,'[1]Перечень товаров'!$A$2:$I9525,2,0),"")</f>
        <v>тм2</v>
      </c>
      <c r="C3817" s="12" t="str">
        <f>IFERROR(VLOOKUP(D3817,'[1]Перечень товаров'!$A$2:$I9525,3,0),"")</f>
        <v>Техника муз</v>
      </c>
      <c r="D3817" s="29" t="s">
        <v>15</v>
      </c>
      <c r="E3817" s="30"/>
      <c r="F3817" s="30"/>
      <c r="G3817" s="31">
        <v>1</v>
      </c>
      <c r="H3817" s="31"/>
      <c r="I3817" s="32"/>
      <c r="J3817" s="32"/>
      <c r="K3817" s="19"/>
      <c r="L3817" s="20"/>
      <c r="M3817" s="10"/>
      <c r="N3817" s="10"/>
      <c r="O3817" s="10"/>
      <c r="P3817" s="10"/>
      <c r="Q3817" s="10"/>
      <c r="R3817" s="10"/>
      <c r="S3817" s="10"/>
      <c r="T3817" s="10"/>
      <c r="U3817" s="10"/>
      <c r="V3817" s="10"/>
      <c r="W3817" s="10"/>
      <c r="X3817" s="10"/>
      <c r="Y3817" s="10"/>
      <c r="Z3817" s="10"/>
      <c r="AA3817" s="10"/>
      <c r="AB3817" s="10"/>
      <c r="AC3817" s="10"/>
      <c r="AD3817" s="10"/>
      <c r="AE3817" s="10"/>
      <c r="AF3817" s="10"/>
      <c r="AG3817" s="10"/>
      <c r="AH3817" s="10"/>
    </row>
    <row r="3818" spans="1:34" ht="47.25" outlineLevel="2">
      <c r="A3818" s="28"/>
      <c r="B3818" s="12" t="str">
        <f>IFERROR(VLOOKUP(D3818,'[1]Перечень товаров'!$A$2:$I9525,2,0),"")</f>
        <v>тм3</v>
      </c>
      <c r="C3818" s="12" t="str">
        <f>IFERROR(VLOOKUP(D3818,'[1]Перечень товаров'!$A$2:$I9525,3,0),"")</f>
        <v>Техника муз</v>
      </c>
      <c r="D3818" s="29" t="s">
        <v>16</v>
      </c>
      <c r="E3818" s="30"/>
      <c r="F3818" s="30"/>
      <c r="G3818" s="31">
        <v>1</v>
      </c>
      <c r="H3818" s="31"/>
      <c r="I3818" s="32"/>
      <c r="J3818" s="32"/>
      <c r="K3818" s="19"/>
      <c r="L3818" s="20"/>
      <c r="M3818" s="10"/>
      <c r="N3818" s="10"/>
      <c r="O3818" s="10"/>
      <c r="P3818" s="10"/>
      <c r="Q3818" s="10"/>
      <c r="R3818" s="10"/>
      <c r="S3818" s="10"/>
      <c r="T3818" s="10"/>
      <c r="U3818" s="10"/>
      <c r="V3818" s="10"/>
      <c r="W3818" s="10"/>
      <c r="X3818" s="10"/>
      <c r="Y3818" s="10"/>
      <c r="Z3818" s="10"/>
      <c r="AA3818" s="10"/>
      <c r="AB3818" s="10"/>
      <c r="AC3818" s="10"/>
      <c r="AD3818" s="10"/>
      <c r="AE3818" s="10"/>
      <c r="AF3818" s="10"/>
      <c r="AG3818" s="10"/>
      <c r="AH3818" s="10"/>
    </row>
    <row r="3819" spans="1:34" ht="31.5" outlineLevel="2">
      <c r="A3819" s="34"/>
      <c r="B3819" s="12" t="str">
        <f>IFERROR(VLOOKUP(D3819,'[1]Перечень товаров'!$A$2:$I9525,2,0),"")</f>
        <v>дм1</v>
      </c>
      <c r="C3819" s="12" t="str">
        <f>IFERROR(VLOOKUP(D3819,'[1]Перечень товаров'!$A$2:$I9525,3,0),"")</f>
        <v>Дидактика муз</v>
      </c>
      <c r="D3819" s="35" t="s">
        <v>17</v>
      </c>
      <c r="E3819" s="30"/>
      <c r="F3819" s="30"/>
      <c r="G3819" s="31">
        <v>1</v>
      </c>
      <c r="H3819" s="31"/>
      <c r="I3819" s="32"/>
      <c r="J3819" s="32"/>
      <c r="K3819" s="19"/>
      <c r="L3819" s="20"/>
      <c r="M3819" s="10"/>
      <c r="N3819" s="10"/>
      <c r="O3819" s="10"/>
      <c r="P3819" s="10"/>
      <c r="Q3819" s="10"/>
      <c r="R3819" s="10"/>
      <c r="S3819" s="10"/>
      <c r="T3819" s="10"/>
      <c r="U3819" s="10"/>
      <c r="V3819" s="10"/>
      <c r="W3819" s="10"/>
      <c r="X3819" s="10"/>
      <c r="Y3819" s="10"/>
      <c r="Z3819" s="10"/>
      <c r="AA3819" s="10"/>
      <c r="AB3819" s="10"/>
      <c r="AC3819" s="10"/>
      <c r="AD3819" s="10"/>
      <c r="AE3819" s="10"/>
      <c r="AF3819" s="10"/>
      <c r="AG3819" s="10"/>
      <c r="AH3819" s="10"/>
    </row>
    <row r="3820" spans="1:34" ht="31.5" outlineLevel="2">
      <c r="A3820" s="34"/>
      <c r="B3820" s="12" t="str">
        <f>IFERROR(VLOOKUP(D3820,'[1]Перечень товаров'!$A$2:$I9525,2,0),"")</f>
        <v>м1</v>
      </c>
      <c r="C3820" s="12" t="str">
        <f>IFERROR(VLOOKUP(D3820,'[1]Перечень товаров'!$A$2:$I9525,3,0),"")</f>
        <v>Мебель</v>
      </c>
      <c r="D3820" s="35" t="s">
        <v>18</v>
      </c>
      <c r="E3820" s="30"/>
      <c r="F3820" s="30"/>
      <c r="G3820" s="31">
        <v>1</v>
      </c>
      <c r="H3820" s="31"/>
      <c r="I3820" s="32"/>
      <c r="J3820" s="32"/>
      <c r="K3820" s="19"/>
      <c r="L3820" s="20"/>
      <c r="M3820" s="10"/>
      <c r="N3820" s="10"/>
      <c r="O3820" s="10"/>
      <c r="P3820" s="10"/>
      <c r="Q3820" s="10"/>
      <c r="R3820" s="10"/>
      <c r="S3820" s="10"/>
      <c r="T3820" s="10"/>
      <c r="U3820" s="10"/>
      <c r="V3820" s="10"/>
      <c r="W3820" s="10"/>
      <c r="X3820" s="10"/>
      <c r="Y3820" s="10"/>
      <c r="Z3820" s="10"/>
      <c r="AA3820" s="10"/>
      <c r="AB3820" s="10"/>
      <c r="AC3820" s="10"/>
      <c r="AD3820" s="10"/>
      <c r="AE3820" s="10"/>
      <c r="AF3820" s="10"/>
      <c r="AG3820" s="10"/>
      <c r="AH3820" s="10"/>
    </row>
    <row r="3821" spans="1:34" ht="15" outlineLevel="2">
      <c r="A3821" s="116"/>
      <c r="B3821" s="12" t="str">
        <f>IFERROR(VLOOKUP(D3821,'[1]Перечень товаров'!$A$2:$I9525,2,0),"")</f>
        <v/>
      </c>
      <c r="C3821" s="12" t="str">
        <f>IFERROR(VLOOKUP(D3821,'[1]Перечень товаров'!$A$2:$I9525,3,0),"")</f>
        <v/>
      </c>
      <c r="D3821" s="117" t="s">
        <v>19</v>
      </c>
      <c r="E3821" s="217"/>
      <c r="F3821" s="217"/>
      <c r="G3821" s="221"/>
      <c r="H3821" s="221"/>
      <c r="I3821" s="222"/>
      <c r="J3821" s="222"/>
      <c r="K3821" s="19"/>
      <c r="L3821" s="20"/>
      <c r="M3821" s="10"/>
      <c r="N3821" s="10"/>
      <c r="O3821" s="10"/>
      <c r="P3821" s="10"/>
      <c r="Q3821" s="10"/>
      <c r="R3821" s="10"/>
      <c r="S3821" s="10"/>
      <c r="T3821" s="10"/>
      <c r="U3821" s="10"/>
      <c r="V3821" s="10"/>
      <c r="W3821" s="10"/>
      <c r="X3821" s="10"/>
      <c r="Y3821" s="10"/>
      <c r="Z3821" s="10"/>
      <c r="AA3821" s="10"/>
      <c r="AB3821" s="10"/>
      <c r="AC3821" s="10"/>
      <c r="AD3821" s="10"/>
      <c r="AE3821" s="10"/>
      <c r="AF3821" s="10"/>
      <c r="AG3821" s="10"/>
      <c r="AH3821" s="10"/>
    </row>
    <row r="3822" spans="1:34" outlineLevel="2">
      <c r="A3822" s="34"/>
      <c r="B3822" s="12" t="str">
        <f>IFERROR(VLOOKUP(D3822,'[1]Перечень товаров'!$A$2:$I9525,2,0),"")</f>
        <v>м2</v>
      </c>
      <c r="C3822" s="12" t="str">
        <f>IFERROR(VLOOKUP(D3822,'[1]Перечень товаров'!$A$2:$I9525,3,0),"")</f>
        <v>Мебель</v>
      </c>
      <c r="D3822" s="35" t="s">
        <v>845</v>
      </c>
      <c r="E3822" s="30"/>
      <c r="F3822" s="30"/>
      <c r="G3822" s="31">
        <v>1</v>
      </c>
      <c r="H3822" s="31"/>
      <c r="I3822" s="32"/>
      <c r="J3822" s="32"/>
      <c r="K3822" s="19"/>
      <c r="L3822" s="20"/>
      <c r="M3822" s="10"/>
      <c r="N3822" s="10"/>
      <c r="O3822" s="10"/>
      <c r="P3822" s="10"/>
      <c r="Q3822" s="10"/>
      <c r="R3822" s="10"/>
      <c r="S3822" s="10"/>
      <c r="T3822" s="10"/>
      <c r="U3822" s="10"/>
      <c r="V3822" s="10"/>
      <c r="W3822" s="10"/>
      <c r="X3822" s="10"/>
      <c r="Y3822" s="10"/>
      <c r="Z3822" s="10"/>
      <c r="AA3822" s="10"/>
      <c r="AB3822" s="10"/>
      <c r="AC3822" s="10"/>
      <c r="AD3822" s="10"/>
      <c r="AE3822" s="10"/>
      <c r="AF3822" s="10"/>
      <c r="AG3822" s="10"/>
      <c r="AH3822" s="10"/>
    </row>
    <row r="3823" spans="1:34" outlineLevel="2">
      <c r="A3823" s="34"/>
      <c r="B3823" s="12" t="str">
        <f>IFERROR(VLOOKUP(D3823,'[1]Перечень товаров'!$A$2:$I9525,2,0),"")</f>
        <v>м12</v>
      </c>
      <c r="C3823" s="12" t="str">
        <f>IFERROR(VLOOKUP(D3823,'[1]Перечень товаров'!$A$2:$I9525,3,0),"")</f>
        <v>Мебель</v>
      </c>
      <c r="D3823" s="35" t="s">
        <v>21</v>
      </c>
      <c r="E3823" s="30"/>
      <c r="F3823" s="30"/>
      <c r="G3823" s="31">
        <v>1</v>
      </c>
      <c r="H3823" s="31"/>
      <c r="I3823" s="32"/>
      <c r="J3823" s="32"/>
      <c r="K3823" s="19"/>
      <c r="L3823" s="20"/>
      <c r="M3823" s="10"/>
      <c r="N3823" s="10"/>
      <c r="O3823" s="10"/>
      <c r="P3823" s="10"/>
      <c r="Q3823" s="10"/>
      <c r="R3823" s="10"/>
      <c r="S3823" s="10"/>
      <c r="T3823" s="10"/>
      <c r="U3823" s="10"/>
      <c r="V3823" s="10"/>
      <c r="W3823" s="10"/>
      <c r="X3823" s="10"/>
      <c r="Y3823" s="10"/>
      <c r="Z3823" s="10"/>
      <c r="AA3823" s="10"/>
      <c r="AB3823" s="10"/>
      <c r="AC3823" s="10"/>
      <c r="AD3823" s="10"/>
      <c r="AE3823" s="10"/>
      <c r="AF3823" s="10"/>
      <c r="AG3823" s="10"/>
      <c r="AH3823" s="10"/>
    </row>
    <row r="3824" spans="1:34" ht="63" outlineLevel="2">
      <c r="A3824" s="34"/>
      <c r="B3824" s="12" t="str">
        <f>IFERROR(VLOOKUP(D3824,'[1]Перечень товаров'!$A$2:$I9525,2,0),"")</f>
        <v>м5</v>
      </c>
      <c r="C3824" s="12" t="str">
        <f>IFERROR(VLOOKUP(D3824,'[1]Перечень товаров'!$A$2:$I9525,3,0),"")</f>
        <v>Мебель</v>
      </c>
      <c r="D3824" s="35" t="s">
        <v>22</v>
      </c>
      <c r="E3824" s="30"/>
      <c r="F3824" s="30"/>
      <c r="G3824" s="31">
        <v>1</v>
      </c>
      <c r="H3824" s="31"/>
      <c r="I3824" s="32"/>
      <c r="J3824" s="32"/>
      <c r="K3824" s="19"/>
      <c r="L3824" s="20"/>
      <c r="M3824" s="10"/>
      <c r="N3824" s="10"/>
      <c r="O3824" s="10"/>
      <c r="P3824" s="10"/>
      <c r="Q3824" s="10"/>
      <c r="R3824" s="10"/>
      <c r="S3824" s="10"/>
      <c r="T3824" s="10"/>
      <c r="U3824" s="10"/>
      <c r="V3824" s="10"/>
      <c r="W3824" s="10"/>
      <c r="X3824" s="10"/>
      <c r="Y3824" s="10"/>
      <c r="Z3824" s="10"/>
      <c r="AA3824" s="10"/>
      <c r="AB3824" s="10"/>
      <c r="AC3824" s="10"/>
      <c r="AD3824" s="10"/>
      <c r="AE3824" s="10"/>
      <c r="AF3824" s="10"/>
      <c r="AG3824" s="10"/>
      <c r="AH3824" s="10"/>
    </row>
    <row r="3825" spans="1:34" ht="31.5" outlineLevel="2">
      <c r="A3825" s="34"/>
      <c r="B3825" s="12" t="str">
        <f>IFERROR(VLOOKUP(D3825,'[1]Перечень товаров'!$A$2:$I9525,2,0),"")</f>
        <v>м6</v>
      </c>
      <c r="C3825" s="12" t="str">
        <f>IFERROR(VLOOKUP(D3825,'[1]Перечень товаров'!$A$2:$I9525,3,0),"")</f>
        <v>Мебель</v>
      </c>
      <c r="D3825" s="35" t="s">
        <v>23</v>
      </c>
      <c r="E3825" s="30"/>
      <c r="F3825" s="30"/>
      <c r="G3825" s="31">
        <v>1</v>
      </c>
      <c r="H3825" s="31"/>
      <c r="I3825" s="32"/>
      <c r="J3825" s="32"/>
      <c r="K3825" s="19"/>
      <c r="L3825" s="20"/>
      <c r="M3825" s="10"/>
      <c r="N3825" s="10"/>
      <c r="O3825" s="10"/>
      <c r="P3825" s="10"/>
      <c r="Q3825" s="10"/>
      <c r="R3825" s="10"/>
      <c r="S3825" s="10"/>
      <c r="T3825" s="10"/>
      <c r="U3825" s="10"/>
      <c r="V3825" s="10"/>
      <c r="W3825" s="10"/>
      <c r="X3825" s="10"/>
      <c r="Y3825" s="10"/>
      <c r="Z3825" s="10"/>
      <c r="AA3825" s="10"/>
      <c r="AB3825" s="10"/>
      <c r="AC3825" s="10"/>
      <c r="AD3825" s="10"/>
      <c r="AE3825" s="10"/>
      <c r="AF3825" s="10"/>
      <c r="AG3825" s="10"/>
      <c r="AH3825" s="10"/>
    </row>
    <row r="3826" spans="1:34" outlineLevel="2">
      <c r="A3826" s="34"/>
      <c r="B3826" s="12" t="str">
        <f>IFERROR(VLOOKUP(D3826,'[1]Перечень товаров'!$A$2:$I9525,2,0),"")</f>
        <v>м7</v>
      </c>
      <c r="C3826" s="12" t="str">
        <f>IFERROR(VLOOKUP(D3826,'[1]Перечень товаров'!$A$2:$I9525,3,0),"")</f>
        <v>Мебель</v>
      </c>
      <c r="D3826" s="35" t="s">
        <v>24</v>
      </c>
      <c r="E3826" s="30"/>
      <c r="F3826" s="30"/>
      <c r="G3826" s="31">
        <v>1</v>
      </c>
      <c r="H3826" s="31"/>
      <c r="I3826" s="32"/>
      <c r="J3826" s="32"/>
      <c r="K3826" s="19"/>
      <c r="L3826" s="20"/>
      <c r="M3826" s="10"/>
      <c r="N3826" s="10"/>
      <c r="O3826" s="10"/>
      <c r="P3826" s="10"/>
      <c r="Q3826" s="10"/>
      <c r="R3826" s="10"/>
      <c r="S3826" s="10"/>
      <c r="T3826" s="10"/>
      <c r="U3826" s="10"/>
      <c r="V3826" s="10"/>
      <c r="W3826" s="10"/>
      <c r="X3826" s="10"/>
      <c r="Y3826" s="10"/>
      <c r="Z3826" s="10"/>
      <c r="AA3826" s="10"/>
      <c r="AB3826" s="10"/>
      <c r="AC3826" s="10"/>
      <c r="AD3826" s="10"/>
      <c r="AE3826" s="10"/>
      <c r="AF3826" s="10"/>
      <c r="AG3826" s="10"/>
      <c r="AH3826" s="10"/>
    </row>
    <row r="3827" spans="1:34" outlineLevel="2">
      <c r="A3827" s="28"/>
      <c r="B3827" s="12" t="str">
        <f>IFERROR(VLOOKUP(D3827,'[1]Перечень товаров'!$A$2:$I9525,2,0),"")</f>
        <v>м8</v>
      </c>
      <c r="C3827" s="12" t="str">
        <f>IFERROR(VLOOKUP(D3827,'[1]Перечень товаров'!$A$2:$I9525,3,0),"")</f>
        <v>Мебель</v>
      </c>
      <c r="D3827" s="29" t="s">
        <v>504</v>
      </c>
      <c r="E3827" s="30"/>
      <c r="F3827" s="30"/>
      <c r="G3827" s="31">
        <v>1</v>
      </c>
      <c r="H3827" s="31"/>
      <c r="I3827" s="32"/>
      <c r="J3827" s="32"/>
      <c r="K3827" s="19"/>
      <c r="L3827" s="20"/>
      <c r="M3827" s="10"/>
      <c r="N3827" s="10"/>
      <c r="O3827" s="10"/>
      <c r="P3827" s="10"/>
      <c r="Q3827" s="10"/>
      <c r="R3827" s="10"/>
      <c r="S3827" s="10"/>
      <c r="T3827" s="10"/>
      <c r="U3827" s="10"/>
      <c r="V3827" s="10"/>
      <c r="W3827" s="10"/>
      <c r="X3827" s="10"/>
      <c r="Y3827" s="10"/>
      <c r="Z3827" s="10"/>
      <c r="AA3827" s="10"/>
      <c r="AB3827" s="10"/>
      <c r="AC3827" s="10"/>
      <c r="AD3827" s="10"/>
      <c r="AE3827" s="10"/>
      <c r="AF3827" s="10"/>
      <c r="AG3827" s="10"/>
      <c r="AH3827" s="10"/>
    </row>
    <row r="3828" spans="1:34" outlineLevel="2">
      <c r="A3828" s="28"/>
      <c r="B3828" s="12" t="str">
        <f>IFERROR(VLOOKUP(D3828,'[1]Перечень товаров'!$A$2:$I9525,2,0),"")</f>
        <v>м9</v>
      </c>
      <c r="C3828" s="12" t="str">
        <f>IFERROR(VLOOKUP(D3828,'[1]Перечень товаров'!$A$2:$I9525,3,0),"")</f>
        <v>Мебель</v>
      </c>
      <c r="D3828" s="29" t="s">
        <v>26</v>
      </c>
      <c r="E3828" s="30"/>
      <c r="F3828" s="30"/>
      <c r="G3828" s="31">
        <v>12</v>
      </c>
      <c r="H3828" s="31"/>
      <c r="I3828" s="32"/>
      <c r="J3828" s="32"/>
      <c r="K3828" s="19"/>
      <c r="L3828" s="20"/>
      <c r="M3828" s="10"/>
      <c r="N3828" s="10"/>
      <c r="O3828" s="10"/>
      <c r="P3828" s="10"/>
      <c r="Q3828" s="10"/>
      <c r="R3828" s="10"/>
      <c r="S3828" s="10"/>
      <c r="T3828" s="10"/>
      <c r="U3828" s="10"/>
      <c r="V3828" s="10"/>
      <c r="W3828" s="10"/>
      <c r="X3828" s="10"/>
      <c r="Y3828" s="10"/>
      <c r="Z3828" s="10"/>
      <c r="AA3828" s="10"/>
      <c r="AB3828" s="10"/>
      <c r="AC3828" s="10"/>
      <c r="AD3828" s="10"/>
      <c r="AE3828" s="10"/>
      <c r="AF3828" s="10"/>
      <c r="AG3828" s="10"/>
      <c r="AH3828" s="10"/>
    </row>
    <row r="3829" spans="1:34" ht="30" outlineLevel="2">
      <c r="A3829" s="116"/>
      <c r="B3829" s="12" t="str">
        <f>IFERROR(VLOOKUP(D3829,'[1]Перечень товаров'!$A$2:$I9525,2,0),"")</f>
        <v/>
      </c>
      <c r="C3829" s="12" t="str">
        <f>IFERROR(VLOOKUP(D3829,'[1]Перечень товаров'!$A$2:$I9525,3,0),"")</f>
        <v/>
      </c>
      <c r="D3829" s="117" t="s">
        <v>27</v>
      </c>
      <c r="E3829" s="217"/>
      <c r="F3829" s="217"/>
      <c r="G3829" s="221"/>
      <c r="H3829" s="221"/>
      <c r="I3829" s="222"/>
      <c r="J3829" s="222"/>
      <c r="K3829" s="19"/>
      <c r="L3829" s="20"/>
      <c r="M3829" s="10"/>
      <c r="N3829" s="10"/>
      <c r="O3829" s="10"/>
      <c r="P3829" s="10"/>
      <c r="Q3829" s="10"/>
      <c r="R3829" s="10"/>
      <c r="S3829" s="10"/>
      <c r="T3829" s="10"/>
      <c r="U3829" s="10"/>
      <c r="V3829" s="10"/>
      <c r="W3829" s="10"/>
      <c r="X3829" s="10"/>
      <c r="Y3829" s="10"/>
      <c r="Z3829" s="10"/>
      <c r="AA3829" s="10"/>
      <c r="AB3829" s="10"/>
      <c r="AC3829" s="10"/>
      <c r="AD3829" s="10"/>
      <c r="AE3829" s="10"/>
      <c r="AF3829" s="10"/>
      <c r="AG3829" s="10"/>
      <c r="AH3829" s="10"/>
    </row>
    <row r="3830" spans="1:34" outlineLevel="2">
      <c r="A3830" s="34"/>
      <c r="B3830" s="12" t="str">
        <f>IFERROR(VLOOKUP(D3830,'[1]Перечень товаров'!$A$2:$I9525,2,0),"")</f>
        <v>т1</v>
      </c>
      <c r="C3830" s="12" t="str">
        <f>IFERROR(VLOOKUP(D3830,'[1]Перечень товаров'!$A$2:$I9525,3,0),"")</f>
        <v xml:space="preserve">Техника </v>
      </c>
      <c r="D3830" s="35" t="s">
        <v>28</v>
      </c>
      <c r="E3830" s="30"/>
      <c r="F3830" s="30"/>
      <c r="G3830" s="31">
        <v>1</v>
      </c>
      <c r="H3830" s="31"/>
      <c r="I3830" s="32"/>
      <c r="J3830" s="32"/>
      <c r="K3830" s="19"/>
      <c r="L3830" s="20"/>
      <c r="M3830" s="10"/>
      <c r="N3830" s="10"/>
      <c r="O3830" s="10"/>
      <c r="P3830" s="10"/>
      <c r="Q3830" s="10"/>
      <c r="R3830" s="10"/>
      <c r="S3830" s="10"/>
      <c r="T3830" s="10"/>
      <c r="U3830" s="10"/>
      <c r="V3830" s="10"/>
      <c r="W3830" s="10"/>
      <c r="X3830" s="10"/>
      <c r="Y3830" s="10"/>
      <c r="Z3830" s="10"/>
      <c r="AA3830" s="10"/>
      <c r="AB3830" s="10"/>
      <c r="AC3830" s="10"/>
      <c r="AD3830" s="10"/>
      <c r="AE3830" s="10"/>
      <c r="AF3830" s="10"/>
      <c r="AG3830" s="10"/>
      <c r="AH3830" s="10"/>
    </row>
    <row r="3831" spans="1:34" outlineLevel="2">
      <c r="A3831" s="35"/>
      <c r="B3831" s="12" t="str">
        <f>IFERROR(VLOOKUP(D3831,'[1]Перечень товаров'!$A$2:$I9525,2,0),"")</f>
        <v>т2</v>
      </c>
      <c r="C3831" s="12" t="str">
        <f>IFERROR(VLOOKUP(D3831,'[1]Перечень товаров'!$A$2:$I9525,3,0),"")</f>
        <v xml:space="preserve">Техника </v>
      </c>
      <c r="D3831" s="35" t="s">
        <v>29</v>
      </c>
      <c r="E3831" s="30"/>
      <c r="F3831" s="30"/>
      <c r="G3831" s="31">
        <v>1</v>
      </c>
      <c r="H3831" s="31"/>
      <c r="I3831" s="32"/>
      <c r="J3831" s="32"/>
      <c r="K3831" s="19"/>
      <c r="L3831" s="20"/>
      <c r="M3831" s="10"/>
      <c r="N3831" s="10"/>
      <c r="O3831" s="10"/>
      <c r="P3831" s="10"/>
      <c r="Q3831" s="10"/>
      <c r="R3831" s="10"/>
      <c r="S3831" s="10"/>
      <c r="T3831" s="10"/>
      <c r="U3831" s="10"/>
      <c r="V3831" s="10"/>
      <c r="W3831" s="10"/>
      <c r="X3831" s="10"/>
      <c r="Y3831" s="10"/>
      <c r="Z3831" s="10"/>
      <c r="AA3831" s="10"/>
      <c r="AB3831" s="10"/>
      <c r="AC3831" s="10"/>
      <c r="AD3831" s="10"/>
      <c r="AE3831" s="10"/>
      <c r="AF3831" s="10"/>
      <c r="AG3831" s="10"/>
      <c r="AH3831" s="10"/>
    </row>
    <row r="3832" spans="1:34" outlineLevel="2">
      <c r="A3832" s="35"/>
      <c r="B3832" s="12" t="str">
        <f>IFERROR(VLOOKUP(D3832,'[1]Перечень товаров'!$A$2:$I9525,2,0),"")</f>
        <v>т3</v>
      </c>
      <c r="C3832" s="12" t="str">
        <f>IFERROR(VLOOKUP(D3832,'[1]Перечень товаров'!$A$2:$I9525,3,0),"")</f>
        <v xml:space="preserve">Техника </v>
      </c>
      <c r="D3832" s="35" t="s">
        <v>30</v>
      </c>
      <c r="E3832" s="30"/>
      <c r="F3832" s="30"/>
      <c r="G3832" s="31">
        <v>1</v>
      </c>
      <c r="H3832" s="31"/>
      <c r="I3832" s="32"/>
      <c r="J3832" s="32"/>
      <c r="K3832" s="19"/>
      <c r="L3832" s="20"/>
      <c r="M3832" s="10"/>
      <c r="N3832" s="10"/>
      <c r="O3832" s="10"/>
      <c r="P3832" s="10"/>
      <c r="Q3832" s="10"/>
      <c r="R3832" s="10"/>
      <c r="S3832" s="10"/>
      <c r="T3832" s="10"/>
      <c r="U3832" s="10"/>
      <c r="V3832" s="10"/>
      <c r="W3832" s="10"/>
      <c r="X3832" s="10"/>
      <c r="Y3832" s="10"/>
      <c r="Z3832" s="10"/>
      <c r="AA3832" s="10"/>
      <c r="AB3832" s="10"/>
      <c r="AC3832" s="10"/>
      <c r="AD3832" s="10"/>
      <c r="AE3832" s="10"/>
      <c r="AF3832" s="10"/>
      <c r="AG3832" s="10"/>
      <c r="AH3832" s="10"/>
    </row>
    <row r="3833" spans="1:34" outlineLevel="2">
      <c r="A3833" s="35"/>
      <c r="B3833" s="12" t="str">
        <f>IFERROR(VLOOKUP(D3833,'[1]Перечень товаров'!$A$2:$I9525,2,0),"")</f>
        <v>т4</v>
      </c>
      <c r="C3833" s="12" t="str">
        <f>IFERROR(VLOOKUP(D3833,'[1]Перечень товаров'!$A$2:$I9525,3,0),"")</f>
        <v xml:space="preserve">Техника </v>
      </c>
      <c r="D3833" s="35" t="s">
        <v>31</v>
      </c>
      <c r="E3833" s="30"/>
      <c r="F3833" s="30"/>
      <c r="G3833" s="31">
        <v>1</v>
      </c>
      <c r="H3833" s="31"/>
      <c r="I3833" s="32"/>
      <c r="J3833" s="32"/>
      <c r="K3833" s="19"/>
      <c r="L3833" s="20"/>
      <c r="M3833" s="10"/>
      <c r="N3833" s="10"/>
      <c r="O3833" s="10"/>
      <c r="P3833" s="10"/>
      <c r="Q3833" s="10"/>
      <c r="R3833" s="10"/>
      <c r="S3833" s="10"/>
      <c r="T3833" s="10"/>
      <c r="U3833" s="10"/>
      <c r="V3833" s="10"/>
      <c r="W3833" s="10"/>
      <c r="X3833" s="10"/>
      <c r="Y3833" s="10"/>
      <c r="Z3833" s="10"/>
      <c r="AA3833" s="10"/>
      <c r="AB3833" s="10"/>
      <c r="AC3833" s="10"/>
      <c r="AD3833" s="10"/>
      <c r="AE3833" s="10"/>
      <c r="AF3833" s="10"/>
      <c r="AG3833" s="10"/>
      <c r="AH3833" s="10"/>
    </row>
    <row r="3834" spans="1:34" outlineLevel="2">
      <c r="A3834" s="34"/>
      <c r="B3834" s="12" t="str">
        <f>IFERROR(VLOOKUP(D3834,'[1]Перечень товаров'!$A$2:$I9525,2,0),"")</f>
        <v>т5</v>
      </c>
      <c r="C3834" s="12" t="str">
        <f>IFERROR(VLOOKUP(D3834,'[1]Перечень товаров'!$A$2:$I9525,3,0),"")</f>
        <v xml:space="preserve">Техника </v>
      </c>
      <c r="D3834" s="35" t="s">
        <v>32</v>
      </c>
      <c r="E3834" s="30"/>
      <c r="F3834" s="30"/>
      <c r="G3834" s="31">
        <v>1</v>
      </c>
      <c r="H3834" s="31"/>
      <c r="I3834" s="32"/>
      <c r="J3834" s="32"/>
      <c r="K3834" s="19"/>
      <c r="L3834" s="20"/>
      <c r="M3834" s="10"/>
      <c r="N3834" s="10"/>
      <c r="O3834" s="10"/>
      <c r="P3834" s="10"/>
      <c r="Q3834" s="10"/>
      <c r="R3834" s="10"/>
      <c r="S3834" s="10"/>
      <c r="T3834" s="10"/>
      <c r="U3834" s="10"/>
      <c r="V3834" s="10"/>
      <c r="W3834" s="10"/>
      <c r="X3834" s="10"/>
      <c r="Y3834" s="10"/>
      <c r="Z3834" s="10"/>
      <c r="AA3834" s="10"/>
      <c r="AB3834" s="10"/>
      <c r="AC3834" s="10"/>
      <c r="AD3834" s="10"/>
      <c r="AE3834" s="10"/>
      <c r="AF3834" s="10"/>
      <c r="AG3834" s="10"/>
      <c r="AH3834" s="10"/>
    </row>
    <row r="3835" spans="1:34" outlineLevel="2">
      <c r="A3835" s="35"/>
      <c r="B3835" s="12" t="str">
        <f>IFERROR(VLOOKUP(D3835,'[1]Перечень товаров'!$A$2:$I9525,2,0),"")</f>
        <v>т6</v>
      </c>
      <c r="C3835" s="12" t="str">
        <f>IFERROR(VLOOKUP(D3835,'[1]Перечень товаров'!$A$2:$I9525,3,0),"")</f>
        <v xml:space="preserve">Техника </v>
      </c>
      <c r="D3835" s="35" t="s">
        <v>33</v>
      </c>
      <c r="E3835" s="30"/>
      <c r="F3835" s="30"/>
      <c r="G3835" s="31">
        <v>1</v>
      </c>
      <c r="H3835" s="31"/>
      <c r="I3835" s="32"/>
      <c r="J3835" s="32"/>
      <c r="K3835" s="19"/>
      <c r="L3835" s="20"/>
      <c r="M3835" s="10"/>
      <c r="N3835" s="10"/>
      <c r="O3835" s="10"/>
      <c r="P3835" s="10"/>
      <c r="Q3835" s="10"/>
      <c r="R3835" s="10"/>
      <c r="S3835" s="10"/>
      <c r="T3835" s="10"/>
      <c r="U3835" s="10"/>
      <c r="V3835" s="10"/>
      <c r="W3835" s="10"/>
      <c r="X3835" s="10"/>
      <c r="Y3835" s="10"/>
      <c r="Z3835" s="10"/>
      <c r="AA3835" s="10"/>
      <c r="AB3835" s="10"/>
      <c r="AC3835" s="10"/>
      <c r="AD3835" s="10"/>
      <c r="AE3835" s="10"/>
      <c r="AF3835" s="10"/>
      <c r="AG3835" s="10"/>
      <c r="AH3835" s="10"/>
    </row>
    <row r="3836" spans="1:34" outlineLevel="2">
      <c r="A3836" s="34"/>
      <c r="B3836" s="12" t="str">
        <f>IFERROR(VLOOKUP(D3836,'[1]Перечень товаров'!$A$2:$I9525,2,0),"")</f>
        <v>т7</v>
      </c>
      <c r="C3836" s="12" t="str">
        <f>IFERROR(VLOOKUP(D3836,'[1]Перечень товаров'!$A$2:$I9525,3,0),"")</f>
        <v xml:space="preserve">Техника </v>
      </c>
      <c r="D3836" s="35" t="s">
        <v>34</v>
      </c>
      <c r="E3836" s="30"/>
      <c r="F3836" s="30"/>
      <c r="G3836" s="31">
        <v>2</v>
      </c>
      <c r="H3836" s="31"/>
      <c r="I3836" s="32"/>
      <c r="J3836" s="32"/>
      <c r="K3836" s="19"/>
      <c r="L3836" s="20"/>
      <c r="M3836" s="10"/>
      <c r="N3836" s="10"/>
      <c r="O3836" s="10"/>
      <c r="P3836" s="10"/>
      <c r="Q3836" s="10"/>
      <c r="R3836" s="10"/>
      <c r="S3836" s="10"/>
      <c r="T3836" s="10"/>
      <c r="U3836" s="10"/>
      <c r="V3836" s="10"/>
      <c r="W3836" s="10"/>
      <c r="X3836" s="10"/>
      <c r="Y3836" s="10"/>
      <c r="Z3836" s="10"/>
      <c r="AA3836" s="10"/>
      <c r="AB3836" s="10"/>
      <c r="AC3836" s="10"/>
      <c r="AD3836" s="10"/>
      <c r="AE3836" s="10"/>
      <c r="AF3836" s="10"/>
      <c r="AG3836" s="10"/>
      <c r="AH3836" s="10"/>
    </row>
    <row r="3837" spans="1:34" outlineLevel="2">
      <c r="A3837" s="34"/>
      <c r="B3837" s="12" t="str">
        <f>IFERROR(VLOOKUP(D3837,'[1]Перечень товаров'!$A$2:$I9525,2,0),"")</f>
        <v>т8</v>
      </c>
      <c r="C3837" s="12" t="str">
        <f>IFERROR(VLOOKUP(D3837,'[1]Перечень товаров'!$A$2:$I9525,3,0),"")</f>
        <v xml:space="preserve">Техника </v>
      </c>
      <c r="D3837" s="35" t="s">
        <v>35</v>
      </c>
      <c r="E3837" s="30"/>
      <c r="F3837" s="30"/>
      <c r="G3837" s="31">
        <v>1</v>
      </c>
      <c r="H3837" s="31"/>
      <c r="I3837" s="32"/>
      <c r="J3837" s="32"/>
      <c r="K3837" s="19"/>
      <c r="L3837" s="20"/>
      <c r="M3837" s="10"/>
      <c r="N3837" s="10"/>
      <c r="O3837" s="10"/>
      <c r="P3837" s="10"/>
      <c r="Q3837" s="10"/>
      <c r="R3837" s="10"/>
      <c r="S3837" s="10"/>
      <c r="T3837" s="10"/>
      <c r="U3837" s="10"/>
      <c r="V3837" s="10"/>
      <c r="W3837" s="10"/>
      <c r="X3837" s="10"/>
      <c r="Y3837" s="10"/>
      <c r="Z3837" s="10"/>
      <c r="AA3837" s="10"/>
      <c r="AB3837" s="10"/>
      <c r="AC3837" s="10"/>
      <c r="AD3837" s="10"/>
      <c r="AE3837" s="10"/>
      <c r="AF3837" s="10"/>
      <c r="AG3837" s="10"/>
      <c r="AH3837" s="10"/>
    </row>
    <row r="3838" spans="1:34" outlineLevel="2">
      <c r="A3838" s="88"/>
      <c r="B3838" s="12" t="str">
        <f>IFERROR(VLOOKUP(D3838,'[1]Перечень товаров'!$A$2:$I9525,2,0),"")</f>
        <v>т9</v>
      </c>
      <c r="C3838" s="12" t="str">
        <f>IFERROR(VLOOKUP(D3838,'[1]Перечень товаров'!$A$2:$I9525,3,0),"")</f>
        <v>Техника</v>
      </c>
      <c r="D3838" s="223" t="s">
        <v>36</v>
      </c>
      <c r="E3838" s="30"/>
      <c r="F3838" s="30"/>
      <c r="G3838" s="31">
        <v>1</v>
      </c>
      <c r="H3838" s="31"/>
      <c r="I3838" s="32"/>
      <c r="J3838" s="32"/>
      <c r="K3838" s="19"/>
      <c r="L3838" s="20"/>
      <c r="M3838" s="10"/>
      <c r="N3838" s="10"/>
      <c r="O3838" s="10"/>
      <c r="P3838" s="10"/>
      <c r="Q3838" s="10"/>
      <c r="R3838" s="10"/>
      <c r="S3838" s="10"/>
      <c r="T3838" s="10"/>
      <c r="U3838" s="10"/>
      <c r="V3838" s="10"/>
      <c r="W3838" s="10"/>
      <c r="X3838" s="10"/>
      <c r="Y3838" s="10"/>
      <c r="Z3838" s="10"/>
      <c r="AA3838" s="10"/>
      <c r="AB3838" s="10"/>
      <c r="AC3838" s="10"/>
      <c r="AD3838" s="10"/>
      <c r="AE3838" s="10"/>
      <c r="AF3838" s="10"/>
      <c r="AG3838" s="10"/>
      <c r="AH3838" s="10"/>
    </row>
    <row r="3839" spans="1:34" outlineLevel="2">
      <c r="A3839" s="88"/>
      <c r="B3839" s="12" t="str">
        <f>IFERROR(VLOOKUP(D3839,'[1]Перечень товаров'!$A$2:$I9525,2,0),"")</f>
        <v>п1</v>
      </c>
      <c r="C3839" s="12" t="str">
        <f>IFERROR(VLOOKUP(D3839,'[1]Перечень товаров'!$A$2:$I9525,3,0),"")</f>
        <v>Прочее</v>
      </c>
      <c r="D3839" s="223" t="s">
        <v>37</v>
      </c>
      <c r="E3839" s="30"/>
      <c r="F3839" s="30"/>
      <c r="G3839" s="31">
        <v>1</v>
      </c>
      <c r="H3839" s="31"/>
      <c r="I3839" s="32"/>
      <c r="J3839" s="32"/>
      <c r="K3839" s="19"/>
      <c r="L3839" s="20"/>
      <c r="M3839" s="10"/>
      <c r="N3839" s="10"/>
      <c r="O3839" s="10"/>
      <c r="P3839" s="10"/>
      <c r="Q3839" s="10"/>
      <c r="R3839" s="10"/>
      <c r="S3839" s="10"/>
      <c r="T3839" s="10"/>
      <c r="U3839" s="10"/>
      <c r="V3839" s="10"/>
      <c r="W3839" s="10"/>
      <c r="X3839" s="10"/>
      <c r="Y3839" s="10"/>
      <c r="Z3839" s="10"/>
      <c r="AA3839" s="10"/>
      <c r="AB3839" s="10"/>
      <c r="AC3839" s="10"/>
      <c r="AD3839" s="10"/>
      <c r="AE3839" s="10"/>
      <c r="AF3839" s="10"/>
      <c r="AG3839" s="10"/>
      <c r="AH3839" s="10"/>
    </row>
    <row r="3840" spans="1:34" outlineLevel="2">
      <c r="A3840" s="88"/>
      <c r="B3840" s="12" t="str">
        <f>IFERROR(VLOOKUP(D3840,'[1]Перечень товаров'!$A$2:$I9525,2,0),"")</f>
        <v>м10</v>
      </c>
      <c r="C3840" s="12" t="str">
        <f>IFERROR(VLOOKUP(D3840,'[1]Перечень товаров'!$A$2:$I9525,3,0),"")</f>
        <v>Мебель</v>
      </c>
      <c r="D3840" s="223" t="s">
        <v>38</v>
      </c>
      <c r="E3840" s="30"/>
      <c r="F3840" s="30"/>
      <c r="G3840" s="31">
        <v>1</v>
      </c>
      <c r="H3840" s="31"/>
      <c r="I3840" s="32"/>
      <c r="J3840" s="32"/>
      <c r="K3840" s="19"/>
      <c r="L3840" s="20"/>
      <c r="M3840" s="10"/>
      <c r="N3840" s="10"/>
      <c r="O3840" s="10"/>
      <c r="P3840" s="10"/>
      <c r="Q3840" s="10"/>
      <c r="R3840" s="10"/>
      <c r="S3840" s="10"/>
      <c r="T3840" s="10"/>
      <c r="U3840" s="10"/>
      <c r="V3840" s="10"/>
      <c r="W3840" s="10"/>
      <c r="X3840" s="10"/>
      <c r="Y3840" s="10"/>
      <c r="Z3840" s="10"/>
      <c r="AA3840" s="10"/>
      <c r="AB3840" s="10"/>
      <c r="AC3840" s="10"/>
      <c r="AD3840" s="10"/>
      <c r="AE3840" s="10"/>
      <c r="AF3840" s="10"/>
      <c r="AG3840" s="10"/>
      <c r="AH3840" s="10"/>
    </row>
    <row r="3841" spans="1:34" outlineLevel="2">
      <c r="A3841" s="88"/>
      <c r="B3841" s="12" t="str">
        <f>IFERROR(VLOOKUP(D3841,'[1]Перечень товаров'!$A$2:$I9525,2,0),"")</f>
        <v>т10</v>
      </c>
      <c r="C3841" s="12" t="str">
        <f>IFERROR(VLOOKUP(D3841,'[1]Перечень товаров'!$A$2:$I9525,3,0),"")</f>
        <v xml:space="preserve">Техника </v>
      </c>
      <c r="D3841" s="223" t="s">
        <v>39</v>
      </c>
      <c r="E3841" s="30"/>
      <c r="F3841" s="30"/>
      <c r="G3841" s="31">
        <v>1</v>
      </c>
      <c r="H3841" s="31"/>
      <c r="I3841" s="32"/>
      <c r="J3841" s="32"/>
      <c r="K3841" s="19"/>
      <c r="L3841" s="20"/>
      <c r="M3841" s="10"/>
      <c r="N3841" s="10"/>
      <c r="O3841" s="10"/>
      <c r="P3841" s="10"/>
      <c r="Q3841" s="10"/>
      <c r="R3841" s="10"/>
      <c r="S3841" s="10"/>
      <c r="T3841" s="10"/>
      <c r="U3841" s="10"/>
      <c r="V3841" s="10"/>
      <c r="W3841" s="10"/>
      <c r="X3841" s="10"/>
      <c r="Y3841" s="10"/>
      <c r="Z3841" s="10"/>
      <c r="AA3841" s="10"/>
      <c r="AB3841" s="10"/>
      <c r="AC3841" s="10"/>
      <c r="AD3841" s="10"/>
      <c r="AE3841" s="10"/>
      <c r="AF3841" s="10"/>
      <c r="AG3841" s="10"/>
      <c r="AH3841" s="10"/>
    </row>
    <row r="3842" spans="1:34" ht="12.75" outlineLevel="1">
      <c r="A3842" s="11"/>
      <c r="B3842" s="12" t="str">
        <f>IFERROR(VLOOKUP(D3842,'[1]Перечень товаров'!$A$2:$I9525,2,0),"")</f>
        <v/>
      </c>
      <c r="C3842" s="12" t="str">
        <f>IFERROR(VLOOKUP(D3842,'[1]Перечень товаров'!$A$2:$I9525,3,0),"")</f>
        <v/>
      </c>
      <c r="D3842" s="27" t="s">
        <v>1044</v>
      </c>
      <c r="E3842" s="14">
        <v>40.700000000000003</v>
      </c>
      <c r="F3842" s="14"/>
      <c r="G3842" s="17"/>
      <c r="H3842" s="17"/>
      <c r="I3842" s="57"/>
      <c r="J3842" s="57"/>
      <c r="K3842" s="19"/>
      <c r="L3842" s="20"/>
      <c r="M3842" s="10"/>
      <c r="N3842" s="10"/>
      <c r="O3842" s="10"/>
      <c r="P3842" s="10"/>
      <c r="Q3842" s="10"/>
      <c r="R3842" s="10"/>
      <c r="S3842" s="10"/>
      <c r="T3842" s="10"/>
      <c r="U3842" s="10"/>
      <c r="V3842" s="10"/>
      <c r="W3842" s="10"/>
      <c r="X3842" s="10"/>
      <c r="Y3842" s="10"/>
      <c r="Z3842" s="10"/>
      <c r="AA3842" s="10"/>
      <c r="AB3842" s="10"/>
      <c r="AC3842" s="10"/>
      <c r="AD3842" s="10"/>
      <c r="AE3842" s="10"/>
      <c r="AF3842" s="10"/>
      <c r="AG3842" s="10"/>
      <c r="AH3842" s="10"/>
    </row>
    <row r="3843" spans="1:34" outlineLevel="2">
      <c r="A3843" s="129"/>
      <c r="B3843" s="12" t="str">
        <f>IFERROR(VLOOKUP(D3843,'[1]Перечень товаров'!$A$2:$I9525,2,0),"")</f>
        <v>тм215</v>
      </c>
      <c r="C3843" s="12" t="str">
        <f>IFERROR(VLOOKUP(D3843,'[1]Перечень товаров'!$A$2:$I9525,3,0),"")</f>
        <v>Техника муз</v>
      </c>
      <c r="D3843" s="130" t="s">
        <v>1045</v>
      </c>
      <c r="E3843" s="150"/>
      <c r="F3843" s="150"/>
      <c r="G3843" s="193">
        <v>4</v>
      </c>
      <c r="H3843" s="193"/>
      <c r="I3843" s="194"/>
      <c r="J3843" s="194"/>
      <c r="K3843" s="19"/>
      <c r="L3843" s="20"/>
      <c r="M3843" s="10"/>
      <c r="N3843" s="10"/>
      <c r="O3843" s="10"/>
      <c r="P3843" s="10"/>
      <c r="Q3843" s="10"/>
      <c r="R3843" s="10"/>
      <c r="S3843" s="10"/>
      <c r="T3843" s="10"/>
      <c r="U3843" s="10"/>
      <c r="V3843" s="10"/>
      <c r="W3843" s="10"/>
      <c r="X3843" s="10"/>
      <c r="Y3843" s="10"/>
      <c r="Z3843" s="10"/>
      <c r="AA3843" s="10"/>
      <c r="AB3843" s="10"/>
      <c r="AC3843" s="10"/>
      <c r="AD3843" s="10"/>
      <c r="AE3843" s="10"/>
      <c r="AF3843" s="10"/>
      <c r="AG3843" s="10"/>
      <c r="AH3843" s="10"/>
    </row>
    <row r="3844" spans="1:34" outlineLevel="2">
      <c r="A3844" s="129"/>
      <c r="B3844" s="12" t="str">
        <f>IFERROR(VLOOKUP(D3844,'[1]Перечень товаров'!$A$2:$I9525,2,0),"")</f>
        <v>тм214</v>
      </c>
      <c r="C3844" s="12" t="str">
        <f>IFERROR(VLOOKUP(D3844,'[1]Перечень товаров'!$A$2:$I9525,3,0),"")</f>
        <v>Техника муз</v>
      </c>
      <c r="D3844" s="130" t="s">
        <v>1046</v>
      </c>
      <c r="E3844" s="150"/>
      <c r="F3844" s="150"/>
      <c r="G3844" s="193">
        <v>4</v>
      </c>
      <c r="H3844" s="193"/>
      <c r="I3844" s="194"/>
      <c r="J3844" s="194"/>
      <c r="K3844" s="19"/>
      <c r="L3844" s="20"/>
      <c r="M3844" s="10"/>
      <c r="N3844" s="10"/>
      <c r="O3844" s="10"/>
      <c r="P3844" s="10"/>
      <c r="Q3844" s="10"/>
      <c r="R3844" s="10"/>
      <c r="S3844" s="10"/>
      <c r="T3844" s="10"/>
      <c r="U3844" s="10"/>
      <c r="V3844" s="10"/>
      <c r="W3844" s="10"/>
      <c r="X3844" s="10"/>
      <c r="Y3844" s="10"/>
      <c r="Z3844" s="10"/>
      <c r="AA3844" s="10"/>
      <c r="AB3844" s="10"/>
      <c r="AC3844" s="10"/>
      <c r="AD3844" s="10"/>
      <c r="AE3844" s="10"/>
      <c r="AF3844" s="10"/>
      <c r="AG3844" s="10"/>
      <c r="AH3844" s="10"/>
    </row>
    <row r="3845" spans="1:34" outlineLevel="2">
      <c r="A3845" s="129"/>
      <c r="B3845" s="12" t="str">
        <f>IFERROR(VLOOKUP(D3845,'[1]Перечень товаров'!$A$2:$I9525,2,0),"")</f>
        <v>тм213</v>
      </c>
      <c r="C3845" s="12" t="str">
        <f>IFERROR(VLOOKUP(D3845,'[1]Перечень товаров'!$A$2:$I9525,3,0),"")</f>
        <v>Техника муз</v>
      </c>
      <c r="D3845" s="130" t="s">
        <v>1047</v>
      </c>
      <c r="E3845" s="150"/>
      <c r="F3845" s="150"/>
      <c r="G3845" s="193">
        <v>2</v>
      </c>
      <c r="H3845" s="193"/>
      <c r="I3845" s="194"/>
      <c r="J3845" s="194"/>
      <c r="K3845" s="19"/>
      <c r="L3845" s="20"/>
      <c r="M3845" s="10"/>
      <c r="N3845" s="10"/>
      <c r="O3845" s="10"/>
      <c r="P3845" s="10"/>
      <c r="Q3845" s="10"/>
      <c r="R3845" s="10"/>
      <c r="S3845" s="10"/>
      <c r="T3845" s="10"/>
      <c r="U3845" s="10"/>
      <c r="V3845" s="10"/>
      <c r="W3845" s="10"/>
      <c r="X3845" s="10"/>
      <c r="Y3845" s="10"/>
      <c r="Z3845" s="10"/>
      <c r="AA3845" s="10"/>
      <c r="AB3845" s="10"/>
      <c r="AC3845" s="10"/>
      <c r="AD3845" s="10"/>
      <c r="AE3845" s="10"/>
      <c r="AF3845" s="10"/>
      <c r="AG3845" s="10"/>
      <c r="AH3845" s="10"/>
    </row>
    <row r="3846" spans="1:34" ht="31.5" outlineLevel="2">
      <c r="A3846" s="129"/>
      <c r="B3846" s="12" t="str">
        <f>IFERROR(VLOOKUP(D3846,'[1]Перечень товаров'!$A$2:$I9525,2,0),"")</f>
        <v>тм212</v>
      </c>
      <c r="C3846" s="12" t="str">
        <f>IFERROR(VLOOKUP(D3846,'[1]Перечень товаров'!$A$2:$I9525,3,0),"")</f>
        <v>Техника муз</v>
      </c>
      <c r="D3846" s="130" t="s">
        <v>1048</v>
      </c>
      <c r="E3846" s="150"/>
      <c r="F3846" s="150"/>
      <c r="G3846" s="193">
        <v>2</v>
      </c>
      <c r="H3846" s="193"/>
      <c r="I3846" s="194"/>
      <c r="J3846" s="194"/>
      <c r="K3846" s="19"/>
      <c r="L3846" s="20"/>
      <c r="M3846" s="10"/>
      <c r="N3846" s="10"/>
      <c r="O3846" s="10"/>
      <c r="P3846" s="10"/>
      <c r="Q3846" s="10"/>
      <c r="R3846" s="10"/>
      <c r="S3846" s="10"/>
      <c r="T3846" s="10"/>
      <c r="U3846" s="10"/>
      <c r="V3846" s="10"/>
      <c r="W3846" s="10"/>
      <c r="X3846" s="10"/>
      <c r="Y3846" s="10"/>
      <c r="Z3846" s="10"/>
      <c r="AA3846" s="10"/>
      <c r="AB3846" s="10"/>
      <c r="AC3846" s="10"/>
      <c r="AD3846" s="10"/>
      <c r="AE3846" s="10"/>
      <c r="AF3846" s="10"/>
      <c r="AG3846" s="10"/>
      <c r="AH3846" s="10"/>
    </row>
    <row r="3847" spans="1:34" outlineLevel="2">
      <c r="A3847" s="129"/>
      <c r="B3847" s="12" t="str">
        <f>IFERROR(VLOOKUP(D3847,'[1]Перечень товаров'!$A$2:$I9525,2,0),"")</f>
        <v>тм211</v>
      </c>
      <c r="C3847" s="12" t="str">
        <f>IFERROR(VLOOKUP(D3847,'[1]Перечень товаров'!$A$2:$I9525,3,0),"")</f>
        <v>Техника муз</v>
      </c>
      <c r="D3847" s="130" t="s">
        <v>1049</v>
      </c>
      <c r="E3847" s="150"/>
      <c r="F3847" s="150"/>
      <c r="G3847" s="193">
        <v>2</v>
      </c>
      <c r="H3847" s="193"/>
      <c r="I3847" s="194"/>
      <c r="J3847" s="194"/>
      <c r="K3847" s="19"/>
      <c r="L3847" s="20"/>
      <c r="M3847" s="10"/>
      <c r="N3847" s="10"/>
      <c r="O3847" s="10"/>
      <c r="P3847" s="10"/>
      <c r="Q3847" s="10"/>
      <c r="R3847" s="10"/>
      <c r="S3847" s="10"/>
      <c r="T3847" s="10"/>
      <c r="U3847" s="10"/>
      <c r="V3847" s="10"/>
      <c r="W3847" s="10"/>
      <c r="X3847" s="10"/>
      <c r="Y3847" s="10"/>
      <c r="Z3847" s="10"/>
      <c r="AA3847" s="10"/>
      <c r="AB3847" s="10"/>
      <c r="AC3847" s="10"/>
      <c r="AD3847" s="10"/>
      <c r="AE3847" s="10"/>
      <c r="AF3847" s="10"/>
      <c r="AG3847" s="10"/>
      <c r="AH3847" s="10"/>
    </row>
    <row r="3848" spans="1:34" outlineLevel="2">
      <c r="A3848" s="129"/>
      <c r="B3848" s="12" t="str">
        <f>IFERROR(VLOOKUP(D3848,'[1]Перечень товаров'!$A$2:$I9525,2,0),"")</f>
        <v>тм210</v>
      </c>
      <c r="C3848" s="12" t="str">
        <f>IFERROR(VLOOKUP(D3848,'[1]Перечень товаров'!$A$2:$I9525,3,0),"")</f>
        <v>Техника муз</v>
      </c>
      <c r="D3848" s="130" t="s">
        <v>1050</v>
      </c>
      <c r="E3848" s="150"/>
      <c r="F3848" s="150"/>
      <c r="G3848" s="193">
        <v>2</v>
      </c>
      <c r="H3848" s="193"/>
      <c r="I3848" s="194"/>
      <c r="J3848" s="194"/>
      <c r="K3848" s="19"/>
      <c r="L3848" s="20"/>
      <c r="M3848" s="10"/>
      <c r="N3848" s="10"/>
      <c r="O3848" s="10"/>
      <c r="P3848" s="10"/>
      <c r="Q3848" s="10"/>
      <c r="R3848" s="10"/>
      <c r="S3848" s="10"/>
      <c r="T3848" s="10"/>
      <c r="U3848" s="10"/>
      <c r="V3848" s="10"/>
      <c r="W3848" s="10"/>
      <c r="X3848" s="10"/>
      <c r="Y3848" s="10"/>
      <c r="Z3848" s="10"/>
      <c r="AA3848" s="10"/>
      <c r="AB3848" s="10"/>
      <c r="AC3848" s="10"/>
      <c r="AD3848" s="10"/>
      <c r="AE3848" s="10"/>
      <c r="AF3848" s="10"/>
      <c r="AG3848" s="10"/>
      <c r="AH3848" s="10"/>
    </row>
    <row r="3849" spans="1:34" outlineLevel="2">
      <c r="A3849" s="129"/>
      <c r="B3849" s="12" t="str">
        <f>IFERROR(VLOOKUP(D3849,'[1]Перечень товаров'!$A$2:$I9525,2,0),"")</f>
        <v>тм210</v>
      </c>
      <c r="C3849" s="12" t="str">
        <f>IFERROR(VLOOKUP(D3849,'[1]Перечень товаров'!$A$2:$I9525,3,0),"")</f>
        <v>Техника муз</v>
      </c>
      <c r="D3849" s="130" t="s">
        <v>1051</v>
      </c>
      <c r="E3849" s="150"/>
      <c r="F3849" s="150"/>
      <c r="G3849" s="193">
        <v>4</v>
      </c>
      <c r="H3849" s="193"/>
      <c r="I3849" s="194"/>
      <c r="J3849" s="194"/>
      <c r="K3849" s="19"/>
      <c r="L3849" s="20"/>
      <c r="M3849" s="10"/>
      <c r="N3849" s="10"/>
      <c r="O3849" s="10"/>
      <c r="P3849" s="10"/>
      <c r="Q3849" s="10"/>
      <c r="R3849" s="10"/>
      <c r="S3849" s="10"/>
      <c r="T3849" s="10"/>
      <c r="U3849" s="10"/>
      <c r="V3849" s="10"/>
      <c r="W3849" s="10"/>
      <c r="X3849" s="10"/>
      <c r="Y3849" s="10"/>
      <c r="Z3849" s="10"/>
      <c r="AA3849" s="10"/>
      <c r="AB3849" s="10"/>
      <c r="AC3849" s="10"/>
      <c r="AD3849" s="10"/>
      <c r="AE3849" s="10"/>
      <c r="AF3849" s="10"/>
      <c r="AG3849" s="10"/>
      <c r="AH3849" s="10"/>
    </row>
    <row r="3850" spans="1:34" outlineLevel="2">
      <c r="A3850" s="129"/>
      <c r="B3850" s="12" t="str">
        <f>IFERROR(VLOOKUP(D3850,'[1]Перечень товаров'!$A$2:$I9525,2,0),"")</f>
        <v>тм209</v>
      </c>
      <c r="C3850" s="12" t="str">
        <f>IFERROR(VLOOKUP(D3850,'[1]Перечень товаров'!$A$2:$I9525,3,0),"")</f>
        <v>Техника муз</v>
      </c>
      <c r="D3850" s="130" t="s">
        <v>1052</v>
      </c>
      <c r="E3850" s="150"/>
      <c r="F3850" s="150"/>
      <c r="G3850" s="193">
        <v>2</v>
      </c>
      <c r="H3850" s="193"/>
      <c r="I3850" s="194"/>
      <c r="J3850" s="194"/>
      <c r="K3850" s="19"/>
      <c r="L3850" s="20"/>
      <c r="M3850" s="10"/>
      <c r="N3850" s="10"/>
      <c r="O3850" s="10"/>
      <c r="P3850" s="10"/>
      <c r="Q3850" s="10"/>
      <c r="R3850" s="10"/>
      <c r="S3850" s="10"/>
      <c r="T3850" s="10"/>
      <c r="U3850" s="10"/>
      <c r="V3850" s="10"/>
      <c r="W3850" s="10"/>
      <c r="X3850" s="10"/>
      <c r="Y3850" s="10"/>
      <c r="Z3850" s="10"/>
      <c r="AA3850" s="10"/>
      <c r="AB3850" s="10"/>
      <c r="AC3850" s="10"/>
      <c r="AD3850" s="10"/>
      <c r="AE3850" s="10"/>
      <c r="AF3850" s="10"/>
      <c r="AG3850" s="10"/>
      <c r="AH3850" s="10"/>
    </row>
    <row r="3851" spans="1:34" outlineLevel="2">
      <c r="A3851" s="129"/>
      <c r="B3851" s="12" t="str">
        <f>IFERROR(VLOOKUP(D3851,'[1]Перечень товаров'!$A$2:$I9525,2,0),"")</f>
        <v>тм208</v>
      </c>
      <c r="C3851" s="12" t="str">
        <f>IFERROR(VLOOKUP(D3851,'[1]Перечень товаров'!$A$2:$I9525,3,0),"")</f>
        <v>Техника муз</v>
      </c>
      <c r="D3851" s="130" t="s">
        <v>1053</v>
      </c>
      <c r="E3851" s="150"/>
      <c r="F3851" s="150"/>
      <c r="G3851" s="193">
        <v>2</v>
      </c>
      <c r="H3851" s="193"/>
      <c r="I3851" s="194"/>
      <c r="J3851" s="194"/>
      <c r="K3851" s="19"/>
      <c r="L3851" s="20"/>
      <c r="M3851" s="10"/>
      <c r="N3851" s="10"/>
      <c r="O3851" s="10"/>
      <c r="P3851" s="10"/>
      <c r="Q3851" s="10"/>
      <c r="R3851" s="10"/>
      <c r="S3851" s="10"/>
      <c r="T3851" s="10"/>
      <c r="U3851" s="10"/>
      <c r="V3851" s="10"/>
      <c r="W3851" s="10"/>
      <c r="X3851" s="10"/>
      <c r="Y3851" s="10"/>
      <c r="Z3851" s="10"/>
      <c r="AA3851" s="10"/>
      <c r="AB3851" s="10"/>
      <c r="AC3851" s="10"/>
      <c r="AD3851" s="10"/>
      <c r="AE3851" s="10"/>
      <c r="AF3851" s="10"/>
      <c r="AG3851" s="10"/>
      <c r="AH3851" s="10"/>
    </row>
    <row r="3852" spans="1:34" outlineLevel="2">
      <c r="A3852" s="129"/>
      <c r="B3852" s="12" t="str">
        <f>IFERROR(VLOOKUP(D3852,'[1]Перечень товаров'!$A$2:$I9525,2,0),"")</f>
        <v>тм207</v>
      </c>
      <c r="C3852" s="12" t="str">
        <f>IFERROR(VLOOKUP(D3852,'[1]Перечень товаров'!$A$2:$I9525,3,0),"")</f>
        <v>Техника муз</v>
      </c>
      <c r="D3852" s="130" t="s">
        <v>1054</v>
      </c>
      <c r="E3852" s="150"/>
      <c r="F3852" s="150"/>
      <c r="G3852" s="193">
        <v>1</v>
      </c>
      <c r="H3852" s="193"/>
      <c r="I3852" s="194"/>
      <c r="J3852" s="194"/>
      <c r="K3852" s="19"/>
      <c r="L3852" s="20"/>
      <c r="M3852" s="10"/>
      <c r="N3852" s="10"/>
      <c r="O3852" s="10"/>
      <c r="P3852" s="10"/>
      <c r="Q3852" s="10"/>
      <c r="R3852" s="10"/>
      <c r="S3852" s="10"/>
      <c r="T3852" s="10"/>
      <c r="U3852" s="10"/>
      <c r="V3852" s="10"/>
      <c r="W3852" s="10"/>
      <c r="X3852" s="10"/>
      <c r="Y3852" s="10"/>
      <c r="Z3852" s="10"/>
      <c r="AA3852" s="10"/>
      <c r="AB3852" s="10"/>
      <c r="AC3852" s="10"/>
      <c r="AD3852" s="10"/>
      <c r="AE3852" s="10"/>
      <c r="AF3852" s="10"/>
      <c r="AG3852" s="10"/>
      <c r="AH3852" s="10"/>
    </row>
    <row r="3853" spans="1:34" outlineLevel="2">
      <c r="A3853" s="129"/>
      <c r="B3853" s="12" t="str">
        <f>IFERROR(VLOOKUP(D3853,'[1]Перечень товаров'!$A$2:$I9525,2,0),"")</f>
        <v>тм206</v>
      </c>
      <c r="C3853" s="12" t="str">
        <f>IFERROR(VLOOKUP(D3853,'[1]Перечень товаров'!$A$2:$I9525,3,0),"")</f>
        <v>Техника муз</v>
      </c>
      <c r="D3853" s="130" t="s">
        <v>1055</v>
      </c>
      <c r="E3853" s="150"/>
      <c r="F3853" s="150"/>
      <c r="G3853" s="193">
        <v>1</v>
      </c>
      <c r="H3853" s="193"/>
      <c r="I3853" s="194"/>
      <c r="J3853" s="194"/>
      <c r="K3853" s="19"/>
      <c r="L3853" s="20"/>
      <c r="M3853" s="10"/>
      <c r="N3853" s="10"/>
      <c r="O3853" s="10"/>
      <c r="P3853" s="10"/>
      <c r="Q3853" s="10"/>
      <c r="R3853" s="10"/>
      <c r="S3853" s="10"/>
      <c r="T3853" s="10"/>
      <c r="U3853" s="10"/>
      <c r="V3853" s="10"/>
      <c r="W3853" s="10"/>
      <c r="X3853" s="10"/>
      <c r="Y3853" s="10"/>
      <c r="Z3853" s="10"/>
      <c r="AA3853" s="10"/>
      <c r="AB3853" s="10"/>
      <c r="AC3853" s="10"/>
      <c r="AD3853" s="10"/>
      <c r="AE3853" s="10"/>
      <c r="AF3853" s="10"/>
      <c r="AG3853" s="10"/>
      <c r="AH3853" s="10"/>
    </row>
    <row r="3854" spans="1:34" outlineLevel="2">
      <c r="A3854" s="129"/>
      <c r="B3854" s="12" t="str">
        <f>IFERROR(VLOOKUP(D3854,'[1]Перечень товаров'!$A$2:$I9525,2,0),"")</f>
        <v>тм205</v>
      </c>
      <c r="C3854" s="12" t="str">
        <f>IFERROR(VLOOKUP(D3854,'[1]Перечень товаров'!$A$2:$I9525,3,0),"")</f>
        <v>Техника муз</v>
      </c>
      <c r="D3854" s="130" t="s">
        <v>1056</v>
      </c>
      <c r="E3854" s="150"/>
      <c r="F3854" s="150"/>
      <c r="G3854" s="193">
        <v>1</v>
      </c>
      <c r="H3854" s="193"/>
      <c r="I3854" s="194"/>
      <c r="J3854" s="194"/>
      <c r="K3854" s="19"/>
      <c r="L3854" s="20"/>
      <c r="M3854" s="10"/>
      <c r="N3854" s="10"/>
      <c r="O3854" s="10"/>
      <c r="P3854" s="10"/>
      <c r="Q3854" s="10"/>
      <c r="R3854" s="10"/>
      <c r="S3854" s="10"/>
      <c r="T3854" s="10"/>
      <c r="U3854" s="10"/>
      <c r="V3854" s="10"/>
      <c r="W3854" s="10"/>
      <c r="X3854" s="10"/>
      <c r="Y3854" s="10"/>
      <c r="Z3854" s="10"/>
      <c r="AA3854" s="10"/>
      <c r="AB3854" s="10"/>
      <c r="AC3854" s="10"/>
      <c r="AD3854" s="10"/>
      <c r="AE3854" s="10"/>
      <c r="AF3854" s="10"/>
      <c r="AG3854" s="10"/>
      <c r="AH3854" s="10"/>
    </row>
    <row r="3855" spans="1:34" outlineLevel="2">
      <c r="A3855" s="129"/>
      <c r="B3855" s="12" t="str">
        <f>IFERROR(VLOOKUP(D3855,'[1]Перечень товаров'!$A$2:$I9525,2,0),"")</f>
        <v>тм204</v>
      </c>
      <c r="C3855" s="12" t="str">
        <f>IFERROR(VLOOKUP(D3855,'[1]Перечень товаров'!$A$2:$I9525,3,0),"")</f>
        <v>Техника муз</v>
      </c>
      <c r="D3855" s="130" t="s">
        <v>1057</v>
      </c>
      <c r="E3855" s="150"/>
      <c r="F3855" s="150"/>
      <c r="G3855" s="193">
        <v>1</v>
      </c>
      <c r="H3855" s="193"/>
      <c r="I3855" s="194"/>
      <c r="J3855" s="194"/>
      <c r="K3855" s="19"/>
      <c r="L3855" s="20"/>
      <c r="M3855" s="10"/>
      <c r="N3855" s="10"/>
      <c r="O3855" s="10"/>
      <c r="P3855" s="10"/>
      <c r="Q3855" s="10"/>
      <c r="R3855" s="10"/>
      <c r="S3855" s="10"/>
      <c r="T3855" s="10"/>
      <c r="U3855" s="10"/>
      <c r="V3855" s="10"/>
      <c r="W3855" s="10"/>
      <c r="X3855" s="10"/>
      <c r="Y3855" s="10"/>
      <c r="Z3855" s="10"/>
      <c r="AA3855" s="10"/>
      <c r="AB3855" s="10"/>
      <c r="AC3855" s="10"/>
      <c r="AD3855" s="10"/>
      <c r="AE3855" s="10"/>
      <c r="AF3855" s="10"/>
      <c r="AG3855" s="10"/>
      <c r="AH3855" s="10"/>
    </row>
    <row r="3856" spans="1:34" outlineLevel="2">
      <c r="A3856" s="129"/>
      <c r="B3856" s="12" t="str">
        <f>IFERROR(VLOOKUP(D3856,'[1]Перечень товаров'!$A$2:$I9525,2,0),"")</f>
        <v>тм203</v>
      </c>
      <c r="C3856" s="12" t="str">
        <f>IFERROR(VLOOKUP(D3856,'[1]Перечень товаров'!$A$2:$I9525,3,0),"")</f>
        <v>Техника муз</v>
      </c>
      <c r="D3856" s="130" t="s">
        <v>1058</v>
      </c>
      <c r="E3856" s="150"/>
      <c r="F3856" s="150"/>
      <c r="G3856" s="193">
        <v>2</v>
      </c>
      <c r="H3856" s="193"/>
      <c r="I3856" s="194"/>
      <c r="J3856" s="194"/>
      <c r="K3856" s="19"/>
      <c r="L3856" s="20"/>
      <c r="M3856" s="10"/>
      <c r="N3856" s="10"/>
      <c r="O3856" s="10"/>
      <c r="P3856" s="10"/>
      <c r="Q3856" s="10"/>
      <c r="R3856" s="10"/>
      <c r="S3856" s="10"/>
      <c r="T3856" s="10"/>
      <c r="U3856" s="10"/>
      <c r="V3856" s="10"/>
      <c r="W3856" s="10"/>
      <c r="X3856" s="10"/>
      <c r="Y3856" s="10"/>
      <c r="Z3856" s="10"/>
      <c r="AA3856" s="10"/>
      <c r="AB3856" s="10"/>
      <c r="AC3856" s="10"/>
      <c r="AD3856" s="10"/>
      <c r="AE3856" s="10"/>
      <c r="AF3856" s="10"/>
      <c r="AG3856" s="10"/>
      <c r="AH3856" s="10"/>
    </row>
    <row r="3857" spans="1:34" outlineLevel="2">
      <c r="A3857" s="129"/>
      <c r="B3857" s="12" t="str">
        <f>IFERROR(VLOOKUP(D3857,'[1]Перечень товаров'!$A$2:$I9525,2,0),"")</f>
        <v>тм202</v>
      </c>
      <c r="C3857" s="12" t="str">
        <f>IFERROR(VLOOKUP(D3857,'[1]Перечень товаров'!$A$2:$I9525,3,0),"")</f>
        <v>Техника муз</v>
      </c>
      <c r="D3857" s="130" t="s">
        <v>1059</v>
      </c>
      <c r="E3857" s="150"/>
      <c r="F3857" s="150"/>
      <c r="G3857" s="193">
        <v>1</v>
      </c>
      <c r="H3857" s="193"/>
      <c r="I3857" s="194"/>
      <c r="J3857" s="194"/>
      <c r="K3857" s="19"/>
      <c r="L3857" s="20"/>
      <c r="M3857" s="10"/>
      <c r="N3857" s="10"/>
      <c r="O3857" s="10"/>
      <c r="P3857" s="10"/>
      <c r="Q3857" s="10"/>
      <c r="R3857" s="10"/>
      <c r="S3857" s="10"/>
      <c r="T3857" s="10"/>
      <c r="U3857" s="10"/>
      <c r="V3857" s="10"/>
      <c r="W3857" s="10"/>
      <c r="X3857" s="10"/>
      <c r="Y3857" s="10"/>
      <c r="Z3857" s="10"/>
      <c r="AA3857" s="10"/>
      <c r="AB3857" s="10"/>
      <c r="AC3857" s="10"/>
      <c r="AD3857" s="10"/>
      <c r="AE3857" s="10"/>
      <c r="AF3857" s="10"/>
      <c r="AG3857" s="10"/>
      <c r="AH3857" s="10"/>
    </row>
    <row r="3858" spans="1:34" ht="31.5" outlineLevel="2">
      <c r="A3858" s="129"/>
      <c r="B3858" s="12" t="str">
        <f>IFERROR(VLOOKUP(D3858,'[1]Перечень товаров'!$A$2:$I9525,2,0),"")</f>
        <v>пм195</v>
      </c>
      <c r="C3858" s="12" t="str">
        <f>IFERROR(VLOOKUP(D3858,'[1]Перечень товаров'!$A$2:$I9525,3,0),"")</f>
        <v>прочее муз</v>
      </c>
      <c r="D3858" s="130" t="s">
        <v>1060</v>
      </c>
      <c r="E3858" s="150"/>
      <c r="F3858" s="150"/>
      <c r="G3858" s="193">
        <v>2</v>
      </c>
      <c r="H3858" s="193"/>
      <c r="I3858" s="194"/>
      <c r="J3858" s="194"/>
      <c r="K3858" s="19"/>
      <c r="L3858" s="20"/>
      <c r="M3858" s="10"/>
      <c r="N3858" s="10"/>
      <c r="O3858" s="10"/>
      <c r="P3858" s="10"/>
      <c r="Q3858" s="10"/>
      <c r="R3858" s="10"/>
      <c r="S3858" s="10"/>
      <c r="T3858" s="10"/>
      <c r="U3858" s="10"/>
      <c r="V3858" s="10"/>
      <c r="W3858" s="10"/>
      <c r="X3858" s="10"/>
      <c r="Y3858" s="10"/>
      <c r="Z3858" s="10"/>
      <c r="AA3858" s="10"/>
      <c r="AB3858" s="10"/>
      <c r="AC3858" s="10"/>
      <c r="AD3858" s="10"/>
      <c r="AE3858" s="10"/>
      <c r="AF3858" s="10"/>
      <c r="AG3858" s="10"/>
      <c r="AH3858" s="10"/>
    </row>
    <row r="3859" spans="1:34" ht="31.5" outlineLevel="2">
      <c r="A3859" s="129"/>
      <c r="B3859" s="12" t="str">
        <f>IFERROR(VLOOKUP(D3859,'[1]Перечень товаров'!$A$2:$I9525,2,0),"")</f>
        <v>пм194</v>
      </c>
      <c r="C3859" s="12" t="str">
        <f>IFERROR(VLOOKUP(D3859,'[1]Перечень товаров'!$A$2:$I9525,3,0),"")</f>
        <v>прочее муз</v>
      </c>
      <c r="D3859" s="130" t="s">
        <v>1061</v>
      </c>
      <c r="E3859" s="150"/>
      <c r="F3859" s="150"/>
      <c r="G3859" s="193">
        <v>10</v>
      </c>
      <c r="H3859" s="193"/>
      <c r="I3859" s="194"/>
      <c r="J3859" s="194"/>
      <c r="K3859" s="19"/>
      <c r="L3859" s="20"/>
      <c r="M3859" s="10"/>
      <c r="N3859" s="10"/>
      <c r="O3859" s="10"/>
      <c r="P3859" s="10"/>
      <c r="Q3859" s="10"/>
      <c r="R3859" s="10"/>
      <c r="S3859" s="10"/>
      <c r="T3859" s="10"/>
      <c r="U3859" s="10"/>
      <c r="V3859" s="10"/>
      <c r="W3859" s="10"/>
      <c r="X3859" s="10"/>
      <c r="Y3859" s="10"/>
      <c r="Z3859" s="10"/>
      <c r="AA3859" s="10"/>
      <c r="AB3859" s="10"/>
      <c r="AC3859" s="10"/>
      <c r="AD3859" s="10"/>
      <c r="AE3859" s="10"/>
      <c r="AF3859" s="10"/>
      <c r="AG3859" s="10"/>
      <c r="AH3859" s="10"/>
    </row>
    <row r="3860" spans="1:34" ht="31.5" outlineLevel="2">
      <c r="A3860" s="129"/>
      <c r="B3860" s="12" t="str">
        <f>IFERROR(VLOOKUP(D3860,'[1]Перечень товаров'!$A$2:$I9525,2,0),"")</f>
        <v>пм193</v>
      </c>
      <c r="C3860" s="12" t="str">
        <f>IFERROR(VLOOKUP(D3860,'[1]Перечень товаров'!$A$2:$I9525,3,0),"")</f>
        <v>прочее муз</v>
      </c>
      <c r="D3860" s="130" t="s">
        <v>1062</v>
      </c>
      <c r="E3860" s="150"/>
      <c r="F3860" s="150"/>
      <c r="G3860" s="193">
        <v>30</v>
      </c>
      <c r="H3860" s="193"/>
      <c r="I3860" s="194"/>
      <c r="J3860" s="194"/>
      <c r="K3860" s="19"/>
      <c r="L3860" s="20"/>
      <c r="M3860" s="10"/>
      <c r="N3860" s="10"/>
      <c r="O3860" s="10"/>
      <c r="P3860" s="10"/>
      <c r="Q3860" s="10"/>
      <c r="R3860" s="10"/>
      <c r="S3860" s="10"/>
      <c r="T3860" s="10"/>
      <c r="U3860" s="10"/>
      <c r="V3860" s="10"/>
      <c r="W3860" s="10"/>
      <c r="X3860" s="10"/>
      <c r="Y3860" s="10"/>
      <c r="Z3860" s="10"/>
      <c r="AA3860" s="10"/>
      <c r="AB3860" s="10"/>
      <c r="AC3860" s="10"/>
      <c r="AD3860" s="10"/>
      <c r="AE3860" s="10"/>
      <c r="AF3860" s="10"/>
      <c r="AG3860" s="10"/>
      <c r="AH3860" s="10"/>
    </row>
    <row r="3861" spans="1:34" ht="31.5" outlineLevel="2">
      <c r="A3861" s="129"/>
      <c r="B3861" s="12" t="str">
        <f>IFERROR(VLOOKUP(D3861,'[1]Перечень товаров'!$A$2:$I9525,2,0),"")</f>
        <v>пм192</v>
      </c>
      <c r="C3861" s="12" t="str">
        <f>IFERROR(VLOOKUP(D3861,'[1]Перечень товаров'!$A$2:$I9525,3,0),"")</f>
        <v>прочее муз</v>
      </c>
      <c r="D3861" s="130" t="s">
        <v>1063</v>
      </c>
      <c r="E3861" s="150"/>
      <c r="F3861" s="150"/>
      <c r="G3861" s="193">
        <v>5</v>
      </c>
      <c r="H3861" s="193"/>
      <c r="I3861" s="194"/>
      <c r="J3861" s="194"/>
      <c r="K3861" s="19"/>
      <c r="L3861" s="20"/>
      <c r="M3861" s="10"/>
      <c r="N3861" s="10"/>
      <c r="O3861" s="10"/>
      <c r="P3861" s="10"/>
      <c r="Q3861" s="10"/>
      <c r="R3861" s="10"/>
      <c r="S3861" s="10"/>
      <c r="T3861" s="10"/>
      <c r="U3861" s="10"/>
      <c r="V3861" s="10"/>
      <c r="W3861" s="10"/>
      <c r="X3861" s="10"/>
      <c r="Y3861" s="10"/>
      <c r="Z3861" s="10"/>
      <c r="AA3861" s="10"/>
      <c r="AB3861" s="10"/>
      <c r="AC3861" s="10"/>
      <c r="AD3861" s="10"/>
      <c r="AE3861" s="10"/>
      <c r="AF3861" s="10"/>
      <c r="AG3861" s="10"/>
      <c r="AH3861" s="10"/>
    </row>
    <row r="3862" spans="1:34" outlineLevel="2">
      <c r="A3862" s="129"/>
      <c r="B3862" s="12" t="str">
        <f>IFERROR(VLOOKUP(D3862,'[1]Перечень товаров'!$A$2:$I9525,2,0),"")</f>
        <v>пм191</v>
      </c>
      <c r="C3862" s="12" t="str">
        <f>IFERROR(VLOOKUP(D3862,'[1]Перечень товаров'!$A$2:$I9525,3,0),"")</f>
        <v>прочее муз</v>
      </c>
      <c r="D3862" s="130" t="s">
        <v>1064</v>
      </c>
      <c r="E3862" s="150"/>
      <c r="F3862" s="150"/>
      <c r="G3862" s="193">
        <v>10</v>
      </c>
      <c r="H3862" s="193"/>
      <c r="I3862" s="194"/>
      <c r="J3862" s="194"/>
      <c r="K3862" s="19"/>
      <c r="L3862" s="20"/>
      <c r="M3862" s="10"/>
      <c r="N3862" s="10"/>
      <c r="O3862" s="10"/>
      <c r="P3862" s="10"/>
      <c r="Q3862" s="10"/>
      <c r="R3862" s="10"/>
      <c r="S3862" s="10"/>
      <c r="T3862" s="10"/>
      <c r="U3862" s="10"/>
      <c r="V3862" s="10"/>
      <c r="W3862" s="10"/>
      <c r="X3862" s="10"/>
      <c r="Y3862" s="10"/>
      <c r="Z3862" s="10"/>
      <c r="AA3862" s="10"/>
      <c r="AB3862" s="10"/>
      <c r="AC3862" s="10"/>
      <c r="AD3862" s="10"/>
      <c r="AE3862" s="10"/>
      <c r="AF3862" s="10"/>
      <c r="AG3862" s="10"/>
      <c r="AH3862" s="10"/>
    </row>
    <row r="3863" spans="1:34" ht="31.5" outlineLevel="2">
      <c r="A3863" s="129"/>
      <c r="B3863" s="12" t="str">
        <f>IFERROR(VLOOKUP(D3863,'[1]Перечень товаров'!$A$2:$I9525,2,0),"")</f>
        <v>пм190</v>
      </c>
      <c r="C3863" s="12" t="str">
        <f>IFERROR(VLOOKUP(D3863,'[1]Перечень товаров'!$A$2:$I9525,3,0),"")</f>
        <v>прочее муз</v>
      </c>
      <c r="D3863" s="130" t="s">
        <v>1065</v>
      </c>
      <c r="E3863" s="150"/>
      <c r="F3863" s="150"/>
      <c r="G3863" s="193" t="s">
        <v>1066</v>
      </c>
      <c r="H3863" s="193"/>
      <c r="I3863" s="194"/>
      <c r="J3863" s="194"/>
      <c r="K3863" s="19"/>
      <c r="L3863" s="20"/>
      <c r="M3863" s="10"/>
      <c r="N3863" s="10"/>
      <c r="O3863" s="10"/>
      <c r="P3863" s="10"/>
      <c r="Q3863" s="10"/>
      <c r="R3863" s="10"/>
      <c r="S3863" s="10"/>
      <c r="T3863" s="10"/>
      <c r="U3863" s="10"/>
      <c r="V3863" s="10"/>
      <c r="W3863" s="10"/>
      <c r="X3863" s="10"/>
      <c r="Y3863" s="10"/>
      <c r="Z3863" s="10"/>
      <c r="AA3863" s="10"/>
      <c r="AB3863" s="10"/>
      <c r="AC3863" s="10"/>
      <c r="AD3863" s="10"/>
      <c r="AE3863" s="10"/>
      <c r="AF3863" s="10"/>
      <c r="AG3863" s="10"/>
      <c r="AH3863" s="10"/>
    </row>
    <row r="3864" spans="1:34" ht="12.75" outlineLevel="1">
      <c r="A3864" s="97"/>
      <c r="B3864" s="12" t="str">
        <f>IFERROR(VLOOKUP(D3864,'[1]Перечень товаров'!$A$2:$I9525,2,0),"")</f>
        <v/>
      </c>
      <c r="C3864" s="12" t="str">
        <f>IFERROR(VLOOKUP(D3864,'[1]Перечень товаров'!$A$2:$I9525,3,0),"")</f>
        <v/>
      </c>
      <c r="D3864" s="98" t="s">
        <v>1067</v>
      </c>
      <c r="E3864" s="14">
        <v>25.8</v>
      </c>
      <c r="F3864" s="14"/>
      <c r="G3864" s="17"/>
      <c r="H3864" s="17"/>
      <c r="I3864" s="57"/>
      <c r="J3864" s="57"/>
      <c r="K3864" s="19"/>
      <c r="L3864" s="20"/>
      <c r="M3864" s="10"/>
      <c r="N3864" s="10"/>
      <c r="O3864" s="10"/>
      <c r="P3864" s="10"/>
      <c r="Q3864" s="10"/>
      <c r="R3864" s="10"/>
      <c r="S3864" s="10"/>
      <c r="T3864" s="10"/>
      <c r="U3864" s="10"/>
      <c r="V3864" s="10"/>
      <c r="W3864" s="10"/>
      <c r="X3864" s="10"/>
      <c r="Y3864" s="10"/>
      <c r="Z3864" s="10"/>
      <c r="AA3864" s="10"/>
      <c r="AB3864" s="10"/>
      <c r="AC3864" s="10"/>
      <c r="AD3864" s="10"/>
      <c r="AE3864" s="10"/>
      <c r="AF3864" s="10"/>
      <c r="AG3864" s="10"/>
      <c r="AH3864" s="10"/>
    </row>
    <row r="3865" spans="1:34" ht="31.5" outlineLevel="2">
      <c r="A3865" s="129"/>
      <c r="B3865" s="12" t="str">
        <f>IFERROR(VLOOKUP(D3865,'[1]Перечень товаров'!$A$2:$I9525,2,0),"")</f>
        <v>тм201</v>
      </c>
      <c r="C3865" s="12" t="str">
        <f>IFERROR(VLOOKUP(D3865,'[1]Перечень товаров'!$A$2:$I9525,3,0),"")</f>
        <v>Техника муз</v>
      </c>
      <c r="D3865" s="130" t="s">
        <v>1068</v>
      </c>
      <c r="E3865" s="150"/>
      <c r="F3865" s="150"/>
      <c r="G3865" s="193">
        <v>1</v>
      </c>
      <c r="H3865" s="193"/>
      <c r="I3865" s="194"/>
      <c r="J3865" s="194"/>
      <c r="K3865" s="19"/>
      <c r="L3865" s="20"/>
      <c r="M3865" s="10"/>
      <c r="N3865" s="10"/>
      <c r="O3865" s="10"/>
      <c r="P3865" s="10"/>
      <c r="Q3865" s="10"/>
      <c r="R3865" s="10"/>
      <c r="S3865" s="10"/>
      <c r="T3865" s="10"/>
      <c r="U3865" s="10"/>
      <c r="V3865" s="10"/>
      <c r="W3865" s="10"/>
      <c r="X3865" s="10"/>
      <c r="Y3865" s="10"/>
      <c r="Z3865" s="10"/>
      <c r="AA3865" s="10"/>
      <c r="AB3865" s="10"/>
      <c r="AC3865" s="10"/>
      <c r="AD3865" s="10"/>
      <c r="AE3865" s="10"/>
      <c r="AF3865" s="10"/>
      <c r="AG3865" s="10"/>
      <c r="AH3865" s="10"/>
    </row>
    <row r="3866" spans="1:34" ht="31.5" outlineLevel="2">
      <c r="A3866" s="129"/>
      <c r="B3866" s="12" t="str">
        <f>IFERROR(VLOOKUP(D3866,'[1]Перечень товаров'!$A$2:$I9525,2,0),"")</f>
        <v>м34</v>
      </c>
      <c r="C3866" s="12" t="str">
        <f>IFERROR(VLOOKUP(D3866,'[1]Перечень товаров'!$A$2:$I9525,3,0),"")</f>
        <v>Мебель</v>
      </c>
      <c r="D3866" s="130" t="s">
        <v>1069</v>
      </c>
      <c r="E3866" s="150"/>
      <c r="F3866" s="150"/>
      <c r="G3866" s="193">
        <v>2</v>
      </c>
      <c r="H3866" s="193"/>
      <c r="I3866" s="194"/>
      <c r="J3866" s="194"/>
      <c r="K3866" s="19"/>
      <c r="L3866" s="20"/>
      <c r="M3866" s="10"/>
      <c r="N3866" s="10"/>
      <c r="O3866" s="10"/>
      <c r="P3866" s="10"/>
      <c r="Q3866" s="10"/>
      <c r="R3866" s="10"/>
      <c r="S3866" s="10"/>
      <c r="T3866" s="10"/>
      <c r="U3866" s="10"/>
      <c r="V3866" s="10"/>
      <c r="W3866" s="10"/>
      <c r="X3866" s="10"/>
      <c r="Y3866" s="10"/>
      <c r="Z3866" s="10"/>
      <c r="AA3866" s="10"/>
      <c r="AB3866" s="10"/>
      <c r="AC3866" s="10"/>
      <c r="AD3866" s="10"/>
      <c r="AE3866" s="10"/>
      <c r="AF3866" s="10"/>
      <c r="AG3866" s="10"/>
      <c r="AH3866" s="10"/>
    </row>
    <row r="3867" spans="1:34" ht="31.5" outlineLevel="2">
      <c r="A3867" s="129"/>
      <c r="B3867" s="12" t="str">
        <f>IFERROR(VLOOKUP(D3867,'[1]Перечень товаров'!$A$2:$I9525,2,0),"")</f>
        <v>пм189</v>
      </c>
      <c r="C3867" s="12" t="str">
        <f>IFERROR(VLOOKUP(D3867,'[1]Перечень товаров'!$A$2:$I9525,3,0),"")</f>
        <v>прочее муз</v>
      </c>
      <c r="D3867" s="130" t="s">
        <v>1070</v>
      </c>
      <c r="E3867" s="150"/>
      <c r="F3867" s="150"/>
      <c r="G3867" s="193">
        <v>8</v>
      </c>
      <c r="H3867" s="193"/>
      <c r="I3867" s="194"/>
      <c r="J3867" s="194"/>
      <c r="K3867" s="19"/>
      <c r="L3867" s="20"/>
      <c r="M3867" s="10"/>
      <c r="N3867" s="10"/>
      <c r="O3867" s="10"/>
      <c r="P3867" s="10"/>
      <c r="Q3867" s="10"/>
      <c r="R3867" s="10"/>
      <c r="S3867" s="10"/>
      <c r="T3867" s="10"/>
      <c r="U3867" s="10"/>
      <c r="V3867" s="10"/>
      <c r="W3867" s="10"/>
      <c r="X3867" s="10"/>
      <c r="Y3867" s="10"/>
      <c r="Z3867" s="10"/>
      <c r="AA3867" s="10"/>
      <c r="AB3867" s="10"/>
      <c r="AC3867" s="10"/>
      <c r="AD3867" s="10"/>
      <c r="AE3867" s="10"/>
      <c r="AF3867" s="10"/>
      <c r="AG3867" s="10"/>
      <c r="AH3867" s="10"/>
    </row>
    <row r="3868" spans="1:34" ht="31.5" outlineLevel="2">
      <c r="A3868" s="129"/>
      <c r="B3868" s="12" t="str">
        <f>IFERROR(VLOOKUP(D3868,'[1]Перечень товаров'!$A$2:$I9525,2,0),"")</f>
        <v>пм188</v>
      </c>
      <c r="C3868" s="12" t="str">
        <f>IFERROR(VLOOKUP(D3868,'[1]Перечень товаров'!$A$2:$I9525,3,0),"")</f>
        <v>прочее муз</v>
      </c>
      <c r="D3868" s="130" t="s">
        <v>1071</v>
      </c>
      <c r="E3868" s="150"/>
      <c r="F3868" s="150"/>
      <c r="G3868" s="193">
        <v>2</v>
      </c>
      <c r="H3868" s="193"/>
      <c r="I3868" s="194"/>
      <c r="J3868" s="194"/>
      <c r="K3868" s="19"/>
      <c r="L3868" s="20"/>
      <c r="M3868" s="10"/>
      <c r="N3868" s="10"/>
      <c r="O3868" s="10"/>
      <c r="P3868" s="10"/>
      <c r="Q3868" s="10"/>
      <c r="R3868" s="10"/>
      <c r="S3868" s="10"/>
      <c r="T3868" s="10"/>
      <c r="U3868" s="10"/>
      <c r="V3868" s="10"/>
      <c r="W3868" s="10"/>
      <c r="X3868" s="10"/>
      <c r="Y3868" s="10"/>
      <c r="Z3868" s="10"/>
      <c r="AA3868" s="10"/>
      <c r="AB3868" s="10"/>
      <c r="AC3868" s="10"/>
      <c r="AD3868" s="10"/>
      <c r="AE3868" s="10"/>
      <c r="AF3868" s="10"/>
      <c r="AG3868" s="10"/>
      <c r="AH3868" s="10"/>
    </row>
    <row r="3869" spans="1:34" outlineLevel="2">
      <c r="A3869" s="129"/>
      <c r="B3869" s="12" t="str">
        <f>IFERROR(VLOOKUP(D3869,'[1]Перечень товаров'!$A$2:$I9525,2,0),"")</f>
        <v>пм187</v>
      </c>
      <c r="C3869" s="12" t="str">
        <f>IFERROR(VLOOKUP(D3869,'[1]Перечень товаров'!$A$2:$I9525,3,0),"")</f>
        <v>прочее муз</v>
      </c>
      <c r="D3869" s="130" t="s">
        <v>1072</v>
      </c>
      <c r="E3869" s="150"/>
      <c r="F3869" s="150"/>
      <c r="G3869" s="193">
        <v>1</v>
      </c>
      <c r="H3869" s="193"/>
      <c r="I3869" s="194"/>
      <c r="J3869" s="194"/>
      <c r="K3869" s="19"/>
      <c r="L3869" s="20"/>
      <c r="M3869" s="10"/>
      <c r="N3869" s="10"/>
      <c r="O3869" s="10"/>
      <c r="P3869" s="10"/>
      <c r="Q3869" s="10"/>
      <c r="R3869" s="10"/>
      <c r="S3869" s="10"/>
      <c r="T3869" s="10"/>
      <c r="U3869" s="10"/>
      <c r="V3869" s="10"/>
      <c r="W3869" s="10"/>
      <c r="X3869" s="10"/>
      <c r="Y3869" s="10"/>
      <c r="Z3869" s="10"/>
      <c r="AA3869" s="10"/>
      <c r="AB3869" s="10"/>
      <c r="AC3869" s="10"/>
      <c r="AD3869" s="10"/>
      <c r="AE3869" s="10"/>
      <c r="AF3869" s="10"/>
      <c r="AG3869" s="10"/>
      <c r="AH3869" s="10"/>
    </row>
    <row r="3870" spans="1:34" ht="31.5" outlineLevel="2">
      <c r="A3870" s="129"/>
      <c r="B3870" s="12" t="str">
        <f>IFERROR(VLOOKUP(D3870,'[1]Перечень товаров'!$A$2:$I9525,2,0),"")</f>
        <v>тм258</v>
      </c>
      <c r="C3870" s="12" t="str">
        <f>IFERROR(VLOOKUP(D3870,'[1]Перечень товаров'!$A$2:$I9525,3,0),"")</f>
        <v>Техника муз</v>
      </c>
      <c r="D3870" s="130" t="s">
        <v>582</v>
      </c>
      <c r="E3870" s="150"/>
      <c r="F3870" s="150"/>
      <c r="G3870" s="193">
        <v>1</v>
      </c>
      <c r="H3870" s="193"/>
      <c r="I3870" s="194"/>
      <c r="J3870" s="194"/>
      <c r="K3870" s="19"/>
      <c r="L3870" s="20"/>
      <c r="M3870" s="10"/>
      <c r="N3870" s="10"/>
      <c r="O3870" s="10"/>
      <c r="P3870" s="10"/>
      <c r="Q3870" s="10"/>
      <c r="R3870" s="10"/>
      <c r="S3870" s="10"/>
      <c r="T3870" s="10"/>
      <c r="U3870" s="10"/>
      <c r="V3870" s="10"/>
      <c r="W3870" s="10"/>
      <c r="X3870" s="10"/>
      <c r="Y3870" s="10"/>
      <c r="Z3870" s="10"/>
      <c r="AA3870" s="10"/>
      <c r="AB3870" s="10"/>
      <c r="AC3870" s="10"/>
      <c r="AD3870" s="10"/>
      <c r="AE3870" s="10"/>
      <c r="AF3870" s="10"/>
      <c r="AG3870" s="10"/>
      <c r="AH3870" s="10"/>
    </row>
    <row r="3871" spans="1:34" ht="31.5" outlineLevel="2">
      <c r="A3871" s="129"/>
      <c r="B3871" s="12" t="str">
        <f>IFERROR(VLOOKUP(D3871,'[1]Перечень товаров'!$A$2:$I9525,2,0),"")</f>
        <v>пм186</v>
      </c>
      <c r="C3871" s="12" t="str">
        <f>IFERROR(VLOOKUP(D3871,'[1]Перечень товаров'!$A$2:$I9525,3,0),"")</f>
        <v>прочее муз</v>
      </c>
      <c r="D3871" s="130" t="s">
        <v>1073</v>
      </c>
      <c r="E3871" s="150"/>
      <c r="F3871" s="150"/>
      <c r="G3871" s="193">
        <v>1</v>
      </c>
      <c r="H3871" s="193"/>
      <c r="I3871" s="194"/>
      <c r="J3871" s="194"/>
      <c r="K3871" s="19"/>
      <c r="L3871" s="20"/>
      <c r="M3871" s="10"/>
      <c r="N3871" s="10"/>
      <c r="O3871" s="10"/>
      <c r="P3871" s="10"/>
      <c r="Q3871" s="10"/>
      <c r="R3871" s="10"/>
      <c r="S3871" s="10"/>
      <c r="T3871" s="10"/>
      <c r="U3871" s="10"/>
      <c r="V3871" s="10"/>
      <c r="W3871" s="10"/>
      <c r="X3871" s="10"/>
      <c r="Y3871" s="10"/>
      <c r="Z3871" s="10"/>
      <c r="AA3871" s="10"/>
      <c r="AB3871" s="10"/>
      <c r="AC3871" s="10"/>
      <c r="AD3871" s="10"/>
      <c r="AE3871" s="10"/>
      <c r="AF3871" s="10"/>
      <c r="AG3871" s="10"/>
      <c r="AH3871" s="10"/>
    </row>
    <row r="3872" spans="1:34" ht="15" outlineLevel="2">
      <c r="A3872" s="116"/>
      <c r="B3872" s="12" t="str">
        <f>IFERROR(VLOOKUP(D3872,'[1]Перечень товаров'!$A$2:$I9525,2,0),"")</f>
        <v/>
      </c>
      <c r="C3872" s="12" t="str">
        <f>IFERROR(VLOOKUP(D3872,'[1]Перечень товаров'!$A$2:$I9525,3,0),"")</f>
        <v/>
      </c>
      <c r="D3872" s="117" t="s">
        <v>542</v>
      </c>
      <c r="E3872" s="146"/>
      <c r="F3872" s="146"/>
      <c r="G3872" s="221" t="s">
        <v>543</v>
      </c>
      <c r="H3872" s="221"/>
      <c r="I3872" s="222"/>
      <c r="J3872" s="222"/>
      <c r="K3872" s="19"/>
      <c r="L3872" s="20"/>
      <c r="M3872" s="10"/>
      <c r="N3872" s="10"/>
      <c r="O3872" s="10"/>
      <c r="P3872" s="10"/>
      <c r="Q3872" s="10"/>
      <c r="R3872" s="10"/>
      <c r="S3872" s="10"/>
      <c r="T3872" s="10"/>
      <c r="U3872" s="10"/>
      <c r="V3872" s="10"/>
      <c r="W3872" s="10"/>
      <c r="X3872" s="10"/>
      <c r="Y3872" s="10"/>
      <c r="Z3872" s="10"/>
      <c r="AA3872" s="10"/>
      <c r="AB3872" s="10"/>
      <c r="AC3872" s="10"/>
      <c r="AD3872" s="10"/>
      <c r="AE3872" s="10"/>
      <c r="AF3872" s="10"/>
      <c r="AG3872" s="10"/>
      <c r="AH3872" s="10"/>
    </row>
    <row r="3873" spans="1:34" ht="31.5" outlineLevel="2">
      <c r="A3873" s="129"/>
      <c r="B3873" s="12" t="str">
        <f>IFERROR(VLOOKUP(D3873,'[1]Перечень товаров'!$A$2:$I9525,2,0),"")</f>
        <v>м170</v>
      </c>
      <c r="C3873" s="12" t="str">
        <f>IFERROR(VLOOKUP(D3873,'[1]Перечень товаров'!$A$2:$I9525,3,0),"")</f>
        <v>мебель</v>
      </c>
      <c r="D3873" s="130" t="s">
        <v>1074</v>
      </c>
      <c r="E3873" s="150"/>
      <c r="F3873" s="150"/>
      <c r="G3873" s="193">
        <v>8</v>
      </c>
      <c r="H3873" s="193"/>
      <c r="I3873" s="194"/>
      <c r="J3873" s="194"/>
      <c r="K3873" s="19"/>
      <c r="L3873" s="20"/>
      <c r="M3873" s="10"/>
      <c r="N3873" s="10"/>
      <c r="O3873" s="10"/>
      <c r="P3873" s="10"/>
      <c r="Q3873" s="10"/>
      <c r="R3873" s="10"/>
      <c r="S3873" s="10"/>
      <c r="T3873" s="10"/>
      <c r="U3873" s="10"/>
      <c r="V3873" s="10"/>
      <c r="W3873" s="10"/>
      <c r="X3873" s="10"/>
      <c r="Y3873" s="10"/>
      <c r="Z3873" s="10"/>
      <c r="AA3873" s="10"/>
      <c r="AB3873" s="10"/>
      <c r="AC3873" s="10"/>
      <c r="AD3873" s="10"/>
      <c r="AE3873" s="10"/>
      <c r="AF3873" s="10"/>
      <c r="AG3873" s="10"/>
      <c r="AH3873" s="10"/>
    </row>
    <row r="3874" spans="1:34" ht="31.5" outlineLevel="2">
      <c r="A3874" s="129"/>
      <c r="B3874" s="12" t="str">
        <f>IFERROR(VLOOKUP(D3874,'[1]Перечень товаров'!$A$2:$I9525,2,0),"")</f>
        <v>м169</v>
      </c>
      <c r="C3874" s="12" t="str">
        <f>IFERROR(VLOOKUP(D3874,'[1]Перечень товаров'!$A$2:$I9525,3,0),"")</f>
        <v>мебель</v>
      </c>
      <c r="D3874" s="130" t="s">
        <v>1075</v>
      </c>
      <c r="E3874" s="150"/>
      <c r="F3874" s="150"/>
      <c r="G3874" s="193">
        <v>2</v>
      </c>
      <c r="H3874" s="193"/>
      <c r="I3874" s="194"/>
      <c r="J3874" s="194"/>
      <c r="K3874" s="19"/>
      <c r="L3874" s="20"/>
      <c r="M3874" s="10"/>
      <c r="N3874" s="10"/>
      <c r="O3874" s="10"/>
      <c r="P3874" s="10"/>
      <c r="Q3874" s="10"/>
      <c r="R3874" s="10"/>
      <c r="S3874" s="10"/>
      <c r="T3874" s="10"/>
      <c r="U3874" s="10"/>
      <c r="V3874" s="10"/>
      <c r="W3874" s="10"/>
      <c r="X3874" s="10"/>
      <c r="Y3874" s="10"/>
      <c r="Z3874" s="10"/>
      <c r="AA3874" s="10"/>
      <c r="AB3874" s="10"/>
      <c r="AC3874" s="10"/>
      <c r="AD3874" s="10"/>
      <c r="AE3874" s="10"/>
      <c r="AF3874" s="10"/>
      <c r="AG3874" s="10"/>
      <c r="AH3874" s="10"/>
    </row>
    <row r="3875" spans="1:34" outlineLevel="2">
      <c r="A3875" s="129"/>
      <c r="B3875" s="12" t="str">
        <f>IFERROR(VLOOKUP(D3875,'[1]Перечень товаров'!$A$2:$I9525,2,0),"")</f>
        <v>мм11</v>
      </c>
      <c r="C3875" s="12" t="str">
        <f>IFERROR(VLOOKUP(D3875,'[1]Перечень товаров'!$A$2:$I9525,3,0),"")</f>
        <v>Мебель муз</v>
      </c>
      <c r="D3875" s="130" t="s">
        <v>231</v>
      </c>
      <c r="E3875" s="150"/>
      <c r="F3875" s="150"/>
      <c r="G3875" s="193">
        <v>2</v>
      </c>
      <c r="H3875" s="193"/>
      <c r="I3875" s="194"/>
      <c r="J3875" s="194"/>
      <c r="K3875" s="19"/>
      <c r="L3875" s="20"/>
      <c r="M3875" s="10"/>
      <c r="N3875" s="10"/>
      <c r="O3875" s="10"/>
      <c r="P3875" s="10"/>
      <c r="Q3875" s="10"/>
      <c r="R3875" s="10"/>
      <c r="S3875" s="10"/>
      <c r="T3875" s="10"/>
      <c r="U3875" s="10"/>
      <c r="V3875" s="10"/>
      <c r="W3875" s="10"/>
      <c r="X3875" s="10"/>
      <c r="Y3875" s="10"/>
      <c r="Z3875" s="10"/>
      <c r="AA3875" s="10"/>
      <c r="AB3875" s="10"/>
      <c r="AC3875" s="10"/>
      <c r="AD3875" s="10"/>
      <c r="AE3875" s="10"/>
      <c r="AF3875" s="10"/>
      <c r="AG3875" s="10"/>
      <c r="AH3875" s="10"/>
    </row>
    <row r="3876" spans="1:34" ht="31.5" outlineLevel="2">
      <c r="A3876" s="129"/>
      <c r="B3876" s="12" t="str">
        <f>IFERROR(VLOOKUP(D3876,'[1]Перечень товаров'!$A$2:$I9525,2,0),"")</f>
        <v>м168</v>
      </c>
      <c r="C3876" s="12" t="str">
        <f>IFERROR(VLOOKUP(D3876,'[1]Перечень товаров'!$A$2:$I9525,3,0),"")</f>
        <v>мебель</v>
      </c>
      <c r="D3876" s="130" t="s">
        <v>1076</v>
      </c>
      <c r="E3876" s="150"/>
      <c r="F3876" s="150"/>
      <c r="G3876" s="193">
        <v>1</v>
      </c>
      <c r="H3876" s="193"/>
      <c r="I3876" s="194"/>
      <c r="J3876" s="194"/>
      <c r="K3876" s="19"/>
      <c r="L3876" s="20"/>
      <c r="M3876" s="10"/>
      <c r="N3876" s="10"/>
      <c r="O3876" s="10"/>
      <c r="P3876" s="10"/>
      <c r="Q3876" s="10"/>
      <c r="R3876" s="10"/>
      <c r="S3876" s="10"/>
      <c r="T3876" s="10"/>
      <c r="U3876" s="10"/>
      <c r="V3876" s="10"/>
      <c r="W3876" s="10"/>
      <c r="X3876" s="10"/>
      <c r="Y3876" s="10"/>
      <c r="Z3876" s="10"/>
      <c r="AA3876" s="10"/>
      <c r="AB3876" s="10"/>
      <c r="AC3876" s="10"/>
      <c r="AD3876" s="10"/>
      <c r="AE3876" s="10"/>
      <c r="AF3876" s="10"/>
      <c r="AG3876" s="10"/>
      <c r="AH3876" s="10"/>
    </row>
    <row r="3877" spans="1:34" ht="31.5" outlineLevel="2">
      <c r="A3877" s="129"/>
      <c r="B3877" s="12" t="str">
        <f>IFERROR(VLOOKUP(D3877,'[1]Перечень товаров'!$A$2:$I9525,2,0),"")</f>
        <v>д551</v>
      </c>
      <c r="C3877" s="12" t="str">
        <f>IFERROR(VLOOKUP(D3877,'[1]Перечень товаров'!$A$2:$I9525,3,0),"")</f>
        <v>дидактика</v>
      </c>
      <c r="D3877" s="130" t="s">
        <v>1077</v>
      </c>
      <c r="E3877" s="150"/>
      <c r="F3877" s="150"/>
      <c r="G3877" s="193">
        <v>1</v>
      </c>
      <c r="H3877" s="193"/>
      <c r="I3877" s="194"/>
      <c r="J3877" s="194"/>
      <c r="K3877" s="19"/>
      <c r="L3877" s="20"/>
      <c r="M3877" s="10"/>
      <c r="N3877" s="10"/>
      <c r="O3877" s="10"/>
      <c r="P3877" s="10"/>
      <c r="Q3877" s="10"/>
      <c r="R3877" s="10"/>
      <c r="S3877" s="10"/>
      <c r="T3877" s="10"/>
      <c r="U3877" s="10"/>
      <c r="V3877" s="10"/>
      <c r="W3877" s="10"/>
      <c r="X3877" s="10"/>
      <c r="Y3877" s="10"/>
      <c r="Z3877" s="10"/>
      <c r="AA3877" s="10"/>
      <c r="AB3877" s="10"/>
      <c r="AC3877" s="10"/>
      <c r="AD3877" s="10"/>
      <c r="AE3877" s="10"/>
      <c r="AF3877" s="10"/>
      <c r="AG3877" s="10"/>
      <c r="AH3877" s="10"/>
    </row>
    <row r="3878" spans="1:34" ht="15" outlineLevel="2">
      <c r="A3878" s="116"/>
      <c r="B3878" s="12" t="str">
        <f>IFERROR(VLOOKUP(D3878,'[1]Перечень товаров'!$A$2:$I9525,2,0),"")</f>
        <v/>
      </c>
      <c r="C3878" s="12" t="str">
        <f>IFERROR(VLOOKUP(D3878,'[1]Перечень товаров'!$A$2:$I9525,3,0),"")</f>
        <v/>
      </c>
      <c r="D3878" s="117" t="s">
        <v>542</v>
      </c>
      <c r="E3878" s="146"/>
      <c r="F3878" s="146"/>
      <c r="G3878" s="221" t="s">
        <v>543</v>
      </c>
      <c r="H3878" s="221"/>
      <c r="I3878" s="222"/>
      <c r="J3878" s="222"/>
      <c r="K3878" s="19"/>
      <c r="L3878" s="20"/>
      <c r="M3878" s="10"/>
      <c r="N3878" s="10"/>
      <c r="O3878" s="10"/>
      <c r="P3878" s="10"/>
      <c r="Q3878" s="10"/>
      <c r="R3878" s="10"/>
      <c r="S3878" s="10"/>
      <c r="T3878" s="10"/>
      <c r="U3878" s="10"/>
      <c r="V3878" s="10"/>
      <c r="W3878" s="10"/>
      <c r="X3878" s="10"/>
      <c r="Y3878" s="10"/>
      <c r="Z3878" s="10"/>
      <c r="AA3878" s="10"/>
      <c r="AB3878" s="10"/>
      <c r="AC3878" s="10"/>
      <c r="AD3878" s="10"/>
      <c r="AE3878" s="10"/>
      <c r="AF3878" s="10"/>
      <c r="AG3878" s="10"/>
      <c r="AH3878" s="10"/>
    </row>
    <row r="3879" spans="1:34" ht="31.5" outlineLevel="2">
      <c r="A3879" s="129"/>
      <c r="B3879" s="12" t="str">
        <f>IFERROR(VLOOKUP(D3879,'[1]Перечень товаров'!$A$2:$I9525,2,0),"")</f>
        <v>м166</v>
      </c>
      <c r="C3879" s="12" t="str">
        <f>IFERROR(VLOOKUP(D3879,'[1]Перечень товаров'!$A$2:$I9525,3,0),"")</f>
        <v>мебель</v>
      </c>
      <c r="D3879" s="130" t="s">
        <v>1078</v>
      </c>
      <c r="E3879" s="150"/>
      <c r="F3879" s="150"/>
      <c r="G3879" s="193">
        <v>2</v>
      </c>
      <c r="H3879" s="193"/>
      <c r="I3879" s="194"/>
      <c r="J3879" s="194"/>
      <c r="K3879" s="19"/>
      <c r="L3879" s="20"/>
      <c r="M3879" s="10"/>
      <c r="N3879" s="10"/>
      <c r="O3879" s="10"/>
      <c r="P3879" s="10"/>
      <c r="Q3879" s="10"/>
      <c r="R3879" s="10"/>
      <c r="S3879" s="10"/>
      <c r="T3879" s="10"/>
      <c r="U3879" s="10"/>
      <c r="V3879" s="10"/>
      <c r="W3879" s="10"/>
      <c r="X3879" s="10"/>
      <c r="Y3879" s="10"/>
      <c r="Z3879" s="10"/>
      <c r="AA3879" s="10"/>
      <c r="AB3879" s="10"/>
      <c r="AC3879" s="10"/>
      <c r="AD3879" s="10"/>
      <c r="AE3879" s="10"/>
      <c r="AF3879" s="10"/>
      <c r="AG3879" s="10"/>
      <c r="AH3879" s="10"/>
    </row>
    <row r="3880" spans="1:34" ht="31.5" outlineLevel="2">
      <c r="A3880" s="129"/>
      <c r="B3880" s="12" t="str">
        <f>IFERROR(VLOOKUP(D3880,'[1]Перечень товаров'!$A$2:$I9525,2,0),"")</f>
        <v>м165</v>
      </c>
      <c r="C3880" s="12" t="str">
        <f>IFERROR(VLOOKUP(D3880,'[1]Перечень товаров'!$A$2:$I9525,3,0),"")</f>
        <v>мебель</v>
      </c>
      <c r="D3880" s="130" t="s">
        <v>1079</v>
      </c>
      <c r="E3880" s="150"/>
      <c r="F3880" s="150"/>
      <c r="G3880" s="193">
        <v>1</v>
      </c>
      <c r="H3880" s="193"/>
      <c r="I3880" s="194"/>
      <c r="J3880" s="194"/>
      <c r="K3880" s="19"/>
      <c r="L3880" s="20"/>
      <c r="M3880" s="10"/>
      <c r="N3880" s="10"/>
      <c r="O3880" s="10"/>
      <c r="P3880" s="10"/>
      <c r="Q3880" s="10"/>
      <c r="R3880" s="10"/>
      <c r="S3880" s="10"/>
      <c r="T3880" s="10"/>
      <c r="U3880" s="10"/>
      <c r="V3880" s="10"/>
      <c r="W3880" s="10"/>
      <c r="X3880" s="10"/>
      <c r="Y3880" s="10"/>
      <c r="Z3880" s="10"/>
      <c r="AA3880" s="10"/>
      <c r="AB3880" s="10"/>
      <c r="AC3880" s="10"/>
      <c r="AD3880" s="10"/>
      <c r="AE3880" s="10"/>
      <c r="AF3880" s="10"/>
      <c r="AG3880" s="10"/>
      <c r="AH3880" s="10"/>
    </row>
    <row r="3881" spans="1:34" ht="31.5" outlineLevel="2">
      <c r="A3881" s="129"/>
      <c r="B3881" s="12" t="str">
        <f>IFERROR(VLOOKUP(D3881,'[1]Перечень товаров'!$A$2:$I9525,2,0),"")</f>
        <v>пм185</v>
      </c>
      <c r="C3881" s="12" t="str">
        <f>IFERROR(VLOOKUP(D3881,'[1]Перечень товаров'!$A$2:$I9525,3,0),"")</f>
        <v>прочее муз</v>
      </c>
      <c r="D3881" s="130" t="s">
        <v>1080</v>
      </c>
      <c r="E3881" s="150"/>
      <c r="F3881" s="150"/>
      <c r="G3881" s="193">
        <v>1</v>
      </c>
      <c r="H3881" s="193"/>
      <c r="I3881" s="194"/>
      <c r="J3881" s="194"/>
      <c r="K3881" s="19"/>
      <c r="L3881" s="20"/>
      <c r="M3881" s="10"/>
      <c r="N3881" s="10"/>
      <c r="O3881" s="10"/>
      <c r="P3881" s="10"/>
      <c r="Q3881" s="10"/>
      <c r="R3881" s="10"/>
      <c r="S3881" s="10"/>
      <c r="T3881" s="10"/>
      <c r="U3881" s="10"/>
      <c r="V3881" s="10"/>
      <c r="W3881" s="10"/>
      <c r="X3881" s="10"/>
      <c r="Y3881" s="10"/>
      <c r="Z3881" s="10"/>
      <c r="AA3881" s="10"/>
      <c r="AB3881" s="10"/>
      <c r="AC3881" s="10"/>
      <c r="AD3881" s="10"/>
      <c r="AE3881" s="10"/>
      <c r="AF3881" s="10"/>
      <c r="AG3881" s="10"/>
      <c r="AH3881" s="10"/>
    </row>
    <row r="3882" spans="1:34" outlineLevel="2">
      <c r="A3882" s="129"/>
      <c r="B3882" s="12" t="str">
        <f>IFERROR(VLOOKUP(D3882,'[1]Перечень товаров'!$A$2:$I9525,2,0),"")</f>
        <v>м164</v>
      </c>
      <c r="C3882" s="12" t="str">
        <f>IFERROR(VLOOKUP(D3882,'[1]Перечень товаров'!$A$2:$I9525,3,0),"")</f>
        <v>мебель</v>
      </c>
      <c r="D3882" s="130" t="s">
        <v>1081</v>
      </c>
      <c r="E3882" s="150"/>
      <c r="F3882" s="150"/>
      <c r="G3882" s="193">
        <v>1</v>
      </c>
      <c r="H3882" s="193"/>
      <c r="I3882" s="194"/>
      <c r="J3882" s="194"/>
      <c r="K3882" s="19"/>
      <c r="L3882" s="20"/>
      <c r="M3882" s="10"/>
      <c r="N3882" s="10"/>
      <c r="O3882" s="10"/>
      <c r="P3882" s="10"/>
      <c r="Q3882" s="10"/>
      <c r="R3882" s="10"/>
      <c r="S3882" s="10"/>
      <c r="T3882" s="10"/>
      <c r="U3882" s="10"/>
      <c r="V3882" s="10"/>
      <c r="W3882" s="10"/>
      <c r="X3882" s="10"/>
      <c r="Y3882" s="10"/>
      <c r="Z3882" s="10"/>
      <c r="AA3882" s="10"/>
      <c r="AB3882" s="10"/>
      <c r="AC3882" s="10"/>
      <c r="AD3882" s="10"/>
      <c r="AE3882" s="10"/>
      <c r="AF3882" s="10"/>
      <c r="AG3882" s="10"/>
      <c r="AH3882" s="10"/>
    </row>
    <row r="3883" spans="1:34" ht="31.5" outlineLevel="2">
      <c r="A3883" s="129"/>
      <c r="B3883" s="12" t="str">
        <f>IFERROR(VLOOKUP(D3883,'[1]Перечень товаров'!$A$2:$I9525,2,0),"")</f>
        <v>м163</v>
      </c>
      <c r="C3883" s="12" t="str">
        <f>IFERROR(VLOOKUP(D3883,'[1]Перечень товаров'!$A$2:$I9525,3,0),"")</f>
        <v>мебель</v>
      </c>
      <c r="D3883" s="130" t="s">
        <v>1082</v>
      </c>
      <c r="E3883" s="150"/>
      <c r="F3883" s="150"/>
      <c r="G3883" s="193">
        <v>1</v>
      </c>
      <c r="H3883" s="193"/>
      <c r="I3883" s="194"/>
      <c r="J3883" s="194"/>
      <c r="K3883" s="19"/>
      <c r="L3883" s="20"/>
      <c r="M3883" s="10"/>
      <c r="N3883" s="10"/>
      <c r="O3883" s="10"/>
      <c r="P3883" s="10"/>
      <c r="Q3883" s="10"/>
      <c r="R3883" s="10"/>
      <c r="S3883" s="10"/>
      <c r="T3883" s="10"/>
      <c r="U3883" s="10"/>
      <c r="V3883" s="10"/>
      <c r="W3883" s="10"/>
      <c r="X3883" s="10"/>
      <c r="Y3883" s="10"/>
      <c r="Z3883" s="10"/>
      <c r="AA3883" s="10"/>
      <c r="AB3883" s="10"/>
      <c r="AC3883" s="10"/>
      <c r="AD3883" s="10"/>
      <c r="AE3883" s="10"/>
      <c r="AF3883" s="10"/>
      <c r="AG3883" s="10"/>
      <c r="AH3883" s="10"/>
    </row>
    <row r="3884" spans="1:34" ht="15" outlineLevel="2">
      <c r="A3884" s="116"/>
      <c r="B3884" s="12" t="str">
        <f>IFERROR(VLOOKUP(D3884,'[1]Перечень товаров'!$A$2:$I9525,2,0),"")</f>
        <v/>
      </c>
      <c r="C3884" s="12" t="str">
        <f>IFERROR(VLOOKUP(D3884,'[1]Перечень товаров'!$A$2:$I9525,3,0),"")</f>
        <v/>
      </c>
      <c r="D3884" s="117" t="s">
        <v>542</v>
      </c>
      <c r="E3884" s="146"/>
      <c r="F3884" s="146"/>
      <c r="G3884" s="221" t="s">
        <v>543</v>
      </c>
      <c r="H3884" s="221"/>
      <c r="I3884" s="222"/>
      <c r="J3884" s="222"/>
      <c r="K3884" s="19"/>
      <c r="L3884" s="20"/>
      <c r="M3884" s="10"/>
      <c r="N3884" s="10"/>
      <c r="O3884" s="10"/>
      <c r="P3884" s="10"/>
      <c r="Q3884" s="10"/>
      <c r="R3884" s="10"/>
      <c r="S3884" s="10"/>
      <c r="T3884" s="10"/>
      <c r="U3884" s="10"/>
      <c r="V3884" s="10"/>
      <c r="W3884" s="10"/>
      <c r="X3884" s="10"/>
      <c r="Y3884" s="10"/>
      <c r="Z3884" s="10"/>
      <c r="AA3884" s="10"/>
      <c r="AB3884" s="10"/>
      <c r="AC3884" s="10"/>
      <c r="AD3884" s="10"/>
      <c r="AE3884" s="10"/>
      <c r="AF3884" s="10"/>
      <c r="AG3884" s="10"/>
      <c r="AH3884" s="10"/>
    </row>
    <row r="3885" spans="1:34" ht="31.5" outlineLevel="2">
      <c r="A3885" s="129"/>
      <c r="B3885" s="12" t="str">
        <f>IFERROR(VLOOKUP(D3885,'[1]Перечень товаров'!$A$2:$I9525,2,0),"")</f>
        <v>пм184</v>
      </c>
      <c r="C3885" s="12" t="str">
        <f>IFERROR(VLOOKUP(D3885,'[1]Перечень товаров'!$A$2:$I9525,3,0),"")</f>
        <v>прочее муз</v>
      </c>
      <c r="D3885" s="130" t="s">
        <v>1083</v>
      </c>
      <c r="E3885" s="150"/>
      <c r="F3885" s="150"/>
      <c r="G3885" s="193">
        <v>6</v>
      </c>
      <c r="H3885" s="193"/>
      <c r="I3885" s="194"/>
      <c r="J3885" s="194"/>
      <c r="K3885" s="19"/>
      <c r="L3885" s="20"/>
      <c r="M3885" s="10"/>
      <c r="N3885" s="10"/>
      <c r="O3885" s="10"/>
      <c r="P3885" s="10"/>
      <c r="Q3885" s="10"/>
      <c r="R3885" s="10"/>
      <c r="S3885" s="10"/>
      <c r="T3885" s="10"/>
      <c r="U3885" s="10"/>
      <c r="V3885" s="10"/>
      <c r="W3885" s="10"/>
      <c r="X3885" s="10"/>
      <c r="Y3885" s="10"/>
      <c r="Z3885" s="10"/>
      <c r="AA3885" s="10"/>
      <c r="AB3885" s="10"/>
      <c r="AC3885" s="10"/>
      <c r="AD3885" s="10"/>
      <c r="AE3885" s="10"/>
      <c r="AF3885" s="10"/>
      <c r="AG3885" s="10"/>
      <c r="AH3885" s="10"/>
    </row>
    <row r="3886" spans="1:34" ht="31.5" outlineLevel="2">
      <c r="A3886" s="129"/>
      <c r="B3886" s="12" t="str">
        <f>IFERROR(VLOOKUP(D3886,'[1]Перечень товаров'!$A$2:$I9525,2,0),"")</f>
        <v>пм183</v>
      </c>
      <c r="C3886" s="12" t="str">
        <f>IFERROR(VLOOKUP(D3886,'[1]Перечень товаров'!$A$2:$I9525,3,0),"")</f>
        <v>прочее муз</v>
      </c>
      <c r="D3886" s="130" t="s">
        <v>1084</v>
      </c>
      <c r="E3886" s="150"/>
      <c r="F3886" s="150"/>
      <c r="G3886" s="193">
        <v>4</v>
      </c>
      <c r="H3886" s="193"/>
      <c r="I3886" s="194"/>
      <c r="J3886" s="194"/>
      <c r="K3886" s="19"/>
      <c r="L3886" s="20"/>
      <c r="M3886" s="10"/>
      <c r="N3886" s="10"/>
      <c r="O3886" s="10"/>
      <c r="P3886" s="10"/>
      <c r="Q3886" s="10"/>
      <c r="R3886" s="10"/>
      <c r="S3886" s="10"/>
      <c r="T3886" s="10"/>
      <c r="U3886" s="10"/>
      <c r="V3886" s="10"/>
      <c r="W3886" s="10"/>
      <c r="X3886" s="10"/>
      <c r="Y3886" s="10"/>
      <c r="Z3886" s="10"/>
      <c r="AA3886" s="10"/>
      <c r="AB3886" s="10"/>
      <c r="AC3886" s="10"/>
      <c r="AD3886" s="10"/>
      <c r="AE3886" s="10"/>
      <c r="AF3886" s="10"/>
      <c r="AG3886" s="10"/>
      <c r="AH3886" s="10"/>
    </row>
    <row r="3887" spans="1:34" ht="47.25" outlineLevel="2">
      <c r="A3887" s="129"/>
      <c r="B3887" s="12" t="str">
        <f>IFERROR(VLOOKUP(D3887,'[1]Перечень товаров'!$A$2:$I9525,2,0),"")</f>
        <v>д550</v>
      </c>
      <c r="C3887" s="12" t="str">
        <f>IFERROR(VLOOKUP(D3887,'[1]Перечень товаров'!$A$2:$I9525,3,0),"")</f>
        <v>дидактика</v>
      </c>
      <c r="D3887" s="130" t="s">
        <v>1085</v>
      </c>
      <c r="E3887" s="150"/>
      <c r="F3887" s="150"/>
      <c r="G3887" s="193">
        <v>1</v>
      </c>
      <c r="H3887" s="193"/>
      <c r="I3887" s="194"/>
      <c r="J3887" s="194"/>
      <c r="K3887" s="19"/>
      <c r="L3887" s="20"/>
      <c r="M3887" s="10"/>
      <c r="N3887" s="10"/>
      <c r="O3887" s="10"/>
      <c r="P3887" s="10"/>
      <c r="Q3887" s="10"/>
      <c r="R3887" s="10"/>
      <c r="S3887" s="10"/>
      <c r="T3887" s="10"/>
      <c r="U3887" s="10"/>
      <c r="V3887" s="10"/>
      <c r="W3887" s="10"/>
      <c r="X3887" s="10"/>
      <c r="Y3887" s="10"/>
      <c r="Z3887" s="10"/>
      <c r="AA3887" s="10"/>
      <c r="AB3887" s="10"/>
      <c r="AC3887" s="10"/>
      <c r="AD3887" s="10"/>
      <c r="AE3887" s="10"/>
      <c r="AF3887" s="10"/>
      <c r="AG3887" s="10"/>
      <c r="AH3887" s="10"/>
    </row>
    <row r="3888" spans="1:34" ht="31.5" outlineLevel="2">
      <c r="A3888" s="129"/>
      <c r="B3888" s="12" t="str">
        <f>IFERROR(VLOOKUP(D3888,'[1]Перечень товаров'!$A$2:$I9525,2,0),"")</f>
        <v>д549</v>
      </c>
      <c r="C3888" s="12" t="str">
        <f>IFERROR(VLOOKUP(D3888,'[1]Перечень товаров'!$A$2:$I9525,3,0),"")</f>
        <v>дидактика</v>
      </c>
      <c r="D3888" s="130" t="s">
        <v>1086</v>
      </c>
      <c r="E3888" s="150"/>
      <c r="F3888" s="150"/>
      <c r="G3888" s="193">
        <v>1</v>
      </c>
      <c r="H3888" s="193"/>
      <c r="I3888" s="194"/>
      <c r="J3888" s="194"/>
      <c r="K3888" s="19"/>
      <c r="L3888" s="20"/>
      <c r="M3888" s="10"/>
      <c r="N3888" s="10"/>
      <c r="O3888" s="10"/>
      <c r="P3888" s="10"/>
      <c r="Q3888" s="10"/>
      <c r="R3888" s="10"/>
      <c r="S3888" s="10"/>
      <c r="T3888" s="10"/>
      <c r="U3888" s="10"/>
      <c r="V3888" s="10"/>
      <c r="W3888" s="10"/>
      <c r="X3888" s="10"/>
      <c r="Y3888" s="10"/>
      <c r="Z3888" s="10"/>
      <c r="AA3888" s="10"/>
      <c r="AB3888" s="10"/>
      <c r="AC3888" s="10"/>
      <c r="AD3888" s="10"/>
      <c r="AE3888" s="10"/>
      <c r="AF3888" s="10"/>
      <c r="AG3888" s="10"/>
      <c r="AH3888" s="10"/>
    </row>
    <row r="3889" spans="1:34" ht="31.5" outlineLevel="2">
      <c r="A3889" s="129"/>
      <c r="B3889" s="12" t="str">
        <f>IFERROR(VLOOKUP(D3889,'[1]Перечень товаров'!$A$2:$I9525,2,0),"")</f>
        <v>тм200</v>
      </c>
      <c r="C3889" s="12" t="str">
        <f>IFERROR(VLOOKUP(D3889,'[1]Перечень товаров'!$A$2:$I9525,3,0),"")</f>
        <v>Техника муз</v>
      </c>
      <c r="D3889" s="130" t="s">
        <v>1087</v>
      </c>
      <c r="E3889" s="150"/>
      <c r="F3889" s="150"/>
      <c r="G3889" s="193">
        <v>1</v>
      </c>
      <c r="H3889" s="193"/>
      <c r="I3889" s="194"/>
      <c r="J3889" s="194"/>
      <c r="K3889" s="19"/>
      <c r="L3889" s="20"/>
      <c r="M3889" s="10"/>
      <c r="N3889" s="10"/>
      <c r="O3889" s="10"/>
      <c r="P3889" s="10"/>
      <c r="Q3889" s="10"/>
      <c r="R3889" s="10"/>
      <c r="S3889" s="10"/>
      <c r="T3889" s="10"/>
      <c r="U3889" s="10"/>
      <c r="V3889" s="10"/>
      <c r="W3889" s="10"/>
      <c r="X3889" s="10"/>
      <c r="Y3889" s="10"/>
      <c r="Z3889" s="10"/>
      <c r="AA3889" s="10"/>
      <c r="AB3889" s="10"/>
      <c r="AC3889" s="10"/>
      <c r="AD3889" s="10"/>
      <c r="AE3889" s="10"/>
      <c r="AF3889" s="10"/>
      <c r="AG3889" s="10"/>
      <c r="AH3889" s="10"/>
    </row>
    <row r="3890" spans="1:34" ht="31.5" outlineLevel="2">
      <c r="A3890" s="129"/>
      <c r="B3890" s="12" t="str">
        <f>IFERROR(VLOOKUP(D3890,'[1]Перечень товаров'!$A$2:$I9525,2,0),"")</f>
        <v>пм182</v>
      </c>
      <c r="C3890" s="12" t="str">
        <f>IFERROR(VLOOKUP(D3890,'[1]Перечень товаров'!$A$2:$I9525,3,0),"")</f>
        <v>прочее муз</v>
      </c>
      <c r="D3890" s="130" t="s">
        <v>1088</v>
      </c>
      <c r="E3890" s="150"/>
      <c r="F3890" s="150"/>
      <c r="G3890" s="193">
        <v>1</v>
      </c>
      <c r="H3890" s="193"/>
      <c r="I3890" s="194"/>
      <c r="J3890" s="194"/>
      <c r="K3890" s="19"/>
      <c r="L3890" s="20"/>
      <c r="M3890" s="10"/>
      <c r="N3890" s="10"/>
      <c r="O3890" s="10"/>
      <c r="P3890" s="10"/>
      <c r="Q3890" s="10"/>
      <c r="R3890" s="10"/>
      <c r="S3890" s="10"/>
      <c r="T3890" s="10"/>
      <c r="U3890" s="10"/>
      <c r="V3890" s="10"/>
      <c r="W3890" s="10"/>
      <c r="X3890" s="10"/>
      <c r="Y3890" s="10"/>
      <c r="Z3890" s="10"/>
      <c r="AA3890" s="10"/>
      <c r="AB3890" s="10"/>
      <c r="AC3890" s="10"/>
      <c r="AD3890" s="10"/>
      <c r="AE3890" s="10"/>
      <c r="AF3890" s="10"/>
      <c r="AG3890" s="10"/>
      <c r="AH3890" s="10"/>
    </row>
    <row r="3891" spans="1:34" ht="47.25" outlineLevel="2">
      <c r="A3891" s="129"/>
      <c r="B3891" s="12" t="str">
        <f>IFERROR(VLOOKUP(D3891,'[1]Перечень товаров'!$A$2:$I9525,2,0),"")</f>
        <v>тм36</v>
      </c>
      <c r="C3891" s="12" t="str">
        <f>IFERROR(VLOOKUP(D3891,'[1]Перечень товаров'!$A$2:$I9525,3,0),"")</f>
        <v>Техника муз</v>
      </c>
      <c r="D3891" s="130" t="s">
        <v>275</v>
      </c>
      <c r="E3891" s="150"/>
      <c r="F3891" s="150"/>
      <c r="G3891" s="193">
        <v>2</v>
      </c>
      <c r="H3891" s="193"/>
      <c r="I3891" s="194"/>
      <c r="J3891" s="194"/>
      <c r="K3891" s="19"/>
      <c r="L3891" s="20"/>
      <c r="M3891" s="10"/>
      <c r="N3891" s="10"/>
      <c r="O3891" s="10"/>
      <c r="P3891" s="10"/>
      <c r="Q3891" s="10"/>
      <c r="R3891" s="10"/>
      <c r="S3891" s="10"/>
      <c r="T3891" s="10"/>
      <c r="U3891" s="10"/>
      <c r="V3891" s="10"/>
      <c r="W3891" s="10"/>
      <c r="X3891" s="10"/>
      <c r="Y3891" s="10"/>
      <c r="Z3891" s="10"/>
      <c r="AA3891" s="10"/>
      <c r="AB3891" s="10"/>
      <c r="AC3891" s="10"/>
      <c r="AD3891" s="10"/>
      <c r="AE3891" s="10"/>
      <c r="AF3891" s="10"/>
      <c r="AG3891" s="10"/>
      <c r="AH3891" s="10"/>
    </row>
    <row r="3892" spans="1:34" ht="31.5" outlineLevel="2">
      <c r="A3892" s="129"/>
      <c r="B3892" s="12" t="str">
        <f>IFERROR(VLOOKUP(D3892,'[1]Перечень товаров'!$A$2:$I9525,2,0),"")</f>
        <v>пм181</v>
      </c>
      <c r="C3892" s="12" t="str">
        <f>IFERROR(VLOOKUP(D3892,'[1]Перечень товаров'!$A$2:$I9525,3,0),"")</f>
        <v>прочее муз</v>
      </c>
      <c r="D3892" s="130" t="s">
        <v>1089</v>
      </c>
      <c r="E3892" s="150"/>
      <c r="F3892" s="150"/>
      <c r="G3892" s="193">
        <v>2</v>
      </c>
      <c r="H3892" s="193"/>
      <c r="I3892" s="194"/>
      <c r="J3892" s="194"/>
      <c r="K3892" s="19"/>
      <c r="L3892" s="20"/>
      <c r="M3892" s="10"/>
      <c r="N3892" s="10"/>
      <c r="O3892" s="10"/>
      <c r="P3892" s="10"/>
      <c r="Q3892" s="10"/>
      <c r="R3892" s="10"/>
      <c r="S3892" s="10"/>
      <c r="T3892" s="10"/>
      <c r="U3892" s="10"/>
      <c r="V3892" s="10"/>
      <c r="W3892" s="10"/>
      <c r="X3892" s="10"/>
      <c r="Y3892" s="10"/>
      <c r="Z3892" s="10"/>
      <c r="AA3892" s="10"/>
      <c r="AB3892" s="10"/>
      <c r="AC3892" s="10"/>
      <c r="AD3892" s="10"/>
      <c r="AE3892" s="10"/>
      <c r="AF3892" s="10"/>
      <c r="AG3892" s="10"/>
      <c r="AH3892" s="10"/>
    </row>
    <row r="3893" spans="1:34" ht="31.5" outlineLevel="2">
      <c r="A3893" s="129"/>
      <c r="B3893" s="12" t="str">
        <f>IFERROR(VLOOKUP(D3893,'[1]Перечень товаров'!$A$2:$I9525,2,0),"")</f>
        <v>т180</v>
      </c>
      <c r="C3893" s="12" t="str">
        <f>IFERROR(VLOOKUP(D3893,'[1]Перечень товаров'!$A$2:$I9525,3,0),"")</f>
        <v>Техника</v>
      </c>
      <c r="D3893" s="130" t="s">
        <v>450</v>
      </c>
      <c r="E3893" s="150"/>
      <c r="F3893" s="150"/>
      <c r="G3893" s="193">
        <v>4</v>
      </c>
      <c r="H3893" s="193"/>
      <c r="I3893" s="194"/>
      <c r="J3893" s="194"/>
      <c r="K3893" s="19"/>
      <c r="L3893" s="20"/>
      <c r="M3893" s="10"/>
      <c r="N3893" s="10"/>
      <c r="O3893" s="10"/>
      <c r="P3893" s="10"/>
      <c r="Q3893" s="10"/>
      <c r="R3893" s="10"/>
      <c r="S3893" s="10"/>
      <c r="T3893" s="10"/>
      <c r="U3893" s="10"/>
      <c r="V3893" s="10"/>
      <c r="W3893" s="10"/>
      <c r="X3893" s="10"/>
      <c r="Y3893" s="10"/>
      <c r="Z3893" s="10"/>
      <c r="AA3893" s="10"/>
      <c r="AB3893" s="10"/>
      <c r="AC3893" s="10"/>
      <c r="AD3893" s="10"/>
      <c r="AE3893" s="10"/>
      <c r="AF3893" s="10"/>
      <c r="AG3893" s="10"/>
      <c r="AH3893" s="10"/>
    </row>
    <row r="3894" spans="1:34" outlineLevel="2">
      <c r="A3894" s="129"/>
      <c r="B3894" s="12" t="str">
        <f>IFERROR(VLOOKUP(D3894,'[1]Перечень товаров'!$A$2:$I9525,2,0),"")</f>
        <v>д548</v>
      </c>
      <c r="C3894" s="12" t="str">
        <f>IFERROR(VLOOKUP(D3894,'[1]Перечень товаров'!$A$2:$I9525,3,0),"")</f>
        <v>дидактика</v>
      </c>
      <c r="D3894" s="130" t="s">
        <v>1090</v>
      </c>
      <c r="E3894" s="150"/>
      <c r="F3894" s="150"/>
      <c r="G3894" s="193" t="s">
        <v>1091</v>
      </c>
      <c r="H3894" s="193"/>
      <c r="I3894" s="194"/>
      <c r="J3894" s="194"/>
      <c r="K3894" s="19"/>
      <c r="L3894" s="20"/>
      <c r="M3894" s="10"/>
      <c r="N3894" s="10"/>
      <c r="O3894" s="10"/>
      <c r="P3894" s="10"/>
      <c r="Q3894" s="10"/>
      <c r="R3894" s="10"/>
      <c r="S3894" s="10"/>
      <c r="T3894" s="10"/>
      <c r="U3894" s="10"/>
      <c r="V3894" s="10"/>
      <c r="W3894" s="10"/>
      <c r="X3894" s="10"/>
      <c r="Y3894" s="10"/>
      <c r="Z3894" s="10"/>
      <c r="AA3894" s="10"/>
      <c r="AB3894" s="10"/>
      <c r="AC3894" s="10"/>
      <c r="AD3894" s="10"/>
      <c r="AE3894" s="10"/>
      <c r="AF3894" s="10"/>
      <c r="AG3894" s="10"/>
      <c r="AH3894" s="10"/>
    </row>
    <row r="3895" spans="1:34" ht="31.5" outlineLevel="2">
      <c r="A3895" s="129"/>
      <c r="B3895" s="12" t="str">
        <f>IFERROR(VLOOKUP(D3895,'[1]Перечень товаров'!$A$2:$I9525,2,0),"")</f>
        <v>пм180</v>
      </c>
      <c r="C3895" s="12" t="str">
        <f>IFERROR(VLOOKUP(D3895,'[1]Перечень товаров'!$A$2:$I9525,3,0),"")</f>
        <v>прочее муз</v>
      </c>
      <c r="D3895" s="130" t="s">
        <v>1092</v>
      </c>
      <c r="E3895" s="150"/>
      <c r="F3895" s="150"/>
      <c r="G3895" s="193">
        <v>1</v>
      </c>
      <c r="H3895" s="193"/>
      <c r="I3895" s="194"/>
      <c r="J3895" s="194"/>
      <c r="K3895" s="19"/>
      <c r="L3895" s="20"/>
      <c r="M3895" s="10"/>
      <c r="N3895" s="10"/>
      <c r="O3895" s="10"/>
      <c r="P3895" s="10"/>
      <c r="Q3895" s="10"/>
      <c r="R3895" s="10"/>
      <c r="S3895" s="10"/>
      <c r="T3895" s="10"/>
      <c r="U3895" s="10"/>
      <c r="V3895" s="10"/>
      <c r="W3895" s="10"/>
      <c r="X3895" s="10"/>
      <c r="Y3895" s="10"/>
      <c r="Z3895" s="10"/>
      <c r="AA3895" s="10"/>
      <c r="AB3895" s="10"/>
      <c r="AC3895" s="10"/>
      <c r="AD3895" s="10"/>
      <c r="AE3895" s="10"/>
      <c r="AF3895" s="10"/>
      <c r="AG3895" s="10"/>
      <c r="AH3895" s="10"/>
    </row>
    <row r="3896" spans="1:34" outlineLevel="2">
      <c r="A3896" s="129"/>
      <c r="B3896" s="12" t="str">
        <f>IFERROR(VLOOKUP(D3896,'[1]Перечень товаров'!$A$2:$I9525,2,0),"")</f>
        <v>пм179</v>
      </c>
      <c r="C3896" s="12" t="str">
        <f>IFERROR(VLOOKUP(D3896,'[1]Перечень товаров'!$A$2:$I9525,3,0),"")</f>
        <v>прочее муз</v>
      </c>
      <c r="D3896" s="130" t="s">
        <v>1093</v>
      </c>
      <c r="E3896" s="150"/>
      <c r="F3896" s="150"/>
      <c r="G3896" s="193">
        <v>1</v>
      </c>
      <c r="H3896" s="193"/>
      <c r="I3896" s="194"/>
      <c r="J3896" s="194"/>
      <c r="K3896" s="19"/>
      <c r="L3896" s="20"/>
      <c r="M3896" s="10"/>
      <c r="N3896" s="10"/>
      <c r="O3896" s="10"/>
      <c r="P3896" s="10"/>
      <c r="Q3896" s="10"/>
      <c r="R3896" s="10"/>
      <c r="S3896" s="10"/>
      <c r="T3896" s="10"/>
      <c r="U3896" s="10"/>
      <c r="V3896" s="10"/>
      <c r="W3896" s="10"/>
      <c r="X3896" s="10"/>
      <c r="Y3896" s="10"/>
      <c r="Z3896" s="10"/>
      <c r="AA3896" s="10"/>
      <c r="AB3896" s="10"/>
      <c r="AC3896" s="10"/>
      <c r="AD3896" s="10"/>
      <c r="AE3896" s="10"/>
      <c r="AF3896" s="10"/>
      <c r="AG3896" s="10"/>
      <c r="AH3896" s="10"/>
    </row>
    <row r="3897" spans="1:34" ht="31.5" outlineLevel="2">
      <c r="A3897" s="129"/>
      <c r="B3897" s="12" t="str">
        <f>IFERROR(VLOOKUP(D3897,'[1]Перечень товаров'!$A$2:$I9525,2,0),"")</f>
        <v>пм178</v>
      </c>
      <c r="C3897" s="12" t="str">
        <f>IFERROR(VLOOKUP(D3897,'[1]Перечень товаров'!$A$2:$I9525,3,0),"")</f>
        <v>прочее муз</v>
      </c>
      <c r="D3897" s="130" t="s">
        <v>1094</v>
      </c>
      <c r="E3897" s="150"/>
      <c r="F3897" s="150"/>
      <c r="G3897" s="193">
        <v>4</v>
      </c>
      <c r="H3897" s="193"/>
      <c r="I3897" s="194"/>
      <c r="J3897" s="194"/>
      <c r="K3897" s="19"/>
      <c r="L3897" s="20"/>
      <c r="M3897" s="10"/>
      <c r="N3897" s="10"/>
      <c r="O3897" s="10"/>
      <c r="P3897" s="10"/>
      <c r="Q3897" s="10"/>
      <c r="R3897" s="10"/>
      <c r="S3897" s="10"/>
      <c r="T3897" s="10"/>
      <c r="U3897" s="10"/>
      <c r="V3897" s="10"/>
      <c r="W3897" s="10"/>
      <c r="X3897" s="10"/>
      <c r="Y3897" s="10"/>
      <c r="Z3897" s="10"/>
      <c r="AA3897" s="10"/>
      <c r="AB3897" s="10"/>
      <c r="AC3897" s="10"/>
      <c r="AD3897" s="10"/>
      <c r="AE3897" s="10"/>
      <c r="AF3897" s="10"/>
      <c r="AG3897" s="10"/>
      <c r="AH3897" s="10"/>
    </row>
    <row r="3898" spans="1:34" ht="31.5" outlineLevel="2">
      <c r="A3898" s="129"/>
      <c r="B3898" s="12" t="str">
        <f>IFERROR(VLOOKUP(D3898,'[1]Перечень товаров'!$A$2:$I9525,2,0),"")</f>
        <v>пм177</v>
      </c>
      <c r="C3898" s="12" t="str">
        <f>IFERROR(VLOOKUP(D3898,'[1]Перечень товаров'!$A$2:$I9525,3,0),"")</f>
        <v>прочее муз</v>
      </c>
      <c r="D3898" s="130" t="s">
        <v>1095</v>
      </c>
      <c r="E3898" s="150"/>
      <c r="F3898" s="150"/>
      <c r="G3898" s="193">
        <v>1</v>
      </c>
      <c r="H3898" s="193"/>
      <c r="I3898" s="194"/>
      <c r="J3898" s="194"/>
      <c r="K3898" s="19"/>
      <c r="L3898" s="20"/>
      <c r="M3898" s="10"/>
      <c r="N3898" s="10"/>
      <c r="O3898" s="10"/>
      <c r="P3898" s="10"/>
      <c r="Q3898" s="10"/>
      <c r="R3898" s="10"/>
      <c r="S3898" s="10"/>
      <c r="T3898" s="10"/>
      <c r="U3898" s="10"/>
      <c r="V3898" s="10"/>
      <c r="W3898" s="10"/>
      <c r="X3898" s="10"/>
      <c r="Y3898" s="10"/>
      <c r="Z3898" s="10"/>
      <c r="AA3898" s="10"/>
      <c r="AB3898" s="10"/>
      <c r="AC3898" s="10"/>
      <c r="AD3898" s="10"/>
      <c r="AE3898" s="10"/>
      <c r="AF3898" s="10"/>
      <c r="AG3898" s="10"/>
      <c r="AH3898" s="10"/>
    </row>
    <row r="3899" spans="1:34" ht="31.5" outlineLevel="2">
      <c r="A3899" s="129"/>
      <c r="B3899" s="12" t="str">
        <f>IFERROR(VLOOKUP(D3899,'[1]Перечень товаров'!$A$2:$I9525,2,0),"")</f>
        <v>т169</v>
      </c>
      <c r="C3899" s="12" t="str">
        <f>IFERROR(VLOOKUP(D3899,'[1]Перечень товаров'!$A$2:$I9525,3,0),"")</f>
        <v>Техника</v>
      </c>
      <c r="D3899" s="130" t="s">
        <v>438</v>
      </c>
      <c r="E3899" s="150"/>
      <c r="F3899" s="150"/>
      <c r="G3899" s="193">
        <v>8</v>
      </c>
      <c r="H3899" s="193"/>
      <c r="I3899" s="194"/>
      <c r="J3899" s="194"/>
      <c r="K3899" s="19"/>
      <c r="L3899" s="20"/>
      <c r="M3899" s="10"/>
      <c r="N3899" s="10"/>
      <c r="O3899" s="10"/>
      <c r="P3899" s="10"/>
      <c r="Q3899" s="10"/>
      <c r="R3899" s="10"/>
      <c r="S3899" s="10"/>
      <c r="T3899" s="10"/>
      <c r="U3899" s="10"/>
      <c r="V3899" s="10"/>
      <c r="W3899" s="10"/>
      <c r="X3899" s="10"/>
      <c r="Y3899" s="10"/>
      <c r="Z3899" s="10"/>
      <c r="AA3899" s="10"/>
      <c r="AB3899" s="10"/>
      <c r="AC3899" s="10"/>
      <c r="AD3899" s="10"/>
      <c r="AE3899" s="10"/>
      <c r="AF3899" s="10"/>
      <c r="AG3899" s="10"/>
      <c r="AH3899" s="10"/>
    </row>
    <row r="3900" spans="1:34" ht="31.5" outlineLevel="2">
      <c r="A3900" s="129"/>
      <c r="B3900" s="12" t="str">
        <f>IFERROR(VLOOKUP(D3900,'[1]Перечень товаров'!$A$2:$I9525,2,0),"")</f>
        <v>д547</v>
      </c>
      <c r="C3900" s="12" t="str">
        <f>IFERROR(VLOOKUP(D3900,'[1]Перечень товаров'!$A$2:$I9525,3,0),"")</f>
        <v>дидактика</v>
      </c>
      <c r="D3900" s="130" t="s">
        <v>1096</v>
      </c>
      <c r="E3900" s="150"/>
      <c r="F3900" s="150"/>
      <c r="G3900" s="193">
        <v>1</v>
      </c>
      <c r="H3900" s="193"/>
      <c r="I3900" s="194"/>
      <c r="J3900" s="194"/>
      <c r="K3900" s="19"/>
      <c r="L3900" s="20"/>
      <c r="M3900" s="10"/>
      <c r="N3900" s="10"/>
      <c r="O3900" s="10"/>
      <c r="P3900" s="10"/>
      <c r="Q3900" s="10"/>
      <c r="R3900" s="10"/>
      <c r="S3900" s="10"/>
      <c r="T3900" s="10"/>
      <c r="U3900" s="10"/>
      <c r="V3900" s="10"/>
      <c r="W3900" s="10"/>
      <c r="X3900" s="10"/>
      <c r="Y3900" s="10"/>
      <c r="Z3900" s="10"/>
      <c r="AA3900" s="10"/>
      <c r="AB3900" s="10"/>
      <c r="AC3900" s="10"/>
      <c r="AD3900" s="10"/>
      <c r="AE3900" s="10"/>
      <c r="AF3900" s="10"/>
      <c r="AG3900" s="10"/>
      <c r="AH3900" s="10"/>
    </row>
    <row r="3901" spans="1:34" outlineLevel="2">
      <c r="A3901" s="129"/>
      <c r="B3901" s="12" t="str">
        <f>IFERROR(VLOOKUP(D3901,'[1]Перечень товаров'!$A$2:$I9525,2,0),"")</f>
        <v>пм176</v>
      </c>
      <c r="C3901" s="12" t="str">
        <f>IFERROR(VLOOKUP(D3901,'[1]Перечень товаров'!$A$2:$I9525,3,0),"")</f>
        <v>прочее муз</v>
      </c>
      <c r="D3901" s="130" t="s">
        <v>1097</v>
      </c>
      <c r="E3901" s="150"/>
      <c r="F3901" s="150"/>
      <c r="G3901" s="193" t="s">
        <v>1098</v>
      </c>
      <c r="H3901" s="193"/>
      <c r="I3901" s="194"/>
      <c r="J3901" s="194"/>
      <c r="K3901" s="19"/>
      <c r="L3901" s="20"/>
      <c r="M3901" s="10"/>
      <c r="N3901" s="10"/>
      <c r="O3901" s="10"/>
      <c r="P3901" s="10"/>
      <c r="Q3901" s="10"/>
      <c r="R3901" s="10"/>
      <c r="S3901" s="10"/>
      <c r="T3901" s="10"/>
      <c r="U3901" s="10"/>
      <c r="V3901" s="10"/>
      <c r="W3901" s="10"/>
      <c r="X3901" s="10"/>
      <c r="Y3901" s="10"/>
      <c r="Z3901" s="10"/>
      <c r="AA3901" s="10"/>
      <c r="AB3901" s="10"/>
      <c r="AC3901" s="10"/>
      <c r="AD3901" s="10"/>
      <c r="AE3901" s="10"/>
      <c r="AF3901" s="10"/>
      <c r="AG3901" s="10"/>
      <c r="AH3901" s="10"/>
    </row>
    <row r="3902" spans="1:34" ht="12.75" outlineLevel="1">
      <c r="A3902" s="97"/>
      <c r="B3902" s="12" t="str">
        <f>IFERROR(VLOOKUP(D3902,'[1]Перечень товаров'!$A$2:$I9525,2,0),"")</f>
        <v/>
      </c>
      <c r="C3902" s="12" t="str">
        <f>IFERROR(VLOOKUP(D3902,'[1]Перечень товаров'!$A$2:$I9525,3,0),"")</f>
        <v/>
      </c>
      <c r="D3902" s="98" t="s">
        <v>1067</v>
      </c>
      <c r="E3902" s="14">
        <v>25.8</v>
      </c>
      <c r="F3902" s="14"/>
      <c r="G3902" s="17"/>
      <c r="H3902" s="17"/>
      <c r="I3902" s="57"/>
      <c r="J3902" s="57"/>
      <c r="K3902" s="19"/>
      <c r="L3902" s="20"/>
      <c r="M3902" s="10"/>
      <c r="N3902" s="10"/>
      <c r="O3902" s="10"/>
      <c r="P3902" s="10"/>
      <c r="Q3902" s="10"/>
      <c r="R3902" s="10"/>
      <c r="S3902" s="10"/>
      <c r="T3902" s="10"/>
      <c r="U3902" s="10"/>
      <c r="V3902" s="10"/>
      <c r="W3902" s="10"/>
      <c r="X3902" s="10"/>
      <c r="Y3902" s="10"/>
      <c r="Z3902" s="10"/>
      <c r="AA3902" s="10"/>
      <c r="AB3902" s="10"/>
      <c r="AC3902" s="10"/>
      <c r="AD3902" s="10"/>
      <c r="AE3902" s="10"/>
      <c r="AF3902" s="10"/>
      <c r="AG3902" s="10"/>
      <c r="AH3902" s="10"/>
    </row>
    <row r="3903" spans="1:34" ht="31.5" outlineLevel="2">
      <c r="A3903" s="129"/>
      <c r="B3903" s="12" t="str">
        <f>IFERROR(VLOOKUP(D3903,'[1]Перечень товаров'!$A$2:$I9525,2,0),"")</f>
        <v>тм199</v>
      </c>
      <c r="C3903" s="12" t="str">
        <f>IFERROR(VLOOKUP(D3903,'[1]Перечень товаров'!$A$2:$I9525,3,0),"")</f>
        <v>Техника муз</v>
      </c>
      <c r="D3903" s="130" t="s">
        <v>1099</v>
      </c>
      <c r="E3903" s="150"/>
      <c r="F3903" s="150"/>
      <c r="G3903" s="193">
        <v>1</v>
      </c>
      <c r="H3903" s="193"/>
      <c r="I3903" s="194"/>
      <c r="J3903" s="194"/>
      <c r="K3903" s="19"/>
      <c r="L3903" s="20"/>
      <c r="M3903" s="10"/>
      <c r="N3903" s="10"/>
      <c r="O3903" s="10"/>
      <c r="P3903" s="10"/>
      <c r="Q3903" s="10"/>
      <c r="R3903" s="10"/>
      <c r="S3903" s="10"/>
      <c r="T3903" s="10"/>
      <c r="U3903" s="10"/>
      <c r="V3903" s="10"/>
      <c r="W3903" s="10"/>
      <c r="X3903" s="10"/>
      <c r="Y3903" s="10"/>
      <c r="Z3903" s="10"/>
      <c r="AA3903" s="10"/>
      <c r="AB3903" s="10"/>
      <c r="AC3903" s="10"/>
      <c r="AD3903" s="10"/>
      <c r="AE3903" s="10"/>
      <c r="AF3903" s="10"/>
      <c r="AG3903" s="10"/>
      <c r="AH3903" s="10"/>
    </row>
    <row r="3904" spans="1:34" ht="31.5" outlineLevel="2">
      <c r="A3904" s="129"/>
      <c r="B3904" s="12" t="str">
        <f>IFERROR(VLOOKUP(D3904,'[1]Перечень товаров'!$A$2:$I9525,2,0),"")</f>
        <v>м34</v>
      </c>
      <c r="C3904" s="12" t="str">
        <f>IFERROR(VLOOKUP(D3904,'[1]Перечень товаров'!$A$2:$I9525,3,0),"")</f>
        <v>Мебель</v>
      </c>
      <c r="D3904" s="130" t="s">
        <v>1069</v>
      </c>
      <c r="E3904" s="150"/>
      <c r="F3904" s="150"/>
      <c r="G3904" s="193">
        <v>2</v>
      </c>
      <c r="H3904" s="193"/>
      <c r="I3904" s="194"/>
      <c r="J3904" s="194"/>
      <c r="K3904" s="19"/>
      <c r="L3904" s="20"/>
      <c r="M3904" s="10"/>
      <c r="N3904" s="10"/>
      <c r="O3904" s="10"/>
      <c r="P3904" s="10"/>
      <c r="Q3904" s="10"/>
      <c r="R3904" s="10"/>
      <c r="S3904" s="10"/>
      <c r="T3904" s="10"/>
      <c r="U3904" s="10"/>
      <c r="V3904" s="10"/>
      <c r="W3904" s="10"/>
      <c r="X3904" s="10"/>
      <c r="Y3904" s="10"/>
      <c r="Z3904" s="10"/>
      <c r="AA3904" s="10"/>
      <c r="AB3904" s="10"/>
      <c r="AC3904" s="10"/>
      <c r="AD3904" s="10"/>
      <c r="AE3904" s="10"/>
      <c r="AF3904" s="10"/>
      <c r="AG3904" s="10"/>
      <c r="AH3904" s="10"/>
    </row>
    <row r="3905" spans="1:34" ht="31.5" outlineLevel="2">
      <c r="A3905" s="129"/>
      <c r="B3905" s="12" t="str">
        <f>IFERROR(VLOOKUP(D3905,'[1]Перечень товаров'!$A$2:$I9525,2,0),"")</f>
        <v>пм189</v>
      </c>
      <c r="C3905" s="12" t="str">
        <f>IFERROR(VLOOKUP(D3905,'[1]Перечень товаров'!$A$2:$I9525,3,0),"")</f>
        <v>прочее муз</v>
      </c>
      <c r="D3905" s="130" t="s">
        <v>1070</v>
      </c>
      <c r="E3905" s="150"/>
      <c r="F3905" s="150"/>
      <c r="G3905" s="193">
        <v>8</v>
      </c>
      <c r="H3905" s="193"/>
      <c r="I3905" s="194"/>
      <c r="J3905" s="194"/>
      <c r="K3905" s="19"/>
      <c r="L3905" s="20"/>
      <c r="M3905" s="10"/>
      <c r="N3905" s="10"/>
      <c r="O3905" s="10"/>
      <c r="P3905" s="10"/>
      <c r="Q3905" s="10"/>
      <c r="R3905" s="10"/>
      <c r="S3905" s="10"/>
      <c r="T3905" s="10"/>
      <c r="U3905" s="10"/>
      <c r="V3905" s="10"/>
      <c r="W3905" s="10"/>
      <c r="X3905" s="10"/>
      <c r="Y3905" s="10"/>
      <c r="Z3905" s="10"/>
      <c r="AA3905" s="10"/>
      <c r="AB3905" s="10"/>
      <c r="AC3905" s="10"/>
      <c r="AD3905" s="10"/>
      <c r="AE3905" s="10"/>
      <c r="AF3905" s="10"/>
      <c r="AG3905" s="10"/>
      <c r="AH3905" s="10"/>
    </row>
    <row r="3906" spans="1:34" ht="31.5" outlineLevel="2">
      <c r="A3906" s="129"/>
      <c r="B3906" s="12" t="str">
        <f>IFERROR(VLOOKUP(D3906,'[1]Перечень товаров'!$A$2:$I9525,2,0),"")</f>
        <v>пм188</v>
      </c>
      <c r="C3906" s="12" t="str">
        <f>IFERROR(VLOOKUP(D3906,'[1]Перечень товаров'!$A$2:$I9525,3,0),"")</f>
        <v>прочее муз</v>
      </c>
      <c r="D3906" s="130" t="s">
        <v>1071</v>
      </c>
      <c r="E3906" s="150"/>
      <c r="F3906" s="150"/>
      <c r="G3906" s="193">
        <v>2</v>
      </c>
      <c r="H3906" s="193"/>
      <c r="I3906" s="194"/>
      <c r="J3906" s="194"/>
      <c r="K3906" s="19"/>
      <c r="L3906" s="20"/>
      <c r="M3906" s="10"/>
      <c r="N3906" s="10"/>
      <c r="O3906" s="10"/>
      <c r="P3906" s="10"/>
      <c r="Q3906" s="10"/>
      <c r="R3906" s="10"/>
      <c r="S3906" s="10"/>
      <c r="T3906" s="10"/>
      <c r="U3906" s="10"/>
      <c r="V3906" s="10"/>
      <c r="W3906" s="10"/>
      <c r="X3906" s="10"/>
      <c r="Y3906" s="10"/>
      <c r="Z3906" s="10"/>
      <c r="AA3906" s="10"/>
      <c r="AB3906" s="10"/>
      <c r="AC3906" s="10"/>
      <c r="AD3906" s="10"/>
      <c r="AE3906" s="10"/>
      <c r="AF3906" s="10"/>
      <c r="AG3906" s="10"/>
      <c r="AH3906" s="10"/>
    </row>
    <row r="3907" spans="1:34" outlineLevel="2">
      <c r="A3907" s="129"/>
      <c r="B3907" s="12" t="str">
        <f>IFERROR(VLOOKUP(D3907,'[1]Перечень товаров'!$A$2:$I9525,2,0),"")</f>
        <v>пм187</v>
      </c>
      <c r="C3907" s="12" t="str">
        <f>IFERROR(VLOOKUP(D3907,'[1]Перечень товаров'!$A$2:$I9525,3,0),"")</f>
        <v>прочее муз</v>
      </c>
      <c r="D3907" s="130" t="s">
        <v>1072</v>
      </c>
      <c r="E3907" s="150"/>
      <c r="F3907" s="150"/>
      <c r="G3907" s="193">
        <v>1</v>
      </c>
      <c r="H3907" s="193"/>
      <c r="I3907" s="194"/>
      <c r="J3907" s="194"/>
      <c r="K3907" s="19"/>
      <c r="L3907" s="20"/>
      <c r="M3907" s="10"/>
      <c r="N3907" s="10"/>
      <c r="O3907" s="10"/>
      <c r="P3907" s="10"/>
      <c r="Q3907" s="10"/>
      <c r="R3907" s="10"/>
      <c r="S3907" s="10"/>
      <c r="T3907" s="10"/>
      <c r="U3907" s="10"/>
      <c r="V3907" s="10"/>
      <c r="W3907" s="10"/>
      <c r="X3907" s="10"/>
      <c r="Y3907" s="10"/>
      <c r="Z3907" s="10"/>
      <c r="AA3907" s="10"/>
      <c r="AB3907" s="10"/>
      <c r="AC3907" s="10"/>
      <c r="AD3907" s="10"/>
      <c r="AE3907" s="10"/>
      <c r="AF3907" s="10"/>
      <c r="AG3907" s="10"/>
      <c r="AH3907" s="10"/>
    </row>
    <row r="3908" spans="1:34" ht="31.5" outlineLevel="2">
      <c r="A3908" s="129"/>
      <c r="B3908" s="12" t="str">
        <f>IFERROR(VLOOKUP(D3908,'[1]Перечень товаров'!$A$2:$I9525,2,0),"")</f>
        <v>тм258</v>
      </c>
      <c r="C3908" s="12" t="str">
        <f>IFERROR(VLOOKUP(D3908,'[1]Перечень товаров'!$A$2:$I9525,3,0),"")</f>
        <v>Техника муз</v>
      </c>
      <c r="D3908" s="130" t="s">
        <v>582</v>
      </c>
      <c r="E3908" s="150"/>
      <c r="F3908" s="150"/>
      <c r="G3908" s="193">
        <v>1</v>
      </c>
      <c r="H3908" s="193"/>
      <c r="I3908" s="194"/>
      <c r="J3908" s="194"/>
      <c r="K3908" s="19"/>
      <c r="L3908" s="20"/>
      <c r="M3908" s="10"/>
      <c r="N3908" s="10"/>
      <c r="O3908" s="10"/>
      <c r="P3908" s="10"/>
      <c r="Q3908" s="10"/>
      <c r="R3908" s="10"/>
      <c r="S3908" s="10"/>
      <c r="T3908" s="10"/>
      <c r="U3908" s="10"/>
      <c r="V3908" s="10"/>
      <c r="W3908" s="10"/>
      <c r="X3908" s="10"/>
      <c r="Y3908" s="10"/>
      <c r="Z3908" s="10"/>
      <c r="AA3908" s="10"/>
      <c r="AB3908" s="10"/>
      <c r="AC3908" s="10"/>
      <c r="AD3908" s="10"/>
      <c r="AE3908" s="10"/>
      <c r="AF3908" s="10"/>
      <c r="AG3908" s="10"/>
      <c r="AH3908" s="10"/>
    </row>
    <row r="3909" spans="1:34" ht="31.5" outlineLevel="2">
      <c r="A3909" s="129"/>
      <c r="B3909" s="12" t="str">
        <f>IFERROR(VLOOKUP(D3909,'[1]Перечень товаров'!$A$2:$I9525,2,0),"")</f>
        <v>пм186</v>
      </c>
      <c r="C3909" s="12" t="str">
        <f>IFERROR(VLOOKUP(D3909,'[1]Перечень товаров'!$A$2:$I9525,3,0),"")</f>
        <v>прочее муз</v>
      </c>
      <c r="D3909" s="130" t="s">
        <v>1073</v>
      </c>
      <c r="E3909" s="150"/>
      <c r="F3909" s="150"/>
      <c r="G3909" s="193">
        <v>1</v>
      </c>
      <c r="H3909" s="193"/>
      <c r="I3909" s="194"/>
      <c r="J3909" s="194"/>
      <c r="K3909" s="19"/>
      <c r="L3909" s="20"/>
      <c r="M3909" s="10"/>
      <c r="N3909" s="10"/>
      <c r="O3909" s="10"/>
      <c r="P3909" s="10"/>
      <c r="Q3909" s="10"/>
      <c r="R3909" s="10"/>
      <c r="S3909" s="10"/>
      <c r="T3909" s="10"/>
      <c r="U3909" s="10"/>
      <c r="V3909" s="10"/>
      <c r="W3909" s="10"/>
      <c r="X3909" s="10"/>
      <c r="Y3909" s="10"/>
      <c r="Z3909" s="10"/>
      <c r="AA3909" s="10"/>
      <c r="AB3909" s="10"/>
      <c r="AC3909" s="10"/>
      <c r="AD3909" s="10"/>
      <c r="AE3909" s="10"/>
      <c r="AF3909" s="10"/>
      <c r="AG3909" s="10"/>
      <c r="AH3909" s="10"/>
    </row>
    <row r="3910" spans="1:34" ht="15" outlineLevel="2">
      <c r="A3910" s="116"/>
      <c r="B3910" s="12" t="str">
        <f>IFERROR(VLOOKUP(D3910,'[1]Перечень товаров'!$A$2:$I9525,2,0),"")</f>
        <v/>
      </c>
      <c r="C3910" s="12" t="str">
        <f>IFERROR(VLOOKUP(D3910,'[1]Перечень товаров'!$A$2:$I9525,3,0),"")</f>
        <v/>
      </c>
      <c r="D3910" s="117" t="s">
        <v>542</v>
      </c>
      <c r="E3910" s="146"/>
      <c r="F3910" s="146"/>
      <c r="G3910" s="221" t="s">
        <v>543</v>
      </c>
      <c r="H3910" s="221"/>
      <c r="I3910" s="222"/>
      <c r="J3910" s="222"/>
      <c r="K3910" s="19"/>
      <c r="L3910" s="20"/>
      <c r="M3910" s="10"/>
      <c r="N3910" s="10"/>
      <c r="O3910" s="10"/>
      <c r="P3910" s="10"/>
      <c r="Q3910" s="10"/>
      <c r="R3910" s="10"/>
      <c r="S3910" s="10"/>
      <c r="T3910" s="10"/>
      <c r="U3910" s="10"/>
      <c r="V3910" s="10"/>
      <c r="W3910" s="10"/>
      <c r="X3910" s="10"/>
      <c r="Y3910" s="10"/>
      <c r="Z3910" s="10"/>
      <c r="AA3910" s="10"/>
      <c r="AB3910" s="10"/>
      <c r="AC3910" s="10"/>
      <c r="AD3910" s="10"/>
      <c r="AE3910" s="10"/>
      <c r="AF3910" s="10"/>
      <c r="AG3910" s="10"/>
      <c r="AH3910" s="10"/>
    </row>
    <row r="3911" spans="1:34" ht="31.5" outlineLevel="2">
      <c r="A3911" s="129"/>
      <c r="B3911" s="12" t="str">
        <f>IFERROR(VLOOKUP(D3911,'[1]Перечень товаров'!$A$2:$I9525,2,0),"")</f>
        <v>м170</v>
      </c>
      <c r="C3911" s="12" t="str">
        <f>IFERROR(VLOOKUP(D3911,'[1]Перечень товаров'!$A$2:$I9525,3,0),"")</f>
        <v>мебель</v>
      </c>
      <c r="D3911" s="130" t="s">
        <v>1074</v>
      </c>
      <c r="E3911" s="150"/>
      <c r="F3911" s="150"/>
      <c r="G3911" s="193">
        <v>8</v>
      </c>
      <c r="H3911" s="193"/>
      <c r="I3911" s="194"/>
      <c r="J3911" s="194"/>
      <c r="K3911" s="19"/>
      <c r="L3911" s="20"/>
      <c r="M3911" s="10"/>
      <c r="N3911" s="10"/>
      <c r="O3911" s="10"/>
      <c r="P3911" s="10"/>
      <c r="Q3911" s="10"/>
      <c r="R3911" s="10"/>
      <c r="S3911" s="10"/>
      <c r="T3911" s="10"/>
      <c r="U3911" s="10"/>
      <c r="V3911" s="10"/>
      <c r="W3911" s="10"/>
      <c r="X3911" s="10"/>
      <c r="Y3911" s="10"/>
      <c r="Z3911" s="10"/>
      <c r="AA3911" s="10"/>
      <c r="AB3911" s="10"/>
      <c r="AC3911" s="10"/>
      <c r="AD3911" s="10"/>
      <c r="AE3911" s="10"/>
      <c r="AF3911" s="10"/>
      <c r="AG3911" s="10"/>
      <c r="AH3911" s="10"/>
    </row>
    <row r="3912" spans="1:34" ht="31.5" outlineLevel="2">
      <c r="A3912" s="129"/>
      <c r="B3912" s="12" t="str">
        <f>IFERROR(VLOOKUP(D3912,'[1]Перечень товаров'!$A$2:$I9525,2,0),"")</f>
        <v>м169</v>
      </c>
      <c r="C3912" s="12" t="str">
        <f>IFERROR(VLOOKUP(D3912,'[1]Перечень товаров'!$A$2:$I9525,3,0),"")</f>
        <v>мебель</v>
      </c>
      <c r="D3912" s="130" t="s">
        <v>1075</v>
      </c>
      <c r="E3912" s="150"/>
      <c r="F3912" s="150"/>
      <c r="G3912" s="193">
        <v>2</v>
      </c>
      <c r="H3912" s="193"/>
      <c r="I3912" s="194"/>
      <c r="J3912" s="194"/>
      <c r="K3912" s="19"/>
      <c r="L3912" s="20"/>
      <c r="M3912" s="10"/>
      <c r="N3912" s="10"/>
      <c r="O3912" s="10"/>
      <c r="P3912" s="10"/>
      <c r="Q3912" s="10"/>
      <c r="R3912" s="10"/>
      <c r="S3912" s="10"/>
      <c r="T3912" s="10"/>
      <c r="U3912" s="10"/>
      <c r="V3912" s="10"/>
      <c r="W3912" s="10"/>
      <c r="X3912" s="10"/>
      <c r="Y3912" s="10"/>
      <c r="Z3912" s="10"/>
      <c r="AA3912" s="10"/>
      <c r="AB3912" s="10"/>
      <c r="AC3912" s="10"/>
      <c r="AD3912" s="10"/>
      <c r="AE3912" s="10"/>
      <c r="AF3912" s="10"/>
      <c r="AG3912" s="10"/>
      <c r="AH3912" s="10"/>
    </row>
    <row r="3913" spans="1:34" outlineLevel="2">
      <c r="A3913" s="129"/>
      <c r="B3913" s="12" t="str">
        <f>IFERROR(VLOOKUP(D3913,'[1]Перечень товаров'!$A$2:$I9525,2,0),"")</f>
        <v>мм11</v>
      </c>
      <c r="C3913" s="12" t="str">
        <f>IFERROR(VLOOKUP(D3913,'[1]Перечень товаров'!$A$2:$I9525,3,0),"")</f>
        <v>Мебель муз</v>
      </c>
      <c r="D3913" s="130" t="s">
        <v>231</v>
      </c>
      <c r="E3913" s="150"/>
      <c r="F3913" s="150"/>
      <c r="G3913" s="193">
        <v>2</v>
      </c>
      <c r="H3913" s="193"/>
      <c r="I3913" s="194"/>
      <c r="J3913" s="194"/>
      <c r="K3913" s="19"/>
      <c r="L3913" s="20"/>
      <c r="M3913" s="10"/>
      <c r="N3913" s="10"/>
      <c r="O3913" s="10"/>
      <c r="P3913" s="10"/>
      <c r="Q3913" s="10"/>
      <c r="R3913" s="10"/>
      <c r="S3913" s="10"/>
      <c r="T3913" s="10"/>
      <c r="U3913" s="10"/>
      <c r="V3913" s="10"/>
      <c r="W3913" s="10"/>
      <c r="X3913" s="10"/>
      <c r="Y3913" s="10"/>
      <c r="Z3913" s="10"/>
      <c r="AA3913" s="10"/>
      <c r="AB3913" s="10"/>
      <c r="AC3913" s="10"/>
      <c r="AD3913" s="10"/>
      <c r="AE3913" s="10"/>
      <c r="AF3913" s="10"/>
      <c r="AG3913" s="10"/>
      <c r="AH3913" s="10"/>
    </row>
    <row r="3914" spans="1:34" ht="31.5" outlineLevel="2">
      <c r="A3914" s="129"/>
      <c r="B3914" s="12" t="str">
        <f>IFERROR(VLOOKUP(D3914,'[1]Перечень товаров'!$A$2:$I9525,2,0),"")</f>
        <v>м168</v>
      </c>
      <c r="C3914" s="12" t="str">
        <f>IFERROR(VLOOKUP(D3914,'[1]Перечень товаров'!$A$2:$I9525,3,0),"")</f>
        <v>мебель</v>
      </c>
      <c r="D3914" s="130" t="s">
        <v>1076</v>
      </c>
      <c r="E3914" s="150"/>
      <c r="F3914" s="150"/>
      <c r="G3914" s="193">
        <v>1</v>
      </c>
      <c r="H3914" s="193"/>
      <c r="I3914" s="194"/>
      <c r="J3914" s="194"/>
      <c r="K3914" s="19"/>
      <c r="L3914" s="20"/>
      <c r="M3914" s="10"/>
      <c r="N3914" s="10"/>
      <c r="O3914" s="10"/>
      <c r="P3914" s="10"/>
      <c r="Q3914" s="10"/>
      <c r="R3914" s="10"/>
      <c r="S3914" s="10"/>
      <c r="T3914" s="10"/>
      <c r="U3914" s="10"/>
      <c r="V3914" s="10"/>
      <c r="W3914" s="10"/>
      <c r="X3914" s="10"/>
      <c r="Y3914" s="10"/>
      <c r="Z3914" s="10"/>
      <c r="AA3914" s="10"/>
      <c r="AB3914" s="10"/>
      <c r="AC3914" s="10"/>
      <c r="AD3914" s="10"/>
      <c r="AE3914" s="10"/>
      <c r="AF3914" s="10"/>
      <c r="AG3914" s="10"/>
      <c r="AH3914" s="10"/>
    </row>
    <row r="3915" spans="1:34" ht="31.5" outlineLevel="2">
      <c r="A3915" s="129"/>
      <c r="B3915" s="12" t="str">
        <f>IFERROR(VLOOKUP(D3915,'[1]Перечень товаров'!$A$2:$I9525,2,0),"")</f>
        <v>д551</v>
      </c>
      <c r="C3915" s="12" t="str">
        <f>IFERROR(VLOOKUP(D3915,'[1]Перечень товаров'!$A$2:$I9525,3,0),"")</f>
        <v>дидактика</v>
      </c>
      <c r="D3915" s="130" t="s">
        <v>1077</v>
      </c>
      <c r="E3915" s="150"/>
      <c r="F3915" s="150"/>
      <c r="G3915" s="193">
        <v>1</v>
      </c>
      <c r="H3915" s="193"/>
      <c r="I3915" s="194"/>
      <c r="J3915" s="194"/>
      <c r="K3915" s="19"/>
      <c r="L3915" s="20"/>
      <c r="M3915" s="10"/>
      <c r="N3915" s="10"/>
      <c r="O3915" s="10"/>
      <c r="P3915" s="10"/>
      <c r="Q3915" s="10"/>
      <c r="R3915" s="10"/>
      <c r="S3915" s="10"/>
      <c r="T3915" s="10"/>
      <c r="U3915" s="10"/>
      <c r="V3915" s="10"/>
      <c r="W3915" s="10"/>
      <c r="X3915" s="10"/>
      <c r="Y3915" s="10"/>
      <c r="Z3915" s="10"/>
      <c r="AA3915" s="10"/>
      <c r="AB3915" s="10"/>
      <c r="AC3915" s="10"/>
      <c r="AD3915" s="10"/>
      <c r="AE3915" s="10"/>
      <c r="AF3915" s="10"/>
      <c r="AG3915" s="10"/>
      <c r="AH3915" s="10"/>
    </row>
    <row r="3916" spans="1:34" ht="15" outlineLevel="2">
      <c r="A3916" s="116"/>
      <c r="B3916" s="12" t="str">
        <f>IFERROR(VLOOKUP(D3916,'[1]Перечень товаров'!$A$2:$I9525,2,0),"")</f>
        <v/>
      </c>
      <c r="C3916" s="12" t="str">
        <f>IFERROR(VLOOKUP(D3916,'[1]Перечень товаров'!$A$2:$I9525,3,0),"")</f>
        <v/>
      </c>
      <c r="D3916" s="117" t="s">
        <v>542</v>
      </c>
      <c r="E3916" s="146"/>
      <c r="F3916" s="146"/>
      <c r="G3916" s="221" t="s">
        <v>543</v>
      </c>
      <c r="H3916" s="221"/>
      <c r="I3916" s="222"/>
      <c r="J3916" s="222"/>
      <c r="K3916" s="19"/>
      <c r="L3916" s="20"/>
      <c r="M3916" s="10"/>
      <c r="N3916" s="10"/>
      <c r="O3916" s="10"/>
      <c r="P3916" s="10"/>
      <c r="Q3916" s="10"/>
      <c r="R3916" s="10"/>
      <c r="S3916" s="10"/>
      <c r="T3916" s="10"/>
      <c r="U3916" s="10"/>
      <c r="V3916" s="10"/>
      <c r="W3916" s="10"/>
      <c r="X3916" s="10"/>
      <c r="Y3916" s="10"/>
      <c r="Z3916" s="10"/>
      <c r="AA3916" s="10"/>
      <c r="AB3916" s="10"/>
      <c r="AC3916" s="10"/>
      <c r="AD3916" s="10"/>
      <c r="AE3916" s="10"/>
      <c r="AF3916" s="10"/>
      <c r="AG3916" s="10"/>
      <c r="AH3916" s="10"/>
    </row>
    <row r="3917" spans="1:34" ht="31.5" outlineLevel="2">
      <c r="A3917" s="129"/>
      <c r="B3917" s="12" t="str">
        <f>IFERROR(VLOOKUP(D3917,'[1]Перечень товаров'!$A$2:$I9525,2,0),"")</f>
        <v>м166</v>
      </c>
      <c r="C3917" s="12" t="str">
        <f>IFERROR(VLOOKUP(D3917,'[1]Перечень товаров'!$A$2:$I9525,3,0),"")</f>
        <v>мебель</v>
      </c>
      <c r="D3917" s="130" t="s">
        <v>1078</v>
      </c>
      <c r="E3917" s="150"/>
      <c r="F3917" s="150"/>
      <c r="G3917" s="193">
        <v>2</v>
      </c>
      <c r="H3917" s="193"/>
      <c r="I3917" s="194"/>
      <c r="J3917" s="194"/>
      <c r="K3917" s="19"/>
      <c r="L3917" s="20"/>
      <c r="M3917" s="10"/>
      <c r="N3917" s="10"/>
      <c r="O3917" s="10"/>
      <c r="P3917" s="10"/>
      <c r="Q3917" s="10"/>
      <c r="R3917" s="10"/>
      <c r="S3917" s="10"/>
      <c r="T3917" s="10"/>
      <c r="U3917" s="10"/>
      <c r="V3917" s="10"/>
      <c r="W3917" s="10"/>
      <c r="X3917" s="10"/>
      <c r="Y3917" s="10"/>
      <c r="Z3917" s="10"/>
      <c r="AA3917" s="10"/>
      <c r="AB3917" s="10"/>
      <c r="AC3917" s="10"/>
      <c r="AD3917" s="10"/>
      <c r="AE3917" s="10"/>
      <c r="AF3917" s="10"/>
      <c r="AG3917" s="10"/>
      <c r="AH3917" s="10"/>
    </row>
    <row r="3918" spans="1:34" ht="31.5" outlineLevel="2">
      <c r="A3918" s="129"/>
      <c r="B3918" s="12" t="str">
        <f>IFERROR(VLOOKUP(D3918,'[1]Перечень товаров'!$A$2:$I9525,2,0),"")</f>
        <v>м165</v>
      </c>
      <c r="C3918" s="12" t="str">
        <f>IFERROR(VLOOKUP(D3918,'[1]Перечень товаров'!$A$2:$I9525,3,0),"")</f>
        <v>мебель</v>
      </c>
      <c r="D3918" s="130" t="s">
        <v>1079</v>
      </c>
      <c r="E3918" s="150"/>
      <c r="F3918" s="150"/>
      <c r="G3918" s="193">
        <v>1</v>
      </c>
      <c r="H3918" s="193"/>
      <c r="I3918" s="194"/>
      <c r="J3918" s="194"/>
      <c r="K3918" s="19"/>
      <c r="L3918" s="20"/>
      <c r="M3918" s="10"/>
      <c r="N3918" s="10"/>
      <c r="O3918" s="10"/>
      <c r="P3918" s="10"/>
      <c r="Q3918" s="10"/>
      <c r="R3918" s="10"/>
      <c r="S3918" s="10"/>
      <c r="T3918" s="10"/>
      <c r="U3918" s="10"/>
      <c r="V3918" s="10"/>
      <c r="W3918" s="10"/>
      <c r="X3918" s="10"/>
      <c r="Y3918" s="10"/>
      <c r="Z3918" s="10"/>
      <c r="AA3918" s="10"/>
      <c r="AB3918" s="10"/>
      <c r="AC3918" s="10"/>
      <c r="AD3918" s="10"/>
      <c r="AE3918" s="10"/>
      <c r="AF3918" s="10"/>
      <c r="AG3918" s="10"/>
      <c r="AH3918" s="10"/>
    </row>
    <row r="3919" spans="1:34" ht="31.5" outlineLevel="2">
      <c r="A3919" s="129"/>
      <c r="B3919" s="12" t="str">
        <f>IFERROR(VLOOKUP(D3919,'[1]Перечень товаров'!$A$2:$I9525,2,0),"")</f>
        <v>пм185</v>
      </c>
      <c r="C3919" s="12" t="str">
        <f>IFERROR(VLOOKUP(D3919,'[1]Перечень товаров'!$A$2:$I9525,3,0),"")</f>
        <v>прочее муз</v>
      </c>
      <c r="D3919" s="130" t="s">
        <v>1080</v>
      </c>
      <c r="E3919" s="150"/>
      <c r="F3919" s="150"/>
      <c r="G3919" s="193">
        <v>1</v>
      </c>
      <c r="H3919" s="193"/>
      <c r="I3919" s="194"/>
      <c r="J3919" s="194"/>
      <c r="K3919" s="19"/>
      <c r="L3919" s="20"/>
      <c r="M3919" s="10"/>
      <c r="N3919" s="10"/>
      <c r="O3919" s="10"/>
      <c r="P3919" s="10"/>
      <c r="Q3919" s="10"/>
      <c r="R3919" s="10"/>
      <c r="S3919" s="10"/>
      <c r="T3919" s="10"/>
      <c r="U3919" s="10"/>
      <c r="V3919" s="10"/>
      <c r="W3919" s="10"/>
      <c r="X3919" s="10"/>
      <c r="Y3919" s="10"/>
      <c r="Z3919" s="10"/>
      <c r="AA3919" s="10"/>
      <c r="AB3919" s="10"/>
      <c r="AC3919" s="10"/>
      <c r="AD3919" s="10"/>
      <c r="AE3919" s="10"/>
      <c r="AF3919" s="10"/>
      <c r="AG3919" s="10"/>
      <c r="AH3919" s="10"/>
    </row>
    <row r="3920" spans="1:34" outlineLevel="2">
      <c r="A3920" s="129"/>
      <c r="B3920" s="12" t="str">
        <f>IFERROR(VLOOKUP(D3920,'[1]Перечень товаров'!$A$2:$I9525,2,0),"")</f>
        <v>м164</v>
      </c>
      <c r="C3920" s="12" t="str">
        <f>IFERROR(VLOOKUP(D3920,'[1]Перечень товаров'!$A$2:$I9525,3,0),"")</f>
        <v>мебель</v>
      </c>
      <c r="D3920" s="130" t="s">
        <v>1081</v>
      </c>
      <c r="E3920" s="150"/>
      <c r="F3920" s="150"/>
      <c r="G3920" s="193">
        <v>1</v>
      </c>
      <c r="H3920" s="193"/>
      <c r="I3920" s="194"/>
      <c r="J3920" s="194"/>
      <c r="K3920" s="19"/>
      <c r="L3920" s="20"/>
      <c r="M3920" s="10"/>
      <c r="N3920" s="10"/>
      <c r="O3920" s="10"/>
      <c r="P3920" s="10"/>
      <c r="Q3920" s="10"/>
      <c r="R3920" s="10"/>
      <c r="S3920" s="10"/>
      <c r="T3920" s="10"/>
      <c r="U3920" s="10"/>
      <c r="V3920" s="10"/>
      <c r="W3920" s="10"/>
      <c r="X3920" s="10"/>
      <c r="Y3920" s="10"/>
      <c r="Z3920" s="10"/>
      <c r="AA3920" s="10"/>
      <c r="AB3920" s="10"/>
      <c r="AC3920" s="10"/>
      <c r="AD3920" s="10"/>
      <c r="AE3920" s="10"/>
      <c r="AF3920" s="10"/>
      <c r="AG3920" s="10"/>
      <c r="AH3920" s="10"/>
    </row>
    <row r="3921" spans="1:34" ht="31.5" outlineLevel="2">
      <c r="A3921" s="129"/>
      <c r="B3921" s="12" t="str">
        <f>IFERROR(VLOOKUP(D3921,'[1]Перечень товаров'!$A$2:$I9525,2,0),"")</f>
        <v>м163</v>
      </c>
      <c r="C3921" s="12" t="str">
        <f>IFERROR(VLOOKUP(D3921,'[1]Перечень товаров'!$A$2:$I9525,3,0),"")</f>
        <v>мебель</v>
      </c>
      <c r="D3921" s="130" t="s">
        <v>1082</v>
      </c>
      <c r="E3921" s="150"/>
      <c r="F3921" s="150"/>
      <c r="G3921" s="193">
        <v>1</v>
      </c>
      <c r="H3921" s="193"/>
      <c r="I3921" s="194"/>
      <c r="J3921" s="194"/>
      <c r="K3921" s="19"/>
      <c r="L3921" s="20"/>
      <c r="M3921" s="10"/>
      <c r="N3921" s="10"/>
      <c r="O3921" s="10"/>
      <c r="P3921" s="10"/>
      <c r="Q3921" s="10"/>
      <c r="R3921" s="10"/>
      <c r="S3921" s="10"/>
      <c r="T3921" s="10"/>
      <c r="U3921" s="10"/>
      <c r="V3921" s="10"/>
      <c r="W3921" s="10"/>
      <c r="X3921" s="10"/>
      <c r="Y3921" s="10"/>
      <c r="Z3921" s="10"/>
      <c r="AA3921" s="10"/>
      <c r="AB3921" s="10"/>
      <c r="AC3921" s="10"/>
      <c r="AD3921" s="10"/>
      <c r="AE3921" s="10"/>
      <c r="AF3921" s="10"/>
      <c r="AG3921" s="10"/>
      <c r="AH3921" s="10"/>
    </row>
    <row r="3922" spans="1:34" ht="15" outlineLevel="2">
      <c r="A3922" s="116"/>
      <c r="B3922" s="12" t="str">
        <f>IFERROR(VLOOKUP(D3922,'[1]Перечень товаров'!$A$2:$I9525,2,0),"")</f>
        <v/>
      </c>
      <c r="C3922" s="12" t="str">
        <f>IFERROR(VLOOKUP(D3922,'[1]Перечень товаров'!$A$2:$I9525,3,0),"")</f>
        <v/>
      </c>
      <c r="D3922" s="117" t="s">
        <v>542</v>
      </c>
      <c r="E3922" s="146"/>
      <c r="F3922" s="146"/>
      <c r="G3922" s="221" t="s">
        <v>543</v>
      </c>
      <c r="H3922" s="221"/>
      <c r="I3922" s="222"/>
      <c r="J3922" s="222"/>
      <c r="K3922" s="19"/>
      <c r="L3922" s="20"/>
      <c r="M3922" s="10"/>
      <c r="N3922" s="10"/>
      <c r="O3922" s="10"/>
      <c r="P3922" s="10"/>
      <c r="Q3922" s="10"/>
      <c r="R3922" s="10"/>
      <c r="S3922" s="10"/>
      <c r="T3922" s="10"/>
      <c r="U3922" s="10"/>
      <c r="V3922" s="10"/>
      <c r="W3922" s="10"/>
      <c r="X3922" s="10"/>
      <c r="Y3922" s="10"/>
      <c r="Z3922" s="10"/>
      <c r="AA3922" s="10"/>
      <c r="AB3922" s="10"/>
      <c r="AC3922" s="10"/>
      <c r="AD3922" s="10"/>
      <c r="AE3922" s="10"/>
      <c r="AF3922" s="10"/>
      <c r="AG3922" s="10"/>
      <c r="AH3922" s="10"/>
    </row>
    <row r="3923" spans="1:34" ht="31.5" outlineLevel="2">
      <c r="A3923" s="129"/>
      <c r="B3923" s="12" t="str">
        <f>IFERROR(VLOOKUP(D3923,'[1]Перечень товаров'!$A$2:$I9525,2,0),"")</f>
        <v>пм184</v>
      </c>
      <c r="C3923" s="12" t="str">
        <f>IFERROR(VLOOKUP(D3923,'[1]Перечень товаров'!$A$2:$I9525,3,0),"")</f>
        <v>прочее муз</v>
      </c>
      <c r="D3923" s="130" t="s">
        <v>1083</v>
      </c>
      <c r="E3923" s="150"/>
      <c r="F3923" s="150"/>
      <c r="G3923" s="193">
        <v>6</v>
      </c>
      <c r="H3923" s="193"/>
      <c r="I3923" s="194"/>
      <c r="J3923" s="194"/>
      <c r="K3923" s="19"/>
      <c r="L3923" s="20"/>
      <c r="M3923" s="10"/>
      <c r="N3923" s="10"/>
      <c r="O3923" s="10"/>
      <c r="P3923" s="10"/>
      <c r="Q3923" s="10"/>
      <c r="R3923" s="10"/>
      <c r="S3923" s="10"/>
      <c r="T3923" s="10"/>
      <c r="U3923" s="10"/>
      <c r="V3923" s="10"/>
      <c r="W3923" s="10"/>
      <c r="X3923" s="10"/>
      <c r="Y3923" s="10"/>
      <c r="Z3923" s="10"/>
      <c r="AA3923" s="10"/>
      <c r="AB3923" s="10"/>
      <c r="AC3923" s="10"/>
      <c r="AD3923" s="10"/>
      <c r="AE3923" s="10"/>
      <c r="AF3923" s="10"/>
      <c r="AG3923" s="10"/>
      <c r="AH3923" s="10"/>
    </row>
    <row r="3924" spans="1:34" ht="31.5" outlineLevel="2">
      <c r="A3924" s="129"/>
      <c r="B3924" s="12" t="str">
        <f>IFERROR(VLOOKUP(D3924,'[1]Перечень товаров'!$A$2:$I9525,2,0),"")</f>
        <v>пм183</v>
      </c>
      <c r="C3924" s="12" t="str">
        <f>IFERROR(VLOOKUP(D3924,'[1]Перечень товаров'!$A$2:$I9525,3,0),"")</f>
        <v>прочее муз</v>
      </c>
      <c r="D3924" s="130" t="s">
        <v>1084</v>
      </c>
      <c r="E3924" s="150"/>
      <c r="F3924" s="150"/>
      <c r="G3924" s="193">
        <v>4</v>
      </c>
      <c r="H3924" s="193"/>
      <c r="I3924" s="194"/>
      <c r="J3924" s="194"/>
      <c r="K3924" s="19"/>
      <c r="L3924" s="20"/>
      <c r="M3924" s="10"/>
      <c r="N3924" s="10"/>
      <c r="O3924" s="10"/>
      <c r="P3924" s="10"/>
      <c r="Q3924" s="10"/>
      <c r="R3924" s="10"/>
      <c r="S3924" s="10"/>
      <c r="T3924" s="10"/>
      <c r="U3924" s="10"/>
      <c r="V3924" s="10"/>
      <c r="W3924" s="10"/>
      <c r="X3924" s="10"/>
      <c r="Y3924" s="10"/>
      <c r="Z3924" s="10"/>
      <c r="AA3924" s="10"/>
      <c r="AB3924" s="10"/>
      <c r="AC3924" s="10"/>
      <c r="AD3924" s="10"/>
      <c r="AE3924" s="10"/>
      <c r="AF3924" s="10"/>
      <c r="AG3924" s="10"/>
      <c r="AH3924" s="10"/>
    </row>
    <row r="3925" spans="1:34" ht="47.25" outlineLevel="2">
      <c r="A3925" s="129"/>
      <c r="B3925" s="12" t="str">
        <f>IFERROR(VLOOKUP(D3925,'[1]Перечень товаров'!$A$2:$I9525,2,0),"")</f>
        <v>д550</v>
      </c>
      <c r="C3925" s="12" t="str">
        <f>IFERROR(VLOOKUP(D3925,'[1]Перечень товаров'!$A$2:$I9525,3,0),"")</f>
        <v>дидактика</v>
      </c>
      <c r="D3925" s="130" t="s">
        <v>1085</v>
      </c>
      <c r="E3925" s="150"/>
      <c r="F3925" s="150"/>
      <c r="G3925" s="193">
        <v>1</v>
      </c>
      <c r="H3925" s="193"/>
      <c r="I3925" s="194"/>
      <c r="J3925" s="194"/>
      <c r="K3925" s="19"/>
      <c r="L3925" s="20"/>
      <c r="M3925" s="10"/>
      <c r="N3925" s="10"/>
      <c r="O3925" s="10"/>
      <c r="P3925" s="10"/>
      <c r="Q3925" s="10"/>
      <c r="R3925" s="10"/>
      <c r="S3925" s="10"/>
      <c r="T3925" s="10"/>
      <c r="U3925" s="10"/>
      <c r="V3925" s="10"/>
      <c r="W3925" s="10"/>
      <c r="X3925" s="10"/>
      <c r="Y3925" s="10"/>
      <c r="Z3925" s="10"/>
      <c r="AA3925" s="10"/>
      <c r="AB3925" s="10"/>
      <c r="AC3925" s="10"/>
      <c r="AD3925" s="10"/>
      <c r="AE3925" s="10"/>
      <c r="AF3925" s="10"/>
      <c r="AG3925" s="10"/>
      <c r="AH3925" s="10"/>
    </row>
    <row r="3926" spans="1:34" ht="31.5" outlineLevel="2">
      <c r="A3926" s="129"/>
      <c r="B3926" s="12" t="str">
        <f>IFERROR(VLOOKUP(D3926,'[1]Перечень товаров'!$A$2:$I9525,2,0),"")</f>
        <v>д549</v>
      </c>
      <c r="C3926" s="12" t="str">
        <f>IFERROR(VLOOKUP(D3926,'[1]Перечень товаров'!$A$2:$I9525,3,0),"")</f>
        <v>дидактика</v>
      </c>
      <c r="D3926" s="130" t="s">
        <v>1086</v>
      </c>
      <c r="E3926" s="150"/>
      <c r="F3926" s="150"/>
      <c r="G3926" s="193">
        <v>1</v>
      </c>
      <c r="H3926" s="193"/>
      <c r="I3926" s="194"/>
      <c r="J3926" s="194"/>
      <c r="K3926" s="19"/>
      <c r="L3926" s="20"/>
      <c r="M3926" s="10"/>
      <c r="N3926" s="10"/>
      <c r="O3926" s="10"/>
      <c r="P3926" s="10"/>
      <c r="Q3926" s="10"/>
      <c r="R3926" s="10"/>
      <c r="S3926" s="10"/>
      <c r="T3926" s="10"/>
      <c r="U3926" s="10"/>
      <c r="V3926" s="10"/>
      <c r="W3926" s="10"/>
      <c r="X3926" s="10"/>
      <c r="Y3926" s="10"/>
      <c r="Z3926" s="10"/>
      <c r="AA3926" s="10"/>
      <c r="AB3926" s="10"/>
      <c r="AC3926" s="10"/>
      <c r="AD3926" s="10"/>
      <c r="AE3926" s="10"/>
      <c r="AF3926" s="10"/>
      <c r="AG3926" s="10"/>
      <c r="AH3926" s="10"/>
    </row>
    <row r="3927" spans="1:34" ht="31.5" outlineLevel="2">
      <c r="A3927" s="129"/>
      <c r="B3927" s="12" t="str">
        <f>IFERROR(VLOOKUP(D3927,'[1]Перечень товаров'!$A$2:$I9525,2,0),"")</f>
        <v>тм200</v>
      </c>
      <c r="C3927" s="12" t="str">
        <f>IFERROR(VLOOKUP(D3927,'[1]Перечень товаров'!$A$2:$I9525,3,0),"")</f>
        <v>Техника муз</v>
      </c>
      <c r="D3927" s="130" t="s">
        <v>1087</v>
      </c>
      <c r="E3927" s="150"/>
      <c r="F3927" s="150"/>
      <c r="G3927" s="193">
        <v>1</v>
      </c>
      <c r="H3927" s="193"/>
      <c r="I3927" s="194"/>
      <c r="J3927" s="194"/>
      <c r="K3927" s="19"/>
      <c r="L3927" s="20"/>
      <c r="M3927" s="10"/>
      <c r="N3927" s="10"/>
      <c r="O3927" s="10"/>
      <c r="P3927" s="10"/>
      <c r="Q3927" s="10"/>
      <c r="R3927" s="10"/>
      <c r="S3927" s="10"/>
      <c r="T3927" s="10"/>
      <c r="U3927" s="10"/>
      <c r="V3927" s="10"/>
      <c r="W3927" s="10"/>
      <c r="X3927" s="10"/>
      <c r="Y3927" s="10"/>
      <c r="Z3927" s="10"/>
      <c r="AA3927" s="10"/>
      <c r="AB3927" s="10"/>
      <c r="AC3927" s="10"/>
      <c r="AD3927" s="10"/>
      <c r="AE3927" s="10"/>
      <c r="AF3927" s="10"/>
      <c r="AG3927" s="10"/>
      <c r="AH3927" s="10"/>
    </row>
    <row r="3928" spans="1:34" ht="31.5" outlineLevel="2">
      <c r="A3928" s="129"/>
      <c r="B3928" s="12" t="str">
        <f>IFERROR(VLOOKUP(D3928,'[1]Перечень товаров'!$A$2:$I9525,2,0),"")</f>
        <v>пм182</v>
      </c>
      <c r="C3928" s="12" t="str">
        <f>IFERROR(VLOOKUP(D3928,'[1]Перечень товаров'!$A$2:$I9525,3,0),"")</f>
        <v>прочее муз</v>
      </c>
      <c r="D3928" s="130" t="s">
        <v>1088</v>
      </c>
      <c r="E3928" s="150"/>
      <c r="F3928" s="150"/>
      <c r="G3928" s="193">
        <v>1</v>
      </c>
      <c r="H3928" s="193"/>
      <c r="I3928" s="194"/>
      <c r="J3928" s="194"/>
      <c r="K3928" s="19"/>
      <c r="L3928" s="20"/>
      <c r="M3928" s="10"/>
      <c r="N3928" s="10"/>
      <c r="O3928" s="10"/>
      <c r="P3928" s="10"/>
      <c r="Q3928" s="10"/>
      <c r="R3928" s="10"/>
      <c r="S3928" s="10"/>
      <c r="T3928" s="10"/>
      <c r="U3928" s="10"/>
      <c r="V3928" s="10"/>
      <c r="W3928" s="10"/>
      <c r="X3928" s="10"/>
      <c r="Y3928" s="10"/>
      <c r="Z3928" s="10"/>
      <c r="AA3928" s="10"/>
      <c r="AB3928" s="10"/>
      <c r="AC3928" s="10"/>
      <c r="AD3928" s="10"/>
      <c r="AE3928" s="10"/>
      <c r="AF3928" s="10"/>
      <c r="AG3928" s="10"/>
      <c r="AH3928" s="10"/>
    </row>
    <row r="3929" spans="1:34" ht="47.25" outlineLevel="2">
      <c r="A3929" s="129"/>
      <c r="B3929" s="12" t="str">
        <f>IFERROR(VLOOKUP(D3929,'[1]Перечень товаров'!$A$2:$I9525,2,0),"")</f>
        <v>тм36</v>
      </c>
      <c r="C3929" s="12" t="str">
        <f>IFERROR(VLOOKUP(D3929,'[1]Перечень товаров'!$A$2:$I9525,3,0),"")</f>
        <v>Техника муз</v>
      </c>
      <c r="D3929" s="130" t="s">
        <v>275</v>
      </c>
      <c r="E3929" s="150"/>
      <c r="F3929" s="150"/>
      <c r="G3929" s="193">
        <v>2</v>
      </c>
      <c r="H3929" s="193"/>
      <c r="I3929" s="194"/>
      <c r="J3929" s="194"/>
      <c r="K3929" s="19"/>
      <c r="L3929" s="20"/>
      <c r="M3929" s="10"/>
      <c r="N3929" s="10"/>
      <c r="O3929" s="10"/>
      <c r="P3929" s="10"/>
      <c r="Q3929" s="10"/>
      <c r="R3929" s="10"/>
      <c r="S3929" s="10"/>
      <c r="T3929" s="10"/>
      <c r="U3929" s="10"/>
      <c r="V3929" s="10"/>
      <c r="W3929" s="10"/>
      <c r="X3929" s="10"/>
      <c r="Y3929" s="10"/>
      <c r="Z3929" s="10"/>
      <c r="AA3929" s="10"/>
      <c r="AB3929" s="10"/>
      <c r="AC3929" s="10"/>
      <c r="AD3929" s="10"/>
      <c r="AE3929" s="10"/>
      <c r="AF3929" s="10"/>
      <c r="AG3929" s="10"/>
      <c r="AH3929" s="10"/>
    </row>
    <row r="3930" spans="1:34" ht="31.5" outlineLevel="2">
      <c r="A3930" s="129"/>
      <c r="B3930" s="12" t="str">
        <f>IFERROR(VLOOKUP(D3930,'[1]Перечень товаров'!$A$2:$I9525,2,0),"")</f>
        <v>пм181</v>
      </c>
      <c r="C3930" s="12" t="str">
        <f>IFERROR(VLOOKUP(D3930,'[1]Перечень товаров'!$A$2:$I9525,3,0),"")</f>
        <v>прочее муз</v>
      </c>
      <c r="D3930" s="130" t="s">
        <v>1089</v>
      </c>
      <c r="E3930" s="150"/>
      <c r="F3930" s="150"/>
      <c r="G3930" s="193">
        <v>2</v>
      </c>
      <c r="H3930" s="193"/>
      <c r="I3930" s="194"/>
      <c r="J3930" s="194"/>
      <c r="K3930" s="19"/>
      <c r="L3930" s="20"/>
      <c r="M3930" s="10"/>
      <c r="N3930" s="10"/>
      <c r="O3930" s="10"/>
      <c r="P3930" s="10"/>
      <c r="Q3930" s="10"/>
      <c r="R3930" s="10"/>
      <c r="S3930" s="10"/>
      <c r="T3930" s="10"/>
      <c r="U3930" s="10"/>
      <c r="V3930" s="10"/>
      <c r="W3930" s="10"/>
      <c r="X3930" s="10"/>
      <c r="Y3930" s="10"/>
      <c r="Z3930" s="10"/>
      <c r="AA3930" s="10"/>
      <c r="AB3930" s="10"/>
      <c r="AC3930" s="10"/>
      <c r="AD3930" s="10"/>
      <c r="AE3930" s="10"/>
      <c r="AF3930" s="10"/>
      <c r="AG3930" s="10"/>
      <c r="AH3930" s="10"/>
    </row>
    <row r="3931" spans="1:34" ht="31.5" outlineLevel="2">
      <c r="A3931" s="129"/>
      <c r="B3931" s="12" t="str">
        <f>IFERROR(VLOOKUP(D3931,'[1]Перечень товаров'!$A$2:$I9525,2,0),"")</f>
        <v>т180</v>
      </c>
      <c r="C3931" s="12" t="str">
        <f>IFERROR(VLOOKUP(D3931,'[1]Перечень товаров'!$A$2:$I9525,3,0),"")</f>
        <v>Техника</v>
      </c>
      <c r="D3931" s="130" t="s">
        <v>450</v>
      </c>
      <c r="E3931" s="150"/>
      <c r="F3931" s="150"/>
      <c r="G3931" s="193">
        <v>4</v>
      </c>
      <c r="H3931" s="193"/>
      <c r="I3931" s="194"/>
      <c r="J3931" s="194"/>
      <c r="K3931" s="19"/>
      <c r="L3931" s="20"/>
      <c r="M3931" s="10"/>
      <c r="N3931" s="10"/>
      <c r="O3931" s="10"/>
      <c r="P3931" s="10"/>
      <c r="Q3931" s="10"/>
      <c r="R3931" s="10"/>
      <c r="S3931" s="10"/>
      <c r="T3931" s="10"/>
      <c r="U3931" s="10"/>
      <c r="V3931" s="10"/>
      <c r="W3931" s="10"/>
      <c r="X3931" s="10"/>
      <c r="Y3931" s="10"/>
      <c r="Z3931" s="10"/>
      <c r="AA3931" s="10"/>
      <c r="AB3931" s="10"/>
      <c r="AC3931" s="10"/>
      <c r="AD3931" s="10"/>
      <c r="AE3931" s="10"/>
      <c r="AF3931" s="10"/>
      <c r="AG3931" s="10"/>
      <c r="AH3931" s="10"/>
    </row>
    <row r="3932" spans="1:34" outlineLevel="2">
      <c r="A3932" s="129"/>
      <c r="B3932" s="12" t="str">
        <f>IFERROR(VLOOKUP(D3932,'[1]Перечень товаров'!$A$2:$I9525,2,0),"")</f>
        <v>д548</v>
      </c>
      <c r="C3932" s="12" t="str">
        <f>IFERROR(VLOOKUP(D3932,'[1]Перечень товаров'!$A$2:$I9525,3,0),"")</f>
        <v>дидактика</v>
      </c>
      <c r="D3932" s="130" t="s">
        <v>1090</v>
      </c>
      <c r="E3932" s="150"/>
      <c r="F3932" s="150"/>
      <c r="G3932" s="193" t="s">
        <v>1091</v>
      </c>
      <c r="H3932" s="193"/>
      <c r="I3932" s="194"/>
      <c r="J3932" s="194"/>
      <c r="K3932" s="19"/>
      <c r="L3932" s="20"/>
      <c r="M3932" s="10"/>
      <c r="N3932" s="10"/>
      <c r="O3932" s="10"/>
      <c r="P3932" s="10"/>
      <c r="Q3932" s="10"/>
      <c r="R3932" s="10"/>
      <c r="S3932" s="10"/>
      <c r="T3932" s="10"/>
      <c r="U3932" s="10"/>
      <c r="V3932" s="10"/>
      <c r="W3932" s="10"/>
      <c r="X3932" s="10"/>
      <c r="Y3932" s="10"/>
      <c r="Z3932" s="10"/>
      <c r="AA3932" s="10"/>
      <c r="AB3932" s="10"/>
      <c r="AC3932" s="10"/>
      <c r="AD3932" s="10"/>
      <c r="AE3932" s="10"/>
      <c r="AF3932" s="10"/>
      <c r="AG3932" s="10"/>
      <c r="AH3932" s="10"/>
    </row>
    <row r="3933" spans="1:34" ht="31.5" outlineLevel="2">
      <c r="A3933" s="129"/>
      <c r="B3933" s="12" t="str">
        <f>IFERROR(VLOOKUP(D3933,'[1]Перечень товаров'!$A$2:$I9525,2,0),"")</f>
        <v>пм180</v>
      </c>
      <c r="C3933" s="12" t="str">
        <f>IFERROR(VLOOKUP(D3933,'[1]Перечень товаров'!$A$2:$I9525,3,0),"")</f>
        <v>прочее муз</v>
      </c>
      <c r="D3933" s="130" t="s">
        <v>1092</v>
      </c>
      <c r="E3933" s="150"/>
      <c r="F3933" s="150"/>
      <c r="G3933" s="193">
        <v>1</v>
      </c>
      <c r="H3933" s="193"/>
      <c r="I3933" s="194"/>
      <c r="J3933" s="194"/>
      <c r="K3933" s="19"/>
      <c r="L3933" s="20"/>
      <c r="M3933" s="10"/>
      <c r="N3933" s="10"/>
      <c r="O3933" s="10"/>
      <c r="P3933" s="10"/>
      <c r="Q3933" s="10"/>
      <c r="R3933" s="10"/>
      <c r="S3933" s="10"/>
      <c r="T3933" s="10"/>
      <c r="U3933" s="10"/>
      <c r="V3933" s="10"/>
      <c r="W3933" s="10"/>
      <c r="X3933" s="10"/>
      <c r="Y3933" s="10"/>
      <c r="Z3933" s="10"/>
      <c r="AA3933" s="10"/>
      <c r="AB3933" s="10"/>
      <c r="AC3933" s="10"/>
      <c r="AD3933" s="10"/>
      <c r="AE3933" s="10"/>
      <c r="AF3933" s="10"/>
      <c r="AG3933" s="10"/>
      <c r="AH3933" s="10"/>
    </row>
    <row r="3934" spans="1:34" outlineLevel="2">
      <c r="A3934" s="129"/>
      <c r="B3934" s="12" t="str">
        <f>IFERROR(VLOOKUP(D3934,'[1]Перечень товаров'!$A$2:$I9525,2,0),"")</f>
        <v>пм179</v>
      </c>
      <c r="C3934" s="12" t="str">
        <f>IFERROR(VLOOKUP(D3934,'[1]Перечень товаров'!$A$2:$I9525,3,0),"")</f>
        <v>прочее муз</v>
      </c>
      <c r="D3934" s="130" t="s">
        <v>1093</v>
      </c>
      <c r="E3934" s="150"/>
      <c r="F3934" s="150"/>
      <c r="G3934" s="193">
        <v>1</v>
      </c>
      <c r="H3934" s="193"/>
      <c r="I3934" s="194"/>
      <c r="J3934" s="194"/>
      <c r="K3934" s="19"/>
      <c r="L3934" s="20"/>
      <c r="M3934" s="10"/>
      <c r="N3934" s="10"/>
      <c r="O3934" s="10"/>
      <c r="P3934" s="10"/>
      <c r="Q3934" s="10"/>
      <c r="R3934" s="10"/>
      <c r="S3934" s="10"/>
      <c r="T3934" s="10"/>
      <c r="U3934" s="10"/>
      <c r="V3934" s="10"/>
      <c r="W3934" s="10"/>
      <c r="X3934" s="10"/>
      <c r="Y3934" s="10"/>
      <c r="Z3934" s="10"/>
      <c r="AA3934" s="10"/>
      <c r="AB3934" s="10"/>
      <c r="AC3934" s="10"/>
      <c r="AD3934" s="10"/>
      <c r="AE3934" s="10"/>
      <c r="AF3934" s="10"/>
      <c r="AG3934" s="10"/>
      <c r="AH3934" s="10"/>
    </row>
    <row r="3935" spans="1:34" ht="31.5" outlineLevel="2">
      <c r="A3935" s="129"/>
      <c r="B3935" s="12" t="str">
        <f>IFERROR(VLOOKUP(D3935,'[1]Перечень товаров'!$A$2:$I9525,2,0),"")</f>
        <v>пм178</v>
      </c>
      <c r="C3935" s="12" t="str">
        <f>IFERROR(VLOOKUP(D3935,'[1]Перечень товаров'!$A$2:$I9525,3,0),"")</f>
        <v>прочее муз</v>
      </c>
      <c r="D3935" s="130" t="s">
        <v>1094</v>
      </c>
      <c r="E3935" s="150"/>
      <c r="F3935" s="150"/>
      <c r="G3935" s="193">
        <v>4</v>
      </c>
      <c r="H3935" s="193"/>
      <c r="I3935" s="194"/>
      <c r="J3935" s="194"/>
      <c r="K3935" s="19"/>
      <c r="L3935" s="20"/>
      <c r="M3935" s="10"/>
      <c r="N3935" s="10"/>
      <c r="O3935" s="10"/>
      <c r="P3935" s="10"/>
      <c r="Q3935" s="10"/>
      <c r="R3935" s="10"/>
      <c r="S3935" s="10"/>
      <c r="T3935" s="10"/>
      <c r="U3935" s="10"/>
      <c r="V3935" s="10"/>
      <c r="W3935" s="10"/>
      <c r="X3935" s="10"/>
      <c r="Y3935" s="10"/>
      <c r="Z3935" s="10"/>
      <c r="AA3935" s="10"/>
      <c r="AB3935" s="10"/>
      <c r="AC3935" s="10"/>
      <c r="AD3935" s="10"/>
      <c r="AE3935" s="10"/>
      <c r="AF3935" s="10"/>
      <c r="AG3935" s="10"/>
      <c r="AH3935" s="10"/>
    </row>
    <row r="3936" spans="1:34" ht="31.5" outlineLevel="2">
      <c r="A3936" s="129"/>
      <c r="B3936" s="12" t="str">
        <f>IFERROR(VLOOKUP(D3936,'[1]Перечень товаров'!$A$2:$I9525,2,0),"")</f>
        <v>пм177</v>
      </c>
      <c r="C3936" s="12" t="str">
        <f>IFERROR(VLOOKUP(D3936,'[1]Перечень товаров'!$A$2:$I9525,3,0),"")</f>
        <v>прочее муз</v>
      </c>
      <c r="D3936" s="130" t="s">
        <v>1095</v>
      </c>
      <c r="E3936" s="150"/>
      <c r="F3936" s="150"/>
      <c r="G3936" s="193">
        <v>1</v>
      </c>
      <c r="H3936" s="193"/>
      <c r="I3936" s="194"/>
      <c r="J3936" s="194"/>
      <c r="K3936" s="19"/>
      <c r="L3936" s="20"/>
      <c r="M3936" s="10"/>
      <c r="N3936" s="10"/>
      <c r="O3936" s="10"/>
      <c r="P3936" s="10"/>
      <c r="Q3936" s="10"/>
      <c r="R3936" s="10"/>
      <c r="S3936" s="10"/>
      <c r="T3936" s="10"/>
      <c r="U3936" s="10"/>
      <c r="V3936" s="10"/>
      <c r="W3936" s="10"/>
      <c r="X3936" s="10"/>
      <c r="Y3936" s="10"/>
      <c r="Z3936" s="10"/>
      <c r="AA3936" s="10"/>
      <c r="AB3936" s="10"/>
      <c r="AC3936" s="10"/>
      <c r="AD3936" s="10"/>
      <c r="AE3936" s="10"/>
      <c r="AF3936" s="10"/>
      <c r="AG3936" s="10"/>
      <c r="AH3936" s="10"/>
    </row>
    <row r="3937" spans="1:34" ht="31.5" outlineLevel="2">
      <c r="A3937" s="129"/>
      <c r="B3937" s="12" t="str">
        <f>IFERROR(VLOOKUP(D3937,'[1]Перечень товаров'!$A$2:$I9525,2,0),"")</f>
        <v>т169</v>
      </c>
      <c r="C3937" s="12" t="str">
        <f>IFERROR(VLOOKUP(D3937,'[1]Перечень товаров'!$A$2:$I9525,3,0),"")</f>
        <v>Техника</v>
      </c>
      <c r="D3937" s="130" t="s">
        <v>438</v>
      </c>
      <c r="E3937" s="150"/>
      <c r="F3937" s="150"/>
      <c r="G3937" s="193">
        <v>8</v>
      </c>
      <c r="H3937" s="193"/>
      <c r="I3937" s="194"/>
      <c r="J3937" s="194"/>
      <c r="K3937" s="19"/>
      <c r="L3937" s="20"/>
      <c r="M3937" s="10"/>
      <c r="N3937" s="10"/>
      <c r="O3937" s="10"/>
      <c r="P3937" s="10"/>
      <c r="Q3937" s="10"/>
      <c r="R3937" s="10"/>
      <c r="S3937" s="10"/>
      <c r="T3937" s="10"/>
      <c r="U3937" s="10"/>
      <c r="V3937" s="10"/>
      <c r="W3937" s="10"/>
      <c r="X3937" s="10"/>
      <c r="Y3937" s="10"/>
      <c r="Z3937" s="10"/>
      <c r="AA3937" s="10"/>
      <c r="AB3937" s="10"/>
      <c r="AC3937" s="10"/>
      <c r="AD3937" s="10"/>
      <c r="AE3937" s="10"/>
      <c r="AF3937" s="10"/>
      <c r="AG3937" s="10"/>
      <c r="AH3937" s="10"/>
    </row>
    <row r="3938" spans="1:34" ht="31.5" outlineLevel="2">
      <c r="A3938" s="129"/>
      <c r="B3938" s="12" t="str">
        <f>IFERROR(VLOOKUP(D3938,'[1]Перечень товаров'!$A$2:$I9525,2,0),"")</f>
        <v>д547</v>
      </c>
      <c r="C3938" s="12" t="str">
        <f>IFERROR(VLOOKUP(D3938,'[1]Перечень товаров'!$A$2:$I9525,3,0),"")</f>
        <v>дидактика</v>
      </c>
      <c r="D3938" s="130" t="s">
        <v>1096</v>
      </c>
      <c r="E3938" s="150"/>
      <c r="F3938" s="150"/>
      <c r="G3938" s="193">
        <v>1</v>
      </c>
      <c r="H3938" s="193"/>
      <c r="I3938" s="194"/>
      <c r="J3938" s="194"/>
      <c r="K3938" s="19"/>
      <c r="L3938" s="20"/>
      <c r="M3938" s="10"/>
      <c r="N3938" s="10"/>
      <c r="O3938" s="10"/>
      <c r="P3938" s="10"/>
      <c r="Q3938" s="10"/>
      <c r="R3938" s="10"/>
      <c r="S3938" s="10"/>
      <c r="T3938" s="10"/>
      <c r="U3938" s="10"/>
      <c r="V3938" s="10"/>
      <c r="W3938" s="10"/>
      <c r="X3938" s="10"/>
      <c r="Y3938" s="10"/>
      <c r="Z3938" s="10"/>
      <c r="AA3938" s="10"/>
      <c r="AB3938" s="10"/>
      <c r="AC3938" s="10"/>
      <c r="AD3938" s="10"/>
      <c r="AE3938" s="10"/>
      <c r="AF3938" s="10"/>
      <c r="AG3938" s="10"/>
      <c r="AH3938" s="10"/>
    </row>
    <row r="3939" spans="1:34" outlineLevel="2">
      <c r="A3939" s="129"/>
      <c r="B3939" s="12" t="str">
        <f>IFERROR(VLOOKUP(D3939,'[1]Перечень товаров'!$A$2:$I9525,2,0),"")</f>
        <v>пм176</v>
      </c>
      <c r="C3939" s="12" t="str">
        <f>IFERROR(VLOOKUP(D3939,'[1]Перечень товаров'!$A$2:$I9525,3,0),"")</f>
        <v>прочее муз</v>
      </c>
      <c r="D3939" s="130" t="s">
        <v>1097</v>
      </c>
      <c r="E3939" s="150"/>
      <c r="F3939" s="150"/>
      <c r="G3939" s="193" t="s">
        <v>1098</v>
      </c>
      <c r="H3939" s="193"/>
      <c r="I3939" s="194"/>
      <c r="J3939" s="194"/>
      <c r="K3939" s="19"/>
      <c r="L3939" s="20"/>
      <c r="M3939" s="10"/>
      <c r="N3939" s="10"/>
      <c r="O3939" s="10"/>
      <c r="P3939" s="10"/>
      <c r="Q3939" s="10"/>
      <c r="R3939" s="10"/>
      <c r="S3939" s="10"/>
      <c r="T3939" s="10"/>
      <c r="U3939" s="10"/>
      <c r="V3939" s="10"/>
      <c r="W3939" s="10"/>
      <c r="X3939" s="10"/>
      <c r="Y3939" s="10"/>
      <c r="Z3939" s="10"/>
      <c r="AA3939" s="10"/>
      <c r="AB3939" s="10"/>
      <c r="AC3939" s="10"/>
      <c r="AD3939" s="10"/>
      <c r="AE3939" s="10"/>
      <c r="AF3939" s="10"/>
      <c r="AG3939" s="10"/>
      <c r="AH3939" s="10"/>
    </row>
    <row r="3940" spans="1:34" ht="12.75" outlineLevel="1">
      <c r="A3940" s="89"/>
      <c r="B3940" s="12" t="str">
        <f>IFERROR(VLOOKUP(D3940,'[1]Перечень товаров'!$A$2:$I9525,2,0),"")</f>
        <v/>
      </c>
      <c r="C3940" s="12" t="str">
        <f>IFERROR(VLOOKUP(D3940,'[1]Перечень товаров'!$A$2:$I9525,3,0),"")</f>
        <v/>
      </c>
      <c r="D3940" s="90" t="s">
        <v>1100</v>
      </c>
      <c r="E3940" s="91">
        <v>42.1</v>
      </c>
      <c r="F3940" s="91"/>
      <c r="G3940" s="17"/>
      <c r="H3940" s="17"/>
      <c r="I3940" s="57"/>
      <c r="J3940" s="57"/>
      <c r="K3940" s="19"/>
      <c r="L3940" s="20"/>
      <c r="M3940" s="10"/>
      <c r="N3940" s="10"/>
      <c r="O3940" s="10"/>
      <c r="P3940" s="10"/>
      <c r="Q3940" s="10"/>
      <c r="R3940" s="10"/>
      <c r="S3940" s="10"/>
      <c r="T3940" s="10"/>
      <c r="U3940" s="10"/>
      <c r="V3940" s="10"/>
      <c r="W3940" s="10"/>
      <c r="X3940" s="10"/>
      <c r="Y3940" s="10"/>
      <c r="Z3940" s="10"/>
      <c r="AA3940" s="10"/>
      <c r="AB3940" s="10"/>
      <c r="AC3940" s="10"/>
      <c r="AD3940" s="10"/>
      <c r="AE3940" s="10"/>
      <c r="AF3940" s="10"/>
      <c r="AG3940" s="10"/>
      <c r="AH3940" s="10"/>
    </row>
    <row r="3941" spans="1:34" outlineLevel="2">
      <c r="A3941" s="70"/>
      <c r="B3941" s="12" t="str">
        <f>IFERROR(VLOOKUP(D3941,'[1]Перечень товаров'!$A$2:$I9525,2,0),"")</f>
        <v>тм198</v>
      </c>
      <c r="C3941" s="12" t="str">
        <f>IFERROR(VLOOKUP(D3941,'[1]Перечень товаров'!$A$2:$I9525,3,0),"")</f>
        <v>Техника муз</v>
      </c>
      <c r="D3941" s="71" t="s">
        <v>1101</v>
      </c>
      <c r="E3941" s="23"/>
      <c r="F3941" s="23"/>
      <c r="G3941" s="24">
        <v>2</v>
      </c>
      <c r="H3941" s="24"/>
      <c r="I3941" s="25"/>
      <c r="J3941" s="25"/>
      <c r="K3941" s="19"/>
      <c r="L3941" s="20"/>
      <c r="M3941" s="10"/>
      <c r="N3941" s="10"/>
      <c r="O3941" s="10"/>
      <c r="P3941" s="10"/>
      <c r="Q3941" s="10"/>
      <c r="R3941" s="10"/>
      <c r="S3941" s="10"/>
      <c r="T3941" s="10"/>
      <c r="U3941" s="10"/>
      <c r="V3941" s="10"/>
      <c r="W3941" s="10"/>
      <c r="X3941" s="10"/>
      <c r="Y3941" s="10"/>
      <c r="Z3941" s="10"/>
      <c r="AA3941" s="10"/>
      <c r="AB3941" s="10"/>
      <c r="AC3941" s="10"/>
      <c r="AD3941" s="10"/>
      <c r="AE3941" s="10"/>
      <c r="AF3941" s="10"/>
      <c r="AG3941" s="10"/>
      <c r="AH3941" s="10"/>
    </row>
    <row r="3942" spans="1:34" ht="31.5" outlineLevel="2">
      <c r="A3942" s="70"/>
      <c r="B3942" s="12" t="str">
        <f>IFERROR(VLOOKUP(D3942,'[1]Перечень товаров'!$A$2:$I9525,2,0),"")</f>
        <v>м162</v>
      </c>
      <c r="C3942" s="12" t="str">
        <f>IFERROR(VLOOKUP(D3942,'[1]Перечень товаров'!$A$2:$I9525,3,0),"")</f>
        <v>мебель</v>
      </c>
      <c r="D3942" s="71" t="s">
        <v>1102</v>
      </c>
      <c r="E3942" s="23"/>
      <c r="F3942" s="23"/>
      <c r="G3942" s="24">
        <v>2</v>
      </c>
      <c r="H3942" s="24"/>
      <c r="I3942" s="25"/>
      <c r="J3942" s="25"/>
      <c r="K3942" s="19"/>
      <c r="L3942" s="20"/>
      <c r="M3942" s="10"/>
      <c r="N3942" s="10"/>
      <c r="O3942" s="10"/>
      <c r="P3942" s="10"/>
      <c r="Q3942" s="10"/>
      <c r="R3942" s="10"/>
      <c r="S3942" s="10"/>
      <c r="T3942" s="10"/>
      <c r="U3942" s="10"/>
      <c r="V3942" s="10"/>
      <c r="W3942" s="10"/>
      <c r="X3942" s="10"/>
      <c r="Y3942" s="10"/>
      <c r="Z3942" s="10"/>
      <c r="AA3942" s="10"/>
      <c r="AB3942" s="10"/>
      <c r="AC3942" s="10"/>
      <c r="AD3942" s="10"/>
      <c r="AE3942" s="10"/>
      <c r="AF3942" s="10"/>
      <c r="AG3942" s="10"/>
      <c r="AH3942" s="10"/>
    </row>
    <row r="3943" spans="1:34" ht="31.5" outlineLevel="2">
      <c r="A3943" s="70"/>
      <c r="B3943" s="12" t="str">
        <f>IFERROR(VLOOKUP(D3943,'[1]Перечень товаров'!$A$2:$I9525,2,0),"")</f>
        <v>тм75</v>
      </c>
      <c r="C3943" s="12" t="str">
        <f>IFERROR(VLOOKUP(D3943,'[1]Перечень товаров'!$A$2:$I9525,3,0),"")</f>
        <v>Техника муз</v>
      </c>
      <c r="D3943" s="71" t="s">
        <v>422</v>
      </c>
      <c r="E3943" s="23"/>
      <c r="F3943" s="23"/>
      <c r="G3943" s="24">
        <v>1</v>
      </c>
      <c r="H3943" s="24"/>
      <c r="I3943" s="25"/>
      <c r="J3943" s="25"/>
      <c r="K3943" s="19"/>
      <c r="L3943" s="20"/>
      <c r="M3943" s="10"/>
      <c r="N3943" s="10"/>
      <c r="O3943" s="10"/>
      <c r="P3943" s="10"/>
      <c r="Q3943" s="10"/>
      <c r="R3943" s="10"/>
      <c r="S3943" s="10"/>
      <c r="T3943" s="10"/>
      <c r="U3943" s="10"/>
      <c r="V3943" s="10"/>
      <c r="W3943" s="10"/>
      <c r="X3943" s="10"/>
      <c r="Y3943" s="10"/>
      <c r="Z3943" s="10"/>
      <c r="AA3943" s="10"/>
      <c r="AB3943" s="10"/>
      <c r="AC3943" s="10"/>
      <c r="AD3943" s="10"/>
      <c r="AE3943" s="10"/>
      <c r="AF3943" s="10"/>
      <c r="AG3943" s="10"/>
      <c r="AH3943" s="10"/>
    </row>
    <row r="3944" spans="1:34" ht="30" outlineLevel="2">
      <c r="A3944" s="224"/>
      <c r="B3944" s="12" t="str">
        <f>IFERROR(VLOOKUP(D3944,'[1]Перечень товаров'!$A$2:$I9525,2,0),"")</f>
        <v/>
      </c>
      <c r="C3944" s="12" t="str">
        <f>IFERROR(VLOOKUP(D3944,'[1]Перечень товаров'!$A$2:$I9525,3,0),"")</f>
        <v/>
      </c>
      <c r="D3944" s="225" t="s">
        <v>1103</v>
      </c>
      <c r="E3944" s="14"/>
      <c r="F3944" s="14"/>
      <c r="G3944" s="16"/>
      <c r="H3944" s="16"/>
      <c r="I3944" s="18"/>
      <c r="J3944" s="18"/>
      <c r="K3944" s="19"/>
      <c r="L3944" s="20"/>
      <c r="M3944" s="10"/>
      <c r="N3944" s="10"/>
      <c r="O3944" s="10"/>
      <c r="P3944" s="10"/>
      <c r="Q3944" s="10"/>
      <c r="R3944" s="10"/>
      <c r="S3944" s="10"/>
      <c r="T3944" s="10"/>
      <c r="U3944" s="10"/>
      <c r="V3944" s="10"/>
      <c r="W3944" s="10"/>
      <c r="X3944" s="10"/>
      <c r="Y3944" s="10"/>
      <c r="Z3944" s="10"/>
      <c r="AA3944" s="10"/>
      <c r="AB3944" s="10"/>
      <c r="AC3944" s="10"/>
      <c r="AD3944" s="10"/>
      <c r="AE3944" s="10"/>
      <c r="AF3944" s="10"/>
      <c r="AG3944" s="10"/>
      <c r="AH3944" s="10"/>
    </row>
    <row r="3945" spans="1:34" outlineLevel="2">
      <c r="A3945" s="70"/>
      <c r="B3945" s="12" t="str">
        <f>IFERROR(VLOOKUP(D3945,'[1]Перечень товаров'!$A$2:$I9525,2,0),"")</f>
        <v>пм175</v>
      </c>
      <c r="C3945" s="12" t="str">
        <f>IFERROR(VLOOKUP(D3945,'[1]Перечень товаров'!$A$2:$I9525,3,0),"")</f>
        <v>прочее муз</v>
      </c>
      <c r="D3945" s="71" t="s">
        <v>1104</v>
      </c>
      <c r="E3945" s="23" t="s">
        <v>546</v>
      </c>
      <c r="F3945" s="23"/>
      <c r="G3945" s="24">
        <v>2</v>
      </c>
      <c r="H3945" s="24"/>
      <c r="I3945" s="25"/>
      <c r="J3945" s="25"/>
      <c r="K3945" s="19"/>
      <c r="L3945" s="20"/>
      <c r="M3945" s="10"/>
      <c r="N3945" s="10"/>
      <c r="O3945" s="10"/>
      <c r="P3945" s="10"/>
      <c r="Q3945" s="10"/>
      <c r="R3945" s="10"/>
      <c r="S3945" s="10"/>
      <c r="T3945" s="10"/>
      <c r="U3945" s="10"/>
      <c r="V3945" s="10"/>
      <c r="W3945" s="10"/>
      <c r="X3945" s="10"/>
      <c r="Y3945" s="10"/>
      <c r="Z3945" s="10"/>
      <c r="AA3945" s="10"/>
      <c r="AB3945" s="10"/>
      <c r="AC3945" s="10"/>
      <c r="AD3945" s="10"/>
      <c r="AE3945" s="10"/>
      <c r="AF3945" s="10"/>
      <c r="AG3945" s="10"/>
      <c r="AH3945" s="10"/>
    </row>
    <row r="3946" spans="1:34" outlineLevel="2">
      <c r="A3946" s="70"/>
      <c r="B3946" s="12" t="str">
        <f>IFERROR(VLOOKUP(D3946,'[1]Перечень товаров'!$A$2:$I9525,2,0),"")</f>
        <v>пм174</v>
      </c>
      <c r="C3946" s="12" t="str">
        <f>IFERROR(VLOOKUP(D3946,'[1]Перечень товаров'!$A$2:$I9525,3,0),"")</f>
        <v>прочее муз</v>
      </c>
      <c r="D3946" s="71" t="s">
        <v>1105</v>
      </c>
      <c r="E3946" s="23"/>
      <c r="F3946" s="23"/>
      <c r="G3946" s="24">
        <v>2</v>
      </c>
      <c r="H3946" s="24"/>
      <c r="I3946" s="25"/>
      <c r="J3946" s="25"/>
      <c r="K3946" s="19"/>
      <c r="L3946" s="20"/>
      <c r="M3946" s="10"/>
      <c r="N3946" s="10"/>
      <c r="O3946" s="10"/>
      <c r="P3946" s="10"/>
      <c r="Q3946" s="10"/>
      <c r="R3946" s="10"/>
      <c r="S3946" s="10"/>
      <c r="T3946" s="10"/>
      <c r="U3946" s="10"/>
      <c r="V3946" s="10"/>
      <c r="W3946" s="10"/>
      <c r="X3946" s="10"/>
      <c r="Y3946" s="10"/>
      <c r="Z3946" s="10"/>
      <c r="AA3946" s="10"/>
      <c r="AB3946" s="10"/>
      <c r="AC3946" s="10"/>
      <c r="AD3946" s="10"/>
      <c r="AE3946" s="10"/>
      <c r="AF3946" s="10"/>
      <c r="AG3946" s="10"/>
      <c r="AH3946" s="10"/>
    </row>
    <row r="3947" spans="1:34" ht="15" outlineLevel="2">
      <c r="A3947" s="224"/>
      <c r="B3947" s="12" t="str">
        <f>IFERROR(VLOOKUP(D3947,'[1]Перечень товаров'!$A$2:$I9525,2,0),"")</f>
        <v/>
      </c>
      <c r="C3947" s="12" t="str">
        <f>IFERROR(VLOOKUP(D3947,'[1]Перечень товаров'!$A$2:$I9525,3,0),"")</f>
        <v/>
      </c>
      <c r="D3947" s="225"/>
      <c r="E3947" s="14"/>
      <c r="F3947" s="14"/>
      <c r="G3947" s="16"/>
      <c r="H3947" s="16"/>
      <c r="I3947" s="18"/>
      <c r="J3947" s="18"/>
      <c r="K3947" s="19"/>
      <c r="L3947" s="20"/>
      <c r="M3947" s="10"/>
      <c r="N3947" s="10"/>
      <c r="O3947" s="10"/>
      <c r="P3947" s="10"/>
      <c r="Q3947" s="10"/>
      <c r="R3947" s="10"/>
      <c r="S3947" s="10"/>
      <c r="T3947" s="10"/>
      <c r="U3947" s="10"/>
      <c r="V3947" s="10"/>
      <c r="W3947" s="10"/>
      <c r="X3947" s="10"/>
      <c r="Y3947" s="10"/>
      <c r="Z3947" s="10"/>
      <c r="AA3947" s="10"/>
      <c r="AB3947" s="10"/>
      <c r="AC3947" s="10"/>
      <c r="AD3947" s="10"/>
      <c r="AE3947" s="10"/>
      <c r="AF3947" s="10"/>
      <c r="AG3947" s="10"/>
      <c r="AH3947" s="10"/>
    </row>
    <row r="3948" spans="1:34" outlineLevel="2">
      <c r="A3948" s="70"/>
      <c r="B3948" s="12" t="str">
        <f>IFERROR(VLOOKUP(D3948,'[1]Перечень товаров'!$A$2:$I9525,2,0),"")</f>
        <v>м9</v>
      </c>
      <c r="C3948" s="12" t="str">
        <f>IFERROR(VLOOKUP(D3948,'[1]Перечень товаров'!$A$2:$I9525,3,0),"")</f>
        <v>Мебель</v>
      </c>
      <c r="D3948" s="71" t="s">
        <v>956</v>
      </c>
      <c r="E3948" s="23"/>
      <c r="F3948" s="23"/>
      <c r="G3948" s="24">
        <v>40</v>
      </c>
      <c r="H3948" s="24"/>
      <c r="I3948" s="25"/>
      <c r="J3948" s="25"/>
      <c r="K3948" s="19"/>
      <c r="L3948" s="20"/>
      <c r="M3948" s="10"/>
      <c r="N3948" s="10"/>
      <c r="O3948" s="10"/>
      <c r="P3948" s="10"/>
      <c r="Q3948" s="10"/>
      <c r="R3948" s="10"/>
      <c r="S3948" s="10"/>
      <c r="T3948" s="10"/>
      <c r="U3948" s="10"/>
      <c r="V3948" s="10"/>
      <c r="W3948" s="10"/>
      <c r="X3948" s="10"/>
      <c r="Y3948" s="10"/>
      <c r="Z3948" s="10"/>
      <c r="AA3948" s="10"/>
      <c r="AB3948" s="10"/>
      <c r="AC3948" s="10"/>
      <c r="AD3948" s="10"/>
      <c r="AE3948" s="10"/>
      <c r="AF3948" s="10"/>
      <c r="AG3948" s="10"/>
      <c r="AH3948" s="10"/>
    </row>
    <row r="3949" spans="1:34" outlineLevel="2">
      <c r="A3949" s="70"/>
      <c r="B3949" s="12" t="str">
        <f>IFERROR(VLOOKUP(D3949,'[1]Перечень товаров'!$A$2:$I9525,2,0),"")</f>
        <v>д546</v>
      </c>
      <c r="C3949" s="12" t="str">
        <f>IFERROR(VLOOKUP(D3949,'[1]Перечень товаров'!$A$2:$I9525,3,0),"")</f>
        <v>дидактика</v>
      </c>
      <c r="D3949" s="71" t="s">
        <v>1106</v>
      </c>
      <c r="E3949" s="23"/>
      <c r="F3949" s="23"/>
      <c r="G3949" s="24">
        <v>2</v>
      </c>
      <c r="H3949" s="24"/>
      <c r="I3949" s="25"/>
      <c r="J3949" s="25"/>
      <c r="K3949" s="19"/>
      <c r="L3949" s="20"/>
      <c r="M3949" s="10"/>
      <c r="N3949" s="10"/>
      <c r="O3949" s="10"/>
      <c r="P3949" s="10"/>
      <c r="Q3949" s="10"/>
      <c r="R3949" s="10"/>
      <c r="S3949" s="10"/>
      <c r="T3949" s="10"/>
      <c r="U3949" s="10"/>
      <c r="V3949" s="10"/>
      <c r="W3949" s="10"/>
      <c r="X3949" s="10"/>
      <c r="Y3949" s="10"/>
      <c r="Z3949" s="10"/>
      <c r="AA3949" s="10"/>
      <c r="AB3949" s="10"/>
      <c r="AC3949" s="10"/>
      <c r="AD3949" s="10"/>
      <c r="AE3949" s="10"/>
      <c r="AF3949" s="10"/>
      <c r="AG3949" s="10"/>
      <c r="AH3949" s="10"/>
    </row>
    <row r="3950" spans="1:34" outlineLevel="2">
      <c r="A3950" s="70"/>
      <c r="B3950" s="12" t="str">
        <f>IFERROR(VLOOKUP(D3950,'[1]Перечень товаров'!$A$2:$I9525,2,0),"")</f>
        <v>м221</v>
      </c>
      <c r="C3950" s="12" t="str">
        <f>IFERROR(VLOOKUP(D3950,'[1]Перечень товаров'!$A$2:$I9525,3,0),"")</f>
        <v>Мебель</v>
      </c>
      <c r="D3950" s="71" t="s">
        <v>1107</v>
      </c>
      <c r="E3950" s="23"/>
      <c r="F3950" s="23"/>
      <c r="G3950" s="24">
        <v>2</v>
      </c>
      <c r="H3950" s="24"/>
      <c r="I3950" s="25"/>
      <c r="J3950" s="25"/>
      <c r="K3950" s="19"/>
      <c r="L3950" s="20"/>
      <c r="M3950" s="10"/>
      <c r="N3950" s="10"/>
      <c r="O3950" s="10"/>
      <c r="P3950" s="10"/>
      <c r="Q3950" s="10"/>
      <c r="R3950" s="10"/>
      <c r="S3950" s="10"/>
      <c r="T3950" s="10"/>
      <c r="U3950" s="10"/>
      <c r="V3950" s="10"/>
      <c r="W3950" s="10"/>
      <c r="X3950" s="10"/>
      <c r="Y3950" s="10"/>
      <c r="Z3950" s="10"/>
      <c r="AA3950" s="10"/>
      <c r="AB3950" s="10"/>
      <c r="AC3950" s="10"/>
      <c r="AD3950" s="10"/>
      <c r="AE3950" s="10"/>
      <c r="AF3950" s="10"/>
      <c r="AG3950" s="10"/>
      <c r="AH3950" s="10"/>
    </row>
    <row r="3951" spans="1:34" outlineLevel="2">
      <c r="A3951" s="70"/>
      <c r="B3951" s="12" t="str">
        <f>IFERROR(VLOOKUP(D3951,'[1]Перечень товаров'!$A$2:$I9525,2,0),"")</f>
        <v>м161</v>
      </c>
      <c r="C3951" s="12" t="str">
        <f>IFERROR(VLOOKUP(D3951,'[1]Перечень товаров'!$A$2:$I9525,3,0),"")</f>
        <v>мебель</v>
      </c>
      <c r="D3951" s="71" t="s">
        <v>1108</v>
      </c>
      <c r="E3951" s="23"/>
      <c r="F3951" s="23"/>
      <c r="G3951" s="24">
        <v>2</v>
      </c>
      <c r="H3951" s="24"/>
      <c r="I3951" s="25"/>
      <c r="J3951" s="25"/>
      <c r="K3951" s="19"/>
      <c r="L3951" s="20"/>
      <c r="M3951" s="10"/>
      <c r="N3951" s="10"/>
      <c r="O3951" s="10"/>
      <c r="P3951" s="10"/>
      <c r="Q3951" s="10"/>
      <c r="R3951" s="10"/>
      <c r="S3951" s="10"/>
      <c r="T3951" s="10"/>
      <c r="U3951" s="10"/>
      <c r="V3951" s="10"/>
      <c r="W3951" s="10"/>
      <c r="X3951" s="10"/>
      <c r="Y3951" s="10"/>
      <c r="Z3951" s="10"/>
      <c r="AA3951" s="10"/>
      <c r="AB3951" s="10"/>
      <c r="AC3951" s="10"/>
      <c r="AD3951" s="10"/>
      <c r="AE3951" s="10"/>
      <c r="AF3951" s="10"/>
      <c r="AG3951" s="10"/>
      <c r="AH3951" s="10"/>
    </row>
    <row r="3952" spans="1:34" outlineLevel="2">
      <c r="A3952" s="70"/>
      <c r="B3952" s="12" t="str">
        <f>IFERROR(VLOOKUP(D3952,'[1]Перечень товаров'!$A$2:$I9525,2,0),"")</f>
        <v>м160</v>
      </c>
      <c r="C3952" s="12" t="str">
        <f>IFERROR(VLOOKUP(D3952,'[1]Перечень товаров'!$A$2:$I9525,3,0),"")</f>
        <v>мебель</v>
      </c>
      <c r="D3952" s="71" t="s">
        <v>1109</v>
      </c>
      <c r="E3952" s="23"/>
      <c r="F3952" s="23"/>
      <c r="G3952" s="24">
        <v>2</v>
      </c>
      <c r="H3952" s="24"/>
      <c r="I3952" s="25"/>
      <c r="J3952" s="25"/>
      <c r="K3952" s="19"/>
      <c r="L3952" s="20"/>
      <c r="M3952" s="10"/>
      <c r="N3952" s="10"/>
      <c r="O3952" s="10"/>
      <c r="P3952" s="10"/>
      <c r="Q3952" s="10"/>
      <c r="R3952" s="10"/>
      <c r="S3952" s="10"/>
      <c r="T3952" s="10"/>
      <c r="U3952" s="10"/>
      <c r="V3952" s="10"/>
      <c r="W3952" s="10"/>
      <c r="X3952" s="10"/>
      <c r="Y3952" s="10"/>
      <c r="Z3952" s="10"/>
      <c r="AA3952" s="10"/>
      <c r="AB3952" s="10"/>
      <c r="AC3952" s="10"/>
      <c r="AD3952" s="10"/>
      <c r="AE3952" s="10"/>
      <c r="AF3952" s="10"/>
      <c r="AG3952" s="10"/>
      <c r="AH3952" s="10"/>
    </row>
    <row r="3953" spans="1:34" outlineLevel="2">
      <c r="A3953" s="43"/>
      <c r="B3953" s="12" t="str">
        <f>IFERROR(VLOOKUP(D3953,'[1]Перечень товаров'!$A$2:$I9525,2,0),"")</f>
        <v>п1</v>
      </c>
      <c r="C3953" s="12" t="str">
        <f>IFERROR(VLOOKUP(D3953,'[1]Перечень товаров'!$A$2:$I9525,3,0),"")</f>
        <v>Прочее</v>
      </c>
      <c r="D3953" s="44" t="s">
        <v>37</v>
      </c>
      <c r="E3953" s="88"/>
      <c r="F3953" s="88"/>
      <c r="G3953" s="59">
        <v>1</v>
      </c>
      <c r="H3953" s="59"/>
      <c r="I3953" s="60"/>
      <c r="J3953" s="60"/>
      <c r="K3953" s="19"/>
      <c r="L3953" s="20"/>
      <c r="M3953" s="10"/>
      <c r="N3953" s="10"/>
      <c r="O3953" s="10"/>
      <c r="P3953" s="10"/>
      <c r="Q3953" s="10"/>
      <c r="R3953" s="10"/>
      <c r="S3953" s="10"/>
      <c r="T3953" s="10"/>
      <c r="U3953" s="10"/>
      <c r="V3953" s="10"/>
      <c r="W3953" s="10"/>
      <c r="X3953" s="10"/>
      <c r="Y3953" s="10"/>
      <c r="Z3953" s="10"/>
      <c r="AA3953" s="10"/>
      <c r="AB3953" s="10"/>
      <c r="AC3953" s="10"/>
      <c r="AD3953" s="10"/>
      <c r="AE3953" s="10"/>
      <c r="AF3953" s="10"/>
      <c r="AG3953" s="10"/>
      <c r="AH3953" s="10"/>
    </row>
    <row r="3954" spans="1:34" ht="25.5" outlineLevel="1">
      <c r="A3954" s="89"/>
      <c r="B3954" s="12" t="str">
        <f>IFERROR(VLOOKUP(D3954,'[1]Перечень товаров'!$A$2:$I9525,2,0),"")</f>
        <v/>
      </c>
      <c r="C3954" s="12" t="str">
        <f>IFERROR(VLOOKUP(D3954,'[1]Перечень товаров'!$A$2:$I9525,3,0),"")</f>
        <v/>
      </c>
      <c r="D3954" s="90" t="s">
        <v>1110</v>
      </c>
      <c r="E3954" s="91">
        <v>27.3</v>
      </c>
      <c r="F3954" s="91"/>
      <c r="G3954" s="17"/>
      <c r="H3954" s="17"/>
      <c r="I3954" s="57"/>
      <c r="J3954" s="57"/>
      <c r="K3954" s="19"/>
      <c r="L3954" s="20"/>
      <c r="M3954" s="10"/>
      <c r="N3954" s="10"/>
      <c r="O3954" s="10"/>
      <c r="P3954" s="10"/>
      <c r="Q3954" s="10"/>
      <c r="R3954" s="10"/>
      <c r="S3954" s="10"/>
      <c r="T3954" s="10"/>
      <c r="U3954" s="10"/>
      <c r="V3954" s="10"/>
      <c r="W3954" s="10"/>
      <c r="X3954" s="10"/>
      <c r="Y3954" s="10"/>
      <c r="Z3954" s="10"/>
      <c r="AA3954" s="10"/>
      <c r="AB3954" s="10"/>
      <c r="AC3954" s="10"/>
      <c r="AD3954" s="10"/>
      <c r="AE3954" s="10"/>
      <c r="AF3954" s="10"/>
      <c r="AG3954" s="10"/>
      <c r="AH3954" s="10"/>
    </row>
    <row r="3955" spans="1:34" outlineLevel="2">
      <c r="A3955" s="113"/>
      <c r="B3955" s="12" t="str">
        <f>IFERROR(VLOOKUP(D3955,'[1]Перечень товаров'!$A$2:$I9525,2,0),"")</f>
        <v/>
      </c>
      <c r="C3955" s="12" t="str">
        <f>IFERROR(VLOOKUP(D3955,'[1]Перечень товаров'!$A$2:$I9525,3,0),"")</f>
        <v/>
      </c>
      <c r="D3955" s="114" t="s">
        <v>391</v>
      </c>
      <c r="E3955" s="122"/>
      <c r="F3955" s="122"/>
      <c r="G3955" s="123"/>
      <c r="H3955" s="123"/>
      <c r="I3955" s="124"/>
      <c r="J3955" s="124"/>
      <c r="K3955" s="19"/>
      <c r="L3955" s="20"/>
      <c r="M3955" s="10"/>
      <c r="N3955" s="10"/>
      <c r="O3955" s="10"/>
      <c r="P3955" s="10"/>
      <c r="Q3955" s="10"/>
      <c r="R3955" s="10"/>
      <c r="S3955" s="10"/>
      <c r="T3955" s="10"/>
      <c r="U3955" s="10"/>
      <c r="V3955" s="10"/>
      <c r="W3955" s="10"/>
      <c r="X3955" s="10"/>
      <c r="Y3955" s="10"/>
      <c r="Z3955" s="10"/>
      <c r="AA3955" s="10"/>
      <c r="AB3955" s="10"/>
      <c r="AC3955" s="10"/>
      <c r="AD3955" s="10"/>
      <c r="AE3955" s="10"/>
      <c r="AF3955" s="10"/>
      <c r="AG3955" s="10"/>
      <c r="AH3955" s="10"/>
    </row>
    <row r="3956" spans="1:34" outlineLevel="2">
      <c r="A3956" s="28"/>
      <c r="B3956" s="12" t="str">
        <f>IFERROR(VLOOKUP(D3956,'[1]Перечень товаров'!$A$2:$I9525,2,0),"")</f>
        <v>тм197</v>
      </c>
      <c r="C3956" s="12" t="str">
        <f>IFERROR(VLOOKUP(D3956,'[1]Перечень товаров'!$A$2:$I9525,3,0),"")</f>
        <v>Техника муз</v>
      </c>
      <c r="D3956" s="29" t="s">
        <v>1111</v>
      </c>
      <c r="E3956" s="30"/>
      <c r="F3956" s="30"/>
      <c r="G3956" s="31">
        <v>2</v>
      </c>
      <c r="H3956" s="31"/>
      <c r="I3956" s="32"/>
      <c r="J3956" s="32"/>
      <c r="K3956" s="19"/>
      <c r="L3956" s="20"/>
      <c r="M3956" s="10"/>
      <c r="N3956" s="10"/>
      <c r="O3956" s="10"/>
      <c r="P3956" s="10"/>
      <c r="Q3956" s="10"/>
      <c r="R3956" s="10"/>
      <c r="S3956" s="10"/>
      <c r="T3956" s="10"/>
      <c r="U3956" s="10"/>
      <c r="V3956" s="10"/>
      <c r="W3956" s="10"/>
      <c r="X3956" s="10"/>
      <c r="Y3956" s="10"/>
      <c r="Z3956" s="10"/>
      <c r="AA3956" s="10"/>
      <c r="AB3956" s="10"/>
      <c r="AC3956" s="10"/>
      <c r="AD3956" s="10"/>
      <c r="AE3956" s="10"/>
      <c r="AF3956" s="10"/>
      <c r="AG3956" s="10"/>
      <c r="AH3956" s="10"/>
    </row>
    <row r="3957" spans="1:34" outlineLevel="2">
      <c r="A3957" s="28"/>
      <c r="B3957" s="12" t="str">
        <f>IFERROR(VLOOKUP(D3957,'[1]Перечень товаров'!$A$2:$I9525,2,0),"")</f>
        <v>д545</v>
      </c>
      <c r="C3957" s="12" t="str">
        <f>IFERROR(VLOOKUP(D3957,'[1]Перечень товаров'!$A$2:$I9525,3,0),"")</f>
        <v>дидактика</v>
      </c>
      <c r="D3957" s="29" t="s">
        <v>1112</v>
      </c>
      <c r="E3957" s="30"/>
      <c r="F3957" s="30"/>
      <c r="G3957" s="31">
        <v>1</v>
      </c>
      <c r="H3957" s="31"/>
      <c r="I3957" s="32"/>
      <c r="J3957" s="32"/>
      <c r="K3957" s="19"/>
      <c r="L3957" s="20"/>
      <c r="M3957" s="10"/>
      <c r="N3957" s="10"/>
      <c r="O3957" s="10"/>
      <c r="P3957" s="10"/>
      <c r="Q3957" s="10"/>
      <c r="R3957" s="10"/>
      <c r="S3957" s="10"/>
      <c r="T3957" s="10"/>
      <c r="U3957" s="10"/>
      <c r="V3957" s="10"/>
      <c r="W3957" s="10"/>
      <c r="X3957" s="10"/>
      <c r="Y3957" s="10"/>
      <c r="Z3957" s="10"/>
      <c r="AA3957" s="10"/>
      <c r="AB3957" s="10"/>
      <c r="AC3957" s="10"/>
      <c r="AD3957" s="10"/>
      <c r="AE3957" s="10"/>
      <c r="AF3957" s="10"/>
      <c r="AG3957" s="10"/>
      <c r="AH3957" s="10"/>
    </row>
    <row r="3958" spans="1:34" ht="31.5" outlineLevel="2">
      <c r="A3958" s="28"/>
      <c r="B3958" s="12" t="str">
        <f>IFERROR(VLOOKUP(D3958,'[1]Перечень товаров'!$A$2:$I9525,2,0),"")</f>
        <v>м159</v>
      </c>
      <c r="C3958" s="12" t="str">
        <f>IFERROR(VLOOKUP(D3958,'[1]Перечень товаров'!$A$2:$I9525,3,0),"")</f>
        <v>мебель</v>
      </c>
      <c r="D3958" s="29" t="s">
        <v>1113</v>
      </c>
      <c r="E3958" s="30"/>
      <c r="F3958" s="30"/>
      <c r="G3958" s="31">
        <v>2</v>
      </c>
      <c r="H3958" s="31"/>
      <c r="I3958" s="32"/>
      <c r="J3958" s="32"/>
      <c r="K3958" s="19"/>
      <c r="L3958" s="20"/>
      <c r="M3958" s="10"/>
      <c r="N3958" s="10"/>
      <c r="O3958" s="10"/>
      <c r="P3958" s="10"/>
      <c r="Q3958" s="10"/>
      <c r="R3958" s="10"/>
      <c r="S3958" s="10"/>
      <c r="T3958" s="10"/>
      <c r="U3958" s="10"/>
      <c r="V3958" s="10"/>
      <c r="W3958" s="10"/>
      <c r="X3958" s="10"/>
      <c r="Y3958" s="10"/>
      <c r="Z3958" s="10"/>
      <c r="AA3958" s="10"/>
      <c r="AB3958" s="10"/>
      <c r="AC3958" s="10"/>
      <c r="AD3958" s="10"/>
      <c r="AE3958" s="10"/>
      <c r="AF3958" s="10"/>
      <c r="AG3958" s="10"/>
      <c r="AH3958" s="10"/>
    </row>
    <row r="3959" spans="1:34" outlineLevel="2">
      <c r="A3959" s="28"/>
      <c r="B3959" s="12" t="str">
        <f>IFERROR(VLOOKUP(D3959,'[1]Перечень товаров'!$A$2:$I9525,2,0),"")</f>
        <v>пм211</v>
      </c>
      <c r="C3959" s="12" t="str">
        <f>IFERROR(VLOOKUP(D3959,'[1]Перечень товаров'!$A$2:$I9525,3,0),"")</f>
        <v>прочее муз</v>
      </c>
      <c r="D3959" s="29" t="s">
        <v>995</v>
      </c>
      <c r="E3959" s="30"/>
      <c r="F3959" s="30"/>
      <c r="G3959" s="31">
        <v>1</v>
      </c>
      <c r="H3959" s="31"/>
      <c r="I3959" s="32"/>
      <c r="J3959" s="32"/>
      <c r="K3959" s="19"/>
      <c r="L3959" s="20"/>
      <c r="M3959" s="10"/>
      <c r="N3959" s="10"/>
      <c r="O3959" s="10"/>
      <c r="P3959" s="10"/>
      <c r="Q3959" s="10"/>
      <c r="R3959" s="10"/>
      <c r="S3959" s="10"/>
      <c r="T3959" s="10"/>
      <c r="U3959" s="10"/>
      <c r="V3959" s="10"/>
      <c r="W3959" s="10"/>
      <c r="X3959" s="10"/>
      <c r="Y3959" s="10"/>
      <c r="Z3959" s="10"/>
      <c r="AA3959" s="10"/>
      <c r="AB3959" s="10"/>
      <c r="AC3959" s="10"/>
      <c r="AD3959" s="10"/>
      <c r="AE3959" s="10"/>
      <c r="AF3959" s="10"/>
      <c r="AG3959" s="10"/>
      <c r="AH3959" s="10"/>
    </row>
    <row r="3960" spans="1:34" outlineLevel="2">
      <c r="A3960" s="114"/>
      <c r="B3960" s="12" t="str">
        <f>IFERROR(VLOOKUP(D3960,'[1]Перечень товаров'!$A$2:$I9525,2,0),"")</f>
        <v/>
      </c>
      <c r="C3960" s="12" t="str">
        <f>IFERROR(VLOOKUP(D3960,'[1]Перечень товаров'!$A$2:$I9525,3,0),"")</f>
        <v/>
      </c>
      <c r="D3960" s="114" t="s">
        <v>19</v>
      </c>
      <c r="E3960" s="115"/>
      <c r="F3960" s="115"/>
      <c r="G3960" s="157"/>
      <c r="H3960" s="157"/>
      <c r="I3960" s="158"/>
      <c r="J3960" s="158"/>
      <c r="K3960" s="19"/>
      <c r="L3960" s="20"/>
      <c r="M3960" s="10"/>
      <c r="N3960" s="10"/>
      <c r="O3960" s="10"/>
      <c r="P3960" s="10"/>
      <c r="Q3960" s="10"/>
      <c r="R3960" s="10"/>
      <c r="S3960" s="10"/>
      <c r="T3960" s="10"/>
      <c r="U3960" s="10"/>
      <c r="V3960" s="10"/>
      <c r="W3960" s="10"/>
      <c r="X3960" s="10"/>
      <c r="Y3960" s="10"/>
      <c r="Z3960" s="10"/>
      <c r="AA3960" s="10"/>
      <c r="AB3960" s="10"/>
      <c r="AC3960" s="10"/>
      <c r="AD3960" s="10"/>
      <c r="AE3960" s="10"/>
      <c r="AF3960" s="10"/>
      <c r="AG3960" s="10"/>
      <c r="AH3960" s="10"/>
    </row>
    <row r="3961" spans="1:34" outlineLevel="2">
      <c r="A3961" s="34"/>
      <c r="B3961" s="12" t="str">
        <f>IFERROR(VLOOKUP(D3961,'[1]Перечень товаров'!$A$2:$I9525,2,0),"")</f>
        <v>м62</v>
      </c>
      <c r="C3961" s="12" t="str">
        <f>IFERROR(VLOOKUP(D3961,'[1]Перечень товаров'!$A$2:$I9525,3,0),"")</f>
        <v>Мебель</v>
      </c>
      <c r="D3961" s="35" t="s">
        <v>398</v>
      </c>
      <c r="E3961" s="88"/>
      <c r="F3961" s="88"/>
      <c r="G3961" s="59">
        <v>1</v>
      </c>
      <c r="H3961" s="59"/>
      <c r="I3961" s="60"/>
      <c r="J3961" s="60"/>
      <c r="K3961" s="19"/>
      <c r="L3961" s="20"/>
      <c r="M3961" s="10"/>
      <c r="N3961" s="10"/>
      <c r="O3961" s="10"/>
      <c r="P3961" s="10"/>
      <c r="Q3961" s="10"/>
      <c r="R3961" s="10"/>
      <c r="S3961" s="10"/>
      <c r="T3961" s="10"/>
      <c r="U3961" s="10"/>
      <c r="V3961" s="10"/>
      <c r="W3961" s="10"/>
      <c r="X3961" s="10"/>
      <c r="Y3961" s="10"/>
      <c r="Z3961" s="10"/>
      <c r="AA3961" s="10"/>
      <c r="AB3961" s="10"/>
      <c r="AC3961" s="10"/>
      <c r="AD3961" s="10"/>
      <c r="AE3961" s="10"/>
      <c r="AF3961" s="10"/>
      <c r="AG3961" s="10"/>
      <c r="AH3961" s="10"/>
    </row>
    <row r="3962" spans="1:34" outlineLevel="2">
      <c r="A3962" s="34"/>
      <c r="B3962" s="12" t="str">
        <f>IFERROR(VLOOKUP(D3962,'[1]Перечень товаров'!$A$2:$I9525,2,0),"")</f>
        <v>м61</v>
      </c>
      <c r="C3962" s="12" t="str">
        <f>IFERROR(VLOOKUP(D3962,'[1]Перечень товаров'!$A$2:$I9525,3,0),"")</f>
        <v>Мебель</v>
      </c>
      <c r="D3962" s="35" t="s">
        <v>384</v>
      </c>
      <c r="E3962" s="88"/>
      <c r="F3962" s="88"/>
      <c r="G3962" s="159">
        <v>8</v>
      </c>
      <c r="H3962" s="159"/>
      <c r="I3962" s="160"/>
      <c r="J3962" s="160"/>
      <c r="K3962" s="19"/>
      <c r="L3962" s="20"/>
      <c r="M3962" s="10"/>
      <c r="N3962" s="10"/>
      <c r="O3962" s="10"/>
      <c r="P3962" s="10"/>
      <c r="Q3962" s="10"/>
      <c r="R3962" s="10"/>
      <c r="S3962" s="10"/>
      <c r="T3962" s="10"/>
      <c r="U3962" s="10"/>
      <c r="V3962" s="10"/>
      <c r="W3962" s="10"/>
      <c r="X3962" s="10"/>
      <c r="Y3962" s="10"/>
      <c r="Z3962" s="10"/>
      <c r="AA3962" s="10"/>
      <c r="AB3962" s="10"/>
      <c r="AC3962" s="10"/>
      <c r="AD3962" s="10"/>
      <c r="AE3962" s="10"/>
      <c r="AF3962" s="10"/>
      <c r="AG3962" s="10"/>
      <c r="AH3962" s="10"/>
    </row>
    <row r="3963" spans="1:34" outlineLevel="2">
      <c r="A3963" s="22"/>
      <c r="B3963" s="12" t="str">
        <f>IFERROR(VLOOKUP(D3963,'[1]Перечень товаров'!$A$2:$I9525,2,0),"")</f>
        <v>м13</v>
      </c>
      <c r="C3963" s="12" t="str">
        <f>IFERROR(VLOOKUP(D3963,'[1]Перечень товаров'!$A$2:$I9525,3,0),"")</f>
        <v>Мебель</v>
      </c>
      <c r="D3963" s="22" t="s">
        <v>42</v>
      </c>
      <c r="E3963" s="88"/>
      <c r="F3963" s="88"/>
      <c r="G3963" s="48">
        <v>1</v>
      </c>
      <c r="H3963" s="48"/>
      <c r="I3963" s="49"/>
      <c r="J3963" s="49"/>
      <c r="K3963" s="19"/>
      <c r="L3963" s="20"/>
      <c r="M3963" s="10"/>
      <c r="N3963" s="10"/>
      <c r="O3963" s="10"/>
      <c r="P3963" s="10"/>
      <c r="Q3963" s="10"/>
      <c r="R3963" s="10"/>
      <c r="S3963" s="10"/>
      <c r="T3963" s="10"/>
      <c r="U3963" s="10"/>
      <c r="V3963" s="10"/>
      <c r="W3963" s="10"/>
      <c r="X3963" s="10"/>
      <c r="Y3963" s="10"/>
      <c r="Z3963" s="10"/>
      <c r="AA3963" s="10"/>
      <c r="AB3963" s="10"/>
      <c r="AC3963" s="10"/>
      <c r="AD3963" s="10"/>
      <c r="AE3963" s="10"/>
      <c r="AF3963" s="10"/>
      <c r="AG3963" s="10"/>
      <c r="AH3963" s="10"/>
    </row>
    <row r="3964" spans="1:34" outlineLevel="2">
      <c r="A3964" s="21"/>
      <c r="B3964" s="12" t="str">
        <f>IFERROR(VLOOKUP(D3964,'[1]Перечень товаров'!$A$2:$I9525,2,0),"")</f>
        <v>м164</v>
      </c>
      <c r="C3964" s="12" t="str">
        <f>IFERROR(VLOOKUP(D3964,'[1]Перечень товаров'!$A$2:$I9525,3,0),"")</f>
        <v>Мебель</v>
      </c>
      <c r="D3964" s="22" t="s">
        <v>502</v>
      </c>
      <c r="E3964" s="88"/>
      <c r="F3964" s="88"/>
      <c r="G3964" s="48">
        <v>1</v>
      </c>
      <c r="H3964" s="48"/>
      <c r="I3964" s="49"/>
      <c r="J3964" s="49"/>
      <c r="K3964" s="19"/>
      <c r="L3964" s="20"/>
      <c r="M3964" s="10"/>
      <c r="N3964" s="10"/>
      <c r="O3964" s="10"/>
      <c r="P3964" s="10"/>
      <c r="Q3964" s="10"/>
      <c r="R3964" s="10"/>
      <c r="S3964" s="10"/>
      <c r="T3964" s="10"/>
      <c r="U3964" s="10"/>
      <c r="V3964" s="10"/>
      <c r="W3964" s="10"/>
      <c r="X3964" s="10"/>
      <c r="Y3964" s="10"/>
      <c r="Z3964" s="10"/>
      <c r="AA3964" s="10"/>
      <c r="AB3964" s="10"/>
      <c r="AC3964" s="10"/>
      <c r="AD3964" s="10"/>
      <c r="AE3964" s="10"/>
      <c r="AF3964" s="10"/>
      <c r="AG3964" s="10"/>
      <c r="AH3964" s="10"/>
    </row>
    <row r="3965" spans="1:34" outlineLevel="2">
      <c r="A3965" s="21"/>
      <c r="B3965" s="12" t="str">
        <f>IFERROR(VLOOKUP(D3965,'[1]Перечень товаров'!$A$2:$I9525,2,0),"")</f>
        <v>п2</v>
      </c>
      <c r="C3965" s="12" t="str">
        <f>IFERROR(VLOOKUP(D3965,'[1]Перечень товаров'!$A$2:$I9525,3,0),"")</f>
        <v>Прочее</v>
      </c>
      <c r="D3965" s="22" t="s">
        <v>46</v>
      </c>
      <c r="E3965" s="88"/>
      <c r="F3965" s="88"/>
      <c r="G3965" s="24">
        <v>1</v>
      </c>
      <c r="H3965" s="24"/>
      <c r="I3965" s="25"/>
      <c r="J3965" s="25"/>
      <c r="K3965" s="19"/>
      <c r="L3965" s="20"/>
      <c r="M3965" s="10"/>
      <c r="N3965" s="10"/>
      <c r="O3965" s="10"/>
      <c r="P3965" s="10"/>
      <c r="Q3965" s="10"/>
      <c r="R3965" s="10"/>
      <c r="S3965" s="10"/>
      <c r="T3965" s="10"/>
      <c r="U3965" s="10"/>
      <c r="V3965" s="10"/>
      <c r="W3965" s="10"/>
      <c r="X3965" s="10"/>
      <c r="Y3965" s="10"/>
      <c r="Z3965" s="10"/>
      <c r="AA3965" s="10"/>
      <c r="AB3965" s="10"/>
      <c r="AC3965" s="10"/>
      <c r="AD3965" s="10"/>
      <c r="AE3965" s="10"/>
      <c r="AF3965" s="10"/>
      <c r="AG3965" s="10"/>
      <c r="AH3965" s="10"/>
    </row>
    <row r="3966" spans="1:34" outlineLevel="2">
      <c r="A3966" s="21"/>
      <c r="B3966" s="12" t="str">
        <f>IFERROR(VLOOKUP(D3966,'[1]Перечень товаров'!$A$2:$I9525,2,0),"")</f>
        <v>д544</v>
      </c>
      <c r="C3966" s="12" t="str">
        <f>IFERROR(VLOOKUP(D3966,'[1]Перечень товаров'!$A$2:$I9525,3,0),"")</f>
        <v>дидактика</v>
      </c>
      <c r="D3966" s="22" t="s">
        <v>1114</v>
      </c>
      <c r="E3966" s="88"/>
      <c r="F3966" s="88"/>
      <c r="G3966" s="24">
        <v>1</v>
      </c>
      <c r="H3966" s="24"/>
      <c r="I3966" s="25"/>
      <c r="J3966" s="25"/>
      <c r="K3966" s="19"/>
      <c r="L3966" s="20"/>
      <c r="M3966" s="10"/>
      <c r="N3966" s="10"/>
      <c r="O3966" s="10"/>
      <c r="P3966" s="10"/>
      <c r="Q3966" s="10"/>
      <c r="R3966" s="10"/>
      <c r="S3966" s="10"/>
      <c r="T3966" s="10"/>
      <c r="U3966" s="10"/>
      <c r="V3966" s="10"/>
      <c r="W3966" s="10"/>
      <c r="X3966" s="10"/>
      <c r="Y3966" s="10"/>
      <c r="Z3966" s="10"/>
      <c r="AA3966" s="10"/>
      <c r="AB3966" s="10"/>
      <c r="AC3966" s="10"/>
      <c r="AD3966" s="10"/>
      <c r="AE3966" s="10"/>
      <c r="AF3966" s="10"/>
      <c r="AG3966" s="10"/>
      <c r="AH3966" s="10"/>
    </row>
    <row r="3967" spans="1:34" outlineLevel="2">
      <c r="A3967" s="43"/>
      <c r="B3967" s="12" t="str">
        <f>IFERROR(VLOOKUP(D3967,'[1]Перечень товаров'!$A$2:$I9525,2,0),"")</f>
        <v>п1</v>
      </c>
      <c r="C3967" s="12" t="str">
        <f>IFERROR(VLOOKUP(D3967,'[1]Перечень товаров'!$A$2:$I9525,3,0),"")</f>
        <v>Прочее</v>
      </c>
      <c r="D3967" s="44" t="s">
        <v>37</v>
      </c>
      <c r="E3967" s="88"/>
      <c r="F3967" s="88"/>
      <c r="G3967" s="59">
        <v>1</v>
      </c>
      <c r="H3967" s="59"/>
      <c r="I3967" s="60"/>
      <c r="J3967" s="60"/>
      <c r="K3967" s="19"/>
      <c r="L3967" s="20"/>
      <c r="M3967" s="10"/>
      <c r="N3967" s="10"/>
      <c r="O3967" s="10"/>
      <c r="P3967" s="10"/>
      <c r="Q3967" s="10"/>
      <c r="R3967" s="10"/>
      <c r="S3967" s="10"/>
      <c r="T3967" s="10"/>
      <c r="U3967" s="10"/>
      <c r="V3967" s="10"/>
      <c r="W3967" s="10"/>
      <c r="X3967" s="10"/>
      <c r="Y3967" s="10"/>
      <c r="Z3967" s="10"/>
      <c r="AA3967" s="10"/>
      <c r="AB3967" s="10"/>
      <c r="AC3967" s="10"/>
      <c r="AD3967" s="10"/>
      <c r="AE3967" s="10"/>
      <c r="AF3967" s="10"/>
      <c r="AG3967" s="10"/>
      <c r="AH3967" s="10"/>
    </row>
    <row r="3968" spans="1:34" ht="12.75" outlineLevel="1">
      <c r="A3968" s="11"/>
      <c r="B3968" s="12" t="str">
        <f>IFERROR(VLOOKUP(D3968,'[1]Перечень товаров'!$A$2:$I9525,2,0),"")</f>
        <v/>
      </c>
      <c r="C3968" s="12" t="str">
        <f>IFERROR(VLOOKUP(D3968,'[1]Перечень товаров'!$A$2:$I9525,3,0),"")</f>
        <v/>
      </c>
      <c r="D3968" s="27" t="s">
        <v>1100</v>
      </c>
      <c r="E3968" s="14">
        <v>31.1</v>
      </c>
      <c r="F3968" s="14"/>
      <c r="G3968" s="17"/>
      <c r="H3968" s="17"/>
      <c r="I3968" s="57"/>
      <c r="J3968" s="57"/>
      <c r="K3968" s="19"/>
      <c r="L3968" s="20"/>
      <c r="M3968" s="10"/>
      <c r="N3968" s="10"/>
      <c r="O3968" s="10"/>
      <c r="P3968" s="10"/>
      <c r="Q3968" s="10"/>
      <c r="R3968" s="10"/>
      <c r="S3968" s="10"/>
      <c r="T3968" s="10"/>
      <c r="U3968" s="10"/>
      <c r="V3968" s="10"/>
      <c r="W3968" s="10"/>
      <c r="X3968" s="10"/>
      <c r="Y3968" s="10"/>
      <c r="Z3968" s="10"/>
      <c r="AA3968" s="10"/>
      <c r="AB3968" s="10"/>
      <c r="AC3968" s="10"/>
      <c r="AD3968" s="10"/>
      <c r="AE3968" s="10"/>
      <c r="AF3968" s="10"/>
      <c r="AG3968" s="10"/>
      <c r="AH3968" s="10"/>
    </row>
    <row r="3969" spans="1:34" ht="31.5" outlineLevel="2">
      <c r="A3969" s="70"/>
      <c r="B3969" s="12" t="str">
        <f>IFERROR(VLOOKUP(D3969,'[1]Перечень товаров'!$A$2:$I9525,2,0),"")</f>
        <v>тм196</v>
      </c>
      <c r="C3969" s="12" t="str">
        <f>IFERROR(VLOOKUP(D3969,'[1]Перечень товаров'!$A$2:$I9525,3,0),"")</f>
        <v>Техника муз</v>
      </c>
      <c r="D3969" s="71" t="s">
        <v>1115</v>
      </c>
      <c r="E3969" s="58"/>
      <c r="F3969" s="58"/>
      <c r="G3969" s="24">
        <v>1</v>
      </c>
      <c r="H3969" s="24"/>
      <c r="I3969" s="25"/>
      <c r="J3969" s="25"/>
      <c r="K3969" s="19"/>
      <c r="L3969" s="20"/>
      <c r="M3969" s="10"/>
      <c r="N3969" s="10"/>
      <c r="O3969" s="10"/>
      <c r="P3969" s="10"/>
      <c r="Q3969" s="10"/>
      <c r="R3969" s="10"/>
      <c r="S3969" s="10"/>
      <c r="T3969" s="10"/>
      <c r="U3969" s="10"/>
      <c r="V3969" s="10"/>
      <c r="W3969" s="10"/>
      <c r="X3969" s="10"/>
      <c r="Y3969" s="10"/>
      <c r="Z3969" s="10"/>
      <c r="AA3969" s="10"/>
      <c r="AB3969" s="10"/>
      <c r="AC3969" s="10"/>
      <c r="AD3969" s="10"/>
      <c r="AE3969" s="10"/>
      <c r="AF3969" s="10"/>
      <c r="AG3969" s="10"/>
      <c r="AH3969" s="10"/>
    </row>
    <row r="3970" spans="1:34" outlineLevel="2">
      <c r="A3970" s="70"/>
      <c r="B3970" s="12" t="str">
        <f>IFERROR(VLOOKUP(D3970,'[1]Перечень товаров'!$A$2:$I9525,2,0),"")</f>
        <v>тм198</v>
      </c>
      <c r="C3970" s="12" t="str">
        <f>IFERROR(VLOOKUP(D3970,'[1]Перечень товаров'!$A$2:$I9525,3,0),"")</f>
        <v>Техника муз</v>
      </c>
      <c r="D3970" s="71" t="s">
        <v>1101</v>
      </c>
      <c r="E3970" s="23"/>
      <c r="F3970" s="23"/>
      <c r="G3970" s="24">
        <v>1</v>
      </c>
      <c r="H3970" s="24"/>
      <c r="I3970" s="25"/>
      <c r="J3970" s="25"/>
      <c r="K3970" s="19"/>
      <c r="L3970" s="20"/>
      <c r="M3970" s="10"/>
      <c r="N3970" s="10"/>
      <c r="O3970" s="10"/>
      <c r="P3970" s="10"/>
      <c r="Q3970" s="10"/>
      <c r="R3970" s="10"/>
      <c r="S3970" s="10"/>
      <c r="T3970" s="10"/>
      <c r="U3970" s="10"/>
      <c r="V3970" s="10"/>
      <c r="W3970" s="10"/>
      <c r="X3970" s="10"/>
      <c r="Y3970" s="10"/>
      <c r="Z3970" s="10"/>
      <c r="AA3970" s="10"/>
      <c r="AB3970" s="10"/>
      <c r="AC3970" s="10"/>
      <c r="AD3970" s="10"/>
      <c r="AE3970" s="10"/>
      <c r="AF3970" s="10"/>
      <c r="AG3970" s="10"/>
      <c r="AH3970" s="10"/>
    </row>
    <row r="3971" spans="1:34" outlineLevel="2">
      <c r="A3971" s="70"/>
      <c r="B3971" s="12" t="str">
        <f>IFERROR(VLOOKUP(D3971,'[1]Перечень товаров'!$A$2:$I9525,2,0),"")</f>
        <v>тм195</v>
      </c>
      <c r="C3971" s="12" t="str">
        <f>IFERROR(VLOOKUP(D3971,'[1]Перечень товаров'!$A$2:$I9525,3,0),"")</f>
        <v>Техника муз</v>
      </c>
      <c r="D3971" s="71" t="s">
        <v>1116</v>
      </c>
      <c r="E3971" s="23"/>
      <c r="F3971" s="23"/>
      <c r="G3971" s="24">
        <v>1</v>
      </c>
      <c r="H3971" s="24"/>
      <c r="I3971" s="25"/>
      <c r="J3971" s="25"/>
      <c r="K3971" s="19"/>
      <c r="L3971" s="20"/>
      <c r="M3971" s="10"/>
      <c r="N3971" s="10"/>
      <c r="O3971" s="10"/>
      <c r="P3971" s="10"/>
      <c r="Q3971" s="10"/>
      <c r="R3971" s="10"/>
      <c r="S3971" s="10"/>
      <c r="T3971" s="10"/>
      <c r="U3971" s="10"/>
      <c r="V3971" s="10"/>
      <c r="W3971" s="10"/>
      <c r="X3971" s="10"/>
      <c r="Y3971" s="10"/>
      <c r="Z3971" s="10"/>
      <c r="AA3971" s="10"/>
      <c r="AB3971" s="10"/>
      <c r="AC3971" s="10"/>
      <c r="AD3971" s="10"/>
      <c r="AE3971" s="10"/>
      <c r="AF3971" s="10"/>
      <c r="AG3971" s="10"/>
      <c r="AH3971" s="10"/>
    </row>
    <row r="3972" spans="1:34" ht="31.5" outlineLevel="2">
      <c r="A3972" s="70"/>
      <c r="B3972" s="12" t="str">
        <f>IFERROR(VLOOKUP(D3972,'[1]Перечень товаров'!$A$2:$I9525,2,0),"")</f>
        <v>м162</v>
      </c>
      <c r="C3972" s="12" t="str">
        <f>IFERROR(VLOOKUP(D3972,'[1]Перечень товаров'!$A$2:$I9525,3,0),"")</f>
        <v>мебель</v>
      </c>
      <c r="D3972" s="71" t="s">
        <v>1102</v>
      </c>
      <c r="E3972" s="23"/>
      <c r="F3972" s="23"/>
      <c r="G3972" s="24">
        <v>1</v>
      </c>
      <c r="H3972" s="24"/>
      <c r="I3972" s="25"/>
      <c r="J3972" s="25"/>
      <c r="K3972" s="19"/>
      <c r="L3972" s="20"/>
      <c r="M3972" s="10"/>
      <c r="N3972" s="10"/>
      <c r="O3972" s="10"/>
      <c r="P3972" s="10"/>
      <c r="Q3972" s="10"/>
      <c r="R3972" s="10"/>
      <c r="S3972" s="10"/>
      <c r="T3972" s="10"/>
      <c r="U3972" s="10"/>
      <c r="V3972" s="10"/>
      <c r="W3972" s="10"/>
      <c r="X3972" s="10"/>
      <c r="Y3972" s="10"/>
      <c r="Z3972" s="10"/>
      <c r="AA3972" s="10"/>
      <c r="AB3972" s="10"/>
      <c r="AC3972" s="10"/>
      <c r="AD3972" s="10"/>
      <c r="AE3972" s="10"/>
      <c r="AF3972" s="10"/>
      <c r="AG3972" s="10"/>
      <c r="AH3972" s="10"/>
    </row>
    <row r="3973" spans="1:34" outlineLevel="2">
      <c r="A3973" s="70"/>
      <c r="B3973" s="12" t="str">
        <f>IFERROR(VLOOKUP(D3973,'[1]Перечень товаров'!$A$2:$I9525,2,0),"")</f>
        <v>пм173</v>
      </c>
      <c r="C3973" s="12" t="str">
        <f>IFERROR(VLOOKUP(D3973,'[1]Перечень товаров'!$A$2:$I9525,3,0),"")</f>
        <v>прочее муз</v>
      </c>
      <c r="D3973" s="71" t="s">
        <v>1117</v>
      </c>
      <c r="E3973" s="23"/>
      <c r="F3973" s="23"/>
      <c r="G3973" s="24">
        <v>1</v>
      </c>
      <c r="H3973" s="24"/>
      <c r="I3973" s="25"/>
      <c r="J3973" s="25"/>
      <c r="K3973" s="19"/>
      <c r="L3973" s="20"/>
      <c r="M3973" s="10"/>
      <c r="N3973" s="10"/>
      <c r="O3973" s="10"/>
      <c r="P3973" s="10"/>
      <c r="Q3973" s="10"/>
      <c r="R3973" s="10"/>
      <c r="S3973" s="10"/>
      <c r="T3973" s="10"/>
      <c r="U3973" s="10"/>
      <c r="V3973" s="10"/>
      <c r="W3973" s="10"/>
      <c r="X3973" s="10"/>
      <c r="Y3973" s="10"/>
      <c r="Z3973" s="10"/>
      <c r="AA3973" s="10"/>
      <c r="AB3973" s="10"/>
      <c r="AC3973" s="10"/>
      <c r="AD3973" s="10"/>
      <c r="AE3973" s="10"/>
      <c r="AF3973" s="10"/>
      <c r="AG3973" s="10"/>
      <c r="AH3973" s="10"/>
    </row>
    <row r="3974" spans="1:34" ht="31.5" outlineLevel="2">
      <c r="A3974" s="70"/>
      <c r="B3974" s="12" t="str">
        <f>IFERROR(VLOOKUP(D3974,'[1]Перечень товаров'!$A$2:$I9525,2,0),"")</f>
        <v>тм75</v>
      </c>
      <c r="C3974" s="12" t="str">
        <f>IFERROR(VLOOKUP(D3974,'[1]Перечень товаров'!$A$2:$I9525,3,0),"")</f>
        <v>Техника муз</v>
      </c>
      <c r="D3974" s="71" t="s">
        <v>422</v>
      </c>
      <c r="E3974" s="23"/>
      <c r="F3974" s="23"/>
      <c r="G3974" s="24">
        <v>1</v>
      </c>
      <c r="H3974" s="24"/>
      <c r="I3974" s="25"/>
      <c r="J3974" s="25"/>
      <c r="K3974" s="19"/>
      <c r="L3974" s="20"/>
      <c r="M3974" s="10"/>
      <c r="N3974" s="10"/>
      <c r="O3974" s="10"/>
      <c r="P3974" s="10"/>
      <c r="Q3974" s="10"/>
      <c r="R3974" s="10"/>
      <c r="S3974" s="10"/>
      <c r="T3974" s="10"/>
      <c r="U3974" s="10"/>
      <c r="V3974" s="10"/>
      <c r="W3974" s="10"/>
      <c r="X3974" s="10"/>
      <c r="Y3974" s="10"/>
      <c r="Z3974" s="10"/>
      <c r="AA3974" s="10"/>
      <c r="AB3974" s="10"/>
      <c r="AC3974" s="10"/>
      <c r="AD3974" s="10"/>
      <c r="AE3974" s="10"/>
      <c r="AF3974" s="10"/>
      <c r="AG3974" s="10"/>
      <c r="AH3974" s="10"/>
    </row>
    <row r="3975" spans="1:34" ht="30" outlineLevel="2">
      <c r="A3975" s="224"/>
      <c r="B3975" s="12" t="str">
        <f>IFERROR(VLOOKUP(D3975,'[1]Перечень товаров'!$A$2:$I9525,2,0),"")</f>
        <v/>
      </c>
      <c r="C3975" s="12" t="str">
        <f>IFERROR(VLOOKUP(D3975,'[1]Перечень товаров'!$A$2:$I9525,3,0),"")</f>
        <v/>
      </c>
      <c r="D3975" s="225" t="s">
        <v>1103</v>
      </c>
      <c r="E3975" s="14"/>
      <c r="F3975" s="14"/>
      <c r="G3975" s="16"/>
      <c r="H3975" s="16"/>
      <c r="I3975" s="18"/>
      <c r="J3975" s="18"/>
      <c r="K3975" s="19"/>
      <c r="L3975" s="20"/>
      <c r="M3975" s="10"/>
      <c r="N3975" s="10"/>
      <c r="O3975" s="10"/>
      <c r="P3975" s="10"/>
      <c r="Q3975" s="10"/>
      <c r="R3975" s="10"/>
      <c r="S3975" s="10"/>
      <c r="T3975" s="10"/>
      <c r="U3975" s="10"/>
      <c r="V3975" s="10"/>
      <c r="W3975" s="10"/>
      <c r="X3975" s="10"/>
      <c r="Y3975" s="10"/>
      <c r="Z3975" s="10"/>
      <c r="AA3975" s="10"/>
      <c r="AB3975" s="10"/>
      <c r="AC3975" s="10"/>
      <c r="AD3975" s="10"/>
      <c r="AE3975" s="10"/>
      <c r="AF3975" s="10"/>
      <c r="AG3975" s="10"/>
      <c r="AH3975" s="10"/>
    </row>
    <row r="3976" spans="1:34" outlineLevel="2">
      <c r="A3976" s="70"/>
      <c r="B3976" s="12" t="str">
        <f>IFERROR(VLOOKUP(D3976,'[1]Перечень товаров'!$A$2:$I9525,2,0),"")</f>
        <v>пм172</v>
      </c>
      <c r="C3976" s="12" t="str">
        <f>IFERROR(VLOOKUP(D3976,'[1]Перечень товаров'!$A$2:$I9525,3,0),"")</f>
        <v>прочее муз</v>
      </c>
      <c r="D3976" s="71" t="s">
        <v>1118</v>
      </c>
      <c r="E3976" s="23" t="s">
        <v>546</v>
      </c>
      <c r="F3976" s="23"/>
      <c r="G3976" s="24">
        <v>2</v>
      </c>
      <c r="H3976" s="24"/>
      <c r="I3976" s="25"/>
      <c r="J3976" s="25"/>
      <c r="K3976" s="19"/>
      <c r="L3976" s="20"/>
      <c r="M3976" s="10"/>
      <c r="N3976" s="10"/>
      <c r="O3976" s="10"/>
      <c r="P3976" s="10"/>
      <c r="Q3976" s="10"/>
      <c r="R3976" s="10"/>
      <c r="S3976" s="10"/>
      <c r="T3976" s="10"/>
      <c r="U3976" s="10"/>
      <c r="V3976" s="10"/>
      <c r="W3976" s="10"/>
      <c r="X3976" s="10"/>
      <c r="Y3976" s="10"/>
      <c r="Z3976" s="10"/>
      <c r="AA3976" s="10"/>
      <c r="AB3976" s="10"/>
      <c r="AC3976" s="10"/>
      <c r="AD3976" s="10"/>
      <c r="AE3976" s="10"/>
      <c r="AF3976" s="10"/>
      <c r="AG3976" s="10"/>
      <c r="AH3976" s="10"/>
    </row>
    <row r="3977" spans="1:34" ht="31.5" outlineLevel="2">
      <c r="A3977" s="70"/>
      <c r="B3977" s="12" t="str">
        <f>IFERROR(VLOOKUP(D3977,'[1]Перечень товаров'!$A$2:$I9525,2,0),"")</f>
        <v>м158</v>
      </c>
      <c r="C3977" s="12" t="str">
        <f>IFERROR(VLOOKUP(D3977,'[1]Перечень товаров'!$A$2:$I9525,3,0),"")</f>
        <v>мебель</v>
      </c>
      <c r="D3977" s="71" t="s">
        <v>1119</v>
      </c>
      <c r="E3977" s="23"/>
      <c r="F3977" s="23"/>
      <c r="G3977" s="24">
        <v>1</v>
      </c>
      <c r="H3977" s="24"/>
      <c r="I3977" s="25"/>
      <c r="J3977" s="25"/>
      <c r="K3977" s="19"/>
      <c r="L3977" s="20"/>
      <c r="M3977" s="10"/>
      <c r="N3977" s="10"/>
      <c r="O3977" s="10"/>
      <c r="P3977" s="10"/>
      <c r="Q3977" s="10"/>
      <c r="R3977" s="10"/>
      <c r="S3977" s="10"/>
      <c r="T3977" s="10"/>
      <c r="U3977" s="10"/>
      <c r="V3977" s="10"/>
      <c r="W3977" s="10"/>
      <c r="X3977" s="10"/>
      <c r="Y3977" s="10"/>
      <c r="Z3977" s="10"/>
      <c r="AA3977" s="10"/>
      <c r="AB3977" s="10"/>
      <c r="AC3977" s="10"/>
      <c r="AD3977" s="10"/>
      <c r="AE3977" s="10"/>
      <c r="AF3977" s="10"/>
      <c r="AG3977" s="10"/>
      <c r="AH3977" s="10"/>
    </row>
    <row r="3978" spans="1:34" outlineLevel="2">
      <c r="A3978" s="70"/>
      <c r="B3978" s="12" t="str">
        <f>IFERROR(VLOOKUP(D3978,'[1]Перечень товаров'!$A$2:$I9525,2,0),"")</f>
        <v>пм174</v>
      </c>
      <c r="C3978" s="12" t="str">
        <f>IFERROR(VLOOKUP(D3978,'[1]Перечень товаров'!$A$2:$I9525,3,0),"")</f>
        <v>прочее муз</v>
      </c>
      <c r="D3978" s="71" t="s">
        <v>1105</v>
      </c>
      <c r="E3978" s="23"/>
      <c r="F3978" s="23"/>
      <c r="G3978" s="24">
        <v>1</v>
      </c>
      <c r="H3978" s="24"/>
      <c r="I3978" s="25"/>
      <c r="J3978" s="25"/>
      <c r="K3978" s="19"/>
      <c r="L3978" s="20"/>
      <c r="M3978" s="10"/>
      <c r="N3978" s="10"/>
      <c r="O3978" s="10"/>
      <c r="P3978" s="10"/>
      <c r="Q3978" s="10"/>
      <c r="R3978" s="10"/>
      <c r="S3978" s="10"/>
      <c r="T3978" s="10"/>
      <c r="U3978" s="10"/>
      <c r="V3978" s="10"/>
      <c r="W3978" s="10"/>
      <c r="X3978" s="10"/>
      <c r="Y3978" s="10"/>
      <c r="Z3978" s="10"/>
      <c r="AA3978" s="10"/>
      <c r="AB3978" s="10"/>
      <c r="AC3978" s="10"/>
      <c r="AD3978" s="10"/>
      <c r="AE3978" s="10"/>
      <c r="AF3978" s="10"/>
      <c r="AG3978" s="10"/>
      <c r="AH3978" s="10"/>
    </row>
    <row r="3979" spans="1:34" ht="15" outlineLevel="2">
      <c r="A3979" s="224"/>
      <c r="B3979" s="12" t="str">
        <f>IFERROR(VLOOKUP(D3979,'[1]Перечень товаров'!$A$2:$I9525,2,0),"")</f>
        <v/>
      </c>
      <c r="C3979" s="12" t="str">
        <f>IFERROR(VLOOKUP(D3979,'[1]Перечень товаров'!$A$2:$I9525,3,0),"")</f>
        <v/>
      </c>
      <c r="D3979" s="225" t="s">
        <v>1120</v>
      </c>
      <c r="E3979" s="14"/>
      <c r="F3979" s="14"/>
      <c r="G3979" s="16"/>
      <c r="H3979" s="16"/>
      <c r="I3979" s="18"/>
      <c r="J3979" s="18"/>
      <c r="K3979" s="19"/>
      <c r="L3979" s="20"/>
      <c r="M3979" s="10"/>
      <c r="N3979" s="10"/>
      <c r="O3979" s="10"/>
      <c r="P3979" s="10"/>
      <c r="Q3979" s="10"/>
      <c r="R3979" s="10"/>
      <c r="S3979" s="10"/>
      <c r="T3979" s="10"/>
      <c r="U3979" s="10"/>
      <c r="V3979" s="10"/>
      <c r="W3979" s="10"/>
      <c r="X3979" s="10"/>
      <c r="Y3979" s="10"/>
      <c r="Z3979" s="10"/>
      <c r="AA3979" s="10"/>
      <c r="AB3979" s="10"/>
      <c r="AC3979" s="10"/>
      <c r="AD3979" s="10"/>
      <c r="AE3979" s="10"/>
      <c r="AF3979" s="10"/>
      <c r="AG3979" s="10"/>
      <c r="AH3979" s="10"/>
    </row>
    <row r="3980" spans="1:34" ht="31.5" outlineLevel="2">
      <c r="A3980" s="70"/>
      <c r="B3980" s="12" t="str">
        <f>IFERROR(VLOOKUP(D3980,'[1]Перечень товаров'!$A$2:$I9525,2,0),"")</f>
        <v>мм4</v>
      </c>
      <c r="C3980" s="12" t="str">
        <f>IFERROR(VLOOKUP(D3980,'[1]Перечень товаров'!$A$2:$I9525,3,0),"")</f>
        <v>Мебель муз</v>
      </c>
      <c r="D3980" s="71" t="s">
        <v>220</v>
      </c>
      <c r="E3980" s="23"/>
      <c r="F3980" s="23"/>
      <c r="G3980" s="24">
        <v>15</v>
      </c>
      <c r="H3980" s="24"/>
      <c r="I3980" s="25"/>
      <c r="J3980" s="25"/>
      <c r="K3980" s="19"/>
      <c r="L3980" s="20"/>
      <c r="M3980" s="10"/>
      <c r="N3980" s="10"/>
      <c r="O3980" s="10"/>
      <c r="P3980" s="10"/>
      <c r="Q3980" s="10"/>
      <c r="R3980" s="10"/>
      <c r="S3980" s="10"/>
      <c r="T3980" s="10"/>
      <c r="U3980" s="10"/>
      <c r="V3980" s="10"/>
      <c r="W3980" s="10"/>
      <c r="X3980" s="10"/>
      <c r="Y3980" s="10"/>
      <c r="Z3980" s="10"/>
      <c r="AA3980" s="10"/>
      <c r="AB3980" s="10"/>
      <c r="AC3980" s="10"/>
      <c r="AD3980" s="10"/>
      <c r="AE3980" s="10"/>
      <c r="AF3980" s="10"/>
      <c r="AG3980" s="10"/>
      <c r="AH3980" s="10"/>
    </row>
    <row r="3981" spans="1:34" ht="31.5" outlineLevel="2">
      <c r="A3981" s="70"/>
      <c r="B3981" s="12" t="str">
        <f>IFERROR(VLOOKUP(D3981,'[1]Перечень товаров'!$A$2:$I9525,2,0),"")</f>
        <v>м157</v>
      </c>
      <c r="C3981" s="12" t="str">
        <f>IFERROR(VLOOKUP(D3981,'[1]Перечень товаров'!$A$2:$I9525,3,0),"")</f>
        <v>мебель</v>
      </c>
      <c r="D3981" s="71" t="s">
        <v>1121</v>
      </c>
      <c r="E3981" s="23"/>
      <c r="F3981" s="23"/>
      <c r="G3981" s="24">
        <v>20</v>
      </c>
      <c r="H3981" s="24"/>
      <c r="I3981" s="25"/>
      <c r="J3981" s="25"/>
      <c r="K3981" s="19"/>
      <c r="L3981" s="20"/>
      <c r="M3981" s="10"/>
      <c r="N3981" s="10"/>
      <c r="O3981" s="10"/>
      <c r="P3981" s="10"/>
      <c r="Q3981" s="10"/>
      <c r="R3981" s="10"/>
      <c r="S3981" s="10"/>
      <c r="T3981" s="10"/>
      <c r="U3981" s="10"/>
      <c r="V3981" s="10"/>
      <c r="W3981" s="10"/>
      <c r="X3981" s="10"/>
      <c r="Y3981" s="10"/>
      <c r="Z3981" s="10"/>
      <c r="AA3981" s="10"/>
      <c r="AB3981" s="10"/>
      <c r="AC3981" s="10"/>
      <c r="AD3981" s="10"/>
      <c r="AE3981" s="10"/>
      <c r="AF3981" s="10"/>
      <c r="AG3981" s="10"/>
      <c r="AH3981" s="10"/>
    </row>
    <row r="3982" spans="1:34" ht="47.25" outlineLevel="2">
      <c r="A3982" s="70"/>
      <c r="B3982" s="12" t="str">
        <f>IFERROR(VLOOKUP(D3982,'[1]Перечень товаров'!$A$2:$I9525,2,0),"")</f>
        <v>м156</v>
      </c>
      <c r="C3982" s="12" t="str">
        <f>IFERROR(VLOOKUP(D3982,'[1]Перечень товаров'!$A$2:$I9525,3,0),"")</f>
        <v>мебель</v>
      </c>
      <c r="D3982" s="71" t="s">
        <v>1122</v>
      </c>
      <c r="E3982" s="23"/>
      <c r="F3982" s="23"/>
      <c r="G3982" s="24">
        <v>2</v>
      </c>
      <c r="H3982" s="24"/>
      <c r="I3982" s="25"/>
      <c r="J3982" s="25"/>
      <c r="K3982" s="19"/>
      <c r="L3982" s="20"/>
      <c r="M3982" s="10"/>
      <c r="N3982" s="10"/>
      <c r="O3982" s="10"/>
      <c r="P3982" s="10"/>
      <c r="Q3982" s="10"/>
      <c r="R3982" s="10"/>
      <c r="S3982" s="10"/>
      <c r="T3982" s="10"/>
      <c r="U3982" s="10"/>
      <c r="V3982" s="10"/>
      <c r="W3982" s="10"/>
      <c r="X3982" s="10"/>
      <c r="Y3982" s="10"/>
      <c r="Z3982" s="10"/>
      <c r="AA3982" s="10"/>
      <c r="AB3982" s="10"/>
      <c r="AC3982" s="10"/>
      <c r="AD3982" s="10"/>
      <c r="AE3982" s="10"/>
      <c r="AF3982" s="10"/>
      <c r="AG3982" s="10"/>
      <c r="AH3982" s="10"/>
    </row>
    <row r="3983" spans="1:34" ht="31.5" outlineLevel="2">
      <c r="A3983" s="70"/>
      <c r="B3983" s="12" t="str">
        <f>IFERROR(VLOOKUP(D3983,'[1]Перечень товаров'!$A$2:$I9525,2,0),"")</f>
        <v>м155</v>
      </c>
      <c r="C3983" s="12" t="str">
        <f>IFERROR(VLOOKUP(D3983,'[1]Перечень товаров'!$A$2:$I9525,3,0),"")</f>
        <v>мебель</v>
      </c>
      <c r="D3983" s="71" t="s">
        <v>1123</v>
      </c>
      <c r="E3983" s="23"/>
      <c r="F3983" s="23"/>
      <c r="G3983" s="24">
        <v>2</v>
      </c>
      <c r="H3983" s="24"/>
      <c r="I3983" s="25"/>
      <c r="J3983" s="25"/>
      <c r="K3983" s="19"/>
      <c r="L3983" s="20"/>
      <c r="M3983" s="10"/>
      <c r="N3983" s="10"/>
      <c r="O3983" s="10"/>
      <c r="P3983" s="10"/>
      <c r="Q3983" s="10"/>
      <c r="R3983" s="10"/>
      <c r="S3983" s="10"/>
      <c r="T3983" s="10"/>
      <c r="U3983" s="10"/>
      <c r="V3983" s="10"/>
      <c r="W3983" s="10"/>
      <c r="X3983" s="10"/>
      <c r="Y3983" s="10"/>
      <c r="Z3983" s="10"/>
      <c r="AA3983" s="10"/>
      <c r="AB3983" s="10"/>
      <c r="AC3983" s="10"/>
      <c r="AD3983" s="10"/>
      <c r="AE3983" s="10"/>
      <c r="AF3983" s="10"/>
      <c r="AG3983" s="10"/>
      <c r="AH3983" s="10"/>
    </row>
    <row r="3984" spans="1:34" ht="31.5" outlineLevel="2">
      <c r="A3984" s="70"/>
      <c r="B3984" s="12" t="str">
        <f>IFERROR(VLOOKUP(D3984,'[1]Перечень товаров'!$A$2:$I9525,2,0),"")</f>
        <v>м187</v>
      </c>
      <c r="C3984" s="12" t="str">
        <f>IFERROR(VLOOKUP(D3984,'[1]Перечень товаров'!$A$2:$I9525,3,0),"")</f>
        <v>Мебель</v>
      </c>
      <c r="D3984" s="71" t="s">
        <v>628</v>
      </c>
      <c r="E3984" s="23"/>
      <c r="F3984" s="23"/>
      <c r="G3984" s="24">
        <v>1</v>
      </c>
      <c r="H3984" s="24"/>
      <c r="I3984" s="25"/>
      <c r="J3984" s="25"/>
      <c r="K3984" s="19"/>
      <c r="L3984" s="20"/>
      <c r="M3984" s="10"/>
      <c r="N3984" s="10"/>
      <c r="O3984" s="10"/>
      <c r="P3984" s="10"/>
      <c r="Q3984" s="10"/>
      <c r="R3984" s="10"/>
      <c r="S3984" s="10"/>
      <c r="T3984" s="10"/>
      <c r="U3984" s="10"/>
      <c r="V3984" s="10"/>
      <c r="W3984" s="10"/>
      <c r="X3984" s="10"/>
      <c r="Y3984" s="10"/>
      <c r="Z3984" s="10"/>
      <c r="AA3984" s="10"/>
      <c r="AB3984" s="10"/>
      <c r="AC3984" s="10"/>
      <c r="AD3984" s="10"/>
      <c r="AE3984" s="10"/>
      <c r="AF3984" s="10"/>
      <c r="AG3984" s="10"/>
      <c r="AH3984" s="10"/>
    </row>
    <row r="3985" spans="1:34" ht="15" outlineLevel="2">
      <c r="A3985" s="224"/>
      <c r="B3985" s="12" t="str">
        <f>IFERROR(VLOOKUP(D3985,'[1]Перечень товаров'!$A$2:$I9525,2,0),"")</f>
        <v/>
      </c>
      <c r="C3985" s="12" t="str">
        <f>IFERROR(VLOOKUP(D3985,'[1]Перечень товаров'!$A$2:$I9525,3,0),"")</f>
        <v/>
      </c>
      <c r="D3985" s="225" t="s">
        <v>264</v>
      </c>
      <c r="E3985" s="14"/>
      <c r="F3985" s="14"/>
      <c r="G3985" s="16"/>
      <c r="H3985" s="16"/>
      <c r="I3985" s="18"/>
      <c r="J3985" s="18"/>
      <c r="K3985" s="19"/>
      <c r="L3985" s="20"/>
      <c r="M3985" s="10"/>
      <c r="N3985" s="10"/>
      <c r="O3985" s="10"/>
      <c r="P3985" s="10"/>
      <c r="Q3985" s="10"/>
      <c r="R3985" s="10"/>
      <c r="S3985" s="10"/>
      <c r="T3985" s="10"/>
      <c r="U3985" s="10"/>
      <c r="V3985" s="10"/>
      <c r="W3985" s="10"/>
      <c r="X3985" s="10"/>
      <c r="Y3985" s="10"/>
      <c r="Z3985" s="10"/>
      <c r="AA3985" s="10"/>
      <c r="AB3985" s="10"/>
      <c r="AC3985" s="10"/>
      <c r="AD3985" s="10"/>
      <c r="AE3985" s="10"/>
      <c r="AF3985" s="10"/>
      <c r="AG3985" s="10"/>
      <c r="AH3985" s="10"/>
    </row>
    <row r="3986" spans="1:34" outlineLevel="2">
      <c r="A3986" s="70"/>
      <c r="B3986" s="12" t="str">
        <f>IFERROR(VLOOKUP(D3986,'[1]Перечень товаров'!$A$2:$I9525,2,0),"")</f>
        <v>тм194</v>
      </c>
      <c r="C3986" s="12" t="str">
        <f>IFERROR(VLOOKUP(D3986,'[1]Перечень товаров'!$A$2:$I9525,3,0),"")</f>
        <v>Техника муз</v>
      </c>
      <c r="D3986" s="71" t="s">
        <v>1124</v>
      </c>
      <c r="E3986" s="23"/>
      <c r="F3986" s="23"/>
      <c r="G3986" s="24">
        <v>1</v>
      </c>
      <c r="H3986" s="24"/>
      <c r="I3986" s="25"/>
      <c r="J3986" s="25"/>
      <c r="K3986" s="19"/>
      <c r="L3986" s="20"/>
      <c r="M3986" s="10"/>
      <c r="N3986" s="10"/>
      <c r="O3986" s="10"/>
      <c r="P3986" s="10"/>
      <c r="Q3986" s="10"/>
      <c r="R3986" s="10"/>
      <c r="S3986" s="10"/>
      <c r="T3986" s="10"/>
      <c r="U3986" s="10"/>
      <c r="V3986" s="10"/>
      <c r="W3986" s="10"/>
      <c r="X3986" s="10"/>
      <c r="Y3986" s="10"/>
      <c r="Z3986" s="10"/>
      <c r="AA3986" s="10"/>
      <c r="AB3986" s="10"/>
      <c r="AC3986" s="10"/>
      <c r="AD3986" s="10"/>
      <c r="AE3986" s="10"/>
      <c r="AF3986" s="10"/>
      <c r="AG3986" s="10"/>
      <c r="AH3986" s="10"/>
    </row>
    <row r="3987" spans="1:34" ht="31.5" outlineLevel="2">
      <c r="A3987" s="70"/>
      <c r="B3987" s="12" t="str">
        <f>IFERROR(VLOOKUP(D3987,'[1]Перечень товаров'!$A$2:$I9525,2,0),"")</f>
        <v>тм193</v>
      </c>
      <c r="C3987" s="12" t="str">
        <f>IFERROR(VLOOKUP(D3987,'[1]Перечень товаров'!$A$2:$I9525,3,0),"")</f>
        <v>Техника муз</v>
      </c>
      <c r="D3987" s="71" t="s">
        <v>1125</v>
      </c>
      <c r="E3987" s="23"/>
      <c r="F3987" s="23"/>
      <c r="G3987" s="24">
        <v>2</v>
      </c>
      <c r="H3987" s="24"/>
      <c r="I3987" s="25"/>
      <c r="J3987" s="25"/>
      <c r="K3987" s="19"/>
      <c r="L3987" s="20"/>
      <c r="M3987" s="10"/>
      <c r="N3987" s="10"/>
      <c r="O3987" s="10"/>
      <c r="P3987" s="10"/>
      <c r="Q3987" s="10"/>
      <c r="R3987" s="10"/>
      <c r="S3987" s="10"/>
      <c r="T3987" s="10"/>
      <c r="U3987" s="10"/>
      <c r="V3987" s="10"/>
      <c r="W3987" s="10"/>
      <c r="X3987" s="10"/>
      <c r="Y3987" s="10"/>
      <c r="Z3987" s="10"/>
      <c r="AA3987" s="10"/>
      <c r="AB3987" s="10"/>
      <c r="AC3987" s="10"/>
      <c r="AD3987" s="10"/>
      <c r="AE3987" s="10"/>
      <c r="AF3987" s="10"/>
      <c r="AG3987" s="10"/>
      <c r="AH3987" s="10"/>
    </row>
    <row r="3988" spans="1:34" outlineLevel="2">
      <c r="A3988" s="70"/>
      <c r="B3988" s="12" t="str">
        <f>IFERROR(VLOOKUP(D3988,'[1]Перечень товаров'!$A$2:$I9525,2,0),"")</f>
        <v>т133</v>
      </c>
      <c r="C3988" s="12" t="str">
        <f>IFERROR(VLOOKUP(D3988,'[1]Перечень товаров'!$A$2:$I9525,3,0),"")</f>
        <v>Техника</v>
      </c>
      <c r="D3988" s="71" t="s">
        <v>1126</v>
      </c>
      <c r="E3988" s="23"/>
      <c r="F3988" s="23"/>
      <c r="G3988" s="24">
        <v>2</v>
      </c>
      <c r="H3988" s="24"/>
      <c r="I3988" s="25"/>
      <c r="J3988" s="25"/>
      <c r="K3988" s="19"/>
      <c r="L3988" s="20"/>
      <c r="M3988" s="10"/>
      <c r="N3988" s="10"/>
      <c r="O3988" s="10"/>
      <c r="P3988" s="10"/>
      <c r="Q3988" s="10"/>
      <c r="R3988" s="10"/>
      <c r="S3988" s="10"/>
      <c r="T3988" s="10"/>
      <c r="U3988" s="10"/>
      <c r="V3988" s="10"/>
      <c r="W3988" s="10"/>
      <c r="X3988" s="10"/>
      <c r="Y3988" s="10"/>
      <c r="Z3988" s="10"/>
      <c r="AA3988" s="10"/>
      <c r="AB3988" s="10"/>
      <c r="AC3988" s="10"/>
      <c r="AD3988" s="10"/>
      <c r="AE3988" s="10"/>
      <c r="AF3988" s="10"/>
      <c r="AG3988" s="10"/>
      <c r="AH3988" s="10"/>
    </row>
    <row r="3989" spans="1:34" outlineLevel="2">
      <c r="A3989" s="70"/>
      <c r="B3989" s="12" t="str">
        <f>IFERROR(VLOOKUP(D3989,'[1]Перечень товаров'!$A$2:$I9525,2,0),"")</f>
        <v>пм171</v>
      </c>
      <c r="C3989" s="12" t="str">
        <f>IFERROR(VLOOKUP(D3989,'[1]Перечень товаров'!$A$2:$I9525,3,0),"")</f>
        <v>прочее муз</v>
      </c>
      <c r="D3989" s="71" t="s">
        <v>1127</v>
      </c>
      <c r="E3989" s="23"/>
      <c r="F3989" s="23"/>
      <c r="G3989" s="24">
        <v>4</v>
      </c>
      <c r="H3989" s="24"/>
      <c r="I3989" s="25"/>
      <c r="J3989" s="25"/>
      <c r="K3989" s="19"/>
      <c r="L3989" s="20"/>
      <c r="M3989" s="10"/>
      <c r="N3989" s="10"/>
      <c r="O3989" s="10"/>
      <c r="P3989" s="10"/>
      <c r="Q3989" s="10"/>
      <c r="R3989" s="10"/>
      <c r="S3989" s="10"/>
      <c r="T3989" s="10"/>
      <c r="U3989" s="10"/>
      <c r="V3989" s="10"/>
      <c r="W3989" s="10"/>
      <c r="X3989" s="10"/>
      <c r="Y3989" s="10"/>
      <c r="Z3989" s="10"/>
      <c r="AA3989" s="10"/>
      <c r="AB3989" s="10"/>
      <c r="AC3989" s="10"/>
      <c r="AD3989" s="10"/>
      <c r="AE3989" s="10"/>
      <c r="AF3989" s="10"/>
      <c r="AG3989" s="10"/>
      <c r="AH3989" s="10"/>
    </row>
    <row r="3990" spans="1:34" ht="31.5" outlineLevel="2">
      <c r="A3990" s="70"/>
      <c r="B3990" s="12" t="str">
        <f>IFERROR(VLOOKUP(D3990,'[1]Перечень товаров'!$A$2:$I9525,2,0),"")</f>
        <v xml:space="preserve">тм192 </v>
      </c>
      <c r="C3990" s="12" t="str">
        <f>IFERROR(VLOOKUP(D3990,'[1]Перечень товаров'!$A$2:$I9525,3,0),"")</f>
        <v>Техника муз</v>
      </c>
      <c r="D3990" s="71" t="s">
        <v>1128</v>
      </c>
      <c r="E3990" s="23"/>
      <c r="F3990" s="23"/>
      <c r="G3990" s="24">
        <v>4</v>
      </c>
      <c r="H3990" s="24"/>
      <c r="I3990" s="25"/>
      <c r="J3990" s="25"/>
      <c r="K3990" s="19"/>
      <c r="L3990" s="20"/>
      <c r="M3990" s="10"/>
      <c r="N3990" s="10"/>
      <c r="O3990" s="10"/>
      <c r="P3990" s="10"/>
      <c r="Q3990" s="10"/>
      <c r="R3990" s="10"/>
      <c r="S3990" s="10"/>
      <c r="T3990" s="10"/>
      <c r="U3990" s="10"/>
      <c r="V3990" s="10"/>
      <c r="W3990" s="10"/>
      <c r="X3990" s="10"/>
      <c r="Y3990" s="10"/>
      <c r="Z3990" s="10"/>
      <c r="AA3990" s="10"/>
      <c r="AB3990" s="10"/>
      <c r="AC3990" s="10"/>
      <c r="AD3990" s="10"/>
      <c r="AE3990" s="10"/>
      <c r="AF3990" s="10"/>
      <c r="AG3990" s="10"/>
      <c r="AH3990" s="10"/>
    </row>
    <row r="3991" spans="1:34" ht="31.5" outlineLevel="2">
      <c r="A3991" s="70"/>
      <c r="B3991" s="12" t="str">
        <f>IFERROR(VLOOKUP(D3991,'[1]Перечень товаров'!$A$2:$I9525,2,0),"")</f>
        <v>т178</v>
      </c>
      <c r="C3991" s="12" t="str">
        <f>IFERROR(VLOOKUP(D3991,'[1]Перечень товаров'!$A$2:$I9525,3,0),"")</f>
        <v>Техника</v>
      </c>
      <c r="D3991" s="71" t="s">
        <v>448</v>
      </c>
      <c r="E3991" s="23"/>
      <c r="F3991" s="23"/>
      <c r="G3991" s="24">
        <v>1</v>
      </c>
      <c r="H3991" s="24"/>
      <c r="I3991" s="25"/>
      <c r="J3991" s="25"/>
      <c r="K3991" s="19"/>
      <c r="L3991" s="20"/>
      <c r="M3991" s="10"/>
      <c r="N3991" s="10"/>
      <c r="O3991" s="10"/>
      <c r="P3991" s="10"/>
      <c r="Q3991" s="10"/>
      <c r="R3991" s="10"/>
      <c r="S3991" s="10"/>
      <c r="T3991" s="10"/>
      <c r="U3991" s="10"/>
      <c r="V3991" s="10"/>
      <c r="W3991" s="10"/>
      <c r="X3991" s="10"/>
      <c r="Y3991" s="10"/>
      <c r="Z3991" s="10"/>
      <c r="AA3991" s="10"/>
      <c r="AB3991" s="10"/>
      <c r="AC3991" s="10"/>
      <c r="AD3991" s="10"/>
      <c r="AE3991" s="10"/>
      <c r="AF3991" s="10"/>
      <c r="AG3991" s="10"/>
      <c r="AH3991" s="10"/>
    </row>
    <row r="3992" spans="1:34" ht="31.5" outlineLevel="2">
      <c r="A3992" s="70"/>
      <c r="B3992" s="12" t="str">
        <f>IFERROR(VLOOKUP(D3992,'[1]Перечень товаров'!$A$2:$I9525,2,0),"")</f>
        <v>т74</v>
      </c>
      <c r="C3992" s="12" t="str">
        <f>IFERROR(VLOOKUP(D3992,'[1]Перечень товаров'!$A$2:$I9525,3,0),"")</f>
        <v>Техника</v>
      </c>
      <c r="D3992" s="71" t="s">
        <v>199</v>
      </c>
      <c r="E3992" s="23"/>
      <c r="F3992" s="23"/>
      <c r="G3992" s="24">
        <v>10</v>
      </c>
      <c r="H3992" s="24"/>
      <c r="I3992" s="25"/>
      <c r="J3992" s="25"/>
      <c r="K3992" s="19"/>
      <c r="L3992" s="20"/>
      <c r="M3992" s="10"/>
      <c r="N3992" s="10"/>
      <c r="O3992" s="10"/>
      <c r="P3992" s="10"/>
      <c r="Q3992" s="10"/>
      <c r="R3992" s="10"/>
      <c r="S3992" s="10"/>
      <c r="T3992" s="10"/>
      <c r="U3992" s="10"/>
      <c r="V3992" s="10"/>
      <c r="W3992" s="10"/>
      <c r="X3992" s="10"/>
      <c r="Y3992" s="10"/>
      <c r="Z3992" s="10"/>
      <c r="AA3992" s="10"/>
      <c r="AB3992" s="10"/>
      <c r="AC3992" s="10"/>
      <c r="AD3992" s="10"/>
      <c r="AE3992" s="10"/>
      <c r="AF3992" s="10"/>
      <c r="AG3992" s="10"/>
      <c r="AH3992" s="10"/>
    </row>
    <row r="3993" spans="1:34" outlineLevel="2">
      <c r="A3993" s="70"/>
      <c r="B3993" s="12" t="str">
        <f>IFERROR(VLOOKUP(D3993,'[1]Перечень товаров'!$A$2:$I9525,2,0),"")</f>
        <v>тм76</v>
      </c>
      <c r="C3993" s="12" t="str">
        <f>IFERROR(VLOOKUP(D3993,'[1]Перечень товаров'!$A$2:$I9525,3,0),"")</f>
        <v>Техника муз</v>
      </c>
      <c r="D3993" s="71" t="s">
        <v>423</v>
      </c>
      <c r="E3993" s="23"/>
      <c r="F3993" s="23"/>
      <c r="G3993" s="24">
        <v>1</v>
      </c>
      <c r="H3993" s="24"/>
      <c r="I3993" s="25"/>
      <c r="J3993" s="25"/>
      <c r="K3993" s="19"/>
      <c r="L3993" s="20"/>
      <c r="M3993" s="10"/>
      <c r="N3993" s="10"/>
      <c r="O3993" s="10"/>
      <c r="P3993" s="10"/>
      <c r="Q3993" s="10"/>
      <c r="R3993" s="10"/>
      <c r="S3993" s="10"/>
      <c r="T3993" s="10"/>
      <c r="U3993" s="10"/>
      <c r="V3993" s="10"/>
      <c r="W3993" s="10"/>
      <c r="X3993" s="10"/>
      <c r="Y3993" s="10"/>
      <c r="Z3993" s="10"/>
      <c r="AA3993" s="10"/>
      <c r="AB3993" s="10"/>
      <c r="AC3993" s="10"/>
      <c r="AD3993" s="10"/>
      <c r="AE3993" s="10"/>
      <c r="AF3993" s="10"/>
      <c r="AG3993" s="10"/>
      <c r="AH3993" s="10"/>
    </row>
    <row r="3994" spans="1:34" ht="31.5" outlineLevel="2">
      <c r="A3994" s="70"/>
      <c r="B3994" s="12" t="str">
        <f>IFERROR(VLOOKUP(D3994,'[1]Перечень товаров'!$A$2:$I9525,2,0),"")</f>
        <v>т189</v>
      </c>
      <c r="C3994" s="12" t="str">
        <f>IFERROR(VLOOKUP(D3994,'[1]Перечень товаров'!$A$2:$I9525,3,0),"")</f>
        <v>Техника</v>
      </c>
      <c r="D3994" s="71" t="s">
        <v>459</v>
      </c>
      <c r="E3994" s="23"/>
      <c r="F3994" s="23"/>
      <c r="G3994" s="24">
        <v>1</v>
      </c>
      <c r="H3994" s="24"/>
      <c r="I3994" s="25"/>
      <c r="J3994" s="25"/>
      <c r="K3994" s="19"/>
      <c r="L3994" s="20"/>
      <c r="M3994" s="10"/>
      <c r="N3994" s="10"/>
      <c r="O3994" s="10"/>
      <c r="P3994" s="10"/>
      <c r="Q3994" s="10"/>
      <c r="R3994" s="10"/>
      <c r="S3994" s="10"/>
      <c r="T3994" s="10"/>
      <c r="U3994" s="10"/>
      <c r="V3994" s="10"/>
      <c r="W3994" s="10"/>
      <c r="X3994" s="10"/>
      <c r="Y3994" s="10"/>
      <c r="Z3994" s="10"/>
      <c r="AA3994" s="10"/>
      <c r="AB3994" s="10"/>
      <c r="AC3994" s="10"/>
      <c r="AD3994" s="10"/>
      <c r="AE3994" s="10"/>
      <c r="AF3994" s="10"/>
      <c r="AG3994" s="10"/>
      <c r="AH3994" s="10"/>
    </row>
    <row r="3995" spans="1:34" ht="30" outlineLevel="2">
      <c r="A3995" s="224"/>
      <c r="B3995" s="12" t="str">
        <f>IFERROR(VLOOKUP(D3995,'[1]Перечень товаров'!$A$2:$I9525,2,0),"")</f>
        <v/>
      </c>
      <c r="C3995" s="12" t="str">
        <f>IFERROR(VLOOKUP(D3995,'[1]Перечень товаров'!$A$2:$I9525,3,0),"")</f>
        <v/>
      </c>
      <c r="D3995" s="225" t="s">
        <v>1129</v>
      </c>
      <c r="E3995" s="14"/>
      <c r="F3995" s="14"/>
      <c r="G3995" s="16"/>
      <c r="H3995" s="16"/>
      <c r="I3995" s="18"/>
      <c r="J3995" s="18"/>
      <c r="K3995" s="19"/>
      <c r="L3995" s="20"/>
      <c r="M3995" s="10"/>
      <c r="N3995" s="10"/>
      <c r="O3995" s="10"/>
      <c r="P3995" s="10"/>
      <c r="Q3995" s="10"/>
      <c r="R3995" s="10"/>
      <c r="S3995" s="10"/>
      <c r="T3995" s="10"/>
      <c r="U3995" s="10"/>
      <c r="V3995" s="10"/>
      <c r="W3995" s="10"/>
      <c r="X3995" s="10"/>
      <c r="Y3995" s="10"/>
      <c r="Z3995" s="10"/>
      <c r="AA3995" s="10"/>
      <c r="AB3995" s="10"/>
      <c r="AC3995" s="10"/>
      <c r="AD3995" s="10"/>
      <c r="AE3995" s="10"/>
      <c r="AF3995" s="10"/>
      <c r="AG3995" s="10"/>
      <c r="AH3995" s="10"/>
    </row>
    <row r="3996" spans="1:34" ht="31.5" outlineLevel="2">
      <c r="A3996" s="70"/>
      <c r="B3996" s="12" t="str">
        <f>IFERROR(VLOOKUP(D3996,'[1]Перечень товаров'!$A$2:$I9525,2,0),"")</f>
        <v>тм191</v>
      </c>
      <c r="C3996" s="12" t="str">
        <f>IFERROR(VLOOKUP(D3996,'[1]Перечень товаров'!$A$2:$I9525,3,0),"")</f>
        <v>Техника муз</v>
      </c>
      <c r="D3996" s="71" t="s">
        <v>1130</v>
      </c>
      <c r="E3996" s="23"/>
      <c r="F3996" s="23"/>
      <c r="G3996" s="24">
        <v>1</v>
      </c>
      <c r="H3996" s="24"/>
      <c r="I3996" s="25"/>
      <c r="J3996" s="25"/>
      <c r="K3996" s="19"/>
      <c r="L3996" s="20"/>
      <c r="M3996" s="10"/>
      <c r="N3996" s="10"/>
      <c r="O3996" s="10"/>
      <c r="P3996" s="10"/>
      <c r="Q3996" s="10"/>
      <c r="R3996" s="10"/>
      <c r="S3996" s="10"/>
      <c r="T3996" s="10"/>
      <c r="U3996" s="10"/>
      <c r="V3996" s="10"/>
      <c r="W3996" s="10"/>
      <c r="X3996" s="10"/>
      <c r="Y3996" s="10"/>
      <c r="Z3996" s="10"/>
      <c r="AA3996" s="10"/>
      <c r="AB3996" s="10"/>
      <c r="AC3996" s="10"/>
      <c r="AD3996" s="10"/>
      <c r="AE3996" s="10"/>
      <c r="AF3996" s="10"/>
      <c r="AG3996" s="10"/>
      <c r="AH3996" s="10"/>
    </row>
    <row r="3997" spans="1:34" outlineLevel="2">
      <c r="A3997" s="70"/>
      <c r="B3997" s="12" t="str">
        <f>IFERROR(VLOOKUP(D3997,'[1]Перечень товаров'!$A$2:$I9525,2,0),"")</f>
        <v>т87</v>
      </c>
      <c r="C3997" s="12" t="str">
        <f>IFERROR(VLOOKUP(D3997,'[1]Перечень товаров'!$A$2:$I9525,3,0),"")</f>
        <v>Техника</v>
      </c>
      <c r="D3997" s="136" t="s">
        <v>1025</v>
      </c>
      <c r="E3997" s="23"/>
      <c r="F3997" s="23"/>
      <c r="G3997" s="24">
        <v>1</v>
      </c>
      <c r="H3997" s="24"/>
      <c r="I3997" s="25"/>
      <c r="J3997" s="25"/>
      <c r="K3997" s="19"/>
      <c r="L3997" s="20"/>
      <c r="M3997" s="10"/>
      <c r="N3997" s="10"/>
      <c r="O3997" s="10"/>
      <c r="P3997" s="10"/>
      <c r="Q3997" s="10"/>
      <c r="R3997" s="10"/>
      <c r="S3997" s="10"/>
      <c r="T3997" s="10"/>
      <c r="U3997" s="10"/>
      <c r="V3997" s="10"/>
      <c r="W3997" s="10"/>
      <c r="X3997" s="10"/>
      <c r="Y3997" s="10"/>
      <c r="Z3997" s="10"/>
      <c r="AA3997" s="10"/>
      <c r="AB3997" s="10"/>
      <c r="AC3997" s="10"/>
      <c r="AD3997" s="10"/>
      <c r="AE3997" s="10"/>
      <c r="AF3997" s="10"/>
      <c r="AG3997" s="10"/>
      <c r="AH3997" s="10"/>
    </row>
    <row r="3998" spans="1:34" outlineLevel="2">
      <c r="A3998" s="70"/>
      <c r="B3998" s="12" t="str">
        <f>IFERROR(VLOOKUP(D3998,'[1]Перечень товаров'!$A$2:$I9525,2,0),"")</f>
        <v>т1</v>
      </c>
      <c r="C3998" s="12" t="str">
        <f>IFERROR(VLOOKUP(D3998,'[1]Перечень товаров'!$A$2:$I9525,3,0),"")</f>
        <v xml:space="preserve">Техника </v>
      </c>
      <c r="D3998" s="22" t="s">
        <v>28</v>
      </c>
      <c r="E3998" s="23"/>
      <c r="F3998" s="23"/>
      <c r="G3998" s="24">
        <v>1</v>
      </c>
      <c r="H3998" s="24"/>
      <c r="I3998" s="25"/>
      <c r="J3998" s="25"/>
      <c r="K3998" s="19"/>
      <c r="L3998" s="20"/>
      <c r="M3998" s="10"/>
      <c r="N3998" s="10"/>
      <c r="O3998" s="10"/>
      <c r="P3998" s="10"/>
      <c r="Q3998" s="10"/>
      <c r="R3998" s="10"/>
      <c r="S3998" s="10"/>
      <c r="T3998" s="10"/>
      <c r="U3998" s="10"/>
      <c r="V3998" s="10"/>
      <c r="W3998" s="10"/>
      <c r="X3998" s="10"/>
      <c r="Y3998" s="10"/>
      <c r="Z3998" s="10"/>
      <c r="AA3998" s="10"/>
      <c r="AB3998" s="10"/>
      <c r="AC3998" s="10"/>
      <c r="AD3998" s="10"/>
      <c r="AE3998" s="10"/>
      <c r="AF3998" s="10"/>
      <c r="AG3998" s="10"/>
      <c r="AH3998" s="10"/>
    </row>
    <row r="3999" spans="1:34" outlineLevel="2">
      <c r="A3999" s="70"/>
      <c r="B3999" s="12" t="str">
        <f>IFERROR(VLOOKUP(D3999,'[1]Перечень товаров'!$A$2:$I9525,2,0),"")</f>
        <v>т131</v>
      </c>
      <c r="C3999" s="12" t="str">
        <f>IFERROR(VLOOKUP(D3999,'[1]Перечень товаров'!$A$2:$I9525,3,0),"")</f>
        <v>Техника</v>
      </c>
      <c r="D3999" s="71" t="s">
        <v>1131</v>
      </c>
      <c r="E3999" s="23"/>
      <c r="F3999" s="23"/>
      <c r="G3999" s="24">
        <v>1</v>
      </c>
      <c r="H3999" s="24"/>
      <c r="I3999" s="25"/>
      <c r="J3999" s="25"/>
      <c r="K3999" s="19"/>
      <c r="L3999" s="20"/>
      <c r="M3999" s="10"/>
      <c r="N3999" s="10"/>
      <c r="O3999" s="10"/>
      <c r="P3999" s="10"/>
      <c r="Q3999" s="10"/>
      <c r="R3999" s="10"/>
      <c r="S3999" s="10"/>
      <c r="T3999" s="10"/>
      <c r="U3999" s="10"/>
      <c r="V3999" s="10"/>
      <c r="W3999" s="10"/>
      <c r="X3999" s="10"/>
      <c r="Y3999" s="10"/>
      <c r="Z3999" s="10"/>
      <c r="AA3999" s="10"/>
      <c r="AB3999" s="10"/>
      <c r="AC3999" s="10"/>
      <c r="AD3999" s="10"/>
      <c r="AE3999" s="10"/>
      <c r="AF3999" s="10"/>
      <c r="AG3999" s="10"/>
      <c r="AH3999" s="10"/>
    </row>
    <row r="4000" spans="1:34" outlineLevel="2">
      <c r="A4000" s="70"/>
      <c r="B4000" s="12" t="str">
        <f>IFERROR(VLOOKUP(D4000,'[1]Перечень товаров'!$A$2:$I9525,2,0),"")</f>
        <v>пм170</v>
      </c>
      <c r="C4000" s="12" t="str">
        <f>IFERROR(VLOOKUP(D4000,'[1]Перечень товаров'!$A$2:$I9525,3,0),"")</f>
        <v>прочее муз</v>
      </c>
      <c r="D4000" s="71" t="s">
        <v>1132</v>
      </c>
      <c r="E4000" s="23"/>
      <c r="F4000" s="23"/>
      <c r="G4000" s="24">
        <v>1</v>
      </c>
      <c r="H4000" s="24"/>
      <c r="I4000" s="25"/>
      <c r="J4000" s="25"/>
      <c r="K4000" s="19"/>
      <c r="L4000" s="20"/>
      <c r="M4000" s="10"/>
      <c r="N4000" s="10"/>
      <c r="O4000" s="10"/>
      <c r="P4000" s="10"/>
      <c r="Q4000" s="10"/>
      <c r="R4000" s="10"/>
      <c r="S4000" s="10"/>
      <c r="T4000" s="10"/>
      <c r="U4000" s="10"/>
      <c r="V4000" s="10"/>
      <c r="W4000" s="10"/>
      <c r="X4000" s="10"/>
      <c r="Y4000" s="10"/>
      <c r="Z4000" s="10"/>
      <c r="AA4000" s="10"/>
      <c r="AB4000" s="10"/>
      <c r="AC4000" s="10"/>
      <c r="AD4000" s="10"/>
      <c r="AE4000" s="10"/>
      <c r="AF4000" s="10"/>
      <c r="AG4000" s="10"/>
      <c r="AH4000" s="10"/>
    </row>
    <row r="4001" spans="1:34" ht="12.75" outlineLevel="1">
      <c r="A4001" s="11"/>
      <c r="B4001" s="12" t="str">
        <f>IFERROR(VLOOKUP(D4001,'[1]Перечень товаров'!$A$2:$I9525,2,0),"")</f>
        <v/>
      </c>
      <c r="C4001" s="12" t="str">
        <f>IFERROR(VLOOKUP(D4001,'[1]Перечень товаров'!$A$2:$I9525,3,0),"")</f>
        <v/>
      </c>
      <c r="D4001" s="27" t="s">
        <v>359</v>
      </c>
      <c r="E4001" s="14">
        <v>5.3</v>
      </c>
      <c r="F4001" s="14"/>
      <c r="G4001" s="17"/>
      <c r="H4001" s="17"/>
      <c r="I4001" s="57"/>
      <c r="J4001" s="57"/>
      <c r="K4001" s="19"/>
      <c r="L4001" s="20"/>
      <c r="M4001" s="10"/>
      <c r="N4001" s="10"/>
      <c r="O4001" s="10"/>
      <c r="P4001" s="10"/>
      <c r="Q4001" s="10"/>
      <c r="R4001" s="10"/>
      <c r="S4001" s="10"/>
      <c r="T4001" s="10"/>
      <c r="U4001" s="10"/>
      <c r="V4001" s="10"/>
      <c r="W4001" s="10"/>
      <c r="X4001" s="10"/>
      <c r="Y4001" s="10"/>
      <c r="Z4001" s="10"/>
      <c r="AA4001" s="10"/>
      <c r="AB4001" s="10"/>
      <c r="AC4001" s="10"/>
      <c r="AD4001" s="10"/>
      <c r="AE4001" s="10"/>
      <c r="AF4001" s="10"/>
      <c r="AG4001" s="10"/>
      <c r="AH4001" s="10"/>
    </row>
    <row r="4002" spans="1:34" outlineLevel="2">
      <c r="A4002" s="22"/>
      <c r="B4002" s="12" t="str">
        <f>IFERROR(VLOOKUP(D4002,'[1]Перечень товаров'!$A$2:$I9525,2,0),"")</f>
        <v>п25</v>
      </c>
      <c r="C4002" s="12" t="str">
        <f>IFERROR(VLOOKUP(D4002,'[1]Перечень товаров'!$A$2:$I9525,3,0),"")</f>
        <v>Прочее</v>
      </c>
      <c r="D4002" s="22" t="s">
        <v>360</v>
      </c>
      <c r="E4002" s="102"/>
      <c r="F4002" s="102"/>
      <c r="G4002" s="48">
        <v>3</v>
      </c>
      <c r="H4002" s="48"/>
      <c r="I4002" s="49"/>
      <c r="J4002" s="49"/>
      <c r="K4002" s="33"/>
      <c r="L4002" s="20"/>
      <c r="M4002" s="10"/>
      <c r="N4002" s="10"/>
      <c r="O4002" s="10"/>
      <c r="P4002" s="10"/>
      <c r="Q4002" s="10"/>
      <c r="R4002" s="10"/>
      <c r="S4002" s="10"/>
      <c r="T4002" s="10"/>
      <c r="U4002" s="10"/>
      <c r="V4002" s="10"/>
      <c r="W4002" s="10"/>
      <c r="X4002" s="10"/>
      <c r="Y4002" s="10"/>
      <c r="Z4002" s="10"/>
      <c r="AA4002" s="10"/>
      <c r="AB4002" s="10"/>
      <c r="AC4002" s="10"/>
      <c r="AD4002" s="10"/>
      <c r="AE4002" s="10"/>
      <c r="AF4002" s="10"/>
      <c r="AG4002" s="10"/>
      <c r="AH4002" s="10"/>
    </row>
    <row r="4003" spans="1:34" outlineLevel="2">
      <c r="A4003" s="21"/>
      <c r="B4003" s="12" t="str">
        <f>IFERROR(VLOOKUP(D4003,'[1]Перечень товаров'!$A$2:$I9525,2,0),"")</f>
        <v>п26</v>
      </c>
      <c r="C4003" s="12" t="str">
        <f>IFERROR(VLOOKUP(D4003,'[1]Перечень товаров'!$A$2:$I9525,3,0),"")</f>
        <v>Прочее</v>
      </c>
      <c r="D4003" s="22" t="s">
        <v>361</v>
      </c>
      <c r="E4003" s="102"/>
      <c r="F4003" s="102"/>
      <c r="G4003" s="48">
        <v>2</v>
      </c>
      <c r="H4003" s="48"/>
      <c r="I4003" s="49"/>
      <c r="J4003" s="49"/>
      <c r="K4003" s="33"/>
      <c r="L4003" s="20"/>
      <c r="M4003" s="10"/>
      <c r="N4003" s="10"/>
      <c r="O4003" s="10"/>
      <c r="P4003" s="10"/>
      <c r="Q4003" s="10"/>
      <c r="R4003" s="10"/>
      <c r="S4003" s="10"/>
      <c r="T4003" s="10"/>
      <c r="U4003" s="10"/>
      <c r="V4003" s="10"/>
      <c r="W4003" s="10"/>
      <c r="X4003" s="10"/>
      <c r="Y4003" s="10"/>
      <c r="Z4003" s="10"/>
      <c r="AA4003" s="10"/>
      <c r="AB4003" s="10"/>
      <c r="AC4003" s="10"/>
      <c r="AD4003" s="10"/>
      <c r="AE4003" s="10"/>
      <c r="AF4003" s="10"/>
      <c r="AG4003" s="10"/>
      <c r="AH4003" s="10"/>
    </row>
    <row r="4004" spans="1:34" outlineLevel="2">
      <c r="A4004" s="21"/>
      <c r="B4004" s="12" t="str">
        <f>IFERROR(VLOOKUP(D4004,'[1]Перечень товаров'!$A$2:$I9525,2,0),"")</f>
        <v>п27</v>
      </c>
      <c r="C4004" s="12" t="str">
        <f>IFERROR(VLOOKUP(D4004,'[1]Перечень товаров'!$A$2:$I9525,3,0),"")</f>
        <v>Прочее</v>
      </c>
      <c r="D4004" s="22" t="s">
        <v>362</v>
      </c>
      <c r="E4004" s="102"/>
      <c r="F4004" s="102"/>
      <c r="G4004" s="48">
        <v>2</v>
      </c>
      <c r="H4004" s="48"/>
      <c r="I4004" s="49"/>
      <c r="J4004" s="49"/>
      <c r="K4004" s="33"/>
      <c r="L4004" s="20"/>
      <c r="M4004" s="10"/>
      <c r="N4004" s="10"/>
      <c r="O4004" s="10"/>
      <c r="P4004" s="10"/>
      <c r="Q4004" s="10"/>
      <c r="R4004" s="10"/>
      <c r="S4004" s="10"/>
      <c r="T4004" s="10"/>
      <c r="U4004" s="10"/>
      <c r="V4004" s="10"/>
      <c r="W4004" s="10"/>
      <c r="X4004" s="10"/>
      <c r="Y4004" s="10"/>
      <c r="Z4004" s="10"/>
      <c r="AA4004" s="10"/>
      <c r="AB4004" s="10"/>
      <c r="AC4004" s="10"/>
      <c r="AD4004" s="10"/>
      <c r="AE4004" s="10"/>
      <c r="AF4004" s="10"/>
      <c r="AG4004" s="10"/>
      <c r="AH4004" s="10"/>
    </row>
    <row r="4005" spans="1:34" outlineLevel="2">
      <c r="A4005" s="21"/>
      <c r="B4005" s="12" t="str">
        <f>IFERROR(VLOOKUP(D4005,'[1]Перечень товаров'!$A$2:$I9525,2,0),"")</f>
        <v>п28</v>
      </c>
      <c r="C4005" s="12" t="str">
        <f>IFERROR(VLOOKUP(D4005,'[1]Перечень товаров'!$A$2:$I9525,3,0),"")</f>
        <v>Прочее</v>
      </c>
      <c r="D4005" s="22" t="s">
        <v>363</v>
      </c>
      <c r="E4005" s="102"/>
      <c r="F4005" s="102"/>
      <c r="G4005" s="48">
        <v>1</v>
      </c>
      <c r="H4005" s="48"/>
      <c r="I4005" s="49"/>
      <c r="J4005" s="49"/>
      <c r="K4005" s="33"/>
      <c r="L4005" s="20"/>
      <c r="M4005" s="10"/>
      <c r="N4005" s="10"/>
      <c r="O4005" s="10"/>
      <c r="P4005" s="10"/>
      <c r="Q4005" s="10"/>
      <c r="R4005" s="10"/>
      <c r="S4005" s="10"/>
      <c r="T4005" s="10"/>
      <c r="U4005" s="10"/>
      <c r="V4005" s="10"/>
      <c r="W4005" s="10"/>
      <c r="X4005" s="10"/>
      <c r="Y4005" s="10"/>
      <c r="Z4005" s="10"/>
      <c r="AA4005" s="10"/>
      <c r="AB4005" s="10"/>
      <c r="AC4005" s="10"/>
      <c r="AD4005" s="10"/>
      <c r="AE4005" s="10"/>
      <c r="AF4005" s="10"/>
      <c r="AG4005" s="10"/>
      <c r="AH4005" s="10"/>
    </row>
    <row r="4006" spans="1:34" outlineLevel="2">
      <c r="A4006" s="21"/>
      <c r="B4006" s="12" t="str">
        <f>IFERROR(VLOOKUP(D4006,'[1]Перечень товаров'!$A$2:$I9525,2,0),"")</f>
        <v>п29</v>
      </c>
      <c r="C4006" s="12" t="str">
        <f>IFERROR(VLOOKUP(D4006,'[1]Перечень товаров'!$A$2:$I9525,3,0),"")</f>
        <v>Прочее</v>
      </c>
      <c r="D4006" s="22" t="s">
        <v>364</v>
      </c>
      <c r="E4006" s="102"/>
      <c r="F4006" s="102"/>
      <c r="G4006" s="48">
        <v>6</v>
      </c>
      <c r="H4006" s="48"/>
      <c r="I4006" s="49"/>
      <c r="J4006" s="49"/>
      <c r="K4006" s="33"/>
      <c r="L4006" s="20"/>
      <c r="M4006" s="10"/>
      <c r="N4006" s="10"/>
      <c r="O4006" s="10"/>
      <c r="P4006" s="10"/>
      <c r="Q4006" s="10"/>
      <c r="R4006" s="10"/>
      <c r="S4006" s="10"/>
      <c r="T4006" s="10"/>
      <c r="U4006" s="10"/>
      <c r="V4006" s="10"/>
      <c r="W4006" s="10"/>
      <c r="X4006" s="10"/>
      <c r="Y4006" s="10"/>
      <c r="Z4006" s="10"/>
      <c r="AA4006" s="10"/>
      <c r="AB4006" s="10"/>
      <c r="AC4006" s="10"/>
      <c r="AD4006" s="10"/>
      <c r="AE4006" s="10"/>
      <c r="AF4006" s="10"/>
      <c r="AG4006" s="10"/>
      <c r="AH4006" s="10"/>
    </row>
    <row r="4007" spans="1:34" outlineLevel="2">
      <c r="A4007" s="21"/>
      <c r="B4007" s="12" t="str">
        <f>IFERROR(VLOOKUP(D4007,'[1]Перечень товаров'!$A$2:$I9525,2,0),"")</f>
        <v>п30</v>
      </c>
      <c r="C4007" s="12" t="str">
        <f>IFERROR(VLOOKUP(D4007,'[1]Перечень товаров'!$A$2:$I9525,3,0),"")</f>
        <v>Прочее</v>
      </c>
      <c r="D4007" s="22" t="s">
        <v>365</v>
      </c>
      <c r="E4007" s="102"/>
      <c r="F4007" s="102"/>
      <c r="G4007" s="48">
        <v>2</v>
      </c>
      <c r="H4007" s="48"/>
      <c r="I4007" s="49"/>
      <c r="J4007" s="49"/>
      <c r="K4007" s="33"/>
      <c r="L4007" s="20"/>
      <c r="M4007" s="10"/>
      <c r="N4007" s="10"/>
      <c r="O4007" s="10"/>
      <c r="P4007" s="10"/>
      <c r="Q4007" s="10"/>
      <c r="R4007" s="10"/>
      <c r="S4007" s="10"/>
      <c r="T4007" s="10"/>
      <c r="U4007" s="10"/>
      <c r="V4007" s="10"/>
      <c r="W4007" s="10"/>
      <c r="X4007" s="10"/>
      <c r="Y4007" s="10"/>
      <c r="Z4007" s="10"/>
      <c r="AA4007" s="10"/>
      <c r="AB4007" s="10"/>
      <c r="AC4007" s="10"/>
      <c r="AD4007" s="10"/>
      <c r="AE4007" s="10"/>
      <c r="AF4007" s="10"/>
      <c r="AG4007" s="10"/>
      <c r="AH4007" s="10"/>
    </row>
    <row r="4008" spans="1:34" ht="31.5" outlineLevel="2">
      <c r="A4008" s="21"/>
      <c r="B4008" s="12" t="str">
        <f>IFERROR(VLOOKUP(D4008,'[1]Перечень товаров'!$A$2:$I9525,2,0),"")</f>
        <v>п31</v>
      </c>
      <c r="C4008" s="12" t="str">
        <f>IFERROR(VLOOKUP(D4008,'[1]Перечень товаров'!$A$2:$I9525,3,0),"")</f>
        <v>Прочее</v>
      </c>
      <c r="D4008" s="22" t="s">
        <v>366</v>
      </c>
      <c r="E4008" s="102"/>
      <c r="F4008" s="102"/>
      <c r="G4008" s="48">
        <v>1</v>
      </c>
      <c r="H4008" s="48"/>
      <c r="I4008" s="49"/>
      <c r="J4008" s="49"/>
      <c r="K4008" s="33"/>
      <c r="L4008" s="20"/>
      <c r="M4008" s="10"/>
      <c r="N4008" s="10"/>
      <c r="O4008" s="10"/>
      <c r="P4008" s="10"/>
      <c r="Q4008" s="10"/>
      <c r="R4008" s="10"/>
      <c r="S4008" s="10"/>
      <c r="T4008" s="10"/>
      <c r="U4008" s="10"/>
      <c r="V4008" s="10"/>
      <c r="W4008" s="10"/>
      <c r="X4008" s="10"/>
      <c r="Y4008" s="10"/>
      <c r="Z4008" s="10"/>
      <c r="AA4008" s="10"/>
      <c r="AB4008" s="10"/>
      <c r="AC4008" s="10"/>
      <c r="AD4008" s="10"/>
      <c r="AE4008" s="10"/>
      <c r="AF4008" s="10"/>
      <c r="AG4008" s="10"/>
      <c r="AH4008" s="10"/>
    </row>
    <row r="4009" spans="1:34" ht="31.5" outlineLevel="2">
      <c r="A4009" s="21"/>
      <c r="B4009" s="12" t="str">
        <f>IFERROR(VLOOKUP(D4009,'[1]Перечень товаров'!$A$2:$I9525,2,0),"")</f>
        <v>п32</v>
      </c>
      <c r="C4009" s="12" t="str">
        <f>IFERROR(VLOOKUP(D4009,'[1]Перечень товаров'!$A$2:$I9525,3,0),"")</f>
        <v>Прочее</v>
      </c>
      <c r="D4009" s="22" t="s">
        <v>367</v>
      </c>
      <c r="E4009" s="102"/>
      <c r="F4009" s="102"/>
      <c r="G4009" s="48">
        <v>2</v>
      </c>
      <c r="H4009" s="48"/>
      <c r="I4009" s="49"/>
      <c r="J4009" s="49"/>
      <c r="K4009" s="33"/>
      <c r="L4009" s="20"/>
      <c r="M4009" s="10"/>
      <c r="N4009" s="10"/>
      <c r="O4009" s="10"/>
      <c r="P4009" s="10"/>
      <c r="Q4009" s="10"/>
      <c r="R4009" s="10"/>
      <c r="S4009" s="10"/>
      <c r="T4009" s="10"/>
      <c r="U4009" s="10"/>
      <c r="V4009" s="10"/>
      <c r="W4009" s="10"/>
      <c r="X4009" s="10"/>
      <c r="Y4009" s="10"/>
      <c r="Z4009" s="10"/>
      <c r="AA4009" s="10"/>
      <c r="AB4009" s="10"/>
      <c r="AC4009" s="10"/>
      <c r="AD4009" s="10"/>
      <c r="AE4009" s="10"/>
      <c r="AF4009" s="10"/>
      <c r="AG4009" s="10"/>
      <c r="AH4009" s="10"/>
    </row>
    <row r="4010" spans="1:34" ht="12.75" outlineLevel="1">
      <c r="A4010" s="11"/>
      <c r="B4010" s="12" t="str">
        <f>IFERROR(VLOOKUP(D4010,'[1]Перечень товаров'!$A$2:$I9525,2,0),"")</f>
        <v/>
      </c>
      <c r="C4010" s="12" t="str">
        <f>IFERROR(VLOOKUP(D4010,'[1]Перечень товаров'!$A$2:$I9525,3,0),"")</f>
        <v/>
      </c>
      <c r="D4010" s="27" t="s">
        <v>988</v>
      </c>
      <c r="E4010" s="14">
        <v>15.4</v>
      </c>
      <c r="F4010" s="14"/>
      <c r="G4010" s="17"/>
      <c r="H4010" s="17"/>
      <c r="I4010" s="57"/>
      <c r="J4010" s="57"/>
      <c r="K4010" s="19"/>
      <c r="L4010" s="20"/>
      <c r="M4010" s="10"/>
      <c r="N4010" s="10"/>
      <c r="O4010" s="10"/>
      <c r="P4010" s="10"/>
      <c r="Q4010" s="10"/>
      <c r="R4010" s="10"/>
      <c r="S4010" s="10"/>
      <c r="T4010" s="10"/>
      <c r="U4010" s="10"/>
      <c r="V4010" s="10"/>
      <c r="W4010" s="10"/>
      <c r="X4010" s="10"/>
      <c r="Y4010" s="10"/>
      <c r="Z4010" s="10"/>
      <c r="AA4010" s="10"/>
      <c r="AB4010" s="10"/>
      <c r="AC4010" s="10"/>
      <c r="AD4010" s="10"/>
      <c r="AE4010" s="10"/>
      <c r="AF4010" s="10"/>
      <c r="AG4010" s="10"/>
      <c r="AH4010" s="10"/>
    </row>
    <row r="4011" spans="1:34" outlineLevel="2">
      <c r="A4011" s="21"/>
      <c r="B4011" s="12" t="str">
        <f>IFERROR(VLOOKUP(D4011,'[1]Перечень товаров'!$A$2:$I9525,2,0),"")</f>
        <v>пм213</v>
      </c>
      <c r="C4011" s="12" t="str">
        <f>IFERROR(VLOOKUP(D4011,'[1]Перечень товаров'!$A$2:$I9525,3,0),"")</f>
        <v>прочее муз</v>
      </c>
      <c r="D4011" s="22" t="s">
        <v>989</v>
      </c>
      <c r="E4011" s="23">
        <v>30</v>
      </c>
      <c r="F4011" s="23"/>
      <c r="G4011" s="24"/>
      <c r="H4011" s="24"/>
      <c r="I4011" s="25"/>
      <c r="J4011" s="25"/>
      <c r="K4011" s="19"/>
      <c r="L4011" s="20"/>
      <c r="M4011" s="10"/>
      <c r="N4011" s="10"/>
      <c r="O4011" s="10"/>
      <c r="P4011" s="10"/>
      <c r="Q4011" s="10"/>
      <c r="R4011" s="10"/>
      <c r="S4011" s="10"/>
      <c r="T4011" s="10"/>
      <c r="U4011" s="10"/>
      <c r="V4011" s="10"/>
      <c r="W4011" s="10"/>
      <c r="X4011" s="10"/>
      <c r="Y4011" s="10"/>
      <c r="Z4011" s="10"/>
      <c r="AA4011" s="10"/>
      <c r="AB4011" s="10"/>
      <c r="AC4011" s="10"/>
      <c r="AD4011" s="10"/>
      <c r="AE4011" s="10"/>
      <c r="AF4011" s="10"/>
      <c r="AG4011" s="10"/>
      <c r="AH4011" s="10"/>
    </row>
    <row r="4012" spans="1:34" ht="12.75" outlineLevel="1">
      <c r="A4012" s="11"/>
      <c r="B4012" s="12" t="str">
        <f>IFERROR(VLOOKUP(D4012,'[1]Перечень товаров'!$A$2:$I9525,2,0),"")</f>
        <v/>
      </c>
      <c r="C4012" s="12" t="str">
        <f>IFERROR(VLOOKUP(D4012,'[1]Перечень товаров'!$A$2:$I9525,3,0),"")</f>
        <v/>
      </c>
      <c r="D4012" s="27" t="s">
        <v>527</v>
      </c>
      <c r="E4012" s="14">
        <v>7.1</v>
      </c>
      <c r="F4012" s="14"/>
      <c r="G4012" s="17"/>
      <c r="H4012" s="17"/>
      <c r="I4012" s="57"/>
      <c r="J4012" s="57"/>
      <c r="K4012" s="19"/>
      <c r="L4012" s="20"/>
      <c r="M4012" s="10"/>
      <c r="N4012" s="10"/>
      <c r="O4012" s="10"/>
      <c r="P4012" s="10"/>
      <c r="Q4012" s="10"/>
      <c r="R4012" s="10"/>
      <c r="S4012" s="10"/>
      <c r="T4012" s="10"/>
      <c r="U4012" s="10"/>
      <c r="V4012" s="10"/>
      <c r="W4012" s="10"/>
      <c r="X4012" s="10"/>
      <c r="Y4012" s="10"/>
      <c r="Z4012" s="10"/>
      <c r="AA4012" s="10"/>
      <c r="AB4012" s="10"/>
      <c r="AC4012" s="10"/>
      <c r="AD4012" s="10"/>
      <c r="AE4012" s="10"/>
      <c r="AF4012" s="10"/>
      <c r="AG4012" s="10"/>
      <c r="AH4012" s="10"/>
    </row>
    <row r="4013" spans="1:34" outlineLevel="2">
      <c r="A4013" s="22"/>
      <c r="B4013" s="12" t="str">
        <f>IFERROR(VLOOKUP(D4013,'[1]Перечень товаров'!$A$2:$I9525,2,0),"")</f>
        <v>п25</v>
      </c>
      <c r="C4013" s="12" t="str">
        <f>IFERROR(VLOOKUP(D4013,'[1]Перечень товаров'!$A$2:$I9525,3,0),"")</f>
        <v>Прочее</v>
      </c>
      <c r="D4013" s="22" t="s">
        <v>360</v>
      </c>
      <c r="E4013" s="102"/>
      <c r="F4013" s="102"/>
      <c r="G4013" s="48">
        <v>3</v>
      </c>
      <c r="H4013" s="48"/>
      <c r="I4013" s="49"/>
      <c r="J4013" s="49"/>
      <c r="K4013" s="33"/>
      <c r="L4013" s="20"/>
      <c r="M4013" s="10"/>
      <c r="N4013" s="10"/>
      <c r="O4013" s="10"/>
      <c r="P4013" s="10"/>
      <c r="Q4013" s="10"/>
      <c r="R4013" s="10"/>
      <c r="S4013" s="10"/>
      <c r="T4013" s="10"/>
      <c r="U4013" s="10"/>
      <c r="V4013" s="10"/>
      <c r="W4013" s="10"/>
      <c r="X4013" s="10"/>
      <c r="Y4013" s="10"/>
      <c r="Z4013" s="10"/>
      <c r="AA4013" s="10"/>
      <c r="AB4013" s="10"/>
      <c r="AC4013" s="10"/>
      <c r="AD4013" s="10"/>
      <c r="AE4013" s="10"/>
      <c r="AF4013" s="10"/>
      <c r="AG4013" s="10"/>
      <c r="AH4013" s="10"/>
    </row>
    <row r="4014" spans="1:34" outlineLevel="2">
      <c r="A4014" s="21"/>
      <c r="B4014" s="12" t="str">
        <f>IFERROR(VLOOKUP(D4014,'[1]Перечень товаров'!$A$2:$I9525,2,0),"")</f>
        <v>п26</v>
      </c>
      <c r="C4014" s="12" t="str">
        <f>IFERROR(VLOOKUP(D4014,'[1]Перечень товаров'!$A$2:$I9525,3,0),"")</f>
        <v>Прочее</v>
      </c>
      <c r="D4014" s="22" t="s">
        <v>361</v>
      </c>
      <c r="E4014" s="102"/>
      <c r="F4014" s="102"/>
      <c r="G4014" s="48">
        <v>2</v>
      </c>
      <c r="H4014" s="48"/>
      <c r="I4014" s="49"/>
      <c r="J4014" s="49"/>
      <c r="K4014" s="33"/>
      <c r="L4014" s="20"/>
      <c r="M4014" s="10"/>
      <c r="N4014" s="10"/>
      <c r="O4014" s="10"/>
      <c r="P4014" s="10"/>
      <c r="Q4014" s="10"/>
      <c r="R4014" s="10"/>
      <c r="S4014" s="10"/>
      <c r="T4014" s="10"/>
      <c r="U4014" s="10"/>
      <c r="V4014" s="10"/>
      <c r="W4014" s="10"/>
      <c r="X4014" s="10"/>
      <c r="Y4014" s="10"/>
      <c r="Z4014" s="10"/>
      <c r="AA4014" s="10"/>
      <c r="AB4014" s="10"/>
      <c r="AC4014" s="10"/>
      <c r="AD4014" s="10"/>
      <c r="AE4014" s="10"/>
      <c r="AF4014" s="10"/>
      <c r="AG4014" s="10"/>
      <c r="AH4014" s="10"/>
    </row>
    <row r="4015" spans="1:34" outlineLevel="2">
      <c r="A4015" s="21"/>
      <c r="B4015" s="12" t="str">
        <f>IFERROR(VLOOKUP(D4015,'[1]Перечень товаров'!$A$2:$I9525,2,0),"")</f>
        <v>п27</v>
      </c>
      <c r="C4015" s="12" t="str">
        <f>IFERROR(VLOOKUP(D4015,'[1]Перечень товаров'!$A$2:$I9525,3,0),"")</f>
        <v>Прочее</v>
      </c>
      <c r="D4015" s="22" t="s">
        <v>362</v>
      </c>
      <c r="E4015" s="102"/>
      <c r="F4015" s="102"/>
      <c r="G4015" s="48">
        <v>2</v>
      </c>
      <c r="H4015" s="48"/>
      <c r="I4015" s="49"/>
      <c r="J4015" s="49"/>
      <c r="K4015" s="33"/>
      <c r="L4015" s="20"/>
      <c r="M4015" s="10"/>
      <c r="N4015" s="10"/>
      <c r="O4015" s="10"/>
      <c r="P4015" s="10"/>
      <c r="Q4015" s="10"/>
      <c r="R4015" s="10"/>
      <c r="S4015" s="10"/>
      <c r="T4015" s="10"/>
      <c r="U4015" s="10"/>
      <c r="V4015" s="10"/>
      <c r="W4015" s="10"/>
      <c r="X4015" s="10"/>
      <c r="Y4015" s="10"/>
      <c r="Z4015" s="10"/>
      <c r="AA4015" s="10"/>
      <c r="AB4015" s="10"/>
      <c r="AC4015" s="10"/>
      <c r="AD4015" s="10"/>
      <c r="AE4015" s="10"/>
      <c r="AF4015" s="10"/>
      <c r="AG4015" s="10"/>
      <c r="AH4015" s="10"/>
    </row>
    <row r="4016" spans="1:34" outlineLevel="2">
      <c r="A4016" s="21"/>
      <c r="B4016" s="12" t="str">
        <f>IFERROR(VLOOKUP(D4016,'[1]Перечень товаров'!$A$2:$I9525,2,0),"")</f>
        <v>п28</v>
      </c>
      <c r="C4016" s="12" t="str">
        <f>IFERROR(VLOOKUP(D4016,'[1]Перечень товаров'!$A$2:$I9525,3,0),"")</f>
        <v>Прочее</v>
      </c>
      <c r="D4016" s="22" t="s">
        <v>363</v>
      </c>
      <c r="E4016" s="102"/>
      <c r="F4016" s="102"/>
      <c r="G4016" s="48">
        <v>1</v>
      </c>
      <c r="H4016" s="48"/>
      <c r="I4016" s="49"/>
      <c r="J4016" s="49"/>
      <c r="K4016" s="33"/>
      <c r="L4016" s="20"/>
      <c r="M4016" s="10"/>
      <c r="N4016" s="10"/>
      <c r="O4016" s="10"/>
      <c r="P4016" s="10"/>
      <c r="Q4016" s="10"/>
      <c r="R4016" s="10"/>
      <c r="S4016" s="10"/>
      <c r="T4016" s="10"/>
      <c r="U4016" s="10"/>
      <c r="V4016" s="10"/>
      <c r="W4016" s="10"/>
      <c r="X4016" s="10"/>
      <c r="Y4016" s="10"/>
      <c r="Z4016" s="10"/>
      <c r="AA4016" s="10"/>
      <c r="AB4016" s="10"/>
      <c r="AC4016" s="10"/>
      <c r="AD4016" s="10"/>
      <c r="AE4016" s="10"/>
      <c r="AF4016" s="10"/>
      <c r="AG4016" s="10"/>
      <c r="AH4016" s="10"/>
    </row>
    <row r="4017" spans="1:34" outlineLevel="2">
      <c r="A4017" s="21"/>
      <c r="B4017" s="12" t="str">
        <f>IFERROR(VLOOKUP(D4017,'[1]Перечень товаров'!$A$2:$I9525,2,0),"")</f>
        <v>п29</v>
      </c>
      <c r="C4017" s="12" t="str">
        <f>IFERROR(VLOOKUP(D4017,'[1]Перечень товаров'!$A$2:$I9525,3,0),"")</f>
        <v>Прочее</v>
      </c>
      <c r="D4017" s="22" t="s">
        <v>364</v>
      </c>
      <c r="E4017" s="102"/>
      <c r="F4017" s="102"/>
      <c r="G4017" s="48">
        <v>6</v>
      </c>
      <c r="H4017" s="48"/>
      <c r="I4017" s="49"/>
      <c r="J4017" s="49"/>
      <c r="K4017" s="33"/>
      <c r="L4017" s="20"/>
      <c r="M4017" s="10"/>
      <c r="N4017" s="10"/>
      <c r="O4017" s="10"/>
      <c r="P4017" s="10"/>
      <c r="Q4017" s="10"/>
      <c r="R4017" s="10"/>
      <c r="S4017" s="10"/>
      <c r="T4017" s="10"/>
      <c r="U4017" s="10"/>
      <c r="V4017" s="10"/>
      <c r="W4017" s="10"/>
      <c r="X4017" s="10"/>
      <c r="Y4017" s="10"/>
      <c r="Z4017" s="10"/>
      <c r="AA4017" s="10"/>
      <c r="AB4017" s="10"/>
      <c r="AC4017" s="10"/>
      <c r="AD4017" s="10"/>
      <c r="AE4017" s="10"/>
      <c r="AF4017" s="10"/>
      <c r="AG4017" s="10"/>
      <c r="AH4017" s="10"/>
    </row>
    <row r="4018" spans="1:34" outlineLevel="2">
      <c r="A4018" s="21"/>
      <c r="B4018" s="12" t="str">
        <f>IFERROR(VLOOKUP(D4018,'[1]Перечень товаров'!$A$2:$I9525,2,0),"")</f>
        <v>п30</v>
      </c>
      <c r="C4018" s="12" t="str">
        <f>IFERROR(VLOOKUP(D4018,'[1]Перечень товаров'!$A$2:$I9525,3,0),"")</f>
        <v>Прочее</v>
      </c>
      <c r="D4018" s="22" t="s">
        <v>365</v>
      </c>
      <c r="E4018" s="102"/>
      <c r="F4018" s="102"/>
      <c r="G4018" s="48">
        <v>2</v>
      </c>
      <c r="H4018" s="48"/>
      <c r="I4018" s="49"/>
      <c r="J4018" s="49"/>
      <c r="K4018" s="33"/>
      <c r="L4018" s="20"/>
      <c r="M4018" s="10"/>
      <c r="N4018" s="10"/>
      <c r="O4018" s="10"/>
      <c r="P4018" s="10"/>
      <c r="Q4018" s="10"/>
      <c r="R4018" s="10"/>
      <c r="S4018" s="10"/>
      <c r="T4018" s="10"/>
      <c r="U4018" s="10"/>
      <c r="V4018" s="10"/>
      <c r="W4018" s="10"/>
      <c r="X4018" s="10"/>
      <c r="Y4018" s="10"/>
      <c r="Z4018" s="10"/>
      <c r="AA4018" s="10"/>
      <c r="AB4018" s="10"/>
      <c r="AC4018" s="10"/>
      <c r="AD4018" s="10"/>
      <c r="AE4018" s="10"/>
      <c r="AF4018" s="10"/>
      <c r="AG4018" s="10"/>
      <c r="AH4018" s="10"/>
    </row>
    <row r="4019" spans="1:34" ht="31.5" outlineLevel="2">
      <c r="A4019" s="21"/>
      <c r="B4019" s="12" t="str">
        <f>IFERROR(VLOOKUP(D4019,'[1]Перечень товаров'!$A$2:$I9525,2,0),"")</f>
        <v>п31</v>
      </c>
      <c r="C4019" s="12" t="str">
        <f>IFERROR(VLOOKUP(D4019,'[1]Перечень товаров'!$A$2:$I9525,3,0),"")</f>
        <v>Прочее</v>
      </c>
      <c r="D4019" s="22" t="s">
        <v>366</v>
      </c>
      <c r="E4019" s="102"/>
      <c r="F4019" s="102"/>
      <c r="G4019" s="48">
        <v>1</v>
      </c>
      <c r="H4019" s="48"/>
      <c r="I4019" s="49"/>
      <c r="J4019" s="49"/>
      <c r="K4019" s="33"/>
      <c r="L4019" s="20"/>
      <c r="M4019" s="10"/>
      <c r="N4019" s="10"/>
      <c r="O4019" s="10"/>
      <c r="P4019" s="10"/>
      <c r="Q4019" s="10"/>
      <c r="R4019" s="10"/>
      <c r="S4019" s="10"/>
      <c r="T4019" s="10"/>
      <c r="U4019" s="10"/>
      <c r="V4019" s="10"/>
      <c r="W4019" s="10"/>
      <c r="X4019" s="10"/>
      <c r="Y4019" s="10"/>
      <c r="Z4019" s="10"/>
      <c r="AA4019" s="10"/>
      <c r="AB4019" s="10"/>
      <c r="AC4019" s="10"/>
      <c r="AD4019" s="10"/>
      <c r="AE4019" s="10"/>
      <c r="AF4019" s="10"/>
      <c r="AG4019" s="10"/>
      <c r="AH4019" s="10"/>
    </row>
    <row r="4020" spans="1:34" ht="31.5" outlineLevel="2">
      <c r="A4020" s="21"/>
      <c r="B4020" s="12" t="str">
        <f>IFERROR(VLOOKUP(D4020,'[1]Перечень товаров'!$A$2:$I9525,2,0),"")</f>
        <v>п32</v>
      </c>
      <c r="C4020" s="12" t="str">
        <f>IFERROR(VLOOKUP(D4020,'[1]Перечень товаров'!$A$2:$I9525,3,0),"")</f>
        <v>Прочее</v>
      </c>
      <c r="D4020" s="22" t="s">
        <v>367</v>
      </c>
      <c r="E4020" s="102"/>
      <c r="F4020" s="102"/>
      <c r="G4020" s="48">
        <v>2</v>
      </c>
      <c r="H4020" s="48"/>
      <c r="I4020" s="49"/>
      <c r="J4020" s="49"/>
      <c r="K4020" s="33"/>
      <c r="L4020" s="20"/>
      <c r="M4020" s="10"/>
      <c r="N4020" s="10"/>
      <c r="O4020" s="10"/>
      <c r="P4020" s="10"/>
      <c r="Q4020" s="10"/>
      <c r="R4020" s="10"/>
      <c r="S4020" s="10"/>
      <c r="T4020" s="10"/>
      <c r="U4020" s="10"/>
      <c r="V4020" s="10"/>
      <c r="W4020" s="10"/>
      <c r="X4020" s="10"/>
      <c r="Y4020" s="10"/>
      <c r="Z4020" s="10"/>
      <c r="AA4020" s="10"/>
      <c r="AB4020" s="10"/>
      <c r="AC4020" s="10"/>
      <c r="AD4020" s="10"/>
      <c r="AE4020" s="10"/>
      <c r="AF4020" s="10"/>
      <c r="AG4020" s="10"/>
      <c r="AH4020" s="10"/>
    </row>
    <row r="4021" spans="1:34" ht="12.75" outlineLevel="1">
      <c r="A4021" s="11"/>
      <c r="B4021" s="12" t="str">
        <f>IFERROR(VLOOKUP(D4021,'[1]Перечень товаров'!$A$2:$I9525,2,0),"")</f>
        <v/>
      </c>
      <c r="C4021" s="12" t="str">
        <f>IFERROR(VLOOKUP(D4021,'[1]Перечень товаров'!$A$2:$I9525,3,0),"")</f>
        <v/>
      </c>
      <c r="D4021" s="27" t="s">
        <v>373</v>
      </c>
      <c r="E4021" s="14">
        <v>2.2000000000000002</v>
      </c>
      <c r="F4021" s="14"/>
      <c r="G4021" s="17"/>
      <c r="H4021" s="17"/>
      <c r="I4021" s="57"/>
      <c r="J4021" s="57"/>
      <c r="K4021" s="19"/>
      <c r="L4021" s="20"/>
      <c r="M4021" s="10"/>
      <c r="N4021" s="10"/>
      <c r="O4021" s="10"/>
      <c r="P4021" s="10"/>
      <c r="Q4021" s="10"/>
      <c r="R4021" s="10"/>
      <c r="S4021" s="10"/>
      <c r="T4021" s="10"/>
      <c r="U4021" s="10"/>
      <c r="V4021" s="10"/>
      <c r="W4021" s="10"/>
      <c r="X4021" s="10"/>
      <c r="Y4021" s="10"/>
      <c r="Z4021" s="10"/>
      <c r="AA4021" s="10"/>
      <c r="AB4021" s="10"/>
      <c r="AC4021" s="10"/>
      <c r="AD4021" s="10"/>
      <c r="AE4021" s="10"/>
      <c r="AF4021" s="10"/>
      <c r="AG4021" s="10"/>
      <c r="AH4021" s="10"/>
    </row>
    <row r="4022" spans="1:34" outlineLevel="2">
      <c r="A4022" s="22"/>
      <c r="B4022" s="12" t="str">
        <f>IFERROR(VLOOKUP(D4022,'[1]Перечень товаров'!$A$2:$I9525,2,0),"")</f>
        <v>п25</v>
      </c>
      <c r="C4022" s="12" t="str">
        <f>IFERROR(VLOOKUP(D4022,'[1]Перечень товаров'!$A$2:$I9525,3,0),"")</f>
        <v>Прочее</v>
      </c>
      <c r="D4022" s="22" t="s">
        <v>360</v>
      </c>
      <c r="E4022" s="102"/>
      <c r="F4022" s="102"/>
      <c r="G4022" s="48">
        <v>3</v>
      </c>
      <c r="H4022" s="48"/>
      <c r="I4022" s="49"/>
      <c r="J4022" s="49"/>
      <c r="K4022" s="19"/>
      <c r="L4022" s="20"/>
      <c r="M4022" s="10"/>
      <c r="N4022" s="10"/>
      <c r="O4022" s="10"/>
      <c r="P4022" s="10"/>
      <c r="Q4022" s="10"/>
      <c r="R4022" s="10"/>
      <c r="S4022" s="10"/>
      <c r="T4022" s="10"/>
      <c r="U4022" s="10"/>
      <c r="V4022" s="10"/>
      <c r="W4022" s="10"/>
      <c r="X4022" s="10"/>
      <c r="Y4022" s="10"/>
      <c r="Z4022" s="10"/>
      <c r="AA4022" s="10"/>
      <c r="AB4022" s="10"/>
      <c r="AC4022" s="10"/>
      <c r="AD4022" s="10"/>
      <c r="AE4022" s="10"/>
      <c r="AF4022" s="10"/>
      <c r="AG4022" s="10"/>
      <c r="AH4022" s="10"/>
    </row>
    <row r="4023" spans="1:34" outlineLevel="2">
      <c r="A4023" s="21"/>
      <c r="B4023" s="12" t="str">
        <f>IFERROR(VLOOKUP(D4023,'[1]Перечень товаров'!$A$2:$I9525,2,0),"")</f>
        <v>п26</v>
      </c>
      <c r="C4023" s="12" t="str">
        <f>IFERROR(VLOOKUP(D4023,'[1]Перечень товаров'!$A$2:$I9525,3,0),"")</f>
        <v>Прочее</v>
      </c>
      <c r="D4023" s="22" t="s">
        <v>361</v>
      </c>
      <c r="E4023" s="102"/>
      <c r="F4023" s="102"/>
      <c r="G4023" s="48">
        <v>2</v>
      </c>
      <c r="H4023" s="48"/>
      <c r="I4023" s="49"/>
      <c r="J4023" s="49"/>
      <c r="K4023" s="19"/>
      <c r="L4023" s="20"/>
      <c r="M4023" s="10"/>
      <c r="N4023" s="10"/>
      <c r="O4023" s="10"/>
      <c r="P4023" s="10"/>
      <c r="Q4023" s="10"/>
      <c r="R4023" s="10"/>
      <c r="S4023" s="10"/>
      <c r="T4023" s="10"/>
      <c r="U4023" s="10"/>
      <c r="V4023" s="10"/>
      <c r="W4023" s="10"/>
      <c r="X4023" s="10"/>
      <c r="Y4023" s="10"/>
      <c r="Z4023" s="10"/>
      <c r="AA4023" s="10"/>
      <c r="AB4023" s="10"/>
      <c r="AC4023" s="10"/>
      <c r="AD4023" s="10"/>
      <c r="AE4023" s="10"/>
      <c r="AF4023" s="10"/>
      <c r="AG4023" s="10"/>
      <c r="AH4023" s="10"/>
    </row>
    <row r="4024" spans="1:34" outlineLevel="2">
      <c r="A4024" s="21"/>
      <c r="B4024" s="12" t="str">
        <f>IFERROR(VLOOKUP(D4024,'[1]Перечень товаров'!$A$2:$I9525,2,0),"")</f>
        <v>п27</v>
      </c>
      <c r="C4024" s="12" t="str">
        <f>IFERROR(VLOOKUP(D4024,'[1]Перечень товаров'!$A$2:$I9525,3,0),"")</f>
        <v>Прочее</v>
      </c>
      <c r="D4024" s="22" t="s">
        <v>362</v>
      </c>
      <c r="E4024" s="102"/>
      <c r="F4024" s="102"/>
      <c r="G4024" s="48">
        <v>2</v>
      </c>
      <c r="H4024" s="48"/>
      <c r="I4024" s="49"/>
      <c r="J4024" s="49"/>
      <c r="K4024" s="19"/>
      <c r="L4024" s="20"/>
      <c r="M4024" s="10"/>
      <c r="N4024" s="10"/>
      <c r="O4024" s="10"/>
      <c r="P4024" s="10"/>
      <c r="Q4024" s="10"/>
      <c r="R4024" s="10"/>
      <c r="S4024" s="10"/>
      <c r="T4024" s="10"/>
      <c r="U4024" s="10"/>
      <c r="V4024" s="10"/>
      <c r="W4024" s="10"/>
      <c r="X4024" s="10"/>
      <c r="Y4024" s="10"/>
      <c r="Z4024" s="10"/>
      <c r="AA4024" s="10"/>
      <c r="AB4024" s="10"/>
      <c r="AC4024" s="10"/>
      <c r="AD4024" s="10"/>
      <c r="AE4024" s="10"/>
      <c r="AF4024" s="10"/>
      <c r="AG4024" s="10"/>
      <c r="AH4024" s="10"/>
    </row>
    <row r="4025" spans="1:34" outlineLevel="2">
      <c r="A4025" s="21"/>
      <c r="B4025" s="12" t="str">
        <f>IFERROR(VLOOKUP(D4025,'[1]Перечень товаров'!$A$2:$I9525,2,0),"")</f>
        <v>п28</v>
      </c>
      <c r="C4025" s="12" t="str">
        <f>IFERROR(VLOOKUP(D4025,'[1]Перечень товаров'!$A$2:$I9525,3,0),"")</f>
        <v>Прочее</v>
      </c>
      <c r="D4025" s="22" t="s">
        <v>363</v>
      </c>
      <c r="E4025" s="102"/>
      <c r="F4025" s="102"/>
      <c r="G4025" s="48">
        <v>1</v>
      </c>
      <c r="H4025" s="48"/>
      <c r="I4025" s="49"/>
      <c r="J4025" s="49"/>
      <c r="K4025" s="19"/>
      <c r="L4025" s="20"/>
      <c r="M4025" s="10"/>
      <c r="N4025" s="10"/>
      <c r="O4025" s="10"/>
      <c r="P4025" s="10"/>
      <c r="Q4025" s="10"/>
      <c r="R4025" s="10"/>
      <c r="S4025" s="10"/>
      <c r="T4025" s="10"/>
      <c r="U4025" s="10"/>
      <c r="V4025" s="10"/>
      <c r="W4025" s="10"/>
      <c r="X4025" s="10"/>
      <c r="Y4025" s="10"/>
      <c r="Z4025" s="10"/>
      <c r="AA4025" s="10"/>
      <c r="AB4025" s="10"/>
      <c r="AC4025" s="10"/>
      <c r="AD4025" s="10"/>
      <c r="AE4025" s="10"/>
      <c r="AF4025" s="10"/>
      <c r="AG4025" s="10"/>
      <c r="AH4025" s="10"/>
    </row>
    <row r="4026" spans="1:34" outlineLevel="2">
      <c r="A4026" s="21"/>
      <c r="B4026" s="12" t="str">
        <f>IFERROR(VLOOKUP(D4026,'[1]Перечень товаров'!$A$2:$I9525,2,0),"")</f>
        <v>п29</v>
      </c>
      <c r="C4026" s="12" t="str">
        <f>IFERROR(VLOOKUP(D4026,'[1]Перечень товаров'!$A$2:$I9525,3,0),"")</f>
        <v>Прочее</v>
      </c>
      <c r="D4026" s="22" t="s">
        <v>364</v>
      </c>
      <c r="E4026" s="102"/>
      <c r="F4026" s="102"/>
      <c r="G4026" s="48">
        <v>6</v>
      </c>
      <c r="H4026" s="48"/>
      <c r="I4026" s="49"/>
      <c r="J4026" s="49"/>
      <c r="K4026" s="19"/>
      <c r="L4026" s="20"/>
      <c r="M4026" s="10"/>
      <c r="N4026" s="10"/>
      <c r="O4026" s="10"/>
      <c r="P4026" s="10"/>
      <c r="Q4026" s="10"/>
      <c r="R4026" s="10"/>
      <c r="S4026" s="10"/>
      <c r="T4026" s="10"/>
      <c r="U4026" s="10"/>
      <c r="V4026" s="10"/>
      <c r="W4026" s="10"/>
      <c r="X4026" s="10"/>
      <c r="Y4026" s="10"/>
      <c r="Z4026" s="10"/>
      <c r="AA4026" s="10"/>
      <c r="AB4026" s="10"/>
      <c r="AC4026" s="10"/>
      <c r="AD4026" s="10"/>
      <c r="AE4026" s="10"/>
      <c r="AF4026" s="10"/>
      <c r="AG4026" s="10"/>
      <c r="AH4026" s="10"/>
    </row>
    <row r="4027" spans="1:34" outlineLevel="2">
      <c r="A4027" s="21"/>
      <c r="B4027" s="12" t="str">
        <f>IFERROR(VLOOKUP(D4027,'[1]Перечень товаров'!$A$2:$I9525,2,0),"")</f>
        <v>п30</v>
      </c>
      <c r="C4027" s="12" t="str">
        <f>IFERROR(VLOOKUP(D4027,'[1]Перечень товаров'!$A$2:$I9525,3,0),"")</f>
        <v>Прочее</v>
      </c>
      <c r="D4027" s="22" t="s">
        <v>365</v>
      </c>
      <c r="E4027" s="102"/>
      <c r="F4027" s="102"/>
      <c r="G4027" s="48">
        <v>2</v>
      </c>
      <c r="H4027" s="48"/>
      <c r="I4027" s="49"/>
      <c r="J4027" s="49"/>
      <c r="K4027" s="19"/>
      <c r="L4027" s="20"/>
      <c r="M4027" s="10"/>
      <c r="N4027" s="10"/>
      <c r="O4027" s="10"/>
      <c r="P4027" s="10"/>
      <c r="Q4027" s="10"/>
      <c r="R4027" s="10"/>
      <c r="S4027" s="10"/>
      <c r="T4027" s="10"/>
      <c r="U4027" s="10"/>
      <c r="V4027" s="10"/>
      <c r="W4027" s="10"/>
      <c r="X4027" s="10"/>
      <c r="Y4027" s="10"/>
      <c r="Z4027" s="10"/>
      <c r="AA4027" s="10"/>
      <c r="AB4027" s="10"/>
      <c r="AC4027" s="10"/>
      <c r="AD4027" s="10"/>
      <c r="AE4027" s="10"/>
      <c r="AF4027" s="10"/>
      <c r="AG4027" s="10"/>
      <c r="AH4027" s="10"/>
    </row>
    <row r="4028" spans="1:34" ht="31.5" outlineLevel="2">
      <c r="A4028" s="21"/>
      <c r="B4028" s="12" t="str">
        <f>IFERROR(VLOOKUP(D4028,'[1]Перечень товаров'!$A$2:$I9525,2,0),"")</f>
        <v>п31</v>
      </c>
      <c r="C4028" s="12" t="str">
        <f>IFERROR(VLOOKUP(D4028,'[1]Перечень товаров'!$A$2:$I9525,3,0),"")</f>
        <v>Прочее</v>
      </c>
      <c r="D4028" s="22" t="s">
        <v>366</v>
      </c>
      <c r="E4028" s="102"/>
      <c r="F4028" s="102"/>
      <c r="G4028" s="48">
        <v>1</v>
      </c>
      <c r="H4028" s="48"/>
      <c r="I4028" s="49"/>
      <c r="J4028" s="49"/>
      <c r="K4028" s="19"/>
      <c r="L4028" s="20"/>
      <c r="M4028" s="10"/>
      <c r="N4028" s="10"/>
      <c r="O4028" s="10"/>
      <c r="P4028" s="10"/>
      <c r="Q4028" s="10"/>
      <c r="R4028" s="10"/>
      <c r="S4028" s="10"/>
      <c r="T4028" s="10"/>
      <c r="U4028" s="10"/>
      <c r="V4028" s="10"/>
      <c r="W4028" s="10"/>
      <c r="X4028" s="10"/>
      <c r="Y4028" s="10"/>
      <c r="Z4028" s="10"/>
      <c r="AA4028" s="10"/>
      <c r="AB4028" s="10"/>
      <c r="AC4028" s="10"/>
      <c r="AD4028" s="10"/>
      <c r="AE4028" s="10"/>
      <c r="AF4028" s="10"/>
      <c r="AG4028" s="10"/>
      <c r="AH4028" s="10"/>
    </row>
    <row r="4029" spans="1:34" ht="31.5" outlineLevel="2">
      <c r="A4029" s="21"/>
      <c r="B4029" s="12" t="str">
        <f>IFERROR(VLOOKUP(D4029,'[1]Перечень товаров'!$A$2:$I9525,2,0),"")</f>
        <v>п32</v>
      </c>
      <c r="C4029" s="12" t="str">
        <f>IFERROR(VLOOKUP(D4029,'[1]Перечень товаров'!$A$2:$I9525,3,0),"")</f>
        <v>Прочее</v>
      </c>
      <c r="D4029" s="22" t="s">
        <v>367</v>
      </c>
      <c r="E4029" s="102"/>
      <c r="F4029" s="102"/>
      <c r="G4029" s="48">
        <v>2</v>
      </c>
      <c r="H4029" s="48"/>
      <c r="I4029" s="49"/>
      <c r="J4029" s="49"/>
      <c r="K4029" s="19"/>
      <c r="L4029" s="20"/>
      <c r="M4029" s="10"/>
      <c r="N4029" s="10"/>
      <c r="O4029" s="10"/>
      <c r="P4029" s="10"/>
      <c r="Q4029" s="10"/>
      <c r="R4029" s="10"/>
      <c r="S4029" s="10"/>
      <c r="T4029" s="10"/>
      <c r="U4029" s="10"/>
      <c r="V4029" s="10"/>
      <c r="W4029" s="10"/>
      <c r="X4029" s="10"/>
      <c r="Y4029" s="10"/>
      <c r="Z4029" s="10"/>
      <c r="AA4029" s="10"/>
      <c r="AB4029" s="10"/>
      <c r="AC4029" s="10"/>
      <c r="AD4029" s="10"/>
      <c r="AE4029" s="10"/>
      <c r="AF4029" s="10"/>
      <c r="AG4029" s="10"/>
      <c r="AH4029" s="10"/>
    </row>
    <row r="4030" spans="1:34" ht="12.75" outlineLevel="1">
      <c r="A4030" s="11"/>
      <c r="B4030" s="12" t="str">
        <f>IFERROR(VLOOKUP(D4030,'[1]Перечень товаров'!$A$2:$I9525,2,0),"")</f>
        <v/>
      </c>
      <c r="C4030" s="12" t="str">
        <f>IFERROR(VLOOKUP(D4030,'[1]Перечень товаров'!$A$2:$I9525,3,0),"")</f>
        <v/>
      </c>
      <c r="D4030" s="27" t="s">
        <v>529</v>
      </c>
      <c r="E4030" s="14">
        <v>6.3</v>
      </c>
      <c r="F4030" s="14"/>
      <c r="G4030" s="17"/>
      <c r="H4030" s="17"/>
      <c r="I4030" s="57"/>
      <c r="J4030" s="57"/>
      <c r="K4030" s="19"/>
      <c r="L4030" s="20"/>
      <c r="M4030" s="10"/>
      <c r="N4030" s="10"/>
      <c r="O4030" s="10"/>
      <c r="P4030" s="10"/>
      <c r="Q4030" s="10"/>
      <c r="R4030" s="10"/>
      <c r="S4030" s="10"/>
      <c r="T4030" s="10"/>
      <c r="U4030" s="10"/>
      <c r="V4030" s="10"/>
      <c r="W4030" s="10"/>
      <c r="X4030" s="10"/>
      <c r="Y4030" s="10"/>
      <c r="Z4030" s="10"/>
      <c r="AA4030" s="10"/>
      <c r="AB4030" s="10"/>
      <c r="AC4030" s="10"/>
      <c r="AD4030" s="10"/>
      <c r="AE4030" s="10"/>
      <c r="AF4030" s="10"/>
      <c r="AG4030" s="10"/>
      <c r="AH4030" s="10"/>
    </row>
    <row r="4031" spans="1:34" outlineLevel="2">
      <c r="A4031" s="22"/>
      <c r="B4031" s="12" t="str">
        <f>IFERROR(VLOOKUP(D4031,'[1]Перечень товаров'!$A$2:$I9525,2,0),"")</f>
        <v>п25</v>
      </c>
      <c r="C4031" s="12" t="str">
        <f>IFERROR(VLOOKUP(D4031,'[1]Перечень товаров'!$A$2:$I9525,3,0),"")</f>
        <v>Прочее</v>
      </c>
      <c r="D4031" s="22" t="s">
        <v>360</v>
      </c>
      <c r="E4031" s="102"/>
      <c r="F4031" s="102"/>
      <c r="G4031" s="48">
        <v>3</v>
      </c>
      <c r="H4031" s="48"/>
      <c r="I4031" s="49"/>
      <c r="J4031" s="49"/>
      <c r="K4031" s="33"/>
      <c r="L4031" s="20"/>
      <c r="M4031" s="10"/>
      <c r="N4031" s="10"/>
      <c r="O4031" s="10"/>
      <c r="P4031" s="10"/>
      <c r="Q4031" s="10"/>
      <c r="R4031" s="10"/>
      <c r="S4031" s="10"/>
      <c r="T4031" s="10"/>
      <c r="U4031" s="10"/>
      <c r="V4031" s="10"/>
      <c r="W4031" s="10"/>
      <c r="X4031" s="10"/>
      <c r="Y4031" s="10"/>
      <c r="Z4031" s="10"/>
      <c r="AA4031" s="10"/>
      <c r="AB4031" s="10"/>
      <c r="AC4031" s="10"/>
      <c r="AD4031" s="10"/>
      <c r="AE4031" s="10"/>
      <c r="AF4031" s="10"/>
      <c r="AG4031" s="10"/>
      <c r="AH4031" s="10"/>
    </row>
    <row r="4032" spans="1:34" outlineLevel="2">
      <c r="A4032" s="21"/>
      <c r="B4032" s="12" t="str">
        <f>IFERROR(VLOOKUP(D4032,'[1]Перечень товаров'!$A$2:$I9525,2,0),"")</f>
        <v>п26</v>
      </c>
      <c r="C4032" s="12" t="str">
        <f>IFERROR(VLOOKUP(D4032,'[1]Перечень товаров'!$A$2:$I9525,3,0),"")</f>
        <v>Прочее</v>
      </c>
      <c r="D4032" s="22" t="s">
        <v>361</v>
      </c>
      <c r="E4032" s="102"/>
      <c r="F4032" s="102"/>
      <c r="G4032" s="48">
        <v>2</v>
      </c>
      <c r="H4032" s="48"/>
      <c r="I4032" s="49"/>
      <c r="J4032" s="49"/>
      <c r="K4032" s="33"/>
      <c r="L4032" s="20"/>
      <c r="M4032" s="10"/>
      <c r="N4032" s="10"/>
      <c r="O4032" s="10"/>
      <c r="P4032" s="10"/>
      <c r="Q4032" s="10"/>
      <c r="R4032" s="10"/>
      <c r="S4032" s="10"/>
      <c r="T4032" s="10"/>
      <c r="U4032" s="10"/>
      <c r="V4032" s="10"/>
      <c r="W4032" s="10"/>
      <c r="X4032" s="10"/>
      <c r="Y4032" s="10"/>
      <c r="Z4032" s="10"/>
      <c r="AA4032" s="10"/>
      <c r="AB4032" s="10"/>
      <c r="AC4032" s="10"/>
      <c r="AD4032" s="10"/>
      <c r="AE4032" s="10"/>
      <c r="AF4032" s="10"/>
      <c r="AG4032" s="10"/>
      <c r="AH4032" s="10"/>
    </row>
    <row r="4033" spans="1:34" outlineLevel="2">
      <c r="A4033" s="21"/>
      <c r="B4033" s="12" t="str">
        <f>IFERROR(VLOOKUP(D4033,'[1]Перечень товаров'!$A$2:$I9525,2,0),"")</f>
        <v>п27</v>
      </c>
      <c r="C4033" s="12" t="str">
        <f>IFERROR(VLOOKUP(D4033,'[1]Перечень товаров'!$A$2:$I9525,3,0),"")</f>
        <v>Прочее</v>
      </c>
      <c r="D4033" s="22" t="s">
        <v>362</v>
      </c>
      <c r="E4033" s="102"/>
      <c r="F4033" s="102"/>
      <c r="G4033" s="48">
        <v>2</v>
      </c>
      <c r="H4033" s="48"/>
      <c r="I4033" s="49"/>
      <c r="J4033" s="49"/>
      <c r="K4033" s="33"/>
      <c r="L4033" s="20"/>
      <c r="M4033" s="10"/>
      <c r="N4033" s="10"/>
      <c r="O4033" s="10"/>
      <c r="P4033" s="10"/>
      <c r="Q4033" s="10"/>
      <c r="R4033" s="10"/>
      <c r="S4033" s="10"/>
      <c r="T4033" s="10"/>
      <c r="U4033" s="10"/>
      <c r="V4033" s="10"/>
      <c r="W4033" s="10"/>
      <c r="X4033" s="10"/>
      <c r="Y4033" s="10"/>
      <c r="Z4033" s="10"/>
      <c r="AA4033" s="10"/>
      <c r="AB4033" s="10"/>
      <c r="AC4033" s="10"/>
      <c r="AD4033" s="10"/>
      <c r="AE4033" s="10"/>
      <c r="AF4033" s="10"/>
      <c r="AG4033" s="10"/>
      <c r="AH4033" s="10"/>
    </row>
    <row r="4034" spans="1:34" outlineLevel="2">
      <c r="A4034" s="21"/>
      <c r="B4034" s="12" t="str">
        <f>IFERROR(VLOOKUP(D4034,'[1]Перечень товаров'!$A$2:$I9525,2,0),"")</f>
        <v>п28</v>
      </c>
      <c r="C4034" s="12" t="str">
        <f>IFERROR(VLOOKUP(D4034,'[1]Перечень товаров'!$A$2:$I9525,3,0),"")</f>
        <v>Прочее</v>
      </c>
      <c r="D4034" s="22" t="s">
        <v>363</v>
      </c>
      <c r="E4034" s="102"/>
      <c r="F4034" s="102"/>
      <c r="G4034" s="48">
        <v>1</v>
      </c>
      <c r="H4034" s="48"/>
      <c r="I4034" s="49"/>
      <c r="J4034" s="49"/>
      <c r="K4034" s="33"/>
      <c r="L4034" s="20"/>
      <c r="M4034" s="10"/>
      <c r="N4034" s="10"/>
      <c r="O4034" s="10"/>
      <c r="P4034" s="10"/>
      <c r="Q4034" s="10"/>
      <c r="R4034" s="10"/>
      <c r="S4034" s="10"/>
      <c r="T4034" s="10"/>
      <c r="U4034" s="10"/>
      <c r="V4034" s="10"/>
      <c r="W4034" s="10"/>
      <c r="X4034" s="10"/>
      <c r="Y4034" s="10"/>
      <c r="Z4034" s="10"/>
      <c r="AA4034" s="10"/>
      <c r="AB4034" s="10"/>
      <c r="AC4034" s="10"/>
      <c r="AD4034" s="10"/>
      <c r="AE4034" s="10"/>
      <c r="AF4034" s="10"/>
      <c r="AG4034" s="10"/>
      <c r="AH4034" s="10"/>
    </row>
    <row r="4035" spans="1:34" outlineLevel="2">
      <c r="A4035" s="21"/>
      <c r="B4035" s="12" t="str">
        <f>IFERROR(VLOOKUP(D4035,'[1]Перечень товаров'!$A$2:$I9525,2,0),"")</f>
        <v>п29</v>
      </c>
      <c r="C4035" s="12" t="str">
        <f>IFERROR(VLOOKUP(D4035,'[1]Перечень товаров'!$A$2:$I9525,3,0),"")</f>
        <v>Прочее</v>
      </c>
      <c r="D4035" s="22" t="s">
        <v>364</v>
      </c>
      <c r="E4035" s="102"/>
      <c r="F4035" s="102"/>
      <c r="G4035" s="48">
        <v>6</v>
      </c>
      <c r="H4035" s="48"/>
      <c r="I4035" s="49"/>
      <c r="J4035" s="49"/>
      <c r="K4035" s="33"/>
      <c r="L4035" s="20"/>
      <c r="M4035" s="10"/>
      <c r="N4035" s="10"/>
      <c r="O4035" s="10"/>
      <c r="P4035" s="10"/>
      <c r="Q4035" s="10"/>
      <c r="R4035" s="10"/>
      <c r="S4035" s="10"/>
      <c r="T4035" s="10"/>
      <c r="U4035" s="10"/>
      <c r="V4035" s="10"/>
      <c r="W4035" s="10"/>
      <c r="X4035" s="10"/>
      <c r="Y4035" s="10"/>
      <c r="Z4035" s="10"/>
      <c r="AA4035" s="10"/>
      <c r="AB4035" s="10"/>
      <c r="AC4035" s="10"/>
      <c r="AD4035" s="10"/>
      <c r="AE4035" s="10"/>
      <c r="AF4035" s="10"/>
      <c r="AG4035" s="10"/>
      <c r="AH4035" s="10"/>
    </row>
    <row r="4036" spans="1:34" outlineLevel="2">
      <c r="A4036" s="21"/>
      <c r="B4036" s="12" t="str">
        <f>IFERROR(VLOOKUP(D4036,'[1]Перечень товаров'!$A$2:$I9525,2,0),"")</f>
        <v>п30</v>
      </c>
      <c r="C4036" s="12" t="str">
        <f>IFERROR(VLOOKUP(D4036,'[1]Перечень товаров'!$A$2:$I9525,3,0),"")</f>
        <v>Прочее</v>
      </c>
      <c r="D4036" s="22" t="s">
        <v>365</v>
      </c>
      <c r="E4036" s="102"/>
      <c r="F4036" s="102"/>
      <c r="G4036" s="48">
        <v>2</v>
      </c>
      <c r="H4036" s="48"/>
      <c r="I4036" s="49"/>
      <c r="J4036" s="49"/>
      <c r="K4036" s="33"/>
      <c r="L4036" s="20"/>
      <c r="M4036" s="10"/>
      <c r="N4036" s="10"/>
      <c r="O4036" s="10"/>
      <c r="P4036" s="10"/>
      <c r="Q4036" s="10"/>
      <c r="R4036" s="10"/>
      <c r="S4036" s="10"/>
      <c r="T4036" s="10"/>
      <c r="U4036" s="10"/>
      <c r="V4036" s="10"/>
      <c r="W4036" s="10"/>
      <c r="X4036" s="10"/>
      <c r="Y4036" s="10"/>
      <c r="Z4036" s="10"/>
      <c r="AA4036" s="10"/>
      <c r="AB4036" s="10"/>
      <c r="AC4036" s="10"/>
      <c r="AD4036" s="10"/>
      <c r="AE4036" s="10"/>
      <c r="AF4036" s="10"/>
      <c r="AG4036" s="10"/>
      <c r="AH4036" s="10"/>
    </row>
    <row r="4037" spans="1:34" ht="31.5" outlineLevel="2">
      <c r="A4037" s="21"/>
      <c r="B4037" s="12" t="str">
        <f>IFERROR(VLOOKUP(D4037,'[1]Перечень товаров'!$A$2:$I9525,2,0),"")</f>
        <v>п31</v>
      </c>
      <c r="C4037" s="12" t="str">
        <f>IFERROR(VLOOKUP(D4037,'[1]Перечень товаров'!$A$2:$I9525,3,0),"")</f>
        <v>Прочее</v>
      </c>
      <c r="D4037" s="22" t="s">
        <v>366</v>
      </c>
      <c r="E4037" s="102"/>
      <c r="F4037" s="102"/>
      <c r="G4037" s="48">
        <v>1</v>
      </c>
      <c r="H4037" s="48"/>
      <c r="I4037" s="49"/>
      <c r="J4037" s="49"/>
      <c r="K4037" s="33"/>
      <c r="L4037" s="20"/>
      <c r="M4037" s="10"/>
      <c r="N4037" s="10"/>
      <c r="O4037" s="10"/>
      <c r="P4037" s="10"/>
      <c r="Q4037" s="10"/>
      <c r="R4037" s="10"/>
      <c r="S4037" s="10"/>
      <c r="T4037" s="10"/>
      <c r="U4037" s="10"/>
      <c r="V4037" s="10"/>
      <c r="W4037" s="10"/>
      <c r="X4037" s="10"/>
      <c r="Y4037" s="10"/>
      <c r="Z4037" s="10"/>
      <c r="AA4037" s="10"/>
      <c r="AB4037" s="10"/>
      <c r="AC4037" s="10"/>
      <c r="AD4037" s="10"/>
      <c r="AE4037" s="10"/>
      <c r="AF4037" s="10"/>
      <c r="AG4037" s="10"/>
      <c r="AH4037" s="10"/>
    </row>
    <row r="4038" spans="1:34" ht="31.5" outlineLevel="2">
      <c r="A4038" s="21"/>
      <c r="B4038" s="12" t="str">
        <f>IFERROR(VLOOKUP(D4038,'[1]Перечень товаров'!$A$2:$I9525,2,0),"")</f>
        <v>п32</v>
      </c>
      <c r="C4038" s="12" t="str">
        <f>IFERROR(VLOOKUP(D4038,'[1]Перечень товаров'!$A$2:$I9525,3,0),"")</f>
        <v>Прочее</v>
      </c>
      <c r="D4038" s="22" t="s">
        <v>367</v>
      </c>
      <c r="E4038" s="102"/>
      <c r="F4038" s="102"/>
      <c r="G4038" s="48">
        <v>2</v>
      </c>
      <c r="H4038" s="48"/>
      <c r="I4038" s="49"/>
      <c r="J4038" s="49"/>
      <c r="K4038" s="33"/>
      <c r="L4038" s="20"/>
      <c r="M4038" s="10"/>
      <c r="N4038" s="10"/>
      <c r="O4038" s="10"/>
      <c r="P4038" s="10"/>
      <c r="Q4038" s="10"/>
      <c r="R4038" s="10"/>
      <c r="S4038" s="10"/>
      <c r="T4038" s="10"/>
      <c r="U4038" s="10"/>
      <c r="V4038" s="10"/>
      <c r="W4038" s="10"/>
      <c r="X4038" s="10"/>
      <c r="Y4038" s="10"/>
      <c r="Z4038" s="10"/>
      <c r="AA4038" s="10"/>
      <c r="AB4038" s="10"/>
      <c r="AC4038" s="10"/>
      <c r="AD4038" s="10"/>
      <c r="AE4038" s="10"/>
      <c r="AF4038" s="10"/>
      <c r="AG4038" s="10"/>
      <c r="AH4038" s="10"/>
    </row>
    <row r="4039" spans="1:34" ht="12.75" outlineLevel="1">
      <c r="A4039" s="11"/>
      <c r="B4039" s="12" t="str">
        <f>IFERROR(VLOOKUP(D4039,'[1]Перечень товаров'!$A$2:$I9525,2,0),"")</f>
        <v/>
      </c>
      <c r="C4039" s="12" t="str">
        <f>IFERROR(VLOOKUP(D4039,'[1]Перечень товаров'!$A$2:$I9525,3,0),"")</f>
        <v/>
      </c>
      <c r="D4039" s="27" t="s">
        <v>372</v>
      </c>
      <c r="E4039" s="14">
        <v>6.8</v>
      </c>
      <c r="F4039" s="14"/>
      <c r="G4039" s="17"/>
      <c r="H4039" s="17"/>
      <c r="I4039" s="57"/>
      <c r="J4039" s="57"/>
      <c r="K4039" s="19"/>
      <c r="L4039" s="20"/>
      <c r="M4039" s="10"/>
      <c r="N4039" s="10"/>
      <c r="O4039" s="10"/>
      <c r="P4039" s="10"/>
      <c r="Q4039" s="10"/>
      <c r="R4039" s="10"/>
      <c r="S4039" s="10"/>
      <c r="T4039" s="10"/>
      <c r="U4039" s="10"/>
      <c r="V4039" s="10"/>
      <c r="W4039" s="10"/>
      <c r="X4039" s="10"/>
      <c r="Y4039" s="10"/>
      <c r="Z4039" s="10"/>
      <c r="AA4039" s="10"/>
      <c r="AB4039" s="10"/>
      <c r="AC4039" s="10"/>
      <c r="AD4039" s="10"/>
      <c r="AE4039" s="10"/>
      <c r="AF4039" s="10"/>
      <c r="AG4039" s="10"/>
      <c r="AH4039" s="10"/>
    </row>
    <row r="4040" spans="1:34" outlineLevel="2">
      <c r="A4040" s="22"/>
      <c r="B4040" s="12" t="str">
        <f>IFERROR(VLOOKUP(D4040,'[1]Перечень товаров'!$A$2:$I9525,2,0),"")</f>
        <v>п25</v>
      </c>
      <c r="C4040" s="12" t="str">
        <f>IFERROR(VLOOKUP(D4040,'[1]Перечень товаров'!$A$2:$I9525,3,0),"")</f>
        <v>Прочее</v>
      </c>
      <c r="D4040" s="22" t="s">
        <v>360</v>
      </c>
      <c r="E4040" s="102"/>
      <c r="F4040" s="102"/>
      <c r="G4040" s="48">
        <v>3</v>
      </c>
      <c r="H4040" s="48"/>
      <c r="I4040" s="49"/>
      <c r="J4040" s="49"/>
      <c r="K4040" s="33"/>
      <c r="L4040" s="20"/>
      <c r="M4040" s="10"/>
      <c r="N4040" s="10"/>
      <c r="O4040" s="10"/>
      <c r="P4040" s="10"/>
      <c r="Q4040" s="10"/>
      <c r="R4040" s="10"/>
      <c r="S4040" s="10"/>
      <c r="T4040" s="10"/>
      <c r="U4040" s="10"/>
      <c r="V4040" s="10"/>
      <c r="W4040" s="10"/>
      <c r="X4040" s="10"/>
      <c r="Y4040" s="10"/>
      <c r="Z4040" s="10"/>
      <c r="AA4040" s="10"/>
      <c r="AB4040" s="10"/>
      <c r="AC4040" s="10"/>
      <c r="AD4040" s="10"/>
      <c r="AE4040" s="10"/>
      <c r="AF4040" s="10"/>
      <c r="AG4040" s="10"/>
      <c r="AH4040" s="10"/>
    </row>
    <row r="4041" spans="1:34" outlineLevel="2">
      <c r="A4041" s="21"/>
      <c r="B4041" s="12" t="str">
        <f>IFERROR(VLOOKUP(D4041,'[1]Перечень товаров'!$A$2:$I9525,2,0),"")</f>
        <v>п26</v>
      </c>
      <c r="C4041" s="12" t="str">
        <f>IFERROR(VLOOKUP(D4041,'[1]Перечень товаров'!$A$2:$I9525,3,0),"")</f>
        <v>Прочее</v>
      </c>
      <c r="D4041" s="22" t="s">
        <v>361</v>
      </c>
      <c r="E4041" s="102"/>
      <c r="F4041" s="102"/>
      <c r="G4041" s="48">
        <v>2</v>
      </c>
      <c r="H4041" s="48"/>
      <c r="I4041" s="49"/>
      <c r="J4041" s="49"/>
      <c r="K4041" s="33"/>
      <c r="L4041" s="20"/>
      <c r="M4041" s="10"/>
      <c r="N4041" s="10"/>
      <c r="O4041" s="10"/>
      <c r="P4041" s="10"/>
      <c r="Q4041" s="10"/>
      <c r="R4041" s="10"/>
      <c r="S4041" s="10"/>
      <c r="T4041" s="10"/>
      <c r="U4041" s="10"/>
      <c r="V4041" s="10"/>
      <c r="W4041" s="10"/>
      <c r="X4041" s="10"/>
      <c r="Y4041" s="10"/>
      <c r="Z4041" s="10"/>
      <c r="AA4041" s="10"/>
      <c r="AB4041" s="10"/>
      <c r="AC4041" s="10"/>
      <c r="AD4041" s="10"/>
      <c r="AE4041" s="10"/>
      <c r="AF4041" s="10"/>
      <c r="AG4041" s="10"/>
      <c r="AH4041" s="10"/>
    </row>
    <row r="4042" spans="1:34" outlineLevel="2">
      <c r="A4042" s="21"/>
      <c r="B4042" s="12" t="str">
        <f>IFERROR(VLOOKUP(D4042,'[1]Перечень товаров'!$A$2:$I9525,2,0),"")</f>
        <v>п27</v>
      </c>
      <c r="C4042" s="12" t="str">
        <f>IFERROR(VLOOKUP(D4042,'[1]Перечень товаров'!$A$2:$I9525,3,0),"")</f>
        <v>Прочее</v>
      </c>
      <c r="D4042" s="22" t="s">
        <v>362</v>
      </c>
      <c r="E4042" s="102"/>
      <c r="F4042" s="102"/>
      <c r="G4042" s="48">
        <v>2</v>
      </c>
      <c r="H4042" s="48"/>
      <c r="I4042" s="49"/>
      <c r="J4042" s="49"/>
      <c r="K4042" s="33"/>
      <c r="L4042" s="20"/>
      <c r="M4042" s="10"/>
      <c r="N4042" s="10"/>
      <c r="O4042" s="10"/>
      <c r="P4042" s="10"/>
      <c r="Q4042" s="10"/>
      <c r="R4042" s="10"/>
      <c r="S4042" s="10"/>
      <c r="T4042" s="10"/>
      <c r="U4042" s="10"/>
      <c r="V4042" s="10"/>
      <c r="W4042" s="10"/>
      <c r="X4042" s="10"/>
      <c r="Y4042" s="10"/>
      <c r="Z4042" s="10"/>
      <c r="AA4042" s="10"/>
      <c r="AB4042" s="10"/>
      <c r="AC4042" s="10"/>
      <c r="AD4042" s="10"/>
      <c r="AE4042" s="10"/>
      <c r="AF4042" s="10"/>
      <c r="AG4042" s="10"/>
      <c r="AH4042" s="10"/>
    </row>
    <row r="4043" spans="1:34" outlineLevel="2">
      <c r="A4043" s="21"/>
      <c r="B4043" s="12" t="str">
        <f>IFERROR(VLOOKUP(D4043,'[1]Перечень товаров'!$A$2:$I9525,2,0),"")</f>
        <v>п28</v>
      </c>
      <c r="C4043" s="12" t="str">
        <f>IFERROR(VLOOKUP(D4043,'[1]Перечень товаров'!$A$2:$I9525,3,0),"")</f>
        <v>Прочее</v>
      </c>
      <c r="D4043" s="22" t="s">
        <v>363</v>
      </c>
      <c r="E4043" s="102"/>
      <c r="F4043" s="102"/>
      <c r="G4043" s="48">
        <v>1</v>
      </c>
      <c r="H4043" s="48"/>
      <c r="I4043" s="49"/>
      <c r="J4043" s="49"/>
      <c r="K4043" s="33"/>
      <c r="L4043" s="20"/>
      <c r="M4043" s="10"/>
      <c r="N4043" s="10"/>
      <c r="O4043" s="10"/>
      <c r="P4043" s="10"/>
      <c r="Q4043" s="10"/>
      <c r="R4043" s="10"/>
      <c r="S4043" s="10"/>
      <c r="T4043" s="10"/>
      <c r="U4043" s="10"/>
      <c r="V4043" s="10"/>
      <c r="W4043" s="10"/>
      <c r="X4043" s="10"/>
      <c r="Y4043" s="10"/>
      <c r="Z4043" s="10"/>
      <c r="AA4043" s="10"/>
      <c r="AB4043" s="10"/>
      <c r="AC4043" s="10"/>
      <c r="AD4043" s="10"/>
      <c r="AE4043" s="10"/>
      <c r="AF4043" s="10"/>
      <c r="AG4043" s="10"/>
      <c r="AH4043" s="10"/>
    </row>
    <row r="4044" spans="1:34" outlineLevel="2">
      <c r="A4044" s="21"/>
      <c r="B4044" s="12" t="str">
        <f>IFERROR(VLOOKUP(D4044,'[1]Перечень товаров'!$A$2:$I9525,2,0),"")</f>
        <v>п29</v>
      </c>
      <c r="C4044" s="12" t="str">
        <f>IFERROR(VLOOKUP(D4044,'[1]Перечень товаров'!$A$2:$I9525,3,0),"")</f>
        <v>Прочее</v>
      </c>
      <c r="D4044" s="22" t="s">
        <v>364</v>
      </c>
      <c r="E4044" s="102"/>
      <c r="F4044" s="102"/>
      <c r="G4044" s="48">
        <v>6</v>
      </c>
      <c r="H4044" s="48"/>
      <c r="I4044" s="49"/>
      <c r="J4044" s="49"/>
      <c r="K4044" s="33"/>
      <c r="L4044" s="20"/>
      <c r="M4044" s="10"/>
      <c r="N4044" s="10"/>
      <c r="O4044" s="10"/>
      <c r="P4044" s="10"/>
      <c r="Q4044" s="10"/>
      <c r="R4044" s="10"/>
      <c r="S4044" s="10"/>
      <c r="T4044" s="10"/>
      <c r="U4044" s="10"/>
      <c r="V4044" s="10"/>
      <c r="W4044" s="10"/>
      <c r="X4044" s="10"/>
      <c r="Y4044" s="10"/>
      <c r="Z4044" s="10"/>
      <c r="AA4044" s="10"/>
      <c r="AB4044" s="10"/>
      <c r="AC4044" s="10"/>
      <c r="AD4044" s="10"/>
      <c r="AE4044" s="10"/>
      <c r="AF4044" s="10"/>
      <c r="AG4044" s="10"/>
      <c r="AH4044" s="10"/>
    </row>
    <row r="4045" spans="1:34" outlineLevel="2">
      <c r="A4045" s="21"/>
      <c r="B4045" s="12" t="str">
        <f>IFERROR(VLOOKUP(D4045,'[1]Перечень товаров'!$A$2:$I9525,2,0),"")</f>
        <v>п30</v>
      </c>
      <c r="C4045" s="12" t="str">
        <f>IFERROR(VLOOKUP(D4045,'[1]Перечень товаров'!$A$2:$I9525,3,0),"")</f>
        <v>Прочее</v>
      </c>
      <c r="D4045" s="22" t="s">
        <v>365</v>
      </c>
      <c r="E4045" s="102"/>
      <c r="F4045" s="102"/>
      <c r="G4045" s="48">
        <v>2</v>
      </c>
      <c r="H4045" s="48"/>
      <c r="I4045" s="49"/>
      <c r="J4045" s="49"/>
      <c r="K4045" s="33"/>
      <c r="L4045" s="20"/>
      <c r="M4045" s="10"/>
      <c r="N4045" s="10"/>
      <c r="O4045" s="10"/>
      <c r="P4045" s="10"/>
      <c r="Q4045" s="10"/>
      <c r="R4045" s="10"/>
      <c r="S4045" s="10"/>
      <c r="T4045" s="10"/>
      <c r="U4045" s="10"/>
      <c r="V4045" s="10"/>
      <c r="W4045" s="10"/>
      <c r="X4045" s="10"/>
      <c r="Y4045" s="10"/>
      <c r="Z4045" s="10"/>
      <c r="AA4045" s="10"/>
      <c r="AB4045" s="10"/>
      <c r="AC4045" s="10"/>
      <c r="AD4045" s="10"/>
      <c r="AE4045" s="10"/>
      <c r="AF4045" s="10"/>
      <c r="AG4045" s="10"/>
      <c r="AH4045" s="10"/>
    </row>
    <row r="4046" spans="1:34" ht="31.5" outlineLevel="2">
      <c r="A4046" s="21"/>
      <c r="B4046" s="12" t="str">
        <f>IFERROR(VLOOKUP(D4046,'[1]Перечень товаров'!$A$2:$I9525,2,0),"")</f>
        <v>п31</v>
      </c>
      <c r="C4046" s="12" t="str">
        <f>IFERROR(VLOOKUP(D4046,'[1]Перечень товаров'!$A$2:$I9525,3,0),"")</f>
        <v>Прочее</v>
      </c>
      <c r="D4046" s="22" t="s">
        <v>366</v>
      </c>
      <c r="E4046" s="102"/>
      <c r="F4046" s="102"/>
      <c r="G4046" s="48">
        <v>1</v>
      </c>
      <c r="H4046" s="48"/>
      <c r="I4046" s="49"/>
      <c r="J4046" s="49"/>
      <c r="K4046" s="33"/>
      <c r="L4046" s="20"/>
      <c r="M4046" s="10"/>
      <c r="N4046" s="10"/>
      <c r="O4046" s="10"/>
      <c r="P4046" s="10"/>
      <c r="Q4046" s="10"/>
      <c r="R4046" s="10"/>
      <c r="S4046" s="10"/>
      <c r="T4046" s="10"/>
      <c r="U4046" s="10"/>
      <c r="V4046" s="10"/>
      <c r="W4046" s="10"/>
      <c r="X4046" s="10"/>
      <c r="Y4046" s="10"/>
      <c r="Z4046" s="10"/>
      <c r="AA4046" s="10"/>
      <c r="AB4046" s="10"/>
      <c r="AC4046" s="10"/>
      <c r="AD4046" s="10"/>
      <c r="AE4046" s="10"/>
      <c r="AF4046" s="10"/>
      <c r="AG4046" s="10"/>
      <c r="AH4046" s="10"/>
    </row>
    <row r="4047" spans="1:34" ht="31.5" outlineLevel="2">
      <c r="A4047" s="21"/>
      <c r="B4047" s="12" t="str">
        <f>IFERROR(VLOOKUP(D4047,'[1]Перечень товаров'!$A$2:$I9525,2,0),"")</f>
        <v>п32</v>
      </c>
      <c r="C4047" s="12" t="str">
        <f>IFERROR(VLOOKUP(D4047,'[1]Перечень товаров'!$A$2:$I9525,3,0),"")</f>
        <v>Прочее</v>
      </c>
      <c r="D4047" s="22" t="s">
        <v>367</v>
      </c>
      <c r="E4047" s="102"/>
      <c r="F4047" s="102"/>
      <c r="G4047" s="48">
        <v>2</v>
      </c>
      <c r="H4047" s="48"/>
      <c r="I4047" s="49"/>
      <c r="J4047" s="49"/>
      <c r="K4047" s="33"/>
      <c r="L4047" s="20"/>
      <c r="M4047" s="10"/>
      <c r="N4047" s="10"/>
      <c r="O4047" s="10"/>
      <c r="P4047" s="10"/>
      <c r="Q4047" s="10"/>
      <c r="R4047" s="10"/>
      <c r="S4047" s="10"/>
      <c r="T4047" s="10"/>
      <c r="U4047" s="10"/>
      <c r="V4047" s="10"/>
      <c r="W4047" s="10"/>
      <c r="X4047" s="10"/>
      <c r="Y4047" s="10"/>
      <c r="Z4047" s="10"/>
      <c r="AA4047" s="10"/>
      <c r="AB4047" s="10"/>
      <c r="AC4047" s="10"/>
      <c r="AD4047" s="10"/>
      <c r="AE4047" s="10"/>
      <c r="AF4047" s="10"/>
      <c r="AG4047" s="10"/>
      <c r="AH4047" s="10"/>
    </row>
    <row r="4048" spans="1:34" outlineLevel="1">
      <c r="A4048" s="21"/>
      <c r="B4048" s="12" t="str">
        <f>IFERROR(VLOOKUP(D4048,'[1]Перечень товаров'!$A$2:$I9525,2,0),"")</f>
        <v/>
      </c>
      <c r="C4048" s="12" t="str">
        <f>IFERROR(VLOOKUP(D4048,'[1]Перечень товаров'!$A$2:$I9525,3,0),"")</f>
        <v/>
      </c>
      <c r="D4048" s="22" t="s">
        <v>11</v>
      </c>
      <c r="E4048" s="23">
        <v>7.5</v>
      </c>
      <c r="F4048" s="23"/>
      <c r="G4048" s="24"/>
      <c r="H4048" s="24"/>
      <c r="I4048" s="25"/>
      <c r="J4048" s="25"/>
      <c r="K4048" s="19"/>
      <c r="L4048" s="20"/>
      <c r="M4048" s="10"/>
      <c r="N4048" s="10"/>
      <c r="O4048" s="10"/>
      <c r="P4048" s="10"/>
      <c r="Q4048" s="10"/>
      <c r="R4048" s="10"/>
      <c r="S4048" s="10"/>
      <c r="T4048" s="10"/>
      <c r="U4048" s="10"/>
      <c r="V4048" s="10"/>
      <c r="W4048" s="10"/>
      <c r="X4048" s="10"/>
      <c r="Y4048" s="10"/>
      <c r="Z4048" s="10"/>
      <c r="AA4048" s="10"/>
      <c r="AB4048" s="10"/>
      <c r="AC4048" s="10"/>
      <c r="AD4048" s="10"/>
      <c r="AE4048" s="10"/>
      <c r="AF4048" s="10"/>
      <c r="AG4048" s="10"/>
      <c r="AH4048" s="10"/>
    </row>
    <row r="4049" spans="1:34" ht="12.75" outlineLevel="1">
      <c r="A4049" s="11"/>
      <c r="B4049" s="12" t="str">
        <f>IFERROR(VLOOKUP(D4049,'[1]Перечень товаров'!$A$2:$I9525,2,0),"")</f>
        <v/>
      </c>
      <c r="C4049" s="12" t="str">
        <f>IFERROR(VLOOKUP(D4049,'[1]Перечень товаров'!$A$2:$I9525,3,0),"")</f>
        <v/>
      </c>
      <c r="D4049" s="27" t="s">
        <v>529</v>
      </c>
      <c r="E4049" s="14">
        <v>6.5</v>
      </c>
      <c r="F4049" s="14"/>
      <c r="G4049" s="17"/>
      <c r="H4049" s="17"/>
      <c r="I4049" s="57"/>
      <c r="J4049" s="57"/>
      <c r="K4049" s="19"/>
      <c r="L4049" s="20"/>
      <c r="M4049" s="10"/>
      <c r="N4049" s="10"/>
      <c r="O4049" s="10"/>
      <c r="P4049" s="10"/>
      <c r="Q4049" s="10"/>
      <c r="R4049" s="10"/>
      <c r="S4049" s="10"/>
      <c r="T4049" s="10"/>
      <c r="U4049" s="10"/>
      <c r="V4049" s="10"/>
      <c r="W4049" s="10"/>
      <c r="X4049" s="10"/>
      <c r="Y4049" s="10"/>
      <c r="Z4049" s="10"/>
      <c r="AA4049" s="10"/>
      <c r="AB4049" s="10"/>
      <c r="AC4049" s="10"/>
      <c r="AD4049" s="10"/>
      <c r="AE4049" s="10"/>
      <c r="AF4049" s="10"/>
      <c r="AG4049" s="10"/>
      <c r="AH4049" s="10"/>
    </row>
    <row r="4050" spans="1:34" outlineLevel="2">
      <c r="A4050" s="22"/>
      <c r="B4050" s="12" t="str">
        <f>IFERROR(VLOOKUP(D4050,'[1]Перечень товаров'!$A$2:$I9525,2,0),"")</f>
        <v>п25</v>
      </c>
      <c r="C4050" s="12" t="str">
        <f>IFERROR(VLOOKUP(D4050,'[1]Перечень товаров'!$A$2:$I9525,3,0),"")</f>
        <v>Прочее</v>
      </c>
      <c r="D4050" s="22" t="s">
        <v>360</v>
      </c>
      <c r="E4050" s="102"/>
      <c r="F4050" s="102"/>
      <c r="G4050" s="48">
        <v>3</v>
      </c>
      <c r="H4050" s="48"/>
      <c r="I4050" s="49"/>
      <c r="J4050" s="49"/>
      <c r="K4050" s="33"/>
      <c r="L4050" s="20"/>
      <c r="M4050" s="10"/>
      <c r="N4050" s="10"/>
      <c r="O4050" s="10"/>
      <c r="P4050" s="10"/>
      <c r="Q4050" s="10"/>
      <c r="R4050" s="10"/>
      <c r="S4050" s="10"/>
      <c r="T4050" s="10"/>
      <c r="U4050" s="10"/>
      <c r="V4050" s="10"/>
      <c r="W4050" s="10"/>
      <c r="X4050" s="10"/>
      <c r="Y4050" s="10"/>
      <c r="Z4050" s="10"/>
      <c r="AA4050" s="10"/>
      <c r="AB4050" s="10"/>
      <c r="AC4050" s="10"/>
      <c r="AD4050" s="10"/>
      <c r="AE4050" s="10"/>
      <c r="AF4050" s="10"/>
      <c r="AG4050" s="10"/>
      <c r="AH4050" s="10"/>
    </row>
    <row r="4051" spans="1:34" outlineLevel="2">
      <c r="A4051" s="21"/>
      <c r="B4051" s="12" t="str">
        <f>IFERROR(VLOOKUP(D4051,'[1]Перечень товаров'!$A$2:$I9525,2,0),"")</f>
        <v>п26</v>
      </c>
      <c r="C4051" s="12" t="str">
        <f>IFERROR(VLOOKUP(D4051,'[1]Перечень товаров'!$A$2:$I9525,3,0),"")</f>
        <v>Прочее</v>
      </c>
      <c r="D4051" s="22" t="s">
        <v>361</v>
      </c>
      <c r="E4051" s="102"/>
      <c r="F4051" s="102"/>
      <c r="G4051" s="48">
        <v>2</v>
      </c>
      <c r="H4051" s="48"/>
      <c r="I4051" s="49"/>
      <c r="J4051" s="49"/>
      <c r="K4051" s="33"/>
      <c r="L4051" s="20"/>
      <c r="M4051" s="10"/>
      <c r="N4051" s="10"/>
      <c r="O4051" s="10"/>
      <c r="P4051" s="10"/>
      <c r="Q4051" s="10"/>
      <c r="R4051" s="10"/>
      <c r="S4051" s="10"/>
      <c r="T4051" s="10"/>
      <c r="U4051" s="10"/>
      <c r="V4051" s="10"/>
      <c r="W4051" s="10"/>
      <c r="X4051" s="10"/>
      <c r="Y4051" s="10"/>
      <c r="Z4051" s="10"/>
      <c r="AA4051" s="10"/>
      <c r="AB4051" s="10"/>
      <c r="AC4051" s="10"/>
      <c r="AD4051" s="10"/>
      <c r="AE4051" s="10"/>
      <c r="AF4051" s="10"/>
      <c r="AG4051" s="10"/>
      <c r="AH4051" s="10"/>
    </row>
    <row r="4052" spans="1:34" outlineLevel="2">
      <c r="A4052" s="21"/>
      <c r="B4052" s="12" t="str">
        <f>IFERROR(VLOOKUP(D4052,'[1]Перечень товаров'!$A$2:$I9525,2,0),"")</f>
        <v>п27</v>
      </c>
      <c r="C4052" s="12" t="str">
        <f>IFERROR(VLOOKUP(D4052,'[1]Перечень товаров'!$A$2:$I9525,3,0),"")</f>
        <v>Прочее</v>
      </c>
      <c r="D4052" s="22" t="s">
        <v>362</v>
      </c>
      <c r="E4052" s="102"/>
      <c r="F4052" s="102"/>
      <c r="G4052" s="48">
        <v>2</v>
      </c>
      <c r="H4052" s="48"/>
      <c r="I4052" s="49"/>
      <c r="J4052" s="49"/>
      <c r="K4052" s="33"/>
      <c r="L4052" s="20"/>
      <c r="M4052" s="10"/>
      <c r="N4052" s="10"/>
      <c r="O4052" s="10"/>
      <c r="P4052" s="10"/>
      <c r="Q4052" s="10"/>
      <c r="R4052" s="10"/>
      <c r="S4052" s="10"/>
      <c r="T4052" s="10"/>
      <c r="U4052" s="10"/>
      <c r="V4052" s="10"/>
      <c r="W4052" s="10"/>
      <c r="X4052" s="10"/>
      <c r="Y4052" s="10"/>
      <c r="Z4052" s="10"/>
      <c r="AA4052" s="10"/>
      <c r="AB4052" s="10"/>
      <c r="AC4052" s="10"/>
      <c r="AD4052" s="10"/>
      <c r="AE4052" s="10"/>
      <c r="AF4052" s="10"/>
      <c r="AG4052" s="10"/>
      <c r="AH4052" s="10"/>
    </row>
    <row r="4053" spans="1:34" outlineLevel="2">
      <c r="A4053" s="21"/>
      <c r="B4053" s="12" t="str">
        <f>IFERROR(VLOOKUP(D4053,'[1]Перечень товаров'!$A$2:$I9525,2,0),"")</f>
        <v>п28</v>
      </c>
      <c r="C4053" s="12" t="str">
        <f>IFERROR(VLOOKUP(D4053,'[1]Перечень товаров'!$A$2:$I9525,3,0),"")</f>
        <v>Прочее</v>
      </c>
      <c r="D4053" s="22" t="s">
        <v>363</v>
      </c>
      <c r="E4053" s="102"/>
      <c r="F4053" s="102"/>
      <c r="G4053" s="48">
        <v>1</v>
      </c>
      <c r="H4053" s="48"/>
      <c r="I4053" s="49"/>
      <c r="J4053" s="49"/>
      <c r="K4053" s="33"/>
      <c r="L4053" s="20"/>
      <c r="M4053" s="10"/>
      <c r="N4053" s="10"/>
      <c r="O4053" s="10"/>
      <c r="P4053" s="10"/>
      <c r="Q4053" s="10"/>
      <c r="R4053" s="10"/>
      <c r="S4053" s="10"/>
      <c r="T4053" s="10"/>
      <c r="U4053" s="10"/>
      <c r="V4053" s="10"/>
      <c r="W4053" s="10"/>
      <c r="X4053" s="10"/>
      <c r="Y4053" s="10"/>
      <c r="Z4053" s="10"/>
      <c r="AA4053" s="10"/>
      <c r="AB4053" s="10"/>
      <c r="AC4053" s="10"/>
      <c r="AD4053" s="10"/>
      <c r="AE4053" s="10"/>
      <c r="AF4053" s="10"/>
      <c r="AG4053" s="10"/>
      <c r="AH4053" s="10"/>
    </row>
    <row r="4054" spans="1:34" outlineLevel="2">
      <c r="A4054" s="21"/>
      <c r="B4054" s="12" t="str">
        <f>IFERROR(VLOOKUP(D4054,'[1]Перечень товаров'!$A$2:$I9525,2,0),"")</f>
        <v>п29</v>
      </c>
      <c r="C4054" s="12" t="str">
        <f>IFERROR(VLOOKUP(D4054,'[1]Перечень товаров'!$A$2:$I9525,3,0),"")</f>
        <v>Прочее</v>
      </c>
      <c r="D4054" s="22" t="s">
        <v>364</v>
      </c>
      <c r="E4054" s="102"/>
      <c r="F4054" s="102"/>
      <c r="G4054" s="48">
        <v>6</v>
      </c>
      <c r="H4054" s="48"/>
      <c r="I4054" s="49"/>
      <c r="J4054" s="49"/>
      <c r="K4054" s="33"/>
      <c r="L4054" s="20"/>
      <c r="M4054" s="10"/>
      <c r="N4054" s="10"/>
      <c r="O4054" s="10"/>
      <c r="P4054" s="10"/>
      <c r="Q4054" s="10"/>
      <c r="R4054" s="10"/>
      <c r="S4054" s="10"/>
      <c r="T4054" s="10"/>
      <c r="U4054" s="10"/>
      <c r="V4054" s="10"/>
      <c r="W4054" s="10"/>
      <c r="X4054" s="10"/>
      <c r="Y4054" s="10"/>
      <c r="Z4054" s="10"/>
      <c r="AA4054" s="10"/>
      <c r="AB4054" s="10"/>
      <c r="AC4054" s="10"/>
      <c r="AD4054" s="10"/>
      <c r="AE4054" s="10"/>
      <c r="AF4054" s="10"/>
      <c r="AG4054" s="10"/>
      <c r="AH4054" s="10"/>
    </row>
    <row r="4055" spans="1:34" outlineLevel="2">
      <c r="A4055" s="21"/>
      <c r="B4055" s="12" t="str">
        <f>IFERROR(VLOOKUP(D4055,'[1]Перечень товаров'!$A$2:$I9525,2,0),"")</f>
        <v>п30</v>
      </c>
      <c r="C4055" s="12" t="str">
        <f>IFERROR(VLOOKUP(D4055,'[1]Перечень товаров'!$A$2:$I9525,3,0),"")</f>
        <v>Прочее</v>
      </c>
      <c r="D4055" s="22" t="s">
        <v>365</v>
      </c>
      <c r="E4055" s="102"/>
      <c r="F4055" s="102"/>
      <c r="G4055" s="48">
        <v>2</v>
      </c>
      <c r="H4055" s="48"/>
      <c r="I4055" s="49"/>
      <c r="J4055" s="49"/>
      <c r="K4055" s="33"/>
      <c r="L4055" s="20"/>
      <c r="M4055" s="10"/>
      <c r="N4055" s="10"/>
      <c r="O4055" s="10"/>
      <c r="P4055" s="10"/>
      <c r="Q4055" s="10"/>
      <c r="R4055" s="10"/>
      <c r="S4055" s="10"/>
      <c r="T4055" s="10"/>
      <c r="U4055" s="10"/>
      <c r="V4055" s="10"/>
      <c r="W4055" s="10"/>
      <c r="X4055" s="10"/>
      <c r="Y4055" s="10"/>
      <c r="Z4055" s="10"/>
      <c r="AA4055" s="10"/>
      <c r="AB4055" s="10"/>
      <c r="AC4055" s="10"/>
      <c r="AD4055" s="10"/>
      <c r="AE4055" s="10"/>
      <c r="AF4055" s="10"/>
      <c r="AG4055" s="10"/>
      <c r="AH4055" s="10"/>
    </row>
    <row r="4056" spans="1:34" ht="31.5" outlineLevel="2">
      <c r="A4056" s="21"/>
      <c r="B4056" s="12" t="str">
        <f>IFERROR(VLOOKUP(D4056,'[1]Перечень товаров'!$A$2:$I9525,2,0),"")</f>
        <v>п31</v>
      </c>
      <c r="C4056" s="12" t="str">
        <f>IFERROR(VLOOKUP(D4056,'[1]Перечень товаров'!$A$2:$I9525,3,0),"")</f>
        <v>Прочее</v>
      </c>
      <c r="D4056" s="22" t="s">
        <v>366</v>
      </c>
      <c r="E4056" s="102"/>
      <c r="F4056" s="102"/>
      <c r="G4056" s="48">
        <v>1</v>
      </c>
      <c r="H4056" s="48"/>
      <c r="I4056" s="49"/>
      <c r="J4056" s="49"/>
      <c r="K4056" s="33"/>
      <c r="L4056" s="20"/>
      <c r="M4056" s="10"/>
      <c r="N4056" s="10"/>
      <c r="O4056" s="10"/>
      <c r="P4056" s="10"/>
      <c r="Q4056" s="10"/>
      <c r="R4056" s="10"/>
      <c r="S4056" s="10"/>
      <c r="T4056" s="10"/>
      <c r="U4056" s="10"/>
      <c r="V4056" s="10"/>
      <c r="W4056" s="10"/>
      <c r="X4056" s="10"/>
      <c r="Y4056" s="10"/>
      <c r="Z4056" s="10"/>
      <c r="AA4056" s="10"/>
      <c r="AB4056" s="10"/>
      <c r="AC4056" s="10"/>
      <c r="AD4056" s="10"/>
      <c r="AE4056" s="10"/>
      <c r="AF4056" s="10"/>
      <c r="AG4056" s="10"/>
      <c r="AH4056" s="10"/>
    </row>
    <row r="4057" spans="1:34" ht="31.5" outlineLevel="2">
      <c r="A4057" s="21"/>
      <c r="B4057" s="12" t="str">
        <f>IFERROR(VLOOKUP(D4057,'[1]Перечень товаров'!$A$2:$I9525,2,0),"")</f>
        <v>п32</v>
      </c>
      <c r="C4057" s="12" t="str">
        <f>IFERROR(VLOOKUP(D4057,'[1]Перечень товаров'!$A$2:$I9525,3,0),"")</f>
        <v>Прочее</v>
      </c>
      <c r="D4057" s="22" t="s">
        <v>367</v>
      </c>
      <c r="E4057" s="102"/>
      <c r="F4057" s="102"/>
      <c r="G4057" s="48">
        <v>2</v>
      </c>
      <c r="H4057" s="48"/>
      <c r="I4057" s="49"/>
      <c r="J4057" s="49"/>
      <c r="K4057" s="33"/>
      <c r="L4057" s="20"/>
      <c r="M4057" s="10"/>
      <c r="N4057" s="10"/>
      <c r="O4057" s="10"/>
      <c r="P4057" s="10"/>
      <c r="Q4057" s="10"/>
      <c r="R4057" s="10"/>
      <c r="S4057" s="10"/>
      <c r="T4057" s="10"/>
      <c r="U4057" s="10"/>
      <c r="V4057" s="10"/>
      <c r="W4057" s="10"/>
      <c r="X4057" s="10"/>
      <c r="Y4057" s="10"/>
      <c r="Z4057" s="10"/>
      <c r="AA4057" s="10"/>
      <c r="AB4057" s="10"/>
      <c r="AC4057" s="10"/>
      <c r="AD4057" s="10"/>
      <c r="AE4057" s="10"/>
      <c r="AF4057" s="10"/>
      <c r="AG4057" s="10"/>
      <c r="AH4057" s="10"/>
    </row>
    <row r="4058" spans="1:34" ht="12.75" outlineLevel="1">
      <c r="A4058" s="11"/>
      <c r="B4058" s="12" t="str">
        <f>IFERROR(VLOOKUP(D4058,'[1]Перечень товаров'!$A$2:$I9525,2,0),"")</f>
        <v/>
      </c>
      <c r="C4058" s="12" t="str">
        <f>IFERROR(VLOOKUP(D4058,'[1]Перечень товаров'!$A$2:$I9525,3,0),"")</f>
        <v/>
      </c>
      <c r="D4058" s="27" t="s">
        <v>990</v>
      </c>
      <c r="E4058" s="14">
        <v>3.7</v>
      </c>
      <c r="F4058" s="14"/>
      <c r="G4058" s="17"/>
      <c r="H4058" s="17"/>
      <c r="I4058" s="57"/>
      <c r="J4058" s="57"/>
      <c r="K4058" s="19"/>
      <c r="L4058" s="20"/>
      <c r="M4058" s="10"/>
      <c r="N4058" s="10"/>
      <c r="O4058" s="10"/>
      <c r="P4058" s="10"/>
      <c r="Q4058" s="10"/>
      <c r="R4058" s="10"/>
      <c r="S4058" s="10"/>
      <c r="T4058" s="10"/>
      <c r="U4058" s="10"/>
      <c r="V4058" s="10"/>
      <c r="W4058" s="10"/>
      <c r="X4058" s="10"/>
      <c r="Y4058" s="10"/>
      <c r="Z4058" s="10"/>
      <c r="AA4058" s="10"/>
      <c r="AB4058" s="10"/>
      <c r="AC4058" s="10"/>
      <c r="AD4058" s="10"/>
      <c r="AE4058" s="10"/>
      <c r="AF4058" s="10"/>
      <c r="AG4058" s="10"/>
      <c r="AH4058" s="10"/>
    </row>
    <row r="4059" spans="1:34" outlineLevel="2">
      <c r="A4059" s="22"/>
      <c r="B4059" s="12" t="str">
        <f>IFERROR(VLOOKUP(D4059,'[1]Перечень товаров'!$A$2:$I9525,2,0),"")</f>
        <v>п25</v>
      </c>
      <c r="C4059" s="12" t="str">
        <f>IFERROR(VLOOKUP(D4059,'[1]Перечень товаров'!$A$2:$I9525,3,0),"")</f>
        <v>Прочее</v>
      </c>
      <c r="D4059" s="22" t="s">
        <v>360</v>
      </c>
      <c r="E4059" s="102"/>
      <c r="F4059" s="102"/>
      <c r="G4059" s="48">
        <v>3</v>
      </c>
      <c r="H4059" s="48"/>
      <c r="I4059" s="49"/>
      <c r="J4059" s="49"/>
      <c r="K4059" s="33"/>
      <c r="L4059" s="20"/>
      <c r="M4059" s="10"/>
      <c r="N4059" s="10"/>
      <c r="O4059" s="10"/>
      <c r="P4059" s="10"/>
      <c r="Q4059" s="10"/>
      <c r="R4059" s="10"/>
      <c r="S4059" s="10"/>
      <c r="T4059" s="10"/>
      <c r="U4059" s="10"/>
      <c r="V4059" s="10"/>
      <c r="W4059" s="10"/>
      <c r="X4059" s="10"/>
      <c r="Y4059" s="10"/>
      <c r="Z4059" s="10"/>
      <c r="AA4059" s="10"/>
      <c r="AB4059" s="10"/>
      <c r="AC4059" s="10"/>
      <c r="AD4059" s="10"/>
      <c r="AE4059" s="10"/>
      <c r="AF4059" s="10"/>
      <c r="AG4059" s="10"/>
      <c r="AH4059" s="10"/>
    </row>
    <row r="4060" spans="1:34" outlineLevel="2">
      <c r="A4060" s="21"/>
      <c r="B4060" s="12" t="str">
        <f>IFERROR(VLOOKUP(D4060,'[1]Перечень товаров'!$A$2:$I9525,2,0),"")</f>
        <v>п26</v>
      </c>
      <c r="C4060" s="12" t="str">
        <f>IFERROR(VLOOKUP(D4060,'[1]Перечень товаров'!$A$2:$I9525,3,0),"")</f>
        <v>Прочее</v>
      </c>
      <c r="D4060" s="22" t="s">
        <v>361</v>
      </c>
      <c r="E4060" s="102"/>
      <c r="F4060" s="102"/>
      <c r="G4060" s="48">
        <v>2</v>
      </c>
      <c r="H4060" s="48"/>
      <c r="I4060" s="49"/>
      <c r="J4060" s="49"/>
      <c r="K4060" s="33"/>
      <c r="L4060" s="20"/>
      <c r="M4060" s="10"/>
      <c r="N4060" s="10"/>
      <c r="O4060" s="10"/>
      <c r="P4060" s="10"/>
      <c r="Q4060" s="10"/>
      <c r="R4060" s="10"/>
      <c r="S4060" s="10"/>
      <c r="T4060" s="10"/>
      <c r="U4060" s="10"/>
      <c r="V4060" s="10"/>
      <c r="W4060" s="10"/>
      <c r="X4060" s="10"/>
      <c r="Y4060" s="10"/>
      <c r="Z4060" s="10"/>
      <c r="AA4060" s="10"/>
      <c r="AB4060" s="10"/>
      <c r="AC4060" s="10"/>
      <c r="AD4060" s="10"/>
      <c r="AE4060" s="10"/>
      <c r="AF4060" s="10"/>
      <c r="AG4060" s="10"/>
      <c r="AH4060" s="10"/>
    </row>
    <row r="4061" spans="1:34" outlineLevel="2">
      <c r="A4061" s="21"/>
      <c r="B4061" s="12" t="str">
        <f>IFERROR(VLOOKUP(D4061,'[1]Перечень товаров'!$A$2:$I9525,2,0),"")</f>
        <v>п27</v>
      </c>
      <c r="C4061" s="12" t="str">
        <f>IFERROR(VLOOKUP(D4061,'[1]Перечень товаров'!$A$2:$I9525,3,0),"")</f>
        <v>Прочее</v>
      </c>
      <c r="D4061" s="22" t="s">
        <v>362</v>
      </c>
      <c r="E4061" s="102"/>
      <c r="F4061" s="102"/>
      <c r="G4061" s="48">
        <v>2</v>
      </c>
      <c r="H4061" s="48"/>
      <c r="I4061" s="49"/>
      <c r="J4061" s="49"/>
      <c r="K4061" s="33"/>
      <c r="L4061" s="20"/>
      <c r="M4061" s="10"/>
      <c r="N4061" s="10"/>
      <c r="O4061" s="10"/>
      <c r="P4061" s="10"/>
      <c r="Q4061" s="10"/>
      <c r="R4061" s="10"/>
      <c r="S4061" s="10"/>
      <c r="T4061" s="10"/>
      <c r="U4061" s="10"/>
      <c r="V4061" s="10"/>
      <c r="W4061" s="10"/>
      <c r="X4061" s="10"/>
      <c r="Y4061" s="10"/>
      <c r="Z4061" s="10"/>
      <c r="AA4061" s="10"/>
      <c r="AB4061" s="10"/>
      <c r="AC4061" s="10"/>
      <c r="AD4061" s="10"/>
      <c r="AE4061" s="10"/>
      <c r="AF4061" s="10"/>
      <c r="AG4061" s="10"/>
      <c r="AH4061" s="10"/>
    </row>
    <row r="4062" spans="1:34" outlineLevel="2">
      <c r="A4062" s="21"/>
      <c r="B4062" s="12" t="str">
        <f>IFERROR(VLOOKUP(D4062,'[1]Перечень товаров'!$A$2:$I9525,2,0),"")</f>
        <v>п28</v>
      </c>
      <c r="C4062" s="12" t="str">
        <f>IFERROR(VLOOKUP(D4062,'[1]Перечень товаров'!$A$2:$I9525,3,0),"")</f>
        <v>Прочее</v>
      </c>
      <c r="D4062" s="22" t="s">
        <v>363</v>
      </c>
      <c r="E4062" s="102"/>
      <c r="F4062" s="102"/>
      <c r="G4062" s="48">
        <v>1</v>
      </c>
      <c r="H4062" s="48"/>
      <c r="I4062" s="49"/>
      <c r="J4062" s="49"/>
      <c r="K4062" s="33"/>
      <c r="L4062" s="20"/>
      <c r="M4062" s="10"/>
      <c r="N4062" s="10"/>
      <c r="O4062" s="10"/>
      <c r="P4062" s="10"/>
      <c r="Q4062" s="10"/>
      <c r="R4062" s="10"/>
      <c r="S4062" s="10"/>
      <c r="T4062" s="10"/>
      <c r="U4062" s="10"/>
      <c r="V4062" s="10"/>
      <c r="W4062" s="10"/>
      <c r="X4062" s="10"/>
      <c r="Y4062" s="10"/>
      <c r="Z4062" s="10"/>
      <c r="AA4062" s="10"/>
      <c r="AB4062" s="10"/>
      <c r="AC4062" s="10"/>
      <c r="AD4062" s="10"/>
      <c r="AE4062" s="10"/>
      <c r="AF4062" s="10"/>
      <c r="AG4062" s="10"/>
      <c r="AH4062" s="10"/>
    </row>
    <row r="4063" spans="1:34" outlineLevel="2">
      <c r="A4063" s="21"/>
      <c r="B4063" s="12" t="str">
        <f>IFERROR(VLOOKUP(D4063,'[1]Перечень товаров'!$A$2:$I9525,2,0),"")</f>
        <v>п29</v>
      </c>
      <c r="C4063" s="12" t="str">
        <f>IFERROR(VLOOKUP(D4063,'[1]Перечень товаров'!$A$2:$I9525,3,0),"")</f>
        <v>Прочее</v>
      </c>
      <c r="D4063" s="22" t="s">
        <v>364</v>
      </c>
      <c r="E4063" s="102"/>
      <c r="F4063" s="102"/>
      <c r="G4063" s="48">
        <v>6</v>
      </c>
      <c r="H4063" s="48"/>
      <c r="I4063" s="49"/>
      <c r="J4063" s="49"/>
      <c r="K4063" s="33"/>
      <c r="L4063" s="20"/>
      <c r="M4063" s="10"/>
      <c r="N4063" s="10"/>
      <c r="O4063" s="10"/>
      <c r="P4063" s="10"/>
      <c r="Q4063" s="10"/>
      <c r="R4063" s="10"/>
      <c r="S4063" s="10"/>
      <c r="T4063" s="10"/>
      <c r="U4063" s="10"/>
      <c r="V4063" s="10"/>
      <c r="W4063" s="10"/>
      <c r="X4063" s="10"/>
      <c r="Y4063" s="10"/>
      <c r="Z4063" s="10"/>
      <c r="AA4063" s="10"/>
      <c r="AB4063" s="10"/>
      <c r="AC4063" s="10"/>
      <c r="AD4063" s="10"/>
      <c r="AE4063" s="10"/>
      <c r="AF4063" s="10"/>
      <c r="AG4063" s="10"/>
      <c r="AH4063" s="10"/>
    </row>
    <row r="4064" spans="1:34" outlineLevel="2">
      <c r="A4064" s="21"/>
      <c r="B4064" s="12" t="str">
        <f>IFERROR(VLOOKUP(D4064,'[1]Перечень товаров'!$A$2:$I9525,2,0),"")</f>
        <v>п30</v>
      </c>
      <c r="C4064" s="12" t="str">
        <f>IFERROR(VLOOKUP(D4064,'[1]Перечень товаров'!$A$2:$I9525,3,0),"")</f>
        <v>Прочее</v>
      </c>
      <c r="D4064" s="22" t="s">
        <v>365</v>
      </c>
      <c r="E4064" s="102"/>
      <c r="F4064" s="102"/>
      <c r="G4064" s="48">
        <v>2</v>
      </c>
      <c r="H4064" s="48"/>
      <c r="I4064" s="49"/>
      <c r="J4064" s="49"/>
      <c r="K4064" s="33"/>
      <c r="L4064" s="20"/>
      <c r="M4064" s="10"/>
      <c r="N4064" s="10"/>
      <c r="O4064" s="10"/>
      <c r="P4064" s="10"/>
      <c r="Q4064" s="10"/>
      <c r="R4064" s="10"/>
      <c r="S4064" s="10"/>
      <c r="T4064" s="10"/>
      <c r="U4064" s="10"/>
      <c r="V4064" s="10"/>
      <c r="W4064" s="10"/>
      <c r="X4064" s="10"/>
      <c r="Y4064" s="10"/>
      <c r="Z4064" s="10"/>
      <c r="AA4064" s="10"/>
      <c r="AB4064" s="10"/>
      <c r="AC4064" s="10"/>
      <c r="AD4064" s="10"/>
      <c r="AE4064" s="10"/>
      <c r="AF4064" s="10"/>
      <c r="AG4064" s="10"/>
      <c r="AH4064" s="10"/>
    </row>
    <row r="4065" spans="1:34" ht="31.5" outlineLevel="2">
      <c r="A4065" s="21"/>
      <c r="B4065" s="12" t="str">
        <f>IFERROR(VLOOKUP(D4065,'[1]Перечень товаров'!$A$2:$I9525,2,0),"")</f>
        <v>п31</v>
      </c>
      <c r="C4065" s="12" t="str">
        <f>IFERROR(VLOOKUP(D4065,'[1]Перечень товаров'!$A$2:$I9525,3,0),"")</f>
        <v>Прочее</v>
      </c>
      <c r="D4065" s="22" t="s">
        <v>366</v>
      </c>
      <c r="E4065" s="102"/>
      <c r="F4065" s="102"/>
      <c r="G4065" s="48">
        <v>1</v>
      </c>
      <c r="H4065" s="48"/>
      <c r="I4065" s="49"/>
      <c r="J4065" s="49"/>
      <c r="K4065" s="33"/>
      <c r="L4065" s="20"/>
      <c r="M4065" s="10"/>
      <c r="N4065" s="10"/>
      <c r="O4065" s="10"/>
      <c r="P4065" s="10"/>
      <c r="Q4065" s="10"/>
      <c r="R4065" s="10"/>
      <c r="S4065" s="10"/>
      <c r="T4065" s="10"/>
      <c r="U4065" s="10"/>
      <c r="V4065" s="10"/>
      <c r="W4065" s="10"/>
      <c r="X4065" s="10"/>
      <c r="Y4065" s="10"/>
      <c r="Z4065" s="10"/>
      <c r="AA4065" s="10"/>
      <c r="AB4065" s="10"/>
      <c r="AC4065" s="10"/>
      <c r="AD4065" s="10"/>
      <c r="AE4065" s="10"/>
      <c r="AF4065" s="10"/>
      <c r="AG4065" s="10"/>
      <c r="AH4065" s="10"/>
    </row>
    <row r="4066" spans="1:34" ht="31.5" outlineLevel="2">
      <c r="A4066" s="21"/>
      <c r="B4066" s="12" t="str">
        <f>IFERROR(VLOOKUP(D4066,'[1]Перечень товаров'!$A$2:$I9525,2,0),"")</f>
        <v>п32</v>
      </c>
      <c r="C4066" s="12" t="str">
        <f>IFERROR(VLOOKUP(D4066,'[1]Перечень товаров'!$A$2:$I9525,3,0),"")</f>
        <v>Прочее</v>
      </c>
      <c r="D4066" s="22" t="s">
        <v>367</v>
      </c>
      <c r="E4066" s="102"/>
      <c r="F4066" s="102"/>
      <c r="G4066" s="48">
        <v>2</v>
      </c>
      <c r="H4066" s="48"/>
      <c r="I4066" s="49"/>
      <c r="J4066" s="49"/>
      <c r="K4066" s="33"/>
      <c r="L4066" s="20"/>
      <c r="M4066" s="10"/>
      <c r="N4066" s="10"/>
      <c r="O4066" s="10"/>
      <c r="P4066" s="10"/>
      <c r="Q4066" s="10"/>
      <c r="R4066" s="10"/>
      <c r="S4066" s="10"/>
      <c r="T4066" s="10"/>
      <c r="U4066" s="10"/>
      <c r="V4066" s="10"/>
      <c r="W4066" s="10"/>
      <c r="X4066" s="10"/>
      <c r="Y4066" s="10"/>
      <c r="Z4066" s="10"/>
      <c r="AA4066" s="10"/>
      <c r="AB4066" s="10"/>
      <c r="AC4066" s="10"/>
      <c r="AD4066" s="10"/>
      <c r="AE4066" s="10"/>
      <c r="AF4066" s="10"/>
      <c r="AG4066" s="10"/>
      <c r="AH4066" s="10"/>
    </row>
    <row r="4067" spans="1:34" ht="12.75" outlineLevel="1">
      <c r="A4067" s="89"/>
      <c r="B4067" s="12" t="str">
        <f>IFERROR(VLOOKUP(D4067,'[1]Перечень товаров'!$A$2:$I9525,2,0),"")</f>
        <v/>
      </c>
      <c r="C4067" s="12" t="str">
        <f>IFERROR(VLOOKUP(D4067,'[1]Перечень товаров'!$A$2:$I9525,3,0),"")</f>
        <v/>
      </c>
      <c r="D4067" s="90" t="s">
        <v>1133</v>
      </c>
      <c r="E4067" s="91">
        <v>20.6</v>
      </c>
      <c r="F4067" s="91"/>
      <c r="G4067" s="17"/>
      <c r="H4067" s="17"/>
      <c r="I4067" s="57"/>
      <c r="J4067" s="57"/>
      <c r="K4067" s="19"/>
      <c r="L4067" s="20"/>
      <c r="M4067" s="10"/>
      <c r="N4067" s="10"/>
      <c r="O4067" s="10"/>
      <c r="P4067" s="10"/>
      <c r="Q4067" s="10"/>
      <c r="R4067" s="10"/>
      <c r="S4067" s="10"/>
      <c r="T4067" s="10"/>
      <c r="U4067" s="10"/>
      <c r="V4067" s="10"/>
      <c r="W4067" s="10"/>
      <c r="X4067" s="10"/>
      <c r="Y4067" s="10"/>
      <c r="Z4067" s="10"/>
      <c r="AA4067" s="10"/>
      <c r="AB4067" s="10"/>
      <c r="AC4067" s="10"/>
      <c r="AD4067" s="10"/>
      <c r="AE4067" s="10"/>
      <c r="AF4067" s="10"/>
      <c r="AG4067" s="10"/>
      <c r="AH4067" s="10"/>
    </row>
    <row r="4068" spans="1:34" ht="15" outlineLevel="2">
      <c r="A4068" s="109"/>
      <c r="B4068" s="12" t="str">
        <f>IFERROR(VLOOKUP(D4068,'[1]Перечень товаров'!$A$2:$I9525,2,0),"")</f>
        <v/>
      </c>
      <c r="C4068" s="12" t="str">
        <f>IFERROR(VLOOKUP(D4068,'[1]Перечень товаров'!$A$2:$I9525,3,0),"")</f>
        <v/>
      </c>
      <c r="D4068" s="110" t="s">
        <v>27</v>
      </c>
      <c r="E4068" s="45"/>
      <c r="F4068" s="45"/>
      <c r="G4068" s="111"/>
      <c r="H4068" s="111"/>
      <c r="I4068" s="112"/>
      <c r="J4068" s="112"/>
      <c r="K4068" s="19"/>
      <c r="L4068" s="20"/>
      <c r="M4068" s="10"/>
      <c r="N4068" s="10"/>
      <c r="O4068" s="10"/>
      <c r="P4068" s="10"/>
      <c r="Q4068" s="10"/>
      <c r="R4068" s="10"/>
      <c r="S4068" s="10"/>
      <c r="T4068" s="10"/>
      <c r="U4068" s="10"/>
      <c r="V4068" s="10"/>
      <c r="W4068" s="10"/>
      <c r="X4068" s="10"/>
      <c r="Y4068" s="10"/>
      <c r="Z4068" s="10"/>
      <c r="AA4068" s="10"/>
      <c r="AB4068" s="10"/>
      <c r="AC4068" s="10"/>
      <c r="AD4068" s="10"/>
      <c r="AE4068" s="10"/>
      <c r="AF4068" s="10"/>
      <c r="AG4068" s="10"/>
      <c r="AH4068" s="10"/>
    </row>
    <row r="4069" spans="1:34" outlineLevel="2">
      <c r="A4069" s="21"/>
      <c r="B4069" s="12" t="str">
        <f>IFERROR(VLOOKUP(D4069,'[1]Перечень товаров'!$A$2:$I9525,2,0),"")</f>
        <v>т1</v>
      </c>
      <c r="C4069" s="12" t="str">
        <f>IFERROR(VLOOKUP(D4069,'[1]Перечень товаров'!$A$2:$I9525,3,0),"")</f>
        <v xml:space="preserve">Техника </v>
      </c>
      <c r="D4069" s="22" t="s">
        <v>28</v>
      </c>
      <c r="E4069" s="58"/>
      <c r="F4069" s="58"/>
      <c r="G4069" s="48">
        <v>1</v>
      </c>
      <c r="H4069" s="48"/>
      <c r="I4069" s="49"/>
      <c r="J4069" s="49"/>
      <c r="K4069" s="19"/>
      <c r="L4069" s="20"/>
      <c r="M4069" s="10"/>
      <c r="N4069" s="10"/>
      <c r="O4069" s="10"/>
      <c r="P4069" s="10"/>
      <c r="Q4069" s="10"/>
      <c r="R4069" s="10"/>
      <c r="S4069" s="10"/>
      <c r="T4069" s="10"/>
      <c r="U4069" s="10"/>
      <c r="V4069" s="10"/>
      <c r="W4069" s="10"/>
      <c r="X4069" s="10"/>
      <c r="Y4069" s="10"/>
      <c r="Z4069" s="10"/>
      <c r="AA4069" s="10"/>
      <c r="AB4069" s="10"/>
      <c r="AC4069" s="10"/>
      <c r="AD4069" s="10"/>
      <c r="AE4069" s="10"/>
      <c r="AF4069" s="10"/>
      <c r="AG4069" s="10"/>
      <c r="AH4069" s="10"/>
    </row>
    <row r="4070" spans="1:34" outlineLevel="2">
      <c r="A4070" s="143"/>
      <c r="B4070" s="12" t="str">
        <f>IFERROR(VLOOKUP(D4070,'[1]Перечень товаров'!$A$2:$I9525,2,0),"")</f>
        <v>т9</v>
      </c>
      <c r="C4070" s="12" t="str">
        <f>IFERROR(VLOOKUP(D4070,'[1]Перечень товаров'!$A$2:$I9525,3,0),"")</f>
        <v>Техника</v>
      </c>
      <c r="D4070" s="143" t="s">
        <v>36</v>
      </c>
      <c r="E4070" s="58"/>
      <c r="F4070" s="58"/>
      <c r="G4070" s="48">
        <v>1</v>
      </c>
      <c r="H4070" s="48"/>
      <c r="I4070" s="49"/>
      <c r="J4070" s="49"/>
      <c r="K4070" s="19"/>
      <c r="L4070" s="20"/>
      <c r="M4070" s="10"/>
      <c r="N4070" s="10"/>
      <c r="O4070" s="10"/>
      <c r="P4070" s="10"/>
      <c r="Q4070" s="10"/>
      <c r="R4070" s="10"/>
      <c r="S4070" s="10"/>
      <c r="T4070" s="10"/>
      <c r="U4070" s="10"/>
      <c r="V4070" s="10"/>
      <c r="W4070" s="10"/>
      <c r="X4070" s="10"/>
      <c r="Y4070" s="10"/>
      <c r="Z4070" s="10"/>
      <c r="AA4070" s="10"/>
      <c r="AB4070" s="10"/>
      <c r="AC4070" s="10"/>
      <c r="AD4070" s="10"/>
      <c r="AE4070" s="10"/>
      <c r="AF4070" s="10"/>
      <c r="AG4070" s="10"/>
      <c r="AH4070" s="10"/>
    </row>
    <row r="4071" spans="1:34" outlineLevel="2">
      <c r="A4071" s="35"/>
      <c r="B4071" s="12" t="str">
        <f>IFERROR(VLOOKUP(D4071,'[1]Перечень товаров'!$A$2:$I9525,2,0),"")</f>
        <v>т2</v>
      </c>
      <c r="C4071" s="12" t="str">
        <f>IFERROR(VLOOKUP(D4071,'[1]Перечень товаров'!$A$2:$I9525,3,0),"")</f>
        <v xml:space="preserve">Техника </v>
      </c>
      <c r="D4071" s="35" t="s">
        <v>29</v>
      </c>
      <c r="E4071" s="58"/>
      <c r="F4071" s="58"/>
      <c r="G4071" s="48">
        <v>1</v>
      </c>
      <c r="H4071" s="48"/>
      <c r="I4071" s="49"/>
      <c r="J4071" s="49"/>
      <c r="K4071" s="19"/>
      <c r="L4071" s="20"/>
      <c r="M4071" s="10"/>
      <c r="N4071" s="10"/>
      <c r="O4071" s="10"/>
      <c r="P4071" s="10"/>
      <c r="Q4071" s="10"/>
      <c r="R4071" s="10"/>
      <c r="S4071" s="10"/>
      <c r="T4071" s="10"/>
      <c r="U4071" s="10"/>
      <c r="V4071" s="10"/>
      <c r="W4071" s="10"/>
      <c r="X4071" s="10"/>
      <c r="Y4071" s="10"/>
      <c r="Z4071" s="10"/>
      <c r="AA4071" s="10"/>
      <c r="AB4071" s="10"/>
      <c r="AC4071" s="10"/>
      <c r="AD4071" s="10"/>
      <c r="AE4071" s="10"/>
      <c r="AF4071" s="10"/>
      <c r="AG4071" s="10"/>
      <c r="AH4071" s="10"/>
    </row>
    <row r="4072" spans="1:34" outlineLevel="2">
      <c r="A4072" s="35"/>
      <c r="B4072" s="12" t="str">
        <f>IFERROR(VLOOKUP(D4072,'[1]Перечень товаров'!$A$2:$I9525,2,0),"")</f>
        <v>т3</v>
      </c>
      <c r="C4072" s="12" t="str">
        <f>IFERROR(VLOOKUP(D4072,'[1]Перечень товаров'!$A$2:$I9525,3,0),"")</f>
        <v xml:space="preserve">Техника </v>
      </c>
      <c r="D4072" s="35" t="s">
        <v>30</v>
      </c>
      <c r="E4072" s="58"/>
      <c r="F4072" s="58"/>
      <c r="G4072" s="48">
        <v>1</v>
      </c>
      <c r="H4072" s="48"/>
      <c r="I4072" s="49"/>
      <c r="J4072" s="49"/>
      <c r="K4072" s="19"/>
      <c r="L4072" s="20"/>
      <c r="M4072" s="10"/>
      <c r="N4072" s="10"/>
      <c r="O4072" s="10"/>
      <c r="P4072" s="10"/>
      <c r="Q4072" s="10"/>
      <c r="R4072" s="10"/>
      <c r="S4072" s="10"/>
      <c r="T4072" s="10"/>
      <c r="U4072" s="10"/>
      <c r="V4072" s="10"/>
      <c r="W4072" s="10"/>
      <c r="X4072" s="10"/>
      <c r="Y4072" s="10"/>
      <c r="Z4072" s="10"/>
      <c r="AA4072" s="10"/>
      <c r="AB4072" s="10"/>
      <c r="AC4072" s="10"/>
      <c r="AD4072" s="10"/>
      <c r="AE4072" s="10"/>
      <c r="AF4072" s="10"/>
      <c r="AG4072" s="10"/>
      <c r="AH4072" s="10"/>
    </row>
    <row r="4073" spans="1:34" outlineLevel="2">
      <c r="A4073" s="35"/>
      <c r="B4073" s="12" t="str">
        <f>IFERROR(VLOOKUP(D4073,'[1]Перечень товаров'!$A$2:$I9525,2,0),"")</f>
        <v>т4</v>
      </c>
      <c r="C4073" s="12" t="str">
        <f>IFERROR(VLOOKUP(D4073,'[1]Перечень товаров'!$A$2:$I9525,3,0),"")</f>
        <v xml:space="preserve">Техника </v>
      </c>
      <c r="D4073" s="35" t="s">
        <v>31</v>
      </c>
      <c r="E4073" s="58"/>
      <c r="F4073" s="58"/>
      <c r="G4073" s="48">
        <v>1</v>
      </c>
      <c r="H4073" s="48"/>
      <c r="I4073" s="49"/>
      <c r="J4073" s="49"/>
      <c r="K4073" s="19"/>
      <c r="L4073" s="20"/>
      <c r="M4073" s="10"/>
      <c r="N4073" s="10"/>
      <c r="O4073" s="10"/>
      <c r="P4073" s="10"/>
      <c r="Q4073" s="10"/>
      <c r="R4073" s="10"/>
      <c r="S4073" s="10"/>
      <c r="T4073" s="10"/>
      <c r="U4073" s="10"/>
      <c r="V4073" s="10"/>
      <c r="W4073" s="10"/>
      <c r="X4073" s="10"/>
      <c r="Y4073" s="10"/>
      <c r="Z4073" s="10"/>
      <c r="AA4073" s="10"/>
      <c r="AB4073" s="10"/>
      <c r="AC4073" s="10"/>
      <c r="AD4073" s="10"/>
      <c r="AE4073" s="10"/>
      <c r="AF4073" s="10"/>
      <c r="AG4073" s="10"/>
      <c r="AH4073" s="10"/>
    </row>
    <row r="4074" spans="1:34" outlineLevel="2">
      <c r="A4074" s="21"/>
      <c r="B4074" s="12" t="str">
        <f>IFERROR(VLOOKUP(D4074,'[1]Перечень товаров'!$A$2:$I9525,2,0),"")</f>
        <v>тм65</v>
      </c>
      <c r="C4074" s="12" t="str">
        <f>IFERROR(VLOOKUP(D4074,'[1]Перечень товаров'!$A$2:$I9525,3,0),"")</f>
        <v>Техника муз</v>
      </c>
      <c r="D4074" s="22" t="s">
        <v>380</v>
      </c>
      <c r="E4074" s="58"/>
      <c r="F4074" s="58"/>
      <c r="G4074" s="48">
        <v>1</v>
      </c>
      <c r="H4074" s="48"/>
      <c r="I4074" s="49"/>
      <c r="J4074" s="49"/>
      <c r="K4074" s="19"/>
      <c r="L4074" s="20"/>
      <c r="M4074" s="10"/>
      <c r="N4074" s="10"/>
      <c r="O4074" s="10"/>
      <c r="P4074" s="10"/>
      <c r="Q4074" s="10"/>
      <c r="R4074" s="10"/>
      <c r="S4074" s="10"/>
      <c r="T4074" s="10"/>
      <c r="U4074" s="10"/>
      <c r="V4074" s="10"/>
      <c r="W4074" s="10"/>
      <c r="X4074" s="10"/>
      <c r="Y4074" s="10"/>
      <c r="Z4074" s="10"/>
      <c r="AA4074" s="10"/>
      <c r="AB4074" s="10"/>
      <c r="AC4074" s="10"/>
      <c r="AD4074" s="10"/>
      <c r="AE4074" s="10"/>
      <c r="AF4074" s="10"/>
      <c r="AG4074" s="10"/>
      <c r="AH4074" s="10"/>
    </row>
    <row r="4075" spans="1:34" outlineLevel="2">
      <c r="A4075" s="21"/>
      <c r="B4075" s="12" t="str">
        <f>IFERROR(VLOOKUP(D4075,'[1]Перечень товаров'!$A$2:$I9525,2,0),"")</f>
        <v>т12</v>
      </c>
      <c r="C4075" s="12" t="str">
        <f>IFERROR(VLOOKUP(D4075,'[1]Перечень товаров'!$A$2:$I9525,3,0),"")</f>
        <v>Техника</v>
      </c>
      <c r="D4075" s="22" t="s">
        <v>49</v>
      </c>
      <c r="E4075" s="58"/>
      <c r="F4075" s="58"/>
      <c r="G4075" s="48">
        <v>1</v>
      </c>
      <c r="H4075" s="48"/>
      <c r="I4075" s="49"/>
      <c r="J4075" s="49"/>
      <c r="K4075" s="19"/>
      <c r="L4075" s="20"/>
      <c r="M4075" s="10"/>
      <c r="N4075" s="10"/>
      <c r="O4075" s="10"/>
      <c r="P4075" s="10"/>
      <c r="Q4075" s="10"/>
      <c r="R4075" s="10"/>
      <c r="S4075" s="10"/>
      <c r="T4075" s="10"/>
      <c r="U4075" s="10"/>
      <c r="V4075" s="10"/>
      <c r="W4075" s="10"/>
      <c r="X4075" s="10"/>
      <c r="Y4075" s="10"/>
      <c r="Z4075" s="10"/>
      <c r="AA4075" s="10"/>
      <c r="AB4075" s="10"/>
      <c r="AC4075" s="10"/>
      <c r="AD4075" s="10"/>
      <c r="AE4075" s="10"/>
      <c r="AF4075" s="10"/>
      <c r="AG4075" s="10"/>
      <c r="AH4075" s="10"/>
    </row>
    <row r="4076" spans="1:34" outlineLevel="2">
      <c r="A4076" s="35"/>
      <c r="B4076" s="12" t="str">
        <f>IFERROR(VLOOKUP(D4076,'[1]Перечень товаров'!$A$2:$I9525,2,0),"")</f>
        <v>т6</v>
      </c>
      <c r="C4076" s="12" t="str">
        <f>IFERROR(VLOOKUP(D4076,'[1]Перечень товаров'!$A$2:$I9525,3,0),"")</f>
        <v xml:space="preserve">Техника </v>
      </c>
      <c r="D4076" s="35" t="s">
        <v>33</v>
      </c>
      <c r="E4076" s="58"/>
      <c r="F4076" s="58"/>
      <c r="G4076" s="48">
        <v>1</v>
      </c>
      <c r="H4076" s="48"/>
      <c r="I4076" s="49"/>
      <c r="J4076" s="49"/>
      <c r="K4076" s="19"/>
      <c r="L4076" s="20"/>
      <c r="M4076" s="10"/>
      <c r="N4076" s="10"/>
      <c r="O4076" s="10"/>
      <c r="P4076" s="10"/>
      <c r="Q4076" s="10"/>
      <c r="R4076" s="10"/>
      <c r="S4076" s="10"/>
      <c r="T4076" s="10"/>
      <c r="U4076" s="10"/>
      <c r="V4076" s="10"/>
      <c r="W4076" s="10"/>
      <c r="X4076" s="10"/>
      <c r="Y4076" s="10"/>
      <c r="Z4076" s="10"/>
      <c r="AA4076" s="10"/>
      <c r="AB4076" s="10"/>
      <c r="AC4076" s="10"/>
      <c r="AD4076" s="10"/>
      <c r="AE4076" s="10"/>
      <c r="AF4076" s="10"/>
      <c r="AG4076" s="10"/>
      <c r="AH4076" s="10"/>
    </row>
    <row r="4077" spans="1:34" outlineLevel="2">
      <c r="A4077" s="21"/>
      <c r="B4077" s="12" t="str">
        <f>IFERROR(VLOOKUP(D4077,'[1]Перечень товаров'!$A$2:$I9525,2,0),"")</f>
        <v>т7</v>
      </c>
      <c r="C4077" s="12" t="str">
        <f>IFERROR(VLOOKUP(D4077,'[1]Перечень товаров'!$A$2:$I9525,3,0),"")</f>
        <v xml:space="preserve">Техника </v>
      </c>
      <c r="D4077" s="22" t="s">
        <v>34</v>
      </c>
      <c r="E4077" s="58"/>
      <c r="F4077" s="58"/>
      <c r="G4077" s="48">
        <v>3</v>
      </c>
      <c r="H4077" s="48"/>
      <c r="I4077" s="49"/>
      <c r="J4077" s="49"/>
      <c r="K4077" s="19"/>
      <c r="L4077" s="20"/>
      <c r="M4077" s="10"/>
      <c r="N4077" s="10"/>
      <c r="O4077" s="10"/>
      <c r="P4077" s="10"/>
      <c r="Q4077" s="10"/>
      <c r="R4077" s="10"/>
      <c r="S4077" s="10"/>
      <c r="T4077" s="10"/>
      <c r="U4077" s="10"/>
      <c r="V4077" s="10"/>
      <c r="W4077" s="10"/>
      <c r="X4077" s="10"/>
      <c r="Y4077" s="10"/>
      <c r="Z4077" s="10"/>
      <c r="AA4077" s="10"/>
      <c r="AB4077" s="10"/>
      <c r="AC4077" s="10"/>
      <c r="AD4077" s="10"/>
      <c r="AE4077" s="10"/>
      <c r="AF4077" s="10"/>
      <c r="AG4077" s="10"/>
      <c r="AH4077" s="10"/>
    </row>
    <row r="4078" spans="1:34" outlineLevel="2">
      <c r="A4078" s="28"/>
      <c r="B4078" s="12" t="str">
        <f>IFERROR(VLOOKUP(D4078,'[1]Перечень товаров'!$A$2:$I9525,2,0),"")</f>
        <v>т161</v>
      </c>
      <c r="C4078" s="12" t="str">
        <f>IFERROR(VLOOKUP(D4078,'[1]Перечень товаров'!$A$2:$I9525,3,0),"")</f>
        <v xml:space="preserve">Техника </v>
      </c>
      <c r="D4078" s="29" t="s">
        <v>381</v>
      </c>
      <c r="E4078" s="30"/>
      <c r="F4078" s="30"/>
      <c r="G4078" s="59">
        <v>1</v>
      </c>
      <c r="H4078" s="59"/>
      <c r="I4078" s="60"/>
      <c r="J4078" s="60"/>
      <c r="K4078" s="19"/>
      <c r="L4078" s="20"/>
      <c r="M4078" s="10"/>
      <c r="N4078" s="10"/>
      <c r="O4078" s="10"/>
      <c r="P4078" s="10"/>
      <c r="Q4078" s="10"/>
      <c r="R4078" s="10"/>
      <c r="S4078" s="10"/>
      <c r="T4078" s="10"/>
      <c r="U4078" s="10"/>
      <c r="V4078" s="10"/>
      <c r="W4078" s="10"/>
      <c r="X4078" s="10"/>
      <c r="Y4078" s="10"/>
      <c r="Z4078" s="10"/>
      <c r="AA4078" s="10"/>
      <c r="AB4078" s="10"/>
      <c r="AC4078" s="10"/>
      <c r="AD4078" s="10"/>
      <c r="AE4078" s="10"/>
      <c r="AF4078" s="10"/>
      <c r="AG4078" s="10"/>
      <c r="AH4078" s="10"/>
    </row>
    <row r="4079" spans="1:34" outlineLevel="2">
      <c r="A4079" s="113"/>
      <c r="B4079" s="12" t="str">
        <f>IFERROR(VLOOKUP(D4079,'[1]Перечень товаров'!$A$2:$I9525,2,0),"")</f>
        <v/>
      </c>
      <c r="C4079" s="12" t="str">
        <f>IFERROR(VLOOKUP(D4079,'[1]Перечень товаров'!$A$2:$I9525,3,0),"")</f>
        <v/>
      </c>
      <c r="D4079" s="114" t="s">
        <v>19</v>
      </c>
      <c r="E4079" s="115"/>
      <c r="F4079" s="115"/>
      <c r="G4079" s="59"/>
      <c r="H4079" s="59"/>
      <c r="I4079" s="60"/>
      <c r="J4079" s="60"/>
      <c r="K4079" s="19"/>
      <c r="L4079" s="20"/>
      <c r="M4079" s="10"/>
      <c r="N4079" s="10"/>
      <c r="O4079" s="10"/>
      <c r="P4079" s="10"/>
      <c r="Q4079" s="10"/>
      <c r="R4079" s="10"/>
      <c r="S4079" s="10"/>
      <c r="T4079" s="10"/>
      <c r="U4079" s="10"/>
      <c r="V4079" s="10"/>
      <c r="W4079" s="10"/>
      <c r="X4079" s="10"/>
      <c r="Y4079" s="10"/>
      <c r="Z4079" s="10"/>
      <c r="AA4079" s="10"/>
      <c r="AB4079" s="10"/>
      <c r="AC4079" s="10"/>
      <c r="AD4079" s="10"/>
      <c r="AE4079" s="10"/>
      <c r="AF4079" s="10"/>
      <c r="AG4079" s="10"/>
      <c r="AH4079" s="10"/>
    </row>
    <row r="4080" spans="1:34" outlineLevel="2">
      <c r="A4080" s="34"/>
      <c r="B4080" s="12" t="str">
        <f>IFERROR(VLOOKUP(D4080,'[1]Перечень товаров'!$A$2:$I9525,2,0),"")</f>
        <v>м62</v>
      </c>
      <c r="C4080" s="12" t="str">
        <f>IFERROR(VLOOKUP(D4080,'[1]Перечень товаров'!$A$2:$I9525,3,0),"")</f>
        <v>Мебель</v>
      </c>
      <c r="D4080" s="35" t="s">
        <v>398</v>
      </c>
      <c r="E4080" s="88"/>
      <c r="F4080" s="88"/>
      <c r="G4080" s="59">
        <v>1</v>
      </c>
      <c r="H4080" s="59"/>
      <c r="I4080" s="60"/>
      <c r="J4080" s="60"/>
      <c r="K4080" s="19"/>
      <c r="L4080" s="20"/>
      <c r="M4080" s="10"/>
      <c r="N4080" s="10"/>
      <c r="O4080" s="10"/>
      <c r="P4080" s="10"/>
      <c r="Q4080" s="10"/>
      <c r="R4080" s="10"/>
      <c r="S4080" s="10"/>
      <c r="T4080" s="10"/>
      <c r="U4080" s="10"/>
      <c r="V4080" s="10"/>
      <c r="W4080" s="10"/>
      <c r="X4080" s="10"/>
      <c r="Y4080" s="10"/>
      <c r="Z4080" s="10"/>
      <c r="AA4080" s="10"/>
      <c r="AB4080" s="10"/>
      <c r="AC4080" s="10"/>
      <c r="AD4080" s="10"/>
      <c r="AE4080" s="10"/>
      <c r="AF4080" s="10"/>
      <c r="AG4080" s="10"/>
      <c r="AH4080" s="10"/>
    </row>
    <row r="4081" spans="1:34" outlineLevel="2">
      <c r="A4081" s="34"/>
      <c r="B4081" s="12" t="str">
        <f>IFERROR(VLOOKUP(D4081,'[1]Перечень товаров'!$A$2:$I9525,2,0),"")</f>
        <v>м61</v>
      </c>
      <c r="C4081" s="12" t="str">
        <f>IFERROR(VLOOKUP(D4081,'[1]Перечень товаров'!$A$2:$I9525,3,0),"")</f>
        <v>Мебель</v>
      </c>
      <c r="D4081" s="35" t="s">
        <v>383</v>
      </c>
      <c r="E4081" s="88"/>
      <c r="F4081" s="88"/>
      <c r="G4081" s="59">
        <v>1</v>
      </c>
      <c r="H4081" s="59"/>
      <c r="I4081" s="60"/>
      <c r="J4081" s="60"/>
      <c r="K4081" s="19"/>
      <c r="L4081" s="20"/>
      <c r="M4081" s="10"/>
      <c r="N4081" s="10"/>
      <c r="O4081" s="10"/>
      <c r="P4081" s="10"/>
      <c r="Q4081" s="10"/>
      <c r="R4081" s="10"/>
      <c r="S4081" s="10"/>
      <c r="T4081" s="10"/>
      <c r="U4081" s="10"/>
      <c r="V4081" s="10"/>
      <c r="W4081" s="10"/>
      <c r="X4081" s="10"/>
      <c r="Y4081" s="10"/>
      <c r="Z4081" s="10"/>
      <c r="AA4081" s="10"/>
      <c r="AB4081" s="10"/>
      <c r="AC4081" s="10"/>
      <c r="AD4081" s="10"/>
      <c r="AE4081" s="10"/>
      <c r="AF4081" s="10"/>
      <c r="AG4081" s="10"/>
      <c r="AH4081" s="10"/>
    </row>
    <row r="4082" spans="1:34" outlineLevel="2">
      <c r="A4082" s="34"/>
      <c r="B4082" s="12" t="str">
        <f>IFERROR(VLOOKUP(D4082,'[1]Перечень товаров'!$A$2:$I9525,2,0),"")</f>
        <v>м179</v>
      </c>
      <c r="C4082" s="12" t="str">
        <f>IFERROR(VLOOKUP(D4082,'[1]Перечень товаров'!$A$2:$I9525,3,0),"")</f>
        <v>Мебель</v>
      </c>
      <c r="D4082" s="35" t="s">
        <v>579</v>
      </c>
      <c r="E4082" s="88"/>
      <c r="F4082" s="88"/>
      <c r="G4082" s="59">
        <v>10</v>
      </c>
      <c r="H4082" s="59"/>
      <c r="I4082" s="60"/>
      <c r="J4082" s="60"/>
      <c r="K4082" s="19"/>
      <c r="L4082" s="20"/>
      <c r="M4082" s="10"/>
      <c r="N4082" s="10"/>
      <c r="O4082" s="10"/>
      <c r="P4082" s="10"/>
      <c r="Q4082" s="10"/>
      <c r="R4082" s="10"/>
      <c r="S4082" s="10"/>
      <c r="T4082" s="10"/>
      <c r="U4082" s="10"/>
      <c r="V4082" s="10"/>
      <c r="W4082" s="10"/>
      <c r="X4082" s="10"/>
      <c r="Y4082" s="10"/>
      <c r="Z4082" s="10"/>
      <c r="AA4082" s="10"/>
      <c r="AB4082" s="10"/>
      <c r="AC4082" s="10"/>
      <c r="AD4082" s="10"/>
      <c r="AE4082" s="10"/>
      <c r="AF4082" s="10"/>
      <c r="AG4082" s="10"/>
      <c r="AH4082" s="10"/>
    </row>
    <row r="4083" spans="1:34" outlineLevel="2">
      <c r="A4083" s="34"/>
      <c r="B4083" s="12" t="str">
        <f>IFERROR(VLOOKUP(D4083,'[1]Перечень товаров'!$A$2:$I9525,2,0),"")</f>
        <v>м61</v>
      </c>
      <c r="C4083" s="12" t="str">
        <f>IFERROR(VLOOKUP(D4083,'[1]Перечень товаров'!$A$2:$I9525,3,0),"")</f>
        <v>Мебель</v>
      </c>
      <c r="D4083" s="35" t="s">
        <v>384</v>
      </c>
      <c r="E4083" s="88"/>
      <c r="F4083" s="88"/>
      <c r="G4083" s="59">
        <v>20</v>
      </c>
      <c r="H4083" s="59"/>
      <c r="I4083" s="60"/>
      <c r="J4083" s="60"/>
      <c r="K4083" s="19"/>
      <c r="L4083" s="20"/>
      <c r="M4083" s="10"/>
      <c r="N4083" s="10"/>
      <c r="O4083" s="10"/>
      <c r="P4083" s="10"/>
      <c r="Q4083" s="10"/>
      <c r="R4083" s="10"/>
      <c r="S4083" s="10"/>
      <c r="T4083" s="10"/>
      <c r="U4083" s="10"/>
      <c r="V4083" s="10"/>
      <c r="W4083" s="10"/>
      <c r="X4083" s="10"/>
      <c r="Y4083" s="10"/>
      <c r="Z4083" s="10"/>
      <c r="AA4083" s="10"/>
      <c r="AB4083" s="10"/>
      <c r="AC4083" s="10"/>
      <c r="AD4083" s="10"/>
      <c r="AE4083" s="10"/>
      <c r="AF4083" s="10"/>
      <c r="AG4083" s="10"/>
      <c r="AH4083" s="10"/>
    </row>
    <row r="4084" spans="1:34" outlineLevel="2">
      <c r="A4084" s="21"/>
      <c r="B4084" s="12" t="str">
        <f>IFERROR(VLOOKUP(D4084,'[1]Перечень товаров'!$A$2:$I9525,2,0),"")</f>
        <v>м13</v>
      </c>
      <c r="C4084" s="12" t="str">
        <f>IFERROR(VLOOKUP(D4084,'[1]Перечень товаров'!$A$2:$I9525,3,0),"")</f>
        <v>Мебель</v>
      </c>
      <c r="D4084" s="22" t="s">
        <v>42</v>
      </c>
      <c r="E4084" s="58"/>
      <c r="F4084" s="58"/>
      <c r="G4084" s="24">
        <v>1</v>
      </c>
      <c r="H4084" s="24"/>
      <c r="I4084" s="25"/>
      <c r="J4084" s="25"/>
      <c r="K4084" s="19"/>
      <c r="L4084" s="20"/>
      <c r="M4084" s="10"/>
      <c r="N4084" s="10"/>
      <c r="O4084" s="10"/>
      <c r="P4084" s="10"/>
      <c r="Q4084" s="10"/>
      <c r="R4084" s="10"/>
      <c r="S4084" s="10"/>
      <c r="T4084" s="10"/>
      <c r="U4084" s="10"/>
      <c r="V4084" s="10"/>
      <c r="W4084" s="10"/>
      <c r="X4084" s="10"/>
      <c r="Y4084" s="10"/>
      <c r="Z4084" s="10"/>
      <c r="AA4084" s="10"/>
      <c r="AB4084" s="10"/>
      <c r="AC4084" s="10"/>
      <c r="AD4084" s="10"/>
      <c r="AE4084" s="10"/>
      <c r="AF4084" s="10"/>
      <c r="AG4084" s="10"/>
      <c r="AH4084" s="10"/>
    </row>
    <row r="4085" spans="1:34" outlineLevel="2">
      <c r="A4085" s="21"/>
      <c r="B4085" s="12" t="str">
        <f>IFERROR(VLOOKUP(D4085,'[1]Перечень товаров'!$A$2:$I9525,2,0),"")</f>
        <v>м14</v>
      </c>
      <c r="C4085" s="12" t="str">
        <f>IFERROR(VLOOKUP(D4085,'[1]Перечень товаров'!$A$2:$I9525,3,0),"")</f>
        <v>Мебель</v>
      </c>
      <c r="D4085" s="22" t="s">
        <v>43</v>
      </c>
      <c r="E4085" s="58"/>
      <c r="F4085" s="58"/>
      <c r="G4085" s="24">
        <v>1</v>
      </c>
      <c r="H4085" s="24"/>
      <c r="I4085" s="25"/>
      <c r="J4085" s="25"/>
      <c r="K4085" s="19"/>
      <c r="L4085" s="20"/>
      <c r="M4085" s="10"/>
      <c r="N4085" s="10"/>
      <c r="O4085" s="10"/>
      <c r="P4085" s="10"/>
      <c r="Q4085" s="10"/>
      <c r="R4085" s="10"/>
      <c r="S4085" s="10"/>
      <c r="T4085" s="10"/>
      <c r="U4085" s="10"/>
      <c r="V4085" s="10"/>
      <c r="W4085" s="10"/>
      <c r="X4085" s="10"/>
      <c r="Y4085" s="10"/>
      <c r="Z4085" s="10"/>
      <c r="AA4085" s="10"/>
      <c r="AB4085" s="10"/>
      <c r="AC4085" s="10"/>
      <c r="AD4085" s="10"/>
      <c r="AE4085" s="10"/>
      <c r="AF4085" s="10"/>
      <c r="AG4085" s="10"/>
      <c r="AH4085" s="10"/>
    </row>
    <row r="4086" spans="1:34" outlineLevel="2">
      <c r="A4086" s="21"/>
      <c r="B4086" s="12" t="str">
        <f>IFERROR(VLOOKUP(D4086,'[1]Перечень товаров'!$A$2:$I9525,2,0),"")</f>
        <v>п2</v>
      </c>
      <c r="C4086" s="12" t="str">
        <f>IFERROR(VLOOKUP(D4086,'[1]Перечень товаров'!$A$2:$I9525,3,0),"")</f>
        <v>Прочее</v>
      </c>
      <c r="D4086" s="22" t="s">
        <v>46</v>
      </c>
      <c r="E4086" s="58"/>
      <c r="F4086" s="58"/>
      <c r="G4086" s="24">
        <v>1</v>
      </c>
      <c r="H4086" s="24"/>
      <c r="I4086" s="25"/>
      <c r="J4086" s="25"/>
      <c r="K4086" s="19"/>
      <c r="L4086" s="20"/>
      <c r="M4086" s="10"/>
      <c r="N4086" s="10"/>
      <c r="O4086" s="10"/>
      <c r="P4086" s="10"/>
      <c r="Q4086" s="10"/>
      <c r="R4086" s="10"/>
      <c r="S4086" s="10"/>
      <c r="T4086" s="10"/>
      <c r="U4086" s="10"/>
      <c r="V4086" s="10"/>
      <c r="W4086" s="10"/>
      <c r="X4086" s="10"/>
      <c r="Y4086" s="10"/>
      <c r="Z4086" s="10"/>
      <c r="AA4086" s="10"/>
      <c r="AB4086" s="10"/>
      <c r="AC4086" s="10"/>
      <c r="AD4086" s="10"/>
      <c r="AE4086" s="10"/>
      <c r="AF4086" s="10"/>
      <c r="AG4086" s="10"/>
      <c r="AH4086" s="10"/>
    </row>
    <row r="4087" spans="1:34" ht="31.5" outlineLevel="2">
      <c r="A4087" s="155"/>
      <c r="B4087" s="12" t="str">
        <f>IFERROR(VLOOKUP(D4087,'[1]Перечень товаров'!$A$2:$I9525,2,0),"")</f>
        <v>м21</v>
      </c>
      <c r="C4087" s="12" t="str">
        <f>IFERROR(VLOOKUP(D4087,'[1]Перечень товаров'!$A$2:$I9525,3,0),"")</f>
        <v>Мебель</v>
      </c>
      <c r="D4087" s="156" t="s">
        <v>58</v>
      </c>
      <c r="E4087" s="58"/>
      <c r="F4087" s="58"/>
      <c r="G4087" s="24">
        <v>1</v>
      </c>
      <c r="H4087" s="24"/>
      <c r="I4087" s="25"/>
      <c r="J4087" s="25"/>
      <c r="K4087" s="19"/>
      <c r="L4087" s="20"/>
      <c r="M4087" s="10"/>
      <c r="N4087" s="10"/>
      <c r="O4087" s="10"/>
      <c r="P4087" s="10"/>
      <c r="Q4087" s="10"/>
      <c r="R4087" s="10"/>
      <c r="S4087" s="10"/>
      <c r="T4087" s="10"/>
      <c r="U4087" s="10"/>
      <c r="V4087" s="10"/>
      <c r="W4087" s="10"/>
      <c r="X4087" s="10"/>
      <c r="Y4087" s="10"/>
      <c r="Z4087" s="10"/>
      <c r="AA4087" s="10"/>
      <c r="AB4087" s="10"/>
      <c r="AC4087" s="10"/>
      <c r="AD4087" s="10"/>
      <c r="AE4087" s="10"/>
      <c r="AF4087" s="10"/>
      <c r="AG4087" s="10"/>
      <c r="AH4087" s="10"/>
    </row>
    <row r="4088" spans="1:34" outlineLevel="2">
      <c r="A4088" s="116"/>
      <c r="B4088" s="12" t="str">
        <f>IFERROR(VLOOKUP(D4088,'[1]Перечень товаров'!$A$2:$I9525,2,0),"")</f>
        <v/>
      </c>
      <c r="C4088" s="12" t="str">
        <f>IFERROR(VLOOKUP(D4088,'[1]Перечень товаров'!$A$2:$I9525,3,0),"")</f>
        <v/>
      </c>
      <c r="D4088" s="117" t="s">
        <v>391</v>
      </c>
      <c r="E4088" s="217"/>
      <c r="F4088" s="217"/>
      <c r="G4088" s="59"/>
      <c r="H4088" s="59"/>
      <c r="I4088" s="60"/>
      <c r="J4088" s="60"/>
      <c r="K4088" s="19"/>
      <c r="L4088" s="20"/>
      <c r="M4088" s="10"/>
      <c r="N4088" s="10"/>
      <c r="O4088" s="10"/>
      <c r="P4088" s="10"/>
      <c r="Q4088" s="10"/>
      <c r="R4088" s="10"/>
      <c r="S4088" s="10"/>
      <c r="T4088" s="10"/>
      <c r="U4088" s="10"/>
      <c r="V4088" s="10"/>
      <c r="W4088" s="10"/>
      <c r="X4088" s="10"/>
      <c r="Y4088" s="10"/>
      <c r="Z4088" s="10"/>
      <c r="AA4088" s="10"/>
      <c r="AB4088" s="10"/>
      <c r="AC4088" s="10"/>
      <c r="AD4088" s="10"/>
      <c r="AE4088" s="10"/>
      <c r="AF4088" s="10"/>
      <c r="AG4088" s="10"/>
      <c r="AH4088" s="10"/>
    </row>
    <row r="4089" spans="1:34" outlineLevel="2">
      <c r="A4089" s="28"/>
      <c r="B4089" s="12" t="str">
        <f>IFERROR(VLOOKUP(D4089,'[1]Перечень товаров'!$A$2:$I9525,2,0),"")</f>
        <v>мм1</v>
      </c>
      <c r="C4089" s="12" t="str">
        <f>IFERROR(VLOOKUP(D4089,'[1]Перечень товаров'!$A$2:$I9525,3,0),"")</f>
        <v>Мебель муз</v>
      </c>
      <c r="D4089" s="29" t="s">
        <v>1134</v>
      </c>
      <c r="E4089" s="30"/>
      <c r="F4089" s="30"/>
      <c r="G4089" s="59">
        <v>1</v>
      </c>
      <c r="H4089" s="59"/>
      <c r="I4089" s="60"/>
      <c r="J4089" s="60"/>
      <c r="K4089" s="19"/>
      <c r="L4089" s="20"/>
      <c r="M4089" s="10"/>
      <c r="N4089" s="10"/>
      <c r="O4089" s="10"/>
      <c r="P4089" s="10"/>
      <c r="Q4089" s="10"/>
      <c r="R4089" s="10"/>
      <c r="S4089" s="10"/>
      <c r="T4089" s="10"/>
      <c r="U4089" s="10"/>
      <c r="V4089" s="10"/>
      <c r="W4089" s="10"/>
      <c r="X4089" s="10"/>
      <c r="Y4089" s="10"/>
      <c r="Z4089" s="10"/>
      <c r="AA4089" s="10"/>
      <c r="AB4089" s="10"/>
      <c r="AC4089" s="10"/>
      <c r="AD4089" s="10"/>
      <c r="AE4089" s="10"/>
      <c r="AF4089" s="10"/>
      <c r="AG4089" s="10"/>
      <c r="AH4089" s="10"/>
    </row>
    <row r="4090" spans="1:34" ht="47.25" outlineLevel="2">
      <c r="A4090" s="28"/>
      <c r="B4090" s="12" t="str">
        <f>IFERROR(VLOOKUP(D4090,'[1]Перечень товаров'!$A$2:$I9525,2,0),"")</f>
        <v>пм168</v>
      </c>
      <c r="C4090" s="12" t="str">
        <f>IFERROR(VLOOKUP(D4090,'[1]Перечень товаров'!$A$2:$I9525,3,0),"")</f>
        <v>прочее муз</v>
      </c>
      <c r="D4090" s="29" t="s">
        <v>1135</v>
      </c>
      <c r="E4090" s="30"/>
      <c r="F4090" s="30"/>
      <c r="G4090" s="59">
        <v>4</v>
      </c>
      <c r="H4090" s="59"/>
      <c r="I4090" s="60"/>
      <c r="J4090" s="60"/>
      <c r="K4090" s="19"/>
      <c r="L4090" s="20"/>
      <c r="M4090" s="10"/>
      <c r="N4090" s="10"/>
      <c r="O4090" s="10"/>
      <c r="P4090" s="10"/>
      <c r="Q4090" s="10"/>
      <c r="R4090" s="10"/>
      <c r="S4090" s="10"/>
      <c r="T4090" s="10"/>
      <c r="U4090" s="10"/>
      <c r="V4090" s="10"/>
      <c r="W4090" s="10"/>
      <c r="X4090" s="10"/>
      <c r="Y4090" s="10"/>
      <c r="Z4090" s="10"/>
      <c r="AA4090" s="10"/>
      <c r="AB4090" s="10"/>
      <c r="AC4090" s="10"/>
      <c r="AD4090" s="10"/>
      <c r="AE4090" s="10"/>
      <c r="AF4090" s="10"/>
      <c r="AG4090" s="10"/>
      <c r="AH4090" s="10"/>
    </row>
    <row r="4091" spans="1:34" outlineLevel="2">
      <c r="A4091" s="28"/>
      <c r="B4091" s="12" t="str">
        <f>IFERROR(VLOOKUP(D4091,'[1]Перечень товаров'!$A$2:$I9525,2,0),"")</f>
        <v>пм167</v>
      </c>
      <c r="C4091" s="12" t="str">
        <f>IFERROR(VLOOKUP(D4091,'[1]Перечень товаров'!$A$2:$I9525,3,0),"")</f>
        <v>прочее муз</v>
      </c>
      <c r="D4091" s="29" t="s">
        <v>1136</v>
      </c>
      <c r="E4091" s="30"/>
      <c r="F4091" s="30"/>
      <c r="G4091" s="59">
        <v>1</v>
      </c>
      <c r="H4091" s="59"/>
      <c r="I4091" s="60"/>
      <c r="J4091" s="60"/>
      <c r="K4091" s="19"/>
      <c r="L4091" s="20"/>
      <c r="M4091" s="10"/>
      <c r="N4091" s="10"/>
      <c r="O4091" s="10"/>
      <c r="P4091" s="10"/>
      <c r="Q4091" s="10"/>
      <c r="R4091" s="10"/>
      <c r="S4091" s="10"/>
      <c r="T4091" s="10"/>
      <c r="U4091" s="10"/>
      <c r="V4091" s="10"/>
      <c r="W4091" s="10"/>
      <c r="X4091" s="10"/>
      <c r="Y4091" s="10"/>
      <c r="Z4091" s="10"/>
      <c r="AA4091" s="10"/>
      <c r="AB4091" s="10"/>
      <c r="AC4091" s="10"/>
      <c r="AD4091" s="10"/>
      <c r="AE4091" s="10"/>
      <c r="AF4091" s="10"/>
      <c r="AG4091" s="10"/>
      <c r="AH4091" s="10"/>
    </row>
    <row r="4092" spans="1:34" ht="31.5" outlineLevel="2">
      <c r="A4092" s="28"/>
      <c r="B4092" s="12" t="str">
        <f>IFERROR(VLOOKUP(D4092,'[1]Перечень товаров'!$A$2:$I9525,2,0),"")</f>
        <v>пм166</v>
      </c>
      <c r="C4092" s="12" t="str">
        <f>IFERROR(VLOOKUP(D4092,'[1]Перечень товаров'!$A$2:$I9525,3,0),"")</f>
        <v>прочее муз</v>
      </c>
      <c r="D4092" s="29" t="s">
        <v>1137</v>
      </c>
      <c r="E4092" s="30"/>
      <c r="F4092" s="30"/>
      <c r="G4092" s="59">
        <v>1</v>
      </c>
      <c r="H4092" s="59"/>
      <c r="I4092" s="60"/>
      <c r="J4092" s="60"/>
      <c r="K4092" s="19"/>
      <c r="L4092" s="20"/>
      <c r="M4092" s="10"/>
      <c r="N4092" s="10"/>
      <c r="O4092" s="10"/>
      <c r="P4092" s="10"/>
      <c r="Q4092" s="10"/>
      <c r="R4092" s="10"/>
      <c r="S4092" s="10"/>
      <c r="T4092" s="10"/>
      <c r="U4092" s="10"/>
      <c r="V4092" s="10"/>
      <c r="W4092" s="10"/>
      <c r="X4092" s="10"/>
      <c r="Y4092" s="10"/>
      <c r="Z4092" s="10"/>
      <c r="AA4092" s="10"/>
      <c r="AB4092" s="10"/>
      <c r="AC4092" s="10"/>
      <c r="AD4092" s="10"/>
      <c r="AE4092" s="10"/>
      <c r="AF4092" s="10"/>
      <c r="AG4092" s="10"/>
      <c r="AH4092" s="10"/>
    </row>
    <row r="4093" spans="1:34" ht="31.5" outlineLevel="2">
      <c r="A4093" s="28"/>
      <c r="B4093" s="12" t="str">
        <f>IFERROR(VLOOKUP(D4093,'[1]Перечень товаров'!$A$2:$I9525,2,0),"")</f>
        <v>т130</v>
      </c>
      <c r="C4093" s="12" t="str">
        <f>IFERROR(VLOOKUP(D4093,'[1]Перечень товаров'!$A$2:$I9525,3,0),"")</f>
        <v>Техника</v>
      </c>
      <c r="D4093" s="29" t="s">
        <v>1138</v>
      </c>
      <c r="E4093" s="30"/>
      <c r="F4093" s="30"/>
      <c r="G4093" s="59">
        <v>1</v>
      </c>
      <c r="H4093" s="59"/>
      <c r="I4093" s="60"/>
      <c r="J4093" s="60"/>
      <c r="K4093" s="19"/>
      <c r="L4093" s="20"/>
      <c r="M4093" s="10"/>
      <c r="N4093" s="10"/>
      <c r="O4093" s="10"/>
      <c r="P4093" s="10"/>
      <c r="Q4093" s="10"/>
      <c r="R4093" s="10"/>
      <c r="S4093" s="10"/>
      <c r="T4093" s="10"/>
      <c r="U4093" s="10"/>
      <c r="V4093" s="10"/>
      <c r="W4093" s="10"/>
      <c r="X4093" s="10"/>
      <c r="Y4093" s="10"/>
      <c r="Z4093" s="10"/>
      <c r="AA4093" s="10"/>
      <c r="AB4093" s="10"/>
      <c r="AC4093" s="10"/>
      <c r="AD4093" s="10"/>
      <c r="AE4093" s="10"/>
      <c r="AF4093" s="10"/>
      <c r="AG4093" s="10"/>
      <c r="AH4093" s="10"/>
    </row>
    <row r="4094" spans="1:34" outlineLevel="2">
      <c r="A4094" s="54"/>
      <c r="B4094" s="12" t="str">
        <f>IFERROR(VLOOKUP(D4094,'[1]Перечень товаров'!$A$2:$I9525,2,0),"")</f>
        <v/>
      </c>
      <c r="C4094" s="12" t="str">
        <f>IFERROR(VLOOKUP(D4094,'[1]Перечень товаров'!$A$2:$I9525,3,0),"")</f>
        <v/>
      </c>
      <c r="D4094" s="55" t="s">
        <v>45</v>
      </c>
      <c r="E4094" s="217"/>
      <c r="F4094" s="217"/>
      <c r="G4094" s="59"/>
      <c r="H4094" s="59"/>
      <c r="I4094" s="60"/>
      <c r="J4094" s="60"/>
      <c r="K4094" s="19"/>
      <c r="L4094" s="20"/>
      <c r="M4094" s="10"/>
      <c r="N4094" s="10"/>
      <c r="O4094" s="10"/>
      <c r="P4094" s="10"/>
      <c r="Q4094" s="10"/>
      <c r="R4094" s="10"/>
      <c r="S4094" s="10"/>
      <c r="T4094" s="10"/>
      <c r="U4094" s="10"/>
      <c r="V4094" s="10"/>
      <c r="W4094" s="10"/>
      <c r="X4094" s="10"/>
      <c r="Y4094" s="10"/>
      <c r="Z4094" s="10"/>
      <c r="AA4094" s="10"/>
      <c r="AB4094" s="10"/>
      <c r="AC4094" s="10"/>
      <c r="AD4094" s="10"/>
      <c r="AE4094" s="10"/>
      <c r="AF4094" s="10"/>
      <c r="AG4094" s="10"/>
      <c r="AH4094" s="10"/>
    </row>
    <row r="4095" spans="1:34" outlineLevel="2">
      <c r="A4095" s="43"/>
      <c r="B4095" s="12" t="str">
        <f>IFERROR(VLOOKUP(D4095,'[1]Перечень товаров'!$A$2:$I9525,2,0),"")</f>
        <v>м7</v>
      </c>
      <c r="C4095" s="12" t="str">
        <f>IFERROR(VLOOKUP(D4095,'[1]Перечень товаров'!$A$2:$I9525,3,0),"")</f>
        <v>Мебель</v>
      </c>
      <c r="D4095" s="44" t="s">
        <v>24</v>
      </c>
      <c r="E4095" s="30"/>
      <c r="F4095" s="30"/>
      <c r="G4095" s="59">
        <v>1</v>
      </c>
      <c r="H4095" s="59"/>
      <c r="I4095" s="60"/>
      <c r="J4095" s="60"/>
      <c r="K4095" s="19"/>
      <c r="L4095" s="20"/>
      <c r="M4095" s="10"/>
      <c r="N4095" s="10"/>
      <c r="O4095" s="10"/>
      <c r="P4095" s="10"/>
      <c r="Q4095" s="10"/>
      <c r="R4095" s="10"/>
      <c r="S4095" s="10"/>
      <c r="T4095" s="10"/>
      <c r="U4095" s="10"/>
      <c r="V4095" s="10"/>
      <c r="W4095" s="10"/>
      <c r="X4095" s="10"/>
      <c r="Y4095" s="10"/>
      <c r="Z4095" s="10"/>
      <c r="AA4095" s="10"/>
      <c r="AB4095" s="10"/>
      <c r="AC4095" s="10"/>
      <c r="AD4095" s="10"/>
      <c r="AE4095" s="10"/>
      <c r="AF4095" s="10"/>
      <c r="AG4095" s="10"/>
      <c r="AH4095" s="10"/>
    </row>
    <row r="4096" spans="1:34" outlineLevel="2">
      <c r="A4096" s="43"/>
      <c r="B4096" s="12" t="str">
        <f>IFERROR(VLOOKUP(D4096,'[1]Перечень товаров'!$A$2:$I9525,2,0),"")</f>
        <v>п1</v>
      </c>
      <c r="C4096" s="12" t="str">
        <f>IFERROR(VLOOKUP(D4096,'[1]Перечень товаров'!$A$2:$I9525,3,0),"")</f>
        <v>Прочее</v>
      </c>
      <c r="D4096" s="44" t="s">
        <v>37</v>
      </c>
      <c r="E4096" s="30"/>
      <c r="F4096" s="30"/>
      <c r="G4096" s="59">
        <v>1</v>
      </c>
      <c r="H4096" s="59"/>
      <c r="I4096" s="60"/>
      <c r="J4096" s="60"/>
      <c r="K4096" s="19"/>
      <c r="L4096" s="20"/>
      <c r="M4096" s="10"/>
      <c r="N4096" s="10"/>
      <c r="O4096" s="10"/>
      <c r="P4096" s="10"/>
      <c r="Q4096" s="10"/>
      <c r="R4096" s="10"/>
      <c r="S4096" s="10"/>
      <c r="T4096" s="10"/>
      <c r="U4096" s="10"/>
      <c r="V4096" s="10"/>
      <c r="W4096" s="10"/>
      <c r="X4096" s="10"/>
      <c r="Y4096" s="10"/>
      <c r="Z4096" s="10"/>
      <c r="AA4096" s="10"/>
      <c r="AB4096" s="10"/>
      <c r="AC4096" s="10"/>
      <c r="AD4096" s="10"/>
      <c r="AE4096" s="10"/>
      <c r="AF4096" s="10"/>
      <c r="AG4096" s="10"/>
      <c r="AH4096" s="10"/>
    </row>
    <row r="4097" spans="1:34" ht="25.5" outlineLevel="1">
      <c r="A4097" s="89"/>
      <c r="B4097" s="12" t="str">
        <f>IFERROR(VLOOKUP(D4097,'[1]Перечень товаров'!$A$2:$I9525,2,0),"")</f>
        <v/>
      </c>
      <c r="C4097" s="12" t="str">
        <f>IFERROR(VLOOKUP(D4097,'[1]Перечень товаров'!$A$2:$I9525,3,0),"")</f>
        <v/>
      </c>
      <c r="D4097" s="90" t="s">
        <v>1110</v>
      </c>
      <c r="E4097" s="91">
        <v>25.3</v>
      </c>
      <c r="F4097" s="91"/>
      <c r="G4097" s="17"/>
      <c r="H4097" s="17"/>
      <c r="I4097" s="57"/>
      <c r="J4097" s="57"/>
      <c r="K4097" s="19"/>
      <c r="L4097" s="20"/>
      <c r="M4097" s="10"/>
      <c r="N4097" s="10"/>
      <c r="O4097" s="10"/>
      <c r="P4097" s="10"/>
      <c r="Q4097" s="10"/>
      <c r="R4097" s="10"/>
      <c r="S4097" s="10"/>
      <c r="T4097" s="10"/>
      <c r="U4097" s="10"/>
      <c r="V4097" s="10"/>
      <c r="W4097" s="10"/>
      <c r="X4097" s="10"/>
      <c r="Y4097" s="10"/>
      <c r="Z4097" s="10"/>
      <c r="AA4097" s="10"/>
      <c r="AB4097" s="10"/>
      <c r="AC4097" s="10"/>
      <c r="AD4097" s="10"/>
      <c r="AE4097" s="10"/>
      <c r="AF4097" s="10"/>
      <c r="AG4097" s="10"/>
      <c r="AH4097" s="10"/>
    </row>
    <row r="4098" spans="1:34" outlineLevel="2">
      <c r="A4098" s="113"/>
      <c r="B4098" s="12" t="str">
        <f>IFERROR(VLOOKUP(D4098,'[1]Перечень товаров'!$A$2:$I9525,2,0),"")</f>
        <v/>
      </c>
      <c r="C4098" s="12" t="str">
        <f>IFERROR(VLOOKUP(D4098,'[1]Перечень товаров'!$A$2:$I9525,3,0),"")</f>
        <v/>
      </c>
      <c r="D4098" s="114" t="s">
        <v>391</v>
      </c>
      <c r="E4098" s="217"/>
      <c r="F4098" s="217"/>
      <c r="G4098" s="221"/>
      <c r="H4098" s="221"/>
      <c r="I4098" s="222"/>
      <c r="J4098" s="222"/>
      <c r="K4098" s="19"/>
      <c r="L4098" s="20"/>
      <c r="M4098" s="10"/>
      <c r="N4098" s="10"/>
      <c r="O4098" s="10"/>
      <c r="P4098" s="10"/>
      <c r="Q4098" s="10"/>
      <c r="R4098" s="10"/>
      <c r="S4098" s="10"/>
      <c r="T4098" s="10"/>
      <c r="U4098" s="10"/>
      <c r="V4098" s="10"/>
      <c r="W4098" s="10"/>
      <c r="X4098" s="10"/>
      <c r="Y4098" s="10"/>
      <c r="Z4098" s="10"/>
      <c r="AA4098" s="10"/>
      <c r="AB4098" s="10"/>
      <c r="AC4098" s="10"/>
      <c r="AD4098" s="10"/>
      <c r="AE4098" s="10"/>
      <c r="AF4098" s="10"/>
      <c r="AG4098" s="10"/>
      <c r="AH4098" s="10"/>
    </row>
    <row r="4099" spans="1:34" outlineLevel="2">
      <c r="A4099" s="28"/>
      <c r="B4099" s="12" t="str">
        <f>IFERROR(VLOOKUP(D4099,'[1]Перечень товаров'!$A$2:$I9525,2,0),"")</f>
        <v>тм197</v>
      </c>
      <c r="C4099" s="12" t="str">
        <f>IFERROR(VLOOKUP(D4099,'[1]Перечень товаров'!$A$2:$I9525,3,0),"")</f>
        <v>Техника муз</v>
      </c>
      <c r="D4099" s="29" t="s">
        <v>1111</v>
      </c>
      <c r="E4099" s="30"/>
      <c r="F4099" s="30"/>
      <c r="G4099" s="31">
        <v>2</v>
      </c>
      <c r="H4099" s="31"/>
      <c r="I4099" s="32"/>
      <c r="J4099" s="32"/>
      <c r="K4099" s="19"/>
      <c r="L4099" s="20"/>
      <c r="M4099" s="10"/>
      <c r="N4099" s="10"/>
      <c r="O4099" s="10"/>
      <c r="P4099" s="10"/>
      <c r="Q4099" s="10"/>
      <c r="R4099" s="10"/>
      <c r="S4099" s="10"/>
      <c r="T4099" s="10"/>
      <c r="U4099" s="10"/>
      <c r="V4099" s="10"/>
      <c r="W4099" s="10"/>
      <c r="X4099" s="10"/>
      <c r="Y4099" s="10"/>
      <c r="Z4099" s="10"/>
      <c r="AA4099" s="10"/>
      <c r="AB4099" s="10"/>
      <c r="AC4099" s="10"/>
      <c r="AD4099" s="10"/>
      <c r="AE4099" s="10"/>
      <c r="AF4099" s="10"/>
      <c r="AG4099" s="10"/>
      <c r="AH4099" s="10"/>
    </row>
    <row r="4100" spans="1:34" outlineLevel="2">
      <c r="A4100" s="28"/>
      <c r="B4100" s="12" t="str">
        <f>IFERROR(VLOOKUP(D4100,'[1]Перечень товаров'!$A$2:$I9525,2,0),"")</f>
        <v>д545</v>
      </c>
      <c r="C4100" s="12" t="str">
        <f>IFERROR(VLOOKUP(D4100,'[1]Перечень товаров'!$A$2:$I9525,3,0),"")</f>
        <v>дидактика</v>
      </c>
      <c r="D4100" s="29" t="s">
        <v>1112</v>
      </c>
      <c r="E4100" s="30"/>
      <c r="F4100" s="30"/>
      <c r="G4100" s="31">
        <v>1</v>
      </c>
      <c r="H4100" s="31"/>
      <c r="I4100" s="32"/>
      <c r="J4100" s="32"/>
      <c r="K4100" s="19"/>
      <c r="L4100" s="20"/>
      <c r="M4100" s="10"/>
      <c r="N4100" s="10"/>
      <c r="O4100" s="10"/>
      <c r="P4100" s="10"/>
      <c r="Q4100" s="10"/>
      <c r="R4100" s="10"/>
      <c r="S4100" s="10"/>
      <c r="T4100" s="10"/>
      <c r="U4100" s="10"/>
      <c r="V4100" s="10"/>
      <c r="W4100" s="10"/>
      <c r="X4100" s="10"/>
      <c r="Y4100" s="10"/>
      <c r="Z4100" s="10"/>
      <c r="AA4100" s="10"/>
      <c r="AB4100" s="10"/>
      <c r="AC4100" s="10"/>
      <c r="AD4100" s="10"/>
      <c r="AE4100" s="10"/>
      <c r="AF4100" s="10"/>
      <c r="AG4100" s="10"/>
      <c r="AH4100" s="10"/>
    </row>
    <row r="4101" spans="1:34" ht="31.5" outlineLevel="2">
      <c r="A4101" s="28"/>
      <c r="B4101" s="12" t="str">
        <f>IFERROR(VLOOKUP(D4101,'[1]Перечень товаров'!$A$2:$I9525,2,0),"")</f>
        <v>м159</v>
      </c>
      <c r="C4101" s="12" t="str">
        <f>IFERROR(VLOOKUP(D4101,'[1]Перечень товаров'!$A$2:$I9525,3,0),"")</f>
        <v>мебель</v>
      </c>
      <c r="D4101" s="29" t="s">
        <v>1113</v>
      </c>
      <c r="E4101" s="30"/>
      <c r="F4101" s="30"/>
      <c r="G4101" s="31">
        <v>2</v>
      </c>
      <c r="H4101" s="31"/>
      <c r="I4101" s="32"/>
      <c r="J4101" s="32"/>
      <c r="K4101" s="19"/>
      <c r="L4101" s="20"/>
      <c r="M4101" s="10"/>
      <c r="N4101" s="10"/>
      <c r="O4101" s="10"/>
      <c r="P4101" s="10"/>
      <c r="Q4101" s="10"/>
      <c r="R4101" s="10"/>
      <c r="S4101" s="10"/>
      <c r="T4101" s="10"/>
      <c r="U4101" s="10"/>
      <c r="V4101" s="10"/>
      <c r="W4101" s="10"/>
      <c r="X4101" s="10"/>
      <c r="Y4101" s="10"/>
      <c r="Z4101" s="10"/>
      <c r="AA4101" s="10"/>
      <c r="AB4101" s="10"/>
      <c r="AC4101" s="10"/>
      <c r="AD4101" s="10"/>
      <c r="AE4101" s="10"/>
      <c r="AF4101" s="10"/>
      <c r="AG4101" s="10"/>
      <c r="AH4101" s="10"/>
    </row>
    <row r="4102" spans="1:34" outlineLevel="2">
      <c r="A4102" s="28"/>
      <c r="B4102" s="12" t="str">
        <f>IFERROR(VLOOKUP(D4102,'[1]Перечень товаров'!$A$2:$I9525,2,0),"")</f>
        <v>пм211</v>
      </c>
      <c r="C4102" s="12" t="str">
        <f>IFERROR(VLOOKUP(D4102,'[1]Перечень товаров'!$A$2:$I9525,3,0),"")</f>
        <v>прочее муз</v>
      </c>
      <c r="D4102" s="29" t="s">
        <v>995</v>
      </c>
      <c r="E4102" s="30"/>
      <c r="F4102" s="30"/>
      <c r="G4102" s="31">
        <v>1</v>
      </c>
      <c r="H4102" s="31"/>
      <c r="I4102" s="32"/>
      <c r="J4102" s="32"/>
      <c r="K4102" s="19"/>
      <c r="L4102" s="20"/>
      <c r="M4102" s="10"/>
      <c r="N4102" s="10"/>
      <c r="O4102" s="10"/>
      <c r="P4102" s="10"/>
      <c r="Q4102" s="10"/>
      <c r="R4102" s="10"/>
      <c r="S4102" s="10"/>
      <c r="T4102" s="10"/>
      <c r="U4102" s="10"/>
      <c r="V4102" s="10"/>
      <c r="W4102" s="10"/>
      <c r="X4102" s="10"/>
      <c r="Y4102" s="10"/>
      <c r="Z4102" s="10"/>
      <c r="AA4102" s="10"/>
      <c r="AB4102" s="10"/>
      <c r="AC4102" s="10"/>
      <c r="AD4102" s="10"/>
      <c r="AE4102" s="10"/>
      <c r="AF4102" s="10"/>
      <c r="AG4102" s="10"/>
      <c r="AH4102" s="10"/>
    </row>
    <row r="4103" spans="1:34" outlineLevel="2">
      <c r="A4103" s="114"/>
      <c r="B4103" s="12" t="str">
        <f>IFERROR(VLOOKUP(D4103,'[1]Перечень товаров'!$A$2:$I9525,2,0),"")</f>
        <v/>
      </c>
      <c r="C4103" s="12" t="str">
        <f>IFERROR(VLOOKUP(D4103,'[1]Перечень товаров'!$A$2:$I9525,3,0),"")</f>
        <v/>
      </c>
      <c r="D4103" s="114" t="s">
        <v>19</v>
      </c>
      <c r="E4103" s="115"/>
      <c r="F4103" s="115"/>
      <c r="G4103" s="141"/>
      <c r="H4103" s="141"/>
      <c r="I4103" s="142"/>
      <c r="J4103" s="142"/>
      <c r="K4103" s="19"/>
      <c r="L4103" s="20"/>
      <c r="M4103" s="10"/>
      <c r="N4103" s="10"/>
      <c r="O4103" s="10"/>
      <c r="P4103" s="10"/>
      <c r="Q4103" s="10"/>
      <c r="R4103" s="10"/>
      <c r="S4103" s="10"/>
      <c r="T4103" s="10"/>
      <c r="U4103" s="10"/>
      <c r="V4103" s="10"/>
      <c r="W4103" s="10"/>
      <c r="X4103" s="10"/>
      <c r="Y4103" s="10"/>
      <c r="Z4103" s="10"/>
      <c r="AA4103" s="10"/>
      <c r="AB4103" s="10"/>
      <c r="AC4103" s="10"/>
      <c r="AD4103" s="10"/>
      <c r="AE4103" s="10"/>
      <c r="AF4103" s="10"/>
      <c r="AG4103" s="10"/>
      <c r="AH4103" s="10"/>
    </row>
    <row r="4104" spans="1:34" outlineLevel="2">
      <c r="A4104" s="34"/>
      <c r="B4104" s="12" t="str">
        <f>IFERROR(VLOOKUP(D4104,'[1]Перечень товаров'!$A$2:$I9525,2,0),"")</f>
        <v>м62</v>
      </c>
      <c r="C4104" s="12" t="str">
        <f>IFERROR(VLOOKUP(D4104,'[1]Перечень товаров'!$A$2:$I9525,3,0),"")</f>
        <v>Мебель</v>
      </c>
      <c r="D4104" s="35" t="s">
        <v>398</v>
      </c>
      <c r="E4104" s="88"/>
      <c r="F4104" s="88"/>
      <c r="G4104" s="59">
        <v>1</v>
      </c>
      <c r="H4104" s="59"/>
      <c r="I4104" s="60"/>
      <c r="J4104" s="60"/>
      <c r="K4104" s="19"/>
      <c r="L4104" s="20"/>
      <c r="M4104" s="10"/>
      <c r="N4104" s="10"/>
      <c r="O4104" s="10"/>
      <c r="P4104" s="10"/>
      <c r="Q4104" s="10"/>
      <c r="R4104" s="10"/>
      <c r="S4104" s="10"/>
      <c r="T4104" s="10"/>
      <c r="U4104" s="10"/>
      <c r="V4104" s="10"/>
      <c r="W4104" s="10"/>
      <c r="X4104" s="10"/>
      <c r="Y4104" s="10"/>
      <c r="Z4104" s="10"/>
      <c r="AA4104" s="10"/>
      <c r="AB4104" s="10"/>
      <c r="AC4104" s="10"/>
      <c r="AD4104" s="10"/>
      <c r="AE4104" s="10"/>
      <c r="AF4104" s="10"/>
      <c r="AG4104" s="10"/>
      <c r="AH4104" s="10"/>
    </row>
    <row r="4105" spans="1:34" outlineLevel="2">
      <c r="A4105" s="34"/>
      <c r="B4105" s="12" t="str">
        <f>IFERROR(VLOOKUP(D4105,'[1]Перечень товаров'!$A$2:$I9525,2,0),"")</f>
        <v>м61</v>
      </c>
      <c r="C4105" s="12" t="str">
        <f>IFERROR(VLOOKUP(D4105,'[1]Перечень товаров'!$A$2:$I9525,3,0),"")</f>
        <v>Мебель</v>
      </c>
      <c r="D4105" s="35" t="s">
        <v>384</v>
      </c>
      <c r="E4105" s="88"/>
      <c r="F4105" s="88"/>
      <c r="G4105" s="159">
        <v>8</v>
      </c>
      <c r="H4105" s="159"/>
      <c r="I4105" s="160"/>
      <c r="J4105" s="160"/>
      <c r="K4105" s="19"/>
      <c r="L4105" s="20"/>
      <c r="M4105" s="10"/>
      <c r="N4105" s="10"/>
      <c r="O4105" s="10"/>
      <c r="P4105" s="10"/>
      <c r="Q4105" s="10"/>
      <c r="R4105" s="10"/>
      <c r="S4105" s="10"/>
      <c r="T4105" s="10"/>
      <c r="U4105" s="10"/>
      <c r="V4105" s="10"/>
      <c r="W4105" s="10"/>
      <c r="X4105" s="10"/>
      <c r="Y4105" s="10"/>
      <c r="Z4105" s="10"/>
      <c r="AA4105" s="10"/>
      <c r="AB4105" s="10"/>
      <c r="AC4105" s="10"/>
      <c r="AD4105" s="10"/>
      <c r="AE4105" s="10"/>
      <c r="AF4105" s="10"/>
      <c r="AG4105" s="10"/>
      <c r="AH4105" s="10"/>
    </row>
    <row r="4106" spans="1:34" outlineLevel="2">
      <c r="A4106" s="35"/>
      <c r="B4106" s="12" t="str">
        <f>IFERROR(VLOOKUP(D4106,'[1]Перечень товаров'!$A$2:$I9525,2,0),"")</f>
        <v>м13</v>
      </c>
      <c r="C4106" s="12" t="str">
        <f>IFERROR(VLOOKUP(D4106,'[1]Перечень товаров'!$A$2:$I9525,3,0),"")</f>
        <v>Мебель</v>
      </c>
      <c r="D4106" s="35" t="s">
        <v>42</v>
      </c>
      <c r="E4106" s="88"/>
      <c r="F4106" s="88"/>
      <c r="G4106" s="48">
        <v>1</v>
      </c>
      <c r="H4106" s="48"/>
      <c r="I4106" s="49"/>
      <c r="J4106" s="49"/>
      <c r="K4106" s="19"/>
      <c r="L4106" s="20"/>
      <c r="M4106" s="10"/>
      <c r="N4106" s="10"/>
      <c r="O4106" s="10"/>
      <c r="P4106" s="10"/>
      <c r="Q4106" s="10"/>
      <c r="R4106" s="10"/>
      <c r="S4106" s="10"/>
      <c r="T4106" s="10"/>
      <c r="U4106" s="10"/>
      <c r="V4106" s="10"/>
      <c r="W4106" s="10"/>
      <c r="X4106" s="10"/>
      <c r="Y4106" s="10"/>
      <c r="Z4106" s="10"/>
      <c r="AA4106" s="10"/>
      <c r="AB4106" s="10"/>
      <c r="AC4106" s="10"/>
      <c r="AD4106" s="10"/>
      <c r="AE4106" s="10"/>
      <c r="AF4106" s="10"/>
      <c r="AG4106" s="10"/>
      <c r="AH4106" s="10"/>
    </row>
    <row r="4107" spans="1:34" outlineLevel="2">
      <c r="A4107" s="34"/>
      <c r="B4107" s="12" t="str">
        <f>IFERROR(VLOOKUP(D4107,'[1]Перечень товаров'!$A$2:$I9525,2,0),"")</f>
        <v>м164</v>
      </c>
      <c r="C4107" s="12" t="str">
        <f>IFERROR(VLOOKUP(D4107,'[1]Перечень товаров'!$A$2:$I9525,3,0),"")</f>
        <v>Мебель</v>
      </c>
      <c r="D4107" s="35" t="s">
        <v>502</v>
      </c>
      <c r="E4107" s="88"/>
      <c r="F4107" s="88"/>
      <c r="G4107" s="48">
        <v>1</v>
      </c>
      <c r="H4107" s="48"/>
      <c r="I4107" s="49"/>
      <c r="J4107" s="49"/>
      <c r="K4107" s="19"/>
      <c r="L4107" s="20"/>
      <c r="M4107" s="10"/>
      <c r="N4107" s="10"/>
      <c r="O4107" s="10"/>
      <c r="P4107" s="10"/>
      <c r="Q4107" s="10"/>
      <c r="R4107" s="10"/>
      <c r="S4107" s="10"/>
      <c r="T4107" s="10"/>
      <c r="U4107" s="10"/>
      <c r="V4107" s="10"/>
      <c r="W4107" s="10"/>
      <c r="X4107" s="10"/>
      <c r="Y4107" s="10"/>
      <c r="Z4107" s="10"/>
      <c r="AA4107" s="10"/>
      <c r="AB4107" s="10"/>
      <c r="AC4107" s="10"/>
      <c r="AD4107" s="10"/>
      <c r="AE4107" s="10"/>
      <c r="AF4107" s="10"/>
      <c r="AG4107" s="10"/>
      <c r="AH4107" s="10"/>
    </row>
    <row r="4108" spans="1:34" outlineLevel="2">
      <c r="A4108" s="34"/>
      <c r="B4108" s="12" t="str">
        <f>IFERROR(VLOOKUP(D4108,'[1]Перечень товаров'!$A$2:$I9525,2,0),"")</f>
        <v>п2</v>
      </c>
      <c r="C4108" s="12" t="str">
        <f>IFERROR(VLOOKUP(D4108,'[1]Перечень товаров'!$A$2:$I9525,3,0),"")</f>
        <v>Прочее</v>
      </c>
      <c r="D4108" s="35" t="s">
        <v>46</v>
      </c>
      <c r="E4108" s="88"/>
      <c r="F4108" s="88"/>
      <c r="G4108" s="24">
        <v>1</v>
      </c>
      <c r="H4108" s="24"/>
      <c r="I4108" s="25"/>
      <c r="J4108" s="25"/>
      <c r="K4108" s="19"/>
      <c r="L4108" s="20"/>
      <c r="M4108" s="10"/>
      <c r="N4108" s="10"/>
      <c r="O4108" s="10"/>
      <c r="P4108" s="10"/>
      <c r="Q4108" s="10"/>
      <c r="R4108" s="10"/>
      <c r="S4108" s="10"/>
      <c r="T4108" s="10"/>
      <c r="U4108" s="10"/>
      <c r="V4108" s="10"/>
      <c r="W4108" s="10"/>
      <c r="X4108" s="10"/>
      <c r="Y4108" s="10"/>
      <c r="Z4108" s="10"/>
      <c r="AA4108" s="10"/>
      <c r="AB4108" s="10"/>
      <c r="AC4108" s="10"/>
      <c r="AD4108" s="10"/>
      <c r="AE4108" s="10"/>
      <c r="AF4108" s="10"/>
      <c r="AG4108" s="10"/>
      <c r="AH4108" s="10"/>
    </row>
    <row r="4109" spans="1:34" outlineLevel="2">
      <c r="A4109" s="34"/>
      <c r="B4109" s="12" t="str">
        <f>IFERROR(VLOOKUP(D4109,'[1]Перечень товаров'!$A$2:$I9525,2,0),"")</f>
        <v>д544</v>
      </c>
      <c r="C4109" s="12" t="str">
        <f>IFERROR(VLOOKUP(D4109,'[1]Перечень товаров'!$A$2:$I9525,3,0),"")</f>
        <v>дидактика</v>
      </c>
      <c r="D4109" s="35" t="s">
        <v>1114</v>
      </c>
      <c r="E4109" s="88"/>
      <c r="F4109" s="88"/>
      <c r="G4109" s="24">
        <v>1</v>
      </c>
      <c r="H4109" s="24"/>
      <c r="I4109" s="25"/>
      <c r="J4109" s="25"/>
      <c r="K4109" s="19"/>
      <c r="L4109" s="20"/>
      <c r="M4109" s="10"/>
      <c r="N4109" s="10"/>
      <c r="O4109" s="10"/>
      <c r="P4109" s="10"/>
      <c r="Q4109" s="10"/>
      <c r="R4109" s="10"/>
      <c r="S4109" s="10"/>
      <c r="T4109" s="10"/>
      <c r="U4109" s="10"/>
      <c r="V4109" s="10"/>
      <c r="W4109" s="10"/>
      <c r="X4109" s="10"/>
      <c r="Y4109" s="10"/>
      <c r="Z4109" s="10"/>
      <c r="AA4109" s="10"/>
      <c r="AB4109" s="10"/>
      <c r="AC4109" s="10"/>
      <c r="AD4109" s="10"/>
      <c r="AE4109" s="10"/>
      <c r="AF4109" s="10"/>
      <c r="AG4109" s="10"/>
      <c r="AH4109" s="10"/>
    </row>
    <row r="4110" spans="1:34" outlineLevel="2">
      <c r="A4110" s="88"/>
      <c r="B4110" s="12" t="str">
        <f>IFERROR(VLOOKUP(D4110,'[1]Перечень товаров'!$A$2:$I9525,2,0),"")</f>
        <v>п1</v>
      </c>
      <c r="C4110" s="12" t="str">
        <f>IFERROR(VLOOKUP(D4110,'[1]Перечень товаров'!$A$2:$I9525,3,0),"")</f>
        <v>Прочее</v>
      </c>
      <c r="D4110" s="223" t="s">
        <v>37</v>
      </c>
      <c r="E4110" s="88"/>
      <c r="F4110" s="88"/>
      <c r="G4110" s="59">
        <v>1</v>
      </c>
      <c r="H4110" s="59"/>
      <c r="I4110" s="60"/>
      <c r="J4110" s="60"/>
      <c r="K4110" s="19"/>
      <c r="L4110" s="20"/>
      <c r="M4110" s="10"/>
      <c r="N4110" s="10"/>
      <c r="O4110" s="10"/>
      <c r="P4110" s="10"/>
      <c r="Q4110" s="10"/>
      <c r="R4110" s="10"/>
      <c r="S4110" s="10"/>
      <c r="T4110" s="10"/>
      <c r="U4110" s="10"/>
      <c r="V4110" s="10"/>
      <c r="W4110" s="10"/>
      <c r="X4110" s="10"/>
      <c r="Y4110" s="10"/>
      <c r="Z4110" s="10"/>
      <c r="AA4110" s="10"/>
      <c r="AB4110" s="10"/>
      <c r="AC4110" s="10"/>
      <c r="AD4110" s="10"/>
      <c r="AE4110" s="10"/>
      <c r="AF4110" s="10"/>
      <c r="AG4110" s="10"/>
      <c r="AH4110" s="10"/>
    </row>
    <row r="4111" spans="1:34" ht="25.5" outlineLevel="1">
      <c r="A4111" s="89"/>
      <c r="B4111" s="12" t="str">
        <f>IFERROR(VLOOKUP(D4111,'[1]Перечень товаров'!$A$2:$I9525,2,0),"")</f>
        <v/>
      </c>
      <c r="C4111" s="12" t="str">
        <f>IFERROR(VLOOKUP(D4111,'[1]Перечень товаров'!$A$2:$I9525,3,0),"")</f>
        <v/>
      </c>
      <c r="D4111" s="90" t="s">
        <v>1110</v>
      </c>
      <c r="E4111" s="91">
        <v>23.4</v>
      </c>
      <c r="F4111" s="91"/>
      <c r="G4111" s="17"/>
      <c r="H4111" s="17"/>
      <c r="I4111" s="57"/>
      <c r="J4111" s="57"/>
      <c r="K4111" s="19"/>
      <c r="L4111" s="20"/>
      <c r="M4111" s="10"/>
      <c r="N4111" s="10"/>
      <c r="O4111" s="10"/>
      <c r="P4111" s="10"/>
      <c r="Q4111" s="10"/>
      <c r="R4111" s="10"/>
      <c r="S4111" s="10"/>
      <c r="T4111" s="10"/>
      <c r="U4111" s="10"/>
      <c r="V4111" s="10"/>
      <c r="W4111" s="10"/>
      <c r="X4111" s="10"/>
      <c r="Y4111" s="10"/>
      <c r="Z4111" s="10"/>
      <c r="AA4111" s="10"/>
      <c r="AB4111" s="10"/>
      <c r="AC4111" s="10"/>
      <c r="AD4111" s="10"/>
      <c r="AE4111" s="10"/>
      <c r="AF4111" s="10"/>
      <c r="AG4111" s="10"/>
      <c r="AH4111" s="10"/>
    </row>
    <row r="4112" spans="1:34" outlineLevel="2">
      <c r="A4112" s="113"/>
      <c r="B4112" s="12" t="str">
        <f>IFERROR(VLOOKUP(D4112,'[1]Перечень товаров'!$A$2:$I9525,2,0),"")</f>
        <v/>
      </c>
      <c r="C4112" s="12" t="str">
        <f>IFERROR(VLOOKUP(D4112,'[1]Перечень товаров'!$A$2:$I9525,3,0),"")</f>
        <v/>
      </c>
      <c r="D4112" s="114" t="s">
        <v>391</v>
      </c>
      <c r="E4112" s="122"/>
      <c r="F4112" s="122"/>
      <c r="G4112" s="123"/>
      <c r="H4112" s="123"/>
      <c r="I4112" s="124"/>
      <c r="J4112" s="124"/>
      <c r="K4112" s="19"/>
      <c r="L4112" s="20"/>
      <c r="M4112" s="10"/>
      <c r="N4112" s="10"/>
      <c r="O4112" s="10"/>
      <c r="P4112" s="10"/>
      <c r="Q4112" s="10"/>
      <c r="R4112" s="10"/>
      <c r="S4112" s="10"/>
      <c r="T4112" s="10"/>
      <c r="U4112" s="10"/>
      <c r="V4112" s="10"/>
      <c r="W4112" s="10"/>
      <c r="X4112" s="10"/>
      <c r="Y4112" s="10"/>
      <c r="Z4112" s="10"/>
      <c r="AA4112" s="10"/>
      <c r="AB4112" s="10"/>
      <c r="AC4112" s="10"/>
      <c r="AD4112" s="10"/>
      <c r="AE4112" s="10"/>
      <c r="AF4112" s="10"/>
      <c r="AG4112" s="10"/>
      <c r="AH4112" s="10"/>
    </row>
    <row r="4113" spans="1:34" outlineLevel="2">
      <c r="A4113" s="28"/>
      <c r="B4113" s="12" t="str">
        <f>IFERROR(VLOOKUP(D4113,'[1]Перечень товаров'!$A$2:$I9525,2,0),"")</f>
        <v>тм197</v>
      </c>
      <c r="C4113" s="12" t="str">
        <f>IFERROR(VLOOKUP(D4113,'[1]Перечень товаров'!$A$2:$I9525,3,0),"")</f>
        <v>Техника муз</v>
      </c>
      <c r="D4113" s="29" t="s">
        <v>1111</v>
      </c>
      <c r="E4113" s="30"/>
      <c r="F4113" s="30"/>
      <c r="G4113" s="31">
        <v>2</v>
      </c>
      <c r="H4113" s="31"/>
      <c r="I4113" s="32"/>
      <c r="J4113" s="32"/>
      <c r="K4113" s="19"/>
      <c r="L4113" s="20"/>
      <c r="M4113" s="10"/>
      <c r="N4113" s="10"/>
      <c r="O4113" s="10"/>
      <c r="P4113" s="10"/>
      <c r="Q4113" s="10"/>
      <c r="R4113" s="10"/>
      <c r="S4113" s="10"/>
      <c r="T4113" s="10"/>
      <c r="U4113" s="10"/>
      <c r="V4113" s="10"/>
      <c r="W4113" s="10"/>
      <c r="X4113" s="10"/>
      <c r="Y4113" s="10"/>
      <c r="Z4113" s="10"/>
      <c r="AA4113" s="10"/>
      <c r="AB4113" s="10"/>
      <c r="AC4113" s="10"/>
      <c r="AD4113" s="10"/>
      <c r="AE4113" s="10"/>
      <c r="AF4113" s="10"/>
      <c r="AG4113" s="10"/>
      <c r="AH4113" s="10"/>
    </row>
    <row r="4114" spans="1:34" outlineLevel="2">
      <c r="A4114" s="28"/>
      <c r="B4114" s="12" t="str">
        <f>IFERROR(VLOOKUP(D4114,'[1]Перечень товаров'!$A$2:$I9525,2,0),"")</f>
        <v>д545</v>
      </c>
      <c r="C4114" s="12" t="str">
        <f>IFERROR(VLOOKUP(D4114,'[1]Перечень товаров'!$A$2:$I9525,3,0),"")</f>
        <v>дидактика</v>
      </c>
      <c r="D4114" s="29" t="s">
        <v>1112</v>
      </c>
      <c r="E4114" s="30"/>
      <c r="F4114" s="30"/>
      <c r="G4114" s="31">
        <v>1</v>
      </c>
      <c r="H4114" s="31"/>
      <c r="I4114" s="32"/>
      <c r="J4114" s="32"/>
      <c r="K4114" s="19"/>
      <c r="L4114" s="20"/>
      <c r="M4114" s="10"/>
      <c r="N4114" s="10"/>
      <c r="O4114" s="10"/>
      <c r="P4114" s="10"/>
      <c r="Q4114" s="10"/>
      <c r="R4114" s="10"/>
      <c r="S4114" s="10"/>
      <c r="T4114" s="10"/>
      <c r="U4114" s="10"/>
      <c r="V4114" s="10"/>
      <c r="W4114" s="10"/>
      <c r="X4114" s="10"/>
      <c r="Y4114" s="10"/>
      <c r="Z4114" s="10"/>
      <c r="AA4114" s="10"/>
      <c r="AB4114" s="10"/>
      <c r="AC4114" s="10"/>
      <c r="AD4114" s="10"/>
      <c r="AE4114" s="10"/>
      <c r="AF4114" s="10"/>
      <c r="AG4114" s="10"/>
      <c r="AH4114" s="10"/>
    </row>
    <row r="4115" spans="1:34" ht="31.5" outlineLevel="2">
      <c r="A4115" s="28"/>
      <c r="B4115" s="12" t="str">
        <f>IFERROR(VLOOKUP(D4115,'[1]Перечень товаров'!$A$2:$I9525,2,0),"")</f>
        <v>м159</v>
      </c>
      <c r="C4115" s="12" t="str">
        <f>IFERROR(VLOOKUP(D4115,'[1]Перечень товаров'!$A$2:$I9525,3,0),"")</f>
        <v>мебель</v>
      </c>
      <c r="D4115" s="29" t="s">
        <v>1113</v>
      </c>
      <c r="E4115" s="30"/>
      <c r="F4115" s="30"/>
      <c r="G4115" s="31">
        <v>2</v>
      </c>
      <c r="H4115" s="31"/>
      <c r="I4115" s="32"/>
      <c r="J4115" s="32"/>
      <c r="K4115" s="19"/>
      <c r="L4115" s="20"/>
      <c r="M4115" s="10"/>
      <c r="N4115" s="10"/>
      <c r="O4115" s="10"/>
      <c r="P4115" s="10"/>
      <c r="Q4115" s="10"/>
      <c r="R4115" s="10"/>
      <c r="S4115" s="10"/>
      <c r="T4115" s="10"/>
      <c r="U4115" s="10"/>
      <c r="V4115" s="10"/>
      <c r="W4115" s="10"/>
      <c r="X4115" s="10"/>
      <c r="Y4115" s="10"/>
      <c r="Z4115" s="10"/>
      <c r="AA4115" s="10"/>
      <c r="AB4115" s="10"/>
      <c r="AC4115" s="10"/>
      <c r="AD4115" s="10"/>
      <c r="AE4115" s="10"/>
      <c r="AF4115" s="10"/>
      <c r="AG4115" s="10"/>
      <c r="AH4115" s="10"/>
    </row>
    <row r="4116" spans="1:34" outlineLevel="2">
      <c r="A4116" s="28"/>
      <c r="B4116" s="12" t="str">
        <f>IFERROR(VLOOKUP(D4116,'[1]Перечень товаров'!$A$2:$I9525,2,0),"")</f>
        <v>пм211</v>
      </c>
      <c r="C4116" s="12" t="str">
        <f>IFERROR(VLOOKUP(D4116,'[1]Перечень товаров'!$A$2:$I9525,3,0),"")</f>
        <v>прочее муз</v>
      </c>
      <c r="D4116" s="29" t="s">
        <v>995</v>
      </c>
      <c r="E4116" s="30"/>
      <c r="F4116" s="30"/>
      <c r="G4116" s="31">
        <v>1</v>
      </c>
      <c r="H4116" s="31"/>
      <c r="I4116" s="32"/>
      <c r="J4116" s="32"/>
      <c r="K4116" s="19"/>
      <c r="L4116" s="20"/>
      <c r="M4116" s="10"/>
      <c r="N4116" s="10"/>
      <c r="O4116" s="10"/>
      <c r="P4116" s="10"/>
      <c r="Q4116" s="10"/>
      <c r="R4116" s="10"/>
      <c r="S4116" s="10"/>
      <c r="T4116" s="10"/>
      <c r="U4116" s="10"/>
      <c r="V4116" s="10"/>
      <c r="W4116" s="10"/>
      <c r="X4116" s="10"/>
      <c r="Y4116" s="10"/>
      <c r="Z4116" s="10"/>
      <c r="AA4116" s="10"/>
      <c r="AB4116" s="10"/>
      <c r="AC4116" s="10"/>
      <c r="AD4116" s="10"/>
      <c r="AE4116" s="10"/>
      <c r="AF4116" s="10"/>
      <c r="AG4116" s="10"/>
      <c r="AH4116" s="10"/>
    </row>
    <row r="4117" spans="1:34" outlineLevel="2">
      <c r="A4117" s="114"/>
      <c r="B4117" s="12" t="str">
        <f>IFERROR(VLOOKUP(D4117,'[1]Перечень товаров'!$A$2:$I9525,2,0),"")</f>
        <v/>
      </c>
      <c r="C4117" s="12" t="str">
        <f>IFERROR(VLOOKUP(D4117,'[1]Перечень товаров'!$A$2:$I9525,3,0),"")</f>
        <v/>
      </c>
      <c r="D4117" s="114" t="s">
        <v>19</v>
      </c>
      <c r="E4117" s="115"/>
      <c r="F4117" s="115"/>
      <c r="G4117" s="157"/>
      <c r="H4117" s="157"/>
      <c r="I4117" s="158"/>
      <c r="J4117" s="158"/>
      <c r="K4117" s="19"/>
      <c r="L4117" s="20"/>
      <c r="M4117" s="10"/>
      <c r="N4117" s="10"/>
      <c r="O4117" s="10"/>
      <c r="P4117" s="10"/>
      <c r="Q4117" s="10"/>
      <c r="R4117" s="10"/>
      <c r="S4117" s="10"/>
      <c r="T4117" s="10"/>
      <c r="U4117" s="10"/>
      <c r="V4117" s="10"/>
      <c r="W4117" s="10"/>
      <c r="X4117" s="10"/>
      <c r="Y4117" s="10"/>
      <c r="Z4117" s="10"/>
      <c r="AA4117" s="10"/>
      <c r="AB4117" s="10"/>
      <c r="AC4117" s="10"/>
      <c r="AD4117" s="10"/>
      <c r="AE4117" s="10"/>
      <c r="AF4117" s="10"/>
      <c r="AG4117" s="10"/>
      <c r="AH4117" s="10"/>
    </row>
    <row r="4118" spans="1:34" outlineLevel="2">
      <c r="A4118" s="34"/>
      <c r="B4118" s="12" t="str">
        <f>IFERROR(VLOOKUP(D4118,'[1]Перечень товаров'!$A$2:$I9525,2,0),"")</f>
        <v>м62</v>
      </c>
      <c r="C4118" s="12" t="str">
        <f>IFERROR(VLOOKUP(D4118,'[1]Перечень товаров'!$A$2:$I9525,3,0),"")</f>
        <v>Мебель</v>
      </c>
      <c r="D4118" s="35" t="s">
        <v>398</v>
      </c>
      <c r="E4118" s="88"/>
      <c r="F4118" s="88"/>
      <c r="G4118" s="59">
        <v>1</v>
      </c>
      <c r="H4118" s="59"/>
      <c r="I4118" s="60"/>
      <c r="J4118" s="60"/>
      <c r="K4118" s="19"/>
      <c r="L4118" s="20"/>
      <c r="M4118" s="10"/>
      <c r="N4118" s="10"/>
      <c r="O4118" s="10"/>
      <c r="P4118" s="10"/>
      <c r="Q4118" s="10"/>
      <c r="R4118" s="10"/>
      <c r="S4118" s="10"/>
      <c r="T4118" s="10"/>
      <c r="U4118" s="10"/>
      <c r="V4118" s="10"/>
      <c r="W4118" s="10"/>
      <c r="X4118" s="10"/>
      <c r="Y4118" s="10"/>
      <c r="Z4118" s="10"/>
      <c r="AA4118" s="10"/>
      <c r="AB4118" s="10"/>
      <c r="AC4118" s="10"/>
      <c r="AD4118" s="10"/>
      <c r="AE4118" s="10"/>
      <c r="AF4118" s="10"/>
      <c r="AG4118" s="10"/>
      <c r="AH4118" s="10"/>
    </row>
    <row r="4119" spans="1:34" outlineLevel="2">
      <c r="A4119" s="34"/>
      <c r="B4119" s="12" t="str">
        <f>IFERROR(VLOOKUP(D4119,'[1]Перечень товаров'!$A$2:$I9525,2,0),"")</f>
        <v>м61</v>
      </c>
      <c r="C4119" s="12" t="str">
        <f>IFERROR(VLOOKUP(D4119,'[1]Перечень товаров'!$A$2:$I9525,3,0),"")</f>
        <v>Мебель</v>
      </c>
      <c r="D4119" s="35" t="s">
        <v>384</v>
      </c>
      <c r="E4119" s="88"/>
      <c r="F4119" s="88"/>
      <c r="G4119" s="159">
        <v>8</v>
      </c>
      <c r="H4119" s="159"/>
      <c r="I4119" s="160"/>
      <c r="J4119" s="160"/>
      <c r="K4119" s="19"/>
      <c r="L4119" s="20"/>
      <c r="M4119" s="10"/>
      <c r="N4119" s="10"/>
      <c r="O4119" s="10"/>
      <c r="P4119" s="10"/>
      <c r="Q4119" s="10"/>
      <c r="R4119" s="10"/>
      <c r="S4119" s="10"/>
      <c r="T4119" s="10"/>
      <c r="U4119" s="10"/>
      <c r="V4119" s="10"/>
      <c r="W4119" s="10"/>
      <c r="X4119" s="10"/>
      <c r="Y4119" s="10"/>
      <c r="Z4119" s="10"/>
      <c r="AA4119" s="10"/>
      <c r="AB4119" s="10"/>
      <c r="AC4119" s="10"/>
      <c r="AD4119" s="10"/>
      <c r="AE4119" s="10"/>
      <c r="AF4119" s="10"/>
      <c r="AG4119" s="10"/>
      <c r="AH4119" s="10"/>
    </row>
    <row r="4120" spans="1:34" outlineLevel="2">
      <c r="A4120" s="22"/>
      <c r="B4120" s="12" t="str">
        <f>IFERROR(VLOOKUP(D4120,'[1]Перечень товаров'!$A$2:$I9525,2,0),"")</f>
        <v>м13</v>
      </c>
      <c r="C4120" s="12" t="str">
        <f>IFERROR(VLOOKUP(D4120,'[1]Перечень товаров'!$A$2:$I9525,3,0),"")</f>
        <v>Мебель</v>
      </c>
      <c r="D4120" s="22" t="s">
        <v>42</v>
      </c>
      <c r="E4120" s="88"/>
      <c r="F4120" s="88"/>
      <c r="G4120" s="48">
        <v>1</v>
      </c>
      <c r="H4120" s="48"/>
      <c r="I4120" s="49"/>
      <c r="J4120" s="49"/>
      <c r="K4120" s="19"/>
      <c r="L4120" s="20"/>
      <c r="M4120" s="10"/>
      <c r="N4120" s="10"/>
      <c r="O4120" s="10"/>
      <c r="P4120" s="10"/>
      <c r="Q4120" s="10"/>
      <c r="R4120" s="10"/>
      <c r="S4120" s="10"/>
      <c r="T4120" s="10"/>
      <c r="U4120" s="10"/>
      <c r="V4120" s="10"/>
      <c r="W4120" s="10"/>
      <c r="X4120" s="10"/>
      <c r="Y4120" s="10"/>
      <c r="Z4120" s="10"/>
      <c r="AA4120" s="10"/>
      <c r="AB4120" s="10"/>
      <c r="AC4120" s="10"/>
      <c r="AD4120" s="10"/>
      <c r="AE4120" s="10"/>
      <c r="AF4120" s="10"/>
      <c r="AG4120" s="10"/>
      <c r="AH4120" s="10"/>
    </row>
    <row r="4121" spans="1:34" outlineLevel="2">
      <c r="A4121" s="21"/>
      <c r="B4121" s="12" t="str">
        <f>IFERROR(VLOOKUP(D4121,'[1]Перечень товаров'!$A$2:$I9525,2,0),"")</f>
        <v>м164</v>
      </c>
      <c r="C4121" s="12" t="str">
        <f>IFERROR(VLOOKUP(D4121,'[1]Перечень товаров'!$A$2:$I9525,3,0),"")</f>
        <v>Мебель</v>
      </c>
      <c r="D4121" s="22" t="s">
        <v>502</v>
      </c>
      <c r="E4121" s="88"/>
      <c r="F4121" s="88"/>
      <c r="G4121" s="48">
        <v>1</v>
      </c>
      <c r="H4121" s="48"/>
      <c r="I4121" s="49"/>
      <c r="J4121" s="49"/>
      <c r="K4121" s="19"/>
      <c r="L4121" s="20"/>
      <c r="M4121" s="10"/>
      <c r="N4121" s="10"/>
      <c r="O4121" s="10"/>
      <c r="P4121" s="10"/>
      <c r="Q4121" s="10"/>
      <c r="R4121" s="10"/>
      <c r="S4121" s="10"/>
      <c r="T4121" s="10"/>
      <c r="U4121" s="10"/>
      <c r="V4121" s="10"/>
      <c r="W4121" s="10"/>
      <c r="X4121" s="10"/>
      <c r="Y4121" s="10"/>
      <c r="Z4121" s="10"/>
      <c r="AA4121" s="10"/>
      <c r="AB4121" s="10"/>
      <c r="AC4121" s="10"/>
      <c r="AD4121" s="10"/>
      <c r="AE4121" s="10"/>
      <c r="AF4121" s="10"/>
      <c r="AG4121" s="10"/>
      <c r="AH4121" s="10"/>
    </row>
    <row r="4122" spans="1:34" outlineLevel="2">
      <c r="A4122" s="21"/>
      <c r="B4122" s="12" t="str">
        <f>IFERROR(VLOOKUP(D4122,'[1]Перечень товаров'!$A$2:$I9525,2,0),"")</f>
        <v>п2</v>
      </c>
      <c r="C4122" s="12" t="str">
        <f>IFERROR(VLOOKUP(D4122,'[1]Перечень товаров'!$A$2:$I9525,3,0),"")</f>
        <v>Прочее</v>
      </c>
      <c r="D4122" s="22" t="s">
        <v>46</v>
      </c>
      <c r="E4122" s="88"/>
      <c r="F4122" s="88"/>
      <c r="G4122" s="24">
        <v>1</v>
      </c>
      <c r="H4122" s="24"/>
      <c r="I4122" s="25"/>
      <c r="J4122" s="25"/>
      <c r="K4122" s="19"/>
      <c r="L4122" s="20"/>
      <c r="M4122" s="10"/>
      <c r="N4122" s="10"/>
      <c r="O4122" s="10"/>
      <c r="P4122" s="10"/>
      <c r="Q4122" s="10"/>
      <c r="R4122" s="10"/>
      <c r="S4122" s="10"/>
      <c r="T4122" s="10"/>
      <c r="U4122" s="10"/>
      <c r="V4122" s="10"/>
      <c r="W4122" s="10"/>
      <c r="X4122" s="10"/>
      <c r="Y4122" s="10"/>
      <c r="Z4122" s="10"/>
      <c r="AA4122" s="10"/>
      <c r="AB4122" s="10"/>
      <c r="AC4122" s="10"/>
      <c r="AD4122" s="10"/>
      <c r="AE4122" s="10"/>
      <c r="AF4122" s="10"/>
      <c r="AG4122" s="10"/>
      <c r="AH4122" s="10"/>
    </row>
    <row r="4123" spans="1:34" outlineLevel="2">
      <c r="A4123" s="21"/>
      <c r="B4123" s="12" t="str">
        <f>IFERROR(VLOOKUP(D4123,'[1]Перечень товаров'!$A$2:$I9525,2,0),"")</f>
        <v>д544</v>
      </c>
      <c r="C4123" s="12" t="str">
        <f>IFERROR(VLOOKUP(D4123,'[1]Перечень товаров'!$A$2:$I9525,3,0),"")</f>
        <v>дидактика</v>
      </c>
      <c r="D4123" s="22" t="s">
        <v>1114</v>
      </c>
      <c r="E4123" s="88"/>
      <c r="F4123" s="88"/>
      <c r="G4123" s="24">
        <v>1</v>
      </c>
      <c r="H4123" s="24"/>
      <c r="I4123" s="25"/>
      <c r="J4123" s="25"/>
      <c r="K4123" s="19"/>
      <c r="L4123" s="20"/>
      <c r="M4123" s="10"/>
      <c r="N4123" s="10"/>
      <c r="O4123" s="10"/>
      <c r="P4123" s="10"/>
      <c r="Q4123" s="10"/>
      <c r="R4123" s="10"/>
      <c r="S4123" s="10"/>
      <c r="T4123" s="10"/>
      <c r="U4123" s="10"/>
      <c r="V4123" s="10"/>
      <c r="W4123" s="10"/>
      <c r="X4123" s="10"/>
      <c r="Y4123" s="10"/>
      <c r="Z4123" s="10"/>
      <c r="AA4123" s="10"/>
      <c r="AB4123" s="10"/>
      <c r="AC4123" s="10"/>
      <c r="AD4123" s="10"/>
      <c r="AE4123" s="10"/>
      <c r="AF4123" s="10"/>
      <c r="AG4123" s="10"/>
      <c r="AH4123" s="10"/>
    </row>
    <row r="4124" spans="1:34" outlineLevel="2">
      <c r="A4124" s="43"/>
      <c r="B4124" s="12" t="str">
        <f>IFERROR(VLOOKUP(D4124,'[1]Перечень товаров'!$A$2:$I9525,2,0),"")</f>
        <v>п1</v>
      </c>
      <c r="C4124" s="12" t="str">
        <f>IFERROR(VLOOKUP(D4124,'[1]Перечень товаров'!$A$2:$I9525,3,0),"")</f>
        <v>Прочее</v>
      </c>
      <c r="D4124" s="44" t="s">
        <v>37</v>
      </c>
      <c r="E4124" s="88"/>
      <c r="F4124" s="88"/>
      <c r="G4124" s="59">
        <v>1</v>
      </c>
      <c r="H4124" s="59"/>
      <c r="I4124" s="60"/>
      <c r="J4124" s="60"/>
      <c r="K4124" s="19"/>
      <c r="L4124" s="20"/>
      <c r="M4124" s="10"/>
      <c r="N4124" s="10"/>
      <c r="O4124" s="10"/>
      <c r="P4124" s="10"/>
      <c r="Q4124" s="10"/>
      <c r="R4124" s="10"/>
      <c r="S4124" s="10"/>
      <c r="T4124" s="10"/>
      <c r="U4124" s="10"/>
      <c r="V4124" s="10"/>
      <c r="W4124" s="10"/>
      <c r="X4124" s="10"/>
      <c r="Y4124" s="10"/>
      <c r="Z4124" s="10"/>
      <c r="AA4124" s="10"/>
      <c r="AB4124" s="10"/>
      <c r="AC4124" s="10"/>
      <c r="AD4124" s="10"/>
      <c r="AE4124" s="10"/>
      <c r="AF4124" s="10"/>
      <c r="AG4124" s="10"/>
      <c r="AH4124" s="10"/>
    </row>
    <row r="4125" spans="1:34" outlineLevel="1">
      <c r="A4125" s="21"/>
      <c r="B4125" s="12" t="str">
        <f>IFERROR(VLOOKUP(D4125,'[1]Перечень товаров'!$A$2:$I9525,2,0),"")</f>
        <v/>
      </c>
      <c r="C4125" s="12" t="str">
        <f>IFERROR(VLOOKUP(D4125,'[1]Перечень товаров'!$A$2:$I9525,3,0),"")</f>
        <v/>
      </c>
      <c r="D4125" s="22" t="s">
        <v>1139</v>
      </c>
      <c r="E4125" s="23">
        <v>19.7</v>
      </c>
      <c r="F4125" s="23"/>
      <c r="G4125" s="24"/>
      <c r="H4125" s="24"/>
      <c r="I4125" s="25"/>
      <c r="J4125" s="25"/>
      <c r="K4125" s="19"/>
      <c r="L4125" s="20"/>
      <c r="M4125" s="10"/>
      <c r="N4125" s="10"/>
      <c r="O4125" s="10"/>
      <c r="P4125" s="10"/>
      <c r="Q4125" s="10"/>
      <c r="R4125" s="10"/>
      <c r="S4125" s="10"/>
      <c r="T4125" s="10"/>
      <c r="U4125" s="10"/>
      <c r="V4125" s="10"/>
      <c r="W4125" s="10"/>
      <c r="X4125" s="10"/>
      <c r="Y4125" s="10"/>
      <c r="Z4125" s="10"/>
      <c r="AA4125" s="10"/>
      <c r="AB4125" s="10"/>
      <c r="AC4125" s="10"/>
      <c r="AD4125" s="10"/>
      <c r="AE4125" s="10"/>
      <c r="AF4125" s="10"/>
      <c r="AG4125" s="10"/>
      <c r="AH4125" s="10"/>
    </row>
    <row r="4126" spans="1:34" outlineLevel="1">
      <c r="A4126" s="21"/>
      <c r="B4126" s="12" t="str">
        <f>IFERROR(VLOOKUP(D4126,'[1]Перечень товаров'!$A$2:$I9525,2,0),"")</f>
        <v/>
      </c>
      <c r="C4126" s="12" t="str">
        <f>IFERROR(VLOOKUP(D4126,'[1]Перечень товаров'!$A$2:$I9525,3,0),"")</f>
        <v/>
      </c>
      <c r="D4126" s="22" t="s">
        <v>1139</v>
      </c>
      <c r="E4126" s="23">
        <v>19.600000000000001</v>
      </c>
      <c r="F4126" s="23"/>
      <c r="G4126" s="24"/>
      <c r="H4126" s="24"/>
      <c r="I4126" s="25"/>
      <c r="J4126" s="25"/>
      <c r="K4126" s="19"/>
      <c r="L4126" s="20"/>
      <c r="M4126" s="10"/>
      <c r="N4126" s="10"/>
      <c r="O4126" s="10"/>
      <c r="P4126" s="10"/>
      <c r="Q4126" s="10"/>
      <c r="R4126" s="10"/>
      <c r="S4126" s="10"/>
      <c r="T4126" s="10"/>
      <c r="U4126" s="10"/>
      <c r="V4126" s="10"/>
      <c r="W4126" s="10"/>
      <c r="X4126" s="10"/>
      <c r="Y4126" s="10"/>
      <c r="Z4126" s="10"/>
      <c r="AA4126" s="10"/>
      <c r="AB4126" s="10"/>
      <c r="AC4126" s="10"/>
      <c r="AD4126" s="10"/>
      <c r="AE4126" s="10"/>
      <c r="AF4126" s="10"/>
      <c r="AG4126" s="10"/>
      <c r="AH4126" s="10"/>
    </row>
    <row r="4127" spans="1:34" outlineLevel="1">
      <c r="A4127" s="21"/>
      <c r="B4127" s="12" t="str">
        <f>IFERROR(VLOOKUP(D4127,'[1]Перечень товаров'!$A$2:$I9525,2,0),"")</f>
        <v/>
      </c>
      <c r="C4127" s="12" t="str">
        <f>IFERROR(VLOOKUP(D4127,'[1]Перечень товаров'!$A$2:$I9525,3,0),"")</f>
        <v/>
      </c>
      <c r="D4127" s="22" t="s">
        <v>1139</v>
      </c>
      <c r="E4127" s="23">
        <v>19.2</v>
      </c>
      <c r="F4127" s="23"/>
      <c r="G4127" s="24"/>
      <c r="H4127" s="24"/>
      <c r="I4127" s="25"/>
      <c r="J4127" s="25"/>
      <c r="K4127" s="19"/>
      <c r="L4127" s="20"/>
      <c r="M4127" s="10"/>
      <c r="N4127" s="10"/>
      <c r="O4127" s="10"/>
      <c r="P4127" s="10"/>
      <c r="Q4127" s="10"/>
      <c r="R4127" s="10"/>
      <c r="S4127" s="10"/>
      <c r="T4127" s="10"/>
      <c r="U4127" s="10"/>
      <c r="V4127" s="10"/>
      <c r="W4127" s="10"/>
      <c r="X4127" s="10"/>
      <c r="Y4127" s="10"/>
      <c r="Z4127" s="10"/>
      <c r="AA4127" s="10"/>
      <c r="AB4127" s="10"/>
      <c r="AC4127" s="10"/>
      <c r="AD4127" s="10"/>
      <c r="AE4127" s="10"/>
      <c r="AF4127" s="10"/>
      <c r="AG4127" s="10"/>
      <c r="AH4127" s="10"/>
    </row>
    <row r="4128" spans="1:34" outlineLevel="1">
      <c r="A4128" s="21"/>
      <c r="B4128" s="12" t="str">
        <f>IFERROR(VLOOKUP(D4128,'[1]Перечень товаров'!$A$2:$I9525,2,0),"")</f>
        <v/>
      </c>
      <c r="C4128" s="12" t="str">
        <f>IFERROR(VLOOKUP(D4128,'[1]Перечень товаров'!$A$2:$I9525,3,0),"")</f>
        <v/>
      </c>
      <c r="D4128" s="22" t="s">
        <v>1139</v>
      </c>
      <c r="E4128" s="23">
        <v>16.8</v>
      </c>
      <c r="F4128" s="23"/>
      <c r="G4128" s="24"/>
      <c r="H4128" s="24"/>
      <c r="I4128" s="25"/>
      <c r="J4128" s="25"/>
      <c r="K4128" s="19"/>
      <c r="L4128" s="20"/>
      <c r="M4128" s="10"/>
      <c r="N4128" s="10"/>
      <c r="O4128" s="10"/>
      <c r="P4128" s="10"/>
      <c r="Q4128" s="10"/>
      <c r="R4128" s="10"/>
      <c r="S4128" s="10"/>
      <c r="T4128" s="10"/>
      <c r="U4128" s="10"/>
      <c r="V4128" s="10"/>
      <c r="W4128" s="10"/>
      <c r="X4128" s="10"/>
      <c r="Y4128" s="10"/>
      <c r="Z4128" s="10"/>
      <c r="AA4128" s="10"/>
      <c r="AB4128" s="10"/>
      <c r="AC4128" s="10"/>
      <c r="AD4128" s="10"/>
      <c r="AE4128" s="10"/>
      <c r="AF4128" s="10"/>
      <c r="AG4128" s="10"/>
      <c r="AH4128" s="10"/>
    </row>
    <row r="4129" spans="1:34" outlineLevel="1">
      <c r="A4129" s="21"/>
      <c r="B4129" s="12" t="str">
        <f>IFERROR(VLOOKUP(D4129,'[1]Перечень товаров'!$A$2:$I9525,2,0),"")</f>
        <v/>
      </c>
      <c r="C4129" s="12" t="str">
        <f>IFERROR(VLOOKUP(D4129,'[1]Перечень товаров'!$A$2:$I9525,3,0),"")</f>
        <v/>
      </c>
      <c r="D4129" s="22" t="s">
        <v>1139</v>
      </c>
      <c r="E4129" s="23">
        <v>17.100000000000001</v>
      </c>
      <c r="F4129" s="23"/>
      <c r="G4129" s="24"/>
      <c r="H4129" s="24"/>
      <c r="I4129" s="25"/>
      <c r="J4129" s="25"/>
      <c r="K4129" s="19"/>
      <c r="L4129" s="20"/>
      <c r="M4129" s="10"/>
      <c r="N4129" s="10"/>
      <c r="O4129" s="10"/>
      <c r="P4129" s="10"/>
      <c r="Q4129" s="10"/>
      <c r="R4129" s="10"/>
      <c r="S4129" s="10"/>
      <c r="T4129" s="10"/>
      <c r="U4129" s="10"/>
      <c r="V4129" s="10"/>
      <c r="W4129" s="10"/>
      <c r="X4129" s="10"/>
      <c r="Y4129" s="10"/>
      <c r="Z4129" s="10"/>
      <c r="AA4129" s="10"/>
      <c r="AB4129" s="10"/>
      <c r="AC4129" s="10"/>
      <c r="AD4129" s="10"/>
      <c r="AE4129" s="10"/>
      <c r="AF4129" s="10"/>
      <c r="AG4129" s="10"/>
      <c r="AH4129" s="10"/>
    </row>
    <row r="4130" spans="1:34" ht="12.75" outlineLevel="1">
      <c r="A4130" s="89"/>
      <c r="B4130" s="12" t="str">
        <f>IFERROR(VLOOKUP(D4130,'[1]Перечень товаров'!$A$2:$I9525,2,0),"")</f>
        <v/>
      </c>
      <c r="C4130" s="12" t="str">
        <f>IFERROR(VLOOKUP(D4130,'[1]Перечень товаров'!$A$2:$I9525,3,0),"")</f>
        <v/>
      </c>
      <c r="D4130" s="90" t="s">
        <v>1140</v>
      </c>
      <c r="E4130" s="91">
        <v>73.400000000000006</v>
      </c>
      <c r="F4130" s="91"/>
      <c r="G4130" s="17"/>
      <c r="H4130" s="17"/>
      <c r="I4130" s="57"/>
      <c r="J4130" s="57"/>
      <c r="K4130" s="19"/>
      <c r="L4130" s="20"/>
      <c r="M4130" s="10"/>
      <c r="N4130" s="10"/>
      <c r="O4130" s="10"/>
      <c r="P4130" s="10"/>
      <c r="Q4130" s="10"/>
      <c r="R4130" s="10"/>
      <c r="S4130" s="10"/>
      <c r="T4130" s="10"/>
      <c r="U4130" s="10"/>
      <c r="V4130" s="10"/>
      <c r="W4130" s="10"/>
      <c r="X4130" s="10"/>
      <c r="Y4130" s="10"/>
      <c r="Z4130" s="10"/>
      <c r="AA4130" s="10"/>
      <c r="AB4130" s="10"/>
      <c r="AC4130" s="10"/>
      <c r="AD4130" s="10"/>
      <c r="AE4130" s="10"/>
      <c r="AF4130" s="10"/>
      <c r="AG4130" s="10"/>
      <c r="AH4130" s="10"/>
    </row>
    <row r="4131" spans="1:34" ht="31.5" outlineLevel="2">
      <c r="A4131" s="28"/>
      <c r="B4131" s="12" t="str">
        <f>IFERROR(VLOOKUP(D4131,'[1]Перечень товаров'!$A$2:$I9525,2,0),"")</f>
        <v>пм165</v>
      </c>
      <c r="C4131" s="12" t="str">
        <f>IFERROR(VLOOKUP(D4131,'[1]Перечень товаров'!$A$2:$I9525,3,0),"")</f>
        <v>прочее муз</v>
      </c>
      <c r="D4131" s="29" t="s">
        <v>1141</v>
      </c>
      <c r="E4131" s="30"/>
      <c r="F4131" s="30"/>
      <c r="G4131" s="31">
        <v>4</v>
      </c>
      <c r="H4131" s="31"/>
      <c r="I4131" s="32"/>
      <c r="J4131" s="32"/>
      <c r="K4131" s="19"/>
      <c r="L4131" s="20"/>
      <c r="M4131" s="10"/>
      <c r="N4131" s="10"/>
      <c r="O4131" s="10"/>
      <c r="P4131" s="10"/>
      <c r="Q4131" s="10"/>
      <c r="R4131" s="10"/>
      <c r="S4131" s="10"/>
      <c r="T4131" s="10"/>
      <c r="U4131" s="10"/>
      <c r="V4131" s="10"/>
      <c r="W4131" s="10"/>
      <c r="X4131" s="10"/>
      <c r="Y4131" s="10"/>
      <c r="Z4131" s="10"/>
      <c r="AA4131" s="10"/>
      <c r="AB4131" s="10"/>
      <c r="AC4131" s="10"/>
      <c r="AD4131" s="10"/>
      <c r="AE4131" s="10"/>
      <c r="AF4131" s="10"/>
      <c r="AG4131" s="10"/>
      <c r="AH4131" s="10"/>
    </row>
    <row r="4132" spans="1:34" outlineLevel="2">
      <c r="A4132" s="28"/>
      <c r="B4132" s="12" t="str">
        <f>IFERROR(VLOOKUP(D4132,'[1]Перечень товаров'!$A$2:$I9525,2,0),"")</f>
        <v>тм189</v>
      </c>
      <c r="C4132" s="12" t="str">
        <f>IFERROR(VLOOKUP(D4132,'[1]Перечень товаров'!$A$2:$I9525,3,0),"")</f>
        <v>Техника муз</v>
      </c>
      <c r="D4132" s="29" t="s">
        <v>1142</v>
      </c>
      <c r="E4132" s="30"/>
      <c r="F4132" s="30"/>
      <c r="G4132" s="31">
        <v>2</v>
      </c>
      <c r="H4132" s="31"/>
      <c r="I4132" s="32"/>
      <c r="J4132" s="32"/>
      <c r="K4132" s="19"/>
      <c r="L4132" s="20"/>
      <c r="M4132" s="10"/>
      <c r="N4132" s="10"/>
      <c r="O4132" s="10"/>
      <c r="P4132" s="10"/>
      <c r="Q4132" s="10"/>
      <c r="R4132" s="10"/>
      <c r="S4132" s="10"/>
      <c r="T4132" s="10"/>
      <c r="U4132" s="10"/>
      <c r="V4132" s="10"/>
      <c r="W4132" s="10"/>
      <c r="X4132" s="10"/>
      <c r="Y4132" s="10"/>
      <c r="Z4132" s="10"/>
      <c r="AA4132" s="10"/>
      <c r="AB4132" s="10"/>
      <c r="AC4132" s="10"/>
      <c r="AD4132" s="10"/>
      <c r="AE4132" s="10"/>
      <c r="AF4132" s="10"/>
      <c r="AG4132" s="10"/>
      <c r="AH4132" s="10"/>
    </row>
    <row r="4133" spans="1:34" ht="31.5" outlineLevel="2">
      <c r="A4133" s="28"/>
      <c r="B4133" s="12" t="str">
        <f>IFERROR(VLOOKUP(D4133,'[1]Перечень товаров'!$A$2:$I9525,2,0),"")</f>
        <v>тм188</v>
      </c>
      <c r="C4133" s="12" t="str">
        <f>IFERROR(VLOOKUP(D4133,'[1]Перечень товаров'!$A$2:$I9525,3,0),"")</f>
        <v>Техника муз</v>
      </c>
      <c r="D4133" s="29" t="s">
        <v>1143</v>
      </c>
      <c r="E4133" s="30"/>
      <c r="F4133" s="30"/>
      <c r="G4133" s="31">
        <v>3</v>
      </c>
      <c r="H4133" s="31"/>
      <c r="I4133" s="32"/>
      <c r="J4133" s="32"/>
      <c r="K4133" s="19"/>
      <c r="L4133" s="20"/>
      <c r="M4133" s="10"/>
      <c r="N4133" s="10"/>
      <c r="O4133" s="10"/>
      <c r="P4133" s="10"/>
      <c r="Q4133" s="10"/>
      <c r="R4133" s="10"/>
      <c r="S4133" s="10"/>
      <c r="T4133" s="10"/>
      <c r="U4133" s="10"/>
      <c r="V4133" s="10"/>
      <c r="W4133" s="10"/>
      <c r="X4133" s="10"/>
      <c r="Y4133" s="10"/>
      <c r="Z4133" s="10"/>
      <c r="AA4133" s="10"/>
      <c r="AB4133" s="10"/>
      <c r="AC4133" s="10"/>
      <c r="AD4133" s="10"/>
      <c r="AE4133" s="10"/>
      <c r="AF4133" s="10"/>
      <c r="AG4133" s="10"/>
      <c r="AH4133" s="10"/>
    </row>
    <row r="4134" spans="1:34" ht="31.5" outlineLevel="2">
      <c r="A4134" s="28"/>
      <c r="B4134" s="12" t="str">
        <f>IFERROR(VLOOKUP(D4134,'[1]Перечень товаров'!$A$2:$I9525,2,0),"")</f>
        <v>м154</v>
      </c>
      <c r="C4134" s="12" t="str">
        <f>IFERROR(VLOOKUP(D4134,'[1]Перечень товаров'!$A$2:$I9525,3,0),"")</f>
        <v>мебель</v>
      </c>
      <c r="D4134" s="29" t="s">
        <v>1144</v>
      </c>
      <c r="E4134" s="30"/>
      <c r="F4134" s="30"/>
      <c r="G4134" s="31">
        <v>5</v>
      </c>
      <c r="H4134" s="31"/>
      <c r="I4134" s="32"/>
      <c r="J4134" s="32"/>
      <c r="K4134" s="19"/>
      <c r="L4134" s="20"/>
      <c r="M4134" s="10"/>
      <c r="N4134" s="10"/>
      <c r="O4134" s="10"/>
      <c r="P4134" s="10"/>
      <c r="Q4134" s="10"/>
      <c r="R4134" s="10"/>
      <c r="S4134" s="10"/>
      <c r="T4134" s="10"/>
      <c r="U4134" s="10"/>
      <c r="V4134" s="10"/>
      <c r="W4134" s="10"/>
      <c r="X4134" s="10"/>
      <c r="Y4134" s="10"/>
      <c r="Z4134" s="10"/>
      <c r="AA4134" s="10"/>
      <c r="AB4134" s="10"/>
      <c r="AC4134" s="10"/>
      <c r="AD4134" s="10"/>
      <c r="AE4134" s="10"/>
      <c r="AF4134" s="10"/>
      <c r="AG4134" s="10"/>
      <c r="AH4134" s="10"/>
    </row>
    <row r="4135" spans="1:34" outlineLevel="2">
      <c r="A4135" s="28"/>
      <c r="B4135" s="12" t="str">
        <f>IFERROR(VLOOKUP(D4135,'[1]Перечень товаров'!$A$2:$I9525,2,0),"")</f>
        <v>пм164</v>
      </c>
      <c r="C4135" s="12" t="str">
        <f>IFERROR(VLOOKUP(D4135,'[1]Перечень товаров'!$A$2:$I9525,3,0),"")</f>
        <v>прочее муз</v>
      </c>
      <c r="D4135" s="29" t="s">
        <v>1145</v>
      </c>
      <c r="E4135" s="30"/>
      <c r="F4135" s="30"/>
      <c r="G4135" s="31">
        <v>10</v>
      </c>
      <c r="H4135" s="31"/>
      <c r="I4135" s="32"/>
      <c r="J4135" s="32"/>
      <c r="K4135" s="19"/>
      <c r="L4135" s="20"/>
      <c r="M4135" s="10"/>
      <c r="N4135" s="10"/>
      <c r="O4135" s="10"/>
      <c r="P4135" s="10"/>
      <c r="Q4135" s="10"/>
      <c r="R4135" s="10"/>
      <c r="S4135" s="10"/>
      <c r="T4135" s="10"/>
      <c r="U4135" s="10"/>
      <c r="V4135" s="10"/>
      <c r="W4135" s="10"/>
      <c r="X4135" s="10"/>
      <c r="Y4135" s="10"/>
      <c r="Z4135" s="10"/>
      <c r="AA4135" s="10"/>
      <c r="AB4135" s="10"/>
      <c r="AC4135" s="10"/>
      <c r="AD4135" s="10"/>
      <c r="AE4135" s="10"/>
      <c r="AF4135" s="10"/>
      <c r="AG4135" s="10"/>
      <c r="AH4135" s="10"/>
    </row>
    <row r="4136" spans="1:34" outlineLevel="2">
      <c r="A4136" s="28"/>
      <c r="B4136" s="12" t="str">
        <f>IFERROR(VLOOKUP(D4136,'[1]Перечень товаров'!$A$2:$I9525,2,0),"")</f>
        <v>д543</v>
      </c>
      <c r="C4136" s="12" t="str">
        <f>IFERROR(VLOOKUP(D4136,'[1]Перечень товаров'!$A$2:$I9525,3,0),"")</f>
        <v>дидактика</v>
      </c>
      <c r="D4136" s="29" t="s">
        <v>1146</v>
      </c>
      <c r="E4136" s="30"/>
      <c r="F4136" s="30"/>
      <c r="G4136" s="31">
        <v>4</v>
      </c>
      <c r="H4136" s="31"/>
      <c r="I4136" s="32"/>
      <c r="J4136" s="32"/>
      <c r="K4136" s="19"/>
      <c r="L4136" s="20"/>
      <c r="M4136" s="10"/>
      <c r="N4136" s="10"/>
      <c r="O4136" s="10"/>
      <c r="P4136" s="10"/>
      <c r="Q4136" s="10"/>
      <c r="R4136" s="10"/>
      <c r="S4136" s="10"/>
      <c r="T4136" s="10"/>
      <c r="U4136" s="10"/>
      <c r="V4136" s="10"/>
      <c r="W4136" s="10"/>
      <c r="X4136" s="10"/>
      <c r="Y4136" s="10"/>
      <c r="Z4136" s="10"/>
      <c r="AA4136" s="10"/>
      <c r="AB4136" s="10"/>
      <c r="AC4136" s="10"/>
      <c r="AD4136" s="10"/>
      <c r="AE4136" s="10"/>
      <c r="AF4136" s="10"/>
      <c r="AG4136" s="10"/>
      <c r="AH4136" s="10"/>
    </row>
    <row r="4137" spans="1:34" outlineLevel="2">
      <c r="A4137" s="28"/>
      <c r="B4137" s="12" t="str">
        <f>IFERROR(VLOOKUP(D4137,'[1]Перечень товаров'!$A$2:$I9525,2,0),"")</f>
        <v>м153</v>
      </c>
      <c r="C4137" s="12" t="str">
        <f>IFERROR(VLOOKUP(D4137,'[1]Перечень товаров'!$A$2:$I9525,3,0),"")</f>
        <v>мебель</v>
      </c>
      <c r="D4137" s="29" t="s">
        <v>1147</v>
      </c>
      <c r="E4137" s="30"/>
      <c r="F4137" s="30"/>
      <c r="G4137" s="31">
        <v>4</v>
      </c>
      <c r="H4137" s="31"/>
      <c r="I4137" s="32"/>
      <c r="J4137" s="32"/>
      <c r="K4137" s="19"/>
      <c r="L4137" s="20"/>
      <c r="M4137" s="10"/>
      <c r="N4137" s="10"/>
      <c r="O4137" s="10"/>
      <c r="P4137" s="10"/>
      <c r="Q4137" s="10"/>
      <c r="R4137" s="10"/>
      <c r="S4137" s="10"/>
      <c r="T4137" s="10"/>
      <c r="U4137" s="10"/>
      <c r="V4137" s="10"/>
      <c r="W4137" s="10"/>
      <c r="X4137" s="10"/>
      <c r="Y4137" s="10"/>
      <c r="Z4137" s="10"/>
      <c r="AA4137" s="10"/>
      <c r="AB4137" s="10"/>
      <c r="AC4137" s="10"/>
      <c r="AD4137" s="10"/>
      <c r="AE4137" s="10"/>
      <c r="AF4137" s="10"/>
      <c r="AG4137" s="10"/>
      <c r="AH4137" s="10"/>
    </row>
    <row r="4138" spans="1:34" ht="31.5" outlineLevel="2">
      <c r="A4138" s="28"/>
      <c r="B4138" s="12" t="str">
        <f>IFERROR(VLOOKUP(D4138,'[1]Перечень товаров'!$A$2:$I9525,2,0),"")</f>
        <v>тм187</v>
      </c>
      <c r="C4138" s="12" t="str">
        <f>IFERROR(VLOOKUP(D4138,'[1]Перечень товаров'!$A$2:$I9525,3,0),"")</f>
        <v>Техника муз</v>
      </c>
      <c r="D4138" s="29" t="s">
        <v>1148</v>
      </c>
      <c r="E4138" s="30"/>
      <c r="F4138" s="30"/>
      <c r="G4138" s="31">
        <v>2</v>
      </c>
      <c r="H4138" s="31"/>
      <c r="I4138" s="32"/>
      <c r="J4138" s="32"/>
      <c r="K4138" s="19"/>
      <c r="L4138" s="20"/>
      <c r="M4138" s="10"/>
      <c r="N4138" s="10"/>
      <c r="O4138" s="10"/>
      <c r="P4138" s="10"/>
      <c r="Q4138" s="10"/>
      <c r="R4138" s="10"/>
      <c r="S4138" s="10"/>
      <c r="T4138" s="10"/>
      <c r="U4138" s="10"/>
      <c r="V4138" s="10"/>
      <c r="W4138" s="10"/>
      <c r="X4138" s="10"/>
      <c r="Y4138" s="10"/>
      <c r="Z4138" s="10"/>
      <c r="AA4138" s="10"/>
      <c r="AB4138" s="10"/>
      <c r="AC4138" s="10"/>
      <c r="AD4138" s="10"/>
      <c r="AE4138" s="10"/>
      <c r="AF4138" s="10"/>
      <c r="AG4138" s="10"/>
      <c r="AH4138" s="10"/>
    </row>
    <row r="4139" spans="1:34" ht="31.5" outlineLevel="2">
      <c r="A4139" s="28"/>
      <c r="B4139" s="12" t="str">
        <f>IFERROR(VLOOKUP(D4139,'[1]Перечень товаров'!$A$2:$I9525,2,0),"")</f>
        <v>тм186</v>
      </c>
      <c r="C4139" s="12" t="str">
        <f>IFERROR(VLOOKUP(D4139,'[1]Перечень товаров'!$A$2:$I9525,3,0),"")</f>
        <v>Техника муз</v>
      </c>
      <c r="D4139" s="29" t="s">
        <v>1149</v>
      </c>
      <c r="E4139" s="30"/>
      <c r="F4139" s="30"/>
      <c r="G4139" s="31">
        <v>2</v>
      </c>
      <c r="H4139" s="31"/>
      <c r="I4139" s="32"/>
      <c r="J4139" s="32"/>
      <c r="K4139" s="19"/>
      <c r="L4139" s="20"/>
      <c r="M4139" s="10"/>
      <c r="N4139" s="10"/>
      <c r="O4139" s="10"/>
      <c r="P4139" s="10"/>
      <c r="Q4139" s="10"/>
      <c r="R4139" s="10"/>
      <c r="S4139" s="10"/>
      <c r="T4139" s="10"/>
      <c r="U4139" s="10"/>
      <c r="V4139" s="10"/>
      <c r="W4139" s="10"/>
      <c r="X4139" s="10"/>
      <c r="Y4139" s="10"/>
      <c r="Z4139" s="10"/>
      <c r="AA4139" s="10"/>
      <c r="AB4139" s="10"/>
      <c r="AC4139" s="10"/>
      <c r="AD4139" s="10"/>
      <c r="AE4139" s="10"/>
      <c r="AF4139" s="10"/>
      <c r="AG4139" s="10"/>
      <c r="AH4139" s="10"/>
    </row>
    <row r="4140" spans="1:34" outlineLevel="2">
      <c r="A4140" s="28"/>
      <c r="B4140" s="12" t="str">
        <f>IFERROR(VLOOKUP(D4140,'[1]Перечень товаров'!$A$2:$I9525,2,0),"")</f>
        <v>пм163</v>
      </c>
      <c r="C4140" s="12" t="str">
        <f>IFERROR(VLOOKUP(D4140,'[1]Перечень товаров'!$A$2:$I9525,3,0),"")</f>
        <v>прочее муз</v>
      </c>
      <c r="D4140" s="29" t="s">
        <v>1150</v>
      </c>
      <c r="E4140" s="30"/>
      <c r="F4140" s="30"/>
      <c r="G4140" s="31">
        <v>10</v>
      </c>
      <c r="H4140" s="31"/>
      <c r="I4140" s="32"/>
      <c r="J4140" s="32"/>
      <c r="K4140" s="19"/>
      <c r="L4140" s="20"/>
      <c r="M4140" s="10"/>
      <c r="N4140" s="10"/>
      <c r="O4140" s="10"/>
      <c r="P4140" s="10"/>
      <c r="Q4140" s="10"/>
      <c r="R4140" s="10"/>
      <c r="S4140" s="10"/>
      <c r="T4140" s="10"/>
      <c r="U4140" s="10"/>
      <c r="V4140" s="10"/>
      <c r="W4140" s="10"/>
      <c r="X4140" s="10"/>
      <c r="Y4140" s="10"/>
      <c r="Z4140" s="10"/>
      <c r="AA4140" s="10"/>
      <c r="AB4140" s="10"/>
      <c r="AC4140" s="10"/>
      <c r="AD4140" s="10"/>
      <c r="AE4140" s="10"/>
      <c r="AF4140" s="10"/>
      <c r="AG4140" s="10"/>
      <c r="AH4140" s="10"/>
    </row>
    <row r="4141" spans="1:34" ht="31.5" outlineLevel="2">
      <c r="A4141" s="28"/>
      <c r="B4141" s="12" t="str">
        <f>IFERROR(VLOOKUP(D4141,'[1]Перечень товаров'!$A$2:$I9525,2,0),"")</f>
        <v>пм162</v>
      </c>
      <c r="C4141" s="12" t="str">
        <f>IFERROR(VLOOKUP(D4141,'[1]Перечень товаров'!$A$2:$I9525,3,0),"")</f>
        <v>прочее муз</v>
      </c>
      <c r="D4141" s="29" t="s">
        <v>1151</v>
      </c>
      <c r="E4141" s="30"/>
      <c r="F4141" s="30"/>
      <c r="G4141" s="31">
        <v>3</v>
      </c>
      <c r="H4141" s="31"/>
      <c r="I4141" s="32"/>
      <c r="J4141" s="32"/>
      <c r="K4141" s="19"/>
      <c r="L4141" s="20"/>
      <c r="M4141" s="10"/>
      <c r="N4141" s="10"/>
      <c r="O4141" s="10"/>
      <c r="P4141" s="10"/>
      <c r="Q4141" s="10"/>
      <c r="R4141" s="10"/>
      <c r="S4141" s="10"/>
      <c r="T4141" s="10"/>
      <c r="U4141" s="10"/>
      <c r="V4141" s="10"/>
      <c r="W4141" s="10"/>
      <c r="X4141" s="10"/>
      <c r="Y4141" s="10"/>
      <c r="Z4141" s="10"/>
      <c r="AA4141" s="10"/>
      <c r="AB4141" s="10"/>
      <c r="AC4141" s="10"/>
      <c r="AD4141" s="10"/>
      <c r="AE4141" s="10"/>
      <c r="AF4141" s="10"/>
      <c r="AG4141" s="10"/>
      <c r="AH4141" s="10"/>
    </row>
    <row r="4142" spans="1:34" outlineLevel="2">
      <c r="A4142" s="28"/>
      <c r="B4142" s="12" t="str">
        <f>IFERROR(VLOOKUP(D4142,'[1]Перечень товаров'!$A$2:$I9525,2,0),"")</f>
        <v>пм161</v>
      </c>
      <c r="C4142" s="12" t="str">
        <f>IFERROR(VLOOKUP(D4142,'[1]Перечень товаров'!$A$2:$I9525,3,0),"")</f>
        <v>прочее муз</v>
      </c>
      <c r="D4142" s="29" t="s">
        <v>1152</v>
      </c>
      <c r="E4142" s="30"/>
      <c r="F4142" s="30"/>
      <c r="G4142" s="31">
        <v>3</v>
      </c>
      <c r="H4142" s="31"/>
      <c r="I4142" s="32"/>
      <c r="J4142" s="32"/>
      <c r="K4142" s="19"/>
      <c r="L4142" s="20"/>
      <c r="M4142" s="10"/>
      <c r="N4142" s="10"/>
      <c r="O4142" s="10"/>
      <c r="P4142" s="10"/>
      <c r="Q4142" s="10"/>
      <c r="R4142" s="10"/>
      <c r="S4142" s="10"/>
      <c r="T4142" s="10"/>
      <c r="U4142" s="10"/>
      <c r="V4142" s="10"/>
      <c r="W4142" s="10"/>
      <c r="X4142" s="10"/>
      <c r="Y4142" s="10"/>
      <c r="Z4142" s="10"/>
      <c r="AA4142" s="10"/>
      <c r="AB4142" s="10"/>
      <c r="AC4142" s="10"/>
      <c r="AD4142" s="10"/>
      <c r="AE4142" s="10"/>
      <c r="AF4142" s="10"/>
      <c r="AG4142" s="10"/>
      <c r="AH4142" s="10"/>
    </row>
    <row r="4143" spans="1:34" ht="31.5" outlineLevel="2">
      <c r="A4143" s="226"/>
      <c r="B4143" s="12" t="str">
        <f>IFERROR(VLOOKUP(D4143,'[1]Перечень товаров'!$A$2:$I9525,2,0),"")</f>
        <v>пм160</v>
      </c>
      <c r="C4143" s="12" t="str">
        <f>IFERROR(VLOOKUP(D4143,'[1]Перечень товаров'!$A$2:$I9525,3,0),"")</f>
        <v>прочее муз</v>
      </c>
      <c r="D4143" s="227" t="s">
        <v>1153</v>
      </c>
      <c r="E4143" s="30"/>
      <c r="F4143" s="30"/>
      <c r="G4143" s="31">
        <v>2</v>
      </c>
      <c r="H4143" s="31"/>
      <c r="I4143" s="32"/>
      <c r="J4143" s="32"/>
      <c r="K4143" s="19"/>
      <c r="L4143" s="20"/>
      <c r="M4143" s="10"/>
      <c r="N4143" s="10"/>
      <c r="O4143" s="10"/>
      <c r="P4143" s="10"/>
      <c r="Q4143" s="10"/>
      <c r="R4143" s="10"/>
      <c r="S4143" s="10"/>
      <c r="T4143" s="10"/>
      <c r="U4143" s="10"/>
      <c r="V4143" s="10"/>
      <c r="W4143" s="10"/>
      <c r="X4143" s="10"/>
      <c r="Y4143" s="10"/>
      <c r="Z4143" s="10"/>
      <c r="AA4143" s="10"/>
      <c r="AB4143" s="10"/>
      <c r="AC4143" s="10"/>
      <c r="AD4143" s="10"/>
      <c r="AE4143" s="10"/>
      <c r="AF4143" s="10"/>
      <c r="AG4143" s="10"/>
      <c r="AH4143" s="10"/>
    </row>
    <row r="4144" spans="1:34" ht="31.5" outlineLevel="2">
      <c r="A4144" s="226"/>
      <c r="B4144" s="12" t="str">
        <f>IFERROR(VLOOKUP(D4144,'[1]Перечень товаров'!$A$2:$I9525,2,0),"")</f>
        <v>пм159</v>
      </c>
      <c r="C4144" s="12" t="str">
        <f>IFERROR(VLOOKUP(D4144,'[1]Перечень товаров'!$A$2:$I9525,3,0),"")</f>
        <v>прочее муз</v>
      </c>
      <c r="D4144" s="227" t="s">
        <v>1154</v>
      </c>
      <c r="E4144" s="30"/>
      <c r="F4144" s="30"/>
      <c r="G4144" s="31">
        <v>2</v>
      </c>
      <c r="H4144" s="31"/>
      <c r="I4144" s="32"/>
      <c r="J4144" s="32"/>
      <c r="K4144" s="19"/>
      <c r="L4144" s="20"/>
      <c r="M4144" s="10"/>
      <c r="N4144" s="10"/>
      <c r="O4144" s="10"/>
      <c r="P4144" s="10"/>
      <c r="Q4144" s="10"/>
      <c r="R4144" s="10"/>
      <c r="S4144" s="10"/>
      <c r="T4144" s="10"/>
      <c r="U4144" s="10"/>
      <c r="V4144" s="10"/>
      <c r="W4144" s="10"/>
      <c r="X4144" s="10"/>
      <c r="Y4144" s="10"/>
      <c r="Z4144" s="10"/>
      <c r="AA4144" s="10"/>
      <c r="AB4144" s="10"/>
      <c r="AC4144" s="10"/>
      <c r="AD4144" s="10"/>
      <c r="AE4144" s="10"/>
      <c r="AF4144" s="10"/>
      <c r="AG4144" s="10"/>
      <c r="AH4144" s="10"/>
    </row>
    <row r="4145" spans="1:34" outlineLevel="2">
      <c r="A4145" s="34"/>
      <c r="B4145" s="12" t="str">
        <f>IFERROR(VLOOKUP(D4145,'[1]Перечень товаров'!$A$2:$I9525,2,0),"")</f>
        <v>пм158</v>
      </c>
      <c r="C4145" s="12" t="str">
        <f>IFERROR(VLOOKUP(D4145,'[1]Перечень товаров'!$A$2:$I9525,3,0),"")</f>
        <v>прочее муз</v>
      </c>
      <c r="D4145" s="35" t="s">
        <v>1155</v>
      </c>
      <c r="E4145" s="30"/>
      <c r="F4145" s="30"/>
      <c r="G4145" s="31">
        <v>2</v>
      </c>
      <c r="H4145" s="31"/>
      <c r="I4145" s="32"/>
      <c r="J4145" s="32"/>
      <c r="K4145" s="19"/>
      <c r="L4145" s="20"/>
      <c r="M4145" s="10"/>
      <c r="N4145" s="10"/>
      <c r="O4145" s="10"/>
      <c r="P4145" s="10"/>
      <c r="Q4145" s="10"/>
      <c r="R4145" s="10"/>
      <c r="S4145" s="10"/>
      <c r="T4145" s="10"/>
      <c r="U4145" s="10"/>
      <c r="V4145" s="10"/>
      <c r="W4145" s="10"/>
      <c r="X4145" s="10"/>
      <c r="Y4145" s="10"/>
      <c r="Z4145" s="10"/>
      <c r="AA4145" s="10"/>
      <c r="AB4145" s="10"/>
      <c r="AC4145" s="10"/>
      <c r="AD4145" s="10"/>
      <c r="AE4145" s="10"/>
      <c r="AF4145" s="10"/>
      <c r="AG4145" s="10"/>
      <c r="AH4145" s="10"/>
    </row>
    <row r="4146" spans="1:34" ht="236.25" outlineLevel="2">
      <c r="A4146" s="28"/>
      <c r="B4146" s="12" t="str">
        <f>IFERROR(VLOOKUP(D4146,'[1]Перечень товаров'!$A$2:$I9525,2,0),"")</f>
        <v/>
      </c>
      <c r="C4146" s="12" t="str">
        <f>IFERROR(VLOOKUP(D4146,'[1]Перечень товаров'!$A$2:$I9525,3,0),"")</f>
        <v/>
      </c>
      <c r="D4146" s="29" t="s">
        <v>1156</v>
      </c>
      <c r="E4146" s="30"/>
      <c r="F4146" s="30"/>
      <c r="G4146" s="31">
        <v>2</v>
      </c>
      <c r="H4146" s="31"/>
      <c r="I4146" s="32"/>
      <c r="J4146" s="32"/>
      <c r="K4146" s="19"/>
      <c r="L4146" s="20"/>
      <c r="M4146" s="10"/>
      <c r="N4146" s="10"/>
      <c r="O4146" s="10"/>
      <c r="P4146" s="10"/>
      <c r="Q4146" s="10"/>
      <c r="R4146" s="10"/>
      <c r="S4146" s="10"/>
      <c r="T4146" s="10"/>
      <c r="U4146" s="10"/>
      <c r="V4146" s="10"/>
      <c r="W4146" s="10"/>
      <c r="X4146" s="10"/>
      <c r="Y4146" s="10"/>
      <c r="Z4146" s="10"/>
      <c r="AA4146" s="10"/>
      <c r="AB4146" s="10"/>
      <c r="AC4146" s="10"/>
      <c r="AD4146" s="10"/>
      <c r="AE4146" s="10"/>
      <c r="AF4146" s="10"/>
      <c r="AG4146" s="10"/>
      <c r="AH4146" s="10"/>
    </row>
    <row r="4147" spans="1:34" ht="141.75" outlineLevel="2">
      <c r="A4147" s="28"/>
      <c r="B4147" s="12" t="str">
        <f>IFERROR(VLOOKUP(D4147,'[1]Перечень товаров'!$A$2:$I9525,2,0),"")</f>
        <v>пм156</v>
      </c>
      <c r="C4147" s="12" t="str">
        <f>IFERROR(VLOOKUP(D4147,'[1]Перечень товаров'!$A$2:$I9525,3,0),"")</f>
        <v>прочее муз</v>
      </c>
      <c r="D4147" s="29" t="s">
        <v>1157</v>
      </c>
      <c r="E4147" s="30"/>
      <c r="F4147" s="30"/>
      <c r="G4147" s="31">
        <v>2</v>
      </c>
      <c r="H4147" s="31"/>
      <c r="I4147" s="32"/>
      <c r="J4147" s="32"/>
      <c r="K4147" s="19"/>
      <c r="L4147" s="20"/>
      <c r="M4147" s="10"/>
      <c r="N4147" s="10"/>
      <c r="O4147" s="10"/>
      <c r="P4147" s="10"/>
      <c r="Q4147" s="10"/>
      <c r="R4147" s="10"/>
      <c r="S4147" s="10"/>
      <c r="T4147" s="10"/>
      <c r="U4147" s="10"/>
      <c r="V4147" s="10"/>
      <c r="W4147" s="10"/>
      <c r="X4147" s="10"/>
      <c r="Y4147" s="10"/>
      <c r="Z4147" s="10"/>
      <c r="AA4147" s="10"/>
      <c r="AB4147" s="10"/>
      <c r="AC4147" s="10"/>
      <c r="AD4147" s="10"/>
      <c r="AE4147" s="10"/>
      <c r="AF4147" s="10"/>
      <c r="AG4147" s="10"/>
      <c r="AH4147" s="10"/>
    </row>
    <row r="4148" spans="1:34" ht="157.5" outlineLevel="2">
      <c r="A4148" s="34"/>
      <c r="B4148" s="12" t="str">
        <f>IFERROR(VLOOKUP(D4148,'[1]Перечень товаров'!$A$2:$I9525,2,0),"")</f>
        <v>пм155</v>
      </c>
      <c r="C4148" s="12" t="str">
        <f>IFERROR(VLOOKUP(D4148,'[1]Перечень товаров'!$A$2:$I9525,3,0),"")</f>
        <v>прочее муз</v>
      </c>
      <c r="D4148" s="35" t="s">
        <v>1158</v>
      </c>
      <c r="E4148" s="30"/>
      <c r="F4148" s="30"/>
      <c r="G4148" s="31">
        <v>2</v>
      </c>
      <c r="H4148" s="31"/>
      <c r="I4148" s="32"/>
      <c r="J4148" s="32"/>
      <c r="K4148" s="19"/>
      <c r="L4148" s="20"/>
      <c r="M4148" s="10"/>
      <c r="N4148" s="10"/>
      <c r="O4148" s="10"/>
      <c r="P4148" s="10"/>
      <c r="Q4148" s="10"/>
      <c r="R4148" s="10"/>
      <c r="S4148" s="10"/>
      <c r="T4148" s="10"/>
      <c r="U4148" s="10"/>
      <c r="V4148" s="10"/>
      <c r="W4148" s="10"/>
      <c r="X4148" s="10"/>
      <c r="Y4148" s="10"/>
      <c r="Z4148" s="10"/>
      <c r="AA4148" s="10"/>
      <c r="AB4148" s="10"/>
      <c r="AC4148" s="10"/>
      <c r="AD4148" s="10"/>
      <c r="AE4148" s="10"/>
      <c r="AF4148" s="10"/>
      <c r="AG4148" s="10"/>
      <c r="AH4148" s="10"/>
    </row>
    <row r="4149" spans="1:34" ht="47.25" outlineLevel="2">
      <c r="A4149" s="226"/>
      <c r="B4149" s="12" t="str">
        <f>IFERROR(VLOOKUP(D4149,'[1]Перечень товаров'!$A$2:$I9525,2,0),"")</f>
        <v>пм154</v>
      </c>
      <c r="C4149" s="12" t="str">
        <f>IFERROR(VLOOKUP(D4149,'[1]Перечень товаров'!$A$2:$I9525,3,0),"")</f>
        <v>прочее муз</v>
      </c>
      <c r="D4149" s="227" t="s">
        <v>1159</v>
      </c>
      <c r="E4149" s="30"/>
      <c r="F4149" s="30"/>
      <c r="G4149" s="31">
        <v>4</v>
      </c>
      <c r="H4149" s="31"/>
      <c r="I4149" s="32"/>
      <c r="J4149" s="32"/>
      <c r="K4149" s="19"/>
      <c r="L4149" s="20"/>
      <c r="M4149" s="10"/>
      <c r="N4149" s="10"/>
      <c r="O4149" s="10"/>
      <c r="P4149" s="10"/>
      <c r="Q4149" s="10"/>
      <c r="R4149" s="10"/>
      <c r="S4149" s="10"/>
      <c r="T4149" s="10"/>
      <c r="U4149" s="10"/>
      <c r="V4149" s="10"/>
      <c r="W4149" s="10"/>
      <c r="X4149" s="10"/>
      <c r="Y4149" s="10"/>
      <c r="Z4149" s="10"/>
      <c r="AA4149" s="10"/>
      <c r="AB4149" s="10"/>
      <c r="AC4149" s="10"/>
      <c r="AD4149" s="10"/>
      <c r="AE4149" s="10"/>
      <c r="AF4149" s="10"/>
      <c r="AG4149" s="10"/>
      <c r="AH4149" s="10"/>
    </row>
    <row r="4150" spans="1:34" ht="204.75" outlineLevel="2">
      <c r="A4150" s="34"/>
      <c r="B4150" s="12" t="str">
        <f>IFERROR(VLOOKUP(D4150,'[1]Перечень товаров'!$A$2:$I9525,2,0),"")</f>
        <v/>
      </c>
      <c r="C4150" s="12" t="str">
        <f>IFERROR(VLOOKUP(D4150,'[1]Перечень товаров'!$A$2:$I9525,3,0),"")</f>
        <v/>
      </c>
      <c r="D4150" s="35" t="s">
        <v>1160</v>
      </c>
      <c r="E4150" s="30"/>
      <c r="F4150" s="30"/>
      <c r="G4150" s="31">
        <v>4</v>
      </c>
      <c r="H4150" s="31"/>
      <c r="I4150" s="32"/>
      <c r="J4150" s="32"/>
      <c r="K4150" s="19"/>
      <c r="L4150" s="20"/>
      <c r="M4150" s="10"/>
      <c r="N4150" s="10"/>
      <c r="O4150" s="10"/>
      <c r="P4150" s="10"/>
      <c r="Q4150" s="10"/>
      <c r="R4150" s="10"/>
      <c r="S4150" s="10"/>
      <c r="T4150" s="10"/>
      <c r="U4150" s="10"/>
      <c r="V4150" s="10"/>
      <c r="W4150" s="10"/>
      <c r="X4150" s="10"/>
      <c r="Y4150" s="10"/>
      <c r="Z4150" s="10"/>
      <c r="AA4150" s="10"/>
      <c r="AB4150" s="10"/>
      <c r="AC4150" s="10"/>
      <c r="AD4150" s="10"/>
      <c r="AE4150" s="10"/>
      <c r="AF4150" s="10"/>
      <c r="AG4150" s="10"/>
      <c r="AH4150" s="10"/>
    </row>
    <row r="4151" spans="1:34" ht="47.25" outlineLevel="2">
      <c r="A4151" s="226"/>
      <c r="B4151" s="12" t="str">
        <f>IFERROR(VLOOKUP(D4151,'[1]Перечень товаров'!$A$2:$I9525,2,0),"")</f>
        <v>пм152</v>
      </c>
      <c r="C4151" s="12" t="str">
        <f>IFERROR(VLOOKUP(D4151,'[1]Перечень товаров'!$A$2:$I9525,3,0),"")</f>
        <v>прочее муз</v>
      </c>
      <c r="D4151" s="227" t="s">
        <v>1161</v>
      </c>
      <c r="E4151" s="30"/>
      <c r="F4151" s="30"/>
      <c r="G4151" s="31">
        <v>2</v>
      </c>
      <c r="H4151" s="31"/>
      <c r="I4151" s="32"/>
      <c r="J4151" s="32"/>
      <c r="K4151" s="19"/>
      <c r="L4151" s="20"/>
      <c r="M4151" s="10"/>
      <c r="N4151" s="10"/>
      <c r="O4151" s="10"/>
      <c r="P4151" s="10"/>
      <c r="Q4151" s="10"/>
      <c r="R4151" s="10"/>
      <c r="S4151" s="10"/>
      <c r="T4151" s="10"/>
      <c r="U4151" s="10"/>
      <c r="V4151" s="10"/>
      <c r="W4151" s="10"/>
      <c r="X4151" s="10"/>
      <c r="Y4151" s="10"/>
      <c r="Z4151" s="10"/>
      <c r="AA4151" s="10"/>
      <c r="AB4151" s="10"/>
      <c r="AC4151" s="10"/>
      <c r="AD4151" s="10"/>
      <c r="AE4151" s="10"/>
      <c r="AF4151" s="10"/>
      <c r="AG4151" s="10"/>
      <c r="AH4151" s="10"/>
    </row>
    <row r="4152" spans="1:34" ht="47.25" outlineLevel="2">
      <c r="A4152" s="226"/>
      <c r="B4152" s="12" t="str">
        <f>IFERROR(VLOOKUP(D4152,'[1]Перечень товаров'!$A$2:$I9525,2,0),"")</f>
        <v>пм151</v>
      </c>
      <c r="C4152" s="12" t="str">
        <f>IFERROR(VLOOKUP(D4152,'[1]Перечень товаров'!$A$2:$I9525,3,0),"")</f>
        <v>прочее муз</v>
      </c>
      <c r="D4152" s="227" t="s">
        <v>1162</v>
      </c>
      <c r="E4152" s="30"/>
      <c r="F4152" s="30"/>
      <c r="G4152" s="31">
        <v>4</v>
      </c>
      <c r="H4152" s="31"/>
      <c r="I4152" s="32"/>
      <c r="J4152" s="32"/>
      <c r="K4152" s="19"/>
      <c r="L4152" s="20"/>
      <c r="M4152" s="10"/>
      <c r="N4152" s="10"/>
      <c r="O4152" s="10"/>
      <c r="P4152" s="10"/>
      <c r="Q4152" s="10"/>
      <c r="R4152" s="10"/>
      <c r="S4152" s="10"/>
      <c r="T4152" s="10"/>
      <c r="U4152" s="10"/>
      <c r="V4152" s="10"/>
      <c r="W4152" s="10"/>
      <c r="X4152" s="10"/>
      <c r="Y4152" s="10"/>
      <c r="Z4152" s="10"/>
      <c r="AA4152" s="10"/>
      <c r="AB4152" s="10"/>
      <c r="AC4152" s="10"/>
      <c r="AD4152" s="10"/>
      <c r="AE4152" s="10"/>
      <c r="AF4152" s="10"/>
      <c r="AG4152" s="10"/>
      <c r="AH4152" s="10"/>
    </row>
    <row r="4153" spans="1:34" ht="47.25" outlineLevel="2">
      <c r="A4153" s="226"/>
      <c r="B4153" s="12" t="str">
        <f>IFERROR(VLOOKUP(D4153,'[1]Перечень товаров'!$A$2:$I9525,2,0),"")</f>
        <v>пм150</v>
      </c>
      <c r="C4153" s="12" t="str">
        <f>IFERROR(VLOOKUP(D4153,'[1]Перечень товаров'!$A$2:$I9525,3,0),"")</f>
        <v>прочее муз</v>
      </c>
      <c r="D4153" s="227" t="s">
        <v>1163</v>
      </c>
      <c r="E4153" s="30"/>
      <c r="F4153" s="30"/>
      <c r="G4153" s="31">
        <v>4</v>
      </c>
      <c r="H4153" s="31"/>
      <c r="I4153" s="32"/>
      <c r="J4153" s="32"/>
      <c r="K4153" s="19"/>
      <c r="L4153" s="20"/>
      <c r="M4153" s="10"/>
      <c r="N4153" s="10"/>
      <c r="O4153" s="10"/>
      <c r="P4153" s="10"/>
      <c r="Q4153" s="10"/>
      <c r="R4153" s="10"/>
      <c r="S4153" s="10"/>
      <c r="T4153" s="10"/>
      <c r="U4153" s="10"/>
      <c r="V4153" s="10"/>
      <c r="W4153" s="10"/>
      <c r="X4153" s="10"/>
      <c r="Y4153" s="10"/>
      <c r="Z4153" s="10"/>
      <c r="AA4153" s="10"/>
      <c r="AB4153" s="10"/>
      <c r="AC4153" s="10"/>
      <c r="AD4153" s="10"/>
      <c r="AE4153" s="10"/>
      <c r="AF4153" s="10"/>
      <c r="AG4153" s="10"/>
      <c r="AH4153" s="10"/>
    </row>
    <row r="4154" spans="1:34" outlineLevel="2">
      <c r="A4154" s="34"/>
      <c r="B4154" s="12" t="str">
        <f>IFERROR(VLOOKUP(D4154,'[1]Перечень товаров'!$A$2:$I9525,2,0),"")</f>
        <v>пм149</v>
      </c>
      <c r="C4154" s="12" t="str">
        <f>IFERROR(VLOOKUP(D4154,'[1]Перечень товаров'!$A$2:$I9525,3,0),"")</f>
        <v>прочее муз</v>
      </c>
      <c r="D4154" s="35" t="s">
        <v>1164</v>
      </c>
      <c r="E4154" s="30"/>
      <c r="F4154" s="30"/>
      <c r="G4154" s="31">
        <v>4</v>
      </c>
      <c r="H4154" s="31"/>
      <c r="I4154" s="32"/>
      <c r="J4154" s="32"/>
      <c r="K4154" s="19"/>
      <c r="L4154" s="20"/>
      <c r="M4154" s="10"/>
      <c r="N4154" s="10"/>
      <c r="O4154" s="10"/>
      <c r="P4154" s="10"/>
      <c r="Q4154" s="10"/>
      <c r="R4154" s="10"/>
      <c r="S4154" s="10"/>
      <c r="T4154" s="10"/>
      <c r="U4154" s="10"/>
      <c r="V4154" s="10"/>
      <c r="W4154" s="10"/>
      <c r="X4154" s="10"/>
      <c r="Y4154" s="10"/>
      <c r="Z4154" s="10"/>
      <c r="AA4154" s="10"/>
      <c r="AB4154" s="10"/>
      <c r="AC4154" s="10"/>
      <c r="AD4154" s="10"/>
      <c r="AE4154" s="10"/>
      <c r="AF4154" s="10"/>
      <c r="AG4154" s="10"/>
      <c r="AH4154" s="10"/>
    </row>
    <row r="4155" spans="1:34" ht="47.25" outlineLevel="2">
      <c r="A4155" s="226"/>
      <c r="B4155" s="12" t="str">
        <f>IFERROR(VLOOKUP(D4155,'[1]Перечень товаров'!$A$2:$I9525,2,0),"")</f>
        <v>пм148</v>
      </c>
      <c r="C4155" s="12" t="str">
        <f>IFERROR(VLOOKUP(D4155,'[1]Перечень товаров'!$A$2:$I9525,3,0),"")</f>
        <v>прочее муз</v>
      </c>
      <c r="D4155" s="227" t="s">
        <v>1165</v>
      </c>
      <c r="E4155" s="30"/>
      <c r="F4155" s="30"/>
      <c r="G4155" s="31">
        <v>2</v>
      </c>
      <c r="H4155" s="31"/>
      <c r="I4155" s="32"/>
      <c r="J4155" s="32"/>
      <c r="K4155" s="19"/>
      <c r="L4155" s="20"/>
      <c r="M4155" s="10"/>
      <c r="N4155" s="10"/>
      <c r="O4155" s="10"/>
      <c r="P4155" s="10"/>
      <c r="Q4155" s="10"/>
      <c r="R4155" s="10"/>
      <c r="S4155" s="10"/>
      <c r="T4155" s="10"/>
      <c r="U4155" s="10"/>
      <c r="V4155" s="10"/>
      <c r="W4155" s="10"/>
      <c r="X4155" s="10"/>
      <c r="Y4155" s="10"/>
      <c r="Z4155" s="10"/>
      <c r="AA4155" s="10"/>
      <c r="AB4155" s="10"/>
      <c r="AC4155" s="10"/>
      <c r="AD4155" s="10"/>
      <c r="AE4155" s="10"/>
      <c r="AF4155" s="10"/>
      <c r="AG4155" s="10"/>
      <c r="AH4155" s="10"/>
    </row>
    <row r="4156" spans="1:34" outlineLevel="2">
      <c r="A4156" s="34"/>
      <c r="B4156" s="12" t="str">
        <f>IFERROR(VLOOKUP(D4156,'[1]Перечень товаров'!$A$2:$I9525,2,0),"")</f>
        <v>пм147</v>
      </c>
      <c r="C4156" s="12" t="str">
        <f>IFERROR(VLOOKUP(D4156,'[1]Перечень товаров'!$A$2:$I9525,3,0),"")</f>
        <v>прочее муз</v>
      </c>
      <c r="D4156" s="35" t="s">
        <v>1166</v>
      </c>
      <c r="E4156" s="88"/>
      <c r="F4156" s="88"/>
      <c r="G4156" s="31">
        <v>2</v>
      </c>
      <c r="H4156" s="31"/>
      <c r="I4156" s="32"/>
      <c r="J4156" s="32"/>
      <c r="K4156" s="19"/>
      <c r="L4156" s="20"/>
      <c r="M4156" s="10"/>
      <c r="N4156" s="10"/>
      <c r="O4156" s="10"/>
      <c r="P4156" s="10"/>
      <c r="Q4156" s="10"/>
      <c r="R4156" s="10"/>
      <c r="S4156" s="10"/>
      <c r="T4156" s="10"/>
      <c r="U4156" s="10"/>
      <c r="V4156" s="10"/>
      <c r="W4156" s="10"/>
      <c r="X4156" s="10"/>
      <c r="Y4156" s="10"/>
      <c r="Z4156" s="10"/>
      <c r="AA4156" s="10"/>
      <c r="AB4156" s="10"/>
      <c r="AC4156" s="10"/>
      <c r="AD4156" s="10"/>
      <c r="AE4156" s="10"/>
      <c r="AF4156" s="10"/>
      <c r="AG4156" s="10"/>
      <c r="AH4156" s="10"/>
    </row>
    <row r="4157" spans="1:34" ht="31.5" outlineLevel="2">
      <c r="A4157" s="34"/>
      <c r="B4157" s="12" t="str">
        <f>IFERROR(VLOOKUP(D4157,'[1]Перечень товаров'!$A$2:$I9525,2,0),"")</f>
        <v>пм146</v>
      </c>
      <c r="C4157" s="12" t="str">
        <f>IFERROR(VLOOKUP(D4157,'[1]Перечень товаров'!$A$2:$I9525,3,0),"")</f>
        <v>прочее муз</v>
      </c>
      <c r="D4157" s="35" t="s">
        <v>1167</v>
      </c>
      <c r="E4157" s="88"/>
      <c r="F4157" s="88"/>
      <c r="G4157" s="31">
        <v>4</v>
      </c>
      <c r="H4157" s="31"/>
      <c r="I4157" s="32"/>
      <c r="J4157" s="32"/>
      <c r="K4157" s="19"/>
      <c r="L4157" s="20"/>
      <c r="M4157" s="10"/>
      <c r="N4157" s="10"/>
      <c r="O4157" s="10"/>
      <c r="P4157" s="10"/>
      <c r="Q4157" s="10"/>
      <c r="R4157" s="10"/>
      <c r="S4157" s="10"/>
      <c r="T4157" s="10"/>
      <c r="U4157" s="10"/>
      <c r="V4157" s="10"/>
      <c r="W4157" s="10"/>
      <c r="X4157" s="10"/>
      <c r="Y4157" s="10"/>
      <c r="Z4157" s="10"/>
      <c r="AA4157" s="10"/>
      <c r="AB4157" s="10"/>
      <c r="AC4157" s="10"/>
      <c r="AD4157" s="10"/>
      <c r="AE4157" s="10"/>
      <c r="AF4157" s="10"/>
      <c r="AG4157" s="10"/>
      <c r="AH4157" s="10"/>
    </row>
    <row r="4158" spans="1:34" outlineLevel="2">
      <c r="A4158" s="34"/>
      <c r="B4158" s="12" t="str">
        <f>IFERROR(VLOOKUP(D4158,'[1]Перечень товаров'!$A$2:$I9525,2,0),"")</f>
        <v>пм145</v>
      </c>
      <c r="C4158" s="12" t="str">
        <f>IFERROR(VLOOKUP(D4158,'[1]Перечень товаров'!$A$2:$I9525,3,0),"")</f>
        <v>прочее муз</v>
      </c>
      <c r="D4158" s="35" t="s">
        <v>1168</v>
      </c>
      <c r="E4158" s="88"/>
      <c r="F4158" s="88"/>
      <c r="G4158" s="31">
        <v>2</v>
      </c>
      <c r="H4158" s="31"/>
      <c r="I4158" s="32"/>
      <c r="J4158" s="32"/>
      <c r="K4158" s="19"/>
      <c r="L4158" s="20"/>
      <c r="M4158" s="10"/>
      <c r="N4158" s="10"/>
      <c r="O4158" s="10"/>
      <c r="P4158" s="10"/>
      <c r="Q4158" s="10"/>
      <c r="R4158" s="10"/>
      <c r="S4158" s="10"/>
      <c r="T4158" s="10"/>
      <c r="U4158" s="10"/>
      <c r="V4158" s="10"/>
      <c r="W4158" s="10"/>
      <c r="X4158" s="10"/>
      <c r="Y4158" s="10"/>
      <c r="Z4158" s="10"/>
      <c r="AA4158" s="10"/>
      <c r="AB4158" s="10"/>
      <c r="AC4158" s="10"/>
      <c r="AD4158" s="10"/>
      <c r="AE4158" s="10"/>
      <c r="AF4158" s="10"/>
      <c r="AG4158" s="10"/>
      <c r="AH4158" s="10"/>
    </row>
    <row r="4159" spans="1:34" ht="189" outlineLevel="2">
      <c r="A4159" s="34"/>
      <c r="B4159" s="12" t="str">
        <f>IFERROR(VLOOKUP(D4159,'[1]Перечень товаров'!$A$2:$I9525,2,0),"")</f>
        <v/>
      </c>
      <c r="C4159" s="12" t="str">
        <f>IFERROR(VLOOKUP(D4159,'[1]Перечень товаров'!$A$2:$I9525,3,0),"")</f>
        <v/>
      </c>
      <c r="D4159" s="35" t="s">
        <v>1169</v>
      </c>
      <c r="E4159" s="34"/>
      <c r="F4159" s="34"/>
      <c r="G4159" s="31">
        <v>2</v>
      </c>
      <c r="H4159" s="31"/>
      <c r="I4159" s="32"/>
      <c r="J4159" s="32"/>
      <c r="K4159" s="19"/>
      <c r="L4159" s="20"/>
      <c r="M4159" s="10"/>
      <c r="N4159" s="10"/>
      <c r="O4159" s="10"/>
      <c r="P4159" s="10"/>
      <c r="Q4159" s="10"/>
      <c r="R4159" s="10"/>
      <c r="S4159" s="10"/>
      <c r="T4159" s="10"/>
      <c r="U4159" s="10"/>
      <c r="V4159" s="10"/>
      <c r="W4159" s="10"/>
      <c r="X4159" s="10"/>
      <c r="Y4159" s="10"/>
      <c r="Z4159" s="10"/>
      <c r="AA4159" s="10"/>
      <c r="AB4159" s="10"/>
      <c r="AC4159" s="10"/>
      <c r="AD4159" s="10"/>
      <c r="AE4159" s="10"/>
      <c r="AF4159" s="10"/>
      <c r="AG4159" s="10"/>
      <c r="AH4159" s="10"/>
    </row>
    <row r="4160" spans="1:34" ht="173.25" outlineLevel="2">
      <c r="A4160" s="34"/>
      <c r="B4160" s="12" t="str">
        <f>IFERROR(VLOOKUP(D4160,'[1]Перечень товаров'!$A$2:$I9525,2,0),"")</f>
        <v/>
      </c>
      <c r="C4160" s="12" t="str">
        <f>IFERROR(VLOOKUP(D4160,'[1]Перечень товаров'!$A$2:$I9525,3,0),"")</f>
        <v/>
      </c>
      <c r="D4160" s="35" t="s">
        <v>1170</v>
      </c>
      <c r="E4160" s="88"/>
      <c r="F4160" s="88"/>
      <c r="G4160" s="31">
        <v>2</v>
      </c>
      <c r="H4160" s="31"/>
      <c r="I4160" s="32"/>
      <c r="J4160" s="32"/>
      <c r="K4160" s="19"/>
      <c r="L4160" s="20"/>
      <c r="M4160" s="10"/>
      <c r="N4160" s="10"/>
      <c r="O4160" s="10"/>
      <c r="P4160" s="10"/>
      <c r="Q4160" s="10"/>
      <c r="R4160" s="10"/>
      <c r="S4160" s="10"/>
      <c r="T4160" s="10"/>
      <c r="U4160" s="10"/>
      <c r="V4160" s="10"/>
      <c r="W4160" s="10"/>
      <c r="X4160" s="10"/>
      <c r="Y4160" s="10"/>
      <c r="Z4160" s="10"/>
      <c r="AA4160" s="10"/>
      <c r="AB4160" s="10"/>
      <c r="AC4160" s="10"/>
      <c r="AD4160" s="10"/>
      <c r="AE4160" s="10"/>
      <c r="AF4160" s="10"/>
      <c r="AG4160" s="10"/>
      <c r="AH4160" s="10"/>
    </row>
    <row r="4161" spans="1:34" outlineLevel="2">
      <c r="A4161" s="34"/>
      <c r="B4161" s="12" t="str">
        <f>IFERROR(VLOOKUP(D4161,'[1]Перечень товаров'!$A$2:$I9525,2,0),"")</f>
        <v>пм144</v>
      </c>
      <c r="C4161" s="12" t="str">
        <f>IFERROR(VLOOKUP(D4161,'[1]Перечень товаров'!$A$2:$I9525,3,0),"")</f>
        <v>прочее муз</v>
      </c>
      <c r="D4161" s="35" t="s">
        <v>1171</v>
      </c>
      <c r="E4161" s="88"/>
      <c r="F4161" s="88"/>
      <c r="G4161" s="31">
        <v>4</v>
      </c>
      <c r="H4161" s="31"/>
      <c r="I4161" s="32"/>
      <c r="J4161" s="32"/>
      <c r="K4161" s="19"/>
      <c r="L4161" s="20"/>
      <c r="M4161" s="10"/>
      <c r="N4161" s="10"/>
      <c r="O4161" s="10"/>
      <c r="P4161" s="10"/>
      <c r="Q4161" s="10"/>
      <c r="R4161" s="10"/>
      <c r="S4161" s="10"/>
      <c r="T4161" s="10"/>
      <c r="U4161" s="10"/>
      <c r="V4161" s="10"/>
      <c r="W4161" s="10"/>
      <c r="X4161" s="10"/>
      <c r="Y4161" s="10"/>
      <c r="Z4161" s="10"/>
      <c r="AA4161" s="10"/>
      <c r="AB4161" s="10"/>
      <c r="AC4161" s="10"/>
      <c r="AD4161" s="10"/>
      <c r="AE4161" s="10"/>
      <c r="AF4161" s="10"/>
      <c r="AG4161" s="10"/>
      <c r="AH4161" s="10"/>
    </row>
    <row r="4162" spans="1:34" ht="31.5" outlineLevel="2">
      <c r="A4162" s="34"/>
      <c r="B4162" s="12" t="str">
        <f>IFERROR(VLOOKUP(D4162,'[1]Перечень товаров'!$A$2:$I9525,2,0),"")</f>
        <v>пм143</v>
      </c>
      <c r="C4162" s="12" t="str">
        <f>IFERROR(VLOOKUP(D4162,'[1]Перечень товаров'!$A$2:$I9525,3,0),"")</f>
        <v>прочее муз</v>
      </c>
      <c r="D4162" s="35" t="s">
        <v>1172</v>
      </c>
      <c r="E4162" s="88"/>
      <c r="F4162" s="88"/>
      <c r="G4162" s="31">
        <v>100</v>
      </c>
      <c r="H4162" s="31"/>
      <c r="I4162" s="32"/>
      <c r="J4162" s="32"/>
      <c r="K4162" s="19"/>
      <c r="L4162" s="20"/>
      <c r="M4162" s="10"/>
      <c r="N4162" s="10"/>
      <c r="O4162" s="10"/>
      <c r="P4162" s="10"/>
      <c r="Q4162" s="10"/>
      <c r="R4162" s="10"/>
      <c r="S4162" s="10"/>
      <c r="T4162" s="10"/>
      <c r="U4162" s="10"/>
      <c r="V4162" s="10"/>
      <c r="W4162" s="10"/>
      <c r="X4162" s="10"/>
      <c r="Y4162" s="10"/>
      <c r="Z4162" s="10"/>
      <c r="AA4162" s="10"/>
      <c r="AB4162" s="10"/>
      <c r="AC4162" s="10"/>
      <c r="AD4162" s="10"/>
      <c r="AE4162" s="10"/>
      <c r="AF4162" s="10"/>
      <c r="AG4162" s="10"/>
      <c r="AH4162" s="10"/>
    </row>
    <row r="4163" spans="1:34" ht="31.5" outlineLevel="2">
      <c r="A4163" s="34"/>
      <c r="B4163" s="12" t="str">
        <f>IFERROR(VLOOKUP(D4163,'[1]Перечень товаров'!$A$2:$I9525,2,0),"")</f>
        <v>пм142</v>
      </c>
      <c r="C4163" s="12" t="str">
        <f>IFERROR(VLOOKUP(D4163,'[1]Перечень товаров'!$A$2:$I9525,3,0),"")</f>
        <v>прочее муз</v>
      </c>
      <c r="D4163" s="35" t="s">
        <v>1173</v>
      </c>
      <c r="E4163" s="88"/>
      <c r="F4163" s="88"/>
      <c r="G4163" s="31">
        <v>20</v>
      </c>
      <c r="H4163" s="31"/>
      <c r="I4163" s="32"/>
      <c r="J4163" s="32"/>
      <c r="K4163" s="19"/>
      <c r="L4163" s="20"/>
      <c r="M4163" s="10"/>
      <c r="N4163" s="10"/>
      <c r="O4163" s="10"/>
      <c r="P4163" s="10"/>
      <c r="Q4163" s="10"/>
      <c r="R4163" s="10"/>
      <c r="S4163" s="10"/>
      <c r="T4163" s="10"/>
      <c r="U4163" s="10"/>
      <c r="V4163" s="10"/>
      <c r="W4163" s="10"/>
      <c r="X4163" s="10"/>
      <c r="Y4163" s="10"/>
      <c r="Z4163" s="10"/>
      <c r="AA4163" s="10"/>
      <c r="AB4163" s="10"/>
      <c r="AC4163" s="10"/>
      <c r="AD4163" s="10"/>
      <c r="AE4163" s="10"/>
      <c r="AF4163" s="10"/>
      <c r="AG4163" s="10"/>
      <c r="AH4163" s="10"/>
    </row>
    <row r="4164" spans="1:34" ht="31.5" outlineLevel="2">
      <c r="A4164" s="34"/>
      <c r="B4164" s="12" t="str">
        <f>IFERROR(VLOOKUP(D4164,'[1]Перечень товаров'!$A$2:$I9525,2,0),"")</f>
        <v>пм141</v>
      </c>
      <c r="C4164" s="12" t="str">
        <f>IFERROR(VLOOKUP(D4164,'[1]Перечень товаров'!$A$2:$I9525,3,0),"")</f>
        <v>прочее муз</v>
      </c>
      <c r="D4164" s="35" t="s">
        <v>1174</v>
      </c>
      <c r="E4164" s="88"/>
      <c r="F4164" s="88"/>
      <c r="G4164" s="31">
        <v>10</v>
      </c>
      <c r="H4164" s="31"/>
      <c r="I4164" s="32"/>
      <c r="J4164" s="32"/>
      <c r="K4164" s="19"/>
      <c r="L4164" s="20"/>
      <c r="M4164" s="10"/>
      <c r="N4164" s="10"/>
      <c r="O4164" s="10"/>
      <c r="P4164" s="10"/>
      <c r="Q4164" s="10"/>
      <c r="R4164" s="10"/>
      <c r="S4164" s="10"/>
      <c r="T4164" s="10"/>
      <c r="U4164" s="10"/>
      <c r="V4164" s="10"/>
      <c r="W4164" s="10"/>
      <c r="X4164" s="10"/>
      <c r="Y4164" s="10"/>
      <c r="Z4164" s="10"/>
      <c r="AA4164" s="10"/>
      <c r="AB4164" s="10"/>
      <c r="AC4164" s="10"/>
      <c r="AD4164" s="10"/>
      <c r="AE4164" s="10"/>
      <c r="AF4164" s="10"/>
      <c r="AG4164" s="10"/>
      <c r="AH4164" s="10"/>
    </row>
    <row r="4165" spans="1:34" ht="31.5" outlineLevel="2">
      <c r="A4165" s="34"/>
      <c r="B4165" s="12" t="str">
        <f>IFERROR(VLOOKUP(D4165,'[1]Перечень товаров'!$A$2:$I9525,2,0),"")</f>
        <v>пм140</v>
      </c>
      <c r="C4165" s="12" t="str">
        <f>IFERROR(VLOOKUP(D4165,'[1]Перечень товаров'!$A$2:$I9525,3,0),"")</f>
        <v>прочее муз</v>
      </c>
      <c r="D4165" s="35" t="s">
        <v>1175</v>
      </c>
      <c r="E4165" s="88"/>
      <c r="F4165" s="88"/>
      <c r="G4165" s="31">
        <v>4</v>
      </c>
      <c r="H4165" s="31"/>
      <c r="I4165" s="32"/>
      <c r="J4165" s="32"/>
      <c r="K4165" s="19"/>
      <c r="L4165" s="20"/>
      <c r="M4165" s="10"/>
      <c r="N4165" s="10"/>
      <c r="O4165" s="10"/>
      <c r="P4165" s="10"/>
      <c r="Q4165" s="10"/>
      <c r="R4165" s="10"/>
      <c r="S4165" s="10"/>
      <c r="T4165" s="10"/>
      <c r="U4165" s="10"/>
      <c r="V4165" s="10"/>
      <c r="W4165" s="10"/>
      <c r="X4165" s="10"/>
      <c r="Y4165" s="10"/>
      <c r="Z4165" s="10"/>
      <c r="AA4165" s="10"/>
      <c r="AB4165" s="10"/>
      <c r="AC4165" s="10"/>
      <c r="AD4165" s="10"/>
      <c r="AE4165" s="10"/>
      <c r="AF4165" s="10"/>
      <c r="AG4165" s="10"/>
      <c r="AH4165" s="10"/>
    </row>
    <row r="4166" spans="1:34" outlineLevel="2">
      <c r="A4166" s="34"/>
      <c r="B4166" s="12" t="str">
        <f>IFERROR(VLOOKUP(D4166,'[1]Перечень товаров'!$A$2:$I9525,2,0),"")</f>
        <v>пм139</v>
      </c>
      <c r="C4166" s="12" t="str">
        <f>IFERROR(VLOOKUP(D4166,'[1]Перечень товаров'!$A$2:$I9525,3,0),"")</f>
        <v>прочее муз</v>
      </c>
      <c r="D4166" s="35" t="s">
        <v>1176</v>
      </c>
      <c r="E4166" s="88"/>
      <c r="F4166" s="88"/>
      <c r="G4166" s="31">
        <v>5</v>
      </c>
      <c r="H4166" s="31"/>
      <c r="I4166" s="32"/>
      <c r="J4166" s="32"/>
      <c r="K4166" s="19"/>
      <c r="L4166" s="20"/>
      <c r="M4166" s="10"/>
      <c r="N4166" s="10"/>
      <c r="O4166" s="10"/>
      <c r="P4166" s="10"/>
      <c r="Q4166" s="10"/>
      <c r="R4166" s="10"/>
      <c r="S4166" s="10"/>
      <c r="T4166" s="10"/>
      <c r="U4166" s="10"/>
      <c r="V4166" s="10"/>
      <c r="W4166" s="10"/>
      <c r="X4166" s="10"/>
      <c r="Y4166" s="10"/>
      <c r="Z4166" s="10"/>
      <c r="AA4166" s="10"/>
      <c r="AB4166" s="10"/>
      <c r="AC4166" s="10"/>
      <c r="AD4166" s="10"/>
      <c r="AE4166" s="10"/>
      <c r="AF4166" s="10"/>
      <c r="AG4166" s="10"/>
      <c r="AH4166" s="10"/>
    </row>
    <row r="4167" spans="1:34" outlineLevel="2">
      <c r="A4167" s="34"/>
      <c r="B4167" s="12" t="str">
        <f>IFERROR(VLOOKUP(D4167,'[1]Перечень товаров'!$A$2:$I9525,2,0),"")</f>
        <v>пм138</v>
      </c>
      <c r="C4167" s="12" t="str">
        <f>IFERROR(VLOOKUP(D4167,'[1]Перечень товаров'!$A$2:$I9525,3,0),"")</f>
        <v>прочее муз</v>
      </c>
      <c r="D4167" s="35" t="s">
        <v>1177</v>
      </c>
      <c r="E4167" s="88"/>
      <c r="F4167" s="88"/>
      <c r="G4167" s="31">
        <v>5</v>
      </c>
      <c r="H4167" s="31"/>
      <c r="I4167" s="32"/>
      <c r="J4167" s="32"/>
      <c r="K4167" s="19"/>
      <c r="L4167" s="20"/>
      <c r="M4167" s="10"/>
      <c r="N4167" s="10"/>
      <c r="O4167" s="10"/>
      <c r="P4167" s="10"/>
      <c r="Q4167" s="10"/>
      <c r="R4167" s="10"/>
      <c r="S4167" s="10"/>
      <c r="T4167" s="10"/>
      <c r="U4167" s="10"/>
      <c r="V4167" s="10"/>
      <c r="W4167" s="10"/>
      <c r="X4167" s="10"/>
      <c r="Y4167" s="10"/>
      <c r="Z4167" s="10"/>
      <c r="AA4167" s="10"/>
      <c r="AB4167" s="10"/>
      <c r="AC4167" s="10"/>
      <c r="AD4167" s="10"/>
      <c r="AE4167" s="10"/>
      <c r="AF4167" s="10"/>
      <c r="AG4167" s="10"/>
      <c r="AH4167" s="10"/>
    </row>
    <row r="4168" spans="1:34" outlineLevel="2">
      <c r="A4168" s="34"/>
      <c r="B4168" s="12" t="str">
        <f>IFERROR(VLOOKUP(D4168,'[1]Перечень товаров'!$A$2:$I9525,2,0),"")</f>
        <v>пм137</v>
      </c>
      <c r="C4168" s="12" t="str">
        <f>IFERROR(VLOOKUP(D4168,'[1]Перечень товаров'!$A$2:$I9525,3,0),"")</f>
        <v>прочее муз</v>
      </c>
      <c r="D4168" s="35" t="s">
        <v>1178</v>
      </c>
      <c r="E4168" s="88"/>
      <c r="F4168" s="88"/>
      <c r="G4168" s="31">
        <v>3</v>
      </c>
      <c r="H4168" s="31"/>
      <c r="I4168" s="32"/>
      <c r="J4168" s="32"/>
      <c r="K4168" s="19"/>
      <c r="L4168" s="20"/>
      <c r="M4168" s="10"/>
      <c r="N4168" s="10"/>
      <c r="O4168" s="10"/>
      <c r="P4168" s="10"/>
      <c r="Q4168" s="10"/>
      <c r="R4168" s="10"/>
      <c r="S4168" s="10"/>
      <c r="T4168" s="10"/>
      <c r="U4168" s="10"/>
      <c r="V4168" s="10"/>
      <c r="W4168" s="10"/>
      <c r="X4168" s="10"/>
      <c r="Y4168" s="10"/>
      <c r="Z4168" s="10"/>
      <c r="AA4168" s="10"/>
      <c r="AB4168" s="10"/>
      <c r="AC4168" s="10"/>
      <c r="AD4168" s="10"/>
      <c r="AE4168" s="10"/>
      <c r="AF4168" s="10"/>
      <c r="AG4168" s="10"/>
      <c r="AH4168" s="10"/>
    </row>
    <row r="4169" spans="1:34" outlineLevel="2">
      <c r="A4169" s="34"/>
      <c r="B4169" s="12" t="str">
        <f>IFERROR(VLOOKUP(D4169,'[1]Перечень товаров'!$A$2:$I9525,2,0),"")</f>
        <v>пм136</v>
      </c>
      <c r="C4169" s="12" t="str">
        <f>IFERROR(VLOOKUP(D4169,'[1]Перечень товаров'!$A$2:$I9525,3,0),"")</f>
        <v>прочее муз</v>
      </c>
      <c r="D4169" s="35" t="s">
        <v>1179</v>
      </c>
      <c r="E4169" s="88"/>
      <c r="F4169" s="88"/>
      <c r="G4169" s="31">
        <v>2</v>
      </c>
      <c r="H4169" s="31"/>
      <c r="I4169" s="32"/>
      <c r="J4169" s="32"/>
      <c r="K4169" s="19"/>
      <c r="L4169" s="20"/>
      <c r="M4169" s="10"/>
      <c r="N4169" s="10"/>
      <c r="O4169" s="10"/>
      <c r="P4169" s="10"/>
      <c r="Q4169" s="10"/>
      <c r="R4169" s="10"/>
      <c r="S4169" s="10"/>
      <c r="T4169" s="10"/>
      <c r="U4169" s="10"/>
      <c r="V4169" s="10"/>
      <c r="W4169" s="10"/>
      <c r="X4169" s="10"/>
      <c r="Y4169" s="10"/>
      <c r="Z4169" s="10"/>
      <c r="AA4169" s="10"/>
      <c r="AB4169" s="10"/>
      <c r="AC4169" s="10"/>
      <c r="AD4169" s="10"/>
      <c r="AE4169" s="10"/>
      <c r="AF4169" s="10"/>
      <c r="AG4169" s="10"/>
      <c r="AH4169" s="10"/>
    </row>
    <row r="4170" spans="1:34" ht="31.5" outlineLevel="2">
      <c r="A4170" s="34"/>
      <c r="B4170" s="12" t="str">
        <f>IFERROR(VLOOKUP(D4170,'[1]Перечень товаров'!$A$2:$I9525,2,0),"")</f>
        <v>пм135</v>
      </c>
      <c r="C4170" s="12" t="str">
        <f>IFERROR(VLOOKUP(D4170,'[1]Перечень товаров'!$A$2:$I9525,3,0),"")</f>
        <v>прочее муз</v>
      </c>
      <c r="D4170" s="35" t="s">
        <v>1180</v>
      </c>
      <c r="E4170" s="88"/>
      <c r="F4170" s="88"/>
      <c r="G4170" s="31">
        <v>1</v>
      </c>
      <c r="H4170" s="31"/>
      <c r="I4170" s="32"/>
      <c r="J4170" s="32"/>
      <c r="K4170" s="19"/>
      <c r="L4170" s="20"/>
      <c r="M4170" s="10"/>
      <c r="N4170" s="10"/>
      <c r="O4170" s="10"/>
      <c r="P4170" s="10"/>
      <c r="Q4170" s="10"/>
      <c r="R4170" s="10"/>
      <c r="S4170" s="10"/>
      <c r="T4170" s="10"/>
      <c r="U4170" s="10"/>
      <c r="V4170" s="10"/>
      <c r="W4170" s="10"/>
      <c r="X4170" s="10"/>
      <c r="Y4170" s="10"/>
      <c r="Z4170" s="10"/>
      <c r="AA4170" s="10"/>
      <c r="AB4170" s="10"/>
      <c r="AC4170" s="10"/>
      <c r="AD4170" s="10"/>
      <c r="AE4170" s="10"/>
      <c r="AF4170" s="10"/>
      <c r="AG4170" s="10"/>
      <c r="AH4170" s="10"/>
    </row>
    <row r="4171" spans="1:34" ht="31.5" outlineLevel="2">
      <c r="A4171" s="34"/>
      <c r="B4171" s="12" t="str">
        <f>IFERROR(VLOOKUP(D4171,'[1]Перечень товаров'!$A$2:$I9525,2,0),"")</f>
        <v>пм134</v>
      </c>
      <c r="C4171" s="12" t="str">
        <f>IFERROR(VLOOKUP(D4171,'[1]Перечень товаров'!$A$2:$I9525,3,0),"")</f>
        <v>прочее муз</v>
      </c>
      <c r="D4171" s="35" t="s">
        <v>1181</v>
      </c>
      <c r="E4171" s="88"/>
      <c r="F4171" s="88"/>
      <c r="G4171" s="31">
        <v>1</v>
      </c>
      <c r="H4171" s="31"/>
      <c r="I4171" s="32"/>
      <c r="J4171" s="32"/>
      <c r="K4171" s="19"/>
      <c r="L4171" s="20"/>
      <c r="M4171" s="10"/>
      <c r="N4171" s="10"/>
      <c r="O4171" s="10"/>
      <c r="P4171" s="10"/>
      <c r="Q4171" s="10"/>
      <c r="R4171" s="10"/>
      <c r="S4171" s="10"/>
      <c r="T4171" s="10"/>
      <c r="U4171" s="10"/>
      <c r="V4171" s="10"/>
      <c r="W4171" s="10"/>
      <c r="X4171" s="10"/>
      <c r="Y4171" s="10"/>
      <c r="Z4171" s="10"/>
      <c r="AA4171" s="10"/>
      <c r="AB4171" s="10"/>
      <c r="AC4171" s="10"/>
      <c r="AD4171" s="10"/>
      <c r="AE4171" s="10"/>
      <c r="AF4171" s="10"/>
      <c r="AG4171" s="10"/>
      <c r="AH4171" s="10"/>
    </row>
    <row r="4172" spans="1:34" outlineLevel="2">
      <c r="A4172" s="34"/>
      <c r="B4172" s="12" t="str">
        <f>IFERROR(VLOOKUP(D4172,'[1]Перечень товаров'!$A$2:$I9525,2,0),"")</f>
        <v>т188</v>
      </c>
      <c r="C4172" s="12" t="str">
        <f>IFERROR(VLOOKUP(D4172,'[1]Перечень товаров'!$A$2:$I9525,3,0),"")</f>
        <v>Техника</v>
      </c>
      <c r="D4172" s="35" t="s">
        <v>458</v>
      </c>
      <c r="E4172" s="88"/>
      <c r="F4172" s="88"/>
      <c r="G4172" s="31">
        <v>2</v>
      </c>
      <c r="H4172" s="31"/>
      <c r="I4172" s="32"/>
      <c r="J4172" s="32"/>
      <c r="K4172" s="19"/>
      <c r="L4172" s="20"/>
      <c r="M4172" s="10"/>
      <c r="N4172" s="10"/>
      <c r="O4172" s="10"/>
      <c r="P4172" s="10"/>
      <c r="Q4172" s="10"/>
      <c r="R4172" s="10"/>
      <c r="S4172" s="10"/>
      <c r="T4172" s="10"/>
      <c r="U4172" s="10"/>
      <c r="V4172" s="10"/>
      <c r="W4172" s="10"/>
      <c r="X4172" s="10"/>
      <c r="Y4172" s="10"/>
      <c r="Z4172" s="10"/>
      <c r="AA4172" s="10"/>
      <c r="AB4172" s="10"/>
      <c r="AC4172" s="10"/>
      <c r="AD4172" s="10"/>
      <c r="AE4172" s="10"/>
      <c r="AF4172" s="10"/>
      <c r="AG4172" s="10"/>
      <c r="AH4172" s="10"/>
    </row>
    <row r="4173" spans="1:34" outlineLevel="2">
      <c r="A4173" s="34"/>
      <c r="B4173" s="12" t="str">
        <f>IFERROR(VLOOKUP(D4173,'[1]Перечень товаров'!$A$2:$I9525,2,0),"")</f>
        <v>тм76</v>
      </c>
      <c r="C4173" s="12" t="str">
        <f>IFERROR(VLOOKUP(D4173,'[1]Перечень товаров'!$A$2:$I9525,3,0),"")</f>
        <v>Техника муз</v>
      </c>
      <c r="D4173" s="35" t="s">
        <v>423</v>
      </c>
      <c r="E4173" s="88"/>
      <c r="F4173" s="88"/>
      <c r="G4173" s="31">
        <v>2</v>
      </c>
      <c r="H4173" s="31"/>
      <c r="I4173" s="32"/>
      <c r="J4173" s="32"/>
      <c r="K4173" s="19"/>
      <c r="L4173" s="20"/>
      <c r="M4173" s="10"/>
      <c r="N4173" s="10"/>
      <c r="O4173" s="10"/>
      <c r="P4173" s="10"/>
      <c r="Q4173" s="10"/>
      <c r="R4173" s="10"/>
      <c r="S4173" s="10"/>
      <c r="T4173" s="10"/>
      <c r="U4173" s="10"/>
      <c r="V4173" s="10"/>
      <c r="W4173" s="10"/>
      <c r="X4173" s="10"/>
      <c r="Y4173" s="10"/>
      <c r="Z4173" s="10"/>
      <c r="AA4173" s="10"/>
      <c r="AB4173" s="10"/>
      <c r="AC4173" s="10"/>
      <c r="AD4173" s="10"/>
      <c r="AE4173" s="10"/>
      <c r="AF4173" s="10"/>
      <c r="AG4173" s="10"/>
      <c r="AH4173" s="10"/>
    </row>
    <row r="4174" spans="1:34" outlineLevel="2">
      <c r="A4174" s="34"/>
      <c r="B4174" s="12" t="str">
        <f>IFERROR(VLOOKUP(D4174,'[1]Перечень товаров'!$A$2:$I9525,2,0),"")</f>
        <v>пм133</v>
      </c>
      <c r="C4174" s="12" t="str">
        <f>IFERROR(VLOOKUP(D4174,'[1]Перечень товаров'!$A$2:$I9525,3,0),"")</f>
        <v>прочее муз</v>
      </c>
      <c r="D4174" s="35" t="s">
        <v>1182</v>
      </c>
      <c r="E4174" s="88"/>
      <c r="F4174" s="88"/>
      <c r="G4174" s="31">
        <v>5</v>
      </c>
      <c r="H4174" s="31"/>
      <c r="I4174" s="32"/>
      <c r="J4174" s="32"/>
      <c r="K4174" s="19"/>
      <c r="L4174" s="20"/>
      <c r="M4174" s="10"/>
      <c r="N4174" s="10"/>
      <c r="O4174" s="10"/>
      <c r="P4174" s="10"/>
      <c r="Q4174" s="10"/>
      <c r="R4174" s="10"/>
      <c r="S4174" s="10"/>
      <c r="T4174" s="10"/>
      <c r="U4174" s="10"/>
      <c r="V4174" s="10"/>
      <c r="W4174" s="10"/>
      <c r="X4174" s="10"/>
      <c r="Y4174" s="10"/>
      <c r="Z4174" s="10"/>
      <c r="AA4174" s="10"/>
      <c r="AB4174" s="10"/>
      <c r="AC4174" s="10"/>
      <c r="AD4174" s="10"/>
      <c r="AE4174" s="10"/>
      <c r="AF4174" s="10"/>
      <c r="AG4174" s="10"/>
      <c r="AH4174" s="10"/>
    </row>
    <row r="4175" spans="1:34" outlineLevel="2">
      <c r="A4175" s="34"/>
      <c r="B4175" s="12" t="str">
        <f>IFERROR(VLOOKUP(D4175,'[1]Перечень товаров'!$A$2:$I9525,2,0),"")</f>
        <v>пм132</v>
      </c>
      <c r="C4175" s="12" t="str">
        <f>IFERROR(VLOOKUP(D4175,'[1]Перечень товаров'!$A$2:$I9525,3,0),"")</f>
        <v>прочее муз</v>
      </c>
      <c r="D4175" s="35" t="s">
        <v>1183</v>
      </c>
      <c r="E4175" s="88"/>
      <c r="F4175" s="88"/>
      <c r="G4175" s="31">
        <v>1</v>
      </c>
      <c r="H4175" s="31"/>
      <c r="I4175" s="32"/>
      <c r="J4175" s="32"/>
      <c r="K4175" s="19"/>
      <c r="L4175" s="20"/>
      <c r="M4175" s="10"/>
      <c r="N4175" s="10"/>
      <c r="O4175" s="10"/>
      <c r="P4175" s="10"/>
      <c r="Q4175" s="10"/>
      <c r="R4175" s="10"/>
      <c r="S4175" s="10"/>
      <c r="T4175" s="10"/>
      <c r="U4175" s="10"/>
      <c r="V4175" s="10"/>
      <c r="W4175" s="10"/>
      <c r="X4175" s="10"/>
      <c r="Y4175" s="10"/>
      <c r="Z4175" s="10"/>
      <c r="AA4175" s="10"/>
      <c r="AB4175" s="10"/>
      <c r="AC4175" s="10"/>
      <c r="AD4175" s="10"/>
      <c r="AE4175" s="10"/>
      <c r="AF4175" s="10"/>
      <c r="AG4175" s="10"/>
      <c r="AH4175" s="10"/>
    </row>
    <row r="4176" spans="1:34" ht="31.5" outlineLevel="2">
      <c r="A4176" s="34"/>
      <c r="B4176" s="12" t="str">
        <f>IFERROR(VLOOKUP(D4176,'[1]Перечень товаров'!$A$2:$I9525,2,0),"")</f>
        <v>пм131</v>
      </c>
      <c r="C4176" s="12" t="str">
        <f>IFERROR(VLOOKUP(D4176,'[1]Перечень товаров'!$A$2:$I9525,3,0),"")</f>
        <v>прочее муз</v>
      </c>
      <c r="D4176" s="35" t="s">
        <v>1184</v>
      </c>
      <c r="E4176" s="88"/>
      <c r="F4176" s="88"/>
      <c r="G4176" s="31">
        <v>2</v>
      </c>
      <c r="H4176" s="31"/>
      <c r="I4176" s="32"/>
      <c r="J4176" s="32"/>
      <c r="K4176" s="19"/>
      <c r="L4176" s="20"/>
      <c r="M4176" s="10"/>
      <c r="N4176" s="10"/>
      <c r="O4176" s="10"/>
      <c r="P4176" s="10"/>
      <c r="Q4176" s="10"/>
      <c r="R4176" s="10"/>
      <c r="S4176" s="10"/>
      <c r="T4176" s="10"/>
      <c r="U4176" s="10"/>
      <c r="V4176" s="10"/>
      <c r="W4176" s="10"/>
      <c r="X4176" s="10"/>
      <c r="Y4176" s="10"/>
      <c r="Z4176" s="10"/>
      <c r="AA4176" s="10"/>
      <c r="AB4176" s="10"/>
      <c r="AC4176" s="10"/>
      <c r="AD4176" s="10"/>
      <c r="AE4176" s="10"/>
      <c r="AF4176" s="10"/>
      <c r="AG4176" s="10"/>
      <c r="AH4176" s="10"/>
    </row>
    <row r="4177" spans="1:34" outlineLevel="2">
      <c r="A4177" s="34"/>
      <c r="B4177" s="12" t="str">
        <f>IFERROR(VLOOKUP(D4177,'[1]Перечень товаров'!$A$2:$I9525,2,0),"")</f>
        <v>пм130</v>
      </c>
      <c r="C4177" s="12" t="str">
        <f>IFERROR(VLOOKUP(D4177,'[1]Перечень товаров'!$A$2:$I9525,3,0),"")</f>
        <v>прочее муз</v>
      </c>
      <c r="D4177" s="35" t="s">
        <v>1185</v>
      </c>
      <c r="E4177" s="88"/>
      <c r="F4177" s="88"/>
      <c r="G4177" s="31">
        <v>5</v>
      </c>
      <c r="H4177" s="31"/>
      <c r="I4177" s="32"/>
      <c r="J4177" s="32"/>
      <c r="K4177" s="19"/>
      <c r="L4177" s="20"/>
      <c r="M4177" s="10"/>
      <c r="N4177" s="10"/>
      <c r="O4177" s="10"/>
      <c r="P4177" s="10"/>
      <c r="Q4177" s="10"/>
      <c r="R4177" s="10"/>
      <c r="S4177" s="10"/>
      <c r="T4177" s="10"/>
      <c r="U4177" s="10"/>
      <c r="V4177" s="10"/>
      <c r="W4177" s="10"/>
      <c r="X4177" s="10"/>
      <c r="Y4177" s="10"/>
      <c r="Z4177" s="10"/>
      <c r="AA4177" s="10"/>
      <c r="AB4177" s="10"/>
      <c r="AC4177" s="10"/>
      <c r="AD4177" s="10"/>
      <c r="AE4177" s="10"/>
      <c r="AF4177" s="10"/>
      <c r="AG4177" s="10"/>
      <c r="AH4177" s="10"/>
    </row>
    <row r="4178" spans="1:34" ht="236.25" outlineLevel="2">
      <c r="A4178" s="228"/>
      <c r="B4178" s="12" t="str">
        <f>IFERROR(VLOOKUP(D4178,'[1]Перечень товаров'!$A$2:$I9525,2,0),"")</f>
        <v/>
      </c>
      <c r="C4178" s="12" t="str">
        <f>IFERROR(VLOOKUP(D4178,'[1]Перечень товаров'!$A$2:$I9525,3,0),"")</f>
        <v/>
      </c>
      <c r="D4178" s="229" t="s">
        <v>1186</v>
      </c>
      <c r="E4178" s="30"/>
      <c r="F4178" s="30"/>
      <c r="G4178" s="31">
        <v>7</v>
      </c>
      <c r="H4178" s="31"/>
      <c r="I4178" s="32"/>
      <c r="J4178" s="32"/>
      <c r="K4178" s="19"/>
      <c r="L4178" s="20"/>
      <c r="M4178" s="10"/>
      <c r="N4178" s="10"/>
      <c r="O4178" s="10"/>
      <c r="P4178" s="10"/>
      <c r="Q4178" s="10"/>
      <c r="R4178" s="10"/>
      <c r="S4178" s="10"/>
      <c r="T4178" s="10"/>
      <c r="U4178" s="10"/>
      <c r="V4178" s="10"/>
      <c r="W4178" s="10"/>
      <c r="X4178" s="10"/>
      <c r="Y4178" s="10"/>
      <c r="Z4178" s="10"/>
      <c r="AA4178" s="10"/>
      <c r="AB4178" s="10"/>
      <c r="AC4178" s="10"/>
      <c r="AD4178" s="10"/>
      <c r="AE4178" s="10"/>
      <c r="AF4178" s="10"/>
      <c r="AG4178" s="10"/>
      <c r="AH4178" s="10"/>
    </row>
    <row r="4179" spans="1:34" ht="236.25" outlineLevel="2">
      <c r="A4179" s="34"/>
      <c r="B4179" s="12" t="str">
        <f>IFERROR(VLOOKUP(D4179,'[1]Перечень товаров'!$A$2:$I9525,2,0),"")</f>
        <v/>
      </c>
      <c r="C4179" s="12" t="str">
        <f>IFERROR(VLOOKUP(D4179,'[1]Перечень товаров'!$A$2:$I9525,3,0),"")</f>
        <v/>
      </c>
      <c r="D4179" s="35" t="s">
        <v>1187</v>
      </c>
      <c r="E4179" s="88"/>
      <c r="F4179" s="88"/>
      <c r="G4179" s="31">
        <v>2</v>
      </c>
      <c r="H4179" s="31"/>
      <c r="I4179" s="32"/>
      <c r="J4179" s="32"/>
      <c r="K4179" s="19"/>
      <c r="L4179" s="20"/>
      <c r="M4179" s="10"/>
      <c r="N4179" s="10"/>
      <c r="O4179" s="10"/>
      <c r="P4179" s="10"/>
      <c r="Q4179" s="10"/>
      <c r="R4179" s="10"/>
      <c r="S4179" s="10"/>
      <c r="T4179" s="10"/>
      <c r="U4179" s="10"/>
      <c r="V4179" s="10"/>
      <c r="W4179" s="10"/>
      <c r="X4179" s="10"/>
      <c r="Y4179" s="10"/>
      <c r="Z4179" s="10"/>
      <c r="AA4179" s="10"/>
      <c r="AB4179" s="10"/>
      <c r="AC4179" s="10"/>
      <c r="AD4179" s="10"/>
      <c r="AE4179" s="10"/>
      <c r="AF4179" s="10"/>
      <c r="AG4179" s="10"/>
      <c r="AH4179" s="10"/>
    </row>
    <row r="4180" spans="1:34" ht="141.75" outlineLevel="2">
      <c r="A4180" s="34"/>
      <c r="B4180" s="12" t="str">
        <f>IFERROR(VLOOKUP(D4180,'[1]Перечень товаров'!$A$2:$I9525,2,0),"")</f>
        <v>тм181</v>
      </c>
      <c r="C4180" s="12" t="str">
        <f>IFERROR(VLOOKUP(D4180,'[1]Перечень товаров'!$A$2:$I9525,3,0),"")</f>
        <v>Техника муз</v>
      </c>
      <c r="D4180" s="35" t="s">
        <v>1188</v>
      </c>
      <c r="E4180" s="30"/>
      <c r="F4180" s="30"/>
      <c r="G4180" s="31">
        <v>1</v>
      </c>
      <c r="H4180" s="31"/>
      <c r="I4180" s="32"/>
      <c r="J4180" s="32"/>
      <c r="K4180" s="19"/>
      <c r="L4180" s="20"/>
      <c r="M4180" s="10"/>
      <c r="N4180" s="10"/>
      <c r="O4180" s="10"/>
      <c r="P4180" s="10"/>
      <c r="Q4180" s="10"/>
      <c r="R4180" s="10"/>
      <c r="S4180" s="10"/>
      <c r="T4180" s="10"/>
      <c r="U4180" s="10"/>
      <c r="V4180" s="10"/>
      <c r="W4180" s="10"/>
      <c r="X4180" s="10"/>
      <c r="Y4180" s="10"/>
      <c r="Z4180" s="10"/>
      <c r="AA4180" s="10"/>
      <c r="AB4180" s="10"/>
      <c r="AC4180" s="10"/>
      <c r="AD4180" s="10"/>
      <c r="AE4180" s="10"/>
      <c r="AF4180" s="10"/>
      <c r="AG4180" s="10"/>
      <c r="AH4180" s="10"/>
    </row>
    <row r="4181" spans="1:34" ht="63" outlineLevel="2">
      <c r="A4181" s="34"/>
      <c r="B4181" s="12" t="str">
        <f>IFERROR(VLOOKUP(D4181,'[1]Перечень товаров'!$A$2:$I9525,2,0),"")</f>
        <v>тм180</v>
      </c>
      <c r="C4181" s="12" t="str">
        <f>IFERROR(VLOOKUP(D4181,'[1]Перечень товаров'!$A$2:$I9525,3,0),"")</f>
        <v>Техника муз</v>
      </c>
      <c r="D4181" s="35" t="s">
        <v>1189</v>
      </c>
      <c r="E4181" s="30"/>
      <c r="F4181" s="30"/>
      <c r="G4181" s="31">
        <v>1</v>
      </c>
      <c r="H4181" s="31"/>
      <c r="I4181" s="32"/>
      <c r="J4181" s="32"/>
      <c r="K4181" s="19"/>
      <c r="L4181" s="20"/>
      <c r="M4181" s="10"/>
      <c r="N4181" s="10"/>
      <c r="O4181" s="10"/>
      <c r="P4181" s="10"/>
      <c r="Q4181" s="10"/>
      <c r="R4181" s="10"/>
      <c r="S4181" s="10"/>
      <c r="T4181" s="10"/>
      <c r="U4181" s="10"/>
      <c r="V4181" s="10"/>
      <c r="W4181" s="10"/>
      <c r="X4181" s="10"/>
      <c r="Y4181" s="10"/>
      <c r="Z4181" s="10"/>
      <c r="AA4181" s="10"/>
      <c r="AB4181" s="10"/>
      <c r="AC4181" s="10"/>
      <c r="AD4181" s="10"/>
      <c r="AE4181" s="10"/>
      <c r="AF4181" s="10"/>
      <c r="AG4181" s="10"/>
      <c r="AH4181" s="10"/>
    </row>
    <row r="4182" spans="1:34" ht="189" outlineLevel="2">
      <c r="A4182" s="34"/>
      <c r="B4182" s="12" t="str">
        <f>IFERROR(VLOOKUP(D4182,'[1]Перечень товаров'!$A$2:$I9525,2,0),"")</f>
        <v/>
      </c>
      <c r="C4182" s="12" t="str">
        <f>IFERROR(VLOOKUP(D4182,'[1]Перечень товаров'!$A$2:$I9525,3,0),"")</f>
        <v/>
      </c>
      <c r="D4182" s="35" t="s">
        <v>1190</v>
      </c>
      <c r="E4182" s="30"/>
      <c r="F4182" s="30"/>
      <c r="G4182" s="31">
        <v>1</v>
      </c>
      <c r="H4182" s="31"/>
      <c r="I4182" s="32"/>
      <c r="J4182" s="32"/>
      <c r="K4182" s="19"/>
      <c r="L4182" s="20"/>
      <c r="M4182" s="10"/>
      <c r="N4182" s="10"/>
      <c r="O4182" s="10"/>
      <c r="P4182" s="10"/>
      <c r="Q4182" s="10"/>
      <c r="R4182" s="10"/>
      <c r="S4182" s="10"/>
      <c r="T4182" s="10"/>
      <c r="U4182" s="10"/>
      <c r="V4182" s="10"/>
      <c r="W4182" s="10"/>
      <c r="X4182" s="10"/>
      <c r="Y4182" s="10"/>
      <c r="Z4182" s="10"/>
      <c r="AA4182" s="10"/>
      <c r="AB4182" s="10"/>
      <c r="AC4182" s="10"/>
      <c r="AD4182" s="10"/>
      <c r="AE4182" s="10"/>
      <c r="AF4182" s="10"/>
      <c r="AG4182" s="10"/>
      <c r="AH4182" s="10"/>
    </row>
    <row r="4183" spans="1:34" ht="47.25" outlineLevel="2">
      <c r="A4183" s="34"/>
      <c r="B4183" s="12" t="str">
        <f>IFERROR(VLOOKUP(D4183,'[1]Перечень товаров'!$A$2:$I9525,2,0),"")</f>
        <v>тм178</v>
      </c>
      <c r="C4183" s="12" t="str">
        <f>IFERROR(VLOOKUP(D4183,'[1]Перечень товаров'!$A$2:$I9525,3,0),"")</f>
        <v>Техника муз</v>
      </c>
      <c r="D4183" s="35" t="s">
        <v>1191</v>
      </c>
      <c r="E4183" s="30"/>
      <c r="F4183" s="30"/>
      <c r="G4183" s="31">
        <v>1</v>
      </c>
      <c r="H4183" s="31"/>
      <c r="I4183" s="32"/>
      <c r="J4183" s="32"/>
      <c r="K4183" s="19"/>
      <c r="L4183" s="20"/>
      <c r="M4183" s="10"/>
      <c r="N4183" s="10"/>
      <c r="O4183" s="10"/>
      <c r="P4183" s="10"/>
      <c r="Q4183" s="10"/>
      <c r="R4183" s="10"/>
      <c r="S4183" s="10"/>
      <c r="T4183" s="10"/>
      <c r="U4183" s="10"/>
      <c r="V4183" s="10"/>
      <c r="W4183" s="10"/>
      <c r="X4183" s="10"/>
      <c r="Y4183" s="10"/>
      <c r="Z4183" s="10"/>
      <c r="AA4183" s="10"/>
      <c r="AB4183" s="10"/>
      <c r="AC4183" s="10"/>
      <c r="AD4183" s="10"/>
      <c r="AE4183" s="10"/>
      <c r="AF4183" s="10"/>
      <c r="AG4183" s="10"/>
      <c r="AH4183" s="10"/>
    </row>
    <row r="4184" spans="1:34" ht="141.75" outlineLevel="2">
      <c r="A4184" s="34"/>
      <c r="B4184" s="12" t="str">
        <f>IFERROR(VLOOKUP(D4184,'[1]Перечень товаров'!$A$2:$I9525,2,0),"")</f>
        <v>тм177</v>
      </c>
      <c r="C4184" s="12" t="str">
        <f>IFERROR(VLOOKUP(D4184,'[1]Перечень товаров'!$A$2:$I9525,3,0),"")</f>
        <v>Техника муз</v>
      </c>
      <c r="D4184" s="35" t="s">
        <v>1192</v>
      </c>
      <c r="E4184" s="30"/>
      <c r="F4184" s="30"/>
      <c r="G4184" s="31">
        <v>1</v>
      </c>
      <c r="H4184" s="31"/>
      <c r="I4184" s="32"/>
      <c r="J4184" s="32"/>
      <c r="K4184" s="19"/>
      <c r="L4184" s="20"/>
      <c r="M4184" s="10"/>
      <c r="N4184" s="10"/>
      <c r="O4184" s="10"/>
      <c r="P4184" s="10"/>
      <c r="Q4184" s="10"/>
      <c r="R4184" s="10"/>
      <c r="S4184" s="10"/>
      <c r="T4184" s="10"/>
      <c r="U4184" s="10"/>
      <c r="V4184" s="10"/>
      <c r="W4184" s="10"/>
      <c r="X4184" s="10"/>
      <c r="Y4184" s="10"/>
      <c r="Z4184" s="10"/>
      <c r="AA4184" s="10"/>
      <c r="AB4184" s="10"/>
      <c r="AC4184" s="10"/>
      <c r="AD4184" s="10"/>
      <c r="AE4184" s="10"/>
      <c r="AF4184" s="10"/>
      <c r="AG4184" s="10"/>
      <c r="AH4184" s="10"/>
    </row>
    <row r="4185" spans="1:34" ht="110.25" outlineLevel="2">
      <c r="A4185" s="28"/>
      <c r="B4185" s="12" t="str">
        <f>IFERROR(VLOOKUP(D4185,'[1]Перечень товаров'!$A$2:$I9525,2,0),"")</f>
        <v>тм176</v>
      </c>
      <c r="C4185" s="12" t="str">
        <f>IFERROR(VLOOKUP(D4185,'[1]Перечень товаров'!$A$2:$I9525,3,0),"")</f>
        <v>Техника муз</v>
      </c>
      <c r="D4185" s="29" t="s">
        <v>1193</v>
      </c>
      <c r="E4185" s="30"/>
      <c r="F4185" s="30"/>
      <c r="G4185" s="31">
        <v>1</v>
      </c>
      <c r="H4185" s="31"/>
      <c r="I4185" s="32"/>
      <c r="J4185" s="32"/>
      <c r="K4185" s="19"/>
      <c r="L4185" s="20"/>
      <c r="M4185" s="10"/>
      <c r="N4185" s="10"/>
      <c r="O4185" s="10"/>
      <c r="P4185" s="10"/>
      <c r="Q4185" s="10"/>
      <c r="R4185" s="10"/>
      <c r="S4185" s="10"/>
      <c r="T4185" s="10"/>
      <c r="U4185" s="10"/>
      <c r="V4185" s="10"/>
      <c r="W4185" s="10"/>
      <c r="X4185" s="10"/>
      <c r="Y4185" s="10"/>
      <c r="Z4185" s="10"/>
      <c r="AA4185" s="10"/>
      <c r="AB4185" s="10"/>
      <c r="AC4185" s="10"/>
      <c r="AD4185" s="10"/>
      <c r="AE4185" s="10"/>
      <c r="AF4185" s="10"/>
      <c r="AG4185" s="10"/>
      <c r="AH4185" s="10"/>
    </row>
    <row r="4186" spans="1:34" ht="31.5" outlineLevel="2">
      <c r="A4186" s="34"/>
      <c r="B4186" s="12" t="str">
        <f>IFERROR(VLOOKUP(D4186,'[1]Перечень товаров'!$A$2:$I9525,2,0),"")</f>
        <v>тм175</v>
      </c>
      <c r="C4186" s="12" t="str">
        <f>IFERROR(VLOOKUP(D4186,'[1]Перечень товаров'!$A$2:$I9525,3,0),"")</f>
        <v>Техника муз</v>
      </c>
      <c r="D4186" s="35" t="s">
        <v>1194</v>
      </c>
      <c r="E4186" s="30"/>
      <c r="F4186" s="30"/>
      <c r="G4186" s="31">
        <v>1</v>
      </c>
      <c r="H4186" s="31"/>
      <c r="I4186" s="32"/>
      <c r="J4186" s="32"/>
      <c r="K4186" s="19"/>
      <c r="L4186" s="20"/>
      <c r="M4186" s="10"/>
      <c r="N4186" s="10"/>
      <c r="O4186" s="10"/>
      <c r="P4186" s="10"/>
      <c r="Q4186" s="10"/>
      <c r="R4186" s="10"/>
      <c r="S4186" s="10"/>
      <c r="T4186" s="10"/>
      <c r="U4186" s="10"/>
      <c r="V4186" s="10"/>
      <c r="W4186" s="10"/>
      <c r="X4186" s="10"/>
      <c r="Y4186" s="10"/>
      <c r="Z4186" s="10"/>
      <c r="AA4186" s="10"/>
      <c r="AB4186" s="10"/>
      <c r="AC4186" s="10"/>
      <c r="AD4186" s="10"/>
      <c r="AE4186" s="10"/>
      <c r="AF4186" s="10"/>
      <c r="AG4186" s="10"/>
      <c r="AH4186" s="10"/>
    </row>
    <row r="4187" spans="1:34" ht="31.5" outlineLevel="2">
      <c r="A4187" s="28"/>
      <c r="B4187" s="12" t="str">
        <f>IFERROR(VLOOKUP(D4187,'[1]Перечень товаров'!$A$2:$I9525,2,0),"")</f>
        <v>тм174</v>
      </c>
      <c r="C4187" s="12" t="str">
        <f>IFERROR(VLOOKUP(D4187,'[1]Перечень товаров'!$A$2:$I9525,3,0),"")</f>
        <v>Техника муз</v>
      </c>
      <c r="D4187" s="29" t="s">
        <v>1195</v>
      </c>
      <c r="E4187" s="30"/>
      <c r="F4187" s="30"/>
      <c r="G4187" s="31">
        <v>1</v>
      </c>
      <c r="H4187" s="31"/>
      <c r="I4187" s="32"/>
      <c r="J4187" s="32"/>
      <c r="K4187" s="19"/>
      <c r="L4187" s="20"/>
      <c r="M4187" s="10"/>
      <c r="N4187" s="10"/>
      <c r="O4187" s="10"/>
      <c r="P4187" s="10"/>
      <c r="Q4187" s="10"/>
      <c r="R4187" s="10"/>
      <c r="S4187" s="10"/>
      <c r="T4187" s="10"/>
      <c r="U4187" s="10"/>
      <c r="V4187" s="10"/>
      <c r="W4187" s="10"/>
      <c r="X4187" s="10"/>
      <c r="Y4187" s="10"/>
      <c r="Z4187" s="10"/>
      <c r="AA4187" s="10"/>
      <c r="AB4187" s="10"/>
      <c r="AC4187" s="10"/>
      <c r="AD4187" s="10"/>
      <c r="AE4187" s="10"/>
      <c r="AF4187" s="10"/>
      <c r="AG4187" s="10"/>
      <c r="AH4187" s="10"/>
    </row>
    <row r="4188" spans="1:34" ht="31.5" outlineLevel="2">
      <c r="A4188" s="28"/>
      <c r="B4188" s="12" t="str">
        <f>IFERROR(VLOOKUP(D4188,'[1]Перечень товаров'!$A$2:$I9525,2,0),"")</f>
        <v>тм173</v>
      </c>
      <c r="C4188" s="12" t="str">
        <f>IFERROR(VLOOKUP(D4188,'[1]Перечень товаров'!$A$2:$I9525,3,0),"")</f>
        <v>Техника муз</v>
      </c>
      <c r="D4188" s="29" t="s">
        <v>1196</v>
      </c>
      <c r="E4188" s="30"/>
      <c r="F4188" s="30"/>
      <c r="G4188" s="31">
        <v>1</v>
      </c>
      <c r="H4188" s="31"/>
      <c r="I4188" s="32"/>
      <c r="J4188" s="32"/>
      <c r="K4188" s="19"/>
      <c r="L4188" s="20"/>
      <c r="M4188" s="10"/>
      <c r="N4188" s="10"/>
      <c r="O4188" s="10"/>
      <c r="P4188" s="10"/>
      <c r="Q4188" s="10"/>
      <c r="R4188" s="10"/>
      <c r="S4188" s="10"/>
      <c r="T4188" s="10"/>
      <c r="U4188" s="10"/>
      <c r="V4188" s="10"/>
      <c r="W4188" s="10"/>
      <c r="X4188" s="10"/>
      <c r="Y4188" s="10"/>
      <c r="Z4188" s="10"/>
      <c r="AA4188" s="10"/>
      <c r="AB4188" s="10"/>
      <c r="AC4188" s="10"/>
      <c r="AD4188" s="10"/>
      <c r="AE4188" s="10"/>
      <c r="AF4188" s="10"/>
      <c r="AG4188" s="10"/>
      <c r="AH4188" s="10"/>
    </row>
    <row r="4189" spans="1:34" ht="31.5" outlineLevel="2">
      <c r="A4189" s="34"/>
      <c r="B4189" s="12" t="str">
        <f>IFERROR(VLOOKUP(D4189,'[1]Перечень товаров'!$A$2:$I9525,2,0),"")</f>
        <v>тм172</v>
      </c>
      <c r="C4189" s="12" t="str">
        <f>IFERROR(VLOOKUP(D4189,'[1]Перечень товаров'!$A$2:$I9525,3,0),"")</f>
        <v>Техника муз</v>
      </c>
      <c r="D4189" s="35" t="s">
        <v>1197</v>
      </c>
      <c r="E4189" s="30"/>
      <c r="F4189" s="30"/>
      <c r="G4189" s="31">
        <v>1</v>
      </c>
      <c r="H4189" s="31"/>
      <c r="I4189" s="32"/>
      <c r="J4189" s="32"/>
      <c r="K4189" s="19"/>
      <c r="L4189" s="20"/>
      <c r="M4189" s="10"/>
      <c r="N4189" s="10"/>
      <c r="O4189" s="10"/>
      <c r="P4189" s="10"/>
      <c r="Q4189" s="10"/>
      <c r="R4189" s="10"/>
      <c r="S4189" s="10"/>
      <c r="T4189" s="10"/>
      <c r="U4189" s="10"/>
      <c r="V4189" s="10"/>
      <c r="W4189" s="10"/>
      <c r="X4189" s="10"/>
      <c r="Y4189" s="10"/>
      <c r="Z4189" s="10"/>
      <c r="AA4189" s="10"/>
      <c r="AB4189" s="10"/>
      <c r="AC4189" s="10"/>
      <c r="AD4189" s="10"/>
      <c r="AE4189" s="10"/>
      <c r="AF4189" s="10"/>
      <c r="AG4189" s="10"/>
      <c r="AH4189" s="10"/>
    </row>
    <row r="4190" spans="1:34" outlineLevel="2">
      <c r="A4190" s="34"/>
      <c r="B4190" s="12" t="str">
        <f>IFERROR(VLOOKUP(D4190,'[1]Перечень товаров'!$A$2:$I9525,2,0),"")</f>
        <v>тм171</v>
      </c>
      <c r="C4190" s="12" t="str">
        <f>IFERROR(VLOOKUP(D4190,'[1]Перечень товаров'!$A$2:$I9525,3,0),"")</f>
        <v>Техника муз</v>
      </c>
      <c r="D4190" s="35" t="s">
        <v>1198</v>
      </c>
      <c r="E4190" s="30"/>
      <c r="F4190" s="30"/>
      <c r="G4190" s="31">
        <v>1</v>
      </c>
      <c r="H4190" s="31"/>
      <c r="I4190" s="32"/>
      <c r="J4190" s="32"/>
      <c r="K4190" s="19"/>
      <c r="L4190" s="20"/>
      <c r="M4190" s="10"/>
      <c r="N4190" s="10"/>
      <c r="O4190" s="10"/>
      <c r="P4190" s="10"/>
      <c r="Q4190" s="10"/>
      <c r="R4190" s="10"/>
      <c r="S4190" s="10"/>
      <c r="T4190" s="10"/>
      <c r="U4190" s="10"/>
      <c r="V4190" s="10"/>
      <c r="W4190" s="10"/>
      <c r="X4190" s="10"/>
      <c r="Y4190" s="10"/>
      <c r="Z4190" s="10"/>
      <c r="AA4190" s="10"/>
      <c r="AB4190" s="10"/>
      <c r="AC4190" s="10"/>
      <c r="AD4190" s="10"/>
      <c r="AE4190" s="10"/>
      <c r="AF4190" s="10"/>
      <c r="AG4190" s="10"/>
      <c r="AH4190" s="10"/>
    </row>
    <row r="4191" spans="1:34" ht="31.5" outlineLevel="2">
      <c r="A4191" s="34"/>
      <c r="B4191" s="12" t="str">
        <f>IFERROR(VLOOKUP(D4191,'[1]Перечень товаров'!$A$2:$I9525,2,0),"")</f>
        <v>тм170</v>
      </c>
      <c r="C4191" s="12" t="str">
        <f>IFERROR(VLOOKUP(D4191,'[1]Перечень товаров'!$A$2:$I9525,3,0),"")</f>
        <v>Техника муз</v>
      </c>
      <c r="D4191" s="35" t="s">
        <v>1199</v>
      </c>
      <c r="E4191" s="30"/>
      <c r="F4191" s="30"/>
      <c r="G4191" s="31">
        <v>1</v>
      </c>
      <c r="H4191" s="31"/>
      <c r="I4191" s="32"/>
      <c r="J4191" s="32"/>
      <c r="K4191" s="19"/>
      <c r="L4191" s="20"/>
      <c r="M4191" s="10"/>
      <c r="N4191" s="10"/>
      <c r="O4191" s="10"/>
      <c r="P4191" s="10"/>
      <c r="Q4191" s="10"/>
      <c r="R4191" s="10"/>
      <c r="S4191" s="10"/>
      <c r="T4191" s="10"/>
      <c r="U4191" s="10"/>
      <c r="V4191" s="10"/>
      <c r="W4191" s="10"/>
      <c r="X4191" s="10"/>
      <c r="Y4191" s="10"/>
      <c r="Z4191" s="10"/>
      <c r="AA4191" s="10"/>
      <c r="AB4191" s="10"/>
      <c r="AC4191" s="10"/>
      <c r="AD4191" s="10"/>
      <c r="AE4191" s="10"/>
      <c r="AF4191" s="10"/>
      <c r="AG4191" s="10"/>
      <c r="AH4191" s="10"/>
    </row>
    <row r="4192" spans="1:34" outlineLevel="2">
      <c r="A4192" s="34"/>
      <c r="B4192" s="12" t="str">
        <f>IFERROR(VLOOKUP(D4192,'[1]Перечень товаров'!$A$2:$I9525,2,0),"")</f>
        <v>пм129</v>
      </c>
      <c r="C4192" s="12" t="str">
        <f>IFERROR(VLOOKUP(D4192,'[1]Перечень товаров'!$A$2:$I9525,3,0),"")</f>
        <v>прочее муз</v>
      </c>
      <c r="D4192" s="35" t="s">
        <v>1200</v>
      </c>
      <c r="E4192" s="30"/>
      <c r="F4192" s="30"/>
      <c r="G4192" s="31">
        <v>4</v>
      </c>
      <c r="H4192" s="31"/>
      <c r="I4192" s="32"/>
      <c r="J4192" s="32"/>
      <c r="K4192" s="19"/>
      <c r="L4192" s="20"/>
      <c r="M4192" s="10"/>
      <c r="N4192" s="10"/>
      <c r="O4192" s="10"/>
      <c r="P4192" s="10"/>
      <c r="Q4192" s="10"/>
      <c r="R4192" s="10"/>
      <c r="S4192" s="10"/>
      <c r="T4192" s="10"/>
      <c r="U4192" s="10"/>
      <c r="V4192" s="10"/>
      <c r="W4192" s="10"/>
      <c r="X4192" s="10"/>
      <c r="Y4192" s="10"/>
      <c r="Z4192" s="10"/>
      <c r="AA4192" s="10"/>
      <c r="AB4192" s="10"/>
      <c r="AC4192" s="10"/>
      <c r="AD4192" s="10"/>
      <c r="AE4192" s="10"/>
      <c r="AF4192" s="10"/>
      <c r="AG4192" s="10"/>
      <c r="AH4192" s="10"/>
    </row>
    <row r="4193" spans="1:34" ht="31.5" outlineLevel="2">
      <c r="A4193" s="34"/>
      <c r="B4193" s="12" t="str">
        <f>IFERROR(VLOOKUP(D4193,'[1]Перечень товаров'!$A$2:$I9525,2,0),"")</f>
        <v>пм128</v>
      </c>
      <c r="C4193" s="12" t="str">
        <f>IFERROR(VLOOKUP(D4193,'[1]Перечень товаров'!$A$2:$I9525,3,0),"")</f>
        <v>прочее муз</v>
      </c>
      <c r="D4193" s="35" t="s">
        <v>1201</v>
      </c>
      <c r="E4193" s="30"/>
      <c r="F4193" s="30"/>
      <c r="G4193" s="31">
        <v>2</v>
      </c>
      <c r="H4193" s="31"/>
      <c r="I4193" s="32"/>
      <c r="J4193" s="32"/>
      <c r="K4193" s="19"/>
      <c r="L4193" s="20"/>
      <c r="M4193" s="10"/>
      <c r="N4193" s="10"/>
      <c r="O4193" s="10"/>
      <c r="P4193" s="10"/>
      <c r="Q4193" s="10"/>
      <c r="R4193" s="10"/>
      <c r="S4193" s="10"/>
      <c r="T4193" s="10"/>
      <c r="U4193" s="10"/>
      <c r="V4193" s="10"/>
      <c r="W4193" s="10"/>
      <c r="X4193" s="10"/>
      <c r="Y4193" s="10"/>
      <c r="Z4193" s="10"/>
      <c r="AA4193" s="10"/>
      <c r="AB4193" s="10"/>
      <c r="AC4193" s="10"/>
      <c r="AD4193" s="10"/>
      <c r="AE4193" s="10"/>
      <c r="AF4193" s="10"/>
      <c r="AG4193" s="10"/>
      <c r="AH4193" s="10"/>
    </row>
    <row r="4194" spans="1:34" ht="31.5" outlineLevel="2">
      <c r="A4194" s="34"/>
      <c r="B4194" s="12" t="str">
        <f>IFERROR(VLOOKUP(D4194,'[1]Перечень товаров'!$A$2:$I9525,2,0),"")</f>
        <v>пм127</v>
      </c>
      <c r="C4194" s="12" t="str">
        <f>IFERROR(VLOOKUP(D4194,'[1]Перечень товаров'!$A$2:$I9525,3,0),"")</f>
        <v>прочее муз</v>
      </c>
      <c r="D4194" s="35" t="s">
        <v>1202</v>
      </c>
      <c r="E4194" s="30"/>
      <c r="F4194" s="30"/>
      <c r="G4194" s="31">
        <v>2</v>
      </c>
      <c r="H4194" s="31"/>
      <c r="I4194" s="32"/>
      <c r="J4194" s="32"/>
      <c r="K4194" s="19"/>
      <c r="L4194" s="20"/>
      <c r="M4194" s="10"/>
      <c r="N4194" s="10"/>
      <c r="O4194" s="10"/>
      <c r="P4194" s="10"/>
      <c r="Q4194" s="10"/>
      <c r="R4194" s="10"/>
      <c r="S4194" s="10"/>
      <c r="T4194" s="10"/>
      <c r="U4194" s="10"/>
      <c r="V4194" s="10"/>
      <c r="W4194" s="10"/>
      <c r="X4194" s="10"/>
      <c r="Y4194" s="10"/>
      <c r="Z4194" s="10"/>
      <c r="AA4194" s="10"/>
      <c r="AB4194" s="10"/>
      <c r="AC4194" s="10"/>
      <c r="AD4194" s="10"/>
      <c r="AE4194" s="10"/>
      <c r="AF4194" s="10"/>
      <c r="AG4194" s="10"/>
      <c r="AH4194" s="10"/>
    </row>
    <row r="4195" spans="1:34" ht="12.75" outlineLevel="1">
      <c r="A4195" s="89"/>
      <c r="B4195" s="12" t="str">
        <f>IFERROR(VLOOKUP(D4195,'[1]Перечень товаров'!$A$2:$I9525,2,0),"")</f>
        <v/>
      </c>
      <c r="C4195" s="12" t="str">
        <f>IFERROR(VLOOKUP(D4195,'[1]Перечень товаров'!$A$2:$I9525,3,0),"")</f>
        <v/>
      </c>
      <c r="D4195" s="90" t="s">
        <v>1140</v>
      </c>
      <c r="E4195" s="91">
        <v>89.3</v>
      </c>
      <c r="F4195" s="91"/>
      <c r="G4195" s="17"/>
      <c r="H4195" s="17"/>
      <c r="I4195" s="57"/>
      <c r="J4195" s="57"/>
      <c r="K4195" s="19"/>
      <c r="L4195" s="20"/>
      <c r="M4195" s="10"/>
      <c r="N4195" s="10"/>
      <c r="O4195" s="10"/>
      <c r="P4195" s="10"/>
      <c r="Q4195" s="10"/>
      <c r="R4195" s="10"/>
      <c r="S4195" s="10"/>
      <c r="T4195" s="10"/>
      <c r="U4195" s="10"/>
      <c r="V4195" s="10"/>
      <c r="W4195" s="10"/>
      <c r="X4195" s="10"/>
      <c r="Y4195" s="10"/>
      <c r="Z4195" s="10"/>
      <c r="AA4195" s="10"/>
      <c r="AB4195" s="10"/>
      <c r="AC4195" s="10"/>
      <c r="AD4195" s="10"/>
      <c r="AE4195" s="10"/>
      <c r="AF4195" s="10"/>
      <c r="AG4195" s="10"/>
      <c r="AH4195" s="10"/>
    </row>
    <row r="4196" spans="1:34" ht="31.5" outlineLevel="2">
      <c r="A4196" s="28"/>
      <c r="B4196" s="12" t="str">
        <f>IFERROR(VLOOKUP(D4196,'[1]Перечень товаров'!$A$2:$I9525,2,0),"")</f>
        <v>пм165</v>
      </c>
      <c r="C4196" s="12" t="str">
        <f>IFERROR(VLOOKUP(D4196,'[1]Перечень товаров'!$A$2:$I9525,3,0),"")</f>
        <v>прочее муз</v>
      </c>
      <c r="D4196" s="29" t="s">
        <v>1141</v>
      </c>
      <c r="E4196" s="30"/>
      <c r="F4196" s="30"/>
      <c r="G4196" s="31">
        <v>4</v>
      </c>
      <c r="H4196" s="31"/>
      <c r="I4196" s="32"/>
      <c r="J4196" s="32"/>
      <c r="K4196" s="19"/>
      <c r="L4196" s="20"/>
      <c r="M4196" s="10"/>
      <c r="N4196" s="10"/>
      <c r="O4196" s="10"/>
      <c r="P4196" s="10"/>
      <c r="Q4196" s="10"/>
      <c r="R4196" s="10"/>
      <c r="S4196" s="10"/>
      <c r="T4196" s="10"/>
      <c r="U4196" s="10"/>
      <c r="V4196" s="10"/>
      <c r="W4196" s="10"/>
      <c r="X4196" s="10"/>
      <c r="Y4196" s="10"/>
      <c r="Z4196" s="10"/>
      <c r="AA4196" s="10"/>
      <c r="AB4196" s="10"/>
      <c r="AC4196" s="10"/>
      <c r="AD4196" s="10"/>
      <c r="AE4196" s="10"/>
      <c r="AF4196" s="10"/>
      <c r="AG4196" s="10"/>
      <c r="AH4196" s="10"/>
    </row>
    <row r="4197" spans="1:34" outlineLevel="2">
      <c r="A4197" s="28"/>
      <c r="B4197" s="12" t="str">
        <f>IFERROR(VLOOKUP(D4197,'[1]Перечень товаров'!$A$2:$I9525,2,0),"")</f>
        <v>тм189</v>
      </c>
      <c r="C4197" s="12" t="str">
        <f>IFERROR(VLOOKUP(D4197,'[1]Перечень товаров'!$A$2:$I9525,3,0),"")</f>
        <v>Техника муз</v>
      </c>
      <c r="D4197" s="29" t="s">
        <v>1142</v>
      </c>
      <c r="E4197" s="30"/>
      <c r="F4197" s="30"/>
      <c r="G4197" s="31">
        <v>2</v>
      </c>
      <c r="H4197" s="31"/>
      <c r="I4197" s="32"/>
      <c r="J4197" s="32"/>
      <c r="K4197" s="19"/>
      <c r="L4197" s="20"/>
      <c r="M4197" s="10"/>
      <c r="N4197" s="10"/>
      <c r="O4197" s="10"/>
      <c r="P4197" s="10"/>
      <c r="Q4197" s="10"/>
      <c r="R4197" s="10"/>
      <c r="S4197" s="10"/>
      <c r="T4197" s="10"/>
      <c r="U4197" s="10"/>
      <c r="V4197" s="10"/>
      <c r="W4197" s="10"/>
      <c r="X4197" s="10"/>
      <c r="Y4197" s="10"/>
      <c r="Z4197" s="10"/>
      <c r="AA4197" s="10"/>
      <c r="AB4197" s="10"/>
      <c r="AC4197" s="10"/>
      <c r="AD4197" s="10"/>
      <c r="AE4197" s="10"/>
      <c r="AF4197" s="10"/>
      <c r="AG4197" s="10"/>
      <c r="AH4197" s="10"/>
    </row>
    <row r="4198" spans="1:34" ht="31.5" outlineLevel="2">
      <c r="A4198" s="28"/>
      <c r="B4198" s="12" t="str">
        <f>IFERROR(VLOOKUP(D4198,'[1]Перечень товаров'!$A$2:$I9525,2,0),"")</f>
        <v>тм188</v>
      </c>
      <c r="C4198" s="12" t="str">
        <f>IFERROR(VLOOKUP(D4198,'[1]Перечень товаров'!$A$2:$I9525,3,0),"")</f>
        <v>Техника муз</v>
      </c>
      <c r="D4198" s="29" t="s">
        <v>1143</v>
      </c>
      <c r="E4198" s="30"/>
      <c r="F4198" s="30"/>
      <c r="G4198" s="31">
        <v>3</v>
      </c>
      <c r="H4198" s="31"/>
      <c r="I4198" s="32"/>
      <c r="J4198" s="32"/>
      <c r="K4198" s="19"/>
      <c r="L4198" s="20"/>
      <c r="M4198" s="10"/>
      <c r="N4198" s="10"/>
      <c r="O4198" s="10"/>
      <c r="P4198" s="10"/>
      <c r="Q4198" s="10"/>
      <c r="R4198" s="10"/>
      <c r="S4198" s="10"/>
      <c r="T4198" s="10"/>
      <c r="U4198" s="10"/>
      <c r="V4198" s="10"/>
      <c r="W4198" s="10"/>
      <c r="X4198" s="10"/>
      <c r="Y4198" s="10"/>
      <c r="Z4198" s="10"/>
      <c r="AA4198" s="10"/>
      <c r="AB4198" s="10"/>
      <c r="AC4198" s="10"/>
      <c r="AD4198" s="10"/>
      <c r="AE4198" s="10"/>
      <c r="AF4198" s="10"/>
      <c r="AG4198" s="10"/>
      <c r="AH4198" s="10"/>
    </row>
    <row r="4199" spans="1:34" ht="31.5" outlineLevel="2">
      <c r="A4199" s="28"/>
      <c r="B4199" s="12" t="str">
        <f>IFERROR(VLOOKUP(D4199,'[1]Перечень товаров'!$A$2:$I9525,2,0),"")</f>
        <v>м154</v>
      </c>
      <c r="C4199" s="12" t="str">
        <f>IFERROR(VLOOKUP(D4199,'[1]Перечень товаров'!$A$2:$I9525,3,0),"")</f>
        <v>мебель</v>
      </c>
      <c r="D4199" s="29" t="s">
        <v>1144</v>
      </c>
      <c r="E4199" s="30"/>
      <c r="F4199" s="30"/>
      <c r="G4199" s="31">
        <v>5</v>
      </c>
      <c r="H4199" s="31"/>
      <c r="I4199" s="32"/>
      <c r="J4199" s="32"/>
      <c r="K4199" s="19"/>
      <c r="L4199" s="20"/>
      <c r="M4199" s="10"/>
      <c r="N4199" s="10"/>
      <c r="O4199" s="10"/>
      <c r="P4199" s="10"/>
      <c r="Q4199" s="10"/>
      <c r="R4199" s="10"/>
      <c r="S4199" s="10"/>
      <c r="T4199" s="10"/>
      <c r="U4199" s="10"/>
      <c r="V4199" s="10"/>
      <c r="W4199" s="10"/>
      <c r="X4199" s="10"/>
      <c r="Y4199" s="10"/>
      <c r="Z4199" s="10"/>
      <c r="AA4199" s="10"/>
      <c r="AB4199" s="10"/>
      <c r="AC4199" s="10"/>
      <c r="AD4199" s="10"/>
      <c r="AE4199" s="10"/>
      <c r="AF4199" s="10"/>
      <c r="AG4199" s="10"/>
      <c r="AH4199" s="10"/>
    </row>
    <row r="4200" spans="1:34" outlineLevel="2">
      <c r="A4200" s="28"/>
      <c r="B4200" s="12" t="str">
        <f>IFERROR(VLOOKUP(D4200,'[1]Перечень товаров'!$A$2:$I9525,2,0),"")</f>
        <v>пм164</v>
      </c>
      <c r="C4200" s="12" t="str">
        <f>IFERROR(VLOOKUP(D4200,'[1]Перечень товаров'!$A$2:$I9525,3,0),"")</f>
        <v>прочее муз</v>
      </c>
      <c r="D4200" s="29" t="s">
        <v>1145</v>
      </c>
      <c r="E4200" s="30"/>
      <c r="F4200" s="30"/>
      <c r="G4200" s="31">
        <v>10</v>
      </c>
      <c r="H4200" s="31"/>
      <c r="I4200" s="32"/>
      <c r="J4200" s="32"/>
      <c r="K4200" s="19"/>
      <c r="L4200" s="20"/>
      <c r="M4200" s="10"/>
      <c r="N4200" s="10"/>
      <c r="O4200" s="10"/>
      <c r="P4200" s="10"/>
      <c r="Q4200" s="10"/>
      <c r="R4200" s="10"/>
      <c r="S4200" s="10"/>
      <c r="T4200" s="10"/>
      <c r="U4200" s="10"/>
      <c r="V4200" s="10"/>
      <c r="W4200" s="10"/>
      <c r="X4200" s="10"/>
      <c r="Y4200" s="10"/>
      <c r="Z4200" s="10"/>
      <c r="AA4200" s="10"/>
      <c r="AB4200" s="10"/>
      <c r="AC4200" s="10"/>
      <c r="AD4200" s="10"/>
      <c r="AE4200" s="10"/>
      <c r="AF4200" s="10"/>
      <c r="AG4200" s="10"/>
      <c r="AH4200" s="10"/>
    </row>
    <row r="4201" spans="1:34" outlineLevel="2">
      <c r="A4201" s="28"/>
      <c r="B4201" s="12" t="str">
        <f>IFERROR(VLOOKUP(D4201,'[1]Перечень товаров'!$A$2:$I9525,2,0),"")</f>
        <v>д543</v>
      </c>
      <c r="C4201" s="12" t="str">
        <f>IFERROR(VLOOKUP(D4201,'[1]Перечень товаров'!$A$2:$I9525,3,0),"")</f>
        <v>дидактика</v>
      </c>
      <c r="D4201" s="29" t="s">
        <v>1146</v>
      </c>
      <c r="E4201" s="30"/>
      <c r="F4201" s="30"/>
      <c r="G4201" s="31">
        <v>4</v>
      </c>
      <c r="H4201" s="31"/>
      <c r="I4201" s="32"/>
      <c r="J4201" s="32"/>
      <c r="K4201" s="19"/>
      <c r="L4201" s="20"/>
      <c r="M4201" s="10"/>
      <c r="N4201" s="10"/>
      <c r="O4201" s="10"/>
      <c r="P4201" s="10"/>
      <c r="Q4201" s="10"/>
      <c r="R4201" s="10"/>
      <c r="S4201" s="10"/>
      <c r="T4201" s="10"/>
      <c r="U4201" s="10"/>
      <c r="V4201" s="10"/>
      <c r="W4201" s="10"/>
      <c r="X4201" s="10"/>
      <c r="Y4201" s="10"/>
      <c r="Z4201" s="10"/>
      <c r="AA4201" s="10"/>
      <c r="AB4201" s="10"/>
      <c r="AC4201" s="10"/>
      <c r="AD4201" s="10"/>
      <c r="AE4201" s="10"/>
      <c r="AF4201" s="10"/>
      <c r="AG4201" s="10"/>
      <c r="AH4201" s="10"/>
    </row>
    <row r="4202" spans="1:34" outlineLevel="2">
      <c r="A4202" s="28"/>
      <c r="B4202" s="12" t="str">
        <f>IFERROR(VLOOKUP(D4202,'[1]Перечень товаров'!$A$2:$I9525,2,0),"")</f>
        <v>м153</v>
      </c>
      <c r="C4202" s="12" t="str">
        <f>IFERROR(VLOOKUP(D4202,'[1]Перечень товаров'!$A$2:$I9525,3,0),"")</f>
        <v>мебель</v>
      </c>
      <c r="D4202" s="29" t="s">
        <v>1147</v>
      </c>
      <c r="E4202" s="30"/>
      <c r="F4202" s="30"/>
      <c r="G4202" s="31">
        <v>4</v>
      </c>
      <c r="H4202" s="31"/>
      <c r="I4202" s="32"/>
      <c r="J4202" s="32"/>
      <c r="K4202" s="19"/>
      <c r="L4202" s="20"/>
      <c r="M4202" s="10"/>
      <c r="N4202" s="10"/>
      <c r="O4202" s="10"/>
      <c r="P4202" s="10"/>
      <c r="Q4202" s="10"/>
      <c r="R4202" s="10"/>
      <c r="S4202" s="10"/>
      <c r="T4202" s="10"/>
      <c r="U4202" s="10"/>
      <c r="V4202" s="10"/>
      <c r="W4202" s="10"/>
      <c r="X4202" s="10"/>
      <c r="Y4202" s="10"/>
      <c r="Z4202" s="10"/>
      <c r="AA4202" s="10"/>
      <c r="AB4202" s="10"/>
      <c r="AC4202" s="10"/>
      <c r="AD4202" s="10"/>
      <c r="AE4202" s="10"/>
      <c r="AF4202" s="10"/>
      <c r="AG4202" s="10"/>
      <c r="AH4202" s="10"/>
    </row>
    <row r="4203" spans="1:34" ht="31.5" outlineLevel="2">
      <c r="A4203" s="28"/>
      <c r="B4203" s="12" t="str">
        <f>IFERROR(VLOOKUP(D4203,'[1]Перечень товаров'!$A$2:$I9525,2,0),"")</f>
        <v>тм187</v>
      </c>
      <c r="C4203" s="12" t="str">
        <f>IFERROR(VLOOKUP(D4203,'[1]Перечень товаров'!$A$2:$I9525,3,0),"")</f>
        <v>Техника муз</v>
      </c>
      <c r="D4203" s="29" t="s">
        <v>1148</v>
      </c>
      <c r="E4203" s="30"/>
      <c r="F4203" s="30"/>
      <c r="G4203" s="31">
        <v>2</v>
      </c>
      <c r="H4203" s="31"/>
      <c r="I4203" s="32"/>
      <c r="J4203" s="32"/>
      <c r="K4203" s="19"/>
      <c r="L4203" s="20"/>
      <c r="M4203" s="10"/>
      <c r="N4203" s="10"/>
      <c r="O4203" s="10"/>
      <c r="P4203" s="10"/>
      <c r="Q4203" s="10"/>
      <c r="R4203" s="10"/>
      <c r="S4203" s="10"/>
      <c r="T4203" s="10"/>
      <c r="U4203" s="10"/>
      <c r="V4203" s="10"/>
      <c r="W4203" s="10"/>
      <c r="X4203" s="10"/>
      <c r="Y4203" s="10"/>
      <c r="Z4203" s="10"/>
      <c r="AA4203" s="10"/>
      <c r="AB4203" s="10"/>
      <c r="AC4203" s="10"/>
      <c r="AD4203" s="10"/>
      <c r="AE4203" s="10"/>
      <c r="AF4203" s="10"/>
      <c r="AG4203" s="10"/>
      <c r="AH4203" s="10"/>
    </row>
    <row r="4204" spans="1:34" ht="31.5" outlineLevel="2">
      <c r="A4204" s="28"/>
      <c r="B4204" s="12" t="str">
        <f>IFERROR(VLOOKUP(D4204,'[1]Перечень товаров'!$A$2:$I9525,2,0),"")</f>
        <v>тм186</v>
      </c>
      <c r="C4204" s="12" t="str">
        <f>IFERROR(VLOOKUP(D4204,'[1]Перечень товаров'!$A$2:$I9525,3,0),"")</f>
        <v>Техника муз</v>
      </c>
      <c r="D4204" s="29" t="s">
        <v>1149</v>
      </c>
      <c r="E4204" s="30"/>
      <c r="F4204" s="30"/>
      <c r="G4204" s="31">
        <v>2</v>
      </c>
      <c r="H4204" s="31"/>
      <c r="I4204" s="32"/>
      <c r="J4204" s="32"/>
      <c r="K4204" s="19"/>
      <c r="L4204" s="20"/>
      <c r="M4204" s="10"/>
      <c r="N4204" s="10"/>
      <c r="O4204" s="10"/>
      <c r="P4204" s="10"/>
      <c r="Q4204" s="10"/>
      <c r="R4204" s="10"/>
      <c r="S4204" s="10"/>
      <c r="T4204" s="10"/>
      <c r="U4204" s="10"/>
      <c r="V4204" s="10"/>
      <c r="W4204" s="10"/>
      <c r="X4204" s="10"/>
      <c r="Y4204" s="10"/>
      <c r="Z4204" s="10"/>
      <c r="AA4204" s="10"/>
      <c r="AB4204" s="10"/>
      <c r="AC4204" s="10"/>
      <c r="AD4204" s="10"/>
      <c r="AE4204" s="10"/>
      <c r="AF4204" s="10"/>
      <c r="AG4204" s="10"/>
      <c r="AH4204" s="10"/>
    </row>
    <row r="4205" spans="1:34" outlineLevel="2">
      <c r="A4205" s="28"/>
      <c r="B4205" s="12" t="str">
        <f>IFERROR(VLOOKUP(D4205,'[1]Перечень товаров'!$A$2:$I9525,2,0),"")</f>
        <v>пм163</v>
      </c>
      <c r="C4205" s="12" t="str">
        <f>IFERROR(VLOOKUP(D4205,'[1]Перечень товаров'!$A$2:$I9525,3,0),"")</f>
        <v>прочее муз</v>
      </c>
      <c r="D4205" s="29" t="s">
        <v>1150</v>
      </c>
      <c r="E4205" s="30"/>
      <c r="F4205" s="30"/>
      <c r="G4205" s="31">
        <v>10</v>
      </c>
      <c r="H4205" s="31"/>
      <c r="I4205" s="32"/>
      <c r="J4205" s="32"/>
      <c r="K4205" s="19"/>
      <c r="L4205" s="20"/>
      <c r="M4205" s="10"/>
      <c r="N4205" s="10"/>
      <c r="O4205" s="10"/>
      <c r="P4205" s="10"/>
      <c r="Q4205" s="10"/>
      <c r="R4205" s="10"/>
      <c r="S4205" s="10"/>
      <c r="T4205" s="10"/>
      <c r="U4205" s="10"/>
      <c r="V4205" s="10"/>
      <c r="W4205" s="10"/>
      <c r="X4205" s="10"/>
      <c r="Y4205" s="10"/>
      <c r="Z4205" s="10"/>
      <c r="AA4205" s="10"/>
      <c r="AB4205" s="10"/>
      <c r="AC4205" s="10"/>
      <c r="AD4205" s="10"/>
      <c r="AE4205" s="10"/>
      <c r="AF4205" s="10"/>
      <c r="AG4205" s="10"/>
      <c r="AH4205" s="10"/>
    </row>
    <row r="4206" spans="1:34" ht="31.5" outlineLevel="2">
      <c r="A4206" s="28"/>
      <c r="B4206" s="12" t="str">
        <f>IFERROR(VLOOKUP(D4206,'[1]Перечень товаров'!$A$2:$I9525,2,0),"")</f>
        <v>пм162</v>
      </c>
      <c r="C4206" s="12" t="str">
        <f>IFERROR(VLOOKUP(D4206,'[1]Перечень товаров'!$A$2:$I9525,3,0),"")</f>
        <v>прочее муз</v>
      </c>
      <c r="D4206" s="29" t="s">
        <v>1151</v>
      </c>
      <c r="E4206" s="30"/>
      <c r="F4206" s="30"/>
      <c r="G4206" s="31">
        <v>3</v>
      </c>
      <c r="H4206" s="31"/>
      <c r="I4206" s="32"/>
      <c r="J4206" s="32"/>
      <c r="K4206" s="19"/>
      <c r="L4206" s="20"/>
      <c r="M4206" s="10"/>
      <c r="N4206" s="10"/>
      <c r="O4206" s="10"/>
      <c r="P4206" s="10"/>
      <c r="Q4206" s="10"/>
      <c r="R4206" s="10"/>
      <c r="S4206" s="10"/>
      <c r="T4206" s="10"/>
      <c r="U4206" s="10"/>
      <c r="V4206" s="10"/>
      <c r="W4206" s="10"/>
      <c r="X4206" s="10"/>
      <c r="Y4206" s="10"/>
      <c r="Z4206" s="10"/>
      <c r="AA4206" s="10"/>
      <c r="AB4206" s="10"/>
      <c r="AC4206" s="10"/>
      <c r="AD4206" s="10"/>
      <c r="AE4206" s="10"/>
      <c r="AF4206" s="10"/>
      <c r="AG4206" s="10"/>
      <c r="AH4206" s="10"/>
    </row>
    <row r="4207" spans="1:34" outlineLevel="2">
      <c r="A4207" s="28"/>
      <c r="B4207" s="12" t="str">
        <f>IFERROR(VLOOKUP(D4207,'[1]Перечень товаров'!$A$2:$I9525,2,0),"")</f>
        <v>пм161</v>
      </c>
      <c r="C4207" s="12" t="str">
        <f>IFERROR(VLOOKUP(D4207,'[1]Перечень товаров'!$A$2:$I9525,3,0),"")</f>
        <v>прочее муз</v>
      </c>
      <c r="D4207" s="29" t="s">
        <v>1152</v>
      </c>
      <c r="E4207" s="30"/>
      <c r="F4207" s="30"/>
      <c r="G4207" s="31">
        <v>3</v>
      </c>
      <c r="H4207" s="31"/>
      <c r="I4207" s="32"/>
      <c r="J4207" s="32"/>
      <c r="K4207" s="19"/>
      <c r="L4207" s="20"/>
      <c r="M4207" s="10"/>
      <c r="N4207" s="10"/>
      <c r="O4207" s="10"/>
      <c r="P4207" s="10"/>
      <c r="Q4207" s="10"/>
      <c r="R4207" s="10"/>
      <c r="S4207" s="10"/>
      <c r="T4207" s="10"/>
      <c r="U4207" s="10"/>
      <c r="V4207" s="10"/>
      <c r="W4207" s="10"/>
      <c r="X4207" s="10"/>
      <c r="Y4207" s="10"/>
      <c r="Z4207" s="10"/>
      <c r="AA4207" s="10"/>
      <c r="AB4207" s="10"/>
      <c r="AC4207" s="10"/>
      <c r="AD4207" s="10"/>
      <c r="AE4207" s="10"/>
      <c r="AF4207" s="10"/>
      <c r="AG4207" s="10"/>
      <c r="AH4207" s="10"/>
    </row>
    <row r="4208" spans="1:34" ht="31.5" outlineLevel="2">
      <c r="A4208" s="230"/>
      <c r="B4208" s="12" t="str">
        <f>IFERROR(VLOOKUP(D4208,'[1]Перечень товаров'!$A$2:$I9525,2,0),"")</f>
        <v>пм160</v>
      </c>
      <c r="C4208" s="12" t="str">
        <f>IFERROR(VLOOKUP(D4208,'[1]Перечень товаров'!$A$2:$I9525,3,0),"")</f>
        <v>прочее муз</v>
      </c>
      <c r="D4208" s="231" t="s">
        <v>1153</v>
      </c>
      <c r="E4208" s="30"/>
      <c r="F4208" s="30"/>
      <c r="G4208" s="31">
        <v>2</v>
      </c>
      <c r="H4208" s="31"/>
      <c r="I4208" s="32"/>
      <c r="J4208" s="32"/>
      <c r="K4208" s="19"/>
      <c r="L4208" s="20"/>
      <c r="M4208" s="10"/>
      <c r="N4208" s="10"/>
      <c r="O4208" s="10"/>
      <c r="P4208" s="10"/>
      <c r="Q4208" s="10"/>
      <c r="R4208" s="10"/>
      <c r="S4208" s="10"/>
      <c r="T4208" s="10"/>
      <c r="U4208" s="10"/>
      <c r="V4208" s="10"/>
      <c r="W4208" s="10"/>
      <c r="X4208" s="10"/>
      <c r="Y4208" s="10"/>
      <c r="Z4208" s="10"/>
      <c r="AA4208" s="10"/>
      <c r="AB4208" s="10"/>
      <c r="AC4208" s="10"/>
      <c r="AD4208" s="10"/>
      <c r="AE4208" s="10"/>
      <c r="AF4208" s="10"/>
      <c r="AG4208" s="10"/>
      <c r="AH4208" s="10"/>
    </row>
    <row r="4209" spans="1:34" ht="31.5" outlineLevel="2">
      <c r="A4209" s="230"/>
      <c r="B4209" s="12" t="str">
        <f>IFERROR(VLOOKUP(D4209,'[1]Перечень товаров'!$A$2:$I9525,2,0),"")</f>
        <v>пм159</v>
      </c>
      <c r="C4209" s="12" t="str">
        <f>IFERROR(VLOOKUP(D4209,'[1]Перечень товаров'!$A$2:$I9525,3,0),"")</f>
        <v>прочее муз</v>
      </c>
      <c r="D4209" s="231" t="s">
        <v>1154</v>
      </c>
      <c r="E4209" s="30"/>
      <c r="F4209" s="30"/>
      <c r="G4209" s="31">
        <v>2</v>
      </c>
      <c r="H4209" s="31"/>
      <c r="I4209" s="32"/>
      <c r="J4209" s="32"/>
      <c r="K4209" s="19"/>
      <c r="L4209" s="20"/>
      <c r="M4209" s="10"/>
      <c r="N4209" s="10"/>
      <c r="O4209" s="10"/>
      <c r="P4209" s="10"/>
      <c r="Q4209" s="10"/>
      <c r="R4209" s="10"/>
      <c r="S4209" s="10"/>
      <c r="T4209" s="10"/>
      <c r="U4209" s="10"/>
      <c r="V4209" s="10"/>
      <c r="W4209" s="10"/>
      <c r="X4209" s="10"/>
      <c r="Y4209" s="10"/>
      <c r="Z4209" s="10"/>
      <c r="AA4209" s="10"/>
      <c r="AB4209" s="10"/>
      <c r="AC4209" s="10"/>
      <c r="AD4209" s="10"/>
      <c r="AE4209" s="10"/>
      <c r="AF4209" s="10"/>
      <c r="AG4209" s="10"/>
      <c r="AH4209" s="10"/>
    </row>
    <row r="4210" spans="1:34" outlineLevel="2">
      <c r="A4210" s="34"/>
      <c r="B4210" s="12" t="str">
        <f>IFERROR(VLOOKUP(D4210,'[1]Перечень товаров'!$A$2:$I9525,2,0),"")</f>
        <v>пм158</v>
      </c>
      <c r="C4210" s="12" t="str">
        <f>IFERROR(VLOOKUP(D4210,'[1]Перечень товаров'!$A$2:$I9525,3,0),"")</f>
        <v>прочее муз</v>
      </c>
      <c r="D4210" s="35" t="s">
        <v>1155</v>
      </c>
      <c r="E4210" s="30"/>
      <c r="F4210" s="30"/>
      <c r="G4210" s="31">
        <v>2</v>
      </c>
      <c r="H4210" s="31"/>
      <c r="I4210" s="32"/>
      <c r="J4210" s="32"/>
      <c r="K4210" s="19"/>
      <c r="L4210" s="20"/>
      <c r="M4210" s="10"/>
      <c r="N4210" s="10"/>
      <c r="O4210" s="10"/>
      <c r="P4210" s="10"/>
      <c r="Q4210" s="10"/>
      <c r="R4210" s="10"/>
      <c r="S4210" s="10"/>
      <c r="T4210" s="10"/>
      <c r="U4210" s="10"/>
      <c r="V4210" s="10"/>
      <c r="W4210" s="10"/>
      <c r="X4210" s="10"/>
      <c r="Y4210" s="10"/>
      <c r="Z4210" s="10"/>
      <c r="AA4210" s="10"/>
      <c r="AB4210" s="10"/>
      <c r="AC4210" s="10"/>
      <c r="AD4210" s="10"/>
      <c r="AE4210" s="10"/>
      <c r="AF4210" s="10"/>
      <c r="AG4210" s="10"/>
      <c r="AH4210" s="10"/>
    </row>
    <row r="4211" spans="1:34" ht="236.25" outlineLevel="2">
      <c r="A4211" s="28"/>
      <c r="B4211" s="12" t="str">
        <f>IFERROR(VLOOKUP(D4211,'[1]Перечень товаров'!$A$2:$I9525,2,0),"")</f>
        <v/>
      </c>
      <c r="C4211" s="12" t="str">
        <f>IFERROR(VLOOKUP(D4211,'[1]Перечень товаров'!$A$2:$I9525,3,0),"")</f>
        <v/>
      </c>
      <c r="D4211" s="29" t="s">
        <v>1156</v>
      </c>
      <c r="E4211" s="30"/>
      <c r="F4211" s="30"/>
      <c r="G4211" s="31">
        <v>2</v>
      </c>
      <c r="H4211" s="31"/>
      <c r="I4211" s="32"/>
      <c r="J4211" s="32"/>
      <c r="K4211" s="19"/>
      <c r="L4211" s="20"/>
      <c r="M4211" s="10"/>
      <c r="N4211" s="10"/>
      <c r="O4211" s="10"/>
      <c r="P4211" s="10"/>
      <c r="Q4211" s="10"/>
      <c r="R4211" s="10"/>
      <c r="S4211" s="10"/>
      <c r="T4211" s="10"/>
      <c r="U4211" s="10"/>
      <c r="V4211" s="10"/>
      <c r="W4211" s="10"/>
      <c r="X4211" s="10"/>
      <c r="Y4211" s="10"/>
      <c r="Z4211" s="10"/>
      <c r="AA4211" s="10"/>
      <c r="AB4211" s="10"/>
      <c r="AC4211" s="10"/>
      <c r="AD4211" s="10"/>
      <c r="AE4211" s="10"/>
      <c r="AF4211" s="10"/>
      <c r="AG4211" s="10"/>
      <c r="AH4211" s="10"/>
    </row>
    <row r="4212" spans="1:34" ht="141.75" outlineLevel="2">
      <c r="A4212" s="28"/>
      <c r="B4212" s="12" t="str">
        <f>IFERROR(VLOOKUP(D4212,'[1]Перечень товаров'!$A$2:$I9525,2,0),"")</f>
        <v>пм156</v>
      </c>
      <c r="C4212" s="12" t="str">
        <f>IFERROR(VLOOKUP(D4212,'[1]Перечень товаров'!$A$2:$I9525,3,0),"")</f>
        <v>прочее муз</v>
      </c>
      <c r="D4212" s="29" t="s">
        <v>1157</v>
      </c>
      <c r="E4212" s="30"/>
      <c r="F4212" s="30"/>
      <c r="G4212" s="31">
        <v>2</v>
      </c>
      <c r="H4212" s="31"/>
      <c r="I4212" s="32"/>
      <c r="J4212" s="32"/>
      <c r="K4212" s="19"/>
      <c r="L4212" s="20"/>
      <c r="M4212" s="10"/>
      <c r="N4212" s="10"/>
      <c r="O4212" s="10"/>
      <c r="P4212" s="10"/>
      <c r="Q4212" s="10"/>
      <c r="R4212" s="10"/>
      <c r="S4212" s="10"/>
      <c r="T4212" s="10"/>
      <c r="U4212" s="10"/>
      <c r="V4212" s="10"/>
      <c r="W4212" s="10"/>
      <c r="X4212" s="10"/>
      <c r="Y4212" s="10"/>
      <c r="Z4212" s="10"/>
      <c r="AA4212" s="10"/>
      <c r="AB4212" s="10"/>
      <c r="AC4212" s="10"/>
      <c r="AD4212" s="10"/>
      <c r="AE4212" s="10"/>
      <c r="AF4212" s="10"/>
      <c r="AG4212" s="10"/>
      <c r="AH4212" s="10"/>
    </row>
    <row r="4213" spans="1:34" ht="157.5" outlineLevel="2">
      <c r="A4213" s="34"/>
      <c r="B4213" s="12" t="str">
        <f>IFERROR(VLOOKUP(D4213,'[1]Перечень товаров'!$A$2:$I9525,2,0),"")</f>
        <v>пм155</v>
      </c>
      <c r="C4213" s="12" t="str">
        <f>IFERROR(VLOOKUP(D4213,'[1]Перечень товаров'!$A$2:$I9525,3,0),"")</f>
        <v>прочее муз</v>
      </c>
      <c r="D4213" s="35" t="s">
        <v>1158</v>
      </c>
      <c r="E4213" s="30"/>
      <c r="F4213" s="30"/>
      <c r="G4213" s="31">
        <v>2</v>
      </c>
      <c r="H4213" s="31"/>
      <c r="I4213" s="32"/>
      <c r="J4213" s="32"/>
      <c r="K4213" s="19"/>
      <c r="L4213" s="20"/>
      <c r="M4213" s="10"/>
      <c r="N4213" s="10"/>
      <c r="O4213" s="10"/>
      <c r="P4213" s="10"/>
      <c r="Q4213" s="10"/>
      <c r="R4213" s="10"/>
      <c r="S4213" s="10"/>
      <c r="T4213" s="10"/>
      <c r="U4213" s="10"/>
      <c r="V4213" s="10"/>
      <c r="W4213" s="10"/>
      <c r="X4213" s="10"/>
      <c r="Y4213" s="10"/>
      <c r="Z4213" s="10"/>
      <c r="AA4213" s="10"/>
      <c r="AB4213" s="10"/>
      <c r="AC4213" s="10"/>
      <c r="AD4213" s="10"/>
      <c r="AE4213" s="10"/>
      <c r="AF4213" s="10"/>
      <c r="AG4213" s="10"/>
      <c r="AH4213" s="10"/>
    </row>
    <row r="4214" spans="1:34" ht="47.25" outlineLevel="2">
      <c r="A4214" s="230"/>
      <c r="B4214" s="12" t="str">
        <f>IFERROR(VLOOKUP(D4214,'[1]Перечень товаров'!$A$2:$I9525,2,0),"")</f>
        <v>пм154</v>
      </c>
      <c r="C4214" s="12" t="str">
        <f>IFERROR(VLOOKUP(D4214,'[1]Перечень товаров'!$A$2:$I9525,3,0),"")</f>
        <v>прочее муз</v>
      </c>
      <c r="D4214" s="231" t="s">
        <v>1159</v>
      </c>
      <c r="E4214" s="30"/>
      <c r="F4214" s="30"/>
      <c r="G4214" s="31">
        <v>4</v>
      </c>
      <c r="H4214" s="31"/>
      <c r="I4214" s="32"/>
      <c r="J4214" s="32"/>
      <c r="K4214" s="19"/>
      <c r="L4214" s="20"/>
      <c r="M4214" s="10"/>
      <c r="N4214" s="10"/>
      <c r="O4214" s="10"/>
      <c r="P4214" s="10"/>
      <c r="Q4214" s="10"/>
      <c r="R4214" s="10"/>
      <c r="S4214" s="10"/>
      <c r="T4214" s="10"/>
      <c r="U4214" s="10"/>
      <c r="V4214" s="10"/>
      <c r="W4214" s="10"/>
      <c r="X4214" s="10"/>
      <c r="Y4214" s="10"/>
      <c r="Z4214" s="10"/>
      <c r="AA4214" s="10"/>
      <c r="AB4214" s="10"/>
      <c r="AC4214" s="10"/>
      <c r="AD4214" s="10"/>
      <c r="AE4214" s="10"/>
      <c r="AF4214" s="10"/>
      <c r="AG4214" s="10"/>
      <c r="AH4214" s="10"/>
    </row>
    <row r="4215" spans="1:34" ht="204.75" outlineLevel="2">
      <c r="A4215" s="34"/>
      <c r="B4215" s="12" t="str">
        <f>IFERROR(VLOOKUP(D4215,'[1]Перечень товаров'!$A$2:$I9525,2,0),"")</f>
        <v/>
      </c>
      <c r="C4215" s="12" t="str">
        <f>IFERROR(VLOOKUP(D4215,'[1]Перечень товаров'!$A$2:$I9525,3,0),"")</f>
        <v/>
      </c>
      <c r="D4215" s="35" t="s">
        <v>1160</v>
      </c>
      <c r="E4215" s="30"/>
      <c r="F4215" s="30"/>
      <c r="G4215" s="31">
        <v>4</v>
      </c>
      <c r="H4215" s="31"/>
      <c r="I4215" s="32"/>
      <c r="J4215" s="32"/>
      <c r="K4215" s="19"/>
      <c r="L4215" s="20"/>
      <c r="M4215" s="10"/>
      <c r="N4215" s="10"/>
      <c r="O4215" s="10"/>
      <c r="P4215" s="10"/>
      <c r="Q4215" s="10"/>
      <c r="R4215" s="10"/>
      <c r="S4215" s="10"/>
      <c r="T4215" s="10"/>
      <c r="U4215" s="10"/>
      <c r="V4215" s="10"/>
      <c r="W4215" s="10"/>
      <c r="X4215" s="10"/>
      <c r="Y4215" s="10"/>
      <c r="Z4215" s="10"/>
      <c r="AA4215" s="10"/>
      <c r="AB4215" s="10"/>
      <c r="AC4215" s="10"/>
      <c r="AD4215" s="10"/>
      <c r="AE4215" s="10"/>
      <c r="AF4215" s="10"/>
      <c r="AG4215" s="10"/>
      <c r="AH4215" s="10"/>
    </row>
    <row r="4216" spans="1:34" ht="47.25" outlineLevel="2">
      <c r="A4216" s="230"/>
      <c r="B4216" s="12" t="str">
        <f>IFERROR(VLOOKUP(D4216,'[1]Перечень товаров'!$A$2:$I9525,2,0),"")</f>
        <v>пм152</v>
      </c>
      <c r="C4216" s="12" t="str">
        <f>IFERROR(VLOOKUP(D4216,'[1]Перечень товаров'!$A$2:$I9525,3,0),"")</f>
        <v>прочее муз</v>
      </c>
      <c r="D4216" s="231" t="s">
        <v>1161</v>
      </c>
      <c r="E4216" s="30"/>
      <c r="F4216" s="30"/>
      <c r="G4216" s="31">
        <v>2</v>
      </c>
      <c r="H4216" s="31"/>
      <c r="I4216" s="32"/>
      <c r="J4216" s="32"/>
      <c r="K4216" s="19"/>
      <c r="L4216" s="20"/>
      <c r="M4216" s="10"/>
      <c r="N4216" s="10"/>
      <c r="O4216" s="10"/>
      <c r="P4216" s="10"/>
      <c r="Q4216" s="10"/>
      <c r="R4216" s="10"/>
      <c r="S4216" s="10"/>
      <c r="T4216" s="10"/>
      <c r="U4216" s="10"/>
      <c r="V4216" s="10"/>
      <c r="W4216" s="10"/>
      <c r="X4216" s="10"/>
      <c r="Y4216" s="10"/>
      <c r="Z4216" s="10"/>
      <c r="AA4216" s="10"/>
      <c r="AB4216" s="10"/>
      <c r="AC4216" s="10"/>
      <c r="AD4216" s="10"/>
      <c r="AE4216" s="10"/>
      <c r="AF4216" s="10"/>
      <c r="AG4216" s="10"/>
      <c r="AH4216" s="10"/>
    </row>
    <row r="4217" spans="1:34" ht="47.25" outlineLevel="2">
      <c r="A4217" s="230"/>
      <c r="B4217" s="12" t="str">
        <f>IFERROR(VLOOKUP(D4217,'[1]Перечень товаров'!$A$2:$I9525,2,0),"")</f>
        <v>пм151</v>
      </c>
      <c r="C4217" s="12" t="str">
        <f>IFERROR(VLOOKUP(D4217,'[1]Перечень товаров'!$A$2:$I9525,3,0),"")</f>
        <v>прочее муз</v>
      </c>
      <c r="D4217" s="231" t="s">
        <v>1162</v>
      </c>
      <c r="E4217" s="30"/>
      <c r="F4217" s="30"/>
      <c r="G4217" s="31">
        <v>4</v>
      </c>
      <c r="H4217" s="31"/>
      <c r="I4217" s="32"/>
      <c r="J4217" s="32"/>
      <c r="K4217" s="19"/>
      <c r="L4217" s="20"/>
      <c r="M4217" s="10"/>
      <c r="N4217" s="10"/>
      <c r="O4217" s="10"/>
      <c r="P4217" s="10"/>
      <c r="Q4217" s="10"/>
      <c r="R4217" s="10"/>
      <c r="S4217" s="10"/>
      <c r="T4217" s="10"/>
      <c r="U4217" s="10"/>
      <c r="V4217" s="10"/>
      <c r="W4217" s="10"/>
      <c r="X4217" s="10"/>
      <c r="Y4217" s="10"/>
      <c r="Z4217" s="10"/>
      <c r="AA4217" s="10"/>
      <c r="AB4217" s="10"/>
      <c r="AC4217" s="10"/>
      <c r="AD4217" s="10"/>
      <c r="AE4217" s="10"/>
      <c r="AF4217" s="10"/>
      <c r="AG4217" s="10"/>
      <c r="AH4217" s="10"/>
    </row>
    <row r="4218" spans="1:34" ht="47.25" outlineLevel="2">
      <c r="A4218" s="230"/>
      <c r="B4218" s="12" t="str">
        <f>IFERROR(VLOOKUP(D4218,'[1]Перечень товаров'!$A$2:$I9525,2,0),"")</f>
        <v>пм150</v>
      </c>
      <c r="C4218" s="12" t="str">
        <f>IFERROR(VLOOKUP(D4218,'[1]Перечень товаров'!$A$2:$I9525,3,0),"")</f>
        <v>прочее муз</v>
      </c>
      <c r="D4218" s="231" t="s">
        <v>1163</v>
      </c>
      <c r="E4218" s="30"/>
      <c r="F4218" s="30"/>
      <c r="G4218" s="31">
        <v>4</v>
      </c>
      <c r="H4218" s="31"/>
      <c r="I4218" s="32"/>
      <c r="J4218" s="32"/>
      <c r="K4218" s="19"/>
      <c r="L4218" s="20"/>
      <c r="M4218" s="10"/>
      <c r="N4218" s="10"/>
      <c r="O4218" s="10"/>
      <c r="P4218" s="10"/>
      <c r="Q4218" s="10"/>
      <c r="R4218" s="10"/>
      <c r="S4218" s="10"/>
      <c r="T4218" s="10"/>
      <c r="U4218" s="10"/>
      <c r="V4218" s="10"/>
      <c r="W4218" s="10"/>
      <c r="X4218" s="10"/>
      <c r="Y4218" s="10"/>
      <c r="Z4218" s="10"/>
      <c r="AA4218" s="10"/>
      <c r="AB4218" s="10"/>
      <c r="AC4218" s="10"/>
      <c r="AD4218" s="10"/>
      <c r="AE4218" s="10"/>
      <c r="AF4218" s="10"/>
      <c r="AG4218" s="10"/>
      <c r="AH4218" s="10"/>
    </row>
    <row r="4219" spans="1:34" outlineLevel="2">
      <c r="A4219" s="34"/>
      <c r="B4219" s="12" t="str">
        <f>IFERROR(VLOOKUP(D4219,'[1]Перечень товаров'!$A$2:$I9525,2,0),"")</f>
        <v>пм149</v>
      </c>
      <c r="C4219" s="12" t="str">
        <f>IFERROR(VLOOKUP(D4219,'[1]Перечень товаров'!$A$2:$I9525,3,0),"")</f>
        <v>прочее муз</v>
      </c>
      <c r="D4219" s="35" t="s">
        <v>1164</v>
      </c>
      <c r="E4219" s="30"/>
      <c r="F4219" s="30"/>
      <c r="G4219" s="31">
        <v>4</v>
      </c>
      <c r="H4219" s="31"/>
      <c r="I4219" s="32"/>
      <c r="J4219" s="32"/>
      <c r="K4219" s="19"/>
      <c r="L4219" s="20"/>
      <c r="M4219" s="10"/>
      <c r="N4219" s="10"/>
      <c r="O4219" s="10"/>
      <c r="P4219" s="10"/>
      <c r="Q4219" s="10"/>
      <c r="R4219" s="10"/>
      <c r="S4219" s="10"/>
      <c r="T4219" s="10"/>
      <c r="U4219" s="10"/>
      <c r="V4219" s="10"/>
      <c r="W4219" s="10"/>
      <c r="X4219" s="10"/>
      <c r="Y4219" s="10"/>
      <c r="Z4219" s="10"/>
      <c r="AA4219" s="10"/>
      <c r="AB4219" s="10"/>
      <c r="AC4219" s="10"/>
      <c r="AD4219" s="10"/>
      <c r="AE4219" s="10"/>
      <c r="AF4219" s="10"/>
      <c r="AG4219" s="10"/>
      <c r="AH4219" s="10"/>
    </row>
    <row r="4220" spans="1:34" ht="47.25" outlineLevel="2">
      <c r="A4220" s="230"/>
      <c r="B4220" s="12" t="str">
        <f>IFERROR(VLOOKUP(D4220,'[1]Перечень товаров'!$A$2:$I9525,2,0),"")</f>
        <v>пм148</v>
      </c>
      <c r="C4220" s="12" t="str">
        <f>IFERROR(VLOOKUP(D4220,'[1]Перечень товаров'!$A$2:$I9525,3,0),"")</f>
        <v>прочее муз</v>
      </c>
      <c r="D4220" s="231" t="s">
        <v>1165</v>
      </c>
      <c r="E4220" s="30"/>
      <c r="F4220" s="30"/>
      <c r="G4220" s="31">
        <v>2</v>
      </c>
      <c r="H4220" s="31"/>
      <c r="I4220" s="32"/>
      <c r="J4220" s="32"/>
      <c r="K4220" s="19"/>
      <c r="L4220" s="20"/>
      <c r="M4220" s="10"/>
      <c r="N4220" s="10"/>
      <c r="O4220" s="10"/>
      <c r="P4220" s="10"/>
      <c r="Q4220" s="10"/>
      <c r="R4220" s="10"/>
      <c r="S4220" s="10"/>
      <c r="T4220" s="10"/>
      <c r="U4220" s="10"/>
      <c r="V4220" s="10"/>
      <c r="W4220" s="10"/>
      <c r="X4220" s="10"/>
      <c r="Y4220" s="10"/>
      <c r="Z4220" s="10"/>
      <c r="AA4220" s="10"/>
      <c r="AB4220" s="10"/>
      <c r="AC4220" s="10"/>
      <c r="AD4220" s="10"/>
      <c r="AE4220" s="10"/>
      <c r="AF4220" s="10"/>
      <c r="AG4220" s="10"/>
      <c r="AH4220" s="10"/>
    </row>
    <row r="4221" spans="1:34" outlineLevel="2">
      <c r="A4221" s="34"/>
      <c r="B4221" s="12" t="str">
        <f>IFERROR(VLOOKUP(D4221,'[1]Перечень товаров'!$A$2:$I9525,2,0),"")</f>
        <v>пм147</v>
      </c>
      <c r="C4221" s="12" t="str">
        <f>IFERROR(VLOOKUP(D4221,'[1]Перечень товаров'!$A$2:$I9525,3,0),"")</f>
        <v>прочее муз</v>
      </c>
      <c r="D4221" s="35" t="s">
        <v>1166</v>
      </c>
      <c r="E4221" s="88"/>
      <c r="F4221" s="88"/>
      <c r="G4221" s="31">
        <v>2</v>
      </c>
      <c r="H4221" s="31"/>
      <c r="I4221" s="32"/>
      <c r="J4221" s="32"/>
      <c r="K4221" s="19"/>
      <c r="L4221" s="20"/>
      <c r="M4221" s="10"/>
      <c r="N4221" s="10"/>
      <c r="O4221" s="10"/>
      <c r="P4221" s="10"/>
      <c r="Q4221" s="10"/>
      <c r="R4221" s="10"/>
      <c r="S4221" s="10"/>
      <c r="T4221" s="10"/>
      <c r="U4221" s="10"/>
      <c r="V4221" s="10"/>
      <c r="W4221" s="10"/>
      <c r="X4221" s="10"/>
      <c r="Y4221" s="10"/>
      <c r="Z4221" s="10"/>
      <c r="AA4221" s="10"/>
      <c r="AB4221" s="10"/>
      <c r="AC4221" s="10"/>
      <c r="AD4221" s="10"/>
      <c r="AE4221" s="10"/>
      <c r="AF4221" s="10"/>
      <c r="AG4221" s="10"/>
      <c r="AH4221" s="10"/>
    </row>
    <row r="4222" spans="1:34" ht="31.5" outlineLevel="2">
      <c r="A4222" s="34"/>
      <c r="B4222" s="12" t="str">
        <f>IFERROR(VLOOKUP(D4222,'[1]Перечень товаров'!$A$2:$I9525,2,0),"")</f>
        <v>пм146</v>
      </c>
      <c r="C4222" s="12" t="str">
        <f>IFERROR(VLOOKUP(D4222,'[1]Перечень товаров'!$A$2:$I9525,3,0),"")</f>
        <v>прочее муз</v>
      </c>
      <c r="D4222" s="35" t="s">
        <v>1167</v>
      </c>
      <c r="E4222" s="88"/>
      <c r="F4222" s="88"/>
      <c r="G4222" s="31">
        <v>4</v>
      </c>
      <c r="H4222" s="31"/>
      <c r="I4222" s="32"/>
      <c r="J4222" s="32"/>
      <c r="K4222" s="19"/>
      <c r="L4222" s="20"/>
      <c r="M4222" s="10"/>
      <c r="N4222" s="10"/>
      <c r="O4222" s="10"/>
      <c r="P4222" s="10"/>
      <c r="Q4222" s="10"/>
      <c r="R4222" s="10"/>
      <c r="S4222" s="10"/>
      <c r="T4222" s="10"/>
      <c r="U4222" s="10"/>
      <c r="V4222" s="10"/>
      <c r="W4222" s="10"/>
      <c r="X4222" s="10"/>
      <c r="Y4222" s="10"/>
      <c r="Z4222" s="10"/>
      <c r="AA4222" s="10"/>
      <c r="AB4222" s="10"/>
      <c r="AC4222" s="10"/>
      <c r="AD4222" s="10"/>
      <c r="AE4222" s="10"/>
      <c r="AF4222" s="10"/>
      <c r="AG4222" s="10"/>
      <c r="AH4222" s="10"/>
    </row>
    <row r="4223" spans="1:34" outlineLevel="2">
      <c r="A4223" s="34"/>
      <c r="B4223" s="12" t="str">
        <f>IFERROR(VLOOKUP(D4223,'[1]Перечень товаров'!$A$2:$I9525,2,0),"")</f>
        <v>пм145</v>
      </c>
      <c r="C4223" s="12" t="str">
        <f>IFERROR(VLOOKUP(D4223,'[1]Перечень товаров'!$A$2:$I9525,3,0),"")</f>
        <v>прочее муз</v>
      </c>
      <c r="D4223" s="35" t="s">
        <v>1168</v>
      </c>
      <c r="E4223" s="88"/>
      <c r="F4223" s="88"/>
      <c r="G4223" s="31">
        <v>2</v>
      </c>
      <c r="H4223" s="31"/>
      <c r="I4223" s="32"/>
      <c r="J4223" s="32"/>
      <c r="K4223" s="19"/>
      <c r="L4223" s="20"/>
      <c r="M4223" s="10"/>
      <c r="N4223" s="10"/>
      <c r="O4223" s="10"/>
      <c r="P4223" s="10"/>
      <c r="Q4223" s="10"/>
      <c r="R4223" s="10"/>
      <c r="S4223" s="10"/>
      <c r="T4223" s="10"/>
      <c r="U4223" s="10"/>
      <c r="V4223" s="10"/>
      <c r="W4223" s="10"/>
      <c r="X4223" s="10"/>
      <c r="Y4223" s="10"/>
      <c r="Z4223" s="10"/>
      <c r="AA4223" s="10"/>
      <c r="AB4223" s="10"/>
      <c r="AC4223" s="10"/>
      <c r="AD4223" s="10"/>
      <c r="AE4223" s="10"/>
      <c r="AF4223" s="10"/>
      <c r="AG4223" s="10"/>
      <c r="AH4223" s="10"/>
    </row>
    <row r="4224" spans="1:34" ht="189" outlineLevel="2">
      <c r="A4224" s="34"/>
      <c r="B4224" s="12" t="str">
        <f>IFERROR(VLOOKUP(D4224,'[1]Перечень товаров'!$A$2:$I9525,2,0),"")</f>
        <v/>
      </c>
      <c r="C4224" s="12" t="str">
        <f>IFERROR(VLOOKUP(D4224,'[1]Перечень товаров'!$A$2:$I9525,3,0),"")</f>
        <v/>
      </c>
      <c r="D4224" s="35" t="s">
        <v>1169</v>
      </c>
      <c r="E4224" s="34"/>
      <c r="F4224" s="34"/>
      <c r="G4224" s="31">
        <v>2</v>
      </c>
      <c r="H4224" s="31"/>
      <c r="I4224" s="32"/>
      <c r="J4224" s="32"/>
      <c r="K4224" s="19"/>
      <c r="L4224" s="20"/>
      <c r="M4224" s="10"/>
      <c r="N4224" s="10"/>
      <c r="O4224" s="10"/>
      <c r="P4224" s="10"/>
      <c r="Q4224" s="10"/>
      <c r="R4224" s="10"/>
      <c r="S4224" s="10"/>
      <c r="T4224" s="10"/>
      <c r="U4224" s="10"/>
      <c r="V4224" s="10"/>
      <c r="W4224" s="10"/>
      <c r="X4224" s="10"/>
      <c r="Y4224" s="10"/>
      <c r="Z4224" s="10"/>
      <c r="AA4224" s="10"/>
      <c r="AB4224" s="10"/>
      <c r="AC4224" s="10"/>
      <c r="AD4224" s="10"/>
      <c r="AE4224" s="10"/>
      <c r="AF4224" s="10"/>
      <c r="AG4224" s="10"/>
      <c r="AH4224" s="10"/>
    </row>
    <row r="4225" spans="1:34" ht="173.25" outlineLevel="2">
      <c r="A4225" s="34"/>
      <c r="B4225" s="12" t="str">
        <f>IFERROR(VLOOKUP(D4225,'[1]Перечень товаров'!$A$2:$I9525,2,0),"")</f>
        <v/>
      </c>
      <c r="C4225" s="12" t="str">
        <f>IFERROR(VLOOKUP(D4225,'[1]Перечень товаров'!$A$2:$I9525,3,0),"")</f>
        <v/>
      </c>
      <c r="D4225" s="35" t="s">
        <v>1170</v>
      </c>
      <c r="E4225" s="88"/>
      <c r="F4225" s="88"/>
      <c r="G4225" s="31">
        <v>2</v>
      </c>
      <c r="H4225" s="31"/>
      <c r="I4225" s="32"/>
      <c r="J4225" s="32"/>
      <c r="K4225" s="19"/>
      <c r="L4225" s="20"/>
      <c r="M4225" s="10"/>
      <c r="N4225" s="10"/>
      <c r="O4225" s="10"/>
      <c r="P4225" s="10"/>
      <c r="Q4225" s="10"/>
      <c r="R4225" s="10"/>
      <c r="S4225" s="10"/>
      <c r="T4225" s="10"/>
      <c r="U4225" s="10"/>
      <c r="V4225" s="10"/>
      <c r="W4225" s="10"/>
      <c r="X4225" s="10"/>
      <c r="Y4225" s="10"/>
      <c r="Z4225" s="10"/>
      <c r="AA4225" s="10"/>
      <c r="AB4225" s="10"/>
      <c r="AC4225" s="10"/>
      <c r="AD4225" s="10"/>
      <c r="AE4225" s="10"/>
      <c r="AF4225" s="10"/>
      <c r="AG4225" s="10"/>
      <c r="AH4225" s="10"/>
    </row>
    <row r="4226" spans="1:34" outlineLevel="2">
      <c r="A4226" s="34"/>
      <c r="B4226" s="12" t="str">
        <f>IFERROR(VLOOKUP(D4226,'[1]Перечень товаров'!$A$2:$I9525,2,0),"")</f>
        <v>пм144</v>
      </c>
      <c r="C4226" s="12" t="str">
        <f>IFERROR(VLOOKUP(D4226,'[1]Перечень товаров'!$A$2:$I9525,3,0),"")</f>
        <v>прочее муз</v>
      </c>
      <c r="D4226" s="35" t="s">
        <v>1171</v>
      </c>
      <c r="E4226" s="88"/>
      <c r="F4226" s="88"/>
      <c r="G4226" s="31">
        <v>4</v>
      </c>
      <c r="H4226" s="31"/>
      <c r="I4226" s="32"/>
      <c r="J4226" s="32"/>
      <c r="K4226" s="19"/>
      <c r="L4226" s="20"/>
      <c r="M4226" s="10"/>
      <c r="N4226" s="10"/>
      <c r="O4226" s="10"/>
      <c r="P4226" s="10"/>
      <c r="Q4226" s="10"/>
      <c r="R4226" s="10"/>
      <c r="S4226" s="10"/>
      <c r="T4226" s="10"/>
      <c r="U4226" s="10"/>
      <c r="V4226" s="10"/>
      <c r="W4226" s="10"/>
      <c r="X4226" s="10"/>
      <c r="Y4226" s="10"/>
      <c r="Z4226" s="10"/>
      <c r="AA4226" s="10"/>
      <c r="AB4226" s="10"/>
      <c r="AC4226" s="10"/>
      <c r="AD4226" s="10"/>
      <c r="AE4226" s="10"/>
      <c r="AF4226" s="10"/>
      <c r="AG4226" s="10"/>
      <c r="AH4226" s="10"/>
    </row>
    <row r="4227" spans="1:34" ht="31.5" outlineLevel="2">
      <c r="A4227" s="34"/>
      <c r="B4227" s="12" t="str">
        <f>IFERROR(VLOOKUP(D4227,'[1]Перечень товаров'!$A$2:$I9525,2,0),"")</f>
        <v>пм143</v>
      </c>
      <c r="C4227" s="12" t="str">
        <f>IFERROR(VLOOKUP(D4227,'[1]Перечень товаров'!$A$2:$I9525,3,0),"")</f>
        <v>прочее муз</v>
      </c>
      <c r="D4227" s="35" t="s">
        <v>1172</v>
      </c>
      <c r="E4227" s="88"/>
      <c r="F4227" s="88"/>
      <c r="G4227" s="31">
        <v>100</v>
      </c>
      <c r="H4227" s="31"/>
      <c r="I4227" s="32"/>
      <c r="J4227" s="32"/>
      <c r="K4227" s="19"/>
      <c r="L4227" s="20"/>
      <c r="M4227" s="10"/>
      <c r="N4227" s="10"/>
      <c r="O4227" s="10"/>
      <c r="P4227" s="10"/>
      <c r="Q4227" s="10"/>
      <c r="R4227" s="10"/>
      <c r="S4227" s="10"/>
      <c r="T4227" s="10"/>
      <c r="U4227" s="10"/>
      <c r="V4227" s="10"/>
      <c r="W4227" s="10"/>
      <c r="X4227" s="10"/>
      <c r="Y4227" s="10"/>
      <c r="Z4227" s="10"/>
      <c r="AA4227" s="10"/>
      <c r="AB4227" s="10"/>
      <c r="AC4227" s="10"/>
      <c r="AD4227" s="10"/>
      <c r="AE4227" s="10"/>
      <c r="AF4227" s="10"/>
      <c r="AG4227" s="10"/>
      <c r="AH4227" s="10"/>
    </row>
    <row r="4228" spans="1:34" ht="31.5" outlineLevel="2">
      <c r="A4228" s="34"/>
      <c r="B4228" s="12" t="str">
        <f>IFERROR(VLOOKUP(D4228,'[1]Перечень товаров'!$A$2:$I9525,2,0),"")</f>
        <v>пм142</v>
      </c>
      <c r="C4228" s="12" t="str">
        <f>IFERROR(VLOOKUP(D4228,'[1]Перечень товаров'!$A$2:$I9525,3,0),"")</f>
        <v>прочее муз</v>
      </c>
      <c r="D4228" s="35" t="s">
        <v>1173</v>
      </c>
      <c r="E4228" s="88"/>
      <c r="F4228" s="88"/>
      <c r="G4228" s="31">
        <v>20</v>
      </c>
      <c r="H4228" s="31"/>
      <c r="I4228" s="32"/>
      <c r="J4228" s="32"/>
      <c r="K4228" s="19"/>
      <c r="L4228" s="20"/>
      <c r="M4228" s="10"/>
      <c r="N4228" s="10"/>
      <c r="O4228" s="10"/>
      <c r="P4228" s="10"/>
      <c r="Q4228" s="10"/>
      <c r="R4228" s="10"/>
      <c r="S4228" s="10"/>
      <c r="T4228" s="10"/>
      <c r="U4228" s="10"/>
      <c r="V4228" s="10"/>
      <c r="W4228" s="10"/>
      <c r="X4228" s="10"/>
      <c r="Y4228" s="10"/>
      <c r="Z4228" s="10"/>
      <c r="AA4228" s="10"/>
      <c r="AB4228" s="10"/>
      <c r="AC4228" s="10"/>
      <c r="AD4228" s="10"/>
      <c r="AE4228" s="10"/>
      <c r="AF4228" s="10"/>
      <c r="AG4228" s="10"/>
      <c r="AH4228" s="10"/>
    </row>
    <row r="4229" spans="1:34" ht="31.5" outlineLevel="2">
      <c r="A4229" s="34"/>
      <c r="B4229" s="12" t="str">
        <f>IFERROR(VLOOKUP(D4229,'[1]Перечень товаров'!$A$2:$I9525,2,0),"")</f>
        <v>пм141</v>
      </c>
      <c r="C4229" s="12" t="str">
        <f>IFERROR(VLOOKUP(D4229,'[1]Перечень товаров'!$A$2:$I9525,3,0),"")</f>
        <v>прочее муз</v>
      </c>
      <c r="D4229" s="35" t="s">
        <v>1174</v>
      </c>
      <c r="E4229" s="88"/>
      <c r="F4229" s="88"/>
      <c r="G4229" s="31">
        <v>10</v>
      </c>
      <c r="H4229" s="31"/>
      <c r="I4229" s="32"/>
      <c r="J4229" s="32"/>
      <c r="K4229" s="19"/>
      <c r="L4229" s="20"/>
      <c r="M4229" s="10"/>
      <c r="N4229" s="10"/>
      <c r="O4229" s="10"/>
      <c r="P4229" s="10"/>
      <c r="Q4229" s="10"/>
      <c r="R4229" s="10"/>
      <c r="S4229" s="10"/>
      <c r="T4229" s="10"/>
      <c r="U4229" s="10"/>
      <c r="V4229" s="10"/>
      <c r="W4229" s="10"/>
      <c r="X4229" s="10"/>
      <c r="Y4229" s="10"/>
      <c r="Z4229" s="10"/>
      <c r="AA4229" s="10"/>
      <c r="AB4229" s="10"/>
      <c r="AC4229" s="10"/>
      <c r="AD4229" s="10"/>
      <c r="AE4229" s="10"/>
      <c r="AF4229" s="10"/>
      <c r="AG4229" s="10"/>
      <c r="AH4229" s="10"/>
    </row>
    <row r="4230" spans="1:34" ht="31.5" outlineLevel="2">
      <c r="A4230" s="34"/>
      <c r="B4230" s="12" t="str">
        <f>IFERROR(VLOOKUP(D4230,'[1]Перечень товаров'!$A$2:$I9525,2,0),"")</f>
        <v>пм140</v>
      </c>
      <c r="C4230" s="12" t="str">
        <f>IFERROR(VLOOKUP(D4230,'[1]Перечень товаров'!$A$2:$I9525,3,0),"")</f>
        <v>прочее муз</v>
      </c>
      <c r="D4230" s="35" t="s">
        <v>1175</v>
      </c>
      <c r="E4230" s="88"/>
      <c r="F4230" s="88"/>
      <c r="G4230" s="31">
        <v>4</v>
      </c>
      <c r="H4230" s="31"/>
      <c r="I4230" s="32"/>
      <c r="J4230" s="32"/>
      <c r="K4230" s="19"/>
      <c r="L4230" s="20"/>
      <c r="M4230" s="10"/>
      <c r="N4230" s="10"/>
      <c r="O4230" s="10"/>
      <c r="P4230" s="10"/>
      <c r="Q4230" s="10"/>
      <c r="R4230" s="10"/>
      <c r="S4230" s="10"/>
      <c r="T4230" s="10"/>
      <c r="U4230" s="10"/>
      <c r="V4230" s="10"/>
      <c r="W4230" s="10"/>
      <c r="X4230" s="10"/>
      <c r="Y4230" s="10"/>
      <c r="Z4230" s="10"/>
      <c r="AA4230" s="10"/>
      <c r="AB4230" s="10"/>
      <c r="AC4230" s="10"/>
      <c r="AD4230" s="10"/>
      <c r="AE4230" s="10"/>
      <c r="AF4230" s="10"/>
      <c r="AG4230" s="10"/>
      <c r="AH4230" s="10"/>
    </row>
    <row r="4231" spans="1:34" outlineLevel="2">
      <c r="A4231" s="34"/>
      <c r="B4231" s="12" t="str">
        <f>IFERROR(VLOOKUP(D4231,'[1]Перечень товаров'!$A$2:$I9525,2,0),"")</f>
        <v>пм139</v>
      </c>
      <c r="C4231" s="12" t="str">
        <f>IFERROR(VLOOKUP(D4231,'[1]Перечень товаров'!$A$2:$I9525,3,0),"")</f>
        <v>прочее муз</v>
      </c>
      <c r="D4231" s="35" t="s">
        <v>1176</v>
      </c>
      <c r="E4231" s="88"/>
      <c r="F4231" s="88"/>
      <c r="G4231" s="31">
        <v>5</v>
      </c>
      <c r="H4231" s="31"/>
      <c r="I4231" s="32"/>
      <c r="J4231" s="32"/>
      <c r="K4231" s="19"/>
      <c r="L4231" s="20"/>
      <c r="M4231" s="10"/>
      <c r="N4231" s="10"/>
      <c r="O4231" s="10"/>
      <c r="P4231" s="10"/>
      <c r="Q4231" s="10"/>
      <c r="R4231" s="10"/>
      <c r="S4231" s="10"/>
      <c r="T4231" s="10"/>
      <c r="U4231" s="10"/>
      <c r="V4231" s="10"/>
      <c r="W4231" s="10"/>
      <c r="X4231" s="10"/>
      <c r="Y4231" s="10"/>
      <c r="Z4231" s="10"/>
      <c r="AA4231" s="10"/>
      <c r="AB4231" s="10"/>
      <c r="AC4231" s="10"/>
      <c r="AD4231" s="10"/>
      <c r="AE4231" s="10"/>
      <c r="AF4231" s="10"/>
      <c r="AG4231" s="10"/>
      <c r="AH4231" s="10"/>
    </row>
    <row r="4232" spans="1:34" outlineLevel="2">
      <c r="A4232" s="34"/>
      <c r="B4232" s="12" t="str">
        <f>IFERROR(VLOOKUP(D4232,'[1]Перечень товаров'!$A$2:$I9525,2,0),"")</f>
        <v>пм138</v>
      </c>
      <c r="C4232" s="12" t="str">
        <f>IFERROR(VLOOKUP(D4232,'[1]Перечень товаров'!$A$2:$I9525,3,0),"")</f>
        <v>прочее муз</v>
      </c>
      <c r="D4232" s="35" t="s">
        <v>1177</v>
      </c>
      <c r="E4232" s="88"/>
      <c r="F4232" s="88"/>
      <c r="G4232" s="31">
        <v>5</v>
      </c>
      <c r="H4232" s="31"/>
      <c r="I4232" s="32"/>
      <c r="J4232" s="32"/>
      <c r="K4232" s="19"/>
      <c r="L4232" s="20"/>
      <c r="M4232" s="10"/>
      <c r="N4232" s="10"/>
      <c r="O4232" s="10"/>
      <c r="P4232" s="10"/>
      <c r="Q4232" s="10"/>
      <c r="R4232" s="10"/>
      <c r="S4232" s="10"/>
      <c r="T4232" s="10"/>
      <c r="U4232" s="10"/>
      <c r="V4232" s="10"/>
      <c r="W4232" s="10"/>
      <c r="X4232" s="10"/>
      <c r="Y4232" s="10"/>
      <c r="Z4232" s="10"/>
      <c r="AA4232" s="10"/>
      <c r="AB4232" s="10"/>
      <c r="AC4232" s="10"/>
      <c r="AD4232" s="10"/>
      <c r="AE4232" s="10"/>
      <c r="AF4232" s="10"/>
      <c r="AG4232" s="10"/>
      <c r="AH4232" s="10"/>
    </row>
    <row r="4233" spans="1:34" outlineLevel="2">
      <c r="A4233" s="34"/>
      <c r="B4233" s="12" t="str">
        <f>IFERROR(VLOOKUP(D4233,'[1]Перечень товаров'!$A$2:$I9525,2,0),"")</f>
        <v>пм137</v>
      </c>
      <c r="C4233" s="12" t="str">
        <f>IFERROR(VLOOKUP(D4233,'[1]Перечень товаров'!$A$2:$I9525,3,0),"")</f>
        <v>прочее муз</v>
      </c>
      <c r="D4233" s="35" t="s">
        <v>1178</v>
      </c>
      <c r="E4233" s="88"/>
      <c r="F4233" s="88"/>
      <c r="G4233" s="31">
        <v>3</v>
      </c>
      <c r="H4233" s="31"/>
      <c r="I4233" s="32"/>
      <c r="J4233" s="32"/>
      <c r="K4233" s="19"/>
      <c r="L4233" s="20"/>
      <c r="M4233" s="10"/>
      <c r="N4233" s="10"/>
      <c r="O4233" s="10"/>
      <c r="P4233" s="10"/>
      <c r="Q4233" s="10"/>
      <c r="R4233" s="10"/>
      <c r="S4233" s="10"/>
      <c r="T4233" s="10"/>
      <c r="U4233" s="10"/>
      <c r="V4233" s="10"/>
      <c r="W4233" s="10"/>
      <c r="X4233" s="10"/>
      <c r="Y4233" s="10"/>
      <c r="Z4233" s="10"/>
      <c r="AA4233" s="10"/>
      <c r="AB4233" s="10"/>
      <c r="AC4233" s="10"/>
      <c r="AD4233" s="10"/>
      <c r="AE4233" s="10"/>
      <c r="AF4233" s="10"/>
      <c r="AG4233" s="10"/>
      <c r="AH4233" s="10"/>
    </row>
    <row r="4234" spans="1:34" outlineLevel="2">
      <c r="A4234" s="34"/>
      <c r="B4234" s="12" t="str">
        <f>IFERROR(VLOOKUP(D4234,'[1]Перечень товаров'!$A$2:$I9525,2,0),"")</f>
        <v>пм136</v>
      </c>
      <c r="C4234" s="12" t="str">
        <f>IFERROR(VLOOKUP(D4234,'[1]Перечень товаров'!$A$2:$I9525,3,0),"")</f>
        <v>прочее муз</v>
      </c>
      <c r="D4234" s="35" t="s">
        <v>1179</v>
      </c>
      <c r="E4234" s="88"/>
      <c r="F4234" s="88"/>
      <c r="G4234" s="31">
        <v>2</v>
      </c>
      <c r="H4234" s="31"/>
      <c r="I4234" s="32"/>
      <c r="J4234" s="32"/>
      <c r="K4234" s="19"/>
      <c r="L4234" s="20"/>
      <c r="M4234" s="10"/>
      <c r="N4234" s="10"/>
      <c r="O4234" s="10"/>
      <c r="P4234" s="10"/>
      <c r="Q4234" s="10"/>
      <c r="R4234" s="10"/>
      <c r="S4234" s="10"/>
      <c r="T4234" s="10"/>
      <c r="U4234" s="10"/>
      <c r="V4234" s="10"/>
      <c r="W4234" s="10"/>
      <c r="X4234" s="10"/>
      <c r="Y4234" s="10"/>
      <c r="Z4234" s="10"/>
      <c r="AA4234" s="10"/>
      <c r="AB4234" s="10"/>
      <c r="AC4234" s="10"/>
      <c r="AD4234" s="10"/>
      <c r="AE4234" s="10"/>
      <c r="AF4234" s="10"/>
      <c r="AG4234" s="10"/>
      <c r="AH4234" s="10"/>
    </row>
    <row r="4235" spans="1:34" ht="31.5" outlineLevel="2">
      <c r="A4235" s="34"/>
      <c r="B4235" s="12" t="str">
        <f>IFERROR(VLOOKUP(D4235,'[1]Перечень товаров'!$A$2:$I9525,2,0),"")</f>
        <v>пм135</v>
      </c>
      <c r="C4235" s="12" t="str">
        <f>IFERROR(VLOOKUP(D4235,'[1]Перечень товаров'!$A$2:$I9525,3,0),"")</f>
        <v>прочее муз</v>
      </c>
      <c r="D4235" s="35" t="s">
        <v>1180</v>
      </c>
      <c r="E4235" s="88"/>
      <c r="F4235" s="88"/>
      <c r="G4235" s="31">
        <v>1</v>
      </c>
      <c r="H4235" s="31"/>
      <c r="I4235" s="32"/>
      <c r="J4235" s="32"/>
      <c r="K4235" s="19"/>
      <c r="L4235" s="20"/>
      <c r="M4235" s="10"/>
      <c r="N4235" s="10"/>
      <c r="O4235" s="10"/>
      <c r="P4235" s="10"/>
      <c r="Q4235" s="10"/>
      <c r="R4235" s="10"/>
      <c r="S4235" s="10"/>
      <c r="T4235" s="10"/>
      <c r="U4235" s="10"/>
      <c r="V4235" s="10"/>
      <c r="W4235" s="10"/>
      <c r="X4235" s="10"/>
      <c r="Y4235" s="10"/>
      <c r="Z4235" s="10"/>
      <c r="AA4235" s="10"/>
      <c r="AB4235" s="10"/>
      <c r="AC4235" s="10"/>
      <c r="AD4235" s="10"/>
      <c r="AE4235" s="10"/>
      <c r="AF4235" s="10"/>
      <c r="AG4235" s="10"/>
      <c r="AH4235" s="10"/>
    </row>
    <row r="4236" spans="1:34" ht="31.5" outlineLevel="2">
      <c r="A4236" s="34"/>
      <c r="B4236" s="12" t="str">
        <f>IFERROR(VLOOKUP(D4236,'[1]Перечень товаров'!$A$2:$I9525,2,0),"")</f>
        <v>пм134</v>
      </c>
      <c r="C4236" s="12" t="str">
        <f>IFERROR(VLOOKUP(D4236,'[1]Перечень товаров'!$A$2:$I9525,3,0),"")</f>
        <v>прочее муз</v>
      </c>
      <c r="D4236" s="35" t="s">
        <v>1181</v>
      </c>
      <c r="E4236" s="88"/>
      <c r="F4236" s="88"/>
      <c r="G4236" s="31">
        <v>1</v>
      </c>
      <c r="H4236" s="31"/>
      <c r="I4236" s="32"/>
      <c r="J4236" s="32"/>
      <c r="K4236" s="19"/>
      <c r="L4236" s="20"/>
      <c r="M4236" s="10"/>
      <c r="N4236" s="10"/>
      <c r="O4236" s="10"/>
      <c r="P4236" s="10"/>
      <c r="Q4236" s="10"/>
      <c r="R4236" s="10"/>
      <c r="S4236" s="10"/>
      <c r="T4236" s="10"/>
      <c r="U4236" s="10"/>
      <c r="V4236" s="10"/>
      <c r="W4236" s="10"/>
      <c r="X4236" s="10"/>
      <c r="Y4236" s="10"/>
      <c r="Z4236" s="10"/>
      <c r="AA4236" s="10"/>
      <c r="AB4236" s="10"/>
      <c r="AC4236" s="10"/>
      <c r="AD4236" s="10"/>
      <c r="AE4236" s="10"/>
      <c r="AF4236" s="10"/>
      <c r="AG4236" s="10"/>
      <c r="AH4236" s="10"/>
    </row>
    <row r="4237" spans="1:34" outlineLevel="2">
      <c r="A4237" s="34"/>
      <c r="B4237" s="12" t="str">
        <f>IFERROR(VLOOKUP(D4237,'[1]Перечень товаров'!$A$2:$I9525,2,0),"")</f>
        <v>т188</v>
      </c>
      <c r="C4237" s="12" t="str">
        <f>IFERROR(VLOOKUP(D4237,'[1]Перечень товаров'!$A$2:$I9525,3,0),"")</f>
        <v>Техника</v>
      </c>
      <c r="D4237" s="35" t="s">
        <v>458</v>
      </c>
      <c r="E4237" s="88"/>
      <c r="F4237" s="88"/>
      <c r="G4237" s="31">
        <v>2</v>
      </c>
      <c r="H4237" s="31"/>
      <c r="I4237" s="32"/>
      <c r="J4237" s="32"/>
      <c r="K4237" s="19"/>
      <c r="L4237" s="20"/>
      <c r="M4237" s="10"/>
      <c r="N4237" s="10"/>
      <c r="O4237" s="10"/>
      <c r="P4237" s="10"/>
      <c r="Q4237" s="10"/>
      <c r="R4237" s="10"/>
      <c r="S4237" s="10"/>
      <c r="T4237" s="10"/>
      <c r="U4237" s="10"/>
      <c r="V4237" s="10"/>
      <c r="W4237" s="10"/>
      <c r="X4237" s="10"/>
      <c r="Y4237" s="10"/>
      <c r="Z4237" s="10"/>
      <c r="AA4237" s="10"/>
      <c r="AB4237" s="10"/>
      <c r="AC4237" s="10"/>
      <c r="AD4237" s="10"/>
      <c r="AE4237" s="10"/>
      <c r="AF4237" s="10"/>
      <c r="AG4237" s="10"/>
      <c r="AH4237" s="10"/>
    </row>
    <row r="4238" spans="1:34" outlineLevel="2">
      <c r="A4238" s="34"/>
      <c r="B4238" s="12" t="str">
        <f>IFERROR(VLOOKUP(D4238,'[1]Перечень товаров'!$A$2:$I9525,2,0),"")</f>
        <v>тм76</v>
      </c>
      <c r="C4238" s="12" t="str">
        <f>IFERROR(VLOOKUP(D4238,'[1]Перечень товаров'!$A$2:$I9525,3,0),"")</f>
        <v>Техника муз</v>
      </c>
      <c r="D4238" s="35" t="s">
        <v>423</v>
      </c>
      <c r="E4238" s="88"/>
      <c r="F4238" s="88"/>
      <c r="G4238" s="31">
        <v>2</v>
      </c>
      <c r="H4238" s="31"/>
      <c r="I4238" s="32"/>
      <c r="J4238" s="32"/>
      <c r="K4238" s="19"/>
      <c r="L4238" s="20"/>
      <c r="M4238" s="10"/>
      <c r="N4238" s="10"/>
      <c r="O4238" s="10"/>
      <c r="P4238" s="10"/>
      <c r="Q4238" s="10"/>
      <c r="R4238" s="10"/>
      <c r="S4238" s="10"/>
      <c r="T4238" s="10"/>
      <c r="U4238" s="10"/>
      <c r="V4238" s="10"/>
      <c r="W4238" s="10"/>
      <c r="X4238" s="10"/>
      <c r="Y4238" s="10"/>
      <c r="Z4238" s="10"/>
      <c r="AA4238" s="10"/>
      <c r="AB4238" s="10"/>
      <c r="AC4238" s="10"/>
      <c r="AD4238" s="10"/>
      <c r="AE4238" s="10"/>
      <c r="AF4238" s="10"/>
      <c r="AG4238" s="10"/>
      <c r="AH4238" s="10"/>
    </row>
    <row r="4239" spans="1:34" outlineLevel="2">
      <c r="A4239" s="34"/>
      <c r="B4239" s="12" t="str">
        <f>IFERROR(VLOOKUP(D4239,'[1]Перечень товаров'!$A$2:$I9525,2,0),"")</f>
        <v>пм133</v>
      </c>
      <c r="C4239" s="12" t="str">
        <f>IFERROR(VLOOKUP(D4239,'[1]Перечень товаров'!$A$2:$I9525,3,0),"")</f>
        <v>прочее муз</v>
      </c>
      <c r="D4239" s="35" t="s">
        <v>1182</v>
      </c>
      <c r="E4239" s="88"/>
      <c r="F4239" s="88"/>
      <c r="G4239" s="31">
        <v>5</v>
      </c>
      <c r="H4239" s="31"/>
      <c r="I4239" s="32"/>
      <c r="J4239" s="32"/>
      <c r="K4239" s="19"/>
      <c r="L4239" s="20"/>
      <c r="M4239" s="10"/>
      <c r="N4239" s="10"/>
      <c r="O4239" s="10"/>
      <c r="P4239" s="10"/>
      <c r="Q4239" s="10"/>
      <c r="R4239" s="10"/>
      <c r="S4239" s="10"/>
      <c r="T4239" s="10"/>
      <c r="U4239" s="10"/>
      <c r="V4239" s="10"/>
      <c r="W4239" s="10"/>
      <c r="X4239" s="10"/>
      <c r="Y4239" s="10"/>
      <c r="Z4239" s="10"/>
      <c r="AA4239" s="10"/>
      <c r="AB4239" s="10"/>
      <c r="AC4239" s="10"/>
      <c r="AD4239" s="10"/>
      <c r="AE4239" s="10"/>
      <c r="AF4239" s="10"/>
      <c r="AG4239" s="10"/>
      <c r="AH4239" s="10"/>
    </row>
    <row r="4240" spans="1:34" outlineLevel="2">
      <c r="A4240" s="34"/>
      <c r="B4240" s="12" t="str">
        <f>IFERROR(VLOOKUP(D4240,'[1]Перечень товаров'!$A$2:$I9525,2,0),"")</f>
        <v>пм132</v>
      </c>
      <c r="C4240" s="12" t="str">
        <f>IFERROR(VLOOKUP(D4240,'[1]Перечень товаров'!$A$2:$I9525,3,0),"")</f>
        <v>прочее муз</v>
      </c>
      <c r="D4240" s="35" t="s">
        <v>1183</v>
      </c>
      <c r="E4240" s="88"/>
      <c r="F4240" s="88"/>
      <c r="G4240" s="31">
        <v>1</v>
      </c>
      <c r="H4240" s="31"/>
      <c r="I4240" s="32"/>
      <c r="J4240" s="32"/>
      <c r="K4240" s="19"/>
      <c r="L4240" s="20"/>
      <c r="M4240" s="10"/>
      <c r="N4240" s="10"/>
      <c r="O4240" s="10"/>
      <c r="P4240" s="10"/>
      <c r="Q4240" s="10"/>
      <c r="R4240" s="10"/>
      <c r="S4240" s="10"/>
      <c r="T4240" s="10"/>
      <c r="U4240" s="10"/>
      <c r="V4240" s="10"/>
      <c r="W4240" s="10"/>
      <c r="X4240" s="10"/>
      <c r="Y4240" s="10"/>
      <c r="Z4240" s="10"/>
      <c r="AA4240" s="10"/>
      <c r="AB4240" s="10"/>
      <c r="AC4240" s="10"/>
      <c r="AD4240" s="10"/>
      <c r="AE4240" s="10"/>
      <c r="AF4240" s="10"/>
      <c r="AG4240" s="10"/>
      <c r="AH4240" s="10"/>
    </row>
    <row r="4241" spans="1:34" ht="31.5" outlineLevel="2">
      <c r="A4241" s="34"/>
      <c r="B4241" s="12" t="str">
        <f>IFERROR(VLOOKUP(D4241,'[1]Перечень товаров'!$A$2:$I9525,2,0),"")</f>
        <v>пм131</v>
      </c>
      <c r="C4241" s="12" t="str">
        <f>IFERROR(VLOOKUP(D4241,'[1]Перечень товаров'!$A$2:$I9525,3,0),"")</f>
        <v>прочее муз</v>
      </c>
      <c r="D4241" s="35" t="s">
        <v>1184</v>
      </c>
      <c r="E4241" s="88"/>
      <c r="F4241" s="88"/>
      <c r="G4241" s="31">
        <v>2</v>
      </c>
      <c r="H4241" s="31"/>
      <c r="I4241" s="32"/>
      <c r="J4241" s="32"/>
      <c r="K4241" s="19"/>
      <c r="L4241" s="20"/>
      <c r="M4241" s="10"/>
      <c r="N4241" s="10"/>
      <c r="O4241" s="10"/>
      <c r="P4241" s="10"/>
      <c r="Q4241" s="10"/>
      <c r="R4241" s="10"/>
      <c r="S4241" s="10"/>
      <c r="T4241" s="10"/>
      <c r="U4241" s="10"/>
      <c r="V4241" s="10"/>
      <c r="W4241" s="10"/>
      <c r="X4241" s="10"/>
      <c r="Y4241" s="10"/>
      <c r="Z4241" s="10"/>
      <c r="AA4241" s="10"/>
      <c r="AB4241" s="10"/>
      <c r="AC4241" s="10"/>
      <c r="AD4241" s="10"/>
      <c r="AE4241" s="10"/>
      <c r="AF4241" s="10"/>
      <c r="AG4241" s="10"/>
      <c r="AH4241" s="10"/>
    </row>
    <row r="4242" spans="1:34" outlineLevel="2">
      <c r="A4242" s="34"/>
      <c r="B4242" s="12" t="str">
        <f>IFERROR(VLOOKUP(D4242,'[1]Перечень товаров'!$A$2:$I9525,2,0),"")</f>
        <v>пм130</v>
      </c>
      <c r="C4242" s="12" t="str">
        <f>IFERROR(VLOOKUP(D4242,'[1]Перечень товаров'!$A$2:$I9525,3,0),"")</f>
        <v>прочее муз</v>
      </c>
      <c r="D4242" s="35" t="s">
        <v>1185</v>
      </c>
      <c r="E4242" s="88"/>
      <c r="F4242" s="88"/>
      <c r="G4242" s="31">
        <v>5</v>
      </c>
      <c r="H4242" s="31"/>
      <c r="I4242" s="32"/>
      <c r="J4242" s="32"/>
      <c r="K4242" s="19"/>
      <c r="L4242" s="20"/>
      <c r="M4242" s="10"/>
      <c r="N4242" s="10"/>
      <c r="O4242" s="10"/>
      <c r="P4242" s="10"/>
      <c r="Q4242" s="10"/>
      <c r="R4242" s="10"/>
      <c r="S4242" s="10"/>
      <c r="T4242" s="10"/>
      <c r="U4242" s="10"/>
      <c r="V4242" s="10"/>
      <c r="W4242" s="10"/>
      <c r="X4242" s="10"/>
      <c r="Y4242" s="10"/>
      <c r="Z4242" s="10"/>
      <c r="AA4242" s="10"/>
      <c r="AB4242" s="10"/>
      <c r="AC4242" s="10"/>
      <c r="AD4242" s="10"/>
      <c r="AE4242" s="10"/>
      <c r="AF4242" s="10"/>
      <c r="AG4242" s="10"/>
      <c r="AH4242" s="10"/>
    </row>
    <row r="4243" spans="1:34" ht="236.25" outlineLevel="2">
      <c r="A4243" s="228"/>
      <c r="B4243" s="12" t="str">
        <f>IFERROR(VLOOKUP(D4243,'[1]Перечень товаров'!$A$2:$I9525,2,0),"")</f>
        <v/>
      </c>
      <c r="C4243" s="12" t="str">
        <f>IFERROR(VLOOKUP(D4243,'[1]Перечень товаров'!$A$2:$I9525,3,0),"")</f>
        <v/>
      </c>
      <c r="D4243" s="229" t="s">
        <v>1186</v>
      </c>
      <c r="E4243" s="30"/>
      <c r="F4243" s="30"/>
      <c r="G4243" s="31">
        <v>7</v>
      </c>
      <c r="H4243" s="31"/>
      <c r="I4243" s="32"/>
      <c r="J4243" s="32"/>
      <c r="K4243" s="19"/>
      <c r="L4243" s="20"/>
      <c r="M4243" s="10"/>
      <c r="N4243" s="10"/>
      <c r="O4243" s="10"/>
      <c r="P4243" s="10"/>
      <c r="Q4243" s="10"/>
      <c r="R4243" s="10"/>
      <c r="S4243" s="10"/>
      <c r="T4243" s="10"/>
      <c r="U4243" s="10"/>
      <c r="V4243" s="10"/>
      <c r="W4243" s="10"/>
      <c r="X4243" s="10"/>
      <c r="Y4243" s="10"/>
      <c r="Z4243" s="10"/>
      <c r="AA4243" s="10"/>
      <c r="AB4243" s="10"/>
      <c r="AC4243" s="10"/>
      <c r="AD4243" s="10"/>
      <c r="AE4243" s="10"/>
      <c r="AF4243" s="10"/>
      <c r="AG4243" s="10"/>
      <c r="AH4243" s="10"/>
    </row>
    <row r="4244" spans="1:34" ht="236.25" outlineLevel="2">
      <c r="A4244" s="34"/>
      <c r="B4244" s="12" t="str">
        <f>IFERROR(VLOOKUP(D4244,'[1]Перечень товаров'!$A$2:$I9525,2,0),"")</f>
        <v/>
      </c>
      <c r="C4244" s="12" t="str">
        <f>IFERROR(VLOOKUP(D4244,'[1]Перечень товаров'!$A$2:$I9525,3,0),"")</f>
        <v/>
      </c>
      <c r="D4244" s="35" t="s">
        <v>1187</v>
      </c>
      <c r="E4244" s="88"/>
      <c r="F4244" s="88"/>
      <c r="G4244" s="31">
        <v>2</v>
      </c>
      <c r="H4244" s="31"/>
      <c r="I4244" s="32"/>
      <c r="J4244" s="32"/>
      <c r="K4244" s="19"/>
      <c r="L4244" s="20"/>
      <c r="M4244" s="10"/>
      <c r="N4244" s="10"/>
      <c r="O4244" s="10"/>
      <c r="P4244" s="10"/>
      <c r="Q4244" s="10"/>
      <c r="R4244" s="10"/>
      <c r="S4244" s="10"/>
      <c r="T4244" s="10"/>
      <c r="U4244" s="10"/>
      <c r="V4244" s="10"/>
      <c r="W4244" s="10"/>
      <c r="X4244" s="10"/>
      <c r="Y4244" s="10"/>
      <c r="Z4244" s="10"/>
      <c r="AA4244" s="10"/>
      <c r="AB4244" s="10"/>
      <c r="AC4244" s="10"/>
      <c r="AD4244" s="10"/>
      <c r="AE4244" s="10"/>
      <c r="AF4244" s="10"/>
      <c r="AG4244" s="10"/>
      <c r="AH4244" s="10"/>
    </row>
    <row r="4245" spans="1:34" ht="141.75" outlineLevel="2">
      <c r="A4245" s="34"/>
      <c r="B4245" s="12" t="str">
        <f>IFERROR(VLOOKUP(D4245,'[1]Перечень товаров'!$A$2:$I9525,2,0),"")</f>
        <v>тм181</v>
      </c>
      <c r="C4245" s="12" t="str">
        <f>IFERROR(VLOOKUP(D4245,'[1]Перечень товаров'!$A$2:$I9525,3,0),"")</f>
        <v>Техника муз</v>
      </c>
      <c r="D4245" s="35" t="s">
        <v>1188</v>
      </c>
      <c r="E4245" s="30"/>
      <c r="F4245" s="30"/>
      <c r="G4245" s="31">
        <v>1</v>
      </c>
      <c r="H4245" s="31"/>
      <c r="I4245" s="32"/>
      <c r="J4245" s="32"/>
      <c r="K4245" s="19"/>
      <c r="L4245" s="20"/>
      <c r="M4245" s="10"/>
      <c r="N4245" s="10"/>
      <c r="O4245" s="10"/>
      <c r="P4245" s="10"/>
      <c r="Q4245" s="10"/>
      <c r="R4245" s="10"/>
      <c r="S4245" s="10"/>
      <c r="T4245" s="10"/>
      <c r="U4245" s="10"/>
      <c r="V4245" s="10"/>
      <c r="W4245" s="10"/>
      <c r="X4245" s="10"/>
      <c r="Y4245" s="10"/>
      <c r="Z4245" s="10"/>
      <c r="AA4245" s="10"/>
      <c r="AB4245" s="10"/>
      <c r="AC4245" s="10"/>
      <c r="AD4245" s="10"/>
      <c r="AE4245" s="10"/>
      <c r="AF4245" s="10"/>
      <c r="AG4245" s="10"/>
      <c r="AH4245" s="10"/>
    </row>
    <row r="4246" spans="1:34" ht="63" outlineLevel="2">
      <c r="A4246" s="34"/>
      <c r="B4246" s="12" t="str">
        <f>IFERROR(VLOOKUP(D4246,'[1]Перечень товаров'!$A$2:$I9525,2,0),"")</f>
        <v>тм180</v>
      </c>
      <c r="C4246" s="12" t="str">
        <f>IFERROR(VLOOKUP(D4246,'[1]Перечень товаров'!$A$2:$I9525,3,0),"")</f>
        <v>Техника муз</v>
      </c>
      <c r="D4246" s="35" t="s">
        <v>1189</v>
      </c>
      <c r="E4246" s="30"/>
      <c r="F4246" s="30"/>
      <c r="G4246" s="31">
        <v>1</v>
      </c>
      <c r="H4246" s="31"/>
      <c r="I4246" s="32"/>
      <c r="J4246" s="32"/>
      <c r="K4246" s="19"/>
      <c r="L4246" s="20"/>
      <c r="M4246" s="10"/>
      <c r="N4246" s="10"/>
      <c r="O4246" s="10"/>
      <c r="P4246" s="10"/>
      <c r="Q4246" s="10"/>
      <c r="R4246" s="10"/>
      <c r="S4246" s="10"/>
      <c r="T4246" s="10"/>
      <c r="U4246" s="10"/>
      <c r="V4246" s="10"/>
      <c r="W4246" s="10"/>
      <c r="X4246" s="10"/>
      <c r="Y4246" s="10"/>
      <c r="Z4246" s="10"/>
      <c r="AA4246" s="10"/>
      <c r="AB4246" s="10"/>
      <c r="AC4246" s="10"/>
      <c r="AD4246" s="10"/>
      <c r="AE4246" s="10"/>
      <c r="AF4246" s="10"/>
      <c r="AG4246" s="10"/>
      <c r="AH4246" s="10"/>
    </row>
    <row r="4247" spans="1:34" ht="189" outlineLevel="2">
      <c r="A4247" s="34"/>
      <c r="B4247" s="12" t="str">
        <f>IFERROR(VLOOKUP(D4247,'[1]Перечень товаров'!$A$2:$I9525,2,0),"")</f>
        <v/>
      </c>
      <c r="C4247" s="12" t="str">
        <f>IFERROR(VLOOKUP(D4247,'[1]Перечень товаров'!$A$2:$I9525,3,0),"")</f>
        <v/>
      </c>
      <c r="D4247" s="35" t="s">
        <v>1190</v>
      </c>
      <c r="E4247" s="30"/>
      <c r="F4247" s="30"/>
      <c r="G4247" s="31">
        <v>1</v>
      </c>
      <c r="H4247" s="31"/>
      <c r="I4247" s="32"/>
      <c r="J4247" s="32"/>
      <c r="K4247" s="19"/>
      <c r="L4247" s="20"/>
      <c r="M4247" s="10"/>
      <c r="N4247" s="10"/>
      <c r="O4247" s="10"/>
      <c r="P4247" s="10"/>
      <c r="Q4247" s="10"/>
      <c r="R4247" s="10"/>
      <c r="S4247" s="10"/>
      <c r="T4247" s="10"/>
      <c r="U4247" s="10"/>
      <c r="V4247" s="10"/>
      <c r="W4247" s="10"/>
      <c r="X4247" s="10"/>
      <c r="Y4247" s="10"/>
      <c r="Z4247" s="10"/>
      <c r="AA4247" s="10"/>
      <c r="AB4247" s="10"/>
      <c r="AC4247" s="10"/>
      <c r="AD4247" s="10"/>
      <c r="AE4247" s="10"/>
      <c r="AF4247" s="10"/>
      <c r="AG4247" s="10"/>
      <c r="AH4247" s="10"/>
    </row>
    <row r="4248" spans="1:34" ht="47.25" outlineLevel="2">
      <c r="A4248" s="34"/>
      <c r="B4248" s="12" t="str">
        <f>IFERROR(VLOOKUP(D4248,'[1]Перечень товаров'!$A$2:$I9525,2,0),"")</f>
        <v>тм178</v>
      </c>
      <c r="C4248" s="12" t="str">
        <f>IFERROR(VLOOKUP(D4248,'[1]Перечень товаров'!$A$2:$I9525,3,0),"")</f>
        <v>Техника муз</v>
      </c>
      <c r="D4248" s="35" t="s">
        <v>1191</v>
      </c>
      <c r="E4248" s="30"/>
      <c r="F4248" s="30"/>
      <c r="G4248" s="31">
        <v>1</v>
      </c>
      <c r="H4248" s="31"/>
      <c r="I4248" s="32"/>
      <c r="J4248" s="32"/>
      <c r="K4248" s="19"/>
      <c r="L4248" s="20"/>
      <c r="M4248" s="10"/>
      <c r="N4248" s="10"/>
      <c r="O4248" s="10"/>
      <c r="P4248" s="10"/>
      <c r="Q4248" s="10"/>
      <c r="R4248" s="10"/>
      <c r="S4248" s="10"/>
      <c r="T4248" s="10"/>
      <c r="U4248" s="10"/>
      <c r="V4248" s="10"/>
      <c r="W4248" s="10"/>
      <c r="X4248" s="10"/>
      <c r="Y4248" s="10"/>
      <c r="Z4248" s="10"/>
      <c r="AA4248" s="10"/>
      <c r="AB4248" s="10"/>
      <c r="AC4248" s="10"/>
      <c r="AD4248" s="10"/>
      <c r="AE4248" s="10"/>
      <c r="AF4248" s="10"/>
      <c r="AG4248" s="10"/>
      <c r="AH4248" s="10"/>
    </row>
    <row r="4249" spans="1:34" ht="141.75" outlineLevel="2">
      <c r="A4249" s="34"/>
      <c r="B4249" s="12" t="str">
        <f>IFERROR(VLOOKUP(D4249,'[1]Перечень товаров'!$A$2:$I9525,2,0),"")</f>
        <v>тм177</v>
      </c>
      <c r="C4249" s="12" t="str">
        <f>IFERROR(VLOOKUP(D4249,'[1]Перечень товаров'!$A$2:$I9525,3,0),"")</f>
        <v>Техника муз</v>
      </c>
      <c r="D4249" s="35" t="s">
        <v>1192</v>
      </c>
      <c r="E4249" s="30"/>
      <c r="F4249" s="30"/>
      <c r="G4249" s="31">
        <v>1</v>
      </c>
      <c r="H4249" s="31"/>
      <c r="I4249" s="32"/>
      <c r="J4249" s="32"/>
      <c r="K4249" s="19"/>
      <c r="L4249" s="20"/>
      <c r="M4249" s="10"/>
      <c r="N4249" s="10"/>
      <c r="O4249" s="10"/>
      <c r="P4249" s="10"/>
      <c r="Q4249" s="10"/>
      <c r="R4249" s="10"/>
      <c r="S4249" s="10"/>
      <c r="T4249" s="10"/>
      <c r="U4249" s="10"/>
      <c r="V4249" s="10"/>
      <c r="W4249" s="10"/>
      <c r="X4249" s="10"/>
      <c r="Y4249" s="10"/>
      <c r="Z4249" s="10"/>
      <c r="AA4249" s="10"/>
      <c r="AB4249" s="10"/>
      <c r="AC4249" s="10"/>
      <c r="AD4249" s="10"/>
      <c r="AE4249" s="10"/>
      <c r="AF4249" s="10"/>
      <c r="AG4249" s="10"/>
      <c r="AH4249" s="10"/>
    </row>
    <row r="4250" spans="1:34" ht="110.25" outlineLevel="2">
      <c r="A4250" s="28"/>
      <c r="B4250" s="12" t="str">
        <f>IFERROR(VLOOKUP(D4250,'[1]Перечень товаров'!$A$2:$I9525,2,0),"")</f>
        <v>тм176</v>
      </c>
      <c r="C4250" s="12" t="str">
        <f>IFERROR(VLOOKUP(D4250,'[1]Перечень товаров'!$A$2:$I9525,3,0),"")</f>
        <v>Техника муз</v>
      </c>
      <c r="D4250" s="29" t="s">
        <v>1193</v>
      </c>
      <c r="E4250" s="30"/>
      <c r="F4250" s="30"/>
      <c r="G4250" s="31">
        <v>1</v>
      </c>
      <c r="H4250" s="31"/>
      <c r="I4250" s="32"/>
      <c r="J4250" s="32"/>
      <c r="K4250" s="19"/>
      <c r="L4250" s="20"/>
      <c r="M4250" s="10"/>
      <c r="N4250" s="10"/>
      <c r="O4250" s="10"/>
      <c r="P4250" s="10"/>
      <c r="Q4250" s="10"/>
      <c r="R4250" s="10"/>
      <c r="S4250" s="10"/>
      <c r="T4250" s="10"/>
      <c r="U4250" s="10"/>
      <c r="V4250" s="10"/>
      <c r="W4250" s="10"/>
      <c r="X4250" s="10"/>
      <c r="Y4250" s="10"/>
      <c r="Z4250" s="10"/>
      <c r="AA4250" s="10"/>
      <c r="AB4250" s="10"/>
      <c r="AC4250" s="10"/>
      <c r="AD4250" s="10"/>
      <c r="AE4250" s="10"/>
      <c r="AF4250" s="10"/>
      <c r="AG4250" s="10"/>
      <c r="AH4250" s="10"/>
    </row>
    <row r="4251" spans="1:34" ht="31.5" outlineLevel="2">
      <c r="A4251" s="34"/>
      <c r="B4251" s="12" t="str">
        <f>IFERROR(VLOOKUP(D4251,'[1]Перечень товаров'!$A$2:$I9525,2,0),"")</f>
        <v>тм175</v>
      </c>
      <c r="C4251" s="12" t="str">
        <f>IFERROR(VLOOKUP(D4251,'[1]Перечень товаров'!$A$2:$I9525,3,0),"")</f>
        <v>Техника муз</v>
      </c>
      <c r="D4251" s="35" t="s">
        <v>1194</v>
      </c>
      <c r="E4251" s="30"/>
      <c r="F4251" s="30"/>
      <c r="G4251" s="31">
        <v>1</v>
      </c>
      <c r="H4251" s="31"/>
      <c r="I4251" s="32"/>
      <c r="J4251" s="32"/>
      <c r="K4251" s="19"/>
      <c r="L4251" s="20"/>
      <c r="M4251" s="10"/>
      <c r="N4251" s="10"/>
      <c r="O4251" s="10"/>
      <c r="P4251" s="10"/>
      <c r="Q4251" s="10"/>
      <c r="R4251" s="10"/>
      <c r="S4251" s="10"/>
      <c r="T4251" s="10"/>
      <c r="U4251" s="10"/>
      <c r="V4251" s="10"/>
      <c r="W4251" s="10"/>
      <c r="X4251" s="10"/>
      <c r="Y4251" s="10"/>
      <c r="Z4251" s="10"/>
      <c r="AA4251" s="10"/>
      <c r="AB4251" s="10"/>
      <c r="AC4251" s="10"/>
      <c r="AD4251" s="10"/>
      <c r="AE4251" s="10"/>
      <c r="AF4251" s="10"/>
      <c r="AG4251" s="10"/>
      <c r="AH4251" s="10"/>
    </row>
    <row r="4252" spans="1:34" ht="31.5" outlineLevel="2">
      <c r="A4252" s="28"/>
      <c r="B4252" s="12" t="str">
        <f>IFERROR(VLOOKUP(D4252,'[1]Перечень товаров'!$A$2:$I9525,2,0),"")</f>
        <v>тм174</v>
      </c>
      <c r="C4252" s="12" t="str">
        <f>IFERROR(VLOOKUP(D4252,'[1]Перечень товаров'!$A$2:$I9525,3,0),"")</f>
        <v>Техника муз</v>
      </c>
      <c r="D4252" s="29" t="s">
        <v>1195</v>
      </c>
      <c r="E4252" s="30"/>
      <c r="F4252" s="30"/>
      <c r="G4252" s="31">
        <v>1</v>
      </c>
      <c r="H4252" s="31"/>
      <c r="I4252" s="32"/>
      <c r="J4252" s="32"/>
      <c r="K4252" s="19"/>
      <c r="L4252" s="20"/>
      <c r="M4252" s="10"/>
      <c r="N4252" s="10"/>
      <c r="O4252" s="10"/>
      <c r="P4252" s="10"/>
      <c r="Q4252" s="10"/>
      <c r="R4252" s="10"/>
      <c r="S4252" s="10"/>
      <c r="T4252" s="10"/>
      <c r="U4252" s="10"/>
      <c r="V4252" s="10"/>
      <c r="W4252" s="10"/>
      <c r="X4252" s="10"/>
      <c r="Y4252" s="10"/>
      <c r="Z4252" s="10"/>
      <c r="AA4252" s="10"/>
      <c r="AB4252" s="10"/>
      <c r="AC4252" s="10"/>
      <c r="AD4252" s="10"/>
      <c r="AE4252" s="10"/>
      <c r="AF4252" s="10"/>
      <c r="AG4252" s="10"/>
      <c r="AH4252" s="10"/>
    </row>
    <row r="4253" spans="1:34" ht="31.5" outlineLevel="2">
      <c r="A4253" s="28"/>
      <c r="B4253" s="12" t="str">
        <f>IFERROR(VLOOKUP(D4253,'[1]Перечень товаров'!$A$2:$I9525,2,0),"")</f>
        <v>тм173</v>
      </c>
      <c r="C4253" s="12" t="str">
        <f>IFERROR(VLOOKUP(D4253,'[1]Перечень товаров'!$A$2:$I9525,3,0),"")</f>
        <v>Техника муз</v>
      </c>
      <c r="D4253" s="29" t="s">
        <v>1196</v>
      </c>
      <c r="E4253" s="30"/>
      <c r="F4253" s="30"/>
      <c r="G4253" s="31">
        <v>1</v>
      </c>
      <c r="H4253" s="31"/>
      <c r="I4253" s="32"/>
      <c r="J4253" s="32"/>
      <c r="K4253" s="19"/>
      <c r="L4253" s="20"/>
      <c r="M4253" s="10"/>
      <c r="N4253" s="10"/>
      <c r="O4253" s="10"/>
      <c r="P4253" s="10"/>
      <c r="Q4253" s="10"/>
      <c r="R4253" s="10"/>
      <c r="S4253" s="10"/>
      <c r="T4253" s="10"/>
      <c r="U4253" s="10"/>
      <c r="V4253" s="10"/>
      <c r="W4253" s="10"/>
      <c r="X4253" s="10"/>
      <c r="Y4253" s="10"/>
      <c r="Z4253" s="10"/>
      <c r="AA4253" s="10"/>
      <c r="AB4253" s="10"/>
      <c r="AC4253" s="10"/>
      <c r="AD4253" s="10"/>
      <c r="AE4253" s="10"/>
      <c r="AF4253" s="10"/>
      <c r="AG4253" s="10"/>
      <c r="AH4253" s="10"/>
    </row>
    <row r="4254" spans="1:34" ht="31.5" outlineLevel="2">
      <c r="A4254" s="34"/>
      <c r="B4254" s="12" t="str">
        <f>IFERROR(VLOOKUP(D4254,'[1]Перечень товаров'!$A$2:$I9525,2,0),"")</f>
        <v>тм172</v>
      </c>
      <c r="C4254" s="12" t="str">
        <f>IFERROR(VLOOKUP(D4254,'[1]Перечень товаров'!$A$2:$I9525,3,0),"")</f>
        <v>Техника муз</v>
      </c>
      <c r="D4254" s="35" t="s">
        <v>1197</v>
      </c>
      <c r="E4254" s="30"/>
      <c r="F4254" s="30"/>
      <c r="G4254" s="31">
        <v>1</v>
      </c>
      <c r="H4254" s="31"/>
      <c r="I4254" s="32"/>
      <c r="J4254" s="32"/>
      <c r="K4254" s="19"/>
      <c r="L4254" s="20"/>
      <c r="M4254" s="10"/>
      <c r="N4254" s="10"/>
      <c r="O4254" s="10"/>
      <c r="P4254" s="10"/>
      <c r="Q4254" s="10"/>
      <c r="R4254" s="10"/>
      <c r="S4254" s="10"/>
      <c r="T4254" s="10"/>
      <c r="U4254" s="10"/>
      <c r="V4254" s="10"/>
      <c r="W4254" s="10"/>
      <c r="X4254" s="10"/>
      <c r="Y4254" s="10"/>
      <c r="Z4254" s="10"/>
      <c r="AA4254" s="10"/>
      <c r="AB4254" s="10"/>
      <c r="AC4254" s="10"/>
      <c r="AD4254" s="10"/>
      <c r="AE4254" s="10"/>
      <c r="AF4254" s="10"/>
      <c r="AG4254" s="10"/>
      <c r="AH4254" s="10"/>
    </row>
    <row r="4255" spans="1:34" outlineLevel="2">
      <c r="A4255" s="34"/>
      <c r="B4255" s="12" t="str">
        <f>IFERROR(VLOOKUP(D4255,'[1]Перечень товаров'!$A$2:$I9525,2,0),"")</f>
        <v>тм171</v>
      </c>
      <c r="C4255" s="12" t="str">
        <f>IFERROR(VLOOKUP(D4255,'[1]Перечень товаров'!$A$2:$I9525,3,0),"")</f>
        <v>Техника муз</v>
      </c>
      <c r="D4255" s="35" t="s">
        <v>1198</v>
      </c>
      <c r="E4255" s="30"/>
      <c r="F4255" s="30"/>
      <c r="G4255" s="31">
        <v>1</v>
      </c>
      <c r="H4255" s="31"/>
      <c r="I4255" s="32"/>
      <c r="J4255" s="32"/>
      <c r="K4255" s="19"/>
      <c r="L4255" s="20"/>
      <c r="M4255" s="10"/>
      <c r="N4255" s="10"/>
      <c r="O4255" s="10"/>
      <c r="P4255" s="10"/>
      <c r="Q4255" s="10"/>
      <c r="R4255" s="10"/>
      <c r="S4255" s="10"/>
      <c r="T4255" s="10"/>
      <c r="U4255" s="10"/>
      <c r="V4255" s="10"/>
      <c r="W4255" s="10"/>
      <c r="X4255" s="10"/>
      <c r="Y4255" s="10"/>
      <c r="Z4255" s="10"/>
      <c r="AA4255" s="10"/>
      <c r="AB4255" s="10"/>
      <c r="AC4255" s="10"/>
      <c r="AD4255" s="10"/>
      <c r="AE4255" s="10"/>
      <c r="AF4255" s="10"/>
      <c r="AG4255" s="10"/>
      <c r="AH4255" s="10"/>
    </row>
    <row r="4256" spans="1:34" ht="31.5" outlineLevel="2">
      <c r="A4256" s="34"/>
      <c r="B4256" s="12" t="str">
        <f>IFERROR(VLOOKUP(D4256,'[1]Перечень товаров'!$A$2:$I9525,2,0),"")</f>
        <v>тм170</v>
      </c>
      <c r="C4256" s="12" t="str">
        <f>IFERROR(VLOOKUP(D4256,'[1]Перечень товаров'!$A$2:$I9525,3,0),"")</f>
        <v>Техника муз</v>
      </c>
      <c r="D4256" s="35" t="s">
        <v>1199</v>
      </c>
      <c r="E4256" s="30"/>
      <c r="F4256" s="30"/>
      <c r="G4256" s="31">
        <v>1</v>
      </c>
      <c r="H4256" s="31"/>
      <c r="I4256" s="32"/>
      <c r="J4256" s="32"/>
      <c r="K4256" s="19"/>
      <c r="L4256" s="20"/>
      <c r="M4256" s="10"/>
      <c r="N4256" s="10"/>
      <c r="O4256" s="10"/>
      <c r="P4256" s="10"/>
      <c r="Q4256" s="10"/>
      <c r="R4256" s="10"/>
      <c r="S4256" s="10"/>
      <c r="T4256" s="10"/>
      <c r="U4256" s="10"/>
      <c r="V4256" s="10"/>
      <c r="W4256" s="10"/>
      <c r="X4256" s="10"/>
      <c r="Y4256" s="10"/>
      <c r="Z4256" s="10"/>
      <c r="AA4256" s="10"/>
      <c r="AB4256" s="10"/>
      <c r="AC4256" s="10"/>
      <c r="AD4256" s="10"/>
      <c r="AE4256" s="10"/>
      <c r="AF4256" s="10"/>
      <c r="AG4256" s="10"/>
      <c r="AH4256" s="10"/>
    </row>
    <row r="4257" spans="1:34" outlineLevel="2">
      <c r="A4257" s="34"/>
      <c r="B4257" s="12" t="str">
        <f>IFERROR(VLOOKUP(D4257,'[1]Перечень товаров'!$A$2:$I9525,2,0),"")</f>
        <v>пм129</v>
      </c>
      <c r="C4257" s="12" t="str">
        <f>IFERROR(VLOOKUP(D4257,'[1]Перечень товаров'!$A$2:$I9525,3,0),"")</f>
        <v>прочее муз</v>
      </c>
      <c r="D4257" s="35" t="s">
        <v>1200</v>
      </c>
      <c r="E4257" s="30"/>
      <c r="F4257" s="30"/>
      <c r="G4257" s="31">
        <v>4</v>
      </c>
      <c r="H4257" s="31"/>
      <c r="I4257" s="32"/>
      <c r="J4257" s="32"/>
      <c r="K4257" s="19"/>
      <c r="L4257" s="20"/>
      <c r="M4257" s="10"/>
      <c r="N4257" s="10"/>
      <c r="O4257" s="10"/>
      <c r="P4257" s="10"/>
      <c r="Q4257" s="10"/>
      <c r="R4257" s="10"/>
      <c r="S4257" s="10"/>
      <c r="T4257" s="10"/>
      <c r="U4257" s="10"/>
      <c r="V4257" s="10"/>
      <c r="W4257" s="10"/>
      <c r="X4257" s="10"/>
      <c r="Y4257" s="10"/>
      <c r="Z4257" s="10"/>
      <c r="AA4257" s="10"/>
      <c r="AB4257" s="10"/>
      <c r="AC4257" s="10"/>
      <c r="AD4257" s="10"/>
      <c r="AE4257" s="10"/>
      <c r="AF4257" s="10"/>
      <c r="AG4257" s="10"/>
      <c r="AH4257" s="10"/>
    </row>
    <row r="4258" spans="1:34" ht="31.5" outlineLevel="2">
      <c r="A4258" s="34"/>
      <c r="B4258" s="12" t="str">
        <f>IFERROR(VLOOKUP(D4258,'[1]Перечень товаров'!$A$2:$I9525,2,0),"")</f>
        <v>пм128</v>
      </c>
      <c r="C4258" s="12" t="str">
        <f>IFERROR(VLOOKUP(D4258,'[1]Перечень товаров'!$A$2:$I9525,3,0),"")</f>
        <v>прочее муз</v>
      </c>
      <c r="D4258" s="35" t="s">
        <v>1201</v>
      </c>
      <c r="E4258" s="30"/>
      <c r="F4258" s="30"/>
      <c r="G4258" s="31">
        <v>2</v>
      </c>
      <c r="H4258" s="31"/>
      <c r="I4258" s="32"/>
      <c r="J4258" s="32"/>
      <c r="K4258" s="19"/>
      <c r="L4258" s="20"/>
      <c r="M4258" s="10"/>
      <c r="N4258" s="10"/>
      <c r="O4258" s="10"/>
      <c r="P4258" s="10"/>
      <c r="Q4258" s="10"/>
      <c r="R4258" s="10"/>
      <c r="S4258" s="10"/>
      <c r="T4258" s="10"/>
      <c r="U4258" s="10"/>
      <c r="V4258" s="10"/>
      <c r="W4258" s="10"/>
      <c r="X4258" s="10"/>
      <c r="Y4258" s="10"/>
      <c r="Z4258" s="10"/>
      <c r="AA4258" s="10"/>
      <c r="AB4258" s="10"/>
      <c r="AC4258" s="10"/>
      <c r="AD4258" s="10"/>
      <c r="AE4258" s="10"/>
      <c r="AF4258" s="10"/>
      <c r="AG4258" s="10"/>
      <c r="AH4258" s="10"/>
    </row>
    <row r="4259" spans="1:34" ht="31.5" outlineLevel="2">
      <c r="A4259" s="34"/>
      <c r="B4259" s="12" t="str">
        <f>IFERROR(VLOOKUP(D4259,'[1]Перечень товаров'!$A$2:$I9525,2,0),"")</f>
        <v>пм127</v>
      </c>
      <c r="C4259" s="12" t="str">
        <f>IFERROR(VLOOKUP(D4259,'[1]Перечень товаров'!$A$2:$I9525,3,0),"")</f>
        <v>прочее муз</v>
      </c>
      <c r="D4259" s="35" t="s">
        <v>1202</v>
      </c>
      <c r="E4259" s="30"/>
      <c r="F4259" s="30"/>
      <c r="G4259" s="31">
        <v>2</v>
      </c>
      <c r="H4259" s="31"/>
      <c r="I4259" s="32"/>
      <c r="J4259" s="32"/>
      <c r="K4259" s="19"/>
      <c r="L4259" s="20"/>
      <c r="M4259" s="10"/>
      <c r="N4259" s="10"/>
      <c r="O4259" s="10"/>
      <c r="P4259" s="10"/>
      <c r="Q4259" s="10"/>
      <c r="R4259" s="10"/>
      <c r="S4259" s="10"/>
      <c r="T4259" s="10"/>
      <c r="U4259" s="10"/>
      <c r="V4259" s="10"/>
      <c r="W4259" s="10"/>
      <c r="X4259" s="10"/>
      <c r="Y4259" s="10"/>
      <c r="Z4259" s="10"/>
      <c r="AA4259" s="10"/>
      <c r="AB4259" s="10"/>
      <c r="AC4259" s="10"/>
      <c r="AD4259" s="10"/>
      <c r="AE4259" s="10"/>
      <c r="AF4259" s="10"/>
      <c r="AG4259" s="10"/>
      <c r="AH4259" s="10"/>
    </row>
    <row r="4260" spans="1:34" outlineLevel="1">
      <c r="A4260" s="21"/>
      <c r="B4260" s="12" t="str">
        <f>IFERROR(VLOOKUP(D4260,'[1]Перечень товаров'!$A$2:$I9525,2,0),"")</f>
        <v/>
      </c>
      <c r="C4260" s="12" t="str">
        <f>IFERROR(VLOOKUP(D4260,'[1]Перечень товаров'!$A$2:$I9525,3,0),"")</f>
        <v/>
      </c>
      <c r="D4260" s="22" t="s">
        <v>1139</v>
      </c>
      <c r="E4260" s="23">
        <v>19.600000000000001</v>
      </c>
      <c r="F4260" s="23"/>
      <c r="G4260" s="24"/>
      <c r="H4260" s="24"/>
      <c r="I4260" s="25"/>
      <c r="J4260" s="25"/>
      <c r="K4260" s="19"/>
      <c r="L4260" s="20"/>
      <c r="M4260" s="10"/>
      <c r="N4260" s="10"/>
      <c r="O4260" s="10"/>
      <c r="P4260" s="10"/>
      <c r="Q4260" s="10"/>
      <c r="R4260" s="10"/>
      <c r="S4260" s="10"/>
      <c r="T4260" s="10"/>
      <c r="U4260" s="10"/>
      <c r="V4260" s="10"/>
      <c r="W4260" s="10"/>
      <c r="X4260" s="10"/>
      <c r="Y4260" s="10"/>
      <c r="Z4260" s="10"/>
      <c r="AA4260" s="10"/>
      <c r="AB4260" s="10"/>
      <c r="AC4260" s="10"/>
      <c r="AD4260" s="10"/>
      <c r="AE4260" s="10"/>
      <c r="AF4260" s="10"/>
      <c r="AG4260" s="10"/>
      <c r="AH4260" s="10"/>
    </row>
    <row r="4261" spans="1:34" outlineLevel="1">
      <c r="A4261" s="21"/>
      <c r="B4261" s="12" t="str">
        <f>IFERROR(VLOOKUP(D4261,'[1]Перечень товаров'!$A$2:$I9525,2,0),"")</f>
        <v/>
      </c>
      <c r="C4261" s="12" t="str">
        <f>IFERROR(VLOOKUP(D4261,'[1]Перечень товаров'!$A$2:$I9525,3,0),"")</f>
        <v/>
      </c>
      <c r="D4261" s="22" t="s">
        <v>1139</v>
      </c>
      <c r="E4261" s="23">
        <v>19.2</v>
      </c>
      <c r="F4261" s="23"/>
      <c r="G4261" s="24"/>
      <c r="H4261" s="24"/>
      <c r="I4261" s="25"/>
      <c r="J4261" s="25"/>
      <c r="K4261" s="19"/>
      <c r="L4261" s="20"/>
      <c r="M4261" s="10"/>
      <c r="N4261" s="10"/>
      <c r="O4261" s="10"/>
      <c r="P4261" s="10"/>
      <c r="Q4261" s="10"/>
      <c r="R4261" s="10"/>
      <c r="S4261" s="10"/>
      <c r="T4261" s="10"/>
      <c r="U4261" s="10"/>
      <c r="V4261" s="10"/>
      <c r="W4261" s="10"/>
      <c r="X4261" s="10"/>
      <c r="Y4261" s="10"/>
      <c r="Z4261" s="10"/>
      <c r="AA4261" s="10"/>
      <c r="AB4261" s="10"/>
      <c r="AC4261" s="10"/>
      <c r="AD4261" s="10"/>
      <c r="AE4261" s="10"/>
      <c r="AF4261" s="10"/>
      <c r="AG4261" s="10"/>
      <c r="AH4261" s="10"/>
    </row>
    <row r="4262" spans="1:34" outlineLevel="1">
      <c r="A4262" s="21"/>
      <c r="B4262" s="12" t="str">
        <f>IFERROR(VLOOKUP(D4262,'[1]Перечень товаров'!$A$2:$I9525,2,0),"")</f>
        <v/>
      </c>
      <c r="C4262" s="12" t="str">
        <f>IFERROR(VLOOKUP(D4262,'[1]Перечень товаров'!$A$2:$I9525,3,0),"")</f>
        <v/>
      </c>
      <c r="D4262" s="22" t="s">
        <v>1139</v>
      </c>
      <c r="E4262" s="23">
        <v>19</v>
      </c>
      <c r="F4262" s="23"/>
      <c r="G4262" s="24"/>
      <c r="H4262" s="24"/>
      <c r="I4262" s="25"/>
      <c r="J4262" s="25"/>
      <c r="K4262" s="19"/>
      <c r="L4262" s="20"/>
      <c r="M4262" s="10"/>
      <c r="N4262" s="10"/>
      <c r="O4262" s="10"/>
      <c r="P4262" s="10"/>
      <c r="Q4262" s="10"/>
      <c r="R4262" s="10"/>
      <c r="S4262" s="10"/>
      <c r="T4262" s="10"/>
      <c r="U4262" s="10"/>
      <c r="V4262" s="10"/>
      <c r="W4262" s="10"/>
      <c r="X4262" s="10"/>
      <c r="Y4262" s="10"/>
      <c r="Z4262" s="10"/>
      <c r="AA4262" s="10"/>
      <c r="AB4262" s="10"/>
      <c r="AC4262" s="10"/>
      <c r="AD4262" s="10"/>
      <c r="AE4262" s="10"/>
      <c r="AF4262" s="10"/>
      <c r="AG4262" s="10"/>
      <c r="AH4262" s="10"/>
    </row>
    <row r="4263" spans="1:34" outlineLevel="1">
      <c r="A4263" s="21"/>
      <c r="B4263" s="12" t="str">
        <f>IFERROR(VLOOKUP(D4263,'[1]Перечень товаров'!$A$2:$I9525,2,0),"")</f>
        <v/>
      </c>
      <c r="C4263" s="12" t="str">
        <f>IFERROR(VLOOKUP(D4263,'[1]Перечень товаров'!$A$2:$I9525,3,0),"")</f>
        <v/>
      </c>
      <c r="D4263" s="22" t="s">
        <v>1139</v>
      </c>
      <c r="E4263" s="23">
        <v>19.600000000000001</v>
      </c>
      <c r="F4263" s="23"/>
      <c r="G4263" s="24"/>
      <c r="H4263" s="24"/>
      <c r="I4263" s="25"/>
      <c r="J4263" s="25"/>
      <c r="K4263" s="19"/>
      <c r="L4263" s="20"/>
      <c r="M4263" s="10"/>
      <c r="N4263" s="10"/>
      <c r="O4263" s="10"/>
      <c r="P4263" s="10"/>
      <c r="Q4263" s="10"/>
      <c r="R4263" s="10"/>
      <c r="S4263" s="10"/>
      <c r="T4263" s="10"/>
      <c r="U4263" s="10"/>
      <c r="V4263" s="10"/>
      <c r="W4263" s="10"/>
      <c r="X4263" s="10"/>
      <c r="Y4263" s="10"/>
      <c r="Z4263" s="10"/>
      <c r="AA4263" s="10"/>
      <c r="AB4263" s="10"/>
      <c r="AC4263" s="10"/>
      <c r="AD4263" s="10"/>
      <c r="AE4263" s="10"/>
      <c r="AF4263" s="10"/>
      <c r="AG4263" s="10"/>
      <c r="AH4263" s="10"/>
    </row>
    <row r="4264" spans="1:34" outlineLevel="1">
      <c r="A4264" s="21"/>
      <c r="B4264" s="12" t="str">
        <f>IFERROR(VLOOKUP(D4264,'[1]Перечень товаров'!$A$2:$I9525,2,0),"")</f>
        <v/>
      </c>
      <c r="C4264" s="12" t="str">
        <f>IFERROR(VLOOKUP(D4264,'[1]Перечень товаров'!$A$2:$I9525,3,0),"")</f>
        <v/>
      </c>
      <c r="D4264" s="22" t="s">
        <v>1139</v>
      </c>
      <c r="E4264" s="23">
        <v>19.2</v>
      </c>
      <c r="F4264" s="23"/>
      <c r="G4264" s="24"/>
      <c r="H4264" s="24"/>
      <c r="I4264" s="25"/>
      <c r="J4264" s="25"/>
      <c r="K4264" s="19"/>
      <c r="L4264" s="20"/>
      <c r="M4264" s="10"/>
      <c r="N4264" s="10"/>
      <c r="O4264" s="10"/>
      <c r="P4264" s="10"/>
      <c r="Q4264" s="10"/>
      <c r="R4264" s="10"/>
      <c r="S4264" s="10"/>
      <c r="T4264" s="10"/>
      <c r="U4264" s="10"/>
      <c r="V4264" s="10"/>
      <c r="W4264" s="10"/>
      <c r="X4264" s="10"/>
      <c r="Y4264" s="10"/>
      <c r="Z4264" s="10"/>
      <c r="AA4264" s="10"/>
      <c r="AB4264" s="10"/>
      <c r="AC4264" s="10"/>
      <c r="AD4264" s="10"/>
      <c r="AE4264" s="10"/>
      <c r="AF4264" s="10"/>
      <c r="AG4264" s="10"/>
      <c r="AH4264" s="10"/>
    </row>
    <row r="4265" spans="1:34" outlineLevel="1">
      <c r="A4265" s="21"/>
      <c r="B4265" s="12" t="str">
        <f>IFERROR(VLOOKUP(D4265,'[1]Перечень товаров'!$A$2:$I9525,2,0),"")</f>
        <v/>
      </c>
      <c r="C4265" s="12" t="str">
        <f>IFERROR(VLOOKUP(D4265,'[1]Перечень товаров'!$A$2:$I9525,3,0),"")</f>
        <v/>
      </c>
      <c r="D4265" s="22" t="s">
        <v>1139</v>
      </c>
      <c r="E4265" s="23">
        <v>19.600000000000001</v>
      </c>
      <c r="F4265" s="23"/>
      <c r="G4265" s="24"/>
      <c r="H4265" s="24"/>
      <c r="I4265" s="25"/>
      <c r="J4265" s="25"/>
      <c r="K4265" s="19"/>
      <c r="L4265" s="20"/>
      <c r="M4265" s="10"/>
      <c r="N4265" s="10"/>
      <c r="O4265" s="10"/>
      <c r="P4265" s="10"/>
      <c r="Q4265" s="10"/>
      <c r="R4265" s="10"/>
      <c r="S4265" s="10"/>
      <c r="T4265" s="10"/>
      <c r="U4265" s="10"/>
      <c r="V4265" s="10"/>
      <c r="W4265" s="10"/>
      <c r="X4265" s="10"/>
      <c r="Y4265" s="10"/>
      <c r="Z4265" s="10"/>
      <c r="AA4265" s="10"/>
      <c r="AB4265" s="10"/>
      <c r="AC4265" s="10"/>
      <c r="AD4265" s="10"/>
      <c r="AE4265" s="10"/>
      <c r="AF4265" s="10"/>
      <c r="AG4265" s="10"/>
      <c r="AH4265" s="10"/>
    </row>
    <row r="4266" spans="1:34" outlineLevel="1">
      <c r="A4266" s="21"/>
      <c r="B4266" s="12" t="str">
        <f>IFERROR(VLOOKUP(D4266,'[1]Перечень товаров'!$A$2:$I9525,2,0),"")</f>
        <v/>
      </c>
      <c r="C4266" s="12" t="str">
        <f>IFERROR(VLOOKUP(D4266,'[1]Перечень товаров'!$A$2:$I9525,3,0),"")</f>
        <v/>
      </c>
      <c r="D4266" s="22" t="s">
        <v>1139</v>
      </c>
      <c r="E4266" s="23">
        <v>19.2</v>
      </c>
      <c r="F4266" s="23"/>
      <c r="G4266" s="24"/>
      <c r="H4266" s="24"/>
      <c r="I4266" s="25"/>
      <c r="J4266" s="25"/>
      <c r="K4266" s="19"/>
      <c r="L4266" s="20"/>
      <c r="M4266" s="10"/>
      <c r="N4266" s="10"/>
      <c r="O4266" s="10"/>
      <c r="P4266" s="10"/>
      <c r="Q4266" s="10"/>
      <c r="R4266" s="10"/>
      <c r="S4266" s="10"/>
      <c r="T4266" s="10"/>
      <c r="U4266" s="10"/>
      <c r="V4266" s="10"/>
      <c r="W4266" s="10"/>
      <c r="X4266" s="10"/>
      <c r="Y4266" s="10"/>
      <c r="Z4266" s="10"/>
      <c r="AA4266" s="10"/>
      <c r="AB4266" s="10"/>
      <c r="AC4266" s="10"/>
      <c r="AD4266" s="10"/>
      <c r="AE4266" s="10"/>
      <c r="AF4266" s="10"/>
      <c r="AG4266" s="10"/>
      <c r="AH4266" s="10"/>
    </row>
    <row r="4267" spans="1:34" ht="25.5" outlineLevel="1">
      <c r="A4267" s="89"/>
      <c r="B4267" s="12" t="str">
        <f>IFERROR(VLOOKUP(D4267,'[1]Перечень товаров'!$A$2:$I9525,2,0),"")</f>
        <v/>
      </c>
      <c r="C4267" s="12" t="str">
        <f>IFERROR(VLOOKUP(D4267,'[1]Перечень товаров'!$A$2:$I9525,3,0),"")</f>
        <v/>
      </c>
      <c r="D4267" s="90" t="s">
        <v>1110</v>
      </c>
      <c r="E4267" s="91">
        <v>23.9</v>
      </c>
      <c r="F4267" s="91"/>
      <c r="G4267" s="17"/>
      <c r="H4267" s="17"/>
      <c r="I4267" s="57"/>
      <c r="J4267" s="57"/>
      <c r="K4267" s="19"/>
      <c r="L4267" s="20"/>
      <c r="M4267" s="10"/>
      <c r="N4267" s="10"/>
      <c r="O4267" s="10"/>
      <c r="P4267" s="10"/>
      <c r="Q4267" s="10"/>
      <c r="R4267" s="10"/>
      <c r="S4267" s="10"/>
      <c r="T4267" s="10"/>
      <c r="U4267" s="10"/>
      <c r="V4267" s="10"/>
      <c r="W4267" s="10"/>
      <c r="X4267" s="10"/>
      <c r="Y4267" s="10"/>
      <c r="Z4267" s="10"/>
      <c r="AA4267" s="10"/>
      <c r="AB4267" s="10"/>
      <c r="AC4267" s="10"/>
      <c r="AD4267" s="10"/>
      <c r="AE4267" s="10"/>
      <c r="AF4267" s="10"/>
      <c r="AG4267" s="10"/>
      <c r="AH4267" s="10"/>
    </row>
    <row r="4268" spans="1:34" outlineLevel="2">
      <c r="A4268" s="113"/>
      <c r="B4268" s="12" t="str">
        <f>IFERROR(VLOOKUP(D4268,'[1]Перечень товаров'!$A$2:$I9525,2,0),"")</f>
        <v/>
      </c>
      <c r="C4268" s="12" t="str">
        <f>IFERROR(VLOOKUP(D4268,'[1]Перечень товаров'!$A$2:$I9525,3,0),"")</f>
        <v/>
      </c>
      <c r="D4268" s="114" t="s">
        <v>391</v>
      </c>
      <c r="E4268" s="122"/>
      <c r="F4268" s="122"/>
      <c r="G4268" s="123"/>
      <c r="H4268" s="123"/>
      <c r="I4268" s="124"/>
      <c r="J4268" s="124"/>
      <c r="K4268" s="19"/>
      <c r="L4268" s="20"/>
      <c r="M4268" s="10"/>
      <c r="N4268" s="10"/>
      <c r="O4268" s="10"/>
      <c r="P4268" s="10"/>
      <c r="Q4268" s="10"/>
      <c r="R4268" s="10"/>
      <c r="S4268" s="10"/>
      <c r="T4268" s="10"/>
      <c r="U4268" s="10"/>
      <c r="V4268" s="10"/>
      <c r="W4268" s="10"/>
      <c r="X4268" s="10"/>
      <c r="Y4268" s="10"/>
      <c r="Z4268" s="10"/>
      <c r="AA4268" s="10"/>
      <c r="AB4268" s="10"/>
      <c r="AC4268" s="10"/>
      <c r="AD4268" s="10"/>
      <c r="AE4268" s="10"/>
      <c r="AF4268" s="10"/>
      <c r="AG4268" s="10"/>
      <c r="AH4268" s="10"/>
    </row>
    <row r="4269" spans="1:34" outlineLevel="2">
      <c r="A4269" s="28"/>
      <c r="B4269" s="12" t="str">
        <f>IFERROR(VLOOKUP(D4269,'[1]Перечень товаров'!$A$2:$I9525,2,0),"")</f>
        <v>тм197</v>
      </c>
      <c r="C4269" s="12" t="str">
        <f>IFERROR(VLOOKUP(D4269,'[1]Перечень товаров'!$A$2:$I9525,3,0),"")</f>
        <v>Техника муз</v>
      </c>
      <c r="D4269" s="29" t="s">
        <v>1111</v>
      </c>
      <c r="E4269" s="30"/>
      <c r="F4269" s="30"/>
      <c r="G4269" s="31">
        <v>2</v>
      </c>
      <c r="H4269" s="31"/>
      <c r="I4269" s="32"/>
      <c r="J4269" s="32"/>
      <c r="K4269" s="19"/>
      <c r="L4269" s="20"/>
      <c r="M4269" s="10"/>
      <c r="N4269" s="10"/>
      <c r="O4269" s="10"/>
      <c r="P4269" s="10"/>
      <c r="Q4269" s="10"/>
      <c r="R4269" s="10"/>
      <c r="S4269" s="10"/>
      <c r="T4269" s="10"/>
      <c r="U4269" s="10"/>
      <c r="V4269" s="10"/>
      <c r="W4269" s="10"/>
      <c r="X4269" s="10"/>
      <c r="Y4269" s="10"/>
      <c r="Z4269" s="10"/>
      <c r="AA4269" s="10"/>
      <c r="AB4269" s="10"/>
      <c r="AC4269" s="10"/>
      <c r="AD4269" s="10"/>
      <c r="AE4269" s="10"/>
      <c r="AF4269" s="10"/>
      <c r="AG4269" s="10"/>
      <c r="AH4269" s="10"/>
    </row>
    <row r="4270" spans="1:34" outlineLevel="2">
      <c r="A4270" s="28"/>
      <c r="B4270" s="12" t="str">
        <f>IFERROR(VLOOKUP(D4270,'[1]Перечень товаров'!$A$2:$I9525,2,0),"")</f>
        <v>д545</v>
      </c>
      <c r="C4270" s="12" t="str">
        <f>IFERROR(VLOOKUP(D4270,'[1]Перечень товаров'!$A$2:$I9525,3,0),"")</f>
        <v>дидактика</v>
      </c>
      <c r="D4270" s="29" t="s">
        <v>1112</v>
      </c>
      <c r="E4270" s="30"/>
      <c r="F4270" s="30"/>
      <c r="G4270" s="31">
        <v>1</v>
      </c>
      <c r="H4270" s="31"/>
      <c r="I4270" s="32"/>
      <c r="J4270" s="32"/>
      <c r="K4270" s="19"/>
      <c r="L4270" s="20"/>
      <c r="M4270" s="10"/>
      <c r="N4270" s="10"/>
      <c r="O4270" s="10"/>
      <c r="P4270" s="10"/>
      <c r="Q4270" s="10"/>
      <c r="R4270" s="10"/>
      <c r="S4270" s="10"/>
      <c r="T4270" s="10"/>
      <c r="U4270" s="10"/>
      <c r="V4270" s="10"/>
      <c r="W4270" s="10"/>
      <c r="X4270" s="10"/>
      <c r="Y4270" s="10"/>
      <c r="Z4270" s="10"/>
      <c r="AA4270" s="10"/>
      <c r="AB4270" s="10"/>
      <c r="AC4270" s="10"/>
      <c r="AD4270" s="10"/>
      <c r="AE4270" s="10"/>
      <c r="AF4270" s="10"/>
      <c r="AG4270" s="10"/>
      <c r="AH4270" s="10"/>
    </row>
    <row r="4271" spans="1:34" ht="31.5" outlineLevel="2">
      <c r="A4271" s="28"/>
      <c r="B4271" s="12" t="str">
        <f>IFERROR(VLOOKUP(D4271,'[1]Перечень товаров'!$A$2:$I9525,2,0),"")</f>
        <v>м159</v>
      </c>
      <c r="C4271" s="12" t="str">
        <f>IFERROR(VLOOKUP(D4271,'[1]Перечень товаров'!$A$2:$I9525,3,0),"")</f>
        <v>мебель</v>
      </c>
      <c r="D4271" s="29" t="s">
        <v>1113</v>
      </c>
      <c r="E4271" s="30"/>
      <c r="F4271" s="30"/>
      <c r="G4271" s="31">
        <v>2</v>
      </c>
      <c r="H4271" s="31"/>
      <c r="I4271" s="32"/>
      <c r="J4271" s="32"/>
      <c r="K4271" s="19"/>
      <c r="L4271" s="20"/>
      <c r="M4271" s="10"/>
      <c r="N4271" s="10"/>
      <c r="O4271" s="10"/>
      <c r="P4271" s="10"/>
      <c r="Q4271" s="10"/>
      <c r="R4271" s="10"/>
      <c r="S4271" s="10"/>
      <c r="T4271" s="10"/>
      <c r="U4271" s="10"/>
      <c r="V4271" s="10"/>
      <c r="W4271" s="10"/>
      <c r="X4271" s="10"/>
      <c r="Y4271" s="10"/>
      <c r="Z4271" s="10"/>
      <c r="AA4271" s="10"/>
      <c r="AB4271" s="10"/>
      <c r="AC4271" s="10"/>
      <c r="AD4271" s="10"/>
      <c r="AE4271" s="10"/>
      <c r="AF4271" s="10"/>
      <c r="AG4271" s="10"/>
      <c r="AH4271" s="10"/>
    </row>
    <row r="4272" spans="1:34" outlineLevel="2">
      <c r="A4272" s="28"/>
      <c r="B4272" s="12" t="str">
        <f>IFERROR(VLOOKUP(D4272,'[1]Перечень товаров'!$A$2:$I9525,2,0),"")</f>
        <v>пм211</v>
      </c>
      <c r="C4272" s="12" t="str">
        <f>IFERROR(VLOOKUP(D4272,'[1]Перечень товаров'!$A$2:$I9525,3,0),"")</f>
        <v>прочее муз</v>
      </c>
      <c r="D4272" s="29" t="s">
        <v>995</v>
      </c>
      <c r="E4272" s="30"/>
      <c r="F4272" s="30"/>
      <c r="G4272" s="31">
        <v>1</v>
      </c>
      <c r="H4272" s="31"/>
      <c r="I4272" s="32"/>
      <c r="J4272" s="32"/>
      <c r="K4272" s="19"/>
      <c r="L4272" s="20"/>
      <c r="M4272" s="10"/>
      <c r="N4272" s="10"/>
      <c r="O4272" s="10"/>
      <c r="P4272" s="10"/>
      <c r="Q4272" s="10"/>
      <c r="R4272" s="10"/>
      <c r="S4272" s="10"/>
      <c r="T4272" s="10"/>
      <c r="U4272" s="10"/>
      <c r="V4272" s="10"/>
      <c r="W4272" s="10"/>
      <c r="X4272" s="10"/>
      <c r="Y4272" s="10"/>
      <c r="Z4272" s="10"/>
      <c r="AA4272" s="10"/>
      <c r="AB4272" s="10"/>
      <c r="AC4272" s="10"/>
      <c r="AD4272" s="10"/>
      <c r="AE4272" s="10"/>
      <c r="AF4272" s="10"/>
      <c r="AG4272" s="10"/>
      <c r="AH4272" s="10"/>
    </row>
    <row r="4273" spans="1:34" outlineLevel="2">
      <c r="A4273" s="114"/>
      <c r="B4273" s="12" t="str">
        <f>IFERROR(VLOOKUP(D4273,'[1]Перечень товаров'!$A$2:$I9525,2,0),"")</f>
        <v/>
      </c>
      <c r="C4273" s="12" t="str">
        <f>IFERROR(VLOOKUP(D4273,'[1]Перечень товаров'!$A$2:$I9525,3,0),"")</f>
        <v/>
      </c>
      <c r="D4273" s="114" t="s">
        <v>19</v>
      </c>
      <c r="E4273" s="115"/>
      <c r="F4273" s="115"/>
      <c r="G4273" s="157"/>
      <c r="H4273" s="157"/>
      <c r="I4273" s="158"/>
      <c r="J4273" s="158"/>
      <c r="K4273" s="19"/>
      <c r="L4273" s="20"/>
      <c r="M4273" s="10"/>
      <c r="N4273" s="10"/>
      <c r="O4273" s="10"/>
      <c r="P4273" s="10"/>
      <c r="Q4273" s="10"/>
      <c r="R4273" s="10"/>
      <c r="S4273" s="10"/>
      <c r="T4273" s="10"/>
      <c r="U4273" s="10"/>
      <c r="V4273" s="10"/>
      <c r="W4273" s="10"/>
      <c r="X4273" s="10"/>
      <c r="Y4273" s="10"/>
      <c r="Z4273" s="10"/>
      <c r="AA4273" s="10"/>
      <c r="AB4273" s="10"/>
      <c r="AC4273" s="10"/>
      <c r="AD4273" s="10"/>
      <c r="AE4273" s="10"/>
      <c r="AF4273" s="10"/>
      <c r="AG4273" s="10"/>
      <c r="AH4273" s="10"/>
    </row>
    <row r="4274" spans="1:34" outlineLevel="2">
      <c r="A4274" s="34"/>
      <c r="B4274" s="12" t="str">
        <f>IFERROR(VLOOKUP(D4274,'[1]Перечень товаров'!$A$2:$I9525,2,0),"")</f>
        <v>м62</v>
      </c>
      <c r="C4274" s="12" t="str">
        <f>IFERROR(VLOOKUP(D4274,'[1]Перечень товаров'!$A$2:$I9525,3,0),"")</f>
        <v>Мебель</v>
      </c>
      <c r="D4274" s="35" t="s">
        <v>398</v>
      </c>
      <c r="E4274" s="88"/>
      <c r="F4274" s="88"/>
      <c r="G4274" s="59">
        <v>1</v>
      </c>
      <c r="H4274" s="59"/>
      <c r="I4274" s="60"/>
      <c r="J4274" s="60"/>
      <c r="K4274" s="19"/>
      <c r="L4274" s="20"/>
      <c r="M4274" s="10"/>
      <c r="N4274" s="10"/>
      <c r="O4274" s="10"/>
      <c r="P4274" s="10"/>
      <c r="Q4274" s="10"/>
      <c r="R4274" s="10"/>
      <c r="S4274" s="10"/>
      <c r="T4274" s="10"/>
      <c r="U4274" s="10"/>
      <c r="V4274" s="10"/>
      <c r="W4274" s="10"/>
      <c r="X4274" s="10"/>
      <c r="Y4274" s="10"/>
      <c r="Z4274" s="10"/>
      <c r="AA4274" s="10"/>
      <c r="AB4274" s="10"/>
      <c r="AC4274" s="10"/>
      <c r="AD4274" s="10"/>
      <c r="AE4274" s="10"/>
      <c r="AF4274" s="10"/>
      <c r="AG4274" s="10"/>
      <c r="AH4274" s="10"/>
    </row>
    <row r="4275" spans="1:34" outlineLevel="2">
      <c r="A4275" s="34"/>
      <c r="B4275" s="12" t="str">
        <f>IFERROR(VLOOKUP(D4275,'[1]Перечень товаров'!$A$2:$I9525,2,0),"")</f>
        <v>м61</v>
      </c>
      <c r="C4275" s="12" t="str">
        <f>IFERROR(VLOOKUP(D4275,'[1]Перечень товаров'!$A$2:$I9525,3,0),"")</f>
        <v>Мебель</v>
      </c>
      <c r="D4275" s="35" t="s">
        <v>384</v>
      </c>
      <c r="E4275" s="88"/>
      <c r="F4275" s="88"/>
      <c r="G4275" s="159">
        <v>8</v>
      </c>
      <c r="H4275" s="159"/>
      <c r="I4275" s="160"/>
      <c r="J4275" s="160"/>
      <c r="K4275" s="19"/>
      <c r="L4275" s="20"/>
      <c r="M4275" s="10"/>
      <c r="N4275" s="10"/>
      <c r="O4275" s="10"/>
      <c r="P4275" s="10"/>
      <c r="Q4275" s="10"/>
      <c r="R4275" s="10"/>
      <c r="S4275" s="10"/>
      <c r="T4275" s="10"/>
      <c r="U4275" s="10"/>
      <c r="V4275" s="10"/>
      <c r="W4275" s="10"/>
      <c r="X4275" s="10"/>
      <c r="Y4275" s="10"/>
      <c r="Z4275" s="10"/>
      <c r="AA4275" s="10"/>
      <c r="AB4275" s="10"/>
      <c r="AC4275" s="10"/>
      <c r="AD4275" s="10"/>
      <c r="AE4275" s="10"/>
      <c r="AF4275" s="10"/>
      <c r="AG4275" s="10"/>
      <c r="AH4275" s="10"/>
    </row>
    <row r="4276" spans="1:34" outlineLevel="2">
      <c r="A4276" s="22"/>
      <c r="B4276" s="12" t="str">
        <f>IFERROR(VLOOKUP(D4276,'[1]Перечень товаров'!$A$2:$I9525,2,0),"")</f>
        <v>м13</v>
      </c>
      <c r="C4276" s="12" t="str">
        <f>IFERROR(VLOOKUP(D4276,'[1]Перечень товаров'!$A$2:$I9525,3,0),"")</f>
        <v>Мебель</v>
      </c>
      <c r="D4276" s="22" t="s">
        <v>42</v>
      </c>
      <c r="E4276" s="88"/>
      <c r="F4276" s="88"/>
      <c r="G4276" s="48">
        <v>1</v>
      </c>
      <c r="H4276" s="48"/>
      <c r="I4276" s="49"/>
      <c r="J4276" s="49"/>
      <c r="K4276" s="19"/>
      <c r="L4276" s="20"/>
      <c r="M4276" s="10"/>
      <c r="N4276" s="10"/>
      <c r="O4276" s="10"/>
      <c r="P4276" s="10"/>
      <c r="Q4276" s="10"/>
      <c r="R4276" s="10"/>
      <c r="S4276" s="10"/>
      <c r="T4276" s="10"/>
      <c r="U4276" s="10"/>
      <c r="V4276" s="10"/>
      <c r="W4276" s="10"/>
      <c r="X4276" s="10"/>
      <c r="Y4276" s="10"/>
      <c r="Z4276" s="10"/>
      <c r="AA4276" s="10"/>
      <c r="AB4276" s="10"/>
      <c r="AC4276" s="10"/>
      <c r="AD4276" s="10"/>
      <c r="AE4276" s="10"/>
      <c r="AF4276" s="10"/>
      <c r="AG4276" s="10"/>
      <c r="AH4276" s="10"/>
    </row>
    <row r="4277" spans="1:34" outlineLevel="2">
      <c r="A4277" s="21"/>
      <c r="B4277" s="12" t="str">
        <f>IFERROR(VLOOKUP(D4277,'[1]Перечень товаров'!$A$2:$I9525,2,0),"")</f>
        <v>м164</v>
      </c>
      <c r="C4277" s="12" t="str">
        <f>IFERROR(VLOOKUP(D4277,'[1]Перечень товаров'!$A$2:$I9525,3,0),"")</f>
        <v>Мебель</v>
      </c>
      <c r="D4277" s="22" t="s">
        <v>502</v>
      </c>
      <c r="E4277" s="88"/>
      <c r="F4277" s="88"/>
      <c r="G4277" s="48">
        <v>1</v>
      </c>
      <c r="H4277" s="48"/>
      <c r="I4277" s="49"/>
      <c r="J4277" s="49"/>
      <c r="K4277" s="19"/>
      <c r="L4277" s="20"/>
      <c r="M4277" s="10"/>
      <c r="N4277" s="10"/>
      <c r="O4277" s="10"/>
      <c r="P4277" s="10"/>
      <c r="Q4277" s="10"/>
      <c r="R4277" s="10"/>
      <c r="S4277" s="10"/>
      <c r="T4277" s="10"/>
      <c r="U4277" s="10"/>
      <c r="V4277" s="10"/>
      <c r="W4277" s="10"/>
      <c r="X4277" s="10"/>
      <c r="Y4277" s="10"/>
      <c r="Z4277" s="10"/>
      <c r="AA4277" s="10"/>
      <c r="AB4277" s="10"/>
      <c r="AC4277" s="10"/>
      <c r="AD4277" s="10"/>
      <c r="AE4277" s="10"/>
      <c r="AF4277" s="10"/>
      <c r="AG4277" s="10"/>
      <c r="AH4277" s="10"/>
    </row>
    <row r="4278" spans="1:34" outlineLevel="2">
      <c r="A4278" s="21"/>
      <c r="B4278" s="12" t="str">
        <f>IFERROR(VLOOKUP(D4278,'[1]Перечень товаров'!$A$2:$I9525,2,0),"")</f>
        <v>п2</v>
      </c>
      <c r="C4278" s="12" t="str">
        <f>IFERROR(VLOOKUP(D4278,'[1]Перечень товаров'!$A$2:$I9525,3,0),"")</f>
        <v>Прочее</v>
      </c>
      <c r="D4278" s="22" t="s">
        <v>46</v>
      </c>
      <c r="E4278" s="88"/>
      <c r="F4278" s="88"/>
      <c r="G4278" s="24">
        <v>1</v>
      </c>
      <c r="H4278" s="24"/>
      <c r="I4278" s="25"/>
      <c r="J4278" s="25"/>
      <c r="K4278" s="19"/>
      <c r="L4278" s="20"/>
      <c r="M4278" s="10"/>
      <c r="N4278" s="10"/>
      <c r="O4278" s="10"/>
      <c r="P4278" s="10"/>
      <c r="Q4278" s="10"/>
      <c r="R4278" s="10"/>
      <c r="S4278" s="10"/>
      <c r="T4278" s="10"/>
      <c r="U4278" s="10"/>
      <c r="V4278" s="10"/>
      <c r="W4278" s="10"/>
      <c r="X4278" s="10"/>
      <c r="Y4278" s="10"/>
      <c r="Z4278" s="10"/>
      <c r="AA4278" s="10"/>
      <c r="AB4278" s="10"/>
      <c r="AC4278" s="10"/>
      <c r="AD4278" s="10"/>
      <c r="AE4278" s="10"/>
      <c r="AF4278" s="10"/>
      <c r="AG4278" s="10"/>
      <c r="AH4278" s="10"/>
    </row>
    <row r="4279" spans="1:34" outlineLevel="2">
      <c r="A4279" s="21"/>
      <c r="B4279" s="12" t="str">
        <f>IFERROR(VLOOKUP(D4279,'[1]Перечень товаров'!$A$2:$I9525,2,0),"")</f>
        <v>д544</v>
      </c>
      <c r="C4279" s="12" t="str">
        <f>IFERROR(VLOOKUP(D4279,'[1]Перечень товаров'!$A$2:$I9525,3,0),"")</f>
        <v>дидактика</v>
      </c>
      <c r="D4279" s="22" t="s">
        <v>1114</v>
      </c>
      <c r="E4279" s="88"/>
      <c r="F4279" s="88"/>
      <c r="G4279" s="24">
        <v>1</v>
      </c>
      <c r="H4279" s="24"/>
      <c r="I4279" s="25"/>
      <c r="J4279" s="25"/>
      <c r="K4279" s="19"/>
      <c r="L4279" s="20"/>
      <c r="M4279" s="10"/>
      <c r="N4279" s="10"/>
      <c r="O4279" s="10"/>
      <c r="P4279" s="10"/>
      <c r="Q4279" s="10"/>
      <c r="R4279" s="10"/>
      <c r="S4279" s="10"/>
      <c r="T4279" s="10"/>
      <c r="U4279" s="10"/>
      <c r="V4279" s="10"/>
      <c r="W4279" s="10"/>
      <c r="X4279" s="10"/>
      <c r="Y4279" s="10"/>
      <c r="Z4279" s="10"/>
      <c r="AA4279" s="10"/>
      <c r="AB4279" s="10"/>
      <c r="AC4279" s="10"/>
      <c r="AD4279" s="10"/>
      <c r="AE4279" s="10"/>
      <c r="AF4279" s="10"/>
      <c r="AG4279" s="10"/>
      <c r="AH4279" s="10"/>
    </row>
    <row r="4280" spans="1:34" outlineLevel="2">
      <c r="A4280" s="43"/>
      <c r="B4280" s="12" t="str">
        <f>IFERROR(VLOOKUP(D4280,'[1]Перечень товаров'!$A$2:$I9525,2,0),"")</f>
        <v>п1</v>
      </c>
      <c r="C4280" s="12" t="str">
        <f>IFERROR(VLOOKUP(D4280,'[1]Перечень товаров'!$A$2:$I9525,3,0),"")</f>
        <v>Прочее</v>
      </c>
      <c r="D4280" s="44" t="s">
        <v>37</v>
      </c>
      <c r="E4280" s="88"/>
      <c r="F4280" s="88"/>
      <c r="G4280" s="59">
        <v>1</v>
      </c>
      <c r="H4280" s="59"/>
      <c r="I4280" s="60"/>
      <c r="J4280" s="60"/>
      <c r="K4280" s="19"/>
      <c r="L4280" s="20"/>
      <c r="M4280" s="10"/>
      <c r="N4280" s="10"/>
      <c r="O4280" s="10"/>
      <c r="P4280" s="10"/>
      <c r="Q4280" s="10"/>
      <c r="R4280" s="10"/>
      <c r="S4280" s="10"/>
      <c r="T4280" s="10"/>
      <c r="U4280" s="10"/>
      <c r="V4280" s="10"/>
      <c r="W4280" s="10"/>
      <c r="X4280" s="10"/>
      <c r="Y4280" s="10"/>
      <c r="Z4280" s="10"/>
      <c r="AA4280" s="10"/>
      <c r="AB4280" s="10"/>
      <c r="AC4280" s="10"/>
      <c r="AD4280" s="10"/>
      <c r="AE4280" s="10"/>
      <c r="AF4280" s="10"/>
      <c r="AG4280" s="10"/>
      <c r="AH4280" s="10"/>
    </row>
    <row r="4281" spans="1:34" ht="12.75" outlineLevel="1">
      <c r="A4281" s="89"/>
      <c r="B4281" s="12" t="str">
        <f>IFERROR(VLOOKUP(D4281,'[1]Перечень товаров'!$A$2:$I9525,2,0),"")</f>
        <v/>
      </c>
      <c r="C4281" s="12" t="str">
        <f>IFERROR(VLOOKUP(D4281,'[1]Перечень товаров'!$A$2:$I9525,3,0),"")</f>
        <v/>
      </c>
      <c r="D4281" s="90" t="s">
        <v>1133</v>
      </c>
      <c r="E4281" s="91">
        <v>24.8</v>
      </c>
      <c r="F4281" s="91"/>
      <c r="G4281" s="17"/>
      <c r="H4281" s="17"/>
      <c r="I4281" s="57"/>
      <c r="J4281" s="57"/>
      <c r="K4281" s="19"/>
      <c r="L4281" s="20"/>
      <c r="M4281" s="10"/>
      <c r="N4281" s="10"/>
      <c r="O4281" s="10"/>
      <c r="P4281" s="10"/>
      <c r="Q4281" s="10"/>
      <c r="R4281" s="10"/>
      <c r="S4281" s="10"/>
      <c r="T4281" s="10"/>
      <c r="U4281" s="10"/>
      <c r="V4281" s="10"/>
      <c r="W4281" s="10"/>
      <c r="X4281" s="10"/>
      <c r="Y4281" s="10"/>
      <c r="Z4281" s="10"/>
      <c r="AA4281" s="10"/>
      <c r="AB4281" s="10"/>
      <c r="AC4281" s="10"/>
      <c r="AD4281" s="10"/>
      <c r="AE4281" s="10"/>
      <c r="AF4281" s="10"/>
      <c r="AG4281" s="10"/>
      <c r="AH4281" s="10"/>
    </row>
    <row r="4282" spans="1:34" ht="15" outlineLevel="2">
      <c r="A4282" s="109"/>
      <c r="B4282" s="12" t="str">
        <f>IFERROR(VLOOKUP(D4282,'[1]Перечень товаров'!$A$2:$I9525,2,0),"")</f>
        <v/>
      </c>
      <c r="C4282" s="12" t="str">
        <f>IFERROR(VLOOKUP(D4282,'[1]Перечень товаров'!$A$2:$I9525,3,0),"")</f>
        <v/>
      </c>
      <c r="D4282" s="110" t="s">
        <v>27</v>
      </c>
      <c r="E4282" s="45"/>
      <c r="F4282" s="45"/>
      <c r="G4282" s="111"/>
      <c r="H4282" s="111"/>
      <c r="I4282" s="112"/>
      <c r="J4282" s="112"/>
      <c r="K4282" s="19"/>
      <c r="L4282" s="20"/>
      <c r="M4282" s="10"/>
      <c r="N4282" s="10"/>
      <c r="O4282" s="10"/>
      <c r="P4282" s="10"/>
      <c r="Q4282" s="10"/>
      <c r="R4282" s="10"/>
      <c r="S4282" s="10"/>
      <c r="T4282" s="10"/>
      <c r="U4282" s="10"/>
      <c r="V4282" s="10"/>
      <c r="W4282" s="10"/>
      <c r="X4282" s="10"/>
      <c r="Y4282" s="10"/>
      <c r="Z4282" s="10"/>
      <c r="AA4282" s="10"/>
      <c r="AB4282" s="10"/>
      <c r="AC4282" s="10"/>
      <c r="AD4282" s="10"/>
      <c r="AE4282" s="10"/>
      <c r="AF4282" s="10"/>
      <c r="AG4282" s="10"/>
      <c r="AH4282" s="10"/>
    </row>
    <row r="4283" spans="1:34" outlineLevel="2">
      <c r="A4283" s="21"/>
      <c r="B4283" s="12" t="str">
        <f>IFERROR(VLOOKUP(D4283,'[1]Перечень товаров'!$A$2:$I9525,2,0),"")</f>
        <v>т1</v>
      </c>
      <c r="C4283" s="12" t="str">
        <f>IFERROR(VLOOKUP(D4283,'[1]Перечень товаров'!$A$2:$I9525,3,0),"")</f>
        <v xml:space="preserve">Техника </v>
      </c>
      <c r="D4283" s="22" t="s">
        <v>28</v>
      </c>
      <c r="E4283" s="58"/>
      <c r="F4283" s="58"/>
      <c r="G4283" s="48">
        <v>1</v>
      </c>
      <c r="H4283" s="48"/>
      <c r="I4283" s="49"/>
      <c r="J4283" s="49"/>
      <c r="K4283" s="19"/>
      <c r="L4283" s="20"/>
      <c r="M4283" s="10"/>
      <c r="N4283" s="10"/>
      <c r="O4283" s="10"/>
      <c r="P4283" s="10"/>
      <c r="Q4283" s="10"/>
      <c r="R4283" s="10"/>
      <c r="S4283" s="10"/>
      <c r="T4283" s="10"/>
      <c r="U4283" s="10"/>
      <c r="V4283" s="10"/>
      <c r="W4283" s="10"/>
      <c r="X4283" s="10"/>
      <c r="Y4283" s="10"/>
      <c r="Z4283" s="10"/>
      <c r="AA4283" s="10"/>
      <c r="AB4283" s="10"/>
      <c r="AC4283" s="10"/>
      <c r="AD4283" s="10"/>
      <c r="AE4283" s="10"/>
      <c r="AF4283" s="10"/>
      <c r="AG4283" s="10"/>
      <c r="AH4283" s="10"/>
    </row>
    <row r="4284" spans="1:34" outlineLevel="2">
      <c r="A4284" s="143"/>
      <c r="B4284" s="12" t="str">
        <f>IFERROR(VLOOKUP(D4284,'[1]Перечень товаров'!$A$2:$I9525,2,0),"")</f>
        <v>т9</v>
      </c>
      <c r="C4284" s="12" t="str">
        <f>IFERROR(VLOOKUP(D4284,'[1]Перечень товаров'!$A$2:$I9525,3,0),"")</f>
        <v>Техника</v>
      </c>
      <c r="D4284" s="143" t="s">
        <v>36</v>
      </c>
      <c r="E4284" s="58"/>
      <c r="F4284" s="58"/>
      <c r="G4284" s="48">
        <v>1</v>
      </c>
      <c r="H4284" s="48"/>
      <c r="I4284" s="49"/>
      <c r="J4284" s="49"/>
      <c r="K4284" s="19"/>
      <c r="L4284" s="20"/>
      <c r="M4284" s="10"/>
      <c r="N4284" s="10"/>
      <c r="O4284" s="10"/>
      <c r="P4284" s="10"/>
      <c r="Q4284" s="10"/>
      <c r="R4284" s="10"/>
      <c r="S4284" s="10"/>
      <c r="T4284" s="10"/>
      <c r="U4284" s="10"/>
      <c r="V4284" s="10"/>
      <c r="W4284" s="10"/>
      <c r="X4284" s="10"/>
      <c r="Y4284" s="10"/>
      <c r="Z4284" s="10"/>
      <c r="AA4284" s="10"/>
      <c r="AB4284" s="10"/>
      <c r="AC4284" s="10"/>
      <c r="AD4284" s="10"/>
      <c r="AE4284" s="10"/>
      <c r="AF4284" s="10"/>
      <c r="AG4284" s="10"/>
      <c r="AH4284" s="10"/>
    </row>
    <row r="4285" spans="1:34" outlineLevel="2">
      <c r="A4285" s="35"/>
      <c r="B4285" s="12" t="str">
        <f>IFERROR(VLOOKUP(D4285,'[1]Перечень товаров'!$A$2:$I9525,2,0),"")</f>
        <v>т2</v>
      </c>
      <c r="C4285" s="12" t="str">
        <f>IFERROR(VLOOKUP(D4285,'[1]Перечень товаров'!$A$2:$I9525,3,0),"")</f>
        <v xml:space="preserve">Техника </v>
      </c>
      <c r="D4285" s="35" t="s">
        <v>29</v>
      </c>
      <c r="E4285" s="58"/>
      <c r="F4285" s="58"/>
      <c r="G4285" s="48">
        <v>1</v>
      </c>
      <c r="H4285" s="48"/>
      <c r="I4285" s="49"/>
      <c r="J4285" s="49"/>
      <c r="K4285" s="19"/>
      <c r="L4285" s="20"/>
      <c r="M4285" s="10"/>
      <c r="N4285" s="10"/>
      <c r="O4285" s="10"/>
      <c r="P4285" s="10"/>
      <c r="Q4285" s="10"/>
      <c r="R4285" s="10"/>
      <c r="S4285" s="10"/>
      <c r="T4285" s="10"/>
      <c r="U4285" s="10"/>
      <c r="V4285" s="10"/>
      <c r="W4285" s="10"/>
      <c r="X4285" s="10"/>
      <c r="Y4285" s="10"/>
      <c r="Z4285" s="10"/>
      <c r="AA4285" s="10"/>
      <c r="AB4285" s="10"/>
      <c r="AC4285" s="10"/>
      <c r="AD4285" s="10"/>
      <c r="AE4285" s="10"/>
      <c r="AF4285" s="10"/>
      <c r="AG4285" s="10"/>
      <c r="AH4285" s="10"/>
    </row>
    <row r="4286" spans="1:34" outlineLevel="2">
      <c r="A4286" s="35"/>
      <c r="B4286" s="12" t="str">
        <f>IFERROR(VLOOKUP(D4286,'[1]Перечень товаров'!$A$2:$I9525,2,0),"")</f>
        <v>т3</v>
      </c>
      <c r="C4286" s="12" t="str">
        <f>IFERROR(VLOOKUP(D4286,'[1]Перечень товаров'!$A$2:$I9525,3,0),"")</f>
        <v xml:space="preserve">Техника </v>
      </c>
      <c r="D4286" s="35" t="s">
        <v>30</v>
      </c>
      <c r="E4286" s="58"/>
      <c r="F4286" s="58"/>
      <c r="G4286" s="48">
        <v>1</v>
      </c>
      <c r="H4286" s="48"/>
      <c r="I4286" s="49"/>
      <c r="J4286" s="49"/>
      <c r="K4286" s="19"/>
      <c r="L4286" s="20"/>
      <c r="M4286" s="10"/>
      <c r="N4286" s="10"/>
      <c r="O4286" s="10"/>
      <c r="P4286" s="10"/>
      <c r="Q4286" s="10"/>
      <c r="R4286" s="10"/>
      <c r="S4286" s="10"/>
      <c r="T4286" s="10"/>
      <c r="U4286" s="10"/>
      <c r="V4286" s="10"/>
      <c r="W4286" s="10"/>
      <c r="X4286" s="10"/>
      <c r="Y4286" s="10"/>
      <c r="Z4286" s="10"/>
      <c r="AA4286" s="10"/>
      <c r="AB4286" s="10"/>
      <c r="AC4286" s="10"/>
      <c r="AD4286" s="10"/>
      <c r="AE4286" s="10"/>
      <c r="AF4286" s="10"/>
      <c r="AG4286" s="10"/>
      <c r="AH4286" s="10"/>
    </row>
    <row r="4287" spans="1:34" outlineLevel="2">
      <c r="A4287" s="35"/>
      <c r="B4287" s="12" t="str">
        <f>IFERROR(VLOOKUP(D4287,'[1]Перечень товаров'!$A$2:$I9525,2,0),"")</f>
        <v>т4</v>
      </c>
      <c r="C4287" s="12" t="str">
        <f>IFERROR(VLOOKUP(D4287,'[1]Перечень товаров'!$A$2:$I9525,3,0),"")</f>
        <v xml:space="preserve">Техника </v>
      </c>
      <c r="D4287" s="35" t="s">
        <v>31</v>
      </c>
      <c r="E4287" s="58"/>
      <c r="F4287" s="58"/>
      <c r="G4287" s="48">
        <v>1</v>
      </c>
      <c r="H4287" s="48"/>
      <c r="I4287" s="49"/>
      <c r="J4287" s="49"/>
      <c r="K4287" s="19"/>
      <c r="L4287" s="20"/>
      <c r="M4287" s="10"/>
      <c r="N4287" s="10"/>
      <c r="O4287" s="10"/>
      <c r="P4287" s="10"/>
      <c r="Q4287" s="10"/>
      <c r="R4287" s="10"/>
      <c r="S4287" s="10"/>
      <c r="T4287" s="10"/>
      <c r="U4287" s="10"/>
      <c r="V4287" s="10"/>
      <c r="W4287" s="10"/>
      <c r="X4287" s="10"/>
      <c r="Y4287" s="10"/>
      <c r="Z4287" s="10"/>
      <c r="AA4287" s="10"/>
      <c r="AB4287" s="10"/>
      <c r="AC4287" s="10"/>
      <c r="AD4287" s="10"/>
      <c r="AE4287" s="10"/>
      <c r="AF4287" s="10"/>
      <c r="AG4287" s="10"/>
      <c r="AH4287" s="10"/>
    </row>
    <row r="4288" spans="1:34" outlineLevel="2">
      <c r="A4288" s="21"/>
      <c r="B4288" s="12" t="str">
        <f>IFERROR(VLOOKUP(D4288,'[1]Перечень товаров'!$A$2:$I9525,2,0),"")</f>
        <v>тм65</v>
      </c>
      <c r="C4288" s="12" t="str">
        <f>IFERROR(VLOOKUP(D4288,'[1]Перечень товаров'!$A$2:$I9525,3,0),"")</f>
        <v>Техника муз</v>
      </c>
      <c r="D4288" s="22" t="s">
        <v>380</v>
      </c>
      <c r="E4288" s="58"/>
      <c r="F4288" s="58"/>
      <c r="G4288" s="48">
        <v>1</v>
      </c>
      <c r="H4288" s="48"/>
      <c r="I4288" s="49"/>
      <c r="J4288" s="49"/>
      <c r="K4288" s="19"/>
      <c r="L4288" s="20"/>
      <c r="M4288" s="10"/>
      <c r="N4288" s="10"/>
      <c r="O4288" s="10"/>
      <c r="P4288" s="10"/>
      <c r="Q4288" s="10"/>
      <c r="R4288" s="10"/>
      <c r="S4288" s="10"/>
      <c r="T4288" s="10"/>
      <c r="U4288" s="10"/>
      <c r="V4288" s="10"/>
      <c r="W4288" s="10"/>
      <c r="X4288" s="10"/>
      <c r="Y4288" s="10"/>
      <c r="Z4288" s="10"/>
      <c r="AA4288" s="10"/>
      <c r="AB4288" s="10"/>
      <c r="AC4288" s="10"/>
      <c r="AD4288" s="10"/>
      <c r="AE4288" s="10"/>
      <c r="AF4288" s="10"/>
      <c r="AG4288" s="10"/>
      <c r="AH4288" s="10"/>
    </row>
    <row r="4289" spans="1:34" outlineLevel="2">
      <c r="A4289" s="21"/>
      <c r="B4289" s="12" t="str">
        <f>IFERROR(VLOOKUP(D4289,'[1]Перечень товаров'!$A$2:$I9525,2,0),"")</f>
        <v>т12</v>
      </c>
      <c r="C4289" s="12" t="str">
        <f>IFERROR(VLOOKUP(D4289,'[1]Перечень товаров'!$A$2:$I9525,3,0),"")</f>
        <v>Техника</v>
      </c>
      <c r="D4289" s="22" t="s">
        <v>49</v>
      </c>
      <c r="E4289" s="58"/>
      <c r="F4289" s="58"/>
      <c r="G4289" s="48">
        <v>1</v>
      </c>
      <c r="H4289" s="48"/>
      <c r="I4289" s="49"/>
      <c r="J4289" s="49"/>
      <c r="K4289" s="19"/>
      <c r="L4289" s="20"/>
      <c r="M4289" s="10"/>
      <c r="N4289" s="10"/>
      <c r="O4289" s="10"/>
      <c r="P4289" s="10"/>
      <c r="Q4289" s="10"/>
      <c r="R4289" s="10"/>
      <c r="S4289" s="10"/>
      <c r="T4289" s="10"/>
      <c r="U4289" s="10"/>
      <c r="V4289" s="10"/>
      <c r="W4289" s="10"/>
      <c r="X4289" s="10"/>
      <c r="Y4289" s="10"/>
      <c r="Z4289" s="10"/>
      <c r="AA4289" s="10"/>
      <c r="AB4289" s="10"/>
      <c r="AC4289" s="10"/>
      <c r="AD4289" s="10"/>
      <c r="AE4289" s="10"/>
      <c r="AF4289" s="10"/>
      <c r="AG4289" s="10"/>
      <c r="AH4289" s="10"/>
    </row>
    <row r="4290" spans="1:34" outlineLevel="2">
      <c r="A4290" s="35"/>
      <c r="B4290" s="12" t="str">
        <f>IFERROR(VLOOKUP(D4290,'[1]Перечень товаров'!$A$2:$I9525,2,0),"")</f>
        <v>т6</v>
      </c>
      <c r="C4290" s="12" t="str">
        <f>IFERROR(VLOOKUP(D4290,'[1]Перечень товаров'!$A$2:$I9525,3,0),"")</f>
        <v xml:space="preserve">Техника </v>
      </c>
      <c r="D4290" s="35" t="s">
        <v>33</v>
      </c>
      <c r="E4290" s="58"/>
      <c r="F4290" s="58"/>
      <c r="G4290" s="48">
        <v>1</v>
      </c>
      <c r="H4290" s="48"/>
      <c r="I4290" s="49"/>
      <c r="J4290" s="49"/>
      <c r="K4290" s="19"/>
      <c r="L4290" s="20"/>
      <c r="M4290" s="10"/>
      <c r="N4290" s="10"/>
      <c r="O4290" s="10"/>
      <c r="P4290" s="10"/>
      <c r="Q4290" s="10"/>
      <c r="R4290" s="10"/>
      <c r="S4290" s="10"/>
      <c r="T4290" s="10"/>
      <c r="U4290" s="10"/>
      <c r="V4290" s="10"/>
      <c r="W4290" s="10"/>
      <c r="X4290" s="10"/>
      <c r="Y4290" s="10"/>
      <c r="Z4290" s="10"/>
      <c r="AA4290" s="10"/>
      <c r="AB4290" s="10"/>
      <c r="AC4290" s="10"/>
      <c r="AD4290" s="10"/>
      <c r="AE4290" s="10"/>
      <c r="AF4290" s="10"/>
      <c r="AG4290" s="10"/>
      <c r="AH4290" s="10"/>
    </row>
    <row r="4291" spans="1:34" outlineLevel="2">
      <c r="A4291" s="21"/>
      <c r="B4291" s="12" t="str">
        <f>IFERROR(VLOOKUP(D4291,'[1]Перечень товаров'!$A$2:$I9525,2,0),"")</f>
        <v>т7</v>
      </c>
      <c r="C4291" s="12" t="str">
        <f>IFERROR(VLOOKUP(D4291,'[1]Перечень товаров'!$A$2:$I9525,3,0),"")</f>
        <v xml:space="preserve">Техника </v>
      </c>
      <c r="D4291" s="22" t="s">
        <v>34</v>
      </c>
      <c r="E4291" s="58"/>
      <c r="F4291" s="58"/>
      <c r="G4291" s="48">
        <v>3</v>
      </c>
      <c r="H4291" s="48"/>
      <c r="I4291" s="49"/>
      <c r="J4291" s="49"/>
      <c r="K4291" s="19"/>
      <c r="L4291" s="20"/>
      <c r="M4291" s="10"/>
      <c r="N4291" s="10"/>
      <c r="O4291" s="10"/>
      <c r="P4291" s="10"/>
      <c r="Q4291" s="10"/>
      <c r="R4291" s="10"/>
      <c r="S4291" s="10"/>
      <c r="T4291" s="10"/>
      <c r="U4291" s="10"/>
      <c r="V4291" s="10"/>
      <c r="W4291" s="10"/>
      <c r="X4291" s="10"/>
      <c r="Y4291" s="10"/>
      <c r="Z4291" s="10"/>
      <c r="AA4291" s="10"/>
      <c r="AB4291" s="10"/>
      <c r="AC4291" s="10"/>
      <c r="AD4291" s="10"/>
      <c r="AE4291" s="10"/>
      <c r="AF4291" s="10"/>
      <c r="AG4291" s="10"/>
      <c r="AH4291" s="10"/>
    </row>
    <row r="4292" spans="1:34" outlineLevel="2">
      <c r="A4292" s="28"/>
      <c r="B4292" s="12" t="str">
        <f>IFERROR(VLOOKUP(D4292,'[1]Перечень товаров'!$A$2:$I9525,2,0),"")</f>
        <v>т161</v>
      </c>
      <c r="C4292" s="12" t="str">
        <f>IFERROR(VLOOKUP(D4292,'[1]Перечень товаров'!$A$2:$I9525,3,0),"")</f>
        <v xml:space="preserve">Техника </v>
      </c>
      <c r="D4292" s="29" t="s">
        <v>381</v>
      </c>
      <c r="E4292" s="30"/>
      <c r="F4292" s="30"/>
      <c r="G4292" s="59">
        <v>1</v>
      </c>
      <c r="H4292" s="59"/>
      <c r="I4292" s="60"/>
      <c r="J4292" s="60"/>
      <c r="K4292" s="19"/>
      <c r="L4292" s="20"/>
      <c r="M4292" s="10"/>
      <c r="N4292" s="10"/>
      <c r="O4292" s="10"/>
      <c r="P4292" s="10"/>
      <c r="Q4292" s="10"/>
      <c r="R4292" s="10"/>
      <c r="S4292" s="10"/>
      <c r="T4292" s="10"/>
      <c r="U4292" s="10"/>
      <c r="V4292" s="10"/>
      <c r="W4292" s="10"/>
      <c r="X4292" s="10"/>
      <c r="Y4292" s="10"/>
      <c r="Z4292" s="10"/>
      <c r="AA4292" s="10"/>
      <c r="AB4292" s="10"/>
      <c r="AC4292" s="10"/>
      <c r="AD4292" s="10"/>
      <c r="AE4292" s="10"/>
      <c r="AF4292" s="10"/>
      <c r="AG4292" s="10"/>
      <c r="AH4292" s="10"/>
    </row>
    <row r="4293" spans="1:34" outlineLevel="2">
      <c r="A4293" s="113"/>
      <c r="B4293" s="12" t="str">
        <f>IFERROR(VLOOKUP(D4293,'[1]Перечень товаров'!$A$2:$I9525,2,0),"")</f>
        <v/>
      </c>
      <c r="C4293" s="12" t="str">
        <f>IFERROR(VLOOKUP(D4293,'[1]Перечень товаров'!$A$2:$I9525,3,0),"")</f>
        <v/>
      </c>
      <c r="D4293" s="114" t="s">
        <v>19</v>
      </c>
      <c r="E4293" s="115"/>
      <c r="F4293" s="115"/>
      <c r="G4293" s="59"/>
      <c r="H4293" s="59"/>
      <c r="I4293" s="60"/>
      <c r="J4293" s="60"/>
      <c r="K4293" s="19"/>
      <c r="L4293" s="20"/>
      <c r="M4293" s="10"/>
      <c r="N4293" s="10"/>
      <c r="O4293" s="10"/>
      <c r="P4293" s="10"/>
      <c r="Q4293" s="10"/>
      <c r="R4293" s="10"/>
      <c r="S4293" s="10"/>
      <c r="T4293" s="10"/>
      <c r="U4293" s="10"/>
      <c r="V4293" s="10"/>
      <c r="W4293" s="10"/>
      <c r="X4293" s="10"/>
      <c r="Y4293" s="10"/>
      <c r="Z4293" s="10"/>
      <c r="AA4293" s="10"/>
      <c r="AB4293" s="10"/>
      <c r="AC4293" s="10"/>
      <c r="AD4293" s="10"/>
      <c r="AE4293" s="10"/>
      <c r="AF4293" s="10"/>
      <c r="AG4293" s="10"/>
      <c r="AH4293" s="10"/>
    </row>
    <row r="4294" spans="1:34" outlineLevel="2">
      <c r="A4294" s="34"/>
      <c r="B4294" s="12" t="str">
        <f>IFERROR(VLOOKUP(D4294,'[1]Перечень товаров'!$A$2:$I9525,2,0),"")</f>
        <v>м62</v>
      </c>
      <c r="C4294" s="12" t="str">
        <f>IFERROR(VLOOKUP(D4294,'[1]Перечень товаров'!$A$2:$I9525,3,0),"")</f>
        <v>Мебель</v>
      </c>
      <c r="D4294" s="35" t="s">
        <v>398</v>
      </c>
      <c r="E4294" s="88"/>
      <c r="F4294" s="88"/>
      <c r="G4294" s="59">
        <v>1</v>
      </c>
      <c r="H4294" s="59"/>
      <c r="I4294" s="60"/>
      <c r="J4294" s="60"/>
      <c r="K4294" s="19"/>
      <c r="L4294" s="20"/>
      <c r="M4294" s="10"/>
      <c r="N4294" s="10"/>
      <c r="O4294" s="10"/>
      <c r="P4294" s="10"/>
      <c r="Q4294" s="10"/>
      <c r="R4294" s="10"/>
      <c r="S4294" s="10"/>
      <c r="T4294" s="10"/>
      <c r="U4294" s="10"/>
      <c r="V4294" s="10"/>
      <c r="W4294" s="10"/>
      <c r="X4294" s="10"/>
      <c r="Y4294" s="10"/>
      <c r="Z4294" s="10"/>
      <c r="AA4294" s="10"/>
      <c r="AB4294" s="10"/>
      <c r="AC4294" s="10"/>
      <c r="AD4294" s="10"/>
      <c r="AE4294" s="10"/>
      <c r="AF4294" s="10"/>
      <c r="AG4294" s="10"/>
      <c r="AH4294" s="10"/>
    </row>
    <row r="4295" spans="1:34" outlineLevel="2">
      <c r="A4295" s="34"/>
      <c r="B4295" s="12" t="str">
        <f>IFERROR(VLOOKUP(D4295,'[1]Перечень товаров'!$A$2:$I9525,2,0),"")</f>
        <v>м61</v>
      </c>
      <c r="C4295" s="12" t="str">
        <f>IFERROR(VLOOKUP(D4295,'[1]Перечень товаров'!$A$2:$I9525,3,0),"")</f>
        <v>Мебель</v>
      </c>
      <c r="D4295" s="35" t="s">
        <v>383</v>
      </c>
      <c r="E4295" s="88"/>
      <c r="F4295" s="88"/>
      <c r="G4295" s="59">
        <v>1</v>
      </c>
      <c r="H4295" s="59"/>
      <c r="I4295" s="60"/>
      <c r="J4295" s="60"/>
      <c r="K4295" s="19"/>
      <c r="L4295" s="20"/>
      <c r="M4295" s="10"/>
      <c r="N4295" s="10"/>
      <c r="O4295" s="10"/>
      <c r="P4295" s="10"/>
      <c r="Q4295" s="10"/>
      <c r="R4295" s="10"/>
      <c r="S4295" s="10"/>
      <c r="T4295" s="10"/>
      <c r="U4295" s="10"/>
      <c r="V4295" s="10"/>
      <c r="W4295" s="10"/>
      <c r="X4295" s="10"/>
      <c r="Y4295" s="10"/>
      <c r="Z4295" s="10"/>
      <c r="AA4295" s="10"/>
      <c r="AB4295" s="10"/>
      <c r="AC4295" s="10"/>
      <c r="AD4295" s="10"/>
      <c r="AE4295" s="10"/>
      <c r="AF4295" s="10"/>
      <c r="AG4295" s="10"/>
      <c r="AH4295" s="10"/>
    </row>
    <row r="4296" spans="1:34" outlineLevel="2">
      <c r="A4296" s="34"/>
      <c r="B4296" s="12" t="str">
        <f>IFERROR(VLOOKUP(D4296,'[1]Перечень товаров'!$A$2:$I9525,2,0),"")</f>
        <v>м179</v>
      </c>
      <c r="C4296" s="12" t="str">
        <f>IFERROR(VLOOKUP(D4296,'[1]Перечень товаров'!$A$2:$I9525,3,0),"")</f>
        <v>Мебель</v>
      </c>
      <c r="D4296" s="35" t="s">
        <v>579</v>
      </c>
      <c r="E4296" s="88"/>
      <c r="F4296" s="88"/>
      <c r="G4296" s="59">
        <v>10</v>
      </c>
      <c r="H4296" s="59"/>
      <c r="I4296" s="60"/>
      <c r="J4296" s="60"/>
      <c r="K4296" s="19"/>
      <c r="L4296" s="20"/>
      <c r="M4296" s="10"/>
      <c r="N4296" s="10"/>
      <c r="O4296" s="10"/>
      <c r="P4296" s="10"/>
      <c r="Q4296" s="10"/>
      <c r="R4296" s="10"/>
      <c r="S4296" s="10"/>
      <c r="T4296" s="10"/>
      <c r="U4296" s="10"/>
      <c r="V4296" s="10"/>
      <c r="W4296" s="10"/>
      <c r="X4296" s="10"/>
      <c r="Y4296" s="10"/>
      <c r="Z4296" s="10"/>
      <c r="AA4296" s="10"/>
      <c r="AB4296" s="10"/>
      <c r="AC4296" s="10"/>
      <c r="AD4296" s="10"/>
      <c r="AE4296" s="10"/>
      <c r="AF4296" s="10"/>
      <c r="AG4296" s="10"/>
      <c r="AH4296" s="10"/>
    </row>
    <row r="4297" spans="1:34" outlineLevel="2">
      <c r="A4297" s="34"/>
      <c r="B4297" s="12" t="str">
        <f>IFERROR(VLOOKUP(D4297,'[1]Перечень товаров'!$A$2:$I9525,2,0),"")</f>
        <v>м61</v>
      </c>
      <c r="C4297" s="12" t="str">
        <f>IFERROR(VLOOKUP(D4297,'[1]Перечень товаров'!$A$2:$I9525,3,0),"")</f>
        <v>Мебель</v>
      </c>
      <c r="D4297" s="35" t="s">
        <v>384</v>
      </c>
      <c r="E4297" s="88"/>
      <c r="F4297" s="88"/>
      <c r="G4297" s="59">
        <v>20</v>
      </c>
      <c r="H4297" s="59"/>
      <c r="I4297" s="60"/>
      <c r="J4297" s="60"/>
      <c r="K4297" s="19"/>
      <c r="L4297" s="20"/>
      <c r="M4297" s="10"/>
      <c r="N4297" s="10"/>
      <c r="O4297" s="10"/>
      <c r="P4297" s="10"/>
      <c r="Q4297" s="10"/>
      <c r="R4297" s="10"/>
      <c r="S4297" s="10"/>
      <c r="T4297" s="10"/>
      <c r="U4297" s="10"/>
      <c r="V4297" s="10"/>
      <c r="W4297" s="10"/>
      <c r="X4297" s="10"/>
      <c r="Y4297" s="10"/>
      <c r="Z4297" s="10"/>
      <c r="AA4297" s="10"/>
      <c r="AB4297" s="10"/>
      <c r="AC4297" s="10"/>
      <c r="AD4297" s="10"/>
      <c r="AE4297" s="10"/>
      <c r="AF4297" s="10"/>
      <c r="AG4297" s="10"/>
      <c r="AH4297" s="10"/>
    </row>
    <row r="4298" spans="1:34" outlineLevel="2">
      <c r="A4298" s="21"/>
      <c r="B4298" s="12" t="str">
        <f>IFERROR(VLOOKUP(D4298,'[1]Перечень товаров'!$A$2:$I9525,2,0),"")</f>
        <v>м13</v>
      </c>
      <c r="C4298" s="12" t="str">
        <f>IFERROR(VLOOKUP(D4298,'[1]Перечень товаров'!$A$2:$I9525,3,0),"")</f>
        <v>Мебель</v>
      </c>
      <c r="D4298" s="22" t="s">
        <v>42</v>
      </c>
      <c r="E4298" s="58"/>
      <c r="F4298" s="58"/>
      <c r="G4298" s="24">
        <v>1</v>
      </c>
      <c r="H4298" s="24"/>
      <c r="I4298" s="25"/>
      <c r="J4298" s="25"/>
      <c r="K4298" s="19"/>
      <c r="L4298" s="20"/>
      <c r="M4298" s="10"/>
      <c r="N4298" s="10"/>
      <c r="O4298" s="10"/>
      <c r="P4298" s="10"/>
      <c r="Q4298" s="10"/>
      <c r="R4298" s="10"/>
      <c r="S4298" s="10"/>
      <c r="T4298" s="10"/>
      <c r="U4298" s="10"/>
      <c r="V4298" s="10"/>
      <c r="W4298" s="10"/>
      <c r="X4298" s="10"/>
      <c r="Y4298" s="10"/>
      <c r="Z4298" s="10"/>
      <c r="AA4298" s="10"/>
      <c r="AB4298" s="10"/>
      <c r="AC4298" s="10"/>
      <c r="AD4298" s="10"/>
      <c r="AE4298" s="10"/>
      <c r="AF4298" s="10"/>
      <c r="AG4298" s="10"/>
      <c r="AH4298" s="10"/>
    </row>
    <row r="4299" spans="1:34" outlineLevel="2">
      <c r="A4299" s="21"/>
      <c r="B4299" s="12" t="str">
        <f>IFERROR(VLOOKUP(D4299,'[1]Перечень товаров'!$A$2:$I9525,2,0),"")</f>
        <v>м14</v>
      </c>
      <c r="C4299" s="12" t="str">
        <f>IFERROR(VLOOKUP(D4299,'[1]Перечень товаров'!$A$2:$I9525,3,0),"")</f>
        <v>Мебель</v>
      </c>
      <c r="D4299" s="22" t="s">
        <v>43</v>
      </c>
      <c r="E4299" s="58"/>
      <c r="F4299" s="58"/>
      <c r="G4299" s="24">
        <v>1</v>
      </c>
      <c r="H4299" s="24"/>
      <c r="I4299" s="25"/>
      <c r="J4299" s="25"/>
      <c r="K4299" s="19"/>
      <c r="L4299" s="20"/>
      <c r="M4299" s="10"/>
      <c r="N4299" s="10"/>
      <c r="O4299" s="10"/>
      <c r="P4299" s="10"/>
      <c r="Q4299" s="10"/>
      <c r="R4299" s="10"/>
      <c r="S4299" s="10"/>
      <c r="T4299" s="10"/>
      <c r="U4299" s="10"/>
      <c r="V4299" s="10"/>
      <c r="W4299" s="10"/>
      <c r="X4299" s="10"/>
      <c r="Y4299" s="10"/>
      <c r="Z4299" s="10"/>
      <c r="AA4299" s="10"/>
      <c r="AB4299" s="10"/>
      <c r="AC4299" s="10"/>
      <c r="AD4299" s="10"/>
      <c r="AE4299" s="10"/>
      <c r="AF4299" s="10"/>
      <c r="AG4299" s="10"/>
      <c r="AH4299" s="10"/>
    </row>
    <row r="4300" spans="1:34" outlineLevel="2">
      <c r="A4300" s="21"/>
      <c r="B4300" s="12" t="str">
        <f>IFERROR(VLOOKUP(D4300,'[1]Перечень товаров'!$A$2:$I9525,2,0),"")</f>
        <v>п2</v>
      </c>
      <c r="C4300" s="12" t="str">
        <f>IFERROR(VLOOKUP(D4300,'[1]Перечень товаров'!$A$2:$I9525,3,0),"")</f>
        <v>Прочее</v>
      </c>
      <c r="D4300" s="22" t="s">
        <v>46</v>
      </c>
      <c r="E4300" s="58"/>
      <c r="F4300" s="58"/>
      <c r="G4300" s="24">
        <v>1</v>
      </c>
      <c r="H4300" s="24"/>
      <c r="I4300" s="25"/>
      <c r="J4300" s="25"/>
      <c r="K4300" s="19"/>
      <c r="L4300" s="20"/>
      <c r="M4300" s="10"/>
      <c r="N4300" s="10"/>
      <c r="O4300" s="10"/>
      <c r="P4300" s="10"/>
      <c r="Q4300" s="10"/>
      <c r="R4300" s="10"/>
      <c r="S4300" s="10"/>
      <c r="T4300" s="10"/>
      <c r="U4300" s="10"/>
      <c r="V4300" s="10"/>
      <c r="W4300" s="10"/>
      <c r="X4300" s="10"/>
      <c r="Y4300" s="10"/>
      <c r="Z4300" s="10"/>
      <c r="AA4300" s="10"/>
      <c r="AB4300" s="10"/>
      <c r="AC4300" s="10"/>
      <c r="AD4300" s="10"/>
      <c r="AE4300" s="10"/>
      <c r="AF4300" s="10"/>
      <c r="AG4300" s="10"/>
      <c r="AH4300" s="10"/>
    </row>
    <row r="4301" spans="1:34" ht="31.5" outlineLevel="2">
      <c r="A4301" s="155"/>
      <c r="B4301" s="12" t="str">
        <f>IFERROR(VLOOKUP(D4301,'[1]Перечень товаров'!$A$2:$I9525,2,0),"")</f>
        <v>м21</v>
      </c>
      <c r="C4301" s="12" t="str">
        <f>IFERROR(VLOOKUP(D4301,'[1]Перечень товаров'!$A$2:$I9525,3,0),"")</f>
        <v>Мебель</v>
      </c>
      <c r="D4301" s="156" t="s">
        <v>58</v>
      </c>
      <c r="E4301" s="58"/>
      <c r="F4301" s="58"/>
      <c r="G4301" s="24">
        <v>1</v>
      </c>
      <c r="H4301" s="24"/>
      <c r="I4301" s="25"/>
      <c r="J4301" s="25"/>
      <c r="K4301" s="19"/>
      <c r="L4301" s="20"/>
      <c r="M4301" s="10"/>
      <c r="N4301" s="10"/>
      <c r="O4301" s="10"/>
      <c r="P4301" s="10"/>
      <c r="Q4301" s="10"/>
      <c r="R4301" s="10"/>
      <c r="S4301" s="10"/>
      <c r="T4301" s="10"/>
      <c r="U4301" s="10"/>
      <c r="V4301" s="10"/>
      <c r="W4301" s="10"/>
      <c r="X4301" s="10"/>
      <c r="Y4301" s="10"/>
      <c r="Z4301" s="10"/>
      <c r="AA4301" s="10"/>
      <c r="AB4301" s="10"/>
      <c r="AC4301" s="10"/>
      <c r="AD4301" s="10"/>
      <c r="AE4301" s="10"/>
      <c r="AF4301" s="10"/>
      <c r="AG4301" s="10"/>
      <c r="AH4301" s="10"/>
    </row>
    <row r="4302" spans="1:34" outlineLevel="2">
      <c r="A4302" s="116"/>
      <c r="B4302" s="12" t="str">
        <f>IFERROR(VLOOKUP(D4302,'[1]Перечень товаров'!$A$2:$I9525,2,0),"")</f>
        <v/>
      </c>
      <c r="C4302" s="12" t="str">
        <f>IFERROR(VLOOKUP(D4302,'[1]Перечень товаров'!$A$2:$I9525,3,0),"")</f>
        <v/>
      </c>
      <c r="D4302" s="117" t="s">
        <v>391</v>
      </c>
      <c r="E4302" s="217"/>
      <c r="F4302" s="217"/>
      <c r="G4302" s="59"/>
      <c r="H4302" s="59"/>
      <c r="I4302" s="60"/>
      <c r="J4302" s="60"/>
      <c r="K4302" s="19"/>
      <c r="L4302" s="20"/>
      <c r="M4302" s="10"/>
      <c r="N4302" s="10"/>
      <c r="O4302" s="10"/>
      <c r="P4302" s="10"/>
      <c r="Q4302" s="10"/>
      <c r="R4302" s="10"/>
      <c r="S4302" s="10"/>
      <c r="T4302" s="10"/>
      <c r="U4302" s="10"/>
      <c r="V4302" s="10"/>
      <c r="W4302" s="10"/>
      <c r="X4302" s="10"/>
      <c r="Y4302" s="10"/>
      <c r="Z4302" s="10"/>
      <c r="AA4302" s="10"/>
      <c r="AB4302" s="10"/>
      <c r="AC4302" s="10"/>
      <c r="AD4302" s="10"/>
      <c r="AE4302" s="10"/>
      <c r="AF4302" s="10"/>
      <c r="AG4302" s="10"/>
      <c r="AH4302" s="10"/>
    </row>
    <row r="4303" spans="1:34" outlineLevel="2">
      <c r="A4303" s="28"/>
      <c r="B4303" s="12" t="str">
        <f>IFERROR(VLOOKUP(D4303,'[1]Перечень товаров'!$A$2:$I9525,2,0),"")</f>
        <v>мм1</v>
      </c>
      <c r="C4303" s="12" t="str">
        <f>IFERROR(VLOOKUP(D4303,'[1]Перечень товаров'!$A$2:$I9525,3,0),"")</f>
        <v>Мебель муз</v>
      </c>
      <c r="D4303" s="29" t="s">
        <v>1134</v>
      </c>
      <c r="E4303" s="30"/>
      <c r="F4303" s="30"/>
      <c r="G4303" s="59">
        <v>1</v>
      </c>
      <c r="H4303" s="59"/>
      <c r="I4303" s="60"/>
      <c r="J4303" s="60"/>
      <c r="K4303" s="19"/>
      <c r="L4303" s="20"/>
      <c r="M4303" s="10"/>
      <c r="N4303" s="10"/>
      <c r="O4303" s="10"/>
      <c r="P4303" s="10"/>
      <c r="Q4303" s="10"/>
      <c r="R4303" s="10"/>
      <c r="S4303" s="10"/>
      <c r="T4303" s="10"/>
      <c r="U4303" s="10"/>
      <c r="V4303" s="10"/>
      <c r="W4303" s="10"/>
      <c r="X4303" s="10"/>
      <c r="Y4303" s="10"/>
      <c r="Z4303" s="10"/>
      <c r="AA4303" s="10"/>
      <c r="AB4303" s="10"/>
      <c r="AC4303" s="10"/>
      <c r="AD4303" s="10"/>
      <c r="AE4303" s="10"/>
      <c r="AF4303" s="10"/>
      <c r="AG4303" s="10"/>
      <c r="AH4303" s="10"/>
    </row>
    <row r="4304" spans="1:34" ht="47.25" outlineLevel="2">
      <c r="A4304" s="28"/>
      <c r="B4304" s="12" t="str">
        <f>IFERROR(VLOOKUP(D4304,'[1]Перечень товаров'!$A$2:$I9525,2,0),"")</f>
        <v>пм168</v>
      </c>
      <c r="C4304" s="12" t="str">
        <f>IFERROR(VLOOKUP(D4304,'[1]Перечень товаров'!$A$2:$I9525,3,0),"")</f>
        <v>прочее муз</v>
      </c>
      <c r="D4304" s="29" t="s">
        <v>1135</v>
      </c>
      <c r="E4304" s="30"/>
      <c r="F4304" s="30"/>
      <c r="G4304" s="59">
        <v>4</v>
      </c>
      <c r="H4304" s="59"/>
      <c r="I4304" s="60"/>
      <c r="J4304" s="60"/>
      <c r="K4304" s="19"/>
      <c r="L4304" s="20"/>
      <c r="M4304" s="10"/>
      <c r="N4304" s="10"/>
      <c r="O4304" s="10"/>
      <c r="P4304" s="10"/>
      <c r="Q4304" s="10"/>
      <c r="R4304" s="10"/>
      <c r="S4304" s="10"/>
      <c r="T4304" s="10"/>
      <c r="U4304" s="10"/>
      <c r="V4304" s="10"/>
      <c r="W4304" s="10"/>
      <c r="X4304" s="10"/>
      <c r="Y4304" s="10"/>
      <c r="Z4304" s="10"/>
      <c r="AA4304" s="10"/>
      <c r="AB4304" s="10"/>
      <c r="AC4304" s="10"/>
      <c r="AD4304" s="10"/>
      <c r="AE4304" s="10"/>
      <c r="AF4304" s="10"/>
      <c r="AG4304" s="10"/>
      <c r="AH4304" s="10"/>
    </row>
    <row r="4305" spans="1:34" outlineLevel="2">
      <c r="A4305" s="28"/>
      <c r="B4305" s="12" t="str">
        <f>IFERROR(VLOOKUP(D4305,'[1]Перечень товаров'!$A$2:$I9525,2,0),"")</f>
        <v>пм167</v>
      </c>
      <c r="C4305" s="12" t="str">
        <f>IFERROR(VLOOKUP(D4305,'[1]Перечень товаров'!$A$2:$I9525,3,0),"")</f>
        <v>прочее муз</v>
      </c>
      <c r="D4305" s="29" t="s">
        <v>1136</v>
      </c>
      <c r="E4305" s="30"/>
      <c r="F4305" s="30"/>
      <c r="G4305" s="59">
        <v>1</v>
      </c>
      <c r="H4305" s="59"/>
      <c r="I4305" s="60"/>
      <c r="J4305" s="60"/>
      <c r="K4305" s="19"/>
      <c r="L4305" s="20"/>
      <c r="M4305" s="10"/>
      <c r="N4305" s="10"/>
      <c r="O4305" s="10"/>
      <c r="P4305" s="10"/>
      <c r="Q4305" s="10"/>
      <c r="R4305" s="10"/>
      <c r="S4305" s="10"/>
      <c r="T4305" s="10"/>
      <c r="U4305" s="10"/>
      <c r="V4305" s="10"/>
      <c r="W4305" s="10"/>
      <c r="X4305" s="10"/>
      <c r="Y4305" s="10"/>
      <c r="Z4305" s="10"/>
      <c r="AA4305" s="10"/>
      <c r="AB4305" s="10"/>
      <c r="AC4305" s="10"/>
      <c r="AD4305" s="10"/>
      <c r="AE4305" s="10"/>
      <c r="AF4305" s="10"/>
      <c r="AG4305" s="10"/>
      <c r="AH4305" s="10"/>
    </row>
    <row r="4306" spans="1:34" ht="31.5" outlineLevel="2">
      <c r="A4306" s="28"/>
      <c r="B4306" s="12" t="str">
        <f>IFERROR(VLOOKUP(D4306,'[1]Перечень товаров'!$A$2:$I9525,2,0),"")</f>
        <v>пм166</v>
      </c>
      <c r="C4306" s="12" t="str">
        <f>IFERROR(VLOOKUP(D4306,'[1]Перечень товаров'!$A$2:$I9525,3,0),"")</f>
        <v>прочее муз</v>
      </c>
      <c r="D4306" s="29" t="s">
        <v>1137</v>
      </c>
      <c r="E4306" s="30"/>
      <c r="F4306" s="30"/>
      <c r="G4306" s="59">
        <v>1</v>
      </c>
      <c r="H4306" s="59"/>
      <c r="I4306" s="60"/>
      <c r="J4306" s="60"/>
      <c r="K4306" s="19"/>
      <c r="L4306" s="20"/>
      <c r="M4306" s="10"/>
      <c r="N4306" s="10"/>
      <c r="O4306" s="10"/>
      <c r="P4306" s="10"/>
      <c r="Q4306" s="10"/>
      <c r="R4306" s="10"/>
      <c r="S4306" s="10"/>
      <c r="T4306" s="10"/>
      <c r="U4306" s="10"/>
      <c r="V4306" s="10"/>
      <c r="W4306" s="10"/>
      <c r="X4306" s="10"/>
      <c r="Y4306" s="10"/>
      <c r="Z4306" s="10"/>
      <c r="AA4306" s="10"/>
      <c r="AB4306" s="10"/>
      <c r="AC4306" s="10"/>
      <c r="AD4306" s="10"/>
      <c r="AE4306" s="10"/>
      <c r="AF4306" s="10"/>
      <c r="AG4306" s="10"/>
      <c r="AH4306" s="10"/>
    </row>
    <row r="4307" spans="1:34" ht="31.5" outlineLevel="2">
      <c r="A4307" s="28"/>
      <c r="B4307" s="12" t="str">
        <f>IFERROR(VLOOKUP(D4307,'[1]Перечень товаров'!$A$2:$I9525,2,0),"")</f>
        <v>т130</v>
      </c>
      <c r="C4307" s="12" t="str">
        <f>IFERROR(VLOOKUP(D4307,'[1]Перечень товаров'!$A$2:$I9525,3,0),"")</f>
        <v>Техника</v>
      </c>
      <c r="D4307" s="29" t="s">
        <v>1138</v>
      </c>
      <c r="E4307" s="30"/>
      <c r="F4307" s="30"/>
      <c r="G4307" s="59">
        <v>1</v>
      </c>
      <c r="H4307" s="59"/>
      <c r="I4307" s="60"/>
      <c r="J4307" s="60"/>
      <c r="K4307" s="19"/>
      <c r="L4307" s="20"/>
      <c r="M4307" s="10"/>
      <c r="N4307" s="10"/>
      <c r="O4307" s="10"/>
      <c r="P4307" s="10"/>
      <c r="Q4307" s="10"/>
      <c r="R4307" s="10"/>
      <c r="S4307" s="10"/>
      <c r="T4307" s="10"/>
      <c r="U4307" s="10"/>
      <c r="V4307" s="10"/>
      <c r="W4307" s="10"/>
      <c r="X4307" s="10"/>
      <c r="Y4307" s="10"/>
      <c r="Z4307" s="10"/>
      <c r="AA4307" s="10"/>
      <c r="AB4307" s="10"/>
      <c r="AC4307" s="10"/>
      <c r="AD4307" s="10"/>
      <c r="AE4307" s="10"/>
      <c r="AF4307" s="10"/>
      <c r="AG4307" s="10"/>
      <c r="AH4307" s="10"/>
    </row>
    <row r="4308" spans="1:34" outlineLevel="2">
      <c r="A4308" s="54"/>
      <c r="B4308" s="12" t="str">
        <f>IFERROR(VLOOKUP(D4308,'[1]Перечень товаров'!$A$2:$I9525,2,0),"")</f>
        <v/>
      </c>
      <c r="C4308" s="12" t="str">
        <f>IFERROR(VLOOKUP(D4308,'[1]Перечень товаров'!$A$2:$I9525,3,0),"")</f>
        <v/>
      </c>
      <c r="D4308" s="55" t="s">
        <v>45</v>
      </c>
      <c r="E4308" s="217"/>
      <c r="F4308" s="217"/>
      <c r="G4308" s="59"/>
      <c r="H4308" s="59"/>
      <c r="I4308" s="60"/>
      <c r="J4308" s="60"/>
      <c r="K4308" s="19"/>
      <c r="L4308" s="20"/>
      <c r="M4308" s="10"/>
      <c r="N4308" s="10"/>
      <c r="O4308" s="10"/>
      <c r="P4308" s="10"/>
      <c r="Q4308" s="10"/>
      <c r="R4308" s="10"/>
      <c r="S4308" s="10"/>
      <c r="T4308" s="10"/>
      <c r="U4308" s="10"/>
      <c r="V4308" s="10"/>
      <c r="W4308" s="10"/>
      <c r="X4308" s="10"/>
      <c r="Y4308" s="10"/>
      <c r="Z4308" s="10"/>
      <c r="AA4308" s="10"/>
      <c r="AB4308" s="10"/>
      <c r="AC4308" s="10"/>
      <c r="AD4308" s="10"/>
      <c r="AE4308" s="10"/>
      <c r="AF4308" s="10"/>
      <c r="AG4308" s="10"/>
      <c r="AH4308" s="10"/>
    </row>
    <row r="4309" spans="1:34" outlineLevel="2">
      <c r="A4309" s="43"/>
      <c r="B4309" s="12" t="str">
        <f>IFERROR(VLOOKUP(D4309,'[1]Перечень товаров'!$A$2:$I9525,2,0),"")</f>
        <v>м7</v>
      </c>
      <c r="C4309" s="12" t="str">
        <f>IFERROR(VLOOKUP(D4309,'[1]Перечень товаров'!$A$2:$I9525,3,0),"")</f>
        <v>Мебель</v>
      </c>
      <c r="D4309" s="44" t="s">
        <v>24</v>
      </c>
      <c r="E4309" s="30"/>
      <c r="F4309" s="30"/>
      <c r="G4309" s="59">
        <v>1</v>
      </c>
      <c r="H4309" s="59"/>
      <c r="I4309" s="60"/>
      <c r="J4309" s="60"/>
      <c r="K4309" s="19"/>
      <c r="L4309" s="20"/>
      <c r="M4309" s="10"/>
      <c r="N4309" s="10"/>
      <c r="O4309" s="10"/>
      <c r="P4309" s="10"/>
      <c r="Q4309" s="10"/>
      <c r="R4309" s="10"/>
      <c r="S4309" s="10"/>
      <c r="T4309" s="10"/>
      <c r="U4309" s="10"/>
      <c r="V4309" s="10"/>
      <c r="W4309" s="10"/>
      <c r="X4309" s="10"/>
      <c r="Y4309" s="10"/>
      <c r="Z4309" s="10"/>
      <c r="AA4309" s="10"/>
      <c r="AB4309" s="10"/>
      <c r="AC4309" s="10"/>
      <c r="AD4309" s="10"/>
      <c r="AE4309" s="10"/>
      <c r="AF4309" s="10"/>
      <c r="AG4309" s="10"/>
      <c r="AH4309" s="10"/>
    </row>
    <row r="4310" spans="1:34" outlineLevel="2">
      <c r="A4310" s="43"/>
      <c r="B4310" s="12" t="str">
        <f>IFERROR(VLOOKUP(D4310,'[1]Перечень товаров'!$A$2:$I9525,2,0),"")</f>
        <v>п1</v>
      </c>
      <c r="C4310" s="12" t="str">
        <f>IFERROR(VLOOKUP(D4310,'[1]Перечень товаров'!$A$2:$I9525,3,0),"")</f>
        <v>Прочее</v>
      </c>
      <c r="D4310" s="44" t="s">
        <v>37</v>
      </c>
      <c r="E4310" s="30"/>
      <c r="F4310" s="30"/>
      <c r="G4310" s="59">
        <v>1</v>
      </c>
      <c r="H4310" s="59"/>
      <c r="I4310" s="60"/>
      <c r="J4310" s="60"/>
      <c r="K4310" s="19"/>
      <c r="L4310" s="20"/>
      <c r="M4310" s="10"/>
      <c r="N4310" s="10"/>
      <c r="O4310" s="10"/>
      <c r="P4310" s="10"/>
      <c r="Q4310" s="10"/>
      <c r="R4310" s="10"/>
      <c r="S4310" s="10"/>
      <c r="T4310" s="10"/>
      <c r="U4310" s="10"/>
      <c r="V4310" s="10"/>
      <c r="W4310" s="10"/>
      <c r="X4310" s="10"/>
      <c r="Y4310" s="10"/>
      <c r="Z4310" s="10"/>
      <c r="AA4310" s="10"/>
      <c r="AB4310" s="10"/>
      <c r="AC4310" s="10"/>
      <c r="AD4310" s="10"/>
      <c r="AE4310" s="10"/>
      <c r="AF4310" s="10"/>
      <c r="AG4310" s="10"/>
      <c r="AH4310" s="10"/>
    </row>
    <row r="4311" spans="1:34" ht="12.75" outlineLevel="1">
      <c r="A4311" s="89"/>
      <c r="B4311" s="12" t="str">
        <f>IFERROR(VLOOKUP(D4311,'[1]Перечень товаров'!$A$2:$I9525,2,0),"")</f>
        <v/>
      </c>
      <c r="C4311" s="12" t="str">
        <f>IFERROR(VLOOKUP(D4311,'[1]Перечень товаров'!$A$2:$I9525,3,0),"")</f>
        <v/>
      </c>
      <c r="D4311" s="90" t="s">
        <v>1133</v>
      </c>
      <c r="E4311" s="91">
        <v>22.3</v>
      </c>
      <c r="F4311" s="91"/>
      <c r="G4311" s="17"/>
      <c r="H4311" s="17"/>
      <c r="I4311" s="57"/>
      <c r="J4311" s="57"/>
      <c r="K4311" s="19"/>
      <c r="L4311" s="20"/>
      <c r="M4311" s="10"/>
      <c r="N4311" s="10"/>
      <c r="O4311" s="10"/>
      <c r="P4311" s="10"/>
      <c r="Q4311" s="10"/>
      <c r="R4311" s="10"/>
      <c r="S4311" s="10"/>
      <c r="T4311" s="10"/>
      <c r="U4311" s="10"/>
      <c r="V4311" s="10"/>
      <c r="W4311" s="10"/>
      <c r="X4311" s="10"/>
      <c r="Y4311" s="10"/>
      <c r="Z4311" s="10"/>
      <c r="AA4311" s="10"/>
      <c r="AB4311" s="10"/>
      <c r="AC4311" s="10"/>
      <c r="AD4311" s="10"/>
      <c r="AE4311" s="10"/>
      <c r="AF4311" s="10"/>
      <c r="AG4311" s="10"/>
      <c r="AH4311" s="10"/>
    </row>
    <row r="4312" spans="1:34" ht="15" outlineLevel="2">
      <c r="A4312" s="109"/>
      <c r="B4312" s="12" t="str">
        <f>IFERROR(VLOOKUP(D4312,'[1]Перечень товаров'!$A$2:$I9525,2,0),"")</f>
        <v/>
      </c>
      <c r="C4312" s="12" t="str">
        <f>IFERROR(VLOOKUP(D4312,'[1]Перечень товаров'!$A$2:$I9525,3,0),"")</f>
        <v/>
      </c>
      <c r="D4312" s="110" t="s">
        <v>27</v>
      </c>
      <c r="E4312" s="45"/>
      <c r="F4312" s="45"/>
      <c r="G4312" s="111"/>
      <c r="H4312" s="111"/>
      <c r="I4312" s="112"/>
      <c r="J4312" s="112"/>
      <c r="K4312" s="19"/>
      <c r="L4312" s="20"/>
      <c r="M4312" s="10"/>
      <c r="N4312" s="10"/>
      <c r="O4312" s="10"/>
      <c r="P4312" s="10"/>
      <c r="Q4312" s="10"/>
      <c r="R4312" s="10"/>
      <c r="S4312" s="10"/>
      <c r="T4312" s="10"/>
      <c r="U4312" s="10"/>
      <c r="V4312" s="10"/>
      <c r="W4312" s="10"/>
      <c r="X4312" s="10"/>
      <c r="Y4312" s="10"/>
      <c r="Z4312" s="10"/>
      <c r="AA4312" s="10"/>
      <c r="AB4312" s="10"/>
      <c r="AC4312" s="10"/>
      <c r="AD4312" s="10"/>
      <c r="AE4312" s="10"/>
      <c r="AF4312" s="10"/>
      <c r="AG4312" s="10"/>
      <c r="AH4312" s="10"/>
    </row>
    <row r="4313" spans="1:34" outlineLevel="2">
      <c r="A4313" s="21"/>
      <c r="B4313" s="12" t="str">
        <f>IFERROR(VLOOKUP(D4313,'[1]Перечень товаров'!$A$2:$I9525,2,0),"")</f>
        <v>т1</v>
      </c>
      <c r="C4313" s="12" t="str">
        <f>IFERROR(VLOOKUP(D4313,'[1]Перечень товаров'!$A$2:$I9525,3,0),"")</f>
        <v xml:space="preserve">Техника </v>
      </c>
      <c r="D4313" s="22" t="s">
        <v>28</v>
      </c>
      <c r="E4313" s="58"/>
      <c r="F4313" s="58"/>
      <c r="G4313" s="48">
        <v>1</v>
      </c>
      <c r="H4313" s="48"/>
      <c r="I4313" s="49"/>
      <c r="J4313" s="49"/>
      <c r="K4313" s="19"/>
      <c r="L4313" s="20"/>
      <c r="M4313" s="10"/>
      <c r="N4313" s="10"/>
      <c r="O4313" s="10"/>
      <c r="P4313" s="10"/>
      <c r="Q4313" s="10"/>
      <c r="R4313" s="10"/>
      <c r="S4313" s="10"/>
      <c r="T4313" s="10"/>
      <c r="U4313" s="10"/>
      <c r="V4313" s="10"/>
      <c r="W4313" s="10"/>
      <c r="X4313" s="10"/>
      <c r="Y4313" s="10"/>
      <c r="Z4313" s="10"/>
      <c r="AA4313" s="10"/>
      <c r="AB4313" s="10"/>
      <c r="AC4313" s="10"/>
      <c r="AD4313" s="10"/>
      <c r="AE4313" s="10"/>
      <c r="AF4313" s="10"/>
      <c r="AG4313" s="10"/>
      <c r="AH4313" s="10"/>
    </row>
    <row r="4314" spans="1:34" outlineLevel="2">
      <c r="A4314" s="143"/>
      <c r="B4314" s="12" t="str">
        <f>IFERROR(VLOOKUP(D4314,'[1]Перечень товаров'!$A$2:$I9525,2,0),"")</f>
        <v>т9</v>
      </c>
      <c r="C4314" s="12" t="str">
        <f>IFERROR(VLOOKUP(D4314,'[1]Перечень товаров'!$A$2:$I9525,3,0),"")</f>
        <v>Техника</v>
      </c>
      <c r="D4314" s="143" t="s">
        <v>36</v>
      </c>
      <c r="E4314" s="58"/>
      <c r="F4314" s="58"/>
      <c r="G4314" s="48">
        <v>1</v>
      </c>
      <c r="H4314" s="48"/>
      <c r="I4314" s="49"/>
      <c r="J4314" s="49"/>
      <c r="K4314" s="19"/>
      <c r="L4314" s="20"/>
      <c r="M4314" s="10"/>
      <c r="N4314" s="10"/>
      <c r="O4314" s="10"/>
      <c r="P4314" s="10"/>
      <c r="Q4314" s="10"/>
      <c r="R4314" s="10"/>
      <c r="S4314" s="10"/>
      <c r="T4314" s="10"/>
      <c r="U4314" s="10"/>
      <c r="V4314" s="10"/>
      <c r="W4314" s="10"/>
      <c r="X4314" s="10"/>
      <c r="Y4314" s="10"/>
      <c r="Z4314" s="10"/>
      <c r="AA4314" s="10"/>
      <c r="AB4314" s="10"/>
      <c r="AC4314" s="10"/>
      <c r="AD4314" s="10"/>
      <c r="AE4314" s="10"/>
      <c r="AF4314" s="10"/>
      <c r="AG4314" s="10"/>
      <c r="AH4314" s="10"/>
    </row>
    <row r="4315" spans="1:34" outlineLevel="2">
      <c r="A4315" s="35"/>
      <c r="B4315" s="12" t="str">
        <f>IFERROR(VLOOKUP(D4315,'[1]Перечень товаров'!$A$2:$I9525,2,0),"")</f>
        <v>т2</v>
      </c>
      <c r="C4315" s="12" t="str">
        <f>IFERROR(VLOOKUP(D4315,'[1]Перечень товаров'!$A$2:$I9525,3,0),"")</f>
        <v xml:space="preserve">Техника </v>
      </c>
      <c r="D4315" s="35" t="s">
        <v>29</v>
      </c>
      <c r="E4315" s="58"/>
      <c r="F4315" s="58"/>
      <c r="G4315" s="48">
        <v>1</v>
      </c>
      <c r="H4315" s="48"/>
      <c r="I4315" s="49"/>
      <c r="J4315" s="49"/>
      <c r="K4315" s="19"/>
      <c r="L4315" s="20"/>
      <c r="M4315" s="10"/>
      <c r="N4315" s="10"/>
      <c r="O4315" s="10"/>
      <c r="P4315" s="10"/>
      <c r="Q4315" s="10"/>
      <c r="R4315" s="10"/>
      <c r="S4315" s="10"/>
      <c r="T4315" s="10"/>
      <c r="U4315" s="10"/>
      <c r="V4315" s="10"/>
      <c r="W4315" s="10"/>
      <c r="X4315" s="10"/>
      <c r="Y4315" s="10"/>
      <c r="Z4315" s="10"/>
      <c r="AA4315" s="10"/>
      <c r="AB4315" s="10"/>
      <c r="AC4315" s="10"/>
      <c r="AD4315" s="10"/>
      <c r="AE4315" s="10"/>
      <c r="AF4315" s="10"/>
      <c r="AG4315" s="10"/>
      <c r="AH4315" s="10"/>
    </row>
    <row r="4316" spans="1:34" outlineLevel="2">
      <c r="A4316" s="35"/>
      <c r="B4316" s="12" t="str">
        <f>IFERROR(VLOOKUP(D4316,'[1]Перечень товаров'!$A$2:$I9525,2,0),"")</f>
        <v>т3</v>
      </c>
      <c r="C4316" s="12" t="str">
        <f>IFERROR(VLOOKUP(D4316,'[1]Перечень товаров'!$A$2:$I9525,3,0),"")</f>
        <v xml:space="preserve">Техника </v>
      </c>
      <c r="D4316" s="35" t="s">
        <v>30</v>
      </c>
      <c r="E4316" s="58"/>
      <c r="F4316" s="58"/>
      <c r="G4316" s="48">
        <v>1</v>
      </c>
      <c r="H4316" s="48"/>
      <c r="I4316" s="49"/>
      <c r="J4316" s="49"/>
      <c r="K4316" s="19"/>
      <c r="L4316" s="20"/>
      <c r="M4316" s="10"/>
      <c r="N4316" s="10"/>
      <c r="O4316" s="10"/>
      <c r="P4316" s="10"/>
      <c r="Q4316" s="10"/>
      <c r="R4316" s="10"/>
      <c r="S4316" s="10"/>
      <c r="T4316" s="10"/>
      <c r="U4316" s="10"/>
      <c r="V4316" s="10"/>
      <c r="W4316" s="10"/>
      <c r="X4316" s="10"/>
      <c r="Y4316" s="10"/>
      <c r="Z4316" s="10"/>
      <c r="AA4316" s="10"/>
      <c r="AB4316" s="10"/>
      <c r="AC4316" s="10"/>
      <c r="AD4316" s="10"/>
      <c r="AE4316" s="10"/>
      <c r="AF4316" s="10"/>
      <c r="AG4316" s="10"/>
      <c r="AH4316" s="10"/>
    </row>
    <row r="4317" spans="1:34" outlineLevel="2">
      <c r="A4317" s="35"/>
      <c r="B4317" s="12" t="str">
        <f>IFERROR(VLOOKUP(D4317,'[1]Перечень товаров'!$A$2:$I9525,2,0),"")</f>
        <v>т4</v>
      </c>
      <c r="C4317" s="12" t="str">
        <f>IFERROR(VLOOKUP(D4317,'[1]Перечень товаров'!$A$2:$I9525,3,0),"")</f>
        <v xml:space="preserve">Техника </v>
      </c>
      <c r="D4317" s="35" t="s">
        <v>31</v>
      </c>
      <c r="E4317" s="58"/>
      <c r="F4317" s="58"/>
      <c r="G4317" s="48">
        <v>1</v>
      </c>
      <c r="H4317" s="48"/>
      <c r="I4317" s="49"/>
      <c r="J4317" s="49"/>
      <c r="K4317" s="19"/>
      <c r="L4317" s="20"/>
      <c r="M4317" s="10"/>
      <c r="N4317" s="10"/>
      <c r="O4317" s="10"/>
      <c r="P4317" s="10"/>
      <c r="Q4317" s="10"/>
      <c r="R4317" s="10"/>
      <c r="S4317" s="10"/>
      <c r="T4317" s="10"/>
      <c r="U4317" s="10"/>
      <c r="V4317" s="10"/>
      <c r="W4317" s="10"/>
      <c r="X4317" s="10"/>
      <c r="Y4317" s="10"/>
      <c r="Z4317" s="10"/>
      <c r="AA4317" s="10"/>
      <c r="AB4317" s="10"/>
      <c r="AC4317" s="10"/>
      <c r="AD4317" s="10"/>
      <c r="AE4317" s="10"/>
      <c r="AF4317" s="10"/>
      <c r="AG4317" s="10"/>
      <c r="AH4317" s="10"/>
    </row>
    <row r="4318" spans="1:34" outlineLevel="2">
      <c r="A4318" s="21"/>
      <c r="B4318" s="12" t="str">
        <f>IFERROR(VLOOKUP(D4318,'[1]Перечень товаров'!$A$2:$I9525,2,0),"")</f>
        <v>тм65</v>
      </c>
      <c r="C4318" s="12" t="str">
        <f>IFERROR(VLOOKUP(D4318,'[1]Перечень товаров'!$A$2:$I9525,3,0),"")</f>
        <v>Техника муз</v>
      </c>
      <c r="D4318" s="22" t="s">
        <v>380</v>
      </c>
      <c r="E4318" s="58"/>
      <c r="F4318" s="58"/>
      <c r="G4318" s="48">
        <v>1</v>
      </c>
      <c r="H4318" s="48"/>
      <c r="I4318" s="49"/>
      <c r="J4318" s="49"/>
      <c r="K4318" s="19"/>
      <c r="L4318" s="20"/>
      <c r="M4318" s="10"/>
      <c r="N4318" s="10"/>
      <c r="O4318" s="10"/>
      <c r="P4318" s="10"/>
      <c r="Q4318" s="10"/>
      <c r="R4318" s="10"/>
      <c r="S4318" s="10"/>
      <c r="T4318" s="10"/>
      <c r="U4318" s="10"/>
      <c r="V4318" s="10"/>
      <c r="W4318" s="10"/>
      <c r="X4318" s="10"/>
      <c r="Y4318" s="10"/>
      <c r="Z4318" s="10"/>
      <c r="AA4318" s="10"/>
      <c r="AB4318" s="10"/>
      <c r="AC4318" s="10"/>
      <c r="AD4318" s="10"/>
      <c r="AE4318" s="10"/>
      <c r="AF4318" s="10"/>
      <c r="AG4318" s="10"/>
      <c r="AH4318" s="10"/>
    </row>
    <row r="4319" spans="1:34" outlineLevel="2">
      <c r="A4319" s="21"/>
      <c r="B4319" s="12" t="str">
        <f>IFERROR(VLOOKUP(D4319,'[1]Перечень товаров'!$A$2:$I9525,2,0),"")</f>
        <v>т12</v>
      </c>
      <c r="C4319" s="12" t="str">
        <f>IFERROR(VLOOKUP(D4319,'[1]Перечень товаров'!$A$2:$I9525,3,0),"")</f>
        <v>Техника</v>
      </c>
      <c r="D4319" s="22" t="s">
        <v>49</v>
      </c>
      <c r="E4319" s="58"/>
      <c r="F4319" s="58"/>
      <c r="G4319" s="48">
        <v>1</v>
      </c>
      <c r="H4319" s="48"/>
      <c r="I4319" s="49"/>
      <c r="J4319" s="49"/>
      <c r="K4319" s="19"/>
      <c r="L4319" s="20"/>
      <c r="M4319" s="10"/>
      <c r="N4319" s="10"/>
      <c r="O4319" s="10"/>
      <c r="P4319" s="10"/>
      <c r="Q4319" s="10"/>
      <c r="R4319" s="10"/>
      <c r="S4319" s="10"/>
      <c r="T4319" s="10"/>
      <c r="U4319" s="10"/>
      <c r="V4319" s="10"/>
      <c r="W4319" s="10"/>
      <c r="X4319" s="10"/>
      <c r="Y4319" s="10"/>
      <c r="Z4319" s="10"/>
      <c r="AA4319" s="10"/>
      <c r="AB4319" s="10"/>
      <c r="AC4319" s="10"/>
      <c r="AD4319" s="10"/>
      <c r="AE4319" s="10"/>
      <c r="AF4319" s="10"/>
      <c r="AG4319" s="10"/>
      <c r="AH4319" s="10"/>
    </row>
    <row r="4320" spans="1:34" outlineLevel="2">
      <c r="A4320" s="35"/>
      <c r="B4320" s="12" t="str">
        <f>IFERROR(VLOOKUP(D4320,'[1]Перечень товаров'!$A$2:$I9525,2,0),"")</f>
        <v>т6</v>
      </c>
      <c r="C4320" s="12" t="str">
        <f>IFERROR(VLOOKUP(D4320,'[1]Перечень товаров'!$A$2:$I9525,3,0),"")</f>
        <v xml:space="preserve">Техника </v>
      </c>
      <c r="D4320" s="35" t="s">
        <v>33</v>
      </c>
      <c r="E4320" s="58"/>
      <c r="F4320" s="58"/>
      <c r="G4320" s="48">
        <v>1</v>
      </c>
      <c r="H4320" s="48"/>
      <c r="I4320" s="49"/>
      <c r="J4320" s="49"/>
      <c r="K4320" s="19"/>
      <c r="L4320" s="20"/>
      <c r="M4320" s="10"/>
      <c r="N4320" s="10"/>
      <c r="O4320" s="10"/>
      <c r="P4320" s="10"/>
      <c r="Q4320" s="10"/>
      <c r="R4320" s="10"/>
      <c r="S4320" s="10"/>
      <c r="T4320" s="10"/>
      <c r="U4320" s="10"/>
      <c r="V4320" s="10"/>
      <c r="W4320" s="10"/>
      <c r="X4320" s="10"/>
      <c r="Y4320" s="10"/>
      <c r="Z4320" s="10"/>
      <c r="AA4320" s="10"/>
      <c r="AB4320" s="10"/>
      <c r="AC4320" s="10"/>
      <c r="AD4320" s="10"/>
      <c r="AE4320" s="10"/>
      <c r="AF4320" s="10"/>
      <c r="AG4320" s="10"/>
      <c r="AH4320" s="10"/>
    </row>
    <row r="4321" spans="1:34" outlineLevel="2">
      <c r="A4321" s="21"/>
      <c r="B4321" s="12" t="str">
        <f>IFERROR(VLOOKUP(D4321,'[1]Перечень товаров'!$A$2:$I9525,2,0),"")</f>
        <v>т7</v>
      </c>
      <c r="C4321" s="12" t="str">
        <f>IFERROR(VLOOKUP(D4321,'[1]Перечень товаров'!$A$2:$I9525,3,0),"")</f>
        <v xml:space="preserve">Техника </v>
      </c>
      <c r="D4321" s="22" t="s">
        <v>34</v>
      </c>
      <c r="E4321" s="58"/>
      <c r="F4321" s="58"/>
      <c r="G4321" s="48">
        <v>3</v>
      </c>
      <c r="H4321" s="48"/>
      <c r="I4321" s="49"/>
      <c r="J4321" s="49"/>
      <c r="K4321" s="19"/>
      <c r="L4321" s="20"/>
      <c r="M4321" s="10"/>
      <c r="N4321" s="10"/>
      <c r="O4321" s="10"/>
      <c r="P4321" s="10"/>
      <c r="Q4321" s="10"/>
      <c r="R4321" s="10"/>
      <c r="S4321" s="10"/>
      <c r="T4321" s="10"/>
      <c r="U4321" s="10"/>
      <c r="V4321" s="10"/>
      <c r="W4321" s="10"/>
      <c r="X4321" s="10"/>
      <c r="Y4321" s="10"/>
      <c r="Z4321" s="10"/>
      <c r="AA4321" s="10"/>
      <c r="AB4321" s="10"/>
      <c r="AC4321" s="10"/>
      <c r="AD4321" s="10"/>
      <c r="AE4321" s="10"/>
      <c r="AF4321" s="10"/>
      <c r="AG4321" s="10"/>
      <c r="AH4321" s="10"/>
    </row>
    <row r="4322" spans="1:34" outlineLevel="2">
      <c r="A4322" s="28"/>
      <c r="B4322" s="12" t="str">
        <f>IFERROR(VLOOKUP(D4322,'[1]Перечень товаров'!$A$2:$I9525,2,0),"")</f>
        <v>т161</v>
      </c>
      <c r="C4322" s="12" t="str">
        <f>IFERROR(VLOOKUP(D4322,'[1]Перечень товаров'!$A$2:$I9525,3,0),"")</f>
        <v xml:space="preserve">Техника </v>
      </c>
      <c r="D4322" s="29" t="s">
        <v>381</v>
      </c>
      <c r="E4322" s="30"/>
      <c r="F4322" s="30"/>
      <c r="G4322" s="59">
        <v>1</v>
      </c>
      <c r="H4322" s="59"/>
      <c r="I4322" s="60"/>
      <c r="J4322" s="60"/>
      <c r="K4322" s="19"/>
      <c r="L4322" s="20"/>
      <c r="M4322" s="10"/>
      <c r="N4322" s="10"/>
      <c r="O4322" s="10"/>
      <c r="P4322" s="10"/>
      <c r="Q4322" s="10"/>
      <c r="R4322" s="10"/>
      <c r="S4322" s="10"/>
      <c r="T4322" s="10"/>
      <c r="U4322" s="10"/>
      <c r="V4322" s="10"/>
      <c r="W4322" s="10"/>
      <c r="X4322" s="10"/>
      <c r="Y4322" s="10"/>
      <c r="Z4322" s="10"/>
      <c r="AA4322" s="10"/>
      <c r="AB4322" s="10"/>
      <c r="AC4322" s="10"/>
      <c r="AD4322" s="10"/>
      <c r="AE4322" s="10"/>
      <c r="AF4322" s="10"/>
      <c r="AG4322" s="10"/>
      <c r="AH4322" s="10"/>
    </row>
    <row r="4323" spans="1:34" outlineLevel="2">
      <c r="A4323" s="113"/>
      <c r="B4323" s="12" t="str">
        <f>IFERROR(VLOOKUP(D4323,'[1]Перечень товаров'!$A$2:$I9525,2,0),"")</f>
        <v/>
      </c>
      <c r="C4323" s="12" t="str">
        <f>IFERROR(VLOOKUP(D4323,'[1]Перечень товаров'!$A$2:$I9525,3,0),"")</f>
        <v/>
      </c>
      <c r="D4323" s="114" t="s">
        <v>19</v>
      </c>
      <c r="E4323" s="115"/>
      <c r="F4323" s="115"/>
      <c r="G4323" s="59"/>
      <c r="H4323" s="59"/>
      <c r="I4323" s="60"/>
      <c r="J4323" s="60"/>
      <c r="K4323" s="19"/>
      <c r="L4323" s="20"/>
      <c r="M4323" s="10"/>
      <c r="N4323" s="10"/>
      <c r="O4323" s="10"/>
      <c r="P4323" s="10"/>
      <c r="Q4323" s="10"/>
      <c r="R4323" s="10"/>
      <c r="S4323" s="10"/>
      <c r="T4323" s="10"/>
      <c r="U4323" s="10"/>
      <c r="V4323" s="10"/>
      <c r="W4323" s="10"/>
      <c r="X4323" s="10"/>
      <c r="Y4323" s="10"/>
      <c r="Z4323" s="10"/>
      <c r="AA4323" s="10"/>
      <c r="AB4323" s="10"/>
      <c r="AC4323" s="10"/>
      <c r="AD4323" s="10"/>
      <c r="AE4323" s="10"/>
      <c r="AF4323" s="10"/>
      <c r="AG4323" s="10"/>
      <c r="AH4323" s="10"/>
    </row>
    <row r="4324" spans="1:34" outlineLevel="2">
      <c r="A4324" s="34"/>
      <c r="B4324" s="12" t="str">
        <f>IFERROR(VLOOKUP(D4324,'[1]Перечень товаров'!$A$2:$I9525,2,0),"")</f>
        <v>м62</v>
      </c>
      <c r="C4324" s="12" t="str">
        <f>IFERROR(VLOOKUP(D4324,'[1]Перечень товаров'!$A$2:$I9525,3,0),"")</f>
        <v>Мебель</v>
      </c>
      <c r="D4324" s="35" t="s">
        <v>398</v>
      </c>
      <c r="E4324" s="88"/>
      <c r="F4324" s="88"/>
      <c r="G4324" s="59">
        <v>1</v>
      </c>
      <c r="H4324" s="59"/>
      <c r="I4324" s="60"/>
      <c r="J4324" s="60"/>
      <c r="K4324" s="19"/>
      <c r="L4324" s="20"/>
      <c r="M4324" s="10"/>
      <c r="N4324" s="10"/>
      <c r="O4324" s="10"/>
      <c r="P4324" s="10"/>
      <c r="Q4324" s="10"/>
      <c r="R4324" s="10"/>
      <c r="S4324" s="10"/>
      <c r="T4324" s="10"/>
      <c r="U4324" s="10"/>
      <c r="V4324" s="10"/>
      <c r="W4324" s="10"/>
      <c r="X4324" s="10"/>
      <c r="Y4324" s="10"/>
      <c r="Z4324" s="10"/>
      <c r="AA4324" s="10"/>
      <c r="AB4324" s="10"/>
      <c r="AC4324" s="10"/>
      <c r="AD4324" s="10"/>
      <c r="AE4324" s="10"/>
      <c r="AF4324" s="10"/>
      <c r="AG4324" s="10"/>
      <c r="AH4324" s="10"/>
    </row>
    <row r="4325" spans="1:34" outlineLevel="2">
      <c r="A4325" s="34"/>
      <c r="B4325" s="12" t="str">
        <f>IFERROR(VLOOKUP(D4325,'[1]Перечень товаров'!$A$2:$I9525,2,0),"")</f>
        <v>м61</v>
      </c>
      <c r="C4325" s="12" t="str">
        <f>IFERROR(VLOOKUP(D4325,'[1]Перечень товаров'!$A$2:$I9525,3,0),"")</f>
        <v>Мебель</v>
      </c>
      <c r="D4325" s="35" t="s">
        <v>383</v>
      </c>
      <c r="E4325" s="88"/>
      <c r="F4325" s="88"/>
      <c r="G4325" s="59">
        <v>1</v>
      </c>
      <c r="H4325" s="59"/>
      <c r="I4325" s="60"/>
      <c r="J4325" s="60"/>
      <c r="K4325" s="19"/>
      <c r="L4325" s="20"/>
      <c r="M4325" s="10"/>
      <c r="N4325" s="10"/>
      <c r="O4325" s="10"/>
      <c r="P4325" s="10"/>
      <c r="Q4325" s="10"/>
      <c r="R4325" s="10"/>
      <c r="S4325" s="10"/>
      <c r="T4325" s="10"/>
      <c r="U4325" s="10"/>
      <c r="V4325" s="10"/>
      <c r="W4325" s="10"/>
      <c r="X4325" s="10"/>
      <c r="Y4325" s="10"/>
      <c r="Z4325" s="10"/>
      <c r="AA4325" s="10"/>
      <c r="AB4325" s="10"/>
      <c r="AC4325" s="10"/>
      <c r="AD4325" s="10"/>
      <c r="AE4325" s="10"/>
      <c r="AF4325" s="10"/>
      <c r="AG4325" s="10"/>
      <c r="AH4325" s="10"/>
    </row>
    <row r="4326" spans="1:34" outlineLevel="2">
      <c r="A4326" s="34"/>
      <c r="B4326" s="12" t="str">
        <f>IFERROR(VLOOKUP(D4326,'[1]Перечень товаров'!$A$2:$I9525,2,0),"")</f>
        <v>м179</v>
      </c>
      <c r="C4326" s="12" t="str">
        <f>IFERROR(VLOOKUP(D4326,'[1]Перечень товаров'!$A$2:$I9525,3,0),"")</f>
        <v>Мебель</v>
      </c>
      <c r="D4326" s="35" t="s">
        <v>579</v>
      </c>
      <c r="E4326" s="88"/>
      <c r="F4326" s="88"/>
      <c r="G4326" s="59">
        <v>10</v>
      </c>
      <c r="H4326" s="59"/>
      <c r="I4326" s="60"/>
      <c r="J4326" s="60"/>
      <c r="K4326" s="19"/>
      <c r="L4326" s="20"/>
      <c r="M4326" s="10"/>
      <c r="N4326" s="10"/>
      <c r="O4326" s="10"/>
      <c r="P4326" s="10"/>
      <c r="Q4326" s="10"/>
      <c r="R4326" s="10"/>
      <c r="S4326" s="10"/>
      <c r="T4326" s="10"/>
      <c r="U4326" s="10"/>
      <c r="V4326" s="10"/>
      <c r="W4326" s="10"/>
      <c r="X4326" s="10"/>
      <c r="Y4326" s="10"/>
      <c r="Z4326" s="10"/>
      <c r="AA4326" s="10"/>
      <c r="AB4326" s="10"/>
      <c r="AC4326" s="10"/>
      <c r="AD4326" s="10"/>
      <c r="AE4326" s="10"/>
      <c r="AF4326" s="10"/>
      <c r="AG4326" s="10"/>
      <c r="AH4326" s="10"/>
    </row>
    <row r="4327" spans="1:34" outlineLevel="2">
      <c r="A4327" s="34"/>
      <c r="B4327" s="12" t="str">
        <f>IFERROR(VLOOKUP(D4327,'[1]Перечень товаров'!$A$2:$I9525,2,0),"")</f>
        <v>м61</v>
      </c>
      <c r="C4327" s="12" t="str">
        <f>IFERROR(VLOOKUP(D4327,'[1]Перечень товаров'!$A$2:$I9525,3,0),"")</f>
        <v>Мебель</v>
      </c>
      <c r="D4327" s="35" t="s">
        <v>384</v>
      </c>
      <c r="E4327" s="88"/>
      <c r="F4327" s="88"/>
      <c r="G4327" s="59">
        <v>20</v>
      </c>
      <c r="H4327" s="59"/>
      <c r="I4327" s="60"/>
      <c r="J4327" s="60"/>
      <c r="K4327" s="19"/>
      <c r="L4327" s="20"/>
      <c r="M4327" s="10"/>
      <c r="N4327" s="10"/>
      <c r="O4327" s="10"/>
      <c r="P4327" s="10"/>
      <c r="Q4327" s="10"/>
      <c r="R4327" s="10"/>
      <c r="S4327" s="10"/>
      <c r="T4327" s="10"/>
      <c r="U4327" s="10"/>
      <c r="V4327" s="10"/>
      <c r="W4327" s="10"/>
      <c r="X4327" s="10"/>
      <c r="Y4327" s="10"/>
      <c r="Z4327" s="10"/>
      <c r="AA4327" s="10"/>
      <c r="AB4327" s="10"/>
      <c r="AC4327" s="10"/>
      <c r="AD4327" s="10"/>
      <c r="AE4327" s="10"/>
      <c r="AF4327" s="10"/>
      <c r="AG4327" s="10"/>
      <c r="AH4327" s="10"/>
    </row>
    <row r="4328" spans="1:34" outlineLevel="2">
      <c r="A4328" s="21"/>
      <c r="B4328" s="12" t="str">
        <f>IFERROR(VLOOKUP(D4328,'[1]Перечень товаров'!$A$2:$I9525,2,0),"")</f>
        <v>м13</v>
      </c>
      <c r="C4328" s="12" t="str">
        <f>IFERROR(VLOOKUP(D4328,'[1]Перечень товаров'!$A$2:$I9525,3,0),"")</f>
        <v>Мебель</v>
      </c>
      <c r="D4328" s="22" t="s">
        <v>42</v>
      </c>
      <c r="E4328" s="58"/>
      <c r="F4328" s="58"/>
      <c r="G4328" s="24">
        <v>1</v>
      </c>
      <c r="H4328" s="24"/>
      <c r="I4328" s="25"/>
      <c r="J4328" s="25"/>
      <c r="K4328" s="19"/>
      <c r="L4328" s="20"/>
      <c r="M4328" s="10"/>
      <c r="N4328" s="10"/>
      <c r="O4328" s="10"/>
      <c r="P4328" s="10"/>
      <c r="Q4328" s="10"/>
      <c r="R4328" s="10"/>
      <c r="S4328" s="10"/>
      <c r="T4328" s="10"/>
      <c r="U4328" s="10"/>
      <c r="V4328" s="10"/>
      <c r="W4328" s="10"/>
      <c r="X4328" s="10"/>
      <c r="Y4328" s="10"/>
      <c r="Z4328" s="10"/>
      <c r="AA4328" s="10"/>
      <c r="AB4328" s="10"/>
      <c r="AC4328" s="10"/>
      <c r="AD4328" s="10"/>
      <c r="AE4328" s="10"/>
      <c r="AF4328" s="10"/>
      <c r="AG4328" s="10"/>
      <c r="AH4328" s="10"/>
    </row>
    <row r="4329" spans="1:34" outlineLevel="2">
      <c r="A4329" s="21"/>
      <c r="B4329" s="12" t="str">
        <f>IFERROR(VLOOKUP(D4329,'[1]Перечень товаров'!$A$2:$I9525,2,0),"")</f>
        <v>м14</v>
      </c>
      <c r="C4329" s="12" t="str">
        <f>IFERROR(VLOOKUP(D4329,'[1]Перечень товаров'!$A$2:$I9525,3,0),"")</f>
        <v>Мебель</v>
      </c>
      <c r="D4329" s="22" t="s">
        <v>43</v>
      </c>
      <c r="E4329" s="58"/>
      <c r="F4329" s="58"/>
      <c r="G4329" s="24">
        <v>1</v>
      </c>
      <c r="H4329" s="24"/>
      <c r="I4329" s="25"/>
      <c r="J4329" s="25"/>
      <c r="K4329" s="19"/>
      <c r="L4329" s="20"/>
      <c r="M4329" s="10"/>
      <c r="N4329" s="10"/>
      <c r="O4329" s="10"/>
      <c r="P4329" s="10"/>
      <c r="Q4329" s="10"/>
      <c r="R4329" s="10"/>
      <c r="S4329" s="10"/>
      <c r="T4329" s="10"/>
      <c r="U4329" s="10"/>
      <c r="V4329" s="10"/>
      <c r="W4329" s="10"/>
      <c r="X4329" s="10"/>
      <c r="Y4329" s="10"/>
      <c r="Z4329" s="10"/>
      <c r="AA4329" s="10"/>
      <c r="AB4329" s="10"/>
      <c r="AC4329" s="10"/>
      <c r="AD4329" s="10"/>
      <c r="AE4329" s="10"/>
      <c r="AF4329" s="10"/>
      <c r="AG4329" s="10"/>
      <c r="AH4329" s="10"/>
    </row>
    <row r="4330" spans="1:34" outlineLevel="2">
      <c r="A4330" s="21"/>
      <c r="B4330" s="12" t="str">
        <f>IFERROR(VLOOKUP(D4330,'[1]Перечень товаров'!$A$2:$I9525,2,0),"")</f>
        <v>п2</v>
      </c>
      <c r="C4330" s="12" t="str">
        <f>IFERROR(VLOOKUP(D4330,'[1]Перечень товаров'!$A$2:$I9525,3,0),"")</f>
        <v>Прочее</v>
      </c>
      <c r="D4330" s="22" t="s">
        <v>46</v>
      </c>
      <c r="E4330" s="58"/>
      <c r="F4330" s="58"/>
      <c r="G4330" s="24">
        <v>1</v>
      </c>
      <c r="H4330" s="24"/>
      <c r="I4330" s="25"/>
      <c r="J4330" s="25"/>
      <c r="K4330" s="19"/>
      <c r="L4330" s="20"/>
      <c r="M4330" s="10"/>
      <c r="N4330" s="10"/>
      <c r="O4330" s="10"/>
      <c r="P4330" s="10"/>
      <c r="Q4330" s="10"/>
      <c r="R4330" s="10"/>
      <c r="S4330" s="10"/>
      <c r="T4330" s="10"/>
      <c r="U4330" s="10"/>
      <c r="V4330" s="10"/>
      <c r="W4330" s="10"/>
      <c r="X4330" s="10"/>
      <c r="Y4330" s="10"/>
      <c r="Z4330" s="10"/>
      <c r="AA4330" s="10"/>
      <c r="AB4330" s="10"/>
      <c r="AC4330" s="10"/>
      <c r="AD4330" s="10"/>
      <c r="AE4330" s="10"/>
      <c r="AF4330" s="10"/>
      <c r="AG4330" s="10"/>
      <c r="AH4330" s="10"/>
    </row>
    <row r="4331" spans="1:34" ht="31.5" outlineLevel="2">
      <c r="A4331" s="155"/>
      <c r="B4331" s="12" t="str">
        <f>IFERROR(VLOOKUP(D4331,'[1]Перечень товаров'!$A$2:$I9525,2,0),"")</f>
        <v>м21</v>
      </c>
      <c r="C4331" s="12" t="str">
        <f>IFERROR(VLOOKUP(D4331,'[1]Перечень товаров'!$A$2:$I9525,3,0),"")</f>
        <v>Мебель</v>
      </c>
      <c r="D4331" s="156" t="s">
        <v>58</v>
      </c>
      <c r="E4331" s="58"/>
      <c r="F4331" s="58"/>
      <c r="G4331" s="24">
        <v>1</v>
      </c>
      <c r="H4331" s="24"/>
      <c r="I4331" s="25"/>
      <c r="J4331" s="25"/>
      <c r="K4331" s="19"/>
      <c r="L4331" s="20"/>
      <c r="M4331" s="10"/>
      <c r="N4331" s="10"/>
      <c r="O4331" s="10"/>
      <c r="P4331" s="10"/>
      <c r="Q4331" s="10"/>
      <c r="R4331" s="10"/>
      <c r="S4331" s="10"/>
      <c r="T4331" s="10"/>
      <c r="U4331" s="10"/>
      <c r="V4331" s="10"/>
      <c r="W4331" s="10"/>
      <c r="X4331" s="10"/>
      <c r="Y4331" s="10"/>
      <c r="Z4331" s="10"/>
      <c r="AA4331" s="10"/>
      <c r="AB4331" s="10"/>
      <c r="AC4331" s="10"/>
      <c r="AD4331" s="10"/>
      <c r="AE4331" s="10"/>
      <c r="AF4331" s="10"/>
      <c r="AG4331" s="10"/>
      <c r="AH4331" s="10"/>
    </row>
    <row r="4332" spans="1:34" outlineLevel="2">
      <c r="A4332" s="116"/>
      <c r="B4332" s="12" t="str">
        <f>IFERROR(VLOOKUP(D4332,'[1]Перечень товаров'!$A$2:$I9525,2,0),"")</f>
        <v/>
      </c>
      <c r="C4332" s="12" t="str">
        <f>IFERROR(VLOOKUP(D4332,'[1]Перечень товаров'!$A$2:$I9525,3,0),"")</f>
        <v/>
      </c>
      <c r="D4332" s="117" t="s">
        <v>391</v>
      </c>
      <c r="E4332" s="217"/>
      <c r="F4332" s="217"/>
      <c r="G4332" s="59"/>
      <c r="H4332" s="59"/>
      <c r="I4332" s="60"/>
      <c r="J4332" s="60"/>
      <c r="K4332" s="19"/>
      <c r="L4332" s="20"/>
      <c r="M4332" s="10"/>
      <c r="N4332" s="10"/>
      <c r="O4332" s="10"/>
      <c r="P4332" s="10"/>
      <c r="Q4332" s="10"/>
      <c r="R4332" s="10"/>
      <c r="S4332" s="10"/>
      <c r="T4332" s="10"/>
      <c r="U4332" s="10"/>
      <c r="V4332" s="10"/>
      <c r="W4332" s="10"/>
      <c r="X4332" s="10"/>
      <c r="Y4332" s="10"/>
      <c r="Z4332" s="10"/>
      <c r="AA4332" s="10"/>
      <c r="AB4332" s="10"/>
      <c r="AC4332" s="10"/>
      <c r="AD4332" s="10"/>
      <c r="AE4332" s="10"/>
      <c r="AF4332" s="10"/>
      <c r="AG4332" s="10"/>
      <c r="AH4332" s="10"/>
    </row>
    <row r="4333" spans="1:34" outlineLevel="2">
      <c r="A4333" s="28"/>
      <c r="B4333" s="12" t="str">
        <f>IFERROR(VLOOKUP(D4333,'[1]Перечень товаров'!$A$2:$I9525,2,0),"")</f>
        <v>мм1</v>
      </c>
      <c r="C4333" s="12" t="str">
        <f>IFERROR(VLOOKUP(D4333,'[1]Перечень товаров'!$A$2:$I9525,3,0),"")</f>
        <v>Мебель муз</v>
      </c>
      <c r="D4333" s="29" t="s">
        <v>1134</v>
      </c>
      <c r="E4333" s="30"/>
      <c r="F4333" s="30"/>
      <c r="G4333" s="59">
        <v>1</v>
      </c>
      <c r="H4333" s="59"/>
      <c r="I4333" s="60"/>
      <c r="J4333" s="60"/>
      <c r="K4333" s="19"/>
      <c r="L4333" s="20"/>
      <c r="M4333" s="10"/>
      <c r="N4333" s="10"/>
      <c r="O4333" s="10"/>
      <c r="P4333" s="10"/>
      <c r="Q4333" s="10"/>
      <c r="R4333" s="10"/>
      <c r="S4333" s="10"/>
      <c r="T4333" s="10"/>
      <c r="U4333" s="10"/>
      <c r="V4333" s="10"/>
      <c r="W4333" s="10"/>
      <c r="X4333" s="10"/>
      <c r="Y4333" s="10"/>
      <c r="Z4333" s="10"/>
      <c r="AA4333" s="10"/>
      <c r="AB4333" s="10"/>
      <c r="AC4333" s="10"/>
      <c r="AD4333" s="10"/>
      <c r="AE4333" s="10"/>
      <c r="AF4333" s="10"/>
      <c r="AG4333" s="10"/>
      <c r="AH4333" s="10"/>
    </row>
    <row r="4334" spans="1:34" ht="47.25" outlineLevel="2">
      <c r="A4334" s="28"/>
      <c r="B4334" s="12" t="str">
        <f>IFERROR(VLOOKUP(D4334,'[1]Перечень товаров'!$A$2:$I9525,2,0),"")</f>
        <v>пм168</v>
      </c>
      <c r="C4334" s="12" t="str">
        <f>IFERROR(VLOOKUP(D4334,'[1]Перечень товаров'!$A$2:$I9525,3,0),"")</f>
        <v>прочее муз</v>
      </c>
      <c r="D4334" s="29" t="s">
        <v>1135</v>
      </c>
      <c r="E4334" s="30"/>
      <c r="F4334" s="30"/>
      <c r="G4334" s="59">
        <v>4</v>
      </c>
      <c r="H4334" s="59"/>
      <c r="I4334" s="60"/>
      <c r="J4334" s="60"/>
      <c r="K4334" s="19"/>
      <c r="L4334" s="20"/>
      <c r="M4334" s="10"/>
      <c r="N4334" s="10"/>
      <c r="O4334" s="10"/>
      <c r="P4334" s="10"/>
      <c r="Q4334" s="10"/>
      <c r="R4334" s="10"/>
      <c r="S4334" s="10"/>
      <c r="T4334" s="10"/>
      <c r="U4334" s="10"/>
      <c r="V4334" s="10"/>
      <c r="W4334" s="10"/>
      <c r="X4334" s="10"/>
      <c r="Y4334" s="10"/>
      <c r="Z4334" s="10"/>
      <c r="AA4334" s="10"/>
      <c r="AB4334" s="10"/>
      <c r="AC4334" s="10"/>
      <c r="AD4334" s="10"/>
      <c r="AE4334" s="10"/>
      <c r="AF4334" s="10"/>
      <c r="AG4334" s="10"/>
      <c r="AH4334" s="10"/>
    </row>
    <row r="4335" spans="1:34" outlineLevel="2">
      <c r="A4335" s="28"/>
      <c r="B4335" s="12" t="str">
        <f>IFERROR(VLOOKUP(D4335,'[1]Перечень товаров'!$A$2:$I9525,2,0),"")</f>
        <v>пм167</v>
      </c>
      <c r="C4335" s="12" t="str">
        <f>IFERROR(VLOOKUP(D4335,'[1]Перечень товаров'!$A$2:$I9525,3,0),"")</f>
        <v>прочее муз</v>
      </c>
      <c r="D4335" s="29" t="s">
        <v>1136</v>
      </c>
      <c r="E4335" s="30"/>
      <c r="F4335" s="30"/>
      <c r="G4335" s="59">
        <v>1</v>
      </c>
      <c r="H4335" s="59"/>
      <c r="I4335" s="60"/>
      <c r="J4335" s="60"/>
      <c r="K4335" s="19"/>
      <c r="L4335" s="20"/>
      <c r="M4335" s="10"/>
      <c r="N4335" s="10"/>
      <c r="O4335" s="10"/>
      <c r="P4335" s="10"/>
      <c r="Q4335" s="10"/>
      <c r="R4335" s="10"/>
      <c r="S4335" s="10"/>
      <c r="T4335" s="10"/>
      <c r="U4335" s="10"/>
      <c r="V4335" s="10"/>
      <c r="W4335" s="10"/>
      <c r="X4335" s="10"/>
      <c r="Y4335" s="10"/>
      <c r="Z4335" s="10"/>
      <c r="AA4335" s="10"/>
      <c r="AB4335" s="10"/>
      <c r="AC4335" s="10"/>
      <c r="AD4335" s="10"/>
      <c r="AE4335" s="10"/>
      <c r="AF4335" s="10"/>
      <c r="AG4335" s="10"/>
      <c r="AH4335" s="10"/>
    </row>
    <row r="4336" spans="1:34" ht="31.5" outlineLevel="2">
      <c r="A4336" s="28"/>
      <c r="B4336" s="12" t="str">
        <f>IFERROR(VLOOKUP(D4336,'[1]Перечень товаров'!$A$2:$I9525,2,0),"")</f>
        <v>пм166</v>
      </c>
      <c r="C4336" s="12" t="str">
        <f>IFERROR(VLOOKUP(D4336,'[1]Перечень товаров'!$A$2:$I9525,3,0),"")</f>
        <v>прочее муз</v>
      </c>
      <c r="D4336" s="29" t="s">
        <v>1137</v>
      </c>
      <c r="E4336" s="30"/>
      <c r="F4336" s="30"/>
      <c r="G4336" s="59">
        <v>1</v>
      </c>
      <c r="H4336" s="59"/>
      <c r="I4336" s="60"/>
      <c r="J4336" s="60"/>
      <c r="K4336" s="19"/>
      <c r="L4336" s="20"/>
      <c r="M4336" s="10"/>
      <c r="N4336" s="10"/>
      <c r="O4336" s="10"/>
      <c r="P4336" s="10"/>
      <c r="Q4336" s="10"/>
      <c r="R4336" s="10"/>
      <c r="S4336" s="10"/>
      <c r="T4336" s="10"/>
      <c r="U4336" s="10"/>
      <c r="V4336" s="10"/>
      <c r="W4336" s="10"/>
      <c r="X4336" s="10"/>
      <c r="Y4336" s="10"/>
      <c r="Z4336" s="10"/>
      <c r="AA4336" s="10"/>
      <c r="AB4336" s="10"/>
      <c r="AC4336" s="10"/>
      <c r="AD4336" s="10"/>
      <c r="AE4336" s="10"/>
      <c r="AF4336" s="10"/>
      <c r="AG4336" s="10"/>
      <c r="AH4336" s="10"/>
    </row>
    <row r="4337" spans="1:34" ht="31.5" outlineLevel="2">
      <c r="A4337" s="28"/>
      <c r="B4337" s="12" t="str">
        <f>IFERROR(VLOOKUP(D4337,'[1]Перечень товаров'!$A$2:$I9525,2,0),"")</f>
        <v>т130</v>
      </c>
      <c r="C4337" s="12" t="str">
        <f>IFERROR(VLOOKUP(D4337,'[1]Перечень товаров'!$A$2:$I9525,3,0),"")</f>
        <v>Техника</v>
      </c>
      <c r="D4337" s="29" t="s">
        <v>1138</v>
      </c>
      <c r="E4337" s="30"/>
      <c r="F4337" s="30"/>
      <c r="G4337" s="59">
        <v>1</v>
      </c>
      <c r="H4337" s="59"/>
      <c r="I4337" s="60"/>
      <c r="J4337" s="60"/>
      <c r="K4337" s="19"/>
      <c r="L4337" s="20"/>
      <c r="M4337" s="10"/>
      <c r="N4337" s="10"/>
      <c r="O4337" s="10"/>
      <c r="P4337" s="10"/>
      <c r="Q4337" s="10"/>
      <c r="R4337" s="10"/>
      <c r="S4337" s="10"/>
      <c r="T4337" s="10"/>
      <c r="U4337" s="10"/>
      <c r="V4337" s="10"/>
      <c r="W4337" s="10"/>
      <c r="X4337" s="10"/>
      <c r="Y4337" s="10"/>
      <c r="Z4337" s="10"/>
      <c r="AA4337" s="10"/>
      <c r="AB4337" s="10"/>
      <c r="AC4337" s="10"/>
      <c r="AD4337" s="10"/>
      <c r="AE4337" s="10"/>
      <c r="AF4337" s="10"/>
      <c r="AG4337" s="10"/>
      <c r="AH4337" s="10"/>
    </row>
    <row r="4338" spans="1:34" outlineLevel="2">
      <c r="A4338" s="54"/>
      <c r="B4338" s="12" t="str">
        <f>IFERROR(VLOOKUP(D4338,'[1]Перечень товаров'!$A$2:$I9525,2,0),"")</f>
        <v/>
      </c>
      <c r="C4338" s="12" t="str">
        <f>IFERROR(VLOOKUP(D4338,'[1]Перечень товаров'!$A$2:$I9525,3,0),"")</f>
        <v/>
      </c>
      <c r="D4338" s="55" t="s">
        <v>45</v>
      </c>
      <c r="E4338" s="217"/>
      <c r="F4338" s="217"/>
      <c r="G4338" s="59"/>
      <c r="H4338" s="59"/>
      <c r="I4338" s="60"/>
      <c r="J4338" s="60"/>
      <c r="K4338" s="19"/>
      <c r="L4338" s="20"/>
      <c r="M4338" s="10"/>
      <c r="N4338" s="10"/>
      <c r="O4338" s="10"/>
      <c r="P4338" s="10"/>
      <c r="Q4338" s="10"/>
      <c r="R4338" s="10"/>
      <c r="S4338" s="10"/>
      <c r="T4338" s="10"/>
      <c r="U4338" s="10"/>
      <c r="V4338" s="10"/>
      <c r="W4338" s="10"/>
      <c r="X4338" s="10"/>
      <c r="Y4338" s="10"/>
      <c r="Z4338" s="10"/>
      <c r="AA4338" s="10"/>
      <c r="AB4338" s="10"/>
      <c r="AC4338" s="10"/>
      <c r="AD4338" s="10"/>
      <c r="AE4338" s="10"/>
      <c r="AF4338" s="10"/>
      <c r="AG4338" s="10"/>
      <c r="AH4338" s="10"/>
    </row>
    <row r="4339" spans="1:34" outlineLevel="2">
      <c r="A4339" s="43"/>
      <c r="B4339" s="12" t="str">
        <f>IFERROR(VLOOKUP(D4339,'[1]Перечень товаров'!$A$2:$I9525,2,0),"")</f>
        <v>м7</v>
      </c>
      <c r="C4339" s="12" t="str">
        <f>IFERROR(VLOOKUP(D4339,'[1]Перечень товаров'!$A$2:$I9525,3,0),"")</f>
        <v>Мебель</v>
      </c>
      <c r="D4339" s="44" t="s">
        <v>24</v>
      </c>
      <c r="E4339" s="30"/>
      <c r="F4339" s="30"/>
      <c r="G4339" s="59">
        <v>1</v>
      </c>
      <c r="H4339" s="59"/>
      <c r="I4339" s="60"/>
      <c r="J4339" s="60"/>
      <c r="K4339" s="19"/>
      <c r="L4339" s="20"/>
      <c r="M4339" s="10"/>
      <c r="N4339" s="10"/>
      <c r="O4339" s="10"/>
      <c r="P4339" s="10"/>
      <c r="Q4339" s="10"/>
      <c r="R4339" s="10"/>
      <c r="S4339" s="10"/>
      <c r="T4339" s="10"/>
      <c r="U4339" s="10"/>
      <c r="V4339" s="10"/>
      <c r="W4339" s="10"/>
      <c r="X4339" s="10"/>
      <c r="Y4339" s="10"/>
      <c r="Z4339" s="10"/>
      <c r="AA4339" s="10"/>
      <c r="AB4339" s="10"/>
      <c r="AC4339" s="10"/>
      <c r="AD4339" s="10"/>
      <c r="AE4339" s="10"/>
      <c r="AF4339" s="10"/>
      <c r="AG4339" s="10"/>
      <c r="AH4339" s="10"/>
    </row>
    <row r="4340" spans="1:34" outlineLevel="2">
      <c r="A4340" s="43"/>
      <c r="B4340" s="12" t="str">
        <f>IFERROR(VLOOKUP(D4340,'[1]Перечень товаров'!$A$2:$I9525,2,0),"")</f>
        <v>п1</v>
      </c>
      <c r="C4340" s="12" t="str">
        <f>IFERROR(VLOOKUP(D4340,'[1]Перечень товаров'!$A$2:$I9525,3,0),"")</f>
        <v>Прочее</v>
      </c>
      <c r="D4340" s="44" t="s">
        <v>37</v>
      </c>
      <c r="E4340" s="30"/>
      <c r="F4340" s="30"/>
      <c r="G4340" s="59">
        <v>1</v>
      </c>
      <c r="H4340" s="59"/>
      <c r="I4340" s="60"/>
      <c r="J4340" s="60"/>
      <c r="K4340" s="19"/>
      <c r="L4340" s="20"/>
      <c r="M4340" s="10"/>
      <c r="N4340" s="10"/>
      <c r="O4340" s="10"/>
      <c r="P4340" s="10"/>
      <c r="Q4340" s="10"/>
      <c r="R4340" s="10"/>
      <c r="S4340" s="10"/>
      <c r="T4340" s="10"/>
      <c r="U4340" s="10"/>
      <c r="V4340" s="10"/>
      <c r="W4340" s="10"/>
      <c r="X4340" s="10"/>
      <c r="Y4340" s="10"/>
      <c r="Z4340" s="10"/>
      <c r="AA4340" s="10"/>
      <c r="AB4340" s="10"/>
      <c r="AC4340" s="10"/>
      <c r="AD4340" s="10"/>
      <c r="AE4340" s="10"/>
      <c r="AF4340" s="10"/>
      <c r="AG4340" s="10"/>
      <c r="AH4340" s="10"/>
    </row>
    <row r="4341" spans="1:34" ht="12.75" outlineLevel="1">
      <c r="A4341" s="11"/>
      <c r="B4341" s="12" t="str">
        <f>IFERROR(VLOOKUP(D4341,'[1]Перечень товаров'!$A$2:$I9525,2,0),"")</f>
        <v/>
      </c>
      <c r="C4341" s="12" t="str">
        <f>IFERROR(VLOOKUP(D4341,'[1]Перечень товаров'!$A$2:$I9525,3,0),"")</f>
        <v/>
      </c>
      <c r="D4341" s="27" t="s">
        <v>1203</v>
      </c>
      <c r="E4341" s="14">
        <v>61.7</v>
      </c>
      <c r="F4341" s="14"/>
      <c r="G4341" s="17"/>
      <c r="H4341" s="17"/>
      <c r="I4341" s="57"/>
      <c r="J4341" s="57"/>
      <c r="K4341" s="19"/>
      <c r="L4341" s="20"/>
      <c r="M4341" s="10"/>
      <c r="N4341" s="10"/>
      <c r="O4341" s="10"/>
      <c r="P4341" s="10"/>
      <c r="Q4341" s="10"/>
      <c r="R4341" s="10"/>
      <c r="S4341" s="10"/>
      <c r="T4341" s="10"/>
      <c r="U4341" s="10"/>
      <c r="V4341" s="10"/>
      <c r="W4341" s="10"/>
      <c r="X4341" s="10"/>
      <c r="Y4341" s="10"/>
      <c r="Z4341" s="10"/>
      <c r="AA4341" s="10"/>
      <c r="AB4341" s="10"/>
      <c r="AC4341" s="10"/>
      <c r="AD4341" s="10"/>
      <c r="AE4341" s="10"/>
      <c r="AF4341" s="10"/>
      <c r="AG4341" s="10"/>
      <c r="AH4341" s="10"/>
    </row>
    <row r="4342" spans="1:34" ht="12.75" outlineLevel="2">
      <c r="A4342" s="197"/>
      <c r="B4342" s="12" t="str">
        <f>IFERROR(VLOOKUP(D4342,'[1]Перечень товаров'!$A$2:$I9525,2,0),"")</f>
        <v/>
      </c>
      <c r="C4342" s="12" t="str">
        <f>IFERROR(VLOOKUP(D4342,'[1]Перечень товаров'!$A$2:$I9525,3,0),"")</f>
        <v/>
      </c>
      <c r="D4342" s="198" t="s">
        <v>668</v>
      </c>
      <c r="E4342" s="15"/>
      <c r="F4342" s="15"/>
      <c r="G4342" s="17"/>
      <c r="H4342" s="17"/>
      <c r="I4342" s="57"/>
      <c r="J4342" s="57"/>
      <c r="K4342" s="19"/>
      <c r="L4342" s="20"/>
      <c r="M4342" s="10"/>
      <c r="N4342" s="10"/>
      <c r="O4342" s="10"/>
      <c r="P4342" s="10"/>
      <c r="Q4342" s="10"/>
      <c r="R4342" s="10"/>
      <c r="S4342" s="10"/>
      <c r="T4342" s="10"/>
      <c r="U4342" s="10"/>
      <c r="V4342" s="10"/>
      <c r="W4342" s="10"/>
      <c r="X4342" s="10"/>
      <c r="Y4342" s="10"/>
      <c r="Z4342" s="10"/>
      <c r="AA4342" s="10"/>
      <c r="AB4342" s="10"/>
      <c r="AC4342" s="10"/>
      <c r="AD4342" s="10"/>
      <c r="AE4342" s="10"/>
      <c r="AF4342" s="10"/>
      <c r="AG4342" s="10"/>
      <c r="AH4342" s="10"/>
    </row>
    <row r="4343" spans="1:34" outlineLevel="2">
      <c r="A4343" s="34"/>
      <c r="B4343" s="12" t="str">
        <f>IFERROR(VLOOKUP(D4343,'[1]Перечень товаров'!$A$2:$I9525,2,0),"")</f>
        <v>т129</v>
      </c>
      <c r="C4343" s="12" t="str">
        <f>IFERROR(VLOOKUP(D4343,'[1]Перечень товаров'!$A$2:$I9525,3,0),"")</f>
        <v>Техника</v>
      </c>
      <c r="D4343" s="35" t="s">
        <v>1204</v>
      </c>
      <c r="E4343" s="23"/>
      <c r="F4343" s="23"/>
      <c r="G4343" s="232">
        <v>1</v>
      </c>
      <c r="H4343" s="232"/>
      <c r="I4343" s="233"/>
      <c r="J4343" s="233"/>
      <c r="K4343" s="19"/>
      <c r="L4343" s="20"/>
      <c r="M4343" s="10"/>
      <c r="N4343" s="10"/>
      <c r="O4343" s="10"/>
      <c r="P4343" s="10"/>
      <c r="Q4343" s="10"/>
      <c r="R4343" s="10"/>
      <c r="S4343" s="10"/>
      <c r="T4343" s="10"/>
      <c r="U4343" s="10"/>
      <c r="V4343" s="10"/>
      <c r="W4343" s="10"/>
      <c r="X4343" s="10"/>
      <c r="Y4343" s="10"/>
      <c r="Z4343" s="10"/>
      <c r="AA4343" s="10"/>
      <c r="AB4343" s="10"/>
      <c r="AC4343" s="10"/>
      <c r="AD4343" s="10"/>
      <c r="AE4343" s="10"/>
      <c r="AF4343" s="10"/>
      <c r="AG4343" s="10"/>
      <c r="AH4343" s="10"/>
    </row>
    <row r="4344" spans="1:34" outlineLevel="2">
      <c r="A4344" s="34"/>
      <c r="B4344" s="12" t="str">
        <f>IFERROR(VLOOKUP(D4344,'[1]Перечень товаров'!$A$2:$I9525,2,0),"")</f>
        <v>т128</v>
      </c>
      <c r="C4344" s="12" t="str">
        <f>IFERROR(VLOOKUP(D4344,'[1]Перечень товаров'!$A$2:$I9525,3,0),"")</f>
        <v>Техника</v>
      </c>
      <c r="D4344" s="35" t="s">
        <v>1205</v>
      </c>
      <c r="E4344" s="23"/>
      <c r="F4344" s="23"/>
      <c r="G4344" s="232">
        <v>1</v>
      </c>
      <c r="H4344" s="232"/>
      <c r="I4344" s="233"/>
      <c r="J4344" s="233"/>
      <c r="K4344" s="19"/>
      <c r="L4344" s="20"/>
      <c r="M4344" s="10"/>
      <c r="N4344" s="10"/>
      <c r="O4344" s="10"/>
      <c r="P4344" s="10"/>
      <c r="Q4344" s="10"/>
      <c r="R4344" s="10"/>
      <c r="S4344" s="10"/>
      <c r="T4344" s="10"/>
      <c r="U4344" s="10"/>
      <c r="V4344" s="10"/>
      <c r="W4344" s="10"/>
      <c r="X4344" s="10"/>
      <c r="Y4344" s="10"/>
      <c r="Z4344" s="10"/>
      <c r="AA4344" s="10"/>
      <c r="AB4344" s="10"/>
      <c r="AC4344" s="10"/>
      <c r="AD4344" s="10"/>
      <c r="AE4344" s="10"/>
      <c r="AF4344" s="10"/>
      <c r="AG4344" s="10"/>
      <c r="AH4344" s="10"/>
    </row>
    <row r="4345" spans="1:34" outlineLevel="2">
      <c r="A4345" s="34"/>
      <c r="B4345" s="12" t="str">
        <f>IFERROR(VLOOKUP(D4345,'[1]Перечень товаров'!$A$2:$I9525,2,0),"")</f>
        <v>т1</v>
      </c>
      <c r="C4345" s="12" t="str">
        <f>IFERROR(VLOOKUP(D4345,'[1]Перечень товаров'!$A$2:$I9525,3,0),"")</f>
        <v xml:space="preserve">Техника </v>
      </c>
      <c r="D4345" s="22" t="s">
        <v>28</v>
      </c>
      <c r="E4345" s="23"/>
      <c r="F4345" s="23"/>
      <c r="G4345" s="232">
        <v>11</v>
      </c>
      <c r="H4345" s="232"/>
      <c r="I4345" s="233"/>
      <c r="J4345" s="233"/>
      <c r="K4345" s="19"/>
      <c r="L4345" s="20"/>
      <c r="M4345" s="10"/>
      <c r="N4345" s="10"/>
      <c r="O4345" s="10"/>
      <c r="P4345" s="10"/>
      <c r="Q4345" s="10"/>
      <c r="R4345" s="10"/>
      <c r="S4345" s="10"/>
      <c r="T4345" s="10"/>
      <c r="U4345" s="10"/>
      <c r="V4345" s="10"/>
      <c r="W4345" s="10"/>
      <c r="X4345" s="10"/>
      <c r="Y4345" s="10"/>
      <c r="Z4345" s="10"/>
      <c r="AA4345" s="10"/>
      <c r="AB4345" s="10"/>
      <c r="AC4345" s="10"/>
      <c r="AD4345" s="10"/>
      <c r="AE4345" s="10"/>
      <c r="AF4345" s="10"/>
      <c r="AG4345" s="10"/>
      <c r="AH4345" s="10"/>
    </row>
    <row r="4346" spans="1:34" outlineLevel="2">
      <c r="A4346" s="34"/>
      <c r="B4346" s="12" t="str">
        <f>IFERROR(VLOOKUP(D4346,'[1]Перечень товаров'!$A$2:$I9525,2,0),"")</f>
        <v>т235</v>
      </c>
      <c r="C4346" s="12" t="str">
        <f>IFERROR(VLOOKUP(D4346,'[1]Перечень товаров'!$A$2:$I9525,3,0),"")</f>
        <v>Техника</v>
      </c>
      <c r="D4346" s="35" t="s">
        <v>742</v>
      </c>
      <c r="E4346" s="23"/>
      <c r="F4346" s="23"/>
      <c r="G4346" s="232">
        <v>1</v>
      </c>
      <c r="H4346" s="232"/>
      <c r="I4346" s="233"/>
      <c r="J4346" s="233"/>
      <c r="K4346" s="19"/>
      <c r="L4346" s="20"/>
      <c r="M4346" s="10"/>
      <c r="N4346" s="10"/>
      <c r="O4346" s="10"/>
      <c r="P4346" s="10"/>
      <c r="Q4346" s="10"/>
      <c r="R4346" s="10"/>
      <c r="S4346" s="10"/>
      <c r="T4346" s="10"/>
      <c r="U4346" s="10"/>
      <c r="V4346" s="10"/>
      <c r="W4346" s="10"/>
      <c r="X4346" s="10"/>
      <c r="Y4346" s="10"/>
      <c r="Z4346" s="10"/>
      <c r="AA4346" s="10"/>
      <c r="AB4346" s="10"/>
      <c r="AC4346" s="10"/>
      <c r="AD4346" s="10"/>
      <c r="AE4346" s="10"/>
      <c r="AF4346" s="10"/>
      <c r="AG4346" s="10"/>
      <c r="AH4346" s="10"/>
    </row>
    <row r="4347" spans="1:34" outlineLevel="2">
      <c r="A4347" s="34"/>
      <c r="B4347" s="12" t="str">
        <f>IFERROR(VLOOKUP(D4347,'[1]Перечень товаров'!$A$2:$I9525,2,0),"")</f>
        <v>т8</v>
      </c>
      <c r="C4347" s="12" t="str">
        <f>IFERROR(VLOOKUP(D4347,'[1]Перечень товаров'!$A$2:$I9525,3,0),"")</f>
        <v xml:space="preserve">Техника </v>
      </c>
      <c r="D4347" s="35" t="s">
        <v>35</v>
      </c>
      <c r="E4347" s="23"/>
      <c r="F4347" s="23"/>
      <c r="G4347" s="232">
        <v>1</v>
      </c>
      <c r="H4347" s="232"/>
      <c r="I4347" s="233"/>
      <c r="J4347" s="233"/>
      <c r="K4347" s="19"/>
      <c r="L4347" s="20"/>
      <c r="M4347" s="10"/>
      <c r="N4347" s="10"/>
      <c r="O4347" s="10"/>
      <c r="P4347" s="10"/>
      <c r="Q4347" s="10"/>
      <c r="R4347" s="10"/>
      <c r="S4347" s="10"/>
      <c r="T4347" s="10"/>
      <c r="U4347" s="10"/>
      <c r="V4347" s="10"/>
      <c r="W4347" s="10"/>
      <c r="X4347" s="10"/>
      <c r="Y4347" s="10"/>
      <c r="Z4347" s="10"/>
      <c r="AA4347" s="10"/>
      <c r="AB4347" s="10"/>
      <c r="AC4347" s="10"/>
      <c r="AD4347" s="10"/>
      <c r="AE4347" s="10"/>
      <c r="AF4347" s="10"/>
      <c r="AG4347" s="10"/>
      <c r="AH4347" s="10"/>
    </row>
    <row r="4348" spans="1:34" outlineLevel="2">
      <c r="A4348" s="34"/>
      <c r="B4348" s="12" t="str">
        <f>IFERROR(VLOOKUP(D4348,'[1]Перечень товаров'!$A$2:$I9525,2,0),"")</f>
        <v>т4</v>
      </c>
      <c r="C4348" s="12" t="str">
        <f>IFERROR(VLOOKUP(D4348,'[1]Перечень товаров'!$A$2:$I9525,3,0),"")</f>
        <v xml:space="preserve">Техника </v>
      </c>
      <c r="D4348" s="35" t="s">
        <v>31</v>
      </c>
      <c r="E4348" s="23"/>
      <c r="F4348" s="23"/>
      <c r="G4348" s="232">
        <v>3</v>
      </c>
      <c r="H4348" s="232"/>
      <c r="I4348" s="233"/>
      <c r="J4348" s="233"/>
      <c r="K4348" s="19"/>
      <c r="L4348" s="20"/>
      <c r="M4348" s="10"/>
      <c r="N4348" s="10"/>
      <c r="O4348" s="10"/>
      <c r="P4348" s="10"/>
      <c r="Q4348" s="10"/>
      <c r="R4348" s="10"/>
      <c r="S4348" s="10"/>
      <c r="T4348" s="10"/>
      <c r="U4348" s="10"/>
      <c r="V4348" s="10"/>
      <c r="W4348" s="10"/>
      <c r="X4348" s="10"/>
      <c r="Y4348" s="10"/>
      <c r="Z4348" s="10"/>
      <c r="AA4348" s="10"/>
      <c r="AB4348" s="10"/>
      <c r="AC4348" s="10"/>
      <c r="AD4348" s="10"/>
      <c r="AE4348" s="10"/>
      <c r="AF4348" s="10"/>
      <c r="AG4348" s="10"/>
      <c r="AH4348" s="10"/>
    </row>
    <row r="4349" spans="1:34" outlineLevel="2">
      <c r="A4349" s="34"/>
      <c r="B4349" s="12" t="str">
        <f>IFERROR(VLOOKUP(D4349,'[1]Перечень товаров'!$A$2:$I9525,2,0),"")</f>
        <v>т236</v>
      </c>
      <c r="C4349" s="12" t="str">
        <f>IFERROR(VLOOKUP(D4349,'[1]Перечень товаров'!$A$2:$I9525,3,0),"")</f>
        <v>Техника</v>
      </c>
      <c r="D4349" s="35" t="s">
        <v>743</v>
      </c>
      <c r="E4349" s="23"/>
      <c r="F4349" s="23"/>
      <c r="G4349" s="232">
        <v>1</v>
      </c>
      <c r="H4349" s="232"/>
      <c r="I4349" s="233"/>
      <c r="J4349" s="233"/>
      <c r="K4349" s="19"/>
      <c r="L4349" s="20"/>
      <c r="M4349" s="10"/>
      <c r="N4349" s="10"/>
      <c r="O4349" s="10"/>
      <c r="P4349" s="10"/>
      <c r="Q4349" s="10"/>
      <c r="R4349" s="10"/>
      <c r="S4349" s="10"/>
      <c r="T4349" s="10"/>
      <c r="U4349" s="10"/>
      <c r="V4349" s="10"/>
      <c r="W4349" s="10"/>
      <c r="X4349" s="10"/>
      <c r="Y4349" s="10"/>
      <c r="Z4349" s="10"/>
      <c r="AA4349" s="10"/>
      <c r="AB4349" s="10"/>
      <c r="AC4349" s="10"/>
      <c r="AD4349" s="10"/>
      <c r="AE4349" s="10"/>
      <c r="AF4349" s="10"/>
      <c r="AG4349" s="10"/>
      <c r="AH4349" s="10"/>
    </row>
    <row r="4350" spans="1:34" outlineLevel="2">
      <c r="A4350" s="34"/>
      <c r="B4350" s="12" t="str">
        <f>IFERROR(VLOOKUP(D4350,'[1]Перечень товаров'!$A$2:$I9525,2,0),"")</f>
        <v>т237</v>
      </c>
      <c r="C4350" s="12" t="str">
        <f>IFERROR(VLOOKUP(D4350,'[1]Перечень товаров'!$A$2:$I9525,3,0),"")</f>
        <v>Техника</v>
      </c>
      <c r="D4350" s="35" t="s">
        <v>744</v>
      </c>
      <c r="E4350" s="23"/>
      <c r="F4350" s="23"/>
      <c r="G4350" s="232">
        <v>2</v>
      </c>
      <c r="H4350" s="232"/>
      <c r="I4350" s="233"/>
      <c r="J4350" s="233"/>
      <c r="K4350" s="19"/>
      <c r="L4350" s="20"/>
      <c r="M4350" s="10"/>
      <c r="N4350" s="10"/>
      <c r="O4350" s="10"/>
      <c r="P4350" s="10"/>
      <c r="Q4350" s="10"/>
      <c r="R4350" s="10"/>
      <c r="S4350" s="10"/>
      <c r="T4350" s="10"/>
      <c r="U4350" s="10"/>
      <c r="V4350" s="10"/>
      <c r="W4350" s="10"/>
      <c r="X4350" s="10"/>
      <c r="Y4350" s="10"/>
      <c r="Z4350" s="10"/>
      <c r="AA4350" s="10"/>
      <c r="AB4350" s="10"/>
      <c r="AC4350" s="10"/>
      <c r="AD4350" s="10"/>
      <c r="AE4350" s="10"/>
      <c r="AF4350" s="10"/>
      <c r="AG4350" s="10"/>
      <c r="AH4350" s="10"/>
    </row>
    <row r="4351" spans="1:34" ht="12.75" outlineLevel="2">
      <c r="A4351" s="197"/>
      <c r="B4351" s="12" t="str">
        <f>IFERROR(VLOOKUP(D4351,'[1]Перечень товаров'!$A$2:$I9525,2,0),"")</f>
        <v/>
      </c>
      <c r="C4351" s="12" t="str">
        <f>IFERROR(VLOOKUP(D4351,'[1]Перечень товаров'!$A$2:$I9525,3,0),"")</f>
        <v/>
      </c>
      <c r="D4351" s="198" t="s">
        <v>19</v>
      </c>
      <c r="E4351" s="15"/>
      <c r="F4351" s="15"/>
      <c r="G4351" s="234"/>
      <c r="H4351" s="234"/>
      <c r="I4351" s="235"/>
      <c r="J4351" s="235"/>
      <c r="K4351" s="19"/>
      <c r="L4351" s="20"/>
      <c r="M4351" s="10"/>
      <c r="N4351" s="10"/>
      <c r="O4351" s="10"/>
      <c r="P4351" s="10"/>
      <c r="Q4351" s="10"/>
      <c r="R4351" s="10"/>
      <c r="S4351" s="10"/>
      <c r="T4351" s="10"/>
      <c r="U4351" s="10"/>
      <c r="V4351" s="10"/>
      <c r="W4351" s="10"/>
      <c r="X4351" s="10"/>
      <c r="Y4351" s="10"/>
      <c r="Z4351" s="10"/>
      <c r="AA4351" s="10"/>
      <c r="AB4351" s="10"/>
      <c r="AC4351" s="10"/>
      <c r="AD4351" s="10"/>
      <c r="AE4351" s="10"/>
      <c r="AF4351" s="10"/>
      <c r="AG4351" s="10"/>
      <c r="AH4351" s="10"/>
    </row>
    <row r="4352" spans="1:34" outlineLevel="2">
      <c r="A4352" s="34"/>
      <c r="B4352" s="12" t="str">
        <f>IFERROR(VLOOKUP(D4352,'[1]Перечень товаров'!$A$2:$I9525,2,0),"")</f>
        <v>м62</v>
      </c>
      <c r="C4352" s="12" t="str">
        <f>IFERROR(VLOOKUP(D4352,'[1]Перечень товаров'!$A$2:$I9525,3,0),"")</f>
        <v>Мебель</v>
      </c>
      <c r="D4352" s="35" t="s">
        <v>398</v>
      </c>
      <c r="E4352" s="23"/>
      <c r="F4352" s="23"/>
      <c r="G4352" s="232">
        <v>1</v>
      </c>
      <c r="H4352" s="232"/>
      <c r="I4352" s="233"/>
      <c r="J4352" s="233"/>
      <c r="K4352" s="19"/>
      <c r="L4352" s="20"/>
      <c r="M4352" s="10"/>
      <c r="N4352" s="10"/>
      <c r="O4352" s="10"/>
      <c r="P4352" s="10"/>
      <c r="Q4352" s="10"/>
      <c r="R4352" s="10"/>
      <c r="S4352" s="10"/>
      <c r="T4352" s="10"/>
      <c r="U4352" s="10"/>
      <c r="V4352" s="10"/>
      <c r="W4352" s="10"/>
      <c r="X4352" s="10"/>
      <c r="Y4352" s="10"/>
      <c r="Z4352" s="10"/>
      <c r="AA4352" s="10"/>
      <c r="AB4352" s="10"/>
      <c r="AC4352" s="10"/>
      <c r="AD4352" s="10"/>
      <c r="AE4352" s="10"/>
      <c r="AF4352" s="10"/>
      <c r="AG4352" s="10"/>
      <c r="AH4352" s="10"/>
    </row>
    <row r="4353" spans="1:34" outlineLevel="2">
      <c r="A4353" s="34"/>
      <c r="B4353" s="12" t="str">
        <f>IFERROR(VLOOKUP(D4353,'[1]Перечень товаров'!$A$2:$I9525,2,0),"")</f>
        <v>м61</v>
      </c>
      <c r="C4353" s="12" t="str">
        <f>IFERROR(VLOOKUP(D4353,'[1]Перечень товаров'!$A$2:$I9525,3,0),"")</f>
        <v>Мебель</v>
      </c>
      <c r="D4353" s="35" t="s">
        <v>383</v>
      </c>
      <c r="E4353" s="23"/>
      <c r="F4353" s="23"/>
      <c r="G4353" s="232">
        <v>1</v>
      </c>
      <c r="H4353" s="232"/>
      <c r="I4353" s="233"/>
      <c r="J4353" s="233"/>
      <c r="K4353" s="19"/>
      <c r="L4353" s="20"/>
      <c r="M4353" s="10"/>
      <c r="N4353" s="10"/>
      <c r="O4353" s="10"/>
      <c r="P4353" s="10"/>
      <c r="Q4353" s="10"/>
      <c r="R4353" s="10"/>
      <c r="S4353" s="10"/>
      <c r="T4353" s="10"/>
      <c r="U4353" s="10"/>
      <c r="V4353" s="10"/>
      <c r="W4353" s="10"/>
      <c r="X4353" s="10"/>
      <c r="Y4353" s="10"/>
      <c r="Z4353" s="10"/>
      <c r="AA4353" s="10"/>
      <c r="AB4353" s="10"/>
      <c r="AC4353" s="10"/>
      <c r="AD4353" s="10"/>
      <c r="AE4353" s="10"/>
      <c r="AF4353" s="10"/>
      <c r="AG4353" s="10"/>
      <c r="AH4353" s="10"/>
    </row>
    <row r="4354" spans="1:34" outlineLevel="2">
      <c r="A4354" s="34"/>
      <c r="B4354" s="12" t="str">
        <f>IFERROR(VLOOKUP(D4354,'[1]Перечень товаров'!$A$2:$I9525,2,0),"")</f>
        <v>м152</v>
      </c>
      <c r="C4354" s="12" t="str">
        <f>IFERROR(VLOOKUP(D4354,'[1]Перечень товаров'!$A$2:$I9525,3,0),"")</f>
        <v>мебель</v>
      </c>
      <c r="D4354" s="35" t="s">
        <v>1206</v>
      </c>
      <c r="E4354" s="23"/>
      <c r="F4354" s="23"/>
      <c r="G4354" s="59">
        <v>12</v>
      </c>
      <c r="H4354" s="59"/>
      <c r="I4354" s="60"/>
      <c r="J4354" s="60"/>
      <c r="K4354" s="19"/>
      <c r="L4354" s="20"/>
      <c r="M4354" s="10"/>
      <c r="N4354" s="10"/>
      <c r="O4354" s="10"/>
      <c r="P4354" s="10"/>
      <c r="Q4354" s="10"/>
      <c r="R4354" s="10"/>
      <c r="S4354" s="10"/>
      <c r="T4354" s="10"/>
      <c r="U4354" s="10"/>
      <c r="V4354" s="10"/>
      <c r="W4354" s="10"/>
      <c r="X4354" s="10"/>
      <c r="Y4354" s="10"/>
      <c r="Z4354" s="10"/>
      <c r="AA4354" s="10"/>
      <c r="AB4354" s="10"/>
      <c r="AC4354" s="10"/>
      <c r="AD4354" s="10"/>
      <c r="AE4354" s="10"/>
      <c r="AF4354" s="10"/>
      <c r="AG4354" s="10"/>
      <c r="AH4354" s="10"/>
    </row>
    <row r="4355" spans="1:34" outlineLevel="2">
      <c r="A4355" s="34"/>
      <c r="B4355" s="12" t="str">
        <f>IFERROR(VLOOKUP(D4355,'[1]Перечень товаров'!$A$2:$I9525,2,0),"")</f>
        <v>м151</v>
      </c>
      <c r="C4355" s="12" t="str">
        <f>IFERROR(VLOOKUP(D4355,'[1]Перечень товаров'!$A$2:$I9525,3,0),"")</f>
        <v>мебель</v>
      </c>
      <c r="D4355" s="35" t="s">
        <v>1207</v>
      </c>
      <c r="E4355" s="23"/>
      <c r="F4355" s="23"/>
      <c r="G4355" s="232">
        <v>12</v>
      </c>
      <c r="H4355" s="232"/>
      <c r="I4355" s="233"/>
      <c r="J4355" s="233"/>
      <c r="K4355" s="19"/>
      <c r="L4355" s="20"/>
      <c r="M4355" s="10"/>
      <c r="N4355" s="10"/>
      <c r="O4355" s="10"/>
      <c r="P4355" s="10"/>
      <c r="Q4355" s="10"/>
      <c r="R4355" s="10"/>
      <c r="S4355" s="10"/>
      <c r="T4355" s="10"/>
      <c r="U4355" s="10"/>
      <c r="V4355" s="10"/>
      <c r="W4355" s="10"/>
      <c r="X4355" s="10"/>
      <c r="Y4355" s="10"/>
      <c r="Z4355" s="10"/>
      <c r="AA4355" s="10"/>
      <c r="AB4355" s="10"/>
      <c r="AC4355" s="10"/>
      <c r="AD4355" s="10"/>
      <c r="AE4355" s="10"/>
      <c r="AF4355" s="10"/>
      <c r="AG4355" s="10"/>
      <c r="AH4355" s="10"/>
    </row>
    <row r="4356" spans="1:34" outlineLevel="2">
      <c r="A4356" s="34"/>
      <c r="B4356" s="12" t="str">
        <f>IFERROR(VLOOKUP(D4356,'[1]Перечень товаров'!$A$2:$I9525,2,0),"")</f>
        <v>м216</v>
      </c>
      <c r="C4356" s="12" t="str">
        <f>IFERROR(VLOOKUP(D4356,'[1]Перечень товаров'!$A$2:$I9525,3,0),"")</f>
        <v>Мебель</v>
      </c>
      <c r="D4356" s="35" t="s">
        <v>854</v>
      </c>
      <c r="E4356" s="23"/>
      <c r="F4356" s="23"/>
      <c r="G4356" s="232">
        <v>1</v>
      </c>
      <c r="H4356" s="232"/>
      <c r="I4356" s="233"/>
      <c r="J4356" s="233"/>
      <c r="K4356" s="19"/>
      <c r="L4356" s="20"/>
      <c r="M4356" s="10"/>
      <c r="N4356" s="10"/>
      <c r="O4356" s="10"/>
      <c r="P4356" s="10"/>
      <c r="Q4356" s="10"/>
      <c r="R4356" s="10"/>
      <c r="S4356" s="10"/>
      <c r="T4356" s="10"/>
      <c r="U4356" s="10"/>
      <c r="V4356" s="10"/>
      <c r="W4356" s="10"/>
      <c r="X4356" s="10"/>
      <c r="Y4356" s="10"/>
      <c r="Z4356" s="10"/>
      <c r="AA4356" s="10"/>
      <c r="AB4356" s="10"/>
      <c r="AC4356" s="10"/>
      <c r="AD4356" s="10"/>
      <c r="AE4356" s="10"/>
      <c r="AF4356" s="10"/>
      <c r="AG4356" s="10"/>
      <c r="AH4356" s="10"/>
    </row>
    <row r="4357" spans="1:34" outlineLevel="2">
      <c r="A4357" s="34"/>
      <c r="B4357" s="12" t="str">
        <f>IFERROR(VLOOKUP(D4357,'[1]Перечень товаров'!$A$2:$I9525,2,0),"")</f>
        <v>д542</v>
      </c>
      <c r="C4357" s="12" t="str">
        <f>IFERROR(VLOOKUP(D4357,'[1]Перечень товаров'!$A$2:$I9525,3,0),"")</f>
        <v>дидактика</v>
      </c>
      <c r="D4357" s="35" t="s">
        <v>1208</v>
      </c>
      <c r="E4357" s="23"/>
      <c r="F4357" s="23"/>
      <c r="G4357" s="232">
        <v>1</v>
      </c>
      <c r="H4357" s="232"/>
      <c r="I4357" s="233"/>
      <c r="J4357" s="233"/>
      <c r="K4357" s="19"/>
      <c r="L4357" s="20"/>
      <c r="M4357" s="10"/>
      <c r="N4357" s="10"/>
      <c r="O4357" s="10"/>
      <c r="P4357" s="10"/>
      <c r="Q4357" s="10"/>
      <c r="R4357" s="10"/>
      <c r="S4357" s="10"/>
      <c r="T4357" s="10"/>
      <c r="U4357" s="10"/>
      <c r="V4357" s="10"/>
      <c r="W4357" s="10"/>
      <c r="X4357" s="10"/>
      <c r="Y4357" s="10"/>
      <c r="Z4357" s="10"/>
      <c r="AA4357" s="10"/>
      <c r="AB4357" s="10"/>
      <c r="AC4357" s="10"/>
      <c r="AD4357" s="10"/>
      <c r="AE4357" s="10"/>
      <c r="AF4357" s="10"/>
      <c r="AG4357" s="10"/>
      <c r="AH4357" s="10"/>
    </row>
    <row r="4358" spans="1:34" outlineLevel="2">
      <c r="A4358" s="236"/>
      <c r="B4358" s="12" t="str">
        <f>IFERROR(VLOOKUP(D4358,'[1]Перечень товаров'!$A$2:$I9525,2,0),"")</f>
        <v/>
      </c>
      <c r="C4358" s="12" t="str">
        <f>IFERROR(VLOOKUP(D4358,'[1]Перечень товаров'!$A$2:$I9525,3,0),"")</f>
        <v/>
      </c>
      <c r="D4358" s="237" t="s">
        <v>1209</v>
      </c>
      <c r="E4358" s="15"/>
      <c r="F4358" s="15"/>
      <c r="G4358" s="238"/>
      <c r="H4358" s="238"/>
      <c r="I4358" s="239"/>
      <c r="J4358" s="239"/>
      <c r="K4358" s="19"/>
      <c r="L4358" s="20"/>
      <c r="M4358" s="10"/>
      <c r="N4358" s="10"/>
      <c r="O4358" s="10"/>
      <c r="P4358" s="10"/>
      <c r="Q4358" s="10"/>
      <c r="R4358" s="10"/>
      <c r="S4358" s="10"/>
      <c r="T4358" s="10"/>
      <c r="U4358" s="10"/>
      <c r="V4358" s="10"/>
      <c r="W4358" s="10"/>
      <c r="X4358" s="10"/>
      <c r="Y4358" s="10"/>
      <c r="Z4358" s="10"/>
      <c r="AA4358" s="10"/>
      <c r="AB4358" s="10"/>
      <c r="AC4358" s="10"/>
      <c r="AD4358" s="10"/>
      <c r="AE4358" s="10"/>
      <c r="AF4358" s="10"/>
      <c r="AG4358" s="10"/>
      <c r="AH4358" s="10"/>
    </row>
    <row r="4359" spans="1:34" outlineLevel="2">
      <c r="A4359" s="21"/>
      <c r="B4359" s="12" t="str">
        <f>IFERROR(VLOOKUP(D4359,'[1]Перечень товаров'!$A$2:$I9525,2,0),"")</f>
        <v>д541</v>
      </c>
      <c r="C4359" s="12" t="str">
        <f>IFERROR(VLOOKUP(D4359,'[1]Перечень товаров'!$A$2:$I9525,3,0),"")</f>
        <v>дидактика</v>
      </c>
      <c r="D4359" s="22" t="s">
        <v>1210</v>
      </c>
      <c r="E4359" s="23"/>
      <c r="F4359" s="23"/>
      <c r="G4359" s="205">
        <v>1</v>
      </c>
      <c r="H4359" s="205"/>
      <c r="I4359" s="206"/>
      <c r="J4359" s="206"/>
      <c r="K4359" s="19"/>
      <c r="L4359" s="20"/>
      <c r="M4359" s="10"/>
      <c r="N4359" s="10"/>
      <c r="O4359" s="10"/>
      <c r="P4359" s="10"/>
      <c r="Q4359" s="10"/>
      <c r="R4359" s="10"/>
      <c r="S4359" s="10"/>
      <c r="T4359" s="10"/>
      <c r="U4359" s="10"/>
      <c r="V4359" s="10"/>
      <c r="W4359" s="10"/>
      <c r="X4359" s="10"/>
      <c r="Y4359" s="10"/>
      <c r="Z4359" s="10"/>
      <c r="AA4359" s="10"/>
      <c r="AB4359" s="10"/>
      <c r="AC4359" s="10"/>
      <c r="AD4359" s="10"/>
      <c r="AE4359" s="10"/>
      <c r="AF4359" s="10"/>
      <c r="AG4359" s="10"/>
      <c r="AH4359" s="10"/>
    </row>
    <row r="4360" spans="1:34" ht="31.5" outlineLevel="2">
      <c r="A4360" s="21"/>
      <c r="B4360" s="12" t="str">
        <f>IFERROR(VLOOKUP(D4360,'[1]Перечень товаров'!$A$2:$I9525,2,0),"")</f>
        <v>т127</v>
      </c>
      <c r="C4360" s="12" t="str">
        <f>IFERROR(VLOOKUP(D4360,'[1]Перечень товаров'!$A$2:$I9525,3,0),"")</f>
        <v>Техника</v>
      </c>
      <c r="D4360" s="22" t="s">
        <v>1211</v>
      </c>
      <c r="E4360" s="23"/>
      <c r="F4360" s="23"/>
      <c r="G4360" s="205">
        <v>1</v>
      </c>
      <c r="H4360" s="205"/>
      <c r="I4360" s="206"/>
      <c r="J4360" s="206"/>
      <c r="K4360" s="19"/>
      <c r="L4360" s="20"/>
      <c r="M4360" s="10"/>
      <c r="N4360" s="10"/>
      <c r="O4360" s="10"/>
      <c r="P4360" s="10"/>
      <c r="Q4360" s="10"/>
      <c r="R4360" s="10"/>
      <c r="S4360" s="10"/>
      <c r="T4360" s="10"/>
      <c r="U4360" s="10"/>
      <c r="V4360" s="10"/>
      <c r="W4360" s="10"/>
      <c r="X4360" s="10"/>
      <c r="Y4360" s="10"/>
      <c r="Z4360" s="10"/>
      <c r="AA4360" s="10"/>
      <c r="AB4360" s="10"/>
      <c r="AC4360" s="10"/>
      <c r="AD4360" s="10"/>
      <c r="AE4360" s="10"/>
      <c r="AF4360" s="10"/>
      <c r="AG4360" s="10"/>
      <c r="AH4360" s="10"/>
    </row>
    <row r="4361" spans="1:34" ht="31.5" outlineLevel="2">
      <c r="A4361" s="34"/>
      <c r="B4361" s="12" t="str">
        <f>IFERROR(VLOOKUP(D4361,'[1]Перечень товаров'!$A$2:$I9525,2,0),"")</f>
        <v>д540</v>
      </c>
      <c r="C4361" s="12" t="str">
        <f>IFERROR(VLOOKUP(D4361,'[1]Перечень товаров'!$A$2:$I9525,3,0),"")</f>
        <v>дидактика</v>
      </c>
      <c r="D4361" s="35" t="s">
        <v>1212</v>
      </c>
      <c r="E4361" s="23"/>
      <c r="F4361" s="23"/>
      <c r="G4361" s="159">
        <v>1</v>
      </c>
      <c r="H4361" s="159"/>
      <c r="I4361" s="160"/>
      <c r="J4361" s="160"/>
      <c r="K4361" s="19"/>
      <c r="L4361" s="20"/>
      <c r="M4361" s="10"/>
      <c r="N4361" s="10"/>
      <c r="O4361" s="10"/>
      <c r="P4361" s="10"/>
      <c r="Q4361" s="10"/>
      <c r="R4361" s="10"/>
      <c r="S4361" s="10"/>
      <c r="T4361" s="10"/>
      <c r="U4361" s="10"/>
      <c r="V4361" s="10"/>
      <c r="W4361" s="10"/>
      <c r="X4361" s="10"/>
      <c r="Y4361" s="10"/>
      <c r="Z4361" s="10"/>
      <c r="AA4361" s="10"/>
      <c r="AB4361" s="10"/>
      <c r="AC4361" s="10"/>
      <c r="AD4361" s="10"/>
      <c r="AE4361" s="10"/>
      <c r="AF4361" s="10"/>
      <c r="AG4361" s="10"/>
      <c r="AH4361" s="10"/>
    </row>
    <row r="4362" spans="1:34" ht="31.5" outlineLevel="2">
      <c r="A4362" s="34"/>
      <c r="B4362" s="12" t="str">
        <f>IFERROR(VLOOKUP(D4362,'[1]Перечень товаров'!$A$2:$I9525,2,0),"")</f>
        <v>д539</v>
      </c>
      <c r="C4362" s="12" t="str">
        <f>IFERROR(VLOOKUP(D4362,'[1]Перечень товаров'!$A$2:$I9525,3,0),"")</f>
        <v>дидактика</v>
      </c>
      <c r="D4362" s="35" t="s">
        <v>1213</v>
      </c>
      <c r="E4362" s="23"/>
      <c r="F4362" s="23"/>
      <c r="G4362" s="159">
        <v>1</v>
      </c>
      <c r="H4362" s="159"/>
      <c r="I4362" s="160"/>
      <c r="J4362" s="160"/>
      <c r="K4362" s="19"/>
      <c r="L4362" s="20"/>
      <c r="M4362" s="10"/>
      <c r="N4362" s="10"/>
      <c r="O4362" s="10"/>
      <c r="P4362" s="10"/>
      <c r="Q4362" s="10"/>
      <c r="R4362" s="10"/>
      <c r="S4362" s="10"/>
      <c r="T4362" s="10"/>
      <c r="U4362" s="10"/>
      <c r="V4362" s="10"/>
      <c r="W4362" s="10"/>
      <c r="X4362" s="10"/>
      <c r="Y4362" s="10"/>
      <c r="Z4362" s="10"/>
      <c r="AA4362" s="10"/>
      <c r="AB4362" s="10"/>
      <c r="AC4362" s="10"/>
      <c r="AD4362" s="10"/>
      <c r="AE4362" s="10"/>
      <c r="AF4362" s="10"/>
      <c r="AG4362" s="10"/>
      <c r="AH4362" s="10"/>
    </row>
    <row r="4363" spans="1:34" ht="31.5" outlineLevel="2">
      <c r="A4363" s="34"/>
      <c r="B4363" s="12" t="str">
        <f>IFERROR(VLOOKUP(D4363,'[1]Перечень товаров'!$A$2:$I9525,2,0),"")</f>
        <v>д538</v>
      </c>
      <c r="C4363" s="12" t="str">
        <f>IFERROR(VLOOKUP(D4363,'[1]Перечень товаров'!$A$2:$I9525,3,0),"")</f>
        <v>дидактика</v>
      </c>
      <c r="D4363" s="35" t="s">
        <v>1214</v>
      </c>
      <c r="E4363" s="23"/>
      <c r="F4363" s="23"/>
      <c r="G4363" s="159">
        <v>1</v>
      </c>
      <c r="H4363" s="159"/>
      <c r="I4363" s="160"/>
      <c r="J4363" s="160"/>
      <c r="K4363" s="19"/>
      <c r="L4363" s="20"/>
      <c r="M4363" s="10"/>
      <c r="N4363" s="10"/>
      <c r="O4363" s="10"/>
      <c r="P4363" s="10"/>
      <c r="Q4363" s="10"/>
      <c r="R4363" s="10"/>
      <c r="S4363" s="10"/>
      <c r="T4363" s="10"/>
      <c r="U4363" s="10"/>
      <c r="V4363" s="10"/>
      <c r="W4363" s="10"/>
      <c r="X4363" s="10"/>
      <c r="Y4363" s="10"/>
      <c r="Z4363" s="10"/>
      <c r="AA4363" s="10"/>
      <c r="AB4363" s="10"/>
      <c r="AC4363" s="10"/>
      <c r="AD4363" s="10"/>
      <c r="AE4363" s="10"/>
      <c r="AF4363" s="10"/>
      <c r="AG4363" s="10"/>
      <c r="AH4363" s="10"/>
    </row>
    <row r="4364" spans="1:34" ht="31.5" outlineLevel="2">
      <c r="A4364" s="34"/>
      <c r="B4364" s="12" t="str">
        <f>IFERROR(VLOOKUP(D4364,'[1]Перечень товаров'!$A$2:$I9525,2,0),"")</f>
        <v>д537</v>
      </c>
      <c r="C4364" s="12" t="str">
        <f>IFERROR(VLOOKUP(D4364,'[1]Перечень товаров'!$A$2:$I9525,3,0),"")</f>
        <v>дидактика</v>
      </c>
      <c r="D4364" s="35" t="s">
        <v>1215</v>
      </c>
      <c r="E4364" s="23"/>
      <c r="F4364" s="23"/>
      <c r="G4364" s="159">
        <v>1</v>
      </c>
      <c r="H4364" s="159"/>
      <c r="I4364" s="160"/>
      <c r="J4364" s="160"/>
      <c r="K4364" s="19"/>
      <c r="L4364" s="20"/>
      <c r="M4364" s="10"/>
      <c r="N4364" s="10"/>
      <c r="O4364" s="10"/>
      <c r="P4364" s="10"/>
      <c r="Q4364" s="10"/>
      <c r="R4364" s="10"/>
      <c r="S4364" s="10"/>
      <c r="T4364" s="10"/>
      <c r="U4364" s="10"/>
      <c r="V4364" s="10"/>
      <c r="W4364" s="10"/>
      <c r="X4364" s="10"/>
      <c r="Y4364" s="10"/>
      <c r="Z4364" s="10"/>
      <c r="AA4364" s="10"/>
      <c r="AB4364" s="10"/>
      <c r="AC4364" s="10"/>
      <c r="AD4364" s="10"/>
      <c r="AE4364" s="10"/>
      <c r="AF4364" s="10"/>
      <c r="AG4364" s="10"/>
      <c r="AH4364" s="10"/>
    </row>
    <row r="4365" spans="1:34" outlineLevel="2">
      <c r="A4365" s="34"/>
      <c r="B4365" s="12" t="str">
        <f>IFERROR(VLOOKUP(D4365,'[1]Перечень товаров'!$A$2:$I9525,2,0),"")</f>
        <v>д536</v>
      </c>
      <c r="C4365" s="12" t="str">
        <f>IFERROR(VLOOKUP(D4365,'[1]Перечень товаров'!$A$2:$I9525,3,0),"")</f>
        <v>дидактика</v>
      </c>
      <c r="D4365" s="35" t="s">
        <v>1216</v>
      </c>
      <c r="E4365" s="23"/>
      <c r="F4365" s="23"/>
      <c r="G4365" s="159">
        <v>1</v>
      </c>
      <c r="H4365" s="159"/>
      <c r="I4365" s="160"/>
      <c r="J4365" s="160"/>
      <c r="K4365" s="19"/>
      <c r="L4365" s="20"/>
      <c r="M4365" s="10"/>
      <c r="N4365" s="10"/>
      <c r="O4365" s="10"/>
      <c r="P4365" s="10"/>
      <c r="Q4365" s="10"/>
      <c r="R4365" s="10"/>
      <c r="S4365" s="10"/>
      <c r="T4365" s="10"/>
      <c r="U4365" s="10"/>
      <c r="V4365" s="10"/>
      <c r="W4365" s="10"/>
      <c r="X4365" s="10"/>
      <c r="Y4365" s="10"/>
      <c r="Z4365" s="10"/>
      <c r="AA4365" s="10"/>
      <c r="AB4365" s="10"/>
      <c r="AC4365" s="10"/>
      <c r="AD4365" s="10"/>
      <c r="AE4365" s="10"/>
      <c r="AF4365" s="10"/>
      <c r="AG4365" s="10"/>
      <c r="AH4365" s="10"/>
    </row>
    <row r="4366" spans="1:34" ht="31.5" outlineLevel="2">
      <c r="A4366" s="34"/>
      <c r="B4366" s="12" t="str">
        <f>IFERROR(VLOOKUP(D4366,'[1]Перечень товаров'!$A$2:$I9525,2,0),"")</f>
        <v>д535</v>
      </c>
      <c r="C4366" s="12" t="str">
        <f>IFERROR(VLOOKUP(D4366,'[1]Перечень товаров'!$A$2:$I9525,3,0),"")</f>
        <v>дидактика</v>
      </c>
      <c r="D4366" s="35" t="s">
        <v>1217</v>
      </c>
      <c r="E4366" s="23"/>
      <c r="F4366" s="23"/>
      <c r="G4366" s="159">
        <v>1</v>
      </c>
      <c r="H4366" s="159"/>
      <c r="I4366" s="160"/>
      <c r="J4366" s="160"/>
      <c r="K4366" s="19"/>
      <c r="L4366" s="20"/>
      <c r="M4366" s="10"/>
      <c r="N4366" s="10"/>
      <c r="O4366" s="10"/>
      <c r="P4366" s="10"/>
      <c r="Q4366" s="10"/>
      <c r="R4366" s="10"/>
      <c r="S4366" s="10"/>
      <c r="T4366" s="10"/>
      <c r="U4366" s="10"/>
      <c r="V4366" s="10"/>
      <c r="W4366" s="10"/>
      <c r="X4366" s="10"/>
      <c r="Y4366" s="10"/>
      <c r="Z4366" s="10"/>
      <c r="AA4366" s="10"/>
      <c r="AB4366" s="10"/>
      <c r="AC4366" s="10"/>
      <c r="AD4366" s="10"/>
      <c r="AE4366" s="10"/>
      <c r="AF4366" s="10"/>
      <c r="AG4366" s="10"/>
      <c r="AH4366" s="10"/>
    </row>
    <row r="4367" spans="1:34" ht="31.5" outlineLevel="2">
      <c r="A4367" s="34"/>
      <c r="B4367" s="12" t="str">
        <f>IFERROR(VLOOKUP(D4367,'[1]Перечень товаров'!$A$2:$I9525,2,0),"")</f>
        <v>д534</v>
      </c>
      <c r="C4367" s="12" t="str">
        <f>IFERROR(VLOOKUP(D4367,'[1]Перечень товаров'!$A$2:$I9525,3,0),"")</f>
        <v>дидактика</v>
      </c>
      <c r="D4367" s="35" t="s">
        <v>1218</v>
      </c>
      <c r="E4367" s="23"/>
      <c r="F4367" s="23"/>
      <c r="G4367" s="159">
        <v>1</v>
      </c>
      <c r="H4367" s="159"/>
      <c r="I4367" s="160"/>
      <c r="J4367" s="160"/>
      <c r="K4367" s="19"/>
      <c r="L4367" s="20"/>
      <c r="M4367" s="10"/>
      <c r="N4367" s="10"/>
      <c r="O4367" s="10"/>
      <c r="P4367" s="10"/>
      <c r="Q4367" s="10"/>
      <c r="R4367" s="10"/>
      <c r="S4367" s="10"/>
      <c r="T4367" s="10"/>
      <c r="U4367" s="10"/>
      <c r="V4367" s="10"/>
      <c r="W4367" s="10"/>
      <c r="X4367" s="10"/>
      <c r="Y4367" s="10"/>
      <c r="Z4367" s="10"/>
      <c r="AA4367" s="10"/>
      <c r="AB4367" s="10"/>
      <c r="AC4367" s="10"/>
      <c r="AD4367" s="10"/>
      <c r="AE4367" s="10"/>
      <c r="AF4367" s="10"/>
      <c r="AG4367" s="10"/>
      <c r="AH4367" s="10"/>
    </row>
    <row r="4368" spans="1:34" ht="31.5" outlineLevel="2">
      <c r="A4368" s="34"/>
      <c r="B4368" s="12" t="str">
        <f>IFERROR(VLOOKUP(D4368,'[1]Перечень товаров'!$A$2:$I9525,2,0),"")</f>
        <v>д533</v>
      </c>
      <c r="C4368" s="12" t="str">
        <f>IFERROR(VLOOKUP(D4368,'[1]Перечень товаров'!$A$2:$I9525,3,0),"")</f>
        <v>дидактика</v>
      </c>
      <c r="D4368" s="35" t="s">
        <v>1219</v>
      </c>
      <c r="E4368" s="23"/>
      <c r="F4368" s="23"/>
      <c r="G4368" s="159">
        <v>1</v>
      </c>
      <c r="H4368" s="159"/>
      <c r="I4368" s="160"/>
      <c r="J4368" s="160"/>
      <c r="K4368" s="19"/>
      <c r="L4368" s="20"/>
      <c r="M4368" s="10"/>
      <c r="N4368" s="10"/>
      <c r="O4368" s="10"/>
      <c r="P4368" s="10"/>
      <c r="Q4368" s="10"/>
      <c r="R4368" s="10"/>
      <c r="S4368" s="10"/>
      <c r="T4368" s="10"/>
      <c r="U4368" s="10"/>
      <c r="V4368" s="10"/>
      <c r="W4368" s="10"/>
      <c r="X4368" s="10"/>
      <c r="Y4368" s="10"/>
      <c r="Z4368" s="10"/>
      <c r="AA4368" s="10"/>
      <c r="AB4368" s="10"/>
      <c r="AC4368" s="10"/>
      <c r="AD4368" s="10"/>
      <c r="AE4368" s="10"/>
      <c r="AF4368" s="10"/>
      <c r="AG4368" s="10"/>
      <c r="AH4368" s="10"/>
    </row>
    <row r="4369" spans="1:34" ht="63" outlineLevel="2">
      <c r="A4369" s="34"/>
      <c r="B4369" s="12" t="str">
        <f>IFERROR(VLOOKUP(D4369,'[1]Перечень товаров'!$A$2:$I9525,2,0),"")</f>
        <v>д532</v>
      </c>
      <c r="C4369" s="12" t="str">
        <f>IFERROR(VLOOKUP(D4369,'[1]Перечень товаров'!$A$2:$I9525,3,0),"")</f>
        <v>дидактика</v>
      </c>
      <c r="D4369" s="35" t="s">
        <v>1220</v>
      </c>
      <c r="E4369" s="23"/>
      <c r="F4369" s="23"/>
      <c r="G4369" s="159">
        <v>1</v>
      </c>
      <c r="H4369" s="159"/>
      <c r="I4369" s="160"/>
      <c r="J4369" s="160"/>
      <c r="K4369" s="19"/>
      <c r="L4369" s="20"/>
      <c r="M4369" s="10"/>
      <c r="N4369" s="10"/>
      <c r="O4369" s="10"/>
      <c r="P4369" s="10"/>
      <c r="Q4369" s="10"/>
      <c r="R4369" s="10"/>
      <c r="S4369" s="10"/>
      <c r="T4369" s="10"/>
      <c r="U4369" s="10"/>
      <c r="V4369" s="10"/>
      <c r="W4369" s="10"/>
      <c r="X4369" s="10"/>
      <c r="Y4369" s="10"/>
      <c r="Z4369" s="10"/>
      <c r="AA4369" s="10"/>
      <c r="AB4369" s="10"/>
      <c r="AC4369" s="10"/>
      <c r="AD4369" s="10"/>
      <c r="AE4369" s="10"/>
      <c r="AF4369" s="10"/>
      <c r="AG4369" s="10"/>
      <c r="AH4369" s="10"/>
    </row>
    <row r="4370" spans="1:34" ht="12.75" outlineLevel="2">
      <c r="A4370" s="197"/>
      <c r="B4370" s="12" t="str">
        <f>IFERROR(VLOOKUP(D4370,'[1]Перечень товаров'!$A$2:$I9525,2,0),"")</f>
        <v/>
      </c>
      <c r="C4370" s="12" t="str">
        <f>IFERROR(VLOOKUP(D4370,'[1]Перечень товаров'!$A$2:$I9525,3,0),"")</f>
        <v/>
      </c>
      <c r="D4370" s="198" t="s">
        <v>809</v>
      </c>
      <c r="E4370" s="15"/>
      <c r="F4370" s="15"/>
      <c r="G4370" s="234"/>
      <c r="H4370" s="234"/>
      <c r="I4370" s="235"/>
      <c r="J4370" s="235"/>
      <c r="K4370" s="19"/>
      <c r="L4370" s="20"/>
      <c r="M4370" s="10"/>
      <c r="N4370" s="10"/>
      <c r="O4370" s="10"/>
      <c r="P4370" s="10"/>
      <c r="Q4370" s="10"/>
      <c r="R4370" s="10"/>
      <c r="S4370" s="10"/>
      <c r="T4370" s="10"/>
      <c r="U4370" s="10"/>
      <c r="V4370" s="10"/>
      <c r="W4370" s="10"/>
      <c r="X4370" s="10"/>
      <c r="Y4370" s="10"/>
      <c r="Z4370" s="10"/>
      <c r="AA4370" s="10"/>
      <c r="AB4370" s="10"/>
      <c r="AC4370" s="10"/>
      <c r="AD4370" s="10"/>
      <c r="AE4370" s="10"/>
      <c r="AF4370" s="10"/>
      <c r="AG4370" s="10"/>
      <c r="AH4370" s="10"/>
    </row>
    <row r="4371" spans="1:34" ht="31.5" outlineLevel="2">
      <c r="A4371" s="34"/>
      <c r="B4371" s="12" t="str">
        <f>IFERROR(VLOOKUP(D4371,'[1]Перечень товаров'!$A$2:$I9525,2,0),"")</f>
        <v>д64</v>
      </c>
      <c r="C4371" s="12" t="str">
        <f>IFERROR(VLOOKUP(D4371,'[1]Перечень товаров'!$A$2:$I9525,3,0),"")</f>
        <v>Дидактика</v>
      </c>
      <c r="D4371" s="35" t="s">
        <v>810</v>
      </c>
      <c r="E4371" s="23"/>
      <c r="F4371" s="23"/>
      <c r="G4371" s="232">
        <v>1</v>
      </c>
      <c r="H4371" s="232"/>
      <c r="I4371" s="233"/>
      <c r="J4371" s="233"/>
      <c r="K4371" s="19"/>
      <c r="L4371" s="20"/>
      <c r="M4371" s="10"/>
      <c r="N4371" s="10"/>
      <c r="O4371" s="10"/>
      <c r="P4371" s="10"/>
      <c r="Q4371" s="10"/>
      <c r="R4371" s="10"/>
      <c r="S4371" s="10"/>
      <c r="T4371" s="10"/>
      <c r="U4371" s="10"/>
      <c r="V4371" s="10"/>
      <c r="W4371" s="10"/>
      <c r="X4371" s="10"/>
      <c r="Y4371" s="10"/>
      <c r="Z4371" s="10"/>
      <c r="AA4371" s="10"/>
      <c r="AB4371" s="10"/>
      <c r="AC4371" s="10"/>
      <c r="AD4371" s="10"/>
      <c r="AE4371" s="10"/>
      <c r="AF4371" s="10"/>
      <c r="AG4371" s="10"/>
      <c r="AH4371" s="10"/>
    </row>
    <row r="4372" spans="1:34" outlineLevel="2">
      <c r="A4372" s="34"/>
      <c r="B4372" s="12" t="str">
        <f>IFERROR(VLOOKUP(D4372,'[1]Перечень товаров'!$A$2:$I9525,2,0),"")</f>
        <v>д65</v>
      </c>
      <c r="C4372" s="12" t="str">
        <f>IFERROR(VLOOKUP(D4372,'[1]Перечень товаров'!$A$2:$I9525,3,0),"")</f>
        <v>Дидактика</v>
      </c>
      <c r="D4372" s="35" t="s">
        <v>811</v>
      </c>
      <c r="E4372" s="23"/>
      <c r="F4372" s="23"/>
      <c r="G4372" s="232">
        <v>1</v>
      </c>
      <c r="H4372" s="232"/>
      <c r="I4372" s="233"/>
      <c r="J4372" s="233"/>
      <c r="K4372" s="19"/>
      <c r="L4372" s="20"/>
      <c r="M4372" s="10"/>
      <c r="N4372" s="10"/>
      <c r="O4372" s="10"/>
      <c r="P4372" s="10"/>
      <c r="Q4372" s="10"/>
      <c r="R4372" s="10"/>
      <c r="S4372" s="10"/>
      <c r="T4372" s="10"/>
      <c r="U4372" s="10"/>
      <c r="V4372" s="10"/>
      <c r="W4372" s="10"/>
      <c r="X4372" s="10"/>
      <c r="Y4372" s="10"/>
      <c r="Z4372" s="10"/>
      <c r="AA4372" s="10"/>
      <c r="AB4372" s="10"/>
      <c r="AC4372" s="10"/>
      <c r="AD4372" s="10"/>
      <c r="AE4372" s="10"/>
      <c r="AF4372" s="10"/>
      <c r="AG4372" s="10"/>
      <c r="AH4372" s="10"/>
    </row>
    <row r="4373" spans="1:34" outlineLevel="2">
      <c r="A4373" s="34"/>
      <c r="B4373" s="12" t="str">
        <f>IFERROR(VLOOKUP(D4373,'[1]Перечень товаров'!$A$2:$I9525,2,0),"")</f>
        <v>д66</v>
      </c>
      <c r="C4373" s="12" t="str">
        <f>IFERROR(VLOOKUP(D4373,'[1]Перечень товаров'!$A$2:$I9525,3,0),"")</f>
        <v>Дидактика</v>
      </c>
      <c r="D4373" s="35" t="s">
        <v>812</v>
      </c>
      <c r="E4373" s="23"/>
      <c r="F4373" s="23"/>
      <c r="G4373" s="232">
        <v>1</v>
      </c>
      <c r="H4373" s="232"/>
      <c r="I4373" s="233"/>
      <c r="J4373" s="233"/>
      <c r="K4373" s="19"/>
      <c r="L4373" s="20"/>
      <c r="M4373" s="10"/>
      <c r="N4373" s="10"/>
      <c r="O4373" s="10"/>
      <c r="P4373" s="10"/>
      <c r="Q4373" s="10"/>
      <c r="R4373" s="10"/>
      <c r="S4373" s="10"/>
      <c r="T4373" s="10"/>
      <c r="U4373" s="10"/>
      <c r="V4373" s="10"/>
      <c r="W4373" s="10"/>
      <c r="X4373" s="10"/>
      <c r="Y4373" s="10"/>
      <c r="Z4373" s="10"/>
      <c r="AA4373" s="10"/>
      <c r="AB4373" s="10"/>
      <c r="AC4373" s="10"/>
      <c r="AD4373" s="10"/>
      <c r="AE4373" s="10"/>
      <c r="AF4373" s="10"/>
      <c r="AG4373" s="10"/>
      <c r="AH4373" s="10"/>
    </row>
    <row r="4374" spans="1:34" outlineLevel="2">
      <c r="A4374" s="34"/>
      <c r="B4374" s="12" t="str">
        <f>IFERROR(VLOOKUP(D4374,'[1]Перечень товаров'!$A$2:$I9525,2,0),"")</f>
        <v>д67</v>
      </c>
      <c r="C4374" s="12" t="str">
        <f>IFERROR(VLOOKUP(D4374,'[1]Перечень товаров'!$A$2:$I9525,3,0),"")</f>
        <v>Дидактика</v>
      </c>
      <c r="D4374" s="35" t="s">
        <v>813</v>
      </c>
      <c r="E4374" s="23"/>
      <c r="F4374" s="23"/>
      <c r="G4374" s="232">
        <v>1</v>
      </c>
      <c r="H4374" s="232"/>
      <c r="I4374" s="233"/>
      <c r="J4374" s="233"/>
      <c r="K4374" s="19"/>
      <c r="L4374" s="20"/>
      <c r="M4374" s="10"/>
      <c r="N4374" s="10"/>
      <c r="O4374" s="10"/>
      <c r="P4374" s="10"/>
      <c r="Q4374" s="10"/>
      <c r="R4374" s="10"/>
      <c r="S4374" s="10"/>
      <c r="T4374" s="10"/>
      <c r="U4374" s="10"/>
      <c r="V4374" s="10"/>
      <c r="W4374" s="10"/>
      <c r="X4374" s="10"/>
      <c r="Y4374" s="10"/>
      <c r="Z4374" s="10"/>
      <c r="AA4374" s="10"/>
      <c r="AB4374" s="10"/>
      <c r="AC4374" s="10"/>
      <c r="AD4374" s="10"/>
      <c r="AE4374" s="10"/>
      <c r="AF4374" s="10"/>
      <c r="AG4374" s="10"/>
      <c r="AH4374" s="10"/>
    </row>
    <row r="4375" spans="1:34" outlineLevel="2">
      <c r="A4375" s="34"/>
      <c r="B4375" s="12" t="str">
        <f>IFERROR(VLOOKUP(D4375,'[1]Перечень товаров'!$A$2:$I9525,2,0),"")</f>
        <v>п90</v>
      </c>
      <c r="C4375" s="12" t="str">
        <f>IFERROR(VLOOKUP(D4375,'[1]Перечень товаров'!$A$2:$I9525,3,0),"")</f>
        <v>Прочее</v>
      </c>
      <c r="D4375" s="35" t="s">
        <v>723</v>
      </c>
      <c r="E4375" s="23"/>
      <c r="F4375" s="23"/>
      <c r="G4375" s="232">
        <v>1</v>
      </c>
      <c r="H4375" s="232"/>
      <c r="I4375" s="233"/>
      <c r="J4375" s="233"/>
      <c r="K4375" s="19"/>
      <c r="L4375" s="20"/>
      <c r="M4375" s="10"/>
      <c r="N4375" s="10"/>
      <c r="O4375" s="10"/>
      <c r="P4375" s="10"/>
      <c r="Q4375" s="10"/>
      <c r="R4375" s="10"/>
      <c r="S4375" s="10"/>
      <c r="T4375" s="10"/>
      <c r="U4375" s="10"/>
      <c r="V4375" s="10"/>
      <c r="W4375" s="10"/>
      <c r="X4375" s="10"/>
      <c r="Y4375" s="10"/>
      <c r="Z4375" s="10"/>
      <c r="AA4375" s="10"/>
      <c r="AB4375" s="10"/>
      <c r="AC4375" s="10"/>
      <c r="AD4375" s="10"/>
      <c r="AE4375" s="10"/>
      <c r="AF4375" s="10"/>
      <c r="AG4375" s="10"/>
      <c r="AH4375" s="10"/>
    </row>
    <row r="4376" spans="1:34" outlineLevel="2">
      <c r="A4376" s="34"/>
      <c r="B4376" s="12" t="str">
        <f>IFERROR(VLOOKUP(D4376,'[1]Перечень товаров'!$A$2:$I9525,2,0),"")</f>
        <v>д68</v>
      </c>
      <c r="C4376" s="12" t="str">
        <f>IFERROR(VLOOKUP(D4376,'[1]Перечень товаров'!$A$2:$I9525,3,0),"")</f>
        <v>Дидактика</v>
      </c>
      <c r="D4376" s="35" t="s">
        <v>814</v>
      </c>
      <c r="E4376" s="23"/>
      <c r="F4376" s="23"/>
      <c r="G4376" s="232">
        <v>3</v>
      </c>
      <c r="H4376" s="232"/>
      <c r="I4376" s="233"/>
      <c r="J4376" s="233"/>
      <c r="K4376" s="19"/>
      <c r="L4376" s="20"/>
      <c r="M4376" s="10"/>
      <c r="N4376" s="10"/>
      <c r="O4376" s="10"/>
      <c r="P4376" s="10"/>
      <c r="Q4376" s="10"/>
      <c r="R4376" s="10"/>
      <c r="S4376" s="10"/>
      <c r="T4376" s="10"/>
      <c r="U4376" s="10"/>
      <c r="V4376" s="10"/>
      <c r="W4376" s="10"/>
      <c r="X4376" s="10"/>
      <c r="Y4376" s="10"/>
      <c r="Z4376" s="10"/>
      <c r="AA4376" s="10"/>
      <c r="AB4376" s="10"/>
      <c r="AC4376" s="10"/>
      <c r="AD4376" s="10"/>
      <c r="AE4376" s="10"/>
      <c r="AF4376" s="10"/>
      <c r="AG4376" s="10"/>
      <c r="AH4376" s="10"/>
    </row>
    <row r="4377" spans="1:34" outlineLevel="2">
      <c r="A4377" s="34"/>
      <c r="B4377" s="12" t="str">
        <f>IFERROR(VLOOKUP(D4377,'[1]Перечень товаров'!$A$2:$I9525,2,0),"")</f>
        <v>д69</v>
      </c>
      <c r="C4377" s="12" t="str">
        <f>IFERROR(VLOOKUP(D4377,'[1]Перечень товаров'!$A$2:$I9525,3,0),"")</f>
        <v>Дидактика</v>
      </c>
      <c r="D4377" s="35" t="s">
        <v>815</v>
      </c>
      <c r="E4377" s="23"/>
      <c r="F4377" s="23"/>
      <c r="G4377" s="232">
        <v>8</v>
      </c>
      <c r="H4377" s="232"/>
      <c r="I4377" s="233"/>
      <c r="J4377" s="233"/>
      <c r="K4377" s="19"/>
      <c r="L4377" s="20"/>
      <c r="M4377" s="10"/>
      <c r="N4377" s="10"/>
      <c r="O4377" s="10"/>
      <c r="P4377" s="10"/>
      <c r="Q4377" s="10"/>
      <c r="R4377" s="10"/>
      <c r="S4377" s="10"/>
      <c r="T4377" s="10"/>
      <c r="U4377" s="10"/>
      <c r="V4377" s="10"/>
      <c r="W4377" s="10"/>
      <c r="X4377" s="10"/>
      <c r="Y4377" s="10"/>
      <c r="Z4377" s="10"/>
      <c r="AA4377" s="10"/>
      <c r="AB4377" s="10"/>
      <c r="AC4377" s="10"/>
      <c r="AD4377" s="10"/>
      <c r="AE4377" s="10"/>
      <c r="AF4377" s="10"/>
      <c r="AG4377" s="10"/>
      <c r="AH4377" s="10"/>
    </row>
    <row r="4378" spans="1:34" ht="12.75" outlineLevel="1">
      <c r="A4378" s="11"/>
      <c r="B4378" s="12" t="str">
        <f>IFERROR(VLOOKUP(D4378,'[1]Перечень товаров'!$A$2:$I9525,2,0),"")</f>
        <v/>
      </c>
      <c r="C4378" s="12" t="str">
        <f>IFERROR(VLOOKUP(D4378,'[1]Перечень товаров'!$A$2:$I9525,3,0),"")</f>
        <v/>
      </c>
      <c r="D4378" s="27" t="s">
        <v>1221</v>
      </c>
      <c r="E4378" s="14">
        <v>61.5</v>
      </c>
      <c r="F4378" s="14"/>
      <c r="G4378" s="17"/>
      <c r="H4378" s="17"/>
      <c r="I4378" s="57"/>
      <c r="J4378" s="57"/>
      <c r="K4378" s="19"/>
      <c r="L4378" s="20"/>
      <c r="M4378" s="10"/>
      <c r="N4378" s="10"/>
      <c r="O4378" s="10"/>
      <c r="P4378" s="10"/>
      <c r="Q4378" s="10"/>
      <c r="R4378" s="10"/>
      <c r="S4378" s="10"/>
      <c r="T4378" s="10"/>
      <c r="U4378" s="10"/>
      <c r="V4378" s="10"/>
      <c r="W4378" s="10"/>
      <c r="X4378" s="10"/>
      <c r="Y4378" s="10"/>
      <c r="Z4378" s="10"/>
      <c r="AA4378" s="10"/>
      <c r="AB4378" s="10"/>
      <c r="AC4378" s="10"/>
      <c r="AD4378" s="10"/>
      <c r="AE4378" s="10"/>
      <c r="AF4378" s="10"/>
      <c r="AG4378" s="10"/>
      <c r="AH4378" s="10"/>
    </row>
    <row r="4379" spans="1:34" ht="12.75" outlineLevel="2">
      <c r="A4379" s="197"/>
      <c r="B4379" s="12" t="str">
        <f>IFERROR(VLOOKUP(D4379,'[1]Перечень товаров'!$A$2:$I9525,2,0),"")</f>
        <v/>
      </c>
      <c r="C4379" s="12" t="str">
        <f>IFERROR(VLOOKUP(D4379,'[1]Перечень товаров'!$A$2:$I9525,3,0),"")</f>
        <v/>
      </c>
      <c r="D4379" s="198" t="s">
        <v>668</v>
      </c>
      <c r="E4379" s="15"/>
      <c r="F4379" s="15"/>
      <c r="G4379" s="17"/>
      <c r="H4379" s="17"/>
      <c r="I4379" s="57"/>
      <c r="J4379" s="57"/>
      <c r="K4379" s="19"/>
      <c r="L4379" s="20"/>
      <c r="M4379" s="10"/>
      <c r="N4379" s="10"/>
      <c r="O4379" s="10"/>
      <c r="P4379" s="10"/>
      <c r="Q4379" s="10"/>
      <c r="R4379" s="10"/>
      <c r="S4379" s="10"/>
      <c r="T4379" s="10"/>
      <c r="U4379" s="10"/>
      <c r="V4379" s="10"/>
      <c r="W4379" s="10"/>
      <c r="X4379" s="10"/>
      <c r="Y4379" s="10"/>
      <c r="Z4379" s="10"/>
      <c r="AA4379" s="10"/>
      <c r="AB4379" s="10"/>
      <c r="AC4379" s="10"/>
      <c r="AD4379" s="10"/>
      <c r="AE4379" s="10"/>
      <c r="AF4379" s="10"/>
      <c r="AG4379" s="10"/>
      <c r="AH4379" s="10"/>
    </row>
    <row r="4380" spans="1:34" outlineLevel="2">
      <c r="A4380" s="34"/>
      <c r="B4380" s="12" t="str">
        <f>IFERROR(VLOOKUP(D4380,'[1]Перечень товаров'!$A$2:$I9525,2,0),"")</f>
        <v>т129</v>
      </c>
      <c r="C4380" s="12" t="str">
        <f>IFERROR(VLOOKUP(D4380,'[1]Перечень товаров'!$A$2:$I9525,3,0),"")</f>
        <v>Техника</v>
      </c>
      <c r="D4380" s="35" t="s">
        <v>1204</v>
      </c>
      <c r="E4380" s="23"/>
      <c r="F4380" s="23"/>
      <c r="G4380" s="232">
        <v>1</v>
      </c>
      <c r="H4380" s="232"/>
      <c r="I4380" s="233"/>
      <c r="J4380" s="233"/>
      <c r="K4380" s="19"/>
      <c r="L4380" s="20"/>
      <c r="M4380" s="10"/>
      <c r="N4380" s="10"/>
      <c r="O4380" s="10"/>
      <c r="P4380" s="10"/>
      <c r="Q4380" s="10"/>
      <c r="R4380" s="10"/>
      <c r="S4380" s="10"/>
      <c r="T4380" s="10"/>
      <c r="U4380" s="10"/>
      <c r="V4380" s="10"/>
      <c r="W4380" s="10"/>
      <c r="X4380" s="10"/>
      <c r="Y4380" s="10"/>
      <c r="Z4380" s="10"/>
      <c r="AA4380" s="10"/>
      <c r="AB4380" s="10"/>
      <c r="AC4380" s="10"/>
      <c r="AD4380" s="10"/>
      <c r="AE4380" s="10"/>
      <c r="AF4380" s="10"/>
      <c r="AG4380" s="10"/>
      <c r="AH4380" s="10"/>
    </row>
    <row r="4381" spans="1:34" outlineLevel="2">
      <c r="A4381" s="34"/>
      <c r="B4381" s="12" t="str">
        <f>IFERROR(VLOOKUP(D4381,'[1]Перечень товаров'!$A$2:$I9525,2,0),"")</f>
        <v>т128</v>
      </c>
      <c r="C4381" s="12" t="str">
        <f>IFERROR(VLOOKUP(D4381,'[1]Перечень товаров'!$A$2:$I9525,3,0),"")</f>
        <v>Техника</v>
      </c>
      <c r="D4381" s="35" t="s">
        <v>1205</v>
      </c>
      <c r="E4381" s="23"/>
      <c r="F4381" s="23"/>
      <c r="G4381" s="232">
        <v>1</v>
      </c>
      <c r="H4381" s="232"/>
      <c r="I4381" s="233"/>
      <c r="J4381" s="233"/>
      <c r="K4381" s="19"/>
      <c r="L4381" s="20"/>
      <c r="M4381" s="10"/>
      <c r="N4381" s="10"/>
      <c r="O4381" s="10"/>
      <c r="P4381" s="10"/>
      <c r="Q4381" s="10"/>
      <c r="R4381" s="10"/>
      <c r="S4381" s="10"/>
      <c r="T4381" s="10"/>
      <c r="U4381" s="10"/>
      <c r="V4381" s="10"/>
      <c r="W4381" s="10"/>
      <c r="X4381" s="10"/>
      <c r="Y4381" s="10"/>
      <c r="Z4381" s="10"/>
      <c r="AA4381" s="10"/>
      <c r="AB4381" s="10"/>
      <c r="AC4381" s="10"/>
      <c r="AD4381" s="10"/>
      <c r="AE4381" s="10"/>
      <c r="AF4381" s="10"/>
      <c r="AG4381" s="10"/>
      <c r="AH4381" s="10"/>
    </row>
    <row r="4382" spans="1:34" outlineLevel="2">
      <c r="A4382" s="34"/>
      <c r="B4382" s="12" t="str">
        <f>IFERROR(VLOOKUP(D4382,'[1]Перечень товаров'!$A$2:$I9525,2,0),"")</f>
        <v>т1</v>
      </c>
      <c r="C4382" s="12" t="str">
        <f>IFERROR(VLOOKUP(D4382,'[1]Перечень товаров'!$A$2:$I9525,3,0),"")</f>
        <v xml:space="preserve">Техника </v>
      </c>
      <c r="D4382" s="22" t="s">
        <v>28</v>
      </c>
      <c r="E4382" s="23"/>
      <c r="F4382" s="23"/>
      <c r="G4382" s="232">
        <v>1</v>
      </c>
      <c r="H4382" s="232"/>
      <c r="I4382" s="233"/>
      <c r="J4382" s="233"/>
      <c r="K4382" s="19"/>
      <c r="L4382" s="20"/>
      <c r="M4382" s="10"/>
      <c r="N4382" s="10"/>
      <c r="O4382" s="10"/>
      <c r="P4382" s="10"/>
      <c r="Q4382" s="10"/>
      <c r="R4382" s="10"/>
      <c r="S4382" s="10"/>
      <c r="T4382" s="10"/>
      <c r="U4382" s="10"/>
      <c r="V4382" s="10"/>
      <c r="W4382" s="10"/>
      <c r="X4382" s="10"/>
      <c r="Y4382" s="10"/>
      <c r="Z4382" s="10"/>
      <c r="AA4382" s="10"/>
      <c r="AB4382" s="10"/>
      <c r="AC4382" s="10"/>
      <c r="AD4382" s="10"/>
      <c r="AE4382" s="10"/>
      <c r="AF4382" s="10"/>
      <c r="AG4382" s="10"/>
      <c r="AH4382" s="10"/>
    </row>
    <row r="4383" spans="1:34" outlineLevel="2">
      <c r="A4383" s="34"/>
      <c r="B4383" s="12" t="str">
        <f>IFERROR(VLOOKUP(D4383,'[1]Перечень товаров'!$A$2:$I9525,2,0),"")</f>
        <v>т235</v>
      </c>
      <c r="C4383" s="12" t="str">
        <f>IFERROR(VLOOKUP(D4383,'[1]Перечень товаров'!$A$2:$I9525,3,0),"")</f>
        <v>Техника</v>
      </c>
      <c r="D4383" s="35" t="s">
        <v>742</v>
      </c>
      <c r="E4383" s="23"/>
      <c r="F4383" s="23"/>
      <c r="G4383" s="232">
        <v>1</v>
      </c>
      <c r="H4383" s="232"/>
      <c r="I4383" s="233"/>
      <c r="J4383" s="233"/>
      <c r="K4383" s="19"/>
      <c r="L4383" s="20"/>
      <c r="M4383" s="10"/>
      <c r="N4383" s="10"/>
      <c r="O4383" s="10"/>
      <c r="P4383" s="10"/>
      <c r="Q4383" s="10"/>
      <c r="R4383" s="10"/>
      <c r="S4383" s="10"/>
      <c r="T4383" s="10"/>
      <c r="U4383" s="10"/>
      <c r="V4383" s="10"/>
      <c r="W4383" s="10"/>
      <c r="X4383" s="10"/>
      <c r="Y4383" s="10"/>
      <c r="Z4383" s="10"/>
      <c r="AA4383" s="10"/>
      <c r="AB4383" s="10"/>
      <c r="AC4383" s="10"/>
      <c r="AD4383" s="10"/>
      <c r="AE4383" s="10"/>
      <c r="AF4383" s="10"/>
      <c r="AG4383" s="10"/>
      <c r="AH4383" s="10"/>
    </row>
    <row r="4384" spans="1:34" outlineLevel="2">
      <c r="A4384" s="34"/>
      <c r="B4384" s="12" t="str">
        <f>IFERROR(VLOOKUP(D4384,'[1]Перечень товаров'!$A$2:$I9525,2,0),"")</f>
        <v>т8</v>
      </c>
      <c r="C4384" s="12" t="str">
        <f>IFERROR(VLOOKUP(D4384,'[1]Перечень товаров'!$A$2:$I9525,3,0),"")</f>
        <v xml:space="preserve">Техника </v>
      </c>
      <c r="D4384" s="35" t="s">
        <v>35</v>
      </c>
      <c r="E4384" s="23"/>
      <c r="F4384" s="23"/>
      <c r="G4384" s="232">
        <v>1</v>
      </c>
      <c r="H4384" s="232"/>
      <c r="I4384" s="233"/>
      <c r="J4384" s="233"/>
      <c r="K4384" s="19"/>
      <c r="L4384" s="20"/>
      <c r="M4384" s="10"/>
      <c r="N4384" s="10"/>
      <c r="O4384" s="10"/>
      <c r="P4384" s="10"/>
      <c r="Q4384" s="10"/>
      <c r="R4384" s="10"/>
      <c r="S4384" s="10"/>
      <c r="T4384" s="10"/>
      <c r="U4384" s="10"/>
      <c r="V4384" s="10"/>
      <c r="W4384" s="10"/>
      <c r="X4384" s="10"/>
      <c r="Y4384" s="10"/>
      <c r="Z4384" s="10"/>
      <c r="AA4384" s="10"/>
      <c r="AB4384" s="10"/>
      <c r="AC4384" s="10"/>
      <c r="AD4384" s="10"/>
      <c r="AE4384" s="10"/>
      <c r="AF4384" s="10"/>
      <c r="AG4384" s="10"/>
      <c r="AH4384" s="10"/>
    </row>
    <row r="4385" spans="1:34" outlineLevel="2">
      <c r="A4385" s="34"/>
      <c r="B4385" s="12" t="str">
        <f>IFERROR(VLOOKUP(D4385,'[1]Перечень товаров'!$A$2:$I9525,2,0),"")</f>
        <v>т4</v>
      </c>
      <c r="C4385" s="12" t="str">
        <f>IFERROR(VLOOKUP(D4385,'[1]Перечень товаров'!$A$2:$I9525,3,0),"")</f>
        <v xml:space="preserve">Техника </v>
      </c>
      <c r="D4385" s="35" t="s">
        <v>31</v>
      </c>
      <c r="E4385" s="23"/>
      <c r="F4385" s="23"/>
      <c r="G4385" s="232">
        <v>1</v>
      </c>
      <c r="H4385" s="232"/>
      <c r="I4385" s="233"/>
      <c r="J4385" s="233"/>
      <c r="K4385" s="19"/>
      <c r="L4385" s="20"/>
      <c r="M4385" s="10"/>
      <c r="N4385" s="10"/>
      <c r="O4385" s="10"/>
      <c r="P4385" s="10"/>
      <c r="Q4385" s="10"/>
      <c r="R4385" s="10"/>
      <c r="S4385" s="10"/>
      <c r="T4385" s="10"/>
      <c r="U4385" s="10"/>
      <c r="V4385" s="10"/>
      <c r="W4385" s="10"/>
      <c r="X4385" s="10"/>
      <c r="Y4385" s="10"/>
      <c r="Z4385" s="10"/>
      <c r="AA4385" s="10"/>
      <c r="AB4385" s="10"/>
      <c r="AC4385" s="10"/>
      <c r="AD4385" s="10"/>
      <c r="AE4385" s="10"/>
      <c r="AF4385" s="10"/>
      <c r="AG4385" s="10"/>
      <c r="AH4385" s="10"/>
    </row>
    <row r="4386" spans="1:34" outlineLevel="2">
      <c r="A4386" s="34"/>
      <c r="B4386" s="12" t="str">
        <f>IFERROR(VLOOKUP(D4386,'[1]Перечень товаров'!$A$2:$I9525,2,0),"")</f>
        <v>т236</v>
      </c>
      <c r="C4386" s="12" t="str">
        <f>IFERROR(VLOOKUP(D4386,'[1]Перечень товаров'!$A$2:$I9525,3,0),"")</f>
        <v>Техника</v>
      </c>
      <c r="D4386" s="35" t="s">
        <v>743</v>
      </c>
      <c r="E4386" s="23"/>
      <c r="F4386" s="23"/>
      <c r="G4386" s="232">
        <v>1</v>
      </c>
      <c r="H4386" s="232"/>
      <c r="I4386" s="233"/>
      <c r="J4386" s="233"/>
      <c r="K4386" s="19"/>
      <c r="L4386" s="20"/>
      <c r="M4386" s="10"/>
      <c r="N4386" s="10"/>
      <c r="O4386" s="10"/>
      <c r="P4386" s="10"/>
      <c r="Q4386" s="10"/>
      <c r="R4386" s="10"/>
      <c r="S4386" s="10"/>
      <c r="T4386" s="10"/>
      <c r="U4386" s="10"/>
      <c r="V4386" s="10"/>
      <c r="W4386" s="10"/>
      <c r="X4386" s="10"/>
      <c r="Y4386" s="10"/>
      <c r="Z4386" s="10"/>
      <c r="AA4386" s="10"/>
      <c r="AB4386" s="10"/>
      <c r="AC4386" s="10"/>
      <c r="AD4386" s="10"/>
      <c r="AE4386" s="10"/>
      <c r="AF4386" s="10"/>
      <c r="AG4386" s="10"/>
      <c r="AH4386" s="10"/>
    </row>
    <row r="4387" spans="1:34" outlineLevel="2">
      <c r="A4387" s="34"/>
      <c r="B4387" s="12" t="str">
        <f>IFERROR(VLOOKUP(D4387,'[1]Перечень товаров'!$A$2:$I9525,2,0),"")</f>
        <v>т237</v>
      </c>
      <c r="C4387" s="12" t="str">
        <f>IFERROR(VLOOKUP(D4387,'[1]Перечень товаров'!$A$2:$I9525,3,0),"")</f>
        <v>Техника</v>
      </c>
      <c r="D4387" s="35" t="s">
        <v>744</v>
      </c>
      <c r="E4387" s="23"/>
      <c r="F4387" s="23"/>
      <c r="G4387" s="232">
        <v>2</v>
      </c>
      <c r="H4387" s="232"/>
      <c r="I4387" s="233"/>
      <c r="J4387" s="233"/>
      <c r="K4387" s="19"/>
      <c r="L4387" s="20"/>
      <c r="M4387" s="10"/>
      <c r="N4387" s="10"/>
      <c r="O4387" s="10"/>
      <c r="P4387" s="10"/>
      <c r="Q4387" s="10"/>
      <c r="R4387" s="10"/>
      <c r="S4387" s="10"/>
      <c r="T4387" s="10"/>
      <c r="U4387" s="10"/>
      <c r="V4387" s="10"/>
      <c r="W4387" s="10"/>
      <c r="X4387" s="10"/>
      <c r="Y4387" s="10"/>
      <c r="Z4387" s="10"/>
      <c r="AA4387" s="10"/>
      <c r="AB4387" s="10"/>
      <c r="AC4387" s="10"/>
      <c r="AD4387" s="10"/>
      <c r="AE4387" s="10"/>
      <c r="AF4387" s="10"/>
      <c r="AG4387" s="10"/>
      <c r="AH4387" s="10"/>
    </row>
    <row r="4388" spans="1:34" ht="12.75" outlineLevel="2">
      <c r="A4388" s="197"/>
      <c r="B4388" s="12" t="str">
        <f>IFERROR(VLOOKUP(D4388,'[1]Перечень товаров'!$A$2:$I9525,2,0),"")</f>
        <v/>
      </c>
      <c r="C4388" s="12" t="str">
        <f>IFERROR(VLOOKUP(D4388,'[1]Перечень товаров'!$A$2:$I9525,3,0),"")</f>
        <v/>
      </c>
      <c r="D4388" s="198" t="s">
        <v>1222</v>
      </c>
      <c r="E4388" s="15"/>
      <c r="F4388" s="15"/>
      <c r="G4388" s="234"/>
      <c r="H4388" s="234"/>
      <c r="I4388" s="235"/>
      <c r="J4388" s="235"/>
      <c r="K4388" s="19"/>
      <c r="L4388" s="20"/>
      <c r="M4388" s="10"/>
      <c r="N4388" s="10"/>
      <c r="O4388" s="10"/>
      <c r="P4388" s="10"/>
      <c r="Q4388" s="10"/>
      <c r="R4388" s="10"/>
      <c r="S4388" s="10"/>
      <c r="T4388" s="10"/>
      <c r="U4388" s="10"/>
      <c r="V4388" s="10"/>
      <c r="W4388" s="10"/>
      <c r="X4388" s="10"/>
      <c r="Y4388" s="10"/>
      <c r="Z4388" s="10"/>
      <c r="AA4388" s="10"/>
      <c r="AB4388" s="10"/>
      <c r="AC4388" s="10"/>
      <c r="AD4388" s="10"/>
      <c r="AE4388" s="10"/>
      <c r="AF4388" s="10"/>
      <c r="AG4388" s="10"/>
      <c r="AH4388" s="10"/>
    </row>
    <row r="4389" spans="1:34" outlineLevel="2">
      <c r="A4389" s="34"/>
      <c r="B4389" s="12" t="str">
        <f>IFERROR(VLOOKUP(D4389,'[1]Перечень товаров'!$A$2:$I9525,2,0),"")</f>
        <v>д531</v>
      </c>
      <c r="C4389" s="12" t="str">
        <f>IFERROR(VLOOKUP(D4389,'[1]Перечень товаров'!$A$2:$I9525,3,0),"")</f>
        <v>дидактика</v>
      </c>
      <c r="D4389" s="35" t="s">
        <v>1223</v>
      </c>
      <c r="E4389" s="23"/>
      <c r="F4389" s="23"/>
      <c r="G4389" s="59">
        <v>3</v>
      </c>
      <c r="H4389" s="59"/>
      <c r="I4389" s="60"/>
      <c r="J4389" s="60"/>
      <c r="K4389" s="19"/>
      <c r="L4389" s="20"/>
      <c r="M4389" s="10"/>
      <c r="N4389" s="10"/>
      <c r="O4389" s="10"/>
      <c r="P4389" s="10"/>
      <c r="Q4389" s="10"/>
      <c r="R4389" s="10"/>
      <c r="S4389" s="10"/>
      <c r="T4389" s="10"/>
      <c r="U4389" s="10"/>
      <c r="V4389" s="10"/>
      <c r="W4389" s="10"/>
      <c r="X4389" s="10"/>
      <c r="Y4389" s="10"/>
      <c r="Z4389" s="10"/>
      <c r="AA4389" s="10"/>
      <c r="AB4389" s="10"/>
      <c r="AC4389" s="10"/>
      <c r="AD4389" s="10"/>
      <c r="AE4389" s="10"/>
      <c r="AF4389" s="10"/>
      <c r="AG4389" s="10"/>
      <c r="AH4389" s="10"/>
    </row>
    <row r="4390" spans="1:34" ht="31.5" outlineLevel="2">
      <c r="A4390" s="34"/>
      <c r="B4390" s="12" t="str">
        <f>IFERROR(VLOOKUP(D4390,'[1]Перечень товаров'!$A$2:$I9525,2,0),"")</f>
        <v>д530</v>
      </c>
      <c r="C4390" s="12" t="str">
        <f>IFERROR(VLOOKUP(D4390,'[1]Перечень товаров'!$A$2:$I9525,3,0),"")</f>
        <v>дидактика</v>
      </c>
      <c r="D4390" s="35" t="s">
        <v>1224</v>
      </c>
      <c r="E4390" s="23"/>
      <c r="F4390" s="23"/>
      <c r="G4390" s="59">
        <v>3</v>
      </c>
      <c r="H4390" s="59"/>
      <c r="I4390" s="60"/>
      <c r="J4390" s="60"/>
      <c r="K4390" s="19"/>
      <c r="L4390" s="20"/>
      <c r="M4390" s="10"/>
      <c r="N4390" s="10"/>
      <c r="O4390" s="10"/>
      <c r="P4390" s="10"/>
      <c r="Q4390" s="10"/>
      <c r="R4390" s="10"/>
      <c r="S4390" s="10"/>
      <c r="T4390" s="10"/>
      <c r="U4390" s="10"/>
      <c r="V4390" s="10"/>
      <c r="W4390" s="10"/>
      <c r="X4390" s="10"/>
      <c r="Y4390" s="10"/>
      <c r="Z4390" s="10"/>
      <c r="AA4390" s="10"/>
      <c r="AB4390" s="10"/>
      <c r="AC4390" s="10"/>
      <c r="AD4390" s="10"/>
      <c r="AE4390" s="10"/>
      <c r="AF4390" s="10"/>
      <c r="AG4390" s="10"/>
      <c r="AH4390" s="10"/>
    </row>
    <row r="4391" spans="1:34" outlineLevel="2">
      <c r="A4391" s="34"/>
      <c r="B4391" s="12" t="str">
        <f>IFERROR(VLOOKUP(D4391,'[1]Перечень товаров'!$A$2:$I9525,2,0),"")</f>
        <v>д529</v>
      </c>
      <c r="C4391" s="12" t="str">
        <f>IFERROR(VLOOKUP(D4391,'[1]Перечень товаров'!$A$2:$I9525,3,0),"")</f>
        <v>дидактика</v>
      </c>
      <c r="D4391" s="35" t="s">
        <v>1225</v>
      </c>
      <c r="E4391" s="23"/>
      <c r="F4391" s="23"/>
      <c r="G4391" s="59">
        <v>3</v>
      </c>
      <c r="H4391" s="59"/>
      <c r="I4391" s="60"/>
      <c r="J4391" s="60"/>
      <c r="K4391" s="19"/>
      <c r="L4391" s="20"/>
      <c r="M4391" s="10"/>
      <c r="N4391" s="10"/>
      <c r="O4391" s="10"/>
      <c r="P4391" s="10"/>
      <c r="Q4391" s="10"/>
      <c r="R4391" s="10"/>
      <c r="S4391" s="10"/>
      <c r="T4391" s="10"/>
      <c r="U4391" s="10"/>
      <c r="V4391" s="10"/>
      <c r="W4391" s="10"/>
      <c r="X4391" s="10"/>
      <c r="Y4391" s="10"/>
      <c r="Z4391" s="10"/>
      <c r="AA4391" s="10"/>
      <c r="AB4391" s="10"/>
      <c r="AC4391" s="10"/>
      <c r="AD4391" s="10"/>
      <c r="AE4391" s="10"/>
      <c r="AF4391" s="10"/>
      <c r="AG4391" s="10"/>
      <c r="AH4391" s="10"/>
    </row>
    <row r="4392" spans="1:34" outlineLevel="2">
      <c r="A4392" s="34"/>
      <c r="B4392" s="12" t="str">
        <f>IFERROR(VLOOKUP(D4392,'[1]Перечень товаров'!$A$2:$I9525,2,0),"")</f>
        <v>д528</v>
      </c>
      <c r="C4392" s="12" t="str">
        <f>IFERROR(VLOOKUP(D4392,'[1]Перечень товаров'!$A$2:$I9525,3,0),"")</f>
        <v>дидактика</v>
      </c>
      <c r="D4392" s="35" t="s">
        <v>1226</v>
      </c>
      <c r="E4392" s="23"/>
      <c r="F4392" s="23"/>
      <c r="G4392" s="59">
        <v>3</v>
      </c>
      <c r="H4392" s="59"/>
      <c r="I4392" s="60"/>
      <c r="J4392" s="60"/>
      <c r="K4392" s="19"/>
      <c r="L4392" s="20"/>
      <c r="M4392" s="10"/>
      <c r="N4392" s="10"/>
      <c r="O4392" s="10"/>
      <c r="P4392" s="10"/>
      <c r="Q4392" s="10"/>
      <c r="R4392" s="10"/>
      <c r="S4392" s="10"/>
      <c r="T4392" s="10"/>
      <c r="U4392" s="10"/>
      <c r="V4392" s="10"/>
      <c r="W4392" s="10"/>
      <c r="X4392" s="10"/>
      <c r="Y4392" s="10"/>
      <c r="Z4392" s="10"/>
      <c r="AA4392" s="10"/>
      <c r="AB4392" s="10"/>
      <c r="AC4392" s="10"/>
      <c r="AD4392" s="10"/>
      <c r="AE4392" s="10"/>
      <c r="AF4392" s="10"/>
      <c r="AG4392" s="10"/>
      <c r="AH4392" s="10"/>
    </row>
    <row r="4393" spans="1:34" ht="31.5" outlineLevel="2">
      <c r="A4393" s="34"/>
      <c r="B4393" s="12" t="str">
        <f>IFERROR(VLOOKUP(D4393,'[1]Перечень товаров'!$A$2:$I9525,2,0),"")</f>
        <v>д527</v>
      </c>
      <c r="C4393" s="12" t="str">
        <f>IFERROR(VLOOKUP(D4393,'[1]Перечень товаров'!$A$2:$I9525,3,0),"")</f>
        <v>дидактика</v>
      </c>
      <c r="D4393" s="35" t="s">
        <v>1227</v>
      </c>
      <c r="E4393" s="23"/>
      <c r="F4393" s="23"/>
      <c r="G4393" s="59">
        <v>3</v>
      </c>
      <c r="H4393" s="59"/>
      <c r="I4393" s="60"/>
      <c r="J4393" s="60"/>
      <c r="K4393" s="19"/>
      <c r="L4393" s="20"/>
      <c r="M4393" s="10"/>
      <c r="N4393" s="10"/>
      <c r="O4393" s="10"/>
      <c r="P4393" s="10"/>
      <c r="Q4393" s="10"/>
      <c r="R4393" s="10"/>
      <c r="S4393" s="10"/>
      <c r="T4393" s="10"/>
      <c r="U4393" s="10"/>
      <c r="V4393" s="10"/>
      <c r="W4393" s="10"/>
      <c r="X4393" s="10"/>
      <c r="Y4393" s="10"/>
      <c r="Z4393" s="10"/>
      <c r="AA4393" s="10"/>
      <c r="AB4393" s="10"/>
      <c r="AC4393" s="10"/>
      <c r="AD4393" s="10"/>
      <c r="AE4393" s="10"/>
      <c r="AF4393" s="10"/>
      <c r="AG4393" s="10"/>
      <c r="AH4393" s="10"/>
    </row>
    <row r="4394" spans="1:34" ht="31.5" outlineLevel="2">
      <c r="A4394" s="34"/>
      <c r="B4394" s="12" t="str">
        <f>IFERROR(VLOOKUP(D4394,'[1]Перечень товаров'!$A$2:$I9525,2,0),"")</f>
        <v>д526</v>
      </c>
      <c r="C4394" s="12" t="str">
        <f>IFERROR(VLOOKUP(D4394,'[1]Перечень товаров'!$A$2:$I9525,3,0),"")</f>
        <v>дидактика</v>
      </c>
      <c r="D4394" s="35" t="s">
        <v>1228</v>
      </c>
      <c r="E4394" s="23"/>
      <c r="F4394" s="23"/>
      <c r="G4394" s="59">
        <v>3</v>
      </c>
      <c r="H4394" s="59"/>
      <c r="I4394" s="60"/>
      <c r="J4394" s="60"/>
      <c r="K4394" s="19"/>
      <c r="L4394" s="20"/>
      <c r="M4394" s="10"/>
      <c r="N4394" s="10"/>
      <c r="O4394" s="10"/>
      <c r="P4394" s="10"/>
      <c r="Q4394" s="10"/>
      <c r="R4394" s="10"/>
      <c r="S4394" s="10"/>
      <c r="T4394" s="10"/>
      <c r="U4394" s="10"/>
      <c r="V4394" s="10"/>
      <c r="W4394" s="10"/>
      <c r="X4394" s="10"/>
      <c r="Y4394" s="10"/>
      <c r="Z4394" s="10"/>
      <c r="AA4394" s="10"/>
      <c r="AB4394" s="10"/>
      <c r="AC4394" s="10"/>
      <c r="AD4394" s="10"/>
      <c r="AE4394" s="10"/>
      <c r="AF4394" s="10"/>
      <c r="AG4394" s="10"/>
      <c r="AH4394" s="10"/>
    </row>
    <row r="4395" spans="1:34" ht="31.5" outlineLevel="2">
      <c r="A4395" s="34"/>
      <c r="B4395" s="12" t="str">
        <f>IFERROR(VLOOKUP(D4395,'[1]Перечень товаров'!$A$2:$I9525,2,0),"")</f>
        <v>т126</v>
      </c>
      <c r="C4395" s="12" t="str">
        <f>IFERROR(VLOOKUP(D4395,'[1]Перечень товаров'!$A$2:$I9525,3,0),"")</f>
        <v>Техника</v>
      </c>
      <c r="D4395" s="35" t="s">
        <v>1229</v>
      </c>
      <c r="E4395" s="23"/>
      <c r="F4395" s="23"/>
      <c r="G4395" s="59">
        <v>1</v>
      </c>
      <c r="H4395" s="59"/>
      <c r="I4395" s="60"/>
      <c r="J4395" s="60"/>
      <c r="K4395" s="19"/>
      <c r="L4395" s="20"/>
      <c r="M4395" s="10"/>
      <c r="N4395" s="10"/>
      <c r="O4395" s="10"/>
      <c r="P4395" s="10"/>
      <c r="Q4395" s="10"/>
      <c r="R4395" s="10"/>
      <c r="S4395" s="10"/>
      <c r="T4395" s="10"/>
      <c r="U4395" s="10"/>
      <c r="V4395" s="10"/>
      <c r="W4395" s="10"/>
      <c r="X4395" s="10"/>
      <c r="Y4395" s="10"/>
      <c r="Z4395" s="10"/>
      <c r="AA4395" s="10"/>
      <c r="AB4395" s="10"/>
      <c r="AC4395" s="10"/>
      <c r="AD4395" s="10"/>
      <c r="AE4395" s="10"/>
      <c r="AF4395" s="10"/>
      <c r="AG4395" s="10"/>
      <c r="AH4395" s="10"/>
    </row>
    <row r="4396" spans="1:34" ht="12.75" outlineLevel="2">
      <c r="A4396" s="197"/>
      <c r="B4396" s="12" t="str">
        <f>IFERROR(VLOOKUP(D4396,'[1]Перечень товаров'!$A$2:$I9525,2,0),"")</f>
        <v/>
      </c>
      <c r="C4396" s="12" t="str">
        <f>IFERROR(VLOOKUP(D4396,'[1]Перечень товаров'!$A$2:$I9525,3,0),"")</f>
        <v/>
      </c>
      <c r="D4396" s="198" t="s">
        <v>19</v>
      </c>
      <c r="E4396" s="15"/>
      <c r="F4396" s="15"/>
      <c r="G4396" s="234"/>
      <c r="H4396" s="234"/>
      <c r="I4396" s="235"/>
      <c r="J4396" s="235"/>
      <c r="K4396" s="19"/>
      <c r="L4396" s="20"/>
      <c r="M4396" s="10"/>
      <c r="N4396" s="10"/>
      <c r="O4396" s="10"/>
      <c r="P4396" s="10"/>
      <c r="Q4396" s="10"/>
      <c r="R4396" s="10"/>
      <c r="S4396" s="10"/>
      <c r="T4396" s="10"/>
      <c r="U4396" s="10"/>
      <c r="V4396" s="10"/>
      <c r="W4396" s="10"/>
      <c r="X4396" s="10"/>
      <c r="Y4396" s="10"/>
      <c r="Z4396" s="10"/>
      <c r="AA4396" s="10"/>
      <c r="AB4396" s="10"/>
      <c r="AC4396" s="10"/>
      <c r="AD4396" s="10"/>
      <c r="AE4396" s="10"/>
      <c r="AF4396" s="10"/>
      <c r="AG4396" s="10"/>
      <c r="AH4396" s="10"/>
    </row>
    <row r="4397" spans="1:34" outlineLevel="2">
      <c r="A4397" s="34"/>
      <c r="B4397" s="12" t="str">
        <f>IFERROR(VLOOKUP(D4397,'[1]Перечень товаров'!$A$2:$I9525,2,0),"")</f>
        <v>м62</v>
      </c>
      <c r="C4397" s="12" t="str">
        <f>IFERROR(VLOOKUP(D4397,'[1]Перечень товаров'!$A$2:$I9525,3,0),"")</f>
        <v>Мебель</v>
      </c>
      <c r="D4397" s="35" t="s">
        <v>398</v>
      </c>
      <c r="E4397" s="23"/>
      <c r="F4397" s="23"/>
      <c r="G4397" s="232">
        <v>1</v>
      </c>
      <c r="H4397" s="232"/>
      <c r="I4397" s="233"/>
      <c r="J4397" s="233"/>
      <c r="K4397" s="19"/>
      <c r="L4397" s="20"/>
      <c r="M4397" s="10"/>
      <c r="N4397" s="10"/>
      <c r="O4397" s="10"/>
      <c r="P4397" s="10"/>
      <c r="Q4397" s="10"/>
      <c r="R4397" s="10"/>
      <c r="S4397" s="10"/>
      <c r="T4397" s="10"/>
      <c r="U4397" s="10"/>
      <c r="V4397" s="10"/>
      <c r="W4397" s="10"/>
      <c r="X4397" s="10"/>
      <c r="Y4397" s="10"/>
      <c r="Z4397" s="10"/>
      <c r="AA4397" s="10"/>
      <c r="AB4397" s="10"/>
      <c r="AC4397" s="10"/>
      <c r="AD4397" s="10"/>
      <c r="AE4397" s="10"/>
      <c r="AF4397" s="10"/>
      <c r="AG4397" s="10"/>
      <c r="AH4397" s="10"/>
    </row>
    <row r="4398" spans="1:34" outlineLevel="2">
      <c r="A4398" s="34"/>
      <c r="B4398" s="12" t="str">
        <f>IFERROR(VLOOKUP(D4398,'[1]Перечень товаров'!$A$2:$I9525,2,0),"")</f>
        <v>м61</v>
      </c>
      <c r="C4398" s="12" t="str">
        <f>IFERROR(VLOOKUP(D4398,'[1]Перечень товаров'!$A$2:$I9525,3,0),"")</f>
        <v>Мебель</v>
      </c>
      <c r="D4398" s="35" t="s">
        <v>383</v>
      </c>
      <c r="E4398" s="23"/>
      <c r="F4398" s="23"/>
      <c r="G4398" s="232">
        <v>1</v>
      </c>
      <c r="H4398" s="232"/>
      <c r="I4398" s="233"/>
      <c r="J4398" s="233"/>
      <c r="K4398" s="19"/>
      <c r="L4398" s="20"/>
      <c r="M4398" s="10"/>
      <c r="N4398" s="10"/>
      <c r="O4398" s="10"/>
      <c r="P4398" s="10"/>
      <c r="Q4398" s="10"/>
      <c r="R4398" s="10"/>
      <c r="S4398" s="10"/>
      <c r="T4398" s="10"/>
      <c r="U4398" s="10"/>
      <c r="V4398" s="10"/>
      <c r="W4398" s="10"/>
      <c r="X4398" s="10"/>
      <c r="Y4398" s="10"/>
      <c r="Z4398" s="10"/>
      <c r="AA4398" s="10"/>
      <c r="AB4398" s="10"/>
      <c r="AC4398" s="10"/>
      <c r="AD4398" s="10"/>
      <c r="AE4398" s="10"/>
      <c r="AF4398" s="10"/>
      <c r="AG4398" s="10"/>
      <c r="AH4398" s="10"/>
    </row>
    <row r="4399" spans="1:34" ht="31.5" outlineLevel="2">
      <c r="A4399" s="34"/>
      <c r="B4399" s="12" t="str">
        <f>IFERROR(VLOOKUP(D4399,'[1]Перечень товаров'!$A$2:$I9525,2,0),"")</f>
        <v>д525</v>
      </c>
      <c r="C4399" s="12" t="str">
        <f>IFERROR(VLOOKUP(D4399,'[1]Перечень товаров'!$A$2:$I9525,3,0),"")</f>
        <v>дидактика</v>
      </c>
      <c r="D4399" s="35" t="s">
        <v>1230</v>
      </c>
      <c r="E4399" s="23"/>
      <c r="F4399" s="23"/>
      <c r="G4399" s="232">
        <v>13</v>
      </c>
      <c r="H4399" s="232"/>
      <c r="I4399" s="233"/>
      <c r="J4399" s="233"/>
      <c r="K4399" s="19"/>
      <c r="L4399" s="20"/>
      <c r="M4399" s="10"/>
      <c r="N4399" s="10"/>
      <c r="O4399" s="10"/>
      <c r="P4399" s="10"/>
      <c r="Q4399" s="10"/>
      <c r="R4399" s="10"/>
      <c r="S4399" s="10"/>
      <c r="T4399" s="10"/>
      <c r="U4399" s="10"/>
      <c r="V4399" s="10"/>
      <c r="W4399" s="10"/>
      <c r="X4399" s="10"/>
      <c r="Y4399" s="10"/>
      <c r="Z4399" s="10"/>
      <c r="AA4399" s="10"/>
      <c r="AB4399" s="10"/>
      <c r="AC4399" s="10"/>
      <c r="AD4399" s="10"/>
      <c r="AE4399" s="10"/>
      <c r="AF4399" s="10"/>
      <c r="AG4399" s="10"/>
      <c r="AH4399" s="10"/>
    </row>
    <row r="4400" spans="1:34" outlineLevel="2">
      <c r="A4400" s="34"/>
      <c r="B4400" s="12" t="str">
        <f>IFERROR(VLOOKUP(D4400,'[1]Перечень товаров'!$A$2:$I9525,2,0),"")</f>
        <v>м209</v>
      </c>
      <c r="C4400" s="12" t="str">
        <f>IFERROR(VLOOKUP(D4400,'[1]Перечень товаров'!$A$2:$I9525,3,0),"")</f>
        <v>Мебель</v>
      </c>
      <c r="D4400" s="35" t="s">
        <v>749</v>
      </c>
      <c r="E4400" s="23"/>
      <c r="F4400" s="23"/>
      <c r="G4400" s="232">
        <v>1</v>
      </c>
      <c r="H4400" s="232"/>
      <c r="I4400" s="233"/>
      <c r="J4400" s="233"/>
      <c r="K4400" s="19"/>
      <c r="L4400" s="20"/>
      <c r="M4400" s="10"/>
      <c r="N4400" s="10"/>
      <c r="O4400" s="10"/>
      <c r="P4400" s="10"/>
      <c r="Q4400" s="10"/>
      <c r="R4400" s="10"/>
      <c r="S4400" s="10"/>
      <c r="T4400" s="10"/>
      <c r="U4400" s="10"/>
      <c r="V4400" s="10"/>
      <c r="W4400" s="10"/>
      <c r="X4400" s="10"/>
      <c r="Y4400" s="10"/>
      <c r="Z4400" s="10"/>
      <c r="AA4400" s="10"/>
      <c r="AB4400" s="10"/>
      <c r="AC4400" s="10"/>
      <c r="AD4400" s="10"/>
      <c r="AE4400" s="10"/>
      <c r="AF4400" s="10"/>
      <c r="AG4400" s="10"/>
      <c r="AH4400" s="10"/>
    </row>
    <row r="4401" spans="1:34" outlineLevel="2">
      <c r="A4401" s="34"/>
      <c r="B4401" s="12" t="str">
        <f>IFERROR(VLOOKUP(D4401,'[1]Перечень товаров'!$A$2:$I9525,2,0),"")</f>
        <v>м216</v>
      </c>
      <c r="C4401" s="12" t="str">
        <f>IFERROR(VLOOKUP(D4401,'[1]Перечень товаров'!$A$2:$I9525,3,0),"")</f>
        <v>Мебель</v>
      </c>
      <c r="D4401" s="35" t="s">
        <v>854</v>
      </c>
      <c r="E4401" s="23"/>
      <c r="F4401" s="23"/>
      <c r="G4401" s="232">
        <v>1</v>
      </c>
      <c r="H4401" s="232"/>
      <c r="I4401" s="233"/>
      <c r="J4401" s="233"/>
      <c r="K4401" s="19"/>
      <c r="L4401" s="20"/>
      <c r="M4401" s="10"/>
      <c r="N4401" s="10"/>
      <c r="O4401" s="10"/>
      <c r="P4401" s="10"/>
      <c r="Q4401" s="10"/>
      <c r="R4401" s="10"/>
      <c r="S4401" s="10"/>
      <c r="T4401" s="10"/>
      <c r="U4401" s="10"/>
      <c r="V4401" s="10"/>
      <c r="W4401" s="10"/>
      <c r="X4401" s="10"/>
      <c r="Y4401" s="10"/>
      <c r="Z4401" s="10"/>
      <c r="AA4401" s="10"/>
      <c r="AB4401" s="10"/>
      <c r="AC4401" s="10"/>
      <c r="AD4401" s="10"/>
      <c r="AE4401" s="10"/>
      <c r="AF4401" s="10"/>
      <c r="AG4401" s="10"/>
      <c r="AH4401" s="10"/>
    </row>
    <row r="4402" spans="1:34" ht="31.5" outlineLevel="2">
      <c r="A4402" s="34"/>
      <c r="B4402" s="12" t="str">
        <f>IFERROR(VLOOKUP(D4402,'[1]Перечень товаров'!$A$2:$I9525,2,0),"")</f>
        <v>д524</v>
      </c>
      <c r="C4402" s="12" t="str">
        <f>IFERROR(VLOOKUP(D4402,'[1]Перечень товаров'!$A$2:$I9525,3,0),"")</f>
        <v>дидактика</v>
      </c>
      <c r="D4402" s="35" t="s">
        <v>1231</v>
      </c>
      <c r="E4402" s="23"/>
      <c r="F4402" s="23"/>
      <c r="G4402" s="232">
        <v>1</v>
      </c>
      <c r="H4402" s="232"/>
      <c r="I4402" s="233"/>
      <c r="J4402" s="233"/>
      <c r="K4402" s="19"/>
      <c r="L4402" s="20"/>
      <c r="M4402" s="10"/>
      <c r="N4402" s="10"/>
      <c r="O4402" s="10"/>
      <c r="P4402" s="10"/>
      <c r="Q4402" s="10"/>
      <c r="R4402" s="10"/>
      <c r="S4402" s="10"/>
      <c r="T4402" s="10"/>
      <c r="U4402" s="10"/>
      <c r="V4402" s="10"/>
      <c r="W4402" s="10"/>
      <c r="X4402" s="10"/>
      <c r="Y4402" s="10"/>
      <c r="Z4402" s="10"/>
      <c r="AA4402" s="10"/>
      <c r="AB4402" s="10"/>
      <c r="AC4402" s="10"/>
      <c r="AD4402" s="10"/>
      <c r="AE4402" s="10"/>
      <c r="AF4402" s="10"/>
      <c r="AG4402" s="10"/>
      <c r="AH4402" s="10"/>
    </row>
    <row r="4403" spans="1:34" outlineLevel="2">
      <c r="A4403" s="34"/>
      <c r="B4403" s="12" t="str">
        <f>IFERROR(VLOOKUP(D4403,'[1]Перечень товаров'!$A$2:$I9525,2,0),"")</f>
        <v>м150</v>
      </c>
      <c r="C4403" s="12" t="str">
        <f>IFERROR(VLOOKUP(D4403,'[1]Перечень товаров'!$A$2:$I9525,3,0),"")</f>
        <v>мебель</v>
      </c>
      <c r="D4403" s="35" t="s">
        <v>1232</v>
      </c>
      <c r="E4403" s="23"/>
      <c r="F4403" s="23"/>
      <c r="G4403" s="232">
        <v>2</v>
      </c>
      <c r="H4403" s="232"/>
      <c r="I4403" s="233"/>
      <c r="J4403" s="233"/>
      <c r="K4403" s="19"/>
      <c r="L4403" s="20"/>
      <c r="M4403" s="10"/>
      <c r="N4403" s="10"/>
      <c r="O4403" s="10"/>
      <c r="P4403" s="10"/>
      <c r="Q4403" s="10"/>
      <c r="R4403" s="10"/>
      <c r="S4403" s="10"/>
      <c r="T4403" s="10"/>
      <c r="U4403" s="10"/>
      <c r="V4403" s="10"/>
      <c r="W4403" s="10"/>
      <c r="X4403" s="10"/>
      <c r="Y4403" s="10"/>
      <c r="Z4403" s="10"/>
      <c r="AA4403" s="10"/>
      <c r="AB4403" s="10"/>
      <c r="AC4403" s="10"/>
      <c r="AD4403" s="10"/>
      <c r="AE4403" s="10"/>
      <c r="AF4403" s="10"/>
      <c r="AG4403" s="10"/>
      <c r="AH4403" s="10"/>
    </row>
    <row r="4404" spans="1:34" ht="25.5" outlineLevel="2">
      <c r="A4404" s="240"/>
      <c r="B4404" s="12" t="str">
        <f>IFERROR(VLOOKUP(D4404,'[1]Перечень товаров'!$A$2:$I9525,2,0),"")</f>
        <v/>
      </c>
      <c r="C4404" s="12" t="str">
        <f>IFERROR(VLOOKUP(D4404,'[1]Перечень товаров'!$A$2:$I9525,3,0),"")</f>
        <v/>
      </c>
      <c r="D4404" s="241" t="s">
        <v>1233</v>
      </c>
      <c r="E4404" s="15"/>
      <c r="F4404" s="15"/>
      <c r="G4404" s="234"/>
      <c r="H4404" s="234"/>
      <c r="I4404" s="235"/>
      <c r="J4404" s="235"/>
      <c r="K4404" s="19"/>
      <c r="L4404" s="20"/>
      <c r="M4404" s="10"/>
      <c r="N4404" s="10"/>
      <c r="O4404" s="10"/>
      <c r="P4404" s="10"/>
      <c r="Q4404" s="10"/>
      <c r="R4404" s="10"/>
      <c r="S4404" s="10"/>
      <c r="T4404" s="10"/>
      <c r="U4404" s="10"/>
      <c r="V4404" s="10"/>
      <c r="W4404" s="10"/>
      <c r="X4404" s="10"/>
      <c r="Y4404" s="10"/>
      <c r="Z4404" s="10"/>
      <c r="AA4404" s="10"/>
      <c r="AB4404" s="10"/>
      <c r="AC4404" s="10"/>
      <c r="AD4404" s="10"/>
      <c r="AE4404" s="10"/>
      <c r="AF4404" s="10"/>
      <c r="AG4404" s="10"/>
      <c r="AH4404" s="10"/>
    </row>
    <row r="4405" spans="1:34" ht="12.75" outlineLevel="2">
      <c r="A4405" s="197"/>
      <c r="B4405" s="12" t="str">
        <f>IFERROR(VLOOKUP(D4405,'[1]Перечень товаров'!$A$2:$I9525,2,0),"")</f>
        <v/>
      </c>
      <c r="C4405" s="12" t="str">
        <f>IFERROR(VLOOKUP(D4405,'[1]Перечень товаров'!$A$2:$I9525,3,0),"")</f>
        <v/>
      </c>
      <c r="D4405" s="198" t="s">
        <v>1234</v>
      </c>
      <c r="E4405" s="15"/>
      <c r="F4405" s="15"/>
      <c r="G4405" s="234"/>
      <c r="H4405" s="234"/>
      <c r="I4405" s="235"/>
      <c r="J4405" s="235"/>
      <c r="K4405" s="19"/>
      <c r="L4405" s="20"/>
      <c r="M4405" s="10"/>
      <c r="N4405" s="10"/>
      <c r="O4405" s="10"/>
      <c r="P4405" s="10"/>
      <c r="Q4405" s="10"/>
      <c r="R4405" s="10"/>
      <c r="S4405" s="10"/>
      <c r="T4405" s="10"/>
      <c r="U4405" s="10"/>
      <c r="V4405" s="10"/>
      <c r="W4405" s="10"/>
      <c r="X4405" s="10"/>
      <c r="Y4405" s="10"/>
      <c r="Z4405" s="10"/>
      <c r="AA4405" s="10"/>
      <c r="AB4405" s="10"/>
      <c r="AC4405" s="10"/>
      <c r="AD4405" s="10"/>
      <c r="AE4405" s="10"/>
      <c r="AF4405" s="10"/>
      <c r="AG4405" s="10"/>
      <c r="AH4405" s="10"/>
    </row>
    <row r="4406" spans="1:34" ht="31.5" outlineLevel="2">
      <c r="A4406" s="21"/>
      <c r="B4406" s="12" t="str">
        <f>IFERROR(VLOOKUP(D4406,'[1]Перечень товаров'!$A$2:$I9525,2,0),"")</f>
        <v>д523</v>
      </c>
      <c r="C4406" s="12" t="str">
        <f>IFERROR(VLOOKUP(D4406,'[1]Перечень товаров'!$A$2:$I9525,3,0),"")</f>
        <v>дидактика</v>
      </c>
      <c r="D4406" s="22" t="s">
        <v>1235</v>
      </c>
      <c r="E4406" s="23"/>
      <c r="F4406" s="23"/>
      <c r="G4406" s="205">
        <v>1</v>
      </c>
      <c r="H4406" s="205"/>
      <c r="I4406" s="206"/>
      <c r="J4406" s="206"/>
      <c r="K4406" s="19"/>
      <c r="L4406" s="20"/>
      <c r="M4406" s="10"/>
      <c r="N4406" s="10"/>
      <c r="O4406" s="10"/>
      <c r="P4406" s="10"/>
      <c r="Q4406" s="10"/>
      <c r="R4406" s="10"/>
      <c r="S4406" s="10"/>
      <c r="T4406" s="10"/>
      <c r="U4406" s="10"/>
      <c r="V4406" s="10"/>
      <c r="W4406" s="10"/>
      <c r="X4406" s="10"/>
      <c r="Y4406" s="10"/>
      <c r="Z4406" s="10"/>
      <c r="AA4406" s="10"/>
      <c r="AB4406" s="10"/>
      <c r="AC4406" s="10"/>
      <c r="AD4406" s="10"/>
      <c r="AE4406" s="10"/>
      <c r="AF4406" s="10"/>
      <c r="AG4406" s="10"/>
      <c r="AH4406" s="10"/>
    </row>
    <row r="4407" spans="1:34" ht="31.5" outlineLevel="2">
      <c r="A4407" s="21"/>
      <c r="B4407" s="12" t="str">
        <f>IFERROR(VLOOKUP(D4407,'[1]Перечень товаров'!$A$2:$I9525,2,0),"")</f>
        <v>д522</v>
      </c>
      <c r="C4407" s="12" t="str">
        <f>IFERROR(VLOOKUP(D4407,'[1]Перечень товаров'!$A$2:$I9525,3,0),"")</f>
        <v>дидактика</v>
      </c>
      <c r="D4407" s="22" t="s">
        <v>1236</v>
      </c>
      <c r="E4407" s="23"/>
      <c r="F4407" s="23"/>
      <c r="G4407" s="205">
        <v>1</v>
      </c>
      <c r="H4407" s="205"/>
      <c r="I4407" s="206"/>
      <c r="J4407" s="206"/>
      <c r="K4407" s="19"/>
      <c r="L4407" s="20"/>
      <c r="M4407" s="10"/>
      <c r="N4407" s="10"/>
      <c r="O4407" s="10"/>
      <c r="P4407" s="10"/>
      <c r="Q4407" s="10"/>
      <c r="R4407" s="10"/>
      <c r="S4407" s="10"/>
      <c r="T4407" s="10"/>
      <c r="U4407" s="10"/>
      <c r="V4407" s="10"/>
      <c r="W4407" s="10"/>
      <c r="X4407" s="10"/>
      <c r="Y4407" s="10"/>
      <c r="Z4407" s="10"/>
      <c r="AA4407" s="10"/>
      <c r="AB4407" s="10"/>
      <c r="AC4407" s="10"/>
      <c r="AD4407" s="10"/>
      <c r="AE4407" s="10"/>
      <c r="AF4407" s="10"/>
      <c r="AG4407" s="10"/>
      <c r="AH4407" s="10"/>
    </row>
    <row r="4408" spans="1:34" outlineLevel="2">
      <c r="A4408" s="21"/>
      <c r="B4408" s="12" t="str">
        <f>IFERROR(VLOOKUP(D4408,'[1]Перечень товаров'!$A$2:$I9525,2,0),"")</f>
        <v>д521</v>
      </c>
      <c r="C4408" s="12" t="str">
        <f>IFERROR(VLOOKUP(D4408,'[1]Перечень товаров'!$A$2:$I9525,3,0),"")</f>
        <v>дидактика</v>
      </c>
      <c r="D4408" s="22" t="s">
        <v>1237</v>
      </c>
      <c r="E4408" s="23"/>
      <c r="F4408" s="23"/>
      <c r="G4408" s="205">
        <v>1</v>
      </c>
      <c r="H4408" s="205"/>
      <c r="I4408" s="206"/>
      <c r="J4408" s="206"/>
      <c r="K4408" s="19"/>
      <c r="L4408" s="20"/>
      <c r="M4408" s="10"/>
      <c r="N4408" s="10"/>
      <c r="O4408" s="10"/>
      <c r="P4408" s="10"/>
      <c r="Q4408" s="10"/>
      <c r="R4408" s="10"/>
      <c r="S4408" s="10"/>
      <c r="T4408" s="10"/>
      <c r="U4408" s="10"/>
      <c r="V4408" s="10"/>
      <c r="W4408" s="10"/>
      <c r="X4408" s="10"/>
      <c r="Y4408" s="10"/>
      <c r="Z4408" s="10"/>
      <c r="AA4408" s="10"/>
      <c r="AB4408" s="10"/>
      <c r="AC4408" s="10"/>
      <c r="AD4408" s="10"/>
      <c r="AE4408" s="10"/>
      <c r="AF4408" s="10"/>
      <c r="AG4408" s="10"/>
      <c r="AH4408" s="10"/>
    </row>
    <row r="4409" spans="1:34" outlineLevel="2">
      <c r="A4409" s="21"/>
      <c r="B4409" s="12" t="str">
        <f>IFERROR(VLOOKUP(D4409,'[1]Перечень товаров'!$A$2:$I9525,2,0),"")</f>
        <v>д520</v>
      </c>
      <c r="C4409" s="12" t="str">
        <f>IFERROR(VLOOKUP(D4409,'[1]Перечень товаров'!$A$2:$I9525,3,0),"")</f>
        <v>дидактика</v>
      </c>
      <c r="D4409" s="22" t="s">
        <v>1238</v>
      </c>
      <c r="E4409" s="23"/>
      <c r="F4409" s="23"/>
      <c r="G4409" s="205">
        <v>1</v>
      </c>
      <c r="H4409" s="205"/>
      <c r="I4409" s="206"/>
      <c r="J4409" s="206"/>
      <c r="K4409" s="19"/>
      <c r="L4409" s="20"/>
      <c r="M4409" s="10"/>
      <c r="N4409" s="10"/>
      <c r="O4409" s="10"/>
      <c r="P4409" s="10"/>
      <c r="Q4409" s="10"/>
      <c r="R4409" s="10"/>
      <c r="S4409" s="10"/>
      <c r="T4409" s="10"/>
      <c r="U4409" s="10"/>
      <c r="V4409" s="10"/>
      <c r="W4409" s="10"/>
      <c r="X4409" s="10"/>
      <c r="Y4409" s="10"/>
      <c r="Z4409" s="10"/>
      <c r="AA4409" s="10"/>
      <c r="AB4409" s="10"/>
      <c r="AC4409" s="10"/>
      <c r="AD4409" s="10"/>
      <c r="AE4409" s="10"/>
      <c r="AF4409" s="10"/>
      <c r="AG4409" s="10"/>
      <c r="AH4409" s="10"/>
    </row>
    <row r="4410" spans="1:34" outlineLevel="2">
      <c r="A4410" s="21"/>
      <c r="B4410" s="12" t="str">
        <f>IFERROR(VLOOKUP(D4410,'[1]Перечень товаров'!$A$2:$I9525,2,0),"")</f>
        <v>д519</v>
      </c>
      <c r="C4410" s="12" t="str">
        <f>IFERROR(VLOOKUP(D4410,'[1]Перечень товаров'!$A$2:$I9525,3,0),"")</f>
        <v>дидактика</v>
      </c>
      <c r="D4410" s="22" t="s">
        <v>1239</v>
      </c>
      <c r="E4410" s="23"/>
      <c r="F4410" s="23"/>
      <c r="G4410" s="205">
        <v>1</v>
      </c>
      <c r="H4410" s="205"/>
      <c r="I4410" s="206"/>
      <c r="J4410" s="206"/>
      <c r="K4410" s="19"/>
      <c r="L4410" s="20"/>
      <c r="M4410" s="10"/>
      <c r="N4410" s="10"/>
      <c r="O4410" s="10"/>
      <c r="P4410" s="10"/>
      <c r="Q4410" s="10"/>
      <c r="R4410" s="10"/>
      <c r="S4410" s="10"/>
      <c r="T4410" s="10"/>
      <c r="U4410" s="10"/>
      <c r="V4410" s="10"/>
      <c r="W4410" s="10"/>
      <c r="X4410" s="10"/>
      <c r="Y4410" s="10"/>
      <c r="Z4410" s="10"/>
      <c r="AA4410" s="10"/>
      <c r="AB4410" s="10"/>
      <c r="AC4410" s="10"/>
      <c r="AD4410" s="10"/>
      <c r="AE4410" s="10"/>
      <c r="AF4410" s="10"/>
      <c r="AG4410" s="10"/>
      <c r="AH4410" s="10"/>
    </row>
    <row r="4411" spans="1:34" outlineLevel="2">
      <c r="A4411" s="21"/>
      <c r="B4411" s="12" t="str">
        <f>IFERROR(VLOOKUP(D4411,'[1]Перечень товаров'!$A$2:$I9525,2,0),"")</f>
        <v>д518</v>
      </c>
      <c r="C4411" s="12" t="str">
        <f>IFERROR(VLOOKUP(D4411,'[1]Перечень товаров'!$A$2:$I9525,3,0),"")</f>
        <v>дидактика</v>
      </c>
      <c r="D4411" s="22" t="s">
        <v>1240</v>
      </c>
      <c r="E4411" s="23"/>
      <c r="F4411" s="23"/>
      <c r="G4411" s="205">
        <v>1</v>
      </c>
      <c r="H4411" s="205"/>
      <c r="I4411" s="206"/>
      <c r="J4411" s="206"/>
      <c r="K4411" s="19"/>
      <c r="L4411" s="20"/>
      <c r="M4411" s="10"/>
      <c r="N4411" s="10"/>
      <c r="O4411" s="10"/>
      <c r="P4411" s="10"/>
      <c r="Q4411" s="10"/>
      <c r="R4411" s="10"/>
      <c r="S4411" s="10"/>
      <c r="T4411" s="10"/>
      <c r="U4411" s="10"/>
      <c r="V4411" s="10"/>
      <c r="W4411" s="10"/>
      <c r="X4411" s="10"/>
      <c r="Y4411" s="10"/>
      <c r="Z4411" s="10"/>
      <c r="AA4411" s="10"/>
      <c r="AB4411" s="10"/>
      <c r="AC4411" s="10"/>
      <c r="AD4411" s="10"/>
      <c r="AE4411" s="10"/>
      <c r="AF4411" s="10"/>
      <c r="AG4411" s="10"/>
      <c r="AH4411" s="10"/>
    </row>
    <row r="4412" spans="1:34" outlineLevel="2">
      <c r="A4412" s="21"/>
      <c r="B4412" s="12" t="str">
        <f>IFERROR(VLOOKUP(D4412,'[1]Перечень товаров'!$A$2:$I9525,2,0),"")</f>
        <v>д517</v>
      </c>
      <c r="C4412" s="12" t="str">
        <f>IFERROR(VLOOKUP(D4412,'[1]Перечень товаров'!$A$2:$I9525,3,0),"")</f>
        <v>дидактика</v>
      </c>
      <c r="D4412" s="22" t="s">
        <v>1241</v>
      </c>
      <c r="E4412" s="23"/>
      <c r="F4412" s="23"/>
      <c r="G4412" s="205">
        <v>1</v>
      </c>
      <c r="H4412" s="205"/>
      <c r="I4412" s="206"/>
      <c r="J4412" s="206"/>
      <c r="K4412" s="19"/>
      <c r="L4412" s="20"/>
      <c r="M4412" s="10"/>
      <c r="N4412" s="10"/>
      <c r="O4412" s="10"/>
      <c r="P4412" s="10"/>
      <c r="Q4412" s="10"/>
      <c r="R4412" s="10"/>
      <c r="S4412" s="10"/>
      <c r="T4412" s="10"/>
      <c r="U4412" s="10"/>
      <c r="V4412" s="10"/>
      <c r="W4412" s="10"/>
      <c r="X4412" s="10"/>
      <c r="Y4412" s="10"/>
      <c r="Z4412" s="10"/>
      <c r="AA4412" s="10"/>
      <c r="AB4412" s="10"/>
      <c r="AC4412" s="10"/>
      <c r="AD4412" s="10"/>
      <c r="AE4412" s="10"/>
      <c r="AF4412" s="10"/>
      <c r="AG4412" s="10"/>
      <c r="AH4412" s="10"/>
    </row>
    <row r="4413" spans="1:34" outlineLevel="2">
      <c r="A4413" s="21"/>
      <c r="B4413" s="12" t="str">
        <f>IFERROR(VLOOKUP(D4413,'[1]Перечень товаров'!$A$2:$I9525,2,0),"")</f>
        <v>д516</v>
      </c>
      <c r="C4413" s="12" t="str">
        <f>IFERROR(VLOOKUP(D4413,'[1]Перечень товаров'!$A$2:$I9525,3,0),"")</f>
        <v>дидактика</v>
      </c>
      <c r="D4413" s="22" t="s">
        <v>1242</v>
      </c>
      <c r="E4413" s="23"/>
      <c r="F4413" s="23"/>
      <c r="G4413" s="205">
        <v>1</v>
      </c>
      <c r="H4413" s="205"/>
      <c r="I4413" s="206"/>
      <c r="J4413" s="206"/>
      <c r="K4413" s="19"/>
      <c r="L4413" s="20"/>
      <c r="M4413" s="10"/>
      <c r="N4413" s="10"/>
      <c r="O4413" s="10"/>
      <c r="P4413" s="10"/>
      <c r="Q4413" s="10"/>
      <c r="R4413" s="10"/>
      <c r="S4413" s="10"/>
      <c r="T4413" s="10"/>
      <c r="U4413" s="10"/>
      <c r="V4413" s="10"/>
      <c r="W4413" s="10"/>
      <c r="X4413" s="10"/>
      <c r="Y4413" s="10"/>
      <c r="Z4413" s="10"/>
      <c r="AA4413" s="10"/>
      <c r="AB4413" s="10"/>
      <c r="AC4413" s="10"/>
      <c r="AD4413" s="10"/>
      <c r="AE4413" s="10"/>
      <c r="AF4413" s="10"/>
      <c r="AG4413" s="10"/>
      <c r="AH4413" s="10"/>
    </row>
    <row r="4414" spans="1:34" outlineLevel="2">
      <c r="A4414" s="21"/>
      <c r="B4414" s="12" t="str">
        <f>IFERROR(VLOOKUP(D4414,'[1]Перечень товаров'!$A$2:$I9525,2,0),"")</f>
        <v>д515</v>
      </c>
      <c r="C4414" s="12" t="str">
        <f>IFERROR(VLOOKUP(D4414,'[1]Перечень товаров'!$A$2:$I9525,3,0),"")</f>
        <v>дидактика</v>
      </c>
      <c r="D4414" s="22" t="s">
        <v>1243</v>
      </c>
      <c r="E4414" s="23"/>
      <c r="F4414" s="23"/>
      <c r="G4414" s="205">
        <v>1</v>
      </c>
      <c r="H4414" s="205"/>
      <c r="I4414" s="206"/>
      <c r="J4414" s="206"/>
      <c r="K4414" s="19"/>
      <c r="L4414" s="20"/>
      <c r="M4414" s="10"/>
      <c r="N4414" s="10"/>
      <c r="O4414" s="10"/>
      <c r="P4414" s="10"/>
      <c r="Q4414" s="10"/>
      <c r="R4414" s="10"/>
      <c r="S4414" s="10"/>
      <c r="T4414" s="10"/>
      <c r="U4414" s="10"/>
      <c r="V4414" s="10"/>
      <c r="W4414" s="10"/>
      <c r="X4414" s="10"/>
      <c r="Y4414" s="10"/>
      <c r="Z4414" s="10"/>
      <c r="AA4414" s="10"/>
      <c r="AB4414" s="10"/>
      <c r="AC4414" s="10"/>
      <c r="AD4414" s="10"/>
      <c r="AE4414" s="10"/>
      <c r="AF4414" s="10"/>
      <c r="AG4414" s="10"/>
      <c r="AH4414" s="10"/>
    </row>
    <row r="4415" spans="1:34" outlineLevel="2">
      <c r="A4415" s="21"/>
      <c r="B4415" s="12" t="str">
        <f>IFERROR(VLOOKUP(D4415,'[1]Перечень товаров'!$A$2:$I9525,2,0),"")</f>
        <v>д514</v>
      </c>
      <c r="C4415" s="12" t="str">
        <f>IFERROR(VLOOKUP(D4415,'[1]Перечень товаров'!$A$2:$I9525,3,0),"")</f>
        <v>дидактика</v>
      </c>
      <c r="D4415" s="22" t="s">
        <v>1244</v>
      </c>
      <c r="E4415" s="23"/>
      <c r="F4415" s="23"/>
      <c r="G4415" s="205">
        <v>1</v>
      </c>
      <c r="H4415" s="205"/>
      <c r="I4415" s="206"/>
      <c r="J4415" s="206"/>
      <c r="K4415" s="19"/>
      <c r="L4415" s="20"/>
      <c r="M4415" s="10"/>
      <c r="N4415" s="10"/>
      <c r="O4415" s="10"/>
      <c r="P4415" s="10"/>
      <c r="Q4415" s="10"/>
      <c r="R4415" s="10"/>
      <c r="S4415" s="10"/>
      <c r="T4415" s="10"/>
      <c r="U4415" s="10"/>
      <c r="V4415" s="10"/>
      <c r="W4415" s="10"/>
      <c r="X4415" s="10"/>
      <c r="Y4415" s="10"/>
      <c r="Z4415" s="10"/>
      <c r="AA4415" s="10"/>
      <c r="AB4415" s="10"/>
      <c r="AC4415" s="10"/>
      <c r="AD4415" s="10"/>
      <c r="AE4415" s="10"/>
      <c r="AF4415" s="10"/>
      <c r="AG4415" s="10"/>
      <c r="AH4415" s="10"/>
    </row>
    <row r="4416" spans="1:34" outlineLevel="2">
      <c r="A4416" s="21"/>
      <c r="B4416" s="12" t="str">
        <f>IFERROR(VLOOKUP(D4416,'[1]Перечень товаров'!$A$2:$I9525,2,0),"")</f>
        <v>д513</v>
      </c>
      <c r="C4416" s="12" t="str">
        <f>IFERROR(VLOOKUP(D4416,'[1]Перечень товаров'!$A$2:$I9525,3,0),"")</f>
        <v>дидактика</v>
      </c>
      <c r="D4416" s="22" t="s">
        <v>1245</v>
      </c>
      <c r="E4416" s="23"/>
      <c r="F4416" s="23"/>
      <c r="G4416" s="205">
        <v>1</v>
      </c>
      <c r="H4416" s="205"/>
      <c r="I4416" s="206"/>
      <c r="J4416" s="206"/>
      <c r="K4416" s="19"/>
      <c r="L4416" s="20"/>
      <c r="M4416" s="10"/>
      <c r="N4416" s="10"/>
      <c r="O4416" s="10"/>
      <c r="P4416" s="10"/>
      <c r="Q4416" s="10"/>
      <c r="R4416" s="10"/>
      <c r="S4416" s="10"/>
      <c r="T4416" s="10"/>
      <c r="U4416" s="10"/>
      <c r="V4416" s="10"/>
      <c r="W4416" s="10"/>
      <c r="X4416" s="10"/>
      <c r="Y4416" s="10"/>
      <c r="Z4416" s="10"/>
      <c r="AA4416" s="10"/>
      <c r="AB4416" s="10"/>
      <c r="AC4416" s="10"/>
      <c r="AD4416" s="10"/>
      <c r="AE4416" s="10"/>
      <c r="AF4416" s="10"/>
      <c r="AG4416" s="10"/>
      <c r="AH4416" s="10"/>
    </row>
    <row r="4417" spans="1:34" ht="31.5" outlineLevel="2">
      <c r="A4417" s="21"/>
      <c r="B4417" s="12" t="str">
        <f>IFERROR(VLOOKUP(D4417,'[1]Перечень товаров'!$A$2:$I9525,2,0),"")</f>
        <v>д512</v>
      </c>
      <c r="C4417" s="12" t="str">
        <f>IFERROR(VLOOKUP(D4417,'[1]Перечень товаров'!$A$2:$I9525,3,0),"")</f>
        <v>дидактика</v>
      </c>
      <c r="D4417" s="22" t="s">
        <v>1246</v>
      </c>
      <c r="E4417" s="23"/>
      <c r="F4417" s="23"/>
      <c r="G4417" s="205">
        <v>1</v>
      </c>
      <c r="H4417" s="205"/>
      <c r="I4417" s="206"/>
      <c r="J4417" s="206"/>
      <c r="K4417" s="19"/>
      <c r="L4417" s="20"/>
      <c r="M4417" s="10"/>
      <c r="N4417" s="10"/>
      <c r="O4417" s="10"/>
      <c r="P4417" s="10"/>
      <c r="Q4417" s="10"/>
      <c r="R4417" s="10"/>
      <c r="S4417" s="10"/>
      <c r="T4417" s="10"/>
      <c r="U4417" s="10"/>
      <c r="V4417" s="10"/>
      <c r="W4417" s="10"/>
      <c r="X4417" s="10"/>
      <c r="Y4417" s="10"/>
      <c r="Z4417" s="10"/>
      <c r="AA4417" s="10"/>
      <c r="AB4417" s="10"/>
      <c r="AC4417" s="10"/>
      <c r="AD4417" s="10"/>
      <c r="AE4417" s="10"/>
      <c r="AF4417" s="10"/>
      <c r="AG4417" s="10"/>
      <c r="AH4417" s="10"/>
    </row>
    <row r="4418" spans="1:34" outlineLevel="2">
      <c r="A4418" s="21"/>
      <c r="B4418" s="12" t="str">
        <f>IFERROR(VLOOKUP(D4418,'[1]Перечень товаров'!$A$2:$I9525,2,0),"")</f>
        <v>д511</v>
      </c>
      <c r="C4418" s="12" t="str">
        <f>IFERROR(VLOOKUP(D4418,'[1]Перечень товаров'!$A$2:$I9525,3,0),"")</f>
        <v>дидактика</v>
      </c>
      <c r="D4418" s="22" t="s">
        <v>1247</v>
      </c>
      <c r="E4418" s="23"/>
      <c r="F4418" s="23"/>
      <c r="G4418" s="205">
        <v>1</v>
      </c>
      <c r="H4418" s="205"/>
      <c r="I4418" s="206"/>
      <c r="J4418" s="206"/>
      <c r="K4418" s="19"/>
      <c r="L4418" s="20"/>
      <c r="M4418" s="10"/>
      <c r="N4418" s="10"/>
      <c r="O4418" s="10"/>
      <c r="P4418" s="10"/>
      <c r="Q4418" s="10"/>
      <c r="R4418" s="10"/>
      <c r="S4418" s="10"/>
      <c r="T4418" s="10"/>
      <c r="U4418" s="10"/>
      <c r="V4418" s="10"/>
      <c r="W4418" s="10"/>
      <c r="X4418" s="10"/>
      <c r="Y4418" s="10"/>
      <c r="Z4418" s="10"/>
      <c r="AA4418" s="10"/>
      <c r="AB4418" s="10"/>
      <c r="AC4418" s="10"/>
      <c r="AD4418" s="10"/>
      <c r="AE4418" s="10"/>
      <c r="AF4418" s="10"/>
      <c r="AG4418" s="10"/>
      <c r="AH4418" s="10"/>
    </row>
    <row r="4419" spans="1:34" outlineLevel="2">
      <c r="A4419" s="21"/>
      <c r="B4419" s="12" t="str">
        <f>IFERROR(VLOOKUP(D4419,'[1]Перечень товаров'!$A$2:$I9525,2,0),"")</f>
        <v>д510</v>
      </c>
      <c r="C4419" s="12" t="str">
        <f>IFERROR(VLOOKUP(D4419,'[1]Перечень товаров'!$A$2:$I9525,3,0),"")</f>
        <v>дидактика</v>
      </c>
      <c r="D4419" s="22" t="s">
        <v>1248</v>
      </c>
      <c r="E4419" s="23"/>
      <c r="F4419" s="23"/>
      <c r="G4419" s="205">
        <v>1</v>
      </c>
      <c r="H4419" s="205"/>
      <c r="I4419" s="206"/>
      <c r="J4419" s="206"/>
      <c r="K4419" s="19"/>
      <c r="L4419" s="20"/>
      <c r="M4419" s="10"/>
      <c r="N4419" s="10"/>
      <c r="O4419" s="10"/>
      <c r="P4419" s="10"/>
      <c r="Q4419" s="10"/>
      <c r="R4419" s="10"/>
      <c r="S4419" s="10"/>
      <c r="T4419" s="10"/>
      <c r="U4419" s="10"/>
      <c r="V4419" s="10"/>
      <c r="W4419" s="10"/>
      <c r="X4419" s="10"/>
      <c r="Y4419" s="10"/>
      <c r="Z4419" s="10"/>
      <c r="AA4419" s="10"/>
      <c r="AB4419" s="10"/>
      <c r="AC4419" s="10"/>
      <c r="AD4419" s="10"/>
      <c r="AE4419" s="10"/>
      <c r="AF4419" s="10"/>
      <c r="AG4419" s="10"/>
      <c r="AH4419" s="10"/>
    </row>
    <row r="4420" spans="1:34" ht="31.5" outlineLevel="2">
      <c r="A4420" s="21"/>
      <c r="B4420" s="12" t="str">
        <f>IFERROR(VLOOKUP(D4420,'[1]Перечень товаров'!$A$2:$I9525,2,0),"")</f>
        <v>д509</v>
      </c>
      <c r="C4420" s="12" t="str">
        <f>IFERROR(VLOOKUP(D4420,'[1]Перечень товаров'!$A$2:$I9525,3,0),"")</f>
        <v>дидактика</v>
      </c>
      <c r="D4420" s="22" t="s">
        <v>1249</v>
      </c>
      <c r="E4420" s="23"/>
      <c r="F4420" s="23"/>
      <c r="G4420" s="205">
        <v>1</v>
      </c>
      <c r="H4420" s="205"/>
      <c r="I4420" s="206"/>
      <c r="J4420" s="206"/>
      <c r="K4420" s="19"/>
      <c r="L4420" s="20"/>
      <c r="M4420" s="10"/>
      <c r="N4420" s="10"/>
      <c r="O4420" s="10"/>
      <c r="P4420" s="10"/>
      <c r="Q4420" s="10"/>
      <c r="R4420" s="10"/>
      <c r="S4420" s="10"/>
      <c r="T4420" s="10"/>
      <c r="U4420" s="10"/>
      <c r="V4420" s="10"/>
      <c r="W4420" s="10"/>
      <c r="X4420" s="10"/>
      <c r="Y4420" s="10"/>
      <c r="Z4420" s="10"/>
      <c r="AA4420" s="10"/>
      <c r="AB4420" s="10"/>
      <c r="AC4420" s="10"/>
      <c r="AD4420" s="10"/>
      <c r="AE4420" s="10"/>
      <c r="AF4420" s="10"/>
      <c r="AG4420" s="10"/>
      <c r="AH4420" s="10"/>
    </row>
    <row r="4421" spans="1:34" ht="31.5" outlineLevel="2">
      <c r="A4421" s="21"/>
      <c r="B4421" s="12" t="str">
        <f>IFERROR(VLOOKUP(D4421,'[1]Перечень товаров'!$A$2:$I9525,2,0),"")</f>
        <v>д508</v>
      </c>
      <c r="C4421" s="12" t="str">
        <f>IFERROR(VLOOKUP(D4421,'[1]Перечень товаров'!$A$2:$I9525,3,0),"")</f>
        <v>дидактика</v>
      </c>
      <c r="D4421" s="22" t="s">
        <v>1250</v>
      </c>
      <c r="E4421" s="23"/>
      <c r="F4421" s="23"/>
      <c r="G4421" s="205">
        <v>1</v>
      </c>
      <c r="H4421" s="205"/>
      <c r="I4421" s="206"/>
      <c r="J4421" s="206"/>
      <c r="K4421" s="19"/>
      <c r="L4421" s="20"/>
      <c r="M4421" s="10"/>
      <c r="N4421" s="10"/>
      <c r="O4421" s="10"/>
      <c r="P4421" s="10"/>
      <c r="Q4421" s="10"/>
      <c r="R4421" s="10"/>
      <c r="S4421" s="10"/>
      <c r="T4421" s="10"/>
      <c r="U4421" s="10"/>
      <c r="V4421" s="10"/>
      <c r="W4421" s="10"/>
      <c r="X4421" s="10"/>
      <c r="Y4421" s="10"/>
      <c r="Z4421" s="10"/>
      <c r="AA4421" s="10"/>
      <c r="AB4421" s="10"/>
      <c r="AC4421" s="10"/>
      <c r="AD4421" s="10"/>
      <c r="AE4421" s="10"/>
      <c r="AF4421" s="10"/>
      <c r="AG4421" s="10"/>
      <c r="AH4421" s="10"/>
    </row>
    <row r="4422" spans="1:34" outlineLevel="2">
      <c r="A4422" s="21"/>
      <c r="B4422" s="12" t="str">
        <f>IFERROR(VLOOKUP(D4422,'[1]Перечень товаров'!$A$2:$I9525,2,0),"")</f>
        <v>д507</v>
      </c>
      <c r="C4422" s="12" t="str">
        <f>IFERROR(VLOOKUP(D4422,'[1]Перечень товаров'!$A$2:$I9525,3,0),"")</f>
        <v>дидактика</v>
      </c>
      <c r="D4422" s="22" t="s">
        <v>1251</v>
      </c>
      <c r="E4422" s="23"/>
      <c r="F4422" s="23"/>
      <c r="G4422" s="205">
        <v>1</v>
      </c>
      <c r="H4422" s="205"/>
      <c r="I4422" s="206"/>
      <c r="J4422" s="206"/>
      <c r="K4422" s="19"/>
      <c r="L4422" s="20"/>
      <c r="M4422" s="10"/>
      <c r="N4422" s="10"/>
      <c r="O4422" s="10"/>
      <c r="P4422" s="10"/>
      <c r="Q4422" s="10"/>
      <c r="R4422" s="10"/>
      <c r="S4422" s="10"/>
      <c r="T4422" s="10"/>
      <c r="U4422" s="10"/>
      <c r="V4422" s="10"/>
      <c r="W4422" s="10"/>
      <c r="X4422" s="10"/>
      <c r="Y4422" s="10"/>
      <c r="Z4422" s="10"/>
      <c r="AA4422" s="10"/>
      <c r="AB4422" s="10"/>
      <c r="AC4422" s="10"/>
      <c r="AD4422" s="10"/>
      <c r="AE4422" s="10"/>
      <c r="AF4422" s="10"/>
      <c r="AG4422" s="10"/>
      <c r="AH4422" s="10"/>
    </row>
    <row r="4423" spans="1:34" ht="31.5" outlineLevel="2">
      <c r="A4423" s="21"/>
      <c r="B4423" s="12" t="str">
        <f>IFERROR(VLOOKUP(D4423,'[1]Перечень товаров'!$A$2:$I9525,2,0),"")</f>
        <v>д506</v>
      </c>
      <c r="C4423" s="12" t="str">
        <f>IFERROR(VLOOKUP(D4423,'[1]Перечень товаров'!$A$2:$I9525,3,0),"")</f>
        <v>дидактика</v>
      </c>
      <c r="D4423" s="22" t="s">
        <v>1252</v>
      </c>
      <c r="E4423" s="23"/>
      <c r="F4423" s="23"/>
      <c r="G4423" s="205">
        <v>1</v>
      </c>
      <c r="H4423" s="205"/>
      <c r="I4423" s="206"/>
      <c r="J4423" s="206"/>
      <c r="K4423" s="19"/>
      <c r="L4423" s="20"/>
      <c r="M4423" s="10"/>
      <c r="N4423" s="10"/>
      <c r="O4423" s="10"/>
      <c r="P4423" s="10"/>
      <c r="Q4423" s="10"/>
      <c r="R4423" s="10"/>
      <c r="S4423" s="10"/>
      <c r="T4423" s="10"/>
      <c r="U4423" s="10"/>
      <c r="V4423" s="10"/>
      <c r="W4423" s="10"/>
      <c r="X4423" s="10"/>
      <c r="Y4423" s="10"/>
      <c r="Z4423" s="10"/>
      <c r="AA4423" s="10"/>
      <c r="AB4423" s="10"/>
      <c r="AC4423" s="10"/>
      <c r="AD4423" s="10"/>
      <c r="AE4423" s="10"/>
      <c r="AF4423" s="10"/>
      <c r="AG4423" s="10"/>
      <c r="AH4423" s="10"/>
    </row>
    <row r="4424" spans="1:34" outlineLevel="2">
      <c r="A4424" s="21"/>
      <c r="B4424" s="12" t="str">
        <f>IFERROR(VLOOKUP(D4424,'[1]Перечень товаров'!$A$2:$I9525,2,0),"")</f>
        <v>д505</v>
      </c>
      <c r="C4424" s="12" t="str">
        <f>IFERROR(VLOOKUP(D4424,'[1]Перечень товаров'!$A$2:$I9525,3,0),"")</f>
        <v>дидактика</v>
      </c>
      <c r="D4424" s="22" t="s">
        <v>1253</v>
      </c>
      <c r="E4424" s="23"/>
      <c r="F4424" s="23"/>
      <c r="G4424" s="205">
        <v>1</v>
      </c>
      <c r="H4424" s="205"/>
      <c r="I4424" s="206"/>
      <c r="J4424" s="206"/>
      <c r="K4424" s="19"/>
      <c r="L4424" s="20"/>
      <c r="M4424" s="10"/>
      <c r="N4424" s="10"/>
      <c r="O4424" s="10"/>
      <c r="P4424" s="10"/>
      <c r="Q4424" s="10"/>
      <c r="R4424" s="10"/>
      <c r="S4424" s="10"/>
      <c r="T4424" s="10"/>
      <c r="U4424" s="10"/>
      <c r="V4424" s="10"/>
      <c r="W4424" s="10"/>
      <c r="X4424" s="10"/>
      <c r="Y4424" s="10"/>
      <c r="Z4424" s="10"/>
      <c r="AA4424" s="10"/>
      <c r="AB4424" s="10"/>
      <c r="AC4424" s="10"/>
      <c r="AD4424" s="10"/>
      <c r="AE4424" s="10"/>
      <c r="AF4424" s="10"/>
      <c r="AG4424" s="10"/>
      <c r="AH4424" s="10"/>
    </row>
    <row r="4425" spans="1:34" ht="12.75" outlineLevel="2">
      <c r="A4425" s="197"/>
      <c r="B4425" s="12" t="str">
        <f>IFERROR(VLOOKUP(D4425,'[1]Перечень товаров'!$A$2:$I9525,2,0),"")</f>
        <v/>
      </c>
      <c r="C4425" s="12" t="str">
        <f>IFERROR(VLOOKUP(D4425,'[1]Перечень товаров'!$A$2:$I9525,3,0),"")</f>
        <v/>
      </c>
      <c r="D4425" s="198" t="s">
        <v>1254</v>
      </c>
      <c r="E4425" s="15"/>
      <c r="F4425" s="15"/>
      <c r="G4425" s="238"/>
      <c r="H4425" s="238"/>
      <c r="I4425" s="239"/>
      <c r="J4425" s="239"/>
      <c r="K4425" s="19"/>
      <c r="L4425" s="20"/>
      <c r="M4425" s="10"/>
      <c r="N4425" s="10"/>
      <c r="O4425" s="10"/>
      <c r="P4425" s="10"/>
      <c r="Q4425" s="10"/>
      <c r="R4425" s="10"/>
      <c r="S4425" s="10"/>
      <c r="T4425" s="10"/>
      <c r="U4425" s="10"/>
      <c r="V4425" s="10"/>
      <c r="W4425" s="10"/>
      <c r="X4425" s="10"/>
      <c r="Y4425" s="10"/>
      <c r="Z4425" s="10"/>
      <c r="AA4425" s="10"/>
      <c r="AB4425" s="10"/>
      <c r="AC4425" s="10"/>
      <c r="AD4425" s="10"/>
      <c r="AE4425" s="10"/>
      <c r="AF4425" s="10"/>
      <c r="AG4425" s="10"/>
      <c r="AH4425" s="10"/>
    </row>
    <row r="4426" spans="1:34" ht="31.5" outlineLevel="2">
      <c r="A4426" s="21"/>
      <c r="B4426" s="12" t="str">
        <f>IFERROR(VLOOKUP(D4426,'[1]Перечень товаров'!$A$2:$I9525,2,0),"")</f>
        <v>д504</v>
      </c>
      <c r="C4426" s="12" t="str">
        <f>IFERROR(VLOOKUP(D4426,'[1]Перечень товаров'!$A$2:$I9525,3,0),"")</f>
        <v>дидактика</v>
      </c>
      <c r="D4426" s="22" t="s">
        <v>1255</v>
      </c>
      <c r="E4426" s="23"/>
      <c r="F4426" s="23"/>
      <c r="G4426" s="205">
        <v>1</v>
      </c>
      <c r="H4426" s="205"/>
      <c r="I4426" s="206"/>
      <c r="J4426" s="206"/>
      <c r="K4426" s="19"/>
      <c r="L4426" s="20"/>
      <c r="M4426" s="10"/>
      <c r="N4426" s="10"/>
      <c r="O4426" s="10"/>
      <c r="P4426" s="10"/>
      <c r="Q4426" s="10"/>
      <c r="R4426" s="10"/>
      <c r="S4426" s="10"/>
      <c r="T4426" s="10"/>
      <c r="U4426" s="10"/>
      <c r="V4426" s="10"/>
      <c r="W4426" s="10"/>
      <c r="X4426" s="10"/>
      <c r="Y4426" s="10"/>
      <c r="Z4426" s="10"/>
      <c r="AA4426" s="10"/>
      <c r="AB4426" s="10"/>
      <c r="AC4426" s="10"/>
      <c r="AD4426" s="10"/>
      <c r="AE4426" s="10"/>
      <c r="AF4426" s="10"/>
      <c r="AG4426" s="10"/>
      <c r="AH4426" s="10"/>
    </row>
    <row r="4427" spans="1:34" ht="31.5" outlineLevel="2">
      <c r="A4427" s="21"/>
      <c r="B4427" s="12" t="str">
        <f>IFERROR(VLOOKUP(D4427,'[1]Перечень товаров'!$A$2:$I9525,2,0),"")</f>
        <v>д503</v>
      </c>
      <c r="C4427" s="12" t="str">
        <f>IFERROR(VLOOKUP(D4427,'[1]Перечень товаров'!$A$2:$I9525,3,0),"")</f>
        <v>дидактика</v>
      </c>
      <c r="D4427" s="22" t="s">
        <v>1256</v>
      </c>
      <c r="E4427" s="23"/>
      <c r="F4427" s="23"/>
      <c r="G4427" s="205">
        <v>1</v>
      </c>
      <c r="H4427" s="205"/>
      <c r="I4427" s="206"/>
      <c r="J4427" s="206"/>
      <c r="K4427" s="19"/>
      <c r="L4427" s="20"/>
      <c r="M4427" s="10"/>
      <c r="N4427" s="10"/>
      <c r="O4427" s="10"/>
      <c r="P4427" s="10"/>
      <c r="Q4427" s="10"/>
      <c r="R4427" s="10"/>
      <c r="S4427" s="10"/>
      <c r="T4427" s="10"/>
      <c r="U4427" s="10"/>
      <c r="V4427" s="10"/>
      <c r="W4427" s="10"/>
      <c r="X4427" s="10"/>
      <c r="Y4427" s="10"/>
      <c r="Z4427" s="10"/>
      <c r="AA4427" s="10"/>
      <c r="AB4427" s="10"/>
      <c r="AC4427" s="10"/>
      <c r="AD4427" s="10"/>
      <c r="AE4427" s="10"/>
      <c r="AF4427" s="10"/>
      <c r="AG4427" s="10"/>
      <c r="AH4427" s="10"/>
    </row>
    <row r="4428" spans="1:34" ht="12.75" outlineLevel="2">
      <c r="A4428" s="197"/>
      <c r="B4428" s="12" t="str">
        <f>IFERROR(VLOOKUP(D4428,'[1]Перечень товаров'!$A$2:$I9525,2,0),"")</f>
        <v/>
      </c>
      <c r="C4428" s="12" t="str">
        <f>IFERROR(VLOOKUP(D4428,'[1]Перечень товаров'!$A$2:$I9525,3,0),"")</f>
        <v/>
      </c>
      <c r="D4428" s="198" t="s">
        <v>1257</v>
      </c>
      <c r="E4428" s="15"/>
      <c r="F4428" s="15"/>
      <c r="G4428" s="238"/>
      <c r="H4428" s="238"/>
      <c r="I4428" s="239"/>
      <c r="J4428" s="239"/>
      <c r="K4428" s="19"/>
      <c r="L4428" s="20"/>
      <c r="M4428" s="10"/>
      <c r="N4428" s="10"/>
      <c r="O4428" s="10"/>
      <c r="P4428" s="10"/>
      <c r="Q4428" s="10"/>
      <c r="R4428" s="10"/>
      <c r="S4428" s="10"/>
      <c r="T4428" s="10"/>
      <c r="U4428" s="10"/>
      <c r="V4428" s="10"/>
      <c r="W4428" s="10"/>
      <c r="X4428" s="10"/>
      <c r="Y4428" s="10"/>
      <c r="Z4428" s="10"/>
      <c r="AA4428" s="10"/>
      <c r="AB4428" s="10"/>
      <c r="AC4428" s="10"/>
      <c r="AD4428" s="10"/>
      <c r="AE4428" s="10"/>
      <c r="AF4428" s="10"/>
      <c r="AG4428" s="10"/>
      <c r="AH4428" s="10"/>
    </row>
    <row r="4429" spans="1:34" ht="31.5" outlineLevel="2">
      <c r="A4429" s="21"/>
      <c r="B4429" s="12" t="str">
        <f>IFERROR(VLOOKUP(D4429,'[1]Перечень товаров'!$A$2:$I9525,2,0),"")</f>
        <v>д502</v>
      </c>
      <c r="C4429" s="12" t="str">
        <f>IFERROR(VLOOKUP(D4429,'[1]Перечень товаров'!$A$2:$I9525,3,0),"")</f>
        <v>дидактика</v>
      </c>
      <c r="D4429" s="22" t="s">
        <v>1258</v>
      </c>
      <c r="E4429" s="23"/>
      <c r="F4429" s="23"/>
      <c r="G4429" s="205">
        <v>1</v>
      </c>
      <c r="H4429" s="205"/>
      <c r="I4429" s="206"/>
      <c r="J4429" s="206"/>
      <c r="K4429" s="19"/>
      <c r="L4429" s="20"/>
      <c r="M4429" s="10"/>
      <c r="N4429" s="10"/>
      <c r="O4429" s="10"/>
      <c r="P4429" s="10"/>
      <c r="Q4429" s="10"/>
      <c r="R4429" s="10"/>
      <c r="S4429" s="10"/>
      <c r="T4429" s="10"/>
      <c r="U4429" s="10"/>
      <c r="V4429" s="10"/>
      <c r="W4429" s="10"/>
      <c r="X4429" s="10"/>
      <c r="Y4429" s="10"/>
      <c r="Z4429" s="10"/>
      <c r="AA4429" s="10"/>
      <c r="AB4429" s="10"/>
      <c r="AC4429" s="10"/>
      <c r="AD4429" s="10"/>
      <c r="AE4429" s="10"/>
      <c r="AF4429" s="10"/>
      <c r="AG4429" s="10"/>
      <c r="AH4429" s="10"/>
    </row>
    <row r="4430" spans="1:34" ht="31.5" outlineLevel="2">
      <c r="A4430" s="21"/>
      <c r="B4430" s="12" t="str">
        <f>IFERROR(VLOOKUP(D4430,'[1]Перечень товаров'!$A$2:$I9525,2,0),"")</f>
        <v>д501</v>
      </c>
      <c r="C4430" s="12" t="str">
        <f>IFERROR(VLOOKUP(D4430,'[1]Перечень товаров'!$A$2:$I9525,3,0),"")</f>
        <v>дидактика</v>
      </c>
      <c r="D4430" s="22" t="s">
        <v>1259</v>
      </c>
      <c r="E4430" s="23"/>
      <c r="F4430" s="23"/>
      <c r="G4430" s="205">
        <v>1</v>
      </c>
      <c r="H4430" s="205"/>
      <c r="I4430" s="206"/>
      <c r="J4430" s="206"/>
      <c r="K4430" s="19"/>
      <c r="L4430" s="20"/>
      <c r="M4430" s="10"/>
      <c r="N4430" s="10"/>
      <c r="O4430" s="10"/>
      <c r="P4430" s="10"/>
      <c r="Q4430" s="10"/>
      <c r="R4430" s="10"/>
      <c r="S4430" s="10"/>
      <c r="T4430" s="10"/>
      <c r="U4430" s="10"/>
      <c r="V4430" s="10"/>
      <c r="W4430" s="10"/>
      <c r="X4430" s="10"/>
      <c r="Y4430" s="10"/>
      <c r="Z4430" s="10"/>
      <c r="AA4430" s="10"/>
      <c r="AB4430" s="10"/>
      <c r="AC4430" s="10"/>
      <c r="AD4430" s="10"/>
      <c r="AE4430" s="10"/>
      <c r="AF4430" s="10"/>
      <c r="AG4430" s="10"/>
      <c r="AH4430" s="10"/>
    </row>
    <row r="4431" spans="1:34" ht="31.5" outlineLevel="2">
      <c r="A4431" s="21"/>
      <c r="B4431" s="12" t="str">
        <f>IFERROR(VLOOKUP(D4431,'[1]Перечень товаров'!$A$2:$I9525,2,0),"")</f>
        <v>д500</v>
      </c>
      <c r="C4431" s="12" t="str">
        <f>IFERROR(VLOOKUP(D4431,'[1]Перечень товаров'!$A$2:$I9525,3,0),"")</f>
        <v>дидактика</v>
      </c>
      <c r="D4431" s="22" t="s">
        <v>1260</v>
      </c>
      <c r="E4431" s="23"/>
      <c r="F4431" s="23"/>
      <c r="G4431" s="205">
        <v>13</v>
      </c>
      <c r="H4431" s="205"/>
      <c r="I4431" s="206"/>
      <c r="J4431" s="206"/>
      <c r="K4431" s="19"/>
      <c r="L4431" s="20"/>
      <c r="M4431" s="10"/>
      <c r="N4431" s="10"/>
      <c r="O4431" s="10"/>
      <c r="P4431" s="10"/>
      <c r="Q4431" s="10"/>
      <c r="R4431" s="10"/>
      <c r="S4431" s="10"/>
      <c r="T4431" s="10"/>
      <c r="U4431" s="10"/>
      <c r="V4431" s="10"/>
      <c r="W4431" s="10"/>
      <c r="X4431" s="10"/>
      <c r="Y4431" s="10"/>
      <c r="Z4431" s="10"/>
      <c r="AA4431" s="10"/>
      <c r="AB4431" s="10"/>
      <c r="AC4431" s="10"/>
      <c r="AD4431" s="10"/>
      <c r="AE4431" s="10"/>
      <c r="AF4431" s="10"/>
      <c r="AG4431" s="10"/>
      <c r="AH4431" s="10"/>
    </row>
    <row r="4432" spans="1:34" outlineLevel="2">
      <c r="A4432" s="21"/>
      <c r="B4432" s="12" t="str">
        <f>IFERROR(VLOOKUP(D4432,'[1]Перечень товаров'!$A$2:$I9525,2,0),"")</f>
        <v>д499</v>
      </c>
      <c r="C4432" s="12" t="str">
        <f>IFERROR(VLOOKUP(D4432,'[1]Перечень товаров'!$A$2:$I9525,3,0),"")</f>
        <v>дидактика</v>
      </c>
      <c r="D4432" s="22" t="s">
        <v>1261</v>
      </c>
      <c r="E4432" s="23"/>
      <c r="F4432" s="23"/>
      <c r="G4432" s="205">
        <v>1</v>
      </c>
      <c r="H4432" s="205"/>
      <c r="I4432" s="206"/>
      <c r="J4432" s="206"/>
      <c r="K4432" s="19"/>
      <c r="L4432" s="20"/>
      <c r="M4432" s="10"/>
      <c r="N4432" s="10"/>
      <c r="O4432" s="10"/>
      <c r="P4432" s="10"/>
      <c r="Q4432" s="10"/>
      <c r="R4432" s="10"/>
      <c r="S4432" s="10"/>
      <c r="T4432" s="10"/>
      <c r="U4432" s="10"/>
      <c r="V4432" s="10"/>
      <c r="W4432" s="10"/>
      <c r="X4432" s="10"/>
      <c r="Y4432" s="10"/>
      <c r="Z4432" s="10"/>
      <c r="AA4432" s="10"/>
      <c r="AB4432" s="10"/>
      <c r="AC4432" s="10"/>
      <c r="AD4432" s="10"/>
      <c r="AE4432" s="10"/>
      <c r="AF4432" s="10"/>
      <c r="AG4432" s="10"/>
      <c r="AH4432" s="10"/>
    </row>
    <row r="4433" spans="1:34" outlineLevel="2">
      <c r="A4433" s="21"/>
      <c r="B4433" s="12" t="str">
        <f>IFERROR(VLOOKUP(D4433,'[1]Перечень товаров'!$A$2:$I9525,2,0),"")</f>
        <v>д498</v>
      </c>
      <c r="C4433" s="12" t="str">
        <f>IFERROR(VLOOKUP(D4433,'[1]Перечень товаров'!$A$2:$I9525,3,0),"")</f>
        <v>дидактика</v>
      </c>
      <c r="D4433" s="22" t="s">
        <v>1262</v>
      </c>
      <c r="E4433" s="23"/>
      <c r="F4433" s="23"/>
      <c r="G4433" s="205">
        <v>1</v>
      </c>
      <c r="H4433" s="205"/>
      <c r="I4433" s="206"/>
      <c r="J4433" s="206"/>
      <c r="K4433" s="19"/>
      <c r="L4433" s="20"/>
      <c r="M4433" s="10"/>
      <c r="N4433" s="10"/>
      <c r="O4433" s="10"/>
      <c r="P4433" s="10"/>
      <c r="Q4433" s="10"/>
      <c r="R4433" s="10"/>
      <c r="S4433" s="10"/>
      <c r="T4433" s="10"/>
      <c r="U4433" s="10"/>
      <c r="V4433" s="10"/>
      <c r="W4433" s="10"/>
      <c r="X4433" s="10"/>
      <c r="Y4433" s="10"/>
      <c r="Z4433" s="10"/>
      <c r="AA4433" s="10"/>
      <c r="AB4433" s="10"/>
      <c r="AC4433" s="10"/>
      <c r="AD4433" s="10"/>
      <c r="AE4433" s="10"/>
      <c r="AF4433" s="10"/>
      <c r="AG4433" s="10"/>
      <c r="AH4433" s="10"/>
    </row>
    <row r="4434" spans="1:34" ht="31.5" outlineLevel="2">
      <c r="A4434" s="21"/>
      <c r="B4434" s="12" t="str">
        <f>IFERROR(VLOOKUP(D4434,'[1]Перечень товаров'!$A$2:$I9525,2,0),"")</f>
        <v>д497</v>
      </c>
      <c r="C4434" s="12" t="str">
        <f>IFERROR(VLOOKUP(D4434,'[1]Перечень товаров'!$A$2:$I9525,3,0),"")</f>
        <v>дидактика</v>
      </c>
      <c r="D4434" s="22" t="s">
        <v>1263</v>
      </c>
      <c r="E4434" s="23"/>
      <c r="F4434" s="23"/>
      <c r="G4434" s="205">
        <v>1</v>
      </c>
      <c r="H4434" s="205"/>
      <c r="I4434" s="206"/>
      <c r="J4434" s="206"/>
      <c r="K4434" s="19"/>
      <c r="L4434" s="20"/>
      <c r="M4434" s="10"/>
      <c r="N4434" s="10"/>
      <c r="O4434" s="10"/>
      <c r="P4434" s="10"/>
      <c r="Q4434" s="10"/>
      <c r="R4434" s="10"/>
      <c r="S4434" s="10"/>
      <c r="T4434" s="10"/>
      <c r="U4434" s="10"/>
      <c r="V4434" s="10"/>
      <c r="W4434" s="10"/>
      <c r="X4434" s="10"/>
      <c r="Y4434" s="10"/>
      <c r="Z4434" s="10"/>
      <c r="AA4434" s="10"/>
      <c r="AB4434" s="10"/>
      <c r="AC4434" s="10"/>
      <c r="AD4434" s="10"/>
      <c r="AE4434" s="10"/>
      <c r="AF4434" s="10"/>
      <c r="AG4434" s="10"/>
      <c r="AH4434" s="10"/>
    </row>
    <row r="4435" spans="1:34" ht="31.5" outlineLevel="2">
      <c r="A4435" s="21"/>
      <c r="B4435" s="12" t="str">
        <f>IFERROR(VLOOKUP(D4435,'[1]Перечень товаров'!$A$2:$I9525,2,0),"")</f>
        <v>д496</v>
      </c>
      <c r="C4435" s="12" t="str">
        <f>IFERROR(VLOOKUP(D4435,'[1]Перечень товаров'!$A$2:$I9525,3,0),"")</f>
        <v>дидактика</v>
      </c>
      <c r="D4435" s="22" t="s">
        <v>1264</v>
      </c>
      <c r="E4435" s="23"/>
      <c r="F4435" s="23"/>
      <c r="G4435" s="205">
        <v>1</v>
      </c>
      <c r="H4435" s="205"/>
      <c r="I4435" s="206"/>
      <c r="J4435" s="206"/>
      <c r="K4435" s="19"/>
      <c r="L4435" s="20"/>
      <c r="M4435" s="10"/>
      <c r="N4435" s="10"/>
      <c r="O4435" s="10"/>
      <c r="P4435" s="10"/>
      <c r="Q4435" s="10"/>
      <c r="R4435" s="10"/>
      <c r="S4435" s="10"/>
      <c r="T4435" s="10"/>
      <c r="U4435" s="10"/>
      <c r="V4435" s="10"/>
      <c r="W4435" s="10"/>
      <c r="X4435" s="10"/>
      <c r="Y4435" s="10"/>
      <c r="Z4435" s="10"/>
      <c r="AA4435" s="10"/>
      <c r="AB4435" s="10"/>
      <c r="AC4435" s="10"/>
      <c r="AD4435" s="10"/>
      <c r="AE4435" s="10"/>
      <c r="AF4435" s="10"/>
      <c r="AG4435" s="10"/>
      <c r="AH4435" s="10"/>
    </row>
    <row r="4436" spans="1:34" ht="31.5" outlineLevel="2">
      <c r="A4436" s="21"/>
      <c r="B4436" s="12" t="str">
        <f>IFERROR(VLOOKUP(D4436,'[1]Перечень товаров'!$A$2:$I9525,2,0),"")</f>
        <v>д495</v>
      </c>
      <c r="C4436" s="12" t="str">
        <f>IFERROR(VLOOKUP(D4436,'[1]Перечень товаров'!$A$2:$I9525,3,0),"")</f>
        <v>дидактика</v>
      </c>
      <c r="D4436" s="22" t="s">
        <v>1265</v>
      </c>
      <c r="E4436" s="23"/>
      <c r="F4436" s="23"/>
      <c r="G4436" s="205">
        <v>1</v>
      </c>
      <c r="H4436" s="205"/>
      <c r="I4436" s="206"/>
      <c r="J4436" s="206"/>
      <c r="K4436" s="19"/>
      <c r="L4436" s="20"/>
      <c r="M4436" s="10"/>
      <c r="N4436" s="10"/>
      <c r="O4436" s="10"/>
      <c r="P4436" s="10"/>
      <c r="Q4436" s="10"/>
      <c r="R4436" s="10"/>
      <c r="S4436" s="10"/>
      <c r="T4436" s="10"/>
      <c r="U4436" s="10"/>
      <c r="V4436" s="10"/>
      <c r="W4436" s="10"/>
      <c r="X4436" s="10"/>
      <c r="Y4436" s="10"/>
      <c r="Z4436" s="10"/>
      <c r="AA4436" s="10"/>
      <c r="AB4436" s="10"/>
      <c r="AC4436" s="10"/>
      <c r="AD4436" s="10"/>
      <c r="AE4436" s="10"/>
      <c r="AF4436" s="10"/>
      <c r="AG4436" s="10"/>
      <c r="AH4436" s="10"/>
    </row>
    <row r="4437" spans="1:34" ht="31.5" outlineLevel="2">
      <c r="A4437" s="21"/>
      <c r="B4437" s="12" t="str">
        <f>IFERROR(VLOOKUP(D4437,'[1]Перечень товаров'!$A$2:$I9525,2,0),"")</f>
        <v>д494</v>
      </c>
      <c r="C4437" s="12" t="str">
        <f>IFERROR(VLOOKUP(D4437,'[1]Перечень товаров'!$A$2:$I9525,3,0),"")</f>
        <v>дидактика</v>
      </c>
      <c r="D4437" s="22" t="s">
        <v>1266</v>
      </c>
      <c r="E4437" s="23"/>
      <c r="F4437" s="23"/>
      <c r="G4437" s="205">
        <v>1</v>
      </c>
      <c r="H4437" s="205"/>
      <c r="I4437" s="206"/>
      <c r="J4437" s="206"/>
      <c r="K4437" s="19"/>
      <c r="L4437" s="20"/>
      <c r="M4437" s="10"/>
      <c r="N4437" s="10"/>
      <c r="O4437" s="10"/>
      <c r="P4437" s="10"/>
      <c r="Q4437" s="10"/>
      <c r="R4437" s="10"/>
      <c r="S4437" s="10"/>
      <c r="T4437" s="10"/>
      <c r="U4437" s="10"/>
      <c r="V4437" s="10"/>
      <c r="W4437" s="10"/>
      <c r="X4437" s="10"/>
      <c r="Y4437" s="10"/>
      <c r="Z4437" s="10"/>
      <c r="AA4437" s="10"/>
      <c r="AB4437" s="10"/>
      <c r="AC4437" s="10"/>
      <c r="AD4437" s="10"/>
      <c r="AE4437" s="10"/>
      <c r="AF4437" s="10"/>
      <c r="AG4437" s="10"/>
      <c r="AH4437" s="10"/>
    </row>
    <row r="4438" spans="1:34" outlineLevel="2">
      <c r="A4438" s="21"/>
      <c r="B4438" s="12" t="str">
        <f>IFERROR(VLOOKUP(D4438,'[1]Перечень товаров'!$A$2:$I9525,2,0),"")</f>
        <v>д493</v>
      </c>
      <c r="C4438" s="12" t="str">
        <f>IFERROR(VLOOKUP(D4438,'[1]Перечень товаров'!$A$2:$I9525,3,0),"")</f>
        <v>дидактика</v>
      </c>
      <c r="D4438" s="22" t="s">
        <v>1267</v>
      </c>
      <c r="E4438" s="23"/>
      <c r="F4438" s="23"/>
      <c r="G4438" s="205">
        <v>1</v>
      </c>
      <c r="H4438" s="205"/>
      <c r="I4438" s="206"/>
      <c r="J4438" s="206"/>
      <c r="K4438" s="19"/>
      <c r="L4438" s="20"/>
      <c r="M4438" s="10"/>
      <c r="N4438" s="10"/>
      <c r="O4438" s="10"/>
      <c r="P4438" s="10"/>
      <c r="Q4438" s="10"/>
      <c r="R4438" s="10"/>
      <c r="S4438" s="10"/>
      <c r="T4438" s="10"/>
      <c r="U4438" s="10"/>
      <c r="V4438" s="10"/>
      <c r="W4438" s="10"/>
      <c r="X4438" s="10"/>
      <c r="Y4438" s="10"/>
      <c r="Z4438" s="10"/>
      <c r="AA4438" s="10"/>
      <c r="AB4438" s="10"/>
      <c r="AC4438" s="10"/>
      <c r="AD4438" s="10"/>
      <c r="AE4438" s="10"/>
      <c r="AF4438" s="10"/>
      <c r="AG4438" s="10"/>
      <c r="AH4438" s="10"/>
    </row>
    <row r="4439" spans="1:34" ht="12.75" outlineLevel="2">
      <c r="A4439" s="197"/>
      <c r="B4439" s="12" t="str">
        <f>IFERROR(VLOOKUP(D4439,'[1]Перечень товаров'!$A$2:$I9525,2,0),"")</f>
        <v/>
      </c>
      <c r="C4439" s="12" t="str">
        <f>IFERROR(VLOOKUP(D4439,'[1]Перечень товаров'!$A$2:$I9525,3,0),"")</f>
        <v/>
      </c>
      <c r="D4439" s="198" t="s">
        <v>1268</v>
      </c>
      <c r="E4439" s="15"/>
      <c r="F4439" s="15"/>
      <c r="G4439" s="238"/>
      <c r="H4439" s="238"/>
      <c r="I4439" s="239"/>
      <c r="J4439" s="239"/>
      <c r="K4439" s="19"/>
      <c r="L4439" s="20"/>
      <c r="M4439" s="10"/>
      <c r="N4439" s="10"/>
      <c r="O4439" s="10"/>
      <c r="P4439" s="10"/>
      <c r="Q4439" s="10"/>
      <c r="R4439" s="10"/>
      <c r="S4439" s="10"/>
      <c r="T4439" s="10"/>
      <c r="U4439" s="10"/>
      <c r="V4439" s="10"/>
      <c r="W4439" s="10"/>
      <c r="X4439" s="10"/>
      <c r="Y4439" s="10"/>
      <c r="Z4439" s="10"/>
      <c r="AA4439" s="10"/>
      <c r="AB4439" s="10"/>
      <c r="AC4439" s="10"/>
      <c r="AD4439" s="10"/>
      <c r="AE4439" s="10"/>
      <c r="AF4439" s="10"/>
      <c r="AG4439" s="10"/>
      <c r="AH4439" s="10"/>
    </row>
    <row r="4440" spans="1:34" ht="31.5" outlineLevel="2">
      <c r="A4440" s="21"/>
      <c r="B4440" s="12" t="str">
        <f>IFERROR(VLOOKUP(D4440,'[1]Перечень товаров'!$A$2:$I9525,2,0),"")</f>
        <v>д492</v>
      </c>
      <c r="C4440" s="12" t="str">
        <f>IFERROR(VLOOKUP(D4440,'[1]Перечень товаров'!$A$2:$I9525,3,0),"")</f>
        <v>дидактика</v>
      </c>
      <c r="D4440" s="22" t="s">
        <v>1269</v>
      </c>
      <c r="E4440" s="23"/>
      <c r="F4440" s="23"/>
      <c r="G4440" s="205">
        <v>1</v>
      </c>
      <c r="H4440" s="205"/>
      <c r="I4440" s="206"/>
      <c r="J4440" s="206"/>
      <c r="K4440" s="19"/>
      <c r="L4440" s="20"/>
      <c r="M4440" s="10"/>
      <c r="N4440" s="10"/>
      <c r="O4440" s="10"/>
      <c r="P4440" s="10"/>
      <c r="Q4440" s="10"/>
      <c r="R4440" s="10"/>
      <c r="S4440" s="10"/>
      <c r="T4440" s="10"/>
      <c r="U4440" s="10"/>
      <c r="V4440" s="10"/>
      <c r="W4440" s="10"/>
      <c r="X4440" s="10"/>
      <c r="Y4440" s="10"/>
      <c r="Z4440" s="10"/>
      <c r="AA4440" s="10"/>
      <c r="AB4440" s="10"/>
      <c r="AC4440" s="10"/>
      <c r="AD4440" s="10"/>
      <c r="AE4440" s="10"/>
      <c r="AF4440" s="10"/>
      <c r="AG4440" s="10"/>
      <c r="AH4440" s="10"/>
    </row>
    <row r="4441" spans="1:34" outlineLevel="2">
      <c r="A4441" s="21"/>
      <c r="B4441" s="12" t="str">
        <f>IFERROR(VLOOKUP(D4441,'[1]Перечень товаров'!$A$2:$I9525,2,0),"")</f>
        <v>д491</v>
      </c>
      <c r="C4441" s="12" t="str">
        <f>IFERROR(VLOOKUP(D4441,'[1]Перечень товаров'!$A$2:$I9525,3,0),"")</f>
        <v>дидактика</v>
      </c>
      <c r="D4441" s="22" t="s">
        <v>1270</v>
      </c>
      <c r="E4441" s="23"/>
      <c r="F4441" s="23"/>
      <c r="G4441" s="205">
        <v>1</v>
      </c>
      <c r="H4441" s="205"/>
      <c r="I4441" s="206"/>
      <c r="J4441" s="206"/>
      <c r="K4441" s="19"/>
      <c r="L4441" s="20"/>
      <c r="M4441" s="10"/>
      <c r="N4441" s="10"/>
      <c r="O4441" s="10"/>
      <c r="P4441" s="10"/>
      <c r="Q4441" s="10"/>
      <c r="R4441" s="10"/>
      <c r="S4441" s="10"/>
      <c r="T4441" s="10"/>
      <c r="U4441" s="10"/>
      <c r="V4441" s="10"/>
      <c r="W4441" s="10"/>
      <c r="X4441" s="10"/>
      <c r="Y4441" s="10"/>
      <c r="Z4441" s="10"/>
      <c r="AA4441" s="10"/>
      <c r="AB4441" s="10"/>
      <c r="AC4441" s="10"/>
      <c r="AD4441" s="10"/>
      <c r="AE4441" s="10"/>
      <c r="AF4441" s="10"/>
      <c r="AG4441" s="10"/>
      <c r="AH4441" s="10"/>
    </row>
    <row r="4442" spans="1:34" ht="12.75" outlineLevel="2">
      <c r="A4442" s="197"/>
      <c r="B4442" s="12" t="str">
        <f>IFERROR(VLOOKUP(D4442,'[1]Перечень товаров'!$A$2:$I9525,2,0),"")</f>
        <v/>
      </c>
      <c r="C4442" s="12" t="str">
        <f>IFERROR(VLOOKUP(D4442,'[1]Перечень товаров'!$A$2:$I9525,3,0),"")</f>
        <v/>
      </c>
      <c r="D4442" s="198" t="s">
        <v>1271</v>
      </c>
      <c r="E4442" s="15"/>
      <c r="F4442" s="15"/>
      <c r="G4442" s="238"/>
      <c r="H4442" s="238"/>
      <c r="I4442" s="239"/>
      <c r="J4442" s="239"/>
      <c r="K4442" s="19"/>
      <c r="L4442" s="20"/>
      <c r="M4442" s="10"/>
      <c r="N4442" s="10"/>
      <c r="O4442" s="10"/>
      <c r="P4442" s="10"/>
      <c r="Q4442" s="10"/>
      <c r="R4442" s="10"/>
      <c r="S4442" s="10"/>
      <c r="T4442" s="10"/>
      <c r="U4442" s="10"/>
      <c r="V4442" s="10"/>
      <c r="W4442" s="10"/>
      <c r="X4442" s="10"/>
      <c r="Y4442" s="10"/>
      <c r="Z4442" s="10"/>
      <c r="AA4442" s="10"/>
      <c r="AB4442" s="10"/>
      <c r="AC4442" s="10"/>
      <c r="AD4442" s="10"/>
      <c r="AE4442" s="10"/>
      <c r="AF4442" s="10"/>
      <c r="AG4442" s="10"/>
      <c r="AH4442" s="10"/>
    </row>
    <row r="4443" spans="1:34" outlineLevel="2">
      <c r="A4443" s="21"/>
      <c r="B4443" s="12" t="str">
        <f>IFERROR(VLOOKUP(D4443,'[1]Перечень товаров'!$A$2:$I9525,2,0),"")</f>
        <v>д490</v>
      </c>
      <c r="C4443" s="12" t="str">
        <f>IFERROR(VLOOKUP(D4443,'[1]Перечень товаров'!$A$2:$I9525,3,0),"")</f>
        <v>дидактика</v>
      </c>
      <c r="D4443" s="22" t="s">
        <v>1272</v>
      </c>
      <c r="E4443" s="23"/>
      <c r="F4443" s="23"/>
      <c r="G4443" s="205">
        <v>1</v>
      </c>
      <c r="H4443" s="205"/>
      <c r="I4443" s="206"/>
      <c r="J4443" s="206"/>
      <c r="K4443" s="19"/>
      <c r="L4443" s="20"/>
      <c r="M4443" s="10"/>
      <c r="N4443" s="10"/>
      <c r="O4443" s="10"/>
      <c r="P4443" s="10"/>
      <c r="Q4443" s="10"/>
      <c r="R4443" s="10"/>
      <c r="S4443" s="10"/>
      <c r="T4443" s="10"/>
      <c r="U4443" s="10"/>
      <c r="V4443" s="10"/>
      <c r="W4443" s="10"/>
      <c r="X4443" s="10"/>
      <c r="Y4443" s="10"/>
      <c r="Z4443" s="10"/>
      <c r="AA4443" s="10"/>
      <c r="AB4443" s="10"/>
      <c r="AC4443" s="10"/>
      <c r="AD4443" s="10"/>
      <c r="AE4443" s="10"/>
      <c r="AF4443" s="10"/>
      <c r="AG4443" s="10"/>
      <c r="AH4443" s="10"/>
    </row>
    <row r="4444" spans="1:34" outlineLevel="2">
      <c r="A4444" s="21"/>
      <c r="B4444" s="12" t="str">
        <f>IFERROR(VLOOKUP(D4444,'[1]Перечень товаров'!$A$2:$I9525,2,0),"")</f>
        <v>д489</v>
      </c>
      <c r="C4444" s="12" t="str">
        <f>IFERROR(VLOOKUP(D4444,'[1]Перечень товаров'!$A$2:$I9525,3,0),"")</f>
        <v>дидактика</v>
      </c>
      <c r="D4444" s="22" t="s">
        <v>1273</v>
      </c>
      <c r="E4444" s="23"/>
      <c r="F4444" s="23"/>
      <c r="G4444" s="205">
        <v>2</v>
      </c>
      <c r="H4444" s="205"/>
      <c r="I4444" s="206"/>
      <c r="J4444" s="206"/>
      <c r="K4444" s="19"/>
      <c r="L4444" s="20"/>
      <c r="M4444" s="10"/>
      <c r="N4444" s="10"/>
      <c r="O4444" s="10"/>
      <c r="P4444" s="10"/>
      <c r="Q4444" s="10"/>
      <c r="R4444" s="10"/>
      <c r="S4444" s="10"/>
      <c r="T4444" s="10"/>
      <c r="U4444" s="10"/>
      <c r="V4444" s="10"/>
      <c r="W4444" s="10"/>
      <c r="X4444" s="10"/>
      <c r="Y4444" s="10"/>
      <c r="Z4444" s="10"/>
      <c r="AA4444" s="10"/>
      <c r="AB4444" s="10"/>
      <c r="AC4444" s="10"/>
      <c r="AD4444" s="10"/>
      <c r="AE4444" s="10"/>
      <c r="AF4444" s="10"/>
      <c r="AG4444" s="10"/>
      <c r="AH4444" s="10"/>
    </row>
    <row r="4445" spans="1:34" outlineLevel="2">
      <c r="A4445" s="21"/>
      <c r="B4445" s="12" t="str">
        <f>IFERROR(VLOOKUP(D4445,'[1]Перечень товаров'!$A$2:$I9525,2,0),"")</f>
        <v>д488</v>
      </c>
      <c r="C4445" s="12" t="str">
        <f>IFERROR(VLOOKUP(D4445,'[1]Перечень товаров'!$A$2:$I9525,3,0),"")</f>
        <v>дидактика</v>
      </c>
      <c r="D4445" s="22" t="s">
        <v>1274</v>
      </c>
      <c r="E4445" s="23"/>
      <c r="F4445" s="23"/>
      <c r="G4445" s="205">
        <v>3</v>
      </c>
      <c r="H4445" s="205"/>
      <c r="I4445" s="206"/>
      <c r="J4445" s="206"/>
      <c r="K4445" s="19"/>
      <c r="L4445" s="20"/>
      <c r="M4445" s="10"/>
      <c r="N4445" s="10"/>
      <c r="O4445" s="10"/>
      <c r="P4445" s="10"/>
      <c r="Q4445" s="10"/>
      <c r="R4445" s="10"/>
      <c r="S4445" s="10"/>
      <c r="T4445" s="10"/>
      <c r="U4445" s="10"/>
      <c r="V4445" s="10"/>
      <c r="W4445" s="10"/>
      <c r="X4445" s="10"/>
      <c r="Y4445" s="10"/>
      <c r="Z4445" s="10"/>
      <c r="AA4445" s="10"/>
      <c r="AB4445" s="10"/>
      <c r="AC4445" s="10"/>
      <c r="AD4445" s="10"/>
      <c r="AE4445" s="10"/>
      <c r="AF4445" s="10"/>
      <c r="AG4445" s="10"/>
      <c r="AH4445" s="10"/>
    </row>
    <row r="4446" spans="1:34" outlineLevel="2">
      <c r="A4446" s="21"/>
      <c r="B4446" s="12" t="str">
        <f>IFERROR(VLOOKUP(D4446,'[1]Перечень товаров'!$A$2:$I9525,2,0),"")</f>
        <v>д487</v>
      </c>
      <c r="C4446" s="12" t="str">
        <f>IFERROR(VLOOKUP(D4446,'[1]Перечень товаров'!$A$2:$I9525,3,0),"")</f>
        <v>дидактика</v>
      </c>
      <c r="D4446" s="22" t="s">
        <v>1275</v>
      </c>
      <c r="E4446" s="23"/>
      <c r="F4446" s="23"/>
      <c r="G4446" s="205">
        <v>25</v>
      </c>
      <c r="H4446" s="205"/>
      <c r="I4446" s="206"/>
      <c r="J4446" s="206"/>
      <c r="K4446" s="19"/>
      <c r="L4446" s="20"/>
      <c r="M4446" s="10"/>
      <c r="N4446" s="10"/>
      <c r="O4446" s="10"/>
      <c r="P4446" s="10"/>
      <c r="Q4446" s="10"/>
      <c r="R4446" s="10"/>
      <c r="S4446" s="10"/>
      <c r="T4446" s="10"/>
      <c r="U4446" s="10"/>
      <c r="V4446" s="10"/>
      <c r="W4446" s="10"/>
      <c r="X4446" s="10"/>
      <c r="Y4446" s="10"/>
      <c r="Z4446" s="10"/>
      <c r="AA4446" s="10"/>
      <c r="AB4446" s="10"/>
      <c r="AC4446" s="10"/>
      <c r="AD4446" s="10"/>
      <c r="AE4446" s="10"/>
      <c r="AF4446" s="10"/>
      <c r="AG4446" s="10"/>
      <c r="AH4446" s="10"/>
    </row>
    <row r="4447" spans="1:34" outlineLevel="2">
      <c r="A4447" s="21"/>
      <c r="B4447" s="12" t="str">
        <f>IFERROR(VLOOKUP(D4447,'[1]Перечень товаров'!$A$2:$I9525,2,0),"")</f>
        <v>д486</v>
      </c>
      <c r="C4447" s="12" t="str">
        <f>IFERROR(VLOOKUP(D4447,'[1]Перечень товаров'!$A$2:$I9525,3,0),"")</f>
        <v>дидактика</v>
      </c>
      <c r="D4447" s="22" t="s">
        <v>1276</v>
      </c>
      <c r="E4447" s="23"/>
      <c r="F4447" s="23"/>
      <c r="G4447" s="205">
        <v>14</v>
      </c>
      <c r="H4447" s="205"/>
      <c r="I4447" s="206"/>
      <c r="J4447" s="206"/>
      <c r="K4447" s="19"/>
      <c r="L4447" s="20"/>
      <c r="M4447" s="10"/>
      <c r="N4447" s="10"/>
      <c r="O4447" s="10"/>
      <c r="P4447" s="10"/>
      <c r="Q4447" s="10"/>
      <c r="R4447" s="10"/>
      <c r="S4447" s="10"/>
      <c r="T4447" s="10"/>
      <c r="U4447" s="10"/>
      <c r="V4447" s="10"/>
      <c r="W4447" s="10"/>
      <c r="X4447" s="10"/>
      <c r="Y4447" s="10"/>
      <c r="Z4447" s="10"/>
      <c r="AA4447" s="10"/>
      <c r="AB4447" s="10"/>
      <c r="AC4447" s="10"/>
      <c r="AD4447" s="10"/>
      <c r="AE4447" s="10"/>
      <c r="AF4447" s="10"/>
      <c r="AG4447" s="10"/>
      <c r="AH4447" s="10"/>
    </row>
    <row r="4448" spans="1:34" outlineLevel="2">
      <c r="A4448" s="21"/>
      <c r="B4448" s="12" t="str">
        <f>IFERROR(VLOOKUP(D4448,'[1]Перечень товаров'!$A$2:$I9525,2,0),"")</f>
        <v>д485</v>
      </c>
      <c r="C4448" s="12" t="str">
        <f>IFERROR(VLOOKUP(D4448,'[1]Перечень товаров'!$A$2:$I9525,3,0),"")</f>
        <v>дидактика</v>
      </c>
      <c r="D4448" s="22" t="s">
        <v>1277</v>
      </c>
      <c r="E4448" s="23"/>
      <c r="F4448" s="23"/>
      <c r="G4448" s="205">
        <v>5</v>
      </c>
      <c r="H4448" s="205"/>
      <c r="I4448" s="206"/>
      <c r="J4448" s="206"/>
      <c r="K4448" s="19"/>
      <c r="L4448" s="20"/>
      <c r="M4448" s="10"/>
      <c r="N4448" s="10"/>
      <c r="O4448" s="10"/>
      <c r="P4448" s="10"/>
      <c r="Q4448" s="10"/>
      <c r="R4448" s="10"/>
      <c r="S4448" s="10"/>
      <c r="T4448" s="10"/>
      <c r="U4448" s="10"/>
      <c r="V4448" s="10"/>
      <c r="W4448" s="10"/>
      <c r="X4448" s="10"/>
      <c r="Y4448" s="10"/>
      <c r="Z4448" s="10"/>
      <c r="AA4448" s="10"/>
      <c r="AB4448" s="10"/>
      <c r="AC4448" s="10"/>
      <c r="AD4448" s="10"/>
      <c r="AE4448" s="10"/>
      <c r="AF4448" s="10"/>
      <c r="AG4448" s="10"/>
      <c r="AH4448" s="10"/>
    </row>
    <row r="4449" spans="1:34" ht="47.25" outlineLevel="2">
      <c r="A4449" s="21"/>
      <c r="B4449" s="12" t="str">
        <f>IFERROR(VLOOKUP(D4449,'[1]Перечень товаров'!$A$2:$I9525,2,0),"")</f>
        <v>д484</v>
      </c>
      <c r="C4449" s="12" t="str">
        <f>IFERROR(VLOOKUP(D4449,'[1]Перечень товаров'!$A$2:$I9525,3,0),"")</f>
        <v>дидактика</v>
      </c>
      <c r="D4449" s="22" t="s">
        <v>1278</v>
      </c>
      <c r="E4449" s="23"/>
      <c r="F4449" s="23"/>
      <c r="G4449" s="242">
        <v>1</v>
      </c>
      <c r="H4449" s="242"/>
      <c r="I4449" s="243"/>
      <c r="J4449" s="243"/>
      <c r="K4449" s="19"/>
      <c r="L4449" s="20"/>
      <c r="M4449" s="10"/>
      <c r="N4449" s="10"/>
      <c r="O4449" s="10"/>
      <c r="P4449" s="10"/>
      <c r="Q4449" s="10"/>
      <c r="R4449" s="10"/>
      <c r="S4449" s="10"/>
      <c r="T4449" s="10"/>
      <c r="U4449" s="10"/>
      <c r="V4449" s="10"/>
      <c r="W4449" s="10"/>
      <c r="X4449" s="10"/>
      <c r="Y4449" s="10"/>
      <c r="Z4449" s="10"/>
      <c r="AA4449" s="10"/>
      <c r="AB4449" s="10"/>
      <c r="AC4449" s="10"/>
      <c r="AD4449" s="10"/>
      <c r="AE4449" s="10"/>
      <c r="AF4449" s="10"/>
      <c r="AG4449" s="10"/>
      <c r="AH4449" s="10"/>
    </row>
    <row r="4450" spans="1:34" outlineLevel="2">
      <c r="A4450" s="21"/>
      <c r="B4450" s="12" t="str">
        <f>IFERROR(VLOOKUP(D4450,'[1]Перечень товаров'!$A$2:$I9525,2,0),"")</f>
        <v>д483</v>
      </c>
      <c r="C4450" s="12" t="str">
        <f>IFERROR(VLOOKUP(D4450,'[1]Перечень товаров'!$A$2:$I9525,3,0),"")</f>
        <v>дидактика</v>
      </c>
      <c r="D4450" s="22" t="s">
        <v>1279</v>
      </c>
      <c r="E4450" s="23"/>
      <c r="F4450" s="23"/>
      <c r="G4450" s="205">
        <v>1</v>
      </c>
      <c r="H4450" s="205"/>
      <c r="I4450" s="206"/>
      <c r="J4450" s="206"/>
      <c r="K4450" s="19"/>
      <c r="L4450" s="20"/>
      <c r="M4450" s="10"/>
      <c r="N4450" s="10"/>
      <c r="O4450" s="10"/>
      <c r="P4450" s="10"/>
      <c r="Q4450" s="10"/>
      <c r="R4450" s="10"/>
      <c r="S4450" s="10"/>
      <c r="T4450" s="10"/>
      <c r="U4450" s="10"/>
      <c r="V4450" s="10"/>
      <c r="W4450" s="10"/>
      <c r="X4450" s="10"/>
      <c r="Y4450" s="10"/>
      <c r="Z4450" s="10"/>
      <c r="AA4450" s="10"/>
      <c r="AB4450" s="10"/>
      <c r="AC4450" s="10"/>
      <c r="AD4450" s="10"/>
      <c r="AE4450" s="10"/>
      <c r="AF4450" s="10"/>
      <c r="AG4450" s="10"/>
      <c r="AH4450" s="10"/>
    </row>
    <row r="4451" spans="1:34" outlineLevel="2">
      <c r="A4451" s="21"/>
      <c r="B4451" s="12" t="str">
        <f>IFERROR(VLOOKUP(D4451,'[1]Перечень товаров'!$A$2:$I9525,2,0),"")</f>
        <v>д482</v>
      </c>
      <c r="C4451" s="12" t="str">
        <f>IFERROR(VLOOKUP(D4451,'[1]Перечень товаров'!$A$2:$I9525,3,0),"")</f>
        <v>дидактика</v>
      </c>
      <c r="D4451" s="22" t="s">
        <v>1280</v>
      </c>
      <c r="E4451" s="23"/>
      <c r="F4451" s="23"/>
      <c r="G4451" s="205">
        <v>1</v>
      </c>
      <c r="H4451" s="205"/>
      <c r="I4451" s="206"/>
      <c r="J4451" s="206"/>
      <c r="K4451" s="19"/>
      <c r="L4451" s="20"/>
      <c r="M4451" s="10"/>
      <c r="N4451" s="10"/>
      <c r="O4451" s="10"/>
      <c r="P4451" s="10"/>
      <c r="Q4451" s="10"/>
      <c r="R4451" s="10"/>
      <c r="S4451" s="10"/>
      <c r="T4451" s="10"/>
      <c r="U4451" s="10"/>
      <c r="V4451" s="10"/>
      <c r="W4451" s="10"/>
      <c r="X4451" s="10"/>
      <c r="Y4451" s="10"/>
      <c r="Z4451" s="10"/>
      <c r="AA4451" s="10"/>
      <c r="AB4451" s="10"/>
      <c r="AC4451" s="10"/>
      <c r="AD4451" s="10"/>
      <c r="AE4451" s="10"/>
      <c r="AF4451" s="10"/>
      <c r="AG4451" s="10"/>
      <c r="AH4451" s="10"/>
    </row>
    <row r="4452" spans="1:34" ht="12.75" outlineLevel="2">
      <c r="A4452" s="197"/>
      <c r="B4452" s="12" t="str">
        <f>IFERROR(VLOOKUP(D4452,'[1]Перечень товаров'!$A$2:$I9525,2,0),"")</f>
        <v/>
      </c>
      <c r="C4452" s="12" t="str">
        <f>IFERROR(VLOOKUP(D4452,'[1]Перечень товаров'!$A$2:$I9525,3,0),"")</f>
        <v/>
      </c>
      <c r="D4452" s="198" t="s">
        <v>1281</v>
      </c>
      <c r="E4452" s="15"/>
      <c r="F4452" s="15"/>
      <c r="G4452" s="238"/>
      <c r="H4452" s="238"/>
      <c r="I4452" s="239"/>
      <c r="J4452" s="239"/>
      <c r="K4452" s="19"/>
      <c r="L4452" s="20"/>
      <c r="M4452" s="10"/>
      <c r="N4452" s="10"/>
      <c r="O4452" s="10"/>
      <c r="P4452" s="10"/>
      <c r="Q4452" s="10"/>
      <c r="R4452" s="10"/>
      <c r="S4452" s="10"/>
      <c r="T4452" s="10"/>
      <c r="U4452" s="10"/>
      <c r="V4452" s="10"/>
      <c r="W4452" s="10"/>
      <c r="X4452" s="10"/>
      <c r="Y4452" s="10"/>
      <c r="Z4452" s="10"/>
      <c r="AA4452" s="10"/>
      <c r="AB4452" s="10"/>
      <c r="AC4452" s="10"/>
      <c r="AD4452" s="10"/>
      <c r="AE4452" s="10"/>
      <c r="AF4452" s="10"/>
      <c r="AG4452" s="10"/>
      <c r="AH4452" s="10"/>
    </row>
    <row r="4453" spans="1:34" ht="31.5" outlineLevel="2">
      <c r="A4453" s="21"/>
      <c r="B4453" s="12" t="str">
        <f>IFERROR(VLOOKUP(D4453,'[1]Перечень товаров'!$A$2:$I9525,2,0),"")</f>
        <v>д481</v>
      </c>
      <c r="C4453" s="12" t="str">
        <f>IFERROR(VLOOKUP(D4453,'[1]Перечень товаров'!$A$2:$I9525,3,0),"")</f>
        <v>дидактика</v>
      </c>
      <c r="D4453" s="22" t="s">
        <v>1282</v>
      </c>
      <c r="E4453" s="23"/>
      <c r="F4453" s="23"/>
      <c r="G4453" s="242">
        <v>1</v>
      </c>
      <c r="H4453" s="242"/>
      <c r="I4453" s="243"/>
      <c r="J4453" s="243"/>
      <c r="K4453" s="19"/>
      <c r="L4453" s="20"/>
      <c r="M4453" s="10"/>
      <c r="N4453" s="10"/>
      <c r="O4453" s="10"/>
      <c r="P4453" s="10"/>
      <c r="Q4453" s="10"/>
      <c r="R4453" s="10"/>
      <c r="S4453" s="10"/>
      <c r="T4453" s="10"/>
      <c r="U4453" s="10"/>
      <c r="V4453" s="10"/>
      <c r="W4453" s="10"/>
      <c r="X4453" s="10"/>
      <c r="Y4453" s="10"/>
      <c r="Z4453" s="10"/>
      <c r="AA4453" s="10"/>
      <c r="AB4453" s="10"/>
      <c r="AC4453" s="10"/>
      <c r="AD4453" s="10"/>
      <c r="AE4453" s="10"/>
      <c r="AF4453" s="10"/>
      <c r="AG4453" s="10"/>
      <c r="AH4453" s="10"/>
    </row>
    <row r="4454" spans="1:34" ht="12.75" outlineLevel="2">
      <c r="A4454" s="197"/>
      <c r="B4454" s="12" t="str">
        <f>IFERROR(VLOOKUP(D4454,'[1]Перечень товаров'!$A$2:$I9525,2,0),"")</f>
        <v/>
      </c>
      <c r="C4454" s="12" t="str">
        <f>IFERROR(VLOOKUP(D4454,'[1]Перечень товаров'!$A$2:$I9525,3,0),"")</f>
        <v/>
      </c>
      <c r="D4454" s="198" t="s">
        <v>809</v>
      </c>
      <c r="E4454" s="15"/>
      <c r="F4454" s="15"/>
      <c r="G4454" s="234"/>
      <c r="H4454" s="234"/>
      <c r="I4454" s="235"/>
      <c r="J4454" s="235"/>
      <c r="K4454" s="19"/>
      <c r="L4454" s="20"/>
      <c r="M4454" s="10"/>
      <c r="N4454" s="10"/>
      <c r="O4454" s="10"/>
      <c r="P4454" s="10"/>
      <c r="Q4454" s="10"/>
      <c r="R4454" s="10"/>
      <c r="S4454" s="10"/>
      <c r="T4454" s="10"/>
      <c r="U4454" s="10"/>
      <c r="V4454" s="10"/>
      <c r="W4454" s="10"/>
      <c r="X4454" s="10"/>
      <c r="Y4454" s="10"/>
      <c r="Z4454" s="10"/>
      <c r="AA4454" s="10"/>
      <c r="AB4454" s="10"/>
      <c r="AC4454" s="10"/>
      <c r="AD4454" s="10"/>
      <c r="AE4454" s="10"/>
      <c r="AF4454" s="10"/>
      <c r="AG4454" s="10"/>
      <c r="AH4454" s="10"/>
    </row>
    <row r="4455" spans="1:34" outlineLevel="2">
      <c r="A4455" s="34"/>
      <c r="B4455" s="12" t="str">
        <f>IFERROR(VLOOKUP(D4455,'[1]Перечень товаров'!$A$2:$I9525,2,0),"")</f>
        <v>д65</v>
      </c>
      <c r="C4455" s="12" t="str">
        <f>IFERROR(VLOOKUP(D4455,'[1]Перечень товаров'!$A$2:$I9525,3,0),"")</f>
        <v>Дидактика</v>
      </c>
      <c r="D4455" s="35" t="s">
        <v>811</v>
      </c>
      <c r="E4455" s="23"/>
      <c r="F4455" s="23"/>
      <c r="G4455" s="232">
        <v>1</v>
      </c>
      <c r="H4455" s="232"/>
      <c r="I4455" s="233"/>
      <c r="J4455" s="233"/>
      <c r="K4455" s="19"/>
      <c r="L4455" s="20"/>
      <c r="M4455" s="10"/>
      <c r="N4455" s="10"/>
      <c r="O4455" s="10"/>
      <c r="P4455" s="10"/>
      <c r="Q4455" s="10"/>
      <c r="R4455" s="10"/>
      <c r="S4455" s="10"/>
      <c r="T4455" s="10"/>
      <c r="U4455" s="10"/>
      <c r="V4455" s="10"/>
      <c r="W4455" s="10"/>
      <c r="X4455" s="10"/>
      <c r="Y4455" s="10"/>
      <c r="Z4455" s="10"/>
      <c r="AA4455" s="10"/>
      <c r="AB4455" s="10"/>
      <c r="AC4455" s="10"/>
      <c r="AD4455" s="10"/>
      <c r="AE4455" s="10"/>
      <c r="AF4455" s="10"/>
      <c r="AG4455" s="10"/>
      <c r="AH4455" s="10"/>
    </row>
    <row r="4456" spans="1:34" outlineLevel="2">
      <c r="A4456" s="34"/>
      <c r="B4456" s="12" t="str">
        <f>IFERROR(VLOOKUP(D4456,'[1]Перечень товаров'!$A$2:$I9525,2,0),"")</f>
        <v>д66</v>
      </c>
      <c r="C4456" s="12" t="str">
        <f>IFERROR(VLOOKUP(D4456,'[1]Перечень товаров'!$A$2:$I9525,3,0),"")</f>
        <v>Дидактика</v>
      </c>
      <c r="D4456" s="35" t="s">
        <v>812</v>
      </c>
      <c r="E4456" s="23"/>
      <c r="F4456" s="23"/>
      <c r="G4456" s="232">
        <v>1</v>
      </c>
      <c r="H4456" s="232"/>
      <c r="I4456" s="233"/>
      <c r="J4456" s="233"/>
      <c r="K4456" s="19"/>
      <c r="L4456" s="20"/>
      <c r="M4456" s="10"/>
      <c r="N4456" s="10"/>
      <c r="O4456" s="10"/>
      <c r="P4456" s="10"/>
      <c r="Q4456" s="10"/>
      <c r="R4456" s="10"/>
      <c r="S4456" s="10"/>
      <c r="T4456" s="10"/>
      <c r="U4456" s="10"/>
      <c r="V4456" s="10"/>
      <c r="W4456" s="10"/>
      <c r="X4456" s="10"/>
      <c r="Y4456" s="10"/>
      <c r="Z4456" s="10"/>
      <c r="AA4456" s="10"/>
      <c r="AB4456" s="10"/>
      <c r="AC4456" s="10"/>
      <c r="AD4456" s="10"/>
      <c r="AE4456" s="10"/>
      <c r="AF4456" s="10"/>
      <c r="AG4456" s="10"/>
      <c r="AH4456" s="10"/>
    </row>
    <row r="4457" spans="1:34" outlineLevel="2">
      <c r="A4457" s="34"/>
      <c r="B4457" s="12" t="str">
        <f>IFERROR(VLOOKUP(D4457,'[1]Перечень товаров'!$A$2:$I9525,2,0),"")</f>
        <v>д67</v>
      </c>
      <c r="C4457" s="12" t="str">
        <f>IFERROR(VLOOKUP(D4457,'[1]Перечень товаров'!$A$2:$I9525,3,0),"")</f>
        <v>Дидактика</v>
      </c>
      <c r="D4457" s="35" t="s">
        <v>813</v>
      </c>
      <c r="E4457" s="23"/>
      <c r="F4457" s="23"/>
      <c r="G4457" s="232">
        <v>1</v>
      </c>
      <c r="H4457" s="232"/>
      <c r="I4457" s="233"/>
      <c r="J4457" s="233"/>
      <c r="K4457" s="19"/>
      <c r="L4457" s="20"/>
      <c r="M4457" s="10"/>
      <c r="N4457" s="10"/>
      <c r="O4457" s="10"/>
      <c r="P4457" s="10"/>
      <c r="Q4457" s="10"/>
      <c r="R4457" s="10"/>
      <c r="S4457" s="10"/>
      <c r="T4457" s="10"/>
      <c r="U4457" s="10"/>
      <c r="V4457" s="10"/>
      <c r="W4457" s="10"/>
      <c r="X4457" s="10"/>
      <c r="Y4457" s="10"/>
      <c r="Z4457" s="10"/>
      <c r="AA4457" s="10"/>
      <c r="AB4457" s="10"/>
      <c r="AC4457" s="10"/>
      <c r="AD4457" s="10"/>
      <c r="AE4457" s="10"/>
      <c r="AF4457" s="10"/>
      <c r="AG4457" s="10"/>
      <c r="AH4457" s="10"/>
    </row>
    <row r="4458" spans="1:34" outlineLevel="2">
      <c r="A4458" s="34"/>
      <c r="B4458" s="12" t="str">
        <f>IFERROR(VLOOKUP(D4458,'[1]Перечень товаров'!$A$2:$I9525,2,0),"")</f>
        <v>п90</v>
      </c>
      <c r="C4458" s="12" t="str">
        <f>IFERROR(VLOOKUP(D4458,'[1]Перечень товаров'!$A$2:$I9525,3,0),"")</f>
        <v>Прочее</v>
      </c>
      <c r="D4458" s="35" t="s">
        <v>723</v>
      </c>
      <c r="E4458" s="23"/>
      <c r="F4458" s="23"/>
      <c r="G4458" s="232">
        <v>1</v>
      </c>
      <c r="H4458" s="232"/>
      <c r="I4458" s="233"/>
      <c r="J4458" s="233"/>
      <c r="K4458" s="19"/>
      <c r="L4458" s="20"/>
      <c r="M4458" s="10"/>
      <c r="N4458" s="10"/>
      <c r="O4458" s="10"/>
      <c r="P4458" s="10"/>
      <c r="Q4458" s="10"/>
      <c r="R4458" s="10"/>
      <c r="S4458" s="10"/>
      <c r="T4458" s="10"/>
      <c r="U4458" s="10"/>
      <c r="V4458" s="10"/>
      <c r="W4458" s="10"/>
      <c r="X4458" s="10"/>
      <c r="Y4458" s="10"/>
      <c r="Z4458" s="10"/>
      <c r="AA4458" s="10"/>
      <c r="AB4458" s="10"/>
      <c r="AC4458" s="10"/>
      <c r="AD4458" s="10"/>
      <c r="AE4458" s="10"/>
      <c r="AF4458" s="10"/>
      <c r="AG4458" s="10"/>
      <c r="AH4458" s="10"/>
    </row>
    <row r="4459" spans="1:34" outlineLevel="2">
      <c r="A4459" s="34"/>
      <c r="B4459" s="12" t="str">
        <f>IFERROR(VLOOKUP(D4459,'[1]Перечень товаров'!$A$2:$I9525,2,0),"")</f>
        <v>д68</v>
      </c>
      <c r="C4459" s="12" t="str">
        <f>IFERROR(VLOOKUP(D4459,'[1]Перечень товаров'!$A$2:$I9525,3,0),"")</f>
        <v>Дидактика</v>
      </c>
      <c r="D4459" s="35" t="s">
        <v>814</v>
      </c>
      <c r="E4459" s="23"/>
      <c r="F4459" s="23"/>
      <c r="G4459" s="232">
        <v>3</v>
      </c>
      <c r="H4459" s="232"/>
      <c r="I4459" s="233"/>
      <c r="J4459" s="233"/>
      <c r="K4459" s="19"/>
      <c r="L4459" s="20"/>
      <c r="M4459" s="10"/>
      <c r="N4459" s="10"/>
      <c r="O4459" s="10"/>
      <c r="P4459" s="10"/>
      <c r="Q4459" s="10"/>
      <c r="R4459" s="10"/>
      <c r="S4459" s="10"/>
      <c r="T4459" s="10"/>
      <c r="U4459" s="10"/>
      <c r="V4459" s="10"/>
      <c r="W4459" s="10"/>
      <c r="X4459" s="10"/>
      <c r="Y4459" s="10"/>
      <c r="Z4459" s="10"/>
      <c r="AA4459" s="10"/>
      <c r="AB4459" s="10"/>
      <c r="AC4459" s="10"/>
      <c r="AD4459" s="10"/>
      <c r="AE4459" s="10"/>
      <c r="AF4459" s="10"/>
      <c r="AG4459" s="10"/>
      <c r="AH4459" s="10"/>
    </row>
    <row r="4460" spans="1:34" outlineLevel="2">
      <c r="A4460" s="34"/>
      <c r="B4460" s="12" t="str">
        <f>IFERROR(VLOOKUP(D4460,'[1]Перечень товаров'!$A$2:$I9525,2,0),"")</f>
        <v>д69</v>
      </c>
      <c r="C4460" s="12" t="str">
        <f>IFERROR(VLOOKUP(D4460,'[1]Перечень товаров'!$A$2:$I9525,3,0),"")</f>
        <v>Дидактика</v>
      </c>
      <c r="D4460" s="35" t="s">
        <v>815</v>
      </c>
      <c r="E4460" s="23"/>
      <c r="F4460" s="23"/>
      <c r="G4460" s="232">
        <v>8</v>
      </c>
      <c r="H4460" s="232"/>
      <c r="I4460" s="233"/>
      <c r="J4460" s="233"/>
      <c r="K4460" s="19"/>
      <c r="L4460" s="20"/>
      <c r="M4460" s="10"/>
      <c r="N4460" s="10"/>
      <c r="O4460" s="10"/>
      <c r="P4460" s="10"/>
      <c r="Q4460" s="10"/>
      <c r="R4460" s="10"/>
      <c r="S4460" s="10"/>
      <c r="T4460" s="10"/>
      <c r="U4460" s="10"/>
      <c r="V4460" s="10"/>
      <c r="W4460" s="10"/>
      <c r="X4460" s="10"/>
      <c r="Y4460" s="10"/>
      <c r="Z4460" s="10"/>
      <c r="AA4460" s="10"/>
      <c r="AB4460" s="10"/>
      <c r="AC4460" s="10"/>
      <c r="AD4460" s="10"/>
      <c r="AE4460" s="10"/>
      <c r="AF4460" s="10"/>
      <c r="AG4460" s="10"/>
      <c r="AH4460" s="10"/>
    </row>
    <row r="4461" spans="1:34" outlineLevel="2">
      <c r="A4461" s="34"/>
      <c r="B4461" s="12" t="str">
        <f>IFERROR(VLOOKUP(D4461,'[1]Перечень товаров'!$A$2:$I9525,2,0),"")</f>
        <v>д70</v>
      </c>
      <c r="C4461" s="12" t="str">
        <f>IFERROR(VLOOKUP(D4461,'[1]Перечень товаров'!$A$2:$I9525,3,0),"")</f>
        <v>Дидактика</v>
      </c>
      <c r="D4461" s="35" t="s">
        <v>816</v>
      </c>
      <c r="E4461" s="23"/>
      <c r="F4461" s="23"/>
      <c r="G4461" s="232">
        <v>100</v>
      </c>
      <c r="H4461" s="232"/>
      <c r="I4461" s="233"/>
      <c r="J4461" s="233"/>
      <c r="K4461" s="19"/>
      <c r="L4461" s="20"/>
      <c r="M4461" s="10"/>
      <c r="N4461" s="10"/>
      <c r="O4461" s="10"/>
      <c r="P4461" s="10"/>
      <c r="Q4461" s="10"/>
      <c r="R4461" s="10"/>
      <c r="S4461" s="10"/>
      <c r="T4461" s="10"/>
      <c r="U4461" s="10"/>
      <c r="V4461" s="10"/>
      <c r="W4461" s="10"/>
      <c r="X4461" s="10"/>
      <c r="Y4461" s="10"/>
      <c r="Z4461" s="10"/>
      <c r="AA4461" s="10"/>
      <c r="AB4461" s="10"/>
      <c r="AC4461" s="10"/>
      <c r="AD4461" s="10"/>
      <c r="AE4461" s="10"/>
      <c r="AF4461" s="10"/>
      <c r="AG4461" s="10"/>
      <c r="AH4461" s="10"/>
    </row>
    <row r="4462" spans="1:34" outlineLevel="1">
      <c r="A4462" s="21"/>
      <c r="B4462" s="12" t="str">
        <f>IFERROR(VLOOKUP(D4462,'[1]Перечень товаров'!$A$2:$I9525,2,0),"")</f>
        <v/>
      </c>
      <c r="C4462" s="12" t="str">
        <f>IFERROR(VLOOKUP(D4462,'[1]Перечень товаров'!$A$2:$I9525,3,0),"")</f>
        <v/>
      </c>
      <c r="D4462" s="22" t="s">
        <v>1283</v>
      </c>
      <c r="E4462" s="23">
        <v>44.9</v>
      </c>
      <c r="F4462" s="23"/>
      <c r="G4462" s="24"/>
      <c r="H4462" s="24"/>
      <c r="I4462" s="25"/>
      <c r="J4462" s="25"/>
      <c r="K4462" s="19"/>
      <c r="L4462" s="20"/>
      <c r="M4462" s="10"/>
      <c r="N4462" s="10"/>
      <c r="O4462" s="10"/>
      <c r="P4462" s="10"/>
      <c r="Q4462" s="10"/>
      <c r="R4462" s="10"/>
      <c r="S4462" s="10"/>
      <c r="T4462" s="10"/>
      <c r="U4462" s="10"/>
      <c r="V4462" s="10"/>
      <c r="W4462" s="10"/>
      <c r="X4462" s="10"/>
      <c r="Y4462" s="10"/>
      <c r="Z4462" s="10"/>
      <c r="AA4462" s="10"/>
      <c r="AB4462" s="10"/>
      <c r="AC4462" s="10"/>
      <c r="AD4462" s="10"/>
      <c r="AE4462" s="10"/>
      <c r="AF4462" s="10"/>
      <c r="AG4462" s="10"/>
      <c r="AH4462" s="10"/>
    </row>
    <row r="4463" spans="1:34" ht="25.5" outlineLevel="1">
      <c r="A4463" s="11"/>
      <c r="B4463" s="12" t="str">
        <f>IFERROR(VLOOKUP(D4463,'[1]Перечень товаров'!$A$2:$I9525,2,0),"")</f>
        <v/>
      </c>
      <c r="C4463" s="12" t="str">
        <f>IFERROR(VLOOKUP(D4463,'[1]Перечень товаров'!$A$2:$I9525,3,0),"")</f>
        <v/>
      </c>
      <c r="D4463" s="27" t="s">
        <v>1284</v>
      </c>
      <c r="E4463" s="14">
        <v>50.5</v>
      </c>
      <c r="F4463" s="14"/>
      <c r="G4463" s="17"/>
      <c r="H4463" s="17"/>
      <c r="I4463" s="57"/>
      <c r="J4463" s="57"/>
      <c r="K4463" s="19"/>
      <c r="L4463" s="20"/>
      <c r="M4463" s="10"/>
      <c r="N4463" s="10"/>
      <c r="O4463" s="10"/>
      <c r="P4463" s="10"/>
      <c r="Q4463" s="10"/>
      <c r="R4463" s="10"/>
      <c r="S4463" s="10"/>
      <c r="T4463" s="10"/>
      <c r="U4463" s="10"/>
      <c r="V4463" s="10"/>
      <c r="W4463" s="10"/>
      <c r="X4463" s="10"/>
      <c r="Y4463" s="10"/>
      <c r="Z4463" s="10"/>
      <c r="AA4463" s="10"/>
      <c r="AB4463" s="10"/>
      <c r="AC4463" s="10"/>
      <c r="AD4463" s="10"/>
      <c r="AE4463" s="10"/>
      <c r="AF4463" s="10"/>
      <c r="AG4463" s="10"/>
      <c r="AH4463" s="10"/>
    </row>
    <row r="4464" spans="1:34" ht="12.75" outlineLevel="2">
      <c r="A4464" s="197"/>
      <c r="B4464" s="12" t="str">
        <f>IFERROR(VLOOKUP(D4464,'[1]Перечень товаров'!$A$2:$I9525,2,0),"")</f>
        <v/>
      </c>
      <c r="C4464" s="12" t="str">
        <f>IFERROR(VLOOKUP(D4464,'[1]Перечень товаров'!$A$2:$I9525,3,0),"")</f>
        <v/>
      </c>
      <c r="D4464" s="198" t="s">
        <v>668</v>
      </c>
      <c r="E4464" s="15"/>
      <c r="F4464" s="15"/>
      <c r="G4464" s="17"/>
      <c r="H4464" s="17"/>
      <c r="I4464" s="57"/>
      <c r="J4464" s="57"/>
      <c r="K4464" s="19"/>
      <c r="L4464" s="20"/>
      <c r="M4464" s="10"/>
      <c r="N4464" s="10"/>
      <c r="O4464" s="10"/>
      <c r="P4464" s="10"/>
      <c r="Q4464" s="10"/>
      <c r="R4464" s="10"/>
      <c r="S4464" s="10"/>
      <c r="T4464" s="10"/>
      <c r="U4464" s="10"/>
      <c r="V4464" s="10"/>
      <c r="W4464" s="10"/>
      <c r="X4464" s="10"/>
      <c r="Y4464" s="10"/>
      <c r="Z4464" s="10"/>
      <c r="AA4464" s="10"/>
      <c r="AB4464" s="10"/>
      <c r="AC4464" s="10"/>
      <c r="AD4464" s="10"/>
      <c r="AE4464" s="10"/>
      <c r="AF4464" s="10"/>
      <c r="AG4464" s="10"/>
      <c r="AH4464" s="10"/>
    </row>
    <row r="4465" spans="1:34" outlineLevel="2">
      <c r="A4465" s="34"/>
      <c r="B4465" s="12" t="str">
        <f>IFERROR(VLOOKUP(D4465,'[1]Перечень товаров'!$A$2:$I9525,2,0),"")</f>
        <v>т1</v>
      </c>
      <c r="C4465" s="12" t="str">
        <f>IFERROR(VLOOKUP(D4465,'[1]Перечень товаров'!$A$2:$I9525,3,0),"")</f>
        <v xml:space="preserve">Техника </v>
      </c>
      <c r="D4465" s="22" t="s">
        <v>28</v>
      </c>
      <c r="E4465" s="23"/>
      <c r="F4465" s="23"/>
      <c r="G4465" s="59">
        <v>1</v>
      </c>
      <c r="H4465" s="59"/>
      <c r="I4465" s="60"/>
      <c r="J4465" s="60"/>
      <c r="K4465" s="19"/>
      <c r="L4465" s="20"/>
      <c r="M4465" s="10"/>
      <c r="N4465" s="10"/>
      <c r="O4465" s="10"/>
      <c r="P4465" s="10"/>
      <c r="Q4465" s="10"/>
      <c r="R4465" s="10"/>
      <c r="S4465" s="10"/>
      <c r="T4465" s="10"/>
      <c r="U4465" s="10"/>
      <c r="V4465" s="10"/>
      <c r="W4465" s="10"/>
      <c r="X4465" s="10"/>
      <c r="Y4465" s="10"/>
      <c r="Z4465" s="10"/>
      <c r="AA4465" s="10"/>
      <c r="AB4465" s="10"/>
      <c r="AC4465" s="10"/>
      <c r="AD4465" s="10"/>
      <c r="AE4465" s="10"/>
      <c r="AF4465" s="10"/>
      <c r="AG4465" s="10"/>
      <c r="AH4465" s="10"/>
    </row>
    <row r="4466" spans="1:34" outlineLevel="2">
      <c r="A4466" s="34"/>
      <c r="B4466" s="12" t="str">
        <f>IFERROR(VLOOKUP(D4466,'[1]Перечень товаров'!$A$2:$I9525,2,0),"")</f>
        <v>д480</v>
      </c>
      <c r="C4466" s="12" t="str">
        <f>IFERROR(VLOOKUP(D4466,'[1]Перечень товаров'!$A$2:$I9525,3,0),"")</f>
        <v>дидактика</v>
      </c>
      <c r="D4466" s="35" t="s">
        <v>1285</v>
      </c>
      <c r="E4466" s="23"/>
      <c r="F4466" s="23"/>
      <c r="G4466" s="24">
        <v>2</v>
      </c>
      <c r="H4466" s="24"/>
      <c r="I4466" s="25"/>
      <c r="J4466" s="25"/>
      <c r="K4466" s="19"/>
      <c r="L4466" s="20"/>
      <c r="M4466" s="10"/>
      <c r="N4466" s="10"/>
      <c r="O4466" s="10"/>
      <c r="P4466" s="10"/>
      <c r="Q4466" s="10"/>
      <c r="R4466" s="10"/>
      <c r="S4466" s="10"/>
      <c r="T4466" s="10"/>
      <c r="U4466" s="10"/>
      <c r="V4466" s="10"/>
      <c r="W4466" s="10"/>
      <c r="X4466" s="10"/>
      <c r="Y4466" s="10"/>
      <c r="Z4466" s="10"/>
      <c r="AA4466" s="10"/>
      <c r="AB4466" s="10"/>
      <c r="AC4466" s="10"/>
      <c r="AD4466" s="10"/>
      <c r="AE4466" s="10"/>
      <c r="AF4466" s="10"/>
      <c r="AG4466" s="10"/>
      <c r="AH4466" s="10"/>
    </row>
    <row r="4467" spans="1:34" ht="31.5" outlineLevel="2">
      <c r="A4467" s="34"/>
      <c r="B4467" s="12" t="str">
        <f>IFERROR(VLOOKUP(D4467,'[1]Перечень товаров'!$A$2:$I9525,2,0),"")</f>
        <v>д479</v>
      </c>
      <c r="C4467" s="12" t="str">
        <f>IFERROR(VLOOKUP(D4467,'[1]Перечень товаров'!$A$2:$I9525,3,0),"")</f>
        <v>дидактика</v>
      </c>
      <c r="D4467" s="35" t="s">
        <v>1286</v>
      </c>
      <c r="E4467" s="23"/>
      <c r="F4467" s="23"/>
      <c r="G4467" s="24">
        <v>1</v>
      </c>
      <c r="H4467" s="24"/>
      <c r="I4467" s="25"/>
      <c r="J4467" s="25"/>
      <c r="K4467" s="19"/>
      <c r="L4467" s="20"/>
      <c r="M4467" s="10"/>
      <c r="N4467" s="10"/>
      <c r="O4467" s="10"/>
      <c r="P4467" s="10"/>
      <c r="Q4467" s="10"/>
      <c r="R4467" s="10"/>
      <c r="S4467" s="10"/>
      <c r="T4467" s="10"/>
      <c r="U4467" s="10"/>
      <c r="V4467" s="10"/>
      <c r="W4467" s="10"/>
      <c r="X4467" s="10"/>
      <c r="Y4467" s="10"/>
      <c r="Z4467" s="10"/>
      <c r="AA4467" s="10"/>
      <c r="AB4467" s="10"/>
      <c r="AC4467" s="10"/>
      <c r="AD4467" s="10"/>
      <c r="AE4467" s="10"/>
      <c r="AF4467" s="10"/>
      <c r="AG4467" s="10"/>
      <c r="AH4467" s="10"/>
    </row>
    <row r="4468" spans="1:34" ht="31.5" outlineLevel="2">
      <c r="A4468" s="34"/>
      <c r="B4468" s="12" t="str">
        <f>IFERROR(VLOOKUP(D4468,'[1]Перечень товаров'!$A$2:$I9525,2,0),"")</f>
        <v>т125</v>
      </c>
      <c r="C4468" s="12" t="str">
        <f>IFERROR(VLOOKUP(D4468,'[1]Перечень товаров'!$A$2:$I9525,3,0),"")</f>
        <v>Техника</v>
      </c>
      <c r="D4468" s="35" t="s">
        <v>1287</v>
      </c>
      <c r="E4468" s="23"/>
      <c r="F4468" s="23"/>
      <c r="G4468" s="24">
        <v>1</v>
      </c>
      <c r="H4468" s="24"/>
      <c r="I4468" s="25"/>
      <c r="J4468" s="25"/>
      <c r="K4468" s="19"/>
      <c r="L4468" s="20"/>
      <c r="M4468" s="10"/>
      <c r="N4468" s="10"/>
      <c r="O4468" s="10"/>
      <c r="P4468" s="10"/>
      <c r="Q4468" s="10"/>
      <c r="R4468" s="10"/>
      <c r="S4468" s="10"/>
      <c r="T4468" s="10"/>
      <c r="U4468" s="10"/>
      <c r="V4468" s="10"/>
      <c r="W4468" s="10"/>
      <c r="X4468" s="10"/>
      <c r="Y4468" s="10"/>
      <c r="Z4468" s="10"/>
      <c r="AA4468" s="10"/>
      <c r="AB4468" s="10"/>
      <c r="AC4468" s="10"/>
      <c r="AD4468" s="10"/>
      <c r="AE4468" s="10"/>
      <c r="AF4468" s="10"/>
      <c r="AG4468" s="10"/>
      <c r="AH4468" s="10"/>
    </row>
    <row r="4469" spans="1:34" outlineLevel="2">
      <c r="A4469" s="34"/>
      <c r="B4469" s="12" t="str">
        <f>IFERROR(VLOOKUP(D4469,'[1]Перечень товаров'!$A$2:$I9525,2,0),"")</f>
        <v>т124</v>
      </c>
      <c r="C4469" s="12" t="str">
        <f>IFERROR(VLOOKUP(D4469,'[1]Перечень товаров'!$A$2:$I9525,3,0),"")</f>
        <v>Техника</v>
      </c>
      <c r="D4469" s="35" t="s">
        <v>1288</v>
      </c>
      <c r="E4469" s="23"/>
      <c r="F4469" s="23"/>
      <c r="G4469" s="48">
        <v>12</v>
      </c>
      <c r="H4469" s="48"/>
      <c r="I4469" s="49"/>
      <c r="J4469" s="49"/>
      <c r="K4469" s="19"/>
      <c r="L4469" s="20"/>
      <c r="M4469" s="10"/>
      <c r="N4469" s="10"/>
      <c r="O4469" s="10"/>
      <c r="P4469" s="10"/>
      <c r="Q4469" s="10"/>
      <c r="R4469" s="10"/>
      <c r="S4469" s="10"/>
      <c r="T4469" s="10"/>
      <c r="U4469" s="10"/>
      <c r="V4469" s="10"/>
      <c r="W4469" s="10"/>
      <c r="X4469" s="10"/>
      <c r="Y4469" s="10"/>
      <c r="Z4469" s="10"/>
      <c r="AA4469" s="10"/>
      <c r="AB4469" s="10"/>
      <c r="AC4469" s="10"/>
      <c r="AD4469" s="10"/>
      <c r="AE4469" s="10"/>
      <c r="AF4469" s="10"/>
      <c r="AG4469" s="10"/>
      <c r="AH4469" s="10"/>
    </row>
    <row r="4470" spans="1:34" outlineLevel="2">
      <c r="A4470" s="34"/>
      <c r="B4470" s="12" t="str">
        <f>IFERROR(VLOOKUP(D4470,'[1]Перечень товаров'!$A$2:$I9525,2,0),"")</f>
        <v>д478</v>
      </c>
      <c r="C4470" s="12" t="str">
        <f>IFERROR(VLOOKUP(D4470,'[1]Перечень товаров'!$A$2:$I9525,3,0),"")</f>
        <v>дидактика</v>
      </c>
      <c r="D4470" s="35" t="s">
        <v>1289</v>
      </c>
      <c r="E4470" s="23"/>
      <c r="F4470" s="23"/>
      <c r="G4470" s="24">
        <v>1</v>
      </c>
      <c r="H4470" s="24"/>
      <c r="I4470" s="25"/>
      <c r="J4470" s="25"/>
      <c r="K4470" s="19"/>
      <c r="L4470" s="20"/>
      <c r="M4470" s="10"/>
      <c r="N4470" s="10"/>
      <c r="O4470" s="10"/>
      <c r="P4470" s="10"/>
      <c r="Q4470" s="10"/>
      <c r="R4470" s="10"/>
      <c r="S4470" s="10"/>
      <c r="T4470" s="10"/>
      <c r="U4470" s="10"/>
      <c r="V4470" s="10"/>
      <c r="W4470" s="10"/>
      <c r="X4470" s="10"/>
      <c r="Y4470" s="10"/>
      <c r="Z4470" s="10"/>
      <c r="AA4470" s="10"/>
      <c r="AB4470" s="10"/>
      <c r="AC4470" s="10"/>
      <c r="AD4470" s="10"/>
      <c r="AE4470" s="10"/>
      <c r="AF4470" s="10"/>
      <c r="AG4470" s="10"/>
      <c r="AH4470" s="10"/>
    </row>
    <row r="4471" spans="1:34" outlineLevel="2">
      <c r="A4471" s="34"/>
      <c r="B4471" s="12" t="str">
        <f>IFERROR(VLOOKUP(D4471,'[1]Перечень товаров'!$A$2:$I9525,2,0),"")</f>
        <v>д477</v>
      </c>
      <c r="C4471" s="12" t="str">
        <f>IFERROR(VLOOKUP(D4471,'[1]Перечень товаров'!$A$2:$I9525,3,0),"")</f>
        <v>дидактика</v>
      </c>
      <c r="D4471" s="35" t="s">
        <v>1290</v>
      </c>
      <c r="E4471" s="23"/>
      <c r="F4471" s="23"/>
      <c r="G4471" s="24">
        <v>2</v>
      </c>
      <c r="H4471" s="24"/>
      <c r="I4471" s="25"/>
      <c r="J4471" s="25"/>
      <c r="K4471" s="19"/>
      <c r="L4471" s="20"/>
      <c r="M4471" s="10"/>
      <c r="N4471" s="10"/>
      <c r="O4471" s="10"/>
      <c r="P4471" s="10"/>
      <c r="Q4471" s="10"/>
      <c r="R4471" s="10"/>
      <c r="S4471" s="10"/>
      <c r="T4471" s="10"/>
      <c r="U4471" s="10"/>
      <c r="V4471" s="10"/>
      <c r="W4471" s="10"/>
      <c r="X4471" s="10"/>
      <c r="Y4471" s="10"/>
      <c r="Z4471" s="10"/>
      <c r="AA4471" s="10"/>
      <c r="AB4471" s="10"/>
      <c r="AC4471" s="10"/>
      <c r="AD4471" s="10"/>
      <c r="AE4471" s="10"/>
      <c r="AF4471" s="10"/>
      <c r="AG4471" s="10"/>
      <c r="AH4471" s="10"/>
    </row>
    <row r="4472" spans="1:34" outlineLevel="2">
      <c r="A4472" s="34"/>
      <c r="B4472" s="12" t="str">
        <f>IFERROR(VLOOKUP(D4472,'[1]Перечень товаров'!$A$2:$I9525,2,0),"")</f>
        <v>т237</v>
      </c>
      <c r="C4472" s="12" t="str">
        <f>IFERROR(VLOOKUP(D4472,'[1]Перечень товаров'!$A$2:$I9525,3,0),"")</f>
        <v>Техника</v>
      </c>
      <c r="D4472" s="35" t="s">
        <v>744</v>
      </c>
      <c r="E4472" s="23"/>
      <c r="F4472" s="23"/>
      <c r="G4472" s="232">
        <v>4</v>
      </c>
      <c r="H4472" s="232"/>
      <c r="I4472" s="233"/>
      <c r="J4472" s="233"/>
      <c r="K4472" s="19"/>
      <c r="L4472" s="20"/>
      <c r="M4472" s="10"/>
      <c r="N4472" s="10"/>
      <c r="O4472" s="10"/>
      <c r="P4472" s="10"/>
      <c r="Q4472" s="10"/>
      <c r="R4472" s="10"/>
      <c r="S4472" s="10"/>
      <c r="T4472" s="10"/>
      <c r="U4472" s="10"/>
      <c r="V4472" s="10"/>
      <c r="W4472" s="10"/>
      <c r="X4472" s="10"/>
      <c r="Y4472" s="10"/>
      <c r="Z4472" s="10"/>
      <c r="AA4472" s="10"/>
      <c r="AB4472" s="10"/>
      <c r="AC4472" s="10"/>
      <c r="AD4472" s="10"/>
      <c r="AE4472" s="10"/>
      <c r="AF4472" s="10"/>
      <c r="AG4472" s="10"/>
      <c r="AH4472" s="10"/>
    </row>
    <row r="4473" spans="1:34" ht="12.75" outlineLevel="2">
      <c r="A4473" s="197"/>
      <c r="B4473" s="12" t="str">
        <f>IFERROR(VLOOKUP(D4473,'[1]Перечень товаров'!$A$2:$I9525,2,0),"")</f>
        <v/>
      </c>
      <c r="C4473" s="12" t="str">
        <f>IFERROR(VLOOKUP(D4473,'[1]Перечень товаров'!$A$2:$I9525,3,0),"")</f>
        <v/>
      </c>
      <c r="D4473" s="198" t="s">
        <v>19</v>
      </c>
      <c r="E4473" s="15"/>
      <c r="F4473" s="15"/>
      <c r="G4473" s="234"/>
      <c r="H4473" s="234"/>
      <c r="I4473" s="235"/>
      <c r="J4473" s="235"/>
      <c r="K4473" s="19"/>
      <c r="L4473" s="20"/>
      <c r="M4473" s="10"/>
      <c r="N4473" s="10"/>
      <c r="O4473" s="10"/>
      <c r="P4473" s="10"/>
      <c r="Q4473" s="10"/>
      <c r="R4473" s="10"/>
      <c r="S4473" s="10"/>
      <c r="T4473" s="10"/>
      <c r="U4473" s="10"/>
      <c r="V4473" s="10"/>
      <c r="W4473" s="10"/>
      <c r="X4473" s="10"/>
      <c r="Y4473" s="10"/>
      <c r="Z4473" s="10"/>
      <c r="AA4473" s="10"/>
      <c r="AB4473" s="10"/>
      <c r="AC4473" s="10"/>
      <c r="AD4473" s="10"/>
      <c r="AE4473" s="10"/>
      <c r="AF4473" s="10"/>
      <c r="AG4473" s="10"/>
      <c r="AH4473" s="10"/>
    </row>
    <row r="4474" spans="1:34" ht="31.5" outlineLevel="2">
      <c r="A4474" s="34"/>
      <c r="B4474" s="12" t="str">
        <f>IFERROR(VLOOKUP(D4474,'[1]Перечень товаров'!$A$2:$I9525,2,0),"")</f>
        <v>д476</v>
      </c>
      <c r="C4474" s="12" t="str">
        <f>IFERROR(VLOOKUP(D4474,'[1]Перечень товаров'!$A$2:$I9525,3,0),"")</f>
        <v>дидактика</v>
      </c>
      <c r="D4474" s="35" t="s">
        <v>1291</v>
      </c>
      <c r="E4474" s="23"/>
      <c r="F4474" s="23"/>
      <c r="G4474" s="24">
        <v>1</v>
      </c>
      <c r="H4474" s="24"/>
      <c r="I4474" s="25"/>
      <c r="J4474" s="25"/>
      <c r="K4474" s="19"/>
      <c r="L4474" s="20"/>
      <c r="M4474" s="10"/>
      <c r="N4474" s="10"/>
      <c r="O4474" s="10"/>
      <c r="P4474" s="10"/>
      <c r="Q4474" s="10"/>
      <c r="R4474" s="10"/>
      <c r="S4474" s="10"/>
      <c r="T4474" s="10"/>
      <c r="U4474" s="10"/>
      <c r="V4474" s="10"/>
      <c r="W4474" s="10"/>
      <c r="X4474" s="10"/>
      <c r="Y4474" s="10"/>
      <c r="Z4474" s="10"/>
      <c r="AA4474" s="10"/>
      <c r="AB4474" s="10"/>
      <c r="AC4474" s="10"/>
      <c r="AD4474" s="10"/>
      <c r="AE4474" s="10"/>
      <c r="AF4474" s="10"/>
      <c r="AG4474" s="10"/>
      <c r="AH4474" s="10"/>
    </row>
    <row r="4475" spans="1:34" outlineLevel="2">
      <c r="A4475" s="34"/>
      <c r="B4475" s="12" t="str">
        <f>IFERROR(VLOOKUP(D4475,'[1]Перечень товаров'!$A$2:$I9525,2,0),"")</f>
        <v>м61</v>
      </c>
      <c r="C4475" s="12" t="str">
        <f>IFERROR(VLOOKUP(D4475,'[1]Перечень товаров'!$A$2:$I9525,3,0),"")</f>
        <v>Мебель</v>
      </c>
      <c r="D4475" s="35" t="s">
        <v>383</v>
      </c>
      <c r="E4475" s="23"/>
      <c r="F4475" s="23"/>
      <c r="G4475" s="24">
        <v>1</v>
      </c>
      <c r="H4475" s="24"/>
      <c r="I4475" s="25"/>
      <c r="J4475" s="25"/>
      <c r="K4475" s="19"/>
      <c r="L4475" s="20"/>
      <c r="M4475" s="10"/>
      <c r="N4475" s="10"/>
      <c r="O4475" s="10"/>
      <c r="P4475" s="10"/>
      <c r="Q4475" s="10"/>
      <c r="R4475" s="10"/>
      <c r="S4475" s="10"/>
      <c r="T4475" s="10"/>
      <c r="U4475" s="10"/>
      <c r="V4475" s="10"/>
      <c r="W4475" s="10"/>
      <c r="X4475" s="10"/>
      <c r="Y4475" s="10"/>
      <c r="Z4475" s="10"/>
      <c r="AA4475" s="10"/>
      <c r="AB4475" s="10"/>
      <c r="AC4475" s="10"/>
      <c r="AD4475" s="10"/>
      <c r="AE4475" s="10"/>
      <c r="AF4475" s="10"/>
      <c r="AG4475" s="10"/>
      <c r="AH4475" s="10"/>
    </row>
    <row r="4476" spans="1:34" outlineLevel="2">
      <c r="A4476" s="34"/>
      <c r="B4476" s="12" t="str">
        <f>IFERROR(VLOOKUP(D4476,'[1]Перечень товаров'!$A$2:$I9525,2,0),"")</f>
        <v>м149</v>
      </c>
      <c r="C4476" s="12" t="str">
        <f>IFERROR(VLOOKUP(D4476,'[1]Перечень товаров'!$A$2:$I9525,3,0),"")</f>
        <v>мебель</v>
      </c>
      <c r="D4476" s="35" t="s">
        <v>1292</v>
      </c>
      <c r="E4476" s="23"/>
      <c r="F4476" s="23"/>
      <c r="G4476" s="24">
        <v>1</v>
      </c>
      <c r="H4476" s="24"/>
      <c r="I4476" s="25"/>
      <c r="J4476" s="25"/>
      <c r="K4476" s="19"/>
      <c r="L4476" s="20"/>
      <c r="M4476" s="10"/>
      <c r="N4476" s="10"/>
      <c r="O4476" s="10"/>
      <c r="P4476" s="10"/>
      <c r="Q4476" s="10"/>
      <c r="R4476" s="10"/>
      <c r="S4476" s="10"/>
      <c r="T4476" s="10"/>
      <c r="U4476" s="10"/>
      <c r="V4476" s="10"/>
      <c r="W4476" s="10"/>
      <c r="X4476" s="10"/>
      <c r="Y4476" s="10"/>
      <c r="Z4476" s="10"/>
      <c r="AA4476" s="10"/>
      <c r="AB4476" s="10"/>
      <c r="AC4476" s="10"/>
      <c r="AD4476" s="10"/>
      <c r="AE4476" s="10"/>
      <c r="AF4476" s="10"/>
      <c r="AG4476" s="10"/>
      <c r="AH4476" s="10"/>
    </row>
    <row r="4477" spans="1:34" outlineLevel="2">
      <c r="A4477" s="34"/>
      <c r="B4477" s="12" t="str">
        <f>IFERROR(VLOOKUP(D4477,'[1]Перечень товаров'!$A$2:$I9525,2,0),"")</f>
        <v>м62</v>
      </c>
      <c r="C4477" s="12" t="str">
        <f>IFERROR(VLOOKUP(D4477,'[1]Перечень товаров'!$A$2:$I9525,3,0),"")</f>
        <v>Мебель</v>
      </c>
      <c r="D4477" s="35" t="s">
        <v>398</v>
      </c>
      <c r="E4477" s="23"/>
      <c r="F4477" s="23"/>
      <c r="G4477" s="24">
        <v>1</v>
      </c>
      <c r="H4477" s="24"/>
      <c r="I4477" s="25"/>
      <c r="J4477" s="25"/>
      <c r="K4477" s="19"/>
      <c r="L4477" s="20"/>
      <c r="M4477" s="10"/>
      <c r="N4477" s="10"/>
      <c r="O4477" s="10"/>
      <c r="P4477" s="10"/>
      <c r="Q4477" s="10"/>
      <c r="R4477" s="10"/>
      <c r="S4477" s="10"/>
      <c r="T4477" s="10"/>
      <c r="U4477" s="10"/>
      <c r="V4477" s="10"/>
      <c r="W4477" s="10"/>
      <c r="X4477" s="10"/>
      <c r="Y4477" s="10"/>
      <c r="Z4477" s="10"/>
      <c r="AA4477" s="10"/>
      <c r="AB4477" s="10"/>
      <c r="AC4477" s="10"/>
      <c r="AD4477" s="10"/>
      <c r="AE4477" s="10"/>
      <c r="AF4477" s="10"/>
      <c r="AG4477" s="10"/>
      <c r="AH4477" s="10"/>
    </row>
    <row r="4478" spans="1:34" outlineLevel="2">
      <c r="A4478" s="34"/>
      <c r="B4478" s="12" t="str">
        <f>IFERROR(VLOOKUP(D4478,'[1]Перечень товаров'!$A$2:$I9525,2,0),"")</f>
        <v>м148</v>
      </c>
      <c r="C4478" s="12" t="str">
        <f>IFERROR(VLOOKUP(D4478,'[1]Перечень товаров'!$A$2:$I9525,3,0),"")</f>
        <v>мебель</v>
      </c>
      <c r="D4478" s="35" t="s">
        <v>1293</v>
      </c>
      <c r="E4478" s="23"/>
      <c r="F4478" s="23"/>
      <c r="G4478" s="24">
        <v>1</v>
      </c>
      <c r="H4478" s="24"/>
      <c r="I4478" s="25"/>
      <c r="J4478" s="25"/>
      <c r="K4478" s="19"/>
      <c r="L4478" s="20"/>
      <c r="M4478" s="10"/>
      <c r="N4478" s="10"/>
      <c r="O4478" s="10"/>
      <c r="P4478" s="10"/>
      <c r="Q4478" s="10"/>
      <c r="R4478" s="10"/>
      <c r="S4478" s="10"/>
      <c r="T4478" s="10"/>
      <c r="U4478" s="10"/>
      <c r="V4478" s="10"/>
      <c r="W4478" s="10"/>
      <c r="X4478" s="10"/>
      <c r="Y4478" s="10"/>
      <c r="Z4478" s="10"/>
      <c r="AA4478" s="10"/>
      <c r="AB4478" s="10"/>
      <c r="AC4478" s="10"/>
      <c r="AD4478" s="10"/>
      <c r="AE4478" s="10"/>
      <c r="AF4478" s="10"/>
      <c r="AG4478" s="10"/>
      <c r="AH4478" s="10"/>
    </row>
    <row r="4479" spans="1:34" outlineLevel="2">
      <c r="A4479" s="34"/>
      <c r="B4479" s="12" t="str">
        <f>IFERROR(VLOOKUP(D4479,'[1]Перечень товаров'!$A$2:$I9525,2,0),"")</f>
        <v>м147</v>
      </c>
      <c r="C4479" s="12" t="str">
        <f>IFERROR(VLOOKUP(D4479,'[1]Перечень товаров'!$A$2:$I9525,3,0),"")</f>
        <v>мебель</v>
      </c>
      <c r="D4479" s="35" t="s">
        <v>1294</v>
      </c>
      <c r="E4479" s="23"/>
      <c r="F4479" s="23"/>
      <c r="G4479" s="59">
        <v>6</v>
      </c>
      <c r="H4479" s="59"/>
      <c r="I4479" s="60"/>
      <c r="J4479" s="60"/>
      <c r="K4479" s="19"/>
      <c r="L4479" s="20"/>
      <c r="M4479" s="10"/>
      <c r="N4479" s="10"/>
      <c r="O4479" s="10"/>
      <c r="P4479" s="10"/>
      <c r="Q4479" s="10"/>
      <c r="R4479" s="10"/>
      <c r="S4479" s="10"/>
      <c r="T4479" s="10"/>
      <c r="U4479" s="10"/>
      <c r="V4479" s="10"/>
      <c r="W4479" s="10"/>
      <c r="X4479" s="10"/>
      <c r="Y4479" s="10"/>
      <c r="Z4479" s="10"/>
      <c r="AA4479" s="10"/>
      <c r="AB4479" s="10"/>
      <c r="AC4479" s="10"/>
      <c r="AD4479" s="10"/>
      <c r="AE4479" s="10"/>
      <c r="AF4479" s="10"/>
      <c r="AG4479" s="10"/>
      <c r="AH4479" s="10"/>
    </row>
    <row r="4480" spans="1:34" outlineLevel="2">
      <c r="A4480" s="34"/>
      <c r="B4480" s="12" t="str">
        <f>IFERROR(VLOOKUP(D4480,'[1]Перечень товаров'!$A$2:$I9525,2,0),"")</f>
        <v>м146</v>
      </c>
      <c r="C4480" s="12" t="str">
        <f>IFERROR(VLOOKUP(D4480,'[1]Перечень товаров'!$A$2:$I9525,3,0),"")</f>
        <v>мебель</v>
      </c>
      <c r="D4480" s="35" t="s">
        <v>1295</v>
      </c>
      <c r="E4480" s="23"/>
      <c r="F4480" s="23"/>
      <c r="G4480" s="24">
        <v>12</v>
      </c>
      <c r="H4480" s="24"/>
      <c r="I4480" s="25"/>
      <c r="J4480" s="25"/>
      <c r="K4480" s="19"/>
      <c r="L4480" s="20"/>
      <c r="M4480" s="10"/>
      <c r="N4480" s="10"/>
      <c r="O4480" s="10"/>
      <c r="P4480" s="10"/>
      <c r="Q4480" s="10"/>
      <c r="R4480" s="10"/>
      <c r="S4480" s="10"/>
      <c r="T4480" s="10"/>
      <c r="U4480" s="10"/>
      <c r="V4480" s="10"/>
      <c r="W4480" s="10"/>
      <c r="X4480" s="10"/>
      <c r="Y4480" s="10"/>
      <c r="Z4480" s="10"/>
      <c r="AA4480" s="10"/>
      <c r="AB4480" s="10"/>
      <c r="AC4480" s="10"/>
      <c r="AD4480" s="10"/>
      <c r="AE4480" s="10"/>
      <c r="AF4480" s="10"/>
      <c r="AG4480" s="10"/>
      <c r="AH4480" s="10"/>
    </row>
    <row r="4481" spans="1:34" outlineLevel="2">
      <c r="A4481" s="34"/>
      <c r="B4481" s="12" t="str">
        <f>IFERROR(VLOOKUP(D4481,'[1]Перечень товаров'!$A$2:$I9525,2,0),"")</f>
        <v>м14</v>
      </c>
      <c r="C4481" s="12" t="str">
        <f>IFERROR(VLOOKUP(D4481,'[1]Перечень товаров'!$A$2:$I9525,3,0),"")</f>
        <v>Мебель</v>
      </c>
      <c r="D4481" s="35" t="s">
        <v>43</v>
      </c>
      <c r="E4481" s="23"/>
      <c r="F4481" s="23"/>
      <c r="G4481" s="24">
        <v>1</v>
      </c>
      <c r="H4481" s="24"/>
      <c r="I4481" s="25"/>
      <c r="J4481" s="25"/>
      <c r="K4481" s="19"/>
      <c r="L4481" s="20"/>
      <c r="M4481" s="10"/>
      <c r="N4481" s="10"/>
      <c r="O4481" s="10"/>
      <c r="P4481" s="10"/>
      <c r="Q4481" s="10"/>
      <c r="R4481" s="10"/>
      <c r="S4481" s="10"/>
      <c r="T4481" s="10"/>
      <c r="U4481" s="10"/>
      <c r="V4481" s="10"/>
      <c r="W4481" s="10"/>
      <c r="X4481" s="10"/>
      <c r="Y4481" s="10"/>
      <c r="Z4481" s="10"/>
      <c r="AA4481" s="10"/>
      <c r="AB4481" s="10"/>
      <c r="AC4481" s="10"/>
      <c r="AD4481" s="10"/>
      <c r="AE4481" s="10"/>
      <c r="AF4481" s="10"/>
      <c r="AG4481" s="10"/>
      <c r="AH4481" s="10"/>
    </row>
    <row r="4482" spans="1:34" outlineLevel="2">
      <c r="A4482" s="34"/>
      <c r="B4482" s="12" t="str">
        <f>IFERROR(VLOOKUP(D4482,'[1]Перечень товаров'!$A$2:$I9525,2,0),"")</f>
        <v>м216</v>
      </c>
      <c r="C4482" s="12" t="str">
        <f>IFERROR(VLOOKUP(D4482,'[1]Перечень товаров'!$A$2:$I9525,3,0),"")</f>
        <v>Мебель</v>
      </c>
      <c r="D4482" s="35" t="s">
        <v>854</v>
      </c>
      <c r="E4482" s="23"/>
      <c r="F4482" s="23"/>
      <c r="G4482" s="24">
        <v>2</v>
      </c>
      <c r="H4482" s="24"/>
      <c r="I4482" s="25"/>
      <c r="J4482" s="25"/>
      <c r="K4482" s="19"/>
      <c r="L4482" s="20"/>
      <c r="M4482" s="10"/>
      <c r="N4482" s="10"/>
      <c r="O4482" s="10"/>
      <c r="P4482" s="10"/>
      <c r="Q4482" s="10"/>
      <c r="R4482" s="10"/>
      <c r="S4482" s="10"/>
      <c r="T4482" s="10"/>
      <c r="U4482" s="10"/>
      <c r="V4482" s="10"/>
      <c r="W4482" s="10"/>
      <c r="X4482" s="10"/>
      <c r="Y4482" s="10"/>
      <c r="Z4482" s="10"/>
      <c r="AA4482" s="10"/>
      <c r="AB4482" s="10"/>
      <c r="AC4482" s="10"/>
      <c r="AD4482" s="10"/>
      <c r="AE4482" s="10"/>
      <c r="AF4482" s="10"/>
      <c r="AG4482" s="10"/>
      <c r="AH4482" s="10"/>
    </row>
    <row r="4483" spans="1:34" ht="12.75" outlineLevel="2">
      <c r="A4483" s="197"/>
      <c r="B4483" s="12" t="str">
        <f>IFERROR(VLOOKUP(D4483,'[1]Перечень товаров'!$A$2:$I9525,2,0),"")</f>
        <v/>
      </c>
      <c r="C4483" s="12" t="str">
        <f>IFERROR(VLOOKUP(D4483,'[1]Перечень товаров'!$A$2:$I9525,3,0),"")</f>
        <v/>
      </c>
      <c r="D4483" s="198" t="s">
        <v>1296</v>
      </c>
      <c r="E4483" s="15"/>
      <c r="F4483" s="15"/>
      <c r="G4483" s="238"/>
      <c r="H4483" s="238"/>
      <c r="I4483" s="239"/>
      <c r="J4483" s="239"/>
      <c r="K4483" s="19"/>
      <c r="L4483" s="20"/>
      <c r="M4483" s="10"/>
      <c r="N4483" s="10"/>
      <c r="O4483" s="10"/>
      <c r="P4483" s="10"/>
      <c r="Q4483" s="10"/>
      <c r="R4483" s="10"/>
      <c r="S4483" s="10"/>
      <c r="T4483" s="10"/>
      <c r="U4483" s="10"/>
      <c r="V4483" s="10"/>
      <c r="W4483" s="10"/>
      <c r="X4483" s="10"/>
      <c r="Y4483" s="10"/>
      <c r="Z4483" s="10"/>
      <c r="AA4483" s="10"/>
      <c r="AB4483" s="10"/>
      <c r="AC4483" s="10"/>
      <c r="AD4483" s="10"/>
      <c r="AE4483" s="10"/>
      <c r="AF4483" s="10"/>
      <c r="AG4483" s="10"/>
      <c r="AH4483" s="10"/>
    </row>
    <row r="4484" spans="1:34" outlineLevel="2">
      <c r="A4484" s="21"/>
      <c r="B4484" s="12" t="str">
        <f>IFERROR(VLOOKUP(D4484,'[1]Перечень товаров'!$A$2:$I9525,2,0),"")</f>
        <v>д475</v>
      </c>
      <c r="C4484" s="12" t="str">
        <f>IFERROR(VLOOKUP(D4484,'[1]Перечень товаров'!$A$2:$I9525,3,0),"")</f>
        <v>дидактика</v>
      </c>
      <c r="D4484" s="22" t="s">
        <v>1297</v>
      </c>
      <c r="E4484" s="23"/>
      <c r="F4484" s="23"/>
      <c r="G4484" s="137">
        <v>36</v>
      </c>
      <c r="H4484" s="137"/>
      <c r="I4484" s="138"/>
      <c r="J4484" s="138"/>
      <c r="K4484" s="19"/>
      <c r="L4484" s="20"/>
      <c r="M4484" s="10"/>
      <c r="N4484" s="10"/>
      <c r="O4484" s="10"/>
      <c r="P4484" s="10"/>
      <c r="Q4484" s="10"/>
      <c r="R4484" s="10"/>
      <c r="S4484" s="10"/>
      <c r="T4484" s="10"/>
      <c r="U4484" s="10"/>
      <c r="V4484" s="10"/>
      <c r="W4484" s="10"/>
      <c r="X4484" s="10"/>
      <c r="Y4484" s="10"/>
      <c r="Z4484" s="10"/>
      <c r="AA4484" s="10"/>
      <c r="AB4484" s="10"/>
      <c r="AC4484" s="10"/>
      <c r="AD4484" s="10"/>
      <c r="AE4484" s="10"/>
      <c r="AF4484" s="10"/>
      <c r="AG4484" s="10"/>
      <c r="AH4484" s="10"/>
    </row>
    <row r="4485" spans="1:34" outlineLevel="2">
      <c r="A4485" s="21"/>
      <c r="B4485" s="12" t="str">
        <f>IFERROR(VLOOKUP(D4485,'[1]Перечень товаров'!$A$2:$I9525,2,0),"")</f>
        <v>д474</v>
      </c>
      <c r="C4485" s="12" t="str">
        <f>IFERROR(VLOOKUP(D4485,'[1]Перечень товаров'!$A$2:$I9525,3,0),"")</f>
        <v>дидактика</v>
      </c>
      <c r="D4485" s="22" t="s">
        <v>1298</v>
      </c>
      <c r="E4485" s="23"/>
      <c r="F4485" s="23"/>
      <c r="G4485" s="137">
        <v>240</v>
      </c>
      <c r="H4485" s="137"/>
      <c r="I4485" s="138"/>
      <c r="J4485" s="138"/>
      <c r="K4485" s="19"/>
      <c r="L4485" s="20"/>
      <c r="M4485" s="10"/>
      <c r="N4485" s="10"/>
      <c r="O4485" s="10"/>
      <c r="P4485" s="10"/>
      <c r="Q4485" s="10"/>
      <c r="R4485" s="10"/>
      <c r="S4485" s="10"/>
      <c r="T4485" s="10"/>
      <c r="U4485" s="10"/>
      <c r="V4485" s="10"/>
      <c r="W4485" s="10"/>
      <c r="X4485" s="10"/>
      <c r="Y4485" s="10"/>
      <c r="Z4485" s="10"/>
      <c r="AA4485" s="10"/>
      <c r="AB4485" s="10"/>
      <c r="AC4485" s="10"/>
      <c r="AD4485" s="10"/>
      <c r="AE4485" s="10"/>
      <c r="AF4485" s="10"/>
      <c r="AG4485" s="10"/>
      <c r="AH4485" s="10"/>
    </row>
    <row r="4486" spans="1:34" outlineLevel="2">
      <c r="A4486" s="21"/>
      <c r="B4486" s="12" t="str">
        <f>IFERROR(VLOOKUP(D4486,'[1]Перечень товаров'!$A$2:$I9525,2,0),"")</f>
        <v>д473</v>
      </c>
      <c r="C4486" s="12" t="str">
        <f>IFERROR(VLOOKUP(D4486,'[1]Перечень товаров'!$A$2:$I9525,3,0),"")</f>
        <v>дидактика</v>
      </c>
      <c r="D4486" s="22" t="s">
        <v>1299</v>
      </c>
      <c r="E4486" s="23"/>
      <c r="F4486" s="23"/>
      <c r="G4486" s="137">
        <v>1</v>
      </c>
      <c r="H4486" s="137"/>
      <c r="I4486" s="138"/>
      <c r="J4486" s="138"/>
      <c r="K4486" s="19"/>
      <c r="L4486" s="20"/>
      <c r="M4486" s="10"/>
      <c r="N4486" s="10"/>
      <c r="O4486" s="10"/>
      <c r="P4486" s="10"/>
      <c r="Q4486" s="10"/>
      <c r="R4486" s="10"/>
      <c r="S4486" s="10"/>
      <c r="T4486" s="10"/>
      <c r="U4486" s="10"/>
      <c r="V4486" s="10"/>
      <c r="W4486" s="10"/>
      <c r="X4486" s="10"/>
      <c r="Y4486" s="10"/>
      <c r="Z4486" s="10"/>
      <c r="AA4486" s="10"/>
      <c r="AB4486" s="10"/>
      <c r="AC4486" s="10"/>
      <c r="AD4486" s="10"/>
      <c r="AE4486" s="10"/>
      <c r="AF4486" s="10"/>
      <c r="AG4486" s="10"/>
      <c r="AH4486" s="10"/>
    </row>
    <row r="4487" spans="1:34" outlineLevel="2">
      <c r="A4487" s="21"/>
      <c r="B4487" s="12" t="str">
        <f>IFERROR(VLOOKUP(D4487,'[1]Перечень товаров'!$A$2:$I9525,2,0),"")</f>
        <v>д472</v>
      </c>
      <c r="C4487" s="12" t="str">
        <f>IFERROR(VLOOKUP(D4487,'[1]Перечень товаров'!$A$2:$I9525,3,0),"")</f>
        <v>дидактика</v>
      </c>
      <c r="D4487" s="22" t="s">
        <v>1300</v>
      </c>
      <c r="E4487" s="23"/>
      <c r="F4487" s="23"/>
      <c r="G4487" s="232">
        <v>12</v>
      </c>
      <c r="H4487" s="232"/>
      <c r="I4487" s="233"/>
      <c r="J4487" s="233"/>
      <c r="K4487" s="19"/>
      <c r="L4487" s="20"/>
      <c r="M4487" s="10"/>
      <c r="N4487" s="10"/>
      <c r="O4487" s="10"/>
      <c r="P4487" s="10"/>
      <c r="Q4487" s="10"/>
      <c r="R4487" s="10"/>
      <c r="S4487" s="10"/>
      <c r="T4487" s="10"/>
      <c r="U4487" s="10"/>
      <c r="V4487" s="10"/>
      <c r="W4487" s="10"/>
      <c r="X4487" s="10"/>
      <c r="Y4487" s="10"/>
      <c r="Z4487" s="10"/>
      <c r="AA4487" s="10"/>
      <c r="AB4487" s="10"/>
      <c r="AC4487" s="10"/>
      <c r="AD4487" s="10"/>
      <c r="AE4487" s="10"/>
      <c r="AF4487" s="10"/>
      <c r="AG4487" s="10"/>
      <c r="AH4487" s="10"/>
    </row>
    <row r="4488" spans="1:34" outlineLevel="2">
      <c r="A4488" s="21"/>
      <c r="B4488" s="12" t="str">
        <f>IFERROR(VLOOKUP(D4488,'[1]Перечень товаров'!$A$2:$I9525,2,0),"")</f>
        <v>д471</v>
      </c>
      <c r="C4488" s="12" t="str">
        <f>IFERROR(VLOOKUP(D4488,'[1]Перечень товаров'!$A$2:$I9525,3,0),"")</f>
        <v>дидактика</v>
      </c>
      <c r="D4488" s="22" t="s">
        <v>1301</v>
      </c>
      <c r="E4488" s="23"/>
      <c r="F4488" s="23"/>
      <c r="G4488" s="232">
        <v>60</v>
      </c>
      <c r="H4488" s="232"/>
      <c r="I4488" s="233"/>
      <c r="J4488" s="233"/>
      <c r="K4488" s="19"/>
      <c r="L4488" s="20"/>
      <c r="M4488" s="10"/>
      <c r="N4488" s="10"/>
      <c r="O4488" s="10"/>
      <c r="P4488" s="10"/>
      <c r="Q4488" s="10"/>
      <c r="R4488" s="10"/>
      <c r="S4488" s="10"/>
      <c r="T4488" s="10"/>
      <c r="U4488" s="10"/>
      <c r="V4488" s="10"/>
      <c r="W4488" s="10"/>
      <c r="X4488" s="10"/>
      <c r="Y4488" s="10"/>
      <c r="Z4488" s="10"/>
      <c r="AA4488" s="10"/>
      <c r="AB4488" s="10"/>
      <c r="AC4488" s="10"/>
      <c r="AD4488" s="10"/>
      <c r="AE4488" s="10"/>
      <c r="AF4488" s="10"/>
      <c r="AG4488" s="10"/>
      <c r="AH4488" s="10"/>
    </row>
    <row r="4489" spans="1:34" outlineLevel="2">
      <c r="A4489" s="21"/>
      <c r="B4489" s="12" t="str">
        <f>IFERROR(VLOOKUP(D4489,'[1]Перечень товаров'!$A$2:$I9525,2,0),"")</f>
        <v>д470</v>
      </c>
      <c r="C4489" s="12" t="str">
        <f>IFERROR(VLOOKUP(D4489,'[1]Перечень товаров'!$A$2:$I9525,3,0),"")</f>
        <v>дидактика</v>
      </c>
      <c r="D4489" s="22" t="s">
        <v>1302</v>
      </c>
      <c r="E4489" s="23"/>
      <c r="F4489" s="23"/>
      <c r="G4489" s="232">
        <v>240</v>
      </c>
      <c r="H4489" s="232"/>
      <c r="I4489" s="233"/>
      <c r="J4489" s="233"/>
      <c r="K4489" s="19"/>
      <c r="L4489" s="20"/>
      <c r="M4489" s="10"/>
      <c r="N4489" s="10"/>
      <c r="O4489" s="10"/>
      <c r="P4489" s="10"/>
      <c r="Q4489" s="10"/>
      <c r="R4489" s="10"/>
      <c r="S4489" s="10"/>
      <c r="T4489" s="10"/>
      <c r="U4489" s="10"/>
      <c r="V4489" s="10"/>
      <c r="W4489" s="10"/>
      <c r="X4489" s="10"/>
      <c r="Y4489" s="10"/>
      <c r="Z4489" s="10"/>
      <c r="AA4489" s="10"/>
      <c r="AB4489" s="10"/>
      <c r="AC4489" s="10"/>
      <c r="AD4489" s="10"/>
      <c r="AE4489" s="10"/>
      <c r="AF4489" s="10"/>
      <c r="AG4489" s="10"/>
      <c r="AH4489" s="10"/>
    </row>
    <row r="4490" spans="1:34" outlineLevel="2">
      <c r="A4490" s="21"/>
      <c r="B4490" s="12" t="str">
        <f>IFERROR(VLOOKUP(D4490,'[1]Перечень товаров'!$A$2:$I9525,2,0),"")</f>
        <v>д469</v>
      </c>
      <c r="C4490" s="12" t="str">
        <f>IFERROR(VLOOKUP(D4490,'[1]Перечень товаров'!$A$2:$I9525,3,0),"")</f>
        <v>дидактика</v>
      </c>
      <c r="D4490" s="22" t="s">
        <v>1303</v>
      </c>
      <c r="E4490" s="23"/>
      <c r="F4490" s="23"/>
      <c r="G4490" s="232">
        <v>120</v>
      </c>
      <c r="H4490" s="232"/>
      <c r="I4490" s="233"/>
      <c r="J4490" s="233"/>
      <c r="K4490" s="19"/>
      <c r="L4490" s="20"/>
      <c r="M4490" s="10"/>
      <c r="N4490" s="10"/>
      <c r="O4490" s="10"/>
      <c r="P4490" s="10"/>
      <c r="Q4490" s="10"/>
      <c r="R4490" s="10"/>
      <c r="S4490" s="10"/>
      <c r="T4490" s="10"/>
      <c r="U4490" s="10"/>
      <c r="V4490" s="10"/>
      <c r="W4490" s="10"/>
      <c r="X4490" s="10"/>
      <c r="Y4490" s="10"/>
      <c r="Z4490" s="10"/>
      <c r="AA4490" s="10"/>
      <c r="AB4490" s="10"/>
      <c r="AC4490" s="10"/>
      <c r="AD4490" s="10"/>
      <c r="AE4490" s="10"/>
      <c r="AF4490" s="10"/>
      <c r="AG4490" s="10"/>
      <c r="AH4490" s="10"/>
    </row>
    <row r="4491" spans="1:34" outlineLevel="2">
      <c r="A4491" s="21"/>
      <c r="B4491" s="12" t="str">
        <f>IFERROR(VLOOKUP(D4491,'[1]Перечень товаров'!$A$2:$I9525,2,0),"")</f>
        <v>д468</v>
      </c>
      <c r="C4491" s="12" t="str">
        <f>IFERROR(VLOOKUP(D4491,'[1]Перечень товаров'!$A$2:$I9525,3,0),"")</f>
        <v>дидактика</v>
      </c>
      <c r="D4491" s="22" t="s">
        <v>1304</v>
      </c>
      <c r="E4491" s="23"/>
      <c r="F4491" s="23"/>
      <c r="G4491" s="232">
        <v>6</v>
      </c>
      <c r="H4491" s="232"/>
      <c r="I4491" s="233"/>
      <c r="J4491" s="233"/>
      <c r="K4491" s="19"/>
      <c r="L4491" s="20"/>
      <c r="M4491" s="10"/>
      <c r="N4491" s="10"/>
      <c r="O4491" s="10"/>
      <c r="P4491" s="10"/>
      <c r="Q4491" s="10"/>
      <c r="R4491" s="10"/>
      <c r="S4491" s="10"/>
      <c r="T4491" s="10"/>
      <c r="U4491" s="10"/>
      <c r="V4491" s="10"/>
      <c r="W4491" s="10"/>
      <c r="X4491" s="10"/>
      <c r="Y4491" s="10"/>
      <c r="Z4491" s="10"/>
      <c r="AA4491" s="10"/>
      <c r="AB4491" s="10"/>
      <c r="AC4491" s="10"/>
      <c r="AD4491" s="10"/>
      <c r="AE4491" s="10"/>
      <c r="AF4491" s="10"/>
      <c r="AG4491" s="10"/>
      <c r="AH4491" s="10"/>
    </row>
    <row r="4492" spans="1:34" ht="31.5" outlineLevel="2">
      <c r="A4492" s="21"/>
      <c r="B4492" s="12" t="str">
        <f>IFERROR(VLOOKUP(D4492,'[1]Перечень товаров'!$A$2:$I9525,2,0),"")</f>
        <v>д467</v>
      </c>
      <c r="C4492" s="12" t="str">
        <f>IFERROR(VLOOKUP(D4492,'[1]Перечень товаров'!$A$2:$I9525,3,0),"")</f>
        <v>дидактика</v>
      </c>
      <c r="D4492" s="22" t="s">
        <v>1305</v>
      </c>
      <c r="E4492" s="23"/>
      <c r="F4492" s="23"/>
      <c r="G4492" s="232">
        <v>1</v>
      </c>
      <c r="H4492" s="232"/>
      <c r="I4492" s="233"/>
      <c r="J4492" s="233"/>
      <c r="K4492" s="19"/>
      <c r="L4492" s="20"/>
      <c r="M4492" s="10"/>
      <c r="N4492" s="10"/>
      <c r="O4492" s="10"/>
      <c r="P4492" s="10"/>
      <c r="Q4492" s="10"/>
      <c r="R4492" s="10"/>
      <c r="S4492" s="10"/>
      <c r="T4492" s="10"/>
      <c r="U4492" s="10"/>
      <c r="V4492" s="10"/>
      <c r="W4492" s="10"/>
      <c r="X4492" s="10"/>
      <c r="Y4492" s="10"/>
      <c r="Z4492" s="10"/>
      <c r="AA4492" s="10"/>
      <c r="AB4492" s="10"/>
      <c r="AC4492" s="10"/>
      <c r="AD4492" s="10"/>
      <c r="AE4492" s="10"/>
      <c r="AF4492" s="10"/>
      <c r="AG4492" s="10"/>
      <c r="AH4492" s="10"/>
    </row>
    <row r="4493" spans="1:34" outlineLevel="2">
      <c r="A4493" s="21"/>
      <c r="B4493" s="12" t="str">
        <f>IFERROR(VLOOKUP(D4493,'[1]Перечень товаров'!$A$2:$I9525,2,0),"")</f>
        <v>д466</v>
      </c>
      <c r="C4493" s="12" t="str">
        <f>IFERROR(VLOOKUP(D4493,'[1]Перечень товаров'!$A$2:$I9525,3,0),"")</f>
        <v>дидактика</v>
      </c>
      <c r="D4493" s="22" t="s">
        <v>1306</v>
      </c>
      <c r="E4493" s="23"/>
      <c r="F4493" s="23"/>
      <c r="G4493" s="232">
        <v>72</v>
      </c>
      <c r="H4493" s="232"/>
      <c r="I4493" s="233"/>
      <c r="J4493" s="233"/>
      <c r="K4493" s="19"/>
      <c r="L4493" s="20"/>
      <c r="M4493" s="10"/>
      <c r="N4493" s="10"/>
      <c r="O4493" s="10"/>
      <c r="P4493" s="10"/>
      <c r="Q4493" s="10"/>
      <c r="R4493" s="10"/>
      <c r="S4493" s="10"/>
      <c r="T4493" s="10"/>
      <c r="U4493" s="10"/>
      <c r="V4493" s="10"/>
      <c r="W4493" s="10"/>
      <c r="X4493" s="10"/>
      <c r="Y4493" s="10"/>
      <c r="Z4493" s="10"/>
      <c r="AA4493" s="10"/>
      <c r="AB4493" s="10"/>
      <c r="AC4493" s="10"/>
      <c r="AD4493" s="10"/>
      <c r="AE4493" s="10"/>
      <c r="AF4493" s="10"/>
      <c r="AG4493" s="10"/>
      <c r="AH4493" s="10"/>
    </row>
    <row r="4494" spans="1:34" outlineLevel="2">
      <c r="A4494" s="21"/>
      <c r="B4494" s="12" t="str">
        <f>IFERROR(VLOOKUP(D4494,'[1]Перечень товаров'!$A$2:$I9525,2,0),"")</f>
        <v>д465</v>
      </c>
      <c r="C4494" s="12" t="str">
        <f>IFERROR(VLOOKUP(D4494,'[1]Перечень товаров'!$A$2:$I9525,3,0),"")</f>
        <v>дидактика</v>
      </c>
      <c r="D4494" s="22" t="s">
        <v>1307</v>
      </c>
      <c r="E4494" s="23"/>
      <c r="F4494" s="23"/>
      <c r="G4494" s="232">
        <v>60</v>
      </c>
      <c r="H4494" s="232"/>
      <c r="I4494" s="233"/>
      <c r="J4494" s="233"/>
      <c r="K4494" s="19"/>
      <c r="L4494" s="20"/>
      <c r="M4494" s="10"/>
      <c r="N4494" s="10"/>
      <c r="O4494" s="10"/>
      <c r="P4494" s="10"/>
      <c r="Q4494" s="10"/>
      <c r="R4494" s="10"/>
      <c r="S4494" s="10"/>
      <c r="T4494" s="10"/>
      <c r="U4494" s="10"/>
      <c r="V4494" s="10"/>
      <c r="W4494" s="10"/>
      <c r="X4494" s="10"/>
      <c r="Y4494" s="10"/>
      <c r="Z4494" s="10"/>
      <c r="AA4494" s="10"/>
      <c r="AB4494" s="10"/>
      <c r="AC4494" s="10"/>
      <c r="AD4494" s="10"/>
      <c r="AE4494" s="10"/>
      <c r="AF4494" s="10"/>
      <c r="AG4494" s="10"/>
      <c r="AH4494" s="10"/>
    </row>
    <row r="4495" spans="1:34" outlineLevel="2">
      <c r="A4495" s="21"/>
      <c r="B4495" s="12" t="str">
        <f>IFERROR(VLOOKUP(D4495,'[1]Перечень товаров'!$A$2:$I9525,2,0),"")</f>
        <v>п92</v>
      </c>
      <c r="C4495" s="12" t="str">
        <f>IFERROR(VLOOKUP(D4495,'[1]Перечень товаров'!$A$2:$I9525,3,0),"")</f>
        <v>Прочее</v>
      </c>
      <c r="D4495" s="22" t="s">
        <v>758</v>
      </c>
      <c r="E4495" s="23"/>
      <c r="F4495" s="23"/>
      <c r="G4495" s="232">
        <v>12</v>
      </c>
      <c r="H4495" s="232"/>
      <c r="I4495" s="233"/>
      <c r="J4495" s="233"/>
      <c r="K4495" s="19"/>
      <c r="L4495" s="20"/>
      <c r="M4495" s="10"/>
      <c r="N4495" s="10"/>
      <c r="O4495" s="10"/>
      <c r="P4495" s="10"/>
      <c r="Q4495" s="10"/>
      <c r="R4495" s="10"/>
      <c r="S4495" s="10"/>
      <c r="T4495" s="10"/>
      <c r="U4495" s="10"/>
      <c r="V4495" s="10"/>
      <c r="W4495" s="10"/>
      <c r="X4495" s="10"/>
      <c r="Y4495" s="10"/>
      <c r="Z4495" s="10"/>
      <c r="AA4495" s="10"/>
      <c r="AB4495" s="10"/>
      <c r="AC4495" s="10"/>
      <c r="AD4495" s="10"/>
      <c r="AE4495" s="10"/>
      <c r="AF4495" s="10"/>
      <c r="AG4495" s="10"/>
      <c r="AH4495" s="10"/>
    </row>
    <row r="4496" spans="1:34" outlineLevel="2">
      <c r="A4496" s="21"/>
      <c r="B4496" s="12" t="str">
        <f>IFERROR(VLOOKUP(D4496,'[1]Перечень товаров'!$A$2:$I9525,2,0),"")</f>
        <v>д464</v>
      </c>
      <c r="C4496" s="12" t="str">
        <f>IFERROR(VLOOKUP(D4496,'[1]Перечень товаров'!$A$2:$I9525,3,0),"")</f>
        <v>дидактика</v>
      </c>
      <c r="D4496" s="22" t="s">
        <v>1308</v>
      </c>
      <c r="E4496" s="23"/>
      <c r="F4496" s="23"/>
      <c r="G4496" s="232">
        <v>12</v>
      </c>
      <c r="H4496" s="232"/>
      <c r="I4496" s="233"/>
      <c r="J4496" s="233"/>
      <c r="K4496" s="19"/>
      <c r="L4496" s="20"/>
      <c r="M4496" s="10"/>
      <c r="N4496" s="10"/>
      <c r="O4496" s="10"/>
      <c r="P4496" s="10"/>
      <c r="Q4496" s="10"/>
      <c r="R4496" s="10"/>
      <c r="S4496" s="10"/>
      <c r="T4496" s="10"/>
      <c r="U4496" s="10"/>
      <c r="V4496" s="10"/>
      <c r="W4496" s="10"/>
      <c r="X4496" s="10"/>
      <c r="Y4496" s="10"/>
      <c r="Z4496" s="10"/>
      <c r="AA4496" s="10"/>
      <c r="AB4496" s="10"/>
      <c r="AC4496" s="10"/>
      <c r="AD4496" s="10"/>
      <c r="AE4496" s="10"/>
      <c r="AF4496" s="10"/>
      <c r="AG4496" s="10"/>
      <c r="AH4496" s="10"/>
    </row>
    <row r="4497" spans="1:34" ht="31.5" outlineLevel="2">
      <c r="A4497" s="21"/>
      <c r="B4497" s="12" t="str">
        <f>IFERROR(VLOOKUP(D4497,'[1]Перечень товаров'!$A$2:$I9525,2,0),"")</f>
        <v>д463</v>
      </c>
      <c r="C4497" s="12" t="str">
        <f>IFERROR(VLOOKUP(D4497,'[1]Перечень товаров'!$A$2:$I9525,3,0),"")</f>
        <v>дидактика</v>
      </c>
      <c r="D4497" s="22" t="s">
        <v>1309</v>
      </c>
      <c r="E4497" s="23"/>
      <c r="F4497" s="23"/>
      <c r="G4497" s="232">
        <v>12</v>
      </c>
      <c r="H4497" s="232"/>
      <c r="I4497" s="233"/>
      <c r="J4497" s="233"/>
      <c r="K4497" s="19"/>
      <c r="L4497" s="20"/>
      <c r="M4497" s="10"/>
      <c r="N4497" s="10"/>
      <c r="O4497" s="10"/>
      <c r="P4497" s="10"/>
      <c r="Q4497" s="10"/>
      <c r="R4497" s="10"/>
      <c r="S4497" s="10"/>
      <c r="T4497" s="10"/>
      <c r="U4497" s="10"/>
      <c r="V4497" s="10"/>
      <c r="W4497" s="10"/>
      <c r="X4497" s="10"/>
      <c r="Y4497" s="10"/>
      <c r="Z4497" s="10"/>
      <c r="AA4497" s="10"/>
      <c r="AB4497" s="10"/>
      <c r="AC4497" s="10"/>
      <c r="AD4497" s="10"/>
      <c r="AE4497" s="10"/>
      <c r="AF4497" s="10"/>
      <c r="AG4497" s="10"/>
      <c r="AH4497" s="10"/>
    </row>
    <row r="4498" spans="1:34" ht="31.5" outlineLevel="2">
      <c r="A4498" s="21"/>
      <c r="B4498" s="12" t="str">
        <f>IFERROR(VLOOKUP(D4498,'[1]Перечень товаров'!$A$2:$I9525,2,0),"")</f>
        <v>д462</v>
      </c>
      <c r="C4498" s="12" t="str">
        <f>IFERROR(VLOOKUP(D4498,'[1]Перечень товаров'!$A$2:$I9525,3,0),"")</f>
        <v>дидактика</v>
      </c>
      <c r="D4498" s="22" t="s">
        <v>1310</v>
      </c>
      <c r="E4498" s="23"/>
      <c r="F4498" s="23"/>
      <c r="G4498" s="232">
        <v>30</v>
      </c>
      <c r="H4498" s="232"/>
      <c r="I4498" s="233"/>
      <c r="J4498" s="233"/>
      <c r="K4498" s="19"/>
      <c r="L4498" s="20"/>
      <c r="M4498" s="10"/>
      <c r="N4498" s="10"/>
      <c r="O4498" s="10"/>
      <c r="P4498" s="10"/>
      <c r="Q4498" s="10"/>
      <c r="R4498" s="10"/>
      <c r="S4498" s="10"/>
      <c r="T4498" s="10"/>
      <c r="U4498" s="10"/>
      <c r="V4498" s="10"/>
      <c r="W4498" s="10"/>
      <c r="X4498" s="10"/>
      <c r="Y4498" s="10"/>
      <c r="Z4498" s="10"/>
      <c r="AA4498" s="10"/>
      <c r="AB4498" s="10"/>
      <c r="AC4498" s="10"/>
      <c r="AD4498" s="10"/>
      <c r="AE4498" s="10"/>
      <c r="AF4498" s="10"/>
      <c r="AG4498" s="10"/>
      <c r="AH4498" s="10"/>
    </row>
    <row r="4499" spans="1:34" ht="31.5" outlineLevel="2">
      <c r="A4499" s="21"/>
      <c r="B4499" s="12" t="str">
        <f>IFERROR(VLOOKUP(D4499,'[1]Перечень товаров'!$A$2:$I9525,2,0),"")</f>
        <v>д19</v>
      </c>
      <c r="C4499" s="12" t="str">
        <f>IFERROR(VLOOKUP(D4499,'[1]Перечень товаров'!$A$2:$I9525,3,0),"")</f>
        <v>Дидактика</v>
      </c>
      <c r="D4499" s="22" t="s">
        <v>762</v>
      </c>
      <c r="E4499" s="23"/>
      <c r="F4499" s="23"/>
      <c r="G4499" s="232">
        <v>1</v>
      </c>
      <c r="H4499" s="232"/>
      <c r="I4499" s="233"/>
      <c r="J4499" s="233"/>
      <c r="K4499" s="19"/>
      <c r="L4499" s="20"/>
      <c r="M4499" s="10"/>
      <c r="N4499" s="10"/>
      <c r="O4499" s="10"/>
      <c r="P4499" s="10"/>
      <c r="Q4499" s="10"/>
      <c r="R4499" s="10"/>
      <c r="S4499" s="10"/>
      <c r="T4499" s="10"/>
      <c r="U4499" s="10"/>
      <c r="V4499" s="10"/>
      <c r="W4499" s="10"/>
      <c r="X4499" s="10"/>
      <c r="Y4499" s="10"/>
      <c r="Z4499" s="10"/>
      <c r="AA4499" s="10"/>
      <c r="AB4499" s="10"/>
      <c r="AC4499" s="10"/>
      <c r="AD4499" s="10"/>
      <c r="AE4499" s="10"/>
      <c r="AF4499" s="10"/>
      <c r="AG4499" s="10"/>
      <c r="AH4499" s="10"/>
    </row>
    <row r="4500" spans="1:34" outlineLevel="2">
      <c r="A4500" s="21"/>
      <c r="B4500" s="12" t="str">
        <f>IFERROR(VLOOKUP(D4500,'[1]Перечень товаров'!$A$2:$I9525,2,0),"")</f>
        <v>д461</v>
      </c>
      <c r="C4500" s="12" t="str">
        <f>IFERROR(VLOOKUP(D4500,'[1]Перечень товаров'!$A$2:$I9525,3,0),"")</f>
        <v>дидактика</v>
      </c>
      <c r="D4500" s="22" t="s">
        <v>1311</v>
      </c>
      <c r="E4500" s="23"/>
      <c r="F4500" s="23"/>
      <c r="G4500" s="232">
        <v>12</v>
      </c>
      <c r="H4500" s="232"/>
      <c r="I4500" s="233"/>
      <c r="J4500" s="233"/>
      <c r="K4500" s="19"/>
      <c r="L4500" s="20"/>
      <c r="M4500" s="10"/>
      <c r="N4500" s="10"/>
      <c r="O4500" s="10"/>
      <c r="P4500" s="10"/>
      <c r="Q4500" s="10"/>
      <c r="R4500" s="10"/>
      <c r="S4500" s="10"/>
      <c r="T4500" s="10"/>
      <c r="U4500" s="10"/>
      <c r="V4500" s="10"/>
      <c r="W4500" s="10"/>
      <c r="X4500" s="10"/>
      <c r="Y4500" s="10"/>
      <c r="Z4500" s="10"/>
      <c r="AA4500" s="10"/>
      <c r="AB4500" s="10"/>
      <c r="AC4500" s="10"/>
      <c r="AD4500" s="10"/>
      <c r="AE4500" s="10"/>
      <c r="AF4500" s="10"/>
      <c r="AG4500" s="10"/>
      <c r="AH4500" s="10"/>
    </row>
    <row r="4501" spans="1:34" outlineLevel="2">
      <c r="A4501" s="21"/>
      <c r="B4501" s="12" t="str">
        <f>IFERROR(VLOOKUP(D4501,'[1]Перечень товаров'!$A$2:$I9525,2,0),"")</f>
        <v>д460</v>
      </c>
      <c r="C4501" s="12" t="str">
        <f>IFERROR(VLOOKUP(D4501,'[1]Перечень товаров'!$A$2:$I9525,3,0),"")</f>
        <v>дидактика</v>
      </c>
      <c r="D4501" s="22" t="s">
        <v>1312</v>
      </c>
      <c r="E4501" s="23"/>
      <c r="F4501" s="23"/>
      <c r="G4501" s="232">
        <v>50</v>
      </c>
      <c r="H4501" s="232"/>
      <c r="I4501" s="233"/>
      <c r="J4501" s="233"/>
      <c r="K4501" s="19"/>
      <c r="L4501" s="20"/>
      <c r="M4501" s="10"/>
      <c r="N4501" s="10"/>
      <c r="O4501" s="10"/>
      <c r="P4501" s="10"/>
      <c r="Q4501" s="10"/>
      <c r="R4501" s="10"/>
      <c r="S4501" s="10"/>
      <c r="T4501" s="10"/>
      <c r="U4501" s="10"/>
      <c r="V4501" s="10"/>
      <c r="W4501" s="10"/>
      <c r="X4501" s="10"/>
      <c r="Y4501" s="10"/>
      <c r="Z4501" s="10"/>
      <c r="AA4501" s="10"/>
      <c r="AB4501" s="10"/>
      <c r="AC4501" s="10"/>
      <c r="AD4501" s="10"/>
      <c r="AE4501" s="10"/>
      <c r="AF4501" s="10"/>
      <c r="AG4501" s="10"/>
      <c r="AH4501" s="10"/>
    </row>
    <row r="4502" spans="1:34" ht="31.5" outlineLevel="2">
      <c r="A4502" s="21"/>
      <c r="B4502" s="12" t="str">
        <f>IFERROR(VLOOKUP(D4502,'[1]Перечень товаров'!$A$2:$I9525,2,0),"")</f>
        <v>д459</v>
      </c>
      <c r="C4502" s="12" t="str">
        <f>IFERROR(VLOOKUP(D4502,'[1]Перечень товаров'!$A$2:$I9525,3,0),"")</f>
        <v>дидактика</v>
      </c>
      <c r="D4502" s="22" t="s">
        <v>1313</v>
      </c>
      <c r="E4502" s="23"/>
      <c r="F4502" s="23"/>
      <c r="G4502" s="232">
        <v>140</v>
      </c>
      <c r="H4502" s="232"/>
      <c r="I4502" s="233"/>
      <c r="J4502" s="233"/>
      <c r="K4502" s="19"/>
      <c r="L4502" s="20"/>
      <c r="M4502" s="10"/>
      <c r="N4502" s="10"/>
      <c r="O4502" s="10"/>
      <c r="P4502" s="10"/>
      <c r="Q4502" s="10"/>
      <c r="R4502" s="10"/>
      <c r="S4502" s="10"/>
      <c r="T4502" s="10"/>
      <c r="U4502" s="10"/>
      <c r="V4502" s="10"/>
      <c r="W4502" s="10"/>
      <c r="X4502" s="10"/>
      <c r="Y4502" s="10"/>
      <c r="Z4502" s="10"/>
      <c r="AA4502" s="10"/>
      <c r="AB4502" s="10"/>
      <c r="AC4502" s="10"/>
      <c r="AD4502" s="10"/>
      <c r="AE4502" s="10"/>
      <c r="AF4502" s="10"/>
      <c r="AG4502" s="10"/>
      <c r="AH4502" s="10"/>
    </row>
    <row r="4503" spans="1:34" outlineLevel="2">
      <c r="A4503" s="21"/>
      <c r="B4503" s="12" t="str">
        <f>IFERROR(VLOOKUP(D4503,'[1]Перечень товаров'!$A$2:$I9525,2,0),"")</f>
        <v>д458</v>
      </c>
      <c r="C4503" s="12" t="str">
        <f>IFERROR(VLOOKUP(D4503,'[1]Перечень товаров'!$A$2:$I9525,3,0),"")</f>
        <v>дидактика</v>
      </c>
      <c r="D4503" s="22" t="s">
        <v>1314</v>
      </c>
      <c r="E4503" s="23"/>
      <c r="F4503" s="23"/>
      <c r="G4503" s="232">
        <v>120</v>
      </c>
      <c r="H4503" s="232"/>
      <c r="I4503" s="233"/>
      <c r="J4503" s="233"/>
      <c r="K4503" s="19"/>
      <c r="L4503" s="20"/>
      <c r="M4503" s="10"/>
      <c r="N4503" s="10"/>
      <c r="O4503" s="10"/>
      <c r="P4503" s="10"/>
      <c r="Q4503" s="10"/>
      <c r="R4503" s="10"/>
      <c r="S4503" s="10"/>
      <c r="T4503" s="10"/>
      <c r="U4503" s="10"/>
      <c r="V4503" s="10"/>
      <c r="W4503" s="10"/>
      <c r="X4503" s="10"/>
      <c r="Y4503" s="10"/>
      <c r="Z4503" s="10"/>
      <c r="AA4503" s="10"/>
      <c r="AB4503" s="10"/>
      <c r="AC4503" s="10"/>
      <c r="AD4503" s="10"/>
      <c r="AE4503" s="10"/>
      <c r="AF4503" s="10"/>
      <c r="AG4503" s="10"/>
      <c r="AH4503" s="10"/>
    </row>
    <row r="4504" spans="1:34" ht="31.5" outlineLevel="2">
      <c r="A4504" s="21"/>
      <c r="B4504" s="12" t="str">
        <f>IFERROR(VLOOKUP(D4504,'[1]Перечень товаров'!$A$2:$I9525,2,0),"")</f>
        <v>д457</v>
      </c>
      <c r="C4504" s="12" t="str">
        <f>IFERROR(VLOOKUP(D4504,'[1]Перечень товаров'!$A$2:$I9525,3,0),"")</f>
        <v>дидактика</v>
      </c>
      <c r="D4504" s="22" t="s">
        <v>1315</v>
      </c>
      <c r="E4504" s="23"/>
      <c r="F4504" s="23"/>
      <c r="G4504" s="232">
        <v>1</v>
      </c>
      <c r="H4504" s="232"/>
      <c r="I4504" s="233"/>
      <c r="J4504" s="233"/>
      <c r="K4504" s="19"/>
      <c r="L4504" s="20"/>
      <c r="M4504" s="10"/>
      <c r="N4504" s="10"/>
      <c r="O4504" s="10"/>
      <c r="P4504" s="10"/>
      <c r="Q4504" s="10"/>
      <c r="R4504" s="10"/>
      <c r="S4504" s="10"/>
      <c r="T4504" s="10"/>
      <c r="U4504" s="10"/>
      <c r="V4504" s="10"/>
      <c r="W4504" s="10"/>
      <c r="X4504" s="10"/>
      <c r="Y4504" s="10"/>
      <c r="Z4504" s="10"/>
      <c r="AA4504" s="10"/>
      <c r="AB4504" s="10"/>
      <c r="AC4504" s="10"/>
      <c r="AD4504" s="10"/>
      <c r="AE4504" s="10"/>
      <c r="AF4504" s="10"/>
      <c r="AG4504" s="10"/>
      <c r="AH4504" s="10"/>
    </row>
    <row r="4505" spans="1:34" outlineLevel="2">
      <c r="A4505" s="21"/>
      <c r="B4505" s="12" t="str">
        <f>IFERROR(VLOOKUP(D4505,'[1]Перечень товаров'!$A$2:$I9525,2,0),"")</f>
        <v>д456</v>
      </c>
      <c r="C4505" s="12" t="str">
        <f>IFERROR(VLOOKUP(D4505,'[1]Перечень товаров'!$A$2:$I9525,3,0),"")</f>
        <v>дидактика</v>
      </c>
      <c r="D4505" s="22" t="s">
        <v>1316</v>
      </c>
      <c r="E4505" s="23"/>
      <c r="F4505" s="23"/>
      <c r="G4505" s="232">
        <v>12</v>
      </c>
      <c r="H4505" s="232"/>
      <c r="I4505" s="233"/>
      <c r="J4505" s="233"/>
      <c r="K4505" s="19"/>
      <c r="L4505" s="20"/>
      <c r="M4505" s="10"/>
      <c r="N4505" s="10"/>
      <c r="O4505" s="10"/>
      <c r="P4505" s="10"/>
      <c r="Q4505" s="10"/>
      <c r="R4505" s="10"/>
      <c r="S4505" s="10"/>
      <c r="T4505" s="10"/>
      <c r="U4505" s="10"/>
      <c r="V4505" s="10"/>
      <c r="W4505" s="10"/>
      <c r="X4505" s="10"/>
      <c r="Y4505" s="10"/>
      <c r="Z4505" s="10"/>
      <c r="AA4505" s="10"/>
      <c r="AB4505" s="10"/>
      <c r="AC4505" s="10"/>
      <c r="AD4505" s="10"/>
      <c r="AE4505" s="10"/>
      <c r="AF4505" s="10"/>
      <c r="AG4505" s="10"/>
      <c r="AH4505" s="10"/>
    </row>
    <row r="4506" spans="1:34" outlineLevel="2">
      <c r="A4506" s="21"/>
      <c r="B4506" s="12" t="str">
        <f>IFERROR(VLOOKUP(D4506,'[1]Перечень товаров'!$A$2:$I9525,2,0),"")</f>
        <v>д455</v>
      </c>
      <c r="C4506" s="12" t="str">
        <f>IFERROR(VLOOKUP(D4506,'[1]Перечень товаров'!$A$2:$I9525,3,0),"")</f>
        <v>дидактика</v>
      </c>
      <c r="D4506" s="22" t="s">
        <v>1317</v>
      </c>
      <c r="E4506" s="23"/>
      <c r="F4506" s="23"/>
      <c r="G4506" s="232">
        <v>12</v>
      </c>
      <c r="H4506" s="232"/>
      <c r="I4506" s="233"/>
      <c r="J4506" s="233"/>
      <c r="K4506" s="19"/>
      <c r="L4506" s="20"/>
      <c r="M4506" s="10"/>
      <c r="N4506" s="10"/>
      <c r="O4506" s="10"/>
      <c r="P4506" s="10"/>
      <c r="Q4506" s="10"/>
      <c r="R4506" s="10"/>
      <c r="S4506" s="10"/>
      <c r="T4506" s="10"/>
      <c r="U4506" s="10"/>
      <c r="V4506" s="10"/>
      <c r="W4506" s="10"/>
      <c r="X4506" s="10"/>
      <c r="Y4506" s="10"/>
      <c r="Z4506" s="10"/>
      <c r="AA4506" s="10"/>
      <c r="AB4506" s="10"/>
      <c r="AC4506" s="10"/>
      <c r="AD4506" s="10"/>
      <c r="AE4506" s="10"/>
      <c r="AF4506" s="10"/>
      <c r="AG4506" s="10"/>
      <c r="AH4506" s="10"/>
    </row>
    <row r="4507" spans="1:34" outlineLevel="2">
      <c r="A4507" s="21"/>
      <c r="B4507" s="12" t="str">
        <f>IFERROR(VLOOKUP(D4507,'[1]Перечень товаров'!$A$2:$I9525,2,0),"")</f>
        <v>д454</v>
      </c>
      <c r="C4507" s="12" t="str">
        <f>IFERROR(VLOOKUP(D4507,'[1]Перечень товаров'!$A$2:$I9525,3,0),"")</f>
        <v>дидактика</v>
      </c>
      <c r="D4507" s="22" t="s">
        <v>1318</v>
      </c>
      <c r="E4507" s="23"/>
      <c r="F4507" s="23"/>
      <c r="G4507" s="232">
        <v>12</v>
      </c>
      <c r="H4507" s="232"/>
      <c r="I4507" s="233"/>
      <c r="J4507" s="233"/>
      <c r="K4507" s="19"/>
      <c r="L4507" s="20"/>
      <c r="M4507" s="10"/>
      <c r="N4507" s="10"/>
      <c r="O4507" s="10"/>
      <c r="P4507" s="10"/>
      <c r="Q4507" s="10"/>
      <c r="R4507" s="10"/>
      <c r="S4507" s="10"/>
      <c r="T4507" s="10"/>
      <c r="U4507" s="10"/>
      <c r="V4507" s="10"/>
      <c r="W4507" s="10"/>
      <c r="X4507" s="10"/>
      <c r="Y4507" s="10"/>
      <c r="Z4507" s="10"/>
      <c r="AA4507" s="10"/>
      <c r="AB4507" s="10"/>
      <c r="AC4507" s="10"/>
      <c r="AD4507" s="10"/>
      <c r="AE4507" s="10"/>
      <c r="AF4507" s="10"/>
      <c r="AG4507" s="10"/>
      <c r="AH4507" s="10"/>
    </row>
    <row r="4508" spans="1:34" outlineLevel="2">
      <c r="A4508" s="21"/>
      <c r="B4508" s="12" t="str">
        <f>IFERROR(VLOOKUP(D4508,'[1]Перечень товаров'!$A$2:$I9525,2,0),"")</f>
        <v>д453</v>
      </c>
      <c r="C4508" s="12" t="str">
        <f>IFERROR(VLOOKUP(D4508,'[1]Перечень товаров'!$A$2:$I9525,3,0),"")</f>
        <v>дидактика</v>
      </c>
      <c r="D4508" s="22" t="s">
        <v>1319</v>
      </c>
      <c r="E4508" s="23"/>
      <c r="F4508" s="23"/>
      <c r="G4508" s="232">
        <v>12</v>
      </c>
      <c r="H4508" s="232"/>
      <c r="I4508" s="233"/>
      <c r="J4508" s="233"/>
      <c r="K4508" s="19"/>
      <c r="L4508" s="20"/>
      <c r="M4508" s="10"/>
      <c r="N4508" s="10"/>
      <c r="O4508" s="10"/>
      <c r="P4508" s="10"/>
      <c r="Q4508" s="10"/>
      <c r="R4508" s="10"/>
      <c r="S4508" s="10"/>
      <c r="T4508" s="10"/>
      <c r="U4508" s="10"/>
      <c r="V4508" s="10"/>
      <c r="W4508" s="10"/>
      <c r="X4508" s="10"/>
      <c r="Y4508" s="10"/>
      <c r="Z4508" s="10"/>
      <c r="AA4508" s="10"/>
      <c r="AB4508" s="10"/>
      <c r="AC4508" s="10"/>
      <c r="AD4508" s="10"/>
      <c r="AE4508" s="10"/>
      <c r="AF4508" s="10"/>
      <c r="AG4508" s="10"/>
      <c r="AH4508" s="10"/>
    </row>
    <row r="4509" spans="1:34" outlineLevel="2">
      <c r="A4509" s="21"/>
      <c r="B4509" s="12" t="str">
        <f>IFERROR(VLOOKUP(D4509,'[1]Перечень товаров'!$A$2:$I9525,2,0),"")</f>
        <v>д452</v>
      </c>
      <c r="C4509" s="12" t="str">
        <f>IFERROR(VLOOKUP(D4509,'[1]Перечень товаров'!$A$2:$I9525,3,0),"")</f>
        <v>дидактика</v>
      </c>
      <c r="D4509" s="22" t="s">
        <v>1320</v>
      </c>
      <c r="E4509" s="23"/>
      <c r="F4509" s="23"/>
      <c r="G4509" s="232">
        <v>1</v>
      </c>
      <c r="H4509" s="232"/>
      <c r="I4509" s="233"/>
      <c r="J4509" s="233"/>
      <c r="K4509" s="19"/>
      <c r="L4509" s="20"/>
      <c r="M4509" s="10"/>
      <c r="N4509" s="10"/>
      <c r="O4509" s="10"/>
      <c r="P4509" s="10"/>
      <c r="Q4509" s="10"/>
      <c r="R4509" s="10"/>
      <c r="S4509" s="10"/>
      <c r="T4509" s="10"/>
      <c r="U4509" s="10"/>
      <c r="V4509" s="10"/>
      <c r="W4509" s="10"/>
      <c r="X4509" s="10"/>
      <c r="Y4509" s="10"/>
      <c r="Z4509" s="10"/>
      <c r="AA4509" s="10"/>
      <c r="AB4509" s="10"/>
      <c r="AC4509" s="10"/>
      <c r="AD4509" s="10"/>
      <c r="AE4509" s="10"/>
      <c r="AF4509" s="10"/>
      <c r="AG4509" s="10"/>
      <c r="AH4509" s="10"/>
    </row>
    <row r="4510" spans="1:34" ht="31.5" outlineLevel="2">
      <c r="A4510" s="21"/>
      <c r="B4510" s="12" t="str">
        <f>IFERROR(VLOOKUP(D4510,'[1]Перечень товаров'!$A$2:$I9525,2,0),"")</f>
        <v>д451</v>
      </c>
      <c r="C4510" s="12" t="str">
        <f>IFERROR(VLOOKUP(D4510,'[1]Перечень товаров'!$A$2:$I9525,3,0),"")</f>
        <v>дидактика</v>
      </c>
      <c r="D4510" s="22" t="s">
        <v>1321</v>
      </c>
      <c r="E4510" s="23"/>
      <c r="F4510" s="23"/>
      <c r="G4510" s="232">
        <v>100</v>
      </c>
      <c r="H4510" s="232"/>
      <c r="I4510" s="233"/>
      <c r="J4510" s="233"/>
      <c r="K4510" s="19"/>
      <c r="L4510" s="20"/>
      <c r="M4510" s="10"/>
      <c r="N4510" s="10"/>
      <c r="O4510" s="10"/>
      <c r="P4510" s="10"/>
      <c r="Q4510" s="10"/>
      <c r="R4510" s="10"/>
      <c r="S4510" s="10"/>
      <c r="T4510" s="10"/>
      <c r="U4510" s="10"/>
      <c r="V4510" s="10"/>
      <c r="W4510" s="10"/>
      <c r="X4510" s="10"/>
      <c r="Y4510" s="10"/>
      <c r="Z4510" s="10"/>
      <c r="AA4510" s="10"/>
      <c r="AB4510" s="10"/>
      <c r="AC4510" s="10"/>
      <c r="AD4510" s="10"/>
      <c r="AE4510" s="10"/>
      <c r="AF4510" s="10"/>
      <c r="AG4510" s="10"/>
      <c r="AH4510" s="10"/>
    </row>
    <row r="4511" spans="1:34" ht="31.5" outlineLevel="2">
      <c r="A4511" s="21"/>
      <c r="B4511" s="12" t="str">
        <f>IFERROR(VLOOKUP(D4511,'[1]Перечень товаров'!$A$2:$I9525,2,0),"")</f>
        <v>д450</v>
      </c>
      <c r="C4511" s="12" t="str">
        <f>IFERROR(VLOOKUP(D4511,'[1]Перечень товаров'!$A$2:$I9525,3,0),"")</f>
        <v>дидактика</v>
      </c>
      <c r="D4511" s="22" t="s">
        <v>1322</v>
      </c>
      <c r="E4511" s="23"/>
      <c r="F4511" s="23"/>
      <c r="G4511" s="232">
        <v>100</v>
      </c>
      <c r="H4511" s="232"/>
      <c r="I4511" s="233"/>
      <c r="J4511" s="233"/>
      <c r="K4511" s="19"/>
      <c r="L4511" s="20"/>
      <c r="M4511" s="10"/>
      <c r="N4511" s="10"/>
      <c r="O4511" s="10"/>
      <c r="P4511" s="10"/>
      <c r="Q4511" s="10"/>
      <c r="R4511" s="10"/>
      <c r="S4511" s="10"/>
      <c r="T4511" s="10"/>
      <c r="U4511" s="10"/>
      <c r="V4511" s="10"/>
      <c r="W4511" s="10"/>
      <c r="X4511" s="10"/>
      <c r="Y4511" s="10"/>
      <c r="Z4511" s="10"/>
      <c r="AA4511" s="10"/>
      <c r="AB4511" s="10"/>
      <c r="AC4511" s="10"/>
      <c r="AD4511" s="10"/>
      <c r="AE4511" s="10"/>
      <c r="AF4511" s="10"/>
      <c r="AG4511" s="10"/>
      <c r="AH4511" s="10"/>
    </row>
    <row r="4512" spans="1:34" outlineLevel="2">
      <c r="A4512" s="21"/>
      <c r="B4512" s="12" t="str">
        <f>IFERROR(VLOOKUP(D4512,'[1]Перечень товаров'!$A$2:$I9525,2,0),"")</f>
        <v>д449</v>
      </c>
      <c r="C4512" s="12" t="str">
        <f>IFERROR(VLOOKUP(D4512,'[1]Перечень товаров'!$A$2:$I9525,3,0),"")</f>
        <v>дидактика</v>
      </c>
      <c r="D4512" s="22" t="s">
        <v>1323</v>
      </c>
      <c r="E4512" s="23"/>
      <c r="F4512" s="23"/>
      <c r="G4512" s="232">
        <v>12</v>
      </c>
      <c r="H4512" s="232"/>
      <c r="I4512" s="233"/>
      <c r="J4512" s="233"/>
      <c r="K4512" s="19"/>
      <c r="L4512" s="20"/>
      <c r="M4512" s="10"/>
      <c r="N4512" s="10"/>
      <c r="O4512" s="10"/>
      <c r="P4512" s="10"/>
      <c r="Q4512" s="10"/>
      <c r="R4512" s="10"/>
      <c r="S4512" s="10"/>
      <c r="T4512" s="10"/>
      <c r="U4512" s="10"/>
      <c r="V4512" s="10"/>
      <c r="W4512" s="10"/>
      <c r="X4512" s="10"/>
      <c r="Y4512" s="10"/>
      <c r="Z4512" s="10"/>
      <c r="AA4512" s="10"/>
      <c r="AB4512" s="10"/>
      <c r="AC4512" s="10"/>
      <c r="AD4512" s="10"/>
      <c r="AE4512" s="10"/>
      <c r="AF4512" s="10"/>
      <c r="AG4512" s="10"/>
      <c r="AH4512" s="10"/>
    </row>
    <row r="4513" spans="1:34" outlineLevel="2">
      <c r="A4513" s="21"/>
      <c r="B4513" s="12" t="str">
        <f>IFERROR(VLOOKUP(D4513,'[1]Перечень товаров'!$A$2:$I9525,2,0),"")</f>
        <v>д448</v>
      </c>
      <c r="C4513" s="12" t="str">
        <f>IFERROR(VLOOKUP(D4513,'[1]Перечень товаров'!$A$2:$I9525,3,0),"")</f>
        <v>дидактика</v>
      </c>
      <c r="D4513" s="22" t="s">
        <v>1324</v>
      </c>
      <c r="E4513" s="23"/>
      <c r="F4513" s="23"/>
      <c r="G4513" s="232">
        <v>60</v>
      </c>
      <c r="H4513" s="232"/>
      <c r="I4513" s="233"/>
      <c r="J4513" s="233"/>
      <c r="K4513" s="19"/>
      <c r="L4513" s="20"/>
      <c r="M4513" s="10"/>
      <c r="N4513" s="10"/>
      <c r="O4513" s="10"/>
      <c r="P4513" s="10"/>
      <c r="Q4513" s="10"/>
      <c r="R4513" s="10"/>
      <c r="S4513" s="10"/>
      <c r="T4513" s="10"/>
      <c r="U4513" s="10"/>
      <c r="V4513" s="10"/>
      <c r="W4513" s="10"/>
      <c r="X4513" s="10"/>
      <c r="Y4513" s="10"/>
      <c r="Z4513" s="10"/>
      <c r="AA4513" s="10"/>
      <c r="AB4513" s="10"/>
      <c r="AC4513" s="10"/>
      <c r="AD4513" s="10"/>
      <c r="AE4513" s="10"/>
      <c r="AF4513" s="10"/>
      <c r="AG4513" s="10"/>
      <c r="AH4513" s="10"/>
    </row>
    <row r="4514" spans="1:34" outlineLevel="2">
      <c r="A4514" s="21"/>
      <c r="B4514" s="12" t="str">
        <f>IFERROR(VLOOKUP(D4514,'[1]Перечень товаров'!$A$2:$I9525,2,0),"")</f>
        <v>д447</v>
      </c>
      <c r="C4514" s="12" t="str">
        <f>IFERROR(VLOOKUP(D4514,'[1]Перечень товаров'!$A$2:$I9525,3,0),"")</f>
        <v>дидактика</v>
      </c>
      <c r="D4514" s="22" t="s">
        <v>1325</v>
      </c>
      <c r="E4514" s="23"/>
      <c r="F4514" s="23"/>
      <c r="G4514" s="232">
        <v>12</v>
      </c>
      <c r="H4514" s="232"/>
      <c r="I4514" s="233"/>
      <c r="J4514" s="233"/>
      <c r="K4514" s="19"/>
      <c r="L4514" s="20"/>
      <c r="M4514" s="10"/>
      <c r="N4514" s="10"/>
      <c r="O4514" s="10"/>
      <c r="P4514" s="10"/>
      <c r="Q4514" s="10"/>
      <c r="R4514" s="10"/>
      <c r="S4514" s="10"/>
      <c r="T4514" s="10"/>
      <c r="U4514" s="10"/>
      <c r="V4514" s="10"/>
      <c r="W4514" s="10"/>
      <c r="X4514" s="10"/>
      <c r="Y4514" s="10"/>
      <c r="Z4514" s="10"/>
      <c r="AA4514" s="10"/>
      <c r="AB4514" s="10"/>
      <c r="AC4514" s="10"/>
      <c r="AD4514" s="10"/>
      <c r="AE4514" s="10"/>
      <c r="AF4514" s="10"/>
      <c r="AG4514" s="10"/>
      <c r="AH4514" s="10"/>
    </row>
    <row r="4515" spans="1:34" ht="12.75" outlineLevel="2">
      <c r="A4515" s="197"/>
      <c r="B4515" s="12" t="str">
        <f>IFERROR(VLOOKUP(D4515,'[1]Перечень товаров'!$A$2:$I9525,2,0),"")</f>
        <v/>
      </c>
      <c r="C4515" s="12" t="str">
        <f>IFERROR(VLOOKUP(D4515,'[1]Перечень товаров'!$A$2:$I9525,3,0),"")</f>
        <v/>
      </c>
      <c r="D4515" s="198" t="s">
        <v>1326</v>
      </c>
      <c r="E4515" s="15"/>
      <c r="F4515" s="15"/>
      <c r="G4515" s="234"/>
      <c r="H4515" s="234"/>
      <c r="I4515" s="235"/>
      <c r="J4515" s="235"/>
      <c r="K4515" s="19"/>
      <c r="L4515" s="20"/>
      <c r="M4515" s="10"/>
      <c r="N4515" s="10"/>
      <c r="O4515" s="10"/>
      <c r="P4515" s="10"/>
      <c r="Q4515" s="10"/>
      <c r="R4515" s="10"/>
      <c r="S4515" s="10"/>
      <c r="T4515" s="10"/>
      <c r="U4515" s="10"/>
      <c r="V4515" s="10"/>
      <c r="W4515" s="10"/>
      <c r="X4515" s="10"/>
      <c r="Y4515" s="10"/>
      <c r="Z4515" s="10"/>
      <c r="AA4515" s="10"/>
      <c r="AB4515" s="10"/>
      <c r="AC4515" s="10"/>
      <c r="AD4515" s="10"/>
      <c r="AE4515" s="10"/>
      <c r="AF4515" s="10"/>
      <c r="AG4515" s="10"/>
      <c r="AH4515" s="10"/>
    </row>
    <row r="4516" spans="1:34" outlineLevel="2">
      <c r="A4516" s="21"/>
      <c r="B4516" s="12" t="str">
        <f>IFERROR(VLOOKUP(D4516,'[1]Перечень товаров'!$A$2:$I9525,2,0),"")</f>
        <v>д446</v>
      </c>
      <c r="C4516" s="12" t="str">
        <f>IFERROR(VLOOKUP(D4516,'[1]Перечень товаров'!$A$2:$I9525,3,0),"")</f>
        <v>дидактика</v>
      </c>
      <c r="D4516" s="22" t="s">
        <v>1327</v>
      </c>
      <c r="E4516" s="23"/>
      <c r="F4516" s="23"/>
      <c r="G4516" s="232">
        <v>12</v>
      </c>
      <c r="H4516" s="232"/>
      <c r="I4516" s="233"/>
      <c r="J4516" s="233"/>
      <c r="K4516" s="19"/>
      <c r="L4516" s="20"/>
      <c r="M4516" s="10"/>
      <c r="N4516" s="10"/>
      <c r="O4516" s="10"/>
      <c r="P4516" s="10"/>
      <c r="Q4516" s="10"/>
      <c r="R4516" s="10"/>
      <c r="S4516" s="10"/>
      <c r="T4516" s="10"/>
      <c r="U4516" s="10"/>
      <c r="V4516" s="10"/>
      <c r="W4516" s="10"/>
      <c r="X4516" s="10"/>
      <c r="Y4516" s="10"/>
      <c r="Z4516" s="10"/>
      <c r="AA4516" s="10"/>
      <c r="AB4516" s="10"/>
      <c r="AC4516" s="10"/>
      <c r="AD4516" s="10"/>
      <c r="AE4516" s="10"/>
      <c r="AF4516" s="10"/>
      <c r="AG4516" s="10"/>
      <c r="AH4516" s="10"/>
    </row>
    <row r="4517" spans="1:34" ht="12.75" outlineLevel="2">
      <c r="A4517" s="197"/>
      <c r="B4517" s="12" t="str">
        <f>IFERROR(VLOOKUP(D4517,'[1]Перечень товаров'!$A$2:$I9525,2,0),"")</f>
        <v/>
      </c>
      <c r="C4517" s="12" t="str">
        <f>IFERROR(VLOOKUP(D4517,'[1]Перечень товаров'!$A$2:$I9525,3,0),"")</f>
        <v/>
      </c>
      <c r="D4517" s="198" t="s">
        <v>809</v>
      </c>
      <c r="E4517" s="15"/>
      <c r="F4517" s="15"/>
      <c r="G4517" s="234"/>
      <c r="H4517" s="234"/>
      <c r="I4517" s="235"/>
      <c r="J4517" s="235"/>
      <c r="K4517" s="19"/>
      <c r="L4517" s="20"/>
      <c r="M4517" s="10"/>
      <c r="N4517" s="10"/>
      <c r="O4517" s="10"/>
      <c r="P4517" s="10"/>
      <c r="Q4517" s="10"/>
      <c r="R4517" s="10"/>
      <c r="S4517" s="10"/>
      <c r="T4517" s="10"/>
      <c r="U4517" s="10"/>
      <c r="V4517" s="10"/>
      <c r="W4517" s="10"/>
      <c r="X4517" s="10"/>
      <c r="Y4517" s="10"/>
      <c r="Z4517" s="10"/>
      <c r="AA4517" s="10"/>
      <c r="AB4517" s="10"/>
      <c r="AC4517" s="10"/>
      <c r="AD4517" s="10"/>
      <c r="AE4517" s="10"/>
      <c r="AF4517" s="10"/>
      <c r="AG4517" s="10"/>
      <c r="AH4517" s="10"/>
    </row>
    <row r="4518" spans="1:34" ht="47.25" outlineLevel="2">
      <c r="A4518" s="34"/>
      <c r="B4518" s="12" t="str">
        <f>IFERROR(VLOOKUP(D4518,'[1]Перечень товаров'!$A$2:$I9525,2,0),"")</f>
        <v>д445</v>
      </c>
      <c r="C4518" s="12" t="str">
        <f>IFERROR(VLOOKUP(D4518,'[1]Перечень товаров'!$A$2:$I9525,3,0),"")</f>
        <v>дидактика</v>
      </c>
      <c r="D4518" s="35" t="s">
        <v>1328</v>
      </c>
      <c r="E4518" s="23"/>
      <c r="F4518" s="23"/>
      <c r="G4518" s="232">
        <v>1</v>
      </c>
      <c r="H4518" s="232"/>
      <c r="I4518" s="233"/>
      <c r="J4518" s="233"/>
      <c r="K4518" s="19"/>
      <c r="L4518" s="20"/>
      <c r="M4518" s="10"/>
      <c r="N4518" s="10"/>
      <c r="O4518" s="10"/>
      <c r="P4518" s="10"/>
      <c r="Q4518" s="10"/>
      <c r="R4518" s="10"/>
      <c r="S4518" s="10"/>
      <c r="T4518" s="10"/>
      <c r="U4518" s="10"/>
      <c r="V4518" s="10"/>
      <c r="W4518" s="10"/>
      <c r="X4518" s="10"/>
      <c r="Y4518" s="10"/>
      <c r="Z4518" s="10"/>
      <c r="AA4518" s="10"/>
      <c r="AB4518" s="10"/>
      <c r="AC4518" s="10"/>
      <c r="AD4518" s="10"/>
      <c r="AE4518" s="10"/>
      <c r="AF4518" s="10"/>
      <c r="AG4518" s="10"/>
      <c r="AH4518" s="10"/>
    </row>
    <row r="4519" spans="1:34" outlineLevel="2">
      <c r="A4519" s="34"/>
      <c r="B4519" s="12" t="str">
        <f>IFERROR(VLOOKUP(D4519,'[1]Перечень товаров'!$A$2:$I9525,2,0),"")</f>
        <v>д65</v>
      </c>
      <c r="C4519" s="12" t="str">
        <f>IFERROR(VLOOKUP(D4519,'[1]Перечень товаров'!$A$2:$I9525,3,0),"")</f>
        <v>Дидактика</v>
      </c>
      <c r="D4519" s="35" t="s">
        <v>811</v>
      </c>
      <c r="E4519" s="23"/>
      <c r="F4519" s="23"/>
      <c r="G4519" s="232">
        <v>1</v>
      </c>
      <c r="H4519" s="232"/>
      <c r="I4519" s="233"/>
      <c r="J4519" s="233"/>
      <c r="K4519" s="19"/>
      <c r="L4519" s="20"/>
      <c r="M4519" s="10"/>
      <c r="N4519" s="10"/>
      <c r="O4519" s="10"/>
      <c r="P4519" s="10"/>
      <c r="Q4519" s="10"/>
      <c r="R4519" s="10"/>
      <c r="S4519" s="10"/>
      <c r="T4519" s="10"/>
      <c r="U4519" s="10"/>
      <c r="V4519" s="10"/>
      <c r="W4519" s="10"/>
      <c r="X4519" s="10"/>
      <c r="Y4519" s="10"/>
      <c r="Z4519" s="10"/>
      <c r="AA4519" s="10"/>
      <c r="AB4519" s="10"/>
      <c r="AC4519" s="10"/>
      <c r="AD4519" s="10"/>
      <c r="AE4519" s="10"/>
      <c r="AF4519" s="10"/>
      <c r="AG4519" s="10"/>
      <c r="AH4519" s="10"/>
    </row>
    <row r="4520" spans="1:34" outlineLevel="2">
      <c r="A4520" s="34"/>
      <c r="B4520" s="12" t="str">
        <f>IFERROR(VLOOKUP(D4520,'[1]Перечень товаров'!$A$2:$I9525,2,0),"")</f>
        <v>д66</v>
      </c>
      <c r="C4520" s="12" t="str">
        <f>IFERROR(VLOOKUP(D4520,'[1]Перечень товаров'!$A$2:$I9525,3,0),"")</f>
        <v>Дидактика</v>
      </c>
      <c r="D4520" s="35" t="s">
        <v>812</v>
      </c>
      <c r="E4520" s="23"/>
      <c r="F4520" s="23"/>
      <c r="G4520" s="232">
        <v>1</v>
      </c>
      <c r="H4520" s="232"/>
      <c r="I4520" s="233"/>
      <c r="J4520" s="233"/>
      <c r="K4520" s="19"/>
      <c r="L4520" s="20"/>
      <c r="M4520" s="10"/>
      <c r="N4520" s="10"/>
      <c r="O4520" s="10"/>
      <c r="P4520" s="10"/>
      <c r="Q4520" s="10"/>
      <c r="R4520" s="10"/>
      <c r="S4520" s="10"/>
      <c r="T4520" s="10"/>
      <c r="U4520" s="10"/>
      <c r="V4520" s="10"/>
      <c r="W4520" s="10"/>
      <c r="X4520" s="10"/>
      <c r="Y4520" s="10"/>
      <c r="Z4520" s="10"/>
      <c r="AA4520" s="10"/>
      <c r="AB4520" s="10"/>
      <c r="AC4520" s="10"/>
      <c r="AD4520" s="10"/>
      <c r="AE4520" s="10"/>
      <c r="AF4520" s="10"/>
      <c r="AG4520" s="10"/>
      <c r="AH4520" s="10"/>
    </row>
    <row r="4521" spans="1:34" outlineLevel="2">
      <c r="A4521" s="34"/>
      <c r="B4521" s="12" t="str">
        <f>IFERROR(VLOOKUP(D4521,'[1]Перечень товаров'!$A$2:$I9525,2,0),"")</f>
        <v>д67</v>
      </c>
      <c r="C4521" s="12" t="str">
        <f>IFERROR(VLOOKUP(D4521,'[1]Перечень товаров'!$A$2:$I9525,3,0),"")</f>
        <v>Дидактика</v>
      </c>
      <c r="D4521" s="35" t="s">
        <v>813</v>
      </c>
      <c r="E4521" s="23"/>
      <c r="F4521" s="23"/>
      <c r="G4521" s="232">
        <v>1</v>
      </c>
      <c r="H4521" s="232"/>
      <c r="I4521" s="233"/>
      <c r="J4521" s="233"/>
      <c r="K4521" s="19"/>
      <c r="L4521" s="20"/>
      <c r="M4521" s="10"/>
      <c r="N4521" s="10"/>
      <c r="O4521" s="10"/>
      <c r="P4521" s="10"/>
      <c r="Q4521" s="10"/>
      <c r="R4521" s="10"/>
      <c r="S4521" s="10"/>
      <c r="T4521" s="10"/>
      <c r="U4521" s="10"/>
      <c r="V4521" s="10"/>
      <c r="W4521" s="10"/>
      <c r="X4521" s="10"/>
      <c r="Y4521" s="10"/>
      <c r="Z4521" s="10"/>
      <c r="AA4521" s="10"/>
      <c r="AB4521" s="10"/>
      <c r="AC4521" s="10"/>
      <c r="AD4521" s="10"/>
      <c r="AE4521" s="10"/>
      <c r="AF4521" s="10"/>
      <c r="AG4521" s="10"/>
      <c r="AH4521" s="10"/>
    </row>
    <row r="4522" spans="1:34" ht="31.5" outlineLevel="2">
      <c r="A4522" s="34"/>
      <c r="B4522" s="12" t="str">
        <f>IFERROR(VLOOKUP(D4522,'[1]Перечень товаров'!$A$2:$I9525,2,0),"")</f>
        <v>м145</v>
      </c>
      <c r="C4522" s="12" t="str">
        <f>IFERROR(VLOOKUP(D4522,'[1]Перечень товаров'!$A$2:$I9525,3,0),"")</f>
        <v>мебель</v>
      </c>
      <c r="D4522" s="35" t="s">
        <v>1329</v>
      </c>
      <c r="E4522" s="23"/>
      <c r="F4522" s="23"/>
      <c r="G4522" s="232">
        <v>1</v>
      </c>
      <c r="H4522" s="232"/>
      <c r="I4522" s="233"/>
      <c r="J4522" s="233"/>
      <c r="K4522" s="19"/>
      <c r="L4522" s="20"/>
      <c r="M4522" s="10"/>
      <c r="N4522" s="10"/>
      <c r="O4522" s="10"/>
      <c r="P4522" s="10"/>
      <c r="Q4522" s="10"/>
      <c r="R4522" s="10"/>
      <c r="S4522" s="10"/>
      <c r="T4522" s="10"/>
      <c r="U4522" s="10"/>
      <c r="V4522" s="10"/>
      <c r="W4522" s="10"/>
      <c r="X4522" s="10"/>
      <c r="Y4522" s="10"/>
      <c r="Z4522" s="10"/>
      <c r="AA4522" s="10"/>
      <c r="AB4522" s="10"/>
      <c r="AC4522" s="10"/>
      <c r="AD4522" s="10"/>
      <c r="AE4522" s="10"/>
      <c r="AF4522" s="10"/>
      <c r="AG4522" s="10"/>
      <c r="AH4522" s="10"/>
    </row>
    <row r="4523" spans="1:34" outlineLevel="2">
      <c r="A4523" s="34"/>
      <c r="B4523" s="12" t="str">
        <f>IFERROR(VLOOKUP(D4523,'[1]Перечень товаров'!$A$2:$I9525,2,0),"")</f>
        <v>п90</v>
      </c>
      <c r="C4523" s="12" t="str">
        <f>IFERROR(VLOOKUP(D4523,'[1]Перечень товаров'!$A$2:$I9525,3,0),"")</f>
        <v>Прочее</v>
      </c>
      <c r="D4523" s="35" t="s">
        <v>723</v>
      </c>
      <c r="E4523" s="23"/>
      <c r="F4523" s="23"/>
      <c r="G4523" s="232">
        <v>1</v>
      </c>
      <c r="H4523" s="232"/>
      <c r="I4523" s="233"/>
      <c r="J4523" s="233"/>
      <c r="K4523" s="19"/>
      <c r="L4523" s="20"/>
      <c r="M4523" s="10"/>
      <c r="N4523" s="10"/>
      <c r="O4523" s="10"/>
      <c r="P4523" s="10"/>
      <c r="Q4523" s="10"/>
      <c r="R4523" s="10"/>
      <c r="S4523" s="10"/>
      <c r="T4523" s="10"/>
      <c r="U4523" s="10"/>
      <c r="V4523" s="10"/>
      <c r="W4523" s="10"/>
      <c r="X4523" s="10"/>
      <c r="Y4523" s="10"/>
      <c r="Z4523" s="10"/>
      <c r="AA4523" s="10"/>
      <c r="AB4523" s="10"/>
      <c r="AC4523" s="10"/>
      <c r="AD4523" s="10"/>
      <c r="AE4523" s="10"/>
      <c r="AF4523" s="10"/>
      <c r="AG4523" s="10"/>
      <c r="AH4523" s="10"/>
    </row>
    <row r="4524" spans="1:34" outlineLevel="2">
      <c r="A4524" s="34"/>
      <c r="B4524" s="12" t="str">
        <f>IFERROR(VLOOKUP(D4524,'[1]Перечень товаров'!$A$2:$I9525,2,0),"")</f>
        <v>д444</v>
      </c>
      <c r="C4524" s="12" t="str">
        <f>IFERROR(VLOOKUP(D4524,'[1]Перечень товаров'!$A$2:$I9525,3,0),"")</f>
        <v>дидактика</v>
      </c>
      <c r="D4524" s="35" t="s">
        <v>1330</v>
      </c>
      <c r="E4524" s="23"/>
      <c r="F4524" s="23"/>
      <c r="G4524" s="232">
        <v>4</v>
      </c>
      <c r="H4524" s="232"/>
      <c r="I4524" s="233"/>
      <c r="J4524" s="233"/>
      <c r="K4524" s="19"/>
      <c r="L4524" s="20"/>
      <c r="M4524" s="10"/>
      <c r="N4524" s="10"/>
      <c r="O4524" s="10"/>
      <c r="P4524" s="10"/>
      <c r="Q4524" s="10"/>
      <c r="R4524" s="10"/>
      <c r="S4524" s="10"/>
      <c r="T4524" s="10"/>
      <c r="U4524" s="10"/>
      <c r="V4524" s="10"/>
      <c r="W4524" s="10"/>
      <c r="X4524" s="10"/>
      <c r="Y4524" s="10"/>
      <c r="Z4524" s="10"/>
      <c r="AA4524" s="10"/>
      <c r="AB4524" s="10"/>
      <c r="AC4524" s="10"/>
      <c r="AD4524" s="10"/>
      <c r="AE4524" s="10"/>
      <c r="AF4524" s="10"/>
      <c r="AG4524" s="10"/>
      <c r="AH4524" s="10"/>
    </row>
    <row r="4525" spans="1:34" outlineLevel="2">
      <c r="A4525" s="34"/>
      <c r="B4525" s="12" t="str">
        <f>IFERROR(VLOOKUP(D4525,'[1]Перечень товаров'!$A$2:$I9525,2,0),"")</f>
        <v>д68</v>
      </c>
      <c r="C4525" s="12" t="str">
        <f>IFERROR(VLOOKUP(D4525,'[1]Перечень товаров'!$A$2:$I9525,3,0),"")</f>
        <v>Дидактика</v>
      </c>
      <c r="D4525" s="35" t="s">
        <v>814</v>
      </c>
      <c r="E4525" s="23"/>
      <c r="F4525" s="23"/>
      <c r="G4525" s="232">
        <v>3</v>
      </c>
      <c r="H4525" s="232"/>
      <c r="I4525" s="233"/>
      <c r="J4525" s="233"/>
      <c r="K4525" s="19"/>
      <c r="L4525" s="20"/>
      <c r="M4525" s="10"/>
      <c r="N4525" s="10"/>
      <c r="O4525" s="10"/>
      <c r="P4525" s="10"/>
      <c r="Q4525" s="10"/>
      <c r="R4525" s="10"/>
      <c r="S4525" s="10"/>
      <c r="T4525" s="10"/>
      <c r="U4525" s="10"/>
      <c r="V4525" s="10"/>
      <c r="W4525" s="10"/>
      <c r="X4525" s="10"/>
      <c r="Y4525" s="10"/>
      <c r="Z4525" s="10"/>
      <c r="AA4525" s="10"/>
      <c r="AB4525" s="10"/>
      <c r="AC4525" s="10"/>
      <c r="AD4525" s="10"/>
      <c r="AE4525" s="10"/>
      <c r="AF4525" s="10"/>
      <c r="AG4525" s="10"/>
      <c r="AH4525" s="10"/>
    </row>
    <row r="4526" spans="1:34" outlineLevel="2">
      <c r="A4526" s="34"/>
      <c r="B4526" s="12" t="str">
        <f>IFERROR(VLOOKUP(D4526,'[1]Перечень товаров'!$A$2:$I9525,2,0),"")</f>
        <v>д69</v>
      </c>
      <c r="C4526" s="12" t="str">
        <f>IFERROR(VLOOKUP(D4526,'[1]Перечень товаров'!$A$2:$I9525,3,0),"")</f>
        <v>Дидактика</v>
      </c>
      <c r="D4526" s="35" t="s">
        <v>815</v>
      </c>
      <c r="E4526" s="23"/>
      <c r="F4526" s="23"/>
      <c r="G4526" s="232">
        <v>8</v>
      </c>
      <c r="H4526" s="232"/>
      <c r="I4526" s="233"/>
      <c r="J4526" s="233"/>
      <c r="K4526" s="19"/>
      <c r="L4526" s="20"/>
      <c r="M4526" s="10"/>
      <c r="N4526" s="10"/>
      <c r="O4526" s="10"/>
      <c r="P4526" s="10"/>
      <c r="Q4526" s="10"/>
      <c r="R4526" s="10"/>
      <c r="S4526" s="10"/>
      <c r="T4526" s="10"/>
      <c r="U4526" s="10"/>
      <c r="V4526" s="10"/>
      <c r="W4526" s="10"/>
      <c r="X4526" s="10"/>
      <c r="Y4526" s="10"/>
      <c r="Z4526" s="10"/>
      <c r="AA4526" s="10"/>
      <c r="AB4526" s="10"/>
      <c r="AC4526" s="10"/>
      <c r="AD4526" s="10"/>
      <c r="AE4526" s="10"/>
      <c r="AF4526" s="10"/>
      <c r="AG4526" s="10"/>
      <c r="AH4526" s="10"/>
    </row>
    <row r="4527" spans="1:34" outlineLevel="2">
      <c r="A4527" s="34"/>
      <c r="B4527" s="12" t="str">
        <f>IFERROR(VLOOKUP(D4527,'[1]Перечень товаров'!$A$2:$I9525,2,0),"")</f>
        <v>м144</v>
      </c>
      <c r="C4527" s="12" t="str">
        <f>IFERROR(VLOOKUP(D4527,'[1]Перечень товаров'!$A$2:$I9525,3,0),"")</f>
        <v>мебель</v>
      </c>
      <c r="D4527" s="35" t="s">
        <v>1331</v>
      </c>
      <c r="E4527" s="23"/>
      <c r="F4527" s="23"/>
      <c r="G4527" s="232">
        <v>12</v>
      </c>
      <c r="H4527" s="232"/>
      <c r="I4527" s="233"/>
      <c r="J4527" s="233"/>
      <c r="K4527" s="19"/>
      <c r="L4527" s="20"/>
      <c r="M4527" s="10"/>
      <c r="N4527" s="10"/>
      <c r="O4527" s="10"/>
      <c r="P4527" s="10"/>
      <c r="Q4527" s="10"/>
      <c r="R4527" s="10"/>
      <c r="S4527" s="10"/>
      <c r="T4527" s="10"/>
      <c r="U4527" s="10"/>
      <c r="V4527" s="10"/>
      <c r="W4527" s="10"/>
      <c r="X4527" s="10"/>
      <c r="Y4527" s="10"/>
      <c r="Z4527" s="10"/>
      <c r="AA4527" s="10"/>
      <c r="AB4527" s="10"/>
      <c r="AC4527" s="10"/>
      <c r="AD4527" s="10"/>
      <c r="AE4527" s="10"/>
      <c r="AF4527" s="10"/>
      <c r="AG4527" s="10"/>
      <c r="AH4527" s="10"/>
    </row>
    <row r="4528" spans="1:34" ht="12.75" outlineLevel="1">
      <c r="A4528" s="11"/>
      <c r="B4528" s="12" t="str">
        <f>IFERROR(VLOOKUP(D4528,'[1]Перечень товаров'!$A$2:$I9525,2,0),"")</f>
        <v/>
      </c>
      <c r="C4528" s="12" t="str">
        <f>IFERROR(VLOOKUP(D4528,'[1]Перечень товаров'!$A$2:$I9525,3,0),"")</f>
        <v/>
      </c>
      <c r="D4528" s="27" t="s">
        <v>1332</v>
      </c>
      <c r="E4528" s="14">
        <v>27.1</v>
      </c>
      <c r="F4528" s="14"/>
      <c r="G4528" s="17"/>
      <c r="H4528" s="17"/>
      <c r="I4528" s="57"/>
      <c r="J4528" s="57"/>
      <c r="K4528" s="19"/>
      <c r="L4528" s="20"/>
      <c r="M4528" s="10"/>
      <c r="N4528" s="10"/>
      <c r="O4528" s="10"/>
      <c r="P4528" s="10"/>
      <c r="Q4528" s="10"/>
      <c r="R4528" s="10"/>
      <c r="S4528" s="10"/>
      <c r="T4528" s="10"/>
      <c r="U4528" s="10"/>
      <c r="V4528" s="10"/>
      <c r="W4528" s="10"/>
      <c r="X4528" s="10"/>
      <c r="Y4528" s="10"/>
      <c r="Z4528" s="10"/>
      <c r="AA4528" s="10"/>
      <c r="AB4528" s="10"/>
      <c r="AC4528" s="10"/>
      <c r="AD4528" s="10"/>
      <c r="AE4528" s="10"/>
      <c r="AF4528" s="10"/>
      <c r="AG4528" s="10"/>
      <c r="AH4528" s="10"/>
    </row>
    <row r="4529" spans="1:34" ht="12.75" outlineLevel="2">
      <c r="A4529" s="197"/>
      <c r="B4529" s="12" t="str">
        <f>IFERROR(VLOOKUP(D4529,'[1]Перечень товаров'!$A$2:$I9525,2,0),"")</f>
        <v/>
      </c>
      <c r="C4529" s="12" t="str">
        <f>IFERROR(VLOOKUP(D4529,'[1]Перечень товаров'!$A$2:$I9525,3,0),"")</f>
        <v/>
      </c>
      <c r="D4529" s="198" t="s">
        <v>668</v>
      </c>
      <c r="E4529" s="15"/>
      <c r="F4529" s="15"/>
      <c r="G4529" s="17"/>
      <c r="H4529" s="17"/>
      <c r="I4529" s="57"/>
      <c r="J4529" s="57"/>
      <c r="K4529" s="19"/>
      <c r="L4529" s="20"/>
      <c r="M4529" s="10"/>
      <c r="N4529" s="10"/>
      <c r="O4529" s="10"/>
      <c r="P4529" s="10"/>
      <c r="Q4529" s="10"/>
      <c r="R4529" s="10"/>
      <c r="S4529" s="10"/>
      <c r="T4529" s="10"/>
      <c r="U4529" s="10"/>
      <c r="V4529" s="10"/>
      <c r="W4529" s="10"/>
      <c r="X4529" s="10"/>
      <c r="Y4529" s="10"/>
      <c r="Z4529" s="10"/>
      <c r="AA4529" s="10"/>
      <c r="AB4529" s="10"/>
      <c r="AC4529" s="10"/>
      <c r="AD4529" s="10"/>
      <c r="AE4529" s="10"/>
      <c r="AF4529" s="10"/>
      <c r="AG4529" s="10"/>
      <c r="AH4529" s="10"/>
    </row>
    <row r="4530" spans="1:34" outlineLevel="2">
      <c r="A4530" s="34"/>
      <c r="B4530" s="12" t="str">
        <f>IFERROR(VLOOKUP(D4530,'[1]Перечень товаров'!$A$2:$I9525,2,0),"")</f>
        <v>т1</v>
      </c>
      <c r="C4530" s="12" t="str">
        <f>IFERROR(VLOOKUP(D4530,'[1]Перечень товаров'!$A$2:$I9525,3,0),"")</f>
        <v xml:space="preserve">Техника </v>
      </c>
      <c r="D4530" s="22" t="s">
        <v>28</v>
      </c>
      <c r="E4530" s="23"/>
      <c r="F4530" s="23"/>
      <c r="G4530" s="232">
        <v>1</v>
      </c>
      <c r="H4530" s="232"/>
      <c r="I4530" s="233"/>
      <c r="J4530" s="233"/>
      <c r="K4530" s="19"/>
      <c r="L4530" s="20"/>
      <c r="M4530" s="10"/>
      <c r="N4530" s="10"/>
      <c r="O4530" s="10"/>
      <c r="P4530" s="10"/>
      <c r="Q4530" s="10"/>
      <c r="R4530" s="10"/>
      <c r="S4530" s="10"/>
      <c r="T4530" s="10"/>
      <c r="U4530" s="10"/>
      <c r="V4530" s="10"/>
      <c r="W4530" s="10"/>
      <c r="X4530" s="10"/>
      <c r="Y4530" s="10"/>
      <c r="Z4530" s="10"/>
      <c r="AA4530" s="10"/>
      <c r="AB4530" s="10"/>
      <c r="AC4530" s="10"/>
      <c r="AD4530" s="10"/>
      <c r="AE4530" s="10"/>
      <c r="AF4530" s="10"/>
      <c r="AG4530" s="10"/>
      <c r="AH4530" s="10"/>
    </row>
    <row r="4531" spans="1:34" outlineLevel="2">
      <c r="A4531" s="34"/>
      <c r="B4531" s="12" t="str">
        <f>IFERROR(VLOOKUP(D4531,'[1]Перечень товаров'!$A$2:$I9525,2,0),"")</f>
        <v>т235</v>
      </c>
      <c r="C4531" s="12" t="str">
        <f>IFERROR(VLOOKUP(D4531,'[1]Перечень товаров'!$A$2:$I9525,3,0),"")</f>
        <v>Техника</v>
      </c>
      <c r="D4531" s="35" t="s">
        <v>742</v>
      </c>
      <c r="E4531" s="23"/>
      <c r="F4531" s="23"/>
      <c r="G4531" s="232">
        <v>1</v>
      </c>
      <c r="H4531" s="232"/>
      <c r="I4531" s="233"/>
      <c r="J4531" s="233"/>
      <c r="K4531" s="19"/>
      <c r="L4531" s="20"/>
      <c r="M4531" s="10"/>
      <c r="N4531" s="10"/>
      <c r="O4531" s="10"/>
      <c r="P4531" s="10"/>
      <c r="Q4531" s="10"/>
      <c r="R4531" s="10"/>
      <c r="S4531" s="10"/>
      <c r="T4531" s="10"/>
      <c r="U4531" s="10"/>
      <c r="V4531" s="10"/>
      <c r="W4531" s="10"/>
      <c r="X4531" s="10"/>
      <c r="Y4531" s="10"/>
      <c r="Z4531" s="10"/>
      <c r="AA4531" s="10"/>
      <c r="AB4531" s="10"/>
      <c r="AC4531" s="10"/>
      <c r="AD4531" s="10"/>
      <c r="AE4531" s="10"/>
      <c r="AF4531" s="10"/>
      <c r="AG4531" s="10"/>
      <c r="AH4531" s="10"/>
    </row>
    <row r="4532" spans="1:34" outlineLevel="2">
      <c r="A4532" s="34"/>
      <c r="B4532" s="12" t="str">
        <f>IFERROR(VLOOKUP(D4532,'[1]Перечень товаров'!$A$2:$I9525,2,0),"")</f>
        <v>т8</v>
      </c>
      <c r="C4532" s="12" t="str">
        <f>IFERROR(VLOOKUP(D4532,'[1]Перечень товаров'!$A$2:$I9525,3,0),"")</f>
        <v xml:space="preserve">Техника </v>
      </c>
      <c r="D4532" s="35" t="s">
        <v>35</v>
      </c>
      <c r="E4532" s="23"/>
      <c r="F4532" s="23"/>
      <c r="G4532" s="232">
        <v>1</v>
      </c>
      <c r="H4532" s="232"/>
      <c r="I4532" s="233"/>
      <c r="J4532" s="233"/>
      <c r="K4532" s="19"/>
      <c r="L4532" s="20"/>
      <c r="M4532" s="10"/>
      <c r="N4532" s="10"/>
      <c r="O4532" s="10"/>
      <c r="P4532" s="10"/>
      <c r="Q4532" s="10"/>
      <c r="R4532" s="10"/>
      <c r="S4532" s="10"/>
      <c r="T4532" s="10"/>
      <c r="U4532" s="10"/>
      <c r="V4532" s="10"/>
      <c r="W4532" s="10"/>
      <c r="X4532" s="10"/>
      <c r="Y4532" s="10"/>
      <c r="Z4532" s="10"/>
      <c r="AA4532" s="10"/>
      <c r="AB4532" s="10"/>
      <c r="AC4532" s="10"/>
      <c r="AD4532" s="10"/>
      <c r="AE4532" s="10"/>
      <c r="AF4532" s="10"/>
      <c r="AG4532" s="10"/>
      <c r="AH4532" s="10"/>
    </row>
    <row r="4533" spans="1:34" outlineLevel="2">
      <c r="A4533" s="34"/>
      <c r="B4533" s="12" t="str">
        <f>IFERROR(VLOOKUP(D4533,'[1]Перечень товаров'!$A$2:$I9525,2,0),"")</f>
        <v>т239</v>
      </c>
      <c r="C4533" s="12" t="str">
        <f>IFERROR(VLOOKUP(D4533,'[1]Перечень товаров'!$A$2:$I9525,3,0),"")</f>
        <v>Техника</v>
      </c>
      <c r="D4533" s="35" t="s">
        <v>847</v>
      </c>
      <c r="E4533" s="23"/>
      <c r="F4533" s="23"/>
      <c r="G4533" s="232">
        <v>1</v>
      </c>
      <c r="H4533" s="232"/>
      <c r="I4533" s="233"/>
      <c r="J4533" s="233"/>
      <c r="K4533" s="19"/>
      <c r="L4533" s="20"/>
      <c r="M4533" s="10"/>
      <c r="N4533" s="10"/>
      <c r="O4533" s="10"/>
      <c r="P4533" s="10"/>
      <c r="Q4533" s="10"/>
      <c r="R4533" s="10"/>
      <c r="S4533" s="10"/>
      <c r="T4533" s="10"/>
      <c r="U4533" s="10"/>
      <c r="V4533" s="10"/>
      <c r="W4533" s="10"/>
      <c r="X4533" s="10"/>
      <c r="Y4533" s="10"/>
      <c r="Z4533" s="10"/>
      <c r="AA4533" s="10"/>
      <c r="AB4533" s="10"/>
      <c r="AC4533" s="10"/>
      <c r="AD4533" s="10"/>
      <c r="AE4533" s="10"/>
      <c r="AF4533" s="10"/>
      <c r="AG4533" s="10"/>
      <c r="AH4533" s="10"/>
    </row>
    <row r="4534" spans="1:34" outlineLevel="2">
      <c r="A4534" s="34"/>
      <c r="B4534" s="12" t="str">
        <f>IFERROR(VLOOKUP(D4534,'[1]Перечень товаров'!$A$2:$I9525,2,0),"")</f>
        <v>т240</v>
      </c>
      <c r="C4534" s="12" t="str">
        <f>IFERROR(VLOOKUP(D4534,'[1]Перечень товаров'!$A$2:$I9525,3,0),"")</f>
        <v>Техника</v>
      </c>
      <c r="D4534" s="35" t="s">
        <v>848</v>
      </c>
      <c r="E4534" s="23"/>
      <c r="F4534" s="23"/>
      <c r="G4534" s="232">
        <v>1</v>
      </c>
      <c r="H4534" s="232"/>
      <c r="I4534" s="233"/>
      <c r="J4534" s="233"/>
      <c r="K4534" s="19"/>
      <c r="L4534" s="20"/>
      <c r="M4534" s="10"/>
      <c r="N4534" s="10"/>
      <c r="O4534" s="10"/>
      <c r="P4534" s="10"/>
      <c r="Q4534" s="10"/>
      <c r="R4534" s="10"/>
      <c r="S4534" s="10"/>
      <c r="T4534" s="10"/>
      <c r="U4534" s="10"/>
      <c r="V4534" s="10"/>
      <c r="W4534" s="10"/>
      <c r="X4534" s="10"/>
      <c r="Y4534" s="10"/>
      <c r="Z4534" s="10"/>
      <c r="AA4534" s="10"/>
      <c r="AB4534" s="10"/>
      <c r="AC4534" s="10"/>
      <c r="AD4534" s="10"/>
      <c r="AE4534" s="10"/>
      <c r="AF4534" s="10"/>
      <c r="AG4534" s="10"/>
      <c r="AH4534" s="10"/>
    </row>
    <row r="4535" spans="1:34" outlineLevel="2">
      <c r="A4535" s="34"/>
      <c r="B4535" s="12" t="str">
        <f>IFERROR(VLOOKUP(D4535,'[1]Перечень товаров'!$A$2:$I9525,2,0),"")</f>
        <v>т4</v>
      </c>
      <c r="C4535" s="12" t="str">
        <f>IFERROR(VLOOKUP(D4535,'[1]Перечень товаров'!$A$2:$I9525,3,0),"")</f>
        <v xml:space="preserve">Техника </v>
      </c>
      <c r="D4535" s="35" t="s">
        <v>31</v>
      </c>
      <c r="E4535" s="23"/>
      <c r="F4535" s="23"/>
      <c r="G4535" s="232">
        <v>1</v>
      </c>
      <c r="H4535" s="232"/>
      <c r="I4535" s="233"/>
      <c r="J4535" s="233"/>
      <c r="K4535" s="19"/>
      <c r="L4535" s="20"/>
      <c r="M4535" s="10"/>
      <c r="N4535" s="10"/>
      <c r="O4535" s="10"/>
      <c r="P4535" s="10"/>
      <c r="Q4535" s="10"/>
      <c r="R4535" s="10"/>
      <c r="S4535" s="10"/>
      <c r="T4535" s="10"/>
      <c r="U4535" s="10"/>
      <c r="V4535" s="10"/>
      <c r="W4535" s="10"/>
      <c r="X4535" s="10"/>
      <c r="Y4535" s="10"/>
      <c r="Z4535" s="10"/>
      <c r="AA4535" s="10"/>
      <c r="AB4535" s="10"/>
      <c r="AC4535" s="10"/>
      <c r="AD4535" s="10"/>
      <c r="AE4535" s="10"/>
      <c r="AF4535" s="10"/>
      <c r="AG4535" s="10"/>
      <c r="AH4535" s="10"/>
    </row>
    <row r="4536" spans="1:34" outlineLevel="2">
      <c r="A4536" s="34"/>
      <c r="B4536" s="12" t="str">
        <f>IFERROR(VLOOKUP(D4536,'[1]Перечень товаров'!$A$2:$I9525,2,0),"")</f>
        <v>т236</v>
      </c>
      <c r="C4536" s="12" t="str">
        <f>IFERROR(VLOOKUP(D4536,'[1]Перечень товаров'!$A$2:$I9525,3,0),"")</f>
        <v>Техника</v>
      </c>
      <c r="D4536" s="35" t="s">
        <v>743</v>
      </c>
      <c r="E4536" s="23"/>
      <c r="F4536" s="23"/>
      <c r="G4536" s="232">
        <v>1</v>
      </c>
      <c r="H4536" s="232"/>
      <c r="I4536" s="233"/>
      <c r="J4536" s="233"/>
      <c r="K4536" s="19"/>
      <c r="L4536" s="20"/>
      <c r="M4536" s="10"/>
      <c r="N4536" s="10"/>
      <c r="O4536" s="10"/>
      <c r="P4536" s="10"/>
      <c r="Q4536" s="10"/>
      <c r="R4536" s="10"/>
      <c r="S4536" s="10"/>
      <c r="T4536" s="10"/>
      <c r="U4536" s="10"/>
      <c r="V4536" s="10"/>
      <c r="W4536" s="10"/>
      <c r="X4536" s="10"/>
      <c r="Y4536" s="10"/>
      <c r="Z4536" s="10"/>
      <c r="AA4536" s="10"/>
      <c r="AB4536" s="10"/>
      <c r="AC4536" s="10"/>
      <c r="AD4536" s="10"/>
      <c r="AE4536" s="10"/>
      <c r="AF4536" s="10"/>
      <c r="AG4536" s="10"/>
      <c r="AH4536" s="10"/>
    </row>
    <row r="4537" spans="1:34" outlineLevel="2">
      <c r="A4537" s="34"/>
      <c r="B4537" s="12" t="str">
        <f>IFERROR(VLOOKUP(D4537,'[1]Перечень товаров'!$A$2:$I9525,2,0),"")</f>
        <v>т237</v>
      </c>
      <c r="C4537" s="12" t="str">
        <f>IFERROR(VLOOKUP(D4537,'[1]Перечень товаров'!$A$2:$I9525,3,0),"")</f>
        <v>Техника</v>
      </c>
      <c r="D4537" s="35" t="s">
        <v>744</v>
      </c>
      <c r="E4537" s="23"/>
      <c r="F4537" s="23"/>
      <c r="G4537" s="232">
        <v>2</v>
      </c>
      <c r="H4537" s="232"/>
      <c r="I4537" s="233"/>
      <c r="J4537" s="233"/>
      <c r="K4537" s="19"/>
      <c r="L4537" s="20"/>
      <c r="M4537" s="10"/>
      <c r="N4537" s="10"/>
      <c r="O4537" s="10"/>
      <c r="P4537" s="10"/>
      <c r="Q4537" s="10"/>
      <c r="R4537" s="10"/>
      <c r="S4537" s="10"/>
      <c r="T4537" s="10"/>
      <c r="U4537" s="10"/>
      <c r="V4537" s="10"/>
      <c r="W4537" s="10"/>
      <c r="X4537" s="10"/>
      <c r="Y4537" s="10"/>
      <c r="Z4537" s="10"/>
      <c r="AA4537" s="10"/>
      <c r="AB4537" s="10"/>
      <c r="AC4537" s="10"/>
      <c r="AD4537" s="10"/>
      <c r="AE4537" s="10"/>
      <c r="AF4537" s="10"/>
      <c r="AG4537" s="10"/>
      <c r="AH4537" s="10"/>
    </row>
    <row r="4538" spans="1:34" ht="12.75" outlineLevel="2">
      <c r="A4538" s="197"/>
      <c r="B4538" s="12" t="str">
        <f>IFERROR(VLOOKUP(D4538,'[1]Перечень товаров'!$A$2:$I9525,2,0),"")</f>
        <v/>
      </c>
      <c r="C4538" s="12" t="str">
        <f>IFERROR(VLOOKUP(D4538,'[1]Перечень товаров'!$A$2:$I9525,3,0),"")</f>
        <v/>
      </c>
      <c r="D4538" s="198" t="s">
        <v>19</v>
      </c>
      <c r="E4538" s="15"/>
      <c r="F4538" s="15"/>
      <c r="G4538" s="234"/>
      <c r="H4538" s="234"/>
      <c r="I4538" s="235"/>
      <c r="J4538" s="235"/>
      <c r="K4538" s="19"/>
      <c r="L4538" s="20"/>
      <c r="M4538" s="10"/>
      <c r="N4538" s="10"/>
      <c r="O4538" s="10"/>
      <c r="P4538" s="10"/>
      <c r="Q4538" s="10"/>
      <c r="R4538" s="10"/>
      <c r="S4538" s="10"/>
      <c r="T4538" s="10"/>
      <c r="U4538" s="10"/>
      <c r="V4538" s="10"/>
      <c r="W4538" s="10"/>
      <c r="X4538" s="10"/>
      <c r="Y4538" s="10"/>
      <c r="Z4538" s="10"/>
      <c r="AA4538" s="10"/>
      <c r="AB4538" s="10"/>
      <c r="AC4538" s="10"/>
      <c r="AD4538" s="10"/>
      <c r="AE4538" s="10"/>
      <c r="AF4538" s="10"/>
      <c r="AG4538" s="10"/>
      <c r="AH4538" s="10"/>
    </row>
    <row r="4539" spans="1:34" outlineLevel="2">
      <c r="A4539" s="34"/>
      <c r="B4539" s="12" t="str">
        <f>IFERROR(VLOOKUP(D4539,'[1]Перечень товаров'!$A$2:$I9525,2,0),"")</f>
        <v>м62</v>
      </c>
      <c r="C4539" s="12" t="str">
        <f>IFERROR(VLOOKUP(D4539,'[1]Перечень товаров'!$A$2:$I9525,3,0),"")</f>
        <v>Мебель</v>
      </c>
      <c r="D4539" s="35" t="s">
        <v>398</v>
      </c>
      <c r="E4539" s="23"/>
      <c r="F4539" s="23"/>
      <c r="G4539" s="232">
        <v>1</v>
      </c>
      <c r="H4539" s="232"/>
      <c r="I4539" s="233"/>
      <c r="J4539" s="233"/>
      <c r="K4539" s="19"/>
      <c r="L4539" s="20"/>
      <c r="M4539" s="10"/>
      <c r="N4539" s="10"/>
      <c r="O4539" s="10"/>
      <c r="P4539" s="10"/>
      <c r="Q4539" s="10"/>
      <c r="R4539" s="10"/>
      <c r="S4539" s="10"/>
      <c r="T4539" s="10"/>
      <c r="U4539" s="10"/>
      <c r="V4539" s="10"/>
      <c r="W4539" s="10"/>
      <c r="X4539" s="10"/>
      <c r="Y4539" s="10"/>
      <c r="Z4539" s="10"/>
      <c r="AA4539" s="10"/>
      <c r="AB4539" s="10"/>
      <c r="AC4539" s="10"/>
      <c r="AD4539" s="10"/>
      <c r="AE4539" s="10"/>
      <c r="AF4539" s="10"/>
      <c r="AG4539" s="10"/>
      <c r="AH4539" s="10"/>
    </row>
    <row r="4540" spans="1:34" outlineLevel="2">
      <c r="A4540" s="34"/>
      <c r="B4540" s="12" t="str">
        <f>IFERROR(VLOOKUP(D4540,'[1]Перечень товаров'!$A$2:$I9525,2,0),"")</f>
        <v>м61</v>
      </c>
      <c r="C4540" s="12" t="str">
        <f>IFERROR(VLOOKUP(D4540,'[1]Перечень товаров'!$A$2:$I9525,3,0),"")</f>
        <v>Мебель</v>
      </c>
      <c r="D4540" s="35" t="s">
        <v>383</v>
      </c>
      <c r="E4540" s="23"/>
      <c r="F4540" s="23"/>
      <c r="G4540" s="232">
        <v>1</v>
      </c>
      <c r="H4540" s="232"/>
      <c r="I4540" s="233"/>
      <c r="J4540" s="233"/>
      <c r="K4540" s="19"/>
      <c r="L4540" s="20"/>
      <c r="M4540" s="10"/>
      <c r="N4540" s="10"/>
      <c r="O4540" s="10"/>
      <c r="P4540" s="10"/>
      <c r="Q4540" s="10"/>
      <c r="R4540" s="10"/>
      <c r="S4540" s="10"/>
      <c r="T4540" s="10"/>
      <c r="U4540" s="10"/>
      <c r="V4540" s="10"/>
      <c r="W4540" s="10"/>
      <c r="X4540" s="10"/>
      <c r="Y4540" s="10"/>
      <c r="Z4540" s="10"/>
      <c r="AA4540" s="10"/>
      <c r="AB4540" s="10"/>
      <c r="AC4540" s="10"/>
      <c r="AD4540" s="10"/>
      <c r="AE4540" s="10"/>
      <c r="AF4540" s="10"/>
      <c r="AG4540" s="10"/>
      <c r="AH4540" s="10"/>
    </row>
    <row r="4541" spans="1:34" outlineLevel="2">
      <c r="A4541" s="34"/>
      <c r="B4541" s="12" t="str">
        <f>IFERROR(VLOOKUP(D4541,'[1]Перечень товаров'!$A$2:$I9525,2,0),"")</f>
        <v>м19</v>
      </c>
      <c r="C4541" s="12" t="str">
        <f>IFERROR(VLOOKUP(D4541,'[1]Перечень товаров'!$A$2:$I9525,3,0),"")</f>
        <v>Мебель</v>
      </c>
      <c r="D4541" s="35" t="s">
        <v>53</v>
      </c>
      <c r="E4541" s="23"/>
      <c r="F4541" s="23"/>
      <c r="G4541" s="232">
        <v>1</v>
      </c>
      <c r="H4541" s="232"/>
      <c r="I4541" s="233"/>
      <c r="J4541" s="233"/>
      <c r="K4541" s="19"/>
      <c r="L4541" s="20"/>
      <c r="M4541" s="10"/>
      <c r="N4541" s="10"/>
      <c r="O4541" s="10"/>
      <c r="P4541" s="10"/>
      <c r="Q4541" s="10"/>
      <c r="R4541" s="10"/>
      <c r="S4541" s="10"/>
      <c r="T4541" s="10"/>
      <c r="U4541" s="10"/>
      <c r="V4541" s="10"/>
      <c r="W4541" s="10"/>
      <c r="X4541" s="10"/>
      <c r="Y4541" s="10"/>
      <c r="Z4541" s="10"/>
      <c r="AA4541" s="10"/>
      <c r="AB4541" s="10"/>
      <c r="AC4541" s="10"/>
      <c r="AD4541" s="10"/>
      <c r="AE4541" s="10"/>
      <c r="AF4541" s="10"/>
      <c r="AG4541" s="10"/>
      <c r="AH4541" s="10"/>
    </row>
    <row r="4542" spans="1:34" ht="31.5" outlineLevel="2">
      <c r="A4542" s="34"/>
      <c r="B4542" s="12" t="str">
        <f>IFERROR(VLOOKUP(D4542,'[1]Перечень товаров'!$A$2:$I9525,2,0),"")</f>
        <v>м211</v>
      </c>
      <c r="C4542" s="12" t="str">
        <f>IFERROR(VLOOKUP(D4542,'[1]Перечень товаров'!$A$2:$I9525,3,0),"")</f>
        <v>Мебель</v>
      </c>
      <c r="D4542" s="35" t="s">
        <v>849</v>
      </c>
      <c r="E4542" s="23"/>
      <c r="F4542" s="23"/>
      <c r="G4542" s="232">
        <v>1</v>
      </c>
      <c r="H4542" s="232"/>
      <c r="I4542" s="233"/>
      <c r="J4542" s="233"/>
      <c r="K4542" s="19"/>
      <c r="L4542" s="20"/>
      <c r="M4542" s="10"/>
      <c r="N4542" s="10"/>
      <c r="O4542" s="10"/>
      <c r="P4542" s="10"/>
      <c r="Q4542" s="10"/>
      <c r="R4542" s="10"/>
      <c r="S4542" s="10"/>
      <c r="T4542" s="10"/>
      <c r="U4542" s="10"/>
      <c r="V4542" s="10"/>
      <c r="W4542" s="10"/>
      <c r="X4542" s="10"/>
      <c r="Y4542" s="10"/>
      <c r="Z4542" s="10"/>
      <c r="AA4542" s="10"/>
      <c r="AB4542" s="10"/>
      <c r="AC4542" s="10"/>
      <c r="AD4542" s="10"/>
      <c r="AE4542" s="10"/>
      <c r="AF4542" s="10"/>
      <c r="AG4542" s="10"/>
      <c r="AH4542" s="10"/>
    </row>
    <row r="4543" spans="1:34" outlineLevel="2">
      <c r="A4543" s="34"/>
      <c r="B4543" s="12" t="str">
        <f>IFERROR(VLOOKUP(D4543,'[1]Перечень товаров'!$A$2:$I9525,2,0),"")</f>
        <v>м212</v>
      </c>
      <c r="C4543" s="12" t="str">
        <f>IFERROR(VLOOKUP(D4543,'[1]Перечень товаров'!$A$2:$I9525,3,0),"")</f>
        <v>Мебель</v>
      </c>
      <c r="D4543" s="35" t="s">
        <v>850</v>
      </c>
      <c r="E4543" s="23"/>
      <c r="F4543" s="23"/>
      <c r="G4543" s="232">
        <v>1</v>
      </c>
      <c r="H4543" s="232"/>
      <c r="I4543" s="233"/>
      <c r="J4543" s="233"/>
      <c r="K4543" s="19"/>
      <c r="L4543" s="20"/>
      <c r="M4543" s="10"/>
      <c r="N4543" s="10"/>
      <c r="O4543" s="10"/>
      <c r="P4543" s="10"/>
      <c r="Q4543" s="10"/>
      <c r="R4543" s="10"/>
      <c r="S4543" s="10"/>
      <c r="T4543" s="10"/>
      <c r="U4543" s="10"/>
      <c r="V4543" s="10"/>
      <c r="W4543" s="10"/>
      <c r="X4543" s="10"/>
      <c r="Y4543" s="10"/>
      <c r="Z4543" s="10"/>
      <c r="AA4543" s="10"/>
      <c r="AB4543" s="10"/>
      <c r="AC4543" s="10"/>
      <c r="AD4543" s="10"/>
      <c r="AE4543" s="10"/>
      <c r="AF4543" s="10"/>
      <c r="AG4543" s="10"/>
      <c r="AH4543" s="10"/>
    </row>
    <row r="4544" spans="1:34" outlineLevel="2">
      <c r="A4544" s="34"/>
      <c r="B4544" s="12" t="str">
        <f>IFERROR(VLOOKUP(D4544,'[1]Перечень товаров'!$A$2:$I9525,2,0),"")</f>
        <v>м143</v>
      </c>
      <c r="C4544" s="12" t="str">
        <f>IFERROR(VLOOKUP(D4544,'[1]Перечень товаров'!$A$2:$I9525,3,0),"")</f>
        <v>мебель</v>
      </c>
      <c r="D4544" s="35" t="s">
        <v>1333</v>
      </c>
      <c r="E4544" s="23"/>
      <c r="F4544" s="23"/>
      <c r="G4544" s="232">
        <v>1</v>
      </c>
      <c r="H4544" s="232"/>
      <c r="I4544" s="233"/>
      <c r="J4544" s="233"/>
      <c r="K4544" s="19"/>
      <c r="L4544" s="20"/>
      <c r="M4544" s="10"/>
      <c r="N4544" s="10"/>
      <c r="O4544" s="10"/>
      <c r="P4544" s="10"/>
      <c r="Q4544" s="10"/>
      <c r="R4544" s="10"/>
      <c r="S4544" s="10"/>
      <c r="T4544" s="10"/>
      <c r="U4544" s="10"/>
      <c r="V4544" s="10"/>
      <c r="W4544" s="10"/>
      <c r="X4544" s="10"/>
      <c r="Y4544" s="10"/>
      <c r="Z4544" s="10"/>
      <c r="AA4544" s="10"/>
      <c r="AB4544" s="10"/>
      <c r="AC4544" s="10"/>
      <c r="AD4544" s="10"/>
      <c r="AE4544" s="10"/>
      <c r="AF4544" s="10"/>
      <c r="AG4544" s="10"/>
      <c r="AH4544" s="10"/>
    </row>
    <row r="4545" spans="1:34" outlineLevel="2">
      <c r="A4545" s="34"/>
      <c r="B4545" s="12" t="str">
        <f>IFERROR(VLOOKUP(D4545,'[1]Перечень товаров'!$A$2:$I9525,2,0),"")</f>
        <v>м142</v>
      </c>
      <c r="C4545" s="12" t="str">
        <f>IFERROR(VLOOKUP(D4545,'[1]Перечень товаров'!$A$2:$I9525,3,0),"")</f>
        <v>мебель</v>
      </c>
      <c r="D4545" s="35" t="s">
        <v>1334</v>
      </c>
      <c r="E4545" s="23"/>
      <c r="F4545" s="23"/>
      <c r="G4545" s="232">
        <v>2</v>
      </c>
      <c r="H4545" s="232"/>
      <c r="I4545" s="233"/>
      <c r="J4545" s="233"/>
      <c r="K4545" s="19"/>
      <c r="L4545" s="20"/>
      <c r="M4545" s="10"/>
      <c r="N4545" s="10"/>
      <c r="O4545" s="10"/>
      <c r="P4545" s="10"/>
      <c r="Q4545" s="10"/>
      <c r="R4545" s="10"/>
      <c r="S4545" s="10"/>
      <c r="T4545" s="10"/>
      <c r="U4545" s="10"/>
      <c r="V4545" s="10"/>
      <c r="W4545" s="10"/>
      <c r="X4545" s="10"/>
      <c r="Y4545" s="10"/>
      <c r="Z4545" s="10"/>
      <c r="AA4545" s="10"/>
      <c r="AB4545" s="10"/>
      <c r="AC4545" s="10"/>
      <c r="AD4545" s="10"/>
      <c r="AE4545" s="10"/>
      <c r="AF4545" s="10"/>
      <c r="AG4545" s="10"/>
      <c r="AH4545" s="10"/>
    </row>
    <row r="4546" spans="1:34" outlineLevel="2">
      <c r="A4546" s="34"/>
      <c r="B4546" s="12" t="str">
        <f>IFERROR(VLOOKUP(D4546,'[1]Перечень товаров'!$A$2:$I9525,2,0),"")</f>
        <v>м215</v>
      </c>
      <c r="C4546" s="12" t="str">
        <f>IFERROR(VLOOKUP(D4546,'[1]Перечень товаров'!$A$2:$I9525,3,0),"")</f>
        <v>Мебель</v>
      </c>
      <c r="D4546" s="35" t="s">
        <v>853</v>
      </c>
      <c r="E4546" s="23"/>
      <c r="F4546" s="23"/>
      <c r="G4546" s="232">
        <v>2</v>
      </c>
      <c r="H4546" s="232"/>
      <c r="I4546" s="233"/>
      <c r="J4546" s="233"/>
      <c r="K4546" s="19"/>
      <c r="L4546" s="20"/>
      <c r="M4546" s="10"/>
      <c r="N4546" s="10"/>
      <c r="O4546" s="10"/>
      <c r="P4546" s="10"/>
      <c r="Q4546" s="10"/>
      <c r="R4546" s="10"/>
      <c r="S4546" s="10"/>
      <c r="T4546" s="10"/>
      <c r="U4546" s="10"/>
      <c r="V4546" s="10"/>
      <c r="W4546" s="10"/>
      <c r="X4546" s="10"/>
      <c r="Y4546" s="10"/>
      <c r="Z4546" s="10"/>
      <c r="AA4546" s="10"/>
      <c r="AB4546" s="10"/>
      <c r="AC4546" s="10"/>
      <c r="AD4546" s="10"/>
      <c r="AE4546" s="10"/>
      <c r="AF4546" s="10"/>
      <c r="AG4546" s="10"/>
      <c r="AH4546" s="10"/>
    </row>
    <row r="4547" spans="1:34" outlineLevel="2">
      <c r="A4547" s="34"/>
      <c r="B4547" s="12" t="str">
        <f>IFERROR(VLOOKUP(D4547,'[1]Перечень товаров'!$A$2:$I9525,2,0),"")</f>
        <v>м216</v>
      </c>
      <c r="C4547" s="12" t="str">
        <f>IFERROR(VLOOKUP(D4547,'[1]Перечень товаров'!$A$2:$I9525,3,0),"")</f>
        <v>Мебель</v>
      </c>
      <c r="D4547" s="35" t="s">
        <v>854</v>
      </c>
      <c r="E4547" s="23"/>
      <c r="F4547" s="23"/>
      <c r="G4547" s="232">
        <v>1</v>
      </c>
      <c r="H4547" s="232"/>
      <c r="I4547" s="233"/>
      <c r="J4547" s="233"/>
      <c r="K4547" s="19"/>
      <c r="L4547" s="20"/>
      <c r="M4547" s="10"/>
      <c r="N4547" s="10"/>
      <c r="O4547" s="10"/>
      <c r="P4547" s="10"/>
      <c r="Q4547" s="10"/>
      <c r="R4547" s="10"/>
      <c r="S4547" s="10"/>
      <c r="T4547" s="10"/>
      <c r="U4547" s="10"/>
      <c r="V4547" s="10"/>
      <c r="W4547" s="10"/>
      <c r="X4547" s="10"/>
      <c r="Y4547" s="10"/>
      <c r="Z4547" s="10"/>
      <c r="AA4547" s="10"/>
      <c r="AB4547" s="10"/>
      <c r="AC4547" s="10"/>
      <c r="AD4547" s="10"/>
      <c r="AE4547" s="10"/>
      <c r="AF4547" s="10"/>
      <c r="AG4547" s="10"/>
      <c r="AH4547" s="10"/>
    </row>
    <row r="4548" spans="1:34" outlineLevel="2">
      <c r="A4548" s="34"/>
      <c r="B4548" s="12" t="str">
        <f>IFERROR(VLOOKUP(D4548,'[1]Перечень товаров'!$A$2:$I9525,2,0),"")</f>
        <v>п97</v>
      </c>
      <c r="C4548" s="12" t="str">
        <f>IFERROR(VLOOKUP(D4548,'[1]Перечень товаров'!$A$2:$I9525,3,0),"")</f>
        <v>Прочее</v>
      </c>
      <c r="D4548" s="35" t="s">
        <v>856</v>
      </c>
      <c r="E4548" s="23"/>
      <c r="F4548" s="23"/>
      <c r="G4548" s="232">
        <v>1</v>
      </c>
      <c r="H4548" s="232"/>
      <c r="I4548" s="233"/>
      <c r="J4548" s="233"/>
      <c r="K4548" s="19"/>
      <c r="L4548" s="20"/>
      <c r="M4548" s="10"/>
      <c r="N4548" s="10"/>
      <c r="O4548" s="10"/>
      <c r="P4548" s="10"/>
      <c r="Q4548" s="10"/>
      <c r="R4548" s="10"/>
      <c r="S4548" s="10"/>
      <c r="T4548" s="10"/>
      <c r="U4548" s="10"/>
      <c r="V4548" s="10"/>
      <c r="W4548" s="10"/>
      <c r="X4548" s="10"/>
      <c r="Y4548" s="10"/>
      <c r="Z4548" s="10"/>
      <c r="AA4548" s="10"/>
      <c r="AB4548" s="10"/>
      <c r="AC4548" s="10"/>
      <c r="AD4548" s="10"/>
      <c r="AE4548" s="10"/>
      <c r="AF4548" s="10"/>
      <c r="AG4548" s="10"/>
      <c r="AH4548" s="10"/>
    </row>
    <row r="4549" spans="1:34" ht="12.75" outlineLevel="2">
      <c r="A4549" s="197"/>
      <c r="B4549" s="12" t="str">
        <f>IFERROR(VLOOKUP(D4549,'[1]Перечень товаров'!$A$2:$I9525,2,0),"")</f>
        <v/>
      </c>
      <c r="C4549" s="12" t="str">
        <f>IFERROR(VLOOKUP(D4549,'[1]Перечень товаров'!$A$2:$I9525,3,0),"")</f>
        <v/>
      </c>
      <c r="D4549" s="198" t="s">
        <v>857</v>
      </c>
      <c r="E4549" s="15"/>
      <c r="F4549" s="15"/>
      <c r="G4549" s="238"/>
      <c r="H4549" s="238"/>
      <c r="I4549" s="239"/>
      <c r="J4549" s="239"/>
      <c r="K4549" s="19"/>
      <c r="L4549" s="20"/>
      <c r="M4549" s="10"/>
      <c r="N4549" s="10"/>
      <c r="O4549" s="10"/>
      <c r="P4549" s="10"/>
      <c r="Q4549" s="10"/>
      <c r="R4549" s="10"/>
      <c r="S4549" s="10"/>
      <c r="T4549" s="10"/>
      <c r="U4549" s="10"/>
      <c r="V4549" s="10"/>
      <c r="W4549" s="10"/>
      <c r="X4549" s="10"/>
      <c r="Y4549" s="10"/>
      <c r="Z4549" s="10"/>
      <c r="AA4549" s="10"/>
      <c r="AB4549" s="10"/>
      <c r="AC4549" s="10"/>
      <c r="AD4549" s="10"/>
      <c r="AE4549" s="10"/>
      <c r="AF4549" s="10"/>
      <c r="AG4549" s="10"/>
      <c r="AH4549" s="10"/>
    </row>
    <row r="4550" spans="1:34" ht="31.5" outlineLevel="2">
      <c r="A4550" s="21"/>
      <c r="B4550" s="12" t="str">
        <f>IFERROR(VLOOKUP(D4550,'[1]Перечень товаров'!$A$2:$I9525,2,0),"")</f>
        <v>д71</v>
      </c>
      <c r="C4550" s="12" t="str">
        <f>IFERROR(VLOOKUP(D4550,'[1]Перечень товаров'!$A$2:$I9525,3,0),"")</f>
        <v>Дидактика</v>
      </c>
      <c r="D4550" s="22" t="s">
        <v>858</v>
      </c>
      <c r="E4550" s="23"/>
      <c r="F4550" s="23"/>
      <c r="G4550" s="48">
        <v>4</v>
      </c>
      <c r="H4550" s="48"/>
      <c r="I4550" s="49"/>
      <c r="J4550" s="49"/>
      <c r="K4550" s="19"/>
      <c r="L4550" s="20"/>
      <c r="M4550" s="10"/>
      <c r="N4550" s="10"/>
      <c r="O4550" s="10"/>
      <c r="P4550" s="10"/>
      <c r="Q4550" s="10"/>
      <c r="R4550" s="10"/>
      <c r="S4550" s="10"/>
      <c r="T4550" s="10"/>
      <c r="U4550" s="10"/>
      <c r="V4550" s="10"/>
      <c r="W4550" s="10"/>
      <c r="X4550" s="10"/>
      <c r="Y4550" s="10"/>
      <c r="Z4550" s="10"/>
      <c r="AA4550" s="10"/>
      <c r="AB4550" s="10"/>
      <c r="AC4550" s="10"/>
      <c r="AD4550" s="10"/>
      <c r="AE4550" s="10"/>
      <c r="AF4550" s="10"/>
      <c r="AG4550" s="10"/>
      <c r="AH4550" s="10"/>
    </row>
    <row r="4551" spans="1:34" ht="31.5" outlineLevel="2">
      <c r="A4551" s="21"/>
      <c r="B4551" s="12" t="str">
        <f>IFERROR(VLOOKUP(D4551,'[1]Перечень товаров'!$A$2:$I9525,2,0),"")</f>
        <v>д72</v>
      </c>
      <c r="C4551" s="12" t="str">
        <f>IFERROR(VLOOKUP(D4551,'[1]Перечень товаров'!$A$2:$I9525,3,0),"")</f>
        <v>Дидактика</v>
      </c>
      <c r="D4551" s="22" t="s">
        <v>859</v>
      </c>
      <c r="E4551" s="23"/>
      <c r="F4551" s="23"/>
      <c r="G4551" s="48">
        <v>4</v>
      </c>
      <c r="H4551" s="48"/>
      <c r="I4551" s="49"/>
      <c r="J4551" s="49"/>
      <c r="K4551" s="19"/>
      <c r="L4551" s="20"/>
      <c r="M4551" s="10"/>
      <c r="N4551" s="10"/>
      <c r="O4551" s="10"/>
      <c r="P4551" s="10"/>
      <c r="Q4551" s="10"/>
      <c r="R4551" s="10"/>
      <c r="S4551" s="10"/>
      <c r="T4551" s="10"/>
      <c r="U4551" s="10"/>
      <c r="V4551" s="10"/>
      <c r="W4551" s="10"/>
      <c r="X4551" s="10"/>
      <c r="Y4551" s="10"/>
      <c r="Z4551" s="10"/>
      <c r="AA4551" s="10"/>
      <c r="AB4551" s="10"/>
      <c r="AC4551" s="10"/>
      <c r="AD4551" s="10"/>
      <c r="AE4551" s="10"/>
      <c r="AF4551" s="10"/>
      <c r="AG4551" s="10"/>
      <c r="AH4551" s="10"/>
    </row>
    <row r="4552" spans="1:34" ht="31.5" outlineLevel="2">
      <c r="A4552" s="21"/>
      <c r="B4552" s="12" t="str">
        <f>IFERROR(VLOOKUP(D4552,'[1]Перечень товаров'!$A$2:$I9525,2,0),"")</f>
        <v>д73</v>
      </c>
      <c r="C4552" s="12" t="str">
        <f>IFERROR(VLOOKUP(D4552,'[1]Перечень товаров'!$A$2:$I9525,3,0),"")</f>
        <v>Дидактика</v>
      </c>
      <c r="D4552" s="22" t="s">
        <v>860</v>
      </c>
      <c r="E4552" s="23"/>
      <c r="F4552" s="23"/>
      <c r="G4552" s="48">
        <v>4</v>
      </c>
      <c r="H4552" s="48"/>
      <c r="I4552" s="49"/>
      <c r="J4552" s="49"/>
      <c r="K4552" s="19"/>
      <c r="L4552" s="20"/>
      <c r="M4552" s="10"/>
      <c r="N4552" s="10"/>
      <c r="O4552" s="10"/>
      <c r="P4552" s="10"/>
      <c r="Q4552" s="10"/>
      <c r="R4552" s="10"/>
      <c r="S4552" s="10"/>
      <c r="T4552" s="10"/>
      <c r="U4552" s="10"/>
      <c r="V4552" s="10"/>
      <c r="W4552" s="10"/>
      <c r="X4552" s="10"/>
      <c r="Y4552" s="10"/>
      <c r="Z4552" s="10"/>
      <c r="AA4552" s="10"/>
      <c r="AB4552" s="10"/>
      <c r="AC4552" s="10"/>
      <c r="AD4552" s="10"/>
      <c r="AE4552" s="10"/>
      <c r="AF4552" s="10"/>
      <c r="AG4552" s="10"/>
      <c r="AH4552" s="10"/>
    </row>
    <row r="4553" spans="1:34" ht="31.5" outlineLevel="2">
      <c r="A4553" s="21"/>
      <c r="B4553" s="12" t="str">
        <f>IFERROR(VLOOKUP(D4553,'[1]Перечень товаров'!$A$2:$I9525,2,0),"")</f>
        <v>д74</v>
      </c>
      <c r="C4553" s="12" t="str">
        <f>IFERROR(VLOOKUP(D4553,'[1]Перечень товаров'!$A$2:$I9525,3,0),"")</f>
        <v>Дидактика</v>
      </c>
      <c r="D4553" s="22" t="s">
        <v>861</v>
      </c>
      <c r="E4553" s="23"/>
      <c r="F4553" s="23"/>
      <c r="G4553" s="48">
        <v>4</v>
      </c>
      <c r="H4553" s="48"/>
      <c r="I4553" s="49"/>
      <c r="J4553" s="49"/>
      <c r="K4553" s="19"/>
      <c r="L4553" s="20"/>
      <c r="M4553" s="10"/>
      <c r="N4553" s="10"/>
      <c r="O4553" s="10"/>
      <c r="P4553" s="10"/>
      <c r="Q4553" s="10"/>
      <c r="R4553" s="10"/>
      <c r="S4553" s="10"/>
      <c r="T4553" s="10"/>
      <c r="U4553" s="10"/>
      <c r="V4553" s="10"/>
      <c r="W4553" s="10"/>
      <c r="X4553" s="10"/>
      <c r="Y4553" s="10"/>
      <c r="Z4553" s="10"/>
      <c r="AA4553" s="10"/>
      <c r="AB4553" s="10"/>
      <c r="AC4553" s="10"/>
      <c r="AD4553" s="10"/>
      <c r="AE4553" s="10"/>
      <c r="AF4553" s="10"/>
      <c r="AG4553" s="10"/>
      <c r="AH4553" s="10"/>
    </row>
    <row r="4554" spans="1:34" ht="47.25" outlineLevel="2">
      <c r="A4554" s="21"/>
      <c r="B4554" s="12" t="str">
        <f>IFERROR(VLOOKUP(D4554,'[1]Перечень товаров'!$A$2:$I9525,2,0),"")</f>
        <v>д75</v>
      </c>
      <c r="C4554" s="12" t="str">
        <f>IFERROR(VLOOKUP(D4554,'[1]Перечень товаров'!$A$2:$I9525,3,0),"")</f>
        <v>Дидактика</v>
      </c>
      <c r="D4554" s="22" t="s">
        <v>862</v>
      </c>
      <c r="E4554" s="23"/>
      <c r="F4554" s="23"/>
      <c r="G4554" s="48">
        <v>1</v>
      </c>
      <c r="H4554" s="48"/>
      <c r="I4554" s="49"/>
      <c r="J4554" s="49"/>
      <c r="K4554" s="19"/>
      <c r="L4554" s="20"/>
      <c r="M4554" s="10"/>
      <c r="N4554" s="10"/>
      <c r="O4554" s="10"/>
      <c r="P4554" s="10"/>
      <c r="Q4554" s="10"/>
      <c r="R4554" s="10"/>
      <c r="S4554" s="10"/>
      <c r="T4554" s="10"/>
      <c r="U4554" s="10"/>
      <c r="V4554" s="10"/>
      <c r="W4554" s="10"/>
      <c r="X4554" s="10"/>
      <c r="Y4554" s="10"/>
      <c r="Z4554" s="10"/>
      <c r="AA4554" s="10"/>
      <c r="AB4554" s="10"/>
      <c r="AC4554" s="10"/>
      <c r="AD4554" s="10"/>
      <c r="AE4554" s="10"/>
      <c r="AF4554" s="10"/>
      <c r="AG4554" s="10"/>
      <c r="AH4554" s="10"/>
    </row>
    <row r="4555" spans="1:34" outlineLevel="2">
      <c r="A4555" s="21"/>
      <c r="B4555" s="12" t="str">
        <f>IFERROR(VLOOKUP(D4555,'[1]Перечень товаров'!$A$2:$I9525,2,0),"")</f>
        <v>д76</v>
      </c>
      <c r="C4555" s="12" t="str">
        <f>IFERROR(VLOOKUP(D4555,'[1]Перечень товаров'!$A$2:$I9525,3,0),"")</f>
        <v>Дидактика</v>
      </c>
      <c r="D4555" s="22" t="s">
        <v>864</v>
      </c>
      <c r="E4555" s="23"/>
      <c r="F4555" s="23"/>
      <c r="G4555" s="48">
        <v>1</v>
      </c>
      <c r="H4555" s="48"/>
      <c r="I4555" s="49"/>
      <c r="J4555" s="49"/>
      <c r="K4555" s="19"/>
      <c r="L4555" s="20"/>
      <c r="M4555" s="10"/>
      <c r="N4555" s="10"/>
      <c r="O4555" s="10"/>
      <c r="P4555" s="10"/>
      <c r="Q4555" s="10"/>
      <c r="R4555" s="10"/>
      <c r="S4555" s="10"/>
      <c r="T4555" s="10"/>
      <c r="U4555" s="10"/>
      <c r="V4555" s="10"/>
      <c r="W4555" s="10"/>
      <c r="X4555" s="10"/>
      <c r="Y4555" s="10"/>
      <c r="Z4555" s="10"/>
      <c r="AA4555" s="10"/>
      <c r="AB4555" s="10"/>
      <c r="AC4555" s="10"/>
      <c r="AD4555" s="10"/>
      <c r="AE4555" s="10"/>
      <c r="AF4555" s="10"/>
      <c r="AG4555" s="10"/>
      <c r="AH4555" s="10"/>
    </row>
    <row r="4556" spans="1:34" outlineLevel="2">
      <c r="A4556" s="21"/>
      <c r="B4556" s="12" t="str">
        <f>IFERROR(VLOOKUP(D4556,'[1]Перечень товаров'!$A$2:$I9525,2,0),"")</f>
        <v>д443</v>
      </c>
      <c r="C4556" s="12" t="str">
        <f>IFERROR(VLOOKUP(D4556,'[1]Перечень товаров'!$A$2:$I9525,3,0),"")</f>
        <v>дидактика</v>
      </c>
      <c r="D4556" s="22" t="s">
        <v>1335</v>
      </c>
      <c r="E4556" s="23"/>
      <c r="F4556" s="23"/>
      <c r="G4556" s="48">
        <v>1</v>
      </c>
      <c r="H4556" s="48"/>
      <c r="I4556" s="49"/>
      <c r="J4556" s="49"/>
      <c r="K4556" s="19"/>
      <c r="L4556" s="20"/>
      <c r="M4556" s="10"/>
      <c r="N4556" s="10"/>
      <c r="O4556" s="10"/>
      <c r="P4556" s="10"/>
      <c r="Q4556" s="10"/>
      <c r="R4556" s="10"/>
      <c r="S4556" s="10"/>
      <c r="T4556" s="10"/>
      <c r="U4556" s="10"/>
      <c r="V4556" s="10"/>
      <c r="W4556" s="10"/>
      <c r="X4556" s="10"/>
      <c r="Y4556" s="10"/>
      <c r="Z4556" s="10"/>
      <c r="AA4556" s="10"/>
      <c r="AB4556" s="10"/>
      <c r="AC4556" s="10"/>
      <c r="AD4556" s="10"/>
      <c r="AE4556" s="10"/>
      <c r="AF4556" s="10"/>
      <c r="AG4556" s="10"/>
      <c r="AH4556" s="10"/>
    </row>
    <row r="4557" spans="1:34" ht="31.5" outlineLevel="2">
      <c r="A4557" s="21"/>
      <c r="B4557" s="12" t="str">
        <f>IFERROR(VLOOKUP(D4557,'[1]Перечень товаров'!$A$2:$I9525,2,0),"")</f>
        <v>т239</v>
      </c>
      <c r="C4557" s="12" t="str">
        <f>IFERROR(VLOOKUP(D4557,'[1]Перечень товаров'!$A$2:$I9525,3,0),"")</f>
        <v>Техника</v>
      </c>
      <c r="D4557" s="22" t="s">
        <v>865</v>
      </c>
      <c r="E4557" s="23"/>
      <c r="F4557" s="23"/>
      <c r="G4557" s="24">
        <v>1</v>
      </c>
      <c r="H4557" s="24"/>
      <c r="I4557" s="25"/>
      <c r="J4557" s="25"/>
      <c r="K4557" s="19"/>
      <c r="L4557" s="20"/>
      <c r="M4557" s="10"/>
      <c r="N4557" s="10"/>
      <c r="O4557" s="10"/>
      <c r="P4557" s="10"/>
      <c r="Q4557" s="10"/>
      <c r="R4557" s="10"/>
      <c r="S4557" s="10"/>
      <c r="T4557" s="10"/>
      <c r="U4557" s="10"/>
      <c r="V4557" s="10"/>
      <c r="W4557" s="10"/>
      <c r="X4557" s="10"/>
      <c r="Y4557" s="10"/>
      <c r="Z4557" s="10"/>
      <c r="AA4557" s="10"/>
      <c r="AB4557" s="10"/>
      <c r="AC4557" s="10"/>
      <c r="AD4557" s="10"/>
      <c r="AE4557" s="10"/>
      <c r="AF4557" s="10"/>
      <c r="AG4557" s="10"/>
      <c r="AH4557" s="10"/>
    </row>
    <row r="4558" spans="1:34" ht="31.5" outlineLevel="2">
      <c r="A4558" s="21"/>
      <c r="B4558" s="12" t="str">
        <f>IFERROR(VLOOKUP(D4558,'[1]Перечень товаров'!$A$2:$I9525,2,0),"")</f>
        <v>т240</v>
      </c>
      <c r="C4558" s="12" t="str">
        <f>IFERROR(VLOOKUP(D4558,'[1]Перечень товаров'!$A$2:$I9525,3,0),"")</f>
        <v>Техника</v>
      </c>
      <c r="D4558" s="22" t="s">
        <v>866</v>
      </c>
      <c r="E4558" s="23"/>
      <c r="F4558" s="23"/>
      <c r="G4558" s="24">
        <v>2</v>
      </c>
      <c r="H4558" s="24"/>
      <c r="I4558" s="25"/>
      <c r="J4558" s="25"/>
      <c r="K4558" s="19"/>
      <c r="L4558" s="20"/>
      <c r="M4558" s="10"/>
      <c r="N4558" s="10"/>
      <c r="O4558" s="10"/>
      <c r="P4558" s="10"/>
      <c r="Q4558" s="10"/>
      <c r="R4558" s="10"/>
      <c r="S4558" s="10"/>
      <c r="T4558" s="10"/>
      <c r="U4558" s="10"/>
      <c r="V4558" s="10"/>
      <c r="W4558" s="10"/>
      <c r="X4558" s="10"/>
      <c r="Y4558" s="10"/>
      <c r="Z4558" s="10"/>
      <c r="AA4558" s="10"/>
      <c r="AB4558" s="10"/>
      <c r="AC4558" s="10"/>
      <c r="AD4558" s="10"/>
      <c r="AE4558" s="10"/>
      <c r="AF4558" s="10"/>
      <c r="AG4558" s="10"/>
      <c r="AH4558" s="10"/>
    </row>
    <row r="4559" spans="1:34" outlineLevel="2">
      <c r="A4559" s="21"/>
      <c r="B4559" s="12" t="str">
        <f>IFERROR(VLOOKUP(D4559,'[1]Перечень товаров'!$A$2:$I9525,2,0),"")</f>
        <v>м217</v>
      </c>
      <c r="C4559" s="12" t="str">
        <f>IFERROR(VLOOKUP(D4559,'[1]Перечень товаров'!$A$2:$I9525,3,0),"")</f>
        <v>Мебель</v>
      </c>
      <c r="D4559" s="22" t="s">
        <v>867</v>
      </c>
      <c r="E4559" s="23"/>
      <c r="F4559" s="23"/>
      <c r="G4559" s="24">
        <v>1</v>
      </c>
      <c r="H4559" s="24"/>
      <c r="I4559" s="25"/>
      <c r="J4559" s="25"/>
      <c r="K4559" s="19"/>
      <c r="L4559" s="20"/>
      <c r="M4559" s="10"/>
      <c r="N4559" s="10"/>
      <c r="O4559" s="10"/>
      <c r="P4559" s="10"/>
      <c r="Q4559" s="10"/>
      <c r="R4559" s="10"/>
      <c r="S4559" s="10"/>
      <c r="T4559" s="10"/>
      <c r="U4559" s="10"/>
      <c r="V4559" s="10"/>
      <c r="W4559" s="10"/>
      <c r="X4559" s="10"/>
      <c r="Y4559" s="10"/>
      <c r="Z4559" s="10"/>
      <c r="AA4559" s="10"/>
      <c r="AB4559" s="10"/>
      <c r="AC4559" s="10"/>
      <c r="AD4559" s="10"/>
      <c r="AE4559" s="10"/>
      <c r="AF4559" s="10"/>
      <c r="AG4559" s="10"/>
      <c r="AH4559" s="10"/>
    </row>
    <row r="4560" spans="1:34" ht="12.75" outlineLevel="1">
      <c r="A4560" s="11"/>
      <c r="B4560" s="12" t="str">
        <f>IFERROR(VLOOKUP(D4560,'[1]Перечень товаров'!$A$2:$I9525,2,0),"")</f>
        <v/>
      </c>
      <c r="C4560" s="12" t="str">
        <f>IFERROR(VLOOKUP(D4560,'[1]Перечень товаров'!$A$2:$I9525,3,0),"")</f>
        <v/>
      </c>
      <c r="D4560" s="27" t="s">
        <v>1336</v>
      </c>
      <c r="E4560" s="14">
        <v>26.4</v>
      </c>
      <c r="F4560" s="14"/>
      <c r="G4560" s="17"/>
      <c r="H4560" s="17"/>
      <c r="I4560" s="57"/>
      <c r="J4560" s="57"/>
      <c r="K4560" s="19"/>
      <c r="L4560" s="20"/>
      <c r="M4560" s="10"/>
      <c r="N4560" s="10"/>
      <c r="O4560" s="10"/>
      <c r="P4560" s="10"/>
      <c r="Q4560" s="10"/>
      <c r="R4560" s="10"/>
      <c r="S4560" s="10"/>
      <c r="T4560" s="10"/>
      <c r="U4560" s="10"/>
      <c r="V4560" s="10"/>
      <c r="W4560" s="10"/>
      <c r="X4560" s="10"/>
      <c r="Y4560" s="10"/>
      <c r="Z4560" s="10"/>
      <c r="AA4560" s="10"/>
      <c r="AB4560" s="10"/>
      <c r="AC4560" s="10"/>
      <c r="AD4560" s="10"/>
      <c r="AE4560" s="10"/>
      <c r="AF4560" s="10"/>
      <c r="AG4560" s="10"/>
      <c r="AH4560" s="10"/>
    </row>
    <row r="4561" spans="1:34" ht="12.75" outlineLevel="2">
      <c r="A4561" s="197"/>
      <c r="B4561" s="12" t="str">
        <f>IFERROR(VLOOKUP(D4561,'[1]Перечень товаров'!$A$2:$I9525,2,0),"")</f>
        <v/>
      </c>
      <c r="C4561" s="12" t="str">
        <f>IFERROR(VLOOKUP(D4561,'[1]Перечень товаров'!$A$2:$I9525,3,0),"")</f>
        <v/>
      </c>
      <c r="D4561" s="198" t="s">
        <v>668</v>
      </c>
      <c r="E4561" s="15"/>
      <c r="F4561" s="15"/>
      <c r="G4561" s="17"/>
      <c r="H4561" s="17"/>
      <c r="I4561" s="57"/>
      <c r="J4561" s="57"/>
      <c r="K4561" s="19"/>
      <c r="L4561" s="20"/>
      <c r="M4561" s="10"/>
      <c r="N4561" s="10"/>
      <c r="O4561" s="10"/>
      <c r="P4561" s="10"/>
      <c r="Q4561" s="10"/>
      <c r="R4561" s="10"/>
      <c r="S4561" s="10"/>
      <c r="T4561" s="10"/>
      <c r="U4561" s="10"/>
      <c r="V4561" s="10"/>
      <c r="W4561" s="10"/>
      <c r="X4561" s="10"/>
      <c r="Y4561" s="10"/>
      <c r="Z4561" s="10"/>
      <c r="AA4561" s="10"/>
      <c r="AB4561" s="10"/>
      <c r="AC4561" s="10"/>
      <c r="AD4561" s="10"/>
      <c r="AE4561" s="10"/>
      <c r="AF4561" s="10"/>
      <c r="AG4561" s="10"/>
      <c r="AH4561" s="10"/>
    </row>
    <row r="4562" spans="1:34" outlineLevel="2">
      <c r="A4562" s="34"/>
      <c r="B4562" s="12" t="str">
        <f>IFERROR(VLOOKUP(D4562,'[1]Перечень товаров'!$A$2:$I9525,2,0),"")</f>
        <v>т1</v>
      </c>
      <c r="C4562" s="12" t="str">
        <f>IFERROR(VLOOKUP(D4562,'[1]Перечень товаров'!$A$2:$I9525,3,0),"")</f>
        <v xml:space="preserve">Техника </v>
      </c>
      <c r="D4562" s="22" t="s">
        <v>28</v>
      </c>
      <c r="E4562" s="23"/>
      <c r="F4562" s="23"/>
      <c r="G4562" s="59">
        <v>1</v>
      </c>
      <c r="H4562" s="59"/>
      <c r="I4562" s="60"/>
      <c r="J4562" s="60"/>
      <c r="K4562" s="19"/>
      <c r="L4562" s="20"/>
      <c r="M4562" s="10"/>
      <c r="N4562" s="10"/>
      <c r="O4562" s="10"/>
      <c r="P4562" s="10"/>
      <c r="Q4562" s="10"/>
      <c r="R4562" s="10"/>
      <c r="S4562" s="10"/>
      <c r="T4562" s="10"/>
      <c r="U4562" s="10"/>
      <c r="V4562" s="10"/>
      <c r="W4562" s="10"/>
      <c r="X4562" s="10"/>
      <c r="Y4562" s="10"/>
      <c r="Z4562" s="10"/>
      <c r="AA4562" s="10"/>
      <c r="AB4562" s="10"/>
      <c r="AC4562" s="10"/>
      <c r="AD4562" s="10"/>
      <c r="AE4562" s="10"/>
      <c r="AF4562" s="10"/>
      <c r="AG4562" s="10"/>
      <c r="AH4562" s="10"/>
    </row>
    <row r="4563" spans="1:34" outlineLevel="2">
      <c r="A4563" s="34"/>
      <c r="B4563" s="12" t="str">
        <f>IFERROR(VLOOKUP(D4563,'[1]Перечень товаров'!$A$2:$I9525,2,0),"")</f>
        <v>т235</v>
      </c>
      <c r="C4563" s="12" t="str">
        <f>IFERROR(VLOOKUP(D4563,'[1]Перечень товаров'!$A$2:$I9525,3,0),"")</f>
        <v>Техника</v>
      </c>
      <c r="D4563" s="35" t="s">
        <v>742</v>
      </c>
      <c r="E4563" s="23"/>
      <c r="F4563" s="23"/>
      <c r="G4563" s="59">
        <v>1</v>
      </c>
      <c r="H4563" s="59"/>
      <c r="I4563" s="60"/>
      <c r="J4563" s="60"/>
      <c r="K4563" s="19"/>
      <c r="L4563" s="20"/>
      <c r="M4563" s="10"/>
      <c r="N4563" s="10"/>
      <c r="O4563" s="10"/>
      <c r="P4563" s="10"/>
      <c r="Q4563" s="10"/>
      <c r="R4563" s="10"/>
      <c r="S4563" s="10"/>
      <c r="T4563" s="10"/>
      <c r="U4563" s="10"/>
      <c r="V4563" s="10"/>
      <c r="W4563" s="10"/>
      <c r="X4563" s="10"/>
      <c r="Y4563" s="10"/>
      <c r="Z4563" s="10"/>
      <c r="AA4563" s="10"/>
      <c r="AB4563" s="10"/>
      <c r="AC4563" s="10"/>
      <c r="AD4563" s="10"/>
      <c r="AE4563" s="10"/>
      <c r="AF4563" s="10"/>
      <c r="AG4563" s="10"/>
      <c r="AH4563" s="10"/>
    </row>
    <row r="4564" spans="1:34" outlineLevel="2">
      <c r="A4564" s="34"/>
      <c r="B4564" s="12" t="str">
        <f>IFERROR(VLOOKUP(D4564,'[1]Перечень товаров'!$A$2:$I9525,2,0),"")</f>
        <v>т8</v>
      </c>
      <c r="C4564" s="12" t="str">
        <f>IFERROR(VLOOKUP(D4564,'[1]Перечень товаров'!$A$2:$I9525,3,0),"")</f>
        <v xml:space="preserve">Техника </v>
      </c>
      <c r="D4564" s="35" t="s">
        <v>35</v>
      </c>
      <c r="E4564" s="23"/>
      <c r="F4564" s="23"/>
      <c r="G4564" s="59">
        <v>1</v>
      </c>
      <c r="H4564" s="59"/>
      <c r="I4564" s="60"/>
      <c r="J4564" s="60"/>
      <c r="K4564" s="19"/>
      <c r="L4564" s="20"/>
      <c r="M4564" s="10"/>
      <c r="N4564" s="10"/>
      <c r="O4564" s="10"/>
      <c r="P4564" s="10"/>
      <c r="Q4564" s="10"/>
      <c r="R4564" s="10"/>
      <c r="S4564" s="10"/>
      <c r="T4564" s="10"/>
      <c r="U4564" s="10"/>
      <c r="V4564" s="10"/>
      <c r="W4564" s="10"/>
      <c r="X4564" s="10"/>
      <c r="Y4564" s="10"/>
      <c r="Z4564" s="10"/>
      <c r="AA4564" s="10"/>
      <c r="AB4564" s="10"/>
      <c r="AC4564" s="10"/>
      <c r="AD4564" s="10"/>
      <c r="AE4564" s="10"/>
      <c r="AF4564" s="10"/>
      <c r="AG4564" s="10"/>
      <c r="AH4564" s="10"/>
    </row>
    <row r="4565" spans="1:34" outlineLevel="2">
      <c r="A4565" s="34"/>
      <c r="B4565" s="12" t="str">
        <f>IFERROR(VLOOKUP(D4565,'[1]Перечень товаров'!$A$2:$I9525,2,0),"")</f>
        <v>т239</v>
      </c>
      <c r="C4565" s="12" t="str">
        <f>IFERROR(VLOOKUP(D4565,'[1]Перечень товаров'!$A$2:$I9525,3,0),"")</f>
        <v>Техника</v>
      </c>
      <c r="D4565" s="35" t="s">
        <v>847</v>
      </c>
      <c r="E4565" s="23"/>
      <c r="F4565" s="23"/>
      <c r="G4565" s="59">
        <v>1</v>
      </c>
      <c r="H4565" s="59"/>
      <c r="I4565" s="60"/>
      <c r="J4565" s="60"/>
      <c r="K4565" s="19"/>
      <c r="L4565" s="20"/>
      <c r="M4565" s="10"/>
      <c r="N4565" s="10"/>
      <c r="O4565" s="10"/>
      <c r="P4565" s="10"/>
      <c r="Q4565" s="10"/>
      <c r="R4565" s="10"/>
      <c r="S4565" s="10"/>
      <c r="T4565" s="10"/>
      <c r="U4565" s="10"/>
      <c r="V4565" s="10"/>
      <c r="W4565" s="10"/>
      <c r="X4565" s="10"/>
      <c r="Y4565" s="10"/>
      <c r="Z4565" s="10"/>
      <c r="AA4565" s="10"/>
      <c r="AB4565" s="10"/>
      <c r="AC4565" s="10"/>
      <c r="AD4565" s="10"/>
      <c r="AE4565" s="10"/>
      <c r="AF4565" s="10"/>
      <c r="AG4565" s="10"/>
      <c r="AH4565" s="10"/>
    </row>
    <row r="4566" spans="1:34" outlineLevel="2">
      <c r="A4566" s="34"/>
      <c r="B4566" s="12" t="str">
        <f>IFERROR(VLOOKUP(D4566,'[1]Перечень товаров'!$A$2:$I9525,2,0),"")</f>
        <v>т236</v>
      </c>
      <c r="C4566" s="12" t="str">
        <f>IFERROR(VLOOKUP(D4566,'[1]Перечень товаров'!$A$2:$I9525,3,0),"")</f>
        <v>Техника</v>
      </c>
      <c r="D4566" s="35" t="s">
        <v>743</v>
      </c>
      <c r="E4566" s="23"/>
      <c r="F4566" s="23"/>
      <c r="G4566" s="59">
        <v>1</v>
      </c>
      <c r="H4566" s="59"/>
      <c r="I4566" s="60"/>
      <c r="J4566" s="60"/>
      <c r="K4566" s="19"/>
      <c r="L4566" s="20"/>
      <c r="M4566" s="10"/>
      <c r="N4566" s="10"/>
      <c r="O4566" s="10"/>
      <c r="P4566" s="10"/>
      <c r="Q4566" s="10"/>
      <c r="R4566" s="10"/>
      <c r="S4566" s="10"/>
      <c r="T4566" s="10"/>
      <c r="U4566" s="10"/>
      <c r="V4566" s="10"/>
      <c r="W4566" s="10"/>
      <c r="X4566" s="10"/>
      <c r="Y4566" s="10"/>
      <c r="Z4566" s="10"/>
      <c r="AA4566" s="10"/>
      <c r="AB4566" s="10"/>
      <c r="AC4566" s="10"/>
      <c r="AD4566" s="10"/>
      <c r="AE4566" s="10"/>
      <c r="AF4566" s="10"/>
      <c r="AG4566" s="10"/>
      <c r="AH4566" s="10"/>
    </row>
    <row r="4567" spans="1:34" outlineLevel="2">
      <c r="A4567" s="34"/>
      <c r="B4567" s="12" t="str">
        <f>IFERROR(VLOOKUP(D4567,'[1]Перечень товаров'!$A$2:$I9525,2,0),"")</f>
        <v>т237</v>
      </c>
      <c r="C4567" s="12" t="str">
        <f>IFERROR(VLOOKUP(D4567,'[1]Перечень товаров'!$A$2:$I9525,3,0),"")</f>
        <v>Техника</v>
      </c>
      <c r="D4567" s="35" t="s">
        <v>744</v>
      </c>
      <c r="E4567" s="23"/>
      <c r="F4567" s="23"/>
      <c r="G4567" s="59">
        <v>2</v>
      </c>
      <c r="H4567" s="59"/>
      <c r="I4567" s="60"/>
      <c r="J4567" s="60"/>
      <c r="K4567" s="19"/>
      <c r="L4567" s="20"/>
      <c r="M4567" s="10"/>
      <c r="N4567" s="10"/>
      <c r="O4567" s="10"/>
      <c r="P4567" s="10"/>
      <c r="Q4567" s="10"/>
      <c r="R4567" s="10"/>
      <c r="S4567" s="10"/>
      <c r="T4567" s="10"/>
      <c r="U4567" s="10"/>
      <c r="V4567" s="10"/>
      <c r="W4567" s="10"/>
      <c r="X4567" s="10"/>
      <c r="Y4567" s="10"/>
      <c r="Z4567" s="10"/>
      <c r="AA4567" s="10"/>
      <c r="AB4567" s="10"/>
      <c r="AC4567" s="10"/>
      <c r="AD4567" s="10"/>
      <c r="AE4567" s="10"/>
      <c r="AF4567" s="10"/>
      <c r="AG4567" s="10"/>
      <c r="AH4567" s="10"/>
    </row>
    <row r="4568" spans="1:34" ht="12.75" outlineLevel="2">
      <c r="A4568" s="197"/>
      <c r="B4568" s="12" t="str">
        <f>IFERROR(VLOOKUP(D4568,'[1]Перечень товаров'!$A$2:$I9525,2,0),"")</f>
        <v/>
      </c>
      <c r="C4568" s="12" t="str">
        <f>IFERROR(VLOOKUP(D4568,'[1]Перечень товаров'!$A$2:$I9525,3,0),"")</f>
        <v/>
      </c>
      <c r="D4568" s="198" t="s">
        <v>19</v>
      </c>
      <c r="E4568" s="15"/>
      <c r="F4568" s="15"/>
      <c r="G4568" s="234"/>
      <c r="H4568" s="234"/>
      <c r="I4568" s="235"/>
      <c r="J4568" s="235"/>
      <c r="K4568" s="19"/>
      <c r="L4568" s="20"/>
      <c r="M4568" s="10"/>
      <c r="N4568" s="10"/>
      <c r="O4568" s="10"/>
      <c r="P4568" s="10"/>
      <c r="Q4568" s="10"/>
      <c r="R4568" s="10"/>
      <c r="S4568" s="10"/>
      <c r="T4568" s="10"/>
      <c r="U4568" s="10"/>
      <c r="V4568" s="10"/>
      <c r="W4568" s="10"/>
      <c r="X4568" s="10"/>
      <c r="Y4568" s="10"/>
      <c r="Z4568" s="10"/>
      <c r="AA4568" s="10"/>
      <c r="AB4568" s="10"/>
      <c r="AC4568" s="10"/>
      <c r="AD4568" s="10"/>
      <c r="AE4568" s="10"/>
      <c r="AF4568" s="10"/>
      <c r="AG4568" s="10"/>
      <c r="AH4568" s="10"/>
    </row>
    <row r="4569" spans="1:34" outlineLevel="2">
      <c r="A4569" s="34"/>
      <c r="B4569" s="12" t="str">
        <f>IFERROR(VLOOKUP(D4569,'[1]Перечень товаров'!$A$2:$I9525,2,0),"")</f>
        <v>м62</v>
      </c>
      <c r="C4569" s="12" t="str">
        <f>IFERROR(VLOOKUP(D4569,'[1]Перечень товаров'!$A$2:$I9525,3,0),"")</f>
        <v>Мебель</v>
      </c>
      <c r="D4569" s="35" t="s">
        <v>398</v>
      </c>
      <c r="E4569" s="23"/>
      <c r="F4569" s="23"/>
      <c r="G4569" s="59">
        <v>1</v>
      </c>
      <c r="H4569" s="59"/>
      <c r="I4569" s="60"/>
      <c r="J4569" s="60"/>
      <c r="K4569" s="19"/>
      <c r="L4569" s="20"/>
      <c r="M4569" s="10"/>
      <c r="N4569" s="10"/>
      <c r="O4569" s="10"/>
      <c r="P4569" s="10"/>
      <c r="Q4569" s="10"/>
      <c r="R4569" s="10"/>
      <c r="S4569" s="10"/>
      <c r="T4569" s="10"/>
      <c r="U4569" s="10"/>
      <c r="V4569" s="10"/>
      <c r="W4569" s="10"/>
      <c r="X4569" s="10"/>
      <c r="Y4569" s="10"/>
      <c r="Z4569" s="10"/>
      <c r="AA4569" s="10"/>
      <c r="AB4569" s="10"/>
      <c r="AC4569" s="10"/>
      <c r="AD4569" s="10"/>
      <c r="AE4569" s="10"/>
      <c r="AF4569" s="10"/>
      <c r="AG4569" s="10"/>
      <c r="AH4569" s="10"/>
    </row>
    <row r="4570" spans="1:34" outlineLevel="2">
      <c r="A4570" s="34"/>
      <c r="B4570" s="12" t="str">
        <f>IFERROR(VLOOKUP(D4570,'[1]Перечень товаров'!$A$2:$I9525,2,0),"")</f>
        <v>м19</v>
      </c>
      <c r="C4570" s="12" t="str">
        <f>IFERROR(VLOOKUP(D4570,'[1]Перечень товаров'!$A$2:$I9525,3,0),"")</f>
        <v>Мебель</v>
      </c>
      <c r="D4570" s="35" t="s">
        <v>53</v>
      </c>
      <c r="E4570" s="23"/>
      <c r="F4570" s="23"/>
      <c r="G4570" s="59">
        <v>2</v>
      </c>
      <c r="H4570" s="59"/>
      <c r="I4570" s="60"/>
      <c r="J4570" s="60"/>
      <c r="K4570" s="19"/>
      <c r="L4570" s="20"/>
      <c r="M4570" s="10"/>
      <c r="N4570" s="10"/>
      <c r="O4570" s="10"/>
      <c r="P4570" s="10"/>
      <c r="Q4570" s="10"/>
      <c r="R4570" s="10"/>
      <c r="S4570" s="10"/>
      <c r="T4570" s="10"/>
      <c r="U4570" s="10"/>
      <c r="V4570" s="10"/>
      <c r="W4570" s="10"/>
      <c r="X4570" s="10"/>
      <c r="Y4570" s="10"/>
      <c r="Z4570" s="10"/>
      <c r="AA4570" s="10"/>
      <c r="AB4570" s="10"/>
      <c r="AC4570" s="10"/>
      <c r="AD4570" s="10"/>
      <c r="AE4570" s="10"/>
      <c r="AF4570" s="10"/>
      <c r="AG4570" s="10"/>
      <c r="AH4570" s="10"/>
    </row>
    <row r="4571" spans="1:34" outlineLevel="2">
      <c r="A4571" s="34"/>
      <c r="B4571" s="12" t="str">
        <f>IFERROR(VLOOKUP(D4571,'[1]Перечень товаров'!$A$2:$I9525,2,0),"")</f>
        <v>м143</v>
      </c>
      <c r="C4571" s="12" t="str">
        <f>IFERROR(VLOOKUP(D4571,'[1]Перечень товаров'!$A$2:$I9525,3,0),"")</f>
        <v>мебель</v>
      </c>
      <c r="D4571" s="35" t="s">
        <v>1333</v>
      </c>
      <c r="E4571" s="23"/>
      <c r="F4571" s="23"/>
      <c r="G4571" s="59">
        <v>2</v>
      </c>
      <c r="H4571" s="59"/>
      <c r="I4571" s="60"/>
      <c r="J4571" s="60"/>
      <c r="K4571" s="19"/>
      <c r="L4571" s="20"/>
      <c r="M4571" s="10"/>
      <c r="N4571" s="10"/>
      <c r="O4571" s="10"/>
      <c r="P4571" s="10"/>
      <c r="Q4571" s="10"/>
      <c r="R4571" s="10"/>
      <c r="S4571" s="10"/>
      <c r="T4571" s="10"/>
      <c r="U4571" s="10"/>
      <c r="V4571" s="10"/>
      <c r="W4571" s="10"/>
      <c r="X4571" s="10"/>
      <c r="Y4571" s="10"/>
      <c r="Z4571" s="10"/>
      <c r="AA4571" s="10"/>
      <c r="AB4571" s="10"/>
      <c r="AC4571" s="10"/>
      <c r="AD4571" s="10"/>
      <c r="AE4571" s="10"/>
      <c r="AF4571" s="10"/>
      <c r="AG4571" s="10"/>
      <c r="AH4571" s="10"/>
    </row>
    <row r="4572" spans="1:34" outlineLevel="2">
      <c r="A4572" s="34"/>
      <c r="B4572" s="12" t="str">
        <f>IFERROR(VLOOKUP(D4572,'[1]Перечень товаров'!$A$2:$I9525,2,0),"")</f>
        <v>м142</v>
      </c>
      <c r="C4572" s="12" t="str">
        <f>IFERROR(VLOOKUP(D4572,'[1]Перечень товаров'!$A$2:$I9525,3,0),"")</f>
        <v>мебель</v>
      </c>
      <c r="D4572" s="35" t="s">
        <v>1334</v>
      </c>
      <c r="E4572" s="23"/>
      <c r="F4572" s="23"/>
      <c r="G4572" s="59">
        <v>4</v>
      </c>
      <c r="H4572" s="59"/>
      <c r="I4572" s="60"/>
      <c r="J4572" s="60"/>
      <c r="K4572" s="19"/>
      <c r="L4572" s="20"/>
      <c r="M4572" s="10"/>
      <c r="N4572" s="10"/>
      <c r="O4572" s="10"/>
      <c r="P4572" s="10"/>
      <c r="Q4572" s="10"/>
      <c r="R4572" s="10"/>
      <c r="S4572" s="10"/>
      <c r="T4572" s="10"/>
      <c r="U4572" s="10"/>
      <c r="V4572" s="10"/>
      <c r="W4572" s="10"/>
      <c r="X4572" s="10"/>
      <c r="Y4572" s="10"/>
      <c r="Z4572" s="10"/>
      <c r="AA4572" s="10"/>
      <c r="AB4572" s="10"/>
      <c r="AC4572" s="10"/>
      <c r="AD4572" s="10"/>
      <c r="AE4572" s="10"/>
      <c r="AF4572" s="10"/>
      <c r="AG4572" s="10"/>
      <c r="AH4572" s="10"/>
    </row>
    <row r="4573" spans="1:34" outlineLevel="2">
      <c r="A4573" s="34"/>
      <c r="B4573" s="12" t="str">
        <f>IFERROR(VLOOKUP(D4573,'[1]Перечень товаров'!$A$2:$I9525,2,0),"")</f>
        <v>м216</v>
      </c>
      <c r="C4573" s="12" t="str">
        <f>IFERROR(VLOOKUP(D4573,'[1]Перечень товаров'!$A$2:$I9525,3,0),"")</f>
        <v>Мебель</v>
      </c>
      <c r="D4573" s="35" t="s">
        <v>854</v>
      </c>
      <c r="E4573" s="23"/>
      <c r="F4573" s="23"/>
      <c r="G4573" s="59">
        <v>2</v>
      </c>
      <c r="H4573" s="59"/>
      <c r="I4573" s="60"/>
      <c r="J4573" s="60"/>
      <c r="K4573" s="19"/>
      <c r="L4573" s="20"/>
      <c r="M4573" s="10"/>
      <c r="N4573" s="10"/>
      <c r="O4573" s="10"/>
      <c r="P4573" s="10"/>
      <c r="Q4573" s="10"/>
      <c r="R4573" s="10"/>
      <c r="S4573" s="10"/>
      <c r="T4573" s="10"/>
      <c r="U4573" s="10"/>
      <c r="V4573" s="10"/>
      <c r="W4573" s="10"/>
      <c r="X4573" s="10"/>
      <c r="Y4573" s="10"/>
      <c r="Z4573" s="10"/>
      <c r="AA4573" s="10"/>
      <c r="AB4573" s="10"/>
      <c r="AC4573" s="10"/>
      <c r="AD4573" s="10"/>
      <c r="AE4573" s="10"/>
      <c r="AF4573" s="10"/>
      <c r="AG4573" s="10"/>
      <c r="AH4573" s="10"/>
    </row>
    <row r="4574" spans="1:34" outlineLevel="2">
      <c r="A4574" s="34"/>
      <c r="B4574" s="12" t="str">
        <f>IFERROR(VLOOKUP(D4574,'[1]Перечень товаров'!$A$2:$I9525,2,0),"")</f>
        <v>п97</v>
      </c>
      <c r="C4574" s="12" t="str">
        <f>IFERROR(VLOOKUP(D4574,'[1]Перечень товаров'!$A$2:$I9525,3,0),"")</f>
        <v>Прочее</v>
      </c>
      <c r="D4574" s="35" t="s">
        <v>856</v>
      </c>
      <c r="E4574" s="23"/>
      <c r="F4574" s="23"/>
      <c r="G4574" s="59">
        <v>1</v>
      </c>
      <c r="H4574" s="59"/>
      <c r="I4574" s="60"/>
      <c r="J4574" s="60"/>
      <c r="K4574" s="19"/>
      <c r="L4574" s="20"/>
      <c r="M4574" s="10"/>
      <c r="N4574" s="10"/>
      <c r="O4574" s="10"/>
      <c r="P4574" s="10"/>
      <c r="Q4574" s="10"/>
      <c r="R4574" s="10"/>
      <c r="S4574" s="10"/>
      <c r="T4574" s="10"/>
      <c r="U4574" s="10"/>
      <c r="V4574" s="10"/>
      <c r="W4574" s="10"/>
      <c r="X4574" s="10"/>
      <c r="Y4574" s="10"/>
      <c r="Z4574" s="10"/>
      <c r="AA4574" s="10"/>
      <c r="AB4574" s="10"/>
      <c r="AC4574" s="10"/>
      <c r="AD4574" s="10"/>
      <c r="AE4574" s="10"/>
      <c r="AF4574" s="10"/>
      <c r="AG4574" s="10"/>
      <c r="AH4574" s="10"/>
    </row>
    <row r="4575" spans="1:34" ht="12.75" outlineLevel="2">
      <c r="A4575" s="197"/>
      <c r="B4575" s="12" t="str">
        <f>IFERROR(VLOOKUP(D4575,'[1]Перечень товаров'!$A$2:$I9525,2,0),"")</f>
        <v/>
      </c>
      <c r="C4575" s="12" t="str">
        <f>IFERROR(VLOOKUP(D4575,'[1]Перечень товаров'!$A$2:$I9525,3,0),"")</f>
        <v/>
      </c>
      <c r="D4575" s="198" t="s">
        <v>857</v>
      </c>
      <c r="E4575" s="15"/>
      <c r="F4575" s="15"/>
      <c r="G4575" s="238"/>
      <c r="H4575" s="238"/>
      <c r="I4575" s="239"/>
      <c r="J4575" s="239"/>
      <c r="K4575" s="19"/>
      <c r="L4575" s="20"/>
      <c r="M4575" s="10"/>
      <c r="N4575" s="10"/>
      <c r="O4575" s="10"/>
      <c r="P4575" s="10"/>
      <c r="Q4575" s="10"/>
      <c r="R4575" s="10"/>
      <c r="S4575" s="10"/>
      <c r="T4575" s="10"/>
      <c r="U4575" s="10"/>
      <c r="V4575" s="10"/>
      <c r="W4575" s="10"/>
      <c r="X4575" s="10"/>
      <c r="Y4575" s="10"/>
      <c r="Z4575" s="10"/>
      <c r="AA4575" s="10"/>
      <c r="AB4575" s="10"/>
      <c r="AC4575" s="10"/>
      <c r="AD4575" s="10"/>
      <c r="AE4575" s="10"/>
      <c r="AF4575" s="10"/>
      <c r="AG4575" s="10"/>
      <c r="AH4575" s="10"/>
    </row>
    <row r="4576" spans="1:34" ht="31.5" outlineLevel="2">
      <c r="A4576" s="21"/>
      <c r="B4576" s="12" t="str">
        <f>IFERROR(VLOOKUP(D4576,'[1]Перечень товаров'!$A$2:$I9525,2,0),"")</f>
        <v>д442</v>
      </c>
      <c r="C4576" s="12" t="str">
        <f>IFERROR(VLOOKUP(D4576,'[1]Перечень товаров'!$A$2:$I9525,3,0),"")</f>
        <v>дидактика</v>
      </c>
      <c r="D4576" s="22" t="s">
        <v>1337</v>
      </c>
      <c r="E4576" s="23"/>
      <c r="F4576" s="23"/>
      <c r="G4576" s="48">
        <v>1</v>
      </c>
      <c r="H4576" s="48"/>
      <c r="I4576" s="49"/>
      <c r="J4576" s="49"/>
      <c r="K4576" s="19"/>
      <c r="L4576" s="20"/>
      <c r="M4576" s="10"/>
      <c r="N4576" s="10"/>
      <c r="O4576" s="10"/>
      <c r="P4576" s="10"/>
      <c r="Q4576" s="10"/>
      <c r="R4576" s="10"/>
      <c r="S4576" s="10"/>
      <c r="T4576" s="10"/>
      <c r="U4576" s="10"/>
      <c r="V4576" s="10"/>
      <c r="W4576" s="10"/>
      <c r="X4576" s="10"/>
      <c r="Y4576" s="10"/>
      <c r="Z4576" s="10"/>
      <c r="AA4576" s="10"/>
      <c r="AB4576" s="10"/>
      <c r="AC4576" s="10"/>
      <c r="AD4576" s="10"/>
      <c r="AE4576" s="10"/>
      <c r="AF4576" s="10"/>
      <c r="AG4576" s="10"/>
      <c r="AH4576" s="10"/>
    </row>
    <row r="4577" spans="1:34" ht="31.5" outlineLevel="2">
      <c r="A4577" s="21"/>
      <c r="B4577" s="12" t="str">
        <f>IFERROR(VLOOKUP(D4577,'[1]Перечень товаров'!$A$2:$I9525,2,0),"")</f>
        <v>д441</v>
      </c>
      <c r="C4577" s="12" t="str">
        <f>IFERROR(VLOOKUP(D4577,'[1]Перечень товаров'!$A$2:$I9525,3,0),"")</f>
        <v>дидактика</v>
      </c>
      <c r="D4577" s="22" t="s">
        <v>1338</v>
      </c>
      <c r="E4577" s="23"/>
      <c r="F4577" s="23"/>
      <c r="G4577" s="48">
        <v>4</v>
      </c>
      <c r="H4577" s="48"/>
      <c r="I4577" s="49"/>
      <c r="J4577" s="49"/>
      <c r="K4577" s="19"/>
      <c r="L4577" s="20"/>
      <c r="M4577" s="10"/>
      <c r="N4577" s="10"/>
      <c r="O4577" s="10"/>
      <c r="P4577" s="10"/>
      <c r="Q4577" s="10"/>
      <c r="R4577" s="10"/>
      <c r="S4577" s="10"/>
      <c r="T4577" s="10"/>
      <c r="U4577" s="10"/>
      <c r="V4577" s="10"/>
      <c r="W4577" s="10"/>
      <c r="X4577" s="10"/>
      <c r="Y4577" s="10"/>
      <c r="Z4577" s="10"/>
      <c r="AA4577" s="10"/>
      <c r="AB4577" s="10"/>
      <c r="AC4577" s="10"/>
      <c r="AD4577" s="10"/>
      <c r="AE4577" s="10"/>
      <c r="AF4577" s="10"/>
      <c r="AG4577" s="10"/>
      <c r="AH4577" s="10"/>
    </row>
    <row r="4578" spans="1:34" outlineLevel="2">
      <c r="A4578" s="21"/>
      <c r="B4578" s="12" t="str">
        <f>IFERROR(VLOOKUP(D4578,'[1]Перечень товаров'!$A$2:$I9525,2,0),"")</f>
        <v>д440</v>
      </c>
      <c r="C4578" s="12" t="str">
        <f>IFERROR(VLOOKUP(D4578,'[1]Перечень товаров'!$A$2:$I9525,3,0),"")</f>
        <v>дидактика</v>
      </c>
      <c r="D4578" s="22" t="s">
        <v>1339</v>
      </c>
      <c r="E4578" s="23"/>
      <c r="F4578" s="23"/>
      <c r="G4578" s="48">
        <v>5</v>
      </c>
      <c r="H4578" s="48"/>
      <c r="I4578" s="49"/>
      <c r="J4578" s="49"/>
      <c r="K4578" s="19"/>
      <c r="L4578" s="20"/>
      <c r="M4578" s="10"/>
      <c r="N4578" s="10"/>
      <c r="O4578" s="10"/>
      <c r="P4578" s="10"/>
      <c r="Q4578" s="10"/>
      <c r="R4578" s="10"/>
      <c r="S4578" s="10"/>
      <c r="T4578" s="10"/>
      <c r="U4578" s="10"/>
      <c r="V4578" s="10"/>
      <c r="W4578" s="10"/>
      <c r="X4578" s="10"/>
      <c r="Y4578" s="10"/>
      <c r="Z4578" s="10"/>
      <c r="AA4578" s="10"/>
      <c r="AB4578" s="10"/>
      <c r="AC4578" s="10"/>
      <c r="AD4578" s="10"/>
      <c r="AE4578" s="10"/>
      <c r="AF4578" s="10"/>
      <c r="AG4578" s="10"/>
      <c r="AH4578" s="10"/>
    </row>
    <row r="4579" spans="1:34" ht="31.5" outlineLevel="2">
      <c r="A4579" s="21"/>
      <c r="B4579" s="12" t="str">
        <f>IFERROR(VLOOKUP(D4579,'[1]Перечень товаров'!$A$2:$I9525,2,0),"")</f>
        <v>д439</v>
      </c>
      <c r="C4579" s="12" t="str">
        <f>IFERROR(VLOOKUP(D4579,'[1]Перечень товаров'!$A$2:$I9525,3,0),"")</f>
        <v>дидактика</v>
      </c>
      <c r="D4579" s="22" t="s">
        <v>1340</v>
      </c>
      <c r="E4579" s="23"/>
      <c r="F4579" s="23"/>
      <c r="G4579" s="24">
        <v>2</v>
      </c>
      <c r="H4579" s="24"/>
      <c r="I4579" s="25"/>
      <c r="J4579" s="25"/>
      <c r="K4579" s="19"/>
      <c r="L4579" s="20"/>
      <c r="M4579" s="10"/>
      <c r="N4579" s="10"/>
      <c r="O4579" s="10"/>
      <c r="P4579" s="10"/>
      <c r="Q4579" s="10"/>
      <c r="R4579" s="10"/>
      <c r="S4579" s="10"/>
      <c r="T4579" s="10"/>
      <c r="U4579" s="10"/>
      <c r="V4579" s="10"/>
      <c r="W4579" s="10"/>
      <c r="X4579" s="10"/>
      <c r="Y4579" s="10"/>
      <c r="Z4579" s="10"/>
      <c r="AA4579" s="10"/>
      <c r="AB4579" s="10"/>
      <c r="AC4579" s="10"/>
      <c r="AD4579" s="10"/>
      <c r="AE4579" s="10"/>
      <c r="AF4579" s="10"/>
      <c r="AG4579" s="10"/>
      <c r="AH4579" s="10"/>
    </row>
    <row r="4580" spans="1:34" outlineLevel="2">
      <c r="A4580" s="21"/>
      <c r="B4580" s="12" t="str">
        <f>IFERROR(VLOOKUP(D4580,'[1]Перечень товаров'!$A$2:$I9525,2,0),"")</f>
        <v>д438</v>
      </c>
      <c r="C4580" s="12" t="str">
        <f>IFERROR(VLOOKUP(D4580,'[1]Перечень товаров'!$A$2:$I9525,3,0),"")</f>
        <v>дидактика</v>
      </c>
      <c r="D4580" s="22" t="s">
        <v>1341</v>
      </c>
      <c r="E4580" s="23"/>
      <c r="F4580" s="23"/>
      <c r="G4580" s="24">
        <v>2</v>
      </c>
      <c r="H4580" s="24"/>
      <c r="I4580" s="25"/>
      <c r="J4580" s="25"/>
      <c r="K4580" s="19"/>
      <c r="L4580" s="20"/>
      <c r="M4580" s="10"/>
      <c r="N4580" s="10"/>
      <c r="O4580" s="10"/>
      <c r="P4580" s="10"/>
      <c r="Q4580" s="10"/>
      <c r="R4580" s="10"/>
      <c r="S4580" s="10"/>
      <c r="T4580" s="10"/>
      <c r="U4580" s="10"/>
      <c r="V4580" s="10"/>
      <c r="W4580" s="10"/>
      <c r="X4580" s="10"/>
      <c r="Y4580" s="10"/>
      <c r="Z4580" s="10"/>
      <c r="AA4580" s="10"/>
      <c r="AB4580" s="10"/>
      <c r="AC4580" s="10"/>
      <c r="AD4580" s="10"/>
      <c r="AE4580" s="10"/>
      <c r="AF4580" s="10"/>
      <c r="AG4580" s="10"/>
      <c r="AH4580" s="10"/>
    </row>
    <row r="4581" spans="1:34" ht="31.5" outlineLevel="2">
      <c r="A4581" s="21"/>
      <c r="B4581" s="12" t="str">
        <f>IFERROR(VLOOKUP(D4581,'[1]Перечень товаров'!$A$2:$I9525,2,0),"")</f>
        <v>д437</v>
      </c>
      <c r="C4581" s="12" t="str">
        <f>IFERROR(VLOOKUP(D4581,'[1]Перечень товаров'!$A$2:$I9525,3,0),"")</f>
        <v>дидактика</v>
      </c>
      <c r="D4581" s="22" t="s">
        <v>1342</v>
      </c>
      <c r="E4581" s="23"/>
      <c r="F4581" s="23"/>
      <c r="G4581" s="24">
        <v>2</v>
      </c>
      <c r="H4581" s="24"/>
      <c r="I4581" s="25"/>
      <c r="J4581" s="25"/>
      <c r="K4581" s="19"/>
      <c r="L4581" s="20"/>
      <c r="M4581" s="10"/>
      <c r="N4581" s="10"/>
      <c r="O4581" s="10"/>
      <c r="P4581" s="10"/>
      <c r="Q4581" s="10"/>
      <c r="R4581" s="10"/>
      <c r="S4581" s="10"/>
      <c r="T4581" s="10"/>
      <c r="U4581" s="10"/>
      <c r="V4581" s="10"/>
      <c r="W4581" s="10"/>
      <c r="X4581" s="10"/>
      <c r="Y4581" s="10"/>
      <c r="Z4581" s="10"/>
      <c r="AA4581" s="10"/>
      <c r="AB4581" s="10"/>
      <c r="AC4581" s="10"/>
      <c r="AD4581" s="10"/>
      <c r="AE4581" s="10"/>
      <c r="AF4581" s="10"/>
      <c r="AG4581" s="10"/>
      <c r="AH4581" s="10"/>
    </row>
    <row r="4582" spans="1:34" outlineLevel="2">
      <c r="A4582" s="21"/>
      <c r="B4582" s="12" t="str">
        <f>IFERROR(VLOOKUP(D4582,'[1]Перечень товаров'!$A$2:$I9525,2,0),"")</f>
        <v>д436</v>
      </c>
      <c r="C4582" s="12" t="str">
        <f>IFERROR(VLOOKUP(D4582,'[1]Перечень товаров'!$A$2:$I9525,3,0),"")</f>
        <v>дидактика</v>
      </c>
      <c r="D4582" s="22" t="s">
        <v>1343</v>
      </c>
      <c r="E4582" s="23"/>
      <c r="F4582" s="23"/>
      <c r="G4582" s="24">
        <v>1</v>
      </c>
      <c r="H4582" s="24"/>
      <c r="I4582" s="25"/>
      <c r="J4582" s="25"/>
      <c r="K4582" s="19"/>
      <c r="L4582" s="20"/>
      <c r="M4582" s="10"/>
      <c r="N4582" s="10"/>
      <c r="O4582" s="10"/>
      <c r="P4582" s="10"/>
      <c r="Q4582" s="10"/>
      <c r="R4582" s="10"/>
      <c r="S4582" s="10"/>
      <c r="T4582" s="10"/>
      <c r="U4582" s="10"/>
      <c r="V4582" s="10"/>
      <c r="W4582" s="10"/>
      <c r="X4582" s="10"/>
      <c r="Y4582" s="10"/>
      <c r="Z4582" s="10"/>
      <c r="AA4582" s="10"/>
      <c r="AB4582" s="10"/>
      <c r="AC4582" s="10"/>
      <c r="AD4582" s="10"/>
      <c r="AE4582" s="10"/>
      <c r="AF4582" s="10"/>
      <c r="AG4582" s="10"/>
      <c r="AH4582" s="10"/>
    </row>
    <row r="4583" spans="1:34" ht="47.25" outlineLevel="2">
      <c r="A4583" s="21"/>
      <c r="B4583" s="12" t="str">
        <f>IFERROR(VLOOKUP(D4583,'[1]Перечень товаров'!$A$2:$I9525,2,0),"")</f>
        <v>д435</v>
      </c>
      <c r="C4583" s="12" t="str">
        <f>IFERROR(VLOOKUP(D4583,'[1]Перечень товаров'!$A$2:$I9525,3,0),"")</f>
        <v>дидактика</v>
      </c>
      <c r="D4583" s="22" t="s">
        <v>1344</v>
      </c>
      <c r="E4583" s="23"/>
      <c r="F4583" s="23"/>
      <c r="G4583" s="24">
        <v>1</v>
      </c>
      <c r="H4583" s="24"/>
      <c r="I4583" s="25"/>
      <c r="J4583" s="25"/>
      <c r="K4583" s="19"/>
      <c r="L4583" s="20"/>
      <c r="M4583" s="10"/>
      <c r="N4583" s="10"/>
      <c r="O4583" s="10"/>
      <c r="P4583" s="10"/>
      <c r="Q4583" s="10"/>
      <c r="R4583" s="10"/>
      <c r="S4583" s="10"/>
      <c r="T4583" s="10"/>
      <c r="U4583" s="10"/>
      <c r="V4583" s="10"/>
      <c r="W4583" s="10"/>
      <c r="X4583" s="10"/>
      <c r="Y4583" s="10"/>
      <c r="Z4583" s="10"/>
      <c r="AA4583" s="10"/>
      <c r="AB4583" s="10"/>
      <c r="AC4583" s="10"/>
      <c r="AD4583" s="10"/>
      <c r="AE4583" s="10"/>
      <c r="AF4583" s="10"/>
      <c r="AG4583" s="10"/>
      <c r="AH4583" s="10"/>
    </row>
    <row r="4584" spans="1:34" ht="47.25" outlineLevel="2">
      <c r="A4584" s="21"/>
      <c r="B4584" s="12" t="str">
        <f>IFERROR(VLOOKUP(D4584,'[1]Перечень товаров'!$A$2:$I9525,2,0),"")</f>
        <v>д434</v>
      </c>
      <c r="C4584" s="12" t="str">
        <f>IFERROR(VLOOKUP(D4584,'[1]Перечень товаров'!$A$2:$I9525,3,0),"")</f>
        <v>дидактика</v>
      </c>
      <c r="D4584" s="22" t="s">
        <v>1345</v>
      </c>
      <c r="E4584" s="23"/>
      <c r="F4584" s="23"/>
      <c r="G4584" s="24">
        <v>1</v>
      </c>
      <c r="H4584" s="24"/>
      <c r="I4584" s="25"/>
      <c r="J4584" s="25"/>
      <c r="K4584" s="19"/>
      <c r="L4584" s="20"/>
      <c r="M4584" s="10"/>
      <c r="N4584" s="10"/>
      <c r="O4584" s="10"/>
      <c r="P4584" s="10"/>
      <c r="Q4584" s="10"/>
      <c r="R4584" s="10"/>
      <c r="S4584" s="10"/>
      <c r="T4584" s="10"/>
      <c r="U4584" s="10"/>
      <c r="V4584" s="10"/>
      <c r="W4584" s="10"/>
      <c r="X4584" s="10"/>
      <c r="Y4584" s="10"/>
      <c r="Z4584" s="10"/>
      <c r="AA4584" s="10"/>
      <c r="AB4584" s="10"/>
      <c r="AC4584" s="10"/>
      <c r="AD4584" s="10"/>
      <c r="AE4584" s="10"/>
      <c r="AF4584" s="10"/>
      <c r="AG4584" s="10"/>
      <c r="AH4584" s="10"/>
    </row>
    <row r="4585" spans="1:34" ht="47.25" outlineLevel="2">
      <c r="A4585" s="21"/>
      <c r="B4585" s="12" t="str">
        <f>IFERROR(VLOOKUP(D4585,'[1]Перечень товаров'!$A$2:$I9525,2,0),"")</f>
        <v>д433</v>
      </c>
      <c r="C4585" s="12" t="str">
        <f>IFERROR(VLOOKUP(D4585,'[1]Перечень товаров'!$A$2:$I9525,3,0),"")</f>
        <v>дидактика</v>
      </c>
      <c r="D4585" s="22" t="s">
        <v>1346</v>
      </c>
      <c r="E4585" s="23"/>
      <c r="F4585" s="23"/>
      <c r="G4585" s="24">
        <v>1</v>
      </c>
      <c r="H4585" s="24"/>
      <c r="I4585" s="25"/>
      <c r="J4585" s="25"/>
      <c r="K4585" s="19"/>
      <c r="L4585" s="20"/>
      <c r="M4585" s="10"/>
      <c r="N4585" s="10"/>
      <c r="O4585" s="10"/>
      <c r="P4585" s="10"/>
      <c r="Q4585" s="10"/>
      <c r="R4585" s="10"/>
      <c r="S4585" s="10"/>
      <c r="T4585" s="10"/>
      <c r="U4585" s="10"/>
      <c r="V4585" s="10"/>
      <c r="W4585" s="10"/>
      <c r="X4585" s="10"/>
      <c r="Y4585" s="10"/>
      <c r="Z4585" s="10"/>
      <c r="AA4585" s="10"/>
      <c r="AB4585" s="10"/>
      <c r="AC4585" s="10"/>
      <c r="AD4585" s="10"/>
      <c r="AE4585" s="10"/>
      <c r="AF4585" s="10"/>
      <c r="AG4585" s="10"/>
      <c r="AH4585" s="10"/>
    </row>
    <row r="4586" spans="1:34" outlineLevel="2">
      <c r="A4586" s="21"/>
      <c r="B4586" s="12" t="str">
        <f>IFERROR(VLOOKUP(D4586,'[1]Перечень товаров'!$A$2:$I9525,2,0),"")</f>
        <v>д432</v>
      </c>
      <c r="C4586" s="12" t="str">
        <f>IFERROR(VLOOKUP(D4586,'[1]Перечень товаров'!$A$2:$I9525,3,0),"")</f>
        <v>дидактика</v>
      </c>
      <c r="D4586" s="22" t="s">
        <v>1347</v>
      </c>
      <c r="E4586" s="23"/>
      <c r="F4586" s="23"/>
      <c r="G4586" s="24">
        <v>20</v>
      </c>
      <c r="H4586" s="24"/>
      <c r="I4586" s="25"/>
      <c r="J4586" s="25"/>
      <c r="K4586" s="19"/>
      <c r="L4586" s="20"/>
      <c r="M4586" s="10"/>
      <c r="N4586" s="10"/>
      <c r="O4586" s="10"/>
      <c r="P4586" s="10"/>
      <c r="Q4586" s="10"/>
      <c r="R4586" s="10"/>
      <c r="S4586" s="10"/>
      <c r="T4586" s="10"/>
      <c r="U4586" s="10"/>
      <c r="V4586" s="10"/>
      <c r="W4586" s="10"/>
      <c r="X4586" s="10"/>
      <c r="Y4586" s="10"/>
      <c r="Z4586" s="10"/>
      <c r="AA4586" s="10"/>
      <c r="AB4586" s="10"/>
      <c r="AC4586" s="10"/>
      <c r="AD4586" s="10"/>
      <c r="AE4586" s="10"/>
      <c r="AF4586" s="10"/>
      <c r="AG4586" s="10"/>
      <c r="AH4586" s="10"/>
    </row>
    <row r="4587" spans="1:34" outlineLevel="2">
      <c r="A4587" s="34"/>
      <c r="B4587" s="12" t="str">
        <f>IFERROR(VLOOKUP(D4587,'[1]Перечень товаров'!$A$2:$I9525,2,0),"")</f>
        <v>д431</v>
      </c>
      <c r="C4587" s="12" t="str">
        <f>IFERROR(VLOOKUP(D4587,'[1]Перечень товаров'!$A$2:$I9525,3,0),"")</f>
        <v>дидактика</v>
      </c>
      <c r="D4587" s="35" t="s">
        <v>1348</v>
      </c>
      <c r="E4587" s="23"/>
      <c r="F4587" s="23"/>
      <c r="G4587" s="24">
        <v>30</v>
      </c>
      <c r="H4587" s="24"/>
      <c r="I4587" s="25"/>
      <c r="J4587" s="25"/>
      <c r="K4587" s="19"/>
      <c r="L4587" s="20"/>
      <c r="M4587" s="10"/>
      <c r="N4587" s="10"/>
      <c r="O4587" s="10"/>
      <c r="P4587" s="10"/>
      <c r="Q4587" s="10"/>
      <c r="R4587" s="10"/>
      <c r="S4587" s="10"/>
      <c r="T4587" s="10"/>
      <c r="U4587" s="10"/>
      <c r="V4587" s="10"/>
      <c r="W4587" s="10"/>
      <c r="X4587" s="10"/>
      <c r="Y4587" s="10"/>
      <c r="Z4587" s="10"/>
      <c r="AA4587" s="10"/>
      <c r="AB4587" s="10"/>
      <c r="AC4587" s="10"/>
      <c r="AD4587" s="10"/>
      <c r="AE4587" s="10"/>
      <c r="AF4587" s="10"/>
      <c r="AG4587" s="10"/>
      <c r="AH4587" s="10"/>
    </row>
    <row r="4588" spans="1:34" ht="31.5" outlineLevel="2">
      <c r="A4588" s="34"/>
      <c r="B4588" s="12" t="str">
        <f>IFERROR(VLOOKUP(D4588,'[1]Перечень товаров'!$A$2:$I9525,2,0),"")</f>
        <v>т239</v>
      </c>
      <c r="C4588" s="12" t="str">
        <f>IFERROR(VLOOKUP(D4588,'[1]Перечень товаров'!$A$2:$I9525,3,0),"")</f>
        <v>Техника</v>
      </c>
      <c r="D4588" s="35" t="s">
        <v>865</v>
      </c>
      <c r="E4588" s="23"/>
      <c r="F4588" s="23"/>
      <c r="G4588" s="24">
        <v>1</v>
      </c>
      <c r="H4588" s="24"/>
      <c r="I4588" s="25"/>
      <c r="J4588" s="25"/>
      <c r="K4588" s="19"/>
      <c r="L4588" s="20"/>
      <c r="M4588" s="10"/>
      <c r="N4588" s="10"/>
      <c r="O4588" s="10"/>
      <c r="P4588" s="10"/>
      <c r="Q4588" s="10"/>
      <c r="R4588" s="10"/>
      <c r="S4588" s="10"/>
      <c r="T4588" s="10"/>
      <c r="U4588" s="10"/>
      <c r="V4588" s="10"/>
      <c r="W4588" s="10"/>
      <c r="X4588" s="10"/>
      <c r="Y4588" s="10"/>
      <c r="Z4588" s="10"/>
      <c r="AA4588" s="10"/>
      <c r="AB4588" s="10"/>
      <c r="AC4588" s="10"/>
      <c r="AD4588" s="10"/>
      <c r="AE4588" s="10"/>
      <c r="AF4588" s="10"/>
      <c r="AG4588" s="10"/>
      <c r="AH4588" s="10"/>
    </row>
    <row r="4589" spans="1:34" outlineLevel="2">
      <c r="A4589" s="34"/>
      <c r="B4589" s="12" t="str">
        <f>IFERROR(VLOOKUP(D4589,'[1]Перечень товаров'!$A$2:$I9525,2,0),"")</f>
        <v>д430</v>
      </c>
      <c r="C4589" s="12" t="str">
        <f>IFERROR(VLOOKUP(D4589,'[1]Перечень товаров'!$A$2:$I9525,3,0),"")</f>
        <v>дидактика</v>
      </c>
      <c r="D4589" s="35" t="s">
        <v>1349</v>
      </c>
      <c r="E4589" s="23"/>
      <c r="F4589" s="23"/>
      <c r="G4589" s="24">
        <v>1</v>
      </c>
      <c r="H4589" s="24"/>
      <c r="I4589" s="25"/>
      <c r="J4589" s="25"/>
      <c r="K4589" s="19"/>
      <c r="L4589" s="20"/>
      <c r="M4589" s="10"/>
      <c r="N4589" s="10"/>
      <c r="O4589" s="10"/>
      <c r="P4589" s="10"/>
      <c r="Q4589" s="10"/>
      <c r="R4589" s="10"/>
      <c r="S4589" s="10"/>
      <c r="T4589" s="10"/>
      <c r="U4589" s="10"/>
      <c r="V4589" s="10"/>
      <c r="W4589" s="10"/>
      <c r="X4589" s="10"/>
      <c r="Y4589" s="10"/>
      <c r="Z4589" s="10"/>
      <c r="AA4589" s="10"/>
      <c r="AB4589" s="10"/>
      <c r="AC4589" s="10"/>
      <c r="AD4589" s="10"/>
      <c r="AE4589" s="10"/>
      <c r="AF4589" s="10"/>
      <c r="AG4589" s="10"/>
      <c r="AH4589" s="10"/>
    </row>
    <row r="4590" spans="1:34" outlineLevel="2">
      <c r="A4590" s="34"/>
      <c r="B4590" s="12" t="str">
        <f>IFERROR(VLOOKUP(D4590,'[1]Перечень товаров'!$A$2:$I9525,2,0),"")</f>
        <v>м217</v>
      </c>
      <c r="C4590" s="12" t="str">
        <f>IFERROR(VLOOKUP(D4590,'[1]Перечень товаров'!$A$2:$I9525,3,0),"")</f>
        <v>Мебель</v>
      </c>
      <c r="D4590" s="35" t="s">
        <v>867</v>
      </c>
      <c r="E4590" s="23"/>
      <c r="F4590" s="23"/>
      <c r="G4590" s="24">
        <v>1</v>
      </c>
      <c r="H4590" s="24"/>
      <c r="I4590" s="25"/>
      <c r="J4590" s="25"/>
      <c r="K4590" s="19"/>
      <c r="L4590" s="20"/>
      <c r="M4590" s="10"/>
      <c r="N4590" s="10"/>
      <c r="O4590" s="10"/>
      <c r="P4590" s="10"/>
      <c r="Q4590" s="10"/>
      <c r="R4590" s="10"/>
      <c r="S4590" s="10"/>
      <c r="T4590" s="10"/>
      <c r="U4590" s="10"/>
      <c r="V4590" s="10"/>
      <c r="W4590" s="10"/>
      <c r="X4590" s="10"/>
      <c r="Y4590" s="10"/>
      <c r="Z4590" s="10"/>
      <c r="AA4590" s="10"/>
      <c r="AB4590" s="10"/>
      <c r="AC4590" s="10"/>
      <c r="AD4590" s="10"/>
      <c r="AE4590" s="10"/>
      <c r="AF4590" s="10"/>
      <c r="AG4590" s="10"/>
      <c r="AH4590" s="10"/>
    </row>
    <row r="4591" spans="1:34" ht="12.75" outlineLevel="1">
      <c r="A4591" s="11"/>
      <c r="B4591" s="12" t="str">
        <f>IFERROR(VLOOKUP(D4591,'[1]Перечень товаров'!$A$2:$I9525,2,0),"")</f>
        <v/>
      </c>
      <c r="C4591" s="12" t="str">
        <f>IFERROR(VLOOKUP(D4591,'[1]Перечень товаров'!$A$2:$I9525,3,0),"")</f>
        <v/>
      </c>
      <c r="D4591" s="27" t="s">
        <v>1350</v>
      </c>
      <c r="E4591" s="14">
        <v>62.3</v>
      </c>
      <c r="F4591" s="14"/>
      <c r="G4591" s="17"/>
      <c r="H4591" s="17"/>
      <c r="I4591" s="57"/>
      <c r="J4591" s="57"/>
      <c r="K4591" s="19"/>
      <c r="L4591" s="20"/>
      <c r="M4591" s="10"/>
      <c r="N4591" s="10"/>
      <c r="O4591" s="10"/>
      <c r="P4591" s="10"/>
      <c r="Q4591" s="10"/>
      <c r="R4591" s="10"/>
      <c r="S4591" s="10"/>
      <c r="T4591" s="10"/>
      <c r="U4591" s="10"/>
      <c r="V4591" s="10"/>
      <c r="W4591" s="10"/>
      <c r="X4591" s="10"/>
      <c r="Y4591" s="10"/>
      <c r="Z4591" s="10"/>
      <c r="AA4591" s="10"/>
      <c r="AB4591" s="10"/>
      <c r="AC4591" s="10"/>
      <c r="AD4591" s="10"/>
      <c r="AE4591" s="10"/>
      <c r="AF4591" s="10"/>
      <c r="AG4591" s="10"/>
      <c r="AH4591" s="10"/>
    </row>
    <row r="4592" spans="1:34" outlineLevel="2">
      <c r="A4592" s="113"/>
      <c r="B4592" s="12" t="str">
        <f>IFERROR(VLOOKUP(D4592,'[1]Перечень товаров'!$A$2:$I9525,2,0),"")</f>
        <v/>
      </c>
      <c r="C4592" s="12" t="str">
        <f>IFERROR(VLOOKUP(D4592,'[1]Перечень товаров'!$A$2:$I9525,3,0),"")</f>
        <v/>
      </c>
      <c r="D4592" s="114" t="s">
        <v>391</v>
      </c>
      <c r="E4592" s="122"/>
      <c r="F4592" s="122"/>
      <c r="G4592" s="59"/>
      <c r="H4592" s="59"/>
      <c r="I4592" s="60"/>
      <c r="J4592" s="60"/>
      <c r="K4592" s="19"/>
      <c r="L4592" s="20"/>
      <c r="M4592" s="10"/>
      <c r="N4592" s="10"/>
      <c r="O4592" s="10"/>
      <c r="P4592" s="10"/>
      <c r="Q4592" s="10"/>
      <c r="R4592" s="10"/>
      <c r="S4592" s="10"/>
      <c r="T4592" s="10"/>
      <c r="U4592" s="10"/>
      <c r="V4592" s="10"/>
      <c r="W4592" s="10"/>
      <c r="X4592" s="10"/>
      <c r="Y4592" s="10"/>
      <c r="Z4592" s="10"/>
      <c r="AA4592" s="10"/>
      <c r="AB4592" s="10"/>
      <c r="AC4592" s="10"/>
      <c r="AD4592" s="10"/>
      <c r="AE4592" s="10"/>
      <c r="AF4592" s="10"/>
      <c r="AG4592" s="10"/>
      <c r="AH4592" s="10"/>
    </row>
    <row r="4593" spans="1:34" outlineLevel="2">
      <c r="A4593" s="70"/>
      <c r="B4593" s="12" t="str">
        <f>IFERROR(VLOOKUP(D4593,'[1]Перечень товаров'!$A$2:$I9525,2,0),"")</f>
        <v>мм1</v>
      </c>
      <c r="C4593" s="12" t="str">
        <f>IFERROR(VLOOKUP(D4593,'[1]Перечень товаров'!$A$2:$I9525,3,0),"")</f>
        <v>Мебель муз</v>
      </c>
      <c r="D4593" s="71" t="s">
        <v>1134</v>
      </c>
      <c r="E4593" s="30"/>
      <c r="F4593" s="30"/>
      <c r="G4593" s="59">
        <v>2</v>
      </c>
      <c r="H4593" s="59"/>
      <c r="I4593" s="60"/>
      <c r="J4593" s="60"/>
      <c r="K4593" s="19"/>
      <c r="L4593" s="20"/>
      <c r="M4593" s="10"/>
      <c r="N4593" s="10"/>
      <c r="O4593" s="10"/>
      <c r="P4593" s="10"/>
      <c r="Q4593" s="10"/>
      <c r="R4593" s="10"/>
      <c r="S4593" s="10"/>
      <c r="T4593" s="10"/>
      <c r="U4593" s="10"/>
      <c r="V4593" s="10"/>
      <c r="W4593" s="10"/>
      <c r="X4593" s="10"/>
      <c r="Y4593" s="10"/>
      <c r="Z4593" s="10"/>
      <c r="AA4593" s="10"/>
      <c r="AB4593" s="10"/>
      <c r="AC4593" s="10"/>
      <c r="AD4593" s="10"/>
      <c r="AE4593" s="10"/>
      <c r="AF4593" s="10"/>
      <c r="AG4593" s="10"/>
      <c r="AH4593" s="10"/>
    </row>
    <row r="4594" spans="1:34" ht="31.5" outlineLevel="2">
      <c r="A4594" s="70"/>
      <c r="B4594" s="12" t="str">
        <f>IFERROR(VLOOKUP(D4594,'[1]Перечень товаров'!$A$2:$I9525,2,0),"")</f>
        <v>тм169</v>
      </c>
      <c r="C4594" s="12" t="str">
        <f>IFERROR(VLOOKUP(D4594,'[1]Перечень товаров'!$A$2:$I9525,3,0),"")</f>
        <v>Техника муз</v>
      </c>
      <c r="D4594" s="71" t="s">
        <v>1351</v>
      </c>
      <c r="E4594" s="72"/>
      <c r="F4594" s="72"/>
      <c r="G4594" s="73">
        <v>2</v>
      </c>
      <c r="H4594" s="73"/>
      <c r="I4594" s="74"/>
      <c r="J4594" s="74"/>
      <c r="K4594" s="19"/>
      <c r="L4594" s="20"/>
      <c r="M4594" s="10"/>
      <c r="N4594" s="10"/>
      <c r="O4594" s="10"/>
      <c r="P4594" s="10"/>
      <c r="Q4594" s="10"/>
      <c r="R4594" s="10"/>
      <c r="S4594" s="10"/>
      <c r="T4594" s="10"/>
      <c r="U4594" s="10"/>
      <c r="V4594" s="10"/>
      <c r="W4594" s="10"/>
      <c r="X4594" s="10"/>
      <c r="Y4594" s="10"/>
      <c r="Z4594" s="10"/>
      <c r="AA4594" s="10"/>
      <c r="AB4594" s="10"/>
      <c r="AC4594" s="10"/>
      <c r="AD4594" s="10"/>
      <c r="AE4594" s="10"/>
      <c r="AF4594" s="10"/>
      <c r="AG4594" s="10"/>
      <c r="AH4594" s="10"/>
    </row>
    <row r="4595" spans="1:34" outlineLevel="2">
      <c r="A4595" s="70"/>
      <c r="B4595" s="12" t="str">
        <f>IFERROR(VLOOKUP(D4595,'[1]Перечень товаров'!$A$2:$I9525,2,0),"")</f>
        <v>тм288</v>
      </c>
      <c r="C4595" s="12" t="str">
        <f>IFERROR(VLOOKUP(D4595,'[1]Перечень товаров'!$A$2:$I9525,3,0),"")</f>
        <v>Техника муз</v>
      </c>
      <c r="D4595" s="71" t="s">
        <v>620</v>
      </c>
      <c r="E4595" s="72"/>
      <c r="F4595" s="72"/>
      <c r="G4595" s="73">
        <v>2</v>
      </c>
      <c r="H4595" s="73"/>
      <c r="I4595" s="74"/>
      <c r="J4595" s="74"/>
      <c r="K4595" s="19"/>
      <c r="L4595" s="20"/>
      <c r="M4595" s="10"/>
      <c r="N4595" s="10"/>
      <c r="O4595" s="10"/>
      <c r="P4595" s="10"/>
      <c r="Q4595" s="10"/>
      <c r="R4595" s="10"/>
      <c r="S4595" s="10"/>
      <c r="T4595" s="10"/>
      <c r="U4595" s="10"/>
      <c r="V4595" s="10"/>
      <c r="W4595" s="10"/>
      <c r="X4595" s="10"/>
      <c r="Y4595" s="10"/>
      <c r="Z4595" s="10"/>
      <c r="AA4595" s="10"/>
      <c r="AB4595" s="10"/>
      <c r="AC4595" s="10"/>
      <c r="AD4595" s="10"/>
      <c r="AE4595" s="10"/>
      <c r="AF4595" s="10"/>
      <c r="AG4595" s="10"/>
      <c r="AH4595" s="10"/>
    </row>
    <row r="4596" spans="1:34" outlineLevel="2">
      <c r="A4596" s="70"/>
      <c r="B4596" s="12" t="str">
        <f>IFERROR(VLOOKUP(D4596,'[1]Перечень товаров'!$A$2:$I9525,2,0),"")</f>
        <v>тм168</v>
      </c>
      <c r="C4596" s="12" t="str">
        <f>IFERROR(VLOOKUP(D4596,'[1]Перечень товаров'!$A$2:$I9525,3,0),"")</f>
        <v>Техника муз</v>
      </c>
      <c r="D4596" s="71" t="s">
        <v>1352</v>
      </c>
      <c r="E4596" s="72"/>
      <c r="F4596" s="72"/>
      <c r="G4596" s="73">
        <v>2</v>
      </c>
      <c r="H4596" s="73"/>
      <c r="I4596" s="74"/>
      <c r="J4596" s="74"/>
      <c r="K4596" s="19"/>
      <c r="L4596" s="20"/>
      <c r="M4596" s="10"/>
      <c r="N4596" s="10"/>
      <c r="O4596" s="10"/>
      <c r="P4596" s="10"/>
      <c r="Q4596" s="10"/>
      <c r="R4596" s="10"/>
      <c r="S4596" s="10"/>
      <c r="T4596" s="10"/>
      <c r="U4596" s="10"/>
      <c r="V4596" s="10"/>
      <c r="W4596" s="10"/>
      <c r="X4596" s="10"/>
      <c r="Y4596" s="10"/>
      <c r="Z4596" s="10"/>
      <c r="AA4596" s="10"/>
      <c r="AB4596" s="10"/>
      <c r="AC4596" s="10"/>
      <c r="AD4596" s="10"/>
      <c r="AE4596" s="10"/>
      <c r="AF4596" s="10"/>
      <c r="AG4596" s="10"/>
      <c r="AH4596" s="10"/>
    </row>
    <row r="4597" spans="1:34" outlineLevel="2">
      <c r="A4597" s="70"/>
      <c r="B4597" s="12" t="str">
        <f>IFERROR(VLOOKUP(D4597,'[1]Перечень товаров'!$A$2:$I9525,2,0),"")</f>
        <v>тм167</v>
      </c>
      <c r="C4597" s="12" t="str">
        <f>IFERROR(VLOOKUP(D4597,'[1]Перечень товаров'!$A$2:$I9525,3,0),"")</f>
        <v>Техника муз</v>
      </c>
      <c r="D4597" s="71" t="s">
        <v>1353</v>
      </c>
      <c r="E4597" s="72"/>
      <c r="F4597" s="72"/>
      <c r="G4597" s="73">
        <v>2</v>
      </c>
      <c r="H4597" s="73"/>
      <c r="I4597" s="74"/>
      <c r="J4597" s="74"/>
      <c r="K4597" s="19"/>
      <c r="L4597" s="20"/>
      <c r="M4597" s="10"/>
      <c r="N4597" s="10"/>
      <c r="O4597" s="10"/>
      <c r="P4597" s="10"/>
      <c r="Q4597" s="10"/>
      <c r="R4597" s="10"/>
      <c r="S4597" s="10"/>
      <c r="T4597" s="10"/>
      <c r="U4597" s="10"/>
      <c r="V4597" s="10"/>
      <c r="W4597" s="10"/>
      <c r="X4597" s="10"/>
      <c r="Y4597" s="10"/>
      <c r="Z4597" s="10"/>
      <c r="AA4597" s="10"/>
      <c r="AB4597" s="10"/>
      <c r="AC4597" s="10"/>
      <c r="AD4597" s="10"/>
      <c r="AE4597" s="10"/>
      <c r="AF4597" s="10"/>
      <c r="AG4597" s="10"/>
      <c r="AH4597" s="10"/>
    </row>
    <row r="4598" spans="1:34" outlineLevel="2">
      <c r="A4598" s="70"/>
      <c r="B4598" s="12" t="str">
        <f>IFERROR(VLOOKUP(D4598,'[1]Перечень товаров'!$A$2:$I9525,2,0),"")</f>
        <v>тм166</v>
      </c>
      <c r="C4598" s="12" t="str">
        <f>IFERROR(VLOOKUP(D4598,'[1]Перечень товаров'!$A$2:$I9525,3,0),"")</f>
        <v>Техника муз</v>
      </c>
      <c r="D4598" s="71" t="s">
        <v>1354</v>
      </c>
      <c r="E4598" s="72"/>
      <c r="F4598" s="72"/>
      <c r="G4598" s="73">
        <v>2</v>
      </c>
      <c r="H4598" s="73"/>
      <c r="I4598" s="74"/>
      <c r="J4598" s="74"/>
      <c r="K4598" s="19"/>
      <c r="L4598" s="20"/>
      <c r="M4598" s="10"/>
      <c r="N4598" s="10"/>
      <c r="O4598" s="10"/>
      <c r="P4598" s="10"/>
      <c r="Q4598" s="10"/>
      <c r="R4598" s="10"/>
      <c r="S4598" s="10"/>
      <c r="T4598" s="10"/>
      <c r="U4598" s="10"/>
      <c r="V4598" s="10"/>
      <c r="W4598" s="10"/>
      <c r="X4598" s="10"/>
      <c r="Y4598" s="10"/>
      <c r="Z4598" s="10"/>
      <c r="AA4598" s="10"/>
      <c r="AB4598" s="10"/>
      <c r="AC4598" s="10"/>
      <c r="AD4598" s="10"/>
      <c r="AE4598" s="10"/>
      <c r="AF4598" s="10"/>
      <c r="AG4598" s="10"/>
      <c r="AH4598" s="10"/>
    </row>
    <row r="4599" spans="1:34" outlineLevel="2">
      <c r="A4599" s="70"/>
      <c r="B4599" s="12" t="str">
        <f>IFERROR(VLOOKUP(D4599,'[1]Перечень товаров'!$A$2:$I9525,2,0),"")</f>
        <v>тм165</v>
      </c>
      <c r="C4599" s="12" t="str">
        <f>IFERROR(VLOOKUP(D4599,'[1]Перечень товаров'!$A$2:$I9525,3,0),"")</f>
        <v>Техника муз</v>
      </c>
      <c r="D4599" s="71" t="s">
        <v>1355</v>
      </c>
      <c r="E4599" s="72"/>
      <c r="F4599" s="72"/>
      <c r="G4599" s="73">
        <v>2</v>
      </c>
      <c r="H4599" s="73"/>
      <c r="I4599" s="74"/>
      <c r="J4599" s="74"/>
      <c r="K4599" s="19"/>
      <c r="L4599" s="20"/>
      <c r="M4599" s="10"/>
      <c r="N4599" s="10"/>
      <c r="O4599" s="10"/>
      <c r="P4599" s="10"/>
      <c r="Q4599" s="10"/>
      <c r="R4599" s="10"/>
      <c r="S4599" s="10"/>
      <c r="T4599" s="10"/>
      <c r="U4599" s="10"/>
      <c r="V4599" s="10"/>
      <c r="W4599" s="10"/>
      <c r="X4599" s="10"/>
      <c r="Y4599" s="10"/>
      <c r="Z4599" s="10"/>
      <c r="AA4599" s="10"/>
      <c r="AB4599" s="10"/>
      <c r="AC4599" s="10"/>
      <c r="AD4599" s="10"/>
      <c r="AE4599" s="10"/>
      <c r="AF4599" s="10"/>
      <c r="AG4599" s="10"/>
      <c r="AH4599" s="10"/>
    </row>
    <row r="4600" spans="1:34" outlineLevel="2">
      <c r="A4600" s="70"/>
      <c r="B4600" s="12" t="str">
        <f>IFERROR(VLOOKUP(D4600,'[1]Перечень товаров'!$A$2:$I9525,2,0),"")</f>
        <v>тм282</v>
      </c>
      <c r="C4600" s="12" t="str">
        <f>IFERROR(VLOOKUP(D4600,'[1]Перечень товаров'!$A$2:$I9525,3,0),"")</f>
        <v>Техника муз</v>
      </c>
      <c r="D4600" s="71" t="s">
        <v>614</v>
      </c>
      <c r="E4600" s="72"/>
      <c r="F4600" s="72"/>
      <c r="G4600" s="73">
        <v>2</v>
      </c>
      <c r="H4600" s="73"/>
      <c r="I4600" s="74"/>
      <c r="J4600" s="74"/>
      <c r="K4600" s="19"/>
      <c r="L4600" s="20"/>
      <c r="M4600" s="10"/>
      <c r="N4600" s="10"/>
      <c r="O4600" s="10"/>
      <c r="P4600" s="10"/>
      <c r="Q4600" s="10"/>
      <c r="R4600" s="10"/>
      <c r="S4600" s="10"/>
      <c r="T4600" s="10"/>
      <c r="U4600" s="10"/>
      <c r="V4600" s="10"/>
      <c r="W4600" s="10"/>
      <c r="X4600" s="10"/>
      <c r="Y4600" s="10"/>
      <c r="Z4600" s="10"/>
      <c r="AA4600" s="10"/>
      <c r="AB4600" s="10"/>
      <c r="AC4600" s="10"/>
      <c r="AD4600" s="10"/>
      <c r="AE4600" s="10"/>
      <c r="AF4600" s="10"/>
      <c r="AG4600" s="10"/>
      <c r="AH4600" s="10"/>
    </row>
    <row r="4601" spans="1:34" outlineLevel="2">
      <c r="A4601" s="70"/>
      <c r="B4601" s="12" t="str">
        <f>IFERROR(VLOOKUP(D4601,'[1]Перечень товаров'!$A$2:$I9525,2,0),"")</f>
        <v>тм164</v>
      </c>
      <c r="C4601" s="12" t="str">
        <f>IFERROR(VLOOKUP(D4601,'[1]Перечень товаров'!$A$2:$I9525,3,0),"")</f>
        <v>Техника муз</v>
      </c>
      <c r="D4601" s="71" t="s">
        <v>1356</v>
      </c>
      <c r="E4601" s="72"/>
      <c r="F4601" s="72"/>
      <c r="G4601" s="73">
        <v>2</v>
      </c>
      <c r="H4601" s="73"/>
      <c r="I4601" s="74"/>
      <c r="J4601" s="74"/>
      <c r="K4601" s="19"/>
      <c r="L4601" s="20"/>
      <c r="M4601" s="10"/>
      <c r="N4601" s="10"/>
      <c r="O4601" s="10"/>
      <c r="P4601" s="10"/>
      <c r="Q4601" s="10"/>
      <c r="R4601" s="10"/>
      <c r="S4601" s="10"/>
      <c r="T4601" s="10"/>
      <c r="U4601" s="10"/>
      <c r="V4601" s="10"/>
      <c r="W4601" s="10"/>
      <c r="X4601" s="10"/>
      <c r="Y4601" s="10"/>
      <c r="Z4601" s="10"/>
      <c r="AA4601" s="10"/>
      <c r="AB4601" s="10"/>
      <c r="AC4601" s="10"/>
      <c r="AD4601" s="10"/>
      <c r="AE4601" s="10"/>
      <c r="AF4601" s="10"/>
      <c r="AG4601" s="10"/>
      <c r="AH4601" s="10"/>
    </row>
    <row r="4602" spans="1:34" outlineLevel="2">
      <c r="A4602" s="70"/>
      <c r="B4602" s="12" t="str">
        <f>IFERROR(VLOOKUP(D4602,'[1]Перечень товаров'!$A$2:$I9525,2,0),"")</f>
        <v>тм163</v>
      </c>
      <c r="C4602" s="12" t="str">
        <f>IFERROR(VLOOKUP(D4602,'[1]Перечень товаров'!$A$2:$I9525,3,0),"")</f>
        <v>Техника муз</v>
      </c>
      <c r="D4602" s="71" t="s">
        <v>1357</v>
      </c>
      <c r="E4602" s="72"/>
      <c r="F4602" s="72"/>
      <c r="G4602" s="73">
        <v>2</v>
      </c>
      <c r="H4602" s="73"/>
      <c r="I4602" s="74"/>
      <c r="J4602" s="74"/>
      <c r="K4602" s="19"/>
      <c r="L4602" s="20"/>
      <c r="M4602" s="10"/>
      <c r="N4602" s="10"/>
      <c r="O4602" s="10"/>
      <c r="P4602" s="10"/>
      <c r="Q4602" s="10"/>
      <c r="R4602" s="10"/>
      <c r="S4602" s="10"/>
      <c r="T4602" s="10"/>
      <c r="U4602" s="10"/>
      <c r="V4602" s="10"/>
      <c r="W4602" s="10"/>
      <c r="X4602" s="10"/>
      <c r="Y4602" s="10"/>
      <c r="Z4602" s="10"/>
      <c r="AA4602" s="10"/>
      <c r="AB4602" s="10"/>
      <c r="AC4602" s="10"/>
      <c r="AD4602" s="10"/>
      <c r="AE4602" s="10"/>
      <c r="AF4602" s="10"/>
      <c r="AG4602" s="10"/>
      <c r="AH4602" s="10"/>
    </row>
    <row r="4603" spans="1:34" outlineLevel="2">
      <c r="A4603" s="70"/>
      <c r="B4603" s="12" t="str">
        <f>IFERROR(VLOOKUP(D4603,'[1]Перечень товаров'!$A$2:$I9525,2,0),"")</f>
        <v>тм162</v>
      </c>
      <c r="C4603" s="12" t="str">
        <f>IFERROR(VLOOKUP(D4603,'[1]Перечень товаров'!$A$2:$I9525,3,0),"")</f>
        <v>Техника муз</v>
      </c>
      <c r="D4603" s="71" t="s">
        <v>1358</v>
      </c>
      <c r="E4603" s="72"/>
      <c r="F4603" s="72"/>
      <c r="G4603" s="73">
        <v>2</v>
      </c>
      <c r="H4603" s="73"/>
      <c r="I4603" s="74"/>
      <c r="J4603" s="74"/>
      <c r="K4603" s="19"/>
      <c r="L4603" s="20"/>
      <c r="M4603" s="10"/>
      <c r="N4603" s="10"/>
      <c r="O4603" s="10"/>
      <c r="P4603" s="10"/>
      <c r="Q4603" s="10"/>
      <c r="R4603" s="10"/>
      <c r="S4603" s="10"/>
      <c r="T4603" s="10"/>
      <c r="U4603" s="10"/>
      <c r="V4603" s="10"/>
      <c r="W4603" s="10"/>
      <c r="X4603" s="10"/>
      <c r="Y4603" s="10"/>
      <c r="Z4603" s="10"/>
      <c r="AA4603" s="10"/>
      <c r="AB4603" s="10"/>
      <c r="AC4603" s="10"/>
      <c r="AD4603" s="10"/>
      <c r="AE4603" s="10"/>
      <c r="AF4603" s="10"/>
      <c r="AG4603" s="10"/>
      <c r="AH4603" s="10"/>
    </row>
    <row r="4604" spans="1:34" outlineLevel="2">
      <c r="A4604" s="70"/>
      <c r="B4604" s="12" t="str">
        <f>IFERROR(VLOOKUP(D4604,'[1]Перечень товаров'!$A$2:$I9525,2,0),"")</f>
        <v>тм161</v>
      </c>
      <c r="C4604" s="12" t="str">
        <f>IFERROR(VLOOKUP(D4604,'[1]Перечень товаров'!$A$2:$I9525,3,0),"")</f>
        <v>Техника муз</v>
      </c>
      <c r="D4604" s="71" t="s">
        <v>1359</v>
      </c>
      <c r="E4604" s="72"/>
      <c r="F4604" s="72"/>
      <c r="G4604" s="73">
        <v>2</v>
      </c>
      <c r="H4604" s="73"/>
      <c r="I4604" s="74"/>
      <c r="J4604" s="74"/>
      <c r="K4604" s="19"/>
      <c r="L4604" s="20"/>
      <c r="M4604" s="10"/>
      <c r="N4604" s="10"/>
      <c r="O4604" s="10"/>
      <c r="P4604" s="10"/>
      <c r="Q4604" s="10"/>
      <c r="R4604" s="10"/>
      <c r="S4604" s="10"/>
      <c r="T4604" s="10"/>
      <c r="U4604" s="10"/>
      <c r="V4604" s="10"/>
      <c r="W4604" s="10"/>
      <c r="X4604" s="10"/>
      <c r="Y4604" s="10"/>
      <c r="Z4604" s="10"/>
      <c r="AA4604" s="10"/>
      <c r="AB4604" s="10"/>
      <c r="AC4604" s="10"/>
      <c r="AD4604" s="10"/>
      <c r="AE4604" s="10"/>
      <c r="AF4604" s="10"/>
      <c r="AG4604" s="10"/>
      <c r="AH4604" s="10"/>
    </row>
    <row r="4605" spans="1:34" outlineLevel="2">
      <c r="A4605" s="70"/>
      <c r="B4605" s="12" t="str">
        <f>IFERROR(VLOOKUP(D4605,'[1]Перечень товаров'!$A$2:$I9525,2,0),"")</f>
        <v>тм160</v>
      </c>
      <c r="C4605" s="12" t="str">
        <f>IFERROR(VLOOKUP(D4605,'[1]Перечень товаров'!$A$2:$I9525,3,0),"")</f>
        <v>Техника муз</v>
      </c>
      <c r="D4605" s="71" t="s">
        <v>1360</v>
      </c>
      <c r="E4605" s="72"/>
      <c r="F4605" s="72"/>
      <c r="G4605" s="73">
        <v>2</v>
      </c>
      <c r="H4605" s="73"/>
      <c r="I4605" s="74"/>
      <c r="J4605" s="74"/>
      <c r="K4605" s="19"/>
      <c r="L4605" s="20"/>
      <c r="M4605" s="10"/>
      <c r="N4605" s="10"/>
      <c r="O4605" s="10"/>
      <c r="P4605" s="10"/>
      <c r="Q4605" s="10"/>
      <c r="R4605" s="10"/>
      <c r="S4605" s="10"/>
      <c r="T4605" s="10"/>
      <c r="U4605" s="10"/>
      <c r="V4605" s="10"/>
      <c r="W4605" s="10"/>
      <c r="X4605" s="10"/>
      <c r="Y4605" s="10"/>
      <c r="Z4605" s="10"/>
      <c r="AA4605" s="10"/>
      <c r="AB4605" s="10"/>
      <c r="AC4605" s="10"/>
      <c r="AD4605" s="10"/>
      <c r="AE4605" s="10"/>
      <c r="AF4605" s="10"/>
      <c r="AG4605" s="10"/>
      <c r="AH4605" s="10"/>
    </row>
    <row r="4606" spans="1:34" outlineLevel="2">
      <c r="A4606" s="70"/>
      <c r="B4606" s="12" t="str">
        <f>IFERROR(VLOOKUP(D4606,'[1]Перечень товаров'!$A$2:$I9525,2,0),"")</f>
        <v>тм159</v>
      </c>
      <c r="C4606" s="12" t="str">
        <f>IFERROR(VLOOKUP(D4606,'[1]Перечень товаров'!$A$2:$I9525,3,0),"")</f>
        <v>Техника муз</v>
      </c>
      <c r="D4606" s="71" t="s">
        <v>1361</v>
      </c>
      <c r="E4606" s="72"/>
      <c r="F4606" s="72"/>
      <c r="G4606" s="73">
        <v>2</v>
      </c>
      <c r="H4606" s="73"/>
      <c r="I4606" s="74"/>
      <c r="J4606" s="74"/>
      <c r="K4606" s="19"/>
      <c r="L4606" s="20"/>
      <c r="M4606" s="10"/>
      <c r="N4606" s="10"/>
      <c r="O4606" s="10"/>
      <c r="P4606" s="10"/>
      <c r="Q4606" s="10"/>
      <c r="R4606" s="10"/>
      <c r="S4606" s="10"/>
      <c r="T4606" s="10"/>
      <c r="U4606" s="10"/>
      <c r="V4606" s="10"/>
      <c r="W4606" s="10"/>
      <c r="X4606" s="10"/>
      <c r="Y4606" s="10"/>
      <c r="Z4606" s="10"/>
      <c r="AA4606" s="10"/>
      <c r="AB4606" s="10"/>
      <c r="AC4606" s="10"/>
      <c r="AD4606" s="10"/>
      <c r="AE4606" s="10"/>
      <c r="AF4606" s="10"/>
      <c r="AG4606" s="10"/>
      <c r="AH4606" s="10"/>
    </row>
    <row r="4607" spans="1:34" outlineLevel="2">
      <c r="A4607" s="70"/>
      <c r="B4607" s="12" t="str">
        <f>IFERROR(VLOOKUP(D4607,'[1]Перечень товаров'!$A$2:$I9525,2,0),"")</f>
        <v>тм158</v>
      </c>
      <c r="C4607" s="12" t="str">
        <f>IFERROR(VLOOKUP(D4607,'[1]Перечень товаров'!$A$2:$I9525,3,0),"")</f>
        <v>Техника муз</v>
      </c>
      <c r="D4607" s="71" t="s">
        <v>1362</v>
      </c>
      <c r="E4607" s="72"/>
      <c r="F4607" s="72"/>
      <c r="G4607" s="73">
        <v>2</v>
      </c>
      <c r="H4607" s="73"/>
      <c r="I4607" s="74"/>
      <c r="J4607" s="74"/>
      <c r="K4607" s="19"/>
      <c r="L4607" s="20"/>
      <c r="M4607" s="10"/>
      <c r="N4607" s="10"/>
      <c r="O4607" s="10"/>
      <c r="P4607" s="10"/>
      <c r="Q4607" s="10"/>
      <c r="R4607" s="10"/>
      <c r="S4607" s="10"/>
      <c r="T4607" s="10"/>
      <c r="U4607" s="10"/>
      <c r="V4607" s="10"/>
      <c r="W4607" s="10"/>
      <c r="X4607" s="10"/>
      <c r="Y4607" s="10"/>
      <c r="Z4607" s="10"/>
      <c r="AA4607" s="10"/>
      <c r="AB4607" s="10"/>
      <c r="AC4607" s="10"/>
      <c r="AD4607" s="10"/>
      <c r="AE4607" s="10"/>
      <c r="AF4607" s="10"/>
      <c r="AG4607" s="10"/>
      <c r="AH4607" s="10"/>
    </row>
    <row r="4608" spans="1:34" outlineLevel="2">
      <c r="A4608" s="70"/>
      <c r="B4608" s="12" t="str">
        <f>IFERROR(VLOOKUP(D4608,'[1]Перечень товаров'!$A$2:$I9525,2,0),"")</f>
        <v>тм157</v>
      </c>
      <c r="C4608" s="12" t="str">
        <f>IFERROR(VLOOKUP(D4608,'[1]Перечень товаров'!$A$2:$I9525,3,0),"")</f>
        <v>Техника муз</v>
      </c>
      <c r="D4608" s="71" t="s">
        <v>1363</v>
      </c>
      <c r="E4608" s="30"/>
      <c r="F4608" s="30"/>
      <c r="G4608" s="59">
        <v>2</v>
      </c>
      <c r="H4608" s="59"/>
      <c r="I4608" s="60"/>
      <c r="J4608" s="60"/>
      <c r="K4608" s="19"/>
      <c r="L4608" s="20"/>
      <c r="M4608" s="10"/>
      <c r="N4608" s="10"/>
      <c r="O4608" s="10"/>
      <c r="P4608" s="10"/>
      <c r="Q4608" s="10"/>
      <c r="R4608" s="10"/>
      <c r="S4608" s="10"/>
      <c r="T4608" s="10"/>
      <c r="U4608" s="10"/>
      <c r="V4608" s="10"/>
      <c r="W4608" s="10"/>
      <c r="X4608" s="10"/>
      <c r="Y4608" s="10"/>
      <c r="Z4608" s="10"/>
      <c r="AA4608" s="10"/>
      <c r="AB4608" s="10"/>
      <c r="AC4608" s="10"/>
      <c r="AD4608" s="10"/>
      <c r="AE4608" s="10"/>
      <c r="AF4608" s="10"/>
      <c r="AG4608" s="10"/>
      <c r="AH4608" s="10"/>
    </row>
    <row r="4609" spans="1:34" outlineLevel="2">
      <c r="A4609" s="70"/>
      <c r="B4609" s="12" t="str">
        <f>IFERROR(VLOOKUP(D4609,'[1]Перечень товаров'!$A$2:$I9525,2,0),"")</f>
        <v>тм156</v>
      </c>
      <c r="C4609" s="12" t="str">
        <f>IFERROR(VLOOKUP(D4609,'[1]Перечень товаров'!$A$2:$I9525,3,0),"")</f>
        <v>Техника муз</v>
      </c>
      <c r="D4609" s="71" t="s">
        <v>1364</v>
      </c>
      <c r="E4609" s="30"/>
      <c r="F4609" s="30"/>
      <c r="G4609" s="59">
        <v>2</v>
      </c>
      <c r="H4609" s="59"/>
      <c r="I4609" s="60"/>
      <c r="J4609" s="60"/>
      <c r="K4609" s="19"/>
      <c r="L4609" s="20"/>
      <c r="M4609" s="10"/>
      <c r="N4609" s="10"/>
      <c r="O4609" s="10"/>
      <c r="P4609" s="10"/>
      <c r="Q4609" s="10"/>
      <c r="R4609" s="10"/>
      <c r="S4609" s="10"/>
      <c r="T4609" s="10"/>
      <c r="U4609" s="10"/>
      <c r="V4609" s="10"/>
      <c r="W4609" s="10"/>
      <c r="X4609" s="10"/>
      <c r="Y4609" s="10"/>
      <c r="Z4609" s="10"/>
      <c r="AA4609" s="10"/>
      <c r="AB4609" s="10"/>
      <c r="AC4609" s="10"/>
      <c r="AD4609" s="10"/>
      <c r="AE4609" s="10"/>
      <c r="AF4609" s="10"/>
      <c r="AG4609" s="10"/>
      <c r="AH4609" s="10"/>
    </row>
    <row r="4610" spans="1:34" outlineLevel="2">
      <c r="A4610" s="70"/>
      <c r="B4610" s="12" t="str">
        <f>IFERROR(VLOOKUP(D4610,'[1]Перечень товаров'!$A$2:$I9525,2,0),"")</f>
        <v>тм155</v>
      </c>
      <c r="C4610" s="12" t="str">
        <f>IFERROR(VLOOKUP(D4610,'[1]Перечень товаров'!$A$2:$I9525,3,0),"")</f>
        <v>Техника муз</v>
      </c>
      <c r="D4610" s="71" t="s">
        <v>1365</v>
      </c>
      <c r="E4610" s="72"/>
      <c r="F4610" s="72"/>
      <c r="G4610" s="73">
        <v>2</v>
      </c>
      <c r="H4610" s="73"/>
      <c r="I4610" s="74"/>
      <c r="J4610" s="74"/>
      <c r="K4610" s="19"/>
      <c r="L4610" s="20"/>
      <c r="M4610" s="10"/>
      <c r="N4610" s="10"/>
      <c r="O4610" s="10"/>
      <c r="P4610" s="10"/>
      <c r="Q4610" s="10"/>
      <c r="R4610" s="10"/>
      <c r="S4610" s="10"/>
      <c r="T4610" s="10"/>
      <c r="U4610" s="10"/>
      <c r="V4610" s="10"/>
      <c r="W4610" s="10"/>
      <c r="X4610" s="10"/>
      <c r="Y4610" s="10"/>
      <c r="Z4610" s="10"/>
      <c r="AA4610" s="10"/>
      <c r="AB4610" s="10"/>
      <c r="AC4610" s="10"/>
      <c r="AD4610" s="10"/>
      <c r="AE4610" s="10"/>
      <c r="AF4610" s="10"/>
      <c r="AG4610" s="10"/>
      <c r="AH4610" s="10"/>
    </row>
    <row r="4611" spans="1:34" outlineLevel="2">
      <c r="A4611" s="70"/>
      <c r="B4611" s="12" t="str">
        <f>IFERROR(VLOOKUP(D4611,'[1]Перечень товаров'!$A$2:$I9525,2,0),"")</f>
        <v>т123</v>
      </c>
      <c r="C4611" s="12" t="str">
        <f>IFERROR(VLOOKUP(D4611,'[1]Перечень товаров'!$A$2:$I9525,3,0),"")</f>
        <v>Техника</v>
      </c>
      <c r="D4611" s="71" t="s">
        <v>1366</v>
      </c>
      <c r="E4611" s="72"/>
      <c r="F4611" s="72"/>
      <c r="G4611" s="73">
        <v>1</v>
      </c>
      <c r="H4611" s="73"/>
      <c r="I4611" s="74"/>
      <c r="J4611" s="74"/>
      <c r="K4611" s="19"/>
      <c r="L4611" s="20"/>
      <c r="M4611" s="10"/>
      <c r="N4611" s="10"/>
      <c r="O4611" s="10"/>
      <c r="P4611" s="10"/>
      <c r="Q4611" s="10"/>
      <c r="R4611" s="10"/>
      <c r="S4611" s="10"/>
      <c r="T4611" s="10"/>
      <c r="U4611" s="10"/>
      <c r="V4611" s="10"/>
      <c r="W4611" s="10"/>
      <c r="X4611" s="10"/>
      <c r="Y4611" s="10"/>
      <c r="Z4611" s="10"/>
      <c r="AA4611" s="10"/>
      <c r="AB4611" s="10"/>
      <c r="AC4611" s="10"/>
      <c r="AD4611" s="10"/>
      <c r="AE4611" s="10"/>
      <c r="AF4611" s="10"/>
      <c r="AG4611" s="10"/>
      <c r="AH4611" s="10"/>
    </row>
    <row r="4612" spans="1:34" outlineLevel="2">
      <c r="A4612" s="109"/>
      <c r="B4612" s="12" t="str">
        <f>IFERROR(VLOOKUP(D4612,'[1]Перечень товаров'!$A$2:$I9525,2,0),"")</f>
        <v/>
      </c>
      <c r="C4612" s="12" t="str">
        <f>IFERROR(VLOOKUP(D4612,'[1]Перечень товаров'!$A$2:$I9525,3,0),"")</f>
        <v/>
      </c>
      <c r="D4612" s="110" t="s">
        <v>27</v>
      </c>
      <c r="E4612" s="244"/>
      <c r="F4612" s="244"/>
      <c r="G4612" s="73"/>
      <c r="H4612" s="73"/>
      <c r="I4612" s="74"/>
      <c r="J4612" s="74"/>
      <c r="K4612" s="19"/>
      <c r="L4612" s="20"/>
      <c r="M4612" s="10"/>
      <c r="N4612" s="10"/>
      <c r="O4612" s="10"/>
      <c r="P4612" s="10"/>
      <c r="Q4612" s="10"/>
      <c r="R4612" s="10"/>
      <c r="S4612" s="10"/>
      <c r="T4612" s="10"/>
      <c r="U4612" s="10"/>
      <c r="V4612" s="10"/>
      <c r="W4612" s="10"/>
      <c r="X4612" s="10"/>
      <c r="Y4612" s="10"/>
      <c r="Z4612" s="10"/>
      <c r="AA4612" s="10"/>
      <c r="AB4612" s="10"/>
      <c r="AC4612" s="10"/>
      <c r="AD4612" s="10"/>
      <c r="AE4612" s="10"/>
      <c r="AF4612" s="10"/>
      <c r="AG4612" s="10"/>
      <c r="AH4612" s="10"/>
    </row>
    <row r="4613" spans="1:34" outlineLevel="2">
      <c r="A4613" s="70"/>
      <c r="B4613" s="12" t="str">
        <f>IFERROR(VLOOKUP(D4613,'[1]Перечень товаров'!$A$2:$I9525,2,0),"")</f>
        <v>т122</v>
      </c>
      <c r="C4613" s="12" t="str">
        <f>IFERROR(VLOOKUP(D4613,'[1]Перечень товаров'!$A$2:$I9525,3,0),"")</f>
        <v>Техника</v>
      </c>
      <c r="D4613" s="71" t="s">
        <v>1367</v>
      </c>
      <c r="E4613" s="72"/>
      <c r="F4613" s="72"/>
      <c r="G4613" s="73">
        <v>2</v>
      </c>
      <c r="H4613" s="73"/>
      <c r="I4613" s="74"/>
      <c r="J4613" s="74"/>
      <c r="K4613" s="19"/>
      <c r="L4613" s="20"/>
      <c r="M4613" s="10"/>
      <c r="N4613" s="10"/>
      <c r="O4613" s="10"/>
      <c r="P4613" s="10"/>
      <c r="Q4613" s="10"/>
      <c r="R4613" s="10"/>
      <c r="S4613" s="10"/>
      <c r="T4613" s="10"/>
      <c r="U4613" s="10"/>
      <c r="V4613" s="10"/>
      <c r="W4613" s="10"/>
      <c r="X4613" s="10"/>
      <c r="Y4613" s="10"/>
      <c r="Z4613" s="10"/>
      <c r="AA4613" s="10"/>
      <c r="AB4613" s="10"/>
      <c r="AC4613" s="10"/>
      <c r="AD4613" s="10"/>
      <c r="AE4613" s="10"/>
      <c r="AF4613" s="10"/>
      <c r="AG4613" s="10"/>
      <c r="AH4613" s="10"/>
    </row>
    <row r="4614" spans="1:34" ht="31.5" outlineLevel="2">
      <c r="A4614" s="70"/>
      <c r="B4614" s="12" t="str">
        <f>IFERROR(VLOOKUP(D4614,'[1]Перечень товаров'!$A$2:$I9525,2,0),"")</f>
        <v>т121</v>
      </c>
      <c r="C4614" s="12" t="str">
        <f>IFERROR(VLOOKUP(D4614,'[1]Перечень товаров'!$A$2:$I9525,3,0),"")</f>
        <v>Техника</v>
      </c>
      <c r="D4614" s="71" t="s">
        <v>1368</v>
      </c>
      <c r="E4614" s="30"/>
      <c r="F4614" s="30"/>
      <c r="G4614" s="59">
        <v>2</v>
      </c>
      <c r="H4614" s="59"/>
      <c r="I4614" s="60"/>
      <c r="J4614" s="60"/>
      <c r="K4614" s="19"/>
      <c r="L4614" s="20"/>
      <c r="M4614" s="10"/>
      <c r="N4614" s="10"/>
      <c r="O4614" s="10"/>
      <c r="P4614" s="10"/>
      <c r="Q4614" s="10"/>
      <c r="R4614" s="10"/>
      <c r="S4614" s="10"/>
      <c r="T4614" s="10"/>
      <c r="U4614" s="10"/>
      <c r="V4614" s="10"/>
      <c r="W4614" s="10"/>
      <c r="X4614" s="10"/>
      <c r="Y4614" s="10"/>
      <c r="Z4614" s="10"/>
      <c r="AA4614" s="10"/>
      <c r="AB4614" s="10"/>
      <c r="AC4614" s="10"/>
      <c r="AD4614" s="10"/>
      <c r="AE4614" s="10"/>
      <c r="AF4614" s="10"/>
      <c r="AG4614" s="10"/>
      <c r="AH4614" s="10"/>
    </row>
    <row r="4615" spans="1:34" outlineLevel="2">
      <c r="A4615" s="70"/>
      <c r="B4615" s="12" t="str">
        <f>IFERROR(VLOOKUP(D4615,'[1]Перечень товаров'!$A$2:$I9525,2,0),"")</f>
        <v>т1</v>
      </c>
      <c r="C4615" s="12" t="str">
        <f>IFERROR(VLOOKUP(D4615,'[1]Перечень товаров'!$A$2:$I9525,3,0),"")</f>
        <v xml:space="preserve">Техника </v>
      </c>
      <c r="D4615" s="22" t="s">
        <v>28</v>
      </c>
      <c r="E4615" s="72"/>
      <c r="F4615" s="72"/>
      <c r="G4615" s="73">
        <v>2</v>
      </c>
      <c r="H4615" s="73"/>
      <c r="I4615" s="74"/>
      <c r="J4615" s="74"/>
      <c r="K4615" s="19"/>
      <c r="L4615" s="20"/>
      <c r="M4615" s="10"/>
      <c r="N4615" s="10"/>
      <c r="O4615" s="10"/>
      <c r="P4615" s="10"/>
      <c r="Q4615" s="10"/>
      <c r="R4615" s="10"/>
      <c r="S4615" s="10"/>
      <c r="T4615" s="10"/>
      <c r="U4615" s="10"/>
      <c r="V4615" s="10"/>
      <c r="W4615" s="10"/>
      <c r="X4615" s="10"/>
      <c r="Y4615" s="10"/>
      <c r="Z4615" s="10"/>
      <c r="AA4615" s="10"/>
      <c r="AB4615" s="10"/>
      <c r="AC4615" s="10"/>
      <c r="AD4615" s="10"/>
      <c r="AE4615" s="10"/>
      <c r="AF4615" s="10"/>
      <c r="AG4615" s="10"/>
      <c r="AH4615" s="10"/>
    </row>
    <row r="4616" spans="1:34" outlineLevel="2">
      <c r="A4616" s="70"/>
      <c r="B4616" s="12" t="str">
        <f>IFERROR(VLOOKUP(D4616,'[1]Перечень товаров'!$A$2:$I9525,2,0),"")</f>
        <v>т236</v>
      </c>
      <c r="C4616" s="12" t="str">
        <f>IFERROR(VLOOKUP(D4616,'[1]Перечень товаров'!$A$2:$I9525,3,0),"")</f>
        <v>Техника</v>
      </c>
      <c r="D4616" s="35" t="s">
        <v>743</v>
      </c>
      <c r="E4616" s="30"/>
      <c r="F4616" s="30"/>
      <c r="G4616" s="59">
        <v>2</v>
      </c>
      <c r="H4616" s="59"/>
      <c r="I4616" s="60"/>
      <c r="J4616" s="60"/>
      <c r="K4616" s="19"/>
      <c r="L4616" s="20"/>
      <c r="M4616" s="10"/>
      <c r="N4616" s="10"/>
      <c r="O4616" s="10"/>
      <c r="P4616" s="10"/>
      <c r="Q4616" s="10"/>
      <c r="R4616" s="10"/>
      <c r="S4616" s="10"/>
      <c r="T4616" s="10"/>
      <c r="U4616" s="10"/>
      <c r="V4616" s="10"/>
      <c r="W4616" s="10"/>
      <c r="X4616" s="10"/>
      <c r="Y4616" s="10"/>
      <c r="Z4616" s="10"/>
      <c r="AA4616" s="10"/>
      <c r="AB4616" s="10"/>
      <c r="AC4616" s="10"/>
      <c r="AD4616" s="10"/>
      <c r="AE4616" s="10"/>
      <c r="AF4616" s="10"/>
      <c r="AG4616" s="10"/>
      <c r="AH4616" s="10"/>
    </row>
    <row r="4617" spans="1:34" outlineLevel="2">
      <c r="A4617" s="70"/>
      <c r="B4617" s="12" t="str">
        <f>IFERROR(VLOOKUP(D4617,'[1]Перечень товаров'!$A$2:$I9525,2,0),"")</f>
        <v>т120</v>
      </c>
      <c r="C4617" s="12" t="str">
        <f>IFERROR(VLOOKUP(D4617,'[1]Перечень товаров'!$A$2:$I9525,3,0),"")</f>
        <v>Техника</v>
      </c>
      <c r="D4617" s="71" t="s">
        <v>1369</v>
      </c>
      <c r="E4617" s="72"/>
      <c r="F4617" s="72"/>
      <c r="G4617" s="73">
        <v>2</v>
      </c>
      <c r="H4617" s="73"/>
      <c r="I4617" s="74"/>
      <c r="J4617" s="74"/>
      <c r="K4617" s="19"/>
      <c r="L4617" s="20"/>
      <c r="M4617" s="10"/>
      <c r="N4617" s="10"/>
      <c r="O4617" s="10"/>
      <c r="P4617" s="10"/>
      <c r="Q4617" s="10"/>
      <c r="R4617" s="10"/>
      <c r="S4617" s="10"/>
      <c r="T4617" s="10"/>
      <c r="U4617" s="10"/>
      <c r="V4617" s="10"/>
      <c r="W4617" s="10"/>
      <c r="X4617" s="10"/>
      <c r="Y4617" s="10"/>
      <c r="Z4617" s="10"/>
      <c r="AA4617" s="10"/>
      <c r="AB4617" s="10"/>
      <c r="AC4617" s="10"/>
      <c r="AD4617" s="10"/>
      <c r="AE4617" s="10"/>
      <c r="AF4617" s="10"/>
      <c r="AG4617" s="10"/>
      <c r="AH4617" s="10"/>
    </row>
    <row r="4618" spans="1:34" outlineLevel="2">
      <c r="A4618" s="70"/>
      <c r="B4618" s="12" t="str">
        <f>IFERROR(VLOOKUP(D4618,'[1]Перечень товаров'!$A$2:$I9525,2,0),"")</f>
        <v>т119</v>
      </c>
      <c r="C4618" s="12" t="str">
        <f>IFERROR(VLOOKUP(D4618,'[1]Перечень товаров'!$A$2:$I9525,3,0),"")</f>
        <v>Техника</v>
      </c>
      <c r="D4618" s="71" t="s">
        <v>1370</v>
      </c>
      <c r="E4618" s="30"/>
      <c r="F4618" s="30"/>
      <c r="G4618" s="59">
        <v>2</v>
      </c>
      <c r="H4618" s="59"/>
      <c r="I4618" s="60"/>
      <c r="J4618" s="60"/>
      <c r="K4618" s="19"/>
      <c r="L4618" s="20"/>
      <c r="M4618" s="10"/>
      <c r="N4618" s="10"/>
      <c r="O4618" s="10"/>
      <c r="P4618" s="10"/>
      <c r="Q4618" s="10"/>
      <c r="R4618" s="10"/>
      <c r="S4618" s="10"/>
      <c r="T4618" s="10"/>
      <c r="U4618" s="10"/>
      <c r="V4618" s="10"/>
      <c r="W4618" s="10"/>
      <c r="X4618" s="10"/>
      <c r="Y4618" s="10"/>
      <c r="Z4618" s="10"/>
      <c r="AA4618" s="10"/>
      <c r="AB4618" s="10"/>
      <c r="AC4618" s="10"/>
      <c r="AD4618" s="10"/>
      <c r="AE4618" s="10"/>
      <c r="AF4618" s="10"/>
      <c r="AG4618" s="10"/>
      <c r="AH4618" s="10"/>
    </row>
    <row r="4619" spans="1:34" ht="31.5" outlineLevel="2">
      <c r="A4619" s="70"/>
      <c r="B4619" s="12" t="str">
        <f>IFERROR(VLOOKUP(D4619,'[1]Перечень товаров'!$A$2:$I9525,2,0),"")</f>
        <v>т118</v>
      </c>
      <c r="C4619" s="12" t="str">
        <f>IFERROR(VLOOKUP(D4619,'[1]Перечень товаров'!$A$2:$I9525,3,0),"")</f>
        <v>Техника</v>
      </c>
      <c r="D4619" s="71" t="s">
        <v>1371</v>
      </c>
      <c r="E4619" s="72"/>
      <c r="F4619" s="72"/>
      <c r="G4619" s="73">
        <v>2</v>
      </c>
      <c r="H4619" s="73"/>
      <c r="I4619" s="74"/>
      <c r="J4619" s="74"/>
      <c r="K4619" s="19"/>
      <c r="L4619" s="20"/>
      <c r="M4619" s="10"/>
      <c r="N4619" s="10"/>
      <c r="O4619" s="10"/>
      <c r="P4619" s="10"/>
      <c r="Q4619" s="10"/>
      <c r="R4619" s="10"/>
      <c r="S4619" s="10"/>
      <c r="T4619" s="10"/>
      <c r="U4619" s="10"/>
      <c r="V4619" s="10"/>
      <c r="W4619" s="10"/>
      <c r="X4619" s="10"/>
      <c r="Y4619" s="10"/>
      <c r="Z4619" s="10"/>
      <c r="AA4619" s="10"/>
      <c r="AB4619" s="10"/>
      <c r="AC4619" s="10"/>
      <c r="AD4619" s="10"/>
      <c r="AE4619" s="10"/>
      <c r="AF4619" s="10"/>
      <c r="AG4619" s="10"/>
      <c r="AH4619" s="10"/>
    </row>
    <row r="4620" spans="1:34" outlineLevel="2">
      <c r="A4620" s="70"/>
      <c r="B4620" s="12" t="str">
        <f>IFERROR(VLOOKUP(D4620,'[1]Перечень товаров'!$A$2:$I9525,2,0),"")</f>
        <v>т157</v>
      </c>
      <c r="C4620" s="12" t="str">
        <f>IFERROR(VLOOKUP(D4620,'[1]Перечень товаров'!$A$2:$I9525,3,0),"")</f>
        <v>Техника</v>
      </c>
      <c r="D4620" s="71" t="s">
        <v>296</v>
      </c>
      <c r="E4620" s="30"/>
      <c r="F4620" s="30"/>
      <c r="G4620" s="59">
        <v>2</v>
      </c>
      <c r="H4620" s="59"/>
      <c r="I4620" s="60"/>
      <c r="J4620" s="60"/>
      <c r="K4620" s="19"/>
      <c r="L4620" s="20"/>
      <c r="M4620" s="10"/>
      <c r="N4620" s="10"/>
      <c r="O4620" s="10"/>
      <c r="P4620" s="10"/>
      <c r="Q4620" s="10"/>
      <c r="R4620" s="10"/>
      <c r="S4620" s="10"/>
      <c r="T4620" s="10"/>
      <c r="U4620" s="10"/>
      <c r="V4620" s="10"/>
      <c r="W4620" s="10"/>
      <c r="X4620" s="10"/>
      <c r="Y4620" s="10"/>
      <c r="Z4620" s="10"/>
      <c r="AA4620" s="10"/>
      <c r="AB4620" s="10"/>
      <c r="AC4620" s="10"/>
      <c r="AD4620" s="10"/>
      <c r="AE4620" s="10"/>
      <c r="AF4620" s="10"/>
      <c r="AG4620" s="10"/>
      <c r="AH4620" s="10"/>
    </row>
    <row r="4621" spans="1:34" outlineLevel="2">
      <c r="A4621" s="70"/>
      <c r="B4621" s="12" t="str">
        <f>IFERROR(VLOOKUP(D4621,'[1]Перечень товаров'!$A$2:$I9525,2,0),"")</f>
        <v>т9</v>
      </c>
      <c r="C4621" s="12" t="str">
        <f>IFERROR(VLOOKUP(D4621,'[1]Перечень товаров'!$A$2:$I9525,3,0),"")</f>
        <v>Техника</v>
      </c>
      <c r="D4621" s="71" t="s">
        <v>36</v>
      </c>
      <c r="E4621" s="72"/>
      <c r="F4621" s="72"/>
      <c r="G4621" s="73">
        <v>2</v>
      </c>
      <c r="H4621" s="73"/>
      <c r="I4621" s="74"/>
      <c r="J4621" s="74"/>
      <c r="K4621" s="19"/>
      <c r="L4621" s="20"/>
      <c r="M4621" s="10"/>
      <c r="N4621" s="10"/>
      <c r="O4621" s="10"/>
      <c r="P4621" s="10"/>
      <c r="Q4621" s="10"/>
      <c r="R4621" s="10"/>
      <c r="S4621" s="10"/>
      <c r="T4621" s="10"/>
      <c r="U4621" s="10"/>
      <c r="V4621" s="10"/>
      <c r="W4621" s="10"/>
      <c r="X4621" s="10"/>
      <c r="Y4621" s="10"/>
      <c r="Z4621" s="10"/>
      <c r="AA4621" s="10"/>
      <c r="AB4621" s="10"/>
      <c r="AC4621" s="10"/>
      <c r="AD4621" s="10"/>
      <c r="AE4621" s="10"/>
      <c r="AF4621" s="10"/>
      <c r="AG4621" s="10"/>
      <c r="AH4621" s="10"/>
    </row>
    <row r="4622" spans="1:34" outlineLevel="2">
      <c r="A4622" s="70"/>
      <c r="B4622" s="12" t="str">
        <f>IFERROR(VLOOKUP(D4622,'[1]Перечень товаров'!$A$2:$I9525,2,0),"")</f>
        <v>т237</v>
      </c>
      <c r="C4622" s="12" t="str">
        <f>IFERROR(VLOOKUP(D4622,'[1]Перечень товаров'!$A$2:$I9525,3,0),"")</f>
        <v>Техника</v>
      </c>
      <c r="D4622" s="71" t="s">
        <v>744</v>
      </c>
      <c r="E4622" s="30"/>
      <c r="F4622" s="30"/>
      <c r="G4622" s="59">
        <v>4</v>
      </c>
      <c r="H4622" s="59"/>
      <c r="I4622" s="60"/>
      <c r="J4622" s="60"/>
      <c r="K4622" s="19"/>
      <c r="L4622" s="20"/>
      <c r="M4622" s="10"/>
      <c r="N4622" s="10"/>
      <c r="O4622" s="10"/>
      <c r="P4622" s="10"/>
      <c r="Q4622" s="10"/>
      <c r="R4622" s="10"/>
      <c r="S4622" s="10"/>
      <c r="T4622" s="10"/>
      <c r="U4622" s="10"/>
      <c r="V4622" s="10"/>
      <c r="W4622" s="10"/>
      <c r="X4622" s="10"/>
      <c r="Y4622" s="10"/>
      <c r="Z4622" s="10"/>
      <c r="AA4622" s="10"/>
      <c r="AB4622" s="10"/>
      <c r="AC4622" s="10"/>
      <c r="AD4622" s="10"/>
      <c r="AE4622" s="10"/>
      <c r="AF4622" s="10"/>
      <c r="AG4622" s="10"/>
      <c r="AH4622" s="10"/>
    </row>
    <row r="4623" spans="1:34" ht="31.5" outlineLevel="2">
      <c r="A4623" s="70"/>
      <c r="B4623" s="12" t="str">
        <f>IFERROR(VLOOKUP(D4623,'[1]Перечень товаров'!$A$2:$I9525,2,0),"")</f>
        <v>пм126</v>
      </c>
      <c r="C4623" s="12" t="str">
        <f>IFERROR(VLOOKUP(D4623,'[1]Перечень товаров'!$A$2:$I9525,3,0),"")</f>
        <v>прочее муз</v>
      </c>
      <c r="D4623" s="71" t="s">
        <v>1372</v>
      </c>
      <c r="E4623" s="72"/>
      <c r="F4623" s="72"/>
      <c r="G4623" s="73">
        <v>4</v>
      </c>
      <c r="H4623" s="73"/>
      <c r="I4623" s="74"/>
      <c r="J4623" s="74"/>
      <c r="K4623" s="19"/>
      <c r="L4623" s="20"/>
      <c r="M4623" s="10"/>
      <c r="N4623" s="10"/>
      <c r="O4623" s="10"/>
      <c r="P4623" s="10"/>
      <c r="Q4623" s="10"/>
      <c r="R4623" s="10"/>
      <c r="S4623" s="10"/>
      <c r="T4623" s="10"/>
      <c r="U4623" s="10"/>
      <c r="V4623" s="10"/>
      <c r="W4623" s="10"/>
      <c r="X4623" s="10"/>
      <c r="Y4623" s="10"/>
      <c r="Z4623" s="10"/>
      <c r="AA4623" s="10"/>
      <c r="AB4623" s="10"/>
      <c r="AC4623" s="10"/>
      <c r="AD4623" s="10"/>
      <c r="AE4623" s="10"/>
      <c r="AF4623" s="10"/>
      <c r="AG4623" s="10"/>
      <c r="AH4623" s="10"/>
    </row>
    <row r="4624" spans="1:34" outlineLevel="2">
      <c r="A4624" s="70"/>
      <c r="B4624" s="12" t="str">
        <f>IFERROR(VLOOKUP(D4624,'[1]Перечень товаров'!$A$2:$I9525,2,0),"")</f>
        <v>пм125</v>
      </c>
      <c r="C4624" s="12" t="str">
        <f>IFERROR(VLOOKUP(D4624,'[1]Перечень товаров'!$A$2:$I9525,3,0),"")</f>
        <v>прочее муз</v>
      </c>
      <c r="D4624" s="71" t="s">
        <v>1373</v>
      </c>
      <c r="E4624" s="30"/>
      <c r="F4624" s="30"/>
      <c r="G4624" s="59">
        <v>4</v>
      </c>
      <c r="H4624" s="59"/>
      <c r="I4624" s="60"/>
      <c r="J4624" s="60"/>
      <c r="K4624" s="19"/>
      <c r="L4624" s="20"/>
      <c r="M4624" s="10"/>
      <c r="N4624" s="10"/>
      <c r="O4624" s="10"/>
      <c r="P4624" s="10"/>
      <c r="Q4624" s="10"/>
      <c r="R4624" s="10"/>
      <c r="S4624" s="10"/>
      <c r="T4624" s="10"/>
      <c r="U4624" s="10"/>
      <c r="V4624" s="10"/>
      <c r="W4624" s="10"/>
      <c r="X4624" s="10"/>
      <c r="Y4624" s="10"/>
      <c r="Z4624" s="10"/>
      <c r="AA4624" s="10"/>
      <c r="AB4624" s="10"/>
      <c r="AC4624" s="10"/>
      <c r="AD4624" s="10"/>
      <c r="AE4624" s="10"/>
      <c r="AF4624" s="10"/>
      <c r="AG4624" s="10"/>
      <c r="AH4624" s="10"/>
    </row>
    <row r="4625" spans="1:34" outlineLevel="2">
      <c r="A4625" s="70"/>
      <c r="B4625" s="12" t="str">
        <f>IFERROR(VLOOKUP(D4625,'[1]Перечень товаров'!$A$2:$I9525,2,0),"")</f>
        <v>тм154</v>
      </c>
      <c r="C4625" s="12" t="str">
        <f>IFERROR(VLOOKUP(D4625,'[1]Перечень товаров'!$A$2:$I9525,3,0),"")</f>
        <v>Техника муз</v>
      </c>
      <c r="D4625" s="71" t="s">
        <v>1374</v>
      </c>
      <c r="E4625" s="72"/>
      <c r="F4625" s="72"/>
      <c r="G4625" s="73">
        <v>2</v>
      </c>
      <c r="H4625" s="73"/>
      <c r="I4625" s="74"/>
      <c r="J4625" s="74"/>
      <c r="K4625" s="19"/>
      <c r="L4625" s="20"/>
      <c r="M4625" s="10"/>
      <c r="N4625" s="10"/>
      <c r="O4625" s="10"/>
      <c r="P4625" s="10"/>
      <c r="Q4625" s="10"/>
      <c r="R4625" s="10"/>
      <c r="S4625" s="10"/>
      <c r="T4625" s="10"/>
      <c r="U4625" s="10"/>
      <c r="V4625" s="10"/>
      <c r="W4625" s="10"/>
      <c r="X4625" s="10"/>
      <c r="Y4625" s="10"/>
      <c r="Z4625" s="10"/>
      <c r="AA4625" s="10"/>
      <c r="AB4625" s="10"/>
      <c r="AC4625" s="10"/>
      <c r="AD4625" s="10"/>
      <c r="AE4625" s="10"/>
      <c r="AF4625" s="10"/>
      <c r="AG4625" s="10"/>
      <c r="AH4625" s="10"/>
    </row>
    <row r="4626" spans="1:34" outlineLevel="2">
      <c r="A4626" s="70"/>
      <c r="B4626" s="12" t="str">
        <f>IFERROR(VLOOKUP(D4626,'[1]Перечень товаров'!$A$2:$I9525,2,0),"")</f>
        <v>тм74</v>
      </c>
      <c r="C4626" s="12" t="str">
        <f>IFERROR(VLOOKUP(D4626,'[1]Перечень товаров'!$A$2:$I9525,3,0),"")</f>
        <v>Техника муз</v>
      </c>
      <c r="D4626" s="71" t="s">
        <v>421</v>
      </c>
      <c r="E4626" s="72"/>
      <c r="F4626" s="72"/>
      <c r="G4626" s="73">
        <v>2</v>
      </c>
      <c r="H4626" s="73"/>
      <c r="I4626" s="74"/>
      <c r="J4626" s="74"/>
      <c r="K4626" s="19"/>
      <c r="L4626" s="20"/>
      <c r="M4626" s="10"/>
      <c r="N4626" s="10"/>
      <c r="O4626" s="10"/>
      <c r="P4626" s="10"/>
      <c r="Q4626" s="10"/>
      <c r="R4626" s="10"/>
      <c r="S4626" s="10"/>
      <c r="T4626" s="10"/>
      <c r="U4626" s="10"/>
      <c r="V4626" s="10"/>
      <c r="W4626" s="10"/>
      <c r="X4626" s="10"/>
      <c r="Y4626" s="10"/>
      <c r="Z4626" s="10"/>
      <c r="AA4626" s="10"/>
      <c r="AB4626" s="10"/>
      <c r="AC4626" s="10"/>
      <c r="AD4626" s="10"/>
      <c r="AE4626" s="10"/>
      <c r="AF4626" s="10"/>
      <c r="AG4626" s="10"/>
      <c r="AH4626" s="10"/>
    </row>
    <row r="4627" spans="1:34" outlineLevel="2">
      <c r="A4627" s="70"/>
      <c r="B4627" s="12" t="str">
        <f>IFERROR(VLOOKUP(D4627,'[1]Перечень товаров'!$A$2:$I9525,2,0),"")</f>
        <v>тм76</v>
      </c>
      <c r="C4627" s="12" t="str">
        <f>IFERROR(VLOOKUP(D4627,'[1]Перечень товаров'!$A$2:$I9525,3,0),"")</f>
        <v>Техника муз</v>
      </c>
      <c r="D4627" s="71" t="s">
        <v>423</v>
      </c>
      <c r="E4627" s="72"/>
      <c r="F4627" s="72"/>
      <c r="G4627" s="73">
        <v>2</v>
      </c>
      <c r="H4627" s="73"/>
      <c r="I4627" s="74"/>
      <c r="J4627" s="74"/>
      <c r="K4627" s="19"/>
      <c r="L4627" s="20"/>
      <c r="M4627" s="10"/>
      <c r="N4627" s="10"/>
      <c r="O4627" s="10"/>
      <c r="P4627" s="10"/>
      <c r="Q4627" s="10"/>
      <c r="R4627" s="10"/>
      <c r="S4627" s="10"/>
      <c r="T4627" s="10"/>
      <c r="U4627" s="10"/>
      <c r="V4627" s="10"/>
      <c r="W4627" s="10"/>
      <c r="X4627" s="10"/>
      <c r="Y4627" s="10"/>
      <c r="Z4627" s="10"/>
      <c r="AA4627" s="10"/>
      <c r="AB4627" s="10"/>
      <c r="AC4627" s="10"/>
      <c r="AD4627" s="10"/>
      <c r="AE4627" s="10"/>
      <c r="AF4627" s="10"/>
      <c r="AG4627" s="10"/>
      <c r="AH4627" s="10"/>
    </row>
    <row r="4628" spans="1:34" ht="31.5" outlineLevel="2">
      <c r="A4628" s="70"/>
      <c r="B4628" s="12" t="str">
        <f>IFERROR(VLOOKUP(D4628,'[1]Перечень товаров'!$A$2:$I9525,2,0),"")</f>
        <v>тм153</v>
      </c>
      <c r="C4628" s="12" t="str">
        <f>IFERROR(VLOOKUP(D4628,'[1]Перечень товаров'!$A$2:$I9525,3,0),"")</f>
        <v>Техника муз</v>
      </c>
      <c r="D4628" s="71" t="s">
        <v>1375</v>
      </c>
      <c r="E4628" s="72"/>
      <c r="F4628" s="72"/>
      <c r="G4628" s="73">
        <v>2</v>
      </c>
      <c r="H4628" s="73"/>
      <c r="I4628" s="74"/>
      <c r="J4628" s="74"/>
      <c r="K4628" s="19"/>
      <c r="L4628" s="20"/>
      <c r="M4628" s="10"/>
      <c r="N4628" s="10"/>
      <c r="O4628" s="10"/>
      <c r="P4628" s="10"/>
      <c r="Q4628" s="10"/>
      <c r="R4628" s="10"/>
      <c r="S4628" s="10"/>
      <c r="T4628" s="10"/>
      <c r="U4628" s="10"/>
      <c r="V4628" s="10"/>
      <c r="W4628" s="10"/>
      <c r="X4628" s="10"/>
      <c r="Y4628" s="10"/>
      <c r="Z4628" s="10"/>
      <c r="AA4628" s="10"/>
      <c r="AB4628" s="10"/>
      <c r="AC4628" s="10"/>
      <c r="AD4628" s="10"/>
      <c r="AE4628" s="10"/>
      <c r="AF4628" s="10"/>
      <c r="AG4628" s="10"/>
      <c r="AH4628" s="10"/>
    </row>
    <row r="4629" spans="1:34" outlineLevel="2">
      <c r="A4629" s="114"/>
      <c r="B4629" s="12" t="str">
        <f>IFERROR(VLOOKUP(D4629,'[1]Перечень товаров'!$A$2:$I9525,2,0),"")</f>
        <v/>
      </c>
      <c r="C4629" s="12" t="str">
        <f>IFERROR(VLOOKUP(D4629,'[1]Перечень товаров'!$A$2:$I9525,3,0),"")</f>
        <v/>
      </c>
      <c r="D4629" s="114" t="s">
        <v>19</v>
      </c>
      <c r="E4629" s="115"/>
      <c r="F4629" s="115"/>
      <c r="G4629" s="157"/>
      <c r="H4629" s="157"/>
      <c r="I4629" s="158"/>
      <c r="J4629" s="158"/>
      <c r="K4629" s="19"/>
      <c r="L4629" s="20"/>
      <c r="M4629" s="10"/>
      <c r="N4629" s="10"/>
      <c r="O4629" s="10"/>
      <c r="P4629" s="10"/>
      <c r="Q4629" s="10"/>
      <c r="R4629" s="10"/>
      <c r="S4629" s="10"/>
      <c r="T4629" s="10"/>
      <c r="U4629" s="10"/>
      <c r="V4629" s="10"/>
      <c r="W4629" s="10"/>
      <c r="X4629" s="10"/>
      <c r="Y4629" s="10"/>
      <c r="Z4629" s="10"/>
      <c r="AA4629" s="10"/>
      <c r="AB4629" s="10"/>
      <c r="AC4629" s="10"/>
      <c r="AD4629" s="10"/>
      <c r="AE4629" s="10"/>
      <c r="AF4629" s="10"/>
      <c r="AG4629" s="10"/>
      <c r="AH4629" s="10"/>
    </row>
    <row r="4630" spans="1:34" outlineLevel="2">
      <c r="A4630" s="34"/>
      <c r="B4630" s="12" t="str">
        <f>IFERROR(VLOOKUP(D4630,'[1]Перечень товаров'!$A$2:$I9525,2,0),"")</f>
        <v>м62</v>
      </c>
      <c r="C4630" s="12" t="str">
        <f>IFERROR(VLOOKUP(D4630,'[1]Перечень товаров'!$A$2:$I9525,3,0),"")</f>
        <v>Мебель</v>
      </c>
      <c r="D4630" s="35" t="s">
        <v>398</v>
      </c>
      <c r="E4630" s="88"/>
      <c r="F4630" s="88"/>
      <c r="G4630" s="59">
        <v>1</v>
      </c>
      <c r="H4630" s="59"/>
      <c r="I4630" s="60"/>
      <c r="J4630" s="60"/>
      <c r="K4630" s="19"/>
      <c r="L4630" s="20"/>
      <c r="M4630" s="10"/>
      <c r="N4630" s="10"/>
      <c r="O4630" s="10"/>
      <c r="P4630" s="10"/>
      <c r="Q4630" s="10"/>
      <c r="R4630" s="10"/>
      <c r="S4630" s="10"/>
      <c r="T4630" s="10"/>
      <c r="U4630" s="10"/>
      <c r="V4630" s="10"/>
      <c r="W4630" s="10"/>
      <c r="X4630" s="10"/>
      <c r="Y4630" s="10"/>
      <c r="Z4630" s="10"/>
      <c r="AA4630" s="10"/>
      <c r="AB4630" s="10"/>
      <c r="AC4630" s="10"/>
      <c r="AD4630" s="10"/>
      <c r="AE4630" s="10"/>
      <c r="AF4630" s="10"/>
      <c r="AG4630" s="10"/>
      <c r="AH4630" s="10"/>
    </row>
    <row r="4631" spans="1:34" outlineLevel="2">
      <c r="A4631" s="34"/>
      <c r="B4631" s="12" t="str">
        <f>IFERROR(VLOOKUP(D4631,'[1]Перечень товаров'!$A$2:$I9525,2,0),"")</f>
        <v>м61</v>
      </c>
      <c r="C4631" s="12" t="str">
        <f>IFERROR(VLOOKUP(D4631,'[1]Перечень товаров'!$A$2:$I9525,3,0),"")</f>
        <v>Мебель</v>
      </c>
      <c r="D4631" s="35" t="s">
        <v>383</v>
      </c>
      <c r="E4631" s="88"/>
      <c r="F4631" s="88"/>
      <c r="G4631" s="59">
        <v>1</v>
      </c>
      <c r="H4631" s="59"/>
      <c r="I4631" s="60"/>
      <c r="J4631" s="60"/>
      <c r="K4631" s="19"/>
      <c r="L4631" s="20"/>
      <c r="M4631" s="10"/>
      <c r="N4631" s="10"/>
      <c r="O4631" s="10"/>
      <c r="P4631" s="10"/>
      <c r="Q4631" s="10"/>
      <c r="R4631" s="10"/>
      <c r="S4631" s="10"/>
      <c r="T4631" s="10"/>
      <c r="U4631" s="10"/>
      <c r="V4631" s="10"/>
      <c r="W4631" s="10"/>
      <c r="X4631" s="10"/>
      <c r="Y4631" s="10"/>
      <c r="Z4631" s="10"/>
      <c r="AA4631" s="10"/>
      <c r="AB4631" s="10"/>
      <c r="AC4631" s="10"/>
      <c r="AD4631" s="10"/>
      <c r="AE4631" s="10"/>
      <c r="AF4631" s="10"/>
      <c r="AG4631" s="10"/>
      <c r="AH4631" s="10"/>
    </row>
    <row r="4632" spans="1:34" outlineLevel="2">
      <c r="A4632" s="34"/>
      <c r="B4632" s="12" t="str">
        <f>IFERROR(VLOOKUP(D4632,'[1]Перечень товаров'!$A$2:$I9525,2,0),"")</f>
        <v>м179</v>
      </c>
      <c r="C4632" s="12" t="str">
        <f>IFERROR(VLOOKUP(D4632,'[1]Перечень товаров'!$A$2:$I9525,3,0),"")</f>
        <v>Мебель</v>
      </c>
      <c r="D4632" s="35" t="s">
        <v>579</v>
      </c>
      <c r="E4632" s="88"/>
      <c r="F4632" s="88"/>
      <c r="G4632" s="159">
        <v>10</v>
      </c>
      <c r="H4632" s="159"/>
      <c r="I4632" s="160"/>
      <c r="J4632" s="160"/>
      <c r="K4632" s="19"/>
      <c r="L4632" s="20"/>
      <c r="M4632" s="10"/>
      <c r="N4632" s="10"/>
      <c r="O4632" s="10"/>
      <c r="P4632" s="10"/>
      <c r="Q4632" s="10"/>
      <c r="R4632" s="10"/>
      <c r="S4632" s="10"/>
      <c r="T4632" s="10"/>
      <c r="U4632" s="10"/>
      <c r="V4632" s="10"/>
      <c r="W4632" s="10"/>
      <c r="X4632" s="10"/>
      <c r="Y4632" s="10"/>
      <c r="Z4632" s="10"/>
      <c r="AA4632" s="10"/>
      <c r="AB4632" s="10"/>
      <c r="AC4632" s="10"/>
      <c r="AD4632" s="10"/>
      <c r="AE4632" s="10"/>
      <c r="AF4632" s="10"/>
      <c r="AG4632" s="10"/>
      <c r="AH4632" s="10"/>
    </row>
    <row r="4633" spans="1:34" outlineLevel="2">
      <c r="A4633" s="34"/>
      <c r="B4633" s="12" t="str">
        <f>IFERROR(VLOOKUP(D4633,'[1]Перечень товаров'!$A$2:$I9525,2,0),"")</f>
        <v>м61</v>
      </c>
      <c r="C4633" s="12" t="str">
        <f>IFERROR(VLOOKUP(D4633,'[1]Перечень товаров'!$A$2:$I9525,3,0),"")</f>
        <v>Мебель</v>
      </c>
      <c r="D4633" s="35" t="s">
        <v>384</v>
      </c>
      <c r="E4633" s="88"/>
      <c r="F4633" s="88"/>
      <c r="G4633" s="159">
        <v>20</v>
      </c>
      <c r="H4633" s="159"/>
      <c r="I4633" s="160"/>
      <c r="J4633" s="160"/>
      <c r="K4633" s="19"/>
      <c r="L4633" s="20"/>
      <c r="M4633" s="10"/>
      <c r="N4633" s="10"/>
      <c r="O4633" s="10"/>
      <c r="P4633" s="10"/>
      <c r="Q4633" s="10"/>
      <c r="R4633" s="10"/>
      <c r="S4633" s="10"/>
      <c r="T4633" s="10"/>
      <c r="U4633" s="10"/>
      <c r="V4633" s="10"/>
      <c r="W4633" s="10"/>
      <c r="X4633" s="10"/>
      <c r="Y4633" s="10"/>
      <c r="Z4633" s="10"/>
      <c r="AA4633" s="10"/>
      <c r="AB4633" s="10"/>
      <c r="AC4633" s="10"/>
      <c r="AD4633" s="10"/>
      <c r="AE4633" s="10"/>
      <c r="AF4633" s="10"/>
      <c r="AG4633" s="10"/>
      <c r="AH4633" s="10"/>
    </row>
    <row r="4634" spans="1:34" outlineLevel="2">
      <c r="A4634" s="22"/>
      <c r="B4634" s="12" t="str">
        <f>IFERROR(VLOOKUP(D4634,'[1]Перечень товаров'!$A$2:$I9525,2,0),"")</f>
        <v>м13</v>
      </c>
      <c r="C4634" s="12" t="str">
        <f>IFERROR(VLOOKUP(D4634,'[1]Перечень товаров'!$A$2:$I9525,3,0),"")</f>
        <v>Мебель</v>
      </c>
      <c r="D4634" s="22" t="s">
        <v>42</v>
      </c>
      <c r="E4634" s="88"/>
      <c r="F4634" s="88"/>
      <c r="G4634" s="48">
        <v>1</v>
      </c>
      <c r="H4634" s="48"/>
      <c r="I4634" s="49"/>
      <c r="J4634" s="49"/>
      <c r="K4634" s="19"/>
      <c r="L4634" s="20"/>
      <c r="M4634" s="10"/>
      <c r="N4634" s="10"/>
      <c r="O4634" s="10"/>
      <c r="P4634" s="10"/>
      <c r="Q4634" s="10"/>
      <c r="R4634" s="10"/>
      <c r="S4634" s="10"/>
      <c r="T4634" s="10"/>
      <c r="U4634" s="10"/>
      <c r="V4634" s="10"/>
      <c r="W4634" s="10"/>
      <c r="X4634" s="10"/>
      <c r="Y4634" s="10"/>
      <c r="Z4634" s="10"/>
      <c r="AA4634" s="10"/>
      <c r="AB4634" s="10"/>
      <c r="AC4634" s="10"/>
      <c r="AD4634" s="10"/>
      <c r="AE4634" s="10"/>
      <c r="AF4634" s="10"/>
      <c r="AG4634" s="10"/>
      <c r="AH4634" s="10"/>
    </row>
    <row r="4635" spans="1:34" outlineLevel="2">
      <c r="A4635" s="21"/>
      <c r="B4635" s="12" t="str">
        <f>IFERROR(VLOOKUP(D4635,'[1]Перечень товаров'!$A$2:$I9525,2,0),"")</f>
        <v>м14</v>
      </c>
      <c r="C4635" s="12" t="str">
        <f>IFERROR(VLOOKUP(D4635,'[1]Перечень товаров'!$A$2:$I9525,3,0),"")</f>
        <v>Мебель</v>
      </c>
      <c r="D4635" s="22" t="s">
        <v>43</v>
      </c>
      <c r="E4635" s="88"/>
      <c r="F4635" s="88"/>
      <c r="G4635" s="48">
        <v>1</v>
      </c>
      <c r="H4635" s="48"/>
      <c r="I4635" s="49"/>
      <c r="J4635" s="49"/>
      <c r="K4635" s="19"/>
      <c r="L4635" s="20"/>
      <c r="M4635" s="10"/>
      <c r="N4635" s="10"/>
      <c r="O4635" s="10"/>
      <c r="P4635" s="10"/>
      <c r="Q4635" s="10"/>
      <c r="R4635" s="10"/>
      <c r="S4635" s="10"/>
      <c r="T4635" s="10"/>
      <c r="U4635" s="10"/>
      <c r="V4635" s="10"/>
      <c r="W4635" s="10"/>
      <c r="X4635" s="10"/>
      <c r="Y4635" s="10"/>
      <c r="Z4635" s="10"/>
      <c r="AA4635" s="10"/>
      <c r="AB4635" s="10"/>
      <c r="AC4635" s="10"/>
      <c r="AD4635" s="10"/>
      <c r="AE4635" s="10"/>
      <c r="AF4635" s="10"/>
      <c r="AG4635" s="10"/>
      <c r="AH4635" s="10"/>
    </row>
    <row r="4636" spans="1:34" outlineLevel="2">
      <c r="A4636" s="21"/>
      <c r="B4636" s="12" t="str">
        <f>IFERROR(VLOOKUP(D4636,'[1]Перечень товаров'!$A$2:$I9525,2,0),"")</f>
        <v>п2</v>
      </c>
      <c r="C4636" s="12" t="str">
        <f>IFERROR(VLOOKUP(D4636,'[1]Перечень товаров'!$A$2:$I9525,3,0),"")</f>
        <v>Прочее</v>
      </c>
      <c r="D4636" s="22" t="s">
        <v>46</v>
      </c>
      <c r="E4636" s="88"/>
      <c r="F4636" s="88"/>
      <c r="G4636" s="24">
        <v>1</v>
      </c>
      <c r="H4636" s="24"/>
      <c r="I4636" s="25"/>
      <c r="J4636" s="25"/>
      <c r="K4636" s="19"/>
      <c r="L4636" s="20"/>
      <c r="M4636" s="10"/>
      <c r="N4636" s="10"/>
      <c r="O4636" s="10"/>
      <c r="P4636" s="10"/>
      <c r="Q4636" s="10"/>
      <c r="R4636" s="10"/>
      <c r="S4636" s="10"/>
      <c r="T4636" s="10"/>
      <c r="U4636" s="10"/>
      <c r="V4636" s="10"/>
      <c r="W4636" s="10"/>
      <c r="X4636" s="10"/>
      <c r="Y4636" s="10"/>
      <c r="Z4636" s="10"/>
      <c r="AA4636" s="10"/>
      <c r="AB4636" s="10"/>
      <c r="AC4636" s="10"/>
      <c r="AD4636" s="10"/>
      <c r="AE4636" s="10"/>
      <c r="AF4636" s="10"/>
      <c r="AG4636" s="10"/>
      <c r="AH4636" s="10"/>
    </row>
    <row r="4637" spans="1:34" ht="31.5" outlineLevel="2">
      <c r="A4637" s="21"/>
      <c r="B4637" s="12" t="str">
        <f>IFERROR(VLOOKUP(D4637,'[1]Перечень товаров'!$A$2:$I9525,2,0),"")</f>
        <v>м21</v>
      </c>
      <c r="C4637" s="12" t="str">
        <f>IFERROR(VLOOKUP(D4637,'[1]Перечень товаров'!$A$2:$I9525,3,0),"")</f>
        <v>Мебель</v>
      </c>
      <c r="D4637" s="22" t="s">
        <v>58</v>
      </c>
      <c r="E4637" s="88"/>
      <c r="F4637" s="88"/>
      <c r="G4637" s="24">
        <v>1</v>
      </c>
      <c r="H4637" s="24"/>
      <c r="I4637" s="25"/>
      <c r="J4637" s="25"/>
      <c r="K4637" s="19"/>
      <c r="L4637" s="20"/>
      <c r="M4637" s="10"/>
      <c r="N4637" s="10"/>
      <c r="O4637" s="10"/>
      <c r="P4637" s="10"/>
      <c r="Q4637" s="10"/>
      <c r="R4637" s="10"/>
      <c r="S4637" s="10"/>
      <c r="T4637" s="10"/>
      <c r="U4637" s="10"/>
      <c r="V4637" s="10"/>
      <c r="W4637" s="10"/>
      <c r="X4637" s="10"/>
      <c r="Y4637" s="10"/>
      <c r="Z4637" s="10"/>
      <c r="AA4637" s="10"/>
      <c r="AB4637" s="10"/>
      <c r="AC4637" s="10"/>
      <c r="AD4637" s="10"/>
      <c r="AE4637" s="10"/>
      <c r="AF4637" s="10"/>
      <c r="AG4637" s="10"/>
      <c r="AH4637" s="10"/>
    </row>
    <row r="4638" spans="1:34" outlineLevel="2">
      <c r="A4638" s="43"/>
      <c r="B4638" s="12" t="str">
        <f>IFERROR(VLOOKUP(D4638,'[1]Перечень товаров'!$A$2:$I9525,2,0),"")</f>
        <v>п1</v>
      </c>
      <c r="C4638" s="12" t="str">
        <f>IFERROR(VLOOKUP(D4638,'[1]Перечень товаров'!$A$2:$I9525,3,0),"")</f>
        <v>Прочее</v>
      </c>
      <c r="D4638" s="44" t="s">
        <v>37</v>
      </c>
      <c r="E4638" s="72"/>
      <c r="F4638" s="72"/>
      <c r="G4638" s="73" t="s">
        <v>1376</v>
      </c>
      <c r="H4638" s="73"/>
      <c r="I4638" s="74"/>
      <c r="J4638" s="74"/>
      <c r="K4638" s="19"/>
      <c r="L4638" s="20"/>
      <c r="M4638" s="10"/>
      <c r="N4638" s="10"/>
      <c r="O4638" s="10"/>
      <c r="P4638" s="10"/>
      <c r="Q4638" s="10"/>
      <c r="R4638" s="10"/>
      <c r="S4638" s="10"/>
      <c r="T4638" s="10"/>
      <c r="U4638" s="10"/>
      <c r="V4638" s="10"/>
      <c r="W4638" s="10"/>
      <c r="X4638" s="10"/>
      <c r="Y4638" s="10"/>
      <c r="Z4638" s="10"/>
      <c r="AA4638" s="10"/>
      <c r="AB4638" s="10"/>
      <c r="AC4638" s="10"/>
      <c r="AD4638" s="10"/>
      <c r="AE4638" s="10"/>
      <c r="AF4638" s="10"/>
      <c r="AG4638" s="10"/>
      <c r="AH4638" s="10"/>
    </row>
    <row r="4639" spans="1:34" ht="25.5" outlineLevel="1">
      <c r="A4639" s="11"/>
      <c r="B4639" s="12" t="str">
        <f>IFERROR(VLOOKUP(D4639,'[1]Перечень товаров'!$A$2:$I9525,2,0),"")</f>
        <v/>
      </c>
      <c r="C4639" s="12" t="str">
        <f>IFERROR(VLOOKUP(D4639,'[1]Перечень товаров'!$A$2:$I9525,3,0),"")</f>
        <v/>
      </c>
      <c r="D4639" s="27" t="s">
        <v>1377</v>
      </c>
      <c r="E4639" s="14">
        <v>58.1</v>
      </c>
      <c r="F4639" s="14"/>
      <c r="G4639" s="17"/>
      <c r="H4639" s="17"/>
      <c r="I4639" s="57"/>
      <c r="J4639" s="57"/>
      <c r="K4639" s="19"/>
      <c r="L4639" s="20"/>
      <c r="M4639" s="10"/>
      <c r="N4639" s="10"/>
      <c r="O4639" s="10"/>
      <c r="P4639" s="10"/>
      <c r="Q4639" s="10"/>
      <c r="R4639" s="10"/>
      <c r="S4639" s="10"/>
      <c r="T4639" s="10"/>
      <c r="U4639" s="10"/>
      <c r="V4639" s="10"/>
      <c r="W4639" s="10"/>
      <c r="X4639" s="10"/>
      <c r="Y4639" s="10"/>
      <c r="Z4639" s="10"/>
      <c r="AA4639" s="10"/>
      <c r="AB4639" s="10"/>
      <c r="AC4639" s="10"/>
      <c r="AD4639" s="10"/>
      <c r="AE4639" s="10"/>
      <c r="AF4639" s="10"/>
      <c r="AG4639" s="10"/>
      <c r="AH4639" s="10"/>
    </row>
    <row r="4640" spans="1:34" ht="12.75" outlineLevel="2">
      <c r="A4640" s="197"/>
      <c r="B4640" s="12" t="str">
        <f>IFERROR(VLOOKUP(D4640,'[1]Перечень товаров'!$A$2:$I9525,2,0),"")</f>
        <v/>
      </c>
      <c r="C4640" s="12" t="str">
        <f>IFERROR(VLOOKUP(D4640,'[1]Перечень товаров'!$A$2:$I9525,3,0),"")</f>
        <v/>
      </c>
      <c r="D4640" s="198" t="s">
        <v>668</v>
      </c>
      <c r="E4640" s="15"/>
      <c r="F4640" s="15"/>
      <c r="G4640" s="17"/>
      <c r="H4640" s="17"/>
      <c r="I4640" s="57"/>
      <c r="J4640" s="57"/>
      <c r="K4640" s="19"/>
      <c r="L4640" s="20"/>
      <c r="M4640" s="10"/>
      <c r="N4640" s="10"/>
      <c r="O4640" s="10"/>
      <c r="P4640" s="10"/>
      <c r="Q4640" s="10"/>
      <c r="R4640" s="10"/>
      <c r="S4640" s="10"/>
      <c r="T4640" s="10"/>
      <c r="U4640" s="10"/>
      <c r="V4640" s="10"/>
      <c r="W4640" s="10"/>
      <c r="X4640" s="10"/>
      <c r="Y4640" s="10"/>
      <c r="Z4640" s="10"/>
      <c r="AA4640" s="10"/>
      <c r="AB4640" s="10"/>
      <c r="AC4640" s="10"/>
      <c r="AD4640" s="10"/>
      <c r="AE4640" s="10"/>
      <c r="AF4640" s="10"/>
      <c r="AG4640" s="10"/>
      <c r="AH4640" s="10"/>
    </row>
    <row r="4641" spans="1:34" outlineLevel="2">
      <c r="A4641" s="34"/>
      <c r="B4641" s="12" t="str">
        <f>IFERROR(VLOOKUP(D4641,'[1]Перечень товаров'!$A$2:$I9525,2,0),"")</f>
        <v>т129</v>
      </c>
      <c r="C4641" s="12" t="str">
        <f>IFERROR(VLOOKUP(D4641,'[1]Перечень товаров'!$A$2:$I9525,3,0),"")</f>
        <v>Техника</v>
      </c>
      <c r="D4641" s="35" t="s">
        <v>1204</v>
      </c>
      <c r="E4641" s="58"/>
      <c r="F4641" s="58"/>
      <c r="G4641" s="232">
        <v>1</v>
      </c>
      <c r="H4641" s="232"/>
      <c r="I4641" s="233"/>
      <c r="J4641" s="233"/>
      <c r="K4641" s="19"/>
      <c r="L4641" s="20"/>
      <c r="M4641" s="10"/>
      <c r="N4641" s="10"/>
      <c r="O4641" s="10"/>
      <c r="P4641" s="10"/>
      <c r="Q4641" s="10"/>
      <c r="R4641" s="10"/>
      <c r="S4641" s="10"/>
      <c r="T4641" s="10"/>
      <c r="U4641" s="10"/>
      <c r="V4641" s="10"/>
      <c r="W4641" s="10"/>
      <c r="X4641" s="10"/>
      <c r="Y4641" s="10"/>
      <c r="Z4641" s="10"/>
      <c r="AA4641" s="10"/>
      <c r="AB4641" s="10"/>
      <c r="AC4641" s="10"/>
      <c r="AD4641" s="10"/>
      <c r="AE4641" s="10"/>
      <c r="AF4641" s="10"/>
      <c r="AG4641" s="10"/>
      <c r="AH4641" s="10"/>
    </row>
    <row r="4642" spans="1:34" outlineLevel="2">
      <c r="A4642" s="34"/>
      <c r="B4642" s="12" t="str">
        <f>IFERROR(VLOOKUP(D4642,'[1]Перечень товаров'!$A$2:$I9525,2,0),"")</f>
        <v>т128</v>
      </c>
      <c r="C4642" s="12" t="str">
        <f>IFERROR(VLOOKUP(D4642,'[1]Перечень товаров'!$A$2:$I9525,3,0),"")</f>
        <v>Техника</v>
      </c>
      <c r="D4642" s="35" t="s">
        <v>1205</v>
      </c>
      <c r="E4642" s="58"/>
      <c r="F4642" s="58"/>
      <c r="G4642" s="232">
        <v>1</v>
      </c>
      <c r="H4642" s="232"/>
      <c r="I4642" s="233"/>
      <c r="J4642" s="233"/>
      <c r="K4642" s="19"/>
      <c r="L4642" s="20"/>
      <c r="M4642" s="10"/>
      <c r="N4642" s="10"/>
      <c r="O4642" s="10"/>
      <c r="P4642" s="10"/>
      <c r="Q4642" s="10"/>
      <c r="R4642" s="10"/>
      <c r="S4642" s="10"/>
      <c r="T4642" s="10"/>
      <c r="U4642" s="10"/>
      <c r="V4642" s="10"/>
      <c r="W4642" s="10"/>
      <c r="X4642" s="10"/>
      <c r="Y4642" s="10"/>
      <c r="Z4642" s="10"/>
      <c r="AA4642" s="10"/>
      <c r="AB4642" s="10"/>
      <c r="AC4642" s="10"/>
      <c r="AD4642" s="10"/>
      <c r="AE4642" s="10"/>
      <c r="AF4642" s="10"/>
      <c r="AG4642" s="10"/>
      <c r="AH4642" s="10"/>
    </row>
    <row r="4643" spans="1:34" outlineLevel="2">
      <c r="A4643" s="34"/>
      <c r="B4643" s="12" t="str">
        <f>IFERROR(VLOOKUP(D4643,'[1]Перечень товаров'!$A$2:$I9525,2,0),"")</f>
        <v>т1</v>
      </c>
      <c r="C4643" s="12" t="str">
        <f>IFERROR(VLOOKUP(D4643,'[1]Перечень товаров'!$A$2:$I9525,3,0),"")</f>
        <v xml:space="preserve">Техника </v>
      </c>
      <c r="D4643" s="22" t="s">
        <v>28</v>
      </c>
      <c r="E4643" s="58"/>
      <c r="F4643" s="58"/>
      <c r="G4643" s="232">
        <v>11</v>
      </c>
      <c r="H4643" s="232"/>
      <c r="I4643" s="233"/>
      <c r="J4643" s="233"/>
      <c r="K4643" s="19"/>
      <c r="L4643" s="20"/>
      <c r="M4643" s="10"/>
      <c r="N4643" s="10"/>
      <c r="O4643" s="10"/>
      <c r="P4643" s="10"/>
      <c r="Q4643" s="10"/>
      <c r="R4643" s="10"/>
      <c r="S4643" s="10"/>
      <c r="T4643" s="10"/>
      <c r="U4643" s="10"/>
      <c r="V4643" s="10"/>
      <c r="W4643" s="10"/>
      <c r="X4643" s="10"/>
      <c r="Y4643" s="10"/>
      <c r="Z4643" s="10"/>
      <c r="AA4643" s="10"/>
      <c r="AB4643" s="10"/>
      <c r="AC4643" s="10"/>
      <c r="AD4643" s="10"/>
      <c r="AE4643" s="10"/>
      <c r="AF4643" s="10"/>
      <c r="AG4643" s="10"/>
      <c r="AH4643" s="10"/>
    </row>
    <row r="4644" spans="1:34" outlineLevel="2">
      <c r="A4644" s="34"/>
      <c r="B4644" s="12" t="str">
        <f>IFERROR(VLOOKUP(D4644,'[1]Перечень товаров'!$A$2:$I9525,2,0),"")</f>
        <v>т235</v>
      </c>
      <c r="C4644" s="12" t="str">
        <f>IFERROR(VLOOKUP(D4644,'[1]Перечень товаров'!$A$2:$I9525,3,0),"")</f>
        <v>Техника</v>
      </c>
      <c r="D4644" s="35" t="s">
        <v>742</v>
      </c>
      <c r="E4644" s="58"/>
      <c r="F4644" s="58"/>
      <c r="G4644" s="232">
        <v>1</v>
      </c>
      <c r="H4644" s="232"/>
      <c r="I4644" s="233"/>
      <c r="J4644" s="233"/>
      <c r="K4644" s="19"/>
      <c r="L4644" s="20"/>
      <c r="M4644" s="10"/>
      <c r="N4644" s="10"/>
      <c r="O4644" s="10"/>
      <c r="P4644" s="10"/>
      <c r="Q4644" s="10"/>
      <c r="R4644" s="10"/>
      <c r="S4644" s="10"/>
      <c r="T4644" s="10"/>
      <c r="U4644" s="10"/>
      <c r="V4644" s="10"/>
      <c r="W4644" s="10"/>
      <c r="X4644" s="10"/>
      <c r="Y4644" s="10"/>
      <c r="Z4644" s="10"/>
      <c r="AA4644" s="10"/>
      <c r="AB4644" s="10"/>
      <c r="AC4644" s="10"/>
      <c r="AD4644" s="10"/>
      <c r="AE4644" s="10"/>
      <c r="AF4644" s="10"/>
      <c r="AG4644" s="10"/>
      <c r="AH4644" s="10"/>
    </row>
    <row r="4645" spans="1:34" outlineLevel="2">
      <c r="A4645" s="34"/>
      <c r="B4645" s="12" t="str">
        <f>IFERROR(VLOOKUP(D4645,'[1]Перечень товаров'!$A$2:$I9525,2,0),"")</f>
        <v>т8</v>
      </c>
      <c r="C4645" s="12" t="str">
        <f>IFERROR(VLOOKUP(D4645,'[1]Перечень товаров'!$A$2:$I9525,3,0),"")</f>
        <v xml:space="preserve">Техника </v>
      </c>
      <c r="D4645" s="35" t="s">
        <v>35</v>
      </c>
      <c r="E4645" s="58"/>
      <c r="F4645" s="58"/>
      <c r="G4645" s="232">
        <v>1</v>
      </c>
      <c r="H4645" s="232"/>
      <c r="I4645" s="233"/>
      <c r="J4645" s="233"/>
      <c r="K4645" s="19"/>
      <c r="L4645" s="20"/>
      <c r="M4645" s="10"/>
      <c r="N4645" s="10"/>
      <c r="O4645" s="10"/>
      <c r="P4645" s="10"/>
      <c r="Q4645" s="10"/>
      <c r="R4645" s="10"/>
      <c r="S4645" s="10"/>
      <c r="T4645" s="10"/>
      <c r="U4645" s="10"/>
      <c r="V4645" s="10"/>
      <c r="W4645" s="10"/>
      <c r="X4645" s="10"/>
      <c r="Y4645" s="10"/>
      <c r="Z4645" s="10"/>
      <c r="AA4645" s="10"/>
      <c r="AB4645" s="10"/>
      <c r="AC4645" s="10"/>
      <c r="AD4645" s="10"/>
      <c r="AE4645" s="10"/>
      <c r="AF4645" s="10"/>
      <c r="AG4645" s="10"/>
      <c r="AH4645" s="10"/>
    </row>
    <row r="4646" spans="1:34" outlineLevel="2">
      <c r="A4646" s="34"/>
      <c r="B4646" s="12" t="str">
        <f>IFERROR(VLOOKUP(D4646,'[1]Перечень товаров'!$A$2:$I9525,2,0),"")</f>
        <v>т4</v>
      </c>
      <c r="C4646" s="12" t="str">
        <f>IFERROR(VLOOKUP(D4646,'[1]Перечень товаров'!$A$2:$I9525,3,0),"")</f>
        <v xml:space="preserve">Техника </v>
      </c>
      <c r="D4646" s="35" t="s">
        <v>31</v>
      </c>
      <c r="E4646" s="58"/>
      <c r="F4646" s="58"/>
      <c r="G4646" s="232">
        <v>1</v>
      </c>
      <c r="H4646" s="232"/>
      <c r="I4646" s="233"/>
      <c r="J4646" s="233"/>
      <c r="K4646" s="19"/>
      <c r="L4646" s="20"/>
      <c r="M4646" s="10"/>
      <c r="N4646" s="10"/>
      <c r="O4646" s="10"/>
      <c r="P4646" s="10"/>
      <c r="Q4646" s="10"/>
      <c r="R4646" s="10"/>
      <c r="S4646" s="10"/>
      <c r="T4646" s="10"/>
      <c r="U4646" s="10"/>
      <c r="V4646" s="10"/>
      <c r="W4646" s="10"/>
      <c r="X4646" s="10"/>
      <c r="Y4646" s="10"/>
      <c r="Z4646" s="10"/>
      <c r="AA4646" s="10"/>
      <c r="AB4646" s="10"/>
      <c r="AC4646" s="10"/>
      <c r="AD4646" s="10"/>
      <c r="AE4646" s="10"/>
      <c r="AF4646" s="10"/>
      <c r="AG4646" s="10"/>
      <c r="AH4646" s="10"/>
    </row>
    <row r="4647" spans="1:34" outlineLevel="2">
      <c r="A4647" s="34"/>
      <c r="B4647" s="12" t="str">
        <f>IFERROR(VLOOKUP(D4647,'[1]Перечень товаров'!$A$2:$I9525,2,0),"")</f>
        <v>т236</v>
      </c>
      <c r="C4647" s="12" t="str">
        <f>IFERROR(VLOOKUP(D4647,'[1]Перечень товаров'!$A$2:$I9525,3,0),"")</f>
        <v>Техника</v>
      </c>
      <c r="D4647" s="35" t="s">
        <v>743</v>
      </c>
      <c r="E4647" s="58"/>
      <c r="F4647" s="58"/>
      <c r="G4647" s="232">
        <v>1</v>
      </c>
      <c r="H4647" s="232"/>
      <c r="I4647" s="233"/>
      <c r="J4647" s="233"/>
      <c r="K4647" s="19"/>
      <c r="L4647" s="20"/>
      <c r="M4647" s="10"/>
      <c r="N4647" s="10"/>
      <c r="O4647" s="10"/>
      <c r="P4647" s="10"/>
      <c r="Q4647" s="10"/>
      <c r="R4647" s="10"/>
      <c r="S4647" s="10"/>
      <c r="T4647" s="10"/>
      <c r="U4647" s="10"/>
      <c r="V4647" s="10"/>
      <c r="W4647" s="10"/>
      <c r="X4647" s="10"/>
      <c r="Y4647" s="10"/>
      <c r="Z4647" s="10"/>
      <c r="AA4647" s="10"/>
      <c r="AB4647" s="10"/>
      <c r="AC4647" s="10"/>
      <c r="AD4647" s="10"/>
      <c r="AE4647" s="10"/>
      <c r="AF4647" s="10"/>
      <c r="AG4647" s="10"/>
      <c r="AH4647" s="10"/>
    </row>
    <row r="4648" spans="1:34" outlineLevel="2">
      <c r="A4648" s="34"/>
      <c r="B4648" s="12" t="str">
        <f>IFERROR(VLOOKUP(D4648,'[1]Перечень товаров'!$A$2:$I9525,2,0),"")</f>
        <v>т237</v>
      </c>
      <c r="C4648" s="12" t="str">
        <f>IFERROR(VLOOKUP(D4648,'[1]Перечень товаров'!$A$2:$I9525,3,0),"")</f>
        <v>Техника</v>
      </c>
      <c r="D4648" s="35" t="s">
        <v>744</v>
      </c>
      <c r="E4648" s="58"/>
      <c r="F4648" s="58"/>
      <c r="G4648" s="232">
        <v>4</v>
      </c>
      <c r="H4648" s="232"/>
      <c r="I4648" s="233"/>
      <c r="J4648" s="233"/>
      <c r="K4648" s="19"/>
      <c r="L4648" s="20"/>
      <c r="M4648" s="10"/>
      <c r="N4648" s="10"/>
      <c r="O4648" s="10"/>
      <c r="P4648" s="10"/>
      <c r="Q4648" s="10"/>
      <c r="R4648" s="10"/>
      <c r="S4648" s="10"/>
      <c r="T4648" s="10"/>
      <c r="U4648" s="10"/>
      <c r="V4648" s="10"/>
      <c r="W4648" s="10"/>
      <c r="X4648" s="10"/>
      <c r="Y4648" s="10"/>
      <c r="Z4648" s="10"/>
      <c r="AA4648" s="10"/>
      <c r="AB4648" s="10"/>
      <c r="AC4648" s="10"/>
      <c r="AD4648" s="10"/>
      <c r="AE4648" s="10"/>
      <c r="AF4648" s="10"/>
      <c r="AG4648" s="10"/>
      <c r="AH4648" s="10"/>
    </row>
    <row r="4649" spans="1:34" ht="12.75" outlineLevel="2">
      <c r="A4649" s="197"/>
      <c r="B4649" s="12" t="str">
        <f>IFERROR(VLOOKUP(D4649,'[1]Перечень товаров'!$A$2:$I9525,2,0),"")</f>
        <v/>
      </c>
      <c r="C4649" s="12" t="str">
        <f>IFERROR(VLOOKUP(D4649,'[1]Перечень товаров'!$A$2:$I9525,3,0),"")</f>
        <v/>
      </c>
      <c r="D4649" s="198" t="s">
        <v>19</v>
      </c>
      <c r="E4649" s="15"/>
      <c r="F4649" s="15"/>
      <c r="G4649" s="234"/>
      <c r="H4649" s="234"/>
      <c r="I4649" s="235"/>
      <c r="J4649" s="235"/>
      <c r="K4649" s="19"/>
      <c r="L4649" s="20"/>
      <c r="M4649" s="10"/>
      <c r="N4649" s="10"/>
      <c r="O4649" s="10"/>
      <c r="P4649" s="10"/>
      <c r="Q4649" s="10"/>
      <c r="R4649" s="10"/>
      <c r="S4649" s="10"/>
      <c r="T4649" s="10"/>
      <c r="U4649" s="10"/>
      <c r="V4649" s="10"/>
      <c r="W4649" s="10"/>
      <c r="X4649" s="10"/>
      <c r="Y4649" s="10"/>
      <c r="Z4649" s="10"/>
      <c r="AA4649" s="10"/>
      <c r="AB4649" s="10"/>
      <c r="AC4649" s="10"/>
      <c r="AD4649" s="10"/>
      <c r="AE4649" s="10"/>
      <c r="AF4649" s="10"/>
      <c r="AG4649" s="10"/>
      <c r="AH4649" s="10"/>
    </row>
    <row r="4650" spans="1:34" outlineLevel="2">
      <c r="A4650" s="34"/>
      <c r="B4650" s="12" t="str">
        <f>IFERROR(VLOOKUP(D4650,'[1]Перечень товаров'!$A$2:$I9525,2,0),"")</f>
        <v>м62</v>
      </c>
      <c r="C4650" s="12" t="str">
        <f>IFERROR(VLOOKUP(D4650,'[1]Перечень товаров'!$A$2:$I9525,3,0),"")</f>
        <v>Мебель</v>
      </c>
      <c r="D4650" s="35" t="s">
        <v>398</v>
      </c>
      <c r="E4650" s="23"/>
      <c r="F4650" s="23"/>
      <c r="G4650" s="232">
        <v>1</v>
      </c>
      <c r="H4650" s="232"/>
      <c r="I4650" s="233"/>
      <c r="J4650" s="233"/>
      <c r="K4650" s="19"/>
      <c r="L4650" s="20"/>
      <c r="M4650" s="10"/>
      <c r="N4650" s="10"/>
      <c r="O4650" s="10"/>
      <c r="P4650" s="10"/>
      <c r="Q4650" s="10"/>
      <c r="R4650" s="10"/>
      <c r="S4650" s="10"/>
      <c r="T4650" s="10"/>
      <c r="U4650" s="10"/>
      <c r="V4650" s="10"/>
      <c r="W4650" s="10"/>
      <c r="X4650" s="10"/>
      <c r="Y4650" s="10"/>
      <c r="Z4650" s="10"/>
      <c r="AA4650" s="10"/>
      <c r="AB4650" s="10"/>
      <c r="AC4650" s="10"/>
      <c r="AD4650" s="10"/>
      <c r="AE4650" s="10"/>
      <c r="AF4650" s="10"/>
      <c r="AG4650" s="10"/>
      <c r="AH4650" s="10"/>
    </row>
    <row r="4651" spans="1:34" outlineLevel="2">
      <c r="A4651" s="34"/>
      <c r="B4651" s="12" t="str">
        <f>IFERROR(VLOOKUP(D4651,'[1]Перечень товаров'!$A$2:$I9525,2,0),"")</f>
        <v>м61</v>
      </c>
      <c r="C4651" s="12" t="str">
        <f>IFERROR(VLOOKUP(D4651,'[1]Перечень товаров'!$A$2:$I9525,3,0),"")</f>
        <v>Мебель</v>
      </c>
      <c r="D4651" s="35" t="s">
        <v>383</v>
      </c>
      <c r="E4651" s="23"/>
      <c r="F4651" s="23"/>
      <c r="G4651" s="232">
        <v>1</v>
      </c>
      <c r="H4651" s="232"/>
      <c r="I4651" s="233"/>
      <c r="J4651" s="233"/>
      <c r="K4651" s="19"/>
      <c r="L4651" s="20"/>
      <c r="M4651" s="10"/>
      <c r="N4651" s="10"/>
      <c r="O4651" s="10"/>
      <c r="P4651" s="10"/>
      <c r="Q4651" s="10"/>
      <c r="R4651" s="10"/>
      <c r="S4651" s="10"/>
      <c r="T4651" s="10"/>
      <c r="U4651" s="10"/>
      <c r="V4651" s="10"/>
      <c r="W4651" s="10"/>
      <c r="X4651" s="10"/>
      <c r="Y4651" s="10"/>
      <c r="Z4651" s="10"/>
      <c r="AA4651" s="10"/>
      <c r="AB4651" s="10"/>
      <c r="AC4651" s="10"/>
      <c r="AD4651" s="10"/>
      <c r="AE4651" s="10"/>
      <c r="AF4651" s="10"/>
      <c r="AG4651" s="10"/>
      <c r="AH4651" s="10"/>
    </row>
    <row r="4652" spans="1:34" outlineLevel="2">
      <c r="A4652" s="34"/>
      <c r="B4652" s="12" t="str">
        <f>IFERROR(VLOOKUP(D4652,'[1]Перечень товаров'!$A$2:$I9525,2,0),"")</f>
        <v>м152</v>
      </c>
      <c r="C4652" s="12" t="str">
        <f>IFERROR(VLOOKUP(D4652,'[1]Перечень товаров'!$A$2:$I9525,3,0),"")</f>
        <v>мебель</v>
      </c>
      <c r="D4652" s="35" t="s">
        <v>1206</v>
      </c>
      <c r="E4652" s="23"/>
      <c r="F4652" s="23"/>
      <c r="G4652" s="242">
        <v>12</v>
      </c>
      <c r="H4652" s="242"/>
      <c r="I4652" s="243"/>
      <c r="J4652" s="243"/>
      <c r="K4652" s="19"/>
      <c r="L4652" s="20"/>
      <c r="M4652" s="10"/>
      <c r="N4652" s="10"/>
      <c r="O4652" s="10"/>
      <c r="P4652" s="10"/>
      <c r="Q4652" s="10"/>
      <c r="R4652" s="10"/>
      <c r="S4652" s="10"/>
      <c r="T4652" s="10"/>
      <c r="U4652" s="10"/>
      <c r="V4652" s="10"/>
      <c r="W4652" s="10"/>
      <c r="X4652" s="10"/>
      <c r="Y4652" s="10"/>
      <c r="Z4652" s="10"/>
      <c r="AA4652" s="10"/>
      <c r="AB4652" s="10"/>
      <c r="AC4652" s="10"/>
      <c r="AD4652" s="10"/>
      <c r="AE4652" s="10"/>
      <c r="AF4652" s="10"/>
      <c r="AG4652" s="10"/>
      <c r="AH4652" s="10"/>
    </row>
    <row r="4653" spans="1:34" outlineLevel="2">
      <c r="A4653" s="34"/>
      <c r="B4653" s="12" t="str">
        <f>IFERROR(VLOOKUP(D4653,'[1]Перечень товаров'!$A$2:$I9525,2,0),"")</f>
        <v>м151</v>
      </c>
      <c r="C4653" s="12" t="str">
        <f>IFERROR(VLOOKUP(D4653,'[1]Перечень товаров'!$A$2:$I9525,3,0),"")</f>
        <v>мебель</v>
      </c>
      <c r="D4653" s="35" t="s">
        <v>1207</v>
      </c>
      <c r="E4653" s="23"/>
      <c r="F4653" s="23"/>
      <c r="G4653" s="232">
        <v>12</v>
      </c>
      <c r="H4653" s="232"/>
      <c r="I4653" s="233"/>
      <c r="J4653" s="233"/>
      <c r="K4653" s="19"/>
      <c r="L4653" s="20"/>
      <c r="M4653" s="10"/>
      <c r="N4653" s="10"/>
      <c r="O4653" s="10"/>
      <c r="P4653" s="10"/>
      <c r="Q4653" s="10"/>
      <c r="R4653" s="10"/>
      <c r="S4653" s="10"/>
      <c r="T4653" s="10"/>
      <c r="U4653" s="10"/>
      <c r="V4653" s="10"/>
      <c r="W4653" s="10"/>
      <c r="X4653" s="10"/>
      <c r="Y4653" s="10"/>
      <c r="Z4653" s="10"/>
      <c r="AA4653" s="10"/>
      <c r="AB4653" s="10"/>
      <c r="AC4653" s="10"/>
      <c r="AD4653" s="10"/>
      <c r="AE4653" s="10"/>
      <c r="AF4653" s="10"/>
      <c r="AG4653" s="10"/>
      <c r="AH4653" s="10"/>
    </row>
    <row r="4654" spans="1:34" outlineLevel="2">
      <c r="A4654" s="34"/>
      <c r="B4654" s="12" t="str">
        <f>IFERROR(VLOOKUP(D4654,'[1]Перечень товаров'!$A$2:$I9525,2,0),"")</f>
        <v>м216</v>
      </c>
      <c r="C4654" s="12" t="str">
        <f>IFERROR(VLOOKUP(D4654,'[1]Перечень товаров'!$A$2:$I9525,3,0),"")</f>
        <v>Мебель</v>
      </c>
      <c r="D4654" s="35" t="s">
        <v>854</v>
      </c>
      <c r="E4654" s="23"/>
      <c r="F4654" s="23"/>
      <c r="G4654" s="232">
        <v>1</v>
      </c>
      <c r="H4654" s="232"/>
      <c r="I4654" s="233"/>
      <c r="J4654" s="233"/>
      <c r="K4654" s="19"/>
      <c r="L4654" s="20"/>
      <c r="M4654" s="10"/>
      <c r="N4654" s="10"/>
      <c r="O4654" s="10"/>
      <c r="P4654" s="10"/>
      <c r="Q4654" s="10"/>
      <c r="R4654" s="10"/>
      <c r="S4654" s="10"/>
      <c r="T4654" s="10"/>
      <c r="U4654" s="10"/>
      <c r="V4654" s="10"/>
      <c r="W4654" s="10"/>
      <c r="X4654" s="10"/>
      <c r="Y4654" s="10"/>
      <c r="Z4654" s="10"/>
      <c r="AA4654" s="10"/>
      <c r="AB4654" s="10"/>
      <c r="AC4654" s="10"/>
      <c r="AD4654" s="10"/>
      <c r="AE4654" s="10"/>
      <c r="AF4654" s="10"/>
      <c r="AG4654" s="10"/>
      <c r="AH4654" s="10"/>
    </row>
    <row r="4655" spans="1:34" outlineLevel="2">
      <c r="A4655" s="34"/>
      <c r="B4655" s="12" t="str">
        <f>IFERROR(VLOOKUP(D4655,'[1]Перечень товаров'!$A$2:$I9525,2,0),"")</f>
        <v>д542</v>
      </c>
      <c r="C4655" s="12" t="str">
        <f>IFERROR(VLOOKUP(D4655,'[1]Перечень товаров'!$A$2:$I9525,3,0),"")</f>
        <v>дидактика</v>
      </c>
      <c r="D4655" s="35" t="s">
        <v>1208</v>
      </c>
      <c r="E4655" s="23"/>
      <c r="F4655" s="23"/>
      <c r="G4655" s="232">
        <v>1</v>
      </c>
      <c r="H4655" s="232"/>
      <c r="I4655" s="233"/>
      <c r="J4655" s="233"/>
      <c r="K4655" s="19"/>
      <c r="L4655" s="20"/>
      <c r="M4655" s="10"/>
      <c r="N4655" s="10"/>
      <c r="O4655" s="10"/>
      <c r="P4655" s="10"/>
      <c r="Q4655" s="10"/>
      <c r="R4655" s="10"/>
      <c r="S4655" s="10"/>
      <c r="T4655" s="10"/>
      <c r="U4655" s="10"/>
      <c r="V4655" s="10"/>
      <c r="W4655" s="10"/>
      <c r="X4655" s="10"/>
      <c r="Y4655" s="10"/>
      <c r="Z4655" s="10"/>
      <c r="AA4655" s="10"/>
      <c r="AB4655" s="10"/>
      <c r="AC4655" s="10"/>
      <c r="AD4655" s="10"/>
      <c r="AE4655" s="10"/>
      <c r="AF4655" s="10"/>
      <c r="AG4655" s="10"/>
      <c r="AH4655" s="10"/>
    </row>
    <row r="4656" spans="1:34" outlineLevel="2">
      <c r="A4656" s="236"/>
      <c r="B4656" s="12" t="str">
        <f>IFERROR(VLOOKUP(D4656,'[1]Перечень товаров'!$A$2:$I9525,2,0),"")</f>
        <v/>
      </c>
      <c r="C4656" s="12" t="str">
        <f>IFERROR(VLOOKUP(D4656,'[1]Перечень товаров'!$A$2:$I9525,3,0),"")</f>
        <v/>
      </c>
      <c r="D4656" s="237" t="s">
        <v>1209</v>
      </c>
      <c r="E4656" s="15"/>
      <c r="F4656" s="15"/>
      <c r="G4656" s="238"/>
      <c r="H4656" s="238"/>
      <c r="I4656" s="239"/>
      <c r="J4656" s="239"/>
      <c r="K4656" s="19"/>
      <c r="L4656" s="20"/>
      <c r="M4656" s="10"/>
      <c r="N4656" s="10"/>
      <c r="O4656" s="10"/>
      <c r="P4656" s="10"/>
      <c r="Q4656" s="10"/>
      <c r="R4656" s="10"/>
      <c r="S4656" s="10"/>
      <c r="T4656" s="10"/>
      <c r="U4656" s="10"/>
      <c r="V4656" s="10"/>
      <c r="W4656" s="10"/>
      <c r="X4656" s="10"/>
      <c r="Y4656" s="10"/>
      <c r="Z4656" s="10"/>
      <c r="AA4656" s="10"/>
      <c r="AB4656" s="10"/>
      <c r="AC4656" s="10"/>
      <c r="AD4656" s="10"/>
      <c r="AE4656" s="10"/>
      <c r="AF4656" s="10"/>
      <c r="AG4656" s="10"/>
      <c r="AH4656" s="10"/>
    </row>
    <row r="4657" spans="1:34" outlineLevel="2">
      <c r="A4657" s="21"/>
      <c r="B4657" s="12" t="str">
        <f>IFERROR(VLOOKUP(D4657,'[1]Перечень товаров'!$A$2:$I9525,2,0),"")</f>
        <v>д541</v>
      </c>
      <c r="C4657" s="12" t="str">
        <f>IFERROR(VLOOKUP(D4657,'[1]Перечень товаров'!$A$2:$I9525,3,0),"")</f>
        <v>дидактика</v>
      </c>
      <c r="D4657" s="22" t="s">
        <v>1210</v>
      </c>
      <c r="E4657" s="23"/>
      <c r="F4657" s="23"/>
      <c r="G4657" s="205">
        <v>1</v>
      </c>
      <c r="H4657" s="205"/>
      <c r="I4657" s="206"/>
      <c r="J4657" s="206"/>
      <c r="K4657" s="19"/>
      <c r="L4657" s="20"/>
      <c r="M4657" s="10"/>
      <c r="N4657" s="10"/>
      <c r="O4657" s="10"/>
      <c r="P4657" s="10"/>
      <c r="Q4657" s="10"/>
      <c r="R4657" s="10"/>
      <c r="S4657" s="10"/>
      <c r="T4657" s="10"/>
      <c r="U4657" s="10"/>
      <c r="V4657" s="10"/>
      <c r="W4657" s="10"/>
      <c r="X4657" s="10"/>
      <c r="Y4657" s="10"/>
      <c r="Z4657" s="10"/>
      <c r="AA4657" s="10"/>
      <c r="AB4657" s="10"/>
      <c r="AC4657" s="10"/>
      <c r="AD4657" s="10"/>
      <c r="AE4657" s="10"/>
      <c r="AF4657" s="10"/>
      <c r="AG4657" s="10"/>
      <c r="AH4657" s="10"/>
    </row>
    <row r="4658" spans="1:34" ht="12.75" outlineLevel="2">
      <c r="A4658" s="197"/>
      <c r="B4658" s="12" t="str">
        <f>IFERROR(VLOOKUP(D4658,'[1]Перечень товаров'!$A$2:$I9525,2,0),"")</f>
        <v/>
      </c>
      <c r="C4658" s="12" t="str">
        <f>IFERROR(VLOOKUP(D4658,'[1]Перечень товаров'!$A$2:$I9525,3,0),"")</f>
        <v/>
      </c>
      <c r="D4658" s="198" t="s">
        <v>809</v>
      </c>
      <c r="E4658" s="15"/>
      <c r="F4658" s="15"/>
      <c r="G4658" s="234"/>
      <c r="H4658" s="234"/>
      <c r="I4658" s="235"/>
      <c r="J4658" s="235"/>
      <c r="K4658" s="19"/>
      <c r="L4658" s="20"/>
      <c r="M4658" s="10"/>
      <c r="N4658" s="10"/>
      <c r="O4658" s="10"/>
      <c r="P4658" s="10"/>
      <c r="Q4658" s="10"/>
      <c r="R4658" s="10"/>
      <c r="S4658" s="10"/>
      <c r="T4658" s="10"/>
      <c r="U4658" s="10"/>
      <c r="V4658" s="10"/>
      <c r="W4658" s="10"/>
      <c r="X4658" s="10"/>
      <c r="Y4658" s="10"/>
      <c r="Z4658" s="10"/>
      <c r="AA4658" s="10"/>
      <c r="AB4658" s="10"/>
      <c r="AC4658" s="10"/>
      <c r="AD4658" s="10"/>
      <c r="AE4658" s="10"/>
      <c r="AF4658" s="10"/>
      <c r="AG4658" s="10"/>
      <c r="AH4658" s="10"/>
    </row>
    <row r="4659" spans="1:34" ht="31.5" outlineLevel="2">
      <c r="A4659" s="34"/>
      <c r="B4659" s="12" t="str">
        <f>IFERROR(VLOOKUP(D4659,'[1]Перечень товаров'!$A$2:$I9525,2,0),"")</f>
        <v>д64</v>
      </c>
      <c r="C4659" s="12" t="str">
        <f>IFERROR(VLOOKUP(D4659,'[1]Перечень товаров'!$A$2:$I9525,3,0),"")</f>
        <v>Дидактика</v>
      </c>
      <c r="D4659" s="35" t="s">
        <v>810</v>
      </c>
      <c r="E4659" s="23"/>
      <c r="F4659" s="23"/>
      <c r="G4659" s="232">
        <v>1</v>
      </c>
      <c r="H4659" s="232"/>
      <c r="I4659" s="233"/>
      <c r="J4659" s="233"/>
      <c r="K4659" s="19"/>
      <c r="L4659" s="20"/>
      <c r="M4659" s="10"/>
      <c r="N4659" s="10"/>
      <c r="O4659" s="10"/>
      <c r="P4659" s="10"/>
      <c r="Q4659" s="10"/>
      <c r="R4659" s="10"/>
      <c r="S4659" s="10"/>
      <c r="T4659" s="10"/>
      <c r="U4659" s="10"/>
      <c r="V4659" s="10"/>
      <c r="W4659" s="10"/>
      <c r="X4659" s="10"/>
      <c r="Y4659" s="10"/>
      <c r="Z4659" s="10"/>
      <c r="AA4659" s="10"/>
      <c r="AB4659" s="10"/>
      <c r="AC4659" s="10"/>
      <c r="AD4659" s="10"/>
      <c r="AE4659" s="10"/>
      <c r="AF4659" s="10"/>
      <c r="AG4659" s="10"/>
      <c r="AH4659" s="10"/>
    </row>
    <row r="4660" spans="1:34" outlineLevel="2">
      <c r="A4660" s="34"/>
      <c r="B4660" s="12" t="str">
        <f>IFERROR(VLOOKUP(D4660,'[1]Перечень товаров'!$A$2:$I9525,2,0),"")</f>
        <v>д65</v>
      </c>
      <c r="C4660" s="12" t="str">
        <f>IFERROR(VLOOKUP(D4660,'[1]Перечень товаров'!$A$2:$I9525,3,0),"")</f>
        <v>Дидактика</v>
      </c>
      <c r="D4660" s="35" t="s">
        <v>811</v>
      </c>
      <c r="E4660" s="23"/>
      <c r="F4660" s="23"/>
      <c r="G4660" s="232">
        <v>1</v>
      </c>
      <c r="H4660" s="232"/>
      <c r="I4660" s="233"/>
      <c r="J4660" s="233"/>
      <c r="K4660" s="19"/>
      <c r="L4660" s="20"/>
      <c r="M4660" s="10"/>
      <c r="N4660" s="10"/>
      <c r="O4660" s="10"/>
      <c r="P4660" s="10"/>
      <c r="Q4660" s="10"/>
      <c r="R4660" s="10"/>
      <c r="S4660" s="10"/>
      <c r="T4660" s="10"/>
      <c r="U4660" s="10"/>
      <c r="V4660" s="10"/>
      <c r="W4660" s="10"/>
      <c r="X4660" s="10"/>
      <c r="Y4660" s="10"/>
      <c r="Z4660" s="10"/>
      <c r="AA4660" s="10"/>
      <c r="AB4660" s="10"/>
      <c r="AC4660" s="10"/>
      <c r="AD4660" s="10"/>
      <c r="AE4660" s="10"/>
      <c r="AF4660" s="10"/>
      <c r="AG4660" s="10"/>
      <c r="AH4660" s="10"/>
    </row>
    <row r="4661" spans="1:34" outlineLevel="2">
      <c r="A4661" s="34"/>
      <c r="B4661" s="12" t="str">
        <f>IFERROR(VLOOKUP(D4661,'[1]Перечень товаров'!$A$2:$I9525,2,0),"")</f>
        <v>д66</v>
      </c>
      <c r="C4661" s="12" t="str">
        <f>IFERROR(VLOOKUP(D4661,'[1]Перечень товаров'!$A$2:$I9525,3,0),"")</f>
        <v>Дидактика</v>
      </c>
      <c r="D4661" s="35" t="s">
        <v>812</v>
      </c>
      <c r="E4661" s="23"/>
      <c r="F4661" s="23"/>
      <c r="G4661" s="232">
        <v>1</v>
      </c>
      <c r="H4661" s="232"/>
      <c r="I4661" s="233"/>
      <c r="J4661" s="233"/>
      <c r="K4661" s="19"/>
      <c r="L4661" s="20"/>
      <c r="M4661" s="10"/>
      <c r="N4661" s="10"/>
      <c r="O4661" s="10"/>
      <c r="P4661" s="10"/>
      <c r="Q4661" s="10"/>
      <c r="R4661" s="10"/>
      <c r="S4661" s="10"/>
      <c r="T4661" s="10"/>
      <c r="U4661" s="10"/>
      <c r="V4661" s="10"/>
      <c r="W4661" s="10"/>
      <c r="X4661" s="10"/>
      <c r="Y4661" s="10"/>
      <c r="Z4661" s="10"/>
      <c r="AA4661" s="10"/>
      <c r="AB4661" s="10"/>
      <c r="AC4661" s="10"/>
      <c r="AD4661" s="10"/>
      <c r="AE4661" s="10"/>
      <c r="AF4661" s="10"/>
      <c r="AG4661" s="10"/>
      <c r="AH4661" s="10"/>
    </row>
    <row r="4662" spans="1:34" outlineLevel="2">
      <c r="A4662" s="34"/>
      <c r="B4662" s="12" t="str">
        <f>IFERROR(VLOOKUP(D4662,'[1]Перечень товаров'!$A$2:$I9525,2,0),"")</f>
        <v>д67</v>
      </c>
      <c r="C4662" s="12" t="str">
        <f>IFERROR(VLOOKUP(D4662,'[1]Перечень товаров'!$A$2:$I9525,3,0),"")</f>
        <v>Дидактика</v>
      </c>
      <c r="D4662" s="35" t="s">
        <v>813</v>
      </c>
      <c r="E4662" s="23"/>
      <c r="F4662" s="23"/>
      <c r="G4662" s="232">
        <v>1</v>
      </c>
      <c r="H4662" s="232"/>
      <c r="I4662" s="233"/>
      <c r="J4662" s="233"/>
      <c r="K4662" s="19"/>
      <c r="L4662" s="20"/>
      <c r="M4662" s="10"/>
      <c r="N4662" s="10"/>
      <c r="O4662" s="10"/>
      <c r="P4662" s="10"/>
      <c r="Q4662" s="10"/>
      <c r="R4662" s="10"/>
      <c r="S4662" s="10"/>
      <c r="T4662" s="10"/>
      <c r="U4662" s="10"/>
      <c r="V4662" s="10"/>
      <c r="W4662" s="10"/>
      <c r="X4662" s="10"/>
      <c r="Y4662" s="10"/>
      <c r="Z4662" s="10"/>
      <c r="AA4662" s="10"/>
      <c r="AB4662" s="10"/>
      <c r="AC4662" s="10"/>
      <c r="AD4662" s="10"/>
      <c r="AE4662" s="10"/>
      <c r="AF4662" s="10"/>
      <c r="AG4662" s="10"/>
      <c r="AH4662" s="10"/>
    </row>
    <row r="4663" spans="1:34" outlineLevel="2">
      <c r="A4663" s="34"/>
      <c r="B4663" s="12" t="str">
        <f>IFERROR(VLOOKUP(D4663,'[1]Перечень товаров'!$A$2:$I9525,2,0),"")</f>
        <v>п90</v>
      </c>
      <c r="C4663" s="12" t="str">
        <f>IFERROR(VLOOKUP(D4663,'[1]Перечень товаров'!$A$2:$I9525,3,0),"")</f>
        <v>Прочее</v>
      </c>
      <c r="D4663" s="35" t="s">
        <v>723</v>
      </c>
      <c r="E4663" s="23"/>
      <c r="F4663" s="23"/>
      <c r="G4663" s="232">
        <v>1</v>
      </c>
      <c r="H4663" s="232"/>
      <c r="I4663" s="233"/>
      <c r="J4663" s="233"/>
      <c r="K4663" s="19"/>
      <c r="L4663" s="20"/>
      <c r="M4663" s="10"/>
      <c r="N4663" s="10"/>
      <c r="O4663" s="10"/>
      <c r="P4663" s="10"/>
      <c r="Q4663" s="10"/>
      <c r="R4663" s="10"/>
      <c r="S4663" s="10"/>
      <c r="T4663" s="10"/>
      <c r="U4663" s="10"/>
      <c r="V4663" s="10"/>
      <c r="W4663" s="10"/>
      <c r="X4663" s="10"/>
      <c r="Y4663" s="10"/>
      <c r="Z4663" s="10"/>
      <c r="AA4663" s="10"/>
      <c r="AB4663" s="10"/>
      <c r="AC4663" s="10"/>
      <c r="AD4663" s="10"/>
      <c r="AE4663" s="10"/>
      <c r="AF4663" s="10"/>
      <c r="AG4663" s="10"/>
      <c r="AH4663" s="10"/>
    </row>
    <row r="4664" spans="1:34" outlineLevel="2">
      <c r="A4664" s="34"/>
      <c r="B4664" s="12" t="str">
        <f>IFERROR(VLOOKUP(D4664,'[1]Перечень товаров'!$A$2:$I9525,2,0),"")</f>
        <v>д68</v>
      </c>
      <c r="C4664" s="12" t="str">
        <f>IFERROR(VLOOKUP(D4664,'[1]Перечень товаров'!$A$2:$I9525,3,0),"")</f>
        <v>Дидактика</v>
      </c>
      <c r="D4664" s="35" t="s">
        <v>814</v>
      </c>
      <c r="E4664" s="23"/>
      <c r="F4664" s="23"/>
      <c r="G4664" s="232">
        <v>3</v>
      </c>
      <c r="H4664" s="232"/>
      <c r="I4664" s="233"/>
      <c r="J4664" s="233"/>
      <c r="K4664" s="19"/>
      <c r="L4664" s="20"/>
      <c r="M4664" s="10"/>
      <c r="N4664" s="10"/>
      <c r="O4664" s="10"/>
      <c r="P4664" s="10"/>
      <c r="Q4664" s="10"/>
      <c r="R4664" s="10"/>
      <c r="S4664" s="10"/>
      <c r="T4664" s="10"/>
      <c r="U4664" s="10"/>
      <c r="V4664" s="10"/>
      <c r="W4664" s="10"/>
      <c r="X4664" s="10"/>
      <c r="Y4664" s="10"/>
      <c r="Z4664" s="10"/>
      <c r="AA4664" s="10"/>
      <c r="AB4664" s="10"/>
      <c r="AC4664" s="10"/>
      <c r="AD4664" s="10"/>
      <c r="AE4664" s="10"/>
      <c r="AF4664" s="10"/>
      <c r="AG4664" s="10"/>
      <c r="AH4664" s="10"/>
    </row>
    <row r="4665" spans="1:34" outlineLevel="2">
      <c r="A4665" s="34"/>
      <c r="B4665" s="12" t="str">
        <f>IFERROR(VLOOKUP(D4665,'[1]Перечень товаров'!$A$2:$I9525,2,0),"")</f>
        <v>д69</v>
      </c>
      <c r="C4665" s="12" t="str">
        <f>IFERROR(VLOOKUP(D4665,'[1]Перечень товаров'!$A$2:$I9525,3,0),"")</f>
        <v>Дидактика</v>
      </c>
      <c r="D4665" s="35" t="s">
        <v>815</v>
      </c>
      <c r="E4665" s="23"/>
      <c r="F4665" s="23"/>
      <c r="G4665" s="232">
        <v>8</v>
      </c>
      <c r="H4665" s="232"/>
      <c r="I4665" s="233"/>
      <c r="J4665" s="233"/>
      <c r="K4665" s="19"/>
      <c r="L4665" s="20"/>
      <c r="M4665" s="10"/>
      <c r="N4665" s="10"/>
      <c r="O4665" s="10"/>
      <c r="P4665" s="10"/>
      <c r="Q4665" s="10"/>
      <c r="R4665" s="10"/>
      <c r="S4665" s="10"/>
      <c r="T4665" s="10"/>
      <c r="U4665" s="10"/>
      <c r="V4665" s="10"/>
      <c r="W4665" s="10"/>
      <c r="X4665" s="10"/>
      <c r="Y4665" s="10"/>
      <c r="Z4665" s="10"/>
      <c r="AA4665" s="10"/>
      <c r="AB4665" s="10"/>
      <c r="AC4665" s="10"/>
      <c r="AD4665" s="10"/>
      <c r="AE4665" s="10"/>
      <c r="AF4665" s="10"/>
      <c r="AG4665" s="10"/>
      <c r="AH4665" s="10"/>
    </row>
    <row r="4666" spans="1:34" ht="12.75" outlineLevel="1">
      <c r="A4666" s="11"/>
      <c r="B4666" s="12" t="str">
        <f>IFERROR(VLOOKUP(D4666,'[1]Перечень товаров'!$A$2:$I9525,2,0),"")</f>
        <v/>
      </c>
      <c r="C4666" s="12" t="str">
        <f>IFERROR(VLOOKUP(D4666,'[1]Перечень товаров'!$A$2:$I9525,3,0),"")</f>
        <v/>
      </c>
      <c r="D4666" s="27" t="s">
        <v>1378</v>
      </c>
      <c r="E4666" s="14">
        <v>60.6</v>
      </c>
      <c r="F4666" s="14"/>
      <c r="G4666" s="17"/>
      <c r="H4666" s="17"/>
      <c r="I4666" s="57"/>
      <c r="J4666" s="57"/>
      <c r="K4666" s="19"/>
      <c r="L4666" s="20"/>
      <c r="M4666" s="10"/>
      <c r="N4666" s="10"/>
      <c r="O4666" s="10"/>
      <c r="P4666" s="10"/>
      <c r="Q4666" s="10"/>
      <c r="R4666" s="10"/>
      <c r="S4666" s="10"/>
      <c r="T4666" s="10"/>
      <c r="U4666" s="10"/>
      <c r="V4666" s="10"/>
      <c r="W4666" s="10"/>
      <c r="X4666" s="10"/>
      <c r="Y4666" s="10"/>
      <c r="Z4666" s="10"/>
      <c r="AA4666" s="10"/>
      <c r="AB4666" s="10"/>
      <c r="AC4666" s="10"/>
      <c r="AD4666" s="10"/>
      <c r="AE4666" s="10"/>
      <c r="AF4666" s="10"/>
      <c r="AG4666" s="10"/>
      <c r="AH4666" s="10"/>
    </row>
    <row r="4667" spans="1:34" ht="30" outlineLevel="2">
      <c r="A4667" s="189"/>
      <c r="B4667" s="12" t="str">
        <f>IFERROR(VLOOKUP(D4667,'[1]Перечень товаров'!$A$2:$I9525,2,0),"")</f>
        <v/>
      </c>
      <c r="C4667" s="12" t="str">
        <f>IFERROR(VLOOKUP(D4667,'[1]Перечень товаров'!$A$2:$I9525,3,0),"")</f>
        <v/>
      </c>
      <c r="D4667" s="190" t="s">
        <v>740</v>
      </c>
      <c r="E4667" s="61"/>
      <c r="F4667" s="61"/>
      <c r="G4667" s="186"/>
      <c r="H4667" s="186"/>
      <c r="I4667" s="187"/>
      <c r="J4667" s="187"/>
      <c r="K4667" s="19"/>
      <c r="L4667" s="20"/>
      <c r="M4667" s="10"/>
      <c r="N4667" s="10"/>
      <c r="O4667" s="10"/>
      <c r="P4667" s="10"/>
      <c r="Q4667" s="10"/>
      <c r="R4667" s="10"/>
      <c r="S4667" s="10"/>
      <c r="T4667" s="10"/>
      <c r="U4667" s="10"/>
      <c r="V4667" s="10"/>
      <c r="W4667" s="10"/>
      <c r="X4667" s="10"/>
      <c r="Y4667" s="10"/>
      <c r="Z4667" s="10"/>
      <c r="AA4667" s="10"/>
      <c r="AB4667" s="10"/>
      <c r="AC4667" s="10"/>
      <c r="AD4667" s="10"/>
      <c r="AE4667" s="10"/>
      <c r="AF4667" s="10"/>
      <c r="AG4667" s="10"/>
      <c r="AH4667" s="10"/>
    </row>
    <row r="4668" spans="1:34" ht="30" outlineLevel="2">
      <c r="A4668" s="179"/>
      <c r="B4668" s="12" t="str">
        <f>IFERROR(VLOOKUP(D4668,'[1]Перечень товаров'!$A$2:$I9525,2,0),"")</f>
        <v/>
      </c>
      <c r="C4668" s="12" t="str">
        <f>IFERROR(VLOOKUP(D4668,'[1]Перечень товаров'!$A$2:$I9525,3,0),"")</f>
        <v/>
      </c>
      <c r="D4668" s="180" t="s">
        <v>668</v>
      </c>
      <c r="E4668" s="61"/>
      <c r="F4668" s="61"/>
      <c r="G4668" s="186"/>
      <c r="H4668" s="186"/>
      <c r="I4668" s="187"/>
      <c r="J4668" s="187"/>
      <c r="K4668" s="19"/>
      <c r="L4668" s="20"/>
      <c r="M4668" s="10"/>
      <c r="N4668" s="10"/>
      <c r="O4668" s="10"/>
      <c r="P4668" s="10"/>
      <c r="Q4668" s="10"/>
      <c r="R4668" s="10"/>
      <c r="S4668" s="10"/>
      <c r="T4668" s="10"/>
      <c r="U4668" s="10"/>
      <c r="V4668" s="10"/>
      <c r="W4668" s="10"/>
      <c r="X4668" s="10"/>
      <c r="Y4668" s="10"/>
      <c r="Z4668" s="10"/>
      <c r="AA4668" s="10"/>
      <c r="AB4668" s="10"/>
      <c r="AC4668" s="10"/>
      <c r="AD4668" s="10"/>
      <c r="AE4668" s="10"/>
      <c r="AF4668" s="10"/>
      <c r="AG4668" s="10"/>
      <c r="AH4668" s="10"/>
    </row>
    <row r="4669" spans="1:34" outlineLevel="2">
      <c r="A4669" s="191"/>
      <c r="B4669" s="12" t="str">
        <f>IFERROR(VLOOKUP(D4669,'[1]Перечень товаров'!$A$2:$I9525,2,0),"")</f>
        <v>т9</v>
      </c>
      <c r="C4669" s="12" t="str">
        <f>IFERROR(VLOOKUP(D4669,'[1]Перечень товаров'!$A$2:$I9525,3,0),"")</f>
        <v>Техника</v>
      </c>
      <c r="D4669" s="192" t="s">
        <v>36</v>
      </c>
      <c r="E4669" s="23"/>
      <c r="F4669" s="23"/>
      <c r="G4669" s="193">
        <v>1</v>
      </c>
      <c r="H4669" s="193"/>
      <c r="I4669" s="194"/>
      <c r="J4669" s="194"/>
      <c r="K4669" s="19"/>
      <c r="L4669" s="20"/>
      <c r="M4669" s="10"/>
      <c r="N4669" s="10"/>
      <c r="O4669" s="10"/>
      <c r="P4669" s="10"/>
      <c r="Q4669" s="10"/>
      <c r="R4669" s="10"/>
      <c r="S4669" s="10"/>
      <c r="T4669" s="10"/>
      <c r="U4669" s="10"/>
      <c r="V4669" s="10"/>
      <c r="W4669" s="10"/>
      <c r="X4669" s="10"/>
      <c r="Y4669" s="10"/>
      <c r="Z4669" s="10"/>
      <c r="AA4669" s="10"/>
      <c r="AB4669" s="10"/>
      <c r="AC4669" s="10"/>
      <c r="AD4669" s="10"/>
      <c r="AE4669" s="10"/>
      <c r="AF4669" s="10"/>
      <c r="AG4669" s="10"/>
      <c r="AH4669" s="10"/>
    </row>
    <row r="4670" spans="1:34" outlineLevel="2">
      <c r="A4670" s="191"/>
      <c r="B4670" s="12" t="str">
        <f>IFERROR(VLOOKUP(D4670,'[1]Перечень товаров'!$A$2:$I9525,2,0),"")</f>
        <v>т234</v>
      </c>
      <c r="C4670" s="12" t="str">
        <f>IFERROR(VLOOKUP(D4670,'[1]Перечень товаров'!$A$2:$I9525,3,0),"")</f>
        <v>Техника</v>
      </c>
      <c r="D4670" s="192" t="s">
        <v>741</v>
      </c>
      <c r="E4670" s="23"/>
      <c r="F4670" s="23"/>
      <c r="G4670" s="193">
        <v>1</v>
      </c>
      <c r="H4670" s="193"/>
      <c r="I4670" s="194"/>
      <c r="J4670" s="194"/>
      <c r="K4670" s="19"/>
      <c r="L4670" s="20"/>
      <c r="M4670" s="10"/>
      <c r="N4670" s="10"/>
      <c r="O4670" s="10"/>
      <c r="P4670" s="10"/>
      <c r="Q4670" s="10"/>
      <c r="R4670" s="10"/>
      <c r="S4670" s="10"/>
      <c r="T4670" s="10"/>
      <c r="U4670" s="10"/>
      <c r="V4670" s="10"/>
      <c r="W4670" s="10"/>
      <c r="X4670" s="10"/>
      <c r="Y4670" s="10"/>
      <c r="Z4670" s="10"/>
      <c r="AA4670" s="10"/>
      <c r="AB4670" s="10"/>
      <c r="AC4670" s="10"/>
      <c r="AD4670" s="10"/>
      <c r="AE4670" s="10"/>
      <c r="AF4670" s="10"/>
      <c r="AG4670" s="10"/>
      <c r="AH4670" s="10"/>
    </row>
    <row r="4671" spans="1:34" outlineLevel="2">
      <c r="A4671" s="191"/>
      <c r="B4671" s="12" t="str">
        <f>IFERROR(VLOOKUP(D4671,'[1]Перечень товаров'!$A$2:$I9525,2,0),"")</f>
        <v>т1</v>
      </c>
      <c r="C4671" s="12" t="str">
        <f>IFERROR(VLOOKUP(D4671,'[1]Перечень товаров'!$A$2:$I9525,3,0),"")</f>
        <v xml:space="preserve">Техника </v>
      </c>
      <c r="D4671" s="22" t="s">
        <v>28</v>
      </c>
      <c r="E4671" s="23"/>
      <c r="F4671" s="23"/>
      <c r="G4671" s="193">
        <v>1</v>
      </c>
      <c r="H4671" s="193"/>
      <c r="I4671" s="194"/>
      <c r="J4671" s="194"/>
      <c r="K4671" s="19"/>
      <c r="L4671" s="20"/>
      <c r="M4671" s="10"/>
      <c r="N4671" s="10"/>
      <c r="O4671" s="10"/>
      <c r="P4671" s="10"/>
      <c r="Q4671" s="10"/>
      <c r="R4671" s="10"/>
      <c r="S4671" s="10"/>
      <c r="T4671" s="10"/>
      <c r="U4671" s="10"/>
      <c r="V4671" s="10"/>
      <c r="W4671" s="10"/>
      <c r="X4671" s="10"/>
      <c r="Y4671" s="10"/>
      <c r="Z4671" s="10"/>
      <c r="AA4671" s="10"/>
      <c r="AB4671" s="10"/>
      <c r="AC4671" s="10"/>
      <c r="AD4671" s="10"/>
      <c r="AE4671" s="10"/>
      <c r="AF4671" s="10"/>
      <c r="AG4671" s="10"/>
      <c r="AH4671" s="10"/>
    </row>
    <row r="4672" spans="1:34" outlineLevel="2">
      <c r="A4672" s="191"/>
      <c r="B4672" s="12" t="str">
        <f>IFERROR(VLOOKUP(D4672,'[1]Перечень товаров'!$A$2:$I9525,2,0),"")</f>
        <v>т235</v>
      </c>
      <c r="C4672" s="12" t="str">
        <f>IFERROR(VLOOKUP(D4672,'[1]Перечень товаров'!$A$2:$I9525,3,0),"")</f>
        <v>Техника</v>
      </c>
      <c r="D4672" s="192" t="s">
        <v>742</v>
      </c>
      <c r="E4672" s="23"/>
      <c r="F4672" s="23"/>
      <c r="G4672" s="193">
        <v>1</v>
      </c>
      <c r="H4672" s="193"/>
      <c r="I4672" s="194"/>
      <c r="J4672" s="194"/>
      <c r="K4672" s="19"/>
      <c r="L4672" s="20"/>
      <c r="M4672" s="10"/>
      <c r="N4672" s="10"/>
      <c r="O4672" s="10"/>
      <c r="P4672" s="10"/>
      <c r="Q4672" s="10"/>
      <c r="R4672" s="10"/>
      <c r="S4672" s="10"/>
      <c r="T4672" s="10"/>
      <c r="U4672" s="10"/>
      <c r="V4672" s="10"/>
      <c r="W4672" s="10"/>
      <c r="X4672" s="10"/>
      <c r="Y4672" s="10"/>
      <c r="Z4672" s="10"/>
      <c r="AA4672" s="10"/>
      <c r="AB4672" s="10"/>
      <c r="AC4672" s="10"/>
      <c r="AD4672" s="10"/>
      <c r="AE4672" s="10"/>
      <c r="AF4672" s="10"/>
      <c r="AG4672" s="10"/>
      <c r="AH4672" s="10"/>
    </row>
    <row r="4673" spans="1:34" outlineLevel="2">
      <c r="A4673" s="191"/>
      <c r="B4673" s="12" t="str">
        <f>IFERROR(VLOOKUP(D4673,'[1]Перечень товаров'!$A$2:$I9525,2,0),"")</f>
        <v>т8</v>
      </c>
      <c r="C4673" s="12" t="str">
        <f>IFERROR(VLOOKUP(D4673,'[1]Перечень товаров'!$A$2:$I9525,3,0),"")</f>
        <v xml:space="preserve">Техника </v>
      </c>
      <c r="D4673" s="192" t="s">
        <v>35</v>
      </c>
      <c r="E4673" s="23"/>
      <c r="F4673" s="23"/>
      <c r="G4673" s="193">
        <v>1</v>
      </c>
      <c r="H4673" s="193"/>
      <c r="I4673" s="194"/>
      <c r="J4673" s="194"/>
      <c r="K4673" s="19"/>
      <c r="L4673" s="20"/>
      <c r="M4673" s="10"/>
      <c r="N4673" s="10"/>
      <c r="O4673" s="10"/>
      <c r="P4673" s="10"/>
      <c r="Q4673" s="10"/>
      <c r="R4673" s="10"/>
      <c r="S4673" s="10"/>
      <c r="T4673" s="10"/>
      <c r="U4673" s="10"/>
      <c r="V4673" s="10"/>
      <c r="W4673" s="10"/>
      <c r="X4673" s="10"/>
      <c r="Y4673" s="10"/>
      <c r="Z4673" s="10"/>
      <c r="AA4673" s="10"/>
      <c r="AB4673" s="10"/>
      <c r="AC4673" s="10"/>
      <c r="AD4673" s="10"/>
      <c r="AE4673" s="10"/>
      <c r="AF4673" s="10"/>
      <c r="AG4673" s="10"/>
      <c r="AH4673" s="10"/>
    </row>
    <row r="4674" spans="1:34" outlineLevel="2">
      <c r="A4674" s="191"/>
      <c r="B4674" s="12" t="str">
        <f>IFERROR(VLOOKUP(D4674,'[1]Перечень товаров'!$A$2:$I9525,2,0),"")</f>
        <v>т236</v>
      </c>
      <c r="C4674" s="12" t="str">
        <f>IFERROR(VLOOKUP(D4674,'[1]Перечень товаров'!$A$2:$I9525,3,0),"")</f>
        <v>Техника</v>
      </c>
      <c r="D4674" s="192" t="s">
        <v>743</v>
      </c>
      <c r="E4674" s="23"/>
      <c r="F4674" s="23"/>
      <c r="G4674" s="193">
        <v>1</v>
      </c>
      <c r="H4674" s="193"/>
      <c r="I4674" s="194"/>
      <c r="J4674" s="194"/>
      <c r="K4674" s="19"/>
      <c r="L4674" s="20"/>
      <c r="M4674" s="10"/>
      <c r="N4674" s="10"/>
      <c r="O4674" s="10"/>
      <c r="P4674" s="10"/>
      <c r="Q4674" s="10"/>
      <c r="R4674" s="10"/>
      <c r="S4674" s="10"/>
      <c r="T4674" s="10"/>
      <c r="U4674" s="10"/>
      <c r="V4674" s="10"/>
      <c r="W4674" s="10"/>
      <c r="X4674" s="10"/>
      <c r="Y4674" s="10"/>
      <c r="Z4674" s="10"/>
      <c r="AA4674" s="10"/>
      <c r="AB4674" s="10"/>
      <c r="AC4674" s="10"/>
      <c r="AD4674" s="10"/>
      <c r="AE4674" s="10"/>
      <c r="AF4674" s="10"/>
      <c r="AG4674" s="10"/>
      <c r="AH4674" s="10"/>
    </row>
    <row r="4675" spans="1:34" outlineLevel="2">
      <c r="A4675" s="191"/>
      <c r="B4675" s="12" t="str">
        <f>IFERROR(VLOOKUP(D4675,'[1]Перечень товаров'!$A$2:$I9525,2,0),"")</f>
        <v>т237</v>
      </c>
      <c r="C4675" s="12" t="str">
        <f>IFERROR(VLOOKUP(D4675,'[1]Перечень товаров'!$A$2:$I9525,3,0),"")</f>
        <v>Техника</v>
      </c>
      <c r="D4675" s="192" t="s">
        <v>744</v>
      </c>
      <c r="E4675" s="23"/>
      <c r="F4675" s="23"/>
      <c r="G4675" s="193">
        <v>1</v>
      </c>
      <c r="H4675" s="193"/>
      <c r="I4675" s="194"/>
      <c r="J4675" s="194"/>
      <c r="K4675" s="19"/>
      <c r="L4675" s="20"/>
      <c r="M4675" s="10"/>
      <c r="N4675" s="10"/>
      <c r="O4675" s="10"/>
      <c r="P4675" s="10"/>
      <c r="Q4675" s="10"/>
      <c r="R4675" s="10"/>
      <c r="S4675" s="10"/>
      <c r="T4675" s="10"/>
      <c r="U4675" s="10"/>
      <c r="V4675" s="10"/>
      <c r="W4675" s="10"/>
      <c r="X4675" s="10"/>
      <c r="Y4675" s="10"/>
      <c r="Z4675" s="10"/>
      <c r="AA4675" s="10"/>
      <c r="AB4675" s="10"/>
      <c r="AC4675" s="10"/>
      <c r="AD4675" s="10"/>
      <c r="AE4675" s="10"/>
      <c r="AF4675" s="10"/>
      <c r="AG4675" s="10"/>
      <c r="AH4675" s="10"/>
    </row>
    <row r="4676" spans="1:34" ht="31.5" outlineLevel="2">
      <c r="A4676" s="191"/>
      <c r="B4676" s="12" t="str">
        <f>IFERROR(VLOOKUP(D4676,'[1]Перечень товаров'!$A$2:$I9525,2,0),"")</f>
        <v>т238</v>
      </c>
      <c r="C4676" s="12" t="str">
        <f>IFERROR(VLOOKUP(D4676,'[1]Перечень товаров'!$A$2:$I9525,3,0),"")</f>
        <v>Техника</v>
      </c>
      <c r="D4676" s="192" t="s">
        <v>745</v>
      </c>
      <c r="E4676" s="23"/>
      <c r="F4676" s="23"/>
      <c r="G4676" s="193">
        <v>1</v>
      </c>
      <c r="H4676" s="193"/>
      <c r="I4676" s="194"/>
      <c r="J4676" s="194"/>
      <c r="K4676" s="19"/>
      <c r="L4676" s="20"/>
      <c r="M4676" s="10"/>
      <c r="N4676" s="10"/>
      <c r="O4676" s="10"/>
      <c r="P4676" s="10"/>
      <c r="Q4676" s="10"/>
      <c r="R4676" s="10"/>
      <c r="S4676" s="10"/>
      <c r="T4676" s="10"/>
      <c r="U4676" s="10"/>
      <c r="V4676" s="10"/>
      <c r="W4676" s="10"/>
      <c r="X4676" s="10"/>
      <c r="Y4676" s="10"/>
      <c r="Z4676" s="10"/>
      <c r="AA4676" s="10"/>
      <c r="AB4676" s="10"/>
      <c r="AC4676" s="10"/>
      <c r="AD4676" s="10"/>
      <c r="AE4676" s="10"/>
      <c r="AF4676" s="10"/>
      <c r="AG4676" s="10"/>
      <c r="AH4676" s="10"/>
    </row>
    <row r="4677" spans="1:34" ht="15" outlineLevel="2">
      <c r="A4677" s="181"/>
      <c r="B4677" s="12" t="str">
        <f>IFERROR(VLOOKUP(D4677,'[1]Перечень товаров'!$A$2:$I9525,2,0),"")</f>
        <v/>
      </c>
      <c r="C4677" s="12" t="str">
        <f>IFERROR(VLOOKUP(D4677,'[1]Перечень товаров'!$A$2:$I9525,3,0),"")</f>
        <v/>
      </c>
      <c r="D4677" s="182" t="s">
        <v>19</v>
      </c>
      <c r="E4677" s="45"/>
      <c r="F4677" s="45"/>
      <c r="G4677" s="195"/>
      <c r="H4677" s="195"/>
      <c r="I4677" s="196"/>
      <c r="J4677" s="196"/>
      <c r="K4677" s="19"/>
      <c r="L4677" s="20"/>
      <c r="M4677" s="10"/>
      <c r="N4677" s="10"/>
      <c r="O4677" s="10"/>
      <c r="P4677" s="10"/>
      <c r="Q4677" s="10"/>
      <c r="R4677" s="10"/>
      <c r="S4677" s="10"/>
      <c r="T4677" s="10"/>
      <c r="U4677" s="10"/>
      <c r="V4677" s="10"/>
      <c r="W4677" s="10"/>
      <c r="X4677" s="10"/>
      <c r="Y4677" s="10"/>
      <c r="Z4677" s="10"/>
      <c r="AA4677" s="10"/>
      <c r="AB4677" s="10"/>
      <c r="AC4677" s="10"/>
      <c r="AD4677" s="10"/>
      <c r="AE4677" s="10"/>
      <c r="AF4677" s="10"/>
      <c r="AG4677" s="10"/>
      <c r="AH4677" s="10"/>
    </row>
    <row r="4678" spans="1:34" ht="31.5" outlineLevel="2">
      <c r="A4678" s="191"/>
      <c r="B4678" s="12" t="str">
        <f>IFERROR(VLOOKUP(D4678,'[1]Перечень товаров'!$A$2:$I9525,2,0),"")</f>
        <v>м205</v>
      </c>
      <c r="C4678" s="12" t="str">
        <f>IFERROR(VLOOKUP(D4678,'[1]Перечень товаров'!$A$2:$I9525,3,0),"")</f>
        <v>Мебель</v>
      </c>
      <c r="D4678" s="192" t="s">
        <v>20</v>
      </c>
      <c r="E4678" s="23"/>
      <c r="F4678" s="23"/>
      <c r="G4678" s="193">
        <v>1</v>
      </c>
      <c r="H4678" s="193"/>
      <c r="I4678" s="194"/>
      <c r="J4678" s="194"/>
      <c r="K4678" s="19"/>
      <c r="L4678" s="20"/>
      <c r="M4678" s="10"/>
      <c r="N4678" s="10"/>
      <c r="O4678" s="10"/>
      <c r="P4678" s="10"/>
      <c r="Q4678" s="10"/>
      <c r="R4678" s="10"/>
      <c r="S4678" s="10"/>
      <c r="T4678" s="10"/>
      <c r="U4678" s="10"/>
      <c r="V4678" s="10"/>
      <c r="W4678" s="10"/>
      <c r="X4678" s="10"/>
      <c r="Y4678" s="10"/>
      <c r="Z4678" s="10"/>
      <c r="AA4678" s="10"/>
      <c r="AB4678" s="10"/>
      <c r="AC4678" s="10"/>
      <c r="AD4678" s="10"/>
      <c r="AE4678" s="10"/>
      <c r="AF4678" s="10"/>
      <c r="AG4678" s="10"/>
      <c r="AH4678" s="10"/>
    </row>
    <row r="4679" spans="1:34" ht="31.5" outlineLevel="2">
      <c r="A4679" s="191"/>
      <c r="B4679" s="12" t="str">
        <f>IFERROR(VLOOKUP(D4679,'[1]Перечень товаров'!$A$2:$I9525,2,0),"")</f>
        <v>м206</v>
      </c>
      <c r="C4679" s="12" t="str">
        <f>IFERROR(VLOOKUP(D4679,'[1]Перечень товаров'!$A$2:$I9525,3,0),"")</f>
        <v>Мебель</v>
      </c>
      <c r="D4679" s="192" t="s">
        <v>746</v>
      </c>
      <c r="E4679" s="23"/>
      <c r="F4679" s="23"/>
      <c r="G4679" s="193">
        <v>1</v>
      </c>
      <c r="H4679" s="193"/>
      <c r="I4679" s="194"/>
      <c r="J4679" s="194"/>
      <c r="K4679" s="19"/>
      <c r="L4679" s="20"/>
      <c r="M4679" s="10"/>
      <c r="N4679" s="10"/>
      <c r="O4679" s="10"/>
      <c r="P4679" s="10"/>
      <c r="Q4679" s="10"/>
      <c r="R4679" s="10"/>
      <c r="S4679" s="10"/>
      <c r="T4679" s="10"/>
      <c r="U4679" s="10"/>
      <c r="V4679" s="10"/>
      <c r="W4679" s="10"/>
      <c r="X4679" s="10"/>
      <c r="Y4679" s="10"/>
      <c r="Z4679" s="10"/>
      <c r="AA4679" s="10"/>
      <c r="AB4679" s="10"/>
      <c r="AC4679" s="10"/>
      <c r="AD4679" s="10"/>
      <c r="AE4679" s="10"/>
      <c r="AF4679" s="10"/>
      <c r="AG4679" s="10"/>
      <c r="AH4679" s="10"/>
    </row>
    <row r="4680" spans="1:34" ht="31.5" outlineLevel="2">
      <c r="A4680" s="191"/>
      <c r="B4680" s="12" t="str">
        <f>IFERROR(VLOOKUP(D4680,'[1]Перечень товаров'!$A$2:$I9525,2,0),"")</f>
        <v>м207</v>
      </c>
      <c r="C4680" s="12" t="str">
        <f>IFERROR(VLOOKUP(D4680,'[1]Перечень товаров'!$A$2:$I9525,3,0),"")</f>
        <v>Мебель</v>
      </c>
      <c r="D4680" s="192" t="s">
        <v>747</v>
      </c>
      <c r="E4680" s="23"/>
      <c r="F4680" s="23"/>
      <c r="G4680" s="193">
        <v>13</v>
      </c>
      <c r="H4680" s="193"/>
      <c r="I4680" s="194"/>
      <c r="J4680" s="194"/>
      <c r="K4680" s="19"/>
      <c r="L4680" s="20"/>
      <c r="M4680" s="10"/>
      <c r="N4680" s="10"/>
      <c r="O4680" s="10"/>
      <c r="P4680" s="10"/>
      <c r="Q4680" s="10"/>
      <c r="R4680" s="10"/>
      <c r="S4680" s="10"/>
      <c r="T4680" s="10"/>
      <c r="U4680" s="10"/>
      <c r="V4680" s="10"/>
      <c r="W4680" s="10"/>
      <c r="X4680" s="10"/>
      <c r="Y4680" s="10"/>
      <c r="Z4680" s="10"/>
      <c r="AA4680" s="10"/>
      <c r="AB4680" s="10"/>
      <c r="AC4680" s="10"/>
      <c r="AD4680" s="10"/>
      <c r="AE4680" s="10"/>
      <c r="AF4680" s="10"/>
      <c r="AG4680" s="10"/>
      <c r="AH4680" s="10"/>
    </row>
    <row r="4681" spans="1:34" outlineLevel="2">
      <c r="A4681" s="191"/>
      <c r="B4681" s="12" t="str">
        <f>IFERROR(VLOOKUP(D4681,'[1]Перечень товаров'!$A$2:$I9525,2,0),"")</f>
        <v>м208</v>
      </c>
      <c r="C4681" s="12" t="str">
        <f>IFERROR(VLOOKUP(D4681,'[1]Перечень товаров'!$A$2:$I9525,3,0),"")</f>
        <v>Мебель</v>
      </c>
      <c r="D4681" s="192" t="s">
        <v>748</v>
      </c>
      <c r="E4681" s="23"/>
      <c r="F4681" s="23"/>
      <c r="G4681" s="193">
        <v>26</v>
      </c>
      <c r="H4681" s="193"/>
      <c r="I4681" s="194"/>
      <c r="J4681" s="194"/>
      <c r="K4681" s="19"/>
      <c r="L4681" s="20"/>
      <c r="M4681" s="10"/>
      <c r="N4681" s="10"/>
      <c r="O4681" s="10"/>
      <c r="P4681" s="10"/>
      <c r="Q4681" s="10"/>
      <c r="R4681" s="10"/>
      <c r="S4681" s="10"/>
      <c r="T4681" s="10"/>
      <c r="U4681" s="10"/>
      <c r="V4681" s="10"/>
      <c r="W4681" s="10"/>
      <c r="X4681" s="10"/>
      <c r="Y4681" s="10"/>
      <c r="Z4681" s="10"/>
      <c r="AA4681" s="10"/>
      <c r="AB4681" s="10"/>
      <c r="AC4681" s="10"/>
      <c r="AD4681" s="10"/>
      <c r="AE4681" s="10"/>
      <c r="AF4681" s="10"/>
      <c r="AG4681" s="10"/>
      <c r="AH4681" s="10"/>
    </row>
    <row r="4682" spans="1:34" outlineLevel="2">
      <c r="A4682" s="191"/>
      <c r="B4682" s="12" t="str">
        <f>IFERROR(VLOOKUP(D4682,'[1]Перечень товаров'!$A$2:$I9525,2,0),"")</f>
        <v>м209</v>
      </c>
      <c r="C4682" s="12" t="str">
        <f>IFERROR(VLOOKUP(D4682,'[1]Перечень товаров'!$A$2:$I9525,3,0),"")</f>
        <v>Мебель</v>
      </c>
      <c r="D4682" s="192" t="s">
        <v>749</v>
      </c>
      <c r="E4682" s="23"/>
      <c r="F4682" s="23"/>
      <c r="G4682" s="193">
        <v>1</v>
      </c>
      <c r="H4682" s="193"/>
      <c r="I4682" s="194"/>
      <c r="J4682" s="194"/>
      <c r="K4682" s="19"/>
      <c r="L4682" s="20"/>
      <c r="M4682" s="10"/>
      <c r="N4682" s="10"/>
      <c r="O4682" s="10"/>
      <c r="P4682" s="10"/>
      <c r="Q4682" s="10"/>
      <c r="R4682" s="10"/>
      <c r="S4682" s="10"/>
      <c r="T4682" s="10"/>
      <c r="U4682" s="10"/>
      <c r="V4682" s="10"/>
      <c r="W4682" s="10"/>
      <c r="X4682" s="10"/>
      <c r="Y4682" s="10"/>
      <c r="Z4682" s="10"/>
      <c r="AA4682" s="10"/>
      <c r="AB4682" s="10"/>
      <c r="AC4682" s="10"/>
      <c r="AD4682" s="10"/>
      <c r="AE4682" s="10"/>
      <c r="AF4682" s="10"/>
      <c r="AG4682" s="10"/>
      <c r="AH4682" s="10"/>
    </row>
    <row r="4683" spans="1:34" ht="47.25" outlineLevel="2">
      <c r="A4683" s="191"/>
      <c r="B4683" s="12" t="str">
        <f>IFERROR(VLOOKUP(D4683,'[1]Перечень товаров'!$A$2:$I9525,2,0),"")</f>
        <v>м210</v>
      </c>
      <c r="C4683" s="12" t="str">
        <f>IFERROR(VLOOKUP(D4683,'[1]Перечень товаров'!$A$2:$I9525,3,0),"")</f>
        <v>Мебель</v>
      </c>
      <c r="D4683" s="192" t="s">
        <v>750</v>
      </c>
      <c r="E4683" s="23"/>
      <c r="F4683" s="23"/>
      <c r="G4683" s="193">
        <v>2</v>
      </c>
      <c r="H4683" s="193"/>
      <c r="I4683" s="194"/>
      <c r="J4683" s="194"/>
      <c r="K4683" s="19"/>
      <c r="L4683" s="20"/>
      <c r="M4683" s="10"/>
      <c r="N4683" s="10"/>
      <c r="O4683" s="10"/>
      <c r="P4683" s="10"/>
      <c r="Q4683" s="10"/>
      <c r="R4683" s="10"/>
      <c r="S4683" s="10"/>
      <c r="T4683" s="10"/>
      <c r="U4683" s="10"/>
      <c r="V4683" s="10"/>
      <c r="W4683" s="10"/>
      <c r="X4683" s="10"/>
      <c r="Y4683" s="10"/>
      <c r="Z4683" s="10"/>
      <c r="AA4683" s="10"/>
      <c r="AB4683" s="10"/>
      <c r="AC4683" s="10"/>
      <c r="AD4683" s="10"/>
      <c r="AE4683" s="10"/>
      <c r="AF4683" s="10"/>
      <c r="AG4683" s="10"/>
      <c r="AH4683" s="10"/>
    </row>
    <row r="4684" spans="1:34" ht="47.25" outlineLevel="2">
      <c r="A4684" s="191"/>
      <c r="B4684" s="12" t="str">
        <f>IFERROR(VLOOKUP(D4684,'[1]Перечень товаров'!$A$2:$I9525,2,0),"")</f>
        <v>п91</v>
      </c>
      <c r="C4684" s="12" t="str">
        <f>IFERROR(VLOOKUP(D4684,'[1]Перечень товаров'!$A$2:$I9525,3,0),"")</f>
        <v>Прочее</v>
      </c>
      <c r="D4684" s="192" t="s">
        <v>751</v>
      </c>
      <c r="E4684" s="23"/>
      <c r="F4684" s="23"/>
      <c r="G4684" s="193">
        <v>1</v>
      </c>
      <c r="H4684" s="193"/>
      <c r="I4684" s="194"/>
      <c r="J4684" s="194"/>
      <c r="K4684" s="19"/>
      <c r="L4684" s="20"/>
      <c r="M4684" s="10"/>
      <c r="N4684" s="10"/>
      <c r="O4684" s="10"/>
      <c r="P4684" s="10"/>
      <c r="Q4684" s="10"/>
      <c r="R4684" s="10"/>
      <c r="S4684" s="10"/>
      <c r="T4684" s="10"/>
      <c r="U4684" s="10"/>
      <c r="V4684" s="10"/>
      <c r="W4684" s="10"/>
      <c r="X4684" s="10"/>
      <c r="Y4684" s="10"/>
      <c r="Z4684" s="10"/>
      <c r="AA4684" s="10"/>
      <c r="AB4684" s="10"/>
      <c r="AC4684" s="10"/>
      <c r="AD4684" s="10"/>
      <c r="AE4684" s="10"/>
      <c r="AF4684" s="10"/>
      <c r="AG4684" s="10"/>
      <c r="AH4684" s="10"/>
    </row>
    <row r="4685" spans="1:34" ht="15" outlineLevel="2">
      <c r="A4685" s="179"/>
      <c r="B4685" s="12" t="str">
        <f>IFERROR(VLOOKUP(D4685,'[1]Перечень товаров'!$A$2:$I9525,2,0),"")</f>
        <v/>
      </c>
      <c r="C4685" s="12" t="str">
        <f>IFERROR(VLOOKUP(D4685,'[1]Перечень товаров'!$A$2:$I9525,3,0),"")</f>
        <v/>
      </c>
      <c r="D4685" s="180" t="s">
        <v>752</v>
      </c>
      <c r="E4685" s="61"/>
      <c r="F4685" s="61"/>
      <c r="G4685" s="195"/>
      <c r="H4685" s="195"/>
      <c r="I4685" s="196"/>
      <c r="J4685" s="196"/>
      <c r="K4685" s="19"/>
      <c r="L4685" s="20"/>
      <c r="M4685" s="10"/>
      <c r="N4685" s="10"/>
      <c r="O4685" s="10"/>
      <c r="P4685" s="10"/>
      <c r="Q4685" s="10"/>
      <c r="R4685" s="10"/>
      <c r="S4685" s="10"/>
      <c r="T4685" s="10"/>
      <c r="U4685" s="10"/>
      <c r="V4685" s="10"/>
      <c r="W4685" s="10"/>
      <c r="X4685" s="10"/>
      <c r="Y4685" s="10"/>
      <c r="Z4685" s="10"/>
      <c r="AA4685" s="10"/>
      <c r="AB4685" s="10"/>
      <c r="AC4685" s="10"/>
      <c r="AD4685" s="10"/>
      <c r="AE4685" s="10"/>
      <c r="AF4685" s="10"/>
      <c r="AG4685" s="10"/>
      <c r="AH4685" s="10"/>
    </row>
    <row r="4686" spans="1:34" ht="15" outlineLevel="2">
      <c r="A4686" s="179"/>
      <c r="B4686" s="12" t="str">
        <f>IFERROR(VLOOKUP(D4686,'[1]Перечень товаров'!$A$2:$I9525,2,0),"")</f>
        <v/>
      </c>
      <c r="C4686" s="12" t="str">
        <f>IFERROR(VLOOKUP(D4686,'[1]Перечень товаров'!$A$2:$I9525,3,0),"")</f>
        <v/>
      </c>
      <c r="D4686" s="180" t="s">
        <v>753</v>
      </c>
      <c r="E4686" s="61"/>
      <c r="F4686" s="61"/>
      <c r="G4686" s="195"/>
      <c r="H4686" s="195"/>
      <c r="I4686" s="196"/>
      <c r="J4686" s="196"/>
      <c r="K4686" s="19"/>
      <c r="L4686" s="20"/>
      <c r="M4686" s="10"/>
      <c r="N4686" s="10"/>
      <c r="O4686" s="10"/>
      <c r="P4686" s="10"/>
      <c r="Q4686" s="10"/>
      <c r="R4686" s="10"/>
      <c r="S4686" s="10"/>
      <c r="T4686" s="10"/>
      <c r="U4686" s="10"/>
      <c r="V4686" s="10"/>
      <c r="W4686" s="10"/>
      <c r="X4686" s="10"/>
      <c r="Y4686" s="10"/>
      <c r="Z4686" s="10"/>
      <c r="AA4686" s="10"/>
      <c r="AB4686" s="10"/>
      <c r="AC4686" s="10"/>
      <c r="AD4686" s="10"/>
      <c r="AE4686" s="10"/>
      <c r="AF4686" s="10"/>
      <c r="AG4686" s="10"/>
      <c r="AH4686" s="10"/>
    </row>
    <row r="4687" spans="1:34" ht="31.5" outlineLevel="2">
      <c r="A4687" s="191"/>
      <c r="B4687" s="12" t="str">
        <f>IFERROR(VLOOKUP(D4687,'[1]Перечень товаров'!$A$2:$I9525,2,0),"")</f>
        <v>д13</v>
      </c>
      <c r="C4687" s="12" t="str">
        <f>IFERROR(VLOOKUP(D4687,'[1]Перечень товаров'!$A$2:$I9525,3,0),"")</f>
        <v>Дидактика</v>
      </c>
      <c r="D4687" s="192" t="s">
        <v>754</v>
      </c>
      <c r="E4687" s="23"/>
      <c r="F4687" s="23"/>
      <c r="G4687" s="193">
        <v>1</v>
      </c>
      <c r="H4687" s="193"/>
      <c r="I4687" s="194"/>
      <c r="J4687" s="194"/>
      <c r="K4687" s="19"/>
      <c r="L4687" s="20"/>
      <c r="M4687" s="10"/>
      <c r="N4687" s="10"/>
      <c r="O4687" s="10"/>
      <c r="P4687" s="10"/>
      <c r="Q4687" s="10"/>
      <c r="R4687" s="10"/>
      <c r="S4687" s="10"/>
      <c r="T4687" s="10"/>
      <c r="U4687" s="10"/>
      <c r="V4687" s="10"/>
      <c r="W4687" s="10"/>
      <c r="X4687" s="10"/>
      <c r="Y4687" s="10"/>
      <c r="Z4687" s="10"/>
      <c r="AA4687" s="10"/>
      <c r="AB4687" s="10"/>
      <c r="AC4687" s="10"/>
      <c r="AD4687" s="10"/>
      <c r="AE4687" s="10"/>
      <c r="AF4687" s="10"/>
      <c r="AG4687" s="10"/>
      <c r="AH4687" s="10"/>
    </row>
    <row r="4688" spans="1:34" ht="47.25" outlineLevel="2">
      <c r="A4688" s="191"/>
      <c r="B4688" s="12" t="str">
        <f>IFERROR(VLOOKUP(D4688,'[1]Перечень товаров'!$A$2:$I9525,2,0),"")</f>
        <v>д14</v>
      </c>
      <c r="C4688" s="12" t="str">
        <f>IFERROR(VLOOKUP(D4688,'[1]Перечень товаров'!$A$2:$I9525,3,0),"")</f>
        <v>Дидактика</v>
      </c>
      <c r="D4688" s="192" t="s">
        <v>755</v>
      </c>
      <c r="E4688" s="23"/>
      <c r="F4688" s="23"/>
      <c r="G4688" s="193">
        <v>1</v>
      </c>
      <c r="H4688" s="193"/>
      <c r="I4688" s="194"/>
      <c r="J4688" s="194"/>
      <c r="K4688" s="19"/>
      <c r="L4688" s="20"/>
      <c r="M4688" s="10"/>
      <c r="N4688" s="10"/>
      <c r="O4688" s="10"/>
      <c r="P4688" s="10"/>
      <c r="Q4688" s="10"/>
      <c r="R4688" s="10"/>
      <c r="S4688" s="10"/>
      <c r="T4688" s="10"/>
      <c r="U4688" s="10"/>
      <c r="V4688" s="10"/>
      <c r="W4688" s="10"/>
      <c r="X4688" s="10"/>
      <c r="Y4688" s="10"/>
      <c r="Z4688" s="10"/>
      <c r="AA4688" s="10"/>
      <c r="AB4688" s="10"/>
      <c r="AC4688" s="10"/>
      <c r="AD4688" s="10"/>
      <c r="AE4688" s="10"/>
      <c r="AF4688" s="10"/>
      <c r="AG4688" s="10"/>
      <c r="AH4688" s="10"/>
    </row>
    <row r="4689" spans="1:34" ht="31.5" outlineLevel="2">
      <c r="A4689" s="191"/>
      <c r="B4689" s="12" t="str">
        <f>IFERROR(VLOOKUP(D4689,'[1]Перечень товаров'!$A$2:$I9525,2,0),"")</f>
        <v>д15</v>
      </c>
      <c r="C4689" s="12" t="str">
        <f>IFERROR(VLOOKUP(D4689,'[1]Перечень товаров'!$A$2:$I9525,3,0),"")</f>
        <v>Дидактика</v>
      </c>
      <c r="D4689" s="192" t="s">
        <v>756</v>
      </c>
      <c r="E4689" s="23"/>
      <c r="F4689" s="23"/>
      <c r="G4689" s="193">
        <v>1</v>
      </c>
      <c r="H4689" s="193"/>
      <c r="I4689" s="194"/>
      <c r="J4689" s="194"/>
      <c r="K4689" s="19"/>
      <c r="L4689" s="20"/>
      <c r="M4689" s="10"/>
      <c r="N4689" s="10"/>
      <c r="O4689" s="10"/>
      <c r="P4689" s="10"/>
      <c r="Q4689" s="10"/>
      <c r="R4689" s="10"/>
      <c r="S4689" s="10"/>
      <c r="T4689" s="10"/>
      <c r="U4689" s="10"/>
      <c r="V4689" s="10"/>
      <c r="W4689" s="10"/>
      <c r="X4689" s="10"/>
      <c r="Y4689" s="10"/>
      <c r="Z4689" s="10"/>
      <c r="AA4689" s="10"/>
      <c r="AB4689" s="10"/>
      <c r="AC4689" s="10"/>
      <c r="AD4689" s="10"/>
      <c r="AE4689" s="10"/>
      <c r="AF4689" s="10"/>
      <c r="AG4689" s="10"/>
      <c r="AH4689" s="10"/>
    </row>
    <row r="4690" spans="1:34" ht="30" outlineLevel="2">
      <c r="A4690" s="179"/>
      <c r="B4690" s="12" t="str">
        <f>IFERROR(VLOOKUP(D4690,'[1]Перечень товаров'!$A$2:$I9525,2,0),"")</f>
        <v/>
      </c>
      <c r="C4690" s="12" t="str">
        <f>IFERROR(VLOOKUP(D4690,'[1]Перечень товаров'!$A$2:$I9525,3,0),"")</f>
        <v/>
      </c>
      <c r="D4690" s="180" t="s">
        <v>757</v>
      </c>
      <c r="E4690" s="61"/>
      <c r="F4690" s="61"/>
      <c r="G4690" s="195"/>
      <c r="H4690" s="195"/>
      <c r="I4690" s="196"/>
      <c r="J4690" s="196"/>
      <c r="K4690" s="19"/>
      <c r="L4690" s="20"/>
      <c r="M4690" s="10"/>
      <c r="N4690" s="10"/>
      <c r="O4690" s="10"/>
      <c r="P4690" s="10"/>
      <c r="Q4690" s="10"/>
      <c r="R4690" s="10"/>
      <c r="S4690" s="10"/>
      <c r="T4690" s="10"/>
      <c r="U4690" s="10"/>
      <c r="V4690" s="10"/>
      <c r="W4690" s="10"/>
      <c r="X4690" s="10"/>
      <c r="Y4690" s="10"/>
      <c r="Z4690" s="10"/>
      <c r="AA4690" s="10"/>
      <c r="AB4690" s="10"/>
      <c r="AC4690" s="10"/>
      <c r="AD4690" s="10"/>
      <c r="AE4690" s="10"/>
      <c r="AF4690" s="10"/>
      <c r="AG4690" s="10"/>
      <c r="AH4690" s="10"/>
    </row>
    <row r="4691" spans="1:34" outlineLevel="2">
      <c r="A4691" s="191"/>
      <c r="B4691" s="12" t="str">
        <f>IFERROR(VLOOKUP(D4691,'[1]Перечень товаров'!$A$2:$I9525,2,0),"")</f>
        <v>п92</v>
      </c>
      <c r="C4691" s="12" t="str">
        <f>IFERROR(VLOOKUP(D4691,'[1]Перечень товаров'!$A$2:$I9525,3,0),"")</f>
        <v>Прочее</v>
      </c>
      <c r="D4691" s="192" t="s">
        <v>758</v>
      </c>
      <c r="E4691" s="23"/>
      <c r="F4691" s="23"/>
      <c r="G4691" s="193">
        <v>13</v>
      </c>
      <c r="H4691" s="193"/>
      <c r="I4691" s="194"/>
      <c r="J4691" s="194"/>
      <c r="K4691" s="19"/>
      <c r="L4691" s="20"/>
      <c r="M4691" s="10"/>
      <c r="N4691" s="10"/>
      <c r="O4691" s="10"/>
      <c r="P4691" s="10"/>
      <c r="Q4691" s="10"/>
      <c r="R4691" s="10"/>
      <c r="S4691" s="10"/>
      <c r="T4691" s="10"/>
      <c r="U4691" s="10"/>
      <c r="V4691" s="10"/>
      <c r="W4691" s="10"/>
      <c r="X4691" s="10"/>
      <c r="Y4691" s="10"/>
      <c r="Z4691" s="10"/>
      <c r="AA4691" s="10"/>
      <c r="AB4691" s="10"/>
      <c r="AC4691" s="10"/>
      <c r="AD4691" s="10"/>
      <c r="AE4691" s="10"/>
      <c r="AF4691" s="10"/>
      <c r="AG4691" s="10"/>
      <c r="AH4691" s="10"/>
    </row>
    <row r="4692" spans="1:34" ht="31.5" outlineLevel="2">
      <c r="A4692" s="191"/>
      <c r="B4692" s="12" t="str">
        <f>IFERROR(VLOOKUP(D4692,'[1]Перечень товаров'!$A$2:$I9525,2,0),"")</f>
        <v>д16</v>
      </c>
      <c r="C4692" s="12" t="str">
        <f>IFERROR(VLOOKUP(D4692,'[1]Перечень товаров'!$A$2:$I9525,3,0),"")</f>
        <v>Дидактика</v>
      </c>
      <c r="D4692" s="192" t="s">
        <v>759</v>
      </c>
      <c r="E4692" s="23"/>
      <c r="F4692" s="23"/>
      <c r="G4692" s="193">
        <v>1</v>
      </c>
      <c r="H4692" s="193"/>
      <c r="I4692" s="194"/>
      <c r="J4692" s="194"/>
      <c r="K4692" s="19"/>
      <c r="L4692" s="20"/>
      <c r="M4692" s="10"/>
      <c r="N4692" s="10"/>
      <c r="O4692" s="10"/>
      <c r="P4692" s="10"/>
      <c r="Q4692" s="10"/>
      <c r="R4692" s="10"/>
      <c r="S4692" s="10"/>
      <c r="T4692" s="10"/>
      <c r="U4692" s="10"/>
      <c r="V4692" s="10"/>
      <c r="W4692" s="10"/>
      <c r="X4692" s="10"/>
      <c r="Y4692" s="10"/>
      <c r="Z4692" s="10"/>
      <c r="AA4692" s="10"/>
      <c r="AB4692" s="10"/>
      <c r="AC4692" s="10"/>
      <c r="AD4692" s="10"/>
      <c r="AE4692" s="10"/>
      <c r="AF4692" s="10"/>
      <c r="AG4692" s="10"/>
      <c r="AH4692" s="10"/>
    </row>
    <row r="4693" spans="1:34" ht="31.5" outlineLevel="2">
      <c r="A4693" s="191"/>
      <c r="B4693" s="12" t="str">
        <f>IFERROR(VLOOKUP(D4693,'[1]Перечень товаров'!$A$2:$I9525,2,0),"")</f>
        <v>д17</v>
      </c>
      <c r="C4693" s="12" t="str">
        <f>IFERROR(VLOOKUP(D4693,'[1]Перечень товаров'!$A$2:$I9525,3,0),"")</f>
        <v>Дидактика</v>
      </c>
      <c r="D4693" s="192" t="s">
        <v>760</v>
      </c>
      <c r="E4693" s="23"/>
      <c r="F4693" s="23"/>
      <c r="G4693" s="193">
        <v>1</v>
      </c>
      <c r="H4693" s="193"/>
      <c r="I4693" s="194"/>
      <c r="J4693" s="194"/>
      <c r="K4693" s="19"/>
      <c r="L4693" s="20"/>
      <c r="M4693" s="10"/>
      <c r="N4693" s="10"/>
      <c r="O4693" s="10"/>
      <c r="P4693" s="10"/>
      <c r="Q4693" s="10"/>
      <c r="R4693" s="10"/>
      <c r="S4693" s="10"/>
      <c r="T4693" s="10"/>
      <c r="U4693" s="10"/>
      <c r="V4693" s="10"/>
      <c r="W4693" s="10"/>
      <c r="X4693" s="10"/>
      <c r="Y4693" s="10"/>
      <c r="Z4693" s="10"/>
      <c r="AA4693" s="10"/>
      <c r="AB4693" s="10"/>
      <c r="AC4693" s="10"/>
      <c r="AD4693" s="10"/>
      <c r="AE4693" s="10"/>
      <c r="AF4693" s="10"/>
      <c r="AG4693" s="10"/>
      <c r="AH4693" s="10"/>
    </row>
    <row r="4694" spans="1:34" ht="31.5" outlineLevel="2">
      <c r="A4694" s="191"/>
      <c r="B4694" s="12" t="str">
        <f>IFERROR(VLOOKUP(D4694,'[1]Перечень товаров'!$A$2:$I9525,2,0),"")</f>
        <v>д18</v>
      </c>
      <c r="C4694" s="12" t="str">
        <f>IFERROR(VLOOKUP(D4694,'[1]Перечень товаров'!$A$2:$I9525,3,0),"")</f>
        <v>Дидактика</v>
      </c>
      <c r="D4694" s="192" t="s">
        <v>761</v>
      </c>
      <c r="E4694" s="23"/>
      <c r="F4694" s="23"/>
      <c r="G4694" s="193">
        <v>13</v>
      </c>
      <c r="H4694" s="193"/>
      <c r="I4694" s="194"/>
      <c r="J4694" s="194"/>
      <c r="K4694" s="19"/>
      <c r="L4694" s="20"/>
      <c r="M4694" s="10"/>
      <c r="N4694" s="10"/>
      <c r="O4694" s="10"/>
      <c r="P4694" s="10"/>
      <c r="Q4694" s="10"/>
      <c r="R4694" s="10"/>
      <c r="S4694" s="10"/>
      <c r="T4694" s="10"/>
      <c r="U4694" s="10"/>
      <c r="V4694" s="10"/>
      <c r="W4694" s="10"/>
      <c r="X4694" s="10"/>
      <c r="Y4694" s="10"/>
      <c r="Z4694" s="10"/>
      <c r="AA4694" s="10"/>
      <c r="AB4694" s="10"/>
      <c r="AC4694" s="10"/>
      <c r="AD4694" s="10"/>
      <c r="AE4694" s="10"/>
      <c r="AF4694" s="10"/>
      <c r="AG4694" s="10"/>
      <c r="AH4694" s="10"/>
    </row>
    <row r="4695" spans="1:34" ht="31.5" outlineLevel="2">
      <c r="A4695" s="191"/>
      <c r="B4695" s="12" t="str">
        <f>IFERROR(VLOOKUP(D4695,'[1]Перечень товаров'!$A$2:$I9525,2,0),"")</f>
        <v>д19</v>
      </c>
      <c r="C4695" s="12" t="str">
        <f>IFERROR(VLOOKUP(D4695,'[1]Перечень товаров'!$A$2:$I9525,3,0),"")</f>
        <v>Дидактика</v>
      </c>
      <c r="D4695" s="192" t="s">
        <v>762</v>
      </c>
      <c r="E4695" s="23"/>
      <c r="F4695" s="23"/>
      <c r="G4695" s="193">
        <v>1</v>
      </c>
      <c r="H4695" s="193"/>
      <c r="I4695" s="194"/>
      <c r="J4695" s="194"/>
      <c r="K4695" s="19"/>
      <c r="L4695" s="20"/>
      <c r="M4695" s="10"/>
      <c r="N4695" s="10"/>
      <c r="O4695" s="10"/>
      <c r="P4695" s="10"/>
      <c r="Q4695" s="10"/>
      <c r="R4695" s="10"/>
      <c r="S4695" s="10"/>
      <c r="T4695" s="10"/>
      <c r="U4695" s="10"/>
      <c r="V4695" s="10"/>
      <c r="W4695" s="10"/>
      <c r="X4695" s="10"/>
      <c r="Y4695" s="10"/>
      <c r="Z4695" s="10"/>
      <c r="AA4695" s="10"/>
      <c r="AB4695" s="10"/>
      <c r="AC4695" s="10"/>
      <c r="AD4695" s="10"/>
      <c r="AE4695" s="10"/>
      <c r="AF4695" s="10"/>
      <c r="AG4695" s="10"/>
      <c r="AH4695" s="10"/>
    </row>
    <row r="4696" spans="1:34" ht="31.5" outlineLevel="2">
      <c r="A4696" s="191"/>
      <c r="B4696" s="12" t="str">
        <f>IFERROR(VLOOKUP(D4696,'[1]Перечень товаров'!$A$2:$I9525,2,0),"")</f>
        <v>д20</v>
      </c>
      <c r="C4696" s="12" t="str">
        <f>IFERROR(VLOOKUP(D4696,'[1]Перечень товаров'!$A$2:$I9525,3,0),"")</f>
        <v>Дидактика</v>
      </c>
      <c r="D4696" s="192" t="s">
        <v>763</v>
      </c>
      <c r="E4696" s="23"/>
      <c r="F4696" s="23"/>
      <c r="G4696" s="193">
        <v>1</v>
      </c>
      <c r="H4696" s="193"/>
      <c r="I4696" s="194"/>
      <c r="J4696" s="194"/>
      <c r="K4696" s="19"/>
      <c r="L4696" s="20"/>
      <c r="M4696" s="10"/>
      <c r="N4696" s="10"/>
      <c r="O4696" s="10"/>
      <c r="P4696" s="10"/>
      <c r="Q4696" s="10"/>
      <c r="R4696" s="10"/>
      <c r="S4696" s="10"/>
      <c r="T4696" s="10"/>
      <c r="U4696" s="10"/>
      <c r="V4696" s="10"/>
      <c r="W4696" s="10"/>
      <c r="X4696" s="10"/>
      <c r="Y4696" s="10"/>
      <c r="Z4696" s="10"/>
      <c r="AA4696" s="10"/>
      <c r="AB4696" s="10"/>
      <c r="AC4696" s="10"/>
      <c r="AD4696" s="10"/>
      <c r="AE4696" s="10"/>
      <c r="AF4696" s="10"/>
      <c r="AG4696" s="10"/>
      <c r="AH4696" s="10"/>
    </row>
    <row r="4697" spans="1:34" ht="63" outlineLevel="2">
      <c r="A4697" s="191"/>
      <c r="B4697" s="12" t="str">
        <f>IFERROR(VLOOKUP(D4697,'[1]Перечень товаров'!$A$2:$I9525,2,0),"")</f>
        <v>д21</v>
      </c>
      <c r="C4697" s="12" t="str">
        <f>IFERROR(VLOOKUP(D4697,'[1]Перечень товаров'!$A$2:$I9525,3,0),"")</f>
        <v>Дидактика</v>
      </c>
      <c r="D4697" s="192" t="s">
        <v>764</v>
      </c>
      <c r="E4697" s="23"/>
      <c r="F4697" s="23"/>
      <c r="G4697" s="193">
        <v>1</v>
      </c>
      <c r="H4697" s="193"/>
      <c r="I4697" s="194"/>
      <c r="J4697" s="194"/>
      <c r="K4697" s="19"/>
      <c r="L4697" s="20"/>
      <c r="M4697" s="10"/>
      <c r="N4697" s="10"/>
      <c r="O4697" s="10"/>
      <c r="P4697" s="10"/>
      <c r="Q4697" s="10"/>
      <c r="R4697" s="10"/>
      <c r="S4697" s="10"/>
      <c r="T4697" s="10"/>
      <c r="U4697" s="10"/>
      <c r="V4697" s="10"/>
      <c r="W4697" s="10"/>
      <c r="X4697" s="10"/>
      <c r="Y4697" s="10"/>
      <c r="Z4697" s="10"/>
      <c r="AA4697" s="10"/>
      <c r="AB4697" s="10"/>
      <c r="AC4697" s="10"/>
      <c r="AD4697" s="10"/>
      <c r="AE4697" s="10"/>
      <c r="AF4697" s="10"/>
      <c r="AG4697" s="10"/>
      <c r="AH4697" s="10"/>
    </row>
    <row r="4698" spans="1:34" ht="47.25" outlineLevel="2">
      <c r="A4698" s="191"/>
      <c r="B4698" s="12" t="str">
        <f>IFERROR(VLOOKUP(D4698,'[1]Перечень товаров'!$A$2:$I9525,2,0),"")</f>
        <v>д22</v>
      </c>
      <c r="C4698" s="12" t="str">
        <f>IFERROR(VLOOKUP(D4698,'[1]Перечень товаров'!$A$2:$I9525,3,0),"")</f>
        <v>Дидактика</v>
      </c>
      <c r="D4698" s="192" t="s">
        <v>765</v>
      </c>
      <c r="E4698" s="23"/>
      <c r="F4698" s="23"/>
      <c r="G4698" s="193">
        <v>1</v>
      </c>
      <c r="H4698" s="193"/>
      <c r="I4698" s="194"/>
      <c r="J4698" s="194"/>
      <c r="K4698" s="19"/>
      <c r="L4698" s="20"/>
      <c r="M4698" s="10"/>
      <c r="N4698" s="10"/>
      <c r="O4698" s="10"/>
      <c r="P4698" s="10"/>
      <c r="Q4698" s="10"/>
      <c r="R4698" s="10"/>
      <c r="S4698" s="10"/>
      <c r="T4698" s="10"/>
      <c r="U4698" s="10"/>
      <c r="V4698" s="10"/>
      <c r="W4698" s="10"/>
      <c r="X4698" s="10"/>
      <c r="Y4698" s="10"/>
      <c r="Z4698" s="10"/>
      <c r="AA4698" s="10"/>
      <c r="AB4698" s="10"/>
      <c r="AC4698" s="10"/>
      <c r="AD4698" s="10"/>
      <c r="AE4698" s="10"/>
      <c r="AF4698" s="10"/>
      <c r="AG4698" s="10"/>
      <c r="AH4698" s="10"/>
    </row>
    <row r="4699" spans="1:34" ht="31.5" outlineLevel="2">
      <c r="A4699" s="191"/>
      <c r="B4699" s="12" t="str">
        <f>IFERROR(VLOOKUP(D4699,'[1]Перечень товаров'!$A$2:$I9525,2,0),"")</f>
        <v>д23</v>
      </c>
      <c r="C4699" s="12" t="str">
        <f>IFERROR(VLOOKUP(D4699,'[1]Перечень товаров'!$A$2:$I9525,3,0),"")</f>
        <v>Дидактика</v>
      </c>
      <c r="D4699" s="192" t="s">
        <v>766</v>
      </c>
      <c r="E4699" s="23"/>
      <c r="F4699" s="23"/>
      <c r="G4699" s="193">
        <v>13</v>
      </c>
      <c r="H4699" s="193"/>
      <c r="I4699" s="194"/>
      <c r="J4699" s="194"/>
      <c r="K4699" s="19"/>
      <c r="L4699" s="20"/>
      <c r="M4699" s="10"/>
      <c r="N4699" s="10"/>
      <c r="O4699" s="10"/>
      <c r="P4699" s="10"/>
      <c r="Q4699" s="10"/>
      <c r="R4699" s="10"/>
      <c r="S4699" s="10"/>
      <c r="T4699" s="10"/>
      <c r="U4699" s="10"/>
      <c r="V4699" s="10"/>
      <c r="W4699" s="10"/>
      <c r="X4699" s="10"/>
      <c r="Y4699" s="10"/>
      <c r="Z4699" s="10"/>
      <c r="AA4699" s="10"/>
      <c r="AB4699" s="10"/>
      <c r="AC4699" s="10"/>
      <c r="AD4699" s="10"/>
      <c r="AE4699" s="10"/>
      <c r="AF4699" s="10"/>
      <c r="AG4699" s="10"/>
      <c r="AH4699" s="10"/>
    </row>
    <row r="4700" spans="1:34" ht="78.75" outlineLevel="2">
      <c r="A4700" s="191"/>
      <c r="B4700" s="12" t="str">
        <f>IFERROR(VLOOKUP(D4700,'[1]Перечень товаров'!$A$2:$I9525,2,0),"")</f>
        <v>д24</v>
      </c>
      <c r="C4700" s="12" t="str">
        <f>IFERROR(VLOOKUP(D4700,'[1]Перечень товаров'!$A$2:$I9525,3,0),"")</f>
        <v>Дидактика</v>
      </c>
      <c r="D4700" s="192" t="s">
        <v>767</v>
      </c>
      <c r="E4700" s="23"/>
      <c r="F4700" s="23"/>
      <c r="G4700" s="193">
        <v>1</v>
      </c>
      <c r="H4700" s="193"/>
      <c r="I4700" s="194"/>
      <c r="J4700" s="194"/>
      <c r="K4700" s="19"/>
      <c r="L4700" s="20"/>
      <c r="M4700" s="10"/>
      <c r="N4700" s="10"/>
      <c r="O4700" s="10"/>
      <c r="P4700" s="10"/>
      <c r="Q4700" s="10"/>
      <c r="R4700" s="10"/>
      <c r="S4700" s="10"/>
      <c r="T4700" s="10"/>
      <c r="U4700" s="10"/>
      <c r="V4700" s="10"/>
      <c r="W4700" s="10"/>
      <c r="X4700" s="10"/>
      <c r="Y4700" s="10"/>
      <c r="Z4700" s="10"/>
      <c r="AA4700" s="10"/>
      <c r="AB4700" s="10"/>
      <c r="AC4700" s="10"/>
      <c r="AD4700" s="10"/>
      <c r="AE4700" s="10"/>
      <c r="AF4700" s="10"/>
      <c r="AG4700" s="10"/>
      <c r="AH4700" s="10"/>
    </row>
    <row r="4701" spans="1:34" ht="31.5" outlineLevel="2">
      <c r="A4701" s="191"/>
      <c r="B4701" s="12" t="str">
        <f>IFERROR(VLOOKUP(D4701,'[1]Перечень товаров'!$A$2:$I9525,2,0),"")</f>
        <v>д25</v>
      </c>
      <c r="C4701" s="12" t="str">
        <f>IFERROR(VLOOKUP(D4701,'[1]Перечень товаров'!$A$2:$I9525,3,0),"")</f>
        <v>Дидактика</v>
      </c>
      <c r="D4701" s="192" t="s">
        <v>768</v>
      </c>
      <c r="E4701" s="23"/>
      <c r="F4701" s="23"/>
      <c r="G4701" s="193">
        <v>1</v>
      </c>
      <c r="H4701" s="193"/>
      <c r="I4701" s="194"/>
      <c r="J4701" s="194"/>
      <c r="K4701" s="19"/>
      <c r="L4701" s="20"/>
      <c r="M4701" s="10"/>
      <c r="N4701" s="10"/>
      <c r="O4701" s="10"/>
      <c r="P4701" s="10"/>
      <c r="Q4701" s="10"/>
      <c r="R4701" s="10"/>
      <c r="S4701" s="10"/>
      <c r="T4701" s="10"/>
      <c r="U4701" s="10"/>
      <c r="V4701" s="10"/>
      <c r="W4701" s="10"/>
      <c r="X4701" s="10"/>
      <c r="Y4701" s="10"/>
      <c r="Z4701" s="10"/>
      <c r="AA4701" s="10"/>
      <c r="AB4701" s="10"/>
      <c r="AC4701" s="10"/>
      <c r="AD4701" s="10"/>
      <c r="AE4701" s="10"/>
      <c r="AF4701" s="10"/>
      <c r="AG4701" s="10"/>
      <c r="AH4701" s="10"/>
    </row>
    <row r="4702" spans="1:34" outlineLevel="2">
      <c r="A4702" s="191"/>
      <c r="B4702" s="12" t="str">
        <f>IFERROR(VLOOKUP(D4702,'[1]Перечень товаров'!$A$2:$I9525,2,0),"")</f>
        <v>п92</v>
      </c>
      <c r="C4702" s="12" t="str">
        <f>IFERROR(VLOOKUP(D4702,'[1]Перечень товаров'!$A$2:$I9525,3,0),"")</f>
        <v>Прочее</v>
      </c>
      <c r="D4702" s="192" t="s">
        <v>769</v>
      </c>
      <c r="E4702" s="23"/>
      <c r="F4702" s="23"/>
      <c r="G4702" s="193">
        <v>13</v>
      </c>
      <c r="H4702" s="193"/>
      <c r="I4702" s="194"/>
      <c r="J4702" s="194"/>
      <c r="K4702" s="19"/>
      <c r="L4702" s="20"/>
      <c r="M4702" s="10"/>
      <c r="N4702" s="10"/>
      <c r="O4702" s="10"/>
      <c r="P4702" s="10"/>
      <c r="Q4702" s="10"/>
      <c r="R4702" s="10"/>
      <c r="S4702" s="10"/>
      <c r="T4702" s="10"/>
      <c r="U4702" s="10"/>
      <c r="V4702" s="10"/>
      <c r="W4702" s="10"/>
      <c r="X4702" s="10"/>
      <c r="Y4702" s="10"/>
      <c r="Z4702" s="10"/>
      <c r="AA4702" s="10"/>
      <c r="AB4702" s="10"/>
      <c r="AC4702" s="10"/>
      <c r="AD4702" s="10"/>
      <c r="AE4702" s="10"/>
      <c r="AF4702" s="10"/>
      <c r="AG4702" s="10"/>
      <c r="AH4702" s="10"/>
    </row>
    <row r="4703" spans="1:34" ht="15" outlineLevel="2">
      <c r="A4703" s="179"/>
      <c r="B4703" s="12" t="str">
        <f>IFERROR(VLOOKUP(D4703,'[1]Перечень товаров'!$A$2:$I9525,2,0),"")</f>
        <v/>
      </c>
      <c r="C4703" s="12" t="str">
        <f>IFERROR(VLOOKUP(D4703,'[1]Перечень товаров'!$A$2:$I9525,3,0),"")</f>
        <v/>
      </c>
      <c r="D4703" s="180" t="s">
        <v>770</v>
      </c>
      <c r="E4703" s="61"/>
      <c r="F4703" s="61"/>
      <c r="G4703" s="195"/>
      <c r="H4703" s="195"/>
      <c r="I4703" s="196"/>
      <c r="J4703" s="196"/>
      <c r="K4703" s="19"/>
      <c r="L4703" s="20"/>
      <c r="M4703" s="10"/>
      <c r="N4703" s="10"/>
      <c r="O4703" s="10"/>
      <c r="P4703" s="10"/>
      <c r="Q4703" s="10"/>
      <c r="R4703" s="10"/>
      <c r="S4703" s="10"/>
      <c r="T4703" s="10"/>
      <c r="U4703" s="10"/>
      <c r="V4703" s="10"/>
      <c r="W4703" s="10"/>
      <c r="X4703" s="10"/>
      <c r="Y4703" s="10"/>
      <c r="Z4703" s="10"/>
      <c r="AA4703" s="10"/>
      <c r="AB4703" s="10"/>
      <c r="AC4703" s="10"/>
      <c r="AD4703" s="10"/>
      <c r="AE4703" s="10"/>
      <c r="AF4703" s="10"/>
      <c r="AG4703" s="10"/>
      <c r="AH4703" s="10"/>
    </row>
    <row r="4704" spans="1:34" ht="31.5" outlineLevel="2">
      <c r="A4704" s="191"/>
      <c r="B4704" s="12" t="str">
        <f>IFERROR(VLOOKUP(D4704,'[1]Перечень товаров'!$A$2:$I9525,2,0),"")</f>
        <v>д26</v>
      </c>
      <c r="C4704" s="12" t="str">
        <f>IFERROR(VLOOKUP(D4704,'[1]Перечень товаров'!$A$2:$I9525,3,0),"")</f>
        <v>Дидактика</v>
      </c>
      <c r="D4704" s="192" t="s">
        <v>771</v>
      </c>
      <c r="E4704" s="23"/>
      <c r="F4704" s="23"/>
      <c r="G4704" s="193">
        <v>1</v>
      </c>
      <c r="H4704" s="193"/>
      <c r="I4704" s="194"/>
      <c r="J4704" s="194"/>
      <c r="K4704" s="19"/>
      <c r="L4704" s="20"/>
      <c r="M4704" s="10"/>
      <c r="N4704" s="10"/>
      <c r="O4704" s="10"/>
      <c r="P4704" s="10"/>
      <c r="Q4704" s="10"/>
      <c r="R4704" s="10"/>
      <c r="S4704" s="10"/>
      <c r="T4704" s="10"/>
      <c r="U4704" s="10"/>
      <c r="V4704" s="10"/>
      <c r="W4704" s="10"/>
      <c r="X4704" s="10"/>
      <c r="Y4704" s="10"/>
      <c r="Z4704" s="10"/>
      <c r="AA4704" s="10"/>
      <c r="AB4704" s="10"/>
      <c r="AC4704" s="10"/>
      <c r="AD4704" s="10"/>
      <c r="AE4704" s="10"/>
      <c r="AF4704" s="10"/>
      <c r="AG4704" s="10"/>
      <c r="AH4704" s="10"/>
    </row>
    <row r="4705" spans="1:34" ht="31.5" outlineLevel="2">
      <c r="A4705" s="191"/>
      <c r="B4705" s="12" t="str">
        <f>IFERROR(VLOOKUP(D4705,'[1]Перечень товаров'!$A$2:$I9525,2,0),"")</f>
        <v>д27</v>
      </c>
      <c r="C4705" s="12" t="str">
        <f>IFERROR(VLOOKUP(D4705,'[1]Перечень товаров'!$A$2:$I9525,3,0),"")</f>
        <v>Дидактика</v>
      </c>
      <c r="D4705" s="192" t="s">
        <v>772</v>
      </c>
      <c r="E4705" s="23"/>
      <c r="F4705" s="23"/>
      <c r="G4705" s="193">
        <v>1</v>
      </c>
      <c r="H4705" s="193"/>
      <c r="I4705" s="194"/>
      <c r="J4705" s="194"/>
      <c r="K4705" s="19"/>
      <c r="L4705" s="20"/>
      <c r="M4705" s="10"/>
      <c r="N4705" s="10"/>
      <c r="O4705" s="10"/>
      <c r="P4705" s="10"/>
      <c r="Q4705" s="10"/>
      <c r="R4705" s="10"/>
      <c r="S4705" s="10"/>
      <c r="T4705" s="10"/>
      <c r="U4705" s="10"/>
      <c r="V4705" s="10"/>
      <c r="W4705" s="10"/>
      <c r="X4705" s="10"/>
      <c r="Y4705" s="10"/>
      <c r="Z4705" s="10"/>
      <c r="AA4705" s="10"/>
      <c r="AB4705" s="10"/>
      <c r="AC4705" s="10"/>
      <c r="AD4705" s="10"/>
      <c r="AE4705" s="10"/>
      <c r="AF4705" s="10"/>
      <c r="AG4705" s="10"/>
      <c r="AH4705" s="10"/>
    </row>
    <row r="4706" spans="1:34" ht="47.25" outlineLevel="2">
      <c r="A4706" s="191"/>
      <c r="B4706" s="12" t="str">
        <f>IFERROR(VLOOKUP(D4706,'[1]Перечень товаров'!$A$2:$I9525,2,0),"")</f>
        <v>д28</v>
      </c>
      <c r="C4706" s="12" t="str">
        <f>IFERROR(VLOOKUP(D4706,'[1]Перечень товаров'!$A$2:$I9525,3,0),"")</f>
        <v>Дидактика</v>
      </c>
      <c r="D4706" s="192" t="s">
        <v>773</v>
      </c>
      <c r="E4706" s="23"/>
      <c r="F4706" s="23"/>
      <c r="G4706" s="193">
        <v>1</v>
      </c>
      <c r="H4706" s="193"/>
      <c r="I4706" s="194"/>
      <c r="J4706" s="194"/>
      <c r="K4706" s="19"/>
      <c r="L4706" s="20"/>
      <c r="M4706" s="10"/>
      <c r="N4706" s="10"/>
      <c r="O4706" s="10"/>
      <c r="P4706" s="10"/>
      <c r="Q4706" s="10"/>
      <c r="R4706" s="10"/>
      <c r="S4706" s="10"/>
      <c r="T4706" s="10"/>
      <c r="U4706" s="10"/>
      <c r="V4706" s="10"/>
      <c r="W4706" s="10"/>
      <c r="X4706" s="10"/>
      <c r="Y4706" s="10"/>
      <c r="Z4706" s="10"/>
      <c r="AA4706" s="10"/>
      <c r="AB4706" s="10"/>
      <c r="AC4706" s="10"/>
      <c r="AD4706" s="10"/>
      <c r="AE4706" s="10"/>
      <c r="AF4706" s="10"/>
      <c r="AG4706" s="10"/>
      <c r="AH4706" s="10"/>
    </row>
    <row r="4707" spans="1:34" ht="31.5" outlineLevel="2">
      <c r="A4707" s="191"/>
      <c r="B4707" s="12" t="str">
        <f>IFERROR(VLOOKUP(D4707,'[1]Перечень товаров'!$A$2:$I9525,2,0),"")</f>
        <v>д29</v>
      </c>
      <c r="C4707" s="12" t="str">
        <f>IFERROR(VLOOKUP(D4707,'[1]Перечень товаров'!$A$2:$I9525,3,0),"")</f>
        <v>Дидактика</v>
      </c>
      <c r="D4707" s="192" t="s">
        <v>774</v>
      </c>
      <c r="E4707" s="23"/>
      <c r="F4707" s="23"/>
      <c r="G4707" s="193">
        <v>1</v>
      </c>
      <c r="H4707" s="193"/>
      <c r="I4707" s="194"/>
      <c r="J4707" s="194"/>
      <c r="K4707" s="19"/>
      <c r="L4707" s="20"/>
      <c r="M4707" s="10"/>
      <c r="N4707" s="10"/>
      <c r="O4707" s="10"/>
      <c r="P4707" s="10"/>
      <c r="Q4707" s="10"/>
      <c r="R4707" s="10"/>
      <c r="S4707" s="10"/>
      <c r="T4707" s="10"/>
      <c r="U4707" s="10"/>
      <c r="V4707" s="10"/>
      <c r="W4707" s="10"/>
      <c r="X4707" s="10"/>
      <c r="Y4707" s="10"/>
      <c r="Z4707" s="10"/>
      <c r="AA4707" s="10"/>
      <c r="AB4707" s="10"/>
      <c r="AC4707" s="10"/>
      <c r="AD4707" s="10"/>
      <c r="AE4707" s="10"/>
      <c r="AF4707" s="10"/>
      <c r="AG4707" s="10"/>
      <c r="AH4707" s="10"/>
    </row>
    <row r="4708" spans="1:34" ht="31.5" outlineLevel="2">
      <c r="A4708" s="191"/>
      <c r="B4708" s="12" t="str">
        <f>IFERROR(VLOOKUP(D4708,'[1]Перечень товаров'!$A$2:$I9525,2,0),"")</f>
        <v>д30</v>
      </c>
      <c r="C4708" s="12" t="str">
        <f>IFERROR(VLOOKUP(D4708,'[1]Перечень товаров'!$A$2:$I9525,3,0),"")</f>
        <v>Дидактика</v>
      </c>
      <c r="D4708" s="192" t="s">
        <v>775</v>
      </c>
      <c r="E4708" s="23"/>
      <c r="F4708" s="23"/>
      <c r="G4708" s="193">
        <v>1</v>
      </c>
      <c r="H4708" s="193"/>
      <c r="I4708" s="194"/>
      <c r="J4708" s="194"/>
      <c r="K4708" s="19"/>
      <c r="L4708" s="20"/>
      <c r="M4708" s="10"/>
      <c r="N4708" s="10"/>
      <c r="O4708" s="10"/>
      <c r="P4708" s="10"/>
      <c r="Q4708" s="10"/>
      <c r="R4708" s="10"/>
      <c r="S4708" s="10"/>
      <c r="T4708" s="10"/>
      <c r="U4708" s="10"/>
      <c r="V4708" s="10"/>
      <c r="W4708" s="10"/>
      <c r="X4708" s="10"/>
      <c r="Y4708" s="10"/>
      <c r="Z4708" s="10"/>
      <c r="AA4708" s="10"/>
      <c r="AB4708" s="10"/>
      <c r="AC4708" s="10"/>
      <c r="AD4708" s="10"/>
      <c r="AE4708" s="10"/>
      <c r="AF4708" s="10"/>
      <c r="AG4708" s="10"/>
      <c r="AH4708" s="10"/>
    </row>
    <row r="4709" spans="1:34" ht="31.5" outlineLevel="2">
      <c r="A4709" s="191"/>
      <c r="B4709" s="12" t="str">
        <f>IFERROR(VLOOKUP(D4709,'[1]Перечень товаров'!$A$2:$I9525,2,0),"")</f>
        <v>д31</v>
      </c>
      <c r="C4709" s="12" t="str">
        <f>IFERROR(VLOOKUP(D4709,'[1]Перечень товаров'!$A$2:$I9525,3,0),"")</f>
        <v>Дидактика</v>
      </c>
      <c r="D4709" s="192" t="s">
        <v>776</v>
      </c>
      <c r="E4709" s="23"/>
      <c r="F4709" s="23"/>
      <c r="G4709" s="193">
        <v>1</v>
      </c>
      <c r="H4709" s="193"/>
      <c r="I4709" s="194"/>
      <c r="J4709" s="194"/>
      <c r="K4709" s="19"/>
      <c r="L4709" s="20"/>
      <c r="M4709" s="10"/>
      <c r="N4709" s="10"/>
      <c r="O4709" s="10"/>
      <c r="P4709" s="10"/>
      <c r="Q4709" s="10"/>
      <c r="R4709" s="10"/>
      <c r="S4709" s="10"/>
      <c r="T4709" s="10"/>
      <c r="U4709" s="10"/>
      <c r="V4709" s="10"/>
      <c r="W4709" s="10"/>
      <c r="X4709" s="10"/>
      <c r="Y4709" s="10"/>
      <c r="Z4709" s="10"/>
      <c r="AA4709" s="10"/>
      <c r="AB4709" s="10"/>
      <c r="AC4709" s="10"/>
      <c r="AD4709" s="10"/>
      <c r="AE4709" s="10"/>
      <c r="AF4709" s="10"/>
      <c r="AG4709" s="10"/>
      <c r="AH4709" s="10"/>
    </row>
    <row r="4710" spans="1:34" ht="31.5" outlineLevel="2">
      <c r="A4710" s="191"/>
      <c r="B4710" s="12" t="str">
        <f>IFERROR(VLOOKUP(D4710,'[1]Перечень товаров'!$A$2:$I9525,2,0),"")</f>
        <v>д32</v>
      </c>
      <c r="C4710" s="12" t="str">
        <f>IFERROR(VLOOKUP(D4710,'[1]Перечень товаров'!$A$2:$I9525,3,0),"")</f>
        <v>Дидактика</v>
      </c>
      <c r="D4710" s="192" t="s">
        <v>777</v>
      </c>
      <c r="E4710" s="23"/>
      <c r="F4710" s="23"/>
      <c r="G4710" s="193">
        <v>1</v>
      </c>
      <c r="H4710" s="193"/>
      <c r="I4710" s="194"/>
      <c r="J4710" s="194"/>
      <c r="K4710" s="19"/>
      <c r="L4710" s="20"/>
      <c r="M4710" s="10"/>
      <c r="N4710" s="10"/>
      <c r="O4710" s="10"/>
      <c r="P4710" s="10"/>
      <c r="Q4710" s="10"/>
      <c r="R4710" s="10"/>
      <c r="S4710" s="10"/>
      <c r="T4710" s="10"/>
      <c r="U4710" s="10"/>
      <c r="V4710" s="10"/>
      <c r="W4710" s="10"/>
      <c r="X4710" s="10"/>
      <c r="Y4710" s="10"/>
      <c r="Z4710" s="10"/>
      <c r="AA4710" s="10"/>
      <c r="AB4710" s="10"/>
      <c r="AC4710" s="10"/>
      <c r="AD4710" s="10"/>
      <c r="AE4710" s="10"/>
      <c r="AF4710" s="10"/>
      <c r="AG4710" s="10"/>
      <c r="AH4710" s="10"/>
    </row>
    <row r="4711" spans="1:34" ht="47.25" outlineLevel="2">
      <c r="A4711" s="191"/>
      <c r="B4711" s="12" t="str">
        <f>IFERROR(VLOOKUP(D4711,'[1]Перечень товаров'!$A$2:$I9525,2,0),"")</f>
        <v>д33</v>
      </c>
      <c r="C4711" s="12" t="str">
        <f>IFERROR(VLOOKUP(D4711,'[1]Перечень товаров'!$A$2:$I9525,3,0),"")</f>
        <v>Дидактика</v>
      </c>
      <c r="D4711" s="192" t="s">
        <v>778</v>
      </c>
      <c r="E4711" s="23"/>
      <c r="F4711" s="23"/>
      <c r="G4711" s="193">
        <v>1</v>
      </c>
      <c r="H4711" s="193"/>
      <c r="I4711" s="194"/>
      <c r="J4711" s="194"/>
      <c r="K4711" s="19"/>
      <c r="L4711" s="20"/>
      <c r="M4711" s="10"/>
      <c r="N4711" s="10"/>
      <c r="O4711" s="10"/>
      <c r="P4711" s="10"/>
      <c r="Q4711" s="10"/>
      <c r="R4711" s="10"/>
      <c r="S4711" s="10"/>
      <c r="T4711" s="10"/>
      <c r="U4711" s="10"/>
      <c r="V4711" s="10"/>
      <c r="W4711" s="10"/>
      <c r="X4711" s="10"/>
      <c r="Y4711" s="10"/>
      <c r="Z4711" s="10"/>
      <c r="AA4711" s="10"/>
      <c r="AB4711" s="10"/>
      <c r="AC4711" s="10"/>
      <c r="AD4711" s="10"/>
      <c r="AE4711" s="10"/>
      <c r="AF4711" s="10"/>
      <c r="AG4711" s="10"/>
      <c r="AH4711" s="10"/>
    </row>
    <row r="4712" spans="1:34" ht="31.5" outlineLevel="2">
      <c r="A4712" s="191"/>
      <c r="B4712" s="12" t="str">
        <f>IFERROR(VLOOKUP(D4712,'[1]Перечень товаров'!$A$2:$I9525,2,0),"")</f>
        <v>д35</v>
      </c>
      <c r="C4712" s="12" t="str">
        <f>IFERROR(VLOOKUP(D4712,'[1]Перечень товаров'!$A$2:$I9525,3,0),"")</f>
        <v>Дидактика</v>
      </c>
      <c r="D4712" s="192" t="s">
        <v>780</v>
      </c>
      <c r="E4712" s="23"/>
      <c r="F4712" s="23"/>
      <c r="G4712" s="193">
        <v>1</v>
      </c>
      <c r="H4712" s="193"/>
      <c r="I4712" s="194"/>
      <c r="J4712" s="194"/>
      <c r="K4712" s="19"/>
      <c r="L4712" s="20"/>
      <c r="M4712" s="10"/>
      <c r="N4712" s="10"/>
      <c r="O4712" s="10"/>
      <c r="P4712" s="10"/>
      <c r="Q4712" s="10"/>
      <c r="R4712" s="10"/>
      <c r="S4712" s="10"/>
      <c r="T4712" s="10"/>
      <c r="U4712" s="10"/>
      <c r="V4712" s="10"/>
      <c r="W4712" s="10"/>
      <c r="X4712" s="10"/>
      <c r="Y4712" s="10"/>
      <c r="Z4712" s="10"/>
      <c r="AA4712" s="10"/>
      <c r="AB4712" s="10"/>
      <c r="AC4712" s="10"/>
      <c r="AD4712" s="10"/>
      <c r="AE4712" s="10"/>
      <c r="AF4712" s="10"/>
      <c r="AG4712" s="10"/>
      <c r="AH4712" s="10"/>
    </row>
    <row r="4713" spans="1:34" ht="31.5" outlineLevel="2">
      <c r="A4713" s="191"/>
      <c r="B4713" s="12" t="str">
        <f>IFERROR(VLOOKUP(D4713,'[1]Перечень товаров'!$A$2:$I9525,2,0),"")</f>
        <v>д36</v>
      </c>
      <c r="C4713" s="12" t="str">
        <f>IFERROR(VLOOKUP(D4713,'[1]Перечень товаров'!$A$2:$I9525,3,0),"")</f>
        <v>Дидактика</v>
      </c>
      <c r="D4713" s="192" t="s">
        <v>781</v>
      </c>
      <c r="E4713" s="23"/>
      <c r="F4713" s="23"/>
      <c r="G4713" s="193">
        <v>1</v>
      </c>
      <c r="H4713" s="193"/>
      <c r="I4713" s="194"/>
      <c r="J4713" s="194"/>
      <c r="K4713" s="19"/>
      <c r="L4713" s="20"/>
      <c r="M4713" s="10"/>
      <c r="N4713" s="10"/>
      <c r="O4713" s="10"/>
      <c r="P4713" s="10"/>
      <c r="Q4713" s="10"/>
      <c r="R4713" s="10"/>
      <c r="S4713" s="10"/>
      <c r="T4713" s="10"/>
      <c r="U4713" s="10"/>
      <c r="V4713" s="10"/>
      <c r="W4713" s="10"/>
      <c r="X4713" s="10"/>
      <c r="Y4713" s="10"/>
      <c r="Z4713" s="10"/>
      <c r="AA4713" s="10"/>
      <c r="AB4713" s="10"/>
      <c r="AC4713" s="10"/>
      <c r="AD4713" s="10"/>
      <c r="AE4713" s="10"/>
      <c r="AF4713" s="10"/>
      <c r="AG4713" s="10"/>
      <c r="AH4713" s="10"/>
    </row>
    <row r="4714" spans="1:34" outlineLevel="2">
      <c r="A4714" s="191"/>
      <c r="B4714" s="12" t="str">
        <f>IFERROR(VLOOKUP(D4714,'[1]Перечень товаров'!$A$2:$I9525,2,0),"")</f>
        <v>д37</v>
      </c>
      <c r="C4714" s="12" t="str">
        <f>IFERROR(VLOOKUP(D4714,'[1]Перечень товаров'!$A$2:$I9525,3,0),"")</f>
        <v>Дидактика</v>
      </c>
      <c r="D4714" s="192" t="s">
        <v>782</v>
      </c>
      <c r="E4714" s="23"/>
      <c r="F4714" s="23"/>
      <c r="G4714" s="193">
        <v>1</v>
      </c>
      <c r="H4714" s="193"/>
      <c r="I4714" s="194"/>
      <c r="J4714" s="194"/>
      <c r="K4714" s="19"/>
      <c r="L4714" s="20"/>
      <c r="M4714" s="10"/>
      <c r="N4714" s="10"/>
      <c r="O4714" s="10"/>
      <c r="P4714" s="10"/>
      <c r="Q4714" s="10"/>
      <c r="R4714" s="10"/>
      <c r="S4714" s="10"/>
      <c r="T4714" s="10"/>
      <c r="U4714" s="10"/>
      <c r="V4714" s="10"/>
      <c r="W4714" s="10"/>
      <c r="X4714" s="10"/>
      <c r="Y4714" s="10"/>
      <c r="Z4714" s="10"/>
      <c r="AA4714" s="10"/>
      <c r="AB4714" s="10"/>
      <c r="AC4714" s="10"/>
      <c r="AD4714" s="10"/>
      <c r="AE4714" s="10"/>
      <c r="AF4714" s="10"/>
      <c r="AG4714" s="10"/>
      <c r="AH4714" s="10"/>
    </row>
    <row r="4715" spans="1:34" ht="31.5" outlineLevel="2">
      <c r="A4715" s="191"/>
      <c r="B4715" s="12" t="str">
        <f>IFERROR(VLOOKUP(D4715,'[1]Перечень товаров'!$A$2:$I9525,2,0),"")</f>
        <v>д38</v>
      </c>
      <c r="C4715" s="12" t="str">
        <f>IFERROR(VLOOKUP(D4715,'[1]Перечень товаров'!$A$2:$I9525,3,0),"")</f>
        <v>Дидактика</v>
      </c>
      <c r="D4715" s="192" t="s">
        <v>783</v>
      </c>
      <c r="E4715" s="23"/>
      <c r="F4715" s="23"/>
      <c r="G4715" s="193">
        <v>1</v>
      </c>
      <c r="H4715" s="193"/>
      <c r="I4715" s="194"/>
      <c r="J4715" s="194"/>
      <c r="K4715" s="19"/>
      <c r="L4715" s="20"/>
      <c r="M4715" s="10"/>
      <c r="N4715" s="10"/>
      <c r="O4715" s="10"/>
      <c r="P4715" s="10"/>
      <c r="Q4715" s="10"/>
      <c r="R4715" s="10"/>
      <c r="S4715" s="10"/>
      <c r="T4715" s="10"/>
      <c r="U4715" s="10"/>
      <c r="V4715" s="10"/>
      <c r="W4715" s="10"/>
      <c r="X4715" s="10"/>
      <c r="Y4715" s="10"/>
      <c r="Z4715" s="10"/>
      <c r="AA4715" s="10"/>
      <c r="AB4715" s="10"/>
      <c r="AC4715" s="10"/>
      <c r="AD4715" s="10"/>
      <c r="AE4715" s="10"/>
      <c r="AF4715" s="10"/>
      <c r="AG4715" s="10"/>
      <c r="AH4715" s="10"/>
    </row>
    <row r="4716" spans="1:34" outlineLevel="2">
      <c r="A4716" s="191"/>
      <c r="B4716" s="12" t="str">
        <f>IFERROR(VLOOKUP(D4716,'[1]Перечень товаров'!$A$2:$I9525,2,0),"")</f>
        <v>д39</v>
      </c>
      <c r="C4716" s="12" t="str">
        <f>IFERROR(VLOOKUP(D4716,'[1]Перечень товаров'!$A$2:$I9525,3,0),"")</f>
        <v>Дидактика</v>
      </c>
      <c r="D4716" s="192" t="s">
        <v>784</v>
      </c>
      <c r="E4716" s="23"/>
      <c r="F4716" s="23"/>
      <c r="G4716" s="193">
        <v>1</v>
      </c>
      <c r="H4716" s="193"/>
      <c r="I4716" s="194"/>
      <c r="J4716" s="194"/>
      <c r="K4716" s="19"/>
      <c r="L4716" s="20"/>
      <c r="M4716" s="10"/>
      <c r="N4716" s="10"/>
      <c r="O4716" s="10"/>
      <c r="P4716" s="10"/>
      <c r="Q4716" s="10"/>
      <c r="R4716" s="10"/>
      <c r="S4716" s="10"/>
      <c r="T4716" s="10"/>
      <c r="U4716" s="10"/>
      <c r="V4716" s="10"/>
      <c r="W4716" s="10"/>
      <c r="X4716" s="10"/>
      <c r="Y4716" s="10"/>
      <c r="Z4716" s="10"/>
      <c r="AA4716" s="10"/>
      <c r="AB4716" s="10"/>
      <c r="AC4716" s="10"/>
      <c r="AD4716" s="10"/>
      <c r="AE4716" s="10"/>
      <c r="AF4716" s="10"/>
      <c r="AG4716" s="10"/>
      <c r="AH4716" s="10"/>
    </row>
    <row r="4717" spans="1:34" ht="31.5" outlineLevel="2">
      <c r="A4717" s="191"/>
      <c r="B4717" s="12" t="str">
        <f>IFERROR(VLOOKUP(D4717,'[1]Перечень товаров'!$A$2:$I9525,2,0),"")</f>
        <v>д40</v>
      </c>
      <c r="C4717" s="12" t="str">
        <f>IFERROR(VLOOKUP(D4717,'[1]Перечень товаров'!$A$2:$I9525,3,0),"")</f>
        <v>Дидактика</v>
      </c>
      <c r="D4717" s="192" t="s">
        <v>785</v>
      </c>
      <c r="E4717" s="23"/>
      <c r="F4717" s="23"/>
      <c r="G4717" s="193">
        <v>1</v>
      </c>
      <c r="H4717" s="193"/>
      <c r="I4717" s="194"/>
      <c r="J4717" s="194"/>
      <c r="K4717" s="19"/>
      <c r="L4717" s="20"/>
      <c r="M4717" s="10"/>
      <c r="N4717" s="10"/>
      <c r="O4717" s="10"/>
      <c r="P4717" s="10"/>
      <c r="Q4717" s="10"/>
      <c r="R4717" s="10"/>
      <c r="S4717" s="10"/>
      <c r="T4717" s="10"/>
      <c r="U4717" s="10"/>
      <c r="V4717" s="10"/>
      <c r="W4717" s="10"/>
      <c r="X4717" s="10"/>
      <c r="Y4717" s="10"/>
      <c r="Z4717" s="10"/>
      <c r="AA4717" s="10"/>
      <c r="AB4717" s="10"/>
      <c r="AC4717" s="10"/>
      <c r="AD4717" s="10"/>
      <c r="AE4717" s="10"/>
      <c r="AF4717" s="10"/>
      <c r="AG4717" s="10"/>
      <c r="AH4717" s="10"/>
    </row>
    <row r="4718" spans="1:34" ht="47.25" outlineLevel="2">
      <c r="A4718" s="191"/>
      <c r="B4718" s="12" t="str">
        <f>IFERROR(VLOOKUP(D4718,'[1]Перечень товаров'!$A$2:$I9525,2,0),"")</f>
        <v>д41</v>
      </c>
      <c r="C4718" s="12" t="str">
        <f>IFERROR(VLOOKUP(D4718,'[1]Перечень товаров'!$A$2:$I9525,3,0),"")</f>
        <v>Дидактика</v>
      </c>
      <c r="D4718" s="192" t="s">
        <v>786</v>
      </c>
      <c r="E4718" s="23"/>
      <c r="F4718" s="23"/>
      <c r="G4718" s="193">
        <v>1</v>
      </c>
      <c r="H4718" s="193"/>
      <c r="I4718" s="194"/>
      <c r="J4718" s="194"/>
      <c r="K4718" s="19"/>
      <c r="L4718" s="20"/>
      <c r="M4718" s="10"/>
      <c r="N4718" s="10"/>
      <c r="O4718" s="10"/>
      <c r="P4718" s="10"/>
      <c r="Q4718" s="10"/>
      <c r="R4718" s="10"/>
      <c r="S4718" s="10"/>
      <c r="T4718" s="10"/>
      <c r="U4718" s="10"/>
      <c r="V4718" s="10"/>
      <c r="W4718" s="10"/>
      <c r="X4718" s="10"/>
      <c r="Y4718" s="10"/>
      <c r="Z4718" s="10"/>
      <c r="AA4718" s="10"/>
      <c r="AB4718" s="10"/>
      <c r="AC4718" s="10"/>
      <c r="AD4718" s="10"/>
      <c r="AE4718" s="10"/>
      <c r="AF4718" s="10"/>
      <c r="AG4718" s="10"/>
      <c r="AH4718" s="10"/>
    </row>
    <row r="4719" spans="1:34" ht="31.5" outlineLevel="2">
      <c r="A4719" s="191"/>
      <c r="B4719" s="12" t="str">
        <f>IFERROR(VLOOKUP(D4719,'[1]Перечень товаров'!$A$2:$I9525,2,0),"")</f>
        <v>д42</v>
      </c>
      <c r="C4719" s="12" t="str">
        <f>IFERROR(VLOOKUP(D4719,'[1]Перечень товаров'!$A$2:$I9525,3,0),"")</f>
        <v>Дидактика</v>
      </c>
      <c r="D4719" s="192" t="s">
        <v>787</v>
      </c>
      <c r="E4719" s="23"/>
      <c r="F4719" s="23"/>
      <c r="G4719" s="193">
        <v>1</v>
      </c>
      <c r="H4719" s="193"/>
      <c r="I4719" s="194"/>
      <c r="J4719" s="194"/>
      <c r="K4719" s="19"/>
      <c r="L4719" s="20"/>
      <c r="M4719" s="10"/>
      <c r="N4719" s="10"/>
      <c r="O4719" s="10"/>
      <c r="P4719" s="10"/>
      <c r="Q4719" s="10"/>
      <c r="R4719" s="10"/>
      <c r="S4719" s="10"/>
      <c r="T4719" s="10"/>
      <c r="U4719" s="10"/>
      <c r="V4719" s="10"/>
      <c r="W4719" s="10"/>
      <c r="X4719" s="10"/>
      <c r="Y4719" s="10"/>
      <c r="Z4719" s="10"/>
      <c r="AA4719" s="10"/>
      <c r="AB4719" s="10"/>
      <c r="AC4719" s="10"/>
      <c r="AD4719" s="10"/>
      <c r="AE4719" s="10"/>
      <c r="AF4719" s="10"/>
      <c r="AG4719" s="10"/>
      <c r="AH4719" s="10"/>
    </row>
    <row r="4720" spans="1:34" ht="31.5" outlineLevel="2">
      <c r="A4720" s="191"/>
      <c r="B4720" s="12" t="str">
        <f>IFERROR(VLOOKUP(D4720,'[1]Перечень товаров'!$A$2:$I9525,2,0),"")</f>
        <v>д44</v>
      </c>
      <c r="C4720" s="12" t="str">
        <f>IFERROR(VLOOKUP(D4720,'[1]Перечень товаров'!$A$2:$I9525,3,0),"")</f>
        <v>Дидактика</v>
      </c>
      <c r="D4720" s="192" t="s">
        <v>789</v>
      </c>
      <c r="E4720" s="23"/>
      <c r="F4720" s="23"/>
      <c r="G4720" s="193">
        <v>1</v>
      </c>
      <c r="H4720" s="193"/>
      <c r="I4720" s="194"/>
      <c r="J4720" s="194"/>
      <c r="K4720" s="19"/>
      <c r="L4720" s="20"/>
      <c r="M4720" s="10"/>
      <c r="N4720" s="10"/>
      <c r="O4720" s="10"/>
      <c r="P4720" s="10"/>
      <c r="Q4720" s="10"/>
      <c r="R4720" s="10"/>
      <c r="S4720" s="10"/>
      <c r="T4720" s="10"/>
      <c r="U4720" s="10"/>
      <c r="V4720" s="10"/>
      <c r="W4720" s="10"/>
      <c r="X4720" s="10"/>
      <c r="Y4720" s="10"/>
      <c r="Z4720" s="10"/>
      <c r="AA4720" s="10"/>
      <c r="AB4720" s="10"/>
      <c r="AC4720" s="10"/>
      <c r="AD4720" s="10"/>
      <c r="AE4720" s="10"/>
      <c r="AF4720" s="10"/>
      <c r="AG4720" s="10"/>
      <c r="AH4720" s="10"/>
    </row>
    <row r="4721" spans="1:34" ht="31.5" outlineLevel="2">
      <c r="A4721" s="191"/>
      <c r="B4721" s="12" t="str">
        <f>IFERROR(VLOOKUP(D4721,'[1]Перечень товаров'!$A$2:$I9525,2,0),"")</f>
        <v>д46</v>
      </c>
      <c r="C4721" s="12" t="str">
        <f>IFERROR(VLOOKUP(D4721,'[1]Перечень товаров'!$A$2:$I9525,3,0),"")</f>
        <v>Дидактика</v>
      </c>
      <c r="D4721" s="192" t="s">
        <v>791</v>
      </c>
      <c r="E4721" s="23"/>
      <c r="F4721" s="23"/>
      <c r="G4721" s="193">
        <v>1</v>
      </c>
      <c r="H4721" s="193"/>
      <c r="I4721" s="194"/>
      <c r="J4721" s="194"/>
      <c r="K4721" s="19"/>
      <c r="L4721" s="20"/>
      <c r="M4721" s="10"/>
      <c r="N4721" s="10"/>
      <c r="O4721" s="10"/>
      <c r="P4721" s="10"/>
      <c r="Q4721" s="10"/>
      <c r="R4721" s="10"/>
      <c r="S4721" s="10"/>
      <c r="T4721" s="10"/>
      <c r="U4721" s="10"/>
      <c r="V4721" s="10"/>
      <c r="W4721" s="10"/>
      <c r="X4721" s="10"/>
      <c r="Y4721" s="10"/>
      <c r="Z4721" s="10"/>
      <c r="AA4721" s="10"/>
      <c r="AB4721" s="10"/>
      <c r="AC4721" s="10"/>
      <c r="AD4721" s="10"/>
      <c r="AE4721" s="10"/>
      <c r="AF4721" s="10"/>
      <c r="AG4721" s="10"/>
      <c r="AH4721" s="10"/>
    </row>
    <row r="4722" spans="1:34" ht="31.5" outlineLevel="2">
      <c r="A4722" s="191"/>
      <c r="B4722" s="12" t="str">
        <f>IFERROR(VLOOKUP(D4722,'[1]Перечень товаров'!$A$2:$I9525,2,0),"")</f>
        <v>д48</v>
      </c>
      <c r="C4722" s="12" t="str">
        <f>IFERROR(VLOOKUP(D4722,'[1]Перечень товаров'!$A$2:$I9525,3,0),"")</f>
        <v>Дидактика</v>
      </c>
      <c r="D4722" s="192" t="s">
        <v>793</v>
      </c>
      <c r="E4722" s="23"/>
      <c r="F4722" s="23"/>
      <c r="G4722" s="193">
        <v>1</v>
      </c>
      <c r="H4722" s="193"/>
      <c r="I4722" s="194"/>
      <c r="J4722" s="194"/>
      <c r="K4722" s="19"/>
      <c r="L4722" s="20"/>
      <c r="M4722" s="10"/>
      <c r="N4722" s="10"/>
      <c r="O4722" s="10"/>
      <c r="P4722" s="10"/>
      <c r="Q4722" s="10"/>
      <c r="R4722" s="10"/>
      <c r="S4722" s="10"/>
      <c r="T4722" s="10"/>
      <c r="U4722" s="10"/>
      <c r="V4722" s="10"/>
      <c r="W4722" s="10"/>
      <c r="X4722" s="10"/>
      <c r="Y4722" s="10"/>
      <c r="Z4722" s="10"/>
      <c r="AA4722" s="10"/>
      <c r="AB4722" s="10"/>
      <c r="AC4722" s="10"/>
      <c r="AD4722" s="10"/>
      <c r="AE4722" s="10"/>
      <c r="AF4722" s="10"/>
      <c r="AG4722" s="10"/>
      <c r="AH4722" s="10"/>
    </row>
    <row r="4723" spans="1:34" ht="31.5" outlineLevel="2">
      <c r="A4723" s="191"/>
      <c r="B4723" s="12" t="str">
        <f>IFERROR(VLOOKUP(D4723,'[1]Перечень товаров'!$A$2:$I9525,2,0),"")</f>
        <v>д51</v>
      </c>
      <c r="C4723" s="12" t="str">
        <f>IFERROR(VLOOKUP(D4723,'[1]Перечень товаров'!$A$2:$I9525,3,0),"")</f>
        <v>Дидактика</v>
      </c>
      <c r="D4723" s="192" t="s">
        <v>796</v>
      </c>
      <c r="E4723" s="23"/>
      <c r="F4723" s="23"/>
      <c r="G4723" s="193">
        <v>1</v>
      </c>
      <c r="H4723" s="193"/>
      <c r="I4723" s="194"/>
      <c r="J4723" s="194"/>
      <c r="K4723" s="19"/>
      <c r="L4723" s="20"/>
      <c r="M4723" s="10"/>
      <c r="N4723" s="10"/>
      <c r="O4723" s="10"/>
      <c r="P4723" s="10"/>
      <c r="Q4723" s="10"/>
      <c r="R4723" s="10"/>
      <c r="S4723" s="10"/>
      <c r="T4723" s="10"/>
      <c r="U4723" s="10"/>
      <c r="V4723" s="10"/>
      <c r="W4723" s="10"/>
      <c r="X4723" s="10"/>
      <c r="Y4723" s="10"/>
      <c r="Z4723" s="10"/>
      <c r="AA4723" s="10"/>
      <c r="AB4723" s="10"/>
      <c r="AC4723" s="10"/>
      <c r="AD4723" s="10"/>
      <c r="AE4723" s="10"/>
      <c r="AF4723" s="10"/>
      <c r="AG4723" s="10"/>
      <c r="AH4723" s="10"/>
    </row>
    <row r="4724" spans="1:34" ht="31.5" outlineLevel="2">
      <c r="A4724" s="191"/>
      <c r="B4724" s="12" t="str">
        <f>IFERROR(VLOOKUP(D4724,'[1]Перечень товаров'!$A$2:$I9525,2,0),"")</f>
        <v>д54</v>
      </c>
      <c r="C4724" s="12" t="str">
        <f>IFERROR(VLOOKUP(D4724,'[1]Перечень товаров'!$A$2:$I9525,3,0),"")</f>
        <v>Дидактика</v>
      </c>
      <c r="D4724" s="192" t="s">
        <v>799</v>
      </c>
      <c r="E4724" s="23"/>
      <c r="F4724" s="23"/>
      <c r="G4724" s="193">
        <v>1</v>
      </c>
      <c r="H4724" s="193"/>
      <c r="I4724" s="194"/>
      <c r="J4724" s="194"/>
      <c r="K4724" s="19"/>
      <c r="L4724" s="20"/>
      <c r="M4724" s="10"/>
      <c r="N4724" s="10"/>
      <c r="O4724" s="10"/>
      <c r="P4724" s="10"/>
      <c r="Q4724" s="10"/>
      <c r="R4724" s="10"/>
      <c r="S4724" s="10"/>
      <c r="T4724" s="10"/>
      <c r="U4724" s="10"/>
      <c r="V4724" s="10"/>
      <c r="W4724" s="10"/>
      <c r="X4724" s="10"/>
      <c r="Y4724" s="10"/>
      <c r="Z4724" s="10"/>
      <c r="AA4724" s="10"/>
      <c r="AB4724" s="10"/>
      <c r="AC4724" s="10"/>
      <c r="AD4724" s="10"/>
      <c r="AE4724" s="10"/>
      <c r="AF4724" s="10"/>
      <c r="AG4724" s="10"/>
      <c r="AH4724" s="10"/>
    </row>
    <row r="4725" spans="1:34" ht="47.25" outlineLevel="2">
      <c r="A4725" s="191"/>
      <c r="B4725" s="12" t="str">
        <f>IFERROR(VLOOKUP(D4725,'[1]Перечень товаров'!$A$2:$I9525,2,0),"")</f>
        <v>д58</v>
      </c>
      <c r="C4725" s="12" t="str">
        <f>IFERROR(VLOOKUP(D4725,'[1]Перечень товаров'!$A$2:$I9525,3,0),"")</f>
        <v>Дидактика</v>
      </c>
      <c r="D4725" s="192" t="s">
        <v>803</v>
      </c>
      <c r="E4725" s="23"/>
      <c r="F4725" s="23"/>
      <c r="G4725" s="193">
        <v>1</v>
      </c>
      <c r="H4725" s="193"/>
      <c r="I4725" s="194"/>
      <c r="J4725" s="194"/>
      <c r="K4725" s="19"/>
      <c r="L4725" s="20"/>
      <c r="M4725" s="10"/>
      <c r="N4725" s="10"/>
      <c r="O4725" s="10"/>
      <c r="P4725" s="10"/>
      <c r="Q4725" s="10"/>
      <c r="R4725" s="10"/>
      <c r="S4725" s="10"/>
      <c r="T4725" s="10"/>
      <c r="U4725" s="10"/>
      <c r="V4725" s="10"/>
      <c r="W4725" s="10"/>
      <c r="X4725" s="10"/>
      <c r="Y4725" s="10"/>
      <c r="Z4725" s="10"/>
      <c r="AA4725" s="10"/>
      <c r="AB4725" s="10"/>
      <c r="AC4725" s="10"/>
      <c r="AD4725" s="10"/>
      <c r="AE4725" s="10"/>
      <c r="AF4725" s="10"/>
      <c r="AG4725" s="10"/>
      <c r="AH4725" s="10"/>
    </row>
    <row r="4726" spans="1:34" ht="47.25" outlineLevel="2">
      <c r="A4726" s="191"/>
      <c r="B4726" s="12" t="str">
        <f>IFERROR(VLOOKUP(D4726,'[1]Перечень товаров'!$A$2:$I9525,2,0),"")</f>
        <v>д61</v>
      </c>
      <c r="C4726" s="12" t="str">
        <f>IFERROR(VLOOKUP(D4726,'[1]Перечень товаров'!$A$2:$I9525,3,0),"")</f>
        <v>Дидактика</v>
      </c>
      <c r="D4726" s="192" t="s">
        <v>806</v>
      </c>
      <c r="E4726" s="23"/>
      <c r="F4726" s="23"/>
      <c r="G4726" s="193">
        <v>1</v>
      </c>
      <c r="H4726" s="193"/>
      <c r="I4726" s="194"/>
      <c r="J4726" s="194"/>
      <c r="K4726" s="19"/>
      <c r="L4726" s="20"/>
      <c r="M4726" s="10"/>
      <c r="N4726" s="10"/>
      <c r="O4726" s="10"/>
      <c r="P4726" s="10"/>
      <c r="Q4726" s="10"/>
      <c r="R4726" s="10"/>
      <c r="S4726" s="10"/>
      <c r="T4726" s="10"/>
      <c r="U4726" s="10"/>
      <c r="V4726" s="10"/>
      <c r="W4726" s="10"/>
      <c r="X4726" s="10"/>
      <c r="Y4726" s="10"/>
      <c r="Z4726" s="10"/>
      <c r="AA4726" s="10"/>
      <c r="AB4726" s="10"/>
      <c r="AC4726" s="10"/>
      <c r="AD4726" s="10"/>
      <c r="AE4726" s="10"/>
      <c r="AF4726" s="10"/>
      <c r="AG4726" s="10"/>
      <c r="AH4726" s="10"/>
    </row>
    <row r="4727" spans="1:34" outlineLevel="2">
      <c r="A4727" s="191"/>
      <c r="B4727" s="12" t="str">
        <f>IFERROR(VLOOKUP(D4727,'[1]Перечень товаров'!$A$2:$I9525,2,0),"")</f>
        <v>д62</v>
      </c>
      <c r="C4727" s="12" t="str">
        <f>IFERROR(VLOOKUP(D4727,'[1]Перечень товаров'!$A$2:$I9525,3,0),"")</f>
        <v>Дидактика</v>
      </c>
      <c r="D4727" s="192" t="s">
        <v>807</v>
      </c>
      <c r="E4727" s="23"/>
      <c r="F4727" s="23"/>
      <c r="G4727" s="193">
        <v>1</v>
      </c>
      <c r="H4727" s="193"/>
      <c r="I4727" s="194"/>
      <c r="J4727" s="194"/>
      <c r="K4727" s="19"/>
      <c r="L4727" s="20"/>
      <c r="M4727" s="10"/>
      <c r="N4727" s="10"/>
      <c r="O4727" s="10"/>
      <c r="P4727" s="10"/>
      <c r="Q4727" s="10"/>
      <c r="R4727" s="10"/>
      <c r="S4727" s="10"/>
      <c r="T4727" s="10"/>
      <c r="U4727" s="10"/>
      <c r="V4727" s="10"/>
      <c r="W4727" s="10"/>
      <c r="X4727" s="10"/>
      <c r="Y4727" s="10"/>
      <c r="Z4727" s="10"/>
      <c r="AA4727" s="10"/>
      <c r="AB4727" s="10"/>
      <c r="AC4727" s="10"/>
      <c r="AD4727" s="10"/>
      <c r="AE4727" s="10"/>
      <c r="AF4727" s="10"/>
      <c r="AG4727" s="10"/>
      <c r="AH4727" s="10"/>
    </row>
    <row r="4728" spans="1:34" ht="47.25" outlineLevel="2">
      <c r="A4728" s="191"/>
      <c r="B4728" s="12" t="str">
        <f>IFERROR(VLOOKUP(D4728,'[1]Перечень товаров'!$A$2:$I9525,2,0),"")</f>
        <v>д63</v>
      </c>
      <c r="C4728" s="12" t="str">
        <f>IFERROR(VLOOKUP(D4728,'[1]Перечень товаров'!$A$2:$I9525,3,0),"")</f>
        <v>Дидактика</v>
      </c>
      <c r="D4728" s="192" t="s">
        <v>808</v>
      </c>
      <c r="E4728" s="23"/>
      <c r="F4728" s="23"/>
      <c r="G4728" s="193">
        <v>1</v>
      </c>
      <c r="H4728" s="193"/>
      <c r="I4728" s="194"/>
      <c r="J4728" s="194"/>
      <c r="K4728" s="19"/>
      <c r="L4728" s="20"/>
      <c r="M4728" s="10"/>
      <c r="N4728" s="10"/>
      <c r="O4728" s="10"/>
      <c r="P4728" s="10"/>
      <c r="Q4728" s="10"/>
      <c r="R4728" s="10"/>
      <c r="S4728" s="10"/>
      <c r="T4728" s="10"/>
      <c r="U4728" s="10"/>
      <c r="V4728" s="10"/>
      <c r="W4728" s="10"/>
      <c r="X4728" s="10"/>
      <c r="Y4728" s="10"/>
      <c r="Z4728" s="10"/>
      <c r="AA4728" s="10"/>
      <c r="AB4728" s="10"/>
      <c r="AC4728" s="10"/>
      <c r="AD4728" s="10"/>
      <c r="AE4728" s="10"/>
      <c r="AF4728" s="10"/>
      <c r="AG4728" s="10"/>
      <c r="AH4728" s="10"/>
    </row>
    <row r="4729" spans="1:34" ht="30" outlineLevel="2">
      <c r="A4729" s="179"/>
      <c r="B4729" s="12" t="str">
        <f>IFERROR(VLOOKUP(D4729,'[1]Перечень товаров'!$A$2:$I9525,2,0),"")</f>
        <v/>
      </c>
      <c r="C4729" s="12" t="str">
        <f>IFERROR(VLOOKUP(D4729,'[1]Перечень товаров'!$A$2:$I9525,3,0),"")</f>
        <v/>
      </c>
      <c r="D4729" s="180" t="s">
        <v>809</v>
      </c>
      <c r="E4729" s="61"/>
      <c r="F4729" s="61"/>
      <c r="G4729" s="195"/>
      <c r="H4729" s="195"/>
      <c r="I4729" s="196"/>
      <c r="J4729" s="196"/>
      <c r="K4729" s="19"/>
      <c r="L4729" s="20"/>
      <c r="M4729" s="10"/>
      <c r="N4729" s="10"/>
      <c r="O4729" s="10"/>
      <c r="P4729" s="10"/>
      <c r="Q4729" s="10"/>
      <c r="R4729" s="10"/>
      <c r="S4729" s="10"/>
      <c r="T4729" s="10"/>
      <c r="U4729" s="10"/>
      <c r="V4729" s="10"/>
      <c r="W4729" s="10"/>
      <c r="X4729" s="10"/>
      <c r="Y4729" s="10"/>
      <c r="Z4729" s="10"/>
      <c r="AA4729" s="10"/>
      <c r="AB4729" s="10"/>
      <c r="AC4729" s="10"/>
      <c r="AD4729" s="10"/>
      <c r="AE4729" s="10"/>
      <c r="AF4729" s="10"/>
      <c r="AG4729" s="10"/>
      <c r="AH4729" s="10"/>
    </row>
    <row r="4730" spans="1:34" ht="31.5" outlineLevel="2">
      <c r="A4730" s="191"/>
      <c r="B4730" s="12" t="str">
        <f>IFERROR(VLOOKUP(D4730,'[1]Перечень товаров'!$A$2:$I9525,2,0),"")</f>
        <v>д64</v>
      </c>
      <c r="C4730" s="12" t="str">
        <f>IFERROR(VLOOKUP(D4730,'[1]Перечень товаров'!$A$2:$I9525,3,0),"")</f>
        <v>Дидактика</v>
      </c>
      <c r="D4730" s="192" t="s">
        <v>810</v>
      </c>
      <c r="E4730" s="23"/>
      <c r="F4730" s="23"/>
      <c r="G4730" s="193">
        <v>1</v>
      </c>
      <c r="H4730" s="193"/>
      <c r="I4730" s="194"/>
      <c r="J4730" s="194"/>
      <c r="K4730" s="19"/>
      <c r="L4730" s="20"/>
      <c r="M4730" s="10"/>
      <c r="N4730" s="10"/>
      <c r="O4730" s="10"/>
      <c r="P4730" s="10"/>
      <c r="Q4730" s="10"/>
      <c r="R4730" s="10"/>
      <c r="S4730" s="10"/>
      <c r="T4730" s="10"/>
      <c r="U4730" s="10"/>
      <c r="V4730" s="10"/>
      <c r="W4730" s="10"/>
      <c r="X4730" s="10"/>
      <c r="Y4730" s="10"/>
      <c r="Z4730" s="10"/>
      <c r="AA4730" s="10"/>
      <c r="AB4730" s="10"/>
      <c r="AC4730" s="10"/>
      <c r="AD4730" s="10"/>
      <c r="AE4730" s="10"/>
      <c r="AF4730" s="10"/>
      <c r="AG4730" s="10"/>
      <c r="AH4730" s="10"/>
    </row>
    <row r="4731" spans="1:34" outlineLevel="2">
      <c r="A4731" s="191"/>
      <c r="B4731" s="12" t="str">
        <f>IFERROR(VLOOKUP(D4731,'[1]Перечень товаров'!$A$2:$I9525,2,0),"")</f>
        <v>д65</v>
      </c>
      <c r="C4731" s="12" t="str">
        <f>IFERROR(VLOOKUP(D4731,'[1]Перечень товаров'!$A$2:$I9525,3,0),"")</f>
        <v>Дидактика</v>
      </c>
      <c r="D4731" s="192" t="s">
        <v>811</v>
      </c>
      <c r="E4731" s="23"/>
      <c r="F4731" s="23"/>
      <c r="G4731" s="193">
        <v>1</v>
      </c>
      <c r="H4731" s="193"/>
      <c r="I4731" s="194"/>
      <c r="J4731" s="194"/>
      <c r="K4731" s="19"/>
      <c r="L4731" s="20"/>
      <c r="M4731" s="10"/>
      <c r="N4731" s="10"/>
      <c r="O4731" s="10"/>
      <c r="P4731" s="10"/>
      <c r="Q4731" s="10"/>
      <c r="R4731" s="10"/>
      <c r="S4731" s="10"/>
      <c r="T4731" s="10"/>
      <c r="U4731" s="10"/>
      <c r="V4731" s="10"/>
      <c r="W4731" s="10"/>
      <c r="X4731" s="10"/>
      <c r="Y4731" s="10"/>
      <c r="Z4731" s="10"/>
      <c r="AA4731" s="10"/>
      <c r="AB4731" s="10"/>
      <c r="AC4731" s="10"/>
      <c r="AD4731" s="10"/>
      <c r="AE4731" s="10"/>
      <c r="AF4731" s="10"/>
      <c r="AG4731" s="10"/>
      <c r="AH4731" s="10"/>
    </row>
    <row r="4732" spans="1:34" outlineLevel="2">
      <c r="A4732" s="191"/>
      <c r="B4732" s="12" t="str">
        <f>IFERROR(VLOOKUP(D4732,'[1]Перечень товаров'!$A$2:$I9525,2,0),"")</f>
        <v>д66</v>
      </c>
      <c r="C4732" s="12" t="str">
        <f>IFERROR(VLOOKUP(D4732,'[1]Перечень товаров'!$A$2:$I9525,3,0),"")</f>
        <v>Дидактика</v>
      </c>
      <c r="D4732" s="192" t="s">
        <v>812</v>
      </c>
      <c r="E4732" s="23"/>
      <c r="F4732" s="23"/>
      <c r="G4732" s="193">
        <v>1</v>
      </c>
      <c r="H4732" s="193"/>
      <c r="I4732" s="194"/>
      <c r="J4732" s="194"/>
      <c r="K4732" s="19"/>
      <c r="L4732" s="20"/>
      <c r="M4732" s="10"/>
      <c r="N4732" s="10"/>
      <c r="O4732" s="10"/>
      <c r="P4732" s="10"/>
      <c r="Q4732" s="10"/>
      <c r="R4732" s="10"/>
      <c r="S4732" s="10"/>
      <c r="T4732" s="10"/>
      <c r="U4732" s="10"/>
      <c r="V4732" s="10"/>
      <c r="W4732" s="10"/>
      <c r="X4732" s="10"/>
      <c r="Y4732" s="10"/>
      <c r="Z4732" s="10"/>
      <c r="AA4732" s="10"/>
      <c r="AB4732" s="10"/>
      <c r="AC4732" s="10"/>
      <c r="AD4732" s="10"/>
      <c r="AE4732" s="10"/>
      <c r="AF4732" s="10"/>
      <c r="AG4732" s="10"/>
      <c r="AH4732" s="10"/>
    </row>
    <row r="4733" spans="1:34" outlineLevel="2">
      <c r="A4733" s="191"/>
      <c r="B4733" s="12" t="str">
        <f>IFERROR(VLOOKUP(D4733,'[1]Перечень товаров'!$A$2:$I9525,2,0),"")</f>
        <v>д67</v>
      </c>
      <c r="C4733" s="12" t="str">
        <f>IFERROR(VLOOKUP(D4733,'[1]Перечень товаров'!$A$2:$I9525,3,0),"")</f>
        <v>Дидактика</v>
      </c>
      <c r="D4733" s="192" t="s">
        <v>813</v>
      </c>
      <c r="E4733" s="23"/>
      <c r="F4733" s="23"/>
      <c r="G4733" s="193">
        <v>1</v>
      </c>
      <c r="H4733" s="193"/>
      <c r="I4733" s="194"/>
      <c r="J4733" s="194"/>
      <c r="K4733" s="19"/>
      <c r="L4733" s="20"/>
      <c r="M4733" s="10"/>
      <c r="N4733" s="10"/>
      <c r="O4733" s="10"/>
      <c r="P4733" s="10"/>
      <c r="Q4733" s="10"/>
      <c r="R4733" s="10"/>
      <c r="S4733" s="10"/>
      <c r="T4733" s="10"/>
      <c r="U4733" s="10"/>
      <c r="V4733" s="10"/>
      <c r="W4733" s="10"/>
      <c r="X4733" s="10"/>
      <c r="Y4733" s="10"/>
      <c r="Z4733" s="10"/>
      <c r="AA4733" s="10"/>
      <c r="AB4733" s="10"/>
      <c r="AC4733" s="10"/>
      <c r="AD4733" s="10"/>
      <c r="AE4733" s="10"/>
      <c r="AF4733" s="10"/>
      <c r="AG4733" s="10"/>
      <c r="AH4733" s="10"/>
    </row>
    <row r="4734" spans="1:34" outlineLevel="2">
      <c r="A4734" s="191"/>
      <c r="B4734" s="12" t="str">
        <f>IFERROR(VLOOKUP(D4734,'[1]Перечень товаров'!$A$2:$I9525,2,0),"")</f>
        <v>п90</v>
      </c>
      <c r="C4734" s="12" t="str">
        <f>IFERROR(VLOOKUP(D4734,'[1]Перечень товаров'!$A$2:$I9525,3,0),"")</f>
        <v>Прочее</v>
      </c>
      <c r="D4734" s="192" t="s">
        <v>723</v>
      </c>
      <c r="E4734" s="23"/>
      <c r="F4734" s="23"/>
      <c r="G4734" s="193">
        <v>1</v>
      </c>
      <c r="H4734" s="193"/>
      <c r="I4734" s="194"/>
      <c r="J4734" s="194"/>
      <c r="K4734" s="19"/>
      <c r="L4734" s="20"/>
      <c r="M4734" s="10"/>
      <c r="N4734" s="10"/>
      <c r="O4734" s="10"/>
      <c r="P4734" s="10"/>
      <c r="Q4734" s="10"/>
      <c r="R4734" s="10"/>
      <c r="S4734" s="10"/>
      <c r="T4734" s="10"/>
      <c r="U4734" s="10"/>
      <c r="V4734" s="10"/>
      <c r="W4734" s="10"/>
      <c r="X4734" s="10"/>
      <c r="Y4734" s="10"/>
      <c r="Z4734" s="10"/>
      <c r="AA4734" s="10"/>
      <c r="AB4734" s="10"/>
      <c r="AC4734" s="10"/>
      <c r="AD4734" s="10"/>
      <c r="AE4734" s="10"/>
      <c r="AF4734" s="10"/>
      <c r="AG4734" s="10"/>
      <c r="AH4734" s="10"/>
    </row>
    <row r="4735" spans="1:34" outlineLevel="2">
      <c r="A4735" s="191"/>
      <c r="B4735" s="12" t="str">
        <f>IFERROR(VLOOKUP(D4735,'[1]Перечень товаров'!$A$2:$I9525,2,0),"")</f>
        <v>д68</v>
      </c>
      <c r="C4735" s="12" t="str">
        <f>IFERROR(VLOOKUP(D4735,'[1]Перечень товаров'!$A$2:$I9525,3,0),"")</f>
        <v>Дидактика</v>
      </c>
      <c r="D4735" s="192" t="s">
        <v>814</v>
      </c>
      <c r="E4735" s="23"/>
      <c r="F4735" s="23"/>
      <c r="G4735" s="193">
        <v>3</v>
      </c>
      <c r="H4735" s="193"/>
      <c r="I4735" s="194"/>
      <c r="J4735" s="194"/>
      <c r="K4735" s="19"/>
      <c r="L4735" s="20"/>
      <c r="M4735" s="10"/>
      <c r="N4735" s="10"/>
      <c r="O4735" s="10"/>
      <c r="P4735" s="10"/>
      <c r="Q4735" s="10"/>
      <c r="R4735" s="10"/>
      <c r="S4735" s="10"/>
      <c r="T4735" s="10"/>
      <c r="U4735" s="10"/>
      <c r="V4735" s="10"/>
      <c r="W4735" s="10"/>
      <c r="X4735" s="10"/>
      <c r="Y4735" s="10"/>
      <c r="Z4735" s="10"/>
      <c r="AA4735" s="10"/>
      <c r="AB4735" s="10"/>
      <c r="AC4735" s="10"/>
      <c r="AD4735" s="10"/>
      <c r="AE4735" s="10"/>
      <c r="AF4735" s="10"/>
      <c r="AG4735" s="10"/>
      <c r="AH4735" s="10"/>
    </row>
    <row r="4736" spans="1:34" outlineLevel="2">
      <c r="A4736" s="191"/>
      <c r="B4736" s="12" t="str">
        <f>IFERROR(VLOOKUP(D4736,'[1]Перечень товаров'!$A$2:$I9525,2,0),"")</f>
        <v>д69</v>
      </c>
      <c r="C4736" s="12" t="str">
        <f>IFERROR(VLOOKUP(D4736,'[1]Перечень товаров'!$A$2:$I9525,3,0),"")</f>
        <v>Дидактика</v>
      </c>
      <c r="D4736" s="192" t="s">
        <v>815</v>
      </c>
      <c r="E4736" s="23"/>
      <c r="F4736" s="23"/>
      <c r="G4736" s="193">
        <v>8</v>
      </c>
      <c r="H4736" s="193"/>
      <c r="I4736" s="194"/>
      <c r="J4736" s="194"/>
      <c r="K4736" s="19"/>
      <c r="L4736" s="20"/>
      <c r="M4736" s="10"/>
      <c r="N4736" s="10"/>
      <c r="O4736" s="10"/>
      <c r="P4736" s="10"/>
      <c r="Q4736" s="10"/>
      <c r="R4736" s="10"/>
      <c r="S4736" s="10"/>
      <c r="T4736" s="10"/>
      <c r="U4736" s="10"/>
      <c r="V4736" s="10"/>
      <c r="W4736" s="10"/>
      <c r="X4736" s="10"/>
      <c r="Y4736" s="10"/>
      <c r="Z4736" s="10"/>
      <c r="AA4736" s="10"/>
      <c r="AB4736" s="10"/>
      <c r="AC4736" s="10"/>
      <c r="AD4736" s="10"/>
      <c r="AE4736" s="10"/>
      <c r="AF4736" s="10"/>
      <c r="AG4736" s="10"/>
      <c r="AH4736" s="10"/>
    </row>
    <row r="4737" spans="1:34" outlineLevel="2">
      <c r="A4737" s="191"/>
      <c r="B4737" s="12" t="str">
        <f>IFERROR(VLOOKUP(D4737,'[1]Перечень товаров'!$A$2:$I9525,2,0),"")</f>
        <v>д70</v>
      </c>
      <c r="C4737" s="12" t="str">
        <f>IFERROR(VLOOKUP(D4737,'[1]Перечень товаров'!$A$2:$I9525,3,0),"")</f>
        <v>Дидактика</v>
      </c>
      <c r="D4737" s="192" t="s">
        <v>816</v>
      </c>
      <c r="E4737" s="23"/>
      <c r="F4737" s="23"/>
      <c r="G4737" s="193">
        <v>100</v>
      </c>
      <c r="H4737" s="193"/>
      <c r="I4737" s="194"/>
      <c r="J4737" s="194"/>
      <c r="K4737" s="19"/>
      <c r="L4737" s="20"/>
      <c r="M4737" s="10"/>
      <c r="N4737" s="10"/>
      <c r="O4737" s="10"/>
      <c r="P4737" s="10"/>
      <c r="Q4737" s="10"/>
      <c r="R4737" s="10"/>
      <c r="S4737" s="10"/>
      <c r="T4737" s="10"/>
      <c r="U4737" s="10"/>
      <c r="V4737" s="10"/>
      <c r="W4737" s="10"/>
      <c r="X4737" s="10"/>
      <c r="Y4737" s="10"/>
      <c r="Z4737" s="10"/>
      <c r="AA4737" s="10"/>
      <c r="AB4737" s="10"/>
      <c r="AC4737" s="10"/>
      <c r="AD4737" s="10"/>
      <c r="AE4737" s="10"/>
      <c r="AF4737" s="10"/>
      <c r="AG4737" s="10"/>
      <c r="AH4737" s="10"/>
    </row>
    <row r="4738" spans="1:34" ht="12.75" outlineLevel="1">
      <c r="A4738" s="11"/>
      <c r="B4738" s="12" t="str">
        <f>IFERROR(VLOOKUP(D4738,'[1]Перечень товаров'!$A$2:$I9525,2,0),"")</f>
        <v/>
      </c>
      <c r="C4738" s="12" t="str">
        <f>IFERROR(VLOOKUP(D4738,'[1]Перечень товаров'!$A$2:$I9525,3,0),"")</f>
        <v/>
      </c>
      <c r="D4738" s="27" t="s">
        <v>373</v>
      </c>
      <c r="E4738" s="14">
        <v>0</v>
      </c>
      <c r="F4738" s="14"/>
      <c r="G4738" s="17"/>
      <c r="H4738" s="17"/>
      <c r="I4738" s="57"/>
      <c r="J4738" s="57"/>
      <c r="K4738" s="19"/>
      <c r="L4738" s="20"/>
      <c r="M4738" s="10"/>
      <c r="N4738" s="10"/>
      <c r="O4738" s="10"/>
      <c r="P4738" s="10"/>
      <c r="Q4738" s="10"/>
      <c r="R4738" s="10"/>
      <c r="S4738" s="10"/>
      <c r="T4738" s="10"/>
      <c r="U4738" s="10"/>
      <c r="V4738" s="10"/>
      <c r="W4738" s="10"/>
      <c r="X4738" s="10"/>
      <c r="Y4738" s="10"/>
      <c r="Z4738" s="10"/>
      <c r="AA4738" s="10"/>
      <c r="AB4738" s="10"/>
      <c r="AC4738" s="10"/>
      <c r="AD4738" s="10"/>
      <c r="AE4738" s="10"/>
      <c r="AF4738" s="10"/>
      <c r="AG4738" s="10"/>
      <c r="AH4738" s="10"/>
    </row>
    <row r="4739" spans="1:34" outlineLevel="2">
      <c r="A4739" s="22"/>
      <c r="B4739" s="12" t="str">
        <f>IFERROR(VLOOKUP(D4739,'[1]Перечень товаров'!$A$2:$I9525,2,0),"")</f>
        <v>п25</v>
      </c>
      <c r="C4739" s="12" t="str">
        <f>IFERROR(VLOOKUP(D4739,'[1]Перечень товаров'!$A$2:$I9525,3,0),"")</f>
        <v>Прочее</v>
      </c>
      <c r="D4739" s="22" t="s">
        <v>360</v>
      </c>
      <c r="E4739" s="102"/>
      <c r="F4739" s="102"/>
      <c r="G4739" s="48">
        <v>3</v>
      </c>
      <c r="H4739" s="48"/>
      <c r="I4739" s="49"/>
      <c r="J4739" s="49"/>
      <c r="K4739" s="19"/>
      <c r="L4739" s="20"/>
      <c r="M4739" s="10"/>
      <c r="N4739" s="10"/>
      <c r="O4739" s="10"/>
      <c r="P4739" s="10"/>
      <c r="Q4739" s="10"/>
      <c r="R4739" s="10"/>
      <c r="S4739" s="10"/>
      <c r="T4739" s="10"/>
      <c r="U4739" s="10"/>
      <c r="V4739" s="10"/>
      <c r="W4739" s="10"/>
      <c r="X4739" s="10"/>
      <c r="Y4739" s="10"/>
      <c r="Z4739" s="10"/>
      <c r="AA4739" s="10"/>
      <c r="AB4739" s="10"/>
      <c r="AC4739" s="10"/>
      <c r="AD4739" s="10"/>
      <c r="AE4739" s="10"/>
      <c r="AF4739" s="10"/>
      <c r="AG4739" s="10"/>
      <c r="AH4739" s="10"/>
    </row>
    <row r="4740" spans="1:34" outlineLevel="2">
      <c r="A4740" s="21"/>
      <c r="B4740" s="12" t="str">
        <f>IFERROR(VLOOKUP(D4740,'[1]Перечень товаров'!$A$2:$I9525,2,0),"")</f>
        <v>п26</v>
      </c>
      <c r="C4740" s="12" t="str">
        <f>IFERROR(VLOOKUP(D4740,'[1]Перечень товаров'!$A$2:$I9525,3,0),"")</f>
        <v>Прочее</v>
      </c>
      <c r="D4740" s="22" t="s">
        <v>361</v>
      </c>
      <c r="E4740" s="102"/>
      <c r="F4740" s="102"/>
      <c r="G4740" s="48">
        <v>2</v>
      </c>
      <c r="H4740" s="48"/>
      <c r="I4740" s="49"/>
      <c r="J4740" s="49"/>
      <c r="K4740" s="19"/>
      <c r="L4740" s="20"/>
      <c r="M4740" s="10"/>
      <c r="N4740" s="10"/>
      <c r="O4740" s="10"/>
      <c r="P4740" s="10"/>
      <c r="Q4740" s="10"/>
      <c r="R4740" s="10"/>
      <c r="S4740" s="10"/>
      <c r="T4740" s="10"/>
      <c r="U4740" s="10"/>
      <c r="V4740" s="10"/>
      <c r="W4740" s="10"/>
      <c r="X4740" s="10"/>
      <c r="Y4740" s="10"/>
      <c r="Z4740" s="10"/>
      <c r="AA4740" s="10"/>
      <c r="AB4740" s="10"/>
      <c r="AC4740" s="10"/>
      <c r="AD4740" s="10"/>
      <c r="AE4740" s="10"/>
      <c r="AF4740" s="10"/>
      <c r="AG4740" s="10"/>
      <c r="AH4740" s="10"/>
    </row>
    <row r="4741" spans="1:34" outlineLevel="2">
      <c r="A4741" s="21"/>
      <c r="B4741" s="12" t="str">
        <f>IFERROR(VLOOKUP(D4741,'[1]Перечень товаров'!$A$2:$I9525,2,0),"")</f>
        <v>п27</v>
      </c>
      <c r="C4741" s="12" t="str">
        <f>IFERROR(VLOOKUP(D4741,'[1]Перечень товаров'!$A$2:$I9525,3,0),"")</f>
        <v>Прочее</v>
      </c>
      <c r="D4741" s="22" t="s">
        <v>362</v>
      </c>
      <c r="E4741" s="102"/>
      <c r="F4741" s="102"/>
      <c r="G4741" s="48">
        <v>2</v>
      </c>
      <c r="H4741" s="48"/>
      <c r="I4741" s="49"/>
      <c r="J4741" s="49"/>
      <c r="K4741" s="19"/>
      <c r="L4741" s="20"/>
      <c r="M4741" s="10"/>
      <c r="N4741" s="10"/>
      <c r="O4741" s="10"/>
      <c r="P4741" s="10"/>
      <c r="Q4741" s="10"/>
      <c r="R4741" s="10"/>
      <c r="S4741" s="10"/>
      <c r="T4741" s="10"/>
      <c r="U4741" s="10"/>
      <c r="V4741" s="10"/>
      <c r="W4741" s="10"/>
      <c r="X4741" s="10"/>
      <c r="Y4741" s="10"/>
      <c r="Z4741" s="10"/>
      <c r="AA4741" s="10"/>
      <c r="AB4741" s="10"/>
      <c r="AC4741" s="10"/>
      <c r="AD4741" s="10"/>
      <c r="AE4741" s="10"/>
      <c r="AF4741" s="10"/>
      <c r="AG4741" s="10"/>
      <c r="AH4741" s="10"/>
    </row>
    <row r="4742" spans="1:34" outlineLevel="2">
      <c r="A4742" s="21"/>
      <c r="B4742" s="12" t="str">
        <f>IFERROR(VLOOKUP(D4742,'[1]Перечень товаров'!$A$2:$I9525,2,0),"")</f>
        <v>п28</v>
      </c>
      <c r="C4742" s="12" t="str">
        <f>IFERROR(VLOOKUP(D4742,'[1]Перечень товаров'!$A$2:$I9525,3,0),"")</f>
        <v>Прочее</v>
      </c>
      <c r="D4742" s="22" t="s">
        <v>363</v>
      </c>
      <c r="E4742" s="102"/>
      <c r="F4742" s="102"/>
      <c r="G4742" s="48">
        <v>1</v>
      </c>
      <c r="H4742" s="48"/>
      <c r="I4742" s="49"/>
      <c r="J4742" s="49"/>
      <c r="K4742" s="19"/>
      <c r="L4742" s="20"/>
      <c r="M4742" s="10"/>
      <c r="N4742" s="10"/>
      <c r="O4742" s="10"/>
      <c r="P4742" s="10"/>
      <c r="Q4742" s="10"/>
      <c r="R4742" s="10"/>
      <c r="S4742" s="10"/>
      <c r="T4742" s="10"/>
      <c r="U4742" s="10"/>
      <c r="V4742" s="10"/>
      <c r="W4742" s="10"/>
      <c r="X4742" s="10"/>
      <c r="Y4742" s="10"/>
      <c r="Z4742" s="10"/>
      <c r="AA4742" s="10"/>
      <c r="AB4742" s="10"/>
      <c r="AC4742" s="10"/>
      <c r="AD4742" s="10"/>
      <c r="AE4742" s="10"/>
      <c r="AF4742" s="10"/>
      <c r="AG4742" s="10"/>
      <c r="AH4742" s="10"/>
    </row>
    <row r="4743" spans="1:34" outlineLevel="2">
      <c r="A4743" s="21"/>
      <c r="B4743" s="12" t="str">
        <f>IFERROR(VLOOKUP(D4743,'[1]Перечень товаров'!$A$2:$I9525,2,0),"")</f>
        <v>п29</v>
      </c>
      <c r="C4743" s="12" t="str">
        <f>IFERROR(VLOOKUP(D4743,'[1]Перечень товаров'!$A$2:$I9525,3,0),"")</f>
        <v>Прочее</v>
      </c>
      <c r="D4743" s="22" t="s">
        <v>364</v>
      </c>
      <c r="E4743" s="102"/>
      <c r="F4743" s="102"/>
      <c r="G4743" s="48">
        <v>6</v>
      </c>
      <c r="H4743" s="48"/>
      <c r="I4743" s="49"/>
      <c r="J4743" s="49"/>
      <c r="K4743" s="19"/>
      <c r="L4743" s="20"/>
      <c r="M4743" s="10"/>
      <c r="N4743" s="10"/>
      <c r="O4743" s="10"/>
      <c r="P4743" s="10"/>
      <c r="Q4743" s="10"/>
      <c r="R4743" s="10"/>
      <c r="S4743" s="10"/>
      <c r="T4743" s="10"/>
      <c r="U4743" s="10"/>
      <c r="V4743" s="10"/>
      <c r="W4743" s="10"/>
      <c r="X4743" s="10"/>
      <c r="Y4743" s="10"/>
      <c r="Z4743" s="10"/>
      <c r="AA4743" s="10"/>
      <c r="AB4743" s="10"/>
      <c r="AC4743" s="10"/>
      <c r="AD4743" s="10"/>
      <c r="AE4743" s="10"/>
      <c r="AF4743" s="10"/>
      <c r="AG4743" s="10"/>
      <c r="AH4743" s="10"/>
    </row>
    <row r="4744" spans="1:34" outlineLevel="2">
      <c r="A4744" s="21"/>
      <c r="B4744" s="12" t="str">
        <f>IFERROR(VLOOKUP(D4744,'[1]Перечень товаров'!$A$2:$I9525,2,0),"")</f>
        <v>п30</v>
      </c>
      <c r="C4744" s="12" t="str">
        <f>IFERROR(VLOOKUP(D4744,'[1]Перечень товаров'!$A$2:$I9525,3,0),"")</f>
        <v>Прочее</v>
      </c>
      <c r="D4744" s="22" t="s">
        <v>365</v>
      </c>
      <c r="E4744" s="102"/>
      <c r="F4744" s="102"/>
      <c r="G4744" s="48">
        <v>2</v>
      </c>
      <c r="H4744" s="48"/>
      <c r="I4744" s="49"/>
      <c r="J4744" s="49"/>
      <c r="K4744" s="19"/>
      <c r="L4744" s="20"/>
      <c r="M4744" s="10"/>
      <c r="N4744" s="10"/>
      <c r="O4744" s="10"/>
      <c r="P4744" s="10"/>
      <c r="Q4744" s="10"/>
      <c r="R4744" s="10"/>
      <c r="S4744" s="10"/>
      <c r="T4744" s="10"/>
      <c r="U4744" s="10"/>
      <c r="V4744" s="10"/>
      <c r="W4744" s="10"/>
      <c r="X4744" s="10"/>
      <c r="Y4744" s="10"/>
      <c r="Z4744" s="10"/>
      <c r="AA4744" s="10"/>
      <c r="AB4744" s="10"/>
      <c r="AC4744" s="10"/>
      <c r="AD4744" s="10"/>
      <c r="AE4744" s="10"/>
      <c r="AF4744" s="10"/>
      <c r="AG4744" s="10"/>
      <c r="AH4744" s="10"/>
    </row>
    <row r="4745" spans="1:34" ht="31.5" outlineLevel="2">
      <c r="A4745" s="21"/>
      <c r="B4745" s="12" t="str">
        <f>IFERROR(VLOOKUP(D4745,'[1]Перечень товаров'!$A$2:$I9525,2,0),"")</f>
        <v>п31</v>
      </c>
      <c r="C4745" s="12" t="str">
        <f>IFERROR(VLOOKUP(D4745,'[1]Перечень товаров'!$A$2:$I9525,3,0),"")</f>
        <v>Прочее</v>
      </c>
      <c r="D4745" s="22" t="s">
        <v>366</v>
      </c>
      <c r="E4745" s="102"/>
      <c r="F4745" s="102"/>
      <c r="G4745" s="48">
        <v>1</v>
      </c>
      <c r="H4745" s="48"/>
      <c r="I4745" s="49"/>
      <c r="J4745" s="49"/>
      <c r="K4745" s="19"/>
      <c r="L4745" s="20"/>
      <c r="M4745" s="10"/>
      <c r="N4745" s="10"/>
      <c r="O4745" s="10"/>
      <c r="P4745" s="10"/>
      <c r="Q4745" s="10"/>
      <c r="R4745" s="10"/>
      <c r="S4745" s="10"/>
      <c r="T4745" s="10"/>
      <c r="U4745" s="10"/>
      <c r="V4745" s="10"/>
      <c r="W4745" s="10"/>
      <c r="X4745" s="10"/>
      <c r="Y4745" s="10"/>
      <c r="Z4745" s="10"/>
      <c r="AA4745" s="10"/>
      <c r="AB4745" s="10"/>
      <c r="AC4745" s="10"/>
      <c r="AD4745" s="10"/>
      <c r="AE4745" s="10"/>
      <c r="AF4745" s="10"/>
      <c r="AG4745" s="10"/>
      <c r="AH4745" s="10"/>
    </row>
    <row r="4746" spans="1:34" ht="31.5" outlineLevel="2">
      <c r="A4746" s="21"/>
      <c r="B4746" s="12" t="str">
        <f>IFERROR(VLOOKUP(D4746,'[1]Перечень товаров'!$A$2:$I9525,2,0),"")</f>
        <v>п32</v>
      </c>
      <c r="C4746" s="12" t="str">
        <f>IFERROR(VLOOKUP(D4746,'[1]Перечень товаров'!$A$2:$I9525,3,0),"")</f>
        <v>Прочее</v>
      </c>
      <c r="D4746" s="22" t="s">
        <v>367</v>
      </c>
      <c r="E4746" s="102"/>
      <c r="F4746" s="102"/>
      <c r="G4746" s="48">
        <v>2</v>
      </c>
      <c r="H4746" s="48"/>
      <c r="I4746" s="49"/>
      <c r="J4746" s="49"/>
      <c r="K4746" s="19"/>
      <c r="L4746" s="20"/>
      <c r="M4746" s="10"/>
      <c r="N4746" s="10"/>
      <c r="O4746" s="10"/>
      <c r="P4746" s="10"/>
      <c r="Q4746" s="10"/>
      <c r="R4746" s="10"/>
      <c r="S4746" s="10"/>
      <c r="T4746" s="10"/>
      <c r="U4746" s="10"/>
      <c r="V4746" s="10"/>
      <c r="W4746" s="10"/>
      <c r="X4746" s="10"/>
      <c r="Y4746" s="10"/>
      <c r="Z4746" s="10"/>
      <c r="AA4746" s="10"/>
      <c r="AB4746" s="10"/>
      <c r="AC4746" s="10"/>
      <c r="AD4746" s="10"/>
      <c r="AE4746" s="10"/>
      <c r="AF4746" s="10"/>
      <c r="AG4746" s="10"/>
      <c r="AH4746" s="10"/>
    </row>
    <row r="4747" spans="1:34" ht="12.75" outlineLevel="1">
      <c r="A4747" s="11"/>
      <c r="B4747" s="12" t="str">
        <f>IFERROR(VLOOKUP(D4747,'[1]Перечень товаров'!$A$2:$I9525,2,0),"")</f>
        <v/>
      </c>
      <c r="C4747" s="12" t="str">
        <f>IFERROR(VLOOKUP(D4747,'[1]Перечень товаров'!$A$2:$I9525,3,0),"")</f>
        <v/>
      </c>
      <c r="D4747" s="27" t="s">
        <v>529</v>
      </c>
      <c r="E4747" s="14">
        <v>2.9</v>
      </c>
      <c r="F4747" s="14"/>
      <c r="G4747" s="17"/>
      <c r="H4747" s="17"/>
      <c r="I4747" s="57"/>
      <c r="J4747" s="57"/>
      <c r="K4747" s="19"/>
      <c r="L4747" s="20"/>
      <c r="M4747" s="10"/>
      <c r="N4747" s="10"/>
      <c r="O4747" s="10"/>
      <c r="P4747" s="10"/>
      <c r="Q4747" s="10"/>
      <c r="R4747" s="10"/>
      <c r="S4747" s="10"/>
      <c r="T4747" s="10"/>
      <c r="U4747" s="10"/>
      <c r="V4747" s="10"/>
      <c r="W4747" s="10"/>
      <c r="X4747" s="10"/>
      <c r="Y4747" s="10"/>
      <c r="Z4747" s="10"/>
      <c r="AA4747" s="10"/>
      <c r="AB4747" s="10"/>
      <c r="AC4747" s="10"/>
      <c r="AD4747" s="10"/>
      <c r="AE4747" s="10"/>
      <c r="AF4747" s="10"/>
      <c r="AG4747" s="10"/>
      <c r="AH4747" s="10"/>
    </row>
    <row r="4748" spans="1:34" outlineLevel="2">
      <c r="A4748" s="22"/>
      <c r="B4748" s="12" t="str">
        <f>IFERROR(VLOOKUP(D4748,'[1]Перечень товаров'!$A$2:$I9525,2,0),"")</f>
        <v>п25</v>
      </c>
      <c r="C4748" s="12" t="str">
        <f>IFERROR(VLOOKUP(D4748,'[1]Перечень товаров'!$A$2:$I9525,3,0),"")</f>
        <v>Прочее</v>
      </c>
      <c r="D4748" s="22" t="s">
        <v>360</v>
      </c>
      <c r="E4748" s="102"/>
      <c r="F4748" s="102"/>
      <c r="G4748" s="48">
        <v>3</v>
      </c>
      <c r="H4748" s="48"/>
      <c r="I4748" s="49"/>
      <c r="J4748" s="49"/>
      <c r="K4748" s="33"/>
      <c r="L4748" s="20"/>
      <c r="M4748" s="10"/>
      <c r="N4748" s="10"/>
      <c r="O4748" s="10"/>
      <c r="P4748" s="10"/>
      <c r="Q4748" s="10"/>
      <c r="R4748" s="10"/>
      <c r="S4748" s="10"/>
      <c r="T4748" s="10"/>
      <c r="U4748" s="10"/>
      <c r="V4748" s="10"/>
      <c r="W4748" s="10"/>
      <c r="X4748" s="10"/>
      <c r="Y4748" s="10"/>
      <c r="Z4748" s="10"/>
      <c r="AA4748" s="10"/>
      <c r="AB4748" s="10"/>
      <c r="AC4748" s="10"/>
      <c r="AD4748" s="10"/>
      <c r="AE4748" s="10"/>
      <c r="AF4748" s="10"/>
      <c r="AG4748" s="10"/>
      <c r="AH4748" s="10"/>
    </row>
    <row r="4749" spans="1:34" outlineLevel="2">
      <c r="A4749" s="21"/>
      <c r="B4749" s="12" t="str">
        <f>IFERROR(VLOOKUP(D4749,'[1]Перечень товаров'!$A$2:$I9525,2,0),"")</f>
        <v>п26</v>
      </c>
      <c r="C4749" s="12" t="str">
        <f>IFERROR(VLOOKUP(D4749,'[1]Перечень товаров'!$A$2:$I9525,3,0),"")</f>
        <v>Прочее</v>
      </c>
      <c r="D4749" s="22" t="s">
        <v>361</v>
      </c>
      <c r="E4749" s="102"/>
      <c r="F4749" s="102"/>
      <c r="G4749" s="48">
        <v>2</v>
      </c>
      <c r="H4749" s="48"/>
      <c r="I4749" s="49"/>
      <c r="J4749" s="49"/>
      <c r="K4749" s="33"/>
      <c r="L4749" s="20"/>
      <c r="M4749" s="10"/>
      <c r="N4749" s="10"/>
      <c r="O4749" s="10"/>
      <c r="P4749" s="10"/>
      <c r="Q4749" s="10"/>
      <c r="R4749" s="10"/>
      <c r="S4749" s="10"/>
      <c r="T4749" s="10"/>
      <c r="U4749" s="10"/>
      <c r="V4749" s="10"/>
      <c r="W4749" s="10"/>
      <c r="X4749" s="10"/>
      <c r="Y4749" s="10"/>
      <c r="Z4749" s="10"/>
      <c r="AA4749" s="10"/>
      <c r="AB4749" s="10"/>
      <c r="AC4749" s="10"/>
      <c r="AD4749" s="10"/>
      <c r="AE4749" s="10"/>
      <c r="AF4749" s="10"/>
      <c r="AG4749" s="10"/>
      <c r="AH4749" s="10"/>
    </row>
    <row r="4750" spans="1:34" outlineLevel="2">
      <c r="A4750" s="21"/>
      <c r="B4750" s="12" t="str">
        <f>IFERROR(VLOOKUP(D4750,'[1]Перечень товаров'!$A$2:$I9525,2,0),"")</f>
        <v>п27</v>
      </c>
      <c r="C4750" s="12" t="str">
        <f>IFERROR(VLOOKUP(D4750,'[1]Перечень товаров'!$A$2:$I9525,3,0),"")</f>
        <v>Прочее</v>
      </c>
      <c r="D4750" s="22" t="s">
        <v>362</v>
      </c>
      <c r="E4750" s="102"/>
      <c r="F4750" s="102"/>
      <c r="G4750" s="48">
        <v>2</v>
      </c>
      <c r="H4750" s="48"/>
      <c r="I4750" s="49"/>
      <c r="J4750" s="49"/>
      <c r="K4750" s="33"/>
      <c r="L4750" s="20"/>
      <c r="M4750" s="10"/>
      <c r="N4750" s="10"/>
      <c r="O4750" s="10"/>
      <c r="P4750" s="10"/>
      <c r="Q4750" s="10"/>
      <c r="R4750" s="10"/>
      <c r="S4750" s="10"/>
      <c r="T4750" s="10"/>
      <c r="U4750" s="10"/>
      <c r="V4750" s="10"/>
      <c r="W4750" s="10"/>
      <c r="X4750" s="10"/>
      <c r="Y4750" s="10"/>
      <c r="Z4750" s="10"/>
      <c r="AA4750" s="10"/>
      <c r="AB4750" s="10"/>
      <c r="AC4750" s="10"/>
      <c r="AD4750" s="10"/>
      <c r="AE4750" s="10"/>
      <c r="AF4750" s="10"/>
      <c r="AG4750" s="10"/>
      <c r="AH4750" s="10"/>
    </row>
    <row r="4751" spans="1:34" outlineLevel="2">
      <c r="A4751" s="21"/>
      <c r="B4751" s="12" t="str">
        <f>IFERROR(VLOOKUP(D4751,'[1]Перечень товаров'!$A$2:$I9525,2,0),"")</f>
        <v>п28</v>
      </c>
      <c r="C4751" s="12" t="str">
        <f>IFERROR(VLOOKUP(D4751,'[1]Перечень товаров'!$A$2:$I9525,3,0),"")</f>
        <v>Прочее</v>
      </c>
      <c r="D4751" s="22" t="s">
        <v>363</v>
      </c>
      <c r="E4751" s="102"/>
      <c r="F4751" s="102"/>
      <c r="G4751" s="48">
        <v>1</v>
      </c>
      <c r="H4751" s="48"/>
      <c r="I4751" s="49"/>
      <c r="J4751" s="49"/>
      <c r="K4751" s="33"/>
      <c r="L4751" s="20"/>
      <c r="M4751" s="10"/>
      <c r="N4751" s="10"/>
      <c r="O4751" s="10"/>
      <c r="P4751" s="10"/>
      <c r="Q4751" s="10"/>
      <c r="R4751" s="10"/>
      <c r="S4751" s="10"/>
      <c r="T4751" s="10"/>
      <c r="U4751" s="10"/>
      <c r="V4751" s="10"/>
      <c r="W4751" s="10"/>
      <c r="X4751" s="10"/>
      <c r="Y4751" s="10"/>
      <c r="Z4751" s="10"/>
      <c r="AA4751" s="10"/>
      <c r="AB4751" s="10"/>
      <c r="AC4751" s="10"/>
      <c r="AD4751" s="10"/>
      <c r="AE4751" s="10"/>
      <c r="AF4751" s="10"/>
      <c r="AG4751" s="10"/>
      <c r="AH4751" s="10"/>
    </row>
    <row r="4752" spans="1:34" outlineLevel="2">
      <c r="A4752" s="21"/>
      <c r="B4752" s="12" t="str">
        <f>IFERROR(VLOOKUP(D4752,'[1]Перечень товаров'!$A$2:$I9525,2,0),"")</f>
        <v>п29</v>
      </c>
      <c r="C4752" s="12" t="str">
        <f>IFERROR(VLOOKUP(D4752,'[1]Перечень товаров'!$A$2:$I9525,3,0),"")</f>
        <v>Прочее</v>
      </c>
      <c r="D4752" s="22" t="s">
        <v>364</v>
      </c>
      <c r="E4752" s="102"/>
      <c r="F4752" s="102"/>
      <c r="G4752" s="48">
        <v>6</v>
      </c>
      <c r="H4752" s="48"/>
      <c r="I4752" s="49"/>
      <c r="J4752" s="49"/>
      <c r="K4752" s="33"/>
      <c r="L4752" s="20"/>
      <c r="M4752" s="10"/>
      <c r="N4752" s="10"/>
      <c r="O4752" s="10"/>
      <c r="P4752" s="10"/>
      <c r="Q4752" s="10"/>
      <c r="R4752" s="10"/>
      <c r="S4752" s="10"/>
      <c r="T4752" s="10"/>
      <c r="U4752" s="10"/>
      <c r="V4752" s="10"/>
      <c r="W4752" s="10"/>
      <c r="X4752" s="10"/>
      <c r="Y4752" s="10"/>
      <c r="Z4752" s="10"/>
      <c r="AA4752" s="10"/>
      <c r="AB4752" s="10"/>
      <c r="AC4752" s="10"/>
      <c r="AD4752" s="10"/>
      <c r="AE4752" s="10"/>
      <c r="AF4752" s="10"/>
      <c r="AG4752" s="10"/>
      <c r="AH4752" s="10"/>
    </row>
    <row r="4753" spans="1:34" outlineLevel="2">
      <c r="A4753" s="21"/>
      <c r="B4753" s="12" t="str">
        <f>IFERROR(VLOOKUP(D4753,'[1]Перечень товаров'!$A$2:$I9525,2,0),"")</f>
        <v>п30</v>
      </c>
      <c r="C4753" s="12" t="str">
        <f>IFERROR(VLOOKUP(D4753,'[1]Перечень товаров'!$A$2:$I9525,3,0),"")</f>
        <v>Прочее</v>
      </c>
      <c r="D4753" s="22" t="s">
        <v>365</v>
      </c>
      <c r="E4753" s="102"/>
      <c r="F4753" s="102"/>
      <c r="G4753" s="48">
        <v>2</v>
      </c>
      <c r="H4753" s="48"/>
      <c r="I4753" s="49"/>
      <c r="J4753" s="49"/>
      <c r="K4753" s="33"/>
      <c r="L4753" s="20"/>
      <c r="M4753" s="10"/>
      <c r="N4753" s="10"/>
      <c r="O4753" s="10"/>
      <c r="P4753" s="10"/>
      <c r="Q4753" s="10"/>
      <c r="R4753" s="10"/>
      <c r="S4753" s="10"/>
      <c r="T4753" s="10"/>
      <c r="U4753" s="10"/>
      <c r="V4753" s="10"/>
      <c r="W4753" s="10"/>
      <c r="X4753" s="10"/>
      <c r="Y4753" s="10"/>
      <c r="Z4753" s="10"/>
      <c r="AA4753" s="10"/>
      <c r="AB4753" s="10"/>
      <c r="AC4753" s="10"/>
      <c r="AD4753" s="10"/>
      <c r="AE4753" s="10"/>
      <c r="AF4753" s="10"/>
      <c r="AG4753" s="10"/>
      <c r="AH4753" s="10"/>
    </row>
    <row r="4754" spans="1:34" ht="31.5" outlineLevel="2">
      <c r="A4754" s="21"/>
      <c r="B4754" s="12" t="str">
        <f>IFERROR(VLOOKUP(D4754,'[1]Перечень товаров'!$A$2:$I9525,2,0),"")</f>
        <v>п31</v>
      </c>
      <c r="C4754" s="12" t="str">
        <f>IFERROR(VLOOKUP(D4754,'[1]Перечень товаров'!$A$2:$I9525,3,0),"")</f>
        <v>Прочее</v>
      </c>
      <c r="D4754" s="22" t="s">
        <v>366</v>
      </c>
      <c r="E4754" s="102"/>
      <c r="F4754" s="102"/>
      <c r="G4754" s="48">
        <v>1</v>
      </c>
      <c r="H4754" s="48"/>
      <c r="I4754" s="49"/>
      <c r="J4754" s="49"/>
      <c r="K4754" s="33"/>
      <c r="L4754" s="20"/>
      <c r="M4754" s="10"/>
      <c r="N4754" s="10"/>
      <c r="O4754" s="10"/>
      <c r="P4754" s="10"/>
      <c r="Q4754" s="10"/>
      <c r="R4754" s="10"/>
      <c r="S4754" s="10"/>
      <c r="T4754" s="10"/>
      <c r="U4754" s="10"/>
      <c r="V4754" s="10"/>
      <c r="W4754" s="10"/>
      <c r="X4754" s="10"/>
      <c r="Y4754" s="10"/>
      <c r="Z4754" s="10"/>
      <c r="AA4754" s="10"/>
      <c r="AB4754" s="10"/>
      <c r="AC4754" s="10"/>
      <c r="AD4754" s="10"/>
      <c r="AE4754" s="10"/>
      <c r="AF4754" s="10"/>
      <c r="AG4754" s="10"/>
      <c r="AH4754" s="10"/>
    </row>
    <row r="4755" spans="1:34" ht="31.5" outlineLevel="2">
      <c r="A4755" s="21"/>
      <c r="B4755" s="12" t="str">
        <f>IFERROR(VLOOKUP(D4755,'[1]Перечень товаров'!$A$2:$I9525,2,0),"")</f>
        <v>п32</v>
      </c>
      <c r="C4755" s="12" t="str">
        <f>IFERROR(VLOOKUP(D4755,'[1]Перечень товаров'!$A$2:$I9525,3,0),"")</f>
        <v>Прочее</v>
      </c>
      <c r="D4755" s="22" t="s">
        <v>367</v>
      </c>
      <c r="E4755" s="102"/>
      <c r="F4755" s="102"/>
      <c r="G4755" s="48">
        <v>2</v>
      </c>
      <c r="H4755" s="48"/>
      <c r="I4755" s="49"/>
      <c r="J4755" s="49"/>
      <c r="K4755" s="33"/>
      <c r="L4755" s="20"/>
      <c r="M4755" s="10"/>
      <c r="N4755" s="10"/>
      <c r="O4755" s="10"/>
      <c r="P4755" s="10"/>
      <c r="Q4755" s="10"/>
      <c r="R4755" s="10"/>
      <c r="S4755" s="10"/>
      <c r="T4755" s="10"/>
      <c r="U4755" s="10"/>
      <c r="V4755" s="10"/>
      <c r="W4755" s="10"/>
      <c r="X4755" s="10"/>
      <c r="Y4755" s="10"/>
      <c r="Z4755" s="10"/>
      <c r="AA4755" s="10"/>
      <c r="AB4755" s="10"/>
      <c r="AC4755" s="10"/>
      <c r="AD4755" s="10"/>
      <c r="AE4755" s="10"/>
      <c r="AF4755" s="10"/>
      <c r="AG4755" s="10"/>
      <c r="AH4755" s="10"/>
    </row>
    <row r="4756" spans="1:34" ht="12.75" outlineLevel="1">
      <c r="A4756" s="11"/>
      <c r="B4756" s="12" t="str">
        <f>IFERROR(VLOOKUP(D4756,'[1]Перечень товаров'!$A$2:$I9525,2,0),"")</f>
        <v/>
      </c>
      <c r="C4756" s="12" t="str">
        <f>IFERROR(VLOOKUP(D4756,'[1]Перечень товаров'!$A$2:$I9525,3,0),"")</f>
        <v/>
      </c>
      <c r="D4756" s="27" t="s">
        <v>527</v>
      </c>
      <c r="E4756" s="14">
        <v>1.8</v>
      </c>
      <c r="F4756" s="14"/>
      <c r="G4756" s="17"/>
      <c r="H4756" s="17"/>
      <c r="I4756" s="57"/>
      <c r="J4756" s="57"/>
      <c r="K4756" s="19"/>
      <c r="L4756" s="20"/>
      <c r="M4756" s="10"/>
      <c r="N4756" s="10"/>
      <c r="O4756" s="10"/>
      <c r="P4756" s="10"/>
      <c r="Q4756" s="10"/>
      <c r="R4756" s="10"/>
      <c r="S4756" s="10"/>
      <c r="T4756" s="10"/>
      <c r="U4756" s="10"/>
      <c r="V4756" s="10"/>
      <c r="W4756" s="10"/>
      <c r="X4756" s="10"/>
      <c r="Y4756" s="10"/>
      <c r="Z4756" s="10"/>
      <c r="AA4756" s="10"/>
      <c r="AB4756" s="10"/>
      <c r="AC4756" s="10"/>
      <c r="AD4756" s="10"/>
      <c r="AE4756" s="10"/>
      <c r="AF4756" s="10"/>
      <c r="AG4756" s="10"/>
      <c r="AH4756" s="10"/>
    </row>
    <row r="4757" spans="1:34" outlineLevel="2">
      <c r="A4757" s="22"/>
      <c r="B4757" s="12" t="str">
        <f>IFERROR(VLOOKUP(D4757,'[1]Перечень товаров'!$A$2:$I9525,2,0),"")</f>
        <v>п25</v>
      </c>
      <c r="C4757" s="12" t="str">
        <f>IFERROR(VLOOKUP(D4757,'[1]Перечень товаров'!$A$2:$I9525,3,0),"")</f>
        <v>Прочее</v>
      </c>
      <c r="D4757" s="22" t="s">
        <v>360</v>
      </c>
      <c r="E4757" s="102"/>
      <c r="F4757" s="102"/>
      <c r="G4757" s="48">
        <v>3</v>
      </c>
      <c r="H4757" s="48"/>
      <c r="I4757" s="49"/>
      <c r="J4757" s="49"/>
      <c r="K4757" s="33"/>
      <c r="L4757" s="20"/>
      <c r="M4757" s="10"/>
      <c r="N4757" s="10"/>
      <c r="O4757" s="10"/>
      <c r="P4757" s="10"/>
      <c r="Q4757" s="10"/>
      <c r="R4757" s="10"/>
      <c r="S4757" s="10"/>
      <c r="T4757" s="10"/>
      <c r="U4757" s="10"/>
      <c r="V4757" s="10"/>
      <c r="W4757" s="10"/>
      <c r="X4757" s="10"/>
      <c r="Y4757" s="10"/>
      <c r="Z4757" s="10"/>
      <c r="AA4757" s="10"/>
      <c r="AB4757" s="10"/>
      <c r="AC4757" s="10"/>
      <c r="AD4757" s="10"/>
      <c r="AE4757" s="10"/>
      <c r="AF4757" s="10"/>
      <c r="AG4757" s="10"/>
      <c r="AH4757" s="10"/>
    </row>
    <row r="4758" spans="1:34" outlineLevel="2">
      <c r="A4758" s="21"/>
      <c r="B4758" s="12" t="str">
        <f>IFERROR(VLOOKUP(D4758,'[1]Перечень товаров'!$A$2:$I9525,2,0),"")</f>
        <v>п26</v>
      </c>
      <c r="C4758" s="12" t="str">
        <f>IFERROR(VLOOKUP(D4758,'[1]Перечень товаров'!$A$2:$I9525,3,0),"")</f>
        <v>Прочее</v>
      </c>
      <c r="D4758" s="22" t="s">
        <v>361</v>
      </c>
      <c r="E4758" s="102"/>
      <c r="F4758" s="102"/>
      <c r="G4758" s="48">
        <v>2</v>
      </c>
      <c r="H4758" s="48"/>
      <c r="I4758" s="49"/>
      <c r="J4758" s="49"/>
      <c r="K4758" s="33"/>
      <c r="L4758" s="20"/>
      <c r="M4758" s="10"/>
      <c r="N4758" s="10"/>
      <c r="O4758" s="10"/>
      <c r="P4758" s="10"/>
      <c r="Q4758" s="10"/>
      <c r="R4758" s="10"/>
      <c r="S4758" s="10"/>
      <c r="T4758" s="10"/>
      <c r="U4758" s="10"/>
      <c r="V4758" s="10"/>
      <c r="W4758" s="10"/>
      <c r="X4758" s="10"/>
      <c r="Y4758" s="10"/>
      <c r="Z4758" s="10"/>
      <c r="AA4758" s="10"/>
      <c r="AB4758" s="10"/>
      <c r="AC4758" s="10"/>
      <c r="AD4758" s="10"/>
      <c r="AE4758" s="10"/>
      <c r="AF4758" s="10"/>
      <c r="AG4758" s="10"/>
      <c r="AH4758" s="10"/>
    </row>
    <row r="4759" spans="1:34" outlineLevel="2">
      <c r="A4759" s="21"/>
      <c r="B4759" s="12" t="str">
        <f>IFERROR(VLOOKUP(D4759,'[1]Перечень товаров'!$A$2:$I9525,2,0),"")</f>
        <v>п27</v>
      </c>
      <c r="C4759" s="12" t="str">
        <f>IFERROR(VLOOKUP(D4759,'[1]Перечень товаров'!$A$2:$I9525,3,0),"")</f>
        <v>Прочее</v>
      </c>
      <c r="D4759" s="22" t="s">
        <v>362</v>
      </c>
      <c r="E4759" s="102"/>
      <c r="F4759" s="102"/>
      <c r="G4759" s="48">
        <v>2</v>
      </c>
      <c r="H4759" s="48"/>
      <c r="I4759" s="49"/>
      <c r="J4759" s="49"/>
      <c r="K4759" s="33"/>
      <c r="L4759" s="20"/>
      <c r="M4759" s="10"/>
      <c r="N4759" s="10"/>
      <c r="O4759" s="10"/>
      <c r="P4759" s="10"/>
      <c r="Q4759" s="10"/>
      <c r="R4759" s="10"/>
      <c r="S4759" s="10"/>
      <c r="T4759" s="10"/>
      <c r="U4759" s="10"/>
      <c r="V4759" s="10"/>
      <c r="W4759" s="10"/>
      <c r="X4759" s="10"/>
      <c r="Y4759" s="10"/>
      <c r="Z4759" s="10"/>
      <c r="AA4759" s="10"/>
      <c r="AB4759" s="10"/>
      <c r="AC4759" s="10"/>
      <c r="AD4759" s="10"/>
      <c r="AE4759" s="10"/>
      <c r="AF4759" s="10"/>
      <c r="AG4759" s="10"/>
      <c r="AH4759" s="10"/>
    </row>
    <row r="4760" spans="1:34" outlineLevel="2">
      <c r="A4760" s="21"/>
      <c r="B4760" s="12" t="str">
        <f>IFERROR(VLOOKUP(D4760,'[1]Перечень товаров'!$A$2:$I9525,2,0),"")</f>
        <v>п28</v>
      </c>
      <c r="C4760" s="12" t="str">
        <f>IFERROR(VLOOKUP(D4760,'[1]Перечень товаров'!$A$2:$I9525,3,0),"")</f>
        <v>Прочее</v>
      </c>
      <c r="D4760" s="22" t="s">
        <v>363</v>
      </c>
      <c r="E4760" s="102"/>
      <c r="F4760" s="102"/>
      <c r="G4760" s="48">
        <v>1</v>
      </c>
      <c r="H4760" s="48"/>
      <c r="I4760" s="49"/>
      <c r="J4760" s="49"/>
      <c r="K4760" s="33"/>
      <c r="L4760" s="20"/>
      <c r="M4760" s="10"/>
      <c r="N4760" s="10"/>
      <c r="O4760" s="10"/>
      <c r="P4760" s="10"/>
      <c r="Q4760" s="10"/>
      <c r="R4760" s="10"/>
      <c r="S4760" s="10"/>
      <c r="T4760" s="10"/>
      <c r="U4760" s="10"/>
      <c r="V4760" s="10"/>
      <c r="W4760" s="10"/>
      <c r="X4760" s="10"/>
      <c r="Y4760" s="10"/>
      <c r="Z4760" s="10"/>
      <c r="AA4760" s="10"/>
      <c r="AB4760" s="10"/>
      <c r="AC4760" s="10"/>
      <c r="AD4760" s="10"/>
      <c r="AE4760" s="10"/>
      <c r="AF4760" s="10"/>
      <c r="AG4760" s="10"/>
      <c r="AH4760" s="10"/>
    </row>
    <row r="4761" spans="1:34" outlineLevel="2">
      <c r="A4761" s="21"/>
      <c r="B4761" s="12" t="str">
        <f>IFERROR(VLOOKUP(D4761,'[1]Перечень товаров'!$A$2:$I9525,2,0),"")</f>
        <v>п29</v>
      </c>
      <c r="C4761" s="12" t="str">
        <f>IFERROR(VLOOKUP(D4761,'[1]Перечень товаров'!$A$2:$I9525,3,0),"")</f>
        <v>Прочее</v>
      </c>
      <c r="D4761" s="22" t="s">
        <v>364</v>
      </c>
      <c r="E4761" s="102"/>
      <c r="F4761" s="102"/>
      <c r="G4761" s="48">
        <v>6</v>
      </c>
      <c r="H4761" s="48"/>
      <c r="I4761" s="49"/>
      <c r="J4761" s="49"/>
      <c r="K4761" s="33"/>
      <c r="L4761" s="20"/>
      <c r="M4761" s="10"/>
      <c r="N4761" s="10"/>
      <c r="O4761" s="10"/>
      <c r="P4761" s="10"/>
      <c r="Q4761" s="10"/>
      <c r="R4761" s="10"/>
      <c r="S4761" s="10"/>
      <c r="T4761" s="10"/>
      <c r="U4761" s="10"/>
      <c r="V4761" s="10"/>
      <c r="W4761" s="10"/>
      <c r="X4761" s="10"/>
      <c r="Y4761" s="10"/>
      <c r="Z4761" s="10"/>
      <c r="AA4761" s="10"/>
      <c r="AB4761" s="10"/>
      <c r="AC4761" s="10"/>
      <c r="AD4761" s="10"/>
      <c r="AE4761" s="10"/>
      <c r="AF4761" s="10"/>
      <c r="AG4761" s="10"/>
      <c r="AH4761" s="10"/>
    </row>
    <row r="4762" spans="1:34" outlineLevel="2">
      <c r="A4762" s="21"/>
      <c r="B4762" s="12" t="str">
        <f>IFERROR(VLOOKUP(D4762,'[1]Перечень товаров'!$A$2:$I9525,2,0),"")</f>
        <v>п30</v>
      </c>
      <c r="C4762" s="12" t="str">
        <f>IFERROR(VLOOKUP(D4762,'[1]Перечень товаров'!$A$2:$I9525,3,0),"")</f>
        <v>Прочее</v>
      </c>
      <c r="D4762" s="22" t="s">
        <v>365</v>
      </c>
      <c r="E4762" s="102"/>
      <c r="F4762" s="102"/>
      <c r="G4762" s="48">
        <v>2</v>
      </c>
      <c r="H4762" s="48"/>
      <c r="I4762" s="49"/>
      <c r="J4762" s="49"/>
      <c r="K4762" s="33"/>
      <c r="L4762" s="20"/>
      <c r="M4762" s="10"/>
      <c r="N4762" s="10"/>
      <c r="O4762" s="10"/>
      <c r="P4762" s="10"/>
      <c r="Q4762" s="10"/>
      <c r="R4762" s="10"/>
      <c r="S4762" s="10"/>
      <c r="T4762" s="10"/>
      <c r="U4762" s="10"/>
      <c r="V4762" s="10"/>
      <c r="W4762" s="10"/>
      <c r="X4762" s="10"/>
      <c r="Y4762" s="10"/>
      <c r="Z4762" s="10"/>
      <c r="AA4762" s="10"/>
      <c r="AB4762" s="10"/>
      <c r="AC4762" s="10"/>
      <c r="AD4762" s="10"/>
      <c r="AE4762" s="10"/>
      <c r="AF4762" s="10"/>
      <c r="AG4762" s="10"/>
      <c r="AH4762" s="10"/>
    </row>
    <row r="4763" spans="1:34" ht="31.5" outlineLevel="2">
      <c r="A4763" s="21"/>
      <c r="B4763" s="12" t="str">
        <f>IFERROR(VLOOKUP(D4763,'[1]Перечень товаров'!$A$2:$I9525,2,0),"")</f>
        <v>п31</v>
      </c>
      <c r="C4763" s="12" t="str">
        <f>IFERROR(VLOOKUP(D4763,'[1]Перечень товаров'!$A$2:$I9525,3,0),"")</f>
        <v>Прочее</v>
      </c>
      <c r="D4763" s="22" t="s">
        <v>366</v>
      </c>
      <c r="E4763" s="102"/>
      <c r="F4763" s="102"/>
      <c r="G4763" s="48">
        <v>1</v>
      </c>
      <c r="H4763" s="48"/>
      <c r="I4763" s="49"/>
      <c r="J4763" s="49"/>
      <c r="K4763" s="33"/>
      <c r="L4763" s="20"/>
      <c r="M4763" s="10"/>
      <c r="N4763" s="10"/>
      <c r="O4763" s="10"/>
      <c r="P4763" s="10"/>
      <c r="Q4763" s="10"/>
      <c r="R4763" s="10"/>
      <c r="S4763" s="10"/>
      <c r="T4763" s="10"/>
      <c r="U4763" s="10"/>
      <c r="V4763" s="10"/>
      <c r="W4763" s="10"/>
      <c r="X4763" s="10"/>
      <c r="Y4763" s="10"/>
      <c r="Z4763" s="10"/>
      <c r="AA4763" s="10"/>
      <c r="AB4763" s="10"/>
      <c r="AC4763" s="10"/>
      <c r="AD4763" s="10"/>
      <c r="AE4763" s="10"/>
      <c r="AF4763" s="10"/>
      <c r="AG4763" s="10"/>
      <c r="AH4763" s="10"/>
    </row>
    <row r="4764" spans="1:34" ht="31.5" outlineLevel="2">
      <c r="A4764" s="21"/>
      <c r="B4764" s="12" t="str">
        <f>IFERROR(VLOOKUP(D4764,'[1]Перечень товаров'!$A$2:$I9525,2,0),"")</f>
        <v>п32</v>
      </c>
      <c r="C4764" s="12" t="str">
        <f>IFERROR(VLOOKUP(D4764,'[1]Перечень товаров'!$A$2:$I9525,3,0),"")</f>
        <v>Прочее</v>
      </c>
      <c r="D4764" s="22" t="s">
        <v>367</v>
      </c>
      <c r="E4764" s="102"/>
      <c r="F4764" s="102"/>
      <c r="G4764" s="48">
        <v>2</v>
      </c>
      <c r="H4764" s="48"/>
      <c r="I4764" s="49"/>
      <c r="J4764" s="49"/>
      <c r="K4764" s="33"/>
      <c r="L4764" s="20"/>
      <c r="M4764" s="10"/>
      <c r="N4764" s="10"/>
      <c r="O4764" s="10"/>
      <c r="P4764" s="10"/>
      <c r="Q4764" s="10"/>
      <c r="R4764" s="10"/>
      <c r="S4764" s="10"/>
      <c r="T4764" s="10"/>
      <c r="U4764" s="10"/>
      <c r="V4764" s="10"/>
      <c r="W4764" s="10"/>
      <c r="X4764" s="10"/>
      <c r="Y4764" s="10"/>
      <c r="Z4764" s="10"/>
      <c r="AA4764" s="10"/>
      <c r="AB4764" s="10"/>
      <c r="AC4764" s="10"/>
      <c r="AD4764" s="10"/>
      <c r="AE4764" s="10"/>
      <c r="AF4764" s="10"/>
      <c r="AG4764" s="10"/>
      <c r="AH4764" s="10"/>
    </row>
    <row r="4765" spans="1:34" outlineLevel="1">
      <c r="A4765" s="21"/>
      <c r="B4765" s="12" t="str">
        <f>IFERROR(VLOOKUP(D4765,'[1]Перечень товаров'!$A$2:$I9525,2,0),"")</f>
        <v/>
      </c>
      <c r="C4765" s="12" t="str">
        <f>IFERROR(VLOOKUP(D4765,'[1]Перечень товаров'!$A$2:$I9525,3,0),"")</f>
        <v/>
      </c>
      <c r="D4765" s="22" t="s">
        <v>11</v>
      </c>
      <c r="E4765" s="23">
        <v>7</v>
      </c>
      <c r="F4765" s="23"/>
      <c r="G4765" s="24"/>
      <c r="H4765" s="24"/>
      <c r="I4765" s="25"/>
      <c r="J4765" s="25"/>
      <c r="K4765" s="19"/>
      <c r="L4765" s="20"/>
      <c r="M4765" s="10"/>
      <c r="N4765" s="10"/>
      <c r="O4765" s="10"/>
      <c r="P4765" s="10"/>
      <c r="Q4765" s="10"/>
      <c r="R4765" s="10"/>
      <c r="S4765" s="10"/>
      <c r="T4765" s="10"/>
      <c r="U4765" s="10"/>
      <c r="V4765" s="10"/>
      <c r="W4765" s="10"/>
      <c r="X4765" s="10"/>
      <c r="Y4765" s="10"/>
      <c r="Z4765" s="10"/>
      <c r="AA4765" s="10"/>
      <c r="AB4765" s="10"/>
      <c r="AC4765" s="10"/>
      <c r="AD4765" s="10"/>
      <c r="AE4765" s="10"/>
      <c r="AF4765" s="10"/>
      <c r="AG4765" s="10"/>
      <c r="AH4765" s="10"/>
    </row>
    <row r="4766" spans="1:34" ht="12.75" outlineLevel="1">
      <c r="A4766" s="11"/>
      <c r="B4766" s="12" t="str">
        <f>IFERROR(VLOOKUP(D4766,'[1]Перечень товаров'!$A$2:$I9525,2,0),"")</f>
        <v/>
      </c>
      <c r="C4766" s="12" t="str">
        <f>IFERROR(VLOOKUP(D4766,'[1]Перечень товаров'!$A$2:$I9525,3,0),"")</f>
        <v/>
      </c>
      <c r="D4766" s="27" t="s">
        <v>738</v>
      </c>
      <c r="E4766" s="14">
        <v>61.4</v>
      </c>
      <c r="F4766" s="14"/>
      <c r="G4766" s="17"/>
      <c r="H4766" s="17"/>
      <c r="I4766" s="57"/>
      <c r="J4766" s="57"/>
      <c r="K4766" s="19"/>
      <c r="L4766" s="20"/>
      <c r="M4766" s="10"/>
      <c r="N4766" s="10"/>
      <c r="O4766" s="10"/>
      <c r="P4766" s="10"/>
      <c r="Q4766" s="10"/>
      <c r="R4766" s="10"/>
      <c r="S4766" s="10"/>
      <c r="T4766" s="10"/>
      <c r="U4766" s="10"/>
      <c r="V4766" s="10"/>
      <c r="W4766" s="10"/>
      <c r="X4766" s="10"/>
      <c r="Y4766" s="10"/>
      <c r="Z4766" s="10"/>
      <c r="AA4766" s="10"/>
      <c r="AB4766" s="10"/>
      <c r="AC4766" s="10"/>
      <c r="AD4766" s="10"/>
      <c r="AE4766" s="10"/>
      <c r="AF4766" s="10"/>
      <c r="AG4766" s="10"/>
      <c r="AH4766" s="10"/>
    </row>
    <row r="4767" spans="1:34" ht="30" outlineLevel="2">
      <c r="A4767" s="189"/>
      <c r="B4767" s="12" t="str">
        <f>IFERROR(VLOOKUP(D4767,'[1]Перечень товаров'!$A$2:$I9525,2,0),"")</f>
        <v/>
      </c>
      <c r="C4767" s="12" t="str">
        <f>IFERROR(VLOOKUP(D4767,'[1]Перечень товаров'!$A$2:$I9525,3,0),"")</f>
        <v/>
      </c>
      <c r="D4767" s="190" t="s">
        <v>740</v>
      </c>
      <c r="E4767" s="61"/>
      <c r="F4767" s="61"/>
      <c r="G4767" s="186"/>
      <c r="H4767" s="186"/>
      <c r="I4767" s="187"/>
      <c r="J4767" s="187"/>
      <c r="K4767" s="19"/>
      <c r="L4767" s="20"/>
      <c r="M4767" s="10"/>
      <c r="N4767" s="10"/>
      <c r="O4767" s="10"/>
      <c r="P4767" s="10"/>
      <c r="Q4767" s="10"/>
      <c r="R4767" s="10"/>
      <c r="S4767" s="10"/>
      <c r="T4767" s="10"/>
      <c r="U4767" s="10"/>
      <c r="V4767" s="10"/>
      <c r="W4767" s="10"/>
      <c r="X4767" s="10"/>
      <c r="Y4767" s="10"/>
      <c r="Z4767" s="10"/>
      <c r="AA4767" s="10"/>
      <c r="AB4767" s="10"/>
      <c r="AC4767" s="10"/>
      <c r="AD4767" s="10"/>
      <c r="AE4767" s="10"/>
      <c r="AF4767" s="10"/>
      <c r="AG4767" s="10"/>
      <c r="AH4767" s="10"/>
    </row>
    <row r="4768" spans="1:34" ht="30" outlineLevel="2">
      <c r="A4768" s="179"/>
      <c r="B4768" s="12" t="str">
        <f>IFERROR(VLOOKUP(D4768,'[1]Перечень товаров'!$A$2:$I9525,2,0),"")</f>
        <v/>
      </c>
      <c r="C4768" s="12" t="str">
        <f>IFERROR(VLOOKUP(D4768,'[1]Перечень товаров'!$A$2:$I9525,3,0),"")</f>
        <v/>
      </c>
      <c r="D4768" s="180" t="s">
        <v>668</v>
      </c>
      <c r="E4768" s="61"/>
      <c r="F4768" s="61"/>
      <c r="G4768" s="186"/>
      <c r="H4768" s="186"/>
      <c r="I4768" s="187"/>
      <c r="J4768" s="187"/>
      <c r="K4768" s="19"/>
      <c r="L4768" s="20"/>
      <c r="M4768" s="10"/>
      <c r="N4768" s="10"/>
      <c r="O4768" s="10"/>
      <c r="P4768" s="10"/>
      <c r="Q4768" s="10"/>
      <c r="R4768" s="10"/>
      <c r="S4768" s="10"/>
      <c r="T4768" s="10"/>
      <c r="U4768" s="10"/>
      <c r="V4768" s="10"/>
      <c r="W4768" s="10"/>
      <c r="X4768" s="10"/>
      <c r="Y4768" s="10"/>
      <c r="Z4768" s="10"/>
      <c r="AA4768" s="10"/>
      <c r="AB4768" s="10"/>
      <c r="AC4768" s="10"/>
      <c r="AD4768" s="10"/>
      <c r="AE4768" s="10"/>
      <c r="AF4768" s="10"/>
      <c r="AG4768" s="10"/>
      <c r="AH4768" s="10"/>
    </row>
    <row r="4769" spans="1:34" outlineLevel="2">
      <c r="A4769" s="191"/>
      <c r="B4769" s="12" t="str">
        <f>IFERROR(VLOOKUP(D4769,'[1]Перечень товаров'!$A$2:$I9525,2,0),"")</f>
        <v>т9</v>
      </c>
      <c r="C4769" s="12" t="str">
        <f>IFERROR(VLOOKUP(D4769,'[1]Перечень товаров'!$A$2:$I9525,3,0),"")</f>
        <v>Техника</v>
      </c>
      <c r="D4769" s="192" t="s">
        <v>36</v>
      </c>
      <c r="E4769" s="23"/>
      <c r="F4769" s="23"/>
      <c r="G4769" s="193">
        <v>1</v>
      </c>
      <c r="H4769" s="193"/>
      <c r="I4769" s="194"/>
      <c r="J4769" s="194"/>
      <c r="K4769" s="19"/>
      <c r="L4769" s="20"/>
      <c r="M4769" s="10"/>
      <c r="N4769" s="10"/>
      <c r="O4769" s="10"/>
      <c r="P4769" s="10"/>
      <c r="Q4769" s="10"/>
      <c r="R4769" s="10"/>
      <c r="S4769" s="10"/>
      <c r="T4769" s="10"/>
      <c r="U4769" s="10"/>
      <c r="V4769" s="10"/>
      <c r="W4769" s="10"/>
      <c r="X4769" s="10"/>
      <c r="Y4769" s="10"/>
      <c r="Z4769" s="10"/>
      <c r="AA4769" s="10"/>
      <c r="AB4769" s="10"/>
      <c r="AC4769" s="10"/>
      <c r="AD4769" s="10"/>
      <c r="AE4769" s="10"/>
      <c r="AF4769" s="10"/>
      <c r="AG4769" s="10"/>
      <c r="AH4769" s="10"/>
    </row>
    <row r="4770" spans="1:34" outlineLevel="2">
      <c r="A4770" s="191"/>
      <c r="B4770" s="12" t="str">
        <f>IFERROR(VLOOKUP(D4770,'[1]Перечень товаров'!$A$2:$I9525,2,0),"")</f>
        <v>т234</v>
      </c>
      <c r="C4770" s="12" t="str">
        <f>IFERROR(VLOOKUP(D4770,'[1]Перечень товаров'!$A$2:$I9525,3,0),"")</f>
        <v>Техника</v>
      </c>
      <c r="D4770" s="192" t="s">
        <v>741</v>
      </c>
      <c r="E4770" s="23"/>
      <c r="F4770" s="23"/>
      <c r="G4770" s="193">
        <v>1</v>
      </c>
      <c r="H4770" s="193"/>
      <c r="I4770" s="194"/>
      <c r="J4770" s="194"/>
      <c r="K4770" s="19"/>
      <c r="L4770" s="20"/>
      <c r="M4770" s="10"/>
      <c r="N4770" s="10"/>
      <c r="O4770" s="10"/>
      <c r="P4770" s="10"/>
      <c r="Q4770" s="10"/>
      <c r="R4770" s="10"/>
      <c r="S4770" s="10"/>
      <c r="T4770" s="10"/>
      <c r="U4770" s="10"/>
      <c r="V4770" s="10"/>
      <c r="W4770" s="10"/>
      <c r="X4770" s="10"/>
      <c r="Y4770" s="10"/>
      <c r="Z4770" s="10"/>
      <c r="AA4770" s="10"/>
      <c r="AB4770" s="10"/>
      <c r="AC4770" s="10"/>
      <c r="AD4770" s="10"/>
      <c r="AE4770" s="10"/>
      <c r="AF4770" s="10"/>
      <c r="AG4770" s="10"/>
      <c r="AH4770" s="10"/>
    </row>
    <row r="4771" spans="1:34" outlineLevel="2">
      <c r="A4771" s="191"/>
      <c r="B4771" s="12" t="str">
        <f>IFERROR(VLOOKUP(D4771,'[1]Перечень товаров'!$A$2:$I9525,2,0),"")</f>
        <v>т1</v>
      </c>
      <c r="C4771" s="12" t="str">
        <f>IFERROR(VLOOKUP(D4771,'[1]Перечень товаров'!$A$2:$I9525,3,0),"")</f>
        <v xml:space="preserve">Техника </v>
      </c>
      <c r="D4771" s="22" t="s">
        <v>28</v>
      </c>
      <c r="E4771" s="23"/>
      <c r="F4771" s="23"/>
      <c r="G4771" s="193">
        <v>1</v>
      </c>
      <c r="H4771" s="193"/>
      <c r="I4771" s="194"/>
      <c r="J4771" s="194"/>
      <c r="K4771" s="19"/>
      <c r="L4771" s="20"/>
      <c r="M4771" s="10"/>
      <c r="N4771" s="10"/>
      <c r="O4771" s="10"/>
      <c r="P4771" s="10"/>
      <c r="Q4771" s="10"/>
      <c r="R4771" s="10"/>
      <c r="S4771" s="10"/>
      <c r="T4771" s="10"/>
      <c r="U4771" s="10"/>
      <c r="V4771" s="10"/>
      <c r="W4771" s="10"/>
      <c r="X4771" s="10"/>
      <c r="Y4771" s="10"/>
      <c r="Z4771" s="10"/>
      <c r="AA4771" s="10"/>
      <c r="AB4771" s="10"/>
      <c r="AC4771" s="10"/>
      <c r="AD4771" s="10"/>
      <c r="AE4771" s="10"/>
      <c r="AF4771" s="10"/>
      <c r="AG4771" s="10"/>
      <c r="AH4771" s="10"/>
    </row>
    <row r="4772" spans="1:34" outlineLevel="2">
      <c r="A4772" s="191"/>
      <c r="B4772" s="12" t="str">
        <f>IFERROR(VLOOKUP(D4772,'[1]Перечень товаров'!$A$2:$I9525,2,0),"")</f>
        <v>т235</v>
      </c>
      <c r="C4772" s="12" t="str">
        <f>IFERROR(VLOOKUP(D4772,'[1]Перечень товаров'!$A$2:$I9525,3,0),"")</f>
        <v>Техника</v>
      </c>
      <c r="D4772" s="192" t="s">
        <v>742</v>
      </c>
      <c r="E4772" s="23"/>
      <c r="F4772" s="23"/>
      <c r="G4772" s="193">
        <v>1</v>
      </c>
      <c r="H4772" s="193"/>
      <c r="I4772" s="194"/>
      <c r="J4772" s="194"/>
      <c r="K4772" s="19"/>
      <c r="L4772" s="20"/>
      <c r="M4772" s="10"/>
      <c r="N4772" s="10"/>
      <c r="O4772" s="10"/>
      <c r="P4772" s="10"/>
      <c r="Q4772" s="10"/>
      <c r="R4772" s="10"/>
      <c r="S4772" s="10"/>
      <c r="T4772" s="10"/>
      <c r="U4772" s="10"/>
      <c r="V4772" s="10"/>
      <c r="W4772" s="10"/>
      <c r="X4772" s="10"/>
      <c r="Y4772" s="10"/>
      <c r="Z4772" s="10"/>
      <c r="AA4772" s="10"/>
      <c r="AB4772" s="10"/>
      <c r="AC4772" s="10"/>
      <c r="AD4772" s="10"/>
      <c r="AE4772" s="10"/>
      <c r="AF4772" s="10"/>
      <c r="AG4772" s="10"/>
      <c r="AH4772" s="10"/>
    </row>
    <row r="4773" spans="1:34" outlineLevel="2">
      <c r="A4773" s="191"/>
      <c r="B4773" s="12" t="str">
        <f>IFERROR(VLOOKUP(D4773,'[1]Перечень товаров'!$A$2:$I9525,2,0),"")</f>
        <v>т8</v>
      </c>
      <c r="C4773" s="12" t="str">
        <f>IFERROR(VLOOKUP(D4773,'[1]Перечень товаров'!$A$2:$I9525,3,0),"")</f>
        <v xml:space="preserve">Техника </v>
      </c>
      <c r="D4773" s="192" t="s">
        <v>35</v>
      </c>
      <c r="E4773" s="23"/>
      <c r="F4773" s="23"/>
      <c r="G4773" s="193">
        <v>1</v>
      </c>
      <c r="H4773" s="193"/>
      <c r="I4773" s="194"/>
      <c r="J4773" s="194"/>
      <c r="K4773" s="19"/>
      <c r="L4773" s="20"/>
      <c r="M4773" s="10"/>
      <c r="N4773" s="10"/>
      <c r="O4773" s="10"/>
      <c r="P4773" s="10"/>
      <c r="Q4773" s="10"/>
      <c r="R4773" s="10"/>
      <c r="S4773" s="10"/>
      <c r="T4773" s="10"/>
      <c r="U4773" s="10"/>
      <c r="V4773" s="10"/>
      <c r="W4773" s="10"/>
      <c r="X4773" s="10"/>
      <c r="Y4773" s="10"/>
      <c r="Z4773" s="10"/>
      <c r="AA4773" s="10"/>
      <c r="AB4773" s="10"/>
      <c r="AC4773" s="10"/>
      <c r="AD4773" s="10"/>
      <c r="AE4773" s="10"/>
      <c r="AF4773" s="10"/>
      <c r="AG4773" s="10"/>
      <c r="AH4773" s="10"/>
    </row>
    <row r="4774" spans="1:34" outlineLevel="2">
      <c r="A4774" s="191"/>
      <c r="B4774" s="12" t="str">
        <f>IFERROR(VLOOKUP(D4774,'[1]Перечень товаров'!$A$2:$I9525,2,0),"")</f>
        <v>т236</v>
      </c>
      <c r="C4774" s="12" t="str">
        <f>IFERROR(VLOOKUP(D4774,'[1]Перечень товаров'!$A$2:$I9525,3,0),"")</f>
        <v>Техника</v>
      </c>
      <c r="D4774" s="192" t="s">
        <v>743</v>
      </c>
      <c r="E4774" s="23"/>
      <c r="F4774" s="23"/>
      <c r="G4774" s="193">
        <v>1</v>
      </c>
      <c r="H4774" s="193"/>
      <c r="I4774" s="194"/>
      <c r="J4774" s="194"/>
      <c r="K4774" s="19"/>
      <c r="L4774" s="20"/>
      <c r="M4774" s="10"/>
      <c r="N4774" s="10"/>
      <c r="O4774" s="10"/>
      <c r="P4774" s="10"/>
      <c r="Q4774" s="10"/>
      <c r="R4774" s="10"/>
      <c r="S4774" s="10"/>
      <c r="T4774" s="10"/>
      <c r="U4774" s="10"/>
      <c r="V4774" s="10"/>
      <c r="W4774" s="10"/>
      <c r="X4774" s="10"/>
      <c r="Y4774" s="10"/>
      <c r="Z4774" s="10"/>
      <c r="AA4774" s="10"/>
      <c r="AB4774" s="10"/>
      <c r="AC4774" s="10"/>
      <c r="AD4774" s="10"/>
      <c r="AE4774" s="10"/>
      <c r="AF4774" s="10"/>
      <c r="AG4774" s="10"/>
      <c r="AH4774" s="10"/>
    </row>
    <row r="4775" spans="1:34" outlineLevel="2">
      <c r="A4775" s="191"/>
      <c r="B4775" s="12" t="str">
        <f>IFERROR(VLOOKUP(D4775,'[1]Перечень товаров'!$A$2:$I9525,2,0),"")</f>
        <v>т237</v>
      </c>
      <c r="C4775" s="12" t="str">
        <f>IFERROR(VLOOKUP(D4775,'[1]Перечень товаров'!$A$2:$I9525,3,0),"")</f>
        <v>Техника</v>
      </c>
      <c r="D4775" s="192" t="s">
        <v>744</v>
      </c>
      <c r="E4775" s="23"/>
      <c r="F4775" s="23"/>
      <c r="G4775" s="193">
        <v>1</v>
      </c>
      <c r="H4775" s="193"/>
      <c r="I4775" s="194"/>
      <c r="J4775" s="194"/>
      <c r="K4775" s="19"/>
      <c r="L4775" s="20"/>
      <c r="M4775" s="10"/>
      <c r="N4775" s="10"/>
      <c r="O4775" s="10"/>
      <c r="P4775" s="10"/>
      <c r="Q4775" s="10"/>
      <c r="R4775" s="10"/>
      <c r="S4775" s="10"/>
      <c r="T4775" s="10"/>
      <c r="U4775" s="10"/>
      <c r="V4775" s="10"/>
      <c r="W4775" s="10"/>
      <c r="X4775" s="10"/>
      <c r="Y4775" s="10"/>
      <c r="Z4775" s="10"/>
      <c r="AA4775" s="10"/>
      <c r="AB4775" s="10"/>
      <c r="AC4775" s="10"/>
      <c r="AD4775" s="10"/>
      <c r="AE4775" s="10"/>
      <c r="AF4775" s="10"/>
      <c r="AG4775" s="10"/>
      <c r="AH4775" s="10"/>
    </row>
    <row r="4776" spans="1:34" ht="31.5" outlineLevel="2">
      <c r="A4776" s="191"/>
      <c r="B4776" s="12" t="str">
        <f>IFERROR(VLOOKUP(D4776,'[1]Перечень товаров'!$A$2:$I9525,2,0),"")</f>
        <v>т238</v>
      </c>
      <c r="C4776" s="12" t="str">
        <f>IFERROR(VLOOKUP(D4776,'[1]Перечень товаров'!$A$2:$I9525,3,0),"")</f>
        <v>Техника</v>
      </c>
      <c r="D4776" s="192" t="s">
        <v>745</v>
      </c>
      <c r="E4776" s="23"/>
      <c r="F4776" s="23"/>
      <c r="G4776" s="193">
        <v>1</v>
      </c>
      <c r="H4776" s="193"/>
      <c r="I4776" s="194"/>
      <c r="J4776" s="194"/>
      <c r="K4776" s="19"/>
      <c r="L4776" s="20"/>
      <c r="M4776" s="10"/>
      <c r="N4776" s="10"/>
      <c r="O4776" s="10"/>
      <c r="P4776" s="10"/>
      <c r="Q4776" s="10"/>
      <c r="R4776" s="10"/>
      <c r="S4776" s="10"/>
      <c r="T4776" s="10"/>
      <c r="U4776" s="10"/>
      <c r="V4776" s="10"/>
      <c r="W4776" s="10"/>
      <c r="X4776" s="10"/>
      <c r="Y4776" s="10"/>
      <c r="Z4776" s="10"/>
      <c r="AA4776" s="10"/>
      <c r="AB4776" s="10"/>
      <c r="AC4776" s="10"/>
      <c r="AD4776" s="10"/>
      <c r="AE4776" s="10"/>
      <c r="AF4776" s="10"/>
      <c r="AG4776" s="10"/>
      <c r="AH4776" s="10"/>
    </row>
    <row r="4777" spans="1:34" ht="15" outlineLevel="2">
      <c r="A4777" s="181"/>
      <c r="B4777" s="12" t="str">
        <f>IFERROR(VLOOKUP(D4777,'[1]Перечень товаров'!$A$2:$I9525,2,0),"")</f>
        <v/>
      </c>
      <c r="C4777" s="12" t="str">
        <f>IFERROR(VLOOKUP(D4777,'[1]Перечень товаров'!$A$2:$I9525,3,0),"")</f>
        <v/>
      </c>
      <c r="D4777" s="182" t="s">
        <v>19</v>
      </c>
      <c r="E4777" s="45"/>
      <c r="F4777" s="45"/>
      <c r="G4777" s="195"/>
      <c r="H4777" s="195"/>
      <c r="I4777" s="196"/>
      <c r="J4777" s="196"/>
      <c r="K4777" s="19"/>
      <c r="L4777" s="20"/>
      <c r="M4777" s="10"/>
      <c r="N4777" s="10"/>
      <c r="O4777" s="10"/>
      <c r="P4777" s="10"/>
      <c r="Q4777" s="10"/>
      <c r="R4777" s="10"/>
      <c r="S4777" s="10"/>
      <c r="T4777" s="10"/>
      <c r="U4777" s="10"/>
      <c r="V4777" s="10"/>
      <c r="W4777" s="10"/>
      <c r="X4777" s="10"/>
      <c r="Y4777" s="10"/>
      <c r="Z4777" s="10"/>
      <c r="AA4777" s="10"/>
      <c r="AB4777" s="10"/>
      <c r="AC4777" s="10"/>
      <c r="AD4777" s="10"/>
      <c r="AE4777" s="10"/>
      <c r="AF4777" s="10"/>
      <c r="AG4777" s="10"/>
      <c r="AH4777" s="10"/>
    </row>
    <row r="4778" spans="1:34" ht="31.5" outlineLevel="2">
      <c r="A4778" s="191"/>
      <c r="B4778" s="12" t="str">
        <f>IFERROR(VLOOKUP(D4778,'[1]Перечень товаров'!$A$2:$I9525,2,0),"")</f>
        <v>м205</v>
      </c>
      <c r="C4778" s="12" t="str">
        <f>IFERROR(VLOOKUP(D4778,'[1]Перечень товаров'!$A$2:$I9525,3,0),"")</f>
        <v>Мебель</v>
      </c>
      <c r="D4778" s="192" t="s">
        <v>20</v>
      </c>
      <c r="E4778" s="23"/>
      <c r="F4778" s="23"/>
      <c r="G4778" s="193">
        <v>1</v>
      </c>
      <c r="H4778" s="193"/>
      <c r="I4778" s="194"/>
      <c r="J4778" s="194"/>
      <c r="K4778" s="19"/>
      <c r="L4778" s="20"/>
      <c r="M4778" s="10"/>
      <c r="N4778" s="10"/>
      <c r="O4778" s="10"/>
      <c r="P4778" s="10"/>
      <c r="Q4778" s="10"/>
      <c r="R4778" s="10"/>
      <c r="S4778" s="10"/>
      <c r="T4778" s="10"/>
      <c r="U4778" s="10"/>
      <c r="V4778" s="10"/>
      <c r="W4778" s="10"/>
      <c r="X4778" s="10"/>
      <c r="Y4778" s="10"/>
      <c r="Z4778" s="10"/>
      <c r="AA4778" s="10"/>
      <c r="AB4778" s="10"/>
      <c r="AC4778" s="10"/>
      <c r="AD4778" s="10"/>
      <c r="AE4778" s="10"/>
      <c r="AF4778" s="10"/>
      <c r="AG4778" s="10"/>
      <c r="AH4778" s="10"/>
    </row>
    <row r="4779" spans="1:34" ht="31.5" outlineLevel="2">
      <c r="A4779" s="191"/>
      <c r="B4779" s="12" t="str">
        <f>IFERROR(VLOOKUP(D4779,'[1]Перечень товаров'!$A$2:$I9525,2,0),"")</f>
        <v>м206</v>
      </c>
      <c r="C4779" s="12" t="str">
        <f>IFERROR(VLOOKUP(D4779,'[1]Перечень товаров'!$A$2:$I9525,3,0),"")</f>
        <v>Мебель</v>
      </c>
      <c r="D4779" s="192" t="s">
        <v>746</v>
      </c>
      <c r="E4779" s="23"/>
      <c r="F4779" s="23"/>
      <c r="G4779" s="193">
        <v>1</v>
      </c>
      <c r="H4779" s="193"/>
      <c r="I4779" s="194"/>
      <c r="J4779" s="194"/>
      <c r="K4779" s="19"/>
      <c r="L4779" s="20"/>
      <c r="M4779" s="10"/>
      <c r="N4779" s="10"/>
      <c r="O4779" s="10"/>
      <c r="P4779" s="10"/>
      <c r="Q4779" s="10"/>
      <c r="R4779" s="10"/>
      <c r="S4779" s="10"/>
      <c r="T4779" s="10"/>
      <c r="U4779" s="10"/>
      <c r="V4779" s="10"/>
      <c r="W4779" s="10"/>
      <c r="X4779" s="10"/>
      <c r="Y4779" s="10"/>
      <c r="Z4779" s="10"/>
      <c r="AA4779" s="10"/>
      <c r="AB4779" s="10"/>
      <c r="AC4779" s="10"/>
      <c r="AD4779" s="10"/>
      <c r="AE4779" s="10"/>
      <c r="AF4779" s="10"/>
      <c r="AG4779" s="10"/>
      <c r="AH4779" s="10"/>
    </row>
    <row r="4780" spans="1:34" ht="31.5" outlineLevel="2">
      <c r="A4780" s="191"/>
      <c r="B4780" s="12" t="str">
        <f>IFERROR(VLOOKUP(D4780,'[1]Перечень товаров'!$A$2:$I9525,2,0),"")</f>
        <v>м207</v>
      </c>
      <c r="C4780" s="12" t="str">
        <f>IFERROR(VLOOKUP(D4780,'[1]Перечень товаров'!$A$2:$I9525,3,0),"")</f>
        <v>Мебель</v>
      </c>
      <c r="D4780" s="192" t="s">
        <v>747</v>
      </c>
      <c r="E4780" s="23"/>
      <c r="F4780" s="23"/>
      <c r="G4780" s="193">
        <v>13</v>
      </c>
      <c r="H4780" s="193"/>
      <c r="I4780" s="194"/>
      <c r="J4780" s="194"/>
      <c r="K4780" s="19"/>
      <c r="L4780" s="20"/>
      <c r="M4780" s="10"/>
      <c r="N4780" s="10"/>
      <c r="O4780" s="10"/>
      <c r="P4780" s="10"/>
      <c r="Q4780" s="10"/>
      <c r="R4780" s="10"/>
      <c r="S4780" s="10"/>
      <c r="T4780" s="10"/>
      <c r="U4780" s="10"/>
      <c r="V4780" s="10"/>
      <c r="W4780" s="10"/>
      <c r="X4780" s="10"/>
      <c r="Y4780" s="10"/>
      <c r="Z4780" s="10"/>
      <c r="AA4780" s="10"/>
      <c r="AB4780" s="10"/>
      <c r="AC4780" s="10"/>
      <c r="AD4780" s="10"/>
      <c r="AE4780" s="10"/>
      <c r="AF4780" s="10"/>
      <c r="AG4780" s="10"/>
      <c r="AH4780" s="10"/>
    </row>
    <row r="4781" spans="1:34" outlineLevel="2">
      <c r="A4781" s="191"/>
      <c r="B4781" s="12" t="str">
        <f>IFERROR(VLOOKUP(D4781,'[1]Перечень товаров'!$A$2:$I9525,2,0),"")</f>
        <v>м208</v>
      </c>
      <c r="C4781" s="12" t="str">
        <f>IFERROR(VLOOKUP(D4781,'[1]Перечень товаров'!$A$2:$I9525,3,0),"")</f>
        <v>Мебель</v>
      </c>
      <c r="D4781" s="192" t="s">
        <v>748</v>
      </c>
      <c r="E4781" s="23"/>
      <c r="F4781" s="23"/>
      <c r="G4781" s="193">
        <v>26</v>
      </c>
      <c r="H4781" s="193"/>
      <c r="I4781" s="194"/>
      <c r="J4781" s="194"/>
      <c r="K4781" s="19"/>
      <c r="L4781" s="20"/>
      <c r="M4781" s="10"/>
      <c r="N4781" s="10"/>
      <c r="O4781" s="10"/>
      <c r="P4781" s="10"/>
      <c r="Q4781" s="10"/>
      <c r="R4781" s="10"/>
      <c r="S4781" s="10"/>
      <c r="T4781" s="10"/>
      <c r="U4781" s="10"/>
      <c r="V4781" s="10"/>
      <c r="W4781" s="10"/>
      <c r="X4781" s="10"/>
      <c r="Y4781" s="10"/>
      <c r="Z4781" s="10"/>
      <c r="AA4781" s="10"/>
      <c r="AB4781" s="10"/>
      <c r="AC4781" s="10"/>
      <c r="AD4781" s="10"/>
      <c r="AE4781" s="10"/>
      <c r="AF4781" s="10"/>
      <c r="AG4781" s="10"/>
      <c r="AH4781" s="10"/>
    </row>
    <row r="4782" spans="1:34" outlineLevel="2">
      <c r="A4782" s="191"/>
      <c r="B4782" s="12" t="str">
        <f>IFERROR(VLOOKUP(D4782,'[1]Перечень товаров'!$A$2:$I9525,2,0),"")</f>
        <v>м209</v>
      </c>
      <c r="C4782" s="12" t="str">
        <f>IFERROR(VLOOKUP(D4782,'[1]Перечень товаров'!$A$2:$I9525,3,0),"")</f>
        <v>Мебель</v>
      </c>
      <c r="D4782" s="192" t="s">
        <v>749</v>
      </c>
      <c r="E4782" s="23"/>
      <c r="F4782" s="23"/>
      <c r="G4782" s="193">
        <v>1</v>
      </c>
      <c r="H4782" s="193"/>
      <c r="I4782" s="194"/>
      <c r="J4782" s="194"/>
      <c r="K4782" s="19"/>
      <c r="L4782" s="20"/>
      <c r="M4782" s="10"/>
      <c r="N4782" s="10"/>
      <c r="O4782" s="10"/>
      <c r="P4782" s="10"/>
      <c r="Q4782" s="10"/>
      <c r="R4782" s="10"/>
      <c r="S4782" s="10"/>
      <c r="T4782" s="10"/>
      <c r="U4782" s="10"/>
      <c r="V4782" s="10"/>
      <c r="W4782" s="10"/>
      <c r="X4782" s="10"/>
      <c r="Y4782" s="10"/>
      <c r="Z4782" s="10"/>
      <c r="AA4782" s="10"/>
      <c r="AB4782" s="10"/>
      <c r="AC4782" s="10"/>
      <c r="AD4782" s="10"/>
      <c r="AE4782" s="10"/>
      <c r="AF4782" s="10"/>
      <c r="AG4782" s="10"/>
      <c r="AH4782" s="10"/>
    </row>
    <row r="4783" spans="1:34" ht="47.25" outlineLevel="2">
      <c r="A4783" s="191"/>
      <c r="B4783" s="12" t="str">
        <f>IFERROR(VLOOKUP(D4783,'[1]Перечень товаров'!$A$2:$I9525,2,0),"")</f>
        <v>м210</v>
      </c>
      <c r="C4783" s="12" t="str">
        <f>IFERROR(VLOOKUP(D4783,'[1]Перечень товаров'!$A$2:$I9525,3,0),"")</f>
        <v>Мебель</v>
      </c>
      <c r="D4783" s="192" t="s">
        <v>750</v>
      </c>
      <c r="E4783" s="23"/>
      <c r="F4783" s="23"/>
      <c r="G4783" s="193">
        <v>2</v>
      </c>
      <c r="H4783" s="193"/>
      <c r="I4783" s="194"/>
      <c r="J4783" s="194"/>
      <c r="K4783" s="19"/>
      <c r="L4783" s="20"/>
      <c r="M4783" s="10"/>
      <c r="N4783" s="10"/>
      <c r="O4783" s="10"/>
      <c r="P4783" s="10"/>
      <c r="Q4783" s="10"/>
      <c r="R4783" s="10"/>
      <c r="S4783" s="10"/>
      <c r="T4783" s="10"/>
      <c r="U4783" s="10"/>
      <c r="V4783" s="10"/>
      <c r="W4783" s="10"/>
      <c r="X4783" s="10"/>
      <c r="Y4783" s="10"/>
      <c r="Z4783" s="10"/>
      <c r="AA4783" s="10"/>
      <c r="AB4783" s="10"/>
      <c r="AC4783" s="10"/>
      <c r="AD4783" s="10"/>
      <c r="AE4783" s="10"/>
      <c r="AF4783" s="10"/>
      <c r="AG4783" s="10"/>
      <c r="AH4783" s="10"/>
    </row>
    <row r="4784" spans="1:34" ht="47.25" outlineLevel="2">
      <c r="A4784" s="191"/>
      <c r="B4784" s="12" t="str">
        <f>IFERROR(VLOOKUP(D4784,'[1]Перечень товаров'!$A$2:$I9525,2,0),"")</f>
        <v>п91</v>
      </c>
      <c r="C4784" s="12" t="str">
        <f>IFERROR(VLOOKUP(D4784,'[1]Перечень товаров'!$A$2:$I9525,3,0),"")</f>
        <v>Прочее</v>
      </c>
      <c r="D4784" s="192" t="s">
        <v>751</v>
      </c>
      <c r="E4784" s="23"/>
      <c r="F4784" s="23"/>
      <c r="G4784" s="193">
        <v>1</v>
      </c>
      <c r="H4784" s="193"/>
      <c r="I4784" s="194"/>
      <c r="J4784" s="194"/>
      <c r="K4784" s="19"/>
      <c r="L4784" s="20"/>
      <c r="M4784" s="10"/>
      <c r="N4784" s="10"/>
      <c r="O4784" s="10"/>
      <c r="P4784" s="10"/>
      <c r="Q4784" s="10"/>
      <c r="R4784" s="10"/>
      <c r="S4784" s="10"/>
      <c r="T4784" s="10"/>
      <c r="U4784" s="10"/>
      <c r="V4784" s="10"/>
      <c r="W4784" s="10"/>
      <c r="X4784" s="10"/>
      <c r="Y4784" s="10"/>
      <c r="Z4784" s="10"/>
      <c r="AA4784" s="10"/>
      <c r="AB4784" s="10"/>
      <c r="AC4784" s="10"/>
      <c r="AD4784" s="10"/>
      <c r="AE4784" s="10"/>
      <c r="AF4784" s="10"/>
      <c r="AG4784" s="10"/>
      <c r="AH4784" s="10"/>
    </row>
    <row r="4785" spans="1:34" ht="15" outlineLevel="2">
      <c r="A4785" s="179"/>
      <c r="B4785" s="12" t="str">
        <f>IFERROR(VLOOKUP(D4785,'[1]Перечень товаров'!$A$2:$I9525,2,0),"")</f>
        <v/>
      </c>
      <c r="C4785" s="12" t="str">
        <f>IFERROR(VLOOKUP(D4785,'[1]Перечень товаров'!$A$2:$I9525,3,0),"")</f>
        <v/>
      </c>
      <c r="D4785" s="180" t="s">
        <v>752</v>
      </c>
      <c r="E4785" s="61"/>
      <c r="F4785" s="61"/>
      <c r="G4785" s="195"/>
      <c r="H4785" s="195"/>
      <c r="I4785" s="196"/>
      <c r="J4785" s="196"/>
      <c r="K4785" s="19"/>
      <c r="L4785" s="20"/>
      <c r="M4785" s="10"/>
      <c r="N4785" s="10"/>
      <c r="O4785" s="10"/>
      <c r="P4785" s="10"/>
      <c r="Q4785" s="10"/>
      <c r="R4785" s="10"/>
      <c r="S4785" s="10"/>
      <c r="T4785" s="10"/>
      <c r="U4785" s="10"/>
      <c r="V4785" s="10"/>
      <c r="W4785" s="10"/>
      <c r="X4785" s="10"/>
      <c r="Y4785" s="10"/>
      <c r="Z4785" s="10"/>
      <c r="AA4785" s="10"/>
      <c r="AB4785" s="10"/>
      <c r="AC4785" s="10"/>
      <c r="AD4785" s="10"/>
      <c r="AE4785" s="10"/>
      <c r="AF4785" s="10"/>
      <c r="AG4785" s="10"/>
      <c r="AH4785" s="10"/>
    </row>
    <row r="4786" spans="1:34" ht="15" outlineLevel="2">
      <c r="A4786" s="179"/>
      <c r="B4786" s="12" t="str">
        <f>IFERROR(VLOOKUP(D4786,'[1]Перечень товаров'!$A$2:$I9525,2,0),"")</f>
        <v/>
      </c>
      <c r="C4786" s="12" t="str">
        <f>IFERROR(VLOOKUP(D4786,'[1]Перечень товаров'!$A$2:$I9525,3,0),"")</f>
        <v/>
      </c>
      <c r="D4786" s="180" t="s">
        <v>753</v>
      </c>
      <c r="E4786" s="61"/>
      <c r="F4786" s="61"/>
      <c r="G4786" s="195"/>
      <c r="H4786" s="195"/>
      <c r="I4786" s="196"/>
      <c r="J4786" s="196"/>
      <c r="K4786" s="19"/>
      <c r="L4786" s="20"/>
      <c r="M4786" s="10"/>
      <c r="N4786" s="10"/>
      <c r="O4786" s="10"/>
      <c r="P4786" s="10"/>
      <c r="Q4786" s="10"/>
      <c r="R4786" s="10"/>
      <c r="S4786" s="10"/>
      <c r="T4786" s="10"/>
      <c r="U4786" s="10"/>
      <c r="V4786" s="10"/>
      <c r="W4786" s="10"/>
      <c r="X4786" s="10"/>
      <c r="Y4786" s="10"/>
      <c r="Z4786" s="10"/>
      <c r="AA4786" s="10"/>
      <c r="AB4786" s="10"/>
      <c r="AC4786" s="10"/>
      <c r="AD4786" s="10"/>
      <c r="AE4786" s="10"/>
      <c r="AF4786" s="10"/>
      <c r="AG4786" s="10"/>
      <c r="AH4786" s="10"/>
    </row>
    <row r="4787" spans="1:34" ht="31.5" outlineLevel="2">
      <c r="A4787" s="191"/>
      <c r="B4787" s="12" t="str">
        <f>IFERROR(VLOOKUP(D4787,'[1]Перечень товаров'!$A$2:$I9525,2,0),"")</f>
        <v>д13</v>
      </c>
      <c r="C4787" s="12" t="str">
        <f>IFERROR(VLOOKUP(D4787,'[1]Перечень товаров'!$A$2:$I9525,3,0),"")</f>
        <v>Дидактика</v>
      </c>
      <c r="D4787" s="192" t="s">
        <v>754</v>
      </c>
      <c r="E4787" s="23"/>
      <c r="F4787" s="23"/>
      <c r="G4787" s="193">
        <v>1</v>
      </c>
      <c r="H4787" s="193"/>
      <c r="I4787" s="194"/>
      <c r="J4787" s="194"/>
      <c r="K4787" s="19"/>
      <c r="L4787" s="20"/>
      <c r="M4787" s="10"/>
      <c r="N4787" s="10"/>
      <c r="O4787" s="10"/>
      <c r="P4787" s="10"/>
      <c r="Q4787" s="10"/>
      <c r="R4787" s="10"/>
      <c r="S4787" s="10"/>
      <c r="T4787" s="10"/>
      <c r="U4787" s="10"/>
      <c r="V4787" s="10"/>
      <c r="W4787" s="10"/>
      <c r="X4787" s="10"/>
      <c r="Y4787" s="10"/>
      <c r="Z4787" s="10"/>
      <c r="AA4787" s="10"/>
      <c r="AB4787" s="10"/>
      <c r="AC4787" s="10"/>
      <c r="AD4787" s="10"/>
      <c r="AE4787" s="10"/>
      <c r="AF4787" s="10"/>
      <c r="AG4787" s="10"/>
      <c r="AH4787" s="10"/>
    </row>
    <row r="4788" spans="1:34" ht="47.25" outlineLevel="2">
      <c r="A4788" s="191"/>
      <c r="B4788" s="12" t="str">
        <f>IFERROR(VLOOKUP(D4788,'[1]Перечень товаров'!$A$2:$I9525,2,0),"")</f>
        <v>д14</v>
      </c>
      <c r="C4788" s="12" t="str">
        <f>IFERROR(VLOOKUP(D4788,'[1]Перечень товаров'!$A$2:$I9525,3,0),"")</f>
        <v>Дидактика</v>
      </c>
      <c r="D4788" s="192" t="s">
        <v>755</v>
      </c>
      <c r="E4788" s="23"/>
      <c r="F4788" s="23"/>
      <c r="G4788" s="193">
        <v>1</v>
      </c>
      <c r="H4788" s="193"/>
      <c r="I4788" s="194"/>
      <c r="J4788" s="194"/>
      <c r="K4788" s="19"/>
      <c r="L4788" s="20"/>
      <c r="M4788" s="10"/>
      <c r="N4788" s="10"/>
      <c r="O4788" s="10"/>
      <c r="P4788" s="10"/>
      <c r="Q4788" s="10"/>
      <c r="R4788" s="10"/>
      <c r="S4788" s="10"/>
      <c r="T4788" s="10"/>
      <c r="U4788" s="10"/>
      <c r="V4788" s="10"/>
      <c r="W4788" s="10"/>
      <c r="X4788" s="10"/>
      <c r="Y4788" s="10"/>
      <c r="Z4788" s="10"/>
      <c r="AA4788" s="10"/>
      <c r="AB4788" s="10"/>
      <c r="AC4788" s="10"/>
      <c r="AD4788" s="10"/>
      <c r="AE4788" s="10"/>
      <c r="AF4788" s="10"/>
      <c r="AG4788" s="10"/>
      <c r="AH4788" s="10"/>
    </row>
    <row r="4789" spans="1:34" ht="31.5" outlineLevel="2">
      <c r="A4789" s="191"/>
      <c r="B4789" s="12" t="str">
        <f>IFERROR(VLOOKUP(D4789,'[1]Перечень товаров'!$A$2:$I9525,2,0),"")</f>
        <v>д15</v>
      </c>
      <c r="C4789" s="12" t="str">
        <f>IFERROR(VLOOKUP(D4789,'[1]Перечень товаров'!$A$2:$I9525,3,0),"")</f>
        <v>Дидактика</v>
      </c>
      <c r="D4789" s="192" t="s">
        <v>756</v>
      </c>
      <c r="E4789" s="23"/>
      <c r="F4789" s="23"/>
      <c r="G4789" s="193">
        <v>1</v>
      </c>
      <c r="H4789" s="193"/>
      <c r="I4789" s="194"/>
      <c r="J4789" s="194"/>
      <c r="K4789" s="19"/>
      <c r="L4789" s="20"/>
      <c r="M4789" s="10"/>
      <c r="N4789" s="10"/>
      <c r="O4789" s="10"/>
      <c r="P4789" s="10"/>
      <c r="Q4789" s="10"/>
      <c r="R4789" s="10"/>
      <c r="S4789" s="10"/>
      <c r="T4789" s="10"/>
      <c r="U4789" s="10"/>
      <c r="V4789" s="10"/>
      <c r="W4789" s="10"/>
      <c r="X4789" s="10"/>
      <c r="Y4789" s="10"/>
      <c r="Z4789" s="10"/>
      <c r="AA4789" s="10"/>
      <c r="AB4789" s="10"/>
      <c r="AC4789" s="10"/>
      <c r="AD4789" s="10"/>
      <c r="AE4789" s="10"/>
      <c r="AF4789" s="10"/>
      <c r="AG4789" s="10"/>
      <c r="AH4789" s="10"/>
    </row>
    <row r="4790" spans="1:34" ht="30" outlineLevel="2">
      <c r="A4790" s="179"/>
      <c r="B4790" s="12" t="str">
        <f>IFERROR(VLOOKUP(D4790,'[1]Перечень товаров'!$A$2:$I9525,2,0),"")</f>
        <v/>
      </c>
      <c r="C4790" s="12" t="str">
        <f>IFERROR(VLOOKUP(D4790,'[1]Перечень товаров'!$A$2:$I9525,3,0),"")</f>
        <v/>
      </c>
      <c r="D4790" s="180" t="s">
        <v>757</v>
      </c>
      <c r="E4790" s="61"/>
      <c r="F4790" s="61"/>
      <c r="G4790" s="195"/>
      <c r="H4790" s="195"/>
      <c r="I4790" s="196"/>
      <c r="J4790" s="196"/>
      <c r="K4790" s="19"/>
      <c r="L4790" s="20"/>
      <c r="M4790" s="10"/>
      <c r="N4790" s="10"/>
      <c r="O4790" s="10"/>
      <c r="P4790" s="10"/>
      <c r="Q4790" s="10"/>
      <c r="R4790" s="10"/>
      <c r="S4790" s="10"/>
      <c r="T4790" s="10"/>
      <c r="U4790" s="10"/>
      <c r="V4790" s="10"/>
      <c r="W4790" s="10"/>
      <c r="X4790" s="10"/>
      <c r="Y4790" s="10"/>
      <c r="Z4790" s="10"/>
      <c r="AA4790" s="10"/>
      <c r="AB4790" s="10"/>
      <c r="AC4790" s="10"/>
      <c r="AD4790" s="10"/>
      <c r="AE4790" s="10"/>
      <c r="AF4790" s="10"/>
      <c r="AG4790" s="10"/>
      <c r="AH4790" s="10"/>
    </row>
    <row r="4791" spans="1:34" outlineLevel="2">
      <c r="A4791" s="191"/>
      <c r="B4791" s="12" t="str">
        <f>IFERROR(VLOOKUP(D4791,'[1]Перечень товаров'!$A$2:$I9525,2,0),"")</f>
        <v>п92</v>
      </c>
      <c r="C4791" s="12" t="str">
        <f>IFERROR(VLOOKUP(D4791,'[1]Перечень товаров'!$A$2:$I9525,3,0),"")</f>
        <v>Прочее</v>
      </c>
      <c r="D4791" s="192" t="s">
        <v>758</v>
      </c>
      <c r="E4791" s="23"/>
      <c r="F4791" s="23"/>
      <c r="G4791" s="193">
        <v>13</v>
      </c>
      <c r="H4791" s="193"/>
      <c r="I4791" s="194"/>
      <c r="J4791" s="194"/>
      <c r="K4791" s="19"/>
      <c r="L4791" s="20"/>
      <c r="M4791" s="10"/>
      <c r="N4791" s="10"/>
      <c r="O4791" s="10"/>
      <c r="P4791" s="10"/>
      <c r="Q4791" s="10"/>
      <c r="R4791" s="10"/>
      <c r="S4791" s="10"/>
      <c r="T4791" s="10"/>
      <c r="U4791" s="10"/>
      <c r="V4791" s="10"/>
      <c r="W4791" s="10"/>
      <c r="X4791" s="10"/>
      <c r="Y4791" s="10"/>
      <c r="Z4791" s="10"/>
      <c r="AA4791" s="10"/>
      <c r="AB4791" s="10"/>
      <c r="AC4791" s="10"/>
      <c r="AD4791" s="10"/>
      <c r="AE4791" s="10"/>
      <c r="AF4791" s="10"/>
      <c r="AG4791" s="10"/>
      <c r="AH4791" s="10"/>
    </row>
    <row r="4792" spans="1:34" ht="31.5" outlineLevel="2">
      <c r="A4792" s="191"/>
      <c r="B4792" s="12" t="str">
        <f>IFERROR(VLOOKUP(D4792,'[1]Перечень товаров'!$A$2:$I9525,2,0),"")</f>
        <v>д16</v>
      </c>
      <c r="C4792" s="12" t="str">
        <f>IFERROR(VLOOKUP(D4792,'[1]Перечень товаров'!$A$2:$I9525,3,0),"")</f>
        <v>Дидактика</v>
      </c>
      <c r="D4792" s="192" t="s">
        <v>759</v>
      </c>
      <c r="E4792" s="23"/>
      <c r="F4792" s="23"/>
      <c r="G4792" s="193">
        <v>1</v>
      </c>
      <c r="H4792" s="193"/>
      <c r="I4792" s="194"/>
      <c r="J4792" s="194"/>
      <c r="K4792" s="19"/>
      <c r="L4792" s="20"/>
      <c r="M4792" s="10"/>
      <c r="N4792" s="10"/>
      <c r="O4792" s="10"/>
      <c r="P4792" s="10"/>
      <c r="Q4792" s="10"/>
      <c r="R4792" s="10"/>
      <c r="S4792" s="10"/>
      <c r="T4792" s="10"/>
      <c r="U4792" s="10"/>
      <c r="V4792" s="10"/>
      <c r="W4792" s="10"/>
      <c r="X4792" s="10"/>
      <c r="Y4792" s="10"/>
      <c r="Z4792" s="10"/>
      <c r="AA4792" s="10"/>
      <c r="AB4792" s="10"/>
      <c r="AC4792" s="10"/>
      <c r="AD4792" s="10"/>
      <c r="AE4792" s="10"/>
      <c r="AF4792" s="10"/>
      <c r="AG4792" s="10"/>
      <c r="AH4792" s="10"/>
    </row>
    <row r="4793" spans="1:34" ht="31.5" outlineLevel="2">
      <c r="A4793" s="191"/>
      <c r="B4793" s="12" t="str">
        <f>IFERROR(VLOOKUP(D4793,'[1]Перечень товаров'!$A$2:$I9525,2,0),"")</f>
        <v>д17</v>
      </c>
      <c r="C4793" s="12" t="str">
        <f>IFERROR(VLOOKUP(D4793,'[1]Перечень товаров'!$A$2:$I9525,3,0),"")</f>
        <v>Дидактика</v>
      </c>
      <c r="D4793" s="192" t="s">
        <v>760</v>
      </c>
      <c r="E4793" s="23"/>
      <c r="F4793" s="23"/>
      <c r="G4793" s="193">
        <v>1</v>
      </c>
      <c r="H4793" s="193"/>
      <c r="I4793" s="194"/>
      <c r="J4793" s="194"/>
      <c r="K4793" s="19"/>
      <c r="L4793" s="20"/>
      <c r="M4793" s="10"/>
      <c r="N4793" s="10"/>
      <c r="O4793" s="10"/>
      <c r="P4793" s="10"/>
      <c r="Q4793" s="10"/>
      <c r="R4793" s="10"/>
      <c r="S4793" s="10"/>
      <c r="T4793" s="10"/>
      <c r="U4793" s="10"/>
      <c r="V4793" s="10"/>
      <c r="W4793" s="10"/>
      <c r="X4793" s="10"/>
      <c r="Y4793" s="10"/>
      <c r="Z4793" s="10"/>
      <c r="AA4793" s="10"/>
      <c r="AB4793" s="10"/>
      <c r="AC4793" s="10"/>
      <c r="AD4793" s="10"/>
      <c r="AE4793" s="10"/>
      <c r="AF4793" s="10"/>
      <c r="AG4793" s="10"/>
      <c r="AH4793" s="10"/>
    </row>
    <row r="4794" spans="1:34" ht="31.5" outlineLevel="2">
      <c r="A4794" s="191"/>
      <c r="B4794" s="12" t="str">
        <f>IFERROR(VLOOKUP(D4794,'[1]Перечень товаров'!$A$2:$I9525,2,0),"")</f>
        <v>д18</v>
      </c>
      <c r="C4794" s="12" t="str">
        <f>IFERROR(VLOOKUP(D4794,'[1]Перечень товаров'!$A$2:$I9525,3,0),"")</f>
        <v>Дидактика</v>
      </c>
      <c r="D4794" s="192" t="s">
        <v>761</v>
      </c>
      <c r="E4794" s="23"/>
      <c r="F4794" s="23"/>
      <c r="G4794" s="193">
        <v>13</v>
      </c>
      <c r="H4794" s="193"/>
      <c r="I4794" s="194"/>
      <c r="J4794" s="194"/>
      <c r="K4794" s="19"/>
      <c r="L4794" s="20"/>
      <c r="M4794" s="10"/>
      <c r="N4794" s="10"/>
      <c r="O4794" s="10"/>
      <c r="P4794" s="10"/>
      <c r="Q4794" s="10"/>
      <c r="R4794" s="10"/>
      <c r="S4794" s="10"/>
      <c r="T4794" s="10"/>
      <c r="U4794" s="10"/>
      <c r="V4794" s="10"/>
      <c r="W4794" s="10"/>
      <c r="X4794" s="10"/>
      <c r="Y4794" s="10"/>
      <c r="Z4794" s="10"/>
      <c r="AA4794" s="10"/>
      <c r="AB4794" s="10"/>
      <c r="AC4794" s="10"/>
      <c r="AD4794" s="10"/>
      <c r="AE4794" s="10"/>
      <c r="AF4794" s="10"/>
      <c r="AG4794" s="10"/>
      <c r="AH4794" s="10"/>
    </row>
    <row r="4795" spans="1:34" ht="31.5" outlineLevel="2">
      <c r="A4795" s="191"/>
      <c r="B4795" s="12" t="str">
        <f>IFERROR(VLOOKUP(D4795,'[1]Перечень товаров'!$A$2:$I9525,2,0),"")</f>
        <v>д19</v>
      </c>
      <c r="C4795" s="12" t="str">
        <f>IFERROR(VLOOKUP(D4795,'[1]Перечень товаров'!$A$2:$I9525,3,0),"")</f>
        <v>Дидактика</v>
      </c>
      <c r="D4795" s="192" t="s">
        <v>762</v>
      </c>
      <c r="E4795" s="23"/>
      <c r="F4795" s="23"/>
      <c r="G4795" s="193">
        <v>1</v>
      </c>
      <c r="H4795" s="193"/>
      <c r="I4795" s="194"/>
      <c r="J4795" s="194"/>
      <c r="K4795" s="19"/>
      <c r="L4795" s="20"/>
      <c r="M4795" s="10"/>
      <c r="N4795" s="10"/>
      <c r="O4795" s="10"/>
      <c r="P4795" s="10"/>
      <c r="Q4795" s="10"/>
      <c r="R4795" s="10"/>
      <c r="S4795" s="10"/>
      <c r="T4795" s="10"/>
      <c r="U4795" s="10"/>
      <c r="V4795" s="10"/>
      <c r="W4795" s="10"/>
      <c r="X4795" s="10"/>
      <c r="Y4795" s="10"/>
      <c r="Z4795" s="10"/>
      <c r="AA4795" s="10"/>
      <c r="AB4795" s="10"/>
      <c r="AC4795" s="10"/>
      <c r="AD4795" s="10"/>
      <c r="AE4795" s="10"/>
      <c r="AF4795" s="10"/>
      <c r="AG4795" s="10"/>
      <c r="AH4795" s="10"/>
    </row>
    <row r="4796" spans="1:34" ht="31.5" outlineLevel="2">
      <c r="A4796" s="191"/>
      <c r="B4796" s="12" t="str">
        <f>IFERROR(VLOOKUP(D4796,'[1]Перечень товаров'!$A$2:$I9525,2,0),"")</f>
        <v>д20</v>
      </c>
      <c r="C4796" s="12" t="str">
        <f>IFERROR(VLOOKUP(D4796,'[1]Перечень товаров'!$A$2:$I9525,3,0),"")</f>
        <v>Дидактика</v>
      </c>
      <c r="D4796" s="192" t="s">
        <v>763</v>
      </c>
      <c r="E4796" s="23"/>
      <c r="F4796" s="23"/>
      <c r="G4796" s="193">
        <v>1</v>
      </c>
      <c r="H4796" s="193"/>
      <c r="I4796" s="194"/>
      <c r="J4796" s="194"/>
      <c r="K4796" s="19"/>
      <c r="L4796" s="20"/>
      <c r="M4796" s="10"/>
      <c r="N4796" s="10"/>
      <c r="O4796" s="10"/>
      <c r="P4796" s="10"/>
      <c r="Q4796" s="10"/>
      <c r="R4796" s="10"/>
      <c r="S4796" s="10"/>
      <c r="T4796" s="10"/>
      <c r="U4796" s="10"/>
      <c r="V4796" s="10"/>
      <c r="W4796" s="10"/>
      <c r="X4796" s="10"/>
      <c r="Y4796" s="10"/>
      <c r="Z4796" s="10"/>
      <c r="AA4796" s="10"/>
      <c r="AB4796" s="10"/>
      <c r="AC4796" s="10"/>
      <c r="AD4796" s="10"/>
      <c r="AE4796" s="10"/>
      <c r="AF4796" s="10"/>
      <c r="AG4796" s="10"/>
      <c r="AH4796" s="10"/>
    </row>
    <row r="4797" spans="1:34" ht="63" outlineLevel="2">
      <c r="A4797" s="191"/>
      <c r="B4797" s="12" t="str">
        <f>IFERROR(VLOOKUP(D4797,'[1]Перечень товаров'!$A$2:$I9525,2,0),"")</f>
        <v>д21</v>
      </c>
      <c r="C4797" s="12" t="str">
        <f>IFERROR(VLOOKUP(D4797,'[1]Перечень товаров'!$A$2:$I9525,3,0),"")</f>
        <v>Дидактика</v>
      </c>
      <c r="D4797" s="192" t="s">
        <v>764</v>
      </c>
      <c r="E4797" s="23"/>
      <c r="F4797" s="23"/>
      <c r="G4797" s="193">
        <v>1</v>
      </c>
      <c r="H4797" s="193"/>
      <c r="I4797" s="194"/>
      <c r="J4797" s="194"/>
      <c r="K4797" s="19"/>
      <c r="L4797" s="20"/>
      <c r="M4797" s="10"/>
      <c r="N4797" s="10"/>
      <c r="O4797" s="10"/>
      <c r="P4797" s="10"/>
      <c r="Q4797" s="10"/>
      <c r="R4797" s="10"/>
      <c r="S4797" s="10"/>
      <c r="T4797" s="10"/>
      <c r="U4797" s="10"/>
      <c r="V4797" s="10"/>
      <c r="W4797" s="10"/>
      <c r="X4797" s="10"/>
      <c r="Y4797" s="10"/>
      <c r="Z4797" s="10"/>
      <c r="AA4797" s="10"/>
      <c r="AB4797" s="10"/>
      <c r="AC4797" s="10"/>
      <c r="AD4797" s="10"/>
      <c r="AE4797" s="10"/>
      <c r="AF4797" s="10"/>
      <c r="AG4797" s="10"/>
      <c r="AH4797" s="10"/>
    </row>
    <row r="4798" spans="1:34" ht="47.25" outlineLevel="2">
      <c r="A4798" s="191"/>
      <c r="B4798" s="12" t="str">
        <f>IFERROR(VLOOKUP(D4798,'[1]Перечень товаров'!$A$2:$I9525,2,0),"")</f>
        <v>д22</v>
      </c>
      <c r="C4798" s="12" t="str">
        <f>IFERROR(VLOOKUP(D4798,'[1]Перечень товаров'!$A$2:$I9525,3,0),"")</f>
        <v>Дидактика</v>
      </c>
      <c r="D4798" s="192" t="s">
        <v>765</v>
      </c>
      <c r="E4798" s="23"/>
      <c r="F4798" s="23"/>
      <c r="G4798" s="193">
        <v>1</v>
      </c>
      <c r="H4798" s="193"/>
      <c r="I4798" s="194"/>
      <c r="J4798" s="194"/>
      <c r="K4798" s="19"/>
      <c r="L4798" s="20"/>
      <c r="M4798" s="10"/>
      <c r="N4798" s="10"/>
      <c r="O4798" s="10"/>
      <c r="P4798" s="10"/>
      <c r="Q4798" s="10"/>
      <c r="R4798" s="10"/>
      <c r="S4798" s="10"/>
      <c r="T4798" s="10"/>
      <c r="U4798" s="10"/>
      <c r="V4798" s="10"/>
      <c r="W4798" s="10"/>
      <c r="X4798" s="10"/>
      <c r="Y4798" s="10"/>
      <c r="Z4798" s="10"/>
      <c r="AA4798" s="10"/>
      <c r="AB4798" s="10"/>
      <c r="AC4798" s="10"/>
      <c r="AD4798" s="10"/>
      <c r="AE4798" s="10"/>
      <c r="AF4798" s="10"/>
      <c r="AG4798" s="10"/>
      <c r="AH4798" s="10"/>
    </row>
    <row r="4799" spans="1:34" ht="31.5" outlineLevel="2">
      <c r="A4799" s="191"/>
      <c r="B4799" s="12" t="str">
        <f>IFERROR(VLOOKUP(D4799,'[1]Перечень товаров'!$A$2:$I9525,2,0),"")</f>
        <v>д23</v>
      </c>
      <c r="C4799" s="12" t="str">
        <f>IFERROR(VLOOKUP(D4799,'[1]Перечень товаров'!$A$2:$I9525,3,0),"")</f>
        <v>Дидактика</v>
      </c>
      <c r="D4799" s="192" t="s">
        <v>766</v>
      </c>
      <c r="E4799" s="23"/>
      <c r="F4799" s="23"/>
      <c r="G4799" s="193">
        <v>13</v>
      </c>
      <c r="H4799" s="193"/>
      <c r="I4799" s="194"/>
      <c r="J4799" s="194"/>
      <c r="K4799" s="19"/>
      <c r="L4799" s="20"/>
      <c r="M4799" s="10"/>
      <c r="N4799" s="10"/>
      <c r="O4799" s="10"/>
      <c r="P4799" s="10"/>
      <c r="Q4799" s="10"/>
      <c r="R4799" s="10"/>
      <c r="S4799" s="10"/>
      <c r="T4799" s="10"/>
      <c r="U4799" s="10"/>
      <c r="V4799" s="10"/>
      <c r="W4799" s="10"/>
      <c r="X4799" s="10"/>
      <c r="Y4799" s="10"/>
      <c r="Z4799" s="10"/>
      <c r="AA4799" s="10"/>
      <c r="AB4799" s="10"/>
      <c r="AC4799" s="10"/>
      <c r="AD4799" s="10"/>
      <c r="AE4799" s="10"/>
      <c r="AF4799" s="10"/>
      <c r="AG4799" s="10"/>
      <c r="AH4799" s="10"/>
    </row>
    <row r="4800" spans="1:34" ht="78.75" outlineLevel="2">
      <c r="A4800" s="191"/>
      <c r="B4800" s="12" t="str">
        <f>IFERROR(VLOOKUP(D4800,'[1]Перечень товаров'!$A$2:$I9525,2,0),"")</f>
        <v>д24</v>
      </c>
      <c r="C4800" s="12" t="str">
        <f>IFERROR(VLOOKUP(D4800,'[1]Перечень товаров'!$A$2:$I9525,3,0),"")</f>
        <v>Дидактика</v>
      </c>
      <c r="D4800" s="192" t="s">
        <v>767</v>
      </c>
      <c r="E4800" s="23"/>
      <c r="F4800" s="23"/>
      <c r="G4800" s="193">
        <v>1</v>
      </c>
      <c r="H4800" s="193"/>
      <c r="I4800" s="194"/>
      <c r="J4800" s="194"/>
      <c r="K4800" s="19"/>
      <c r="L4800" s="20"/>
      <c r="M4800" s="10"/>
      <c r="N4800" s="10"/>
      <c r="O4800" s="10"/>
      <c r="P4800" s="10"/>
      <c r="Q4800" s="10"/>
      <c r="R4800" s="10"/>
      <c r="S4800" s="10"/>
      <c r="T4800" s="10"/>
      <c r="U4800" s="10"/>
      <c r="V4800" s="10"/>
      <c r="W4800" s="10"/>
      <c r="X4800" s="10"/>
      <c r="Y4800" s="10"/>
      <c r="Z4800" s="10"/>
      <c r="AA4800" s="10"/>
      <c r="AB4800" s="10"/>
      <c r="AC4800" s="10"/>
      <c r="AD4800" s="10"/>
      <c r="AE4800" s="10"/>
      <c r="AF4800" s="10"/>
      <c r="AG4800" s="10"/>
      <c r="AH4800" s="10"/>
    </row>
    <row r="4801" spans="1:34" ht="31.5" outlineLevel="2">
      <c r="A4801" s="191"/>
      <c r="B4801" s="12" t="str">
        <f>IFERROR(VLOOKUP(D4801,'[1]Перечень товаров'!$A$2:$I9525,2,0),"")</f>
        <v>д25</v>
      </c>
      <c r="C4801" s="12" t="str">
        <f>IFERROR(VLOOKUP(D4801,'[1]Перечень товаров'!$A$2:$I9525,3,0),"")</f>
        <v>Дидактика</v>
      </c>
      <c r="D4801" s="192" t="s">
        <v>768</v>
      </c>
      <c r="E4801" s="23"/>
      <c r="F4801" s="23"/>
      <c r="G4801" s="193">
        <v>1</v>
      </c>
      <c r="H4801" s="193"/>
      <c r="I4801" s="194"/>
      <c r="J4801" s="194"/>
      <c r="K4801" s="19"/>
      <c r="L4801" s="20"/>
      <c r="M4801" s="10"/>
      <c r="N4801" s="10"/>
      <c r="O4801" s="10"/>
      <c r="P4801" s="10"/>
      <c r="Q4801" s="10"/>
      <c r="R4801" s="10"/>
      <c r="S4801" s="10"/>
      <c r="T4801" s="10"/>
      <c r="U4801" s="10"/>
      <c r="V4801" s="10"/>
      <c r="W4801" s="10"/>
      <c r="X4801" s="10"/>
      <c r="Y4801" s="10"/>
      <c r="Z4801" s="10"/>
      <c r="AA4801" s="10"/>
      <c r="AB4801" s="10"/>
      <c r="AC4801" s="10"/>
      <c r="AD4801" s="10"/>
      <c r="AE4801" s="10"/>
      <c r="AF4801" s="10"/>
      <c r="AG4801" s="10"/>
      <c r="AH4801" s="10"/>
    </row>
    <row r="4802" spans="1:34" outlineLevel="2">
      <c r="A4802" s="191"/>
      <c r="B4802" s="12" t="str">
        <f>IFERROR(VLOOKUP(D4802,'[1]Перечень товаров'!$A$2:$I9525,2,0),"")</f>
        <v>п92</v>
      </c>
      <c r="C4802" s="12" t="str">
        <f>IFERROR(VLOOKUP(D4802,'[1]Перечень товаров'!$A$2:$I9525,3,0),"")</f>
        <v>Прочее</v>
      </c>
      <c r="D4802" s="192" t="s">
        <v>769</v>
      </c>
      <c r="E4802" s="23"/>
      <c r="F4802" s="23"/>
      <c r="G4802" s="193">
        <v>13</v>
      </c>
      <c r="H4802" s="193"/>
      <c r="I4802" s="194"/>
      <c r="J4802" s="194"/>
      <c r="K4802" s="19"/>
      <c r="L4802" s="20"/>
      <c r="M4802" s="10"/>
      <c r="N4802" s="10"/>
      <c r="O4802" s="10"/>
      <c r="P4802" s="10"/>
      <c r="Q4802" s="10"/>
      <c r="R4802" s="10"/>
      <c r="S4802" s="10"/>
      <c r="T4802" s="10"/>
      <c r="U4802" s="10"/>
      <c r="V4802" s="10"/>
      <c r="W4802" s="10"/>
      <c r="X4802" s="10"/>
      <c r="Y4802" s="10"/>
      <c r="Z4802" s="10"/>
      <c r="AA4802" s="10"/>
      <c r="AB4802" s="10"/>
      <c r="AC4802" s="10"/>
      <c r="AD4802" s="10"/>
      <c r="AE4802" s="10"/>
      <c r="AF4802" s="10"/>
      <c r="AG4802" s="10"/>
      <c r="AH4802" s="10"/>
    </row>
    <row r="4803" spans="1:34" ht="15" outlineLevel="2">
      <c r="A4803" s="179"/>
      <c r="B4803" s="12" t="str">
        <f>IFERROR(VLOOKUP(D4803,'[1]Перечень товаров'!$A$2:$I9525,2,0),"")</f>
        <v/>
      </c>
      <c r="C4803" s="12" t="str">
        <f>IFERROR(VLOOKUP(D4803,'[1]Перечень товаров'!$A$2:$I9525,3,0),"")</f>
        <v/>
      </c>
      <c r="D4803" s="180" t="s">
        <v>770</v>
      </c>
      <c r="E4803" s="61"/>
      <c r="F4803" s="61"/>
      <c r="G4803" s="195"/>
      <c r="H4803" s="195"/>
      <c r="I4803" s="196"/>
      <c r="J4803" s="196"/>
      <c r="K4803" s="19"/>
      <c r="L4803" s="20"/>
      <c r="M4803" s="10"/>
      <c r="N4803" s="10"/>
      <c r="O4803" s="10"/>
      <c r="P4803" s="10"/>
      <c r="Q4803" s="10"/>
      <c r="R4803" s="10"/>
      <c r="S4803" s="10"/>
      <c r="T4803" s="10"/>
      <c r="U4803" s="10"/>
      <c r="V4803" s="10"/>
      <c r="W4803" s="10"/>
      <c r="X4803" s="10"/>
      <c r="Y4803" s="10"/>
      <c r="Z4803" s="10"/>
      <c r="AA4803" s="10"/>
      <c r="AB4803" s="10"/>
      <c r="AC4803" s="10"/>
      <c r="AD4803" s="10"/>
      <c r="AE4803" s="10"/>
      <c r="AF4803" s="10"/>
      <c r="AG4803" s="10"/>
      <c r="AH4803" s="10"/>
    </row>
    <row r="4804" spans="1:34" ht="31.5" outlineLevel="2">
      <c r="A4804" s="191"/>
      <c r="B4804" s="12" t="str">
        <f>IFERROR(VLOOKUP(D4804,'[1]Перечень товаров'!$A$2:$I9525,2,0),"")</f>
        <v>д26</v>
      </c>
      <c r="C4804" s="12" t="str">
        <f>IFERROR(VLOOKUP(D4804,'[1]Перечень товаров'!$A$2:$I9525,3,0),"")</f>
        <v>Дидактика</v>
      </c>
      <c r="D4804" s="192" t="s">
        <v>771</v>
      </c>
      <c r="E4804" s="23"/>
      <c r="F4804" s="23"/>
      <c r="G4804" s="193">
        <v>1</v>
      </c>
      <c r="H4804" s="193"/>
      <c r="I4804" s="194"/>
      <c r="J4804" s="194"/>
      <c r="K4804" s="19"/>
      <c r="L4804" s="20"/>
      <c r="M4804" s="10"/>
      <c r="N4804" s="10"/>
      <c r="O4804" s="10"/>
      <c r="P4804" s="10"/>
      <c r="Q4804" s="10"/>
      <c r="R4804" s="10"/>
      <c r="S4804" s="10"/>
      <c r="T4804" s="10"/>
      <c r="U4804" s="10"/>
      <c r="V4804" s="10"/>
      <c r="W4804" s="10"/>
      <c r="X4804" s="10"/>
      <c r="Y4804" s="10"/>
      <c r="Z4804" s="10"/>
      <c r="AA4804" s="10"/>
      <c r="AB4804" s="10"/>
      <c r="AC4804" s="10"/>
      <c r="AD4804" s="10"/>
      <c r="AE4804" s="10"/>
      <c r="AF4804" s="10"/>
      <c r="AG4804" s="10"/>
      <c r="AH4804" s="10"/>
    </row>
    <row r="4805" spans="1:34" ht="31.5" outlineLevel="2">
      <c r="A4805" s="191"/>
      <c r="B4805" s="12" t="str">
        <f>IFERROR(VLOOKUP(D4805,'[1]Перечень товаров'!$A$2:$I9525,2,0),"")</f>
        <v>д27</v>
      </c>
      <c r="C4805" s="12" t="str">
        <f>IFERROR(VLOOKUP(D4805,'[1]Перечень товаров'!$A$2:$I9525,3,0),"")</f>
        <v>Дидактика</v>
      </c>
      <c r="D4805" s="192" t="s">
        <v>772</v>
      </c>
      <c r="E4805" s="23"/>
      <c r="F4805" s="23"/>
      <c r="G4805" s="193">
        <v>1</v>
      </c>
      <c r="H4805" s="193"/>
      <c r="I4805" s="194"/>
      <c r="J4805" s="194"/>
      <c r="K4805" s="19"/>
      <c r="L4805" s="20"/>
      <c r="M4805" s="10"/>
      <c r="N4805" s="10"/>
      <c r="O4805" s="10"/>
      <c r="P4805" s="10"/>
      <c r="Q4805" s="10"/>
      <c r="R4805" s="10"/>
      <c r="S4805" s="10"/>
      <c r="T4805" s="10"/>
      <c r="U4805" s="10"/>
      <c r="V4805" s="10"/>
      <c r="W4805" s="10"/>
      <c r="X4805" s="10"/>
      <c r="Y4805" s="10"/>
      <c r="Z4805" s="10"/>
      <c r="AA4805" s="10"/>
      <c r="AB4805" s="10"/>
      <c r="AC4805" s="10"/>
      <c r="AD4805" s="10"/>
      <c r="AE4805" s="10"/>
      <c r="AF4805" s="10"/>
      <c r="AG4805" s="10"/>
      <c r="AH4805" s="10"/>
    </row>
    <row r="4806" spans="1:34" ht="47.25" outlineLevel="2">
      <c r="A4806" s="191"/>
      <c r="B4806" s="12" t="str">
        <f>IFERROR(VLOOKUP(D4806,'[1]Перечень товаров'!$A$2:$I9525,2,0),"")</f>
        <v>д28</v>
      </c>
      <c r="C4806" s="12" t="str">
        <f>IFERROR(VLOOKUP(D4806,'[1]Перечень товаров'!$A$2:$I9525,3,0),"")</f>
        <v>Дидактика</v>
      </c>
      <c r="D4806" s="192" t="s">
        <v>773</v>
      </c>
      <c r="E4806" s="23"/>
      <c r="F4806" s="23"/>
      <c r="G4806" s="193">
        <v>1</v>
      </c>
      <c r="H4806" s="193"/>
      <c r="I4806" s="194"/>
      <c r="J4806" s="194"/>
      <c r="K4806" s="19"/>
      <c r="L4806" s="20"/>
      <c r="M4806" s="10"/>
      <c r="N4806" s="10"/>
      <c r="O4806" s="10"/>
      <c r="P4806" s="10"/>
      <c r="Q4806" s="10"/>
      <c r="R4806" s="10"/>
      <c r="S4806" s="10"/>
      <c r="T4806" s="10"/>
      <c r="U4806" s="10"/>
      <c r="V4806" s="10"/>
      <c r="W4806" s="10"/>
      <c r="X4806" s="10"/>
      <c r="Y4806" s="10"/>
      <c r="Z4806" s="10"/>
      <c r="AA4806" s="10"/>
      <c r="AB4806" s="10"/>
      <c r="AC4806" s="10"/>
      <c r="AD4806" s="10"/>
      <c r="AE4806" s="10"/>
      <c r="AF4806" s="10"/>
      <c r="AG4806" s="10"/>
      <c r="AH4806" s="10"/>
    </row>
    <row r="4807" spans="1:34" ht="31.5" outlineLevel="2">
      <c r="A4807" s="191"/>
      <c r="B4807" s="12" t="str">
        <f>IFERROR(VLOOKUP(D4807,'[1]Перечень товаров'!$A$2:$I9525,2,0),"")</f>
        <v>д29</v>
      </c>
      <c r="C4807" s="12" t="str">
        <f>IFERROR(VLOOKUP(D4807,'[1]Перечень товаров'!$A$2:$I9525,3,0),"")</f>
        <v>Дидактика</v>
      </c>
      <c r="D4807" s="192" t="s">
        <v>774</v>
      </c>
      <c r="E4807" s="23"/>
      <c r="F4807" s="23"/>
      <c r="G4807" s="193">
        <v>1</v>
      </c>
      <c r="H4807" s="193"/>
      <c r="I4807" s="194"/>
      <c r="J4807" s="194"/>
      <c r="K4807" s="19"/>
      <c r="L4807" s="20"/>
      <c r="M4807" s="10"/>
      <c r="N4807" s="10"/>
      <c r="O4807" s="10"/>
      <c r="P4807" s="10"/>
      <c r="Q4807" s="10"/>
      <c r="R4807" s="10"/>
      <c r="S4807" s="10"/>
      <c r="T4807" s="10"/>
      <c r="U4807" s="10"/>
      <c r="V4807" s="10"/>
      <c r="W4807" s="10"/>
      <c r="X4807" s="10"/>
      <c r="Y4807" s="10"/>
      <c r="Z4807" s="10"/>
      <c r="AA4807" s="10"/>
      <c r="AB4807" s="10"/>
      <c r="AC4807" s="10"/>
      <c r="AD4807" s="10"/>
      <c r="AE4807" s="10"/>
      <c r="AF4807" s="10"/>
      <c r="AG4807" s="10"/>
      <c r="AH4807" s="10"/>
    </row>
    <row r="4808" spans="1:34" ht="31.5" outlineLevel="2">
      <c r="A4808" s="191"/>
      <c r="B4808" s="12" t="str">
        <f>IFERROR(VLOOKUP(D4808,'[1]Перечень товаров'!$A$2:$I9525,2,0),"")</f>
        <v>д30</v>
      </c>
      <c r="C4808" s="12" t="str">
        <f>IFERROR(VLOOKUP(D4808,'[1]Перечень товаров'!$A$2:$I9525,3,0),"")</f>
        <v>Дидактика</v>
      </c>
      <c r="D4808" s="192" t="s">
        <v>775</v>
      </c>
      <c r="E4808" s="23"/>
      <c r="F4808" s="23"/>
      <c r="G4808" s="193">
        <v>1</v>
      </c>
      <c r="H4808" s="193"/>
      <c r="I4808" s="194"/>
      <c r="J4808" s="194"/>
      <c r="K4808" s="19"/>
      <c r="L4808" s="20"/>
      <c r="M4808" s="10"/>
      <c r="N4808" s="10"/>
      <c r="O4808" s="10"/>
      <c r="P4808" s="10"/>
      <c r="Q4808" s="10"/>
      <c r="R4808" s="10"/>
      <c r="S4808" s="10"/>
      <c r="T4808" s="10"/>
      <c r="U4808" s="10"/>
      <c r="V4808" s="10"/>
      <c r="W4808" s="10"/>
      <c r="X4808" s="10"/>
      <c r="Y4808" s="10"/>
      <c r="Z4808" s="10"/>
      <c r="AA4808" s="10"/>
      <c r="AB4808" s="10"/>
      <c r="AC4808" s="10"/>
      <c r="AD4808" s="10"/>
      <c r="AE4808" s="10"/>
      <c r="AF4808" s="10"/>
      <c r="AG4808" s="10"/>
      <c r="AH4808" s="10"/>
    </row>
    <row r="4809" spans="1:34" ht="31.5" outlineLevel="2">
      <c r="A4809" s="191"/>
      <c r="B4809" s="12" t="str">
        <f>IFERROR(VLOOKUP(D4809,'[1]Перечень товаров'!$A$2:$I9525,2,0),"")</f>
        <v>д31</v>
      </c>
      <c r="C4809" s="12" t="str">
        <f>IFERROR(VLOOKUP(D4809,'[1]Перечень товаров'!$A$2:$I9525,3,0),"")</f>
        <v>Дидактика</v>
      </c>
      <c r="D4809" s="192" t="s">
        <v>776</v>
      </c>
      <c r="E4809" s="23"/>
      <c r="F4809" s="23"/>
      <c r="G4809" s="193">
        <v>1</v>
      </c>
      <c r="H4809" s="193"/>
      <c r="I4809" s="194"/>
      <c r="J4809" s="194"/>
      <c r="K4809" s="19"/>
      <c r="L4809" s="20"/>
      <c r="M4809" s="10"/>
      <c r="N4809" s="10"/>
      <c r="O4809" s="10"/>
      <c r="P4809" s="10"/>
      <c r="Q4809" s="10"/>
      <c r="R4809" s="10"/>
      <c r="S4809" s="10"/>
      <c r="T4809" s="10"/>
      <c r="U4809" s="10"/>
      <c r="V4809" s="10"/>
      <c r="W4809" s="10"/>
      <c r="X4809" s="10"/>
      <c r="Y4809" s="10"/>
      <c r="Z4809" s="10"/>
      <c r="AA4809" s="10"/>
      <c r="AB4809" s="10"/>
      <c r="AC4809" s="10"/>
      <c r="AD4809" s="10"/>
      <c r="AE4809" s="10"/>
      <c r="AF4809" s="10"/>
      <c r="AG4809" s="10"/>
      <c r="AH4809" s="10"/>
    </row>
    <row r="4810" spans="1:34" ht="31.5" outlineLevel="2">
      <c r="A4810" s="191"/>
      <c r="B4810" s="12" t="str">
        <f>IFERROR(VLOOKUP(D4810,'[1]Перечень товаров'!$A$2:$I9525,2,0),"")</f>
        <v>д32</v>
      </c>
      <c r="C4810" s="12" t="str">
        <f>IFERROR(VLOOKUP(D4810,'[1]Перечень товаров'!$A$2:$I9525,3,0),"")</f>
        <v>Дидактика</v>
      </c>
      <c r="D4810" s="192" t="s">
        <v>777</v>
      </c>
      <c r="E4810" s="23"/>
      <c r="F4810" s="23"/>
      <c r="G4810" s="193">
        <v>1</v>
      </c>
      <c r="H4810" s="193"/>
      <c r="I4810" s="194"/>
      <c r="J4810" s="194"/>
      <c r="K4810" s="19"/>
      <c r="L4810" s="20"/>
      <c r="M4810" s="10"/>
      <c r="N4810" s="10"/>
      <c r="O4810" s="10"/>
      <c r="P4810" s="10"/>
      <c r="Q4810" s="10"/>
      <c r="R4810" s="10"/>
      <c r="S4810" s="10"/>
      <c r="T4810" s="10"/>
      <c r="U4810" s="10"/>
      <c r="V4810" s="10"/>
      <c r="W4810" s="10"/>
      <c r="X4810" s="10"/>
      <c r="Y4810" s="10"/>
      <c r="Z4810" s="10"/>
      <c r="AA4810" s="10"/>
      <c r="AB4810" s="10"/>
      <c r="AC4810" s="10"/>
      <c r="AD4810" s="10"/>
      <c r="AE4810" s="10"/>
      <c r="AF4810" s="10"/>
      <c r="AG4810" s="10"/>
      <c r="AH4810" s="10"/>
    </row>
    <row r="4811" spans="1:34" ht="47.25" outlineLevel="2">
      <c r="A4811" s="191"/>
      <c r="B4811" s="12" t="str">
        <f>IFERROR(VLOOKUP(D4811,'[1]Перечень товаров'!$A$2:$I9525,2,0),"")</f>
        <v>д33</v>
      </c>
      <c r="C4811" s="12" t="str">
        <f>IFERROR(VLOOKUP(D4811,'[1]Перечень товаров'!$A$2:$I9525,3,0),"")</f>
        <v>Дидактика</v>
      </c>
      <c r="D4811" s="192" t="s">
        <v>778</v>
      </c>
      <c r="E4811" s="23"/>
      <c r="F4811" s="23"/>
      <c r="G4811" s="193">
        <v>1</v>
      </c>
      <c r="H4811" s="193"/>
      <c r="I4811" s="194"/>
      <c r="J4811" s="194"/>
      <c r="K4811" s="19"/>
      <c r="L4811" s="20"/>
      <c r="M4811" s="10"/>
      <c r="N4811" s="10"/>
      <c r="O4811" s="10"/>
      <c r="P4811" s="10"/>
      <c r="Q4811" s="10"/>
      <c r="R4811" s="10"/>
      <c r="S4811" s="10"/>
      <c r="T4811" s="10"/>
      <c r="U4811" s="10"/>
      <c r="V4811" s="10"/>
      <c r="W4811" s="10"/>
      <c r="X4811" s="10"/>
      <c r="Y4811" s="10"/>
      <c r="Z4811" s="10"/>
      <c r="AA4811" s="10"/>
      <c r="AB4811" s="10"/>
      <c r="AC4811" s="10"/>
      <c r="AD4811" s="10"/>
      <c r="AE4811" s="10"/>
      <c r="AF4811" s="10"/>
      <c r="AG4811" s="10"/>
      <c r="AH4811" s="10"/>
    </row>
    <row r="4812" spans="1:34" ht="31.5" outlineLevel="2">
      <c r="A4812" s="191"/>
      <c r="B4812" s="12" t="str">
        <f>IFERROR(VLOOKUP(D4812,'[1]Перечень товаров'!$A$2:$I9525,2,0),"")</f>
        <v>д34</v>
      </c>
      <c r="C4812" s="12" t="str">
        <f>IFERROR(VLOOKUP(D4812,'[1]Перечень товаров'!$A$2:$I9525,3,0),"")</f>
        <v>Дидактика</v>
      </c>
      <c r="D4812" s="192" t="s">
        <v>779</v>
      </c>
      <c r="E4812" s="23"/>
      <c r="F4812" s="23"/>
      <c r="G4812" s="193">
        <v>1</v>
      </c>
      <c r="H4812" s="193"/>
      <c r="I4812" s="194"/>
      <c r="J4812" s="194"/>
      <c r="K4812" s="19"/>
      <c r="L4812" s="20"/>
      <c r="M4812" s="10"/>
      <c r="N4812" s="10"/>
      <c r="O4812" s="10"/>
      <c r="P4812" s="10"/>
      <c r="Q4812" s="10"/>
      <c r="R4812" s="10"/>
      <c r="S4812" s="10"/>
      <c r="T4812" s="10"/>
      <c r="U4812" s="10"/>
      <c r="V4812" s="10"/>
      <c r="W4812" s="10"/>
      <c r="X4812" s="10"/>
      <c r="Y4812" s="10"/>
      <c r="Z4812" s="10"/>
      <c r="AA4812" s="10"/>
      <c r="AB4812" s="10"/>
      <c r="AC4812" s="10"/>
      <c r="AD4812" s="10"/>
      <c r="AE4812" s="10"/>
      <c r="AF4812" s="10"/>
      <c r="AG4812" s="10"/>
      <c r="AH4812" s="10"/>
    </row>
    <row r="4813" spans="1:34" ht="31.5" outlineLevel="2">
      <c r="A4813" s="191"/>
      <c r="B4813" s="12" t="str">
        <f>IFERROR(VLOOKUP(D4813,'[1]Перечень товаров'!$A$2:$I9525,2,0),"")</f>
        <v>д35</v>
      </c>
      <c r="C4813" s="12" t="str">
        <f>IFERROR(VLOOKUP(D4813,'[1]Перечень товаров'!$A$2:$I9525,3,0),"")</f>
        <v>Дидактика</v>
      </c>
      <c r="D4813" s="192" t="s">
        <v>780</v>
      </c>
      <c r="E4813" s="23"/>
      <c r="F4813" s="23"/>
      <c r="G4813" s="193">
        <v>1</v>
      </c>
      <c r="H4813" s="193"/>
      <c r="I4813" s="194"/>
      <c r="J4813" s="194"/>
      <c r="K4813" s="19"/>
      <c r="L4813" s="20"/>
      <c r="M4813" s="10"/>
      <c r="N4813" s="10"/>
      <c r="O4813" s="10"/>
      <c r="P4813" s="10"/>
      <c r="Q4813" s="10"/>
      <c r="R4813" s="10"/>
      <c r="S4813" s="10"/>
      <c r="T4813" s="10"/>
      <c r="U4813" s="10"/>
      <c r="V4813" s="10"/>
      <c r="W4813" s="10"/>
      <c r="X4813" s="10"/>
      <c r="Y4813" s="10"/>
      <c r="Z4813" s="10"/>
      <c r="AA4813" s="10"/>
      <c r="AB4813" s="10"/>
      <c r="AC4813" s="10"/>
      <c r="AD4813" s="10"/>
      <c r="AE4813" s="10"/>
      <c r="AF4813" s="10"/>
      <c r="AG4813" s="10"/>
      <c r="AH4813" s="10"/>
    </row>
    <row r="4814" spans="1:34" ht="31.5" outlineLevel="2">
      <c r="A4814" s="191"/>
      <c r="B4814" s="12" t="str">
        <f>IFERROR(VLOOKUP(D4814,'[1]Перечень товаров'!$A$2:$I9525,2,0),"")</f>
        <v>д36</v>
      </c>
      <c r="C4814" s="12" t="str">
        <f>IFERROR(VLOOKUP(D4814,'[1]Перечень товаров'!$A$2:$I9525,3,0),"")</f>
        <v>Дидактика</v>
      </c>
      <c r="D4814" s="192" t="s">
        <v>781</v>
      </c>
      <c r="E4814" s="23"/>
      <c r="F4814" s="23"/>
      <c r="G4814" s="193">
        <v>1</v>
      </c>
      <c r="H4814" s="193"/>
      <c r="I4814" s="194"/>
      <c r="J4814" s="194"/>
      <c r="K4814" s="19"/>
      <c r="L4814" s="20"/>
      <c r="M4814" s="10"/>
      <c r="N4814" s="10"/>
      <c r="O4814" s="10"/>
      <c r="P4814" s="10"/>
      <c r="Q4814" s="10"/>
      <c r="R4814" s="10"/>
      <c r="S4814" s="10"/>
      <c r="T4814" s="10"/>
      <c r="U4814" s="10"/>
      <c r="V4814" s="10"/>
      <c r="W4814" s="10"/>
      <c r="X4814" s="10"/>
      <c r="Y4814" s="10"/>
      <c r="Z4814" s="10"/>
      <c r="AA4814" s="10"/>
      <c r="AB4814" s="10"/>
      <c r="AC4814" s="10"/>
      <c r="AD4814" s="10"/>
      <c r="AE4814" s="10"/>
      <c r="AF4814" s="10"/>
      <c r="AG4814" s="10"/>
      <c r="AH4814" s="10"/>
    </row>
    <row r="4815" spans="1:34" outlineLevel="2">
      <c r="A4815" s="191"/>
      <c r="B4815" s="12" t="str">
        <f>IFERROR(VLOOKUP(D4815,'[1]Перечень товаров'!$A$2:$I9525,2,0),"")</f>
        <v>д37</v>
      </c>
      <c r="C4815" s="12" t="str">
        <f>IFERROR(VLOOKUP(D4815,'[1]Перечень товаров'!$A$2:$I9525,3,0),"")</f>
        <v>Дидактика</v>
      </c>
      <c r="D4815" s="192" t="s">
        <v>782</v>
      </c>
      <c r="E4815" s="23"/>
      <c r="F4815" s="23"/>
      <c r="G4815" s="193">
        <v>1</v>
      </c>
      <c r="H4815" s="193"/>
      <c r="I4815" s="194"/>
      <c r="J4815" s="194"/>
      <c r="K4815" s="19"/>
      <c r="L4815" s="20"/>
      <c r="M4815" s="10"/>
      <c r="N4815" s="10"/>
      <c r="O4815" s="10"/>
      <c r="P4815" s="10"/>
      <c r="Q4815" s="10"/>
      <c r="R4815" s="10"/>
      <c r="S4815" s="10"/>
      <c r="T4815" s="10"/>
      <c r="U4815" s="10"/>
      <c r="V4815" s="10"/>
      <c r="W4815" s="10"/>
      <c r="X4815" s="10"/>
      <c r="Y4815" s="10"/>
      <c r="Z4815" s="10"/>
      <c r="AA4815" s="10"/>
      <c r="AB4815" s="10"/>
      <c r="AC4815" s="10"/>
      <c r="AD4815" s="10"/>
      <c r="AE4815" s="10"/>
      <c r="AF4815" s="10"/>
      <c r="AG4815" s="10"/>
      <c r="AH4815" s="10"/>
    </row>
    <row r="4816" spans="1:34" ht="31.5" outlineLevel="2">
      <c r="A4816" s="191"/>
      <c r="B4816" s="12" t="str">
        <f>IFERROR(VLOOKUP(D4816,'[1]Перечень товаров'!$A$2:$I9525,2,0),"")</f>
        <v>д38</v>
      </c>
      <c r="C4816" s="12" t="str">
        <f>IFERROR(VLOOKUP(D4816,'[1]Перечень товаров'!$A$2:$I9525,3,0),"")</f>
        <v>Дидактика</v>
      </c>
      <c r="D4816" s="192" t="s">
        <v>783</v>
      </c>
      <c r="E4816" s="23"/>
      <c r="F4816" s="23"/>
      <c r="G4816" s="193">
        <v>1</v>
      </c>
      <c r="H4816" s="193"/>
      <c r="I4816" s="194"/>
      <c r="J4816" s="194"/>
      <c r="K4816" s="19"/>
      <c r="L4816" s="20"/>
      <c r="M4816" s="10"/>
      <c r="N4816" s="10"/>
      <c r="O4816" s="10"/>
      <c r="P4816" s="10"/>
      <c r="Q4816" s="10"/>
      <c r="R4816" s="10"/>
      <c r="S4816" s="10"/>
      <c r="T4816" s="10"/>
      <c r="U4816" s="10"/>
      <c r="V4816" s="10"/>
      <c r="W4816" s="10"/>
      <c r="X4816" s="10"/>
      <c r="Y4816" s="10"/>
      <c r="Z4816" s="10"/>
      <c r="AA4816" s="10"/>
      <c r="AB4816" s="10"/>
      <c r="AC4816" s="10"/>
      <c r="AD4816" s="10"/>
      <c r="AE4816" s="10"/>
      <c r="AF4816" s="10"/>
      <c r="AG4816" s="10"/>
      <c r="AH4816" s="10"/>
    </row>
    <row r="4817" spans="1:34" outlineLevel="2">
      <c r="A4817" s="191"/>
      <c r="B4817" s="12" t="str">
        <f>IFERROR(VLOOKUP(D4817,'[1]Перечень товаров'!$A$2:$I9525,2,0),"")</f>
        <v>д39</v>
      </c>
      <c r="C4817" s="12" t="str">
        <f>IFERROR(VLOOKUP(D4817,'[1]Перечень товаров'!$A$2:$I9525,3,0),"")</f>
        <v>Дидактика</v>
      </c>
      <c r="D4817" s="192" t="s">
        <v>784</v>
      </c>
      <c r="E4817" s="23"/>
      <c r="F4817" s="23"/>
      <c r="G4817" s="193">
        <v>1</v>
      </c>
      <c r="H4817" s="193"/>
      <c r="I4817" s="194"/>
      <c r="J4817" s="194"/>
      <c r="K4817" s="19"/>
      <c r="L4817" s="20"/>
      <c r="M4817" s="10"/>
      <c r="N4817" s="10"/>
      <c r="O4817" s="10"/>
      <c r="P4817" s="10"/>
      <c r="Q4817" s="10"/>
      <c r="R4817" s="10"/>
      <c r="S4817" s="10"/>
      <c r="T4817" s="10"/>
      <c r="U4817" s="10"/>
      <c r="V4817" s="10"/>
      <c r="W4817" s="10"/>
      <c r="X4817" s="10"/>
      <c r="Y4817" s="10"/>
      <c r="Z4817" s="10"/>
      <c r="AA4817" s="10"/>
      <c r="AB4817" s="10"/>
      <c r="AC4817" s="10"/>
      <c r="AD4817" s="10"/>
      <c r="AE4817" s="10"/>
      <c r="AF4817" s="10"/>
      <c r="AG4817" s="10"/>
      <c r="AH4817" s="10"/>
    </row>
    <row r="4818" spans="1:34" ht="31.5" outlineLevel="2">
      <c r="A4818" s="191"/>
      <c r="B4818" s="12" t="str">
        <f>IFERROR(VLOOKUP(D4818,'[1]Перечень товаров'!$A$2:$I9525,2,0),"")</f>
        <v>д40</v>
      </c>
      <c r="C4818" s="12" t="str">
        <f>IFERROR(VLOOKUP(D4818,'[1]Перечень товаров'!$A$2:$I9525,3,0),"")</f>
        <v>Дидактика</v>
      </c>
      <c r="D4818" s="192" t="s">
        <v>785</v>
      </c>
      <c r="E4818" s="23"/>
      <c r="F4818" s="23"/>
      <c r="G4818" s="193">
        <v>1</v>
      </c>
      <c r="H4818" s="193"/>
      <c r="I4818" s="194"/>
      <c r="J4818" s="194"/>
      <c r="K4818" s="19"/>
      <c r="L4818" s="20"/>
      <c r="M4818" s="10"/>
      <c r="N4818" s="10"/>
      <c r="O4818" s="10"/>
      <c r="P4818" s="10"/>
      <c r="Q4818" s="10"/>
      <c r="R4818" s="10"/>
      <c r="S4818" s="10"/>
      <c r="T4818" s="10"/>
      <c r="U4818" s="10"/>
      <c r="V4818" s="10"/>
      <c r="W4818" s="10"/>
      <c r="X4818" s="10"/>
      <c r="Y4818" s="10"/>
      <c r="Z4818" s="10"/>
      <c r="AA4818" s="10"/>
      <c r="AB4818" s="10"/>
      <c r="AC4818" s="10"/>
      <c r="AD4818" s="10"/>
      <c r="AE4818" s="10"/>
      <c r="AF4818" s="10"/>
      <c r="AG4818" s="10"/>
      <c r="AH4818" s="10"/>
    </row>
    <row r="4819" spans="1:34" ht="47.25" outlineLevel="2">
      <c r="A4819" s="191"/>
      <c r="B4819" s="12" t="str">
        <f>IFERROR(VLOOKUP(D4819,'[1]Перечень товаров'!$A$2:$I9525,2,0),"")</f>
        <v>д41</v>
      </c>
      <c r="C4819" s="12" t="str">
        <f>IFERROR(VLOOKUP(D4819,'[1]Перечень товаров'!$A$2:$I9525,3,0),"")</f>
        <v>Дидактика</v>
      </c>
      <c r="D4819" s="192" t="s">
        <v>786</v>
      </c>
      <c r="E4819" s="23"/>
      <c r="F4819" s="23"/>
      <c r="G4819" s="193">
        <v>1</v>
      </c>
      <c r="H4819" s="193"/>
      <c r="I4819" s="194"/>
      <c r="J4819" s="194"/>
      <c r="K4819" s="19"/>
      <c r="L4819" s="20"/>
      <c r="M4819" s="10"/>
      <c r="N4819" s="10"/>
      <c r="O4819" s="10"/>
      <c r="P4819" s="10"/>
      <c r="Q4819" s="10"/>
      <c r="R4819" s="10"/>
      <c r="S4819" s="10"/>
      <c r="T4819" s="10"/>
      <c r="U4819" s="10"/>
      <c r="V4819" s="10"/>
      <c r="W4819" s="10"/>
      <c r="X4819" s="10"/>
      <c r="Y4819" s="10"/>
      <c r="Z4819" s="10"/>
      <c r="AA4819" s="10"/>
      <c r="AB4819" s="10"/>
      <c r="AC4819" s="10"/>
      <c r="AD4819" s="10"/>
      <c r="AE4819" s="10"/>
      <c r="AF4819" s="10"/>
      <c r="AG4819" s="10"/>
      <c r="AH4819" s="10"/>
    </row>
    <row r="4820" spans="1:34" ht="31.5" outlineLevel="2">
      <c r="A4820" s="191"/>
      <c r="B4820" s="12" t="str">
        <f>IFERROR(VLOOKUP(D4820,'[1]Перечень товаров'!$A$2:$I9525,2,0),"")</f>
        <v>д42</v>
      </c>
      <c r="C4820" s="12" t="str">
        <f>IFERROR(VLOOKUP(D4820,'[1]Перечень товаров'!$A$2:$I9525,3,0),"")</f>
        <v>Дидактика</v>
      </c>
      <c r="D4820" s="192" t="s">
        <v>787</v>
      </c>
      <c r="E4820" s="23"/>
      <c r="F4820" s="23"/>
      <c r="G4820" s="193">
        <v>1</v>
      </c>
      <c r="H4820" s="193"/>
      <c r="I4820" s="194"/>
      <c r="J4820" s="194"/>
      <c r="K4820" s="19"/>
      <c r="L4820" s="20"/>
      <c r="M4820" s="10"/>
      <c r="N4820" s="10"/>
      <c r="O4820" s="10"/>
      <c r="P4820" s="10"/>
      <c r="Q4820" s="10"/>
      <c r="R4820" s="10"/>
      <c r="S4820" s="10"/>
      <c r="T4820" s="10"/>
      <c r="U4820" s="10"/>
      <c r="V4820" s="10"/>
      <c r="W4820" s="10"/>
      <c r="X4820" s="10"/>
      <c r="Y4820" s="10"/>
      <c r="Z4820" s="10"/>
      <c r="AA4820" s="10"/>
      <c r="AB4820" s="10"/>
      <c r="AC4820" s="10"/>
      <c r="AD4820" s="10"/>
      <c r="AE4820" s="10"/>
      <c r="AF4820" s="10"/>
      <c r="AG4820" s="10"/>
      <c r="AH4820" s="10"/>
    </row>
    <row r="4821" spans="1:34" ht="31.5" outlineLevel="2">
      <c r="A4821" s="191"/>
      <c r="B4821" s="12" t="str">
        <f>IFERROR(VLOOKUP(D4821,'[1]Перечень товаров'!$A$2:$I9525,2,0),"")</f>
        <v>д43</v>
      </c>
      <c r="C4821" s="12" t="str">
        <f>IFERROR(VLOOKUP(D4821,'[1]Перечень товаров'!$A$2:$I9525,3,0),"")</f>
        <v>Дидактика</v>
      </c>
      <c r="D4821" s="192" t="s">
        <v>788</v>
      </c>
      <c r="E4821" s="23"/>
      <c r="F4821" s="23"/>
      <c r="G4821" s="193">
        <v>1</v>
      </c>
      <c r="H4821" s="193"/>
      <c r="I4821" s="194"/>
      <c r="J4821" s="194"/>
      <c r="K4821" s="19"/>
      <c r="L4821" s="20"/>
      <c r="M4821" s="10"/>
      <c r="N4821" s="10"/>
      <c r="O4821" s="10"/>
      <c r="P4821" s="10"/>
      <c r="Q4821" s="10"/>
      <c r="R4821" s="10"/>
      <c r="S4821" s="10"/>
      <c r="T4821" s="10"/>
      <c r="U4821" s="10"/>
      <c r="V4821" s="10"/>
      <c r="W4821" s="10"/>
      <c r="X4821" s="10"/>
      <c r="Y4821" s="10"/>
      <c r="Z4821" s="10"/>
      <c r="AA4821" s="10"/>
      <c r="AB4821" s="10"/>
      <c r="AC4821" s="10"/>
      <c r="AD4821" s="10"/>
      <c r="AE4821" s="10"/>
      <c r="AF4821" s="10"/>
      <c r="AG4821" s="10"/>
      <c r="AH4821" s="10"/>
    </row>
    <row r="4822" spans="1:34" ht="31.5" outlineLevel="2">
      <c r="A4822" s="191"/>
      <c r="B4822" s="12" t="str">
        <f>IFERROR(VLOOKUP(D4822,'[1]Перечень товаров'!$A$2:$I9525,2,0),"")</f>
        <v>д44</v>
      </c>
      <c r="C4822" s="12" t="str">
        <f>IFERROR(VLOOKUP(D4822,'[1]Перечень товаров'!$A$2:$I9525,3,0),"")</f>
        <v>Дидактика</v>
      </c>
      <c r="D4822" s="192" t="s">
        <v>789</v>
      </c>
      <c r="E4822" s="23"/>
      <c r="F4822" s="23"/>
      <c r="G4822" s="193">
        <v>1</v>
      </c>
      <c r="H4822" s="193"/>
      <c r="I4822" s="194"/>
      <c r="J4822" s="194"/>
      <c r="K4822" s="19"/>
      <c r="L4822" s="20"/>
      <c r="M4822" s="10"/>
      <c r="N4822" s="10"/>
      <c r="O4822" s="10"/>
      <c r="P4822" s="10"/>
      <c r="Q4822" s="10"/>
      <c r="R4822" s="10"/>
      <c r="S4822" s="10"/>
      <c r="T4822" s="10"/>
      <c r="U4822" s="10"/>
      <c r="V4822" s="10"/>
      <c r="W4822" s="10"/>
      <c r="X4822" s="10"/>
      <c r="Y4822" s="10"/>
      <c r="Z4822" s="10"/>
      <c r="AA4822" s="10"/>
      <c r="AB4822" s="10"/>
      <c r="AC4822" s="10"/>
      <c r="AD4822" s="10"/>
      <c r="AE4822" s="10"/>
      <c r="AF4822" s="10"/>
      <c r="AG4822" s="10"/>
      <c r="AH4822" s="10"/>
    </row>
    <row r="4823" spans="1:34" ht="31.5" outlineLevel="2">
      <c r="A4823" s="191"/>
      <c r="B4823" s="12" t="str">
        <f>IFERROR(VLOOKUP(D4823,'[1]Перечень товаров'!$A$2:$I9525,2,0),"")</f>
        <v>д50</v>
      </c>
      <c r="C4823" s="12" t="str">
        <f>IFERROR(VLOOKUP(D4823,'[1]Перечень товаров'!$A$2:$I9525,3,0),"")</f>
        <v>Дидактика</v>
      </c>
      <c r="D4823" s="192" t="s">
        <v>795</v>
      </c>
      <c r="E4823" s="23"/>
      <c r="F4823" s="23"/>
      <c r="G4823" s="193">
        <v>1</v>
      </c>
      <c r="H4823" s="193"/>
      <c r="I4823" s="194"/>
      <c r="J4823" s="194"/>
      <c r="K4823" s="19"/>
      <c r="L4823" s="20"/>
      <c r="M4823" s="10"/>
      <c r="N4823" s="10"/>
      <c r="O4823" s="10"/>
      <c r="P4823" s="10"/>
      <c r="Q4823" s="10"/>
      <c r="R4823" s="10"/>
      <c r="S4823" s="10"/>
      <c r="T4823" s="10"/>
      <c r="U4823" s="10"/>
      <c r="V4823" s="10"/>
      <c r="W4823" s="10"/>
      <c r="X4823" s="10"/>
      <c r="Y4823" s="10"/>
      <c r="Z4823" s="10"/>
      <c r="AA4823" s="10"/>
      <c r="AB4823" s="10"/>
      <c r="AC4823" s="10"/>
      <c r="AD4823" s="10"/>
      <c r="AE4823" s="10"/>
      <c r="AF4823" s="10"/>
      <c r="AG4823" s="10"/>
      <c r="AH4823" s="10"/>
    </row>
    <row r="4824" spans="1:34" ht="31.5" outlineLevel="2">
      <c r="A4824" s="191"/>
      <c r="B4824" s="12" t="str">
        <f>IFERROR(VLOOKUP(D4824,'[1]Перечень товаров'!$A$2:$I9525,2,0),"")</f>
        <v>д53</v>
      </c>
      <c r="C4824" s="12" t="str">
        <f>IFERROR(VLOOKUP(D4824,'[1]Перечень товаров'!$A$2:$I9525,3,0),"")</f>
        <v>Дидактика</v>
      </c>
      <c r="D4824" s="192" t="s">
        <v>798</v>
      </c>
      <c r="E4824" s="23"/>
      <c r="F4824" s="23"/>
      <c r="G4824" s="193">
        <v>1</v>
      </c>
      <c r="H4824" s="193"/>
      <c r="I4824" s="194"/>
      <c r="J4824" s="194"/>
      <c r="K4824" s="19"/>
      <c r="L4824" s="20"/>
      <c r="M4824" s="10"/>
      <c r="N4824" s="10"/>
      <c r="O4824" s="10"/>
      <c r="P4824" s="10"/>
      <c r="Q4824" s="10"/>
      <c r="R4824" s="10"/>
      <c r="S4824" s="10"/>
      <c r="T4824" s="10"/>
      <c r="U4824" s="10"/>
      <c r="V4824" s="10"/>
      <c r="W4824" s="10"/>
      <c r="X4824" s="10"/>
      <c r="Y4824" s="10"/>
      <c r="Z4824" s="10"/>
      <c r="AA4824" s="10"/>
      <c r="AB4824" s="10"/>
      <c r="AC4824" s="10"/>
      <c r="AD4824" s="10"/>
      <c r="AE4824" s="10"/>
      <c r="AF4824" s="10"/>
      <c r="AG4824" s="10"/>
      <c r="AH4824" s="10"/>
    </row>
    <row r="4825" spans="1:34" ht="47.25" outlineLevel="2">
      <c r="A4825" s="191"/>
      <c r="B4825" s="12" t="str">
        <f>IFERROR(VLOOKUP(D4825,'[1]Перечень товаров'!$A$2:$I9525,2,0),"")</f>
        <v>д57</v>
      </c>
      <c r="C4825" s="12" t="str">
        <f>IFERROR(VLOOKUP(D4825,'[1]Перечень товаров'!$A$2:$I9525,3,0),"")</f>
        <v>Дидактика</v>
      </c>
      <c r="D4825" s="192" t="s">
        <v>802</v>
      </c>
      <c r="E4825" s="23"/>
      <c r="F4825" s="23"/>
      <c r="G4825" s="193">
        <v>1</v>
      </c>
      <c r="H4825" s="193"/>
      <c r="I4825" s="194"/>
      <c r="J4825" s="194"/>
      <c r="K4825" s="19"/>
      <c r="L4825" s="20"/>
      <c r="M4825" s="10"/>
      <c r="N4825" s="10"/>
      <c r="O4825" s="10"/>
      <c r="P4825" s="10"/>
      <c r="Q4825" s="10"/>
      <c r="R4825" s="10"/>
      <c r="S4825" s="10"/>
      <c r="T4825" s="10"/>
      <c r="U4825" s="10"/>
      <c r="V4825" s="10"/>
      <c r="W4825" s="10"/>
      <c r="X4825" s="10"/>
      <c r="Y4825" s="10"/>
      <c r="Z4825" s="10"/>
      <c r="AA4825" s="10"/>
      <c r="AB4825" s="10"/>
      <c r="AC4825" s="10"/>
      <c r="AD4825" s="10"/>
      <c r="AE4825" s="10"/>
      <c r="AF4825" s="10"/>
      <c r="AG4825" s="10"/>
      <c r="AH4825" s="10"/>
    </row>
    <row r="4826" spans="1:34" outlineLevel="2">
      <c r="A4826" s="191"/>
      <c r="B4826" s="12" t="str">
        <f>IFERROR(VLOOKUP(D4826,'[1]Перечень товаров'!$A$2:$I9525,2,0),"")</f>
        <v>д62</v>
      </c>
      <c r="C4826" s="12" t="str">
        <f>IFERROR(VLOOKUP(D4826,'[1]Перечень товаров'!$A$2:$I9525,3,0),"")</f>
        <v>Дидактика</v>
      </c>
      <c r="D4826" s="192" t="s">
        <v>807</v>
      </c>
      <c r="E4826" s="23"/>
      <c r="F4826" s="23"/>
      <c r="G4826" s="193">
        <v>1</v>
      </c>
      <c r="H4826" s="193"/>
      <c r="I4826" s="194"/>
      <c r="J4826" s="194"/>
      <c r="K4826" s="19"/>
      <c r="L4826" s="20"/>
      <c r="M4826" s="10"/>
      <c r="N4826" s="10"/>
      <c r="O4826" s="10"/>
      <c r="P4826" s="10"/>
      <c r="Q4826" s="10"/>
      <c r="R4826" s="10"/>
      <c r="S4826" s="10"/>
      <c r="T4826" s="10"/>
      <c r="U4826" s="10"/>
      <c r="V4826" s="10"/>
      <c r="W4826" s="10"/>
      <c r="X4826" s="10"/>
      <c r="Y4826" s="10"/>
      <c r="Z4826" s="10"/>
      <c r="AA4826" s="10"/>
      <c r="AB4826" s="10"/>
      <c r="AC4826" s="10"/>
      <c r="AD4826" s="10"/>
      <c r="AE4826" s="10"/>
      <c r="AF4826" s="10"/>
      <c r="AG4826" s="10"/>
      <c r="AH4826" s="10"/>
    </row>
    <row r="4827" spans="1:34" ht="47.25" outlineLevel="2">
      <c r="A4827" s="191"/>
      <c r="B4827" s="12" t="str">
        <f>IFERROR(VLOOKUP(D4827,'[1]Перечень товаров'!$A$2:$I9525,2,0),"")</f>
        <v>д63</v>
      </c>
      <c r="C4827" s="12" t="str">
        <f>IFERROR(VLOOKUP(D4827,'[1]Перечень товаров'!$A$2:$I9525,3,0),"")</f>
        <v>Дидактика</v>
      </c>
      <c r="D4827" s="192" t="s">
        <v>808</v>
      </c>
      <c r="E4827" s="23"/>
      <c r="F4827" s="23"/>
      <c r="G4827" s="193">
        <v>1</v>
      </c>
      <c r="H4827" s="193"/>
      <c r="I4827" s="194"/>
      <c r="J4827" s="194"/>
      <c r="K4827" s="19"/>
      <c r="L4827" s="20"/>
      <c r="M4827" s="10"/>
      <c r="N4827" s="10"/>
      <c r="O4827" s="10"/>
      <c r="P4827" s="10"/>
      <c r="Q4827" s="10"/>
      <c r="R4827" s="10"/>
      <c r="S4827" s="10"/>
      <c r="T4827" s="10"/>
      <c r="U4827" s="10"/>
      <c r="V4827" s="10"/>
      <c r="W4827" s="10"/>
      <c r="X4827" s="10"/>
      <c r="Y4827" s="10"/>
      <c r="Z4827" s="10"/>
      <c r="AA4827" s="10"/>
      <c r="AB4827" s="10"/>
      <c r="AC4827" s="10"/>
      <c r="AD4827" s="10"/>
      <c r="AE4827" s="10"/>
      <c r="AF4827" s="10"/>
      <c r="AG4827" s="10"/>
      <c r="AH4827" s="10"/>
    </row>
    <row r="4828" spans="1:34" ht="30" outlineLevel="2">
      <c r="A4828" s="179"/>
      <c r="B4828" s="12" t="str">
        <f>IFERROR(VLOOKUP(D4828,'[1]Перечень товаров'!$A$2:$I9525,2,0),"")</f>
        <v/>
      </c>
      <c r="C4828" s="12" t="str">
        <f>IFERROR(VLOOKUP(D4828,'[1]Перечень товаров'!$A$2:$I9525,3,0),"")</f>
        <v/>
      </c>
      <c r="D4828" s="180" t="s">
        <v>809</v>
      </c>
      <c r="E4828" s="61"/>
      <c r="F4828" s="61"/>
      <c r="G4828" s="195"/>
      <c r="H4828" s="195"/>
      <c r="I4828" s="196"/>
      <c r="J4828" s="196"/>
      <c r="K4828" s="19"/>
      <c r="L4828" s="20"/>
      <c r="M4828" s="10"/>
      <c r="N4828" s="10"/>
      <c r="O4828" s="10"/>
      <c r="P4828" s="10"/>
      <c r="Q4828" s="10"/>
      <c r="R4828" s="10"/>
      <c r="S4828" s="10"/>
      <c r="T4828" s="10"/>
      <c r="U4828" s="10"/>
      <c r="V4828" s="10"/>
      <c r="W4828" s="10"/>
      <c r="X4828" s="10"/>
      <c r="Y4828" s="10"/>
      <c r="Z4828" s="10"/>
      <c r="AA4828" s="10"/>
      <c r="AB4828" s="10"/>
      <c r="AC4828" s="10"/>
      <c r="AD4828" s="10"/>
      <c r="AE4828" s="10"/>
      <c r="AF4828" s="10"/>
      <c r="AG4828" s="10"/>
      <c r="AH4828" s="10"/>
    </row>
    <row r="4829" spans="1:34" ht="31.5" outlineLevel="2">
      <c r="A4829" s="191"/>
      <c r="B4829" s="12" t="str">
        <f>IFERROR(VLOOKUP(D4829,'[1]Перечень товаров'!$A$2:$I9525,2,0),"")</f>
        <v>д64</v>
      </c>
      <c r="C4829" s="12" t="str">
        <f>IFERROR(VLOOKUP(D4829,'[1]Перечень товаров'!$A$2:$I9525,3,0),"")</f>
        <v>Дидактика</v>
      </c>
      <c r="D4829" s="192" t="s">
        <v>810</v>
      </c>
      <c r="E4829" s="23"/>
      <c r="F4829" s="23"/>
      <c r="G4829" s="193">
        <v>1</v>
      </c>
      <c r="H4829" s="193"/>
      <c r="I4829" s="194"/>
      <c r="J4829" s="194"/>
      <c r="K4829" s="19"/>
      <c r="L4829" s="20"/>
      <c r="M4829" s="10"/>
      <c r="N4829" s="10"/>
      <c r="O4829" s="10"/>
      <c r="P4829" s="10"/>
      <c r="Q4829" s="10"/>
      <c r="R4829" s="10"/>
      <c r="S4829" s="10"/>
      <c r="T4829" s="10"/>
      <c r="U4829" s="10"/>
      <c r="V4829" s="10"/>
      <c r="W4829" s="10"/>
      <c r="X4829" s="10"/>
      <c r="Y4829" s="10"/>
      <c r="Z4829" s="10"/>
      <c r="AA4829" s="10"/>
      <c r="AB4829" s="10"/>
      <c r="AC4829" s="10"/>
      <c r="AD4829" s="10"/>
      <c r="AE4829" s="10"/>
      <c r="AF4829" s="10"/>
      <c r="AG4829" s="10"/>
      <c r="AH4829" s="10"/>
    </row>
    <row r="4830" spans="1:34" outlineLevel="2">
      <c r="A4830" s="191"/>
      <c r="B4830" s="12" t="str">
        <f>IFERROR(VLOOKUP(D4830,'[1]Перечень товаров'!$A$2:$I9525,2,0),"")</f>
        <v>д65</v>
      </c>
      <c r="C4830" s="12" t="str">
        <f>IFERROR(VLOOKUP(D4830,'[1]Перечень товаров'!$A$2:$I9525,3,0),"")</f>
        <v>Дидактика</v>
      </c>
      <c r="D4830" s="192" t="s">
        <v>811</v>
      </c>
      <c r="E4830" s="23"/>
      <c r="F4830" s="23"/>
      <c r="G4830" s="193">
        <v>1</v>
      </c>
      <c r="H4830" s="193"/>
      <c r="I4830" s="194"/>
      <c r="J4830" s="194"/>
      <c r="K4830" s="19"/>
      <c r="L4830" s="20"/>
      <c r="M4830" s="10"/>
      <c r="N4830" s="10"/>
      <c r="O4830" s="10"/>
      <c r="P4830" s="10"/>
      <c r="Q4830" s="10"/>
      <c r="R4830" s="10"/>
      <c r="S4830" s="10"/>
      <c r="T4830" s="10"/>
      <c r="U4830" s="10"/>
      <c r="V4830" s="10"/>
      <c r="W4830" s="10"/>
      <c r="X4830" s="10"/>
      <c r="Y4830" s="10"/>
      <c r="Z4830" s="10"/>
      <c r="AA4830" s="10"/>
      <c r="AB4830" s="10"/>
      <c r="AC4830" s="10"/>
      <c r="AD4830" s="10"/>
      <c r="AE4830" s="10"/>
      <c r="AF4830" s="10"/>
      <c r="AG4830" s="10"/>
      <c r="AH4830" s="10"/>
    </row>
    <row r="4831" spans="1:34" outlineLevel="2">
      <c r="A4831" s="191"/>
      <c r="B4831" s="12" t="str">
        <f>IFERROR(VLOOKUP(D4831,'[1]Перечень товаров'!$A$2:$I9525,2,0),"")</f>
        <v>д66</v>
      </c>
      <c r="C4831" s="12" t="str">
        <f>IFERROR(VLOOKUP(D4831,'[1]Перечень товаров'!$A$2:$I9525,3,0),"")</f>
        <v>Дидактика</v>
      </c>
      <c r="D4831" s="192" t="s">
        <v>812</v>
      </c>
      <c r="E4831" s="23"/>
      <c r="F4831" s="23"/>
      <c r="G4831" s="193">
        <v>1</v>
      </c>
      <c r="H4831" s="193"/>
      <c r="I4831" s="194"/>
      <c r="J4831" s="194"/>
      <c r="K4831" s="19"/>
      <c r="L4831" s="20"/>
      <c r="M4831" s="10"/>
      <c r="N4831" s="10"/>
      <c r="O4831" s="10"/>
      <c r="P4831" s="10"/>
      <c r="Q4831" s="10"/>
      <c r="R4831" s="10"/>
      <c r="S4831" s="10"/>
      <c r="T4831" s="10"/>
      <c r="U4831" s="10"/>
      <c r="V4831" s="10"/>
      <c r="W4831" s="10"/>
      <c r="X4831" s="10"/>
      <c r="Y4831" s="10"/>
      <c r="Z4831" s="10"/>
      <c r="AA4831" s="10"/>
      <c r="AB4831" s="10"/>
      <c r="AC4831" s="10"/>
      <c r="AD4831" s="10"/>
      <c r="AE4831" s="10"/>
      <c r="AF4831" s="10"/>
      <c r="AG4831" s="10"/>
      <c r="AH4831" s="10"/>
    </row>
    <row r="4832" spans="1:34" outlineLevel="2">
      <c r="A4832" s="191"/>
      <c r="B4832" s="12" t="str">
        <f>IFERROR(VLOOKUP(D4832,'[1]Перечень товаров'!$A$2:$I9525,2,0),"")</f>
        <v>д67</v>
      </c>
      <c r="C4832" s="12" t="str">
        <f>IFERROR(VLOOKUP(D4832,'[1]Перечень товаров'!$A$2:$I9525,3,0),"")</f>
        <v>Дидактика</v>
      </c>
      <c r="D4832" s="192" t="s">
        <v>813</v>
      </c>
      <c r="E4832" s="23"/>
      <c r="F4832" s="23"/>
      <c r="G4832" s="193">
        <v>1</v>
      </c>
      <c r="H4832" s="193"/>
      <c r="I4832" s="194"/>
      <c r="J4832" s="194"/>
      <c r="K4832" s="19"/>
      <c r="L4832" s="20"/>
      <c r="M4832" s="10"/>
      <c r="N4832" s="10"/>
      <c r="O4832" s="10"/>
      <c r="P4832" s="10"/>
      <c r="Q4832" s="10"/>
      <c r="R4832" s="10"/>
      <c r="S4832" s="10"/>
      <c r="T4832" s="10"/>
      <c r="U4832" s="10"/>
      <c r="V4832" s="10"/>
      <c r="W4832" s="10"/>
      <c r="X4832" s="10"/>
      <c r="Y4832" s="10"/>
      <c r="Z4832" s="10"/>
      <c r="AA4832" s="10"/>
      <c r="AB4832" s="10"/>
      <c r="AC4832" s="10"/>
      <c r="AD4832" s="10"/>
      <c r="AE4832" s="10"/>
      <c r="AF4832" s="10"/>
      <c r="AG4832" s="10"/>
      <c r="AH4832" s="10"/>
    </row>
    <row r="4833" spans="1:34" outlineLevel="2">
      <c r="A4833" s="191"/>
      <c r="B4833" s="12" t="str">
        <f>IFERROR(VLOOKUP(D4833,'[1]Перечень товаров'!$A$2:$I9525,2,0),"")</f>
        <v>п90</v>
      </c>
      <c r="C4833" s="12" t="str">
        <f>IFERROR(VLOOKUP(D4833,'[1]Перечень товаров'!$A$2:$I9525,3,0),"")</f>
        <v>Прочее</v>
      </c>
      <c r="D4833" s="192" t="s">
        <v>723</v>
      </c>
      <c r="E4833" s="23"/>
      <c r="F4833" s="23"/>
      <c r="G4833" s="193">
        <v>1</v>
      </c>
      <c r="H4833" s="193"/>
      <c r="I4833" s="194"/>
      <c r="J4833" s="194"/>
      <c r="K4833" s="19"/>
      <c r="L4833" s="20"/>
      <c r="M4833" s="10"/>
      <c r="N4833" s="10"/>
      <c r="O4833" s="10"/>
      <c r="P4833" s="10"/>
      <c r="Q4833" s="10"/>
      <c r="R4833" s="10"/>
      <c r="S4833" s="10"/>
      <c r="T4833" s="10"/>
      <c r="U4833" s="10"/>
      <c r="V4833" s="10"/>
      <c r="W4833" s="10"/>
      <c r="X4833" s="10"/>
      <c r="Y4833" s="10"/>
      <c r="Z4833" s="10"/>
      <c r="AA4833" s="10"/>
      <c r="AB4833" s="10"/>
      <c r="AC4833" s="10"/>
      <c r="AD4833" s="10"/>
      <c r="AE4833" s="10"/>
      <c r="AF4833" s="10"/>
      <c r="AG4833" s="10"/>
      <c r="AH4833" s="10"/>
    </row>
    <row r="4834" spans="1:34" outlineLevel="2">
      <c r="A4834" s="191"/>
      <c r="B4834" s="12" t="str">
        <f>IFERROR(VLOOKUP(D4834,'[1]Перечень товаров'!$A$2:$I9525,2,0),"")</f>
        <v>д68</v>
      </c>
      <c r="C4834" s="12" t="str">
        <f>IFERROR(VLOOKUP(D4834,'[1]Перечень товаров'!$A$2:$I9525,3,0),"")</f>
        <v>Дидактика</v>
      </c>
      <c r="D4834" s="192" t="s">
        <v>814</v>
      </c>
      <c r="E4834" s="23"/>
      <c r="F4834" s="23"/>
      <c r="G4834" s="193">
        <v>3</v>
      </c>
      <c r="H4834" s="193"/>
      <c r="I4834" s="194"/>
      <c r="J4834" s="194"/>
      <c r="K4834" s="19"/>
      <c r="L4834" s="20"/>
      <c r="M4834" s="10"/>
      <c r="N4834" s="10"/>
      <c r="O4834" s="10"/>
      <c r="P4834" s="10"/>
      <c r="Q4834" s="10"/>
      <c r="R4834" s="10"/>
      <c r="S4834" s="10"/>
      <c r="T4834" s="10"/>
      <c r="U4834" s="10"/>
      <c r="V4834" s="10"/>
      <c r="W4834" s="10"/>
      <c r="X4834" s="10"/>
      <c r="Y4834" s="10"/>
      <c r="Z4834" s="10"/>
      <c r="AA4834" s="10"/>
      <c r="AB4834" s="10"/>
      <c r="AC4834" s="10"/>
      <c r="AD4834" s="10"/>
      <c r="AE4834" s="10"/>
      <c r="AF4834" s="10"/>
      <c r="AG4834" s="10"/>
      <c r="AH4834" s="10"/>
    </row>
    <row r="4835" spans="1:34" outlineLevel="2">
      <c r="A4835" s="191"/>
      <c r="B4835" s="12" t="str">
        <f>IFERROR(VLOOKUP(D4835,'[1]Перечень товаров'!$A$2:$I9525,2,0),"")</f>
        <v>д69</v>
      </c>
      <c r="C4835" s="12" t="str">
        <f>IFERROR(VLOOKUP(D4835,'[1]Перечень товаров'!$A$2:$I9525,3,0),"")</f>
        <v>Дидактика</v>
      </c>
      <c r="D4835" s="192" t="s">
        <v>815</v>
      </c>
      <c r="E4835" s="23"/>
      <c r="F4835" s="23"/>
      <c r="G4835" s="193">
        <v>8</v>
      </c>
      <c r="H4835" s="193"/>
      <c r="I4835" s="194"/>
      <c r="J4835" s="194"/>
      <c r="K4835" s="19"/>
      <c r="L4835" s="20"/>
      <c r="M4835" s="10"/>
      <c r="N4835" s="10"/>
      <c r="O4835" s="10"/>
      <c r="P4835" s="10"/>
      <c r="Q4835" s="10"/>
      <c r="R4835" s="10"/>
      <c r="S4835" s="10"/>
      <c r="T4835" s="10"/>
      <c r="U4835" s="10"/>
      <c r="V4835" s="10"/>
      <c r="W4835" s="10"/>
      <c r="X4835" s="10"/>
      <c r="Y4835" s="10"/>
      <c r="Z4835" s="10"/>
      <c r="AA4835" s="10"/>
      <c r="AB4835" s="10"/>
      <c r="AC4835" s="10"/>
      <c r="AD4835" s="10"/>
      <c r="AE4835" s="10"/>
      <c r="AF4835" s="10"/>
      <c r="AG4835" s="10"/>
      <c r="AH4835" s="10"/>
    </row>
    <row r="4836" spans="1:34" outlineLevel="2">
      <c r="A4836" s="191"/>
      <c r="B4836" s="12" t="str">
        <f>IFERROR(VLOOKUP(D4836,'[1]Перечень товаров'!$A$2:$I9525,2,0),"")</f>
        <v>д70</v>
      </c>
      <c r="C4836" s="12" t="str">
        <f>IFERROR(VLOOKUP(D4836,'[1]Перечень товаров'!$A$2:$I9525,3,0),"")</f>
        <v>Дидактика</v>
      </c>
      <c r="D4836" s="192" t="s">
        <v>816</v>
      </c>
      <c r="E4836" s="23"/>
      <c r="F4836" s="23"/>
      <c r="G4836" s="193">
        <v>100</v>
      </c>
      <c r="H4836" s="193"/>
      <c r="I4836" s="194"/>
      <c r="J4836" s="194"/>
      <c r="K4836" s="19"/>
      <c r="L4836" s="20"/>
      <c r="M4836" s="10"/>
      <c r="N4836" s="10"/>
      <c r="O4836" s="10"/>
      <c r="P4836" s="10"/>
      <c r="Q4836" s="10"/>
      <c r="R4836" s="10"/>
      <c r="S4836" s="10"/>
      <c r="T4836" s="10"/>
      <c r="U4836" s="10"/>
      <c r="V4836" s="10"/>
      <c r="W4836" s="10"/>
      <c r="X4836" s="10"/>
      <c r="Y4836" s="10"/>
      <c r="Z4836" s="10"/>
      <c r="AA4836" s="10"/>
      <c r="AB4836" s="10"/>
      <c r="AC4836" s="10"/>
      <c r="AD4836" s="10"/>
      <c r="AE4836" s="10"/>
      <c r="AF4836" s="10"/>
      <c r="AG4836" s="10"/>
      <c r="AH4836" s="10"/>
    </row>
    <row r="4837" spans="1:34" ht="12.75" outlineLevel="1">
      <c r="A4837" s="11"/>
      <c r="B4837" s="12" t="str">
        <f>IFERROR(VLOOKUP(D4837,'[1]Перечень товаров'!$A$2:$I9525,2,0),"")</f>
        <v/>
      </c>
      <c r="C4837" s="12" t="str">
        <f>IFERROR(VLOOKUP(D4837,'[1]Перечень товаров'!$A$2:$I9525,3,0),"")</f>
        <v/>
      </c>
      <c r="D4837" s="27" t="s">
        <v>1378</v>
      </c>
      <c r="E4837" s="14">
        <v>61.2</v>
      </c>
      <c r="F4837" s="14"/>
      <c r="G4837" s="17"/>
      <c r="H4837" s="17"/>
      <c r="I4837" s="57"/>
      <c r="J4837" s="57"/>
      <c r="K4837" s="19"/>
      <c r="L4837" s="20"/>
      <c r="M4837" s="10"/>
      <c r="N4837" s="10"/>
      <c r="O4837" s="10"/>
      <c r="P4837" s="10"/>
      <c r="Q4837" s="10"/>
      <c r="R4837" s="10"/>
      <c r="S4837" s="10"/>
      <c r="T4837" s="10"/>
      <c r="U4837" s="10"/>
      <c r="V4837" s="10"/>
      <c r="W4837" s="10"/>
      <c r="X4837" s="10"/>
      <c r="Y4837" s="10"/>
      <c r="Z4837" s="10"/>
      <c r="AA4837" s="10"/>
      <c r="AB4837" s="10"/>
      <c r="AC4837" s="10"/>
      <c r="AD4837" s="10"/>
      <c r="AE4837" s="10"/>
      <c r="AF4837" s="10"/>
      <c r="AG4837" s="10"/>
      <c r="AH4837" s="10"/>
    </row>
    <row r="4838" spans="1:34" ht="30" outlineLevel="2">
      <c r="A4838" s="189"/>
      <c r="B4838" s="12" t="str">
        <f>IFERROR(VLOOKUP(D4838,'[1]Перечень товаров'!$A$2:$I9525,2,0),"")</f>
        <v/>
      </c>
      <c r="C4838" s="12" t="str">
        <f>IFERROR(VLOOKUP(D4838,'[1]Перечень товаров'!$A$2:$I9525,3,0),"")</f>
        <v/>
      </c>
      <c r="D4838" s="190" t="s">
        <v>740</v>
      </c>
      <c r="E4838" s="61"/>
      <c r="F4838" s="61"/>
      <c r="G4838" s="186"/>
      <c r="H4838" s="186"/>
      <c r="I4838" s="187"/>
      <c r="J4838" s="187"/>
      <c r="K4838" s="19"/>
      <c r="L4838" s="20"/>
      <c r="M4838" s="10"/>
      <c r="N4838" s="10"/>
      <c r="O4838" s="10"/>
      <c r="P4838" s="10"/>
      <c r="Q4838" s="10"/>
      <c r="R4838" s="10"/>
      <c r="S4838" s="10"/>
      <c r="T4838" s="10"/>
      <c r="U4838" s="10"/>
      <c r="V4838" s="10"/>
      <c r="W4838" s="10"/>
      <c r="X4838" s="10"/>
      <c r="Y4838" s="10"/>
      <c r="Z4838" s="10"/>
      <c r="AA4838" s="10"/>
      <c r="AB4838" s="10"/>
      <c r="AC4838" s="10"/>
      <c r="AD4838" s="10"/>
      <c r="AE4838" s="10"/>
      <c r="AF4838" s="10"/>
      <c r="AG4838" s="10"/>
      <c r="AH4838" s="10"/>
    </row>
    <row r="4839" spans="1:34" ht="30" outlineLevel="2">
      <c r="A4839" s="179"/>
      <c r="B4839" s="12" t="str">
        <f>IFERROR(VLOOKUP(D4839,'[1]Перечень товаров'!$A$2:$I9525,2,0),"")</f>
        <v/>
      </c>
      <c r="C4839" s="12" t="str">
        <f>IFERROR(VLOOKUP(D4839,'[1]Перечень товаров'!$A$2:$I9525,3,0),"")</f>
        <v/>
      </c>
      <c r="D4839" s="180" t="s">
        <v>668</v>
      </c>
      <c r="E4839" s="61"/>
      <c r="F4839" s="61"/>
      <c r="G4839" s="186"/>
      <c r="H4839" s="186"/>
      <c r="I4839" s="187"/>
      <c r="J4839" s="187"/>
      <c r="K4839" s="19"/>
      <c r="L4839" s="20"/>
      <c r="M4839" s="10"/>
      <c r="N4839" s="10"/>
      <c r="O4839" s="10"/>
      <c r="P4839" s="10"/>
      <c r="Q4839" s="10"/>
      <c r="R4839" s="10"/>
      <c r="S4839" s="10"/>
      <c r="T4839" s="10"/>
      <c r="U4839" s="10"/>
      <c r="V4839" s="10"/>
      <c r="W4839" s="10"/>
      <c r="X4839" s="10"/>
      <c r="Y4839" s="10"/>
      <c r="Z4839" s="10"/>
      <c r="AA4839" s="10"/>
      <c r="AB4839" s="10"/>
      <c r="AC4839" s="10"/>
      <c r="AD4839" s="10"/>
      <c r="AE4839" s="10"/>
      <c r="AF4839" s="10"/>
      <c r="AG4839" s="10"/>
      <c r="AH4839" s="10"/>
    </row>
    <row r="4840" spans="1:34" outlineLevel="2">
      <c r="A4840" s="191"/>
      <c r="B4840" s="12" t="str">
        <f>IFERROR(VLOOKUP(D4840,'[1]Перечень товаров'!$A$2:$I9525,2,0),"")</f>
        <v>т9</v>
      </c>
      <c r="C4840" s="12" t="str">
        <f>IFERROR(VLOOKUP(D4840,'[1]Перечень товаров'!$A$2:$I9525,3,0),"")</f>
        <v>Техника</v>
      </c>
      <c r="D4840" s="192" t="s">
        <v>36</v>
      </c>
      <c r="E4840" s="23"/>
      <c r="F4840" s="23"/>
      <c r="G4840" s="193">
        <v>1</v>
      </c>
      <c r="H4840" s="193"/>
      <c r="I4840" s="194"/>
      <c r="J4840" s="194"/>
      <c r="K4840" s="19"/>
      <c r="L4840" s="20"/>
      <c r="M4840" s="10"/>
      <c r="N4840" s="10"/>
      <c r="O4840" s="10"/>
      <c r="P4840" s="10"/>
      <c r="Q4840" s="10"/>
      <c r="R4840" s="10"/>
      <c r="S4840" s="10"/>
      <c r="T4840" s="10"/>
      <c r="U4840" s="10"/>
      <c r="V4840" s="10"/>
      <c r="W4840" s="10"/>
      <c r="X4840" s="10"/>
      <c r="Y4840" s="10"/>
      <c r="Z4840" s="10"/>
      <c r="AA4840" s="10"/>
      <c r="AB4840" s="10"/>
      <c r="AC4840" s="10"/>
      <c r="AD4840" s="10"/>
      <c r="AE4840" s="10"/>
      <c r="AF4840" s="10"/>
      <c r="AG4840" s="10"/>
      <c r="AH4840" s="10"/>
    </row>
    <row r="4841" spans="1:34" outlineLevel="2">
      <c r="A4841" s="191"/>
      <c r="B4841" s="12" t="str">
        <f>IFERROR(VLOOKUP(D4841,'[1]Перечень товаров'!$A$2:$I9525,2,0),"")</f>
        <v>т234</v>
      </c>
      <c r="C4841" s="12" t="str">
        <f>IFERROR(VLOOKUP(D4841,'[1]Перечень товаров'!$A$2:$I9525,3,0),"")</f>
        <v>Техника</v>
      </c>
      <c r="D4841" s="192" t="s">
        <v>741</v>
      </c>
      <c r="E4841" s="23"/>
      <c r="F4841" s="23"/>
      <c r="G4841" s="193">
        <v>1</v>
      </c>
      <c r="H4841" s="193"/>
      <c r="I4841" s="194"/>
      <c r="J4841" s="194"/>
      <c r="K4841" s="19"/>
      <c r="L4841" s="20"/>
      <c r="M4841" s="10"/>
      <c r="N4841" s="10"/>
      <c r="O4841" s="10"/>
      <c r="P4841" s="10"/>
      <c r="Q4841" s="10"/>
      <c r="R4841" s="10"/>
      <c r="S4841" s="10"/>
      <c r="T4841" s="10"/>
      <c r="U4841" s="10"/>
      <c r="V4841" s="10"/>
      <c r="W4841" s="10"/>
      <c r="X4841" s="10"/>
      <c r="Y4841" s="10"/>
      <c r="Z4841" s="10"/>
      <c r="AA4841" s="10"/>
      <c r="AB4841" s="10"/>
      <c r="AC4841" s="10"/>
      <c r="AD4841" s="10"/>
      <c r="AE4841" s="10"/>
      <c r="AF4841" s="10"/>
      <c r="AG4841" s="10"/>
      <c r="AH4841" s="10"/>
    </row>
    <row r="4842" spans="1:34" outlineLevel="2">
      <c r="A4842" s="191"/>
      <c r="B4842" s="12" t="str">
        <f>IFERROR(VLOOKUP(D4842,'[1]Перечень товаров'!$A$2:$I9525,2,0),"")</f>
        <v>т1</v>
      </c>
      <c r="C4842" s="12" t="str">
        <f>IFERROR(VLOOKUP(D4842,'[1]Перечень товаров'!$A$2:$I9525,3,0),"")</f>
        <v xml:space="preserve">Техника </v>
      </c>
      <c r="D4842" s="22" t="s">
        <v>28</v>
      </c>
      <c r="E4842" s="23"/>
      <c r="F4842" s="23"/>
      <c r="G4842" s="193">
        <v>1</v>
      </c>
      <c r="H4842" s="193"/>
      <c r="I4842" s="194"/>
      <c r="J4842" s="194"/>
      <c r="K4842" s="19"/>
      <c r="L4842" s="20"/>
      <c r="M4842" s="10"/>
      <c r="N4842" s="10"/>
      <c r="O4842" s="10"/>
      <c r="P4842" s="10"/>
      <c r="Q4842" s="10"/>
      <c r="R4842" s="10"/>
      <c r="S4842" s="10"/>
      <c r="T4842" s="10"/>
      <c r="U4842" s="10"/>
      <c r="V4842" s="10"/>
      <c r="W4842" s="10"/>
      <c r="X4842" s="10"/>
      <c r="Y4842" s="10"/>
      <c r="Z4842" s="10"/>
      <c r="AA4842" s="10"/>
      <c r="AB4842" s="10"/>
      <c r="AC4842" s="10"/>
      <c r="AD4842" s="10"/>
      <c r="AE4842" s="10"/>
      <c r="AF4842" s="10"/>
      <c r="AG4842" s="10"/>
      <c r="AH4842" s="10"/>
    </row>
    <row r="4843" spans="1:34" outlineLevel="2">
      <c r="A4843" s="191"/>
      <c r="B4843" s="12" t="str">
        <f>IFERROR(VLOOKUP(D4843,'[1]Перечень товаров'!$A$2:$I9525,2,0),"")</f>
        <v>т235</v>
      </c>
      <c r="C4843" s="12" t="str">
        <f>IFERROR(VLOOKUP(D4843,'[1]Перечень товаров'!$A$2:$I9525,3,0),"")</f>
        <v>Техника</v>
      </c>
      <c r="D4843" s="192" t="s">
        <v>742</v>
      </c>
      <c r="E4843" s="23"/>
      <c r="F4843" s="23"/>
      <c r="G4843" s="193">
        <v>1</v>
      </c>
      <c r="H4843" s="193"/>
      <c r="I4843" s="194"/>
      <c r="J4843" s="194"/>
      <c r="K4843" s="19"/>
      <c r="L4843" s="20"/>
      <c r="M4843" s="10"/>
      <c r="N4843" s="10"/>
      <c r="O4843" s="10"/>
      <c r="P4843" s="10"/>
      <c r="Q4843" s="10"/>
      <c r="R4843" s="10"/>
      <c r="S4843" s="10"/>
      <c r="T4843" s="10"/>
      <c r="U4843" s="10"/>
      <c r="V4843" s="10"/>
      <c r="W4843" s="10"/>
      <c r="X4843" s="10"/>
      <c r="Y4843" s="10"/>
      <c r="Z4843" s="10"/>
      <c r="AA4843" s="10"/>
      <c r="AB4843" s="10"/>
      <c r="AC4843" s="10"/>
      <c r="AD4843" s="10"/>
      <c r="AE4843" s="10"/>
      <c r="AF4843" s="10"/>
      <c r="AG4843" s="10"/>
      <c r="AH4843" s="10"/>
    </row>
    <row r="4844" spans="1:34" outlineLevel="2">
      <c r="A4844" s="191"/>
      <c r="B4844" s="12" t="str">
        <f>IFERROR(VLOOKUP(D4844,'[1]Перечень товаров'!$A$2:$I9525,2,0),"")</f>
        <v>т8</v>
      </c>
      <c r="C4844" s="12" t="str">
        <f>IFERROR(VLOOKUP(D4844,'[1]Перечень товаров'!$A$2:$I9525,3,0),"")</f>
        <v xml:space="preserve">Техника </v>
      </c>
      <c r="D4844" s="192" t="s">
        <v>35</v>
      </c>
      <c r="E4844" s="23"/>
      <c r="F4844" s="23"/>
      <c r="G4844" s="193">
        <v>1</v>
      </c>
      <c r="H4844" s="193"/>
      <c r="I4844" s="194"/>
      <c r="J4844" s="194"/>
      <c r="K4844" s="19"/>
      <c r="L4844" s="20"/>
      <c r="M4844" s="10"/>
      <c r="N4844" s="10"/>
      <c r="O4844" s="10"/>
      <c r="P4844" s="10"/>
      <c r="Q4844" s="10"/>
      <c r="R4844" s="10"/>
      <c r="S4844" s="10"/>
      <c r="T4844" s="10"/>
      <c r="U4844" s="10"/>
      <c r="V4844" s="10"/>
      <c r="W4844" s="10"/>
      <c r="X4844" s="10"/>
      <c r="Y4844" s="10"/>
      <c r="Z4844" s="10"/>
      <c r="AA4844" s="10"/>
      <c r="AB4844" s="10"/>
      <c r="AC4844" s="10"/>
      <c r="AD4844" s="10"/>
      <c r="AE4844" s="10"/>
      <c r="AF4844" s="10"/>
      <c r="AG4844" s="10"/>
      <c r="AH4844" s="10"/>
    </row>
    <row r="4845" spans="1:34" outlineLevel="2">
      <c r="A4845" s="191"/>
      <c r="B4845" s="12" t="str">
        <f>IFERROR(VLOOKUP(D4845,'[1]Перечень товаров'!$A$2:$I9525,2,0),"")</f>
        <v>т236</v>
      </c>
      <c r="C4845" s="12" t="str">
        <f>IFERROR(VLOOKUP(D4845,'[1]Перечень товаров'!$A$2:$I9525,3,0),"")</f>
        <v>Техника</v>
      </c>
      <c r="D4845" s="192" t="s">
        <v>743</v>
      </c>
      <c r="E4845" s="23"/>
      <c r="F4845" s="23"/>
      <c r="G4845" s="193">
        <v>1</v>
      </c>
      <c r="H4845" s="193"/>
      <c r="I4845" s="194"/>
      <c r="J4845" s="194"/>
      <c r="K4845" s="19"/>
      <c r="L4845" s="20"/>
      <c r="M4845" s="10"/>
      <c r="N4845" s="10"/>
      <c r="O4845" s="10"/>
      <c r="P4845" s="10"/>
      <c r="Q4845" s="10"/>
      <c r="R4845" s="10"/>
      <c r="S4845" s="10"/>
      <c r="T4845" s="10"/>
      <c r="U4845" s="10"/>
      <c r="V4845" s="10"/>
      <c r="W4845" s="10"/>
      <c r="X4845" s="10"/>
      <c r="Y4845" s="10"/>
      <c r="Z4845" s="10"/>
      <c r="AA4845" s="10"/>
      <c r="AB4845" s="10"/>
      <c r="AC4845" s="10"/>
      <c r="AD4845" s="10"/>
      <c r="AE4845" s="10"/>
      <c r="AF4845" s="10"/>
      <c r="AG4845" s="10"/>
      <c r="AH4845" s="10"/>
    </row>
    <row r="4846" spans="1:34" outlineLevel="2">
      <c r="A4846" s="191"/>
      <c r="B4846" s="12" t="str">
        <f>IFERROR(VLOOKUP(D4846,'[1]Перечень товаров'!$A$2:$I9525,2,0),"")</f>
        <v>т237</v>
      </c>
      <c r="C4846" s="12" t="str">
        <f>IFERROR(VLOOKUP(D4846,'[1]Перечень товаров'!$A$2:$I9525,3,0),"")</f>
        <v>Техника</v>
      </c>
      <c r="D4846" s="192" t="s">
        <v>744</v>
      </c>
      <c r="E4846" s="23"/>
      <c r="F4846" s="23"/>
      <c r="G4846" s="193">
        <v>1</v>
      </c>
      <c r="H4846" s="193"/>
      <c r="I4846" s="194"/>
      <c r="J4846" s="194"/>
      <c r="K4846" s="19"/>
      <c r="L4846" s="20"/>
      <c r="M4846" s="10"/>
      <c r="N4846" s="10"/>
      <c r="O4846" s="10"/>
      <c r="P4846" s="10"/>
      <c r="Q4846" s="10"/>
      <c r="R4846" s="10"/>
      <c r="S4846" s="10"/>
      <c r="T4846" s="10"/>
      <c r="U4846" s="10"/>
      <c r="V4846" s="10"/>
      <c r="W4846" s="10"/>
      <c r="X4846" s="10"/>
      <c r="Y4846" s="10"/>
      <c r="Z4846" s="10"/>
      <c r="AA4846" s="10"/>
      <c r="AB4846" s="10"/>
      <c r="AC4846" s="10"/>
      <c r="AD4846" s="10"/>
      <c r="AE4846" s="10"/>
      <c r="AF4846" s="10"/>
      <c r="AG4846" s="10"/>
      <c r="AH4846" s="10"/>
    </row>
    <row r="4847" spans="1:34" ht="31.5" outlineLevel="2">
      <c r="A4847" s="191"/>
      <c r="B4847" s="12" t="str">
        <f>IFERROR(VLOOKUP(D4847,'[1]Перечень товаров'!$A$2:$I9525,2,0),"")</f>
        <v>т238</v>
      </c>
      <c r="C4847" s="12" t="str">
        <f>IFERROR(VLOOKUP(D4847,'[1]Перечень товаров'!$A$2:$I9525,3,0),"")</f>
        <v>Техника</v>
      </c>
      <c r="D4847" s="192" t="s">
        <v>745</v>
      </c>
      <c r="E4847" s="23"/>
      <c r="F4847" s="23"/>
      <c r="G4847" s="193">
        <v>1</v>
      </c>
      <c r="H4847" s="193"/>
      <c r="I4847" s="194"/>
      <c r="J4847" s="194"/>
      <c r="K4847" s="19"/>
      <c r="L4847" s="20"/>
      <c r="M4847" s="10"/>
      <c r="N4847" s="10"/>
      <c r="O4847" s="10"/>
      <c r="P4847" s="10"/>
      <c r="Q4847" s="10"/>
      <c r="R4847" s="10"/>
      <c r="S4847" s="10"/>
      <c r="T4847" s="10"/>
      <c r="U4847" s="10"/>
      <c r="V4847" s="10"/>
      <c r="W4847" s="10"/>
      <c r="X4847" s="10"/>
      <c r="Y4847" s="10"/>
      <c r="Z4847" s="10"/>
      <c r="AA4847" s="10"/>
      <c r="AB4847" s="10"/>
      <c r="AC4847" s="10"/>
      <c r="AD4847" s="10"/>
      <c r="AE4847" s="10"/>
      <c r="AF4847" s="10"/>
      <c r="AG4847" s="10"/>
      <c r="AH4847" s="10"/>
    </row>
    <row r="4848" spans="1:34" ht="15" outlineLevel="2">
      <c r="A4848" s="181"/>
      <c r="B4848" s="12" t="str">
        <f>IFERROR(VLOOKUP(D4848,'[1]Перечень товаров'!$A$2:$I9525,2,0),"")</f>
        <v/>
      </c>
      <c r="C4848" s="12" t="str">
        <f>IFERROR(VLOOKUP(D4848,'[1]Перечень товаров'!$A$2:$I9525,3,0),"")</f>
        <v/>
      </c>
      <c r="D4848" s="182" t="s">
        <v>19</v>
      </c>
      <c r="E4848" s="45"/>
      <c r="F4848" s="45"/>
      <c r="G4848" s="195"/>
      <c r="H4848" s="195"/>
      <c r="I4848" s="196"/>
      <c r="J4848" s="196"/>
      <c r="K4848" s="19"/>
      <c r="L4848" s="20"/>
      <c r="M4848" s="10"/>
      <c r="N4848" s="10"/>
      <c r="O4848" s="10"/>
      <c r="P4848" s="10"/>
      <c r="Q4848" s="10"/>
      <c r="R4848" s="10"/>
      <c r="S4848" s="10"/>
      <c r="T4848" s="10"/>
      <c r="U4848" s="10"/>
      <c r="V4848" s="10"/>
      <c r="W4848" s="10"/>
      <c r="X4848" s="10"/>
      <c r="Y4848" s="10"/>
      <c r="Z4848" s="10"/>
      <c r="AA4848" s="10"/>
      <c r="AB4848" s="10"/>
      <c r="AC4848" s="10"/>
      <c r="AD4848" s="10"/>
      <c r="AE4848" s="10"/>
      <c r="AF4848" s="10"/>
      <c r="AG4848" s="10"/>
      <c r="AH4848" s="10"/>
    </row>
    <row r="4849" spans="1:34" ht="31.5" outlineLevel="2">
      <c r="A4849" s="191"/>
      <c r="B4849" s="12" t="str">
        <f>IFERROR(VLOOKUP(D4849,'[1]Перечень товаров'!$A$2:$I9525,2,0),"")</f>
        <v>м205</v>
      </c>
      <c r="C4849" s="12" t="str">
        <f>IFERROR(VLOOKUP(D4849,'[1]Перечень товаров'!$A$2:$I9525,3,0),"")</f>
        <v>Мебель</v>
      </c>
      <c r="D4849" s="192" t="s">
        <v>20</v>
      </c>
      <c r="E4849" s="23"/>
      <c r="F4849" s="23"/>
      <c r="G4849" s="193">
        <v>1</v>
      </c>
      <c r="H4849" s="193"/>
      <c r="I4849" s="194"/>
      <c r="J4849" s="194"/>
      <c r="K4849" s="19"/>
      <c r="L4849" s="20"/>
      <c r="M4849" s="10"/>
      <c r="N4849" s="10"/>
      <c r="O4849" s="10"/>
      <c r="P4849" s="10"/>
      <c r="Q4849" s="10"/>
      <c r="R4849" s="10"/>
      <c r="S4849" s="10"/>
      <c r="T4849" s="10"/>
      <c r="U4849" s="10"/>
      <c r="V4849" s="10"/>
      <c r="W4849" s="10"/>
      <c r="X4849" s="10"/>
      <c r="Y4849" s="10"/>
      <c r="Z4849" s="10"/>
      <c r="AA4849" s="10"/>
      <c r="AB4849" s="10"/>
      <c r="AC4849" s="10"/>
      <c r="AD4849" s="10"/>
      <c r="AE4849" s="10"/>
      <c r="AF4849" s="10"/>
      <c r="AG4849" s="10"/>
      <c r="AH4849" s="10"/>
    </row>
    <row r="4850" spans="1:34" ht="31.5" outlineLevel="2">
      <c r="A4850" s="191"/>
      <c r="B4850" s="12" t="str">
        <f>IFERROR(VLOOKUP(D4850,'[1]Перечень товаров'!$A$2:$I9525,2,0),"")</f>
        <v>м206</v>
      </c>
      <c r="C4850" s="12" t="str">
        <f>IFERROR(VLOOKUP(D4850,'[1]Перечень товаров'!$A$2:$I9525,3,0),"")</f>
        <v>Мебель</v>
      </c>
      <c r="D4850" s="192" t="s">
        <v>746</v>
      </c>
      <c r="E4850" s="23"/>
      <c r="F4850" s="23"/>
      <c r="G4850" s="193">
        <v>1</v>
      </c>
      <c r="H4850" s="193"/>
      <c r="I4850" s="194"/>
      <c r="J4850" s="194"/>
      <c r="K4850" s="19"/>
      <c r="L4850" s="20"/>
      <c r="M4850" s="10"/>
      <c r="N4850" s="10"/>
      <c r="O4850" s="10"/>
      <c r="P4850" s="10"/>
      <c r="Q4850" s="10"/>
      <c r="R4850" s="10"/>
      <c r="S4850" s="10"/>
      <c r="T4850" s="10"/>
      <c r="U4850" s="10"/>
      <c r="V4850" s="10"/>
      <c r="W4850" s="10"/>
      <c r="X4850" s="10"/>
      <c r="Y4850" s="10"/>
      <c r="Z4850" s="10"/>
      <c r="AA4850" s="10"/>
      <c r="AB4850" s="10"/>
      <c r="AC4850" s="10"/>
      <c r="AD4850" s="10"/>
      <c r="AE4850" s="10"/>
      <c r="AF4850" s="10"/>
      <c r="AG4850" s="10"/>
      <c r="AH4850" s="10"/>
    </row>
    <row r="4851" spans="1:34" ht="31.5" outlineLevel="2">
      <c r="A4851" s="191"/>
      <c r="B4851" s="12" t="str">
        <f>IFERROR(VLOOKUP(D4851,'[1]Перечень товаров'!$A$2:$I9525,2,0),"")</f>
        <v>м207</v>
      </c>
      <c r="C4851" s="12" t="str">
        <f>IFERROR(VLOOKUP(D4851,'[1]Перечень товаров'!$A$2:$I9525,3,0),"")</f>
        <v>Мебель</v>
      </c>
      <c r="D4851" s="192" t="s">
        <v>747</v>
      </c>
      <c r="E4851" s="23"/>
      <c r="F4851" s="23"/>
      <c r="G4851" s="193">
        <v>13</v>
      </c>
      <c r="H4851" s="193"/>
      <c r="I4851" s="194"/>
      <c r="J4851" s="194"/>
      <c r="K4851" s="19"/>
      <c r="L4851" s="20"/>
      <c r="M4851" s="10"/>
      <c r="N4851" s="10"/>
      <c r="O4851" s="10"/>
      <c r="P4851" s="10"/>
      <c r="Q4851" s="10"/>
      <c r="R4851" s="10"/>
      <c r="S4851" s="10"/>
      <c r="T4851" s="10"/>
      <c r="U4851" s="10"/>
      <c r="V4851" s="10"/>
      <c r="W4851" s="10"/>
      <c r="X4851" s="10"/>
      <c r="Y4851" s="10"/>
      <c r="Z4851" s="10"/>
      <c r="AA4851" s="10"/>
      <c r="AB4851" s="10"/>
      <c r="AC4851" s="10"/>
      <c r="AD4851" s="10"/>
      <c r="AE4851" s="10"/>
      <c r="AF4851" s="10"/>
      <c r="AG4851" s="10"/>
      <c r="AH4851" s="10"/>
    </row>
    <row r="4852" spans="1:34" outlineLevel="2">
      <c r="A4852" s="191"/>
      <c r="B4852" s="12" t="str">
        <f>IFERROR(VLOOKUP(D4852,'[1]Перечень товаров'!$A$2:$I9525,2,0),"")</f>
        <v>м208</v>
      </c>
      <c r="C4852" s="12" t="str">
        <f>IFERROR(VLOOKUP(D4852,'[1]Перечень товаров'!$A$2:$I9525,3,0),"")</f>
        <v>Мебель</v>
      </c>
      <c r="D4852" s="192" t="s">
        <v>748</v>
      </c>
      <c r="E4852" s="23"/>
      <c r="F4852" s="23"/>
      <c r="G4852" s="193">
        <v>26</v>
      </c>
      <c r="H4852" s="193"/>
      <c r="I4852" s="194"/>
      <c r="J4852" s="194"/>
      <c r="K4852" s="19"/>
      <c r="L4852" s="20"/>
      <c r="M4852" s="10"/>
      <c r="N4852" s="10"/>
      <c r="O4852" s="10"/>
      <c r="P4852" s="10"/>
      <c r="Q4852" s="10"/>
      <c r="R4852" s="10"/>
      <c r="S4852" s="10"/>
      <c r="T4852" s="10"/>
      <c r="U4852" s="10"/>
      <c r="V4852" s="10"/>
      <c r="W4852" s="10"/>
      <c r="X4852" s="10"/>
      <c r="Y4852" s="10"/>
      <c r="Z4852" s="10"/>
      <c r="AA4852" s="10"/>
      <c r="AB4852" s="10"/>
      <c r="AC4852" s="10"/>
      <c r="AD4852" s="10"/>
      <c r="AE4852" s="10"/>
      <c r="AF4852" s="10"/>
      <c r="AG4852" s="10"/>
      <c r="AH4852" s="10"/>
    </row>
    <row r="4853" spans="1:34" outlineLevel="2">
      <c r="A4853" s="191"/>
      <c r="B4853" s="12" t="str">
        <f>IFERROR(VLOOKUP(D4853,'[1]Перечень товаров'!$A$2:$I9525,2,0),"")</f>
        <v>м209</v>
      </c>
      <c r="C4853" s="12" t="str">
        <f>IFERROR(VLOOKUP(D4853,'[1]Перечень товаров'!$A$2:$I9525,3,0),"")</f>
        <v>Мебель</v>
      </c>
      <c r="D4853" s="192" t="s">
        <v>749</v>
      </c>
      <c r="E4853" s="23"/>
      <c r="F4853" s="23"/>
      <c r="G4853" s="193">
        <v>1</v>
      </c>
      <c r="H4853" s="193"/>
      <c r="I4853" s="194"/>
      <c r="J4853" s="194"/>
      <c r="K4853" s="19"/>
      <c r="L4853" s="20"/>
      <c r="M4853" s="10"/>
      <c r="N4853" s="10"/>
      <c r="O4853" s="10"/>
      <c r="P4853" s="10"/>
      <c r="Q4853" s="10"/>
      <c r="R4853" s="10"/>
      <c r="S4853" s="10"/>
      <c r="T4853" s="10"/>
      <c r="U4853" s="10"/>
      <c r="V4853" s="10"/>
      <c r="W4853" s="10"/>
      <c r="X4853" s="10"/>
      <c r="Y4853" s="10"/>
      <c r="Z4853" s="10"/>
      <c r="AA4853" s="10"/>
      <c r="AB4853" s="10"/>
      <c r="AC4853" s="10"/>
      <c r="AD4853" s="10"/>
      <c r="AE4853" s="10"/>
      <c r="AF4853" s="10"/>
      <c r="AG4853" s="10"/>
      <c r="AH4853" s="10"/>
    </row>
    <row r="4854" spans="1:34" ht="47.25" outlineLevel="2">
      <c r="A4854" s="191"/>
      <c r="B4854" s="12" t="str">
        <f>IFERROR(VLOOKUP(D4854,'[1]Перечень товаров'!$A$2:$I9525,2,0),"")</f>
        <v>м210</v>
      </c>
      <c r="C4854" s="12" t="str">
        <f>IFERROR(VLOOKUP(D4854,'[1]Перечень товаров'!$A$2:$I9525,3,0),"")</f>
        <v>Мебель</v>
      </c>
      <c r="D4854" s="192" t="s">
        <v>750</v>
      </c>
      <c r="E4854" s="23"/>
      <c r="F4854" s="23"/>
      <c r="G4854" s="193">
        <v>2</v>
      </c>
      <c r="H4854" s="193"/>
      <c r="I4854" s="194"/>
      <c r="J4854" s="194"/>
      <c r="K4854" s="19"/>
      <c r="L4854" s="20"/>
      <c r="M4854" s="10"/>
      <c r="N4854" s="10"/>
      <c r="O4854" s="10"/>
      <c r="P4854" s="10"/>
      <c r="Q4854" s="10"/>
      <c r="R4854" s="10"/>
      <c r="S4854" s="10"/>
      <c r="T4854" s="10"/>
      <c r="U4854" s="10"/>
      <c r="V4854" s="10"/>
      <c r="W4854" s="10"/>
      <c r="X4854" s="10"/>
      <c r="Y4854" s="10"/>
      <c r="Z4854" s="10"/>
      <c r="AA4854" s="10"/>
      <c r="AB4854" s="10"/>
      <c r="AC4854" s="10"/>
      <c r="AD4854" s="10"/>
      <c r="AE4854" s="10"/>
      <c r="AF4854" s="10"/>
      <c r="AG4854" s="10"/>
      <c r="AH4854" s="10"/>
    </row>
    <row r="4855" spans="1:34" ht="47.25" outlineLevel="2">
      <c r="A4855" s="191"/>
      <c r="B4855" s="12" t="str">
        <f>IFERROR(VLOOKUP(D4855,'[1]Перечень товаров'!$A$2:$I9525,2,0),"")</f>
        <v>п91</v>
      </c>
      <c r="C4855" s="12" t="str">
        <f>IFERROR(VLOOKUP(D4855,'[1]Перечень товаров'!$A$2:$I9525,3,0),"")</f>
        <v>Прочее</v>
      </c>
      <c r="D4855" s="192" t="s">
        <v>751</v>
      </c>
      <c r="E4855" s="23"/>
      <c r="F4855" s="23"/>
      <c r="G4855" s="193">
        <v>1</v>
      </c>
      <c r="H4855" s="193"/>
      <c r="I4855" s="194"/>
      <c r="J4855" s="194"/>
      <c r="K4855" s="19"/>
      <c r="L4855" s="20"/>
      <c r="M4855" s="10"/>
      <c r="N4855" s="10"/>
      <c r="O4855" s="10"/>
      <c r="P4855" s="10"/>
      <c r="Q4855" s="10"/>
      <c r="R4855" s="10"/>
      <c r="S4855" s="10"/>
      <c r="T4855" s="10"/>
      <c r="U4855" s="10"/>
      <c r="V4855" s="10"/>
      <c r="W4855" s="10"/>
      <c r="X4855" s="10"/>
      <c r="Y4855" s="10"/>
      <c r="Z4855" s="10"/>
      <c r="AA4855" s="10"/>
      <c r="AB4855" s="10"/>
      <c r="AC4855" s="10"/>
      <c r="AD4855" s="10"/>
      <c r="AE4855" s="10"/>
      <c r="AF4855" s="10"/>
      <c r="AG4855" s="10"/>
      <c r="AH4855" s="10"/>
    </row>
    <row r="4856" spans="1:34" ht="15" outlineLevel="2">
      <c r="A4856" s="179"/>
      <c r="B4856" s="12" t="str">
        <f>IFERROR(VLOOKUP(D4856,'[1]Перечень товаров'!$A$2:$I9525,2,0),"")</f>
        <v/>
      </c>
      <c r="C4856" s="12" t="str">
        <f>IFERROR(VLOOKUP(D4856,'[1]Перечень товаров'!$A$2:$I9525,3,0),"")</f>
        <v/>
      </c>
      <c r="D4856" s="180" t="s">
        <v>752</v>
      </c>
      <c r="E4856" s="61"/>
      <c r="F4856" s="61"/>
      <c r="G4856" s="195"/>
      <c r="H4856" s="195"/>
      <c r="I4856" s="196"/>
      <c r="J4856" s="196"/>
      <c r="K4856" s="19"/>
      <c r="L4856" s="20"/>
      <c r="M4856" s="10"/>
      <c r="N4856" s="10"/>
      <c r="O4856" s="10"/>
      <c r="P4856" s="10"/>
      <c r="Q4856" s="10"/>
      <c r="R4856" s="10"/>
      <c r="S4856" s="10"/>
      <c r="T4856" s="10"/>
      <c r="U4856" s="10"/>
      <c r="V4856" s="10"/>
      <c r="W4856" s="10"/>
      <c r="X4856" s="10"/>
      <c r="Y4856" s="10"/>
      <c r="Z4856" s="10"/>
      <c r="AA4856" s="10"/>
      <c r="AB4856" s="10"/>
      <c r="AC4856" s="10"/>
      <c r="AD4856" s="10"/>
      <c r="AE4856" s="10"/>
      <c r="AF4856" s="10"/>
      <c r="AG4856" s="10"/>
      <c r="AH4856" s="10"/>
    </row>
    <row r="4857" spans="1:34" ht="15" outlineLevel="2">
      <c r="A4857" s="179"/>
      <c r="B4857" s="12" t="str">
        <f>IFERROR(VLOOKUP(D4857,'[1]Перечень товаров'!$A$2:$I9525,2,0),"")</f>
        <v/>
      </c>
      <c r="C4857" s="12" t="str">
        <f>IFERROR(VLOOKUP(D4857,'[1]Перечень товаров'!$A$2:$I9525,3,0),"")</f>
        <v/>
      </c>
      <c r="D4857" s="180" t="s">
        <v>753</v>
      </c>
      <c r="E4857" s="61"/>
      <c r="F4857" s="61"/>
      <c r="G4857" s="195"/>
      <c r="H4857" s="195"/>
      <c r="I4857" s="196"/>
      <c r="J4857" s="196"/>
      <c r="K4857" s="19"/>
      <c r="L4857" s="20"/>
      <c r="M4857" s="10"/>
      <c r="N4857" s="10"/>
      <c r="O4857" s="10"/>
      <c r="P4857" s="10"/>
      <c r="Q4857" s="10"/>
      <c r="R4857" s="10"/>
      <c r="S4857" s="10"/>
      <c r="T4857" s="10"/>
      <c r="U4857" s="10"/>
      <c r="V4857" s="10"/>
      <c r="W4857" s="10"/>
      <c r="X4857" s="10"/>
      <c r="Y4857" s="10"/>
      <c r="Z4857" s="10"/>
      <c r="AA4857" s="10"/>
      <c r="AB4857" s="10"/>
      <c r="AC4857" s="10"/>
      <c r="AD4857" s="10"/>
      <c r="AE4857" s="10"/>
      <c r="AF4857" s="10"/>
      <c r="AG4857" s="10"/>
      <c r="AH4857" s="10"/>
    </row>
    <row r="4858" spans="1:34" ht="31.5" outlineLevel="2">
      <c r="A4858" s="191"/>
      <c r="B4858" s="12" t="str">
        <f>IFERROR(VLOOKUP(D4858,'[1]Перечень товаров'!$A$2:$I9525,2,0),"")</f>
        <v>д13</v>
      </c>
      <c r="C4858" s="12" t="str">
        <f>IFERROR(VLOOKUP(D4858,'[1]Перечень товаров'!$A$2:$I9525,3,0),"")</f>
        <v>Дидактика</v>
      </c>
      <c r="D4858" s="192" t="s">
        <v>754</v>
      </c>
      <c r="E4858" s="23"/>
      <c r="F4858" s="23"/>
      <c r="G4858" s="193">
        <v>1</v>
      </c>
      <c r="H4858" s="193"/>
      <c r="I4858" s="194"/>
      <c r="J4858" s="194"/>
      <c r="K4858" s="19"/>
      <c r="L4858" s="20"/>
      <c r="M4858" s="10"/>
      <c r="N4858" s="10"/>
      <c r="O4858" s="10"/>
      <c r="P4858" s="10"/>
      <c r="Q4858" s="10"/>
      <c r="R4858" s="10"/>
      <c r="S4858" s="10"/>
      <c r="T4858" s="10"/>
      <c r="U4858" s="10"/>
      <c r="V4858" s="10"/>
      <c r="W4858" s="10"/>
      <c r="X4858" s="10"/>
      <c r="Y4858" s="10"/>
      <c r="Z4858" s="10"/>
      <c r="AA4858" s="10"/>
      <c r="AB4858" s="10"/>
      <c r="AC4858" s="10"/>
      <c r="AD4858" s="10"/>
      <c r="AE4858" s="10"/>
      <c r="AF4858" s="10"/>
      <c r="AG4858" s="10"/>
      <c r="AH4858" s="10"/>
    </row>
    <row r="4859" spans="1:34" ht="47.25" outlineLevel="2">
      <c r="A4859" s="191"/>
      <c r="B4859" s="12" t="str">
        <f>IFERROR(VLOOKUP(D4859,'[1]Перечень товаров'!$A$2:$I9525,2,0),"")</f>
        <v>д14</v>
      </c>
      <c r="C4859" s="12" t="str">
        <f>IFERROR(VLOOKUP(D4859,'[1]Перечень товаров'!$A$2:$I9525,3,0),"")</f>
        <v>Дидактика</v>
      </c>
      <c r="D4859" s="192" t="s">
        <v>755</v>
      </c>
      <c r="E4859" s="23"/>
      <c r="F4859" s="23"/>
      <c r="G4859" s="193">
        <v>1</v>
      </c>
      <c r="H4859" s="193"/>
      <c r="I4859" s="194"/>
      <c r="J4859" s="194"/>
      <c r="K4859" s="19"/>
      <c r="L4859" s="20"/>
      <c r="M4859" s="10"/>
      <c r="N4859" s="10"/>
      <c r="O4859" s="10"/>
      <c r="P4859" s="10"/>
      <c r="Q4859" s="10"/>
      <c r="R4859" s="10"/>
      <c r="S4859" s="10"/>
      <c r="T4859" s="10"/>
      <c r="U4859" s="10"/>
      <c r="V4859" s="10"/>
      <c r="W4859" s="10"/>
      <c r="X4859" s="10"/>
      <c r="Y4859" s="10"/>
      <c r="Z4859" s="10"/>
      <c r="AA4859" s="10"/>
      <c r="AB4859" s="10"/>
      <c r="AC4859" s="10"/>
      <c r="AD4859" s="10"/>
      <c r="AE4859" s="10"/>
      <c r="AF4859" s="10"/>
      <c r="AG4859" s="10"/>
      <c r="AH4859" s="10"/>
    </row>
    <row r="4860" spans="1:34" ht="31.5" outlineLevel="2">
      <c r="A4860" s="191"/>
      <c r="B4860" s="12" t="str">
        <f>IFERROR(VLOOKUP(D4860,'[1]Перечень товаров'!$A$2:$I9525,2,0),"")</f>
        <v>д15</v>
      </c>
      <c r="C4860" s="12" t="str">
        <f>IFERROR(VLOOKUP(D4860,'[1]Перечень товаров'!$A$2:$I9525,3,0),"")</f>
        <v>Дидактика</v>
      </c>
      <c r="D4860" s="192" t="s">
        <v>756</v>
      </c>
      <c r="E4860" s="23"/>
      <c r="F4860" s="23"/>
      <c r="G4860" s="193">
        <v>1</v>
      </c>
      <c r="H4860" s="193"/>
      <c r="I4860" s="194"/>
      <c r="J4860" s="194"/>
      <c r="K4860" s="19"/>
      <c r="L4860" s="20"/>
      <c r="M4860" s="10"/>
      <c r="N4860" s="10"/>
      <c r="O4860" s="10"/>
      <c r="P4860" s="10"/>
      <c r="Q4860" s="10"/>
      <c r="R4860" s="10"/>
      <c r="S4860" s="10"/>
      <c r="T4860" s="10"/>
      <c r="U4860" s="10"/>
      <c r="V4860" s="10"/>
      <c r="W4860" s="10"/>
      <c r="X4860" s="10"/>
      <c r="Y4860" s="10"/>
      <c r="Z4860" s="10"/>
      <c r="AA4860" s="10"/>
      <c r="AB4860" s="10"/>
      <c r="AC4860" s="10"/>
      <c r="AD4860" s="10"/>
      <c r="AE4860" s="10"/>
      <c r="AF4860" s="10"/>
      <c r="AG4860" s="10"/>
      <c r="AH4860" s="10"/>
    </row>
    <row r="4861" spans="1:34" ht="30" outlineLevel="2">
      <c r="A4861" s="179"/>
      <c r="B4861" s="12" t="str">
        <f>IFERROR(VLOOKUP(D4861,'[1]Перечень товаров'!$A$2:$I9525,2,0),"")</f>
        <v/>
      </c>
      <c r="C4861" s="12" t="str">
        <f>IFERROR(VLOOKUP(D4861,'[1]Перечень товаров'!$A$2:$I9525,3,0),"")</f>
        <v/>
      </c>
      <c r="D4861" s="180" t="s">
        <v>757</v>
      </c>
      <c r="E4861" s="61"/>
      <c r="F4861" s="61"/>
      <c r="G4861" s="195"/>
      <c r="H4861" s="195"/>
      <c r="I4861" s="196"/>
      <c r="J4861" s="196"/>
      <c r="K4861" s="19"/>
      <c r="L4861" s="20"/>
      <c r="M4861" s="10"/>
      <c r="N4861" s="10"/>
      <c r="O4861" s="10"/>
      <c r="P4861" s="10"/>
      <c r="Q4861" s="10"/>
      <c r="R4861" s="10"/>
      <c r="S4861" s="10"/>
      <c r="T4861" s="10"/>
      <c r="U4861" s="10"/>
      <c r="V4861" s="10"/>
      <c r="W4861" s="10"/>
      <c r="X4861" s="10"/>
      <c r="Y4861" s="10"/>
      <c r="Z4861" s="10"/>
      <c r="AA4861" s="10"/>
      <c r="AB4861" s="10"/>
      <c r="AC4861" s="10"/>
      <c r="AD4861" s="10"/>
      <c r="AE4861" s="10"/>
      <c r="AF4861" s="10"/>
      <c r="AG4861" s="10"/>
      <c r="AH4861" s="10"/>
    </row>
    <row r="4862" spans="1:34" outlineLevel="2">
      <c r="A4862" s="191"/>
      <c r="B4862" s="12" t="str">
        <f>IFERROR(VLOOKUP(D4862,'[1]Перечень товаров'!$A$2:$I9525,2,0),"")</f>
        <v>п92</v>
      </c>
      <c r="C4862" s="12" t="str">
        <f>IFERROR(VLOOKUP(D4862,'[1]Перечень товаров'!$A$2:$I9525,3,0),"")</f>
        <v>Прочее</v>
      </c>
      <c r="D4862" s="192" t="s">
        <v>758</v>
      </c>
      <c r="E4862" s="23"/>
      <c r="F4862" s="23"/>
      <c r="G4862" s="193">
        <v>13</v>
      </c>
      <c r="H4862" s="193"/>
      <c r="I4862" s="194"/>
      <c r="J4862" s="194"/>
      <c r="K4862" s="19"/>
      <c r="L4862" s="20"/>
      <c r="M4862" s="10"/>
      <c r="N4862" s="10"/>
      <c r="O4862" s="10"/>
      <c r="P4862" s="10"/>
      <c r="Q4862" s="10"/>
      <c r="R4862" s="10"/>
      <c r="S4862" s="10"/>
      <c r="T4862" s="10"/>
      <c r="U4862" s="10"/>
      <c r="V4862" s="10"/>
      <c r="W4862" s="10"/>
      <c r="X4862" s="10"/>
      <c r="Y4862" s="10"/>
      <c r="Z4862" s="10"/>
      <c r="AA4862" s="10"/>
      <c r="AB4862" s="10"/>
      <c r="AC4862" s="10"/>
      <c r="AD4862" s="10"/>
      <c r="AE4862" s="10"/>
      <c r="AF4862" s="10"/>
      <c r="AG4862" s="10"/>
      <c r="AH4862" s="10"/>
    </row>
    <row r="4863" spans="1:34" ht="31.5" outlineLevel="2">
      <c r="A4863" s="191"/>
      <c r="B4863" s="12" t="str">
        <f>IFERROR(VLOOKUP(D4863,'[1]Перечень товаров'!$A$2:$I9525,2,0),"")</f>
        <v>д16</v>
      </c>
      <c r="C4863" s="12" t="str">
        <f>IFERROR(VLOOKUP(D4863,'[1]Перечень товаров'!$A$2:$I9525,3,0),"")</f>
        <v>Дидактика</v>
      </c>
      <c r="D4863" s="192" t="s">
        <v>759</v>
      </c>
      <c r="E4863" s="23"/>
      <c r="F4863" s="23"/>
      <c r="G4863" s="193">
        <v>1</v>
      </c>
      <c r="H4863" s="193"/>
      <c r="I4863" s="194"/>
      <c r="J4863" s="194"/>
      <c r="K4863" s="19"/>
      <c r="L4863" s="20"/>
      <c r="M4863" s="10"/>
      <c r="N4863" s="10"/>
      <c r="O4863" s="10"/>
      <c r="P4863" s="10"/>
      <c r="Q4863" s="10"/>
      <c r="R4863" s="10"/>
      <c r="S4863" s="10"/>
      <c r="T4863" s="10"/>
      <c r="U4863" s="10"/>
      <c r="V4863" s="10"/>
      <c r="W4863" s="10"/>
      <c r="X4863" s="10"/>
      <c r="Y4863" s="10"/>
      <c r="Z4863" s="10"/>
      <c r="AA4863" s="10"/>
      <c r="AB4863" s="10"/>
      <c r="AC4863" s="10"/>
      <c r="AD4863" s="10"/>
      <c r="AE4863" s="10"/>
      <c r="AF4863" s="10"/>
      <c r="AG4863" s="10"/>
      <c r="AH4863" s="10"/>
    </row>
    <row r="4864" spans="1:34" ht="31.5" outlineLevel="2">
      <c r="A4864" s="191"/>
      <c r="B4864" s="12" t="str">
        <f>IFERROR(VLOOKUP(D4864,'[1]Перечень товаров'!$A$2:$I9525,2,0),"")</f>
        <v>д17</v>
      </c>
      <c r="C4864" s="12" t="str">
        <f>IFERROR(VLOOKUP(D4864,'[1]Перечень товаров'!$A$2:$I9525,3,0),"")</f>
        <v>Дидактика</v>
      </c>
      <c r="D4864" s="192" t="s">
        <v>760</v>
      </c>
      <c r="E4864" s="23"/>
      <c r="F4864" s="23"/>
      <c r="G4864" s="193">
        <v>1</v>
      </c>
      <c r="H4864" s="193"/>
      <c r="I4864" s="194"/>
      <c r="J4864" s="194"/>
      <c r="K4864" s="19"/>
      <c r="L4864" s="20"/>
      <c r="M4864" s="10"/>
      <c r="N4864" s="10"/>
      <c r="O4864" s="10"/>
      <c r="P4864" s="10"/>
      <c r="Q4864" s="10"/>
      <c r="R4864" s="10"/>
      <c r="S4864" s="10"/>
      <c r="T4864" s="10"/>
      <c r="U4864" s="10"/>
      <c r="V4864" s="10"/>
      <c r="W4864" s="10"/>
      <c r="X4864" s="10"/>
      <c r="Y4864" s="10"/>
      <c r="Z4864" s="10"/>
      <c r="AA4864" s="10"/>
      <c r="AB4864" s="10"/>
      <c r="AC4864" s="10"/>
      <c r="AD4864" s="10"/>
      <c r="AE4864" s="10"/>
      <c r="AF4864" s="10"/>
      <c r="AG4864" s="10"/>
      <c r="AH4864" s="10"/>
    </row>
    <row r="4865" spans="1:34" ht="31.5" outlineLevel="2">
      <c r="A4865" s="191"/>
      <c r="B4865" s="12" t="str">
        <f>IFERROR(VLOOKUP(D4865,'[1]Перечень товаров'!$A$2:$I9525,2,0),"")</f>
        <v>д18</v>
      </c>
      <c r="C4865" s="12" t="str">
        <f>IFERROR(VLOOKUP(D4865,'[1]Перечень товаров'!$A$2:$I9525,3,0),"")</f>
        <v>Дидактика</v>
      </c>
      <c r="D4865" s="192" t="s">
        <v>761</v>
      </c>
      <c r="E4865" s="23"/>
      <c r="F4865" s="23"/>
      <c r="G4865" s="193">
        <v>13</v>
      </c>
      <c r="H4865" s="193"/>
      <c r="I4865" s="194"/>
      <c r="J4865" s="194"/>
      <c r="K4865" s="19"/>
      <c r="L4865" s="20"/>
      <c r="M4865" s="10"/>
      <c r="N4865" s="10"/>
      <c r="O4865" s="10"/>
      <c r="P4865" s="10"/>
      <c r="Q4865" s="10"/>
      <c r="R4865" s="10"/>
      <c r="S4865" s="10"/>
      <c r="T4865" s="10"/>
      <c r="U4865" s="10"/>
      <c r="V4865" s="10"/>
      <c r="W4865" s="10"/>
      <c r="X4865" s="10"/>
      <c r="Y4865" s="10"/>
      <c r="Z4865" s="10"/>
      <c r="AA4865" s="10"/>
      <c r="AB4865" s="10"/>
      <c r="AC4865" s="10"/>
      <c r="AD4865" s="10"/>
      <c r="AE4865" s="10"/>
      <c r="AF4865" s="10"/>
      <c r="AG4865" s="10"/>
      <c r="AH4865" s="10"/>
    </row>
    <row r="4866" spans="1:34" ht="31.5" outlineLevel="2">
      <c r="A4866" s="191"/>
      <c r="B4866" s="12" t="str">
        <f>IFERROR(VLOOKUP(D4866,'[1]Перечень товаров'!$A$2:$I9525,2,0),"")</f>
        <v>д19</v>
      </c>
      <c r="C4866" s="12" t="str">
        <f>IFERROR(VLOOKUP(D4866,'[1]Перечень товаров'!$A$2:$I9525,3,0),"")</f>
        <v>Дидактика</v>
      </c>
      <c r="D4866" s="192" t="s">
        <v>762</v>
      </c>
      <c r="E4866" s="23"/>
      <c r="F4866" s="23"/>
      <c r="G4866" s="193">
        <v>1</v>
      </c>
      <c r="H4866" s="193"/>
      <c r="I4866" s="194"/>
      <c r="J4866" s="194"/>
      <c r="K4866" s="19"/>
      <c r="L4866" s="20"/>
      <c r="M4866" s="10"/>
      <c r="N4866" s="10"/>
      <c r="O4866" s="10"/>
      <c r="P4866" s="10"/>
      <c r="Q4866" s="10"/>
      <c r="R4866" s="10"/>
      <c r="S4866" s="10"/>
      <c r="T4866" s="10"/>
      <c r="U4866" s="10"/>
      <c r="V4866" s="10"/>
      <c r="W4866" s="10"/>
      <c r="X4866" s="10"/>
      <c r="Y4866" s="10"/>
      <c r="Z4866" s="10"/>
      <c r="AA4866" s="10"/>
      <c r="AB4866" s="10"/>
      <c r="AC4866" s="10"/>
      <c r="AD4866" s="10"/>
      <c r="AE4866" s="10"/>
      <c r="AF4866" s="10"/>
      <c r="AG4866" s="10"/>
      <c r="AH4866" s="10"/>
    </row>
    <row r="4867" spans="1:34" ht="31.5" outlineLevel="2">
      <c r="A4867" s="191"/>
      <c r="B4867" s="12" t="str">
        <f>IFERROR(VLOOKUP(D4867,'[1]Перечень товаров'!$A$2:$I9525,2,0),"")</f>
        <v>д20</v>
      </c>
      <c r="C4867" s="12" t="str">
        <f>IFERROR(VLOOKUP(D4867,'[1]Перечень товаров'!$A$2:$I9525,3,0),"")</f>
        <v>Дидактика</v>
      </c>
      <c r="D4867" s="192" t="s">
        <v>763</v>
      </c>
      <c r="E4867" s="23"/>
      <c r="F4867" s="23"/>
      <c r="G4867" s="193">
        <v>1</v>
      </c>
      <c r="H4867" s="193"/>
      <c r="I4867" s="194"/>
      <c r="J4867" s="194"/>
      <c r="K4867" s="19"/>
      <c r="L4867" s="20"/>
      <c r="M4867" s="10"/>
      <c r="N4867" s="10"/>
      <c r="O4867" s="10"/>
      <c r="P4867" s="10"/>
      <c r="Q4867" s="10"/>
      <c r="R4867" s="10"/>
      <c r="S4867" s="10"/>
      <c r="T4867" s="10"/>
      <c r="U4867" s="10"/>
      <c r="V4867" s="10"/>
      <c r="W4867" s="10"/>
      <c r="X4867" s="10"/>
      <c r="Y4867" s="10"/>
      <c r="Z4867" s="10"/>
      <c r="AA4867" s="10"/>
      <c r="AB4867" s="10"/>
      <c r="AC4867" s="10"/>
      <c r="AD4867" s="10"/>
      <c r="AE4867" s="10"/>
      <c r="AF4867" s="10"/>
      <c r="AG4867" s="10"/>
      <c r="AH4867" s="10"/>
    </row>
    <row r="4868" spans="1:34" ht="63" outlineLevel="2">
      <c r="A4868" s="191"/>
      <c r="B4868" s="12" t="str">
        <f>IFERROR(VLOOKUP(D4868,'[1]Перечень товаров'!$A$2:$I9525,2,0),"")</f>
        <v>д21</v>
      </c>
      <c r="C4868" s="12" t="str">
        <f>IFERROR(VLOOKUP(D4868,'[1]Перечень товаров'!$A$2:$I9525,3,0),"")</f>
        <v>Дидактика</v>
      </c>
      <c r="D4868" s="192" t="s">
        <v>764</v>
      </c>
      <c r="E4868" s="23"/>
      <c r="F4868" s="23"/>
      <c r="G4868" s="193">
        <v>1</v>
      </c>
      <c r="H4868" s="193"/>
      <c r="I4868" s="194"/>
      <c r="J4868" s="194"/>
      <c r="K4868" s="19"/>
      <c r="L4868" s="20"/>
      <c r="M4868" s="10"/>
      <c r="N4868" s="10"/>
      <c r="O4868" s="10"/>
      <c r="P4868" s="10"/>
      <c r="Q4868" s="10"/>
      <c r="R4868" s="10"/>
      <c r="S4868" s="10"/>
      <c r="T4868" s="10"/>
      <c r="U4868" s="10"/>
      <c r="V4868" s="10"/>
      <c r="W4868" s="10"/>
      <c r="X4868" s="10"/>
      <c r="Y4868" s="10"/>
      <c r="Z4868" s="10"/>
      <c r="AA4868" s="10"/>
      <c r="AB4868" s="10"/>
      <c r="AC4868" s="10"/>
      <c r="AD4868" s="10"/>
      <c r="AE4868" s="10"/>
      <c r="AF4868" s="10"/>
      <c r="AG4868" s="10"/>
      <c r="AH4868" s="10"/>
    </row>
    <row r="4869" spans="1:34" ht="47.25" outlineLevel="2">
      <c r="A4869" s="191"/>
      <c r="B4869" s="12" t="str">
        <f>IFERROR(VLOOKUP(D4869,'[1]Перечень товаров'!$A$2:$I9525,2,0),"")</f>
        <v>д22</v>
      </c>
      <c r="C4869" s="12" t="str">
        <f>IFERROR(VLOOKUP(D4869,'[1]Перечень товаров'!$A$2:$I9525,3,0),"")</f>
        <v>Дидактика</v>
      </c>
      <c r="D4869" s="192" t="s">
        <v>765</v>
      </c>
      <c r="E4869" s="23"/>
      <c r="F4869" s="23"/>
      <c r="G4869" s="193">
        <v>1</v>
      </c>
      <c r="H4869" s="193"/>
      <c r="I4869" s="194"/>
      <c r="J4869" s="194"/>
      <c r="K4869" s="19"/>
      <c r="L4869" s="20"/>
      <c r="M4869" s="10"/>
      <c r="N4869" s="10"/>
      <c r="O4869" s="10"/>
      <c r="P4869" s="10"/>
      <c r="Q4869" s="10"/>
      <c r="R4869" s="10"/>
      <c r="S4869" s="10"/>
      <c r="T4869" s="10"/>
      <c r="U4869" s="10"/>
      <c r="V4869" s="10"/>
      <c r="W4869" s="10"/>
      <c r="X4869" s="10"/>
      <c r="Y4869" s="10"/>
      <c r="Z4869" s="10"/>
      <c r="AA4869" s="10"/>
      <c r="AB4869" s="10"/>
      <c r="AC4869" s="10"/>
      <c r="AD4869" s="10"/>
      <c r="AE4869" s="10"/>
      <c r="AF4869" s="10"/>
      <c r="AG4869" s="10"/>
      <c r="AH4869" s="10"/>
    </row>
    <row r="4870" spans="1:34" ht="31.5" outlineLevel="2">
      <c r="A4870" s="191"/>
      <c r="B4870" s="12" t="str">
        <f>IFERROR(VLOOKUP(D4870,'[1]Перечень товаров'!$A$2:$I9525,2,0),"")</f>
        <v>д23</v>
      </c>
      <c r="C4870" s="12" t="str">
        <f>IFERROR(VLOOKUP(D4870,'[1]Перечень товаров'!$A$2:$I9525,3,0),"")</f>
        <v>Дидактика</v>
      </c>
      <c r="D4870" s="192" t="s">
        <v>766</v>
      </c>
      <c r="E4870" s="23"/>
      <c r="F4870" s="23"/>
      <c r="G4870" s="193">
        <v>13</v>
      </c>
      <c r="H4870" s="193"/>
      <c r="I4870" s="194"/>
      <c r="J4870" s="194"/>
      <c r="K4870" s="19"/>
      <c r="L4870" s="20"/>
      <c r="M4870" s="10"/>
      <c r="N4870" s="10"/>
      <c r="O4870" s="10"/>
      <c r="P4870" s="10"/>
      <c r="Q4870" s="10"/>
      <c r="R4870" s="10"/>
      <c r="S4870" s="10"/>
      <c r="T4870" s="10"/>
      <c r="U4870" s="10"/>
      <c r="V4870" s="10"/>
      <c r="W4870" s="10"/>
      <c r="X4870" s="10"/>
      <c r="Y4870" s="10"/>
      <c r="Z4870" s="10"/>
      <c r="AA4870" s="10"/>
      <c r="AB4870" s="10"/>
      <c r="AC4870" s="10"/>
      <c r="AD4870" s="10"/>
      <c r="AE4870" s="10"/>
      <c r="AF4870" s="10"/>
      <c r="AG4870" s="10"/>
      <c r="AH4870" s="10"/>
    </row>
    <row r="4871" spans="1:34" ht="78.75" outlineLevel="2">
      <c r="A4871" s="191"/>
      <c r="B4871" s="12" t="str">
        <f>IFERROR(VLOOKUP(D4871,'[1]Перечень товаров'!$A$2:$I9525,2,0),"")</f>
        <v>д24</v>
      </c>
      <c r="C4871" s="12" t="str">
        <f>IFERROR(VLOOKUP(D4871,'[1]Перечень товаров'!$A$2:$I9525,3,0),"")</f>
        <v>Дидактика</v>
      </c>
      <c r="D4871" s="192" t="s">
        <v>767</v>
      </c>
      <c r="E4871" s="23"/>
      <c r="F4871" s="23"/>
      <c r="G4871" s="193">
        <v>1</v>
      </c>
      <c r="H4871" s="193"/>
      <c r="I4871" s="194"/>
      <c r="J4871" s="194"/>
      <c r="K4871" s="19"/>
      <c r="L4871" s="20"/>
      <c r="M4871" s="10"/>
      <c r="N4871" s="10"/>
      <c r="O4871" s="10"/>
      <c r="P4871" s="10"/>
      <c r="Q4871" s="10"/>
      <c r="R4871" s="10"/>
      <c r="S4871" s="10"/>
      <c r="T4871" s="10"/>
      <c r="U4871" s="10"/>
      <c r="V4871" s="10"/>
      <c r="W4871" s="10"/>
      <c r="X4871" s="10"/>
      <c r="Y4871" s="10"/>
      <c r="Z4871" s="10"/>
      <c r="AA4871" s="10"/>
      <c r="AB4871" s="10"/>
      <c r="AC4871" s="10"/>
      <c r="AD4871" s="10"/>
      <c r="AE4871" s="10"/>
      <c r="AF4871" s="10"/>
      <c r="AG4871" s="10"/>
      <c r="AH4871" s="10"/>
    </row>
    <row r="4872" spans="1:34" ht="31.5" outlineLevel="2">
      <c r="A4872" s="191"/>
      <c r="B4872" s="12" t="str">
        <f>IFERROR(VLOOKUP(D4872,'[1]Перечень товаров'!$A$2:$I9525,2,0),"")</f>
        <v>д25</v>
      </c>
      <c r="C4872" s="12" t="str">
        <f>IFERROR(VLOOKUP(D4872,'[1]Перечень товаров'!$A$2:$I9525,3,0),"")</f>
        <v>Дидактика</v>
      </c>
      <c r="D4872" s="192" t="s">
        <v>768</v>
      </c>
      <c r="E4872" s="23"/>
      <c r="F4872" s="23"/>
      <c r="G4872" s="193">
        <v>1</v>
      </c>
      <c r="H4872" s="193"/>
      <c r="I4872" s="194"/>
      <c r="J4872" s="194"/>
      <c r="K4872" s="19"/>
      <c r="L4872" s="20"/>
      <c r="M4872" s="10"/>
      <c r="N4872" s="10"/>
      <c r="O4872" s="10"/>
      <c r="P4872" s="10"/>
      <c r="Q4872" s="10"/>
      <c r="R4872" s="10"/>
      <c r="S4872" s="10"/>
      <c r="T4872" s="10"/>
      <c r="U4872" s="10"/>
      <c r="V4872" s="10"/>
      <c r="W4872" s="10"/>
      <c r="X4872" s="10"/>
      <c r="Y4872" s="10"/>
      <c r="Z4872" s="10"/>
      <c r="AA4872" s="10"/>
      <c r="AB4872" s="10"/>
      <c r="AC4872" s="10"/>
      <c r="AD4872" s="10"/>
      <c r="AE4872" s="10"/>
      <c r="AF4872" s="10"/>
      <c r="AG4872" s="10"/>
      <c r="AH4872" s="10"/>
    </row>
    <row r="4873" spans="1:34" outlineLevel="2">
      <c r="A4873" s="191"/>
      <c r="B4873" s="12" t="str">
        <f>IFERROR(VLOOKUP(D4873,'[1]Перечень товаров'!$A$2:$I9525,2,0),"")</f>
        <v>п92</v>
      </c>
      <c r="C4873" s="12" t="str">
        <f>IFERROR(VLOOKUP(D4873,'[1]Перечень товаров'!$A$2:$I9525,3,0),"")</f>
        <v>Прочее</v>
      </c>
      <c r="D4873" s="192" t="s">
        <v>769</v>
      </c>
      <c r="E4873" s="23"/>
      <c r="F4873" s="23"/>
      <c r="G4873" s="193">
        <v>13</v>
      </c>
      <c r="H4873" s="193"/>
      <c r="I4873" s="194"/>
      <c r="J4873" s="194"/>
      <c r="K4873" s="19"/>
      <c r="L4873" s="20"/>
      <c r="M4873" s="10"/>
      <c r="N4873" s="10"/>
      <c r="O4873" s="10"/>
      <c r="P4873" s="10"/>
      <c r="Q4873" s="10"/>
      <c r="R4873" s="10"/>
      <c r="S4873" s="10"/>
      <c r="T4873" s="10"/>
      <c r="U4873" s="10"/>
      <c r="V4873" s="10"/>
      <c r="W4873" s="10"/>
      <c r="X4873" s="10"/>
      <c r="Y4873" s="10"/>
      <c r="Z4873" s="10"/>
      <c r="AA4873" s="10"/>
      <c r="AB4873" s="10"/>
      <c r="AC4873" s="10"/>
      <c r="AD4873" s="10"/>
      <c r="AE4873" s="10"/>
      <c r="AF4873" s="10"/>
      <c r="AG4873" s="10"/>
      <c r="AH4873" s="10"/>
    </row>
    <row r="4874" spans="1:34" ht="15" outlineLevel="2">
      <c r="A4874" s="179"/>
      <c r="B4874" s="12" t="str">
        <f>IFERROR(VLOOKUP(D4874,'[1]Перечень товаров'!$A$2:$I9525,2,0),"")</f>
        <v/>
      </c>
      <c r="C4874" s="12" t="str">
        <f>IFERROR(VLOOKUP(D4874,'[1]Перечень товаров'!$A$2:$I9525,3,0),"")</f>
        <v/>
      </c>
      <c r="D4874" s="180" t="s">
        <v>770</v>
      </c>
      <c r="E4874" s="61"/>
      <c r="F4874" s="61"/>
      <c r="G4874" s="195"/>
      <c r="H4874" s="195"/>
      <c r="I4874" s="196"/>
      <c r="J4874" s="196"/>
      <c r="K4874" s="19"/>
      <c r="L4874" s="20"/>
      <c r="M4874" s="10"/>
      <c r="N4874" s="10"/>
      <c r="O4874" s="10"/>
      <c r="P4874" s="10"/>
      <c r="Q4874" s="10"/>
      <c r="R4874" s="10"/>
      <c r="S4874" s="10"/>
      <c r="T4874" s="10"/>
      <c r="U4874" s="10"/>
      <c r="V4874" s="10"/>
      <c r="W4874" s="10"/>
      <c r="X4874" s="10"/>
      <c r="Y4874" s="10"/>
      <c r="Z4874" s="10"/>
      <c r="AA4874" s="10"/>
      <c r="AB4874" s="10"/>
      <c r="AC4874" s="10"/>
      <c r="AD4874" s="10"/>
      <c r="AE4874" s="10"/>
      <c r="AF4874" s="10"/>
      <c r="AG4874" s="10"/>
      <c r="AH4874" s="10"/>
    </row>
    <row r="4875" spans="1:34" ht="31.5" outlineLevel="2">
      <c r="A4875" s="191"/>
      <c r="B4875" s="12" t="str">
        <f>IFERROR(VLOOKUP(D4875,'[1]Перечень товаров'!$A$2:$I9525,2,0),"")</f>
        <v>д26</v>
      </c>
      <c r="C4875" s="12" t="str">
        <f>IFERROR(VLOOKUP(D4875,'[1]Перечень товаров'!$A$2:$I9525,3,0),"")</f>
        <v>Дидактика</v>
      </c>
      <c r="D4875" s="192" t="s">
        <v>771</v>
      </c>
      <c r="E4875" s="23"/>
      <c r="F4875" s="23"/>
      <c r="G4875" s="193">
        <v>1</v>
      </c>
      <c r="H4875" s="193"/>
      <c r="I4875" s="194"/>
      <c r="J4875" s="194"/>
      <c r="K4875" s="19"/>
      <c r="L4875" s="20"/>
      <c r="M4875" s="10"/>
      <c r="N4875" s="10"/>
      <c r="O4875" s="10"/>
      <c r="P4875" s="10"/>
      <c r="Q4875" s="10"/>
      <c r="R4875" s="10"/>
      <c r="S4875" s="10"/>
      <c r="T4875" s="10"/>
      <c r="U4875" s="10"/>
      <c r="V4875" s="10"/>
      <c r="W4875" s="10"/>
      <c r="X4875" s="10"/>
      <c r="Y4875" s="10"/>
      <c r="Z4875" s="10"/>
      <c r="AA4875" s="10"/>
      <c r="AB4875" s="10"/>
      <c r="AC4875" s="10"/>
      <c r="AD4875" s="10"/>
      <c r="AE4875" s="10"/>
      <c r="AF4875" s="10"/>
      <c r="AG4875" s="10"/>
      <c r="AH4875" s="10"/>
    </row>
    <row r="4876" spans="1:34" ht="31.5" outlineLevel="2">
      <c r="A4876" s="191"/>
      <c r="B4876" s="12" t="str">
        <f>IFERROR(VLOOKUP(D4876,'[1]Перечень товаров'!$A$2:$I9525,2,0),"")</f>
        <v>д27</v>
      </c>
      <c r="C4876" s="12" t="str">
        <f>IFERROR(VLOOKUP(D4876,'[1]Перечень товаров'!$A$2:$I9525,3,0),"")</f>
        <v>Дидактика</v>
      </c>
      <c r="D4876" s="192" t="s">
        <v>772</v>
      </c>
      <c r="E4876" s="23"/>
      <c r="F4876" s="23"/>
      <c r="G4876" s="193">
        <v>1</v>
      </c>
      <c r="H4876" s="193"/>
      <c r="I4876" s="194"/>
      <c r="J4876" s="194"/>
      <c r="K4876" s="19"/>
      <c r="L4876" s="20"/>
      <c r="M4876" s="10"/>
      <c r="N4876" s="10"/>
      <c r="O4876" s="10"/>
      <c r="P4876" s="10"/>
      <c r="Q4876" s="10"/>
      <c r="R4876" s="10"/>
      <c r="S4876" s="10"/>
      <c r="T4876" s="10"/>
      <c r="U4876" s="10"/>
      <c r="V4876" s="10"/>
      <c r="W4876" s="10"/>
      <c r="X4876" s="10"/>
      <c r="Y4876" s="10"/>
      <c r="Z4876" s="10"/>
      <c r="AA4876" s="10"/>
      <c r="AB4876" s="10"/>
      <c r="AC4876" s="10"/>
      <c r="AD4876" s="10"/>
      <c r="AE4876" s="10"/>
      <c r="AF4876" s="10"/>
      <c r="AG4876" s="10"/>
      <c r="AH4876" s="10"/>
    </row>
    <row r="4877" spans="1:34" ht="47.25" outlineLevel="2">
      <c r="A4877" s="191"/>
      <c r="B4877" s="12" t="str">
        <f>IFERROR(VLOOKUP(D4877,'[1]Перечень товаров'!$A$2:$I9525,2,0),"")</f>
        <v>д28</v>
      </c>
      <c r="C4877" s="12" t="str">
        <f>IFERROR(VLOOKUP(D4877,'[1]Перечень товаров'!$A$2:$I9525,3,0),"")</f>
        <v>Дидактика</v>
      </c>
      <c r="D4877" s="192" t="s">
        <v>773</v>
      </c>
      <c r="E4877" s="23"/>
      <c r="F4877" s="23"/>
      <c r="G4877" s="193">
        <v>1</v>
      </c>
      <c r="H4877" s="193"/>
      <c r="I4877" s="194"/>
      <c r="J4877" s="194"/>
      <c r="K4877" s="19"/>
      <c r="L4877" s="20"/>
      <c r="M4877" s="10"/>
      <c r="N4877" s="10"/>
      <c r="O4877" s="10"/>
      <c r="P4877" s="10"/>
      <c r="Q4877" s="10"/>
      <c r="R4877" s="10"/>
      <c r="S4877" s="10"/>
      <c r="T4877" s="10"/>
      <c r="U4877" s="10"/>
      <c r="V4877" s="10"/>
      <c r="W4877" s="10"/>
      <c r="X4877" s="10"/>
      <c r="Y4877" s="10"/>
      <c r="Z4877" s="10"/>
      <c r="AA4877" s="10"/>
      <c r="AB4877" s="10"/>
      <c r="AC4877" s="10"/>
      <c r="AD4877" s="10"/>
      <c r="AE4877" s="10"/>
      <c r="AF4877" s="10"/>
      <c r="AG4877" s="10"/>
      <c r="AH4877" s="10"/>
    </row>
    <row r="4878" spans="1:34" ht="31.5" outlineLevel="2">
      <c r="A4878" s="191"/>
      <c r="B4878" s="12" t="str">
        <f>IFERROR(VLOOKUP(D4878,'[1]Перечень товаров'!$A$2:$I9525,2,0),"")</f>
        <v>д29</v>
      </c>
      <c r="C4878" s="12" t="str">
        <f>IFERROR(VLOOKUP(D4878,'[1]Перечень товаров'!$A$2:$I9525,3,0),"")</f>
        <v>Дидактика</v>
      </c>
      <c r="D4878" s="192" t="s">
        <v>774</v>
      </c>
      <c r="E4878" s="23"/>
      <c r="F4878" s="23"/>
      <c r="G4878" s="193">
        <v>1</v>
      </c>
      <c r="H4878" s="193"/>
      <c r="I4878" s="194"/>
      <c r="J4878" s="194"/>
      <c r="K4878" s="19"/>
      <c r="L4878" s="20"/>
      <c r="M4878" s="10"/>
      <c r="N4878" s="10"/>
      <c r="O4878" s="10"/>
      <c r="P4878" s="10"/>
      <c r="Q4878" s="10"/>
      <c r="R4878" s="10"/>
      <c r="S4878" s="10"/>
      <c r="T4878" s="10"/>
      <c r="U4878" s="10"/>
      <c r="V4878" s="10"/>
      <c r="W4878" s="10"/>
      <c r="X4878" s="10"/>
      <c r="Y4878" s="10"/>
      <c r="Z4878" s="10"/>
      <c r="AA4878" s="10"/>
      <c r="AB4878" s="10"/>
      <c r="AC4878" s="10"/>
      <c r="AD4878" s="10"/>
      <c r="AE4878" s="10"/>
      <c r="AF4878" s="10"/>
      <c r="AG4878" s="10"/>
      <c r="AH4878" s="10"/>
    </row>
    <row r="4879" spans="1:34" ht="31.5" outlineLevel="2">
      <c r="A4879" s="191"/>
      <c r="B4879" s="12" t="str">
        <f>IFERROR(VLOOKUP(D4879,'[1]Перечень товаров'!$A$2:$I9525,2,0),"")</f>
        <v>д30</v>
      </c>
      <c r="C4879" s="12" t="str">
        <f>IFERROR(VLOOKUP(D4879,'[1]Перечень товаров'!$A$2:$I9525,3,0),"")</f>
        <v>Дидактика</v>
      </c>
      <c r="D4879" s="192" t="s">
        <v>775</v>
      </c>
      <c r="E4879" s="23"/>
      <c r="F4879" s="23"/>
      <c r="G4879" s="193">
        <v>1</v>
      </c>
      <c r="H4879" s="193"/>
      <c r="I4879" s="194"/>
      <c r="J4879" s="194"/>
      <c r="K4879" s="19"/>
      <c r="L4879" s="20"/>
      <c r="M4879" s="10"/>
      <c r="N4879" s="10"/>
      <c r="O4879" s="10"/>
      <c r="P4879" s="10"/>
      <c r="Q4879" s="10"/>
      <c r="R4879" s="10"/>
      <c r="S4879" s="10"/>
      <c r="T4879" s="10"/>
      <c r="U4879" s="10"/>
      <c r="V4879" s="10"/>
      <c r="W4879" s="10"/>
      <c r="X4879" s="10"/>
      <c r="Y4879" s="10"/>
      <c r="Z4879" s="10"/>
      <c r="AA4879" s="10"/>
      <c r="AB4879" s="10"/>
      <c r="AC4879" s="10"/>
      <c r="AD4879" s="10"/>
      <c r="AE4879" s="10"/>
      <c r="AF4879" s="10"/>
      <c r="AG4879" s="10"/>
      <c r="AH4879" s="10"/>
    </row>
    <row r="4880" spans="1:34" ht="31.5" outlineLevel="2">
      <c r="A4880" s="191"/>
      <c r="B4880" s="12" t="str">
        <f>IFERROR(VLOOKUP(D4880,'[1]Перечень товаров'!$A$2:$I9525,2,0),"")</f>
        <v>д31</v>
      </c>
      <c r="C4880" s="12" t="str">
        <f>IFERROR(VLOOKUP(D4880,'[1]Перечень товаров'!$A$2:$I9525,3,0),"")</f>
        <v>Дидактика</v>
      </c>
      <c r="D4880" s="192" t="s">
        <v>776</v>
      </c>
      <c r="E4880" s="23"/>
      <c r="F4880" s="23"/>
      <c r="G4880" s="193">
        <v>1</v>
      </c>
      <c r="H4880" s="193"/>
      <c r="I4880" s="194"/>
      <c r="J4880" s="194"/>
      <c r="K4880" s="19"/>
      <c r="L4880" s="20"/>
      <c r="M4880" s="10"/>
      <c r="N4880" s="10"/>
      <c r="O4880" s="10"/>
      <c r="P4880" s="10"/>
      <c r="Q4880" s="10"/>
      <c r="R4880" s="10"/>
      <c r="S4880" s="10"/>
      <c r="T4880" s="10"/>
      <c r="U4880" s="10"/>
      <c r="V4880" s="10"/>
      <c r="W4880" s="10"/>
      <c r="X4880" s="10"/>
      <c r="Y4880" s="10"/>
      <c r="Z4880" s="10"/>
      <c r="AA4880" s="10"/>
      <c r="AB4880" s="10"/>
      <c r="AC4880" s="10"/>
      <c r="AD4880" s="10"/>
      <c r="AE4880" s="10"/>
      <c r="AF4880" s="10"/>
      <c r="AG4880" s="10"/>
      <c r="AH4880" s="10"/>
    </row>
    <row r="4881" spans="1:34" ht="31.5" outlineLevel="2">
      <c r="A4881" s="191"/>
      <c r="B4881" s="12" t="str">
        <f>IFERROR(VLOOKUP(D4881,'[1]Перечень товаров'!$A$2:$I9525,2,0),"")</f>
        <v>д32</v>
      </c>
      <c r="C4881" s="12" t="str">
        <f>IFERROR(VLOOKUP(D4881,'[1]Перечень товаров'!$A$2:$I9525,3,0),"")</f>
        <v>Дидактика</v>
      </c>
      <c r="D4881" s="192" t="s">
        <v>777</v>
      </c>
      <c r="E4881" s="23"/>
      <c r="F4881" s="23"/>
      <c r="G4881" s="193">
        <v>1</v>
      </c>
      <c r="H4881" s="193"/>
      <c r="I4881" s="194"/>
      <c r="J4881" s="194"/>
      <c r="K4881" s="19"/>
      <c r="L4881" s="20"/>
      <c r="M4881" s="10"/>
      <c r="N4881" s="10"/>
      <c r="O4881" s="10"/>
      <c r="P4881" s="10"/>
      <c r="Q4881" s="10"/>
      <c r="R4881" s="10"/>
      <c r="S4881" s="10"/>
      <c r="T4881" s="10"/>
      <c r="U4881" s="10"/>
      <c r="V4881" s="10"/>
      <c r="W4881" s="10"/>
      <c r="X4881" s="10"/>
      <c r="Y4881" s="10"/>
      <c r="Z4881" s="10"/>
      <c r="AA4881" s="10"/>
      <c r="AB4881" s="10"/>
      <c r="AC4881" s="10"/>
      <c r="AD4881" s="10"/>
      <c r="AE4881" s="10"/>
      <c r="AF4881" s="10"/>
      <c r="AG4881" s="10"/>
      <c r="AH4881" s="10"/>
    </row>
    <row r="4882" spans="1:34" ht="47.25" outlineLevel="2">
      <c r="A4882" s="191"/>
      <c r="B4882" s="12" t="str">
        <f>IFERROR(VLOOKUP(D4882,'[1]Перечень товаров'!$A$2:$I9525,2,0),"")</f>
        <v>д33</v>
      </c>
      <c r="C4882" s="12" t="str">
        <f>IFERROR(VLOOKUP(D4882,'[1]Перечень товаров'!$A$2:$I9525,3,0),"")</f>
        <v>Дидактика</v>
      </c>
      <c r="D4882" s="192" t="s">
        <v>778</v>
      </c>
      <c r="E4882" s="23"/>
      <c r="F4882" s="23"/>
      <c r="G4882" s="193">
        <v>1</v>
      </c>
      <c r="H4882" s="193"/>
      <c r="I4882" s="194"/>
      <c r="J4882" s="194"/>
      <c r="K4882" s="19"/>
      <c r="L4882" s="20"/>
      <c r="M4882" s="10"/>
      <c r="N4882" s="10"/>
      <c r="O4882" s="10"/>
      <c r="P4882" s="10"/>
      <c r="Q4882" s="10"/>
      <c r="R4882" s="10"/>
      <c r="S4882" s="10"/>
      <c r="T4882" s="10"/>
      <c r="U4882" s="10"/>
      <c r="V4882" s="10"/>
      <c r="W4882" s="10"/>
      <c r="X4882" s="10"/>
      <c r="Y4882" s="10"/>
      <c r="Z4882" s="10"/>
      <c r="AA4882" s="10"/>
      <c r="AB4882" s="10"/>
      <c r="AC4882" s="10"/>
      <c r="AD4882" s="10"/>
      <c r="AE4882" s="10"/>
      <c r="AF4882" s="10"/>
      <c r="AG4882" s="10"/>
      <c r="AH4882" s="10"/>
    </row>
    <row r="4883" spans="1:34" ht="31.5" outlineLevel="2">
      <c r="A4883" s="191"/>
      <c r="B4883" s="12" t="str">
        <f>IFERROR(VLOOKUP(D4883,'[1]Перечень товаров'!$A$2:$I9525,2,0),"")</f>
        <v>д34</v>
      </c>
      <c r="C4883" s="12" t="str">
        <f>IFERROR(VLOOKUP(D4883,'[1]Перечень товаров'!$A$2:$I9525,3,0),"")</f>
        <v>Дидактика</v>
      </c>
      <c r="D4883" s="192" t="s">
        <v>779</v>
      </c>
      <c r="E4883" s="23"/>
      <c r="F4883" s="23"/>
      <c r="G4883" s="193">
        <v>1</v>
      </c>
      <c r="H4883" s="193"/>
      <c r="I4883" s="194"/>
      <c r="J4883" s="194"/>
      <c r="K4883" s="19"/>
      <c r="L4883" s="20"/>
      <c r="M4883" s="10"/>
      <c r="N4883" s="10"/>
      <c r="O4883" s="10"/>
      <c r="P4883" s="10"/>
      <c r="Q4883" s="10"/>
      <c r="R4883" s="10"/>
      <c r="S4883" s="10"/>
      <c r="T4883" s="10"/>
      <c r="U4883" s="10"/>
      <c r="V4883" s="10"/>
      <c r="W4883" s="10"/>
      <c r="X4883" s="10"/>
      <c r="Y4883" s="10"/>
      <c r="Z4883" s="10"/>
      <c r="AA4883" s="10"/>
      <c r="AB4883" s="10"/>
      <c r="AC4883" s="10"/>
      <c r="AD4883" s="10"/>
      <c r="AE4883" s="10"/>
      <c r="AF4883" s="10"/>
      <c r="AG4883" s="10"/>
      <c r="AH4883" s="10"/>
    </row>
    <row r="4884" spans="1:34" ht="31.5" outlineLevel="2">
      <c r="A4884" s="191"/>
      <c r="B4884" s="12" t="str">
        <f>IFERROR(VLOOKUP(D4884,'[1]Перечень товаров'!$A$2:$I9525,2,0),"")</f>
        <v>д35</v>
      </c>
      <c r="C4884" s="12" t="str">
        <f>IFERROR(VLOOKUP(D4884,'[1]Перечень товаров'!$A$2:$I9525,3,0),"")</f>
        <v>Дидактика</v>
      </c>
      <c r="D4884" s="192" t="s">
        <v>780</v>
      </c>
      <c r="E4884" s="23"/>
      <c r="F4884" s="23"/>
      <c r="G4884" s="193">
        <v>1</v>
      </c>
      <c r="H4884" s="193"/>
      <c r="I4884" s="194"/>
      <c r="J4884" s="194"/>
      <c r="K4884" s="19"/>
      <c r="L4884" s="20"/>
      <c r="M4884" s="10"/>
      <c r="N4884" s="10"/>
      <c r="O4884" s="10"/>
      <c r="P4884" s="10"/>
      <c r="Q4884" s="10"/>
      <c r="R4884" s="10"/>
      <c r="S4884" s="10"/>
      <c r="T4884" s="10"/>
      <c r="U4884" s="10"/>
      <c r="V4884" s="10"/>
      <c r="W4884" s="10"/>
      <c r="X4884" s="10"/>
      <c r="Y4884" s="10"/>
      <c r="Z4884" s="10"/>
      <c r="AA4884" s="10"/>
      <c r="AB4884" s="10"/>
      <c r="AC4884" s="10"/>
      <c r="AD4884" s="10"/>
      <c r="AE4884" s="10"/>
      <c r="AF4884" s="10"/>
      <c r="AG4884" s="10"/>
      <c r="AH4884" s="10"/>
    </row>
    <row r="4885" spans="1:34" ht="31.5" outlineLevel="2">
      <c r="A4885" s="191"/>
      <c r="B4885" s="12" t="str">
        <f>IFERROR(VLOOKUP(D4885,'[1]Перечень товаров'!$A$2:$I9525,2,0),"")</f>
        <v>д36</v>
      </c>
      <c r="C4885" s="12" t="str">
        <f>IFERROR(VLOOKUP(D4885,'[1]Перечень товаров'!$A$2:$I9525,3,0),"")</f>
        <v>Дидактика</v>
      </c>
      <c r="D4885" s="192" t="s">
        <v>781</v>
      </c>
      <c r="E4885" s="23"/>
      <c r="F4885" s="23"/>
      <c r="G4885" s="193">
        <v>1</v>
      </c>
      <c r="H4885" s="193"/>
      <c r="I4885" s="194"/>
      <c r="J4885" s="194"/>
      <c r="K4885" s="19"/>
      <c r="L4885" s="20"/>
      <c r="M4885" s="10"/>
      <c r="N4885" s="10"/>
      <c r="O4885" s="10"/>
      <c r="P4885" s="10"/>
      <c r="Q4885" s="10"/>
      <c r="R4885" s="10"/>
      <c r="S4885" s="10"/>
      <c r="T4885" s="10"/>
      <c r="U4885" s="10"/>
      <c r="V4885" s="10"/>
      <c r="W4885" s="10"/>
      <c r="X4885" s="10"/>
      <c r="Y4885" s="10"/>
      <c r="Z4885" s="10"/>
      <c r="AA4885" s="10"/>
      <c r="AB4885" s="10"/>
      <c r="AC4885" s="10"/>
      <c r="AD4885" s="10"/>
      <c r="AE4885" s="10"/>
      <c r="AF4885" s="10"/>
      <c r="AG4885" s="10"/>
      <c r="AH4885" s="10"/>
    </row>
    <row r="4886" spans="1:34" outlineLevel="2">
      <c r="A4886" s="191"/>
      <c r="B4886" s="12" t="str">
        <f>IFERROR(VLOOKUP(D4886,'[1]Перечень товаров'!$A$2:$I9525,2,0),"")</f>
        <v>д37</v>
      </c>
      <c r="C4886" s="12" t="str">
        <f>IFERROR(VLOOKUP(D4886,'[1]Перечень товаров'!$A$2:$I9525,3,0),"")</f>
        <v>Дидактика</v>
      </c>
      <c r="D4886" s="192" t="s">
        <v>782</v>
      </c>
      <c r="E4886" s="23"/>
      <c r="F4886" s="23"/>
      <c r="G4886" s="193">
        <v>1</v>
      </c>
      <c r="H4886" s="193"/>
      <c r="I4886" s="194"/>
      <c r="J4886" s="194"/>
      <c r="K4886" s="19"/>
      <c r="L4886" s="20"/>
      <c r="M4886" s="10"/>
      <c r="N4886" s="10"/>
      <c r="O4886" s="10"/>
      <c r="P4886" s="10"/>
      <c r="Q4886" s="10"/>
      <c r="R4886" s="10"/>
      <c r="S4886" s="10"/>
      <c r="T4886" s="10"/>
      <c r="U4886" s="10"/>
      <c r="V4886" s="10"/>
      <c r="W4886" s="10"/>
      <c r="X4886" s="10"/>
      <c r="Y4886" s="10"/>
      <c r="Z4886" s="10"/>
      <c r="AA4886" s="10"/>
      <c r="AB4886" s="10"/>
      <c r="AC4886" s="10"/>
      <c r="AD4886" s="10"/>
      <c r="AE4886" s="10"/>
      <c r="AF4886" s="10"/>
      <c r="AG4886" s="10"/>
      <c r="AH4886" s="10"/>
    </row>
    <row r="4887" spans="1:34" ht="31.5" outlineLevel="2">
      <c r="A4887" s="191"/>
      <c r="B4887" s="12" t="str">
        <f>IFERROR(VLOOKUP(D4887,'[1]Перечень товаров'!$A$2:$I9525,2,0),"")</f>
        <v>д38</v>
      </c>
      <c r="C4887" s="12" t="str">
        <f>IFERROR(VLOOKUP(D4887,'[1]Перечень товаров'!$A$2:$I9525,3,0),"")</f>
        <v>Дидактика</v>
      </c>
      <c r="D4887" s="192" t="s">
        <v>783</v>
      </c>
      <c r="E4887" s="23"/>
      <c r="F4887" s="23"/>
      <c r="G4887" s="193">
        <v>1</v>
      </c>
      <c r="H4887" s="193"/>
      <c r="I4887" s="194"/>
      <c r="J4887" s="194"/>
      <c r="K4887" s="19"/>
      <c r="L4887" s="20"/>
      <c r="M4887" s="10"/>
      <c r="N4887" s="10"/>
      <c r="O4887" s="10"/>
      <c r="P4887" s="10"/>
      <c r="Q4887" s="10"/>
      <c r="R4887" s="10"/>
      <c r="S4887" s="10"/>
      <c r="T4887" s="10"/>
      <c r="U4887" s="10"/>
      <c r="V4887" s="10"/>
      <c r="W4887" s="10"/>
      <c r="X4887" s="10"/>
      <c r="Y4887" s="10"/>
      <c r="Z4887" s="10"/>
      <c r="AA4887" s="10"/>
      <c r="AB4887" s="10"/>
      <c r="AC4887" s="10"/>
      <c r="AD4887" s="10"/>
      <c r="AE4887" s="10"/>
      <c r="AF4887" s="10"/>
      <c r="AG4887" s="10"/>
      <c r="AH4887" s="10"/>
    </row>
    <row r="4888" spans="1:34" outlineLevel="2">
      <c r="A4888" s="191"/>
      <c r="B4888" s="12" t="str">
        <f>IFERROR(VLOOKUP(D4888,'[1]Перечень товаров'!$A$2:$I9525,2,0),"")</f>
        <v>д39</v>
      </c>
      <c r="C4888" s="12" t="str">
        <f>IFERROR(VLOOKUP(D4888,'[1]Перечень товаров'!$A$2:$I9525,3,0),"")</f>
        <v>Дидактика</v>
      </c>
      <c r="D4888" s="192" t="s">
        <v>784</v>
      </c>
      <c r="E4888" s="23"/>
      <c r="F4888" s="23"/>
      <c r="G4888" s="193">
        <v>1</v>
      </c>
      <c r="H4888" s="193"/>
      <c r="I4888" s="194"/>
      <c r="J4888" s="194"/>
      <c r="K4888" s="19"/>
      <c r="L4888" s="20"/>
      <c r="M4888" s="10"/>
      <c r="N4888" s="10"/>
      <c r="O4888" s="10"/>
      <c r="P4888" s="10"/>
      <c r="Q4888" s="10"/>
      <c r="R4888" s="10"/>
      <c r="S4888" s="10"/>
      <c r="T4888" s="10"/>
      <c r="U4888" s="10"/>
      <c r="V4888" s="10"/>
      <c r="W4888" s="10"/>
      <c r="X4888" s="10"/>
      <c r="Y4888" s="10"/>
      <c r="Z4888" s="10"/>
      <c r="AA4888" s="10"/>
      <c r="AB4888" s="10"/>
      <c r="AC4888" s="10"/>
      <c r="AD4888" s="10"/>
      <c r="AE4888" s="10"/>
      <c r="AF4888" s="10"/>
      <c r="AG4888" s="10"/>
      <c r="AH4888" s="10"/>
    </row>
    <row r="4889" spans="1:34" ht="31.5" outlineLevel="2">
      <c r="A4889" s="191"/>
      <c r="B4889" s="12" t="str">
        <f>IFERROR(VLOOKUP(D4889,'[1]Перечень товаров'!$A$2:$I9525,2,0),"")</f>
        <v>д40</v>
      </c>
      <c r="C4889" s="12" t="str">
        <f>IFERROR(VLOOKUP(D4889,'[1]Перечень товаров'!$A$2:$I9525,3,0),"")</f>
        <v>Дидактика</v>
      </c>
      <c r="D4889" s="192" t="s">
        <v>785</v>
      </c>
      <c r="E4889" s="23"/>
      <c r="F4889" s="23"/>
      <c r="G4889" s="193">
        <v>1</v>
      </c>
      <c r="H4889" s="193"/>
      <c r="I4889" s="194"/>
      <c r="J4889" s="194"/>
      <c r="K4889" s="19"/>
      <c r="L4889" s="20"/>
      <c r="M4889" s="10"/>
      <c r="N4889" s="10"/>
      <c r="O4889" s="10"/>
      <c r="P4889" s="10"/>
      <c r="Q4889" s="10"/>
      <c r="R4889" s="10"/>
      <c r="S4889" s="10"/>
      <c r="T4889" s="10"/>
      <c r="U4889" s="10"/>
      <c r="V4889" s="10"/>
      <c r="W4889" s="10"/>
      <c r="X4889" s="10"/>
      <c r="Y4889" s="10"/>
      <c r="Z4889" s="10"/>
      <c r="AA4889" s="10"/>
      <c r="AB4889" s="10"/>
      <c r="AC4889" s="10"/>
      <c r="AD4889" s="10"/>
      <c r="AE4889" s="10"/>
      <c r="AF4889" s="10"/>
      <c r="AG4889" s="10"/>
      <c r="AH4889" s="10"/>
    </row>
    <row r="4890" spans="1:34" ht="47.25" outlineLevel="2">
      <c r="A4890" s="191"/>
      <c r="B4890" s="12" t="str">
        <f>IFERROR(VLOOKUP(D4890,'[1]Перечень товаров'!$A$2:$I9525,2,0),"")</f>
        <v>д41</v>
      </c>
      <c r="C4890" s="12" t="str">
        <f>IFERROR(VLOOKUP(D4890,'[1]Перечень товаров'!$A$2:$I9525,3,0),"")</f>
        <v>Дидактика</v>
      </c>
      <c r="D4890" s="192" t="s">
        <v>786</v>
      </c>
      <c r="E4890" s="23"/>
      <c r="F4890" s="23"/>
      <c r="G4890" s="193">
        <v>1</v>
      </c>
      <c r="H4890" s="193"/>
      <c r="I4890" s="194"/>
      <c r="J4890" s="194"/>
      <c r="K4890" s="19"/>
      <c r="L4890" s="20"/>
      <c r="M4890" s="10"/>
      <c r="N4890" s="10"/>
      <c r="O4890" s="10"/>
      <c r="P4890" s="10"/>
      <c r="Q4890" s="10"/>
      <c r="R4890" s="10"/>
      <c r="S4890" s="10"/>
      <c r="T4890" s="10"/>
      <c r="U4890" s="10"/>
      <c r="V4890" s="10"/>
      <c r="W4890" s="10"/>
      <c r="X4890" s="10"/>
      <c r="Y4890" s="10"/>
      <c r="Z4890" s="10"/>
      <c r="AA4890" s="10"/>
      <c r="AB4890" s="10"/>
      <c r="AC4890" s="10"/>
      <c r="AD4890" s="10"/>
      <c r="AE4890" s="10"/>
      <c r="AF4890" s="10"/>
      <c r="AG4890" s="10"/>
      <c r="AH4890" s="10"/>
    </row>
    <row r="4891" spans="1:34" ht="31.5" outlineLevel="2">
      <c r="A4891" s="191"/>
      <c r="B4891" s="12" t="str">
        <f>IFERROR(VLOOKUP(D4891,'[1]Перечень товаров'!$A$2:$I9525,2,0),"")</f>
        <v>д42</v>
      </c>
      <c r="C4891" s="12" t="str">
        <f>IFERROR(VLOOKUP(D4891,'[1]Перечень товаров'!$A$2:$I9525,3,0),"")</f>
        <v>Дидактика</v>
      </c>
      <c r="D4891" s="192" t="s">
        <v>787</v>
      </c>
      <c r="E4891" s="23"/>
      <c r="F4891" s="23"/>
      <c r="G4891" s="193">
        <v>1</v>
      </c>
      <c r="H4891" s="193"/>
      <c r="I4891" s="194"/>
      <c r="J4891" s="194"/>
      <c r="K4891" s="19"/>
      <c r="L4891" s="20"/>
      <c r="M4891" s="10"/>
      <c r="N4891" s="10"/>
      <c r="O4891" s="10"/>
      <c r="P4891" s="10"/>
      <c r="Q4891" s="10"/>
      <c r="R4891" s="10"/>
      <c r="S4891" s="10"/>
      <c r="T4891" s="10"/>
      <c r="U4891" s="10"/>
      <c r="V4891" s="10"/>
      <c r="W4891" s="10"/>
      <c r="X4891" s="10"/>
      <c r="Y4891" s="10"/>
      <c r="Z4891" s="10"/>
      <c r="AA4891" s="10"/>
      <c r="AB4891" s="10"/>
      <c r="AC4891" s="10"/>
      <c r="AD4891" s="10"/>
      <c r="AE4891" s="10"/>
      <c r="AF4891" s="10"/>
      <c r="AG4891" s="10"/>
      <c r="AH4891" s="10"/>
    </row>
    <row r="4892" spans="1:34" ht="31.5" outlineLevel="2">
      <c r="A4892" s="191"/>
      <c r="B4892" s="12" t="str">
        <f>IFERROR(VLOOKUP(D4892,'[1]Перечень товаров'!$A$2:$I9525,2,0),"")</f>
        <v>д44</v>
      </c>
      <c r="C4892" s="12" t="str">
        <f>IFERROR(VLOOKUP(D4892,'[1]Перечень товаров'!$A$2:$I9525,3,0),"")</f>
        <v>Дидактика</v>
      </c>
      <c r="D4892" s="192" t="s">
        <v>789</v>
      </c>
      <c r="E4892" s="23"/>
      <c r="F4892" s="23"/>
      <c r="G4892" s="193">
        <v>1</v>
      </c>
      <c r="H4892" s="193"/>
      <c r="I4892" s="194"/>
      <c r="J4892" s="194"/>
      <c r="K4892" s="19"/>
      <c r="L4892" s="20"/>
      <c r="M4892" s="10"/>
      <c r="N4892" s="10"/>
      <c r="O4892" s="10"/>
      <c r="P4892" s="10"/>
      <c r="Q4892" s="10"/>
      <c r="R4892" s="10"/>
      <c r="S4892" s="10"/>
      <c r="T4892" s="10"/>
      <c r="U4892" s="10"/>
      <c r="V4892" s="10"/>
      <c r="W4892" s="10"/>
      <c r="X4892" s="10"/>
      <c r="Y4892" s="10"/>
      <c r="Z4892" s="10"/>
      <c r="AA4892" s="10"/>
      <c r="AB4892" s="10"/>
      <c r="AC4892" s="10"/>
      <c r="AD4892" s="10"/>
      <c r="AE4892" s="10"/>
      <c r="AF4892" s="10"/>
      <c r="AG4892" s="10"/>
      <c r="AH4892" s="10"/>
    </row>
    <row r="4893" spans="1:34" ht="31.5" outlineLevel="2">
      <c r="A4893" s="191"/>
      <c r="B4893" s="12" t="str">
        <f>IFERROR(VLOOKUP(D4893,'[1]Перечень товаров'!$A$2:$I9525,2,0),"")</f>
        <v>д46</v>
      </c>
      <c r="C4893" s="12" t="str">
        <f>IFERROR(VLOOKUP(D4893,'[1]Перечень товаров'!$A$2:$I9525,3,0),"")</f>
        <v>Дидактика</v>
      </c>
      <c r="D4893" s="192" t="s">
        <v>791</v>
      </c>
      <c r="E4893" s="23"/>
      <c r="F4893" s="23"/>
      <c r="G4893" s="193">
        <v>1</v>
      </c>
      <c r="H4893" s="193"/>
      <c r="I4893" s="194"/>
      <c r="J4893" s="194"/>
      <c r="K4893" s="19"/>
      <c r="L4893" s="20"/>
      <c r="M4893" s="10"/>
      <c r="N4893" s="10"/>
      <c r="O4893" s="10"/>
      <c r="P4893" s="10"/>
      <c r="Q4893" s="10"/>
      <c r="R4893" s="10"/>
      <c r="S4893" s="10"/>
      <c r="T4893" s="10"/>
      <c r="U4893" s="10"/>
      <c r="V4893" s="10"/>
      <c r="W4893" s="10"/>
      <c r="X4893" s="10"/>
      <c r="Y4893" s="10"/>
      <c r="Z4893" s="10"/>
      <c r="AA4893" s="10"/>
      <c r="AB4893" s="10"/>
      <c r="AC4893" s="10"/>
      <c r="AD4893" s="10"/>
      <c r="AE4893" s="10"/>
      <c r="AF4893" s="10"/>
      <c r="AG4893" s="10"/>
      <c r="AH4893" s="10"/>
    </row>
    <row r="4894" spans="1:34" ht="31.5" outlineLevel="2">
      <c r="A4894" s="191"/>
      <c r="B4894" s="12" t="str">
        <f>IFERROR(VLOOKUP(D4894,'[1]Перечень товаров'!$A$2:$I9525,2,0),"")</f>
        <v>д48</v>
      </c>
      <c r="C4894" s="12" t="str">
        <f>IFERROR(VLOOKUP(D4894,'[1]Перечень товаров'!$A$2:$I9525,3,0),"")</f>
        <v>Дидактика</v>
      </c>
      <c r="D4894" s="192" t="s">
        <v>793</v>
      </c>
      <c r="E4894" s="23"/>
      <c r="F4894" s="23"/>
      <c r="G4894" s="193">
        <v>1</v>
      </c>
      <c r="H4894" s="193"/>
      <c r="I4894" s="194"/>
      <c r="J4894" s="194"/>
      <c r="K4894" s="19"/>
      <c r="L4894" s="20"/>
      <c r="M4894" s="10"/>
      <c r="N4894" s="10"/>
      <c r="O4894" s="10"/>
      <c r="P4894" s="10"/>
      <c r="Q4894" s="10"/>
      <c r="R4894" s="10"/>
      <c r="S4894" s="10"/>
      <c r="T4894" s="10"/>
      <c r="U4894" s="10"/>
      <c r="V4894" s="10"/>
      <c r="W4894" s="10"/>
      <c r="X4894" s="10"/>
      <c r="Y4894" s="10"/>
      <c r="Z4894" s="10"/>
      <c r="AA4894" s="10"/>
      <c r="AB4894" s="10"/>
      <c r="AC4894" s="10"/>
      <c r="AD4894" s="10"/>
      <c r="AE4894" s="10"/>
      <c r="AF4894" s="10"/>
      <c r="AG4894" s="10"/>
      <c r="AH4894" s="10"/>
    </row>
    <row r="4895" spans="1:34" ht="31.5" outlineLevel="2">
      <c r="A4895" s="191"/>
      <c r="B4895" s="12" t="str">
        <f>IFERROR(VLOOKUP(D4895,'[1]Перечень товаров'!$A$2:$I9525,2,0),"")</f>
        <v>д51</v>
      </c>
      <c r="C4895" s="12" t="str">
        <f>IFERROR(VLOOKUP(D4895,'[1]Перечень товаров'!$A$2:$I9525,3,0),"")</f>
        <v>Дидактика</v>
      </c>
      <c r="D4895" s="192" t="s">
        <v>796</v>
      </c>
      <c r="E4895" s="23"/>
      <c r="F4895" s="23"/>
      <c r="G4895" s="193">
        <v>1</v>
      </c>
      <c r="H4895" s="193"/>
      <c r="I4895" s="194"/>
      <c r="J4895" s="194"/>
      <c r="K4895" s="19"/>
      <c r="L4895" s="20"/>
      <c r="M4895" s="10"/>
      <c r="N4895" s="10"/>
      <c r="O4895" s="10"/>
      <c r="P4895" s="10"/>
      <c r="Q4895" s="10"/>
      <c r="R4895" s="10"/>
      <c r="S4895" s="10"/>
      <c r="T4895" s="10"/>
      <c r="U4895" s="10"/>
      <c r="V4895" s="10"/>
      <c r="W4895" s="10"/>
      <c r="X4895" s="10"/>
      <c r="Y4895" s="10"/>
      <c r="Z4895" s="10"/>
      <c r="AA4895" s="10"/>
      <c r="AB4895" s="10"/>
      <c r="AC4895" s="10"/>
      <c r="AD4895" s="10"/>
      <c r="AE4895" s="10"/>
      <c r="AF4895" s="10"/>
      <c r="AG4895" s="10"/>
      <c r="AH4895" s="10"/>
    </row>
    <row r="4896" spans="1:34" ht="31.5" outlineLevel="2">
      <c r="A4896" s="191"/>
      <c r="B4896" s="12" t="str">
        <f>IFERROR(VLOOKUP(D4896,'[1]Перечень товаров'!$A$2:$I9525,2,0),"")</f>
        <v>д54</v>
      </c>
      <c r="C4896" s="12" t="str">
        <f>IFERROR(VLOOKUP(D4896,'[1]Перечень товаров'!$A$2:$I9525,3,0),"")</f>
        <v>Дидактика</v>
      </c>
      <c r="D4896" s="192" t="s">
        <v>799</v>
      </c>
      <c r="E4896" s="23"/>
      <c r="F4896" s="23"/>
      <c r="G4896" s="193">
        <v>1</v>
      </c>
      <c r="H4896" s="193"/>
      <c r="I4896" s="194"/>
      <c r="J4896" s="194"/>
      <c r="K4896" s="19"/>
      <c r="L4896" s="20"/>
      <c r="M4896" s="10"/>
      <c r="N4896" s="10"/>
      <c r="O4896" s="10"/>
      <c r="P4896" s="10"/>
      <c r="Q4896" s="10"/>
      <c r="R4896" s="10"/>
      <c r="S4896" s="10"/>
      <c r="T4896" s="10"/>
      <c r="U4896" s="10"/>
      <c r="V4896" s="10"/>
      <c r="W4896" s="10"/>
      <c r="X4896" s="10"/>
      <c r="Y4896" s="10"/>
      <c r="Z4896" s="10"/>
      <c r="AA4896" s="10"/>
      <c r="AB4896" s="10"/>
      <c r="AC4896" s="10"/>
      <c r="AD4896" s="10"/>
      <c r="AE4896" s="10"/>
      <c r="AF4896" s="10"/>
      <c r="AG4896" s="10"/>
      <c r="AH4896" s="10"/>
    </row>
    <row r="4897" spans="1:34" ht="47.25" outlineLevel="2">
      <c r="A4897" s="191"/>
      <c r="B4897" s="12" t="str">
        <f>IFERROR(VLOOKUP(D4897,'[1]Перечень товаров'!$A$2:$I9525,2,0),"")</f>
        <v>д58</v>
      </c>
      <c r="C4897" s="12" t="str">
        <f>IFERROR(VLOOKUP(D4897,'[1]Перечень товаров'!$A$2:$I9525,3,0),"")</f>
        <v>Дидактика</v>
      </c>
      <c r="D4897" s="192" t="s">
        <v>803</v>
      </c>
      <c r="E4897" s="23"/>
      <c r="F4897" s="23"/>
      <c r="G4897" s="193">
        <v>1</v>
      </c>
      <c r="H4897" s="193"/>
      <c r="I4897" s="194"/>
      <c r="J4897" s="194"/>
      <c r="K4897" s="19"/>
      <c r="L4897" s="20"/>
      <c r="M4897" s="10"/>
      <c r="N4897" s="10"/>
      <c r="O4897" s="10"/>
      <c r="P4897" s="10"/>
      <c r="Q4897" s="10"/>
      <c r="R4897" s="10"/>
      <c r="S4897" s="10"/>
      <c r="T4897" s="10"/>
      <c r="U4897" s="10"/>
      <c r="V4897" s="10"/>
      <c r="W4897" s="10"/>
      <c r="X4897" s="10"/>
      <c r="Y4897" s="10"/>
      <c r="Z4897" s="10"/>
      <c r="AA4897" s="10"/>
      <c r="AB4897" s="10"/>
      <c r="AC4897" s="10"/>
      <c r="AD4897" s="10"/>
      <c r="AE4897" s="10"/>
      <c r="AF4897" s="10"/>
      <c r="AG4897" s="10"/>
      <c r="AH4897" s="10"/>
    </row>
    <row r="4898" spans="1:34" ht="47.25" outlineLevel="2">
      <c r="A4898" s="191"/>
      <c r="B4898" s="12" t="str">
        <f>IFERROR(VLOOKUP(D4898,'[1]Перечень товаров'!$A$2:$I9525,2,0),"")</f>
        <v>д61</v>
      </c>
      <c r="C4898" s="12" t="str">
        <f>IFERROR(VLOOKUP(D4898,'[1]Перечень товаров'!$A$2:$I9525,3,0),"")</f>
        <v>Дидактика</v>
      </c>
      <c r="D4898" s="192" t="s">
        <v>806</v>
      </c>
      <c r="E4898" s="23"/>
      <c r="F4898" s="23"/>
      <c r="G4898" s="193">
        <v>1</v>
      </c>
      <c r="H4898" s="193"/>
      <c r="I4898" s="194"/>
      <c r="J4898" s="194"/>
      <c r="K4898" s="19"/>
      <c r="L4898" s="20"/>
      <c r="M4898" s="10"/>
      <c r="N4898" s="10"/>
      <c r="O4898" s="10"/>
      <c r="P4898" s="10"/>
      <c r="Q4898" s="10"/>
      <c r="R4898" s="10"/>
      <c r="S4898" s="10"/>
      <c r="T4898" s="10"/>
      <c r="U4898" s="10"/>
      <c r="V4898" s="10"/>
      <c r="W4898" s="10"/>
      <c r="X4898" s="10"/>
      <c r="Y4898" s="10"/>
      <c r="Z4898" s="10"/>
      <c r="AA4898" s="10"/>
      <c r="AB4898" s="10"/>
      <c r="AC4898" s="10"/>
      <c r="AD4898" s="10"/>
      <c r="AE4898" s="10"/>
      <c r="AF4898" s="10"/>
      <c r="AG4898" s="10"/>
      <c r="AH4898" s="10"/>
    </row>
    <row r="4899" spans="1:34" outlineLevel="2">
      <c r="A4899" s="191"/>
      <c r="B4899" s="12" t="str">
        <f>IFERROR(VLOOKUP(D4899,'[1]Перечень товаров'!$A$2:$I9525,2,0),"")</f>
        <v>д62</v>
      </c>
      <c r="C4899" s="12" t="str">
        <f>IFERROR(VLOOKUP(D4899,'[1]Перечень товаров'!$A$2:$I9525,3,0),"")</f>
        <v>Дидактика</v>
      </c>
      <c r="D4899" s="192" t="s">
        <v>807</v>
      </c>
      <c r="E4899" s="23"/>
      <c r="F4899" s="23"/>
      <c r="G4899" s="193">
        <v>1</v>
      </c>
      <c r="H4899" s="193"/>
      <c r="I4899" s="194"/>
      <c r="J4899" s="194"/>
      <c r="K4899" s="19"/>
      <c r="L4899" s="20"/>
      <c r="M4899" s="10"/>
      <c r="N4899" s="10"/>
      <c r="O4899" s="10"/>
      <c r="P4899" s="10"/>
      <c r="Q4899" s="10"/>
      <c r="R4899" s="10"/>
      <c r="S4899" s="10"/>
      <c r="T4899" s="10"/>
      <c r="U4899" s="10"/>
      <c r="V4899" s="10"/>
      <c r="W4899" s="10"/>
      <c r="X4899" s="10"/>
      <c r="Y4899" s="10"/>
      <c r="Z4899" s="10"/>
      <c r="AA4899" s="10"/>
      <c r="AB4899" s="10"/>
      <c r="AC4899" s="10"/>
      <c r="AD4899" s="10"/>
      <c r="AE4899" s="10"/>
      <c r="AF4899" s="10"/>
      <c r="AG4899" s="10"/>
      <c r="AH4899" s="10"/>
    </row>
    <row r="4900" spans="1:34" ht="47.25" outlineLevel="2">
      <c r="A4900" s="191"/>
      <c r="B4900" s="12" t="str">
        <f>IFERROR(VLOOKUP(D4900,'[1]Перечень товаров'!$A$2:$I9525,2,0),"")</f>
        <v>д63</v>
      </c>
      <c r="C4900" s="12" t="str">
        <f>IFERROR(VLOOKUP(D4900,'[1]Перечень товаров'!$A$2:$I9525,3,0),"")</f>
        <v>Дидактика</v>
      </c>
      <c r="D4900" s="192" t="s">
        <v>808</v>
      </c>
      <c r="E4900" s="23"/>
      <c r="F4900" s="23"/>
      <c r="G4900" s="193">
        <v>1</v>
      </c>
      <c r="H4900" s="193"/>
      <c r="I4900" s="194"/>
      <c r="J4900" s="194"/>
      <c r="K4900" s="19"/>
      <c r="L4900" s="20"/>
      <c r="M4900" s="10"/>
      <c r="N4900" s="10"/>
      <c r="O4900" s="10"/>
      <c r="P4900" s="10"/>
      <c r="Q4900" s="10"/>
      <c r="R4900" s="10"/>
      <c r="S4900" s="10"/>
      <c r="T4900" s="10"/>
      <c r="U4900" s="10"/>
      <c r="V4900" s="10"/>
      <c r="W4900" s="10"/>
      <c r="X4900" s="10"/>
      <c r="Y4900" s="10"/>
      <c r="Z4900" s="10"/>
      <c r="AA4900" s="10"/>
      <c r="AB4900" s="10"/>
      <c r="AC4900" s="10"/>
      <c r="AD4900" s="10"/>
      <c r="AE4900" s="10"/>
      <c r="AF4900" s="10"/>
      <c r="AG4900" s="10"/>
      <c r="AH4900" s="10"/>
    </row>
    <row r="4901" spans="1:34" ht="30" outlineLevel="2">
      <c r="A4901" s="179"/>
      <c r="B4901" s="12" t="str">
        <f>IFERROR(VLOOKUP(D4901,'[1]Перечень товаров'!$A$2:$I9525,2,0),"")</f>
        <v/>
      </c>
      <c r="C4901" s="12" t="str">
        <f>IFERROR(VLOOKUP(D4901,'[1]Перечень товаров'!$A$2:$I9525,3,0),"")</f>
        <v/>
      </c>
      <c r="D4901" s="180" t="s">
        <v>809</v>
      </c>
      <c r="E4901" s="61"/>
      <c r="F4901" s="61"/>
      <c r="G4901" s="195"/>
      <c r="H4901" s="195"/>
      <c r="I4901" s="196"/>
      <c r="J4901" s="196"/>
      <c r="K4901" s="19"/>
      <c r="L4901" s="20"/>
      <c r="M4901" s="10"/>
      <c r="N4901" s="10"/>
      <c r="O4901" s="10"/>
      <c r="P4901" s="10"/>
      <c r="Q4901" s="10"/>
      <c r="R4901" s="10"/>
      <c r="S4901" s="10"/>
      <c r="T4901" s="10"/>
      <c r="U4901" s="10"/>
      <c r="V4901" s="10"/>
      <c r="W4901" s="10"/>
      <c r="X4901" s="10"/>
      <c r="Y4901" s="10"/>
      <c r="Z4901" s="10"/>
      <c r="AA4901" s="10"/>
      <c r="AB4901" s="10"/>
      <c r="AC4901" s="10"/>
      <c r="AD4901" s="10"/>
      <c r="AE4901" s="10"/>
      <c r="AF4901" s="10"/>
      <c r="AG4901" s="10"/>
      <c r="AH4901" s="10"/>
    </row>
    <row r="4902" spans="1:34" ht="31.5" outlineLevel="2">
      <c r="A4902" s="191"/>
      <c r="B4902" s="12" t="str">
        <f>IFERROR(VLOOKUP(D4902,'[1]Перечень товаров'!$A$2:$I9525,2,0),"")</f>
        <v>д64</v>
      </c>
      <c r="C4902" s="12" t="str">
        <f>IFERROR(VLOOKUP(D4902,'[1]Перечень товаров'!$A$2:$I9525,3,0),"")</f>
        <v>Дидактика</v>
      </c>
      <c r="D4902" s="192" t="s">
        <v>810</v>
      </c>
      <c r="E4902" s="23"/>
      <c r="F4902" s="23"/>
      <c r="G4902" s="193">
        <v>1</v>
      </c>
      <c r="H4902" s="193"/>
      <c r="I4902" s="194"/>
      <c r="J4902" s="194"/>
      <c r="K4902" s="19"/>
      <c r="L4902" s="20"/>
      <c r="M4902" s="10"/>
      <c r="N4902" s="10"/>
      <c r="O4902" s="10"/>
      <c r="P4902" s="10"/>
      <c r="Q4902" s="10"/>
      <c r="R4902" s="10"/>
      <c r="S4902" s="10"/>
      <c r="T4902" s="10"/>
      <c r="U4902" s="10"/>
      <c r="V4902" s="10"/>
      <c r="W4902" s="10"/>
      <c r="X4902" s="10"/>
      <c r="Y4902" s="10"/>
      <c r="Z4902" s="10"/>
      <c r="AA4902" s="10"/>
      <c r="AB4902" s="10"/>
      <c r="AC4902" s="10"/>
      <c r="AD4902" s="10"/>
      <c r="AE4902" s="10"/>
      <c r="AF4902" s="10"/>
      <c r="AG4902" s="10"/>
      <c r="AH4902" s="10"/>
    </row>
    <row r="4903" spans="1:34" outlineLevel="2">
      <c r="A4903" s="191"/>
      <c r="B4903" s="12" t="str">
        <f>IFERROR(VLOOKUP(D4903,'[1]Перечень товаров'!$A$2:$I9525,2,0),"")</f>
        <v>д65</v>
      </c>
      <c r="C4903" s="12" t="str">
        <f>IFERROR(VLOOKUP(D4903,'[1]Перечень товаров'!$A$2:$I9525,3,0),"")</f>
        <v>Дидактика</v>
      </c>
      <c r="D4903" s="192" t="s">
        <v>811</v>
      </c>
      <c r="E4903" s="23"/>
      <c r="F4903" s="23"/>
      <c r="G4903" s="193">
        <v>1</v>
      </c>
      <c r="H4903" s="193"/>
      <c r="I4903" s="194"/>
      <c r="J4903" s="194"/>
      <c r="K4903" s="19"/>
      <c r="L4903" s="20"/>
      <c r="M4903" s="10"/>
      <c r="N4903" s="10"/>
      <c r="O4903" s="10"/>
      <c r="P4903" s="10"/>
      <c r="Q4903" s="10"/>
      <c r="R4903" s="10"/>
      <c r="S4903" s="10"/>
      <c r="T4903" s="10"/>
      <c r="U4903" s="10"/>
      <c r="V4903" s="10"/>
      <c r="W4903" s="10"/>
      <c r="X4903" s="10"/>
      <c r="Y4903" s="10"/>
      <c r="Z4903" s="10"/>
      <c r="AA4903" s="10"/>
      <c r="AB4903" s="10"/>
      <c r="AC4903" s="10"/>
      <c r="AD4903" s="10"/>
      <c r="AE4903" s="10"/>
      <c r="AF4903" s="10"/>
      <c r="AG4903" s="10"/>
      <c r="AH4903" s="10"/>
    </row>
    <row r="4904" spans="1:34" outlineLevel="2">
      <c r="A4904" s="191"/>
      <c r="B4904" s="12" t="str">
        <f>IFERROR(VLOOKUP(D4904,'[1]Перечень товаров'!$A$2:$I9525,2,0),"")</f>
        <v>д66</v>
      </c>
      <c r="C4904" s="12" t="str">
        <f>IFERROR(VLOOKUP(D4904,'[1]Перечень товаров'!$A$2:$I9525,3,0),"")</f>
        <v>Дидактика</v>
      </c>
      <c r="D4904" s="192" t="s">
        <v>812</v>
      </c>
      <c r="E4904" s="23"/>
      <c r="F4904" s="23"/>
      <c r="G4904" s="193">
        <v>1</v>
      </c>
      <c r="H4904" s="193"/>
      <c r="I4904" s="194"/>
      <c r="J4904" s="194"/>
      <c r="K4904" s="19"/>
      <c r="L4904" s="20"/>
      <c r="M4904" s="10"/>
      <c r="N4904" s="10"/>
      <c r="O4904" s="10"/>
      <c r="P4904" s="10"/>
      <c r="Q4904" s="10"/>
      <c r="R4904" s="10"/>
      <c r="S4904" s="10"/>
      <c r="T4904" s="10"/>
      <c r="U4904" s="10"/>
      <c r="V4904" s="10"/>
      <c r="W4904" s="10"/>
      <c r="X4904" s="10"/>
      <c r="Y4904" s="10"/>
      <c r="Z4904" s="10"/>
      <c r="AA4904" s="10"/>
      <c r="AB4904" s="10"/>
      <c r="AC4904" s="10"/>
      <c r="AD4904" s="10"/>
      <c r="AE4904" s="10"/>
      <c r="AF4904" s="10"/>
      <c r="AG4904" s="10"/>
      <c r="AH4904" s="10"/>
    </row>
    <row r="4905" spans="1:34" outlineLevel="2">
      <c r="A4905" s="191"/>
      <c r="B4905" s="12" t="str">
        <f>IFERROR(VLOOKUP(D4905,'[1]Перечень товаров'!$A$2:$I9525,2,0),"")</f>
        <v>д67</v>
      </c>
      <c r="C4905" s="12" t="str">
        <f>IFERROR(VLOOKUP(D4905,'[1]Перечень товаров'!$A$2:$I9525,3,0),"")</f>
        <v>Дидактика</v>
      </c>
      <c r="D4905" s="192" t="s">
        <v>813</v>
      </c>
      <c r="E4905" s="23"/>
      <c r="F4905" s="23"/>
      <c r="G4905" s="193">
        <v>1</v>
      </c>
      <c r="H4905" s="193"/>
      <c r="I4905" s="194"/>
      <c r="J4905" s="194"/>
      <c r="K4905" s="19"/>
      <c r="L4905" s="20"/>
      <c r="M4905" s="10"/>
      <c r="N4905" s="10"/>
      <c r="O4905" s="10"/>
      <c r="P4905" s="10"/>
      <c r="Q4905" s="10"/>
      <c r="R4905" s="10"/>
      <c r="S4905" s="10"/>
      <c r="T4905" s="10"/>
      <c r="U4905" s="10"/>
      <c r="V4905" s="10"/>
      <c r="W4905" s="10"/>
      <c r="X4905" s="10"/>
      <c r="Y4905" s="10"/>
      <c r="Z4905" s="10"/>
      <c r="AA4905" s="10"/>
      <c r="AB4905" s="10"/>
      <c r="AC4905" s="10"/>
      <c r="AD4905" s="10"/>
      <c r="AE4905" s="10"/>
      <c r="AF4905" s="10"/>
      <c r="AG4905" s="10"/>
      <c r="AH4905" s="10"/>
    </row>
    <row r="4906" spans="1:34" outlineLevel="2">
      <c r="A4906" s="191"/>
      <c r="B4906" s="12" t="str">
        <f>IFERROR(VLOOKUP(D4906,'[1]Перечень товаров'!$A$2:$I9525,2,0),"")</f>
        <v>п90</v>
      </c>
      <c r="C4906" s="12" t="str">
        <f>IFERROR(VLOOKUP(D4906,'[1]Перечень товаров'!$A$2:$I9525,3,0),"")</f>
        <v>Прочее</v>
      </c>
      <c r="D4906" s="192" t="s">
        <v>723</v>
      </c>
      <c r="E4906" s="23"/>
      <c r="F4906" s="23"/>
      <c r="G4906" s="193">
        <v>1</v>
      </c>
      <c r="H4906" s="193"/>
      <c r="I4906" s="194"/>
      <c r="J4906" s="194"/>
      <c r="K4906" s="19"/>
      <c r="L4906" s="20"/>
      <c r="M4906" s="10"/>
      <c r="N4906" s="10"/>
      <c r="O4906" s="10"/>
      <c r="P4906" s="10"/>
      <c r="Q4906" s="10"/>
      <c r="R4906" s="10"/>
      <c r="S4906" s="10"/>
      <c r="T4906" s="10"/>
      <c r="U4906" s="10"/>
      <c r="V4906" s="10"/>
      <c r="W4906" s="10"/>
      <c r="X4906" s="10"/>
      <c r="Y4906" s="10"/>
      <c r="Z4906" s="10"/>
      <c r="AA4906" s="10"/>
      <c r="AB4906" s="10"/>
      <c r="AC4906" s="10"/>
      <c r="AD4906" s="10"/>
      <c r="AE4906" s="10"/>
      <c r="AF4906" s="10"/>
      <c r="AG4906" s="10"/>
      <c r="AH4906" s="10"/>
    </row>
    <row r="4907" spans="1:34" outlineLevel="2">
      <c r="A4907" s="191"/>
      <c r="B4907" s="12" t="str">
        <f>IFERROR(VLOOKUP(D4907,'[1]Перечень товаров'!$A$2:$I9525,2,0),"")</f>
        <v>д68</v>
      </c>
      <c r="C4907" s="12" t="str">
        <f>IFERROR(VLOOKUP(D4907,'[1]Перечень товаров'!$A$2:$I9525,3,0),"")</f>
        <v>Дидактика</v>
      </c>
      <c r="D4907" s="192" t="s">
        <v>814</v>
      </c>
      <c r="E4907" s="23"/>
      <c r="F4907" s="23"/>
      <c r="G4907" s="193">
        <v>3</v>
      </c>
      <c r="H4907" s="193"/>
      <c r="I4907" s="194"/>
      <c r="J4907" s="194"/>
      <c r="K4907" s="19"/>
      <c r="L4907" s="20"/>
      <c r="M4907" s="10"/>
      <c r="N4907" s="10"/>
      <c r="O4907" s="10"/>
      <c r="P4907" s="10"/>
      <c r="Q4907" s="10"/>
      <c r="R4907" s="10"/>
      <c r="S4907" s="10"/>
      <c r="T4907" s="10"/>
      <c r="U4907" s="10"/>
      <c r="V4907" s="10"/>
      <c r="W4907" s="10"/>
      <c r="X4907" s="10"/>
      <c r="Y4907" s="10"/>
      <c r="Z4907" s="10"/>
      <c r="AA4907" s="10"/>
      <c r="AB4907" s="10"/>
      <c r="AC4907" s="10"/>
      <c r="AD4907" s="10"/>
      <c r="AE4907" s="10"/>
      <c r="AF4907" s="10"/>
      <c r="AG4907" s="10"/>
      <c r="AH4907" s="10"/>
    </row>
    <row r="4908" spans="1:34" outlineLevel="2">
      <c r="A4908" s="191"/>
      <c r="B4908" s="12" t="str">
        <f>IFERROR(VLOOKUP(D4908,'[1]Перечень товаров'!$A$2:$I9525,2,0),"")</f>
        <v>д69</v>
      </c>
      <c r="C4908" s="12" t="str">
        <f>IFERROR(VLOOKUP(D4908,'[1]Перечень товаров'!$A$2:$I9525,3,0),"")</f>
        <v>Дидактика</v>
      </c>
      <c r="D4908" s="192" t="s">
        <v>815</v>
      </c>
      <c r="E4908" s="23"/>
      <c r="F4908" s="23"/>
      <c r="G4908" s="193">
        <v>8</v>
      </c>
      <c r="H4908" s="193"/>
      <c r="I4908" s="194"/>
      <c r="J4908" s="194"/>
      <c r="K4908" s="19"/>
      <c r="L4908" s="20"/>
      <c r="M4908" s="10"/>
      <c r="N4908" s="10"/>
      <c r="O4908" s="10"/>
      <c r="P4908" s="10"/>
      <c r="Q4908" s="10"/>
      <c r="R4908" s="10"/>
      <c r="S4908" s="10"/>
      <c r="T4908" s="10"/>
      <c r="U4908" s="10"/>
      <c r="V4908" s="10"/>
      <c r="W4908" s="10"/>
      <c r="X4908" s="10"/>
      <c r="Y4908" s="10"/>
      <c r="Z4908" s="10"/>
      <c r="AA4908" s="10"/>
      <c r="AB4908" s="10"/>
      <c r="AC4908" s="10"/>
      <c r="AD4908" s="10"/>
      <c r="AE4908" s="10"/>
      <c r="AF4908" s="10"/>
      <c r="AG4908" s="10"/>
      <c r="AH4908" s="10"/>
    </row>
    <row r="4909" spans="1:34" outlineLevel="2">
      <c r="A4909" s="191"/>
      <c r="B4909" s="12" t="str">
        <f>IFERROR(VLOOKUP(D4909,'[1]Перечень товаров'!$A$2:$I9525,2,0),"")</f>
        <v>д70</v>
      </c>
      <c r="C4909" s="12" t="str">
        <f>IFERROR(VLOOKUP(D4909,'[1]Перечень товаров'!$A$2:$I9525,3,0),"")</f>
        <v>Дидактика</v>
      </c>
      <c r="D4909" s="192" t="s">
        <v>816</v>
      </c>
      <c r="E4909" s="23"/>
      <c r="F4909" s="23"/>
      <c r="G4909" s="193">
        <v>100</v>
      </c>
      <c r="H4909" s="193"/>
      <c r="I4909" s="194"/>
      <c r="J4909" s="194"/>
      <c r="K4909" s="19"/>
      <c r="L4909" s="20"/>
      <c r="M4909" s="10"/>
      <c r="N4909" s="10"/>
      <c r="O4909" s="10"/>
      <c r="P4909" s="10"/>
      <c r="Q4909" s="10"/>
      <c r="R4909" s="10"/>
      <c r="S4909" s="10"/>
      <c r="T4909" s="10"/>
      <c r="U4909" s="10"/>
      <c r="V4909" s="10"/>
      <c r="W4909" s="10"/>
      <c r="X4909" s="10"/>
      <c r="Y4909" s="10"/>
      <c r="Z4909" s="10"/>
      <c r="AA4909" s="10"/>
      <c r="AB4909" s="10"/>
      <c r="AC4909" s="10"/>
      <c r="AD4909" s="10"/>
      <c r="AE4909" s="10"/>
      <c r="AF4909" s="10"/>
      <c r="AG4909" s="10"/>
      <c r="AH4909" s="10"/>
    </row>
    <row r="4910" spans="1:34" ht="12.75" outlineLevel="1">
      <c r="A4910" s="11"/>
      <c r="B4910" s="12" t="str">
        <f>IFERROR(VLOOKUP(D4910,'[1]Перечень товаров'!$A$2:$I9525,2,0),"")</f>
        <v/>
      </c>
      <c r="C4910" s="12" t="str">
        <f>IFERROR(VLOOKUP(D4910,'[1]Перечень товаров'!$A$2:$I9525,3,0),"")</f>
        <v/>
      </c>
      <c r="D4910" s="27" t="s">
        <v>1378</v>
      </c>
      <c r="E4910" s="14">
        <v>61.2</v>
      </c>
      <c r="F4910" s="14"/>
      <c r="G4910" s="17"/>
      <c r="H4910" s="17"/>
      <c r="I4910" s="57"/>
      <c r="J4910" s="57"/>
      <c r="K4910" s="19"/>
      <c r="L4910" s="20"/>
      <c r="M4910" s="10"/>
      <c r="N4910" s="10"/>
      <c r="O4910" s="10"/>
      <c r="P4910" s="10"/>
      <c r="Q4910" s="10"/>
      <c r="R4910" s="10"/>
      <c r="S4910" s="10"/>
      <c r="T4910" s="10"/>
      <c r="U4910" s="10"/>
      <c r="V4910" s="10"/>
      <c r="W4910" s="10"/>
      <c r="X4910" s="10"/>
      <c r="Y4910" s="10"/>
      <c r="Z4910" s="10"/>
      <c r="AA4910" s="10"/>
      <c r="AB4910" s="10"/>
      <c r="AC4910" s="10"/>
      <c r="AD4910" s="10"/>
      <c r="AE4910" s="10"/>
      <c r="AF4910" s="10"/>
      <c r="AG4910" s="10"/>
      <c r="AH4910" s="10"/>
    </row>
    <row r="4911" spans="1:34" ht="30" outlineLevel="2">
      <c r="A4911" s="189"/>
      <c r="B4911" s="12" t="str">
        <f>IFERROR(VLOOKUP(D4911,'[1]Перечень товаров'!$A$2:$I9525,2,0),"")</f>
        <v/>
      </c>
      <c r="C4911" s="12" t="str">
        <f>IFERROR(VLOOKUP(D4911,'[1]Перечень товаров'!$A$2:$I9525,3,0),"")</f>
        <v/>
      </c>
      <c r="D4911" s="190" t="s">
        <v>740</v>
      </c>
      <c r="E4911" s="61"/>
      <c r="F4911" s="61"/>
      <c r="G4911" s="186"/>
      <c r="H4911" s="186"/>
      <c r="I4911" s="187"/>
      <c r="J4911" s="187"/>
      <c r="K4911" s="19"/>
      <c r="L4911" s="20"/>
      <c r="M4911" s="10"/>
      <c r="N4911" s="10"/>
      <c r="O4911" s="10"/>
      <c r="P4911" s="10"/>
      <c r="Q4911" s="10"/>
      <c r="R4911" s="10"/>
      <c r="S4911" s="10"/>
      <c r="T4911" s="10"/>
      <c r="U4911" s="10"/>
      <c r="V4911" s="10"/>
      <c r="W4911" s="10"/>
      <c r="X4911" s="10"/>
      <c r="Y4911" s="10"/>
      <c r="Z4911" s="10"/>
      <c r="AA4911" s="10"/>
      <c r="AB4911" s="10"/>
      <c r="AC4911" s="10"/>
      <c r="AD4911" s="10"/>
      <c r="AE4911" s="10"/>
      <c r="AF4911" s="10"/>
      <c r="AG4911" s="10"/>
      <c r="AH4911" s="10"/>
    </row>
    <row r="4912" spans="1:34" ht="30" outlineLevel="2">
      <c r="A4912" s="179"/>
      <c r="B4912" s="12" t="str">
        <f>IFERROR(VLOOKUP(D4912,'[1]Перечень товаров'!$A$2:$I9525,2,0),"")</f>
        <v/>
      </c>
      <c r="C4912" s="12" t="str">
        <f>IFERROR(VLOOKUP(D4912,'[1]Перечень товаров'!$A$2:$I9525,3,0),"")</f>
        <v/>
      </c>
      <c r="D4912" s="180" t="s">
        <v>668</v>
      </c>
      <c r="E4912" s="61"/>
      <c r="F4912" s="61"/>
      <c r="G4912" s="186"/>
      <c r="H4912" s="186"/>
      <c r="I4912" s="187"/>
      <c r="J4912" s="187"/>
      <c r="K4912" s="19"/>
      <c r="L4912" s="20"/>
      <c r="M4912" s="10"/>
      <c r="N4912" s="10"/>
      <c r="O4912" s="10"/>
      <c r="P4912" s="10"/>
      <c r="Q4912" s="10"/>
      <c r="R4912" s="10"/>
      <c r="S4912" s="10"/>
      <c r="T4912" s="10"/>
      <c r="U4912" s="10"/>
      <c r="V4912" s="10"/>
      <c r="W4912" s="10"/>
      <c r="X4912" s="10"/>
      <c r="Y4912" s="10"/>
      <c r="Z4912" s="10"/>
      <c r="AA4912" s="10"/>
      <c r="AB4912" s="10"/>
      <c r="AC4912" s="10"/>
      <c r="AD4912" s="10"/>
      <c r="AE4912" s="10"/>
      <c r="AF4912" s="10"/>
      <c r="AG4912" s="10"/>
      <c r="AH4912" s="10"/>
    </row>
    <row r="4913" spans="1:34" outlineLevel="2">
      <c r="A4913" s="191"/>
      <c r="B4913" s="12" t="str">
        <f>IFERROR(VLOOKUP(D4913,'[1]Перечень товаров'!$A$2:$I9525,2,0),"")</f>
        <v>т9</v>
      </c>
      <c r="C4913" s="12" t="str">
        <f>IFERROR(VLOOKUP(D4913,'[1]Перечень товаров'!$A$2:$I9525,3,0),"")</f>
        <v>Техника</v>
      </c>
      <c r="D4913" s="192" t="s">
        <v>36</v>
      </c>
      <c r="E4913" s="23"/>
      <c r="F4913" s="23"/>
      <c r="G4913" s="193">
        <v>1</v>
      </c>
      <c r="H4913" s="193"/>
      <c r="I4913" s="194"/>
      <c r="J4913" s="194"/>
      <c r="K4913" s="19"/>
      <c r="L4913" s="20"/>
      <c r="M4913" s="10"/>
      <c r="N4913" s="10"/>
      <c r="O4913" s="10"/>
      <c r="P4913" s="10"/>
      <c r="Q4913" s="10"/>
      <c r="R4913" s="10"/>
      <c r="S4913" s="10"/>
      <c r="T4913" s="10"/>
      <c r="U4913" s="10"/>
      <c r="V4913" s="10"/>
      <c r="W4913" s="10"/>
      <c r="X4913" s="10"/>
      <c r="Y4913" s="10"/>
      <c r="Z4913" s="10"/>
      <c r="AA4913" s="10"/>
      <c r="AB4913" s="10"/>
      <c r="AC4913" s="10"/>
      <c r="AD4913" s="10"/>
      <c r="AE4913" s="10"/>
      <c r="AF4913" s="10"/>
      <c r="AG4913" s="10"/>
      <c r="AH4913" s="10"/>
    </row>
    <row r="4914" spans="1:34" outlineLevel="2">
      <c r="A4914" s="191"/>
      <c r="B4914" s="12" t="str">
        <f>IFERROR(VLOOKUP(D4914,'[1]Перечень товаров'!$A$2:$I9525,2,0),"")</f>
        <v>т234</v>
      </c>
      <c r="C4914" s="12" t="str">
        <f>IFERROR(VLOOKUP(D4914,'[1]Перечень товаров'!$A$2:$I9525,3,0),"")</f>
        <v>Техника</v>
      </c>
      <c r="D4914" s="192" t="s">
        <v>741</v>
      </c>
      <c r="E4914" s="23"/>
      <c r="F4914" s="23"/>
      <c r="G4914" s="193">
        <v>1</v>
      </c>
      <c r="H4914" s="193"/>
      <c r="I4914" s="194"/>
      <c r="J4914" s="194"/>
      <c r="K4914" s="19"/>
      <c r="L4914" s="20"/>
      <c r="M4914" s="10"/>
      <c r="N4914" s="10"/>
      <c r="O4914" s="10"/>
      <c r="P4914" s="10"/>
      <c r="Q4914" s="10"/>
      <c r="R4914" s="10"/>
      <c r="S4914" s="10"/>
      <c r="T4914" s="10"/>
      <c r="U4914" s="10"/>
      <c r="V4914" s="10"/>
      <c r="W4914" s="10"/>
      <c r="X4914" s="10"/>
      <c r="Y4914" s="10"/>
      <c r="Z4914" s="10"/>
      <c r="AA4914" s="10"/>
      <c r="AB4914" s="10"/>
      <c r="AC4914" s="10"/>
      <c r="AD4914" s="10"/>
      <c r="AE4914" s="10"/>
      <c r="AF4914" s="10"/>
      <c r="AG4914" s="10"/>
      <c r="AH4914" s="10"/>
    </row>
    <row r="4915" spans="1:34" outlineLevel="2">
      <c r="A4915" s="191"/>
      <c r="B4915" s="12" t="str">
        <f>IFERROR(VLOOKUP(D4915,'[1]Перечень товаров'!$A$2:$I9525,2,0),"")</f>
        <v>т1</v>
      </c>
      <c r="C4915" s="12" t="str">
        <f>IFERROR(VLOOKUP(D4915,'[1]Перечень товаров'!$A$2:$I9525,3,0),"")</f>
        <v xml:space="preserve">Техника </v>
      </c>
      <c r="D4915" s="22" t="s">
        <v>28</v>
      </c>
      <c r="E4915" s="23"/>
      <c r="F4915" s="23"/>
      <c r="G4915" s="193">
        <v>1</v>
      </c>
      <c r="H4915" s="193"/>
      <c r="I4915" s="194"/>
      <c r="J4915" s="194"/>
      <c r="K4915" s="19"/>
      <c r="L4915" s="20"/>
      <c r="M4915" s="10"/>
      <c r="N4915" s="10"/>
      <c r="O4915" s="10"/>
      <c r="P4915" s="10"/>
      <c r="Q4915" s="10"/>
      <c r="R4915" s="10"/>
      <c r="S4915" s="10"/>
      <c r="T4915" s="10"/>
      <c r="U4915" s="10"/>
      <c r="V4915" s="10"/>
      <c r="W4915" s="10"/>
      <c r="X4915" s="10"/>
      <c r="Y4915" s="10"/>
      <c r="Z4915" s="10"/>
      <c r="AA4915" s="10"/>
      <c r="AB4915" s="10"/>
      <c r="AC4915" s="10"/>
      <c r="AD4915" s="10"/>
      <c r="AE4915" s="10"/>
      <c r="AF4915" s="10"/>
      <c r="AG4915" s="10"/>
      <c r="AH4915" s="10"/>
    </row>
    <row r="4916" spans="1:34" outlineLevel="2">
      <c r="A4916" s="191"/>
      <c r="B4916" s="12" t="str">
        <f>IFERROR(VLOOKUP(D4916,'[1]Перечень товаров'!$A$2:$I9525,2,0),"")</f>
        <v>т235</v>
      </c>
      <c r="C4916" s="12" t="str">
        <f>IFERROR(VLOOKUP(D4916,'[1]Перечень товаров'!$A$2:$I9525,3,0),"")</f>
        <v>Техника</v>
      </c>
      <c r="D4916" s="192" t="s">
        <v>742</v>
      </c>
      <c r="E4916" s="23"/>
      <c r="F4916" s="23"/>
      <c r="G4916" s="193">
        <v>1</v>
      </c>
      <c r="H4916" s="193"/>
      <c r="I4916" s="194"/>
      <c r="J4916" s="194"/>
      <c r="K4916" s="19"/>
      <c r="L4916" s="20"/>
      <c r="M4916" s="10"/>
      <c r="N4916" s="10"/>
      <c r="O4916" s="10"/>
      <c r="P4916" s="10"/>
      <c r="Q4916" s="10"/>
      <c r="R4916" s="10"/>
      <c r="S4916" s="10"/>
      <c r="T4916" s="10"/>
      <c r="U4916" s="10"/>
      <c r="V4916" s="10"/>
      <c r="W4916" s="10"/>
      <c r="X4916" s="10"/>
      <c r="Y4916" s="10"/>
      <c r="Z4916" s="10"/>
      <c r="AA4916" s="10"/>
      <c r="AB4916" s="10"/>
      <c r="AC4916" s="10"/>
      <c r="AD4916" s="10"/>
      <c r="AE4916" s="10"/>
      <c r="AF4916" s="10"/>
      <c r="AG4916" s="10"/>
      <c r="AH4916" s="10"/>
    </row>
    <row r="4917" spans="1:34" outlineLevel="2">
      <c r="A4917" s="191"/>
      <c r="B4917" s="12" t="str">
        <f>IFERROR(VLOOKUP(D4917,'[1]Перечень товаров'!$A$2:$I9525,2,0),"")</f>
        <v>т8</v>
      </c>
      <c r="C4917" s="12" t="str">
        <f>IFERROR(VLOOKUP(D4917,'[1]Перечень товаров'!$A$2:$I9525,3,0),"")</f>
        <v xml:space="preserve">Техника </v>
      </c>
      <c r="D4917" s="192" t="s">
        <v>35</v>
      </c>
      <c r="E4917" s="23"/>
      <c r="F4917" s="23"/>
      <c r="G4917" s="193">
        <v>1</v>
      </c>
      <c r="H4917" s="193"/>
      <c r="I4917" s="194"/>
      <c r="J4917" s="194"/>
      <c r="K4917" s="19"/>
      <c r="L4917" s="20"/>
      <c r="M4917" s="10"/>
      <c r="N4917" s="10"/>
      <c r="O4917" s="10"/>
      <c r="P4917" s="10"/>
      <c r="Q4917" s="10"/>
      <c r="R4917" s="10"/>
      <c r="S4917" s="10"/>
      <c r="T4917" s="10"/>
      <c r="U4917" s="10"/>
      <c r="V4917" s="10"/>
      <c r="W4917" s="10"/>
      <c r="X4917" s="10"/>
      <c r="Y4917" s="10"/>
      <c r="Z4917" s="10"/>
      <c r="AA4917" s="10"/>
      <c r="AB4917" s="10"/>
      <c r="AC4917" s="10"/>
      <c r="AD4917" s="10"/>
      <c r="AE4917" s="10"/>
      <c r="AF4917" s="10"/>
      <c r="AG4917" s="10"/>
      <c r="AH4917" s="10"/>
    </row>
    <row r="4918" spans="1:34" outlineLevel="2">
      <c r="A4918" s="191"/>
      <c r="B4918" s="12" t="str">
        <f>IFERROR(VLOOKUP(D4918,'[1]Перечень товаров'!$A$2:$I9525,2,0),"")</f>
        <v>т236</v>
      </c>
      <c r="C4918" s="12" t="str">
        <f>IFERROR(VLOOKUP(D4918,'[1]Перечень товаров'!$A$2:$I9525,3,0),"")</f>
        <v>Техника</v>
      </c>
      <c r="D4918" s="192" t="s">
        <v>743</v>
      </c>
      <c r="E4918" s="23"/>
      <c r="F4918" s="23"/>
      <c r="G4918" s="193">
        <v>1</v>
      </c>
      <c r="H4918" s="193"/>
      <c r="I4918" s="194"/>
      <c r="J4918" s="194"/>
      <c r="K4918" s="19"/>
      <c r="L4918" s="20"/>
      <c r="M4918" s="10"/>
      <c r="N4918" s="10"/>
      <c r="O4918" s="10"/>
      <c r="P4918" s="10"/>
      <c r="Q4918" s="10"/>
      <c r="R4918" s="10"/>
      <c r="S4918" s="10"/>
      <c r="T4918" s="10"/>
      <c r="U4918" s="10"/>
      <c r="V4918" s="10"/>
      <c r="W4918" s="10"/>
      <c r="X4918" s="10"/>
      <c r="Y4918" s="10"/>
      <c r="Z4918" s="10"/>
      <c r="AA4918" s="10"/>
      <c r="AB4918" s="10"/>
      <c r="AC4918" s="10"/>
      <c r="AD4918" s="10"/>
      <c r="AE4918" s="10"/>
      <c r="AF4918" s="10"/>
      <c r="AG4918" s="10"/>
      <c r="AH4918" s="10"/>
    </row>
    <row r="4919" spans="1:34" outlineLevel="2">
      <c r="A4919" s="191"/>
      <c r="B4919" s="12" t="str">
        <f>IFERROR(VLOOKUP(D4919,'[1]Перечень товаров'!$A$2:$I9525,2,0),"")</f>
        <v>т237</v>
      </c>
      <c r="C4919" s="12" t="str">
        <f>IFERROR(VLOOKUP(D4919,'[1]Перечень товаров'!$A$2:$I9525,3,0),"")</f>
        <v>Техника</v>
      </c>
      <c r="D4919" s="192" t="s">
        <v>744</v>
      </c>
      <c r="E4919" s="23"/>
      <c r="F4919" s="23"/>
      <c r="G4919" s="193">
        <v>1</v>
      </c>
      <c r="H4919" s="193"/>
      <c r="I4919" s="194"/>
      <c r="J4919" s="194"/>
      <c r="K4919" s="19"/>
      <c r="L4919" s="20"/>
      <c r="M4919" s="10"/>
      <c r="N4919" s="10"/>
      <c r="O4919" s="10"/>
      <c r="P4919" s="10"/>
      <c r="Q4919" s="10"/>
      <c r="R4919" s="10"/>
      <c r="S4919" s="10"/>
      <c r="T4919" s="10"/>
      <c r="U4919" s="10"/>
      <c r="V4919" s="10"/>
      <c r="W4919" s="10"/>
      <c r="X4919" s="10"/>
      <c r="Y4919" s="10"/>
      <c r="Z4919" s="10"/>
      <c r="AA4919" s="10"/>
      <c r="AB4919" s="10"/>
      <c r="AC4919" s="10"/>
      <c r="AD4919" s="10"/>
      <c r="AE4919" s="10"/>
      <c r="AF4919" s="10"/>
      <c r="AG4919" s="10"/>
      <c r="AH4919" s="10"/>
    </row>
    <row r="4920" spans="1:34" ht="31.5" outlineLevel="2">
      <c r="A4920" s="191"/>
      <c r="B4920" s="12" t="str">
        <f>IFERROR(VLOOKUP(D4920,'[1]Перечень товаров'!$A$2:$I9525,2,0),"")</f>
        <v>т238</v>
      </c>
      <c r="C4920" s="12" t="str">
        <f>IFERROR(VLOOKUP(D4920,'[1]Перечень товаров'!$A$2:$I9525,3,0),"")</f>
        <v>Техника</v>
      </c>
      <c r="D4920" s="192" t="s">
        <v>745</v>
      </c>
      <c r="E4920" s="23"/>
      <c r="F4920" s="23"/>
      <c r="G4920" s="193">
        <v>1</v>
      </c>
      <c r="H4920" s="193"/>
      <c r="I4920" s="194"/>
      <c r="J4920" s="194"/>
      <c r="K4920" s="19"/>
      <c r="L4920" s="20"/>
      <c r="M4920" s="10"/>
      <c r="N4920" s="10"/>
      <c r="O4920" s="10"/>
      <c r="P4920" s="10"/>
      <c r="Q4920" s="10"/>
      <c r="R4920" s="10"/>
      <c r="S4920" s="10"/>
      <c r="T4920" s="10"/>
      <c r="U4920" s="10"/>
      <c r="V4920" s="10"/>
      <c r="W4920" s="10"/>
      <c r="X4920" s="10"/>
      <c r="Y4920" s="10"/>
      <c r="Z4920" s="10"/>
      <c r="AA4920" s="10"/>
      <c r="AB4920" s="10"/>
      <c r="AC4920" s="10"/>
      <c r="AD4920" s="10"/>
      <c r="AE4920" s="10"/>
      <c r="AF4920" s="10"/>
      <c r="AG4920" s="10"/>
      <c r="AH4920" s="10"/>
    </row>
    <row r="4921" spans="1:34" ht="15" outlineLevel="2">
      <c r="A4921" s="181"/>
      <c r="B4921" s="12" t="str">
        <f>IFERROR(VLOOKUP(D4921,'[1]Перечень товаров'!$A$2:$I9525,2,0),"")</f>
        <v/>
      </c>
      <c r="C4921" s="12" t="str">
        <f>IFERROR(VLOOKUP(D4921,'[1]Перечень товаров'!$A$2:$I9525,3,0),"")</f>
        <v/>
      </c>
      <c r="D4921" s="182" t="s">
        <v>19</v>
      </c>
      <c r="E4921" s="45"/>
      <c r="F4921" s="45"/>
      <c r="G4921" s="195"/>
      <c r="H4921" s="195"/>
      <c r="I4921" s="196"/>
      <c r="J4921" s="196"/>
      <c r="K4921" s="19"/>
      <c r="L4921" s="20"/>
      <c r="M4921" s="10"/>
      <c r="N4921" s="10"/>
      <c r="O4921" s="10"/>
      <c r="P4921" s="10"/>
      <c r="Q4921" s="10"/>
      <c r="R4921" s="10"/>
      <c r="S4921" s="10"/>
      <c r="T4921" s="10"/>
      <c r="U4921" s="10"/>
      <c r="V4921" s="10"/>
      <c r="W4921" s="10"/>
      <c r="X4921" s="10"/>
      <c r="Y4921" s="10"/>
      <c r="Z4921" s="10"/>
      <c r="AA4921" s="10"/>
      <c r="AB4921" s="10"/>
      <c r="AC4921" s="10"/>
      <c r="AD4921" s="10"/>
      <c r="AE4921" s="10"/>
      <c r="AF4921" s="10"/>
      <c r="AG4921" s="10"/>
      <c r="AH4921" s="10"/>
    </row>
    <row r="4922" spans="1:34" ht="31.5" outlineLevel="2">
      <c r="A4922" s="191"/>
      <c r="B4922" s="12" t="str">
        <f>IFERROR(VLOOKUP(D4922,'[1]Перечень товаров'!$A$2:$I9525,2,0),"")</f>
        <v>м205</v>
      </c>
      <c r="C4922" s="12" t="str">
        <f>IFERROR(VLOOKUP(D4922,'[1]Перечень товаров'!$A$2:$I9525,3,0),"")</f>
        <v>Мебель</v>
      </c>
      <c r="D4922" s="192" t="s">
        <v>20</v>
      </c>
      <c r="E4922" s="23"/>
      <c r="F4922" s="23"/>
      <c r="G4922" s="193">
        <v>1</v>
      </c>
      <c r="H4922" s="193"/>
      <c r="I4922" s="194"/>
      <c r="J4922" s="194"/>
      <c r="K4922" s="19"/>
      <c r="L4922" s="20"/>
      <c r="M4922" s="10"/>
      <c r="N4922" s="10"/>
      <c r="O4922" s="10"/>
      <c r="P4922" s="10"/>
      <c r="Q4922" s="10"/>
      <c r="R4922" s="10"/>
      <c r="S4922" s="10"/>
      <c r="T4922" s="10"/>
      <c r="U4922" s="10"/>
      <c r="V4922" s="10"/>
      <c r="W4922" s="10"/>
      <c r="X4922" s="10"/>
      <c r="Y4922" s="10"/>
      <c r="Z4922" s="10"/>
      <c r="AA4922" s="10"/>
      <c r="AB4922" s="10"/>
      <c r="AC4922" s="10"/>
      <c r="AD4922" s="10"/>
      <c r="AE4922" s="10"/>
      <c r="AF4922" s="10"/>
      <c r="AG4922" s="10"/>
      <c r="AH4922" s="10"/>
    </row>
    <row r="4923" spans="1:34" ht="31.5" outlineLevel="2">
      <c r="A4923" s="191"/>
      <c r="B4923" s="12" t="str">
        <f>IFERROR(VLOOKUP(D4923,'[1]Перечень товаров'!$A$2:$I9525,2,0),"")</f>
        <v>м206</v>
      </c>
      <c r="C4923" s="12" t="str">
        <f>IFERROR(VLOOKUP(D4923,'[1]Перечень товаров'!$A$2:$I9525,3,0),"")</f>
        <v>Мебель</v>
      </c>
      <c r="D4923" s="192" t="s">
        <v>746</v>
      </c>
      <c r="E4923" s="23"/>
      <c r="F4923" s="23"/>
      <c r="G4923" s="193">
        <v>1</v>
      </c>
      <c r="H4923" s="193"/>
      <c r="I4923" s="194"/>
      <c r="J4923" s="194"/>
      <c r="K4923" s="19"/>
      <c r="L4923" s="20"/>
      <c r="M4923" s="10"/>
      <c r="N4923" s="10"/>
      <c r="O4923" s="10"/>
      <c r="P4923" s="10"/>
      <c r="Q4923" s="10"/>
      <c r="R4923" s="10"/>
      <c r="S4923" s="10"/>
      <c r="T4923" s="10"/>
      <c r="U4923" s="10"/>
      <c r="V4923" s="10"/>
      <c r="W4923" s="10"/>
      <c r="X4923" s="10"/>
      <c r="Y4923" s="10"/>
      <c r="Z4923" s="10"/>
      <c r="AA4923" s="10"/>
      <c r="AB4923" s="10"/>
      <c r="AC4923" s="10"/>
      <c r="AD4923" s="10"/>
      <c r="AE4923" s="10"/>
      <c r="AF4923" s="10"/>
      <c r="AG4923" s="10"/>
      <c r="AH4923" s="10"/>
    </row>
    <row r="4924" spans="1:34" ht="31.5" outlineLevel="2">
      <c r="A4924" s="191"/>
      <c r="B4924" s="12" t="str">
        <f>IFERROR(VLOOKUP(D4924,'[1]Перечень товаров'!$A$2:$I9525,2,0),"")</f>
        <v>м207</v>
      </c>
      <c r="C4924" s="12" t="str">
        <f>IFERROR(VLOOKUP(D4924,'[1]Перечень товаров'!$A$2:$I9525,3,0),"")</f>
        <v>Мебель</v>
      </c>
      <c r="D4924" s="192" t="s">
        <v>747</v>
      </c>
      <c r="E4924" s="23"/>
      <c r="F4924" s="23"/>
      <c r="G4924" s="193">
        <v>13</v>
      </c>
      <c r="H4924" s="193"/>
      <c r="I4924" s="194"/>
      <c r="J4924" s="194"/>
      <c r="K4924" s="19"/>
      <c r="L4924" s="20"/>
      <c r="M4924" s="10"/>
      <c r="N4924" s="10"/>
      <c r="O4924" s="10"/>
      <c r="P4924" s="10"/>
      <c r="Q4924" s="10"/>
      <c r="R4924" s="10"/>
      <c r="S4924" s="10"/>
      <c r="T4924" s="10"/>
      <c r="U4924" s="10"/>
      <c r="V4924" s="10"/>
      <c r="W4924" s="10"/>
      <c r="X4924" s="10"/>
      <c r="Y4924" s="10"/>
      <c r="Z4924" s="10"/>
      <c r="AA4924" s="10"/>
      <c r="AB4924" s="10"/>
      <c r="AC4924" s="10"/>
      <c r="AD4924" s="10"/>
      <c r="AE4924" s="10"/>
      <c r="AF4924" s="10"/>
      <c r="AG4924" s="10"/>
      <c r="AH4924" s="10"/>
    </row>
    <row r="4925" spans="1:34" outlineLevel="2">
      <c r="A4925" s="191"/>
      <c r="B4925" s="12" t="str">
        <f>IFERROR(VLOOKUP(D4925,'[1]Перечень товаров'!$A$2:$I9525,2,0),"")</f>
        <v>м208</v>
      </c>
      <c r="C4925" s="12" t="str">
        <f>IFERROR(VLOOKUP(D4925,'[1]Перечень товаров'!$A$2:$I9525,3,0),"")</f>
        <v>Мебель</v>
      </c>
      <c r="D4925" s="192" t="s">
        <v>748</v>
      </c>
      <c r="E4925" s="23"/>
      <c r="F4925" s="23"/>
      <c r="G4925" s="193">
        <v>26</v>
      </c>
      <c r="H4925" s="193"/>
      <c r="I4925" s="194"/>
      <c r="J4925" s="194"/>
      <c r="K4925" s="19"/>
      <c r="L4925" s="20"/>
      <c r="M4925" s="10"/>
      <c r="N4925" s="10"/>
      <c r="O4925" s="10"/>
      <c r="P4925" s="10"/>
      <c r="Q4925" s="10"/>
      <c r="R4925" s="10"/>
      <c r="S4925" s="10"/>
      <c r="T4925" s="10"/>
      <c r="U4925" s="10"/>
      <c r="V4925" s="10"/>
      <c r="W4925" s="10"/>
      <c r="X4925" s="10"/>
      <c r="Y4925" s="10"/>
      <c r="Z4925" s="10"/>
      <c r="AA4925" s="10"/>
      <c r="AB4925" s="10"/>
      <c r="AC4925" s="10"/>
      <c r="AD4925" s="10"/>
      <c r="AE4925" s="10"/>
      <c r="AF4925" s="10"/>
      <c r="AG4925" s="10"/>
      <c r="AH4925" s="10"/>
    </row>
    <row r="4926" spans="1:34" outlineLevel="2">
      <c r="A4926" s="191"/>
      <c r="B4926" s="12" t="str">
        <f>IFERROR(VLOOKUP(D4926,'[1]Перечень товаров'!$A$2:$I9525,2,0),"")</f>
        <v>м209</v>
      </c>
      <c r="C4926" s="12" t="str">
        <f>IFERROR(VLOOKUP(D4926,'[1]Перечень товаров'!$A$2:$I9525,3,0),"")</f>
        <v>Мебель</v>
      </c>
      <c r="D4926" s="192" t="s">
        <v>749</v>
      </c>
      <c r="E4926" s="23"/>
      <c r="F4926" s="23"/>
      <c r="G4926" s="193">
        <v>1</v>
      </c>
      <c r="H4926" s="193"/>
      <c r="I4926" s="194"/>
      <c r="J4926" s="194"/>
      <c r="K4926" s="19"/>
      <c r="L4926" s="20"/>
      <c r="M4926" s="10"/>
      <c r="N4926" s="10"/>
      <c r="O4926" s="10"/>
      <c r="P4926" s="10"/>
      <c r="Q4926" s="10"/>
      <c r="R4926" s="10"/>
      <c r="S4926" s="10"/>
      <c r="T4926" s="10"/>
      <c r="U4926" s="10"/>
      <c r="V4926" s="10"/>
      <c r="W4926" s="10"/>
      <c r="X4926" s="10"/>
      <c r="Y4926" s="10"/>
      <c r="Z4926" s="10"/>
      <c r="AA4926" s="10"/>
      <c r="AB4926" s="10"/>
      <c r="AC4926" s="10"/>
      <c r="AD4926" s="10"/>
      <c r="AE4926" s="10"/>
      <c r="AF4926" s="10"/>
      <c r="AG4926" s="10"/>
      <c r="AH4926" s="10"/>
    </row>
    <row r="4927" spans="1:34" ht="47.25" outlineLevel="2">
      <c r="A4927" s="191"/>
      <c r="B4927" s="12" t="str">
        <f>IFERROR(VLOOKUP(D4927,'[1]Перечень товаров'!$A$2:$I9525,2,0),"")</f>
        <v>м210</v>
      </c>
      <c r="C4927" s="12" t="str">
        <f>IFERROR(VLOOKUP(D4927,'[1]Перечень товаров'!$A$2:$I9525,3,0),"")</f>
        <v>Мебель</v>
      </c>
      <c r="D4927" s="192" t="s">
        <v>750</v>
      </c>
      <c r="E4927" s="23"/>
      <c r="F4927" s="23"/>
      <c r="G4927" s="193">
        <v>2</v>
      </c>
      <c r="H4927" s="193"/>
      <c r="I4927" s="194"/>
      <c r="J4927" s="194"/>
      <c r="K4927" s="19"/>
      <c r="L4927" s="20"/>
      <c r="M4927" s="10"/>
      <c r="N4927" s="10"/>
      <c r="O4927" s="10"/>
      <c r="P4927" s="10"/>
      <c r="Q4927" s="10"/>
      <c r="R4927" s="10"/>
      <c r="S4927" s="10"/>
      <c r="T4927" s="10"/>
      <c r="U4927" s="10"/>
      <c r="V4927" s="10"/>
      <c r="W4927" s="10"/>
      <c r="X4927" s="10"/>
      <c r="Y4927" s="10"/>
      <c r="Z4927" s="10"/>
      <c r="AA4927" s="10"/>
      <c r="AB4927" s="10"/>
      <c r="AC4927" s="10"/>
      <c r="AD4927" s="10"/>
      <c r="AE4927" s="10"/>
      <c r="AF4927" s="10"/>
      <c r="AG4927" s="10"/>
      <c r="AH4927" s="10"/>
    </row>
    <row r="4928" spans="1:34" ht="47.25" outlineLevel="2">
      <c r="A4928" s="191"/>
      <c r="B4928" s="12" t="str">
        <f>IFERROR(VLOOKUP(D4928,'[1]Перечень товаров'!$A$2:$I9525,2,0),"")</f>
        <v>п91</v>
      </c>
      <c r="C4928" s="12" t="str">
        <f>IFERROR(VLOOKUP(D4928,'[1]Перечень товаров'!$A$2:$I9525,3,0),"")</f>
        <v>Прочее</v>
      </c>
      <c r="D4928" s="192" t="s">
        <v>751</v>
      </c>
      <c r="E4928" s="23"/>
      <c r="F4928" s="23"/>
      <c r="G4928" s="193">
        <v>1</v>
      </c>
      <c r="H4928" s="193"/>
      <c r="I4928" s="194"/>
      <c r="J4928" s="194"/>
      <c r="K4928" s="19"/>
      <c r="L4928" s="20"/>
      <c r="M4928" s="10"/>
      <c r="N4928" s="10"/>
      <c r="O4928" s="10"/>
      <c r="P4928" s="10"/>
      <c r="Q4928" s="10"/>
      <c r="R4928" s="10"/>
      <c r="S4928" s="10"/>
      <c r="T4928" s="10"/>
      <c r="U4928" s="10"/>
      <c r="V4928" s="10"/>
      <c r="W4928" s="10"/>
      <c r="X4928" s="10"/>
      <c r="Y4928" s="10"/>
      <c r="Z4928" s="10"/>
      <c r="AA4928" s="10"/>
      <c r="AB4928" s="10"/>
      <c r="AC4928" s="10"/>
      <c r="AD4928" s="10"/>
      <c r="AE4928" s="10"/>
      <c r="AF4928" s="10"/>
      <c r="AG4928" s="10"/>
      <c r="AH4928" s="10"/>
    </row>
    <row r="4929" spans="1:34" ht="15" outlineLevel="2">
      <c r="A4929" s="179"/>
      <c r="B4929" s="12" t="str">
        <f>IFERROR(VLOOKUP(D4929,'[1]Перечень товаров'!$A$2:$I9525,2,0),"")</f>
        <v/>
      </c>
      <c r="C4929" s="12" t="str">
        <f>IFERROR(VLOOKUP(D4929,'[1]Перечень товаров'!$A$2:$I9525,3,0),"")</f>
        <v/>
      </c>
      <c r="D4929" s="180" t="s">
        <v>752</v>
      </c>
      <c r="E4929" s="61"/>
      <c r="F4929" s="61"/>
      <c r="G4929" s="195"/>
      <c r="H4929" s="195"/>
      <c r="I4929" s="196"/>
      <c r="J4929" s="196"/>
      <c r="K4929" s="19"/>
      <c r="L4929" s="20"/>
      <c r="M4929" s="10"/>
      <c r="N4929" s="10"/>
      <c r="O4929" s="10"/>
      <c r="P4929" s="10"/>
      <c r="Q4929" s="10"/>
      <c r="R4929" s="10"/>
      <c r="S4929" s="10"/>
      <c r="T4929" s="10"/>
      <c r="U4929" s="10"/>
      <c r="V4929" s="10"/>
      <c r="W4929" s="10"/>
      <c r="X4929" s="10"/>
      <c r="Y4929" s="10"/>
      <c r="Z4929" s="10"/>
      <c r="AA4929" s="10"/>
      <c r="AB4929" s="10"/>
      <c r="AC4929" s="10"/>
      <c r="AD4929" s="10"/>
      <c r="AE4929" s="10"/>
      <c r="AF4929" s="10"/>
      <c r="AG4929" s="10"/>
      <c r="AH4929" s="10"/>
    </row>
    <row r="4930" spans="1:34" ht="15" outlineLevel="2">
      <c r="A4930" s="179"/>
      <c r="B4930" s="12" t="str">
        <f>IFERROR(VLOOKUP(D4930,'[1]Перечень товаров'!$A$2:$I9525,2,0),"")</f>
        <v/>
      </c>
      <c r="C4930" s="12" t="str">
        <f>IFERROR(VLOOKUP(D4930,'[1]Перечень товаров'!$A$2:$I9525,3,0),"")</f>
        <v/>
      </c>
      <c r="D4930" s="180" t="s">
        <v>753</v>
      </c>
      <c r="E4930" s="61"/>
      <c r="F4930" s="61"/>
      <c r="G4930" s="195"/>
      <c r="H4930" s="195"/>
      <c r="I4930" s="196"/>
      <c r="J4930" s="196"/>
      <c r="K4930" s="19"/>
      <c r="L4930" s="20"/>
      <c r="M4930" s="10"/>
      <c r="N4930" s="10"/>
      <c r="O4930" s="10"/>
      <c r="P4930" s="10"/>
      <c r="Q4930" s="10"/>
      <c r="R4930" s="10"/>
      <c r="S4930" s="10"/>
      <c r="T4930" s="10"/>
      <c r="U4930" s="10"/>
      <c r="V4930" s="10"/>
      <c r="W4930" s="10"/>
      <c r="X4930" s="10"/>
      <c r="Y4930" s="10"/>
      <c r="Z4930" s="10"/>
      <c r="AA4930" s="10"/>
      <c r="AB4930" s="10"/>
      <c r="AC4930" s="10"/>
      <c r="AD4930" s="10"/>
      <c r="AE4930" s="10"/>
      <c r="AF4930" s="10"/>
      <c r="AG4930" s="10"/>
      <c r="AH4930" s="10"/>
    </row>
    <row r="4931" spans="1:34" ht="31.5" outlineLevel="2">
      <c r="A4931" s="191"/>
      <c r="B4931" s="12" t="str">
        <f>IFERROR(VLOOKUP(D4931,'[1]Перечень товаров'!$A$2:$I9525,2,0),"")</f>
        <v>д13</v>
      </c>
      <c r="C4931" s="12" t="str">
        <f>IFERROR(VLOOKUP(D4931,'[1]Перечень товаров'!$A$2:$I9525,3,0),"")</f>
        <v>Дидактика</v>
      </c>
      <c r="D4931" s="192" t="s">
        <v>754</v>
      </c>
      <c r="E4931" s="23"/>
      <c r="F4931" s="23"/>
      <c r="G4931" s="193">
        <v>1</v>
      </c>
      <c r="H4931" s="193"/>
      <c r="I4931" s="194"/>
      <c r="J4931" s="194"/>
      <c r="K4931" s="19"/>
      <c r="L4931" s="20"/>
      <c r="M4931" s="10"/>
      <c r="N4931" s="10"/>
      <c r="O4931" s="10"/>
      <c r="P4931" s="10"/>
      <c r="Q4931" s="10"/>
      <c r="R4931" s="10"/>
      <c r="S4931" s="10"/>
      <c r="T4931" s="10"/>
      <c r="U4931" s="10"/>
      <c r="V4931" s="10"/>
      <c r="W4931" s="10"/>
      <c r="X4931" s="10"/>
      <c r="Y4931" s="10"/>
      <c r="Z4931" s="10"/>
      <c r="AA4931" s="10"/>
      <c r="AB4931" s="10"/>
      <c r="AC4931" s="10"/>
      <c r="AD4931" s="10"/>
      <c r="AE4931" s="10"/>
      <c r="AF4931" s="10"/>
      <c r="AG4931" s="10"/>
      <c r="AH4931" s="10"/>
    </row>
    <row r="4932" spans="1:34" ht="47.25" outlineLevel="2">
      <c r="A4932" s="191"/>
      <c r="B4932" s="12" t="str">
        <f>IFERROR(VLOOKUP(D4932,'[1]Перечень товаров'!$A$2:$I9525,2,0),"")</f>
        <v>д14</v>
      </c>
      <c r="C4932" s="12" t="str">
        <f>IFERROR(VLOOKUP(D4932,'[1]Перечень товаров'!$A$2:$I9525,3,0),"")</f>
        <v>Дидактика</v>
      </c>
      <c r="D4932" s="192" t="s">
        <v>755</v>
      </c>
      <c r="E4932" s="23"/>
      <c r="F4932" s="23"/>
      <c r="G4932" s="193">
        <v>1</v>
      </c>
      <c r="H4932" s="193"/>
      <c r="I4932" s="194"/>
      <c r="J4932" s="194"/>
      <c r="K4932" s="19"/>
      <c r="L4932" s="20"/>
      <c r="M4932" s="10"/>
      <c r="N4932" s="10"/>
      <c r="O4932" s="10"/>
      <c r="P4932" s="10"/>
      <c r="Q4932" s="10"/>
      <c r="R4932" s="10"/>
      <c r="S4932" s="10"/>
      <c r="T4932" s="10"/>
      <c r="U4932" s="10"/>
      <c r="V4932" s="10"/>
      <c r="W4932" s="10"/>
      <c r="X4932" s="10"/>
      <c r="Y4932" s="10"/>
      <c r="Z4932" s="10"/>
      <c r="AA4932" s="10"/>
      <c r="AB4932" s="10"/>
      <c r="AC4932" s="10"/>
      <c r="AD4932" s="10"/>
      <c r="AE4932" s="10"/>
      <c r="AF4932" s="10"/>
      <c r="AG4932" s="10"/>
      <c r="AH4932" s="10"/>
    </row>
    <row r="4933" spans="1:34" ht="31.5" outlineLevel="2">
      <c r="A4933" s="191"/>
      <c r="B4933" s="12" t="str">
        <f>IFERROR(VLOOKUP(D4933,'[1]Перечень товаров'!$A$2:$I9525,2,0),"")</f>
        <v>д15</v>
      </c>
      <c r="C4933" s="12" t="str">
        <f>IFERROR(VLOOKUP(D4933,'[1]Перечень товаров'!$A$2:$I9525,3,0),"")</f>
        <v>Дидактика</v>
      </c>
      <c r="D4933" s="192" t="s">
        <v>756</v>
      </c>
      <c r="E4933" s="23"/>
      <c r="F4933" s="23"/>
      <c r="G4933" s="193">
        <v>1</v>
      </c>
      <c r="H4933" s="193"/>
      <c r="I4933" s="194"/>
      <c r="J4933" s="194"/>
      <c r="K4933" s="19"/>
      <c r="L4933" s="20"/>
      <c r="M4933" s="10"/>
      <c r="N4933" s="10"/>
      <c r="O4933" s="10"/>
      <c r="P4933" s="10"/>
      <c r="Q4933" s="10"/>
      <c r="R4933" s="10"/>
      <c r="S4933" s="10"/>
      <c r="T4933" s="10"/>
      <c r="U4933" s="10"/>
      <c r="V4933" s="10"/>
      <c r="W4933" s="10"/>
      <c r="X4933" s="10"/>
      <c r="Y4933" s="10"/>
      <c r="Z4933" s="10"/>
      <c r="AA4933" s="10"/>
      <c r="AB4933" s="10"/>
      <c r="AC4933" s="10"/>
      <c r="AD4933" s="10"/>
      <c r="AE4933" s="10"/>
      <c r="AF4933" s="10"/>
      <c r="AG4933" s="10"/>
      <c r="AH4933" s="10"/>
    </row>
    <row r="4934" spans="1:34" ht="30" outlineLevel="2">
      <c r="A4934" s="179"/>
      <c r="B4934" s="12" t="str">
        <f>IFERROR(VLOOKUP(D4934,'[1]Перечень товаров'!$A$2:$I9525,2,0),"")</f>
        <v/>
      </c>
      <c r="C4934" s="12" t="str">
        <f>IFERROR(VLOOKUP(D4934,'[1]Перечень товаров'!$A$2:$I9525,3,0),"")</f>
        <v/>
      </c>
      <c r="D4934" s="180" t="s">
        <v>757</v>
      </c>
      <c r="E4934" s="61"/>
      <c r="F4934" s="61"/>
      <c r="G4934" s="195"/>
      <c r="H4934" s="195"/>
      <c r="I4934" s="196"/>
      <c r="J4934" s="196"/>
      <c r="K4934" s="19"/>
      <c r="L4934" s="20"/>
      <c r="M4934" s="10"/>
      <c r="N4934" s="10"/>
      <c r="O4934" s="10"/>
      <c r="P4934" s="10"/>
      <c r="Q4934" s="10"/>
      <c r="R4934" s="10"/>
      <c r="S4934" s="10"/>
      <c r="T4934" s="10"/>
      <c r="U4934" s="10"/>
      <c r="V4934" s="10"/>
      <c r="W4934" s="10"/>
      <c r="X4934" s="10"/>
      <c r="Y4934" s="10"/>
      <c r="Z4934" s="10"/>
      <c r="AA4934" s="10"/>
      <c r="AB4934" s="10"/>
      <c r="AC4934" s="10"/>
      <c r="AD4934" s="10"/>
      <c r="AE4934" s="10"/>
      <c r="AF4934" s="10"/>
      <c r="AG4934" s="10"/>
      <c r="AH4934" s="10"/>
    </row>
    <row r="4935" spans="1:34" outlineLevel="2">
      <c r="A4935" s="191"/>
      <c r="B4935" s="12" t="str">
        <f>IFERROR(VLOOKUP(D4935,'[1]Перечень товаров'!$A$2:$I9525,2,0),"")</f>
        <v>п92</v>
      </c>
      <c r="C4935" s="12" t="str">
        <f>IFERROR(VLOOKUP(D4935,'[1]Перечень товаров'!$A$2:$I9525,3,0),"")</f>
        <v>Прочее</v>
      </c>
      <c r="D4935" s="192" t="s">
        <v>758</v>
      </c>
      <c r="E4935" s="23"/>
      <c r="F4935" s="23"/>
      <c r="G4935" s="193">
        <v>13</v>
      </c>
      <c r="H4935" s="193"/>
      <c r="I4935" s="194"/>
      <c r="J4935" s="194"/>
      <c r="K4935" s="19"/>
      <c r="L4935" s="20"/>
      <c r="M4935" s="10"/>
      <c r="N4935" s="10"/>
      <c r="O4935" s="10"/>
      <c r="P4935" s="10"/>
      <c r="Q4935" s="10"/>
      <c r="R4935" s="10"/>
      <c r="S4935" s="10"/>
      <c r="T4935" s="10"/>
      <c r="U4935" s="10"/>
      <c r="V4935" s="10"/>
      <c r="W4935" s="10"/>
      <c r="X4935" s="10"/>
      <c r="Y4935" s="10"/>
      <c r="Z4935" s="10"/>
      <c r="AA4935" s="10"/>
      <c r="AB4935" s="10"/>
      <c r="AC4935" s="10"/>
      <c r="AD4935" s="10"/>
      <c r="AE4935" s="10"/>
      <c r="AF4935" s="10"/>
      <c r="AG4935" s="10"/>
      <c r="AH4935" s="10"/>
    </row>
    <row r="4936" spans="1:34" ht="31.5" outlineLevel="2">
      <c r="A4936" s="191"/>
      <c r="B4936" s="12" t="str">
        <f>IFERROR(VLOOKUP(D4936,'[1]Перечень товаров'!$A$2:$I9525,2,0),"")</f>
        <v>д16</v>
      </c>
      <c r="C4936" s="12" t="str">
        <f>IFERROR(VLOOKUP(D4936,'[1]Перечень товаров'!$A$2:$I9525,3,0),"")</f>
        <v>Дидактика</v>
      </c>
      <c r="D4936" s="192" t="s">
        <v>759</v>
      </c>
      <c r="E4936" s="23"/>
      <c r="F4936" s="23"/>
      <c r="G4936" s="193">
        <v>1</v>
      </c>
      <c r="H4936" s="193"/>
      <c r="I4936" s="194"/>
      <c r="J4936" s="194"/>
      <c r="K4936" s="19"/>
      <c r="L4936" s="20"/>
      <c r="M4936" s="10"/>
      <c r="N4936" s="10"/>
      <c r="O4936" s="10"/>
      <c r="P4936" s="10"/>
      <c r="Q4936" s="10"/>
      <c r="R4936" s="10"/>
      <c r="S4936" s="10"/>
      <c r="T4936" s="10"/>
      <c r="U4936" s="10"/>
      <c r="V4936" s="10"/>
      <c r="W4936" s="10"/>
      <c r="X4936" s="10"/>
      <c r="Y4936" s="10"/>
      <c r="Z4936" s="10"/>
      <c r="AA4936" s="10"/>
      <c r="AB4936" s="10"/>
      <c r="AC4936" s="10"/>
      <c r="AD4936" s="10"/>
      <c r="AE4936" s="10"/>
      <c r="AF4936" s="10"/>
      <c r="AG4936" s="10"/>
      <c r="AH4936" s="10"/>
    </row>
    <row r="4937" spans="1:34" ht="31.5" outlineLevel="2">
      <c r="A4937" s="191"/>
      <c r="B4937" s="12" t="str">
        <f>IFERROR(VLOOKUP(D4937,'[1]Перечень товаров'!$A$2:$I9525,2,0),"")</f>
        <v>д17</v>
      </c>
      <c r="C4937" s="12" t="str">
        <f>IFERROR(VLOOKUP(D4937,'[1]Перечень товаров'!$A$2:$I9525,3,0),"")</f>
        <v>Дидактика</v>
      </c>
      <c r="D4937" s="192" t="s">
        <v>760</v>
      </c>
      <c r="E4937" s="23"/>
      <c r="F4937" s="23"/>
      <c r="G4937" s="193">
        <v>1</v>
      </c>
      <c r="H4937" s="193"/>
      <c r="I4937" s="194"/>
      <c r="J4937" s="194"/>
      <c r="K4937" s="19"/>
      <c r="L4937" s="20"/>
      <c r="M4937" s="10"/>
      <c r="N4937" s="10"/>
      <c r="O4937" s="10"/>
      <c r="P4937" s="10"/>
      <c r="Q4937" s="10"/>
      <c r="R4937" s="10"/>
      <c r="S4937" s="10"/>
      <c r="T4937" s="10"/>
      <c r="U4937" s="10"/>
      <c r="V4937" s="10"/>
      <c r="W4937" s="10"/>
      <c r="X4937" s="10"/>
      <c r="Y4937" s="10"/>
      <c r="Z4937" s="10"/>
      <c r="AA4937" s="10"/>
      <c r="AB4937" s="10"/>
      <c r="AC4937" s="10"/>
      <c r="AD4937" s="10"/>
      <c r="AE4937" s="10"/>
      <c r="AF4937" s="10"/>
      <c r="AG4937" s="10"/>
      <c r="AH4937" s="10"/>
    </row>
    <row r="4938" spans="1:34" ht="31.5" outlineLevel="2">
      <c r="A4938" s="191"/>
      <c r="B4938" s="12" t="str">
        <f>IFERROR(VLOOKUP(D4938,'[1]Перечень товаров'!$A$2:$I9525,2,0),"")</f>
        <v>д18</v>
      </c>
      <c r="C4938" s="12" t="str">
        <f>IFERROR(VLOOKUP(D4938,'[1]Перечень товаров'!$A$2:$I9525,3,0),"")</f>
        <v>Дидактика</v>
      </c>
      <c r="D4938" s="192" t="s">
        <v>761</v>
      </c>
      <c r="E4938" s="23"/>
      <c r="F4938" s="23"/>
      <c r="G4938" s="193">
        <v>13</v>
      </c>
      <c r="H4938" s="193"/>
      <c r="I4938" s="194"/>
      <c r="J4938" s="194"/>
      <c r="K4938" s="19"/>
      <c r="L4938" s="20"/>
      <c r="M4938" s="10"/>
      <c r="N4938" s="10"/>
      <c r="O4938" s="10"/>
      <c r="P4938" s="10"/>
      <c r="Q4938" s="10"/>
      <c r="R4938" s="10"/>
      <c r="S4938" s="10"/>
      <c r="T4938" s="10"/>
      <c r="U4938" s="10"/>
      <c r="V4938" s="10"/>
      <c r="W4938" s="10"/>
      <c r="X4938" s="10"/>
      <c r="Y4938" s="10"/>
      <c r="Z4938" s="10"/>
      <c r="AA4938" s="10"/>
      <c r="AB4938" s="10"/>
      <c r="AC4938" s="10"/>
      <c r="AD4938" s="10"/>
      <c r="AE4938" s="10"/>
      <c r="AF4938" s="10"/>
      <c r="AG4938" s="10"/>
      <c r="AH4938" s="10"/>
    </row>
    <row r="4939" spans="1:34" ht="31.5" outlineLevel="2">
      <c r="A4939" s="191"/>
      <c r="B4939" s="12" t="str">
        <f>IFERROR(VLOOKUP(D4939,'[1]Перечень товаров'!$A$2:$I9525,2,0),"")</f>
        <v>д19</v>
      </c>
      <c r="C4939" s="12" t="str">
        <f>IFERROR(VLOOKUP(D4939,'[1]Перечень товаров'!$A$2:$I9525,3,0),"")</f>
        <v>Дидактика</v>
      </c>
      <c r="D4939" s="192" t="s">
        <v>762</v>
      </c>
      <c r="E4939" s="23"/>
      <c r="F4939" s="23"/>
      <c r="G4939" s="193">
        <v>1</v>
      </c>
      <c r="H4939" s="193"/>
      <c r="I4939" s="194"/>
      <c r="J4939" s="194"/>
      <c r="K4939" s="19"/>
      <c r="L4939" s="20"/>
      <c r="M4939" s="10"/>
      <c r="N4939" s="10"/>
      <c r="O4939" s="10"/>
      <c r="P4939" s="10"/>
      <c r="Q4939" s="10"/>
      <c r="R4939" s="10"/>
      <c r="S4939" s="10"/>
      <c r="T4939" s="10"/>
      <c r="U4939" s="10"/>
      <c r="V4939" s="10"/>
      <c r="W4939" s="10"/>
      <c r="X4939" s="10"/>
      <c r="Y4939" s="10"/>
      <c r="Z4939" s="10"/>
      <c r="AA4939" s="10"/>
      <c r="AB4939" s="10"/>
      <c r="AC4939" s="10"/>
      <c r="AD4939" s="10"/>
      <c r="AE4939" s="10"/>
      <c r="AF4939" s="10"/>
      <c r="AG4939" s="10"/>
      <c r="AH4939" s="10"/>
    </row>
    <row r="4940" spans="1:34" ht="31.5" outlineLevel="2">
      <c r="A4940" s="191"/>
      <c r="B4940" s="12" t="str">
        <f>IFERROR(VLOOKUP(D4940,'[1]Перечень товаров'!$A$2:$I9525,2,0),"")</f>
        <v>д20</v>
      </c>
      <c r="C4940" s="12" t="str">
        <f>IFERROR(VLOOKUP(D4940,'[1]Перечень товаров'!$A$2:$I9525,3,0),"")</f>
        <v>Дидактика</v>
      </c>
      <c r="D4940" s="192" t="s">
        <v>763</v>
      </c>
      <c r="E4940" s="23"/>
      <c r="F4940" s="23"/>
      <c r="G4940" s="193">
        <v>1</v>
      </c>
      <c r="H4940" s="193"/>
      <c r="I4940" s="194"/>
      <c r="J4940" s="194"/>
      <c r="K4940" s="19"/>
      <c r="L4940" s="20"/>
      <c r="M4940" s="10"/>
      <c r="N4940" s="10"/>
      <c r="O4940" s="10"/>
      <c r="P4940" s="10"/>
      <c r="Q4940" s="10"/>
      <c r="R4940" s="10"/>
      <c r="S4940" s="10"/>
      <c r="T4940" s="10"/>
      <c r="U4940" s="10"/>
      <c r="V4940" s="10"/>
      <c r="W4940" s="10"/>
      <c r="X4940" s="10"/>
      <c r="Y4940" s="10"/>
      <c r="Z4940" s="10"/>
      <c r="AA4940" s="10"/>
      <c r="AB4940" s="10"/>
      <c r="AC4940" s="10"/>
      <c r="AD4940" s="10"/>
      <c r="AE4940" s="10"/>
      <c r="AF4940" s="10"/>
      <c r="AG4940" s="10"/>
      <c r="AH4940" s="10"/>
    </row>
    <row r="4941" spans="1:34" ht="63" outlineLevel="2">
      <c r="A4941" s="191"/>
      <c r="B4941" s="12" t="str">
        <f>IFERROR(VLOOKUP(D4941,'[1]Перечень товаров'!$A$2:$I9525,2,0),"")</f>
        <v>д21</v>
      </c>
      <c r="C4941" s="12" t="str">
        <f>IFERROR(VLOOKUP(D4941,'[1]Перечень товаров'!$A$2:$I9525,3,0),"")</f>
        <v>Дидактика</v>
      </c>
      <c r="D4941" s="192" t="s">
        <v>764</v>
      </c>
      <c r="E4941" s="23"/>
      <c r="F4941" s="23"/>
      <c r="G4941" s="193">
        <v>1</v>
      </c>
      <c r="H4941" s="193"/>
      <c r="I4941" s="194"/>
      <c r="J4941" s="194"/>
      <c r="K4941" s="19"/>
      <c r="L4941" s="20"/>
      <c r="M4941" s="10"/>
      <c r="N4941" s="10"/>
      <c r="O4941" s="10"/>
      <c r="P4941" s="10"/>
      <c r="Q4941" s="10"/>
      <c r="R4941" s="10"/>
      <c r="S4941" s="10"/>
      <c r="T4941" s="10"/>
      <c r="U4941" s="10"/>
      <c r="V4941" s="10"/>
      <c r="W4941" s="10"/>
      <c r="X4941" s="10"/>
      <c r="Y4941" s="10"/>
      <c r="Z4941" s="10"/>
      <c r="AA4941" s="10"/>
      <c r="AB4941" s="10"/>
      <c r="AC4941" s="10"/>
      <c r="AD4941" s="10"/>
      <c r="AE4941" s="10"/>
      <c r="AF4941" s="10"/>
      <c r="AG4941" s="10"/>
      <c r="AH4941" s="10"/>
    </row>
    <row r="4942" spans="1:34" ht="47.25" outlineLevel="2">
      <c r="A4942" s="191"/>
      <c r="B4942" s="12" t="str">
        <f>IFERROR(VLOOKUP(D4942,'[1]Перечень товаров'!$A$2:$I9525,2,0),"")</f>
        <v>д22</v>
      </c>
      <c r="C4942" s="12" t="str">
        <f>IFERROR(VLOOKUP(D4942,'[1]Перечень товаров'!$A$2:$I9525,3,0),"")</f>
        <v>Дидактика</v>
      </c>
      <c r="D4942" s="192" t="s">
        <v>765</v>
      </c>
      <c r="E4942" s="23"/>
      <c r="F4942" s="23"/>
      <c r="G4942" s="193">
        <v>1</v>
      </c>
      <c r="H4942" s="193"/>
      <c r="I4942" s="194"/>
      <c r="J4942" s="194"/>
      <c r="K4942" s="19"/>
      <c r="L4942" s="20"/>
      <c r="M4942" s="10"/>
      <c r="N4942" s="10"/>
      <c r="O4942" s="10"/>
      <c r="P4942" s="10"/>
      <c r="Q4942" s="10"/>
      <c r="R4942" s="10"/>
      <c r="S4942" s="10"/>
      <c r="T4942" s="10"/>
      <c r="U4942" s="10"/>
      <c r="V4942" s="10"/>
      <c r="W4942" s="10"/>
      <c r="X4942" s="10"/>
      <c r="Y4942" s="10"/>
      <c r="Z4942" s="10"/>
      <c r="AA4942" s="10"/>
      <c r="AB4942" s="10"/>
      <c r="AC4942" s="10"/>
      <c r="AD4942" s="10"/>
      <c r="AE4942" s="10"/>
      <c r="AF4942" s="10"/>
      <c r="AG4942" s="10"/>
      <c r="AH4942" s="10"/>
    </row>
    <row r="4943" spans="1:34" ht="31.5" outlineLevel="2">
      <c r="A4943" s="191"/>
      <c r="B4943" s="12" t="str">
        <f>IFERROR(VLOOKUP(D4943,'[1]Перечень товаров'!$A$2:$I9525,2,0),"")</f>
        <v>д23</v>
      </c>
      <c r="C4943" s="12" t="str">
        <f>IFERROR(VLOOKUP(D4943,'[1]Перечень товаров'!$A$2:$I9525,3,0),"")</f>
        <v>Дидактика</v>
      </c>
      <c r="D4943" s="192" t="s">
        <v>766</v>
      </c>
      <c r="E4943" s="23"/>
      <c r="F4943" s="23"/>
      <c r="G4943" s="193">
        <v>13</v>
      </c>
      <c r="H4943" s="193"/>
      <c r="I4943" s="194"/>
      <c r="J4943" s="194"/>
      <c r="K4943" s="19"/>
      <c r="L4943" s="20"/>
      <c r="M4943" s="10"/>
      <c r="N4943" s="10"/>
      <c r="O4943" s="10"/>
      <c r="P4943" s="10"/>
      <c r="Q4943" s="10"/>
      <c r="R4943" s="10"/>
      <c r="S4943" s="10"/>
      <c r="T4943" s="10"/>
      <c r="U4943" s="10"/>
      <c r="V4943" s="10"/>
      <c r="W4943" s="10"/>
      <c r="X4943" s="10"/>
      <c r="Y4943" s="10"/>
      <c r="Z4943" s="10"/>
      <c r="AA4943" s="10"/>
      <c r="AB4943" s="10"/>
      <c r="AC4943" s="10"/>
      <c r="AD4943" s="10"/>
      <c r="AE4943" s="10"/>
      <c r="AF4943" s="10"/>
      <c r="AG4943" s="10"/>
      <c r="AH4943" s="10"/>
    </row>
    <row r="4944" spans="1:34" ht="78.75" outlineLevel="2">
      <c r="A4944" s="191"/>
      <c r="B4944" s="12" t="str">
        <f>IFERROR(VLOOKUP(D4944,'[1]Перечень товаров'!$A$2:$I9525,2,0),"")</f>
        <v>д24</v>
      </c>
      <c r="C4944" s="12" t="str">
        <f>IFERROR(VLOOKUP(D4944,'[1]Перечень товаров'!$A$2:$I9525,3,0),"")</f>
        <v>Дидактика</v>
      </c>
      <c r="D4944" s="192" t="s">
        <v>767</v>
      </c>
      <c r="E4944" s="23"/>
      <c r="F4944" s="23"/>
      <c r="G4944" s="193">
        <v>1</v>
      </c>
      <c r="H4944" s="193"/>
      <c r="I4944" s="194"/>
      <c r="J4944" s="194"/>
      <c r="K4944" s="19"/>
      <c r="L4944" s="20"/>
      <c r="M4944" s="10"/>
      <c r="N4944" s="10"/>
      <c r="O4944" s="10"/>
      <c r="P4944" s="10"/>
      <c r="Q4944" s="10"/>
      <c r="R4944" s="10"/>
      <c r="S4944" s="10"/>
      <c r="T4944" s="10"/>
      <c r="U4944" s="10"/>
      <c r="V4944" s="10"/>
      <c r="W4944" s="10"/>
      <c r="X4944" s="10"/>
      <c r="Y4944" s="10"/>
      <c r="Z4944" s="10"/>
      <c r="AA4944" s="10"/>
      <c r="AB4944" s="10"/>
      <c r="AC4944" s="10"/>
      <c r="AD4944" s="10"/>
      <c r="AE4944" s="10"/>
      <c r="AF4944" s="10"/>
      <c r="AG4944" s="10"/>
      <c r="AH4944" s="10"/>
    </row>
    <row r="4945" spans="1:34" ht="31.5" outlineLevel="2">
      <c r="A4945" s="191"/>
      <c r="B4945" s="12" t="str">
        <f>IFERROR(VLOOKUP(D4945,'[1]Перечень товаров'!$A$2:$I9525,2,0),"")</f>
        <v>д25</v>
      </c>
      <c r="C4945" s="12" t="str">
        <f>IFERROR(VLOOKUP(D4945,'[1]Перечень товаров'!$A$2:$I9525,3,0),"")</f>
        <v>Дидактика</v>
      </c>
      <c r="D4945" s="192" t="s">
        <v>768</v>
      </c>
      <c r="E4945" s="23"/>
      <c r="F4945" s="23"/>
      <c r="G4945" s="193">
        <v>1</v>
      </c>
      <c r="H4945" s="193"/>
      <c r="I4945" s="194"/>
      <c r="J4945" s="194"/>
      <c r="K4945" s="19"/>
      <c r="L4945" s="20"/>
      <c r="M4945" s="10"/>
      <c r="N4945" s="10"/>
      <c r="O4945" s="10"/>
      <c r="P4945" s="10"/>
      <c r="Q4945" s="10"/>
      <c r="R4945" s="10"/>
      <c r="S4945" s="10"/>
      <c r="T4945" s="10"/>
      <c r="U4945" s="10"/>
      <c r="V4945" s="10"/>
      <c r="W4945" s="10"/>
      <c r="X4945" s="10"/>
      <c r="Y4945" s="10"/>
      <c r="Z4945" s="10"/>
      <c r="AA4945" s="10"/>
      <c r="AB4945" s="10"/>
      <c r="AC4945" s="10"/>
      <c r="AD4945" s="10"/>
      <c r="AE4945" s="10"/>
      <c r="AF4945" s="10"/>
      <c r="AG4945" s="10"/>
      <c r="AH4945" s="10"/>
    </row>
    <row r="4946" spans="1:34" outlineLevel="2">
      <c r="A4946" s="191"/>
      <c r="B4946" s="12" t="str">
        <f>IFERROR(VLOOKUP(D4946,'[1]Перечень товаров'!$A$2:$I9525,2,0),"")</f>
        <v>п92</v>
      </c>
      <c r="C4946" s="12" t="str">
        <f>IFERROR(VLOOKUP(D4946,'[1]Перечень товаров'!$A$2:$I9525,3,0),"")</f>
        <v>Прочее</v>
      </c>
      <c r="D4946" s="192" t="s">
        <v>769</v>
      </c>
      <c r="E4946" s="23"/>
      <c r="F4946" s="23"/>
      <c r="G4946" s="193">
        <v>13</v>
      </c>
      <c r="H4946" s="193"/>
      <c r="I4946" s="194"/>
      <c r="J4946" s="194"/>
      <c r="K4946" s="19"/>
      <c r="L4946" s="20"/>
      <c r="M4946" s="10"/>
      <c r="N4946" s="10"/>
      <c r="O4946" s="10"/>
      <c r="P4946" s="10"/>
      <c r="Q4946" s="10"/>
      <c r="R4946" s="10"/>
      <c r="S4946" s="10"/>
      <c r="T4946" s="10"/>
      <c r="U4946" s="10"/>
      <c r="V4946" s="10"/>
      <c r="W4946" s="10"/>
      <c r="X4946" s="10"/>
      <c r="Y4946" s="10"/>
      <c r="Z4946" s="10"/>
      <c r="AA4946" s="10"/>
      <c r="AB4946" s="10"/>
      <c r="AC4946" s="10"/>
      <c r="AD4946" s="10"/>
      <c r="AE4946" s="10"/>
      <c r="AF4946" s="10"/>
      <c r="AG4946" s="10"/>
      <c r="AH4946" s="10"/>
    </row>
    <row r="4947" spans="1:34" ht="15" outlineLevel="2">
      <c r="A4947" s="179"/>
      <c r="B4947" s="12" t="str">
        <f>IFERROR(VLOOKUP(D4947,'[1]Перечень товаров'!$A$2:$I9525,2,0),"")</f>
        <v/>
      </c>
      <c r="C4947" s="12" t="str">
        <f>IFERROR(VLOOKUP(D4947,'[1]Перечень товаров'!$A$2:$I9525,3,0),"")</f>
        <v/>
      </c>
      <c r="D4947" s="180" t="s">
        <v>770</v>
      </c>
      <c r="E4947" s="61"/>
      <c r="F4947" s="61"/>
      <c r="G4947" s="195"/>
      <c r="H4947" s="195"/>
      <c r="I4947" s="196"/>
      <c r="J4947" s="196"/>
      <c r="K4947" s="19"/>
      <c r="L4947" s="20"/>
      <c r="M4947" s="10"/>
      <c r="N4947" s="10"/>
      <c r="O4947" s="10"/>
      <c r="P4947" s="10"/>
      <c r="Q4947" s="10"/>
      <c r="R4947" s="10"/>
      <c r="S4947" s="10"/>
      <c r="T4947" s="10"/>
      <c r="U4947" s="10"/>
      <c r="V4947" s="10"/>
      <c r="W4947" s="10"/>
      <c r="X4947" s="10"/>
      <c r="Y4947" s="10"/>
      <c r="Z4947" s="10"/>
      <c r="AA4947" s="10"/>
      <c r="AB4947" s="10"/>
      <c r="AC4947" s="10"/>
      <c r="AD4947" s="10"/>
      <c r="AE4947" s="10"/>
      <c r="AF4947" s="10"/>
      <c r="AG4947" s="10"/>
      <c r="AH4947" s="10"/>
    </row>
    <row r="4948" spans="1:34" ht="31.5" outlineLevel="2">
      <c r="A4948" s="191"/>
      <c r="B4948" s="12" t="str">
        <f>IFERROR(VLOOKUP(D4948,'[1]Перечень товаров'!$A$2:$I9525,2,0),"")</f>
        <v>д26</v>
      </c>
      <c r="C4948" s="12" t="str">
        <f>IFERROR(VLOOKUP(D4948,'[1]Перечень товаров'!$A$2:$I9525,3,0),"")</f>
        <v>Дидактика</v>
      </c>
      <c r="D4948" s="192" t="s">
        <v>771</v>
      </c>
      <c r="E4948" s="23"/>
      <c r="F4948" s="23"/>
      <c r="G4948" s="193">
        <v>1</v>
      </c>
      <c r="H4948" s="193"/>
      <c r="I4948" s="194"/>
      <c r="J4948" s="194"/>
      <c r="K4948" s="19"/>
      <c r="L4948" s="20"/>
      <c r="M4948" s="10"/>
      <c r="N4948" s="10"/>
      <c r="O4948" s="10"/>
      <c r="P4948" s="10"/>
      <c r="Q4948" s="10"/>
      <c r="R4948" s="10"/>
      <c r="S4948" s="10"/>
      <c r="T4948" s="10"/>
      <c r="U4948" s="10"/>
      <c r="V4948" s="10"/>
      <c r="W4948" s="10"/>
      <c r="X4948" s="10"/>
      <c r="Y4948" s="10"/>
      <c r="Z4948" s="10"/>
      <c r="AA4948" s="10"/>
      <c r="AB4948" s="10"/>
      <c r="AC4948" s="10"/>
      <c r="AD4948" s="10"/>
      <c r="AE4948" s="10"/>
      <c r="AF4948" s="10"/>
      <c r="AG4948" s="10"/>
      <c r="AH4948" s="10"/>
    </row>
    <row r="4949" spans="1:34" ht="31.5" outlineLevel="2">
      <c r="A4949" s="191"/>
      <c r="B4949" s="12" t="str">
        <f>IFERROR(VLOOKUP(D4949,'[1]Перечень товаров'!$A$2:$I9525,2,0),"")</f>
        <v>д27</v>
      </c>
      <c r="C4949" s="12" t="str">
        <f>IFERROR(VLOOKUP(D4949,'[1]Перечень товаров'!$A$2:$I9525,3,0),"")</f>
        <v>Дидактика</v>
      </c>
      <c r="D4949" s="192" t="s">
        <v>772</v>
      </c>
      <c r="E4949" s="23"/>
      <c r="F4949" s="23"/>
      <c r="G4949" s="193">
        <v>1</v>
      </c>
      <c r="H4949" s="193"/>
      <c r="I4949" s="194"/>
      <c r="J4949" s="194"/>
      <c r="K4949" s="19"/>
      <c r="L4949" s="20"/>
      <c r="M4949" s="10"/>
      <c r="N4949" s="10"/>
      <c r="O4949" s="10"/>
      <c r="P4949" s="10"/>
      <c r="Q4949" s="10"/>
      <c r="R4949" s="10"/>
      <c r="S4949" s="10"/>
      <c r="T4949" s="10"/>
      <c r="U4949" s="10"/>
      <c r="V4949" s="10"/>
      <c r="W4949" s="10"/>
      <c r="X4949" s="10"/>
      <c r="Y4949" s="10"/>
      <c r="Z4949" s="10"/>
      <c r="AA4949" s="10"/>
      <c r="AB4949" s="10"/>
      <c r="AC4949" s="10"/>
      <c r="AD4949" s="10"/>
      <c r="AE4949" s="10"/>
      <c r="AF4949" s="10"/>
      <c r="AG4949" s="10"/>
      <c r="AH4949" s="10"/>
    </row>
    <row r="4950" spans="1:34" ht="47.25" outlineLevel="2">
      <c r="A4950" s="191"/>
      <c r="B4950" s="12" t="str">
        <f>IFERROR(VLOOKUP(D4950,'[1]Перечень товаров'!$A$2:$I9525,2,0),"")</f>
        <v>д28</v>
      </c>
      <c r="C4950" s="12" t="str">
        <f>IFERROR(VLOOKUP(D4950,'[1]Перечень товаров'!$A$2:$I9525,3,0),"")</f>
        <v>Дидактика</v>
      </c>
      <c r="D4950" s="192" t="s">
        <v>773</v>
      </c>
      <c r="E4950" s="23"/>
      <c r="F4950" s="23"/>
      <c r="G4950" s="193">
        <v>1</v>
      </c>
      <c r="H4950" s="193"/>
      <c r="I4950" s="194"/>
      <c r="J4950" s="194"/>
      <c r="K4950" s="19"/>
      <c r="L4950" s="20"/>
      <c r="M4950" s="10"/>
      <c r="N4950" s="10"/>
      <c r="O4950" s="10"/>
      <c r="P4950" s="10"/>
      <c r="Q4950" s="10"/>
      <c r="R4950" s="10"/>
      <c r="S4950" s="10"/>
      <c r="T4950" s="10"/>
      <c r="U4950" s="10"/>
      <c r="V4950" s="10"/>
      <c r="W4950" s="10"/>
      <c r="X4950" s="10"/>
      <c r="Y4950" s="10"/>
      <c r="Z4950" s="10"/>
      <c r="AA4950" s="10"/>
      <c r="AB4950" s="10"/>
      <c r="AC4950" s="10"/>
      <c r="AD4950" s="10"/>
      <c r="AE4950" s="10"/>
      <c r="AF4950" s="10"/>
      <c r="AG4950" s="10"/>
      <c r="AH4950" s="10"/>
    </row>
    <row r="4951" spans="1:34" ht="31.5" outlineLevel="2">
      <c r="A4951" s="191"/>
      <c r="B4951" s="12" t="str">
        <f>IFERROR(VLOOKUP(D4951,'[1]Перечень товаров'!$A$2:$I9525,2,0),"")</f>
        <v>д29</v>
      </c>
      <c r="C4951" s="12" t="str">
        <f>IFERROR(VLOOKUP(D4951,'[1]Перечень товаров'!$A$2:$I9525,3,0),"")</f>
        <v>Дидактика</v>
      </c>
      <c r="D4951" s="192" t="s">
        <v>774</v>
      </c>
      <c r="E4951" s="23"/>
      <c r="F4951" s="23"/>
      <c r="G4951" s="193">
        <v>1</v>
      </c>
      <c r="H4951" s="193"/>
      <c r="I4951" s="194"/>
      <c r="J4951" s="194"/>
      <c r="K4951" s="19"/>
      <c r="L4951" s="20"/>
      <c r="M4951" s="10"/>
      <c r="N4951" s="10"/>
      <c r="O4951" s="10"/>
      <c r="P4951" s="10"/>
      <c r="Q4951" s="10"/>
      <c r="R4951" s="10"/>
      <c r="S4951" s="10"/>
      <c r="T4951" s="10"/>
      <c r="U4951" s="10"/>
      <c r="V4951" s="10"/>
      <c r="W4951" s="10"/>
      <c r="X4951" s="10"/>
      <c r="Y4951" s="10"/>
      <c r="Z4951" s="10"/>
      <c r="AA4951" s="10"/>
      <c r="AB4951" s="10"/>
      <c r="AC4951" s="10"/>
      <c r="AD4951" s="10"/>
      <c r="AE4951" s="10"/>
      <c r="AF4951" s="10"/>
      <c r="AG4951" s="10"/>
      <c r="AH4951" s="10"/>
    </row>
    <row r="4952" spans="1:34" ht="31.5" outlineLevel="2">
      <c r="A4952" s="191"/>
      <c r="B4952" s="12" t="str">
        <f>IFERROR(VLOOKUP(D4952,'[1]Перечень товаров'!$A$2:$I9525,2,0),"")</f>
        <v>д30</v>
      </c>
      <c r="C4952" s="12" t="str">
        <f>IFERROR(VLOOKUP(D4952,'[1]Перечень товаров'!$A$2:$I9525,3,0),"")</f>
        <v>Дидактика</v>
      </c>
      <c r="D4952" s="192" t="s">
        <v>775</v>
      </c>
      <c r="E4952" s="23"/>
      <c r="F4952" s="23"/>
      <c r="G4952" s="193">
        <v>1</v>
      </c>
      <c r="H4952" s="193"/>
      <c r="I4952" s="194"/>
      <c r="J4952" s="194"/>
      <c r="K4952" s="19"/>
      <c r="L4952" s="20"/>
      <c r="M4952" s="10"/>
      <c r="N4952" s="10"/>
      <c r="O4952" s="10"/>
      <c r="P4952" s="10"/>
      <c r="Q4952" s="10"/>
      <c r="R4952" s="10"/>
      <c r="S4952" s="10"/>
      <c r="T4952" s="10"/>
      <c r="U4952" s="10"/>
      <c r="V4952" s="10"/>
      <c r="W4952" s="10"/>
      <c r="X4952" s="10"/>
      <c r="Y4952" s="10"/>
      <c r="Z4952" s="10"/>
      <c r="AA4952" s="10"/>
      <c r="AB4952" s="10"/>
      <c r="AC4952" s="10"/>
      <c r="AD4952" s="10"/>
      <c r="AE4952" s="10"/>
      <c r="AF4952" s="10"/>
      <c r="AG4952" s="10"/>
      <c r="AH4952" s="10"/>
    </row>
    <row r="4953" spans="1:34" ht="31.5" outlineLevel="2">
      <c r="A4953" s="191"/>
      <c r="B4953" s="12" t="str">
        <f>IFERROR(VLOOKUP(D4953,'[1]Перечень товаров'!$A$2:$I9525,2,0),"")</f>
        <v>д31</v>
      </c>
      <c r="C4953" s="12" t="str">
        <f>IFERROR(VLOOKUP(D4953,'[1]Перечень товаров'!$A$2:$I9525,3,0),"")</f>
        <v>Дидактика</v>
      </c>
      <c r="D4953" s="192" t="s">
        <v>776</v>
      </c>
      <c r="E4953" s="23"/>
      <c r="F4953" s="23"/>
      <c r="G4953" s="193">
        <v>1</v>
      </c>
      <c r="H4953" s="193"/>
      <c r="I4953" s="194"/>
      <c r="J4953" s="194"/>
      <c r="K4953" s="19"/>
      <c r="L4953" s="20"/>
      <c r="M4953" s="10"/>
      <c r="N4953" s="10"/>
      <c r="O4953" s="10"/>
      <c r="P4953" s="10"/>
      <c r="Q4953" s="10"/>
      <c r="R4953" s="10"/>
      <c r="S4953" s="10"/>
      <c r="T4953" s="10"/>
      <c r="U4953" s="10"/>
      <c r="V4953" s="10"/>
      <c r="W4953" s="10"/>
      <c r="X4953" s="10"/>
      <c r="Y4953" s="10"/>
      <c r="Z4953" s="10"/>
      <c r="AA4953" s="10"/>
      <c r="AB4953" s="10"/>
      <c r="AC4953" s="10"/>
      <c r="AD4953" s="10"/>
      <c r="AE4953" s="10"/>
      <c r="AF4953" s="10"/>
      <c r="AG4953" s="10"/>
      <c r="AH4953" s="10"/>
    </row>
    <row r="4954" spans="1:34" ht="31.5" outlineLevel="2">
      <c r="A4954" s="191"/>
      <c r="B4954" s="12" t="str">
        <f>IFERROR(VLOOKUP(D4954,'[1]Перечень товаров'!$A$2:$I9525,2,0),"")</f>
        <v>д32</v>
      </c>
      <c r="C4954" s="12" t="str">
        <f>IFERROR(VLOOKUP(D4954,'[1]Перечень товаров'!$A$2:$I9525,3,0),"")</f>
        <v>Дидактика</v>
      </c>
      <c r="D4954" s="192" t="s">
        <v>777</v>
      </c>
      <c r="E4954" s="23"/>
      <c r="F4954" s="23"/>
      <c r="G4954" s="193">
        <v>1</v>
      </c>
      <c r="H4954" s="193"/>
      <c r="I4954" s="194"/>
      <c r="J4954" s="194"/>
      <c r="K4954" s="19"/>
      <c r="L4954" s="20"/>
      <c r="M4954" s="10"/>
      <c r="N4954" s="10"/>
      <c r="O4954" s="10"/>
      <c r="P4954" s="10"/>
      <c r="Q4954" s="10"/>
      <c r="R4954" s="10"/>
      <c r="S4954" s="10"/>
      <c r="T4954" s="10"/>
      <c r="U4954" s="10"/>
      <c r="V4954" s="10"/>
      <c r="W4954" s="10"/>
      <c r="X4954" s="10"/>
      <c r="Y4954" s="10"/>
      <c r="Z4954" s="10"/>
      <c r="AA4954" s="10"/>
      <c r="AB4954" s="10"/>
      <c r="AC4954" s="10"/>
      <c r="AD4954" s="10"/>
      <c r="AE4954" s="10"/>
      <c r="AF4954" s="10"/>
      <c r="AG4954" s="10"/>
      <c r="AH4954" s="10"/>
    </row>
    <row r="4955" spans="1:34" ht="47.25" outlineLevel="2">
      <c r="A4955" s="191"/>
      <c r="B4955" s="12" t="str">
        <f>IFERROR(VLOOKUP(D4955,'[1]Перечень товаров'!$A$2:$I9525,2,0),"")</f>
        <v>д33</v>
      </c>
      <c r="C4955" s="12" t="str">
        <f>IFERROR(VLOOKUP(D4955,'[1]Перечень товаров'!$A$2:$I9525,3,0),"")</f>
        <v>Дидактика</v>
      </c>
      <c r="D4955" s="192" t="s">
        <v>778</v>
      </c>
      <c r="E4955" s="23"/>
      <c r="F4955" s="23"/>
      <c r="G4955" s="193">
        <v>1</v>
      </c>
      <c r="H4955" s="193"/>
      <c r="I4955" s="194"/>
      <c r="J4955" s="194"/>
      <c r="K4955" s="19"/>
      <c r="L4955" s="20"/>
      <c r="M4955" s="10"/>
      <c r="N4955" s="10"/>
      <c r="O4955" s="10"/>
      <c r="P4955" s="10"/>
      <c r="Q4955" s="10"/>
      <c r="R4955" s="10"/>
      <c r="S4955" s="10"/>
      <c r="T4955" s="10"/>
      <c r="U4955" s="10"/>
      <c r="V4955" s="10"/>
      <c r="W4955" s="10"/>
      <c r="X4955" s="10"/>
      <c r="Y4955" s="10"/>
      <c r="Z4955" s="10"/>
      <c r="AA4955" s="10"/>
      <c r="AB4955" s="10"/>
      <c r="AC4955" s="10"/>
      <c r="AD4955" s="10"/>
      <c r="AE4955" s="10"/>
      <c r="AF4955" s="10"/>
      <c r="AG4955" s="10"/>
      <c r="AH4955" s="10"/>
    </row>
    <row r="4956" spans="1:34" ht="31.5" outlineLevel="2">
      <c r="A4956" s="191"/>
      <c r="B4956" s="12" t="str">
        <f>IFERROR(VLOOKUP(D4956,'[1]Перечень товаров'!$A$2:$I9525,2,0),"")</f>
        <v>д34</v>
      </c>
      <c r="C4956" s="12" t="str">
        <f>IFERROR(VLOOKUP(D4956,'[1]Перечень товаров'!$A$2:$I9525,3,0),"")</f>
        <v>Дидактика</v>
      </c>
      <c r="D4956" s="192" t="s">
        <v>779</v>
      </c>
      <c r="E4956" s="23"/>
      <c r="F4956" s="23"/>
      <c r="G4956" s="193">
        <v>1</v>
      </c>
      <c r="H4956" s="193"/>
      <c r="I4956" s="194"/>
      <c r="J4956" s="194"/>
      <c r="K4956" s="19"/>
      <c r="L4956" s="20"/>
      <c r="M4956" s="10"/>
      <c r="N4956" s="10"/>
      <c r="O4956" s="10"/>
      <c r="P4956" s="10"/>
      <c r="Q4956" s="10"/>
      <c r="R4956" s="10"/>
      <c r="S4956" s="10"/>
      <c r="T4956" s="10"/>
      <c r="U4956" s="10"/>
      <c r="V4956" s="10"/>
      <c r="W4956" s="10"/>
      <c r="X4956" s="10"/>
      <c r="Y4956" s="10"/>
      <c r="Z4956" s="10"/>
      <c r="AA4956" s="10"/>
      <c r="AB4956" s="10"/>
      <c r="AC4956" s="10"/>
      <c r="AD4956" s="10"/>
      <c r="AE4956" s="10"/>
      <c r="AF4956" s="10"/>
      <c r="AG4956" s="10"/>
      <c r="AH4956" s="10"/>
    </row>
    <row r="4957" spans="1:34" ht="31.5" outlineLevel="2">
      <c r="A4957" s="191"/>
      <c r="B4957" s="12" t="str">
        <f>IFERROR(VLOOKUP(D4957,'[1]Перечень товаров'!$A$2:$I9525,2,0),"")</f>
        <v>д35</v>
      </c>
      <c r="C4957" s="12" t="str">
        <f>IFERROR(VLOOKUP(D4957,'[1]Перечень товаров'!$A$2:$I9525,3,0),"")</f>
        <v>Дидактика</v>
      </c>
      <c r="D4957" s="192" t="s">
        <v>780</v>
      </c>
      <c r="E4957" s="23"/>
      <c r="F4957" s="23"/>
      <c r="G4957" s="193">
        <v>1</v>
      </c>
      <c r="H4957" s="193"/>
      <c r="I4957" s="194"/>
      <c r="J4957" s="194"/>
      <c r="K4957" s="19"/>
      <c r="L4957" s="20"/>
      <c r="M4957" s="10"/>
      <c r="N4957" s="10"/>
      <c r="O4957" s="10"/>
      <c r="P4957" s="10"/>
      <c r="Q4957" s="10"/>
      <c r="R4957" s="10"/>
      <c r="S4957" s="10"/>
      <c r="T4957" s="10"/>
      <c r="U4957" s="10"/>
      <c r="V4957" s="10"/>
      <c r="W4957" s="10"/>
      <c r="X4957" s="10"/>
      <c r="Y4957" s="10"/>
      <c r="Z4957" s="10"/>
      <c r="AA4957" s="10"/>
      <c r="AB4957" s="10"/>
      <c r="AC4957" s="10"/>
      <c r="AD4957" s="10"/>
      <c r="AE4957" s="10"/>
      <c r="AF4957" s="10"/>
      <c r="AG4957" s="10"/>
      <c r="AH4957" s="10"/>
    </row>
    <row r="4958" spans="1:34" ht="31.5" outlineLevel="2">
      <c r="A4958" s="191"/>
      <c r="B4958" s="12" t="str">
        <f>IFERROR(VLOOKUP(D4958,'[1]Перечень товаров'!$A$2:$I9525,2,0),"")</f>
        <v>д36</v>
      </c>
      <c r="C4958" s="12" t="str">
        <f>IFERROR(VLOOKUP(D4958,'[1]Перечень товаров'!$A$2:$I9525,3,0),"")</f>
        <v>Дидактика</v>
      </c>
      <c r="D4958" s="192" t="s">
        <v>781</v>
      </c>
      <c r="E4958" s="23"/>
      <c r="F4958" s="23"/>
      <c r="G4958" s="193">
        <v>1</v>
      </c>
      <c r="H4958" s="193"/>
      <c r="I4958" s="194"/>
      <c r="J4958" s="194"/>
      <c r="K4958" s="19"/>
      <c r="L4958" s="20"/>
      <c r="M4958" s="10"/>
      <c r="N4958" s="10"/>
      <c r="O4958" s="10"/>
      <c r="P4958" s="10"/>
      <c r="Q4958" s="10"/>
      <c r="R4958" s="10"/>
      <c r="S4958" s="10"/>
      <c r="T4958" s="10"/>
      <c r="U4958" s="10"/>
      <c r="V4958" s="10"/>
      <c r="W4958" s="10"/>
      <c r="X4958" s="10"/>
      <c r="Y4958" s="10"/>
      <c r="Z4958" s="10"/>
      <c r="AA4958" s="10"/>
      <c r="AB4958" s="10"/>
      <c r="AC4958" s="10"/>
      <c r="AD4958" s="10"/>
      <c r="AE4958" s="10"/>
      <c r="AF4958" s="10"/>
      <c r="AG4958" s="10"/>
      <c r="AH4958" s="10"/>
    </row>
    <row r="4959" spans="1:34" outlineLevel="2">
      <c r="A4959" s="191"/>
      <c r="B4959" s="12" t="str">
        <f>IFERROR(VLOOKUP(D4959,'[1]Перечень товаров'!$A$2:$I9525,2,0),"")</f>
        <v>д37</v>
      </c>
      <c r="C4959" s="12" t="str">
        <f>IFERROR(VLOOKUP(D4959,'[1]Перечень товаров'!$A$2:$I9525,3,0),"")</f>
        <v>Дидактика</v>
      </c>
      <c r="D4959" s="192" t="s">
        <v>782</v>
      </c>
      <c r="E4959" s="23"/>
      <c r="F4959" s="23"/>
      <c r="G4959" s="193">
        <v>1</v>
      </c>
      <c r="H4959" s="193"/>
      <c r="I4959" s="194"/>
      <c r="J4959" s="194"/>
      <c r="K4959" s="19"/>
      <c r="L4959" s="20"/>
      <c r="M4959" s="10"/>
      <c r="N4959" s="10"/>
      <c r="O4959" s="10"/>
      <c r="P4959" s="10"/>
      <c r="Q4959" s="10"/>
      <c r="R4959" s="10"/>
      <c r="S4959" s="10"/>
      <c r="T4959" s="10"/>
      <c r="U4959" s="10"/>
      <c r="V4959" s="10"/>
      <c r="W4959" s="10"/>
      <c r="X4959" s="10"/>
      <c r="Y4959" s="10"/>
      <c r="Z4959" s="10"/>
      <c r="AA4959" s="10"/>
      <c r="AB4959" s="10"/>
      <c r="AC4959" s="10"/>
      <c r="AD4959" s="10"/>
      <c r="AE4959" s="10"/>
      <c r="AF4959" s="10"/>
      <c r="AG4959" s="10"/>
      <c r="AH4959" s="10"/>
    </row>
    <row r="4960" spans="1:34" ht="31.5" outlineLevel="2">
      <c r="A4960" s="191"/>
      <c r="B4960" s="12" t="str">
        <f>IFERROR(VLOOKUP(D4960,'[1]Перечень товаров'!$A$2:$I9525,2,0),"")</f>
        <v>д38</v>
      </c>
      <c r="C4960" s="12" t="str">
        <f>IFERROR(VLOOKUP(D4960,'[1]Перечень товаров'!$A$2:$I9525,3,0),"")</f>
        <v>Дидактика</v>
      </c>
      <c r="D4960" s="192" t="s">
        <v>783</v>
      </c>
      <c r="E4960" s="23"/>
      <c r="F4960" s="23"/>
      <c r="G4960" s="193">
        <v>1</v>
      </c>
      <c r="H4960" s="193"/>
      <c r="I4960" s="194"/>
      <c r="J4960" s="194"/>
      <c r="K4960" s="19"/>
      <c r="L4960" s="20"/>
      <c r="M4960" s="10"/>
      <c r="N4960" s="10"/>
      <c r="O4960" s="10"/>
      <c r="P4960" s="10"/>
      <c r="Q4960" s="10"/>
      <c r="R4960" s="10"/>
      <c r="S4960" s="10"/>
      <c r="T4960" s="10"/>
      <c r="U4960" s="10"/>
      <c r="V4960" s="10"/>
      <c r="W4960" s="10"/>
      <c r="X4960" s="10"/>
      <c r="Y4960" s="10"/>
      <c r="Z4960" s="10"/>
      <c r="AA4960" s="10"/>
      <c r="AB4960" s="10"/>
      <c r="AC4960" s="10"/>
      <c r="AD4960" s="10"/>
      <c r="AE4960" s="10"/>
      <c r="AF4960" s="10"/>
      <c r="AG4960" s="10"/>
      <c r="AH4960" s="10"/>
    </row>
    <row r="4961" spans="1:34" outlineLevel="2">
      <c r="A4961" s="191"/>
      <c r="B4961" s="12" t="str">
        <f>IFERROR(VLOOKUP(D4961,'[1]Перечень товаров'!$A$2:$I9525,2,0),"")</f>
        <v>д39</v>
      </c>
      <c r="C4961" s="12" t="str">
        <f>IFERROR(VLOOKUP(D4961,'[1]Перечень товаров'!$A$2:$I9525,3,0),"")</f>
        <v>Дидактика</v>
      </c>
      <c r="D4961" s="192" t="s">
        <v>784</v>
      </c>
      <c r="E4961" s="23"/>
      <c r="F4961" s="23"/>
      <c r="G4961" s="193">
        <v>1</v>
      </c>
      <c r="H4961" s="193"/>
      <c r="I4961" s="194"/>
      <c r="J4961" s="194"/>
      <c r="K4961" s="19"/>
      <c r="L4961" s="20"/>
      <c r="M4961" s="10"/>
      <c r="N4961" s="10"/>
      <c r="O4961" s="10"/>
      <c r="P4961" s="10"/>
      <c r="Q4961" s="10"/>
      <c r="R4961" s="10"/>
      <c r="S4961" s="10"/>
      <c r="T4961" s="10"/>
      <c r="U4961" s="10"/>
      <c r="V4961" s="10"/>
      <c r="W4961" s="10"/>
      <c r="X4961" s="10"/>
      <c r="Y4961" s="10"/>
      <c r="Z4961" s="10"/>
      <c r="AA4961" s="10"/>
      <c r="AB4961" s="10"/>
      <c r="AC4961" s="10"/>
      <c r="AD4961" s="10"/>
      <c r="AE4961" s="10"/>
      <c r="AF4961" s="10"/>
      <c r="AG4961" s="10"/>
      <c r="AH4961" s="10"/>
    </row>
    <row r="4962" spans="1:34" ht="31.5" outlineLevel="2">
      <c r="A4962" s="191"/>
      <c r="B4962" s="12" t="str">
        <f>IFERROR(VLOOKUP(D4962,'[1]Перечень товаров'!$A$2:$I9525,2,0),"")</f>
        <v>д40</v>
      </c>
      <c r="C4962" s="12" t="str">
        <f>IFERROR(VLOOKUP(D4962,'[1]Перечень товаров'!$A$2:$I9525,3,0),"")</f>
        <v>Дидактика</v>
      </c>
      <c r="D4962" s="192" t="s">
        <v>785</v>
      </c>
      <c r="E4962" s="23"/>
      <c r="F4962" s="23"/>
      <c r="G4962" s="193">
        <v>1</v>
      </c>
      <c r="H4962" s="193"/>
      <c r="I4962" s="194"/>
      <c r="J4962" s="194"/>
      <c r="K4962" s="19"/>
      <c r="L4962" s="20"/>
      <c r="M4962" s="10"/>
      <c r="N4962" s="10"/>
      <c r="O4962" s="10"/>
      <c r="P4962" s="10"/>
      <c r="Q4962" s="10"/>
      <c r="R4962" s="10"/>
      <c r="S4962" s="10"/>
      <c r="T4962" s="10"/>
      <c r="U4962" s="10"/>
      <c r="V4962" s="10"/>
      <c r="W4962" s="10"/>
      <c r="X4962" s="10"/>
      <c r="Y4962" s="10"/>
      <c r="Z4962" s="10"/>
      <c r="AA4962" s="10"/>
      <c r="AB4962" s="10"/>
      <c r="AC4962" s="10"/>
      <c r="AD4962" s="10"/>
      <c r="AE4962" s="10"/>
      <c r="AF4962" s="10"/>
      <c r="AG4962" s="10"/>
      <c r="AH4962" s="10"/>
    </row>
    <row r="4963" spans="1:34" ht="47.25" outlineLevel="2">
      <c r="A4963" s="191"/>
      <c r="B4963" s="12" t="str">
        <f>IFERROR(VLOOKUP(D4963,'[1]Перечень товаров'!$A$2:$I9525,2,0),"")</f>
        <v>д41</v>
      </c>
      <c r="C4963" s="12" t="str">
        <f>IFERROR(VLOOKUP(D4963,'[1]Перечень товаров'!$A$2:$I9525,3,0),"")</f>
        <v>Дидактика</v>
      </c>
      <c r="D4963" s="192" t="s">
        <v>786</v>
      </c>
      <c r="E4963" s="23"/>
      <c r="F4963" s="23"/>
      <c r="G4963" s="193">
        <v>1</v>
      </c>
      <c r="H4963" s="193"/>
      <c r="I4963" s="194"/>
      <c r="J4963" s="194"/>
      <c r="K4963" s="19"/>
      <c r="L4963" s="20"/>
      <c r="M4963" s="10"/>
      <c r="N4963" s="10"/>
      <c r="O4963" s="10"/>
      <c r="P4963" s="10"/>
      <c r="Q4963" s="10"/>
      <c r="R4963" s="10"/>
      <c r="S4963" s="10"/>
      <c r="T4963" s="10"/>
      <c r="U4963" s="10"/>
      <c r="V4963" s="10"/>
      <c r="W4963" s="10"/>
      <c r="X4963" s="10"/>
      <c r="Y4963" s="10"/>
      <c r="Z4963" s="10"/>
      <c r="AA4963" s="10"/>
      <c r="AB4963" s="10"/>
      <c r="AC4963" s="10"/>
      <c r="AD4963" s="10"/>
      <c r="AE4963" s="10"/>
      <c r="AF4963" s="10"/>
      <c r="AG4963" s="10"/>
      <c r="AH4963" s="10"/>
    </row>
    <row r="4964" spans="1:34" ht="31.5" outlineLevel="2">
      <c r="A4964" s="191"/>
      <c r="B4964" s="12" t="str">
        <f>IFERROR(VLOOKUP(D4964,'[1]Перечень товаров'!$A$2:$I9525,2,0),"")</f>
        <v>д42</v>
      </c>
      <c r="C4964" s="12" t="str">
        <f>IFERROR(VLOOKUP(D4964,'[1]Перечень товаров'!$A$2:$I9525,3,0),"")</f>
        <v>Дидактика</v>
      </c>
      <c r="D4964" s="192" t="s">
        <v>787</v>
      </c>
      <c r="E4964" s="23"/>
      <c r="F4964" s="23"/>
      <c r="G4964" s="193">
        <v>1</v>
      </c>
      <c r="H4964" s="193"/>
      <c r="I4964" s="194"/>
      <c r="J4964" s="194"/>
      <c r="K4964" s="19"/>
      <c r="L4964" s="20"/>
      <c r="M4964" s="10"/>
      <c r="N4964" s="10"/>
      <c r="O4964" s="10"/>
      <c r="P4964" s="10"/>
      <c r="Q4964" s="10"/>
      <c r="R4964" s="10"/>
      <c r="S4964" s="10"/>
      <c r="T4964" s="10"/>
      <c r="U4964" s="10"/>
      <c r="V4964" s="10"/>
      <c r="W4964" s="10"/>
      <c r="X4964" s="10"/>
      <c r="Y4964" s="10"/>
      <c r="Z4964" s="10"/>
      <c r="AA4964" s="10"/>
      <c r="AB4964" s="10"/>
      <c r="AC4964" s="10"/>
      <c r="AD4964" s="10"/>
      <c r="AE4964" s="10"/>
      <c r="AF4964" s="10"/>
      <c r="AG4964" s="10"/>
      <c r="AH4964" s="10"/>
    </row>
    <row r="4965" spans="1:34" ht="31.5" outlineLevel="2">
      <c r="A4965" s="191"/>
      <c r="B4965" s="12" t="str">
        <f>IFERROR(VLOOKUP(D4965,'[1]Перечень товаров'!$A$2:$I9525,2,0),"")</f>
        <v>д44</v>
      </c>
      <c r="C4965" s="12" t="str">
        <f>IFERROR(VLOOKUP(D4965,'[1]Перечень товаров'!$A$2:$I9525,3,0),"")</f>
        <v>Дидактика</v>
      </c>
      <c r="D4965" s="192" t="s">
        <v>789</v>
      </c>
      <c r="E4965" s="23"/>
      <c r="F4965" s="23"/>
      <c r="G4965" s="193">
        <v>1</v>
      </c>
      <c r="H4965" s="193"/>
      <c r="I4965" s="194"/>
      <c r="J4965" s="194"/>
      <c r="K4965" s="19"/>
      <c r="L4965" s="20"/>
      <c r="M4965" s="10"/>
      <c r="N4965" s="10"/>
      <c r="O4965" s="10"/>
      <c r="P4965" s="10"/>
      <c r="Q4965" s="10"/>
      <c r="R4965" s="10"/>
      <c r="S4965" s="10"/>
      <c r="T4965" s="10"/>
      <c r="U4965" s="10"/>
      <c r="V4965" s="10"/>
      <c r="W4965" s="10"/>
      <c r="X4965" s="10"/>
      <c r="Y4965" s="10"/>
      <c r="Z4965" s="10"/>
      <c r="AA4965" s="10"/>
      <c r="AB4965" s="10"/>
      <c r="AC4965" s="10"/>
      <c r="AD4965" s="10"/>
      <c r="AE4965" s="10"/>
      <c r="AF4965" s="10"/>
      <c r="AG4965" s="10"/>
      <c r="AH4965" s="10"/>
    </row>
    <row r="4966" spans="1:34" ht="31.5" outlineLevel="2">
      <c r="A4966" s="191"/>
      <c r="B4966" s="12" t="str">
        <f>IFERROR(VLOOKUP(D4966,'[1]Перечень товаров'!$A$2:$I9525,2,0),"")</f>
        <v>д46</v>
      </c>
      <c r="C4966" s="12" t="str">
        <f>IFERROR(VLOOKUP(D4966,'[1]Перечень товаров'!$A$2:$I9525,3,0),"")</f>
        <v>Дидактика</v>
      </c>
      <c r="D4966" s="192" t="s">
        <v>791</v>
      </c>
      <c r="E4966" s="23"/>
      <c r="F4966" s="23"/>
      <c r="G4966" s="193">
        <v>1</v>
      </c>
      <c r="H4966" s="193"/>
      <c r="I4966" s="194"/>
      <c r="J4966" s="194"/>
      <c r="K4966" s="19"/>
      <c r="L4966" s="20"/>
      <c r="M4966" s="10"/>
      <c r="N4966" s="10"/>
      <c r="O4966" s="10"/>
      <c r="P4966" s="10"/>
      <c r="Q4966" s="10"/>
      <c r="R4966" s="10"/>
      <c r="S4966" s="10"/>
      <c r="T4966" s="10"/>
      <c r="U4966" s="10"/>
      <c r="V4966" s="10"/>
      <c r="W4966" s="10"/>
      <c r="X4966" s="10"/>
      <c r="Y4966" s="10"/>
      <c r="Z4966" s="10"/>
      <c r="AA4966" s="10"/>
      <c r="AB4966" s="10"/>
      <c r="AC4966" s="10"/>
      <c r="AD4966" s="10"/>
      <c r="AE4966" s="10"/>
      <c r="AF4966" s="10"/>
      <c r="AG4966" s="10"/>
      <c r="AH4966" s="10"/>
    </row>
    <row r="4967" spans="1:34" ht="31.5" outlineLevel="2">
      <c r="A4967" s="191"/>
      <c r="B4967" s="12" t="str">
        <f>IFERROR(VLOOKUP(D4967,'[1]Перечень товаров'!$A$2:$I9525,2,0),"")</f>
        <v>д48</v>
      </c>
      <c r="C4967" s="12" t="str">
        <f>IFERROR(VLOOKUP(D4967,'[1]Перечень товаров'!$A$2:$I9525,3,0),"")</f>
        <v>Дидактика</v>
      </c>
      <c r="D4967" s="192" t="s">
        <v>793</v>
      </c>
      <c r="E4967" s="23"/>
      <c r="F4967" s="23"/>
      <c r="G4967" s="193">
        <v>1</v>
      </c>
      <c r="H4967" s="193"/>
      <c r="I4967" s="194"/>
      <c r="J4967" s="194"/>
      <c r="K4967" s="19"/>
      <c r="L4967" s="20"/>
      <c r="M4967" s="10"/>
      <c r="N4967" s="10"/>
      <c r="O4967" s="10"/>
      <c r="P4967" s="10"/>
      <c r="Q4967" s="10"/>
      <c r="R4967" s="10"/>
      <c r="S4967" s="10"/>
      <c r="T4967" s="10"/>
      <c r="U4967" s="10"/>
      <c r="V4967" s="10"/>
      <c r="W4967" s="10"/>
      <c r="X4967" s="10"/>
      <c r="Y4967" s="10"/>
      <c r="Z4967" s="10"/>
      <c r="AA4967" s="10"/>
      <c r="AB4967" s="10"/>
      <c r="AC4967" s="10"/>
      <c r="AD4967" s="10"/>
      <c r="AE4967" s="10"/>
      <c r="AF4967" s="10"/>
      <c r="AG4967" s="10"/>
      <c r="AH4967" s="10"/>
    </row>
    <row r="4968" spans="1:34" ht="31.5" outlineLevel="2">
      <c r="A4968" s="191"/>
      <c r="B4968" s="12" t="str">
        <f>IFERROR(VLOOKUP(D4968,'[1]Перечень товаров'!$A$2:$I9525,2,0),"")</f>
        <v>д51</v>
      </c>
      <c r="C4968" s="12" t="str">
        <f>IFERROR(VLOOKUP(D4968,'[1]Перечень товаров'!$A$2:$I9525,3,0),"")</f>
        <v>Дидактика</v>
      </c>
      <c r="D4968" s="192" t="s">
        <v>796</v>
      </c>
      <c r="E4968" s="23"/>
      <c r="F4968" s="23"/>
      <c r="G4968" s="193">
        <v>1</v>
      </c>
      <c r="H4968" s="193"/>
      <c r="I4968" s="194"/>
      <c r="J4968" s="194"/>
      <c r="K4968" s="19"/>
      <c r="L4968" s="20"/>
      <c r="M4968" s="10"/>
      <c r="N4968" s="10"/>
      <c r="O4968" s="10"/>
      <c r="P4968" s="10"/>
      <c r="Q4968" s="10"/>
      <c r="R4968" s="10"/>
      <c r="S4968" s="10"/>
      <c r="T4968" s="10"/>
      <c r="U4968" s="10"/>
      <c r="V4968" s="10"/>
      <c r="W4968" s="10"/>
      <c r="X4968" s="10"/>
      <c r="Y4968" s="10"/>
      <c r="Z4968" s="10"/>
      <c r="AA4968" s="10"/>
      <c r="AB4968" s="10"/>
      <c r="AC4968" s="10"/>
      <c r="AD4968" s="10"/>
      <c r="AE4968" s="10"/>
      <c r="AF4968" s="10"/>
      <c r="AG4968" s="10"/>
      <c r="AH4968" s="10"/>
    </row>
    <row r="4969" spans="1:34" ht="31.5" outlineLevel="2">
      <c r="A4969" s="191"/>
      <c r="B4969" s="12" t="str">
        <f>IFERROR(VLOOKUP(D4969,'[1]Перечень товаров'!$A$2:$I9525,2,0),"")</f>
        <v>д54</v>
      </c>
      <c r="C4969" s="12" t="str">
        <f>IFERROR(VLOOKUP(D4969,'[1]Перечень товаров'!$A$2:$I9525,3,0),"")</f>
        <v>Дидактика</v>
      </c>
      <c r="D4969" s="192" t="s">
        <v>799</v>
      </c>
      <c r="E4969" s="23"/>
      <c r="F4969" s="23"/>
      <c r="G4969" s="193">
        <v>1</v>
      </c>
      <c r="H4969" s="193"/>
      <c r="I4969" s="194"/>
      <c r="J4969" s="194"/>
      <c r="K4969" s="19"/>
      <c r="L4969" s="20"/>
      <c r="M4969" s="10"/>
      <c r="N4969" s="10"/>
      <c r="O4969" s="10"/>
      <c r="P4969" s="10"/>
      <c r="Q4969" s="10"/>
      <c r="R4969" s="10"/>
      <c r="S4969" s="10"/>
      <c r="T4969" s="10"/>
      <c r="U4969" s="10"/>
      <c r="V4969" s="10"/>
      <c r="W4969" s="10"/>
      <c r="X4969" s="10"/>
      <c r="Y4969" s="10"/>
      <c r="Z4969" s="10"/>
      <c r="AA4969" s="10"/>
      <c r="AB4969" s="10"/>
      <c r="AC4969" s="10"/>
      <c r="AD4969" s="10"/>
      <c r="AE4969" s="10"/>
      <c r="AF4969" s="10"/>
      <c r="AG4969" s="10"/>
      <c r="AH4969" s="10"/>
    </row>
    <row r="4970" spans="1:34" ht="47.25" outlineLevel="2">
      <c r="A4970" s="191"/>
      <c r="B4970" s="12" t="str">
        <f>IFERROR(VLOOKUP(D4970,'[1]Перечень товаров'!$A$2:$I9525,2,0),"")</f>
        <v>д58</v>
      </c>
      <c r="C4970" s="12" t="str">
        <f>IFERROR(VLOOKUP(D4970,'[1]Перечень товаров'!$A$2:$I9525,3,0),"")</f>
        <v>Дидактика</v>
      </c>
      <c r="D4970" s="192" t="s">
        <v>803</v>
      </c>
      <c r="E4970" s="23"/>
      <c r="F4970" s="23"/>
      <c r="G4970" s="193">
        <v>1</v>
      </c>
      <c r="H4970" s="193"/>
      <c r="I4970" s="194"/>
      <c r="J4970" s="194"/>
      <c r="K4970" s="19"/>
      <c r="L4970" s="20"/>
      <c r="M4970" s="10"/>
      <c r="N4970" s="10"/>
      <c r="O4970" s="10"/>
      <c r="P4970" s="10"/>
      <c r="Q4970" s="10"/>
      <c r="R4970" s="10"/>
      <c r="S4970" s="10"/>
      <c r="T4970" s="10"/>
      <c r="U4970" s="10"/>
      <c r="V4970" s="10"/>
      <c r="W4970" s="10"/>
      <c r="X4970" s="10"/>
      <c r="Y4970" s="10"/>
      <c r="Z4970" s="10"/>
      <c r="AA4970" s="10"/>
      <c r="AB4970" s="10"/>
      <c r="AC4970" s="10"/>
      <c r="AD4970" s="10"/>
      <c r="AE4970" s="10"/>
      <c r="AF4970" s="10"/>
      <c r="AG4970" s="10"/>
      <c r="AH4970" s="10"/>
    </row>
    <row r="4971" spans="1:34" ht="47.25" outlineLevel="2">
      <c r="A4971" s="191"/>
      <c r="B4971" s="12" t="str">
        <f>IFERROR(VLOOKUP(D4971,'[1]Перечень товаров'!$A$2:$I9525,2,0),"")</f>
        <v>д61</v>
      </c>
      <c r="C4971" s="12" t="str">
        <f>IFERROR(VLOOKUP(D4971,'[1]Перечень товаров'!$A$2:$I9525,3,0),"")</f>
        <v>Дидактика</v>
      </c>
      <c r="D4971" s="192" t="s">
        <v>806</v>
      </c>
      <c r="E4971" s="23"/>
      <c r="F4971" s="23"/>
      <c r="G4971" s="193">
        <v>1</v>
      </c>
      <c r="H4971" s="193"/>
      <c r="I4971" s="194"/>
      <c r="J4971" s="194"/>
      <c r="K4971" s="19"/>
      <c r="L4971" s="20"/>
      <c r="M4971" s="10"/>
      <c r="N4971" s="10"/>
      <c r="O4971" s="10"/>
      <c r="P4971" s="10"/>
      <c r="Q4971" s="10"/>
      <c r="R4971" s="10"/>
      <c r="S4971" s="10"/>
      <c r="T4971" s="10"/>
      <c r="U4971" s="10"/>
      <c r="V4971" s="10"/>
      <c r="W4971" s="10"/>
      <c r="X4971" s="10"/>
      <c r="Y4971" s="10"/>
      <c r="Z4971" s="10"/>
      <c r="AA4971" s="10"/>
      <c r="AB4971" s="10"/>
      <c r="AC4971" s="10"/>
      <c r="AD4971" s="10"/>
      <c r="AE4971" s="10"/>
      <c r="AF4971" s="10"/>
      <c r="AG4971" s="10"/>
      <c r="AH4971" s="10"/>
    </row>
    <row r="4972" spans="1:34" outlineLevel="2">
      <c r="A4972" s="191"/>
      <c r="B4972" s="12" t="str">
        <f>IFERROR(VLOOKUP(D4972,'[1]Перечень товаров'!$A$2:$I9525,2,0),"")</f>
        <v>д62</v>
      </c>
      <c r="C4972" s="12" t="str">
        <f>IFERROR(VLOOKUP(D4972,'[1]Перечень товаров'!$A$2:$I9525,3,0),"")</f>
        <v>Дидактика</v>
      </c>
      <c r="D4972" s="192" t="s">
        <v>807</v>
      </c>
      <c r="E4972" s="23"/>
      <c r="F4972" s="23"/>
      <c r="G4972" s="193">
        <v>1</v>
      </c>
      <c r="H4972" s="193"/>
      <c r="I4972" s="194"/>
      <c r="J4972" s="194"/>
      <c r="K4972" s="19"/>
      <c r="L4972" s="20"/>
      <c r="M4972" s="10"/>
      <c r="N4972" s="10"/>
      <c r="O4972" s="10"/>
      <c r="P4972" s="10"/>
      <c r="Q4972" s="10"/>
      <c r="R4972" s="10"/>
      <c r="S4972" s="10"/>
      <c r="T4972" s="10"/>
      <c r="U4972" s="10"/>
      <c r="V4972" s="10"/>
      <c r="W4972" s="10"/>
      <c r="X4972" s="10"/>
      <c r="Y4972" s="10"/>
      <c r="Z4972" s="10"/>
      <c r="AA4972" s="10"/>
      <c r="AB4972" s="10"/>
      <c r="AC4972" s="10"/>
      <c r="AD4972" s="10"/>
      <c r="AE4972" s="10"/>
      <c r="AF4972" s="10"/>
      <c r="AG4972" s="10"/>
      <c r="AH4972" s="10"/>
    </row>
    <row r="4973" spans="1:34" ht="47.25" outlineLevel="2">
      <c r="A4973" s="191"/>
      <c r="B4973" s="12" t="str">
        <f>IFERROR(VLOOKUP(D4973,'[1]Перечень товаров'!$A$2:$I9525,2,0),"")</f>
        <v>д63</v>
      </c>
      <c r="C4973" s="12" t="str">
        <f>IFERROR(VLOOKUP(D4973,'[1]Перечень товаров'!$A$2:$I9525,3,0),"")</f>
        <v>Дидактика</v>
      </c>
      <c r="D4973" s="192" t="s">
        <v>808</v>
      </c>
      <c r="E4973" s="23"/>
      <c r="F4973" s="23"/>
      <c r="G4973" s="193">
        <v>1</v>
      </c>
      <c r="H4973" s="193"/>
      <c r="I4973" s="194"/>
      <c r="J4973" s="194"/>
      <c r="K4973" s="19"/>
      <c r="L4973" s="20"/>
      <c r="M4973" s="10"/>
      <c r="N4973" s="10"/>
      <c r="O4973" s="10"/>
      <c r="P4973" s="10"/>
      <c r="Q4973" s="10"/>
      <c r="R4973" s="10"/>
      <c r="S4973" s="10"/>
      <c r="T4973" s="10"/>
      <c r="U4973" s="10"/>
      <c r="V4973" s="10"/>
      <c r="W4973" s="10"/>
      <c r="X4973" s="10"/>
      <c r="Y4973" s="10"/>
      <c r="Z4973" s="10"/>
      <c r="AA4973" s="10"/>
      <c r="AB4973" s="10"/>
      <c r="AC4973" s="10"/>
      <c r="AD4973" s="10"/>
      <c r="AE4973" s="10"/>
      <c r="AF4973" s="10"/>
      <c r="AG4973" s="10"/>
      <c r="AH4973" s="10"/>
    </row>
    <row r="4974" spans="1:34" ht="30" outlineLevel="2">
      <c r="A4974" s="179"/>
      <c r="B4974" s="12" t="str">
        <f>IFERROR(VLOOKUP(D4974,'[1]Перечень товаров'!$A$2:$I9525,2,0),"")</f>
        <v/>
      </c>
      <c r="C4974" s="12" t="str">
        <f>IFERROR(VLOOKUP(D4974,'[1]Перечень товаров'!$A$2:$I9525,3,0),"")</f>
        <v/>
      </c>
      <c r="D4974" s="180" t="s">
        <v>809</v>
      </c>
      <c r="E4974" s="61"/>
      <c r="F4974" s="61"/>
      <c r="G4974" s="195"/>
      <c r="H4974" s="195"/>
      <c r="I4974" s="196"/>
      <c r="J4974" s="196"/>
      <c r="K4974" s="19"/>
      <c r="L4974" s="20"/>
      <c r="M4974" s="10"/>
      <c r="N4974" s="10"/>
      <c r="O4974" s="10"/>
      <c r="P4974" s="10"/>
      <c r="Q4974" s="10"/>
      <c r="R4974" s="10"/>
      <c r="S4974" s="10"/>
      <c r="T4974" s="10"/>
      <c r="U4974" s="10"/>
      <c r="V4974" s="10"/>
      <c r="W4974" s="10"/>
      <c r="X4974" s="10"/>
      <c r="Y4974" s="10"/>
      <c r="Z4974" s="10"/>
      <c r="AA4974" s="10"/>
      <c r="AB4974" s="10"/>
      <c r="AC4974" s="10"/>
      <c r="AD4974" s="10"/>
      <c r="AE4974" s="10"/>
      <c r="AF4974" s="10"/>
      <c r="AG4974" s="10"/>
      <c r="AH4974" s="10"/>
    </row>
    <row r="4975" spans="1:34" ht="31.5" outlineLevel="2">
      <c r="A4975" s="191"/>
      <c r="B4975" s="12" t="str">
        <f>IFERROR(VLOOKUP(D4975,'[1]Перечень товаров'!$A$2:$I9525,2,0),"")</f>
        <v>д64</v>
      </c>
      <c r="C4975" s="12" t="str">
        <f>IFERROR(VLOOKUP(D4975,'[1]Перечень товаров'!$A$2:$I9525,3,0),"")</f>
        <v>Дидактика</v>
      </c>
      <c r="D4975" s="192" t="s">
        <v>810</v>
      </c>
      <c r="E4975" s="23"/>
      <c r="F4975" s="23"/>
      <c r="G4975" s="193">
        <v>1</v>
      </c>
      <c r="H4975" s="193"/>
      <c r="I4975" s="194"/>
      <c r="J4975" s="194"/>
      <c r="K4975" s="19"/>
      <c r="L4975" s="20"/>
      <c r="M4975" s="10"/>
      <c r="N4975" s="10"/>
      <c r="O4975" s="10"/>
      <c r="P4975" s="10"/>
      <c r="Q4975" s="10"/>
      <c r="R4975" s="10"/>
      <c r="S4975" s="10"/>
      <c r="T4975" s="10"/>
      <c r="U4975" s="10"/>
      <c r="V4975" s="10"/>
      <c r="W4975" s="10"/>
      <c r="X4975" s="10"/>
      <c r="Y4975" s="10"/>
      <c r="Z4975" s="10"/>
      <c r="AA4975" s="10"/>
      <c r="AB4975" s="10"/>
      <c r="AC4975" s="10"/>
      <c r="AD4975" s="10"/>
      <c r="AE4975" s="10"/>
      <c r="AF4975" s="10"/>
      <c r="AG4975" s="10"/>
      <c r="AH4975" s="10"/>
    </row>
    <row r="4976" spans="1:34" outlineLevel="2">
      <c r="A4976" s="191"/>
      <c r="B4976" s="12" t="str">
        <f>IFERROR(VLOOKUP(D4976,'[1]Перечень товаров'!$A$2:$I9525,2,0),"")</f>
        <v>д65</v>
      </c>
      <c r="C4976" s="12" t="str">
        <f>IFERROR(VLOOKUP(D4976,'[1]Перечень товаров'!$A$2:$I9525,3,0),"")</f>
        <v>Дидактика</v>
      </c>
      <c r="D4976" s="192" t="s">
        <v>811</v>
      </c>
      <c r="E4976" s="23"/>
      <c r="F4976" s="23"/>
      <c r="G4976" s="193">
        <v>1</v>
      </c>
      <c r="H4976" s="193"/>
      <c r="I4976" s="194"/>
      <c r="J4976" s="194"/>
      <c r="K4976" s="19"/>
      <c r="L4976" s="20"/>
      <c r="M4976" s="10"/>
      <c r="N4976" s="10"/>
      <c r="O4976" s="10"/>
      <c r="P4976" s="10"/>
      <c r="Q4976" s="10"/>
      <c r="R4976" s="10"/>
      <c r="S4976" s="10"/>
      <c r="T4976" s="10"/>
      <c r="U4976" s="10"/>
      <c r="V4976" s="10"/>
      <c r="W4976" s="10"/>
      <c r="X4976" s="10"/>
      <c r="Y4976" s="10"/>
      <c r="Z4976" s="10"/>
      <c r="AA4976" s="10"/>
      <c r="AB4976" s="10"/>
      <c r="AC4976" s="10"/>
      <c r="AD4976" s="10"/>
      <c r="AE4976" s="10"/>
      <c r="AF4976" s="10"/>
      <c r="AG4976" s="10"/>
      <c r="AH4976" s="10"/>
    </row>
    <row r="4977" spans="1:34" outlineLevel="2">
      <c r="A4977" s="191"/>
      <c r="B4977" s="12" t="str">
        <f>IFERROR(VLOOKUP(D4977,'[1]Перечень товаров'!$A$2:$I9525,2,0),"")</f>
        <v>д66</v>
      </c>
      <c r="C4977" s="12" t="str">
        <f>IFERROR(VLOOKUP(D4977,'[1]Перечень товаров'!$A$2:$I9525,3,0),"")</f>
        <v>Дидактика</v>
      </c>
      <c r="D4977" s="192" t="s">
        <v>812</v>
      </c>
      <c r="E4977" s="23"/>
      <c r="F4977" s="23"/>
      <c r="G4977" s="193">
        <v>1</v>
      </c>
      <c r="H4977" s="193"/>
      <c r="I4977" s="194"/>
      <c r="J4977" s="194"/>
      <c r="K4977" s="19"/>
      <c r="L4977" s="20"/>
      <c r="M4977" s="10"/>
      <c r="N4977" s="10"/>
      <c r="O4977" s="10"/>
      <c r="P4977" s="10"/>
      <c r="Q4977" s="10"/>
      <c r="R4977" s="10"/>
      <c r="S4977" s="10"/>
      <c r="T4977" s="10"/>
      <c r="U4977" s="10"/>
      <c r="V4977" s="10"/>
      <c r="W4977" s="10"/>
      <c r="X4977" s="10"/>
      <c r="Y4977" s="10"/>
      <c r="Z4977" s="10"/>
      <c r="AA4977" s="10"/>
      <c r="AB4977" s="10"/>
      <c r="AC4977" s="10"/>
      <c r="AD4977" s="10"/>
      <c r="AE4977" s="10"/>
      <c r="AF4977" s="10"/>
      <c r="AG4977" s="10"/>
      <c r="AH4977" s="10"/>
    </row>
    <row r="4978" spans="1:34" outlineLevel="2">
      <c r="A4978" s="191"/>
      <c r="B4978" s="12" t="str">
        <f>IFERROR(VLOOKUP(D4978,'[1]Перечень товаров'!$A$2:$I9525,2,0),"")</f>
        <v>д67</v>
      </c>
      <c r="C4978" s="12" t="str">
        <f>IFERROR(VLOOKUP(D4978,'[1]Перечень товаров'!$A$2:$I9525,3,0),"")</f>
        <v>Дидактика</v>
      </c>
      <c r="D4978" s="192" t="s">
        <v>813</v>
      </c>
      <c r="E4978" s="23"/>
      <c r="F4978" s="23"/>
      <c r="G4978" s="193">
        <v>1</v>
      </c>
      <c r="H4978" s="193"/>
      <c r="I4978" s="194"/>
      <c r="J4978" s="194"/>
      <c r="K4978" s="19"/>
      <c r="L4978" s="20"/>
      <c r="M4978" s="10"/>
      <c r="N4978" s="10"/>
      <c r="O4978" s="10"/>
      <c r="P4978" s="10"/>
      <c r="Q4978" s="10"/>
      <c r="R4978" s="10"/>
      <c r="S4978" s="10"/>
      <c r="T4978" s="10"/>
      <c r="U4978" s="10"/>
      <c r="V4978" s="10"/>
      <c r="W4978" s="10"/>
      <c r="X4978" s="10"/>
      <c r="Y4978" s="10"/>
      <c r="Z4978" s="10"/>
      <c r="AA4978" s="10"/>
      <c r="AB4978" s="10"/>
      <c r="AC4978" s="10"/>
      <c r="AD4978" s="10"/>
      <c r="AE4978" s="10"/>
      <c r="AF4978" s="10"/>
      <c r="AG4978" s="10"/>
      <c r="AH4978" s="10"/>
    </row>
    <row r="4979" spans="1:34" outlineLevel="2">
      <c r="A4979" s="191"/>
      <c r="B4979" s="12" t="str">
        <f>IFERROR(VLOOKUP(D4979,'[1]Перечень товаров'!$A$2:$I9525,2,0),"")</f>
        <v>п90</v>
      </c>
      <c r="C4979" s="12" t="str">
        <f>IFERROR(VLOOKUP(D4979,'[1]Перечень товаров'!$A$2:$I9525,3,0),"")</f>
        <v>Прочее</v>
      </c>
      <c r="D4979" s="192" t="s">
        <v>723</v>
      </c>
      <c r="E4979" s="23"/>
      <c r="F4979" s="23"/>
      <c r="G4979" s="193">
        <v>1</v>
      </c>
      <c r="H4979" s="193"/>
      <c r="I4979" s="194"/>
      <c r="J4979" s="194"/>
      <c r="K4979" s="19"/>
      <c r="L4979" s="20"/>
      <c r="M4979" s="10"/>
      <c r="N4979" s="10"/>
      <c r="O4979" s="10"/>
      <c r="P4979" s="10"/>
      <c r="Q4979" s="10"/>
      <c r="R4979" s="10"/>
      <c r="S4979" s="10"/>
      <c r="T4979" s="10"/>
      <c r="U4979" s="10"/>
      <c r="V4979" s="10"/>
      <c r="W4979" s="10"/>
      <c r="X4979" s="10"/>
      <c r="Y4979" s="10"/>
      <c r="Z4979" s="10"/>
      <c r="AA4979" s="10"/>
      <c r="AB4979" s="10"/>
      <c r="AC4979" s="10"/>
      <c r="AD4979" s="10"/>
      <c r="AE4979" s="10"/>
      <c r="AF4979" s="10"/>
      <c r="AG4979" s="10"/>
      <c r="AH4979" s="10"/>
    </row>
    <row r="4980" spans="1:34" outlineLevel="2">
      <c r="A4980" s="191"/>
      <c r="B4980" s="12" t="str">
        <f>IFERROR(VLOOKUP(D4980,'[1]Перечень товаров'!$A$2:$I9525,2,0),"")</f>
        <v>д68</v>
      </c>
      <c r="C4980" s="12" t="str">
        <f>IFERROR(VLOOKUP(D4980,'[1]Перечень товаров'!$A$2:$I9525,3,0),"")</f>
        <v>Дидактика</v>
      </c>
      <c r="D4980" s="192" t="s">
        <v>814</v>
      </c>
      <c r="E4980" s="23"/>
      <c r="F4980" s="23"/>
      <c r="G4980" s="193">
        <v>3</v>
      </c>
      <c r="H4980" s="193"/>
      <c r="I4980" s="194"/>
      <c r="J4980" s="194"/>
      <c r="K4980" s="19"/>
      <c r="L4980" s="20"/>
      <c r="M4980" s="10"/>
      <c r="N4980" s="10"/>
      <c r="O4980" s="10"/>
      <c r="P4980" s="10"/>
      <c r="Q4980" s="10"/>
      <c r="R4980" s="10"/>
      <c r="S4980" s="10"/>
      <c r="T4980" s="10"/>
      <c r="U4980" s="10"/>
      <c r="V4980" s="10"/>
      <c r="W4980" s="10"/>
      <c r="X4980" s="10"/>
      <c r="Y4980" s="10"/>
      <c r="Z4980" s="10"/>
      <c r="AA4980" s="10"/>
      <c r="AB4980" s="10"/>
      <c r="AC4980" s="10"/>
      <c r="AD4980" s="10"/>
      <c r="AE4980" s="10"/>
      <c r="AF4980" s="10"/>
      <c r="AG4980" s="10"/>
      <c r="AH4980" s="10"/>
    </row>
    <row r="4981" spans="1:34" outlineLevel="2">
      <c r="A4981" s="191"/>
      <c r="B4981" s="12" t="str">
        <f>IFERROR(VLOOKUP(D4981,'[1]Перечень товаров'!$A$2:$I9525,2,0),"")</f>
        <v>д69</v>
      </c>
      <c r="C4981" s="12" t="str">
        <f>IFERROR(VLOOKUP(D4981,'[1]Перечень товаров'!$A$2:$I9525,3,0),"")</f>
        <v>Дидактика</v>
      </c>
      <c r="D4981" s="192" t="s">
        <v>815</v>
      </c>
      <c r="E4981" s="23"/>
      <c r="F4981" s="23"/>
      <c r="G4981" s="193">
        <v>8</v>
      </c>
      <c r="H4981" s="193"/>
      <c r="I4981" s="194"/>
      <c r="J4981" s="194"/>
      <c r="K4981" s="19"/>
      <c r="L4981" s="20"/>
      <c r="M4981" s="10"/>
      <c r="N4981" s="10"/>
      <c r="O4981" s="10"/>
      <c r="P4981" s="10"/>
      <c r="Q4981" s="10"/>
      <c r="R4981" s="10"/>
      <c r="S4981" s="10"/>
      <c r="T4981" s="10"/>
      <c r="U4981" s="10"/>
      <c r="V4981" s="10"/>
      <c r="W4981" s="10"/>
      <c r="X4981" s="10"/>
      <c r="Y4981" s="10"/>
      <c r="Z4981" s="10"/>
      <c r="AA4981" s="10"/>
      <c r="AB4981" s="10"/>
      <c r="AC4981" s="10"/>
      <c r="AD4981" s="10"/>
      <c r="AE4981" s="10"/>
      <c r="AF4981" s="10"/>
      <c r="AG4981" s="10"/>
      <c r="AH4981" s="10"/>
    </row>
    <row r="4982" spans="1:34" outlineLevel="2">
      <c r="A4982" s="191"/>
      <c r="B4982" s="12" t="str">
        <f>IFERROR(VLOOKUP(D4982,'[1]Перечень товаров'!$A$2:$I9525,2,0),"")</f>
        <v>д70</v>
      </c>
      <c r="C4982" s="12" t="str">
        <f>IFERROR(VLOOKUP(D4982,'[1]Перечень товаров'!$A$2:$I9525,3,0),"")</f>
        <v>Дидактика</v>
      </c>
      <c r="D4982" s="192" t="s">
        <v>816</v>
      </c>
      <c r="E4982" s="23"/>
      <c r="F4982" s="23"/>
      <c r="G4982" s="193">
        <v>100</v>
      </c>
      <c r="H4982" s="193"/>
      <c r="I4982" s="194"/>
      <c r="J4982" s="194"/>
      <c r="K4982" s="19"/>
      <c r="L4982" s="20"/>
      <c r="M4982" s="10"/>
      <c r="N4982" s="10"/>
      <c r="O4982" s="10"/>
      <c r="P4982" s="10"/>
      <c r="Q4982" s="10"/>
      <c r="R4982" s="10"/>
      <c r="S4982" s="10"/>
      <c r="T4982" s="10"/>
      <c r="U4982" s="10"/>
      <c r="V4982" s="10"/>
      <c r="W4982" s="10"/>
      <c r="X4982" s="10"/>
      <c r="Y4982" s="10"/>
      <c r="Z4982" s="10"/>
      <c r="AA4982" s="10"/>
      <c r="AB4982" s="10"/>
      <c r="AC4982" s="10"/>
      <c r="AD4982" s="10"/>
      <c r="AE4982" s="10"/>
      <c r="AF4982" s="10"/>
      <c r="AG4982" s="10"/>
      <c r="AH4982" s="10"/>
    </row>
    <row r="4983" spans="1:34" ht="31.5" outlineLevel="2">
      <c r="A4983" s="21"/>
      <c r="B4983" s="12" t="str">
        <f>IFERROR(VLOOKUP(D4983,'[1]Перечень товаров'!$A$2:$I9525,2,0),"")</f>
        <v/>
      </c>
      <c r="C4983" s="12" t="str">
        <f>IFERROR(VLOOKUP(D4983,'[1]Перечень товаров'!$A$2:$I9525,3,0),"")</f>
        <v/>
      </c>
      <c r="D4983" s="22" t="s">
        <v>1379</v>
      </c>
      <c r="E4983" s="23">
        <v>44</v>
      </c>
      <c r="F4983" s="23"/>
      <c r="G4983" s="24"/>
      <c r="H4983" s="24"/>
      <c r="I4983" s="25"/>
      <c r="J4983" s="25"/>
      <c r="K4983" s="19"/>
      <c r="L4983" s="20"/>
      <c r="M4983" s="10"/>
      <c r="N4983" s="10"/>
      <c r="O4983" s="10"/>
      <c r="P4983" s="10"/>
      <c r="Q4983" s="10"/>
      <c r="R4983" s="10"/>
      <c r="S4983" s="10"/>
      <c r="T4983" s="10"/>
      <c r="U4983" s="10"/>
      <c r="V4983" s="10"/>
      <c r="W4983" s="10"/>
      <c r="X4983" s="10"/>
      <c r="Y4983" s="10"/>
      <c r="Z4983" s="10"/>
      <c r="AA4983" s="10"/>
      <c r="AB4983" s="10"/>
      <c r="AC4983" s="10"/>
      <c r="AD4983" s="10"/>
      <c r="AE4983" s="10"/>
      <c r="AF4983" s="10"/>
      <c r="AG4983" s="10"/>
      <c r="AH4983" s="10"/>
    </row>
    <row r="4984" spans="1:34" ht="12.75" outlineLevel="1">
      <c r="A4984" s="11"/>
      <c r="B4984" s="12" t="str">
        <f>IFERROR(VLOOKUP(D4984,'[1]Перечень товаров'!$A$2:$I9525,2,0),"")</f>
        <v/>
      </c>
      <c r="C4984" s="12" t="str">
        <f>IFERROR(VLOOKUP(D4984,'[1]Перечень товаров'!$A$2:$I9525,3,0),"")</f>
        <v/>
      </c>
      <c r="D4984" s="27" t="s">
        <v>1380</v>
      </c>
      <c r="E4984" s="14">
        <v>61.7</v>
      </c>
      <c r="F4984" s="14"/>
      <c r="G4984" s="17"/>
      <c r="H4984" s="17"/>
      <c r="I4984" s="57"/>
      <c r="J4984" s="57"/>
      <c r="K4984" s="19"/>
      <c r="L4984" s="20"/>
      <c r="M4984" s="10"/>
      <c r="N4984" s="10"/>
      <c r="O4984" s="10"/>
      <c r="P4984" s="10"/>
      <c r="Q4984" s="10"/>
      <c r="R4984" s="10"/>
      <c r="S4984" s="10"/>
      <c r="T4984" s="10"/>
      <c r="U4984" s="10"/>
      <c r="V4984" s="10"/>
      <c r="W4984" s="10"/>
      <c r="X4984" s="10"/>
      <c r="Y4984" s="10"/>
      <c r="Z4984" s="10"/>
      <c r="AA4984" s="10"/>
      <c r="AB4984" s="10"/>
      <c r="AC4984" s="10"/>
      <c r="AD4984" s="10"/>
      <c r="AE4984" s="10"/>
      <c r="AF4984" s="10"/>
      <c r="AG4984" s="10"/>
      <c r="AH4984" s="10"/>
    </row>
    <row r="4985" spans="1:34" ht="12.75" outlineLevel="2">
      <c r="A4985" s="197"/>
      <c r="B4985" s="12" t="str">
        <f>IFERROR(VLOOKUP(D4985,'[1]Перечень товаров'!$A$2:$I9525,2,0),"")</f>
        <v/>
      </c>
      <c r="C4985" s="12" t="str">
        <f>IFERROR(VLOOKUP(D4985,'[1]Перечень товаров'!$A$2:$I9525,3,0),"")</f>
        <v/>
      </c>
      <c r="D4985" s="198" t="s">
        <v>668</v>
      </c>
      <c r="E4985" s="15"/>
      <c r="F4985" s="15"/>
      <c r="G4985" s="17"/>
      <c r="H4985" s="17"/>
      <c r="I4985" s="57"/>
      <c r="J4985" s="57"/>
      <c r="K4985" s="19"/>
      <c r="L4985" s="20"/>
      <c r="M4985" s="10"/>
      <c r="N4985" s="10"/>
      <c r="O4985" s="10"/>
      <c r="P4985" s="10"/>
      <c r="Q4985" s="10"/>
      <c r="R4985" s="10"/>
      <c r="S4985" s="10"/>
      <c r="T4985" s="10"/>
      <c r="U4985" s="10"/>
      <c r="V4985" s="10"/>
      <c r="W4985" s="10"/>
      <c r="X4985" s="10"/>
      <c r="Y4985" s="10"/>
      <c r="Z4985" s="10"/>
      <c r="AA4985" s="10"/>
      <c r="AB4985" s="10"/>
      <c r="AC4985" s="10"/>
      <c r="AD4985" s="10"/>
      <c r="AE4985" s="10"/>
      <c r="AF4985" s="10"/>
      <c r="AG4985" s="10"/>
      <c r="AH4985" s="10"/>
    </row>
    <row r="4986" spans="1:34" outlineLevel="2">
      <c r="A4986" s="34"/>
      <c r="B4986" s="12" t="str">
        <f>IFERROR(VLOOKUP(D4986,'[1]Перечень товаров'!$A$2:$I9525,2,0),"")</f>
        <v>т129</v>
      </c>
      <c r="C4986" s="12" t="str">
        <f>IFERROR(VLOOKUP(D4986,'[1]Перечень товаров'!$A$2:$I9525,3,0),"")</f>
        <v>Техника</v>
      </c>
      <c r="D4986" s="35" t="s">
        <v>1204</v>
      </c>
      <c r="E4986" s="23"/>
      <c r="F4986" s="23"/>
      <c r="G4986" s="59">
        <v>1</v>
      </c>
      <c r="H4986" s="59"/>
      <c r="I4986" s="60"/>
      <c r="J4986" s="60"/>
      <c r="K4986" s="19"/>
      <c r="L4986" s="20"/>
      <c r="M4986" s="10"/>
      <c r="N4986" s="10"/>
      <c r="O4986" s="10"/>
      <c r="P4986" s="10"/>
      <c r="Q4986" s="10"/>
      <c r="R4986" s="10"/>
      <c r="S4986" s="10"/>
      <c r="T4986" s="10"/>
      <c r="U4986" s="10"/>
      <c r="V4986" s="10"/>
      <c r="W4986" s="10"/>
      <c r="X4986" s="10"/>
      <c r="Y4986" s="10"/>
      <c r="Z4986" s="10"/>
      <c r="AA4986" s="10"/>
      <c r="AB4986" s="10"/>
      <c r="AC4986" s="10"/>
      <c r="AD4986" s="10"/>
      <c r="AE4986" s="10"/>
      <c r="AF4986" s="10"/>
      <c r="AG4986" s="10"/>
      <c r="AH4986" s="10"/>
    </row>
    <row r="4987" spans="1:34" outlineLevel="2">
      <c r="A4987" s="34"/>
      <c r="B4987" s="12" t="str">
        <f>IFERROR(VLOOKUP(D4987,'[1]Перечень товаров'!$A$2:$I9525,2,0),"")</f>
        <v>т1</v>
      </c>
      <c r="C4987" s="12" t="str">
        <f>IFERROR(VLOOKUP(D4987,'[1]Перечень товаров'!$A$2:$I9525,3,0),"")</f>
        <v xml:space="preserve">Техника </v>
      </c>
      <c r="D4987" s="22" t="s">
        <v>28</v>
      </c>
      <c r="E4987" s="23"/>
      <c r="F4987" s="23"/>
      <c r="G4987" s="59">
        <v>1</v>
      </c>
      <c r="H4987" s="59"/>
      <c r="I4987" s="60"/>
      <c r="J4987" s="60"/>
      <c r="K4987" s="19"/>
      <c r="L4987" s="20"/>
      <c r="M4987" s="10"/>
      <c r="N4987" s="10"/>
      <c r="O4987" s="10"/>
      <c r="P4987" s="10"/>
      <c r="Q4987" s="10"/>
      <c r="R4987" s="10"/>
      <c r="S4987" s="10"/>
      <c r="T4987" s="10"/>
      <c r="U4987" s="10"/>
      <c r="V4987" s="10"/>
      <c r="W4987" s="10"/>
      <c r="X4987" s="10"/>
      <c r="Y4987" s="10"/>
      <c r="Z4987" s="10"/>
      <c r="AA4987" s="10"/>
      <c r="AB4987" s="10"/>
      <c r="AC4987" s="10"/>
      <c r="AD4987" s="10"/>
      <c r="AE4987" s="10"/>
      <c r="AF4987" s="10"/>
      <c r="AG4987" s="10"/>
      <c r="AH4987" s="10"/>
    </row>
    <row r="4988" spans="1:34" outlineLevel="2">
      <c r="A4988" s="34"/>
      <c r="B4988" s="12" t="str">
        <f>IFERROR(VLOOKUP(D4988,'[1]Перечень товаров'!$A$2:$I9525,2,0),"")</f>
        <v>т235</v>
      </c>
      <c r="C4988" s="12" t="str">
        <f>IFERROR(VLOOKUP(D4988,'[1]Перечень товаров'!$A$2:$I9525,3,0),"")</f>
        <v>Техника</v>
      </c>
      <c r="D4988" s="35" t="s">
        <v>742</v>
      </c>
      <c r="E4988" s="23"/>
      <c r="F4988" s="23"/>
      <c r="G4988" s="59">
        <v>1</v>
      </c>
      <c r="H4988" s="59"/>
      <c r="I4988" s="60"/>
      <c r="J4988" s="60"/>
      <c r="K4988" s="19"/>
      <c r="L4988" s="20"/>
      <c r="M4988" s="10"/>
      <c r="N4988" s="10"/>
      <c r="O4988" s="10"/>
      <c r="P4988" s="10"/>
      <c r="Q4988" s="10"/>
      <c r="R4988" s="10"/>
      <c r="S4988" s="10"/>
      <c r="T4988" s="10"/>
      <c r="U4988" s="10"/>
      <c r="V4988" s="10"/>
      <c r="W4988" s="10"/>
      <c r="X4988" s="10"/>
      <c r="Y4988" s="10"/>
      <c r="Z4988" s="10"/>
      <c r="AA4988" s="10"/>
      <c r="AB4988" s="10"/>
      <c r="AC4988" s="10"/>
      <c r="AD4988" s="10"/>
      <c r="AE4988" s="10"/>
      <c r="AF4988" s="10"/>
      <c r="AG4988" s="10"/>
      <c r="AH4988" s="10"/>
    </row>
    <row r="4989" spans="1:34" outlineLevel="2">
      <c r="A4989" s="34"/>
      <c r="B4989" s="12" t="str">
        <f>IFERROR(VLOOKUP(D4989,'[1]Перечень товаров'!$A$2:$I9525,2,0),"")</f>
        <v>т8</v>
      </c>
      <c r="C4989" s="12" t="str">
        <f>IFERROR(VLOOKUP(D4989,'[1]Перечень товаров'!$A$2:$I9525,3,0),"")</f>
        <v xml:space="preserve">Техника </v>
      </c>
      <c r="D4989" s="35" t="s">
        <v>35</v>
      </c>
      <c r="E4989" s="23"/>
      <c r="F4989" s="23"/>
      <c r="G4989" s="59">
        <v>1</v>
      </c>
      <c r="H4989" s="59"/>
      <c r="I4989" s="60"/>
      <c r="J4989" s="60"/>
      <c r="K4989" s="19"/>
      <c r="L4989" s="20"/>
      <c r="M4989" s="10"/>
      <c r="N4989" s="10"/>
      <c r="O4989" s="10"/>
      <c r="P4989" s="10"/>
      <c r="Q4989" s="10"/>
      <c r="R4989" s="10"/>
      <c r="S4989" s="10"/>
      <c r="T4989" s="10"/>
      <c r="U4989" s="10"/>
      <c r="V4989" s="10"/>
      <c r="W4989" s="10"/>
      <c r="X4989" s="10"/>
      <c r="Y4989" s="10"/>
      <c r="Z4989" s="10"/>
      <c r="AA4989" s="10"/>
      <c r="AB4989" s="10"/>
      <c r="AC4989" s="10"/>
      <c r="AD4989" s="10"/>
      <c r="AE4989" s="10"/>
      <c r="AF4989" s="10"/>
      <c r="AG4989" s="10"/>
      <c r="AH4989" s="10"/>
    </row>
    <row r="4990" spans="1:34" outlineLevel="2">
      <c r="A4990" s="34"/>
      <c r="B4990" s="12" t="str">
        <f>IFERROR(VLOOKUP(D4990,'[1]Перечень товаров'!$A$2:$I9525,2,0),"")</f>
        <v>т4</v>
      </c>
      <c r="C4990" s="12" t="str">
        <f>IFERROR(VLOOKUP(D4990,'[1]Перечень товаров'!$A$2:$I9525,3,0),"")</f>
        <v xml:space="preserve">Техника </v>
      </c>
      <c r="D4990" s="35" t="s">
        <v>31</v>
      </c>
      <c r="E4990" s="23"/>
      <c r="F4990" s="23"/>
      <c r="G4990" s="59">
        <v>0</v>
      </c>
      <c r="H4990" s="59"/>
      <c r="I4990" s="60"/>
      <c r="J4990" s="60"/>
      <c r="K4990" s="19"/>
      <c r="L4990" s="20"/>
      <c r="M4990" s="10"/>
      <c r="N4990" s="10"/>
      <c r="O4990" s="10"/>
      <c r="P4990" s="10"/>
      <c r="Q4990" s="10"/>
      <c r="R4990" s="10"/>
      <c r="S4990" s="10"/>
      <c r="T4990" s="10"/>
      <c r="U4990" s="10"/>
      <c r="V4990" s="10"/>
      <c r="W4990" s="10"/>
      <c r="X4990" s="10"/>
      <c r="Y4990" s="10"/>
      <c r="Z4990" s="10"/>
      <c r="AA4990" s="10"/>
      <c r="AB4990" s="10"/>
      <c r="AC4990" s="10"/>
      <c r="AD4990" s="10"/>
      <c r="AE4990" s="10"/>
      <c r="AF4990" s="10"/>
      <c r="AG4990" s="10"/>
      <c r="AH4990" s="10"/>
    </row>
    <row r="4991" spans="1:34" outlineLevel="2">
      <c r="A4991" s="34"/>
      <c r="B4991" s="12" t="str">
        <f>IFERROR(VLOOKUP(D4991,'[1]Перечень товаров'!$A$2:$I9525,2,0),"")</f>
        <v>т236</v>
      </c>
      <c r="C4991" s="12" t="str">
        <f>IFERROR(VLOOKUP(D4991,'[1]Перечень товаров'!$A$2:$I9525,3,0),"")</f>
        <v>Техника</v>
      </c>
      <c r="D4991" s="35" t="s">
        <v>743</v>
      </c>
      <c r="E4991" s="23"/>
      <c r="F4991" s="23"/>
      <c r="G4991" s="59">
        <v>1</v>
      </c>
      <c r="H4991" s="59"/>
      <c r="I4991" s="60"/>
      <c r="J4991" s="60"/>
      <c r="K4991" s="19"/>
      <c r="L4991" s="20"/>
      <c r="M4991" s="10"/>
      <c r="N4991" s="10"/>
      <c r="O4991" s="10"/>
      <c r="P4991" s="10"/>
      <c r="Q4991" s="10"/>
      <c r="R4991" s="10"/>
      <c r="S4991" s="10"/>
      <c r="T4991" s="10"/>
      <c r="U4991" s="10"/>
      <c r="V4991" s="10"/>
      <c r="W4991" s="10"/>
      <c r="X4991" s="10"/>
      <c r="Y4991" s="10"/>
      <c r="Z4991" s="10"/>
      <c r="AA4991" s="10"/>
      <c r="AB4991" s="10"/>
      <c r="AC4991" s="10"/>
      <c r="AD4991" s="10"/>
      <c r="AE4991" s="10"/>
      <c r="AF4991" s="10"/>
      <c r="AG4991" s="10"/>
      <c r="AH4991" s="10"/>
    </row>
    <row r="4992" spans="1:34" outlineLevel="2">
      <c r="A4992" s="34"/>
      <c r="B4992" s="12" t="str">
        <f>IFERROR(VLOOKUP(D4992,'[1]Перечень товаров'!$A$2:$I9525,2,0),"")</f>
        <v>т237</v>
      </c>
      <c r="C4992" s="12" t="str">
        <f>IFERROR(VLOOKUP(D4992,'[1]Перечень товаров'!$A$2:$I9525,3,0),"")</f>
        <v>Техника</v>
      </c>
      <c r="D4992" s="35" t="s">
        <v>744</v>
      </c>
      <c r="E4992" s="23"/>
      <c r="F4992" s="23"/>
      <c r="G4992" s="59">
        <v>2</v>
      </c>
      <c r="H4992" s="59"/>
      <c r="I4992" s="60"/>
      <c r="J4992" s="60"/>
      <c r="K4992" s="19"/>
      <c r="L4992" s="20"/>
      <c r="M4992" s="10"/>
      <c r="N4992" s="10"/>
      <c r="O4992" s="10"/>
      <c r="P4992" s="10"/>
      <c r="Q4992" s="10"/>
      <c r="R4992" s="10"/>
      <c r="S4992" s="10"/>
      <c r="T4992" s="10"/>
      <c r="U4992" s="10"/>
      <c r="V4992" s="10"/>
      <c r="W4992" s="10"/>
      <c r="X4992" s="10"/>
      <c r="Y4992" s="10"/>
      <c r="Z4992" s="10"/>
      <c r="AA4992" s="10"/>
      <c r="AB4992" s="10"/>
      <c r="AC4992" s="10"/>
      <c r="AD4992" s="10"/>
      <c r="AE4992" s="10"/>
      <c r="AF4992" s="10"/>
      <c r="AG4992" s="10"/>
      <c r="AH4992" s="10"/>
    </row>
    <row r="4993" spans="1:34" ht="12.75" outlineLevel="2">
      <c r="A4993" s="197"/>
      <c r="B4993" s="12" t="str">
        <f>IFERROR(VLOOKUP(D4993,'[1]Перечень товаров'!$A$2:$I9525,2,0),"")</f>
        <v/>
      </c>
      <c r="C4993" s="12" t="str">
        <f>IFERROR(VLOOKUP(D4993,'[1]Перечень товаров'!$A$2:$I9525,3,0),"")</f>
        <v/>
      </c>
      <c r="D4993" s="198" t="s">
        <v>19</v>
      </c>
      <c r="E4993" s="15"/>
      <c r="F4993" s="15"/>
      <c r="G4993" s="234"/>
      <c r="H4993" s="234"/>
      <c r="I4993" s="235"/>
      <c r="J4993" s="235"/>
      <c r="K4993" s="19"/>
      <c r="L4993" s="20"/>
      <c r="M4993" s="10"/>
      <c r="N4993" s="10"/>
      <c r="O4993" s="10"/>
      <c r="P4993" s="10"/>
      <c r="Q4993" s="10"/>
      <c r="R4993" s="10"/>
      <c r="S4993" s="10"/>
      <c r="T4993" s="10"/>
      <c r="U4993" s="10"/>
      <c r="V4993" s="10"/>
      <c r="W4993" s="10"/>
      <c r="X4993" s="10"/>
      <c r="Y4993" s="10"/>
      <c r="Z4993" s="10"/>
      <c r="AA4993" s="10"/>
      <c r="AB4993" s="10"/>
      <c r="AC4993" s="10"/>
      <c r="AD4993" s="10"/>
      <c r="AE4993" s="10"/>
      <c r="AF4993" s="10"/>
      <c r="AG4993" s="10"/>
      <c r="AH4993" s="10"/>
    </row>
    <row r="4994" spans="1:34" outlineLevel="2">
      <c r="A4994" s="34"/>
      <c r="B4994" s="12" t="str">
        <f>IFERROR(VLOOKUP(D4994,'[1]Перечень товаров'!$A$2:$I9525,2,0),"")</f>
        <v>м62</v>
      </c>
      <c r="C4994" s="12" t="str">
        <f>IFERROR(VLOOKUP(D4994,'[1]Перечень товаров'!$A$2:$I9525,3,0),"")</f>
        <v>Мебель</v>
      </c>
      <c r="D4994" s="35" t="s">
        <v>398</v>
      </c>
      <c r="E4994" s="23"/>
      <c r="F4994" s="23"/>
      <c r="G4994" s="59">
        <v>1</v>
      </c>
      <c r="H4994" s="59"/>
      <c r="I4994" s="60"/>
      <c r="J4994" s="60"/>
      <c r="K4994" s="19"/>
      <c r="L4994" s="20"/>
      <c r="M4994" s="10"/>
      <c r="N4994" s="10"/>
      <c r="O4994" s="10"/>
      <c r="P4994" s="10"/>
      <c r="Q4994" s="10"/>
      <c r="R4994" s="10"/>
      <c r="S4994" s="10"/>
      <c r="T4994" s="10"/>
      <c r="U4994" s="10"/>
      <c r="V4994" s="10"/>
      <c r="W4994" s="10"/>
      <c r="X4994" s="10"/>
      <c r="Y4994" s="10"/>
      <c r="Z4994" s="10"/>
      <c r="AA4994" s="10"/>
      <c r="AB4994" s="10"/>
      <c r="AC4994" s="10"/>
      <c r="AD4994" s="10"/>
      <c r="AE4994" s="10"/>
      <c r="AF4994" s="10"/>
      <c r="AG4994" s="10"/>
      <c r="AH4994" s="10"/>
    </row>
    <row r="4995" spans="1:34" outlineLevel="2">
      <c r="A4995" s="34"/>
      <c r="B4995" s="12" t="str">
        <f>IFERROR(VLOOKUP(D4995,'[1]Перечень товаров'!$A$2:$I9525,2,0),"")</f>
        <v>м61</v>
      </c>
      <c r="C4995" s="12" t="str">
        <f>IFERROR(VLOOKUP(D4995,'[1]Перечень товаров'!$A$2:$I9525,3,0),"")</f>
        <v>Мебель</v>
      </c>
      <c r="D4995" s="35" t="s">
        <v>383</v>
      </c>
      <c r="E4995" s="23"/>
      <c r="F4995" s="23"/>
      <c r="G4995" s="59">
        <v>1</v>
      </c>
      <c r="H4995" s="59"/>
      <c r="I4995" s="60"/>
      <c r="J4995" s="60"/>
      <c r="K4995" s="19"/>
      <c r="L4995" s="20"/>
      <c r="M4995" s="10"/>
      <c r="N4995" s="10"/>
      <c r="O4995" s="10"/>
      <c r="P4995" s="10"/>
      <c r="Q4995" s="10"/>
      <c r="R4995" s="10"/>
      <c r="S4995" s="10"/>
      <c r="T4995" s="10"/>
      <c r="U4995" s="10"/>
      <c r="V4995" s="10"/>
      <c r="W4995" s="10"/>
      <c r="X4995" s="10"/>
      <c r="Y4995" s="10"/>
      <c r="Z4995" s="10"/>
      <c r="AA4995" s="10"/>
      <c r="AB4995" s="10"/>
      <c r="AC4995" s="10"/>
      <c r="AD4995" s="10"/>
      <c r="AE4995" s="10"/>
      <c r="AF4995" s="10"/>
      <c r="AG4995" s="10"/>
      <c r="AH4995" s="10"/>
    </row>
    <row r="4996" spans="1:34" outlineLevel="2">
      <c r="A4996" s="34"/>
      <c r="B4996" s="12" t="str">
        <f>IFERROR(VLOOKUP(D4996,'[1]Перечень товаров'!$A$2:$I9525,2,0),"")</f>
        <v>м147</v>
      </c>
      <c r="C4996" s="12" t="str">
        <f>IFERROR(VLOOKUP(D4996,'[1]Перечень товаров'!$A$2:$I9525,3,0),"")</f>
        <v>мебель</v>
      </c>
      <c r="D4996" s="35" t="s">
        <v>1294</v>
      </c>
      <c r="E4996" s="23"/>
      <c r="F4996" s="23"/>
      <c r="G4996" s="59">
        <v>13</v>
      </c>
      <c r="H4996" s="59"/>
      <c r="I4996" s="60"/>
      <c r="J4996" s="60"/>
      <c r="K4996" s="19"/>
      <c r="L4996" s="20"/>
      <c r="M4996" s="10"/>
      <c r="N4996" s="10"/>
      <c r="O4996" s="10"/>
      <c r="P4996" s="10"/>
      <c r="Q4996" s="10"/>
      <c r="R4996" s="10"/>
      <c r="S4996" s="10"/>
      <c r="T4996" s="10"/>
      <c r="U4996" s="10"/>
      <c r="V4996" s="10"/>
      <c r="W4996" s="10"/>
      <c r="X4996" s="10"/>
      <c r="Y4996" s="10"/>
      <c r="Z4996" s="10"/>
      <c r="AA4996" s="10"/>
      <c r="AB4996" s="10"/>
      <c r="AC4996" s="10"/>
      <c r="AD4996" s="10"/>
      <c r="AE4996" s="10"/>
      <c r="AF4996" s="10"/>
      <c r="AG4996" s="10"/>
      <c r="AH4996" s="10"/>
    </row>
    <row r="4997" spans="1:34" outlineLevel="2">
      <c r="A4997" s="34"/>
      <c r="B4997" s="12" t="str">
        <f>IFERROR(VLOOKUP(D4997,'[1]Перечень товаров'!$A$2:$I9525,2,0),"")</f>
        <v>м151</v>
      </c>
      <c r="C4997" s="12" t="str">
        <f>IFERROR(VLOOKUP(D4997,'[1]Перечень товаров'!$A$2:$I9525,3,0),"")</f>
        <v>мебель</v>
      </c>
      <c r="D4997" s="35" t="s">
        <v>1207</v>
      </c>
      <c r="E4997" s="23"/>
      <c r="F4997" s="23"/>
      <c r="G4997" s="59">
        <v>25</v>
      </c>
      <c r="H4997" s="59"/>
      <c r="I4997" s="60"/>
      <c r="J4997" s="60"/>
      <c r="K4997" s="19"/>
      <c r="L4997" s="20"/>
      <c r="M4997" s="10"/>
      <c r="N4997" s="10"/>
      <c r="O4997" s="10"/>
      <c r="P4997" s="10"/>
      <c r="Q4997" s="10"/>
      <c r="R4997" s="10"/>
      <c r="S4997" s="10"/>
      <c r="T4997" s="10"/>
      <c r="U4997" s="10"/>
      <c r="V4997" s="10"/>
      <c r="W4997" s="10"/>
      <c r="X4997" s="10"/>
      <c r="Y4997" s="10"/>
      <c r="Z4997" s="10"/>
      <c r="AA4997" s="10"/>
      <c r="AB4997" s="10"/>
      <c r="AC4997" s="10"/>
      <c r="AD4997" s="10"/>
      <c r="AE4997" s="10"/>
      <c r="AF4997" s="10"/>
      <c r="AG4997" s="10"/>
      <c r="AH4997" s="10"/>
    </row>
    <row r="4998" spans="1:34" outlineLevel="2">
      <c r="A4998" s="34"/>
      <c r="B4998" s="12" t="str">
        <f>IFERROR(VLOOKUP(D4998,'[1]Перечень товаров'!$A$2:$I9525,2,0),"")</f>
        <v>м216</v>
      </c>
      <c r="C4998" s="12" t="str">
        <f>IFERROR(VLOOKUP(D4998,'[1]Перечень товаров'!$A$2:$I9525,3,0),"")</f>
        <v>Мебель</v>
      </c>
      <c r="D4998" s="35" t="s">
        <v>854</v>
      </c>
      <c r="E4998" s="23"/>
      <c r="F4998" s="23"/>
      <c r="G4998" s="59">
        <v>1</v>
      </c>
      <c r="H4998" s="59"/>
      <c r="I4998" s="60"/>
      <c r="J4998" s="60"/>
      <c r="K4998" s="19"/>
      <c r="L4998" s="20"/>
      <c r="M4998" s="10"/>
      <c r="N4998" s="10"/>
      <c r="O4998" s="10"/>
      <c r="P4998" s="10"/>
      <c r="Q4998" s="10"/>
      <c r="R4998" s="10"/>
      <c r="S4998" s="10"/>
      <c r="T4998" s="10"/>
      <c r="U4998" s="10"/>
      <c r="V4998" s="10"/>
      <c r="W4998" s="10"/>
      <c r="X4998" s="10"/>
      <c r="Y4998" s="10"/>
      <c r="Z4998" s="10"/>
      <c r="AA4998" s="10"/>
      <c r="AB4998" s="10"/>
      <c r="AC4998" s="10"/>
      <c r="AD4998" s="10"/>
      <c r="AE4998" s="10"/>
      <c r="AF4998" s="10"/>
      <c r="AG4998" s="10"/>
      <c r="AH4998" s="10"/>
    </row>
    <row r="4999" spans="1:34" ht="31.5" outlineLevel="2">
      <c r="A4999" s="34"/>
      <c r="B4999" s="12" t="str">
        <f>IFERROR(VLOOKUP(D4999,'[1]Перечень товаров'!$A$2:$I9525,2,0),"")</f>
        <v>д524</v>
      </c>
      <c r="C4999" s="12" t="str">
        <f>IFERROR(VLOOKUP(D4999,'[1]Перечень товаров'!$A$2:$I9525,3,0),"")</f>
        <v>дидактика</v>
      </c>
      <c r="D4999" s="35" t="s">
        <v>1231</v>
      </c>
      <c r="E4999" s="23"/>
      <c r="F4999" s="23"/>
      <c r="G4999" s="59">
        <v>1</v>
      </c>
      <c r="H4999" s="59"/>
      <c r="I4999" s="60"/>
      <c r="J4999" s="60"/>
      <c r="K4999" s="19"/>
      <c r="L4999" s="20"/>
      <c r="M4999" s="10"/>
      <c r="N4999" s="10"/>
      <c r="O4999" s="10"/>
      <c r="P4999" s="10"/>
      <c r="Q4999" s="10"/>
      <c r="R4999" s="10"/>
      <c r="S4999" s="10"/>
      <c r="T4999" s="10"/>
      <c r="U4999" s="10"/>
      <c r="V4999" s="10"/>
      <c r="W4999" s="10"/>
      <c r="X4999" s="10"/>
      <c r="Y4999" s="10"/>
      <c r="Z4999" s="10"/>
      <c r="AA4999" s="10"/>
      <c r="AB4999" s="10"/>
      <c r="AC4999" s="10"/>
      <c r="AD4999" s="10"/>
      <c r="AE4999" s="10"/>
      <c r="AF4999" s="10"/>
      <c r="AG4999" s="10"/>
      <c r="AH4999" s="10"/>
    </row>
    <row r="5000" spans="1:34" outlineLevel="2">
      <c r="A5000" s="34"/>
      <c r="B5000" s="12" t="str">
        <f>IFERROR(VLOOKUP(D5000,'[1]Перечень товаров'!$A$2:$I9525,2,0),"")</f>
        <v>м150</v>
      </c>
      <c r="C5000" s="12" t="str">
        <f>IFERROR(VLOOKUP(D5000,'[1]Перечень товаров'!$A$2:$I9525,3,0),"")</f>
        <v>мебель</v>
      </c>
      <c r="D5000" s="35" t="s">
        <v>1232</v>
      </c>
      <c r="E5000" s="23"/>
      <c r="F5000" s="23"/>
      <c r="G5000" s="59">
        <v>1</v>
      </c>
      <c r="H5000" s="59"/>
      <c r="I5000" s="60"/>
      <c r="J5000" s="60"/>
      <c r="K5000" s="19"/>
      <c r="L5000" s="20"/>
      <c r="M5000" s="10"/>
      <c r="N5000" s="10"/>
      <c r="O5000" s="10"/>
      <c r="P5000" s="10"/>
      <c r="Q5000" s="10"/>
      <c r="R5000" s="10"/>
      <c r="S5000" s="10"/>
      <c r="T5000" s="10"/>
      <c r="U5000" s="10"/>
      <c r="V5000" s="10"/>
      <c r="W5000" s="10"/>
      <c r="X5000" s="10"/>
      <c r="Y5000" s="10"/>
      <c r="Z5000" s="10"/>
      <c r="AA5000" s="10"/>
      <c r="AB5000" s="10"/>
      <c r="AC5000" s="10"/>
      <c r="AD5000" s="10"/>
      <c r="AE5000" s="10"/>
      <c r="AF5000" s="10"/>
      <c r="AG5000" s="10"/>
      <c r="AH5000" s="10"/>
    </row>
    <row r="5001" spans="1:34" ht="12.75" outlineLevel="2">
      <c r="A5001" s="197"/>
      <c r="B5001" s="12" t="str">
        <f>IFERROR(VLOOKUP(D5001,'[1]Перечень товаров'!$A$2:$I9525,2,0),"")</f>
        <v/>
      </c>
      <c r="C5001" s="12" t="str">
        <f>IFERROR(VLOOKUP(D5001,'[1]Перечень товаров'!$A$2:$I9525,3,0),"")</f>
        <v/>
      </c>
      <c r="D5001" s="198" t="s">
        <v>1381</v>
      </c>
      <c r="E5001" s="15"/>
      <c r="F5001" s="15"/>
      <c r="G5001" s="234"/>
      <c r="H5001" s="234"/>
      <c r="I5001" s="235"/>
      <c r="J5001" s="235"/>
      <c r="K5001" s="19"/>
      <c r="L5001" s="20"/>
      <c r="M5001" s="10"/>
      <c r="N5001" s="10"/>
      <c r="O5001" s="10"/>
      <c r="P5001" s="10"/>
      <c r="Q5001" s="10"/>
      <c r="R5001" s="10"/>
      <c r="S5001" s="10"/>
      <c r="T5001" s="10"/>
      <c r="U5001" s="10"/>
      <c r="V5001" s="10"/>
      <c r="W5001" s="10"/>
      <c r="X5001" s="10"/>
      <c r="Y5001" s="10"/>
      <c r="Z5001" s="10"/>
      <c r="AA5001" s="10"/>
      <c r="AB5001" s="10"/>
      <c r="AC5001" s="10"/>
      <c r="AD5001" s="10"/>
      <c r="AE5001" s="10"/>
      <c r="AF5001" s="10"/>
      <c r="AG5001" s="10"/>
      <c r="AH5001" s="10"/>
    </row>
    <row r="5002" spans="1:34" ht="47.25" outlineLevel="2">
      <c r="A5002" s="21"/>
      <c r="B5002" s="12" t="str">
        <f>IFERROR(VLOOKUP(D5002,'[1]Перечень товаров'!$A$2:$I9525,2,0),"")</f>
        <v>д429</v>
      </c>
      <c r="C5002" s="12" t="str">
        <f>IFERROR(VLOOKUP(D5002,'[1]Перечень товаров'!$A$2:$I9525,3,0),"")</f>
        <v>дидактика</v>
      </c>
      <c r="D5002" s="22" t="s">
        <v>1382</v>
      </c>
      <c r="E5002" s="23"/>
      <c r="F5002" s="23"/>
      <c r="G5002" s="205">
        <v>1</v>
      </c>
      <c r="H5002" s="205"/>
      <c r="I5002" s="206"/>
      <c r="J5002" s="206"/>
      <c r="K5002" s="19"/>
      <c r="L5002" s="20"/>
      <c r="M5002" s="10"/>
      <c r="N5002" s="10"/>
      <c r="O5002" s="10"/>
      <c r="P5002" s="10"/>
      <c r="Q5002" s="10"/>
      <c r="R5002" s="10"/>
      <c r="S5002" s="10"/>
      <c r="T5002" s="10"/>
      <c r="U5002" s="10"/>
      <c r="V5002" s="10"/>
      <c r="W5002" s="10"/>
      <c r="X5002" s="10"/>
      <c r="Y5002" s="10"/>
      <c r="Z5002" s="10"/>
      <c r="AA5002" s="10"/>
      <c r="AB5002" s="10"/>
      <c r="AC5002" s="10"/>
      <c r="AD5002" s="10"/>
      <c r="AE5002" s="10"/>
      <c r="AF5002" s="10"/>
      <c r="AG5002" s="10"/>
      <c r="AH5002" s="10"/>
    </row>
    <row r="5003" spans="1:34" ht="63" outlineLevel="2">
      <c r="A5003" s="21"/>
      <c r="B5003" s="12" t="str">
        <f>IFERROR(VLOOKUP(D5003,'[1]Перечень товаров'!$A$2:$I9525,2,0),"")</f>
        <v>д428</v>
      </c>
      <c r="C5003" s="12" t="str">
        <f>IFERROR(VLOOKUP(D5003,'[1]Перечень товаров'!$A$2:$I9525,3,0),"")</f>
        <v>дидактика</v>
      </c>
      <c r="D5003" s="22" t="s">
        <v>1383</v>
      </c>
      <c r="E5003" s="23"/>
      <c r="F5003" s="23"/>
      <c r="G5003" s="205">
        <v>1</v>
      </c>
      <c r="H5003" s="205"/>
      <c r="I5003" s="206"/>
      <c r="J5003" s="206"/>
      <c r="K5003" s="19"/>
      <c r="L5003" s="20"/>
      <c r="M5003" s="10"/>
      <c r="N5003" s="10"/>
      <c r="O5003" s="10"/>
      <c r="P5003" s="10"/>
      <c r="Q5003" s="10"/>
      <c r="R5003" s="10"/>
      <c r="S5003" s="10"/>
      <c r="T5003" s="10"/>
      <c r="U5003" s="10"/>
      <c r="V5003" s="10"/>
      <c r="W5003" s="10"/>
      <c r="X5003" s="10"/>
      <c r="Y5003" s="10"/>
      <c r="Z5003" s="10"/>
      <c r="AA5003" s="10"/>
      <c r="AB5003" s="10"/>
      <c r="AC5003" s="10"/>
      <c r="AD5003" s="10"/>
      <c r="AE5003" s="10"/>
      <c r="AF5003" s="10"/>
      <c r="AG5003" s="10"/>
      <c r="AH5003" s="10"/>
    </row>
    <row r="5004" spans="1:34" ht="47.25" outlineLevel="2">
      <c r="A5004" s="21"/>
      <c r="B5004" s="12" t="str">
        <f>IFERROR(VLOOKUP(D5004,'[1]Перечень товаров'!$A$2:$I9525,2,0),"")</f>
        <v>д427</v>
      </c>
      <c r="C5004" s="12" t="str">
        <f>IFERROR(VLOOKUP(D5004,'[1]Перечень товаров'!$A$2:$I9525,3,0),"")</f>
        <v>дидактика</v>
      </c>
      <c r="D5004" s="22" t="s">
        <v>1384</v>
      </c>
      <c r="E5004" s="23"/>
      <c r="F5004" s="23"/>
      <c r="G5004" s="205">
        <v>1</v>
      </c>
      <c r="H5004" s="205"/>
      <c r="I5004" s="206"/>
      <c r="J5004" s="206"/>
      <c r="K5004" s="19"/>
      <c r="L5004" s="20"/>
      <c r="M5004" s="10"/>
      <c r="N5004" s="10"/>
      <c r="O5004" s="10"/>
      <c r="P5004" s="10"/>
      <c r="Q5004" s="10"/>
      <c r="R5004" s="10"/>
      <c r="S5004" s="10"/>
      <c r="T5004" s="10"/>
      <c r="U5004" s="10"/>
      <c r="V5004" s="10"/>
      <c r="W5004" s="10"/>
      <c r="X5004" s="10"/>
      <c r="Y5004" s="10"/>
      <c r="Z5004" s="10"/>
      <c r="AA5004" s="10"/>
      <c r="AB5004" s="10"/>
      <c r="AC5004" s="10"/>
      <c r="AD5004" s="10"/>
      <c r="AE5004" s="10"/>
      <c r="AF5004" s="10"/>
      <c r="AG5004" s="10"/>
      <c r="AH5004" s="10"/>
    </row>
    <row r="5005" spans="1:34" ht="63" outlineLevel="2">
      <c r="A5005" s="21"/>
      <c r="B5005" s="12" t="str">
        <f>IFERROR(VLOOKUP(D5005,'[1]Перечень товаров'!$A$2:$I9525,2,0),"")</f>
        <v>д426</v>
      </c>
      <c r="C5005" s="12" t="str">
        <f>IFERROR(VLOOKUP(D5005,'[1]Перечень товаров'!$A$2:$I9525,3,0),"")</f>
        <v>дидактика</v>
      </c>
      <c r="D5005" s="22" t="s">
        <v>1385</v>
      </c>
      <c r="E5005" s="23"/>
      <c r="F5005" s="23"/>
      <c r="G5005" s="205">
        <v>1</v>
      </c>
      <c r="H5005" s="205"/>
      <c r="I5005" s="206"/>
      <c r="J5005" s="206"/>
      <c r="K5005" s="19"/>
      <c r="L5005" s="20"/>
      <c r="M5005" s="10"/>
      <c r="N5005" s="10"/>
      <c r="O5005" s="10"/>
      <c r="P5005" s="10"/>
      <c r="Q5005" s="10"/>
      <c r="R5005" s="10"/>
      <c r="S5005" s="10"/>
      <c r="T5005" s="10"/>
      <c r="U5005" s="10"/>
      <c r="V5005" s="10"/>
      <c r="W5005" s="10"/>
      <c r="X5005" s="10"/>
      <c r="Y5005" s="10"/>
      <c r="Z5005" s="10"/>
      <c r="AA5005" s="10"/>
      <c r="AB5005" s="10"/>
      <c r="AC5005" s="10"/>
      <c r="AD5005" s="10"/>
      <c r="AE5005" s="10"/>
      <c r="AF5005" s="10"/>
      <c r="AG5005" s="10"/>
      <c r="AH5005" s="10"/>
    </row>
    <row r="5006" spans="1:34" ht="47.25" outlineLevel="2">
      <c r="A5006" s="21"/>
      <c r="B5006" s="12" t="str">
        <f>IFERROR(VLOOKUP(D5006,'[1]Перечень товаров'!$A$2:$I9525,2,0),"")</f>
        <v>д425</v>
      </c>
      <c r="C5006" s="12" t="str">
        <f>IFERROR(VLOOKUP(D5006,'[1]Перечень товаров'!$A$2:$I9525,3,0),"")</f>
        <v>дидактика</v>
      </c>
      <c r="D5006" s="22" t="s">
        <v>1386</v>
      </c>
      <c r="E5006" s="23"/>
      <c r="F5006" s="23"/>
      <c r="G5006" s="205">
        <v>1</v>
      </c>
      <c r="H5006" s="205"/>
      <c r="I5006" s="206"/>
      <c r="J5006" s="206"/>
      <c r="K5006" s="19"/>
      <c r="L5006" s="20"/>
      <c r="M5006" s="10"/>
      <c r="N5006" s="10"/>
      <c r="O5006" s="10"/>
      <c r="P5006" s="10"/>
      <c r="Q5006" s="10"/>
      <c r="R5006" s="10"/>
      <c r="S5006" s="10"/>
      <c r="T5006" s="10"/>
      <c r="U5006" s="10"/>
      <c r="V5006" s="10"/>
      <c r="W5006" s="10"/>
      <c r="X5006" s="10"/>
      <c r="Y5006" s="10"/>
      <c r="Z5006" s="10"/>
      <c r="AA5006" s="10"/>
      <c r="AB5006" s="10"/>
      <c r="AC5006" s="10"/>
      <c r="AD5006" s="10"/>
      <c r="AE5006" s="10"/>
      <c r="AF5006" s="10"/>
      <c r="AG5006" s="10"/>
      <c r="AH5006" s="10"/>
    </row>
    <row r="5007" spans="1:34" ht="31.5" outlineLevel="2">
      <c r="A5007" s="21"/>
      <c r="B5007" s="12" t="str">
        <f>IFERROR(VLOOKUP(D5007,'[1]Перечень товаров'!$A$2:$I9525,2,0),"")</f>
        <v>д424</v>
      </c>
      <c r="C5007" s="12" t="str">
        <f>IFERROR(VLOOKUP(D5007,'[1]Перечень товаров'!$A$2:$I9525,3,0),"")</f>
        <v>дидактика</v>
      </c>
      <c r="D5007" s="22" t="s">
        <v>1387</v>
      </c>
      <c r="E5007" s="23"/>
      <c r="F5007" s="23"/>
      <c r="G5007" s="205">
        <v>1</v>
      </c>
      <c r="H5007" s="205"/>
      <c r="I5007" s="206"/>
      <c r="J5007" s="206"/>
      <c r="K5007" s="19"/>
      <c r="L5007" s="20"/>
      <c r="M5007" s="10"/>
      <c r="N5007" s="10"/>
      <c r="O5007" s="10"/>
      <c r="P5007" s="10"/>
      <c r="Q5007" s="10"/>
      <c r="R5007" s="10"/>
      <c r="S5007" s="10"/>
      <c r="T5007" s="10"/>
      <c r="U5007" s="10"/>
      <c r="V5007" s="10"/>
      <c r="W5007" s="10"/>
      <c r="X5007" s="10"/>
      <c r="Y5007" s="10"/>
      <c r="Z5007" s="10"/>
      <c r="AA5007" s="10"/>
      <c r="AB5007" s="10"/>
      <c r="AC5007" s="10"/>
      <c r="AD5007" s="10"/>
      <c r="AE5007" s="10"/>
      <c r="AF5007" s="10"/>
      <c r="AG5007" s="10"/>
      <c r="AH5007" s="10"/>
    </row>
    <row r="5008" spans="1:34" ht="63" outlineLevel="2">
      <c r="A5008" s="21"/>
      <c r="B5008" s="12" t="str">
        <f>IFERROR(VLOOKUP(D5008,'[1]Перечень товаров'!$A$2:$I9525,2,0),"")</f>
        <v>д423</v>
      </c>
      <c r="C5008" s="12" t="str">
        <f>IFERROR(VLOOKUP(D5008,'[1]Перечень товаров'!$A$2:$I9525,3,0),"")</f>
        <v>дидактика</v>
      </c>
      <c r="D5008" s="22" t="s">
        <v>1388</v>
      </c>
      <c r="E5008" s="23"/>
      <c r="F5008" s="23"/>
      <c r="G5008" s="205">
        <v>1</v>
      </c>
      <c r="H5008" s="205"/>
      <c r="I5008" s="206"/>
      <c r="J5008" s="206"/>
      <c r="K5008" s="19"/>
      <c r="L5008" s="20"/>
      <c r="M5008" s="10"/>
      <c r="N5008" s="10"/>
      <c r="O5008" s="10"/>
      <c r="P5008" s="10"/>
      <c r="Q5008" s="10"/>
      <c r="R5008" s="10"/>
      <c r="S5008" s="10"/>
      <c r="T5008" s="10"/>
      <c r="U5008" s="10"/>
      <c r="V5008" s="10"/>
      <c r="W5008" s="10"/>
      <c r="X5008" s="10"/>
      <c r="Y5008" s="10"/>
      <c r="Z5008" s="10"/>
      <c r="AA5008" s="10"/>
      <c r="AB5008" s="10"/>
      <c r="AC5008" s="10"/>
      <c r="AD5008" s="10"/>
      <c r="AE5008" s="10"/>
      <c r="AF5008" s="10"/>
      <c r="AG5008" s="10"/>
      <c r="AH5008" s="10"/>
    </row>
    <row r="5009" spans="1:34" ht="47.25" outlineLevel="2">
      <c r="A5009" s="21"/>
      <c r="B5009" s="12" t="str">
        <f>IFERROR(VLOOKUP(D5009,'[1]Перечень товаров'!$A$2:$I9525,2,0),"")</f>
        <v>д422</v>
      </c>
      <c r="C5009" s="12" t="str">
        <f>IFERROR(VLOOKUP(D5009,'[1]Перечень товаров'!$A$2:$I9525,3,0),"")</f>
        <v>дидактика</v>
      </c>
      <c r="D5009" s="22" t="s">
        <v>1389</v>
      </c>
      <c r="E5009" s="23"/>
      <c r="F5009" s="23"/>
      <c r="G5009" s="205">
        <v>1</v>
      </c>
      <c r="H5009" s="205"/>
      <c r="I5009" s="206"/>
      <c r="J5009" s="206"/>
      <c r="K5009" s="19"/>
      <c r="L5009" s="20"/>
      <c r="M5009" s="10"/>
      <c r="N5009" s="10"/>
      <c r="O5009" s="10"/>
      <c r="P5009" s="10"/>
      <c r="Q5009" s="10"/>
      <c r="R5009" s="10"/>
      <c r="S5009" s="10"/>
      <c r="T5009" s="10"/>
      <c r="U5009" s="10"/>
      <c r="V5009" s="10"/>
      <c r="W5009" s="10"/>
      <c r="X5009" s="10"/>
      <c r="Y5009" s="10"/>
      <c r="Z5009" s="10"/>
      <c r="AA5009" s="10"/>
      <c r="AB5009" s="10"/>
      <c r="AC5009" s="10"/>
      <c r="AD5009" s="10"/>
      <c r="AE5009" s="10"/>
      <c r="AF5009" s="10"/>
      <c r="AG5009" s="10"/>
      <c r="AH5009" s="10"/>
    </row>
    <row r="5010" spans="1:34" ht="31.5" outlineLevel="2">
      <c r="A5010" s="21"/>
      <c r="B5010" s="12" t="str">
        <f>IFERROR(VLOOKUP(D5010,'[1]Перечень товаров'!$A$2:$I9525,2,0),"")</f>
        <v>д421</v>
      </c>
      <c r="C5010" s="12" t="str">
        <f>IFERROR(VLOOKUP(D5010,'[1]Перечень товаров'!$A$2:$I9525,3,0),"")</f>
        <v>дидактика</v>
      </c>
      <c r="D5010" s="22" t="s">
        <v>1390</v>
      </c>
      <c r="E5010" s="23"/>
      <c r="F5010" s="23"/>
      <c r="G5010" s="205">
        <v>1</v>
      </c>
      <c r="H5010" s="205"/>
      <c r="I5010" s="206"/>
      <c r="J5010" s="206"/>
      <c r="K5010" s="19"/>
      <c r="L5010" s="20"/>
      <c r="M5010" s="10"/>
      <c r="N5010" s="10"/>
      <c r="O5010" s="10"/>
      <c r="P5010" s="10"/>
      <c r="Q5010" s="10"/>
      <c r="R5010" s="10"/>
      <c r="S5010" s="10"/>
      <c r="T5010" s="10"/>
      <c r="U5010" s="10"/>
      <c r="V5010" s="10"/>
      <c r="W5010" s="10"/>
      <c r="X5010" s="10"/>
      <c r="Y5010" s="10"/>
      <c r="Z5010" s="10"/>
      <c r="AA5010" s="10"/>
      <c r="AB5010" s="10"/>
      <c r="AC5010" s="10"/>
      <c r="AD5010" s="10"/>
      <c r="AE5010" s="10"/>
      <c r="AF5010" s="10"/>
      <c r="AG5010" s="10"/>
      <c r="AH5010" s="10"/>
    </row>
    <row r="5011" spans="1:34" ht="31.5" outlineLevel="2">
      <c r="A5011" s="21"/>
      <c r="B5011" s="12" t="str">
        <f>IFERROR(VLOOKUP(D5011,'[1]Перечень товаров'!$A$2:$I9525,2,0),"")</f>
        <v>д420</v>
      </c>
      <c r="C5011" s="12" t="str">
        <f>IFERROR(VLOOKUP(D5011,'[1]Перечень товаров'!$A$2:$I9525,3,0),"")</f>
        <v>дидактика</v>
      </c>
      <c r="D5011" s="22" t="s">
        <v>1391</v>
      </c>
      <c r="E5011" s="23"/>
      <c r="F5011" s="23"/>
      <c r="G5011" s="205">
        <v>1</v>
      </c>
      <c r="H5011" s="205"/>
      <c r="I5011" s="206"/>
      <c r="J5011" s="206"/>
      <c r="K5011" s="19"/>
      <c r="L5011" s="20"/>
      <c r="M5011" s="10"/>
      <c r="N5011" s="10"/>
      <c r="O5011" s="10"/>
      <c r="P5011" s="10"/>
      <c r="Q5011" s="10"/>
      <c r="R5011" s="10"/>
      <c r="S5011" s="10"/>
      <c r="T5011" s="10"/>
      <c r="U5011" s="10"/>
      <c r="V5011" s="10"/>
      <c r="W5011" s="10"/>
      <c r="X5011" s="10"/>
      <c r="Y5011" s="10"/>
      <c r="Z5011" s="10"/>
      <c r="AA5011" s="10"/>
      <c r="AB5011" s="10"/>
      <c r="AC5011" s="10"/>
      <c r="AD5011" s="10"/>
      <c r="AE5011" s="10"/>
      <c r="AF5011" s="10"/>
      <c r="AG5011" s="10"/>
      <c r="AH5011" s="10"/>
    </row>
    <row r="5012" spans="1:34" ht="78.75" outlineLevel="2">
      <c r="A5012" s="21"/>
      <c r="B5012" s="12" t="str">
        <f>IFERROR(VLOOKUP(D5012,'[1]Перечень товаров'!$A$2:$I9525,2,0),"")</f>
        <v>д419</v>
      </c>
      <c r="C5012" s="12" t="str">
        <f>IFERROR(VLOOKUP(D5012,'[1]Перечень товаров'!$A$2:$I9525,3,0),"")</f>
        <v>дидактика</v>
      </c>
      <c r="D5012" s="22" t="s">
        <v>1392</v>
      </c>
      <c r="E5012" s="23"/>
      <c r="F5012" s="23"/>
      <c r="G5012" s="205">
        <v>1</v>
      </c>
      <c r="H5012" s="205"/>
      <c r="I5012" s="206"/>
      <c r="J5012" s="206"/>
      <c r="K5012" s="19"/>
      <c r="L5012" s="20"/>
      <c r="M5012" s="10"/>
      <c r="N5012" s="10"/>
      <c r="O5012" s="10"/>
      <c r="P5012" s="10"/>
      <c r="Q5012" s="10"/>
      <c r="R5012" s="10"/>
      <c r="S5012" s="10"/>
      <c r="T5012" s="10"/>
      <c r="U5012" s="10"/>
      <c r="V5012" s="10"/>
      <c r="W5012" s="10"/>
      <c r="X5012" s="10"/>
      <c r="Y5012" s="10"/>
      <c r="Z5012" s="10"/>
      <c r="AA5012" s="10"/>
      <c r="AB5012" s="10"/>
      <c r="AC5012" s="10"/>
      <c r="AD5012" s="10"/>
      <c r="AE5012" s="10"/>
      <c r="AF5012" s="10"/>
      <c r="AG5012" s="10"/>
      <c r="AH5012" s="10"/>
    </row>
    <row r="5013" spans="1:34" ht="63" outlineLevel="2">
      <c r="A5013" s="21"/>
      <c r="B5013" s="12" t="str">
        <f>IFERROR(VLOOKUP(D5013,'[1]Перечень товаров'!$A$2:$I9525,2,0),"")</f>
        <v>д418</v>
      </c>
      <c r="C5013" s="12" t="str">
        <f>IFERROR(VLOOKUP(D5013,'[1]Перечень товаров'!$A$2:$I9525,3,0),"")</f>
        <v>дидактика</v>
      </c>
      <c r="D5013" s="22" t="s">
        <v>1393</v>
      </c>
      <c r="E5013" s="23"/>
      <c r="F5013" s="23"/>
      <c r="G5013" s="205">
        <v>1</v>
      </c>
      <c r="H5013" s="205"/>
      <c r="I5013" s="206"/>
      <c r="J5013" s="206"/>
      <c r="K5013" s="19"/>
      <c r="L5013" s="20"/>
      <c r="M5013" s="10"/>
      <c r="N5013" s="10"/>
      <c r="O5013" s="10"/>
      <c r="P5013" s="10"/>
      <c r="Q5013" s="10"/>
      <c r="R5013" s="10"/>
      <c r="S5013" s="10"/>
      <c r="T5013" s="10"/>
      <c r="U5013" s="10"/>
      <c r="V5013" s="10"/>
      <c r="W5013" s="10"/>
      <c r="X5013" s="10"/>
      <c r="Y5013" s="10"/>
      <c r="Z5013" s="10"/>
      <c r="AA5013" s="10"/>
      <c r="AB5013" s="10"/>
      <c r="AC5013" s="10"/>
      <c r="AD5013" s="10"/>
      <c r="AE5013" s="10"/>
      <c r="AF5013" s="10"/>
      <c r="AG5013" s="10"/>
      <c r="AH5013" s="10"/>
    </row>
    <row r="5014" spans="1:34" ht="47.25" outlineLevel="2">
      <c r="A5014" s="21"/>
      <c r="B5014" s="12" t="str">
        <f>IFERROR(VLOOKUP(D5014,'[1]Перечень товаров'!$A$2:$I9525,2,0),"")</f>
        <v>д417</v>
      </c>
      <c r="C5014" s="12" t="str">
        <f>IFERROR(VLOOKUP(D5014,'[1]Перечень товаров'!$A$2:$I9525,3,0),"")</f>
        <v>дидактика</v>
      </c>
      <c r="D5014" s="22" t="s">
        <v>1394</v>
      </c>
      <c r="E5014" s="23"/>
      <c r="F5014" s="23"/>
      <c r="G5014" s="205">
        <v>1</v>
      </c>
      <c r="H5014" s="205"/>
      <c r="I5014" s="206"/>
      <c r="J5014" s="206"/>
      <c r="K5014" s="19"/>
      <c r="L5014" s="20"/>
      <c r="M5014" s="10"/>
      <c r="N5014" s="10"/>
      <c r="O5014" s="10"/>
      <c r="P5014" s="10"/>
      <c r="Q5014" s="10"/>
      <c r="R5014" s="10"/>
      <c r="S5014" s="10"/>
      <c r="T5014" s="10"/>
      <c r="U5014" s="10"/>
      <c r="V5014" s="10"/>
      <c r="W5014" s="10"/>
      <c r="X5014" s="10"/>
      <c r="Y5014" s="10"/>
      <c r="Z5014" s="10"/>
      <c r="AA5014" s="10"/>
      <c r="AB5014" s="10"/>
      <c r="AC5014" s="10"/>
      <c r="AD5014" s="10"/>
      <c r="AE5014" s="10"/>
      <c r="AF5014" s="10"/>
      <c r="AG5014" s="10"/>
      <c r="AH5014" s="10"/>
    </row>
    <row r="5015" spans="1:34" ht="47.25" outlineLevel="2">
      <c r="A5015" s="21"/>
      <c r="B5015" s="12" t="str">
        <f>IFERROR(VLOOKUP(D5015,'[1]Перечень товаров'!$A$2:$I9525,2,0),"")</f>
        <v>д416</v>
      </c>
      <c r="C5015" s="12" t="str">
        <f>IFERROR(VLOOKUP(D5015,'[1]Перечень товаров'!$A$2:$I9525,3,0),"")</f>
        <v>дидактика</v>
      </c>
      <c r="D5015" s="22" t="s">
        <v>1395</v>
      </c>
      <c r="E5015" s="23"/>
      <c r="F5015" s="23"/>
      <c r="G5015" s="205">
        <v>1</v>
      </c>
      <c r="H5015" s="205"/>
      <c r="I5015" s="206"/>
      <c r="J5015" s="206"/>
      <c r="K5015" s="19"/>
      <c r="L5015" s="20"/>
      <c r="M5015" s="10"/>
      <c r="N5015" s="10"/>
      <c r="O5015" s="10"/>
      <c r="P5015" s="10"/>
      <c r="Q5015" s="10"/>
      <c r="R5015" s="10"/>
      <c r="S5015" s="10"/>
      <c r="T5015" s="10"/>
      <c r="U5015" s="10"/>
      <c r="V5015" s="10"/>
      <c r="W5015" s="10"/>
      <c r="X5015" s="10"/>
      <c r="Y5015" s="10"/>
      <c r="Z5015" s="10"/>
      <c r="AA5015" s="10"/>
      <c r="AB5015" s="10"/>
      <c r="AC5015" s="10"/>
      <c r="AD5015" s="10"/>
      <c r="AE5015" s="10"/>
      <c r="AF5015" s="10"/>
      <c r="AG5015" s="10"/>
      <c r="AH5015" s="10"/>
    </row>
    <row r="5016" spans="1:34" ht="47.25" outlineLevel="2">
      <c r="A5016" s="21"/>
      <c r="B5016" s="12" t="str">
        <f>IFERROR(VLOOKUP(D5016,'[1]Перечень товаров'!$A$2:$I9525,2,0),"")</f>
        <v>д415</v>
      </c>
      <c r="C5016" s="12" t="str">
        <f>IFERROR(VLOOKUP(D5016,'[1]Перечень товаров'!$A$2:$I9525,3,0),"")</f>
        <v>дидактика</v>
      </c>
      <c r="D5016" s="22" t="s">
        <v>1396</v>
      </c>
      <c r="E5016" s="23"/>
      <c r="F5016" s="23"/>
      <c r="G5016" s="205">
        <v>1</v>
      </c>
      <c r="H5016" s="205"/>
      <c r="I5016" s="206"/>
      <c r="J5016" s="206"/>
      <c r="K5016" s="19"/>
      <c r="L5016" s="20"/>
      <c r="M5016" s="10"/>
      <c r="N5016" s="10"/>
      <c r="O5016" s="10"/>
      <c r="P5016" s="10"/>
      <c r="Q5016" s="10"/>
      <c r="R5016" s="10"/>
      <c r="S5016" s="10"/>
      <c r="T5016" s="10"/>
      <c r="U5016" s="10"/>
      <c r="V5016" s="10"/>
      <c r="W5016" s="10"/>
      <c r="X5016" s="10"/>
      <c r="Y5016" s="10"/>
      <c r="Z5016" s="10"/>
      <c r="AA5016" s="10"/>
      <c r="AB5016" s="10"/>
      <c r="AC5016" s="10"/>
      <c r="AD5016" s="10"/>
      <c r="AE5016" s="10"/>
      <c r="AF5016" s="10"/>
      <c r="AG5016" s="10"/>
      <c r="AH5016" s="10"/>
    </row>
    <row r="5017" spans="1:34" ht="31.5" outlineLevel="2">
      <c r="A5017" s="21"/>
      <c r="B5017" s="12" t="str">
        <f>IFERROR(VLOOKUP(D5017,'[1]Перечень товаров'!$A$2:$I9525,2,0),"")</f>
        <v>д414</v>
      </c>
      <c r="C5017" s="12" t="str">
        <f>IFERROR(VLOOKUP(D5017,'[1]Перечень товаров'!$A$2:$I9525,3,0),"")</f>
        <v>дидактика</v>
      </c>
      <c r="D5017" s="22" t="s">
        <v>1397</v>
      </c>
      <c r="E5017" s="23"/>
      <c r="F5017" s="23"/>
      <c r="G5017" s="205">
        <v>1</v>
      </c>
      <c r="H5017" s="205"/>
      <c r="I5017" s="206"/>
      <c r="J5017" s="206"/>
      <c r="K5017" s="19"/>
      <c r="L5017" s="20"/>
      <c r="M5017" s="10"/>
      <c r="N5017" s="10"/>
      <c r="O5017" s="10"/>
      <c r="P5017" s="10"/>
      <c r="Q5017" s="10"/>
      <c r="R5017" s="10"/>
      <c r="S5017" s="10"/>
      <c r="T5017" s="10"/>
      <c r="U5017" s="10"/>
      <c r="V5017" s="10"/>
      <c r="W5017" s="10"/>
      <c r="X5017" s="10"/>
      <c r="Y5017" s="10"/>
      <c r="Z5017" s="10"/>
      <c r="AA5017" s="10"/>
      <c r="AB5017" s="10"/>
      <c r="AC5017" s="10"/>
      <c r="AD5017" s="10"/>
      <c r="AE5017" s="10"/>
      <c r="AF5017" s="10"/>
      <c r="AG5017" s="10"/>
      <c r="AH5017" s="10"/>
    </row>
    <row r="5018" spans="1:34" ht="47.25" outlineLevel="2">
      <c r="A5018" s="21"/>
      <c r="B5018" s="12" t="str">
        <f>IFERROR(VLOOKUP(D5018,'[1]Перечень товаров'!$A$2:$I9525,2,0),"")</f>
        <v>д413</v>
      </c>
      <c r="C5018" s="12" t="str">
        <f>IFERROR(VLOOKUP(D5018,'[1]Перечень товаров'!$A$2:$I9525,3,0),"")</f>
        <v>дидактика</v>
      </c>
      <c r="D5018" s="22" t="s">
        <v>1398</v>
      </c>
      <c r="E5018" s="23"/>
      <c r="F5018" s="23"/>
      <c r="G5018" s="205">
        <v>1</v>
      </c>
      <c r="H5018" s="205"/>
      <c r="I5018" s="206"/>
      <c r="J5018" s="206"/>
      <c r="K5018" s="19"/>
      <c r="L5018" s="20"/>
      <c r="M5018" s="10"/>
      <c r="N5018" s="10"/>
      <c r="O5018" s="10"/>
      <c r="P5018" s="10"/>
      <c r="Q5018" s="10"/>
      <c r="R5018" s="10"/>
      <c r="S5018" s="10"/>
      <c r="T5018" s="10"/>
      <c r="U5018" s="10"/>
      <c r="V5018" s="10"/>
      <c r="W5018" s="10"/>
      <c r="X5018" s="10"/>
      <c r="Y5018" s="10"/>
      <c r="Z5018" s="10"/>
      <c r="AA5018" s="10"/>
      <c r="AB5018" s="10"/>
      <c r="AC5018" s="10"/>
      <c r="AD5018" s="10"/>
      <c r="AE5018" s="10"/>
      <c r="AF5018" s="10"/>
      <c r="AG5018" s="10"/>
      <c r="AH5018" s="10"/>
    </row>
    <row r="5019" spans="1:34" ht="31.5" outlineLevel="2">
      <c r="A5019" s="21"/>
      <c r="B5019" s="12" t="str">
        <f>IFERROR(VLOOKUP(D5019,'[1]Перечень товаров'!$A$2:$I9525,2,0),"")</f>
        <v>д412</v>
      </c>
      <c r="C5019" s="12" t="str">
        <f>IFERROR(VLOOKUP(D5019,'[1]Перечень товаров'!$A$2:$I9525,3,0),"")</f>
        <v>дидактика</v>
      </c>
      <c r="D5019" s="22" t="s">
        <v>1399</v>
      </c>
      <c r="E5019" s="23"/>
      <c r="F5019" s="23"/>
      <c r="G5019" s="205">
        <v>1</v>
      </c>
      <c r="H5019" s="205"/>
      <c r="I5019" s="206"/>
      <c r="J5019" s="206"/>
      <c r="K5019" s="19"/>
      <c r="L5019" s="20"/>
      <c r="M5019" s="10"/>
      <c r="N5019" s="10"/>
      <c r="O5019" s="10"/>
      <c r="P5019" s="10"/>
      <c r="Q5019" s="10"/>
      <c r="R5019" s="10"/>
      <c r="S5019" s="10"/>
      <c r="T5019" s="10"/>
      <c r="U5019" s="10"/>
      <c r="V5019" s="10"/>
      <c r="W5019" s="10"/>
      <c r="X5019" s="10"/>
      <c r="Y5019" s="10"/>
      <c r="Z5019" s="10"/>
      <c r="AA5019" s="10"/>
      <c r="AB5019" s="10"/>
      <c r="AC5019" s="10"/>
      <c r="AD5019" s="10"/>
      <c r="AE5019" s="10"/>
      <c r="AF5019" s="10"/>
      <c r="AG5019" s="10"/>
      <c r="AH5019" s="10"/>
    </row>
    <row r="5020" spans="1:34" ht="12.75" outlineLevel="2">
      <c r="A5020" s="197"/>
      <c r="B5020" s="12" t="str">
        <f>IFERROR(VLOOKUP(D5020,'[1]Перечень товаров'!$A$2:$I9525,2,0),"")</f>
        <v/>
      </c>
      <c r="C5020" s="12" t="str">
        <f>IFERROR(VLOOKUP(D5020,'[1]Перечень товаров'!$A$2:$I9525,3,0),"")</f>
        <v/>
      </c>
      <c r="D5020" s="198" t="s">
        <v>1400</v>
      </c>
      <c r="E5020" s="15"/>
      <c r="F5020" s="15"/>
      <c r="G5020" s="238"/>
      <c r="H5020" s="238"/>
      <c r="I5020" s="239"/>
      <c r="J5020" s="239"/>
      <c r="K5020" s="19"/>
      <c r="L5020" s="20"/>
      <c r="M5020" s="10"/>
      <c r="N5020" s="10"/>
      <c r="O5020" s="10"/>
      <c r="P5020" s="10"/>
      <c r="Q5020" s="10"/>
      <c r="R5020" s="10"/>
      <c r="S5020" s="10"/>
      <c r="T5020" s="10"/>
      <c r="U5020" s="10"/>
      <c r="V5020" s="10"/>
      <c r="W5020" s="10"/>
      <c r="X5020" s="10"/>
      <c r="Y5020" s="10"/>
      <c r="Z5020" s="10"/>
      <c r="AA5020" s="10"/>
      <c r="AB5020" s="10"/>
      <c r="AC5020" s="10"/>
      <c r="AD5020" s="10"/>
      <c r="AE5020" s="10"/>
      <c r="AF5020" s="10"/>
      <c r="AG5020" s="10"/>
      <c r="AH5020" s="10"/>
    </row>
    <row r="5021" spans="1:34" ht="31.5" outlineLevel="2">
      <c r="A5021" s="21"/>
      <c r="B5021" s="12" t="str">
        <f>IFERROR(VLOOKUP(D5021,'[1]Перечень товаров'!$A$2:$I9525,2,0),"")</f>
        <v>д411</v>
      </c>
      <c r="C5021" s="12" t="str">
        <f>IFERROR(VLOOKUP(D5021,'[1]Перечень товаров'!$A$2:$I9525,3,0),"")</f>
        <v>дидактика</v>
      </c>
      <c r="D5021" s="22" t="s">
        <v>1401</v>
      </c>
      <c r="E5021" s="23"/>
      <c r="F5021" s="23"/>
      <c r="G5021" s="205">
        <v>1</v>
      </c>
      <c r="H5021" s="205"/>
      <c r="I5021" s="206"/>
      <c r="J5021" s="206"/>
      <c r="K5021" s="19"/>
      <c r="L5021" s="20"/>
      <c r="M5021" s="10"/>
      <c r="N5021" s="10"/>
      <c r="O5021" s="10"/>
      <c r="P5021" s="10"/>
      <c r="Q5021" s="10"/>
      <c r="R5021" s="10"/>
      <c r="S5021" s="10"/>
      <c r="T5021" s="10"/>
      <c r="U5021" s="10"/>
      <c r="V5021" s="10"/>
      <c r="W5021" s="10"/>
      <c r="X5021" s="10"/>
      <c r="Y5021" s="10"/>
      <c r="Z5021" s="10"/>
      <c r="AA5021" s="10"/>
      <c r="AB5021" s="10"/>
      <c r="AC5021" s="10"/>
      <c r="AD5021" s="10"/>
      <c r="AE5021" s="10"/>
      <c r="AF5021" s="10"/>
      <c r="AG5021" s="10"/>
      <c r="AH5021" s="10"/>
    </row>
    <row r="5022" spans="1:34" ht="47.25" outlineLevel="2">
      <c r="A5022" s="21"/>
      <c r="B5022" s="12" t="str">
        <f>IFERROR(VLOOKUP(D5022,'[1]Перечень товаров'!$A$2:$I9525,2,0),"")</f>
        <v>д410</v>
      </c>
      <c r="C5022" s="12" t="str">
        <f>IFERROR(VLOOKUP(D5022,'[1]Перечень товаров'!$A$2:$I9525,3,0),"")</f>
        <v>дидактика</v>
      </c>
      <c r="D5022" s="22" t="s">
        <v>1402</v>
      </c>
      <c r="E5022" s="23"/>
      <c r="F5022" s="23"/>
      <c r="G5022" s="205">
        <v>1</v>
      </c>
      <c r="H5022" s="205"/>
      <c r="I5022" s="206"/>
      <c r="J5022" s="206"/>
      <c r="K5022" s="19"/>
      <c r="L5022" s="20"/>
      <c r="M5022" s="10"/>
      <c r="N5022" s="10"/>
      <c r="O5022" s="10"/>
      <c r="P5022" s="10"/>
      <c r="Q5022" s="10"/>
      <c r="R5022" s="10"/>
      <c r="S5022" s="10"/>
      <c r="T5022" s="10"/>
      <c r="U5022" s="10"/>
      <c r="V5022" s="10"/>
      <c r="W5022" s="10"/>
      <c r="X5022" s="10"/>
      <c r="Y5022" s="10"/>
      <c r="Z5022" s="10"/>
      <c r="AA5022" s="10"/>
      <c r="AB5022" s="10"/>
      <c r="AC5022" s="10"/>
      <c r="AD5022" s="10"/>
      <c r="AE5022" s="10"/>
      <c r="AF5022" s="10"/>
      <c r="AG5022" s="10"/>
      <c r="AH5022" s="10"/>
    </row>
    <row r="5023" spans="1:34" ht="47.25" outlineLevel="2">
      <c r="A5023" s="21"/>
      <c r="B5023" s="12" t="str">
        <f>IFERROR(VLOOKUP(D5023,'[1]Перечень товаров'!$A$2:$I9525,2,0),"")</f>
        <v>д409</v>
      </c>
      <c r="C5023" s="12" t="str">
        <f>IFERROR(VLOOKUP(D5023,'[1]Перечень товаров'!$A$2:$I9525,3,0),"")</f>
        <v>дидактика</v>
      </c>
      <c r="D5023" s="22" t="s">
        <v>1403</v>
      </c>
      <c r="E5023" s="23"/>
      <c r="F5023" s="23"/>
      <c r="G5023" s="205">
        <v>1</v>
      </c>
      <c r="H5023" s="205"/>
      <c r="I5023" s="206"/>
      <c r="J5023" s="206"/>
      <c r="K5023" s="19"/>
      <c r="L5023" s="20"/>
      <c r="M5023" s="10"/>
      <c r="N5023" s="10"/>
      <c r="O5023" s="10"/>
      <c r="P5023" s="10"/>
      <c r="Q5023" s="10"/>
      <c r="R5023" s="10"/>
      <c r="S5023" s="10"/>
      <c r="T5023" s="10"/>
      <c r="U5023" s="10"/>
      <c r="V5023" s="10"/>
      <c r="W5023" s="10"/>
      <c r="X5023" s="10"/>
      <c r="Y5023" s="10"/>
      <c r="Z5023" s="10"/>
      <c r="AA5023" s="10"/>
      <c r="AB5023" s="10"/>
      <c r="AC5023" s="10"/>
      <c r="AD5023" s="10"/>
      <c r="AE5023" s="10"/>
      <c r="AF5023" s="10"/>
      <c r="AG5023" s="10"/>
      <c r="AH5023" s="10"/>
    </row>
    <row r="5024" spans="1:34" ht="63" outlineLevel="2">
      <c r="A5024" s="21"/>
      <c r="B5024" s="12" t="str">
        <f>IFERROR(VLOOKUP(D5024,'[1]Перечень товаров'!$A$2:$I9525,2,0),"")</f>
        <v>д408</v>
      </c>
      <c r="C5024" s="12" t="str">
        <f>IFERROR(VLOOKUP(D5024,'[1]Перечень товаров'!$A$2:$I9525,3,0),"")</f>
        <v>дидактика</v>
      </c>
      <c r="D5024" s="22" t="s">
        <v>1404</v>
      </c>
      <c r="E5024" s="23"/>
      <c r="F5024" s="23"/>
      <c r="G5024" s="205">
        <v>1</v>
      </c>
      <c r="H5024" s="205"/>
      <c r="I5024" s="206"/>
      <c r="J5024" s="206"/>
      <c r="K5024" s="19"/>
      <c r="L5024" s="20"/>
      <c r="M5024" s="10"/>
      <c r="N5024" s="10"/>
      <c r="O5024" s="10"/>
      <c r="P5024" s="10"/>
      <c r="Q5024" s="10"/>
      <c r="R5024" s="10"/>
      <c r="S5024" s="10"/>
      <c r="T5024" s="10"/>
      <c r="U5024" s="10"/>
      <c r="V5024" s="10"/>
      <c r="W5024" s="10"/>
      <c r="X5024" s="10"/>
      <c r="Y5024" s="10"/>
      <c r="Z5024" s="10"/>
      <c r="AA5024" s="10"/>
      <c r="AB5024" s="10"/>
      <c r="AC5024" s="10"/>
      <c r="AD5024" s="10"/>
      <c r="AE5024" s="10"/>
      <c r="AF5024" s="10"/>
      <c r="AG5024" s="10"/>
      <c r="AH5024" s="10"/>
    </row>
    <row r="5025" spans="1:34" ht="47.25" outlineLevel="2">
      <c r="A5025" s="21"/>
      <c r="B5025" s="12" t="str">
        <f>IFERROR(VLOOKUP(D5025,'[1]Перечень товаров'!$A$2:$I9525,2,0),"")</f>
        <v>д407</v>
      </c>
      <c r="C5025" s="12" t="str">
        <f>IFERROR(VLOOKUP(D5025,'[1]Перечень товаров'!$A$2:$I9525,3,0),"")</f>
        <v>дидактика</v>
      </c>
      <c r="D5025" s="22" t="s">
        <v>1405</v>
      </c>
      <c r="E5025" s="23"/>
      <c r="F5025" s="23"/>
      <c r="G5025" s="205">
        <v>1</v>
      </c>
      <c r="H5025" s="205"/>
      <c r="I5025" s="206"/>
      <c r="J5025" s="206"/>
      <c r="K5025" s="19"/>
      <c r="L5025" s="20"/>
      <c r="M5025" s="10"/>
      <c r="N5025" s="10"/>
      <c r="O5025" s="10"/>
      <c r="P5025" s="10"/>
      <c r="Q5025" s="10"/>
      <c r="R5025" s="10"/>
      <c r="S5025" s="10"/>
      <c r="T5025" s="10"/>
      <c r="U5025" s="10"/>
      <c r="V5025" s="10"/>
      <c r="W5025" s="10"/>
      <c r="X5025" s="10"/>
      <c r="Y5025" s="10"/>
      <c r="Z5025" s="10"/>
      <c r="AA5025" s="10"/>
      <c r="AB5025" s="10"/>
      <c r="AC5025" s="10"/>
      <c r="AD5025" s="10"/>
      <c r="AE5025" s="10"/>
      <c r="AF5025" s="10"/>
      <c r="AG5025" s="10"/>
      <c r="AH5025" s="10"/>
    </row>
    <row r="5026" spans="1:34" ht="63" outlineLevel="2">
      <c r="A5026" s="21"/>
      <c r="B5026" s="12" t="str">
        <f>IFERROR(VLOOKUP(D5026,'[1]Перечень товаров'!$A$2:$I9525,2,0),"")</f>
        <v>д406</v>
      </c>
      <c r="C5026" s="12" t="str">
        <f>IFERROR(VLOOKUP(D5026,'[1]Перечень товаров'!$A$2:$I9525,3,0),"")</f>
        <v>дидактика</v>
      </c>
      <c r="D5026" s="22" t="s">
        <v>1406</v>
      </c>
      <c r="E5026" s="23"/>
      <c r="F5026" s="23"/>
      <c r="G5026" s="205">
        <v>1</v>
      </c>
      <c r="H5026" s="205"/>
      <c r="I5026" s="206"/>
      <c r="J5026" s="206"/>
      <c r="K5026" s="19"/>
      <c r="L5026" s="20"/>
      <c r="M5026" s="10"/>
      <c r="N5026" s="10"/>
      <c r="O5026" s="10"/>
      <c r="P5026" s="10"/>
      <c r="Q5026" s="10"/>
      <c r="R5026" s="10"/>
      <c r="S5026" s="10"/>
      <c r="T5026" s="10"/>
      <c r="U5026" s="10"/>
      <c r="V5026" s="10"/>
      <c r="W5026" s="10"/>
      <c r="X5026" s="10"/>
      <c r="Y5026" s="10"/>
      <c r="Z5026" s="10"/>
      <c r="AA5026" s="10"/>
      <c r="AB5026" s="10"/>
      <c r="AC5026" s="10"/>
      <c r="AD5026" s="10"/>
      <c r="AE5026" s="10"/>
      <c r="AF5026" s="10"/>
      <c r="AG5026" s="10"/>
      <c r="AH5026" s="10"/>
    </row>
    <row r="5027" spans="1:34" ht="63" outlineLevel="2">
      <c r="A5027" s="21"/>
      <c r="B5027" s="12" t="str">
        <f>IFERROR(VLOOKUP(D5027,'[1]Перечень товаров'!$A$2:$I9525,2,0),"")</f>
        <v>д405</v>
      </c>
      <c r="C5027" s="12" t="str">
        <f>IFERROR(VLOOKUP(D5027,'[1]Перечень товаров'!$A$2:$I9525,3,0),"")</f>
        <v>дидактика</v>
      </c>
      <c r="D5027" s="22" t="s">
        <v>1407</v>
      </c>
      <c r="E5027" s="23"/>
      <c r="F5027" s="23"/>
      <c r="G5027" s="205">
        <v>1</v>
      </c>
      <c r="H5027" s="205"/>
      <c r="I5027" s="206"/>
      <c r="J5027" s="206"/>
      <c r="K5027" s="19"/>
      <c r="L5027" s="20"/>
      <c r="M5027" s="10"/>
      <c r="N5027" s="10"/>
      <c r="O5027" s="10"/>
      <c r="P5027" s="10"/>
      <c r="Q5027" s="10"/>
      <c r="R5027" s="10"/>
      <c r="S5027" s="10"/>
      <c r="T5027" s="10"/>
      <c r="U5027" s="10"/>
      <c r="V5027" s="10"/>
      <c r="W5027" s="10"/>
      <c r="X5027" s="10"/>
      <c r="Y5027" s="10"/>
      <c r="Z5027" s="10"/>
      <c r="AA5027" s="10"/>
      <c r="AB5027" s="10"/>
      <c r="AC5027" s="10"/>
      <c r="AD5027" s="10"/>
      <c r="AE5027" s="10"/>
      <c r="AF5027" s="10"/>
      <c r="AG5027" s="10"/>
      <c r="AH5027" s="10"/>
    </row>
    <row r="5028" spans="1:34" ht="47.25" outlineLevel="2">
      <c r="A5028" s="21"/>
      <c r="B5028" s="12" t="str">
        <f>IFERROR(VLOOKUP(D5028,'[1]Перечень товаров'!$A$2:$I9525,2,0),"")</f>
        <v>д404</v>
      </c>
      <c r="C5028" s="12" t="str">
        <f>IFERROR(VLOOKUP(D5028,'[1]Перечень товаров'!$A$2:$I9525,3,0),"")</f>
        <v>дидактика</v>
      </c>
      <c r="D5028" s="22" t="s">
        <v>1408</v>
      </c>
      <c r="E5028" s="23"/>
      <c r="F5028" s="23"/>
      <c r="G5028" s="205">
        <v>1</v>
      </c>
      <c r="H5028" s="205"/>
      <c r="I5028" s="206"/>
      <c r="J5028" s="206"/>
      <c r="K5028" s="19"/>
      <c r="L5028" s="20"/>
      <c r="M5028" s="10"/>
      <c r="N5028" s="10"/>
      <c r="O5028" s="10"/>
      <c r="P5028" s="10"/>
      <c r="Q5028" s="10"/>
      <c r="R5028" s="10"/>
      <c r="S5028" s="10"/>
      <c r="T5028" s="10"/>
      <c r="U5028" s="10"/>
      <c r="V5028" s="10"/>
      <c r="W5028" s="10"/>
      <c r="X5028" s="10"/>
      <c r="Y5028" s="10"/>
      <c r="Z5028" s="10"/>
      <c r="AA5028" s="10"/>
      <c r="AB5028" s="10"/>
      <c r="AC5028" s="10"/>
      <c r="AD5028" s="10"/>
      <c r="AE5028" s="10"/>
      <c r="AF5028" s="10"/>
      <c r="AG5028" s="10"/>
      <c r="AH5028" s="10"/>
    </row>
    <row r="5029" spans="1:34" ht="47.25" outlineLevel="2">
      <c r="A5029" s="21"/>
      <c r="B5029" s="12" t="str">
        <f>IFERROR(VLOOKUP(D5029,'[1]Перечень товаров'!$A$2:$I9525,2,0),"")</f>
        <v>д403</v>
      </c>
      <c r="C5029" s="12" t="str">
        <f>IFERROR(VLOOKUP(D5029,'[1]Перечень товаров'!$A$2:$I9525,3,0),"")</f>
        <v>дидактика</v>
      </c>
      <c r="D5029" s="22" t="s">
        <v>1409</v>
      </c>
      <c r="E5029" s="23"/>
      <c r="F5029" s="23"/>
      <c r="G5029" s="205">
        <v>1</v>
      </c>
      <c r="H5029" s="205"/>
      <c r="I5029" s="206"/>
      <c r="J5029" s="206"/>
      <c r="K5029" s="19"/>
      <c r="L5029" s="20"/>
      <c r="M5029" s="10"/>
      <c r="N5029" s="10"/>
      <c r="O5029" s="10"/>
      <c r="P5029" s="10"/>
      <c r="Q5029" s="10"/>
      <c r="R5029" s="10"/>
      <c r="S5029" s="10"/>
      <c r="T5029" s="10"/>
      <c r="U5029" s="10"/>
      <c r="V5029" s="10"/>
      <c r="W5029" s="10"/>
      <c r="X5029" s="10"/>
      <c r="Y5029" s="10"/>
      <c r="Z5029" s="10"/>
      <c r="AA5029" s="10"/>
      <c r="AB5029" s="10"/>
      <c r="AC5029" s="10"/>
      <c r="AD5029" s="10"/>
      <c r="AE5029" s="10"/>
      <c r="AF5029" s="10"/>
      <c r="AG5029" s="10"/>
      <c r="AH5029" s="10"/>
    </row>
    <row r="5030" spans="1:34" ht="47.25" outlineLevel="2">
      <c r="A5030" s="21"/>
      <c r="B5030" s="12" t="str">
        <f>IFERROR(VLOOKUP(D5030,'[1]Перечень товаров'!$A$2:$I9525,2,0),"")</f>
        <v>д402</v>
      </c>
      <c r="C5030" s="12" t="str">
        <f>IFERROR(VLOOKUP(D5030,'[1]Перечень товаров'!$A$2:$I9525,3,0),"")</f>
        <v>дидактика</v>
      </c>
      <c r="D5030" s="22" t="s">
        <v>1410</v>
      </c>
      <c r="E5030" s="23"/>
      <c r="F5030" s="23"/>
      <c r="G5030" s="205">
        <v>1</v>
      </c>
      <c r="H5030" s="205"/>
      <c r="I5030" s="206"/>
      <c r="J5030" s="206"/>
      <c r="K5030" s="19"/>
      <c r="L5030" s="20"/>
      <c r="M5030" s="10"/>
      <c r="N5030" s="10"/>
      <c r="O5030" s="10"/>
      <c r="P5030" s="10"/>
      <c r="Q5030" s="10"/>
      <c r="R5030" s="10"/>
      <c r="S5030" s="10"/>
      <c r="T5030" s="10"/>
      <c r="U5030" s="10"/>
      <c r="V5030" s="10"/>
      <c r="W5030" s="10"/>
      <c r="X5030" s="10"/>
      <c r="Y5030" s="10"/>
      <c r="Z5030" s="10"/>
      <c r="AA5030" s="10"/>
      <c r="AB5030" s="10"/>
      <c r="AC5030" s="10"/>
      <c r="AD5030" s="10"/>
      <c r="AE5030" s="10"/>
      <c r="AF5030" s="10"/>
      <c r="AG5030" s="10"/>
      <c r="AH5030" s="10"/>
    </row>
    <row r="5031" spans="1:34" ht="12.75" outlineLevel="2">
      <c r="A5031" s="197"/>
      <c r="B5031" s="12" t="str">
        <f>IFERROR(VLOOKUP(D5031,'[1]Перечень товаров'!$A$2:$I9525,2,0),"")</f>
        <v/>
      </c>
      <c r="C5031" s="12" t="str">
        <f>IFERROR(VLOOKUP(D5031,'[1]Перечень товаров'!$A$2:$I9525,3,0),"")</f>
        <v/>
      </c>
      <c r="D5031" s="198" t="s">
        <v>809</v>
      </c>
      <c r="E5031" s="15"/>
      <c r="F5031" s="15"/>
      <c r="G5031" s="234"/>
      <c r="H5031" s="234"/>
      <c r="I5031" s="235"/>
      <c r="J5031" s="235"/>
      <c r="K5031" s="19"/>
      <c r="L5031" s="20"/>
      <c r="M5031" s="10"/>
      <c r="N5031" s="10"/>
      <c r="O5031" s="10"/>
      <c r="P5031" s="10"/>
      <c r="Q5031" s="10"/>
      <c r="R5031" s="10"/>
      <c r="S5031" s="10"/>
      <c r="T5031" s="10"/>
      <c r="U5031" s="10"/>
      <c r="V5031" s="10"/>
      <c r="W5031" s="10"/>
      <c r="X5031" s="10"/>
      <c r="Y5031" s="10"/>
      <c r="Z5031" s="10"/>
      <c r="AA5031" s="10"/>
      <c r="AB5031" s="10"/>
      <c r="AC5031" s="10"/>
      <c r="AD5031" s="10"/>
      <c r="AE5031" s="10"/>
      <c r="AF5031" s="10"/>
      <c r="AG5031" s="10"/>
      <c r="AH5031" s="10"/>
    </row>
    <row r="5032" spans="1:34" outlineLevel="2">
      <c r="A5032" s="34"/>
      <c r="B5032" s="12" t="str">
        <f>IFERROR(VLOOKUP(D5032,'[1]Перечень товаров'!$A$2:$I9525,2,0),"")</f>
        <v>д65</v>
      </c>
      <c r="C5032" s="12" t="str">
        <f>IFERROR(VLOOKUP(D5032,'[1]Перечень товаров'!$A$2:$I9525,3,0),"")</f>
        <v>Дидактика</v>
      </c>
      <c r="D5032" s="35" t="s">
        <v>811</v>
      </c>
      <c r="E5032" s="23"/>
      <c r="F5032" s="23"/>
      <c r="G5032" s="59">
        <v>1</v>
      </c>
      <c r="H5032" s="59"/>
      <c r="I5032" s="60"/>
      <c r="J5032" s="60"/>
      <c r="K5032" s="19"/>
      <c r="L5032" s="20"/>
      <c r="M5032" s="10"/>
      <c r="N5032" s="10"/>
      <c r="O5032" s="10"/>
      <c r="P5032" s="10"/>
      <c r="Q5032" s="10"/>
      <c r="R5032" s="10"/>
      <c r="S5032" s="10"/>
      <c r="T5032" s="10"/>
      <c r="U5032" s="10"/>
      <c r="V5032" s="10"/>
      <c r="W5032" s="10"/>
      <c r="X5032" s="10"/>
      <c r="Y5032" s="10"/>
      <c r="Z5032" s="10"/>
      <c r="AA5032" s="10"/>
      <c r="AB5032" s="10"/>
      <c r="AC5032" s="10"/>
      <c r="AD5032" s="10"/>
      <c r="AE5032" s="10"/>
      <c r="AF5032" s="10"/>
      <c r="AG5032" s="10"/>
      <c r="AH5032" s="10"/>
    </row>
    <row r="5033" spans="1:34" outlineLevel="2">
      <c r="A5033" s="34"/>
      <c r="B5033" s="12" t="str">
        <f>IFERROR(VLOOKUP(D5033,'[1]Перечень товаров'!$A$2:$I9525,2,0),"")</f>
        <v>д66</v>
      </c>
      <c r="C5033" s="12" t="str">
        <f>IFERROR(VLOOKUP(D5033,'[1]Перечень товаров'!$A$2:$I9525,3,0),"")</f>
        <v>Дидактика</v>
      </c>
      <c r="D5033" s="35" t="s">
        <v>812</v>
      </c>
      <c r="E5033" s="23"/>
      <c r="F5033" s="23"/>
      <c r="G5033" s="59">
        <v>1</v>
      </c>
      <c r="H5033" s="59"/>
      <c r="I5033" s="60"/>
      <c r="J5033" s="60"/>
      <c r="K5033" s="19"/>
      <c r="L5033" s="20"/>
      <c r="M5033" s="10"/>
      <c r="N5033" s="10"/>
      <c r="O5033" s="10"/>
      <c r="P5033" s="10"/>
      <c r="Q5033" s="10"/>
      <c r="R5033" s="10"/>
      <c r="S5033" s="10"/>
      <c r="T5033" s="10"/>
      <c r="U5033" s="10"/>
      <c r="V5033" s="10"/>
      <c r="W5033" s="10"/>
      <c r="X5033" s="10"/>
      <c r="Y5033" s="10"/>
      <c r="Z5033" s="10"/>
      <c r="AA5033" s="10"/>
      <c r="AB5033" s="10"/>
      <c r="AC5033" s="10"/>
      <c r="AD5033" s="10"/>
      <c r="AE5033" s="10"/>
      <c r="AF5033" s="10"/>
      <c r="AG5033" s="10"/>
      <c r="AH5033" s="10"/>
    </row>
    <row r="5034" spans="1:34" outlineLevel="2">
      <c r="A5034" s="34"/>
      <c r="B5034" s="12" t="str">
        <f>IFERROR(VLOOKUP(D5034,'[1]Перечень товаров'!$A$2:$I9525,2,0),"")</f>
        <v>д67</v>
      </c>
      <c r="C5034" s="12" t="str">
        <f>IFERROR(VLOOKUP(D5034,'[1]Перечень товаров'!$A$2:$I9525,3,0),"")</f>
        <v>Дидактика</v>
      </c>
      <c r="D5034" s="35" t="s">
        <v>813</v>
      </c>
      <c r="E5034" s="23"/>
      <c r="F5034" s="23"/>
      <c r="G5034" s="59">
        <v>1</v>
      </c>
      <c r="H5034" s="59"/>
      <c r="I5034" s="60"/>
      <c r="J5034" s="60"/>
      <c r="K5034" s="19"/>
      <c r="L5034" s="20"/>
      <c r="M5034" s="10"/>
      <c r="N5034" s="10"/>
      <c r="O5034" s="10"/>
      <c r="P5034" s="10"/>
      <c r="Q5034" s="10"/>
      <c r="R5034" s="10"/>
      <c r="S5034" s="10"/>
      <c r="T5034" s="10"/>
      <c r="U5034" s="10"/>
      <c r="V5034" s="10"/>
      <c r="W5034" s="10"/>
      <c r="X5034" s="10"/>
      <c r="Y5034" s="10"/>
      <c r="Z5034" s="10"/>
      <c r="AA5034" s="10"/>
      <c r="AB5034" s="10"/>
      <c r="AC5034" s="10"/>
      <c r="AD5034" s="10"/>
      <c r="AE5034" s="10"/>
      <c r="AF5034" s="10"/>
      <c r="AG5034" s="10"/>
      <c r="AH5034" s="10"/>
    </row>
    <row r="5035" spans="1:34" outlineLevel="2">
      <c r="A5035" s="34"/>
      <c r="B5035" s="12" t="str">
        <f>IFERROR(VLOOKUP(D5035,'[1]Перечень товаров'!$A$2:$I9525,2,0),"")</f>
        <v>п90</v>
      </c>
      <c r="C5035" s="12" t="str">
        <f>IFERROR(VLOOKUP(D5035,'[1]Перечень товаров'!$A$2:$I9525,3,0),"")</f>
        <v>Прочее</v>
      </c>
      <c r="D5035" s="35" t="s">
        <v>723</v>
      </c>
      <c r="E5035" s="23"/>
      <c r="F5035" s="23"/>
      <c r="G5035" s="59">
        <v>1</v>
      </c>
      <c r="H5035" s="59"/>
      <c r="I5035" s="60"/>
      <c r="J5035" s="60"/>
      <c r="K5035" s="19"/>
      <c r="L5035" s="20"/>
      <c r="M5035" s="10"/>
      <c r="N5035" s="10"/>
      <c r="O5035" s="10"/>
      <c r="P5035" s="10"/>
      <c r="Q5035" s="10"/>
      <c r="R5035" s="10"/>
      <c r="S5035" s="10"/>
      <c r="T5035" s="10"/>
      <c r="U5035" s="10"/>
      <c r="V5035" s="10"/>
      <c r="W5035" s="10"/>
      <c r="X5035" s="10"/>
      <c r="Y5035" s="10"/>
      <c r="Z5035" s="10"/>
      <c r="AA5035" s="10"/>
      <c r="AB5035" s="10"/>
      <c r="AC5035" s="10"/>
      <c r="AD5035" s="10"/>
      <c r="AE5035" s="10"/>
      <c r="AF5035" s="10"/>
      <c r="AG5035" s="10"/>
      <c r="AH5035" s="10"/>
    </row>
    <row r="5036" spans="1:34" outlineLevel="2">
      <c r="A5036" s="34"/>
      <c r="B5036" s="12" t="str">
        <f>IFERROR(VLOOKUP(D5036,'[1]Перечень товаров'!$A$2:$I9525,2,0),"")</f>
        <v>д68</v>
      </c>
      <c r="C5036" s="12" t="str">
        <f>IFERROR(VLOOKUP(D5036,'[1]Перечень товаров'!$A$2:$I9525,3,0),"")</f>
        <v>Дидактика</v>
      </c>
      <c r="D5036" s="35" t="s">
        <v>814</v>
      </c>
      <c r="E5036" s="23"/>
      <c r="F5036" s="23"/>
      <c r="G5036" s="59">
        <v>3</v>
      </c>
      <c r="H5036" s="59"/>
      <c r="I5036" s="60"/>
      <c r="J5036" s="60"/>
      <c r="K5036" s="19"/>
      <c r="L5036" s="20"/>
      <c r="M5036" s="10"/>
      <c r="N5036" s="10"/>
      <c r="O5036" s="10"/>
      <c r="P5036" s="10"/>
      <c r="Q5036" s="10"/>
      <c r="R5036" s="10"/>
      <c r="S5036" s="10"/>
      <c r="T5036" s="10"/>
      <c r="U5036" s="10"/>
      <c r="V5036" s="10"/>
      <c r="W5036" s="10"/>
      <c r="X5036" s="10"/>
      <c r="Y5036" s="10"/>
      <c r="Z5036" s="10"/>
      <c r="AA5036" s="10"/>
      <c r="AB5036" s="10"/>
      <c r="AC5036" s="10"/>
      <c r="AD5036" s="10"/>
      <c r="AE5036" s="10"/>
      <c r="AF5036" s="10"/>
      <c r="AG5036" s="10"/>
      <c r="AH5036" s="10"/>
    </row>
    <row r="5037" spans="1:34" outlineLevel="2">
      <c r="A5037" s="34"/>
      <c r="B5037" s="12" t="str">
        <f>IFERROR(VLOOKUP(D5037,'[1]Перечень товаров'!$A$2:$I9525,2,0),"")</f>
        <v>д69</v>
      </c>
      <c r="C5037" s="12" t="str">
        <f>IFERROR(VLOOKUP(D5037,'[1]Перечень товаров'!$A$2:$I9525,3,0),"")</f>
        <v>Дидактика</v>
      </c>
      <c r="D5037" s="35" t="s">
        <v>815</v>
      </c>
      <c r="E5037" s="23"/>
      <c r="F5037" s="23"/>
      <c r="G5037" s="59">
        <v>8</v>
      </c>
      <c r="H5037" s="59"/>
      <c r="I5037" s="60"/>
      <c r="J5037" s="60"/>
      <c r="K5037" s="19"/>
      <c r="L5037" s="20"/>
      <c r="M5037" s="10"/>
      <c r="N5037" s="10"/>
      <c r="O5037" s="10"/>
      <c r="P5037" s="10"/>
      <c r="Q5037" s="10"/>
      <c r="R5037" s="10"/>
      <c r="S5037" s="10"/>
      <c r="T5037" s="10"/>
      <c r="U5037" s="10"/>
      <c r="V5037" s="10"/>
      <c r="W5037" s="10"/>
      <c r="X5037" s="10"/>
      <c r="Y5037" s="10"/>
      <c r="Z5037" s="10"/>
      <c r="AA5037" s="10"/>
      <c r="AB5037" s="10"/>
      <c r="AC5037" s="10"/>
      <c r="AD5037" s="10"/>
      <c r="AE5037" s="10"/>
      <c r="AF5037" s="10"/>
      <c r="AG5037" s="10"/>
      <c r="AH5037" s="10"/>
    </row>
    <row r="5038" spans="1:34" outlineLevel="2">
      <c r="A5038" s="34"/>
      <c r="B5038" s="12" t="str">
        <f>IFERROR(VLOOKUP(D5038,'[1]Перечень товаров'!$A$2:$I9525,2,0),"")</f>
        <v>д70</v>
      </c>
      <c r="C5038" s="12" t="str">
        <f>IFERROR(VLOOKUP(D5038,'[1]Перечень товаров'!$A$2:$I9525,3,0),"")</f>
        <v>Дидактика</v>
      </c>
      <c r="D5038" s="35" t="s">
        <v>816</v>
      </c>
      <c r="E5038" s="23"/>
      <c r="F5038" s="23"/>
      <c r="G5038" s="59">
        <v>100</v>
      </c>
      <c r="H5038" s="59"/>
      <c r="I5038" s="60"/>
      <c r="J5038" s="60"/>
      <c r="K5038" s="19"/>
      <c r="L5038" s="20"/>
      <c r="M5038" s="10"/>
      <c r="N5038" s="10"/>
      <c r="O5038" s="10"/>
      <c r="P5038" s="10"/>
      <c r="Q5038" s="10"/>
      <c r="R5038" s="10"/>
      <c r="S5038" s="10"/>
      <c r="T5038" s="10"/>
      <c r="U5038" s="10"/>
      <c r="V5038" s="10"/>
      <c r="W5038" s="10"/>
      <c r="X5038" s="10"/>
      <c r="Y5038" s="10"/>
      <c r="Z5038" s="10"/>
      <c r="AA5038" s="10"/>
      <c r="AB5038" s="10"/>
      <c r="AC5038" s="10"/>
      <c r="AD5038" s="10"/>
      <c r="AE5038" s="10"/>
      <c r="AF5038" s="10"/>
      <c r="AG5038" s="10"/>
      <c r="AH5038" s="10"/>
    </row>
    <row r="5039" spans="1:34" ht="12.75" outlineLevel="1">
      <c r="A5039" s="11"/>
      <c r="B5039" s="12" t="str">
        <f>IFERROR(VLOOKUP(D5039,'[1]Перечень товаров'!$A$2:$I9525,2,0),"")</f>
        <v/>
      </c>
      <c r="C5039" s="12" t="str">
        <f>IFERROR(VLOOKUP(D5039,'[1]Перечень товаров'!$A$2:$I9525,3,0),"")</f>
        <v/>
      </c>
      <c r="D5039" s="27" t="s">
        <v>338</v>
      </c>
      <c r="E5039" s="14">
        <v>15.8</v>
      </c>
      <c r="F5039" s="14"/>
      <c r="G5039" s="17"/>
      <c r="H5039" s="17"/>
      <c r="I5039" s="57"/>
      <c r="J5039" s="57"/>
      <c r="K5039" s="19"/>
      <c r="L5039" s="20"/>
      <c r="M5039" s="10"/>
      <c r="N5039" s="10"/>
      <c r="O5039" s="10"/>
      <c r="P5039" s="10"/>
      <c r="Q5039" s="10"/>
      <c r="R5039" s="10"/>
      <c r="S5039" s="10"/>
      <c r="T5039" s="10"/>
      <c r="U5039" s="10"/>
      <c r="V5039" s="10"/>
      <c r="W5039" s="10"/>
      <c r="X5039" s="10"/>
      <c r="Y5039" s="10"/>
      <c r="Z5039" s="10"/>
      <c r="AA5039" s="10"/>
      <c r="AB5039" s="10"/>
      <c r="AC5039" s="10"/>
      <c r="AD5039" s="10"/>
      <c r="AE5039" s="10"/>
      <c r="AF5039" s="10"/>
      <c r="AG5039" s="10"/>
      <c r="AH5039" s="10"/>
    </row>
    <row r="5040" spans="1:34" ht="12.75" outlineLevel="2">
      <c r="A5040" s="77"/>
      <c r="B5040" s="12" t="str">
        <f>IFERROR(VLOOKUP(D5040,'[1]Перечень товаров'!$A$2:$I9525,2,0),"")</f>
        <v/>
      </c>
      <c r="C5040" s="12" t="str">
        <f>IFERROR(VLOOKUP(D5040,'[1]Перечень товаров'!$A$2:$I9525,3,0),"")</f>
        <v/>
      </c>
      <c r="D5040" s="78" t="s">
        <v>19</v>
      </c>
      <c r="E5040" s="79"/>
      <c r="F5040" s="79"/>
      <c r="G5040" s="17"/>
      <c r="H5040" s="17"/>
      <c r="I5040" s="57"/>
      <c r="J5040" s="57"/>
      <c r="K5040" s="19"/>
      <c r="L5040" s="20"/>
      <c r="M5040" s="10"/>
      <c r="N5040" s="10"/>
      <c r="O5040" s="10"/>
      <c r="P5040" s="10"/>
      <c r="Q5040" s="10"/>
      <c r="R5040" s="10"/>
      <c r="S5040" s="10"/>
      <c r="T5040" s="10"/>
      <c r="U5040" s="10"/>
      <c r="V5040" s="10"/>
      <c r="W5040" s="10"/>
      <c r="X5040" s="10"/>
      <c r="Y5040" s="10"/>
      <c r="Z5040" s="10"/>
      <c r="AA5040" s="10"/>
      <c r="AB5040" s="10"/>
      <c r="AC5040" s="10"/>
      <c r="AD5040" s="10"/>
      <c r="AE5040" s="10"/>
      <c r="AF5040" s="10"/>
      <c r="AG5040" s="10"/>
      <c r="AH5040" s="10"/>
    </row>
    <row r="5041" spans="1:34" outlineLevel="2">
      <c r="A5041" s="43"/>
      <c r="B5041" s="12" t="str">
        <f>IFERROR(VLOOKUP(D5041,'[1]Перечень товаров'!$A$2:$I9525,2,0),"")</f>
        <v>м25</v>
      </c>
      <c r="C5041" s="12" t="str">
        <f>IFERROR(VLOOKUP(D5041,'[1]Перечень товаров'!$A$2:$I9525,3,0),"")</f>
        <v>Мебель</v>
      </c>
      <c r="D5041" s="44" t="s">
        <v>175</v>
      </c>
      <c r="E5041" s="23">
        <v>10</v>
      </c>
      <c r="F5041" s="23"/>
      <c r="G5041" s="24"/>
      <c r="H5041" s="24"/>
      <c r="I5041" s="25"/>
      <c r="J5041" s="25"/>
      <c r="K5041" s="19"/>
      <c r="L5041" s="20"/>
      <c r="M5041" s="10"/>
      <c r="N5041" s="10"/>
      <c r="O5041" s="10"/>
      <c r="P5041" s="10"/>
      <c r="Q5041" s="10"/>
      <c r="R5041" s="10"/>
      <c r="S5041" s="10"/>
      <c r="T5041" s="10"/>
      <c r="U5041" s="10"/>
      <c r="V5041" s="10"/>
      <c r="W5041" s="10"/>
      <c r="X5041" s="10"/>
      <c r="Y5041" s="10"/>
      <c r="Z5041" s="10"/>
      <c r="AA5041" s="10"/>
      <c r="AB5041" s="10"/>
      <c r="AC5041" s="10"/>
      <c r="AD5041" s="10"/>
      <c r="AE5041" s="10"/>
      <c r="AF5041" s="10"/>
      <c r="AG5041" s="10"/>
      <c r="AH5041" s="10"/>
    </row>
    <row r="5042" spans="1:34" outlineLevel="2">
      <c r="A5042" s="43"/>
      <c r="B5042" s="12" t="str">
        <f>IFERROR(VLOOKUP(D5042,'[1]Перечень товаров'!$A$2:$I9525,2,0),"")</f>
        <v>м26</v>
      </c>
      <c r="C5042" s="12" t="str">
        <f>IFERROR(VLOOKUP(D5042,'[1]Перечень товаров'!$A$2:$I9525,3,0),"")</f>
        <v>Мебель</v>
      </c>
      <c r="D5042" s="44" t="s">
        <v>176</v>
      </c>
      <c r="E5042" s="23">
        <v>5</v>
      </c>
      <c r="F5042" s="23"/>
      <c r="G5042" s="24"/>
      <c r="H5042" s="24"/>
      <c r="I5042" s="25"/>
      <c r="J5042" s="25"/>
      <c r="K5042" s="19"/>
      <c r="L5042" s="20"/>
      <c r="M5042" s="10"/>
      <c r="N5042" s="10"/>
      <c r="O5042" s="10"/>
      <c r="P5042" s="10"/>
      <c r="Q5042" s="10"/>
      <c r="R5042" s="10"/>
      <c r="S5042" s="10"/>
      <c r="T5042" s="10"/>
      <c r="U5042" s="10"/>
      <c r="V5042" s="10"/>
      <c r="W5042" s="10"/>
      <c r="X5042" s="10"/>
      <c r="Y5042" s="10"/>
      <c r="Z5042" s="10"/>
      <c r="AA5042" s="10"/>
      <c r="AB5042" s="10"/>
      <c r="AC5042" s="10"/>
      <c r="AD5042" s="10"/>
      <c r="AE5042" s="10"/>
      <c r="AF5042" s="10"/>
      <c r="AG5042" s="10"/>
      <c r="AH5042" s="10"/>
    </row>
    <row r="5043" spans="1:34" outlineLevel="2">
      <c r="A5043" s="43"/>
      <c r="B5043" s="12" t="str">
        <f>IFERROR(VLOOKUP(D5043,'[1]Перечень товаров'!$A$2:$I9525,2,0),"")</f>
        <v>м27</v>
      </c>
      <c r="C5043" s="12" t="str">
        <f>IFERROR(VLOOKUP(D5043,'[1]Перечень товаров'!$A$2:$I9525,3,0),"")</f>
        <v>Мебель</v>
      </c>
      <c r="D5043" s="44" t="s">
        <v>177</v>
      </c>
      <c r="E5043" s="23">
        <v>2</v>
      </c>
      <c r="F5043" s="23"/>
      <c r="G5043" s="24"/>
      <c r="H5043" s="24"/>
      <c r="I5043" s="25"/>
      <c r="J5043" s="25"/>
      <c r="K5043" s="19"/>
      <c r="L5043" s="20"/>
      <c r="M5043" s="10"/>
      <c r="N5043" s="10"/>
      <c r="O5043" s="10"/>
      <c r="P5043" s="10"/>
      <c r="Q5043" s="10"/>
      <c r="R5043" s="10"/>
      <c r="S5043" s="10"/>
      <c r="T5043" s="10"/>
      <c r="U5043" s="10"/>
      <c r="V5043" s="10"/>
      <c r="W5043" s="10"/>
      <c r="X5043" s="10"/>
      <c r="Y5043" s="10"/>
      <c r="Z5043" s="10"/>
      <c r="AA5043" s="10"/>
      <c r="AB5043" s="10"/>
      <c r="AC5043" s="10"/>
      <c r="AD5043" s="10"/>
      <c r="AE5043" s="10"/>
      <c r="AF5043" s="10"/>
      <c r="AG5043" s="10"/>
      <c r="AH5043" s="10"/>
    </row>
    <row r="5044" spans="1:34" outlineLevel="2">
      <c r="A5044" s="43"/>
      <c r="B5044" s="12" t="str">
        <f>IFERROR(VLOOKUP(D5044,'[1]Перечень товаров'!$A$2:$I9525,2,0),"")</f>
        <v>м28</v>
      </c>
      <c r="C5044" s="12" t="str">
        <f>IFERROR(VLOOKUP(D5044,'[1]Перечень товаров'!$A$2:$I9525,3,0),"")</f>
        <v>Мебель</v>
      </c>
      <c r="D5044" s="44" t="s">
        <v>178</v>
      </c>
      <c r="E5044" s="23">
        <v>1</v>
      </c>
      <c r="F5044" s="23"/>
      <c r="G5044" s="24"/>
      <c r="H5044" s="24"/>
      <c r="I5044" s="25"/>
      <c r="J5044" s="25"/>
      <c r="K5044" s="19"/>
      <c r="L5044" s="20"/>
      <c r="M5044" s="10"/>
      <c r="N5044" s="10"/>
      <c r="O5044" s="10"/>
      <c r="P5044" s="10"/>
      <c r="Q5044" s="10"/>
      <c r="R5044" s="10"/>
      <c r="S5044" s="10"/>
      <c r="T5044" s="10"/>
      <c r="U5044" s="10"/>
      <c r="V5044" s="10"/>
      <c r="W5044" s="10"/>
      <c r="X5044" s="10"/>
      <c r="Y5044" s="10"/>
      <c r="Z5044" s="10"/>
      <c r="AA5044" s="10"/>
      <c r="AB5044" s="10"/>
      <c r="AC5044" s="10"/>
      <c r="AD5044" s="10"/>
      <c r="AE5044" s="10"/>
      <c r="AF5044" s="10"/>
      <c r="AG5044" s="10"/>
      <c r="AH5044" s="10"/>
    </row>
    <row r="5045" spans="1:34" outlineLevel="2">
      <c r="A5045" s="21"/>
      <c r="B5045" s="12" t="str">
        <f>IFERROR(VLOOKUP(D5045,'[1]Перечень товаров'!$A$2:$I9525,2,0),"")</f>
        <v>мм1</v>
      </c>
      <c r="C5045" s="12" t="str">
        <f>IFERROR(VLOOKUP(D5045,'[1]Перечень товаров'!$A$2:$I9525,3,0),"")</f>
        <v>Мебель муз</v>
      </c>
      <c r="D5045" s="22" t="s">
        <v>179</v>
      </c>
      <c r="E5045" s="23">
        <v>1</v>
      </c>
      <c r="F5045" s="23"/>
      <c r="G5045" s="24"/>
      <c r="H5045" s="24"/>
      <c r="I5045" s="25"/>
      <c r="J5045" s="25"/>
      <c r="K5045" s="19"/>
      <c r="L5045" s="20"/>
      <c r="M5045" s="10"/>
      <c r="N5045" s="10"/>
      <c r="O5045" s="10"/>
      <c r="P5045" s="10"/>
      <c r="Q5045" s="10"/>
      <c r="R5045" s="10"/>
      <c r="S5045" s="10"/>
      <c r="T5045" s="10"/>
      <c r="U5045" s="10"/>
      <c r="V5045" s="10"/>
      <c r="W5045" s="10"/>
      <c r="X5045" s="10"/>
      <c r="Y5045" s="10"/>
      <c r="Z5045" s="10"/>
      <c r="AA5045" s="10"/>
      <c r="AB5045" s="10"/>
      <c r="AC5045" s="10"/>
      <c r="AD5045" s="10"/>
      <c r="AE5045" s="10"/>
      <c r="AF5045" s="10"/>
      <c r="AG5045" s="10"/>
      <c r="AH5045" s="10"/>
    </row>
    <row r="5046" spans="1:34" ht="12.75" outlineLevel="1">
      <c r="A5046" s="11"/>
      <c r="B5046" s="12" t="str">
        <f>IFERROR(VLOOKUP(D5046,'[1]Перечень товаров'!$A$2:$I9525,2,0),"")</f>
        <v/>
      </c>
      <c r="C5046" s="12" t="str">
        <f>IFERROR(VLOOKUP(D5046,'[1]Перечень товаров'!$A$2:$I9525,3,0),"")</f>
        <v/>
      </c>
      <c r="D5046" s="27" t="s">
        <v>1411</v>
      </c>
      <c r="E5046" s="14">
        <v>46.4</v>
      </c>
      <c r="F5046" s="14"/>
      <c r="G5046" s="17"/>
      <c r="H5046" s="17"/>
      <c r="I5046" s="57"/>
      <c r="J5046" s="57"/>
      <c r="K5046" s="19"/>
      <c r="L5046" s="20"/>
      <c r="M5046" s="10"/>
      <c r="N5046" s="10"/>
      <c r="O5046" s="10"/>
      <c r="P5046" s="10"/>
      <c r="Q5046" s="10"/>
      <c r="R5046" s="10"/>
      <c r="S5046" s="10"/>
      <c r="T5046" s="10"/>
      <c r="U5046" s="10"/>
      <c r="V5046" s="10"/>
      <c r="W5046" s="10"/>
      <c r="X5046" s="10"/>
      <c r="Y5046" s="10"/>
      <c r="Z5046" s="10"/>
      <c r="AA5046" s="10"/>
      <c r="AB5046" s="10"/>
      <c r="AC5046" s="10"/>
      <c r="AD5046" s="10"/>
      <c r="AE5046" s="10"/>
      <c r="AF5046" s="10"/>
      <c r="AG5046" s="10"/>
      <c r="AH5046" s="10"/>
    </row>
    <row r="5047" spans="1:34" ht="12.75" outlineLevel="2">
      <c r="A5047" s="197"/>
      <c r="B5047" s="12" t="str">
        <f>IFERROR(VLOOKUP(D5047,'[1]Перечень товаров'!$A$2:$I9525,2,0),"")</f>
        <v/>
      </c>
      <c r="C5047" s="12" t="str">
        <f>IFERROR(VLOOKUP(D5047,'[1]Перечень товаров'!$A$2:$I9525,3,0),"")</f>
        <v/>
      </c>
      <c r="D5047" s="198" t="s">
        <v>668</v>
      </c>
      <c r="E5047" s="15"/>
      <c r="F5047" s="15"/>
      <c r="G5047" s="17"/>
      <c r="H5047" s="17"/>
      <c r="I5047" s="57"/>
      <c r="J5047" s="57"/>
      <c r="K5047" s="19"/>
      <c r="L5047" s="20"/>
      <c r="M5047" s="10"/>
      <c r="N5047" s="10"/>
      <c r="O5047" s="10"/>
      <c r="P5047" s="10"/>
      <c r="Q5047" s="10"/>
      <c r="R5047" s="10"/>
      <c r="S5047" s="10"/>
      <c r="T5047" s="10"/>
      <c r="U5047" s="10"/>
      <c r="V5047" s="10"/>
      <c r="W5047" s="10"/>
      <c r="X5047" s="10"/>
      <c r="Y5047" s="10"/>
      <c r="Z5047" s="10"/>
      <c r="AA5047" s="10"/>
      <c r="AB5047" s="10"/>
      <c r="AC5047" s="10"/>
      <c r="AD5047" s="10"/>
      <c r="AE5047" s="10"/>
      <c r="AF5047" s="10"/>
      <c r="AG5047" s="10"/>
      <c r="AH5047" s="10"/>
    </row>
    <row r="5048" spans="1:34" outlineLevel="2">
      <c r="A5048" s="34"/>
      <c r="B5048" s="12" t="str">
        <f>IFERROR(VLOOKUP(D5048,'[1]Перечень товаров'!$A$2:$I9525,2,0),"")</f>
        <v>т129</v>
      </c>
      <c r="C5048" s="12" t="str">
        <f>IFERROR(VLOOKUP(D5048,'[1]Перечень товаров'!$A$2:$I9525,3,0),"")</f>
        <v>Техника</v>
      </c>
      <c r="D5048" s="35" t="s">
        <v>1204</v>
      </c>
      <c r="E5048" s="23"/>
      <c r="F5048" s="23"/>
      <c r="G5048" s="232">
        <v>1</v>
      </c>
      <c r="H5048" s="232"/>
      <c r="I5048" s="233"/>
      <c r="J5048" s="233"/>
      <c r="K5048" s="19"/>
      <c r="L5048" s="20"/>
      <c r="M5048" s="10"/>
      <c r="N5048" s="10"/>
      <c r="O5048" s="10"/>
      <c r="P5048" s="10"/>
      <c r="Q5048" s="10"/>
      <c r="R5048" s="10"/>
      <c r="S5048" s="10"/>
      <c r="T5048" s="10"/>
      <c r="U5048" s="10"/>
      <c r="V5048" s="10"/>
      <c r="W5048" s="10"/>
      <c r="X5048" s="10"/>
      <c r="Y5048" s="10"/>
      <c r="Z5048" s="10"/>
      <c r="AA5048" s="10"/>
      <c r="AB5048" s="10"/>
      <c r="AC5048" s="10"/>
      <c r="AD5048" s="10"/>
      <c r="AE5048" s="10"/>
      <c r="AF5048" s="10"/>
      <c r="AG5048" s="10"/>
      <c r="AH5048" s="10"/>
    </row>
    <row r="5049" spans="1:34" outlineLevel="2">
      <c r="A5049" s="34"/>
      <c r="B5049" s="12" t="str">
        <f>IFERROR(VLOOKUP(D5049,'[1]Перечень товаров'!$A$2:$I9525,2,0),"")</f>
        <v>т128</v>
      </c>
      <c r="C5049" s="12" t="str">
        <f>IFERROR(VLOOKUP(D5049,'[1]Перечень товаров'!$A$2:$I9525,3,0),"")</f>
        <v>Техника</v>
      </c>
      <c r="D5049" s="35" t="s">
        <v>1205</v>
      </c>
      <c r="E5049" s="23"/>
      <c r="F5049" s="23"/>
      <c r="G5049" s="24">
        <v>1</v>
      </c>
      <c r="H5049" s="24"/>
      <c r="I5049" s="25"/>
      <c r="J5049" s="25"/>
      <c r="K5049" s="19"/>
      <c r="L5049" s="20"/>
      <c r="M5049" s="10"/>
      <c r="N5049" s="10"/>
      <c r="O5049" s="10"/>
      <c r="P5049" s="10"/>
      <c r="Q5049" s="10"/>
      <c r="R5049" s="10"/>
      <c r="S5049" s="10"/>
      <c r="T5049" s="10"/>
      <c r="U5049" s="10"/>
      <c r="V5049" s="10"/>
      <c r="W5049" s="10"/>
      <c r="X5049" s="10"/>
      <c r="Y5049" s="10"/>
      <c r="Z5049" s="10"/>
      <c r="AA5049" s="10"/>
      <c r="AB5049" s="10"/>
      <c r="AC5049" s="10"/>
      <c r="AD5049" s="10"/>
      <c r="AE5049" s="10"/>
      <c r="AF5049" s="10"/>
      <c r="AG5049" s="10"/>
      <c r="AH5049" s="10"/>
    </row>
    <row r="5050" spans="1:34" outlineLevel="2">
      <c r="A5050" s="34"/>
      <c r="B5050" s="12" t="str">
        <f>IFERROR(VLOOKUP(D5050,'[1]Перечень товаров'!$A$2:$I9525,2,0),"")</f>
        <v>т1</v>
      </c>
      <c r="C5050" s="12" t="str">
        <f>IFERROR(VLOOKUP(D5050,'[1]Перечень товаров'!$A$2:$I9525,3,0),"")</f>
        <v xml:space="preserve">Техника </v>
      </c>
      <c r="D5050" s="22" t="s">
        <v>28</v>
      </c>
      <c r="E5050" s="23"/>
      <c r="F5050" s="23"/>
      <c r="G5050" s="232">
        <v>1</v>
      </c>
      <c r="H5050" s="232"/>
      <c r="I5050" s="233"/>
      <c r="J5050" s="233"/>
      <c r="K5050" s="19"/>
      <c r="L5050" s="20"/>
      <c r="M5050" s="10"/>
      <c r="N5050" s="10"/>
      <c r="O5050" s="10"/>
      <c r="P5050" s="10"/>
      <c r="Q5050" s="10"/>
      <c r="R5050" s="10"/>
      <c r="S5050" s="10"/>
      <c r="T5050" s="10"/>
      <c r="U5050" s="10"/>
      <c r="V5050" s="10"/>
      <c r="W5050" s="10"/>
      <c r="X5050" s="10"/>
      <c r="Y5050" s="10"/>
      <c r="Z5050" s="10"/>
      <c r="AA5050" s="10"/>
      <c r="AB5050" s="10"/>
      <c r="AC5050" s="10"/>
      <c r="AD5050" s="10"/>
      <c r="AE5050" s="10"/>
      <c r="AF5050" s="10"/>
      <c r="AG5050" s="10"/>
      <c r="AH5050" s="10"/>
    </row>
    <row r="5051" spans="1:34" outlineLevel="2">
      <c r="A5051" s="34"/>
      <c r="B5051" s="12" t="str">
        <f>IFERROR(VLOOKUP(D5051,'[1]Перечень товаров'!$A$2:$I9525,2,0),"")</f>
        <v>т235</v>
      </c>
      <c r="C5051" s="12" t="str">
        <f>IFERROR(VLOOKUP(D5051,'[1]Перечень товаров'!$A$2:$I9525,3,0),"")</f>
        <v>Техника</v>
      </c>
      <c r="D5051" s="35" t="s">
        <v>742</v>
      </c>
      <c r="E5051" s="23"/>
      <c r="F5051" s="23"/>
      <c r="G5051" s="232">
        <v>1</v>
      </c>
      <c r="H5051" s="232"/>
      <c r="I5051" s="233"/>
      <c r="J5051" s="233"/>
      <c r="K5051" s="19"/>
      <c r="L5051" s="20"/>
      <c r="M5051" s="10"/>
      <c r="N5051" s="10"/>
      <c r="O5051" s="10"/>
      <c r="P5051" s="10"/>
      <c r="Q5051" s="10"/>
      <c r="R5051" s="10"/>
      <c r="S5051" s="10"/>
      <c r="T5051" s="10"/>
      <c r="U5051" s="10"/>
      <c r="V5051" s="10"/>
      <c r="W5051" s="10"/>
      <c r="X5051" s="10"/>
      <c r="Y5051" s="10"/>
      <c r="Z5051" s="10"/>
      <c r="AA5051" s="10"/>
      <c r="AB5051" s="10"/>
      <c r="AC5051" s="10"/>
      <c r="AD5051" s="10"/>
      <c r="AE5051" s="10"/>
      <c r="AF5051" s="10"/>
      <c r="AG5051" s="10"/>
      <c r="AH5051" s="10"/>
    </row>
    <row r="5052" spans="1:34" outlineLevel="2">
      <c r="A5052" s="34"/>
      <c r="B5052" s="12" t="str">
        <f>IFERROR(VLOOKUP(D5052,'[1]Перечень товаров'!$A$2:$I9525,2,0),"")</f>
        <v>т8</v>
      </c>
      <c r="C5052" s="12" t="str">
        <f>IFERROR(VLOOKUP(D5052,'[1]Перечень товаров'!$A$2:$I9525,3,0),"")</f>
        <v xml:space="preserve">Техника </v>
      </c>
      <c r="D5052" s="35" t="s">
        <v>35</v>
      </c>
      <c r="E5052" s="23"/>
      <c r="F5052" s="23"/>
      <c r="G5052" s="232">
        <v>1</v>
      </c>
      <c r="H5052" s="232"/>
      <c r="I5052" s="233"/>
      <c r="J5052" s="233"/>
      <c r="K5052" s="19"/>
      <c r="L5052" s="20"/>
      <c r="M5052" s="10"/>
      <c r="N5052" s="10"/>
      <c r="O5052" s="10"/>
      <c r="P5052" s="10"/>
      <c r="Q5052" s="10"/>
      <c r="R5052" s="10"/>
      <c r="S5052" s="10"/>
      <c r="T5052" s="10"/>
      <c r="U5052" s="10"/>
      <c r="V5052" s="10"/>
      <c r="W5052" s="10"/>
      <c r="X5052" s="10"/>
      <c r="Y5052" s="10"/>
      <c r="Z5052" s="10"/>
      <c r="AA5052" s="10"/>
      <c r="AB5052" s="10"/>
      <c r="AC5052" s="10"/>
      <c r="AD5052" s="10"/>
      <c r="AE5052" s="10"/>
      <c r="AF5052" s="10"/>
      <c r="AG5052" s="10"/>
      <c r="AH5052" s="10"/>
    </row>
    <row r="5053" spans="1:34" outlineLevel="2">
      <c r="A5053" s="34"/>
      <c r="B5053" s="12" t="str">
        <f>IFERROR(VLOOKUP(D5053,'[1]Перечень товаров'!$A$2:$I9525,2,0),"")</f>
        <v>т4</v>
      </c>
      <c r="C5053" s="12" t="str">
        <f>IFERROR(VLOOKUP(D5053,'[1]Перечень товаров'!$A$2:$I9525,3,0),"")</f>
        <v xml:space="preserve">Техника </v>
      </c>
      <c r="D5053" s="35" t="s">
        <v>31</v>
      </c>
      <c r="E5053" s="23"/>
      <c r="F5053" s="23"/>
      <c r="G5053" s="24">
        <v>1</v>
      </c>
      <c r="H5053" s="24"/>
      <c r="I5053" s="25"/>
      <c r="J5053" s="25"/>
      <c r="K5053" s="19"/>
      <c r="L5053" s="20"/>
      <c r="M5053" s="10"/>
      <c r="N5053" s="10"/>
      <c r="O5053" s="10"/>
      <c r="P5053" s="10"/>
      <c r="Q5053" s="10"/>
      <c r="R5053" s="10"/>
      <c r="S5053" s="10"/>
      <c r="T5053" s="10"/>
      <c r="U5053" s="10"/>
      <c r="V5053" s="10"/>
      <c r="W5053" s="10"/>
      <c r="X5053" s="10"/>
      <c r="Y5053" s="10"/>
      <c r="Z5053" s="10"/>
      <c r="AA5053" s="10"/>
      <c r="AB5053" s="10"/>
      <c r="AC5053" s="10"/>
      <c r="AD5053" s="10"/>
      <c r="AE5053" s="10"/>
      <c r="AF5053" s="10"/>
      <c r="AG5053" s="10"/>
      <c r="AH5053" s="10"/>
    </row>
    <row r="5054" spans="1:34" outlineLevel="2">
      <c r="A5054" s="34"/>
      <c r="B5054" s="12" t="str">
        <f>IFERROR(VLOOKUP(D5054,'[1]Перечень товаров'!$A$2:$I9525,2,0),"")</f>
        <v>т236</v>
      </c>
      <c r="C5054" s="12" t="str">
        <f>IFERROR(VLOOKUP(D5054,'[1]Перечень товаров'!$A$2:$I9525,3,0),"")</f>
        <v>Техника</v>
      </c>
      <c r="D5054" s="35" t="s">
        <v>743</v>
      </c>
      <c r="E5054" s="23"/>
      <c r="F5054" s="23"/>
      <c r="G5054" s="232">
        <v>1</v>
      </c>
      <c r="H5054" s="232"/>
      <c r="I5054" s="233"/>
      <c r="J5054" s="233"/>
      <c r="K5054" s="19"/>
      <c r="L5054" s="20"/>
      <c r="M5054" s="10"/>
      <c r="N5054" s="10"/>
      <c r="O5054" s="10"/>
      <c r="P5054" s="10"/>
      <c r="Q5054" s="10"/>
      <c r="R5054" s="10"/>
      <c r="S5054" s="10"/>
      <c r="T5054" s="10"/>
      <c r="U5054" s="10"/>
      <c r="V5054" s="10"/>
      <c r="W5054" s="10"/>
      <c r="X5054" s="10"/>
      <c r="Y5054" s="10"/>
      <c r="Z5054" s="10"/>
      <c r="AA5054" s="10"/>
      <c r="AB5054" s="10"/>
      <c r="AC5054" s="10"/>
      <c r="AD5054" s="10"/>
      <c r="AE5054" s="10"/>
      <c r="AF5054" s="10"/>
      <c r="AG5054" s="10"/>
      <c r="AH5054" s="10"/>
    </row>
    <row r="5055" spans="1:34" outlineLevel="2">
      <c r="A5055" s="34"/>
      <c r="B5055" s="12" t="str">
        <f>IFERROR(VLOOKUP(D5055,'[1]Перечень товаров'!$A$2:$I9525,2,0),"")</f>
        <v>т237</v>
      </c>
      <c r="C5055" s="12" t="str">
        <f>IFERROR(VLOOKUP(D5055,'[1]Перечень товаров'!$A$2:$I9525,3,0),"")</f>
        <v>Техника</v>
      </c>
      <c r="D5055" s="35" t="s">
        <v>744</v>
      </c>
      <c r="E5055" s="23"/>
      <c r="F5055" s="23"/>
      <c r="G5055" s="232">
        <v>2</v>
      </c>
      <c r="H5055" s="232"/>
      <c r="I5055" s="233"/>
      <c r="J5055" s="233"/>
      <c r="K5055" s="19"/>
      <c r="L5055" s="20"/>
      <c r="M5055" s="10"/>
      <c r="N5055" s="10"/>
      <c r="O5055" s="10"/>
      <c r="P5055" s="10"/>
      <c r="Q5055" s="10"/>
      <c r="R5055" s="10"/>
      <c r="S5055" s="10"/>
      <c r="T5055" s="10"/>
      <c r="U5055" s="10"/>
      <c r="V5055" s="10"/>
      <c r="W5055" s="10"/>
      <c r="X5055" s="10"/>
      <c r="Y5055" s="10"/>
      <c r="Z5055" s="10"/>
      <c r="AA5055" s="10"/>
      <c r="AB5055" s="10"/>
      <c r="AC5055" s="10"/>
      <c r="AD5055" s="10"/>
      <c r="AE5055" s="10"/>
      <c r="AF5055" s="10"/>
      <c r="AG5055" s="10"/>
      <c r="AH5055" s="10"/>
    </row>
    <row r="5056" spans="1:34" ht="31.5" outlineLevel="2">
      <c r="A5056" s="34"/>
      <c r="B5056" s="12" t="str">
        <f>IFERROR(VLOOKUP(D5056,'[1]Перечень товаров'!$A$2:$I9525,2,0),"")</f>
        <v>т117</v>
      </c>
      <c r="C5056" s="12" t="str">
        <f>IFERROR(VLOOKUP(D5056,'[1]Перечень товаров'!$A$2:$I9525,3,0),"")</f>
        <v>Техника</v>
      </c>
      <c r="D5056" s="35" t="s">
        <v>1412</v>
      </c>
      <c r="E5056" s="23"/>
      <c r="F5056" s="23"/>
      <c r="G5056" s="232">
        <v>1</v>
      </c>
      <c r="H5056" s="232"/>
      <c r="I5056" s="233"/>
      <c r="J5056" s="233"/>
      <c r="K5056" s="19"/>
      <c r="L5056" s="20"/>
      <c r="M5056" s="10"/>
      <c r="N5056" s="10"/>
      <c r="O5056" s="10"/>
      <c r="P5056" s="10"/>
      <c r="Q5056" s="10"/>
      <c r="R5056" s="10"/>
      <c r="S5056" s="10"/>
      <c r="T5056" s="10"/>
      <c r="U5056" s="10"/>
      <c r="V5056" s="10"/>
      <c r="W5056" s="10"/>
      <c r="X5056" s="10"/>
      <c r="Y5056" s="10"/>
      <c r="Z5056" s="10"/>
      <c r="AA5056" s="10"/>
      <c r="AB5056" s="10"/>
      <c r="AC5056" s="10"/>
      <c r="AD5056" s="10"/>
      <c r="AE5056" s="10"/>
      <c r="AF5056" s="10"/>
      <c r="AG5056" s="10"/>
      <c r="AH5056" s="10"/>
    </row>
    <row r="5057" spans="1:34" ht="12.75" outlineLevel="2">
      <c r="A5057" s="197"/>
      <c r="B5057" s="12" t="str">
        <f>IFERROR(VLOOKUP(D5057,'[1]Перечень товаров'!$A$2:$I9525,2,0),"")</f>
        <v/>
      </c>
      <c r="C5057" s="12" t="str">
        <f>IFERROR(VLOOKUP(D5057,'[1]Перечень товаров'!$A$2:$I9525,3,0),"")</f>
        <v/>
      </c>
      <c r="D5057" s="198" t="s">
        <v>19</v>
      </c>
      <c r="E5057" s="15"/>
      <c r="F5057" s="15"/>
      <c r="G5057" s="234"/>
      <c r="H5057" s="234"/>
      <c r="I5057" s="235"/>
      <c r="J5057" s="235"/>
      <c r="K5057" s="19"/>
      <c r="L5057" s="20"/>
      <c r="M5057" s="10"/>
      <c r="N5057" s="10"/>
      <c r="O5057" s="10"/>
      <c r="P5057" s="10"/>
      <c r="Q5057" s="10"/>
      <c r="R5057" s="10"/>
      <c r="S5057" s="10"/>
      <c r="T5057" s="10"/>
      <c r="U5057" s="10"/>
      <c r="V5057" s="10"/>
      <c r="W5057" s="10"/>
      <c r="X5057" s="10"/>
      <c r="Y5057" s="10"/>
      <c r="Z5057" s="10"/>
      <c r="AA5057" s="10"/>
      <c r="AB5057" s="10"/>
      <c r="AC5057" s="10"/>
      <c r="AD5057" s="10"/>
      <c r="AE5057" s="10"/>
      <c r="AF5057" s="10"/>
      <c r="AG5057" s="10"/>
      <c r="AH5057" s="10"/>
    </row>
    <row r="5058" spans="1:34" outlineLevel="2">
      <c r="A5058" s="34"/>
      <c r="B5058" s="12" t="str">
        <f>IFERROR(VLOOKUP(D5058,'[1]Перечень товаров'!$A$2:$I9525,2,0),"")</f>
        <v>м62</v>
      </c>
      <c r="C5058" s="12" t="str">
        <f>IFERROR(VLOOKUP(D5058,'[1]Перечень товаров'!$A$2:$I9525,3,0),"")</f>
        <v>Мебель</v>
      </c>
      <c r="D5058" s="35" t="s">
        <v>398</v>
      </c>
      <c r="E5058" s="23"/>
      <c r="F5058" s="23"/>
      <c r="G5058" s="232">
        <v>1</v>
      </c>
      <c r="H5058" s="232"/>
      <c r="I5058" s="233"/>
      <c r="J5058" s="233"/>
      <c r="K5058" s="19"/>
      <c r="L5058" s="20"/>
      <c r="M5058" s="10"/>
      <c r="N5058" s="10"/>
      <c r="O5058" s="10"/>
      <c r="P5058" s="10"/>
      <c r="Q5058" s="10"/>
      <c r="R5058" s="10"/>
      <c r="S5058" s="10"/>
      <c r="T5058" s="10"/>
      <c r="U5058" s="10"/>
      <c r="V5058" s="10"/>
      <c r="W5058" s="10"/>
      <c r="X5058" s="10"/>
      <c r="Y5058" s="10"/>
      <c r="Z5058" s="10"/>
      <c r="AA5058" s="10"/>
      <c r="AB5058" s="10"/>
      <c r="AC5058" s="10"/>
      <c r="AD5058" s="10"/>
      <c r="AE5058" s="10"/>
      <c r="AF5058" s="10"/>
      <c r="AG5058" s="10"/>
      <c r="AH5058" s="10"/>
    </row>
    <row r="5059" spans="1:34" outlineLevel="2">
      <c r="A5059" s="34"/>
      <c r="B5059" s="12" t="str">
        <f>IFERROR(VLOOKUP(D5059,'[1]Перечень товаров'!$A$2:$I9525,2,0),"")</f>
        <v>м61</v>
      </c>
      <c r="C5059" s="12" t="str">
        <f>IFERROR(VLOOKUP(D5059,'[1]Перечень товаров'!$A$2:$I9525,3,0),"")</f>
        <v>Мебель</v>
      </c>
      <c r="D5059" s="35" t="s">
        <v>383</v>
      </c>
      <c r="E5059" s="23"/>
      <c r="F5059" s="23"/>
      <c r="G5059" s="232">
        <v>1</v>
      </c>
      <c r="H5059" s="232"/>
      <c r="I5059" s="233"/>
      <c r="J5059" s="233"/>
      <c r="K5059" s="19"/>
      <c r="L5059" s="20"/>
      <c r="M5059" s="10"/>
      <c r="N5059" s="10"/>
      <c r="O5059" s="10"/>
      <c r="P5059" s="10"/>
      <c r="Q5059" s="10"/>
      <c r="R5059" s="10"/>
      <c r="S5059" s="10"/>
      <c r="T5059" s="10"/>
      <c r="U5059" s="10"/>
      <c r="V5059" s="10"/>
      <c r="W5059" s="10"/>
      <c r="X5059" s="10"/>
      <c r="Y5059" s="10"/>
      <c r="Z5059" s="10"/>
      <c r="AA5059" s="10"/>
      <c r="AB5059" s="10"/>
      <c r="AC5059" s="10"/>
      <c r="AD5059" s="10"/>
      <c r="AE5059" s="10"/>
      <c r="AF5059" s="10"/>
      <c r="AG5059" s="10"/>
      <c r="AH5059" s="10"/>
    </row>
    <row r="5060" spans="1:34" ht="31.5" outlineLevel="2">
      <c r="A5060" s="34"/>
      <c r="B5060" s="12" t="str">
        <f>IFERROR(VLOOKUP(D5060,'[1]Перечень товаров'!$A$2:$I9525,2,0),"")</f>
        <v>д525</v>
      </c>
      <c r="C5060" s="12" t="str">
        <f>IFERROR(VLOOKUP(D5060,'[1]Перечень товаров'!$A$2:$I9525,3,0),"")</f>
        <v>дидактика</v>
      </c>
      <c r="D5060" s="35" t="s">
        <v>1230</v>
      </c>
      <c r="E5060" s="23"/>
      <c r="F5060" s="23"/>
      <c r="G5060" s="232">
        <v>13</v>
      </c>
      <c r="H5060" s="232"/>
      <c r="I5060" s="233"/>
      <c r="J5060" s="233"/>
      <c r="K5060" s="19"/>
      <c r="L5060" s="20"/>
      <c r="M5060" s="10"/>
      <c r="N5060" s="10"/>
      <c r="O5060" s="10"/>
      <c r="P5060" s="10"/>
      <c r="Q5060" s="10"/>
      <c r="R5060" s="10"/>
      <c r="S5060" s="10"/>
      <c r="T5060" s="10"/>
      <c r="U5060" s="10"/>
      <c r="V5060" s="10"/>
      <c r="W5060" s="10"/>
      <c r="X5060" s="10"/>
      <c r="Y5060" s="10"/>
      <c r="Z5060" s="10"/>
      <c r="AA5060" s="10"/>
      <c r="AB5060" s="10"/>
      <c r="AC5060" s="10"/>
      <c r="AD5060" s="10"/>
      <c r="AE5060" s="10"/>
      <c r="AF5060" s="10"/>
      <c r="AG5060" s="10"/>
      <c r="AH5060" s="10"/>
    </row>
    <row r="5061" spans="1:34" outlineLevel="2">
      <c r="A5061" s="34"/>
      <c r="B5061" s="12" t="str">
        <f>IFERROR(VLOOKUP(D5061,'[1]Перечень товаров'!$A$2:$I9525,2,0),"")</f>
        <v>м216</v>
      </c>
      <c r="C5061" s="12" t="str">
        <f>IFERROR(VLOOKUP(D5061,'[1]Перечень товаров'!$A$2:$I9525,3,0),"")</f>
        <v>Мебель</v>
      </c>
      <c r="D5061" s="35" t="s">
        <v>854</v>
      </c>
      <c r="E5061" s="23"/>
      <c r="F5061" s="23"/>
      <c r="G5061" s="232">
        <v>2</v>
      </c>
      <c r="H5061" s="232"/>
      <c r="I5061" s="233"/>
      <c r="J5061" s="233"/>
      <c r="K5061" s="19"/>
      <c r="L5061" s="20"/>
      <c r="M5061" s="10"/>
      <c r="N5061" s="10"/>
      <c r="O5061" s="10"/>
      <c r="P5061" s="10"/>
      <c r="Q5061" s="10"/>
      <c r="R5061" s="10"/>
      <c r="S5061" s="10"/>
      <c r="T5061" s="10"/>
      <c r="U5061" s="10"/>
      <c r="V5061" s="10"/>
      <c r="W5061" s="10"/>
      <c r="X5061" s="10"/>
      <c r="Y5061" s="10"/>
      <c r="Z5061" s="10"/>
      <c r="AA5061" s="10"/>
      <c r="AB5061" s="10"/>
      <c r="AC5061" s="10"/>
      <c r="AD5061" s="10"/>
      <c r="AE5061" s="10"/>
      <c r="AF5061" s="10"/>
      <c r="AG5061" s="10"/>
      <c r="AH5061" s="10"/>
    </row>
    <row r="5062" spans="1:34" ht="31.5" outlineLevel="2">
      <c r="A5062" s="34"/>
      <c r="B5062" s="12" t="str">
        <f>IFERROR(VLOOKUP(D5062,'[1]Перечень товаров'!$A$2:$I9525,2,0),"")</f>
        <v>д401</v>
      </c>
      <c r="C5062" s="12" t="str">
        <f>IFERROR(VLOOKUP(D5062,'[1]Перечень товаров'!$A$2:$I9525,3,0),"")</f>
        <v>дидактика</v>
      </c>
      <c r="D5062" s="35" t="s">
        <v>1413</v>
      </c>
      <c r="E5062" s="23"/>
      <c r="F5062" s="23"/>
      <c r="G5062" s="232">
        <v>1</v>
      </c>
      <c r="H5062" s="232"/>
      <c r="I5062" s="233"/>
      <c r="J5062" s="233"/>
      <c r="K5062" s="19"/>
      <c r="L5062" s="20"/>
      <c r="M5062" s="10"/>
      <c r="N5062" s="10"/>
      <c r="O5062" s="10"/>
      <c r="P5062" s="10"/>
      <c r="Q5062" s="10"/>
      <c r="R5062" s="10"/>
      <c r="S5062" s="10"/>
      <c r="T5062" s="10"/>
      <c r="U5062" s="10"/>
      <c r="V5062" s="10"/>
      <c r="W5062" s="10"/>
      <c r="X5062" s="10"/>
      <c r="Y5062" s="10"/>
      <c r="Z5062" s="10"/>
      <c r="AA5062" s="10"/>
      <c r="AB5062" s="10"/>
      <c r="AC5062" s="10"/>
      <c r="AD5062" s="10"/>
      <c r="AE5062" s="10"/>
      <c r="AF5062" s="10"/>
      <c r="AG5062" s="10"/>
      <c r="AH5062" s="10"/>
    </row>
    <row r="5063" spans="1:34" outlineLevel="2">
      <c r="A5063" s="34"/>
      <c r="B5063" s="12" t="str">
        <f>IFERROR(VLOOKUP(D5063,'[1]Перечень товаров'!$A$2:$I9525,2,0),"")</f>
        <v>м141</v>
      </c>
      <c r="C5063" s="12" t="str">
        <f>IFERROR(VLOOKUP(D5063,'[1]Перечень товаров'!$A$2:$I9525,3,0),"")</f>
        <v>мебель</v>
      </c>
      <c r="D5063" s="35" t="s">
        <v>1414</v>
      </c>
      <c r="E5063" s="23"/>
      <c r="F5063" s="23"/>
      <c r="G5063" s="232">
        <v>2</v>
      </c>
      <c r="H5063" s="232"/>
      <c r="I5063" s="233"/>
      <c r="J5063" s="233"/>
      <c r="K5063" s="19"/>
      <c r="L5063" s="20"/>
      <c r="M5063" s="10"/>
      <c r="N5063" s="10"/>
      <c r="O5063" s="10"/>
      <c r="P5063" s="10"/>
      <c r="Q5063" s="10"/>
      <c r="R5063" s="10"/>
      <c r="S5063" s="10"/>
      <c r="T5063" s="10"/>
      <c r="U5063" s="10"/>
      <c r="V5063" s="10"/>
      <c r="W5063" s="10"/>
      <c r="X5063" s="10"/>
      <c r="Y5063" s="10"/>
      <c r="Z5063" s="10"/>
      <c r="AA5063" s="10"/>
      <c r="AB5063" s="10"/>
      <c r="AC5063" s="10"/>
      <c r="AD5063" s="10"/>
      <c r="AE5063" s="10"/>
      <c r="AF5063" s="10"/>
      <c r="AG5063" s="10"/>
      <c r="AH5063" s="10"/>
    </row>
    <row r="5064" spans="1:34" outlineLevel="2">
      <c r="A5064" s="34"/>
      <c r="B5064" s="12" t="str">
        <f>IFERROR(VLOOKUP(D5064,'[1]Перечень товаров'!$A$2:$I9525,2,0),"")</f>
        <v>м150</v>
      </c>
      <c r="C5064" s="12" t="str">
        <f>IFERROR(VLOOKUP(D5064,'[1]Перечень товаров'!$A$2:$I9525,3,0),"")</f>
        <v>мебель</v>
      </c>
      <c r="D5064" s="35" t="s">
        <v>1232</v>
      </c>
      <c r="E5064" s="23"/>
      <c r="F5064" s="23"/>
      <c r="G5064" s="232">
        <v>2</v>
      </c>
      <c r="H5064" s="232"/>
      <c r="I5064" s="233"/>
      <c r="J5064" s="233"/>
      <c r="K5064" s="19"/>
      <c r="L5064" s="20"/>
      <c r="M5064" s="10"/>
      <c r="N5064" s="10"/>
      <c r="O5064" s="10"/>
      <c r="P5064" s="10"/>
      <c r="Q5064" s="10"/>
      <c r="R5064" s="10"/>
      <c r="S5064" s="10"/>
      <c r="T5064" s="10"/>
      <c r="U5064" s="10"/>
      <c r="V5064" s="10"/>
      <c r="W5064" s="10"/>
      <c r="X5064" s="10"/>
      <c r="Y5064" s="10"/>
      <c r="Z5064" s="10"/>
      <c r="AA5064" s="10"/>
      <c r="AB5064" s="10"/>
      <c r="AC5064" s="10"/>
      <c r="AD5064" s="10"/>
      <c r="AE5064" s="10"/>
      <c r="AF5064" s="10"/>
      <c r="AG5064" s="10"/>
      <c r="AH5064" s="10"/>
    </row>
    <row r="5065" spans="1:34" ht="12.75" outlineLevel="2">
      <c r="A5065" s="245"/>
      <c r="B5065" s="12" t="str">
        <f>IFERROR(VLOOKUP(D5065,'[1]Перечень товаров'!$A$2:$I9525,2,0),"")</f>
        <v/>
      </c>
      <c r="C5065" s="12" t="str">
        <f>IFERROR(VLOOKUP(D5065,'[1]Перечень товаров'!$A$2:$I9525,3,0),"")</f>
        <v/>
      </c>
      <c r="D5065" s="246" t="s">
        <v>1415</v>
      </c>
      <c r="E5065" s="15"/>
      <c r="F5065" s="15"/>
      <c r="G5065" s="234"/>
      <c r="H5065" s="234"/>
      <c r="I5065" s="235"/>
      <c r="J5065" s="235"/>
      <c r="K5065" s="19"/>
      <c r="L5065" s="20"/>
      <c r="M5065" s="10"/>
      <c r="N5065" s="10"/>
      <c r="O5065" s="10"/>
      <c r="P5065" s="10"/>
      <c r="Q5065" s="10"/>
      <c r="R5065" s="10"/>
      <c r="S5065" s="10"/>
      <c r="T5065" s="10"/>
      <c r="U5065" s="10"/>
      <c r="V5065" s="10"/>
      <c r="W5065" s="10"/>
      <c r="X5065" s="10"/>
      <c r="Y5065" s="10"/>
      <c r="Z5065" s="10"/>
      <c r="AA5065" s="10"/>
      <c r="AB5065" s="10"/>
      <c r="AC5065" s="10"/>
      <c r="AD5065" s="10"/>
      <c r="AE5065" s="10"/>
      <c r="AF5065" s="10"/>
      <c r="AG5065" s="10"/>
      <c r="AH5065" s="10"/>
    </row>
    <row r="5066" spans="1:34" ht="31.5" outlineLevel="2">
      <c r="A5066" s="21"/>
      <c r="B5066" s="12" t="str">
        <f>IFERROR(VLOOKUP(D5066,'[1]Перечень товаров'!$A$2:$I9525,2,0),"")</f>
        <v>д400</v>
      </c>
      <c r="C5066" s="12" t="str">
        <f>IFERROR(VLOOKUP(D5066,'[1]Перечень товаров'!$A$2:$I9525,3,0),"")</f>
        <v>дидактика</v>
      </c>
      <c r="D5066" s="22" t="s">
        <v>1416</v>
      </c>
      <c r="E5066" s="23"/>
      <c r="F5066" s="23"/>
      <c r="G5066" s="24">
        <v>1</v>
      </c>
      <c r="H5066" s="24"/>
      <c r="I5066" s="25"/>
      <c r="J5066" s="25"/>
      <c r="K5066" s="19"/>
      <c r="L5066" s="20"/>
      <c r="M5066" s="10"/>
      <c r="N5066" s="10"/>
      <c r="O5066" s="10"/>
      <c r="P5066" s="10"/>
      <c r="Q5066" s="10"/>
      <c r="R5066" s="10"/>
      <c r="S5066" s="10"/>
      <c r="T5066" s="10"/>
      <c r="U5066" s="10"/>
      <c r="V5066" s="10"/>
      <c r="W5066" s="10"/>
      <c r="X5066" s="10"/>
      <c r="Y5066" s="10"/>
      <c r="Z5066" s="10"/>
      <c r="AA5066" s="10"/>
      <c r="AB5066" s="10"/>
      <c r="AC5066" s="10"/>
      <c r="AD5066" s="10"/>
      <c r="AE5066" s="10"/>
      <c r="AF5066" s="10"/>
      <c r="AG5066" s="10"/>
      <c r="AH5066" s="10"/>
    </row>
    <row r="5067" spans="1:34" ht="31.5" outlineLevel="2">
      <c r="A5067" s="21"/>
      <c r="B5067" s="12" t="str">
        <f>IFERROR(VLOOKUP(D5067,'[1]Перечень товаров'!$A$2:$I9525,2,0),"")</f>
        <v>д399</v>
      </c>
      <c r="C5067" s="12" t="str">
        <f>IFERROR(VLOOKUP(D5067,'[1]Перечень товаров'!$A$2:$I9525,3,0),"")</f>
        <v>дидактика</v>
      </c>
      <c r="D5067" s="22" t="s">
        <v>1417</v>
      </c>
      <c r="E5067" s="23"/>
      <c r="F5067" s="23"/>
      <c r="G5067" s="24">
        <v>1</v>
      </c>
      <c r="H5067" s="24"/>
      <c r="I5067" s="25"/>
      <c r="J5067" s="25"/>
      <c r="K5067" s="19"/>
      <c r="L5067" s="20"/>
      <c r="M5067" s="10"/>
      <c r="N5067" s="10"/>
      <c r="O5067" s="10"/>
      <c r="P5067" s="10"/>
      <c r="Q5067" s="10"/>
      <c r="R5067" s="10"/>
      <c r="S5067" s="10"/>
      <c r="T5067" s="10"/>
      <c r="U5067" s="10"/>
      <c r="V5067" s="10"/>
      <c r="W5067" s="10"/>
      <c r="X5067" s="10"/>
      <c r="Y5067" s="10"/>
      <c r="Z5067" s="10"/>
      <c r="AA5067" s="10"/>
      <c r="AB5067" s="10"/>
      <c r="AC5067" s="10"/>
      <c r="AD5067" s="10"/>
      <c r="AE5067" s="10"/>
      <c r="AF5067" s="10"/>
      <c r="AG5067" s="10"/>
      <c r="AH5067" s="10"/>
    </row>
    <row r="5068" spans="1:34" ht="31.5" outlineLevel="2">
      <c r="A5068" s="21"/>
      <c r="B5068" s="12" t="str">
        <f>IFERROR(VLOOKUP(D5068,'[1]Перечень товаров'!$A$2:$I9525,2,0),"")</f>
        <v>д398</v>
      </c>
      <c r="C5068" s="12" t="str">
        <f>IFERROR(VLOOKUP(D5068,'[1]Перечень товаров'!$A$2:$I9525,3,0),"")</f>
        <v>дидактика</v>
      </c>
      <c r="D5068" s="22" t="s">
        <v>1418</v>
      </c>
      <c r="E5068" s="23"/>
      <c r="F5068" s="23"/>
      <c r="G5068" s="24">
        <v>1</v>
      </c>
      <c r="H5068" s="24"/>
      <c r="I5068" s="25"/>
      <c r="J5068" s="25"/>
      <c r="K5068" s="19"/>
      <c r="L5068" s="20"/>
      <c r="M5068" s="10"/>
      <c r="N5068" s="10"/>
      <c r="O5068" s="10"/>
      <c r="P5068" s="10"/>
      <c r="Q5068" s="10"/>
      <c r="R5068" s="10"/>
      <c r="S5068" s="10"/>
      <c r="T5068" s="10"/>
      <c r="U5068" s="10"/>
      <c r="V5068" s="10"/>
      <c r="W5068" s="10"/>
      <c r="X5068" s="10"/>
      <c r="Y5068" s="10"/>
      <c r="Z5068" s="10"/>
      <c r="AA5068" s="10"/>
      <c r="AB5068" s="10"/>
      <c r="AC5068" s="10"/>
      <c r="AD5068" s="10"/>
      <c r="AE5068" s="10"/>
      <c r="AF5068" s="10"/>
      <c r="AG5068" s="10"/>
      <c r="AH5068" s="10"/>
    </row>
    <row r="5069" spans="1:34" ht="31.5" outlineLevel="2">
      <c r="A5069" s="21"/>
      <c r="B5069" s="12" t="str">
        <f>IFERROR(VLOOKUP(D5069,'[1]Перечень товаров'!$A$2:$I9525,2,0),"")</f>
        <v>д481</v>
      </c>
      <c r="C5069" s="12" t="str">
        <f>IFERROR(VLOOKUP(D5069,'[1]Перечень товаров'!$A$2:$I9525,3,0),"")</f>
        <v>дидактика</v>
      </c>
      <c r="D5069" s="22" t="s">
        <v>1282</v>
      </c>
      <c r="E5069" s="23"/>
      <c r="F5069" s="23"/>
      <c r="G5069" s="242">
        <v>1</v>
      </c>
      <c r="H5069" s="242"/>
      <c r="I5069" s="243"/>
      <c r="J5069" s="243"/>
      <c r="K5069" s="19"/>
      <c r="L5069" s="20"/>
      <c r="M5069" s="10"/>
      <c r="N5069" s="10"/>
      <c r="O5069" s="10"/>
      <c r="P5069" s="10"/>
      <c r="Q5069" s="10"/>
      <c r="R5069" s="10"/>
      <c r="S5069" s="10"/>
      <c r="T5069" s="10"/>
      <c r="U5069" s="10"/>
      <c r="V5069" s="10"/>
      <c r="W5069" s="10"/>
      <c r="X5069" s="10"/>
      <c r="Y5069" s="10"/>
      <c r="Z5069" s="10"/>
      <c r="AA5069" s="10"/>
      <c r="AB5069" s="10"/>
      <c r="AC5069" s="10"/>
      <c r="AD5069" s="10"/>
      <c r="AE5069" s="10"/>
      <c r="AF5069" s="10"/>
      <c r="AG5069" s="10"/>
      <c r="AH5069" s="10"/>
    </row>
    <row r="5070" spans="1:34" ht="31.5" outlineLevel="2">
      <c r="A5070" s="21"/>
      <c r="B5070" s="12" t="str">
        <f>IFERROR(VLOOKUP(D5070,'[1]Перечень товаров'!$A$2:$I9525,2,0),"")</f>
        <v>д397</v>
      </c>
      <c r="C5070" s="12" t="str">
        <f>IFERROR(VLOOKUP(D5070,'[1]Перечень товаров'!$A$2:$I9525,3,0),"")</f>
        <v>дидактика</v>
      </c>
      <c r="D5070" s="22" t="s">
        <v>1419</v>
      </c>
      <c r="E5070" s="23"/>
      <c r="F5070" s="23"/>
      <c r="G5070" s="242">
        <v>1</v>
      </c>
      <c r="H5070" s="242"/>
      <c r="I5070" s="243"/>
      <c r="J5070" s="243"/>
      <c r="K5070" s="19"/>
      <c r="L5070" s="20"/>
      <c r="M5070" s="10"/>
      <c r="N5070" s="10"/>
      <c r="O5070" s="10"/>
      <c r="P5070" s="10"/>
      <c r="Q5070" s="10"/>
      <c r="R5070" s="10"/>
      <c r="S5070" s="10"/>
      <c r="T5070" s="10"/>
      <c r="U5070" s="10"/>
      <c r="V5070" s="10"/>
      <c r="W5070" s="10"/>
      <c r="X5070" s="10"/>
      <c r="Y5070" s="10"/>
      <c r="Z5070" s="10"/>
      <c r="AA5070" s="10"/>
      <c r="AB5070" s="10"/>
      <c r="AC5070" s="10"/>
      <c r="AD5070" s="10"/>
      <c r="AE5070" s="10"/>
      <c r="AF5070" s="10"/>
      <c r="AG5070" s="10"/>
      <c r="AH5070" s="10"/>
    </row>
    <row r="5071" spans="1:34" ht="47.25" outlineLevel="2">
      <c r="A5071" s="21"/>
      <c r="B5071" s="12" t="str">
        <f>IFERROR(VLOOKUP(D5071,'[1]Перечень товаров'!$A$2:$I9525,2,0),"")</f>
        <v>д396</v>
      </c>
      <c r="C5071" s="12" t="str">
        <f>IFERROR(VLOOKUP(D5071,'[1]Перечень товаров'!$A$2:$I9525,3,0),"")</f>
        <v>дидактика</v>
      </c>
      <c r="D5071" s="22" t="s">
        <v>1420</v>
      </c>
      <c r="E5071" s="23"/>
      <c r="F5071" s="23"/>
      <c r="G5071" s="242">
        <v>1</v>
      </c>
      <c r="H5071" s="242"/>
      <c r="I5071" s="243"/>
      <c r="J5071" s="243"/>
      <c r="K5071" s="19"/>
      <c r="L5071" s="20"/>
      <c r="M5071" s="10"/>
      <c r="N5071" s="10"/>
      <c r="O5071" s="10"/>
      <c r="P5071" s="10"/>
      <c r="Q5071" s="10"/>
      <c r="R5071" s="10"/>
      <c r="S5071" s="10"/>
      <c r="T5071" s="10"/>
      <c r="U5071" s="10"/>
      <c r="V5071" s="10"/>
      <c r="W5071" s="10"/>
      <c r="X5071" s="10"/>
      <c r="Y5071" s="10"/>
      <c r="Z5071" s="10"/>
      <c r="AA5071" s="10"/>
      <c r="AB5071" s="10"/>
      <c r="AC5071" s="10"/>
      <c r="AD5071" s="10"/>
      <c r="AE5071" s="10"/>
      <c r="AF5071" s="10"/>
      <c r="AG5071" s="10"/>
      <c r="AH5071" s="10"/>
    </row>
    <row r="5072" spans="1:34" outlineLevel="2">
      <c r="A5072" s="21"/>
      <c r="B5072" s="12" t="str">
        <f>IFERROR(VLOOKUP(D5072,'[1]Перечень товаров'!$A$2:$I9525,2,0),"")</f>
        <v>д395</v>
      </c>
      <c r="C5072" s="12" t="str">
        <f>IFERROR(VLOOKUP(D5072,'[1]Перечень товаров'!$A$2:$I9525,3,0),"")</f>
        <v>дидактика</v>
      </c>
      <c r="D5072" s="22" t="s">
        <v>1421</v>
      </c>
      <c r="E5072" s="23"/>
      <c r="F5072" s="23"/>
      <c r="G5072" s="242">
        <v>1</v>
      </c>
      <c r="H5072" s="242"/>
      <c r="I5072" s="243"/>
      <c r="J5072" s="243"/>
      <c r="K5072" s="19"/>
      <c r="L5072" s="20"/>
      <c r="M5072" s="10"/>
      <c r="N5072" s="10"/>
      <c r="O5072" s="10"/>
      <c r="P5072" s="10"/>
      <c r="Q5072" s="10"/>
      <c r="R5072" s="10"/>
      <c r="S5072" s="10"/>
      <c r="T5072" s="10"/>
      <c r="U5072" s="10"/>
      <c r="V5072" s="10"/>
      <c r="W5072" s="10"/>
      <c r="X5072" s="10"/>
      <c r="Y5072" s="10"/>
      <c r="Z5072" s="10"/>
      <c r="AA5072" s="10"/>
      <c r="AB5072" s="10"/>
      <c r="AC5072" s="10"/>
      <c r="AD5072" s="10"/>
      <c r="AE5072" s="10"/>
      <c r="AF5072" s="10"/>
      <c r="AG5072" s="10"/>
      <c r="AH5072" s="10"/>
    </row>
    <row r="5073" spans="1:34" ht="31.5" outlineLevel="2">
      <c r="A5073" s="21"/>
      <c r="B5073" s="12" t="str">
        <f>IFERROR(VLOOKUP(D5073,'[1]Перечень товаров'!$A$2:$I9525,2,0),"")</f>
        <v>д394</v>
      </c>
      <c r="C5073" s="12" t="str">
        <f>IFERROR(VLOOKUP(D5073,'[1]Перечень товаров'!$A$2:$I9525,3,0),"")</f>
        <v>дидактика</v>
      </c>
      <c r="D5073" s="22" t="s">
        <v>1422</v>
      </c>
      <c r="E5073" s="23"/>
      <c r="F5073" s="23"/>
      <c r="G5073" s="242">
        <v>1</v>
      </c>
      <c r="H5073" s="242"/>
      <c r="I5073" s="243"/>
      <c r="J5073" s="243"/>
      <c r="K5073" s="19"/>
      <c r="L5073" s="20"/>
      <c r="M5073" s="10"/>
      <c r="N5073" s="10"/>
      <c r="O5073" s="10"/>
      <c r="P5073" s="10"/>
      <c r="Q5073" s="10"/>
      <c r="R5073" s="10"/>
      <c r="S5073" s="10"/>
      <c r="T5073" s="10"/>
      <c r="U5073" s="10"/>
      <c r="V5073" s="10"/>
      <c r="W5073" s="10"/>
      <c r="X5073" s="10"/>
      <c r="Y5073" s="10"/>
      <c r="Z5073" s="10"/>
      <c r="AA5073" s="10"/>
      <c r="AB5073" s="10"/>
      <c r="AC5073" s="10"/>
      <c r="AD5073" s="10"/>
      <c r="AE5073" s="10"/>
      <c r="AF5073" s="10"/>
      <c r="AG5073" s="10"/>
      <c r="AH5073" s="10"/>
    </row>
    <row r="5074" spans="1:34" ht="31.5" outlineLevel="2">
      <c r="A5074" s="21"/>
      <c r="B5074" s="12" t="str">
        <f>IFERROR(VLOOKUP(D5074,'[1]Перечень товаров'!$A$2:$I9525,2,0),"")</f>
        <v>д393</v>
      </c>
      <c r="C5074" s="12" t="str">
        <f>IFERROR(VLOOKUP(D5074,'[1]Перечень товаров'!$A$2:$I9525,3,0),"")</f>
        <v>дидактика</v>
      </c>
      <c r="D5074" s="22" t="s">
        <v>1423</v>
      </c>
      <c r="E5074" s="23"/>
      <c r="F5074" s="23"/>
      <c r="G5074" s="242">
        <v>1</v>
      </c>
      <c r="H5074" s="242"/>
      <c r="I5074" s="243"/>
      <c r="J5074" s="243"/>
      <c r="K5074" s="19"/>
      <c r="L5074" s="20"/>
      <c r="M5074" s="10"/>
      <c r="N5074" s="10"/>
      <c r="O5074" s="10"/>
      <c r="P5074" s="10"/>
      <c r="Q5074" s="10"/>
      <c r="R5074" s="10"/>
      <c r="S5074" s="10"/>
      <c r="T5074" s="10"/>
      <c r="U5074" s="10"/>
      <c r="V5074" s="10"/>
      <c r="W5074" s="10"/>
      <c r="X5074" s="10"/>
      <c r="Y5074" s="10"/>
      <c r="Z5074" s="10"/>
      <c r="AA5074" s="10"/>
      <c r="AB5074" s="10"/>
      <c r="AC5074" s="10"/>
      <c r="AD5074" s="10"/>
      <c r="AE5074" s="10"/>
      <c r="AF5074" s="10"/>
      <c r="AG5074" s="10"/>
      <c r="AH5074" s="10"/>
    </row>
    <row r="5075" spans="1:34" ht="31.5" outlineLevel="2">
      <c r="A5075" s="21"/>
      <c r="B5075" s="12" t="str">
        <f>IFERROR(VLOOKUP(D5075,'[1]Перечень товаров'!$A$2:$I9525,2,0),"")</f>
        <v>д392</v>
      </c>
      <c r="C5075" s="12" t="str">
        <f>IFERROR(VLOOKUP(D5075,'[1]Перечень товаров'!$A$2:$I9525,3,0),"")</f>
        <v>дидактика</v>
      </c>
      <c r="D5075" s="22" t="s">
        <v>1424</v>
      </c>
      <c r="E5075" s="23"/>
      <c r="F5075" s="23"/>
      <c r="G5075" s="242">
        <v>1</v>
      </c>
      <c r="H5075" s="242"/>
      <c r="I5075" s="243"/>
      <c r="J5075" s="243"/>
      <c r="K5075" s="19"/>
      <c r="L5075" s="20"/>
      <c r="M5075" s="10"/>
      <c r="N5075" s="10"/>
      <c r="O5075" s="10"/>
      <c r="P5075" s="10"/>
      <c r="Q5075" s="10"/>
      <c r="R5075" s="10"/>
      <c r="S5075" s="10"/>
      <c r="T5075" s="10"/>
      <c r="U5075" s="10"/>
      <c r="V5075" s="10"/>
      <c r="W5075" s="10"/>
      <c r="X5075" s="10"/>
      <c r="Y5075" s="10"/>
      <c r="Z5075" s="10"/>
      <c r="AA5075" s="10"/>
      <c r="AB5075" s="10"/>
      <c r="AC5075" s="10"/>
      <c r="AD5075" s="10"/>
      <c r="AE5075" s="10"/>
      <c r="AF5075" s="10"/>
      <c r="AG5075" s="10"/>
      <c r="AH5075" s="10"/>
    </row>
    <row r="5076" spans="1:34" ht="31.5" outlineLevel="2">
      <c r="A5076" s="21"/>
      <c r="B5076" s="12" t="str">
        <f>IFERROR(VLOOKUP(D5076,'[1]Перечень товаров'!$A$2:$I9525,2,0),"")</f>
        <v>д391</v>
      </c>
      <c r="C5076" s="12" t="str">
        <f>IFERROR(VLOOKUP(D5076,'[1]Перечень товаров'!$A$2:$I9525,3,0),"")</f>
        <v>дидактика</v>
      </c>
      <c r="D5076" s="22" t="s">
        <v>1425</v>
      </c>
      <c r="E5076" s="23"/>
      <c r="F5076" s="23"/>
      <c r="G5076" s="242">
        <v>1</v>
      </c>
      <c r="H5076" s="242"/>
      <c r="I5076" s="243"/>
      <c r="J5076" s="243"/>
      <c r="K5076" s="19"/>
      <c r="L5076" s="20"/>
      <c r="M5076" s="10"/>
      <c r="N5076" s="10"/>
      <c r="O5076" s="10"/>
      <c r="P5076" s="10"/>
      <c r="Q5076" s="10"/>
      <c r="R5076" s="10"/>
      <c r="S5076" s="10"/>
      <c r="T5076" s="10"/>
      <c r="U5076" s="10"/>
      <c r="V5076" s="10"/>
      <c r="W5076" s="10"/>
      <c r="X5076" s="10"/>
      <c r="Y5076" s="10"/>
      <c r="Z5076" s="10"/>
      <c r="AA5076" s="10"/>
      <c r="AB5076" s="10"/>
      <c r="AC5076" s="10"/>
      <c r="AD5076" s="10"/>
      <c r="AE5076" s="10"/>
      <c r="AF5076" s="10"/>
      <c r="AG5076" s="10"/>
      <c r="AH5076" s="10"/>
    </row>
    <row r="5077" spans="1:34" ht="78.75" outlineLevel="2">
      <c r="A5077" s="21"/>
      <c r="B5077" s="12" t="str">
        <f>IFERROR(VLOOKUP(D5077,'[1]Перечень товаров'!$A$2:$I9525,2,0),"")</f>
        <v>д390</v>
      </c>
      <c r="C5077" s="12" t="str">
        <f>IFERROR(VLOOKUP(D5077,'[1]Перечень товаров'!$A$2:$I9525,3,0),"")</f>
        <v>дидактика</v>
      </c>
      <c r="D5077" s="22" t="s">
        <v>1426</v>
      </c>
      <c r="E5077" s="23"/>
      <c r="F5077" s="23"/>
      <c r="G5077" s="242">
        <v>1</v>
      </c>
      <c r="H5077" s="242"/>
      <c r="I5077" s="243"/>
      <c r="J5077" s="243"/>
      <c r="K5077" s="19"/>
      <c r="L5077" s="20"/>
      <c r="M5077" s="10"/>
      <c r="N5077" s="10"/>
      <c r="O5077" s="10"/>
      <c r="P5077" s="10"/>
      <c r="Q5077" s="10"/>
      <c r="R5077" s="10"/>
      <c r="S5077" s="10"/>
      <c r="T5077" s="10"/>
      <c r="U5077" s="10"/>
      <c r="V5077" s="10"/>
      <c r="W5077" s="10"/>
      <c r="X5077" s="10"/>
      <c r="Y5077" s="10"/>
      <c r="Z5077" s="10"/>
      <c r="AA5077" s="10"/>
      <c r="AB5077" s="10"/>
      <c r="AC5077" s="10"/>
      <c r="AD5077" s="10"/>
      <c r="AE5077" s="10"/>
      <c r="AF5077" s="10"/>
      <c r="AG5077" s="10"/>
      <c r="AH5077" s="10"/>
    </row>
    <row r="5078" spans="1:34" ht="31.5" outlineLevel="2">
      <c r="A5078" s="21"/>
      <c r="B5078" s="12" t="str">
        <f>IFERROR(VLOOKUP(D5078,'[1]Перечень товаров'!$A$2:$I9525,2,0),"")</f>
        <v>д389</v>
      </c>
      <c r="C5078" s="12" t="str">
        <f>IFERROR(VLOOKUP(D5078,'[1]Перечень товаров'!$A$2:$I9525,3,0),"")</f>
        <v>дидактика</v>
      </c>
      <c r="D5078" s="22" t="s">
        <v>1427</v>
      </c>
      <c r="E5078" s="23"/>
      <c r="F5078" s="23"/>
      <c r="G5078" s="242">
        <v>1</v>
      </c>
      <c r="H5078" s="242"/>
      <c r="I5078" s="243"/>
      <c r="J5078" s="243"/>
      <c r="K5078" s="19"/>
      <c r="L5078" s="20"/>
      <c r="M5078" s="10"/>
      <c r="N5078" s="10"/>
      <c r="O5078" s="10"/>
      <c r="P5078" s="10"/>
      <c r="Q5078" s="10"/>
      <c r="R5078" s="10"/>
      <c r="S5078" s="10"/>
      <c r="T5078" s="10"/>
      <c r="U5078" s="10"/>
      <c r="V5078" s="10"/>
      <c r="W5078" s="10"/>
      <c r="X5078" s="10"/>
      <c r="Y5078" s="10"/>
      <c r="Z5078" s="10"/>
      <c r="AA5078" s="10"/>
      <c r="AB5078" s="10"/>
      <c r="AC5078" s="10"/>
      <c r="AD5078" s="10"/>
      <c r="AE5078" s="10"/>
      <c r="AF5078" s="10"/>
      <c r="AG5078" s="10"/>
      <c r="AH5078" s="10"/>
    </row>
    <row r="5079" spans="1:34" ht="31.5" outlineLevel="2">
      <c r="A5079" s="21"/>
      <c r="B5079" s="12" t="str">
        <f>IFERROR(VLOOKUP(D5079,'[1]Перечень товаров'!$A$2:$I9525,2,0),"")</f>
        <v>д388</v>
      </c>
      <c r="C5079" s="12" t="str">
        <f>IFERROR(VLOOKUP(D5079,'[1]Перечень товаров'!$A$2:$I9525,3,0),"")</f>
        <v>дидактика</v>
      </c>
      <c r="D5079" s="22" t="s">
        <v>1428</v>
      </c>
      <c r="E5079" s="23"/>
      <c r="F5079" s="23"/>
      <c r="G5079" s="242">
        <v>1</v>
      </c>
      <c r="H5079" s="242"/>
      <c r="I5079" s="243"/>
      <c r="J5079" s="243"/>
      <c r="K5079" s="19"/>
      <c r="L5079" s="20"/>
      <c r="M5079" s="10"/>
      <c r="N5079" s="10"/>
      <c r="O5079" s="10"/>
      <c r="P5079" s="10"/>
      <c r="Q5079" s="10"/>
      <c r="R5079" s="10"/>
      <c r="S5079" s="10"/>
      <c r="T5079" s="10"/>
      <c r="U5079" s="10"/>
      <c r="V5079" s="10"/>
      <c r="W5079" s="10"/>
      <c r="X5079" s="10"/>
      <c r="Y5079" s="10"/>
      <c r="Z5079" s="10"/>
      <c r="AA5079" s="10"/>
      <c r="AB5079" s="10"/>
      <c r="AC5079" s="10"/>
      <c r="AD5079" s="10"/>
      <c r="AE5079" s="10"/>
      <c r="AF5079" s="10"/>
      <c r="AG5079" s="10"/>
      <c r="AH5079" s="10"/>
    </row>
    <row r="5080" spans="1:34" ht="31.5" outlineLevel="2">
      <c r="A5080" s="21"/>
      <c r="B5080" s="12" t="str">
        <f>IFERROR(VLOOKUP(D5080,'[1]Перечень товаров'!$A$2:$I9525,2,0),"")</f>
        <v>д387</v>
      </c>
      <c r="C5080" s="12" t="str">
        <f>IFERROR(VLOOKUP(D5080,'[1]Перечень товаров'!$A$2:$I9525,3,0),"")</f>
        <v>дидактика</v>
      </c>
      <c r="D5080" s="22" t="s">
        <v>1429</v>
      </c>
      <c r="E5080" s="23"/>
      <c r="F5080" s="23"/>
      <c r="G5080" s="242">
        <v>1</v>
      </c>
      <c r="H5080" s="242"/>
      <c r="I5080" s="243"/>
      <c r="J5080" s="243"/>
      <c r="K5080" s="19"/>
      <c r="L5080" s="20"/>
      <c r="M5080" s="10"/>
      <c r="N5080" s="10"/>
      <c r="O5080" s="10"/>
      <c r="P5080" s="10"/>
      <c r="Q5080" s="10"/>
      <c r="R5080" s="10"/>
      <c r="S5080" s="10"/>
      <c r="T5080" s="10"/>
      <c r="U5080" s="10"/>
      <c r="V5080" s="10"/>
      <c r="W5080" s="10"/>
      <c r="X5080" s="10"/>
      <c r="Y5080" s="10"/>
      <c r="Z5080" s="10"/>
      <c r="AA5080" s="10"/>
      <c r="AB5080" s="10"/>
      <c r="AC5080" s="10"/>
      <c r="AD5080" s="10"/>
      <c r="AE5080" s="10"/>
      <c r="AF5080" s="10"/>
      <c r="AG5080" s="10"/>
      <c r="AH5080" s="10"/>
    </row>
    <row r="5081" spans="1:34" ht="31.5" outlineLevel="2">
      <c r="A5081" s="21"/>
      <c r="B5081" s="12" t="str">
        <f>IFERROR(VLOOKUP(D5081,'[1]Перечень товаров'!$A$2:$I9525,2,0),"")</f>
        <v>д386</v>
      </c>
      <c r="C5081" s="12" t="str">
        <f>IFERROR(VLOOKUP(D5081,'[1]Перечень товаров'!$A$2:$I9525,3,0),"")</f>
        <v>дидактика</v>
      </c>
      <c r="D5081" s="22" t="s">
        <v>1430</v>
      </c>
      <c r="E5081" s="23"/>
      <c r="F5081" s="23"/>
      <c r="G5081" s="242">
        <v>1</v>
      </c>
      <c r="H5081" s="242"/>
      <c r="I5081" s="243"/>
      <c r="J5081" s="243"/>
      <c r="K5081" s="19"/>
      <c r="L5081" s="20"/>
      <c r="M5081" s="10"/>
      <c r="N5081" s="10"/>
      <c r="O5081" s="10"/>
      <c r="P5081" s="10"/>
      <c r="Q5081" s="10"/>
      <c r="R5081" s="10"/>
      <c r="S5081" s="10"/>
      <c r="T5081" s="10"/>
      <c r="U5081" s="10"/>
      <c r="V5081" s="10"/>
      <c r="W5081" s="10"/>
      <c r="X5081" s="10"/>
      <c r="Y5081" s="10"/>
      <c r="Z5081" s="10"/>
      <c r="AA5081" s="10"/>
      <c r="AB5081" s="10"/>
      <c r="AC5081" s="10"/>
      <c r="AD5081" s="10"/>
      <c r="AE5081" s="10"/>
      <c r="AF5081" s="10"/>
      <c r="AG5081" s="10"/>
      <c r="AH5081" s="10"/>
    </row>
    <row r="5082" spans="1:34" ht="47.25" outlineLevel="2">
      <c r="A5082" s="21"/>
      <c r="B5082" s="12" t="str">
        <f>IFERROR(VLOOKUP(D5082,'[1]Перечень товаров'!$A$2:$I9525,2,0),"")</f>
        <v>д385</v>
      </c>
      <c r="C5082" s="12" t="str">
        <f>IFERROR(VLOOKUP(D5082,'[1]Перечень товаров'!$A$2:$I9525,3,0),"")</f>
        <v>дидактика</v>
      </c>
      <c r="D5082" s="22" t="s">
        <v>1431</v>
      </c>
      <c r="E5082" s="23"/>
      <c r="F5082" s="23"/>
      <c r="G5082" s="242">
        <v>1</v>
      </c>
      <c r="H5082" s="242"/>
      <c r="I5082" s="243"/>
      <c r="J5082" s="243"/>
      <c r="K5082" s="19"/>
      <c r="L5082" s="20"/>
      <c r="M5082" s="10"/>
      <c r="N5082" s="10"/>
      <c r="O5082" s="10"/>
      <c r="P5082" s="10"/>
      <c r="Q5082" s="10"/>
      <c r="R5082" s="10"/>
      <c r="S5082" s="10"/>
      <c r="T5082" s="10"/>
      <c r="U5082" s="10"/>
      <c r="V5082" s="10"/>
      <c r="W5082" s="10"/>
      <c r="X5082" s="10"/>
      <c r="Y5082" s="10"/>
      <c r="Z5082" s="10"/>
      <c r="AA5082" s="10"/>
      <c r="AB5082" s="10"/>
      <c r="AC5082" s="10"/>
      <c r="AD5082" s="10"/>
      <c r="AE5082" s="10"/>
      <c r="AF5082" s="10"/>
      <c r="AG5082" s="10"/>
      <c r="AH5082" s="10"/>
    </row>
    <row r="5083" spans="1:34" ht="31.5" outlineLevel="2">
      <c r="A5083" s="21"/>
      <c r="B5083" s="12" t="str">
        <f>IFERROR(VLOOKUP(D5083,'[1]Перечень товаров'!$A$2:$I9525,2,0),"")</f>
        <v>д384</v>
      </c>
      <c r="C5083" s="12" t="str">
        <f>IFERROR(VLOOKUP(D5083,'[1]Перечень товаров'!$A$2:$I9525,3,0),"")</f>
        <v>дидактика</v>
      </c>
      <c r="D5083" s="22" t="s">
        <v>1432</v>
      </c>
      <c r="E5083" s="23"/>
      <c r="F5083" s="23"/>
      <c r="G5083" s="242">
        <v>1</v>
      </c>
      <c r="H5083" s="242"/>
      <c r="I5083" s="243"/>
      <c r="J5083" s="243"/>
      <c r="K5083" s="19"/>
      <c r="L5083" s="20"/>
      <c r="M5083" s="10"/>
      <c r="N5083" s="10"/>
      <c r="O5083" s="10"/>
      <c r="P5083" s="10"/>
      <c r="Q5083" s="10"/>
      <c r="R5083" s="10"/>
      <c r="S5083" s="10"/>
      <c r="T5083" s="10"/>
      <c r="U5083" s="10"/>
      <c r="V5083" s="10"/>
      <c r="W5083" s="10"/>
      <c r="X5083" s="10"/>
      <c r="Y5083" s="10"/>
      <c r="Z5083" s="10"/>
      <c r="AA5083" s="10"/>
      <c r="AB5083" s="10"/>
      <c r="AC5083" s="10"/>
      <c r="AD5083" s="10"/>
      <c r="AE5083" s="10"/>
      <c r="AF5083" s="10"/>
      <c r="AG5083" s="10"/>
      <c r="AH5083" s="10"/>
    </row>
    <row r="5084" spans="1:34" ht="31.5" outlineLevel="2">
      <c r="A5084" s="21"/>
      <c r="B5084" s="12" t="str">
        <f>IFERROR(VLOOKUP(D5084,'[1]Перечень товаров'!$A$2:$I9525,2,0),"")</f>
        <v>д383</v>
      </c>
      <c r="C5084" s="12" t="str">
        <f>IFERROR(VLOOKUP(D5084,'[1]Перечень товаров'!$A$2:$I9525,3,0),"")</f>
        <v>дидактика</v>
      </c>
      <c r="D5084" s="22" t="s">
        <v>1433</v>
      </c>
      <c r="E5084" s="23"/>
      <c r="F5084" s="23"/>
      <c r="G5084" s="242">
        <v>1</v>
      </c>
      <c r="H5084" s="242"/>
      <c r="I5084" s="243"/>
      <c r="J5084" s="243"/>
      <c r="K5084" s="19"/>
      <c r="L5084" s="20"/>
      <c r="M5084" s="10"/>
      <c r="N5084" s="10"/>
      <c r="O5084" s="10"/>
      <c r="P5084" s="10"/>
      <c r="Q5084" s="10"/>
      <c r="R5084" s="10"/>
      <c r="S5084" s="10"/>
      <c r="T5084" s="10"/>
      <c r="U5084" s="10"/>
      <c r="V5084" s="10"/>
      <c r="W5084" s="10"/>
      <c r="X5084" s="10"/>
      <c r="Y5084" s="10"/>
      <c r="Z5084" s="10"/>
      <c r="AA5084" s="10"/>
      <c r="AB5084" s="10"/>
      <c r="AC5084" s="10"/>
      <c r="AD5084" s="10"/>
      <c r="AE5084" s="10"/>
      <c r="AF5084" s="10"/>
      <c r="AG5084" s="10"/>
      <c r="AH5084" s="10"/>
    </row>
    <row r="5085" spans="1:34" ht="63" outlineLevel="2">
      <c r="A5085" s="21"/>
      <c r="B5085" s="12" t="str">
        <f>IFERROR(VLOOKUP(D5085,'[1]Перечень товаров'!$A$2:$I9525,2,0),"")</f>
        <v>д382</v>
      </c>
      <c r="C5085" s="12" t="str">
        <f>IFERROR(VLOOKUP(D5085,'[1]Перечень товаров'!$A$2:$I9525,3,0),"")</f>
        <v>дидактика</v>
      </c>
      <c r="D5085" s="22" t="s">
        <v>1434</v>
      </c>
      <c r="E5085" s="23"/>
      <c r="F5085" s="23"/>
      <c r="G5085" s="242">
        <v>1</v>
      </c>
      <c r="H5085" s="242"/>
      <c r="I5085" s="243"/>
      <c r="J5085" s="243"/>
      <c r="K5085" s="19"/>
      <c r="L5085" s="20"/>
      <c r="M5085" s="10"/>
      <c r="N5085" s="10"/>
      <c r="O5085" s="10"/>
      <c r="P5085" s="10"/>
      <c r="Q5085" s="10"/>
      <c r="R5085" s="10"/>
      <c r="S5085" s="10"/>
      <c r="T5085" s="10"/>
      <c r="U5085" s="10"/>
      <c r="V5085" s="10"/>
      <c r="W5085" s="10"/>
      <c r="X5085" s="10"/>
      <c r="Y5085" s="10"/>
      <c r="Z5085" s="10"/>
      <c r="AA5085" s="10"/>
      <c r="AB5085" s="10"/>
      <c r="AC5085" s="10"/>
      <c r="AD5085" s="10"/>
      <c r="AE5085" s="10"/>
      <c r="AF5085" s="10"/>
      <c r="AG5085" s="10"/>
      <c r="AH5085" s="10"/>
    </row>
    <row r="5086" spans="1:34" ht="31.5" outlineLevel="2">
      <c r="A5086" s="21"/>
      <c r="B5086" s="12" t="str">
        <f>IFERROR(VLOOKUP(D5086,'[1]Перечень товаров'!$A$2:$I9525,2,0),"")</f>
        <v>д381</v>
      </c>
      <c r="C5086" s="12" t="str">
        <f>IFERROR(VLOOKUP(D5086,'[1]Перечень товаров'!$A$2:$I9525,3,0),"")</f>
        <v>дидактика</v>
      </c>
      <c r="D5086" s="22" t="s">
        <v>1435</v>
      </c>
      <c r="E5086" s="23"/>
      <c r="F5086" s="23"/>
      <c r="G5086" s="242">
        <v>1</v>
      </c>
      <c r="H5086" s="242"/>
      <c r="I5086" s="243"/>
      <c r="J5086" s="243"/>
      <c r="K5086" s="19"/>
      <c r="L5086" s="20"/>
      <c r="M5086" s="10"/>
      <c r="N5086" s="10"/>
      <c r="O5086" s="10"/>
      <c r="P5086" s="10"/>
      <c r="Q5086" s="10"/>
      <c r="R5086" s="10"/>
      <c r="S5086" s="10"/>
      <c r="T5086" s="10"/>
      <c r="U5086" s="10"/>
      <c r="V5086" s="10"/>
      <c r="W5086" s="10"/>
      <c r="X5086" s="10"/>
      <c r="Y5086" s="10"/>
      <c r="Z5086" s="10"/>
      <c r="AA5086" s="10"/>
      <c r="AB5086" s="10"/>
      <c r="AC5086" s="10"/>
      <c r="AD5086" s="10"/>
      <c r="AE5086" s="10"/>
      <c r="AF5086" s="10"/>
      <c r="AG5086" s="10"/>
      <c r="AH5086" s="10"/>
    </row>
    <row r="5087" spans="1:34" ht="31.5" outlineLevel="2">
      <c r="A5087" s="21"/>
      <c r="B5087" s="12" t="str">
        <f>IFERROR(VLOOKUP(D5087,'[1]Перечень товаров'!$A$2:$I9525,2,0),"")</f>
        <v>д380</v>
      </c>
      <c r="C5087" s="12" t="str">
        <f>IFERROR(VLOOKUP(D5087,'[1]Перечень товаров'!$A$2:$I9525,3,0),"")</f>
        <v>дидактика</v>
      </c>
      <c r="D5087" s="22" t="s">
        <v>1436</v>
      </c>
      <c r="E5087" s="23"/>
      <c r="F5087" s="23"/>
      <c r="G5087" s="242">
        <v>1</v>
      </c>
      <c r="H5087" s="242"/>
      <c r="I5087" s="243"/>
      <c r="J5087" s="243"/>
      <c r="K5087" s="19"/>
      <c r="L5087" s="20"/>
      <c r="M5087" s="10"/>
      <c r="N5087" s="10"/>
      <c r="O5087" s="10"/>
      <c r="P5087" s="10"/>
      <c r="Q5087" s="10"/>
      <c r="R5087" s="10"/>
      <c r="S5087" s="10"/>
      <c r="T5087" s="10"/>
      <c r="U5087" s="10"/>
      <c r="V5087" s="10"/>
      <c r="W5087" s="10"/>
      <c r="X5087" s="10"/>
      <c r="Y5087" s="10"/>
      <c r="Z5087" s="10"/>
      <c r="AA5087" s="10"/>
      <c r="AB5087" s="10"/>
      <c r="AC5087" s="10"/>
      <c r="AD5087" s="10"/>
      <c r="AE5087" s="10"/>
      <c r="AF5087" s="10"/>
      <c r="AG5087" s="10"/>
      <c r="AH5087" s="10"/>
    </row>
    <row r="5088" spans="1:34" ht="31.5" outlineLevel="2">
      <c r="A5088" s="21"/>
      <c r="B5088" s="12" t="str">
        <f>IFERROR(VLOOKUP(D5088,'[1]Перечень товаров'!$A$2:$I9525,2,0),"")</f>
        <v>д379</v>
      </c>
      <c r="C5088" s="12" t="str">
        <f>IFERROR(VLOOKUP(D5088,'[1]Перечень товаров'!$A$2:$I9525,3,0),"")</f>
        <v>дидактика</v>
      </c>
      <c r="D5088" s="22" t="s">
        <v>1437</v>
      </c>
      <c r="E5088" s="23"/>
      <c r="F5088" s="23"/>
      <c r="G5088" s="242">
        <v>1</v>
      </c>
      <c r="H5088" s="242"/>
      <c r="I5088" s="243"/>
      <c r="J5088" s="243"/>
      <c r="K5088" s="19"/>
      <c r="L5088" s="20"/>
      <c r="M5088" s="10"/>
      <c r="N5088" s="10"/>
      <c r="O5088" s="10"/>
      <c r="P5088" s="10"/>
      <c r="Q5088" s="10"/>
      <c r="R5088" s="10"/>
      <c r="S5088" s="10"/>
      <c r="T5088" s="10"/>
      <c r="U5088" s="10"/>
      <c r="V5088" s="10"/>
      <c r="W5088" s="10"/>
      <c r="X5088" s="10"/>
      <c r="Y5088" s="10"/>
      <c r="Z5088" s="10"/>
      <c r="AA5088" s="10"/>
      <c r="AB5088" s="10"/>
      <c r="AC5088" s="10"/>
      <c r="AD5088" s="10"/>
      <c r="AE5088" s="10"/>
      <c r="AF5088" s="10"/>
      <c r="AG5088" s="10"/>
      <c r="AH5088" s="10"/>
    </row>
    <row r="5089" spans="1:34" ht="31.5" outlineLevel="2">
      <c r="A5089" s="21"/>
      <c r="B5089" s="12" t="str">
        <f>IFERROR(VLOOKUP(D5089,'[1]Перечень товаров'!$A$2:$I9525,2,0),"")</f>
        <v>д378</v>
      </c>
      <c r="C5089" s="12" t="str">
        <f>IFERROR(VLOOKUP(D5089,'[1]Перечень товаров'!$A$2:$I9525,3,0),"")</f>
        <v>дидактика</v>
      </c>
      <c r="D5089" s="22" t="s">
        <v>1438</v>
      </c>
      <c r="E5089" s="23"/>
      <c r="F5089" s="23"/>
      <c r="G5089" s="242">
        <v>1</v>
      </c>
      <c r="H5089" s="242"/>
      <c r="I5089" s="243"/>
      <c r="J5089" s="243"/>
      <c r="K5089" s="19"/>
      <c r="L5089" s="20"/>
      <c r="M5089" s="10"/>
      <c r="N5089" s="10"/>
      <c r="O5089" s="10"/>
      <c r="P5089" s="10"/>
      <c r="Q5089" s="10"/>
      <c r="R5089" s="10"/>
      <c r="S5089" s="10"/>
      <c r="T5089" s="10"/>
      <c r="U5089" s="10"/>
      <c r="V5089" s="10"/>
      <c r="W5089" s="10"/>
      <c r="X5089" s="10"/>
      <c r="Y5089" s="10"/>
      <c r="Z5089" s="10"/>
      <c r="AA5089" s="10"/>
      <c r="AB5089" s="10"/>
      <c r="AC5089" s="10"/>
      <c r="AD5089" s="10"/>
      <c r="AE5089" s="10"/>
      <c r="AF5089" s="10"/>
      <c r="AG5089" s="10"/>
      <c r="AH5089" s="10"/>
    </row>
    <row r="5090" spans="1:34" ht="12.75" outlineLevel="2">
      <c r="A5090" s="245"/>
      <c r="B5090" s="12" t="str">
        <f>IFERROR(VLOOKUP(D5090,'[1]Перечень товаров'!$A$2:$I9525,2,0),"")</f>
        <v/>
      </c>
      <c r="C5090" s="12" t="str">
        <f>IFERROR(VLOOKUP(D5090,'[1]Перечень товаров'!$A$2:$I9525,3,0),"")</f>
        <v/>
      </c>
      <c r="D5090" s="246" t="s">
        <v>1439</v>
      </c>
      <c r="E5090" s="15"/>
      <c r="F5090" s="15"/>
      <c r="G5090" s="234"/>
      <c r="H5090" s="234"/>
      <c r="I5090" s="235"/>
      <c r="J5090" s="235"/>
      <c r="K5090" s="19"/>
      <c r="L5090" s="20"/>
      <c r="M5090" s="10"/>
      <c r="N5090" s="10"/>
      <c r="O5090" s="10"/>
      <c r="P5090" s="10"/>
      <c r="Q5090" s="10"/>
      <c r="R5090" s="10"/>
      <c r="S5090" s="10"/>
      <c r="T5090" s="10"/>
      <c r="U5090" s="10"/>
      <c r="V5090" s="10"/>
      <c r="W5090" s="10"/>
      <c r="X5090" s="10"/>
      <c r="Y5090" s="10"/>
      <c r="Z5090" s="10"/>
      <c r="AA5090" s="10"/>
      <c r="AB5090" s="10"/>
      <c r="AC5090" s="10"/>
      <c r="AD5090" s="10"/>
      <c r="AE5090" s="10"/>
      <c r="AF5090" s="10"/>
      <c r="AG5090" s="10"/>
      <c r="AH5090" s="10"/>
    </row>
    <row r="5091" spans="1:34" outlineLevel="2">
      <c r="A5091" s="21"/>
      <c r="B5091" s="12" t="str">
        <f>IFERROR(VLOOKUP(D5091,'[1]Перечень товаров'!$A$2:$I9525,2,0),"")</f>
        <v>д377</v>
      </c>
      <c r="C5091" s="12" t="str">
        <f>IFERROR(VLOOKUP(D5091,'[1]Перечень товаров'!$A$2:$I9525,3,0),"")</f>
        <v>дидактика</v>
      </c>
      <c r="D5091" s="22" t="s">
        <v>1440</v>
      </c>
      <c r="E5091" s="23"/>
      <c r="F5091" s="23"/>
      <c r="G5091" s="24">
        <v>4</v>
      </c>
      <c r="H5091" s="24"/>
      <c r="I5091" s="25"/>
      <c r="J5091" s="25"/>
      <c r="K5091" s="19"/>
      <c r="L5091" s="20"/>
      <c r="M5091" s="10"/>
      <c r="N5091" s="10"/>
      <c r="O5091" s="10"/>
      <c r="P5091" s="10"/>
      <c r="Q5091" s="10"/>
      <c r="R5091" s="10"/>
      <c r="S5091" s="10"/>
      <c r="T5091" s="10"/>
      <c r="U5091" s="10"/>
      <c r="V5091" s="10"/>
      <c r="W5091" s="10"/>
      <c r="X5091" s="10"/>
      <c r="Y5091" s="10"/>
      <c r="Z5091" s="10"/>
      <c r="AA5091" s="10"/>
      <c r="AB5091" s="10"/>
      <c r="AC5091" s="10"/>
      <c r="AD5091" s="10"/>
      <c r="AE5091" s="10"/>
      <c r="AF5091" s="10"/>
      <c r="AG5091" s="10"/>
      <c r="AH5091" s="10"/>
    </row>
    <row r="5092" spans="1:34" ht="12.75" outlineLevel="2">
      <c r="A5092" s="197"/>
      <c r="B5092" s="12" t="str">
        <f>IFERROR(VLOOKUP(D5092,'[1]Перечень товаров'!$A$2:$I9525,2,0),"")</f>
        <v/>
      </c>
      <c r="C5092" s="12" t="str">
        <f>IFERROR(VLOOKUP(D5092,'[1]Перечень товаров'!$A$2:$I9525,3,0),"")</f>
        <v/>
      </c>
      <c r="D5092" s="198" t="s">
        <v>809</v>
      </c>
      <c r="E5092" s="15"/>
      <c r="F5092" s="15"/>
      <c r="G5092" s="234"/>
      <c r="H5092" s="234"/>
      <c r="I5092" s="235"/>
      <c r="J5092" s="235"/>
      <c r="K5092" s="19"/>
      <c r="L5092" s="20"/>
      <c r="M5092" s="10"/>
      <c r="N5092" s="10"/>
      <c r="O5092" s="10"/>
      <c r="P5092" s="10"/>
      <c r="Q5092" s="10"/>
      <c r="R5092" s="10"/>
      <c r="S5092" s="10"/>
      <c r="T5092" s="10"/>
      <c r="U5092" s="10"/>
      <c r="V5092" s="10"/>
      <c r="W5092" s="10"/>
      <c r="X5092" s="10"/>
      <c r="Y5092" s="10"/>
      <c r="Z5092" s="10"/>
      <c r="AA5092" s="10"/>
      <c r="AB5092" s="10"/>
      <c r="AC5092" s="10"/>
      <c r="AD5092" s="10"/>
      <c r="AE5092" s="10"/>
      <c r="AF5092" s="10"/>
      <c r="AG5092" s="10"/>
      <c r="AH5092" s="10"/>
    </row>
    <row r="5093" spans="1:34" outlineLevel="2">
      <c r="A5093" s="34"/>
      <c r="B5093" s="12" t="str">
        <f>IFERROR(VLOOKUP(D5093,'[1]Перечень товаров'!$A$2:$I9525,2,0),"")</f>
        <v>д65</v>
      </c>
      <c r="C5093" s="12" t="str">
        <f>IFERROR(VLOOKUP(D5093,'[1]Перечень товаров'!$A$2:$I9525,3,0),"")</f>
        <v>Дидактика</v>
      </c>
      <c r="D5093" s="35" t="s">
        <v>811</v>
      </c>
      <c r="E5093" s="23"/>
      <c r="F5093" s="23"/>
      <c r="G5093" s="232">
        <v>1</v>
      </c>
      <c r="H5093" s="232"/>
      <c r="I5093" s="233"/>
      <c r="J5093" s="233"/>
      <c r="K5093" s="19"/>
      <c r="L5093" s="20"/>
      <c r="M5093" s="10"/>
      <c r="N5093" s="10"/>
      <c r="O5093" s="10"/>
      <c r="P5093" s="10"/>
      <c r="Q5093" s="10"/>
      <c r="R5093" s="10"/>
      <c r="S5093" s="10"/>
      <c r="T5093" s="10"/>
      <c r="U5093" s="10"/>
      <c r="V5093" s="10"/>
      <c r="W5093" s="10"/>
      <c r="X5093" s="10"/>
      <c r="Y5093" s="10"/>
      <c r="Z5093" s="10"/>
      <c r="AA5093" s="10"/>
      <c r="AB5093" s="10"/>
      <c r="AC5093" s="10"/>
      <c r="AD5093" s="10"/>
      <c r="AE5093" s="10"/>
      <c r="AF5093" s="10"/>
      <c r="AG5093" s="10"/>
      <c r="AH5093" s="10"/>
    </row>
    <row r="5094" spans="1:34" outlineLevel="2">
      <c r="A5094" s="34"/>
      <c r="B5094" s="12" t="str">
        <f>IFERROR(VLOOKUP(D5094,'[1]Перечень товаров'!$A$2:$I9525,2,0),"")</f>
        <v>д66</v>
      </c>
      <c r="C5094" s="12" t="str">
        <f>IFERROR(VLOOKUP(D5094,'[1]Перечень товаров'!$A$2:$I9525,3,0),"")</f>
        <v>Дидактика</v>
      </c>
      <c r="D5094" s="35" t="s">
        <v>812</v>
      </c>
      <c r="E5094" s="23"/>
      <c r="F5094" s="23"/>
      <c r="G5094" s="232">
        <v>1</v>
      </c>
      <c r="H5094" s="232"/>
      <c r="I5094" s="233"/>
      <c r="J5094" s="233"/>
      <c r="K5094" s="19"/>
      <c r="L5094" s="20"/>
      <c r="M5094" s="10"/>
      <c r="N5094" s="10"/>
      <c r="O5094" s="10"/>
      <c r="P5094" s="10"/>
      <c r="Q5094" s="10"/>
      <c r="R5094" s="10"/>
      <c r="S5094" s="10"/>
      <c r="T5094" s="10"/>
      <c r="U5094" s="10"/>
      <c r="V5094" s="10"/>
      <c r="W5094" s="10"/>
      <c r="X5094" s="10"/>
      <c r="Y5094" s="10"/>
      <c r="Z5094" s="10"/>
      <c r="AA5094" s="10"/>
      <c r="AB5094" s="10"/>
      <c r="AC5094" s="10"/>
      <c r="AD5094" s="10"/>
      <c r="AE5094" s="10"/>
      <c r="AF5094" s="10"/>
      <c r="AG5094" s="10"/>
      <c r="AH5094" s="10"/>
    </row>
    <row r="5095" spans="1:34" outlineLevel="2">
      <c r="A5095" s="34"/>
      <c r="B5095" s="12" t="str">
        <f>IFERROR(VLOOKUP(D5095,'[1]Перечень товаров'!$A$2:$I9525,2,0),"")</f>
        <v>д67</v>
      </c>
      <c r="C5095" s="12" t="str">
        <f>IFERROR(VLOOKUP(D5095,'[1]Перечень товаров'!$A$2:$I9525,3,0),"")</f>
        <v>Дидактика</v>
      </c>
      <c r="D5095" s="35" t="s">
        <v>813</v>
      </c>
      <c r="E5095" s="23"/>
      <c r="F5095" s="23"/>
      <c r="G5095" s="232">
        <v>1</v>
      </c>
      <c r="H5095" s="232"/>
      <c r="I5095" s="233"/>
      <c r="J5095" s="233"/>
      <c r="K5095" s="19"/>
      <c r="L5095" s="20"/>
      <c r="M5095" s="10"/>
      <c r="N5095" s="10"/>
      <c r="O5095" s="10"/>
      <c r="P5095" s="10"/>
      <c r="Q5095" s="10"/>
      <c r="R5095" s="10"/>
      <c r="S5095" s="10"/>
      <c r="T5095" s="10"/>
      <c r="U5095" s="10"/>
      <c r="V5095" s="10"/>
      <c r="W5095" s="10"/>
      <c r="X5095" s="10"/>
      <c r="Y5095" s="10"/>
      <c r="Z5095" s="10"/>
      <c r="AA5095" s="10"/>
      <c r="AB5095" s="10"/>
      <c r="AC5095" s="10"/>
      <c r="AD5095" s="10"/>
      <c r="AE5095" s="10"/>
      <c r="AF5095" s="10"/>
      <c r="AG5095" s="10"/>
      <c r="AH5095" s="10"/>
    </row>
    <row r="5096" spans="1:34" outlineLevel="2">
      <c r="A5096" s="34"/>
      <c r="B5096" s="12" t="str">
        <f>IFERROR(VLOOKUP(D5096,'[1]Перечень товаров'!$A$2:$I9525,2,0),"")</f>
        <v>п90</v>
      </c>
      <c r="C5096" s="12" t="str">
        <f>IFERROR(VLOOKUP(D5096,'[1]Перечень товаров'!$A$2:$I9525,3,0),"")</f>
        <v>Прочее</v>
      </c>
      <c r="D5096" s="35" t="s">
        <v>723</v>
      </c>
      <c r="E5096" s="23"/>
      <c r="F5096" s="23"/>
      <c r="G5096" s="232">
        <v>1</v>
      </c>
      <c r="H5096" s="232"/>
      <c r="I5096" s="233"/>
      <c r="J5096" s="233"/>
      <c r="K5096" s="19"/>
      <c r="L5096" s="20"/>
      <c r="M5096" s="10"/>
      <c r="N5096" s="10"/>
      <c r="O5096" s="10"/>
      <c r="P5096" s="10"/>
      <c r="Q5096" s="10"/>
      <c r="R5096" s="10"/>
      <c r="S5096" s="10"/>
      <c r="T5096" s="10"/>
      <c r="U5096" s="10"/>
      <c r="V5096" s="10"/>
      <c r="W5096" s="10"/>
      <c r="X5096" s="10"/>
      <c r="Y5096" s="10"/>
      <c r="Z5096" s="10"/>
      <c r="AA5096" s="10"/>
      <c r="AB5096" s="10"/>
      <c r="AC5096" s="10"/>
      <c r="AD5096" s="10"/>
      <c r="AE5096" s="10"/>
      <c r="AF5096" s="10"/>
      <c r="AG5096" s="10"/>
      <c r="AH5096" s="10"/>
    </row>
    <row r="5097" spans="1:34" outlineLevel="2">
      <c r="A5097" s="34"/>
      <c r="B5097" s="12" t="str">
        <f>IFERROR(VLOOKUP(D5097,'[1]Перечень товаров'!$A$2:$I9525,2,0),"")</f>
        <v>д68</v>
      </c>
      <c r="C5097" s="12" t="str">
        <f>IFERROR(VLOOKUP(D5097,'[1]Перечень товаров'!$A$2:$I9525,3,0),"")</f>
        <v>Дидактика</v>
      </c>
      <c r="D5097" s="35" t="s">
        <v>814</v>
      </c>
      <c r="E5097" s="23"/>
      <c r="F5097" s="23"/>
      <c r="G5097" s="232">
        <v>3</v>
      </c>
      <c r="H5097" s="232"/>
      <c r="I5097" s="233"/>
      <c r="J5097" s="233"/>
      <c r="K5097" s="19"/>
      <c r="L5097" s="20"/>
      <c r="M5097" s="10"/>
      <c r="N5097" s="10"/>
      <c r="O5097" s="10"/>
      <c r="P5097" s="10"/>
      <c r="Q5097" s="10"/>
      <c r="R5097" s="10"/>
      <c r="S5097" s="10"/>
      <c r="T5097" s="10"/>
      <c r="U5097" s="10"/>
      <c r="V5097" s="10"/>
      <c r="W5097" s="10"/>
      <c r="X5097" s="10"/>
      <c r="Y5097" s="10"/>
      <c r="Z5097" s="10"/>
      <c r="AA5097" s="10"/>
      <c r="AB5097" s="10"/>
      <c r="AC5097" s="10"/>
      <c r="AD5097" s="10"/>
      <c r="AE5097" s="10"/>
      <c r="AF5097" s="10"/>
      <c r="AG5097" s="10"/>
      <c r="AH5097" s="10"/>
    </row>
    <row r="5098" spans="1:34" outlineLevel="2">
      <c r="A5098" s="34"/>
      <c r="B5098" s="12" t="str">
        <f>IFERROR(VLOOKUP(D5098,'[1]Перечень товаров'!$A$2:$I9525,2,0),"")</f>
        <v>д69</v>
      </c>
      <c r="C5098" s="12" t="str">
        <f>IFERROR(VLOOKUP(D5098,'[1]Перечень товаров'!$A$2:$I9525,3,0),"")</f>
        <v>Дидактика</v>
      </c>
      <c r="D5098" s="35" t="s">
        <v>815</v>
      </c>
      <c r="E5098" s="23"/>
      <c r="F5098" s="23"/>
      <c r="G5098" s="232">
        <v>8</v>
      </c>
      <c r="H5098" s="232"/>
      <c r="I5098" s="233"/>
      <c r="J5098" s="233"/>
      <c r="K5098" s="19"/>
      <c r="L5098" s="20"/>
      <c r="M5098" s="10"/>
      <c r="N5098" s="10"/>
      <c r="O5098" s="10"/>
      <c r="P5098" s="10"/>
      <c r="Q5098" s="10"/>
      <c r="R5098" s="10"/>
      <c r="S5098" s="10"/>
      <c r="T5098" s="10"/>
      <c r="U5098" s="10"/>
      <c r="V5098" s="10"/>
      <c r="W5098" s="10"/>
      <c r="X5098" s="10"/>
      <c r="Y5098" s="10"/>
      <c r="Z5098" s="10"/>
      <c r="AA5098" s="10"/>
      <c r="AB5098" s="10"/>
      <c r="AC5098" s="10"/>
      <c r="AD5098" s="10"/>
      <c r="AE5098" s="10"/>
      <c r="AF5098" s="10"/>
      <c r="AG5098" s="10"/>
      <c r="AH5098" s="10"/>
    </row>
    <row r="5099" spans="1:34" outlineLevel="2">
      <c r="A5099" s="34"/>
      <c r="B5099" s="12" t="str">
        <f>IFERROR(VLOOKUP(D5099,'[1]Перечень товаров'!$A$2:$I9525,2,0),"")</f>
        <v>д70</v>
      </c>
      <c r="C5099" s="12" t="str">
        <f>IFERROR(VLOOKUP(D5099,'[1]Перечень товаров'!$A$2:$I9525,3,0),"")</f>
        <v>Дидактика</v>
      </c>
      <c r="D5099" s="35" t="s">
        <v>816</v>
      </c>
      <c r="E5099" s="23"/>
      <c r="F5099" s="23"/>
      <c r="G5099" s="232">
        <v>100</v>
      </c>
      <c r="H5099" s="232"/>
      <c r="I5099" s="233"/>
      <c r="J5099" s="233"/>
      <c r="K5099" s="19"/>
      <c r="L5099" s="20"/>
      <c r="M5099" s="10"/>
      <c r="N5099" s="10"/>
      <c r="O5099" s="10"/>
      <c r="P5099" s="10"/>
      <c r="Q5099" s="10"/>
      <c r="R5099" s="10"/>
      <c r="S5099" s="10"/>
      <c r="T5099" s="10"/>
      <c r="U5099" s="10"/>
      <c r="V5099" s="10"/>
      <c r="W5099" s="10"/>
      <c r="X5099" s="10"/>
      <c r="Y5099" s="10"/>
      <c r="Z5099" s="10"/>
      <c r="AA5099" s="10"/>
      <c r="AB5099" s="10"/>
      <c r="AC5099" s="10"/>
      <c r="AD5099" s="10"/>
      <c r="AE5099" s="10"/>
      <c r="AF5099" s="10"/>
      <c r="AG5099" s="10"/>
      <c r="AH5099" s="10"/>
    </row>
    <row r="5100" spans="1:34" ht="12.75" outlineLevel="1">
      <c r="A5100" s="11"/>
      <c r="B5100" s="12" t="str">
        <f>IFERROR(VLOOKUP(D5100,'[1]Перечень товаров'!$A$2:$I9525,2,0),"")</f>
        <v/>
      </c>
      <c r="C5100" s="12" t="str">
        <f>IFERROR(VLOOKUP(D5100,'[1]Перечень товаров'!$A$2:$I9525,3,0),"")</f>
        <v/>
      </c>
      <c r="D5100" s="27" t="s">
        <v>507</v>
      </c>
      <c r="E5100" s="14">
        <v>5.7</v>
      </c>
      <c r="F5100" s="14"/>
      <c r="G5100" s="17"/>
      <c r="H5100" s="17"/>
      <c r="I5100" s="57"/>
      <c r="J5100" s="57"/>
      <c r="K5100" s="19"/>
      <c r="L5100" s="20"/>
      <c r="M5100" s="10"/>
      <c r="N5100" s="10"/>
      <c r="O5100" s="10"/>
      <c r="P5100" s="10"/>
      <c r="Q5100" s="10"/>
      <c r="R5100" s="10"/>
      <c r="S5100" s="10"/>
      <c r="T5100" s="10"/>
      <c r="U5100" s="10"/>
      <c r="V5100" s="10"/>
      <c r="W5100" s="10"/>
      <c r="X5100" s="10"/>
      <c r="Y5100" s="10"/>
      <c r="Z5100" s="10"/>
      <c r="AA5100" s="10"/>
      <c r="AB5100" s="10"/>
      <c r="AC5100" s="10"/>
      <c r="AD5100" s="10"/>
      <c r="AE5100" s="10"/>
      <c r="AF5100" s="10"/>
      <c r="AG5100" s="10"/>
      <c r="AH5100" s="10"/>
    </row>
    <row r="5101" spans="1:34" outlineLevel="2">
      <c r="A5101" s="22"/>
      <c r="B5101" s="12" t="str">
        <f>IFERROR(VLOOKUP(D5101,'[1]Перечень товаров'!$A$2:$I9525,2,0),"")</f>
        <v>п25</v>
      </c>
      <c r="C5101" s="12" t="str">
        <f>IFERROR(VLOOKUP(D5101,'[1]Перечень товаров'!$A$2:$I9525,3,0),"")</f>
        <v>Прочее</v>
      </c>
      <c r="D5101" s="22" t="s">
        <v>360</v>
      </c>
      <c r="E5101" s="102"/>
      <c r="F5101" s="102"/>
      <c r="G5101" s="48">
        <v>3</v>
      </c>
      <c r="H5101" s="48"/>
      <c r="I5101" s="49"/>
      <c r="J5101" s="49"/>
      <c r="K5101" s="19"/>
      <c r="L5101" s="20"/>
      <c r="M5101" s="10"/>
      <c r="N5101" s="10"/>
      <c r="O5101" s="10"/>
      <c r="P5101" s="10"/>
      <c r="Q5101" s="10"/>
      <c r="R5101" s="10"/>
      <c r="S5101" s="10"/>
      <c r="T5101" s="10"/>
      <c r="U5101" s="10"/>
      <c r="V5101" s="10"/>
      <c r="W5101" s="10"/>
      <c r="X5101" s="10"/>
      <c r="Y5101" s="10"/>
      <c r="Z5101" s="10"/>
      <c r="AA5101" s="10"/>
      <c r="AB5101" s="10"/>
      <c r="AC5101" s="10"/>
      <c r="AD5101" s="10"/>
      <c r="AE5101" s="10"/>
      <c r="AF5101" s="10"/>
      <c r="AG5101" s="10"/>
      <c r="AH5101" s="10"/>
    </row>
    <row r="5102" spans="1:34" outlineLevel="2">
      <c r="A5102" s="21"/>
      <c r="B5102" s="12" t="str">
        <f>IFERROR(VLOOKUP(D5102,'[1]Перечень товаров'!$A$2:$I9525,2,0),"")</f>
        <v>п26</v>
      </c>
      <c r="C5102" s="12" t="str">
        <f>IFERROR(VLOOKUP(D5102,'[1]Перечень товаров'!$A$2:$I9525,3,0),"")</f>
        <v>Прочее</v>
      </c>
      <c r="D5102" s="22" t="s">
        <v>361</v>
      </c>
      <c r="E5102" s="102"/>
      <c r="F5102" s="102"/>
      <c r="G5102" s="48">
        <v>2</v>
      </c>
      <c r="H5102" s="48"/>
      <c r="I5102" s="49"/>
      <c r="J5102" s="49"/>
      <c r="K5102" s="19"/>
      <c r="L5102" s="20"/>
      <c r="M5102" s="10"/>
      <c r="N5102" s="10"/>
      <c r="O5102" s="10"/>
      <c r="P5102" s="10"/>
      <c r="Q5102" s="10"/>
      <c r="R5102" s="10"/>
      <c r="S5102" s="10"/>
      <c r="T5102" s="10"/>
      <c r="U5102" s="10"/>
      <c r="V5102" s="10"/>
      <c r="W5102" s="10"/>
      <c r="X5102" s="10"/>
      <c r="Y5102" s="10"/>
      <c r="Z5102" s="10"/>
      <c r="AA5102" s="10"/>
      <c r="AB5102" s="10"/>
      <c r="AC5102" s="10"/>
      <c r="AD5102" s="10"/>
      <c r="AE5102" s="10"/>
      <c r="AF5102" s="10"/>
      <c r="AG5102" s="10"/>
      <c r="AH5102" s="10"/>
    </row>
    <row r="5103" spans="1:34" outlineLevel="2">
      <c r="A5103" s="21"/>
      <c r="B5103" s="12" t="str">
        <f>IFERROR(VLOOKUP(D5103,'[1]Перечень товаров'!$A$2:$I9525,2,0),"")</f>
        <v>п27</v>
      </c>
      <c r="C5103" s="12" t="str">
        <f>IFERROR(VLOOKUP(D5103,'[1]Перечень товаров'!$A$2:$I9525,3,0),"")</f>
        <v>Прочее</v>
      </c>
      <c r="D5103" s="22" t="s">
        <v>362</v>
      </c>
      <c r="E5103" s="102"/>
      <c r="F5103" s="102"/>
      <c r="G5103" s="48">
        <v>2</v>
      </c>
      <c r="H5103" s="48"/>
      <c r="I5103" s="49"/>
      <c r="J5103" s="49"/>
      <c r="K5103" s="19"/>
      <c r="L5103" s="20"/>
      <c r="M5103" s="10"/>
      <c r="N5103" s="10"/>
      <c r="O5103" s="10"/>
      <c r="P5103" s="10"/>
      <c r="Q5103" s="10"/>
      <c r="R5103" s="10"/>
      <c r="S5103" s="10"/>
      <c r="T5103" s="10"/>
      <c r="U5103" s="10"/>
      <c r="V5103" s="10"/>
      <c r="W5103" s="10"/>
      <c r="X5103" s="10"/>
      <c r="Y5103" s="10"/>
      <c r="Z5103" s="10"/>
      <c r="AA5103" s="10"/>
      <c r="AB5103" s="10"/>
      <c r="AC5103" s="10"/>
      <c r="AD5103" s="10"/>
      <c r="AE5103" s="10"/>
      <c r="AF5103" s="10"/>
      <c r="AG5103" s="10"/>
      <c r="AH5103" s="10"/>
    </row>
    <row r="5104" spans="1:34" outlineLevel="2">
      <c r="A5104" s="21"/>
      <c r="B5104" s="12" t="str">
        <f>IFERROR(VLOOKUP(D5104,'[1]Перечень товаров'!$A$2:$I9525,2,0),"")</f>
        <v>п28</v>
      </c>
      <c r="C5104" s="12" t="str">
        <f>IFERROR(VLOOKUP(D5104,'[1]Перечень товаров'!$A$2:$I9525,3,0),"")</f>
        <v>Прочее</v>
      </c>
      <c r="D5104" s="22" t="s">
        <v>363</v>
      </c>
      <c r="E5104" s="102"/>
      <c r="F5104" s="102"/>
      <c r="G5104" s="48">
        <v>1</v>
      </c>
      <c r="H5104" s="48"/>
      <c r="I5104" s="49"/>
      <c r="J5104" s="49"/>
      <c r="K5104" s="19"/>
      <c r="L5104" s="20"/>
      <c r="M5104" s="10"/>
      <c r="N5104" s="10"/>
      <c r="O5104" s="10"/>
      <c r="P5104" s="10"/>
      <c r="Q5104" s="10"/>
      <c r="R5104" s="10"/>
      <c r="S5104" s="10"/>
      <c r="T5104" s="10"/>
      <c r="U5104" s="10"/>
      <c r="V5104" s="10"/>
      <c r="W5104" s="10"/>
      <c r="X5104" s="10"/>
      <c r="Y5104" s="10"/>
      <c r="Z5104" s="10"/>
      <c r="AA5104" s="10"/>
      <c r="AB5104" s="10"/>
      <c r="AC5104" s="10"/>
      <c r="AD5104" s="10"/>
      <c r="AE5104" s="10"/>
      <c r="AF5104" s="10"/>
      <c r="AG5104" s="10"/>
      <c r="AH5104" s="10"/>
    </row>
    <row r="5105" spans="1:34" outlineLevel="2">
      <c r="A5105" s="21"/>
      <c r="B5105" s="12" t="str">
        <f>IFERROR(VLOOKUP(D5105,'[1]Перечень товаров'!$A$2:$I9525,2,0),"")</f>
        <v>п29</v>
      </c>
      <c r="C5105" s="12" t="str">
        <f>IFERROR(VLOOKUP(D5105,'[1]Перечень товаров'!$A$2:$I9525,3,0),"")</f>
        <v>Прочее</v>
      </c>
      <c r="D5105" s="22" t="s">
        <v>364</v>
      </c>
      <c r="E5105" s="102"/>
      <c r="F5105" s="102"/>
      <c r="G5105" s="48">
        <v>6</v>
      </c>
      <c r="H5105" s="48"/>
      <c r="I5105" s="49"/>
      <c r="J5105" s="49"/>
      <c r="K5105" s="19"/>
      <c r="L5105" s="20"/>
      <c r="M5105" s="10"/>
      <c r="N5105" s="10"/>
      <c r="O5105" s="10"/>
      <c r="P5105" s="10"/>
      <c r="Q5105" s="10"/>
      <c r="R5105" s="10"/>
      <c r="S5105" s="10"/>
      <c r="T5105" s="10"/>
      <c r="U5105" s="10"/>
      <c r="V5105" s="10"/>
      <c r="W5105" s="10"/>
      <c r="X5105" s="10"/>
      <c r="Y5105" s="10"/>
      <c r="Z5105" s="10"/>
      <c r="AA5105" s="10"/>
      <c r="AB5105" s="10"/>
      <c r="AC5105" s="10"/>
      <c r="AD5105" s="10"/>
      <c r="AE5105" s="10"/>
      <c r="AF5105" s="10"/>
      <c r="AG5105" s="10"/>
      <c r="AH5105" s="10"/>
    </row>
    <row r="5106" spans="1:34" outlineLevel="2">
      <c r="A5106" s="21"/>
      <c r="B5106" s="12" t="str">
        <f>IFERROR(VLOOKUP(D5106,'[1]Перечень товаров'!$A$2:$I9525,2,0),"")</f>
        <v>п30</v>
      </c>
      <c r="C5106" s="12" t="str">
        <f>IFERROR(VLOOKUP(D5106,'[1]Перечень товаров'!$A$2:$I9525,3,0),"")</f>
        <v>Прочее</v>
      </c>
      <c r="D5106" s="22" t="s">
        <v>365</v>
      </c>
      <c r="E5106" s="102"/>
      <c r="F5106" s="102"/>
      <c r="G5106" s="48">
        <v>2</v>
      </c>
      <c r="H5106" s="48"/>
      <c r="I5106" s="49"/>
      <c r="J5106" s="49"/>
      <c r="K5106" s="19"/>
      <c r="L5106" s="20"/>
      <c r="M5106" s="10"/>
      <c r="N5106" s="10"/>
      <c r="O5106" s="10"/>
      <c r="P5106" s="10"/>
      <c r="Q5106" s="10"/>
      <c r="R5106" s="10"/>
      <c r="S5106" s="10"/>
      <c r="T5106" s="10"/>
      <c r="U5106" s="10"/>
      <c r="V5106" s="10"/>
      <c r="W5106" s="10"/>
      <c r="X5106" s="10"/>
      <c r="Y5106" s="10"/>
      <c r="Z5106" s="10"/>
      <c r="AA5106" s="10"/>
      <c r="AB5106" s="10"/>
      <c r="AC5106" s="10"/>
      <c r="AD5106" s="10"/>
      <c r="AE5106" s="10"/>
      <c r="AF5106" s="10"/>
      <c r="AG5106" s="10"/>
      <c r="AH5106" s="10"/>
    </row>
    <row r="5107" spans="1:34" ht="31.5" outlineLevel="2">
      <c r="A5107" s="21"/>
      <c r="B5107" s="12" t="str">
        <f>IFERROR(VLOOKUP(D5107,'[1]Перечень товаров'!$A$2:$I9525,2,0),"")</f>
        <v>п31</v>
      </c>
      <c r="C5107" s="12" t="str">
        <f>IFERROR(VLOOKUP(D5107,'[1]Перечень товаров'!$A$2:$I9525,3,0),"")</f>
        <v>Прочее</v>
      </c>
      <c r="D5107" s="22" t="s">
        <v>366</v>
      </c>
      <c r="E5107" s="102"/>
      <c r="F5107" s="102"/>
      <c r="G5107" s="48">
        <v>1</v>
      </c>
      <c r="H5107" s="48"/>
      <c r="I5107" s="49"/>
      <c r="J5107" s="49"/>
      <c r="K5107" s="19"/>
      <c r="L5107" s="20"/>
      <c r="M5107" s="10"/>
      <c r="N5107" s="10"/>
      <c r="O5107" s="10"/>
      <c r="P5107" s="10"/>
      <c r="Q5107" s="10"/>
      <c r="R5107" s="10"/>
      <c r="S5107" s="10"/>
      <c r="T5107" s="10"/>
      <c r="U5107" s="10"/>
      <c r="V5107" s="10"/>
      <c r="W5107" s="10"/>
      <c r="X5107" s="10"/>
      <c r="Y5107" s="10"/>
      <c r="Z5107" s="10"/>
      <c r="AA5107" s="10"/>
      <c r="AB5107" s="10"/>
      <c r="AC5107" s="10"/>
      <c r="AD5107" s="10"/>
      <c r="AE5107" s="10"/>
      <c r="AF5107" s="10"/>
      <c r="AG5107" s="10"/>
      <c r="AH5107" s="10"/>
    </row>
    <row r="5108" spans="1:34" ht="31.5" outlineLevel="2">
      <c r="A5108" s="21"/>
      <c r="B5108" s="12" t="str">
        <f>IFERROR(VLOOKUP(D5108,'[1]Перечень товаров'!$A$2:$I9525,2,0),"")</f>
        <v>п32</v>
      </c>
      <c r="C5108" s="12" t="str">
        <f>IFERROR(VLOOKUP(D5108,'[1]Перечень товаров'!$A$2:$I9525,3,0),"")</f>
        <v>Прочее</v>
      </c>
      <c r="D5108" s="22" t="s">
        <v>367</v>
      </c>
      <c r="E5108" s="102"/>
      <c r="F5108" s="102"/>
      <c r="G5108" s="48">
        <v>2</v>
      </c>
      <c r="H5108" s="48"/>
      <c r="I5108" s="49"/>
      <c r="J5108" s="49"/>
      <c r="K5108" s="19"/>
      <c r="L5108" s="20"/>
      <c r="M5108" s="10"/>
      <c r="N5108" s="10"/>
      <c r="O5108" s="10"/>
      <c r="P5108" s="10"/>
      <c r="Q5108" s="10"/>
      <c r="R5108" s="10"/>
      <c r="S5108" s="10"/>
      <c r="T5108" s="10"/>
      <c r="U5108" s="10"/>
      <c r="V5108" s="10"/>
      <c r="W5108" s="10"/>
      <c r="X5108" s="10"/>
      <c r="Y5108" s="10"/>
      <c r="Z5108" s="10"/>
      <c r="AA5108" s="10"/>
      <c r="AB5108" s="10"/>
      <c r="AC5108" s="10"/>
      <c r="AD5108" s="10"/>
      <c r="AE5108" s="10"/>
      <c r="AF5108" s="10"/>
      <c r="AG5108" s="10"/>
      <c r="AH5108" s="10"/>
    </row>
    <row r="5109" spans="1:34" ht="12.75" outlineLevel="1">
      <c r="A5109" s="11"/>
      <c r="B5109" s="12" t="str">
        <f>IFERROR(VLOOKUP(D5109,'[1]Перечень товаров'!$A$2:$I9525,2,0),"")</f>
        <v/>
      </c>
      <c r="C5109" s="12" t="str">
        <f>IFERROR(VLOOKUP(D5109,'[1]Перечень товаров'!$A$2:$I9525,3,0),"")</f>
        <v/>
      </c>
      <c r="D5109" s="27" t="s">
        <v>1441</v>
      </c>
      <c r="E5109" s="14">
        <v>11.7</v>
      </c>
      <c r="F5109" s="14"/>
      <c r="G5109" s="17"/>
      <c r="H5109" s="17"/>
      <c r="I5109" s="57"/>
      <c r="J5109" s="57"/>
      <c r="K5109" s="19"/>
      <c r="L5109" s="20"/>
      <c r="M5109" s="10"/>
      <c r="N5109" s="10"/>
      <c r="O5109" s="10"/>
      <c r="P5109" s="10"/>
      <c r="Q5109" s="10"/>
      <c r="R5109" s="10"/>
      <c r="S5109" s="10"/>
      <c r="T5109" s="10"/>
      <c r="U5109" s="10"/>
      <c r="V5109" s="10"/>
      <c r="W5109" s="10"/>
      <c r="X5109" s="10"/>
      <c r="Y5109" s="10"/>
      <c r="Z5109" s="10"/>
      <c r="AA5109" s="10"/>
      <c r="AB5109" s="10"/>
      <c r="AC5109" s="10"/>
      <c r="AD5109" s="10"/>
      <c r="AE5109" s="10"/>
      <c r="AF5109" s="10"/>
      <c r="AG5109" s="10"/>
      <c r="AH5109" s="10"/>
    </row>
    <row r="5110" spans="1:34" outlineLevel="2">
      <c r="A5110" s="43"/>
      <c r="B5110" s="12" t="str">
        <f>IFERROR(VLOOKUP(D5110,'[1]Перечень товаров'!$A$2:$I9525,2,0),"")</f>
        <v>м193</v>
      </c>
      <c r="C5110" s="12" t="str">
        <f>IFERROR(VLOOKUP(D5110,'[1]Перечень товаров'!$A$2:$I9525,3,0),"")</f>
        <v>Мебель</v>
      </c>
      <c r="D5110" s="44" t="s">
        <v>655</v>
      </c>
      <c r="E5110" s="23"/>
      <c r="F5110" s="23"/>
      <c r="G5110" s="24">
        <v>3</v>
      </c>
      <c r="H5110" s="24"/>
      <c r="I5110" s="25"/>
      <c r="J5110" s="25"/>
      <c r="K5110" s="19"/>
      <c r="L5110" s="20"/>
      <c r="M5110" s="10"/>
      <c r="N5110" s="10"/>
      <c r="O5110" s="10"/>
      <c r="P5110" s="10"/>
      <c r="Q5110" s="10"/>
      <c r="R5110" s="10"/>
      <c r="S5110" s="10"/>
      <c r="T5110" s="10"/>
      <c r="U5110" s="10"/>
      <c r="V5110" s="10"/>
      <c r="W5110" s="10"/>
      <c r="X5110" s="10"/>
      <c r="Y5110" s="10"/>
      <c r="Z5110" s="10"/>
      <c r="AA5110" s="10"/>
      <c r="AB5110" s="10"/>
      <c r="AC5110" s="10"/>
      <c r="AD5110" s="10"/>
      <c r="AE5110" s="10"/>
      <c r="AF5110" s="10"/>
      <c r="AG5110" s="10"/>
      <c r="AH5110" s="10"/>
    </row>
    <row r="5111" spans="1:34" outlineLevel="2">
      <c r="A5111" s="43"/>
      <c r="B5111" s="12" t="str">
        <f>IFERROR(VLOOKUP(D5111,'[1]Перечень товаров'!$A$2:$I9525,2,0),"")</f>
        <v>м194</v>
      </c>
      <c r="C5111" s="12" t="str">
        <f>IFERROR(VLOOKUP(D5111,'[1]Перечень товаров'!$A$2:$I9525,3,0),"")</f>
        <v>Мебель</v>
      </c>
      <c r="D5111" s="44" t="s">
        <v>656</v>
      </c>
      <c r="E5111" s="23"/>
      <c r="F5111" s="23"/>
      <c r="G5111" s="24">
        <v>1</v>
      </c>
      <c r="H5111" s="24"/>
      <c r="I5111" s="25"/>
      <c r="J5111" s="25"/>
      <c r="K5111" s="19"/>
      <c r="L5111" s="20"/>
      <c r="M5111" s="10"/>
      <c r="N5111" s="10"/>
      <c r="O5111" s="10"/>
      <c r="P5111" s="10"/>
      <c r="Q5111" s="10"/>
      <c r="R5111" s="10"/>
      <c r="S5111" s="10"/>
      <c r="T5111" s="10"/>
      <c r="U5111" s="10"/>
      <c r="V5111" s="10"/>
      <c r="W5111" s="10"/>
      <c r="X5111" s="10"/>
      <c r="Y5111" s="10"/>
      <c r="Z5111" s="10"/>
      <c r="AA5111" s="10"/>
      <c r="AB5111" s="10"/>
      <c r="AC5111" s="10"/>
      <c r="AD5111" s="10"/>
      <c r="AE5111" s="10"/>
      <c r="AF5111" s="10"/>
      <c r="AG5111" s="10"/>
      <c r="AH5111" s="10"/>
    </row>
    <row r="5112" spans="1:34" outlineLevel="2">
      <c r="A5112" s="22"/>
      <c r="B5112" s="12" t="str">
        <f>IFERROR(VLOOKUP(D5112,'[1]Перечень товаров'!$A$2:$I9525,2,0),"")</f>
        <v>п25</v>
      </c>
      <c r="C5112" s="12" t="str">
        <f>IFERROR(VLOOKUP(D5112,'[1]Перечень товаров'!$A$2:$I9525,3,0),"")</f>
        <v>Прочее</v>
      </c>
      <c r="D5112" s="22" t="s">
        <v>360</v>
      </c>
      <c r="E5112" s="102"/>
      <c r="F5112" s="102"/>
      <c r="G5112" s="48">
        <v>1</v>
      </c>
      <c r="H5112" s="48"/>
      <c r="I5112" s="49"/>
      <c r="J5112" s="49"/>
      <c r="K5112" s="19"/>
      <c r="L5112" s="20"/>
      <c r="M5112" s="10"/>
      <c r="N5112" s="10"/>
      <c r="O5112" s="10"/>
      <c r="P5112" s="10"/>
      <c r="Q5112" s="10"/>
      <c r="R5112" s="10"/>
      <c r="S5112" s="10"/>
      <c r="T5112" s="10"/>
      <c r="U5112" s="10"/>
      <c r="V5112" s="10"/>
      <c r="W5112" s="10"/>
      <c r="X5112" s="10"/>
      <c r="Y5112" s="10"/>
      <c r="Z5112" s="10"/>
      <c r="AA5112" s="10"/>
      <c r="AB5112" s="10"/>
      <c r="AC5112" s="10"/>
      <c r="AD5112" s="10"/>
      <c r="AE5112" s="10"/>
      <c r="AF5112" s="10"/>
      <c r="AG5112" s="10"/>
      <c r="AH5112" s="10"/>
    </row>
    <row r="5113" spans="1:34" outlineLevel="2">
      <c r="A5113" s="21"/>
      <c r="B5113" s="12" t="str">
        <f>IFERROR(VLOOKUP(D5113,'[1]Перечень товаров'!$A$2:$I9525,2,0),"")</f>
        <v>п28</v>
      </c>
      <c r="C5113" s="12" t="str">
        <f>IFERROR(VLOOKUP(D5113,'[1]Перечень товаров'!$A$2:$I9525,3,0),"")</f>
        <v>Прочее</v>
      </c>
      <c r="D5113" s="22" t="s">
        <v>363</v>
      </c>
      <c r="E5113" s="102"/>
      <c r="F5113" s="102"/>
      <c r="G5113" s="48">
        <v>1</v>
      </c>
      <c r="H5113" s="48"/>
      <c r="I5113" s="49"/>
      <c r="J5113" s="49"/>
      <c r="K5113" s="19"/>
      <c r="L5113" s="20"/>
      <c r="M5113" s="10"/>
      <c r="N5113" s="10"/>
      <c r="O5113" s="10"/>
      <c r="P5113" s="10"/>
      <c r="Q5113" s="10"/>
      <c r="R5113" s="10"/>
      <c r="S5113" s="10"/>
      <c r="T5113" s="10"/>
      <c r="U5113" s="10"/>
      <c r="V5113" s="10"/>
      <c r="W5113" s="10"/>
      <c r="X5113" s="10"/>
      <c r="Y5113" s="10"/>
      <c r="Z5113" s="10"/>
      <c r="AA5113" s="10"/>
      <c r="AB5113" s="10"/>
      <c r="AC5113" s="10"/>
      <c r="AD5113" s="10"/>
      <c r="AE5113" s="10"/>
      <c r="AF5113" s="10"/>
      <c r="AG5113" s="10"/>
      <c r="AH5113" s="10"/>
    </row>
    <row r="5114" spans="1:34" ht="12.75" outlineLevel="1">
      <c r="A5114" s="11"/>
      <c r="B5114" s="12" t="str">
        <f>IFERROR(VLOOKUP(D5114,'[1]Перечень товаров'!$A$2:$I9525,2,0),"")</f>
        <v/>
      </c>
      <c r="C5114" s="12" t="str">
        <f>IFERROR(VLOOKUP(D5114,'[1]Перечень товаров'!$A$2:$I9525,3,0),"")</f>
        <v/>
      </c>
      <c r="D5114" s="27" t="s">
        <v>1442</v>
      </c>
      <c r="E5114" s="14">
        <v>13.3</v>
      </c>
      <c r="F5114" s="14"/>
      <c r="G5114" s="17"/>
      <c r="H5114" s="17"/>
      <c r="I5114" s="57"/>
      <c r="J5114" s="57"/>
      <c r="K5114" s="19"/>
      <c r="L5114" s="20"/>
      <c r="M5114" s="10"/>
      <c r="N5114" s="10"/>
      <c r="O5114" s="10"/>
      <c r="P5114" s="10"/>
      <c r="Q5114" s="10"/>
      <c r="R5114" s="10"/>
      <c r="S5114" s="10"/>
      <c r="T5114" s="10"/>
      <c r="U5114" s="10"/>
      <c r="V5114" s="10"/>
      <c r="W5114" s="10"/>
      <c r="X5114" s="10"/>
      <c r="Y5114" s="10"/>
      <c r="Z5114" s="10"/>
      <c r="AA5114" s="10"/>
      <c r="AB5114" s="10"/>
      <c r="AC5114" s="10"/>
      <c r="AD5114" s="10"/>
      <c r="AE5114" s="10"/>
      <c r="AF5114" s="10"/>
      <c r="AG5114" s="10"/>
      <c r="AH5114" s="10"/>
    </row>
    <row r="5115" spans="1:34" outlineLevel="2">
      <c r="A5115" s="247"/>
      <c r="B5115" s="12" t="str">
        <f>IFERROR(VLOOKUP(D5115,'[1]Перечень товаров'!$A$2:$I9525,2,0),"")</f>
        <v>д376</v>
      </c>
      <c r="C5115" s="12" t="str">
        <f>IFERROR(VLOOKUP(D5115,'[1]Перечень товаров'!$A$2:$I9525,3,0),"")</f>
        <v>дидактика</v>
      </c>
      <c r="D5115" s="248" t="s">
        <v>1443</v>
      </c>
      <c r="E5115" s="23" t="s">
        <v>534</v>
      </c>
      <c r="F5115" s="23"/>
      <c r="G5115" s="24">
        <v>1</v>
      </c>
      <c r="H5115" s="24"/>
      <c r="I5115" s="25"/>
      <c r="J5115" s="25"/>
      <c r="K5115" s="19"/>
      <c r="L5115" s="20"/>
      <c r="M5115" s="10"/>
      <c r="N5115" s="10"/>
      <c r="O5115" s="10"/>
      <c r="P5115" s="10"/>
      <c r="Q5115" s="10"/>
      <c r="R5115" s="10"/>
      <c r="S5115" s="10"/>
      <c r="T5115" s="10"/>
      <c r="U5115" s="10"/>
      <c r="V5115" s="10"/>
      <c r="W5115" s="10"/>
      <c r="X5115" s="10"/>
      <c r="Y5115" s="10"/>
      <c r="Z5115" s="10"/>
      <c r="AA5115" s="10"/>
      <c r="AB5115" s="10"/>
      <c r="AC5115" s="10"/>
      <c r="AD5115" s="10"/>
      <c r="AE5115" s="10"/>
      <c r="AF5115" s="10"/>
      <c r="AG5115" s="10"/>
      <c r="AH5115" s="10"/>
    </row>
    <row r="5116" spans="1:34" ht="31.5" outlineLevel="2">
      <c r="A5116" s="247"/>
      <c r="B5116" s="12" t="str">
        <f>IFERROR(VLOOKUP(D5116,'[1]Перечень товаров'!$A$2:$I9525,2,0),"")</f>
        <v>д375</v>
      </c>
      <c r="C5116" s="12" t="str">
        <f>IFERROR(VLOOKUP(D5116,'[1]Перечень товаров'!$A$2:$I9525,3,0),"")</f>
        <v>дидактика</v>
      </c>
      <c r="D5116" s="248" t="s">
        <v>1444</v>
      </c>
      <c r="E5116" s="58" t="s">
        <v>534</v>
      </c>
      <c r="F5116" s="58"/>
      <c r="G5116" s="232">
        <v>1</v>
      </c>
      <c r="H5116" s="232"/>
      <c r="I5116" s="233"/>
      <c r="J5116" s="233"/>
      <c r="K5116" s="19"/>
      <c r="L5116" s="20"/>
      <c r="M5116" s="10"/>
      <c r="N5116" s="10"/>
      <c r="O5116" s="10"/>
      <c r="P5116" s="10"/>
      <c r="Q5116" s="10"/>
      <c r="R5116" s="10"/>
      <c r="S5116" s="10"/>
      <c r="T5116" s="10"/>
      <c r="U5116" s="10"/>
      <c r="V5116" s="10"/>
      <c r="W5116" s="10"/>
      <c r="X5116" s="10"/>
      <c r="Y5116" s="10"/>
      <c r="Z5116" s="10"/>
      <c r="AA5116" s="10"/>
      <c r="AB5116" s="10"/>
      <c r="AC5116" s="10"/>
      <c r="AD5116" s="10"/>
      <c r="AE5116" s="10"/>
      <c r="AF5116" s="10"/>
      <c r="AG5116" s="10"/>
      <c r="AH5116" s="10"/>
    </row>
    <row r="5117" spans="1:34" ht="31.5" outlineLevel="2">
      <c r="A5117" s="247"/>
      <c r="B5117" s="12" t="str">
        <f>IFERROR(VLOOKUP(D5117,'[1]Перечень товаров'!$A$2:$I9525,2,0),"")</f>
        <v>д374</v>
      </c>
      <c r="C5117" s="12" t="str">
        <f>IFERROR(VLOOKUP(D5117,'[1]Перечень товаров'!$A$2:$I9525,3,0),"")</f>
        <v>дидактика</v>
      </c>
      <c r="D5117" s="248" t="s">
        <v>1445</v>
      </c>
      <c r="E5117" s="23" t="s">
        <v>534</v>
      </c>
      <c r="F5117" s="23"/>
      <c r="G5117" s="24">
        <v>1</v>
      </c>
      <c r="H5117" s="24"/>
      <c r="I5117" s="25"/>
      <c r="J5117" s="25"/>
      <c r="K5117" s="19"/>
      <c r="L5117" s="20"/>
      <c r="M5117" s="10"/>
      <c r="N5117" s="10"/>
      <c r="O5117" s="10"/>
      <c r="P5117" s="10"/>
      <c r="Q5117" s="10"/>
      <c r="R5117" s="10"/>
      <c r="S5117" s="10"/>
      <c r="T5117" s="10"/>
      <c r="U5117" s="10"/>
      <c r="V5117" s="10"/>
      <c r="W5117" s="10"/>
      <c r="X5117" s="10"/>
      <c r="Y5117" s="10"/>
      <c r="Z5117" s="10"/>
      <c r="AA5117" s="10"/>
      <c r="AB5117" s="10"/>
      <c r="AC5117" s="10"/>
      <c r="AD5117" s="10"/>
      <c r="AE5117" s="10"/>
      <c r="AF5117" s="10"/>
      <c r="AG5117" s="10"/>
      <c r="AH5117" s="10"/>
    </row>
    <row r="5118" spans="1:34" ht="31.5" outlineLevel="2">
      <c r="A5118" s="247"/>
      <c r="B5118" s="12" t="str">
        <f>IFERROR(VLOOKUP(D5118,'[1]Перечень товаров'!$A$2:$I9525,2,0),"")</f>
        <v>д373</v>
      </c>
      <c r="C5118" s="12" t="str">
        <f>IFERROR(VLOOKUP(D5118,'[1]Перечень товаров'!$A$2:$I9525,3,0),"")</f>
        <v>дидактика</v>
      </c>
      <c r="D5118" s="248" t="s">
        <v>1446</v>
      </c>
      <c r="E5118" s="23" t="s">
        <v>534</v>
      </c>
      <c r="F5118" s="23"/>
      <c r="G5118" s="24">
        <v>1</v>
      </c>
      <c r="H5118" s="24"/>
      <c r="I5118" s="25"/>
      <c r="J5118" s="25"/>
      <c r="K5118" s="19"/>
      <c r="L5118" s="20"/>
      <c r="M5118" s="10"/>
      <c r="N5118" s="10"/>
      <c r="O5118" s="10"/>
      <c r="P5118" s="10"/>
      <c r="Q5118" s="10"/>
      <c r="R5118" s="10"/>
      <c r="S5118" s="10"/>
      <c r="T5118" s="10"/>
      <c r="U5118" s="10"/>
      <c r="V5118" s="10"/>
      <c r="W5118" s="10"/>
      <c r="X5118" s="10"/>
      <c r="Y5118" s="10"/>
      <c r="Z5118" s="10"/>
      <c r="AA5118" s="10"/>
      <c r="AB5118" s="10"/>
      <c r="AC5118" s="10"/>
      <c r="AD5118" s="10"/>
      <c r="AE5118" s="10"/>
      <c r="AF5118" s="10"/>
      <c r="AG5118" s="10"/>
      <c r="AH5118" s="10"/>
    </row>
    <row r="5119" spans="1:34" ht="31.5" outlineLevel="2">
      <c r="A5119" s="247"/>
      <c r="B5119" s="12" t="str">
        <f>IFERROR(VLOOKUP(D5119,'[1]Перечень товаров'!$A$2:$I9525,2,0),"")</f>
        <v>д372</v>
      </c>
      <c r="C5119" s="12" t="str">
        <f>IFERROR(VLOOKUP(D5119,'[1]Перечень товаров'!$A$2:$I9525,3,0),"")</f>
        <v>дидактика</v>
      </c>
      <c r="D5119" s="248" t="s">
        <v>1447</v>
      </c>
      <c r="E5119" s="23" t="s">
        <v>534</v>
      </c>
      <c r="F5119" s="23"/>
      <c r="G5119" s="24">
        <v>1</v>
      </c>
      <c r="H5119" s="24"/>
      <c r="I5119" s="25"/>
      <c r="J5119" s="25"/>
      <c r="K5119" s="19"/>
      <c r="L5119" s="20"/>
      <c r="M5119" s="10"/>
      <c r="N5119" s="10"/>
      <c r="O5119" s="10"/>
      <c r="P5119" s="10"/>
      <c r="Q5119" s="10"/>
      <c r="R5119" s="10"/>
      <c r="S5119" s="10"/>
      <c r="T5119" s="10"/>
      <c r="U5119" s="10"/>
      <c r="V5119" s="10"/>
      <c r="W5119" s="10"/>
      <c r="X5119" s="10"/>
      <c r="Y5119" s="10"/>
      <c r="Z5119" s="10"/>
      <c r="AA5119" s="10"/>
      <c r="AB5119" s="10"/>
      <c r="AC5119" s="10"/>
      <c r="AD5119" s="10"/>
      <c r="AE5119" s="10"/>
      <c r="AF5119" s="10"/>
      <c r="AG5119" s="10"/>
      <c r="AH5119" s="10"/>
    </row>
    <row r="5120" spans="1:34" outlineLevel="2">
      <c r="A5120" s="247"/>
      <c r="B5120" s="12" t="str">
        <f>IFERROR(VLOOKUP(D5120,'[1]Перечень товаров'!$A$2:$I9525,2,0),"")</f>
        <v>д371</v>
      </c>
      <c r="C5120" s="12" t="str">
        <f>IFERROR(VLOOKUP(D5120,'[1]Перечень товаров'!$A$2:$I9525,3,0),"")</f>
        <v>дидактика</v>
      </c>
      <c r="D5120" s="248" t="s">
        <v>1448</v>
      </c>
      <c r="E5120" s="23" t="s">
        <v>534</v>
      </c>
      <c r="F5120" s="23"/>
      <c r="G5120" s="24">
        <v>1</v>
      </c>
      <c r="H5120" s="24"/>
      <c r="I5120" s="25"/>
      <c r="J5120" s="25"/>
      <c r="K5120" s="19"/>
      <c r="L5120" s="20"/>
      <c r="M5120" s="10"/>
      <c r="N5120" s="10"/>
      <c r="O5120" s="10"/>
      <c r="P5120" s="10"/>
      <c r="Q5120" s="10"/>
      <c r="R5120" s="10"/>
      <c r="S5120" s="10"/>
      <c r="T5120" s="10"/>
      <c r="U5120" s="10"/>
      <c r="V5120" s="10"/>
      <c r="W5120" s="10"/>
      <c r="X5120" s="10"/>
      <c r="Y5120" s="10"/>
      <c r="Z5120" s="10"/>
      <c r="AA5120" s="10"/>
      <c r="AB5120" s="10"/>
      <c r="AC5120" s="10"/>
      <c r="AD5120" s="10"/>
      <c r="AE5120" s="10"/>
      <c r="AF5120" s="10"/>
      <c r="AG5120" s="10"/>
      <c r="AH5120" s="10"/>
    </row>
    <row r="5121" spans="1:34" outlineLevel="2">
      <c r="A5121" s="247"/>
      <c r="B5121" s="12" t="str">
        <f>IFERROR(VLOOKUP(D5121,'[1]Перечень товаров'!$A$2:$I9525,2,0),"")</f>
        <v>д370</v>
      </c>
      <c r="C5121" s="12" t="str">
        <f>IFERROR(VLOOKUP(D5121,'[1]Перечень товаров'!$A$2:$I9525,3,0),"")</f>
        <v>дидактика</v>
      </c>
      <c r="D5121" s="248" t="s">
        <v>1449</v>
      </c>
      <c r="E5121" s="23" t="s">
        <v>534</v>
      </c>
      <c r="F5121" s="23"/>
      <c r="G5121" s="24">
        <v>2</v>
      </c>
      <c r="H5121" s="24"/>
      <c r="I5121" s="25"/>
      <c r="J5121" s="25"/>
      <c r="K5121" s="19"/>
      <c r="L5121" s="20"/>
      <c r="M5121" s="10"/>
      <c r="N5121" s="10"/>
      <c r="O5121" s="10"/>
      <c r="P5121" s="10"/>
      <c r="Q5121" s="10"/>
      <c r="R5121" s="10"/>
      <c r="S5121" s="10"/>
      <c r="T5121" s="10"/>
      <c r="U5121" s="10"/>
      <c r="V5121" s="10"/>
      <c r="W5121" s="10"/>
      <c r="X5121" s="10"/>
      <c r="Y5121" s="10"/>
      <c r="Z5121" s="10"/>
      <c r="AA5121" s="10"/>
      <c r="AB5121" s="10"/>
      <c r="AC5121" s="10"/>
      <c r="AD5121" s="10"/>
      <c r="AE5121" s="10"/>
      <c r="AF5121" s="10"/>
      <c r="AG5121" s="10"/>
      <c r="AH5121" s="10"/>
    </row>
    <row r="5122" spans="1:34" outlineLevel="2">
      <c r="A5122" s="247"/>
      <c r="B5122" s="12" t="str">
        <f>IFERROR(VLOOKUP(D5122,'[1]Перечень товаров'!$A$2:$I9525,2,0),"")</f>
        <v>д369</v>
      </c>
      <c r="C5122" s="12" t="str">
        <f>IFERROR(VLOOKUP(D5122,'[1]Перечень товаров'!$A$2:$I9525,3,0),"")</f>
        <v>дидактика</v>
      </c>
      <c r="D5122" s="248" t="s">
        <v>1450</v>
      </c>
      <c r="E5122" s="23" t="s">
        <v>534</v>
      </c>
      <c r="F5122" s="23"/>
      <c r="G5122" s="24">
        <v>1</v>
      </c>
      <c r="H5122" s="24"/>
      <c r="I5122" s="25"/>
      <c r="J5122" s="25"/>
      <c r="K5122" s="19"/>
      <c r="L5122" s="20"/>
      <c r="M5122" s="10"/>
      <c r="N5122" s="10"/>
      <c r="O5122" s="10"/>
      <c r="P5122" s="10"/>
      <c r="Q5122" s="10"/>
      <c r="R5122" s="10"/>
      <c r="S5122" s="10"/>
      <c r="T5122" s="10"/>
      <c r="U5122" s="10"/>
      <c r="V5122" s="10"/>
      <c r="W5122" s="10"/>
      <c r="X5122" s="10"/>
      <c r="Y5122" s="10"/>
      <c r="Z5122" s="10"/>
      <c r="AA5122" s="10"/>
      <c r="AB5122" s="10"/>
      <c r="AC5122" s="10"/>
      <c r="AD5122" s="10"/>
      <c r="AE5122" s="10"/>
      <c r="AF5122" s="10"/>
      <c r="AG5122" s="10"/>
      <c r="AH5122" s="10"/>
    </row>
    <row r="5123" spans="1:34" outlineLevel="2">
      <c r="A5123" s="247"/>
      <c r="B5123" s="12" t="str">
        <f>IFERROR(VLOOKUP(D5123,'[1]Перечень товаров'!$A$2:$I9525,2,0),"")</f>
        <v>д369</v>
      </c>
      <c r="C5123" s="12" t="str">
        <f>IFERROR(VLOOKUP(D5123,'[1]Перечень товаров'!$A$2:$I9525,3,0),"")</f>
        <v>дидактика</v>
      </c>
      <c r="D5123" s="248" t="s">
        <v>1450</v>
      </c>
      <c r="E5123" s="23" t="s">
        <v>534</v>
      </c>
      <c r="F5123" s="23"/>
      <c r="G5123" s="24">
        <v>1</v>
      </c>
      <c r="H5123" s="24"/>
      <c r="I5123" s="25"/>
      <c r="J5123" s="25"/>
      <c r="K5123" s="19"/>
      <c r="L5123" s="20"/>
      <c r="M5123" s="10"/>
      <c r="N5123" s="10"/>
      <c r="O5123" s="10"/>
      <c r="P5123" s="10"/>
      <c r="Q5123" s="10"/>
      <c r="R5123" s="10"/>
      <c r="S5123" s="10"/>
      <c r="T5123" s="10"/>
      <c r="U5123" s="10"/>
      <c r="V5123" s="10"/>
      <c r="W5123" s="10"/>
      <c r="X5123" s="10"/>
      <c r="Y5123" s="10"/>
      <c r="Z5123" s="10"/>
      <c r="AA5123" s="10"/>
      <c r="AB5123" s="10"/>
      <c r="AC5123" s="10"/>
      <c r="AD5123" s="10"/>
      <c r="AE5123" s="10"/>
      <c r="AF5123" s="10"/>
      <c r="AG5123" s="10"/>
      <c r="AH5123" s="10"/>
    </row>
    <row r="5124" spans="1:34" ht="31.5" outlineLevel="2">
      <c r="A5124" s="247"/>
      <c r="B5124" s="12" t="str">
        <f>IFERROR(VLOOKUP(D5124,'[1]Перечень товаров'!$A$2:$I9525,2,0),"")</f>
        <v>д368</v>
      </c>
      <c r="C5124" s="12" t="str">
        <f>IFERROR(VLOOKUP(D5124,'[1]Перечень товаров'!$A$2:$I9525,3,0),"")</f>
        <v>дидактика</v>
      </c>
      <c r="D5124" s="248" t="s">
        <v>1451</v>
      </c>
      <c r="E5124" s="23" t="s">
        <v>534</v>
      </c>
      <c r="F5124" s="23"/>
      <c r="G5124" s="24">
        <v>1</v>
      </c>
      <c r="H5124" s="24"/>
      <c r="I5124" s="25"/>
      <c r="J5124" s="25"/>
      <c r="K5124" s="19"/>
      <c r="L5124" s="20"/>
      <c r="M5124" s="10"/>
      <c r="N5124" s="10"/>
      <c r="O5124" s="10"/>
      <c r="P5124" s="10"/>
      <c r="Q5124" s="10"/>
      <c r="R5124" s="10"/>
      <c r="S5124" s="10"/>
      <c r="T5124" s="10"/>
      <c r="U5124" s="10"/>
      <c r="V5124" s="10"/>
      <c r="W5124" s="10"/>
      <c r="X5124" s="10"/>
      <c r="Y5124" s="10"/>
      <c r="Z5124" s="10"/>
      <c r="AA5124" s="10"/>
      <c r="AB5124" s="10"/>
      <c r="AC5124" s="10"/>
      <c r="AD5124" s="10"/>
      <c r="AE5124" s="10"/>
      <c r="AF5124" s="10"/>
      <c r="AG5124" s="10"/>
      <c r="AH5124" s="10"/>
    </row>
    <row r="5125" spans="1:34" outlineLevel="2">
      <c r="A5125" s="247"/>
      <c r="B5125" s="12" t="str">
        <f>IFERROR(VLOOKUP(D5125,'[1]Перечень товаров'!$A$2:$I9525,2,0),"")</f>
        <v>д367</v>
      </c>
      <c r="C5125" s="12" t="str">
        <f>IFERROR(VLOOKUP(D5125,'[1]Перечень товаров'!$A$2:$I9525,3,0),"")</f>
        <v>дидактика</v>
      </c>
      <c r="D5125" s="248" t="s">
        <v>1452</v>
      </c>
      <c r="E5125" s="23" t="s">
        <v>534</v>
      </c>
      <c r="F5125" s="23"/>
      <c r="G5125" s="24">
        <v>1</v>
      </c>
      <c r="H5125" s="24"/>
      <c r="I5125" s="25"/>
      <c r="J5125" s="25"/>
      <c r="K5125" s="19"/>
      <c r="L5125" s="20"/>
      <c r="M5125" s="10"/>
      <c r="N5125" s="10"/>
      <c r="O5125" s="10"/>
      <c r="P5125" s="10"/>
      <c r="Q5125" s="10"/>
      <c r="R5125" s="10"/>
      <c r="S5125" s="10"/>
      <c r="T5125" s="10"/>
      <c r="U5125" s="10"/>
      <c r="V5125" s="10"/>
      <c r="W5125" s="10"/>
      <c r="X5125" s="10"/>
      <c r="Y5125" s="10"/>
      <c r="Z5125" s="10"/>
      <c r="AA5125" s="10"/>
      <c r="AB5125" s="10"/>
      <c r="AC5125" s="10"/>
      <c r="AD5125" s="10"/>
      <c r="AE5125" s="10"/>
      <c r="AF5125" s="10"/>
      <c r="AG5125" s="10"/>
      <c r="AH5125" s="10"/>
    </row>
    <row r="5126" spans="1:34" outlineLevel="2">
      <c r="A5126" s="247"/>
      <c r="B5126" s="12" t="str">
        <f>IFERROR(VLOOKUP(D5126,'[1]Перечень товаров'!$A$2:$I9525,2,0),"")</f>
        <v>д572</v>
      </c>
      <c r="C5126" s="12" t="str">
        <f>IFERROR(VLOOKUP(D5126,'[1]Перечень товаров'!$A$2:$I9525,3,0),"")</f>
        <v>Дидактика</v>
      </c>
      <c r="D5126" s="248" t="s">
        <v>909</v>
      </c>
      <c r="E5126" s="23" t="s">
        <v>534</v>
      </c>
      <c r="F5126" s="23"/>
      <c r="G5126" s="24">
        <v>1</v>
      </c>
      <c r="H5126" s="24"/>
      <c r="I5126" s="25"/>
      <c r="J5126" s="25"/>
      <c r="K5126" s="19"/>
      <c r="L5126" s="20"/>
      <c r="M5126" s="10"/>
      <c r="N5126" s="10"/>
      <c r="O5126" s="10"/>
      <c r="P5126" s="10"/>
      <c r="Q5126" s="10"/>
      <c r="R5126" s="10"/>
      <c r="S5126" s="10"/>
      <c r="T5126" s="10"/>
      <c r="U5126" s="10"/>
      <c r="V5126" s="10"/>
      <c r="W5126" s="10"/>
      <c r="X5126" s="10"/>
      <c r="Y5126" s="10"/>
      <c r="Z5126" s="10"/>
      <c r="AA5126" s="10"/>
      <c r="AB5126" s="10"/>
      <c r="AC5126" s="10"/>
      <c r="AD5126" s="10"/>
      <c r="AE5126" s="10"/>
      <c r="AF5126" s="10"/>
      <c r="AG5126" s="10"/>
      <c r="AH5126" s="10"/>
    </row>
    <row r="5127" spans="1:34" ht="31.5" outlineLevel="2">
      <c r="A5127" s="247"/>
      <c r="B5127" s="12" t="str">
        <f>IFERROR(VLOOKUP(D5127,'[1]Перечень товаров'!$A$2:$I9525,2,0),"")</f>
        <v>д366</v>
      </c>
      <c r="C5127" s="12" t="str">
        <f>IFERROR(VLOOKUP(D5127,'[1]Перечень товаров'!$A$2:$I9525,3,0),"")</f>
        <v>дидактика</v>
      </c>
      <c r="D5127" s="248" t="s">
        <v>1453</v>
      </c>
      <c r="E5127" s="23" t="s">
        <v>534</v>
      </c>
      <c r="F5127" s="23"/>
      <c r="G5127" s="24">
        <v>1</v>
      </c>
      <c r="H5127" s="24"/>
      <c r="I5127" s="25"/>
      <c r="J5127" s="25"/>
      <c r="K5127" s="19"/>
      <c r="L5127" s="20"/>
      <c r="M5127" s="10"/>
      <c r="N5127" s="10"/>
      <c r="O5127" s="10"/>
      <c r="P5127" s="10"/>
      <c r="Q5127" s="10"/>
      <c r="R5127" s="10"/>
      <c r="S5127" s="10"/>
      <c r="T5127" s="10"/>
      <c r="U5127" s="10"/>
      <c r="V5127" s="10"/>
      <c r="W5127" s="10"/>
      <c r="X5127" s="10"/>
      <c r="Y5127" s="10"/>
      <c r="Z5127" s="10"/>
      <c r="AA5127" s="10"/>
      <c r="AB5127" s="10"/>
      <c r="AC5127" s="10"/>
      <c r="AD5127" s="10"/>
      <c r="AE5127" s="10"/>
      <c r="AF5127" s="10"/>
      <c r="AG5127" s="10"/>
      <c r="AH5127" s="10"/>
    </row>
    <row r="5128" spans="1:34" outlineLevel="2">
      <c r="A5128" s="247"/>
      <c r="B5128" s="12" t="str">
        <f>IFERROR(VLOOKUP(D5128,'[1]Перечень товаров'!$A$2:$I9525,2,0),"")</f>
        <v>д365</v>
      </c>
      <c r="C5128" s="12" t="str">
        <f>IFERROR(VLOOKUP(D5128,'[1]Перечень товаров'!$A$2:$I9525,3,0),"")</f>
        <v>дидактика</v>
      </c>
      <c r="D5128" s="248" t="s">
        <v>1454</v>
      </c>
      <c r="E5128" s="23" t="s">
        <v>534</v>
      </c>
      <c r="F5128" s="23"/>
      <c r="G5128" s="24">
        <v>1</v>
      </c>
      <c r="H5128" s="24"/>
      <c r="I5128" s="25"/>
      <c r="J5128" s="25"/>
      <c r="K5128" s="19"/>
      <c r="L5128" s="20"/>
      <c r="M5128" s="10"/>
      <c r="N5128" s="10"/>
      <c r="O5128" s="10"/>
      <c r="P5128" s="10"/>
      <c r="Q5128" s="10"/>
      <c r="R5128" s="10"/>
      <c r="S5128" s="10"/>
      <c r="T5128" s="10"/>
      <c r="U5128" s="10"/>
      <c r="V5128" s="10"/>
      <c r="W5128" s="10"/>
      <c r="X5128" s="10"/>
      <c r="Y5128" s="10"/>
      <c r="Z5128" s="10"/>
      <c r="AA5128" s="10"/>
      <c r="AB5128" s="10"/>
      <c r="AC5128" s="10"/>
      <c r="AD5128" s="10"/>
      <c r="AE5128" s="10"/>
      <c r="AF5128" s="10"/>
      <c r="AG5128" s="10"/>
      <c r="AH5128" s="10"/>
    </row>
    <row r="5129" spans="1:34" ht="31.5" outlineLevel="2">
      <c r="A5129" s="247"/>
      <c r="B5129" s="12" t="str">
        <f>IFERROR(VLOOKUP(D5129,'[1]Перечень товаров'!$A$2:$I9525,2,0),"")</f>
        <v>м198</v>
      </c>
      <c r="C5129" s="12" t="str">
        <f>IFERROR(VLOOKUP(D5129,'[1]Перечень товаров'!$A$2:$I9525,3,0),"")</f>
        <v>Мебель</v>
      </c>
      <c r="D5129" s="248" t="s">
        <v>663</v>
      </c>
      <c r="E5129" s="23" t="s">
        <v>534</v>
      </c>
      <c r="F5129" s="23"/>
      <c r="G5129" s="24">
        <v>4</v>
      </c>
      <c r="H5129" s="24"/>
      <c r="I5129" s="25"/>
      <c r="J5129" s="25"/>
      <c r="K5129" s="19"/>
      <c r="L5129" s="20"/>
      <c r="M5129" s="10"/>
      <c r="N5129" s="10"/>
      <c r="O5129" s="10"/>
      <c r="P5129" s="10"/>
      <c r="Q5129" s="10"/>
      <c r="R5129" s="10"/>
      <c r="S5129" s="10"/>
      <c r="T5129" s="10"/>
      <c r="U5129" s="10"/>
      <c r="V5129" s="10"/>
      <c r="W5129" s="10"/>
      <c r="X5129" s="10"/>
      <c r="Y5129" s="10"/>
      <c r="Z5129" s="10"/>
      <c r="AA5129" s="10"/>
      <c r="AB5129" s="10"/>
      <c r="AC5129" s="10"/>
      <c r="AD5129" s="10"/>
      <c r="AE5129" s="10"/>
      <c r="AF5129" s="10"/>
      <c r="AG5129" s="10"/>
      <c r="AH5129" s="10"/>
    </row>
    <row r="5130" spans="1:34" ht="31.5" outlineLevel="2">
      <c r="A5130" s="247"/>
      <c r="B5130" s="12" t="str">
        <f>IFERROR(VLOOKUP(D5130,'[1]Перечень товаров'!$A$2:$I9525,2,0),"")</f>
        <v>д364</v>
      </c>
      <c r="C5130" s="12" t="str">
        <f>IFERROR(VLOOKUP(D5130,'[1]Перечень товаров'!$A$2:$I9525,3,0),"")</f>
        <v>дидактика</v>
      </c>
      <c r="D5130" s="248" t="s">
        <v>1455</v>
      </c>
      <c r="E5130" s="23" t="s">
        <v>534</v>
      </c>
      <c r="F5130" s="23"/>
      <c r="G5130" s="24">
        <v>2</v>
      </c>
      <c r="H5130" s="24"/>
      <c r="I5130" s="25"/>
      <c r="J5130" s="25"/>
      <c r="K5130" s="19"/>
      <c r="L5130" s="20"/>
      <c r="M5130" s="10"/>
      <c r="N5130" s="10"/>
      <c r="O5130" s="10"/>
      <c r="P5130" s="10"/>
      <c r="Q5130" s="10"/>
      <c r="R5130" s="10"/>
      <c r="S5130" s="10"/>
      <c r="T5130" s="10"/>
      <c r="U5130" s="10"/>
      <c r="V5130" s="10"/>
      <c r="W5130" s="10"/>
      <c r="X5130" s="10"/>
      <c r="Y5130" s="10"/>
      <c r="Z5130" s="10"/>
      <c r="AA5130" s="10"/>
      <c r="AB5130" s="10"/>
      <c r="AC5130" s="10"/>
      <c r="AD5130" s="10"/>
      <c r="AE5130" s="10"/>
      <c r="AF5130" s="10"/>
      <c r="AG5130" s="10"/>
      <c r="AH5130" s="10"/>
    </row>
    <row r="5131" spans="1:34" ht="31.5" outlineLevel="2">
      <c r="A5131" s="247"/>
      <c r="B5131" s="12" t="str">
        <f>IFERROR(VLOOKUP(D5131,'[1]Перечень товаров'!$A$2:$I9525,2,0),"")</f>
        <v>д363</v>
      </c>
      <c r="C5131" s="12" t="str">
        <f>IFERROR(VLOOKUP(D5131,'[1]Перечень товаров'!$A$2:$I9525,3,0),"")</f>
        <v>дидактика</v>
      </c>
      <c r="D5131" s="248" t="s">
        <v>1456</v>
      </c>
      <c r="E5131" s="23" t="s">
        <v>534</v>
      </c>
      <c r="F5131" s="23"/>
      <c r="G5131" s="24">
        <v>2</v>
      </c>
      <c r="H5131" s="24"/>
      <c r="I5131" s="25"/>
      <c r="J5131" s="25"/>
      <c r="K5131" s="19"/>
      <c r="L5131" s="20"/>
      <c r="M5131" s="10"/>
      <c r="N5131" s="10"/>
      <c r="O5131" s="10"/>
      <c r="P5131" s="10"/>
      <c r="Q5131" s="10"/>
      <c r="R5131" s="10"/>
      <c r="S5131" s="10"/>
      <c r="T5131" s="10"/>
      <c r="U5131" s="10"/>
      <c r="V5131" s="10"/>
      <c r="W5131" s="10"/>
      <c r="X5131" s="10"/>
      <c r="Y5131" s="10"/>
      <c r="Z5131" s="10"/>
      <c r="AA5131" s="10"/>
      <c r="AB5131" s="10"/>
      <c r="AC5131" s="10"/>
      <c r="AD5131" s="10"/>
      <c r="AE5131" s="10"/>
      <c r="AF5131" s="10"/>
      <c r="AG5131" s="10"/>
      <c r="AH5131" s="10"/>
    </row>
    <row r="5132" spans="1:34" ht="31.5" outlineLevel="2">
      <c r="A5132" s="247"/>
      <c r="B5132" s="12" t="str">
        <f>IFERROR(VLOOKUP(D5132,'[1]Перечень товаров'!$A$2:$I9525,2,0),"")</f>
        <v>д362</v>
      </c>
      <c r="C5132" s="12" t="str">
        <f>IFERROR(VLOOKUP(D5132,'[1]Перечень товаров'!$A$2:$I9525,3,0),"")</f>
        <v>дидактика</v>
      </c>
      <c r="D5132" s="248" t="s">
        <v>1457</v>
      </c>
      <c r="E5132" s="23" t="s">
        <v>534</v>
      </c>
      <c r="F5132" s="23"/>
      <c r="G5132" s="24">
        <v>2</v>
      </c>
      <c r="H5132" s="24"/>
      <c r="I5132" s="25"/>
      <c r="J5132" s="25"/>
      <c r="K5132" s="19"/>
      <c r="L5132" s="20"/>
      <c r="M5132" s="10"/>
      <c r="N5132" s="10"/>
      <c r="O5132" s="10"/>
      <c r="P5132" s="10"/>
      <c r="Q5132" s="10"/>
      <c r="R5132" s="10"/>
      <c r="S5132" s="10"/>
      <c r="T5132" s="10"/>
      <c r="U5132" s="10"/>
      <c r="V5132" s="10"/>
      <c r="W5132" s="10"/>
      <c r="X5132" s="10"/>
      <c r="Y5132" s="10"/>
      <c r="Z5132" s="10"/>
      <c r="AA5132" s="10"/>
      <c r="AB5132" s="10"/>
      <c r="AC5132" s="10"/>
      <c r="AD5132" s="10"/>
      <c r="AE5132" s="10"/>
      <c r="AF5132" s="10"/>
      <c r="AG5132" s="10"/>
      <c r="AH5132" s="10"/>
    </row>
    <row r="5133" spans="1:34" ht="31.5" outlineLevel="2">
      <c r="A5133" s="247"/>
      <c r="B5133" s="12" t="str">
        <f>IFERROR(VLOOKUP(D5133,'[1]Перечень товаров'!$A$2:$I9525,2,0),"")</f>
        <v>д361</v>
      </c>
      <c r="C5133" s="12" t="str">
        <f>IFERROR(VLOOKUP(D5133,'[1]Перечень товаров'!$A$2:$I9525,3,0),"")</f>
        <v>дидактика</v>
      </c>
      <c r="D5133" s="248" t="s">
        <v>1458</v>
      </c>
      <c r="E5133" s="23" t="s">
        <v>534</v>
      </c>
      <c r="F5133" s="23"/>
      <c r="G5133" s="24">
        <v>2</v>
      </c>
      <c r="H5133" s="24"/>
      <c r="I5133" s="25"/>
      <c r="J5133" s="25"/>
      <c r="K5133" s="19"/>
      <c r="L5133" s="20"/>
      <c r="M5133" s="10"/>
      <c r="N5133" s="10"/>
      <c r="O5133" s="10"/>
      <c r="P5133" s="10"/>
      <c r="Q5133" s="10"/>
      <c r="R5133" s="10"/>
      <c r="S5133" s="10"/>
      <c r="T5133" s="10"/>
      <c r="U5133" s="10"/>
      <c r="V5133" s="10"/>
      <c r="W5133" s="10"/>
      <c r="X5133" s="10"/>
      <c r="Y5133" s="10"/>
      <c r="Z5133" s="10"/>
      <c r="AA5133" s="10"/>
      <c r="AB5133" s="10"/>
      <c r="AC5133" s="10"/>
      <c r="AD5133" s="10"/>
      <c r="AE5133" s="10"/>
      <c r="AF5133" s="10"/>
      <c r="AG5133" s="10"/>
      <c r="AH5133" s="10"/>
    </row>
    <row r="5134" spans="1:34" ht="31.5" outlineLevel="2">
      <c r="A5134" s="247"/>
      <c r="B5134" s="12" t="str">
        <f>IFERROR(VLOOKUP(D5134,'[1]Перечень товаров'!$A$2:$I9525,2,0),"")</f>
        <v>д360</v>
      </c>
      <c r="C5134" s="12" t="str">
        <f>IFERROR(VLOOKUP(D5134,'[1]Перечень товаров'!$A$2:$I9525,3,0),"")</f>
        <v>дидактика</v>
      </c>
      <c r="D5134" s="248" t="s">
        <v>1459</v>
      </c>
      <c r="E5134" s="23" t="s">
        <v>534</v>
      </c>
      <c r="F5134" s="23"/>
      <c r="G5134" s="24">
        <v>2</v>
      </c>
      <c r="H5134" s="24"/>
      <c r="I5134" s="25"/>
      <c r="J5134" s="25"/>
      <c r="K5134" s="19"/>
      <c r="L5134" s="20"/>
      <c r="M5134" s="10"/>
      <c r="N5134" s="10"/>
      <c r="O5134" s="10"/>
      <c r="P5134" s="10"/>
      <c r="Q5134" s="10"/>
      <c r="R5134" s="10"/>
      <c r="S5134" s="10"/>
      <c r="T5134" s="10"/>
      <c r="U5134" s="10"/>
      <c r="V5134" s="10"/>
      <c r="W5134" s="10"/>
      <c r="X5134" s="10"/>
      <c r="Y5134" s="10"/>
      <c r="Z5134" s="10"/>
      <c r="AA5134" s="10"/>
      <c r="AB5134" s="10"/>
      <c r="AC5134" s="10"/>
      <c r="AD5134" s="10"/>
      <c r="AE5134" s="10"/>
      <c r="AF5134" s="10"/>
      <c r="AG5134" s="10"/>
      <c r="AH5134" s="10"/>
    </row>
    <row r="5135" spans="1:34" ht="31.5" outlineLevel="2">
      <c r="A5135" s="247"/>
      <c r="B5135" s="12" t="str">
        <f>IFERROR(VLOOKUP(D5135,'[1]Перечень товаров'!$A$2:$I9525,2,0),"")</f>
        <v>д359</v>
      </c>
      <c r="C5135" s="12" t="str">
        <f>IFERROR(VLOOKUP(D5135,'[1]Перечень товаров'!$A$2:$I9525,3,0),"")</f>
        <v>дидактика</v>
      </c>
      <c r="D5135" s="248" t="s">
        <v>1460</v>
      </c>
      <c r="E5135" s="23" t="s">
        <v>534</v>
      </c>
      <c r="F5135" s="23"/>
      <c r="G5135" s="24">
        <v>2</v>
      </c>
      <c r="H5135" s="24"/>
      <c r="I5135" s="25"/>
      <c r="J5135" s="25"/>
      <c r="K5135" s="19"/>
      <c r="L5135" s="20"/>
      <c r="M5135" s="10"/>
      <c r="N5135" s="10"/>
      <c r="O5135" s="10"/>
      <c r="P5135" s="10"/>
      <c r="Q5135" s="10"/>
      <c r="R5135" s="10"/>
      <c r="S5135" s="10"/>
      <c r="T5135" s="10"/>
      <c r="U5135" s="10"/>
      <c r="V5135" s="10"/>
      <c r="W5135" s="10"/>
      <c r="X5135" s="10"/>
      <c r="Y5135" s="10"/>
      <c r="Z5135" s="10"/>
      <c r="AA5135" s="10"/>
      <c r="AB5135" s="10"/>
      <c r="AC5135" s="10"/>
      <c r="AD5135" s="10"/>
      <c r="AE5135" s="10"/>
      <c r="AF5135" s="10"/>
      <c r="AG5135" s="10"/>
      <c r="AH5135" s="10"/>
    </row>
    <row r="5136" spans="1:34" ht="31.5" outlineLevel="2">
      <c r="A5136" s="247"/>
      <c r="B5136" s="12" t="str">
        <f>IFERROR(VLOOKUP(D5136,'[1]Перечень товаров'!$A$2:$I9525,2,0),"")</f>
        <v>д358</v>
      </c>
      <c r="C5136" s="12" t="str">
        <f>IFERROR(VLOOKUP(D5136,'[1]Перечень товаров'!$A$2:$I9525,3,0),"")</f>
        <v>дидактика</v>
      </c>
      <c r="D5136" s="248" t="s">
        <v>1461</v>
      </c>
      <c r="E5136" s="23" t="s">
        <v>534</v>
      </c>
      <c r="F5136" s="23"/>
      <c r="G5136" s="24">
        <v>2</v>
      </c>
      <c r="H5136" s="24"/>
      <c r="I5136" s="25"/>
      <c r="J5136" s="25"/>
      <c r="K5136" s="19"/>
      <c r="L5136" s="20"/>
      <c r="M5136" s="10"/>
      <c r="N5136" s="10"/>
      <c r="O5136" s="10"/>
      <c r="P5136" s="10"/>
      <c r="Q5136" s="10"/>
      <c r="R5136" s="10"/>
      <c r="S5136" s="10"/>
      <c r="T5136" s="10"/>
      <c r="U5136" s="10"/>
      <c r="V5136" s="10"/>
      <c r="W5136" s="10"/>
      <c r="X5136" s="10"/>
      <c r="Y5136" s="10"/>
      <c r="Z5136" s="10"/>
      <c r="AA5136" s="10"/>
      <c r="AB5136" s="10"/>
      <c r="AC5136" s="10"/>
      <c r="AD5136" s="10"/>
      <c r="AE5136" s="10"/>
      <c r="AF5136" s="10"/>
      <c r="AG5136" s="10"/>
      <c r="AH5136" s="10"/>
    </row>
    <row r="5137" spans="1:34" ht="31.5" outlineLevel="2">
      <c r="A5137" s="247"/>
      <c r="B5137" s="12" t="str">
        <f>IFERROR(VLOOKUP(D5137,'[1]Перечень товаров'!$A$2:$I9525,2,0),"")</f>
        <v>д357</v>
      </c>
      <c r="C5137" s="12" t="str">
        <f>IFERROR(VLOOKUP(D5137,'[1]Перечень товаров'!$A$2:$I9525,3,0),"")</f>
        <v>дидактика</v>
      </c>
      <c r="D5137" s="248" t="s">
        <v>1462</v>
      </c>
      <c r="E5137" s="23" t="s">
        <v>534</v>
      </c>
      <c r="F5137" s="23"/>
      <c r="G5137" s="24">
        <v>2</v>
      </c>
      <c r="H5137" s="24"/>
      <c r="I5137" s="25"/>
      <c r="J5137" s="25"/>
      <c r="K5137" s="19"/>
      <c r="L5137" s="20"/>
      <c r="M5137" s="10"/>
      <c r="N5137" s="10"/>
      <c r="O5137" s="10"/>
      <c r="P5137" s="10"/>
      <c r="Q5137" s="10"/>
      <c r="R5137" s="10"/>
      <c r="S5137" s="10"/>
      <c r="T5137" s="10"/>
      <c r="U5137" s="10"/>
      <c r="V5137" s="10"/>
      <c r="W5137" s="10"/>
      <c r="X5137" s="10"/>
      <c r="Y5137" s="10"/>
      <c r="Z5137" s="10"/>
      <c r="AA5137" s="10"/>
      <c r="AB5137" s="10"/>
      <c r="AC5137" s="10"/>
      <c r="AD5137" s="10"/>
      <c r="AE5137" s="10"/>
      <c r="AF5137" s="10"/>
      <c r="AG5137" s="10"/>
      <c r="AH5137" s="10"/>
    </row>
    <row r="5138" spans="1:34" ht="31.5" outlineLevel="2">
      <c r="A5138" s="247"/>
      <c r="B5138" s="12" t="str">
        <f>IFERROR(VLOOKUP(D5138,'[1]Перечень товаров'!$A$2:$I9525,2,0),"")</f>
        <v>д356</v>
      </c>
      <c r="C5138" s="12" t="str">
        <f>IFERROR(VLOOKUP(D5138,'[1]Перечень товаров'!$A$2:$I9525,3,0),"")</f>
        <v>дидактика</v>
      </c>
      <c r="D5138" s="248" t="s">
        <v>1463</v>
      </c>
      <c r="E5138" s="23" t="s">
        <v>534</v>
      </c>
      <c r="F5138" s="23"/>
      <c r="G5138" s="24">
        <v>2</v>
      </c>
      <c r="H5138" s="24"/>
      <c r="I5138" s="25"/>
      <c r="J5138" s="25"/>
      <c r="K5138" s="19"/>
      <c r="L5138" s="20"/>
      <c r="M5138" s="10"/>
      <c r="N5138" s="10"/>
      <c r="O5138" s="10"/>
      <c r="P5138" s="10"/>
      <c r="Q5138" s="10"/>
      <c r="R5138" s="10"/>
      <c r="S5138" s="10"/>
      <c r="T5138" s="10"/>
      <c r="U5138" s="10"/>
      <c r="V5138" s="10"/>
      <c r="W5138" s="10"/>
      <c r="X5138" s="10"/>
      <c r="Y5138" s="10"/>
      <c r="Z5138" s="10"/>
      <c r="AA5138" s="10"/>
      <c r="AB5138" s="10"/>
      <c r="AC5138" s="10"/>
      <c r="AD5138" s="10"/>
      <c r="AE5138" s="10"/>
      <c r="AF5138" s="10"/>
      <c r="AG5138" s="10"/>
      <c r="AH5138" s="10"/>
    </row>
    <row r="5139" spans="1:34" ht="31.5" outlineLevel="2">
      <c r="A5139" s="247"/>
      <c r="B5139" s="12" t="str">
        <f>IFERROR(VLOOKUP(D5139,'[1]Перечень товаров'!$A$2:$I9525,2,0),"")</f>
        <v>д355</v>
      </c>
      <c r="C5139" s="12" t="str">
        <f>IFERROR(VLOOKUP(D5139,'[1]Перечень товаров'!$A$2:$I9525,3,0),"")</f>
        <v>дидактика</v>
      </c>
      <c r="D5139" s="248" t="s">
        <v>1464</v>
      </c>
      <c r="E5139" s="23" t="s">
        <v>534</v>
      </c>
      <c r="F5139" s="23"/>
      <c r="G5139" s="24">
        <v>2</v>
      </c>
      <c r="H5139" s="24"/>
      <c r="I5139" s="25"/>
      <c r="J5139" s="25"/>
      <c r="K5139" s="19"/>
      <c r="L5139" s="20"/>
      <c r="M5139" s="10"/>
      <c r="N5139" s="10"/>
      <c r="O5139" s="10"/>
      <c r="P5139" s="10"/>
      <c r="Q5139" s="10"/>
      <c r="R5139" s="10"/>
      <c r="S5139" s="10"/>
      <c r="T5139" s="10"/>
      <c r="U5139" s="10"/>
      <c r="V5139" s="10"/>
      <c r="W5139" s="10"/>
      <c r="X5139" s="10"/>
      <c r="Y5139" s="10"/>
      <c r="Z5139" s="10"/>
      <c r="AA5139" s="10"/>
      <c r="AB5139" s="10"/>
      <c r="AC5139" s="10"/>
      <c r="AD5139" s="10"/>
      <c r="AE5139" s="10"/>
      <c r="AF5139" s="10"/>
      <c r="AG5139" s="10"/>
      <c r="AH5139" s="10"/>
    </row>
    <row r="5140" spans="1:34" ht="31.5" outlineLevel="2">
      <c r="A5140" s="247"/>
      <c r="B5140" s="12" t="str">
        <f>IFERROR(VLOOKUP(D5140,'[1]Перечень товаров'!$A$2:$I9525,2,0),"")</f>
        <v>д354</v>
      </c>
      <c r="C5140" s="12" t="str">
        <f>IFERROR(VLOOKUP(D5140,'[1]Перечень товаров'!$A$2:$I9525,3,0),"")</f>
        <v>дидактика</v>
      </c>
      <c r="D5140" s="248" t="s">
        <v>1465</v>
      </c>
      <c r="E5140" s="23" t="s">
        <v>534</v>
      </c>
      <c r="F5140" s="23"/>
      <c r="G5140" s="24">
        <v>2</v>
      </c>
      <c r="H5140" s="24"/>
      <c r="I5140" s="25"/>
      <c r="J5140" s="25"/>
      <c r="K5140" s="19"/>
      <c r="L5140" s="20"/>
      <c r="M5140" s="10"/>
      <c r="N5140" s="10"/>
      <c r="O5140" s="10"/>
      <c r="P5140" s="10"/>
      <c r="Q5140" s="10"/>
      <c r="R5140" s="10"/>
      <c r="S5140" s="10"/>
      <c r="T5140" s="10"/>
      <c r="U5140" s="10"/>
      <c r="V5140" s="10"/>
      <c r="W5140" s="10"/>
      <c r="X5140" s="10"/>
      <c r="Y5140" s="10"/>
      <c r="Z5140" s="10"/>
      <c r="AA5140" s="10"/>
      <c r="AB5140" s="10"/>
      <c r="AC5140" s="10"/>
      <c r="AD5140" s="10"/>
      <c r="AE5140" s="10"/>
      <c r="AF5140" s="10"/>
      <c r="AG5140" s="10"/>
      <c r="AH5140" s="10"/>
    </row>
    <row r="5141" spans="1:34" ht="31.5" outlineLevel="2">
      <c r="A5141" s="247"/>
      <c r="B5141" s="12" t="str">
        <f>IFERROR(VLOOKUP(D5141,'[1]Перечень товаров'!$A$2:$I9525,2,0),"")</f>
        <v>д353</v>
      </c>
      <c r="C5141" s="12" t="str">
        <f>IFERROR(VLOOKUP(D5141,'[1]Перечень товаров'!$A$2:$I9525,3,0),"")</f>
        <v>дидактика</v>
      </c>
      <c r="D5141" s="248" t="s">
        <v>1466</v>
      </c>
      <c r="E5141" s="23" t="s">
        <v>534</v>
      </c>
      <c r="F5141" s="23"/>
      <c r="G5141" s="24">
        <v>2</v>
      </c>
      <c r="H5141" s="24"/>
      <c r="I5141" s="25"/>
      <c r="J5141" s="25"/>
      <c r="K5141" s="19"/>
      <c r="L5141" s="20"/>
      <c r="M5141" s="10"/>
      <c r="N5141" s="10"/>
      <c r="O5141" s="10"/>
      <c r="P5141" s="10"/>
      <c r="Q5141" s="10"/>
      <c r="R5141" s="10"/>
      <c r="S5141" s="10"/>
      <c r="T5141" s="10"/>
      <c r="U5141" s="10"/>
      <c r="V5141" s="10"/>
      <c r="W5141" s="10"/>
      <c r="X5141" s="10"/>
      <c r="Y5141" s="10"/>
      <c r="Z5141" s="10"/>
      <c r="AA5141" s="10"/>
      <c r="AB5141" s="10"/>
      <c r="AC5141" s="10"/>
      <c r="AD5141" s="10"/>
      <c r="AE5141" s="10"/>
      <c r="AF5141" s="10"/>
      <c r="AG5141" s="10"/>
      <c r="AH5141" s="10"/>
    </row>
    <row r="5142" spans="1:34" ht="31.5" outlineLevel="2">
      <c r="A5142" s="247"/>
      <c r="B5142" s="12" t="str">
        <f>IFERROR(VLOOKUP(D5142,'[1]Перечень товаров'!$A$2:$I9525,2,0),"")</f>
        <v>д352</v>
      </c>
      <c r="C5142" s="12" t="str">
        <f>IFERROR(VLOOKUP(D5142,'[1]Перечень товаров'!$A$2:$I9525,3,0),"")</f>
        <v>дидактика</v>
      </c>
      <c r="D5142" s="248" t="s">
        <v>1467</v>
      </c>
      <c r="E5142" s="23" t="s">
        <v>534</v>
      </c>
      <c r="F5142" s="23"/>
      <c r="G5142" s="24">
        <v>2</v>
      </c>
      <c r="H5142" s="24"/>
      <c r="I5142" s="25"/>
      <c r="J5142" s="25"/>
      <c r="K5142" s="19"/>
      <c r="L5142" s="20"/>
      <c r="M5142" s="10"/>
      <c r="N5142" s="10"/>
      <c r="O5142" s="10"/>
      <c r="P5142" s="10"/>
      <c r="Q5142" s="10"/>
      <c r="R5142" s="10"/>
      <c r="S5142" s="10"/>
      <c r="T5142" s="10"/>
      <c r="U5142" s="10"/>
      <c r="V5142" s="10"/>
      <c r="W5142" s="10"/>
      <c r="X5142" s="10"/>
      <c r="Y5142" s="10"/>
      <c r="Z5142" s="10"/>
      <c r="AA5142" s="10"/>
      <c r="AB5142" s="10"/>
      <c r="AC5142" s="10"/>
      <c r="AD5142" s="10"/>
      <c r="AE5142" s="10"/>
      <c r="AF5142" s="10"/>
      <c r="AG5142" s="10"/>
      <c r="AH5142" s="10"/>
    </row>
    <row r="5143" spans="1:34" ht="31.5" outlineLevel="2">
      <c r="A5143" s="247"/>
      <c r="B5143" s="12" t="str">
        <f>IFERROR(VLOOKUP(D5143,'[1]Перечень товаров'!$A$2:$I9525,2,0),"")</f>
        <v>д351</v>
      </c>
      <c r="C5143" s="12" t="str">
        <f>IFERROR(VLOOKUP(D5143,'[1]Перечень товаров'!$A$2:$I9525,3,0),"")</f>
        <v>дидактика</v>
      </c>
      <c r="D5143" s="248" t="s">
        <v>1468</v>
      </c>
      <c r="E5143" s="23" t="s">
        <v>534</v>
      </c>
      <c r="F5143" s="23"/>
      <c r="G5143" s="24">
        <v>2</v>
      </c>
      <c r="H5143" s="24"/>
      <c r="I5143" s="25"/>
      <c r="J5143" s="25"/>
      <c r="K5143" s="19"/>
      <c r="L5143" s="20"/>
      <c r="M5143" s="10"/>
      <c r="N5143" s="10"/>
      <c r="O5143" s="10"/>
      <c r="P5143" s="10"/>
      <c r="Q5143" s="10"/>
      <c r="R5143" s="10"/>
      <c r="S5143" s="10"/>
      <c r="T5143" s="10"/>
      <c r="U5143" s="10"/>
      <c r="V5143" s="10"/>
      <c r="W5143" s="10"/>
      <c r="X5143" s="10"/>
      <c r="Y5143" s="10"/>
      <c r="Z5143" s="10"/>
      <c r="AA5143" s="10"/>
      <c r="AB5143" s="10"/>
      <c r="AC5143" s="10"/>
      <c r="AD5143" s="10"/>
      <c r="AE5143" s="10"/>
      <c r="AF5143" s="10"/>
      <c r="AG5143" s="10"/>
      <c r="AH5143" s="10"/>
    </row>
    <row r="5144" spans="1:34" ht="31.5" outlineLevel="2">
      <c r="A5144" s="247"/>
      <c r="B5144" s="12" t="str">
        <f>IFERROR(VLOOKUP(D5144,'[1]Перечень товаров'!$A$2:$I9525,2,0),"")</f>
        <v>д350</v>
      </c>
      <c r="C5144" s="12" t="str">
        <f>IFERROR(VLOOKUP(D5144,'[1]Перечень товаров'!$A$2:$I9525,3,0),"")</f>
        <v>дидактика</v>
      </c>
      <c r="D5144" s="248" t="s">
        <v>1469</v>
      </c>
      <c r="E5144" s="23" t="s">
        <v>534</v>
      </c>
      <c r="F5144" s="23"/>
      <c r="G5144" s="24">
        <v>2</v>
      </c>
      <c r="H5144" s="24"/>
      <c r="I5144" s="25"/>
      <c r="J5144" s="25"/>
      <c r="K5144" s="19"/>
      <c r="L5144" s="20"/>
      <c r="M5144" s="10"/>
      <c r="N5144" s="10"/>
      <c r="O5144" s="10"/>
      <c r="P5144" s="10"/>
      <c r="Q5144" s="10"/>
      <c r="R5144" s="10"/>
      <c r="S5144" s="10"/>
      <c r="T5144" s="10"/>
      <c r="U5144" s="10"/>
      <c r="V5144" s="10"/>
      <c r="W5144" s="10"/>
      <c r="X5144" s="10"/>
      <c r="Y5144" s="10"/>
      <c r="Z5144" s="10"/>
      <c r="AA5144" s="10"/>
      <c r="AB5144" s="10"/>
      <c r="AC5144" s="10"/>
      <c r="AD5144" s="10"/>
      <c r="AE5144" s="10"/>
      <c r="AF5144" s="10"/>
      <c r="AG5144" s="10"/>
      <c r="AH5144" s="10"/>
    </row>
    <row r="5145" spans="1:34" outlineLevel="2">
      <c r="A5145" s="247"/>
      <c r="B5145" s="12" t="str">
        <f>IFERROR(VLOOKUP(D5145,'[1]Перечень товаров'!$A$2:$I9525,2,0),"")</f>
        <v>д349</v>
      </c>
      <c r="C5145" s="12" t="str">
        <f>IFERROR(VLOOKUP(D5145,'[1]Перечень товаров'!$A$2:$I9525,3,0),"")</f>
        <v>дидактика</v>
      </c>
      <c r="D5145" s="248" t="s">
        <v>1470</v>
      </c>
      <c r="E5145" s="23" t="s">
        <v>534</v>
      </c>
      <c r="F5145" s="23"/>
      <c r="G5145" s="24">
        <v>2</v>
      </c>
      <c r="H5145" s="24"/>
      <c r="I5145" s="25"/>
      <c r="J5145" s="25"/>
      <c r="K5145" s="19"/>
      <c r="L5145" s="20"/>
      <c r="M5145" s="10"/>
      <c r="N5145" s="10"/>
      <c r="O5145" s="10"/>
      <c r="P5145" s="10"/>
      <c r="Q5145" s="10"/>
      <c r="R5145" s="10"/>
      <c r="S5145" s="10"/>
      <c r="T5145" s="10"/>
      <c r="U5145" s="10"/>
      <c r="V5145" s="10"/>
      <c r="W5145" s="10"/>
      <c r="X5145" s="10"/>
      <c r="Y5145" s="10"/>
      <c r="Z5145" s="10"/>
      <c r="AA5145" s="10"/>
      <c r="AB5145" s="10"/>
      <c r="AC5145" s="10"/>
      <c r="AD5145" s="10"/>
      <c r="AE5145" s="10"/>
      <c r="AF5145" s="10"/>
      <c r="AG5145" s="10"/>
      <c r="AH5145" s="10"/>
    </row>
    <row r="5146" spans="1:34" outlineLevel="2">
      <c r="A5146" s="247"/>
      <c r="B5146" s="12" t="str">
        <f>IFERROR(VLOOKUP(D5146,'[1]Перечень товаров'!$A$2:$I9525,2,0),"")</f>
        <v>д348</v>
      </c>
      <c r="C5146" s="12" t="str">
        <f>IFERROR(VLOOKUP(D5146,'[1]Перечень товаров'!$A$2:$I9525,3,0),"")</f>
        <v>дидактика</v>
      </c>
      <c r="D5146" s="248" t="s">
        <v>1471</v>
      </c>
      <c r="E5146" s="23" t="s">
        <v>534</v>
      </c>
      <c r="F5146" s="23"/>
      <c r="G5146" s="24">
        <v>2</v>
      </c>
      <c r="H5146" s="24"/>
      <c r="I5146" s="25"/>
      <c r="J5146" s="25"/>
      <c r="K5146" s="19"/>
      <c r="L5146" s="20"/>
      <c r="M5146" s="10"/>
      <c r="N5146" s="10"/>
      <c r="O5146" s="10"/>
      <c r="P5146" s="10"/>
      <c r="Q5146" s="10"/>
      <c r="R5146" s="10"/>
      <c r="S5146" s="10"/>
      <c r="T5146" s="10"/>
      <c r="U5146" s="10"/>
      <c r="V5146" s="10"/>
      <c r="W5146" s="10"/>
      <c r="X5146" s="10"/>
      <c r="Y5146" s="10"/>
      <c r="Z5146" s="10"/>
      <c r="AA5146" s="10"/>
      <c r="AB5146" s="10"/>
      <c r="AC5146" s="10"/>
      <c r="AD5146" s="10"/>
      <c r="AE5146" s="10"/>
      <c r="AF5146" s="10"/>
      <c r="AG5146" s="10"/>
      <c r="AH5146" s="10"/>
    </row>
    <row r="5147" spans="1:34" outlineLevel="2">
      <c r="A5147" s="247"/>
      <c r="B5147" s="12" t="str">
        <f>IFERROR(VLOOKUP(D5147,'[1]Перечень товаров'!$A$2:$I9525,2,0),"")</f>
        <v>д347</v>
      </c>
      <c r="C5147" s="12" t="str">
        <f>IFERROR(VLOOKUP(D5147,'[1]Перечень товаров'!$A$2:$I9525,3,0),"")</f>
        <v>дидактика</v>
      </c>
      <c r="D5147" s="248" t="s">
        <v>1472</v>
      </c>
      <c r="E5147" s="23" t="s">
        <v>534</v>
      </c>
      <c r="F5147" s="23"/>
      <c r="G5147" s="24">
        <v>2</v>
      </c>
      <c r="H5147" s="24"/>
      <c r="I5147" s="25"/>
      <c r="J5147" s="25"/>
      <c r="K5147" s="19"/>
      <c r="L5147" s="20"/>
      <c r="M5147" s="10"/>
      <c r="N5147" s="10"/>
      <c r="O5147" s="10"/>
      <c r="P5147" s="10"/>
      <c r="Q5147" s="10"/>
      <c r="R5147" s="10"/>
      <c r="S5147" s="10"/>
      <c r="T5147" s="10"/>
      <c r="U5147" s="10"/>
      <c r="V5147" s="10"/>
      <c r="W5147" s="10"/>
      <c r="X5147" s="10"/>
      <c r="Y5147" s="10"/>
      <c r="Z5147" s="10"/>
      <c r="AA5147" s="10"/>
      <c r="AB5147" s="10"/>
      <c r="AC5147" s="10"/>
      <c r="AD5147" s="10"/>
      <c r="AE5147" s="10"/>
      <c r="AF5147" s="10"/>
      <c r="AG5147" s="10"/>
      <c r="AH5147" s="10"/>
    </row>
    <row r="5148" spans="1:34" outlineLevel="2">
      <c r="A5148" s="247"/>
      <c r="B5148" s="12" t="str">
        <f>IFERROR(VLOOKUP(D5148,'[1]Перечень товаров'!$A$2:$I9525,2,0),"")</f>
        <v>д346</v>
      </c>
      <c r="C5148" s="12" t="str">
        <f>IFERROR(VLOOKUP(D5148,'[1]Перечень товаров'!$A$2:$I9525,3,0),"")</f>
        <v>дидактика</v>
      </c>
      <c r="D5148" s="248" t="s">
        <v>1473</v>
      </c>
      <c r="E5148" s="23" t="s">
        <v>534</v>
      </c>
      <c r="F5148" s="23"/>
      <c r="G5148" s="24">
        <v>2</v>
      </c>
      <c r="H5148" s="24"/>
      <c r="I5148" s="25"/>
      <c r="J5148" s="25"/>
      <c r="K5148" s="19"/>
      <c r="L5148" s="20"/>
      <c r="M5148" s="10"/>
      <c r="N5148" s="10"/>
      <c r="O5148" s="10"/>
      <c r="P5148" s="10"/>
      <c r="Q5148" s="10"/>
      <c r="R5148" s="10"/>
      <c r="S5148" s="10"/>
      <c r="T5148" s="10"/>
      <c r="U5148" s="10"/>
      <c r="V5148" s="10"/>
      <c r="W5148" s="10"/>
      <c r="X5148" s="10"/>
      <c r="Y5148" s="10"/>
      <c r="Z5148" s="10"/>
      <c r="AA5148" s="10"/>
      <c r="AB5148" s="10"/>
      <c r="AC5148" s="10"/>
      <c r="AD5148" s="10"/>
      <c r="AE5148" s="10"/>
      <c r="AF5148" s="10"/>
      <c r="AG5148" s="10"/>
      <c r="AH5148" s="10"/>
    </row>
    <row r="5149" spans="1:34" outlineLevel="2">
      <c r="A5149" s="247"/>
      <c r="B5149" s="12" t="str">
        <f>IFERROR(VLOOKUP(D5149,'[1]Перечень товаров'!$A$2:$I9525,2,0),"")</f>
        <v>д345</v>
      </c>
      <c r="C5149" s="12" t="str">
        <f>IFERROR(VLOOKUP(D5149,'[1]Перечень товаров'!$A$2:$I9525,3,0),"")</f>
        <v>дидактика</v>
      </c>
      <c r="D5149" s="248" t="s">
        <v>1474</v>
      </c>
      <c r="E5149" s="23" t="s">
        <v>534</v>
      </c>
      <c r="F5149" s="23"/>
      <c r="G5149" s="24">
        <v>2</v>
      </c>
      <c r="H5149" s="24"/>
      <c r="I5149" s="25"/>
      <c r="J5149" s="25"/>
      <c r="K5149" s="19"/>
      <c r="L5149" s="20"/>
      <c r="M5149" s="10"/>
      <c r="N5149" s="10"/>
      <c r="O5149" s="10"/>
      <c r="P5149" s="10"/>
      <c r="Q5149" s="10"/>
      <c r="R5149" s="10"/>
      <c r="S5149" s="10"/>
      <c r="T5149" s="10"/>
      <c r="U5149" s="10"/>
      <c r="V5149" s="10"/>
      <c r="W5149" s="10"/>
      <c r="X5149" s="10"/>
      <c r="Y5149" s="10"/>
      <c r="Z5149" s="10"/>
      <c r="AA5149" s="10"/>
      <c r="AB5149" s="10"/>
      <c r="AC5149" s="10"/>
      <c r="AD5149" s="10"/>
      <c r="AE5149" s="10"/>
      <c r="AF5149" s="10"/>
      <c r="AG5149" s="10"/>
      <c r="AH5149" s="10"/>
    </row>
    <row r="5150" spans="1:34" outlineLevel="2">
      <c r="A5150" s="247"/>
      <c r="B5150" s="12" t="str">
        <f>IFERROR(VLOOKUP(D5150,'[1]Перечень товаров'!$A$2:$I9525,2,0),"")</f>
        <v>д344</v>
      </c>
      <c r="C5150" s="12" t="str">
        <f>IFERROR(VLOOKUP(D5150,'[1]Перечень товаров'!$A$2:$I9525,3,0),"")</f>
        <v>дидактика</v>
      </c>
      <c r="D5150" s="248" t="s">
        <v>1475</v>
      </c>
      <c r="E5150" s="23" t="s">
        <v>534</v>
      </c>
      <c r="F5150" s="23"/>
      <c r="G5150" s="24">
        <v>2</v>
      </c>
      <c r="H5150" s="24"/>
      <c r="I5150" s="25"/>
      <c r="J5150" s="25"/>
      <c r="K5150" s="19"/>
      <c r="L5150" s="20"/>
      <c r="M5150" s="10"/>
      <c r="N5150" s="10"/>
      <c r="O5150" s="10"/>
      <c r="P5150" s="10"/>
      <c r="Q5150" s="10"/>
      <c r="R5150" s="10"/>
      <c r="S5150" s="10"/>
      <c r="T5150" s="10"/>
      <c r="U5150" s="10"/>
      <c r="V5150" s="10"/>
      <c r="W5150" s="10"/>
      <c r="X5150" s="10"/>
      <c r="Y5150" s="10"/>
      <c r="Z5150" s="10"/>
      <c r="AA5150" s="10"/>
      <c r="AB5150" s="10"/>
      <c r="AC5150" s="10"/>
      <c r="AD5150" s="10"/>
      <c r="AE5150" s="10"/>
      <c r="AF5150" s="10"/>
      <c r="AG5150" s="10"/>
      <c r="AH5150" s="10"/>
    </row>
    <row r="5151" spans="1:34" outlineLevel="2">
      <c r="A5151" s="247"/>
      <c r="B5151" s="12" t="str">
        <f>IFERROR(VLOOKUP(D5151,'[1]Перечень товаров'!$A$2:$I9525,2,0),"")</f>
        <v>д343</v>
      </c>
      <c r="C5151" s="12" t="str">
        <f>IFERROR(VLOOKUP(D5151,'[1]Перечень товаров'!$A$2:$I9525,3,0),"")</f>
        <v>дидактика</v>
      </c>
      <c r="D5151" s="248" t="s">
        <v>1476</v>
      </c>
      <c r="E5151" s="23" t="s">
        <v>534</v>
      </c>
      <c r="F5151" s="23"/>
      <c r="G5151" s="24">
        <v>2</v>
      </c>
      <c r="H5151" s="24"/>
      <c r="I5151" s="25"/>
      <c r="J5151" s="25"/>
      <c r="K5151" s="19"/>
      <c r="L5151" s="20"/>
      <c r="M5151" s="10"/>
      <c r="N5151" s="10"/>
      <c r="O5151" s="10"/>
      <c r="P5151" s="10"/>
      <c r="Q5151" s="10"/>
      <c r="R5151" s="10"/>
      <c r="S5151" s="10"/>
      <c r="T5151" s="10"/>
      <c r="U5151" s="10"/>
      <c r="V5151" s="10"/>
      <c r="W5151" s="10"/>
      <c r="X5151" s="10"/>
      <c r="Y5151" s="10"/>
      <c r="Z5151" s="10"/>
      <c r="AA5151" s="10"/>
      <c r="AB5151" s="10"/>
      <c r="AC5151" s="10"/>
      <c r="AD5151" s="10"/>
      <c r="AE5151" s="10"/>
      <c r="AF5151" s="10"/>
      <c r="AG5151" s="10"/>
      <c r="AH5151" s="10"/>
    </row>
    <row r="5152" spans="1:34" ht="31.5" outlineLevel="2">
      <c r="A5152" s="247"/>
      <c r="B5152" s="12" t="str">
        <f>IFERROR(VLOOKUP(D5152,'[1]Перечень товаров'!$A$2:$I9525,2,0),"")</f>
        <v>д342</v>
      </c>
      <c r="C5152" s="12" t="str">
        <f>IFERROR(VLOOKUP(D5152,'[1]Перечень товаров'!$A$2:$I9525,3,0),"")</f>
        <v>дидактика</v>
      </c>
      <c r="D5152" s="248" t="s">
        <v>1477</v>
      </c>
      <c r="E5152" s="23" t="s">
        <v>534</v>
      </c>
      <c r="F5152" s="23"/>
      <c r="G5152" s="24">
        <v>2</v>
      </c>
      <c r="H5152" s="24"/>
      <c r="I5152" s="25"/>
      <c r="J5152" s="25"/>
      <c r="K5152" s="19"/>
      <c r="L5152" s="20"/>
      <c r="M5152" s="10"/>
      <c r="N5152" s="10"/>
      <c r="O5152" s="10"/>
      <c r="P5152" s="10"/>
      <c r="Q5152" s="10"/>
      <c r="R5152" s="10"/>
      <c r="S5152" s="10"/>
      <c r="T5152" s="10"/>
      <c r="U5152" s="10"/>
      <c r="V5152" s="10"/>
      <c r="W5152" s="10"/>
      <c r="X5152" s="10"/>
      <c r="Y5152" s="10"/>
      <c r="Z5152" s="10"/>
      <c r="AA5152" s="10"/>
      <c r="AB5152" s="10"/>
      <c r="AC5152" s="10"/>
      <c r="AD5152" s="10"/>
      <c r="AE5152" s="10"/>
      <c r="AF5152" s="10"/>
      <c r="AG5152" s="10"/>
      <c r="AH5152" s="10"/>
    </row>
    <row r="5153" spans="1:34" outlineLevel="2">
      <c r="A5153" s="247"/>
      <c r="B5153" s="12" t="str">
        <f>IFERROR(VLOOKUP(D5153,'[1]Перечень товаров'!$A$2:$I9525,2,0),"")</f>
        <v>д341</v>
      </c>
      <c r="C5153" s="12" t="str">
        <f>IFERROR(VLOOKUP(D5153,'[1]Перечень товаров'!$A$2:$I9525,3,0),"")</f>
        <v>дидактика</v>
      </c>
      <c r="D5153" s="248" t="s">
        <v>1478</v>
      </c>
      <c r="E5153" s="23" t="s">
        <v>1479</v>
      </c>
      <c r="F5153" s="23"/>
      <c r="G5153" s="24">
        <v>3</v>
      </c>
      <c r="H5153" s="24"/>
      <c r="I5153" s="25"/>
      <c r="J5153" s="25"/>
      <c r="K5153" s="19"/>
      <c r="L5153" s="20"/>
      <c r="M5153" s="10"/>
      <c r="N5153" s="10"/>
      <c r="O5153" s="10"/>
      <c r="P5153" s="10"/>
      <c r="Q5153" s="10"/>
      <c r="R5153" s="10"/>
      <c r="S5153" s="10"/>
      <c r="T5153" s="10"/>
      <c r="U5153" s="10"/>
      <c r="V5153" s="10"/>
      <c r="W5153" s="10"/>
      <c r="X5153" s="10"/>
      <c r="Y5153" s="10"/>
      <c r="Z5153" s="10"/>
      <c r="AA5153" s="10"/>
      <c r="AB5153" s="10"/>
      <c r="AC5153" s="10"/>
      <c r="AD5153" s="10"/>
      <c r="AE5153" s="10"/>
      <c r="AF5153" s="10"/>
      <c r="AG5153" s="10"/>
      <c r="AH5153" s="10"/>
    </row>
    <row r="5154" spans="1:34" outlineLevel="2">
      <c r="A5154" s="247"/>
      <c r="B5154" s="12" t="str">
        <f>IFERROR(VLOOKUP(D5154,'[1]Перечень товаров'!$A$2:$I9525,2,0),"")</f>
        <v>д340</v>
      </c>
      <c r="C5154" s="12" t="str">
        <f>IFERROR(VLOOKUP(D5154,'[1]Перечень товаров'!$A$2:$I9525,3,0),"")</f>
        <v>дидактика</v>
      </c>
      <c r="D5154" s="248" t="s">
        <v>1480</v>
      </c>
      <c r="E5154" s="23" t="s">
        <v>534</v>
      </c>
      <c r="F5154" s="23"/>
      <c r="G5154" s="24">
        <v>1</v>
      </c>
      <c r="H5154" s="24"/>
      <c r="I5154" s="25"/>
      <c r="J5154" s="25"/>
      <c r="K5154" s="19"/>
      <c r="L5154" s="20"/>
      <c r="M5154" s="10"/>
      <c r="N5154" s="10"/>
      <c r="O5154" s="10"/>
      <c r="P5154" s="10"/>
      <c r="Q5154" s="10"/>
      <c r="R5154" s="10"/>
      <c r="S5154" s="10"/>
      <c r="T5154" s="10"/>
      <c r="U5154" s="10"/>
      <c r="V5154" s="10"/>
      <c r="W5154" s="10"/>
      <c r="X5154" s="10"/>
      <c r="Y5154" s="10"/>
      <c r="Z5154" s="10"/>
      <c r="AA5154" s="10"/>
      <c r="AB5154" s="10"/>
      <c r="AC5154" s="10"/>
      <c r="AD5154" s="10"/>
      <c r="AE5154" s="10"/>
      <c r="AF5154" s="10"/>
      <c r="AG5154" s="10"/>
      <c r="AH5154" s="10"/>
    </row>
    <row r="5155" spans="1:34" outlineLevel="2">
      <c r="A5155" s="247"/>
      <c r="B5155" s="12" t="str">
        <f>IFERROR(VLOOKUP(D5155,'[1]Перечень товаров'!$A$2:$I9525,2,0),"")</f>
        <v>д339</v>
      </c>
      <c r="C5155" s="12" t="str">
        <f>IFERROR(VLOOKUP(D5155,'[1]Перечень товаров'!$A$2:$I9525,3,0),"")</f>
        <v>дидактика</v>
      </c>
      <c r="D5155" s="248" t="s">
        <v>1481</v>
      </c>
      <c r="E5155" s="23" t="s">
        <v>534</v>
      </c>
      <c r="F5155" s="23"/>
      <c r="G5155" s="24">
        <v>2</v>
      </c>
      <c r="H5155" s="24"/>
      <c r="I5155" s="25"/>
      <c r="J5155" s="25"/>
      <c r="K5155" s="19"/>
      <c r="L5155" s="20"/>
      <c r="M5155" s="10"/>
      <c r="N5155" s="10"/>
      <c r="O5155" s="10"/>
      <c r="P5155" s="10"/>
      <c r="Q5155" s="10"/>
      <c r="R5155" s="10"/>
      <c r="S5155" s="10"/>
      <c r="T5155" s="10"/>
      <c r="U5155" s="10"/>
      <c r="V5155" s="10"/>
      <c r="W5155" s="10"/>
      <c r="X5155" s="10"/>
      <c r="Y5155" s="10"/>
      <c r="Z5155" s="10"/>
      <c r="AA5155" s="10"/>
      <c r="AB5155" s="10"/>
      <c r="AC5155" s="10"/>
      <c r="AD5155" s="10"/>
      <c r="AE5155" s="10"/>
      <c r="AF5155" s="10"/>
      <c r="AG5155" s="10"/>
      <c r="AH5155" s="10"/>
    </row>
    <row r="5156" spans="1:34" outlineLevel="2">
      <c r="A5156" s="247"/>
      <c r="B5156" s="12" t="str">
        <f>IFERROR(VLOOKUP(D5156,'[1]Перечень товаров'!$A$2:$I9525,2,0),"")</f>
        <v>д338</v>
      </c>
      <c r="C5156" s="12" t="str">
        <f>IFERROR(VLOOKUP(D5156,'[1]Перечень товаров'!$A$2:$I9525,3,0),"")</f>
        <v>дидактика</v>
      </c>
      <c r="D5156" s="248" t="s">
        <v>1482</v>
      </c>
      <c r="E5156" s="23" t="s">
        <v>534</v>
      </c>
      <c r="F5156" s="23"/>
      <c r="G5156" s="24">
        <v>2</v>
      </c>
      <c r="H5156" s="24"/>
      <c r="I5156" s="25"/>
      <c r="J5156" s="25"/>
      <c r="K5156" s="19"/>
      <c r="L5156" s="20"/>
      <c r="M5156" s="10"/>
      <c r="N5156" s="10"/>
      <c r="O5156" s="10"/>
      <c r="P5156" s="10"/>
      <c r="Q5156" s="10"/>
      <c r="R5156" s="10"/>
      <c r="S5156" s="10"/>
      <c r="T5156" s="10"/>
      <c r="U5156" s="10"/>
      <c r="V5156" s="10"/>
      <c r="W5156" s="10"/>
      <c r="X5156" s="10"/>
      <c r="Y5156" s="10"/>
      <c r="Z5156" s="10"/>
      <c r="AA5156" s="10"/>
      <c r="AB5156" s="10"/>
      <c r="AC5156" s="10"/>
      <c r="AD5156" s="10"/>
      <c r="AE5156" s="10"/>
      <c r="AF5156" s="10"/>
      <c r="AG5156" s="10"/>
      <c r="AH5156" s="10"/>
    </row>
    <row r="5157" spans="1:34" outlineLevel="2">
      <c r="A5157" s="247"/>
      <c r="B5157" s="12" t="str">
        <f>IFERROR(VLOOKUP(D5157,'[1]Перечень товаров'!$A$2:$I9525,2,0),"")</f>
        <v>д337</v>
      </c>
      <c r="C5157" s="12" t="str">
        <f>IFERROR(VLOOKUP(D5157,'[1]Перечень товаров'!$A$2:$I9525,3,0),"")</f>
        <v>дидактика</v>
      </c>
      <c r="D5157" s="248" t="s">
        <v>1483</v>
      </c>
      <c r="E5157" s="23" t="s">
        <v>534</v>
      </c>
      <c r="F5157" s="23"/>
      <c r="G5157" s="24">
        <v>2</v>
      </c>
      <c r="H5157" s="24"/>
      <c r="I5157" s="25"/>
      <c r="J5157" s="25"/>
      <c r="K5157" s="19"/>
      <c r="L5157" s="20"/>
      <c r="M5157" s="10"/>
      <c r="N5157" s="10"/>
      <c r="O5157" s="10"/>
      <c r="P5157" s="10"/>
      <c r="Q5157" s="10"/>
      <c r="R5157" s="10"/>
      <c r="S5157" s="10"/>
      <c r="T5157" s="10"/>
      <c r="U5157" s="10"/>
      <c r="V5157" s="10"/>
      <c r="W5157" s="10"/>
      <c r="X5157" s="10"/>
      <c r="Y5157" s="10"/>
      <c r="Z5157" s="10"/>
      <c r="AA5157" s="10"/>
      <c r="AB5157" s="10"/>
      <c r="AC5157" s="10"/>
      <c r="AD5157" s="10"/>
      <c r="AE5157" s="10"/>
      <c r="AF5157" s="10"/>
      <c r="AG5157" s="10"/>
      <c r="AH5157" s="10"/>
    </row>
    <row r="5158" spans="1:34" outlineLevel="2">
      <c r="A5158" s="247"/>
      <c r="B5158" s="12" t="str">
        <f>IFERROR(VLOOKUP(D5158,'[1]Перечень товаров'!$A$2:$I9525,2,0),"")</f>
        <v>д336</v>
      </c>
      <c r="C5158" s="12" t="str">
        <f>IFERROR(VLOOKUP(D5158,'[1]Перечень товаров'!$A$2:$I9525,3,0),"")</f>
        <v>дидактика</v>
      </c>
      <c r="D5158" s="248" t="s">
        <v>1484</v>
      </c>
      <c r="E5158" s="23" t="s">
        <v>534</v>
      </c>
      <c r="F5158" s="23"/>
      <c r="G5158" s="24">
        <v>2</v>
      </c>
      <c r="H5158" s="24"/>
      <c r="I5158" s="25"/>
      <c r="J5158" s="25"/>
      <c r="K5158" s="19"/>
      <c r="L5158" s="20"/>
      <c r="M5158" s="10"/>
      <c r="N5158" s="10"/>
      <c r="O5158" s="10"/>
      <c r="P5158" s="10"/>
      <c r="Q5158" s="10"/>
      <c r="R5158" s="10"/>
      <c r="S5158" s="10"/>
      <c r="T5158" s="10"/>
      <c r="U5158" s="10"/>
      <c r="V5158" s="10"/>
      <c r="W5158" s="10"/>
      <c r="X5158" s="10"/>
      <c r="Y5158" s="10"/>
      <c r="Z5158" s="10"/>
      <c r="AA5158" s="10"/>
      <c r="AB5158" s="10"/>
      <c r="AC5158" s="10"/>
      <c r="AD5158" s="10"/>
      <c r="AE5158" s="10"/>
      <c r="AF5158" s="10"/>
      <c r="AG5158" s="10"/>
      <c r="AH5158" s="10"/>
    </row>
    <row r="5159" spans="1:34" outlineLevel="2">
      <c r="A5159" s="247"/>
      <c r="B5159" s="12" t="str">
        <f>IFERROR(VLOOKUP(D5159,'[1]Перечень товаров'!$A$2:$I9525,2,0),"")</f>
        <v>д335</v>
      </c>
      <c r="C5159" s="12" t="str">
        <f>IFERROR(VLOOKUP(D5159,'[1]Перечень товаров'!$A$2:$I9525,3,0),"")</f>
        <v>дидактика</v>
      </c>
      <c r="D5159" s="248" t="s">
        <v>1485</v>
      </c>
      <c r="E5159" s="23" t="s">
        <v>534</v>
      </c>
      <c r="F5159" s="23"/>
      <c r="G5159" s="24">
        <v>2</v>
      </c>
      <c r="H5159" s="24"/>
      <c r="I5159" s="25"/>
      <c r="J5159" s="25"/>
      <c r="K5159" s="19"/>
      <c r="L5159" s="20"/>
      <c r="M5159" s="10"/>
      <c r="N5159" s="10"/>
      <c r="O5159" s="10"/>
      <c r="P5159" s="10"/>
      <c r="Q5159" s="10"/>
      <c r="R5159" s="10"/>
      <c r="S5159" s="10"/>
      <c r="T5159" s="10"/>
      <c r="U5159" s="10"/>
      <c r="V5159" s="10"/>
      <c r="W5159" s="10"/>
      <c r="X5159" s="10"/>
      <c r="Y5159" s="10"/>
      <c r="Z5159" s="10"/>
      <c r="AA5159" s="10"/>
      <c r="AB5159" s="10"/>
      <c r="AC5159" s="10"/>
      <c r="AD5159" s="10"/>
      <c r="AE5159" s="10"/>
      <c r="AF5159" s="10"/>
      <c r="AG5159" s="10"/>
      <c r="AH5159" s="10"/>
    </row>
    <row r="5160" spans="1:34" outlineLevel="2">
      <c r="A5160" s="247"/>
      <c r="B5160" s="12" t="str">
        <f>IFERROR(VLOOKUP(D5160,'[1]Перечень товаров'!$A$2:$I9525,2,0),"")</f>
        <v>д334</v>
      </c>
      <c r="C5160" s="12" t="str">
        <f>IFERROR(VLOOKUP(D5160,'[1]Перечень товаров'!$A$2:$I9525,3,0),"")</f>
        <v>дидактика</v>
      </c>
      <c r="D5160" s="248" t="s">
        <v>1486</v>
      </c>
      <c r="E5160" s="23" t="s">
        <v>534</v>
      </c>
      <c r="F5160" s="23"/>
      <c r="G5160" s="24">
        <v>2</v>
      </c>
      <c r="H5160" s="24"/>
      <c r="I5160" s="25"/>
      <c r="J5160" s="25"/>
      <c r="K5160" s="19"/>
      <c r="L5160" s="20"/>
      <c r="M5160" s="10"/>
      <c r="N5160" s="10"/>
      <c r="O5160" s="10"/>
      <c r="P5160" s="10"/>
      <c r="Q5160" s="10"/>
      <c r="R5160" s="10"/>
      <c r="S5160" s="10"/>
      <c r="T5160" s="10"/>
      <c r="U5160" s="10"/>
      <c r="V5160" s="10"/>
      <c r="W5160" s="10"/>
      <c r="X5160" s="10"/>
      <c r="Y5160" s="10"/>
      <c r="Z5160" s="10"/>
      <c r="AA5160" s="10"/>
      <c r="AB5160" s="10"/>
      <c r="AC5160" s="10"/>
      <c r="AD5160" s="10"/>
      <c r="AE5160" s="10"/>
      <c r="AF5160" s="10"/>
      <c r="AG5160" s="10"/>
      <c r="AH5160" s="10"/>
    </row>
    <row r="5161" spans="1:34" outlineLevel="2">
      <c r="A5161" s="247"/>
      <c r="B5161" s="12" t="str">
        <f>IFERROR(VLOOKUP(D5161,'[1]Перечень товаров'!$A$2:$I9525,2,0),"")</f>
        <v>д333</v>
      </c>
      <c r="C5161" s="12" t="str">
        <f>IFERROR(VLOOKUP(D5161,'[1]Перечень товаров'!$A$2:$I9525,3,0),"")</f>
        <v>дидактика</v>
      </c>
      <c r="D5161" s="248" t="s">
        <v>1487</v>
      </c>
      <c r="E5161" s="23" t="s">
        <v>534</v>
      </c>
      <c r="F5161" s="23"/>
      <c r="G5161" s="24">
        <v>6</v>
      </c>
      <c r="H5161" s="24"/>
      <c r="I5161" s="25"/>
      <c r="J5161" s="25"/>
      <c r="K5161" s="19"/>
      <c r="L5161" s="20"/>
      <c r="M5161" s="10"/>
      <c r="N5161" s="10"/>
      <c r="O5161" s="10"/>
      <c r="P5161" s="10"/>
      <c r="Q5161" s="10"/>
      <c r="R5161" s="10"/>
      <c r="S5161" s="10"/>
      <c r="T5161" s="10"/>
      <c r="U5161" s="10"/>
      <c r="V5161" s="10"/>
      <c r="W5161" s="10"/>
      <c r="X5161" s="10"/>
      <c r="Y5161" s="10"/>
      <c r="Z5161" s="10"/>
      <c r="AA5161" s="10"/>
      <c r="AB5161" s="10"/>
      <c r="AC5161" s="10"/>
      <c r="AD5161" s="10"/>
      <c r="AE5161" s="10"/>
      <c r="AF5161" s="10"/>
      <c r="AG5161" s="10"/>
      <c r="AH5161" s="10"/>
    </row>
    <row r="5162" spans="1:34" outlineLevel="2">
      <c r="A5162" s="247"/>
      <c r="B5162" s="12" t="str">
        <f>IFERROR(VLOOKUP(D5162,'[1]Перечень товаров'!$A$2:$I9525,2,0),"")</f>
        <v>п51</v>
      </c>
      <c r="C5162" s="12" t="str">
        <f>IFERROR(VLOOKUP(D5162,'[1]Перечень товаров'!$A$2:$I9525,3,0),"")</f>
        <v>Прочее</v>
      </c>
      <c r="D5162" s="248" t="s">
        <v>666</v>
      </c>
      <c r="E5162" s="23" t="s">
        <v>534</v>
      </c>
      <c r="F5162" s="23"/>
      <c r="G5162" s="24">
        <v>16</v>
      </c>
      <c r="H5162" s="24"/>
      <c r="I5162" s="25"/>
      <c r="J5162" s="25"/>
      <c r="K5162" s="19"/>
      <c r="L5162" s="20"/>
      <c r="M5162" s="10"/>
      <c r="N5162" s="10"/>
      <c r="O5162" s="10"/>
      <c r="P5162" s="10"/>
      <c r="Q5162" s="10"/>
      <c r="R5162" s="10"/>
      <c r="S5162" s="10"/>
      <c r="T5162" s="10"/>
      <c r="U5162" s="10"/>
      <c r="V5162" s="10"/>
      <c r="W5162" s="10"/>
      <c r="X5162" s="10"/>
      <c r="Y5162" s="10"/>
      <c r="Z5162" s="10"/>
      <c r="AA5162" s="10"/>
      <c r="AB5162" s="10"/>
      <c r="AC5162" s="10"/>
      <c r="AD5162" s="10"/>
      <c r="AE5162" s="10"/>
      <c r="AF5162" s="10"/>
      <c r="AG5162" s="10"/>
      <c r="AH5162" s="10"/>
    </row>
    <row r="5163" spans="1:34" outlineLevel="2">
      <c r="A5163" s="247"/>
      <c r="B5163" s="12" t="str">
        <f>IFERROR(VLOOKUP(D5163,'[1]Перечень товаров'!$A$2:$I9525,2,0),"")</f>
        <v>д332</v>
      </c>
      <c r="C5163" s="12" t="str">
        <f>IFERROR(VLOOKUP(D5163,'[1]Перечень товаров'!$A$2:$I9525,3,0),"")</f>
        <v>дидактика</v>
      </c>
      <c r="D5163" s="248" t="s">
        <v>1488</v>
      </c>
      <c r="E5163" s="23" t="s">
        <v>1489</v>
      </c>
      <c r="F5163" s="23"/>
      <c r="G5163" s="24">
        <v>3</v>
      </c>
      <c r="H5163" s="24"/>
      <c r="I5163" s="25"/>
      <c r="J5163" s="25"/>
      <c r="K5163" s="19"/>
      <c r="L5163" s="20"/>
      <c r="M5163" s="10"/>
      <c r="N5163" s="10"/>
      <c r="O5163" s="10"/>
      <c r="P5163" s="10"/>
      <c r="Q5163" s="10"/>
      <c r="R5163" s="10"/>
      <c r="S5163" s="10"/>
      <c r="T5163" s="10"/>
      <c r="U5163" s="10"/>
      <c r="V5163" s="10"/>
      <c r="W5163" s="10"/>
      <c r="X5163" s="10"/>
      <c r="Y5163" s="10"/>
      <c r="Z5163" s="10"/>
      <c r="AA5163" s="10"/>
      <c r="AB5163" s="10"/>
      <c r="AC5163" s="10"/>
      <c r="AD5163" s="10"/>
      <c r="AE5163" s="10"/>
      <c r="AF5163" s="10"/>
      <c r="AG5163" s="10"/>
      <c r="AH5163" s="10"/>
    </row>
    <row r="5164" spans="1:34" outlineLevel="1">
      <c r="A5164" s="21"/>
      <c r="B5164" s="12" t="str">
        <f>IFERROR(VLOOKUP(D5164,'[1]Перечень товаров'!$A$2:$I9525,2,0),"")</f>
        <v/>
      </c>
      <c r="C5164" s="12" t="str">
        <f>IFERROR(VLOOKUP(D5164,'[1]Перечень товаров'!$A$2:$I9525,3,0),"")</f>
        <v/>
      </c>
      <c r="D5164" s="22" t="s">
        <v>11</v>
      </c>
      <c r="E5164" s="23">
        <v>59.2</v>
      </c>
      <c r="F5164" s="23"/>
      <c r="G5164" s="24"/>
      <c r="H5164" s="24"/>
      <c r="I5164" s="25"/>
      <c r="J5164" s="25"/>
      <c r="K5164" s="19"/>
      <c r="L5164" s="20"/>
      <c r="M5164" s="10"/>
      <c r="N5164" s="10"/>
      <c r="O5164" s="10"/>
      <c r="P5164" s="10"/>
      <c r="Q5164" s="10"/>
      <c r="R5164" s="10"/>
      <c r="S5164" s="10"/>
      <c r="T5164" s="10"/>
      <c r="U5164" s="10"/>
      <c r="V5164" s="10"/>
      <c r="W5164" s="10"/>
      <c r="X5164" s="10"/>
      <c r="Y5164" s="10"/>
      <c r="Z5164" s="10"/>
      <c r="AA5164" s="10"/>
      <c r="AB5164" s="10"/>
      <c r="AC5164" s="10"/>
      <c r="AD5164" s="10"/>
      <c r="AE5164" s="10"/>
      <c r="AF5164" s="10"/>
      <c r="AG5164" s="10"/>
      <c r="AH5164" s="10"/>
    </row>
    <row r="5165" spans="1:34" ht="12.75" outlineLevel="1">
      <c r="A5165" s="11"/>
      <c r="B5165" s="12" t="str">
        <f>IFERROR(VLOOKUP(D5165,'[1]Перечень товаров'!$A$2:$I9525,2,0),"")</f>
        <v/>
      </c>
      <c r="C5165" s="12" t="str">
        <f>IFERROR(VLOOKUP(D5165,'[1]Перечень товаров'!$A$2:$I9525,3,0),"")</f>
        <v/>
      </c>
      <c r="D5165" s="27" t="s">
        <v>1490</v>
      </c>
      <c r="E5165" s="14">
        <v>30.4</v>
      </c>
      <c r="F5165" s="14"/>
      <c r="G5165" s="17"/>
      <c r="H5165" s="17"/>
      <c r="I5165" s="57"/>
      <c r="J5165" s="57"/>
      <c r="K5165" s="19"/>
      <c r="L5165" s="20"/>
      <c r="M5165" s="10"/>
      <c r="N5165" s="10"/>
      <c r="O5165" s="10"/>
      <c r="P5165" s="10"/>
      <c r="Q5165" s="10"/>
      <c r="R5165" s="10"/>
      <c r="S5165" s="10"/>
      <c r="T5165" s="10"/>
      <c r="U5165" s="10"/>
      <c r="V5165" s="10"/>
      <c r="W5165" s="10"/>
      <c r="X5165" s="10"/>
      <c r="Y5165" s="10"/>
      <c r="Z5165" s="10"/>
      <c r="AA5165" s="10"/>
      <c r="AB5165" s="10"/>
      <c r="AC5165" s="10"/>
      <c r="AD5165" s="10"/>
      <c r="AE5165" s="10"/>
      <c r="AF5165" s="10"/>
      <c r="AG5165" s="10"/>
      <c r="AH5165" s="10"/>
    </row>
    <row r="5166" spans="1:34" outlineLevel="2">
      <c r="A5166" s="43"/>
      <c r="B5166" s="12" t="str">
        <f>IFERROR(VLOOKUP(D5166,'[1]Перечень товаров'!$A$2:$I9525,2,0),"")</f>
        <v>м193</v>
      </c>
      <c r="C5166" s="12" t="str">
        <f>IFERROR(VLOOKUP(D5166,'[1]Перечень товаров'!$A$2:$I9525,3,0),"")</f>
        <v>Мебель</v>
      </c>
      <c r="D5166" s="44" t="s">
        <v>655</v>
      </c>
      <c r="E5166" s="23"/>
      <c r="F5166" s="23"/>
      <c r="G5166" s="24">
        <v>20</v>
      </c>
      <c r="H5166" s="24"/>
      <c r="I5166" s="25"/>
      <c r="J5166" s="25"/>
      <c r="K5166" s="19"/>
      <c r="L5166" s="20"/>
      <c r="M5166" s="10"/>
      <c r="N5166" s="10"/>
      <c r="O5166" s="10"/>
      <c r="P5166" s="10"/>
      <c r="Q5166" s="10"/>
      <c r="R5166" s="10"/>
      <c r="S5166" s="10"/>
      <c r="T5166" s="10"/>
      <c r="U5166" s="10"/>
      <c r="V5166" s="10"/>
      <c r="W5166" s="10"/>
      <c r="X5166" s="10"/>
      <c r="Y5166" s="10"/>
      <c r="Z5166" s="10"/>
      <c r="AA5166" s="10"/>
      <c r="AB5166" s="10"/>
      <c r="AC5166" s="10"/>
      <c r="AD5166" s="10"/>
      <c r="AE5166" s="10"/>
      <c r="AF5166" s="10"/>
      <c r="AG5166" s="10"/>
      <c r="AH5166" s="10"/>
    </row>
    <row r="5167" spans="1:34" outlineLevel="2">
      <c r="A5167" s="43"/>
      <c r="B5167" s="12" t="str">
        <f>IFERROR(VLOOKUP(D5167,'[1]Перечень товаров'!$A$2:$I9525,2,0),"")</f>
        <v>м194</v>
      </c>
      <c r="C5167" s="12" t="str">
        <f>IFERROR(VLOOKUP(D5167,'[1]Перечень товаров'!$A$2:$I9525,3,0),"")</f>
        <v>Мебель</v>
      </c>
      <c r="D5167" s="44" t="s">
        <v>656</v>
      </c>
      <c r="E5167" s="23"/>
      <c r="F5167" s="23"/>
      <c r="G5167" s="24">
        <v>5</v>
      </c>
      <c r="H5167" s="24"/>
      <c r="I5167" s="25"/>
      <c r="J5167" s="25"/>
      <c r="K5167" s="19"/>
      <c r="L5167" s="20"/>
      <c r="M5167" s="10"/>
      <c r="N5167" s="10"/>
      <c r="O5167" s="10"/>
      <c r="P5167" s="10"/>
      <c r="Q5167" s="10"/>
      <c r="R5167" s="10"/>
      <c r="S5167" s="10"/>
      <c r="T5167" s="10"/>
      <c r="U5167" s="10"/>
      <c r="V5167" s="10"/>
      <c r="W5167" s="10"/>
      <c r="X5167" s="10"/>
      <c r="Y5167" s="10"/>
      <c r="Z5167" s="10"/>
      <c r="AA5167" s="10"/>
      <c r="AB5167" s="10"/>
      <c r="AC5167" s="10"/>
      <c r="AD5167" s="10"/>
      <c r="AE5167" s="10"/>
      <c r="AF5167" s="10"/>
      <c r="AG5167" s="10"/>
      <c r="AH5167" s="10"/>
    </row>
    <row r="5168" spans="1:34" outlineLevel="2">
      <c r="A5168" s="22"/>
      <c r="B5168" s="12" t="str">
        <f>IFERROR(VLOOKUP(D5168,'[1]Перечень товаров'!$A$2:$I9525,2,0),"")</f>
        <v>п25</v>
      </c>
      <c r="C5168" s="12" t="str">
        <f>IFERROR(VLOOKUP(D5168,'[1]Перечень товаров'!$A$2:$I9525,3,0),"")</f>
        <v>Прочее</v>
      </c>
      <c r="D5168" s="22" t="s">
        <v>360</v>
      </c>
      <c r="E5168" s="102"/>
      <c r="F5168" s="102"/>
      <c r="G5168" s="48">
        <v>2</v>
      </c>
      <c r="H5168" s="48"/>
      <c r="I5168" s="49"/>
      <c r="J5168" s="49"/>
      <c r="K5168" s="19"/>
      <c r="L5168" s="20"/>
      <c r="M5168" s="10"/>
      <c r="N5168" s="10"/>
      <c r="O5168" s="10"/>
      <c r="P5168" s="10"/>
      <c r="Q5168" s="10"/>
      <c r="R5168" s="10"/>
      <c r="S5168" s="10"/>
      <c r="T5168" s="10"/>
      <c r="U5168" s="10"/>
      <c r="V5168" s="10"/>
      <c r="W5168" s="10"/>
      <c r="X5168" s="10"/>
      <c r="Y5168" s="10"/>
      <c r="Z5168" s="10"/>
      <c r="AA5168" s="10"/>
      <c r="AB5168" s="10"/>
      <c r="AC5168" s="10"/>
      <c r="AD5168" s="10"/>
      <c r="AE5168" s="10"/>
      <c r="AF5168" s="10"/>
      <c r="AG5168" s="10"/>
      <c r="AH5168" s="10"/>
    </row>
    <row r="5169" spans="1:34" outlineLevel="2">
      <c r="A5169" s="21"/>
      <c r="B5169" s="12" t="str">
        <f>IFERROR(VLOOKUP(D5169,'[1]Перечень товаров'!$A$2:$I9525,2,0),"")</f>
        <v>п28</v>
      </c>
      <c r="C5169" s="12" t="str">
        <f>IFERROR(VLOOKUP(D5169,'[1]Перечень товаров'!$A$2:$I9525,3,0),"")</f>
        <v>Прочее</v>
      </c>
      <c r="D5169" s="22" t="s">
        <v>363</v>
      </c>
      <c r="E5169" s="102"/>
      <c r="F5169" s="102"/>
      <c r="G5169" s="48">
        <v>1</v>
      </c>
      <c r="H5169" s="48"/>
      <c r="I5169" s="49"/>
      <c r="J5169" s="49"/>
      <c r="K5169" s="19"/>
      <c r="L5169" s="20"/>
      <c r="M5169" s="10"/>
      <c r="N5169" s="10"/>
      <c r="O5169" s="10"/>
      <c r="P5169" s="10"/>
      <c r="Q5169" s="10"/>
      <c r="R5169" s="10"/>
      <c r="S5169" s="10"/>
      <c r="T5169" s="10"/>
      <c r="U5169" s="10"/>
      <c r="V5169" s="10"/>
      <c r="W5169" s="10"/>
      <c r="X5169" s="10"/>
      <c r="Y5169" s="10"/>
      <c r="Z5169" s="10"/>
      <c r="AA5169" s="10"/>
      <c r="AB5169" s="10"/>
      <c r="AC5169" s="10"/>
      <c r="AD5169" s="10"/>
      <c r="AE5169" s="10"/>
      <c r="AF5169" s="10"/>
      <c r="AG5169" s="10"/>
      <c r="AH5169" s="10"/>
    </row>
    <row r="5170" spans="1:34" ht="12.75" outlineLevel="1">
      <c r="A5170" s="11"/>
      <c r="B5170" s="12" t="str">
        <f>IFERROR(VLOOKUP(D5170,'[1]Перечень товаров'!$A$2:$I9525,2,0),"")</f>
        <v/>
      </c>
      <c r="C5170" s="12" t="str">
        <f>IFERROR(VLOOKUP(D5170,'[1]Перечень товаров'!$A$2:$I9525,3,0),"")</f>
        <v/>
      </c>
      <c r="D5170" s="27" t="s">
        <v>1490</v>
      </c>
      <c r="E5170" s="14">
        <v>30</v>
      </c>
      <c r="F5170" s="14"/>
      <c r="G5170" s="17"/>
      <c r="H5170" s="17"/>
      <c r="I5170" s="57"/>
      <c r="J5170" s="57"/>
      <c r="K5170" s="19"/>
      <c r="L5170" s="20"/>
      <c r="M5170" s="10"/>
      <c r="N5170" s="10"/>
      <c r="O5170" s="10"/>
      <c r="P5170" s="10"/>
      <c r="Q5170" s="10"/>
      <c r="R5170" s="10"/>
      <c r="S5170" s="10"/>
      <c r="T5170" s="10"/>
      <c r="U5170" s="10"/>
      <c r="V5170" s="10"/>
      <c r="W5170" s="10"/>
      <c r="X5170" s="10"/>
      <c r="Y5170" s="10"/>
      <c r="Z5170" s="10"/>
      <c r="AA5170" s="10"/>
      <c r="AB5170" s="10"/>
      <c r="AC5170" s="10"/>
      <c r="AD5170" s="10"/>
      <c r="AE5170" s="10"/>
      <c r="AF5170" s="10"/>
      <c r="AG5170" s="10"/>
      <c r="AH5170" s="10"/>
    </row>
    <row r="5171" spans="1:34" outlineLevel="2">
      <c r="A5171" s="43"/>
      <c r="B5171" s="12" t="str">
        <f>IFERROR(VLOOKUP(D5171,'[1]Перечень товаров'!$A$2:$I9525,2,0),"")</f>
        <v>м193</v>
      </c>
      <c r="C5171" s="12" t="str">
        <f>IFERROR(VLOOKUP(D5171,'[1]Перечень товаров'!$A$2:$I9525,3,0),"")</f>
        <v>Мебель</v>
      </c>
      <c r="D5171" s="44" t="s">
        <v>655</v>
      </c>
      <c r="E5171" s="23"/>
      <c r="F5171" s="23"/>
      <c r="G5171" s="24">
        <v>20</v>
      </c>
      <c r="H5171" s="24"/>
      <c r="I5171" s="25"/>
      <c r="J5171" s="25"/>
      <c r="K5171" s="19"/>
      <c r="L5171" s="20"/>
      <c r="M5171" s="10"/>
      <c r="N5171" s="10"/>
      <c r="O5171" s="10"/>
      <c r="P5171" s="10"/>
      <c r="Q5171" s="10"/>
      <c r="R5171" s="10"/>
      <c r="S5171" s="10"/>
      <c r="T5171" s="10"/>
      <c r="U5171" s="10"/>
      <c r="V5171" s="10"/>
      <c r="W5171" s="10"/>
      <c r="X5171" s="10"/>
      <c r="Y5171" s="10"/>
      <c r="Z5171" s="10"/>
      <c r="AA5171" s="10"/>
      <c r="AB5171" s="10"/>
      <c r="AC5171" s="10"/>
      <c r="AD5171" s="10"/>
      <c r="AE5171" s="10"/>
      <c r="AF5171" s="10"/>
      <c r="AG5171" s="10"/>
      <c r="AH5171" s="10"/>
    </row>
    <row r="5172" spans="1:34" outlineLevel="2">
      <c r="A5172" s="43"/>
      <c r="B5172" s="12" t="str">
        <f>IFERROR(VLOOKUP(D5172,'[1]Перечень товаров'!$A$2:$I9525,2,0),"")</f>
        <v>м194</v>
      </c>
      <c r="C5172" s="12" t="str">
        <f>IFERROR(VLOOKUP(D5172,'[1]Перечень товаров'!$A$2:$I9525,3,0),"")</f>
        <v>Мебель</v>
      </c>
      <c r="D5172" s="44" t="s">
        <v>656</v>
      </c>
      <c r="E5172" s="23"/>
      <c r="F5172" s="23"/>
      <c r="G5172" s="24">
        <v>5</v>
      </c>
      <c r="H5172" s="24"/>
      <c r="I5172" s="25"/>
      <c r="J5172" s="25"/>
      <c r="K5172" s="19"/>
      <c r="L5172" s="20"/>
      <c r="M5172" s="10"/>
      <c r="N5172" s="10"/>
      <c r="O5172" s="10"/>
      <c r="P5172" s="10"/>
      <c r="Q5172" s="10"/>
      <c r="R5172" s="10"/>
      <c r="S5172" s="10"/>
      <c r="T5172" s="10"/>
      <c r="U5172" s="10"/>
      <c r="V5172" s="10"/>
      <c r="W5172" s="10"/>
      <c r="X5172" s="10"/>
      <c r="Y5172" s="10"/>
      <c r="Z5172" s="10"/>
      <c r="AA5172" s="10"/>
      <c r="AB5172" s="10"/>
      <c r="AC5172" s="10"/>
      <c r="AD5172" s="10"/>
      <c r="AE5172" s="10"/>
      <c r="AF5172" s="10"/>
      <c r="AG5172" s="10"/>
      <c r="AH5172" s="10"/>
    </row>
    <row r="5173" spans="1:34" outlineLevel="2">
      <c r="A5173" s="22"/>
      <c r="B5173" s="12" t="str">
        <f>IFERROR(VLOOKUP(D5173,'[1]Перечень товаров'!$A$2:$I9525,2,0),"")</f>
        <v>п25</v>
      </c>
      <c r="C5173" s="12" t="str">
        <f>IFERROR(VLOOKUP(D5173,'[1]Перечень товаров'!$A$2:$I9525,3,0),"")</f>
        <v>Прочее</v>
      </c>
      <c r="D5173" s="22" t="s">
        <v>360</v>
      </c>
      <c r="E5173" s="102"/>
      <c r="F5173" s="102"/>
      <c r="G5173" s="48">
        <v>2</v>
      </c>
      <c r="H5173" s="48"/>
      <c r="I5173" s="49"/>
      <c r="J5173" s="49"/>
      <c r="K5173" s="19"/>
      <c r="L5173" s="20"/>
      <c r="M5173" s="10"/>
      <c r="N5173" s="10"/>
      <c r="O5173" s="10"/>
      <c r="P5173" s="10"/>
      <c r="Q5173" s="10"/>
      <c r="R5173" s="10"/>
      <c r="S5173" s="10"/>
      <c r="T5173" s="10"/>
      <c r="U5173" s="10"/>
      <c r="V5173" s="10"/>
      <c r="W5173" s="10"/>
      <c r="X5173" s="10"/>
      <c r="Y5173" s="10"/>
      <c r="Z5173" s="10"/>
      <c r="AA5173" s="10"/>
      <c r="AB5173" s="10"/>
      <c r="AC5173" s="10"/>
      <c r="AD5173" s="10"/>
      <c r="AE5173" s="10"/>
      <c r="AF5173" s="10"/>
      <c r="AG5173" s="10"/>
      <c r="AH5173" s="10"/>
    </row>
    <row r="5174" spans="1:34" outlineLevel="2">
      <c r="A5174" s="21"/>
      <c r="B5174" s="12" t="str">
        <f>IFERROR(VLOOKUP(D5174,'[1]Перечень товаров'!$A$2:$I9525,2,0),"")</f>
        <v>п28</v>
      </c>
      <c r="C5174" s="12" t="str">
        <f>IFERROR(VLOOKUP(D5174,'[1]Перечень товаров'!$A$2:$I9525,3,0),"")</f>
        <v>Прочее</v>
      </c>
      <c r="D5174" s="22" t="s">
        <v>363</v>
      </c>
      <c r="E5174" s="102"/>
      <c r="F5174" s="102"/>
      <c r="G5174" s="48">
        <v>1</v>
      </c>
      <c r="H5174" s="48"/>
      <c r="I5174" s="49"/>
      <c r="J5174" s="49"/>
      <c r="K5174" s="19"/>
      <c r="L5174" s="20"/>
      <c r="M5174" s="10"/>
      <c r="N5174" s="10"/>
      <c r="O5174" s="10"/>
      <c r="P5174" s="10"/>
      <c r="Q5174" s="10"/>
      <c r="R5174" s="10"/>
      <c r="S5174" s="10"/>
      <c r="T5174" s="10"/>
      <c r="U5174" s="10"/>
      <c r="V5174" s="10"/>
      <c r="W5174" s="10"/>
      <c r="X5174" s="10"/>
      <c r="Y5174" s="10"/>
      <c r="Z5174" s="10"/>
      <c r="AA5174" s="10"/>
      <c r="AB5174" s="10"/>
      <c r="AC5174" s="10"/>
      <c r="AD5174" s="10"/>
      <c r="AE5174" s="10"/>
      <c r="AF5174" s="10"/>
      <c r="AG5174" s="10"/>
      <c r="AH5174" s="10"/>
    </row>
    <row r="5175" spans="1:34" ht="12.75" outlineLevel="1">
      <c r="A5175" s="11"/>
      <c r="B5175" s="12" t="str">
        <f>IFERROR(VLOOKUP(D5175,'[1]Перечень товаров'!$A$2:$I9525,2,0),"")</f>
        <v/>
      </c>
      <c r="C5175" s="12" t="str">
        <f>IFERROR(VLOOKUP(D5175,'[1]Перечень товаров'!$A$2:$I9525,3,0),"")</f>
        <v/>
      </c>
      <c r="D5175" s="27" t="s">
        <v>1491</v>
      </c>
      <c r="E5175" s="14">
        <v>29.7</v>
      </c>
      <c r="F5175" s="14"/>
      <c r="G5175" s="17"/>
      <c r="H5175" s="17"/>
      <c r="I5175" s="57"/>
      <c r="J5175" s="57"/>
      <c r="K5175" s="19"/>
      <c r="L5175" s="20"/>
      <c r="M5175" s="10"/>
      <c r="N5175" s="10"/>
      <c r="O5175" s="10"/>
      <c r="P5175" s="10"/>
      <c r="Q5175" s="10"/>
      <c r="R5175" s="10"/>
      <c r="S5175" s="10"/>
      <c r="T5175" s="10"/>
      <c r="U5175" s="10"/>
      <c r="V5175" s="10"/>
      <c r="W5175" s="10"/>
      <c r="X5175" s="10"/>
      <c r="Y5175" s="10"/>
      <c r="Z5175" s="10"/>
      <c r="AA5175" s="10"/>
      <c r="AB5175" s="10"/>
      <c r="AC5175" s="10"/>
      <c r="AD5175" s="10"/>
      <c r="AE5175" s="10"/>
      <c r="AF5175" s="10"/>
      <c r="AG5175" s="10"/>
      <c r="AH5175" s="10"/>
    </row>
    <row r="5176" spans="1:34" outlineLevel="2">
      <c r="A5176" s="43"/>
      <c r="B5176" s="12" t="str">
        <f>IFERROR(VLOOKUP(D5176,'[1]Перечень товаров'!$A$2:$I9525,2,0),"")</f>
        <v>м193</v>
      </c>
      <c r="C5176" s="12" t="str">
        <f>IFERROR(VLOOKUP(D5176,'[1]Перечень товаров'!$A$2:$I9525,3,0),"")</f>
        <v>Мебель</v>
      </c>
      <c r="D5176" s="44" t="s">
        <v>655</v>
      </c>
      <c r="E5176" s="23"/>
      <c r="F5176" s="23"/>
      <c r="G5176" s="24">
        <v>20</v>
      </c>
      <c r="H5176" s="24"/>
      <c r="I5176" s="25"/>
      <c r="J5176" s="25"/>
      <c r="K5176" s="19"/>
      <c r="L5176" s="20"/>
      <c r="M5176" s="10"/>
      <c r="N5176" s="10"/>
      <c r="O5176" s="10"/>
      <c r="P5176" s="10"/>
      <c r="Q5176" s="10"/>
      <c r="R5176" s="10"/>
      <c r="S5176" s="10"/>
      <c r="T5176" s="10"/>
      <c r="U5176" s="10"/>
      <c r="V5176" s="10"/>
      <c r="W5176" s="10"/>
      <c r="X5176" s="10"/>
      <c r="Y5176" s="10"/>
      <c r="Z5176" s="10"/>
      <c r="AA5176" s="10"/>
      <c r="AB5176" s="10"/>
      <c r="AC5176" s="10"/>
      <c r="AD5176" s="10"/>
      <c r="AE5176" s="10"/>
      <c r="AF5176" s="10"/>
      <c r="AG5176" s="10"/>
      <c r="AH5176" s="10"/>
    </row>
    <row r="5177" spans="1:34" outlineLevel="2">
      <c r="A5177" s="43"/>
      <c r="B5177" s="12" t="str">
        <f>IFERROR(VLOOKUP(D5177,'[1]Перечень товаров'!$A$2:$I9525,2,0),"")</f>
        <v>м194</v>
      </c>
      <c r="C5177" s="12" t="str">
        <f>IFERROR(VLOOKUP(D5177,'[1]Перечень товаров'!$A$2:$I9525,3,0),"")</f>
        <v>Мебель</v>
      </c>
      <c r="D5177" s="44" t="s">
        <v>656</v>
      </c>
      <c r="E5177" s="23"/>
      <c r="F5177" s="23"/>
      <c r="G5177" s="24">
        <v>5</v>
      </c>
      <c r="H5177" s="24"/>
      <c r="I5177" s="25"/>
      <c r="J5177" s="25"/>
      <c r="K5177" s="19"/>
      <c r="L5177" s="20"/>
      <c r="M5177" s="10"/>
      <c r="N5177" s="10"/>
      <c r="O5177" s="10"/>
      <c r="P5177" s="10"/>
      <c r="Q5177" s="10"/>
      <c r="R5177" s="10"/>
      <c r="S5177" s="10"/>
      <c r="T5177" s="10"/>
      <c r="U5177" s="10"/>
      <c r="V5177" s="10"/>
      <c r="W5177" s="10"/>
      <c r="X5177" s="10"/>
      <c r="Y5177" s="10"/>
      <c r="Z5177" s="10"/>
      <c r="AA5177" s="10"/>
      <c r="AB5177" s="10"/>
      <c r="AC5177" s="10"/>
      <c r="AD5177" s="10"/>
      <c r="AE5177" s="10"/>
      <c r="AF5177" s="10"/>
      <c r="AG5177" s="10"/>
      <c r="AH5177" s="10"/>
    </row>
    <row r="5178" spans="1:34" outlineLevel="2">
      <c r="A5178" s="22"/>
      <c r="B5178" s="12" t="str">
        <f>IFERROR(VLOOKUP(D5178,'[1]Перечень товаров'!$A$2:$I9525,2,0),"")</f>
        <v>п25</v>
      </c>
      <c r="C5178" s="12" t="str">
        <f>IFERROR(VLOOKUP(D5178,'[1]Перечень товаров'!$A$2:$I9525,3,0),"")</f>
        <v>Прочее</v>
      </c>
      <c r="D5178" s="22" t="s">
        <v>360</v>
      </c>
      <c r="E5178" s="102"/>
      <c r="F5178" s="102"/>
      <c r="G5178" s="48">
        <v>2</v>
      </c>
      <c r="H5178" s="48"/>
      <c r="I5178" s="49"/>
      <c r="J5178" s="49"/>
      <c r="K5178" s="19"/>
      <c r="L5178" s="20"/>
      <c r="M5178" s="10"/>
      <c r="N5178" s="10"/>
      <c r="O5178" s="10"/>
      <c r="P5178" s="10"/>
      <c r="Q5178" s="10"/>
      <c r="R5178" s="10"/>
      <c r="S5178" s="10"/>
      <c r="T5178" s="10"/>
      <c r="U5178" s="10"/>
      <c r="V5178" s="10"/>
      <c r="W5178" s="10"/>
      <c r="X5178" s="10"/>
      <c r="Y5178" s="10"/>
      <c r="Z5178" s="10"/>
      <c r="AA5178" s="10"/>
      <c r="AB5178" s="10"/>
      <c r="AC5178" s="10"/>
      <c r="AD5178" s="10"/>
      <c r="AE5178" s="10"/>
      <c r="AF5178" s="10"/>
      <c r="AG5178" s="10"/>
      <c r="AH5178" s="10"/>
    </row>
    <row r="5179" spans="1:34" outlineLevel="2">
      <c r="A5179" s="21"/>
      <c r="B5179" s="12" t="str">
        <f>IFERROR(VLOOKUP(D5179,'[1]Перечень товаров'!$A$2:$I9525,2,0),"")</f>
        <v>п28</v>
      </c>
      <c r="C5179" s="12" t="str">
        <f>IFERROR(VLOOKUP(D5179,'[1]Перечень товаров'!$A$2:$I9525,3,0),"")</f>
        <v>Прочее</v>
      </c>
      <c r="D5179" s="22" t="s">
        <v>363</v>
      </c>
      <c r="E5179" s="102"/>
      <c r="F5179" s="102"/>
      <c r="G5179" s="48">
        <v>1</v>
      </c>
      <c r="H5179" s="48"/>
      <c r="I5179" s="49"/>
      <c r="J5179" s="49"/>
      <c r="K5179" s="19"/>
      <c r="L5179" s="20"/>
      <c r="M5179" s="10"/>
      <c r="N5179" s="10"/>
      <c r="O5179" s="10"/>
      <c r="P5179" s="10"/>
      <c r="Q5179" s="10"/>
      <c r="R5179" s="10"/>
      <c r="S5179" s="10"/>
      <c r="T5179" s="10"/>
      <c r="U5179" s="10"/>
      <c r="V5179" s="10"/>
      <c r="W5179" s="10"/>
      <c r="X5179" s="10"/>
      <c r="Y5179" s="10"/>
      <c r="Z5179" s="10"/>
      <c r="AA5179" s="10"/>
      <c r="AB5179" s="10"/>
      <c r="AC5179" s="10"/>
      <c r="AD5179" s="10"/>
      <c r="AE5179" s="10"/>
      <c r="AF5179" s="10"/>
      <c r="AG5179" s="10"/>
      <c r="AH5179" s="10"/>
    </row>
    <row r="5180" spans="1:34" ht="12.75" outlineLevel="1">
      <c r="A5180" s="11"/>
      <c r="B5180" s="12" t="str">
        <f>IFERROR(VLOOKUP(D5180,'[1]Перечень товаров'!$A$2:$I9525,2,0),"")</f>
        <v/>
      </c>
      <c r="C5180" s="12" t="str">
        <f>IFERROR(VLOOKUP(D5180,'[1]Перечень товаров'!$A$2:$I9525,3,0),"")</f>
        <v/>
      </c>
      <c r="D5180" s="27" t="s">
        <v>1491</v>
      </c>
      <c r="E5180" s="14">
        <v>32.4</v>
      </c>
      <c r="F5180" s="14"/>
      <c r="G5180" s="17"/>
      <c r="H5180" s="17"/>
      <c r="I5180" s="57"/>
      <c r="J5180" s="57"/>
      <c r="K5180" s="19"/>
      <c r="L5180" s="20"/>
      <c r="M5180" s="10"/>
      <c r="N5180" s="10"/>
      <c r="O5180" s="10"/>
      <c r="P5180" s="10"/>
      <c r="Q5180" s="10"/>
      <c r="R5180" s="10"/>
      <c r="S5180" s="10"/>
      <c r="T5180" s="10"/>
      <c r="U5180" s="10"/>
      <c r="V5180" s="10"/>
      <c r="W5180" s="10"/>
      <c r="X5180" s="10"/>
      <c r="Y5180" s="10"/>
      <c r="Z5180" s="10"/>
      <c r="AA5180" s="10"/>
      <c r="AB5180" s="10"/>
      <c r="AC5180" s="10"/>
      <c r="AD5180" s="10"/>
      <c r="AE5180" s="10"/>
      <c r="AF5180" s="10"/>
      <c r="AG5180" s="10"/>
      <c r="AH5180" s="10"/>
    </row>
    <row r="5181" spans="1:34" outlineLevel="2">
      <c r="A5181" s="43"/>
      <c r="B5181" s="12" t="str">
        <f>IFERROR(VLOOKUP(D5181,'[1]Перечень товаров'!$A$2:$I9525,2,0),"")</f>
        <v>м193</v>
      </c>
      <c r="C5181" s="12" t="str">
        <f>IFERROR(VLOOKUP(D5181,'[1]Перечень товаров'!$A$2:$I9525,3,0),"")</f>
        <v>Мебель</v>
      </c>
      <c r="D5181" s="44" t="s">
        <v>655</v>
      </c>
      <c r="E5181" s="23"/>
      <c r="F5181" s="23"/>
      <c r="G5181" s="24">
        <v>20</v>
      </c>
      <c r="H5181" s="24"/>
      <c r="I5181" s="25"/>
      <c r="J5181" s="25"/>
      <c r="K5181" s="19"/>
      <c r="L5181" s="20"/>
      <c r="M5181" s="10"/>
      <c r="N5181" s="10"/>
      <c r="O5181" s="10"/>
      <c r="P5181" s="10"/>
      <c r="Q5181" s="10"/>
      <c r="R5181" s="10"/>
      <c r="S5181" s="10"/>
      <c r="T5181" s="10"/>
      <c r="U5181" s="10"/>
      <c r="V5181" s="10"/>
      <c r="W5181" s="10"/>
      <c r="X5181" s="10"/>
      <c r="Y5181" s="10"/>
      <c r="Z5181" s="10"/>
      <c r="AA5181" s="10"/>
      <c r="AB5181" s="10"/>
      <c r="AC5181" s="10"/>
      <c r="AD5181" s="10"/>
      <c r="AE5181" s="10"/>
      <c r="AF5181" s="10"/>
      <c r="AG5181" s="10"/>
      <c r="AH5181" s="10"/>
    </row>
    <row r="5182" spans="1:34" outlineLevel="2">
      <c r="A5182" s="43"/>
      <c r="B5182" s="12" t="str">
        <f>IFERROR(VLOOKUP(D5182,'[1]Перечень товаров'!$A$2:$I9525,2,0),"")</f>
        <v>м194</v>
      </c>
      <c r="C5182" s="12" t="str">
        <f>IFERROR(VLOOKUP(D5182,'[1]Перечень товаров'!$A$2:$I9525,3,0),"")</f>
        <v>Мебель</v>
      </c>
      <c r="D5182" s="44" t="s">
        <v>656</v>
      </c>
      <c r="E5182" s="23"/>
      <c r="F5182" s="23"/>
      <c r="G5182" s="24">
        <v>5</v>
      </c>
      <c r="H5182" s="24"/>
      <c r="I5182" s="25"/>
      <c r="J5182" s="25"/>
      <c r="K5182" s="19"/>
      <c r="L5182" s="20"/>
      <c r="M5182" s="10"/>
      <c r="N5182" s="10"/>
      <c r="O5182" s="10"/>
      <c r="P5182" s="10"/>
      <c r="Q5182" s="10"/>
      <c r="R5182" s="10"/>
      <c r="S5182" s="10"/>
      <c r="T5182" s="10"/>
      <c r="U5182" s="10"/>
      <c r="V5182" s="10"/>
      <c r="W5182" s="10"/>
      <c r="X5182" s="10"/>
      <c r="Y5182" s="10"/>
      <c r="Z5182" s="10"/>
      <c r="AA5182" s="10"/>
      <c r="AB5182" s="10"/>
      <c r="AC5182" s="10"/>
      <c r="AD5182" s="10"/>
      <c r="AE5182" s="10"/>
      <c r="AF5182" s="10"/>
      <c r="AG5182" s="10"/>
      <c r="AH5182" s="10"/>
    </row>
    <row r="5183" spans="1:34" outlineLevel="2">
      <c r="A5183" s="22"/>
      <c r="B5183" s="12" t="str">
        <f>IFERROR(VLOOKUP(D5183,'[1]Перечень товаров'!$A$2:$I9525,2,0),"")</f>
        <v>п25</v>
      </c>
      <c r="C5183" s="12" t="str">
        <f>IFERROR(VLOOKUP(D5183,'[1]Перечень товаров'!$A$2:$I9525,3,0),"")</f>
        <v>Прочее</v>
      </c>
      <c r="D5183" s="22" t="s">
        <v>360</v>
      </c>
      <c r="E5183" s="102"/>
      <c r="F5183" s="102"/>
      <c r="G5183" s="48">
        <v>2</v>
      </c>
      <c r="H5183" s="48"/>
      <c r="I5183" s="49"/>
      <c r="J5183" s="49"/>
      <c r="K5183" s="19"/>
      <c r="L5183" s="20"/>
      <c r="M5183" s="10"/>
      <c r="N5183" s="10"/>
      <c r="O5183" s="10"/>
      <c r="P5183" s="10"/>
      <c r="Q5183" s="10"/>
      <c r="R5183" s="10"/>
      <c r="S5183" s="10"/>
      <c r="T5183" s="10"/>
      <c r="U5183" s="10"/>
      <c r="V5183" s="10"/>
      <c r="W5183" s="10"/>
      <c r="X5183" s="10"/>
      <c r="Y5183" s="10"/>
      <c r="Z5183" s="10"/>
      <c r="AA5183" s="10"/>
      <c r="AB5183" s="10"/>
      <c r="AC5183" s="10"/>
      <c r="AD5183" s="10"/>
      <c r="AE5183" s="10"/>
      <c r="AF5183" s="10"/>
      <c r="AG5183" s="10"/>
      <c r="AH5183" s="10"/>
    </row>
    <row r="5184" spans="1:34" outlineLevel="2">
      <c r="A5184" s="21"/>
      <c r="B5184" s="12" t="str">
        <f>IFERROR(VLOOKUP(D5184,'[1]Перечень товаров'!$A$2:$I9525,2,0),"")</f>
        <v>п28</v>
      </c>
      <c r="C5184" s="12" t="str">
        <f>IFERROR(VLOOKUP(D5184,'[1]Перечень товаров'!$A$2:$I9525,3,0),"")</f>
        <v>Прочее</v>
      </c>
      <c r="D5184" s="22" t="s">
        <v>363</v>
      </c>
      <c r="E5184" s="102"/>
      <c r="F5184" s="102"/>
      <c r="G5184" s="48">
        <v>1</v>
      </c>
      <c r="H5184" s="48"/>
      <c r="I5184" s="49"/>
      <c r="J5184" s="49"/>
      <c r="K5184" s="19"/>
      <c r="L5184" s="20"/>
      <c r="M5184" s="10"/>
      <c r="N5184" s="10"/>
      <c r="O5184" s="10"/>
      <c r="P5184" s="10"/>
      <c r="Q5184" s="10"/>
      <c r="R5184" s="10"/>
      <c r="S5184" s="10"/>
      <c r="T5184" s="10"/>
      <c r="U5184" s="10"/>
      <c r="V5184" s="10"/>
      <c r="W5184" s="10"/>
      <c r="X5184" s="10"/>
      <c r="Y5184" s="10"/>
      <c r="Z5184" s="10"/>
      <c r="AA5184" s="10"/>
      <c r="AB5184" s="10"/>
      <c r="AC5184" s="10"/>
      <c r="AD5184" s="10"/>
      <c r="AE5184" s="10"/>
      <c r="AF5184" s="10"/>
      <c r="AG5184" s="10"/>
      <c r="AH5184" s="10"/>
    </row>
    <row r="5185" spans="1:34" outlineLevel="1">
      <c r="A5185" s="21"/>
      <c r="B5185" s="12" t="str">
        <f>IFERROR(VLOOKUP(D5185,'[1]Перечень товаров'!$A$2:$I9525,2,0),"")</f>
        <v/>
      </c>
      <c r="C5185" s="12" t="str">
        <f>IFERROR(VLOOKUP(D5185,'[1]Перечень товаров'!$A$2:$I9525,3,0),"")</f>
        <v/>
      </c>
      <c r="D5185" s="22" t="s">
        <v>1492</v>
      </c>
      <c r="E5185" s="23">
        <v>0</v>
      </c>
      <c r="F5185" s="23"/>
      <c r="G5185" s="24"/>
      <c r="H5185" s="24"/>
      <c r="I5185" s="25"/>
      <c r="J5185" s="25"/>
      <c r="K5185" s="19"/>
      <c r="L5185" s="20"/>
      <c r="M5185" s="10"/>
      <c r="N5185" s="10"/>
      <c r="O5185" s="10"/>
      <c r="P5185" s="10"/>
      <c r="Q5185" s="10"/>
      <c r="R5185" s="10"/>
      <c r="S5185" s="10"/>
      <c r="T5185" s="10"/>
      <c r="U5185" s="10"/>
      <c r="V5185" s="10"/>
      <c r="W5185" s="10"/>
      <c r="X5185" s="10"/>
      <c r="Y5185" s="10"/>
      <c r="Z5185" s="10"/>
      <c r="AA5185" s="10"/>
      <c r="AB5185" s="10"/>
      <c r="AC5185" s="10"/>
      <c r="AD5185" s="10"/>
      <c r="AE5185" s="10"/>
      <c r="AF5185" s="10"/>
      <c r="AG5185" s="10"/>
      <c r="AH5185" s="10"/>
    </row>
    <row r="5186" spans="1:34" ht="12.75" outlineLevel="1">
      <c r="A5186" s="89"/>
      <c r="B5186" s="12" t="str">
        <f>IFERROR(VLOOKUP(D5186,'[1]Перечень товаров'!$A$2:$I9525,2,0),"")</f>
        <v/>
      </c>
      <c r="C5186" s="12" t="str">
        <f>IFERROR(VLOOKUP(D5186,'[1]Перечень товаров'!$A$2:$I9525,3,0),"")</f>
        <v/>
      </c>
      <c r="D5186" s="90" t="s">
        <v>1493</v>
      </c>
      <c r="E5186" s="91">
        <v>644.20000000000005</v>
      </c>
      <c r="F5186" s="91"/>
      <c r="G5186" s="249" t="s">
        <v>1494</v>
      </c>
      <c r="H5186" s="17"/>
      <c r="I5186" s="57"/>
      <c r="J5186" s="57"/>
      <c r="K5186" s="19"/>
      <c r="L5186" s="20"/>
      <c r="M5186" s="10"/>
      <c r="N5186" s="10"/>
      <c r="O5186" s="10"/>
      <c r="P5186" s="10"/>
      <c r="Q5186" s="10"/>
      <c r="R5186" s="10"/>
      <c r="S5186" s="10"/>
      <c r="T5186" s="10"/>
      <c r="U5186" s="10"/>
      <c r="V5186" s="10"/>
      <c r="W5186" s="10"/>
      <c r="X5186" s="10"/>
      <c r="Y5186" s="10"/>
      <c r="Z5186" s="10"/>
      <c r="AA5186" s="10"/>
      <c r="AB5186" s="10"/>
      <c r="AC5186" s="10"/>
      <c r="AD5186" s="10"/>
      <c r="AE5186" s="10"/>
      <c r="AF5186" s="10"/>
      <c r="AG5186" s="10"/>
      <c r="AH5186" s="10"/>
    </row>
    <row r="5187" spans="1:34" ht="31.5" outlineLevel="2">
      <c r="A5187" s="21"/>
      <c r="B5187" s="12" t="str">
        <f>IFERROR(VLOOKUP(D5187,'[1]Перечень товаров'!$A$2:$I9525,2,0),"")</f>
        <v>д331</v>
      </c>
      <c r="C5187" s="12" t="str">
        <f>IFERROR(VLOOKUP(D5187,'[1]Перечень товаров'!$A$2:$I9525,3,0),"")</f>
        <v>дидактика</v>
      </c>
      <c r="D5187" s="22" t="s">
        <v>1495</v>
      </c>
      <c r="E5187" s="23"/>
      <c r="F5187" s="23"/>
      <c r="G5187" s="24">
        <v>1</v>
      </c>
      <c r="H5187" s="24"/>
      <c r="I5187" s="25"/>
      <c r="J5187" s="25"/>
      <c r="K5187" s="19"/>
      <c r="L5187" s="20"/>
      <c r="M5187" s="10"/>
      <c r="N5187" s="10"/>
      <c r="O5187" s="10"/>
      <c r="P5187" s="10"/>
      <c r="Q5187" s="10"/>
      <c r="R5187" s="10"/>
      <c r="S5187" s="10"/>
      <c r="T5187" s="10"/>
      <c r="U5187" s="10"/>
      <c r="V5187" s="10"/>
      <c r="W5187" s="10"/>
      <c r="X5187" s="10"/>
      <c r="Y5187" s="10"/>
      <c r="Z5187" s="10"/>
      <c r="AA5187" s="10"/>
      <c r="AB5187" s="10"/>
      <c r="AC5187" s="10"/>
      <c r="AD5187" s="10"/>
      <c r="AE5187" s="10"/>
      <c r="AF5187" s="10"/>
      <c r="AG5187" s="10"/>
      <c r="AH5187" s="10"/>
    </row>
    <row r="5188" spans="1:34" ht="31.5" outlineLevel="2">
      <c r="A5188" s="21"/>
      <c r="B5188" s="12" t="str">
        <f>IFERROR(VLOOKUP(D5188,'[1]Перечень товаров'!$A$2:$I9525,2,0),"")</f>
        <v>д330</v>
      </c>
      <c r="C5188" s="12" t="str">
        <f>IFERROR(VLOOKUP(D5188,'[1]Перечень товаров'!$A$2:$I9525,3,0),"")</f>
        <v>дидактика</v>
      </c>
      <c r="D5188" s="22" t="s">
        <v>1496</v>
      </c>
      <c r="E5188" s="23"/>
      <c r="F5188" s="23"/>
      <c r="G5188" s="24">
        <v>1</v>
      </c>
      <c r="H5188" s="24"/>
      <c r="I5188" s="25"/>
      <c r="J5188" s="25"/>
      <c r="K5188" s="19"/>
      <c r="L5188" s="20"/>
      <c r="M5188" s="10"/>
      <c r="N5188" s="10"/>
      <c r="O5188" s="10"/>
      <c r="P5188" s="10"/>
      <c r="Q5188" s="10"/>
      <c r="R5188" s="10"/>
      <c r="S5188" s="10"/>
      <c r="T5188" s="10"/>
      <c r="U5188" s="10"/>
      <c r="V5188" s="10"/>
      <c r="W5188" s="10"/>
      <c r="X5188" s="10"/>
      <c r="Y5188" s="10"/>
      <c r="Z5188" s="10"/>
      <c r="AA5188" s="10"/>
      <c r="AB5188" s="10"/>
      <c r="AC5188" s="10"/>
      <c r="AD5188" s="10"/>
      <c r="AE5188" s="10"/>
      <c r="AF5188" s="10"/>
      <c r="AG5188" s="10"/>
      <c r="AH5188" s="10"/>
    </row>
    <row r="5189" spans="1:34" outlineLevel="2">
      <c r="A5189" s="21"/>
      <c r="B5189" s="12" t="str">
        <f>IFERROR(VLOOKUP(D5189,'[1]Перечень товаров'!$A$2:$I9525,2,0),"")</f>
        <v>д329</v>
      </c>
      <c r="C5189" s="12" t="str">
        <f>IFERROR(VLOOKUP(D5189,'[1]Перечень товаров'!$A$2:$I9525,3,0),"")</f>
        <v>дидактика</v>
      </c>
      <c r="D5189" s="22" t="s">
        <v>1497</v>
      </c>
      <c r="E5189" s="23"/>
      <c r="F5189" s="23"/>
      <c r="G5189" s="24">
        <v>1</v>
      </c>
      <c r="H5189" s="24"/>
      <c r="I5189" s="25"/>
      <c r="J5189" s="25"/>
      <c r="K5189" s="19"/>
      <c r="L5189" s="20"/>
      <c r="M5189" s="10"/>
      <c r="N5189" s="10"/>
      <c r="O5189" s="10"/>
      <c r="P5189" s="10"/>
      <c r="Q5189" s="10"/>
      <c r="R5189" s="10"/>
      <c r="S5189" s="10"/>
      <c r="T5189" s="10"/>
      <c r="U5189" s="10"/>
      <c r="V5189" s="10"/>
      <c r="W5189" s="10"/>
      <c r="X5189" s="10"/>
      <c r="Y5189" s="10"/>
      <c r="Z5189" s="10"/>
      <c r="AA5189" s="10"/>
      <c r="AB5189" s="10"/>
      <c r="AC5189" s="10"/>
      <c r="AD5189" s="10"/>
      <c r="AE5189" s="10"/>
      <c r="AF5189" s="10"/>
      <c r="AG5189" s="10"/>
      <c r="AH5189" s="10"/>
    </row>
    <row r="5190" spans="1:34" outlineLevel="2">
      <c r="A5190" s="21"/>
      <c r="B5190" s="12" t="str">
        <f>IFERROR(VLOOKUP(D5190,'[1]Перечень товаров'!$A$2:$I9525,2,0),"")</f>
        <v>д328</v>
      </c>
      <c r="C5190" s="12" t="str">
        <f>IFERROR(VLOOKUP(D5190,'[1]Перечень товаров'!$A$2:$I9525,3,0),"")</f>
        <v>дидактика</v>
      </c>
      <c r="D5190" s="22" t="s">
        <v>1498</v>
      </c>
      <c r="E5190" s="23"/>
      <c r="F5190" s="23"/>
      <c r="G5190" s="24">
        <v>1</v>
      </c>
      <c r="H5190" s="24"/>
      <c r="I5190" s="25"/>
      <c r="J5190" s="25"/>
      <c r="K5190" s="19"/>
      <c r="L5190" s="20"/>
      <c r="M5190" s="10"/>
      <c r="N5190" s="10"/>
      <c r="O5190" s="10"/>
      <c r="P5190" s="10"/>
      <c r="Q5190" s="10"/>
      <c r="R5190" s="10"/>
      <c r="S5190" s="10"/>
      <c r="T5190" s="10"/>
      <c r="U5190" s="10"/>
      <c r="V5190" s="10"/>
      <c r="W5190" s="10"/>
      <c r="X5190" s="10"/>
      <c r="Y5190" s="10"/>
      <c r="Z5190" s="10"/>
      <c r="AA5190" s="10"/>
      <c r="AB5190" s="10"/>
      <c r="AC5190" s="10"/>
      <c r="AD5190" s="10"/>
      <c r="AE5190" s="10"/>
      <c r="AF5190" s="10"/>
      <c r="AG5190" s="10"/>
      <c r="AH5190" s="10"/>
    </row>
    <row r="5191" spans="1:34" outlineLevel="2">
      <c r="A5191" s="21"/>
      <c r="B5191" s="12" t="str">
        <f>IFERROR(VLOOKUP(D5191,'[1]Перечень товаров'!$A$2:$I9525,2,0),"")</f>
        <v>д327</v>
      </c>
      <c r="C5191" s="12" t="str">
        <f>IFERROR(VLOOKUP(D5191,'[1]Перечень товаров'!$A$2:$I9525,3,0),"")</f>
        <v>дидактика</v>
      </c>
      <c r="D5191" s="22" t="s">
        <v>1499</v>
      </c>
      <c r="E5191" s="23"/>
      <c r="F5191" s="23"/>
      <c r="G5191" s="24">
        <v>1</v>
      </c>
      <c r="H5191" s="24"/>
      <c r="I5191" s="25"/>
      <c r="J5191" s="25"/>
      <c r="K5191" s="19"/>
      <c r="L5191" s="20"/>
      <c r="M5191" s="10"/>
      <c r="N5191" s="10"/>
      <c r="O5191" s="10"/>
      <c r="P5191" s="10"/>
      <c r="Q5191" s="10"/>
      <c r="R5191" s="10"/>
      <c r="S5191" s="10"/>
      <c r="T5191" s="10"/>
      <c r="U5191" s="10"/>
      <c r="V5191" s="10"/>
      <c r="W5191" s="10"/>
      <c r="X5191" s="10"/>
      <c r="Y5191" s="10"/>
      <c r="Z5191" s="10"/>
      <c r="AA5191" s="10"/>
      <c r="AB5191" s="10"/>
      <c r="AC5191" s="10"/>
      <c r="AD5191" s="10"/>
      <c r="AE5191" s="10"/>
      <c r="AF5191" s="10"/>
      <c r="AG5191" s="10"/>
      <c r="AH5191" s="10"/>
    </row>
    <row r="5192" spans="1:34" outlineLevel="2">
      <c r="A5192" s="21"/>
      <c r="B5192" s="12" t="str">
        <f>IFERROR(VLOOKUP(D5192,'[1]Перечень товаров'!$A$2:$I9525,2,0),"")</f>
        <v>д326</v>
      </c>
      <c r="C5192" s="12" t="str">
        <f>IFERROR(VLOOKUP(D5192,'[1]Перечень товаров'!$A$2:$I9525,3,0),"")</f>
        <v>дидактика</v>
      </c>
      <c r="D5192" s="22" t="s">
        <v>1500</v>
      </c>
      <c r="E5192" s="23"/>
      <c r="F5192" s="23"/>
      <c r="G5192" s="24">
        <v>6</v>
      </c>
      <c r="H5192" s="24"/>
      <c r="I5192" s="25"/>
      <c r="J5192" s="25"/>
      <c r="K5192" s="19"/>
      <c r="L5192" s="20"/>
      <c r="M5192" s="10"/>
      <c r="N5192" s="10"/>
      <c r="O5192" s="10"/>
      <c r="P5192" s="10"/>
      <c r="Q5192" s="10"/>
      <c r="R5192" s="10"/>
      <c r="S5192" s="10"/>
      <c r="T5192" s="10"/>
      <c r="U5192" s="10"/>
      <c r="V5192" s="10"/>
      <c r="W5192" s="10"/>
      <c r="X5192" s="10"/>
      <c r="Y5192" s="10"/>
      <c r="Z5192" s="10"/>
      <c r="AA5192" s="10"/>
      <c r="AB5192" s="10"/>
      <c r="AC5192" s="10"/>
      <c r="AD5192" s="10"/>
      <c r="AE5192" s="10"/>
      <c r="AF5192" s="10"/>
      <c r="AG5192" s="10"/>
      <c r="AH5192" s="10"/>
    </row>
    <row r="5193" spans="1:34" outlineLevel="2">
      <c r="A5193" s="21"/>
      <c r="B5193" s="12" t="str">
        <f>IFERROR(VLOOKUP(D5193,'[1]Перечень товаров'!$A$2:$I9525,2,0),"")</f>
        <v>д325</v>
      </c>
      <c r="C5193" s="12" t="str">
        <f>IFERROR(VLOOKUP(D5193,'[1]Перечень товаров'!$A$2:$I9525,3,0),"")</f>
        <v>дидактика</v>
      </c>
      <c r="D5193" s="22" t="s">
        <v>1501</v>
      </c>
      <c r="E5193" s="23"/>
      <c r="F5193" s="23"/>
      <c r="G5193" s="24">
        <v>2</v>
      </c>
      <c r="H5193" s="24"/>
      <c r="I5193" s="25"/>
      <c r="J5193" s="25"/>
      <c r="K5193" s="19"/>
      <c r="L5193" s="20"/>
      <c r="M5193" s="10"/>
      <c r="N5193" s="10"/>
      <c r="O5193" s="10"/>
      <c r="P5193" s="10"/>
      <c r="Q5193" s="10"/>
      <c r="R5193" s="10"/>
      <c r="S5193" s="10"/>
      <c r="T5193" s="10"/>
      <c r="U5193" s="10"/>
      <c r="V5193" s="10"/>
      <c r="W5193" s="10"/>
      <c r="X5193" s="10"/>
      <c r="Y5193" s="10"/>
      <c r="Z5193" s="10"/>
      <c r="AA5193" s="10"/>
      <c r="AB5193" s="10"/>
      <c r="AC5193" s="10"/>
      <c r="AD5193" s="10"/>
      <c r="AE5193" s="10"/>
      <c r="AF5193" s="10"/>
      <c r="AG5193" s="10"/>
      <c r="AH5193" s="10"/>
    </row>
    <row r="5194" spans="1:34" outlineLevel="2">
      <c r="A5194" s="21"/>
      <c r="B5194" s="12" t="str">
        <f>IFERROR(VLOOKUP(D5194,'[1]Перечень товаров'!$A$2:$I9525,2,0),"")</f>
        <v>м140</v>
      </c>
      <c r="C5194" s="12" t="str">
        <f>IFERROR(VLOOKUP(D5194,'[1]Перечень товаров'!$A$2:$I9525,3,0),"")</f>
        <v>мебель</v>
      </c>
      <c r="D5194" s="22" t="s">
        <v>1502</v>
      </c>
      <c r="E5194" s="23"/>
      <c r="F5194" s="23"/>
      <c r="G5194" s="24">
        <v>2</v>
      </c>
      <c r="H5194" s="24"/>
      <c r="I5194" s="25"/>
      <c r="J5194" s="25"/>
      <c r="K5194" s="19"/>
      <c r="L5194" s="20"/>
      <c r="M5194" s="10"/>
      <c r="N5194" s="10"/>
      <c r="O5194" s="10"/>
      <c r="P5194" s="10"/>
      <c r="Q5194" s="10"/>
      <c r="R5194" s="10"/>
      <c r="S5194" s="10"/>
      <c r="T5194" s="10"/>
      <c r="U5194" s="10"/>
      <c r="V5194" s="10"/>
      <c r="W5194" s="10"/>
      <c r="X5194" s="10"/>
      <c r="Y5194" s="10"/>
      <c r="Z5194" s="10"/>
      <c r="AA5194" s="10"/>
      <c r="AB5194" s="10"/>
      <c r="AC5194" s="10"/>
      <c r="AD5194" s="10"/>
      <c r="AE5194" s="10"/>
      <c r="AF5194" s="10"/>
      <c r="AG5194" s="10"/>
      <c r="AH5194" s="10"/>
    </row>
    <row r="5195" spans="1:34" outlineLevel="2">
      <c r="A5195" s="21"/>
      <c r="B5195" s="12" t="str">
        <f>IFERROR(VLOOKUP(D5195,'[1]Перечень товаров'!$A$2:$I9525,2,0),"")</f>
        <v>д324</v>
      </c>
      <c r="C5195" s="12" t="str">
        <f>IFERROR(VLOOKUP(D5195,'[1]Перечень товаров'!$A$2:$I9525,3,0),"")</f>
        <v>дидактика</v>
      </c>
      <c r="D5195" s="22" t="s">
        <v>1503</v>
      </c>
      <c r="E5195" s="23"/>
      <c r="F5195" s="23"/>
      <c r="G5195" s="24">
        <v>4</v>
      </c>
      <c r="H5195" s="24"/>
      <c r="I5195" s="25"/>
      <c r="J5195" s="25"/>
      <c r="K5195" s="19"/>
      <c r="L5195" s="20"/>
      <c r="M5195" s="10"/>
      <c r="N5195" s="10"/>
      <c r="O5195" s="10"/>
      <c r="P5195" s="10"/>
      <c r="Q5195" s="10"/>
      <c r="R5195" s="10"/>
      <c r="S5195" s="10"/>
      <c r="T5195" s="10"/>
      <c r="U5195" s="10"/>
      <c r="V5195" s="10"/>
      <c r="W5195" s="10"/>
      <c r="X5195" s="10"/>
      <c r="Y5195" s="10"/>
      <c r="Z5195" s="10"/>
      <c r="AA5195" s="10"/>
      <c r="AB5195" s="10"/>
      <c r="AC5195" s="10"/>
      <c r="AD5195" s="10"/>
      <c r="AE5195" s="10"/>
      <c r="AF5195" s="10"/>
      <c r="AG5195" s="10"/>
      <c r="AH5195" s="10"/>
    </row>
    <row r="5196" spans="1:34" ht="31.5" outlineLevel="2">
      <c r="A5196" s="21"/>
      <c r="B5196" s="12" t="str">
        <f>IFERROR(VLOOKUP(D5196,'[1]Перечень товаров'!$A$2:$I9525,2,0),"")</f>
        <v>д323</v>
      </c>
      <c r="C5196" s="12" t="str">
        <f>IFERROR(VLOOKUP(D5196,'[1]Перечень товаров'!$A$2:$I9525,3,0),"")</f>
        <v>дидактика</v>
      </c>
      <c r="D5196" s="22" t="s">
        <v>1504</v>
      </c>
      <c r="E5196" s="23"/>
      <c r="F5196" s="23"/>
      <c r="G5196" s="24">
        <v>36</v>
      </c>
      <c r="H5196" s="24"/>
      <c r="I5196" s="25"/>
      <c r="J5196" s="25"/>
      <c r="K5196" s="19"/>
      <c r="L5196" s="20"/>
      <c r="M5196" s="10"/>
      <c r="N5196" s="10"/>
      <c r="O5196" s="10"/>
      <c r="P5196" s="10"/>
      <c r="Q5196" s="10"/>
      <c r="R5196" s="10"/>
      <c r="S5196" s="10"/>
      <c r="T5196" s="10"/>
      <c r="U5196" s="10"/>
      <c r="V5196" s="10"/>
      <c r="W5196" s="10"/>
      <c r="X5196" s="10"/>
      <c r="Y5196" s="10"/>
      <c r="Z5196" s="10"/>
      <c r="AA5196" s="10"/>
      <c r="AB5196" s="10"/>
      <c r="AC5196" s="10"/>
      <c r="AD5196" s="10"/>
      <c r="AE5196" s="10"/>
      <c r="AF5196" s="10"/>
      <c r="AG5196" s="10"/>
      <c r="AH5196" s="10"/>
    </row>
    <row r="5197" spans="1:34" outlineLevel="2">
      <c r="A5197" s="21"/>
      <c r="B5197" s="12" t="str">
        <f>IFERROR(VLOOKUP(D5197,'[1]Перечень товаров'!$A$2:$I9525,2,0),"")</f>
        <v>д322</v>
      </c>
      <c r="C5197" s="12" t="str">
        <f>IFERROR(VLOOKUP(D5197,'[1]Перечень товаров'!$A$2:$I9525,3,0),"")</f>
        <v>дидактика</v>
      </c>
      <c r="D5197" s="22" t="s">
        <v>1505</v>
      </c>
      <c r="E5197" s="23"/>
      <c r="F5197" s="23"/>
      <c r="G5197" s="24">
        <v>2</v>
      </c>
      <c r="H5197" s="24"/>
      <c r="I5197" s="25"/>
      <c r="J5197" s="25"/>
      <c r="K5197" s="19"/>
      <c r="L5197" s="20"/>
      <c r="M5197" s="10"/>
      <c r="N5197" s="10"/>
      <c r="O5197" s="10"/>
      <c r="P5197" s="10"/>
      <c r="Q5197" s="10"/>
      <c r="R5197" s="10"/>
      <c r="S5197" s="10"/>
      <c r="T5197" s="10"/>
      <c r="U5197" s="10"/>
      <c r="V5197" s="10"/>
      <c r="W5197" s="10"/>
      <c r="X5197" s="10"/>
      <c r="Y5197" s="10"/>
      <c r="Z5197" s="10"/>
      <c r="AA5197" s="10"/>
      <c r="AB5197" s="10"/>
      <c r="AC5197" s="10"/>
      <c r="AD5197" s="10"/>
      <c r="AE5197" s="10"/>
      <c r="AF5197" s="10"/>
      <c r="AG5197" s="10"/>
      <c r="AH5197" s="10"/>
    </row>
    <row r="5198" spans="1:34" ht="31.5" outlineLevel="2">
      <c r="A5198" s="21"/>
      <c r="B5198" s="12" t="str">
        <f>IFERROR(VLOOKUP(D5198,'[1]Перечень товаров'!$A$2:$I9525,2,0),"")</f>
        <v>д321</v>
      </c>
      <c r="C5198" s="12" t="str">
        <f>IFERROR(VLOOKUP(D5198,'[1]Перечень товаров'!$A$2:$I9525,3,0),"")</f>
        <v>дидактика</v>
      </c>
      <c r="D5198" s="22" t="s">
        <v>1506</v>
      </c>
      <c r="E5198" s="23"/>
      <c r="F5198" s="23"/>
      <c r="G5198" s="24">
        <v>1</v>
      </c>
      <c r="H5198" s="24"/>
      <c r="I5198" s="25"/>
      <c r="J5198" s="25"/>
      <c r="K5198" s="19"/>
      <c r="L5198" s="20"/>
      <c r="M5198" s="10"/>
      <c r="N5198" s="10"/>
      <c r="O5198" s="10"/>
      <c r="P5198" s="10"/>
      <c r="Q5198" s="10"/>
      <c r="R5198" s="10"/>
      <c r="S5198" s="10"/>
      <c r="T5198" s="10"/>
      <c r="U5198" s="10"/>
      <c r="V5198" s="10"/>
      <c r="W5198" s="10"/>
      <c r="X5198" s="10"/>
      <c r="Y5198" s="10"/>
      <c r="Z5198" s="10"/>
      <c r="AA5198" s="10"/>
      <c r="AB5198" s="10"/>
      <c r="AC5198" s="10"/>
      <c r="AD5198" s="10"/>
      <c r="AE5198" s="10"/>
      <c r="AF5198" s="10"/>
      <c r="AG5198" s="10"/>
      <c r="AH5198" s="10"/>
    </row>
    <row r="5199" spans="1:34" ht="31.5" outlineLevel="2">
      <c r="A5199" s="21"/>
      <c r="B5199" s="12" t="str">
        <f>IFERROR(VLOOKUP(D5199,'[1]Перечень товаров'!$A$2:$I9525,2,0),"")</f>
        <v>д320</v>
      </c>
      <c r="C5199" s="12" t="str">
        <f>IFERROR(VLOOKUP(D5199,'[1]Перечень товаров'!$A$2:$I9525,3,0),"")</f>
        <v>дидактика</v>
      </c>
      <c r="D5199" s="22" t="s">
        <v>1507</v>
      </c>
      <c r="E5199" s="23"/>
      <c r="F5199" s="23"/>
      <c r="G5199" s="24">
        <v>18</v>
      </c>
      <c r="H5199" s="24"/>
      <c r="I5199" s="25"/>
      <c r="J5199" s="25"/>
      <c r="K5199" s="19"/>
      <c r="L5199" s="20"/>
      <c r="M5199" s="10"/>
      <c r="N5199" s="10"/>
      <c r="O5199" s="10"/>
      <c r="P5199" s="10"/>
      <c r="Q5199" s="10"/>
      <c r="R5199" s="10"/>
      <c r="S5199" s="10"/>
      <c r="T5199" s="10"/>
      <c r="U5199" s="10"/>
      <c r="V5199" s="10"/>
      <c r="W5199" s="10"/>
      <c r="X5199" s="10"/>
      <c r="Y5199" s="10"/>
      <c r="Z5199" s="10"/>
      <c r="AA5199" s="10"/>
      <c r="AB5199" s="10"/>
      <c r="AC5199" s="10"/>
      <c r="AD5199" s="10"/>
      <c r="AE5199" s="10"/>
      <c r="AF5199" s="10"/>
      <c r="AG5199" s="10"/>
      <c r="AH5199" s="10"/>
    </row>
    <row r="5200" spans="1:34" ht="31.5" outlineLevel="2">
      <c r="A5200" s="21"/>
      <c r="B5200" s="12" t="str">
        <f>IFERROR(VLOOKUP(D5200,'[1]Перечень товаров'!$A$2:$I9525,2,0),"")</f>
        <v>д319</v>
      </c>
      <c r="C5200" s="12" t="str">
        <f>IFERROR(VLOOKUP(D5200,'[1]Перечень товаров'!$A$2:$I9525,3,0),"")</f>
        <v>дидактика</v>
      </c>
      <c r="D5200" s="22" t="s">
        <v>1508</v>
      </c>
      <c r="E5200" s="23"/>
      <c r="F5200" s="23"/>
      <c r="G5200" s="24">
        <v>22</v>
      </c>
      <c r="H5200" s="24"/>
      <c r="I5200" s="25"/>
      <c r="J5200" s="25"/>
      <c r="K5200" s="19"/>
      <c r="L5200" s="20"/>
      <c r="M5200" s="10"/>
      <c r="N5200" s="10"/>
      <c r="O5200" s="10"/>
      <c r="P5200" s="10"/>
      <c r="Q5200" s="10"/>
      <c r="R5200" s="10"/>
      <c r="S5200" s="10"/>
      <c r="T5200" s="10"/>
      <c r="U5200" s="10"/>
      <c r="V5200" s="10"/>
      <c r="W5200" s="10"/>
      <c r="X5200" s="10"/>
      <c r="Y5200" s="10"/>
      <c r="Z5200" s="10"/>
      <c r="AA5200" s="10"/>
      <c r="AB5200" s="10"/>
      <c r="AC5200" s="10"/>
      <c r="AD5200" s="10"/>
      <c r="AE5200" s="10"/>
      <c r="AF5200" s="10"/>
      <c r="AG5200" s="10"/>
      <c r="AH5200" s="10"/>
    </row>
    <row r="5201" spans="1:34" outlineLevel="2">
      <c r="A5201" s="21"/>
      <c r="B5201" s="12" t="str">
        <f>IFERROR(VLOOKUP(D5201,'[1]Перечень товаров'!$A$2:$I9525,2,0),"")</f>
        <v>д318</v>
      </c>
      <c r="C5201" s="12" t="str">
        <f>IFERROR(VLOOKUP(D5201,'[1]Перечень товаров'!$A$2:$I9525,3,0),"")</f>
        <v>дидактика</v>
      </c>
      <c r="D5201" s="22" t="s">
        <v>1509</v>
      </c>
      <c r="E5201" s="23"/>
      <c r="F5201" s="23"/>
      <c r="G5201" s="24">
        <v>2</v>
      </c>
      <c r="H5201" s="24"/>
      <c r="I5201" s="25"/>
      <c r="J5201" s="25"/>
      <c r="K5201" s="19"/>
      <c r="L5201" s="20"/>
      <c r="M5201" s="10"/>
      <c r="N5201" s="10"/>
      <c r="O5201" s="10"/>
      <c r="P5201" s="10"/>
      <c r="Q5201" s="10"/>
      <c r="R5201" s="10"/>
      <c r="S5201" s="10"/>
      <c r="T5201" s="10"/>
      <c r="U5201" s="10"/>
      <c r="V5201" s="10"/>
      <c r="W5201" s="10"/>
      <c r="X5201" s="10"/>
      <c r="Y5201" s="10"/>
      <c r="Z5201" s="10"/>
      <c r="AA5201" s="10"/>
      <c r="AB5201" s="10"/>
      <c r="AC5201" s="10"/>
      <c r="AD5201" s="10"/>
      <c r="AE5201" s="10"/>
      <c r="AF5201" s="10"/>
      <c r="AG5201" s="10"/>
      <c r="AH5201" s="10"/>
    </row>
    <row r="5202" spans="1:34" outlineLevel="2">
      <c r="A5202" s="21"/>
      <c r="B5202" s="12" t="str">
        <f>IFERROR(VLOOKUP(D5202,'[1]Перечень товаров'!$A$2:$I9525,2,0),"")</f>
        <v>м139</v>
      </c>
      <c r="C5202" s="12" t="str">
        <f>IFERROR(VLOOKUP(D5202,'[1]Перечень товаров'!$A$2:$I9525,3,0),"")</f>
        <v>мебель</v>
      </c>
      <c r="D5202" s="22" t="s">
        <v>1510</v>
      </c>
      <c r="E5202" s="23"/>
      <c r="F5202" s="23"/>
      <c r="G5202" s="24">
        <v>4</v>
      </c>
      <c r="H5202" s="24"/>
      <c r="I5202" s="25"/>
      <c r="J5202" s="25"/>
      <c r="K5202" s="19"/>
      <c r="L5202" s="20"/>
      <c r="M5202" s="10"/>
      <c r="N5202" s="10"/>
      <c r="O5202" s="10"/>
      <c r="P5202" s="10"/>
      <c r="Q5202" s="10"/>
      <c r="R5202" s="10"/>
      <c r="S5202" s="10"/>
      <c r="T5202" s="10"/>
      <c r="U5202" s="10"/>
      <c r="V5202" s="10"/>
      <c r="W5202" s="10"/>
      <c r="X5202" s="10"/>
      <c r="Y5202" s="10"/>
      <c r="Z5202" s="10"/>
      <c r="AA5202" s="10"/>
      <c r="AB5202" s="10"/>
      <c r="AC5202" s="10"/>
      <c r="AD5202" s="10"/>
      <c r="AE5202" s="10"/>
      <c r="AF5202" s="10"/>
      <c r="AG5202" s="10"/>
      <c r="AH5202" s="10"/>
    </row>
    <row r="5203" spans="1:34" outlineLevel="2">
      <c r="A5203" s="21"/>
      <c r="B5203" s="12" t="str">
        <f>IFERROR(VLOOKUP(D5203,'[1]Перечень товаров'!$A$2:$I9525,2,0),"")</f>
        <v>д317</v>
      </c>
      <c r="C5203" s="12" t="str">
        <f>IFERROR(VLOOKUP(D5203,'[1]Перечень товаров'!$A$2:$I9525,3,0),"")</f>
        <v>дидактика</v>
      </c>
      <c r="D5203" s="22" t="s">
        <v>1511</v>
      </c>
      <c r="E5203" s="23"/>
      <c r="F5203" s="23"/>
      <c r="G5203" s="24">
        <v>2</v>
      </c>
      <c r="H5203" s="24"/>
      <c r="I5203" s="25"/>
      <c r="J5203" s="25"/>
      <c r="K5203" s="19"/>
      <c r="L5203" s="20"/>
      <c r="M5203" s="10"/>
      <c r="N5203" s="10"/>
      <c r="O5203" s="10"/>
      <c r="P5203" s="10"/>
      <c r="Q5203" s="10"/>
      <c r="R5203" s="10"/>
      <c r="S5203" s="10"/>
      <c r="T5203" s="10"/>
      <c r="U5203" s="10"/>
      <c r="V5203" s="10"/>
      <c r="W5203" s="10"/>
      <c r="X5203" s="10"/>
      <c r="Y5203" s="10"/>
      <c r="Z5203" s="10"/>
      <c r="AA5203" s="10"/>
      <c r="AB5203" s="10"/>
      <c r="AC5203" s="10"/>
      <c r="AD5203" s="10"/>
      <c r="AE5203" s="10"/>
      <c r="AF5203" s="10"/>
      <c r="AG5203" s="10"/>
      <c r="AH5203" s="10"/>
    </row>
    <row r="5204" spans="1:34" ht="31.5" outlineLevel="2">
      <c r="A5204" s="21"/>
      <c r="B5204" s="12" t="str">
        <f>IFERROR(VLOOKUP(D5204,'[1]Перечень товаров'!$A$2:$I9525,2,0),"")</f>
        <v>д316</v>
      </c>
      <c r="C5204" s="12" t="str">
        <f>IFERROR(VLOOKUP(D5204,'[1]Перечень товаров'!$A$2:$I9525,3,0),"")</f>
        <v>дидактика</v>
      </c>
      <c r="D5204" s="22" t="s">
        <v>1512</v>
      </c>
      <c r="E5204" s="23"/>
      <c r="F5204" s="23"/>
      <c r="G5204" s="24" t="s">
        <v>1513</v>
      </c>
      <c r="H5204" s="24"/>
      <c r="I5204" s="25"/>
      <c r="J5204" s="25"/>
      <c r="K5204" s="19"/>
      <c r="L5204" s="20"/>
      <c r="M5204" s="10"/>
      <c r="N5204" s="10"/>
      <c r="O5204" s="10"/>
      <c r="P5204" s="10"/>
      <c r="Q5204" s="10"/>
      <c r="R5204" s="10"/>
      <c r="S5204" s="10"/>
      <c r="T5204" s="10"/>
      <c r="U5204" s="10"/>
      <c r="V5204" s="10"/>
      <c r="W5204" s="10"/>
      <c r="X5204" s="10"/>
      <c r="Y5204" s="10"/>
      <c r="Z5204" s="10"/>
      <c r="AA5204" s="10"/>
      <c r="AB5204" s="10"/>
      <c r="AC5204" s="10"/>
      <c r="AD5204" s="10"/>
      <c r="AE5204" s="10"/>
      <c r="AF5204" s="10"/>
      <c r="AG5204" s="10"/>
      <c r="AH5204" s="10"/>
    </row>
    <row r="5205" spans="1:34" outlineLevel="2">
      <c r="A5205" s="21"/>
      <c r="B5205" s="12" t="str">
        <f>IFERROR(VLOOKUP(D5205,'[1]Перечень товаров'!$A$2:$I9525,2,0),"")</f>
        <v>д315</v>
      </c>
      <c r="C5205" s="12" t="str">
        <f>IFERROR(VLOOKUP(D5205,'[1]Перечень товаров'!$A$2:$I9525,3,0),"")</f>
        <v>дидактика</v>
      </c>
      <c r="D5205" s="22" t="s">
        <v>1514</v>
      </c>
      <c r="E5205" s="23"/>
      <c r="F5205" s="23"/>
      <c r="G5205" s="24">
        <v>2</v>
      </c>
      <c r="H5205" s="24"/>
      <c r="I5205" s="25"/>
      <c r="J5205" s="25"/>
      <c r="K5205" s="19"/>
      <c r="L5205" s="20"/>
      <c r="M5205" s="10"/>
      <c r="N5205" s="10"/>
      <c r="O5205" s="10"/>
      <c r="P5205" s="10"/>
      <c r="Q5205" s="10"/>
      <c r="R5205" s="10"/>
      <c r="S5205" s="10"/>
      <c r="T5205" s="10"/>
      <c r="U5205" s="10"/>
      <c r="V5205" s="10"/>
      <c r="W5205" s="10"/>
      <c r="X5205" s="10"/>
      <c r="Y5205" s="10"/>
      <c r="Z5205" s="10"/>
      <c r="AA5205" s="10"/>
      <c r="AB5205" s="10"/>
      <c r="AC5205" s="10"/>
      <c r="AD5205" s="10"/>
      <c r="AE5205" s="10"/>
      <c r="AF5205" s="10"/>
      <c r="AG5205" s="10"/>
      <c r="AH5205" s="10"/>
    </row>
    <row r="5206" spans="1:34" ht="31.5" outlineLevel="2">
      <c r="A5206" s="21"/>
      <c r="B5206" s="12" t="str">
        <f>IFERROR(VLOOKUP(D5206,'[1]Перечень товаров'!$A$2:$I9525,2,0),"")</f>
        <v>д314</v>
      </c>
      <c r="C5206" s="12" t="str">
        <f>IFERROR(VLOOKUP(D5206,'[1]Перечень товаров'!$A$2:$I9525,3,0),"")</f>
        <v>дидактика</v>
      </c>
      <c r="D5206" s="22" t="s">
        <v>1515</v>
      </c>
      <c r="E5206" s="23"/>
      <c r="F5206" s="23"/>
      <c r="G5206" s="24">
        <v>2</v>
      </c>
      <c r="H5206" s="24"/>
      <c r="I5206" s="25"/>
      <c r="J5206" s="25"/>
      <c r="K5206" s="19"/>
      <c r="L5206" s="20"/>
      <c r="M5206" s="10"/>
      <c r="N5206" s="10"/>
      <c r="O5206" s="10"/>
      <c r="P5206" s="10"/>
      <c r="Q5206" s="10"/>
      <c r="R5206" s="10"/>
      <c r="S5206" s="10"/>
      <c r="T5206" s="10"/>
      <c r="U5206" s="10"/>
      <c r="V5206" s="10"/>
      <c r="W5206" s="10"/>
      <c r="X5206" s="10"/>
      <c r="Y5206" s="10"/>
      <c r="Z5206" s="10"/>
      <c r="AA5206" s="10"/>
      <c r="AB5206" s="10"/>
      <c r="AC5206" s="10"/>
      <c r="AD5206" s="10"/>
      <c r="AE5206" s="10"/>
      <c r="AF5206" s="10"/>
      <c r="AG5206" s="10"/>
      <c r="AH5206" s="10"/>
    </row>
    <row r="5207" spans="1:34" ht="47.25" outlineLevel="2">
      <c r="A5207" s="21"/>
      <c r="B5207" s="12" t="str">
        <f>IFERROR(VLOOKUP(D5207,'[1]Перечень товаров'!$A$2:$I9525,2,0),"")</f>
        <v>д313</v>
      </c>
      <c r="C5207" s="12" t="str">
        <f>IFERROR(VLOOKUP(D5207,'[1]Перечень товаров'!$A$2:$I9525,3,0),"")</f>
        <v>дидактика</v>
      </c>
      <c r="D5207" s="22" t="s">
        <v>1516</v>
      </c>
      <c r="E5207" s="23"/>
      <c r="F5207" s="23"/>
      <c r="G5207" s="24">
        <v>4</v>
      </c>
      <c r="H5207" s="24"/>
      <c r="I5207" s="25"/>
      <c r="J5207" s="25"/>
      <c r="K5207" s="19"/>
      <c r="L5207" s="20"/>
      <c r="M5207" s="10"/>
      <c r="N5207" s="10"/>
      <c r="O5207" s="10"/>
      <c r="P5207" s="10"/>
      <c r="Q5207" s="10"/>
      <c r="R5207" s="10"/>
      <c r="S5207" s="10"/>
      <c r="T5207" s="10"/>
      <c r="U5207" s="10"/>
      <c r="V5207" s="10"/>
      <c r="W5207" s="10"/>
      <c r="X5207" s="10"/>
      <c r="Y5207" s="10"/>
      <c r="Z5207" s="10"/>
      <c r="AA5207" s="10"/>
      <c r="AB5207" s="10"/>
      <c r="AC5207" s="10"/>
      <c r="AD5207" s="10"/>
      <c r="AE5207" s="10"/>
      <c r="AF5207" s="10"/>
      <c r="AG5207" s="10"/>
      <c r="AH5207" s="10"/>
    </row>
    <row r="5208" spans="1:34" outlineLevel="2">
      <c r="A5208" s="21"/>
      <c r="B5208" s="12" t="str">
        <f>IFERROR(VLOOKUP(D5208,'[1]Перечень товаров'!$A$2:$I9525,2,0),"")</f>
        <v>д312</v>
      </c>
      <c r="C5208" s="12" t="str">
        <f>IFERROR(VLOOKUP(D5208,'[1]Перечень товаров'!$A$2:$I9525,3,0),"")</f>
        <v>дидактика</v>
      </c>
      <c r="D5208" s="22" t="s">
        <v>1517</v>
      </c>
      <c r="E5208" s="23"/>
      <c r="F5208" s="23"/>
      <c r="G5208" s="24">
        <v>1</v>
      </c>
      <c r="H5208" s="24"/>
      <c r="I5208" s="25"/>
      <c r="J5208" s="25"/>
      <c r="K5208" s="19"/>
      <c r="L5208" s="20"/>
      <c r="M5208" s="10"/>
      <c r="N5208" s="10"/>
      <c r="O5208" s="10"/>
      <c r="P5208" s="10"/>
      <c r="Q5208" s="10"/>
      <c r="R5208" s="10"/>
      <c r="S5208" s="10"/>
      <c r="T5208" s="10"/>
      <c r="U5208" s="10"/>
      <c r="V5208" s="10"/>
      <c r="W5208" s="10"/>
      <c r="X5208" s="10"/>
      <c r="Y5208" s="10"/>
      <c r="Z5208" s="10"/>
      <c r="AA5208" s="10"/>
      <c r="AB5208" s="10"/>
      <c r="AC5208" s="10"/>
      <c r="AD5208" s="10"/>
      <c r="AE5208" s="10"/>
      <c r="AF5208" s="10"/>
      <c r="AG5208" s="10"/>
      <c r="AH5208" s="10"/>
    </row>
    <row r="5209" spans="1:34" ht="12.75" outlineLevel="2">
      <c r="A5209" s="77"/>
      <c r="B5209" s="12" t="str">
        <f>IFERROR(VLOOKUP(D5209,'[1]Перечень товаров'!$A$2:$I9525,2,0),"")</f>
        <v/>
      </c>
      <c r="C5209" s="12" t="str">
        <f>IFERROR(VLOOKUP(D5209,'[1]Перечень товаров'!$A$2:$I9525,3,0),"")</f>
        <v/>
      </c>
      <c r="D5209" s="78" t="s">
        <v>479</v>
      </c>
      <c r="E5209" s="15"/>
      <c r="F5209" s="15"/>
      <c r="G5209" s="17"/>
      <c r="H5209" s="17"/>
      <c r="I5209" s="57"/>
      <c r="J5209" s="57"/>
      <c r="K5209" s="19"/>
      <c r="L5209" s="20"/>
      <c r="M5209" s="10"/>
      <c r="N5209" s="10"/>
      <c r="O5209" s="10"/>
      <c r="P5209" s="10"/>
      <c r="Q5209" s="10"/>
      <c r="R5209" s="10"/>
      <c r="S5209" s="10"/>
      <c r="T5209" s="10"/>
      <c r="U5209" s="10"/>
      <c r="V5209" s="10"/>
      <c r="W5209" s="10"/>
      <c r="X5209" s="10"/>
      <c r="Y5209" s="10"/>
      <c r="Z5209" s="10"/>
      <c r="AA5209" s="10"/>
      <c r="AB5209" s="10"/>
      <c r="AC5209" s="10"/>
      <c r="AD5209" s="10"/>
      <c r="AE5209" s="10"/>
      <c r="AF5209" s="10"/>
      <c r="AG5209" s="10"/>
      <c r="AH5209" s="10"/>
    </row>
    <row r="5210" spans="1:34" ht="31.5" outlineLevel="2">
      <c r="A5210" s="247"/>
      <c r="B5210" s="12" t="str">
        <f>IFERROR(VLOOKUP(D5210,'[1]Перечень товаров'!$A$2:$I9525,2,0),"")</f>
        <v>д331</v>
      </c>
      <c r="C5210" s="12" t="str">
        <f>IFERROR(VLOOKUP(D5210,'[1]Перечень товаров'!$A$2:$I9525,3,0),"")</f>
        <v>дидактика</v>
      </c>
      <c r="D5210" s="248" t="s">
        <v>1495</v>
      </c>
      <c r="E5210" s="23" t="s">
        <v>534</v>
      </c>
      <c r="F5210" s="23"/>
      <c r="G5210" s="24">
        <v>1</v>
      </c>
      <c r="H5210" s="24"/>
      <c r="I5210" s="25"/>
      <c r="J5210" s="25"/>
      <c r="K5210" s="19"/>
      <c r="L5210" s="20"/>
      <c r="M5210" s="10"/>
      <c r="N5210" s="10"/>
      <c r="O5210" s="10"/>
      <c r="P5210" s="10"/>
      <c r="Q5210" s="10"/>
      <c r="R5210" s="10"/>
      <c r="S5210" s="10"/>
      <c r="T5210" s="10"/>
      <c r="U5210" s="10"/>
      <c r="V5210" s="10"/>
      <c r="W5210" s="10"/>
      <c r="X5210" s="10"/>
      <c r="Y5210" s="10"/>
      <c r="Z5210" s="10"/>
      <c r="AA5210" s="10"/>
      <c r="AB5210" s="10"/>
      <c r="AC5210" s="10"/>
      <c r="AD5210" s="10"/>
      <c r="AE5210" s="10"/>
      <c r="AF5210" s="10"/>
      <c r="AG5210" s="10"/>
      <c r="AH5210" s="10"/>
    </row>
    <row r="5211" spans="1:34" ht="31.5" outlineLevel="2">
      <c r="A5211" s="247"/>
      <c r="B5211" s="12" t="str">
        <f>IFERROR(VLOOKUP(D5211,'[1]Перечень товаров'!$A$2:$I9525,2,0),"")</f>
        <v>д311</v>
      </c>
      <c r="C5211" s="12" t="str">
        <f>IFERROR(VLOOKUP(D5211,'[1]Перечень товаров'!$A$2:$I9525,3,0),"")</f>
        <v>дидактика</v>
      </c>
      <c r="D5211" s="248" t="s">
        <v>1518</v>
      </c>
      <c r="E5211" s="23" t="s">
        <v>534</v>
      </c>
      <c r="F5211" s="23"/>
      <c r="G5211" s="24">
        <v>1</v>
      </c>
      <c r="H5211" s="24"/>
      <c r="I5211" s="25"/>
      <c r="J5211" s="25"/>
      <c r="K5211" s="19"/>
      <c r="L5211" s="20"/>
      <c r="M5211" s="10"/>
      <c r="N5211" s="10"/>
      <c r="O5211" s="10"/>
      <c r="P5211" s="10"/>
      <c r="Q5211" s="10"/>
      <c r="R5211" s="10"/>
      <c r="S5211" s="10"/>
      <c r="T5211" s="10"/>
      <c r="U5211" s="10"/>
      <c r="V5211" s="10"/>
      <c r="W5211" s="10"/>
      <c r="X5211" s="10"/>
      <c r="Y5211" s="10"/>
      <c r="Z5211" s="10"/>
      <c r="AA5211" s="10"/>
      <c r="AB5211" s="10"/>
      <c r="AC5211" s="10"/>
      <c r="AD5211" s="10"/>
      <c r="AE5211" s="10"/>
      <c r="AF5211" s="10"/>
      <c r="AG5211" s="10"/>
      <c r="AH5211" s="10"/>
    </row>
    <row r="5212" spans="1:34" outlineLevel="2">
      <c r="A5212" s="247"/>
      <c r="B5212" s="12" t="str">
        <f>IFERROR(VLOOKUP(D5212,'[1]Перечень товаров'!$A$2:$I9525,2,0),"")</f>
        <v>д329</v>
      </c>
      <c r="C5212" s="12" t="str">
        <f>IFERROR(VLOOKUP(D5212,'[1]Перечень товаров'!$A$2:$I9525,3,0),"")</f>
        <v>дидактика</v>
      </c>
      <c r="D5212" s="248" t="s">
        <v>1497</v>
      </c>
      <c r="E5212" s="23" t="s">
        <v>534</v>
      </c>
      <c r="F5212" s="23"/>
      <c r="G5212" s="24">
        <v>1</v>
      </c>
      <c r="H5212" s="24"/>
      <c r="I5212" s="25"/>
      <c r="J5212" s="25"/>
      <c r="K5212" s="19"/>
      <c r="L5212" s="20"/>
      <c r="M5212" s="10"/>
      <c r="N5212" s="10"/>
      <c r="O5212" s="10"/>
      <c r="P5212" s="10"/>
      <c r="Q5212" s="10"/>
      <c r="R5212" s="10"/>
      <c r="S5212" s="10"/>
      <c r="T5212" s="10"/>
      <c r="U5212" s="10"/>
      <c r="V5212" s="10"/>
      <c r="W5212" s="10"/>
      <c r="X5212" s="10"/>
      <c r="Y5212" s="10"/>
      <c r="Z5212" s="10"/>
      <c r="AA5212" s="10"/>
      <c r="AB5212" s="10"/>
      <c r="AC5212" s="10"/>
      <c r="AD5212" s="10"/>
      <c r="AE5212" s="10"/>
      <c r="AF5212" s="10"/>
      <c r="AG5212" s="10"/>
      <c r="AH5212" s="10"/>
    </row>
    <row r="5213" spans="1:34" outlineLevel="2">
      <c r="A5213" s="247"/>
      <c r="B5213" s="12" t="str">
        <f>IFERROR(VLOOKUP(D5213,'[1]Перечень товаров'!$A$2:$I9525,2,0),"")</f>
        <v>д328</v>
      </c>
      <c r="C5213" s="12" t="str">
        <f>IFERROR(VLOOKUP(D5213,'[1]Перечень товаров'!$A$2:$I9525,3,0),"")</f>
        <v>дидактика</v>
      </c>
      <c r="D5213" s="248" t="s">
        <v>1498</v>
      </c>
      <c r="E5213" s="23" t="s">
        <v>534</v>
      </c>
      <c r="F5213" s="23"/>
      <c r="G5213" s="24">
        <v>1</v>
      </c>
      <c r="H5213" s="24"/>
      <c r="I5213" s="25"/>
      <c r="J5213" s="25"/>
      <c r="K5213" s="19"/>
      <c r="L5213" s="20"/>
      <c r="M5213" s="10"/>
      <c r="N5213" s="10"/>
      <c r="O5213" s="10"/>
      <c r="P5213" s="10"/>
      <c r="Q5213" s="10"/>
      <c r="R5213" s="10"/>
      <c r="S5213" s="10"/>
      <c r="T5213" s="10"/>
      <c r="U5213" s="10"/>
      <c r="V5213" s="10"/>
      <c r="W5213" s="10"/>
      <c r="X5213" s="10"/>
      <c r="Y5213" s="10"/>
      <c r="Z5213" s="10"/>
      <c r="AA5213" s="10"/>
      <c r="AB5213" s="10"/>
      <c r="AC5213" s="10"/>
      <c r="AD5213" s="10"/>
      <c r="AE5213" s="10"/>
      <c r="AF5213" s="10"/>
      <c r="AG5213" s="10"/>
      <c r="AH5213" s="10"/>
    </row>
    <row r="5214" spans="1:34" outlineLevel="2">
      <c r="A5214" s="247"/>
      <c r="B5214" s="12" t="str">
        <f>IFERROR(VLOOKUP(D5214,'[1]Перечень товаров'!$A$2:$I9525,2,0),"")</f>
        <v>д327</v>
      </c>
      <c r="C5214" s="12" t="str">
        <f>IFERROR(VLOOKUP(D5214,'[1]Перечень товаров'!$A$2:$I9525,3,0),"")</f>
        <v>дидактика</v>
      </c>
      <c r="D5214" s="248" t="s">
        <v>1499</v>
      </c>
      <c r="E5214" s="23" t="s">
        <v>534</v>
      </c>
      <c r="F5214" s="23"/>
      <c r="G5214" s="24">
        <v>6</v>
      </c>
      <c r="H5214" s="24"/>
      <c r="I5214" s="25"/>
      <c r="J5214" s="25"/>
      <c r="K5214" s="19"/>
      <c r="L5214" s="20"/>
      <c r="M5214" s="10"/>
      <c r="N5214" s="10"/>
      <c r="O5214" s="10"/>
      <c r="P5214" s="10"/>
      <c r="Q5214" s="10"/>
      <c r="R5214" s="10"/>
      <c r="S5214" s="10"/>
      <c r="T5214" s="10"/>
      <c r="U5214" s="10"/>
      <c r="V5214" s="10"/>
      <c r="W5214" s="10"/>
      <c r="X5214" s="10"/>
      <c r="Y5214" s="10"/>
      <c r="Z5214" s="10"/>
      <c r="AA5214" s="10"/>
      <c r="AB5214" s="10"/>
      <c r="AC5214" s="10"/>
      <c r="AD5214" s="10"/>
      <c r="AE5214" s="10"/>
      <c r="AF5214" s="10"/>
      <c r="AG5214" s="10"/>
      <c r="AH5214" s="10"/>
    </row>
    <row r="5215" spans="1:34" outlineLevel="2">
      <c r="A5215" s="247"/>
      <c r="B5215" s="12" t="str">
        <f>IFERROR(VLOOKUP(D5215,'[1]Перечень товаров'!$A$2:$I9525,2,0),"")</f>
        <v>д326</v>
      </c>
      <c r="C5215" s="12" t="str">
        <f>IFERROR(VLOOKUP(D5215,'[1]Перечень товаров'!$A$2:$I9525,3,0),"")</f>
        <v>дидактика</v>
      </c>
      <c r="D5215" s="248" t="s">
        <v>1500</v>
      </c>
      <c r="E5215" s="23" t="s">
        <v>534</v>
      </c>
      <c r="F5215" s="23"/>
      <c r="G5215" s="24">
        <v>2</v>
      </c>
      <c r="H5215" s="24"/>
      <c r="I5215" s="25"/>
      <c r="J5215" s="25"/>
      <c r="K5215" s="19"/>
      <c r="L5215" s="20"/>
      <c r="M5215" s="10"/>
      <c r="N5215" s="10"/>
      <c r="O5215" s="10"/>
      <c r="P5215" s="10"/>
      <c r="Q5215" s="10"/>
      <c r="R5215" s="10"/>
      <c r="S5215" s="10"/>
      <c r="T5215" s="10"/>
      <c r="U5215" s="10"/>
      <c r="V5215" s="10"/>
      <c r="W5215" s="10"/>
      <c r="X5215" s="10"/>
      <c r="Y5215" s="10"/>
      <c r="Z5215" s="10"/>
      <c r="AA5215" s="10"/>
      <c r="AB5215" s="10"/>
      <c r="AC5215" s="10"/>
      <c r="AD5215" s="10"/>
      <c r="AE5215" s="10"/>
      <c r="AF5215" s="10"/>
      <c r="AG5215" s="10"/>
      <c r="AH5215" s="10"/>
    </row>
    <row r="5216" spans="1:34" outlineLevel="2">
      <c r="A5216" s="247"/>
      <c r="B5216" s="12" t="str">
        <f>IFERROR(VLOOKUP(D5216,'[1]Перечень товаров'!$A$2:$I9525,2,0),"")</f>
        <v>д310</v>
      </c>
      <c r="C5216" s="12" t="str">
        <f>IFERROR(VLOOKUP(D5216,'[1]Перечень товаров'!$A$2:$I9525,3,0),"")</f>
        <v>дидактика</v>
      </c>
      <c r="D5216" s="248" t="s">
        <v>1519</v>
      </c>
      <c r="E5216" s="23" t="s">
        <v>534</v>
      </c>
      <c r="F5216" s="23"/>
      <c r="G5216" s="24">
        <v>2</v>
      </c>
      <c r="H5216" s="24"/>
      <c r="I5216" s="25"/>
      <c r="J5216" s="25"/>
      <c r="K5216" s="19"/>
      <c r="L5216" s="20"/>
      <c r="M5216" s="10"/>
      <c r="N5216" s="10"/>
      <c r="O5216" s="10"/>
      <c r="P5216" s="10"/>
      <c r="Q5216" s="10"/>
      <c r="R5216" s="10"/>
      <c r="S5216" s="10"/>
      <c r="T5216" s="10"/>
      <c r="U5216" s="10"/>
      <c r="V5216" s="10"/>
      <c r="W5216" s="10"/>
      <c r="X5216" s="10"/>
      <c r="Y5216" s="10"/>
      <c r="Z5216" s="10"/>
      <c r="AA5216" s="10"/>
      <c r="AB5216" s="10"/>
      <c r="AC5216" s="10"/>
      <c r="AD5216" s="10"/>
      <c r="AE5216" s="10"/>
      <c r="AF5216" s="10"/>
      <c r="AG5216" s="10"/>
      <c r="AH5216" s="10"/>
    </row>
    <row r="5217" spans="1:34" outlineLevel="2">
      <c r="A5217" s="247"/>
      <c r="B5217" s="12" t="str">
        <f>IFERROR(VLOOKUP(D5217,'[1]Перечень товаров'!$A$2:$I9525,2,0),"")</f>
        <v>м140</v>
      </c>
      <c r="C5217" s="12" t="str">
        <f>IFERROR(VLOOKUP(D5217,'[1]Перечень товаров'!$A$2:$I9525,3,0),"")</f>
        <v>мебель</v>
      </c>
      <c r="D5217" s="248" t="s">
        <v>1502</v>
      </c>
      <c r="E5217" s="23" t="s">
        <v>534</v>
      </c>
      <c r="F5217" s="23"/>
      <c r="G5217" s="24">
        <v>4</v>
      </c>
      <c r="H5217" s="24"/>
      <c r="I5217" s="25"/>
      <c r="J5217" s="25"/>
      <c r="K5217" s="19"/>
      <c r="L5217" s="20"/>
      <c r="M5217" s="10"/>
      <c r="N5217" s="10"/>
      <c r="O5217" s="10"/>
      <c r="P5217" s="10"/>
      <c r="Q5217" s="10"/>
      <c r="R5217" s="10"/>
      <c r="S5217" s="10"/>
      <c r="T5217" s="10"/>
      <c r="U5217" s="10"/>
      <c r="V5217" s="10"/>
      <c r="W5217" s="10"/>
      <c r="X5217" s="10"/>
      <c r="Y5217" s="10"/>
      <c r="Z5217" s="10"/>
      <c r="AA5217" s="10"/>
      <c r="AB5217" s="10"/>
      <c r="AC5217" s="10"/>
      <c r="AD5217" s="10"/>
      <c r="AE5217" s="10"/>
      <c r="AF5217" s="10"/>
      <c r="AG5217" s="10"/>
      <c r="AH5217" s="10"/>
    </row>
    <row r="5218" spans="1:34" ht="31.5" outlineLevel="2">
      <c r="A5218" s="247"/>
      <c r="B5218" s="12" t="str">
        <f>IFERROR(VLOOKUP(D5218,'[1]Перечень товаров'!$A$2:$I9525,2,0),"")</f>
        <v>д309</v>
      </c>
      <c r="C5218" s="12" t="str">
        <f>IFERROR(VLOOKUP(D5218,'[1]Перечень товаров'!$A$2:$I9525,3,0),"")</f>
        <v>Дидактика</v>
      </c>
      <c r="D5218" s="248" t="s">
        <v>1520</v>
      </c>
      <c r="E5218" s="23" t="s">
        <v>534</v>
      </c>
      <c r="F5218" s="23"/>
      <c r="G5218" s="24">
        <v>36</v>
      </c>
      <c r="H5218" s="24"/>
      <c r="I5218" s="25"/>
      <c r="J5218" s="25"/>
      <c r="K5218" s="19"/>
      <c r="L5218" s="20"/>
      <c r="M5218" s="10"/>
      <c r="N5218" s="10"/>
      <c r="O5218" s="10"/>
      <c r="P5218" s="10"/>
      <c r="Q5218" s="10"/>
      <c r="R5218" s="10"/>
      <c r="S5218" s="10"/>
      <c r="T5218" s="10"/>
      <c r="U5218" s="10"/>
      <c r="V5218" s="10"/>
      <c r="W5218" s="10"/>
      <c r="X5218" s="10"/>
      <c r="Y5218" s="10"/>
      <c r="Z5218" s="10"/>
      <c r="AA5218" s="10"/>
      <c r="AB5218" s="10"/>
      <c r="AC5218" s="10"/>
      <c r="AD5218" s="10"/>
      <c r="AE5218" s="10"/>
      <c r="AF5218" s="10"/>
      <c r="AG5218" s="10"/>
      <c r="AH5218" s="10"/>
    </row>
    <row r="5219" spans="1:34" ht="31.5" outlineLevel="2">
      <c r="A5219" s="247"/>
      <c r="B5219" s="12" t="str">
        <f>IFERROR(VLOOKUP(D5219,'[1]Перечень товаров'!$A$2:$I9525,2,0),"")</f>
        <v>д323</v>
      </c>
      <c r="C5219" s="12" t="str">
        <f>IFERROR(VLOOKUP(D5219,'[1]Перечень товаров'!$A$2:$I9525,3,0),"")</f>
        <v>дидактика</v>
      </c>
      <c r="D5219" s="248" t="s">
        <v>1504</v>
      </c>
      <c r="E5219" s="23" t="s">
        <v>534</v>
      </c>
      <c r="F5219" s="23"/>
      <c r="G5219" s="24">
        <v>2</v>
      </c>
      <c r="H5219" s="24"/>
      <c r="I5219" s="25"/>
      <c r="J5219" s="25"/>
      <c r="K5219" s="19"/>
      <c r="L5219" s="20"/>
      <c r="M5219" s="10"/>
      <c r="N5219" s="10"/>
      <c r="O5219" s="10"/>
      <c r="P5219" s="10"/>
      <c r="Q5219" s="10"/>
      <c r="R5219" s="10"/>
      <c r="S5219" s="10"/>
      <c r="T5219" s="10"/>
      <c r="U5219" s="10"/>
      <c r="V5219" s="10"/>
      <c r="W5219" s="10"/>
      <c r="X5219" s="10"/>
      <c r="Y5219" s="10"/>
      <c r="Z5219" s="10"/>
      <c r="AA5219" s="10"/>
      <c r="AB5219" s="10"/>
      <c r="AC5219" s="10"/>
      <c r="AD5219" s="10"/>
      <c r="AE5219" s="10"/>
      <c r="AF5219" s="10"/>
      <c r="AG5219" s="10"/>
      <c r="AH5219" s="10"/>
    </row>
    <row r="5220" spans="1:34" outlineLevel="2">
      <c r="A5220" s="247"/>
      <c r="B5220" s="12" t="str">
        <f>IFERROR(VLOOKUP(D5220,'[1]Перечень товаров'!$A$2:$I9525,2,0),"")</f>
        <v>д322</v>
      </c>
      <c r="C5220" s="12" t="str">
        <f>IFERROR(VLOOKUP(D5220,'[1]Перечень товаров'!$A$2:$I9525,3,0),"")</f>
        <v>дидактика</v>
      </c>
      <c r="D5220" s="248" t="s">
        <v>1505</v>
      </c>
      <c r="E5220" s="23" t="s">
        <v>534</v>
      </c>
      <c r="F5220" s="23"/>
      <c r="G5220" s="24">
        <v>2</v>
      </c>
      <c r="H5220" s="24"/>
      <c r="I5220" s="25"/>
      <c r="J5220" s="25"/>
      <c r="K5220" s="19"/>
      <c r="L5220" s="20"/>
      <c r="M5220" s="10"/>
      <c r="N5220" s="10"/>
      <c r="O5220" s="10"/>
      <c r="P5220" s="10"/>
      <c r="Q5220" s="10"/>
      <c r="R5220" s="10"/>
      <c r="S5220" s="10"/>
      <c r="T5220" s="10"/>
      <c r="U5220" s="10"/>
      <c r="V5220" s="10"/>
      <c r="W5220" s="10"/>
      <c r="X5220" s="10"/>
      <c r="Y5220" s="10"/>
      <c r="Z5220" s="10"/>
      <c r="AA5220" s="10"/>
      <c r="AB5220" s="10"/>
      <c r="AC5220" s="10"/>
      <c r="AD5220" s="10"/>
      <c r="AE5220" s="10"/>
      <c r="AF5220" s="10"/>
      <c r="AG5220" s="10"/>
      <c r="AH5220" s="10"/>
    </row>
    <row r="5221" spans="1:34" ht="31.5" outlineLevel="2">
      <c r="A5221" s="247"/>
      <c r="B5221" s="12" t="str">
        <f>IFERROR(VLOOKUP(D5221,'[1]Перечень товаров'!$A$2:$I9525,2,0),"")</f>
        <v>д321</v>
      </c>
      <c r="C5221" s="12" t="str">
        <f>IFERROR(VLOOKUP(D5221,'[1]Перечень товаров'!$A$2:$I9525,3,0),"")</f>
        <v>дидактика</v>
      </c>
      <c r="D5221" s="248" t="s">
        <v>1506</v>
      </c>
      <c r="E5221" s="23" t="s">
        <v>534</v>
      </c>
      <c r="F5221" s="23"/>
      <c r="G5221" s="24">
        <v>1</v>
      </c>
      <c r="H5221" s="24"/>
      <c r="I5221" s="25"/>
      <c r="J5221" s="25"/>
      <c r="K5221" s="19"/>
      <c r="L5221" s="20"/>
      <c r="M5221" s="10"/>
      <c r="N5221" s="10"/>
      <c r="O5221" s="10"/>
      <c r="P5221" s="10"/>
      <c r="Q5221" s="10"/>
      <c r="R5221" s="10"/>
      <c r="S5221" s="10"/>
      <c r="T5221" s="10"/>
      <c r="U5221" s="10"/>
      <c r="V5221" s="10"/>
      <c r="W5221" s="10"/>
      <c r="X5221" s="10"/>
      <c r="Y5221" s="10"/>
      <c r="Z5221" s="10"/>
      <c r="AA5221" s="10"/>
      <c r="AB5221" s="10"/>
      <c r="AC5221" s="10"/>
      <c r="AD5221" s="10"/>
      <c r="AE5221" s="10"/>
      <c r="AF5221" s="10"/>
      <c r="AG5221" s="10"/>
      <c r="AH5221" s="10"/>
    </row>
    <row r="5222" spans="1:34" ht="31.5" outlineLevel="2">
      <c r="A5222" s="247"/>
      <c r="B5222" s="12" t="str">
        <f>IFERROR(VLOOKUP(D5222,'[1]Перечень товаров'!$A$2:$I9525,2,0),"")</f>
        <v>д308</v>
      </c>
      <c r="C5222" s="12" t="str">
        <f>IFERROR(VLOOKUP(D5222,'[1]Перечень товаров'!$A$2:$I9525,3,0),"")</f>
        <v>Дидактика</v>
      </c>
      <c r="D5222" s="248" t="s">
        <v>1521</v>
      </c>
      <c r="E5222" s="23" t="s">
        <v>534</v>
      </c>
      <c r="F5222" s="23"/>
      <c r="G5222" s="24">
        <v>18</v>
      </c>
      <c r="H5222" s="24"/>
      <c r="I5222" s="25"/>
      <c r="J5222" s="25"/>
      <c r="K5222" s="19"/>
      <c r="L5222" s="20"/>
      <c r="M5222" s="10"/>
      <c r="N5222" s="10"/>
      <c r="O5222" s="10"/>
      <c r="P5222" s="10"/>
      <c r="Q5222" s="10"/>
      <c r="R5222" s="10"/>
      <c r="S5222" s="10"/>
      <c r="T5222" s="10"/>
      <c r="U5222" s="10"/>
      <c r="V5222" s="10"/>
      <c r="W5222" s="10"/>
      <c r="X5222" s="10"/>
      <c r="Y5222" s="10"/>
      <c r="Z5222" s="10"/>
      <c r="AA5222" s="10"/>
      <c r="AB5222" s="10"/>
      <c r="AC5222" s="10"/>
      <c r="AD5222" s="10"/>
      <c r="AE5222" s="10"/>
      <c r="AF5222" s="10"/>
      <c r="AG5222" s="10"/>
      <c r="AH5222" s="10"/>
    </row>
    <row r="5223" spans="1:34" outlineLevel="2">
      <c r="A5223" s="247"/>
      <c r="B5223" s="12" t="str">
        <f>IFERROR(VLOOKUP(D5223,'[1]Перечень товаров'!$A$2:$I9525,2,0),"")</f>
        <v>м195</v>
      </c>
      <c r="C5223" s="12" t="str">
        <f>IFERROR(VLOOKUP(D5223,'[1]Перечень товаров'!$A$2:$I9525,3,0),"")</f>
        <v>Мебель</v>
      </c>
      <c r="D5223" s="248" t="s">
        <v>660</v>
      </c>
      <c r="E5223" s="23" t="s">
        <v>534</v>
      </c>
      <c r="F5223" s="23"/>
      <c r="G5223" s="24">
        <v>22</v>
      </c>
      <c r="H5223" s="24"/>
      <c r="I5223" s="25"/>
      <c r="J5223" s="25"/>
      <c r="K5223" s="19"/>
      <c r="L5223" s="20"/>
      <c r="M5223" s="10"/>
      <c r="N5223" s="10"/>
      <c r="O5223" s="10"/>
      <c r="P5223" s="10"/>
      <c r="Q5223" s="10"/>
      <c r="R5223" s="10"/>
      <c r="S5223" s="10"/>
      <c r="T5223" s="10"/>
      <c r="U5223" s="10"/>
      <c r="V5223" s="10"/>
      <c r="W5223" s="10"/>
      <c r="X5223" s="10"/>
      <c r="Y5223" s="10"/>
      <c r="Z5223" s="10"/>
      <c r="AA5223" s="10"/>
      <c r="AB5223" s="10"/>
      <c r="AC5223" s="10"/>
      <c r="AD5223" s="10"/>
      <c r="AE5223" s="10"/>
      <c r="AF5223" s="10"/>
      <c r="AG5223" s="10"/>
      <c r="AH5223" s="10"/>
    </row>
    <row r="5224" spans="1:34" outlineLevel="2">
      <c r="A5224" s="247"/>
      <c r="B5224" s="12" t="str">
        <f>IFERROR(VLOOKUP(D5224,'[1]Перечень товаров'!$A$2:$I9525,2,0),"")</f>
        <v>д307</v>
      </c>
      <c r="C5224" s="12" t="str">
        <f>IFERROR(VLOOKUP(D5224,'[1]Перечень товаров'!$A$2:$I9525,3,0),"")</f>
        <v>Дидактика</v>
      </c>
      <c r="D5224" s="248" t="s">
        <v>1522</v>
      </c>
      <c r="E5224" s="23" t="s">
        <v>534</v>
      </c>
      <c r="F5224" s="23"/>
      <c r="G5224" s="24">
        <v>2</v>
      </c>
      <c r="H5224" s="24"/>
      <c r="I5224" s="25"/>
      <c r="J5224" s="25"/>
      <c r="K5224" s="19"/>
      <c r="L5224" s="20"/>
      <c r="M5224" s="10"/>
      <c r="N5224" s="10"/>
      <c r="O5224" s="10"/>
      <c r="P5224" s="10"/>
      <c r="Q5224" s="10"/>
      <c r="R5224" s="10"/>
      <c r="S5224" s="10"/>
      <c r="T5224" s="10"/>
      <c r="U5224" s="10"/>
      <c r="V5224" s="10"/>
      <c r="W5224" s="10"/>
      <c r="X5224" s="10"/>
      <c r="Y5224" s="10"/>
      <c r="Z5224" s="10"/>
      <c r="AA5224" s="10"/>
      <c r="AB5224" s="10"/>
      <c r="AC5224" s="10"/>
      <c r="AD5224" s="10"/>
      <c r="AE5224" s="10"/>
      <c r="AF5224" s="10"/>
      <c r="AG5224" s="10"/>
      <c r="AH5224" s="10"/>
    </row>
    <row r="5225" spans="1:34" outlineLevel="2">
      <c r="A5225" s="247"/>
      <c r="B5225" s="12" t="str">
        <f>IFERROR(VLOOKUP(D5225,'[1]Перечень товаров'!$A$2:$I9525,2,0),"")</f>
        <v>д306</v>
      </c>
      <c r="C5225" s="12" t="str">
        <f>IFERROR(VLOOKUP(D5225,'[1]Перечень товаров'!$A$2:$I9525,3,0),"")</f>
        <v>Дидактика</v>
      </c>
      <c r="D5225" s="248" t="s">
        <v>1523</v>
      </c>
      <c r="E5225" s="23" t="s">
        <v>534</v>
      </c>
      <c r="F5225" s="23"/>
      <c r="G5225" s="24">
        <v>4</v>
      </c>
      <c r="H5225" s="24"/>
      <c r="I5225" s="25"/>
      <c r="J5225" s="25"/>
      <c r="K5225" s="19"/>
      <c r="L5225" s="20"/>
      <c r="M5225" s="10"/>
      <c r="N5225" s="10"/>
      <c r="O5225" s="10"/>
      <c r="P5225" s="10"/>
      <c r="Q5225" s="10"/>
      <c r="R5225" s="10"/>
      <c r="S5225" s="10"/>
      <c r="T5225" s="10"/>
      <c r="U5225" s="10"/>
      <c r="V5225" s="10"/>
      <c r="W5225" s="10"/>
      <c r="X5225" s="10"/>
      <c r="Y5225" s="10"/>
      <c r="Z5225" s="10"/>
      <c r="AA5225" s="10"/>
      <c r="AB5225" s="10"/>
      <c r="AC5225" s="10"/>
      <c r="AD5225" s="10"/>
      <c r="AE5225" s="10"/>
      <c r="AF5225" s="10"/>
      <c r="AG5225" s="10"/>
      <c r="AH5225" s="10"/>
    </row>
    <row r="5226" spans="1:34" outlineLevel="2">
      <c r="A5226" s="247"/>
      <c r="B5226" s="12" t="str">
        <f>IFERROR(VLOOKUP(D5226,'[1]Перечень товаров'!$A$2:$I9525,2,0),"")</f>
        <v>д317</v>
      </c>
      <c r="C5226" s="12" t="str">
        <f>IFERROR(VLOOKUP(D5226,'[1]Перечень товаров'!$A$2:$I9525,3,0),"")</f>
        <v>дидактика</v>
      </c>
      <c r="D5226" s="248" t="s">
        <v>1511</v>
      </c>
      <c r="E5226" s="23" t="s">
        <v>534</v>
      </c>
      <c r="F5226" s="23"/>
      <c r="G5226" s="24">
        <v>2</v>
      </c>
      <c r="H5226" s="24"/>
      <c r="I5226" s="25"/>
      <c r="J5226" s="25"/>
      <c r="K5226" s="19"/>
      <c r="L5226" s="20"/>
      <c r="M5226" s="10"/>
      <c r="N5226" s="10"/>
      <c r="O5226" s="10"/>
      <c r="P5226" s="10"/>
      <c r="Q5226" s="10"/>
      <c r="R5226" s="10"/>
      <c r="S5226" s="10"/>
      <c r="T5226" s="10"/>
      <c r="U5226" s="10"/>
      <c r="V5226" s="10"/>
      <c r="W5226" s="10"/>
      <c r="X5226" s="10"/>
      <c r="Y5226" s="10"/>
      <c r="Z5226" s="10"/>
      <c r="AA5226" s="10"/>
      <c r="AB5226" s="10"/>
      <c r="AC5226" s="10"/>
      <c r="AD5226" s="10"/>
      <c r="AE5226" s="10"/>
      <c r="AF5226" s="10"/>
      <c r="AG5226" s="10"/>
      <c r="AH5226" s="10"/>
    </row>
    <row r="5227" spans="1:34" outlineLevel="2">
      <c r="A5227" s="247"/>
      <c r="B5227" s="12" t="str">
        <f>IFERROR(VLOOKUP(D5227,'[1]Перечень товаров'!$A$2:$I9525,2,0),"")</f>
        <v>д305</v>
      </c>
      <c r="C5227" s="12" t="str">
        <f>IFERROR(VLOOKUP(D5227,'[1]Перечень товаров'!$A$2:$I9525,3,0),"")</f>
        <v>Дидактика</v>
      </c>
      <c r="D5227" s="248" t="s">
        <v>1524</v>
      </c>
      <c r="E5227" s="23" t="s">
        <v>1479</v>
      </c>
      <c r="F5227" s="23"/>
      <c r="G5227" s="24">
        <v>2</v>
      </c>
      <c r="H5227" s="24"/>
      <c r="I5227" s="25"/>
      <c r="J5227" s="25"/>
      <c r="K5227" s="19"/>
      <c r="L5227" s="20"/>
      <c r="M5227" s="10"/>
      <c r="N5227" s="10"/>
      <c r="O5227" s="10"/>
      <c r="P5227" s="10"/>
      <c r="Q5227" s="10"/>
      <c r="R5227" s="10"/>
      <c r="S5227" s="10"/>
      <c r="T5227" s="10"/>
      <c r="U5227" s="10"/>
      <c r="V5227" s="10"/>
      <c r="W5227" s="10"/>
      <c r="X5227" s="10"/>
      <c r="Y5227" s="10"/>
      <c r="Z5227" s="10"/>
      <c r="AA5227" s="10"/>
      <c r="AB5227" s="10"/>
      <c r="AC5227" s="10"/>
      <c r="AD5227" s="10"/>
      <c r="AE5227" s="10"/>
      <c r="AF5227" s="10"/>
      <c r="AG5227" s="10"/>
      <c r="AH5227" s="10"/>
    </row>
    <row r="5228" spans="1:34" outlineLevel="2">
      <c r="A5228" s="247"/>
      <c r="B5228" s="12" t="str">
        <f>IFERROR(VLOOKUP(D5228,'[1]Перечень товаров'!$A$2:$I9525,2,0),"")</f>
        <v>д304</v>
      </c>
      <c r="C5228" s="12" t="str">
        <f>IFERROR(VLOOKUP(D5228,'[1]Перечень товаров'!$A$2:$I9525,3,0),"")</f>
        <v>Дидактика</v>
      </c>
      <c r="D5228" s="248" t="s">
        <v>1525</v>
      </c>
      <c r="E5228" s="23" t="s">
        <v>534</v>
      </c>
      <c r="F5228" s="23"/>
      <c r="G5228" s="24">
        <v>4</v>
      </c>
      <c r="H5228" s="24"/>
      <c r="I5228" s="25"/>
      <c r="J5228" s="25"/>
      <c r="K5228" s="19"/>
      <c r="L5228" s="20"/>
      <c r="M5228" s="10"/>
      <c r="N5228" s="10"/>
      <c r="O5228" s="10"/>
      <c r="P5228" s="10"/>
      <c r="Q5228" s="10"/>
      <c r="R5228" s="10"/>
      <c r="S5228" s="10"/>
      <c r="T5228" s="10"/>
      <c r="U5228" s="10"/>
      <c r="V5228" s="10"/>
      <c r="W5228" s="10"/>
      <c r="X5228" s="10"/>
      <c r="Y5228" s="10"/>
      <c r="Z5228" s="10"/>
      <c r="AA5228" s="10"/>
      <c r="AB5228" s="10"/>
      <c r="AC5228" s="10"/>
      <c r="AD5228" s="10"/>
      <c r="AE5228" s="10"/>
      <c r="AF5228" s="10"/>
      <c r="AG5228" s="10"/>
      <c r="AH5228" s="10"/>
    </row>
    <row r="5229" spans="1:34" outlineLevel="2">
      <c r="A5229" s="247"/>
      <c r="B5229" s="12" t="str">
        <f>IFERROR(VLOOKUP(D5229,'[1]Перечень товаров'!$A$2:$I9525,2,0),"")</f>
        <v>д315</v>
      </c>
      <c r="C5229" s="12" t="str">
        <f>IFERROR(VLOOKUP(D5229,'[1]Перечень товаров'!$A$2:$I9525,3,0),"")</f>
        <v>дидактика</v>
      </c>
      <c r="D5229" s="248" t="s">
        <v>1514</v>
      </c>
      <c r="E5229" s="23" t="s">
        <v>534</v>
      </c>
      <c r="F5229" s="23"/>
      <c r="G5229" s="24">
        <v>4</v>
      </c>
      <c r="H5229" s="24"/>
      <c r="I5229" s="25"/>
      <c r="J5229" s="25"/>
      <c r="K5229" s="19"/>
      <c r="L5229" s="20"/>
      <c r="M5229" s="10"/>
      <c r="N5229" s="10"/>
      <c r="O5229" s="10"/>
      <c r="P5229" s="10"/>
      <c r="Q5229" s="10"/>
      <c r="R5229" s="10"/>
      <c r="S5229" s="10"/>
      <c r="T5229" s="10"/>
      <c r="U5229" s="10"/>
      <c r="V5229" s="10"/>
      <c r="W5229" s="10"/>
      <c r="X5229" s="10"/>
      <c r="Y5229" s="10"/>
      <c r="Z5229" s="10"/>
      <c r="AA5229" s="10"/>
      <c r="AB5229" s="10"/>
      <c r="AC5229" s="10"/>
      <c r="AD5229" s="10"/>
      <c r="AE5229" s="10"/>
      <c r="AF5229" s="10"/>
      <c r="AG5229" s="10"/>
      <c r="AH5229" s="10"/>
    </row>
    <row r="5230" spans="1:34" ht="31.5" outlineLevel="2">
      <c r="A5230" s="247"/>
      <c r="B5230" s="12" t="str">
        <f>IFERROR(VLOOKUP(D5230,'[1]Перечень товаров'!$A$2:$I9525,2,0),"")</f>
        <v>д314</v>
      </c>
      <c r="C5230" s="12" t="str">
        <f>IFERROR(VLOOKUP(D5230,'[1]Перечень товаров'!$A$2:$I9525,3,0),"")</f>
        <v>дидактика</v>
      </c>
      <c r="D5230" s="248" t="s">
        <v>1515</v>
      </c>
      <c r="E5230" s="23" t="s">
        <v>534</v>
      </c>
      <c r="F5230" s="23"/>
      <c r="G5230" s="24">
        <v>2</v>
      </c>
      <c r="H5230" s="24"/>
      <c r="I5230" s="25"/>
      <c r="J5230" s="25"/>
      <c r="K5230" s="19"/>
      <c r="L5230" s="20"/>
      <c r="M5230" s="10"/>
      <c r="N5230" s="10"/>
      <c r="O5230" s="10"/>
      <c r="P5230" s="10"/>
      <c r="Q5230" s="10"/>
      <c r="R5230" s="10"/>
      <c r="S5230" s="10"/>
      <c r="T5230" s="10"/>
      <c r="U5230" s="10"/>
      <c r="V5230" s="10"/>
      <c r="W5230" s="10"/>
      <c r="X5230" s="10"/>
      <c r="Y5230" s="10"/>
      <c r="Z5230" s="10"/>
      <c r="AA5230" s="10"/>
      <c r="AB5230" s="10"/>
      <c r="AC5230" s="10"/>
      <c r="AD5230" s="10"/>
      <c r="AE5230" s="10"/>
      <c r="AF5230" s="10"/>
      <c r="AG5230" s="10"/>
      <c r="AH5230" s="10"/>
    </row>
    <row r="5231" spans="1:34" ht="47.25" outlineLevel="2">
      <c r="A5231" s="247"/>
      <c r="B5231" s="12" t="str">
        <f>IFERROR(VLOOKUP(D5231,'[1]Перечень товаров'!$A$2:$I9525,2,0),"")</f>
        <v>д303</v>
      </c>
      <c r="C5231" s="12" t="str">
        <f>IFERROR(VLOOKUP(D5231,'[1]Перечень товаров'!$A$2:$I9525,3,0),"")</f>
        <v>Дидактика</v>
      </c>
      <c r="D5231" s="248" t="s">
        <v>1526</v>
      </c>
      <c r="E5231" s="23" t="s">
        <v>1489</v>
      </c>
      <c r="F5231" s="23"/>
      <c r="G5231" s="24">
        <v>4</v>
      </c>
      <c r="H5231" s="24"/>
      <c r="I5231" s="25"/>
      <c r="J5231" s="25"/>
      <c r="K5231" s="19"/>
      <c r="L5231" s="20"/>
      <c r="M5231" s="10"/>
      <c r="N5231" s="10"/>
      <c r="O5231" s="10"/>
      <c r="P5231" s="10"/>
      <c r="Q5231" s="10"/>
      <c r="R5231" s="10"/>
      <c r="S5231" s="10"/>
      <c r="T5231" s="10"/>
      <c r="U5231" s="10"/>
      <c r="V5231" s="10"/>
      <c r="W5231" s="10"/>
      <c r="X5231" s="10"/>
      <c r="Y5231" s="10"/>
      <c r="Z5231" s="10"/>
      <c r="AA5231" s="10"/>
      <c r="AB5231" s="10"/>
      <c r="AC5231" s="10"/>
      <c r="AD5231" s="10"/>
      <c r="AE5231" s="10"/>
      <c r="AF5231" s="10"/>
      <c r="AG5231" s="10"/>
      <c r="AH5231" s="10"/>
    </row>
    <row r="5232" spans="1:34" outlineLevel="2">
      <c r="A5232" s="247"/>
      <c r="B5232" s="12" t="str">
        <f>IFERROR(VLOOKUP(D5232,'[1]Перечень товаров'!$A$2:$I9525,2,0),"")</f>
        <v>д312</v>
      </c>
      <c r="C5232" s="12" t="str">
        <f>IFERROR(VLOOKUP(D5232,'[1]Перечень товаров'!$A$2:$I9525,3,0),"")</f>
        <v>дидактика</v>
      </c>
      <c r="D5232" s="248" t="s">
        <v>1517</v>
      </c>
      <c r="E5232" s="23" t="s">
        <v>534</v>
      </c>
      <c r="F5232" s="23"/>
      <c r="G5232" s="24">
        <v>1</v>
      </c>
      <c r="H5232" s="24"/>
      <c r="I5232" s="25"/>
      <c r="J5232" s="25"/>
      <c r="K5232" s="19"/>
      <c r="L5232" s="20"/>
      <c r="M5232" s="10"/>
      <c r="N5232" s="10"/>
      <c r="O5232" s="10"/>
      <c r="P5232" s="10"/>
      <c r="Q5232" s="10"/>
      <c r="R5232" s="10"/>
      <c r="S5232" s="10"/>
      <c r="T5232" s="10"/>
      <c r="U5232" s="10"/>
      <c r="V5232" s="10"/>
      <c r="W5232" s="10"/>
      <c r="X5232" s="10"/>
      <c r="Y5232" s="10"/>
      <c r="Z5232" s="10"/>
      <c r="AA5232" s="10"/>
      <c r="AB5232" s="10"/>
      <c r="AC5232" s="10"/>
      <c r="AD5232" s="10"/>
      <c r="AE5232" s="10"/>
      <c r="AF5232" s="10"/>
      <c r="AG5232" s="10"/>
      <c r="AH5232" s="10"/>
    </row>
    <row r="5233" spans="1:34" outlineLevel="2">
      <c r="A5233" s="247"/>
      <c r="B5233" s="12" t="str">
        <f>IFERROR(VLOOKUP(D5233,'[1]Перечень товаров'!$A$2:$I9525,2,0),"")</f>
        <v>д302</v>
      </c>
      <c r="C5233" s="12" t="str">
        <f>IFERROR(VLOOKUP(D5233,'[1]Перечень товаров'!$A$2:$I9525,3,0),"")</f>
        <v>Дидактика</v>
      </c>
      <c r="D5233" s="248" t="s">
        <v>1527</v>
      </c>
      <c r="E5233" s="23" t="s">
        <v>534</v>
      </c>
      <c r="F5233" s="23"/>
      <c r="G5233" s="24">
        <v>45</v>
      </c>
      <c r="H5233" s="24"/>
      <c r="I5233" s="25"/>
      <c r="J5233" s="25"/>
      <c r="K5233" s="19"/>
      <c r="L5233" s="20"/>
      <c r="M5233" s="10"/>
      <c r="N5233" s="10"/>
      <c r="O5233" s="10"/>
      <c r="P5233" s="10"/>
      <c r="Q5233" s="10"/>
      <c r="R5233" s="10"/>
      <c r="S5233" s="10"/>
      <c r="T5233" s="10"/>
      <c r="U5233" s="10"/>
      <c r="V5233" s="10"/>
      <c r="W5233" s="10"/>
      <c r="X5233" s="10"/>
      <c r="Y5233" s="10"/>
      <c r="Z5233" s="10"/>
      <c r="AA5233" s="10"/>
      <c r="AB5233" s="10"/>
      <c r="AC5233" s="10"/>
      <c r="AD5233" s="10"/>
      <c r="AE5233" s="10"/>
      <c r="AF5233" s="10"/>
      <c r="AG5233" s="10"/>
      <c r="AH5233" s="10"/>
    </row>
    <row r="5234" spans="1:34" outlineLevel="2">
      <c r="A5234" s="247"/>
      <c r="B5234" s="12" t="str">
        <f>IFERROR(VLOOKUP(D5234,'[1]Перечень товаров'!$A$2:$I9525,2,0),"")</f>
        <v>д301</v>
      </c>
      <c r="C5234" s="12" t="str">
        <f>IFERROR(VLOOKUP(D5234,'[1]Перечень товаров'!$A$2:$I9525,3,0),"")</f>
        <v>Дидактика</v>
      </c>
      <c r="D5234" s="248" t="s">
        <v>1528</v>
      </c>
      <c r="E5234" s="23" t="s">
        <v>534</v>
      </c>
      <c r="F5234" s="23"/>
      <c r="G5234" s="24">
        <v>45</v>
      </c>
      <c r="H5234" s="24"/>
      <c r="I5234" s="25"/>
      <c r="J5234" s="25"/>
      <c r="K5234" s="19"/>
      <c r="L5234" s="20"/>
      <c r="M5234" s="10"/>
      <c r="N5234" s="10"/>
      <c r="O5234" s="10"/>
      <c r="P5234" s="10"/>
      <c r="Q5234" s="10"/>
      <c r="R5234" s="10"/>
      <c r="S5234" s="10"/>
      <c r="T5234" s="10"/>
      <c r="U5234" s="10"/>
      <c r="V5234" s="10"/>
      <c r="W5234" s="10"/>
      <c r="X5234" s="10"/>
      <c r="Y5234" s="10"/>
      <c r="Z5234" s="10"/>
      <c r="AA5234" s="10"/>
      <c r="AB5234" s="10"/>
      <c r="AC5234" s="10"/>
      <c r="AD5234" s="10"/>
      <c r="AE5234" s="10"/>
      <c r="AF5234" s="10"/>
      <c r="AG5234" s="10"/>
      <c r="AH5234" s="10"/>
    </row>
    <row r="5235" spans="1:34" outlineLevel="2">
      <c r="A5235" s="247"/>
      <c r="B5235" s="12" t="str">
        <f>IFERROR(VLOOKUP(D5235,'[1]Перечень товаров'!$A$2:$I9525,2,0),"")</f>
        <v>д300</v>
      </c>
      <c r="C5235" s="12" t="str">
        <f>IFERROR(VLOOKUP(D5235,'[1]Перечень товаров'!$A$2:$I9525,3,0),"")</f>
        <v>Дидактика</v>
      </c>
      <c r="D5235" s="248" t="s">
        <v>1529</v>
      </c>
      <c r="E5235" s="23" t="s">
        <v>534</v>
      </c>
      <c r="F5235" s="23"/>
      <c r="G5235" s="24">
        <v>45</v>
      </c>
      <c r="H5235" s="24"/>
      <c r="I5235" s="25"/>
      <c r="J5235" s="25"/>
      <c r="K5235" s="19"/>
      <c r="L5235" s="20"/>
      <c r="M5235" s="10"/>
      <c r="N5235" s="10"/>
      <c r="O5235" s="10"/>
      <c r="P5235" s="10"/>
      <c r="Q5235" s="10"/>
      <c r="R5235" s="10"/>
      <c r="S5235" s="10"/>
      <c r="T5235" s="10"/>
      <c r="U5235" s="10"/>
      <c r="V5235" s="10"/>
      <c r="W5235" s="10"/>
      <c r="X5235" s="10"/>
      <c r="Y5235" s="10"/>
      <c r="Z5235" s="10"/>
      <c r="AA5235" s="10"/>
      <c r="AB5235" s="10"/>
      <c r="AC5235" s="10"/>
      <c r="AD5235" s="10"/>
      <c r="AE5235" s="10"/>
      <c r="AF5235" s="10"/>
      <c r="AG5235" s="10"/>
      <c r="AH5235" s="10"/>
    </row>
    <row r="5236" spans="1:34" outlineLevel="2">
      <c r="A5236" s="247"/>
      <c r="B5236" s="12" t="str">
        <f>IFERROR(VLOOKUP(D5236,'[1]Перечень товаров'!$A$2:$I9525,2,0),"")</f>
        <v>д298</v>
      </c>
      <c r="C5236" s="12" t="str">
        <f>IFERROR(VLOOKUP(D5236,'[1]Перечень товаров'!$A$2:$I9525,3,0),"")</f>
        <v>Дидактика</v>
      </c>
      <c r="D5236" s="248" t="s">
        <v>1530</v>
      </c>
      <c r="E5236" s="23" t="s">
        <v>534</v>
      </c>
      <c r="F5236" s="23"/>
      <c r="G5236" s="24">
        <v>30</v>
      </c>
      <c r="H5236" s="24"/>
      <c r="I5236" s="25"/>
      <c r="J5236" s="25"/>
      <c r="K5236" s="19"/>
      <c r="L5236" s="20"/>
      <c r="M5236" s="10"/>
      <c r="N5236" s="10"/>
      <c r="O5236" s="10"/>
      <c r="P5236" s="10"/>
      <c r="Q5236" s="10"/>
      <c r="R5236" s="10"/>
      <c r="S5236" s="10"/>
      <c r="T5236" s="10"/>
      <c r="U5236" s="10"/>
      <c r="V5236" s="10"/>
      <c r="W5236" s="10"/>
      <c r="X5236" s="10"/>
      <c r="Y5236" s="10"/>
      <c r="Z5236" s="10"/>
      <c r="AA5236" s="10"/>
      <c r="AB5236" s="10"/>
      <c r="AC5236" s="10"/>
      <c r="AD5236" s="10"/>
      <c r="AE5236" s="10"/>
      <c r="AF5236" s="10"/>
      <c r="AG5236" s="10"/>
      <c r="AH5236" s="10"/>
    </row>
    <row r="5237" spans="1:34" ht="31.5" outlineLevel="2">
      <c r="A5237" s="247"/>
      <c r="B5237" s="12" t="str">
        <f>IFERROR(VLOOKUP(D5237,'[1]Перечень товаров'!$A$2:$I9525,2,0),"")</f>
        <v>д297</v>
      </c>
      <c r="C5237" s="12" t="str">
        <f>IFERROR(VLOOKUP(D5237,'[1]Перечень товаров'!$A$2:$I9525,3,0),"")</f>
        <v>Дидактика</v>
      </c>
      <c r="D5237" s="248" t="s">
        <v>1531</v>
      </c>
      <c r="E5237" s="23" t="s">
        <v>534</v>
      </c>
      <c r="F5237" s="23"/>
      <c r="G5237" s="24">
        <v>50</v>
      </c>
      <c r="H5237" s="24"/>
      <c r="I5237" s="25"/>
      <c r="J5237" s="25"/>
      <c r="K5237" s="19"/>
      <c r="L5237" s="20"/>
      <c r="M5237" s="10"/>
      <c r="N5237" s="10"/>
      <c r="O5237" s="10"/>
      <c r="P5237" s="10"/>
      <c r="Q5237" s="10"/>
      <c r="R5237" s="10"/>
      <c r="S5237" s="10"/>
      <c r="T5237" s="10"/>
      <c r="U5237" s="10"/>
      <c r="V5237" s="10"/>
      <c r="W5237" s="10"/>
      <c r="X5237" s="10"/>
      <c r="Y5237" s="10"/>
      <c r="Z5237" s="10"/>
      <c r="AA5237" s="10"/>
      <c r="AB5237" s="10"/>
      <c r="AC5237" s="10"/>
      <c r="AD5237" s="10"/>
      <c r="AE5237" s="10"/>
      <c r="AF5237" s="10"/>
      <c r="AG5237" s="10"/>
      <c r="AH5237" s="10"/>
    </row>
    <row r="5238" spans="1:34" ht="31.5" outlineLevel="2">
      <c r="A5238" s="247"/>
      <c r="B5238" s="12" t="str">
        <f>IFERROR(VLOOKUP(D5238,'[1]Перечень товаров'!$A$2:$I9525,2,0),"")</f>
        <v>д296</v>
      </c>
      <c r="C5238" s="12" t="str">
        <f>IFERROR(VLOOKUP(D5238,'[1]Перечень товаров'!$A$2:$I9525,3,0),"")</f>
        <v>Дидактика</v>
      </c>
      <c r="D5238" s="248" t="s">
        <v>1532</v>
      </c>
      <c r="E5238" s="23" t="s">
        <v>534</v>
      </c>
      <c r="F5238" s="23"/>
      <c r="G5238" s="24">
        <v>50</v>
      </c>
      <c r="H5238" s="24"/>
      <c r="I5238" s="25"/>
      <c r="J5238" s="25"/>
      <c r="K5238" s="19"/>
      <c r="L5238" s="20"/>
      <c r="M5238" s="10"/>
      <c r="N5238" s="10"/>
      <c r="O5238" s="10"/>
      <c r="P5238" s="10"/>
      <c r="Q5238" s="10"/>
      <c r="R5238" s="10"/>
      <c r="S5238" s="10"/>
      <c r="T5238" s="10"/>
      <c r="U5238" s="10"/>
      <c r="V5238" s="10"/>
      <c r="W5238" s="10"/>
      <c r="X5238" s="10"/>
      <c r="Y5238" s="10"/>
      <c r="Z5238" s="10"/>
      <c r="AA5238" s="10"/>
      <c r="AB5238" s="10"/>
      <c r="AC5238" s="10"/>
      <c r="AD5238" s="10"/>
      <c r="AE5238" s="10"/>
      <c r="AF5238" s="10"/>
      <c r="AG5238" s="10"/>
      <c r="AH5238" s="10"/>
    </row>
    <row r="5239" spans="1:34" outlineLevel="2">
      <c r="A5239" s="247"/>
      <c r="B5239" s="12" t="str">
        <f>IFERROR(VLOOKUP(D5239,'[1]Перечень товаров'!$A$2:$I9525,2,0),"")</f>
        <v>д295</v>
      </c>
      <c r="C5239" s="12" t="str">
        <f>IFERROR(VLOOKUP(D5239,'[1]Перечень товаров'!$A$2:$I9525,3,0),"")</f>
        <v>Дидактика</v>
      </c>
      <c r="D5239" s="248" t="s">
        <v>1533</v>
      </c>
      <c r="E5239" s="23" t="s">
        <v>534</v>
      </c>
      <c r="F5239" s="23"/>
      <c r="G5239" s="24">
        <v>50</v>
      </c>
      <c r="H5239" s="24"/>
      <c r="I5239" s="25"/>
      <c r="J5239" s="25"/>
      <c r="K5239" s="19"/>
      <c r="L5239" s="20"/>
      <c r="M5239" s="10"/>
      <c r="N5239" s="10"/>
      <c r="O5239" s="10"/>
      <c r="P5239" s="10"/>
      <c r="Q5239" s="10"/>
      <c r="R5239" s="10"/>
      <c r="S5239" s="10"/>
      <c r="T5239" s="10"/>
      <c r="U5239" s="10"/>
      <c r="V5239" s="10"/>
      <c r="W5239" s="10"/>
      <c r="X5239" s="10"/>
      <c r="Y5239" s="10"/>
      <c r="Z5239" s="10"/>
      <c r="AA5239" s="10"/>
      <c r="AB5239" s="10"/>
      <c r="AC5239" s="10"/>
      <c r="AD5239" s="10"/>
      <c r="AE5239" s="10"/>
      <c r="AF5239" s="10"/>
      <c r="AG5239" s="10"/>
      <c r="AH5239" s="10"/>
    </row>
    <row r="5240" spans="1:34" outlineLevel="2">
      <c r="A5240" s="247"/>
      <c r="B5240" s="12" t="str">
        <f>IFERROR(VLOOKUP(D5240,'[1]Перечень товаров'!$A$2:$I9525,2,0),"")</f>
        <v>д294</v>
      </c>
      <c r="C5240" s="12" t="str">
        <f>IFERROR(VLOOKUP(D5240,'[1]Перечень товаров'!$A$2:$I9525,3,0),"")</f>
        <v>Дидактика</v>
      </c>
      <c r="D5240" s="248" t="s">
        <v>1534</v>
      </c>
      <c r="E5240" s="23" t="s">
        <v>534</v>
      </c>
      <c r="F5240" s="23"/>
      <c r="G5240" s="24">
        <v>20</v>
      </c>
      <c r="H5240" s="24"/>
      <c r="I5240" s="25"/>
      <c r="J5240" s="25"/>
      <c r="K5240" s="19"/>
      <c r="L5240" s="20"/>
      <c r="M5240" s="10"/>
      <c r="N5240" s="10"/>
      <c r="O5240" s="10"/>
      <c r="P5240" s="10"/>
      <c r="Q5240" s="10"/>
      <c r="R5240" s="10"/>
      <c r="S5240" s="10"/>
      <c r="T5240" s="10"/>
      <c r="U5240" s="10"/>
      <c r="V5240" s="10"/>
      <c r="W5240" s="10"/>
      <c r="X5240" s="10"/>
      <c r="Y5240" s="10"/>
      <c r="Z5240" s="10"/>
      <c r="AA5240" s="10"/>
      <c r="AB5240" s="10"/>
      <c r="AC5240" s="10"/>
      <c r="AD5240" s="10"/>
      <c r="AE5240" s="10"/>
      <c r="AF5240" s="10"/>
      <c r="AG5240" s="10"/>
      <c r="AH5240" s="10"/>
    </row>
    <row r="5241" spans="1:34" outlineLevel="2">
      <c r="A5241" s="247"/>
      <c r="B5241" s="12" t="str">
        <f>IFERROR(VLOOKUP(D5241,'[1]Перечень товаров'!$A$2:$I9525,2,0),"")</f>
        <v>д293</v>
      </c>
      <c r="C5241" s="12" t="str">
        <f>IFERROR(VLOOKUP(D5241,'[1]Перечень товаров'!$A$2:$I9525,3,0),"")</f>
        <v>Дидактика</v>
      </c>
      <c r="D5241" s="248" t="s">
        <v>1535</v>
      </c>
      <c r="E5241" s="23" t="s">
        <v>534</v>
      </c>
      <c r="F5241" s="23"/>
      <c r="G5241" s="24">
        <v>20</v>
      </c>
      <c r="H5241" s="24"/>
      <c r="I5241" s="25"/>
      <c r="J5241" s="25"/>
      <c r="K5241" s="19"/>
      <c r="L5241" s="20"/>
      <c r="M5241" s="10"/>
      <c r="N5241" s="10"/>
      <c r="O5241" s="10"/>
      <c r="P5241" s="10"/>
      <c r="Q5241" s="10"/>
      <c r="R5241" s="10"/>
      <c r="S5241" s="10"/>
      <c r="T5241" s="10"/>
      <c r="U5241" s="10"/>
      <c r="V5241" s="10"/>
      <c r="W5241" s="10"/>
      <c r="X5241" s="10"/>
      <c r="Y5241" s="10"/>
      <c r="Z5241" s="10"/>
      <c r="AA5241" s="10"/>
      <c r="AB5241" s="10"/>
      <c r="AC5241" s="10"/>
      <c r="AD5241" s="10"/>
      <c r="AE5241" s="10"/>
      <c r="AF5241" s="10"/>
      <c r="AG5241" s="10"/>
      <c r="AH5241" s="10"/>
    </row>
    <row r="5242" spans="1:34" ht="31.5" outlineLevel="2">
      <c r="A5242" s="247"/>
      <c r="B5242" s="12" t="str">
        <f>IFERROR(VLOOKUP(D5242,'[1]Перечень товаров'!$A$2:$I9525,2,0),"")</f>
        <v>д292</v>
      </c>
      <c r="C5242" s="12" t="str">
        <f>IFERROR(VLOOKUP(D5242,'[1]Перечень товаров'!$A$2:$I9525,3,0),"")</f>
        <v>Дидактика</v>
      </c>
      <c r="D5242" s="248" t="s">
        <v>1536</v>
      </c>
      <c r="E5242" s="23" t="s">
        <v>534</v>
      </c>
      <c r="F5242" s="23"/>
      <c r="G5242" s="24">
        <v>4</v>
      </c>
      <c r="H5242" s="24"/>
      <c r="I5242" s="25"/>
      <c r="J5242" s="25"/>
      <c r="K5242" s="19"/>
      <c r="L5242" s="20"/>
      <c r="M5242" s="10"/>
      <c r="N5242" s="10"/>
      <c r="O5242" s="10"/>
      <c r="P5242" s="10"/>
      <c r="Q5242" s="10"/>
      <c r="R5242" s="10"/>
      <c r="S5242" s="10"/>
      <c r="T5242" s="10"/>
      <c r="U5242" s="10"/>
      <c r="V5242" s="10"/>
      <c r="W5242" s="10"/>
      <c r="X5242" s="10"/>
      <c r="Y5242" s="10"/>
      <c r="Z5242" s="10"/>
      <c r="AA5242" s="10"/>
      <c r="AB5242" s="10"/>
      <c r="AC5242" s="10"/>
      <c r="AD5242" s="10"/>
      <c r="AE5242" s="10"/>
      <c r="AF5242" s="10"/>
      <c r="AG5242" s="10"/>
      <c r="AH5242" s="10"/>
    </row>
    <row r="5243" spans="1:34" ht="31.5" outlineLevel="2">
      <c r="A5243" s="247"/>
      <c r="B5243" s="12" t="str">
        <f>IFERROR(VLOOKUP(D5243,'[1]Перечень товаров'!$A$2:$I9525,2,0),"")</f>
        <v>д291</v>
      </c>
      <c r="C5243" s="12" t="str">
        <f>IFERROR(VLOOKUP(D5243,'[1]Перечень товаров'!$A$2:$I9525,3,0),"")</f>
        <v>Дидактика</v>
      </c>
      <c r="D5243" s="248" t="s">
        <v>1537</v>
      </c>
      <c r="E5243" s="23" t="s">
        <v>534</v>
      </c>
      <c r="F5243" s="23"/>
      <c r="G5243" s="24">
        <v>4</v>
      </c>
      <c r="H5243" s="24"/>
      <c r="I5243" s="25"/>
      <c r="J5243" s="25"/>
      <c r="K5243" s="19"/>
      <c r="L5243" s="20"/>
      <c r="M5243" s="10"/>
      <c r="N5243" s="10"/>
      <c r="O5243" s="10"/>
      <c r="P5243" s="10"/>
      <c r="Q5243" s="10"/>
      <c r="R5243" s="10"/>
      <c r="S5243" s="10"/>
      <c r="T5243" s="10"/>
      <c r="U5243" s="10"/>
      <c r="V5243" s="10"/>
      <c r="W5243" s="10"/>
      <c r="X5243" s="10"/>
      <c r="Y5243" s="10"/>
      <c r="Z5243" s="10"/>
      <c r="AA5243" s="10"/>
      <c r="AB5243" s="10"/>
      <c r="AC5243" s="10"/>
      <c r="AD5243" s="10"/>
      <c r="AE5243" s="10"/>
      <c r="AF5243" s="10"/>
      <c r="AG5243" s="10"/>
      <c r="AH5243" s="10"/>
    </row>
    <row r="5244" spans="1:34" outlineLevel="2">
      <c r="A5244" s="247"/>
      <c r="B5244" s="12" t="str">
        <f>IFERROR(VLOOKUP(D5244,'[1]Перечень товаров'!$A$2:$I9525,2,0),"")</f>
        <v>д290</v>
      </c>
      <c r="C5244" s="12" t="str">
        <f>IFERROR(VLOOKUP(D5244,'[1]Перечень товаров'!$A$2:$I9525,3,0),"")</f>
        <v>Дидактика</v>
      </c>
      <c r="D5244" s="248" t="s">
        <v>1538</v>
      </c>
      <c r="E5244" s="23" t="s">
        <v>534</v>
      </c>
      <c r="F5244" s="23"/>
      <c r="G5244" s="24">
        <v>50</v>
      </c>
      <c r="H5244" s="24"/>
      <c r="I5244" s="25"/>
      <c r="J5244" s="25"/>
      <c r="K5244" s="19"/>
      <c r="L5244" s="20"/>
      <c r="M5244" s="10"/>
      <c r="N5244" s="10"/>
      <c r="O5244" s="10"/>
      <c r="P5244" s="10"/>
      <c r="Q5244" s="10"/>
      <c r="R5244" s="10"/>
      <c r="S5244" s="10"/>
      <c r="T5244" s="10"/>
      <c r="U5244" s="10"/>
      <c r="V5244" s="10"/>
      <c r="W5244" s="10"/>
      <c r="X5244" s="10"/>
      <c r="Y5244" s="10"/>
      <c r="Z5244" s="10"/>
      <c r="AA5244" s="10"/>
      <c r="AB5244" s="10"/>
      <c r="AC5244" s="10"/>
      <c r="AD5244" s="10"/>
      <c r="AE5244" s="10"/>
      <c r="AF5244" s="10"/>
      <c r="AG5244" s="10"/>
      <c r="AH5244" s="10"/>
    </row>
    <row r="5245" spans="1:34" outlineLevel="2">
      <c r="A5245" s="247"/>
      <c r="B5245" s="12" t="str">
        <f>IFERROR(VLOOKUP(D5245,'[1]Перечень товаров'!$A$2:$I9525,2,0),"")</f>
        <v>д289</v>
      </c>
      <c r="C5245" s="12" t="str">
        <f>IFERROR(VLOOKUP(D5245,'[1]Перечень товаров'!$A$2:$I9525,3,0),"")</f>
        <v>Дидактика</v>
      </c>
      <c r="D5245" s="248" t="s">
        <v>1539</v>
      </c>
      <c r="E5245" s="23" t="s">
        <v>534</v>
      </c>
      <c r="F5245" s="23"/>
      <c r="G5245" s="24">
        <v>5</v>
      </c>
      <c r="H5245" s="24"/>
      <c r="I5245" s="25"/>
      <c r="J5245" s="25"/>
      <c r="K5245" s="19"/>
      <c r="L5245" s="20"/>
      <c r="M5245" s="10"/>
      <c r="N5245" s="10"/>
      <c r="O5245" s="10"/>
      <c r="P5245" s="10"/>
      <c r="Q5245" s="10"/>
      <c r="R5245" s="10"/>
      <c r="S5245" s="10"/>
      <c r="T5245" s="10"/>
      <c r="U5245" s="10"/>
      <c r="V5245" s="10"/>
      <c r="W5245" s="10"/>
      <c r="X5245" s="10"/>
      <c r="Y5245" s="10"/>
      <c r="Z5245" s="10"/>
      <c r="AA5245" s="10"/>
      <c r="AB5245" s="10"/>
      <c r="AC5245" s="10"/>
      <c r="AD5245" s="10"/>
      <c r="AE5245" s="10"/>
      <c r="AF5245" s="10"/>
      <c r="AG5245" s="10"/>
      <c r="AH5245" s="10"/>
    </row>
    <row r="5246" spans="1:34" outlineLevel="2">
      <c r="A5246" s="247"/>
      <c r="B5246" s="12" t="str">
        <f>IFERROR(VLOOKUP(D5246,'[1]Перечень товаров'!$A$2:$I9525,2,0),"")</f>
        <v>д288</v>
      </c>
      <c r="C5246" s="12" t="str">
        <f>IFERROR(VLOOKUP(D5246,'[1]Перечень товаров'!$A$2:$I9525,3,0),"")</f>
        <v>Дидактика</v>
      </c>
      <c r="D5246" s="248" t="s">
        <v>1540</v>
      </c>
      <c r="E5246" s="23" t="s">
        <v>1489</v>
      </c>
      <c r="F5246" s="23"/>
      <c r="G5246" s="24">
        <v>16</v>
      </c>
      <c r="H5246" s="24"/>
      <c r="I5246" s="25"/>
      <c r="J5246" s="25"/>
      <c r="K5246" s="19"/>
      <c r="L5246" s="20"/>
      <c r="M5246" s="10"/>
      <c r="N5246" s="10"/>
      <c r="O5246" s="10"/>
      <c r="P5246" s="10"/>
      <c r="Q5246" s="10"/>
      <c r="R5246" s="10"/>
      <c r="S5246" s="10"/>
      <c r="T5246" s="10"/>
      <c r="U5246" s="10"/>
      <c r="V5246" s="10"/>
      <c r="W5246" s="10"/>
      <c r="X5246" s="10"/>
      <c r="Y5246" s="10"/>
      <c r="Z5246" s="10"/>
      <c r="AA5246" s="10"/>
      <c r="AB5246" s="10"/>
      <c r="AC5246" s="10"/>
      <c r="AD5246" s="10"/>
      <c r="AE5246" s="10"/>
      <c r="AF5246" s="10"/>
      <c r="AG5246" s="10"/>
      <c r="AH5246" s="10"/>
    </row>
    <row r="5247" spans="1:34" outlineLevel="2">
      <c r="A5247" s="247"/>
      <c r="B5247" s="12" t="str">
        <f>IFERROR(VLOOKUP(D5247,'[1]Перечень товаров'!$A$2:$I9525,2,0),"")</f>
        <v>д287</v>
      </c>
      <c r="C5247" s="12" t="str">
        <f>IFERROR(VLOOKUP(D5247,'[1]Перечень товаров'!$A$2:$I9525,3,0),"")</f>
        <v>Дидактика</v>
      </c>
      <c r="D5247" s="248" t="s">
        <v>1541</v>
      </c>
      <c r="E5247" s="23" t="s">
        <v>863</v>
      </c>
      <c r="F5247" s="23"/>
      <c r="G5247" s="24">
        <v>6</v>
      </c>
      <c r="H5247" s="24"/>
      <c r="I5247" s="25"/>
      <c r="J5247" s="25"/>
      <c r="K5247" s="19"/>
      <c r="L5247" s="20"/>
      <c r="M5247" s="10"/>
      <c r="N5247" s="10"/>
      <c r="O5247" s="10"/>
      <c r="P5247" s="10"/>
      <c r="Q5247" s="10"/>
      <c r="R5247" s="10"/>
      <c r="S5247" s="10"/>
      <c r="T5247" s="10"/>
      <c r="U5247" s="10"/>
      <c r="V5247" s="10"/>
      <c r="W5247" s="10"/>
      <c r="X5247" s="10"/>
      <c r="Y5247" s="10"/>
      <c r="Z5247" s="10"/>
      <c r="AA5247" s="10"/>
      <c r="AB5247" s="10"/>
      <c r="AC5247" s="10"/>
      <c r="AD5247" s="10"/>
      <c r="AE5247" s="10"/>
      <c r="AF5247" s="10"/>
      <c r="AG5247" s="10"/>
      <c r="AH5247" s="10"/>
    </row>
    <row r="5248" spans="1:34" ht="31.5" outlineLevel="2">
      <c r="A5248" s="247"/>
      <c r="B5248" s="12" t="str">
        <f>IFERROR(VLOOKUP(D5248,'[1]Перечень товаров'!$A$2:$I9525,2,0),"")</f>
        <v>д286</v>
      </c>
      <c r="C5248" s="12" t="str">
        <f>IFERROR(VLOOKUP(D5248,'[1]Перечень товаров'!$A$2:$I9525,3,0),"")</f>
        <v>Дидактика</v>
      </c>
      <c r="D5248" s="248" t="s">
        <v>1542</v>
      </c>
      <c r="E5248" s="23" t="s">
        <v>534</v>
      </c>
      <c r="F5248" s="23"/>
      <c r="G5248" s="24">
        <v>2</v>
      </c>
      <c r="H5248" s="24"/>
      <c r="I5248" s="25"/>
      <c r="J5248" s="25"/>
      <c r="K5248" s="19"/>
      <c r="L5248" s="20"/>
      <c r="M5248" s="10"/>
      <c r="N5248" s="10"/>
      <c r="O5248" s="10"/>
      <c r="P5248" s="10"/>
      <c r="Q5248" s="10"/>
      <c r="R5248" s="10"/>
      <c r="S5248" s="10"/>
      <c r="T5248" s="10"/>
      <c r="U5248" s="10"/>
      <c r="V5248" s="10"/>
      <c r="W5248" s="10"/>
      <c r="X5248" s="10"/>
      <c r="Y5248" s="10"/>
      <c r="Z5248" s="10"/>
      <c r="AA5248" s="10"/>
      <c r="AB5248" s="10"/>
      <c r="AC5248" s="10"/>
      <c r="AD5248" s="10"/>
      <c r="AE5248" s="10"/>
      <c r="AF5248" s="10"/>
      <c r="AG5248" s="10"/>
      <c r="AH5248" s="10"/>
    </row>
    <row r="5249" spans="1:34" outlineLevel="2">
      <c r="A5249" s="247"/>
      <c r="B5249" s="12" t="str">
        <f>IFERROR(VLOOKUP(D5249,'[1]Перечень товаров'!$A$2:$I9525,2,0),"")</f>
        <v>д285</v>
      </c>
      <c r="C5249" s="12" t="str">
        <f>IFERROR(VLOOKUP(D5249,'[1]Перечень товаров'!$A$2:$I9525,3,0),"")</f>
        <v>Дидактика</v>
      </c>
      <c r="D5249" s="248" t="s">
        <v>1543</v>
      </c>
      <c r="E5249" s="23" t="s">
        <v>534</v>
      </c>
      <c r="F5249" s="23"/>
      <c r="G5249" s="24">
        <v>6</v>
      </c>
      <c r="H5249" s="24"/>
      <c r="I5249" s="25"/>
      <c r="J5249" s="25"/>
      <c r="K5249" s="19"/>
      <c r="L5249" s="20"/>
      <c r="M5249" s="10"/>
      <c r="N5249" s="10"/>
      <c r="O5249" s="10"/>
      <c r="P5249" s="10"/>
      <c r="Q5249" s="10"/>
      <c r="R5249" s="10"/>
      <c r="S5249" s="10"/>
      <c r="T5249" s="10"/>
      <c r="U5249" s="10"/>
      <c r="V5249" s="10"/>
      <c r="W5249" s="10"/>
      <c r="X5249" s="10"/>
      <c r="Y5249" s="10"/>
      <c r="Z5249" s="10"/>
      <c r="AA5249" s="10"/>
      <c r="AB5249" s="10"/>
      <c r="AC5249" s="10"/>
      <c r="AD5249" s="10"/>
      <c r="AE5249" s="10"/>
      <c r="AF5249" s="10"/>
      <c r="AG5249" s="10"/>
      <c r="AH5249" s="10"/>
    </row>
    <row r="5250" spans="1:34" ht="31.5" outlineLevel="2">
      <c r="A5250" s="247"/>
      <c r="B5250" s="12" t="str">
        <f>IFERROR(VLOOKUP(D5250,'[1]Перечень товаров'!$A$2:$I9525,2,0),"")</f>
        <v>д284</v>
      </c>
      <c r="C5250" s="12" t="str">
        <f>IFERROR(VLOOKUP(D5250,'[1]Перечень товаров'!$A$2:$I9525,3,0),"")</f>
        <v>Дидактика</v>
      </c>
      <c r="D5250" s="248" t="s">
        <v>1544</v>
      </c>
      <c r="E5250" s="23" t="s">
        <v>534</v>
      </c>
      <c r="F5250" s="23"/>
      <c r="G5250" s="24">
        <v>80</v>
      </c>
      <c r="H5250" s="24"/>
      <c r="I5250" s="25"/>
      <c r="J5250" s="25"/>
      <c r="K5250" s="19"/>
      <c r="L5250" s="20"/>
      <c r="M5250" s="10"/>
      <c r="N5250" s="10"/>
      <c r="O5250" s="10"/>
      <c r="P5250" s="10"/>
      <c r="Q5250" s="10"/>
      <c r="R5250" s="10"/>
      <c r="S5250" s="10"/>
      <c r="T5250" s="10"/>
      <c r="U5250" s="10"/>
      <c r="V5250" s="10"/>
      <c r="W5250" s="10"/>
      <c r="X5250" s="10"/>
      <c r="Y5250" s="10"/>
      <c r="Z5250" s="10"/>
      <c r="AA5250" s="10"/>
      <c r="AB5250" s="10"/>
      <c r="AC5250" s="10"/>
      <c r="AD5250" s="10"/>
      <c r="AE5250" s="10"/>
      <c r="AF5250" s="10"/>
      <c r="AG5250" s="10"/>
      <c r="AH5250" s="10"/>
    </row>
    <row r="5251" spans="1:34" outlineLevel="2">
      <c r="A5251" s="247"/>
      <c r="B5251" s="12" t="str">
        <f>IFERROR(VLOOKUP(D5251,'[1]Перечень товаров'!$A$2:$I9525,2,0),"")</f>
        <v>д283</v>
      </c>
      <c r="C5251" s="12" t="str">
        <f>IFERROR(VLOOKUP(D5251,'[1]Перечень товаров'!$A$2:$I9525,3,0),"")</f>
        <v>Дидактика</v>
      </c>
      <c r="D5251" s="248" t="s">
        <v>1545</v>
      </c>
      <c r="E5251" s="23" t="s">
        <v>534</v>
      </c>
      <c r="F5251" s="23"/>
      <c r="G5251" s="24">
        <v>30</v>
      </c>
      <c r="H5251" s="24"/>
      <c r="I5251" s="25"/>
      <c r="J5251" s="25"/>
      <c r="K5251" s="19"/>
      <c r="L5251" s="20"/>
      <c r="M5251" s="10"/>
      <c r="N5251" s="10"/>
      <c r="O5251" s="10"/>
      <c r="P5251" s="10"/>
      <c r="Q5251" s="10"/>
      <c r="R5251" s="10"/>
      <c r="S5251" s="10"/>
      <c r="T5251" s="10"/>
      <c r="U5251" s="10"/>
      <c r="V5251" s="10"/>
      <c r="W5251" s="10"/>
      <c r="X5251" s="10"/>
      <c r="Y5251" s="10"/>
      <c r="Z5251" s="10"/>
      <c r="AA5251" s="10"/>
      <c r="AB5251" s="10"/>
      <c r="AC5251" s="10"/>
      <c r="AD5251" s="10"/>
      <c r="AE5251" s="10"/>
      <c r="AF5251" s="10"/>
      <c r="AG5251" s="10"/>
      <c r="AH5251" s="10"/>
    </row>
    <row r="5252" spans="1:34" outlineLevel="2">
      <c r="A5252" s="247"/>
      <c r="B5252" s="12" t="str">
        <f>IFERROR(VLOOKUP(D5252,'[1]Перечень товаров'!$A$2:$I9525,2,0),"")</f>
        <v>д282</v>
      </c>
      <c r="C5252" s="12" t="str">
        <f>IFERROR(VLOOKUP(D5252,'[1]Перечень товаров'!$A$2:$I9525,3,0),"")</f>
        <v>Дидактика</v>
      </c>
      <c r="D5252" s="248" t="s">
        <v>1546</v>
      </c>
      <c r="E5252" s="23" t="s">
        <v>534</v>
      </c>
      <c r="F5252" s="23"/>
      <c r="G5252" s="24">
        <v>12</v>
      </c>
      <c r="H5252" s="24"/>
      <c r="I5252" s="25"/>
      <c r="J5252" s="25"/>
      <c r="K5252" s="19"/>
      <c r="L5252" s="20"/>
      <c r="M5252" s="10"/>
      <c r="N5252" s="10"/>
      <c r="O5252" s="10"/>
      <c r="P5252" s="10"/>
      <c r="Q5252" s="10"/>
      <c r="R5252" s="10"/>
      <c r="S5252" s="10"/>
      <c r="T5252" s="10"/>
      <c r="U5252" s="10"/>
      <c r="V5252" s="10"/>
      <c r="W5252" s="10"/>
      <c r="X5252" s="10"/>
      <c r="Y5252" s="10"/>
      <c r="Z5252" s="10"/>
      <c r="AA5252" s="10"/>
      <c r="AB5252" s="10"/>
      <c r="AC5252" s="10"/>
      <c r="AD5252" s="10"/>
      <c r="AE5252" s="10"/>
      <c r="AF5252" s="10"/>
      <c r="AG5252" s="10"/>
      <c r="AH5252" s="10"/>
    </row>
    <row r="5253" spans="1:34" outlineLevel="2">
      <c r="A5253" s="247"/>
      <c r="B5253" s="12" t="str">
        <f>IFERROR(VLOOKUP(D5253,'[1]Перечень товаров'!$A$2:$I9525,2,0),"")</f>
        <v>д281</v>
      </c>
      <c r="C5253" s="12" t="str">
        <f>IFERROR(VLOOKUP(D5253,'[1]Перечень товаров'!$A$2:$I9525,3,0),"")</f>
        <v>Дидактика</v>
      </c>
      <c r="D5253" s="248" t="s">
        <v>1547</v>
      </c>
      <c r="E5253" s="23" t="s">
        <v>534</v>
      </c>
      <c r="F5253" s="23"/>
      <c r="G5253" s="24">
        <v>20</v>
      </c>
      <c r="H5253" s="24"/>
      <c r="I5253" s="25"/>
      <c r="J5253" s="25"/>
      <c r="K5253" s="19"/>
      <c r="L5253" s="20"/>
      <c r="M5253" s="10"/>
      <c r="N5253" s="10"/>
      <c r="O5253" s="10"/>
      <c r="P5253" s="10"/>
      <c r="Q5253" s="10"/>
      <c r="R5253" s="10"/>
      <c r="S5253" s="10"/>
      <c r="T5253" s="10"/>
      <c r="U5253" s="10"/>
      <c r="V5253" s="10"/>
      <c r="W5253" s="10"/>
      <c r="X5253" s="10"/>
      <c r="Y5253" s="10"/>
      <c r="Z5253" s="10"/>
      <c r="AA5253" s="10"/>
      <c r="AB5253" s="10"/>
      <c r="AC5253" s="10"/>
      <c r="AD5253" s="10"/>
      <c r="AE5253" s="10"/>
      <c r="AF5253" s="10"/>
      <c r="AG5253" s="10"/>
      <c r="AH5253" s="10"/>
    </row>
    <row r="5254" spans="1:34" outlineLevel="2">
      <c r="A5254" s="247"/>
      <c r="B5254" s="12" t="str">
        <f>IFERROR(VLOOKUP(D5254,'[1]Перечень товаров'!$A$2:$I9525,2,0),"")</f>
        <v>д280</v>
      </c>
      <c r="C5254" s="12" t="str">
        <f>IFERROR(VLOOKUP(D5254,'[1]Перечень товаров'!$A$2:$I9525,3,0),"")</f>
        <v>Дидактика</v>
      </c>
      <c r="D5254" s="248" t="s">
        <v>1548</v>
      </c>
      <c r="E5254" s="23" t="s">
        <v>534</v>
      </c>
      <c r="F5254" s="23"/>
      <c r="G5254" s="24">
        <v>1</v>
      </c>
      <c r="H5254" s="24"/>
      <c r="I5254" s="25"/>
      <c r="J5254" s="25"/>
      <c r="K5254" s="19"/>
      <c r="L5254" s="20"/>
      <c r="M5254" s="10"/>
      <c r="N5254" s="10"/>
      <c r="O5254" s="10"/>
      <c r="P5254" s="10"/>
      <c r="Q5254" s="10"/>
      <c r="R5254" s="10"/>
      <c r="S5254" s="10"/>
      <c r="T5254" s="10"/>
      <c r="U5254" s="10"/>
      <c r="V5254" s="10"/>
      <c r="W5254" s="10"/>
      <c r="X5254" s="10"/>
      <c r="Y5254" s="10"/>
      <c r="Z5254" s="10"/>
      <c r="AA5254" s="10"/>
      <c r="AB5254" s="10"/>
      <c r="AC5254" s="10"/>
      <c r="AD5254" s="10"/>
      <c r="AE5254" s="10"/>
      <c r="AF5254" s="10"/>
      <c r="AG5254" s="10"/>
      <c r="AH5254" s="10"/>
    </row>
    <row r="5255" spans="1:34" outlineLevel="2">
      <c r="A5255" s="247"/>
      <c r="B5255" s="12" t="str">
        <f>IFERROR(VLOOKUP(D5255,'[1]Перечень товаров'!$A$2:$I9525,2,0),"")</f>
        <v>д279</v>
      </c>
      <c r="C5255" s="12" t="str">
        <f>IFERROR(VLOOKUP(D5255,'[1]Перечень товаров'!$A$2:$I9525,3,0),"")</f>
        <v>Дидактика</v>
      </c>
      <c r="D5255" s="248" t="s">
        <v>1549</v>
      </c>
      <c r="E5255" s="23" t="s">
        <v>1550</v>
      </c>
      <c r="F5255" s="23"/>
      <c r="G5255" s="24">
        <v>15</v>
      </c>
      <c r="H5255" s="24"/>
      <c r="I5255" s="25"/>
      <c r="J5255" s="25"/>
      <c r="K5255" s="19"/>
      <c r="L5255" s="20"/>
      <c r="M5255" s="10"/>
      <c r="N5255" s="10"/>
      <c r="O5255" s="10"/>
      <c r="P5255" s="10"/>
      <c r="Q5255" s="10"/>
      <c r="R5255" s="10"/>
      <c r="S5255" s="10"/>
      <c r="T5255" s="10"/>
      <c r="U5255" s="10"/>
      <c r="V5255" s="10"/>
      <c r="W5255" s="10"/>
      <c r="X5255" s="10"/>
      <c r="Y5255" s="10"/>
      <c r="Z5255" s="10"/>
      <c r="AA5255" s="10"/>
      <c r="AB5255" s="10"/>
      <c r="AC5255" s="10"/>
      <c r="AD5255" s="10"/>
      <c r="AE5255" s="10"/>
      <c r="AF5255" s="10"/>
      <c r="AG5255" s="10"/>
      <c r="AH5255" s="10"/>
    </row>
    <row r="5256" spans="1:34" outlineLevel="2">
      <c r="A5256" s="247"/>
      <c r="B5256" s="12" t="str">
        <f>IFERROR(VLOOKUP(D5256,'[1]Перечень товаров'!$A$2:$I9525,2,0),"")</f>
        <v>д278</v>
      </c>
      <c r="C5256" s="12" t="str">
        <f>IFERROR(VLOOKUP(D5256,'[1]Перечень товаров'!$A$2:$I9525,3,0),"")</f>
        <v>Дидактика</v>
      </c>
      <c r="D5256" s="248" t="s">
        <v>1551</v>
      </c>
      <c r="E5256" s="23" t="s">
        <v>1550</v>
      </c>
      <c r="F5256" s="23"/>
      <c r="G5256" s="24">
        <v>15</v>
      </c>
      <c r="H5256" s="24"/>
      <c r="I5256" s="25"/>
      <c r="J5256" s="25"/>
      <c r="K5256" s="19"/>
      <c r="L5256" s="20"/>
      <c r="M5256" s="10"/>
      <c r="N5256" s="10"/>
      <c r="O5256" s="10"/>
      <c r="P5256" s="10"/>
      <c r="Q5256" s="10"/>
      <c r="R5256" s="10"/>
      <c r="S5256" s="10"/>
      <c r="T5256" s="10"/>
      <c r="U5256" s="10"/>
      <c r="V5256" s="10"/>
      <c r="W5256" s="10"/>
      <c r="X5256" s="10"/>
      <c r="Y5256" s="10"/>
      <c r="Z5256" s="10"/>
      <c r="AA5256" s="10"/>
      <c r="AB5256" s="10"/>
      <c r="AC5256" s="10"/>
      <c r="AD5256" s="10"/>
      <c r="AE5256" s="10"/>
      <c r="AF5256" s="10"/>
      <c r="AG5256" s="10"/>
      <c r="AH5256" s="10"/>
    </row>
    <row r="5257" spans="1:34" outlineLevel="2">
      <c r="A5257" s="247"/>
      <c r="B5257" s="12" t="str">
        <f>IFERROR(VLOOKUP(D5257,'[1]Перечень товаров'!$A$2:$I9525,2,0),"")</f>
        <v>д274</v>
      </c>
      <c r="C5257" s="12" t="str">
        <f>IFERROR(VLOOKUP(D5257,'[1]Перечень товаров'!$A$2:$I9525,3,0),"")</f>
        <v>Дидактика</v>
      </c>
      <c r="D5257" s="248" t="s">
        <v>1552</v>
      </c>
      <c r="E5257" s="23" t="s">
        <v>534</v>
      </c>
      <c r="F5257" s="23"/>
      <c r="G5257" s="24">
        <v>20</v>
      </c>
      <c r="H5257" s="24"/>
      <c r="I5257" s="25"/>
      <c r="J5257" s="25"/>
      <c r="K5257" s="19"/>
      <c r="L5257" s="20"/>
      <c r="M5257" s="10"/>
      <c r="N5257" s="10"/>
      <c r="O5257" s="10"/>
      <c r="P5257" s="10"/>
      <c r="Q5257" s="10"/>
      <c r="R5257" s="10"/>
      <c r="S5257" s="10"/>
      <c r="T5257" s="10"/>
      <c r="U5257" s="10"/>
      <c r="V5257" s="10"/>
      <c r="W5257" s="10"/>
      <c r="X5257" s="10"/>
      <c r="Y5257" s="10"/>
      <c r="Z5257" s="10"/>
      <c r="AA5257" s="10"/>
      <c r="AB5257" s="10"/>
      <c r="AC5257" s="10"/>
      <c r="AD5257" s="10"/>
      <c r="AE5257" s="10"/>
      <c r="AF5257" s="10"/>
      <c r="AG5257" s="10"/>
      <c r="AH5257" s="10"/>
    </row>
    <row r="5258" spans="1:34" outlineLevel="2">
      <c r="A5258" s="247"/>
      <c r="B5258" s="12" t="str">
        <f>IFERROR(VLOOKUP(D5258,'[1]Перечень товаров'!$A$2:$I9525,2,0),"")</f>
        <v>д273</v>
      </c>
      <c r="C5258" s="12" t="str">
        <f>IFERROR(VLOOKUP(D5258,'[1]Перечень товаров'!$A$2:$I9525,3,0),"")</f>
        <v>Дидактика</v>
      </c>
      <c r="D5258" s="248" t="s">
        <v>1553</v>
      </c>
      <c r="E5258" s="23" t="s">
        <v>534</v>
      </c>
      <c r="F5258" s="23"/>
      <c r="G5258" s="24">
        <v>20</v>
      </c>
      <c r="H5258" s="24"/>
      <c r="I5258" s="25"/>
      <c r="J5258" s="25"/>
      <c r="K5258" s="19"/>
      <c r="L5258" s="20"/>
      <c r="M5258" s="10"/>
      <c r="N5258" s="10"/>
      <c r="O5258" s="10"/>
      <c r="P5258" s="10"/>
      <c r="Q5258" s="10"/>
      <c r="R5258" s="10"/>
      <c r="S5258" s="10"/>
      <c r="T5258" s="10"/>
      <c r="U5258" s="10"/>
      <c r="V5258" s="10"/>
      <c r="W5258" s="10"/>
      <c r="X5258" s="10"/>
      <c r="Y5258" s="10"/>
      <c r="Z5258" s="10"/>
      <c r="AA5258" s="10"/>
      <c r="AB5258" s="10"/>
      <c r="AC5258" s="10"/>
      <c r="AD5258" s="10"/>
      <c r="AE5258" s="10"/>
      <c r="AF5258" s="10"/>
      <c r="AG5258" s="10"/>
      <c r="AH5258" s="10"/>
    </row>
    <row r="5259" spans="1:34" outlineLevel="2">
      <c r="A5259" s="247"/>
      <c r="B5259" s="12" t="str">
        <f>IFERROR(VLOOKUP(D5259,'[1]Перечень товаров'!$A$2:$I9525,2,0),"")</f>
        <v>д272</v>
      </c>
      <c r="C5259" s="12" t="str">
        <f>IFERROR(VLOOKUP(D5259,'[1]Перечень товаров'!$A$2:$I9525,3,0),"")</f>
        <v>Дидактика</v>
      </c>
      <c r="D5259" s="248" t="s">
        <v>1554</v>
      </c>
      <c r="E5259" s="23" t="s">
        <v>534</v>
      </c>
      <c r="F5259" s="23"/>
      <c r="G5259" s="24">
        <v>20</v>
      </c>
      <c r="H5259" s="24"/>
      <c r="I5259" s="25"/>
      <c r="J5259" s="25"/>
      <c r="K5259" s="19"/>
      <c r="L5259" s="20"/>
      <c r="M5259" s="10"/>
      <c r="N5259" s="10"/>
      <c r="O5259" s="10"/>
      <c r="P5259" s="10"/>
      <c r="Q5259" s="10"/>
      <c r="R5259" s="10"/>
      <c r="S5259" s="10"/>
      <c r="T5259" s="10"/>
      <c r="U5259" s="10"/>
      <c r="V5259" s="10"/>
      <c r="W5259" s="10"/>
      <c r="X5259" s="10"/>
      <c r="Y5259" s="10"/>
      <c r="Z5259" s="10"/>
      <c r="AA5259" s="10"/>
      <c r="AB5259" s="10"/>
      <c r="AC5259" s="10"/>
      <c r="AD5259" s="10"/>
      <c r="AE5259" s="10"/>
      <c r="AF5259" s="10"/>
      <c r="AG5259" s="10"/>
      <c r="AH5259" s="10"/>
    </row>
    <row r="5260" spans="1:34" outlineLevel="2">
      <c r="A5260" s="150"/>
      <c r="B5260" s="12" t="str">
        <f>IFERROR(VLOOKUP(D5260,'[1]Перечень товаров'!$A$2:$I9525,2,0),"")</f>
        <v>д271</v>
      </c>
      <c r="C5260" s="12" t="str">
        <f>IFERROR(VLOOKUP(D5260,'[1]Перечень товаров'!$A$2:$I9525,3,0),"")</f>
        <v>Дидактика</v>
      </c>
      <c r="D5260" s="250" t="s">
        <v>1555</v>
      </c>
      <c r="E5260" s="23" t="s">
        <v>534</v>
      </c>
      <c r="F5260" s="23"/>
      <c r="G5260" s="24">
        <v>6</v>
      </c>
      <c r="H5260" s="24"/>
      <c r="I5260" s="25"/>
      <c r="J5260" s="25"/>
      <c r="K5260" s="19"/>
      <c r="L5260" s="20"/>
      <c r="M5260" s="10"/>
      <c r="N5260" s="10"/>
      <c r="O5260" s="10"/>
      <c r="P5260" s="10"/>
      <c r="Q5260" s="10"/>
      <c r="R5260" s="10"/>
      <c r="S5260" s="10"/>
      <c r="T5260" s="10"/>
      <c r="U5260" s="10"/>
      <c r="V5260" s="10"/>
      <c r="W5260" s="10"/>
      <c r="X5260" s="10"/>
      <c r="Y5260" s="10"/>
      <c r="Z5260" s="10"/>
      <c r="AA5260" s="10"/>
      <c r="AB5260" s="10"/>
      <c r="AC5260" s="10"/>
      <c r="AD5260" s="10"/>
      <c r="AE5260" s="10"/>
      <c r="AF5260" s="10"/>
      <c r="AG5260" s="10"/>
      <c r="AH5260" s="10"/>
    </row>
    <row r="5261" spans="1:34" outlineLevel="2">
      <c r="A5261" s="247"/>
      <c r="B5261" s="12" t="str">
        <f>IFERROR(VLOOKUP(D5261,'[1]Перечень товаров'!$A$2:$I9525,2,0),"")</f>
        <v>д270</v>
      </c>
      <c r="C5261" s="12" t="str">
        <f>IFERROR(VLOOKUP(D5261,'[1]Перечень товаров'!$A$2:$I9525,3,0),"")</f>
        <v>Дидактика</v>
      </c>
      <c r="D5261" s="248" t="s">
        <v>1556</v>
      </c>
      <c r="E5261" s="23" t="s">
        <v>534</v>
      </c>
      <c r="F5261" s="23"/>
      <c r="G5261" s="24">
        <v>10</v>
      </c>
      <c r="H5261" s="24"/>
      <c r="I5261" s="25"/>
      <c r="J5261" s="25"/>
      <c r="K5261" s="19"/>
      <c r="L5261" s="20"/>
      <c r="M5261" s="10"/>
      <c r="N5261" s="10"/>
      <c r="O5261" s="10"/>
      <c r="P5261" s="10"/>
      <c r="Q5261" s="10"/>
      <c r="R5261" s="10"/>
      <c r="S5261" s="10"/>
      <c r="T5261" s="10"/>
      <c r="U5261" s="10"/>
      <c r="V5261" s="10"/>
      <c r="W5261" s="10"/>
      <c r="X5261" s="10"/>
      <c r="Y5261" s="10"/>
      <c r="Z5261" s="10"/>
      <c r="AA5261" s="10"/>
      <c r="AB5261" s="10"/>
      <c r="AC5261" s="10"/>
      <c r="AD5261" s="10"/>
      <c r="AE5261" s="10"/>
      <c r="AF5261" s="10"/>
      <c r="AG5261" s="10"/>
      <c r="AH5261" s="10"/>
    </row>
    <row r="5262" spans="1:34" outlineLevel="2">
      <c r="A5262" s="247"/>
      <c r="B5262" s="12" t="str">
        <f>IFERROR(VLOOKUP(D5262,'[1]Перечень товаров'!$A$2:$I9525,2,0),"")</f>
        <v>д269</v>
      </c>
      <c r="C5262" s="12" t="str">
        <f>IFERROR(VLOOKUP(D5262,'[1]Перечень товаров'!$A$2:$I9525,3,0),"")</f>
        <v>Дидактика</v>
      </c>
      <c r="D5262" s="248" t="s">
        <v>1557</v>
      </c>
      <c r="E5262" s="23" t="s">
        <v>534</v>
      </c>
      <c r="F5262" s="23"/>
      <c r="G5262" s="24">
        <v>5</v>
      </c>
      <c r="H5262" s="24"/>
      <c r="I5262" s="25"/>
      <c r="J5262" s="25"/>
      <c r="K5262" s="19"/>
      <c r="L5262" s="20"/>
      <c r="M5262" s="10"/>
      <c r="N5262" s="10"/>
      <c r="O5262" s="10"/>
      <c r="P5262" s="10"/>
      <c r="Q5262" s="10"/>
      <c r="R5262" s="10"/>
      <c r="S5262" s="10"/>
      <c r="T5262" s="10"/>
      <c r="U5262" s="10"/>
      <c r="V5262" s="10"/>
      <c r="W5262" s="10"/>
      <c r="X5262" s="10"/>
      <c r="Y5262" s="10"/>
      <c r="Z5262" s="10"/>
      <c r="AA5262" s="10"/>
      <c r="AB5262" s="10"/>
      <c r="AC5262" s="10"/>
      <c r="AD5262" s="10"/>
      <c r="AE5262" s="10"/>
      <c r="AF5262" s="10"/>
      <c r="AG5262" s="10"/>
      <c r="AH5262" s="10"/>
    </row>
    <row r="5263" spans="1:34" outlineLevel="2">
      <c r="A5263" s="247"/>
      <c r="B5263" s="12" t="str">
        <f>IFERROR(VLOOKUP(D5263,'[1]Перечень товаров'!$A$2:$I9525,2,0),"")</f>
        <v>д268</v>
      </c>
      <c r="C5263" s="12" t="str">
        <f>IFERROR(VLOOKUP(D5263,'[1]Перечень товаров'!$A$2:$I9525,3,0),"")</f>
        <v>Дидактика</v>
      </c>
      <c r="D5263" s="248" t="s">
        <v>1558</v>
      </c>
      <c r="E5263" s="23" t="s">
        <v>534</v>
      </c>
      <c r="F5263" s="23"/>
      <c r="G5263" s="24">
        <v>5</v>
      </c>
      <c r="H5263" s="24"/>
      <c r="I5263" s="25"/>
      <c r="J5263" s="25"/>
      <c r="K5263" s="19"/>
      <c r="L5263" s="20"/>
      <c r="M5263" s="10"/>
      <c r="N5263" s="10"/>
      <c r="O5263" s="10"/>
      <c r="P5263" s="10"/>
      <c r="Q5263" s="10"/>
      <c r="R5263" s="10"/>
      <c r="S5263" s="10"/>
      <c r="T5263" s="10"/>
      <c r="U5263" s="10"/>
      <c r="V5263" s="10"/>
      <c r="W5263" s="10"/>
      <c r="X5263" s="10"/>
      <c r="Y5263" s="10"/>
      <c r="Z5263" s="10"/>
      <c r="AA5263" s="10"/>
      <c r="AB5263" s="10"/>
      <c r="AC5263" s="10"/>
      <c r="AD5263" s="10"/>
      <c r="AE5263" s="10"/>
      <c r="AF5263" s="10"/>
      <c r="AG5263" s="10"/>
      <c r="AH5263" s="10"/>
    </row>
    <row r="5264" spans="1:34" outlineLevel="2">
      <c r="A5264" s="247"/>
      <c r="B5264" s="12" t="str">
        <f>IFERROR(VLOOKUP(D5264,'[1]Перечень товаров'!$A$2:$I9525,2,0),"")</f>
        <v>д267</v>
      </c>
      <c r="C5264" s="12" t="str">
        <f>IFERROR(VLOOKUP(D5264,'[1]Перечень товаров'!$A$2:$I9525,3,0),"")</f>
        <v>Дидактика</v>
      </c>
      <c r="D5264" s="248" t="s">
        <v>1559</v>
      </c>
      <c r="E5264" s="23" t="s">
        <v>534</v>
      </c>
      <c r="F5264" s="23"/>
      <c r="G5264" s="24">
        <v>5</v>
      </c>
      <c r="H5264" s="24"/>
      <c r="I5264" s="25"/>
      <c r="J5264" s="25"/>
      <c r="K5264" s="19"/>
      <c r="L5264" s="20"/>
      <c r="M5264" s="10"/>
      <c r="N5264" s="10"/>
      <c r="O5264" s="10"/>
      <c r="P5264" s="10"/>
      <c r="Q5264" s="10"/>
      <c r="R5264" s="10"/>
      <c r="S5264" s="10"/>
      <c r="T5264" s="10"/>
      <c r="U5264" s="10"/>
      <c r="V5264" s="10"/>
      <c r="W5264" s="10"/>
      <c r="X5264" s="10"/>
      <c r="Y5264" s="10"/>
      <c r="Z5264" s="10"/>
      <c r="AA5264" s="10"/>
      <c r="AB5264" s="10"/>
      <c r="AC5264" s="10"/>
      <c r="AD5264" s="10"/>
      <c r="AE5264" s="10"/>
      <c r="AF5264" s="10"/>
      <c r="AG5264" s="10"/>
      <c r="AH5264" s="10"/>
    </row>
    <row r="5265" spans="1:34" outlineLevel="2">
      <c r="A5265" s="247"/>
      <c r="B5265" s="12" t="str">
        <f>IFERROR(VLOOKUP(D5265,'[1]Перечень товаров'!$A$2:$I9525,2,0),"")</f>
        <v>д266</v>
      </c>
      <c r="C5265" s="12" t="str">
        <f>IFERROR(VLOOKUP(D5265,'[1]Перечень товаров'!$A$2:$I9525,3,0),"")</f>
        <v>Дидактика</v>
      </c>
      <c r="D5265" s="248" t="s">
        <v>1560</v>
      </c>
      <c r="E5265" s="23" t="s">
        <v>534</v>
      </c>
      <c r="F5265" s="23"/>
      <c r="G5265" s="24">
        <v>2</v>
      </c>
      <c r="H5265" s="24"/>
      <c r="I5265" s="25"/>
      <c r="J5265" s="25"/>
      <c r="K5265" s="19"/>
      <c r="L5265" s="20"/>
      <c r="M5265" s="10"/>
      <c r="N5265" s="10"/>
      <c r="O5265" s="10"/>
      <c r="P5265" s="10"/>
      <c r="Q5265" s="10"/>
      <c r="R5265" s="10"/>
      <c r="S5265" s="10"/>
      <c r="T5265" s="10"/>
      <c r="U5265" s="10"/>
      <c r="V5265" s="10"/>
      <c r="W5265" s="10"/>
      <c r="X5265" s="10"/>
      <c r="Y5265" s="10"/>
      <c r="Z5265" s="10"/>
      <c r="AA5265" s="10"/>
      <c r="AB5265" s="10"/>
      <c r="AC5265" s="10"/>
      <c r="AD5265" s="10"/>
      <c r="AE5265" s="10"/>
      <c r="AF5265" s="10"/>
      <c r="AG5265" s="10"/>
      <c r="AH5265" s="10"/>
    </row>
    <row r="5266" spans="1:34" outlineLevel="2">
      <c r="A5266" s="247"/>
      <c r="B5266" s="12" t="str">
        <f>IFERROR(VLOOKUP(D5266,'[1]Перечень товаров'!$A$2:$I9525,2,0),"")</f>
        <v>д265</v>
      </c>
      <c r="C5266" s="12" t="str">
        <f>IFERROR(VLOOKUP(D5266,'[1]Перечень товаров'!$A$2:$I9525,3,0),"")</f>
        <v>Дидактика</v>
      </c>
      <c r="D5266" s="248" t="s">
        <v>1561</v>
      </c>
      <c r="E5266" s="23" t="s">
        <v>534</v>
      </c>
      <c r="F5266" s="23"/>
      <c r="G5266" s="24">
        <v>30</v>
      </c>
      <c r="H5266" s="24"/>
      <c r="I5266" s="25"/>
      <c r="J5266" s="25"/>
      <c r="K5266" s="19"/>
      <c r="L5266" s="20"/>
      <c r="M5266" s="10"/>
      <c r="N5266" s="10"/>
      <c r="O5266" s="10"/>
      <c r="P5266" s="10"/>
      <c r="Q5266" s="10"/>
      <c r="R5266" s="10"/>
      <c r="S5266" s="10"/>
      <c r="T5266" s="10"/>
      <c r="U5266" s="10"/>
      <c r="V5266" s="10"/>
      <c r="W5266" s="10"/>
      <c r="X5266" s="10"/>
      <c r="Y5266" s="10"/>
      <c r="Z5266" s="10"/>
      <c r="AA5266" s="10"/>
      <c r="AB5266" s="10"/>
      <c r="AC5266" s="10"/>
      <c r="AD5266" s="10"/>
      <c r="AE5266" s="10"/>
      <c r="AF5266" s="10"/>
      <c r="AG5266" s="10"/>
      <c r="AH5266" s="10"/>
    </row>
    <row r="5267" spans="1:34" outlineLevel="2">
      <c r="A5267" s="247"/>
      <c r="B5267" s="12" t="str">
        <f>IFERROR(VLOOKUP(D5267,'[1]Перечень товаров'!$A$2:$I9525,2,0),"")</f>
        <v>д264</v>
      </c>
      <c r="C5267" s="12" t="str">
        <f>IFERROR(VLOOKUP(D5267,'[1]Перечень товаров'!$A$2:$I9525,3,0),"")</f>
        <v>Дидактика</v>
      </c>
      <c r="D5267" s="248" t="s">
        <v>1562</v>
      </c>
      <c r="E5267" s="23" t="s">
        <v>1479</v>
      </c>
      <c r="F5267" s="23"/>
      <c r="G5267" s="24">
        <v>2</v>
      </c>
      <c r="H5267" s="24"/>
      <c r="I5267" s="25"/>
      <c r="J5267" s="25"/>
      <c r="K5267" s="19"/>
      <c r="L5267" s="20"/>
      <c r="M5267" s="10"/>
      <c r="N5267" s="10"/>
      <c r="O5267" s="10"/>
      <c r="P5267" s="10"/>
      <c r="Q5267" s="10"/>
      <c r="R5267" s="10"/>
      <c r="S5267" s="10"/>
      <c r="T5267" s="10"/>
      <c r="U5267" s="10"/>
      <c r="V5267" s="10"/>
      <c r="W5267" s="10"/>
      <c r="X5267" s="10"/>
      <c r="Y5267" s="10"/>
      <c r="Z5267" s="10"/>
      <c r="AA5267" s="10"/>
      <c r="AB5267" s="10"/>
      <c r="AC5267" s="10"/>
      <c r="AD5267" s="10"/>
      <c r="AE5267" s="10"/>
      <c r="AF5267" s="10"/>
      <c r="AG5267" s="10"/>
      <c r="AH5267" s="10"/>
    </row>
    <row r="5268" spans="1:34" outlineLevel="2">
      <c r="A5268" s="247"/>
      <c r="B5268" s="12" t="str">
        <f>IFERROR(VLOOKUP(D5268,'[1]Перечень товаров'!$A$2:$I9525,2,0),"")</f>
        <v>д263</v>
      </c>
      <c r="C5268" s="12" t="str">
        <f>IFERROR(VLOOKUP(D5268,'[1]Перечень товаров'!$A$2:$I9525,3,0),"")</f>
        <v>Дидактика</v>
      </c>
      <c r="D5268" s="248" t="s">
        <v>1563</v>
      </c>
      <c r="E5268" s="23" t="s">
        <v>534</v>
      </c>
      <c r="F5268" s="23"/>
      <c r="G5268" s="24">
        <v>2</v>
      </c>
      <c r="H5268" s="24"/>
      <c r="I5268" s="25"/>
      <c r="J5268" s="25"/>
      <c r="K5268" s="19"/>
      <c r="L5268" s="20"/>
      <c r="M5268" s="10"/>
      <c r="N5268" s="10"/>
      <c r="O5268" s="10"/>
      <c r="P5268" s="10"/>
      <c r="Q5268" s="10"/>
      <c r="R5268" s="10"/>
      <c r="S5268" s="10"/>
      <c r="T5268" s="10"/>
      <c r="U5268" s="10"/>
      <c r="V5268" s="10"/>
      <c r="W5268" s="10"/>
      <c r="X5268" s="10"/>
      <c r="Y5268" s="10"/>
      <c r="Z5268" s="10"/>
      <c r="AA5268" s="10"/>
      <c r="AB5268" s="10"/>
      <c r="AC5268" s="10"/>
      <c r="AD5268" s="10"/>
      <c r="AE5268" s="10"/>
      <c r="AF5268" s="10"/>
      <c r="AG5268" s="10"/>
      <c r="AH5268" s="10"/>
    </row>
    <row r="5269" spans="1:34" ht="31.5" outlineLevel="2">
      <c r="A5269" s="247"/>
      <c r="B5269" s="12" t="str">
        <f>IFERROR(VLOOKUP(D5269,'[1]Перечень товаров'!$A$2:$I9525,2,0),"")</f>
        <v>д262</v>
      </c>
      <c r="C5269" s="12" t="str">
        <f>IFERROR(VLOOKUP(D5269,'[1]Перечень товаров'!$A$2:$I9525,3,0),"")</f>
        <v>Дидактика</v>
      </c>
      <c r="D5269" s="248" t="s">
        <v>1564</v>
      </c>
      <c r="E5269" s="23" t="s">
        <v>534</v>
      </c>
      <c r="F5269" s="23"/>
      <c r="G5269" s="24">
        <v>30</v>
      </c>
      <c r="H5269" s="24"/>
      <c r="I5269" s="25"/>
      <c r="J5269" s="25"/>
      <c r="K5269" s="19"/>
      <c r="L5269" s="20"/>
      <c r="M5269" s="10"/>
      <c r="N5269" s="10"/>
      <c r="O5269" s="10"/>
      <c r="P5269" s="10"/>
      <c r="Q5269" s="10"/>
      <c r="R5269" s="10"/>
      <c r="S5269" s="10"/>
      <c r="T5269" s="10"/>
      <c r="U5269" s="10"/>
      <c r="V5269" s="10"/>
      <c r="W5269" s="10"/>
      <c r="X5269" s="10"/>
      <c r="Y5269" s="10"/>
      <c r="Z5269" s="10"/>
      <c r="AA5269" s="10"/>
      <c r="AB5269" s="10"/>
      <c r="AC5269" s="10"/>
      <c r="AD5269" s="10"/>
      <c r="AE5269" s="10"/>
      <c r="AF5269" s="10"/>
      <c r="AG5269" s="10"/>
      <c r="AH5269" s="10"/>
    </row>
    <row r="5270" spans="1:34" outlineLevel="2">
      <c r="A5270" s="247"/>
      <c r="B5270" s="12" t="str">
        <f>IFERROR(VLOOKUP(D5270,'[1]Перечень товаров'!$A$2:$I9525,2,0),"")</f>
        <v>д261</v>
      </c>
      <c r="C5270" s="12" t="str">
        <f>IFERROR(VLOOKUP(D5270,'[1]Перечень товаров'!$A$2:$I9525,3,0),"")</f>
        <v>Дидактика</v>
      </c>
      <c r="D5270" s="248" t="s">
        <v>1565</v>
      </c>
      <c r="E5270" s="23" t="s">
        <v>534</v>
      </c>
      <c r="F5270" s="23"/>
      <c r="G5270" s="24">
        <v>10</v>
      </c>
      <c r="H5270" s="24"/>
      <c r="I5270" s="25"/>
      <c r="J5270" s="25"/>
      <c r="K5270" s="19"/>
      <c r="L5270" s="20"/>
      <c r="M5270" s="10"/>
      <c r="N5270" s="10"/>
      <c r="O5270" s="10"/>
      <c r="P5270" s="10"/>
      <c r="Q5270" s="10"/>
      <c r="R5270" s="10"/>
      <c r="S5270" s="10"/>
      <c r="T5270" s="10"/>
      <c r="U5270" s="10"/>
      <c r="V5270" s="10"/>
      <c r="W5270" s="10"/>
      <c r="X5270" s="10"/>
      <c r="Y5270" s="10"/>
      <c r="Z5270" s="10"/>
      <c r="AA5270" s="10"/>
      <c r="AB5270" s="10"/>
      <c r="AC5270" s="10"/>
      <c r="AD5270" s="10"/>
      <c r="AE5270" s="10"/>
      <c r="AF5270" s="10"/>
      <c r="AG5270" s="10"/>
      <c r="AH5270" s="10"/>
    </row>
    <row r="5271" spans="1:34" outlineLevel="2">
      <c r="A5271" s="247"/>
      <c r="B5271" s="12" t="str">
        <f>IFERROR(VLOOKUP(D5271,'[1]Перечень товаров'!$A$2:$I9525,2,0),"")</f>
        <v>д260</v>
      </c>
      <c r="C5271" s="12" t="str">
        <f>IFERROR(VLOOKUP(D5271,'[1]Перечень товаров'!$A$2:$I9525,3,0),"")</f>
        <v>Дидактика</v>
      </c>
      <c r="D5271" s="248" t="s">
        <v>1566</v>
      </c>
      <c r="E5271" s="23" t="s">
        <v>534</v>
      </c>
      <c r="F5271" s="23"/>
      <c r="G5271" s="24">
        <v>10</v>
      </c>
      <c r="H5271" s="24"/>
      <c r="I5271" s="25"/>
      <c r="J5271" s="25"/>
      <c r="K5271" s="19"/>
      <c r="L5271" s="20"/>
      <c r="M5271" s="10"/>
      <c r="N5271" s="10"/>
      <c r="O5271" s="10"/>
      <c r="P5271" s="10"/>
      <c r="Q5271" s="10"/>
      <c r="R5271" s="10"/>
      <c r="S5271" s="10"/>
      <c r="T5271" s="10"/>
      <c r="U5271" s="10"/>
      <c r="V5271" s="10"/>
      <c r="W5271" s="10"/>
      <c r="X5271" s="10"/>
      <c r="Y5271" s="10"/>
      <c r="Z5271" s="10"/>
      <c r="AA5271" s="10"/>
      <c r="AB5271" s="10"/>
      <c r="AC5271" s="10"/>
      <c r="AD5271" s="10"/>
      <c r="AE5271" s="10"/>
      <c r="AF5271" s="10"/>
      <c r="AG5271" s="10"/>
      <c r="AH5271" s="10"/>
    </row>
    <row r="5272" spans="1:34" outlineLevel="2">
      <c r="A5272" s="247"/>
      <c r="B5272" s="12" t="str">
        <f>IFERROR(VLOOKUP(D5272,'[1]Перечень товаров'!$A$2:$I9525,2,0),"")</f>
        <v>д259</v>
      </c>
      <c r="C5272" s="12" t="str">
        <f>IFERROR(VLOOKUP(D5272,'[1]Перечень товаров'!$A$2:$I9525,3,0),"")</f>
        <v>Дидактика</v>
      </c>
      <c r="D5272" s="248" t="s">
        <v>1567</v>
      </c>
      <c r="E5272" s="23" t="s">
        <v>534</v>
      </c>
      <c r="F5272" s="23"/>
      <c r="G5272" s="24">
        <v>25</v>
      </c>
      <c r="H5272" s="24"/>
      <c r="I5272" s="25"/>
      <c r="J5272" s="25"/>
      <c r="K5272" s="19"/>
      <c r="L5272" s="20"/>
      <c r="M5272" s="10"/>
      <c r="N5272" s="10"/>
      <c r="O5272" s="10"/>
      <c r="P5272" s="10"/>
      <c r="Q5272" s="10"/>
      <c r="R5272" s="10"/>
      <c r="S5272" s="10"/>
      <c r="T5272" s="10"/>
      <c r="U5272" s="10"/>
      <c r="V5272" s="10"/>
      <c r="W5272" s="10"/>
      <c r="X5272" s="10"/>
      <c r="Y5272" s="10"/>
      <c r="Z5272" s="10"/>
      <c r="AA5272" s="10"/>
      <c r="AB5272" s="10"/>
      <c r="AC5272" s="10"/>
      <c r="AD5272" s="10"/>
      <c r="AE5272" s="10"/>
      <c r="AF5272" s="10"/>
      <c r="AG5272" s="10"/>
      <c r="AH5272" s="10"/>
    </row>
    <row r="5273" spans="1:34" outlineLevel="2">
      <c r="A5273" s="247"/>
      <c r="B5273" s="12" t="str">
        <f>IFERROR(VLOOKUP(D5273,'[1]Перечень товаров'!$A$2:$I9525,2,0),"")</f>
        <v>д258</v>
      </c>
      <c r="C5273" s="12" t="str">
        <f>IFERROR(VLOOKUP(D5273,'[1]Перечень товаров'!$A$2:$I9525,3,0),"")</f>
        <v>Дидактика</v>
      </c>
      <c r="D5273" s="248" t="s">
        <v>1568</v>
      </c>
      <c r="E5273" s="23" t="s">
        <v>534</v>
      </c>
      <c r="F5273" s="23"/>
      <c r="G5273" s="24">
        <v>5</v>
      </c>
      <c r="H5273" s="24"/>
      <c r="I5273" s="25"/>
      <c r="J5273" s="25"/>
      <c r="K5273" s="19"/>
      <c r="L5273" s="20"/>
      <c r="M5273" s="10"/>
      <c r="N5273" s="10"/>
      <c r="O5273" s="10"/>
      <c r="P5273" s="10"/>
      <c r="Q5273" s="10"/>
      <c r="R5273" s="10"/>
      <c r="S5273" s="10"/>
      <c r="T5273" s="10"/>
      <c r="U5273" s="10"/>
      <c r="V5273" s="10"/>
      <c r="W5273" s="10"/>
      <c r="X5273" s="10"/>
      <c r="Y5273" s="10"/>
      <c r="Z5273" s="10"/>
      <c r="AA5273" s="10"/>
      <c r="AB5273" s="10"/>
      <c r="AC5273" s="10"/>
      <c r="AD5273" s="10"/>
      <c r="AE5273" s="10"/>
      <c r="AF5273" s="10"/>
      <c r="AG5273" s="10"/>
      <c r="AH5273" s="10"/>
    </row>
    <row r="5274" spans="1:34" outlineLevel="2">
      <c r="A5274" s="247"/>
      <c r="B5274" s="12" t="str">
        <f>IFERROR(VLOOKUP(D5274,'[1]Перечень товаров'!$A$2:$I9525,2,0),"")</f>
        <v>д257</v>
      </c>
      <c r="C5274" s="12" t="str">
        <f>IFERROR(VLOOKUP(D5274,'[1]Перечень товаров'!$A$2:$I9525,3,0),"")</f>
        <v>Дидактика</v>
      </c>
      <c r="D5274" s="248" t="s">
        <v>1569</v>
      </c>
      <c r="E5274" s="23" t="s">
        <v>1570</v>
      </c>
      <c r="F5274" s="23"/>
      <c r="G5274" s="24">
        <v>144</v>
      </c>
      <c r="H5274" s="24"/>
      <c r="I5274" s="25"/>
      <c r="J5274" s="25"/>
      <c r="K5274" s="19"/>
      <c r="L5274" s="20"/>
      <c r="M5274" s="10"/>
      <c r="N5274" s="10"/>
      <c r="O5274" s="10"/>
      <c r="P5274" s="10"/>
      <c r="Q5274" s="10"/>
      <c r="R5274" s="10"/>
      <c r="S5274" s="10"/>
      <c r="T5274" s="10"/>
      <c r="U5274" s="10"/>
      <c r="V5274" s="10"/>
      <c r="W5274" s="10"/>
      <c r="X5274" s="10"/>
      <c r="Y5274" s="10"/>
      <c r="Z5274" s="10"/>
      <c r="AA5274" s="10"/>
      <c r="AB5274" s="10"/>
      <c r="AC5274" s="10"/>
      <c r="AD5274" s="10"/>
      <c r="AE5274" s="10"/>
      <c r="AF5274" s="10"/>
      <c r="AG5274" s="10"/>
      <c r="AH5274" s="10"/>
    </row>
    <row r="5275" spans="1:34" outlineLevel="1">
      <c r="A5275" s="21"/>
      <c r="B5275" s="12" t="str">
        <f>IFERROR(VLOOKUP(D5275,'[1]Перечень товаров'!$A$2:$I9525,2,0),"")</f>
        <v/>
      </c>
      <c r="C5275" s="12" t="str">
        <f>IFERROR(VLOOKUP(D5275,'[1]Перечень товаров'!$A$2:$I9525,3,0),"")</f>
        <v/>
      </c>
      <c r="D5275" s="22" t="s">
        <v>11</v>
      </c>
      <c r="E5275" s="23">
        <v>72.3</v>
      </c>
      <c r="F5275" s="23"/>
      <c r="G5275" s="24"/>
      <c r="H5275" s="24"/>
      <c r="I5275" s="25"/>
      <c r="J5275" s="25"/>
      <c r="K5275" s="19"/>
      <c r="L5275" s="20"/>
      <c r="M5275" s="10"/>
      <c r="N5275" s="10"/>
      <c r="O5275" s="10"/>
      <c r="P5275" s="10"/>
      <c r="Q5275" s="10"/>
      <c r="R5275" s="10"/>
      <c r="S5275" s="10"/>
      <c r="T5275" s="10"/>
      <c r="U5275" s="10"/>
      <c r="V5275" s="10"/>
      <c r="W5275" s="10"/>
      <c r="X5275" s="10"/>
      <c r="Y5275" s="10"/>
      <c r="Z5275" s="10"/>
      <c r="AA5275" s="10"/>
      <c r="AB5275" s="10"/>
      <c r="AC5275" s="10"/>
      <c r="AD5275" s="10"/>
      <c r="AE5275" s="10"/>
      <c r="AF5275" s="10"/>
      <c r="AG5275" s="10"/>
      <c r="AH5275" s="10"/>
    </row>
    <row r="5276" spans="1:34" ht="12.75" outlineLevel="1">
      <c r="A5276" s="11"/>
      <c r="B5276" s="12" t="str">
        <f>IFERROR(VLOOKUP(D5276,'[1]Перечень товаров'!$A$2:$I9525,2,0),"")</f>
        <v/>
      </c>
      <c r="C5276" s="12" t="str">
        <f>IFERROR(VLOOKUP(D5276,'[1]Перечень товаров'!$A$2:$I9525,3,0),"")</f>
        <v/>
      </c>
      <c r="D5276" s="27" t="s">
        <v>1571</v>
      </c>
      <c r="E5276" s="14">
        <v>20.5</v>
      </c>
      <c r="F5276" s="14"/>
      <c r="G5276" s="17"/>
      <c r="H5276" s="17"/>
      <c r="I5276" s="57"/>
      <c r="J5276" s="57"/>
      <c r="K5276" s="19"/>
      <c r="L5276" s="20"/>
      <c r="M5276" s="10"/>
      <c r="N5276" s="10"/>
      <c r="O5276" s="10"/>
      <c r="P5276" s="10"/>
      <c r="Q5276" s="10"/>
      <c r="R5276" s="10"/>
      <c r="S5276" s="10"/>
      <c r="T5276" s="10"/>
      <c r="U5276" s="10"/>
      <c r="V5276" s="10"/>
      <c r="W5276" s="10"/>
      <c r="X5276" s="10"/>
      <c r="Y5276" s="10"/>
      <c r="Z5276" s="10"/>
      <c r="AA5276" s="10"/>
      <c r="AB5276" s="10"/>
      <c r="AC5276" s="10"/>
      <c r="AD5276" s="10"/>
      <c r="AE5276" s="10"/>
      <c r="AF5276" s="10"/>
      <c r="AG5276" s="10"/>
      <c r="AH5276" s="10"/>
    </row>
    <row r="5277" spans="1:34" outlineLevel="2">
      <c r="A5277" s="21"/>
      <c r="B5277" s="12" t="str">
        <f>IFERROR(VLOOKUP(D5277,'[1]Перечень товаров'!$A$2:$I9525,2,0),"")</f>
        <v>тм152</v>
      </c>
      <c r="C5277" s="12" t="str">
        <f>IFERROR(VLOOKUP(D5277,'[1]Перечень товаров'!$A$2:$I9525,3,0),"")</f>
        <v>Техника муз</v>
      </c>
      <c r="D5277" s="22" t="s">
        <v>1572</v>
      </c>
      <c r="E5277" s="23"/>
      <c r="F5277" s="23"/>
      <c r="G5277" s="24">
        <v>2</v>
      </c>
      <c r="H5277" s="24"/>
      <c r="I5277" s="25"/>
      <c r="J5277" s="25"/>
      <c r="K5277" s="19"/>
      <c r="L5277" s="20"/>
      <c r="M5277" s="10"/>
      <c r="N5277" s="10"/>
      <c r="O5277" s="10"/>
      <c r="P5277" s="10"/>
      <c r="Q5277" s="10"/>
      <c r="R5277" s="10"/>
      <c r="S5277" s="10"/>
      <c r="T5277" s="10"/>
      <c r="U5277" s="10"/>
      <c r="V5277" s="10"/>
      <c r="W5277" s="10"/>
      <c r="X5277" s="10"/>
      <c r="Y5277" s="10"/>
      <c r="Z5277" s="10"/>
      <c r="AA5277" s="10"/>
      <c r="AB5277" s="10"/>
      <c r="AC5277" s="10"/>
      <c r="AD5277" s="10"/>
      <c r="AE5277" s="10"/>
      <c r="AF5277" s="10"/>
      <c r="AG5277" s="10"/>
      <c r="AH5277" s="10"/>
    </row>
    <row r="5278" spans="1:34" outlineLevel="2">
      <c r="A5278" s="21"/>
      <c r="B5278" s="12" t="str">
        <f>IFERROR(VLOOKUP(D5278,'[1]Перечень товаров'!$A$2:$I9525,2,0),"")</f>
        <v>м137</v>
      </c>
      <c r="C5278" s="12" t="str">
        <f>IFERROR(VLOOKUP(D5278,'[1]Перечень товаров'!$A$2:$I9525,3,0),"")</f>
        <v>мебель</v>
      </c>
      <c r="D5278" s="22" t="s">
        <v>876</v>
      </c>
      <c r="E5278" s="23"/>
      <c r="F5278" s="23"/>
      <c r="G5278" s="24">
        <v>2</v>
      </c>
      <c r="H5278" s="24"/>
      <c r="I5278" s="25"/>
      <c r="J5278" s="25"/>
      <c r="K5278" s="19"/>
      <c r="L5278" s="20"/>
      <c r="M5278" s="10"/>
      <c r="N5278" s="10"/>
      <c r="O5278" s="10"/>
      <c r="P5278" s="10"/>
      <c r="Q5278" s="10"/>
      <c r="R5278" s="10"/>
      <c r="S5278" s="10"/>
      <c r="T5278" s="10"/>
      <c r="U5278" s="10"/>
      <c r="V5278" s="10"/>
      <c r="W5278" s="10"/>
      <c r="X5278" s="10"/>
      <c r="Y5278" s="10"/>
      <c r="Z5278" s="10"/>
      <c r="AA5278" s="10"/>
      <c r="AB5278" s="10"/>
      <c r="AC5278" s="10"/>
      <c r="AD5278" s="10"/>
      <c r="AE5278" s="10"/>
      <c r="AF5278" s="10"/>
      <c r="AG5278" s="10"/>
      <c r="AH5278" s="10"/>
    </row>
    <row r="5279" spans="1:34" outlineLevel="2">
      <c r="A5279" s="21"/>
      <c r="B5279" s="12" t="str">
        <f>IFERROR(VLOOKUP(D5279,'[1]Перечень товаров'!$A$2:$I9525,2,0),"")</f>
        <v>м187</v>
      </c>
      <c r="C5279" s="12" t="str">
        <f>IFERROR(VLOOKUP(D5279,'[1]Перечень товаров'!$A$2:$I9525,3,0),"")</f>
        <v>мебель</v>
      </c>
      <c r="D5279" s="22" t="s">
        <v>877</v>
      </c>
      <c r="E5279" s="23"/>
      <c r="F5279" s="23"/>
      <c r="G5279" s="24">
        <v>2</v>
      </c>
      <c r="H5279" s="24"/>
      <c r="I5279" s="25"/>
      <c r="J5279" s="25"/>
      <c r="K5279" s="19"/>
      <c r="L5279" s="20"/>
      <c r="M5279" s="10"/>
      <c r="N5279" s="10"/>
      <c r="O5279" s="10"/>
      <c r="P5279" s="10"/>
      <c r="Q5279" s="10"/>
      <c r="R5279" s="10"/>
      <c r="S5279" s="10"/>
      <c r="T5279" s="10"/>
      <c r="U5279" s="10"/>
      <c r="V5279" s="10"/>
      <c r="W5279" s="10"/>
      <c r="X5279" s="10"/>
      <c r="Y5279" s="10"/>
      <c r="Z5279" s="10"/>
      <c r="AA5279" s="10"/>
      <c r="AB5279" s="10"/>
      <c r="AC5279" s="10"/>
      <c r="AD5279" s="10"/>
      <c r="AE5279" s="10"/>
      <c r="AF5279" s="10"/>
      <c r="AG5279" s="10"/>
      <c r="AH5279" s="10"/>
    </row>
    <row r="5280" spans="1:34" outlineLevel="2">
      <c r="A5280" s="21"/>
      <c r="B5280" s="12" t="str">
        <f>IFERROR(VLOOKUP(D5280,'[1]Перечень товаров'!$A$2:$I9525,2,0),"")</f>
        <v>м30</v>
      </c>
      <c r="C5280" s="12" t="str">
        <f>IFERROR(VLOOKUP(D5280,'[1]Перечень товаров'!$A$2:$I9525,3,0),"")</f>
        <v>Мебель</v>
      </c>
      <c r="D5280" s="22" t="s">
        <v>181</v>
      </c>
      <c r="E5280" s="23"/>
      <c r="F5280" s="23"/>
      <c r="G5280" s="24">
        <v>4</v>
      </c>
      <c r="H5280" s="24"/>
      <c r="I5280" s="25"/>
      <c r="J5280" s="25"/>
      <c r="K5280" s="19"/>
      <c r="L5280" s="20"/>
      <c r="M5280" s="10"/>
      <c r="N5280" s="10"/>
      <c r="O5280" s="10"/>
      <c r="P5280" s="10"/>
      <c r="Q5280" s="10"/>
      <c r="R5280" s="10"/>
      <c r="S5280" s="10"/>
      <c r="T5280" s="10"/>
      <c r="U5280" s="10"/>
      <c r="V5280" s="10"/>
      <c r="W5280" s="10"/>
      <c r="X5280" s="10"/>
      <c r="Y5280" s="10"/>
      <c r="Z5280" s="10"/>
      <c r="AA5280" s="10"/>
      <c r="AB5280" s="10"/>
      <c r="AC5280" s="10"/>
      <c r="AD5280" s="10"/>
      <c r="AE5280" s="10"/>
      <c r="AF5280" s="10"/>
      <c r="AG5280" s="10"/>
      <c r="AH5280" s="10"/>
    </row>
    <row r="5281" spans="1:34" outlineLevel="2">
      <c r="A5281" s="21"/>
      <c r="B5281" s="12" t="str">
        <f>IFERROR(VLOOKUP(D5281,'[1]Перечень товаров'!$A$2:$I9525,2,0),"")</f>
        <v>м221</v>
      </c>
      <c r="C5281" s="12" t="str">
        <f>IFERROR(VLOOKUP(D5281,'[1]Перечень товаров'!$A$2:$I9525,3,0),"")</f>
        <v>Мебель</v>
      </c>
      <c r="D5281" s="22" t="s">
        <v>878</v>
      </c>
      <c r="E5281" s="23"/>
      <c r="F5281" s="23"/>
      <c r="G5281" s="24">
        <v>1</v>
      </c>
      <c r="H5281" s="24"/>
      <c r="I5281" s="25"/>
      <c r="J5281" s="25"/>
      <c r="K5281" s="19"/>
      <c r="L5281" s="20"/>
      <c r="M5281" s="10"/>
      <c r="N5281" s="10"/>
      <c r="O5281" s="10"/>
      <c r="P5281" s="10"/>
      <c r="Q5281" s="10"/>
      <c r="R5281" s="10"/>
      <c r="S5281" s="10"/>
      <c r="T5281" s="10"/>
      <c r="U5281" s="10"/>
      <c r="V5281" s="10"/>
      <c r="W5281" s="10"/>
      <c r="X5281" s="10"/>
      <c r="Y5281" s="10"/>
      <c r="Z5281" s="10"/>
      <c r="AA5281" s="10"/>
      <c r="AB5281" s="10"/>
      <c r="AC5281" s="10"/>
      <c r="AD5281" s="10"/>
      <c r="AE5281" s="10"/>
      <c r="AF5281" s="10"/>
      <c r="AG5281" s="10"/>
      <c r="AH5281" s="10"/>
    </row>
    <row r="5282" spans="1:34" ht="31.5" outlineLevel="2">
      <c r="A5282" s="21"/>
      <c r="B5282" s="12" t="str">
        <f>IFERROR(VLOOKUP(D5282,'[1]Перечень товаров'!$A$2:$I9525,2,0),"")</f>
        <v>м138</v>
      </c>
      <c r="C5282" s="12" t="str">
        <f>IFERROR(VLOOKUP(D5282,'[1]Перечень товаров'!$A$2:$I9525,3,0),"")</f>
        <v>мебель</v>
      </c>
      <c r="D5282" s="22" t="s">
        <v>1573</v>
      </c>
      <c r="E5282" s="23"/>
      <c r="F5282" s="23"/>
      <c r="G5282" s="24">
        <v>1</v>
      </c>
      <c r="H5282" s="24"/>
      <c r="I5282" s="25"/>
      <c r="J5282" s="25"/>
      <c r="K5282" s="19"/>
      <c r="L5282" s="20"/>
      <c r="M5282" s="10"/>
      <c r="N5282" s="10"/>
      <c r="O5282" s="10"/>
      <c r="P5282" s="10"/>
      <c r="Q5282" s="10"/>
      <c r="R5282" s="10"/>
      <c r="S5282" s="10"/>
      <c r="T5282" s="10"/>
      <c r="U5282" s="10"/>
      <c r="V5282" s="10"/>
      <c r="W5282" s="10"/>
      <c r="X5282" s="10"/>
      <c r="Y5282" s="10"/>
      <c r="Z5282" s="10"/>
      <c r="AA5282" s="10"/>
      <c r="AB5282" s="10"/>
      <c r="AC5282" s="10"/>
      <c r="AD5282" s="10"/>
      <c r="AE5282" s="10"/>
      <c r="AF5282" s="10"/>
      <c r="AG5282" s="10"/>
      <c r="AH5282" s="10"/>
    </row>
    <row r="5283" spans="1:34" outlineLevel="2">
      <c r="A5283" s="21"/>
      <c r="B5283" s="12" t="str">
        <f>IFERROR(VLOOKUP(D5283,'[1]Перечень товаров'!$A$2:$I9525,2,0),"")</f>
        <v>тм70</v>
      </c>
      <c r="C5283" s="12" t="str">
        <f>IFERROR(VLOOKUP(D5283,'[1]Перечень товаров'!$A$2:$I9525,3,0),"")</f>
        <v>Техника муз</v>
      </c>
      <c r="D5283" s="22" t="s">
        <v>399</v>
      </c>
      <c r="E5283" s="23"/>
      <c r="F5283" s="23"/>
      <c r="G5283" s="24">
        <v>1</v>
      </c>
      <c r="H5283" s="24"/>
      <c r="I5283" s="25"/>
      <c r="J5283" s="25"/>
      <c r="K5283" s="19"/>
      <c r="L5283" s="20"/>
      <c r="M5283" s="10"/>
      <c r="N5283" s="10"/>
      <c r="O5283" s="10"/>
      <c r="P5283" s="10"/>
      <c r="Q5283" s="10"/>
      <c r="R5283" s="10"/>
      <c r="S5283" s="10"/>
      <c r="T5283" s="10"/>
      <c r="U5283" s="10"/>
      <c r="V5283" s="10"/>
      <c r="W5283" s="10"/>
      <c r="X5283" s="10"/>
      <c r="Y5283" s="10"/>
      <c r="Z5283" s="10"/>
      <c r="AA5283" s="10"/>
      <c r="AB5283" s="10"/>
      <c r="AC5283" s="10"/>
      <c r="AD5283" s="10"/>
      <c r="AE5283" s="10"/>
      <c r="AF5283" s="10"/>
      <c r="AG5283" s="10"/>
      <c r="AH5283" s="10"/>
    </row>
    <row r="5284" spans="1:34" outlineLevel="1">
      <c r="A5284" s="21"/>
      <c r="B5284" s="12" t="str">
        <f>IFERROR(VLOOKUP(D5284,'[1]Перечень товаров'!$A$2:$I9525,2,0),"")</f>
        <v/>
      </c>
      <c r="C5284" s="12" t="str">
        <f>IFERROR(VLOOKUP(D5284,'[1]Перечень товаров'!$A$2:$I9525,3,0),"")</f>
        <v/>
      </c>
      <c r="D5284" s="22" t="s">
        <v>1574</v>
      </c>
      <c r="E5284" s="23">
        <v>4.8</v>
      </c>
      <c r="F5284" s="23"/>
      <c r="G5284" s="24"/>
      <c r="H5284" s="24"/>
      <c r="I5284" s="25"/>
      <c r="J5284" s="25"/>
      <c r="K5284" s="19"/>
      <c r="L5284" s="20"/>
      <c r="M5284" s="10"/>
      <c r="N5284" s="10"/>
      <c r="O5284" s="10"/>
      <c r="P5284" s="10"/>
      <c r="Q5284" s="10"/>
      <c r="R5284" s="10"/>
      <c r="S5284" s="10"/>
      <c r="T5284" s="10"/>
      <c r="U5284" s="10"/>
      <c r="V5284" s="10"/>
      <c r="W5284" s="10"/>
      <c r="X5284" s="10"/>
      <c r="Y5284" s="10"/>
      <c r="Z5284" s="10"/>
      <c r="AA5284" s="10"/>
      <c r="AB5284" s="10"/>
      <c r="AC5284" s="10"/>
      <c r="AD5284" s="10"/>
      <c r="AE5284" s="10"/>
      <c r="AF5284" s="10"/>
      <c r="AG5284" s="10"/>
      <c r="AH5284" s="10"/>
    </row>
    <row r="5285" spans="1:34" ht="12.75" outlineLevel="1">
      <c r="A5285" s="11"/>
      <c r="B5285" s="12" t="str">
        <f>IFERROR(VLOOKUP(D5285,'[1]Перечень товаров'!$A$2:$I9525,2,0),"")</f>
        <v/>
      </c>
      <c r="C5285" s="12" t="str">
        <f>IFERROR(VLOOKUP(D5285,'[1]Перечень товаров'!$A$2:$I9525,3,0),"")</f>
        <v/>
      </c>
      <c r="D5285" s="27" t="s">
        <v>1575</v>
      </c>
      <c r="E5285" s="14">
        <v>16.399999999999999</v>
      </c>
      <c r="F5285" s="14"/>
      <c r="G5285" s="17"/>
      <c r="H5285" s="17"/>
      <c r="I5285" s="57"/>
      <c r="J5285" s="57"/>
      <c r="K5285" s="19"/>
      <c r="L5285" s="20"/>
      <c r="M5285" s="10"/>
      <c r="N5285" s="10"/>
      <c r="O5285" s="10"/>
      <c r="P5285" s="10"/>
      <c r="Q5285" s="10"/>
      <c r="R5285" s="10"/>
      <c r="S5285" s="10"/>
      <c r="T5285" s="10"/>
      <c r="U5285" s="10"/>
      <c r="V5285" s="10"/>
      <c r="W5285" s="10"/>
      <c r="X5285" s="10"/>
      <c r="Y5285" s="10"/>
      <c r="Z5285" s="10"/>
      <c r="AA5285" s="10"/>
      <c r="AB5285" s="10"/>
      <c r="AC5285" s="10"/>
      <c r="AD5285" s="10"/>
      <c r="AE5285" s="10"/>
      <c r="AF5285" s="10"/>
      <c r="AG5285" s="10"/>
      <c r="AH5285" s="10"/>
    </row>
    <row r="5286" spans="1:34" outlineLevel="2">
      <c r="A5286" s="22"/>
      <c r="B5286" s="12" t="str">
        <f>IFERROR(VLOOKUP(D5286,'[1]Перечень товаров'!$A$2:$I9525,2,0),"")</f>
        <v>м14</v>
      </c>
      <c r="C5286" s="12" t="str">
        <f>IFERROR(VLOOKUP(D5286,'[1]Перечень товаров'!$A$2:$I9525,3,0),"")</f>
        <v>Мебель</v>
      </c>
      <c r="D5286" s="22" t="s">
        <v>43</v>
      </c>
      <c r="E5286" s="203"/>
      <c r="F5286" s="203"/>
      <c r="G5286" s="24">
        <v>1</v>
      </c>
      <c r="H5286" s="24"/>
      <c r="I5286" s="25"/>
      <c r="J5286" s="25"/>
      <c r="K5286" s="19"/>
      <c r="L5286" s="20"/>
      <c r="M5286" s="10"/>
      <c r="N5286" s="10"/>
      <c r="O5286" s="10"/>
      <c r="P5286" s="10"/>
      <c r="Q5286" s="10"/>
      <c r="R5286" s="10"/>
      <c r="S5286" s="10"/>
      <c r="T5286" s="10"/>
      <c r="U5286" s="10"/>
      <c r="V5286" s="10"/>
      <c r="W5286" s="10"/>
      <c r="X5286" s="10"/>
      <c r="Y5286" s="10"/>
      <c r="Z5286" s="10"/>
      <c r="AA5286" s="10"/>
      <c r="AB5286" s="10"/>
      <c r="AC5286" s="10"/>
      <c r="AD5286" s="10"/>
      <c r="AE5286" s="10"/>
      <c r="AF5286" s="10"/>
      <c r="AG5286" s="10"/>
      <c r="AH5286" s="10"/>
    </row>
    <row r="5287" spans="1:34" outlineLevel="2">
      <c r="A5287" s="21"/>
      <c r="B5287" s="12" t="str">
        <f>IFERROR(VLOOKUP(D5287,'[1]Перечень товаров'!$A$2:$I9525,2,0),"")</f>
        <v>м167</v>
      </c>
      <c r="C5287" s="12" t="str">
        <f>IFERROR(VLOOKUP(D5287,'[1]Перечень товаров'!$A$2:$I9525,3,0),"")</f>
        <v>Мебель</v>
      </c>
      <c r="D5287" s="22" t="s">
        <v>508</v>
      </c>
      <c r="E5287" s="203"/>
      <c r="F5287" s="203"/>
      <c r="G5287" s="24">
        <v>1</v>
      </c>
      <c r="H5287" s="24"/>
      <c r="I5287" s="25"/>
      <c r="J5287" s="25"/>
      <c r="K5287" s="19"/>
      <c r="L5287" s="20"/>
      <c r="M5287" s="10"/>
      <c r="N5287" s="10"/>
      <c r="O5287" s="10"/>
      <c r="P5287" s="10"/>
      <c r="Q5287" s="10"/>
      <c r="R5287" s="10"/>
      <c r="S5287" s="10"/>
      <c r="T5287" s="10"/>
      <c r="U5287" s="10"/>
      <c r="V5287" s="10"/>
      <c r="W5287" s="10"/>
      <c r="X5287" s="10"/>
      <c r="Y5287" s="10"/>
      <c r="Z5287" s="10"/>
      <c r="AA5287" s="10"/>
      <c r="AB5287" s="10"/>
      <c r="AC5287" s="10"/>
      <c r="AD5287" s="10"/>
      <c r="AE5287" s="10"/>
      <c r="AF5287" s="10"/>
      <c r="AG5287" s="10"/>
      <c r="AH5287" s="10"/>
    </row>
    <row r="5288" spans="1:34" outlineLevel="2">
      <c r="A5288" s="21"/>
      <c r="B5288" s="12" t="str">
        <f>IFERROR(VLOOKUP(D5288,'[1]Перечень товаров'!$A$2:$I9525,2,0),"")</f>
        <v>м218</v>
      </c>
      <c r="C5288" s="12" t="str">
        <f>IFERROR(VLOOKUP(D5288,'[1]Перечень товаров'!$A$2:$I9525,3,0),"")</f>
        <v>Мебель</v>
      </c>
      <c r="D5288" s="22" t="s">
        <v>872</v>
      </c>
      <c r="E5288" s="203"/>
      <c r="F5288" s="203"/>
      <c r="G5288" s="24">
        <v>2</v>
      </c>
      <c r="H5288" s="24"/>
      <c r="I5288" s="25"/>
      <c r="J5288" s="25"/>
      <c r="K5288" s="19"/>
      <c r="L5288" s="20"/>
      <c r="M5288" s="10"/>
      <c r="N5288" s="10"/>
      <c r="O5288" s="10"/>
      <c r="P5288" s="10"/>
      <c r="Q5288" s="10"/>
      <c r="R5288" s="10"/>
      <c r="S5288" s="10"/>
      <c r="T5288" s="10"/>
      <c r="U5288" s="10"/>
      <c r="V5288" s="10"/>
      <c r="W5288" s="10"/>
      <c r="X5288" s="10"/>
      <c r="Y5288" s="10"/>
      <c r="Z5288" s="10"/>
      <c r="AA5288" s="10"/>
      <c r="AB5288" s="10"/>
      <c r="AC5288" s="10"/>
      <c r="AD5288" s="10"/>
      <c r="AE5288" s="10"/>
      <c r="AF5288" s="10"/>
      <c r="AG5288" s="10"/>
      <c r="AH5288" s="10"/>
    </row>
    <row r="5289" spans="1:34" outlineLevel="2">
      <c r="A5289" s="21"/>
      <c r="B5289" s="12" t="str">
        <f>IFERROR(VLOOKUP(D5289,'[1]Перечень товаров'!$A$2:$I9525,2,0),"")</f>
        <v>м219</v>
      </c>
      <c r="C5289" s="12" t="str">
        <f>IFERROR(VLOOKUP(D5289,'[1]Перечень товаров'!$A$2:$I9525,3,0),"")</f>
        <v>Мебель</v>
      </c>
      <c r="D5289" s="22" t="s">
        <v>873</v>
      </c>
      <c r="E5289" s="203"/>
      <c r="F5289" s="203"/>
      <c r="G5289" s="24">
        <v>4</v>
      </c>
      <c r="H5289" s="24"/>
      <c r="I5289" s="25"/>
      <c r="J5289" s="25"/>
      <c r="K5289" s="19"/>
      <c r="L5289" s="20"/>
      <c r="M5289" s="10"/>
      <c r="N5289" s="10"/>
      <c r="O5289" s="10"/>
      <c r="P5289" s="10"/>
      <c r="Q5289" s="10"/>
      <c r="R5289" s="10"/>
      <c r="S5289" s="10"/>
      <c r="T5289" s="10"/>
      <c r="U5289" s="10"/>
      <c r="V5289" s="10"/>
      <c r="W5289" s="10"/>
      <c r="X5289" s="10"/>
      <c r="Y5289" s="10"/>
      <c r="Z5289" s="10"/>
      <c r="AA5289" s="10"/>
      <c r="AB5289" s="10"/>
      <c r="AC5289" s="10"/>
      <c r="AD5289" s="10"/>
      <c r="AE5289" s="10"/>
      <c r="AF5289" s="10"/>
      <c r="AG5289" s="10"/>
      <c r="AH5289" s="10"/>
    </row>
    <row r="5290" spans="1:34" outlineLevel="2">
      <c r="A5290" s="21"/>
      <c r="B5290" s="12" t="str">
        <f>IFERROR(VLOOKUP(D5290,'[1]Перечень товаров'!$A$2:$I9525,2,0),"")</f>
        <v>м220</v>
      </c>
      <c r="C5290" s="12" t="str">
        <f>IFERROR(VLOOKUP(D5290,'[1]Перечень товаров'!$A$2:$I9525,3,0),"")</f>
        <v>Мебель</v>
      </c>
      <c r="D5290" s="22" t="s">
        <v>874</v>
      </c>
      <c r="E5290" s="203"/>
      <c r="F5290" s="203"/>
      <c r="G5290" s="24">
        <v>1</v>
      </c>
      <c r="H5290" s="24"/>
      <c r="I5290" s="25"/>
      <c r="J5290" s="25"/>
      <c r="K5290" s="19"/>
      <c r="L5290" s="20"/>
      <c r="M5290" s="10"/>
      <c r="N5290" s="10"/>
      <c r="O5290" s="10"/>
      <c r="P5290" s="10"/>
      <c r="Q5290" s="10"/>
      <c r="R5290" s="10"/>
      <c r="S5290" s="10"/>
      <c r="T5290" s="10"/>
      <c r="U5290" s="10"/>
      <c r="V5290" s="10"/>
      <c r="W5290" s="10"/>
      <c r="X5290" s="10"/>
      <c r="Y5290" s="10"/>
      <c r="Z5290" s="10"/>
      <c r="AA5290" s="10"/>
      <c r="AB5290" s="10"/>
      <c r="AC5290" s="10"/>
      <c r="AD5290" s="10"/>
      <c r="AE5290" s="10"/>
      <c r="AF5290" s="10"/>
      <c r="AG5290" s="10"/>
      <c r="AH5290" s="10"/>
    </row>
    <row r="5291" spans="1:34" outlineLevel="2">
      <c r="A5291" s="21"/>
      <c r="B5291" s="12" t="str">
        <f>IFERROR(VLOOKUP(D5291,'[1]Перечень товаров'!$A$2:$I9525,2,0),"")</f>
        <v>тм152</v>
      </c>
      <c r="C5291" s="12" t="str">
        <f>IFERROR(VLOOKUP(D5291,'[1]Перечень товаров'!$A$2:$I9525,3,0),"")</f>
        <v>Техника муз</v>
      </c>
      <c r="D5291" s="22" t="s">
        <v>1572</v>
      </c>
      <c r="E5291" s="203"/>
      <c r="F5291" s="203"/>
      <c r="G5291" s="24">
        <v>1</v>
      </c>
      <c r="H5291" s="24"/>
      <c r="I5291" s="25"/>
      <c r="J5291" s="25"/>
      <c r="K5291" s="19"/>
      <c r="L5291" s="20"/>
      <c r="M5291" s="10"/>
      <c r="N5291" s="10"/>
      <c r="O5291" s="10"/>
      <c r="P5291" s="10"/>
      <c r="Q5291" s="10"/>
      <c r="R5291" s="10"/>
      <c r="S5291" s="10"/>
      <c r="T5291" s="10"/>
      <c r="U5291" s="10"/>
      <c r="V5291" s="10"/>
      <c r="W5291" s="10"/>
      <c r="X5291" s="10"/>
      <c r="Y5291" s="10"/>
      <c r="Z5291" s="10"/>
      <c r="AA5291" s="10"/>
      <c r="AB5291" s="10"/>
      <c r="AC5291" s="10"/>
      <c r="AD5291" s="10"/>
      <c r="AE5291" s="10"/>
      <c r="AF5291" s="10"/>
      <c r="AG5291" s="10"/>
      <c r="AH5291" s="10"/>
    </row>
    <row r="5292" spans="1:34" outlineLevel="2">
      <c r="A5292" s="21"/>
      <c r="B5292" s="12" t="str">
        <f>IFERROR(VLOOKUP(D5292,'[1]Перечень товаров'!$A$2:$I9525,2,0),"")</f>
        <v>м137</v>
      </c>
      <c r="C5292" s="12" t="str">
        <f>IFERROR(VLOOKUP(D5292,'[1]Перечень товаров'!$A$2:$I9525,3,0),"")</f>
        <v>мебель</v>
      </c>
      <c r="D5292" s="22" t="s">
        <v>876</v>
      </c>
      <c r="E5292" s="203"/>
      <c r="F5292" s="203"/>
      <c r="G5292" s="24">
        <v>1</v>
      </c>
      <c r="H5292" s="24"/>
      <c r="I5292" s="25"/>
      <c r="J5292" s="25"/>
      <c r="K5292" s="19"/>
      <c r="L5292" s="20"/>
      <c r="M5292" s="10"/>
      <c r="N5292" s="10"/>
      <c r="O5292" s="10"/>
      <c r="P5292" s="10"/>
      <c r="Q5292" s="10"/>
      <c r="R5292" s="10"/>
      <c r="S5292" s="10"/>
      <c r="T5292" s="10"/>
      <c r="U5292" s="10"/>
      <c r="V5292" s="10"/>
      <c r="W5292" s="10"/>
      <c r="X5292" s="10"/>
      <c r="Y5292" s="10"/>
      <c r="Z5292" s="10"/>
      <c r="AA5292" s="10"/>
      <c r="AB5292" s="10"/>
      <c r="AC5292" s="10"/>
      <c r="AD5292" s="10"/>
      <c r="AE5292" s="10"/>
      <c r="AF5292" s="10"/>
      <c r="AG5292" s="10"/>
      <c r="AH5292" s="10"/>
    </row>
    <row r="5293" spans="1:34" outlineLevel="2">
      <c r="A5293" s="21"/>
      <c r="B5293" s="12" t="str">
        <f>IFERROR(VLOOKUP(D5293,'[1]Перечень товаров'!$A$2:$I9525,2,0),"")</f>
        <v>м187</v>
      </c>
      <c r="C5293" s="12" t="str">
        <f>IFERROR(VLOOKUP(D5293,'[1]Перечень товаров'!$A$2:$I9525,3,0),"")</f>
        <v>мебель</v>
      </c>
      <c r="D5293" s="22" t="s">
        <v>877</v>
      </c>
      <c r="E5293" s="203"/>
      <c r="F5293" s="203"/>
      <c r="G5293" s="24">
        <v>1</v>
      </c>
      <c r="H5293" s="24"/>
      <c r="I5293" s="25"/>
      <c r="J5293" s="25"/>
      <c r="K5293" s="19"/>
      <c r="L5293" s="20"/>
      <c r="M5293" s="10"/>
      <c r="N5293" s="10"/>
      <c r="O5293" s="10"/>
      <c r="P5293" s="10"/>
      <c r="Q5293" s="10"/>
      <c r="R5293" s="10"/>
      <c r="S5293" s="10"/>
      <c r="T5293" s="10"/>
      <c r="U5293" s="10"/>
      <c r="V5293" s="10"/>
      <c r="W5293" s="10"/>
      <c r="X5293" s="10"/>
      <c r="Y5293" s="10"/>
      <c r="Z5293" s="10"/>
      <c r="AA5293" s="10"/>
      <c r="AB5293" s="10"/>
      <c r="AC5293" s="10"/>
      <c r="AD5293" s="10"/>
      <c r="AE5293" s="10"/>
      <c r="AF5293" s="10"/>
      <c r="AG5293" s="10"/>
      <c r="AH5293" s="10"/>
    </row>
    <row r="5294" spans="1:34" outlineLevel="2">
      <c r="A5294" s="21"/>
      <c r="B5294" s="12" t="str">
        <f>IFERROR(VLOOKUP(D5294,'[1]Перечень товаров'!$A$2:$I9525,2,0),"")</f>
        <v>м30</v>
      </c>
      <c r="C5294" s="12" t="str">
        <f>IFERROR(VLOOKUP(D5294,'[1]Перечень товаров'!$A$2:$I9525,3,0),"")</f>
        <v>Мебель</v>
      </c>
      <c r="D5294" s="22" t="s">
        <v>181</v>
      </c>
      <c r="E5294" s="203"/>
      <c r="F5294" s="203"/>
      <c r="G5294" s="24">
        <v>2</v>
      </c>
      <c r="H5294" s="24"/>
      <c r="I5294" s="25"/>
      <c r="J5294" s="25"/>
      <c r="K5294" s="19"/>
      <c r="L5294" s="20"/>
      <c r="M5294" s="10"/>
      <c r="N5294" s="10"/>
      <c r="O5294" s="10"/>
      <c r="P5294" s="10"/>
      <c r="Q5294" s="10"/>
      <c r="R5294" s="10"/>
      <c r="S5294" s="10"/>
      <c r="T5294" s="10"/>
      <c r="U5294" s="10"/>
      <c r="V5294" s="10"/>
      <c r="W5294" s="10"/>
      <c r="X5294" s="10"/>
      <c r="Y5294" s="10"/>
      <c r="Z5294" s="10"/>
      <c r="AA5294" s="10"/>
      <c r="AB5294" s="10"/>
      <c r="AC5294" s="10"/>
      <c r="AD5294" s="10"/>
      <c r="AE5294" s="10"/>
      <c r="AF5294" s="10"/>
      <c r="AG5294" s="10"/>
      <c r="AH5294" s="10"/>
    </row>
    <row r="5295" spans="1:34" outlineLevel="2">
      <c r="A5295" s="21"/>
      <c r="B5295" s="12" t="str">
        <f>IFERROR(VLOOKUP(D5295,'[1]Перечень товаров'!$A$2:$I9525,2,0),"")</f>
        <v>м221</v>
      </c>
      <c r="C5295" s="12" t="str">
        <f>IFERROR(VLOOKUP(D5295,'[1]Перечень товаров'!$A$2:$I9525,3,0),"")</f>
        <v>Мебель</v>
      </c>
      <c r="D5295" s="22" t="s">
        <v>878</v>
      </c>
      <c r="E5295" s="203"/>
      <c r="F5295" s="203"/>
      <c r="G5295" s="24">
        <v>2</v>
      </c>
      <c r="H5295" s="24"/>
      <c r="I5295" s="25"/>
      <c r="J5295" s="25"/>
      <c r="K5295" s="19"/>
      <c r="L5295" s="20"/>
      <c r="M5295" s="10"/>
      <c r="N5295" s="10"/>
      <c r="O5295" s="10"/>
      <c r="P5295" s="10"/>
      <c r="Q5295" s="10"/>
      <c r="R5295" s="10"/>
      <c r="S5295" s="10"/>
      <c r="T5295" s="10"/>
      <c r="U5295" s="10"/>
      <c r="V5295" s="10"/>
      <c r="W5295" s="10"/>
      <c r="X5295" s="10"/>
      <c r="Y5295" s="10"/>
      <c r="Z5295" s="10"/>
      <c r="AA5295" s="10"/>
      <c r="AB5295" s="10"/>
      <c r="AC5295" s="10"/>
      <c r="AD5295" s="10"/>
      <c r="AE5295" s="10"/>
      <c r="AF5295" s="10"/>
      <c r="AG5295" s="10"/>
      <c r="AH5295" s="10"/>
    </row>
    <row r="5296" spans="1:34" ht="12.75" outlineLevel="1">
      <c r="A5296" s="11"/>
      <c r="B5296" s="12" t="str">
        <f>IFERROR(VLOOKUP(D5296,'[1]Перечень товаров'!$A$2:$I9525,2,0),"")</f>
        <v/>
      </c>
      <c r="C5296" s="12" t="str">
        <f>IFERROR(VLOOKUP(D5296,'[1]Перечень товаров'!$A$2:$I9525,3,0),"")</f>
        <v/>
      </c>
      <c r="D5296" s="27" t="s">
        <v>1576</v>
      </c>
      <c r="E5296" s="14">
        <v>4.8</v>
      </c>
      <c r="F5296" s="14"/>
      <c r="G5296" s="17"/>
      <c r="H5296" s="17"/>
      <c r="I5296" s="57"/>
      <c r="J5296" s="57"/>
      <c r="K5296" s="19"/>
      <c r="L5296" s="20"/>
      <c r="M5296" s="10"/>
      <c r="N5296" s="10"/>
      <c r="O5296" s="10"/>
      <c r="P5296" s="10"/>
      <c r="Q5296" s="10"/>
      <c r="R5296" s="10"/>
      <c r="S5296" s="10"/>
      <c r="T5296" s="10"/>
      <c r="U5296" s="10"/>
      <c r="V5296" s="10"/>
      <c r="W5296" s="10"/>
      <c r="X5296" s="10"/>
      <c r="Y5296" s="10"/>
      <c r="Z5296" s="10"/>
      <c r="AA5296" s="10"/>
      <c r="AB5296" s="10"/>
      <c r="AC5296" s="10"/>
      <c r="AD5296" s="10"/>
      <c r="AE5296" s="10"/>
      <c r="AF5296" s="10"/>
      <c r="AG5296" s="10"/>
      <c r="AH5296" s="10"/>
    </row>
    <row r="5297" spans="1:34" outlineLevel="2">
      <c r="A5297" s="22"/>
      <c r="B5297" s="12" t="str">
        <f>IFERROR(VLOOKUP(D5297,'[1]Перечень товаров'!$A$2:$I9525,2,0),"")</f>
        <v>п25</v>
      </c>
      <c r="C5297" s="12" t="str">
        <f>IFERROR(VLOOKUP(D5297,'[1]Перечень товаров'!$A$2:$I9525,3,0),"")</f>
        <v>Прочее</v>
      </c>
      <c r="D5297" s="22" t="s">
        <v>360</v>
      </c>
      <c r="E5297" s="102"/>
      <c r="F5297" s="102"/>
      <c r="G5297" s="48">
        <v>3</v>
      </c>
      <c r="H5297" s="48"/>
      <c r="I5297" s="49"/>
      <c r="J5297" s="49"/>
      <c r="K5297" s="33"/>
      <c r="L5297" s="20"/>
      <c r="M5297" s="10"/>
      <c r="N5297" s="10"/>
      <c r="O5297" s="10"/>
      <c r="P5297" s="10"/>
      <c r="Q5297" s="10"/>
      <c r="R5297" s="10"/>
      <c r="S5297" s="10"/>
      <c r="T5297" s="10"/>
      <c r="U5297" s="10"/>
      <c r="V5297" s="10"/>
      <c r="W5297" s="10"/>
      <c r="X5297" s="10"/>
      <c r="Y5297" s="10"/>
      <c r="Z5297" s="10"/>
      <c r="AA5297" s="10"/>
      <c r="AB5297" s="10"/>
      <c r="AC5297" s="10"/>
      <c r="AD5297" s="10"/>
      <c r="AE5297" s="10"/>
      <c r="AF5297" s="10"/>
      <c r="AG5297" s="10"/>
      <c r="AH5297" s="10"/>
    </row>
    <row r="5298" spans="1:34" outlineLevel="2">
      <c r="A5298" s="21"/>
      <c r="B5298" s="12" t="str">
        <f>IFERROR(VLOOKUP(D5298,'[1]Перечень товаров'!$A$2:$I9525,2,0),"")</f>
        <v>п26</v>
      </c>
      <c r="C5298" s="12" t="str">
        <f>IFERROR(VLOOKUP(D5298,'[1]Перечень товаров'!$A$2:$I9525,3,0),"")</f>
        <v>Прочее</v>
      </c>
      <c r="D5298" s="22" t="s">
        <v>361</v>
      </c>
      <c r="E5298" s="102"/>
      <c r="F5298" s="102"/>
      <c r="G5298" s="48">
        <v>2</v>
      </c>
      <c r="H5298" s="48"/>
      <c r="I5298" s="49"/>
      <c r="J5298" s="49"/>
      <c r="K5298" s="33"/>
      <c r="L5298" s="20"/>
      <c r="M5298" s="10"/>
      <c r="N5298" s="10"/>
      <c r="O5298" s="10"/>
      <c r="P5298" s="10"/>
      <c r="Q5298" s="10"/>
      <c r="R5298" s="10"/>
      <c r="S5298" s="10"/>
      <c r="T5298" s="10"/>
      <c r="U5298" s="10"/>
      <c r="V5298" s="10"/>
      <c r="W5298" s="10"/>
      <c r="X5298" s="10"/>
      <c r="Y5298" s="10"/>
      <c r="Z5298" s="10"/>
      <c r="AA5298" s="10"/>
      <c r="AB5298" s="10"/>
      <c r="AC5298" s="10"/>
      <c r="AD5298" s="10"/>
      <c r="AE5298" s="10"/>
      <c r="AF5298" s="10"/>
      <c r="AG5298" s="10"/>
      <c r="AH5298" s="10"/>
    </row>
    <row r="5299" spans="1:34" outlineLevel="2">
      <c r="A5299" s="21"/>
      <c r="B5299" s="12" t="str">
        <f>IFERROR(VLOOKUP(D5299,'[1]Перечень товаров'!$A$2:$I9525,2,0),"")</f>
        <v>п27</v>
      </c>
      <c r="C5299" s="12" t="str">
        <f>IFERROR(VLOOKUP(D5299,'[1]Перечень товаров'!$A$2:$I9525,3,0),"")</f>
        <v>Прочее</v>
      </c>
      <c r="D5299" s="22" t="s">
        <v>362</v>
      </c>
      <c r="E5299" s="102"/>
      <c r="F5299" s="102"/>
      <c r="G5299" s="48">
        <v>2</v>
      </c>
      <c r="H5299" s="48"/>
      <c r="I5299" s="49"/>
      <c r="J5299" s="49"/>
      <c r="K5299" s="33"/>
      <c r="L5299" s="20"/>
      <c r="M5299" s="10"/>
      <c r="N5299" s="10"/>
      <c r="O5299" s="10"/>
      <c r="P5299" s="10"/>
      <c r="Q5299" s="10"/>
      <c r="R5299" s="10"/>
      <c r="S5299" s="10"/>
      <c r="T5299" s="10"/>
      <c r="U5299" s="10"/>
      <c r="V5299" s="10"/>
      <c r="W5299" s="10"/>
      <c r="X5299" s="10"/>
      <c r="Y5299" s="10"/>
      <c r="Z5299" s="10"/>
      <c r="AA5299" s="10"/>
      <c r="AB5299" s="10"/>
      <c r="AC5299" s="10"/>
      <c r="AD5299" s="10"/>
      <c r="AE5299" s="10"/>
      <c r="AF5299" s="10"/>
      <c r="AG5299" s="10"/>
      <c r="AH5299" s="10"/>
    </row>
    <row r="5300" spans="1:34" outlineLevel="2">
      <c r="A5300" s="21"/>
      <c r="B5300" s="12" t="str">
        <f>IFERROR(VLOOKUP(D5300,'[1]Перечень товаров'!$A$2:$I9525,2,0),"")</f>
        <v>п28</v>
      </c>
      <c r="C5300" s="12" t="str">
        <f>IFERROR(VLOOKUP(D5300,'[1]Перечень товаров'!$A$2:$I9525,3,0),"")</f>
        <v>Прочее</v>
      </c>
      <c r="D5300" s="22" t="s">
        <v>363</v>
      </c>
      <c r="E5300" s="102"/>
      <c r="F5300" s="102"/>
      <c r="G5300" s="48">
        <v>1</v>
      </c>
      <c r="H5300" s="48"/>
      <c r="I5300" s="49"/>
      <c r="J5300" s="49"/>
      <c r="K5300" s="33"/>
      <c r="L5300" s="20"/>
      <c r="M5300" s="10"/>
      <c r="N5300" s="10"/>
      <c r="O5300" s="10"/>
      <c r="P5300" s="10"/>
      <c r="Q5300" s="10"/>
      <c r="R5300" s="10"/>
      <c r="S5300" s="10"/>
      <c r="T5300" s="10"/>
      <c r="U5300" s="10"/>
      <c r="V5300" s="10"/>
      <c r="W5300" s="10"/>
      <c r="X5300" s="10"/>
      <c r="Y5300" s="10"/>
      <c r="Z5300" s="10"/>
      <c r="AA5300" s="10"/>
      <c r="AB5300" s="10"/>
      <c r="AC5300" s="10"/>
      <c r="AD5300" s="10"/>
      <c r="AE5300" s="10"/>
      <c r="AF5300" s="10"/>
      <c r="AG5300" s="10"/>
      <c r="AH5300" s="10"/>
    </row>
    <row r="5301" spans="1:34" outlineLevel="2">
      <c r="A5301" s="21"/>
      <c r="B5301" s="12" t="str">
        <f>IFERROR(VLOOKUP(D5301,'[1]Перечень товаров'!$A$2:$I9525,2,0),"")</f>
        <v>п29</v>
      </c>
      <c r="C5301" s="12" t="str">
        <f>IFERROR(VLOOKUP(D5301,'[1]Перечень товаров'!$A$2:$I9525,3,0),"")</f>
        <v>Прочее</v>
      </c>
      <c r="D5301" s="22" t="s">
        <v>364</v>
      </c>
      <c r="E5301" s="102"/>
      <c r="F5301" s="102"/>
      <c r="G5301" s="48">
        <v>6</v>
      </c>
      <c r="H5301" s="48"/>
      <c r="I5301" s="49"/>
      <c r="J5301" s="49"/>
      <c r="K5301" s="33"/>
      <c r="L5301" s="20"/>
      <c r="M5301" s="10"/>
      <c r="N5301" s="10"/>
      <c r="O5301" s="10"/>
      <c r="P5301" s="10"/>
      <c r="Q5301" s="10"/>
      <c r="R5301" s="10"/>
      <c r="S5301" s="10"/>
      <c r="T5301" s="10"/>
      <c r="U5301" s="10"/>
      <c r="V5301" s="10"/>
      <c r="W5301" s="10"/>
      <c r="X5301" s="10"/>
      <c r="Y5301" s="10"/>
      <c r="Z5301" s="10"/>
      <c r="AA5301" s="10"/>
      <c r="AB5301" s="10"/>
      <c r="AC5301" s="10"/>
      <c r="AD5301" s="10"/>
      <c r="AE5301" s="10"/>
      <c r="AF5301" s="10"/>
      <c r="AG5301" s="10"/>
      <c r="AH5301" s="10"/>
    </row>
    <row r="5302" spans="1:34" outlineLevel="2">
      <c r="A5302" s="21"/>
      <c r="B5302" s="12" t="str">
        <f>IFERROR(VLOOKUP(D5302,'[1]Перечень товаров'!$A$2:$I9525,2,0),"")</f>
        <v>п30</v>
      </c>
      <c r="C5302" s="12" t="str">
        <f>IFERROR(VLOOKUP(D5302,'[1]Перечень товаров'!$A$2:$I9525,3,0),"")</f>
        <v>Прочее</v>
      </c>
      <c r="D5302" s="22" t="s">
        <v>365</v>
      </c>
      <c r="E5302" s="102"/>
      <c r="F5302" s="102"/>
      <c r="G5302" s="48">
        <v>2</v>
      </c>
      <c r="H5302" s="48"/>
      <c r="I5302" s="49"/>
      <c r="J5302" s="49"/>
      <c r="K5302" s="33"/>
      <c r="L5302" s="20"/>
      <c r="M5302" s="10"/>
      <c r="N5302" s="10"/>
      <c r="O5302" s="10"/>
      <c r="P5302" s="10"/>
      <c r="Q5302" s="10"/>
      <c r="R5302" s="10"/>
      <c r="S5302" s="10"/>
      <c r="T5302" s="10"/>
      <c r="U5302" s="10"/>
      <c r="V5302" s="10"/>
      <c r="W5302" s="10"/>
      <c r="X5302" s="10"/>
      <c r="Y5302" s="10"/>
      <c r="Z5302" s="10"/>
      <c r="AA5302" s="10"/>
      <c r="AB5302" s="10"/>
      <c r="AC5302" s="10"/>
      <c r="AD5302" s="10"/>
      <c r="AE5302" s="10"/>
      <c r="AF5302" s="10"/>
      <c r="AG5302" s="10"/>
      <c r="AH5302" s="10"/>
    </row>
    <row r="5303" spans="1:34" ht="31.5" outlineLevel="2">
      <c r="A5303" s="21"/>
      <c r="B5303" s="12" t="str">
        <f>IFERROR(VLOOKUP(D5303,'[1]Перечень товаров'!$A$2:$I9525,2,0),"")</f>
        <v>п31</v>
      </c>
      <c r="C5303" s="12" t="str">
        <f>IFERROR(VLOOKUP(D5303,'[1]Перечень товаров'!$A$2:$I9525,3,0),"")</f>
        <v>Прочее</v>
      </c>
      <c r="D5303" s="22" t="s">
        <v>366</v>
      </c>
      <c r="E5303" s="102"/>
      <c r="F5303" s="102"/>
      <c r="G5303" s="48">
        <v>1</v>
      </c>
      <c r="H5303" s="48"/>
      <c r="I5303" s="49"/>
      <c r="J5303" s="49"/>
      <c r="K5303" s="33"/>
      <c r="L5303" s="20"/>
      <c r="M5303" s="10"/>
      <c r="N5303" s="10"/>
      <c r="O5303" s="10"/>
      <c r="P5303" s="10"/>
      <c r="Q5303" s="10"/>
      <c r="R5303" s="10"/>
      <c r="S5303" s="10"/>
      <c r="T5303" s="10"/>
      <c r="U5303" s="10"/>
      <c r="V5303" s="10"/>
      <c r="W5303" s="10"/>
      <c r="X5303" s="10"/>
      <c r="Y5303" s="10"/>
      <c r="Z5303" s="10"/>
      <c r="AA5303" s="10"/>
      <c r="AB5303" s="10"/>
      <c r="AC5303" s="10"/>
      <c r="AD5303" s="10"/>
      <c r="AE5303" s="10"/>
      <c r="AF5303" s="10"/>
      <c r="AG5303" s="10"/>
      <c r="AH5303" s="10"/>
    </row>
    <row r="5304" spans="1:34" ht="31.5" outlineLevel="2">
      <c r="A5304" s="21"/>
      <c r="B5304" s="12" t="str">
        <f>IFERROR(VLOOKUP(D5304,'[1]Перечень товаров'!$A$2:$I9525,2,0),"")</f>
        <v>п32</v>
      </c>
      <c r="C5304" s="12" t="str">
        <f>IFERROR(VLOOKUP(D5304,'[1]Перечень товаров'!$A$2:$I9525,3,0),"")</f>
        <v>Прочее</v>
      </c>
      <c r="D5304" s="22" t="s">
        <v>367</v>
      </c>
      <c r="E5304" s="102"/>
      <c r="F5304" s="102"/>
      <c r="G5304" s="48">
        <v>2</v>
      </c>
      <c r="H5304" s="48"/>
      <c r="I5304" s="49"/>
      <c r="J5304" s="49"/>
      <c r="K5304" s="33"/>
      <c r="L5304" s="20"/>
      <c r="M5304" s="10"/>
      <c r="N5304" s="10"/>
      <c r="O5304" s="10"/>
      <c r="P5304" s="10"/>
      <c r="Q5304" s="10"/>
      <c r="R5304" s="10"/>
      <c r="S5304" s="10"/>
      <c r="T5304" s="10"/>
      <c r="U5304" s="10"/>
      <c r="V5304" s="10"/>
      <c r="W5304" s="10"/>
      <c r="X5304" s="10"/>
      <c r="Y5304" s="10"/>
      <c r="Z5304" s="10"/>
      <c r="AA5304" s="10"/>
      <c r="AB5304" s="10"/>
      <c r="AC5304" s="10"/>
      <c r="AD5304" s="10"/>
      <c r="AE5304" s="10"/>
      <c r="AF5304" s="10"/>
      <c r="AG5304" s="10"/>
      <c r="AH5304" s="10"/>
    </row>
    <row r="5305" spans="1:34" ht="12.75" outlineLevel="1">
      <c r="A5305" s="11"/>
      <c r="B5305" s="12" t="str">
        <f>IFERROR(VLOOKUP(D5305,'[1]Перечень товаров'!$A$2:$I9525,2,0),"")</f>
        <v/>
      </c>
      <c r="C5305" s="12" t="str">
        <f>IFERROR(VLOOKUP(D5305,'[1]Перечень товаров'!$A$2:$I9525,3,0),"")</f>
        <v/>
      </c>
      <c r="D5305" s="27" t="s">
        <v>1577</v>
      </c>
      <c r="E5305" s="14">
        <v>5.9</v>
      </c>
      <c r="F5305" s="14"/>
      <c r="G5305" s="17"/>
      <c r="H5305" s="17"/>
      <c r="I5305" s="57"/>
      <c r="J5305" s="57"/>
      <c r="K5305" s="19"/>
      <c r="L5305" s="20"/>
      <c r="M5305" s="10"/>
      <c r="N5305" s="10"/>
      <c r="O5305" s="10"/>
      <c r="P5305" s="10"/>
      <c r="Q5305" s="10"/>
      <c r="R5305" s="10"/>
      <c r="S5305" s="10"/>
      <c r="T5305" s="10"/>
      <c r="U5305" s="10"/>
      <c r="V5305" s="10"/>
      <c r="W5305" s="10"/>
      <c r="X5305" s="10"/>
      <c r="Y5305" s="10"/>
      <c r="Z5305" s="10"/>
      <c r="AA5305" s="10"/>
      <c r="AB5305" s="10"/>
      <c r="AC5305" s="10"/>
      <c r="AD5305" s="10"/>
      <c r="AE5305" s="10"/>
      <c r="AF5305" s="10"/>
      <c r="AG5305" s="10"/>
      <c r="AH5305" s="10"/>
    </row>
    <row r="5306" spans="1:34" outlineLevel="2">
      <c r="A5306" s="43"/>
      <c r="B5306" s="12" t="str">
        <f>IFERROR(VLOOKUP(D5306,'[1]Перечень товаров'!$A$2:$I9525,2,0),"")</f>
        <v>м222</v>
      </c>
      <c r="C5306" s="12" t="str">
        <f>IFERROR(VLOOKUP(D5306,'[1]Перечень товаров'!$A$2:$I9525,3,0),"")</f>
        <v>Мебель</v>
      </c>
      <c r="D5306" s="44" t="s">
        <v>880</v>
      </c>
      <c r="E5306" s="102"/>
      <c r="F5306" s="102"/>
      <c r="G5306" s="24">
        <v>1</v>
      </c>
      <c r="H5306" s="24"/>
      <c r="I5306" s="25"/>
      <c r="J5306" s="25"/>
      <c r="K5306" s="19"/>
      <c r="L5306" s="20"/>
      <c r="M5306" s="10"/>
      <c r="N5306" s="10"/>
      <c r="O5306" s="10"/>
      <c r="P5306" s="10"/>
      <c r="Q5306" s="10"/>
      <c r="R5306" s="10"/>
      <c r="S5306" s="10"/>
      <c r="T5306" s="10"/>
      <c r="U5306" s="10"/>
      <c r="V5306" s="10"/>
      <c r="W5306" s="10"/>
      <c r="X5306" s="10"/>
      <c r="Y5306" s="10"/>
      <c r="Z5306" s="10"/>
      <c r="AA5306" s="10"/>
      <c r="AB5306" s="10"/>
      <c r="AC5306" s="10"/>
      <c r="AD5306" s="10"/>
      <c r="AE5306" s="10"/>
      <c r="AF5306" s="10"/>
      <c r="AG5306" s="10"/>
      <c r="AH5306" s="10"/>
    </row>
    <row r="5307" spans="1:34" outlineLevel="2">
      <c r="A5307" s="43"/>
      <c r="B5307" s="12" t="str">
        <f>IFERROR(VLOOKUP(D5307,'[1]Перечень товаров'!$A$2:$I9525,2,0),"")</f>
        <v>м223</v>
      </c>
      <c r="C5307" s="12" t="str">
        <f>IFERROR(VLOOKUP(D5307,'[1]Перечень товаров'!$A$2:$I9525,3,0),"")</f>
        <v>Мебель</v>
      </c>
      <c r="D5307" s="44" t="s">
        <v>881</v>
      </c>
      <c r="E5307" s="102"/>
      <c r="F5307" s="102"/>
      <c r="G5307" s="24">
        <v>1</v>
      </c>
      <c r="H5307" s="24"/>
      <c r="I5307" s="25"/>
      <c r="J5307" s="25"/>
      <c r="K5307" s="19"/>
      <c r="L5307" s="20"/>
      <c r="M5307" s="10"/>
      <c r="N5307" s="10"/>
      <c r="O5307" s="10"/>
      <c r="P5307" s="10"/>
      <c r="Q5307" s="10"/>
      <c r="R5307" s="10"/>
      <c r="S5307" s="10"/>
      <c r="T5307" s="10"/>
      <c r="U5307" s="10"/>
      <c r="V5307" s="10"/>
      <c r="W5307" s="10"/>
      <c r="X5307" s="10"/>
      <c r="Y5307" s="10"/>
      <c r="Z5307" s="10"/>
      <c r="AA5307" s="10"/>
      <c r="AB5307" s="10"/>
      <c r="AC5307" s="10"/>
      <c r="AD5307" s="10"/>
      <c r="AE5307" s="10"/>
      <c r="AF5307" s="10"/>
      <c r="AG5307" s="10"/>
      <c r="AH5307" s="10"/>
    </row>
    <row r="5308" spans="1:34" outlineLevel="2">
      <c r="A5308" s="43"/>
      <c r="B5308" s="12" t="str">
        <f>IFERROR(VLOOKUP(D5308,'[1]Перечень товаров'!$A$2:$I9525,2,0),"")</f>
        <v>м224</v>
      </c>
      <c r="C5308" s="12" t="str">
        <f>IFERROR(VLOOKUP(D5308,'[1]Перечень товаров'!$A$2:$I9525,3,0),"")</f>
        <v>Мебель</v>
      </c>
      <c r="D5308" s="44" t="s">
        <v>882</v>
      </c>
      <c r="E5308" s="102"/>
      <c r="F5308" s="102"/>
      <c r="G5308" s="24">
        <v>1</v>
      </c>
      <c r="H5308" s="24"/>
      <c r="I5308" s="25"/>
      <c r="J5308" s="25"/>
      <c r="K5308" s="19"/>
      <c r="L5308" s="20"/>
      <c r="M5308" s="10"/>
      <c r="N5308" s="10"/>
      <c r="O5308" s="10"/>
      <c r="P5308" s="10"/>
      <c r="Q5308" s="10"/>
      <c r="R5308" s="10"/>
      <c r="S5308" s="10"/>
      <c r="T5308" s="10"/>
      <c r="U5308" s="10"/>
      <c r="V5308" s="10"/>
      <c r="W5308" s="10"/>
      <c r="X5308" s="10"/>
      <c r="Y5308" s="10"/>
      <c r="Z5308" s="10"/>
      <c r="AA5308" s="10"/>
      <c r="AB5308" s="10"/>
      <c r="AC5308" s="10"/>
      <c r="AD5308" s="10"/>
      <c r="AE5308" s="10"/>
      <c r="AF5308" s="10"/>
      <c r="AG5308" s="10"/>
      <c r="AH5308" s="10"/>
    </row>
    <row r="5309" spans="1:34" outlineLevel="2">
      <c r="A5309" s="43"/>
      <c r="B5309" s="12" t="str">
        <f>IFERROR(VLOOKUP(D5309,'[1]Перечень товаров'!$A$2:$I9525,2,0),"")</f>
        <v>м225</v>
      </c>
      <c r="C5309" s="12" t="str">
        <f>IFERROR(VLOOKUP(D5309,'[1]Перечень товаров'!$A$2:$I9525,3,0),"")</f>
        <v>Мебель</v>
      </c>
      <c r="D5309" s="44" t="s">
        <v>883</v>
      </c>
      <c r="E5309" s="102"/>
      <c r="F5309" s="102"/>
      <c r="G5309" s="24">
        <v>1</v>
      </c>
      <c r="H5309" s="24"/>
      <c r="I5309" s="25"/>
      <c r="J5309" s="25"/>
      <c r="K5309" s="19"/>
      <c r="L5309" s="20"/>
      <c r="M5309" s="10"/>
      <c r="N5309" s="10"/>
      <c r="O5309" s="10"/>
      <c r="P5309" s="10"/>
      <c r="Q5309" s="10"/>
      <c r="R5309" s="10"/>
      <c r="S5309" s="10"/>
      <c r="T5309" s="10"/>
      <c r="U5309" s="10"/>
      <c r="V5309" s="10"/>
      <c r="W5309" s="10"/>
      <c r="X5309" s="10"/>
      <c r="Y5309" s="10"/>
      <c r="Z5309" s="10"/>
      <c r="AA5309" s="10"/>
      <c r="AB5309" s="10"/>
      <c r="AC5309" s="10"/>
      <c r="AD5309" s="10"/>
      <c r="AE5309" s="10"/>
      <c r="AF5309" s="10"/>
      <c r="AG5309" s="10"/>
      <c r="AH5309" s="10"/>
    </row>
    <row r="5310" spans="1:34" outlineLevel="2">
      <c r="A5310" s="43"/>
      <c r="B5310" s="12" t="str">
        <f>IFERROR(VLOOKUP(D5310,'[1]Перечень товаров'!$A$2:$I9525,2,0),"")</f>
        <v>п28</v>
      </c>
      <c r="C5310" s="12" t="str">
        <f>IFERROR(VLOOKUP(D5310,'[1]Перечень товаров'!$A$2:$I9525,3,0),"")</f>
        <v>Прочее</v>
      </c>
      <c r="D5310" s="44" t="s">
        <v>363</v>
      </c>
      <c r="E5310" s="102"/>
      <c r="F5310" s="102"/>
      <c r="G5310" s="24">
        <v>1</v>
      </c>
      <c r="H5310" s="24"/>
      <c r="I5310" s="25"/>
      <c r="J5310" s="25"/>
      <c r="K5310" s="19"/>
      <c r="L5310" s="20"/>
      <c r="M5310" s="10"/>
      <c r="N5310" s="10"/>
      <c r="O5310" s="10"/>
      <c r="P5310" s="10"/>
      <c r="Q5310" s="10"/>
      <c r="R5310" s="10"/>
      <c r="S5310" s="10"/>
      <c r="T5310" s="10"/>
      <c r="U5310" s="10"/>
      <c r="V5310" s="10"/>
      <c r="W5310" s="10"/>
      <c r="X5310" s="10"/>
      <c r="Y5310" s="10"/>
      <c r="Z5310" s="10"/>
      <c r="AA5310" s="10"/>
      <c r="AB5310" s="10"/>
      <c r="AC5310" s="10"/>
      <c r="AD5310" s="10"/>
      <c r="AE5310" s="10"/>
      <c r="AF5310" s="10"/>
      <c r="AG5310" s="10"/>
      <c r="AH5310" s="10"/>
    </row>
    <row r="5311" spans="1:34" outlineLevel="2">
      <c r="A5311" s="43"/>
      <c r="B5311" s="12" t="str">
        <f>IFERROR(VLOOKUP(D5311,'[1]Перечень товаров'!$A$2:$I9525,2,0),"")</f>
        <v>м226</v>
      </c>
      <c r="C5311" s="12" t="str">
        <f>IFERROR(VLOOKUP(D5311,'[1]Перечень товаров'!$A$2:$I9525,3,0),"")</f>
        <v>Мебель</v>
      </c>
      <c r="D5311" s="44" t="s">
        <v>884</v>
      </c>
      <c r="E5311" s="102"/>
      <c r="F5311" s="102"/>
      <c r="G5311" s="24">
        <v>1</v>
      </c>
      <c r="H5311" s="24"/>
      <c r="I5311" s="25"/>
      <c r="J5311" s="25"/>
      <c r="K5311" s="19"/>
      <c r="L5311" s="20"/>
      <c r="M5311" s="10"/>
      <c r="N5311" s="10"/>
      <c r="O5311" s="10"/>
      <c r="P5311" s="10"/>
      <c r="Q5311" s="10"/>
      <c r="R5311" s="10"/>
      <c r="S5311" s="10"/>
      <c r="T5311" s="10"/>
      <c r="U5311" s="10"/>
      <c r="V5311" s="10"/>
      <c r="W5311" s="10"/>
      <c r="X5311" s="10"/>
      <c r="Y5311" s="10"/>
      <c r="Z5311" s="10"/>
      <c r="AA5311" s="10"/>
      <c r="AB5311" s="10"/>
      <c r="AC5311" s="10"/>
      <c r="AD5311" s="10"/>
      <c r="AE5311" s="10"/>
      <c r="AF5311" s="10"/>
      <c r="AG5311" s="10"/>
      <c r="AH5311" s="10"/>
    </row>
    <row r="5312" spans="1:34" outlineLevel="1">
      <c r="A5312" s="21"/>
      <c r="B5312" s="12" t="str">
        <f>IFERROR(VLOOKUP(D5312,'[1]Перечень товаров'!$A$2:$I9525,2,0),"")</f>
        <v/>
      </c>
      <c r="C5312" s="12" t="str">
        <f>IFERROR(VLOOKUP(D5312,'[1]Перечень товаров'!$A$2:$I9525,3,0),"")</f>
        <v/>
      </c>
      <c r="D5312" s="22" t="s">
        <v>934</v>
      </c>
      <c r="E5312" s="23">
        <v>2</v>
      </c>
      <c r="F5312" s="23"/>
      <c r="G5312" s="24"/>
      <c r="H5312" s="24"/>
      <c r="I5312" s="25"/>
      <c r="J5312" s="25"/>
      <c r="K5312" s="19"/>
      <c r="L5312" s="20"/>
      <c r="M5312" s="10"/>
      <c r="N5312" s="10"/>
      <c r="O5312" s="10"/>
      <c r="P5312" s="10"/>
      <c r="Q5312" s="10"/>
      <c r="R5312" s="10"/>
      <c r="S5312" s="10"/>
      <c r="T5312" s="10"/>
      <c r="U5312" s="10"/>
      <c r="V5312" s="10"/>
      <c r="W5312" s="10"/>
      <c r="X5312" s="10"/>
      <c r="Y5312" s="10"/>
      <c r="Z5312" s="10"/>
      <c r="AA5312" s="10"/>
      <c r="AB5312" s="10"/>
      <c r="AC5312" s="10"/>
      <c r="AD5312" s="10"/>
      <c r="AE5312" s="10"/>
      <c r="AF5312" s="10"/>
      <c r="AG5312" s="10"/>
      <c r="AH5312" s="10"/>
    </row>
    <row r="5313" spans="1:34" ht="12.75" outlineLevel="1">
      <c r="A5313" s="11"/>
      <c r="B5313" s="12" t="str">
        <f>IFERROR(VLOOKUP(D5313,'[1]Перечень товаров'!$A$2:$I9525,2,0),"")</f>
        <v/>
      </c>
      <c r="C5313" s="12" t="str">
        <f>IFERROR(VLOOKUP(D5313,'[1]Перечень товаров'!$A$2:$I9525,3,0),"")</f>
        <v/>
      </c>
      <c r="D5313" s="27" t="s">
        <v>1575</v>
      </c>
      <c r="E5313" s="14">
        <v>16.399999999999999</v>
      </c>
      <c r="F5313" s="14"/>
      <c r="G5313" s="17"/>
      <c r="H5313" s="17"/>
      <c r="I5313" s="57"/>
      <c r="J5313" s="57"/>
      <c r="K5313" s="19"/>
      <c r="L5313" s="20"/>
      <c r="M5313" s="10"/>
      <c r="N5313" s="10"/>
      <c r="O5313" s="10"/>
      <c r="P5313" s="10"/>
      <c r="Q5313" s="10"/>
      <c r="R5313" s="10"/>
      <c r="S5313" s="10"/>
      <c r="T5313" s="10"/>
      <c r="U5313" s="10"/>
      <c r="V5313" s="10"/>
      <c r="W5313" s="10"/>
      <c r="X5313" s="10"/>
      <c r="Y5313" s="10"/>
      <c r="Z5313" s="10"/>
      <c r="AA5313" s="10"/>
      <c r="AB5313" s="10"/>
      <c r="AC5313" s="10"/>
      <c r="AD5313" s="10"/>
      <c r="AE5313" s="10"/>
      <c r="AF5313" s="10"/>
      <c r="AG5313" s="10"/>
      <c r="AH5313" s="10"/>
    </row>
    <row r="5314" spans="1:34" outlineLevel="2">
      <c r="A5314" s="22"/>
      <c r="B5314" s="12" t="str">
        <f>IFERROR(VLOOKUP(D5314,'[1]Перечень товаров'!$A$2:$I9525,2,0),"")</f>
        <v>м14</v>
      </c>
      <c r="C5314" s="12" t="str">
        <f>IFERROR(VLOOKUP(D5314,'[1]Перечень товаров'!$A$2:$I9525,3,0),"")</f>
        <v>Мебель</v>
      </c>
      <c r="D5314" s="22" t="s">
        <v>43</v>
      </c>
      <c r="E5314" s="203"/>
      <c r="F5314" s="203"/>
      <c r="G5314" s="24">
        <v>1</v>
      </c>
      <c r="H5314" s="24"/>
      <c r="I5314" s="25"/>
      <c r="J5314" s="25"/>
      <c r="K5314" s="19"/>
      <c r="L5314" s="20"/>
      <c r="M5314" s="10"/>
      <c r="N5314" s="10"/>
      <c r="O5314" s="10"/>
      <c r="P5314" s="10"/>
      <c r="Q5314" s="10"/>
      <c r="R5314" s="10"/>
      <c r="S5314" s="10"/>
      <c r="T5314" s="10"/>
      <c r="U5314" s="10"/>
      <c r="V5314" s="10"/>
      <c r="W5314" s="10"/>
      <c r="X5314" s="10"/>
      <c r="Y5314" s="10"/>
      <c r="Z5314" s="10"/>
      <c r="AA5314" s="10"/>
      <c r="AB5314" s="10"/>
      <c r="AC5314" s="10"/>
      <c r="AD5314" s="10"/>
      <c r="AE5314" s="10"/>
      <c r="AF5314" s="10"/>
      <c r="AG5314" s="10"/>
      <c r="AH5314" s="10"/>
    </row>
    <row r="5315" spans="1:34" outlineLevel="2">
      <c r="A5315" s="21"/>
      <c r="B5315" s="12" t="str">
        <f>IFERROR(VLOOKUP(D5315,'[1]Перечень товаров'!$A$2:$I9525,2,0),"")</f>
        <v>м167</v>
      </c>
      <c r="C5315" s="12" t="str">
        <f>IFERROR(VLOOKUP(D5315,'[1]Перечень товаров'!$A$2:$I9525,3,0),"")</f>
        <v>Мебель</v>
      </c>
      <c r="D5315" s="22" t="s">
        <v>508</v>
      </c>
      <c r="E5315" s="203"/>
      <c r="F5315" s="203"/>
      <c r="G5315" s="24">
        <v>1</v>
      </c>
      <c r="H5315" s="24"/>
      <c r="I5315" s="25"/>
      <c r="J5315" s="25"/>
      <c r="K5315" s="19"/>
      <c r="L5315" s="20"/>
      <c r="M5315" s="10"/>
      <c r="N5315" s="10"/>
      <c r="O5315" s="10"/>
      <c r="P5315" s="10"/>
      <c r="Q5315" s="10"/>
      <c r="R5315" s="10"/>
      <c r="S5315" s="10"/>
      <c r="T5315" s="10"/>
      <c r="U5315" s="10"/>
      <c r="V5315" s="10"/>
      <c r="W5315" s="10"/>
      <c r="X5315" s="10"/>
      <c r="Y5315" s="10"/>
      <c r="Z5315" s="10"/>
      <c r="AA5315" s="10"/>
      <c r="AB5315" s="10"/>
      <c r="AC5315" s="10"/>
      <c r="AD5315" s="10"/>
      <c r="AE5315" s="10"/>
      <c r="AF5315" s="10"/>
      <c r="AG5315" s="10"/>
      <c r="AH5315" s="10"/>
    </row>
    <row r="5316" spans="1:34" outlineLevel="2">
      <c r="A5316" s="21"/>
      <c r="B5316" s="12" t="str">
        <f>IFERROR(VLOOKUP(D5316,'[1]Перечень товаров'!$A$2:$I9525,2,0),"")</f>
        <v>м218</v>
      </c>
      <c r="C5316" s="12" t="str">
        <f>IFERROR(VLOOKUP(D5316,'[1]Перечень товаров'!$A$2:$I9525,3,0),"")</f>
        <v>Мебель</v>
      </c>
      <c r="D5316" s="22" t="s">
        <v>872</v>
      </c>
      <c r="E5316" s="203"/>
      <c r="F5316" s="203"/>
      <c r="G5316" s="24">
        <v>2</v>
      </c>
      <c r="H5316" s="24"/>
      <c r="I5316" s="25"/>
      <c r="J5316" s="25"/>
      <c r="K5316" s="19"/>
      <c r="L5316" s="20"/>
      <c r="M5316" s="10"/>
      <c r="N5316" s="10"/>
      <c r="O5316" s="10"/>
      <c r="P5316" s="10"/>
      <c r="Q5316" s="10"/>
      <c r="R5316" s="10"/>
      <c r="S5316" s="10"/>
      <c r="T5316" s="10"/>
      <c r="U5316" s="10"/>
      <c r="V5316" s="10"/>
      <c r="W5316" s="10"/>
      <c r="X5316" s="10"/>
      <c r="Y5316" s="10"/>
      <c r="Z5316" s="10"/>
      <c r="AA5316" s="10"/>
      <c r="AB5316" s="10"/>
      <c r="AC5316" s="10"/>
      <c r="AD5316" s="10"/>
      <c r="AE5316" s="10"/>
      <c r="AF5316" s="10"/>
      <c r="AG5316" s="10"/>
      <c r="AH5316" s="10"/>
    </row>
    <row r="5317" spans="1:34" outlineLevel="2">
      <c r="A5317" s="21"/>
      <c r="B5317" s="12" t="str">
        <f>IFERROR(VLOOKUP(D5317,'[1]Перечень товаров'!$A$2:$I9525,2,0),"")</f>
        <v>м219</v>
      </c>
      <c r="C5317" s="12" t="str">
        <f>IFERROR(VLOOKUP(D5317,'[1]Перечень товаров'!$A$2:$I9525,3,0),"")</f>
        <v>Мебель</v>
      </c>
      <c r="D5317" s="22" t="s">
        <v>873</v>
      </c>
      <c r="E5317" s="203"/>
      <c r="F5317" s="203"/>
      <c r="G5317" s="24">
        <v>4</v>
      </c>
      <c r="H5317" s="24"/>
      <c r="I5317" s="25"/>
      <c r="J5317" s="25"/>
      <c r="K5317" s="19"/>
      <c r="L5317" s="20"/>
      <c r="M5317" s="10"/>
      <c r="N5317" s="10"/>
      <c r="O5317" s="10"/>
      <c r="P5317" s="10"/>
      <c r="Q5317" s="10"/>
      <c r="R5317" s="10"/>
      <c r="S5317" s="10"/>
      <c r="T5317" s="10"/>
      <c r="U5317" s="10"/>
      <c r="V5317" s="10"/>
      <c r="W5317" s="10"/>
      <c r="X5317" s="10"/>
      <c r="Y5317" s="10"/>
      <c r="Z5317" s="10"/>
      <c r="AA5317" s="10"/>
      <c r="AB5317" s="10"/>
      <c r="AC5317" s="10"/>
      <c r="AD5317" s="10"/>
      <c r="AE5317" s="10"/>
      <c r="AF5317" s="10"/>
      <c r="AG5317" s="10"/>
      <c r="AH5317" s="10"/>
    </row>
    <row r="5318" spans="1:34" outlineLevel="2">
      <c r="A5318" s="21"/>
      <c r="B5318" s="12" t="str">
        <f>IFERROR(VLOOKUP(D5318,'[1]Перечень товаров'!$A$2:$I9525,2,0),"")</f>
        <v>м220</v>
      </c>
      <c r="C5318" s="12" t="str">
        <f>IFERROR(VLOOKUP(D5318,'[1]Перечень товаров'!$A$2:$I9525,3,0),"")</f>
        <v>Мебель</v>
      </c>
      <c r="D5318" s="22" t="s">
        <v>874</v>
      </c>
      <c r="E5318" s="203"/>
      <c r="F5318" s="203"/>
      <c r="G5318" s="24">
        <v>1</v>
      </c>
      <c r="H5318" s="24"/>
      <c r="I5318" s="25"/>
      <c r="J5318" s="25"/>
      <c r="K5318" s="19"/>
      <c r="L5318" s="20"/>
      <c r="M5318" s="10"/>
      <c r="N5318" s="10"/>
      <c r="O5318" s="10"/>
      <c r="P5318" s="10"/>
      <c r="Q5318" s="10"/>
      <c r="R5318" s="10"/>
      <c r="S5318" s="10"/>
      <c r="T5318" s="10"/>
      <c r="U5318" s="10"/>
      <c r="V5318" s="10"/>
      <c r="W5318" s="10"/>
      <c r="X5318" s="10"/>
      <c r="Y5318" s="10"/>
      <c r="Z5318" s="10"/>
      <c r="AA5318" s="10"/>
      <c r="AB5318" s="10"/>
      <c r="AC5318" s="10"/>
      <c r="AD5318" s="10"/>
      <c r="AE5318" s="10"/>
      <c r="AF5318" s="10"/>
      <c r="AG5318" s="10"/>
      <c r="AH5318" s="10"/>
    </row>
    <row r="5319" spans="1:34" outlineLevel="2">
      <c r="A5319" s="21"/>
      <c r="B5319" s="12" t="str">
        <f>IFERROR(VLOOKUP(D5319,'[1]Перечень товаров'!$A$2:$I9525,2,0),"")</f>
        <v>м187</v>
      </c>
      <c r="C5319" s="12" t="str">
        <f>IFERROR(VLOOKUP(D5319,'[1]Перечень товаров'!$A$2:$I9525,3,0),"")</f>
        <v>мебель</v>
      </c>
      <c r="D5319" s="22" t="s">
        <v>877</v>
      </c>
      <c r="E5319" s="203"/>
      <c r="F5319" s="203"/>
      <c r="G5319" s="24">
        <v>1</v>
      </c>
      <c r="H5319" s="24"/>
      <c r="I5319" s="25"/>
      <c r="J5319" s="25"/>
      <c r="K5319" s="19"/>
      <c r="L5319" s="20"/>
      <c r="M5319" s="10"/>
      <c r="N5319" s="10"/>
      <c r="O5319" s="10"/>
      <c r="P5319" s="10"/>
      <c r="Q5319" s="10"/>
      <c r="R5319" s="10"/>
      <c r="S5319" s="10"/>
      <c r="T5319" s="10"/>
      <c r="U5319" s="10"/>
      <c r="V5319" s="10"/>
      <c r="W5319" s="10"/>
      <c r="X5319" s="10"/>
      <c r="Y5319" s="10"/>
      <c r="Z5319" s="10"/>
      <c r="AA5319" s="10"/>
      <c r="AB5319" s="10"/>
      <c r="AC5319" s="10"/>
      <c r="AD5319" s="10"/>
      <c r="AE5319" s="10"/>
      <c r="AF5319" s="10"/>
      <c r="AG5319" s="10"/>
      <c r="AH5319" s="10"/>
    </row>
    <row r="5320" spans="1:34" outlineLevel="2">
      <c r="A5320" s="21"/>
      <c r="B5320" s="12" t="str">
        <f>IFERROR(VLOOKUP(D5320,'[1]Перечень товаров'!$A$2:$I9525,2,0),"")</f>
        <v>м30</v>
      </c>
      <c r="C5320" s="12" t="str">
        <f>IFERROR(VLOOKUP(D5320,'[1]Перечень товаров'!$A$2:$I9525,3,0),"")</f>
        <v>Мебель</v>
      </c>
      <c r="D5320" s="22" t="s">
        <v>181</v>
      </c>
      <c r="E5320" s="203"/>
      <c r="F5320" s="203"/>
      <c r="G5320" s="24">
        <v>2</v>
      </c>
      <c r="H5320" s="24"/>
      <c r="I5320" s="25"/>
      <c r="J5320" s="25"/>
      <c r="K5320" s="19"/>
      <c r="L5320" s="20"/>
      <c r="M5320" s="10"/>
      <c r="N5320" s="10"/>
      <c r="O5320" s="10"/>
      <c r="P5320" s="10"/>
      <c r="Q5320" s="10"/>
      <c r="R5320" s="10"/>
      <c r="S5320" s="10"/>
      <c r="T5320" s="10"/>
      <c r="U5320" s="10"/>
      <c r="V5320" s="10"/>
      <c r="W5320" s="10"/>
      <c r="X5320" s="10"/>
      <c r="Y5320" s="10"/>
      <c r="Z5320" s="10"/>
      <c r="AA5320" s="10"/>
      <c r="AB5320" s="10"/>
      <c r="AC5320" s="10"/>
      <c r="AD5320" s="10"/>
      <c r="AE5320" s="10"/>
      <c r="AF5320" s="10"/>
      <c r="AG5320" s="10"/>
      <c r="AH5320" s="10"/>
    </row>
    <row r="5321" spans="1:34" outlineLevel="2">
      <c r="A5321" s="21"/>
      <c r="B5321" s="12" t="str">
        <f>IFERROR(VLOOKUP(D5321,'[1]Перечень товаров'!$A$2:$I9525,2,0),"")</f>
        <v>м221</v>
      </c>
      <c r="C5321" s="12" t="str">
        <f>IFERROR(VLOOKUP(D5321,'[1]Перечень товаров'!$A$2:$I9525,3,0),"")</f>
        <v>Мебель</v>
      </c>
      <c r="D5321" s="22" t="s">
        <v>878</v>
      </c>
      <c r="E5321" s="203"/>
      <c r="F5321" s="203"/>
      <c r="G5321" s="24">
        <v>2</v>
      </c>
      <c r="H5321" s="24"/>
      <c r="I5321" s="25"/>
      <c r="J5321" s="25"/>
      <c r="K5321" s="19"/>
      <c r="L5321" s="20"/>
      <c r="M5321" s="10"/>
      <c r="N5321" s="10"/>
      <c r="O5321" s="10"/>
      <c r="P5321" s="10"/>
      <c r="Q5321" s="10"/>
      <c r="R5321" s="10"/>
      <c r="S5321" s="10"/>
      <c r="T5321" s="10"/>
      <c r="U5321" s="10"/>
      <c r="V5321" s="10"/>
      <c r="W5321" s="10"/>
      <c r="X5321" s="10"/>
      <c r="Y5321" s="10"/>
      <c r="Z5321" s="10"/>
      <c r="AA5321" s="10"/>
      <c r="AB5321" s="10"/>
      <c r="AC5321" s="10"/>
      <c r="AD5321" s="10"/>
      <c r="AE5321" s="10"/>
      <c r="AF5321" s="10"/>
      <c r="AG5321" s="10"/>
      <c r="AH5321" s="10"/>
    </row>
    <row r="5322" spans="1:34" ht="12.75" outlineLevel="1">
      <c r="A5322" s="11"/>
      <c r="B5322" s="12" t="str">
        <f>IFERROR(VLOOKUP(D5322,'[1]Перечень товаров'!$A$2:$I9525,2,0),"")</f>
        <v/>
      </c>
      <c r="C5322" s="12" t="str">
        <f>IFERROR(VLOOKUP(D5322,'[1]Перечень товаров'!$A$2:$I9525,3,0),"")</f>
        <v/>
      </c>
      <c r="D5322" s="27" t="s">
        <v>1578</v>
      </c>
      <c r="E5322" s="14">
        <v>14.4</v>
      </c>
      <c r="F5322" s="14"/>
      <c r="G5322" s="17"/>
      <c r="H5322" s="17"/>
      <c r="I5322" s="57"/>
      <c r="J5322" s="57"/>
      <c r="K5322" s="19"/>
      <c r="L5322" s="20"/>
      <c r="M5322" s="10"/>
      <c r="N5322" s="10"/>
      <c r="O5322" s="10"/>
      <c r="P5322" s="10"/>
      <c r="Q5322" s="10"/>
      <c r="R5322" s="10"/>
      <c r="S5322" s="10"/>
      <c r="T5322" s="10"/>
      <c r="U5322" s="10"/>
      <c r="V5322" s="10"/>
      <c r="W5322" s="10"/>
      <c r="X5322" s="10"/>
      <c r="Y5322" s="10"/>
      <c r="Z5322" s="10"/>
      <c r="AA5322" s="10"/>
      <c r="AB5322" s="10"/>
      <c r="AC5322" s="10"/>
      <c r="AD5322" s="10"/>
      <c r="AE5322" s="10"/>
      <c r="AF5322" s="10"/>
      <c r="AG5322" s="10"/>
      <c r="AH5322" s="10"/>
    </row>
    <row r="5323" spans="1:34" outlineLevel="2">
      <c r="A5323" s="22"/>
      <c r="B5323" s="12" t="str">
        <f>IFERROR(VLOOKUP(D5323,'[1]Перечень товаров'!$A$2:$I9525,2,0),"")</f>
        <v>м14</v>
      </c>
      <c r="C5323" s="12" t="str">
        <f>IFERROR(VLOOKUP(D5323,'[1]Перечень товаров'!$A$2:$I9525,3,0),"")</f>
        <v>Мебель</v>
      </c>
      <c r="D5323" s="22" t="s">
        <v>43</v>
      </c>
      <c r="E5323" s="203"/>
      <c r="F5323" s="203"/>
      <c r="G5323" s="24">
        <v>1</v>
      </c>
      <c r="H5323" s="24"/>
      <c r="I5323" s="25"/>
      <c r="J5323" s="25"/>
      <c r="K5323" s="19"/>
      <c r="L5323" s="20"/>
      <c r="M5323" s="10"/>
      <c r="N5323" s="10"/>
      <c r="O5323" s="10"/>
      <c r="P5323" s="10"/>
      <c r="Q5323" s="10"/>
      <c r="R5323" s="10"/>
      <c r="S5323" s="10"/>
      <c r="T5323" s="10"/>
      <c r="U5323" s="10"/>
      <c r="V5323" s="10"/>
      <c r="W5323" s="10"/>
      <c r="X5323" s="10"/>
      <c r="Y5323" s="10"/>
      <c r="Z5323" s="10"/>
      <c r="AA5323" s="10"/>
      <c r="AB5323" s="10"/>
      <c r="AC5323" s="10"/>
      <c r="AD5323" s="10"/>
      <c r="AE5323" s="10"/>
      <c r="AF5323" s="10"/>
      <c r="AG5323" s="10"/>
      <c r="AH5323" s="10"/>
    </row>
    <row r="5324" spans="1:34" outlineLevel="2">
      <c r="A5324" s="21"/>
      <c r="B5324" s="12" t="str">
        <f>IFERROR(VLOOKUP(D5324,'[1]Перечень товаров'!$A$2:$I9525,2,0),"")</f>
        <v>м167</v>
      </c>
      <c r="C5324" s="12" t="str">
        <f>IFERROR(VLOOKUP(D5324,'[1]Перечень товаров'!$A$2:$I9525,3,0),"")</f>
        <v>Мебель</v>
      </c>
      <c r="D5324" s="22" t="s">
        <v>508</v>
      </c>
      <c r="E5324" s="203"/>
      <c r="F5324" s="203"/>
      <c r="G5324" s="24">
        <v>1</v>
      </c>
      <c r="H5324" s="24"/>
      <c r="I5324" s="25"/>
      <c r="J5324" s="25"/>
      <c r="K5324" s="19"/>
      <c r="L5324" s="20"/>
      <c r="M5324" s="10"/>
      <c r="N5324" s="10"/>
      <c r="O5324" s="10"/>
      <c r="P5324" s="10"/>
      <c r="Q5324" s="10"/>
      <c r="R5324" s="10"/>
      <c r="S5324" s="10"/>
      <c r="T5324" s="10"/>
      <c r="U5324" s="10"/>
      <c r="V5324" s="10"/>
      <c r="W5324" s="10"/>
      <c r="X5324" s="10"/>
      <c r="Y5324" s="10"/>
      <c r="Z5324" s="10"/>
      <c r="AA5324" s="10"/>
      <c r="AB5324" s="10"/>
      <c r="AC5324" s="10"/>
      <c r="AD5324" s="10"/>
      <c r="AE5324" s="10"/>
      <c r="AF5324" s="10"/>
      <c r="AG5324" s="10"/>
      <c r="AH5324" s="10"/>
    </row>
    <row r="5325" spans="1:34" outlineLevel="2">
      <c r="A5325" s="21"/>
      <c r="B5325" s="12" t="str">
        <f>IFERROR(VLOOKUP(D5325,'[1]Перечень товаров'!$A$2:$I9525,2,0),"")</f>
        <v>м218</v>
      </c>
      <c r="C5325" s="12" t="str">
        <f>IFERROR(VLOOKUP(D5325,'[1]Перечень товаров'!$A$2:$I9525,3,0),"")</f>
        <v>Мебель</v>
      </c>
      <c r="D5325" s="22" t="s">
        <v>872</v>
      </c>
      <c r="E5325" s="203"/>
      <c r="F5325" s="203"/>
      <c r="G5325" s="24">
        <v>2</v>
      </c>
      <c r="H5325" s="24"/>
      <c r="I5325" s="25"/>
      <c r="J5325" s="25"/>
      <c r="K5325" s="19"/>
      <c r="L5325" s="20"/>
      <c r="M5325" s="10"/>
      <c r="N5325" s="10"/>
      <c r="O5325" s="10"/>
      <c r="P5325" s="10"/>
      <c r="Q5325" s="10"/>
      <c r="R5325" s="10"/>
      <c r="S5325" s="10"/>
      <c r="T5325" s="10"/>
      <c r="U5325" s="10"/>
      <c r="V5325" s="10"/>
      <c r="W5325" s="10"/>
      <c r="X5325" s="10"/>
      <c r="Y5325" s="10"/>
      <c r="Z5325" s="10"/>
      <c r="AA5325" s="10"/>
      <c r="AB5325" s="10"/>
      <c r="AC5325" s="10"/>
      <c r="AD5325" s="10"/>
      <c r="AE5325" s="10"/>
      <c r="AF5325" s="10"/>
      <c r="AG5325" s="10"/>
      <c r="AH5325" s="10"/>
    </row>
    <row r="5326" spans="1:34" outlineLevel="2">
      <c r="A5326" s="21"/>
      <c r="B5326" s="12" t="str">
        <f>IFERROR(VLOOKUP(D5326,'[1]Перечень товаров'!$A$2:$I9525,2,0),"")</f>
        <v>м219</v>
      </c>
      <c r="C5326" s="12" t="str">
        <f>IFERROR(VLOOKUP(D5326,'[1]Перечень товаров'!$A$2:$I9525,3,0),"")</f>
        <v>Мебель</v>
      </c>
      <c r="D5326" s="22" t="s">
        <v>873</v>
      </c>
      <c r="E5326" s="203"/>
      <c r="F5326" s="203"/>
      <c r="G5326" s="24">
        <v>4</v>
      </c>
      <c r="H5326" s="24"/>
      <c r="I5326" s="25"/>
      <c r="J5326" s="25"/>
      <c r="K5326" s="19"/>
      <c r="L5326" s="20"/>
      <c r="M5326" s="10"/>
      <c r="N5326" s="10"/>
      <c r="O5326" s="10"/>
      <c r="P5326" s="10"/>
      <c r="Q5326" s="10"/>
      <c r="R5326" s="10"/>
      <c r="S5326" s="10"/>
      <c r="T5326" s="10"/>
      <c r="U5326" s="10"/>
      <c r="V5326" s="10"/>
      <c r="W5326" s="10"/>
      <c r="X5326" s="10"/>
      <c r="Y5326" s="10"/>
      <c r="Z5326" s="10"/>
      <c r="AA5326" s="10"/>
      <c r="AB5326" s="10"/>
      <c r="AC5326" s="10"/>
      <c r="AD5326" s="10"/>
      <c r="AE5326" s="10"/>
      <c r="AF5326" s="10"/>
      <c r="AG5326" s="10"/>
      <c r="AH5326" s="10"/>
    </row>
    <row r="5327" spans="1:34" outlineLevel="2">
      <c r="A5327" s="21"/>
      <c r="B5327" s="12" t="str">
        <f>IFERROR(VLOOKUP(D5327,'[1]Перечень товаров'!$A$2:$I9525,2,0),"")</f>
        <v>м220</v>
      </c>
      <c r="C5327" s="12" t="str">
        <f>IFERROR(VLOOKUP(D5327,'[1]Перечень товаров'!$A$2:$I9525,3,0),"")</f>
        <v>Мебель</v>
      </c>
      <c r="D5327" s="22" t="s">
        <v>874</v>
      </c>
      <c r="E5327" s="203"/>
      <c r="F5327" s="203"/>
      <c r="G5327" s="24">
        <v>1</v>
      </c>
      <c r="H5327" s="24"/>
      <c r="I5327" s="25"/>
      <c r="J5327" s="25"/>
      <c r="K5327" s="19"/>
      <c r="L5327" s="20"/>
      <c r="M5327" s="10"/>
      <c r="N5327" s="10"/>
      <c r="O5327" s="10"/>
      <c r="P5327" s="10"/>
      <c r="Q5327" s="10"/>
      <c r="R5327" s="10"/>
      <c r="S5327" s="10"/>
      <c r="T5327" s="10"/>
      <c r="U5327" s="10"/>
      <c r="V5327" s="10"/>
      <c r="W5327" s="10"/>
      <c r="X5327" s="10"/>
      <c r="Y5327" s="10"/>
      <c r="Z5327" s="10"/>
      <c r="AA5327" s="10"/>
      <c r="AB5327" s="10"/>
      <c r="AC5327" s="10"/>
      <c r="AD5327" s="10"/>
      <c r="AE5327" s="10"/>
      <c r="AF5327" s="10"/>
      <c r="AG5327" s="10"/>
      <c r="AH5327" s="10"/>
    </row>
    <row r="5328" spans="1:34" outlineLevel="2">
      <c r="A5328" s="21"/>
      <c r="B5328" s="12" t="str">
        <f>IFERROR(VLOOKUP(D5328,'[1]Перечень товаров'!$A$2:$I9525,2,0),"")</f>
        <v>м187</v>
      </c>
      <c r="C5328" s="12" t="str">
        <f>IFERROR(VLOOKUP(D5328,'[1]Перечень товаров'!$A$2:$I9525,3,0),"")</f>
        <v>мебель</v>
      </c>
      <c r="D5328" s="22" t="s">
        <v>877</v>
      </c>
      <c r="E5328" s="203"/>
      <c r="F5328" s="203"/>
      <c r="G5328" s="24">
        <v>1</v>
      </c>
      <c r="H5328" s="24"/>
      <c r="I5328" s="25"/>
      <c r="J5328" s="25"/>
      <c r="K5328" s="19"/>
      <c r="L5328" s="20"/>
      <c r="M5328" s="10"/>
      <c r="N5328" s="10"/>
      <c r="O5328" s="10"/>
      <c r="P5328" s="10"/>
      <c r="Q5328" s="10"/>
      <c r="R5328" s="10"/>
      <c r="S5328" s="10"/>
      <c r="T5328" s="10"/>
      <c r="U5328" s="10"/>
      <c r="V5328" s="10"/>
      <c r="W5328" s="10"/>
      <c r="X5328" s="10"/>
      <c r="Y5328" s="10"/>
      <c r="Z5328" s="10"/>
      <c r="AA5328" s="10"/>
      <c r="AB5328" s="10"/>
      <c r="AC5328" s="10"/>
      <c r="AD5328" s="10"/>
      <c r="AE5328" s="10"/>
      <c r="AF5328" s="10"/>
      <c r="AG5328" s="10"/>
      <c r="AH5328" s="10"/>
    </row>
    <row r="5329" spans="1:34" outlineLevel="2">
      <c r="A5329" s="21"/>
      <c r="B5329" s="12" t="str">
        <f>IFERROR(VLOOKUP(D5329,'[1]Перечень товаров'!$A$2:$I9525,2,0),"")</f>
        <v>м30</v>
      </c>
      <c r="C5329" s="12" t="str">
        <f>IFERROR(VLOOKUP(D5329,'[1]Перечень товаров'!$A$2:$I9525,3,0),"")</f>
        <v>Мебель</v>
      </c>
      <c r="D5329" s="22" t="s">
        <v>181</v>
      </c>
      <c r="E5329" s="203"/>
      <c r="F5329" s="203"/>
      <c r="G5329" s="24">
        <v>2</v>
      </c>
      <c r="H5329" s="24"/>
      <c r="I5329" s="25"/>
      <c r="J5329" s="25"/>
      <c r="K5329" s="19"/>
      <c r="L5329" s="20"/>
      <c r="M5329" s="10"/>
      <c r="N5329" s="10"/>
      <c r="O5329" s="10"/>
      <c r="P5329" s="10"/>
      <c r="Q5329" s="10"/>
      <c r="R5329" s="10"/>
      <c r="S5329" s="10"/>
      <c r="T5329" s="10"/>
      <c r="U5329" s="10"/>
      <c r="V5329" s="10"/>
      <c r="W5329" s="10"/>
      <c r="X5329" s="10"/>
      <c r="Y5329" s="10"/>
      <c r="Z5329" s="10"/>
      <c r="AA5329" s="10"/>
      <c r="AB5329" s="10"/>
      <c r="AC5329" s="10"/>
      <c r="AD5329" s="10"/>
      <c r="AE5329" s="10"/>
      <c r="AF5329" s="10"/>
      <c r="AG5329" s="10"/>
      <c r="AH5329" s="10"/>
    </row>
    <row r="5330" spans="1:34" outlineLevel="2">
      <c r="A5330" s="21"/>
      <c r="B5330" s="12" t="str">
        <f>IFERROR(VLOOKUP(D5330,'[1]Перечень товаров'!$A$2:$I9525,2,0),"")</f>
        <v>м221</v>
      </c>
      <c r="C5330" s="12" t="str">
        <f>IFERROR(VLOOKUP(D5330,'[1]Перечень товаров'!$A$2:$I9525,3,0),"")</f>
        <v>Мебель</v>
      </c>
      <c r="D5330" s="22" t="s">
        <v>878</v>
      </c>
      <c r="E5330" s="203"/>
      <c r="F5330" s="203"/>
      <c r="G5330" s="24">
        <v>2</v>
      </c>
      <c r="H5330" s="24"/>
      <c r="I5330" s="25"/>
      <c r="J5330" s="25"/>
      <c r="K5330" s="19"/>
      <c r="L5330" s="20"/>
      <c r="M5330" s="10"/>
      <c r="N5330" s="10"/>
      <c r="O5330" s="10"/>
      <c r="P5330" s="10"/>
      <c r="Q5330" s="10"/>
      <c r="R5330" s="10"/>
      <c r="S5330" s="10"/>
      <c r="T5330" s="10"/>
      <c r="U5330" s="10"/>
      <c r="V5330" s="10"/>
      <c r="W5330" s="10"/>
      <c r="X5330" s="10"/>
      <c r="Y5330" s="10"/>
      <c r="Z5330" s="10"/>
      <c r="AA5330" s="10"/>
      <c r="AB5330" s="10"/>
      <c r="AC5330" s="10"/>
      <c r="AD5330" s="10"/>
      <c r="AE5330" s="10"/>
      <c r="AF5330" s="10"/>
      <c r="AG5330" s="10"/>
      <c r="AH5330" s="10"/>
    </row>
    <row r="5331" spans="1:34" ht="12.75" outlineLevel="1">
      <c r="A5331" s="11"/>
      <c r="B5331" s="12" t="str">
        <f>IFERROR(VLOOKUP(D5331,'[1]Перечень товаров'!$A$2:$I9525,2,0),"")</f>
        <v/>
      </c>
      <c r="C5331" s="12" t="str">
        <f>IFERROR(VLOOKUP(D5331,'[1]Перечень товаров'!$A$2:$I9525,3,0),"")</f>
        <v/>
      </c>
      <c r="D5331" s="27" t="s">
        <v>1576</v>
      </c>
      <c r="E5331" s="14">
        <v>5</v>
      </c>
      <c r="F5331" s="14"/>
      <c r="G5331" s="17"/>
      <c r="H5331" s="17"/>
      <c r="I5331" s="57"/>
      <c r="J5331" s="57"/>
      <c r="K5331" s="19"/>
      <c r="L5331" s="20"/>
      <c r="M5331" s="10"/>
      <c r="N5331" s="10"/>
      <c r="O5331" s="10"/>
      <c r="P5331" s="10"/>
      <c r="Q5331" s="10"/>
      <c r="R5331" s="10"/>
      <c r="S5331" s="10"/>
      <c r="T5331" s="10"/>
      <c r="U5331" s="10"/>
      <c r="V5331" s="10"/>
      <c r="W5331" s="10"/>
      <c r="X5331" s="10"/>
      <c r="Y5331" s="10"/>
      <c r="Z5331" s="10"/>
      <c r="AA5331" s="10"/>
      <c r="AB5331" s="10"/>
      <c r="AC5331" s="10"/>
      <c r="AD5331" s="10"/>
      <c r="AE5331" s="10"/>
      <c r="AF5331" s="10"/>
      <c r="AG5331" s="10"/>
      <c r="AH5331" s="10"/>
    </row>
    <row r="5332" spans="1:34" outlineLevel="2">
      <c r="A5332" s="22"/>
      <c r="B5332" s="12" t="str">
        <f>IFERROR(VLOOKUP(D5332,'[1]Перечень товаров'!$A$2:$I9525,2,0),"")</f>
        <v>п25</v>
      </c>
      <c r="C5332" s="12" t="str">
        <f>IFERROR(VLOOKUP(D5332,'[1]Перечень товаров'!$A$2:$I9525,3,0),"")</f>
        <v>Прочее</v>
      </c>
      <c r="D5332" s="22" t="s">
        <v>360</v>
      </c>
      <c r="E5332" s="102"/>
      <c r="F5332" s="102"/>
      <c r="G5332" s="48">
        <v>3</v>
      </c>
      <c r="H5332" s="48"/>
      <c r="I5332" s="49"/>
      <c r="J5332" s="49"/>
      <c r="K5332" s="33"/>
      <c r="L5332" s="20"/>
      <c r="M5332" s="10"/>
      <c r="N5332" s="10"/>
      <c r="O5332" s="10"/>
      <c r="P5332" s="10"/>
      <c r="Q5332" s="10"/>
      <c r="R5332" s="10"/>
      <c r="S5332" s="10"/>
      <c r="T5332" s="10"/>
      <c r="U5332" s="10"/>
      <c r="V5332" s="10"/>
      <c r="W5332" s="10"/>
      <c r="X5332" s="10"/>
      <c r="Y5332" s="10"/>
      <c r="Z5332" s="10"/>
      <c r="AA5332" s="10"/>
      <c r="AB5332" s="10"/>
      <c r="AC5332" s="10"/>
      <c r="AD5332" s="10"/>
      <c r="AE5332" s="10"/>
      <c r="AF5332" s="10"/>
      <c r="AG5332" s="10"/>
      <c r="AH5332" s="10"/>
    </row>
    <row r="5333" spans="1:34" outlineLevel="2">
      <c r="A5333" s="21"/>
      <c r="B5333" s="12" t="str">
        <f>IFERROR(VLOOKUP(D5333,'[1]Перечень товаров'!$A$2:$I9525,2,0),"")</f>
        <v>п26</v>
      </c>
      <c r="C5333" s="12" t="str">
        <f>IFERROR(VLOOKUP(D5333,'[1]Перечень товаров'!$A$2:$I9525,3,0),"")</f>
        <v>Прочее</v>
      </c>
      <c r="D5333" s="22" t="s">
        <v>361</v>
      </c>
      <c r="E5333" s="102"/>
      <c r="F5333" s="102"/>
      <c r="G5333" s="48">
        <v>2</v>
      </c>
      <c r="H5333" s="48"/>
      <c r="I5333" s="49"/>
      <c r="J5333" s="49"/>
      <c r="K5333" s="33"/>
      <c r="L5333" s="20"/>
      <c r="M5333" s="10"/>
      <c r="N5333" s="10"/>
      <c r="O5333" s="10"/>
      <c r="P5333" s="10"/>
      <c r="Q5333" s="10"/>
      <c r="R5333" s="10"/>
      <c r="S5333" s="10"/>
      <c r="T5333" s="10"/>
      <c r="U5333" s="10"/>
      <c r="V5333" s="10"/>
      <c r="W5333" s="10"/>
      <c r="X5333" s="10"/>
      <c r="Y5333" s="10"/>
      <c r="Z5333" s="10"/>
      <c r="AA5333" s="10"/>
      <c r="AB5333" s="10"/>
      <c r="AC5333" s="10"/>
      <c r="AD5333" s="10"/>
      <c r="AE5333" s="10"/>
      <c r="AF5333" s="10"/>
      <c r="AG5333" s="10"/>
      <c r="AH5333" s="10"/>
    </row>
    <row r="5334" spans="1:34" outlineLevel="2">
      <c r="A5334" s="21"/>
      <c r="B5334" s="12" t="str">
        <f>IFERROR(VLOOKUP(D5334,'[1]Перечень товаров'!$A$2:$I9525,2,0),"")</f>
        <v>п27</v>
      </c>
      <c r="C5334" s="12" t="str">
        <f>IFERROR(VLOOKUP(D5334,'[1]Перечень товаров'!$A$2:$I9525,3,0),"")</f>
        <v>Прочее</v>
      </c>
      <c r="D5334" s="22" t="s">
        <v>362</v>
      </c>
      <c r="E5334" s="102"/>
      <c r="F5334" s="102"/>
      <c r="G5334" s="48">
        <v>2</v>
      </c>
      <c r="H5334" s="48"/>
      <c r="I5334" s="49"/>
      <c r="J5334" s="49"/>
      <c r="K5334" s="33"/>
      <c r="L5334" s="20"/>
      <c r="M5334" s="10"/>
      <c r="N5334" s="10"/>
      <c r="O5334" s="10"/>
      <c r="P5334" s="10"/>
      <c r="Q5334" s="10"/>
      <c r="R5334" s="10"/>
      <c r="S5334" s="10"/>
      <c r="T5334" s="10"/>
      <c r="U5334" s="10"/>
      <c r="V5334" s="10"/>
      <c r="W5334" s="10"/>
      <c r="X5334" s="10"/>
      <c r="Y5334" s="10"/>
      <c r="Z5334" s="10"/>
      <c r="AA5334" s="10"/>
      <c r="AB5334" s="10"/>
      <c r="AC5334" s="10"/>
      <c r="AD5334" s="10"/>
      <c r="AE5334" s="10"/>
      <c r="AF5334" s="10"/>
      <c r="AG5334" s="10"/>
      <c r="AH5334" s="10"/>
    </row>
    <row r="5335" spans="1:34" outlineLevel="2">
      <c r="A5335" s="21"/>
      <c r="B5335" s="12" t="str">
        <f>IFERROR(VLOOKUP(D5335,'[1]Перечень товаров'!$A$2:$I9525,2,0),"")</f>
        <v>п28</v>
      </c>
      <c r="C5335" s="12" t="str">
        <f>IFERROR(VLOOKUP(D5335,'[1]Перечень товаров'!$A$2:$I9525,3,0),"")</f>
        <v>Прочее</v>
      </c>
      <c r="D5335" s="22" t="s">
        <v>363</v>
      </c>
      <c r="E5335" s="102"/>
      <c r="F5335" s="102"/>
      <c r="G5335" s="48">
        <v>1</v>
      </c>
      <c r="H5335" s="48"/>
      <c r="I5335" s="49"/>
      <c r="J5335" s="49"/>
      <c r="K5335" s="33"/>
      <c r="L5335" s="20"/>
      <c r="M5335" s="10"/>
      <c r="N5335" s="10"/>
      <c r="O5335" s="10"/>
      <c r="P5335" s="10"/>
      <c r="Q5335" s="10"/>
      <c r="R5335" s="10"/>
      <c r="S5335" s="10"/>
      <c r="T5335" s="10"/>
      <c r="U5335" s="10"/>
      <c r="V5335" s="10"/>
      <c r="W5335" s="10"/>
      <c r="X5335" s="10"/>
      <c r="Y5335" s="10"/>
      <c r="Z5335" s="10"/>
      <c r="AA5335" s="10"/>
      <c r="AB5335" s="10"/>
      <c r="AC5335" s="10"/>
      <c r="AD5335" s="10"/>
      <c r="AE5335" s="10"/>
      <c r="AF5335" s="10"/>
      <c r="AG5335" s="10"/>
      <c r="AH5335" s="10"/>
    </row>
    <row r="5336" spans="1:34" outlineLevel="2">
      <c r="A5336" s="21"/>
      <c r="B5336" s="12" t="str">
        <f>IFERROR(VLOOKUP(D5336,'[1]Перечень товаров'!$A$2:$I9525,2,0),"")</f>
        <v>п29</v>
      </c>
      <c r="C5336" s="12" t="str">
        <f>IFERROR(VLOOKUP(D5336,'[1]Перечень товаров'!$A$2:$I9525,3,0),"")</f>
        <v>Прочее</v>
      </c>
      <c r="D5336" s="22" t="s">
        <v>364</v>
      </c>
      <c r="E5336" s="102"/>
      <c r="F5336" s="102"/>
      <c r="G5336" s="48">
        <v>6</v>
      </c>
      <c r="H5336" s="48"/>
      <c r="I5336" s="49"/>
      <c r="J5336" s="49"/>
      <c r="K5336" s="33"/>
      <c r="L5336" s="20"/>
      <c r="M5336" s="10"/>
      <c r="N5336" s="10"/>
      <c r="O5336" s="10"/>
      <c r="P5336" s="10"/>
      <c r="Q5336" s="10"/>
      <c r="R5336" s="10"/>
      <c r="S5336" s="10"/>
      <c r="T5336" s="10"/>
      <c r="U5336" s="10"/>
      <c r="V5336" s="10"/>
      <c r="W5336" s="10"/>
      <c r="X5336" s="10"/>
      <c r="Y5336" s="10"/>
      <c r="Z5336" s="10"/>
      <c r="AA5336" s="10"/>
      <c r="AB5336" s="10"/>
      <c r="AC5336" s="10"/>
      <c r="AD5336" s="10"/>
      <c r="AE5336" s="10"/>
      <c r="AF5336" s="10"/>
      <c r="AG5336" s="10"/>
      <c r="AH5336" s="10"/>
    </row>
    <row r="5337" spans="1:34" outlineLevel="2">
      <c r="A5337" s="21"/>
      <c r="B5337" s="12" t="str">
        <f>IFERROR(VLOOKUP(D5337,'[1]Перечень товаров'!$A$2:$I9525,2,0),"")</f>
        <v>п30</v>
      </c>
      <c r="C5337" s="12" t="str">
        <f>IFERROR(VLOOKUP(D5337,'[1]Перечень товаров'!$A$2:$I9525,3,0),"")</f>
        <v>Прочее</v>
      </c>
      <c r="D5337" s="22" t="s">
        <v>365</v>
      </c>
      <c r="E5337" s="102"/>
      <c r="F5337" s="102"/>
      <c r="G5337" s="48">
        <v>2</v>
      </c>
      <c r="H5337" s="48"/>
      <c r="I5337" s="49"/>
      <c r="J5337" s="49"/>
      <c r="K5337" s="33"/>
      <c r="L5337" s="20"/>
      <c r="M5337" s="10"/>
      <c r="N5337" s="10"/>
      <c r="O5337" s="10"/>
      <c r="P5337" s="10"/>
      <c r="Q5337" s="10"/>
      <c r="R5337" s="10"/>
      <c r="S5337" s="10"/>
      <c r="T5337" s="10"/>
      <c r="U5337" s="10"/>
      <c r="V5337" s="10"/>
      <c r="W5337" s="10"/>
      <c r="X5337" s="10"/>
      <c r="Y5337" s="10"/>
      <c r="Z5337" s="10"/>
      <c r="AA5337" s="10"/>
      <c r="AB5337" s="10"/>
      <c r="AC5337" s="10"/>
      <c r="AD5337" s="10"/>
      <c r="AE5337" s="10"/>
      <c r="AF5337" s="10"/>
      <c r="AG5337" s="10"/>
      <c r="AH5337" s="10"/>
    </row>
    <row r="5338" spans="1:34" ht="31.5" outlineLevel="2">
      <c r="A5338" s="21"/>
      <c r="B5338" s="12" t="str">
        <f>IFERROR(VLOOKUP(D5338,'[1]Перечень товаров'!$A$2:$I9525,2,0),"")</f>
        <v>п31</v>
      </c>
      <c r="C5338" s="12" t="str">
        <f>IFERROR(VLOOKUP(D5338,'[1]Перечень товаров'!$A$2:$I9525,3,0),"")</f>
        <v>Прочее</v>
      </c>
      <c r="D5338" s="22" t="s">
        <v>366</v>
      </c>
      <c r="E5338" s="102"/>
      <c r="F5338" s="102"/>
      <c r="G5338" s="48">
        <v>1</v>
      </c>
      <c r="H5338" s="48"/>
      <c r="I5338" s="49"/>
      <c r="J5338" s="49"/>
      <c r="K5338" s="33"/>
      <c r="L5338" s="20"/>
      <c r="M5338" s="10"/>
      <c r="N5338" s="10"/>
      <c r="O5338" s="10"/>
      <c r="P5338" s="10"/>
      <c r="Q5338" s="10"/>
      <c r="R5338" s="10"/>
      <c r="S5338" s="10"/>
      <c r="T5338" s="10"/>
      <c r="U5338" s="10"/>
      <c r="V5338" s="10"/>
      <c r="W5338" s="10"/>
      <c r="X5338" s="10"/>
      <c r="Y5338" s="10"/>
      <c r="Z5338" s="10"/>
      <c r="AA5338" s="10"/>
      <c r="AB5338" s="10"/>
      <c r="AC5338" s="10"/>
      <c r="AD5338" s="10"/>
      <c r="AE5338" s="10"/>
      <c r="AF5338" s="10"/>
      <c r="AG5338" s="10"/>
      <c r="AH5338" s="10"/>
    </row>
    <row r="5339" spans="1:34" ht="31.5" outlineLevel="2">
      <c r="A5339" s="21"/>
      <c r="B5339" s="12" t="str">
        <f>IFERROR(VLOOKUP(D5339,'[1]Перечень товаров'!$A$2:$I9525,2,0),"")</f>
        <v>п32</v>
      </c>
      <c r="C5339" s="12" t="str">
        <f>IFERROR(VLOOKUP(D5339,'[1]Перечень товаров'!$A$2:$I9525,3,0),"")</f>
        <v>Прочее</v>
      </c>
      <c r="D5339" s="22" t="s">
        <v>367</v>
      </c>
      <c r="E5339" s="102"/>
      <c r="F5339" s="102"/>
      <c r="G5339" s="48">
        <v>2</v>
      </c>
      <c r="H5339" s="48"/>
      <c r="I5339" s="49"/>
      <c r="J5339" s="49"/>
      <c r="K5339" s="33"/>
      <c r="L5339" s="20"/>
      <c r="M5339" s="10"/>
      <c r="N5339" s="10"/>
      <c r="O5339" s="10"/>
      <c r="P5339" s="10"/>
      <c r="Q5339" s="10"/>
      <c r="R5339" s="10"/>
      <c r="S5339" s="10"/>
      <c r="T5339" s="10"/>
      <c r="U5339" s="10"/>
      <c r="V5339" s="10"/>
      <c r="W5339" s="10"/>
      <c r="X5339" s="10"/>
      <c r="Y5339" s="10"/>
      <c r="Z5339" s="10"/>
      <c r="AA5339" s="10"/>
      <c r="AB5339" s="10"/>
      <c r="AC5339" s="10"/>
      <c r="AD5339" s="10"/>
      <c r="AE5339" s="10"/>
      <c r="AF5339" s="10"/>
      <c r="AG5339" s="10"/>
      <c r="AH5339" s="10"/>
    </row>
    <row r="5340" spans="1:34" ht="12.75" outlineLevel="1">
      <c r="A5340" s="11"/>
      <c r="B5340" s="12" t="str">
        <f>IFERROR(VLOOKUP(D5340,'[1]Перечень товаров'!$A$2:$I9525,2,0),"")</f>
        <v/>
      </c>
      <c r="C5340" s="12" t="str">
        <f>IFERROR(VLOOKUP(D5340,'[1]Перечень товаров'!$A$2:$I9525,3,0),"")</f>
        <v/>
      </c>
      <c r="D5340" s="27" t="s">
        <v>1577</v>
      </c>
      <c r="E5340" s="14">
        <v>4.3</v>
      </c>
      <c r="F5340" s="14"/>
      <c r="G5340" s="17"/>
      <c r="H5340" s="17"/>
      <c r="I5340" s="57"/>
      <c r="J5340" s="57"/>
      <c r="K5340" s="19"/>
      <c r="L5340" s="20"/>
      <c r="M5340" s="10"/>
      <c r="N5340" s="10"/>
      <c r="O5340" s="10"/>
      <c r="P5340" s="10"/>
      <c r="Q5340" s="10"/>
      <c r="R5340" s="10"/>
      <c r="S5340" s="10"/>
      <c r="T5340" s="10"/>
      <c r="U5340" s="10"/>
      <c r="V5340" s="10"/>
      <c r="W5340" s="10"/>
      <c r="X5340" s="10"/>
      <c r="Y5340" s="10"/>
      <c r="Z5340" s="10"/>
      <c r="AA5340" s="10"/>
      <c r="AB5340" s="10"/>
      <c r="AC5340" s="10"/>
      <c r="AD5340" s="10"/>
      <c r="AE5340" s="10"/>
      <c r="AF5340" s="10"/>
      <c r="AG5340" s="10"/>
      <c r="AH5340" s="10"/>
    </row>
    <row r="5341" spans="1:34" outlineLevel="2">
      <c r="A5341" s="43"/>
      <c r="B5341" s="12" t="str">
        <f>IFERROR(VLOOKUP(D5341,'[1]Перечень товаров'!$A$2:$I9525,2,0),"")</f>
        <v>м222</v>
      </c>
      <c r="C5341" s="12" t="str">
        <f>IFERROR(VLOOKUP(D5341,'[1]Перечень товаров'!$A$2:$I9525,3,0),"")</f>
        <v>Мебель</v>
      </c>
      <c r="D5341" s="44" t="s">
        <v>880</v>
      </c>
      <c r="E5341" s="102"/>
      <c r="F5341" s="102"/>
      <c r="G5341" s="24">
        <v>1</v>
      </c>
      <c r="H5341" s="24"/>
      <c r="I5341" s="25"/>
      <c r="J5341" s="25"/>
      <c r="K5341" s="19"/>
      <c r="L5341" s="20"/>
      <c r="M5341" s="10"/>
      <c r="N5341" s="10"/>
      <c r="O5341" s="10"/>
      <c r="P5341" s="10"/>
      <c r="Q5341" s="10"/>
      <c r="R5341" s="10"/>
      <c r="S5341" s="10"/>
      <c r="T5341" s="10"/>
      <c r="U5341" s="10"/>
      <c r="V5341" s="10"/>
      <c r="W5341" s="10"/>
      <c r="X5341" s="10"/>
      <c r="Y5341" s="10"/>
      <c r="Z5341" s="10"/>
      <c r="AA5341" s="10"/>
      <c r="AB5341" s="10"/>
      <c r="AC5341" s="10"/>
      <c r="AD5341" s="10"/>
      <c r="AE5341" s="10"/>
      <c r="AF5341" s="10"/>
      <c r="AG5341" s="10"/>
      <c r="AH5341" s="10"/>
    </row>
    <row r="5342" spans="1:34" outlineLevel="2">
      <c r="A5342" s="43"/>
      <c r="B5342" s="12" t="str">
        <f>IFERROR(VLOOKUP(D5342,'[1]Перечень товаров'!$A$2:$I9525,2,0),"")</f>
        <v>м223</v>
      </c>
      <c r="C5342" s="12" t="str">
        <f>IFERROR(VLOOKUP(D5342,'[1]Перечень товаров'!$A$2:$I9525,3,0),"")</f>
        <v>Мебель</v>
      </c>
      <c r="D5342" s="44" t="s">
        <v>881</v>
      </c>
      <c r="E5342" s="102"/>
      <c r="F5342" s="102"/>
      <c r="G5342" s="24">
        <v>1</v>
      </c>
      <c r="H5342" s="24"/>
      <c r="I5342" s="25"/>
      <c r="J5342" s="25"/>
      <c r="K5342" s="19"/>
      <c r="L5342" s="20"/>
      <c r="M5342" s="10"/>
      <c r="N5342" s="10"/>
      <c r="O5342" s="10"/>
      <c r="P5342" s="10"/>
      <c r="Q5342" s="10"/>
      <c r="R5342" s="10"/>
      <c r="S5342" s="10"/>
      <c r="T5342" s="10"/>
      <c r="U5342" s="10"/>
      <c r="V5342" s="10"/>
      <c r="W5342" s="10"/>
      <c r="X5342" s="10"/>
      <c r="Y5342" s="10"/>
      <c r="Z5342" s="10"/>
      <c r="AA5342" s="10"/>
      <c r="AB5342" s="10"/>
      <c r="AC5342" s="10"/>
      <c r="AD5342" s="10"/>
      <c r="AE5342" s="10"/>
      <c r="AF5342" s="10"/>
      <c r="AG5342" s="10"/>
      <c r="AH5342" s="10"/>
    </row>
    <row r="5343" spans="1:34" outlineLevel="2">
      <c r="A5343" s="43"/>
      <c r="B5343" s="12" t="str">
        <f>IFERROR(VLOOKUP(D5343,'[1]Перечень товаров'!$A$2:$I9525,2,0),"")</f>
        <v>м224</v>
      </c>
      <c r="C5343" s="12" t="str">
        <f>IFERROR(VLOOKUP(D5343,'[1]Перечень товаров'!$A$2:$I9525,3,0),"")</f>
        <v>Мебель</v>
      </c>
      <c r="D5343" s="44" t="s">
        <v>882</v>
      </c>
      <c r="E5343" s="102"/>
      <c r="F5343" s="102"/>
      <c r="G5343" s="24">
        <v>1</v>
      </c>
      <c r="H5343" s="24"/>
      <c r="I5343" s="25"/>
      <c r="J5343" s="25"/>
      <c r="K5343" s="19"/>
      <c r="L5343" s="20"/>
      <c r="M5343" s="10"/>
      <c r="N5343" s="10"/>
      <c r="O5343" s="10"/>
      <c r="P5343" s="10"/>
      <c r="Q5343" s="10"/>
      <c r="R5343" s="10"/>
      <c r="S5343" s="10"/>
      <c r="T5343" s="10"/>
      <c r="U5343" s="10"/>
      <c r="V5343" s="10"/>
      <c r="W5343" s="10"/>
      <c r="X5343" s="10"/>
      <c r="Y5343" s="10"/>
      <c r="Z5343" s="10"/>
      <c r="AA5343" s="10"/>
      <c r="AB5343" s="10"/>
      <c r="AC5343" s="10"/>
      <c r="AD5343" s="10"/>
      <c r="AE5343" s="10"/>
      <c r="AF5343" s="10"/>
      <c r="AG5343" s="10"/>
      <c r="AH5343" s="10"/>
    </row>
    <row r="5344" spans="1:34" outlineLevel="2">
      <c r="A5344" s="43"/>
      <c r="B5344" s="12" t="str">
        <f>IFERROR(VLOOKUP(D5344,'[1]Перечень товаров'!$A$2:$I9525,2,0),"")</f>
        <v>м225</v>
      </c>
      <c r="C5344" s="12" t="str">
        <f>IFERROR(VLOOKUP(D5344,'[1]Перечень товаров'!$A$2:$I9525,3,0),"")</f>
        <v>Мебель</v>
      </c>
      <c r="D5344" s="44" t="s">
        <v>883</v>
      </c>
      <c r="E5344" s="102"/>
      <c r="F5344" s="102"/>
      <c r="G5344" s="24">
        <v>1</v>
      </c>
      <c r="H5344" s="24"/>
      <c r="I5344" s="25"/>
      <c r="J5344" s="25"/>
      <c r="K5344" s="19"/>
      <c r="L5344" s="20"/>
      <c r="M5344" s="10"/>
      <c r="N5344" s="10"/>
      <c r="O5344" s="10"/>
      <c r="P5344" s="10"/>
      <c r="Q5344" s="10"/>
      <c r="R5344" s="10"/>
      <c r="S5344" s="10"/>
      <c r="T5344" s="10"/>
      <c r="U5344" s="10"/>
      <c r="V5344" s="10"/>
      <c r="W5344" s="10"/>
      <c r="X5344" s="10"/>
      <c r="Y5344" s="10"/>
      <c r="Z5344" s="10"/>
      <c r="AA5344" s="10"/>
      <c r="AB5344" s="10"/>
      <c r="AC5344" s="10"/>
      <c r="AD5344" s="10"/>
      <c r="AE5344" s="10"/>
      <c r="AF5344" s="10"/>
      <c r="AG5344" s="10"/>
      <c r="AH5344" s="10"/>
    </row>
    <row r="5345" spans="1:34" outlineLevel="2">
      <c r="A5345" s="43"/>
      <c r="B5345" s="12" t="str">
        <f>IFERROR(VLOOKUP(D5345,'[1]Перечень товаров'!$A$2:$I9525,2,0),"")</f>
        <v>п28</v>
      </c>
      <c r="C5345" s="12" t="str">
        <f>IFERROR(VLOOKUP(D5345,'[1]Перечень товаров'!$A$2:$I9525,3,0),"")</f>
        <v>Прочее</v>
      </c>
      <c r="D5345" s="44" t="s">
        <v>363</v>
      </c>
      <c r="E5345" s="102"/>
      <c r="F5345" s="102"/>
      <c r="G5345" s="24">
        <v>1</v>
      </c>
      <c r="H5345" s="24"/>
      <c r="I5345" s="25"/>
      <c r="J5345" s="25"/>
      <c r="K5345" s="19"/>
      <c r="L5345" s="20"/>
      <c r="M5345" s="10"/>
      <c r="N5345" s="10"/>
      <c r="O5345" s="10"/>
      <c r="P5345" s="10"/>
      <c r="Q5345" s="10"/>
      <c r="R5345" s="10"/>
      <c r="S5345" s="10"/>
      <c r="T5345" s="10"/>
      <c r="U5345" s="10"/>
      <c r="V5345" s="10"/>
      <c r="W5345" s="10"/>
      <c r="X5345" s="10"/>
      <c r="Y5345" s="10"/>
      <c r="Z5345" s="10"/>
      <c r="AA5345" s="10"/>
      <c r="AB5345" s="10"/>
      <c r="AC5345" s="10"/>
      <c r="AD5345" s="10"/>
      <c r="AE5345" s="10"/>
      <c r="AF5345" s="10"/>
      <c r="AG5345" s="10"/>
      <c r="AH5345" s="10"/>
    </row>
    <row r="5346" spans="1:34" outlineLevel="2">
      <c r="A5346" s="43"/>
      <c r="B5346" s="12" t="str">
        <f>IFERROR(VLOOKUP(D5346,'[1]Перечень товаров'!$A$2:$I9525,2,0),"")</f>
        <v>м226</v>
      </c>
      <c r="C5346" s="12" t="str">
        <f>IFERROR(VLOOKUP(D5346,'[1]Перечень товаров'!$A$2:$I9525,3,0),"")</f>
        <v>Мебель</v>
      </c>
      <c r="D5346" s="44" t="s">
        <v>884</v>
      </c>
      <c r="E5346" s="102"/>
      <c r="F5346" s="102"/>
      <c r="G5346" s="24">
        <v>1</v>
      </c>
      <c r="H5346" s="24"/>
      <c r="I5346" s="25"/>
      <c r="J5346" s="25"/>
      <c r="K5346" s="19"/>
      <c r="L5346" s="20"/>
      <c r="M5346" s="10"/>
      <c r="N5346" s="10"/>
      <c r="O5346" s="10"/>
      <c r="P5346" s="10"/>
      <c r="Q5346" s="10"/>
      <c r="R5346" s="10"/>
      <c r="S5346" s="10"/>
      <c r="T5346" s="10"/>
      <c r="U5346" s="10"/>
      <c r="V5346" s="10"/>
      <c r="W5346" s="10"/>
      <c r="X5346" s="10"/>
      <c r="Y5346" s="10"/>
      <c r="Z5346" s="10"/>
      <c r="AA5346" s="10"/>
      <c r="AB5346" s="10"/>
      <c r="AC5346" s="10"/>
      <c r="AD5346" s="10"/>
      <c r="AE5346" s="10"/>
      <c r="AF5346" s="10"/>
      <c r="AG5346" s="10"/>
      <c r="AH5346" s="10"/>
    </row>
    <row r="5347" spans="1:34" outlineLevel="1">
      <c r="A5347" s="21"/>
      <c r="B5347" s="12" t="str">
        <f>IFERROR(VLOOKUP(D5347,'[1]Перечень товаров'!$A$2:$I9525,2,0),"")</f>
        <v/>
      </c>
      <c r="C5347" s="12" t="str">
        <f>IFERROR(VLOOKUP(D5347,'[1]Перечень товаров'!$A$2:$I9525,3,0),"")</f>
        <v/>
      </c>
      <c r="D5347" s="22" t="s">
        <v>934</v>
      </c>
      <c r="E5347" s="23">
        <v>2.4</v>
      </c>
      <c r="F5347" s="23"/>
      <c r="G5347" s="24"/>
      <c r="H5347" s="24"/>
      <c r="I5347" s="25"/>
      <c r="J5347" s="25"/>
      <c r="K5347" s="19"/>
      <c r="L5347" s="20"/>
      <c r="M5347" s="10"/>
      <c r="N5347" s="10"/>
      <c r="O5347" s="10"/>
      <c r="P5347" s="10"/>
      <c r="Q5347" s="10"/>
      <c r="R5347" s="10"/>
      <c r="S5347" s="10"/>
      <c r="T5347" s="10"/>
      <c r="U5347" s="10"/>
      <c r="V5347" s="10"/>
      <c r="W5347" s="10"/>
      <c r="X5347" s="10"/>
      <c r="Y5347" s="10"/>
      <c r="Z5347" s="10"/>
      <c r="AA5347" s="10"/>
      <c r="AB5347" s="10"/>
      <c r="AC5347" s="10"/>
      <c r="AD5347" s="10"/>
      <c r="AE5347" s="10"/>
      <c r="AF5347" s="10"/>
      <c r="AG5347" s="10"/>
      <c r="AH5347" s="10"/>
    </row>
    <row r="5348" spans="1:34" ht="12.75" outlineLevel="1">
      <c r="A5348" s="11"/>
      <c r="B5348" s="12" t="str">
        <f>IFERROR(VLOOKUP(D5348,'[1]Перечень товаров'!$A$2:$I9525,2,0),"")</f>
        <v/>
      </c>
      <c r="C5348" s="12" t="str">
        <f>IFERROR(VLOOKUP(D5348,'[1]Перечень товаров'!$A$2:$I9525,3,0),"")</f>
        <v/>
      </c>
      <c r="D5348" s="27" t="s">
        <v>1575</v>
      </c>
      <c r="E5348" s="14">
        <v>17.100000000000001</v>
      </c>
      <c r="F5348" s="14"/>
      <c r="G5348" s="17"/>
      <c r="H5348" s="17"/>
      <c r="I5348" s="57"/>
      <c r="J5348" s="57"/>
      <c r="K5348" s="19"/>
      <c r="L5348" s="20"/>
      <c r="M5348" s="10"/>
      <c r="N5348" s="10"/>
      <c r="O5348" s="10"/>
      <c r="P5348" s="10"/>
      <c r="Q5348" s="10"/>
      <c r="R5348" s="10"/>
      <c r="S5348" s="10"/>
      <c r="T5348" s="10"/>
      <c r="U5348" s="10"/>
      <c r="V5348" s="10"/>
      <c r="W5348" s="10"/>
      <c r="X5348" s="10"/>
      <c r="Y5348" s="10"/>
      <c r="Z5348" s="10"/>
      <c r="AA5348" s="10"/>
      <c r="AB5348" s="10"/>
      <c r="AC5348" s="10"/>
      <c r="AD5348" s="10"/>
      <c r="AE5348" s="10"/>
      <c r="AF5348" s="10"/>
      <c r="AG5348" s="10"/>
      <c r="AH5348" s="10"/>
    </row>
    <row r="5349" spans="1:34" outlineLevel="2">
      <c r="A5349" s="22"/>
      <c r="B5349" s="12" t="str">
        <f>IFERROR(VLOOKUP(D5349,'[1]Перечень товаров'!$A$2:$I9525,2,0),"")</f>
        <v>м14</v>
      </c>
      <c r="C5349" s="12" t="str">
        <f>IFERROR(VLOOKUP(D5349,'[1]Перечень товаров'!$A$2:$I9525,3,0),"")</f>
        <v>Мебель</v>
      </c>
      <c r="D5349" s="22" t="s">
        <v>43</v>
      </c>
      <c r="E5349" s="203"/>
      <c r="F5349" s="203"/>
      <c r="G5349" s="24">
        <v>1</v>
      </c>
      <c r="H5349" s="24"/>
      <c r="I5349" s="25"/>
      <c r="J5349" s="25"/>
      <c r="K5349" s="19"/>
      <c r="L5349" s="20"/>
      <c r="M5349" s="10"/>
      <c r="N5349" s="10"/>
      <c r="O5349" s="10"/>
      <c r="P5349" s="10"/>
      <c r="Q5349" s="10"/>
      <c r="R5349" s="10"/>
      <c r="S5349" s="10"/>
      <c r="T5349" s="10"/>
      <c r="U5349" s="10"/>
      <c r="V5349" s="10"/>
      <c r="W5349" s="10"/>
      <c r="X5349" s="10"/>
      <c r="Y5349" s="10"/>
      <c r="Z5349" s="10"/>
      <c r="AA5349" s="10"/>
      <c r="AB5349" s="10"/>
      <c r="AC5349" s="10"/>
      <c r="AD5349" s="10"/>
      <c r="AE5349" s="10"/>
      <c r="AF5349" s="10"/>
      <c r="AG5349" s="10"/>
      <c r="AH5349" s="10"/>
    </row>
    <row r="5350" spans="1:34" outlineLevel="2">
      <c r="A5350" s="21"/>
      <c r="B5350" s="12" t="str">
        <f>IFERROR(VLOOKUP(D5350,'[1]Перечень товаров'!$A$2:$I9525,2,0),"")</f>
        <v>м167</v>
      </c>
      <c r="C5350" s="12" t="str">
        <f>IFERROR(VLOOKUP(D5350,'[1]Перечень товаров'!$A$2:$I9525,3,0),"")</f>
        <v>Мебель</v>
      </c>
      <c r="D5350" s="22" t="s">
        <v>508</v>
      </c>
      <c r="E5350" s="203"/>
      <c r="F5350" s="203"/>
      <c r="G5350" s="24">
        <v>1</v>
      </c>
      <c r="H5350" s="24"/>
      <c r="I5350" s="25"/>
      <c r="J5350" s="25"/>
      <c r="K5350" s="19"/>
      <c r="L5350" s="20"/>
      <c r="M5350" s="10"/>
      <c r="N5350" s="10"/>
      <c r="O5350" s="10"/>
      <c r="P5350" s="10"/>
      <c r="Q5350" s="10"/>
      <c r="R5350" s="10"/>
      <c r="S5350" s="10"/>
      <c r="T5350" s="10"/>
      <c r="U5350" s="10"/>
      <c r="V5350" s="10"/>
      <c r="W5350" s="10"/>
      <c r="X5350" s="10"/>
      <c r="Y5350" s="10"/>
      <c r="Z5350" s="10"/>
      <c r="AA5350" s="10"/>
      <c r="AB5350" s="10"/>
      <c r="AC5350" s="10"/>
      <c r="AD5350" s="10"/>
      <c r="AE5350" s="10"/>
      <c r="AF5350" s="10"/>
      <c r="AG5350" s="10"/>
      <c r="AH5350" s="10"/>
    </row>
    <row r="5351" spans="1:34" outlineLevel="2">
      <c r="A5351" s="21"/>
      <c r="B5351" s="12" t="str">
        <f>IFERROR(VLOOKUP(D5351,'[1]Перечень товаров'!$A$2:$I9525,2,0),"")</f>
        <v>м218</v>
      </c>
      <c r="C5351" s="12" t="str">
        <f>IFERROR(VLOOKUP(D5351,'[1]Перечень товаров'!$A$2:$I9525,3,0),"")</f>
        <v>Мебель</v>
      </c>
      <c r="D5351" s="22" t="s">
        <v>872</v>
      </c>
      <c r="E5351" s="203"/>
      <c r="F5351" s="203"/>
      <c r="G5351" s="24">
        <v>2</v>
      </c>
      <c r="H5351" s="24"/>
      <c r="I5351" s="25"/>
      <c r="J5351" s="25"/>
      <c r="K5351" s="19"/>
      <c r="L5351" s="20"/>
      <c r="M5351" s="10"/>
      <c r="N5351" s="10"/>
      <c r="O5351" s="10"/>
      <c r="P5351" s="10"/>
      <c r="Q5351" s="10"/>
      <c r="R5351" s="10"/>
      <c r="S5351" s="10"/>
      <c r="T5351" s="10"/>
      <c r="U5351" s="10"/>
      <c r="V5351" s="10"/>
      <c r="W5351" s="10"/>
      <c r="X5351" s="10"/>
      <c r="Y5351" s="10"/>
      <c r="Z5351" s="10"/>
      <c r="AA5351" s="10"/>
      <c r="AB5351" s="10"/>
      <c r="AC5351" s="10"/>
      <c r="AD5351" s="10"/>
      <c r="AE5351" s="10"/>
      <c r="AF5351" s="10"/>
      <c r="AG5351" s="10"/>
      <c r="AH5351" s="10"/>
    </row>
    <row r="5352" spans="1:34" outlineLevel="2">
      <c r="A5352" s="21"/>
      <c r="B5352" s="12" t="str">
        <f>IFERROR(VLOOKUP(D5352,'[1]Перечень товаров'!$A$2:$I9525,2,0),"")</f>
        <v>м219</v>
      </c>
      <c r="C5352" s="12" t="str">
        <f>IFERROR(VLOOKUP(D5352,'[1]Перечень товаров'!$A$2:$I9525,3,0),"")</f>
        <v>Мебель</v>
      </c>
      <c r="D5352" s="22" t="s">
        <v>873</v>
      </c>
      <c r="E5352" s="203"/>
      <c r="F5352" s="203"/>
      <c r="G5352" s="24">
        <v>4</v>
      </c>
      <c r="H5352" s="24"/>
      <c r="I5352" s="25"/>
      <c r="J5352" s="25"/>
      <c r="K5352" s="19"/>
      <c r="L5352" s="20"/>
      <c r="M5352" s="10"/>
      <c r="N5352" s="10"/>
      <c r="O5352" s="10"/>
      <c r="P5352" s="10"/>
      <c r="Q5352" s="10"/>
      <c r="R5352" s="10"/>
      <c r="S5352" s="10"/>
      <c r="T5352" s="10"/>
      <c r="U5352" s="10"/>
      <c r="V5352" s="10"/>
      <c r="W5352" s="10"/>
      <c r="X5352" s="10"/>
      <c r="Y5352" s="10"/>
      <c r="Z5352" s="10"/>
      <c r="AA5352" s="10"/>
      <c r="AB5352" s="10"/>
      <c r="AC5352" s="10"/>
      <c r="AD5352" s="10"/>
      <c r="AE5352" s="10"/>
      <c r="AF5352" s="10"/>
      <c r="AG5352" s="10"/>
      <c r="AH5352" s="10"/>
    </row>
    <row r="5353" spans="1:34" outlineLevel="2">
      <c r="A5353" s="21"/>
      <c r="B5353" s="12" t="str">
        <f>IFERROR(VLOOKUP(D5353,'[1]Перечень товаров'!$A$2:$I9525,2,0),"")</f>
        <v>м220</v>
      </c>
      <c r="C5353" s="12" t="str">
        <f>IFERROR(VLOOKUP(D5353,'[1]Перечень товаров'!$A$2:$I9525,3,0),"")</f>
        <v>Мебель</v>
      </c>
      <c r="D5353" s="22" t="s">
        <v>874</v>
      </c>
      <c r="E5353" s="203"/>
      <c r="F5353" s="203"/>
      <c r="G5353" s="24">
        <v>1</v>
      </c>
      <c r="H5353" s="24"/>
      <c r="I5353" s="25"/>
      <c r="J5353" s="25"/>
      <c r="K5353" s="19"/>
      <c r="L5353" s="20"/>
      <c r="M5353" s="10"/>
      <c r="N5353" s="10"/>
      <c r="O5353" s="10"/>
      <c r="P5353" s="10"/>
      <c r="Q5353" s="10"/>
      <c r="R5353" s="10"/>
      <c r="S5353" s="10"/>
      <c r="T5353" s="10"/>
      <c r="U5353" s="10"/>
      <c r="V5353" s="10"/>
      <c r="W5353" s="10"/>
      <c r="X5353" s="10"/>
      <c r="Y5353" s="10"/>
      <c r="Z5353" s="10"/>
      <c r="AA5353" s="10"/>
      <c r="AB5353" s="10"/>
      <c r="AC5353" s="10"/>
      <c r="AD5353" s="10"/>
      <c r="AE5353" s="10"/>
      <c r="AF5353" s="10"/>
      <c r="AG5353" s="10"/>
      <c r="AH5353" s="10"/>
    </row>
    <row r="5354" spans="1:34" outlineLevel="2">
      <c r="A5354" s="21"/>
      <c r="B5354" s="12" t="str">
        <f>IFERROR(VLOOKUP(D5354,'[1]Перечень товаров'!$A$2:$I9525,2,0),"")</f>
        <v>тм152</v>
      </c>
      <c r="C5354" s="12" t="str">
        <f>IFERROR(VLOOKUP(D5354,'[1]Перечень товаров'!$A$2:$I9525,3,0),"")</f>
        <v>Техника муз</v>
      </c>
      <c r="D5354" s="22" t="s">
        <v>1572</v>
      </c>
      <c r="E5354" s="203"/>
      <c r="F5354" s="203"/>
      <c r="G5354" s="24">
        <v>1</v>
      </c>
      <c r="H5354" s="24"/>
      <c r="I5354" s="25"/>
      <c r="J5354" s="25"/>
      <c r="K5354" s="19"/>
      <c r="L5354" s="20"/>
      <c r="M5354" s="10"/>
      <c r="N5354" s="10"/>
      <c r="O5354" s="10"/>
      <c r="P5354" s="10"/>
      <c r="Q5354" s="10"/>
      <c r="R5354" s="10"/>
      <c r="S5354" s="10"/>
      <c r="T5354" s="10"/>
      <c r="U5354" s="10"/>
      <c r="V5354" s="10"/>
      <c r="W5354" s="10"/>
      <c r="X5354" s="10"/>
      <c r="Y5354" s="10"/>
      <c r="Z5354" s="10"/>
      <c r="AA5354" s="10"/>
      <c r="AB5354" s="10"/>
      <c r="AC5354" s="10"/>
      <c r="AD5354" s="10"/>
      <c r="AE5354" s="10"/>
      <c r="AF5354" s="10"/>
      <c r="AG5354" s="10"/>
      <c r="AH5354" s="10"/>
    </row>
    <row r="5355" spans="1:34" outlineLevel="2">
      <c r="A5355" s="21"/>
      <c r="B5355" s="12" t="str">
        <f>IFERROR(VLOOKUP(D5355,'[1]Перечень товаров'!$A$2:$I9525,2,0),"")</f>
        <v>м137</v>
      </c>
      <c r="C5355" s="12" t="str">
        <f>IFERROR(VLOOKUP(D5355,'[1]Перечень товаров'!$A$2:$I9525,3,0),"")</f>
        <v>мебель</v>
      </c>
      <c r="D5355" s="22" t="s">
        <v>876</v>
      </c>
      <c r="E5355" s="203"/>
      <c r="F5355" s="203"/>
      <c r="G5355" s="24">
        <v>1</v>
      </c>
      <c r="H5355" s="24"/>
      <c r="I5355" s="25"/>
      <c r="J5355" s="25"/>
      <c r="K5355" s="19"/>
      <c r="L5355" s="20"/>
      <c r="M5355" s="10"/>
      <c r="N5355" s="10"/>
      <c r="O5355" s="10"/>
      <c r="P5355" s="10"/>
      <c r="Q5355" s="10"/>
      <c r="R5355" s="10"/>
      <c r="S5355" s="10"/>
      <c r="T5355" s="10"/>
      <c r="U5355" s="10"/>
      <c r="V5355" s="10"/>
      <c r="W5355" s="10"/>
      <c r="X5355" s="10"/>
      <c r="Y5355" s="10"/>
      <c r="Z5355" s="10"/>
      <c r="AA5355" s="10"/>
      <c r="AB5355" s="10"/>
      <c r="AC5355" s="10"/>
      <c r="AD5355" s="10"/>
      <c r="AE5355" s="10"/>
      <c r="AF5355" s="10"/>
      <c r="AG5355" s="10"/>
      <c r="AH5355" s="10"/>
    </row>
    <row r="5356" spans="1:34" outlineLevel="2">
      <c r="A5356" s="21"/>
      <c r="B5356" s="12" t="str">
        <f>IFERROR(VLOOKUP(D5356,'[1]Перечень товаров'!$A$2:$I9525,2,0),"")</f>
        <v>м187</v>
      </c>
      <c r="C5356" s="12" t="str">
        <f>IFERROR(VLOOKUP(D5356,'[1]Перечень товаров'!$A$2:$I9525,3,0),"")</f>
        <v>мебель</v>
      </c>
      <c r="D5356" s="22" t="s">
        <v>877</v>
      </c>
      <c r="E5356" s="203"/>
      <c r="F5356" s="203"/>
      <c r="G5356" s="24">
        <v>1</v>
      </c>
      <c r="H5356" s="24"/>
      <c r="I5356" s="25"/>
      <c r="J5356" s="25"/>
      <c r="K5356" s="19"/>
      <c r="L5356" s="20"/>
      <c r="M5356" s="10"/>
      <c r="N5356" s="10"/>
      <c r="O5356" s="10"/>
      <c r="P5356" s="10"/>
      <c r="Q5356" s="10"/>
      <c r="R5356" s="10"/>
      <c r="S5356" s="10"/>
      <c r="T5356" s="10"/>
      <c r="U5356" s="10"/>
      <c r="V5356" s="10"/>
      <c r="W5356" s="10"/>
      <c r="X5356" s="10"/>
      <c r="Y5356" s="10"/>
      <c r="Z5356" s="10"/>
      <c r="AA5356" s="10"/>
      <c r="AB5356" s="10"/>
      <c r="AC5356" s="10"/>
      <c r="AD5356" s="10"/>
      <c r="AE5356" s="10"/>
      <c r="AF5356" s="10"/>
      <c r="AG5356" s="10"/>
      <c r="AH5356" s="10"/>
    </row>
    <row r="5357" spans="1:34" outlineLevel="2">
      <c r="A5357" s="21"/>
      <c r="B5357" s="12" t="str">
        <f>IFERROR(VLOOKUP(D5357,'[1]Перечень товаров'!$A$2:$I9525,2,0),"")</f>
        <v>м30</v>
      </c>
      <c r="C5357" s="12" t="str">
        <f>IFERROR(VLOOKUP(D5357,'[1]Перечень товаров'!$A$2:$I9525,3,0),"")</f>
        <v>Мебель</v>
      </c>
      <c r="D5357" s="22" t="s">
        <v>181</v>
      </c>
      <c r="E5357" s="203"/>
      <c r="F5357" s="203"/>
      <c r="G5357" s="24">
        <v>2</v>
      </c>
      <c r="H5357" s="24"/>
      <c r="I5357" s="25"/>
      <c r="J5357" s="25"/>
      <c r="K5357" s="19"/>
      <c r="L5357" s="20"/>
      <c r="M5357" s="10"/>
      <c r="N5357" s="10"/>
      <c r="O5357" s="10"/>
      <c r="P5357" s="10"/>
      <c r="Q5357" s="10"/>
      <c r="R5357" s="10"/>
      <c r="S5357" s="10"/>
      <c r="T5357" s="10"/>
      <c r="U5357" s="10"/>
      <c r="V5357" s="10"/>
      <c r="W5357" s="10"/>
      <c r="X5357" s="10"/>
      <c r="Y5357" s="10"/>
      <c r="Z5357" s="10"/>
      <c r="AA5357" s="10"/>
      <c r="AB5357" s="10"/>
      <c r="AC5357" s="10"/>
      <c r="AD5357" s="10"/>
      <c r="AE5357" s="10"/>
      <c r="AF5357" s="10"/>
      <c r="AG5357" s="10"/>
      <c r="AH5357" s="10"/>
    </row>
    <row r="5358" spans="1:34" outlineLevel="2">
      <c r="A5358" s="21"/>
      <c r="B5358" s="12" t="str">
        <f>IFERROR(VLOOKUP(D5358,'[1]Перечень товаров'!$A$2:$I9525,2,0),"")</f>
        <v>м221</v>
      </c>
      <c r="C5358" s="12" t="str">
        <f>IFERROR(VLOOKUP(D5358,'[1]Перечень товаров'!$A$2:$I9525,3,0),"")</f>
        <v>Мебель</v>
      </c>
      <c r="D5358" s="22" t="s">
        <v>878</v>
      </c>
      <c r="E5358" s="203"/>
      <c r="F5358" s="203"/>
      <c r="G5358" s="24">
        <v>2</v>
      </c>
      <c r="H5358" s="24"/>
      <c r="I5358" s="25"/>
      <c r="J5358" s="25"/>
      <c r="K5358" s="19"/>
      <c r="L5358" s="20"/>
      <c r="M5358" s="10"/>
      <c r="N5358" s="10"/>
      <c r="O5358" s="10"/>
      <c r="P5358" s="10"/>
      <c r="Q5358" s="10"/>
      <c r="R5358" s="10"/>
      <c r="S5358" s="10"/>
      <c r="T5358" s="10"/>
      <c r="U5358" s="10"/>
      <c r="V5358" s="10"/>
      <c r="W5358" s="10"/>
      <c r="X5358" s="10"/>
      <c r="Y5358" s="10"/>
      <c r="Z5358" s="10"/>
      <c r="AA5358" s="10"/>
      <c r="AB5358" s="10"/>
      <c r="AC5358" s="10"/>
      <c r="AD5358" s="10"/>
      <c r="AE5358" s="10"/>
      <c r="AF5358" s="10"/>
      <c r="AG5358" s="10"/>
      <c r="AH5358" s="10"/>
    </row>
    <row r="5359" spans="1:34" ht="12.75" outlineLevel="1">
      <c r="A5359" s="11"/>
      <c r="B5359" s="12" t="str">
        <f>IFERROR(VLOOKUP(D5359,'[1]Перечень товаров'!$A$2:$I9525,2,0),"")</f>
        <v/>
      </c>
      <c r="C5359" s="12" t="str">
        <f>IFERROR(VLOOKUP(D5359,'[1]Перечень товаров'!$A$2:$I9525,3,0),"")</f>
        <v/>
      </c>
      <c r="D5359" s="27" t="s">
        <v>1578</v>
      </c>
      <c r="E5359" s="14">
        <v>14.3</v>
      </c>
      <c r="F5359" s="14"/>
      <c r="G5359" s="17"/>
      <c r="H5359" s="17"/>
      <c r="I5359" s="57"/>
      <c r="J5359" s="57"/>
      <c r="K5359" s="19"/>
      <c r="L5359" s="20"/>
      <c r="M5359" s="10"/>
      <c r="N5359" s="10"/>
      <c r="O5359" s="10"/>
      <c r="P5359" s="10"/>
      <c r="Q5359" s="10"/>
      <c r="R5359" s="10"/>
      <c r="S5359" s="10"/>
      <c r="T5359" s="10"/>
      <c r="U5359" s="10"/>
      <c r="V5359" s="10"/>
      <c r="W5359" s="10"/>
      <c r="X5359" s="10"/>
      <c r="Y5359" s="10"/>
      <c r="Z5359" s="10"/>
      <c r="AA5359" s="10"/>
      <c r="AB5359" s="10"/>
      <c r="AC5359" s="10"/>
      <c r="AD5359" s="10"/>
      <c r="AE5359" s="10"/>
      <c r="AF5359" s="10"/>
      <c r="AG5359" s="10"/>
      <c r="AH5359" s="10"/>
    </row>
    <row r="5360" spans="1:34" outlineLevel="2">
      <c r="A5360" s="22"/>
      <c r="B5360" s="12" t="str">
        <f>IFERROR(VLOOKUP(D5360,'[1]Перечень товаров'!$A$2:$I9525,2,0),"")</f>
        <v>м14</v>
      </c>
      <c r="C5360" s="12" t="str">
        <f>IFERROR(VLOOKUP(D5360,'[1]Перечень товаров'!$A$2:$I9525,3,0),"")</f>
        <v>Мебель</v>
      </c>
      <c r="D5360" s="22" t="s">
        <v>43</v>
      </c>
      <c r="E5360" s="203"/>
      <c r="F5360" s="203"/>
      <c r="G5360" s="24">
        <v>1</v>
      </c>
      <c r="H5360" s="24"/>
      <c r="I5360" s="25"/>
      <c r="J5360" s="25"/>
      <c r="K5360" s="19"/>
      <c r="L5360" s="20"/>
      <c r="M5360" s="10"/>
      <c r="N5360" s="10"/>
      <c r="O5360" s="10"/>
      <c r="P5360" s="10"/>
      <c r="Q5360" s="10"/>
      <c r="R5360" s="10"/>
      <c r="S5360" s="10"/>
      <c r="T5360" s="10"/>
      <c r="U5360" s="10"/>
      <c r="V5360" s="10"/>
      <c r="W5360" s="10"/>
      <c r="X5360" s="10"/>
      <c r="Y5360" s="10"/>
      <c r="Z5360" s="10"/>
      <c r="AA5360" s="10"/>
      <c r="AB5360" s="10"/>
      <c r="AC5360" s="10"/>
      <c r="AD5360" s="10"/>
      <c r="AE5360" s="10"/>
      <c r="AF5360" s="10"/>
      <c r="AG5360" s="10"/>
      <c r="AH5360" s="10"/>
    </row>
    <row r="5361" spans="1:34" outlineLevel="2">
      <c r="A5361" s="21"/>
      <c r="B5361" s="12" t="str">
        <f>IFERROR(VLOOKUP(D5361,'[1]Перечень товаров'!$A$2:$I9525,2,0),"")</f>
        <v>м167</v>
      </c>
      <c r="C5361" s="12" t="str">
        <f>IFERROR(VLOOKUP(D5361,'[1]Перечень товаров'!$A$2:$I9525,3,0),"")</f>
        <v>Мебель</v>
      </c>
      <c r="D5361" s="22" t="s">
        <v>508</v>
      </c>
      <c r="E5361" s="203"/>
      <c r="F5361" s="203"/>
      <c r="G5361" s="24">
        <v>1</v>
      </c>
      <c r="H5361" s="24"/>
      <c r="I5361" s="25"/>
      <c r="J5361" s="25"/>
      <c r="K5361" s="19"/>
      <c r="L5361" s="20"/>
      <c r="M5361" s="10"/>
      <c r="N5361" s="10"/>
      <c r="O5361" s="10"/>
      <c r="P5361" s="10"/>
      <c r="Q5361" s="10"/>
      <c r="R5361" s="10"/>
      <c r="S5361" s="10"/>
      <c r="T5361" s="10"/>
      <c r="U5361" s="10"/>
      <c r="V5361" s="10"/>
      <c r="W5361" s="10"/>
      <c r="X5361" s="10"/>
      <c r="Y5361" s="10"/>
      <c r="Z5361" s="10"/>
      <c r="AA5361" s="10"/>
      <c r="AB5361" s="10"/>
      <c r="AC5361" s="10"/>
      <c r="AD5361" s="10"/>
      <c r="AE5361" s="10"/>
      <c r="AF5361" s="10"/>
      <c r="AG5361" s="10"/>
      <c r="AH5361" s="10"/>
    </row>
    <row r="5362" spans="1:34" outlineLevel="2">
      <c r="A5362" s="21"/>
      <c r="B5362" s="12" t="str">
        <f>IFERROR(VLOOKUP(D5362,'[1]Перечень товаров'!$A$2:$I9525,2,0),"")</f>
        <v>м218</v>
      </c>
      <c r="C5362" s="12" t="str">
        <f>IFERROR(VLOOKUP(D5362,'[1]Перечень товаров'!$A$2:$I9525,3,0),"")</f>
        <v>Мебель</v>
      </c>
      <c r="D5362" s="22" t="s">
        <v>872</v>
      </c>
      <c r="E5362" s="203"/>
      <c r="F5362" s="203"/>
      <c r="G5362" s="24">
        <v>2</v>
      </c>
      <c r="H5362" s="24"/>
      <c r="I5362" s="25"/>
      <c r="J5362" s="25"/>
      <c r="K5362" s="19"/>
      <c r="L5362" s="20"/>
      <c r="M5362" s="10"/>
      <c r="N5362" s="10"/>
      <c r="O5362" s="10"/>
      <c r="P5362" s="10"/>
      <c r="Q5362" s="10"/>
      <c r="R5362" s="10"/>
      <c r="S5362" s="10"/>
      <c r="T5362" s="10"/>
      <c r="U5362" s="10"/>
      <c r="V5362" s="10"/>
      <c r="W5362" s="10"/>
      <c r="X5362" s="10"/>
      <c r="Y5362" s="10"/>
      <c r="Z5362" s="10"/>
      <c r="AA5362" s="10"/>
      <c r="AB5362" s="10"/>
      <c r="AC5362" s="10"/>
      <c r="AD5362" s="10"/>
      <c r="AE5362" s="10"/>
      <c r="AF5362" s="10"/>
      <c r="AG5362" s="10"/>
      <c r="AH5362" s="10"/>
    </row>
    <row r="5363" spans="1:34" outlineLevel="2">
      <c r="A5363" s="21"/>
      <c r="B5363" s="12" t="str">
        <f>IFERROR(VLOOKUP(D5363,'[1]Перечень товаров'!$A$2:$I9525,2,0),"")</f>
        <v>м219</v>
      </c>
      <c r="C5363" s="12" t="str">
        <f>IFERROR(VLOOKUP(D5363,'[1]Перечень товаров'!$A$2:$I9525,3,0),"")</f>
        <v>Мебель</v>
      </c>
      <c r="D5363" s="22" t="s">
        <v>873</v>
      </c>
      <c r="E5363" s="203"/>
      <c r="F5363" s="203"/>
      <c r="G5363" s="24">
        <v>4</v>
      </c>
      <c r="H5363" s="24"/>
      <c r="I5363" s="25"/>
      <c r="J5363" s="25"/>
      <c r="K5363" s="19"/>
      <c r="L5363" s="20"/>
      <c r="M5363" s="10"/>
      <c r="N5363" s="10"/>
      <c r="O5363" s="10"/>
      <c r="P5363" s="10"/>
      <c r="Q5363" s="10"/>
      <c r="R5363" s="10"/>
      <c r="S5363" s="10"/>
      <c r="T5363" s="10"/>
      <c r="U5363" s="10"/>
      <c r="V5363" s="10"/>
      <c r="W5363" s="10"/>
      <c r="X5363" s="10"/>
      <c r="Y5363" s="10"/>
      <c r="Z5363" s="10"/>
      <c r="AA5363" s="10"/>
      <c r="AB5363" s="10"/>
      <c r="AC5363" s="10"/>
      <c r="AD5363" s="10"/>
      <c r="AE5363" s="10"/>
      <c r="AF5363" s="10"/>
      <c r="AG5363" s="10"/>
      <c r="AH5363" s="10"/>
    </row>
    <row r="5364" spans="1:34" outlineLevel="2">
      <c r="A5364" s="21"/>
      <c r="B5364" s="12" t="str">
        <f>IFERROR(VLOOKUP(D5364,'[1]Перечень товаров'!$A$2:$I9525,2,0),"")</f>
        <v>м220</v>
      </c>
      <c r="C5364" s="12" t="str">
        <f>IFERROR(VLOOKUP(D5364,'[1]Перечень товаров'!$A$2:$I9525,3,0),"")</f>
        <v>Мебель</v>
      </c>
      <c r="D5364" s="22" t="s">
        <v>874</v>
      </c>
      <c r="E5364" s="203"/>
      <c r="F5364" s="203"/>
      <c r="G5364" s="24">
        <v>1</v>
      </c>
      <c r="H5364" s="24"/>
      <c r="I5364" s="25"/>
      <c r="J5364" s="25"/>
      <c r="K5364" s="19"/>
      <c r="L5364" s="20"/>
      <c r="M5364" s="10"/>
      <c r="N5364" s="10"/>
      <c r="O5364" s="10"/>
      <c r="P5364" s="10"/>
      <c r="Q5364" s="10"/>
      <c r="R5364" s="10"/>
      <c r="S5364" s="10"/>
      <c r="T5364" s="10"/>
      <c r="U5364" s="10"/>
      <c r="V5364" s="10"/>
      <c r="W5364" s="10"/>
      <c r="X5364" s="10"/>
      <c r="Y5364" s="10"/>
      <c r="Z5364" s="10"/>
      <c r="AA5364" s="10"/>
      <c r="AB5364" s="10"/>
      <c r="AC5364" s="10"/>
      <c r="AD5364" s="10"/>
      <c r="AE5364" s="10"/>
      <c r="AF5364" s="10"/>
      <c r="AG5364" s="10"/>
      <c r="AH5364" s="10"/>
    </row>
    <row r="5365" spans="1:34" outlineLevel="2">
      <c r="A5365" s="21"/>
      <c r="B5365" s="12" t="str">
        <f>IFERROR(VLOOKUP(D5365,'[1]Перечень товаров'!$A$2:$I9525,2,0),"")</f>
        <v>м187</v>
      </c>
      <c r="C5365" s="12" t="str">
        <f>IFERROR(VLOOKUP(D5365,'[1]Перечень товаров'!$A$2:$I9525,3,0),"")</f>
        <v>мебель</v>
      </c>
      <c r="D5365" s="22" t="s">
        <v>877</v>
      </c>
      <c r="E5365" s="203"/>
      <c r="F5365" s="203"/>
      <c r="G5365" s="24">
        <v>1</v>
      </c>
      <c r="H5365" s="24"/>
      <c r="I5365" s="25"/>
      <c r="J5365" s="25"/>
      <c r="K5365" s="19"/>
      <c r="L5365" s="20"/>
      <c r="M5365" s="10"/>
      <c r="N5365" s="10"/>
      <c r="O5365" s="10"/>
      <c r="P5365" s="10"/>
      <c r="Q5365" s="10"/>
      <c r="R5365" s="10"/>
      <c r="S5365" s="10"/>
      <c r="T5365" s="10"/>
      <c r="U5365" s="10"/>
      <c r="V5365" s="10"/>
      <c r="W5365" s="10"/>
      <c r="X5365" s="10"/>
      <c r="Y5365" s="10"/>
      <c r="Z5365" s="10"/>
      <c r="AA5365" s="10"/>
      <c r="AB5365" s="10"/>
      <c r="AC5365" s="10"/>
      <c r="AD5365" s="10"/>
      <c r="AE5365" s="10"/>
      <c r="AF5365" s="10"/>
      <c r="AG5365" s="10"/>
      <c r="AH5365" s="10"/>
    </row>
    <row r="5366" spans="1:34" outlineLevel="2">
      <c r="A5366" s="21"/>
      <c r="B5366" s="12" t="str">
        <f>IFERROR(VLOOKUP(D5366,'[1]Перечень товаров'!$A$2:$I9525,2,0),"")</f>
        <v>м30</v>
      </c>
      <c r="C5366" s="12" t="str">
        <f>IFERROR(VLOOKUP(D5366,'[1]Перечень товаров'!$A$2:$I9525,3,0),"")</f>
        <v>Мебель</v>
      </c>
      <c r="D5366" s="22" t="s">
        <v>181</v>
      </c>
      <c r="E5366" s="203"/>
      <c r="F5366" s="203"/>
      <c r="G5366" s="24">
        <v>2</v>
      </c>
      <c r="H5366" s="24"/>
      <c r="I5366" s="25"/>
      <c r="J5366" s="25"/>
      <c r="K5366" s="19"/>
      <c r="L5366" s="20"/>
      <c r="M5366" s="10"/>
      <c r="N5366" s="10"/>
      <c r="O5366" s="10"/>
      <c r="P5366" s="10"/>
      <c r="Q5366" s="10"/>
      <c r="R5366" s="10"/>
      <c r="S5366" s="10"/>
      <c r="T5366" s="10"/>
      <c r="U5366" s="10"/>
      <c r="V5366" s="10"/>
      <c r="W5366" s="10"/>
      <c r="X5366" s="10"/>
      <c r="Y5366" s="10"/>
      <c r="Z5366" s="10"/>
      <c r="AA5366" s="10"/>
      <c r="AB5366" s="10"/>
      <c r="AC5366" s="10"/>
      <c r="AD5366" s="10"/>
      <c r="AE5366" s="10"/>
      <c r="AF5366" s="10"/>
      <c r="AG5366" s="10"/>
      <c r="AH5366" s="10"/>
    </row>
    <row r="5367" spans="1:34" outlineLevel="2">
      <c r="A5367" s="21"/>
      <c r="B5367" s="12" t="str">
        <f>IFERROR(VLOOKUP(D5367,'[1]Перечень товаров'!$A$2:$I9525,2,0),"")</f>
        <v>м221</v>
      </c>
      <c r="C5367" s="12" t="str">
        <f>IFERROR(VLOOKUP(D5367,'[1]Перечень товаров'!$A$2:$I9525,3,0),"")</f>
        <v>Мебель</v>
      </c>
      <c r="D5367" s="22" t="s">
        <v>878</v>
      </c>
      <c r="E5367" s="203"/>
      <c r="F5367" s="203"/>
      <c r="G5367" s="24">
        <v>2</v>
      </c>
      <c r="H5367" s="24"/>
      <c r="I5367" s="25"/>
      <c r="J5367" s="25"/>
      <c r="K5367" s="19"/>
      <c r="L5367" s="20"/>
      <c r="M5367" s="10"/>
      <c r="N5367" s="10"/>
      <c r="O5367" s="10"/>
      <c r="P5367" s="10"/>
      <c r="Q5367" s="10"/>
      <c r="R5367" s="10"/>
      <c r="S5367" s="10"/>
      <c r="T5367" s="10"/>
      <c r="U5367" s="10"/>
      <c r="V5367" s="10"/>
      <c r="W5367" s="10"/>
      <c r="X5367" s="10"/>
      <c r="Y5367" s="10"/>
      <c r="Z5367" s="10"/>
      <c r="AA5367" s="10"/>
      <c r="AB5367" s="10"/>
      <c r="AC5367" s="10"/>
      <c r="AD5367" s="10"/>
      <c r="AE5367" s="10"/>
      <c r="AF5367" s="10"/>
      <c r="AG5367" s="10"/>
      <c r="AH5367" s="10"/>
    </row>
    <row r="5368" spans="1:34" ht="12.75" outlineLevel="1">
      <c r="A5368" s="11"/>
      <c r="B5368" s="12" t="str">
        <f>IFERROR(VLOOKUP(D5368,'[1]Перечень товаров'!$A$2:$I9525,2,0),"")</f>
        <v/>
      </c>
      <c r="C5368" s="12" t="str">
        <f>IFERROR(VLOOKUP(D5368,'[1]Перечень товаров'!$A$2:$I9525,3,0),"")</f>
        <v/>
      </c>
      <c r="D5368" s="27" t="s">
        <v>1576</v>
      </c>
      <c r="E5368" s="14">
        <v>5.2</v>
      </c>
      <c r="F5368" s="14"/>
      <c r="G5368" s="17"/>
      <c r="H5368" s="17"/>
      <c r="I5368" s="57"/>
      <c r="J5368" s="57"/>
      <c r="K5368" s="19"/>
      <c r="L5368" s="20"/>
      <c r="M5368" s="10"/>
      <c r="N5368" s="10"/>
      <c r="O5368" s="10"/>
      <c r="P5368" s="10"/>
      <c r="Q5368" s="10"/>
      <c r="R5368" s="10"/>
      <c r="S5368" s="10"/>
      <c r="T5368" s="10"/>
      <c r="U5368" s="10"/>
      <c r="V5368" s="10"/>
      <c r="W5368" s="10"/>
      <c r="X5368" s="10"/>
      <c r="Y5368" s="10"/>
      <c r="Z5368" s="10"/>
      <c r="AA5368" s="10"/>
      <c r="AB5368" s="10"/>
      <c r="AC5368" s="10"/>
      <c r="AD5368" s="10"/>
      <c r="AE5368" s="10"/>
      <c r="AF5368" s="10"/>
      <c r="AG5368" s="10"/>
      <c r="AH5368" s="10"/>
    </row>
    <row r="5369" spans="1:34" outlineLevel="2">
      <c r="A5369" s="22"/>
      <c r="B5369" s="12" t="str">
        <f>IFERROR(VLOOKUP(D5369,'[1]Перечень товаров'!$A$2:$I9525,2,0),"")</f>
        <v>п25</v>
      </c>
      <c r="C5369" s="12" t="str">
        <f>IFERROR(VLOOKUP(D5369,'[1]Перечень товаров'!$A$2:$I9525,3,0),"")</f>
        <v>Прочее</v>
      </c>
      <c r="D5369" s="22" t="s">
        <v>360</v>
      </c>
      <c r="E5369" s="102"/>
      <c r="F5369" s="102"/>
      <c r="G5369" s="48">
        <v>3</v>
      </c>
      <c r="H5369" s="48"/>
      <c r="I5369" s="49"/>
      <c r="J5369" s="49"/>
      <c r="K5369" s="33"/>
      <c r="L5369" s="20"/>
      <c r="M5369" s="10"/>
      <c r="N5369" s="10"/>
      <c r="O5369" s="10"/>
      <c r="P5369" s="10"/>
      <c r="Q5369" s="10"/>
      <c r="R5369" s="10"/>
      <c r="S5369" s="10"/>
      <c r="T5369" s="10"/>
      <c r="U5369" s="10"/>
      <c r="V5369" s="10"/>
      <c r="W5369" s="10"/>
      <c r="X5369" s="10"/>
      <c r="Y5369" s="10"/>
      <c r="Z5369" s="10"/>
      <c r="AA5369" s="10"/>
      <c r="AB5369" s="10"/>
      <c r="AC5369" s="10"/>
      <c r="AD5369" s="10"/>
      <c r="AE5369" s="10"/>
      <c r="AF5369" s="10"/>
      <c r="AG5369" s="10"/>
      <c r="AH5369" s="10"/>
    </row>
    <row r="5370" spans="1:34" outlineLevel="2">
      <c r="A5370" s="21"/>
      <c r="B5370" s="12" t="str">
        <f>IFERROR(VLOOKUP(D5370,'[1]Перечень товаров'!$A$2:$I9525,2,0),"")</f>
        <v>п26</v>
      </c>
      <c r="C5370" s="12" t="str">
        <f>IFERROR(VLOOKUP(D5370,'[1]Перечень товаров'!$A$2:$I9525,3,0),"")</f>
        <v>Прочее</v>
      </c>
      <c r="D5370" s="22" t="s">
        <v>361</v>
      </c>
      <c r="E5370" s="102"/>
      <c r="F5370" s="102"/>
      <c r="G5370" s="48">
        <v>2</v>
      </c>
      <c r="H5370" s="48"/>
      <c r="I5370" s="49"/>
      <c r="J5370" s="49"/>
      <c r="K5370" s="33"/>
      <c r="L5370" s="20"/>
      <c r="M5370" s="10"/>
      <c r="N5370" s="10"/>
      <c r="O5370" s="10"/>
      <c r="P5370" s="10"/>
      <c r="Q5370" s="10"/>
      <c r="R5370" s="10"/>
      <c r="S5370" s="10"/>
      <c r="T5370" s="10"/>
      <c r="U5370" s="10"/>
      <c r="V5370" s="10"/>
      <c r="W5370" s="10"/>
      <c r="X5370" s="10"/>
      <c r="Y5370" s="10"/>
      <c r="Z5370" s="10"/>
      <c r="AA5370" s="10"/>
      <c r="AB5370" s="10"/>
      <c r="AC5370" s="10"/>
      <c r="AD5370" s="10"/>
      <c r="AE5370" s="10"/>
      <c r="AF5370" s="10"/>
      <c r="AG5370" s="10"/>
      <c r="AH5370" s="10"/>
    </row>
    <row r="5371" spans="1:34" outlineLevel="2">
      <c r="A5371" s="21"/>
      <c r="B5371" s="12" t="str">
        <f>IFERROR(VLOOKUP(D5371,'[1]Перечень товаров'!$A$2:$I9525,2,0),"")</f>
        <v>п27</v>
      </c>
      <c r="C5371" s="12" t="str">
        <f>IFERROR(VLOOKUP(D5371,'[1]Перечень товаров'!$A$2:$I9525,3,0),"")</f>
        <v>Прочее</v>
      </c>
      <c r="D5371" s="22" t="s">
        <v>362</v>
      </c>
      <c r="E5371" s="102"/>
      <c r="F5371" s="102"/>
      <c r="G5371" s="48">
        <v>2</v>
      </c>
      <c r="H5371" s="48"/>
      <c r="I5371" s="49"/>
      <c r="J5371" s="49"/>
      <c r="K5371" s="33"/>
      <c r="L5371" s="20"/>
      <c r="M5371" s="10"/>
      <c r="N5371" s="10"/>
      <c r="O5371" s="10"/>
      <c r="P5371" s="10"/>
      <c r="Q5371" s="10"/>
      <c r="R5371" s="10"/>
      <c r="S5371" s="10"/>
      <c r="T5371" s="10"/>
      <c r="U5371" s="10"/>
      <c r="V5371" s="10"/>
      <c r="W5371" s="10"/>
      <c r="X5371" s="10"/>
      <c r="Y5371" s="10"/>
      <c r="Z5371" s="10"/>
      <c r="AA5371" s="10"/>
      <c r="AB5371" s="10"/>
      <c r="AC5371" s="10"/>
      <c r="AD5371" s="10"/>
      <c r="AE5371" s="10"/>
      <c r="AF5371" s="10"/>
      <c r="AG5371" s="10"/>
      <c r="AH5371" s="10"/>
    </row>
    <row r="5372" spans="1:34" outlineLevel="2">
      <c r="A5372" s="21"/>
      <c r="B5372" s="12" t="str">
        <f>IFERROR(VLOOKUP(D5372,'[1]Перечень товаров'!$A$2:$I9525,2,0),"")</f>
        <v>п28</v>
      </c>
      <c r="C5372" s="12" t="str">
        <f>IFERROR(VLOOKUP(D5372,'[1]Перечень товаров'!$A$2:$I9525,3,0),"")</f>
        <v>Прочее</v>
      </c>
      <c r="D5372" s="22" t="s">
        <v>363</v>
      </c>
      <c r="E5372" s="102"/>
      <c r="F5372" s="102"/>
      <c r="G5372" s="48">
        <v>1</v>
      </c>
      <c r="H5372" s="48"/>
      <c r="I5372" s="49"/>
      <c r="J5372" s="49"/>
      <c r="K5372" s="33"/>
      <c r="L5372" s="20"/>
      <c r="M5372" s="10"/>
      <c r="N5372" s="10"/>
      <c r="O5372" s="10"/>
      <c r="P5372" s="10"/>
      <c r="Q5372" s="10"/>
      <c r="R5372" s="10"/>
      <c r="S5372" s="10"/>
      <c r="T5372" s="10"/>
      <c r="U5372" s="10"/>
      <c r="V5372" s="10"/>
      <c r="W5372" s="10"/>
      <c r="X5372" s="10"/>
      <c r="Y5372" s="10"/>
      <c r="Z5372" s="10"/>
      <c r="AA5372" s="10"/>
      <c r="AB5372" s="10"/>
      <c r="AC5372" s="10"/>
      <c r="AD5372" s="10"/>
      <c r="AE5372" s="10"/>
      <c r="AF5372" s="10"/>
      <c r="AG5372" s="10"/>
      <c r="AH5372" s="10"/>
    </row>
    <row r="5373" spans="1:34" outlineLevel="2">
      <c r="A5373" s="21"/>
      <c r="B5373" s="12" t="str">
        <f>IFERROR(VLOOKUP(D5373,'[1]Перечень товаров'!$A$2:$I9525,2,0),"")</f>
        <v>п29</v>
      </c>
      <c r="C5373" s="12" t="str">
        <f>IFERROR(VLOOKUP(D5373,'[1]Перечень товаров'!$A$2:$I9525,3,0),"")</f>
        <v>Прочее</v>
      </c>
      <c r="D5373" s="22" t="s">
        <v>364</v>
      </c>
      <c r="E5373" s="102"/>
      <c r="F5373" s="102"/>
      <c r="G5373" s="48">
        <v>6</v>
      </c>
      <c r="H5373" s="48"/>
      <c r="I5373" s="49"/>
      <c r="J5373" s="49"/>
      <c r="K5373" s="33"/>
      <c r="L5373" s="20"/>
      <c r="M5373" s="10"/>
      <c r="N5373" s="10"/>
      <c r="O5373" s="10"/>
      <c r="P5373" s="10"/>
      <c r="Q5373" s="10"/>
      <c r="R5373" s="10"/>
      <c r="S5373" s="10"/>
      <c r="T5373" s="10"/>
      <c r="U5373" s="10"/>
      <c r="V5373" s="10"/>
      <c r="W5373" s="10"/>
      <c r="X5373" s="10"/>
      <c r="Y5373" s="10"/>
      <c r="Z5373" s="10"/>
      <c r="AA5373" s="10"/>
      <c r="AB5373" s="10"/>
      <c r="AC5373" s="10"/>
      <c r="AD5373" s="10"/>
      <c r="AE5373" s="10"/>
      <c r="AF5373" s="10"/>
      <c r="AG5373" s="10"/>
      <c r="AH5373" s="10"/>
    </row>
    <row r="5374" spans="1:34" outlineLevel="2">
      <c r="A5374" s="21"/>
      <c r="B5374" s="12" t="str">
        <f>IFERROR(VLOOKUP(D5374,'[1]Перечень товаров'!$A$2:$I9525,2,0),"")</f>
        <v>п30</v>
      </c>
      <c r="C5374" s="12" t="str">
        <f>IFERROR(VLOOKUP(D5374,'[1]Перечень товаров'!$A$2:$I9525,3,0),"")</f>
        <v>Прочее</v>
      </c>
      <c r="D5374" s="22" t="s">
        <v>365</v>
      </c>
      <c r="E5374" s="102"/>
      <c r="F5374" s="102"/>
      <c r="G5374" s="48">
        <v>2</v>
      </c>
      <c r="H5374" s="48"/>
      <c r="I5374" s="49"/>
      <c r="J5374" s="49"/>
      <c r="K5374" s="33"/>
      <c r="L5374" s="20"/>
      <c r="M5374" s="10"/>
      <c r="N5374" s="10"/>
      <c r="O5374" s="10"/>
      <c r="P5374" s="10"/>
      <c r="Q5374" s="10"/>
      <c r="R5374" s="10"/>
      <c r="S5374" s="10"/>
      <c r="T5374" s="10"/>
      <c r="U5374" s="10"/>
      <c r="V5374" s="10"/>
      <c r="W5374" s="10"/>
      <c r="X5374" s="10"/>
      <c r="Y5374" s="10"/>
      <c r="Z5374" s="10"/>
      <c r="AA5374" s="10"/>
      <c r="AB5374" s="10"/>
      <c r="AC5374" s="10"/>
      <c r="AD5374" s="10"/>
      <c r="AE5374" s="10"/>
      <c r="AF5374" s="10"/>
      <c r="AG5374" s="10"/>
      <c r="AH5374" s="10"/>
    </row>
    <row r="5375" spans="1:34" ht="31.5" outlineLevel="2">
      <c r="A5375" s="21"/>
      <c r="B5375" s="12" t="str">
        <f>IFERROR(VLOOKUP(D5375,'[1]Перечень товаров'!$A$2:$I9525,2,0),"")</f>
        <v>п31</v>
      </c>
      <c r="C5375" s="12" t="str">
        <f>IFERROR(VLOOKUP(D5375,'[1]Перечень товаров'!$A$2:$I9525,3,0),"")</f>
        <v>Прочее</v>
      </c>
      <c r="D5375" s="22" t="s">
        <v>366</v>
      </c>
      <c r="E5375" s="102"/>
      <c r="F5375" s="102"/>
      <c r="G5375" s="48">
        <v>1</v>
      </c>
      <c r="H5375" s="48"/>
      <c r="I5375" s="49"/>
      <c r="J5375" s="49"/>
      <c r="K5375" s="33"/>
      <c r="L5375" s="20"/>
      <c r="M5375" s="10"/>
      <c r="N5375" s="10"/>
      <c r="O5375" s="10"/>
      <c r="P5375" s="10"/>
      <c r="Q5375" s="10"/>
      <c r="R5375" s="10"/>
      <c r="S5375" s="10"/>
      <c r="T5375" s="10"/>
      <c r="U5375" s="10"/>
      <c r="V5375" s="10"/>
      <c r="W5375" s="10"/>
      <c r="X5375" s="10"/>
      <c r="Y5375" s="10"/>
      <c r="Z5375" s="10"/>
      <c r="AA5375" s="10"/>
      <c r="AB5375" s="10"/>
      <c r="AC5375" s="10"/>
      <c r="AD5375" s="10"/>
      <c r="AE5375" s="10"/>
      <c r="AF5375" s="10"/>
      <c r="AG5375" s="10"/>
      <c r="AH5375" s="10"/>
    </row>
    <row r="5376" spans="1:34" ht="31.5" outlineLevel="2">
      <c r="A5376" s="21"/>
      <c r="B5376" s="12" t="str">
        <f>IFERROR(VLOOKUP(D5376,'[1]Перечень товаров'!$A$2:$I9525,2,0),"")</f>
        <v>п32</v>
      </c>
      <c r="C5376" s="12" t="str">
        <f>IFERROR(VLOOKUP(D5376,'[1]Перечень товаров'!$A$2:$I9525,3,0),"")</f>
        <v>Прочее</v>
      </c>
      <c r="D5376" s="22" t="s">
        <v>367</v>
      </c>
      <c r="E5376" s="102"/>
      <c r="F5376" s="102"/>
      <c r="G5376" s="48">
        <v>2</v>
      </c>
      <c r="H5376" s="48"/>
      <c r="I5376" s="49"/>
      <c r="J5376" s="49"/>
      <c r="K5376" s="33"/>
      <c r="L5376" s="20"/>
      <c r="M5376" s="10"/>
      <c r="N5376" s="10"/>
      <c r="O5376" s="10"/>
      <c r="P5376" s="10"/>
      <c r="Q5376" s="10"/>
      <c r="R5376" s="10"/>
      <c r="S5376" s="10"/>
      <c r="T5376" s="10"/>
      <c r="U5376" s="10"/>
      <c r="V5376" s="10"/>
      <c r="W5376" s="10"/>
      <c r="X5376" s="10"/>
      <c r="Y5376" s="10"/>
      <c r="Z5376" s="10"/>
      <c r="AA5376" s="10"/>
      <c r="AB5376" s="10"/>
      <c r="AC5376" s="10"/>
      <c r="AD5376" s="10"/>
      <c r="AE5376" s="10"/>
      <c r="AF5376" s="10"/>
      <c r="AG5376" s="10"/>
      <c r="AH5376" s="10"/>
    </row>
    <row r="5377" spans="1:34" ht="12.75" outlineLevel="1">
      <c r="A5377" s="11"/>
      <c r="B5377" s="12" t="str">
        <f>IFERROR(VLOOKUP(D5377,'[1]Перечень товаров'!$A$2:$I9525,2,0),"")</f>
        <v/>
      </c>
      <c r="C5377" s="12" t="str">
        <f>IFERROR(VLOOKUP(D5377,'[1]Перечень товаров'!$A$2:$I9525,3,0),"")</f>
        <v/>
      </c>
      <c r="D5377" s="27" t="s">
        <v>1577</v>
      </c>
      <c r="E5377" s="14">
        <v>4.2</v>
      </c>
      <c r="F5377" s="14"/>
      <c r="G5377" s="17"/>
      <c r="H5377" s="17"/>
      <c r="I5377" s="57"/>
      <c r="J5377" s="57"/>
      <c r="K5377" s="19"/>
      <c r="L5377" s="20"/>
      <c r="M5377" s="10"/>
      <c r="N5377" s="10"/>
      <c r="O5377" s="10"/>
      <c r="P5377" s="10"/>
      <c r="Q5377" s="10"/>
      <c r="R5377" s="10"/>
      <c r="S5377" s="10"/>
      <c r="T5377" s="10"/>
      <c r="U5377" s="10"/>
      <c r="V5377" s="10"/>
      <c r="W5377" s="10"/>
      <c r="X5377" s="10"/>
      <c r="Y5377" s="10"/>
      <c r="Z5377" s="10"/>
      <c r="AA5377" s="10"/>
      <c r="AB5377" s="10"/>
      <c r="AC5377" s="10"/>
      <c r="AD5377" s="10"/>
      <c r="AE5377" s="10"/>
      <c r="AF5377" s="10"/>
      <c r="AG5377" s="10"/>
      <c r="AH5377" s="10"/>
    </row>
    <row r="5378" spans="1:34" outlineLevel="2">
      <c r="A5378" s="43"/>
      <c r="B5378" s="12" t="str">
        <f>IFERROR(VLOOKUP(D5378,'[1]Перечень товаров'!$A$2:$I9525,2,0),"")</f>
        <v>м222</v>
      </c>
      <c r="C5378" s="12" t="str">
        <f>IFERROR(VLOOKUP(D5378,'[1]Перечень товаров'!$A$2:$I9525,3,0),"")</f>
        <v>Мебель</v>
      </c>
      <c r="D5378" s="44" t="s">
        <v>880</v>
      </c>
      <c r="E5378" s="102"/>
      <c r="F5378" s="102"/>
      <c r="G5378" s="24">
        <v>1</v>
      </c>
      <c r="H5378" s="24"/>
      <c r="I5378" s="25"/>
      <c r="J5378" s="25"/>
      <c r="K5378" s="19"/>
      <c r="L5378" s="20"/>
      <c r="M5378" s="10"/>
      <c r="N5378" s="10"/>
      <c r="O5378" s="10"/>
      <c r="P5378" s="10"/>
      <c r="Q5378" s="10"/>
      <c r="R5378" s="10"/>
      <c r="S5378" s="10"/>
      <c r="T5378" s="10"/>
      <c r="U5378" s="10"/>
      <c r="V5378" s="10"/>
      <c r="W5378" s="10"/>
      <c r="X5378" s="10"/>
      <c r="Y5378" s="10"/>
      <c r="Z5378" s="10"/>
      <c r="AA5378" s="10"/>
      <c r="AB5378" s="10"/>
      <c r="AC5378" s="10"/>
      <c r="AD5378" s="10"/>
      <c r="AE5378" s="10"/>
      <c r="AF5378" s="10"/>
      <c r="AG5378" s="10"/>
      <c r="AH5378" s="10"/>
    </row>
    <row r="5379" spans="1:34" outlineLevel="2">
      <c r="A5379" s="43"/>
      <c r="B5379" s="12" t="str">
        <f>IFERROR(VLOOKUP(D5379,'[1]Перечень товаров'!$A$2:$I9525,2,0),"")</f>
        <v>м223</v>
      </c>
      <c r="C5379" s="12" t="str">
        <f>IFERROR(VLOOKUP(D5379,'[1]Перечень товаров'!$A$2:$I9525,3,0),"")</f>
        <v>Мебель</v>
      </c>
      <c r="D5379" s="44" t="s">
        <v>881</v>
      </c>
      <c r="E5379" s="102"/>
      <c r="F5379" s="102"/>
      <c r="G5379" s="24">
        <v>1</v>
      </c>
      <c r="H5379" s="24"/>
      <c r="I5379" s="25"/>
      <c r="J5379" s="25"/>
      <c r="K5379" s="19"/>
      <c r="L5379" s="20"/>
      <c r="M5379" s="10"/>
      <c r="N5379" s="10"/>
      <c r="O5379" s="10"/>
      <c r="P5379" s="10"/>
      <c r="Q5379" s="10"/>
      <c r="R5379" s="10"/>
      <c r="S5379" s="10"/>
      <c r="T5379" s="10"/>
      <c r="U5379" s="10"/>
      <c r="V5379" s="10"/>
      <c r="W5379" s="10"/>
      <c r="X5379" s="10"/>
      <c r="Y5379" s="10"/>
      <c r="Z5379" s="10"/>
      <c r="AA5379" s="10"/>
      <c r="AB5379" s="10"/>
      <c r="AC5379" s="10"/>
      <c r="AD5379" s="10"/>
      <c r="AE5379" s="10"/>
      <c r="AF5379" s="10"/>
      <c r="AG5379" s="10"/>
      <c r="AH5379" s="10"/>
    </row>
    <row r="5380" spans="1:34" outlineLevel="2">
      <c r="A5380" s="43"/>
      <c r="B5380" s="12" t="str">
        <f>IFERROR(VLOOKUP(D5380,'[1]Перечень товаров'!$A$2:$I9525,2,0),"")</f>
        <v>м224</v>
      </c>
      <c r="C5380" s="12" t="str">
        <f>IFERROR(VLOOKUP(D5380,'[1]Перечень товаров'!$A$2:$I9525,3,0),"")</f>
        <v>Мебель</v>
      </c>
      <c r="D5380" s="44" t="s">
        <v>882</v>
      </c>
      <c r="E5380" s="102"/>
      <c r="F5380" s="102"/>
      <c r="G5380" s="24">
        <v>1</v>
      </c>
      <c r="H5380" s="24"/>
      <c r="I5380" s="25"/>
      <c r="J5380" s="25"/>
      <c r="K5380" s="19"/>
      <c r="L5380" s="20"/>
      <c r="M5380" s="10"/>
      <c r="N5380" s="10"/>
      <c r="O5380" s="10"/>
      <c r="P5380" s="10"/>
      <c r="Q5380" s="10"/>
      <c r="R5380" s="10"/>
      <c r="S5380" s="10"/>
      <c r="T5380" s="10"/>
      <c r="U5380" s="10"/>
      <c r="V5380" s="10"/>
      <c r="W5380" s="10"/>
      <c r="X5380" s="10"/>
      <c r="Y5380" s="10"/>
      <c r="Z5380" s="10"/>
      <c r="AA5380" s="10"/>
      <c r="AB5380" s="10"/>
      <c r="AC5380" s="10"/>
      <c r="AD5380" s="10"/>
      <c r="AE5380" s="10"/>
      <c r="AF5380" s="10"/>
      <c r="AG5380" s="10"/>
      <c r="AH5380" s="10"/>
    </row>
    <row r="5381" spans="1:34" outlineLevel="2">
      <c r="A5381" s="43"/>
      <c r="B5381" s="12" t="str">
        <f>IFERROR(VLOOKUP(D5381,'[1]Перечень товаров'!$A$2:$I9525,2,0),"")</f>
        <v>м225</v>
      </c>
      <c r="C5381" s="12" t="str">
        <f>IFERROR(VLOOKUP(D5381,'[1]Перечень товаров'!$A$2:$I9525,3,0),"")</f>
        <v>Мебель</v>
      </c>
      <c r="D5381" s="44" t="s">
        <v>883</v>
      </c>
      <c r="E5381" s="102"/>
      <c r="F5381" s="102"/>
      <c r="G5381" s="24">
        <v>1</v>
      </c>
      <c r="H5381" s="24"/>
      <c r="I5381" s="25"/>
      <c r="J5381" s="25"/>
      <c r="K5381" s="19"/>
      <c r="L5381" s="20"/>
      <c r="M5381" s="10"/>
      <c r="N5381" s="10"/>
      <c r="O5381" s="10"/>
      <c r="P5381" s="10"/>
      <c r="Q5381" s="10"/>
      <c r="R5381" s="10"/>
      <c r="S5381" s="10"/>
      <c r="T5381" s="10"/>
      <c r="U5381" s="10"/>
      <c r="V5381" s="10"/>
      <c r="W5381" s="10"/>
      <c r="X5381" s="10"/>
      <c r="Y5381" s="10"/>
      <c r="Z5381" s="10"/>
      <c r="AA5381" s="10"/>
      <c r="AB5381" s="10"/>
      <c r="AC5381" s="10"/>
      <c r="AD5381" s="10"/>
      <c r="AE5381" s="10"/>
      <c r="AF5381" s="10"/>
      <c r="AG5381" s="10"/>
      <c r="AH5381" s="10"/>
    </row>
    <row r="5382" spans="1:34" outlineLevel="2">
      <c r="A5382" s="43"/>
      <c r="B5382" s="12" t="str">
        <f>IFERROR(VLOOKUP(D5382,'[1]Перечень товаров'!$A$2:$I9525,2,0),"")</f>
        <v>п28</v>
      </c>
      <c r="C5382" s="12" t="str">
        <f>IFERROR(VLOOKUP(D5382,'[1]Перечень товаров'!$A$2:$I9525,3,0),"")</f>
        <v>Прочее</v>
      </c>
      <c r="D5382" s="44" t="s">
        <v>363</v>
      </c>
      <c r="E5382" s="102"/>
      <c r="F5382" s="102"/>
      <c r="G5382" s="24">
        <v>1</v>
      </c>
      <c r="H5382" s="24"/>
      <c r="I5382" s="25"/>
      <c r="J5382" s="25"/>
      <c r="K5382" s="19"/>
      <c r="L5382" s="20"/>
      <c r="M5382" s="10"/>
      <c r="N5382" s="10"/>
      <c r="O5382" s="10"/>
      <c r="P5382" s="10"/>
      <c r="Q5382" s="10"/>
      <c r="R5382" s="10"/>
      <c r="S5382" s="10"/>
      <c r="T5382" s="10"/>
      <c r="U5382" s="10"/>
      <c r="V5382" s="10"/>
      <c r="W5382" s="10"/>
      <c r="X5382" s="10"/>
      <c r="Y5382" s="10"/>
      <c r="Z5382" s="10"/>
      <c r="AA5382" s="10"/>
      <c r="AB5382" s="10"/>
      <c r="AC5382" s="10"/>
      <c r="AD5382" s="10"/>
      <c r="AE5382" s="10"/>
      <c r="AF5382" s="10"/>
      <c r="AG5382" s="10"/>
      <c r="AH5382" s="10"/>
    </row>
    <row r="5383" spans="1:34" outlineLevel="2">
      <c r="A5383" s="43"/>
      <c r="B5383" s="12" t="str">
        <f>IFERROR(VLOOKUP(D5383,'[1]Перечень товаров'!$A$2:$I9525,2,0),"")</f>
        <v>м226</v>
      </c>
      <c r="C5383" s="12" t="str">
        <f>IFERROR(VLOOKUP(D5383,'[1]Перечень товаров'!$A$2:$I9525,3,0),"")</f>
        <v>Мебель</v>
      </c>
      <c r="D5383" s="44" t="s">
        <v>884</v>
      </c>
      <c r="E5383" s="102"/>
      <c r="F5383" s="102"/>
      <c r="G5383" s="24">
        <v>1</v>
      </c>
      <c r="H5383" s="24"/>
      <c r="I5383" s="25"/>
      <c r="J5383" s="25"/>
      <c r="K5383" s="19"/>
      <c r="L5383" s="20"/>
      <c r="M5383" s="10"/>
      <c r="N5383" s="10"/>
      <c r="O5383" s="10"/>
      <c r="P5383" s="10"/>
      <c r="Q5383" s="10"/>
      <c r="R5383" s="10"/>
      <c r="S5383" s="10"/>
      <c r="T5383" s="10"/>
      <c r="U5383" s="10"/>
      <c r="V5383" s="10"/>
      <c r="W5383" s="10"/>
      <c r="X5383" s="10"/>
      <c r="Y5383" s="10"/>
      <c r="Z5383" s="10"/>
      <c r="AA5383" s="10"/>
      <c r="AB5383" s="10"/>
      <c r="AC5383" s="10"/>
      <c r="AD5383" s="10"/>
      <c r="AE5383" s="10"/>
      <c r="AF5383" s="10"/>
      <c r="AG5383" s="10"/>
      <c r="AH5383" s="10"/>
    </row>
    <row r="5384" spans="1:34" outlineLevel="1">
      <c r="A5384" s="21"/>
      <c r="B5384" s="12" t="str">
        <f>IFERROR(VLOOKUP(D5384,'[1]Перечень товаров'!$A$2:$I9525,2,0),"")</f>
        <v/>
      </c>
      <c r="C5384" s="12" t="str">
        <f>IFERROR(VLOOKUP(D5384,'[1]Перечень товаров'!$A$2:$I9525,3,0),"")</f>
        <v/>
      </c>
      <c r="D5384" s="22" t="s">
        <v>934</v>
      </c>
      <c r="E5384" s="23">
        <v>2.4</v>
      </c>
      <c r="F5384" s="23"/>
      <c r="G5384" s="24"/>
      <c r="H5384" s="24"/>
      <c r="I5384" s="25"/>
      <c r="J5384" s="25"/>
      <c r="K5384" s="19"/>
      <c r="L5384" s="20"/>
      <c r="M5384" s="10"/>
      <c r="N5384" s="10"/>
      <c r="O5384" s="10"/>
      <c r="P5384" s="10"/>
      <c r="Q5384" s="10"/>
      <c r="R5384" s="10"/>
      <c r="S5384" s="10"/>
      <c r="T5384" s="10"/>
      <c r="U5384" s="10"/>
      <c r="V5384" s="10"/>
      <c r="W5384" s="10"/>
      <c r="X5384" s="10"/>
      <c r="Y5384" s="10"/>
      <c r="Z5384" s="10"/>
      <c r="AA5384" s="10"/>
      <c r="AB5384" s="10"/>
      <c r="AC5384" s="10"/>
      <c r="AD5384" s="10"/>
      <c r="AE5384" s="10"/>
      <c r="AF5384" s="10"/>
      <c r="AG5384" s="10"/>
      <c r="AH5384" s="10"/>
    </row>
    <row r="5385" spans="1:34" ht="12.75" outlineLevel="1">
      <c r="A5385" s="11"/>
      <c r="B5385" s="12" t="str">
        <f>IFERROR(VLOOKUP(D5385,'[1]Перечень товаров'!$A$2:$I9525,2,0),"")</f>
        <v/>
      </c>
      <c r="C5385" s="12" t="str">
        <f>IFERROR(VLOOKUP(D5385,'[1]Перечень товаров'!$A$2:$I9525,3,0),"")</f>
        <v/>
      </c>
      <c r="D5385" s="27" t="s">
        <v>1575</v>
      </c>
      <c r="E5385" s="14">
        <v>17.7</v>
      </c>
      <c r="F5385" s="14"/>
      <c r="G5385" s="17"/>
      <c r="H5385" s="17"/>
      <c r="I5385" s="57"/>
      <c r="J5385" s="57"/>
      <c r="K5385" s="19"/>
      <c r="L5385" s="20"/>
      <c r="M5385" s="10"/>
      <c r="N5385" s="10"/>
      <c r="O5385" s="10"/>
      <c r="P5385" s="10"/>
      <c r="Q5385" s="10"/>
      <c r="R5385" s="10"/>
      <c r="S5385" s="10"/>
      <c r="T5385" s="10"/>
      <c r="U5385" s="10"/>
      <c r="V5385" s="10"/>
      <c r="W5385" s="10"/>
      <c r="X5385" s="10"/>
      <c r="Y5385" s="10"/>
      <c r="Z5385" s="10"/>
      <c r="AA5385" s="10"/>
      <c r="AB5385" s="10"/>
      <c r="AC5385" s="10"/>
      <c r="AD5385" s="10"/>
      <c r="AE5385" s="10"/>
      <c r="AF5385" s="10"/>
      <c r="AG5385" s="10"/>
      <c r="AH5385" s="10"/>
    </row>
    <row r="5386" spans="1:34" outlineLevel="2">
      <c r="A5386" s="22"/>
      <c r="B5386" s="12" t="str">
        <f>IFERROR(VLOOKUP(D5386,'[1]Перечень товаров'!$A$2:$I9525,2,0),"")</f>
        <v>м14</v>
      </c>
      <c r="C5386" s="12" t="str">
        <f>IFERROR(VLOOKUP(D5386,'[1]Перечень товаров'!$A$2:$I9525,3,0),"")</f>
        <v>Мебель</v>
      </c>
      <c r="D5386" s="22" t="s">
        <v>43</v>
      </c>
      <c r="E5386" s="203"/>
      <c r="F5386" s="203"/>
      <c r="G5386" s="24">
        <v>1</v>
      </c>
      <c r="H5386" s="24"/>
      <c r="I5386" s="25"/>
      <c r="J5386" s="25"/>
      <c r="K5386" s="19"/>
      <c r="L5386" s="20"/>
      <c r="M5386" s="10"/>
      <c r="N5386" s="10"/>
      <c r="O5386" s="10"/>
      <c r="P5386" s="10"/>
      <c r="Q5386" s="10"/>
      <c r="R5386" s="10"/>
      <c r="S5386" s="10"/>
      <c r="T5386" s="10"/>
      <c r="U5386" s="10"/>
      <c r="V5386" s="10"/>
      <c r="W5386" s="10"/>
      <c r="X5386" s="10"/>
      <c r="Y5386" s="10"/>
      <c r="Z5386" s="10"/>
      <c r="AA5386" s="10"/>
      <c r="AB5386" s="10"/>
      <c r="AC5386" s="10"/>
      <c r="AD5386" s="10"/>
      <c r="AE5386" s="10"/>
      <c r="AF5386" s="10"/>
      <c r="AG5386" s="10"/>
      <c r="AH5386" s="10"/>
    </row>
    <row r="5387" spans="1:34" outlineLevel="2">
      <c r="A5387" s="21"/>
      <c r="B5387" s="12" t="str">
        <f>IFERROR(VLOOKUP(D5387,'[1]Перечень товаров'!$A$2:$I9525,2,0),"")</f>
        <v>м167</v>
      </c>
      <c r="C5387" s="12" t="str">
        <f>IFERROR(VLOOKUP(D5387,'[1]Перечень товаров'!$A$2:$I9525,3,0),"")</f>
        <v>Мебель</v>
      </c>
      <c r="D5387" s="22" t="s">
        <v>508</v>
      </c>
      <c r="E5387" s="203"/>
      <c r="F5387" s="203"/>
      <c r="G5387" s="24">
        <v>1</v>
      </c>
      <c r="H5387" s="24"/>
      <c r="I5387" s="25"/>
      <c r="J5387" s="25"/>
      <c r="K5387" s="19"/>
      <c r="L5387" s="20"/>
      <c r="M5387" s="10"/>
      <c r="N5387" s="10"/>
      <c r="O5387" s="10"/>
      <c r="P5387" s="10"/>
      <c r="Q5387" s="10"/>
      <c r="R5387" s="10"/>
      <c r="S5387" s="10"/>
      <c r="T5387" s="10"/>
      <c r="U5387" s="10"/>
      <c r="V5387" s="10"/>
      <c r="W5387" s="10"/>
      <c r="X5387" s="10"/>
      <c r="Y5387" s="10"/>
      <c r="Z5387" s="10"/>
      <c r="AA5387" s="10"/>
      <c r="AB5387" s="10"/>
      <c r="AC5387" s="10"/>
      <c r="AD5387" s="10"/>
      <c r="AE5387" s="10"/>
      <c r="AF5387" s="10"/>
      <c r="AG5387" s="10"/>
      <c r="AH5387" s="10"/>
    </row>
    <row r="5388" spans="1:34" outlineLevel="2">
      <c r="A5388" s="21"/>
      <c r="B5388" s="12" t="str">
        <f>IFERROR(VLOOKUP(D5388,'[1]Перечень товаров'!$A$2:$I9525,2,0),"")</f>
        <v>м218</v>
      </c>
      <c r="C5388" s="12" t="str">
        <f>IFERROR(VLOOKUP(D5388,'[1]Перечень товаров'!$A$2:$I9525,3,0),"")</f>
        <v>Мебель</v>
      </c>
      <c r="D5388" s="22" t="s">
        <v>872</v>
      </c>
      <c r="E5388" s="203"/>
      <c r="F5388" s="203"/>
      <c r="G5388" s="24">
        <v>2</v>
      </c>
      <c r="H5388" s="24"/>
      <c r="I5388" s="25"/>
      <c r="J5388" s="25"/>
      <c r="K5388" s="19"/>
      <c r="L5388" s="20"/>
      <c r="M5388" s="10"/>
      <c r="N5388" s="10"/>
      <c r="O5388" s="10"/>
      <c r="P5388" s="10"/>
      <c r="Q5388" s="10"/>
      <c r="R5388" s="10"/>
      <c r="S5388" s="10"/>
      <c r="T5388" s="10"/>
      <c r="U5388" s="10"/>
      <c r="V5388" s="10"/>
      <c r="W5388" s="10"/>
      <c r="X5388" s="10"/>
      <c r="Y5388" s="10"/>
      <c r="Z5388" s="10"/>
      <c r="AA5388" s="10"/>
      <c r="AB5388" s="10"/>
      <c r="AC5388" s="10"/>
      <c r="AD5388" s="10"/>
      <c r="AE5388" s="10"/>
      <c r="AF5388" s="10"/>
      <c r="AG5388" s="10"/>
      <c r="AH5388" s="10"/>
    </row>
    <row r="5389" spans="1:34" outlineLevel="2">
      <c r="A5389" s="21"/>
      <c r="B5389" s="12" t="str">
        <f>IFERROR(VLOOKUP(D5389,'[1]Перечень товаров'!$A$2:$I9525,2,0),"")</f>
        <v>м219</v>
      </c>
      <c r="C5389" s="12" t="str">
        <f>IFERROR(VLOOKUP(D5389,'[1]Перечень товаров'!$A$2:$I9525,3,0),"")</f>
        <v>Мебель</v>
      </c>
      <c r="D5389" s="22" t="s">
        <v>873</v>
      </c>
      <c r="E5389" s="203"/>
      <c r="F5389" s="203"/>
      <c r="G5389" s="24">
        <v>4</v>
      </c>
      <c r="H5389" s="24"/>
      <c r="I5389" s="25"/>
      <c r="J5389" s="25"/>
      <c r="K5389" s="19"/>
      <c r="L5389" s="20"/>
      <c r="M5389" s="10"/>
      <c r="N5389" s="10"/>
      <c r="O5389" s="10"/>
      <c r="P5389" s="10"/>
      <c r="Q5389" s="10"/>
      <c r="R5389" s="10"/>
      <c r="S5389" s="10"/>
      <c r="T5389" s="10"/>
      <c r="U5389" s="10"/>
      <c r="V5389" s="10"/>
      <c r="W5389" s="10"/>
      <c r="X5389" s="10"/>
      <c r="Y5389" s="10"/>
      <c r="Z5389" s="10"/>
      <c r="AA5389" s="10"/>
      <c r="AB5389" s="10"/>
      <c r="AC5389" s="10"/>
      <c r="AD5389" s="10"/>
      <c r="AE5389" s="10"/>
      <c r="AF5389" s="10"/>
      <c r="AG5389" s="10"/>
      <c r="AH5389" s="10"/>
    </row>
    <row r="5390" spans="1:34" outlineLevel="2">
      <c r="A5390" s="21"/>
      <c r="B5390" s="12" t="str">
        <f>IFERROR(VLOOKUP(D5390,'[1]Перечень товаров'!$A$2:$I9525,2,0),"")</f>
        <v>м220</v>
      </c>
      <c r="C5390" s="12" t="str">
        <f>IFERROR(VLOOKUP(D5390,'[1]Перечень товаров'!$A$2:$I9525,3,0),"")</f>
        <v>Мебель</v>
      </c>
      <c r="D5390" s="22" t="s">
        <v>874</v>
      </c>
      <c r="E5390" s="203"/>
      <c r="F5390" s="203"/>
      <c r="G5390" s="24">
        <v>1</v>
      </c>
      <c r="H5390" s="24"/>
      <c r="I5390" s="25"/>
      <c r="J5390" s="25"/>
      <c r="K5390" s="19"/>
      <c r="L5390" s="20"/>
      <c r="M5390" s="10"/>
      <c r="N5390" s="10"/>
      <c r="O5390" s="10"/>
      <c r="P5390" s="10"/>
      <c r="Q5390" s="10"/>
      <c r="R5390" s="10"/>
      <c r="S5390" s="10"/>
      <c r="T5390" s="10"/>
      <c r="U5390" s="10"/>
      <c r="V5390" s="10"/>
      <c r="W5390" s="10"/>
      <c r="X5390" s="10"/>
      <c r="Y5390" s="10"/>
      <c r="Z5390" s="10"/>
      <c r="AA5390" s="10"/>
      <c r="AB5390" s="10"/>
      <c r="AC5390" s="10"/>
      <c r="AD5390" s="10"/>
      <c r="AE5390" s="10"/>
      <c r="AF5390" s="10"/>
      <c r="AG5390" s="10"/>
      <c r="AH5390" s="10"/>
    </row>
    <row r="5391" spans="1:34" outlineLevel="2">
      <c r="A5391" s="21"/>
      <c r="B5391" s="12" t="str">
        <f>IFERROR(VLOOKUP(D5391,'[1]Перечень товаров'!$A$2:$I9525,2,0),"")</f>
        <v>тм152</v>
      </c>
      <c r="C5391" s="12" t="str">
        <f>IFERROR(VLOOKUP(D5391,'[1]Перечень товаров'!$A$2:$I9525,3,0),"")</f>
        <v>Техника муз</v>
      </c>
      <c r="D5391" s="22" t="s">
        <v>1572</v>
      </c>
      <c r="E5391" s="203"/>
      <c r="F5391" s="203"/>
      <c r="G5391" s="24">
        <v>1</v>
      </c>
      <c r="H5391" s="24"/>
      <c r="I5391" s="25"/>
      <c r="J5391" s="25"/>
      <c r="K5391" s="19"/>
      <c r="L5391" s="20"/>
      <c r="M5391" s="10"/>
      <c r="N5391" s="10"/>
      <c r="O5391" s="10"/>
      <c r="P5391" s="10"/>
      <c r="Q5391" s="10"/>
      <c r="R5391" s="10"/>
      <c r="S5391" s="10"/>
      <c r="T5391" s="10"/>
      <c r="U5391" s="10"/>
      <c r="V5391" s="10"/>
      <c r="W5391" s="10"/>
      <c r="X5391" s="10"/>
      <c r="Y5391" s="10"/>
      <c r="Z5391" s="10"/>
      <c r="AA5391" s="10"/>
      <c r="AB5391" s="10"/>
      <c r="AC5391" s="10"/>
      <c r="AD5391" s="10"/>
      <c r="AE5391" s="10"/>
      <c r="AF5391" s="10"/>
      <c r="AG5391" s="10"/>
      <c r="AH5391" s="10"/>
    </row>
    <row r="5392" spans="1:34" outlineLevel="2">
      <c r="A5392" s="21"/>
      <c r="B5392" s="12" t="str">
        <f>IFERROR(VLOOKUP(D5392,'[1]Перечень товаров'!$A$2:$I9525,2,0),"")</f>
        <v>м137</v>
      </c>
      <c r="C5392" s="12" t="str">
        <f>IFERROR(VLOOKUP(D5392,'[1]Перечень товаров'!$A$2:$I9525,3,0),"")</f>
        <v>мебель</v>
      </c>
      <c r="D5392" s="22" t="s">
        <v>876</v>
      </c>
      <c r="E5392" s="203"/>
      <c r="F5392" s="203"/>
      <c r="G5392" s="24">
        <v>1</v>
      </c>
      <c r="H5392" s="24"/>
      <c r="I5392" s="25"/>
      <c r="J5392" s="25"/>
      <c r="K5392" s="19"/>
      <c r="L5392" s="20"/>
      <c r="M5392" s="10"/>
      <c r="N5392" s="10"/>
      <c r="O5392" s="10"/>
      <c r="P5392" s="10"/>
      <c r="Q5392" s="10"/>
      <c r="R5392" s="10"/>
      <c r="S5392" s="10"/>
      <c r="T5392" s="10"/>
      <c r="U5392" s="10"/>
      <c r="V5392" s="10"/>
      <c r="W5392" s="10"/>
      <c r="X5392" s="10"/>
      <c r="Y5392" s="10"/>
      <c r="Z5392" s="10"/>
      <c r="AA5392" s="10"/>
      <c r="AB5392" s="10"/>
      <c r="AC5392" s="10"/>
      <c r="AD5392" s="10"/>
      <c r="AE5392" s="10"/>
      <c r="AF5392" s="10"/>
      <c r="AG5392" s="10"/>
      <c r="AH5392" s="10"/>
    </row>
    <row r="5393" spans="1:34" outlineLevel="2">
      <c r="A5393" s="21"/>
      <c r="B5393" s="12" t="str">
        <f>IFERROR(VLOOKUP(D5393,'[1]Перечень товаров'!$A$2:$I9525,2,0),"")</f>
        <v>м187</v>
      </c>
      <c r="C5393" s="12" t="str">
        <f>IFERROR(VLOOKUP(D5393,'[1]Перечень товаров'!$A$2:$I9525,3,0),"")</f>
        <v>мебель</v>
      </c>
      <c r="D5393" s="22" t="s">
        <v>877</v>
      </c>
      <c r="E5393" s="203"/>
      <c r="F5393" s="203"/>
      <c r="G5393" s="24">
        <v>1</v>
      </c>
      <c r="H5393" s="24"/>
      <c r="I5393" s="25"/>
      <c r="J5393" s="25"/>
      <c r="K5393" s="19"/>
      <c r="L5393" s="20"/>
      <c r="M5393" s="10"/>
      <c r="N5393" s="10"/>
      <c r="O5393" s="10"/>
      <c r="P5393" s="10"/>
      <c r="Q5393" s="10"/>
      <c r="R5393" s="10"/>
      <c r="S5393" s="10"/>
      <c r="T5393" s="10"/>
      <c r="U5393" s="10"/>
      <c r="V5393" s="10"/>
      <c r="W5393" s="10"/>
      <c r="X5393" s="10"/>
      <c r="Y5393" s="10"/>
      <c r="Z5393" s="10"/>
      <c r="AA5393" s="10"/>
      <c r="AB5393" s="10"/>
      <c r="AC5393" s="10"/>
      <c r="AD5393" s="10"/>
      <c r="AE5393" s="10"/>
      <c r="AF5393" s="10"/>
      <c r="AG5393" s="10"/>
      <c r="AH5393" s="10"/>
    </row>
    <row r="5394" spans="1:34" outlineLevel="2">
      <c r="A5394" s="21"/>
      <c r="B5394" s="12" t="str">
        <f>IFERROR(VLOOKUP(D5394,'[1]Перечень товаров'!$A$2:$I9525,2,0),"")</f>
        <v>м30</v>
      </c>
      <c r="C5394" s="12" t="str">
        <f>IFERROR(VLOOKUP(D5394,'[1]Перечень товаров'!$A$2:$I9525,3,0),"")</f>
        <v>Мебель</v>
      </c>
      <c r="D5394" s="22" t="s">
        <v>181</v>
      </c>
      <c r="E5394" s="203"/>
      <c r="F5394" s="203"/>
      <c r="G5394" s="24">
        <v>2</v>
      </c>
      <c r="H5394" s="24"/>
      <c r="I5394" s="25"/>
      <c r="J5394" s="25"/>
      <c r="K5394" s="19"/>
      <c r="L5394" s="20"/>
      <c r="M5394" s="10"/>
      <c r="N5394" s="10"/>
      <c r="O5394" s="10"/>
      <c r="P5394" s="10"/>
      <c r="Q5394" s="10"/>
      <c r="R5394" s="10"/>
      <c r="S5394" s="10"/>
      <c r="T5394" s="10"/>
      <c r="U5394" s="10"/>
      <c r="V5394" s="10"/>
      <c r="W5394" s="10"/>
      <c r="X5394" s="10"/>
      <c r="Y5394" s="10"/>
      <c r="Z5394" s="10"/>
      <c r="AA5394" s="10"/>
      <c r="AB5394" s="10"/>
      <c r="AC5394" s="10"/>
      <c r="AD5394" s="10"/>
      <c r="AE5394" s="10"/>
      <c r="AF5394" s="10"/>
      <c r="AG5394" s="10"/>
      <c r="AH5394" s="10"/>
    </row>
    <row r="5395" spans="1:34" outlineLevel="2">
      <c r="A5395" s="21"/>
      <c r="B5395" s="12" t="str">
        <f>IFERROR(VLOOKUP(D5395,'[1]Перечень товаров'!$A$2:$I9525,2,0),"")</f>
        <v>м221</v>
      </c>
      <c r="C5395" s="12" t="str">
        <f>IFERROR(VLOOKUP(D5395,'[1]Перечень товаров'!$A$2:$I9525,3,0),"")</f>
        <v>Мебель</v>
      </c>
      <c r="D5395" s="22" t="s">
        <v>878</v>
      </c>
      <c r="E5395" s="203"/>
      <c r="F5395" s="203"/>
      <c r="G5395" s="24">
        <v>2</v>
      </c>
      <c r="H5395" s="24"/>
      <c r="I5395" s="25"/>
      <c r="J5395" s="25"/>
      <c r="K5395" s="19"/>
      <c r="L5395" s="20"/>
      <c r="M5395" s="10"/>
      <c r="N5395" s="10"/>
      <c r="O5395" s="10"/>
      <c r="P5395" s="10"/>
      <c r="Q5395" s="10"/>
      <c r="R5395" s="10"/>
      <c r="S5395" s="10"/>
      <c r="T5395" s="10"/>
      <c r="U5395" s="10"/>
      <c r="V5395" s="10"/>
      <c r="W5395" s="10"/>
      <c r="X5395" s="10"/>
      <c r="Y5395" s="10"/>
      <c r="Z5395" s="10"/>
      <c r="AA5395" s="10"/>
      <c r="AB5395" s="10"/>
      <c r="AC5395" s="10"/>
      <c r="AD5395" s="10"/>
      <c r="AE5395" s="10"/>
      <c r="AF5395" s="10"/>
      <c r="AG5395" s="10"/>
      <c r="AH5395" s="10"/>
    </row>
    <row r="5396" spans="1:34" ht="12.75" outlineLevel="1">
      <c r="A5396" s="11"/>
      <c r="B5396" s="12" t="str">
        <f>IFERROR(VLOOKUP(D5396,'[1]Перечень товаров'!$A$2:$I9525,2,0),"")</f>
        <v/>
      </c>
      <c r="C5396" s="12" t="str">
        <f>IFERROR(VLOOKUP(D5396,'[1]Перечень товаров'!$A$2:$I9525,3,0),"")</f>
        <v/>
      </c>
      <c r="D5396" s="27" t="s">
        <v>1578</v>
      </c>
      <c r="E5396" s="14">
        <v>14.3</v>
      </c>
      <c r="F5396" s="14"/>
      <c r="G5396" s="17"/>
      <c r="H5396" s="17"/>
      <c r="I5396" s="57"/>
      <c r="J5396" s="57"/>
      <c r="K5396" s="19"/>
      <c r="L5396" s="20"/>
      <c r="M5396" s="10"/>
      <c r="N5396" s="10"/>
      <c r="O5396" s="10"/>
      <c r="P5396" s="10"/>
      <c r="Q5396" s="10"/>
      <c r="R5396" s="10"/>
      <c r="S5396" s="10"/>
      <c r="T5396" s="10"/>
      <c r="U5396" s="10"/>
      <c r="V5396" s="10"/>
      <c r="W5396" s="10"/>
      <c r="X5396" s="10"/>
      <c r="Y5396" s="10"/>
      <c r="Z5396" s="10"/>
      <c r="AA5396" s="10"/>
      <c r="AB5396" s="10"/>
      <c r="AC5396" s="10"/>
      <c r="AD5396" s="10"/>
      <c r="AE5396" s="10"/>
      <c r="AF5396" s="10"/>
      <c r="AG5396" s="10"/>
      <c r="AH5396" s="10"/>
    </row>
    <row r="5397" spans="1:34" outlineLevel="2">
      <c r="A5397" s="22"/>
      <c r="B5397" s="12" t="str">
        <f>IFERROR(VLOOKUP(D5397,'[1]Перечень товаров'!$A$2:$I9525,2,0),"")</f>
        <v>м14</v>
      </c>
      <c r="C5397" s="12" t="str">
        <f>IFERROR(VLOOKUP(D5397,'[1]Перечень товаров'!$A$2:$I9525,3,0),"")</f>
        <v>Мебель</v>
      </c>
      <c r="D5397" s="22" t="s">
        <v>43</v>
      </c>
      <c r="E5397" s="203"/>
      <c r="F5397" s="203"/>
      <c r="G5397" s="24">
        <v>1</v>
      </c>
      <c r="H5397" s="24"/>
      <c r="I5397" s="25"/>
      <c r="J5397" s="25"/>
      <c r="K5397" s="19"/>
      <c r="L5397" s="20"/>
      <c r="M5397" s="10"/>
      <c r="N5397" s="10"/>
      <c r="O5397" s="10"/>
      <c r="P5397" s="10"/>
      <c r="Q5397" s="10"/>
      <c r="R5397" s="10"/>
      <c r="S5397" s="10"/>
      <c r="T5397" s="10"/>
      <c r="U5397" s="10"/>
      <c r="V5397" s="10"/>
      <c r="W5397" s="10"/>
      <c r="X5397" s="10"/>
      <c r="Y5397" s="10"/>
      <c r="Z5397" s="10"/>
      <c r="AA5397" s="10"/>
      <c r="AB5397" s="10"/>
      <c r="AC5397" s="10"/>
      <c r="AD5397" s="10"/>
      <c r="AE5397" s="10"/>
      <c r="AF5397" s="10"/>
      <c r="AG5397" s="10"/>
      <c r="AH5397" s="10"/>
    </row>
    <row r="5398" spans="1:34" outlineLevel="2">
      <c r="A5398" s="21"/>
      <c r="B5398" s="12" t="str">
        <f>IFERROR(VLOOKUP(D5398,'[1]Перечень товаров'!$A$2:$I9525,2,0),"")</f>
        <v>м167</v>
      </c>
      <c r="C5398" s="12" t="str">
        <f>IFERROR(VLOOKUP(D5398,'[1]Перечень товаров'!$A$2:$I9525,3,0),"")</f>
        <v>Мебель</v>
      </c>
      <c r="D5398" s="22" t="s">
        <v>508</v>
      </c>
      <c r="E5398" s="203"/>
      <c r="F5398" s="203"/>
      <c r="G5398" s="24">
        <v>1</v>
      </c>
      <c r="H5398" s="24"/>
      <c r="I5398" s="25"/>
      <c r="J5398" s="25"/>
      <c r="K5398" s="19"/>
      <c r="L5398" s="20"/>
      <c r="M5398" s="10"/>
      <c r="N5398" s="10"/>
      <c r="O5398" s="10"/>
      <c r="P5398" s="10"/>
      <c r="Q5398" s="10"/>
      <c r="R5398" s="10"/>
      <c r="S5398" s="10"/>
      <c r="T5398" s="10"/>
      <c r="U5398" s="10"/>
      <c r="V5398" s="10"/>
      <c r="W5398" s="10"/>
      <c r="X5398" s="10"/>
      <c r="Y5398" s="10"/>
      <c r="Z5398" s="10"/>
      <c r="AA5398" s="10"/>
      <c r="AB5398" s="10"/>
      <c r="AC5398" s="10"/>
      <c r="AD5398" s="10"/>
      <c r="AE5398" s="10"/>
      <c r="AF5398" s="10"/>
      <c r="AG5398" s="10"/>
      <c r="AH5398" s="10"/>
    </row>
    <row r="5399" spans="1:34" outlineLevel="2">
      <c r="A5399" s="21"/>
      <c r="B5399" s="12" t="str">
        <f>IFERROR(VLOOKUP(D5399,'[1]Перечень товаров'!$A$2:$I9525,2,0),"")</f>
        <v>м218</v>
      </c>
      <c r="C5399" s="12" t="str">
        <f>IFERROR(VLOOKUP(D5399,'[1]Перечень товаров'!$A$2:$I9525,3,0),"")</f>
        <v>Мебель</v>
      </c>
      <c r="D5399" s="22" t="s">
        <v>872</v>
      </c>
      <c r="E5399" s="203"/>
      <c r="F5399" s="203"/>
      <c r="G5399" s="24">
        <v>2</v>
      </c>
      <c r="H5399" s="24"/>
      <c r="I5399" s="25"/>
      <c r="J5399" s="25"/>
      <c r="K5399" s="19"/>
      <c r="L5399" s="20"/>
      <c r="M5399" s="10"/>
      <c r="N5399" s="10"/>
      <c r="O5399" s="10"/>
      <c r="P5399" s="10"/>
      <c r="Q5399" s="10"/>
      <c r="R5399" s="10"/>
      <c r="S5399" s="10"/>
      <c r="T5399" s="10"/>
      <c r="U5399" s="10"/>
      <c r="V5399" s="10"/>
      <c r="W5399" s="10"/>
      <c r="X5399" s="10"/>
      <c r="Y5399" s="10"/>
      <c r="Z5399" s="10"/>
      <c r="AA5399" s="10"/>
      <c r="AB5399" s="10"/>
      <c r="AC5399" s="10"/>
      <c r="AD5399" s="10"/>
      <c r="AE5399" s="10"/>
      <c r="AF5399" s="10"/>
      <c r="AG5399" s="10"/>
      <c r="AH5399" s="10"/>
    </row>
    <row r="5400" spans="1:34" outlineLevel="2">
      <c r="A5400" s="21"/>
      <c r="B5400" s="12" t="str">
        <f>IFERROR(VLOOKUP(D5400,'[1]Перечень товаров'!$A$2:$I9525,2,0),"")</f>
        <v>м219</v>
      </c>
      <c r="C5400" s="12" t="str">
        <f>IFERROR(VLOOKUP(D5400,'[1]Перечень товаров'!$A$2:$I9525,3,0),"")</f>
        <v>Мебель</v>
      </c>
      <c r="D5400" s="22" t="s">
        <v>873</v>
      </c>
      <c r="E5400" s="203"/>
      <c r="F5400" s="203"/>
      <c r="G5400" s="24">
        <v>4</v>
      </c>
      <c r="H5400" s="24"/>
      <c r="I5400" s="25"/>
      <c r="J5400" s="25"/>
      <c r="K5400" s="19"/>
      <c r="L5400" s="20"/>
      <c r="M5400" s="10"/>
      <c r="N5400" s="10"/>
      <c r="O5400" s="10"/>
      <c r="P5400" s="10"/>
      <c r="Q5400" s="10"/>
      <c r="R5400" s="10"/>
      <c r="S5400" s="10"/>
      <c r="T5400" s="10"/>
      <c r="U5400" s="10"/>
      <c r="V5400" s="10"/>
      <c r="W5400" s="10"/>
      <c r="X5400" s="10"/>
      <c r="Y5400" s="10"/>
      <c r="Z5400" s="10"/>
      <c r="AA5400" s="10"/>
      <c r="AB5400" s="10"/>
      <c r="AC5400" s="10"/>
      <c r="AD5400" s="10"/>
      <c r="AE5400" s="10"/>
      <c r="AF5400" s="10"/>
      <c r="AG5400" s="10"/>
      <c r="AH5400" s="10"/>
    </row>
    <row r="5401" spans="1:34" outlineLevel="2">
      <c r="A5401" s="21"/>
      <c r="B5401" s="12" t="str">
        <f>IFERROR(VLOOKUP(D5401,'[1]Перечень товаров'!$A$2:$I9525,2,0),"")</f>
        <v>м220</v>
      </c>
      <c r="C5401" s="12" t="str">
        <f>IFERROR(VLOOKUP(D5401,'[1]Перечень товаров'!$A$2:$I9525,3,0),"")</f>
        <v>Мебель</v>
      </c>
      <c r="D5401" s="22" t="s">
        <v>874</v>
      </c>
      <c r="E5401" s="203"/>
      <c r="F5401" s="203"/>
      <c r="G5401" s="24">
        <v>1</v>
      </c>
      <c r="H5401" s="24"/>
      <c r="I5401" s="25"/>
      <c r="J5401" s="25"/>
      <c r="K5401" s="19"/>
      <c r="L5401" s="20"/>
      <c r="M5401" s="10"/>
      <c r="N5401" s="10"/>
      <c r="O5401" s="10"/>
      <c r="P5401" s="10"/>
      <c r="Q5401" s="10"/>
      <c r="R5401" s="10"/>
      <c r="S5401" s="10"/>
      <c r="T5401" s="10"/>
      <c r="U5401" s="10"/>
      <c r="V5401" s="10"/>
      <c r="W5401" s="10"/>
      <c r="X5401" s="10"/>
      <c r="Y5401" s="10"/>
      <c r="Z5401" s="10"/>
      <c r="AA5401" s="10"/>
      <c r="AB5401" s="10"/>
      <c r="AC5401" s="10"/>
      <c r="AD5401" s="10"/>
      <c r="AE5401" s="10"/>
      <c r="AF5401" s="10"/>
      <c r="AG5401" s="10"/>
      <c r="AH5401" s="10"/>
    </row>
    <row r="5402" spans="1:34" outlineLevel="2">
      <c r="A5402" s="21"/>
      <c r="B5402" s="12" t="str">
        <f>IFERROR(VLOOKUP(D5402,'[1]Перечень товаров'!$A$2:$I9525,2,0),"")</f>
        <v>м187</v>
      </c>
      <c r="C5402" s="12" t="str">
        <f>IFERROR(VLOOKUP(D5402,'[1]Перечень товаров'!$A$2:$I9525,3,0),"")</f>
        <v>мебель</v>
      </c>
      <c r="D5402" s="22" t="s">
        <v>877</v>
      </c>
      <c r="E5402" s="203"/>
      <c r="F5402" s="203"/>
      <c r="G5402" s="24">
        <v>1</v>
      </c>
      <c r="H5402" s="24"/>
      <c r="I5402" s="25"/>
      <c r="J5402" s="25"/>
      <c r="K5402" s="19"/>
      <c r="L5402" s="20"/>
      <c r="M5402" s="10"/>
      <c r="N5402" s="10"/>
      <c r="O5402" s="10"/>
      <c r="P5402" s="10"/>
      <c r="Q5402" s="10"/>
      <c r="R5402" s="10"/>
      <c r="S5402" s="10"/>
      <c r="T5402" s="10"/>
      <c r="U5402" s="10"/>
      <c r="V5402" s="10"/>
      <c r="W5402" s="10"/>
      <c r="X5402" s="10"/>
      <c r="Y5402" s="10"/>
      <c r="Z5402" s="10"/>
      <c r="AA5402" s="10"/>
      <c r="AB5402" s="10"/>
      <c r="AC5402" s="10"/>
      <c r="AD5402" s="10"/>
      <c r="AE5402" s="10"/>
      <c r="AF5402" s="10"/>
      <c r="AG5402" s="10"/>
      <c r="AH5402" s="10"/>
    </row>
    <row r="5403" spans="1:34" outlineLevel="2">
      <c r="A5403" s="21"/>
      <c r="B5403" s="12" t="str">
        <f>IFERROR(VLOOKUP(D5403,'[1]Перечень товаров'!$A$2:$I9525,2,0),"")</f>
        <v>м30</v>
      </c>
      <c r="C5403" s="12" t="str">
        <f>IFERROR(VLOOKUP(D5403,'[1]Перечень товаров'!$A$2:$I9525,3,0),"")</f>
        <v>Мебель</v>
      </c>
      <c r="D5403" s="22" t="s">
        <v>181</v>
      </c>
      <c r="E5403" s="203"/>
      <c r="F5403" s="203"/>
      <c r="G5403" s="24">
        <v>2</v>
      </c>
      <c r="H5403" s="24"/>
      <c r="I5403" s="25"/>
      <c r="J5403" s="25"/>
      <c r="K5403" s="19"/>
      <c r="L5403" s="20"/>
      <c r="M5403" s="10"/>
      <c r="N5403" s="10"/>
      <c r="O5403" s="10"/>
      <c r="P5403" s="10"/>
      <c r="Q5403" s="10"/>
      <c r="R5403" s="10"/>
      <c r="S5403" s="10"/>
      <c r="T5403" s="10"/>
      <c r="U5403" s="10"/>
      <c r="V5403" s="10"/>
      <c r="W5403" s="10"/>
      <c r="X5403" s="10"/>
      <c r="Y5403" s="10"/>
      <c r="Z5403" s="10"/>
      <c r="AA5403" s="10"/>
      <c r="AB5403" s="10"/>
      <c r="AC5403" s="10"/>
      <c r="AD5403" s="10"/>
      <c r="AE5403" s="10"/>
      <c r="AF5403" s="10"/>
      <c r="AG5403" s="10"/>
      <c r="AH5403" s="10"/>
    </row>
    <row r="5404" spans="1:34" outlineLevel="2">
      <c r="A5404" s="21"/>
      <c r="B5404" s="12" t="str">
        <f>IFERROR(VLOOKUP(D5404,'[1]Перечень товаров'!$A$2:$I9525,2,0),"")</f>
        <v>м221</v>
      </c>
      <c r="C5404" s="12" t="str">
        <f>IFERROR(VLOOKUP(D5404,'[1]Перечень товаров'!$A$2:$I9525,3,0),"")</f>
        <v>Мебель</v>
      </c>
      <c r="D5404" s="22" t="s">
        <v>878</v>
      </c>
      <c r="E5404" s="203"/>
      <c r="F5404" s="203"/>
      <c r="G5404" s="24">
        <v>2</v>
      </c>
      <c r="H5404" s="24"/>
      <c r="I5404" s="25"/>
      <c r="J5404" s="25"/>
      <c r="K5404" s="19"/>
      <c r="L5404" s="20"/>
      <c r="M5404" s="10"/>
      <c r="N5404" s="10"/>
      <c r="O5404" s="10"/>
      <c r="P5404" s="10"/>
      <c r="Q5404" s="10"/>
      <c r="R5404" s="10"/>
      <c r="S5404" s="10"/>
      <c r="T5404" s="10"/>
      <c r="U5404" s="10"/>
      <c r="V5404" s="10"/>
      <c r="W5404" s="10"/>
      <c r="X5404" s="10"/>
      <c r="Y5404" s="10"/>
      <c r="Z5404" s="10"/>
      <c r="AA5404" s="10"/>
      <c r="AB5404" s="10"/>
      <c r="AC5404" s="10"/>
      <c r="AD5404" s="10"/>
      <c r="AE5404" s="10"/>
      <c r="AF5404" s="10"/>
      <c r="AG5404" s="10"/>
      <c r="AH5404" s="10"/>
    </row>
    <row r="5405" spans="1:34" ht="12.75" outlineLevel="1">
      <c r="A5405" s="11"/>
      <c r="B5405" s="12" t="str">
        <f>IFERROR(VLOOKUP(D5405,'[1]Перечень товаров'!$A$2:$I9525,2,0),"")</f>
        <v/>
      </c>
      <c r="C5405" s="12" t="str">
        <f>IFERROR(VLOOKUP(D5405,'[1]Перечень товаров'!$A$2:$I9525,3,0),"")</f>
        <v/>
      </c>
      <c r="D5405" s="27" t="s">
        <v>1576</v>
      </c>
      <c r="E5405" s="14">
        <v>5.2</v>
      </c>
      <c r="F5405" s="14"/>
      <c r="G5405" s="17"/>
      <c r="H5405" s="17"/>
      <c r="I5405" s="57"/>
      <c r="J5405" s="57"/>
      <c r="K5405" s="19"/>
      <c r="L5405" s="20"/>
      <c r="M5405" s="10"/>
      <c r="N5405" s="10"/>
      <c r="O5405" s="10"/>
      <c r="P5405" s="10"/>
      <c r="Q5405" s="10"/>
      <c r="R5405" s="10"/>
      <c r="S5405" s="10"/>
      <c r="T5405" s="10"/>
      <c r="U5405" s="10"/>
      <c r="V5405" s="10"/>
      <c r="W5405" s="10"/>
      <c r="X5405" s="10"/>
      <c r="Y5405" s="10"/>
      <c r="Z5405" s="10"/>
      <c r="AA5405" s="10"/>
      <c r="AB5405" s="10"/>
      <c r="AC5405" s="10"/>
      <c r="AD5405" s="10"/>
      <c r="AE5405" s="10"/>
      <c r="AF5405" s="10"/>
      <c r="AG5405" s="10"/>
      <c r="AH5405" s="10"/>
    </row>
    <row r="5406" spans="1:34" outlineLevel="2">
      <c r="A5406" s="22"/>
      <c r="B5406" s="12" t="str">
        <f>IFERROR(VLOOKUP(D5406,'[1]Перечень товаров'!$A$2:$I9525,2,0),"")</f>
        <v>п25</v>
      </c>
      <c r="C5406" s="12" t="str">
        <f>IFERROR(VLOOKUP(D5406,'[1]Перечень товаров'!$A$2:$I9525,3,0),"")</f>
        <v>Прочее</v>
      </c>
      <c r="D5406" s="22" t="s">
        <v>360</v>
      </c>
      <c r="E5406" s="102"/>
      <c r="F5406" s="102"/>
      <c r="G5406" s="48">
        <v>3</v>
      </c>
      <c r="H5406" s="48"/>
      <c r="I5406" s="49"/>
      <c r="J5406" s="49"/>
      <c r="K5406" s="33"/>
      <c r="L5406" s="20"/>
      <c r="M5406" s="10"/>
      <c r="N5406" s="10"/>
      <c r="O5406" s="10"/>
      <c r="P5406" s="10"/>
      <c r="Q5406" s="10"/>
      <c r="R5406" s="10"/>
      <c r="S5406" s="10"/>
      <c r="T5406" s="10"/>
      <c r="U5406" s="10"/>
      <c r="V5406" s="10"/>
      <c r="W5406" s="10"/>
      <c r="X5406" s="10"/>
      <c r="Y5406" s="10"/>
      <c r="Z5406" s="10"/>
      <c r="AA5406" s="10"/>
      <c r="AB5406" s="10"/>
      <c r="AC5406" s="10"/>
      <c r="AD5406" s="10"/>
      <c r="AE5406" s="10"/>
      <c r="AF5406" s="10"/>
      <c r="AG5406" s="10"/>
      <c r="AH5406" s="10"/>
    </row>
    <row r="5407" spans="1:34" outlineLevel="2">
      <c r="A5407" s="21"/>
      <c r="B5407" s="12" t="str">
        <f>IFERROR(VLOOKUP(D5407,'[1]Перечень товаров'!$A$2:$I9525,2,0),"")</f>
        <v>п26</v>
      </c>
      <c r="C5407" s="12" t="str">
        <f>IFERROR(VLOOKUP(D5407,'[1]Перечень товаров'!$A$2:$I9525,3,0),"")</f>
        <v>Прочее</v>
      </c>
      <c r="D5407" s="22" t="s">
        <v>361</v>
      </c>
      <c r="E5407" s="102"/>
      <c r="F5407" s="102"/>
      <c r="G5407" s="48">
        <v>2</v>
      </c>
      <c r="H5407" s="48"/>
      <c r="I5407" s="49"/>
      <c r="J5407" s="49"/>
      <c r="K5407" s="33"/>
      <c r="L5407" s="20"/>
      <c r="M5407" s="10"/>
      <c r="N5407" s="10"/>
      <c r="O5407" s="10"/>
      <c r="P5407" s="10"/>
      <c r="Q5407" s="10"/>
      <c r="R5407" s="10"/>
      <c r="S5407" s="10"/>
      <c r="T5407" s="10"/>
      <c r="U5407" s="10"/>
      <c r="V5407" s="10"/>
      <c r="W5407" s="10"/>
      <c r="X5407" s="10"/>
      <c r="Y5407" s="10"/>
      <c r="Z5407" s="10"/>
      <c r="AA5407" s="10"/>
      <c r="AB5407" s="10"/>
      <c r="AC5407" s="10"/>
      <c r="AD5407" s="10"/>
      <c r="AE5407" s="10"/>
      <c r="AF5407" s="10"/>
      <c r="AG5407" s="10"/>
      <c r="AH5407" s="10"/>
    </row>
    <row r="5408" spans="1:34" outlineLevel="2">
      <c r="A5408" s="21"/>
      <c r="B5408" s="12" t="str">
        <f>IFERROR(VLOOKUP(D5408,'[1]Перечень товаров'!$A$2:$I9525,2,0),"")</f>
        <v>п27</v>
      </c>
      <c r="C5408" s="12" t="str">
        <f>IFERROR(VLOOKUP(D5408,'[1]Перечень товаров'!$A$2:$I9525,3,0),"")</f>
        <v>Прочее</v>
      </c>
      <c r="D5408" s="22" t="s">
        <v>362</v>
      </c>
      <c r="E5408" s="102"/>
      <c r="F5408" s="102"/>
      <c r="G5408" s="48">
        <v>2</v>
      </c>
      <c r="H5408" s="48"/>
      <c r="I5408" s="49"/>
      <c r="J5408" s="49"/>
      <c r="K5408" s="33"/>
      <c r="L5408" s="20"/>
      <c r="M5408" s="10"/>
      <c r="N5408" s="10"/>
      <c r="O5408" s="10"/>
      <c r="P5408" s="10"/>
      <c r="Q5408" s="10"/>
      <c r="R5408" s="10"/>
      <c r="S5408" s="10"/>
      <c r="T5408" s="10"/>
      <c r="U5408" s="10"/>
      <c r="V5408" s="10"/>
      <c r="W5408" s="10"/>
      <c r="X5408" s="10"/>
      <c r="Y5408" s="10"/>
      <c r="Z5408" s="10"/>
      <c r="AA5408" s="10"/>
      <c r="AB5408" s="10"/>
      <c r="AC5408" s="10"/>
      <c r="AD5408" s="10"/>
      <c r="AE5408" s="10"/>
      <c r="AF5408" s="10"/>
      <c r="AG5408" s="10"/>
      <c r="AH5408" s="10"/>
    </row>
    <row r="5409" spans="1:34" outlineLevel="2">
      <c r="A5409" s="21"/>
      <c r="B5409" s="12" t="str">
        <f>IFERROR(VLOOKUP(D5409,'[1]Перечень товаров'!$A$2:$I9525,2,0),"")</f>
        <v>п28</v>
      </c>
      <c r="C5409" s="12" t="str">
        <f>IFERROR(VLOOKUP(D5409,'[1]Перечень товаров'!$A$2:$I9525,3,0),"")</f>
        <v>Прочее</v>
      </c>
      <c r="D5409" s="22" t="s">
        <v>363</v>
      </c>
      <c r="E5409" s="102"/>
      <c r="F5409" s="102"/>
      <c r="G5409" s="48">
        <v>1</v>
      </c>
      <c r="H5409" s="48"/>
      <c r="I5409" s="49"/>
      <c r="J5409" s="49"/>
      <c r="K5409" s="33"/>
      <c r="L5409" s="20"/>
      <c r="M5409" s="10"/>
      <c r="N5409" s="10"/>
      <c r="O5409" s="10"/>
      <c r="P5409" s="10"/>
      <c r="Q5409" s="10"/>
      <c r="R5409" s="10"/>
      <c r="S5409" s="10"/>
      <c r="T5409" s="10"/>
      <c r="U5409" s="10"/>
      <c r="V5409" s="10"/>
      <c r="W5409" s="10"/>
      <c r="X5409" s="10"/>
      <c r="Y5409" s="10"/>
      <c r="Z5409" s="10"/>
      <c r="AA5409" s="10"/>
      <c r="AB5409" s="10"/>
      <c r="AC5409" s="10"/>
      <c r="AD5409" s="10"/>
      <c r="AE5409" s="10"/>
      <c r="AF5409" s="10"/>
      <c r="AG5409" s="10"/>
      <c r="AH5409" s="10"/>
    </row>
    <row r="5410" spans="1:34" outlineLevel="2">
      <c r="A5410" s="21"/>
      <c r="B5410" s="12" t="str">
        <f>IFERROR(VLOOKUP(D5410,'[1]Перечень товаров'!$A$2:$I9525,2,0),"")</f>
        <v>п29</v>
      </c>
      <c r="C5410" s="12" t="str">
        <f>IFERROR(VLOOKUP(D5410,'[1]Перечень товаров'!$A$2:$I9525,3,0),"")</f>
        <v>Прочее</v>
      </c>
      <c r="D5410" s="22" t="s">
        <v>364</v>
      </c>
      <c r="E5410" s="102"/>
      <c r="F5410" s="102"/>
      <c r="G5410" s="48">
        <v>6</v>
      </c>
      <c r="H5410" s="48"/>
      <c r="I5410" s="49"/>
      <c r="J5410" s="49"/>
      <c r="K5410" s="33"/>
      <c r="L5410" s="20"/>
      <c r="M5410" s="10"/>
      <c r="N5410" s="10"/>
      <c r="O5410" s="10"/>
      <c r="P5410" s="10"/>
      <c r="Q5410" s="10"/>
      <c r="R5410" s="10"/>
      <c r="S5410" s="10"/>
      <c r="T5410" s="10"/>
      <c r="U5410" s="10"/>
      <c r="V5410" s="10"/>
      <c r="W5410" s="10"/>
      <c r="X5410" s="10"/>
      <c r="Y5410" s="10"/>
      <c r="Z5410" s="10"/>
      <c r="AA5410" s="10"/>
      <c r="AB5410" s="10"/>
      <c r="AC5410" s="10"/>
      <c r="AD5410" s="10"/>
      <c r="AE5410" s="10"/>
      <c r="AF5410" s="10"/>
      <c r="AG5410" s="10"/>
      <c r="AH5410" s="10"/>
    </row>
    <row r="5411" spans="1:34" outlineLevel="2">
      <c r="A5411" s="21"/>
      <c r="B5411" s="12" t="str">
        <f>IFERROR(VLOOKUP(D5411,'[1]Перечень товаров'!$A$2:$I9525,2,0),"")</f>
        <v>п30</v>
      </c>
      <c r="C5411" s="12" t="str">
        <f>IFERROR(VLOOKUP(D5411,'[1]Перечень товаров'!$A$2:$I9525,3,0),"")</f>
        <v>Прочее</v>
      </c>
      <c r="D5411" s="22" t="s">
        <v>365</v>
      </c>
      <c r="E5411" s="102"/>
      <c r="F5411" s="102"/>
      <c r="G5411" s="48">
        <v>2</v>
      </c>
      <c r="H5411" s="48"/>
      <c r="I5411" s="49"/>
      <c r="J5411" s="49"/>
      <c r="K5411" s="33"/>
      <c r="L5411" s="20"/>
      <c r="M5411" s="10"/>
      <c r="N5411" s="10"/>
      <c r="O5411" s="10"/>
      <c r="P5411" s="10"/>
      <c r="Q5411" s="10"/>
      <c r="R5411" s="10"/>
      <c r="S5411" s="10"/>
      <c r="T5411" s="10"/>
      <c r="U5411" s="10"/>
      <c r="V5411" s="10"/>
      <c r="W5411" s="10"/>
      <c r="X5411" s="10"/>
      <c r="Y5411" s="10"/>
      <c r="Z5411" s="10"/>
      <c r="AA5411" s="10"/>
      <c r="AB5411" s="10"/>
      <c r="AC5411" s="10"/>
      <c r="AD5411" s="10"/>
      <c r="AE5411" s="10"/>
      <c r="AF5411" s="10"/>
      <c r="AG5411" s="10"/>
      <c r="AH5411" s="10"/>
    </row>
    <row r="5412" spans="1:34" ht="31.5" outlineLevel="2">
      <c r="A5412" s="21"/>
      <c r="B5412" s="12" t="str">
        <f>IFERROR(VLOOKUP(D5412,'[1]Перечень товаров'!$A$2:$I9525,2,0),"")</f>
        <v>п31</v>
      </c>
      <c r="C5412" s="12" t="str">
        <f>IFERROR(VLOOKUP(D5412,'[1]Перечень товаров'!$A$2:$I9525,3,0),"")</f>
        <v>Прочее</v>
      </c>
      <c r="D5412" s="22" t="s">
        <v>366</v>
      </c>
      <c r="E5412" s="102"/>
      <c r="F5412" s="102"/>
      <c r="G5412" s="48">
        <v>1</v>
      </c>
      <c r="H5412" s="48"/>
      <c r="I5412" s="49"/>
      <c r="J5412" s="49"/>
      <c r="K5412" s="33"/>
      <c r="L5412" s="20"/>
      <c r="M5412" s="10"/>
      <c r="N5412" s="10"/>
      <c r="O5412" s="10"/>
      <c r="P5412" s="10"/>
      <c r="Q5412" s="10"/>
      <c r="R5412" s="10"/>
      <c r="S5412" s="10"/>
      <c r="T5412" s="10"/>
      <c r="U5412" s="10"/>
      <c r="V5412" s="10"/>
      <c r="W5412" s="10"/>
      <c r="X5412" s="10"/>
      <c r="Y5412" s="10"/>
      <c r="Z5412" s="10"/>
      <c r="AA5412" s="10"/>
      <c r="AB5412" s="10"/>
      <c r="AC5412" s="10"/>
      <c r="AD5412" s="10"/>
      <c r="AE5412" s="10"/>
      <c r="AF5412" s="10"/>
      <c r="AG5412" s="10"/>
      <c r="AH5412" s="10"/>
    </row>
    <row r="5413" spans="1:34" ht="31.5" outlineLevel="2">
      <c r="A5413" s="21"/>
      <c r="B5413" s="12" t="str">
        <f>IFERROR(VLOOKUP(D5413,'[1]Перечень товаров'!$A$2:$I9525,2,0),"")</f>
        <v>п32</v>
      </c>
      <c r="C5413" s="12" t="str">
        <f>IFERROR(VLOOKUP(D5413,'[1]Перечень товаров'!$A$2:$I9525,3,0),"")</f>
        <v>Прочее</v>
      </c>
      <c r="D5413" s="22" t="s">
        <v>367</v>
      </c>
      <c r="E5413" s="102"/>
      <c r="F5413" s="102"/>
      <c r="G5413" s="48">
        <v>2</v>
      </c>
      <c r="H5413" s="48"/>
      <c r="I5413" s="49"/>
      <c r="J5413" s="49"/>
      <c r="K5413" s="33"/>
      <c r="L5413" s="20"/>
      <c r="M5413" s="10"/>
      <c r="N5413" s="10"/>
      <c r="O5413" s="10"/>
      <c r="P5413" s="10"/>
      <c r="Q5413" s="10"/>
      <c r="R5413" s="10"/>
      <c r="S5413" s="10"/>
      <c r="T5413" s="10"/>
      <c r="U5413" s="10"/>
      <c r="V5413" s="10"/>
      <c r="W5413" s="10"/>
      <c r="X5413" s="10"/>
      <c r="Y5413" s="10"/>
      <c r="Z5413" s="10"/>
      <c r="AA5413" s="10"/>
      <c r="AB5413" s="10"/>
      <c r="AC5413" s="10"/>
      <c r="AD5413" s="10"/>
      <c r="AE5413" s="10"/>
      <c r="AF5413" s="10"/>
      <c r="AG5413" s="10"/>
      <c r="AH5413" s="10"/>
    </row>
    <row r="5414" spans="1:34" ht="12.75" outlineLevel="1">
      <c r="A5414" s="11"/>
      <c r="B5414" s="12" t="str">
        <f>IFERROR(VLOOKUP(D5414,'[1]Перечень товаров'!$A$2:$I9525,2,0),"")</f>
        <v/>
      </c>
      <c r="C5414" s="12" t="str">
        <f>IFERROR(VLOOKUP(D5414,'[1]Перечень товаров'!$A$2:$I9525,3,0),"")</f>
        <v/>
      </c>
      <c r="D5414" s="27" t="s">
        <v>1577</v>
      </c>
      <c r="E5414" s="14">
        <v>4.2</v>
      </c>
      <c r="F5414" s="14"/>
      <c r="G5414" s="17"/>
      <c r="H5414" s="17"/>
      <c r="I5414" s="57"/>
      <c r="J5414" s="57"/>
      <c r="K5414" s="19"/>
      <c r="L5414" s="20"/>
      <c r="M5414" s="10"/>
      <c r="N5414" s="10"/>
      <c r="O5414" s="10"/>
      <c r="P5414" s="10"/>
      <c r="Q5414" s="10"/>
      <c r="R5414" s="10"/>
      <c r="S5414" s="10"/>
      <c r="T5414" s="10"/>
      <c r="U5414" s="10"/>
      <c r="V5414" s="10"/>
      <c r="W5414" s="10"/>
      <c r="X5414" s="10"/>
      <c r="Y5414" s="10"/>
      <c r="Z5414" s="10"/>
      <c r="AA5414" s="10"/>
      <c r="AB5414" s="10"/>
      <c r="AC5414" s="10"/>
      <c r="AD5414" s="10"/>
      <c r="AE5414" s="10"/>
      <c r="AF5414" s="10"/>
      <c r="AG5414" s="10"/>
      <c r="AH5414" s="10"/>
    </row>
    <row r="5415" spans="1:34" outlineLevel="2">
      <c r="A5415" s="43"/>
      <c r="B5415" s="12" t="str">
        <f>IFERROR(VLOOKUP(D5415,'[1]Перечень товаров'!$A$2:$I9525,2,0),"")</f>
        <v>м222</v>
      </c>
      <c r="C5415" s="12" t="str">
        <f>IFERROR(VLOOKUP(D5415,'[1]Перечень товаров'!$A$2:$I9525,3,0),"")</f>
        <v>Мебель</v>
      </c>
      <c r="D5415" s="44" t="s">
        <v>880</v>
      </c>
      <c r="E5415" s="102"/>
      <c r="F5415" s="102"/>
      <c r="G5415" s="24">
        <v>1</v>
      </c>
      <c r="H5415" s="24"/>
      <c r="I5415" s="25"/>
      <c r="J5415" s="25"/>
      <c r="K5415" s="19"/>
      <c r="L5415" s="20"/>
      <c r="M5415" s="10"/>
      <c r="N5415" s="10"/>
      <c r="O5415" s="10"/>
      <c r="P5415" s="10"/>
      <c r="Q5415" s="10"/>
      <c r="R5415" s="10"/>
      <c r="S5415" s="10"/>
      <c r="T5415" s="10"/>
      <c r="U5415" s="10"/>
      <c r="V5415" s="10"/>
      <c r="W5415" s="10"/>
      <c r="X5415" s="10"/>
      <c r="Y5415" s="10"/>
      <c r="Z5415" s="10"/>
      <c r="AA5415" s="10"/>
      <c r="AB5415" s="10"/>
      <c r="AC5415" s="10"/>
      <c r="AD5415" s="10"/>
      <c r="AE5415" s="10"/>
      <c r="AF5415" s="10"/>
      <c r="AG5415" s="10"/>
      <c r="AH5415" s="10"/>
    </row>
    <row r="5416" spans="1:34" outlineLevel="2">
      <c r="A5416" s="43"/>
      <c r="B5416" s="12" t="str">
        <f>IFERROR(VLOOKUP(D5416,'[1]Перечень товаров'!$A$2:$I9525,2,0),"")</f>
        <v>м223</v>
      </c>
      <c r="C5416" s="12" t="str">
        <f>IFERROR(VLOOKUP(D5416,'[1]Перечень товаров'!$A$2:$I9525,3,0),"")</f>
        <v>Мебель</v>
      </c>
      <c r="D5416" s="44" t="s">
        <v>881</v>
      </c>
      <c r="E5416" s="102"/>
      <c r="F5416" s="102"/>
      <c r="G5416" s="24">
        <v>1</v>
      </c>
      <c r="H5416" s="24"/>
      <c r="I5416" s="25"/>
      <c r="J5416" s="25"/>
      <c r="K5416" s="19"/>
      <c r="L5416" s="20"/>
      <c r="M5416" s="10"/>
      <c r="N5416" s="10"/>
      <c r="O5416" s="10"/>
      <c r="P5416" s="10"/>
      <c r="Q5416" s="10"/>
      <c r="R5416" s="10"/>
      <c r="S5416" s="10"/>
      <c r="T5416" s="10"/>
      <c r="U5416" s="10"/>
      <c r="V5416" s="10"/>
      <c r="W5416" s="10"/>
      <c r="X5416" s="10"/>
      <c r="Y5416" s="10"/>
      <c r="Z5416" s="10"/>
      <c r="AA5416" s="10"/>
      <c r="AB5416" s="10"/>
      <c r="AC5416" s="10"/>
      <c r="AD5416" s="10"/>
      <c r="AE5416" s="10"/>
      <c r="AF5416" s="10"/>
      <c r="AG5416" s="10"/>
      <c r="AH5416" s="10"/>
    </row>
    <row r="5417" spans="1:34" outlineLevel="2">
      <c r="A5417" s="43"/>
      <c r="B5417" s="12" t="str">
        <f>IFERROR(VLOOKUP(D5417,'[1]Перечень товаров'!$A$2:$I9525,2,0),"")</f>
        <v>м224</v>
      </c>
      <c r="C5417" s="12" t="str">
        <f>IFERROR(VLOOKUP(D5417,'[1]Перечень товаров'!$A$2:$I9525,3,0),"")</f>
        <v>Мебель</v>
      </c>
      <c r="D5417" s="44" t="s">
        <v>882</v>
      </c>
      <c r="E5417" s="102"/>
      <c r="F5417" s="102"/>
      <c r="G5417" s="24">
        <v>1</v>
      </c>
      <c r="H5417" s="24"/>
      <c r="I5417" s="25"/>
      <c r="J5417" s="25"/>
      <c r="K5417" s="19"/>
      <c r="L5417" s="20"/>
      <c r="M5417" s="10"/>
      <c r="N5417" s="10"/>
      <c r="O5417" s="10"/>
      <c r="P5417" s="10"/>
      <c r="Q5417" s="10"/>
      <c r="R5417" s="10"/>
      <c r="S5417" s="10"/>
      <c r="T5417" s="10"/>
      <c r="U5417" s="10"/>
      <c r="V5417" s="10"/>
      <c r="W5417" s="10"/>
      <c r="X5417" s="10"/>
      <c r="Y5417" s="10"/>
      <c r="Z5417" s="10"/>
      <c r="AA5417" s="10"/>
      <c r="AB5417" s="10"/>
      <c r="AC5417" s="10"/>
      <c r="AD5417" s="10"/>
      <c r="AE5417" s="10"/>
      <c r="AF5417" s="10"/>
      <c r="AG5417" s="10"/>
      <c r="AH5417" s="10"/>
    </row>
    <row r="5418" spans="1:34" outlineLevel="2">
      <c r="A5418" s="43"/>
      <c r="B5418" s="12" t="str">
        <f>IFERROR(VLOOKUP(D5418,'[1]Перечень товаров'!$A$2:$I9525,2,0),"")</f>
        <v>м225</v>
      </c>
      <c r="C5418" s="12" t="str">
        <f>IFERROR(VLOOKUP(D5418,'[1]Перечень товаров'!$A$2:$I9525,3,0),"")</f>
        <v>Мебель</v>
      </c>
      <c r="D5418" s="44" t="s">
        <v>883</v>
      </c>
      <c r="E5418" s="102"/>
      <c r="F5418" s="102"/>
      <c r="G5418" s="24">
        <v>1</v>
      </c>
      <c r="H5418" s="24"/>
      <c r="I5418" s="25"/>
      <c r="J5418" s="25"/>
      <c r="K5418" s="19"/>
      <c r="L5418" s="20"/>
      <c r="M5418" s="10"/>
      <c r="N5418" s="10"/>
      <c r="O5418" s="10"/>
      <c r="P5418" s="10"/>
      <c r="Q5418" s="10"/>
      <c r="R5418" s="10"/>
      <c r="S5418" s="10"/>
      <c r="T5418" s="10"/>
      <c r="U5418" s="10"/>
      <c r="V5418" s="10"/>
      <c r="W5418" s="10"/>
      <c r="X5418" s="10"/>
      <c r="Y5418" s="10"/>
      <c r="Z5418" s="10"/>
      <c r="AA5418" s="10"/>
      <c r="AB5418" s="10"/>
      <c r="AC5418" s="10"/>
      <c r="AD5418" s="10"/>
      <c r="AE5418" s="10"/>
      <c r="AF5418" s="10"/>
      <c r="AG5418" s="10"/>
      <c r="AH5418" s="10"/>
    </row>
    <row r="5419" spans="1:34" outlineLevel="2">
      <c r="A5419" s="43"/>
      <c r="B5419" s="12" t="str">
        <f>IFERROR(VLOOKUP(D5419,'[1]Перечень товаров'!$A$2:$I9525,2,0),"")</f>
        <v>п28</v>
      </c>
      <c r="C5419" s="12" t="str">
        <f>IFERROR(VLOOKUP(D5419,'[1]Перечень товаров'!$A$2:$I9525,3,0),"")</f>
        <v>Прочее</v>
      </c>
      <c r="D5419" s="44" t="s">
        <v>363</v>
      </c>
      <c r="E5419" s="102"/>
      <c r="F5419" s="102"/>
      <c r="G5419" s="24">
        <v>1</v>
      </c>
      <c r="H5419" s="24"/>
      <c r="I5419" s="25"/>
      <c r="J5419" s="25"/>
      <c r="K5419" s="19"/>
      <c r="L5419" s="20"/>
      <c r="M5419" s="10"/>
      <c r="N5419" s="10"/>
      <c r="O5419" s="10"/>
      <c r="P5419" s="10"/>
      <c r="Q5419" s="10"/>
      <c r="R5419" s="10"/>
      <c r="S5419" s="10"/>
      <c r="T5419" s="10"/>
      <c r="U5419" s="10"/>
      <c r="V5419" s="10"/>
      <c r="W5419" s="10"/>
      <c r="X5419" s="10"/>
      <c r="Y5419" s="10"/>
      <c r="Z5419" s="10"/>
      <c r="AA5419" s="10"/>
      <c r="AB5419" s="10"/>
      <c r="AC5419" s="10"/>
      <c r="AD5419" s="10"/>
      <c r="AE5419" s="10"/>
      <c r="AF5419" s="10"/>
      <c r="AG5419" s="10"/>
      <c r="AH5419" s="10"/>
    </row>
    <row r="5420" spans="1:34" outlineLevel="2">
      <c r="A5420" s="43"/>
      <c r="B5420" s="12" t="str">
        <f>IFERROR(VLOOKUP(D5420,'[1]Перечень товаров'!$A$2:$I9525,2,0),"")</f>
        <v>м226</v>
      </c>
      <c r="C5420" s="12" t="str">
        <f>IFERROR(VLOOKUP(D5420,'[1]Перечень товаров'!$A$2:$I9525,3,0),"")</f>
        <v>Мебель</v>
      </c>
      <c r="D5420" s="44" t="s">
        <v>884</v>
      </c>
      <c r="E5420" s="102"/>
      <c r="F5420" s="102"/>
      <c r="G5420" s="24">
        <v>1</v>
      </c>
      <c r="H5420" s="24"/>
      <c r="I5420" s="25"/>
      <c r="J5420" s="25"/>
      <c r="K5420" s="19"/>
      <c r="L5420" s="20"/>
      <c r="M5420" s="10"/>
      <c r="N5420" s="10"/>
      <c r="O5420" s="10"/>
      <c r="P5420" s="10"/>
      <c r="Q5420" s="10"/>
      <c r="R5420" s="10"/>
      <c r="S5420" s="10"/>
      <c r="T5420" s="10"/>
      <c r="U5420" s="10"/>
      <c r="V5420" s="10"/>
      <c r="W5420" s="10"/>
      <c r="X5420" s="10"/>
      <c r="Y5420" s="10"/>
      <c r="Z5420" s="10"/>
      <c r="AA5420" s="10"/>
      <c r="AB5420" s="10"/>
      <c r="AC5420" s="10"/>
      <c r="AD5420" s="10"/>
      <c r="AE5420" s="10"/>
      <c r="AF5420" s="10"/>
      <c r="AG5420" s="10"/>
      <c r="AH5420" s="10"/>
    </row>
    <row r="5421" spans="1:34" outlineLevel="1">
      <c r="A5421" s="21"/>
      <c r="B5421" s="12" t="str">
        <f>IFERROR(VLOOKUP(D5421,'[1]Перечень товаров'!$A$2:$I9525,2,0),"")</f>
        <v/>
      </c>
      <c r="C5421" s="12" t="str">
        <f>IFERROR(VLOOKUP(D5421,'[1]Перечень товаров'!$A$2:$I9525,3,0),"")</f>
        <v/>
      </c>
      <c r="D5421" s="22" t="s">
        <v>934</v>
      </c>
      <c r="E5421" s="23">
        <v>2.4</v>
      </c>
      <c r="F5421" s="23"/>
      <c r="G5421" s="24"/>
      <c r="H5421" s="24"/>
      <c r="I5421" s="25"/>
      <c r="J5421" s="25"/>
      <c r="K5421" s="19"/>
      <c r="L5421" s="20"/>
      <c r="M5421" s="10"/>
      <c r="N5421" s="10"/>
      <c r="O5421" s="10"/>
      <c r="P5421" s="10"/>
      <c r="Q5421" s="10"/>
      <c r="R5421" s="10"/>
      <c r="S5421" s="10"/>
      <c r="T5421" s="10"/>
      <c r="U5421" s="10"/>
      <c r="V5421" s="10"/>
      <c r="W5421" s="10"/>
      <c r="X5421" s="10"/>
      <c r="Y5421" s="10"/>
      <c r="Z5421" s="10"/>
      <c r="AA5421" s="10"/>
      <c r="AB5421" s="10"/>
      <c r="AC5421" s="10"/>
      <c r="AD5421" s="10"/>
      <c r="AE5421" s="10"/>
      <c r="AF5421" s="10"/>
      <c r="AG5421" s="10"/>
      <c r="AH5421" s="10"/>
    </row>
    <row r="5422" spans="1:34" ht="12.75" outlineLevel="1">
      <c r="A5422" s="11"/>
      <c r="B5422" s="12" t="str">
        <f>IFERROR(VLOOKUP(D5422,'[1]Перечень товаров'!$A$2:$I9525,2,0),"")</f>
        <v/>
      </c>
      <c r="C5422" s="12" t="str">
        <f>IFERROR(VLOOKUP(D5422,'[1]Перечень товаров'!$A$2:$I9525,3,0),"")</f>
        <v/>
      </c>
      <c r="D5422" s="27" t="s">
        <v>1575</v>
      </c>
      <c r="E5422" s="14">
        <v>17.7</v>
      </c>
      <c r="F5422" s="14"/>
      <c r="G5422" s="17"/>
      <c r="H5422" s="17"/>
      <c r="I5422" s="57"/>
      <c r="J5422" s="57"/>
      <c r="K5422" s="19"/>
      <c r="L5422" s="20"/>
      <c r="M5422" s="10"/>
      <c r="N5422" s="10"/>
      <c r="O5422" s="10"/>
      <c r="P5422" s="10"/>
      <c r="Q5422" s="10"/>
      <c r="R5422" s="10"/>
      <c r="S5422" s="10"/>
      <c r="T5422" s="10"/>
      <c r="U5422" s="10"/>
      <c r="V5422" s="10"/>
      <c r="W5422" s="10"/>
      <c r="X5422" s="10"/>
      <c r="Y5422" s="10"/>
      <c r="Z5422" s="10"/>
      <c r="AA5422" s="10"/>
      <c r="AB5422" s="10"/>
      <c r="AC5422" s="10"/>
      <c r="AD5422" s="10"/>
      <c r="AE5422" s="10"/>
      <c r="AF5422" s="10"/>
      <c r="AG5422" s="10"/>
      <c r="AH5422" s="10"/>
    </row>
    <row r="5423" spans="1:34" outlineLevel="2">
      <c r="A5423" s="22"/>
      <c r="B5423" s="12" t="str">
        <f>IFERROR(VLOOKUP(D5423,'[1]Перечень товаров'!$A$2:$I9525,2,0),"")</f>
        <v>м14</v>
      </c>
      <c r="C5423" s="12" t="str">
        <f>IFERROR(VLOOKUP(D5423,'[1]Перечень товаров'!$A$2:$I9525,3,0),"")</f>
        <v>Мебель</v>
      </c>
      <c r="D5423" s="22" t="s">
        <v>43</v>
      </c>
      <c r="E5423" s="203"/>
      <c r="F5423" s="203"/>
      <c r="G5423" s="24">
        <v>1</v>
      </c>
      <c r="H5423" s="24"/>
      <c r="I5423" s="25"/>
      <c r="J5423" s="25"/>
      <c r="K5423" s="19"/>
      <c r="L5423" s="20"/>
      <c r="M5423" s="10"/>
      <c r="N5423" s="10"/>
      <c r="O5423" s="10"/>
      <c r="P5423" s="10"/>
      <c r="Q5423" s="10"/>
      <c r="R5423" s="10"/>
      <c r="S5423" s="10"/>
      <c r="T5423" s="10"/>
      <c r="U5423" s="10"/>
      <c r="V5423" s="10"/>
      <c r="W5423" s="10"/>
      <c r="X5423" s="10"/>
      <c r="Y5423" s="10"/>
      <c r="Z5423" s="10"/>
      <c r="AA5423" s="10"/>
      <c r="AB5423" s="10"/>
      <c r="AC5423" s="10"/>
      <c r="AD5423" s="10"/>
      <c r="AE5423" s="10"/>
      <c r="AF5423" s="10"/>
      <c r="AG5423" s="10"/>
      <c r="AH5423" s="10"/>
    </row>
    <row r="5424" spans="1:34" outlineLevel="2">
      <c r="A5424" s="21"/>
      <c r="B5424" s="12" t="str">
        <f>IFERROR(VLOOKUP(D5424,'[1]Перечень товаров'!$A$2:$I9525,2,0),"")</f>
        <v>м167</v>
      </c>
      <c r="C5424" s="12" t="str">
        <f>IFERROR(VLOOKUP(D5424,'[1]Перечень товаров'!$A$2:$I9525,3,0),"")</f>
        <v>Мебель</v>
      </c>
      <c r="D5424" s="22" t="s">
        <v>508</v>
      </c>
      <c r="E5424" s="203"/>
      <c r="F5424" s="203"/>
      <c r="G5424" s="24">
        <v>1</v>
      </c>
      <c r="H5424" s="24"/>
      <c r="I5424" s="25"/>
      <c r="J5424" s="25"/>
      <c r="K5424" s="19"/>
      <c r="L5424" s="20"/>
      <c r="M5424" s="10"/>
      <c r="N5424" s="10"/>
      <c r="O5424" s="10"/>
      <c r="P5424" s="10"/>
      <c r="Q5424" s="10"/>
      <c r="R5424" s="10"/>
      <c r="S5424" s="10"/>
      <c r="T5424" s="10"/>
      <c r="U5424" s="10"/>
      <c r="V5424" s="10"/>
      <c r="W5424" s="10"/>
      <c r="X5424" s="10"/>
      <c r="Y5424" s="10"/>
      <c r="Z5424" s="10"/>
      <c r="AA5424" s="10"/>
      <c r="AB5424" s="10"/>
      <c r="AC5424" s="10"/>
      <c r="AD5424" s="10"/>
      <c r="AE5424" s="10"/>
      <c r="AF5424" s="10"/>
      <c r="AG5424" s="10"/>
      <c r="AH5424" s="10"/>
    </row>
    <row r="5425" spans="1:34" outlineLevel="2">
      <c r="A5425" s="21"/>
      <c r="B5425" s="12" t="str">
        <f>IFERROR(VLOOKUP(D5425,'[1]Перечень товаров'!$A$2:$I9525,2,0),"")</f>
        <v>м218</v>
      </c>
      <c r="C5425" s="12" t="str">
        <f>IFERROR(VLOOKUP(D5425,'[1]Перечень товаров'!$A$2:$I9525,3,0),"")</f>
        <v>Мебель</v>
      </c>
      <c r="D5425" s="22" t="s">
        <v>872</v>
      </c>
      <c r="E5425" s="203"/>
      <c r="F5425" s="203"/>
      <c r="G5425" s="24">
        <v>2</v>
      </c>
      <c r="H5425" s="24"/>
      <c r="I5425" s="25"/>
      <c r="J5425" s="25"/>
      <c r="K5425" s="19"/>
      <c r="L5425" s="20"/>
      <c r="M5425" s="10"/>
      <c r="N5425" s="10"/>
      <c r="O5425" s="10"/>
      <c r="P5425" s="10"/>
      <c r="Q5425" s="10"/>
      <c r="R5425" s="10"/>
      <c r="S5425" s="10"/>
      <c r="T5425" s="10"/>
      <c r="U5425" s="10"/>
      <c r="V5425" s="10"/>
      <c r="W5425" s="10"/>
      <c r="X5425" s="10"/>
      <c r="Y5425" s="10"/>
      <c r="Z5425" s="10"/>
      <c r="AA5425" s="10"/>
      <c r="AB5425" s="10"/>
      <c r="AC5425" s="10"/>
      <c r="AD5425" s="10"/>
      <c r="AE5425" s="10"/>
      <c r="AF5425" s="10"/>
      <c r="AG5425" s="10"/>
      <c r="AH5425" s="10"/>
    </row>
    <row r="5426" spans="1:34" outlineLevel="2">
      <c r="A5426" s="21"/>
      <c r="B5426" s="12" t="str">
        <f>IFERROR(VLOOKUP(D5426,'[1]Перечень товаров'!$A$2:$I9525,2,0),"")</f>
        <v>м219</v>
      </c>
      <c r="C5426" s="12" t="str">
        <f>IFERROR(VLOOKUP(D5426,'[1]Перечень товаров'!$A$2:$I9525,3,0),"")</f>
        <v>Мебель</v>
      </c>
      <c r="D5426" s="22" t="s">
        <v>873</v>
      </c>
      <c r="E5426" s="203"/>
      <c r="F5426" s="203"/>
      <c r="G5426" s="24">
        <v>4</v>
      </c>
      <c r="H5426" s="24"/>
      <c r="I5426" s="25"/>
      <c r="J5426" s="25"/>
      <c r="K5426" s="19"/>
      <c r="L5426" s="20"/>
      <c r="M5426" s="10"/>
      <c r="N5426" s="10"/>
      <c r="O5426" s="10"/>
      <c r="P5426" s="10"/>
      <c r="Q5426" s="10"/>
      <c r="R5426" s="10"/>
      <c r="S5426" s="10"/>
      <c r="T5426" s="10"/>
      <c r="U5426" s="10"/>
      <c r="V5426" s="10"/>
      <c r="W5426" s="10"/>
      <c r="X5426" s="10"/>
      <c r="Y5426" s="10"/>
      <c r="Z5426" s="10"/>
      <c r="AA5426" s="10"/>
      <c r="AB5426" s="10"/>
      <c r="AC5426" s="10"/>
      <c r="AD5426" s="10"/>
      <c r="AE5426" s="10"/>
      <c r="AF5426" s="10"/>
      <c r="AG5426" s="10"/>
      <c r="AH5426" s="10"/>
    </row>
    <row r="5427" spans="1:34" outlineLevel="2">
      <c r="A5427" s="21"/>
      <c r="B5427" s="12" t="str">
        <f>IFERROR(VLOOKUP(D5427,'[1]Перечень товаров'!$A$2:$I9525,2,0),"")</f>
        <v>м220</v>
      </c>
      <c r="C5427" s="12" t="str">
        <f>IFERROR(VLOOKUP(D5427,'[1]Перечень товаров'!$A$2:$I9525,3,0),"")</f>
        <v>Мебель</v>
      </c>
      <c r="D5427" s="22" t="s">
        <v>874</v>
      </c>
      <c r="E5427" s="203"/>
      <c r="F5427" s="203"/>
      <c r="G5427" s="24">
        <v>1</v>
      </c>
      <c r="H5427" s="24"/>
      <c r="I5427" s="25"/>
      <c r="J5427" s="25"/>
      <c r="K5427" s="19"/>
      <c r="L5427" s="20"/>
      <c r="M5427" s="10"/>
      <c r="N5427" s="10"/>
      <c r="O5427" s="10"/>
      <c r="P5427" s="10"/>
      <c r="Q5427" s="10"/>
      <c r="R5427" s="10"/>
      <c r="S5427" s="10"/>
      <c r="T5427" s="10"/>
      <c r="U5427" s="10"/>
      <c r="V5427" s="10"/>
      <c r="W5427" s="10"/>
      <c r="X5427" s="10"/>
      <c r="Y5427" s="10"/>
      <c r="Z5427" s="10"/>
      <c r="AA5427" s="10"/>
      <c r="AB5427" s="10"/>
      <c r="AC5427" s="10"/>
      <c r="AD5427" s="10"/>
      <c r="AE5427" s="10"/>
      <c r="AF5427" s="10"/>
      <c r="AG5427" s="10"/>
      <c r="AH5427" s="10"/>
    </row>
    <row r="5428" spans="1:34" outlineLevel="2">
      <c r="A5428" s="21"/>
      <c r="B5428" s="12" t="str">
        <f>IFERROR(VLOOKUP(D5428,'[1]Перечень товаров'!$A$2:$I9525,2,0),"")</f>
        <v>тм152</v>
      </c>
      <c r="C5428" s="12" t="str">
        <f>IFERROR(VLOOKUP(D5428,'[1]Перечень товаров'!$A$2:$I9525,3,0),"")</f>
        <v>Техника муз</v>
      </c>
      <c r="D5428" s="22" t="s">
        <v>1572</v>
      </c>
      <c r="E5428" s="203"/>
      <c r="F5428" s="203"/>
      <c r="G5428" s="24">
        <v>1</v>
      </c>
      <c r="H5428" s="24"/>
      <c r="I5428" s="25"/>
      <c r="J5428" s="25"/>
      <c r="K5428" s="19"/>
      <c r="L5428" s="20"/>
      <c r="M5428" s="10"/>
      <c r="N5428" s="10"/>
      <c r="O5428" s="10"/>
      <c r="P5428" s="10"/>
      <c r="Q5428" s="10"/>
      <c r="R5428" s="10"/>
      <c r="S5428" s="10"/>
      <c r="T5428" s="10"/>
      <c r="U5428" s="10"/>
      <c r="V5428" s="10"/>
      <c r="W5428" s="10"/>
      <c r="X5428" s="10"/>
      <c r="Y5428" s="10"/>
      <c r="Z5428" s="10"/>
      <c r="AA5428" s="10"/>
      <c r="AB5428" s="10"/>
      <c r="AC5428" s="10"/>
      <c r="AD5428" s="10"/>
      <c r="AE5428" s="10"/>
      <c r="AF5428" s="10"/>
      <c r="AG5428" s="10"/>
      <c r="AH5428" s="10"/>
    </row>
    <row r="5429" spans="1:34" outlineLevel="2">
      <c r="A5429" s="21"/>
      <c r="B5429" s="12" t="str">
        <f>IFERROR(VLOOKUP(D5429,'[1]Перечень товаров'!$A$2:$I9525,2,0),"")</f>
        <v>м137</v>
      </c>
      <c r="C5429" s="12" t="str">
        <f>IFERROR(VLOOKUP(D5429,'[1]Перечень товаров'!$A$2:$I9525,3,0),"")</f>
        <v>мебель</v>
      </c>
      <c r="D5429" s="22" t="s">
        <v>876</v>
      </c>
      <c r="E5429" s="203"/>
      <c r="F5429" s="203"/>
      <c r="G5429" s="24">
        <v>1</v>
      </c>
      <c r="H5429" s="24"/>
      <c r="I5429" s="25"/>
      <c r="J5429" s="25"/>
      <c r="K5429" s="19"/>
      <c r="L5429" s="20"/>
      <c r="M5429" s="10"/>
      <c r="N5429" s="10"/>
      <c r="O5429" s="10"/>
      <c r="P5429" s="10"/>
      <c r="Q5429" s="10"/>
      <c r="R5429" s="10"/>
      <c r="S5429" s="10"/>
      <c r="T5429" s="10"/>
      <c r="U5429" s="10"/>
      <c r="V5429" s="10"/>
      <c r="W5429" s="10"/>
      <c r="X5429" s="10"/>
      <c r="Y5429" s="10"/>
      <c r="Z5429" s="10"/>
      <c r="AA5429" s="10"/>
      <c r="AB5429" s="10"/>
      <c r="AC5429" s="10"/>
      <c r="AD5429" s="10"/>
      <c r="AE5429" s="10"/>
      <c r="AF5429" s="10"/>
      <c r="AG5429" s="10"/>
      <c r="AH5429" s="10"/>
    </row>
    <row r="5430" spans="1:34" outlineLevel="2">
      <c r="A5430" s="21"/>
      <c r="B5430" s="12" t="str">
        <f>IFERROR(VLOOKUP(D5430,'[1]Перечень товаров'!$A$2:$I9525,2,0),"")</f>
        <v>м187</v>
      </c>
      <c r="C5430" s="12" t="str">
        <f>IFERROR(VLOOKUP(D5430,'[1]Перечень товаров'!$A$2:$I9525,3,0),"")</f>
        <v>мебель</v>
      </c>
      <c r="D5430" s="22" t="s">
        <v>877</v>
      </c>
      <c r="E5430" s="203"/>
      <c r="F5430" s="203"/>
      <c r="G5430" s="24">
        <v>1</v>
      </c>
      <c r="H5430" s="24"/>
      <c r="I5430" s="25"/>
      <c r="J5430" s="25"/>
      <c r="K5430" s="19"/>
      <c r="L5430" s="20"/>
      <c r="M5430" s="10"/>
      <c r="N5430" s="10"/>
      <c r="O5430" s="10"/>
      <c r="P5430" s="10"/>
      <c r="Q5430" s="10"/>
      <c r="R5430" s="10"/>
      <c r="S5430" s="10"/>
      <c r="T5430" s="10"/>
      <c r="U5430" s="10"/>
      <c r="V5430" s="10"/>
      <c r="W5430" s="10"/>
      <c r="X5430" s="10"/>
      <c r="Y5430" s="10"/>
      <c r="Z5430" s="10"/>
      <c r="AA5430" s="10"/>
      <c r="AB5430" s="10"/>
      <c r="AC5430" s="10"/>
      <c r="AD5430" s="10"/>
      <c r="AE5430" s="10"/>
      <c r="AF5430" s="10"/>
      <c r="AG5430" s="10"/>
      <c r="AH5430" s="10"/>
    </row>
    <row r="5431" spans="1:34" outlineLevel="2">
      <c r="A5431" s="21"/>
      <c r="B5431" s="12" t="str">
        <f>IFERROR(VLOOKUP(D5431,'[1]Перечень товаров'!$A$2:$I9525,2,0),"")</f>
        <v>м30</v>
      </c>
      <c r="C5431" s="12" t="str">
        <f>IFERROR(VLOOKUP(D5431,'[1]Перечень товаров'!$A$2:$I9525,3,0),"")</f>
        <v>Мебель</v>
      </c>
      <c r="D5431" s="22" t="s">
        <v>181</v>
      </c>
      <c r="E5431" s="203"/>
      <c r="F5431" s="203"/>
      <c r="G5431" s="24">
        <v>2</v>
      </c>
      <c r="H5431" s="24"/>
      <c r="I5431" s="25"/>
      <c r="J5431" s="25"/>
      <c r="K5431" s="19"/>
      <c r="L5431" s="20"/>
      <c r="M5431" s="10"/>
      <c r="N5431" s="10"/>
      <c r="O5431" s="10"/>
      <c r="P5431" s="10"/>
      <c r="Q5431" s="10"/>
      <c r="R5431" s="10"/>
      <c r="S5431" s="10"/>
      <c r="T5431" s="10"/>
      <c r="U5431" s="10"/>
      <c r="V5431" s="10"/>
      <c r="W5431" s="10"/>
      <c r="X5431" s="10"/>
      <c r="Y5431" s="10"/>
      <c r="Z5431" s="10"/>
      <c r="AA5431" s="10"/>
      <c r="AB5431" s="10"/>
      <c r="AC5431" s="10"/>
      <c r="AD5431" s="10"/>
      <c r="AE5431" s="10"/>
      <c r="AF5431" s="10"/>
      <c r="AG5431" s="10"/>
      <c r="AH5431" s="10"/>
    </row>
    <row r="5432" spans="1:34" outlineLevel="2">
      <c r="A5432" s="21"/>
      <c r="B5432" s="12" t="str">
        <f>IFERROR(VLOOKUP(D5432,'[1]Перечень товаров'!$A$2:$I9525,2,0),"")</f>
        <v>м221</v>
      </c>
      <c r="C5432" s="12" t="str">
        <f>IFERROR(VLOOKUP(D5432,'[1]Перечень товаров'!$A$2:$I9525,3,0),"")</f>
        <v>Мебель</v>
      </c>
      <c r="D5432" s="22" t="s">
        <v>878</v>
      </c>
      <c r="E5432" s="203"/>
      <c r="F5432" s="203"/>
      <c r="G5432" s="24">
        <v>2</v>
      </c>
      <c r="H5432" s="24"/>
      <c r="I5432" s="25"/>
      <c r="J5432" s="25"/>
      <c r="K5432" s="19"/>
      <c r="L5432" s="20"/>
      <c r="M5432" s="10"/>
      <c r="N5432" s="10"/>
      <c r="O5432" s="10"/>
      <c r="P5432" s="10"/>
      <c r="Q5432" s="10"/>
      <c r="R5432" s="10"/>
      <c r="S5432" s="10"/>
      <c r="T5432" s="10"/>
      <c r="U5432" s="10"/>
      <c r="V5432" s="10"/>
      <c r="W5432" s="10"/>
      <c r="X5432" s="10"/>
      <c r="Y5432" s="10"/>
      <c r="Z5432" s="10"/>
      <c r="AA5432" s="10"/>
      <c r="AB5432" s="10"/>
      <c r="AC5432" s="10"/>
      <c r="AD5432" s="10"/>
      <c r="AE5432" s="10"/>
      <c r="AF5432" s="10"/>
      <c r="AG5432" s="10"/>
      <c r="AH5432" s="10"/>
    </row>
    <row r="5433" spans="1:34" ht="12.75" outlineLevel="1">
      <c r="A5433" s="11"/>
      <c r="B5433" s="12" t="str">
        <f>IFERROR(VLOOKUP(D5433,'[1]Перечень товаров'!$A$2:$I9525,2,0),"")</f>
        <v/>
      </c>
      <c r="C5433" s="12" t="str">
        <f>IFERROR(VLOOKUP(D5433,'[1]Перечень товаров'!$A$2:$I9525,3,0),"")</f>
        <v/>
      </c>
      <c r="D5433" s="27" t="s">
        <v>1575</v>
      </c>
      <c r="E5433" s="14">
        <v>18</v>
      </c>
      <c r="F5433" s="14"/>
      <c r="G5433" s="17"/>
      <c r="H5433" s="17"/>
      <c r="I5433" s="57"/>
      <c r="J5433" s="57"/>
      <c r="K5433" s="19"/>
      <c r="L5433" s="20"/>
      <c r="M5433" s="10"/>
      <c r="N5433" s="10"/>
      <c r="O5433" s="10"/>
      <c r="P5433" s="10"/>
      <c r="Q5433" s="10"/>
      <c r="R5433" s="10"/>
      <c r="S5433" s="10"/>
      <c r="T5433" s="10"/>
      <c r="U5433" s="10"/>
      <c r="V5433" s="10"/>
      <c r="W5433" s="10"/>
      <c r="X5433" s="10"/>
      <c r="Y5433" s="10"/>
      <c r="Z5433" s="10"/>
      <c r="AA5433" s="10"/>
      <c r="AB5433" s="10"/>
      <c r="AC5433" s="10"/>
      <c r="AD5433" s="10"/>
      <c r="AE5433" s="10"/>
      <c r="AF5433" s="10"/>
      <c r="AG5433" s="10"/>
      <c r="AH5433" s="10"/>
    </row>
    <row r="5434" spans="1:34" outlineLevel="2">
      <c r="A5434" s="22"/>
      <c r="B5434" s="12" t="str">
        <f>IFERROR(VLOOKUP(D5434,'[1]Перечень товаров'!$A$2:$I9525,2,0),"")</f>
        <v>м14</v>
      </c>
      <c r="C5434" s="12" t="str">
        <f>IFERROR(VLOOKUP(D5434,'[1]Перечень товаров'!$A$2:$I9525,3,0),"")</f>
        <v>Мебель</v>
      </c>
      <c r="D5434" s="22" t="s">
        <v>43</v>
      </c>
      <c r="E5434" s="203"/>
      <c r="F5434" s="203"/>
      <c r="G5434" s="24">
        <v>1</v>
      </c>
      <c r="H5434" s="24"/>
      <c r="I5434" s="25"/>
      <c r="J5434" s="25"/>
      <c r="K5434" s="19"/>
      <c r="L5434" s="20"/>
      <c r="M5434" s="10"/>
      <c r="N5434" s="10"/>
      <c r="O5434" s="10"/>
      <c r="P5434" s="10"/>
      <c r="Q5434" s="10"/>
      <c r="R5434" s="10"/>
      <c r="S5434" s="10"/>
      <c r="T5434" s="10"/>
      <c r="U5434" s="10"/>
      <c r="V5434" s="10"/>
      <c r="W5434" s="10"/>
      <c r="X5434" s="10"/>
      <c r="Y5434" s="10"/>
      <c r="Z5434" s="10"/>
      <c r="AA5434" s="10"/>
      <c r="AB5434" s="10"/>
      <c r="AC5434" s="10"/>
      <c r="AD5434" s="10"/>
      <c r="AE5434" s="10"/>
      <c r="AF5434" s="10"/>
      <c r="AG5434" s="10"/>
      <c r="AH5434" s="10"/>
    </row>
    <row r="5435" spans="1:34" outlineLevel="2">
      <c r="A5435" s="21"/>
      <c r="B5435" s="12" t="str">
        <f>IFERROR(VLOOKUP(D5435,'[1]Перечень товаров'!$A$2:$I9525,2,0),"")</f>
        <v>м167</v>
      </c>
      <c r="C5435" s="12" t="str">
        <f>IFERROR(VLOOKUP(D5435,'[1]Перечень товаров'!$A$2:$I9525,3,0),"")</f>
        <v>Мебель</v>
      </c>
      <c r="D5435" s="22" t="s">
        <v>508</v>
      </c>
      <c r="E5435" s="203"/>
      <c r="F5435" s="203"/>
      <c r="G5435" s="24">
        <v>1</v>
      </c>
      <c r="H5435" s="24"/>
      <c r="I5435" s="25"/>
      <c r="J5435" s="25"/>
      <c r="K5435" s="19"/>
      <c r="L5435" s="20"/>
      <c r="M5435" s="10"/>
      <c r="N5435" s="10"/>
      <c r="O5435" s="10"/>
      <c r="P5435" s="10"/>
      <c r="Q5435" s="10"/>
      <c r="R5435" s="10"/>
      <c r="S5435" s="10"/>
      <c r="T5435" s="10"/>
      <c r="U5435" s="10"/>
      <c r="V5435" s="10"/>
      <c r="W5435" s="10"/>
      <c r="X5435" s="10"/>
      <c r="Y5435" s="10"/>
      <c r="Z5435" s="10"/>
      <c r="AA5435" s="10"/>
      <c r="AB5435" s="10"/>
      <c r="AC5435" s="10"/>
      <c r="AD5435" s="10"/>
      <c r="AE5435" s="10"/>
      <c r="AF5435" s="10"/>
      <c r="AG5435" s="10"/>
      <c r="AH5435" s="10"/>
    </row>
    <row r="5436" spans="1:34" outlineLevel="2">
      <c r="A5436" s="21"/>
      <c r="B5436" s="12" t="str">
        <f>IFERROR(VLOOKUP(D5436,'[1]Перечень товаров'!$A$2:$I9525,2,0),"")</f>
        <v>м218</v>
      </c>
      <c r="C5436" s="12" t="str">
        <f>IFERROR(VLOOKUP(D5436,'[1]Перечень товаров'!$A$2:$I9525,3,0),"")</f>
        <v>Мебель</v>
      </c>
      <c r="D5436" s="22" t="s">
        <v>872</v>
      </c>
      <c r="E5436" s="203"/>
      <c r="F5436" s="203"/>
      <c r="G5436" s="24">
        <v>2</v>
      </c>
      <c r="H5436" s="24"/>
      <c r="I5436" s="25"/>
      <c r="J5436" s="25"/>
      <c r="K5436" s="19"/>
      <c r="L5436" s="20"/>
      <c r="M5436" s="10"/>
      <c r="N5436" s="10"/>
      <c r="O5436" s="10"/>
      <c r="P5436" s="10"/>
      <c r="Q5436" s="10"/>
      <c r="R5436" s="10"/>
      <c r="S5436" s="10"/>
      <c r="T5436" s="10"/>
      <c r="U5436" s="10"/>
      <c r="V5436" s="10"/>
      <c r="W5436" s="10"/>
      <c r="X5436" s="10"/>
      <c r="Y5436" s="10"/>
      <c r="Z5436" s="10"/>
      <c r="AA5436" s="10"/>
      <c r="AB5436" s="10"/>
      <c r="AC5436" s="10"/>
      <c r="AD5436" s="10"/>
      <c r="AE5436" s="10"/>
      <c r="AF5436" s="10"/>
      <c r="AG5436" s="10"/>
      <c r="AH5436" s="10"/>
    </row>
    <row r="5437" spans="1:34" outlineLevel="2">
      <c r="A5437" s="21"/>
      <c r="B5437" s="12" t="str">
        <f>IFERROR(VLOOKUP(D5437,'[1]Перечень товаров'!$A$2:$I9525,2,0),"")</f>
        <v>м219</v>
      </c>
      <c r="C5437" s="12" t="str">
        <f>IFERROR(VLOOKUP(D5437,'[1]Перечень товаров'!$A$2:$I9525,3,0),"")</f>
        <v>Мебель</v>
      </c>
      <c r="D5437" s="22" t="s">
        <v>873</v>
      </c>
      <c r="E5437" s="203"/>
      <c r="F5437" s="203"/>
      <c r="G5437" s="24">
        <v>4</v>
      </c>
      <c r="H5437" s="24"/>
      <c r="I5437" s="25"/>
      <c r="J5437" s="25"/>
      <c r="K5437" s="19"/>
      <c r="L5437" s="20"/>
      <c r="M5437" s="10"/>
      <c r="N5437" s="10"/>
      <c r="O5437" s="10"/>
      <c r="P5437" s="10"/>
      <c r="Q5437" s="10"/>
      <c r="R5437" s="10"/>
      <c r="S5437" s="10"/>
      <c r="T5437" s="10"/>
      <c r="U5437" s="10"/>
      <c r="V5437" s="10"/>
      <c r="W5437" s="10"/>
      <c r="X5437" s="10"/>
      <c r="Y5437" s="10"/>
      <c r="Z5437" s="10"/>
      <c r="AA5437" s="10"/>
      <c r="AB5437" s="10"/>
      <c r="AC5437" s="10"/>
      <c r="AD5437" s="10"/>
      <c r="AE5437" s="10"/>
      <c r="AF5437" s="10"/>
      <c r="AG5437" s="10"/>
      <c r="AH5437" s="10"/>
    </row>
    <row r="5438" spans="1:34" outlineLevel="2">
      <c r="A5438" s="21"/>
      <c r="B5438" s="12" t="str">
        <f>IFERROR(VLOOKUP(D5438,'[1]Перечень товаров'!$A$2:$I9525,2,0),"")</f>
        <v>м220</v>
      </c>
      <c r="C5438" s="12" t="str">
        <f>IFERROR(VLOOKUP(D5438,'[1]Перечень товаров'!$A$2:$I9525,3,0),"")</f>
        <v>Мебель</v>
      </c>
      <c r="D5438" s="22" t="s">
        <v>874</v>
      </c>
      <c r="E5438" s="203"/>
      <c r="F5438" s="203"/>
      <c r="G5438" s="24">
        <v>1</v>
      </c>
      <c r="H5438" s="24"/>
      <c r="I5438" s="25"/>
      <c r="J5438" s="25"/>
      <c r="K5438" s="19"/>
      <c r="L5438" s="20"/>
      <c r="M5438" s="10"/>
      <c r="N5438" s="10"/>
      <c r="O5438" s="10"/>
      <c r="P5438" s="10"/>
      <c r="Q5438" s="10"/>
      <c r="R5438" s="10"/>
      <c r="S5438" s="10"/>
      <c r="T5438" s="10"/>
      <c r="U5438" s="10"/>
      <c r="V5438" s="10"/>
      <c r="W5438" s="10"/>
      <c r="X5438" s="10"/>
      <c r="Y5438" s="10"/>
      <c r="Z5438" s="10"/>
      <c r="AA5438" s="10"/>
      <c r="AB5438" s="10"/>
      <c r="AC5438" s="10"/>
      <c r="AD5438" s="10"/>
      <c r="AE5438" s="10"/>
      <c r="AF5438" s="10"/>
      <c r="AG5438" s="10"/>
      <c r="AH5438" s="10"/>
    </row>
    <row r="5439" spans="1:34" outlineLevel="2">
      <c r="A5439" s="21"/>
      <c r="B5439" s="12" t="str">
        <f>IFERROR(VLOOKUP(D5439,'[1]Перечень товаров'!$A$2:$I9525,2,0),"")</f>
        <v>м187</v>
      </c>
      <c r="C5439" s="12" t="str">
        <f>IFERROR(VLOOKUP(D5439,'[1]Перечень товаров'!$A$2:$I9525,3,0),"")</f>
        <v>мебель</v>
      </c>
      <c r="D5439" s="22" t="s">
        <v>877</v>
      </c>
      <c r="E5439" s="203"/>
      <c r="F5439" s="203"/>
      <c r="G5439" s="24">
        <v>1</v>
      </c>
      <c r="H5439" s="24"/>
      <c r="I5439" s="25"/>
      <c r="J5439" s="25"/>
      <c r="K5439" s="19"/>
      <c r="L5439" s="20"/>
      <c r="M5439" s="10"/>
      <c r="N5439" s="10"/>
      <c r="O5439" s="10"/>
      <c r="P5439" s="10"/>
      <c r="Q5439" s="10"/>
      <c r="R5439" s="10"/>
      <c r="S5439" s="10"/>
      <c r="T5439" s="10"/>
      <c r="U5439" s="10"/>
      <c r="V5439" s="10"/>
      <c r="W5439" s="10"/>
      <c r="X5439" s="10"/>
      <c r="Y5439" s="10"/>
      <c r="Z5439" s="10"/>
      <c r="AA5439" s="10"/>
      <c r="AB5439" s="10"/>
      <c r="AC5439" s="10"/>
      <c r="AD5439" s="10"/>
      <c r="AE5439" s="10"/>
      <c r="AF5439" s="10"/>
      <c r="AG5439" s="10"/>
      <c r="AH5439" s="10"/>
    </row>
    <row r="5440" spans="1:34" outlineLevel="2">
      <c r="A5440" s="21"/>
      <c r="B5440" s="12" t="str">
        <f>IFERROR(VLOOKUP(D5440,'[1]Перечень товаров'!$A$2:$I9525,2,0),"")</f>
        <v>м30</v>
      </c>
      <c r="C5440" s="12" t="str">
        <f>IFERROR(VLOOKUP(D5440,'[1]Перечень товаров'!$A$2:$I9525,3,0),"")</f>
        <v>Мебель</v>
      </c>
      <c r="D5440" s="22" t="s">
        <v>181</v>
      </c>
      <c r="E5440" s="203"/>
      <c r="F5440" s="203"/>
      <c r="G5440" s="24">
        <v>2</v>
      </c>
      <c r="H5440" s="24"/>
      <c r="I5440" s="25"/>
      <c r="J5440" s="25"/>
      <c r="K5440" s="19"/>
      <c r="L5440" s="20"/>
      <c r="M5440" s="10"/>
      <c r="N5440" s="10"/>
      <c r="O5440" s="10"/>
      <c r="P5440" s="10"/>
      <c r="Q5440" s="10"/>
      <c r="R5440" s="10"/>
      <c r="S5440" s="10"/>
      <c r="T5440" s="10"/>
      <c r="U5440" s="10"/>
      <c r="V5440" s="10"/>
      <c r="W5440" s="10"/>
      <c r="X5440" s="10"/>
      <c r="Y5440" s="10"/>
      <c r="Z5440" s="10"/>
      <c r="AA5440" s="10"/>
      <c r="AB5440" s="10"/>
      <c r="AC5440" s="10"/>
      <c r="AD5440" s="10"/>
      <c r="AE5440" s="10"/>
      <c r="AF5440" s="10"/>
      <c r="AG5440" s="10"/>
      <c r="AH5440" s="10"/>
    </row>
    <row r="5441" spans="1:34" outlineLevel="2">
      <c r="A5441" s="21"/>
      <c r="B5441" s="12" t="str">
        <f>IFERROR(VLOOKUP(D5441,'[1]Перечень товаров'!$A$2:$I9525,2,0),"")</f>
        <v>м221</v>
      </c>
      <c r="C5441" s="12" t="str">
        <f>IFERROR(VLOOKUP(D5441,'[1]Перечень товаров'!$A$2:$I9525,3,0),"")</f>
        <v>Мебель</v>
      </c>
      <c r="D5441" s="22" t="s">
        <v>878</v>
      </c>
      <c r="E5441" s="203"/>
      <c r="F5441" s="203"/>
      <c r="G5441" s="24">
        <v>2</v>
      </c>
      <c r="H5441" s="24"/>
      <c r="I5441" s="25"/>
      <c r="J5441" s="25"/>
      <c r="K5441" s="19"/>
      <c r="L5441" s="20"/>
      <c r="M5441" s="10"/>
      <c r="N5441" s="10"/>
      <c r="O5441" s="10"/>
      <c r="P5441" s="10"/>
      <c r="Q5441" s="10"/>
      <c r="R5441" s="10"/>
      <c r="S5441" s="10"/>
      <c r="T5441" s="10"/>
      <c r="U5441" s="10"/>
      <c r="V5441" s="10"/>
      <c r="W5441" s="10"/>
      <c r="X5441" s="10"/>
      <c r="Y5441" s="10"/>
      <c r="Z5441" s="10"/>
      <c r="AA5441" s="10"/>
      <c r="AB5441" s="10"/>
      <c r="AC5441" s="10"/>
      <c r="AD5441" s="10"/>
      <c r="AE5441" s="10"/>
      <c r="AF5441" s="10"/>
      <c r="AG5441" s="10"/>
      <c r="AH5441" s="10"/>
    </row>
    <row r="5442" spans="1:34" ht="12.75" outlineLevel="1">
      <c r="A5442" s="11"/>
      <c r="B5442" s="12" t="str">
        <f>IFERROR(VLOOKUP(D5442,'[1]Перечень товаров'!$A$2:$I9525,2,0),"")</f>
        <v/>
      </c>
      <c r="C5442" s="12" t="str">
        <f>IFERROR(VLOOKUP(D5442,'[1]Перечень товаров'!$A$2:$I9525,3,0),"")</f>
        <v/>
      </c>
      <c r="D5442" s="27" t="s">
        <v>1577</v>
      </c>
      <c r="E5442" s="14">
        <v>3.3</v>
      </c>
      <c r="F5442" s="14"/>
      <c r="G5442" s="17"/>
      <c r="H5442" s="17"/>
      <c r="I5442" s="57"/>
      <c r="J5442" s="57"/>
      <c r="K5442" s="19"/>
      <c r="L5442" s="20"/>
      <c r="M5442" s="10"/>
      <c r="N5442" s="10"/>
      <c r="O5442" s="10"/>
      <c r="P5442" s="10"/>
      <c r="Q5442" s="10"/>
      <c r="R5442" s="10"/>
      <c r="S5442" s="10"/>
      <c r="T5442" s="10"/>
      <c r="U5442" s="10"/>
      <c r="V5442" s="10"/>
      <c r="W5442" s="10"/>
      <c r="X5442" s="10"/>
      <c r="Y5442" s="10"/>
      <c r="Z5442" s="10"/>
      <c r="AA5442" s="10"/>
      <c r="AB5442" s="10"/>
      <c r="AC5442" s="10"/>
      <c r="AD5442" s="10"/>
      <c r="AE5442" s="10"/>
      <c r="AF5442" s="10"/>
      <c r="AG5442" s="10"/>
      <c r="AH5442" s="10"/>
    </row>
    <row r="5443" spans="1:34" outlineLevel="2">
      <c r="A5443" s="43"/>
      <c r="B5443" s="12" t="str">
        <f>IFERROR(VLOOKUP(D5443,'[1]Перечень товаров'!$A$2:$I9525,2,0),"")</f>
        <v>м222</v>
      </c>
      <c r="C5443" s="12" t="str">
        <f>IFERROR(VLOOKUP(D5443,'[1]Перечень товаров'!$A$2:$I9525,3,0),"")</f>
        <v>Мебель</v>
      </c>
      <c r="D5443" s="44" t="s">
        <v>880</v>
      </c>
      <c r="E5443" s="102"/>
      <c r="F5443" s="102"/>
      <c r="G5443" s="24">
        <v>1</v>
      </c>
      <c r="H5443" s="24"/>
      <c r="I5443" s="25"/>
      <c r="J5443" s="25"/>
      <c r="K5443" s="19"/>
      <c r="L5443" s="20"/>
      <c r="M5443" s="10"/>
      <c r="N5443" s="10"/>
      <c r="O5443" s="10"/>
      <c r="P5443" s="10"/>
      <c r="Q5443" s="10"/>
      <c r="R5443" s="10"/>
      <c r="S5443" s="10"/>
      <c r="T5443" s="10"/>
      <c r="U5443" s="10"/>
      <c r="V5443" s="10"/>
      <c r="W5443" s="10"/>
      <c r="X5443" s="10"/>
      <c r="Y5443" s="10"/>
      <c r="Z5443" s="10"/>
      <c r="AA5443" s="10"/>
      <c r="AB5443" s="10"/>
      <c r="AC5443" s="10"/>
      <c r="AD5443" s="10"/>
      <c r="AE5443" s="10"/>
      <c r="AF5443" s="10"/>
      <c r="AG5443" s="10"/>
      <c r="AH5443" s="10"/>
    </row>
    <row r="5444" spans="1:34" outlineLevel="2">
      <c r="A5444" s="43"/>
      <c r="B5444" s="12" t="str">
        <f>IFERROR(VLOOKUP(D5444,'[1]Перечень товаров'!$A$2:$I9525,2,0),"")</f>
        <v>м223</v>
      </c>
      <c r="C5444" s="12" t="str">
        <f>IFERROR(VLOOKUP(D5444,'[1]Перечень товаров'!$A$2:$I9525,3,0),"")</f>
        <v>Мебель</v>
      </c>
      <c r="D5444" s="44" t="s">
        <v>881</v>
      </c>
      <c r="E5444" s="102"/>
      <c r="F5444" s="102"/>
      <c r="G5444" s="24">
        <v>1</v>
      </c>
      <c r="H5444" s="24"/>
      <c r="I5444" s="25"/>
      <c r="J5444" s="25"/>
      <c r="K5444" s="19"/>
      <c r="L5444" s="20"/>
      <c r="M5444" s="10"/>
      <c r="N5444" s="10"/>
      <c r="O5444" s="10"/>
      <c r="P5444" s="10"/>
      <c r="Q5444" s="10"/>
      <c r="R5444" s="10"/>
      <c r="S5444" s="10"/>
      <c r="T5444" s="10"/>
      <c r="U5444" s="10"/>
      <c r="V5444" s="10"/>
      <c r="W5444" s="10"/>
      <c r="X5444" s="10"/>
      <c r="Y5444" s="10"/>
      <c r="Z5444" s="10"/>
      <c r="AA5444" s="10"/>
      <c r="AB5444" s="10"/>
      <c r="AC5444" s="10"/>
      <c r="AD5444" s="10"/>
      <c r="AE5444" s="10"/>
      <c r="AF5444" s="10"/>
      <c r="AG5444" s="10"/>
      <c r="AH5444" s="10"/>
    </row>
    <row r="5445" spans="1:34" outlineLevel="2">
      <c r="A5445" s="43"/>
      <c r="B5445" s="12" t="str">
        <f>IFERROR(VLOOKUP(D5445,'[1]Перечень товаров'!$A$2:$I9525,2,0),"")</f>
        <v>м224</v>
      </c>
      <c r="C5445" s="12" t="str">
        <f>IFERROR(VLOOKUP(D5445,'[1]Перечень товаров'!$A$2:$I9525,3,0),"")</f>
        <v>Мебель</v>
      </c>
      <c r="D5445" s="44" t="s">
        <v>882</v>
      </c>
      <c r="E5445" s="102"/>
      <c r="F5445" s="102"/>
      <c r="G5445" s="24">
        <v>1</v>
      </c>
      <c r="H5445" s="24"/>
      <c r="I5445" s="25"/>
      <c r="J5445" s="25"/>
      <c r="K5445" s="19"/>
      <c r="L5445" s="20"/>
      <c r="M5445" s="10"/>
      <c r="N5445" s="10"/>
      <c r="O5445" s="10"/>
      <c r="P5445" s="10"/>
      <c r="Q5445" s="10"/>
      <c r="R5445" s="10"/>
      <c r="S5445" s="10"/>
      <c r="T5445" s="10"/>
      <c r="U5445" s="10"/>
      <c r="V5445" s="10"/>
      <c r="W5445" s="10"/>
      <c r="X5445" s="10"/>
      <c r="Y5445" s="10"/>
      <c r="Z5445" s="10"/>
      <c r="AA5445" s="10"/>
      <c r="AB5445" s="10"/>
      <c r="AC5445" s="10"/>
      <c r="AD5445" s="10"/>
      <c r="AE5445" s="10"/>
      <c r="AF5445" s="10"/>
      <c r="AG5445" s="10"/>
      <c r="AH5445" s="10"/>
    </row>
    <row r="5446" spans="1:34" outlineLevel="2">
      <c r="A5446" s="43"/>
      <c r="B5446" s="12" t="str">
        <f>IFERROR(VLOOKUP(D5446,'[1]Перечень товаров'!$A$2:$I9525,2,0),"")</f>
        <v>м225</v>
      </c>
      <c r="C5446" s="12" t="str">
        <f>IFERROR(VLOOKUP(D5446,'[1]Перечень товаров'!$A$2:$I9525,3,0),"")</f>
        <v>Мебель</v>
      </c>
      <c r="D5446" s="44" t="s">
        <v>883</v>
      </c>
      <c r="E5446" s="102"/>
      <c r="F5446" s="102"/>
      <c r="G5446" s="24">
        <v>1</v>
      </c>
      <c r="H5446" s="24"/>
      <c r="I5446" s="25"/>
      <c r="J5446" s="25"/>
      <c r="K5446" s="19"/>
      <c r="L5446" s="20"/>
      <c r="M5446" s="10"/>
      <c r="N5446" s="10"/>
      <c r="O5446" s="10"/>
      <c r="P5446" s="10"/>
      <c r="Q5446" s="10"/>
      <c r="R5446" s="10"/>
      <c r="S5446" s="10"/>
      <c r="T5446" s="10"/>
      <c r="U5446" s="10"/>
      <c r="V5446" s="10"/>
      <c r="W5446" s="10"/>
      <c r="X5446" s="10"/>
      <c r="Y5446" s="10"/>
      <c r="Z5446" s="10"/>
      <c r="AA5446" s="10"/>
      <c r="AB5446" s="10"/>
      <c r="AC5446" s="10"/>
      <c r="AD5446" s="10"/>
      <c r="AE5446" s="10"/>
      <c r="AF5446" s="10"/>
      <c r="AG5446" s="10"/>
      <c r="AH5446" s="10"/>
    </row>
    <row r="5447" spans="1:34" outlineLevel="2">
      <c r="A5447" s="43"/>
      <c r="B5447" s="12" t="str">
        <f>IFERROR(VLOOKUP(D5447,'[1]Перечень товаров'!$A$2:$I9525,2,0),"")</f>
        <v>п28</v>
      </c>
      <c r="C5447" s="12" t="str">
        <f>IFERROR(VLOOKUP(D5447,'[1]Перечень товаров'!$A$2:$I9525,3,0),"")</f>
        <v>Прочее</v>
      </c>
      <c r="D5447" s="44" t="s">
        <v>363</v>
      </c>
      <c r="E5447" s="102"/>
      <c r="F5447" s="102"/>
      <c r="G5447" s="24">
        <v>1</v>
      </c>
      <c r="H5447" s="24"/>
      <c r="I5447" s="25"/>
      <c r="J5447" s="25"/>
      <c r="K5447" s="19"/>
      <c r="L5447" s="20"/>
      <c r="M5447" s="10"/>
      <c r="N5447" s="10"/>
      <c r="O5447" s="10"/>
      <c r="P5447" s="10"/>
      <c r="Q5447" s="10"/>
      <c r="R5447" s="10"/>
      <c r="S5447" s="10"/>
      <c r="T5447" s="10"/>
      <c r="U5447" s="10"/>
      <c r="V5447" s="10"/>
      <c r="W5447" s="10"/>
      <c r="X5447" s="10"/>
      <c r="Y5447" s="10"/>
      <c r="Z5447" s="10"/>
      <c r="AA5447" s="10"/>
      <c r="AB5447" s="10"/>
      <c r="AC5447" s="10"/>
      <c r="AD5447" s="10"/>
      <c r="AE5447" s="10"/>
      <c r="AF5447" s="10"/>
      <c r="AG5447" s="10"/>
      <c r="AH5447" s="10"/>
    </row>
    <row r="5448" spans="1:34" outlineLevel="2">
      <c r="A5448" s="43"/>
      <c r="B5448" s="12" t="str">
        <f>IFERROR(VLOOKUP(D5448,'[1]Перечень товаров'!$A$2:$I9525,2,0),"")</f>
        <v>м226</v>
      </c>
      <c r="C5448" s="12" t="str">
        <f>IFERROR(VLOOKUP(D5448,'[1]Перечень товаров'!$A$2:$I9525,3,0),"")</f>
        <v>Мебель</v>
      </c>
      <c r="D5448" s="44" t="s">
        <v>884</v>
      </c>
      <c r="E5448" s="102"/>
      <c r="F5448" s="102"/>
      <c r="G5448" s="24">
        <v>1</v>
      </c>
      <c r="H5448" s="24"/>
      <c r="I5448" s="25"/>
      <c r="J5448" s="25"/>
      <c r="K5448" s="19"/>
      <c r="L5448" s="20"/>
      <c r="M5448" s="10"/>
      <c r="N5448" s="10"/>
      <c r="O5448" s="10"/>
      <c r="P5448" s="10"/>
      <c r="Q5448" s="10"/>
      <c r="R5448" s="10"/>
      <c r="S5448" s="10"/>
      <c r="T5448" s="10"/>
      <c r="U5448" s="10"/>
      <c r="V5448" s="10"/>
      <c r="W5448" s="10"/>
      <c r="X5448" s="10"/>
      <c r="Y5448" s="10"/>
      <c r="Z5448" s="10"/>
      <c r="AA5448" s="10"/>
      <c r="AB5448" s="10"/>
      <c r="AC5448" s="10"/>
      <c r="AD5448" s="10"/>
      <c r="AE5448" s="10"/>
      <c r="AF5448" s="10"/>
      <c r="AG5448" s="10"/>
      <c r="AH5448" s="10"/>
    </row>
    <row r="5449" spans="1:34" outlineLevel="1">
      <c r="A5449" s="21"/>
      <c r="B5449" s="12" t="str">
        <f>IFERROR(VLOOKUP(D5449,'[1]Перечень товаров'!$A$2:$I9525,2,0),"")</f>
        <v/>
      </c>
      <c r="C5449" s="12" t="str">
        <f>IFERROR(VLOOKUP(D5449,'[1]Перечень товаров'!$A$2:$I9525,3,0),"")</f>
        <v/>
      </c>
      <c r="D5449" s="22" t="s">
        <v>934</v>
      </c>
      <c r="E5449" s="23">
        <v>2</v>
      </c>
      <c r="F5449" s="23"/>
      <c r="G5449" s="24"/>
      <c r="H5449" s="24"/>
      <c r="I5449" s="25"/>
      <c r="J5449" s="25"/>
      <c r="K5449" s="19"/>
      <c r="L5449" s="20"/>
      <c r="M5449" s="10"/>
      <c r="N5449" s="10"/>
      <c r="O5449" s="10"/>
      <c r="P5449" s="10"/>
      <c r="Q5449" s="10"/>
      <c r="R5449" s="10"/>
      <c r="S5449" s="10"/>
      <c r="T5449" s="10"/>
      <c r="U5449" s="10"/>
      <c r="V5449" s="10"/>
      <c r="W5449" s="10"/>
      <c r="X5449" s="10"/>
      <c r="Y5449" s="10"/>
      <c r="Z5449" s="10"/>
      <c r="AA5449" s="10"/>
      <c r="AB5449" s="10"/>
      <c r="AC5449" s="10"/>
      <c r="AD5449" s="10"/>
      <c r="AE5449" s="10"/>
      <c r="AF5449" s="10"/>
      <c r="AG5449" s="10"/>
      <c r="AH5449" s="10"/>
    </row>
    <row r="5450" spans="1:34" ht="12.75" outlineLevel="1">
      <c r="A5450" s="11"/>
      <c r="B5450" s="12" t="str">
        <f>IFERROR(VLOOKUP(D5450,'[1]Перечень товаров'!$A$2:$I9525,2,0),"")</f>
        <v/>
      </c>
      <c r="C5450" s="12" t="str">
        <f>IFERROR(VLOOKUP(D5450,'[1]Перечень товаров'!$A$2:$I9525,3,0),"")</f>
        <v/>
      </c>
      <c r="D5450" s="27" t="s">
        <v>521</v>
      </c>
      <c r="E5450" s="14">
        <v>2.2999999999999998</v>
      </c>
      <c r="F5450" s="14"/>
      <c r="G5450" s="17"/>
      <c r="H5450" s="17"/>
      <c r="I5450" s="57"/>
      <c r="J5450" s="57"/>
      <c r="K5450" s="19"/>
      <c r="L5450" s="20"/>
      <c r="M5450" s="10"/>
      <c r="N5450" s="10"/>
      <c r="O5450" s="10"/>
      <c r="P5450" s="10"/>
      <c r="Q5450" s="10"/>
      <c r="R5450" s="10"/>
      <c r="S5450" s="10"/>
      <c r="T5450" s="10"/>
      <c r="U5450" s="10"/>
      <c r="V5450" s="10"/>
      <c r="W5450" s="10"/>
      <c r="X5450" s="10"/>
      <c r="Y5450" s="10"/>
      <c r="Z5450" s="10"/>
      <c r="AA5450" s="10"/>
      <c r="AB5450" s="10"/>
      <c r="AC5450" s="10"/>
      <c r="AD5450" s="10"/>
      <c r="AE5450" s="10"/>
      <c r="AF5450" s="10"/>
      <c r="AG5450" s="10"/>
      <c r="AH5450" s="10"/>
    </row>
    <row r="5451" spans="1:34" outlineLevel="2">
      <c r="A5451" s="22"/>
      <c r="B5451" s="12" t="str">
        <f>IFERROR(VLOOKUP(D5451,'[1]Перечень товаров'!$A$2:$I9525,2,0),"")</f>
        <v>п25</v>
      </c>
      <c r="C5451" s="12" t="str">
        <f>IFERROR(VLOOKUP(D5451,'[1]Перечень товаров'!$A$2:$I9525,3,0),"")</f>
        <v>Прочее</v>
      </c>
      <c r="D5451" s="22" t="s">
        <v>360</v>
      </c>
      <c r="E5451" s="102"/>
      <c r="F5451" s="102"/>
      <c r="G5451" s="48">
        <v>3</v>
      </c>
      <c r="H5451" s="48"/>
      <c r="I5451" s="49"/>
      <c r="J5451" s="49"/>
      <c r="K5451" s="33"/>
      <c r="L5451" s="20"/>
      <c r="M5451" s="10"/>
      <c r="N5451" s="10"/>
      <c r="O5451" s="10"/>
      <c r="P5451" s="10"/>
      <c r="Q5451" s="10"/>
      <c r="R5451" s="10"/>
      <c r="S5451" s="10"/>
      <c r="T5451" s="10"/>
      <c r="U5451" s="10"/>
      <c r="V5451" s="10"/>
      <c r="W5451" s="10"/>
      <c r="X5451" s="10"/>
      <c r="Y5451" s="10"/>
      <c r="Z5451" s="10"/>
      <c r="AA5451" s="10"/>
      <c r="AB5451" s="10"/>
      <c r="AC5451" s="10"/>
      <c r="AD5451" s="10"/>
      <c r="AE5451" s="10"/>
      <c r="AF5451" s="10"/>
      <c r="AG5451" s="10"/>
      <c r="AH5451" s="10"/>
    </row>
    <row r="5452" spans="1:34" outlineLevel="2">
      <c r="A5452" s="21"/>
      <c r="B5452" s="12" t="str">
        <f>IFERROR(VLOOKUP(D5452,'[1]Перечень товаров'!$A$2:$I9525,2,0),"")</f>
        <v>п26</v>
      </c>
      <c r="C5452" s="12" t="str">
        <f>IFERROR(VLOOKUP(D5452,'[1]Перечень товаров'!$A$2:$I9525,3,0),"")</f>
        <v>Прочее</v>
      </c>
      <c r="D5452" s="22" t="s">
        <v>361</v>
      </c>
      <c r="E5452" s="102"/>
      <c r="F5452" s="102"/>
      <c r="G5452" s="48">
        <v>2</v>
      </c>
      <c r="H5452" s="48"/>
      <c r="I5452" s="49"/>
      <c r="J5452" s="49"/>
      <c r="K5452" s="33"/>
      <c r="L5452" s="20"/>
      <c r="M5452" s="10"/>
      <c r="N5452" s="10"/>
      <c r="O5452" s="10"/>
      <c r="P5452" s="10"/>
      <c r="Q5452" s="10"/>
      <c r="R5452" s="10"/>
      <c r="S5452" s="10"/>
      <c r="T5452" s="10"/>
      <c r="U5452" s="10"/>
      <c r="V5452" s="10"/>
      <c r="W5452" s="10"/>
      <c r="X5452" s="10"/>
      <c r="Y5452" s="10"/>
      <c r="Z5452" s="10"/>
      <c r="AA5452" s="10"/>
      <c r="AB5452" s="10"/>
      <c r="AC5452" s="10"/>
      <c r="AD5452" s="10"/>
      <c r="AE5452" s="10"/>
      <c r="AF5452" s="10"/>
      <c r="AG5452" s="10"/>
      <c r="AH5452" s="10"/>
    </row>
    <row r="5453" spans="1:34" outlineLevel="2">
      <c r="A5453" s="21"/>
      <c r="B5453" s="12" t="str">
        <f>IFERROR(VLOOKUP(D5453,'[1]Перечень товаров'!$A$2:$I9525,2,0),"")</f>
        <v>п27</v>
      </c>
      <c r="C5453" s="12" t="str">
        <f>IFERROR(VLOOKUP(D5453,'[1]Перечень товаров'!$A$2:$I9525,3,0),"")</f>
        <v>Прочее</v>
      </c>
      <c r="D5453" s="22" t="s">
        <v>362</v>
      </c>
      <c r="E5453" s="102"/>
      <c r="F5453" s="102"/>
      <c r="G5453" s="48">
        <v>2</v>
      </c>
      <c r="H5453" s="48"/>
      <c r="I5453" s="49"/>
      <c r="J5453" s="49"/>
      <c r="K5453" s="33"/>
      <c r="L5453" s="20"/>
      <c r="M5453" s="10"/>
      <c r="N5453" s="10"/>
      <c r="O5453" s="10"/>
      <c r="P5453" s="10"/>
      <c r="Q5453" s="10"/>
      <c r="R5453" s="10"/>
      <c r="S5453" s="10"/>
      <c r="T5453" s="10"/>
      <c r="U5453" s="10"/>
      <c r="V5453" s="10"/>
      <c r="W5453" s="10"/>
      <c r="X5453" s="10"/>
      <c r="Y5453" s="10"/>
      <c r="Z5453" s="10"/>
      <c r="AA5453" s="10"/>
      <c r="AB5453" s="10"/>
      <c r="AC5453" s="10"/>
      <c r="AD5453" s="10"/>
      <c r="AE5453" s="10"/>
      <c r="AF5453" s="10"/>
      <c r="AG5453" s="10"/>
      <c r="AH5453" s="10"/>
    </row>
    <row r="5454" spans="1:34" outlineLevel="2">
      <c r="A5454" s="21"/>
      <c r="B5454" s="12" t="str">
        <f>IFERROR(VLOOKUP(D5454,'[1]Перечень товаров'!$A$2:$I9525,2,0),"")</f>
        <v>п28</v>
      </c>
      <c r="C5454" s="12" t="str">
        <f>IFERROR(VLOOKUP(D5454,'[1]Перечень товаров'!$A$2:$I9525,3,0),"")</f>
        <v>Прочее</v>
      </c>
      <c r="D5454" s="22" t="s">
        <v>363</v>
      </c>
      <c r="E5454" s="102"/>
      <c r="F5454" s="102"/>
      <c r="G5454" s="48">
        <v>1</v>
      </c>
      <c r="H5454" s="48"/>
      <c r="I5454" s="49"/>
      <c r="J5454" s="49"/>
      <c r="K5454" s="33"/>
      <c r="L5454" s="20"/>
      <c r="M5454" s="10"/>
      <c r="N5454" s="10"/>
      <c r="O5454" s="10"/>
      <c r="P5454" s="10"/>
      <c r="Q5454" s="10"/>
      <c r="R5454" s="10"/>
      <c r="S5454" s="10"/>
      <c r="T5454" s="10"/>
      <c r="U5454" s="10"/>
      <c r="V5454" s="10"/>
      <c r="W5454" s="10"/>
      <c r="X5454" s="10"/>
      <c r="Y5454" s="10"/>
      <c r="Z5454" s="10"/>
      <c r="AA5454" s="10"/>
      <c r="AB5454" s="10"/>
      <c r="AC5454" s="10"/>
      <c r="AD5454" s="10"/>
      <c r="AE5454" s="10"/>
      <c r="AF5454" s="10"/>
      <c r="AG5454" s="10"/>
      <c r="AH5454" s="10"/>
    </row>
    <row r="5455" spans="1:34" outlineLevel="2">
      <c r="A5455" s="21"/>
      <c r="B5455" s="12" t="str">
        <f>IFERROR(VLOOKUP(D5455,'[1]Перечень товаров'!$A$2:$I9525,2,0),"")</f>
        <v>п29</v>
      </c>
      <c r="C5455" s="12" t="str">
        <f>IFERROR(VLOOKUP(D5455,'[1]Перечень товаров'!$A$2:$I9525,3,0),"")</f>
        <v>Прочее</v>
      </c>
      <c r="D5455" s="22" t="s">
        <v>364</v>
      </c>
      <c r="E5455" s="102"/>
      <c r="F5455" s="102"/>
      <c r="G5455" s="48">
        <v>6</v>
      </c>
      <c r="H5455" s="48"/>
      <c r="I5455" s="49"/>
      <c r="J5455" s="49"/>
      <c r="K5455" s="33"/>
      <c r="L5455" s="20"/>
      <c r="M5455" s="10"/>
      <c r="N5455" s="10"/>
      <c r="O5455" s="10"/>
      <c r="P5455" s="10"/>
      <c r="Q5455" s="10"/>
      <c r="R5455" s="10"/>
      <c r="S5455" s="10"/>
      <c r="T5455" s="10"/>
      <c r="U5455" s="10"/>
      <c r="V5455" s="10"/>
      <c r="W5455" s="10"/>
      <c r="X5455" s="10"/>
      <c r="Y5455" s="10"/>
      <c r="Z5455" s="10"/>
      <c r="AA5455" s="10"/>
      <c r="AB5455" s="10"/>
      <c r="AC5455" s="10"/>
      <c r="AD5455" s="10"/>
      <c r="AE5455" s="10"/>
      <c r="AF5455" s="10"/>
      <c r="AG5455" s="10"/>
      <c r="AH5455" s="10"/>
    </row>
    <row r="5456" spans="1:34" outlineLevel="2">
      <c r="A5456" s="21"/>
      <c r="B5456" s="12" t="str">
        <f>IFERROR(VLOOKUP(D5456,'[1]Перечень товаров'!$A$2:$I9525,2,0),"")</f>
        <v>п30</v>
      </c>
      <c r="C5456" s="12" t="str">
        <f>IFERROR(VLOOKUP(D5456,'[1]Перечень товаров'!$A$2:$I9525,3,0),"")</f>
        <v>Прочее</v>
      </c>
      <c r="D5456" s="22" t="s">
        <v>365</v>
      </c>
      <c r="E5456" s="102"/>
      <c r="F5456" s="102"/>
      <c r="G5456" s="48">
        <v>2</v>
      </c>
      <c r="H5456" s="48"/>
      <c r="I5456" s="49"/>
      <c r="J5456" s="49"/>
      <c r="K5456" s="33"/>
      <c r="L5456" s="20"/>
      <c r="M5456" s="10"/>
      <c r="N5456" s="10"/>
      <c r="O5456" s="10"/>
      <c r="P5456" s="10"/>
      <c r="Q5456" s="10"/>
      <c r="R5456" s="10"/>
      <c r="S5456" s="10"/>
      <c r="T5456" s="10"/>
      <c r="U5456" s="10"/>
      <c r="V5456" s="10"/>
      <c r="W5456" s="10"/>
      <c r="X5456" s="10"/>
      <c r="Y5456" s="10"/>
      <c r="Z5456" s="10"/>
      <c r="AA5456" s="10"/>
      <c r="AB5456" s="10"/>
      <c r="AC5456" s="10"/>
      <c r="AD5456" s="10"/>
      <c r="AE5456" s="10"/>
      <c r="AF5456" s="10"/>
      <c r="AG5456" s="10"/>
      <c r="AH5456" s="10"/>
    </row>
    <row r="5457" spans="1:34" ht="31.5" outlineLevel="2">
      <c r="A5457" s="21"/>
      <c r="B5457" s="12" t="str">
        <f>IFERROR(VLOOKUP(D5457,'[1]Перечень товаров'!$A$2:$I9525,2,0),"")</f>
        <v>п31</v>
      </c>
      <c r="C5457" s="12" t="str">
        <f>IFERROR(VLOOKUP(D5457,'[1]Перечень товаров'!$A$2:$I9525,3,0),"")</f>
        <v>Прочее</v>
      </c>
      <c r="D5457" s="22" t="s">
        <v>366</v>
      </c>
      <c r="E5457" s="102"/>
      <c r="F5457" s="102"/>
      <c r="G5457" s="48">
        <v>1</v>
      </c>
      <c r="H5457" s="48"/>
      <c r="I5457" s="49"/>
      <c r="J5457" s="49"/>
      <c r="K5457" s="33"/>
      <c r="L5457" s="20"/>
      <c r="M5457" s="10"/>
      <c r="N5457" s="10"/>
      <c r="O5457" s="10"/>
      <c r="P5457" s="10"/>
      <c r="Q5457" s="10"/>
      <c r="R5457" s="10"/>
      <c r="S5457" s="10"/>
      <c r="T5457" s="10"/>
      <c r="U5457" s="10"/>
      <c r="V5457" s="10"/>
      <c r="W5457" s="10"/>
      <c r="X5457" s="10"/>
      <c r="Y5457" s="10"/>
      <c r="Z5457" s="10"/>
      <c r="AA5457" s="10"/>
      <c r="AB5457" s="10"/>
      <c r="AC5457" s="10"/>
      <c r="AD5457" s="10"/>
      <c r="AE5457" s="10"/>
      <c r="AF5457" s="10"/>
      <c r="AG5457" s="10"/>
      <c r="AH5457" s="10"/>
    </row>
    <row r="5458" spans="1:34" ht="31.5" outlineLevel="2">
      <c r="A5458" s="21"/>
      <c r="B5458" s="12" t="str">
        <f>IFERROR(VLOOKUP(D5458,'[1]Перечень товаров'!$A$2:$I9525,2,0),"")</f>
        <v>п32</v>
      </c>
      <c r="C5458" s="12" t="str">
        <f>IFERROR(VLOOKUP(D5458,'[1]Перечень товаров'!$A$2:$I9525,3,0),"")</f>
        <v>Прочее</v>
      </c>
      <c r="D5458" s="22" t="s">
        <v>367</v>
      </c>
      <c r="E5458" s="102"/>
      <c r="F5458" s="102"/>
      <c r="G5458" s="48">
        <v>2</v>
      </c>
      <c r="H5458" s="48"/>
      <c r="I5458" s="49"/>
      <c r="J5458" s="49"/>
      <c r="K5458" s="33"/>
      <c r="L5458" s="20"/>
      <c r="M5458" s="10"/>
      <c r="N5458" s="10"/>
      <c r="O5458" s="10"/>
      <c r="P5458" s="10"/>
      <c r="Q5458" s="10"/>
      <c r="R5458" s="10"/>
      <c r="S5458" s="10"/>
      <c r="T5458" s="10"/>
      <c r="U5458" s="10"/>
      <c r="V5458" s="10"/>
      <c r="W5458" s="10"/>
      <c r="X5458" s="10"/>
      <c r="Y5458" s="10"/>
      <c r="Z5458" s="10"/>
      <c r="AA5458" s="10"/>
      <c r="AB5458" s="10"/>
      <c r="AC5458" s="10"/>
      <c r="AD5458" s="10"/>
      <c r="AE5458" s="10"/>
      <c r="AF5458" s="10"/>
      <c r="AG5458" s="10"/>
      <c r="AH5458" s="10"/>
    </row>
    <row r="5459" spans="1:34" ht="12.75" outlineLevel="1">
      <c r="A5459" s="11"/>
      <c r="B5459" s="12" t="str">
        <f>IFERROR(VLOOKUP(D5459,'[1]Перечень товаров'!$A$2:$I9525,2,0),"")</f>
        <v/>
      </c>
      <c r="C5459" s="12" t="str">
        <f>IFERROR(VLOOKUP(D5459,'[1]Перечень товаров'!$A$2:$I9525,3,0),"")</f>
        <v/>
      </c>
      <c r="D5459" s="27" t="s">
        <v>1579</v>
      </c>
      <c r="E5459" s="14">
        <v>19.600000000000001</v>
      </c>
      <c r="F5459" s="14"/>
      <c r="G5459" s="17"/>
      <c r="H5459" s="17"/>
      <c r="I5459" s="57"/>
      <c r="J5459" s="57"/>
      <c r="K5459" s="19"/>
      <c r="L5459" s="20"/>
      <c r="M5459" s="10"/>
      <c r="N5459" s="10"/>
      <c r="O5459" s="10"/>
      <c r="P5459" s="10"/>
      <c r="Q5459" s="10"/>
      <c r="R5459" s="10"/>
      <c r="S5459" s="10"/>
      <c r="T5459" s="10"/>
      <c r="U5459" s="10"/>
      <c r="V5459" s="10"/>
      <c r="W5459" s="10"/>
      <c r="X5459" s="10"/>
      <c r="Y5459" s="10"/>
      <c r="Z5459" s="10"/>
      <c r="AA5459" s="10"/>
      <c r="AB5459" s="10"/>
      <c r="AC5459" s="10"/>
      <c r="AD5459" s="10"/>
      <c r="AE5459" s="10"/>
      <c r="AF5459" s="10"/>
      <c r="AG5459" s="10"/>
      <c r="AH5459" s="10"/>
    </row>
    <row r="5460" spans="1:34" outlineLevel="2">
      <c r="A5460" s="21"/>
      <c r="B5460" s="12" t="str">
        <f>IFERROR(VLOOKUP(D5460,'[1]Перечень товаров'!$A$2:$I9525,2,0),"")</f>
        <v>тм152</v>
      </c>
      <c r="C5460" s="12" t="str">
        <f>IFERROR(VLOOKUP(D5460,'[1]Перечень товаров'!$A$2:$I9525,3,0),"")</f>
        <v>Техника муз</v>
      </c>
      <c r="D5460" s="22" t="s">
        <v>1572</v>
      </c>
      <c r="E5460" s="23"/>
      <c r="F5460" s="23"/>
      <c r="G5460" s="24">
        <v>2</v>
      </c>
      <c r="H5460" s="24"/>
      <c r="I5460" s="25"/>
      <c r="J5460" s="25"/>
      <c r="K5460" s="19"/>
      <c r="L5460" s="20"/>
      <c r="M5460" s="10"/>
      <c r="N5460" s="10"/>
      <c r="O5460" s="10"/>
      <c r="P5460" s="10"/>
      <c r="Q5460" s="10"/>
      <c r="R5460" s="10"/>
      <c r="S5460" s="10"/>
      <c r="T5460" s="10"/>
      <c r="U5460" s="10"/>
      <c r="V5460" s="10"/>
      <c r="W5460" s="10"/>
      <c r="X5460" s="10"/>
      <c r="Y5460" s="10"/>
      <c r="Z5460" s="10"/>
      <c r="AA5460" s="10"/>
      <c r="AB5460" s="10"/>
      <c r="AC5460" s="10"/>
      <c r="AD5460" s="10"/>
      <c r="AE5460" s="10"/>
      <c r="AF5460" s="10"/>
      <c r="AG5460" s="10"/>
      <c r="AH5460" s="10"/>
    </row>
    <row r="5461" spans="1:34" outlineLevel="2">
      <c r="A5461" s="21"/>
      <c r="B5461" s="12" t="str">
        <f>IFERROR(VLOOKUP(D5461,'[1]Перечень товаров'!$A$2:$I9525,2,0),"")</f>
        <v>м137</v>
      </c>
      <c r="C5461" s="12" t="str">
        <f>IFERROR(VLOOKUP(D5461,'[1]Перечень товаров'!$A$2:$I9525,3,0),"")</f>
        <v>мебель</v>
      </c>
      <c r="D5461" s="22" t="s">
        <v>876</v>
      </c>
      <c r="E5461" s="23"/>
      <c r="F5461" s="23"/>
      <c r="G5461" s="24">
        <v>2</v>
      </c>
      <c r="H5461" s="24"/>
      <c r="I5461" s="25"/>
      <c r="J5461" s="25"/>
      <c r="K5461" s="19"/>
      <c r="L5461" s="20"/>
      <c r="M5461" s="10"/>
      <c r="N5461" s="10"/>
      <c r="O5461" s="10"/>
      <c r="P5461" s="10"/>
      <c r="Q5461" s="10"/>
      <c r="R5461" s="10"/>
      <c r="S5461" s="10"/>
      <c r="T5461" s="10"/>
      <c r="U5461" s="10"/>
      <c r="V5461" s="10"/>
      <c r="W5461" s="10"/>
      <c r="X5461" s="10"/>
      <c r="Y5461" s="10"/>
      <c r="Z5461" s="10"/>
      <c r="AA5461" s="10"/>
      <c r="AB5461" s="10"/>
      <c r="AC5461" s="10"/>
      <c r="AD5461" s="10"/>
      <c r="AE5461" s="10"/>
      <c r="AF5461" s="10"/>
      <c r="AG5461" s="10"/>
      <c r="AH5461" s="10"/>
    </row>
    <row r="5462" spans="1:34" outlineLevel="2">
      <c r="A5462" s="21"/>
      <c r="B5462" s="12" t="str">
        <f>IFERROR(VLOOKUP(D5462,'[1]Перечень товаров'!$A$2:$I9525,2,0),"")</f>
        <v>м187</v>
      </c>
      <c r="C5462" s="12" t="str">
        <f>IFERROR(VLOOKUP(D5462,'[1]Перечень товаров'!$A$2:$I9525,3,0),"")</f>
        <v>мебель</v>
      </c>
      <c r="D5462" s="22" t="s">
        <v>877</v>
      </c>
      <c r="E5462" s="23"/>
      <c r="F5462" s="23"/>
      <c r="G5462" s="24">
        <v>2</v>
      </c>
      <c r="H5462" s="24"/>
      <c r="I5462" s="25"/>
      <c r="J5462" s="25"/>
      <c r="K5462" s="19"/>
      <c r="L5462" s="20"/>
      <c r="M5462" s="10"/>
      <c r="N5462" s="10"/>
      <c r="O5462" s="10"/>
      <c r="P5462" s="10"/>
      <c r="Q5462" s="10"/>
      <c r="R5462" s="10"/>
      <c r="S5462" s="10"/>
      <c r="T5462" s="10"/>
      <c r="U5462" s="10"/>
      <c r="V5462" s="10"/>
      <c r="W5462" s="10"/>
      <c r="X5462" s="10"/>
      <c r="Y5462" s="10"/>
      <c r="Z5462" s="10"/>
      <c r="AA5462" s="10"/>
      <c r="AB5462" s="10"/>
      <c r="AC5462" s="10"/>
      <c r="AD5462" s="10"/>
      <c r="AE5462" s="10"/>
      <c r="AF5462" s="10"/>
      <c r="AG5462" s="10"/>
      <c r="AH5462" s="10"/>
    </row>
    <row r="5463" spans="1:34" outlineLevel="2">
      <c r="A5463" s="21"/>
      <c r="B5463" s="12" t="str">
        <f>IFERROR(VLOOKUP(D5463,'[1]Перечень товаров'!$A$2:$I9525,2,0),"")</f>
        <v>м9</v>
      </c>
      <c r="C5463" s="12" t="str">
        <f>IFERROR(VLOOKUP(D5463,'[1]Перечень товаров'!$A$2:$I9525,3,0),"")</f>
        <v>Мебель</v>
      </c>
      <c r="D5463" s="22" t="s">
        <v>26</v>
      </c>
      <c r="E5463" s="23"/>
      <c r="F5463" s="23"/>
      <c r="G5463" s="24">
        <v>4</v>
      </c>
      <c r="H5463" s="24"/>
      <c r="I5463" s="25"/>
      <c r="J5463" s="25"/>
      <c r="K5463" s="19"/>
      <c r="L5463" s="20"/>
      <c r="M5463" s="10"/>
      <c r="N5463" s="10"/>
      <c r="O5463" s="10"/>
      <c r="P5463" s="10"/>
      <c r="Q5463" s="10"/>
      <c r="R5463" s="10"/>
      <c r="S5463" s="10"/>
      <c r="T5463" s="10"/>
      <c r="U5463" s="10"/>
      <c r="V5463" s="10"/>
      <c r="W5463" s="10"/>
      <c r="X5463" s="10"/>
      <c r="Y5463" s="10"/>
      <c r="Z5463" s="10"/>
      <c r="AA5463" s="10"/>
      <c r="AB5463" s="10"/>
      <c r="AC5463" s="10"/>
      <c r="AD5463" s="10"/>
      <c r="AE5463" s="10"/>
      <c r="AF5463" s="10"/>
      <c r="AG5463" s="10"/>
      <c r="AH5463" s="10"/>
    </row>
    <row r="5464" spans="1:34" outlineLevel="2">
      <c r="A5464" s="21"/>
      <c r="B5464" s="12" t="str">
        <f>IFERROR(VLOOKUP(D5464,'[1]Перечень товаров'!$A$2:$I9525,2,0),"")</f>
        <v>м221</v>
      </c>
      <c r="C5464" s="12" t="str">
        <f>IFERROR(VLOOKUP(D5464,'[1]Перечень товаров'!$A$2:$I9525,3,0),"")</f>
        <v>Мебель</v>
      </c>
      <c r="D5464" s="22" t="s">
        <v>878</v>
      </c>
      <c r="E5464" s="23"/>
      <c r="F5464" s="23"/>
      <c r="G5464" s="24">
        <v>1</v>
      </c>
      <c r="H5464" s="24"/>
      <c r="I5464" s="25"/>
      <c r="J5464" s="25"/>
      <c r="K5464" s="19"/>
      <c r="L5464" s="20"/>
      <c r="M5464" s="10"/>
      <c r="N5464" s="10"/>
      <c r="O5464" s="10"/>
      <c r="P5464" s="10"/>
      <c r="Q5464" s="10"/>
      <c r="R5464" s="10"/>
      <c r="S5464" s="10"/>
      <c r="T5464" s="10"/>
      <c r="U5464" s="10"/>
      <c r="V5464" s="10"/>
      <c r="W5464" s="10"/>
      <c r="X5464" s="10"/>
      <c r="Y5464" s="10"/>
      <c r="Z5464" s="10"/>
      <c r="AA5464" s="10"/>
      <c r="AB5464" s="10"/>
      <c r="AC5464" s="10"/>
      <c r="AD5464" s="10"/>
      <c r="AE5464" s="10"/>
      <c r="AF5464" s="10"/>
      <c r="AG5464" s="10"/>
      <c r="AH5464" s="10"/>
    </row>
    <row r="5465" spans="1:34" ht="31.5" outlineLevel="2">
      <c r="A5465" s="21"/>
      <c r="B5465" s="12" t="str">
        <f>IFERROR(VLOOKUP(D5465,'[1]Перечень товаров'!$A$2:$I9525,2,0),"")</f>
        <v>м138</v>
      </c>
      <c r="C5465" s="12" t="str">
        <f>IFERROR(VLOOKUP(D5465,'[1]Перечень товаров'!$A$2:$I9525,3,0),"")</f>
        <v>мебель</v>
      </c>
      <c r="D5465" s="22" t="s">
        <v>1573</v>
      </c>
      <c r="E5465" s="23"/>
      <c r="F5465" s="23"/>
      <c r="G5465" s="24">
        <v>1</v>
      </c>
      <c r="H5465" s="24"/>
      <c r="I5465" s="25"/>
      <c r="J5465" s="25"/>
      <c r="K5465" s="19"/>
      <c r="L5465" s="20"/>
      <c r="M5465" s="10"/>
      <c r="N5465" s="10"/>
      <c r="O5465" s="10"/>
      <c r="P5465" s="10"/>
      <c r="Q5465" s="10"/>
      <c r="R5465" s="10"/>
      <c r="S5465" s="10"/>
      <c r="T5465" s="10"/>
      <c r="U5465" s="10"/>
      <c r="V5465" s="10"/>
      <c r="W5465" s="10"/>
      <c r="X5465" s="10"/>
      <c r="Y5465" s="10"/>
      <c r="Z5465" s="10"/>
      <c r="AA5465" s="10"/>
      <c r="AB5465" s="10"/>
      <c r="AC5465" s="10"/>
      <c r="AD5465" s="10"/>
      <c r="AE5465" s="10"/>
      <c r="AF5465" s="10"/>
      <c r="AG5465" s="10"/>
      <c r="AH5465" s="10"/>
    </row>
    <row r="5466" spans="1:34" ht="12.75" outlineLevel="1">
      <c r="A5466" s="11"/>
      <c r="B5466" s="12" t="str">
        <f>IFERROR(VLOOKUP(D5466,'[1]Перечень товаров'!$A$2:$I9525,2,0),"")</f>
        <v/>
      </c>
      <c r="C5466" s="12" t="str">
        <f>IFERROR(VLOOKUP(D5466,'[1]Перечень товаров'!$A$2:$I9525,3,0),"")</f>
        <v/>
      </c>
      <c r="D5466" s="27" t="s">
        <v>1580</v>
      </c>
      <c r="E5466" s="14">
        <v>23</v>
      </c>
      <c r="F5466" s="14"/>
      <c r="G5466" s="17"/>
      <c r="H5466" s="17"/>
      <c r="I5466" s="57"/>
      <c r="J5466" s="57"/>
      <c r="K5466" s="19"/>
      <c r="L5466" s="20"/>
      <c r="M5466" s="10"/>
      <c r="N5466" s="10"/>
      <c r="O5466" s="10"/>
      <c r="P5466" s="10"/>
      <c r="Q5466" s="10"/>
      <c r="R5466" s="10"/>
      <c r="S5466" s="10"/>
      <c r="T5466" s="10"/>
      <c r="U5466" s="10"/>
      <c r="V5466" s="10"/>
      <c r="W5466" s="10"/>
      <c r="X5466" s="10"/>
      <c r="Y5466" s="10"/>
      <c r="Z5466" s="10"/>
      <c r="AA5466" s="10"/>
      <c r="AB5466" s="10"/>
      <c r="AC5466" s="10"/>
      <c r="AD5466" s="10"/>
      <c r="AE5466" s="10"/>
      <c r="AF5466" s="10"/>
      <c r="AG5466" s="10"/>
      <c r="AH5466" s="10"/>
    </row>
    <row r="5467" spans="1:34" outlineLevel="2">
      <c r="A5467" s="21"/>
      <c r="B5467" s="12" t="str">
        <f>IFERROR(VLOOKUP(D5467,'[1]Перечень товаров'!$A$2:$I9525,2,0),"")</f>
        <v>тм152</v>
      </c>
      <c r="C5467" s="12" t="str">
        <f>IFERROR(VLOOKUP(D5467,'[1]Перечень товаров'!$A$2:$I9525,3,0),"")</f>
        <v>Техника муз</v>
      </c>
      <c r="D5467" s="22" t="s">
        <v>1572</v>
      </c>
      <c r="E5467" s="23"/>
      <c r="F5467" s="23"/>
      <c r="G5467" s="24">
        <v>2</v>
      </c>
      <c r="H5467" s="24"/>
      <c r="I5467" s="25"/>
      <c r="J5467" s="25"/>
      <c r="K5467" s="19"/>
      <c r="L5467" s="20"/>
      <c r="M5467" s="10"/>
      <c r="N5467" s="10"/>
      <c r="O5467" s="10"/>
      <c r="P5467" s="10"/>
      <c r="Q5467" s="10"/>
      <c r="R5467" s="10"/>
      <c r="S5467" s="10"/>
      <c r="T5467" s="10"/>
      <c r="U5467" s="10"/>
      <c r="V5467" s="10"/>
      <c r="W5467" s="10"/>
      <c r="X5467" s="10"/>
      <c r="Y5467" s="10"/>
      <c r="Z5467" s="10"/>
      <c r="AA5467" s="10"/>
      <c r="AB5467" s="10"/>
      <c r="AC5467" s="10"/>
      <c r="AD5467" s="10"/>
      <c r="AE5467" s="10"/>
      <c r="AF5467" s="10"/>
      <c r="AG5467" s="10"/>
      <c r="AH5467" s="10"/>
    </row>
    <row r="5468" spans="1:34" outlineLevel="2">
      <c r="A5468" s="21"/>
      <c r="B5468" s="12" t="str">
        <f>IFERROR(VLOOKUP(D5468,'[1]Перечень товаров'!$A$2:$I9525,2,0),"")</f>
        <v>м137</v>
      </c>
      <c r="C5468" s="12" t="str">
        <f>IFERROR(VLOOKUP(D5468,'[1]Перечень товаров'!$A$2:$I9525,3,0),"")</f>
        <v>мебель</v>
      </c>
      <c r="D5468" s="22" t="s">
        <v>876</v>
      </c>
      <c r="E5468" s="23"/>
      <c r="F5468" s="23"/>
      <c r="G5468" s="24">
        <v>2</v>
      </c>
      <c r="H5468" s="24"/>
      <c r="I5468" s="25"/>
      <c r="J5468" s="25"/>
      <c r="K5468" s="19"/>
      <c r="L5468" s="20"/>
      <c r="M5468" s="10"/>
      <c r="N5468" s="10"/>
      <c r="O5468" s="10"/>
      <c r="P5468" s="10"/>
      <c r="Q5468" s="10"/>
      <c r="R5468" s="10"/>
      <c r="S5468" s="10"/>
      <c r="T5468" s="10"/>
      <c r="U5468" s="10"/>
      <c r="V5468" s="10"/>
      <c r="W5468" s="10"/>
      <c r="X5468" s="10"/>
      <c r="Y5468" s="10"/>
      <c r="Z5468" s="10"/>
      <c r="AA5468" s="10"/>
      <c r="AB5468" s="10"/>
      <c r="AC5468" s="10"/>
      <c r="AD5468" s="10"/>
      <c r="AE5468" s="10"/>
      <c r="AF5468" s="10"/>
      <c r="AG5468" s="10"/>
      <c r="AH5468" s="10"/>
    </row>
    <row r="5469" spans="1:34" outlineLevel="2">
      <c r="A5469" s="21"/>
      <c r="B5469" s="12" t="str">
        <f>IFERROR(VLOOKUP(D5469,'[1]Перечень товаров'!$A$2:$I9525,2,0),"")</f>
        <v>м187</v>
      </c>
      <c r="C5469" s="12" t="str">
        <f>IFERROR(VLOOKUP(D5469,'[1]Перечень товаров'!$A$2:$I9525,3,0),"")</f>
        <v>мебель</v>
      </c>
      <c r="D5469" s="22" t="s">
        <v>877</v>
      </c>
      <c r="E5469" s="23"/>
      <c r="F5469" s="23"/>
      <c r="G5469" s="24">
        <v>2</v>
      </c>
      <c r="H5469" s="24"/>
      <c r="I5469" s="25"/>
      <c r="J5469" s="25"/>
      <c r="K5469" s="19"/>
      <c r="L5469" s="20"/>
      <c r="M5469" s="10"/>
      <c r="N5469" s="10"/>
      <c r="O5469" s="10"/>
      <c r="P5469" s="10"/>
      <c r="Q5469" s="10"/>
      <c r="R5469" s="10"/>
      <c r="S5469" s="10"/>
      <c r="T5469" s="10"/>
      <c r="U5469" s="10"/>
      <c r="V5469" s="10"/>
      <c r="W5469" s="10"/>
      <c r="X5469" s="10"/>
      <c r="Y5469" s="10"/>
      <c r="Z5469" s="10"/>
      <c r="AA5469" s="10"/>
      <c r="AB5469" s="10"/>
      <c r="AC5469" s="10"/>
      <c r="AD5469" s="10"/>
      <c r="AE5469" s="10"/>
      <c r="AF5469" s="10"/>
      <c r="AG5469" s="10"/>
      <c r="AH5469" s="10"/>
    </row>
    <row r="5470" spans="1:34" outlineLevel="2">
      <c r="A5470" s="21"/>
      <c r="B5470" s="12" t="str">
        <f>IFERROR(VLOOKUP(D5470,'[1]Перечень товаров'!$A$2:$I9525,2,0),"")</f>
        <v>м19</v>
      </c>
      <c r="C5470" s="12" t="str">
        <f>IFERROR(VLOOKUP(D5470,'[1]Перечень товаров'!$A$2:$I9525,3,0),"")</f>
        <v>Мебель</v>
      </c>
      <c r="D5470" s="22" t="s">
        <v>53</v>
      </c>
      <c r="E5470" s="23"/>
      <c r="F5470" s="23"/>
      <c r="G5470" s="24">
        <v>4</v>
      </c>
      <c r="H5470" s="24"/>
      <c r="I5470" s="25"/>
      <c r="J5470" s="25"/>
      <c r="K5470" s="19"/>
      <c r="L5470" s="20"/>
      <c r="M5470" s="10"/>
      <c r="N5470" s="10"/>
      <c r="O5470" s="10"/>
      <c r="P5470" s="10"/>
      <c r="Q5470" s="10"/>
      <c r="R5470" s="10"/>
      <c r="S5470" s="10"/>
      <c r="T5470" s="10"/>
      <c r="U5470" s="10"/>
      <c r="V5470" s="10"/>
      <c r="W5470" s="10"/>
      <c r="X5470" s="10"/>
      <c r="Y5470" s="10"/>
      <c r="Z5470" s="10"/>
      <c r="AA5470" s="10"/>
      <c r="AB5470" s="10"/>
      <c r="AC5470" s="10"/>
      <c r="AD5470" s="10"/>
      <c r="AE5470" s="10"/>
      <c r="AF5470" s="10"/>
      <c r="AG5470" s="10"/>
      <c r="AH5470" s="10"/>
    </row>
    <row r="5471" spans="1:34" outlineLevel="2">
      <c r="A5471" s="21"/>
      <c r="B5471" s="12" t="str">
        <f>IFERROR(VLOOKUP(D5471,'[1]Перечень товаров'!$A$2:$I9525,2,0),"")</f>
        <v>м221</v>
      </c>
      <c r="C5471" s="12" t="str">
        <f>IFERROR(VLOOKUP(D5471,'[1]Перечень товаров'!$A$2:$I9525,3,0),"")</f>
        <v>Мебель</v>
      </c>
      <c r="D5471" s="22" t="s">
        <v>878</v>
      </c>
      <c r="E5471" s="23"/>
      <c r="F5471" s="23"/>
      <c r="G5471" s="24">
        <v>1</v>
      </c>
      <c r="H5471" s="24"/>
      <c r="I5471" s="25"/>
      <c r="J5471" s="25"/>
      <c r="K5471" s="19"/>
      <c r="L5471" s="20"/>
      <c r="M5471" s="10"/>
      <c r="N5471" s="10"/>
      <c r="O5471" s="10"/>
      <c r="P5471" s="10"/>
      <c r="Q5471" s="10"/>
      <c r="R5471" s="10"/>
      <c r="S5471" s="10"/>
      <c r="T5471" s="10"/>
      <c r="U5471" s="10"/>
      <c r="V5471" s="10"/>
      <c r="W5471" s="10"/>
      <c r="X5471" s="10"/>
      <c r="Y5471" s="10"/>
      <c r="Z5471" s="10"/>
      <c r="AA5471" s="10"/>
      <c r="AB5471" s="10"/>
      <c r="AC5471" s="10"/>
      <c r="AD5471" s="10"/>
      <c r="AE5471" s="10"/>
      <c r="AF5471" s="10"/>
      <c r="AG5471" s="10"/>
      <c r="AH5471" s="10"/>
    </row>
    <row r="5472" spans="1:34" ht="31.5" outlineLevel="2">
      <c r="A5472" s="21"/>
      <c r="B5472" s="12" t="str">
        <f>IFERROR(VLOOKUP(D5472,'[1]Перечень товаров'!$A$2:$I9525,2,0),"")</f>
        <v>м138</v>
      </c>
      <c r="C5472" s="12" t="str">
        <f>IFERROR(VLOOKUP(D5472,'[1]Перечень товаров'!$A$2:$I9525,3,0),"")</f>
        <v>мебель</v>
      </c>
      <c r="D5472" s="22" t="s">
        <v>1573</v>
      </c>
      <c r="E5472" s="23"/>
      <c r="F5472" s="23"/>
      <c r="G5472" s="24">
        <v>1</v>
      </c>
      <c r="H5472" s="24"/>
      <c r="I5472" s="25"/>
      <c r="J5472" s="25"/>
      <c r="K5472" s="19"/>
      <c r="L5472" s="20"/>
      <c r="M5472" s="10"/>
      <c r="N5472" s="10"/>
      <c r="O5472" s="10"/>
      <c r="P5472" s="10"/>
      <c r="Q5472" s="10"/>
      <c r="R5472" s="10"/>
      <c r="S5472" s="10"/>
      <c r="T5472" s="10"/>
      <c r="U5472" s="10"/>
      <c r="V5472" s="10"/>
      <c r="W5472" s="10"/>
      <c r="X5472" s="10"/>
      <c r="Y5472" s="10"/>
      <c r="Z5472" s="10"/>
      <c r="AA5472" s="10"/>
      <c r="AB5472" s="10"/>
      <c r="AC5472" s="10"/>
      <c r="AD5472" s="10"/>
      <c r="AE5472" s="10"/>
      <c r="AF5472" s="10"/>
      <c r="AG5472" s="10"/>
      <c r="AH5472" s="10"/>
    </row>
    <row r="5473" spans="1:34" ht="12.75" outlineLevel="1">
      <c r="A5473" s="11"/>
      <c r="B5473" s="12" t="str">
        <f>IFERROR(VLOOKUP(D5473,'[1]Перечень товаров'!$A$2:$I9525,2,0),"")</f>
        <v/>
      </c>
      <c r="C5473" s="12" t="str">
        <f>IFERROR(VLOOKUP(D5473,'[1]Перечень товаров'!$A$2:$I9525,3,0),"")</f>
        <v/>
      </c>
      <c r="D5473" s="27" t="s">
        <v>1580</v>
      </c>
      <c r="E5473" s="14">
        <v>23</v>
      </c>
      <c r="F5473" s="14"/>
      <c r="G5473" s="17"/>
      <c r="H5473" s="17"/>
      <c r="I5473" s="57"/>
      <c r="J5473" s="57"/>
      <c r="K5473" s="19"/>
      <c r="L5473" s="20"/>
      <c r="M5473" s="10"/>
      <c r="N5473" s="10"/>
      <c r="O5473" s="10"/>
      <c r="P5473" s="10"/>
      <c r="Q5473" s="10"/>
      <c r="R5473" s="10"/>
      <c r="S5473" s="10"/>
      <c r="T5473" s="10"/>
      <c r="U5473" s="10"/>
      <c r="V5473" s="10"/>
      <c r="W5473" s="10"/>
      <c r="X5473" s="10"/>
      <c r="Y5473" s="10"/>
      <c r="Z5473" s="10"/>
      <c r="AA5473" s="10"/>
      <c r="AB5473" s="10"/>
      <c r="AC5473" s="10"/>
      <c r="AD5473" s="10"/>
      <c r="AE5473" s="10"/>
      <c r="AF5473" s="10"/>
      <c r="AG5473" s="10"/>
      <c r="AH5473" s="10"/>
    </row>
    <row r="5474" spans="1:34" outlineLevel="2">
      <c r="A5474" s="21"/>
      <c r="B5474" s="12" t="str">
        <f>IFERROR(VLOOKUP(D5474,'[1]Перечень товаров'!$A$2:$I9525,2,0),"")</f>
        <v>тм152</v>
      </c>
      <c r="C5474" s="12" t="str">
        <f>IFERROR(VLOOKUP(D5474,'[1]Перечень товаров'!$A$2:$I9525,3,0),"")</f>
        <v>Техника муз</v>
      </c>
      <c r="D5474" s="22" t="s">
        <v>1572</v>
      </c>
      <c r="E5474" s="23"/>
      <c r="F5474" s="23"/>
      <c r="G5474" s="24">
        <v>2</v>
      </c>
      <c r="H5474" s="24"/>
      <c r="I5474" s="25"/>
      <c r="J5474" s="25"/>
      <c r="K5474" s="19"/>
      <c r="L5474" s="20"/>
      <c r="M5474" s="10"/>
      <c r="N5474" s="10"/>
      <c r="O5474" s="10"/>
      <c r="P5474" s="10"/>
      <c r="Q5474" s="10"/>
      <c r="R5474" s="10"/>
      <c r="S5474" s="10"/>
      <c r="T5474" s="10"/>
      <c r="U5474" s="10"/>
      <c r="V5474" s="10"/>
      <c r="W5474" s="10"/>
      <c r="X5474" s="10"/>
      <c r="Y5474" s="10"/>
      <c r="Z5474" s="10"/>
      <c r="AA5474" s="10"/>
      <c r="AB5474" s="10"/>
      <c r="AC5474" s="10"/>
      <c r="AD5474" s="10"/>
      <c r="AE5474" s="10"/>
      <c r="AF5474" s="10"/>
      <c r="AG5474" s="10"/>
      <c r="AH5474" s="10"/>
    </row>
    <row r="5475" spans="1:34" outlineLevel="2">
      <c r="A5475" s="21"/>
      <c r="B5475" s="12" t="str">
        <f>IFERROR(VLOOKUP(D5475,'[1]Перечень товаров'!$A$2:$I9525,2,0),"")</f>
        <v>м137</v>
      </c>
      <c r="C5475" s="12" t="str">
        <f>IFERROR(VLOOKUP(D5475,'[1]Перечень товаров'!$A$2:$I9525,3,0),"")</f>
        <v>мебель</v>
      </c>
      <c r="D5475" s="22" t="s">
        <v>876</v>
      </c>
      <c r="E5475" s="23"/>
      <c r="F5475" s="23"/>
      <c r="G5475" s="24">
        <v>2</v>
      </c>
      <c r="H5475" s="24"/>
      <c r="I5475" s="25"/>
      <c r="J5475" s="25"/>
      <c r="K5475" s="19"/>
      <c r="L5475" s="20"/>
      <c r="M5475" s="10"/>
      <c r="N5475" s="10"/>
      <c r="O5475" s="10"/>
      <c r="P5475" s="10"/>
      <c r="Q5475" s="10"/>
      <c r="R5475" s="10"/>
      <c r="S5475" s="10"/>
      <c r="T5475" s="10"/>
      <c r="U5475" s="10"/>
      <c r="V5475" s="10"/>
      <c r="W5475" s="10"/>
      <c r="X5475" s="10"/>
      <c r="Y5475" s="10"/>
      <c r="Z5475" s="10"/>
      <c r="AA5475" s="10"/>
      <c r="AB5475" s="10"/>
      <c r="AC5475" s="10"/>
      <c r="AD5475" s="10"/>
      <c r="AE5475" s="10"/>
      <c r="AF5475" s="10"/>
      <c r="AG5475" s="10"/>
      <c r="AH5475" s="10"/>
    </row>
    <row r="5476" spans="1:34" outlineLevel="2">
      <c r="A5476" s="21"/>
      <c r="B5476" s="12" t="str">
        <f>IFERROR(VLOOKUP(D5476,'[1]Перечень товаров'!$A$2:$I9525,2,0),"")</f>
        <v>м187</v>
      </c>
      <c r="C5476" s="12" t="str">
        <f>IFERROR(VLOOKUP(D5476,'[1]Перечень товаров'!$A$2:$I9525,3,0),"")</f>
        <v>мебель</v>
      </c>
      <c r="D5476" s="22" t="s">
        <v>877</v>
      </c>
      <c r="E5476" s="23"/>
      <c r="F5476" s="23"/>
      <c r="G5476" s="24">
        <v>2</v>
      </c>
      <c r="H5476" s="24"/>
      <c r="I5476" s="25"/>
      <c r="J5476" s="25"/>
      <c r="K5476" s="19"/>
      <c r="L5476" s="20"/>
      <c r="M5476" s="10"/>
      <c r="N5476" s="10"/>
      <c r="O5476" s="10"/>
      <c r="P5476" s="10"/>
      <c r="Q5476" s="10"/>
      <c r="R5476" s="10"/>
      <c r="S5476" s="10"/>
      <c r="T5476" s="10"/>
      <c r="U5476" s="10"/>
      <c r="V5476" s="10"/>
      <c r="W5476" s="10"/>
      <c r="X5476" s="10"/>
      <c r="Y5476" s="10"/>
      <c r="Z5476" s="10"/>
      <c r="AA5476" s="10"/>
      <c r="AB5476" s="10"/>
      <c r="AC5476" s="10"/>
      <c r="AD5476" s="10"/>
      <c r="AE5476" s="10"/>
      <c r="AF5476" s="10"/>
      <c r="AG5476" s="10"/>
      <c r="AH5476" s="10"/>
    </row>
    <row r="5477" spans="1:34" outlineLevel="2">
      <c r="A5477" s="21"/>
      <c r="B5477" s="12" t="str">
        <f>IFERROR(VLOOKUP(D5477,'[1]Перечень товаров'!$A$2:$I9525,2,0),"")</f>
        <v>м19</v>
      </c>
      <c r="C5477" s="12" t="str">
        <f>IFERROR(VLOOKUP(D5477,'[1]Перечень товаров'!$A$2:$I9525,3,0),"")</f>
        <v>Мебель</v>
      </c>
      <c r="D5477" s="22" t="s">
        <v>53</v>
      </c>
      <c r="E5477" s="23"/>
      <c r="F5477" s="23"/>
      <c r="G5477" s="24">
        <v>4</v>
      </c>
      <c r="H5477" s="24"/>
      <c r="I5477" s="25"/>
      <c r="J5477" s="25"/>
      <c r="K5477" s="19"/>
      <c r="L5477" s="20"/>
      <c r="M5477" s="10"/>
      <c r="N5477" s="10"/>
      <c r="O5477" s="10"/>
      <c r="P5477" s="10"/>
      <c r="Q5477" s="10"/>
      <c r="R5477" s="10"/>
      <c r="S5477" s="10"/>
      <c r="T5477" s="10"/>
      <c r="U5477" s="10"/>
      <c r="V5477" s="10"/>
      <c r="W5477" s="10"/>
      <c r="X5477" s="10"/>
      <c r="Y5477" s="10"/>
      <c r="Z5477" s="10"/>
      <c r="AA5477" s="10"/>
      <c r="AB5477" s="10"/>
      <c r="AC5477" s="10"/>
      <c r="AD5477" s="10"/>
      <c r="AE5477" s="10"/>
      <c r="AF5477" s="10"/>
      <c r="AG5477" s="10"/>
      <c r="AH5477" s="10"/>
    </row>
    <row r="5478" spans="1:34" outlineLevel="2">
      <c r="A5478" s="21"/>
      <c r="B5478" s="12" t="str">
        <f>IFERROR(VLOOKUP(D5478,'[1]Перечень товаров'!$A$2:$I9525,2,0),"")</f>
        <v>м221</v>
      </c>
      <c r="C5478" s="12" t="str">
        <f>IFERROR(VLOOKUP(D5478,'[1]Перечень товаров'!$A$2:$I9525,3,0),"")</f>
        <v>Мебель</v>
      </c>
      <c r="D5478" s="22" t="s">
        <v>878</v>
      </c>
      <c r="E5478" s="23"/>
      <c r="F5478" s="23"/>
      <c r="G5478" s="24">
        <v>1</v>
      </c>
      <c r="H5478" s="24"/>
      <c r="I5478" s="25"/>
      <c r="J5478" s="25"/>
      <c r="K5478" s="19"/>
      <c r="L5478" s="20"/>
      <c r="M5478" s="10"/>
      <c r="N5478" s="10"/>
      <c r="O5478" s="10"/>
      <c r="P5478" s="10"/>
      <c r="Q5478" s="10"/>
      <c r="R5478" s="10"/>
      <c r="S5478" s="10"/>
      <c r="T5478" s="10"/>
      <c r="U5478" s="10"/>
      <c r="V5478" s="10"/>
      <c r="W5478" s="10"/>
      <c r="X5478" s="10"/>
      <c r="Y5478" s="10"/>
      <c r="Z5478" s="10"/>
      <c r="AA5478" s="10"/>
      <c r="AB5478" s="10"/>
      <c r="AC5478" s="10"/>
      <c r="AD5478" s="10"/>
      <c r="AE5478" s="10"/>
      <c r="AF5478" s="10"/>
      <c r="AG5478" s="10"/>
      <c r="AH5478" s="10"/>
    </row>
    <row r="5479" spans="1:34" ht="31.5" outlineLevel="2">
      <c r="A5479" s="21"/>
      <c r="B5479" s="12" t="str">
        <f>IFERROR(VLOOKUP(D5479,'[1]Перечень товаров'!$A$2:$I9525,2,0),"")</f>
        <v>м138</v>
      </c>
      <c r="C5479" s="12" t="str">
        <f>IFERROR(VLOOKUP(D5479,'[1]Перечень товаров'!$A$2:$I9525,3,0),"")</f>
        <v>мебель</v>
      </c>
      <c r="D5479" s="22" t="s">
        <v>1573</v>
      </c>
      <c r="E5479" s="23"/>
      <c r="F5479" s="23"/>
      <c r="G5479" s="24">
        <v>1</v>
      </c>
      <c r="H5479" s="24"/>
      <c r="I5479" s="25"/>
      <c r="J5479" s="25"/>
      <c r="K5479" s="19"/>
      <c r="L5479" s="20"/>
      <c r="M5479" s="10"/>
      <c r="N5479" s="10"/>
      <c r="O5479" s="10"/>
      <c r="P5479" s="10"/>
      <c r="Q5479" s="10"/>
      <c r="R5479" s="10"/>
      <c r="S5479" s="10"/>
      <c r="T5479" s="10"/>
      <c r="U5479" s="10"/>
      <c r="V5479" s="10"/>
      <c r="W5479" s="10"/>
      <c r="X5479" s="10"/>
      <c r="Y5479" s="10"/>
      <c r="Z5479" s="10"/>
      <c r="AA5479" s="10"/>
      <c r="AB5479" s="10"/>
      <c r="AC5479" s="10"/>
      <c r="AD5479" s="10"/>
      <c r="AE5479" s="10"/>
      <c r="AF5479" s="10"/>
      <c r="AG5479" s="10"/>
      <c r="AH5479" s="10"/>
    </row>
    <row r="5480" spans="1:34" ht="12.75" outlineLevel="1">
      <c r="A5480" s="11"/>
      <c r="B5480" s="12" t="str">
        <f>IFERROR(VLOOKUP(D5480,'[1]Перечень товаров'!$A$2:$I9525,2,0),"")</f>
        <v/>
      </c>
      <c r="C5480" s="12" t="str">
        <f>IFERROR(VLOOKUP(D5480,'[1]Перечень товаров'!$A$2:$I9525,3,0),"")</f>
        <v/>
      </c>
      <c r="D5480" s="27" t="s">
        <v>1580</v>
      </c>
      <c r="E5480" s="14">
        <v>22.4</v>
      </c>
      <c r="F5480" s="14"/>
      <c r="G5480" s="17"/>
      <c r="H5480" s="17"/>
      <c r="I5480" s="57"/>
      <c r="J5480" s="57"/>
      <c r="K5480" s="19"/>
      <c r="L5480" s="20"/>
      <c r="M5480" s="10"/>
      <c r="N5480" s="10"/>
      <c r="O5480" s="10"/>
      <c r="P5480" s="10"/>
      <c r="Q5480" s="10"/>
      <c r="R5480" s="10"/>
      <c r="S5480" s="10"/>
      <c r="T5480" s="10"/>
      <c r="U5480" s="10"/>
      <c r="V5480" s="10"/>
      <c r="W5480" s="10"/>
      <c r="X5480" s="10"/>
      <c r="Y5480" s="10"/>
      <c r="Z5480" s="10"/>
      <c r="AA5480" s="10"/>
      <c r="AB5480" s="10"/>
      <c r="AC5480" s="10"/>
      <c r="AD5480" s="10"/>
      <c r="AE5480" s="10"/>
      <c r="AF5480" s="10"/>
      <c r="AG5480" s="10"/>
      <c r="AH5480" s="10"/>
    </row>
    <row r="5481" spans="1:34" outlineLevel="2">
      <c r="A5481" s="21"/>
      <c r="B5481" s="12" t="str">
        <f>IFERROR(VLOOKUP(D5481,'[1]Перечень товаров'!$A$2:$I9525,2,0),"")</f>
        <v>тм152</v>
      </c>
      <c r="C5481" s="12" t="str">
        <f>IFERROR(VLOOKUP(D5481,'[1]Перечень товаров'!$A$2:$I9525,3,0),"")</f>
        <v>Техника муз</v>
      </c>
      <c r="D5481" s="22" t="s">
        <v>1572</v>
      </c>
      <c r="E5481" s="23"/>
      <c r="F5481" s="23"/>
      <c r="G5481" s="24">
        <v>2</v>
      </c>
      <c r="H5481" s="24"/>
      <c r="I5481" s="25"/>
      <c r="J5481" s="25"/>
      <c r="K5481" s="19"/>
      <c r="L5481" s="20"/>
      <c r="M5481" s="10"/>
      <c r="N5481" s="10"/>
      <c r="O5481" s="10"/>
      <c r="P5481" s="10"/>
      <c r="Q5481" s="10"/>
      <c r="R5481" s="10"/>
      <c r="S5481" s="10"/>
      <c r="T5481" s="10"/>
      <c r="U5481" s="10"/>
      <c r="V5481" s="10"/>
      <c r="W5481" s="10"/>
      <c r="X5481" s="10"/>
      <c r="Y5481" s="10"/>
      <c r="Z5481" s="10"/>
      <c r="AA5481" s="10"/>
      <c r="AB5481" s="10"/>
      <c r="AC5481" s="10"/>
      <c r="AD5481" s="10"/>
      <c r="AE5481" s="10"/>
      <c r="AF5481" s="10"/>
      <c r="AG5481" s="10"/>
      <c r="AH5481" s="10"/>
    </row>
    <row r="5482" spans="1:34" outlineLevel="2">
      <c r="A5482" s="21"/>
      <c r="B5482" s="12" t="str">
        <f>IFERROR(VLOOKUP(D5482,'[1]Перечень товаров'!$A$2:$I9525,2,0),"")</f>
        <v>м137</v>
      </c>
      <c r="C5482" s="12" t="str">
        <f>IFERROR(VLOOKUP(D5482,'[1]Перечень товаров'!$A$2:$I9525,3,0),"")</f>
        <v>мебель</v>
      </c>
      <c r="D5482" s="22" t="s">
        <v>876</v>
      </c>
      <c r="E5482" s="23"/>
      <c r="F5482" s="23"/>
      <c r="G5482" s="24">
        <v>2</v>
      </c>
      <c r="H5482" s="24"/>
      <c r="I5482" s="25"/>
      <c r="J5482" s="25"/>
      <c r="K5482" s="19"/>
      <c r="L5482" s="20"/>
      <c r="M5482" s="10"/>
      <c r="N5482" s="10"/>
      <c r="O5482" s="10"/>
      <c r="P5482" s="10"/>
      <c r="Q5482" s="10"/>
      <c r="R5482" s="10"/>
      <c r="S5482" s="10"/>
      <c r="T5482" s="10"/>
      <c r="U5482" s="10"/>
      <c r="V5482" s="10"/>
      <c r="W5482" s="10"/>
      <c r="X5482" s="10"/>
      <c r="Y5482" s="10"/>
      <c r="Z5482" s="10"/>
      <c r="AA5482" s="10"/>
      <c r="AB5482" s="10"/>
      <c r="AC5482" s="10"/>
      <c r="AD5482" s="10"/>
      <c r="AE5482" s="10"/>
      <c r="AF5482" s="10"/>
      <c r="AG5482" s="10"/>
      <c r="AH5482" s="10"/>
    </row>
    <row r="5483" spans="1:34" outlineLevel="2">
      <c r="A5483" s="21"/>
      <c r="B5483" s="12" t="str">
        <f>IFERROR(VLOOKUP(D5483,'[1]Перечень товаров'!$A$2:$I9525,2,0),"")</f>
        <v>м187</v>
      </c>
      <c r="C5483" s="12" t="str">
        <f>IFERROR(VLOOKUP(D5483,'[1]Перечень товаров'!$A$2:$I9525,3,0),"")</f>
        <v>мебель</v>
      </c>
      <c r="D5483" s="22" t="s">
        <v>877</v>
      </c>
      <c r="E5483" s="23"/>
      <c r="F5483" s="23"/>
      <c r="G5483" s="24">
        <v>2</v>
      </c>
      <c r="H5483" s="24"/>
      <c r="I5483" s="25"/>
      <c r="J5483" s="25"/>
      <c r="K5483" s="19"/>
      <c r="L5483" s="20"/>
      <c r="M5483" s="10"/>
      <c r="N5483" s="10"/>
      <c r="O5483" s="10"/>
      <c r="P5483" s="10"/>
      <c r="Q5483" s="10"/>
      <c r="R5483" s="10"/>
      <c r="S5483" s="10"/>
      <c r="T5483" s="10"/>
      <c r="U5483" s="10"/>
      <c r="V5483" s="10"/>
      <c r="W5483" s="10"/>
      <c r="X5483" s="10"/>
      <c r="Y5483" s="10"/>
      <c r="Z5483" s="10"/>
      <c r="AA5483" s="10"/>
      <c r="AB5483" s="10"/>
      <c r="AC5483" s="10"/>
      <c r="AD5483" s="10"/>
      <c r="AE5483" s="10"/>
      <c r="AF5483" s="10"/>
      <c r="AG5483" s="10"/>
      <c r="AH5483" s="10"/>
    </row>
    <row r="5484" spans="1:34" outlineLevel="2">
      <c r="A5484" s="21"/>
      <c r="B5484" s="12" t="str">
        <f>IFERROR(VLOOKUP(D5484,'[1]Перечень товаров'!$A$2:$I9525,2,0),"")</f>
        <v>м19</v>
      </c>
      <c r="C5484" s="12" t="str">
        <f>IFERROR(VLOOKUP(D5484,'[1]Перечень товаров'!$A$2:$I9525,3,0),"")</f>
        <v>Мебель</v>
      </c>
      <c r="D5484" s="22" t="s">
        <v>53</v>
      </c>
      <c r="E5484" s="23"/>
      <c r="F5484" s="23"/>
      <c r="G5484" s="24">
        <v>4</v>
      </c>
      <c r="H5484" s="24"/>
      <c r="I5484" s="25"/>
      <c r="J5484" s="25"/>
      <c r="K5484" s="19"/>
      <c r="L5484" s="20"/>
      <c r="M5484" s="10"/>
      <c r="N5484" s="10"/>
      <c r="O5484" s="10"/>
      <c r="P5484" s="10"/>
      <c r="Q5484" s="10"/>
      <c r="R5484" s="10"/>
      <c r="S5484" s="10"/>
      <c r="T5484" s="10"/>
      <c r="U5484" s="10"/>
      <c r="V5484" s="10"/>
      <c r="W5484" s="10"/>
      <c r="X5484" s="10"/>
      <c r="Y5484" s="10"/>
      <c r="Z5484" s="10"/>
      <c r="AA5484" s="10"/>
      <c r="AB5484" s="10"/>
      <c r="AC5484" s="10"/>
      <c r="AD5484" s="10"/>
      <c r="AE5484" s="10"/>
      <c r="AF5484" s="10"/>
      <c r="AG5484" s="10"/>
      <c r="AH5484" s="10"/>
    </row>
    <row r="5485" spans="1:34" outlineLevel="2">
      <c r="A5485" s="21"/>
      <c r="B5485" s="12" t="str">
        <f>IFERROR(VLOOKUP(D5485,'[1]Перечень товаров'!$A$2:$I9525,2,0),"")</f>
        <v>м221</v>
      </c>
      <c r="C5485" s="12" t="str">
        <f>IFERROR(VLOOKUP(D5485,'[1]Перечень товаров'!$A$2:$I9525,3,0),"")</f>
        <v>Мебель</v>
      </c>
      <c r="D5485" s="22" t="s">
        <v>878</v>
      </c>
      <c r="E5485" s="23"/>
      <c r="F5485" s="23"/>
      <c r="G5485" s="24">
        <v>1</v>
      </c>
      <c r="H5485" s="24"/>
      <c r="I5485" s="25"/>
      <c r="J5485" s="25"/>
      <c r="K5485" s="19"/>
      <c r="L5485" s="20"/>
      <c r="M5485" s="10"/>
      <c r="N5485" s="10"/>
      <c r="O5485" s="10"/>
      <c r="P5485" s="10"/>
      <c r="Q5485" s="10"/>
      <c r="R5485" s="10"/>
      <c r="S5485" s="10"/>
      <c r="T5485" s="10"/>
      <c r="U5485" s="10"/>
      <c r="V5485" s="10"/>
      <c r="W5485" s="10"/>
      <c r="X5485" s="10"/>
      <c r="Y5485" s="10"/>
      <c r="Z5485" s="10"/>
      <c r="AA5485" s="10"/>
      <c r="AB5485" s="10"/>
      <c r="AC5485" s="10"/>
      <c r="AD5485" s="10"/>
      <c r="AE5485" s="10"/>
      <c r="AF5485" s="10"/>
      <c r="AG5485" s="10"/>
      <c r="AH5485" s="10"/>
    </row>
    <row r="5486" spans="1:34" ht="31.5" outlineLevel="2">
      <c r="A5486" s="21"/>
      <c r="B5486" s="12" t="str">
        <f>IFERROR(VLOOKUP(D5486,'[1]Перечень товаров'!$A$2:$I9525,2,0),"")</f>
        <v>м138</v>
      </c>
      <c r="C5486" s="12" t="str">
        <f>IFERROR(VLOOKUP(D5486,'[1]Перечень товаров'!$A$2:$I9525,3,0),"")</f>
        <v>мебель</v>
      </c>
      <c r="D5486" s="22" t="s">
        <v>1573</v>
      </c>
      <c r="E5486" s="23"/>
      <c r="F5486" s="23"/>
      <c r="G5486" s="24">
        <v>1</v>
      </c>
      <c r="H5486" s="24"/>
      <c r="I5486" s="25"/>
      <c r="J5486" s="25"/>
      <c r="K5486" s="19"/>
      <c r="L5486" s="20"/>
      <c r="M5486" s="10"/>
      <c r="N5486" s="10"/>
      <c r="O5486" s="10"/>
      <c r="P5486" s="10"/>
      <c r="Q5486" s="10"/>
      <c r="R5486" s="10"/>
      <c r="S5486" s="10"/>
      <c r="T5486" s="10"/>
      <c r="U5486" s="10"/>
      <c r="V5486" s="10"/>
      <c r="W5486" s="10"/>
      <c r="X5486" s="10"/>
      <c r="Y5486" s="10"/>
      <c r="Z5486" s="10"/>
      <c r="AA5486" s="10"/>
      <c r="AB5486" s="10"/>
      <c r="AC5486" s="10"/>
      <c r="AD5486" s="10"/>
      <c r="AE5486" s="10"/>
      <c r="AF5486" s="10"/>
      <c r="AG5486" s="10"/>
      <c r="AH5486" s="10"/>
    </row>
    <row r="5487" spans="1:34" ht="12.75" outlineLevel="1">
      <c r="A5487" s="11"/>
      <c r="B5487" s="12" t="str">
        <f>IFERROR(VLOOKUP(D5487,'[1]Перечень товаров'!$A$2:$I9525,2,0),"")</f>
        <v/>
      </c>
      <c r="C5487" s="12" t="str">
        <f>IFERROR(VLOOKUP(D5487,'[1]Перечень товаров'!$A$2:$I9525,3,0),"")</f>
        <v/>
      </c>
      <c r="D5487" s="27" t="s">
        <v>1575</v>
      </c>
      <c r="E5487" s="14">
        <v>18.8</v>
      </c>
      <c r="F5487" s="14"/>
      <c r="G5487" s="17"/>
      <c r="H5487" s="17"/>
      <c r="I5487" s="57"/>
      <c r="J5487" s="57"/>
      <c r="K5487" s="19"/>
      <c r="L5487" s="20"/>
      <c r="M5487" s="10"/>
      <c r="N5487" s="10"/>
      <c r="O5487" s="10"/>
      <c r="P5487" s="10"/>
      <c r="Q5487" s="10"/>
      <c r="R5487" s="10"/>
      <c r="S5487" s="10"/>
      <c r="T5487" s="10"/>
      <c r="U5487" s="10"/>
      <c r="V5487" s="10"/>
      <c r="W5487" s="10"/>
      <c r="X5487" s="10"/>
      <c r="Y5487" s="10"/>
      <c r="Z5487" s="10"/>
      <c r="AA5487" s="10"/>
      <c r="AB5487" s="10"/>
      <c r="AC5487" s="10"/>
      <c r="AD5487" s="10"/>
      <c r="AE5487" s="10"/>
      <c r="AF5487" s="10"/>
      <c r="AG5487" s="10"/>
      <c r="AH5487" s="10"/>
    </row>
    <row r="5488" spans="1:34" outlineLevel="2">
      <c r="A5488" s="22"/>
      <c r="B5488" s="12" t="str">
        <f>IFERROR(VLOOKUP(D5488,'[1]Перечень товаров'!$A$2:$I9525,2,0),"")</f>
        <v>м14</v>
      </c>
      <c r="C5488" s="12" t="str">
        <f>IFERROR(VLOOKUP(D5488,'[1]Перечень товаров'!$A$2:$I9525,3,0),"")</f>
        <v>Мебель</v>
      </c>
      <c r="D5488" s="22" t="s">
        <v>43</v>
      </c>
      <c r="E5488" s="203"/>
      <c r="F5488" s="203"/>
      <c r="G5488" s="24">
        <v>1</v>
      </c>
      <c r="H5488" s="24"/>
      <c r="I5488" s="25"/>
      <c r="J5488" s="25"/>
      <c r="K5488" s="19"/>
      <c r="L5488" s="20"/>
      <c r="M5488" s="10"/>
      <c r="N5488" s="10"/>
      <c r="O5488" s="10"/>
      <c r="P5488" s="10"/>
      <c r="Q5488" s="10"/>
      <c r="R5488" s="10"/>
      <c r="S5488" s="10"/>
      <c r="T5488" s="10"/>
      <c r="U5488" s="10"/>
      <c r="V5488" s="10"/>
      <c r="W5488" s="10"/>
      <c r="X5488" s="10"/>
      <c r="Y5488" s="10"/>
      <c r="Z5488" s="10"/>
      <c r="AA5488" s="10"/>
      <c r="AB5488" s="10"/>
      <c r="AC5488" s="10"/>
      <c r="AD5488" s="10"/>
      <c r="AE5488" s="10"/>
      <c r="AF5488" s="10"/>
      <c r="AG5488" s="10"/>
      <c r="AH5488" s="10"/>
    </row>
    <row r="5489" spans="1:34" outlineLevel="2">
      <c r="A5489" s="21"/>
      <c r="B5489" s="12" t="str">
        <f>IFERROR(VLOOKUP(D5489,'[1]Перечень товаров'!$A$2:$I9525,2,0),"")</f>
        <v>м167</v>
      </c>
      <c r="C5489" s="12" t="str">
        <f>IFERROR(VLOOKUP(D5489,'[1]Перечень товаров'!$A$2:$I9525,3,0),"")</f>
        <v>Мебель</v>
      </c>
      <c r="D5489" s="22" t="s">
        <v>508</v>
      </c>
      <c r="E5489" s="203"/>
      <c r="F5489" s="203"/>
      <c r="G5489" s="24">
        <v>1</v>
      </c>
      <c r="H5489" s="24"/>
      <c r="I5489" s="25"/>
      <c r="J5489" s="25"/>
      <c r="K5489" s="19"/>
      <c r="L5489" s="20"/>
      <c r="M5489" s="10"/>
      <c r="N5489" s="10"/>
      <c r="O5489" s="10"/>
      <c r="P5489" s="10"/>
      <c r="Q5489" s="10"/>
      <c r="R5489" s="10"/>
      <c r="S5489" s="10"/>
      <c r="T5489" s="10"/>
      <c r="U5489" s="10"/>
      <c r="V5489" s="10"/>
      <c r="W5489" s="10"/>
      <c r="X5489" s="10"/>
      <c r="Y5489" s="10"/>
      <c r="Z5489" s="10"/>
      <c r="AA5489" s="10"/>
      <c r="AB5489" s="10"/>
      <c r="AC5489" s="10"/>
      <c r="AD5489" s="10"/>
      <c r="AE5489" s="10"/>
      <c r="AF5489" s="10"/>
      <c r="AG5489" s="10"/>
      <c r="AH5489" s="10"/>
    </row>
    <row r="5490" spans="1:34" outlineLevel="2">
      <c r="A5490" s="21"/>
      <c r="B5490" s="12" t="str">
        <f>IFERROR(VLOOKUP(D5490,'[1]Перечень товаров'!$A$2:$I9525,2,0),"")</f>
        <v>м218</v>
      </c>
      <c r="C5490" s="12" t="str">
        <f>IFERROR(VLOOKUP(D5490,'[1]Перечень товаров'!$A$2:$I9525,3,0),"")</f>
        <v>Мебель</v>
      </c>
      <c r="D5490" s="22" t="s">
        <v>872</v>
      </c>
      <c r="E5490" s="203"/>
      <c r="F5490" s="203"/>
      <c r="G5490" s="24">
        <v>2</v>
      </c>
      <c r="H5490" s="24"/>
      <c r="I5490" s="25"/>
      <c r="J5490" s="25"/>
      <c r="K5490" s="19"/>
      <c r="L5490" s="20"/>
      <c r="M5490" s="10"/>
      <c r="N5490" s="10"/>
      <c r="O5490" s="10"/>
      <c r="P5490" s="10"/>
      <c r="Q5490" s="10"/>
      <c r="R5490" s="10"/>
      <c r="S5490" s="10"/>
      <c r="T5490" s="10"/>
      <c r="U5490" s="10"/>
      <c r="V5490" s="10"/>
      <c r="W5490" s="10"/>
      <c r="X5490" s="10"/>
      <c r="Y5490" s="10"/>
      <c r="Z5490" s="10"/>
      <c r="AA5490" s="10"/>
      <c r="AB5490" s="10"/>
      <c r="AC5490" s="10"/>
      <c r="AD5490" s="10"/>
      <c r="AE5490" s="10"/>
      <c r="AF5490" s="10"/>
      <c r="AG5490" s="10"/>
      <c r="AH5490" s="10"/>
    </row>
    <row r="5491" spans="1:34" outlineLevel="2">
      <c r="A5491" s="21"/>
      <c r="B5491" s="12" t="str">
        <f>IFERROR(VLOOKUP(D5491,'[1]Перечень товаров'!$A$2:$I9525,2,0),"")</f>
        <v>м219</v>
      </c>
      <c r="C5491" s="12" t="str">
        <f>IFERROR(VLOOKUP(D5491,'[1]Перечень товаров'!$A$2:$I9525,3,0),"")</f>
        <v>Мебель</v>
      </c>
      <c r="D5491" s="22" t="s">
        <v>873</v>
      </c>
      <c r="E5491" s="203"/>
      <c r="F5491" s="203"/>
      <c r="G5491" s="24">
        <v>4</v>
      </c>
      <c r="H5491" s="24"/>
      <c r="I5491" s="25"/>
      <c r="J5491" s="25"/>
      <c r="K5491" s="19"/>
      <c r="L5491" s="20"/>
      <c r="M5491" s="10"/>
      <c r="N5491" s="10"/>
      <c r="O5491" s="10"/>
      <c r="P5491" s="10"/>
      <c r="Q5491" s="10"/>
      <c r="R5491" s="10"/>
      <c r="S5491" s="10"/>
      <c r="T5491" s="10"/>
      <c r="U5491" s="10"/>
      <c r="V5491" s="10"/>
      <c r="W5491" s="10"/>
      <c r="X5491" s="10"/>
      <c r="Y5491" s="10"/>
      <c r="Z5491" s="10"/>
      <c r="AA5491" s="10"/>
      <c r="AB5491" s="10"/>
      <c r="AC5491" s="10"/>
      <c r="AD5491" s="10"/>
      <c r="AE5491" s="10"/>
      <c r="AF5491" s="10"/>
      <c r="AG5491" s="10"/>
      <c r="AH5491" s="10"/>
    </row>
    <row r="5492" spans="1:34" outlineLevel="2">
      <c r="A5492" s="21"/>
      <c r="B5492" s="12" t="str">
        <f>IFERROR(VLOOKUP(D5492,'[1]Перечень товаров'!$A$2:$I9525,2,0),"")</f>
        <v>м220</v>
      </c>
      <c r="C5492" s="12" t="str">
        <f>IFERROR(VLOOKUP(D5492,'[1]Перечень товаров'!$A$2:$I9525,3,0),"")</f>
        <v>Мебель</v>
      </c>
      <c r="D5492" s="22" t="s">
        <v>874</v>
      </c>
      <c r="E5492" s="203"/>
      <c r="F5492" s="203"/>
      <c r="G5492" s="24">
        <v>1</v>
      </c>
      <c r="H5492" s="24"/>
      <c r="I5492" s="25"/>
      <c r="J5492" s="25"/>
      <c r="K5492" s="19"/>
      <c r="L5492" s="20"/>
      <c r="M5492" s="10"/>
      <c r="N5492" s="10"/>
      <c r="O5492" s="10"/>
      <c r="P5492" s="10"/>
      <c r="Q5492" s="10"/>
      <c r="R5492" s="10"/>
      <c r="S5492" s="10"/>
      <c r="T5492" s="10"/>
      <c r="U5492" s="10"/>
      <c r="V5492" s="10"/>
      <c r="W5492" s="10"/>
      <c r="X5492" s="10"/>
      <c r="Y5492" s="10"/>
      <c r="Z5492" s="10"/>
      <c r="AA5492" s="10"/>
      <c r="AB5492" s="10"/>
      <c r="AC5492" s="10"/>
      <c r="AD5492" s="10"/>
      <c r="AE5492" s="10"/>
      <c r="AF5492" s="10"/>
      <c r="AG5492" s="10"/>
      <c r="AH5492" s="10"/>
    </row>
    <row r="5493" spans="1:34" outlineLevel="2">
      <c r="A5493" s="21"/>
      <c r="B5493" s="12" t="str">
        <f>IFERROR(VLOOKUP(D5493,'[1]Перечень товаров'!$A$2:$I9525,2,0),"")</f>
        <v>тм152</v>
      </c>
      <c r="C5493" s="12" t="str">
        <f>IFERROR(VLOOKUP(D5493,'[1]Перечень товаров'!$A$2:$I9525,3,0),"")</f>
        <v>Техника муз</v>
      </c>
      <c r="D5493" s="22" t="s">
        <v>1572</v>
      </c>
      <c r="E5493" s="203"/>
      <c r="F5493" s="203"/>
      <c r="G5493" s="24">
        <v>1</v>
      </c>
      <c r="H5493" s="24"/>
      <c r="I5493" s="25"/>
      <c r="J5493" s="25"/>
      <c r="K5493" s="19"/>
      <c r="L5493" s="20"/>
      <c r="M5493" s="10"/>
      <c r="N5493" s="10"/>
      <c r="O5493" s="10"/>
      <c r="P5493" s="10"/>
      <c r="Q5493" s="10"/>
      <c r="R5493" s="10"/>
      <c r="S5493" s="10"/>
      <c r="T5493" s="10"/>
      <c r="U5493" s="10"/>
      <c r="V5493" s="10"/>
      <c r="W5493" s="10"/>
      <c r="X5493" s="10"/>
      <c r="Y5493" s="10"/>
      <c r="Z5493" s="10"/>
      <c r="AA5493" s="10"/>
      <c r="AB5493" s="10"/>
      <c r="AC5493" s="10"/>
      <c r="AD5493" s="10"/>
      <c r="AE5493" s="10"/>
      <c r="AF5493" s="10"/>
      <c r="AG5493" s="10"/>
      <c r="AH5493" s="10"/>
    </row>
    <row r="5494" spans="1:34" outlineLevel="2">
      <c r="A5494" s="21"/>
      <c r="B5494" s="12" t="str">
        <f>IFERROR(VLOOKUP(D5494,'[1]Перечень товаров'!$A$2:$I9525,2,0),"")</f>
        <v>м137</v>
      </c>
      <c r="C5494" s="12" t="str">
        <f>IFERROR(VLOOKUP(D5494,'[1]Перечень товаров'!$A$2:$I9525,3,0),"")</f>
        <v>мебель</v>
      </c>
      <c r="D5494" s="22" t="s">
        <v>876</v>
      </c>
      <c r="E5494" s="203"/>
      <c r="F5494" s="203"/>
      <c r="G5494" s="24">
        <v>1</v>
      </c>
      <c r="H5494" s="24"/>
      <c r="I5494" s="25"/>
      <c r="J5494" s="25"/>
      <c r="K5494" s="19"/>
      <c r="L5494" s="20"/>
      <c r="M5494" s="10"/>
      <c r="N5494" s="10"/>
      <c r="O5494" s="10"/>
      <c r="P5494" s="10"/>
      <c r="Q5494" s="10"/>
      <c r="R5494" s="10"/>
      <c r="S5494" s="10"/>
      <c r="T5494" s="10"/>
      <c r="U5494" s="10"/>
      <c r="V5494" s="10"/>
      <c r="W5494" s="10"/>
      <c r="X5494" s="10"/>
      <c r="Y5494" s="10"/>
      <c r="Z5494" s="10"/>
      <c r="AA5494" s="10"/>
      <c r="AB5494" s="10"/>
      <c r="AC5494" s="10"/>
      <c r="AD5494" s="10"/>
      <c r="AE5494" s="10"/>
      <c r="AF5494" s="10"/>
      <c r="AG5494" s="10"/>
      <c r="AH5494" s="10"/>
    </row>
    <row r="5495" spans="1:34" outlineLevel="2">
      <c r="A5495" s="21"/>
      <c r="B5495" s="12" t="str">
        <f>IFERROR(VLOOKUP(D5495,'[1]Перечень товаров'!$A$2:$I9525,2,0),"")</f>
        <v>м187</v>
      </c>
      <c r="C5495" s="12" t="str">
        <f>IFERROR(VLOOKUP(D5495,'[1]Перечень товаров'!$A$2:$I9525,3,0),"")</f>
        <v>мебель</v>
      </c>
      <c r="D5495" s="22" t="s">
        <v>877</v>
      </c>
      <c r="E5495" s="203"/>
      <c r="F5495" s="203"/>
      <c r="G5495" s="24">
        <v>1</v>
      </c>
      <c r="H5495" s="24"/>
      <c r="I5495" s="25"/>
      <c r="J5495" s="25"/>
      <c r="K5495" s="19"/>
      <c r="L5495" s="20"/>
      <c r="M5495" s="10"/>
      <c r="N5495" s="10"/>
      <c r="O5495" s="10"/>
      <c r="P5495" s="10"/>
      <c r="Q5495" s="10"/>
      <c r="R5495" s="10"/>
      <c r="S5495" s="10"/>
      <c r="T5495" s="10"/>
      <c r="U5495" s="10"/>
      <c r="V5495" s="10"/>
      <c r="W5495" s="10"/>
      <c r="X5495" s="10"/>
      <c r="Y5495" s="10"/>
      <c r="Z5495" s="10"/>
      <c r="AA5495" s="10"/>
      <c r="AB5495" s="10"/>
      <c r="AC5495" s="10"/>
      <c r="AD5495" s="10"/>
      <c r="AE5495" s="10"/>
      <c r="AF5495" s="10"/>
      <c r="AG5495" s="10"/>
      <c r="AH5495" s="10"/>
    </row>
    <row r="5496" spans="1:34" outlineLevel="2">
      <c r="A5496" s="21"/>
      <c r="B5496" s="12" t="str">
        <f>IFERROR(VLOOKUP(D5496,'[1]Перечень товаров'!$A$2:$I9525,2,0),"")</f>
        <v>м30</v>
      </c>
      <c r="C5496" s="12" t="str">
        <f>IFERROR(VLOOKUP(D5496,'[1]Перечень товаров'!$A$2:$I9525,3,0),"")</f>
        <v>Мебель</v>
      </c>
      <c r="D5496" s="22" t="s">
        <v>181</v>
      </c>
      <c r="E5496" s="203"/>
      <c r="F5496" s="203"/>
      <c r="G5496" s="24">
        <v>2</v>
      </c>
      <c r="H5496" s="24"/>
      <c r="I5496" s="25"/>
      <c r="J5496" s="25"/>
      <c r="K5496" s="19"/>
      <c r="L5496" s="20"/>
      <c r="M5496" s="10"/>
      <c r="N5496" s="10"/>
      <c r="O5496" s="10"/>
      <c r="P5496" s="10"/>
      <c r="Q5496" s="10"/>
      <c r="R5496" s="10"/>
      <c r="S5496" s="10"/>
      <c r="T5496" s="10"/>
      <c r="U5496" s="10"/>
      <c r="V5496" s="10"/>
      <c r="W5496" s="10"/>
      <c r="X5496" s="10"/>
      <c r="Y5496" s="10"/>
      <c r="Z5496" s="10"/>
      <c r="AA5496" s="10"/>
      <c r="AB5496" s="10"/>
      <c r="AC5496" s="10"/>
      <c r="AD5496" s="10"/>
      <c r="AE5496" s="10"/>
      <c r="AF5496" s="10"/>
      <c r="AG5496" s="10"/>
      <c r="AH5496" s="10"/>
    </row>
    <row r="5497" spans="1:34" outlineLevel="2">
      <c r="A5497" s="21"/>
      <c r="B5497" s="12" t="str">
        <f>IFERROR(VLOOKUP(D5497,'[1]Перечень товаров'!$A$2:$I9525,2,0),"")</f>
        <v>м221</v>
      </c>
      <c r="C5497" s="12" t="str">
        <f>IFERROR(VLOOKUP(D5497,'[1]Перечень товаров'!$A$2:$I9525,3,0),"")</f>
        <v>Мебель</v>
      </c>
      <c r="D5497" s="22" t="s">
        <v>878</v>
      </c>
      <c r="E5497" s="203"/>
      <c r="F5497" s="203"/>
      <c r="G5497" s="24">
        <v>2</v>
      </c>
      <c r="H5497" s="24"/>
      <c r="I5497" s="25"/>
      <c r="J5497" s="25"/>
      <c r="K5497" s="19"/>
      <c r="L5497" s="20"/>
      <c r="M5497" s="10"/>
      <c r="N5497" s="10"/>
      <c r="O5497" s="10"/>
      <c r="P5497" s="10"/>
      <c r="Q5497" s="10"/>
      <c r="R5497" s="10"/>
      <c r="S5497" s="10"/>
      <c r="T5497" s="10"/>
      <c r="U5497" s="10"/>
      <c r="V5497" s="10"/>
      <c r="W5497" s="10"/>
      <c r="X5497" s="10"/>
      <c r="Y5497" s="10"/>
      <c r="Z5497" s="10"/>
      <c r="AA5497" s="10"/>
      <c r="AB5497" s="10"/>
      <c r="AC5497" s="10"/>
      <c r="AD5497" s="10"/>
      <c r="AE5497" s="10"/>
      <c r="AF5497" s="10"/>
      <c r="AG5497" s="10"/>
      <c r="AH5497" s="10"/>
    </row>
    <row r="5498" spans="1:34" ht="12.75" outlineLevel="1">
      <c r="A5498" s="11"/>
      <c r="B5498" s="12" t="str">
        <f>IFERROR(VLOOKUP(D5498,'[1]Перечень товаров'!$A$2:$I9525,2,0),"")</f>
        <v/>
      </c>
      <c r="C5498" s="12" t="str">
        <f>IFERROR(VLOOKUP(D5498,'[1]Перечень товаров'!$A$2:$I9525,3,0),"")</f>
        <v/>
      </c>
      <c r="D5498" s="27" t="s">
        <v>521</v>
      </c>
      <c r="E5498" s="14">
        <v>5.5</v>
      </c>
      <c r="F5498" s="14"/>
      <c r="G5498" s="17"/>
      <c r="H5498" s="17"/>
      <c r="I5498" s="57"/>
      <c r="J5498" s="57"/>
      <c r="K5498" s="19"/>
      <c r="L5498" s="20"/>
      <c r="M5498" s="10"/>
      <c r="N5498" s="10"/>
      <c r="O5498" s="10"/>
      <c r="P5498" s="10"/>
      <c r="Q5498" s="10"/>
      <c r="R5498" s="10"/>
      <c r="S5498" s="10"/>
      <c r="T5498" s="10"/>
      <c r="U5498" s="10"/>
      <c r="V5498" s="10"/>
      <c r="W5498" s="10"/>
      <c r="X5498" s="10"/>
      <c r="Y5498" s="10"/>
      <c r="Z5498" s="10"/>
      <c r="AA5498" s="10"/>
      <c r="AB5498" s="10"/>
      <c r="AC5498" s="10"/>
      <c r="AD5498" s="10"/>
      <c r="AE5498" s="10"/>
      <c r="AF5498" s="10"/>
      <c r="AG5498" s="10"/>
      <c r="AH5498" s="10"/>
    </row>
    <row r="5499" spans="1:34" outlineLevel="2">
      <c r="A5499" s="22"/>
      <c r="B5499" s="12" t="str">
        <f>IFERROR(VLOOKUP(D5499,'[1]Перечень товаров'!$A$2:$I9525,2,0),"")</f>
        <v>п25</v>
      </c>
      <c r="C5499" s="12" t="str">
        <f>IFERROR(VLOOKUP(D5499,'[1]Перечень товаров'!$A$2:$I9525,3,0),"")</f>
        <v>Прочее</v>
      </c>
      <c r="D5499" s="22" t="s">
        <v>360</v>
      </c>
      <c r="E5499" s="102"/>
      <c r="F5499" s="102"/>
      <c r="G5499" s="48">
        <v>3</v>
      </c>
      <c r="H5499" s="48"/>
      <c r="I5499" s="49"/>
      <c r="J5499" s="49"/>
      <c r="K5499" s="33"/>
      <c r="L5499" s="20"/>
      <c r="M5499" s="10"/>
      <c r="N5499" s="10"/>
      <c r="O5499" s="10"/>
      <c r="P5499" s="10"/>
      <c r="Q5499" s="10"/>
      <c r="R5499" s="10"/>
      <c r="S5499" s="10"/>
      <c r="T5499" s="10"/>
      <c r="U5499" s="10"/>
      <c r="V5499" s="10"/>
      <c r="W5499" s="10"/>
      <c r="X5499" s="10"/>
      <c r="Y5499" s="10"/>
      <c r="Z5499" s="10"/>
      <c r="AA5499" s="10"/>
      <c r="AB5499" s="10"/>
      <c r="AC5499" s="10"/>
      <c r="AD5499" s="10"/>
      <c r="AE5499" s="10"/>
      <c r="AF5499" s="10"/>
      <c r="AG5499" s="10"/>
      <c r="AH5499" s="10"/>
    </row>
    <row r="5500" spans="1:34" outlineLevel="2">
      <c r="A5500" s="21"/>
      <c r="B5500" s="12" t="str">
        <f>IFERROR(VLOOKUP(D5500,'[1]Перечень товаров'!$A$2:$I9525,2,0),"")</f>
        <v>п26</v>
      </c>
      <c r="C5500" s="12" t="str">
        <f>IFERROR(VLOOKUP(D5500,'[1]Перечень товаров'!$A$2:$I9525,3,0),"")</f>
        <v>Прочее</v>
      </c>
      <c r="D5500" s="22" t="s">
        <v>361</v>
      </c>
      <c r="E5500" s="102"/>
      <c r="F5500" s="102"/>
      <c r="G5500" s="48">
        <v>2</v>
      </c>
      <c r="H5500" s="48"/>
      <c r="I5500" s="49"/>
      <c r="J5500" s="49"/>
      <c r="K5500" s="33"/>
      <c r="L5500" s="20"/>
      <c r="M5500" s="10"/>
      <c r="N5500" s="10"/>
      <c r="O5500" s="10"/>
      <c r="P5500" s="10"/>
      <c r="Q5500" s="10"/>
      <c r="R5500" s="10"/>
      <c r="S5500" s="10"/>
      <c r="T5500" s="10"/>
      <c r="U5500" s="10"/>
      <c r="V5500" s="10"/>
      <c r="W5500" s="10"/>
      <c r="X5500" s="10"/>
      <c r="Y5500" s="10"/>
      <c r="Z5500" s="10"/>
      <c r="AA5500" s="10"/>
      <c r="AB5500" s="10"/>
      <c r="AC5500" s="10"/>
      <c r="AD5500" s="10"/>
      <c r="AE5500" s="10"/>
      <c r="AF5500" s="10"/>
      <c r="AG5500" s="10"/>
      <c r="AH5500" s="10"/>
    </row>
    <row r="5501" spans="1:34" outlineLevel="2">
      <c r="A5501" s="21"/>
      <c r="B5501" s="12" t="str">
        <f>IFERROR(VLOOKUP(D5501,'[1]Перечень товаров'!$A$2:$I9525,2,0),"")</f>
        <v>п27</v>
      </c>
      <c r="C5501" s="12" t="str">
        <f>IFERROR(VLOOKUP(D5501,'[1]Перечень товаров'!$A$2:$I9525,3,0),"")</f>
        <v>Прочее</v>
      </c>
      <c r="D5501" s="22" t="s">
        <v>362</v>
      </c>
      <c r="E5501" s="102"/>
      <c r="F5501" s="102"/>
      <c r="G5501" s="48">
        <v>2</v>
      </c>
      <c r="H5501" s="48"/>
      <c r="I5501" s="49"/>
      <c r="J5501" s="49"/>
      <c r="K5501" s="33"/>
      <c r="L5501" s="20"/>
      <c r="M5501" s="10"/>
      <c r="N5501" s="10"/>
      <c r="O5501" s="10"/>
      <c r="P5501" s="10"/>
      <c r="Q5501" s="10"/>
      <c r="R5501" s="10"/>
      <c r="S5501" s="10"/>
      <c r="T5501" s="10"/>
      <c r="U5501" s="10"/>
      <c r="V5501" s="10"/>
      <c r="W5501" s="10"/>
      <c r="X5501" s="10"/>
      <c r="Y5501" s="10"/>
      <c r="Z5501" s="10"/>
      <c r="AA5501" s="10"/>
      <c r="AB5501" s="10"/>
      <c r="AC5501" s="10"/>
      <c r="AD5501" s="10"/>
      <c r="AE5501" s="10"/>
      <c r="AF5501" s="10"/>
      <c r="AG5501" s="10"/>
      <c r="AH5501" s="10"/>
    </row>
    <row r="5502" spans="1:34" outlineLevel="2">
      <c r="A5502" s="21"/>
      <c r="B5502" s="12" t="str">
        <f>IFERROR(VLOOKUP(D5502,'[1]Перечень товаров'!$A$2:$I9525,2,0),"")</f>
        <v>п28</v>
      </c>
      <c r="C5502" s="12" t="str">
        <f>IFERROR(VLOOKUP(D5502,'[1]Перечень товаров'!$A$2:$I9525,3,0),"")</f>
        <v>Прочее</v>
      </c>
      <c r="D5502" s="22" t="s">
        <v>363</v>
      </c>
      <c r="E5502" s="102"/>
      <c r="F5502" s="102"/>
      <c r="G5502" s="48">
        <v>1</v>
      </c>
      <c r="H5502" s="48"/>
      <c r="I5502" s="49"/>
      <c r="J5502" s="49"/>
      <c r="K5502" s="33"/>
      <c r="L5502" s="20"/>
      <c r="M5502" s="10"/>
      <c r="N5502" s="10"/>
      <c r="O5502" s="10"/>
      <c r="P5502" s="10"/>
      <c r="Q5502" s="10"/>
      <c r="R5502" s="10"/>
      <c r="S5502" s="10"/>
      <c r="T5502" s="10"/>
      <c r="U5502" s="10"/>
      <c r="V5502" s="10"/>
      <c r="W5502" s="10"/>
      <c r="X5502" s="10"/>
      <c r="Y5502" s="10"/>
      <c r="Z5502" s="10"/>
      <c r="AA5502" s="10"/>
      <c r="AB5502" s="10"/>
      <c r="AC5502" s="10"/>
      <c r="AD5502" s="10"/>
      <c r="AE5502" s="10"/>
      <c r="AF5502" s="10"/>
      <c r="AG5502" s="10"/>
      <c r="AH5502" s="10"/>
    </row>
    <row r="5503" spans="1:34" outlineLevel="2">
      <c r="A5503" s="21"/>
      <c r="B5503" s="12" t="str">
        <f>IFERROR(VLOOKUP(D5503,'[1]Перечень товаров'!$A$2:$I9525,2,0),"")</f>
        <v>п29</v>
      </c>
      <c r="C5503" s="12" t="str">
        <f>IFERROR(VLOOKUP(D5503,'[1]Перечень товаров'!$A$2:$I9525,3,0),"")</f>
        <v>Прочее</v>
      </c>
      <c r="D5503" s="22" t="s">
        <v>364</v>
      </c>
      <c r="E5503" s="102"/>
      <c r="F5503" s="102"/>
      <c r="G5503" s="48">
        <v>6</v>
      </c>
      <c r="H5503" s="48"/>
      <c r="I5503" s="49"/>
      <c r="J5503" s="49"/>
      <c r="K5503" s="33"/>
      <c r="L5503" s="20"/>
      <c r="M5503" s="10"/>
      <c r="N5503" s="10"/>
      <c r="O5503" s="10"/>
      <c r="P5503" s="10"/>
      <c r="Q5503" s="10"/>
      <c r="R5503" s="10"/>
      <c r="S5503" s="10"/>
      <c r="T5503" s="10"/>
      <c r="U5503" s="10"/>
      <c r="V5503" s="10"/>
      <c r="W5503" s="10"/>
      <c r="X5503" s="10"/>
      <c r="Y5503" s="10"/>
      <c r="Z5503" s="10"/>
      <c r="AA5503" s="10"/>
      <c r="AB5503" s="10"/>
      <c r="AC5503" s="10"/>
      <c r="AD5503" s="10"/>
      <c r="AE5503" s="10"/>
      <c r="AF5503" s="10"/>
      <c r="AG5503" s="10"/>
      <c r="AH5503" s="10"/>
    </row>
    <row r="5504" spans="1:34" outlineLevel="2">
      <c r="A5504" s="21"/>
      <c r="B5504" s="12" t="str">
        <f>IFERROR(VLOOKUP(D5504,'[1]Перечень товаров'!$A$2:$I9525,2,0),"")</f>
        <v>п30</v>
      </c>
      <c r="C5504" s="12" t="str">
        <f>IFERROR(VLOOKUP(D5504,'[1]Перечень товаров'!$A$2:$I9525,3,0),"")</f>
        <v>Прочее</v>
      </c>
      <c r="D5504" s="22" t="s">
        <v>365</v>
      </c>
      <c r="E5504" s="102"/>
      <c r="F5504" s="102"/>
      <c r="G5504" s="48">
        <v>2</v>
      </c>
      <c r="H5504" s="48"/>
      <c r="I5504" s="49"/>
      <c r="J5504" s="49"/>
      <c r="K5504" s="33"/>
      <c r="L5504" s="20"/>
      <c r="M5504" s="10"/>
      <c r="N5504" s="10"/>
      <c r="O5504" s="10"/>
      <c r="P5504" s="10"/>
      <c r="Q5504" s="10"/>
      <c r="R5504" s="10"/>
      <c r="S5504" s="10"/>
      <c r="T5504" s="10"/>
      <c r="U5504" s="10"/>
      <c r="V5504" s="10"/>
      <c r="W5504" s="10"/>
      <c r="X5504" s="10"/>
      <c r="Y5504" s="10"/>
      <c r="Z5504" s="10"/>
      <c r="AA5504" s="10"/>
      <c r="AB5504" s="10"/>
      <c r="AC5504" s="10"/>
      <c r="AD5504" s="10"/>
      <c r="AE5504" s="10"/>
      <c r="AF5504" s="10"/>
      <c r="AG5504" s="10"/>
      <c r="AH5504" s="10"/>
    </row>
    <row r="5505" spans="1:34" ht="31.5" outlineLevel="2">
      <c r="A5505" s="21"/>
      <c r="B5505" s="12" t="str">
        <f>IFERROR(VLOOKUP(D5505,'[1]Перечень товаров'!$A$2:$I9525,2,0),"")</f>
        <v>п31</v>
      </c>
      <c r="C5505" s="12" t="str">
        <f>IFERROR(VLOOKUP(D5505,'[1]Перечень товаров'!$A$2:$I9525,3,0),"")</f>
        <v>Прочее</v>
      </c>
      <c r="D5505" s="22" t="s">
        <v>366</v>
      </c>
      <c r="E5505" s="102"/>
      <c r="F5505" s="102"/>
      <c r="G5505" s="48">
        <v>1</v>
      </c>
      <c r="H5505" s="48"/>
      <c r="I5505" s="49"/>
      <c r="J5505" s="49"/>
      <c r="K5505" s="33"/>
      <c r="L5505" s="20"/>
      <c r="M5505" s="10"/>
      <c r="N5505" s="10"/>
      <c r="O5505" s="10"/>
      <c r="P5505" s="10"/>
      <c r="Q5505" s="10"/>
      <c r="R5505" s="10"/>
      <c r="S5505" s="10"/>
      <c r="T5505" s="10"/>
      <c r="U5505" s="10"/>
      <c r="V5505" s="10"/>
      <c r="W5505" s="10"/>
      <c r="X5505" s="10"/>
      <c r="Y5505" s="10"/>
      <c r="Z5505" s="10"/>
      <c r="AA5505" s="10"/>
      <c r="AB5505" s="10"/>
      <c r="AC5505" s="10"/>
      <c r="AD5505" s="10"/>
      <c r="AE5505" s="10"/>
      <c r="AF5505" s="10"/>
      <c r="AG5505" s="10"/>
      <c r="AH5505" s="10"/>
    </row>
    <row r="5506" spans="1:34" ht="31.5" outlineLevel="2">
      <c r="A5506" s="21"/>
      <c r="B5506" s="12" t="str">
        <f>IFERROR(VLOOKUP(D5506,'[1]Перечень товаров'!$A$2:$I9525,2,0),"")</f>
        <v>п32</v>
      </c>
      <c r="C5506" s="12" t="str">
        <f>IFERROR(VLOOKUP(D5506,'[1]Перечень товаров'!$A$2:$I9525,3,0),"")</f>
        <v>Прочее</v>
      </c>
      <c r="D5506" s="22" t="s">
        <v>367</v>
      </c>
      <c r="E5506" s="102"/>
      <c r="F5506" s="102"/>
      <c r="G5506" s="48">
        <v>2</v>
      </c>
      <c r="H5506" s="48"/>
      <c r="I5506" s="49"/>
      <c r="J5506" s="49"/>
      <c r="K5506" s="33"/>
      <c r="L5506" s="20"/>
      <c r="M5506" s="10"/>
      <c r="N5506" s="10"/>
      <c r="O5506" s="10"/>
      <c r="P5506" s="10"/>
      <c r="Q5506" s="10"/>
      <c r="R5506" s="10"/>
      <c r="S5506" s="10"/>
      <c r="T5506" s="10"/>
      <c r="U5506" s="10"/>
      <c r="V5506" s="10"/>
      <c r="W5506" s="10"/>
      <c r="X5506" s="10"/>
      <c r="Y5506" s="10"/>
      <c r="Z5506" s="10"/>
      <c r="AA5506" s="10"/>
      <c r="AB5506" s="10"/>
      <c r="AC5506" s="10"/>
      <c r="AD5506" s="10"/>
      <c r="AE5506" s="10"/>
      <c r="AF5506" s="10"/>
      <c r="AG5506" s="10"/>
      <c r="AH5506" s="10"/>
    </row>
    <row r="5507" spans="1:34" ht="12.75" outlineLevel="1">
      <c r="A5507" s="11"/>
      <c r="B5507" s="12" t="str">
        <f>IFERROR(VLOOKUP(D5507,'[1]Перечень товаров'!$A$2:$I9525,2,0),"")</f>
        <v/>
      </c>
      <c r="C5507" s="12" t="str">
        <f>IFERROR(VLOOKUP(D5507,'[1]Перечень товаров'!$A$2:$I9525,3,0),"")</f>
        <v/>
      </c>
      <c r="D5507" s="27" t="s">
        <v>1577</v>
      </c>
      <c r="E5507" s="14">
        <v>4.4000000000000004</v>
      </c>
      <c r="F5507" s="14"/>
      <c r="G5507" s="17"/>
      <c r="H5507" s="17"/>
      <c r="I5507" s="57"/>
      <c r="J5507" s="57"/>
      <c r="K5507" s="19"/>
      <c r="L5507" s="20"/>
      <c r="M5507" s="10"/>
      <c r="N5507" s="10"/>
      <c r="O5507" s="10"/>
      <c r="P5507" s="10"/>
      <c r="Q5507" s="10"/>
      <c r="R5507" s="10"/>
      <c r="S5507" s="10"/>
      <c r="T5507" s="10"/>
      <c r="U5507" s="10"/>
      <c r="V5507" s="10"/>
      <c r="W5507" s="10"/>
      <c r="X5507" s="10"/>
      <c r="Y5507" s="10"/>
      <c r="Z5507" s="10"/>
      <c r="AA5507" s="10"/>
      <c r="AB5507" s="10"/>
      <c r="AC5507" s="10"/>
      <c r="AD5507" s="10"/>
      <c r="AE5507" s="10"/>
      <c r="AF5507" s="10"/>
      <c r="AG5507" s="10"/>
      <c r="AH5507" s="10"/>
    </row>
    <row r="5508" spans="1:34" outlineLevel="2">
      <c r="A5508" s="43"/>
      <c r="B5508" s="12" t="str">
        <f>IFERROR(VLOOKUP(D5508,'[1]Перечень товаров'!$A$2:$I9525,2,0),"")</f>
        <v>м222</v>
      </c>
      <c r="C5508" s="12" t="str">
        <f>IFERROR(VLOOKUP(D5508,'[1]Перечень товаров'!$A$2:$I9525,3,0),"")</f>
        <v>Мебель</v>
      </c>
      <c r="D5508" s="44" t="s">
        <v>880</v>
      </c>
      <c r="E5508" s="102"/>
      <c r="F5508" s="102"/>
      <c r="G5508" s="24">
        <v>1</v>
      </c>
      <c r="H5508" s="24"/>
      <c r="I5508" s="25"/>
      <c r="J5508" s="25"/>
      <c r="K5508" s="19"/>
      <c r="L5508" s="20"/>
      <c r="M5508" s="10"/>
      <c r="N5508" s="10"/>
      <c r="O5508" s="10"/>
      <c r="P5508" s="10"/>
      <c r="Q5508" s="10"/>
      <c r="R5508" s="10"/>
      <c r="S5508" s="10"/>
      <c r="T5508" s="10"/>
      <c r="U5508" s="10"/>
      <c r="V5508" s="10"/>
      <c r="W5508" s="10"/>
      <c r="X5508" s="10"/>
      <c r="Y5508" s="10"/>
      <c r="Z5508" s="10"/>
      <c r="AA5508" s="10"/>
      <c r="AB5508" s="10"/>
      <c r="AC5508" s="10"/>
      <c r="AD5508" s="10"/>
      <c r="AE5508" s="10"/>
      <c r="AF5508" s="10"/>
      <c r="AG5508" s="10"/>
      <c r="AH5508" s="10"/>
    </row>
    <row r="5509" spans="1:34" outlineLevel="2">
      <c r="A5509" s="43"/>
      <c r="B5509" s="12" t="str">
        <f>IFERROR(VLOOKUP(D5509,'[1]Перечень товаров'!$A$2:$I9525,2,0),"")</f>
        <v>м223</v>
      </c>
      <c r="C5509" s="12" t="str">
        <f>IFERROR(VLOOKUP(D5509,'[1]Перечень товаров'!$A$2:$I9525,3,0),"")</f>
        <v>Мебель</v>
      </c>
      <c r="D5509" s="44" t="s">
        <v>881</v>
      </c>
      <c r="E5509" s="102"/>
      <c r="F5509" s="102"/>
      <c r="G5509" s="24">
        <v>1</v>
      </c>
      <c r="H5509" s="24"/>
      <c r="I5509" s="25"/>
      <c r="J5509" s="25"/>
      <c r="K5509" s="19"/>
      <c r="L5509" s="20"/>
      <c r="M5509" s="10"/>
      <c r="N5509" s="10"/>
      <c r="O5509" s="10"/>
      <c r="P5509" s="10"/>
      <c r="Q5509" s="10"/>
      <c r="R5509" s="10"/>
      <c r="S5509" s="10"/>
      <c r="T5509" s="10"/>
      <c r="U5509" s="10"/>
      <c r="V5509" s="10"/>
      <c r="W5509" s="10"/>
      <c r="X5509" s="10"/>
      <c r="Y5509" s="10"/>
      <c r="Z5509" s="10"/>
      <c r="AA5509" s="10"/>
      <c r="AB5509" s="10"/>
      <c r="AC5509" s="10"/>
      <c r="AD5509" s="10"/>
      <c r="AE5509" s="10"/>
      <c r="AF5509" s="10"/>
      <c r="AG5509" s="10"/>
      <c r="AH5509" s="10"/>
    </row>
    <row r="5510" spans="1:34" outlineLevel="2">
      <c r="A5510" s="43"/>
      <c r="B5510" s="12" t="str">
        <f>IFERROR(VLOOKUP(D5510,'[1]Перечень товаров'!$A$2:$I9525,2,0),"")</f>
        <v>м224</v>
      </c>
      <c r="C5510" s="12" t="str">
        <f>IFERROR(VLOOKUP(D5510,'[1]Перечень товаров'!$A$2:$I9525,3,0),"")</f>
        <v>Мебель</v>
      </c>
      <c r="D5510" s="44" t="s">
        <v>882</v>
      </c>
      <c r="E5510" s="102"/>
      <c r="F5510" s="102"/>
      <c r="G5510" s="24">
        <v>1</v>
      </c>
      <c r="H5510" s="24"/>
      <c r="I5510" s="25"/>
      <c r="J5510" s="25"/>
      <c r="K5510" s="19"/>
      <c r="L5510" s="20"/>
      <c r="M5510" s="10"/>
      <c r="N5510" s="10"/>
      <c r="O5510" s="10"/>
      <c r="P5510" s="10"/>
      <c r="Q5510" s="10"/>
      <c r="R5510" s="10"/>
      <c r="S5510" s="10"/>
      <c r="T5510" s="10"/>
      <c r="U5510" s="10"/>
      <c r="V5510" s="10"/>
      <c r="W5510" s="10"/>
      <c r="X5510" s="10"/>
      <c r="Y5510" s="10"/>
      <c r="Z5510" s="10"/>
      <c r="AA5510" s="10"/>
      <c r="AB5510" s="10"/>
      <c r="AC5510" s="10"/>
      <c r="AD5510" s="10"/>
      <c r="AE5510" s="10"/>
      <c r="AF5510" s="10"/>
      <c r="AG5510" s="10"/>
      <c r="AH5510" s="10"/>
    </row>
    <row r="5511" spans="1:34" outlineLevel="2">
      <c r="A5511" s="43"/>
      <c r="B5511" s="12" t="str">
        <f>IFERROR(VLOOKUP(D5511,'[1]Перечень товаров'!$A$2:$I9525,2,0),"")</f>
        <v>м225</v>
      </c>
      <c r="C5511" s="12" t="str">
        <f>IFERROR(VLOOKUP(D5511,'[1]Перечень товаров'!$A$2:$I9525,3,0),"")</f>
        <v>Мебель</v>
      </c>
      <c r="D5511" s="44" t="s">
        <v>883</v>
      </c>
      <c r="E5511" s="102"/>
      <c r="F5511" s="102"/>
      <c r="G5511" s="24">
        <v>1</v>
      </c>
      <c r="H5511" s="24"/>
      <c r="I5511" s="25"/>
      <c r="J5511" s="25"/>
      <c r="K5511" s="19"/>
      <c r="L5511" s="20"/>
      <c r="M5511" s="10"/>
      <c r="N5511" s="10"/>
      <c r="O5511" s="10"/>
      <c r="P5511" s="10"/>
      <c r="Q5511" s="10"/>
      <c r="R5511" s="10"/>
      <c r="S5511" s="10"/>
      <c r="T5511" s="10"/>
      <c r="U5511" s="10"/>
      <c r="V5511" s="10"/>
      <c r="W5511" s="10"/>
      <c r="X5511" s="10"/>
      <c r="Y5511" s="10"/>
      <c r="Z5511" s="10"/>
      <c r="AA5511" s="10"/>
      <c r="AB5511" s="10"/>
      <c r="AC5511" s="10"/>
      <c r="AD5511" s="10"/>
      <c r="AE5511" s="10"/>
      <c r="AF5511" s="10"/>
      <c r="AG5511" s="10"/>
      <c r="AH5511" s="10"/>
    </row>
    <row r="5512" spans="1:34" outlineLevel="2">
      <c r="A5512" s="43"/>
      <c r="B5512" s="12" t="str">
        <f>IFERROR(VLOOKUP(D5512,'[1]Перечень товаров'!$A$2:$I9525,2,0),"")</f>
        <v>п28</v>
      </c>
      <c r="C5512" s="12" t="str">
        <f>IFERROR(VLOOKUP(D5512,'[1]Перечень товаров'!$A$2:$I9525,3,0),"")</f>
        <v>Прочее</v>
      </c>
      <c r="D5512" s="44" t="s">
        <v>363</v>
      </c>
      <c r="E5512" s="102"/>
      <c r="F5512" s="102"/>
      <c r="G5512" s="24">
        <v>1</v>
      </c>
      <c r="H5512" s="24"/>
      <c r="I5512" s="25"/>
      <c r="J5512" s="25"/>
      <c r="K5512" s="19"/>
      <c r="L5512" s="20"/>
      <c r="M5512" s="10"/>
      <c r="N5512" s="10"/>
      <c r="O5512" s="10"/>
      <c r="P5512" s="10"/>
      <c r="Q5512" s="10"/>
      <c r="R5512" s="10"/>
      <c r="S5512" s="10"/>
      <c r="T5512" s="10"/>
      <c r="U5512" s="10"/>
      <c r="V5512" s="10"/>
      <c r="W5512" s="10"/>
      <c r="X5512" s="10"/>
      <c r="Y5512" s="10"/>
      <c r="Z5512" s="10"/>
      <c r="AA5512" s="10"/>
      <c r="AB5512" s="10"/>
      <c r="AC5512" s="10"/>
      <c r="AD5512" s="10"/>
      <c r="AE5512" s="10"/>
      <c r="AF5512" s="10"/>
      <c r="AG5512" s="10"/>
      <c r="AH5512" s="10"/>
    </row>
    <row r="5513" spans="1:34" outlineLevel="2">
      <c r="A5513" s="43"/>
      <c r="B5513" s="12" t="str">
        <f>IFERROR(VLOOKUP(D5513,'[1]Перечень товаров'!$A$2:$I9525,2,0),"")</f>
        <v>м226</v>
      </c>
      <c r="C5513" s="12" t="str">
        <f>IFERROR(VLOOKUP(D5513,'[1]Перечень товаров'!$A$2:$I9525,3,0),"")</f>
        <v>Мебель</v>
      </c>
      <c r="D5513" s="44" t="s">
        <v>884</v>
      </c>
      <c r="E5513" s="102"/>
      <c r="F5513" s="102"/>
      <c r="G5513" s="24">
        <v>1</v>
      </c>
      <c r="H5513" s="24"/>
      <c r="I5513" s="25"/>
      <c r="J5513" s="25"/>
      <c r="K5513" s="19"/>
      <c r="L5513" s="20"/>
      <c r="M5513" s="10"/>
      <c r="N5513" s="10"/>
      <c r="O5513" s="10"/>
      <c r="P5513" s="10"/>
      <c r="Q5513" s="10"/>
      <c r="R5513" s="10"/>
      <c r="S5513" s="10"/>
      <c r="T5513" s="10"/>
      <c r="U5513" s="10"/>
      <c r="V5513" s="10"/>
      <c r="W5513" s="10"/>
      <c r="X5513" s="10"/>
      <c r="Y5513" s="10"/>
      <c r="Z5513" s="10"/>
      <c r="AA5513" s="10"/>
      <c r="AB5513" s="10"/>
      <c r="AC5513" s="10"/>
      <c r="AD5513" s="10"/>
      <c r="AE5513" s="10"/>
      <c r="AF5513" s="10"/>
      <c r="AG5513" s="10"/>
      <c r="AH5513" s="10"/>
    </row>
    <row r="5514" spans="1:34" outlineLevel="1">
      <c r="A5514" s="21"/>
      <c r="B5514" s="12" t="str">
        <f>IFERROR(VLOOKUP(D5514,'[1]Перечень товаров'!$A$2:$I9525,2,0),"")</f>
        <v/>
      </c>
      <c r="C5514" s="12" t="str">
        <f>IFERROR(VLOOKUP(D5514,'[1]Перечень товаров'!$A$2:$I9525,3,0),"")</f>
        <v/>
      </c>
      <c r="D5514" s="22" t="s">
        <v>934</v>
      </c>
      <c r="E5514" s="23">
        <v>2.9</v>
      </c>
      <c r="F5514" s="23"/>
      <c r="G5514" s="24"/>
      <c r="H5514" s="24"/>
      <c r="I5514" s="25"/>
      <c r="J5514" s="25"/>
      <c r="K5514" s="19"/>
      <c r="L5514" s="20"/>
      <c r="M5514" s="10"/>
      <c r="N5514" s="10"/>
      <c r="O5514" s="10"/>
      <c r="P5514" s="10"/>
      <c r="Q5514" s="10"/>
      <c r="R5514" s="10"/>
      <c r="S5514" s="10"/>
      <c r="T5514" s="10"/>
      <c r="U5514" s="10"/>
      <c r="V5514" s="10"/>
      <c r="W5514" s="10"/>
      <c r="X5514" s="10"/>
      <c r="Y5514" s="10"/>
      <c r="Z5514" s="10"/>
      <c r="AA5514" s="10"/>
      <c r="AB5514" s="10"/>
      <c r="AC5514" s="10"/>
      <c r="AD5514" s="10"/>
      <c r="AE5514" s="10"/>
      <c r="AF5514" s="10"/>
      <c r="AG5514" s="10"/>
      <c r="AH5514" s="10"/>
    </row>
    <row r="5515" spans="1:34" ht="12.75" outlineLevel="1">
      <c r="A5515" s="11"/>
      <c r="B5515" s="12" t="str">
        <f>IFERROR(VLOOKUP(D5515,'[1]Перечень товаров'!$A$2:$I9525,2,0),"")</f>
        <v/>
      </c>
      <c r="C5515" s="12" t="str">
        <f>IFERROR(VLOOKUP(D5515,'[1]Перечень товаров'!$A$2:$I9525,3,0),"")</f>
        <v/>
      </c>
      <c r="D5515" s="27" t="s">
        <v>1581</v>
      </c>
      <c r="E5515" s="14">
        <v>17.7</v>
      </c>
      <c r="F5515" s="14"/>
      <c r="G5515" s="17"/>
      <c r="H5515" s="17"/>
      <c r="I5515" s="57"/>
      <c r="J5515" s="57"/>
      <c r="K5515" s="19"/>
      <c r="L5515" s="20"/>
      <c r="M5515" s="10"/>
      <c r="N5515" s="10"/>
      <c r="O5515" s="10"/>
      <c r="P5515" s="10"/>
      <c r="Q5515" s="10"/>
      <c r="R5515" s="10"/>
      <c r="S5515" s="10"/>
      <c r="T5515" s="10"/>
      <c r="U5515" s="10"/>
      <c r="V5515" s="10"/>
      <c r="W5515" s="10"/>
      <c r="X5515" s="10"/>
      <c r="Y5515" s="10"/>
      <c r="Z5515" s="10"/>
      <c r="AA5515" s="10"/>
      <c r="AB5515" s="10"/>
      <c r="AC5515" s="10"/>
      <c r="AD5515" s="10"/>
      <c r="AE5515" s="10"/>
      <c r="AF5515" s="10"/>
      <c r="AG5515" s="10"/>
      <c r="AH5515" s="10"/>
    </row>
    <row r="5516" spans="1:34" outlineLevel="2">
      <c r="A5516" s="22"/>
      <c r="B5516" s="12" t="str">
        <f>IFERROR(VLOOKUP(D5516,'[1]Перечень товаров'!$A$2:$I9525,2,0),"")</f>
        <v>м14</v>
      </c>
      <c r="C5516" s="12" t="str">
        <f>IFERROR(VLOOKUP(D5516,'[1]Перечень товаров'!$A$2:$I9525,3,0),"")</f>
        <v>Мебель</v>
      </c>
      <c r="D5516" s="22" t="s">
        <v>43</v>
      </c>
      <c r="E5516" s="203"/>
      <c r="F5516" s="203"/>
      <c r="G5516" s="24">
        <v>1</v>
      </c>
      <c r="H5516" s="24"/>
      <c r="I5516" s="25"/>
      <c r="J5516" s="25"/>
      <c r="K5516" s="19"/>
      <c r="L5516" s="20"/>
      <c r="M5516" s="10"/>
      <c r="N5516" s="10"/>
      <c r="O5516" s="10"/>
      <c r="P5516" s="10"/>
      <c r="Q5516" s="10"/>
      <c r="R5516" s="10"/>
      <c r="S5516" s="10"/>
      <c r="T5516" s="10"/>
      <c r="U5516" s="10"/>
      <c r="V5516" s="10"/>
      <c r="W5516" s="10"/>
      <c r="X5516" s="10"/>
      <c r="Y5516" s="10"/>
      <c r="Z5516" s="10"/>
      <c r="AA5516" s="10"/>
      <c r="AB5516" s="10"/>
      <c r="AC5516" s="10"/>
      <c r="AD5516" s="10"/>
      <c r="AE5516" s="10"/>
      <c r="AF5516" s="10"/>
      <c r="AG5516" s="10"/>
      <c r="AH5516" s="10"/>
    </row>
    <row r="5517" spans="1:34" outlineLevel="2">
      <c r="A5517" s="21"/>
      <c r="B5517" s="12" t="str">
        <f>IFERROR(VLOOKUP(D5517,'[1]Перечень товаров'!$A$2:$I9525,2,0),"")</f>
        <v>м167</v>
      </c>
      <c r="C5517" s="12" t="str">
        <f>IFERROR(VLOOKUP(D5517,'[1]Перечень товаров'!$A$2:$I9525,3,0),"")</f>
        <v>Мебель</v>
      </c>
      <c r="D5517" s="22" t="s">
        <v>508</v>
      </c>
      <c r="E5517" s="203"/>
      <c r="F5517" s="203"/>
      <c r="G5517" s="24">
        <v>1</v>
      </c>
      <c r="H5517" s="24"/>
      <c r="I5517" s="25"/>
      <c r="J5517" s="25"/>
      <c r="K5517" s="19"/>
      <c r="L5517" s="20"/>
      <c r="M5517" s="10"/>
      <c r="N5517" s="10"/>
      <c r="O5517" s="10"/>
      <c r="P5517" s="10"/>
      <c r="Q5517" s="10"/>
      <c r="R5517" s="10"/>
      <c r="S5517" s="10"/>
      <c r="T5517" s="10"/>
      <c r="U5517" s="10"/>
      <c r="V5517" s="10"/>
      <c r="W5517" s="10"/>
      <c r="X5517" s="10"/>
      <c r="Y5517" s="10"/>
      <c r="Z5517" s="10"/>
      <c r="AA5517" s="10"/>
      <c r="AB5517" s="10"/>
      <c r="AC5517" s="10"/>
      <c r="AD5517" s="10"/>
      <c r="AE5517" s="10"/>
      <c r="AF5517" s="10"/>
      <c r="AG5517" s="10"/>
      <c r="AH5517" s="10"/>
    </row>
    <row r="5518" spans="1:34" outlineLevel="2">
      <c r="A5518" s="21"/>
      <c r="B5518" s="12" t="str">
        <f>IFERROR(VLOOKUP(D5518,'[1]Перечень товаров'!$A$2:$I9525,2,0),"")</f>
        <v>м218</v>
      </c>
      <c r="C5518" s="12" t="str">
        <f>IFERROR(VLOOKUP(D5518,'[1]Перечень товаров'!$A$2:$I9525,3,0),"")</f>
        <v>Мебель</v>
      </c>
      <c r="D5518" s="22" t="s">
        <v>872</v>
      </c>
      <c r="E5518" s="203"/>
      <c r="F5518" s="203"/>
      <c r="G5518" s="24">
        <v>2</v>
      </c>
      <c r="H5518" s="24"/>
      <c r="I5518" s="25"/>
      <c r="J5518" s="25"/>
      <c r="K5518" s="19"/>
      <c r="L5518" s="20"/>
      <c r="M5518" s="10"/>
      <c r="N5518" s="10"/>
      <c r="O5518" s="10"/>
      <c r="P5518" s="10"/>
      <c r="Q5518" s="10"/>
      <c r="R5518" s="10"/>
      <c r="S5518" s="10"/>
      <c r="T5518" s="10"/>
      <c r="U5518" s="10"/>
      <c r="V5518" s="10"/>
      <c r="W5518" s="10"/>
      <c r="X5518" s="10"/>
      <c r="Y5518" s="10"/>
      <c r="Z5518" s="10"/>
      <c r="AA5518" s="10"/>
      <c r="AB5518" s="10"/>
      <c r="AC5518" s="10"/>
      <c r="AD5518" s="10"/>
      <c r="AE5518" s="10"/>
      <c r="AF5518" s="10"/>
      <c r="AG5518" s="10"/>
      <c r="AH5518" s="10"/>
    </row>
    <row r="5519" spans="1:34" outlineLevel="2">
      <c r="A5519" s="21"/>
      <c r="B5519" s="12" t="str">
        <f>IFERROR(VLOOKUP(D5519,'[1]Перечень товаров'!$A$2:$I9525,2,0),"")</f>
        <v>м219</v>
      </c>
      <c r="C5519" s="12" t="str">
        <f>IFERROR(VLOOKUP(D5519,'[1]Перечень товаров'!$A$2:$I9525,3,0),"")</f>
        <v>Мебель</v>
      </c>
      <c r="D5519" s="22" t="s">
        <v>873</v>
      </c>
      <c r="E5519" s="203"/>
      <c r="F5519" s="203"/>
      <c r="G5519" s="24">
        <v>4</v>
      </c>
      <c r="H5519" s="24"/>
      <c r="I5519" s="25"/>
      <c r="J5519" s="25"/>
      <c r="K5519" s="19"/>
      <c r="L5519" s="20"/>
      <c r="M5519" s="10"/>
      <c r="N5519" s="10"/>
      <c r="O5519" s="10"/>
      <c r="P5519" s="10"/>
      <c r="Q5519" s="10"/>
      <c r="R5519" s="10"/>
      <c r="S5519" s="10"/>
      <c r="T5519" s="10"/>
      <c r="U5519" s="10"/>
      <c r="V5519" s="10"/>
      <c r="W5519" s="10"/>
      <c r="X5519" s="10"/>
      <c r="Y5519" s="10"/>
      <c r="Z5519" s="10"/>
      <c r="AA5519" s="10"/>
      <c r="AB5519" s="10"/>
      <c r="AC5519" s="10"/>
      <c r="AD5519" s="10"/>
      <c r="AE5519" s="10"/>
      <c r="AF5519" s="10"/>
      <c r="AG5519" s="10"/>
      <c r="AH5519" s="10"/>
    </row>
    <row r="5520" spans="1:34" outlineLevel="2">
      <c r="A5520" s="21"/>
      <c r="B5520" s="12" t="str">
        <f>IFERROR(VLOOKUP(D5520,'[1]Перечень товаров'!$A$2:$I9525,2,0),"")</f>
        <v>м220</v>
      </c>
      <c r="C5520" s="12" t="str">
        <f>IFERROR(VLOOKUP(D5520,'[1]Перечень товаров'!$A$2:$I9525,3,0),"")</f>
        <v>Мебель</v>
      </c>
      <c r="D5520" s="22" t="s">
        <v>874</v>
      </c>
      <c r="E5520" s="203"/>
      <c r="F5520" s="203"/>
      <c r="G5520" s="24">
        <v>1</v>
      </c>
      <c r="H5520" s="24"/>
      <c r="I5520" s="25"/>
      <c r="J5520" s="25"/>
      <c r="K5520" s="19"/>
      <c r="L5520" s="20"/>
      <c r="M5520" s="10"/>
      <c r="N5520" s="10"/>
      <c r="O5520" s="10"/>
      <c r="P5520" s="10"/>
      <c r="Q5520" s="10"/>
      <c r="R5520" s="10"/>
      <c r="S5520" s="10"/>
      <c r="T5520" s="10"/>
      <c r="U5520" s="10"/>
      <c r="V5520" s="10"/>
      <c r="W5520" s="10"/>
      <c r="X5520" s="10"/>
      <c r="Y5520" s="10"/>
      <c r="Z5520" s="10"/>
      <c r="AA5520" s="10"/>
      <c r="AB5520" s="10"/>
      <c r="AC5520" s="10"/>
      <c r="AD5520" s="10"/>
      <c r="AE5520" s="10"/>
      <c r="AF5520" s="10"/>
      <c r="AG5520" s="10"/>
      <c r="AH5520" s="10"/>
    </row>
    <row r="5521" spans="1:34" outlineLevel="2">
      <c r="A5521" s="21"/>
      <c r="B5521" s="12" t="str">
        <f>IFERROR(VLOOKUP(D5521,'[1]Перечень товаров'!$A$2:$I9525,2,0),"")</f>
        <v>тм152</v>
      </c>
      <c r="C5521" s="12" t="str">
        <f>IFERROR(VLOOKUP(D5521,'[1]Перечень товаров'!$A$2:$I9525,3,0),"")</f>
        <v>Техника муз</v>
      </c>
      <c r="D5521" s="22" t="s">
        <v>1572</v>
      </c>
      <c r="E5521" s="203"/>
      <c r="F5521" s="203"/>
      <c r="G5521" s="24">
        <v>1</v>
      </c>
      <c r="H5521" s="24"/>
      <c r="I5521" s="25"/>
      <c r="J5521" s="25"/>
      <c r="K5521" s="19"/>
      <c r="L5521" s="20"/>
      <c r="M5521" s="10"/>
      <c r="N5521" s="10"/>
      <c r="O5521" s="10"/>
      <c r="P5521" s="10"/>
      <c r="Q5521" s="10"/>
      <c r="R5521" s="10"/>
      <c r="S5521" s="10"/>
      <c r="T5521" s="10"/>
      <c r="U5521" s="10"/>
      <c r="V5521" s="10"/>
      <c r="W5521" s="10"/>
      <c r="X5521" s="10"/>
      <c r="Y5521" s="10"/>
      <c r="Z5521" s="10"/>
      <c r="AA5521" s="10"/>
      <c r="AB5521" s="10"/>
      <c r="AC5521" s="10"/>
      <c r="AD5521" s="10"/>
      <c r="AE5521" s="10"/>
      <c r="AF5521" s="10"/>
      <c r="AG5521" s="10"/>
      <c r="AH5521" s="10"/>
    </row>
    <row r="5522" spans="1:34" outlineLevel="2">
      <c r="A5522" s="21"/>
      <c r="B5522" s="12" t="str">
        <f>IFERROR(VLOOKUP(D5522,'[1]Перечень товаров'!$A$2:$I9525,2,0),"")</f>
        <v>м137</v>
      </c>
      <c r="C5522" s="12" t="str">
        <f>IFERROR(VLOOKUP(D5522,'[1]Перечень товаров'!$A$2:$I9525,3,0),"")</f>
        <v>мебель</v>
      </c>
      <c r="D5522" s="22" t="s">
        <v>876</v>
      </c>
      <c r="E5522" s="203"/>
      <c r="F5522" s="203"/>
      <c r="G5522" s="24">
        <v>1</v>
      </c>
      <c r="H5522" s="24"/>
      <c r="I5522" s="25"/>
      <c r="J5522" s="25"/>
      <c r="K5522" s="19"/>
      <c r="L5522" s="20"/>
      <c r="M5522" s="10"/>
      <c r="N5522" s="10"/>
      <c r="O5522" s="10"/>
      <c r="P5522" s="10"/>
      <c r="Q5522" s="10"/>
      <c r="R5522" s="10"/>
      <c r="S5522" s="10"/>
      <c r="T5522" s="10"/>
      <c r="U5522" s="10"/>
      <c r="V5522" s="10"/>
      <c r="W5522" s="10"/>
      <c r="X5522" s="10"/>
      <c r="Y5522" s="10"/>
      <c r="Z5522" s="10"/>
      <c r="AA5522" s="10"/>
      <c r="AB5522" s="10"/>
      <c r="AC5522" s="10"/>
      <c r="AD5522" s="10"/>
      <c r="AE5522" s="10"/>
      <c r="AF5522" s="10"/>
      <c r="AG5522" s="10"/>
      <c r="AH5522" s="10"/>
    </row>
    <row r="5523" spans="1:34" outlineLevel="2">
      <c r="A5523" s="21"/>
      <c r="B5523" s="12" t="str">
        <f>IFERROR(VLOOKUP(D5523,'[1]Перечень товаров'!$A$2:$I9525,2,0),"")</f>
        <v>м187</v>
      </c>
      <c r="C5523" s="12" t="str">
        <f>IFERROR(VLOOKUP(D5523,'[1]Перечень товаров'!$A$2:$I9525,3,0),"")</f>
        <v>мебель</v>
      </c>
      <c r="D5523" s="22" t="s">
        <v>877</v>
      </c>
      <c r="E5523" s="203"/>
      <c r="F5523" s="203"/>
      <c r="G5523" s="24">
        <v>1</v>
      </c>
      <c r="H5523" s="24"/>
      <c r="I5523" s="25"/>
      <c r="J5523" s="25"/>
      <c r="K5523" s="19"/>
      <c r="L5523" s="20"/>
      <c r="M5523" s="10"/>
      <c r="N5523" s="10"/>
      <c r="O5523" s="10"/>
      <c r="P5523" s="10"/>
      <c r="Q5523" s="10"/>
      <c r="R5523" s="10"/>
      <c r="S5523" s="10"/>
      <c r="T5523" s="10"/>
      <c r="U5523" s="10"/>
      <c r="V5523" s="10"/>
      <c r="W5523" s="10"/>
      <c r="X5523" s="10"/>
      <c r="Y5523" s="10"/>
      <c r="Z5523" s="10"/>
      <c r="AA5523" s="10"/>
      <c r="AB5523" s="10"/>
      <c r="AC5523" s="10"/>
      <c r="AD5523" s="10"/>
      <c r="AE5523" s="10"/>
      <c r="AF5523" s="10"/>
      <c r="AG5523" s="10"/>
      <c r="AH5523" s="10"/>
    </row>
    <row r="5524" spans="1:34" outlineLevel="2">
      <c r="A5524" s="21"/>
      <c r="B5524" s="12" t="str">
        <f>IFERROR(VLOOKUP(D5524,'[1]Перечень товаров'!$A$2:$I9525,2,0),"")</f>
        <v>м30</v>
      </c>
      <c r="C5524" s="12" t="str">
        <f>IFERROR(VLOOKUP(D5524,'[1]Перечень товаров'!$A$2:$I9525,3,0),"")</f>
        <v>Мебель</v>
      </c>
      <c r="D5524" s="22" t="s">
        <v>181</v>
      </c>
      <c r="E5524" s="203"/>
      <c r="F5524" s="203"/>
      <c r="G5524" s="24">
        <v>2</v>
      </c>
      <c r="H5524" s="24"/>
      <c r="I5524" s="25"/>
      <c r="J5524" s="25"/>
      <c r="K5524" s="19"/>
      <c r="L5524" s="20"/>
      <c r="M5524" s="10"/>
      <c r="N5524" s="10"/>
      <c r="O5524" s="10"/>
      <c r="P5524" s="10"/>
      <c r="Q5524" s="10"/>
      <c r="R5524" s="10"/>
      <c r="S5524" s="10"/>
      <c r="T5524" s="10"/>
      <c r="U5524" s="10"/>
      <c r="V5524" s="10"/>
      <c r="W5524" s="10"/>
      <c r="X5524" s="10"/>
      <c r="Y5524" s="10"/>
      <c r="Z5524" s="10"/>
      <c r="AA5524" s="10"/>
      <c r="AB5524" s="10"/>
      <c r="AC5524" s="10"/>
      <c r="AD5524" s="10"/>
      <c r="AE5524" s="10"/>
      <c r="AF5524" s="10"/>
      <c r="AG5524" s="10"/>
      <c r="AH5524" s="10"/>
    </row>
    <row r="5525" spans="1:34" outlineLevel="2">
      <c r="A5525" s="21"/>
      <c r="B5525" s="12" t="str">
        <f>IFERROR(VLOOKUP(D5525,'[1]Перечень товаров'!$A$2:$I9525,2,0),"")</f>
        <v>м221</v>
      </c>
      <c r="C5525" s="12" t="str">
        <f>IFERROR(VLOOKUP(D5525,'[1]Перечень товаров'!$A$2:$I9525,3,0),"")</f>
        <v>Мебель</v>
      </c>
      <c r="D5525" s="22" t="s">
        <v>878</v>
      </c>
      <c r="E5525" s="203"/>
      <c r="F5525" s="203"/>
      <c r="G5525" s="24">
        <v>2</v>
      </c>
      <c r="H5525" s="24"/>
      <c r="I5525" s="25"/>
      <c r="J5525" s="25"/>
      <c r="K5525" s="19"/>
      <c r="L5525" s="20"/>
      <c r="M5525" s="10"/>
      <c r="N5525" s="10"/>
      <c r="O5525" s="10"/>
      <c r="P5525" s="10"/>
      <c r="Q5525" s="10"/>
      <c r="R5525" s="10"/>
      <c r="S5525" s="10"/>
      <c r="T5525" s="10"/>
      <c r="U5525" s="10"/>
      <c r="V5525" s="10"/>
      <c r="W5525" s="10"/>
      <c r="X5525" s="10"/>
      <c r="Y5525" s="10"/>
      <c r="Z5525" s="10"/>
      <c r="AA5525" s="10"/>
      <c r="AB5525" s="10"/>
      <c r="AC5525" s="10"/>
      <c r="AD5525" s="10"/>
      <c r="AE5525" s="10"/>
      <c r="AF5525" s="10"/>
      <c r="AG5525" s="10"/>
      <c r="AH5525" s="10"/>
    </row>
    <row r="5526" spans="1:34" ht="12.75" outlineLevel="1">
      <c r="A5526" s="11"/>
      <c r="B5526" s="12" t="str">
        <f>IFERROR(VLOOKUP(D5526,'[1]Перечень товаров'!$A$2:$I9525,2,0),"")</f>
        <v/>
      </c>
      <c r="C5526" s="12" t="str">
        <f>IFERROR(VLOOKUP(D5526,'[1]Перечень товаров'!$A$2:$I9525,3,0),"")</f>
        <v/>
      </c>
      <c r="D5526" s="27" t="s">
        <v>1581</v>
      </c>
      <c r="E5526" s="14">
        <v>17.100000000000001</v>
      </c>
      <c r="F5526" s="14"/>
      <c r="G5526" s="17"/>
      <c r="H5526" s="17"/>
      <c r="I5526" s="57"/>
      <c r="J5526" s="57"/>
      <c r="K5526" s="19"/>
      <c r="L5526" s="20"/>
      <c r="M5526" s="10"/>
      <c r="N5526" s="10"/>
      <c r="O5526" s="10"/>
      <c r="P5526" s="10"/>
      <c r="Q5526" s="10"/>
      <c r="R5526" s="10"/>
      <c r="S5526" s="10"/>
      <c r="T5526" s="10"/>
      <c r="U5526" s="10"/>
      <c r="V5526" s="10"/>
      <c r="W5526" s="10"/>
      <c r="X5526" s="10"/>
      <c r="Y5526" s="10"/>
      <c r="Z5526" s="10"/>
      <c r="AA5526" s="10"/>
      <c r="AB5526" s="10"/>
      <c r="AC5526" s="10"/>
      <c r="AD5526" s="10"/>
      <c r="AE5526" s="10"/>
      <c r="AF5526" s="10"/>
      <c r="AG5526" s="10"/>
      <c r="AH5526" s="10"/>
    </row>
    <row r="5527" spans="1:34" outlineLevel="2">
      <c r="A5527" s="22"/>
      <c r="B5527" s="12" t="str">
        <f>IFERROR(VLOOKUP(D5527,'[1]Перечень товаров'!$A$2:$I9525,2,0),"")</f>
        <v>м14</v>
      </c>
      <c r="C5527" s="12" t="str">
        <f>IFERROR(VLOOKUP(D5527,'[1]Перечень товаров'!$A$2:$I9525,3,0),"")</f>
        <v>Мебель</v>
      </c>
      <c r="D5527" s="22" t="s">
        <v>43</v>
      </c>
      <c r="E5527" s="203"/>
      <c r="F5527" s="203"/>
      <c r="G5527" s="24">
        <v>1</v>
      </c>
      <c r="H5527" s="24"/>
      <c r="I5527" s="25"/>
      <c r="J5527" s="25"/>
      <c r="K5527" s="19"/>
      <c r="L5527" s="20"/>
      <c r="M5527" s="10"/>
      <c r="N5527" s="10"/>
      <c r="O5527" s="10"/>
      <c r="P5527" s="10"/>
      <c r="Q5527" s="10"/>
      <c r="R5527" s="10"/>
      <c r="S5527" s="10"/>
      <c r="T5527" s="10"/>
      <c r="U5527" s="10"/>
      <c r="V5527" s="10"/>
      <c r="W5527" s="10"/>
      <c r="X5527" s="10"/>
      <c r="Y5527" s="10"/>
      <c r="Z5527" s="10"/>
      <c r="AA5527" s="10"/>
      <c r="AB5527" s="10"/>
      <c r="AC5527" s="10"/>
      <c r="AD5527" s="10"/>
      <c r="AE5527" s="10"/>
      <c r="AF5527" s="10"/>
      <c r="AG5527" s="10"/>
      <c r="AH5527" s="10"/>
    </row>
    <row r="5528" spans="1:34" outlineLevel="2">
      <c r="A5528" s="21"/>
      <c r="B5528" s="12" t="str">
        <f>IFERROR(VLOOKUP(D5528,'[1]Перечень товаров'!$A$2:$I9525,2,0),"")</f>
        <v>м167</v>
      </c>
      <c r="C5528" s="12" t="str">
        <f>IFERROR(VLOOKUP(D5528,'[1]Перечень товаров'!$A$2:$I9525,3,0),"")</f>
        <v>Мебель</v>
      </c>
      <c r="D5528" s="22" t="s">
        <v>508</v>
      </c>
      <c r="E5528" s="203"/>
      <c r="F5528" s="203"/>
      <c r="G5528" s="24">
        <v>1</v>
      </c>
      <c r="H5528" s="24"/>
      <c r="I5528" s="25"/>
      <c r="J5528" s="25"/>
      <c r="K5528" s="19"/>
      <c r="L5528" s="20"/>
      <c r="M5528" s="10"/>
      <c r="N5528" s="10"/>
      <c r="O5528" s="10"/>
      <c r="P5528" s="10"/>
      <c r="Q5528" s="10"/>
      <c r="R5528" s="10"/>
      <c r="S5528" s="10"/>
      <c r="T5528" s="10"/>
      <c r="U5528" s="10"/>
      <c r="V5528" s="10"/>
      <c r="W5528" s="10"/>
      <c r="X5528" s="10"/>
      <c r="Y5528" s="10"/>
      <c r="Z5528" s="10"/>
      <c r="AA5528" s="10"/>
      <c r="AB5528" s="10"/>
      <c r="AC5528" s="10"/>
      <c r="AD5528" s="10"/>
      <c r="AE5528" s="10"/>
      <c r="AF5528" s="10"/>
      <c r="AG5528" s="10"/>
      <c r="AH5528" s="10"/>
    </row>
    <row r="5529" spans="1:34" outlineLevel="2">
      <c r="A5529" s="21"/>
      <c r="B5529" s="12" t="str">
        <f>IFERROR(VLOOKUP(D5529,'[1]Перечень товаров'!$A$2:$I9525,2,0),"")</f>
        <v>м218</v>
      </c>
      <c r="C5529" s="12" t="str">
        <f>IFERROR(VLOOKUP(D5529,'[1]Перечень товаров'!$A$2:$I9525,3,0),"")</f>
        <v>Мебель</v>
      </c>
      <c r="D5529" s="22" t="s">
        <v>872</v>
      </c>
      <c r="E5529" s="203"/>
      <c r="F5529" s="203"/>
      <c r="G5529" s="24">
        <v>2</v>
      </c>
      <c r="H5529" s="24"/>
      <c r="I5529" s="25"/>
      <c r="J5529" s="25"/>
      <c r="K5529" s="19"/>
      <c r="L5529" s="20"/>
      <c r="M5529" s="10"/>
      <c r="N5529" s="10"/>
      <c r="O5529" s="10"/>
      <c r="P5529" s="10"/>
      <c r="Q5529" s="10"/>
      <c r="R5529" s="10"/>
      <c r="S5529" s="10"/>
      <c r="T5529" s="10"/>
      <c r="U5529" s="10"/>
      <c r="V5529" s="10"/>
      <c r="W5529" s="10"/>
      <c r="X5529" s="10"/>
      <c r="Y5529" s="10"/>
      <c r="Z5529" s="10"/>
      <c r="AA5529" s="10"/>
      <c r="AB5529" s="10"/>
      <c r="AC5529" s="10"/>
      <c r="AD5529" s="10"/>
      <c r="AE5529" s="10"/>
      <c r="AF5529" s="10"/>
      <c r="AG5529" s="10"/>
      <c r="AH5529" s="10"/>
    </row>
    <row r="5530" spans="1:34" outlineLevel="2">
      <c r="A5530" s="21"/>
      <c r="B5530" s="12" t="str">
        <f>IFERROR(VLOOKUP(D5530,'[1]Перечень товаров'!$A$2:$I9525,2,0),"")</f>
        <v>м219</v>
      </c>
      <c r="C5530" s="12" t="str">
        <f>IFERROR(VLOOKUP(D5530,'[1]Перечень товаров'!$A$2:$I9525,3,0),"")</f>
        <v>Мебель</v>
      </c>
      <c r="D5530" s="22" t="s">
        <v>873</v>
      </c>
      <c r="E5530" s="203"/>
      <c r="F5530" s="203"/>
      <c r="G5530" s="24">
        <v>4</v>
      </c>
      <c r="H5530" s="24"/>
      <c r="I5530" s="25"/>
      <c r="J5530" s="25"/>
      <c r="K5530" s="19"/>
      <c r="L5530" s="20"/>
      <c r="M5530" s="10"/>
      <c r="N5530" s="10"/>
      <c r="O5530" s="10"/>
      <c r="P5530" s="10"/>
      <c r="Q5530" s="10"/>
      <c r="R5530" s="10"/>
      <c r="S5530" s="10"/>
      <c r="T5530" s="10"/>
      <c r="U5530" s="10"/>
      <c r="V5530" s="10"/>
      <c r="W5530" s="10"/>
      <c r="X5530" s="10"/>
      <c r="Y5530" s="10"/>
      <c r="Z5530" s="10"/>
      <c r="AA5530" s="10"/>
      <c r="AB5530" s="10"/>
      <c r="AC5530" s="10"/>
      <c r="AD5530" s="10"/>
      <c r="AE5530" s="10"/>
      <c r="AF5530" s="10"/>
      <c r="AG5530" s="10"/>
      <c r="AH5530" s="10"/>
    </row>
    <row r="5531" spans="1:34" outlineLevel="2">
      <c r="A5531" s="21"/>
      <c r="B5531" s="12" t="str">
        <f>IFERROR(VLOOKUP(D5531,'[1]Перечень товаров'!$A$2:$I9525,2,0),"")</f>
        <v>м220</v>
      </c>
      <c r="C5531" s="12" t="str">
        <f>IFERROR(VLOOKUP(D5531,'[1]Перечень товаров'!$A$2:$I9525,3,0),"")</f>
        <v>Мебель</v>
      </c>
      <c r="D5531" s="22" t="s">
        <v>874</v>
      </c>
      <c r="E5531" s="203"/>
      <c r="F5531" s="203"/>
      <c r="G5531" s="24">
        <v>1</v>
      </c>
      <c r="H5531" s="24"/>
      <c r="I5531" s="25"/>
      <c r="J5531" s="25"/>
      <c r="K5531" s="19"/>
      <c r="L5531" s="20"/>
      <c r="M5531" s="10"/>
      <c r="N5531" s="10"/>
      <c r="O5531" s="10"/>
      <c r="P5531" s="10"/>
      <c r="Q5531" s="10"/>
      <c r="R5531" s="10"/>
      <c r="S5531" s="10"/>
      <c r="T5531" s="10"/>
      <c r="U5531" s="10"/>
      <c r="V5531" s="10"/>
      <c r="W5531" s="10"/>
      <c r="X5531" s="10"/>
      <c r="Y5531" s="10"/>
      <c r="Z5531" s="10"/>
      <c r="AA5531" s="10"/>
      <c r="AB5531" s="10"/>
      <c r="AC5531" s="10"/>
      <c r="AD5531" s="10"/>
      <c r="AE5531" s="10"/>
      <c r="AF5531" s="10"/>
      <c r="AG5531" s="10"/>
      <c r="AH5531" s="10"/>
    </row>
    <row r="5532" spans="1:34" outlineLevel="2">
      <c r="A5532" s="21"/>
      <c r="B5532" s="12" t="str">
        <f>IFERROR(VLOOKUP(D5532,'[1]Перечень товаров'!$A$2:$I9525,2,0),"")</f>
        <v>м187</v>
      </c>
      <c r="C5532" s="12" t="str">
        <f>IFERROR(VLOOKUP(D5532,'[1]Перечень товаров'!$A$2:$I9525,3,0),"")</f>
        <v>мебель</v>
      </c>
      <c r="D5532" s="22" t="s">
        <v>877</v>
      </c>
      <c r="E5532" s="203"/>
      <c r="F5532" s="203"/>
      <c r="G5532" s="24">
        <v>1</v>
      </c>
      <c r="H5532" s="24"/>
      <c r="I5532" s="25"/>
      <c r="J5532" s="25"/>
      <c r="K5532" s="19"/>
      <c r="L5532" s="20"/>
      <c r="M5532" s="10"/>
      <c r="N5532" s="10"/>
      <c r="O5532" s="10"/>
      <c r="P5532" s="10"/>
      <c r="Q5532" s="10"/>
      <c r="R5532" s="10"/>
      <c r="S5532" s="10"/>
      <c r="T5532" s="10"/>
      <c r="U5532" s="10"/>
      <c r="V5532" s="10"/>
      <c r="W5532" s="10"/>
      <c r="X5532" s="10"/>
      <c r="Y5532" s="10"/>
      <c r="Z5532" s="10"/>
      <c r="AA5532" s="10"/>
      <c r="AB5532" s="10"/>
      <c r="AC5532" s="10"/>
      <c r="AD5532" s="10"/>
      <c r="AE5532" s="10"/>
      <c r="AF5532" s="10"/>
      <c r="AG5532" s="10"/>
      <c r="AH5532" s="10"/>
    </row>
    <row r="5533" spans="1:34" outlineLevel="2">
      <c r="A5533" s="21"/>
      <c r="B5533" s="12" t="str">
        <f>IFERROR(VLOOKUP(D5533,'[1]Перечень товаров'!$A$2:$I9525,2,0),"")</f>
        <v>м30</v>
      </c>
      <c r="C5533" s="12" t="str">
        <f>IFERROR(VLOOKUP(D5533,'[1]Перечень товаров'!$A$2:$I9525,3,0),"")</f>
        <v>Мебель</v>
      </c>
      <c r="D5533" s="22" t="s">
        <v>181</v>
      </c>
      <c r="E5533" s="203"/>
      <c r="F5533" s="203"/>
      <c r="G5533" s="24">
        <v>2</v>
      </c>
      <c r="H5533" s="24"/>
      <c r="I5533" s="25"/>
      <c r="J5533" s="25"/>
      <c r="K5533" s="19"/>
      <c r="L5533" s="20"/>
      <c r="M5533" s="10"/>
      <c r="N5533" s="10"/>
      <c r="O5533" s="10"/>
      <c r="P5533" s="10"/>
      <c r="Q5533" s="10"/>
      <c r="R5533" s="10"/>
      <c r="S5533" s="10"/>
      <c r="T5533" s="10"/>
      <c r="U5533" s="10"/>
      <c r="V5533" s="10"/>
      <c r="W5533" s="10"/>
      <c r="X5533" s="10"/>
      <c r="Y5533" s="10"/>
      <c r="Z5533" s="10"/>
      <c r="AA5533" s="10"/>
      <c r="AB5533" s="10"/>
      <c r="AC5533" s="10"/>
      <c r="AD5533" s="10"/>
      <c r="AE5533" s="10"/>
      <c r="AF5533" s="10"/>
      <c r="AG5533" s="10"/>
      <c r="AH5533" s="10"/>
    </row>
    <row r="5534" spans="1:34" outlineLevel="2">
      <c r="A5534" s="21"/>
      <c r="B5534" s="12" t="str">
        <f>IFERROR(VLOOKUP(D5534,'[1]Перечень товаров'!$A$2:$I9525,2,0),"")</f>
        <v>м221</v>
      </c>
      <c r="C5534" s="12" t="str">
        <f>IFERROR(VLOOKUP(D5534,'[1]Перечень товаров'!$A$2:$I9525,3,0),"")</f>
        <v>Мебель</v>
      </c>
      <c r="D5534" s="22" t="s">
        <v>878</v>
      </c>
      <c r="E5534" s="203"/>
      <c r="F5534" s="203"/>
      <c r="G5534" s="24">
        <v>2</v>
      </c>
      <c r="H5534" s="24"/>
      <c r="I5534" s="25"/>
      <c r="J5534" s="25"/>
      <c r="K5534" s="19"/>
      <c r="L5534" s="20"/>
      <c r="M5534" s="10"/>
      <c r="N5534" s="10"/>
      <c r="O5534" s="10"/>
      <c r="P5534" s="10"/>
      <c r="Q5534" s="10"/>
      <c r="R5534" s="10"/>
      <c r="S5534" s="10"/>
      <c r="T5534" s="10"/>
      <c r="U5534" s="10"/>
      <c r="V5534" s="10"/>
      <c r="W5534" s="10"/>
      <c r="X5534" s="10"/>
      <c r="Y5534" s="10"/>
      <c r="Z5534" s="10"/>
      <c r="AA5534" s="10"/>
      <c r="AB5534" s="10"/>
      <c r="AC5534" s="10"/>
      <c r="AD5534" s="10"/>
      <c r="AE5534" s="10"/>
      <c r="AF5534" s="10"/>
      <c r="AG5534" s="10"/>
      <c r="AH5534" s="10"/>
    </row>
    <row r="5535" spans="1:34" ht="12.75" outlineLevel="1">
      <c r="A5535" s="11"/>
      <c r="B5535" s="12" t="str">
        <f>IFERROR(VLOOKUP(D5535,'[1]Перечень товаров'!$A$2:$I9525,2,0),"")</f>
        <v/>
      </c>
      <c r="C5535" s="12" t="str">
        <f>IFERROR(VLOOKUP(D5535,'[1]Перечень товаров'!$A$2:$I9525,3,0),"")</f>
        <v/>
      </c>
      <c r="D5535" s="27" t="s">
        <v>1576</v>
      </c>
      <c r="E5535" s="14">
        <v>5</v>
      </c>
      <c r="F5535" s="14"/>
      <c r="G5535" s="17"/>
      <c r="H5535" s="17"/>
      <c r="I5535" s="57"/>
      <c r="J5535" s="57"/>
      <c r="K5535" s="19"/>
      <c r="L5535" s="20"/>
      <c r="M5535" s="10"/>
      <c r="N5535" s="10"/>
      <c r="O5535" s="10"/>
      <c r="P5535" s="10"/>
      <c r="Q5535" s="10"/>
      <c r="R5535" s="10"/>
      <c r="S5535" s="10"/>
      <c r="T5535" s="10"/>
      <c r="U5535" s="10"/>
      <c r="V5535" s="10"/>
      <c r="W5535" s="10"/>
      <c r="X5535" s="10"/>
      <c r="Y5535" s="10"/>
      <c r="Z5535" s="10"/>
      <c r="AA5535" s="10"/>
      <c r="AB5535" s="10"/>
      <c r="AC5535" s="10"/>
      <c r="AD5535" s="10"/>
      <c r="AE5535" s="10"/>
      <c r="AF5535" s="10"/>
      <c r="AG5535" s="10"/>
      <c r="AH5535" s="10"/>
    </row>
    <row r="5536" spans="1:34" outlineLevel="2">
      <c r="A5536" s="22"/>
      <c r="B5536" s="12" t="str">
        <f>IFERROR(VLOOKUP(D5536,'[1]Перечень товаров'!$A$2:$I9525,2,0),"")</f>
        <v>п25</v>
      </c>
      <c r="C5536" s="12" t="str">
        <f>IFERROR(VLOOKUP(D5536,'[1]Перечень товаров'!$A$2:$I9525,3,0),"")</f>
        <v>Прочее</v>
      </c>
      <c r="D5536" s="22" t="s">
        <v>360</v>
      </c>
      <c r="E5536" s="102"/>
      <c r="F5536" s="102"/>
      <c r="G5536" s="48">
        <v>3</v>
      </c>
      <c r="H5536" s="48"/>
      <c r="I5536" s="49"/>
      <c r="J5536" s="49"/>
      <c r="K5536" s="33"/>
      <c r="L5536" s="20"/>
      <c r="M5536" s="10"/>
      <c r="N5536" s="10"/>
      <c r="O5536" s="10"/>
      <c r="P5536" s="10"/>
      <c r="Q5536" s="10"/>
      <c r="R5536" s="10"/>
      <c r="S5536" s="10"/>
      <c r="T5536" s="10"/>
      <c r="U5536" s="10"/>
      <c r="V5536" s="10"/>
      <c r="W5536" s="10"/>
      <c r="X5536" s="10"/>
      <c r="Y5536" s="10"/>
      <c r="Z5536" s="10"/>
      <c r="AA5536" s="10"/>
      <c r="AB5536" s="10"/>
      <c r="AC5536" s="10"/>
      <c r="AD5536" s="10"/>
      <c r="AE5536" s="10"/>
      <c r="AF5536" s="10"/>
      <c r="AG5536" s="10"/>
      <c r="AH5536" s="10"/>
    </row>
    <row r="5537" spans="1:34" outlineLevel="2">
      <c r="A5537" s="21"/>
      <c r="B5537" s="12" t="str">
        <f>IFERROR(VLOOKUP(D5537,'[1]Перечень товаров'!$A$2:$I9525,2,0),"")</f>
        <v>п26</v>
      </c>
      <c r="C5537" s="12" t="str">
        <f>IFERROR(VLOOKUP(D5537,'[1]Перечень товаров'!$A$2:$I9525,3,0),"")</f>
        <v>Прочее</v>
      </c>
      <c r="D5537" s="22" t="s">
        <v>361</v>
      </c>
      <c r="E5537" s="102"/>
      <c r="F5537" s="102"/>
      <c r="G5537" s="48">
        <v>2</v>
      </c>
      <c r="H5537" s="48"/>
      <c r="I5537" s="49"/>
      <c r="J5537" s="49"/>
      <c r="K5537" s="33"/>
      <c r="L5537" s="20"/>
      <c r="M5537" s="10"/>
      <c r="N5537" s="10"/>
      <c r="O5537" s="10"/>
      <c r="P5537" s="10"/>
      <c r="Q5537" s="10"/>
      <c r="R5537" s="10"/>
      <c r="S5537" s="10"/>
      <c r="T5537" s="10"/>
      <c r="U5537" s="10"/>
      <c r="V5537" s="10"/>
      <c r="W5537" s="10"/>
      <c r="X5537" s="10"/>
      <c r="Y5537" s="10"/>
      <c r="Z5537" s="10"/>
      <c r="AA5537" s="10"/>
      <c r="AB5537" s="10"/>
      <c r="AC5537" s="10"/>
      <c r="AD5537" s="10"/>
      <c r="AE5537" s="10"/>
      <c r="AF5537" s="10"/>
      <c r="AG5537" s="10"/>
      <c r="AH5537" s="10"/>
    </row>
    <row r="5538" spans="1:34" outlineLevel="2">
      <c r="A5538" s="21"/>
      <c r="B5538" s="12" t="str">
        <f>IFERROR(VLOOKUP(D5538,'[1]Перечень товаров'!$A$2:$I9525,2,0),"")</f>
        <v>п27</v>
      </c>
      <c r="C5538" s="12" t="str">
        <f>IFERROR(VLOOKUP(D5538,'[1]Перечень товаров'!$A$2:$I9525,3,0),"")</f>
        <v>Прочее</v>
      </c>
      <c r="D5538" s="22" t="s">
        <v>362</v>
      </c>
      <c r="E5538" s="102"/>
      <c r="F5538" s="102"/>
      <c r="G5538" s="48">
        <v>2</v>
      </c>
      <c r="H5538" s="48"/>
      <c r="I5538" s="49"/>
      <c r="J5538" s="49"/>
      <c r="K5538" s="33"/>
      <c r="L5538" s="20"/>
      <c r="M5538" s="10"/>
      <c r="N5538" s="10"/>
      <c r="O5538" s="10"/>
      <c r="P5538" s="10"/>
      <c r="Q5538" s="10"/>
      <c r="R5538" s="10"/>
      <c r="S5538" s="10"/>
      <c r="T5538" s="10"/>
      <c r="U5538" s="10"/>
      <c r="V5538" s="10"/>
      <c r="W5538" s="10"/>
      <c r="X5538" s="10"/>
      <c r="Y5538" s="10"/>
      <c r="Z5538" s="10"/>
      <c r="AA5538" s="10"/>
      <c r="AB5538" s="10"/>
      <c r="AC5538" s="10"/>
      <c r="AD5538" s="10"/>
      <c r="AE5538" s="10"/>
      <c r="AF5538" s="10"/>
      <c r="AG5538" s="10"/>
      <c r="AH5538" s="10"/>
    </row>
    <row r="5539" spans="1:34" outlineLevel="2">
      <c r="A5539" s="21"/>
      <c r="B5539" s="12" t="str">
        <f>IFERROR(VLOOKUP(D5539,'[1]Перечень товаров'!$A$2:$I9525,2,0),"")</f>
        <v>п28</v>
      </c>
      <c r="C5539" s="12" t="str">
        <f>IFERROR(VLOOKUP(D5539,'[1]Перечень товаров'!$A$2:$I9525,3,0),"")</f>
        <v>Прочее</v>
      </c>
      <c r="D5539" s="22" t="s">
        <v>363</v>
      </c>
      <c r="E5539" s="102"/>
      <c r="F5539" s="102"/>
      <c r="G5539" s="48">
        <v>1</v>
      </c>
      <c r="H5539" s="48"/>
      <c r="I5539" s="49"/>
      <c r="J5539" s="49"/>
      <c r="K5539" s="33"/>
      <c r="L5539" s="20"/>
      <c r="M5539" s="10"/>
      <c r="N5539" s="10"/>
      <c r="O5539" s="10"/>
      <c r="P5539" s="10"/>
      <c r="Q5539" s="10"/>
      <c r="R5539" s="10"/>
      <c r="S5539" s="10"/>
      <c r="T5539" s="10"/>
      <c r="U5539" s="10"/>
      <c r="V5539" s="10"/>
      <c r="W5539" s="10"/>
      <c r="X5539" s="10"/>
      <c r="Y5539" s="10"/>
      <c r="Z5539" s="10"/>
      <c r="AA5539" s="10"/>
      <c r="AB5539" s="10"/>
      <c r="AC5539" s="10"/>
      <c r="AD5539" s="10"/>
      <c r="AE5539" s="10"/>
      <c r="AF5539" s="10"/>
      <c r="AG5539" s="10"/>
      <c r="AH5539" s="10"/>
    </row>
    <row r="5540" spans="1:34" outlineLevel="2">
      <c r="A5540" s="21"/>
      <c r="B5540" s="12" t="str">
        <f>IFERROR(VLOOKUP(D5540,'[1]Перечень товаров'!$A$2:$I9525,2,0),"")</f>
        <v>п29</v>
      </c>
      <c r="C5540" s="12" t="str">
        <f>IFERROR(VLOOKUP(D5540,'[1]Перечень товаров'!$A$2:$I9525,3,0),"")</f>
        <v>Прочее</v>
      </c>
      <c r="D5540" s="22" t="s">
        <v>364</v>
      </c>
      <c r="E5540" s="102"/>
      <c r="F5540" s="102"/>
      <c r="G5540" s="48">
        <v>6</v>
      </c>
      <c r="H5540" s="48"/>
      <c r="I5540" s="49"/>
      <c r="J5540" s="49"/>
      <c r="K5540" s="33"/>
      <c r="L5540" s="20"/>
      <c r="M5540" s="10"/>
      <c r="N5540" s="10"/>
      <c r="O5540" s="10"/>
      <c r="P5540" s="10"/>
      <c r="Q5540" s="10"/>
      <c r="R5540" s="10"/>
      <c r="S5540" s="10"/>
      <c r="T5540" s="10"/>
      <c r="U5540" s="10"/>
      <c r="V5540" s="10"/>
      <c r="W5540" s="10"/>
      <c r="X5540" s="10"/>
      <c r="Y5540" s="10"/>
      <c r="Z5540" s="10"/>
      <c r="AA5540" s="10"/>
      <c r="AB5540" s="10"/>
      <c r="AC5540" s="10"/>
      <c r="AD5540" s="10"/>
      <c r="AE5540" s="10"/>
      <c r="AF5540" s="10"/>
      <c r="AG5540" s="10"/>
      <c r="AH5540" s="10"/>
    </row>
    <row r="5541" spans="1:34" outlineLevel="2">
      <c r="A5541" s="21"/>
      <c r="B5541" s="12" t="str">
        <f>IFERROR(VLOOKUP(D5541,'[1]Перечень товаров'!$A$2:$I9525,2,0),"")</f>
        <v>п30</v>
      </c>
      <c r="C5541" s="12" t="str">
        <f>IFERROR(VLOOKUP(D5541,'[1]Перечень товаров'!$A$2:$I9525,3,0),"")</f>
        <v>Прочее</v>
      </c>
      <c r="D5541" s="22" t="s">
        <v>365</v>
      </c>
      <c r="E5541" s="102"/>
      <c r="F5541" s="102"/>
      <c r="G5541" s="48">
        <v>2</v>
      </c>
      <c r="H5541" s="48"/>
      <c r="I5541" s="49"/>
      <c r="J5541" s="49"/>
      <c r="K5541" s="33"/>
      <c r="L5541" s="20"/>
      <c r="M5541" s="10"/>
      <c r="N5541" s="10"/>
      <c r="O5541" s="10"/>
      <c r="P5541" s="10"/>
      <c r="Q5541" s="10"/>
      <c r="R5541" s="10"/>
      <c r="S5541" s="10"/>
      <c r="T5541" s="10"/>
      <c r="U5541" s="10"/>
      <c r="V5541" s="10"/>
      <c r="W5541" s="10"/>
      <c r="X5541" s="10"/>
      <c r="Y5541" s="10"/>
      <c r="Z5541" s="10"/>
      <c r="AA5541" s="10"/>
      <c r="AB5541" s="10"/>
      <c r="AC5541" s="10"/>
      <c r="AD5541" s="10"/>
      <c r="AE5541" s="10"/>
      <c r="AF5541" s="10"/>
      <c r="AG5541" s="10"/>
      <c r="AH5541" s="10"/>
    </row>
    <row r="5542" spans="1:34" ht="31.5" outlineLevel="2">
      <c r="A5542" s="21"/>
      <c r="B5542" s="12" t="str">
        <f>IFERROR(VLOOKUP(D5542,'[1]Перечень товаров'!$A$2:$I9525,2,0),"")</f>
        <v>п31</v>
      </c>
      <c r="C5542" s="12" t="str">
        <f>IFERROR(VLOOKUP(D5542,'[1]Перечень товаров'!$A$2:$I9525,3,0),"")</f>
        <v>Прочее</v>
      </c>
      <c r="D5542" s="22" t="s">
        <v>366</v>
      </c>
      <c r="E5542" s="102"/>
      <c r="F5542" s="102"/>
      <c r="G5542" s="48">
        <v>1</v>
      </c>
      <c r="H5542" s="48"/>
      <c r="I5542" s="49"/>
      <c r="J5542" s="49"/>
      <c r="K5542" s="33"/>
      <c r="L5542" s="20"/>
      <c r="M5542" s="10"/>
      <c r="N5542" s="10"/>
      <c r="O5542" s="10"/>
      <c r="P5542" s="10"/>
      <c r="Q5542" s="10"/>
      <c r="R5542" s="10"/>
      <c r="S5542" s="10"/>
      <c r="T5542" s="10"/>
      <c r="U5542" s="10"/>
      <c r="V5542" s="10"/>
      <c r="W5542" s="10"/>
      <c r="X5542" s="10"/>
      <c r="Y5542" s="10"/>
      <c r="Z5542" s="10"/>
      <c r="AA5542" s="10"/>
      <c r="AB5542" s="10"/>
      <c r="AC5542" s="10"/>
      <c r="AD5542" s="10"/>
      <c r="AE5542" s="10"/>
      <c r="AF5542" s="10"/>
      <c r="AG5542" s="10"/>
      <c r="AH5542" s="10"/>
    </row>
    <row r="5543" spans="1:34" ht="31.5" outlineLevel="2">
      <c r="A5543" s="21"/>
      <c r="B5543" s="12" t="str">
        <f>IFERROR(VLOOKUP(D5543,'[1]Перечень товаров'!$A$2:$I9525,2,0),"")</f>
        <v>п32</v>
      </c>
      <c r="C5543" s="12" t="str">
        <f>IFERROR(VLOOKUP(D5543,'[1]Перечень товаров'!$A$2:$I9525,3,0),"")</f>
        <v>Прочее</v>
      </c>
      <c r="D5543" s="22" t="s">
        <v>367</v>
      </c>
      <c r="E5543" s="102"/>
      <c r="F5543" s="102"/>
      <c r="G5543" s="48">
        <v>2</v>
      </c>
      <c r="H5543" s="48"/>
      <c r="I5543" s="49"/>
      <c r="J5543" s="49"/>
      <c r="K5543" s="33"/>
      <c r="L5543" s="20"/>
      <c r="M5543" s="10"/>
      <c r="N5543" s="10"/>
      <c r="O5543" s="10"/>
      <c r="P5543" s="10"/>
      <c r="Q5543" s="10"/>
      <c r="R5543" s="10"/>
      <c r="S5543" s="10"/>
      <c r="T5543" s="10"/>
      <c r="U5543" s="10"/>
      <c r="V5543" s="10"/>
      <c r="W5543" s="10"/>
      <c r="X5543" s="10"/>
      <c r="Y5543" s="10"/>
      <c r="Z5543" s="10"/>
      <c r="AA5543" s="10"/>
      <c r="AB5543" s="10"/>
      <c r="AC5543" s="10"/>
      <c r="AD5543" s="10"/>
      <c r="AE5543" s="10"/>
      <c r="AF5543" s="10"/>
      <c r="AG5543" s="10"/>
      <c r="AH5543" s="10"/>
    </row>
    <row r="5544" spans="1:34" ht="12.75" outlineLevel="1">
      <c r="A5544" s="11"/>
      <c r="B5544" s="12" t="str">
        <f>IFERROR(VLOOKUP(D5544,'[1]Перечень товаров'!$A$2:$I9525,2,0),"")</f>
        <v/>
      </c>
      <c r="C5544" s="12" t="str">
        <f>IFERROR(VLOOKUP(D5544,'[1]Перечень товаров'!$A$2:$I9525,3,0),"")</f>
        <v/>
      </c>
      <c r="D5544" s="27" t="s">
        <v>1577</v>
      </c>
      <c r="E5544" s="14">
        <v>4.5</v>
      </c>
      <c r="F5544" s="14"/>
      <c r="G5544" s="17"/>
      <c r="H5544" s="17"/>
      <c r="I5544" s="57"/>
      <c r="J5544" s="57"/>
      <c r="K5544" s="19"/>
      <c r="L5544" s="20"/>
      <c r="M5544" s="10"/>
      <c r="N5544" s="10"/>
      <c r="O5544" s="10"/>
      <c r="P5544" s="10"/>
      <c r="Q5544" s="10"/>
      <c r="R5544" s="10"/>
      <c r="S5544" s="10"/>
      <c r="T5544" s="10"/>
      <c r="U5544" s="10"/>
      <c r="V5544" s="10"/>
      <c r="W5544" s="10"/>
      <c r="X5544" s="10"/>
      <c r="Y5544" s="10"/>
      <c r="Z5544" s="10"/>
      <c r="AA5544" s="10"/>
      <c r="AB5544" s="10"/>
      <c r="AC5544" s="10"/>
      <c r="AD5544" s="10"/>
      <c r="AE5544" s="10"/>
      <c r="AF5544" s="10"/>
      <c r="AG5544" s="10"/>
      <c r="AH5544" s="10"/>
    </row>
    <row r="5545" spans="1:34" outlineLevel="2">
      <c r="A5545" s="43"/>
      <c r="B5545" s="12" t="str">
        <f>IFERROR(VLOOKUP(D5545,'[1]Перечень товаров'!$A$2:$I9525,2,0),"")</f>
        <v>м222</v>
      </c>
      <c r="C5545" s="12" t="str">
        <f>IFERROR(VLOOKUP(D5545,'[1]Перечень товаров'!$A$2:$I9525,3,0),"")</f>
        <v>Мебель</v>
      </c>
      <c r="D5545" s="44" t="s">
        <v>880</v>
      </c>
      <c r="E5545" s="102"/>
      <c r="F5545" s="102"/>
      <c r="G5545" s="24">
        <v>1</v>
      </c>
      <c r="H5545" s="24"/>
      <c r="I5545" s="25"/>
      <c r="J5545" s="25"/>
      <c r="K5545" s="19"/>
      <c r="L5545" s="20"/>
      <c r="M5545" s="10"/>
      <c r="N5545" s="10"/>
      <c r="O5545" s="10"/>
      <c r="P5545" s="10"/>
      <c r="Q5545" s="10"/>
      <c r="R5545" s="10"/>
      <c r="S5545" s="10"/>
      <c r="T5545" s="10"/>
      <c r="U5545" s="10"/>
      <c r="V5545" s="10"/>
      <c r="W5545" s="10"/>
      <c r="X5545" s="10"/>
      <c r="Y5545" s="10"/>
      <c r="Z5545" s="10"/>
      <c r="AA5545" s="10"/>
      <c r="AB5545" s="10"/>
      <c r="AC5545" s="10"/>
      <c r="AD5545" s="10"/>
      <c r="AE5545" s="10"/>
      <c r="AF5545" s="10"/>
      <c r="AG5545" s="10"/>
      <c r="AH5545" s="10"/>
    </row>
    <row r="5546" spans="1:34" outlineLevel="2">
      <c r="A5546" s="43"/>
      <c r="B5546" s="12" t="str">
        <f>IFERROR(VLOOKUP(D5546,'[1]Перечень товаров'!$A$2:$I9525,2,0),"")</f>
        <v>м223</v>
      </c>
      <c r="C5546" s="12" t="str">
        <f>IFERROR(VLOOKUP(D5546,'[1]Перечень товаров'!$A$2:$I9525,3,0),"")</f>
        <v>Мебель</v>
      </c>
      <c r="D5546" s="44" t="s">
        <v>881</v>
      </c>
      <c r="E5546" s="102"/>
      <c r="F5546" s="102"/>
      <c r="G5546" s="24">
        <v>1</v>
      </c>
      <c r="H5546" s="24"/>
      <c r="I5546" s="25"/>
      <c r="J5546" s="25"/>
      <c r="K5546" s="19"/>
      <c r="L5546" s="20"/>
      <c r="M5546" s="10"/>
      <c r="N5546" s="10"/>
      <c r="O5546" s="10"/>
      <c r="P5546" s="10"/>
      <c r="Q5546" s="10"/>
      <c r="R5546" s="10"/>
      <c r="S5546" s="10"/>
      <c r="T5546" s="10"/>
      <c r="U5546" s="10"/>
      <c r="V5546" s="10"/>
      <c r="W5546" s="10"/>
      <c r="X5546" s="10"/>
      <c r="Y5546" s="10"/>
      <c r="Z5546" s="10"/>
      <c r="AA5546" s="10"/>
      <c r="AB5546" s="10"/>
      <c r="AC5546" s="10"/>
      <c r="AD5546" s="10"/>
      <c r="AE5546" s="10"/>
      <c r="AF5546" s="10"/>
      <c r="AG5546" s="10"/>
      <c r="AH5546" s="10"/>
    </row>
    <row r="5547" spans="1:34" outlineLevel="2">
      <c r="A5547" s="43"/>
      <c r="B5547" s="12" t="str">
        <f>IFERROR(VLOOKUP(D5547,'[1]Перечень товаров'!$A$2:$I9525,2,0),"")</f>
        <v>м224</v>
      </c>
      <c r="C5547" s="12" t="str">
        <f>IFERROR(VLOOKUP(D5547,'[1]Перечень товаров'!$A$2:$I9525,3,0),"")</f>
        <v>Мебель</v>
      </c>
      <c r="D5547" s="44" t="s">
        <v>882</v>
      </c>
      <c r="E5547" s="102"/>
      <c r="F5547" s="102"/>
      <c r="G5547" s="24">
        <v>1</v>
      </c>
      <c r="H5547" s="24"/>
      <c r="I5547" s="25"/>
      <c r="J5547" s="25"/>
      <c r="K5547" s="19"/>
      <c r="L5547" s="20"/>
      <c r="M5547" s="10"/>
      <c r="N5547" s="10"/>
      <c r="O5547" s="10"/>
      <c r="P5547" s="10"/>
      <c r="Q5547" s="10"/>
      <c r="R5547" s="10"/>
      <c r="S5547" s="10"/>
      <c r="T5547" s="10"/>
      <c r="U5547" s="10"/>
      <c r="V5547" s="10"/>
      <c r="W5547" s="10"/>
      <c r="X5547" s="10"/>
      <c r="Y5547" s="10"/>
      <c r="Z5547" s="10"/>
      <c r="AA5547" s="10"/>
      <c r="AB5547" s="10"/>
      <c r="AC5547" s="10"/>
      <c r="AD5547" s="10"/>
      <c r="AE5547" s="10"/>
      <c r="AF5547" s="10"/>
      <c r="AG5547" s="10"/>
      <c r="AH5547" s="10"/>
    </row>
    <row r="5548" spans="1:34" outlineLevel="2">
      <c r="A5548" s="43"/>
      <c r="B5548" s="12" t="str">
        <f>IFERROR(VLOOKUP(D5548,'[1]Перечень товаров'!$A$2:$I9525,2,0),"")</f>
        <v>м225</v>
      </c>
      <c r="C5548" s="12" t="str">
        <f>IFERROR(VLOOKUP(D5548,'[1]Перечень товаров'!$A$2:$I9525,3,0),"")</f>
        <v>Мебель</v>
      </c>
      <c r="D5548" s="44" t="s">
        <v>883</v>
      </c>
      <c r="E5548" s="102"/>
      <c r="F5548" s="102"/>
      <c r="G5548" s="24">
        <v>1</v>
      </c>
      <c r="H5548" s="24"/>
      <c r="I5548" s="25"/>
      <c r="J5548" s="25"/>
      <c r="K5548" s="19"/>
      <c r="L5548" s="20"/>
      <c r="M5548" s="10"/>
      <c r="N5548" s="10"/>
      <c r="O5548" s="10"/>
      <c r="P5548" s="10"/>
      <c r="Q5548" s="10"/>
      <c r="R5548" s="10"/>
      <c r="S5548" s="10"/>
      <c r="T5548" s="10"/>
      <c r="U5548" s="10"/>
      <c r="V5548" s="10"/>
      <c r="W5548" s="10"/>
      <c r="X5548" s="10"/>
      <c r="Y5548" s="10"/>
      <c r="Z5548" s="10"/>
      <c r="AA5548" s="10"/>
      <c r="AB5548" s="10"/>
      <c r="AC5548" s="10"/>
      <c r="AD5548" s="10"/>
      <c r="AE5548" s="10"/>
      <c r="AF5548" s="10"/>
      <c r="AG5548" s="10"/>
      <c r="AH5548" s="10"/>
    </row>
    <row r="5549" spans="1:34" outlineLevel="2">
      <c r="A5549" s="43"/>
      <c r="B5549" s="12" t="str">
        <f>IFERROR(VLOOKUP(D5549,'[1]Перечень товаров'!$A$2:$I9525,2,0),"")</f>
        <v>п28</v>
      </c>
      <c r="C5549" s="12" t="str">
        <f>IFERROR(VLOOKUP(D5549,'[1]Перечень товаров'!$A$2:$I9525,3,0),"")</f>
        <v>Прочее</v>
      </c>
      <c r="D5549" s="44" t="s">
        <v>363</v>
      </c>
      <c r="E5549" s="102"/>
      <c r="F5549" s="102"/>
      <c r="G5549" s="24">
        <v>1</v>
      </c>
      <c r="H5549" s="24"/>
      <c r="I5549" s="25"/>
      <c r="J5549" s="25"/>
      <c r="K5549" s="19"/>
      <c r="L5549" s="20"/>
      <c r="M5549" s="10"/>
      <c r="N5549" s="10"/>
      <c r="O5549" s="10"/>
      <c r="P5549" s="10"/>
      <c r="Q5549" s="10"/>
      <c r="R5549" s="10"/>
      <c r="S5549" s="10"/>
      <c r="T5549" s="10"/>
      <c r="U5549" s="10"/>
      <c r="V5549" s="10"/>
      <c r="W5549" s="10"/>
      <c r="X5549" s="10"/>
      <c r="Y5549" s="10"/>
      <c r="Z5549" s="10"/>
      <c r="AA5549" s="10"/>
      <c r="AB5549" s="10"/>
      <c r="AC5549" s="10"/>
      <c r="AD5549" s="10"/>
      <c r="AE5549" s="10"/>
      <c r="AF5549" s="10"/>
      <c r="AG5549" s="10"/>
      <c r="AH5549" s="10"/>
    </row>
    <row r="5550" spans="1:34" outlineLevel="2">
      <c r="A5550" s="43"/>
      <c r="B5550" s="12" t="str">
        <f>IFERROR(VLOOKUP(D5550,'[1]Перечень товаров'!$A$2:$I9525,2,0),"")</f>
        <v>м226</v>
      </c>
      <c r="C5550" s="12" t="str">
        <f>IFERROR(VLOOKUP(D5550,'[1]Перечень товаров'!$A$2:$I9525,3,0),"")</f>
        <v>Мебель</v>
      </c>
      <c r="D5550" s="44" t="s">
        <v>884</v>
      </c>
      <c r="E5550" s="102"/>
      <c r="F5550" s="102"/>
      <c r="G5550" s="24">
        <v>1</v>
      </c>
      <c r="H5550" s="24"/>
      <c r="I5550" s="25"/>
      <c r="J5550" s="25"/>
      <c r="K5550" s="19"/>
      <c r="L5550" s="20"/>
      <c r="M5550" s="10"/>
      <c r="N5550" s="10"/>
      <c r="O5550" s="10"/>
      <c r="P5550" s="10"/>
      <c r="Q5550" s="10"/>
      <c r="R5550" s="10"/>
      <c r="S5550" s="10"/>
      <c r="T5550" s="10"/>
      <c r="U5550" s="10"/>
      <c r="V5550" s="10"/>
      <c r="W5550" s="10"/>
      <c r="X5550" s="10"/>
      <c r="Y5550" s="10"/>
      <c r="Z5550" s="10"/>
      <c r="AA5550" s="10"/>
      <c r="AB5550" s="10"/>
      <c r="AC5550" s="10"/>
      <c r="AD5550" s="10"/>
      <c r="AE5550" s="10"/>
      <c r="AF5550" s="10"/>
      <c r="AG5550" s="10"/>
      <c r="AH5550" s="10"/>
    </row>
    <row r="5551" spans="1:34" outlineLevel="1">
      <c r="A5551" s="21"/>
      <c r="B5551" s="12" t="str">
        <f>IFERROR(VLOOKUP(D5551,'[1]Перечень товаров'!$A$2:$I9525,2,0),"")</f>
        <v/>
      </c>
      <c r="C5551" s="12" t="str">
        <f>IFERROR(VLOOKUP(D5551,'[1]Перечень товаров'!$A$2:$I9525,3,0),"")</f>
        <v/>
      </c>
      <c r="D5551" s="22" t="s">
        <v>934</v>
      </c>
      <c r="E5551" s="23">
        <v>3.1</v>
      </c>
      <c r="F5551" s="23"/>
      <c r="G5551" s="24"/>
      <c r="H5551" s="24"/>
      <c r="I5551" s="25"/>
      <c r="J5551" s="25"/>
      <c r="K5551" s="19"/>
      <c r="L5551" s="20"/>
      <c r="M5551" s="10"/>
      <c r="N5551" s="10"/>
      <c r="O5551" s="10"/>
      <c r="P5551" s="10"/>
      <c r="Q5551" s="10"/>
      <c r="R5551" s="10"/>
      <c r="S5551" s="10"/>
      <c r="T5551" s="10"/>
      <c r="U5551" s="10"/>
      <c r="V5551" s="10"/>
      <c r="W5551" s="10"/>
      <c r="X5551" s="10"/>
      <c r="Y5551" s="10"/>
      <c r="Z5551" s="10"/>
      <c r="AA5551" s="10"/>
      <c r="AB5551" s="10"/>
      <c r="AC5551" s="10"/>
      <c r="AD5551" s="10"/>
      <c r="AE5551" s="10"/>
      <c r="AF5551" s="10"/>
      <c r="AG5551" s="10"/>
      <c r="AH5551" s="10"/>
    </row>
    <row r="5552" spans="1:34" ht="12.75" outlineLevel="1">
      <c r="A5552" s="11"/>
      <c r="B5552" s="12" t="str">
        <f>IFERROR(VLOOKUP(D5552,'[1]Перечень товаров'!$A$2:$I9525,2,0),"")</f>
        <v/>
      </c>
      <c r="C5552" s="12" t="str">
        <f>IFERROR(VLOOKUP(D5552,'[1]Перечень товаров'!$A$2:$I9525,3,0),"")</f>
        <v/>
      </c>
      <c r="D5552" s="27" t="s">
        <v>1581</v>
      </c>
      <c r="E5552" s="14">
        <v>16.7</v>
      </c>
      <c r="F5552" s="14"/>
      <c r="G5552" s="17"/>
      <c r="H5552" s="17"/>
      <c r="I5552" s="57"/>
      <c r="J5552" s="57"/>
      <c r="K5552" s="19"/>
      <c r="L5552" s="20"/>
      <c r="M5552" s="10"/>
      <c r="N5552" s="10"/>
      <c r="O5552" s="10"/>
      <c r="P5552" s="10"/>
      <c r="Q5552" s="10"/>
      <c r="R5552" s="10"/>
      <c r="S5552" s="10"/>
      <c r="T5552" s="10"/>
      <c r="U5552" s="10"/>
      <c r="V5552" s="10"/>
      <c r="W5552" s="10"/>
      <c r="X5552" s="10"/>
      <c r="Y5552" s="10"/>
      <c r="Z5552" s="10"/>
      <c r="AA5552" s="10"/>
      <c r="AB5552" s="10"/>
      <c r="AC5552" s="10"/>
      <c r="AD5552" s="10"/>
      <c r="AE5552" s="10"/>
      <c r="AF5552" s="10"/>
      <c r="AG5552" s="10"/>
      <c r="AH5552" s="10"/>
    </row>
    <row r="5553" spans="1:34" outlineLevel="2">
      <c r="A5553" s="22"/>
      <c r="B5553" s="12" t="str">
        <f>IFERROR(VLOOKUP(D5553,'[1]Перечень товаров'!$A$2:$I9525,2,0),"")</f>
        <v>м14</v>
      </c>
      <c r="C5553" s="12" t="str">
        <f>IFERROR(VLOOKUP(D5553,'[1]Перечень товаров'!$A$2:$I9525,3,0),"")</f>
        <v>Мебель</v>
      </c>
      <c r="D5553" s="22" t="s">
        <v>43</v>
      </c>
      <c r="E5553" s="203"/>
      <c r="F5553" s="203"/>
      <c r="G5553" s="24">
        <v>1</v>
      </c>
      <c r="H5553" s="24"/>
      <c r="I5553" s="25"/>
      <c r="J5553" s="25"/>
      <c r="K5553" s="19"/>
      <c r="L5553" s="20"/>
      <c r="M5553" s="10"/>
      <c r="N5553" s="10"/>
      <c r="O5553" s="10"/>
      <c r="P5553" s="10"/>
      <c r="Q5553" s="10"/>
      <c r="R5553" s="10"/>
      <c r="S5553" s="10"/>
      <c r="T5553" s="10"/>
      <c r="U5553" s="10"/>
      <c r="V5553" s="10"/>
      <c r="W5553" s="10"/>
      <c r="X5553" s="10"/>
      <c r="Y5553" s="10"/>
      <c r="Z5553" s="10"/>
      <c r="AA5553" s="10"/>
      <c r="AB5553" s="10"/>
      <c r="AC5553" s="10"/>
      <c r="AD5553" s="10"/>
      <c r="AE5553" s="10"/>
      <c r="AF5553" s="10"/>
      <c r="AG5553" s="10"/>
      <c r="AH5553" s="10"/>
    </row>
    <row r="5554" spans="1:34" outlineLevel="2">
      <c r="A5554" s="21"/>
      <c r="B5554" s="12" t="str">
        <f>IFERROR(VLOOKUP(D5554,'[1]Перечень товаров'!$A$2:$I9525,2,0),"")</f>
        <v>м167</v>
      </c>
      <c r="C5554" s="12" t="str">
        <f>IFERROR(VLOOKUP(D5554,'[1]Перечень товаров'!$A$2:$I9525,3,0),"")</f>
        <v>Мебель</v>
      </c>
      <c r="D5554" s="22" t="s">
        <v>508</v>
      </c>
      <c r="E5554" s="203"/>
      <c r="F5554" s="203"/>
      <c r="G5554" s="24">
        <v>1</v>
      </c>
      <c r="H5554" s="24"/>
      <c r="I5554" s="25"/>
      <c r="J5554" s="25"/>
      <c r="K5554" s="19"/>
      <c r="L5554" s="20"/>
      <c r="M5554" s="10"/>
      <c r="N5554" s="10"/>
      <c r="O5554" s="10"/>
      <c r="P5554" s="10"/>
      <c r="Q5554" s="10"/>
      <c r="R5554" s="10"/>
      <c r="S5554" s="10"/>
      <c r="T5554" s="10"/>
      <c r="U5554" s="10"/>
      <c r="V5554" s="10"/>
      <c r="W5554" s="10"/>
      <c r="X5554" s="10"/>
      <c r="Y5554" s="10"/>
      <c r="Z5554" s="10"/>
      <c r="AA5554" s="10"/>
      <c r="AB5554" s="10"/>
      <c r="AC5554" s="10"/>
      <c r="AD5554" s="10"/>
      <c r="AE5554" s="10"/>
      <c r="AF5554" s="10"/>
      <c r="AG5554" s="10"/>
      <c r="AH5554" s="10"/>
    </row>
    <row r="5555" spans="1:34" outlineLevel="2">
      <c r="A5555" s="21"/>
      <c r="B5555" s="12" t="str">
        <f>IFERROR(VLOOKUP(D5555,'[1]Перечень товаров'!$A$2:$I9525,2,0),"")</f>
        <v>м218</v>
      </c>
      <c r="C5555" s="12" t="str">
        <f>IFERROR(VLOOKUP(D5555,'[1]Перечень товаров'!$A$2:$I9525,3,0),"")</f>
        <v>Мебель</v>
      </c>
      <c r="D5555" s="22" t="s">
        <v>872</v>
      </c>
      <c r="E5555" s="203"/>
      <c r="F5555" s="203"/>
      <c r="G5555" s="24">
        <v>2</v>
      </c>
      <c r="H5555" s="24"/>
      <c r="I5555" s="25"/>
      <c r="J5555" s="25"/>
      <c r="K5555" s="19"/>
      <c r="L5555" s="20"/>
      <c r="M5555" s="10"/>
      <c r="N5555" s="10"/>
      <c r="O5555" s="10"/>
      <c r="P5555" s="10"/>
      <c r="Q5555" s="10"/>
      <c r="R5555" s="10"/>
      <c r="S5555" s="10"/>
      <c r="T5555" s="10"/>
      <c r="U5555" s="10"/>
      <c r="V5555" s="10"/>
      <c r="W5555" s="10"/>
      <c r="X5555" s="10"/>
      <c r="Y5555" s="10"/>
      <c r="Z5555" s="10"/>
      <c r="AA5555" s="10"/>
      <c r="AB5555" s="10"/>
      <c r="AC5555" s="10"/>
      <c r="AD5555" s="10"/>
      <c r="AE5555" s="10"/>
      <c r="AF5555" s="10"/>
      <c r="AG5555" s="10"/>
      <c r="AH5555" s="10"/>
    </row>
    <row r="5556" spans="1:34" outlineLevel="2">
      <c r="A5556" s="21"/>
      <c r="B5556" s="12" t="str">
        <f>IFERROR(VLOOKUP(D5556,'[1]Перечень товаров'!$A$2:$I9525,2,0),"")</f>
        <v>м219</v>
      </c>
      <c r="C5556" s="12" t="str">
        <f>IFERROR(VLOOKUP(D5556,'[1]Перечень товаров'!$A$2:$I9525,3,0),"")</f>
        <v>Мебель</v>
      </c>
      <c r="D5556" s="22" t="s">
        <v>873</v>
      </c>
      <c r="E5556" s="203"/>
      <c r="F5556" s="203"/>
      <c r="G5556" s="24">
        <v>4</v>
      </c>
      <c r="H5556" s="24"/>
      <c r="I5556" s="25"/>
      <c r="J5556" s="25"/>
      <c r="K5556" s="19"/>
      <c r="L5556" s="20"/>
      <c r="M5556" s="10"/>
      <c r="N5556" s="10"/>
      <c r="O5556" s="10"/>
      <c r="P5556" s="10"/>
      <c r="Q5556" s="10"/>
      <c r="R5556" s="10"/>
      <c r="S5556" s="10"/>
      <c r="T5556" s="10"/>
      <c r="U5556" s="10"/>
      <c r="V5556" s="10"/>
      <c r="W5556" s="10"/>
      <c r="X5556" s="10"/>
      <c r="Y5556" s="10"/>
      <c r="Z5556" s="10"/>
      <c r="AA5556" s="10"/>
      <c r="AB5556" s="10"/>
      <c r="AC5556" s="10"/>
      <c r="AD5556" s="10"/>
      <c r="AE5556" s="10"/>
      <c r="AF5556" s="10"/>
      <c r="AG5556" s="10"/>
      <c r="AH5556" s="10"/>
    </row>
    <row r="5557" spans="1:34" outlineLevel="2">
      <c r="A5557" s="21"/>
      <c r="B5557" s="12" t="str">
        <f>IFERROR(VLOOKUP(D5557,'[1]Перечень товаров'!$A$2:$I9525,2,0),"")</f>
        <v>м220</v>
      </c>
      <c r="C5557" s="12" t="str">
        <f>IFERROR(VLOOKUP(D5557,'[1]Перечень товаров'!$A$2:$I9525,3,0),"")</f>
        <v>Мебель</v>
      </c>
      <c r="D5557" s="22" t="s">
        <v>874</v>
      </c>
      <c r="E5557" s="203"/>
      <c r="F5557" s="203"/>
      <c r="G5557" s="24">
        <v>1</v>
      </c>
      <c r="H5557" s="24"/>
      <c r="I5557" s="25"/>
      <c r="J5557" s="25"/>
      <c r="K5557" s="19"/>
      <c r="L5557" s="20"/>
      <c r="M5557" s="10"/>
      <c r="N5557" s="10"/>
      <c r="O5557" s="10"/>
      <c r="P5557" s="10"/>
      <c r="Q5557" s="10"/>
      <c r="R5557" s="10"/>
      <c r="S5557" s="10"/>
      <c r="T5557" s="10"/>
      <c r="U5557" s="10"/>
      <c r="V5557" s="10"/>
      <c r="W5557" s="10"/>
      <c r="X5557" s="10"/>
      <c r="Y5557" s="10"/>
      <c r="Z5557" s="10"/>
      <c r="AA5557" s="10"/>
      <c r="AB5557" s="10"/>
      <c r="AC5557" s="10"/>
      <c r="AD5557" s="10"/>
      <c r="AE5557" s="10"/>
      <c r="AF5557" s="10"/>
      <c r="AG5557" s="10"/>
      <c r="AH5557" s="10"/>
    </row>
    <row r="5558" spans="1:34" outlineLevel="2">
      <c r="A5558" s="21"/>
      <c r="B5558" s="12" t="str">
        <f>IFERROR(VLOOKUP(D5558,'[1]Перечень товаров'!$A$2:$I9525,2,0),"")</f>
        <v>м187</v>
      </c>
      <c r="C5558" s="12" t="str">
        <f>IFERROR(VLOOKUP(D5558,'[1]Перечень товаров'!$A$2:$I9525,3,0),"")</f>
        <v>мебель</v>
      </c>
      <c r="D5558" s="22" t="s">
        <v>877</v>
      </c>
      <c r="E5558" s="203"/>
      <c r="F5558" s="203"/>
      <c r="G5558" s="24">
        <v>1</v>
      </c>
      <c r="H5558" s="24"/>
      <c r="I5558" s="25"/>
      <c r="J5558" s="25"/>
      <c r="K5558" s="19"/>
      <c r="L5558" s="20"/>
      <c r="M5558" s="10"/>
      <c r="N5558" s="10"/>
      <c r="O5558" s="10"/>
      <c r="P5558" s="10"/>
      <c r="Q5558" s="10"/>
      <c r="R5558" s="10"/>
      <c r="S5558" s="10"/>
      <c r="T5558" s="10"/>
      <c r="U5558" s="10"/>
      <c r="V5558" s="10"/>
      <c r="W5558" s="10"/>
      <c r="X5558" s="10"/>
      <c r="Y5558" s="10"/>
      <c r="Z5558" s="10"/>
      <c r="AA5558" s="10"/>
      <c r="AB5558" s="10"/>
      <c r="AC5558" s="10"/>
      <c r="AD5558" s="10"/>
      <c r="AE5558" s="10"/>
      <c r="AF5558" s="10"/>
      <c r="AG5558" s="10"/>
      <c r="AH5558" s="10"/>
    </row>
    <row r="5559" spans="1:34" outlineLevel="2">
      <c r="A5559" s="21"/>
      <c r="B5559" s="12" t="str">
        <f>IFERROR(VLOOKUP(D5559,'[1]Перечень товаров'!$A$2:$I9525,2,0),"")</f>
        <v>м30</v>
      </c>
      <c r="C5559" s="12" t="str">
        <f>IFERROR(VLOOKUP(D5559,'[1]Перечень товаров'!$A$2:$I9525,3,0),"")</f>
        <v>Мебель</v>
      </c>
      <c r="D5559" s="22" t="s">
        <v>181</v>
      </c>
      <c r="E5559" s="203"/>
      <c r="F5559" s="203"/>
      <c r="G5559" s="24">
        <v>2</v>
      </c>
      <c r="H5559" s="24"/>
      <c r="I5559" s="25"/>
      <c r="J5559" s="25"/>
      <c r="K5559" s="19"/>
      <c r="L5559" s="20"/>
      <c r="M5559" s="10"/>
      <c r="N5559" s="10"/>
      <c r="O5559" s="10"/>
      <c r="P5559" s="10"/>
      <c r="Q5559" s="10"/>
      <c r="R5559" s="10"/>
      <c r="S5559" s="10"/>
      <c r="T5559" s="10"/>
      <c r="U5559" s="10"/>
      <c r="V5559" s="10"/>
      <c r="W5559" s="10"/>
      <c r="X5559" s="10"/>
      <c r="Y5559" s="10"/>
      <c r="Z5559" s="10"/>
      <c r="AA5559" s="10"/>
      <c r="AB5559" s="10"/>
      <c r="AC5559" s="10"/>
      <c r="AD5559" s="10"/>
      <c r="AE5559" s="10"/>
      <c r="AF5559" s="10"/>
      <c r="AG5559" s="10"/>
      <c r="AH5559" s="10"/>
    </row>
    <row r="5560" spans="1:34" outlineLevel="2">
      <c r="A5560" s="21"/>
      <c r="B5560" s="12" t="str">
        <f>IFERROR(VLOOKUP(D5560,'[1]Перечень товаров'!$A$2:$I9525,2,0),"")</f>
        <v>м221</v>
      </c>
      <c r="C5560" s="12" t="str">
        <f>IFERROR(VLOOKUP(D5560,'[1]Перечень товаров'!$A$2:$I9525,3,0),"")</f>
        <v>Мебель</v>
      </c>
      <c r="D5560" s="22" t="s">
        <v>878</v>
      </c>
      <c r="E5560" s="203"/>
      <c r="F5560" s="203"/>
      <c r="G5560" s="24">
        <v>2</v>
      </c>
      <c r="H5560" s="24"/>
      <c r="I5560" s="25"/>
      <c r="J5560" s="25"/>
      <c r="K5560" s="19"/>
      <c r="L5560" s="20"/>
      <c r="M5560" s="10"/>
      <c r="N5560" s="10"/>
      <c r="O5560" s="10"/>
      <c r="P5560" s="10"/>
      <c r="Q5560" s="10"/>
      <c r="R5560" s="10"/>
      <c r="S5560" s="10"/>
      <c r="T5560" s="10"/>
      <c r="U5560" s="10"/>
      <c r="V5560" s="10"/>
      <c r="W5560" s="10"/>
      <c r="X5560" s="10"/>
      <c r="Y5560" s="10"/>
      <c r="Z5560" s="10"/>
      <c r="AA5560" s="10"/>
      <c r="AB5560" s="10"/>
      <c r="AC5560" s="10"/>
      <c r="AD5560" s="10"/>
      <c r="AE5560" s="10"/>
      <c r="AF5560" s="10"/>
      <c r="AG5560" s="10"/>
      <c r="AH5560" s="10"/>
    </row>
    <row r="5561" spans="1:34" ht="12.75" outlineLevel="1">
      <c r="A5561" s="11"/>
      <c r="B5561" s="12" t="str">
        <f>IFERROR(VLOOKUP(D5561,'[1]Перечень товаров'!$A$2:$I9525,2,0),"")</f>
        <v/>
      </c>
      <c r="C5561" s="12" t="str">
        <f>IFERROR(VLOOKUP(D5561,'[1]Перечень товаров'!$A$2:$I9525,3,0),"")</f>
        <v/>
      </c>
      <c r="D5561" s="27" t="s">
        <v>528</v>
      </c>
      <c r="E5561" s="14">
        <v>3.2</v>
      </c>
      <c r="F5561" s="14"/>
      <c r="G5561" s="17"/>
      <c r="H5561" s="17"/>
      <c r="I5561" s="57"/>
      <c r="J5561" s="57"/>
      <c r="K5561" s="19"/>
      <c r="L5561" s="20"/>
      <c r="M5561" s="10"/>
      <c r="N5561" s="10"/>
      <c r="O5561" s="10"/>
      <c r="P5561" s="10"/>
      <c r="Q5561" s="10"/>
      <c r="R5561" s="10"/>
      <c r="S5561" s="10"/>
      <c r="T5561" s="10"/>
      <c r="U5561" s="10"/>
      <c r="V5561" s="10"/>
      <c r="W5561" s="10"/>
      <c r="X5561" s="10"/>
      <c r="Y5561" s="10"/>
      <c r="Z5561" s="10"/>
      <c r="AA5561" s="10"/>
      <c r="AB5561" s="10"/>
      <c r="AC5561" s="10"/>
      <c r="AD5561" s="10"/>
      <c r="AE5561" s="10"/>
      <c r="AF5561" s="10"/>
      <c r="AG5561" s="10"/>
      <c r="AH5561" s="10"/>
    </row>
    <row r="5562" spans="1:34" outlineLevel="2">
      <c r="A5562" s="22"/>
      <c r="B5562" s="12" t="str">
        <f>IFERROR(VLOOKUP(D5562,'[1]Перечень товаров'!$A$2:$I9525,2,0),"")</f>
        <v>п25</v>
      </c>
      <c r="C5562" s="12" t="str">
        <f>IFERROR(VLOOKUP(D5562,'[1]Перечень товаров'!$A$2:$I9525,3,0),"")</f>
        <v>Прочее</v>
      </c>
      <c r="D5562" s="22" t="s">
        <v>360</v>
      </c>
      <c r="E5562" s="102"/>
      <c r="F5562" s="102"/>
      <c r="G5562" s="48">
        <v>3</v>
      </c>
      <c r="H5562" s="48"/>
      <c r="I5562" s="49"/>
      <c r="J5562" s="49"/>
      <c r="K5562" s="19"/>
      <c r="L5562" s="20"/>
      <c r="M5562" s="10"/>
      <c r="N5562" s="10"/>
      <c r="O5562" s="10"/>
      <c r="P5562" s="10"/>
      <c r="Q5562" s="10"/>
      <c r="R5562" s="10"/>
      <c r="S5562" s="10"/>
      <c r="T5562" s="10"/>
      <c r="U5562" s="10"/>
      <c r="V5562" s="10"/>
      <c r="W5562" s="10"/>
      <c r="X5562" s="10"/>
      <c r="Y5562" s="10"/>
      <c r="Z5562" s="10"/>
      <c r="AA5562" s="10"/>
      <c r="AB5562" s="10"/>
      <c r="AC5562" s="10"/>
      <c r="AD5562" s="10"/>
      <c r="AE5562" s="10"/>
      <c r="AF5562" s="10"/>
      <c r="AG5562" s="10"/>
      <c r="AH5562" s="10"/>
    </row>
    <row r="5563" spans="1:34" outlineLevel="2">
      <c r="A5563" s="21"/>
      <c r="B5563" s="12" t="str">
        <f>IFERROR(VLOOKUP(D5563,'[1]Перечень товаров'!$A$2:$I9525,2,0),"")</f>
        <v>п26</v>
      </c>
      <c r="C5563" s="12" t="str">
        <f>IFERROR(VLOOKUP(D5563,'[1]Перечень товаров'!$A$2:$I9525,3,0),"")</f>
        <v>Прочее</v>
      </c>
      <c r="D5563" s="22" t="s">
        <v>361</v>
      </c>
      <c r="E5563" s="102"/>
      <c r="F5563" s="102"/>
      <c r="G5563" s="48">
        <v>2</v>
      </c>
      <c r="H5563" s="48"/>
      <c r="I5563" s="49"/>
      <c r="J5563" s="49"/>
      <c r="K5563" s="19"/>
      <c r="L5563" s="20"/>
      <c r="M5563" s="10"/>
      <c r="N5563" s="10"/>
      <c r="O5563" s="10"/>
      <c r="P5563" s="10"/>
      <c r="Q5563" s="10"/>
      <c r="R5563" s="10"/>
      <c r="S5563" s="10"/>
      <c r="T5563" s="10"/>
      <c r="U5563" s="10"/>
      <c r="V5563" s="10"/>
      <c r="W5563" s="10"/>
      <c r="X5563" s="10"/>
      <c r="Y5563" s="10"/>
      <c r="Z5563" s="10"/>
      <c r="AA5563" s="10"/>
      <c r="AB5563" s="10"/>
      <c r="AC5563" s="10"/>
      <c r="AD5563" s="10"/>
      <c r="AE5563" s="10"/>
      <c r="AF5563" s="10"/>
      <c r="AG5563" s="10"/>
      <c r="AH5563" s="10"/>
    </row>
    <row r="5564" spans="1:34" outlineLevel="2">
      <c r="A5564" s="21"/>
      <c r="B5564" s="12" t="str">
        <f>IFERROR(VLOOKUP(D5564,'[1]Перечень товаров'!$A$2:$I9525,2,0),"")</f>
        <v>п27</v>
      </c>
      <c r="C5564" s="12" t="str">
        <f>IFERROR(VLOOKUP(D5564,'[1]Перечень товаров'!$A$2:$I9525,3,0),"")</f>
        <v>Прочее</v>
      </c>
      <c r="D5564" s="22" t="s">
        <v>362</v>
      </c>
      <c r="E5564" s="102"/>
      <c r="F5564" s="102"/>
      <c r="G5564" s="48">
        <v>2</v>
      </c>
      <c r="H5564" s="48"/>
      <c r="I5564" s="49"/>
      <c r="J5564" s="49"/>
      <c r="K5564" s="19"/>
      <c r="L5564" s="20"/>
      <c r="M5564" s="10"/>
      <c r="N5564" s="10"/>
      <c r="O5564" s="10"/>
      <c r="P5564" s="10"/>
      <c r="Q5564" s="10"/>
      <c r="R5564" s="10"/>
      <c r="S5564" s="10"/>
      <c r="T5564" s="10"/>
      <c r="U5564" s="10"/>
      <c r="V5564" s="10"/>
      <c r="W5564" s="10"/>
      <c r="X5564" s="10"/>
      <c r="Y5564" s="10"/>
      <c r="Z5564" s="10"/>
      <c r="AA5564" s="10"/>
      <c r="AB5564" s="10"/>
      <c r="AC5564" s="10"/>
      <c r="AD5564" s="10"/>
      <c r="AE5564" s="10"/>
      <c r="AF5564" s="10"/>
      <c r="AG5564" s="10"/>
      <c r="AH5564" s="10"/>
    </row>
    <row r="5565" spans="1:34" outlineLevel="2">
      <c r="A5565" s="21"/>
      <c r="B5565" s="12" t="str">
        <f>IFERROR(VLOOKUP(D5565,'[1]Перечень товаров'!$A$2:$I9525,2,0),"")</f>
        <v>п28</v>
      </c>
      <c r="C5565" s="12" t="str">
        <f>IFERROR(VLOOKUP(D5565,'[1]Перечень товаров'!$A$2:$I9525,3,0),"")</f>
        <v>Прочее</v>
      </c>
      <c r="D5565" s="22" t="s">
        <v>363</v>
      </c>
      <c r="E5565" s="102"/>
      <c r="F5565" s="102"/>
      <c r="G5565" s="48">
        <v>1</v>
      </c>
      <c r="H5565" s="48"/>
      <c r="I5565" s="49"/>
      <c r="J5565" s="49"/>
      <c r="K5565" s="19"/>
      <c r="L5565" s="20"/>
      <c r="M5565" s="10"/>
      <c r="N5565" s="10"/>
      <c r="O5565" s="10"/>
      <c r="P5565" s="10"/>
      <c r="Q5565" s="10"/>
      <c r="R5565" s="10"/>
      <c r="S5565" s="10"/>
      <c r="T5565" s="10"/>
      <c r="U5565" s="10"/>
      <c r="V5565" s="10"/>
      <c r="W5565" s="10"/>
      <c r="X5565" s="10"/>
      <c r="Y5565" s="10"/>
      <c r="Z5565" s="10"/>
      <c r="AA5565" s="10"/>
      <c r="AB5565" s="10"/>
      <c r="AC5565" s="10"/>
      <c r="AD5565" s="10"/>
      <c r="AE5565" s="10"/>
      <c r="AF5565" s="10"/>
      <c r="AG5565" s="10"/>
      <c r="AH5565" s="10"/>
    </row>
    <row r="5566" spans="1:34" outlineLevel="2">
      <c r="A5566" s="21"/>
      <c r="B5566" s="12" t="str">
        <f>IFERROR(VLOOKUP(D5566,'[1]Перечень товаров'!$A$2:$I9525,2,0),"")</f>
        <v>п29</v>
      </c>
      <c r="C5566" s="12" t="str">
        <f>IFERROR(VLOOKUP(D5566,'[1]Перечень товаров'!$A$2:$I9525,3,0),"")</f>
        <v>Прочее</v>
      </c>
      <c r="D5566" s="22" t="s">
        <v>364</v>
      </c>
      <c r="E5566" s="102"/>
      <c r="F5566" s="102"/>
      <c r="G5566" s="48">
        <v>6</v>
      </c>
      <c r="H5566" s="48"/>
      <c r="I5566" s="49"/>
      <c r="J5566" s="49"/>
      <c r="K5566" s="19"/>
      <c r="L5566" s="20"/>
      <c r="M5566" s="10"/>
      <c r="N5566" s="10"/>
      <c r="O5566" s="10"/>
      <c r="P5566" s="10"/>
      <c r="Q5566" s="10"/>
      <c r="R5566" s="10"/>
      <c r="S5566" s="10"/>
      <c r="T5566" s="10"/>
      <c r="U5566" s="10"/>
      <c r="V5566" s="10"/>
      <c r="W5566" s="10"/>
      <c r="X5566" s="10"/>
      <c r="Y5566" s="10"/>
      <c r="Z5566" s="10"/>
      <c r="AA5566" s="10"/>
      <c r="AB5566" s="10"/>
      <c r="AC5566" s="10"/>
      <c r="AD5566" s="10"/>
      <c r="AE5566" s="10"/>
      <c r="AF5566" s="10"/>
      <c r="AG5566" s="10"/>
      <c r="AH5566" s="10"/>
    </row>
    <row r="5567" spans="1:34" outlineLevel="2">
      <c r="A5567" s="21"/>
      <c r="B5567" s="12" t="str">
        <f>IFERROR(VLOOKUP(D5567,'[1]Перечень товаров'!$A$2:$I9525,2,0),"")</f>
        <v>п30</v>
      </c>
      <c r="C5567" s="12" t="str">
        <f>IFERROR(VLOOKUP(D5567,'[1]Перечень товаров'!$A$2:$I9525,3,0),"")</f>
        <v>Прочее</v>
      </c>
      <c r="D5567" s="22" t="s">
        <v>365</v>
      </c>
      <c r="E5567" s="102"/>
      <c r="F5567" s="102"/>
      <c r="G5567" s="48">
        <v>2</v>
      </c>
      <c r="H5567" s="48"/>
      <c r="I5567" s="49"/>
      <c r="J5567" s="49"/>
      <c r="K5567" s="19"/>
      <c r="L5567" s="20"/>
      <c r="M5567" s="10"/>
      <c r="N5567" s="10"/>
      <c r="O5567" s="10"/>
      <c r="P5567" s="10"/>
      <c r="Q5567" s="10"/>
      <c r="R5567" s="10"/>
      <c r="S5567" s="10"/>
      <c r="T5567" s="10"/>
      <c r="U5567" s="10"/>
      <c r="V5567" s="10"/>
      <c r="W5567" s="10"/>
      <c r="X5567" s="10"/>
      <c r="Y5567" s="10"/>
      <c r="Z5567" s="10"/>
      <c r="AA5567" s="10"/>
      <c r="AB5567" s="10"/>
      <c r="AC5567" s="10"/>
      <c r="AD5567" s="10"/>
      <c r="AE5567" s="10"/>
      <c r="AF5567" s="10"/>
      <c r="AG5567" s="10"/>
      <c r="AH5567" s="10"/>
    </row>
    <row r="5568" spans="1:34" ht="31.5" outlineLevel="2">
      <c r="A5568" s="21"/>
      <c r="B5568" s="12" t="str">
        <f>IFERROR(VLOOKUP(D5568,'[1]Перечень товаров'!$A$2:$I9525,2,0),"")</f>
        <v>п31</v>
      </c>
      <c r="C5568" s="12" t="str">
        <f>IFERROR(VLOOKUP(D5568,'[1]Перечень товаров'!$A$2:$I9525,3,0),"")</f>
        <v>Прочее</v>
      </c>
      <c r="D5568" s="22" t="s">
        <v>366</v>
      </c>
      <c r="E5568" s="102"/>
      <c r="F5568" s="102"/>
      <c r="G5568" s="48">
        <v>1</v>
      </c>
      <c r="H5568" s="48"/>
      <c r="I5568" s="49"/>
      <c r="J5568" s="49"/>
      <c r="K5568" s="19"/>
      <c r="L5568" s="20"/>
      <c r="M5568" s="10"/>
      <c r="N5568" s="10"/>
      <c r="O5568" s="10"/>
      <c r="P5568" s="10"/>
      <c r="Q5568" s="10"/>
      <c r="R5568" s="10"/>
      <c r="S5568" s="10"/>
      <c r="T5568" s="10"/>
      <c r="U5568" s="10"/>
      <c r="V5568" s="10"/>
      <c r="W5568" s="10"/>
      <c r="X5568" s="10"/>
      <c r="Y5568" s="10"/>
      <c r="Z5568" s="10"/>
      <c r="AA5568" s="10"/>
      <c r="AB5568" s="10"/>
      <c r="AC5568" s="10"/>
      <c r="AD5568" s="10"/>
      <c r="AE5568" s="10"/>
      <c r="AF5568" s="10"/>
      <c r="AG5568" s="10"/>
      <c r="AH5568" s="10"/>
    </row>
    <row r="5569" spans="1:34" ht="31.5" outlineLevel="2">
      <c r="A5569" s="21"/>
      <c r="B5569" s="12" t="str">
        <f>IFERROR(VLOOKUP(D5569,'[1]Перечень товаров'!$A$2:$I9525,2,0),"")</f>
        <v>п32</v>
      </c>
      <c r="C5569" s="12" t="str">
        <f>IFERROR(VLOOKUP(D5569,'[1]Перечень товаров'!$A$2:$I9525,3,0),"")</f>
        <v>Прочее</v>
      </c>
      <c r="D5569" s="22" t="s">
        <v>367</v>
      </c>
      <c r="E5569" s="102"/>
      <c r="F5569" s="102"/>
      <c r="G5569" s="48">
        <v>2</v>
      </c>
      <c r="H5569" s="48"/>
      <c r="I5569" s="49"/>
      <c r="J5569" s="49"/>
      <c r="K5569" s="19"/>
      <c r="L5569" s="20"/>
      <c r="M5569" s="10"/>
      <c r="N5569" s="10"/>
      <c r="O5569" s="10"/>
      <c r="P5569" s="10"/>
      <c r="Q5569" s="10"/>
      <c r="R5569" s="10"/>
      <c r="S5569" s="10"/>
      <c r="T5569" s="10"/>
      <c r="U5569" s="10"/>
      <c r="V5569" s="10"/>
      <c r="W5569" s="10"/>
      <c r="X5569" s="10"/>
      <c r="Y5569" s="10"/>
      <c r="Z5569" s="10"/>
      <c r="AA5569" s="10"/>
      <c r="AB5569" s="10"/>
      <c r="AC5569" s="10"/>
      <c r="AD5569" s="10"/>
      <c r="AE5569" s="10"/>
      <c r="AF5569" s="10"/>
      <c r="AG5569" s="10"/>
      <c r="AH5569" s="10"/>
    </row>
    <row r="5570" spans="1:34" ht="12.75" outlineLevel="1">
      <c r="A5570" s="11"/>
      <c r="B5570" s="12" t="str">
        <f>IFERROR(VLOOKUP(D5570,'[1]Перечень товаров'!$A$2:$I9525,2,0),"")</f>
        <v/>
      </c>
      <c r="C5570" s="12" t="str">
        <f>IFERROR(VLOOKUP(D5570,'[1]Перечень товаров'!$A$2:$I9525,3,0),"")</f>
        <v/>
      </c>
      <c r="D5570" s="27" t="s">
        <v>915</v>
      </c>
      <c r="E5570" s="14">
        <v>11</v>
      </c>
      <c r="F5570" s="14"/>
      <c r="G5570" s="17"/>
      <c r="H5570" s="17"/>
      <c r="I5570" s="57"/>
      <c r="J5570" s="57"/>
      <c r="K5570" s="19"/>
      <c r="L5570" s="20"/>
      <c r="M5570" s="10"/>
      <c r="N5570" s="10"/>
      <c r="O5570" s="10"/>
      <c r="P5570" s="10"/>
      <c r="Q5570" s="10"/>
      <c r="R5570" s="10"/>
      <c r="S5570" s="10"/>
      <c r="T5570" s="10"/>
      <c r="U5570" s="10"/>
      <c r="V5570" s="10"/>
      <c r="W5570" s="10"/>
      <c r="X5570" s="10"/>
      <c r="Y5570" s="10"/>
      <c r="Z5570" s="10"/>
      <c r="AA5570" s="10"/>
      <c r="AB5570" s="10"/>
      <c r="AC5570" s="10"/>
      <c r="AD5570" s="10"/>
      <c r="AE5570" s="10"/>
      <c r="AF5570" s="10"/>
      <c r="AG5570" s="10"/>
      <c r="AH5570" s="10"/>
    </row>
    <row r="5571" spans="1:34" outlineLevel="2">
      <c r="A5571" s="21"/>
      <c r="B5571" s="12" t="str">
        <f>IFERROR(VLOOKUP(D5571,'[1]Перечень товаров'!$A$2:$I9525,2,0),"")</f>
        <v>т1</v>
      </c>
      <c r="C5571" s="12" t="str">
        <f>IFERROR(VLOOKUP(D5571,'[1]Перечень товаров'!$A$2:$I9525,3,0),"")</f>
        <v xml:space="preserve">Техника </v>
      </c>
      <c r="D5571" s="22" t="s">
        <v>28</v>
      </c>
      <c r="E5571" s="23"/>
      <c r="F5571" s="23"/>
      <c r="G5571" s="48">
        <v>1</v>
      </c>
      <c r="H5571" s="48"/>
      <c r="I5571" s="49"/>
      <c r="J5571" s="49"/>
      <c r="K5571" s="19"/>
      <c r="L5571" s="20"/>
      <c r="M5571" s="10"/>
      <c r="N5571" s="10"/>
      <c r="O5571" s="10"/>
      <c r="P5571" s="10"/>
      <c r="Q5571" s="10"/>
      <c r="R5571" s="10"/>
      <c r="S5571" s="10"/>
      <c r="T5571" s="10"/>
      <c r="U5571" s="10"/>
      <c r="V5571" s="10"/>
      <c r="W5571" s="10"/>
      <c r="X5571" s="10"/>
      <c r="Y5571" s="10"/>
      <c r="Z5571" s="10"/>
      <c r="AA5571" s="10"/>
      <c r="AB5571" s="10"/>
      <c r="AC5571" s="10"/>
      <c r="AD5571" s="10"/>
      <c r="AE5571" s="10"/>
      <c r="AF5571" s="10"/>
      <c r="AG5571" s="10"/>
      <c r="AH5571" s="10"/>
    </row>
    <row r="5572" spans="1:34" outlineLevel="2">
      <c r="A5572" s="21"/>
      <c r="B5572" s="12" t="str">
        <f>IFERROR(VLOOKUP(D5572,'[1]Перечень товаров'!$A$2:$I9525,2,0),"")</f>
        <v>т2</v>
      </c>
      <c r="C5572" s="12" t="str">
        <f>IFERROR(VLOOKUP(D5572,'[1]Перечень товаров'!$A$2:$I9525,3,0),"")</f>
        <v xml:space="preserve">Техника </v>
      </c>
      <c r="D5572" s="22" t="s">
        <v>29</v>
      </c>
      <c r="E5572" s="23"/>
      <c r="F5572" s="23"/>
      <c r="G5572" s="48">
        <v>1</v>
      </c>
      <c r="H5572" s="48"/>
      <c r="I5572" s="49"/>
      <c r="J5572" s="49"/>
      <c r="K5572" s="19"/>
      <c r="L5572" s="20"/>
      <c r="M5572" s="10"/>
      <c r="N5572" s="10"/>
      <c r="O5572" s="10"/>
      <c r="P5572" s="10"/>
      <c r="Q5572" s="10"/>
      <c r="R5572" s="10"/>
      <c r="S5572" s="10"/>
      <c r="T5572" s="10"/>
      <c r="U5572" s="10"/>
      <c r="V5572" s="10"/>
      <c r="W5572" s="10"/>
      <c r="X5572" s="10"/>
      <c r="Y5572" s="10"/>
      <c r="Z5572" s="10"/>
      <c r="AA5572" s="10"/>
      <c r="AB5572" s="10"/>
      <c r="AC5572" s="10"/>
      <c r="AD5572" s="10"/>
      <c r="AE5572" s="10"/>
      <c r="AF5572" s="10"/>
      <c r="AG5572" s="10"/>
      <c r="AH5572" s="10"/>
    </row>
    <row r="5573" spans="1:34" outlineLevel="2">
      <c r="A5573" s="35"/>
      <c r="B5573" s="12" t="str">
        <f>IFERROR(VLOOKUP(D5573,'[1]Перечень товаров'!$A$2:$I9525,2,0),"")</f>
        <v>т3</v>
      </c>
      <c r="C5573" s="12" t="str">
        <f>IFERROR(VLOOKUP(D5573,'[1]Перечень товаров'!$A$2:$I9525,3,0),"")</f>
        <v xml:space="preserve">Техника </v>
      </c>
      <c r="D5573" s="35" t="s">
        <v>30</v>
      </c>
      <c r="E5573" s="23"/>
      <c r="F5573" s="23"/>
      <c r="G5573" s="48">
        <v>1</v>
      </c>
      <c r="H5573" s="48"/>
      <c r="I5573" s="49"/>
      <c r="J5573" s="49"/>
      <c r="K5573" s="19"/>
      <c r="L5573" s="20"/>
      <c r="M5573" s="10"/>
      <c r="N5573" s="10"/>
      <c r="O5573" s="10"/>
      <c r="P5573" s="10"/>
      <c r="Q5573" s="10"/>
      <c r="R5573" s="10"/>
      <c r="S5573" s="10"/>
      <c r="T5573" s="10"/>
      <c r="U5573" s="10"/>
      <c r="V5573" s="10"/>
      <c r="W5573" s="10"/>
      <c r="X5573" s="10"/>
      <c r="Y5573" s="10"/>
      <c r="Z5573" s="10"/>
      <c r="AA5573" s="10"/>
      <c r="AB5573" s="10"/>
      <c r="AC5573" s="10"/>
      <c r="AD5573" s="10"/>
      <c r="AE5573" s="10"/>
      <c r="AF5573" s="10"/>
      <c r="AG5573" s="10"/>
      <c r="AH5573" s="10"/>
    </row>
    <row r="5574" spans="1:34" outlineLevel="2">
      <c r="A5574" s="21"/>
      <c r="B5574" s="12" t="str">
        <f>IFERROR(VLOOKUP(D5574,'[1]Перечень товаров'!$A$2:$I9525,2,0),"")</f>
        <v>т8</v>
      </c>
      <c r="C5574" s="12" t="str">
        <f>IFERROR(VLOOKUP(D5574,'[1]Перечень товаров'!$A$2:$I9525,3,0),"")</f>
        <v xml:space="preserve">Техника </v>
      </c>
      <c r="D5574" s="22" t="s">
        <v>35</v>
      </c>
      <c r="E5574" s="23"/>
      <c r="F5574" s="23"/>
      <c r="G5574" s="205">
        <v>1</v>
      </c>
      <c r="H5574" s="205"/>
      <c r="I5574" s="206"/>
      <c r="J5574" s="206"/>
      <c r="K5574" s="19"/>
      <c r="L5574" s="20"/>
      <c r="M5574" s="10"/>
      <c r="N5574" s="10"/>
      <c r="O5574" s="10"/>
      <c r="P5574" s="10"/>
      <c r="Q5574" s="10"/>
      <c r="R5574" s="10"/>
      <c r="S5574" s="10"/>
      <c r="T5574" s="10"/>
      <c r="U5574" s="10"/>
      <c r="V5574" s="10"/>
      <c r="W5574" s="10"/>
      <c r="X5574" s="10"/>
      <c r="Y5574" s="10"/>
      <c r="Z5574" s="10"/>
      <c r="AA5574" s="10"/>
      <c r="AB5574" s="10"/>
      <c r="AC5574" s="10"/>
      <c r="AD5574" s="10"/>
      <c r="AE5574" s="10"/>
      <c r="AF5574" s="10"/>
      <c r="AG5574" s="10"/>
      <c r="AH5574" s="10"/>
    </row>
    <row r="5575" spans="1:34" outlineLevel="2">
      <c r="A5575" s="21"/>
      <c r="B5575" s="12" t="str">
        <f>IFERROR(VLOOKUP(D5575,'[1]Перечень товаров'!$A$2:$I9525,2,0),"")</f>
        <v>т7</v>
      </c>
      <c r="C5575" s="12" t="str">
        <f>IFERROR(VLOOKUP(D5575,'[1]Перечень товаров'!$A$2:$I9525,3,0),"")</f>
        <v xml:space="preserve">Техника </v>
      </c>
      <c r="D5575" s="22" t="s">
        <v>34</v>
      </c>
      <c r="E5575" s="23"/>
      <c r="F5575" s="23"/>
      <c r="G5575" s="205">
        <v>2</v>
      </c>
      <c r="H5575" s="205"/>
      <c r="I5575" s="206"/>
      <c r="J5575" s="206"/>
      <c r="K5575" s="19"/>
      <c r="L5575" s="20"/>
      <c r="M5575" s="10"/>
      <c r="N5575" s="10"/>
      <c r="O5575" s="10"/>
      <c r="P5575" s="10"/>
      <c r="Q5575" s="10"/>
      <c r="R5575" s="10"/>
      <c r="S5575" s="10"/>
      <c r="T5575" s="10"/>
      <c r="U5575" s="10"/>
      <c r="V5575" s="10"/>
      <c r="W5575" s="10"/>
      <c r="X5575" s="10"/>
      <c r="Y5575" s="10"/>
      <c r="Z5575" s="10"/>
      <c r="AA5575" s="10"/>
      <c r="AB5575" s="10"/>
      <c r="AC5575" s="10"/>
      <c r="AD5575" s="10"/>
      <c r="AE5575" s="10"/>
      <c r="AF5575" s="10"/>
      <c r="AG5575" s="10"/>
      <c r="AH5575" s="10"/>
    </row>
    <row r="5576" spans="1:34" outlineLevel="2">
      <c r="A5576" s="21"/>
      <c r="B5576" s="12" t="str">
        <f>IFERROR(VLOOKUP(D5576,'[1]Перечень товаров'!$A$2:$I9525,2,0),"")</f>
        <v>тм65</v>
      </c>
      <c r="C5576" s="12" t="str">
        <f>IFERROR(VLOOKUP(D5576,'[1]Перечень товаров'!$A$2:$I9525,3,0),"")</f>
        <v>Техника муз</v>
      </c>
      <c r="D5576" s="22" t="s">
        <v>380</v>
      </c>
      <c r="E5576" s="23"/>
      <c r="F5576" s="23"/>
      <c r="G5576" s="205">
        <v>1</v>
      </c>
      <c r="H5576" s="205"/>
      <c r="I5576" s="206"/>
      <c r="J5576" s="206"/>
      <c r="K5576" s="19"/>
      <c r="L5576" s="20"/>
      <c r="M5576" s="10"/>
      <c r="N5576" s="10"/>
      <c r="O5576" s="10"/>
      <c r="P5576" s="10"/>
      <c r="Q5576" s="10"/>
      <c r="R5576" s="10"/>
      <c r="S5576" s="10"/>
      <c r="T5576" s="10"/>
      <c r="U5576" s="10"/>
      <c r="V5576" s="10"/>
      <c r="W5576" s="10"/>
      <c r="X5576" s="10"/>
      <c r="Y5576" s="10"/>
      <c r="Z5576" s="10"/>
      <c r="AA5576" s="10"/>
      <c r="AB5576" s="10"/>
      <c r="AC5576" s="10"/>
      <c r="AD5576" s="10"/>
      <c r="AE5576" s="10"/>
      <c r="AF5576" s="10"/>
      <c r="AG5576" s="10"/>
      <c r="AH5576" s="10"/>
    </row>
    <row r="5577" spans="1:34" outlineLevel="2">
      <c r="A5577" s="35"/>
      <c r="B5577" s="12" t="str">
        <f>IFERROR(VLOOKUP(D5577,'[1]Перечень товаров'!$A$2:$I9525,2,0),"")</f>
        <v>т182</v>
      </c>
      <c r="C5577" s="12" t="str">
        <f>IFERROR(VLOOKUP(D5577,'[1]Перечень товаров'!$A$2:$I9525,3,0),"")</f>
        <v>техника</v>
      </c>
      <c r="D5577" s="35" t="s">
        <v>916</v>
      </c>
      <c r="E5577" s="23"/>
      <c r="F5577" s="23"/>
      <c r="G5577" s="48">
        <v>1</v>
      </c>
      <c r="H5577" s="48"/>
      <c r="I5577" s="49"/>
      <c r="J5577" s="49"/>
      <c r="K5577" s="19"/>
      <c r="L5577" s="20"/>
      <c r="M5577" s="10"/>
      <c r="N5577" s="10"/>
      <c r="O5577" s="10"/>
      <c r="P5577" s="10"/>
      <c r="Q5577" s="10"/>
      <c r="R5577" s="10"/>
      <c r="S5577" s="10"/>
      <c r="T5577" s="10"/>
      <c r="U5577" s="10"/>
      <c r="V5577" s="10"/>
      <c r="W5577" s="10"/>
      <c r="X5577" s="10"/>
      <c r="Y5577" s="10"/>
      <c r="Z5577" s="10"/>
      <c r="AA5577" s="10"/>
      <c r="AB5577" s="10"/>
      <c r="AC5577" s="10"/>
      <c r="AD5577" s="10"/>
      <c r="AE5577" s="10"/>
      <c r="AF5577" s="10"/>
      <c r="AG5577" s="10"/>
      <c r="AH5577" s="10"/>
    </row>
    <row r="5578" spans="1:34" outlineLevel="2">
      <c r="A5578" s="35"/>
      <c r="B5578" s="12" t="str">
        <f>IFERROR(VLOOKUP(D5578,'[1]Перечень товаров'!$A$2:$I9525,2,0),"")</f>
        <v>т12</v>
      </c>
      <c r="C5578" s="12" t="str">
        <f>IFERROR(VLOOKUP(D5578,'[1]Перечень товаров'!$A$2:$I9525,3,0),"")</f>
        <v>Техника</v>
      </c>
      <c r="D5578" s="35" t="s">
        <v>49</v>
      </c>
      <c r="E5578" s="23"/>
      <c r="F5578" s="23"/>
      <c r="G5578" s="205">
        <v>1</v>
      </c>
      <c r="H5578" s="205"/>
      <c r="I5578" s="206"/>
      <c r="J5578" s="206"/>
      <c r="K5578" s="19"/>
      <c r="L5578" s="20"/>
      <c r="M5578" s="10"/>
      <c r="N5578" s="10"/>
      <c r="O5578" s="10"/>
      <c r="P5578" s="10"/>
      <c r="Q5578" s="10"/>
      <c r="R5578" s="10"/>
      <c r="S5578" s="10"/>
      <c r="T5578" s="10"/>
      <c r="U5578" s="10"/>
      <c r="V5578" s="10"/>
      <c r="W5578" s="10"/>
      <c r="X5578" s="10"/>
      <c r="Y5578" s="10"/>
      <c r="Z5578" s="10"/>
      <c r="AA5578" s="10"/>
      <c r="AB5578" s="10"/>
      <c r="AC5578" s="10"/>
      <c r="AD5578" s="10"/>
      <c r="AE5578" s="10"/>
      <c r="AF5578" s="10"/>
      <c r="AG5578" s="10"/>
      <c r="AH5578" s="10"/>
    </row>
    <row r="5579" spans="1:34" outlineLevel="2">
      <c r="A5579" s="35"/>
      <c r="B5579" s="12" t="str">
        <f>IFERROR(VLOOKUP(D5579,'[1]Перечень товаров'!$A$2:$I9525,2,0),"")</f>
        <v>т181</v>
      </c>
      <c r="C5579" s="12" t="str">
        <f>IFERROR(VLOOKUP(D5579,'[1]Перечень товаров'!$A$2:$I9525,3,0),"")</f>
        <v>техника</v>
      </c>
      <c r="D5579" s="35" t="s">
        <v>917</v>
      </c>
      <c r="E5579" s="23"/>
      <c r="F5579" s="23"/>
      <c r="G5579" s="205">
        <v>1</v>
      </c>
      <c r="H5579" s="205"/>
      <c r="I5579" s="206"/>
      <c r="J5579" s="206"/>
      <c r="K5579" s="19"/>
      <c r="L5579" s="20"/>
      <c r="M5579" s="10"/>
      <c r="N5579" s="10"/>
      <c r="O5579" s="10"/>
      <c r="P5579" s="10"/>
      <c r="Q5579" s="10"/>
      <c r="R5579" s="10"/>
      <c r="S5579" s="10"/>
      <c r="T5579" s="10"/>
      <c r="U5579" s="10"/>
      <c r="V5579" s="10"/>
      <c r="W5579" s="10"/>
      <c r="X5579" s="10"/>
      <c r="Y5579" s="10"/>
      <c r="Z5579" s="10"/>
      <c r="AA5579" s="10"/>
      <c r="AB5579" s="10"/>
      <c r="AC5579" s="10"/>
      <c r="AD5579" s="10"/>
      <c r="AE5579" s="10"/>
      <c r="AF5579" s="10"/>
      <c r="AG5579" s="10"/>
      <c r="AH5579" s="10"/>
    </row>
    <row r="5580" spans="1:34" outlineLevel="2">
      <c r="A5580" s="35"/>
      <c r="B5580" s="12" t="str">
        <f>IFERROR(VLOOKUP(D5580,'[1]Перечень товаров'!$A$2:$I9525,2,0),"")</f>
        <v>т6</v>
      </c>
      <c r="C5580" s="12" t="str">
        <f>IFERROR(VLOOKUP(D5580,'[1]Перечень товаров'!$A$2:$I9525,3,0),"")</f>
        <v xml:space="preserve">Техника </v>
      </c>
      <c r="D5580" s="35" t="s">
        <v>33</v>
      </c>
      <c r="E5580" s="23"/>
      <c r="F5580" s="23"/>
      <c r="G5580" s="205">
        <v>1</v>
      </c>
      <c r="H5580" s="205"/>
      <c r="I5580" s="206"/>
      <c r="J5580" s="206"/>
      <c r="K5580" s="19"/>
      <c r="L5580" s="20"/>
      <c r="M5580" s="10"/>
      <c r="N5580" s="10"/>
      <c r="O5580" s="10"/>
      <c r="P5580" s="10"/>
      <c r="Q5580" s="10"/>
      <c r="R5580" s="10"/>
      <c r="S5580" s="10"/>
      <c r="T5580" s="10"/>
      <c r="U5580" s="10"/>
      <c r="V5580" s="10"/>
      <c r="W5580" s="10"/>
      <c r="X5580" s="10"/>
      <c r="Y5580" s="10"/>
      <c r="Z5580" s="10"/>
      <c r="AA5580" s="10"/>
      <c r="AB5580" s="10"/>
      <c r="AC5580" s="10"/>
      <c r="AD5580" s="10"/>
      <c r="AE5580" s="10"/>
      <c r="AF5580" s="10"/>
      <c r="AG5580" s="10"/>
      <c r="AH5580" s="10"/>
    </row>
    <row r="5581" spans="1:34" outlineLevel="2">
      <c r="A5581" s="21"/>
      <c r="B5581" s="12" t="str">
        <f>IFERROR(VLOOKUP(D5581,'[1]Перечень товаров'!$A$2:$I9525,2,0),"")</f>
        <v>д563</v>
      </c>
      <c r="C5581" s="12" t="str">
        <f>IFERROR(VLOOKUP(D5581,'[1]Перечень товаров'!$A$2:$I9525,3,0),"")</f>
        <v>дидактика</v>
      </c>
      <c r="D5581" s="22" t="s">
        <v>918</v>
      </c>
      <c r="E5581" s="23"/>
      <c r="F5581" s="23"/>
      <c r="G5581" s="205">
        <v>1</v>
      </c>
      <c r="H5581" s="205"/>
      <c r="I5581" s="206"/>
      <c r="J5581" s="206"/>
      <c r="K5581" s="19"/>
      <c r="L5581" s="20"/>
      <c r="M5581" s="10"/>
      <c r="N5581" s="10"/>
      <c r="O5581" s="10"/>
      <c r="P5581" s="10"/>
      <c r="Q5581" s="10"/>
      <c r="R5581" s="10"/>
      <c r="S5581" s="10"/>
      <c r="T5581" s="10"/>
      <c r="U5581" s="10"/>
      <c r="V5581" s="10"/>
      <c r="W5581" s="10"/>
      <c r="X5581" s="10"/>
      <c r="Y5581" s="10"/>
      <c r="Z5581" s="10"/>
      <c r="AA5581" s="10"/>
      <c r="AB5581" s="10"/>
      <c r="AC5581" s="10"/>
      <c r="AD5581" s="10"/>
      <c r="AE5581" s="10"/>
      <c r="AF5581" s="10"/>
      <c r="AG5581" s="10"/>
      <c r="AH5581" s="10"/>
    </row>
    <row r="5582" spans="1:34" outlineLevel="2">
      <c r="A5582" s="21"/>
      <c r="B5582" s="12" t="str">
        <f>IFERROR(VLOOKUP(D5582,'[1]Перечень товаров'!$A$2:$I9525,2,0),"")</f>
        <v>д562</v>
      </c>
      <c r="C5582" s="12" t="str">
        <f>IFERROR(VLOOKUP(D5582,'[1]Перечень товаров'!$A$2:$I9525,3,0),"")</f>
        <v>дидактика</v>
      </c>
      <c r="D5582" s="22" t="s">
        <v>919</v>
      </c>
      <c r="E5582" s="23"/>
      <c r="F5582" s="23"/>
      <c r="G5582" s="205">
        <v>1</v>
      </c>
      <c r="H5582" s="205"/>
      <c r="I5582" s="206"/>
      <c r="J5582" s="206"/>
      <c r="K5582" s="19"/>
      <c r="L5582" s="20"/>
      <c r="M5582" s="10"/>
      <c r="N5582" s="10"/>
      <c r="O5582" s="10"/>
      <c r="P5582" s="10"/>
      <c r="Q5582" s="10"/>
      <c r="R5582" s="10"/>
      <c r="S5582" s="10"/>
      <c r="T5582" s="10"/>
      <c r="U5582" s="10"/>
      <c r="V5582" s="10"/>
      <c r="W5582" s="10"/>
      <c r="X5582" s="10"/>
      <c r="Y5582" s="10"/>
      <c r="Z5582" s="10"/>
      <c r="AA5582" s="10"/>
      <c r="AB5582" s="10"/>
      <c r="AC5582" s="10"/>
      <c r="AD5582" s="10"/>
      <c r="AE5582" s="10"/>
      <c r="AF5582" s="10"/>
      <c r="AG5582" s="10"/>
      <c r="AH5582" s="10"/>
    </row>
    <row r="5583" spans="1:34" outlineLevel="2">
      <c r="A5583" s="21"/>
      <c r="B5583" s="12" t="str">
        <f>IFERROR(VLOOKUP(D5583,'[1]Перечень товаров'!$A$2:$I9525,2,0),"")</f>
        <v>д561</v>
      </c>
      <c r="C5583" s="12" t="str">
        <f>IFERROR(VLOOKUP(D5583,'[1]Перечень товаров'!$A$2:$I9525,3,0),"")</f>
        <v>дидактика</v>
      </c>
      <c r="D5583" s="22" t="s">
        <v>920</v>
      </c>
      <c r="E5583" s="23"/>
      <c r="F5583" s="23"/>
      <c r="G5583" s="205">
        <v>1</v>
      </c>
      <c r="H5583" s="205"/>
      <c r="I5583" s="206"/>
      <c r="J5583" s="206"/>
      <c r="K5583" s="19"/>
      <c r="L5583" s="20"/>
      <c r="M5583" s="10"/>
      <c r="N5583" s="10"/>
      <c r="O5583" s="10"/>
      <c r="P5583" s="10"/>
      <c r="Q5583" s="10"/>
      <c r="R5583" s="10"/>
      <c r="S5583" s="10"/>
      <c r="T5583" s="10"/>
      <c r="U5583" s="10"/>
      <c r="V5583" s="10"/>
      <c r="W5583" s="10"/>
      <c r="X5583" s="10"/>
      <c r="Y5583" s="10"/>
      <c r="Z5583" s="10"/>
      <c r="AA5583" s="10"/>
      <c r="AB5583" s="10"/>
      <c r="AC5583" s="10"/>
      <c r="AD5583" s="10"/>
      <c r="AE5583" s="10"/>
      <c r="AF5583" s="10"/>
      <c r="AG5583" s="10"/>
      <c r="AH5583" s="10"/>
    </row>
    <row r="5584" spans="1:34" ht="12.75" outlineLevel="2">
      <c r="A5584" s="77"/>
      <c r="B5584" s="12" t="str">
        <f>IFERROR(VLOOKUP(D5584,'[1]Перечень товаров'!$A$2:$I9525,2,0),"")</f>
        <v/>
      </c>
      <c r="C5584" s="12" t="str">
        <f>IFERROR(VLOOKUP(D5584,'[1]Перечень товаров'!$A$2:$I9525,3,0),"")</f>
        <v/>
      </c>
      <c r="D5584" s="78" t="s">
        <v>921</v>
      </c>
      <c r="E5584" s="15"/>
      <c r="F5584" s="15"/>
      <c r="G5584" s="17"/>
      <c r="H5584" s="17"/>
      <c r="I5584" s="57"/>
      <c r="J5584" s="57"/>
      <c r="K5584" s="19"/>
      <c r="L5584" s="20"/>
      <c r="M5584" s="10"/>
      <c r="N5584" s="10"/>
      <c r="O5584" s="10"/>
      <c r="P5584" s="10"/>
      <c r="Q5584" s="10"/>
      <c r="R5584" s="10"/>
      <c r="S5584" s="10"/>
      <c r="T5584" s="10"/>
      <c r="U5584" s="10"/>
      <c r="V5584" s="10"/>
      <c r="W5584" s="10"/>
      <c r="X5584" s="10"/>
      <c r="Y5584" s="10"/>
      <c r="Z5584" s="10"/>
      <c r="AA5584" s="10"/>
      <c r="AB5584" s="10"/>
      <c r="AC5584" s="10"/>
      <c r="AD5584" s="10"/>
      <c r="AE5584" s="10"/>
      <c r="AF5584" s="10"/>
      <c r="AG5584" s="10"/>
      <c r="AH5584" s="10"/>
    </row>
    <row r="5585" spans="1:34" outlineLevel="2">
      <c r="A5585" s="21"/>
      <c r="B5585" s="12" t="str">
        <f>IFERROR(VLOOKUP(D5585,'[1]Перечень товаров'!$A$2:$I9525,2,0),"")</f>
        <v>м190</v>
      </c>
      <c r="C5585" s="12" t="str">
        <f>IFERROR(VLOOKUP(D5585,'[1]Перечень товаров'!$A$2:$I9525,3,0),"")</f>
        <v>мебель</v>
      </c>
      <c r="D5585" s="22" t="s">
        <v>922</v>
      </c>
      <c r="E5585" s="23"/>
      <c r="F5585" s="23"/>
      <c r="G5585" s="24">
        <v>1</v>
      </c>
      <c r="H5585" s="24"/>
      <c r="I5585" s="25"/>
      <c r="J5585" s="25"/>
      <c r="K5585" s="19"/>
      <c r="L5585" s="20"/>
      <c r="M5585" s="10"/>
      <c r="N5585" s="10"/>
      <c r="O5585" s="10"/>
      <c r="P5585" s="10"/>
      <c r="Q5585" s="10"/>
      <c r="R5585" s="10"/>
      <c r="S5585" s="10"/>
      <c r="T5585" s="10"/>
      <c r="U5585" s="10"/>
      <c r="V5585" s="10"/>
      <c r="W5585" s="10"/>
      <c r="X5585" s="10"/>
      <c r="Y5585" s="10"/>
      <c r="Z5585" s="10"/>
      <c r="AA5585" s="10"/>
      <c r="AB5585" s="10"/>
      <c r="AC5585" s="10"/>
      <c r="AD5585" s="10"/>
      <c r="AE5585" s="10"/>
      <c r="AF5585" s="10"/>
      <c r="AG5585" s="10"/>
      <c r="AH5585" s="10"/>
    </row>
    <row r="5586" spans="1:34" outlineLevel="2">
      <c r="A5586" s="21"/>
      <c r="B5586" s="12" t="str">
        <f>IFERROR(VLOOKUP(D5586,'[1]Перечень товаров'!$A$2:$I9525,2,0),"")</f>
        <v>д560</v>
      </c>
      <c r="C5586" s="12" t="str">
        <f>IFERROR(VLOOKUP(D5586,'[1]Перечень товаров'!$A$2:$I9525,3,0),"")</f>
        <v>дидактика</v>
      </c>
      <c r="D5586" s="22" t="s">
        <v>923</v>
      </c>
      <c r="E5586" s="23"/>
      <c r="F5586" s="23"/>
      <c r="G5586" s="24">
        <v>1</v>
      </c>
      <c r="H5586" s="24"/>
      <c r="I5586" s="25"/>
      <c r="J5586" s="25"/>
      <c r="K5586" s="19"/>
      <c r="L5586" s="20"/>
      <c r="M5586" s="10"/>
      <c r="N5586" s="10"/>
      <c r="O5586" s="10"/>
      <c r="P5586" s="10"/>
      <c r="Q5586" s="10"/>
      <c r="R5586" s="10"/>
      <c r="S5586" s="10"/>
      <c r="T5586" s="10"/>
      <c r="U5586" s="10"/>
      <c r="V5586" s="10"/>
      <c r="W5586" s="10"/>
      <c r="X5586" s="10"/>
      <c r="Y5586" s="10"/>
      <c r="Z5586" s="10"/>
      <c r="AA5586" s="10"/>
      <c r="AB5586" s="10"/>
      <c r="AC5586" s="10"/>
      <c r="AD5586" s="10"/>
      <c r="AE5586" s="10"/>
      <c r="AF5586" s="10"/>
      <c r="AG5586" s="10"/>
      <c r="AH5586" s="10"/>
    </row>
    <row r="5587" spans="1:34" outlineLevel="2">
      <c r="A5587" s="21"/>
      <c r="B5587" s="12" t="str">
        <f>IFERROR(VLOOKUP(D5587,'[1]Перечень товаров'!$A$2:$I9525,2,0),"")</f>
        <v>м14</v>
      </c>
      <c r="C5587" s="12" t="str">
        <f>IFERROR(VLOOKUP(D5587,'[1]Перечень товаров'!$A$2:$I9525,3,0),"")</f>
        <v>Мебель</v>
      </c>
      <c r="D5587" s="22" t="s">
        <v>43</v>
      </c>
      <c r="E5587" s="23"/>
      <c r="F5587" s="23"/>
      <c r="G5587" s="24">
        <v>1</v>
      </c>
      <c r="H5587" s="24"/>
      <c r="I5587" s="25"/>
      <c r="J5587" s="25"/>
      <c r="K5587" s="19"/>
      <c r="L5587" s="20"/>
      <c r="M5587" s="10"/>
      <c r="N5587" s="10"/>
      <c r="O5587" s="10"/>
      <c r="P5587" s="10"/>
      <c r="Q5587" s="10"/>
      <c r="R5587" s="10"/>
      <c r="S5587" s="10"/>
      <c r="T5587" s="10"/>
      <c r="U5587" s="10"/>
      <c r="V5587" s="10"/>
      <c r="W5587" s="10"/>
      <c r="X5587" s="10"/>
      <c r="Y5587" s="10"/>
      <c r="Z5587" s="10"/>
      <c r="AA5587" s="10"/>
      <c r="AB5587" s="10"/>
      <c r="AC5587" s="10"/>
      <c r="AD5587" s="10"/>
      <c r="AE5587" s="10"/>
      <c r="AF5587" s="10"/>
      <c r="AG5587" s="10"/>
      <c r="AH5587" s="10"/>
    </row>
    <row r="5588" spans="1:34" outlineLevel="2">
      <c r="A5588" s="21"/>
      <c r="B5588" s="12" t="str">
        <f>IFERROR(VLOOKUP(D5588,'[1]Перечень товаров'!$A$2:$I9525,2,0),"")</f>
        <v>м189</v>
      </c>
      <c r="C5588" s="12" t="str">
        <f>IFERROR(VLOOKUP(D5588,'[1]Перечень товаров'!$A$2:$I9525,3,0),"")</f>
        <v>мебель</v>
      </c>
      <c r="D5588" s="22" t="s">
        <v>924</v>
      </c>
      <c r="E5588" s="23"/>
      <c r="F5588" s="23"/>
      <c r="G5588" s="24">
        <v>1</v>
      </c>
      <c r="H5588" s="24"/>
      <c r="I5588" s="25"/>
      <c r="J5588" s="25"/>
      <c r="K5588" s="19"/>
      <c r="L5588" s="20"/>
      <c r="M5588" s="10"/>
      <c r="N5588" s="10"/>
      <c r="O5588" s="10"/>
      <c r="P5588" s="10"/>
      <c r="Q5588" s="10"/>
      <c r="R5588" s="10"/>
      <c r="S5588" s="10"/>
      <c r="T5588" s="10"/>
      <c r="U5588" s="10"/>
      <c r="V5588" s="10"/>
      <c r="W5588" s="10"/>
      <c r="X5588" s="10"/>
      <c r="Y5588" s="10"/>
      <c r="Z5588" s="10"/>
      <c r="AA5588" s="10"/>
      <c r="AB5588" s="10"/>
      <c r="AC5588" s="10"/>
      <c r="AD5588" s="10"/>
      <c r="AE5588" s="10"/>
      <c r="AF5588" s="10"/>
      <c r="AG5588" s="10"/>
      <c r="AH5588" s="10"/>
    </row>
    <row r="5589" spans="1:34" outlineLevel="2">
      <c r="A5589" s="21"/>
      <c r="B5589" s="12" t="str">
        <f>IFERROR(VLOOKUP(D5589,'[1]Перечень товаров'!$A$2:$I9525,2,0),"")</f>
        <v>м188</v>
      </c>
      <c r="C5589" s="12" t="str">
        <f>IFERROR(VLOOKUP(D5589,'[1]Перечень товаров'!$A$2:$I9525,3,0),"")</f>
        <v>мебель</v>
      </c>
      <c r="D5589" s="22" t="s">
        <v>925</v>
      </c>
      <c r="E5589" s="23"/>
      <c r="F5589" s="23"/>
      <c r="G5589" s="24">
        <v>1</v>
      </c>
      <c r="H5589" s="24"/>
      <c r="I5589" s="25"/>
      <c r="J5589" s="25"/>
      <c r="K5589" s="19"/>
      <c r="L5589" s="20"/>
      <c r="M5589" s="10"/>
      <c r="N5589" s="10"/>
      <c r="O5589" s="10"/>
      <c r="P5589" s="10"/>
      <c r="Q5589" s="10"/>
      <c r="R5589" s="10"/>
      <c r="S5589" s="10"/>
      <c r="T5589" s="10"/>
      <c r="U5589" s="10"/>
      <c r="V5589" s="10"/>
      <c r="W5589" s="10"/>
      <c r="X5589" s="10"/>
      <c r="Y5589" s="10"/>
      <c r="Z5589" s="10"/>
      <c r="AA5589" s="10"/>
      <c r="AB5589" s="10"/>
      <c r="AC5589" s="10"/>
      <c r="AD5589" s="10"/>
      <c r="AE5589" s="10"/>
      <c r="AF5589" s="10"/>
      <c r="AG5589" s="10"/>
      <c r="AH5589" s="10"/>
    </row>
    <row r="5590" spans="1:34" outlineLevel="2">
      <c r="A5590" s="21"/>
      <c r="B5590" s="12" t="str">
        <f>IFERROR(VLOOKUP(D5590,'[1]Перечень товаров'!$A$2:$I9525,2,0),"")</f>
        <v>м19</v>
      </c>
      <c r="C5590" s="12" t="str">
        <f>IFERROR(VLOOKUP(D5590,'[1]Перечень товаров'!$A$2:$I9525,3,0),"")</f>
        <v>Мебель</v>
      </c>
      <c r="D5590" s="22" t="s">
        <v>53</v>
      </c>
      <c r="E5590" s="23"/>
      <c r="F5590" s="23"/>
      <c r="G5590" s="24">
        <v>1</v>
      </c>
      <c r="H5590" s="24"/>
      <c r="I5590" s="25"/>
      <c r="J5590" s="25"/>
      <c r="K5590" s="19"/>
      <c r="L5590" s="20"/>
      <c r="M5590" s="10"/>
      <c r="N5590" s="10"/>
      <c r="O5590" s="10"/>
      <c r="P5590" s="10"/>
      <c r="Q5590" s="10"/>
      <c r="R5590" s="10"/>
      <c r="S5590" s="10"/>
      <c r="T5590" s="10"/>
      <c r="U5590" s="10"/>
      <c r="V5590" s="10"/>
      <c r="W5590" s="10"/>
      <c r="X5590" s="10"/>
      <c r="Y5590" s="10"/>
      <c r="Z5590" s="10"/>
      <c r="AA5590" s="10"/>
      <c r="AB5590" s="10"/>
      <c r="AC5590" s="10"/>
      <c r="AD5590" s="10"/>
      <c r="AE5590" s="10"/>
      <c r="AF5590" s="10"/>
      <c r="AG5590" s="10"/>
      <c r="AH5590" s="10"/>
    </row>
    <row r="5591" spans="1:34" outlineLevel="2">
      <c r="A5591" s="21"/>
      <c r="B5591" s="12" t="str">
        <f>IFERROR(VLOOKUP(D5591,'[1]Перечень товаров'!$A$2:$I9525,2,0),"")</f>
        <v>м187</v>
      </c>
      <c r="C5591" s="12" t="str">
        <f>IFERROR(VLOOKUP(D5591,'[1]Перечень товаров'!$A$2:$I9525,3,0),"")</f>
        <v>мебель</v>
      </c>
      <c r="D5591" s="22" t="s">
        <v>877</v>
      </c>
      <c r="E5591" s="23"/>
      <c r="F5591" s="23"/>
      <c r="G5591" s="24">
        <v>1</v>
      </c>
      <c r="H5591" s="24"/>
      <c r="I5591" s="25"/>
      <c r="J5591" s="25"/>
      <c r="K5591" s="19"/>
      <c r="L5591" s="20"/>
      <c r="M5591" s="10"/>
      <c r="N5591" s="10"/>
      <c r="O5591" s="10"/>
      <c r="P5591" s="10"/>
      <c r="Q5591" s="10"/>
      <c r="R5591" s="10"/>
      <c r="S5591" s="10"/>
      <c r="T5591" s="10"/>
      <c r="U5591" s="10"/>
      <c r="V5591" s="10"/>
      <c r="W5591" s="10"/>
      <c r="X5591" s="10"/>
      <c r="Y5591" s="10"/>
      <c r="Z5591" s="10"/>
      <c r="AA5591" s="10"/>
      <c r="AB5591" s="10"/>
      <c r="AC5591" s="10"/>
      <c r="AD5591" s="10"/>
      <c r="AE5591" s="10"/>
      <c r="AF5591" s="10"/>
      <c r="AG5591" s="10"/>
      <c r="AH5591" s="10"/>
    </row>
    <row r="5592" spans="1:34" outlineLevel="2">
      <c r="A5592" s="21"/>
      <c r="B5592" s="12" t="str">
        <f>IFERROR(VLOOKUP(D5592,'[1]Перечень товаров'!$A$2:$I9525,2,0),"")</f>
        <v>тм152</v>
      </c>
      <c r="C5592" s="12" t="str">
        <f>IFERROR(VLOOKUP(D5592,'[1]Перечень товаров'!$A$2:$I9525,3,0),"")</f>
        <v>Техника муз</v>
      </c>
      <c r="D5592" s="22" t="s">
        <v>1572</v>
      </c>
      <c r="E5592" s="23"/>
      <c r="F5592" s="23"/>
      <c r="G5592" s="24">
        <v>1</v>
      </c>
      <c r="H5592" s="24"/>
      <c r="I5592" s="25"/>
      <c r="J5592" s="25"/>
      <c r="K5592" s="19"/>
      <c r="L5592" s="20"/>
      <c r="M5592" s="10"/>
      <c r="N5592" s="10"/>
      <c r="O5592" s="10"/>
      <c r="P5592" s="10"/>
      <c r="Q5592" s="10"/>
      <c r="R5592" s="10"/>
      <c r="S5592" s="10"/>
      <c r="T5592" s="10"/>
      <c r="U5592" s="10"/>
      <c r="V5592" s="10"/>
      <c r="W5592" s="10"/>
      <c r="X5592" s="10"/>
      <c r="Y5592" s="10"/>
      <c r="Z5592" s="10"/>
      <c r="AA5592" s="10"/>
      <c r="AB5592" s="10"/>
      <c r="AC5592" s="10"/>
      <c r="AD5592" s="10"/>
      <c r="AE5592" s="10"/>
      <c r="AF5592" s="10"/>
      <c r="AG5592" s="10"/>
      <c r="AH5592" s="10"/>
    </row>
    <row r="5593" spans="1:34" outlineLevel="2">
      <c r="A5593" s="21"/>
      <c r="B5593" s="12" t="str">
        <f>IFERROR(VLOOKUP(D5593,'[1]Перечень товаров'!$A$2:$I9525,2,0),"")</f>
        <v>м137</v>
      </c>
      <c r="C5593" s="12" t="str">
        <f>IFERROR(VLOOKUP(D5593,'[1]Перечень товаров'!$A$2:$I9525,3,0),"")</f>
        <v>мебель</v>
      </c>
      <c r="D5593" s="22" t="s">
        <v>876</v>
      </c>
      <c r="E5593" s="23"/>
      <c r="F5593" s="23"/>
      <c r="G5593" s="24">
        <v>1</v>
      </c>
      <c r="H5593" s="24"/>
      <c r="I5593" s="25"/>
      <c r="J5593" s="25"/>
      <c r="K5593" s="19"/>
      <c r="L5593" s="20"/>
      <c r="M5593" s="10"/>
      <c r="N5593" s="10"/>
      <c r="O5593" s="10"/>
      <c r="P5593" s="10"/>
      <c r="Q5593" s="10"/>
      <c r="R5593" s="10"/>
      <c r="S5593" s="10"/>
      <c r="T5593" s="10"/>
      <c r="U5593" s="10"/>
      <c r="V5593" s="10"/>
      <c r="W5593" s="10"/>
      <c r="X5593" s="10"/>
      <c r="Y5593" s="10"/>
      <c r="Z5593" s="10"/>
      <c r="AA5593" s="10"/>
      <c r="AB5593" s="10"/>
      <c r="AC5593" s="10"/>
      <c r="AD5593" s="10"/>
      <c r="AE5593" s="10"/>
      <c r="AF5593" s="10"/>
      <c r="AG5593" s="10"/>
      <c r="AH5593" s="10"/>
    </row>
    <row r="5594" spans="1:34" ht="12.75" outlineLevel="1">
      <c r="A5594" s="11"/>
      <c r="B5594" s="12" t="str">
        <f>IFERROR(VLOOKUP(D5594,'[1]Перечень товаров'!$A$2:$I9525,2,0),"")</f>
        <v/>
      </c>
      <c r="C5594" s="12" t="str">
        <f>IFERROR(VLOOKUP(D5594,'[1]Перечень товаров'!$A$2:$I9525,3,0),"")</f>
        <v/>
      </c>
      <c r="D5594" s="27" t="s">
        <v>1577</v>
      </c>
      <c r="E5594" s="14">
        <v>6</v>
      </c>
      <c r="F5594" s="14"/>
      <c r="G5594" s="17"/>
      <c r="H5594" s="17"/>
      <c r="I5594" s="57"/>
      <c r="J5594" s="57"/>
      <c r="K5594" s="19"/>
      <c r="L5594" s="20"/>
      <c r="M5594" s="10"/>
      <c r="N5594" s="10"/>
      <c r="O5594" s="10"/>
      <c r="P5594" s="10"/>
      <c r="Q5594" s="10"/>
      <c r="R5594" s="10"/>
      <c r="S5594" s="10"/>
      <c r="T5594" s="10"/>
      <c r="U5594" s="10"/>
      <c r="V5594" s="10"/>
      <c r="W5594" s="10"/>
      <c r="X5594" s="10"/>
      <c r="Y5594" s="10"/>
      <c r="Z5594" s="10"/>
      <c r="AA5594" s="10"/>
      <c r="AB5594" s="10"/>
      <c r="AC5594" s="10"/>
      <c r="AD5594" s="10"/>
      <c r="AE5594" s="10"/>
      <c r="AF5594" s="10"/>
      <c r="AG5594" s="10"/>
      <c r="AH5594" s="10"/>
    </row>
    <row r="5595" spans="1:34" outlineLevel="2">
      <c r="A5595" s="43"/>
      <c r="B5595" s="12" t="str">
        <f>IFERROR(VLOOKUP(D5595,'[1]Перечень товаров'!$A$2:$I9525,2,0),"")</f>
        <v>м222</v>
      </c>
      <c r="C5595" s="12" t="str">
        <f>IFERROR(VLOOKUP(D5595,'[1]Перечень товаров'!$A$2:$I9525,3,0),"")</f>
        <v>Мебель</v>
      </c>
      <c r="D5595" s="44" t="s">
        <v>880</v>
      </c>
      <c r="E5595" s="102"/>
      <c r="F5595" s="102"/>
      <c r="G5595" s="24">
        <v>1</v>
      </c>
      <c r="H5595" s="24"/>
      <c r="I5595" s="25"/>
      <c r="J5595" s="25"/>
      <c r="K5595" s="19"/>
      <c r="L5595" s="20"/>
      <c r="M5595" s="10"/>
      <c r="N5595" s="10"/>
      <c r="O5595" s="10"/>
      <c r="P5595" s="10"/>
      <c r="Q5595" s="10"/>
      <c r="R5595" s="10"/>
      <c r="S5595" s="10"/>
      <c r="T5595" s="10"/>
      <c r="U5595" s="10"/>
      <c r="V5595" s="10"/>
      <c r="W5595" s="10"/>
      <c r="X5595" s="10"/>
      <c r="Y5595" s="10"/>
      <c r="Z5595" s="10"/>
      <c r="AA5595" s="10"/>
      <c r="AB5595" s="10"/>
      <c r="AC5595" s="10"/>
      <c r="AD5595" s="10"/>
      <c r="AE5595" s="10"/>
      <c r="AF5595" s="10"/>
      <c r="AG5595" s="10"/>
      <c r="AH5595" s="10"/>
    </row>
    <row r="5596" spans="1:34" outlineLevel="2">
      <c r="A5596" s="43"/>
      <c r="B5596" s="12" t="str">
        <f>IFERROR(VLOOKUP(D5596,'[1]Перечень товаров'!$A$2:$I9525,2,0),"")</f>
        <v>м223</v>
      </c>
      <c r="C5596" s="12" t="str">
        <f>IFERROR(VLOOKUP(D5596,'[1]Перечень товаров'!$A$2:$I9525,3,0),"")</f>
        <v>Мебель</v>
      </c>
      <c r="D5596" s="44" t="s">
        <v>881</v>
      </c>
      <c r="E5596" s="102"/>
      <c r="F5596" s="102"/>
      <c r="G5596" s="24">
        <v>1</v>
      </c>
      <c r="H5596" s="24"/>
      <c r="I5596" s="25"/>
      <c r="J5596" s="25"/>
      <c r="K5596" s="19"/>
      <c r="L5596" s="20"/>
      <c r="M5596" s="10"/>
      <c r="N5596" s="10"/>
      <c r="O5596" s="10"/>
      <c r="P5596" s="10"/>
      <c r="Q5596" s="10"/>
      <c r="R5596" s="10"/>
      <c r="S5596" s="10"/>
      <c r="T5596" s="10"/>
      <c r="U5596" s="10"/>
      <c r="V5596" s="10"/>
      <c r="W5596" s="10"/>
      <c r="X5596" s="10"/>
      <c r="Y5596" s="10"/>
      <c r="Z5596" s="10"/>
      <c r="AA5596" s="10"/>
      <c r="AB5596" s="10"/>
      <c r="AC5596" s="10"/>
      <c r="AD5596" s="10"/>
      <c r="AE5596" s="10"/>
      <c r="AF5596" s="10"/>
      <c r="AG5596" s="10"/>
      <c r="AH5596" s="10"/>
    </row>
    <row r="5597" spans="1:34" outlineLevel="2">
      <c r="A5597" s="43"/>
      <c r="B5597" s="12" t="str">
        <f>IFERROR(VLOOKUP(D5597,'[1]Перечень товаров'!$A$2:$I9525,2,0),"")</f>
        <v>м224</v>
      </c>
      <c r="C5597" s="12" t="str">
        <f>IFERROR(VLOOKUP(D5597,'[1]Перечень товаров'!$A$2:$I9525,3,0),"")</f>
        <v>Мебель</v>
      </c>
      <c r="D5597" s="44" t="s">
        <v>882</v>
      </c>
      <c r="E5597" s="102"/>
      <c r="F5597" s="102"/>
      <c r="G5597" s="24">
        <v>1</v>
      </c>
      <c r="H5597" s="24"/>
      <c r="I5597" s="25"/>
      <c r="J5597" s="25"/>
      <c r="K5597" s="19"/>
      <c r="L5597" s="20"/>
      <c r="M5597" s="10"/>
      <c r="N5597" s="10"/>
      <c r="O5597" s="10"/>
      <c r="P5597" s="10"/>
      <c r="Q5597" s="10"/>
      <c r="R5597" s="10"/>
      <c r="S5597" s="10"/>
      <c r="T5597" s="10"/>
      <c r="U5597" s="10"/>
      <c r="V5597" s="10"/>
      <c r="W5597" s="10"/>
      <c r="X5597" s="10"/>
      <c r="Y5597" s="10"/>
      <c r="Z5597" s="10"/>
      <c r="AA5597" s="10"/>
      <c r="AB5597" s="10"/>
      <c r="AC5597" s="10"/>
      <c r="AD5597" s="10"/>
      <c r="AE5597" s="10"/>
      <c r="AF5597" s="10"/>
      <c r="AG5597" s="10"/>
      <c r="AH5597" s="10"/>
    </row>
    <row r="5598" spans="1:34" outlineLevel="2">
      <c r="A5598" s="43"/>
      <c r="B5598" s="12" t="str">
        <f>IFERROR(VLOOKUP(D5598,'[1]Перечень товаров'!$A$2:$I9525,2,0),"")</f>
        <v>м225</v>
      </c>
      <c r="C5598" s="12" t="str">
        <f>IFERROR(VLOOKUP(D5598,'[1]Перечень товаров'!$A$2:$I9525,3,0),"")</f>
        <v>Мебель</v>
      </c>
      <c r="D5598" s="44" t="s">
        <v>883</v>
      </c>
      <c r="E5598" s="102"/>
      <c r="F5598" s="102"/>
      <c r="G5598" s="24">
        <v>1</v>
      </c>
      <c r="H5598" s="24"/>
      <c r="I5598" s="25"/>
      <c r="J5598" s="25"/>
      <c r="K5598" s="19"/>
      <c r="L5598" s="20"/>
      <c r="M5598" s="10"/>
      <c r="N5598" s="10"/>
      <c r="O5598" s="10"/>
      <c r="P5598" s="10"/>
      <c r="Q5598" s="10"/>
      <c r="R5598" s="10"/>
      <c r="S5598" s="10"/>
      <c r="T5598" s="10"/>
      <c r="U5598" s="10"/>
      <c r="V5598" s="10"/>
      <c r="W5598" s="10"/>
      <c r="X5598" s="10"/>
      <c r="Y5598" s="10"/>
      <c r="Z5598" s="10"/>
      <c r="AA5598" s="10"/>
      <c r="AB5598" s="10"/>
      <c r="AC5598" s="10"/>
      <c r="AD5598" s="10"/>
      <c r="AE5598" s="10"/>
      <c r="AF5598" s="10"/>
      <c r="AG5598" s="10"/>
      <c r="AH5598" s="10"/>
    </row>
    <row r="5599" spans="1:34" outlineLevel="2">
      <c r="A5599" s="43"/>
      <c r="B5599" s="12" t="str">
        <f>IFERROR(VLOOKUP(D5599,'[1]Перечень товаров'!$A$2:$I9525,2,0),"")</f>
        <v>п28</v>
      </c>
      <c r="C5599" s="12" t="str">
        <f>IFERROR(VLOOKUP(D5599,'[1]Перечень товаров'!$A$2:$I9525,3,0),"")</f>
        <v>Прочее</v>
      </c>
      <c r="D5599" s="44" t="s">
        <v>363</v>
      </c>
      <c r="E5599" s="102"/>
      <c r="F5599" s="102"/>
      <c r="G5599" s="24">
        <v>1</v>
      </c>
      <c r="H5599" s="24"/>
      <c r="I5599" s="25"/>
      <c r="J5599" s="25"/>
      <c r="K5599" s="19"/>
      <c r="L5599" s="20"/>
      <c r="M5599" s="10"/>
      <c r="N5599" s="10"/>
      <c r="O5599" s="10"/>
      <c r="P5599" s="10"/>
      <c r="Q5599" s="10"/>
      <c r="R5599" s="10"/>
      <c r="S5599" s="10"/>
      <c r="T5599" s="10"/>
      <c r="U5599" s="10"/>
      <c r="V5599" s="10"/>
      <c r="W5599" s="10"/>
      <c r="X5599" s="10"/>
      <c r="Y5599" s="10"/>
      <c r="Z5599" s="10"/>
      <c r="AA5599" s="10"/>
      <c r="AB5599" s="10"/>
      <c r="AC5599" s="10"/>
      <c r="AD5599" s="10"/>
      <c r="AE5599" s="10"/>
      <c r="AF5599" s="10"/>
      <c r="AG5599" s="10"/>
      <c r="AH5599" s="10"/>
    </row>
    <row r="5600" spans="1:34" outlineLevel="2">
      <c r="A5600" s="43"/>
      <c r="B5600" s="12" t="str">
        <f>IFERROR(VLOOKUP(D5600,'[1]Перечень товаров'!$A$2:$I9525,2,0),"")</f>
        <v>м226</v>
      </c>
      <c r="C5600" s="12" t="str">
        <f>IFERROR(VLOOKUP(D5600,'[1]Перечень товаров'!$A$2:$I9525,3,0),"")</f>
        <v>Мебель</v>
      </c>
      <c r="D5600" s="44" t="s">
        <v>884</v>
      </c>
      <c r="E5600" s="102"/>
      <c r="F5600" s="102"/>
      <c r="G5600" s="24">
        <v>1</v>
      </c>
      <c r="H5600" s="24"/>
      <c r="I5600" s="25"/>
      <c r="J5600" s="25"/>
      <c r="K5600" s="19"/>
      <c r="L5600" s="20"/>
      <c r="M5600" s="10"/>
      <c r="N5600" s="10"/>
      <c r="O5600" s="10"/>
      <c r="P5600" s="10"/>
      <c r="Q5600" s="10"/>
      <c r="R5600" s="10"/>
      <c r="S5600" s="10"/>
      <c r="T5600" s="10"/>
      <c r="U5600" s="10"/>
      <c r="V5600" s="10"/>
      <c r="W5600" s="10"/>
      <c r="X5600" s="10"/>
      <c r="Y5600" s="10"/>
      <c r="Z5600" s="10"/>
      <c r="AA5600" s="10"/>
      <c r="AB5600" s="10"/>
      <c r="AC5600" s="10"/>
      <c r="AD5600" s="10"/>
      <c r="AE5600" s="10"/>
      <c r="AF5600" s="10"/>
      <c r="AG5600" s="10"/>
      <c r="AH5600" s="10"/>
    </row>
    <row r="5601" spans="1:34" ht="12.75" outlineLevel="1">
      <c r="A5601" s="11"/>
      <c r="B5601" s="12" t="str">
        <f>IFERROR(VLOOKUP(D5601,'[1]Перечень товаров'!$A$2:$I9525,2,0),"")</f>
        <v/>
      </c>
      <c r="C5601" s="12" t="str">
        <f>IFERROR(VLOOKUP(D5601,'[1]Перечень товаров'!$A$2:$I9525,3,0),"")</f>
        <v/>
      </c>
      <c r="D5601" s="27" t="s">
        <v>914</v>
      </c>
      <c r="E5601" s="14">
        <v>5.6</v>
      </c>
      <c r="F5601" s="14"/>
      <c r="G5601" s="17"/>
      <c r="H5601" s="17"/>
      <c r="I5601" s="57"/>
      <c r="J5601" s="57"/>
      <c r="K5601" s="19"/>
      <c r="L5601" s="20"/>
      <c r="M5601" s="10"/>
      <c r="N5601" s="10"/>
      <c r="O5601" s="10"/>
      <c r="P5601" s="10"/>
      <c r="Q5601" s="10"/>
      <c r="R5601" s="10"/>
      <c r="S5601" s="10"/>
      <c r="T5601" s="10"/>
      <c r="U5601" s="10"/>
      <c r="V5601" s="10"/>
      <c r="W5601" s="10"/>
      <c r="X5601" s="10"/>
      <c r="Y5601" s="10"/>
      <c r="Z5601" s="10"/>
      <c r="AA5601" s="10"/>
      <c r="AB5601" s="10"/>
      <c r="AC5601" s="10"/>
      <c r="AD5601" s="10"/>
      <c r="AE5601" s="10"/>
      <c r="AF5601" s="10"/>
      <c r="AG5601" s="10"/>
      <c r="AH5601" s="10"/>
    </row>
    <row r="5602" spans="1:34" outlineLevel="2">
      <c r="A5602" s="22"/>
      <c r="B5602" s="12" t="str">
        <f>IFERROR(VLOOKUP(D5602,'[1]Перечень товаров'!$A$2:$I9525,2,0),"")</f>
        <v>п25</v>
      </c>
      <c r="C5602" s="12" t="str">
        <f>IFERROR(VLOOKUP(D5602,'[1]Перечень товаров'!$A$2:$I9525,3,0),"")</f>
        <v>Прочее</v>
      </c>
      <c r="D5602" s="22" t="s">
        <v>360</v>
      </c>
      <c r="E5602" s="102"/>
      <c r="F5602" s="102"/>
      <c r="G5602" s="48">
        <v>3</v>
      </c>
      <c r="H5602" s="48"/>
      <c r="I5602" s="49"/>
      <c r="J5602" s="49"/>
      <c r="K5602" s="19"/>
      <c r="L5602" s="20"/>
      <c r="M5602" s="10"/>
      <c r="N5602" s="10"/>
      <c r="O5602" s="10"/>
      <c r="P5602" s="10"/>
      <c r="Q5602" s="10"/>
      <c r="R5602" s="10"/>
      <c r="S5602" s="10"/>
      <c r="T5602" s="10"/>
      <c r="U5602" s="10"/>
      <c r="V5602" s="10"/>
      <c r="W5602" s="10"/>
      <c r="X5602" s="10"/>
      <c r="Y5602" s="10"/>
      <c r="Z5602" s="10"/>
      <c r="AA5602" s="10"/>
      <c r="AB5602" s="10"/>
      <c r="AC5602" s="10"/>
      <c r="AD5602" s="10"/>
      <c r="AE5602" s="10"/>
      <c r="AF5602" s="10"/>
      <c r="AG5602" s="10"/>
      <c r="AH5602" s="10"/>
    </row>
    <row r="5603" spans="1:34" outlineLevel="2">
      <c r="A5603" s="21"/>
      <c r="B5603" s="12" t="str">
        <f>IFERROR(VLOOKUP(D5603,'[1]Перечень товаров'!$A$2:$I9525,2,0),"")</f>
        <v>п26</v>
      </c>
      <c r="C5603" s="12" t="str">
        <f>IFERROR(VLOOKUP(D5603,'[1]Перечень товаров'!$A$2:$I9525,3,0),"")</f>
        <v>Прочее</v>
      </c>
      <c r="D5603" s="22" t="s">
        <v>361</v>
      </c>
      <c r="E5603" s="102"/>
      <c r="F5603" s="102"/>
      <c r="G5603" s="48">
        <v>2</v>
      </c>
      <c r="H5603" s="48"/>
      <c r="I5603" s="49"/>
      <c r="J5603" s="49"/>
      <c r="K5603" s="19"/>
      <c r="L5603" s="20"/>
      <c r="M5603" s="10"/>
      <c r="N5603" s="10"/>
      <c r="O5603" s="10"/>
      <c r="P5603" s="10"/>
      <c r="Q5603" s="10"/>
      <c r="R5603" s="10"/>
      <c r="S5603" s="10"/>
      <c r="T5603" s="10"/>
      <c r="U5603" s="10"/>
      <c r="V5603" s="10"/>
      <c r="W5603" s="10"/>
      <c r="X5603" s="10"/>
      <c r="Y5603" s="10"/>
      <c r="Z5603" s="10"/>
      <c r="AA5603" s="10"/>
      <c r="AB5603" s="10"/>
      <c r="AC5603" s="10"/>
      <c r="AD5603" s="10"/>
      <c r="AE5603" s="10"/>
      <c r="AF5603" s="10"/>
      <c r="AG5603" s="10"/>
      <c r="AH5603" s="10"/>
    </row>
    <row r="5604" spans="1:34" outlineLevel="2">
      <c r="A5604" s="21"/>
      <c r="B5604" s="12" t="str">
        <f>IFERROR(VLOOKUP(D5604,'[1]Перечень товаров'!$A$2:$I9525,2,0),"")</f>
        <v>п27</v>
      </c>
      <c r="C5604" s="12" t="str">
        <f>IFERROR(VLOOKUP(D5604,'[1]Перечень товаров'!$A$2:$I9525,3,0),"")</f>
        <v>Прочее</v>
      </c>
      <c r="D5604" s="22" t="s">
        <v>362</v>
      </c>
      <c r="E5604" s="102"/>
      <c r="F5604" s="102"/>
      <c r="G5604" s="48">
        <v>2</v>
      </c>
      <c r="H5604" s="48"/>
      <c r="I5604" s="49"/>
      <c r="J5604" s="49"/>
      <c r="K5604" s="19"/>
      <c r="L5604" s="20"/>
      <c r="M5604" s="10"/>
      <c r="N5604" s="10"/>
      <c r="O5604" s="10"/>
      <c r="P5604" s="10"/>
      <c r="Q5604" s="10"/>
      <c r="R5604" s="10"/>
      <c r="S5604" s="10"/>
      <c r="T5604" s="10"/>
      <c r="U5604" s="10"/>
      <c r="V5604" s="10"/>
      <c r="W5604" s="10"/>
      <c r="X5604" s="10"/>
      <c r="Y5604" s="10"/>
      <c r="Z5604" s="10"/>
      <c r="AA5604" s="10"/>
      <c r="AB5604" s="10"/>
      <c r="AC5604" s="10"/>
      <c r="AD5604" s="10"/>
      <c r="AE5604" s="10"/>
      <c r="AF5604" s="10"/>
      <c r="AG5604" s="10"/>
      <c r="AH5604" s="10"/>
    </row>
    <row r="5605" spans="1:34" outlineLevel="2">
      <c r="A5605" s="21"/>
      <c r="B5605" s="12" t="str">
        <f>IFERROR(VLOOKUP(D5605,'[1]Перечень товаров'!$A$2:$I9525,2,0),"")</f>
        <v>п28</v>
      </c>
      <c r="C5605" s="12" t="str">
        <f>IFERROR(VLOOKUP(D5605,'[1]Перечень товаров'!$A$2:$I9525,3,0),"")</f>
        <v>Прочее</v>
      </c>
      <c r="D5605" s="22" t="s">
        <v>363</v>
      </c>
      <c r="E5605" s="102"/>
      <c r="F5605" s="102"/>
      <c r="G5605" s="48">
        <v>1</v>
      </c>
      <c r="H5605" s="48"/>
      <c r="I5605" s="49"/>
      <c r="J5605" s="49"/>
      <c r="K5605" s="19"/>
      <c r="L5605" s="20"/>
      <c r="M5605" s="10"/>
      <c r="N5605" s="10"/>
      <c r="O5605" s="10"/>
      <c r="P5605" s="10"/>
      <c r="Q5605" s="10"/>
      <c r="R5605" s="10"/>
      <c r="S5605" s="10"/>
      <c r="T5605" s="10"/>
      <c r="U5605" s="10"/>
      <c r="V5605" s="10"/>
      <c r="W5605" s="10"/>
      <c r="X5605" s="10"/>
      <c r="Y5605" s="10"/>
      <c r="Z5605" s="10"/>
      <c r="AA5605" s="10"/>
      <c r="AB5605" s="10"/>
      <c r="AC5605" s="10"/>
      <c r="AD5605" s="10"/>
      <c r="AE5605" s="10"/>
      <c r="AF5605" s="10"/>
      <c r="AG5605" s="10"/>
      <c r="AH5605" s="10"/>
    </row>
    <row r="5606" spans="1:34" outlineLevel="2">
      <c r="A5606" s="21"/>
      <c r="B5606" s="12" t="str">
        <f>IFERROR(VLOOKUP(D5606,'[1]Перечень товаров'!$A$2:$I9525,2,0),"")</f>
        <v>п29</v>
      </c>
      <c r="C5606" s="12" t="str">
        <f>IFERROR(VLOOKUP(D5606,'[1]Перечень товаров'!$A$2:$I9525,3,0),"")</f>
        <v>Прочее</v>
      </c>
      <c r="D5606" s="22" t="s">
        <v>364</v>
      </c>
      <c r="E5606" s="102"/>
      <c r="F5606" s="102"/>
      <c r="G5606" s="48">
        <v>6</v>
      </c>
      <c r="H5606" s="48"/>
      <c r="I5606" s="49"/>
      <c r="J5606" s="49"/>
      <c r="K5606" s="19"/>
      <c r="L5606" s="20"/>
      <c r="M5606" s="10"/>
      <c r="N5606" s="10"/>
      <c r="O5606" s="10"/>
      <c r="P5606" s="10"/>
      <c r="Q5606" s="10"/>
      <c r="R5606" s="10"/>
      <c r="S5606" s="10"/>
      <c r="T5606" s="10"/>
      <c r="U5606" s="10"/>
      <c r="V5606" s="10"/>
      <c r="W5606" s="10"/>
      <c r="X5606" s="10"/>
      <c r="Y5606" s="10"/>
      <c r="Z5606" s="10"/>
      <c r="AA5606" s="10"/>
      <c r="AB5606" s="10"/>
      <c r="AC5606" s="10"/>
      <c r="AD5606" s="10"/>
      <c r="AE5606" s="10"/>
      <c r="AF5606" s="10"/>
      <c r="AG5606" s="10"/>
      <c r="AH5606" s="10"/>
    </row>
    <row r="5607" spans="1:34" outlineLevel="2">
      <c r="A5607" s="21"/>
      <c r="B5607" s="12" t="str">
        <f>IFERROR(VLOOKUP(D5607,'[1]Перечень товаров'!$A$2:$I9525,2,0),"")</f>
        <v>п30</v>
      </c>
      <c r="C5607" s="12" t="str">
        <f>IFERROR(VLOOKUP(D5607,'[1]Перечень товаров'!$A$2:$I9525,3,0),"")</f>
        <v>Прочее</v>
      </c>
      <c r="D5607" s="22" t="s">
        <v>365</v>
      </c>
      <c r="E5607" s="102"/>
      <c r="F5607" s="102"/>
      <c r="G5607" s="48">
        <v>2</v>
      </c>
      <c r="H5607" s="48"/>
      <c r="I5607" s="49"/>
      <c r="J5607" s="49"/>
      <c r="K5607" s="19"/>
      <c r="L5607" s="20"/>
      <c r="M5607" s="10"/>
      <c r="N5607" s="10"/>
      <c r="O5607" s="10"/>
      <c r="P5607" s="10"/>
      <c r="Q5607" s="10"/>
      <c r="R5607" s="10"/>
      <c r="S5607" s="10"/>
      <c r="T5607" s="10"/>
      <c r="U5607" s="10"/>
      <c r="V5607" s="10"/>
      <c r="W5607" s="10"/>
      <c r="X5607" s="10"/>
      <c r="Y5607" s="10"/>
      <c r="Z5607" s="10"/>
      <c r="AA5607" s="10"/>
      <c r="AB5607" s="10"/>
      <c r="AC5607" s="10"/>
      <c r="AD5607" s="10"/>
      <c r="AE5607" s="10"/>
      <c r="AF5607" s="10"/>
      <c r="AG5607" s="10"/>
      <c r="AH5607" s="10"/>
    </row>
    <row r="5608" spans="1:34" ht="31.5" outlineLevel="2">
      <c r="A5608" s="21"/>
      <c r="B5608" s="12" t="str">
        <f>IFERROR(VLOOKUP(D5608,'[1]Перечень товаров'!$A$2:$I9525,2,0),"")</f>
        <v>п31</v>
      </c>
      <c r="C5608" s="12" t="str">
        <f>IFERROR(VLOOKUP(D5608,'[1]Перечень товаров'!$A$2:$I9525,3,0),"")</f>
        <v>Прочее</v>
      </c>
      <c r="D5608" s="22" t="s">
        <v>366</v>
      </c>
      <c r="E5608" s="102"/>
      <c r="F5608" s="102"/>
      <c r="G5608" s="48">
        <v>1</v>
      </c>
      <c r="H5608" s="48"/>
      <c r="I5608" s="49"/>
      <c r="J5608" s="49"/>
      <c r="K5608" s="19"/>
      <c r="L5608" s="20"/>
      <c r="M5608" s="10"/>
      <c r="N5608" s="10"/>
      <c r="O5608" s="10"/>
      <c r="P5608" s="10"/>
      <c r="Q5608" s="10"/>
      <c r="R5608" s="10"/>
      <c r="S5608" s="10"/>
      <c r="T5608" s="10"/>
      <c r="U5608" s="10"/>
      <c r="V5608" s="10"/>
      <c r="W5608" s="10"/>
      <c r="X5608" s="10"/>
      <c r="Y5608" s="10"/>
      <c r="Z5608" s="10"/>
      <c r="AA5608" s="10"/>
      <c r="AB5608" s="10"/>
      <c r="AC5608" s="10"/>
      <c r="AD5608" s="10"/>
      <c r="AE5608" s="10"/>
      <c r="AF5608" s="10"/>
      <c r="AG5608" s="10"/>
      <c r="AH5608" s="10"/>
    </row>
    <row r="5609" spans="1:34" ht="31.5" outlineLevel="2">
      <c r="A5609" s="21"/>
      <c r="B5609" s="12" t="str">
        <f>IFERROR(VLOOKUP(D5609,'[1]Перечень товаров'!$A$2:$I9525,2,0),"")</f>
        <v>п32</v>
      </c>
      <c r="C5609" s="12" t="str">
        <f>IFERROR(VLOOKUP(D5609,'[1]Перечень товаров'!$A$2:$I9525,3,0),"")</f>
        <v>Прочее</v>
      </c>
      <c r="D5609" s="22" t="s">
        <v>367</v>
      </c>
      <c r="E5609" s="102"/>
      <c r="F5609" s="102"/>
      <c r="G5609" s="48">
        <v>2</v>
      </c>
      <c r="H5609" s="48"/>
      <c r="I5609" s="49"/>
      <c r="J5609" s="49"/>
      <c r="K5609" s="19"/>
      <c r="L5609" s="20"/>
      <c r="M5609" s="10"/>
      <c r="N5609" s="10"/>
      <c r="O5609" s="10"/>
      <c r="P5609" s="10"/>
      <c r="Q5609" s="10"/>
      <c r="R5609" s="10"/>
      <c r="S5609" s="10"/>
      <c r="T5609" s="10"/>
      <c r="U5609" s="10"/>
      <c r="V5609" s="10"/>
      <c r="W5609" s="10"/>
      <c r="X5609" s="10"/>
      <c r="Y5609" s="10"/>
      <c r="Z5609" s="10"/>
      <c r="AA5609" s="10"/>
      <c r="AB5609" s="10"/>
      <c r="AC5609" s="10"/>
      <c r="AD5609" s="10"/>
      <c r="AE5609" s="10"/>
      <c r="AF5609" s="10"/>
      <c r="AG5609" s="10"/>
      <c r="AH5609" s="10"/>
    </row>
    <row r="5610" spans="1:34" ht="12.75" outlineLevel="1">
      <c r="A5610" s="11"/>
      <c r="B5610" s="12" t="str">
        <f>IFERROR(VLOOKUP(D5610,'[1]Перечень товаров'!$A$2:$I9525,2,0),"")</f>
        <v/>
      </c>
      <c r="C5610" s="12" t="str">
        <f>IFERROR(VLOOKUP(D5610,'[1]Перечень товаров'!$A$2:$I9525,3,0),"")</f>
        <v/>
      </c>
      <c r="D5610" s="27" t="s">
        <v>913</v>
      </c>
      <c r="E5610" s="14">
        <v>16.399999999999999</v>
      </c>
      <c r="F5610" s="14"/>
      <c r="G5610" s="17"/>
      <c r="H5610" s="17"/>
      <c r="I5610" s="57"/>
      <c r="J5610" s="57"/>
      <c r="K5610" s="19"/>
      <c r="L5610" s="20"/>
      <c r="M5610" s="10"/>
      <c r="N5610" s="10"/>
      <c r="O5610" s="10"/>
      <c r="P5610" s="10"/>
      <c r="Q5610" s="10"/>
      <c r="R5610" s="10"/>
      <c r="S5610" s="10"/>
      <c r="T5610" s="10"/>
      <c r="U5610" s="10"/>
      <c r="V5610" s="10"/>
      <c r="W5610" s="10"/>
      <c r="X5610" s="10"/>
      <c r="Y5610" s="10"/>
      <c r="Z5610" s="10"/>
      <c r="AA5610" s="10"/>
      <c r="AB5610" s="10"/>
      <c r="AC5610" s="10"/>
      <c r="AD5610" s="10"/>
      <c r="AE5610" s="10"/>
      <c r="AF5610" s="10"/>
      <c r="AG5610" s="10"/>
      <c r="AH5610" s="10"/>
    </row>
    <row r="5611" spans="1:34" outlineLevel="2">
      <c r="A5611" s="21"/>
      <c r="B5611" s="12" t="str">
        <f>IFERROR(VLOOKUP(D5611,'[1]Перечень товаров'!$A$2:$I9525,2,0),"")</f>
        <v>м190</v>
      </c>
      <c r="C5611" s="12" t="str">
        <f>IFERROR(VLOOKUP(D5611,'[1]Перечень товаров'!$A$2:$I9525,3,0),"")</f>
        <v>мебель</v>
      </c>
      <c r="D5611" s="22" t="s">
        <v>922</v>
      </c>
      <c r="E5611" s="23"/>
      <c r="F5611" s="23"/>
      <c r="G5611" s="24">
        <v>1</v>
      </c>
      <c r="H5611" s="24"/>
      <c r="I5611" s="25"/>
      <c r="J5611" s="25"/>
      <c r="K5611" s="19"/>
      <c r="L5611" s="20"/>
      <c r="M5611" s="10"/>
      <c r="N5611" s="10"/>
      <c r="O5611" s="10"/>
      <c r="P5611" s="10"/>
      <c r="Q5611" s="10"/>
      <c r="R5611" s="10"/>
      <c r="S5611" s="10"/>
      <c r="T5611" s="10"/>
      <c r="U5611" s="10"/>
      <c r="V5611" s="10"/>
      <c r="W5611" s="10"/>
      <c r="X5611" s="10"/>
      <c r="Y5611" s="10"/>
      <c r="Z5611" s="10"/>
      <c r="AA5611" s="10"/>
      <c r="AB5611" s="10"/>
      <c r="AC5611" s="10"/>
      <c r="AD5611" s="10"/>
      <c r="AE5611" s="10"/>
      <c r="AF5611" s="10"/>
      <c r="AG5611" s="10"/>
      <c r="AH5611" s="10"/>
    </row>
    <row r="5612" spans="1:34" outlineLevel="2">
      <c r="A5612" s="21"/>
      <c r="B5612" s="12" t="str">
        <f>IFERROR(VLOOKUP(D5612,'[1]Перечень товаров'!$A$2:$I9525,2,0),"")</f>
        <v>д560</v>
      </c>
      <c r="C5612" s="12" t="str">
        <f>IFERROR(VLOOKUP(D5612,'[1]Перечень товаров'!$A$2:$I9525,3,0),"")</f>
        <v>дидактика</v>
      </c>
      <c r="D5612" s="22" t="s">
        <v>923</v>
      </c>
      <c r="E5612" s="23"/>
      <c r="F5612" s="23"/>
      <c r="G5612" s="24">
        <v>1</v>
      </c>
      <c r="H5612" s="24"/>
      <c r="I5612" s="25"/>
      <c r="J5612" s="25"/>
      <c r="K5612" s="19"/>
      <c r="L5612" s="20"/>
      <c r="M5612" s="10"/>
      <c r="N5612" s="10"/>
      <c r="O5612" s="10"/>
      <c r="P5612" s="10"/>
      <c r="Q5612" s="10"/>
      <c r="R5612" s="10"/>
      <c r="S5612" s="10"/>
      <c r="T5612" s="10"/>
      <c r="U5612" s="10"/>
      <c r="V5612" s="10"/>
      <c r="W5612" s="10"/>
      <c r="X5612" s="10"/>
      <c r="Y5612" s="10"/>
      <c r="Z5612" s="10"/>
      <c r="AA5612" s="10"/>
      <c r="AB5612" s="10"/>
      <c r="AC5612" s="10"/>
      <c r="AD5612" s="10"/>
      <c r="AE5612" s="10"/>
      <c r="AF5612" s="10"/>
      <c r="AG5612" s="10"/>
      <c r="AH5612" s="10"/>
    </row>
    <row r="5613" spans="1:34" outlineLevel="2">
      <c r="A5613" s="21"/>
      <c r="B5613" s="12" t="str">
        <f>IFERROR(VLOOKUP(D5613,'[1]Перечень товаров'!$A$2:$I9525,2,0),"")</f>
        <v>м14</v>
      </c>
      <c r="C5613" s="12" t="str">
        <f>IFERROR(VLOOKUP(D5613,'[1]Перечень товаров'!$A$2:$I9525,3,0),"")</f>
        <v>Мебель</v>
      </c>
      <c r="D5613" s="22" t="s">
        <v>43</v>
      </c>
      <c r="E5613" s="23"/>
      <c r="F5613" s="23"/>
      <c r="G5613" s="24">
        <v>1</v>
      </c>
      <c r="H5613" s="24"/>
      <c r="I5613" s="25"/>
      <c r="J5613" s="25"/>
      <c r="K5613" s="19"/>
      <c r="L5613" s="20"/>
      <c r="M5613" s="10"/>
      <c r="N5613" s="10"/>
      <c r="O5613" s="10"/>
      <c r="P5613" s="10"/>
      <c r="Q5613" s="10"/>
      <c r="R5613" s="10"/>
      <c r="S5613" s="10"/>
      <c r="T5613" s="10"/>
      <c r="U5613" s="10"/>
      <c r="V5613" s="10"/>
      <c r="W5613" s="10"/>
      <c r="X5613" s="10"/>
      <c r="Y5613" s="10"/>
      <c r="Z5613" s="10"/>
      <c r="AA5613" s="10"/>
      <c r="AB5613" s="10"/>
      <c r="AC5613" s="10"/>
      <c r="AD5613" s="10"/>
      <c r="AE5613" s="10"/>
      <c r="AF5613" s="10"/>
      <c r="AG5613" s="10"/>
      <c r="AH5613" s="10"/>
    </row>
    <row r="5614" spans="1:34" outlineLevel="2">
      <c r="A5614" s="21"/>
      <c r="B5614" s="12" t="str">
        <f>IFERROR(VLOOKUP(D5614,'[1]Перечень товаров'!$A$2:$I9525,2,0),"")</f>
        <v>м189</v>
      </c>
      <c r="C5614" s="12" t="str">
        <f>IFERROR(VLOOKUP(D5614,'[1]Перечень товаров'!$A$2:$I9525,3,0),"")</f>
        <v>мебель</v>
      </c>
      <c r="D5614" s="22" t="s">
        <v>924</v>
      </c>
      <c r="E5614" s="23"/>
      <c r="F5614" s="23"/>
      <c r="G5614" s="24">
        <v>1</v>
      </c>
      <c r="H5614" s="24"/>
      <c r="I5614" s="25"/>
      <c r="J5614" s="25"/>
      <c r="K5614" s="19"/>
      <c r="L5614" s="20"/>
      <c r="M5614" s="10"/>
      <c r="N5614" s="10"/>
      <c r="O5614" s="10"/>
      <c r="P5614" s="10"/>
      <c r="Q5614" s="10"/>
      <c r="R5614" s="10"/>
      <c r="S5614" s="10"/>
      <c r="T5614" s="10"/>
      <c r="U5614" s="10"/>
      <c r="V5614" s="10"/>
      <c r="W5614" s="10"/>
      <c r="X5614" s="10"/>
      <c r="Y5614" s="10"/>
      <c r="Z5614" s="10"/>
      <c r="AA5614" s="10"/>
      <c r="AB5614" s="10"/>
      <c r="AC5614" s="10"/>
      <c r="AD5614" s="10"/>
      <c r="AE5614" s="10"/>
      <c r="AF5614" s="10"/>
      <c r="AG5614" s="10"/>
      <c r="AH5614" s="10"/>
    </row>
    <row r="5615" spans="1:34" outlineLevel="2">
      <c r="A5615" s="21"/>
      <c r="B5615" s="12" t="str">
        <f>IFERROR(VLOOKUP(D5615,'[1]Перечень товаров'!$A$2:$I9525,2,0),"")</f>
        <v>м188</v>
      </c>
      <c r="C5615" s="12" t="str">
        <f>IFERROR(VLOOKUP(D5615,'[1]Перечень товаров'!$A$2:$I9525,3,0),"")</f>
        <v>мебель</v>
      </c>
      <c r="D5615" s="22" t="s">
        <v>925</v>
      </c>
      <c r="E5615" s="23"/>
      <c r="F5615" s="23"/>
      <c r="G5615" s="24">
        <v>1</v>
      </c>
      <c r="H5615" s="24"/>
      <c r="I5615" s="25"/>
      <c r="J5615" s="25"/>
      <c r="K5615" s="19"/>
      <c r="L5615" s="20"/>
      <c r="M5615" s="10"/>
      <c r="N5615" s="10"/>
      <c r="O5615" s="10"/>
      <c r="P5615" s="10"/>
      <c r="Q5615" s="10"/>
      <c r="R5615" s="10"/>
      <c r="S5615" s="10"/>
      <c r="T5615" s="10"/>
      <c r="U5615" s="10"/>
      <c r="V5615" s="10"/>
      <c r="W5615" s="10"/>
      <c r="X5615" s="10"/>
      <c r="Y5615" s="10"/>
      <c r="Z5615" s="10"/>
      <c r="AA5615" s="10"/>
      <c r="AB5615" s="10"/>
      <c r="AC5615" s="10"/>
      <c r="AD5615" s="10"/>
      <c r="AE5615" s="10"/>
      <c r="AF5615" s="10"/>
      <c r="AG5615" s="10"/>
      <c r="AH5615" s="10"/>
    </row>
    <row r="5616" spans="1:34" outlineLevel="2">
      <c r="A5616" s="21"/>
      <c r="B5616" s="12" t="str">
        <f>IFERROR(VLOOKUP(D5616,'[1]Перечень товаров'!$A$2:$I9525,2,0),"")</f>
        <v>м19</v>
      </c>
      <c r="C5616" s="12" t="str">
        <f>IFERROR(VLOOKUP(D5616,'[1]Перечень товаров'!$A$2:$I9525,3,0),"")</f>
        <v>Мебель</v>
      </c>
      <c r="D5616" s="22" t="s">
        <v>53</v>
      </c>
      <c r="E5616" s="23"/>
      <c r="F5616" s="23"/>
      <c r="G5616" s="24">
        <v>1</v>
      </c>
      <c r="H5616" s="24"/>
      <c r="I5616" s="25"/>
      <c r="J5616" s="25"/>
      <c r="K5616" s="19"/>
      <c r="L5616" s="20"/>
      <c r="M5616" s="10"/>
      <c r="N5616" s="10"/>
      <c r="O5616" s="10"/>
      <c r="P5616" s="10"/>
      <c r="Q5616" s="10"/>
      <c r="R5616" s="10"/>
      <c r="S5616" s="10"/>
      <c r="T5616" s="10"/>
      <c r="U5616" s="10"/>
      <c r="V5616" s="10"/>
      <c r="W5616" s="10"/>
      <c r="X5616" s="10"/>
      <c r="Y5616" s="10"/>
      <c r="Z5616" s="10"/>
      <c r="AA5616" s="10"/>
      <c r="AB5616" s="10"/>
      <c r="AC5616" s="10"/>
      <c r="AD5616" s="10"/>
      <c r="AE5616" s="10"/>
      <c r="AF5616" s="10"/>
      <c r="AG5616" s="10"/>
      <c r="AH5616" s="10"/>
    </row>
    <row r="5617" spans="1:34" outlineLevel="2">
      <c r="A5617" s="21"/>
      <c r="B5617" s="12" t="str">
        <f>IFERROR(VLOOKUP(D5617,'[1]Перечень товаров'!$A$2:$I9525,2,0),"")</f>
        <v>м187</v>
      </c>
      <c r="C5617" s="12" t="str">
        <f>IFERROR(VLOOKUP(D5617,'[1]Перечень товаров'!$A$2:$I9525,3,0),"")</f>
        <v>мебель</v>
      </c>
      <c r="D5617" s="22" t="s">
        <v>877</v>
      </c>
      <c r="E5617" s="23"/>
      <c r="F5617" s="23"/>
      <c r="G5617" s="24">
        <v>1</v>
      </c>
      <c r="H5617" s="24"/>
      <c r="I5617" s="25"/>
      <c r="J5617" s="25"/>
      <c r="K5617" s="19"/>
      <c r="L5617" s="20"/>
      <c r="M5617" s="10"/>
      <c r="N5617" s="10"/>
      <c r="O5617" s="10"/>
      <c r="P5617" s="10"/>
      <c r="Q5617" s="10"/>
      <c r="R5617" s="10"/>
      <c r="S5617" s="10"/>
      <c r="T5617" s="10"/>
      <c r="U5617" s="10"/>
      <c r="V5617" s="10"/>
      <c r="W5617" s="10"/>
      <c r="X5617" s="10"/>
      <c r="Y5617" s="10"/>
      <c r="Z5617" s="10"/>
      <c r="AA5617" s="10"/>
      <c r="AB5617" s="10"/>
      <c r="AC5617" s="10"/>
      <c r="AD5617" s="10"/>
      <c r="AE5617" s="10"/>
      <c r="AF5617" s="10"/>
      <c r="AG5617" s="10"/>
      <c r="AH5617" s="10"/>
    </row>
    <row r="5618" spans="1:34" outlineLevel="2">
      <c r="A5618" s="21"/>
      <c r="B5618" s="12" t="str">
        <f>IFERROR(VLOOKUP(D5618,'[1]Перечень товаров'!$A$2:$I9525,2,0),"")</f>
        <v>тм152</v>
      </c>
      <c r="C5618" s="12" t="str">
        <f>IFERROR(VLOOKUP(D5618,'[1]Перечень товаров'!$A$2:$I9525,3,0),"")</f>
        <v>Техника муз</v>
      </c>
      <c r="D5618" s="22" t="s">
        <v>1572</v>
      </c>
      <c r="E5618" s="23"/>
      <c r="F5618" s="23"/>
      <c r="G5618" s="24">
        <v>1</v>
      </c>
      <c r="H5618" s="24"/>
      <c r="I5618" s="25"/>
      <c r="J5618" s="25"/>
      <c r="K5618" s="19"/>
      <c r="L5618" s="20"/>
      <c r="M5618" s="10"/>
      <c r="N5618" s="10"/>
      <c r="O5618" s="10"/>
      <c r="P5618" s="10"/>
      <c r="Q5618" s="10"/>
      <c r="R5618" s="10"/>
      <c r="S5618" s="10"/>
      <c r="T5618" s="10"/>
      <c r="U5618" s="10"/>
      <c r="V5618" s="10"/>
      <c r="W5618" s="10"/>
      <c r="X5618" s="10"/>
      <c r="Y5618" s="10"/>
      <c r="Z5618" s="10"/>
      <c r="AA5618" s="10"/>
      <c r="AB5618" s="10"/>
      <c r="AC5618" s="10"/>
      <c r="AD5618" s="10"/>
      <c r="AE5618" s="10"/>
      <c r="AF5618" s="10"/>
      <c r="AG5618" s="10"/>
      <c r="AH5618" s="10"/>
    </row>
    <row r="5619" spans="1:34" outlineLevel="2">
      <c r="A5619" s="21"/>
      <c r="B5619" s="12" t="str">
        <f>IFERROR(VLOOKUP(D5619,'[1]Перечень товаров'!$A$2:$I9525,2,0),"")</f>
        <v>м137</v>
      </c>
      <c r="C5619" s="12" t="str">
        <f>IFERROR(VLOOKUP(D5619,'[1]Перечень товаров'!$A$2:$I9525,3,0),"")</f>
        <v>мебель</v>
      </c>
      <c r="D5619" s="22" t="s">
        <v>876</v>
      </c>
      <c r="E5619" s="23"/>
      <c r="F5619" s="23"/>
      <c r="G5619" s="24">
        <v>1</v>
      </c>
      <c r="H5619" s="24"/>
      <c r="I5619" s="25"/>
      <c r="J5619" s="25"/>
      <c r="K5619" s="19"/>
      <c r="L5619" s="20"/>
      <c r="M5619" s="10"/>
      <c r="N5619" s="10"/>
      <c r="O5619" s="10"/>
      <c r="P5619" s="10"/>
      <c r="Q5619" s="10"/>
      <c r="R5619" s="10"/>
      <c r="S5619" s="10"/>
      <c r="T5619" s="10"/>
      <c r="U5619" s="10"/>
      <c r="V5619" s="10"/>
      <c r="W5619" s="10"/>
      <c r="X5619" s="10"/>
      <c r="Y5619" s="10"/>
      <c r="Z5619" s="10"/>
      <c r="AA5619" s="10"/>
      <c r="AB5619" s="10"/>
      <c r="AC5619" s="10"/>
      <c r="AD5619" s="10"/>
      <c r="AE5619" s="10"/>
      <c r="AF5619" s="10"/>
      <c r="AG5619" s="10"/>
      <c r="AH5619" s="10"/>
    </row>
    <row r="5620" spans="1:34" ht="12.75" outlineLevel="1">
      <c r="A5620" s="11"/>
      <c r="B5620" s="12" t="str">
        <f>IFERROR(VLOOKUP(D5620,'[1]Перечень товаров'!$A$2:$I9525,2,0),"")</f>
        <v/>
      </c>
      <c r="C5620" s="12" t="str">
        <f>IFERROR(VLOOKUP(D5620,'[1]Перечень товаров'!$A$2:$I9525,3,0),"")</f>
        <v/>
      </c>
      <c r="D5620" s="27" t="s">
        <v>1582</v>
      </c>
      <c r="E5620" s="14">
        <v>11.8</v>
      </c>
      <c r="F5620" s="14"/>
      <c r="G5620" s="17"/>
      <c r="H5620" s="17"/>
      <c r="I5620" s="57"/>
      <c r="J5620" s="57"/>
      <c r="K5620" s="19"/>
      <c r="L5620" s="20"/>
      <c r="M5620" s="10"/>
      <c r="N5620" s="10"/>
      <c r="O5620" s="10"/>
      <c r="P5620" s="10"/>
      <c r="Q5620" s="10"/>
      <c r="R5620" s="10"/>
      <c r="S5620" s="10"/>
      <c r="T5620" s="10"/>
      <c r="U5620" s="10"/>
      <c r="V5620" s="10"/>
      <c r="W5620" s="10"/>
      <c r="X5620" s="10"/>
      <c r="Y5620" s="10"/>
      <c r="Z5620" s="10"/>
      <c r="AA5620" s="10"/>
      <c r="AB5620" s="10"/>
      <c r="AC5620" s="10"/>
      <c r="AD5620" s="10"/>
      <c r="AE5620" s="10"/>
      <c r="AF5620" s="10"/>
      <c r="AG5620" s="10"/>
      <c r="AH5620" s="10"/>
    </row>
    <row r="5621" spans="1:34" outlineLevel="2">
      <c r="A5621" s="21"/>
      <c r="B5621" s="12" t="str">
        <f>IFERROR(VLOOKUP(D5621,'[1]Перечень товаров'!$A$2:$I9525,2,0),"")</f>
        <v>м190</v>
      </c>
      <c r="C5621" s="12" t="str">
        <f>IFERROR(VLOOKUP(D5621,'[1]Перечень товаров'!$A$2:$I9525,3,0),"")</f>
        <v>мебель</v>
      </c>
      <c r="D5621" s="22" t="s">
        <v>922</v>
      </c>
      <c r="E5621" s="23"/>
      <c r="F5621" s="23"/>
      <c r="G5621" s="24">
        <v>1</v>
      </c>
      <c r="H5621" s="24"/>
      <c r="I5621" s="25"/>
      <c r="J5621" s="25"/>
      <c r="K5621" s="19"/>
      <c r="L5621" s="20"/>
      <c r="M5621" s="10"/>
      <c r="N5621" s="10"/>
      <c r="O5621" s="10"/>
      <c r="P5621" s="10"/>
      <c r="Q5621" s="10"/>
      <c r="R5621" s="10"/>
      <c r="S5621" s="10"/>
      <c r="T5621" s="10"/>
      <c r="U5621" s="10"/>
      <c r="V5621" s="10"/>
      <c r="W5621" s="10"/>
      <c r="X5621" s="10"/>
      <c r="Y5621" s="10"/>
      <c r="Z5621" s="10"/>
      <c r="AA5621" s="10"/>
      <c r="AB5621" s="10"/>
      <c r="AC5621" s="10"/>
      <c r="AD5621" s="10"/>
      <c r="AE5621" s="10"/>
      <c r="AF5621" s="10"/>
      <c r="AG5621" s="10"/>
      <c r="AH5621" s="10"/>
    </row>
    <row r="5622" spans="1:34" outlineLevel="2">
      <c r="A5622" s="21"/>
      <c r="B5622" s="12" t="str">
        <f>IFERROR(VLOOKUP(D5622,'[1]Перечень товаров'!$A$2:$I9525,2,0),"")</f>
        <v>д560</v>
      </c>
      <c r="C5622" s="12" t="str">
        <f>IFERROR(VLOOKUP(D5622,'[1]Перечень товаров'!$A$2:$I9525,3,0),"")</f>
        <v>дидактика</v>
      </c>
      <c r="D5622" s="22" t="s">
        <v>923</v>
      </c>
      <c r="E5622" s="23"/>
      <c r="F5622" s="23"/>
      <c r="G5622" s="24">
        <v>1</v>
      </c>
      <c r="H5622" s="24"/>
      <c r="I5622" s="25"/>
      <c r="J5622" s="25"/>
      <c r="K5622" s="19"/>
      <c r="L5622" s="20"/>
      <c r="M5622" s="10"/>
      <c r="N5622" s="10"/>
      <c r="O5622" s="10"/>
      <c r="P5622" s="10"/>
      <c r="Q5622" s="10"/>
      <c r="R5622" s="10"/>
      <c r="S5622" s="10"/>
      <c r="T5622" s="10"/>
      <c r="U5622" s="10"/>
      <c r="V5622" s="10"/>
      <c r="W5622" s="10"/>
      <c r="X5622" s="10"/>
      <c r="Y5622" s="10"/>
      <c r="Z5622" s="10"/>
      <c r="AA5622" s="10"/>
      <c r="AB5622" s="10"/>
      <c r="AC5622" s="10"/>
      <c r="AD5622" s="10"/>
      <c r="AE5622" s="10"/>
      <c r="AF5622" s="10"/>
      <c r="AG5622" s="10"/>
      <c r="AH5622" s="10"/>
    </row>
    <row r="5623" spans="1:34" outlineLevel="2">
      <c r="A5623" s="21"/>
      <c r="B5623" s="12" t="str">
        <f>IFERROR(VLOOKUP(D5623,'[1]Перечень товаров'!$A$2:$I9525,2,0),"")</f>
        <v>м14</v>
      </c>
      <c r="C5623" s="12" t="str">
        <f>IFERROR(VLOOKUP(D5623,'[1]Перечень товаров'!$A$2:$I9525,3,0),"")</f>
        <v>Мебель</v>
      </c>
      <c r="D5623" s="22" t="s">
        <v>43</v>
      </c>
      <c r="E5623" s="23"/>
      <c r="F5623" s="23"/>
      <c r="G5623" s="24">
        <v>1</v>
      </c>
      <c r="H5623" s="24"/>
      <c r="I5623" s="25"/>
      <c r="J5623" s="25"/>
      <c r="K5623" s="19"/>
      <c r="L5623" s="20"/>
      <c r="M5623" s="10"/>
      <c r="N5623" s="10"/>
      <c r="O5623" s="10"/>
      <c r="P5623" s="10"/>
      <c r="Q5623" s="10"/>
      <c r="R5623" s="10"/>
      <c r="S5623" s="10"/>
      <c r="T5623" s="10"/>
      <c r="U5623" s="10"/>
      <c r="V5623" s="10"/>
      <c r="W5623" s="10"/>
      <c r="X5623" s="10"/>
      <c r="Y5623" s="10"/>
      <c r="Z5623" s="10"/>
      <c r="AA5623" s="10"/>
      <c r="AB5623" s="10"/>
      <c r="AC5623" s="10"/>
      <c r="AD5623" s="10"/>
      <c r="AE5623" s="10"/>
      <c r="AF5623" s="10"/>
      <c r="AG5623" s="10"/>
      <c r="AH5623" s="10"/>
    </row>
    <row r="5624" spans="1:34" outlineLevel="2">
      <c r="A5624" s="21"/>
      <c r="B5624" s="12" t="str">
        <f>IFERROR(VLOOKUP(D5624,'[1]Перечень товаров'!$A$2:$I9525,2,0),"")</f>
        <v>м189</v>
      </c>
      <c r="C5624" s="12" t="str">
        <f>IFERROR(VLOOKUP(D5624,'[1]Перечень товаров'!$A$2:$I9525,3,0),"")</f>
        <v>мебель</v>
      </c>
      <c r="D5624" s="22" t="s">
        <v>924</v>
      </c>
      <c r="E5624" s="23"/>
      <c r="F5624" s="23"/>
      <c r="G5624" s="24">
        <v>1</v>
      </c>
      <c r="H5624" s="24"/>
      <c r="I5624" s="25"/>
      <c r="J5624" s="25"/>
      <c r="K5624" s="19"/>
      <c r="L5624" s="20"/>
      <c r="M5624" s="10"/>
      <c r="N5624" s="10"/>
      <c r="O5624" s="10"/>
      <c r="P5624" s="10"/>
      <c r="Q5624" s="10"/>
      <c r="R5624" s="10"/>
      <c r="S5624" s="10"/>
      <c r="T5624" s="10"/>
      <c r="U5624" s="10"/>
      <c r="V5624" s="10"/>
      <c r="W5624" s="10"/>
      <c r="X5624" s="10"/>
      <c r="Y5624" s="10"/>
      <c r="Z5624" s="10"/>
      <c r="AA5624" s="10"/>
      <c r="AB5624" s="10"/>
      <c r="AC5624" s="10"/>
      <c r="AD5624" s="10"/>
      <c r="AE5624" s="10"/>
      <c r="AF5624" s="10"/>
      <c r="AG5624" s="10"/>
      <c r="AH5624" s="10"/>
    </row>
    <row r="5625" spans="1:34" outlineLevel="2">
      <c r="A5625" s="21"/>
      <c r="B5625" s="12" t="str">
        <f>IFERROR(VLOOKUP(D5625,'[1]Перечень товаров'!$A$2:$I9525,2,0),"")</f>
        <v>м188</v>
      </c>
      <c r="C5625" s="12" t="str">
        <f>IFERROR(VLOOKUP(D5625,'[1]Перечень товаров'!$A$2:$I9525,3,0),"")</f>
        <v>мебель</v>
      </c>
      <c r="D5625" s="22" t="s">
        <v>925</v>
      </c>
      <c r="E5625" s="23"/>
      <c r="F5625" s="23"/>
      <c r="G5625" s="24">
        <v>1</v>
      </c>
      <c r="H5625" s="24"/>
      <c r="I5625" s="25"/>
      <c r="J5625" s="25"/>
      <c r="K5625" s="19"/>
      <c r="L5625" s="20"/>
      <c r="M5625" s="10"/>
      <c r="N5625" s="10"/>
      <c r="O5625" s="10"/>
      <c r="P5625" s="10"/>
      <c r="Q5625" s="10"/>
      <c r="R5625" s="10"/>
      <c r="S5625" s="10"/>
      <c r="T5625" s="10"/>
      <c r="U5625" s="10"/>
      <c r="V5625" s="10"/>
      <c r="W5625" s="10"/>
      <c r="X5625" s="10"/>
      <c r="Y5625" s="10"/>
      <c r="Z5625" s="10"/>
      <c r="AA5625" s="10"/>
      <c r="AB5625" s="10"/>
      <c r="AC5625" s="10"/>
      <c r="AD5625" s="10"/>
      <c r="AE5625" s="10"/>
      <c r="AF5625" s="10"/>
      <c r="AG5625" s="10"/>
      <c r="AH5625" s="10"/>
    </row>
    <row r="5626" spans="1:34" outlineLevel="2">
      <c r="A5626" s="21"/>
      <c r="B5626" s="12" t="str">
        <f>IFERROR(VLOOKUP(D5626,'[1]Перечень товаров'!$A$2:$I9525,2,0),"")</f>
        <v>м19</v>
      </c>
      <c r="C5626" s="12" t="str">
        <f>IFERROR(VLOOKUP(D5626,'[1]Перечень товаров'!$A$2:$I9525,3,0),"")</f>
        <v>Мебель</v>
      </c>
      <c r="D5626" s="22" t="s">
        <v>53</v>
      </c>
      <c r="E5626" s="23"/>
      <c r="F5626" s="23"/>
      <c r="G5626" s="24">
        <v>1</v>
      </c>
      <c r="H5626" s="24"/>
      <c r="I5626" s="25"/>
      <c r="J5626" s="25"/>
      <c r="K5626" s="19"/>
      <c r="L5626" s="20"/>
      <c r="M5626" s="10"/>
      <c r="N5626" s="10"/>
      <c r="O5626" s="10"/>
      <c r="P5626" s="10"/>
      <c r="Q5626" s="10"/>
      <c r="R5626" s="10"/>
      <c r="S5626" s="10"/>
      <c r="T5626" s="10"/>
      <c r="U5626" s="10"/>
      <c r="V5626" s="10"/>
      <c r="W5626" s="10"/>
      <c r="X5626" s="10"/>
      <c r="Y5626" s="10"/>
      <c r="Z5626" s="10"/>
      <c r="AA5626" s="10"/>
      <c r="AB5626" s="10"/>
      <c r="AC5626" s="10"/>
      <c r="AD5626" s="10"/>
      <c r="AE5626" s="10"/>
      <c r="AF5626" s="10"/>
      <c r="AG5626" s="10"/>
      <c r="AH5626" s="10"/>
    </row>
    <row r="5627" spans="1:34" outlineLevel="2">
      <c r="A5627" s="21"/>
      <c r="B5627" s="12" t="str">
        <f>IFERROR(VLOOKUP(D5627,'[1]Перечень товаров'!$A$2:$I9525,2,0),"")</f>
        <v>м187</v>
      </c>
      <c r="C5627" s="12" t="str">
        <f>IFERROR(VLOOKUP(D5627,'[1]Перечень товаров'!$A$2:$I9525,3,0),"")</f>
        <v>мебель</v>
      </c>
      <c r="D5627" s="22" t="s">
        <v>877</v>
      </c>
      <c r="E5627" s="23"/>
      <c r="F5627" s="23"/>
      <c r="G5627" s="24">
        <v>1</v>
      </c>
      <c r="H5627" s="24"/>
      <c r="I5627" s="25"/>
      <c r="J5627" s="25"/>
      <c r="K5627" s="19"/>
      <c r="L5627" s="20"/>
      <c r="M5627" s="10"/>
      <c r="N5627" s="10"/>
      <c r="O5627" s="10"/>
      <c r="P5627" s="10"/>
      <c r="Q5627" s="10"/>
      <c r="R5627" s="10"/>
      <c r="S5627" s="10"/>
      <c r="T5627" s="10"/>
      <c r="U5627" s="10"/>
      <c r="V5627" s="10"/>
      <c r="W5627" s="10"/>
      <c r="X5627" s="10"/>
      <c r="Y5627" s="10"/>
      <c r="Z5627" s="10"/>
      <c r="AA5627" s="10"/>
      <c r="AB5627" s="10"/>
      <c r="AC5627" s="10"/>
      <c r="AD5627" s="10"/>
      <c r="AE5627" s="10"/>
      <c r="AF5627" s="10"/>
      <c r="AG5627" s="10"/>
      <c r="AH5627" s="10"/>
    </row>
    <row r="5628" spans="1:34" outlineLevel="2">
      <c r="A5628" s="21"/>
      <c r="B5628" s="12" t="str">
        <f>IFERROR(VLOOKUP(D5628,'[1]Перечень товаров'!$A$2:$I9525,2,0),"")</f>
        <v>тм152</v>
      </c>
      <c r="C5628" s="12" t="str">
        <f>IFERROR(VLOOKUP(D5628,'[1]Перечень товаров'!$A$2:$I9525,3,0),"")</f>
        <v>Техника муз</v>
      </c>
      <c r="D5628" s="22" t="s">
        <v>1572</v>
      </c>
      <c r="E5628" s="23"/>
      <c r="F5628" s="23"/>
      <c r="G5628" s="24">
        <v>1</v>
      </c>
      <c r="H5628" s="24"/>
      <c r="I5628" s="25"/>
      <c r="J5628" s="25"/>
      <c r="K5628" s="19"/>
      <c r="L5628" s="20"/>
      <c r="M5628" s="10"/>
      <c r="N5628" s="10"/>
      <c r="O5628" s="10"/>
      <c r="P5628" s="10"/>
      <c r="Q5628" s="10"/>
      <c r="R5628" s="10"/>
      <c r="S5628" s="10"/>
      <c r="T5628" s="10"/>
      <c r="U5628" s="10"/>
      <c r="V5628" s="10"/>
      <c r="W5628" s="10"/>
      <c r="X5628" s="10"/>
      <c r="Y5628" s="10"/>
      <c r="Z5628" s="10"/>
      <c r="AA5628" s="10"/>
      <c r="AB5628" s="10"/>
      <c r="AC5628" s="10"/>
      <c r="AD5628" s="10"/>
      <c r="AE5628" s="10"/>
      <c r="AF5628" s="10"/>
      <c r="AG5628" s="10"/>
      <c r="AH5628" s="10"/>
    </row>
    <row r="5629" spans="1:34" outlineLevel="2">
      <c r="A5629" s="21"/>
      <c r="B5629" s="12" t="str">
        <f>IFERROR(VLOOKUP(D5629,'[1]Перечень товаров'!$A$2:$I9525,2,0),"")</f>
        <v>м137</v>
      </c>
      <c r="C5629" s="12" t="str">
        <f>IFERROR(VLOOKUP(D5629,'[1]Перечень товаров'!$A$2:$I9525,3,0),"")</f>
        <v>мебель</v>
      </c>
      <c r="D5629" s="22" t="s">
        <v>876</v>
      </c>
      <c r="E5629" s="23"/>
      <c r="F5629" s="23"/>
      <c r="G5629" s="24">
        <v>1</v>
      </c>
      <c r="H5629" s="24"/>
      <c r="I5629" s="25"/>
      <c r="J5629" s="25"/>
      <c r="K5629" s="19"/>
      <c r="L5629" s="20"/>
      <c r="M5629" s="10"/>
      <c r="N5629" s="10"/>
      <c r="O5629" s="10"/>
      <c r="P5629" s="10"/>
      <c r="Q5629" s="10"/>
      <c r="R5629" s="10"/>
      <c r="S5629" s="10"/>
      <c r="T5629" s="10"/>
      <c r="U5629" s="10"/>
      <c r="V5629" s="10"/>
      <c r="W5629" s="10"/>
      <c r="X5629" s="10"/>
      <c r="Y5629" s="10"/>
      <c r="Z5629" s="10"/>
      <c r="AA5629" s="10"/>
      <c r="AB5629" s="10"/>
      <c r="AC5629" s="10"/>
      <c r="AD5629" s="10"/>
      <c r="AE5629" s="10"/>
      <c r="AF5629" s="10"/>
      <c r="AG5629" s="10"/>
      <c r="AH5629" s="10"/>
    </row>
    <row r="5630" spans="1:34" outlineLevel="1">
      <c r="A5630" s="21"/>
      <c r="B5630" s="12" t="str">
        <f>IFERROR(VLOOKUP(D5630,'[1]Перечень товаров'!$A$2:$I9525,2,0),"")</f>
        <v/>
      </c>
      <c r="C5630" s="12" t="str">
        <f>IFERROR(VLOOKUP(D5630,'[1]Перечень товаров'!$A$2:$I9525,3,0),"")</f>
        <v/>
      </c>
      <c r="D5630" s="22" t="s">
        <v>934</v>
      </c>
      <c r="E5630" s="23">
        <v>4</v>
      </c>
      <c r="F5630" s="23"/>
      <c r="G5630" s="24"/>
      <c r="H5630" s="24"/>
      <c r="I5630" s="25"/>
      <c r="J5630" s="25"/>
      <c r="K5630" s="19"/>
      <c r="L5630" s="20"/>
      <c r="M5630" s="10"/>
      <c r="N5630" s="10"/>
      <c r="O5630" s="10"/>
      <c r="P5630" s="10"/>
      <c r="Q5630" s="10"/>
      <c r="R5630" s="10"/>
      <c r="S5630" s="10"/>
      <c r="T5630" s="10"/>
      <c r="U5630" s="10"/>
      <c r="V5630" s="10"/>
      <c r="W5630" s="10"/>
      <c r="X5630" s="10"/>
      <c r="Y5630" s="10"/>
      <c r="Z5630" s="10"/>
      <c r="AA5630" s="10"/>
      <c r="AB5630" s="10"/>
      <c r="AC5630" s="10"/>
      <c r="AD5630" s="10"/>
      <c r="AE5630" s="10"/>
      <c r="AF5630" s="10"/>
      <c r="AG5630" s="10"/>
      <c r="AH5630" s="10"/>
    </row>
    <row r="5631" spans="1:34" ht="12.75" outlineLevel="1">
      <c r="A5631" s="11"/>
      <c r="B5631" s="12" t="str">
        <f>IFERROR(VLOOKUP(D5631,'[1]Перечень товаров'!$A$2:$I9525,2,0),"")</f>
        <v/>
      </c>
      <c r="C5631" s="12" t="str">
        <f>IFERROR(VLOOKUP(D5631,'[1]Перечень товаров'!$A$2:$I9525,3,0),"")</f>
        <v/>
      </c>
      <c r="D5631" s="27" t="s">
        <v>1583</v>
      </c>
      <c r="E5631" s="14">
        <v>19.899999999999999</v>
      </c>
      <c r="F5631" s="14"/>
      <c r="G5631" s="17"/>
      <c r="H5631" s="17"/>
      <c r="I5631" s="57"/>
      <c r="J5631" s="57"/>
      <c r="K5631" s="19"/>
      <c r="L5631" s="20"/>
      <c r="M5631" s="10"/>
      <c r="N5631" s="10"/>
      <c r="O5631" s="10"/>
      <c r="P5631" s="10"/>
      <c r="Q5631" s="10"/>
      <c r="R5631" s="10"/>
      <c r="S5631" s="10"/>
      <c r="T5631" s="10"/>
      <c r="U5631" s="10"/>
      <c r="V5631" s="10"/>
      <c r="W5631" s="10"/>
      <c r="X5631" s="10"/>
      <c r="Y5631" s="10"/>
      <c r="Z5631" s="10"/>
      <c r="AA5631" s="10"/>
      <c r="AB5631" s="10"/>
      <c r="AC5631" s="10"/>
      <c r="AD5631" s="10"/>
      <c r="AE5631" s="10"/>
      <c r="AF5631" s="10"/>
      <c r="AG5631" s="10"/>
      <c r="AH5631" s="10"/>
    </row>
    <row r="5632" spans="1:34" outlineLevel="2">
      <c r="A5632" s="177"/>
      <c r="B5632" s="12" t="str">
        <f>IFERROR(VLOOKUP(D5632,'[1]Перечень товаров'!$A$2:$I9525,2,0),"")</f>
        <v>т116</v>
      </c>
      <c r="C5632" s="12" t="str">
        <f>IFERROR(VLOOKUP(D5632,'[1]Перечень товаров'!$A$2:$I9525,3,0),"")</f>
        <v>Техника</v>
      </c>
      <c r="D5632" s="178" t="s">
        <v>887</v>
      </c>
      <c r="E5632" s="102"/>
      <c r="F5632" s="102"/>
      <c r="G5632" s="24">
        <v>1</v>
      </c>
      <c r="H5632" s="24"/>
      <c r="I5632" s="25"/>
      <c r="J5632" s="25"/>
      <c r="K5632" s="19"/>
      <c r="L5632" s="20"/>
      <c r="M5632" s="10"/>
      <c r="N5632" s="10"/>
      <c r="O5632" s="10"/>
      <c r="P5632" s="10"/>
      <c r="Q5632" s="10"/>
      <c r="R5632" s="10"/>
      <c r="S5632" s="10"/>
      <c r="T5632" s="10"/>
      <c r="U5632" s="10"/>
      <c r="V5632" s="10"/>
      <c r="W5632" s="10"/>
      <c r="X5632" s="10"/>
      <c r="Y5632" s="10"/>
      <c r="Z5632" s="10"/>
      <c r="AA5632" s="10"/>
      <c r="AB5632" s="10"/>
      <c r="AC5632" s="10"/>
      <c r="AD5632" s="10"/>
      <c r="AE5632" s="10"/>
      <c r="AF5632" s="10"/>
      <c r="AG5632" s="10"/>
      <c r="AH5632" s="10"/>
    </row>
    <row r="5633" spans="1:34" outlineLevel="2">
      <c r="A5633" s="177"/>
      <c r="B5633" s="12" t="str">
        <f>IFERROR(VLOOKUP(D5633,'[1]Перечень товаров'!$A$2:$I9525,2,0),"")</f>
        <v>т115</v>
      </c>
      <c r="C5633" s="12" t="str">
        <f>IFERROR(VLOOKUP(D5633,'[1]Перечень товаров'!$A$2:$I9525,3,0),"")</f>
        <v>Техника</v>
      </c>
      <c r="D5633" s="178" t="s">
        <v>888</v>
      </c>
      <c r="E5633" s="102"/>
      <c r="F5633" s="102"/>
      <c r="G5633" s="24">
        <v>1</v>
      </c>
      <c r="H5633" s="24"/>
      <c r="I5633" s="25"/>
      <c r="J5633" s="25"/>
      <c r="K5633" s="19"/>
      <c r="L5633" s="20"/>
      <c r="M5633" s="10"/>
      <c r="N5633" s="10"/>
      <c r="O5633" s="10"/>
      <c r="P5633" s="10"/>
      <c r="Q5633" s="10"/>
      <c r="R5633" s="10"/>
      <c r="S5633" s="10"/>
      <c r="T5633" s="10"/>
      <c r="U5633" s="10"/>
      <c r="V5633" s="10"/>
      <c r="W5633" s="10"/>
      <c r="X5633" s="10"/>
      <c r="Y5633" s="10"/>
      <c r="Z5633" s="10"/>
      <c r="AA5633" s="10"/>
      <c r="AB5633" s="10"/>
      <c r="AC5633" s="10"/>
      <c r="AD5633" s="10"/>
      <c r="AE5633" s="10"/>
      <c r="AF5633" s="10"/>
      <c r="AG5633" s="10"/>
      <c r="AH5633" s="10"/>
    </row>
    <row r="5634" spans="1:34" outlineLevel="2">
      <c r="A5634" s="251"/>
      <c r="B5634" s="12" t="str">
        <f>IFERROR(VLOOKUP(D5634,'[1]Перечень товаров'!$A$2:$I9525,2,0),"")</f>
        <v>м136</v>
      </c>
      <c r="C5634" s="12" t="str">
        <f>IFERROR(VLOOKUP(D5634,'[1]Перечень товаров'!$A$2:$I9525,3,0),"")</f>
        <v>мебель</v>
      </c>
      <c r="D5634" s="178" t="s">
        <v>889</v>
      </c>
      <c r="E5634" s="102"/>
      <c r="F5634" s="102"/>
      <c r="G5634" s="24">
        <v>1</v>
      </c>
      <c r="H5634" s="24"/>
      <c r="I5634" s="25"/>
      <c r="J5634" s="25"/>
      <c r="K5634" s="19"/>
      <c r="L5634" s="20"/>
      <c r="M5634" s="10"/>
      <c r="N5634" s="10"/>
      <c r="O5634" s="10"/>
      <c r="P5634" s="10"/>
      <c r="Q5634" s="10"/>
      <c r="R5634" s="10"/>
      <c r="S5634" s="10"/>
      <c r="T5634" s="10"/>
      <c r="U5634" s="10"/>
      <c r="V5634" s="10"/>
      <c r="W5634" s="10"/>
      <c r="X5634" s="10"/>
      <c r="Y5634" s="10"/>
      <c r="Z5634" s="10"/>
      <c r="AA5634" s="10"/>
      <c r="AB5634" s="10"/>
      <c r="AC5634" s="10"/>
      <c r="AD5634" s="10"/>
      <c r="AE5634" s="10"/>
      <c r="AF5634" s="10"/>
      <c r="AG5634" s="10"/>
      <c r="AH5634" s="10"/>
    </row>
    <row r="5635" spans="1:34" outlineLevel="2">
      <c r="A5635" s="251"/>
      <c r="B5635" s="12" t="str">
        <f>IFERROR(VLOOKUP(D5635,'[1]Перечень товаров'!$A$2:$I9525,2,0),"")</f>
        <v>м135</v>
      </c>
      <c r="C5635" s="12" t="str">
        <f>IFERROR(VLOOKUP(D5635,'[1]Перечень товаров'!$A$2:$I9525,3,0),"")</f>
        <v>мебель</v>
      </c>
      <c r="D5635" s="178" t="s">
        <v>890</v>
      </c>
      <c r="E5635" s="102"/>
      <c r="F5635" s="102"/>
      <c r="G5635" s="24">
        <v>1</v>
      </c>
      <c r="H5635" s="24"/>
      <c r="I5635" s="25"/>
      <c r="J5635" s="25"/>
      <c r="K5635" s="19"/>
      <c r="L5635" s="20"/>
      <c r="M5635" s="10"/>
      <c r="N5635" s="10"/>
      <c r="O5635" s="10"/>
      <c r="P5635" s="10"/>
      <c r="Q5635" s="10"/>
      <c r="R5635" s="10"/>
      <c r="S5635" s="10"/>
      <c r="T5635" s="10"/>
      <c r="U5635" s="10"/>
      <c r="V5635" s="10"/>
      <c r="W5635" s="10"/>
      <c r="X5635" s="10"/>
      <c r="Y5635" s="10"/>
      <c r="Z5635" s="10"/>
      <c r="AA5635" s="10"/>
      <c r="AB5635" s="10"/>
      <c r="AC5635" s="10"/>
      <c r="AD5635" s="10"/>
      <c r="AE5635" s="10"/>
      <c r="AF5635" s="10"/>
      <c r="AG5635" s="10"/>
      <c r="AH5635" s="10"/>
    </row>
    <row r="5636" spans="1:34" outlineLevel="2">
      <c r="A5636" s="251"/>
      <c r="B5636" s="12" t="str">
        <f>IFERROR(VLOOKUP(D5636,'[1]Перечень товаров'!$A$2:$I9525,2,0),"")</f>
        <v>д256</v>
      </c>
      <c r="C5636" s="12" t="str">
        <f>IFERROR(VLOOKUP(D5636,'[1]Перечень товаров'!$A$2:$I9525,3,0),"")</f>
        <v>Дидактика</v>
      </c>
      <c r="D5636" s="178" t="s">
        <v>891</v>
      </c>
      <c r="E5636" s="102"/>
      <c r="F5636" s="102"/>
      <c r="G5636" s="24">
        <v>1</v>
      </c>
      <c r="H5636" s="24"/>
      <c r="I5636" s="25"/>
      <c r="J5636" s="25"/>
      <c r="K5636" s="19"/>
      <c r="L5636" s="20"/>
      <c r="M5636" s="10"/>
      <c r="N5636" s="10"/>
      <c r="O5636" s="10"/>
      <c r="P5636" s="10"/>
      <c r="Q5636" s="10"/>
      <c r="R5636" s="10"/>
      <c r="S5636" s="10"/>
      <c r="T5636" s="10"/>
      <c r="U5636" s="10"/>
      <c r="V5636" s="10"/>
      <c r="W5636" s="10"/>
      <c r="X5636" s="10"/>
      <c r="Y5636" s="10"/>
      <c r="Z5636" s="10"/>
      <c r="AA5636" s="10"/>
      <c r="AB5636" s="10"/>
      <c r="AC5636" s="10"/>
      <c r="AD5636" s="10"/>
      <c r="AE5636" s="10"/>
      <c r="AF5636" s="10"/>
      <c r="AG5636" s="10"/>
      <c r="AH5636" s="10"/>
    </row>
    <row r="5637" spans="1:34" outlineLevel="2">
      <c r="A5637" s="251"/>
      <c r="B5637" s="12" t="str">
        <f>IFERROR(VLOOKUP(D5637,'[1]Перечень товаров'!$A$2:$I9525,2,0),"")</f>
        <v>д255</v>
      </c>
      <c r="C5637" s="12" t="str">
        <f>IFERROR(VLOOKUP(D5637,'[1]Перечень товаров'!$A$2:$I9525,3,0),"")</f>
        <v>Дидактика</v>
      </c>
      <c r="D5637" s="178" t="s">
        <v>892</v>
      </c>
      <c r="E5637" s="102"/>
      <c r="F5637" s="102"/>
      <c r="G5637" s="24">
        <v>1</v>
      </c>
      <c r="H5637" s="24"/>
      <c r="I5637" s="25"/>
      <c r="J5637" s="25"/>
      <c r="K5637" s="19"/>
      <c r="L5637" s="20"/>
      <c r="M5637" s="10"/>
      <c r="N5637" s="10"/>
      <c r="O5637" s="10"/>
      <c r="P5637" s="10"/>
      <c r="Q5637" s="10"/>
      <c r="R5637" s="10"/>
      <c r="S5637" s="10"/>
      <c r="T5637" s="10"/>
      <c r="U5637" s="10"/>
      <c r="V5637" s="10"/>
      <c r="W5637" s="10"/>
      <c r="X5637" s="10"/>
      <c r="Y5637" s="10"/>
      <c r="Z5637" s="10"/>
      <c r="AA5637" s="10"/>
      <c r="AB5637" s="10"/>
      <c r="AC5637" s="10"/>
      <c r="AD5637" s="10"/>
      <c r="AE5637" s="10"/>
      <c r="AF5637" s="10"/>
      <c r="AG5637" s="10"/>
      <c r="AH5637" s="10"/>
    </row>
    <row r="5638" spans="1:34" outlineLevel="2">
      <c r="A5638" s="251"/>
      <c r="B5638" s="12" t="str">
        <f>IFERROR(VLOOKUP(D5638,'[1]Перечень товаров'!$A$2:$I9525,2,0),"")</f>
        <v>м134</v>
      </c>
      <c r="C5638" s="12" t="str">
        <f>IFERROR(VLOOKUP(D5638,'[1]Перечень товаров'!$A$2:$I9525,3,0),"")</f>
        <v>мебель</v>
      </c>
      <c r="D5638" s="178" t="s">
        <v>893</v>
      </c>
      <c r="E5638" s="102"/>
      <c r="F5638" s="102"/>
      <c r="G5638" s="24">
        <v>4</v>
      </c>
      <c r="H5638" s="24"/>
      <c r="I5638" s="25"/>
      <c r="J5638" s="25"/>
      <c r="K5638" s="19"/>
      <c r="L5638" s="20"/>
      <c r="M5638" s="10"/>
      <c r="N5638" s="10"/>
      <c r="O5638" s="10"/>
      <c r="P5638" s="10"/>
      <c r="Q5638" s="10"/>
      <c r="R5638" s="10"/>
      <c r="S5638" s="10"/>
      <c r="T5638" s="10"/>
      <c r="U5638" s="10"/>
      <c r="V5638" s="10"/>
      <c r="W5638" s="10"/>
      <c r="X5638" s="10"/>
      <c r="Y5638" s="10"/>
      <c r="Z5638" s="10"/>
      <c r="AA5638" s="10"/>
      <c r="AB5638" s="10"/>
      <c r="AC5638" s="10"/>
      <c r="AD5638" s="10"/>
      <c r="AE5638" s="10"/>
      <c r="AF5638" s="10"/>
      <c r="AG5638" s="10"/>
      <c r="AH5638" s="10"/>
    </row>
    <row r="5639" spans="1:34" ht="12.75" outlineLevel="1">
      <c r="A5639" s="11"/>
      <c r="B5639" s="12" t="str">
        <f>IFERROR(VLOOKUP(D5639,'[1]Перечень товаров'!$A$2:$I9525,2,0),"")</f>
        <v/>
      </c>
      <c r="C5639" s="12" t="str">
        <f>IFERROR(VLOOKUP(D5639,'[1]Перечень товаров'!$A$2:$I9525,3,0),"")</f>
        <v/>
      </c>
      <c r="D5639" s="27" t="s">
        <v>1584</v>
      </c>
      <c r="E5639" s="14">
        <v>12.3</v>
      </c>
      <c r="F5639" s="14"/>
      <c r="G5639" s="17"/>
      <c r="H5639" s="17"/>
      <c r="I5639" s="57"/>
      <c r="J5639" s="57"/>
      <c r="K5639" s="19"/>
      <c r="L5639" s="20"/>
      <c r="M5639" s="10"/>
      <c r="N5639" s="10"/>
      <c r="O5639" s="10"/>
      <c r="P5639" s="10"/>
      <c r="Q5639" s="10"/>
      <c r="R5639" s="10"/>
      <c r="S5639" s="10"/>
      <c r="T5639" s="10"/>
      <c r="U5639" s="10"/>
      <c r="V5639" s="10"/>
      <c r="W5639" s="10"/>
      <c r="X5639" s="10"/>
      <c r="Y5639" s="10"/>
      <c r="Z5639" s="10"/>
      <c r="AA5639" s="10"/>
      <c r="AB5639" s="10"/>
      <c r="AC5639" s="10"/>
      <c r="AD5639" s="10"/>
      <c r="AE5639" s="10"/>
      <c r="AF5639" s="10"/>
      <c r="AG5639" s="10"/>
      <c r="AH5639" s="10"/>
    </row>
    <row r="5640" spans="1:34" ht="31.5" outlineLevel="2">
      <c r="A5640" s="22"/>
      <c r="B5640" s="12" t="str">
        <f>IFERROR(VLOOKUP(D5640,'[1]Перечень товаров'!$A$2:$I9525,2,0),"")</f>
        <v>м133</v>
      </c>
      <c r="C5640" s="12" t="str">
        <f>IFERROR(VLOOKUP(D5640,'[1]Перечень товаров'!$A$2:$I9525,3,0),"")</f>
        <v>мебель</v>
      </c>
      <c r="D5640" s="22" t="s">
        <v>1585</v>
      </c>
      <c r="E5640" s="102"/>
      <c r="F5640" s="102"/>
      <c r="G5640" s="24">
        <v>3</v>
      </c>
      <c r="H5640" s="24"/>
      <c r="I5640" s="25"/>
      <c r="J5640" s="25"/>
      <c r="K5640" s="19"/>
      <c r="L5640" s="20"/>
      <c r="M5640" s="10"/>
      <c r="N5640" s="10"/>
      <c r="O5640" s="10"/>
      <c r="P5640" s="10"/>
      <c r="Q5640" s="10"/>
      <c r="R5640" s="10"/>
      <c r="S5640" s="10"/>
      <c r="T5640" s="10"/>
      <c r="U5640" s="10"/>
      <c r="V5640" s="10"/>
      <c r="W5640" s="10"/>
      <c r="X5640" s="10"/>
      <c r="Y5640" s="10"/>
      <c r="Z5640" s="10"/>
      <c r="AA5640" s="10"/>
      <c r="AB5640" s="10"/>
      <c r="AC5640" s="10"/>
      <c r="AD5640" s="10"/>
      <c r="AE5640" s="10"/>
      <c r="AF5640" s="10"/>
      <c r="AG5640" s="10"/>
      <c r="AH5640" s="10"/>
    </row>
    <row r="5641" spans="1:34" outlineLevel="2">
      <c r="A5641" s="22"/>
      <c r="B5641" s="12" t="str">
        <f>IFERROR(VLOOKUP(D5641,'[1]Перечень товаров'!$A$2:$I9525,2,0),"")</f>
        <v>м132</v>
      </c>
      <c r="C5641" s="12" t="str">
        <f>IFERROR(VLOOKUP(D5641,'[1]Перечень товаров'!$A$2:$I9525,3,0),"")</f>
        <v>мебель</v>
      </c>
      <c r="D5641" s="22" t="s">
        <v>1586</v>
      </c>
      <c r="E5641" s="102"/>
      <c r="F5641" s="102"/>
      <c r="G5641" s="24">
        <v>2</v>
      </c>
      <c r="H5641" s="24"/>
      <c r="I5641" s="25"/>
      <c r="J5641" s="25"/>
      <c r="K5641" s="19"/>
      <c r="L5641" s="20"/>
      <c r="M5641" s="10"/>
      <c r="N5641" s="10"/>
      <c r="O5641" s="10"/>
      <c r="P5641" s="10"/>
      <c r="Q5641" s="10"/>
      <c r="R5641" s="10"/>
      <c r="S5641" s="10"/>
      <c r="T5641" s="10"/>
      <c r="U5641" s="10"/>
      <c r="V5641" s="10"/>
      <c r="W5641" s="10"/>
      <c r="X5641" s="10"/>
      <c r="Y5641" s="10"/>
      <c r="Z5641" s="10"/>
      <c r="AA5641" s="10"/>
      <c r="AB5641" s="10"/>
      <c r="AC5641" s="10"/>
      <c r="AD5641" s="10"/>
      <c r="AE5641" s="10"/>
      <c r="AF5641" s="10"/>
      <c r="AG5641" s="10"/>
      <c r="AH5641" s="10"/>
    </row>
    <row r="5642" spans="1:34" ht="12.75" outlineLevel="1">
      <c r="A5642" s="11"/>
      <c r="B5642" s="12" t="str">
        <f>IFERROR(VLOOKUP(D5642,'[1]Перечень товаров'!$A$2:$I9525,2,0),"")</f>
        <v/>
      </c>
      <c r="C5642" s="12" t="str">
        <f>IFERROR(VLOOKUP(D5642,'[1]Перечень товаров'!$A$2:$I9525,3,0),"")</f>
        <v/>
      </c>
      <c r="D5642" s="27" t="s">
        <v>1587</v>
      </c>
      <c r="E5642" s="14">
        <v>6.7</v>
      </c>
      <c r="F5642" s="14"/>
      <c r="G5642" s="17"/>
      <c r="H5642" s="17"/>
      <c r="I5642" s="57"/>
      <c r="J5642" s="57"/>
      <c r="K5642" s="19"/>
      <c r="L5642" s="20"/>
      <c r="M5642" s="10"/>
      <c r="N5642" s="10"/>
      <c r="O5642" s="10"/>
      <c r="P5642" s="10"/>
      <c r="Q5642" s="10"/>
      <c r="R5642" s="10"/>
      <c r="S5642" s="10"/>
      <c r="T5642" s="10"/>
      <c r="U5642" s="10"/>
      <c r="V5642" s="10"/>
      <c r="W5642" s="10"/>
      <c r="X5642" s="10"/>
      <c r="Y5642" s="10"/>
      <c r="Z5642" s="10"/>
      <c r="AA5642" s="10"/>
      <c r="AB5642" s="10"/>
      <c r="AC5642" s="10"/>
      <c r="AD5642" s="10"/>
      <c r="AE5642" s="10"/>
      <c r="AF5642" s="10"/>
      <c r="AG5642" s="10"/>
      <c r="AH5642" s="10"/>
    </row>
    <row r="5643" spans="1:34" ht="31.5" outlineLevel="2">
      <c r="A5643" s="22"/>
      <c r="B5643" s="12" t="str">
        <f>IFERROR(VLOOKUP(D5643,'[1]Перечень товаров'!$A$2:$I9525,2,0),"")</f>
        <v>м133</v>
      </c>
      <c r="C5643" s="12" t="str">
        <f>IFERROR(VLOOKUP(D5643,'[1]Перечень товаров'!$A$2:$I9525,3,0),"")</f>
        <v>мебель</v>
      </c>
      <c r="D5643" s="22" t="s">
        <v>1585</v>
      </c>
      <c r="E5643" s="102"/>
      <c r="F5643" s="102"/>
      <c r="G5643" s="24">
        <v>3</v>
      </c>
      <c r="H5643" s="24"/>
      <c r="I5643" s="25"/>
      <c r="J5643" s="25"/>
      <c r="K5643" s="19"/>
      <c r="L5643" s="20"/>
      <c r="M5643" s="10"/>
      <c r="N5643" s="10"/>
      <c r="O5643" s="10"/>
      <c r="P5643" s="10"/>
      <c r="Q5643" s="10"/>
      <c r="R5643" s="10"/>
      <c r="S5643" s="10"/>
      <c r="T5643" s="10"/>
      <c r="U5643" s="10"/>
      <c r="V5643" s="10"/>
      <c r="W5643" s="10"/>
      <c r="X5643" s="10"/>
      <c r="Y5643" s="10"/>
      <c r="Z5643" s="10"/>
      <c r="AA5643" s="10"/>
      <c r="AB5643" s="10"/>
      <c r="AC5643" s="10"/>
      <c r="AD5643" s="10"/>
      <c r="AE5643" s="10"/>
      <c r="AF5643" s="10"/>
      <c r="AG5643" s="10"/>
      <c r="AH5643" s="10"/>
    </row>
    <row r="5644" spans="1:34" outlineLevel="2">
      <c r="A5644" s="22"/>
      <c r="B5644" s="12" t="str">
        <f>IFERROR(VLOOKUP(D5644,'[1]Перечень товаров'!$A$2:$I9525,2,0),"")</f>
        <v>м132</v>
      </c>
      <c r="C5644" s="12" t="str">
        <f>IFERROR(VLOOKUP(D5644,'[1]Перечень товаров'!$A$2:$I9525,3,0),"")</f>
        <v>мебель</v>
      </c>
      <c r="D5644" s="22" t="s">
        <v>1586</v>
      </c>
      <c r="E5644" s="102"/>
      <c r="F5644" s="102"/>
      <c r="G5644" s="24">
        <v>2</v>
      </c>
      <c r="H5644" s="24"/>
      <c r="I5644" s="25"/>
      <c r="J5644" s="25"/>
      <c r="K5644" s="19"/>
      <c r="L5644" s="20"/>
      <c r="M5644" s="10"/>
      <c r="N5644" s="10"/>
      <c r="O5644" s="10"/>
      <c r="P5644" s="10"/>
      <c r="Q5644" s="10"/>
      <c r="R5644" s="10"/>
      <c r="S5644" s="10"/>
      <c r="T5644" s="10"/>
      <c r="U5644" s="10"/>
      <c r="V5644" s="10"/>
      <c r="W5644" s="10"/>
      <c r="X5644" s="10"/>
      <c r="Y5644" s="10"/>
      <c r="Z5644" s="10"/>
      <c r="AA5644" s="10"/>
      <c r="AB5644" s="10"/>
      <c r="AC5644" s="10"/>
      <c r="AD5644" s="10"/>
      <c r="AE5644" s="10"/>
      <c r="AF5644" s="10"/>
      <c r="AG5644" s="10"/>
      <c r="AH5644" s="10"/>
    </row>
    <row r="5645" spans="1:34" ht="12.75" outlineLevel="1">
      <c r="A5645" s="11"/>
      <c r="B5645" s="12" t="str">
        <f>IFERROR(VLOOKUP(D5645,'[1]Перечень товаров'!$A$2:$I9525,2,0),"")</f>
        <v/>
      </c>
      <c r="C5645" s="12" t="str">
        <f>IFERROR(VLOOKUP(D5645,'[1]Перечень товаров'!$A$2:$I9525,3,0),"")</f>
        <v/>
      </c>
      <c r="D5645" s="27" t="s">
        <v>1588</v>
      </c>
      <c r="E5645" s="14">
        <v>6.9</v>
      </c>
      <c r="F5645" s="14"/>
      <c r="G5645" s="17"/>
      <c r="H5645" s="17"/>
      <c r="I5645" s="57"/>
      <c r="J5645" s="57"/>
      <c r="K5645" s="19"/>
      <c r="L5645" s="20"/>
      <c r="M5645" s="10"/>
      <c r="N5645" s="10"/>
      <c r="O5645" s="10"/>
      <c r="P5645" s="10"/>
      <c r="Q5645" s="10"/>
      <c r="R5645" s="10"/>
      <c r="S5645" s="10"/>
      <c r="T5645" s="10"/>
      <c r="U5645" s="10"/>
      <c r="V5645" s="10"/>
      <c r="W5645" s="10"/>
      <c r="X5645" s="10"/>
      <c r="Y5645" s="10"/>
      <c r="Z5645" s="10"/>
      <c r="AA5645" s="10"/>
      <c r="AB5645" s="10"/>
      <c r="AC5645" s="10"/>
      <c r="AD5645" s="10"/>
      <c r="AE5645" s="10"/>
      <c r="AF5645" s="10"/>
      <c r="AG5645" s="10"/>
      <c r="AH5645" s="10"/>
    </row>
    <row r="5646" spans="1:34" outlineLevel="2">
      <c r="A5646" s="43"/>
      <c r="B5646" s="12" t="str">
        <f>IFERROR(VLOOKUP(D5646,'[1]Перечень товаров'!$A$2:$I9525,2,0),"")</f>
        <v>м131</v>
      </c>
      <c r="C5646" s="12" t="str">
        <f>IFERROR(VLOOKUP(D5646,'[1]Перечень товаров'!$A$2:$I9525,3,0),"")</f>
        <v>мебель</v>
      </c>
      <c r="D5646" s="44" t="s">
        <v>1589</v>
      </c>
      <c r="E5646" s="68"/>
      <c r="F5646" s="68"/>
      <c r="G5646" s="48">
        <v>3</v>
      </c>
      <c r="H5646" s="48"/>
      <c r="I5646" s="49"/>
      <c r="J5646" s="49"/>
      <c r="K5646" s="19"/>
      <c r="L5646" s="20"/>
      <c r="M5646" s="10"/>
      <c r="N5646" s="10"/>
      <c r="O5646" s="10"/>
      <c r="P5646" s="10"/>
      <c r="Q5646" s="10"/>
      <c r="R5646" s="10"/>
      <c r="S5646" s="10"/>
      <c r="T5646" s="10"/>
      <c r="U5646" s="10"/>
      <c r="V5646" s="10"/>
      <c r="W5646" s="10"/>
      <c r="X5646" s="10"/>
      <c r="Y5646" s="10"/>
      <c r="Z5646" s="10"/>
      <c r="AA5646" s="10"/>
      <c r="AB5646" s="10"/>
      <c r="AC5646" s="10"/>
      <c r="AD5646" s="10"/>
      <c r="AE5646" s="10"/>
      <c r="AF5646" s="10"/>
      <c r="AG5646" s="10"/>
      <c r="AH5646" s="10"/>
    </row>
    <row r="5647" spans="1:34" outlineLevel="2">
      <c r="A5647" s="43"/>
      <c r="B5647" s="12" t="str">
        <f>IFERROR(VLOOKUP(D5647,'[1]Перечень товаров'!$A$2:$I9525,2,0),"")</f>
        <v>м130</v>
      </c>
      <c r="C5647" s="12" t="str">
        <f>IFERROR(VLOOKUP(D5647,'[1]Перечень товаров'!$A$2:$I9525,3,0),"")</f>
        <v>мебель</v>
      </c>
      <c r="D5647" s="44" t="s">
        <v>1590</v>
      </c>
      <c r="E5647" s="68"/>
      <c r="F5647" s="68"/>
      <c r="G5647" s="48">
        <v>3</v>
      </c>
      <c r="H5647" s="48"/>
      <c r="I5647" s="49"/>
      <c r="J5647" s="49"/>
      <c r="K5647" s="19"/>
      <c r="L5647" s="20"/>
      <c r="M5647" s="10"/>
      <c r="N5647" s="10"/>
      <c r="O5647" s="10"/>
      <c r="P5647" s="10"/>
      <c r="Q5647" s="10"/>
      <c r="R5647" s="10"/>
      <c r="S5647" s="10"/>
      <c r="T5647" s="10"/>
      <c r="U5647" s="10"/>
      <c r="V5647" s="10"/>
      <c r="W5647" s="10"/>
      <c r="X5647" s="10"/>
      <c r="Y5647" s="10"/>
      <c r="Z5647" s="10"/>
      <c r="AA5647" s="10"/>
      <c r="AB5647" s="10"/>
      <c r="AC5647" s="10"/>
      <c r="AD5647" s="10"/>
      <c r="AE5647" s="10"/>
      <c r="AF5647" s="10"/>
      <c r="AG5647" s="10"/>
      <c r="AH5647" s="10"/>
    </row>
    <row r="5648" spans="1:34" outlineLevel="2">
      <c r="A5648" s="43"/>
      <c r="B5648" s="12" t="str">
        <f>IFERROR(VLOOKUP(D5648,'[1]Перечень товаров'!$A$2:$I9525,2,0),"")</f>
        <v>м129</v>
      </c>
      <c r="C5648" s="12" t="str">
        <f>IFERROR(VLOOKUP(D5648,'[1]Перечень товаров'!$A$2:$I9525,3,0),"")</f>
        <v>мебель</v>
      </c>
      <c r="D5648" s="44" t="s">
        <v>1591</v>
      </c>
      <c r="E5648" s="68"/>
      <c r="F5648" s="68"/>
      <c r="G5648" s="48">
        <v>1</v>
      </c>
      <c r="H5648" s="48"/>
      <c r="I5648" s="49"/>
      <c r="J5648" s="49"/>
      <c r="K5648" s="19"/>
      <c r="L5648" s="20"/>
      <c r="M5648" s="10"/>
      <c r="N5648" s="10"/>
      <c r="O5648" s="10"/>
      <c r="P5648" s="10"/>
      <c r="Q5648" s="10"/>
      <c r="R5648" s="10"/>
      <c r="S5648" s="10"/>
      <c r="T5648" s="10"/>
      <c r="U5648" s="10"/>
      <c r="V5648" s="10"/>
      <c r="W5648" s="10"/>
      <c r="X5648" s="10"/>
      <c r="Y5648" s="10"/>
      <c r="Z5648" s="10"/>
      <c r="AA5648" s="10"/>
      <c r="AB5648" s="10"/>
      <c r="AC5648" s="10"/>
      <c r="AD5648" s="10"/>
      <c r="AE5648" s="10"/>
      <c r="AF5648" s="10"/>
      <c r="AG5648" s="10"/>
      <c r="AH5648" s="10"/>
    </row>
    <row r="5649" spans="1:34" outlineLevel="2">
      <c r="A5649" s="43"/>
      <c r="B5649" s="12" t="str">
        <f>IFERROR(VLOOKUP(D5649,'[1]Перечень товаров'!$A$2:$I9525,2,0),"")</f>
        <v>д254</v>
      </c>
      <c r="C5649" s="12" t="str">
        <f>IFERROR(VLOOKUP(D5649,'[1]Перечень товаров'!$A$2:$I9525,3,0),"")</f>
        <v>Дидактика</v>
      </c>
      <c r="D5649" s="44" t="s">
        <v>1592</v>
      </c>
      <c r="E5649" s="68"/>
      <c r="F5649" s="68"/>
      <c r="G5649" s="48">
        <v>6</v>
      </c>
      <c r="H5649" s="48"/>
      <c r="I5649" s="49"/>
      <c r="J5649" s="49"/>
      <c r="K5649" s="19"/>
      <c r="L5649" s="20"/>
      <c r="M5649" s="10"/>
      <c r="N5649" s="10"/>
      <c r="O5649" s="10"/>
      <c r="P5649" s="10"/>
      <c r="Q5649" s="10"/>
      <c r="R5649" s="10"/>
      <c r="S5649" s="10"/>
      <c r="T5649" s="10"/>
      <c r="U5649" s="10"/>
      <c r="V5649" s="10"/>
      <c r="W5649" s="10"/>
      <c r="X5649" s="10"/>
      <c r="Y5649" s="10"/>
      <c r="Z5649" s="10"/>
      <c r="AA5649" s="10"/>
      <c r="AB5649" s="10"/>
      <c r="AC5649" s="10"/>
      <c r="AD5649" s="10"/>
      <c r="AE5649" s="10"/>
      <c r="AF5649" s="10"/>
      <c r="AG5649" s="10"/>
      <c r="AH5649" s="10"/>
    </row>
    <row r="5650" spans="1:34" outlineLevel="2">
      <c r="A5650" s="43"/>
      <c r="B5650" s="12" t="str">
        <f>IFERROR(VLOOKUP(D5650,'[1]Перечень товаров'!$A$2:$I9525,2,0),"")</f>
        <v>д253</v>
      </c>
      <c r="C5650" s="12" t="str">
        <f>IFERROR(VLOOKUP(D5650,'[1]Перечень товаров'!$A$2:$I9525,3,0),"")</f>
        <v>Дидактика</v>
      </c>
      <c r="D5650" s="44" t="s">
        <v>1593</v>
      </c>
      <c r="E5650" s="68"/>
      <c r="F5650" s="68"/>
      <c r="G5650" s="48">
        <v>1</v>
      </c>
      <c r="H5650" s="48"/>
      <c r="I5650" s="49"/>
      <c r="J5650" s="49"/>
      <c r="K5650" s="19"/>
      <c r="L5650" s="20"/>
      <c r="M5650" s="10"/>
      <c r="N5650" s="10"/>
      <c r="O5650" s="10"/>
      <c r="P5650" s="10"/>
      <c r="Q5650" s="10"/>
      <c r="R5650" s="10"/>
      <c r="S5650" s="10"/>
      <c r="T5650" s="10"/>
      <c r="U5650" s="10"/>
      <c r="V5650" s="10"/>
      <c r="W5650" s="10"/>
      <c r="X5650" s="10"/>
      <c r="Y5650" s="10"/>
      <c r="Z5650" s="10"/>
      <c r="AA5650" s="10"/>
      <c r="AB5650" s="10"/>
      <c r="AC5650" s="10"/>
      <c r="AD5650" s="10"/>
      <c r="AE5650" s="10"/>
      <c r="AF5650" s="10"/>
      <c r="AG5650" s="10"/>
      <c r="AH5650" s="10"/>
    </row>
    <row r="5651" spans="1:34" outlineLevel="2">
      <c r="A5651" s="43"/>
      <c r="B5651" s="12" t="str">
        <f>IFERROR(VLOOKUP(D5651,'[1]Перечень товаров'!$A$2:$I9525,2,0),"")</f>
        <v>м128</v>
      </c>
      <c r="C5651" s="12" t="str">
        <f>IFERROR(VLOOKUP(D5651,'[1]Перечень товаров'!$A$2:$I9525,3,0),"")</f>
        <v>мебель</v>
      </c>
      <c r="D5651" s="44" t="s">
        <v>1594</v>
      </c>
      <c r="E5651" s="68"/>
      <c r="F5651" s="68"/>
      <c r="G5651" s="48">
        <v>1</v>
      </c>
      <c r="H5651" s="48"/>
      <c r="I5651" s="49"/>
      <c r="J5651" s="49"/>
      <c r="K5651" s="19"/>
      <c r="L5651" s="20"/>
      <c r="M5651" s="10"/>
      <c r="N5651" s="10"/>
      <c r="O5651" s="10"/>
      <c r="P5651" s="10"/>
      <c r="Q5651" s="10"/>
      <c r="R5651" s="10"/>
      <c r="S5651" s="10"/>
      <c r="T5651" s="10"/>
      <c r="U5651" s="10"/>
      <c r="V5651" s="10"/>
      <c r="W5651" s="10"/>
      <c r="X5651" s="10"/>
      <c r="Y5651" s="10"/>
      <c r="Z5651" s="10"/>
      <c r="AA5651" s="10"/>
      <c r="AB5651" s="10"/>
      <c r="AC5651" s="10"/>
      <c r="AD5651" s="10"/>
      <c r="AE5651" s="10"/>
      <c r="AF5651" s="10"/>
      <c r="AG5651" s="10"/>
      <c r="AH5651" s="10"/>
    </row>
    <row r="5652" spans="1:34" outlineLevel="1">
      <c r="A5652" s="21"/>
      <c r="B5652" s="12" t="str">
        <f>IFERROR(VLOOKUP(D5652,'[1]Перечень товаров'!$A$2:$I9525,2,0),"")</f>
        <v/>
      </c>
      <c r="C5652" s="12" t="str">
        <f>IFERROR(VLOOKUP(D5652,'[1]Перечень товаров'!$A$2:$I9525,3,0),"")</f>
        <v/>
      </c>
      <c r="D5652" s="22" t="s">
        <v>11</v>
      </c>
      <c r="E5652" s="23">
        <v>28.6</v>
      </c>
      <c r="F5652" s="23"/>
      <c r="G5652" s="24"/>
      <c r="H5652" s="24"/>
      <c r="I5652" s="25"/>
      <c r="J5652" s="25"/>
      <c r="K5652" s="19"/>
      <c r="L5652" s="20"/>
      <c r="M5652" s="10"/>
      <c r="N5652" s="10"/>
      <c r="O5652" s="10"/>
      <c r="P5652" s="10"/>
      <c r="Q5652" s="10"/>
      <c r="R5652" s="10"/>
      <c r="S5652" s="10"/>
      <c r="T5652" s="10"/>
      <c r="U5652" s="10"/>
      <c r="V5652" s="10"/>
      <c r="W5652" s="10"/>
      <c r="X5652" s="10"/>
      <c r="Y5652" s="10"/>
      <c r="Z5652" s="10"/>
      <c r="AA5652" s="10"/>
      <c r="AB5652" s="10"/>
      <c r="AC5652" s="10"/>
      <c r="AD5652" s="10"/>
      <c r="AE5652" s="10"/>
      <c r="AF5652" s="10"/>
      <c r="AG5652" s="10"/>
      <c r="AH5652" s="10"/>
    </row>
    <row r="5653" spans="1:34" outlineLevel="1">
      <c r="A5653" s="21"/>
      <c r="B5653" s="12" t="str">
        <f>IFERROR(VLOOKUP(D5653,'[1]Перечень товаров'!$A$2:$I9525,2,0),"")</f>
        <v/>
      </c>
      <c r="C5653" s="12" t="str">
        <f>IFERROR(VLOOKUP(D5653,'[1]Перечень товаров'!$A$2:$I9525,3,0),"")</f>
        <v/>
      </c>
      <c r="D5653" s="22" t="s">
        <v>11</v>
      </c>
      <c r="E5653" s="23">
        <v>137.4</v>
      </c>
      <c r="F5653" s="23"/>
      <c r="G5653" s="24"/>
      <c r="H5653" s="24"/>
      <c r="I5653" s="25"/>
      <c r="J5653" s="25"/>
      <c r="K5653" s="19"/>
      <c r="L5653" s="20"/>
      <c r="M5653" s="10"/>
      <c r="N5653" s="10"/>
      <c r="O5653" s="10"/>
      <c r="P5653" s="10"/>
      <c r="Q5653" s="10"/>
      <c r="R5653" s="10"/>
      <c r="S5653" s="10"/>
      <c r="T5653" s="10"/>
      <c r="U5653" s="10"/>
      <c r="V5653" s="10"/>
      <c r="W5653" s="10"/>
      <c r="X5653" s="10"/>
      <c r="Y5653" s="10"/>
      <c r="Z5653" s="10"/>
      <c r="AA5653" s="10"/>
      <c r="AB5653" s="10"/>
      <c r="AC5653" s="10"/>
      <c r="AD5653" s="10"/>
      <c r="AE5653" s="10"/>
      <c r="AF5653" s="10"/>
      <c r="AG5653" s="10"/>
      <c r="AH5653" s="10"/>
    </row>
    <row r="5654" spans="1:34" outlineLevel="1">
      <c r="A5654" s="21"/>
      <c r="B5654" s="12" t="str">
        <f>IFERROR(VLOOKUP(D5654,'[1]Перечень товаров'!$A$2:$I9525,2,0),"")</f>
        <v/>
      </c>
      <c r="C5654" s="12" t="str">
        <f>IFERROR(VLOOKUP(D5654,'[1]Перечень товаров'!$A$2:$I9525,3,0),"")</f>
        <v/>
      </c>
      <c r="D5654" s="22" t="s">
        <v>11</v>
      </c>
      <c r="E5654" s="23">
        <v>89.3</v>
      </c>
      <c r="F5654" s="23"/>
      <c r="G5654" s="24"/>
      <c r="H5654" s="24"/>
      <c r="I5654" s="25"/>
      <c r="J5654" s="25"/>
      <c r="K5654" s="19"/>
      <c r="L5654" s="20"/>
      <c r="M5654" s="10"/>
      <c r="N5654" s="10"/>
      <c r="O5654" s="10"/>
      <c r="P5654" s="10"/>
      <c r="Q5654" s="10"/>
      <c r="R5654" s="10"/>
      <c r="S5654" s="10"/>
      <c r="T5654" s="10"/>
      <c r="U5654" s="10"/>
      <c r="V5654" s="10"/>
      <c r="W5654" s="10"/>
      <c r="X5654" s="10"/>
      <c r="Y5654" s="10"/>
      <c r="Z5654" s="10"/>
      <c r="AA5654" s="10"/>
      <c r="AB5654" s="10"/>
      <c r="AC5654" s="10"/>
      <c r="AD5654" s="10"/>
      <c r="AE5654" s="10"/>
      <c r="AF5654" s="10"/>
      <c r="AG5654" s="10"/>
      <c r="AH5654" s="10"/>
    </row>
    <row r="5655" spans="1:34" ht="12.75">
      <c r="A5655" s="11"/>
      <c r="B5655" s="12" t="str">
        <f>IFERROR(VLOOKUP(D5655,'[1]Перечень товаров'!$A$2:$I9525,2,0),"")</f>
        <v/>
      </c>
      <c r="C5655" s="12" t="str">
        <f>IFERROR(VLOOKUP(D5655,'[1]Перечень товаров'!$A$2:$I9525,3,0),"")</f>
        <v/>
      </c>
      <c r="D5655" s="27" t="s">
        <v>1595</v>
      </c>
      <c r="E5655" s="14"/>
      <c r="F5655" s="14"/>
      <c r="G5655" s="16"/>
      <c r="H5655" s="16"/>
      <c r="I5655" s="18"/>
      <c r="J5655" s="18"/>
      <c r="K5655" s="19"/>
      <c r="L5655" s="20"/>
      <c r="M5655" s="10"/>
      <c r="N5655" s="10"/>
      <c r="O5655" s="10"/>
      <c r="P5655" s="10"/>
      <c r="Q5655" s="10"/>
      <c r="R5655" s="10"/>
      <c r="S5655" s="10"/>
      <c r="T5655" s="10"/>
      <c r="U5655" s="10"/>
      <c r="V5655" s="10"/>
      <c r="W5655" s="10"/>
      <c r="X5655" s="10"/>
      <c r="Y5655" s="10"/>
      <c r="Z5655" s="10"/>
      <c r="AA5655" s="10"/>
      <c r="AB5655" s="10"/>
      <c r="AC5655" s="10"/>
      <c r="AD5655" s="10"/>
      <c r="AE5655" s="10"/>
      <c r="AF5655" s="10"/>
      <c r="AG5655" s="10"/>
      <c r="AH5655" s="10"/>
    </row>
    <row r="5656" spans="1:34" ht="12.75" outlineLevel="1">
      <c r="A5656" s="11"/>
      <c r="B5656" s="12" t="str">
        <f>IFERROR(VLOOKUP(D5656,'[1]Перечень товаров'!$A$2:$I9525,2,0),"")</f>
        <v/>
      </c>
      <c r="C5656" s="12" t="str">
        <f>IFERROR(VLOOKUP(D5656,'[1]Перечень товаров'!$A$2:$I9525,3,0),"")</f>
        <v/>
      </c>
      <c r="D5656" s="27" t="s">
        <v>929</v>
      </c>
      <c r="E5656" s="14" t="s">
        <v>168</v>
      </c>
      <c r="F5656" s="14"/>
      <c r="G5656" s="16"/>
      <c r="H5656" s="16"/>
      <c r="I5656" s="18"/>
      <c r="J5656" s="18"/>
      <c r="K5656" s="19"/>
      <c r="L5656" s="20"/>
    </row>
    <row r="5657" spans="1:34" ht="12.75" outlineLevel="1">
      <c r="A5657" s="11"/>
      <c r="B5657" s="12" t="str">
        <f>IFERROR(VLOOKUP(D5657,'[1]Перечень товаров'!$A$2:$I9525,2,0),"")</f>
        <v/>
      </c>
      <c r="C5657" s="12" t="str">
        <f>IFERROR(VLOOKUP(D5657,'[1]Перечень товаров'!$A$2:$I9525,3,0),"")</f>
        <v/>
      </c>
      <c r="D5657" s="27" t="s">
        <v>1596</v>
      </c>
      <c r="E5657" s="14" t="s">
        <v>1597</v>
      </c>
      <c r="F5657" s="14"/>
      <c r="G5657" s="17"/>
      <c r="H5657" s="17"/>
      <c r="I5657" s="57"/>
      <c r="J5657" s="57"/>
      <c r="K5657" s="19"/>
      <c r="L5657" s="20"/>
    </row>
    <row r="5658" spans="1:34" outlineLevel="2">
      <c r="A5658" s="43"/>
      <c r="B5658" s="12" t="str">
        <f>IFERROR(VLOOKUP(D5658,'[1]Перечень товаров'!$A$2:$I9525,2,0),"")</f>
        <v>м127</v>
      </c>
      <c r="C5658" s="12" t="str">
        <f>IFERROR(VLOOKUP(D5658,'[1]Перечень товаров'!$A$2:$I9525,3,0),"")</f>
        <v>мебель</v>
      </c>
      <c r="D5658" s="44" t="s">
        <v>1598</v>
      </c>
      <c r="E5658" s="23"/>
      <c r="F5658" s="23"/>
      <c r="G5658" s="24">
        <v>2</v>
      </c>
      <c r="H5658" s="24"/>
      <c r="I5658" s="25"/>
      <c r="J5658" s="25"/>
      <c r="K5658" s="19"/>
      <c r="L5658" s="20"/>
    </row>
    <row r="5659" spans="1:34" outlineLevel="2">
      <c r="A5659" s="43"/>
      <c r="B5659" s="12" t="str">
        <f>IFERROR(VLOOKUP(D5659,'[1]Перечень товаров'!$A$2:$I9525,2,0),"")</f>
        <v>д252</v>
      </c>
      <c r="C5659" s="12" t="str">
        <f>IFERROR(VLOOKUP(D5659,'[1]Перечень товаров'!$A$2:$I9525,3,0),"")</f>
        <v>Дидактика</v>
      </c>
      <c r="D5659" s="44" t="s">
        <v>1599</v>
      </c>
      <c r="E5659" s="23"/>
      <c r="F5659" s="23"/>
      <c r="G5659" s="24">
        <v>2</v>
      </c>
      <c r="H5659" s="24"/>
      <c r="I5659" s="25"/>
      <c r="J5659" s="25"/>
      <c r="K5659" s="19"/>
      <c r="L5659" s="20"/>
    </row>
    <row r="5660" spans="1:34" outlineLevel="2">
      <c r="A5660" s="43"/>
      <c r="B5660" s="12" t="str">
        <f>IFERROR(VLOOKUP(D5660,'[1]Перечень товаров'!$A$2:$I9525,2,0),"")</f>
        <v>м126</v>
      </c>
      <c r="C5660" s="12" t="str">
        <f>IFERROR(VLOOKUP(D5660,'[1]Перечень товаров'!$A$2:$I9525,3,0),"")</f>
        <v>мебель</v>
      </c>
      <c r="D5660" s="44" t="s">
        <v>1600</v>
      </c>
      <c r="E5660" s="23"/>
      <c r="F5660" s="23"/>
      <c r="G5660" s="24">
        <v>2</v>
      </c>
      <c r="H5660" s="24"/>
      <c r="I5660" s="25"/>
      <c r="J5660" s="25"/>
      <c r="K5660" s="19"/>
      <c r="L5660" s="20"/>
    </row>
    <row r="5661" spans="1:34" outlineLevel="2">
      <c r="A5661" s="43"/>
      <c r="B5661" s="12" t="str">
        <f>IFERROR(VLOOKUP(D5661,'[1]Перечень товаров'!$A$2:$I9525,2,0),"")</f>
        <v>м125</v>
      </c>
      <c r="C5661" s="12" t="str">
        <f>IFERROR(VLOOKUP(D5661,'[1]Перечень товаров'!$A$2:$I9525,3,0),"")</f>
        <v>мебель</v>
      </c>
      <c r="D5661" s="44" t="s">
        <v>1601</v>
      </c>
      <c r="E5661" s="23"/>
      <c r="F5661" s="23"/>
      <c r="G5661" s="24">
        <v>1</v>
      </c>
      <c r="H5661" s="24"/>
      <c r="I5661" s="25"/>
      <c r="J5661" s="25"/>
      <c r="K5661" s="19"/>
      <c r="L5661" s="20"/>
    </row>
    <row r="5662" spans="1:34" outlineLevel="2">
      <c r="A5662" s="43"/>
      <c r="B5662" s="12" t="str">
        <f>IFERROR(VLOOKUP(D5662,'[1]Перечень товаров'!$A$2:$I9525,2,0),"")</f>
        <v>д251</v>
      </c>
      <c r="C5662" s="12" t="str">
        <f>IFERROR(VLOOKUP(D5662,'[1]Перечень товаров'!$A$2:$I9525,3,0),"")</f>
        <v>Дидактика</v>
      </c>
      <c r="D5662" s="44" t="s">
        <v>1602</v>
      </c>
      <c r="E5662" s="23"/>
      <c r="F5662" s="23"/>
      <c r="G5662" s="24">
        <v>2</v>
      </c>
      <c r="H5662" s="24"/>
      <c r="I5662" s="25"/>
      <c r="J5662" s="25"/>
      <c r="K5662" s="19"/>
      <c r="L5662" s="20"/>
    </row>
    <row r="5663" spans="1:34" outlineLevel="2">
      <c r="A5663" s="43"/>
      <c r="B5663" s="12" t="str">
        <f>IFERROR(VLOOKUP(D5663,'[1]Перечень товаров'!$A$2:$I9525,2,0),"")</f>
        <v>м124</v>
      </c>
      <c r="C5663" s="12" t="str">
        <f>IFERROR(VLOOKUP(D5663,'[1]Перечень товаров'!$A$2:$I9525,3,0),"")</f>
        <v>мебель</v>
      </c>
      <c r="D5663" s="44" t="s">
        <v>1603</v>
      </c>
      <c r="E5663" s="23"/>
      <c r="F5663" s="23"/>
      <c r="G5663" s="24">
        <v>2</v>
      </c>
      <c r="H5663" s="24"/>
      <c r="I5663" s="25"/>
      <c r="J5663" s="25"/>
      <c r="K5663" s="19"/>
      <c r="L5663" s="20"/>
    </row>
    <row r="5664" spans="1:34" outlineLevel="2">
      <c r="A5664" s="43"/>
      <c r="B5664" s="12" t="str">
        <f>IFERROR(VLOOKUP(D5664,'[1]Перечень товаров'!$A$2:$I9525,2,0),"")</f>
        <v>м123</v>
      </c>
      <c r="C5664" s="12" t="str">
        <f>IFERROR(VLOOKUP(D5664,'[1]Перечень товаров'!$A$2:$I9525,3,0),"")</f>
        <v>мебель</v>
      </c>
      <c r="D5664" s="44" t="s">
        <v>1604</v>
      </c>
      <c r="E5664" s="23"/>
      <c r="F5664" s="23"/>
      <c r="G5664" s="24">
        <v>1</v>
      </c>
      <c r="H5664" s="24"/>
      <c r="I5664" s="25"/>
      <c r="J5664" s="25"/>
      <c r="K5664" s="19"/>
      <c r="L5664" s="20"/>
    </row>
    <row r="5665" spans="1:12" outlineLevel="2">
      <c r="A5665" s="43"/>
      <c r="B5665" s="12">
        <f>IFERROR(VLOOKUP(D5665,'[1]Перечень товаров'!$A$2:$I9525,2,0),"")</f>
        <v>0</v>
      </c>
      <c r="C5665" s="12">
        <f>IFERROR(VLOOKUP(D5665,'[1]Перечень товаров'!$A$2:$I9525,3,0),"")</f>
        <v>0</v>
      </c>
      <c r="D5665" s="22" t="s">
        <v>1605</v>
      </c>
      <c r="E5665" s="23"/>
      <c r="F5665" s="23"/>
      <c r="G5665" s="24">
        <v>1</v>
      </c>
      <c r="H5665" s="24"/>
      <c r="I5665" s="25"/>
      <c r="J5665" s="25"/>
      <c r="K5665" s="19"/>
      <c r="L5665" s="20"/>
    </row>
    <row r="5666" spans="1:12" outlineLevel="2">
      <c r="A5666" s="43"/>
      <c r="B5666" s="12" t="str">
        <f>IFERROR(VLOOKUP(D5666,'[1]Перечень товаров'!$A$2:$I9525,2,0),"")</f>
        <v>м122</v>
      </c>
      <c r="C5666" s="12" t="str">
        <f>IFERROR(VLOOKUP(D5666,'[1]Перечень товаров'!$A$2:$I9525,3,0),"")</f>
        <v>мебель</v>
      </c>
      <c r="D5666" s="44" t="s">
        <v>1606</v>
      </c>
      <c r="E5666" s="23"/>
      <c r="F5666" s="23"/>
      <c r="G5666" s="24">
        <v>2</v>
      </c>
      <c r="H5666" s="24"/>
      <c r="I5666" s="25"/>
      <c r="J5666" s="25"/>
      <c r="K5666" s="19"/>
      <c r="L5666" s="20"/>
    </row>
    <row r="5667" spans="1:12" ht="12.75" outlineLevel="1">
      <c r="A5667" s="11"/>
      <c r="B5667" s="12" t="str">
        <f>IFERROR(VLOOKUP(D5667,'[1]Перечень товаров'!$A$2:$I9525,2,0),"")</f>
        <v/>
      </c>
      <c r="C5667" s="12" t="str">
        <f>IFERROR(VLOOKUP(D5667,'[1]Перечень товаров'!$A$2:$I9525,3,0),"")</f>
        <v/>
      </c>
      <c r="D5667" s="27" t="s">
        <v>1596</v>
      </c>
      <c r="E5667" s="99">
        <v>46036</v>
      </c>
      <c r="F5667" s="99"/>
      <c r="G5667" s="17"/>
      <c r="H5667" s="17"/>
      <c r="I5667" s="57"/>
      <c r="J5667" s="57"/>
      <c r="K5667" s="19"/>
      <c r="L5667" s="20"/>
    </row>
    <row r="5668" spans="1:12" outlineLevel="2">
      <c r="A5668" s="43"/>
      <c r="B5668" s="12" t="str">
        <f>IFERROR(VLOOKUP(D5668,'[1]Перечень товаров'!$A$2:$I9525,2,0),"")</f>
        <v>м127</v>
      </c>
      <c r="C5668" s="12" t="str">
        <f>IFERROR(VLOOKUP(D5668,'[1]Перечень товаров'!$A$2:$I9525,3,0),"")</f>
        <v>мебель</v>
      </c>
      <c r="D5668" s="44" t="s">
        <v>1598</v>
      </c>
      <c r="E5668" s="23"/>
      <c r="F5668" s="23"/>
      <c r="G5668" s="24">
        <v>2</v>
      </c>
      <c r="H5668" s="24"/>
      <c r="I5668" s="25"/>
      <c r="J5668" s="25"/>
      <c r="K5668" s="19"/>
      <c r="L5668" s="20"/>
    </row>
    <row r="5669" spans="1:12" outlineLevel="2">
      <c r="A5669" s="43"/>
      <c r="B5669" s="12" t="str">
        <f>IFERROR(VLOOKUP(D5669,'[1]Перечень товаров'!$A$2:$I9525,2,0),"")</f>
        <v>д252</v>
      </c>
      <c r="C5669" s="12" t="str">
        <f>IFERROR(VLOOKUP(D5669,'[1]Перечень товаров'!$A$2:$I9525,3,0),"")</f>
        <v>Дидактика</v>
      </c>
      <c r="D5669" s="44" t="s">
        <v>1599</v>
      </c>
      <c r="E5669" s="23"/>
      <c r="F5669" s="23"/>
      <c r="G5669" s="24">
        <v>2</v>
      </c>
      <c r="H5669" s="24"/>
      <c r="I5669" s="25"/>
      <c r="J5669" s="25"/>
      <c r="K5669" s="19"/>
      <c r="L5669" s="20"/>
    </row>
    <row r="5670" spans="1:12" outlineLevel="2">
      <c r="A5670" s="43"/>
      <c r="B5670" s="12" t="str">
        <f>IFERROR(VLOOKUP(D5670,'[1]Перечень товаров'!$A$2:$I9525,2,0),"")</f>
        <v>м126</v>
      </c>
      <c r="C5670" s="12" t="str">
        <f>IFERROR(VLOOKUP(D5670,'[1]Перечень товаров'!$A$2:$I9525,3,0),"")</f>
        <v>мебель</v>
      </c>
      <c r="D5670" s="44" t="s">
        <v>1600</v>
      </c>
      <c r="E5670" s="23"/>
      <c r="F5670" s="23"/>
      <c r="G5670" s="24">
        <v>2</v>
      </c>
      <c r="H5670" s="24"/>
      <c r="I5670" s="25"/>
      <c r="J5670" s="25"/>
      <c r="K5670" s="19"/>
      <c r="L5670" s="20"/>
    </row>
    <row r="5671" spans="1:12" outlineLevel="2">
      <c r="A5671" s="43"/>
      <c r="B5671" s="12" t="str">
        <f>IFERROR(VLOOKUP(D5671,'[1]Перечень товаров'!$A$2:$I9525,2,0),"")</f>
        <v>м125</v>
      </c>
      <c r="C5671" s="12" t="str">
        <f>IFERROR(VLOOKUP(D5671,'[1]Перечень товаров'!$A$2:$I9525,3,0),"")</f>
        <v>мебель</v>
      </c>
      <c r="D5671" s="44" t="s">
        <v>1601</v>
      </c>
      <c r="E5671" s="23"/>
      <c r="F5671" s="23"/>
      <c r="G5671" s="24">
        <v>1</v>
      </c>
      <c r="H5671" s="24"/>
      <c r="I5671" s="25"/>
      <c r="J5671" s="25"/>
      <c r="K5671" s="19"/>
      <c r="L5671" s="20"/>
    </row>
    <row r="5672" spans="1:12" outlineLevel="2">
      <c r="A5672" s="43"/>
      <c r="B5672" s="12" t="str">
        <f>IFERROR(VLOOKUP(D5672,'[1]Перечень товаров'!$A$2:$I9525,2,0),"")</f>
        <v>д251</v>
      </c>
      <c r="C5672" s="12" t="str">
        <f>IFERROR(VLOOKUP(D5672,'[1]Перечень товаров'!$A$2:$I9525,3,0),"")</f>
        <v>Дидактика</v>
      </c>
      <c r="D5672" s="44" t="s">
        <v>1602</v>
      </c>
      <c r="E5672" s="23"/>
      <c r="F5672" s="23"/>
      <c r="G5672" s="24">
        <v>2</v>
      </c>
      <c r="H5672" s="24"/>
      <c r="I5672" s="25"/>
      <c r="J5672" s="25"/>
      <c r="K5672" s="19"/>
      <c r="L5672" s="20"/>
    </row>
    <row r="5673" spans="1:12" outlineLevel="2">
      <c r="A5673" s="43"/>
      <c r="B5673" s="12" t="str">
        <f>IFERROR(VLOOKUP(D5673,'[1]Перечень товаров'!$A$2:$I9525,2,0),"")</f>
        <v>м124</v>
      </c>
      <c r="C5673" s="12" t="str">
        <f>IFERROR(VLOOKUP(D5673,'[1]Перечень товаров'!$A$2:$I9525,3,0),"")</f>
        <v>мебель</v>
      </c>
      <c r="D5673" s="44" t="s">
        <v>1603</v>
      </c>
      <c r="E5673" s="23"/>
      <c r="F5673" s="23"/>
      <c r="G5673" s="24">
        <v>2</v>
      </c>
      <c r="H5673" s="24"/>
      <c r="I5673" s="25"/>
      <c r="J5673" s="25"/>
      <c r="K5673" s="19"/>
      <c r="L5673" s="20"/>
    </row>
    <row r="5674" spans="1:12" outlineLevel="2">
      <c r="A5674" s="43"/>
      <c r="B5674" s="12" t="str">
        <f>IFERROR(VLOOKUP(D5674,'[1]Перечень товаров'!$A$2:$I9525,2,0),"")</f>
        <v>м123</v>
      </c>
      <c r="C5674" s="12" t="str">
        <f>IFERROR(VLOOKUP(D5674,'[1]Перечень товаров'!$A$2:$I9525,3,0),"")</f>
        <v>мебель</v>
      </c>
      <c r="D5674" s="44" t="s">
        <v>1604</v>
      </c>
      <c r="E5674" s="23"/>
      <c r="F5674" s="23"/>
      <c r="G5674" s="24">
        <v>1</v>
      </c>
      <c r="H5674" s="24"/>
      <c r="I5674" s="25"/>
      <c r="J5674" s="25"/>
      <c r="K5674" s="19"/>
      <c r="L5674" s="20"/>
    </row>
    <row r="5675" spans="1:12" outlineLevel="2">
      <c r="A5675" s="43"/>
      <c r="B5675" s="12">
        <f>IFERROR(VLOOKUP(D5675,'[1]Перечень товаров'!$A$2:$I9525,2,0),"")</f>
        <v>0</v>
      </c>
      <c r="C5675" s="12">
        <f>IFERROR(VLOOKUP(D5675,'[1]Перечень товаров'!$A$2:$I9525,3,0),"")</f>
        <v>0</v>
      </c>
      <c r="D5675" s="22" t="s">
        <v>1605</v>
      </c>
      <c r="E5675" s="23"/>
      <c r="F5675" s="23"/>
      <c r="G5675" s="24">
        <v>1</v>
      </c>
      <c r="H5675" s="24"/>
      <c r="I5675" s="25"/>
      <c r="J5675" s="25"/>
      <c r="K5675" s="19"/>
      <c r="L5675" s="20"/>
    </row>
    <row r="5676" spans="1:12" outlineLevel="2">
      <c r="A5676" s="43"/>
      <c r="B5676" s="12" t="str">
        <f>IFERROR(VLOOKUP(D5676,'[1]Перечень товаров'!$A$2:$I9525,2,0),"")</f>
        <v>м122</v>
      </c>
      <c r="C5676" s="12" t="str">
        <f>IFERROR(VLOOKUP(D5676,'[1]Перечень товаров'!$A$2:$I9525,3,0),"")</f>
        <v>мебель</v>
      </c>
      <c r="D5676" s="44" t="s">
        <v>1606</v>
      </c>
      <c r="E5676" s="23"/>
      <c r="F5676" s="23"/>
      <c r="G5676" s="24">
        <v>2</v>
      </c>
      <c r="H5676" s="24"/>
      <c r="I5676" s="25"/>
      <c r="J5676" s="25"/>
      <c r="K5676" s="19"/>
      <c r="L5676" s="20"/>
    </row>
    <row r="5677" spans="1:12" outlineLevel="1">
      <c r="A5677" s="21"/>
      <c r="B5677" s="12" t="str">
        <f>IFERROR(VLOOKUP(D5677,'[1]Перечень товаров'!$A$2:$I9525,2,0),"")</f>
        <v/>
      </c>
      <c r="C5677" s="12" t="str">
        <f>IFERROR(VLOOKUP(D5677,'[1]Перечень товаров'!$A$2:$I9525,3,0),"")</f>
        <v/>
      </c>
      <c r="D5677" s="22" t="s">
        <v>1607</v>
      </c>
      <c r="E5677" s="23" t="s">
        <v>1608</v>
      </c>
      <c r="F5677" s="23"/>
      <c r="G5677" s="24"/>
      <c r="H5677" s="24"/>
      <c r="I5677" s="25"/>
      <c r="J5677" s="25"/>
      <c r="K5677" s="19"/>
      <c r="L5677" s="20"/>
    </row>
    <row r="5678" spans="1:12" outlineLevel="1">
      <c r="A5678" s="21"/>
      <c r="B5678" s="12" t="str">
        <f>IFERROR(VLOOKUP(D5678,'[1]Перечень товаров'!$A$2:$I9525,2,0),"")</f>
        <v/>
      </c>
      <c r="C5678" s="12" t="str">
        <f>IFERROR(VLOOKUP(D5678,'[1]Перечень товаров'!$A$2:$I9525,3,0),"")</f>
        <v/>
      </c>
      <c r="D5678" s="22" t="s">
        <v>1609</v>
      </c>
      <c r="E5678" s="102">
        <v>46070</v>
      </c>
      <c r="F5678" s="102"/>
      <c r="G5678" s="103"/>
      <c r="H5678" s="103"/>
      <c r="I5678" s="104"/>
      <c r="J5678" s="104"/>
      <c r="K5678" s="19"/>
      <c r="L5678" s="20"/>
    </row>
    <row r="5679" spans="1:12" outlineLevel="1">
      <c r="A5679" s="21"/>
      <c r="B5679" s="12" t="str">
        <f>IFERROR(VLOOKUP(D5679,'[1]Перечень товаров'!$A$2:$I9525,2,0),"")</f>
        <v/>
      </c>
      <c r="C5679" s="12" t="str">
        <f>IFERROR(VLOOKUP(D5679,'[1]Перечень товаров'!$A$2:$I9525,3,0),"")</f>
        <v/>
      </c>
      <c r="D5679" s="22" t="s">
        <v>311</v>
      </c>
      <c r="E5679" s="23" t="s">
        <v>1610</v>
      </c>
      <c r="F5679" s="23"/>
      <c r="G5679" s="24"/>
      <c r="H5679" s="24"/>
      <c r="I5679" s="25"/>
      <c r="J5679" s="25"/>
      <c r="K5679" s="19"/>
      <c r="L5679" s="20"/>
    </row>
    <row r="5680" spans="1:12" outlineLevel="1">
      <c r="A5680" s="21"/>
      <c r="B5680" s="12" t="str">
        <f>IFERROR(VLOOKUP(D5680,'[1]Перечень товаров'!$A$2:$I9525,2,0),"")</f>
        <v/>
      </c>
      <c r="C5680" s="12" t="str">
        <f>IFERROR(VLOOKUP(D5680,'[1]Перечень товаров'!$A$2:$I9525,3,0),"")</f>
        <v/>
      </c>
      <c r="D5680" s="22" t="s">
        <v>345</v>
      </c>
      <c r="E5680" s="102">
        <v>46244</v>
      </c>
      <c r="F5680" s="102"/>
      <c r="G5680" s="103"/>
      <c r="H5680" s="103"/>
      <c r="I5680" s="104"/>
      <c r="J5680" s="104"/>
      <c r="K5680" s="19"/>
      <c r="L5680" s="20"/>
    </row>
    <row r="5681" spans="1:12" ht="12.75" outlineLevel="1">
      <c r="A5681" s="11"/>
      <c r="B5681" s="12" t="str">
        <f>IFERROR(VLOOKUP(D5681,'[1]Перечень товаров'!$A$2:$I9525,2,0),"")</f>
        <v/>
      </c>
      <c r="C5681" s="12" t="str">
        <f>IFERROR(VLOOKUP(D5681,'[1]Перечень товаров'!$A$2:$I9525,3,0),"")</f>
        <v/>
      </c>
      <c r="D5681" s="27" t="s">
        <v>1611</v>
      </c>
      <c r="E5681" s="99">
        <v>46050</v>
      </c>
      <c r="F5681" s="99"/>
      <c r="G5681" s="100"/>
      <c r="H5681" s="100"/>
      <c r="I5681" s="101"/>
      <c r="J5681" s="101"/>
      <c r="K5681" s="19"/>
      <c r="L5681" s="20"/>
    </row>
    <row r="5682" spans="1:12" outlineLevel="2">
      <c r="A5682" s="125"/>
      <c r="B5682" s="12" t="str">
        <f>IFERROR(VLOOKUP(D5682,'[1]Перечень товаров'!$A$2:$I9525,2,0),"")</f>
        <v/>
      </c>
      <c r="C5682" s="12" t="str">
        <f>IFERROR(VLOOKUP(D5682,'[1]Перечень товаров'!$A$2:$I9525,3,0),"")</f>
        <v/>
      </c>
      <c r="D5682" s="126" t="s">
        <v>1612</v>
      </c>
      <c r="E5682" s="79"/>
      <c r="F5682" s="79"/>
      <c r="G5682" s="252"/>
      <c r="H5682" s="252"/>
      <c r="I5682" s="253"/>
      <c r="J5682" s="253"/>
      <c r="K5682" s="19"/>
      <c r="L5682" s="20"/>
    </row>
    <row r="5683" spans="1:12" ht="63" outlineLevel="2">
      <c r="A5683" s="129"/>
      <c r="B5683" s="12" t="str">
        <f>IFERROR(VLOOKUP(D5683,'[1]Перечень товаров'!$A$2:$I9525,2,0),"")</f>
        <v>м121</v>
      </c>
      <c r="C5683" s="12" t="str">
        <f>IFERROR(VLOOKUP(D5683,'[1]Перечень товаров'!$A$2:$I9525,3,0),"")</f>
        <v>мебель</v>
      </c>
      <c r="D5683" s="130" t="s">
        <v>1613</v>
      </c>
      <c r="E5683" s="102"/>
      <c r="F5683" s="102"/>
      <c r="G5683" s="95">
        <v>1</v>
      </c>
      <c r="H5683" s="95"/>
      <c r="I5683" s="96"/>
      <c r="J5683" s="96"/>
      <c r="K5683" s="19"/>
      <c r="L5683" s="20"/>
    </row>
    <row r="5684" spans="1:12" outlineLevel="2">
      <c r="A5684" s="129"/>
      <c r="B5684" s="12" t="str">
        <f>IFERROR(VLOOKUP(D5684,'[1]Перечень товаров'!$A$2:$I9525,2,0),"")</f>
        <v>м19</v>
      </c>
      <c r="C5684" s="12" t="str">
        <f>IFERROR(VLOOKUP(D5684,'[1]Перечень товаров'!$A$2:$I9525,3,0),"")</f>
        <v>Мебель</v>
      </c>
      <c r="D5684" s="22" t="s">
        <v>53</v>
      </c>
      <c r="E5684" s="102"/>
      <c r="F5684" s="102"/>
      <c r="G5684" s="95">
        <v>1</v>
      </c>
      <c r="H5684" s="95"/>
      <c r="I5684" s="96"/>
      <c r="J5684" s="96"/>
      <c r="K5684" s="19"/>
      <c r="L5684" s="20"/>
    </row>
    <row r="5685" spans="1:12" ht="31.5" outlineLevel="2">
      <c r="A5685" s="129"/>
      <c r="B5685" s="12" t="str">
        <f>IFERROR(VLOOKUP(D5685,'[1]Перечень товаров'!$A$2:$I9525,2,0),"")</f>
        <v>пм124</v>
      </c>
      <c r="C5685" s="12" t="str">
        <f>IFERROR(VLOOKUP(D5685,'[1]Перечень товаров'!$A$2:$I9525,3,0),"")</f>
        <v>прочее муз</v>
      </c>
      <c r="D5685" s="130" t="s">
        <v>1614</v>
      </c>
      <c r="E5685" s="102"/>
      <c r="F5685" s="102"/>
      <c r="G5685" s="95">
        <v>2</v>
      </c>
      <c r="H5685" s="95"/>
      <c r="I5685" s="96"/>
      <c r="J5685" s="96"/>
      <c r="K5685" s="19"/>
      <c r="L5685" s="20"/>
    </row>
    <row r="5686" spans="1:12" ht="31.5" outlineLevel="2">
      <c r="A5686" s="129"/>
      <c r="B5686" s="12" t="str">
        <f>IFERROR(VLOOKUP(D5686,'[1]Перечень товаров'!$A$2:$I9525,2,0),"")</f>
        <v>пм123</v>
      </c>
      <c r="C5686" s="12" t="str">
        <f>IFERROR(VLOOKUP(D5686,'[1]Перечень товаров'!$A$2:$I9525,3,0),"")</f>
        <v>прочее муз</v>
      </c>
      <c r="D5686" s="130" t="s">
        <v>1615</v>
      </c>
      <c r="E5686" s="102"/>
      <c r="F5686" s="102"/>
      <c r="G5686" s="95">
        <v>1</v>
      </c>
      <c r="H5686" s="95"/>
      <c r="I5686" s="96"/>
      <c r="J5686" s="96"/>
      <c r="K5686" s="19"/>
      <c r="L5686" s="20"/>
    </row>
    <row r="5687" spans="1:12" ht="31.5" outlineLevel="2">
      <c r="A5687" s="129"/>
      <c r="B5687" s="12" t="str">
        <f>IFERROR(VLOOKUP(D5687,'[1]Перечень товаров'!$A$2:$I9525,2,0),"")</f>
        <v>м120</v>
      </c>
      <c r="C5687" s="12" t="str">
        <f>IFERROR(VLOOKUP(D5687,'[1]Перечень товаров'!$A$2:$I9525,3,0),"")</f>
        <v>мебель</v>
      </c>
      <c r="D5687" s="130" t="s">
        <v>1616</v>
      </c>
      <c r="E5687" s="102"/>
      <c r="F5687" s="102"/>
      <c r="G5687" s="95">
        <v>1</v>
      </c>
      <c r="H5687" s="95"/>
      <c r="I5687" s="96"/>
      <c r="J5687" s="96"/>
      <c r="K5687" s="19"/>
      <c r="L5687" s="20"/>
    </row>
    <row r="5688" spans="1:12" ht="31.5" outlineLevel="2">
      <c r="A5688" s="129"/>
      <c r="B5688" s="12" t="str">
        <f>IFERROR(VLOOKUP(D5688,'[1]Перечень товаров'!$A$2:$I9525,2,0),"")</f>
        <v>м119</v>
      </c>
      <c r="C5688" s="12" t="str">
        <f>IFERROR(VLOOKUP(D5688,'[1]Перечень товаров'!$A$2:$I9525,3,0),"")</f>
        <v>мебель</v>
      </c>
      <c r="D5688" s="130" t="s">
        <v>1617</v>
      </c>
      <c r="E5688" s="102"/>
      <c r="F5688" s="102"/>
      <c r="G5688" s="95">
        <v>2</v>
      </c>
      <c r="H5688" s="95"/>
      <c r="I5688" s="96"/>
      <c r="J5688" s="96"/>
      <c r="K5688" s="19"/>
      <c r="L5688" s="20"/>
    </row>
    <row r="5689" spans="1:12" ht="47.25" outlineLevel="2">
      <c r="A5689" s="129"/>
      <c r="B5689" s="12" t="str">
        <f>IFERROR(VLOOKUP(D5689,'[1]Перечень товаров'!$A$2:$I9525,2,0),"")</f>
        <v>м118</v>
      </c>
      <c r="C5689" s="12" t="str">
        <f>IFERROR(VLOOKUP(D5689,'[1]Перечень товаров'!$A$2:$I9525,3,0),"")</f>
        <v>мебель</v>
      </c>
      <c r="D5689" s="130" t="s">
        <v>1618</v>
      </c>
      <c r="E5689" s="102"/>
      <c r="F5689" s="102"/>
      <c r="G5689" s="95">
        <v>2</v>
      </c>
      <c r="H5689" s="95"/>
      <c r="I5689" s="96"/>
      <c r="J5689" s="96"/>
      <c r="K5689" s="19"/>
      <c r="L5689" s="20"/>
    </row>
    <row r="5690" spans="1:12" ht="31.5" outlineLevel="2">
      <c r="A5690" s="129"/>
      <c r="B5690" s="12" t="str">
        <f>IFERROR(VLOOKUP(D5690,'[1]Перечень товаров'!$A$2:$I9525,2,0),"")</f>
        <v>пм122</v>
      </c>
      <c r="C5690" s="12" t="str">
        <f>IFERROR(VLOOKUP(D5690,'[1]Перечень товаров'!$A$2:$I9525,3,0),"")</f>
        <v>прочее муз</v>
      </c>
      <c r="D5690" s="130" t="s">
        <v>1619</v>
      </c>
      <c r="E5690" s="102"/>
      <c r="F5690" s="102"/>
      <c r="G5690" s="95">
        <v>1</v>
      </c>
      <c r="H5690" s="95"/>
      <c r="I5690" s="96"/>
      <c r="J5690" s="96"/>
      <c r="K5690" s="19"/>
      <c r="L5690" s="20"/>
    </row>
    <row r="5691" spans="1:12" ht="31.5" outlineLevel="2">
      <c r="A5691" s="129"/>
      <c r="B5691" s="12" t="str">
        <f>IFERROR(VLOOKUP(D5691,'[1]Перечень товаров'!$A$2:$I9525,2,0),"")</f>
        <v>пм121</v>
      </c>
      <c r="C5691" s="12" t="str">
        <f>IFERROR(VLOOKUP(D5691,'[1]Перечень товаров'!$A$2:$I9525,3,0),"")</f>
        <v>прочее муз</v>
      </c>
      <c r="D5691" s="130" t="s">
        <v>1620</v>
      </c>
      <c r="E5691" s="102"/>
      <c r="F5691" s="102"/>
      <c r="G5691" s="95">
        <v>2</v>
      </c>
      <c r="H5691" s="95"/>
      <c r="I5691" s="96"/>
      <c r="J5691" s="96"/>
      <c r="K5691" s="19"/>
      <c r="L5691" s="20"/>
    </row>
    <row r="5692" spans="1:12" ht="31.5" outlineLevel="2">
      <c r="A5692" s="125"/>
      <c r="B5692" s="12" t="str">
        <f>IFERROR(VLOOKUP(D5692,'[1]Перечень товаров'!$A$2:$I9525,2,0),"")</f>
        <v/>
      </c>
      <c r="C5692" s="12" t="str">
        <f>IFERROR(VLOOKUP(D5692,'[1]Перечень товаров'!$A$2:$I9525,3,0),"")</f>
        <v/>
      </c>
      <c r="D5692" s="126" t="s">
        <v>1621</v>
      </c>
      <c r="E5692" s="79"/>
      <c r="F5692" s="79"/>
      <c r="G5692" s="254"/>
      <c r="H5692" s="254"/>
      <c r="I5692" s="255"/>
      <c r="J5692" s="255"/>
      <c r="K5692" s="19"/>
      <c r="L5692" s="20"/>
    </row>
    <row r="5693" spans="1:12" ht="63" outlineLevel="2">
      <c r="A5693" s="129"/>
      <c r="B5693" s="12" t="str">
        <f>IFERROR(VLOOKUP(D5693,'[1]Перечень товаров'!$A$2:$I9525,2,0),"")</f>
        <v>т114</v>
      </c>
      <c r="C5693" s="12" t="str">
        <f>IFERROR(VLOOKUP(D5693,'[1]Перечень товаров'!$A$2:$I9525,3,0),"")</f>
        <v>Техника</v>
      </c>
      <c r="D5693" s="130" t="s">
        <v>1622</v>
      </c>
      <c r="E5693" s="102"/>
      <c r="F5693" s="102"/>
      <c r="G5693" s="95">
        <v>1</v>
      </c>
      <c r="H5693" s="95"/>
      <c r="I5693" s="96"/>
      <c r="J5693" s="96"/>
      <c r="K5693" s="19"/>
      <c r="L5693" s="20"/>
    </row>
    <row r="5694" spans="1:12" ht="31.5" outlineLevel="2">
      <c r="A5694" s="129"/>
      <c r="B5694" s="12" t="str">
        <f>IFERROR(VLOOKUP(D5694,'[1]Перечень товаров'!$A$2:$I9525,2,0),"")</f>
        <v>т113</v>
      </c>
      <c r="C5694" s="12" t="str">
        <f>IFERROR(VLOOKUP(D5694,'[1]Перечень товаров'!$A$2:$I9525,3,0),"")</f>
        <v>Техника</v>
      </c>
      <c r="D5694" s="130" t="s">
        <v>1623</v>
      </c>
      <c r="E5694" s="102"/>
      <c r="F5694" s="102"/>
      <c r="G5694" s="95">
        <v>1</v>
      </c>
      <c r="H5694" s="95"/>
      <c r="I5694" s="96"/>
      <c r="J5694" s="96"/>
      <c r="K5694" s="19"/>
      <c r="L5694" s="20"/>
    </row>
    <row r="5695" spans="1:12" ht="31.5" outlineLevel="2">
      <c r="A5695" s="129"/>
      <c r="B5695" s="12" t="str">
        <f>IFERROR(VLOOKUP(D5695,'[1]Перечень товаров'!$A$2:$I9525,2,0),"")</f>
        <v>т112</v>
      </c>
      <c r="C5695" s="12" t="str">
        <f>IFERROR(VLOOKUP(D5695,'[1]Перечень товаров'!$A$2:$I9525,3,0),"")</f>
        <v>Техника</v>
      </c>
      <c r="D5695" s="130" t="s">
        <v>1624</v>
      </c>
      <c r="E5695" s="102"/>
      <c r="F5695" s="102"/>
      <c r="G5695" s="95">
        <v>2</v>
      </c>
      <c r="H5695" s="95"/>
      <c r="I5695" s="96"/>
      <c r="J5695" s="96"/>
      <c r="K5695" s="19"/>
      <c r="L5695" s="20"/>
    </row>
    <row r="5696" spans="1:12" ht="31.5" outlineLevel="2">
      <c r="A5696" s="129"/>
      <c r="B5696" s="12" t="str">
        <f>IFERROR(VLOOKUP(D5696,'[1]Перечень товаров'!$A$2:$I9525,2,0),"")</f>
        <v>т111</v>
      </c>
      <c r="C5696" s="12" t="str">
        <f>IFERROR(VLOOKUP(D5696,'[1]Перечень товаров'!$A$2:$I9525,3,0),"")</f>
        <v>Техника</v>
      </c>
      <c r="D5696" s="130" t="s">
        <v>1625</v>
      </c>
      <c r="E5696" s="102"/>
      <c r="F5696" s="102"/>
      <c r="G5696" s="95">
        <v>1</v>
      </c>
      <c r="H5696" s="95"/>
      <c r="I5696" s="96"/>
      <c r="J5696" s="96"/>
      <c r="K5696" s="19"/>
      <c r="L5696" s="20"/>
    </row>
    <row r="5697" spans="1:12" ht="31.5" outlineLevel="2">
      <c r="A5697" s="129"/>
      <c r="B5697" s="12" t="str">
        <f>IFERROR(VLOOKUP(D5697,'[1]Перечень товаров'!$A$2:$I9525,2,0),"")</f>
        <v>т110</v>
      </c>
      <c r="C5697" s="12" t="str">
        <f>IFERROR(VLOOKUP(D5697,'[1]Перечень товаров'!$A$2:$I9525,3,0),"")</f>
        <v>Техника</v>
      </c>
      <c r="D5697" s="130" t="s">
        <v>1626</v>
      </c>
      <c r="E5697" s="102"/>
      <c r="F5697" s="102"/>
      <c r="G5697" s="95">
        <v>1</v>
      </c>
      <c r="H5697" s="95"/>
      <c r="I5697" s="96"/>
      <c r="J5697" s="96"/>
      <c r="K5697" s="19"/>
      <c r="L5697" s="20"/>
    </row>
    <row r="5698" spans="1:12" outlineLevel="2">
      <c r="A5698" s="129"/>
      <c r="B5698" s="12" t="str">
        <f>IFERROR(VLOOKUP(D5698,'[1]Перечень товаров'!$A$2:$I9525,2,0),"")</f>
        <v>т109</v>
      </c>
      <c r="C5698" s="12" t="str">
        <f>IFERROR(VLOOKUP(D5698,'[1]Перечень товаров'!$A$2:$I9525,3,0),"")</f>
        <v>Техника</v>
      </c>
      <c r="D5698" s="130" t="s">
        <v>1627</v>
      </c>
      <c r="E5698" s="102"/>
      <c r="F5698" s="102"/>
      <c r="G5698" s="95">
        <v>2</v>
      </c>
      <c r="H5698" s="95"/>
      <c r="I5698" s="96"/>
      <c r="J5698" s="96"/>
      <c r="K5698" s="19"/>
      <c r="L5698" s="20"/>
    </row>
    <row r="5699" spans="1:12" outlineLevel="2">
      <c r="A5699" s="129"/>
      <c r="B5699" s="12" t="str">
        <f>IFERROR(VLOOKUP(D5699,'[1]Перечень товаров'!$A$2:$I9525,2,0),"")</f>
        <v>т108</v>
      </c>
      <c r="C5699" s="12" t="str">
        <f>IFERROR(VLOOKUP(D5699,'[1]Перечень товаров'!$A$2:$I9525,3,0),"")</f>
        <v>Техника</v>
      </c>
      <c r="D5699" s="130" t="s">
        <v>1628</v>
      </c>
      <c r="E5699" s="102"/>
      <c r="F5699" s="102"/>
      <c r="G5699" s="95">
        <v>4</v>
      </c>
      <c r="H5699" s="95"/>
      <c r="I5699" s="96"/>
      <c r="J5699" s="96"/>
      <c r="K5699" s="19"/>
      <c r="L5699" s="20"/>
    </row>
    <row r="5700" spans="1:12" ht="31.5" outlineLevel="2">
      <c r="A5700" s="129"/>
      <c r="B5700" s="12" t="str">
        <f>IFERROR(VLOOKUP(D5700,'[1]Перечень товаров'!$A$2:$I9525,2,0),"")</f>
        <v>т107</v>
      </c>
      <c r="C5700" s="12" t="str">
        <f>IFERROR(VLOOKUP(D5700,'[1]Перечень товаров'!$A$2:$I9525,3,0),"")</f>
        <v>Техника</v>
      </c>
      <c r="D5700" s="130" t="s">
        <v>1629</v>
      </c>
      <c r="E5700" s="102"/>
      <c r="F5700" s="102"/>
      <c r="G5700" s="95">
        <v>1</v>
      </c>
      <c r="H5700" s="95"/>
      <c r="I5700" s="96"/>
      <c r="J5700" s="96"/>
      <c r="K5700" s="19"/>
      <c r="L5700" s="20"/>
    </row>
    <row r="5701" spans="1:12" ht="47.25" outlineLevel="2">
      <c r="A5701" s="129"/>
      <c r="B5701" s="12" t="str">
        <f>IFERROR(VLOOKUP(D5701,'[1]Перечень товаров'!$A$2:$I9525,2,0),"")</f>
        <v>т106</v>
      </c>
      <c r="C5701" s="12" t="str">
        <f>IFERROR(VLOOKUP(D5701,'[1]Перечень товаров'!$A$2:$I9525,3,0),"")</f>
        <v>Техника</v>
      </c>
      <c r="D5701" s="130" t="s">
        <v>1630</v>
      </c>
      <c r="E5701" s="102"/>
      <c r="F5701" s="102"/>
      <c r="G5701" s="95">
        <v>1</v>
      </c>
      <c r="H5701" s="95"/>
      <c r="I5701" s="96"/>
      <c r="J5701" s="96"/>
      <c r="K5701" s="19"/>
      <c r="L5701" s="20"/>
    </row>
    <row r="5702" spans="1:12" ht="47.25" outlineLevel="2">
      <c r="A5702" s="129"/>
      <c r="B5702" s="12" t="str">
        <f>IFERROR(VLOOKUP(D5702,'[1]Перечень товаров'!$A$2:$I9525,2,0),"")</f>
        <v>т105</v>
      </c>
      <c r="C5702" s="12" t="str">
        <f>IFERROR(VLOOKUP(D5702,'[1]Перечень товаров'!$A$2:$I9525,3,0),"")</f>
        <v>Техника</v>
      </c>
      <c r="D5702" s="130" t="s">
        <v>1631</v>
      </c>
      <c r="E5702" s="102"/>
      <c r="F5702" s="102"/>
      <c r="G5702" s="95">
        <v>2</v>
      </c>
      <c r="H5702" s="95"/>
      <c r="I5702" s="96"/>
      <c r="J5702" s="96"/>
      <c r="K5702" s="19"/>
      <c r="L5702" s="20"/>
    </row>
    <row r="5703" spans="1:12" ht="31.5" outlineLevel="2">
      <c r="A5703" s="129"/>
      <c r="B5703" s="12" t="str">
        <f>IFERROR(VLOOKUP(D5703,'[1]Перечень товаров'!$A$2:$I9525,2,0),"")</f>
        <v>т104</v>
      </c>
      <c r="C5703" s="12" t="str">
        <f>IFERROR(VLOOKUP(D5703,'[1]Перечень товаров'!$A$2:$I9525,3,0),"")</f>
        <v>Техника</v>
      </c>
      <c r="D5703" s="130" t="s">
        <v>1632</v>
      </c>
      <c r="E5703" s="102"/>
      <c r="F5703" s="102"/>
      <c r="G5703" s="95">
        <v>1</v>
      </c>
      <c r="H5703" s="95"/>
      <c r="I5703" s="96"/>
      <c r="J5703" s="96"/>
      <c r="K5703" s="19"/>
      <c r="L5703" s="20"/>
    </row>
    <row r="5704" spans="1:12" ht="31.5" outlineLevel="2">
      <c r="A5704" s="129"/>
      <c r="B5704" s="12" t="str">
        <f>IFERROR(VLOOKUP(D5704,'[1]Перечень товаров'!$A$2:$I9525,2,0),"")</f>
        <v>т103</v>
      </c>
      <c r="C5704" s="12" t="str">
        <f>IFERROR(VLOOKUP(D5704,'[1]Перечень товаров'!$A$2:$I9525,3,0),"")</f>
        <v>Техника</v>
      </c>
      <c r="D5704" s="130" t="s">
        <v>1633</v>
      </c>
      <c r="E5704" s="102"/>
      <c r="F5704" s="102"/>
      <c r="G5704" s="95">
        <v>1</v>
      </c>
      <c r="H5704" s="95"/>
      <c r="I5704" s="96"/>
      <c r="J5704" s="96"/>
      <c r="K5704" s="19"/>
      <c r="L5704" s="20"/>
    </row>
    <row r="5705" spans="1:12" ht="31.5" outlineLevel="2">
      <c r="A5705" s="129"/>
      <c r="B5705" s="12" t="str">
        <f>IFERROR(VLOOKUP(D5705,'[1]Перечень товаров'!$A$2:$I9525,2,0),"")</f>
        <v>т102</v>
      </c>
      <c r="C5705" s="12" t="str">
        <f>IFERROR(VLOOKUP(D5705,'[1]Перечень товаров'!$A$2:$I9525,3,0),"")</f>
        <v>Техника</v>
      </c>
      <c r="D5705" s="130" t="s">
        <v>1634</v>
      </c>
      <c r="E5705" s="102"/>
      <c r="F5705" s="102"/>
      <c r="G5705" s="95">
        <v>1</v>
      </c>
      <c r="H5705" s="95"/>
      <c r="I5705" s="96"/>
      <c r="J5705" s="96"/>
      <c r="K5705" s="19"/>
      <c r="L5705" s="20"/>
    </row>
    <row r="5706" spans="1:12" outlineLevel="2">
      <c r="A5706" s="129"/>
      <c r="B5706" s="12" t="str">
        <f>IFERROR(VLOOKUP(D5706,'[1]Перечень товаров'!$A$2:$I9525,2,0),"")</f>
        <v>т4</v>
      </c>
      <c r="C5706" s="12" t="str">
        <f>IFERROR(VLOOKUP(D5706,'[1]Перечень товаров'!$A$2:$I9525,3,0),"")</f>
        <v xml:space="preserve">Техника </v>
      </c>
      <c r="D5706" s="130" t="s">
        <v>31</v>
      </c>
      <c r="E5706" s="102"/>
      <c r="F5706" s="102"/>
      <c r="G5706" s="95">
        <v>1</v>
      </c>
      <c r="H5706" s="95"/>
      <c r="I5706" s="96"/>
      <c r="J5706" s="96"/>
      <c r="K5706" s="19"/>
      <c r="L5706" s="20"/>
    </row>
    <row r="5707" spans="1:12" ht="31.5" outlineLevel="2">
      <c r="A5707" s="129"/>
      <c r="B5707" s="12" t="str">
        <f>IFERROR(VLOOKUP(D5707,'[1]Перечень товаров'!$A$2:$I9525,2,0),"")</f>
        <v>т101</v>
      </c>
      <c r="C5707" s="12" t="str">
        <f>IFERROR(VLOOKUP(D5707,'[1]Перечень товаров'!$A$2:$I9525,3,0),"")</f>
        <v>Техника</v>
      </c>
      <c r="D5707" s="130" t="s">
        <v>1635</v>
      </c>
      <c r="E5707" s="102"/>
      <c r="F5707" s="102"/>
      <c r="G5707" s="95">
        <v>6</v>
      </c>
      <c r="H5707" s="95"/>
      <c r="I5707" s="96"/>
      <c r="J5707" s="96"/>
      <c r="K5707" s="19"/>
      <c r="L5707" s="20"/>
    </row>
    <row r="5708" spans="1:12" ht="31.5" outlineLevel="2">
      <c r="A5708" s="125"/>
      <c r="B5708" s="12" t="str">
        <f>IFERROR(VLOOKUP(D5708,'[1]Перечень товаров'!$A$2:$I9525,2,0),"")</f>
        <v/>
      </c>
      <c r="C5708" s="12" t="str">
        <f>IFERROR(VLOOKUP(D5708,'[1]Перечень товаров'!$A$2:$I9525,3,0),"")</f>
        <v/>
      </c>
      <c r="D5708" s="126" t="s">
        <v>1636</v>
      </c>
      <c r="E5708" s="79"/>
      <c r="F5708" s="79"/>
      <c r="G5708" s="254"/>
      <c r="H5708" s="254"/>
      <c r="I5708" s="255"/>
      <c r="J5708" s="255"/>
      <c r="K5708" s="19"/>
      <c r="L5708" s="20"/>
    </row>
    <row r="5709" spans="1:12" ht="31.5" outlineLevel="2">
      <c r="A5709" s="129"/>
      <c r="B5709" s="12" t="str">
        <f>IFERROR(VLOOKUP(D5709,'[1]Перечень товаров'!$A$2:$I9525,2,0),"")</f>
        <v>тм151</v>
      </c>
      <c r="C5709" s="12" t="str">
        <f>IFERROR(VLOOKUP(D5709,'[1]Перечень товаров'!$A$2:$I9525,3,0),"")</f>
        <v>Техника муз</v>
      </c>
      <c r="D5709" s="130" t="s">
        <v>1637</v>
      </c>
      <c r="E5709" s="102"/>
      <c r="F5709" s="102"/>
      <c r="G5709" s="95">
        <v>2</v>
      </c>
      <c r="H5709" s="95"/>
      <c r="I5709" s="96"/>
      <c r="J5709" s="96"/>
      <c r="K5709" s="19"/>
      <c r="L5709" s="20"/>
    </row>
    <row r="5710" spans="1:12" ht="31.5" outlineLevel="2">
      <c r="A5710" s="129"/>
      <c r="B5710" s="12" t="str">
        <f>IFERROR(VLOOKUP(D5710,'[1]Перечень товаров'!$A$2:$I9525,2,0),"")</f>
        <v>тм150</v>
      </c>
      <c r="C5710" s="12" t="str">
        <f>IFERROR(VLOOKUP(D5710,'[1]Перечень товаров'!$A$2:$I9525,3,0),"")</f>
        <v>Техника муз</v>
      </c>
      <c r="D5710" s="130" t="s">
        <v>1638</v>
      </c>
      <c r="E5710" s="102"/>
      <c r="F5710" s="102"/>
      <c r="G5710" s="95">
        <v>1</v>
      </c>
      <c r="H5710" s="95"/>
      <c r="I5710" s="96"/>
      <c r="J5710" s="96"/>
      <c r="K5710" s="19"/>
      <c r="L5710" s="20"/>
    </row>
    <row r="5711" spans="1:12" ht="31.5" outlineLevel="2">
      <c r="A5711" s="129"/>
      <c r="B5711" s="12" t="str">
        <f>IFERROR(VLOOKUP(D5711,'[1]Перечень товаров'!$A$2:$I9525,2,0),"")</f>
        <v>тм149</v>
      </c>
      <c r="C5711" s="12" t="str">
        <f>IFERROR(VLOOKUP(D5711,'[1]Перечень товаров'!$A$2:$I9525,3,0),"")</f>
        <v>Техника муз</v>
      </c>
      <c r="D5711" s="130" t="s">
        <v>1639</v>
      </c>
      <c r="E5711" s="102"/>
      <c r="F5711" s="102"/>
      <c r="G5711" s="95">
        <v>2</v>
      </c>
      <c r="H5711" s="95"/>
      <c r="I5711" s="96"/>
      <c r="J5711" s="96"/>
      <c r="K5711" s="19"/>
      <c r="L5711" s="20"/>
    </row>
    <row r="5712" spans="1:12" ht="31.5" outlineLevel="2">
      <c r="A5712" s="129"/>
      <c r="B5712" s="12" t="str">
        <f>IFERROR(VLOOKUP(D5712,'[1]Перечень товаров'!$A$2:$I9525,2,0),"")</f>
        <v>тм148</v>
      </c>
      <c r="C5712" s="12" t="str">
        <f>IFERROR(VLOOKUP(D5712,'[1]Перечень товаров'!$A$2:$I9525,3,0),"")</f>
        <v>Техника муз</v>
      </c>
      <c r="D5712" s="130" t="s">
        <v>1640</v>
      </c>
      <c r="E5712" s="102"/>
      <c r="F5712" s="102"/>
      <c r="G5712" s="95">
        <v>1</v>
      </c>
      <c r="H5712" s="95"/>
      <c r="I5712" s="96"/>
      <c r="J5712" s="96"/>
      <c r="K5712" s="19"/>
      <c r="L5712" s="20"/>
    </row>
    <row r="5713" spans="1:12" ht="63" outlineLevel="2">
      <c r="A5713" s="129"/>
      <c r="B5713" s="12" t="str">
        <f>IFERROR(VLOOKUP(D5713,'[1]Перечень товаров'!$A$2:$I9525,2,0),"")</f>
        <v>т100</v>
      </c>
      <c r="C5713" s="12" t="str">
        <f>IFERROR(VLOOKUP(D5713,'[1]Перечень товаров'!$A$2:$I9525,3,0),"")</f>
        <v>Техника</v>
      </c>
      <c r="D5713" s="130" t="s">
        <v>1641</v>
      </c>
      <c r="E5713" s="102"/>
      <c r="F5713" s="102"/>
      <c r="G5713" s="95">
        <v>1</v>
      </c>
      <c r="H5713" s="95"/>
      <c r="I5713" s="96"/>
      <c r="J5713" s="96"/>
      <c r="K5713" s="19"/>
      <c r="L5713" s="20"/>
    </row>
    <row r="5714" spans="1:12" ht="31.5" outlineLevel="2">
      <c r="A5714" s="129"/>
      <c r="B5714" s="12" t="str">
        <f>IFERROR(VLOOKUP(D5714,'[1]Перечень товаров'!$A$2:$I9525,2,0),"")</f>
        <v>т99</v>
      </c>
      <c r="C5714" s="12" t="str">
        <f>IFERROR(VLOOKUP(D5714,'[1]Перечень товаров'!$A$2:$I9525,3,0),"")</f>
        <v>Техника</v>
      </c>
      <c r="D5714" s="130" t="s">
        <v>1642</v>
      </c>
      <c r="E5714" s="102"/>
      <c r="F5714" s="102"/>
      <c r="G5714" s="95">
        <v>3</v>
      </c>
      <c r="H5714" s="95"/>
      <c r="I5714" s="96"/>
      <c r="J5714" s="96"/>
      <c r="K5714" s="19"/>
      <c r="L5714" s="20"/>
    </row>
    <row r="5715" spans="1:12" ht="31.5" outlineLevel="2">
      <c r="A5715" s="125"/>
      <c r="B5715" s="12" t="str">
        <f>IFERROR(VLOOKUP(D5715,'[1]Перечень товаров'!$A$2:$I9525,2,0),"")</f>
        <v/>
      </c>
      <c r="C5715" s="12" t="str">
        <f>IFERROR(VLOOKUP(D5715,'[1]Перечень товаров'!$A$2:$I9525,3,0),"")</f>
        <v/>
      </c>
      <c r="D5715" s="126" t="s">
        <v>1643</v>
      </c>
      <c r="E5715" s="79"/>
      <c r="F5715" s="79"/>
      <c r="G5715" s="254"/>
      <c r="H5715" s="254"/>
      <c r="I5715" s="255"/>
      <c r="J5715" s="255"/>
      <c r="K5715" s="19"/>
      <c r="L5715" s="20"/>
    </row>
    <row r="5716" spans="1:12" ht="47.25" outlineLevel="2">
      <c r="A5716" s="129"/>
      <c r="B5716" s="12" t="str">
        <f>IFERROR(VLOOKUP(D5716,'[1]Перечень товаров'!$A$2:$I9525,2,0),"")</f>
        <v>т98</v>
      </c>
      <c r="C5716" s="12" t="str">
        <f>IFERROR(VLOOKUP(D5716,'[1]Перечень товаров'!$A$2:$I9525,3,0),"")</f>
        <v>Техника</v>
      </c>
      <c r="D5716" s="130" t="s">
        <v>1644</v>
      </c>
      <c r="E5716" s="102"/>
      <c r="F5716" s="102"/>
      <c r="G5716" s="95">
        <v>1</v>
      </c>
      <c r="H5716" s="95"/>
      <c r="I5716" s="96"/>
      <c r="J5716" s="96"/>
      <c r="K5716" s="19"/>
      <c r="L5716" s="20"/>
    </row>
    <row r="5717" spans="1:12" ht="47.25" outlineLevel="2">
      <c r="A5717" s="129"/>
      <c r="B5717" s="12" t="str">
        <f>IFERROR(VLOOKUP(D5717,'[1]Перечень товаров'!$A$2:$I9525,2,0),"")</f>
        <v>т97</v>
      </c>
      <c r="C5717" s="12" t="str">
        <f>IFERROR(VLOOKUP(D5717,'[1]Перечень товаров'!$A$2:$I9525,3,0),"")</f>
        <v>Техника</v>
      </c>
      <c r="D5717" s="130" t="s">
        <v>1645</v>
      </c>
      <c r="E5717" s="102"/>
      <c r="F5717" s="102"/>
      <c r="G5717" s="95">
        <v>2</v>
      </c>
      <c r="H5717" s="95"/>
      <c r="I5717" s="96"/>
      <c r="J5717" s="96"/>
      <c r="K5717" s="19"/>
      <c r="L5717" s="20"/>
    </row>
    <row r="5718" spans="1:12" ht="47.25" outlineLevel="2">
      <c r="A5718" s="129"/>
      <c r="B5718" s="12" t="str">
        <f>IFERROR(VLOOKUP(D5718,'[1]Перечень товаров'!$A$2:$I9525,2,0),"")</f>
        <v>т96</v>
      </c>
      <c r="C5718" s="12" t="str">
        <f>IFERROR(VLOOKUP(D5718,'[1]Перечень товаров'!$A$2:$I9525,3,0),"")</f>
        <v>Техника</v>
      </c>
      <c r="D5718" s="130" t="s">
        <v>1646</v>
      </c>
      <c r="E5718" s="102"/>
      <c r="F5718" s="102"/>
      <c r="G5718" s="95">
        <v>1</v>
      </c>
      <c r="H5718" s="95"/>
      <c r="I5718" s="96"/>
      <c r="J5718" s="96"/>
      <c r="K5718" s="19"/>
      <c r="L5718" s="20"/>
    </row>
    <row r="5719" spans="1:12" ht="31.5" outlineLevel="2">
      <c r="A5719" s="129"/>
      <c r="B5719" s="12" t="str">
        <f>IFERROR(VLOOKUP(D5719,'[1]Перечень товаров'!$A$2:$I9525,2,0),"")</f>
        <v>д250</v>
      </c>
      <c r="C5719" s="12" t="str">
        <f>IFERROR(VLOOKUP(D5719,'[1]Перечень товаров'!$A$2:$I9525,3,0),"")</f>
        <v>Дидактика</v>
      </c>
      <c r="D5719" s="130" t="s">
        <v>1647</v>
      </c>
      <c r="E5719" s="102"/>
      <c r="F5719" s="102"/>
      <c r="G5719" s="95">
        <v>2</v>
      </c>
      <c r="H5719" s="95"/>
      <c r="I5719" s="96"/>
      <c r="J5719" s="96"/>
      <c r="K5719" s="19"/>
      <c r="L5719" s="20"/>
    </row>
    <row r="5720" spans="1:12" ht="31.5" outlineLevel="2">
      <c r="A5720" s="129"/>
      <c r="B5720" s="12" t="str">
        <f>IFERROR(VLOOKUP(D5720,'[1]Перечень товаров'!$A$2:$I9525,2,0),"")</f>
        <v>д249</v>
      </c>
      <c r="C5720" s="12" t="str">
        <f>IFERROR(VLOOKUP(D5720,'[1]Перечень товаров'!$A$2:$I9525,3,0),"")</f>
        <v>Дидактика</v>
      </c>
      <c r="D5720" s="130" t="s">
        <v>1648</v>
      </c>
      <c r="E5720" s="102"/>
      <c r="F5720" s="102"/>
      <c r="G5720" s="95">
        <v>5</v>
      </c>
      <c r="H5720" s="95"/>
      <c r="I5720" s="96"/>
      <c r="J5720" s="96"/>
      <c r="K5720" s="19"/>
      <c r="L5720" s="20"/>
    </row>
    <row r="5721" spans="1:12" ht="31.5" outlineLevel="2">
      <c r="A5721" s="129"/>
      <c r="B5721" s="12" t="str">
        <f>IFERROR(VLOOKUP(D5721,'[1]Перечень товаров'!$A$2:$I9525,2,0),"")</f>
        <v>т95</v>
      </c>
      <c r="C5721" s="12" t="str">
        <f>IFERROR(VLOOKUP(D5721,'[1]Перечень товаров'!$A$2:$I9525,3,0),"")</f>
        <v>Техника</v>
      </c>
      <c r="D5721" s="130" t="s">
        <v>1649</v>
      </c>
      <c r="E5721" s="102"/>
      <c r="F5721" s="102"/>
      <c r="G5721" s="95">
        <v>1</v>
      </c>
      <c r="H5721" s="95"/>
      <c r="I5721" s="96"/>
      <c r="J5721" s="96"/>
      <c r="K5721" s="19"/>
      <c r="L5721" s="20"/>
    </row>
    <row r="5722" spans="1:12" ht="31.5" outlineLevel="2">
      <c r="A5722" s="129"/>
      <c r="B5722" s="12" t="str">
        <f>IFERROR(VLOOKUP(D5722,'[1]Перечень товаров'!$A$2:$I9525,2,0),"")</f>
        <v>т94</v>
      </c>
      <c r="C5722" s="12" t="str">
        <f>IFERROR(VLOOKUP(D5722,'[1]Перечень товаров'!$A$2:$I9525,3,0),"")</f>
        <v>Техника</v>
      </c>
      <c r="D5722" s="130" t="s">
        <v>1650</v>
      </c>
      <c r="E5722" s="102"/>
      <c r="F5722" s="102"/>
      <c r="G5722" s="95">
        <v>1</v>
      </c>
      <c r="H5722" s="95"/>
      <c r="I5722" s="96"/>
      <c r="J5722" s="96"/>
      <c r="K5722" s="19"/>
      <c r="L5722" s="20"/>
    </row>
    <row r="5723" spans="1:12" ht="31.5" outlineLevel="2">
      <c r="A5723" s="129"/>
      <c r="B5723" s="12" t="str">
        <f>IFERROR(VLOOKUP(D5723,'[1]Перечень товаров'!$A$2:$I9525,2,0),"")</f>
        <v>пм120</v>
      </c>
      <c r="C5723" s="12" t="str">
        <f>IFERROR(VLOOKUP(D5723,'[1]Перечень товаров'!$A$2:$I9525,3,0),"")</f>
        <v>прочее муз</v>
      </c>
      <c r="D5723" s="130" t="s">
        <v>1651</v>
      </c>
      <c r="E5723" s="102"/>
      <c r="F5723" s="102"/>
      <c r="G5723" s="95">
        <v>1</v>
      </c>
      <c r="H5723" s="95"/>
      <c r="I5723" s="96"/>
      <c r="J5723" s="96"/>
      <c r="K5723" s="19"/>
      <c r="L5723" s="20"/>
    </row>
    <row r="5724" spans="1:12" ht="47.25" outlineLevel="2">
      <c r="A5724" s="125"/>
      <c r="B5724" s="12" t="str">
        <f>IFERROR(VLOOKUP(D5724,'[1]Перечень товаров'!$A$2:$I9525,2,0),"")</f>
        <v/>
      </c>
      <c r="C5724" s="12" t="str">
        <f>IFERROR(VLOOKUP(D5724,'[1]Перечень товаров'!$A$2:$I9525,3,0),"")</f>
        <v/>
      </c>
      <c r="D5724" s="126" t="s">
        <v>1652</v>
      </c>
      <c r="E5724" s="79"/>
      <c r="F5724" s="79"/>
      <c r="G5724" s="254"/>
      <c r="H5724" s="254"/>
      <c r="I5724" s="255"/>
      <c r="J5724" s="255"/>
      <c r="K5724" s="19"/>
      <c r="L5724" s="20"/>
    </row>
    <row r="5725" spans="1:12" ht="75" outlineLevel="2">
      <c r="A5725" s="256"/>
      <c r="B5725" s="12" t="str">
        <f>IFERROR(VLOOKUP(D5725,'[1]Перечень товаров'!$A$2:$I9525,2,0),"")</f>
        <v/>
      </c>
      <c r="C5725" s="12" t="str">
        <f>IFERROR(VLOOKUP(D5725,'[1]Перечень товаров'!$A$2:$I9525,3,0),"")</f>
        <v/>
      </c>
      <c r="D5725" s="257" t="s">
        <v>1653</v>
      </c>
      <c r="E5725" s="79"/>
      <c r="F5725" s="79"/>
      <c r="G5725" s="254"/>
      <c r="H5725" s="254"/>
      <c r="I5725" s="255"/>
      <c r="J5725" s="255"/>
      <c r="K5725" s="19"/>
      <c r="L5725" s="20"/>
    </row>
    <row r="5726" spans="1:12" ht="31.5" outlineLevel="2">
      <c r="A5726" s="129"/>
      <c r="B5726" s="12" t="str">
        <f>IFERROR(VLOOKUP(D5726,'[1]Перечень товаров'!$A$2:$I9525,2,0),"")</f>
        <v>пм119</v>
      </c>
      <c r="C5726" s="12" t="str">
        <f>IFERROR(VLOOKUP(D5726,'[1]Перечень товаров'!$A$2:$I9525,3,0),"")</f>
        <v>прочее муз</v>
      </c>
      <c r="D5726" s="130" t="s">
        <v>1654</v>
      </c>
      <c r="E5726" s="102"/>
      <c r="F5726" s="102"/>
      <c r="G5726" s="95">
        <v>1</v>
      </c>
      <c r="H5726" s="95"/>
      <c r="I5726" s="96"/>
      <c r="J5726" s="96"/>
      <c r="K5726" s="19"/>
      <c r="L5726" s="20"/>
    </row>
    <row r="5727" spans="1:12" ht="47.25" outlineLevel="2">
      <c r="A5727" s="129"/>
      <c r="B5727" s="12" t="str">
        <f>IFERROR(VLOOKUP(D5727,'[1]Перечень товаров'!$A$2:$I9525,2,0),"")</f>
        <v>пм118</v>
      </c>
      <c r="C5727" s="12" t="str">
        <f>IFERROR(VLOOKUP(D5727,'[1]Перечень товаров'!$A$2:$I9525,3,0),"")</f>
        <v>прочее муз</v>
      </c>
      <c r="D5727" s="130" t="s">
        <v>1655</v>
      </c>
      <c r="E5727" s="102"/>
      <c r="F5727" s="102"/>
      <c r="G5727" s="95">
        <v>1</v>
      </c>
      <c r="H5727" s="95"/>
      <c r="I5727" s="96"/>
      <c r="J5727" s="96"/>
      <c r="K5727" s="19"/>
      <c r="L5727" s="20"/>
    </row>
    <row r="5728" spans="1:12" ht="47.25" outlineLevel="2">
      <c r="A5728" s="129"/>
      <c r="B5728" s="12" t="str">
        <f>IFERROR(VLOOKUP(D5728,'[1]Перечень товаров'!$A$2:$I9525,2,0),"")</f>
        <v>пм117</v>
      </c>
      <c r="C5728" s="12" t="str">
        <f>IFERROR(VLOOKUP(D5728,'[1]Перечень товаров'!$A$2:$I9525,3,0),"")</f>
        <v>прочее муз</v>
      </c>
      <c r="D5728" s="130" t="s">
        <v>1656</v>
      </c>
      <c r="E5728" s="102"/>
      <c r="F5728" s="102"/>
      <c r="G5728" s="95">
        <v>2</v>
      </c>
      <c r="H5728" s="95"/>
      <c r="I5728" s="96"/>
      <c r="J5728" s="96"/>
      <c r="K5728" s="19"/>
      <c r="L5728" s="20"/>
    </row>
    <row r="5729" spans="1:12" ht="31.5" outlineLevel="2">
      <c r="A5729" s="129"/>
      <c r="B5729" s="12" t="str">
        <f>IFERROR(VLOOKUP(D5729,'[1]Перечень товаров'!$A$2:$I9525,2,0),"")</f>
        <v>пм116</v>
      </c>
      <c r="C5729" s="12" t="str">
        <f>IFERROR(VLOOKUP(D5729,'[1]Перечень товаров'!$A$2:$I9525,3,0),"")</f>
        <v>прочее муз</v>
      </c>
      <c r="D5729" s="130" t="s">
        <v>1657</v>
      </c>
      <c r="E5729" s="102"/>
      <c r="F5729" s="102"/>
      <c r="G5729" s="95">
        <v>4</v>
      </c>
      <c r="H5729" s="95"/>
      <c r="I5729" s="96"/>
      <c r="J5729" s="96"/>
      <c r="K5729" s="19"/>
      <c r="L5729" s="20"/>
    </row>
    <row r="5730" spans="1:12" ht="31.5" outlineLevel="2">
      <c r="A5730" s="129"/>
      <c r="B5730" s="12" t="str">
        <f>IFERROR(VLOOKUP(D5730,'[1]Перечень товаров'!$A$2:$I9525,2,0),"")</f>
        <v>пм115</v>
      </c>
      <c r="C5730" s="12" t="str">
        <f>IFERROR(VLOOKUP(D5730,'[1]Перечень товаров'!$A$2:$I9525,3,0),"")</f>
        <v>прочее муз</v>
      </c>
      <c r="D5730" s="130" t="s">
        <v>1658</v>
      </c>
      <c r="E5730" s="102"/>
      <c r="F5730" s="102"/>
      <c r="G5730" s="95">
        <v>1</v>
      </c>
      <c r="H5730" s="95"/>
      <c r="I5730" s="96"/>
      <c r="J5730" s="96"/>
      <c r="K5730" s="19"/>
      <c r="L5730" s="20"/>
    </row>
    <row r="5731" spans="1:12" ht="31.5" outlineLevel="2">
      <c r="A5731" s="125"/>
      <c r="B5731" s="12" t="str">
        <f>IFERROR(VLOOKUP(D5731,'[1]Перечень товаров'!$A$2:$I9525,2,0),"")</f>
        <v/>
      </c>
      <c r="C5731" s="12" t="str">
        <f>IFERROR(VLOOKUP(D5731,'[1]Перечень товаров'!$A$2:$I9525,3,0),"")</f>
        <v/>
      </c>
      <c r="D5731" s="126" t="s">
        <v>1659</v>
      </c>
      <c r="E5731" s="79"/>
      <c r="F5731" s="79"/>
      <c r="G5731" s="254"/>
      <c r="H5731" s="254"/>
      <c r="I5731" s="255"/>
      <c r="J5731" s="255"/>
      <c r="K5731" s="19"/>
      <c r="L5731" s="20"/>
    </row>
    <row r="5732" spans="1:12" ht="31.5" outlineLevel="2">
      <c r="A5732" s="129"/>
      <c r="B5732" s="12" t="str">
        <f>IFERROR(VLOOKUP(D5732,'[1]Перечень товаров'!$A$2:$I9525,2,0),"")</f>
        <v>т93</v>
      </c>
      <c r="C5732" s="12" t="str">
        <f>IFERROR(VLOOKUP(D5732,'[1]Перечень товаров'!$A$2:$I9525,3,0),"")</f>
        <v>Техника</v>
      </c>
      <c r="D5732" s="130" t="s">
        <v>1660</v>
      </c>
      <c r="E5732" s="102"/>
      <c r="F5732" s="102"/>
      <c r="G5732" s="95" t="s">
        <v>1661</v>
      </c>
      <c r="H5732" s="95"/>
      <c r="I5732" s="96"/>
      <c r="J5732" s="96"/>
      <c r="K5732" s="19"/>
      <c r="L5732" s="20"/>
    </row>
    <row r="5733" spans="1:12" ht="31.5" outlineLevel="2">
      <c r="A5733" s="129"/>
      <c r="B5733" s="12" t="str">
        <f>IFERROR(VLOOKUP(D5733,'[1]Перечень товаров'!$A$2:$I9525,2,0),"")</f>
        <v>т92</v>
      </c>
      <c r="C5733" s="12" t="str">
        <f>IFERROR(VLOOKUP(D5733,'[1]Перечень товаров'!$A$2:$I9525,3,0),"")</f>
        <v>Техника</v>
      </c>
      <c r="D5733" s="130" t="s">
        <v>1662</v>
      </c>
      <c r="E5733" s="102"/>
      <c r="F5733" s="102"/>
      <c r="G5733" s="95">
        <v>5</v>
      </c>
      <c r="H5733" s="95"/>
      <c r="I5733" s="96"/>
      <c r="J5733" s="96"/>
      <c r="K5733" s="19"/>
      <c r="L5733" s="20"/>
    </row>
    <row r="5734" spans="1:12" outlineLevel="2">
      <c r="A5734" s="129"/>
      <c r="B5734" s="12" t="str">
        <f>IFERROR(VLOOKUP(D5734,'[1]Перечень товаров'!$A$2:$I9525,2,0),"")</f>
        <v>т91</v>
      </c>
      <c r="C5734" s="12" t="str">
        <f>IFERROR(VLOOKUP(D5734,'[1]Перечень товаров'!$A$2:$I9525,3,0),"")</f>
        <v>Техника</v>
      </c>
      <c r="D5734" s="130" t="s">
        <v>1663</v>
      </c>
      <c r="E5734" s="102"/>
      <c r="F5734" s="102"/>
      <c r="G5734" s="95">
        <v>5</v>
      </c>
      <c r="H5734" s="95"/>
      <c r="I5734" s="96"/>
      <c r="J5734" s="96"/>
      <c r="K5734" s="19"/>
      <c r="L5734" s="20"/>
    </row>
    <row r="5735" spans="1:12" outlineLevel="2">
      <c r="A5735" s="129"/>
      <c r="B5735" s="12" t="str">
        <f>IFERROR(VLOOKUP(D5735,'[1]Перечень товаров'!$A$2:$I9525,2,0),"")</f>
        <v>т90</v>
      </c>
      <c r="C5735" s="12" t="str">
        <f>IFERROR(VLOOKUP(D5735,'[1]Перечень товаров'!$A$2:$I9525,3,0),"")</f>
        <v>Техника</v>
      </c>
      <c r="D5735" s="130" t="s">
        <v>1664</v>
      </c>
      <c r="E5735" s="102"/>
      <c r="F5735" s="102"/>
      <c r="G5735" s="95">
        <v>2</v>
      </c>
      <c r="H5735" s="95"/>
      <c r="I5735" s="96"/>
      <c r="J5735" s="96"/>
      <c r="K5735" s="19"/>
      <c r="L5735" s="20"/>
    </row>
    <row r="5736" spans="1:12" ht="31.5" outlineLevel="2">
      <c r="A5736" s="129"/>
      <c r="B5736" s="12" t="str">
        <f>IFERROR(VLOOKUP(D5736,'[1]Перечень товаров'!$A$2:$I9525,2,0),"")</f>
        <v>т89</v>
      </c>
      <c r="C5736" s="12" t="str">
        <f>IFERROR(VLOOKUP(D5736,'[1]Перечень товаров'!$A$2:$I9525,3,0),"")</f>
        <v>Техника</v>
      </c>
      <c r="D5736" s="130" t="s">
        <v>1665</v>
      </c>
      <c r="E5736" s="102"/>
      <c r="F5736" s="102"/>
      <c r="G5736" s="95">
        <v>10</v>
      </c>
      <c r="H5736" s="95"/>
      <c r="I5736" s="96"/>
      <c r="J5736" s="96"/>
      <c r="K5736" s="19"/>
      <c r="L5736" s="20"/>
    </row>
    <row r="5737" spans="1:12" outlineLevel="2">
      <c r="A5737" s="129"/>
      <c r="B5737" s="12" t="str">
        <f>IFERROR(VLOOKUP(D5737,'[1]Перечень товаров'!$A$2:$I9525,2,0),"")</f>
        <v>т88</v>
      </c>
      <c r="C5737" s="12" t="str">
        <f>IFERROR(VLOOKUP(D5737,'[1]Перечень товаров'!$A$2:$I9525,3,0),"")</f>
        <v>Техника</v>
      </c>
      <c r="D5737" s="130" t="s">
        <v>1666</v>
      </c>
      <c r="E5737" s="102"/>
      <c r="F5737" s="102"/>
      <c r="G5737" s="95">
        <v>3</v>
      </c>
      <c r="H5737" s="95"/>
      <c r="I5737" s="96"/>
      <c r="J5737" s="96"/>
      <c r="K5737" s="19"/>
      <c r="L5737" s="20"/>
    </row>
    <row r="5738" spans="1:12" ht="31.5" outlineLevel="2">
      <c r="A5738" s="129"/>
      <c r="B5738" s="12" t="str">
        <f>IFERROR(VLOOKUP(D5738,'[1]Перечень товаров'!$A$2:$I9525,2,0),"")</f>
        <v>пм114</v>
      </c>
      <c r="C5738" s="12" t="str">
        <f>IFERROR(VLOOKUP(D5738,'[1]Перечень товаров'!$A$2:$I9525,3,0),"")</f>
        <v>прочее муз</v>
      </c>
      <c r="D5738" s="130" t="s">
        <v>1667</v>
      </c>
      <c r="E5738" s="102"/>
      <c r="F5738" s="102"/>
      <c r="G5738" s="95">
        <v>1</v>
      </c>
      <c r="H5738" s="95"/>
      <c r="I5738" s="96"/>
      <c r="J5738" s="96"/>
      <c r="K5738" s="19"/>
      <c r="L5738" s="20"/>
    </row>
    <row r="5739" spans="1:12" ht="31.5" outlineLevel="2">
      <c r="A5739" s="129"/>
      <c r="B5739" s="12" t="str">
        <f>IFERROR(VLOOKUP(D5739,'[1]Перечень товаров'!$A$2:$I9525,2,0),"")</f>
        <v>пм113</v>
      </c>
      <c r="C5739" s="12" t="str">
        <f>IFERROR(VLOOKUP(D5739,'[1]Перечень товаров'!$A$2:$I9525,3,0),"")</f>
        <v>прочее муз</v>
      </c>
      <c r="D5739" s="130" t="s">
        <v>1668</v>
      </c>
      <c r="E5739" s="102"/>
      <c r="F5739" s="102"/>
      <c r="G5739" s="95">
        <v>4</v>
      </c>
      <c r="H5739" s="95"/>
      <c r="I5739" s="96"/>
      <c r="J5739" s="96"/>
      <c r="K5739" s="19"/>
      <c r="L5739" s="20"/>
    </row>
    <row r="5740" spans="1:12" ht="31.5" outlineLevel="2">
      <c r="A5740" s="129"/>
      <c r="B5740" s="12" t="str">
        <f>IFERROR(VLOOKUP(D5740,'[1]Перечень товаров'!$A$2:$I9525,2,0),"")</f>
        <v>пм112</v>
      </c>
      <c r="C5740" s="12" t="str">
        <f>IFERROR(VLOOKUP(D5740,'[1]Перечень товаров'!$A$2:$I9525,3,0),"")</f>
        <v>прочее муз</v>
      </c>
      <c r="D5740" s="130" t="s">
        <v>1669</v>
      </c>
      <c r="E5740" s="102"/>
      <c r="F5740" s="102"/>
      <c r="G5740" s="95">
        <v>1</v>
      </c>
      <c r="H5740" s="95"/>
      <c r="I5740" s="96"/>
      <c r="J5740" s="96"/>
      <c r="K5740" s="19"/>
      <c r="L5740" s="20"/>
    </row>
    <row r="5741" spans="1:12" ht="31.5" outlineLevel="2">
      <c r="A5741" s="129"/>
      <c r="B5741" s="12" t="str">
        <f>IFERROR(VLOOKUP(D5741,'[1]Перечень товаров'!$A$2:$I9525,2,0),"")</f>
        <v>д248</v>
      </c>
      <c r="C5741" s="12" t="str">
        <f>IFERROR(VLOOKUP(D5741,'[1]Перечень товаров'!$A$2:$I9525,3,0),"")</f>
        <v>Дидактика</v>
      </c>
      <c r="D5741" s="130" t="s">
        <v>1670</v>
      </c>
      <c r="E5741" s="102"/>
      <c r="F5741" s="102"/>
      <c r="G5741" s="95">
        <v>4</v>
      </c>
      <c r="H5741" s="95"/>
      <c r="I5741" s="96"/>
      <c r="J5741" s="96"/>
      <c r="K5741" s="19"/>
      <c r="L5741" s="20"/>
    </row>
    <row r="5742" spans="1:12" ht="12.75" outlineLevel="1">
      <c r="A5742" s="11"/>
      <c r="B5742" s="12" t="str">
        <f>IFERROR(VLOOKUP(D5742,'[1]Перечень товаров'!$A$2:$I9525,2,0),"")</f>
        <v/>
      </c>
      <c r="C5742" s="12" t="str">
        <f>IFERROR(VLOOKUP(D5742,'[1]Перечень товаров'!$A$2:$I9525,3,0),"")</f>
        <v/>
      </c>
      <c r="D5742" s="27" t="s">
        <v>1671</v>
      </c>
      <c r="E5742" s="14" t="s">
        <v>1672</v>
      </c>
      <c r="F5742" s="14"/>
      <c r="G5742" s="17"/>
      <c r="H5742" s="17"/>
      <c r="I5742" s="57"/>
      <c r="J5742" s="57"/>
      <c r="K5742" s="19"/>
      <c r="L5742" s="20"/>
    </row>
    <row r="5743" spans="1:12" outlineLevel="2">
      <c r="A5743" s="114"/>
      <c r="B5743" s="12" t="str">
        <f>IFERROR(VLOOKUP(D5743,'[1]Перечень товаров'!$A$2:$I9525,2,0),"")</f>
        <v/>
      </c>
      <c r="C5743" s="12" t="str">
        <f>IFERROR(VLOOKUP(D5743,'[1]Перечень товаров'!$A$2:$I9525,3,0),"")</f>
        <v/>
      </c>
      <c r="D5743" s="114" t="s">
        <v>19</v>
      </c>
      <c r="E5743" s="122"/>
      <c r="F5743" s="122"/>
      <c r="G5743" s="123"/>
      <c r="H5743" s="123"/>
      <c r="I5743" s="124"/>
      <c r="J5743" s="124"/>
      <c r="K5743" s="19"/>
      <c r="L5743" s="20"/>
    </row>
    <row r="5744" spans="1:12" outlineLevel="2">
      <c r="A5744" s="34"/>
      <c r="B5744" s="12" t="str">
        <f>IFERROR(VLOOKUP(D5744,'[1]Перечень товаров'!$A$2:$I9525,2,0),"")</f>
        <v>м62</v>
      </c>
      <c r="C5744" s="12" t="str">
        <f>IFERROR(VLOOKUP(D5744,'[1]Перечень товаров'!$A$2:$I9525,3,0),"")</f>
        <v>Мебель</v>
      </c>
      <c r="D5744" s="35" t="s">
        <v>398</v>
      </c>
      <c r="E5744" s="88"/>
      <c r="F5744" s="88"/>
      <c r="G5744" s="59">
        <v>1</v>
      </c>
      <c r="H5744" s="59"/>
      <c r="I5744" s="60"/>
      <c r="J5744" s="60"/>
      <c r="K5744" s="19"/>
      <c r="L5744" s="20"/>
    </row>
    <row r="5745" spans="1:12" outlineLevel="2">
      <c r="A5745" s="34"/>
      <c r="B5745" s="12" t="str">
        <f>IFERROR(VLOOKUP(D5745,'[1]Перечень товаров'!$A$2:$I9525,2,0),"")</f>
        <v>м61</v>
      </c>
      <c r="C5745" s="12" t="str">
        <f>IFERROR(VLOOKUP(D5745,'[1]Перечень товаров'!$A$2:$I9525,3,0),"")</f>
        <v>Мебель</v>
      </c>
      <c r="D5745" s="35" t="s">
        <v>383</v>
      </c>
      <c r="E5745" s="88"/>
      <c r="F5745" s="88"/>
      <c r="G5745" s="59">
        <v>1</v>
      </c>
      <c r="H5745" s="59"/>
      <c r="I5745" s="60"/>
      <c r="J5745" s="60"/>
      <c r="K5745" s="19"/>
      <c r="L5745" s="20"/>
    </row>
    <row r="5746" spans="1:12" outlineLevel="2">
      <c r="A5746" s="34"/>
      <c r="B5746" s="12" t="str">
        <f>IFERROR(VLOOKUP(D5746,'[1]Перечень товаров'!$A$2:$I9525,2,0),"")</f>
        <v>м179</v>
      </c>
      <c r="C5746" s="12" t="str">
        <f>IFERROR(VLOOKUP(D5746,'[1]Перечень товаров'!$A$2:$I9525,3,0),"")</f>
        <v>Мебель</v>
      </c>
      <c r="D5746" s="35" t="s">
        <v>579</v>
      </c>
      <c r="E5746" s="88"/>
      <c r="F5746" s="88"/>
      <c r="G5746" s="159">
        <v>10</v>
      </c>
      <c r="H5746" s="159"/>
      <c r="I5746" s="160"/>
      <c r="J5746" s="160"/>
      <c r="K5746" s="19"/>
      <c r="L5746" s="20"/>
    </row>
    <row r="5747" spans="1:12" outlineLevel="2">
      <c r="A5747" s="34"/>
      <c r="B5747" s="12" t="str">
        <f>IFERROR(VLOOKUP(D5747,'[1]Перечень товаров'!$A$2:$I9525,2,0),"")</f>
        <v>м61</v>
      </c>
      <c r="C5747" s="12" t="str">
        <f>IFERROR(VLOOKUP(D5747,'[1]Перечень товаров'!$A$2:$I9525,3,0),"")</f>
        <v>Мебель</v>
      </c>
      <c r="D5747" s="35" t="s">
        <v>384</v>
      </c>
      <c r="E5747" s="88"/>
      <c r="F5747" s="88"/>
      <c r="G5747" s="159">
        <v>20</v>
      </c>
      <c r="H5747" s="159"/>
      <c r="I5747" s="160"/>
      <c r="J5747" s="160"/>
      <c r="K5747" s="19"/>
      <c r="L5747" s="20"/>
    </row>
    <row r="5748" spans="1:12" outlineLevel="2">
      <c r="A5748" s="22"/>
      <c r="B5748" s="12" t="str">
        <f>IFERROR(VLOOKUP(D5748,'[1]Перечень товаров'!$A$2:$I9525,2,0),"")</f>
        <v>м13</v>
      </c>
      <c r="C5748" s="12" t="str">
        <f>IFERROR(VLOOKUP(D5748,'[1]Перечень товаров'!$A$2:$I9525,3,0),"")</f>
        <v>Мебель</v>
      </c>
      <c r="D5748" s="22" t="s">
        <v>42</v>
      </c>
      <c r="E5748" s="88"/>
      <c r="F5748" s="88"/>
      <c r="G5748" s="48">
        <v>1</v>
      </c>
      <c r="H5748" s="48"/>
      <c r="I5748" s="49"/>
      <c r="J5748" s="49"/>
      <c r="K5748" s="19"/>
      <c r="L5748" s="20"/>
    </row>
    <row r="5749" spans="1:12" outlineLevel="2">
      <c r="A5749" s="21"/>
      <c r="B5749" s="12" t="str">
        <f>IFERROR(VLOOKUP(D5749,'[1]Перечень товаров'!$A$2:$I9525,2,0),"")</f>
        <v>м14</v>
      </c>
      <c r="C5749" s="12" t="str">
        <f>IFERROR(VLOOKUP(D5749,'[1]Перечень товаров'!$A$2:$I9525,3,0),"")</f>
        <v>Мебель</v>
      </c>
      <c r="D5749" s="22" t="s">
        <v>43</v>
      </c>
      <c r="E5749" s="88"/>
      <c r="F5749" s="88"/>
      <c r="G5749" s="48">
        <v>1</v>
      </c>
      <c r="H5749" s="48"/>
      <c r="I5749" s="49"/>
      <c r="J5749" s="49"/>
      <c r="K5749" s="19"/>
      <c r="L5749" s="20"/>
    </row>
    <row r="5750" spans="1:12" outlineLevel="2">
      <c r="A5750" s="21"/>
      <c r="B5750" s="12" t="str">
        <f>IFERROR(VLOOKUP(D5750,'[1]Перечень товаров'!$A$2:$I9525,2,0),"")</f>
        <v>п2</v>
      </c>
      <c r="C5750" s="12" t="str">
        <f>IFERROR(VLOOKUP(D5750,'[1]Перечень товаров'!$A$2:$I9525,3,0),"")</f>
        <v>Прочее</v>
      </c>
      <c r="D5750" s="22" t="s">
        <v>46</v>
      </c>
      <c r="E5750" s="88"/>
      <c r="F5750" s="88"/>
      <c r="G5750" s="24">
        <v>1</v>
      </c>
      <c r="H5750" s="24"/>
      <c r="I5750" s="25"/>
      <c r="J5750" s="25"/>
      <c r="K5750" s="19"/>
      <c r="L5750" s="20"/>
    </row>
    <row r="5751" spans="1:12" ht="31.5" outlineLevel="2">
      <c r="A5751" s="21"/>
      <c r="B5751" s="12" t="str">
        <f>IFERROR(VLOOKUP(D5751,'[1]Перечень товаров'!$A$2:$I9525,2,0),"")</f>
        <v>м21</v>
      </c>
      <c r="C5751" s="12" t="str">
        <f>IFERROR(VLOOKUP(D5751,'[1]Перечень товаров'!$A$2:$I9525,3,0),"")</f>
        <v>Мебель</v>
      </c>
      <c r="D5751" s="22" t="s">
        <v>58</v>
      </c>
      <c r="E5751" s="88"/>
      <c r="F5751" s="88"/>
      <c r="G5751" s="24">
        <v>1</v>
      </c>
      <c r="H5751" s="24"/>
      <c r="I5751" s="25"/>
      <c r="J5751" s="25"/>
      <c r="K5751" s="19"/>
      <c r="L5751" s="20"/>
    </row>
    <row r="5752" spans="1:12" outlineLevel="2">
      <c r="A5752" s="113"/>
      <c r="B5752" s="12" t="str">
        <f>IFERROR(VLOOKUP(D5752,'[1]Перечень товаров'!$A$2:$I9525,2,0),"")</f>
        <v/>
      </c>
      <c r="C5752" s="12" t="str">
        <f>IFERROR(VLOOKUP(D5752,'[1]Перечень товаров'!$A$2:$I9525,3,0),"")</f>
        <v/>
      </c>
      <c r="D5752" s="114" t="s">
        <v>391</v>
      </c>
      <c r="E5752" s="122"/>
      <c r="F5752" s="122"/>
      <c r="G5752" s="123"/>
      <c r="H5752" s="123"/>
      <c r="I5752" s="124"/>
      <c r="J5752" s="124"/>
      <c r="K5752" s="19"/>
      <c r="L5752" s="20"/>
    </row>
    <row r="5753" spans="1:12" outlineLevel="2">
      <c r="A5753" s="28"/>
      <c r="B5753" s="12" t="str">
        <f>IFERROR(VLOOKUP(D5753,'[1]Перечень товаров'!$A$2:$I9525,2,0),"")</f>
        <v>тм1</v>
      </c>
      <c r="C5753" s="12" t="str">
        <f>IFERROR(VLOOKUP(D5753,'[1]Перечень товаров'!$A$2:$I9525,3,0),"")</f>
        <v>Техника муз</v>
      </c>
      <c r="D5753" s="29" t="s">
        <v>14</v>
      </c>
      <c r="E5753" s="30"/>
      <c r="F5753" s="30"/>
      <c r="G5753" s="31">
        <v>1</v>
      </c>
      <c r="H5753" s="31"/>
      <c r="I5753" s="32"/>
      <c r="J5753" s="32"/>
      <c r="K5753" s="19"/>
      <c r="L5753" s="20"/>
    </row>
    <row r="5754" spans="1:12" outlineLevel="2">
      <c r="A5754" s="28"/>
      <c r="B5754" s="12" t="str">
        <f>IFERROR(VLOOKUP(D5754,'[1]Перечень товаров'!$A$2:$I9525,2,0),"")</f>
        <v>м66</v>
      </c>
      <c r="C5754" s="12" t="str">
        <f>IFERROR(VLOOKUP(D5754,'[1]Перечень товаров'!$A$2:$I9525,3,0),"")</f>
        <v>Мебель</v>
      </c>
      <c r="D5754" s="29" t="s">
        <v>401</v>
      </c>
      <c r="E5754" s="30"/>
      <c r="F5754" s="30"/>
      <c r="G5754" s="31">
        <v>10</v>
      </c>
      <c r="H5754" s="31"/>
      <c r="I5754" s="32"/>
      <c r="J5754" s="32"/>
      <c r="K5754" s="19"/>
      <c r="L5754" s="20"/>
    </row>
    <row r="5755" spans="1:12" outlineLevel="2">
      <c r="A5755" s="28"/>
      <c r="B5755" s="12" t="str">
        <f>IFERROR(VLOOKUP(D5755,'[1]Перечень товаров'!$A$2:$I9525,2,0),"")</f>
        <v>м51</v>
      </c>
      <c r="C5755" s="12" t="str">
        <f>IFERROR(VLOOKUP(D5755,'[1]Перечень товаров'!$A$2:$I9525,3,0),"")</f>
        <v>Мебель</v>
      </c>
      <c r="D5755" s="29" t="s">
        <v>318</v>
      </c>
      <c r="E5755" s="30"/>
      <c r="F5755" s="30"/>
      <c r="G5755" s="31">
        <v>6</v>
      </c>
      <c r="H5755" s="31"/>
      <c r="I5755" s="32"/>
      <c r="J5755" s="32"/>
      <c r="K5755" s="19"/>
      <c r="L5755" s="20"/>
    </row>
    <row r="5756" spans="1:12" outlineLevel="2">
      <c r="A5756" s="28"/>
      <c r="B5756" s="12" t="str">
        <f>IFERROR(VLOOKUP(D5756,'[1]Перечень товаров'!$A$2:$I9525,2,0),"")</f>
        <v>м67</v>
      </c>
      <c r="C5756" s="12" t="str">
        <f>IFERROR(VLOOKUP(D5756,'[1]Перечень товаров'!$A$2:$I9525,3,0),"")</f>
        <v>Мебель</v>
      </c>
      <c r="D5756" s="29" t="s">
        <v>402</v>
      </c>
      <c r="E5756" s="30"/>
      <c r="F5756" s="30"/>
      <c r="G5756" s="31">
        <v>2</v>
      </c>
      <c r="H5756" s="31"/>
      <c r="I5756" s="32"/>
      <c r="J5756" s="32"/>
      <c r="K5756" s="19"/>
      <c r="L5756" s="20"/>
    </row>
    <row r="5757" spans="1:12" ht="31.5" outlineLevel="2">
      <c r="A5757" s="28"/>
      <c r="B5757" s="12" t="str">
        <f>IFERROR(VLOOKUP(D5757,'[1]Перечень товаров'!$A$2:$I9525,2,0),"")</f>
        <v>м68</v>
      </c>
      <c r="C5757" s="12" t="str">
        <f>IFERROR(VLOOKUP(D5757,'[1]Перечень товаров'!$A$2:$I9525,3,0),"")</f>
        <v>Мебель</v>
      </c>
      <c r="D5757" s="29" t="s">
        <v>403</v>
      </c>
      <c r="E5757" s="30"/>
      <c r="F5757" s="30"/>
      <c r="G5757" s="31">
        <v>2</v>
      </c>
      <c r="H5757" s="31"/>
      <c r="I5757" s="32"/>
      <c r="J5757" s="32"/>
      <c r="K5757" s="19"/>
      <c r="L5757" s="20"/>
    </row>
    <row r="5758" spans="1:12" ht="31.5" outlineLevel="2">
      <c r="A5758" s="28"/>
      <c r="B5758" s="12" t="str">
        <f>IFERROR(VLOOKUP(D5758,'[1]Перечень товаров'!$A$2:$I9525,2,0),"")</f>
        <v>м69</v>
      </c>
      <c r="C5758" s="12" t="str">
        <f>IFERROR(VLOOKUP(D5758,'[1]Перечень товаров'!$A$2:$I9525,3,0),"")</f>
        <v>Мебель</v>
      </c>
      <c r="D5758" s="29" t="s">
        <v>404</v>
      </c>
      <c r="E5758" s="30"/>
      <c r="F5758" s="30"/>
      <c r="G5758" s="31">
        <v>2</v>
      </c>
      <c r="H5758" s="31"/>
      <c r="I5758" s="32"/>
      <c r="J5758" s="32"/>
      <c r="K5758" s="19"/>
      <c r="L5758" s="20"/>
    </row>
    <row r="5759" spans="1:12" outlineLevel="1">
      <c r="A5759" s="21"/>
      <c r="B5759" s="12" t="str">
        <f>IFERROR(VLOOKUP(D5759,'[1]Перечень товаров'!$A$2:$I9525,2,0),"")</f>
        <v/>
      </c>
      <c r="C5759" s="12" t="str">
        <f>IFERROR(VLOOKUP(D5759,'[1]Перечень товаров'!$A$2:$I9525,3,0),"")</f>
        <v/>
      </c>
      <c r="D5759" s="22" t="s">
        <v>311</v>
      </c>
      <c r="E5759" s="23" t="s">
        <v>1673</v>
      </c>
      <c r="F5759" s="23"/>
      <c r="G5759" s="24"/>
      <c r="H5759" s="24"/>
      <c r="I5759" s="25"/>
      <c r="J5759" s="25"/>
      <c r="K5759" s="19"/>
      <c r="L5759" s="20"/>
    </row>
    <row r="5760" spans="1:12" ht="12.75" outlineLevel="1">
      <c r="A5760" s="11"/>
      <c r="B5760" s="12" t="str">
        <f>IFERROR(VLOOKUP(D5760,'[1]Перечень товаров'!$A$2:$I9525,2,0),"")</f>
        <v/>
      </c>
      <c r="C5760" s="12" t="str">
        <f>IFERROR(VLOOKUP(D5760,'[1]Перечень товаров'!$A$2:$I9525,3,0),"")</f>
        <v/>
      </c>
      <c r="D5760" s="27" t="s">
        <v>521</v>
      </c>
      <c r="E5760" s="99">
        <v>46055</v>
      </c>
      <c r="F5760" s="99"/>
      <c r="G5760" s="100"/>
      <c r="H5760" s="100"/>
      <c r="I5760" s="101"/>
      <c r="J5760" s="101"/>
      <c r="K5760" s="19"/>
      <c r="L5760" s="20"/>
    </row>
    <row r="5761" spans="1:12" outlineLevel="2">
      <c r="A5761" s="22"/>
      <c r="B5761" s="12" t="str">
        <f>IFERROR(VLOOKUP(D5761,'[1]Перечень товаров'!$A$2:$I9525,2,0),"")</f>
        <v>п25</v>
      </c>
      <c r="C5761" s="12" t="str">
        <f>IFERROR(VLOOKUP(D5761,'[1]Перечень товаров'!$A$2:$I9525,3,0),"")</f>
        <v>Прочее</v>
      </c>
      <c r="D5761" s="22" t="s">
        <v>360</v>
      </c>
      <c r="E5761" s="102"/>
      <c r="F5761" s="102"/>
      <c r="G5761" s="48">
        <v>3</v>
      </c>
      <c r="H5761" s="48"/>
      <c r="I5761" s="49"/>
      <c r="J5761" s="49"/>
      <c r="K5761" s="33"/>
      <c r="L5761" s="20"/>
    </row>
    <row r="5762" spans="1:12" outlineLevel="2">
      <c r="A5762" s="21"/>
      <c r="B5762" s="12" t="str">
        <f>IFERROR(VLOOKUP(D5762,'[1]Перечень товаров'!$A$2:$I9525,2,0),"")</f>
        <v>п26</v>
      </c>
      <c r="C5762" s="12" t="str">
        <f>IFERROR(VLOOKUP(D5762,'[1]Перечень товаров'!$A$2:$I9525,3,0),"")</f>
        <v>Прочее</v>
      </c>
      <c r="D5762" s="22" t="s">
        <v>361</v>
      </c>
      <c r="E5762" s="102"/>
      <c r="F5762" s="102"/>
      <c r="G5762" s="48">
        <v>2</v>
      </c>
      <c r="H5762" s="48"/>
      <c r="I5762" s="49"/>
      <c r="J5762" s="49"/>
      <c r="K5762" s="33"/>
      <c r="L5762" s="20"/>
    </row>
    <row r="5763" spans="1:12" outlineLevel="2">
      <c r="A5763" s="21"/>
      <c r="B5763" s="12" t="str">
        <f>IFERROR(VLOOKUP(D5763,'[1]Перечень товаров'!$A$2:$I9525,2,0),"")</f>
        <v>п27</v>
      </c>
      <c r="C5763" s="12" t="str">
        <f>IFERROR(VLOOKUP(D5763,'[1]Перечень товаров'!$A$2:$I9525,3,0),"")</f>
        <v>Прочее</v>
      </c>
      <c r="D5763" s="22" t="s">
        <v>362</v>
      </c>
      <c r="E5763" s="102"/>
      <c r="F5763" s="102"/>
      <c r="G5763" s="48">
        <v>2</v>
      </c>
      <c r="H5763" s="48"/>
      <c r="I5763" s="49"/>
      <c r="J5763" s="49"/>
      <c r="K5763" s="33"/>
      <c r="L5763" s="20"/>
    </row>
    <row r="5764" spans="1:12" outlineLevel="2">
      <c r="A5764" s="21"/>
      <c r="B5764" s="12" t="str">
        <f>IFERROR(VLOOKUP(D5764,'[1]Перечень товаров'!$A$2:$I9525,2,0),"")</f>
        <v>п28</v>
      </c>
      <c r="C5764" s="12" t="str">
        <f>IFERROR(VLOOKUP(D5764,'[1]Перечень товаров'!$A$2:$I9525,3,0),"")</f>
        <v>Прочее</v>
      </c>
      <c r="D5764" s="22" t="s">
        <v>363</v>
      </c>
      <c r="E5764" s="102"/>
      <c r="F5764" s="102"/>
      <c r="G5764" s="48">
        <v>1</v>
      </c>
      <c r="H5764" s="48"/>
      <c r="I5764" s="49"/>
      <c r="J5764" s="49"/>
      <c r="K5764" s="33"/>
      <c r="L5764" s="20"/>
    </row>
    <row r="5765" spans="1:12" outlineLevel="2">
      <c r="A5765" s="21"/>
      <c r="B5765" s="12" t="str">
        <f>IFERROR(VLOOKUP(D5765,'[1]Перечень товаров'!$A$2:$I9525,2,0),"")</f>
        <v>п29</v>
      </c>
      <c r="C5765" s="12" t="str">
        <f>IFERROR(VLOOKUP(D5765,'[1]Перечень товаров'!$A$2:$I9525,3,0),"")</f>
        <v>Прочее</v>
      </c>
      <c r="D5765" s="22" t="s">
        <v>364</v>
      </c>
      <c r="E5765" s="102"/>
      <c r="F5765" s="102"/>
      <c r="G5765" s="48">
        <v>6</v>
      </c>
      <c r="H5765" s="48"/>
      <c r="I5765" s="49"/>
      <c r="J5765" s="49"/>
      <c r="K5765" s="33"/>
      <c r="L5765" s="20"/>
    </row>
    <row r="5766" spans="1:12" outlineLevel="2">
      <c r="A5766" s="21"/>
      <c r="B5766" s="12" t="str">
        <f>IFERROR(VLOOKUP(D5766,'[1]Перечень товаров'!$A$2:$I9525,2,0),"")</f>
        <v>п30</v>
      </c>
      <c r="C5766" s="12" t="str">
        <f>IFERROR(VLOOKUP(D5766,'[1]Перечень товаров'!$A$2:$I9525,3,0),"")</f>
        <v>Прочее</v>
      </c>
      <c r="D5766" s="22" t="s">
        <v>365</v>
      </c>
      <c r="E5766" s="102"/>
      <c r="F5766" s="102"/>
      <c r="G5766" s="48">
        <v>2</v>
      </c>
      <c r="H5766" s="48"/>
      <c r="I5766" s="49"/>
      <c r="J5766" s="49"/>
      <c r="K5766" s="33"/>
      <c r="L5766" s="20"/>
    </row>
    <row r="5767" spans="1:12" ht="31.5" outlineLevel="2">
      <c r="A5767" s="21"/>
      <c r="B5767" s="12" t="str">
        <f>IFERROR(VLOOKUP(D5767,'[1]Перечень товаров'!$A$2:$I9525,2,0),"")</f>
        <v>п31</v>
      </c>
      <c r="C5767" s="12" t="str">
        <f>IFERROR(VLOOKUP(D5767,'[1]Перечень товаров'!$A$2:$I9525,3,0),"")</f>
        <v>Прочее</v>
      </c>
      <c r="D5767" s="22" t="s">
        <v>366</v>
      </c>
      <c r="E5767" s="102"/>
      <c r="F5767" s="102"/>
      <c r="G5767" s="48">
        <v>1</v>
      </c>
      <c r="H5767" s="48"/>
      <c r="I5767" s="49"/>
      <c r="J5767" s="49"/>
      <c r="K5767" s="33"/>
      <c r="L5767" s="20"/>
    </row>
    <row r="5768" spans="1:12" ht="31.5" outlineLevel="2">
      <c r="A5768" s="21"/>
      <c r="B5768" s="12" t="str">
        <f>IFERROR(VLOOKUP(D5768,'[1]Перечень товаров'!$A$2:$I9525,2,0),"")</f>
        <v>п32</v>
      </c>
      <c r="C5768" s="12" t="str">
        <f>IFERROR(VLOOKUP(D5768,'[1]Перечень товаров'!$A$2:$I9525,3,0),"")</f>
        <v>Прочее</v>
      </c>
      <c r="D5768" s="22" t="s">
        <v>367</v>
      </c>
      <c r="E5768" s="102"/>
      <c r="F5768" s="102"/>
      <c r="G5768" s="48">
        <v>2</v>
      </c>
      <c r="H5768" s="48"/>
      <c r="I5768" s="49"/>
      <c r="J5768" s="49"/>
      <c r="K5768" s="33"/>
      <c r="L5768" s="20"/>
    </row>
    <row r="5769" spans="1:12" ht="12.75" outlineLevel="1">
      <c r="A5769" s="11"/>
      <c r="B5769" s="12" t="str">
        <f>IFERROR(VLOOKUP(D5769,'[1]Перечень товаров'!$A$2:$I9525,2,0),"")</f>
        <v/>
      </c>
      <c r="C5769" s="12" t="str">
        <f>IFERROR(VLOOKUP(D5769,'[1]Перечень товаров'!$A$2:$I9525,3,0),"")</f>
        <v/>
      </c>
      <c r="D5769" s="27" t="s">
        <v>521</v>
      </c>
      <c r="E5769" s="99">
        <v>46055</v>
      </c>
      <c r="F5769" s="99"/>
      <c r="G5769" s="100"/>
      <c r="H5769" s="100"/>
      <c r="I5769" s="101"/>
      <c r="J5769" s="101"/>
      <c r="K5769" s="19"/>
      <c r="L5769" s="20"/>
    </row>
    <row r="5770" spans="1:12" outlineLevel="2">
      <c r="A5770" s="22"/>
      <c r="B5770" s="12" t="str">
        <f>IFERROR(VLOOKUP(D5770,'[1]Перечень товаров'!$A$2:$I9525,2,0),"")</f>
        <v>п25</v>
      </c>
      <c r="C5770" s="12" t="str">
        <f>IFERROR(VLOOKUP(D5770,'[1]Перечень товаров'!$A$2:$I9525,3,0),"")</f>
        <v>Прочее</v>
      </c>
      <c r="D5770" s="22" t="s">
        <v>360</v>
      </c>
      <c r="E5770" s="102"/>
      <c r="F5770" s="102"/>
      <c r="G5770" s="48">
        <v>3</v>
      </c>
      <c r="H5770" s="48"/>
      <c r="I5770" s="49"/>
      <c r="J5770" s="49"/>
      <c r="K5770" s="33"/>
      <c r="L5770" s="20"/>
    </row>
    <row r="5771" spans="1:12" outlineLevel="2">
      <c r="A5771" s="21"/>
      <c r="B5771" s="12" t="str">
        <f>IFERROR(VLOOKUP(D5771,'[1]Перечень товаров'!$A$2:$I9525,2,0),"")</f>
        <v>п26</v>
      </c>
      <c r="C5771" s="12" t="str">
        <f>IFERROR(VLOOKUP(D5771,'[1]Перечень товаров'!$A$2:$I9525,3,0),"")</f>
        <v>Прочее</v>
      </c>
      <c r="D5771" s="22" t="s">
        <v>361</v>
      </c>
      <c r="E5771" s="102"/>
      <c r="F5771" s="102"/>
      <c r="G5771" s="48">
        <v>2</v>
      </c>
      <c r="H5771" s="48"/>
      <c r="I5771" s="49"/>
      <c r="J5771" s="49"/>
      <c r="K5771" s="33"/>
      <c r="L5771" s="20"/>
    </row>
    <row r="5772" spans="1:12" outlineLevel="2">
      <c r="A5772" s="21"/>
      <c r="B5772" s="12" t="str">
        <f>IFERROR(VLOOKUP(D5772,'[1]Перечень товаров'!$A$2:$I9525,2,0),"")</f>
        <v>п27</v>
      </c>
      <c r="C5772" s="12" t="str">
        <f>IFERROR(VLOOKUP(D5772,'[1]Перечень товаров'!$A$2:$I9525,3,0),"")</f>
        <v>Прочее</v>
      </c>
      <c r="D5772" s="22" t="s">
        <v>362</v>
      </c>
      <c r="E5772" s="102"/>
      <c r="F5772" s="102"/>
      <c r="G5772" s="48">
        <v>2</v>
      </c>
      <c r="H5772" s="48"/>
      <c r="I5772" s="49"/>
      <c r="J5772" s="49"/>
      <c r="K5772" s="33"/>
      <c r="L5772" s="20"/>
    </row>
    <row r="5773" spans="1:12" outlineLevel="2">
      <c r="A5773" s="21"/>
      <c r="B5773" s="12" t="str">
        <f>IFERROR(VLOOKUP(D5773,'[1]Перечень товаров'!$A$2:$I9525,2,0),"")</f>
        <v>п28</v>
      </c>
      <c r="C5773" s="12" t="str">
        <f>IFERROR(VLOOKUP(D5773,'[1]Перечень товаров'!$A$2:$I9525,3,0),"")</f>
        <v>Прочее</v>
      </c>
      <c r="D5773" s="22" t="s">
        <v>363</v>
      </c>
      <c r="E5773" s="102"/>
      <c r="F5773" s="102"/>
      <c r="G5773" s="48">
        <v>1</v>
      </c>
      <c r="H5773" s="48"/>
      <c r="I5773" s="49"/>
      <c r="J5773" s="49"/>
      <c r="K5773" s="33"/>
      <c r="L5773" s="20"/>
    </row>
    <row r="5774" spans="1:12" outlineLevel="2">
      <c r="A5774" s="21"/>
      <c r="B5774" s="12" t="str">
        <f>IFERROR(VLOOKUP(D5774,'[1]Перечень товаров'!$A$2:$I9525,2,0),"")</f>
        <v>п29</v>
      </c>
      <c r="C5774" s="12" t="str">
        <f>IFERROR(VLOOKUP(D5774,'[1]Перечень товаров'!$A$2:$I9525,3,0),"")</f>
        <v>Прочее</v>
      </c>
      <c r="D5774" s="22" t="s">
        <v>364</v>
      </c>
      <c r="E5774" s="102"/>
      <c r="F5774" s="102"/>
      <c r="G5774" s="48">
        <v>6</v>
      </c>
      <c r="H5774" s="48"/>
      <c r="I5774" s="49"/>
      <c r="J5774" s="49"/>
      <c r="K5774" s="33"/>
      <c r="L5774" s="20"/>
    </row>
    <row r="5775" spans="1:12" outlineLevel="2">
      <c r="A5775" s="21"/>
      <c r="B5775" s="12" t="str">
        <f>IFERROR(VLOOKUP(D5775,'[1]Перечень товаров'!$A$2:$I9525,2,0),"")</f>
        <v>п30</v>
      </c>
      <c r="C5775" s="12" t="str">
        <f>IFERROR(VLOOKUP(D5775,'[1]Перечень товаров'!$A$2:$I9525,3,0),"")</f>
        <v>Прочее</v>
      </c>
      <c r="D5775" s="22" t="s">
        <v>365</v>
      </c>
      <c r="E5775" s="102"/>
      <c r="F5775" s="102"/>
      <c r="G5775" s="48">
        <v>2</v>
      </c>
      <c r="H5775" s="48"/>
      <c r="I5775" s="49"/>
      <c r="J5775" s="49"/>
      <c r="K5775" s="33"/>
      <c r="L5775" s="20"/>
    </row>
    <row r="5776" spans="1:12" ht="31.5" outlineLevel="2">
      <c r="A5776" s="21"/>
      <c r="B5776" s="12" t="str">
        <f>IFERROR(VLOOKUP(D5776,'[1]Перечень товаров'!$A$2:$I9525,2,0),"")</f>
        <v>п31</v>
      </c>
      <c r="C5776" s="12" t="str">
        <f>IFERROR(VLOOKUP(D5776,'[1]Перечень товаров'!$A$2:$I9525,3,0),"")</f>
        <v>Прочее</v>
      </c>
      <c r="D5776" s="22" t="s">
        <v>366</v>
      </c>
      <c r="E5776" s="102"/>
      <c r="F5776" s="102"/>
      <c r="G5776" s="48">
        <v>1</v>
      </c>
      <c r="H5776" s="48"/>
      <c r="I5776" s="49"/>
      <c r="J5776" s="49"/>
      <c r="K5776" s="33"/>
      <c r="L5776" s="20"/>
    </row>
    <row r="5777" spans="1:12" ht="31.5" outlineLevel="2">
      <c r="A5777" s="21"/>
      <c r="B5777" s="12" t="str">
        <f>IFERROR(VLOOKUP(D5777,'[1]Перечень товаров'!$A$2:$I9525,2,0),"")</f>
        <v>п32</v>
      </c>
      <c r="C5777" s="12" t="str">
        <f>IFERROR(VLOOKUP(D5777,'[1]Перечень товаров'!$A$2:$I9525,3,0),"")</f>
        <v>Прочее</v>
      </c>
      <c r="D5777" s="22" t="s">
        <v>367</v>
      </c>
      <c r="E5777" s="102"/>
      <c r="F5777" s="102"/>
      <c r="G5777" s="48">
        <v>2</v>
      </c>
      <c r="H5777" s="48"/>
      <c r="I5777" s="49"/>
      <c r="J5777" s="49"/>
      <c r="K5777" s="33"/>
      <c r="L5777" s="20"/>
    </row>
    <row r="5778" spans="1:12" outlineLevel="1">
      <c r="A5778" s="21"/>
      <c r="B5778" s="12" t="str">
        <f>IFERROR(VLOOKUP(D5778,'[1]Перечень товаров'!$A$2:$I9525,2,0),"")</f>
        <v/>
      </c>
      <c r="C5778" s="12" t="str">
        <f>IFERROR(VLOOKUP(D5778,'[1]Перечень товаров'!$A$2:$I9525,3,0),"")</f>
        <v/>
      </c>
      <c r="D5778" s="22" t="s">
        <v>311</v>
      </c>
      <c r="E5778" s="23" t="s">
        <v>1674</v>
      </c>
      <c r="F5778" s="23"/>
      <c r="G5778" s="24"/>
      <c r="H5778" s="24"/>
      <c r="I5778" s="25"/>
      <c r="J5778" s="25"/>
      <c r="K5778" s="19"/>
      <c r="L5778" s="20"/>
    </row>
    <row r="5779" spans="1:12" ht="12.75" outlineLevel="1">
      <c r="A5779" s="11"/>
      <c r="B5779" s="12" t="str">
        <f>IFERROR(VLOOKUP(D5779,'[1]Перечень товаров'!$A$2:$I9525,2,0),"")</f>
        <v/>
      </c>
      <c r="C5779" s="12" t="str">
        <f>IFERROR(VLOOKUP(D5779,'[1]Перечень товаров'!$A$2:$I9525,3,0),"")</f>
        <v/>
      </c>
      <c r="D5779" s="27" t="s">
        <v>1675</v>
      </c>
      <c r="E5779" s="107">
        <v>46277</v>
      </c>
      <c r="F5779" s="107"/>
      <c r="G5779" s="100"/>
      <c r="H5779" s="100"/>
      <c r="I5779" s="101"/>
      <c r="J5779" s="101"/>
      <c r="K5779" s="19"/>
      <c r="L5779" s="20"/>
    </row>
    <row r="5780" spans="1:12" ht="12.75" outlineLevel="2">
      <c r="A5780" s="77"/>
      <c r="B5780" s="12" t="str">
        <f>IFERROR(VLOOKUP(D5780,'[1]Перечень товаров'!$A$2:$I9525,2,0),"")</f>
        <v/>
      </c>
      <c r="C5780" s="12" t="str">
        <f>IFERROR(VLOOKUP(D5780,'[1]Перечень товаров'!$A$2:$I9525,3,0),"")</f>
        <v/>
      </c>
      <c r="D5780" s="78" t="s">
        <v>931</v>
      </c>
      <c r="E5780" s="45"/>
      <c r="F5780" s="45"/>
      <c r="G5780" s="17"/>
      <c r="H5780" s="17"/>
      <c r="I5780" s="57"/>
      <c r="J5780" s="57"/>
      <c r="K5780" s="19"/>
      <c r="L5780" s="20"/>
    </row>
    <row r="5781" spans="1:12" ht="31.5" outlineLevel="2">
      <c r="A5781" s="28"/>
      <c r="B5781" s="12" t="str">
        <f>IFERROR(VLOOKUP(D5781,'[1]Перечень товаров'!$A$2:$I9525,2,0),"")</f>
        <v>тм75</v>
      </c>
      <c r="C5781" s="12" t="str">
        <f>IFERROR(VLOOKUP(D5781,'[1]Перечень товаров'!$A$2:$I9525,3,0),"")</f>
        <v>Техника муз</v>
      </c>
      <c r="D5781" s="29" t="s">
        <v>422</v>
      </c>
      <c r="E5781" s="23"/>
      <c r="F5781" s="23"/>
      <c r="G5781" s="24">
        <v>1</v>
      </c>
      <c r="H5781" s="24"/>
      <c r="I5781" s="25"/>
      <c r="J5781" s="25"/>
      <c r="K5781" s="19"/>
      <c r="L5781" s="20"/>
    </row>
    <row r="5782" spans="1:12" outlineLevel="2">
      <c r="A5782" s="28"/>
      <c r="B5782" s="12" t="str">
        <f>IFERROR(VLOOKUP(D5782,'[1]Перечень товаров'!$A$2:$I9525,2,0),"")</f>
        <v>пм217</v>
      </c>
      <c r="C5782" s="12" t="str">
        <f>IFERROR(VLOOKUP(D5782,'[1]Перечень товаров'!$A$2:$I9525,3,0),"")</f>
        <v>прочее муз</v>
      </c>
      <c r="D5782" s="29" t="s">
        <v>932</v>
      </c>
      <c r="E5782" s="23"/>
      <c r="F5782" s="23"/>
      <c r="G5782" s="24">
        <v>1</v>
      </c>
      <c r="H5782" s="24"/>
      <c r="I5782" s="25"/>
      <c r="J5782" s="25"/>
      <c r="K5782" s="19"/>
      <c r="L5782" s="20"/>
    </row>
    <row r="5783" spans="1:12" ht="31.5" outlineLevel="2">
      <c r="A5783" s="28"/>
      <c r="B5783" s="12" t="str">
        <f>IFERROR(VLOOKUP(D5783,'[1]Перечень товаров'!$A$2:$I9525,2,0),"")</f>
        <v>пм216</v>
      </c>
      <c r="C5783" s="12" t="str">
        <f>IFERROR(VLOOKUP(D5783,'[1]Перечень товаров'!$A$2:$I9525,3,0),"")</f>
        <v>прочее муз</v>
      </c>
      <c r="D5783" s="29" t="s">
        <v>933</v>
      </c>
      <c r="E5783" s="23"/>
      <c r="F5783" s="23"/>
      <c r="G5783" s="24">
        <v>2</v>
      </c>
      <c r="H5783" s="24"/>
      <c r="I5783" s="25"/>
      <c r="J5783" s="25"/>
      <c r="K5783" s="19"/>
      <c r="L5783" s="20"/>
    </row>
    <row r="5784" spans="1:12" ht="15" outlineLevel="2">
      <c r="A5784" s="116"/>
      <c r="B5784" s="12" t="str">
        <f>IFERROR(VLOOKUP(D5784,'[1]Перечень товаров'!$A$2:$I9525,2,0),"")</f>
        <v/>
      </c>
      <c r="C5784" s="12" t="str">
        <f>IFERROR(VLOOKUP(D5784,'[1]Перечень товаров'!$A$2:$I9525,3,0),"")</f>
        <v/>
      </c>
      <c r="D5784" s="117" t="s">
        <v>19</v>
      </c>
      <c r="E5784" s="45"/>
      <c r="F5784" s="45"/>
      <c r="G5784" s="17"/>
      <c r="H5784" s="17"/>
      <c r="I5784" s="57"/>
      <c r="J5784" s="57"/>
      <c r="K5784" s="19"/>
      <c r="L5784" s="20"/>
    </row>
    <row r="5785" spans="1:12" outlineLevel="2">
      <c r="A5785" s="34"/>
      <c r="B5785" s="12" t="str">
        <f>IFERROR(VLOOKUP(D5785,'[1]Перечень товаров'!$A$2:$I9525,2,0),"")</f>
        <v>м62</v>
      </c>
      <c r="C5785" s="12" t="str">
        <f>IFERROR(VLOOKUP(D5785,'[1]Перечень товаров'!$A$2:$I9525,3,0),"")</f>
        <v>Мебель</v>
      </c>
      <c r="D5785" s="35" t="s">
        <v>398</v>
      </c>
      <c r="E5785" s="23"/>
      <c r="F5785" s="23"/>
      <c r="G5785" s="24">
        <v>1</v>
      </c>
      <c r="H5785" s="24"/>
      <c r="I5785" s="25"/>
      <c r="J5785" s="25"/>
      <c r="K5785" s="19"/>
      <c r="L5785" s="20"/>
    </row>
    <row r="5786" spans="1:12" outlineLevel="2">
      <c r="A5786" s="34"/>
      <c r="B5786" s="12" t="str">
        <f>IFERROR(VLOOKUP(D5786,'[1]Перечень товаров'!$A$2:$I9525,2,0),"")</f>
        <v>м61</v>
      </c>
      <c r="C5786" s="12" t="str">
        <f>IFERROR(VLOOKUP(D5786,'[1]Перечень товаров'!$A$2:$I9525,3,0),"")</f>
        <v>Мебель</v>
      </c>
      <c r="D5786" s="35" t="s">
        <v>383</v>
      </c>
      <c r="E5786" s="23"/>
      <c r="F5786" s="23"/>
      <c r="G5786" s="24">
        <v>1</v>
      </c>
      <c r="H5786" s="24"/>
      <c r="I5786" s="25"/>
      <c r="J5786" s="25"/>
      <c r="K5786" s="19"/>
      <c r="L5786" s="20"/>
    </row>
    <row r="5787" spans="1:12" outlineLevel="2">
      <c r="A5787" s="34"/>
      <c r="B5787" s="12" t="str">
        <f>IFERROR(VLOOKUP(D5787,'[1]Перечень товаров'!$A$2:$I9525,2,0),"")</f>
        <v>м209</v>
      </c>
      <c r="C5787" s="12" t="str">
        <f>IFERROR(VLOOKUP(D5787,'[1]Перечень товаров'!$A$2:$I9525,3,0),"")</f>
        <v>Мебель</v>
      </c>
      <c r="D5787" s="35" t="s">
        <v>749</v>
      </c>
      <c r="E5787" s="23"/>
      <c r="F5787" s="23"/>
      <c r="G5787" s="24">
        <v>1</v>
      </c>
      <c r="H5787" s="24"/>
      <c r="I5787" s="25"/>
      <c r="J5787" s="25"/>
      <c r="K5787" s="19"/>
      <c r="L5787" s="20"/>
    </row>
    <row r="5788" spans="1:12" outlineLevel="2">
      <c r="A5788" s="34"/>
      <c r="B5788" s="12" t="str">
        <f>IFERROR(VLOOKUP(D5788,'[1]Перечень товаров'!$A$2:$I9525,2,0),"")</f>
        <v>м216</v>
      </c>
      <c r="C5788" s="12" t="str">
        <f>IFERROR(VLOOKUP(D5788,'[1]Перечень товаров'!$A$2:$I9525,3,0),"")</f>
        <v>Мебель</v>
      </c>
      <c r="D5788" s="35" t="s">
        <v>854</v>
      </c>
      <c r="E5788" s="23"/>
      <c r="F5788" s="23"/>
      <c r="G5788" s="24">
        <v>1</v>
      </c>
      <c r="H5788" s="24"/>
      <c r="I5788" s="25"/>
      <c r="J5788" s="25"/>
      <c r="K5788" s="19"/>
      <c r="L5788" s="20"/>
    </row>
    <row r="5789" spans="1:12" outlineLevel="2">
      <c r="A5789" s="34"/>
      <c r="B5789" s="12" t="str">
        <f>IFERROR(VLOOKUP(D5789,'[1]Перечень товаров'!$A$2:$I9525,2,0),"")</f>
        <v>м14</v>
      </c>
      <c r="C5789" s="12" t="str">
        <f>IFERROR(VLOOKUP(D5789,'[1]Перечень товаров'!$A$2:$I9525,3,0),"")</f>
        <v>Мебель</v>
      </c>
      <c r="D5789" s="35" t="s">
        <v>43</v>
      </c>
      <c r="E5789" s="23"/>
      <c r="F5789" s="23"/>
      <c r="G5789" s="24">
        <v>1</v>
      </c>
      <c r="H5789" s="24"/>
      <c r="I5789" s="25"/>
      <c r="J5789" s="25"/>
      <c r="K5789" s="19"/>
      <c r="L5789" s="20"/>
    </row>
    <row r="5790" spans="1:12" outlineLevel="2">
      <c r="A5790" s="54"/>
      <c r="B5790" s="12" t="str">
        <f>IFERROR(VLOOKUP(D5790,'[1]Перечень товаров'!$A$2:$I9525,2,0),"")</f>
        <v/>
      </c>
      <c r="C5790" s="12" t="str">
        <f>IFERROR(VLOOKUP(D5790,'[1]Перечень товаров'!$A$2:$I9525,3,0),"")</f>
        <v/>
      </c>
      <c r="D5790" s="55" t="s">
        <v>45</v>
      </c>
      <c r="E5790" s="217"/>
      <c r="F5790" s="217"/>
      <c r="G5790" s="59"/>
      <c r="H5790" s="59"/>
      <c r="I5790" s="60"/>
      <c r="J5790" s="60"/>
      <c r="K5790" s="19"/>
      <c r="L5790" s="20"/>
    </row>
    <row r="5791" spans="1:12" outlineLevel="2">
      <c r="A5791" s="21"/>
      <c r="B5791" s="12" t="str">
        <f>IFERROR(VLOOKUP(D5791,'[1]Перечень товаров'!$A$2:$I9525,2,0),"")</f>
        <v>п2</v>
      </c>
      <c r="C5791" s="12" t="str">
        <f>IFERROR(VLOOKUP(D5791,'[1]Перечень товаров'!$A$2:$I9525,3,0),"")</f>
        <v>Прочее</v>
      </c>
      <c r="D5791" s="22" t="s">
        <v>46</v>
      </c>
      <c r="E5791" s="58"/>
      <c r="F5791" s="58"/>
      <c r="G5791" s="24">
        <v>1</v>
      </c>
      <c r="H5791" s="24"/>
      <c r="I5791" s="25"/>
      <c r="J5791" s="25"/>
      <c r="K5791" s="19"/>
      <c r="L5791" s="20"/>
    </row>
    <row r="5792" spans="1:12" outlineLevel="2">
      <c r="A5792" s="43"/>
      <c r="B5792" s="12" t="str">
        <f>IFERROR(VLOOKUP(D5792,'[1]Перечень товаров'!$A$2:$I9525,2,0),"")</f>
        <v>м7</v>
      </c>
      <c r="C5792" s="12" t="str">
        <f>IFERROR(VLOOKUP(D5792,'[1]Перечень товаров'!$A$2:$I9525,3,0),"")</f>
        <v>Мебель</v>
      </c>
      <c r="D5792" s="44" t="s">
        <v>24</v>
      </c>
      <c r="E5792" s="30"/>
      <c r="F5792" s="30"/>
      <c r="G5792" s="59">
        <v>1</v>
      </c>
      <c r="H5792" s="59"/>
      <c r="I5792" s="60"/>
      <c r="J5792" s="60"/>
      <c r="K5792" s="19"/>
      <c r="L5792" s="20"/>
    </row>
    <row r="5793" spans="1:12" ht="12.75" outlineLevel="1">
      <c r="A5793" s="11"/>
      <c r="B5793" s="12" t="str">
        <f>IFERROR(VLOOKUP(D5793,'[1]Перечень товаров'!$A$2:$I9525,2,0),"")</f>
        <v/>
      </c>
      <c r="C5793" s="12" t="str">
        <f>IFERROR(VLOOKUP(D5793,'[1]Перечень товаров'!$A$2:$I9525,3,0),"")</f>
        <v/>
      </c>
      <c r="D5793" s="27" t="s">
        <v>1675</v>
      </c>
      <c r="E5793" s="107">
        <v>46277</v>
      </c>
      <c r="F5793" s="107"/>
      <c r="G5793" s="100"/>
      <c r="H5793" s="100"/>
      <c r="I5793" s="101"/>
      <c r="J5793" s="101"/>
      <c r="K5793" s="19"/>
      <c r="L5793" s="20"/>
    </row>
    <row r="5794" spans="1:12" ht="12.75" outlineLevel="2">
      <c r="A5794" s="77"/>
      <c r="B5794" s="12" t="str">
        <f>IFERROR(VLOOKUP(D5794,'[1]Перечень товаров'!$A$2:$I9525,2,0),"")</f>
        <v/>
      </c>
      <c r="C5794" s="12" t="str">
        <f>IFERROR(VLOOKUP(D5794,'[1]Перечень товаров'!$A$2:$I9525,3,0),"")</f>
        <v/>
      </c>
      <c r="D5794" s="78" t="s">
        <v>931</v>
      </c>
      <c r="E5794" s="45"/>
      <c r="F5794" s="45"/>
      <c r="G5794" s="17"/>
      <c r="H5794" s="17"/>
      <c r="I5794" s="57"/>
      <c r="J5794" s="57"/>
      <c r="K5794" s="19"/>
      <c r="L5794" s="20"/>
    </row>
    <row r="5795" spans="1:12" ht="31.5" outlineLevel="2">
      <c r="A5795" s="28"/>
      <c r="B5795" s="12" t="str">
        <f>IFERROR(VLOOKUP(D5795,'[1]Перечень товаров'!$A$2:$I9525,2,0),"")</f>
        <v>тм75</v>
      </c>
      <c r="C5795" s="12" t="str">
        <f>IFERROR(VLOOKUP(D5795,'[1]Перечень товаров'!$A$2:$I9525,3,0),"")</f>
        <v>Техника муз</v>
      </c>
      <c r="D5795" s="29" t="s">
        <v>422</v>
      </c>
      <c r="E5795" s="23"/>
      <c r="F5795" s="23"/>
      <c r="G5795" s="24">
        <v>1</v>
      </c>
      <c r="H5795" s="24"/>
      <c r="I5795" s="25"/>
      <c r="J5795" s="25"/>
      <c r="K5795" s="19"/>
      <c r="L5795" s="20"/>
    </row>
    <row r="5796" spans="1:12" outlineLevel="2">
      <c r="A5796" s="28"/>
      <c r="B5796" s="12" t="str">
        <f>IFERROR(VLOOKUP(D5796,'[1]Перечень товаров'!$A$2:$I9525,2,0),"")</f>
        <v>пм217</v>
      </c>
      <c r="C5796" s="12" t="str">
        <f>IFERROR(VLOOKUP(D5796,'[1]Перечень товаров'!$A$2:$I9525,3,0),"")</f>
        <v>прочее муз</v>
      </c>
      <c r="D5796" s="29" t="s">
        <v>932</v>
      </c>
      <c r="E5796" s="23"/>
      <c r="F5796" s="23"/>
      <c r="G5796" s="24">
        <v>1</v>
      </c>
      <c r="H5796" s="24"/>
      <c r="I5796" s="25"/>
      <c r="J5796" s="25"/>
      <c r="K5796" s="19"/>
      <c r="L5796" s="20"/>
    </row>
    <row r="5797" spans="1:12" ht="31.5" outlineLevel="2">
      <c r="A5797" s="28"/>
      <c r="B5797" s="12" t="str">
        <f>IFERROR(VLOOKUP(D5797,'[1]Перечень товаров'!$A$2:$I9525,2,0),"")</f>
        <v>пм216</v>
      </c>
      <c r="C5797" s="12" t="str">
        <f>IFERROR(VLOOKUP(D5797,'[1]Перечень товаров'!$A$2:$I9525,3,0),"")</f>
        <v>прочее муз</v>
      </c>
      <c r="D5797" s="29" t="s">
        <v>933</v>
      </c>
      <c r="E5797" s="23"/>
      <c r="F5797" s="23"/>
      <c r="G5797" s="24">
        <v>2</v>
      </c>
      <c r="H5797" s="24"/>
      <c r="I5797" s="25"/>
      <c r="J5797" s="25"/>
      <c r="K5797" s="19"/>
      <c r="L5797" s="20"/>
    </row>
    <row r="5798" spans="1:12" ht="15" outlineLevel="2">
      <c r="A5798" s="116"/>
      <c r="B5798" s="12" t="str">
        <f>IFERROR(VLOOKUP(D5798,'[1]Перечень товаров'!$A$2:$I9525,2,0),"")</f>
        <v/>
      </c>
      <c r="C5798" s="12" t="str">
        <f>IFERROR(VLOOKUP(D5798,'[1]Перечень товаров'!$A$2:$I9525,3,0),"")</f>
        <v/>
      </c>
      <c r="D5798" s="117" t="s">
        <v>19</v>
      </c>
      <c r="E5798" s="45"/>
      <c r="F5798" s="45"/>
      <c r="G5798" s="17"/>
      <c r="H5798" s="17"/>
      <c r="I5798" s="57"/>
      <c r="J5798" s="57"/>
      <c r="K5798" s="19"/>
      <c r="L5798" s="20"/>
    </row>
    <row r="5799" spans="1:12" outlineLevel="2">
      <c r="A5799" s="34"/>
      <c r="B5799" s="12" t="str">
        <f>IFERROR(VLOOKUP(D5799,'[1]Перечень товаров'!$A$2:$I9525,2,0),"")</f>
        <v>м62</v>
      </c>
      <c r="C5799" s="12" t="str">
        <f>IFERROR(VLOOKUP(D5799,'[1]Перечень товаров'!$A$2:$I9525,3,0),"")</f>
        <v>Мебель</v>
      </c>
      <c r="D5799" s="35" t="s">
        <v>398</v>
      </c>
      <c r="E5799" s="23"/>
      <c r="F5799" s="23"/>
      <c r="G5799" s="24">
        <v>1</v>
      </c>
      <c r="H5799" s="24"/>
      <c r="I5799" s="25"/>
      <c r="J5799" s="25"/>
      <c r="K5799" s="19"/>
      <c r="L5799" s="20"/>
    </row>
    <row r="5800" spans="1:12" outlineLevel="2">
      <c r="A5800" s="34"/>
      <c r="B5800" s="12" t="str">
        <f>IFERROR(VLOOKUP(D5800,'[1]Перечень товаров'!$A$2:$I9525,2,0),"")</f>
        <v>м61</v>
      </c>
      <c r="C5800" s="12" t="str">
        <f>IFERROR(VLOOKUP(D5800,'[1]Перечень товаров'!$A$2:$I9525,3,0),"")</f>
        <v>Мебель</v>
      </c>
      <c r="D5800" s="35" t="s">
        <v>383</v>
      </c>
      <c r="E5800" s="23"/>
      <c r="F5800" s="23"/>
      <c r="G5800" s="24">
        <v>1</v>
      </c>
      <c r="H5800" s="24"/>
      <c r="I5800" s="25"/>
      <c r="J5800" s="25"/>
      <c r="K5800" s="19"/>
      <c r="L5800" s="20"/>
    </row>
    <row r="5801" spans="1:12" outlineLevel="2">
      <c r="A5801" s="34"/>
      <c r="B5801" s="12" t="str">
        <f>IFERROR(VLOOKUP(D5801,'[1]Перечень товаров'!$A$2:$I9525,2,0),"")</f>
        <v>м209</v>
      </c>
      <c r="C5801" s="12" t="str">
        <f>IFERROR(VLOOKUP(D5801,'[1]Перечень товаров'!$A$2:$I9525,3,0),"")</f>
        <v>Мебель</v>
      </c>
      <c r="D5801" s="35" t="s">
        <v>749</v>
      </c>
      <c r="E5801" s="23"/>
      <c r="F5801" s="23"/>
      <c r="G5801" s="24">
        <v>1</v>
      </c>
      <c r="H5801" s="24"/>
      <c r="I5801" s="25"/>
      <c r="J5801" s="25"/>
      <c r="K5801" s="19"/>
      <c r="L5801" s="20"/>
    </row>
    <row r="5802" spans="1:12" outlineLevel="2">
      <c r="A5802" s="34"/>
      <c r="B5802" s="12" t="str">
        <f>IFERROR(VLOOKUP(D5802,'[1]Перечень товаров'!$A$2:$I9525,2,0),"")</f>
        <v>м216</v>
      </c>
      <c r="C5802" s="12" t="str">
        <f>IFERROR(VLOOKUP(D5802,'[1]Перечень товаров'!$A$2:$I9525,3,0),"")</f>
        <v>Мебель</v>
      </c>
      <c r="D5802" s="35" t="s">
        <v>854</v>
      </c>
      <c r="E5802" s="23"/>
      <c r="F5802" s="23"/>
      <c r="G5802" s="24">
        <v>1</v>
      </c>
      <c r="H5802" s="24"/>
      <c r="I5802" s="25"/>
      <c r="J5802" s="25"/>
      <c r="K5802" s="19"/>
      <c r="L5802" s="20"/>
    </row>
    <row r="5803" spans="1:12" outlineLevel="2">
      <c r="A5803" s="34"/>
      <c r="B5803" s="12" t="str">
        <f>IFERROR(VLOOKUP(D5803,'[1]Перечень товаров'!$A$2:$I9525,2,0),"")</f>
        <v>м14</v>
      </c>
      <c r="C5803" s="12" t="str">
        <f>IFERROR(VLOOKUP(D5803,'[1]Перечень товаров'!$A$2:$I9525,3,0),"")</f>
        <v>Мебель</v>
      </c>
      <c r="D5803" s="35" t="s">
        <v>43</v>
      </c>
      <c r="E5803" s="23"/>
      <c r="F5803" s="23"/>
      <c r="G5803" s="24">
        <v>1</v>
      </c>
      <c r="H5803" s="24"/>
      <c r="I5803" s="25"/>
      <c r="J5803" s="25"/>
      <c r="K5803" s="19"/>
      <c r="L5803" s="20"/>
    </row>
    <row r="5804" spans="1:12" outlineLevel="2">
      <c r="A5804" s="54"/>
      <c r="B5804" s="12" t="str">
        <f>IFERROR(VLOOKUP(D5804,'[1]Перечень товаров'!$A$2:$I9525,2,0),"")</f>
        <v/>
      </c>
      <c r="C5804" s="12" t="str">
        <f>IFERROR(VLOOKUP(D5804,'[1]Перечень товаров'!$A$2:$I9525,3,0),"")</f>
        <v/>
      </c>
      <c r="D5804" s="55" t="s">
        <v>45</v>
      </c>
      <c r="E5804" s="217"/>
      <c r="F5804" s="217"/>
      <c r="G5804" s="59"/>
      <c r="H5804" s="59"/>
      <c r="I5804" s="60"/>
      <c r="J5804" s="60"/>
      <c r="K5804" s="19"/>
      <c r="L5804" s="20"/>
    </row>
    <row r="5805" spans="1:12" outlineLevel="2">
      <c r="A5805" s="21"/>
      <c r="B5805" s="12" t="str">
        <f>IFERROR(VLOOKUP(D5805,'[1]Перечень товаров'!$A$2:$I9525,2,0),"")</f>
        <v>п2</v>
      </c>
      <c r="C5805" s="12" t="str">
        <f>IFERROR(VLOOKUP(D5805,'[1]Перечень товаров'!$A$2:$I9525,3,0),"")</f>
        <v>Прочее</v>
      </c>
      <c r="D5805" s="22" t="s">
        <v>46</v>
      </c>
      <c r="E5805" s="58"/>
      <c r="F5805" s="58"/>
      <c r="G5805" s="24">
        <v>1</v>
      </c>
      <c r="H5805" s="24"/>
      <c r="I5805" s="25"/>
      <c r="J5805" s="25"/>
      <c r="K5805" s="19"/>
      <c r="L5805" s="20"/>
    </row>
    <row r="5806" spans="1:12" outlineLevel="2">
      <c r="A5806" s="43"/>
      <c r="B5806" s="12" t="str">
        <f>IFERROR(VLOOKUP(D5806,'[1]Перечень товаров'!$A$2:$I9525,2,0),"")</f>
        <v>м7</v>
      </c>
      <c r="C5806" s="12" t="str">
        <f>IFERROR(VLOOKUP(D5806,'[1]Перечень товаров'!$A$2:$I9525,3,0),"")</f>
        <v>Мебель</v>
      </c>
      <c r="D5806" s="44" t="s">
        <v>24</v>
      </c>
      <c r="E5806" s="30"/>
      <c r="F5806" s="30"/>
      <c r="G5806" s="59">
        <v>1</v>
      </c>
      <c r="H5806" s="59"/>
      <c r="I5806" s="60"/>
      <c r="J5806" s="60"/>
      <c r="K5806" s="19"/>
      <c r="L5806" s="20"/>
    </row>
    <row r="5807" spans="1:12" ht="12.75" outlineLevel="1">
      <c r="A5807" s="11"/>
      <c r="B5807" s="12" t="str">
        <f>IFERROR(VLOOKUP(D5807,'[1]Перечень товаров'!$A$2:$I9525,2,0),"")</f>
        <v/>
      </c>
      <c r="C5807" s="12" t="str">
        <f>IFERROR(VLOOKUP(D5807,'[1]Перечень товаров'!$A$2:$I9525,3,0),"")</f>
        <v/>
      </c>
      <c r="D5807" s="27" t="s">
        <v>1675</v>
      </c>
      <c r="E5807" s="107">
        <v>46032</v>
      </c>
      <c r="F5807" s="107"/>
      <c r="G5807" s="100"/>
      <c r="H5807" s="100"/>
      <c r="I5807" s="101"/>
      <c r="J5807" s="101"/>
      <c r="K5807" s="19"/>
      <c r="L5807" s="20"/>
    </row>
    <row r="5808" spans="1:12" ht="12.75" outlineLevel="2">
      <c r="A5808" s="77"/>
      <c r="B5808" s="12" t="str">
        <f>IFERROR(VLOOKUP(D5808,'[1]Перечень товаров'!$A$2:$I9525,2,0),"")</f>
        <v/>
      </c>
      <c r="C5808" s="12" t="str">
        <f>IFERROR(VLOOKUP(D5808,'[1]Перечень товаров'!$A$2:$I9525,3,0),"")</f>
        <v/>
      </c>
      <c r="D5808" s="78" t="s">
        <v>931</v>
      </c>
      <c r="E5808" s="45"/>
      <c r="F5808" s="45"/>
      <c r="G5808" s="17"/>
      <c r="H5808" s="17"/>
      <c r="I5808" s="57"/>
      <c r="J5808" s="57"/>
      <c r="K5808" s="19"/>
      <c r="L5808" s="20"/>
    </row>
    <row r="5809" spans="1:12" ht="31.5" outlineLevel="2">
      <c r="A5809" s="28"/>
      <c r="B5809" s="12" t="str">
        <f>IFERROR(VLOOKUP(D5809,'[1]Перечень товаров'!$A$2:$I9525,2,0),"")</f>
        <v>тм75</v>
      </c>
      <c r="C5809" s="12" t="str">
        <f>IFERROR(VLOOKUP(D5809,'[1]Перечень товаров'!$A$2:$I9525,3,0),"")</f>
        <v>Техника муз</v>
      </c>
      <c r="D5809" s="29" t="s">
        <v>422</v>
      </c>
      <c r="E5809" s="23"/>
      <c r="F5809" s="23"/>
      <c r="G5809" s="24">
        <v>1</v>
      </c>
      <c r="H5809" s="24"/>
      <c r="I5809" s="25"/>
      <c r="J5809" s="25"/>
      <c r="K5809" s="19"/>
      <c r="L5809" s="20"/>
    </row>
    <row r="5810" spans="1:12" outlineLevel="2">
      <c r="A5810" s="28"/>
      <c r="B5810" s="12" t="str">
        <f>IFERROR(VLOOKUP(D5810,'[1]Перечень товаров'!$A$2:$I9525,2,0),"")</f>
        <v>пм217</v>
      </c>
      <c r="C5810" s="12" t="str">
        <f>IFERROR(VLOOKUP(D5810,'[1]Перечень товаров'!$A$2:$I9525,3,0),"")</f>
        <v>прочее муз</v>
      </c>
      <c r="D5810" s="29" t="s">
        <v>932</v>
      </c>
      <c r="E5810" s="23"/>
      <c r="F5810" s="23"/>
      <c r="G5810" s="24">
        <v>1</v>
      </c>
      <c r="H5810" s="24"/>
      <c r="I5810" s="25"/>
      <c r="J5810" s="25"/>
      <c r="K5810" s="19"/>
      <c r="L5810" s="20"/>
    </row>
    <row r="5811" spans="1:12" ht="31.5" outlineLevel="2">
      <c r="A5811" s="28"/>
      <c r="B5811" s="12" t="str">
        <f>IFERROR(VLOOKUP(D5811,'[1]Перечень товаров'!$A$2:$I9525,2,0),"")</f>
        <v>пм216</v>
      </c>
      <c r="C5811" s="12" t="str">
        <f>IFERROR(VLOOKUP(D5811,'[1]Перечень товаров'!$A$2:$I9525,3,0),"")</f>
        <v>прочее муз</v>
      </c>
      <c r="D5811" s="29" t="s">
        <v>933</v>
      </c>
      <c r="E5811" s="23"/>
      <c r="F5811" s="23"/>
      <c r="G5811" s="24">
        <v>2</v>
      </c>
      <c r="H5811" s="24"/>
      <c r="I5811" s="25"/>
      <c r="J5811" s="25"/>
      <c r="K5811" s="19"/>
      <c r="L5811" s="20"/>
    </row>
    <row r="5812" spans="1:12" ht="15" outlineLevel="2">
      <c r="A5812" s="116"/>
      <c r="B5812" s="12" t="str">
        <f>IFERROR(VLOOKUP(D5812,'[1]Перечень товаров'!$A$2:$I9525,2,0),"")</f>
        <v/>
      </c>
      <c r="C5812" s="12" t="str">
        <f>IFERROR(VLOOKUP(D5812,'[1]Перечень товаров'!$A$2:$I9525,3,0),"")</f>
        <v/>
      </c>
      <c r="D5812" s="117" t="s">
        <v>19</v>
      </c>
      <c r="E5812" s="45"/>
      <c r="F5812" s="45"/>
      <c r="G5812" s="17"/>
      <c r="H5812" s="17"/>
      <c r="I5812" s="57"/>
      <c r="J5812" s="57"/>
      <c r="K5812" s="19"/>
      <c r="L5812" s="20"/>
    </row>
    <row r="5813" spans="1:12" outlineLevel="2">
      <c r="A5813" s="34"/>
      <c r="B5813" s="12" t="str">
        <f>IFERROR(VLOOKUP(D5813,'[1]Перечень товаров'!$A$2:$I9525,2,0),"")</f>
        <v>м62</v>
      </c>
      <c r="C5813" s="12" t="str">
        <f>IFERROR(VLOOKUP(D5813,'[1]Перечень товаров'!$A$2:$I9525,3,0),"")</f>
        <v>Мебель</v>
      </c>
      <c r="D5813" s="35" t="s">
        <v>398</v>
      </c>
      <c r="E5813" s="23"/>
      <c r="F5813" s="23"/>
      <c r="G5813" s="24">
        <v>1</v>
      </c>
      <c r="H5813" s="24"/>
      <c r="I5813" s="25"/>
      <c r="J5813" s="25"/>
      <c r="K5813" s="19"/>
      <c r="L5813" s="20"/>
    </row>
    <row r="5814" spans="1:12" outlineLevel="2">
      <c r="A5814" s="34"/>
      <c r="B5814" s="12" t="str">
        <f>IFERROR(VLOOKUP(D5814,'[1]Перечень товаров'!$A$2:$I9525,2,0),"")</f>
        <v>м61</v>
      </c>
      <c r="C5814" s="12" t="str">
        <f>IFERROR(VLOOKUP(D5814,'[1]Перечень товаров'!$A$2:$I9525,3,0),"")</f>
        <v>Мебель</v>
      </c>
      <c r="D5814" s="35" t="s">
        <v>383</v>
      </c>
      <c r="E5814" s="23"/>
      <c r="F5814" s="23"/>
      <c r="G5814" s="24">
        <v>1</v>
      </c>
      <c r="H5814" s="24"/>
      <c r="I5814" s="25"/>
      <c r="J5814" s="25"/>
      <c r="K5814" s="19"/>
      <c r="L5814" s="20"/>
    </row>
    <row r="5815" spans="1:12" outlineLevel="2">
      <c r="A5815" s="34"/>
      <c r="B5815" s="12" t="str">
        <f>IFERROR(VLOOKUP(D5815,'[1]Перечень товаров'!$A$2:$I9525,2,0),"")</f>
        <v>м209</v>
      </c>
      <c r="C5815" s="12" t="str">
        <f>IFERROR(VLOOKUP(D5815,'[1]Перечень товаров'!$A$2:$I9525,3,0),"")</f>
        <v>Мебель</v>
      </c>
      <c r="D5815" s="35" t="s">
        <v>749</v>
      </c>
      <c r="E5815" s="23"/>
      <c r="F5815" s="23"/>
      <c r="G5815" s="24">
        <v>1</v>
      </c>
      <c r="H5815" s="24"/>
      <c r="I5815" s="25"/>
      <c r="J5815" s="25"/>
      <c r="K5815" s="19"/>
      <c r="L5815" s="20"/>
    </row>
    <row r="5816" spans="1:12" outlineLevel="2">
      <c r="A5816" s="34"/>
      <c r="B5816" s="12" t="str">
        <f>IFERROR(VLOOKUP(D5816,'[1]Перечень товаров'!$A$2:$I9525,2,0),"")</f>
        <v>м216</v>
      </c>
      <c r="C5816" s="12" t="str">
        <f>IFERROR(VLOOKUP(D5816,'[1]Перечень товаров'!$A$2:$I9525,3,0),"")</f>
        <v>Мебель</v>
      </c>
      <c r="D5816" s="35" t="s">
        <v>854</v>
      </c>
      <c r="E5816" s="23"/>
      <c r="F5816" s="23"/>
      <c r="G5816" s="24">
        <v>1</v>
      </c>
      <c r="H5816" s="24"/>
      <c r="I5816" s="25"/>
      <c r="J5816" s="25"/>
      <c r="K5816" s="19"/>
      <c r="L5816" s="20"/>
    </row>
    <row r="5817" spans="1:12" outlineLevel="2">
      <c r="A5817" s="34"/>
      <c r="B5817" s="12" t="str">
        <f>IFERROR(VLOOKUP(D5817,'[1]Перечень товаров'!$A$2:$I9525,2,0),"")</f>
        <v>м14</v>
      </c>
      <c r="C5817" s="12" t="str">
        <f>IFERROR(VLOOKUP(D5817,'[1]Перечень товаров'!$A$2:$I9525,3,0),"")</f>
        <v>Мебель</v>
      </c>
      <c r="D5817" s="35" t="s">
        <v>43</v>
      </c>
      <c r="E5817" s="23"/>
      <c r="F5817" s="23"/>
      <c r="G5817" s="24">
        <v>1</v>
      </c>
      <c r="H5817" s="24"/>
      <c r="I5817" s="25"/>
      <c r="J5817" s="25"/>
      <c r="K5817" s="19"/>
      <c r="L5817" s="20"/>
    </row>
    <row r="5818" spans="1:12" outlineLevel="2">
      <c r="A5818" s="54"/>
      <c r="B5818" s="12" t="str">
        <f>IFERROR(VLOOKUP(D5818,'[1]Перечень товаров'!$A$2:$I9525,2,0),"")</f>
        <v/>
      </c>
      <c r="C5818" s="12" t="str">
        <f>IFERROR(VLOOKUP(D5818,'[1]Перечень товаров'!$A$2:$I9525,3,0),"")</f>
        <v/>
      </c>
      <c r="D5818" s="55" t="s">
        <v>45</v>
      </c>
      <c r="E5818" s="217"/>
      <c r="F5818" s="217"/>
      <c r="G5818" s="59"/>
      <c r="H5818" s="59"/>
      <c r="I5818" s="60"/>
      <c r="J5818" s="60"/>
      <c r="K5818" s="19"/>
      <c r="L5818" s="20"/>
    </row>
    <row r="5819" spans="1:12" outlineLevel="2">
      <c r="A5819" s="21"/>
      <c r="B5819" s="12" t="str">
        <f>IFERROR(VLOOKUP(D5819,'[1]Перечень товаров'!$A$2:$I9525,2,0),"")</f>
        <v>п2</v>
      </c>
      <c r="C5819" s="12" t="str">
        <f>IFERROR(VLOOKUP(D5819,'[1]Перечень товаров'!$A$2:$I9525,3,0),"")</f>
        <v>Прочее</v>
      </c>
      <c r="D5819" s="22" t="s">
        <v>46</v>
      </c>
      <c r="E5819" s="58"/>
      <c r="F5819" s="58"/>
      <c r="G5819" s="24">
        <v>1</v>
      </c>
      <c r="H5819" s="24"/>
      <c r="I5819" s="25"/>
      <c r="J5819" s="25"/>
      <c r="K5819" s="19"/>
      <c r="L5819" s="20"/>
    </row>
    <row r="5820" spans="1:12" outlineLevel="2">
      <c r="A5820" s="43"/>
      <c r="B5820" s="12" t="str">
        <f>IFERROR(VLOOKUP(D5820,'[1]Перечень товаров'!$A$2:$I9525,2,0),"")</f>
        <v>м7</v>
      </c>
      <c r="C5820" s="12" t="str">
        <f>IFERROR(VLOOKUP(D5820,'[1]Перечень товаров'!$A$2:$I9525,3,0),"")</f>
        <v>Мебель</v>
      </c>
      <c r="D5820" s="44" t="s">
        <v>24</v>
      </c>
      <c r="E5820" s="30"/>
      <c r="F5820" s="30"/>
      <c r="G5820" s="59">
        <v>1</v>
      </c>
      <c r="H5820" s="59"/>
      <c r="I5820" s="60"/>
      <c r="J5820" s="60"/>
      <c r="K5820" s="19"/>
      <c r="L5820" s="20"/>
    </row>
    <row r="5821" spans="1:12" ht="12.75" outlineLevel="1">
      <c r="A5821" s="11"/>
      <c r="B5821" s="12" t="str">
        <f>IFERROR(VLOOKUP(D5821,'[1]Перечень товаров'!$A$2:$I9525,2,0),"")</f>
        <v/>
      </c>
      <c r="C5821" s="12" t="str">
        <f>IFERROR(VLOOKUP(D5821,'[1]Перечень товаров'!$A$2:$I9525,3,0),"")</f>
        <v/>
      </c>
      <c r="D5821" s="27" t="s">
        <v>521</v>
      </c>
      <c r="E5821" s="14" t="s">
        <v>375</v>
      </c>
      <c r="F5821" s="14"/>
      <c r="G5821" s="17"/>
      <c r="H5821" s="17"/>
      <c r="I5821" s="57"/>
      <c r="J5821" s="57"/>
      <c r="K5821" s="19"/>
      <c r="L5821" s="20"/>
    </row>
    <row r="5822" spans="1:12" outlineLevel="2">
      <c r="A5822" s="22"/>
      <c r="B5822" s="12" t="str">
        <f>IFERROR(VLOOKUP(D5822,'[1]Перечень товаров'!$A$2:$I9525,2,0),"")</f>
        <v>п25</v>
      </c>
      <c r="C5822" s="12" t="str">
        <f>IFERROR(VLOOKUP(D5822,'[1]Перечень товаров'!$A$2:$I9525,3,0),"")</f>
        <v>Прочее</v>
      </c>
      <c r="D5822" s="22" t="s">
        <v>360</v>
      </c>
      <c r="E5822" s="102"/>
      <c r="F5822" s="102"/>
      <c r="G5822" s="48">
        <v>3</v>
      </c>
      <c r="H5822" s="48"/>
      <c r="I5822" s="49"/>
      <c r="J5822" s="49"/>
      <c r="K5822" s="33"/>
      <c r="L5822" s="20"/>
    </row>
    <row r="5823" spans="1:12" outlineLevel="2">
      <c r="A5823" s="21"/>
      <c r="B5823" s="12" t="str">
        <f>IFERROR(VLOOKUP(D5823,'[1]Перечень товаров'!$A$2:$I9525,2,0),"")</f>
        <v>п26</v>
      </c>
      <c r="C5823" s="12" t="str">
        <f>IFERROR(VLOOKUP(D5823,'[1]Перечень товаров'!$A$2:$I9525,3,0),"")</f>
        <v>Прочее</v>
      </c>
      <c r="D5823" s="22" t="s">
        <v>361</v>
      </c>
      <c r="E5823" s="102"/>
      <c r="F5823" s="102"/>
      <c r="G5823" s="48">
        <v>2</v>
      </c>
      <c r="H5823" s="48"/>
      <c r="I5823" s="49"/>
      <c r="J5823" s="49"/>
      <c r="K5823" s="33"/>
      <c r="L5823" s="20"/>
    </row>
    <row r="5824" spans="1:12" outlineLevel="2">
      <c r="A5824" s="21"/>
      <c r="B5824" s="12" t="str">
        <f>IFERROR(VLOOKUP(D5824,'[1]Перечень товаров'!$A$2:$I9525,2,0),"")</f>
        <v>п27</v>
      </c>
      <c r="C5824" s="12" t="str">
        <f>IFERROR(VLOOKUP(D5824,'[1]Перечень товаров'!$A$2:$I9525,3,0),"")</f>
        <v>Прочее</v>
      </c>
      <c r="D5824" s="22" t="s">
        <v>362</v>
      </c>
      <c r="E5824" s="102"/>
      <c r="F5824" s="102"/>
      <c r="G5824" s="48">
        <v>2</v>
      </c>
      <c r="H5824" s="48"/>
      <c r="I5824" s="49"/>
      <c r="J5824" s="49"/>
      <c r="K5824" s="33"/>
      <c r="L5824" s="20"/>
    </row>
    <row r="5825" spans="1:12" outlineLevel="2">
      <c r="A5825" s="21"/>
      <c r="B5825" s="12" t="str">
        <f>IFERROR(VLOOKUP(D5825,'[1]Перечень товаров'!$A$2:$I9525,2,0),"")</f>
        <v>п28</v>
      </c>
      <c r="C5825" s="12" t="str">
        <f>IFERROR(VLOOKUP(D5825,'[1]Перечень товаров'!$A$2:$I9525,3,0),"")</f>
        <v>Прочее</v>
      </c>
      <c r="D5825" s="22" t="s">
        <v>363</v>
      </c>
      <c r="E5825" s="102"/>
      <c r="F5825" s="102"/>
      <c r="G5825" s="48">
        <v>1</v>
      </c>
      <c r="H5825" s="48"/>
      <c r="I5825" s="49"/>
      <c r="J5825" s="49"/>
      <c r="K5825" s="33"/>
      <c r="L5825" s="20"/>
    </row>
    <row r="5826" spans="1:12" outlineLevel="2">
      <c r="A5826" s="21"/>
      <c r="B5826" s="12" t="str">
        <f>IFERROR(VLOOKUP(D5826,'[1]Перечень товаров'!$A$2:$I9525,2,0),"")</f>
        <v>п29</v>
      </c>
      <c r="C5826" s="12" t="str">
        <f>IFERROR(VLOOKUP(D5826,'[1]Перечень товаров'!$A$2:$I9525,3,0),"")</f>
        <v>Прочее</v>
      </c>
      <c r="D5826" s="22" t="s">
        <v>364</v>
      </c>
      <c r="E5826" s="102"/>
      <c r="F5826" s="102"/>
      <c r="G5826" s="48">
        <v>6</v>
      </c>
      <c r="H5826" s="48"/>
      <c r="I5826" s="49"/>
      <c r="J5826" s="49"/>
      <c r="K5826" s="33"/>
      <c r="L5826" s="20"/>
    </row>
    <row r="5827" spans="1:12" outlineLevel="2">
      <c r="A5827" s="21"/>
      <c r="B5827" s="12" t="str">
        <f>IFERROR(VLOOKUP(D5827,'[1]Перечень товаров'!$A$2:$I9525,2,0),"")</f>
        <v>п30</v>
      </c>
      <c r="C5827" s="12" t="str">
        <f>IFERROR(VLOOKUP(D5827,'[1]Перечень товаров'!$A$2:$I9525,3,0),"")</f>
        <v>Прочее</v>
      </c>
      <c r="D5827" s="22" t="s">
        <v>365</v>
      </c>
      <c r="E5827" s="102"/>
      <c r="F5827" s="102"/>
      <c r="G5827" s="48">
        <v>2</v>
      </c>
      <c r="H5827" s="48"/>
      <c r="I5827" s="49"/>
      <c r="J5827" s="49"/>
      <c r="K5827" s="33"/>
      <c r="L5827" s="20"/>
    </row>
    <row r="5828" spans="1:12" ht="31.5" outlineLevel="2">
      <c r="A5828" s="21"/>
      <c r="B5828" s="12" t="str">
        <f>IFERROR(VLOOKUP(D5828,'[1]Перечень товаров'!$A$2:$I9525,2,0),"")</f>
        <v>п31</v>
      </c>
      <c r="C5828" s="12" t="str">
        <f>IFERROR(VLOOKUP(D5828,'[1]Перечень товаров'!$A$2:$I9525,3,0),"")</f>
        <v>Прочее</v>
      </c>
      <c r="D5828" s="22" t="s">
        <v>366</v>
      </c>
      <c r="E5828" s="102"/>
      <c r="F5828" s="102"/>
      <c r="G5828" s="48">
        <v>1</v>
      </c>
      <c r="H5828" s="48"/>
      <c r="I5828" s="49"/>
      <c r="J5828" s="49"/>
      <c r="K5828" s="33"/>
      <c r="L5828" s="20"/>
    </row>
    <row r="5829" spans="1:12" ht="31.5" outlineLevel="2">
      <c r="A5829" s="21"/>
      <c r="B5829" s="12" t="str">
        <f>IFERROR(VLOOKUP(D5829,'[1]Перечень товаров'!$A$2:$I9525,2,0),"")</f>
        <v>п32</v>
      </c>
      <c r="C5829" s="12" t="str">
        <f>IFERROR(VLOOKUP(D5829,'[1]Перечень товаров'!$A$2:$I9525,3,0),"")</f>
        <v>Прочее</v>
      </c>
      <c r="D5829" s="22" t="s">
        <v>367</v>
      </c>
      <c r="E5829" s="102"/>
      <c r="F5829" s="102"/>
      <c r="G5829" s="48">
        <v>2</v>
      </c>
      <c r="H5829" s="48"/>
      <c r="I5829" s="49"/>
      <c r="J5829" s="49"/>
      <c r="K5829" s="33"/>
      <c r="L5829" s="20"/>
    </row>
    <row r="5830" spans="1:12" outlineLevel="1">
      <c r="A5830" s="21"/>
      <c r="B5830" s="12" t="str">
        <f>IFERROR(VLOOKUP(D5830,'[1]Перечень товаров'!$A$2:$I9525,2,0),"")</f>
        <v/>
      </c>
      <c r="C5830" s="12" t="str">
        <f>IFERROR(VLOOKUP(D5830,'[1]Перечень товаров'!$A$2:$I9525,3,0),"")</f>
        <v/>
      </c>
      <c r="D5830" s="22" t="s">
        <v>885</v>
      </c>
      <c r="E5830" s="102">
        <v>46114</v>
      </c>
      <c r="F5830" s="102"/>
      <c r="G5830" s="103"/>
      <c r="H5830" s="103"/>
      <c r="I5830" s="104"/>
      <c r="J5830" s="104"/>
      <c r="K5830" s="19"/>
      <c r="L5830" s="20"/>
    </row>
    <row r="5831" spans="1:12" ht="12.75" outlineLevel="1">
      <c r="A5831" s="89"/>
      <c r="B5831" s="12" t="str">
        <f>IFERROR(VLOOKUP(D5831,'[1]Перечень товаров'!$A$2:$I9525,2,0),"")</f>
        <v/>
      </c>
      <c r="C5831" s="12" t="str">
        <f>IFERROR(VLOOKUP(D5831,'[1]Перечень товаров'!$A$2:$I9525,3,0),"")</f>
        <v/>
      </c>
      <c r="D5831" s="90" t="s">
        <v>1676</v>
      </c>
      <c r="E5831" s="91" t="s">
        <v>1677</v>
      </c>
      <c r="F5831" s="91"/>
      <c r="G5831" s="17"/>
      <c r="H5831" s="17"/>
      <c r="I5831" s="57"/>
      <c r="J5831" s="57"/>
      <c r="K5831" s="19"/>
      <c r="L5831" s="20"/>
    </row>
    <row r="5832" spans="1:12" ht="15" outlineLevel="2">
      <c r="A5832" s="109"/>
      <c r="B5832" s="12" t="str">
        <f>IFERROR(VLOOKUP(D5832,'[1]Перечень товаров'!$A$2:$I9525,2,0),"")</f>
        <v/>
      </c>
      <c r="C5832" s="12" t="str">
        <f>IFERROR(VLOOKUP(D5832,'[1]Перечень товаров'!$A$2:$I9525,3,0),"")</f>
        <v/>
      </c>
      <c r="D5832" s="110" t="s">
        <v>27</v>
      </c>
      <c r="E5832" s="45"/>
      <c r="F5832" s="45"/>
      <c r="G5832" s="111"/>
      <c r="H5832" s="111"/>
      <c r="I5832" s="112"/>
      <c r="J5832" s="112"/>
      <c r="K5832" s="19"/>
      <c r="L5832" s="20"/>
    </row>
    <row r="5833" spans="1:12" outlineLevel="2">
      <c r="A5833" s="21"/>
      <c r="B5833" s="12" t="str">
        <f>IFERROR(VLOOKUP(D5833,'[1]Перечень товаров'!$A$2:$I9525,2,0),"")</f>
        <v>т1</v>
      </c>
      <c r="C5833" s="12" t="str">
        <f>IFERROR(VLOOKUP(D5833,'[1]Перечень товаров'!$A$2:$I9525,3,0),"")</f>
        <v xml:space="preserve">Техника </v>
      </c>
      <c r="D5833" s="22" t="s">
        <v>28</v>
      </c>
      <c r="E5833" s="58"/>
      <c r="F5833" s="58"/>
      <c r="G5833" s="48">
        <v>1</v>
      </c>
      <c r="H5833" s="48"/>
      <c r="I5833" s="49"/>
      <c r="J5833" s="49"/>
      <c r="K5833" s="19"/>
      <c r="L5833" s="20"/>
    </row>
    <row r="5834" spans="1:12" outlineLevel="2">
      <c r="A5834" s="143"/>
      <c r="B5834" s="12" t="str">
        <f>IFERROR(VLOOKUP(D5834,'[1]Перечень товаров'!$A$2:$I9525,2,0),"")</f>
        <v>т9</v>
      </c>
      <c r="C5834" s="12" t="str">
        <f>IFERROR(VLOOKUP(D5834,'[1]Перечень товаров'!$A$2:$I9525,3,0),"")</f>
        <v>Техника</v>
      </c>
      <c r="D5834" s="143" t="s">
        <v>36</v>
      </c>
      <c r="E5834" s="58"/>
      <c r="F5834" s="58"/>
      <c r="G5834" s="48">
        <v>1</v>
      </c>
      <c r="H5834" s="48"/>
      <c r="I5834" s="49"/>
      <c r="J5834" s="49"/>
      <c r="K5834" s="19"/>
      <c r="L5834" s="20"/>
    </row>
    <row r="5835" spans="1:12" outlineLevel="2">
      <c r="A5835" s="35"/>
      <c r="B5835" s="12" t="str">
        <f>IFERROR(VLOOKUP(D5835,'[1]Перечень товаров'!$A$2:$I9525,2,0),"")</f>
        <v>т2</v>
      </c>
      <c r="C5835" s="12" t="str">
        <f>IFERROR(VLOOKUP(D5835,'[1]Перечень товаров'!$A$2:$I9525,3,0),"")</f>
        <v xml:space="preserve">Техника </v>
      </c>
      <c r="D5835" s="35" t="s">
        <v>29</v>
      </c>
      <c r="E5835" s="58"/>
      <c r="F5835" s="58"/>
      <c r="G5835" s="48">
        <v>1</v>
      </c>
      <c r="H5835" s="48"/>
      <c r="I5835" s="49"/>
      <c r="J5835" s="49"/>
      <c r="K5835" s="19"/>
      <c r="L5835" s="20"/>
    </row>
    <row r="5836" spans="1:12" outlineLevel="2">
      <c r="A5836" s="35"/>
      <c r="B5836" s="12" t="str">
        <f>IFERROR(VLOOKUP(D5836,'[1]Перечень товаров'!$A$2:$I9525,2,0),"")</f>
        <v>т3</v>
      </c>
      <c r="C5836" s="12" t="str">
        <f>IFERROR(VLOOKUP(D5836,'[1]Перечень товаров'!$A$2:$I9525,3,0),"")</f>
        <v xml:space="preserve">Техника </v>
      </c>
      <c r="D5836" s="35" t="s">
        <v>30</v>
      </c>
      <c r="E5836" s="58"/>
      <c r="F5836" s="58"/>
      <c r="G5836" s="48">
        <v>1</v>
      </c>
      <c r="H5836" s="48"/>
      <c r="I5836" s="49"/>
      <c r="J5836" s="49"/>
      <c r="K5836" s="19"/>
      <c r="L5836" s="20"/>
    </row>
    <row r="5837" spans="1:12" outlineLevel="2">
      <c r="A5837" s="35"/>
      <c r="B5837" s="12" t="str">
        <f>IFERROR(VLOOKUP(D5837,'[1]Перечень товаров'!$A$2:$I9525,2,0),"")</f>
        <v>т4</v>
      </c>
      <c r="C5837" s="12" t="str">
        <f>IFERROR(VLOOKUP(D5837,'[1]Перечень товаров'!$A$2:$I9525,3,0),"")</f>
        <v xml:space="preserve">Техника </v>
      </c>
      <c r="D5837" s="35" t="s">
        <v>31</v>
      </c>
      <c r="E5837" s="58"/>
      <c r="F5837" s="58"/>
      <c r="G5837" s="48">
        <v>1</v>
      </c>
      <c r="H5837" s="48"/>
      <c r="I5837" s="49"/>
      <c r="J5837" s="49"/>
      <c r="K5837" s="19"/>
      <c r="L5837" s="20"/>
    </row>
    <row r="5838" spans="1:12" outlineLevel="2">
      <c r="A5838" s="21"/>
      <c r="B5838" s="12" t="str">
        <f>IFERROR(VLOOKUP(D5838,'[1]Перечень товаров'!$A$2:$I9525,2,0),"")</f>
        <v>тм65</v>
      </c>
      <c r="C5838" s="12" t="str">
        <f>IFERROR(VLOOKUP(D5838,'[1]Перечень товаров'!$A$2:$I9525,3,0),"")</f>
        <v>Техника муз</v>
      </c>
      <c r="D5838" s="22" t="s">
        <v>380</v>
      </c>
      <c r="E5838" s="58"/>
      <c r="F5838" s="58"/>
      <c r="G5838" s="48">
        <v>1</v>
      </c>
      <c r="H5838" s="48"/>
      <c r="I5838" s="49"/>
      <c r="J5838" s="49"/>
      <c r="K5838" s="19"/>
      <c r="L5838" s="20"/>
    </row>
    <row r="5839" spans="1:12" outlineLevel="2">
      <c r="A5839" s="21"/>
      <c r="B5839" s="12" t="str">
        <f>IFERROR(VLOOKUP(D5839,'[1]Перечень товаров'!$A$2:$I9525,2,0),"")</f>
        <v>т12</v>
      </c>
      <c r="C5839" s="12" t="str">
        <f>IFERROR(VLOOKUP(D5839,'[1]Перечень товаров'!$A$2:$I9525,3,0),"")</f>
        <v>Техника</v>
      </c>
      <c r="D5839" s="22" t="s">
        <v>49</v>
      </c>
      <c r="E5839" s="58"/>
      <c r="F5839" s="58"/>
      <c r="G5839" s="48">
        <v>1</v>
      </c>
      <c r="H5839" s="48"/>
      <c r="I5839" s="49"/>
      <c r="J5839" s="49"/>
      <c r="K5839" s="19"/>
      <c r="L5839" s="20"/>
    </row>
    <row r="5840" spans="1:12" outlineLevel="2">
      <c r="A5840" s="35"/>
      <c r="B5840" s="12" t="str">
        <f>IFERROR(VLOOKUP(D5840,'[1]Перечень товаров'!$A$2:$I9525,2,0),"")</f>
        <v>т6</v>
      </c>
      <c r="C5840" s="12" t="str">
        <f>IFERROR(VLOOKUP(D5840,'[1]Перечень товаров'!$A$2:$I9525,3,0),"")</f>
        <v xml:space="preserve">Техника </v>
      </c>
      <c r="D5840" s="35" t="s">
        <v>33</v>
      </c>
      <c r="E5840" s="58"/>
      <c r="F5840" s="58"/>
      <c r="G5840" s="48">
        <v>1</v>
      </c>
      <c r="H5840" s="48"/>
      <c r="I5840" s="49"/>
      <c r="J5840" s="49"/>
      <c r="K5840" s="19"/>
      <c r="L5840" s="20"/>
    </row>
    <row r="5841" spans="1:12" outlineLevel="2">
      <c r="A5841" s="21"/>
      <c r="B5841" s="12" t="str">
        <f>IFERROR(VLOOKUP(D5841,'[1]Перечень товаров'!$A$2:$I9525,2,0),"")</f>
        <v>т7</v>
      </c>
      <c r="C5841" s="12" t="str">
        <f>IFERROR(VLOOKUP(D5841,'[1]Перечень товаров'!$A$2:$I9525,3,0),"")</f>
        <v xml:space="preserve">Техника </v>
      </c>
      <c r="D5841" s="22" t="s">
        <v>34</v>
      </c>
      <c r="E5841" s="58"/>
      <c r="F5841" s="58"/>
      <c r="G5841" s="48">
        <v>3</v>
      </c>
      <c r="H5841" s="48"/>
      <c r="I5841" s="49"/>
      <c r="J5841" s="49"/>
      <c r="K5841" s="19"/>
      <c r="L5841" s="20"/>
    </row>
    <row r="5842" spans="1:12" outlineLevel="2">
      <c r="A5842" s="28"/>
      <c r="B5842" s="12" t="str">
        <f>IFERROR(VLOOKUP(D5842,'[1]Перечень товаров'!$A$2:$I9525,2,0),"")</f>
        <v>т161</v>
      </c>
      <c r="C5842" s="12" t="str">
        <f>IFERROR(VLOOKUP(D5842,'[1]Перечень товаров'!$A$2:$I9525,3,0),"")</f>
        <v xml:space="preserve">Техника </v>
      </c>
      <c r="D5842" s="29" t="s">
        <v>381</v>
      </c>
      <c r="E5842" s="30"/>
      <c r="F5842" s="30"/>
      <c r="G5842" s="59">
        <v>1</v>
      </c>
      <c r="H5842" s="59"/>
      <c r="I5842" s="60"/>
      <c r="J5842" s="60"/>
      <c r="K5842" s="19"/>
      <c r="L5842" s="20"/>
    </row>
    <row r="5843" spans="1:12" outlineLevel="2">
      <c r="A5843" s="113"/>
      <c r="B5843" s="12" t="str">
        <f>IFERROR(VLOOKUP(D5843,'[1]Перечень товаров'!$A$2:$I9525,2,0),"")</f>
        <v/>
      </c>
      <c r="C5843" s="12" t="str">
        <f>IFERROR(VLOOKUP(D5843,'[1]Перечень товаров'!$A$2:$I9525,3,0),"")</f>
        <v/>
      </c>
      <c r="D5843" s="114" t="s">
        <v>19</v>
      </c>
      <c r="E5843" s="115"/>
      <c r="F5843" s="115"/>
      <c r="G5843" s="59"/>
      <c r="H5843" s="59"/>
      <c r="I5843" s="60"/>
      <c r="J5843" s="60"/>
      <c r="K5843" s="19"/>
      <c r="L5843" s="20"/>
    </row>
    <row r="5844" spans="1:12" outlineLevel="2">
      <c r="A5844" s="34"/>
      <c r="B5844" s="12" t="str">
        <f>IFERROR(VLOOKUP(D5844,'[1]Перечень товаров'!$A$2:$I9525,2,0),"")</f>
        <v>м62</v>
      </c>
      <c r="C5844" s="12" t="str">
        <f>IFERROR(VLOOKUP(D5844,'[1]Перечень товаров'!$A$2:$I9525,3,0),"")</f>
        <v>Мебель</v>
      </c>
      <c r="D5844" s="35" t="s">
        <v>398</v>
      </c>
      <c r="E5844" s="88"/>
      <c r="F5844" s="88"/>
      <c r="G5844" s="59">
        <v>1</v>
      </c>
      <c r="H5844" s="59"/>
      <c r="I5844" s="60"/>
      <c r="J5844" s="60"/>
      <c r="K5844" s="19"/>
      <c r="L5844" s="20"/>
    </row>
    <row r="5845" spans="1:12" outlineLevel="2">
      <c r="A5845" s="34"/>
      <c r="B5845" s="12" t="str">
        <f>IFERROR(VLOOKUP(D5845,'[1]Перечень товаров'!$A$2:$I9525,2,0),"")</f>
        <v>м61</v>
      </c>
      <c r="C5845" s="12" t="str">
        <f>IFERROR(VLOOKUP(D5845,'[1]Перечень товаров'!$A$2:$I9525,3,0),"")</f>
        <v>Мебель</v>
      </c>
      <c r="D5845" s="35" t="s">
        <v>383</v>
      </c>
      <c r="E5845" s="88"/>
      <c r="F5845" s="88"/>
      <c r="G5845" s="59">
        <v>1</v>
      </c>
      <c r="H5845" s="59"/>
      <c r="I5845" s="60"/>
      <c r="J5845" s="60"/>
      <c r="K5845" s="19"/>
      <c r="L5845" s="20"/>
    </row>
    <row r="5846" spans="1:12" outlineLevel="2">
      <c r="A5846" s="34"/>
      <c r="B5846" s="12" t="str">
        <f>IFERROR(VLOOKUP(D5846,'[1]Перечень товаров'!$A$2:$I9525,2,0),"")</f>
        <v>м179</v>
      </c>
      <c r="C5846" s="12" t="str">
        <f>IFERROR(VLOOKUP(D5846,'[1]Перечень товаров'!$A$2:$I9525,3,0),"")</f>
        <v>Мебель</v>
      </c>
      <c r="D5846" s="35" t="s">
        <v>579</v>
      </c>
      <c r="E5846" s="88"/>
      <c r="F5846" s="88"/>
      <c r="G5846" s="59">
        <v>10</v>
      </c>
      <c r="H5846" s="59"/>
      <c r="I5846" s="60"/>
      <c r="J5846" s="60"/>
      <c r="K5846" s="19"/>
      <c r="L5846" s="20"/>
    </row>
    <row r="5847" spans="1:12" outlineLevel="2">
      <c r="A5847" s="34"/>
      <c r="B5847" s="12" t="str">
        <f>IFERROR(VLOOKUP(D5847,'[1]Перечень товаров'!$A$2:$I9525,2,0),"")</f>
        <v>м61</v>
      </c>
      <c r="C5847" s="12" t="str">
        <f>IFERROR(VLOOKUP(D5847,'[1]Перечень товаров'!$A$2:$I9525,3,0),"")</f>
        <v>Мебель</v>
      </c>
      <c r="D5847" s="35" t="s">
        <v>384</v>
      </c>
      <c r="E5847" s="88"/>
      <c r="F5847" s="88"/>
      <c r="G5847" s="59">
        <v>20</v>
      </c>
      <c r="H5847" s="59"/>
      <c r="I5847" s="60"/>
      <c r="J5847" s="60"/>
      <c r="K5847" s="19"/>
      <c r="L5847" s="20"/>
    </row>
    <row r="5848" spans="1:12" outlineLevel="2">
      <c r="A5848" s="21"/>
      <c r="B5848" s="12" t="str">
        <f>IFERROR(VLOOKUP(D5848,'[1]Перечень товаров'!$A$2:$I9525,2,0),"")</f>
        <v>м13</v>
      </c>
      <c r="C5848" s="12" t="str">
        <f>IFERROR(VLOOKUP(D5848,'[1]Перечень товаров'!$A$2:$I9525,3,0),"")</f>
        <v>Мебель</v>
      </c>
      <c r="D5848" s="22" t="s">
        <v>42</v>
      </c>
      <c r="E5848" s="58"/>
      <c r="F5848" s="58"/>
      <c r="G5848" s="24">
        <v>1</v>
      </c>
      <c r="H5848" s="24"/>
      <c r="I5848" s="25"/>
      <c r="J5848" s="25"/>
      <c r="K5848" s="19"/>
      <c r="L5848" s="20"/>
    </row>
    <row r="5849" spans="1:12" outlineLevel="2">
      <c r="A5849" s="21"/>
      <c r="B5849" s="12" t="str">
        <f>IFERROR(VLOOKUP(D5849,'[1]Перечень товаров'!$A$2:$I9525,2,0),"")</f>
        <v>м14</v>
      </c>
      <c r="C5849" s="12" t="str">
        <f>IFERROR(VLOOKUP(D5849,'[1]Перечень товаров'!$A$2:$I9525,3,0),"")</f>
        <v>Мебель</v>
      </c>
      <c r="D5849" s="22" t="s">
        <v>43</v>
      </c>
      <c r="E5849" s="58"/>
      <c r="F5849" s="58"/>
      <c r="G5849" s="24">
        <v>1</v>
      </c>
      <c r="H5849" s="24"/>
      <c r="I5849" s="25"/>
      <c r="J5849" s="25"/>
      <c r="K5849" s="19"/>
      <c r="L5849" s="20"/>
    </row>
    <row r="5850" spans="1:12" outlineLevel="2">
      <c r="A5850" s="21"/>
      <c r="B5850" s="12" t="str">
        <f>IFERROR(VLOOKUP(D5850,'[1]Перечень товаров'!$A$2:$I9525,2,0),"")</f>
        <v>п2</v>
      </c>
      <c r="C5850" s="12" t="str">
        <f>IFERROR(VLOOKUP(D5850,'[1]Перечень товаров'!$A$2:$I9525,3,0),"")</f>
        <v>Прочее</v>
      </c>
      <c r="D5850" s="22" t="s">
        <v>46</v>
      </c>
      <c r="E5850" s="58"/>
      <c r="F5850" s="58"/>
      <c r="G5850" s="24">
        <v>1</v>
      </c>
      <c r="H5850" s="24"/>
      <c r="I5850" s="25"/>
      <c r="J5850" s="25"/>
      <c r="K5850" s="19"/>
      <c r="L5850" s="20"/>
    </row>
    <row r="5851" spans="1:12" ht="31.5" outlineLevel="2">
      <c r="A5851" s="155"/>
      <c r="B5851" s="12" t="str">
        <f>IFERROR(VLOOKUP(D5851,'[1]Перечень товаров'!$A$2:$I9525,2,0),"")</f>
        <v>м21</v>
      </c>
      <c r="C5851" s="12" t="str">
        <f>IFERROR(VLOOKUP(D5851,'[1]Перечень товаров'!$A$2:$I9525,3,0),"")</f>
        <v>Мебель</v>
      </c>
      <c r="D5851" s="156" t="s">
        <v>58</v>
      </c>
      <c r="E5851" s="58"/>
      <c r="F5851" s="58"/>
      <c r="G5851" s="24">
        <v>1</v>
      </c>
      <c r="H5851" s="24"/>
      <c r="I5851" s="25"/>
      <c r="J5851" s="25"/>
      <c r="K5851" s="19"/>
      <c r="L5851" s="20"/>
    </row>
    <row r="5852" spans="1:12" outlineLevel="2">
      <c r="A5852" s="116"/>
      <c r="B5852" s="12" t="str">
        <f>IFERROR(VLOOKUP(D5852,'[1]Перечень товаров'!$A$2:$I9525,2,0),"")</f>
        <v/>
      </c>
      <c r="C5852" s="12" t="str">
        <f>IFERROR(VLOOKUP(D5852,'[1]Перечень товаров'!$A$2:$I9525,3,0),"")</f>
        <v/>
      </c>
      <c r="D5852" s="117" t="s">
        <v>391</v>
      </c>
      <c r="E5852" s="217"/>
      <c r="F5852" s="217"/>
      <c r="G5852" s="59"/>
      <c r="H5852" s="59"/>
      <c r="I5852" s="60"/>
      <c r="J5852" s="60"/>
      <c r="K5852" s="19"/>
      <c r="L5852" s="20"/>
    </row>
    <row r="5853" spans="1:12" outlineLevel="2">
      <c r="A5853" s="28"/>
      <c r="B5853" s="12" t="str">
        <f>IFERROR(VLOOKUP(D5853,'[1]Перечень товаров'!$A$2:$I9525,2,0),"")</f>
        <v>мм1</v>
      </c>
      <c r="C5853" s="12" t="str">
        <f>IFERROR(VLOOKUP(D5853,'[1]Перечень товаров'!$A$2:$I9525,3,0),"")</f>
        <v>Мебель муз</v>
      </c>
      <c r="D5853" s="29" t="s">
        <v>1134</v>
      </c>
      <c r="E5853" s="30"/>
      <c r="F5853" s="30"/>
      <c r="G5853" s="59">
        <v>1</v>
      </c>
      <c r="H5853" s="59"/>
      <c r="I5853" s="60"/>
      <c r="J5853" s="60"/>
      <c r="K5853" s="19"/>
      <c r="L5853" s="20"/>
    </row>
    <row r="5854" spans="1:12" ht="47.25" outlineLevel="2">
      <c r="A5854" s="28"/>
      <c r="B5854" s="12" t="str">
        <f>IFERROR(VLOOKUP(D5854,'[1]Перечень товаров'!$A$2:$I9525,2,0),"")</f>
        <v>пм168</v>
      </c>
      <c r="C5854" s="12" t="str">
        <f>IFERROR(VLOOKUP(D5854,'[1]Перечень товаров'!$A$2:$I9525,3,0),"")</f>
        <v>прочее муз</v>
      </c>
      <c r="D5854" s="29" t="s">
        <v>1135</v>
      </c>
      <c r="E5854" s="30"/>
      <c r="F5854" s="30"/>
      <c r="G5854" s="59">
        <v>4</v>
      </c>
      <c r="H5854" s="59"/>
      <c r="I5854" s="60"/>
      <c r="J5854" s="60"/>
      <c r="K5854" s="19"/>
      <c r="L5854" s="20"/>
    </row>
    <row r="5855" spans="1:12" outlineLevel="2">
      <c r="A5855" s="28"/>
      <c r="B5855" s="12" t="str">
        <f>IFERROR(VLOOKUP(D5855,'[1]Перечень товаров'!$A$2:$I9525,2,0),"")</f>
        <v>пм167</v>
      </c>
      <c r="C5855" s="12" t="str">
        <f>IFERROR(VLOOKUP(D5855,'[1]Перечень товаров'!$A$2:$I9525,3,0),"")</f>
        <v>прочее муз</v>
      </c>
      <c r="D5855" s="29" t="s">
        <v>1136</v>
      </c>
      <c r="E5855" s="30"/>
      <c r="F5855" s="30"/>
      <c r="G5855" s="59">
        <v>1</v>
      </c>
      <c r="H5855" s="59"/>
      <c r="I5855" s="60"/>
      <c r="J5855" s="60"/>
      <c r="K5855" s="19"/>
      <c r="L5855" s="20"/>
    </row>
    <row r="5856" spans="1:12" ht="31.5" outlineLevel="2">
      <c r="A5856" s="28"/>
      <c r="B5856" s="12" t="str">
        <f>IFERROR(VLOOKUP(D5856,'[1]Перечень товаров'!$A$2:$I9525,2,0),"")</f>
        <v>пм166</v>
      </c>
      <c r="C5856" s="12" t="str">
        <f>IFERROR(VLOOKUP(D5856,'[1]Перечень товаров'!$A$2:$I9525,3,0),"")</f>
        <v>прочее муз</v>
      </c>
      <c r="D5856" s="29" t="s">
        <v>1137</v>
      </c>
      <c r="E5856" s="30"/>
      <c r="F5856" s="30"/>
      <c r="G5856" s="59">
        <v>1</v>
      </c>
      <c r="H5856" s="59"/>
      <c r="I5856" s="60"/>
      <c r="J5856" s="60"/>
      <c r="K5856" s="19"/>
      <c r="L5856" s="20"/>
    </row>
    <row r="5857" spans="1:12" ht="31.5" outlineLevel="2">
      <c r="A5857" s="28"/>
      <c r="B5857" s="12" t="str">
        <f>IFERROR(VLOOKUP(D5857,'[1]Перечень товаров'!$A$2:$I9525,2,0),"")</f>
        <v>т130</v>
      </c>
      <c r="C5857" s="12" t="str">
        <f>IFERROR(VLOOKUP(D5857,'[1]Перечень товаров'!$A$2:$I9525,3,0),"")</f>
        <v>Техника</v>
      </c>
      <c r="D5857" s="29" t="s">
        <v>1138</v>
      </c>
      <c r="E5857" s="30"/>
      <c r="F5857" s="30"/>
      <c r="G5857" s="59">
        <v>1</v>
      </c>
      <c r="H5857" s="59"/>
      <c r="I5857" s="60"/>
      <c r="J5857" s="60"/>
      <c r="K5857" s="19"/>
      <c r="L5857" s="20"/>
    </row>
    <row r="5858" spans="1:12" outlineLevel="2">
      <c r="A5858" s="54"/>
      <c r="B5858" s="12" t="str">
        <f>IFERROR(VLOOKUP(D5858,'[1]Перечень товаров'!$A$2:$I9525,2,0),"")</f>
        <v/>
      </c>
      <c r="C5858" s="12" t="str">
        <f>IFERROR(VLOOKUP(D5858,'[1]Перечень товаров'!$A$2:$I9525,3,0),"")</f>
        <v/>
      </c>
      <c r="D5858" s="55" t="s">
        <v>45</v>
      </c>
      <c r="E5858" s="217"/>
      <c r="F5858" s="217"/>
      <c r="G5858" s="59"/>
      <c r="H5858" s="59"/>
      <c r="I5858" s="60"/>
      <c r="J5858" s="60"/>
      <c r="K5858" s="19"/>
      <c r="L5858" s="20"/>
    </row>
    <row r="5859" spans="1:12" outlineLevel="2">
      <c r="A5859" s="43"/>
      <c r="B5859" s="12" t="str">
        <f>IFERROR(VLOOKUP(D5859,'[1]Перечень товаров'!$A$2:$I9525,2,0),"")</f>
        <v>м7</v>
      </c>
      <c r="C5859" s="12" t="str">
        <f>IFERROR(VLOOKUP(D5859,'[1]Перечень товаров'!$A$2:$I9525,3,0),"")</f>
        <v>Мебель</v>
      </c>
      <c r="D5859" s="44" t="s">
        <v>24</v>
      </c>
      <c r="E5859" s="30"/>
      <c r="F5859" s="30"/>
      <c r="G5859" s="59">
        <v>1</v>
      </c>
      <c r="H5859" s="59"/>
      <c r="I5859" s="60"/>
      <c r="J5859" s="60"/>
      <c r="K5859" s="19"/>
      <c r="L5859" s="20"/>
    </row>
    <row r="5860" spans="1:12" outlineLevel="2">
      <c r="A5860" s="43"/>
      <c r="B5860" s="12" t="str">
        <f>IFERROR(VLOOKUP(D5860,'[1]Перечень товаров'!$A$2:$I9525,2,0),"")</f>
        <v>п1</v>
      </c>
      <c r="C5860" s="12" t="str">
        <f>IFERROR(VLOOKUP(D5860,'[1]Перечень товаров'!$A$2:$I9525,3,0),"")</f>
        <v>Прочее</v>
      </c>
      <c r="D5860" s="44" t="s">
        <v>37</v>
      </c>
      <c r="E5860" s="30"/>
      <c r="F5860" s="30"/>
      <c r="G5860" s="59">
        <v>1</v>
      </c>
      <c r="H5860" s="59"/>
      <c r="I5860" s="60"/>
      <c r="J5860" s="60"/>
      <c r="K5860" s="19"/>
      <c r="L5860" s="20"/>
    </row>
    <row r="5861" spans="1:12" ht="12.75" outlineLevel="1">
      <c r="A5861" s="89"/>
      <c r="B5861" s="12" t="str">
        <f>IFERROR(VLOOKUP(D5861,'[1]Перечень товаров'!$A$2:$I9525,2,0),"")</f>
        <v/>
      </c>
      <c r="C5861" s="12" t="str">
        <f>IFERROR(VLOOKUP(D5861,'[1]Перечень товаров'!$A$2:$I9525,3,0),"")</f>
        <v/>
      </c>
      <c r="D5861" s="90" t="s">
        <v>1676</v>
      </c>
      <c r="E5861" s="91" t="s">
        <v>1678</v>
      </c>
      <c r="F5861" s="91"/>
      <c r="G5861" s="17"/>
      <c r="H5861" s="17"/>
      <c r="I5861" s="57"/>
      <c r="J5861" s="57"/>
      <c r="K5861" s="19"/>
      <c r="L5861" s="20"/>
    </row>
    <row r="5862" spans="1:12" ht="15" outlineLevel="2">
      <c r="A5862" s="109"/>
      <c r="B5862" s="12" t="str">
        <f>IFERROR(VLOOKUP(D5862,'[1]Перечень товаров'!$A$2:$I9525,2,0),"")</f>
        <v/>
      </c>
      <c r="C5862" s="12" t="str">
        <f>IFERROR(VLOOKUP(D5862,'[1]Перечень товаров'!$A$2:$I9525,3,0),"")</f>
        <v/>
      </c>
      <c r="D5862" s="110" t="s">
        <v>27</v>
      </c>
      <c r="E5862" s="45"/>
      <c r="F5862" s="45"/>
      <c r="G5862" s="111"/>
      <c r="H5862" s="111"/>
      <c r="I5862" s="112"/>
      <c r="J5862" s="112"/>
      <c r="K5862" s="19"/>
      <c r="L5862" s="20"/>
    </row>
    <row r="5863" spans="1:12" outlineLevel="2">
      <c r="A5863" s="21"/>
      <c r="B5863" s="12" t="str">
        <f>IFERROR(VLOOKUP(D5863,'[1]Перечень товаров'!$A$2:$I9525,2,0),"")</f>
        <v>т1</v>
      </c>
      <c r="C5863" s="12" t="str">
        <f>IFERROR(VLOOKUP(D5863,'[1]Перечень товаров'!$A$2:$I9525,3,0),"")</f>
        <v xml:space="preserve">Техника </v>
      </c>
      <c r="D5863" s="22" t="s">
        <v>28</v>
      </c>
      <c r="E5863" s="58"/>
      <c r="F5863" s="58"/>
      <c r="G5863" s="48">
        <v>1</v>
      </c>
      <c r="H5863" s="48"/>
      <c r="I5863" s="49"/>
      <c r="J5863" s="49"/>
      <c r="K5863" s="19"/>
      <c r="L5863" s="20"/>
    </row>
    <row r="5864" spans="1:12" outlineLevel="2">
      <c r="A5864" s="143"/>
      <c r="B5864" s="12" t="str">
        <f>IFERROR(VLOOKUP(D5864,'[1]Перечень товаров'!$A$2:$I9525,2,0),"")</f>
        <v>т9</v>
      </c>
      <c r="C5864" s="12" t="str">
        <f>IFERROR(VLOOKUP(D5864,'[1]Перечень товаров'!$A$2:$I9525,3,0),"")</f>
        <v>Техника</v>
      </c>
      <c r="D5864" s="143" t="s">
        <v>36</v>
      </c>
      <c r="E5864" s="58"/>
      <c r="F5864" s="58"/>
      <c r="G5864" s="48">
        <v>1</v>
      </c>
      <c r="H5864" s="48"/>
      <c r="I5864" s="49"/>
      <c r="J5864" s="49"/>
      <c r="K5864" s="19"/>
      <c r="L5864" s="20"/>
    </row>
    <row r="5865" spans="1:12" outlineLevel="2">
      <c r="A5865" s="35"/>
      <c r="B5865" s="12" t="str">
        <f>IFERROR(VLOOKUP(D5865,'[1]Перечень товаров'!$A$2:$I9525,2,0),"")</f>
        <v>т2</v>
      </c>
      <c r="C5865" s="12" t="str">
        <f>IFERROR(VLOOKUP(D5865,'[1]Перечень товаров'!$A$2:$I9525,3,0),"")</f>
        <v xml:space="preserve">Техника </v>
      </c>
      <c r="D5865" s="35" t="s">
        <v>29</v>
      </c>
      <c r="E5865" s="58"/>
      <c r="F5865" s="58"/>
      <c r="G5865" s="48">
        <v>1</v>
      </c>
      <c r="H5865" s="48"/>
      <c r="I5865" s="49"/>
      <c r="J5865" s="49"/>
      <c r="K5865" s="19"/>
      <c r="L5865" s="20"/>
    </row>
    <row r="5866" spans="1:12" outlineLevel="2">
      <c r="A5866" s="35"/>
      <c r="B5866" s="12" t="str">
        <f>IFERROR(VLOOKUP(D5866,'[1]Перечень товаров'!$A$2:$I9525,2,0),"")</f>
        <v>т3</v>
      </c>
      <c r="C5866" s="12" t="str">
        <f>IFERROR(VLOOKUP(D5866,'[1]Перечень товаров'!$A$2:$I9525,3,0),"")</f>
        <v xml:space="preserve">Техника </v>
      </c>
      <c r="D5866" s="35" t="s">
        <v>30</v>
      </c>
      <c r="E5866" s="58"/>
      <c r="F5866" s="58"/>
      <c r="G5866" s="48">
        <v>1</v>
      </c>
      <c r="H5866" s="48"/>
      <c r="I5866" s="49"/>
      <c r="J5866" s="49"/>
      <c r="K5866" s="19"/>
      <c r="L5866" s="20"/>
    </row>
    <row r="5867" spans="1:12" outlineLevel="2">
      <c r="A5867" s="35"/>
      <c r="B5867" s="12" t="str">
        <f>IFERROR(VLOOKUP(D5867,'[1]Перечень товаров'!$A$2:$I9525,2,0),"")</f>
        <v>т4</v>
      </c>
      <c r="C5867" s="12" t="str">
        <f>IFERROR(VLOOKUP(D5867,'[1]Перечень товаров'!$A$2:$I9525,3,0),"")</f>
        <v xml:space="preserve">Техника </v>
      </c>
      <c r="D5867" s="35" t="s">
        <v>31</v>
      </c>
      <c r="E5867" s="58"/>
      <c r="F5867" s="58"/>
      <c r="G5867" s="48">
        <v>1</v>
      </c>
      <c r="H5867" s="48"/>
      <c r="I5867" s="49"/>
      <c r="J5867" s="49"/>
      <c r="K5867" s="19"/>
      <c r="L5867" s="20"/>
    </row>
    <row r="5868" spans="1:12" outlineLevel="2">
      <c r="A5868" s="21"/>
      <c r="B5868" s="12" t="str">
        <f>IFERROR(VLOOKUP(D5868,'[1]Перечень товаров'!$A$2:$I9525,2,0),"")</f>
        <v>тм65</v>
      </c>
      <c r="C5868" s="12" t="str">
        <f>IFERROR(VLOOKUP(D5868,'[1]Перечень товаров'!$A$2:$I9525,3,0),"")</f>
        <v>Техника муз</v>
      </c>
      <c r="D5868" s="22" t="s">
        <v>380</v>
      </c>
      <c r="E5868" s="58"/>
      <c r="F5868" s="58"/>
      <c r="G5868" s="48">
        <v>1</v>
      </c>
      <c r="H5868" s="48"/>
      <c r="I5868" s="49"/>
      <c r="J5868" s="49"/>
      <c r="K5868" s="19"/>
      <c r="L5868" s="20"/>
    </row>
    <row r="5869" spans="1:12" outlineLevel="2">
      <c r="A5869" s="21"/>
      <c r="B5869" s="12" t="str">
        <f>IFERROR(VLOOKUP(D5869,'[1]Перечень товаров'!$A$2:$I9525,2,0),"")</f>
        <v>т12</v>
      </c>
      <c r="C5869" s="12" t="str">
        <f>IFERROR(VLOOKUP(D5869,'[1]Перечень товаров'!$A$2:$I9525,3,0),"")</f>
        <v>Техника</v>
      </c>
      <c r="D5869" s="22" t="s">
        <v>49</v>
      </c>
      <c r="E5869" s="58"/>
      <c r="F5869" s="58"/>
      <c r="G5869" s="48">
        <v>1</v>
      </c>
      <c r="H5869" s="48"/>
      <c r="I5869" s="49"/>
      <c r="J5869" s="49"/>
      <c r="K5869" s="19"/>
      <c r="L5869" s="20"/>
    </row>
    <row r="5870" spans="1:12" outlineLevel="2">
      <c r="A5870" s="35"/>
      <c r="B5870" s="12" t="str">
        <f>IFERROR(VLOOKUP(D5870,'[1]Перечень товаров'!$A$2:$I9525,2,0),"")</f>
        <v>т6</v>
      </c>
      <c r="C5870" s="12" t="str">
        <f>IFERROR(VLOOKUP(D5870,'[1]Перечень товаров'!$A$2:$I9525,3,0),"")</f>
        <v xml:space="preserve">Техника </v>
      </c>
      <c r="D5870" s="35" t="s">
        <v>33</v>
      </c>
      <c r="E5870" s="58"/>
      <c r="F5870" s="58"/>
      <c r="G5870" s="48">
        <v>1</v>
      </c>
      <c r="H5870" s="48"/>
      <c r="I5870" s="49"/>
      <c r="J5870" s="49"/>
      <c r="K5870" s="19"/>
      <c r="L5870" s="20"/>
    </row>
    <row r="5871" spans="1:12" outlineLevel="2">
      <c r="A5871" s="21"/>
      <c r="B5871" s="12" t="str">
        <f>IFERROR(VLOOKUP(D5871,'[1]Перечень товаров'!$A$2:$I9525,2,0),"")</f>
        <v>т7</v>
      </c>
      <c r="C5871" s="12" t="str">
        <f>IFERROR(VLOOKUP(D5871,'[1]Перечень товаров'!$A$2:$I9525,3,0),"")</f>
        <v xml:space="preserve">Техника </v>
      </c>
      <c r="D5871" s="22" t="s">
        <v>34</v>
      </c>
      <c r="E5871" s="58"/>
      <c r="F5871" s="58"/>
      <c r="G5871" s="48">
        <v>3</v>
      </c>
      <c r="H5871" s="48"/>
      <c r="I5871" s="49"/>
      <c r="J5871" s="49"/>
      <c r="K5871" s="19"/>
      <c r="L5871" s="20"/>
    </row>
    <row r="5872" spans="1:12" outlineLevel="2">
      <c r="A5872" s="28"/>
      <c r="B5872" s="12" t="str">
        <f>IFERROR(VLOOKUP(D5872,'[1]Перечень товаров'!$A$2:$I9525,2,0),"")</f>
        <v>т161</v>
      </c>
      <c r="C5872" s="12" t="str">
        <f>IFERROR(VLOOKUP(D5872,'[1]Перечень товаров'!$A$2:$I9525,3,0),"")</f>
        <v xml:space="preserve">Техника </v>
      </c>
      <c r="D5872" s="29" t="s">
        <v>381</v>
      </c>
      <c r="E5872" s="30"/>
      <c r="F5872" s="30"/>
      <c r="G5872" s="59">
        <v>1</v>
      </c>
      <c r="H5872" s="59"/>
      <c r="I5872" s="60"/>
      <c r="J5872" s="60"/>
      <c r="K5872" s="19"/>
      <c r="L5872" s="20"/>
    </row>
    <row r="5873" spans="1:12" outlineLevel="2">
      <c r="A5873" s="113"/>
      <c r="B5873" s="12" t="str">
        <f>IFERROR(VLOOKUP(D5873,'[1]Перечень товаров'!$A$2:$I9525,2,0),"")</f>
        <v/>
      </c>
      <c r="C5873" s="12" t="str">
        <f>IFERROR(VLOOKUP(D5873,'[1]Перечень товаров'!$A$2:$I9525,3,0),"")</f>
        <v/>
      </c>
      <c r="D5873" s="114" t="s">
        <v>19</v>
      </c>
      <c r="E5873" s="115"/>
      <c r="F5873" s="115"/>
      <c r="G5873" s="59"/>
      <c r="H5873" s="59"/>
      <c r="I5873" s="60"/>
      <c r="J5873" s="60"/>
      <c r="K5873" s="19"/>
      <c r="L5873" s="20"/>
    </row>
    <row r="5874" spans="1:12" outlineLevel="2">
      <c r="A5874" s="34"/>
      <c r="B5874" s="12" t="str">
        <f>IFERROR(VLOOKUP(D5874,'[1]Перечень товаров'!$A$2:$I9525,2,0),"")</f>
        <v>м62</v>
      </c>
      <c r="C5874" s="12" t="str">
        <f>IFERROR(VLOOKUP(D5874,'[1]Перечень товаров'!$A$2:$I9525,3,0),"")</f>
        <v>Мебель</v>
      </c>
      <c r="D5874" s="35" t="s">
        <v>398</v>
      </c>
      <c r="E5874" s="88"/>
      <c r="F5874" s="88"/>
      <c r="G5874" s="59">
        <v>1</v>
      </c>
      <c r="H5874" s="59"/>
      <c r="I5874" s="60"/>
      <c r="J5874" s="60"/>
      <c r="K5874" s="19"/>
      <c r="L5874" s="20"/>
    </row>
    <row r="5875" spans="1:12" outlineLevel="2">
      <c r="A5875" s="34"/>
      <c r="B5875" s="12" t="str">
        <f>IFERROR(VLOOKUP(D5875,'[1]Перечень товаров'!$A$2:$I9525,2,0),"")</f>
        <v>м61</v>
      </c>
      <c r="C5875" s="12" t="str">
        <f>IFERROR(VLOOKUP(D5875,'[1]Перечень товаров'!$A$2:$I9525,3,0),"")</f>
        <v>Мебель</v>
      </c>
      <c r="D5875" s="35" t="s">
        <v>383</v>
      </c>
      <c r="E5875" s="88"/>
      <c r="F5875" s="88"/>
      <c r="G5875" s="59">
        <v>1</v>
      </c>
      <c r="H5875" s="59"/>
      <c r="I5875" s="60"/>
      <c r="J5875" s="60"/>
      <c r="K5875" s="19"/>
      <c r="L5875" s="20"/>
    </row>
    <row r="5876" spans="1:12" outlineLevel="2">
      <c r="A5876" s="34"/>
      <c r="B5876" s="12" t="str">
        <f>IFERROR(VLOOKUP(D5876,'[1]Перечень товаров'!$A$2:$I9525,2,0),"")</f>
        <v>м179</v>
      </c>
      <c r="C5876" s="12" t="str">
        <f>IFERROR(VLOOKUP(D5876,'[1]Перечень товаров'!$A$2:$I9525,3,0),"")</f>
        <v>Мебель</v>
      </c>
      <c r="D5876" s="35" t="s">
        <v>579</v>
      </c>
      <c r="E5876" s="88"/>
      <c r="F5876" s="88"/>
      <c r="G5876" s="59">
        <v>10</v>
      </c>
      <c r="H5876" s="59"/>
      <c r="I5876" s="60"/>
      <c r="J5876" s="60"/>
      <c r="K5876" s="19"/>
      <c r="L5876" s="20"/>
    </row>
    <row r="5877" spans="1:12" outlineLevel="2">
      <c r="A5877" s="34"/>
      <c r="B5877" s="12" t="str">
        <f>IFERROR(VLOOKUP(D5877,'[1]Перечень товаров'!$A$2:$I9525,2,0),"")</f>
        <v>м61</v>
      </c>
      <c r="C5877" s="12" t="str">
        <f>IFERROR(VLOOKUP(D5877,'[1]Перечень товаров'!$A$2:$I9525,3,0),"")</f>
        <v>Мебель</v>
      </c>
      <c r="D5877" s="35" t="s">
        <v>384</v>
      </c>
      <c r="E5877" s="88"/>
      <c r="F5877" s="88"/>
      <c r="G5877" s="59">
        <v>20</v>
      </c>
      <c r="H5877" s="59"/>
      <c r="I5877" s="60"/>
      <c r="J5877" s="60"/>
      <c r="K5877" s="19"/>
      <c r="L5877" s="20"/>
    </row>
    <row r="5878" spans="1:12" outlineLevel="2">
      <c r="A5878" s="21"/>
      <c r="B5878" s="12" t="str">
        <f>IFERROR(VLOOKUP(D5878,'[1]Перечень товаров'!$A$2:$I9525,2,0),"")</f>
        <v>м13</v>
      </c>
      <c r="C5878" s="12" t="str">
        <f>IFERROR(VLOOKUP(D5878,'[1]Перечень товаров'!$A$2:$I9525,3,0),"")</f>
        <v>Мебель</v>
      </c>
      <c r="D5878" s="22" t="s">
        <v>42</v>
      </c>
      <c r="E5878" s="58"/>
      <c r="F5878" s="58"/>
      <c r="G5878" s="24">
        <v>1</v>
      </c>
      <c r="H5878" s="24"/>
      <c r="I5878" s="25"/>
      <c r="J5878" s="25"/>
      <c r="K5878" s="19"/>
      <c r="L5878" s="20"/>
    </row>
    <row r="5879" spans="1:12" outlineLevel="2">
      <c r="A5879" s="21"/>
      <c r="B5879" s="12" t="str">
        <f>IFERROR(VLOOKUP(D5879,'[1]Перечень товаров'!$A$2:$I9525,2,0),"")</f>
        <v>м14</v>
      </c>
      <c r="C5879" s="12" t="str">
        <f>IFERROR(VLOOKUP(D5879,'[1]Перечень товаров'!$A$2:$I9525,3,0),"")</f>
        <v>Мебель</v>
      </c>
      <c r="D5879" s="22" t="s">
        <v>43</v>
      </c>
      <c r="E5879" s="58"/>
      <c r="F5879" s="58"/>
      <c r="G5879" s="24">
        <v>1</v>
      </c>
      <c r="H5879" s="24"/>
      <c r="I5879" s="25"/>
      <c r="J5879" s="25"/>
      <c r="K5879" s="19"/>
      <c r="L5879" s="20"/>
    </row>
    <row r="5880" spans="1:12" outlineLevel="2">
      <c r="A5880" s="21"/>
      <c r="B5880" s="12" t="str">
        <f>IFERROR(VLOOKUP(D5880,'[1]Перечень товаров'!$A$2:$I9525,2,0),"")</f>
        <v>п2</v>
      </c>
      <c r="C5880" s="12" t="str">
        <f>IFERROR(VLOOKUP(D5880,'[1]Перечень товаров'!$A$2:$I9525,3,0),"")</f>
        <v>Прочее</v>
      </c>
      <c r="D5880" s="22" t="s">
        <v>46</v>
      </c>
      <c r="E5880" s="58"/>
      <c r="F5880" s="58"/>
      <c r="G5880" s="24">
        <v>1</v>
      </c>
      <c r="H5880" s="24"/>
      <c r="I5880" s="25"/>
      <c r="J5880" s="25"/>
      <c r="K5880" s="19"/>
      <c r="L5880" s="20"/>
    </row>
    <row r="5881" spans="1:12" ht="31.5" outlineLevel="2">
      <c r="A5881" s="155"/>
      <c r="B5881" s="12" t="str">
        <f>IFERROR(VLOOKUP(D5881,'[1]Перечень товаров'!$A$2:$I9525,2,0),"")</f>
        <v>м21</v>
      </c>
      <c r="C5881" s="12" t="str">
        <f>IFERROR(VLOOKUP(D5881,'[1]Перечень товаров'!$A$2:$I9525,3,0),"")</f>
        <v>Мебель</v>
      </c>
      <c r="D5881" s="156" t="s">
        <v>58</v>
      </c>
      <c r="E5881" s="58"/>
      <c r="F5881" s="58"/>
      <c r="G5881" s="24">
        <v>1</v>
      </c>
      <c r="H5881" s="24"/>
      <c r="I5881" s="25"/>
      <c r="J5881" s="25"/>
      <c r="K5881" s="19"/>
      <c r="L5881" s="20"/>
    </row>
    <row r="5882" spans="1:12" outlineLevel="2">
      <c r="A5882" s="116"/>
      <c r="B5882" s="12" t="str">
        <f>IFERROR(VLOOKUP(D5882,'[1]Перечень товаров'!$A$2:$I9525,2,0),"")</f>
        <v/>
      </c>
      <c r="C5882" s="12" t="str">
        <f>IFERROR(VLOOKUP(D5882,'[1]Перечень товаров'!$A$2:$I9525,3,0),"")</f>
        <v/>
      </c>
      <c r="D5882" s="117" t="s">
        <v>391</v>
      </c>
      <c r="E5882" s="217"/>
      <c r="F5882" s="217"/>
      <c r="G5882" s="59"/>
      <c r="H5882" s="59"/>
      <c r="I5882" s="60"/>
      <c r="J5882" s="60"/>
      <c r="K5882" s="19"/>
      <c r="L5882" s="20"/>
    </row>
    <row r="5883" spans="1:12" outlineLevel="2">
      <c r="A5883" s="28"/>
      <c r="B5883" s="12" t="str">
        <f>IFERROR(VLOOKUP(D5883,'[1]Перечень товаров'!$A$2:$I9525,2,0),"")</f>
        <v>мм1</v>
      </c>
      <c r="C5883" s="12" t="str">
        <f>IFERROR(VLOOKUP(D5883,'[1]Перечень товаров'!$A$2:$I9525,3,0),"")</f>
        <v>Мебель муз</v>
      </c>
      <c r="D5883" s="29" t="s">
        <v>1134</v>
      </c>
      <c r="E5883" s="30"/>
      <c r="F5883" s="30"/>
      <c r="G5883" s="59">
        <v>1</v>
      </c>
      <c r="H5883" s="59"/>
      <c r="I5883" s="60"/>
      <c r="J5883" s="60"/>
      <c r="K5883" s="19"/>
      <c r="L5883" s="20"/>
    </row>
    <row r="5884" spans="1:12" ht="47.25" outlineLevel="2">
      <c r="A5884" s="28"/>
      <c r="B5884" s="12" t="str">
        <f>IFERROR(VLOOKUP(D5884,'[1]Перечень товаров'!$A$2:$I9525,2,0),"")</f>
        <v>пм168</v>
      </c>
      <c r="C5884" s="12" t="str">
        <f>IFERROR(VLOOKUP(D5884,'[1]Перечень товаров'!$A$2:$I9525,3,0),"")</f>
        <v>прочее муз</v>
      </c>
      <c r="D5884" s="29" t="s">
        <v>1135</v>
      </c>
      <c r="E5884" s="30"/>
      <c r="F5884" s="30"/>
      <c r="G5884" s="59">
        <v>4</v>
      </c>
      <c r="H5884" s="59"/>
      <c r="I5884" s="60"/>
      <c r="J5884" s="60"/>
      <c r="K5884" s="19"/>
      <c r="L5884" s="20"/>
    </row>
    <row r="5885" spans="1:12" outlineLevel="2">
      <c r="A5885" s="28"/>
      <c r="B5885" s="12" t="str">
        <f>IFERROR(VLOOKUP(D5885,'[1]Перечень товаров'!$A$2:$I9525,2,0),"")</f>
        <v>пм167</v>
      </c>
      <c r="C5885" s="12" t="str">
        <f>IFERROR(VLOOKUP(D5885,'[1]Перечень товаров'!$A$2:$I9525,3,0),"")</f>
        <v>прочее муз</v>
      </c>
      <c r="D5885" s="29" t="s">
        <v>1136</v>
      </c>
      <c r="E5885" s="30"/>
      <c r="F5885" s="30"/>
      <c r="G5885" s="59">
        <v>1</v>
      </c>
      <c r="H5885" s="59"/>
      <c r="I5885" s="60"/>
      <c r="J5885" s="60"/>
      <c r="K5885" s="19"/>
      <c r="L5885" s="20"/>
    </row>
    <row r="5886" spans="1:12" ht="31.5" outlineLevel="2">
      <c r="A5886" s="28"/>
      <c r="B5886" s="12" t="str">
        <f>IFERROR(VLOOKUP(D5886,'[1]Перечень товаров'!$A$2:$I9525,2,0),"")</f>
        <v>пм166</v>
      </c>
      <c r="C5886" s="12" t="str">
        <f>IFERROR(VLOOKUP(D5886,'[1]Перечень товаров'!$A$2:$I9525,3,0),"")</f>
        <v>прочее муз</v>
      </c>
      <c r="D5886" s="29" t="s">
        <v>1137</v>
      </c>
      <c r="E5886" s="30"/>
      <c r="F5886" s="30"/>
      <c r="G5886" s="59">
        <v>1</v>
      </c>
      <c r="H5886" s="59"/>
      <c r="I5886" s="60"/>
      <c r="J5886" s="60"/>
      <c r="K5886" s="19"/>
      <c r="L5886" s="20"/>
    </row>
    <row r="5887" spans="1:12" ht="31.5" outlineLevel="2">
      <c r="A5887" s="28"/>
      <c r="B5887" s="12" t="str">
        <f>IFERROR(VLOOKUP(D5887,'[1]Перечень товаров'!$A$2:$I9525,2,0),"")</f>
        <v>т130</v>
      </c>
      <c r="C5887" s="12" t="str">
        <f>IFERROR(VLOOKUP(D5887,'[1]Перечень товаров'!$A$2:$I9525,3,0),"")</f>
        <v>Техника</v>
      </c>
      <c r="D5887" s="29" t="s">
        <v>1138</v>
      </c>
      <c r="E5887" s="30"/>
      <c r="F5887" s="30"/>
      <c r="G5887" s="59">
        <v>1</v>
      </c>
      <c r="H5887" s="59"/>
      <c r="I5887" s="60"/>
      <c r="J5887" s="60"/>
      <c r="K5887" s="19"/>
      <c r="L5887" s="20"/>
    </row>
    <row r="5888" spans="1:12" outlineLevel="2">
      <c r="A5888" s="54"/>
      <c r="B5888" s="12" t="str">
        <f>IFERROR(VLOOKUP(D5888,'[1]Перечень товаров'!$A$2:$I9525,2,0),"")</f>
        <v/>
      </c>
      <c r="C5888" s="12" t="str">
        <f>IFERROR(VLOOKUP(D5888,'[1]Перечень товаров'!$A$2:$I9525,3,0),"")</f>
        <v/>
      </c>
      <c r="D5888" s="55" t="s">
        <v>45</v>
      </c>
      <c r="E5888" s="217"/>
      <c r="F5888" s="217"/>
      <c r="G5888" s="59"/>
      <c r="H5888" s="59"/>
      <c r="I5888" s="60"/>
      <c r="J5888" s="60"/>
      <c r="K5888" s="19"/>
      <c r="L5888" s="20"/>
    </row>
    <row r="5889" spans="1:12" outlineLevel="2">
      <c r="A5889" s="43"/>
      <c r="B5889" s="12" t="str">
        <f>IFERROR(VLOOKUP(D5889,'[1]Перечень товаров'!$A$2:$I9525,2,0),"")</f>
        <v>м7</v>
      </c>
      <c r="C5889" s="12" t="str">
        <f>IFERROR(VLOOKUP(D5889,'[1]Перечень товаров'!$A$2:$I9525,3,0),"")</f>
        <v>Мебель</v>
      </c>
      <c r="D5889" s="44" t="s">
        <v>24</v>
      </c>
      <c r="E5889" s="30"/>
      <c r="F5889" s="30"/>
      <c r="G5889" s="59">
        <v>1</v>
      </c>
      <c r="H5889" s="59"/>
      <c r="I5889" s="60"/>
      <c r="J5889" s="60"/>
      <c r="K5889" s="19"/>
      <c r="L5889" s="20"/>
    </row>
    <row r="5890" spans="1:12" outlineLevel="2">
      <c r="A5890" s="43"/>
      <c r="B5890" s="12" t="str">
        <f>IFERROR(VLOOKUP(D5890,'[1]Перечень товаров'!$A$2:$I9525,2,0),"")</f>
        <v>п1</v>
      </c>
      <c r="C5890" s="12" t="str">
        <f>IFERROR(VLOOKUP(D5890,'[1]Перечень товаров'!$A$2:$I9525,3,0),"")</f>
        <v>Прочее</v>
      </c>
      <c r="D5890" s="44" t="s">
        <v>37</v>
      </c>
      <c r="E5890" s="30"/>
      <c r="F5890" s="30"/>
      <c r="G5890" s="59">
        <v>1</v>
      </c>
      <c r="H5890" s="59"/>
      <c r="I5890" s="60"/>
      <c r="J5890" s="60"/>
      <c r="K5890" s="19"/>
      <c r="L5890" s="20"/>
    </row>
    <row r="5891" spans="1:12" ht="12.75" outlineLevel="1">
      <c r="A5891" s="89"/>
      <c r="B5891" s="12" t="str">
        <f>IFERROR(VLOOKUP(D5891,'[1]Перечень товаров'!$A$2:$I9525,2,0),"")</f>
        <v/>
      </c>
      <c r="C5891" s="12" t="str">
        <f>IFERROR(VLOOKUP(D5891,'[1]Перечень товаров'!$A$2:$I9525,3,0),"")</f>
        <v/>
      </c>
      <c r="D5891" s="90" t="s">
        <v>1679</v>
      </c>
      <c r="E5891" s="108">
        <v>46142</v>
      </c>
      <c r="F5891" s="108"/>
      <c r="G5891" s="100"/>
      <c r="H5891" s="100"/>
      <c r="I5891" s="101"/>
      <c r="J5891" s="101"/>
      <c r="K5891" s="19"/>
      <c r="L5891" s="20"/>
    </row>
    <row r="5892" spans="1:12" ht="15" outlineLevel="2">
      <c r="A5892" s="109"/>
      <c r="B5892" s="12" t="str">
        <f>IFERROR(VLOOKUP(D5892,'[1]Перечень товаров'!$A$2:$I9525,2,0),"")</f>
        <v/>
      </c>
      <c r="C5892" s="12" t="str">
        <f>IFERROR(VLOOKUP(D5892,'[1]Перечень товаров'!$A$2:$I9525,3,0),"")</f>
        <v/>
      </c>
      <c r="D5892" s="110" t="s">
        <v>27</v>
      </c>
      <c r="E5892" s="56"/>
      <c r="F5892" s="56"/>
      <c r="G5892" s="111"/>
      <c r="H5892" s="111"/>
      <c r="I5892" s="112"/>
      <c r="J5892" s="112"/>
      <c r="K5892" s="19"/>
      <c r="L5892" s="20"/>
    </row>
    <row r="5893" spans="1:12" outlineLevel="2">
      <c r="A5893" s="21"/>
      <c r="B5893" s="12" t="str">
        <f>IFERROR(VLOOKUP(D5893,'[1]Перечень товаров'!$A$2:$I9525,2,0),"")</f>
        <v>т1</v>
      </c>
      <c r="C5893" s="12" t="str">
        <f>IFERROR(VLOOKUP(D5893,'[1]Перечень товаров'!$A$2:$I9525,3,0),"")</f>
        <v xml:space="preserve">Техника </v>
      </c>
      <c r="D5893" s="22" t="s">
        <v>28</v>
      </c>
      <c r="E5893" s="58"/>
      <c r="F5893" s="58"/>
      <c r="G5893" s="48">
        <v>1</v>
      </c>
      <c r="H5893" s="48"/>
      <c r="I5893" s="49"/>
      <c r="J5893" s="49"/>
      <c r="K5893" s="19"/>
      <c r="L5893" s="20"/>
    </row>
    <row r="5894" spans="1:12" outlineLevel="2">
      <c r="A5894" s="35"/>
      <c r="B5894" s="12" t="str">
        <f>IFERROR(VLOOKUP(D5894,'[1]Перечень товаров'!$A$2:$I9525,2,0),"")</f>
        <v>т2</v>
      </c>
      <c r="C5894" s="12" t="str">
        <f>IFERROR(VLOOKUP(D5894,'[1]Перечень товаров'!$A$2:$I9525,3,0),"")</f>
        <v xml:space="preserve">Техника </v>
      </c>
      <c r="D5894" s="35" t="s">
        <v>29</v>
      </c>
      <c r="E5894" s="58"/>
      <c r="F5894" s="58"/>
      <c r="G5894" s="48">
        <v>1</v>
      </c>
      <c r="H5894" s="48"/>
      <c r="I5894" s="49"/>
      <c r="J5894" s="49"/>
      <c r="K5894" s="19"/>
      <c r="L5894" s="20"/>
    </row>
    <row r="5895" spans="1:12" outlineLevel="2">
      <c r="A5895" s="35"/>
      <c r="B5895" s="12" t="str">
        <f>IFERROR(VLOOKUP(D5895,'[1]Перечень товаров'!$A$2:$I9525,2,0),"")</f>
        <v>т3</v>
      </c>
      <c r="C5895" s="12" t="str">
        <f>IFERROR(VLOOKUP(D5895,'[1]Перечень товаров'!$A$2:$I9525,3,0),"")</f>
        <v xml:space="preserve">Техника </v>
      </c>
      <c r="D5895" s="35" t="s">
        <v>30</v>
      </c>
      <c r="E5895" s="58"/>
      <c r="F5895" s="58"/>
      <c r="G5895" s="48">
        <v>1</v>
      </c>
      <c r="H5895" s="48"/>
      <c r="I5895" s="49"/>
      <c r="J5895" s="49"/>
      <c r="K5895" s="19"/>
      <c r="L5895" s="20"/>
    </row>
    <row r="5896" spans="1:12" outlineLevel="2">
      <c r="A5896" s="143"/>
      <c r="B5896" s="12" t="str">
        <f>IFERROR(VLOOKUP(D5896,'[1]Перечень товаров'!$A$2:$I9525,2,0),"")</f>
        <v>т9</v>
      </c>
      <c r="C5896" s="12" t="str">
        <f>IFERROR(VLOOKUP(D5896,'[1]Перечень товаров'!$A$2:$I9525,3,0),"")</f>
        <v>Техника</v>
      </c>
      <c r="D5896" s="143" t="s">
        <v>36</v>
      </c>
      <c r="E5896" s="58"/>
      <c r="F5896" s="58"/>
      <c r="G5896" s="48">
        <v>1</v>
      </c>
      <c r="H5896" s="48"/>
      <c r="I5896" s="49"/>
      <c r="J5896" s="49"/>
      <c r="K5896" s="19"/>
      <c r="L5896" s="20"/>
    </row>
    <row r="5897" spans="1:12" outlineLevel="2">
      <c r="A5897" s="35"/>
      <c r="B5897" s="12" t="str">
        <f>IFERROR(VLOOKUP(D5897,'[1]Перечень товаров'!$A$2:$I9525,2,0),"")</f>
        <v>т4</v>
      </c>
      <c r="C5897" s="12" t="str">
        <f>IFERROR(VLOOKUP(D5897,'[1]Перечень товаров'!$A$2:$I9525,3,0),"")</f>
        <v xml:space="preserve">Техника </v>
      </c>
      <c r="D5897" s="35" t="s">
        <v>31</v>
      </c>
      <c r="E5897" s="58"/>
      <c r="F5897" s="58"/>
      <c r="G5897" s="48">
        <v>1</v>
      </c>
      <c r="H5897" s="48"/>
      <c r="I5897" s="49"/>
      <c r="J5897" s="49"/>
      <c r="K5897" s="19"/>
      <c r="L5897" s="20"/>
    </row>
    <row r="5898" spans="1:12" outlineLevel="2">
      <c r="A5898" s="21"/>
      <c r="B5898" s="12" t="str">
        <f>IFERROR(VLOOKUP(D5898,'[1]Перечень товаров'!$A$2:$I9525,2,0),"")</f>
        <v>тм65</v>
      </c>
      <c r="C5898" s="12" t="str">
        <f>IFERROR(VLOOKUP(D5898,'[1]Перечень товаров'!$A$2:$I9525,3,0),"")</f>
        <v>Техника муз</v>
      </c>
      <c r="D5898" s="22" t="s">
        <v>380</v>
      </c>
      <c r="E5898" s="58"/>
      <c r="F5898" s="58"/>
      <c r="G5898" s="48">
        <v>1</v>
      </c>
      <c r="H5898" s="48"/>
      <c r="I5898" s="49"/>
      <c r="J5898" s="49"/>
      <c r="K5898" s="19"/>
      <c r="L5898" s="20"/>
    </row>
    <row r="5899" spans="1:12" outlineLevel="2">
      <c r="A5899" s="21"/>
      <c r="B5899" s="12" t="str">
        <f>IFERROR(VLOOKUP(D5899,'[1]Перечень товаров'!$A$2:$I9525,2,0),"")</f>
        <v>т12</v>
      </c>
      <c r="C5899" s="12" t="str">
        <f>IFERROR(VLOOKUP(D5899,'[1]Перечень товаров'!$A$2:$I9525,3,0),"")</f>
        <v>Техника</v>
      </c>
      <c r="D5899" s="22" t="s">
        <v>49</v>
      </c>
      <c r="E5899" s="58"/>
      <c r="F5899" s="58"/>
      <c r="G5899" s="48">
        <v>1</v>
      </c>
      <c r="H5899" s="48"/>
      <c r="I5899" s="49"/>
      <c r="J5899" s="49"/>
      <c r="K5899" s="19"/>
      <c r="L5899" s="20"/>
    </row>
    <row r="5900" spans="1:12" outlineLevel="2">
      <c r="A5900" s="35"/>
      <c r="B5900" s="12" t="str">
        <f>IFERROR(VLOOKUP(D5900,'[1]Перечень товаров'!$A$2:$I9525,2,0),"")</f>
        <v>т6</v>
      </c>
      <c r="C5900" s="12" t="str">
        <f>IFERROR(VLOOKUP(D5900,'[1]Перечень товаров'!$A$2:$I9525,3,0),"")</f>
        <v xml:space="preserve">Техника </v>
      </c>
      <c r="D5900" s="35" t="s">
        <v>33</v>
      </c>
      <c r="E5900" s="58"/>
      <c r="F5900" s="58"/>
      <c r="G5900" s="48">
        <v>1</v>
      </c>
      <c r="H5900" s="48"/>
      <c r="I5900" s="49"/>
      <c r="J5900" s="49"/>
      <c r="K5900" s="19"/>
      <c r="L5900" s="20"/>
    </row>
    <row r="5901" spans="1:12" outlineLevel="2">
      <c r="A5901" s="21"/>
      <c r="B5901" s="12" t="str">
        <f>IFERROR(VLOOKUP(D5901,'[1]Перечень товаров'!$A$2:$I9525,2,0),"")</f>
        <v>т7</v>
      </c>
      <c r="C5901" s="12" t="str">
        <f>IFERROR(VLOOKUP(D5901,'[1]Перечень товаров'!$A$2:$I9525,3,0),"")</f>
        <v xml:space="preserve">Техника </v>
      </c>
      <c r="D5901" s="22" t="s">
        <v>34</v>
      </c>
      <c r="E5901" s="58"/>
      <c r="F5901" s="58"/>
      <c r="G5901" s="48">
        <v>3</v>
      </c>
      <c r="H5901" s="48"/>
      <c r="I5901" s="49"/>
      <c r="J5901" s="49"/>
      <c r="K5901" s="19"/>
      <c r="L5901" s="20"/>
    </row>
    <row r="5902" spans="1:12" outlineLevel="2">
      <c r="A5902" s="28"/>
      <c r="B5902" s="12" t="str">
        <f>IFERROR(VLOOKUP(D5902,'[1]Перечень товаров'!$A$2:$I9525,2,0),"")</f>
        <v>т161</v>
      </c>
      <c r="C5902" s="12" t="str">
        <f>IFERROR(VLOOKUP(D5902,'[1]Перечень товаров'!$A$2:$I9525,3,0),"")</f>
        <v xml:space="preserve">Техника </v>
      </c>
      <c r="D5902" s="29" t="s">
        <v>381</v>
      </c>
      <c r="E5902" s="30"/>
      <c r="F5902" s="30"/>
      <c r="G5902" s="59">
        <v>1</v>
      </c>
      <c r="H5902" s="59"/>
      <c r="I5902" s="60"/>
      <c r="J5902" s="60"/>
      <c r="K5902" s="19"/>
      <c r="L5902" s="20"/>
    </row>
    <row r="5903" spans="1:12" outlineLevel="2">
      <c r="A5903" s="28"/>
      <c r="B5903" s="12" t="str">
        <f>IFERROR(VLOOKUP(D5903,'[1]Перечень товаров'!$A$2:$I9525,2,0),"")</f>
        <v/>
      </c>
      <c r="C5903" s="12" t="str">
        <f>IFERROR(VLOOKUP(D5903,'[1]Перечень товаров'!$A$2:$I9525,3,0),"")</f>
        <v/>
      </c>
      <c r="D5903" s="29" t="s">
        <v>1680</v>
      </c>
      <c r="E5903" s="30"/>
      <c r="F5903" s="30"/>
      <c r="G5903" s="31">
        <v>1</v>
      </c>
      <c r="H5903" s="31"/>
      <c r="I5903" s="32"/>
      <c r="J5903" s="32"/>
      <c r="K5903" s="19"/>
      <c r="L5903" s="20"/>
    </row>
    <row r="5904" spans="1:12" outlineLevel="2">
      <c r="A5904" s="113"/>
      <c r="B5904" s="12" t="str">
        <f>IFERROR(VLOOKUP(D5904,'[1]Перечень товаров'!$A$2:$I9525,2,0),"")</f>
        <v/>
      </c>
      <c r="C5904" s="12" t="str">
        <f>IFERROR(VLOOKUP(D5904,'[1]Перечень товаров'!$A$2:$I9525,3,0),"")</f>
        <v/>
      </c>
      <c r="D5904" s="114" t="s">
        <v>19</v>
      </c>
      <c r="E5904" s="258"/>
      <c r="F5904" s="258"/>
      <c r="G5904" s="59"/>
      <c r="H5904" s="59"/>
      <c r="I5904" s="60"/>
      <c r="J5904" s="60"/>
      <c r="K5904" s="19"/>
      <c r="L5904" s="20"/>
    </row>
    <row r="5905" spans="1:12" outlineLevel="2">
      <c r="A5905" s="34"/>
      <c r="B5905" s="12" t="str">
        <f>IFERROR(VLOOKUP(D5905,'[1]Перечень товаров'!$A$2:$I9525,2,0),"")</f>
        <v>м62</v>
      </c>
      <c r="C5905" s="12" t="str">
        <f>IFERROR(VLOOKUP(D5905,'[1]Перечень товаров'!$A$2:$I9525,3,0),"")</f>
        <v>Мебель</v>
      </c>
      <c r="D5905" s="35" t="s">
        <v>398</v>
      </c>
      <c r="E5905" s="88"/>
      <c r="F5905" s="88"/>
      <c r="G5905" s="59">
        <v>1</v>
      </c>
      <c r="H5905" s="59"/>
      <c r="I5905" s="60"/>
      <c r="J5905" s="60"/>
      <c r="K5905" s="19"/>
      <c r="L5905" s="20"/>
    </row>
    <row r="5906" spans="1:12" outlineLevel="2">
      <c r="A5906" s="34"/>
      <c r="B5906" s="12" t="str">
        <f>IFERROR(VLOOKUP(D5906,'[1]Перечень товаров'!$A$2:$I9525,2,0),"")</f>
        <v>м61</v>
      </c>
      <c r="C5906" s="12" t="str">
        <f>IFERROR(VLOOKUP(D5906,'[1]Перечень товаров'!$A$2:$I9525,3,0),"")</f>
        <v>Мебель</v>
      </c>
      <c r="D5906" s="35" t="s">
        <v>383</v>
      </c>
      <c r="E5906" s="88"/>
      <c r="F5906" s="88"/>
      <c r="G5906" s="59">
        <v>1</v>
      </c>
      <c r="H5906" s="59"/>
      <c r="I5906" s="60"/>
      <c r="J5906" s="60"/>
      <c r="K5906" s="19"/>
      <c r="L5906" s="20"/>
    </row>
    <row r="5907" spans="1:12" outlineLevel="2">
      <c r="A5907" s="34"/>
      <c r="B5907" s="12" t="str">
        <f>IFERROR(VLOOKUP(D5907,'[1]Перечень товаров'!$A$2:$I9525,2,0),"")</f>
        <v>м179</v>
      </c>
      <c r="C5907" s="12" t="str">
        <f>IFERROR(VLOOKUP(D5907,'[1]Перечень товаров'!$A$2:$I9525,3,0),"")</f>
        <v>Мебель</v>
      </c>
      <c r="D5907" s="35" t="s">
        <v>579</v>
      </c>
      <c r="E5907" s="88"/>
      <c r="F5907" s="88"/>
      <c r="G5907" s="59">
        <v>10</v>
      </c>
      <c r="H5907" s="59"/>
      <c r="I5907" s="60"/>
      <c r="J5907" s="60"/>
      <c r="K5907" s="19"/>
      <c r="L5907" s="20"/>
    </row>
    <row r="5908" spans="1:12" outlineLevel="2">
      <c r="A5908" s="34"/>
      <c r="B5908" s="12" t="str">
        <f>IFERROR(VLOOKUP(D5908,'[1]Перечень товаров'!$A$2:$I9525,2,0),"")</f>
        <v>м61</v>
      </c>
      <c r="C5908" s="12" t="str">
        <f>IFERROR(VLOOKUP(D5908,'[1]Перечень товаров'!$A$2:$I9525,3,0),"")</f>
        <v>Мебель</v>
      </c>
      <c r="D5908" s="35" t="s">
        <v>384</v>
      </c>
      <c r="E5908" s="88"/>
      <c r="F5908" s="88"/>
      <c r="G5908" s="59">
        <v>20</v>
      </c>
      <c r="H5908" s="59"/>
      <c r="I5908" s="60"/>
      <c r="J5908" s="60"/>
      <c r="K5908" s="19"/>
      <c r="L5908" s="20"/>
    </row>
    <row r="5909" spans="1:12" outlineLevel="2">
      <c r="A5909" s="21"/>
      <c r="B5909" s="12" t="str">
        <f>IFERROR(VLOOKUP(D5909,'[1]Перечень товаров'!$A$2:$I9525,2,0),"")</f>
        <v>м13</v>
      </c>
      <c r="C5909" s="12" t="str">
        <f>IFERROR(VLOOKUP(D5909,'[1]Перечень товаров'!$A$2:$I9525,3,0),"")</f>
        <v>Мебель</v>
      </c>
      <c r="D5909" s="22" t="s">
        <v>42</v>
      </c>
      <c r="E5909" s="58"/>
      <c r="F5909" s="58"/>
      <c r="G5909" s="24">
        <v>1</v>
      </c>
      <c r="H5909" s="24"/>
      <c r="I5909" s="25"/>
      <c r="J5909" s="25"/>
      <c r="K5909" s="19"/>
      <c r="L5909" s="20"/>
    </row>
    <row r="5910" spans="1:12" outlineLevel="2">
      <c r="A5910" s="21"/>
      <c r="B5910" s="12" t="str">
        <f>IFERROR(VLOOKUP(D5910,'[1]Перечень товаров'!$A$2:$I9525,2,0),"")</f>
        <v>м14</v>
      </c>
      <c r="C5910" s="12" t="str">
        <f>IFERROR(VLOOKUP(D5910,'[1]Перечень товаров'!$A$2:$I9525,3,0),"")</f>
        <v>Мебель</v>
      </c>
      <c r="D5910" s="22" t="s">
        <v>43</v>
      </c>
      <c r="E5910" s="58"/>
      <c r="F5910" s="58"/>
      <c r="G5910" s="24">
        <v>1</v>
      </c>
      <c r="H5910" s="24"/>
      <c r="I5910" s="25"/>
      <c r="J5910" s="25"/>
      <c r="K5910" s="19"/>
      <c r="L5910" s="20"/>
    </row>
    <row r="5911" spans="1:12" ht="15" outlineLevel="2">
      <c r="A5911" s="54"/>
      <c r="B5911" s="12" t="str">
        <f>IFERROR(VLOOKUP(D5911,'[1]Перечень товаров'!$A$2:$I9525,2,0),"")</f>
        <v/>
      </c>
      <c r="C5911" s="12" t="str">
        <f>IFERROR(VLOOKUP(D5911,'[1]Перечень товаров'!$A$2:$I9525,3,0),"")</f>
        <v/>
      </c>
      <c r="D5911" s="55" t="s">
        <v>45</v>
      </c>
      <c r="E5911" s="56"/>
      <c r="F5911" s="56"/>
      <c r="G5911" s="17"/>
      <c r="H5911" s="17"/>
      <c r="I5911" s="57"/>
      <c r="J5911" s="57"/>
      <c r="K5911" s="19"/>
      <c r="L5911" s="20"/>
    </row>
    <row r="5912" spans="1:12" outlineLevel="2">
      <c r="A5912" s="21"/>
      <c r="B5912" s="12" t="str">
        <f>IFERROR(VLOOKUP(D5912,'[1]Перечень товаров'!$A$2:$I9525,2,0),"")</f>
        <v>п2</v>
      </c>
      <c r="C5912" s="12" t="str">
        <f>IFERROR(VLOOKUP(D5912,'[1]Перечень товаров'!$A$2:$I9525,3,0),"")</f>
        <v>Прочее</v>
      </c>
      <c r="D5912" s="22" t="s">
        <v>46</v>
      </c>
      <c r="E5912" s="58"/>
      <c r="F5912" s="58"/>
      <c r="G5912" s="24">
        <v>1</v>
      </c>
      <c r="H5912" s="24"/>
      <c r="I5912" s="25"/>
      <c r="J5912" s="25"/>
      <c r="K5912" s="19"/>
      <c r="L5912" s="20"/>
    </row>
    <row r="5913" spans="1:12" outlineLevel="2">
      <c r="A5913" s="43"/>
      <c r="B5913" s="12" t="str">
        <f>IFERROR(VLOOKUP(D5913,'[1]Перечень товаров'!$A$2:$I9525,2,0),"")</f>
        <v>м7</v>
      </c>
      <c r="C5913" s="12" t="str">
        <f>IFERROR(VLOOKUP(D5913,'[1]Перечень товаров'!$A$2:$I9525,3,0),"")</f>
        <v>Мебель</v>
      </c>
      <c r="D5913" s="44" t="s">
        <v>24</v>
      </c>
      <c r="E5913" s="30"/>
      <c r="F5913" s="30"/>
      <c r="G5913" s="59">
        <v>1</v>
      </c>
      <c r="H5913" s="59"/>
      <c r="I5913" s="60"/>
      <c r="J5913" s="60"/>
      <c r="K5913" s="19"/>
      <c r="L5913" s="20"/>
    </row>
    <row r="5914" spans="1:12" outlineLevel="2">
      <c r="A5914" s="43"/>
      <c r="B5914" s="12" t="str">
        <f>IFERROR(VLOOKUP(D5914,'[1]Перечень товаров'!$A$2:$I9525,2,0),"")</f>
        <v>п1</v>
      </c>
      <c r="C5914" s="12" t="str">
        <f>IFERROR(VLOOKUP(D5914,'[1]Перечень товаров'!$A$2:$I9525,3,0),"")</f>
        <v>Прочее</v>
      </c>
      <c r="D5914" s="44" t="s">
        <v>37</v>
      </c>
      <c r="E5914" s="30"/>
      <c r="F5914" s="30"/>
      <c r="G5914" s="59">
        <v>1</v>
      </c>
      <c r="H5914" s="59"/>
      <c r="I5914" s="60"/>
      <c r="J5914" s="60"/>
      <c r="K5914" s="19"/>
      <c r="L5914" s="20"/>
    </row>
    <row r="5915" spans="1:12" ht="15" outlineLevel="2">
      <c r="A5915" s="116"/>
      <c r="B5915" s="12" t="str">
        <f>IFERROR(VLOOKUP(D5915,'[1]Перечень товаров'!$A$2:$I9525,2,0),"")</f>
        <v/>
      </c>
      <c r="C5915" s="12" t="str">
        <f>IFERROR(VLOOKUP(D5915,'[1]Перечень товаров'!$A$2:$I9525,3,0),"")</f>
        <v/>
      </c>
      <c r="D5915" s="117" t="s">
        <v>391</v>
      </c>
      <c r="E5915" s="122"/>
      <c r="F5915" s="122"/>
      <c r="G5915" s="123"/>
      <c r="H5915" s="123"/>
      <c r="I5915" s="124"/>
      <c r="J5915" s="124"/>
      <c r="K5915" s="19"/>
      <c r="L5915" s="20"/>
    </row>
    <row r="5916" spans="1:12" outlineLevel="2">
      <c r="A5916" s="28"/>
      <c r="B5916" s="12" t="str">
        <f>IFERROR(VLOOKUP(D5916,'[1]Перечень товаров'!$A$2:$I9525,2,0),"")</f>
        <v>мм1</v>
      </c>
      <c r="C5916" s="12" t="str">
        <f>IFERROR(VLOOKUP(D5916,'[1]Перечень товаров'!$A$2:$I9525,3,0),"")</f>
        <v>Мебель муз</v>
      </c>
      <c r="D5916" s="29" t="s">
        <v>1134</v>
      </c>
      <c r="E5916" s="30"/>
      <c r="F5916" s="30"/>
      <c r="G5916" s="31">
        <v>1</v>
      </c>
      <c r="H5916" s="31"/>
      <c r="I5916" s="32"/>
      <c r="J5916" s="32"/>
      <c r="K5916" s="19"/>
      <c r="L5916" s="20"/>
    </row>
    <row r="5917" spans="1:12" outlineLevel="2">
      <c r="A5917" s="135"/>
      <c r="B5917" s="12" t="str">
        <f>IFERROR(VLOOKUP(D5917,'[1]Перечень товаров'!$A$2:$I9525,2,0),"")</f>
        <v>т87</v>
      </c>
      <c r="C5917" s="12" t="str">
        <f>IFERROR(VLOOKUP(D5917,'[1]Перечень товаров'!$A$2:$I9525,3,0),"")</f>
        <v>Техника</v>
      </c>
      <c r="D5917" s="136" t="s">
        <v>1025</v>
      </c>
      <c r="E5917" s="173"/>
      <c r="F5917" s="173"/>
      <c r="G5917" s="259">
        <v>1</v>
      </c>
      <c r="H5917" s="259"/>
      <c r="I5917" s="260"/>
      <c r="J5917" s="260"/>
      <c r="K5917" s="19"/>
      <c r="L5917" s="20"/>
    </row>
    <row r="5918" spans="1:12" outlineLevel="2">
      <c r="A5918" s="28"/>
      <c r="B5918" s="12" t="str">
        <f>IFERROR(VLOOKUP(D5918,'[1]Перечень товаров'!$A$2:$I9525,2,0),"")</f>
        <v>пм111</v>
      </c>
      <c r="C5918" s="12" t="str">
        <f>IFERROR(VLOOKUP(D5918,'[1]Перечень товаров'!$A$2:$I9525,3,0),"")</f>
        <v>прочее муз</v>
      </c>
      <c r="D5918" s="29" t="s">
        <v>1681</v>
      </c>
      <c r="E5918" s="30"/>
      <c r="F5918" s="30"/>
      <c r="G5918" s="31">
        <v>1</v>
      </c>
      <c r="H5918" s="31"/>
      <c r="I5918" s="32"/>
      <c r="J5918" s="32"/>
      <c r="K5918" s="19"/>
      <c r="L5918" s="20"/>
    </row>
    <row r="5919" spans="1:12" outlineLevel="2">
      <c r="A5919" s="28"/>
      <c r="B5919" s="12" t="str">
        <f>IFERROR(VLOOKUP(D5919,'[1]Перечень товаров'!$A$2:$I9525,2,0),"")</f>
        <v>пм110</v>
      </c>
      <c r="C5919" s="12" t="str">
        <f>IFERROR(VLOOKUP(D5919,'[1]Перечень товаров'!$A$2:$I9525,3,0),"")</f>
        <v>прочее муз</v>
      </c>
      <c r="D5919" s="29" t="s">
        <v>1682</v>
      </c>
      <c r="E5919" s="30"/>
      <c r="F5919" s="30"/>
      <c r="G5919" s="31">
        <v>1</v>
      </c>
      <c r="H5919" s="31"/>
      <c r="I5919" s="32"/>
      <c r="J5919" s="32"/>
      <c r="K5919" s="19"/>
      <c r="L5919" s="20"/>
    </row>
    <row r="5920" spans="1:12" ht="31.5" outlineLevel="2">
      <c r="A5920" s="28"/>
      <c r="B5920" s="12" t="str">
        <f>IFERROR(VLOOKUP(D5920,'[1]Перечень товаров'!$A$2:$I9525,2,0),"")</f>
        <v>д247</v>
      </c>
      <c r="C5920" s="12" t="str">
        <f>IFERROR(VLOOKUP(D5920,'[1]Перечень товаров'!$A$2:$I9525,3,0),"")</f>
        <v>Дидактика</v>
      </c>
      <c r="D5920" s="29" t="s">
        <v>1683</v>
      </c>
      <c r="E5920" s="30"/>
      <c r="F5920" s="30"/>
      <c r="G5920" s="31">
        <v>20</v>
      </c>
      <c r="H5920" s="31"/>
      <c r="I5920" s="32"/>
      <c r="J5920" s="32"/>
      <c r="K5920" s="19"/>
      <c r="L5920" s="20"/>
    </row>
    <row r="5921" spans="1:12" ht="31.5" outlineLevel="2">
      <c r="A5921" s="28"/>
      <c r="B5921" s="12" t="str">
        <f>IFERROR(VLOOKUP(D5921,'[1]Перечень товаров'!$A$2:$I9525,2,0),"")</f>
        <v>пм109</v>
      </c>
      <c r="C5921" s="12" t="str">
        <f>IFERROR(VLOOKUP(D5921,'[1]Перечень товаров'!$A$2:$I9525,3,0),"")</f>
        <v>прочее муз</v>
      </c>
      <c r="D5921" s="29" t="s">
        <v>1684</v>
      </c>
      <c r="E5921" s="30"/>
      <c r="F5921" s="30"/>
      <c r="G5921" s="31">
        <v>1</v>
      </c>
      <c r="H5921" s="31"/>
      <c r="I5921" s="32"/>
      <c r="J5921" s="32"/>
      <c r="K5921" s="19"/>
      <c r="L5921" s="20"/>
    </row>
    <row r="5922" spans="1:12" ht="47.25" outlineLevel="2">
      <c r="A5922" s="28"/>
      <c r="B5922" s="12" t="str">
        <f>IFERROR(VLOOKUP(D5922,'[1]Перечень товаров'!$A$2:$I9525,2,0),"")</f>
        <v>пм168</v>
      </c>
      <c r="C5922" s="12" t="str">
        <f>IFERROR(VLOOKUP(D5922,'[1]Перечень товаров'!$A$2:$I9525,3,0),"")</f>
        <v>прочее муз</v>
      </c>
      <c r="D5922" s="29" t="s">
        <v>1135</v>
      </c>
      <c r="E5922" s="30"/>
      <c r="F5922" s="30"/>
      <c r="G5922" s="59">
        <v>1</v>
      </c>
      <c r="H5922" s="59"/>
      <c r="I5922" s="60"/>
      <c r="J5922" s="60"/>
      <c r="K5922" s="19"/>
      <c r="L5922" s="20"/>
    </row>
    <row r="5923" spans="1:12" ht="12.75" outlineLevel="1">
      <c r="A5923" s="89"/>
      <c r="B5923" s="12" t="str">
        <f>IFERROR(VLOOKUP(D5923,'[1]Перечень товаров'!$A$2:$I9525,2,0),"")</f>
        <v/>
      </c>
      <c r="C5923" s="12" t="str">
        <f>IFERROR(VLOOKUP(D5923,'[1]Перечень товаров'!$A$2:$I9525,3,0),"")</f>
        <v/>
      </c>
      <c r="D5923" s="90" t="s">
        <v>1679</v>
      </c>
      <c r="E5923" s="91" t="s">
        <v>1685</v>
      </c>
      <c r="F5923" s="91"/>
      <c r="G5923" s="17"/>
      <c r="H5923" s="17"/>
      <c r="I5923" s="57"/>
      <c r="J5923" s="57"/>
      <c r="K5923" s="19"/>
      <c r="L5923" s="20"/>
    </row>
    <row r="5924" spans="1:12" ht="15" outlineLevel="2">
      <c r="A5924" s="109"/>
      <c r="B5924" s="12" t="str">
        <f>IFERROR(VLOOKUP(D5924,'[1]Перечень товаров'!$A$2:$I9525,2,0),"")</f>
        <v/>
      </c>
      <c r="C5924" s="12" t="str">
        <f>IFERROR(VLOOKUP(D5924,'[1]Перечень товаров'!$A$2:$I9525,3,0),"")</f>
        <v/>
      </c>
      <c r="D5924" s="110" t="s">
        <v>27</v>
      </c>
      <c r="E5924" s="56"/>
      <c r="F5924" s="56"/>
      <c r="G5924" s="111"/>
      <c r="H5924" s="111"/>
      <c r="I5924" s="112"/>
      <c r="J5924" s="112"/>
      <c r="K5924" s="19"/>
      <c r="L5924" s="20"/>
    </row>
    <row r="5925" spans="1:12" outlineLevel="2">
      <c r="A5925" s="21"/>
      <c r="B5925" s="12" t="str">
        <f>IFERROR(VLOOKUP(D5925,'[1]Перечень товаров'!$A$2:$I9525,2,0),"")</f>
        <v>т1</v>
      </c>
      <c r="C5925" s="12" t="str">
        <f>IFERROR(VLOOKUP(D5925,'[1]Перечень товаров'!$A$2:$I9525,3,0),"")</f>
        <v xml:space="preserve">Техника </v>
      </c>
      <c r="D5925" s="22" t="s">
        <v>28</v>
      </c>
      <c r="E5925" s="58"/>
      <c r="F5925" s="58"/>
      <c r="G5925" s="48">
        <v>1</v>
      </c>
      <c r="H5925" s="48"/>
      <c r="I5925" s="49"/>
      <c r="J5925" s="49"/>
      <c r="K5925" s="19"/>
      <c r="L5925" s="20"/>
    </row>
    <row r="5926" spans="1:12" outlineLevel="2">
      <c r="A5926" s="35"/>
      <c r="B5926" s="12" t="str">
        <f>IFERROR(VLOOKUP(D5926,'[1]Перечень товаров'!$A$2:$I9525,2,0),"")</f>
        <v>т2</v>
      </c>
      <c r="C5926" s="12" t="str">
        <f>IFERROR(VLOOKUP(D5926,'[1]Перечень товаров'!$A$2:$I9525,3,0),"")</f>
        <v xml:space="preserve">Техника </v>
      </c>
      <c r="D5926" s="35" t="s">
        <v>29</v>
      </c>
      <c r="E5926" s="58"/>
      <c r="F5926" s="58"/>
      <c r="G5926" s="48">
        <v>1</v>
      </c>
      <c r="H5926" s="48"/>
      <c r="I5926" s="49"/>
      <c r="J5926" s="49"/>
      <c r="K5926" s="19"/>
      <c r="L5926" s="20"/>
    </row>
    <row r="5927" spans="1:12" outlineLevel="2">
      <c r="A5927" s="35"/>
      <c r="B5927" s="12" t="str">
        <f>IFERROR(VLOOKUP(D5927,'[1]Перечень товаров'!$A$2:$I9525,2,0),"")</f>
        <v>т3</v>
      </c>
      <c r="C5927" s="12" t="str">
        <f>IFERROR(VLOOKUP(D5927,'[1]Перечень товаров'!$A$2:$I9525,3,0),"")</f>
        <v xml:space="preserve">Техника </v>
      </c>
      <c r="D5927" s="35" t="s">
        <v>30</v>
      </c>
      <c r="E5927" s="58"/>
      <c r="F5927" s="58"/>
      <c r="G5927" s="48">
        <v>1</v>
      </c>
      <c r="H5927" s="48"/>
      <c r="I5927" s="49"/>
      <c r="J5927" s="49"/>
      <c r="K5927" s="19"/>
      <c r="L5927" s="20"/>
    </row>
    <row r="5928" spans="1:12" outlineLevel="2">
      <c r="A5928" s="143"/>
      <c r="B5928" s="12" t="str">
        <f>IFERROR(VLOOKUP(D5928,'[1]Перечень товаров'!$A$2:$I9525,2,0),"")</f>
        <v>т9</v>
      </c>
      <c r="C5928" s="12" t="str">
        <f>IFERROR(VLOOKUP(D5928,'[1]Перечень товаров'!$A$2:$I9525,3,0),"")</f>
        <v>Техника</v>
      </c>
      <c r="D5928" s="143" t="s">
        <v>36</v>
      </c>
      <c r="E5928" s="58"/>
      <c r="F5928" s="58"/>
      <c r="G5928" s="48">
        <v>1</v>
      </c>
      <c r="H5928" s="48"/>
      <c r="I5928" s="49"/>
      <c r="J5928" s="49"/>
      <c r="K5928" s="19"/>
      <c r="L5928" s="20"/>
    </row>
    <row r="5929" spans="1:12" outlineLevel="2">
      <c r="A5929" s="35"/>
      <c r="B5929" s="12" t="str">
        <f>IFERROR(VLOOKUP(D5929,'[1]Перечень товаров'!$A$2:$I9525,2,0),"")</f>
        <v>т4</v>
      </c>
      <c r="C5929" s="12" t="str">
        <f>IFERROR(VLOOKUP(D5929,'[1]Перечень товаров'!$A$2:$I9525,3,0),"")</f>
        <v xml:space="preserve">Техника </v>
      </c>
      <c r="D5929" s="35" t="s">
        <v>31</v>
      </c>
      <c r="E5929" s="58"/>
      <c r="F5929" s="58"/>
      <c r="G5929" s="48">
        <v>1</v>
      </c>
      <c r="H5929" s="48"/>
      <c r="I5929" s="49"/>
      <c r="J5929" s="49"/>
      <c r="K5929" s="19"/>
      <c r="L5929" s="20"/>
    </row>
    <row r="5930" spans="1:12" outlineLevel="2">
      <c r="A5930" s="21"/>
      <c r="B5930" s="12" t="str">
        <f>IFERROR(VLOOKUP(D5930,'[1]Перечень товаров'!$A$2:$I9525,2,0),"")</f>
        <v>тм65</v>
      </c>
      <c r="C5930" s="12" t="str">
        <f>IFERROR(VLOOKUP(D5930,'[1]Перечень товаров'!$A$2:$I9525,3,0),"")</f>
        <v>Техника муз</v>
      </c>
      <c r="D5930" s="22" t="s">
        <v>380</v>
      </c>
      <c r="E5930" s="58"/>
      <c r="F5930" s="58"/>
      <c r="G5930" s="48">
        <v>1</v>
      </c>
      <c r="H5930" s="48"/>
      <c r="I5930" s="49"/>
      <c r="J5930" s="49"/>
      <c r="K5930" s="19"/>
      <c r="L5930" s="20"/>
    </row>
    <row r="5931" spans="1:12" outlineLevel="2">
      <c r="A5931" s="21"/>
      <c r="B5931" s="12" t="str">
        <f>IFERROR(VLOOKUP(D5931,'[1]Перечень товаров'!$A$2:$I9525,2,0),"")</f>
        <v>т12</v>
      </c>
      <c r="C5931" s="12" t="str">
        <f>IFERROR(VLOOKUP(D5931,'[1]Перечень товаров'!$A$2:$I9525,3,0),"")</f>
        <v>Техника</v>
      </c>
      <c r="D5931" s="22" t="s">
        <v>49</v>
      </c>
      <c r="E5931" s="58"/>
      <c r="F5931" s="58"/>
      <c r="G5931" s="48">
        <v>1</v>
      </c>
      <c r="H5931" s="48"/>
      <c r="I5931" s="49"/>
      <c r="J5931" s="49"/>
      <c r="K5931" s="19"/>
      <c r="L5931" s="20"/>
    </row>
    <row r="5932" spans="1:12" outlineLevel="2">
      <c r="A5932" s="35"/>
      <c r="B5932" s="12" t="str">
        <f>IFERROR(VLOOKUP(D5932,'[1]Перечень товаров'!$A$2:$I9525,2,0),"")</f>
        <v>т6</v>
      </c>
      <c r="C5932" s="12" t="str">
        <f>IFERROR(VLOOKUP(D5932,'[1]Перечень товаров'!$A$2:$I9525,3,0),"")</f>
        <v xml:space="preserve">Техника </v>
      </c>
      <c r="D5932" s="35" t="s">
        <v>33</v>
      </c>
      <c r="E5932" s="58"/>
      <c r="F5932" s="58"/>
      <c r="G5932" s="48">
        <v>1</v>
      </c>
      <c r="H5932" s="48"/>
      <c r="I5932" s="49"/>
      <c r="J5932" s="49"/>
      <c r="K5932" s="19"/>
      <c r="L5932" s="20"/>
    </row>
    <row r="5933" spans="1:12" outlineLevel="2">
      <c r="A5933" s="21"/>
      <c r="B5933" s="12" t="str">
        <f>IFERROR(VLOOKUP(D5933,'[1]Перечень товаров'!$A$2:$I9525,2,0),"")</f>
        <v>т7</v>
      </c>
      <c r="C5933" s="12" t="str">
        <f>IFERROR(VLOOKUP(D5933,'[1]Перечень товаров'!$A$2:$I9525,3,0),"")</f>
        <v xml:space="preserve">Техника </v>
      </c>
      <c r="D5933" s="22" t="s">
        <v>34</v>
      </c>
      <c r="E5933" s="58"/>
      <c r="F5933" s="58"/>
      <c r="G5933" s="48">
        <v>3</v>
      </c>
      <c r="H5933" s="48"/>
      <c r="I5933" s="49"/>
      <c r="J5933" s="49"/>
      <c r="K5933" s="19"/>
      <c r="L5933" s="20"/>
    </row>
    <row r="5934" spans="1:12" outlineLevel="2">
      <c r="A5934" s="28"/>
      <c r="B5934" s="12" t="str">
        <f>IFERROR(VLOOKUP(D5934,'[1]Перечень товаров'!$A$2:$I9525,2,0),"")</f>
        <v>т161</v>
      </c>
      <c r="C5934" s="12" t="str">
        <f>IFERROR(VLOOKUP(D5934,'[1]Перечень товаров'!$A$2:$I9525,3,0),"")</f>
        <v xml:space="preserve">Техника </v>
      </c>
      <c r="D5934" s="29" t="s">
        <v>381</v>
      </c>
      <c r="E5934" s="30"/>
      <c r="F5934" s="30"/>
      <c r="G5934" s="59">
        <v>1</v>
      </c>
      <c r="H5934" s="59"/>
      <c r="I5934" s="60"/>
      <c r="J5934" s="60"/>
      <c r="K5934" s="19"/>
      <c r="L5934" s="20"/>
    </row>
    <row r="5935" spans="1:12" outlineLevel="2">
      <c r="A5935" s="28"/>
      <c r="B5935" s="12" t="str">
        <f>IFERROR(VLOOKUP(D5935,'[1]Перечень товаров'!$A$2:$I9525,2,0),"")</f>
        <v/>
      </c>
      <c r="C5935" s="12" t="str">
        <f>IFERROR(VLOOKUP(D5935,'[1]Перечень товаров'!$A$2:$I9525,3,0),"")</f>
        <v/>
      </c>
      <c r="D5935" s="29" t="s">
        <v>1680</v>
      </c>
      <c r="E5935" s="30"/>
      <c r="F5935" s="30"/>
      <c r="G5935" s="31">
        <v>1</v>
      </c>
      <c r="H5935" s="31"/>
      <c r="I5935" s="32"/>
      <c r="J5935" s="32"/>
      <c r="K5935" s="19"/>
      <c r="L5935" s="20"/>
    </row>
    <row r="5936" spans="1:12" outlineLevel="2">
      <c r="A5936" s="113"/>
      <c r="B5936" s="12" t="str">
        <f>IFERROR(VLOOKUP(D5936,'[1]Перечень товаров'!$A$2:$I9525,2,0),"")</f>
        <v/>
      </c>
      <c r="C5936" s="12" t="str">
        <f>IFERROR(VLOOKUP(D5936,'[1]Перечень товаров'!$A$2:$I9525,3,0),"")</f>
        <v/>
      </c>
      <c r="D5936" s="114" t="s">
        <v>19</v>
      </c>
      <c r="E5936" s="258"/>
      <c r="F5936" s="258"/>
      <c r="G5936" s="59"/>
      <c r="H5936" s="59"/>
      <c r="I5936" s="60"/>
      <c r="J5936" s="60"/>
      <c r="K5936" s="19"/>
      <c r="L5936" s="20"/>
    </row>
    <row r="5937" spans="1:12" outlineLevel="2">
      <c r="A5937" s="34"/>
      <c r="B5937" s="12" t="str">
        <f>IFERROR(VLOOKUP(D5937,'[1]Перечень товаров'!$A$2:$I9525,2,0),"")</f>
        <v>м62</v>
      </c>
      <c r="C5937" s="12" t="str">
        <f>IFERROR(VLOOKUP(D5937,'[1]Перечень товаров'!$A$2:$I9525,3,0),"")</f>
        <v>Мебель</v>
      </c>
      <c r="D5937" s="35" t="s">
        <v>398</v>
      </c>
      <c r="E5937" s="88"/>
      <c r="F5937" s="88"/>
      <c r="G5937" s="59">
        <v>1</v>
      </c>
      <c r="H5937" s="59"/>
      <c r="I5937" s="60"/>
      <c r="J5937" s="60"/>
      <c r="K5937" s="19"/>
      <c r="L5937" s="20"/>
    </row>
    <row r="5938" spans="1:12" outlineLevel="2">
      <c r="A5938" s="34"/>
      <c r="B5938" s="12" t="str">
        <f>IFERROR(VLOOKUP(D5938,'[1]Перечень товаров'!$A$2:$I9525,2,0),"")</f>
        <v>м61</v>
      </c>
      <c r="C5938" s="12" t="str">
        <f>IFERROR(VLOOKUP(D5938,'[1]Перечень товаров'!$A$2:$I9525,3,0),"")</f>
        <v>Мебель</v>
      </c>
      <c r="D5938" s="35" t="s">
        <v>383</v>
      </c>
      <c r="E5938" s="88"/>
      <c r="F5938" s="88"/>
      <c r="G5938" s="59">
        <v>1</v>
      </c>
      <c r="H5938" s="59"/>
      <c r="I5938" s="60"/>
      <c r="J5938" s="60"/>
      <c r="K5938" s="19"/>
      <c r="L5938" s="20"/>
    </row>
    <row r="5939" spans="1:12" outlineLevel="2">
      <c r="A5939" s="34"/>
      <c r="B5939" s="12" t="str">
        <f>IFERROR(VLOOKUP(D5939,'[1]Перечень товаров'!$A$2:$I9525,2,0),"")</f>
        <v>м179</v>
      </c>
      <c r="C5939" s="12" t="str">
        <f>IFERROR(VLOOKUP(D5939,'[1]Перечень товаров'!$A$2:$I9525,3,0),"")</f>
        <v>Мебель</v>
      </c>
      <c r="D5939" s="35" t="s">
        <v>579</v>
      </c>
      <c r="E5939" s="88"/>
      <c r="F5939" s="88"/>
      <c r="G5939" s="59">
        <v>10</v>
      </c>
      <c r="H5939" s="59"/>
      <c r="I5939" s="60"/>
      <c r="J5939" s="60"/>
      <c r="K5939" s="19"/>
      <c r="L5939" s="20"/>
    </row>
    <row r="5940" spans="1:12" outlineLevel="2">
      <c r="A5940" s="34"/>
      <c r="B5940" s="12" t="str">
        <f>IFERROR(VLOOKUP(D5940,'[1]Перечень товаров'!$A$2:$I9525,2,0),"")</f>
        <v>м61</v>
      </c>
      <c r="C5940" s="12" t="str">
        <f>IFERROR(VLOOKUP(D5940,'[1]Перечень товаров'!$A$2:$I9525,3,0),"")</f>
        <v>Мебель</v>
      </c>
      <c r="D5940" s="35" t="s">
        <v>384</v>
      </c>
      <c r="E5940" s="88"/>
      <c r="F5940" s="88"/>
      <c r="G5940" s="59">
        <v>20</v>
      </c>
      <c r="H5940" s="59"/>
      <c r="I5940" s="60"/>
      <c r="J5940" s="60"/>
      <c r="K5940" s="19"/>
      <c r="L5940" s="20"/>
    </row>
    <row r="5941" spans="1:12" outlineLevel="2">
      <c r="A5941" s="21"/>
      <c r="B5941" s="12" t="str">
        <f>IFERROR(VLOOKUP(D5941,'[1]Перечень товаров'!$A$2:$I9525,2,0),"")</f>
        <v>м13</v>
      </c>
      <c r="C5941" s="12" t="str">
        <f>IFERROR(VLOOKUP(D5941,'[1]Перечень товаров'!$A$2:$I9525,3,0),"")</f>
        <v>Мебель</v>
      </c>
      <c r="D5941" s="22" t="s">
        <v>42</v>
      </c>
      <c r="E5941" s="58"/>
      <c r="F5941" s="58"/>
      <c r="G5941" s="24">
        <v>1</v>
      </c>
      <c r="H5941" s="24"/>
      <c r="I5941" s="25"/>
      <c r="J5941" s="25"/>
      <c r="K5941" s="19"/>
      <c r="L5941" s="20"/>
    </row>
    <row r="5942" spans="1:12" outlineLevel="2">
      <c r="A5942" s="21"/>
      <c r="B5942" s="12" t="str">
        <f>IFERROR(VLOOKUP(D5942,'[1]Перечень товаров'!$A$2:$I9525,2,0),"")</f>
        <v>м14</v>
      </c>
      <c r="C5942" s="12" t="str">
        <f>IFERROR(VLOOKUP(D5942,'[1]Перечень товаров'!$A$2:$I9525,3,0),"")</f>
        <v>Мебель</v>
      </c>
      <c r="D5942" s="22" t="s">
        <v>43</v>
      </c>
      <c r="E5942" s="58"/>
      <c r="F5942" s="58"/>
      <c r="G5942" s="24">
        <v>1</v>
      </c>
      <c r="H5942" s="24"/>
      <c r="I5942" s="25"/>
      <c r="J5942" s="25"/>
      <c r="K5942" s="19"/>
      <c r="L5942" s="20"/>
    </row>
    <row r="5943" spans="1:12" ht="15" outlineLevel="2">
      <c r="A5943" s="54"/>
      <c r="B5943" s="12" t="str">
        <f>IFERROR(VLOOKUP(D5943,'[1]Перечень товаров'!$A$2:$I9525,2,0),"")</f>
        <v/>
      </c>
      <c r="C5943" s="12" t="str">
        <f>IFERROR(VLOOKUP(D5943,'[1]Перечень товаров'!$A$2:$I9525,3,0),"")</f>
        <v/>
      </c>
      <c r="D5943" s="55" t="s">
        <v>45</v>
      </c>
      <c r="E5943" s="56"/>
      <c r="F5943" s="56"/>
      <c r="G5943" s="17"/>
      <c r="H5943" s="17"/>
      <c r="I5943" s="57"/>
      <c r="J5943" s="57"/>
      <c r="K5943" s="19"/>
      <c r="L5943" s="20"/>
    </row>
    <row r="5944" spans="1:12" outlineLevel="2">
      <c r="A5944" s="21"/>
      <c r="B5944" s="12" t="str">
        <f>IFERROR(VLOOKUP(D5944,'[1]Перечень товаров'!$A$2:$I9525,2,0),"")</f>
        <v>п2</v>
      </c>
      <c r="C5944" s="12" t="str">
        <f>IFERROR(VLOOKUP(D5944,'[1]Перечень товаров'!$A$2:$I9525,3,0),"")</f>
        <v>Прочее</v>
      </c>
      <c r="D5944" s="22" t="s">
        <v>46</v>
      </c>
      <c r="E5944" s="58"/>
      <c r="F5944" s="58"/>
      <c r="G5944" s="24">
        <v>1</v>
      </c>
      <c r="H5944" s="24"/>
      <c r="I5944" s="25"/>
      <c r="J5944" s="25"/>
      <c r="K5944" s="19"/>
      <c r="L5944" s="20"/>
    </row>
    <row r="5945" spans="1:12" outlineLevel="2">
      <c r="A5945" s="43"/>
      <c r="B5945" s="12" t="str">
        <f>IFERROR(VLOOKUP(D5945,'[1]Перечень товаров'!$A$2:$I9525,2,0),"")</f>
        <v>м7</v>
      </c>
      <c r="C5945" s="12" t="str">
        <f>IFERROR(VLOOKUP(D5945,'[1]Перечень товаров'!$A$2:$I9525,3,0),"")</f>
        <v>Мебель</v>
      </c>
      <c r="D5945" s="44" t="s">
        <v>24</v>
      </c>
      <c r="E5945" s="30"/>
      <c r="F5945" s="30"/>
      <c r="G5945" s="59">
        <v>1</v>
      </c>
      <c r="H5945" s="59"/>
      <c r="I5945" s="60"/>
      <c r="J5945" s="60"/>
      <c r="K5945" s="19"/>
      <c r="L5945" s="20"/>
    </row>
    <row r="5946" spans="1:12" outlineLevel="2">
      <c r="A5946" s="43"/>
      <c r="B5946" s="12" t="str">
        <f>IFERROR(VLOOKUP(D5946,'[1]Перечень товаров'!$A$2:$I9525,2,0),"")</f>
        <v>п1</v>
      </c>
      <c r="C5946" s="12" t="str">
        <f>IFERROR(VLOOKUP(D5946,'[1]Перечень товаров'!$A$2:$I9525,3,0),"")</f>
        <v>Прочее</v>
      </c>
      <c r="D5946" s="44" t="s">
        <v>37</v>
      </c>
      <c r="E5946" s="30"/>
      <c r="F5946" s="30"/>
      <c r="G5946" s="59">
        <v>1</v>
      </c>
      <c r="H5946" s="59"/>
      <c r="I5946" s="60"/>
      <c r="J5946" s="60"/>
      <c r="K5946" s="19"/>
      <c r="L5946" s="20"/>
    </row>
    <row r="5947" spans="1:12" ht="15" outlineLevel="2">
      <c r="A5947" s="116"/>
      <c r="B5947" s="12" t="str">
        <f>IFERROR(VLOOKUP(D5947,'[1]Перечень товаров'!$A$2:$I9525,2,0),"")</f>
        <v/>
      </c>
      <c r="C5947" s="12" t="str">
        <f>IFERROR(VLOOKUP(D5947,'[1]Перечень товаров'!$A$2:$I9525,3,0),"")</f>
        <v/>
      </c>
      <c r="D5947" s="117" t="s">
        <v>391</v>
      </c>
      <c r="E5947" s="122"/>
      <c r="F5947" s="122"/>
      <c r="G5947" s="123"/>
      <c r="H5947" s="123"/>
      <c r="I5947" s="124"/>
      <c r="J5947" s="124"/>
      <c r="K5947" s="19"/>
      <c r="L5947" s="20"/>
    </row>
    <row r="5948" spans="1:12" outlineLevel="2">
      <c r="A5948" s="28"/>
      <c r="B5948" s="12" t="str">
        <f>IFERROR(VLOOKUP(D5948,'[1]Перечень товаров'!$A$2:$I9525,2,0),"")</f>
        <v>мм1</v>
      </c>
      <c r="C5948" s="12" t="str">
        <f>IFERROR(VLOOKUP(D5948,'[1]Перечень товаров'!$A$2:$I9525,3,0),"")</f>
        <v>Мебель муз</v>
      </c>
      <c r="D5948" s="29" t="s">
        <v>1134</v>
      </c>
      <c r="E5948" s="30"/>
      <c r="F5948" s="30"/>
      <c r="G5948" s="31">
        <v>1</v>
      </c>
      <c r="H5948" s="31"/>
      <c r="I5948" s="32"/>
      <c r="J5948" s="32"/>
      <c r="K5948" s="19"/>
      <c r="L5948" s="20"/>
    </row>
    <row r="5949" spans="1:12" outlineLevel="2">
      <c r="A5949" s="135"/>
      <c r="B5949" s="12" t="str">
        <f>IFERROR(VLOOKUP(D5949,'[1]Перечень товаров'!$A$2:$I9525,2,0),"")</f>
        <v>т87</v>
      </c>
      <c r="C5949" s="12" t="str">
        <f>IFERROR(VLOOKUP(D5949,'[1]Перечень товаров'!$A$2:$I9525,3,0),"")</f>
        <v>Техника</v>
      </c>
      <c r="D5949" s="136" t="s">
        <v>1025</v>
      </c>
      <c r="E5949" s="173"/>
      <c r="F5949" s="173"/>
      <c r="G5949" s="259">
        <v>1</v>
      </c>
      <c r="H5949" s="259"/>
      <c r="I5949" s="260"/>
      <c r="J5949" s="260"/>
      <c r="K5949" s="19"/>
      <c r="L5949" s="20"/>
    </row>
    <row r="5950" spans="1:12" outlineLevel="2">
      <c r="A5950" s="28"/>
      <c r="B5950" s="12" t="str">
        <f>IFERROR(VLOOKUP(D5950,'[1]Перечень товаров'!$A$2:$I9525,2,0),"")</f>
        <v>пм111</v>
      </c>
      <c r="C5950" s="12" t="str">
        <f>IFERROR(VLOOKUP(D5950,'[1]Перечень товаров'!$A$2:$I9525,3,0),"")</f>
        <v>прочее муз</v>
      </c>
      <c r="D5950" s="29" t="s">
        <v>1681</v>
      </c>
      <c r="E5950" s="30"/>
      <c r="F5950" s="30"/>
      <c r="G5950" s="31">
        <v>1</v>
      </c>
      <c r="H5950" s="31"/>
      <c r="I5950" s="32"/>
      <c r="J5950" s="32"/>
      <c r="K5950" s="19"/>
      <c r="L5950" s="20"/>
    </row>
    <row r="5951" spans="1:12" outlineLevel="2">
      <c r="A5951" s="28"/>
      <c r="B5951" s="12" t="str">
        <f>IFERROR(VLOOKUP(D5951,'[1]Перечень товаров'!$A$2:$I9525,2,0),"")</f>
        <v>пм110</v>
      </c>
      <c r="C5951" s="12" t="str">
        <f>IFERROR(VLOOKUP(D5951,'[1]Перечень товаров'!$A$2:$I9525,3,0),"")</f>
        <v>прочее муз</v>
      </c>
      <c r="D5951" s="29" t="s">
        <v>1682</v>
      </c>
      <c r="E5951" s="30"/>
      <c r="F5951" s="30"/>
      <c r="G5951" s="31">
        <v>1</v>
      </c>
      <c r="H5951" s="31"/>
      <c r="I5951" s="32"/>
      <c r="J5951" s="32"/>
      <c r="K5951" s="19"/>
      <c r="L5951" s="20"/>
    </row>
    <row r="5952" spans="1:12" ht="31.5" outlineLevel="2">
      <c r="A5952" s="28"/>
      <c r="B5952" s="12" t="str">
        <f>IFERROR(VLOOKUP(D5952,'[1]Перечень товаров'!$A$2:$I9525,2,0),"")</f>
        <v>д247</v>
      </c>
      <c r="C5952" s="12" t="str">
        <f>IFERROR(VLOOKUP(D5952,'[1]Перечень товаров'!$A$2:$I9525,3,0),"")</f>
        <v>Дидактика</v>
      </c>
      <c r="D5952" s="29" t="s">
        <v>1683</v>
      </c>
      <c r="E5952" s="30"/>
      <c r="F5952" s="30"/>
      <c r="G5952" s="31">
        <v>20</v>
      </c>
      <c r="H5952" s="31"/>
      <c r="I5952" s="32"/>
      <c r="J5952" s="32"/>
      <c r="K5952" s="19"/>
      <c r="L5952" s="20"/>
    </row>
    <row r="5953" spans="1:12" ht="31.5" outlineLevel="2">
      <c r="A5953" s="28"/>
      <c r="B5953" s="12" t="str">
        <f>IFERROR(VLOOKUP(D5953,'[1]Перечень товаров'!$A$2:$I9525,2,0),"")</f>
        <v>пм109</v>
      </c>
      <c r="C5953" s="12" t="str">
        <f>IFERROR(VLOOKUP(D5953,'[1]Перечень товаров'!$A$2:$I9525,3,0),"")</f>
        <v>прочее муз</v>
      </c>
      <c r="D5953" s="29" t="s">
        <v>1684</v>
      </c>
      <c r="E5953" s="30"/>
      <c r="F5953" s="30"/>
      <c r="G5953" s="31">
        <v>1</v>
      </c>
      <c r="H5953" s="31"/>
      <c r="I5953" s="32"/>
      <c r="J5953" s="32"/>
      <c r="K5953" s="19"/>
      <c r="L5953" s="20"/>
    </row>
    <row r="5954" spans="1:12" ht="47.25" outlineLevel="2">
      <c r="A5954" s="28"/>
      <c r="B5954" s="12" t="str">
        <f>IFERROR(VLOOKUP(D5954,'[1]Перечень товаров'!$A$2:$I9525,2,0),"")</f>
        <v>пм168</v>
      </c>
      <c r="C5954" s="12" t="str">
        <f>IFERROR(VLOOKUP(D5954,'[1]Перечень товаров'!$A$2:$I9525,3,0),"")</f>
        <v>прочее муз</v>
      </c>
      <c r="D5954" s="29" t="s">
        <v>1135</v>
      </c>
      <c r="E5954" s="30"/>
      <c r="F5954" s="30"/>
      <c r="G5954" s="59">
        <v>1</v>
      </c>
      <c r="H5954" s="59"/>
      <c r="I5954" s="60"/>
      <c r="J5954" s="60"/>
      <c r="K5954" s="19"/>
      <c r="L5954" s="20"/>
    </row>
    <row r="5955" spans="1:12" ht="12.75" outlineLevel="1">
      <c r="A5955" s="89"/>
      <c r="B5955" s="12" t="str">
        <f>IFERROR(VLOOKUP(D5955,'[1]Перечень товаров'!$A$2:$I9525,2,0),"")</f>
        <v/>
      </c>
      <c r="C5955" s="12" t="str">
        <f>IFERROR(VLOOKUP(D5955,'[1]Перечень товаров'!$A$2:$I9525,3,0),"")</f>
        <v/>
      </c>
      <c r="D5955" s="90" t="s">
        <v>1679</v>
      </c>
      <c r="E5955" s="108">
        <v>46173</v>
      </c>
      <c r="F5955" s="108"/>
      <c r="G5955" s="100"/>
      <c r="H5955" s="100"/>
      <c r="I5955" s="101"/>
      <c r="J5955" s="101"/>
      <c r="K5955" s="19"/>
      <c r="L5955" s="20"/>
    </row>
    <row r="5956" spans="1:12" ht="15" outlineLevel="2">
      <c r="A5956" s="109"/>
      <c r="B5956" s="12" t="str">
        <f>IFERROR(VLOOKUP(D5956,'[1]Перечень товаров'!$A$2:$I9525,2,0),"")</f>
        <v/>
      </c>
      <c r="C5956" s="12" t="str">
        <f>IFERROR(VLOOKUP(D5956,'[1]Перечень товаров'!$A$2:$I9525,3,0),"")</f>
        <v/>
      </c>
      <c r="D5956" s="110" t="s">
        <v>27</v>
      </c>
      <c r="E5956" s="56"/>
      <c r="F5956" s="56"/>
      <c r="G5956" s="111"/>
      <c r="H5956" s="111"/>
      <c r="I5956" s="112"/>
      <c r="J5956" s="112"/>
      <c r="K5956" s="19"/>
      <c r="L5956" s="20"/>
    </row>
    <row r="5957" spans="1:12" outlineLevel="2">
      <c r="A5957" s="21"/>
      <c r="B5957" s="12" t="str">
        <f>IFERROR(VLOOKUP(D5957,'[1]Перечень товаров'!$A$2:$I9525,2,0),"")</f>
        <v>т1</v>
      </c>
      <c r="C5957" s="12" t="str">
        <f>IFERROR(VLOOKUP(D5957,'[1]Перечень товаров'!$A$2:$I9525,3,0),"")</f>
        <v xml:space="preserve">Техника </v>
      </c>
      <c r="D5957" s="22" t="s">
        <v>28</v>
      </c>
      <c r="E5957" s="58"/>
      <c r="F5957" s="58"/>
      <c r="G5957" s="48">
        <v>1</v>
      </c>
      <c r="H5957" s="48"/>
      <c r="I5957" s="49"/>
      <c r="J5957" s="49"/>
      <c r="K5957" s="19"/>
      <c r="L5957" s="20"/>
    </row>
    <row r="5958" spans="1:12" outlineLevel="2">
      <c r="A5958" s="35"/>
      <c r="B5958" s="12" t="str">
        <f>IFERROR(VLOOKUP(D5958,'[1]Перечень товаров'!$A$2:$I9525,2,0),"")</f>
        <v>т2</v>
      </c>
      <c r="C5958" s="12" t="str">
        <f>IFERROR(VLOOKUP(D5958,'[1]Перечень товаров'!$A$2:$I9525,3,0),"")</f>
        <v xml:space="preserve">Техника </v>
      </c>
      <c r="D5958" s="35" t="s">
        <v>29</v>
      </c>
      <c r="E5958" s="58"/>
      <c r="F5958" s="58"/>
      <c r="G5958" s="48">
        <v>1</v>
      </c>
      <c r="H5958" s="48"/>
      <c r="I5958" s="49"/>
      <c r="J5958" s="49"/>
      <c r="K5958" s="19"/>
      <c r="L5958" s="20"/>
    </row>
    <row r="5959" spans="1:12" outlineLevel="2">
      <c r="A5959" s="35"/>
      <c r="B5959" s="12" t="str">
        <f>IFERROR(VLOOKUP(D5959,'[1]Перечень товаров'!$A$2:$I9525,2,0),"")</f>
        <v>т3</v>
      </c>
      <c r="C5959" s="12" t="str">
        <f>IFERROR(VLOOKUP(D5959,'[1]Перечень товаров'!$A$2:$I9525,3,0),"")</f>
        <v xml:space="preserve">Техника </v>
      </c>
      <c r="D5959" s="35" t="s">
        <v>30</v>
      </c>
      <c r="E5959" s="58"/>
      <c r="F5959" s="58"/>
      <c r="G5959" s="48">
        <v>1</v>
      </c>
      <c r="H5959" s="48"/>
      <c r="I5959" s="49"/>
      <c r="J5959" s="49"/>
      <c r="K5959" s="19"/>
      <c r="L5959" s="20"/>
    </row>
    <row r="5960" spans="1:12" outlineLevel="2">
      <c r="A5960" s="143"/>
      <c r="B5960" s="12" t="str">
        <f>IFERROR(VLOOKUP(D5960,'[1]Перечень товаров'!$A$2:$I9525,2,0),"")</f>
        <v>т9</v>
      </c>
      <c r="C5960" s="12" t="str">
        <f>IFERROR(VLOOKUP(D5960,'[1]Перечень товаров'!$A$2:$I9525,3,0),"")</f>
        <v>Техника</v>
      </c>
      <c r="D5960" s="143" t="s">
        <v>36</v>
      </c>
      <c r="E5960" s="58"/>
      <c r="F5960" s="58"/>
      <c r="G5960" s="48">
        <v>1</v>
      </c>
      <c r="H5960" s="48"/>
      <c r="I5960" s="49"/>
      <c r="J5960" s="49"/>
      <c r="K5960" s="19"/>
      <c r="L5960" s="20"/>
    </row>
    <row r="5961" spans="1:12" outlineLevel="2">
      <c r="A5961" s="35"/>
      <c r="B5961" s="12" t="str">
        <f>IFERROR(VLOOKUP(D5961,'[1]Перечень товаров'!$A$2:$I9525,2,0),"")</f>
        <v>т4</v>
      </c>
      <c r="C5961" s="12" t="str">
        <f>IFERROR(VLOOKUP(D5961,'[1]Перечень товаров'!$A$2:$I9525,3,0),"")</f>
        <v xml:space="preserve">Техника </v>
      </c>
      <c r="D5961" s="35" t="s">
        <v>31</v>
      </c>
      <c r="E5961" s="58"/>
      <c r="F5961" s="58"/>
      <c r="G5961" s="48">
        <v>1</v>
      </c>
      <c r="H5961" s="48"/>
      <c r="I5961" s="49"/>
      <c r="J5961" s="49"/>
      <c r="K5961" s="19"/>
      <c r="L5961" s="20"/>
    </row>
    <row r="5962" spans="1:12" outlineLevel="2">
      <c r="A5962" s="21"/>
      <c r="B5962" s="12" t="str">
        <f>IFERROR(VLOOKUP(D5962,'[1]Перечень товаров'!$A$2:$I9525,2,0),"")</f>
        <v>тм65</v>
      </c>
      <c r="C5962" s="12" t="str">
        <f>IFERROR(VLOOKUP(D5962,'[1]Перечень товаров'!$A$2:$I9525,3,0),"")</f>
        <v>Техника муз</v>
      </c>
      <c r="D5962" s="22" t="s">
        <v>380</v>
      </c>
      <c r="E5962" s="58"/>
      <c r="F5962" s="58"/>
      <c r="G5962" s="48">
        <v>1</v>
      </c>
      <c r="H5962" s="48"/>
      <c r="I5962" s="49"/>
      <c r="J5962" s="49"/>
      <c r="K5962" s="19"/>
      <c r="L5962" s="20"/>
    </row>
    <row r="5963" spans="1:12" outlineLevel="2">
      <c r="A5963" s="21"/>
      <c r="B5963" s="12" t="str">
        <f>IFERROR(VLOOKUP(D5963,'[1]Перечень товаров'!$A$2:$I9525,2,0),"")</f>
        <v>т12</v>
      </c>
      <c r="C5963" s="12" t="str">
        <f>IFERROR(VLOOKUP(D5963,'[1]Перечень товаров'!$A$2:$I9525,3,0),"")</f>
        <v>Техника</v>
      </c>
      <c r="D5963" s="22" t="s">
        <v>49</v>
      </c>
      <c r="E5963" s="58"/>
      <c r="F5963" s="58"/>
      <c r="G5963" s="48">
        <v>1</v>
      </c>
      <c r="H5963" s="48"/>
      <c r="I5963" s="49"/>
      <c r="J5963" s="49"/>
      <c r="K5963" s="19"/>
      <c r="L5963" s="20"/>
    </row>
    <row r="5964" spans="1:12" outlineLevel="2">
      <c r="A5964" s="35"/>
      <c r="B5964" s="12" t="str">
        <f>IFERROR(VLOOKUP(D5964,'[1]Перечень товаров'!$A$2:$I9525,2,0),"")</f>
        <v>т6</v>
      </c>
      <c r="C5964" s="12" t="str">
        <f>IFERROR(VLOOKUP(D5964,'[1]Перечень товаров'!$A$2:$I9525,3,0),"")</f>
        <v xml:space="preserve">Техника </v>
      </c>
      <c r="D5964" s="35" t="s">
        <v>33</v>
      </c>
      <c r="E5964" s="58"/>
      <c r="F5964" s="58"/>
      <c r="G5964" s="48">
        <v>1</v>
      </c>
      <c r="H5964" s="48"/>
      <c r="I5964" s="49"/>
      <c r="J5964" s="49"/>
      <c r="K5964" s="19"/>
      <c r="L5964" s="20"/>
    </row>
    <row r="5965" spans="1:12" outlineLevel="2">
      <c r="A5965" s="21"/>
      <c r="B5965" s="12" t="str">
        <f>IFERROR(VLOOKUP(D5965,'[1]Перечень товаров'!$A$2:$I9525,2,0),"")</f>
        <v>т7</v>
      </c>
      <c r="C5965" s="12" t="str">
        <f>IFERROR(VLOOKUP(D5965,'[1]Перечень товаров'!$A$2:$I9525,3,0),"")</f>
        <v xml:space="preserve">Техника </v>
      </c>
      <c r="D5965" s="22" t="s">
        <v>34</v>
      </c>
      <c r="E5965" s="58"/>
      <c r="F5965" s="58"/>
      <c r="G5965" s="48">
        <v>3</v>
      </c>
      <c r="H5965" s="48"/>
      <c r="I5965" s="49"/>
      <c r="J5965" s="49"/>
      <c r="K5965" s="19"/>
      <c r="L5965" s="20"/>
    </row>
    <row r="5966" spans="1:12" outlineLevel="2">
      <c r="A5966" s="28"/>
      <c r="B5966" s="12" t="str">
        <f>IFERROR(VLOOKUP(D5966,'[1]Перечень товаров'!$A$2:$I9525,2,0),"")</f>
        <v>т161</v>
      </c>
      <c r="C5966" s="12" t="str">
        <f>IFERROR(VLOOKUP(D5966,'[1]Перечень товаров'!$A$2:$I9525,3,0),"")</f>
        <v xml:space="preserve">Техника </v>
      </c>
      <c r="D5966" s="29" t="s">
        <v>381</v>
      </c>
      <c r="E5966" s="30"/>
      <c r="F5966" s="30"/>
      <c r="G5966" s="59">
        <v>1</v>
      </c>
      <c r="H5966" s="59"/>
      <c r="I5966" s="60"/>
      <c r="J5966" s="60"/>
      <c r="K5966" s="19"/>
      <c r="L5966" s="20"/>
    </row>
    <row r="5967" spans="1:12" outlineLevel="2">
      <c r="A5967" s="28"/>
      <c r="B5967" s="12" t="str">
        <f>IFERROR(VLOOKUP(D5967,'[1]Перечень товаров'!$A$2:$I9525,2,0),"")</f>
        <v/>
      </c>
      <c r="C5967" s="12" t="str">
        <f>IFERROR(VLOOKUP(D5967,'[1]Перечень товаров'!$A$2:$I9525,3,0),"")</f>
        <v/>
      </c>
      <c r="D5967" s="29" t="s">
        <v>1680</v>
      </c>
      <c r="E5967" s="30"/>
      <c r="F5967" s="30"/>
      <c r="G5967" s="31">
        <v>1</v>
      </c>
      <c r="H5967" s="31"/>
      <c r="I5967" s="32"/>
      <c r="J5967" s="32"/>
      <c r="K5967" s="19"/>
      <c r="L5967" s="20"/>
    </row>
    <row r="5968" spans="1:12" outlineLevel="2">
      <c r="A5968" s="113"/>
      <c r="B5968" s="12" t="str">
        <f>IFERROR(VLOOKUP(D5968,'[1]Перечень товаров'!$A$2:$I9525,2,0),"")</f>
        <v/>
      </c>
      <c r="C5968" s="12" t="str">
        <f>IFERROR(VLOOKUP(D5968,'[1]Перечень товаров'!$A$2:$I9525,3,0),"")</f>
        <v/>
      </c>
      <c r="D5968" s="114" t="s">
        <v>19</v>
      </c>
      <c r="E5968" s="258"/>
      <c r="F5968" s="258"/>
      <c r="G5968" s="59"/>
      <c r="H5968" s="59"/>
      <c r="I5968" s="60"/>
      <c r="J5968" s="60"/>
      <c r="K5968" s="19"/>
      <c r="L5968" s="20"/>
    </row>
    <row r="5969" spans="1:12" outlineLevel="2">
      <c r="A5969" s="34"/>
      <c r="B5969" s="12" t="str">
        <f>IFERROR(VLOOKUP(D5969,'[1]Перечень товаров'!$A$2:$I9525,2,0),"")</f>
        <v>м62</v>
      </c>
      <c r="C5969" s="12" t="str">
        <f>IFERROR(VLOOKUP(D5969,'[1]Перечень товаров'!$A$2:$I9525,3,0),"")</f>
        <v>Мебель</v>
      </c>
      <c r="D5969" s="35" t="s">
        <v>398</v>
      </c>
      <c r="E5969" s="88"/>
      <c r="F5969" s="88"/>
      <c r="G5969" s="59">
        <v>1</v>
      </c>
      <c r="H5969" s="59"/>
      <c r="I5969" s="60"/>
      <c r="J5969" s="60"/>
      <c r="K5969" s="19"/>
      <c r="L5969" s="20"/>
    </row>
    <row r="5970" spans="1:12" outlineLevel="2">
      <c r="A5970" s="34"/>
      <c r="B5970" s="12" t="str">
        <f>IFERROR(VLOOKUP(D5970,'[1]Перечень товаров'!$A$2:$I9525,2,0),"")</f>
        <v>м61</v>
      </c>
      <c r="C5970" s="12" t="str">
        <f>IFERROR(VLOOKUP(D5970,'[1]Перечень товаров'!$A$2:$I9525,3,0),"")</f>
        <v>Мебель</v>
      </c>
      <c r="D5970" s="35" t="s">
        <v>383</v>
      </c>
      <c r="E5970" s="88"/>
      <c r="F5970" s="88"/>
      <c r="G5970" s="59">
        <v>1</v>
      </c>
      <c r="H5970" s="59"/>
      <c r="I5970" s="60"/>
      <c r="J5970" s="60"/>
      <c r="K5970" s="19"/>
      <c r="L5970" s="20"/>
    </row>
    <row r="5971" spans="1:12" outlineLevel="2">
      <c r="A5971" s="34"/>
      <c r="B5971" s="12" t="str">
        <f>IFERROR(VLOOKUP(D5971,'[1]Перечень товаров'!$A$2:$I9525,2,0),"")</f>
        <v>м179</v>
      </c>
      <c r="C5971" s="12" t="str">
        <f>IFERROR(VLOOKUP(D5971,'[1]Перечень товаров'!$A$2:$I9525,3,0),"")</f>
        <v>Мебель</v>
      </c>
      <c r="D5971" s="35" t="s">
        <v>579</v>
      </c>
      <c r="E5971" s="88"/>
      <c r="F5971" s="88"/>
      <c r="G5971" s="59">
        <v>10</v>
      </c>
      <c r="H5971" s="59"/>
      <c r="I5971" s="60"/>
      <c r="J5971" s="60"/>
      <c r="K5971" s="19"/>
      <c r="L5971" s="20"/>
    </row>
    <row r="5972" spans="1:12" outlineLevel="2">
      <c r="A5972" s="34"/>
      <c r="B5972" s="12" t="str">
        <f>IFERROR(VLOOKUP(D5972,'[1]Перечень товаров'!$A$2:$I9525,2,0),"")</f>
        <v>м61</v>
      </c>
      <c r="C5972" s="12" t="str">
        <f>IFERROR(VLOOKUP(D5972,'[1]Перечень товаров'!$A$2:$I9525,3,0),"")</f>
        <v>Мебель</v>
      </c>
      <c r="D5972" s="35" t="s">
        <v>384</v>
      </c>
      <c r="E5972" s="88"/>
      <c r="F5972" s="88"/>
      <c r="G5972" s="59">
        <v>20</v>
      </c>
      <c r="H5972" s="59"/>
      <c r="I5972" s="60"/>
      <c r="J5972" s="60"/>
      <c r="K5972" s="19"/>
      <c r="L5972" s="20"/>
    </row>
    <row r="5973" spans="1:12" outlineLevel="2">
      <c r="A5973" s="21"/>
      <c r="B5973" s="12" t="str">
        <f>IFERROR(VLOOKUP(D5973,'[1]Перечень товаров'!$A$2:$I9525,2,0),"")</f>
        <v>м13</v>
      </c>
      <c r="C5973" s="12" t="str">
        <f>IFERROR(VLOOKUP(D5973,'[1]Перечень товаров'!$A$2:$I9525,3,0),"")</f>
        <v>Мебель</v>
      </c>
      <c r="D5973" s="22" t="s">
        <v>42</v>
      </c>
      <c r="E5973" s="58"/>
      <c r="F5973" s="58"/>
      <c r="G5973" s="24">
        <v>1</v>
      </c>
      <c r="H5973" s="24"/>
      <c r="I5973" s="25"/>
      <c r="J5973" s="25"/>
      <c r="K5973" s="19"/>
      <c r="L5973" s="20"/>
    </row>
    <row r="5974" spans="1:12" outlineLevel="2">
      <c r="A5974" s="21"/>
      <c r="B5974" s="12" t="str">
        <f>IFERROR(VLOOKUP(D5974,'[1]Перечень товаров'!$A$2:$I9525,2,0),"")</f>
        <v>м14</v>
      </c>
      <c r="C5974" s="12" t="str">
        <f>IFERROR(VLOOKUP(D5974,'[1]Перечень товаров'!$A$2:$I9525,3,0),"")</f>
        <v>Мебель</v>
      </c>
      <c r="D5974" s="22" t="s">
        <v>43</v>
      </c>
      <c r="E5974" s="58"/>
      <c r="F5974" s="58"/>
      <c r="G5974" s="24">
        <v>1</v>
      </c>
      <c r="H5974" s="24"/>
      <c r="I5974" s="25"/>
      <c r="J5974" s="25"/>
      <c r="K5974" s="19"/>
      <c r="L5974" s="20"/>
    </row>
    <row r="5975" spans="1:12" ht="15" outlineLevel="2">
      <c r="A5975" s="54"/>
      <c r="B5975" s="12" t="str">
        <f>IFERROR(VLOOKUP(D5975,'[1]Перечень товаров'!$A$2:$I9525,2,0),"")</f>
        <v/>
      </c>
      <c r="C5975" s="12" t="str">
        <f>IFERROR(VLOOKUP(D5975,'[1]Перечень товаров'!$A$2:$I9525,3,0),"")</f>
        <v/>
      </c>
      <c r="D5975" s="55" t="s">
        <v>45</v>
      </c>
      <c r="E5975" s="56"/>
      <c r="F5975" s="56"/>
      <c r="G5975" s="17"/>
      <c r="H5975" s="17"/>
      <c r="I5975" s="57"/>
      <c r="J5975" s="57"/>
      <c r="K5975" s="19"/>
      <c r="L5975" s="20"/>
    </row>
    <row r="5976" spans="1:12" outlineLevel="2">
      <c r="A5976" s="21"/>
      <c r="B5976" s="12" t="str">
        <f>IFERROR(VLOOKUP(D5976,'[1]Перечень товаров'!$A$2:$I9525,2,0),"")</f>
        <v>п2</v>
      </c>
      <c r="C5976" s="12" t="str">
        <f>IFERROR(VLOOKUP(D5976,'[1]Перечень товаров'!$A$2:$I9525,3,0),"")</f>
        <v>Прочее</v>
      </c>
      <c r="D5976" s="22" t="s">
        <v>46</v>
      </c>
      <c r="E5976" s="58"/>
      <c r="F5976" s="58"/>
      <c r="G5976" s="24">
        <v>1</v>
      </c>
      <c r="H5976" s="24"/>
      <c r="I5976" s="25"/>
      <c r="J5976" s="25"/>
      <c r="K5976" s="19"/>
      <c r="L5976" s="20"/>
    </row>
    <row r="5977" spans="1:12" outlineLevel="2">
      <c r="A5977" s="43"/>
      <c r="B5977" s="12" t="str">
        <f>IFERROR(VLOOKUP(D5977,'[1]Перечень товаров'!$A$2:$I9525,2,0),"")</f>
        <v>м7</v>
      </c>
      <c r="C5977" s="12" t="str">
        <f>IFERROR(VLOOKUP(D5977,'[1]Перечень товаров'!$A$2:$I9525,3,0),"")</f>
        <v>Мебель</v>
      </c>
      <c r="D5977" s="44" t="s">
        <v>24</v>
      </c>
      <c r="E5977" s="30"/>
      <c r="F5977" s="30"/>
      <c r="G5977" s="59">
        <v>1</v>
      </c>
      <c r="H5977" s="59"/>
      <c r="I5977" s="60"/>
      <c r="J5977" s="60"/>
      <c r="K5977" s="19"/>
      <c r="L5977" s="20"/>
    </row>
    <row r="5978" spans="1:12" outlineLevel="2">
      <c r="A5978" s="43"/>
      <c r="B5978" s="12" t="str">
        <f>IFERROR(VLOOKUP(D5978,'[1]Перечень товаров'!$A$2:$I9525,2,0),"")</f>
        <v>п1</v>
      </c>
      <c r="C5978" s="12" t="str">
        <f>IFERROR(VLOOKUP(D5978,'[1]Перечень товаров'!$A$2:$I9525,3,0),"")</f>
        <v>Прочее</v>
      </c>
      <c r="D5978" s="44" t="s">
        <v>37</v>
      </c>
      <c r="E5978" s="30"/>
      <c r="F5978" s="30"/>
      <c r="G5978" s="59">
        <v>1</v>
      </c>
      <c r="H5978" s="59"/>
      <c r="I5978" s="60"/>
      <c r="J5978" s="60"/>
      <c r="K5978" s="19"/>
      <c r="L5978" s="20"/>
    </row>
    <row r="5979" spans="1:12" ht="15" outlineLevel="2">
      <c r="A5979" s="116"/>
      <c r="B5979" s="12" t="str">
        <f>IFERROR(VLOOKUP(D5979,'[1]Перечень товаров'!$A$2:$I9525,2,0),"")</f>
        <v/>
      </c>
      <c r="C5979" s="12" t="str">
        <f>IFERROR(VLOOKUP(D5979,'[1]Перечень товаров'!$A$2:$I9525,3,0),"")</f>
        <v/>
      </c>
      <c r="D5979" s="117" t="s">
        <v>391</v>
      </c>
      <c r="E5979" s="122"/>
      <c r="F5979" s="122"/>
      <c r="G5979" s="123"/>
      <c r="H5979" s="123"/>
      <c r="I5979" s="124"/>
      <c r="J5979" s="124"/>
      <c r="K5979" s="19"/>
      <c r="L5979" s="20"/>
    </row>
    <row r="5980" spans="1:12" outlineLevel="2">
      <c r="A5980" s="28"/>
      <c r="B5980" s="12" t="str">
        <f>IFERROR(VLOOKUP(D5980,'[1]Перечень товаров'!$A$2:$I9525,2,0),"")</f>
        <v>мм1</v>
      </c>
      <c r="C5980" s="12" t="str">
        <f>IFERROR(VLOOKUP(D5980,'[1]Перечень товаров'!$A$2:$I9525,3,0),"")</f>
        <v>Мебель муз</v>
      </c>
      <c r="D5980" s="29" t="s">
        <v>1134</v>
      </c>
      <c r="E5980" s="30"/>
      <c r="F5980" s="30"/>
      <c r="G5980" s="31">
        <v>1</v>
      </c>
      <c r="H5980" s="31"/>
      <c r="I5980" s="32"/>
      <c r="J5980" s="32"/>
      <c r="K5980" s="19"/>
      <c r="L5980" s="20"/>
    </row>
    <row r="5981" spans="1:12" outlineLevel="2">
      <c r="A5981" s="135"/>
      <c r="B5981" s="12" t="str">
        <f>IFERROR(VLOOKUP(D5981,'[1]Перечень товаров'!$A$2:$I9525,2,0),"")</f>
        <v>т87</v>
      </c>
      <c r="C5981" s="12" t="str">
        <f>IFERROR(VLOOKUP(D5981,'[1]Перечень товаров'!$A$2:$I9525,3,0),"")</f>
        <v>Техника</v>
      </c>
      <c r="D5981" s="136" t="s">
        <v>1025</v>
      </c>
      <c r="E5981" s="173"/>
      <c r="F5981" s="173"/>
      <c r="G5981" s="259">
        <v>1</v>
      </c>
      <c r="H5981" s="259"/>
      <c r="I5981" s="260"/>
      <c r="J5981" s="260"/>
      <c r="K5981" s="19"/>
      <c r="L5981" s="20"/>
    </row>
    <row r="5982" spans="1:12" outlineLevel="2">
      <c r="A5982" s="28"/>
      <c r="B5982" s="12" t="str">
        <f>IFERROR(VLOOKUP(D5982,'[1]Перечень товаров'!$A$2:$I9525,2,0),"")</f>
        <v>пм111</v>
      </c>
      <c r="C5982" s="12" t="str">
        <f>IFERROR(VLOOKUP(D5982,'[1]Перечень товаров'!$A$2:$I9525,3,0),"")</f>
        <v>прочее муз</v>
      </c>
      <c r="D5982" s="29" t="s">
        <v>1681</v>
      </c>
      <c r="E5982" s="30"/>
      <c r="F5982" s="30"/>
      <c r="G5982" s="31">
        <v>1</v>
      </c>
      <c r="H5982" s="31"/>
      <c r="I5982" s="32"/>
      <c r="J5982" s="32"/>
      <c r="K5982" s="19"/>
      <c r="L5982" s="20"/>
    </row>
    <row r="5983" spans="1:12" outlineLevel="2">
      <c r="A5983" s="28"/>
      <c r="B5983" s="12" t="str">
        <f>IFERROR(VLOOKUP(D5983,'[1]Перечень товаров'!$A$2:$I9525,2,0),"")</f>
        <v>пм110</v>
      </c>
      <c r="C5983" s="12" t="str">
        <f>IFERROR(VLOOKUP(D5983,'[1]Перечень товаров'!$A$2:$I9525,3,0),"")</f>
        <v>прочее муз</v>
      </c>
      <c r="D5983" s="29" t="s">
        <v>1682</v>
      </c>
      <c r="E5983" s="30"/>
      <c r="F5983" s="30"/>
      <c r="G5983" s="31">
        <v>1</v>
      </c>
      <c r="H5983" s="31"/>
      <c r="I5983" s="32"/>
      <c r="J5983" s="32"/>
      <c r="K5983" s="19"/>
      <c r="L5983" s="20"/>
    </row>
    <row r="5984" spans="1:12" ht="31.5" outlineLevel="2">
      <c r="A5984" s="28"/>
      <c r="B5984" s="12" t="str">
        <f>IFERROR(VLOOKUP(D5984,'[1]Перечень товаров'!$A$2:$I9525,2,0),"")</f>
        <v>д247</v>
      </c>
      <c r="C5984" s="12" t="str">
        <f>IFERROR(VLOOKUP(D5984,'[1]Перечень товаров'!$A$2:$I9525,3,0),"")</f>
        <v>Дидактика</v>
      </c>
      <c r="D5984" s="29" t="s">
        <v>1683</v>
      </c>
      <c r="E5984" s="30"/>
      <c r="F5984" s="30"/>
      <c r="G5984" s="31">
        <v>20</v>
      </c>
      <c r="H5984" s="31"/>
      <c r="I5984" s="32"/>
      <c r="J5984" s="32"/>
      <c r="K5984" s="19"/>
      <c r="L5984" s="20"/>
    </row>
    <row r="5985" spans="1:12" ht="31.5" outlineLevel="2">
      <c r="A5985" s="28"/>
      <c r="B5985" s="12" t="str">
        <f>IFERROR(VLOOKUP(D5985,'[1]Перечень товаров'!$A$2:$I9525,2,0),"")</f>
        <v>пм109</v>
      </c>
      <c r="C5985" s="12" t="str">
        <f>IFERROR(VLOOKUP(D5985,'[1]Перечень товаров'!$A$2:$I9525,3,0),"")</f>
        <v>прочее муз</v>
      </c>
      <c r="D5985" s="29" t="s">
        <v>1684</v>
      </c>
      <c r="E5985" s="30"/>
      <c r="F5985" s="30"/>
      <c r="G5985" s="31">
        <v>1</v>
      </c>
      <c r="H5985" s="31"/>
      <c r="I5985" s="32"/>
      <c r="J5985" s="32"/>
      <c r="K5985" s="19"/>
      <c r="L5985" s="20"/>
    </row>
    <row r="5986" spans="1:12" ht="47.25" outlineLevel="2">
      <c r="A5986" s="28"/>
      <c r="B5986" s="12" t="str">
        <f>IFERROR(VLOOKUP(D5986,'[1]Перечень товаров'!$A$2:$I9525,2,0),"")</f>
        <v>пм168</v>
      </c>
      <c r="C5986" s="12" t="str">
        <f>IFERROR(VLOOKUP(D5986,'[1]Перечень товаров'!$A$2:$I9525,3,0),"")</f>
        <v>прочее муз</v>
      </c>
      <c r="D5986" s="29" t="s">
        <v>1135</v>
      </c>
      <c r="E5986" s="30"/>
      <c r="F5986" s="30"/>
      <c r="G5986" s="59">
        <v>1</v>
      </c>
      <c r="H5986" s="59"/>
      <c r="I5986" s="60"/>
      <c r="J5986" s="60"/>
      <c r="K5986" s="19"/>
      <c r="L5986" s="20"/>
    </row>
    <row r="5987" spans="1:12" ht="12.75" outlineLevel="1">
      <c r="A5987" s="89"/>
      <c r="B5987" s="12" t="str">
        <f>IFERROR(VLOOKUP(D5987,'[1]Перечень товаров'!$A$2:$I9525,2,0),"")</f>
        <v/>
      </c>
      <c r="C5987" s="12" t="str">
        <f>IFERROR(VLOOKUP(D5987,'[1]Перечень товаров'!$A$2:$I9525,3,0),"")</f>
        <v/>
      </c>
      <c r="D5987" s="90" t="s">
        <v>1679</v>
      </c>
      <c r="E5987" s="108">
        <v>46173</v>
      </c>
      <c r="F5987" s="108"/>
      <c r="G5987" s="100"/>
      <c r="H5987" s="100"/>
      <c r="I5987" s="101"/>
      <c r="J5987" s="101"/>
      <c r="K5987" s="19"/>
      <c r="L5987" s="20"/>
    </row>
    <row r="5988" spans="1:12" ht="15" outlineLevel="2">
      <c r="A5988" s="109"/>
      <c r="B5988" s="12" t="str">
        <f>IFERROR(VLOOKUP(D5988,'[1]Перечень товаров'!$A$2:$I9525,2,0),"")</f>
        <v/>
      </c>
      <c r="C5988" s="12" t="str">
        <f>IFERROR(VLOOKUP(D5988,'[1]Перечень товаров'!$A$2:$I9525,3,0),"")</f>
        <v/>
      </c>
      <c r="D5988" s="110" t="s">
        <v>27</v>
      </c>
      <c r="E5988" s="56"/>
      <c r="F5988" s="56"/>
      <c r="G5988" s="111"/>
      <c r="H5988" s="111"/>
      <c r="I5988" s="112"/>
      <c r="J5988" s="112"/>
      <c r="K5988" s="19"/>
      <c r="L5988" s="20"/>
    </row>
    <row r="5989" spans="1:12" outlineLevel="2">
      <c r="A5989" s="21"/>
      <c r="B5989" s="12" t="str">
        <f>IFERROR(VLOOKUP(D5989,'[1]Перечень товаров'!$A$2:$I9525,2,0),"")</f>
        <v>т1</v>
      </c>
      <c r="C5989" s="12" t="str">
        <f>IFERROR(VLOOKUP(D5989,'[1]Перечень товаров'!$A$2:$I9525,3,0),"")</f>
        <v xml:space="preserve">Техника </v>
      </c>
      <c r="D5989" s="22" t="s">
        <v>28</v>
      </c>
      <c r="E5989" s="58"/>
      <c r="F5989" s="58"/>
      <c r="G5989" s="48">
        <v>1</v>
      </c>
      <c r="H5989" s="48"/>
      <c r="I5989" s="49"/>
      <c r="J5989" s="49"/>
      <c r="K5989" s="19"/>
      <c r="L5989" s="20"/>
    </row>
    <row r="5990" spans="1:12" outlineLevel="2">
      <c r="A5990" s="35"/>
      <c r="B5990" s="12" t="str">
        <f>IFERROR(VLOOKUP(D5990,'[1]Перечень товаров'!$A$2:$I9525,2,0),"")</f>
        <v>т2</v>
      </c>
      <c r="C5990" s="12" t="str">
        <f>IFERROR(VLOOKUP(D5990,'[1]Перечень товаров'!$A$2:$I9525,3,0),"")</f>
        <v xml:space="preserve">Техника </v>
      </c>
      <c r="D5990" s="35" t="s">
        <v>29</v>
      </c>
      <c r="E5990" s="58"/>
      <c r="F5990" s="58"/>
      <c r="G5990" s="48">
        <v>1</v>
      </c>
      <c r="H5990" s="48"/>
      <c r="I5990" s="49"/>
      <c r="J5990" s="49"/>
      <c r="K5990" s="19"/>
      <c r="L5990" s="20"/>
    </row>
    <row r="5991" spans="1:12" outlineLevel="2">
      <c r="A5991" s="35"/>
      <c r="B5991" s="12" t="str">
        <f>IFERROR(VLOOKUP(D5991,'[1]Перечень товаров'!$A$2:$I9525,2,0),"")</f>
        <v>т3</v>
      </c>
      <c r="C5991" s="12" t="str">
        <f>IFERROR(VLOOKUP(D5991,'[1]Перечень товаров'!$A$2:$I9525,3,0),"")</f>
        <v xml:space="preserve">Техника </v>
      </c>
      <c r="D5991" s="35" t="s">
        <v>30</v>
      </c>
      <c r="E5991" s="58"/>
      <c r="F5991" s="58"/>
      <c r="G5991" s="48">
        <v>1</v>
      </c>
      <c r="H5991" s="48"/>
      <c r="I5991" s="49"/>
      <c r="J5991" s="49"/>
      <c r="K5991" s="19"/>
      <c r="L5991" s="20"/>
    </row>
    <row r="5992" spans="1:12" outlineLevel="2">
      <c r="A5992" s="143"/>
      <c r="B5992" s="12" t="str">
        <f>IFERROR(VLOOKUP(D5992,'[1]Перечень товаров'!$A$2:$I9525,2,0),"")</f>
        <v>т9</v>
      </c>
      <c r="C5992" s="12" t="str">
        <f>IFERROR(VLOOKUP(D5992,'[1]Перечень товаров'!$A$2:$I9525,3,0),"")</f>
        <v>Техника</v>
      </c>
      <c r="D5992" s="143" t="s">
        <v>36</v>
      </c>
      <c r="E5992" s="58"/>
      <c r="F5992" s="58"/>
      <c r="G5992" s="48">
        <v>1</v>
      </c>
      <c r="H5992" s="48"/>
      <c r="I5992" s="49"/>
      <c r="J5992" s="49"/>
      <c r="K5992" s="19"/>
      <c r="L5992" s="20"/>
    </row>
    <row r="5993" spans="1:12" outlineLevel="2">
      <c r="A5993" s="35"/>
      <c r="B5993" s="12" t="str">
        <f>IFERROR(VLOOKUP(D5993,'[1]Перечень товаров'!$A$2:$I9525,2,0),"")</f>
        <v>т4</v>
      </c>
      <c r="C5993" s="12" t="str">
        <f>IFERROR(VLOOKUP(D5993,'[1]Перечень товаров'!$A$2:$I9525,3,0),"")</f>
        <v xml:space="preserve">Техника </v>
      </c>
      <c r="D5993" s="35" t="s">
        <v>31</v>
      </c>
      <c r="E5993" s="58"/>
      <c r="F5993" s="58"/>
      <c r="G5993" s="48">
        <v>1</v>
      </c>
      <c r="H5993" s="48"/>
      <c r="I5993" s="49"/>
      <c r="J5993" s="49"/>
      <c r="K5993" s="19"/>
      <c r="L5993" s="20"/>
    </row>
    <row r="5994" spans="1:12" outlineLevel="2">
      <c r="A5994" s="21"/>
      <c r="B5994" s="12" t="str">
        <f>IFERROR(VLOOKUP(D5994,'[1]Перечень товаров'!$A$2:$I9525,2,0),"")</f>
        <v>тм65</v>
      </c>
      <c r="C5994" s="12" t="str">
        <f>IFERROR(VLOOKUP(D5994,'[1]Перечень товаров'!$A$2:$I9525,3,0),"")</f>
        <v>Техника муз</v>
      </c>
      <c r="D5994" s="22" t="s">
        <v>380</v>
      </c>
      <c r="E5994" s="58"/>
      <c r="F5994" s="58"/>
      <c r="G5994" s="48">
        <v>1</v>
      </c>
      <c r="H5994" s="48"/>
      <c r="I5994" s="49"/>
      <c r="J5994" s="49"/>
      <c r="K5994" s="19"/>
      <c r="L5994" s="20"/>
    </row>
    <row r="5995" spans="1:12" outlineLevel="2">
      <c r="A5995" s="21"/>
      <c r="B5995" s="12" t="str">
        <f>IFERROR(VLOOKUP(D5995,'[1]Перечень товаров'!$A$2:$I9525,2,0),"")</f>
        <v>т12</v>
      </c>
      <c r="C5995" s="12" t="str">
        <f>IFERROR(VLOOKUP(D5995,'[1]Перечень товаров'!$A$2:$I9525,3,0),"")</f>
        <v>Техника</v>
      </c>
      <c r="D5995" s="22" t="s">
        <v>49</v>
      </c>
      <c r="E5995" s="58"/>
      <c r="F5995" s="58"/>
      <c r="G5995" s="48">
        <v>1</v>
      </c>
      <c r="H5995" s="48"/>
      <c r="I5995" s="49"/>
      <c r="J5995" s="49"/>
      <c r="K5995" s="19"/>
      <c r="L5995" s="20"/>
    </row>
    <row r="5996" spans="1:12" outlineLevel="2">
      <c r="A5996" s="35"/>
      <c r="B5996" s="12" t="str">
        <f>IFERROR(VLOOKUP(D5996,'[1]Перечень товаров'!$A$2:$I9525,2,0),"")</f>
        <v>т6</v>
      </c>
      <c r="C5996" s="12" t="str">
        <f>IFERROR(VLOOKUP(D5996,'[1]Перечень товаров'!$A$2:$I9525,3,0),"")</f>
        <v xml:space="preserve">Техника </v>
      </c>
      <c r="D5996" s="35" t="s">
        <v>33</v>
      </c>
      <c r="E5996" s="58"/>
      <c r="F5996" s="58"/>
      <c r="G5996" s="48">
        <v>1</v>
      </c>
      <c r="H5996" s="48"/>
      <c r="I5996" s="49"/>
      <c r="J5996" s="49"/>
      <c r="K5996" s="19"/>
      <c r="L5996" s="20"/>
    </row>
    <row r="5997" spans="1:12" outlineLevel="2">
      <c r="A5997" s="21"/>
      <c r="B5997" s="12" t="str">
        <f>IFERROR(VLOOKUP(D5997,'[1]Перечень товаров'!$A$2:$I9525,2,0),"")</f>
        <v>т7</v>
      </c>
      <c r="C5997" s="12" t="str">
        <f>IFERROR(VLOOKUP(D5997,'[1]Перечень товаров'!$A$2:$I9525,3,0),"")</f>
        <v xml:space="preserve">Техника </v>
      </c>
      <c r="D5997" s="22" t="s">
        <v>34</v>
      </c>
      <c r="E5997" s="58"/>
      <c r="F5997" s="58"/>
      <c r="G5997" s="48">
        <v>3</v>
      </c>
      <c r="H5997" s="48"/>
      <c r="I5997" s="49"/>
      <c r="J5997" s="49"/>
      <c r="K5997" s="19"/>
      <c r="L5997" s="20"/>
    </row>
    <row r="5998" spans="1:12" outlineLevel="2">
      <c r="A5998" s="28"/>
      <c r="B5998" s="12" t="str">
        <f>IFERROR(VLOOKUP(D5998,'[1]Перечень товаров'!$A$2:$I9525,2,0),"")</f>
        <v>т161</v>
      </c>
      <c r="C5998" s="12" t="str">
        <f>IFERROR(VLOOKUP(D5998,'[1]Перечень товаров'!$A$2:$I9525,3,0),"")</f>
        <v xml:space="preserve">Техника </v>
      </c>
      <c r="D5998" s="29" t="s">
        <v>381</v>
      </c>
      <c r="E5998" s="30"/>
      <c r="F5998" s="30"/>
      <c r="G5998" s="59">
        <v>1</v>
      </c>
      <c r="H5998" s="59"/>
      <c r="I5998" s="60"/>
      <c r="J5998" s="60"/>
      <c r="K5998" s="19"/>
      <c r="L5998" s="20"/>
    </row>
    <row r="5999" spans="1:12" outlineLevel="2">
      <c r="A5999" s="28"/>
      <c r="B5999" s="12" t="str">
        <f>IFERROR(VLOOKUP(D5999,'[1]Перечень товаров'!$A$2:$I9525,2,0),"")</f>
        <v/>
      </c>
      <c r="C5999" s="12" t="str">
        <f>IFERROR(VLOOKUP(D5999,'[1]Перечень товаров'!$A$2:$I9525,3,0),"")</f>
        <v/>
      </c>
      <c r="D5999" s="29" t="s">
        <v>1680</v>
      </c>
      <c r="E5999" s="30"/>
      <c r="F5999" s="30"/>
      <c r="G5999" s="31">
        <v>1</v>
      </c>
      <c r="H5999" s="31"/>
      <c r="I5999" s="32"/>
      <c r="J5999" s="32"/>
      <c r="K5999" s="19"/>
      <c r="L5999" s="20"/>
    </row>
    <row r="6000" spans="1:12" outlineLevel="2">
      <c r="A6000" s="113"/>
      <c r="B6000" s="12" t="str">
        <f>IFERROR(VLOOKUP(D6000,'[1]Перечень товаров'!$A$2:$I9525,2,0),"")</f>
        <v/>
      </c>
      <c r="C6000" s="12" t="str">
        <f>IFERROR(VLOOKUP(D6000,'[1]Перечень товаров'!$A$2:$I9525,3,0),"")</f>
        <v/>
      </c>
      <c r="D6000" s="114" t="s">
        <v>19</v>
      </c>
      <c r="E6000" s="258"/>
      <c r="F6000" s="258"/>
      <c r="G6000" s="59"/>
      <c r="H6000" s="59"/>
      <c r="I6000" s="60"/>
      <c r="J6000" s="60"/>
      <c r="K6000" s="19"/>
      <c r="L6000" s="20"/>
    </row>
    <row r="6001" spans="1:12" outlineLevel="2">
      <c r="A6001" s="34"/>
      <c r="B6001" s="12" t="str">
        <f>IFERROR(VLOOKUP(D6001,'[1]Перечень товаров'!$A$2:$I9525,2,0),"")</f>
        <v>м62</v>
      </c>
      <c r="C6001" s="12" t="str">
        <f>IFERROR(VLOOKUP(D6001,'[1]Перечень товаров'!$A$2:$I9525,3,0),"")</f>
        <v>Мебель</v>
      </c>
      <c r="D6001" s="35" t="s">
        <v>398</v>
      </c>
      <c r="E6001" s="88"/>
      <c r="F6001" s="88"/>
      <c r="G6001" s="59">
        <v>1</v>
      </c>
      <c r="H6001" s="59"/>
      <c r="I6001" s="60"/>
      <c r="J6001" s="60"/>
      <c r="K6001" s="19"/>
      <c r="L6001" s="20"/>
    </row>
    <row r="6002" spans="1:12" outlineLevel="2">
      <c r="A6002" s="34"/>
      <c r="B6002" s="12" t="str">
        <f>IFERROR(VLOOKUP(D6002,'[1]Перечень товаров'!$A$2:$I9525,2,0),"")</f>
        <v>м61</v>
      </c>
      <c r="C6002" s="12" t="str">
        <f>IFERROR(VLOOKUP(D6002,'[1]Перечень товаров'!$A$2:$I9525,3,0),"")</f>
        <v>Мебель</v>
      </c>
      <c r="D6002" s="35" t="s">
        <v>383</v>
      </c>
      <c r="E6002" s="88"/>
      <c r="F6002" s="88"/>
      <c r="G6002" s="59">
        <v>1</v>
      </c>
      <c r="H6002" s="59"/>
      <c r="I6002" s="60"/>
      <c r="J6002" s="60"/>
      <c r="K6002" s="19"/>
      <c r="L6002" s="20"/>
    </row>
    <row r="6003" spans="1:12" outlineLevel="2">
      <c r="A6003" s="34"/>
      <c r="B6003" s="12" t="str">
        <f>IFERROR(VLOOKUP(D6003,'[1]Перечень товаров'!$A$2:$I9525,2,0),"")</f>
        <v>м179</v>
      </c>
      <c r="C6003" s="12" t="str">
        <f>IFERROR(VLOOKUP(D6003,'[1]Перечень товаров'!$A$2:$I9525,3,0),"")</f>
        <v>Мебель</v>
      </c>
      <c r="D6003" s="35" t="s">
        <v>579</v>
      </c>
      <c r="E6003" s="88"/>
      <c r="F6003" s="88"/>
      <c r="G6003" s="59">
        <v>10</v>
      </c>
      <c r="H6003" s="59"/>
      <c r="I6003" s="60"/>
      <c r="J6003" s="60"/>
      <c r="K6003" s="19"/>
      <c r="L6003" s="20"/>
    </row>
    <row r="6004" spans="1:12" outlineLevel="2">
      <c r="A6004" s="34"/>
      <c r="B6004" s="12" t="str">
        <f>IFERROR(VLOOKUP(D6004,'[1]Перечень товаров'!$A$2:$I9525,2,0),"")</f>
        <v>м61</v>
      </c>
      <c r="C6004" s="12" t="str">
        <f>IFERROR(VLOOKUP(D6004,'[1]Перечень товаров'!$A$2:$I9525,3,0),"")</f>
        <v>Мебель</v>
      </c>
      <c r="D6004" s="35" t="s">
        <v>384</v>
      </c>
      <c r="E6004" s="88"/>
      <c r="F6004" s="88"/>
      <c r="G6004" s="59">
        <v>20</v>
      </c>
      <c r="H6004" s="59"/>
      <c r="I6004" s="60"/>
      <c r="J6004" s="60"/>
      <c r="K6004" s="19"/>
      <c r="L6004" s="20"/>
    </row>
    <row r="6005" spans="1:12" outlineLevel="2">
      <c r="A6005" s="21"/>
      <c r="B6005" s="12" t="str">
        <f>IFERROR(VLOOKUP(D6005,'[1]Перечень товаров'!$A$2:$I9525,2,0),"")</f>
        <v>м13</v>
      </c>
      <c r="C6005" s="12" t="str">
        <f>IFERROR(VLOOKUP(D6005,'[1]Перечень товаров'!$A$2:$I9525,3,0),"")</f>
        <v>Мебель</v>
      </c>
      <c r="D6005" s="22" t="s">
        <v>42</v>
      </c>
      <c r="E6005" s="58"/>
      <c r="F6005" s="58"/>
      <c r="G6005" s="24">
        <v>1</v>
      </c>
      <c r="H6005" s="24"/>
      <c r="I6005" s="25"/>
      <c r="J6005" s="25"/>
      <c r="K6005" s="19"/>
      <c r="L6005" s="20"/>
    </row>
    <row r="6006" spans="1:12" outlineLevel="2">
      <c r="A6006" s="21"/>
      <c r="B6006" s="12" t="str">
        <f>IFERROR(VLOOKUP(D6006,'[1]Перечень товаров'!$A$2:$I9525,2,0),"")</f>
        <v>м14</v>
      </c>
      <c r="C6006" s="12" t="str">
        <f>IFERROR(VLOOKUP(D6006,'[1]Перечень товаров'!$A$2:$I9525,3,0),"")</f>
        <v>Мебель</v>
      </c>
      <c r="D6006" s="22" t="s">
        <v>43</v>
      </c>
      <c r="E6006" s="58"/>
      <c r="F6006" s="58"/>
      <c r="G6006" s="24">
        <v>1</v>
      </c>
      <c r="H6006" s="24"/>
      <c r="I6006" s="25"/>
      <c r="J6006" s="25"/>
      <c r="K6006" s="19"/>
      <c r="L6006" s="20"/>
    </row>
    <row r="6007" spans="1:12" ht="15" outlineLevel="2">
      <c r="A6007" s="54"/>
      <c r="B6007" s="12" t="str">
        <f>IFERROR(VLOOKUP(D6007,'[1]Перечень товаров'!$A$2:$I9525,2,0),"")</f>
        <v/>
      </c>
      <c r="C6007" s="12" t="str">
        <f>IFERROR(VLOOKUP(D6007,'[1]Перечень товаров'!$A$2:$I9525,3,0),"")</f>
        <v/>
      </c>
      <c r="D6007" s="55" t="s">
        <v>45</v>
      </c>
      <c r="E6007" s="56"/>
      <c r="F6007" s="56"/>
      <c r="G6007" s="17"/>
      <c r="H6007" s="17"/>
      <c r="I6007" s="57"/>
      <c r="J6007" s="57"/>
      <c r="K6007" s="19"/>
      <c r="L6007" s="20"/>
    </row>
    <row r="6008" spans="1:12" outlineLevel="2">
      <c r="A6008" s="21"/>
      <c r="B6008" s="12" t="str">
        <f>IFERROR(VLOOKUP(D6008,'[1]Перечень товаров'!$A$2:$I9525,2,0),"")</f>
        <v>п2</v>
      </c>
      <c r="C6008" s="12" t="str">
        <f>IFERROR(VLOOKUP(D6008,'[1]Перечень товаров'!$A$2:$I9525,3,0),"")</f>
        <v>Прочее</v>
      </c>
      <c r="D6008" s="22" t="s">
        <v>46</v>
      </c>
      <c r="E6008" s="58"/>
      <c r="F6008" s="58"/>
      <c r="G6008" s="24">
        <v>1</v>
      </c>
      <c r="H6008" s="24"/>
      <c r="I6008" s="25"/>
      <c r="J6008" s="25"/>
      <c r="K6008" s="19"/>
      <c r="L6008" s="20"/>
    </row>
    <row r="6009" spans="1:12" outlineLevel="2">
      <c r="A6009" s="43"/>
      <c r="B6009" s="12" t="str">
        <f>IFERROR(VLOOKUP(D6009,'[1]Перечень товаров'!$A$2:$I9525,2,0),"")</f>
        <v>м7</v>
      </c>
      <c r="C6009" s="12" t="str">
        <f>IFERROR(VLOOKUP(D6009,'[1]Перечень товаров'!$A$2:$I9525,3,0),"")</f>
        <v>Мебель</v>
      </c>
      <c r="D6009" s="44" t="s">
        <v>24</v>
      </c>
      <c r="E6009" s="30"/>
      <c r="F6009" s="30"/>
      <c r="G6009" s="59">
        <v>1</v>
      </c>
      <c r="H6009" s="59"/>
      <c r="I6009" s="60"/>
      <c r="J6009" s="60"/>
      <c r="K6009" s="19"/>
      <c r="L6009" s="20"/>
    </row>
    <row r="6010" spans="1:12" outlineLevel="2">
      <c r="A6010" s="43"/>
      <c r="B6010" s="12" t="str">
        <f>IFERROR(VLOOKUP(D6010,'[1]Перечень товаров'!$A$2:$I9525,2,0),"")</f>
        <v>п1</v>
      </c>
      <c r="C6010" s="12" t="str">
        <f>IFERROR(VLOOKUP(D6010,'[1]Перечень товаров'!$A$2:$I9525,3,0),"")</f>
        <v>Прочее</v>
      </c>
      <c r="D6010" s="44" t="s">
        <v>37</v>
      </c>
      <c r="E6010" s="30"/>
      <c r="F6010" s="30"/>
      <c r="G6010" s="59">
        <v>1</v>
      </c>
      <c r="H6010" s="59"/>
      <c r="I6010" s="60"/>
      <c r="J6010" s="60"/>
      <c r="K6010" s="19"/>
      <c r="L6010" s="20"/>
    </row>
    <row r="6011" spans="1:12" ht="15" outlineLevel="2">
      <c r="A6011" s="116"/>
      <c r="B6011" s="12" t="str">
        <f>IFERROR(VLOOKUP(D6011,'[1]Перечень товаров'!$A$2:$I9525,2,0),"")</f>
        <v/>
      </c>
      <c r="C6011" s="12" t="str">
        <f>IFERROR(VLOOKUP(D6011,'[1]Перечень товаров'!$A$2:$I9525,3,0),"")</f>
        <v/>
      </c>
      <c r="D6011" s="117" t="s">
        <v>391</v>
      </c>
      <c r="E6011" s="122"/>
      <c r="F6011" s="122"/>
      <c r="G6011" s="123"/>
      <c r="H6011" s="123"/>
      <c r="I6011" s="124"/>
      <c r="J6011" s="124"/>
      <c r="K6011" s="19"/>
      <c r="L6011" s="20"/>
    </row>
    <row r="6012" spans="1:12" outlineLevel="2">
      <c r="A6012" s="28"/>
      <c r="B6012" s="12" t="str">
        <f>IFERROR(VLOOKUP(D6012,'[1]Перечень товаров'!$A$2:$I9525,2,0),"")</f>
        <v>мм1</v>
      </c>
      <c r="C6012" s="12" t="str">
        <f>IFERROR(VLOOKUP(D6012,'[1]Перечень товаров'!$A$2:$I9525,3,0),"")</f>
        <v>Мебель муз</v>
      </c>
      <c r="D6012" s="29" t="s">
        <v>1134</v>
      </c>
      <c r="E6012" s="30"/>
      <c r="F6012" s="30"/>
      <c r="G6012" s="31">
        <v>1</v>
      </c>
      <c r="H6012" s="31"/>
      <c r="I6012" s="32"/>
      <c r="J6012" s="32"/>
      <c r="K6012" s="19"/>
      <c r="L6012" s="20"/>
    </row>
    <row r="6013" spans="1:12" outlineLevel="2">
      <c r="A6013" s="135"/>
      <c r="B6013" s="12" t="str">
        <f>IFERROR(VLOOKUP(D6013,'[1]Перечень товаров'!$A$2:$I9525,2,0),"")</f>
        <v>т87</v>
      </c>
      <c r="C6013" s="12" t="str">
        <f>IFERROR(VLOOKUP(D6013,'[1]Перечень товаров'!$A$2:$I9525,3,0),"")</f>
        <v>Техника</v>
      </c>
      <c r="D6013" s="136" t="s">
        <v>1025</v>
      </c>
      <c r="E6013" s="173"/>
      <c r="F6013" s="173"/>
      <c r="G6013" s="259">
        <v>1</v>
      </c>
      <c r="H6013" s="259"/>
      <c r="I6013" s="260"/>
      <c r="J6013" s="260"/>
      <c r="K6013" s="19"/>
      <c r="L6013" s="20"/>
    </row>
    <row r="6014" spans="1:12" outlineLevel="2">
      <c r="A6014" s="28"/>
      <c r="B6014" s="12" t="str">
        <f>IFERROR(VLOOKUP(D6014,'[1]Перечень товаров'!$A$2:$I9525,2,0),"")</f>
        <v>пм111</v>
      </c>
      <c r="C6014" s="12" t="str">
        <f>IFERROR(VLOOKUP(D6014,'[1]Перечень товаров'!$A$2:$I9525,3,0),"")</f>
        <v>прочее муз</v>
      </c>
      <c r="D6014" s="29" t="s">
        <v>1681</v>
      </c>
      <c r="E6014" s="30"/>
      <c r="F6014" s="30"/>
      <c r="G6014" s="31">
        <v>1</v>
      </c>
      <c r="H6014" s="31"/>
      <c r="I6014" s="32"/>
      <c r="J6014" s="32"/>
      <c r="K6014" s="19"/>
      <c r="L6014" s="20"/>
    </row>
    <row r="6015" spans="1:12" outlineLevel="2">
      <c r="A6015" s="28"/>
      <c r="B6015" s="12" t="str">
        <f>IFERROR(VLOOKUP(D6015,'[1]Перечень товаров'!$A$2:$I9525,2,0),"")</f>
        <v>пм110</v>
      </c>
      <c r="C6015" s="12" t="str">
        <f>IFERROR(VLOOKUP(D6015,'[1]Перечень товаров'!$A$2:$I9525,3,0),"")</f>
        <v>прочее муз</v>
      </c>
      <c r="D6015" s="29" t="s">
        <v>1682</v>
      </c>
      <c r="E6015" s="30"/>
      <c r="F6015" s="30"/>
      <c r="G6015" s="31">
        <v>1</v>
      </c>
      <c r="H6015" s="31"/>
      <c r="I6015" s="32"/>
      <c r="J6015" s="32"/>
      <c r="K6015" s="19"/>
      <c r="L6015" s="20"/>
    </row>
    <row r="6016" spans="1:12" ht="31.5" outlineLevel="2">
      <c r="A6016" s="28"/>
      <c r="B6016" s="12" t="str">
        <f>IFERROR(VLOOKUP(D6016,'[1]Перечень товаров'!$A$2:$I9525,2,0),"")</f>
        <v>д247</v>
      </c>
      <c r="C6016" s="12" t="str">
        <f>IFERROR(VLOOKUP(D6016,'[1]Перечень товаров'!$A$2:$I9525,3,0),"")</f>
        <v>Дидактика</v>
      </c>
      <c r="D6016" s="29" t="s">
        <v>1683</v>
      </c>
      <c r="E6016" s="30"/>
      <c r="F6016" s="30"/>
      <c r="G6016" s="31">
        <v>20</v>
      </c>
      <c r="H6016" s="31"/>
      <c r="I6016" s="32"/>
      <c r="J6016" s="32"/>
      <c r="K6016" s="19"/>
      <c r="L6016" s="20"/>
    </row>
    <row r="6017" spans="1:12" ht="31.5" outlineLevel="2">
      <c r="A6017" s="28"/>
      <c r="B6017" s="12" t="str">
        <f>IFERROR(VLOOKUP(D6017,'[1]Перечень товаров'!$A$2:$I9525,2,0),"")</f>
        <v>пм109</v>
      </c>
      <c r="C6017" s="12" t="str">
        <f>IFERROR(VLOOKUP(D6017,'[1]Перечень товаров'!$A$2:$I9525,3,0),"")</f>
        <v>прочее муз</v>
      </c>
      <c r="D6017" s="29" t="s">
        <v>1684</v>
      </c>
      <c r="E6017" s="30"/>
      <c r="F6017" s="30"/>
      <c r="G6017" s="31">
        <v>1</v>
      </c>
      <c r="H6017" s="31"/>
      <c r="I6017" s="32"/>
      <c r="J6017" s="32"/>
      <c r="K6017" s="19"/>
      <c r="L6017" s="20"/>
    </row>
    <row r="6018" spans="1:12" ht="47.25" outlineLevel="2">
      <c r="A6018" s="28"/>
      <c r="B6018" s="12" t="str">
        <f>IFERROR(VLOOKUP(D6018,'[1]Перечень товаров'!$A$2:$I9525,2,0),"")</f>
        <v>пм168</v>
      </c>
      <c r="C6018" s="12" t="str">
        <f>IFERROR(VLOOKUP(D6018,'[1]Перечень товаров'!$A$2:$I9525,3,0),"")</f>
        <v>прочее муз</v>
      </c>
      <c r="D6018" s="29" t="s">
        <v>1135</v>
      </c>
      <c r="E6018" s="30"/>
      <c r="F6018" s="30"/>
      <c r="G6018" s="59">
        <v>1</v>
      </c>
      <c r="H6018" s="59"/>
      <c r="I6018" s="60"/>
      <c r="J6018" s="60"/>
      <c r="K6018" s="19"/>
      <c r="L6018" s="20"/>
    </row>
    <row r="6019" spans="1:12" ht="12.75" outlineLevel="1">
      <c r="A6019" s="89"/>
      <c r="B6019" s="12" t="str">
        <f>IFERROR(VLOOKUP(D6019,'[1]Перечень товаров'!$A$2:$I9525,2,0),"")</f>
        <v/>
      </c>
      <c r="C6019" s="12" t="str">
        <f>IFERROR(VLOOKUP(D6019,'[1]Перечень товаров'!$A$2:$I9525,3,0),"")</f>
        <v/>
      </c>
      <c r="D6019" s="90" t="s">
        <v>1686</v>
      </c>
      <c r="E6019" s="108">
        <v>46134</v>
      </c>
      <c r="F6019" s="108"/>
      <c r="G6019" s="100"/>
      <c r="H6019" s="100"/>
      <c r="I6019" s="101"/>
      <c r="J6019" s="101"/>
      <c r="K6019" s="19"/>
      <c r="L6019" s="20"/>
    </row>
    <row r="6020" spans="1:12" ht="15" outlineLevel="2">
      <c r="A6020" s="109"/>
      <c r="B6020" s="12" t="str">
        <f>IFERROR(VLOOKUP(D6020,'[1]Перечень товаров'!$A$2:$I9525,2,0),"")</f>
        <v/>
      </c>
      <c r="C6020" s="12" t="str">
        <f>IFERROR(VLOOKUP(D6020,'[1]Перечень товаров'!$A$2:$I9525,3,0),"")</f>
        <v/>
      </c>
      <c r="D6020" s="110" t="s">
        <v>27</v>
      </c>
      <c r="E6020" s="56"/>
      <c r="F6020" s="56"/>
      <c r="G6020" s="111"/>
      <c r="H6020" s="111"/>
      <c r="I6020" s="112"/>
      <c r="J6020" s="112"/>
      <c r="K6020" s="19"/>
      <c r="L6020" s="20"/>
    </row>
    <row r="6021" spans="1:12" outlineLevel="2">
      <c r="A6021" s="21"/>
      <c r="B6021" s="12" t="str">
        <f>IFERROR(VLOOKUP(D6021,'[1]Перечень товаров'!$A$2:$I9525,2,0),"")</f>
        <v>т1</v>
      </c>
      <c r="C6021" s="12" t="str">
        <f>IFERROR(VLOOKUP(D6021,'[1]Перечень товаров'!$A$2:$I9525,3,0),"")</f>
        <v xml:space="preserve">Техника </v>
      </c>
      <c r="D6021" s="22" t="s">
        <v>28</v>
      </c>
      <c r="E6021" s="58"/>
      <c r="F6021" s="58"/>
      <c r="G6021" s="48">
        <v>1</v>
      </c>
      <c r="H6021" s="48"/>
      <c r="I6021" s="49"/>
      <c r="J6021" s="49"/>
      <c r="K6021" s="19"/>
      <c r="L6021" s="20"/>
    </row>
    <row r="6022" spans="1:12" outlineLevel="2">
      <c r="A6022" s="143"/>
      <c r="B6022" s="12" t="str">
        <f>IFERROR(VLOOKUP(D6022,'[1]Перечень товаров'!$A$2:$I9525,2,0),"")</f>
        <v>т9</v>
      </c>
      <c r="C6022" s="12" t="str">
        <f>IFERROR(VLOOKUP(D6022,'[1]Перечень товаров'!$A$2:$I9525,3,0),"")</f>
        <v>Техника</v>
      </c>
      <c r="D6022" s="143" t="s">
        <v>36</v>
      </c>
      <c r="E6022" s="58"/>
      <c r="F6022" s="58"/>
      <c r="G6022" s="48">
        <v>1</v>
      </c>
      <c r="H6022" s="48"/>
      <c r="I6022" s="49"/>
      <c r="J6022" s="49"/>
      <c r="K6022" s="19"/>
      <c r="L6022" s="20"/>
    </row>
    <row r="6023" spans="1:12" outlineLevel="2">
      <c r="A6023" s="35"/>
      <c r="B6023" s="12" t="str">
        <f>IFERROR(VLOOKUP(D6023,'[1]Перечень товаров'!$A$2:$I9525,2,0),"")</f>
        <v>т2</v>
      </c>
      <c r="C6023" s="12" t="str">
        <f>IFERROR(VLOOKUP(D6023,'[1]Перечень товаров'!$A$2:$I9525,3,0),"")</f>
        <v xml:space="preserve">Техника </v>
      </c>
      <c r="D6023" s="35" t="s">
        <v>29</v>
      </c>
      <c r="E6023" s="58"/>
      <c r="F6023" s="58"/>
      <c r="G6023" s="48">
        <v>1</v>
      </c>
      <c r="H6023" s="48"/>
      <c r="I6023" s="49"/>
      <c r="J6023" s="49"/>
      <c r="K6023" s="19"/>
      <c r="L6023" s="20"/>
    </row>
    <row r="6024" spans="1:12" outlineLevel="2">
      <c r="A6024" s="35"/>
      <c r="B6024" s="12" t="str">
        <f>IFERROR(VLOOKUP(D6024,'[1]Перечень товаров'!$A$2:$I9525,2,0),"")</f>
        <v>т3</v>
      </c>
      <c r="C6024" s="12" t="str">
        <f>IFERROR(VLOOKUP(D6024,'[1]Перечень товаров'!$A$2:$I9525,3,0),"")</f>
        <v xml:space="preserve">Техника </v>
      </c>
      <c r="D6024" s="35" t="s">
        <v>30</v>
      </c>
      <c r="E6024" s="58"/>
      <c r="F6024" s="58"/>
      <c r="G6024" s="48">
        <v>1</v>
      </c>
      <c r="H6024" s="48"/>
      <c r="I6024" s="49"/>
      <c r="J6024" s="49"/>
      <c r="K6024" s="19"/>
      <c r="L6024" s="20"/>
    </row>
    <row r="6025" spans="1:12" outlineLevel="2">
      <c r="A6025" s="35"/>
      <c r="B6025" s="12" t="str">
        <f>IFERROR(VLOOKUP(D6025,'[1]Перечень товаров'!$A$2:$I9525,2,0),"")</f>
        <v>т4</v>
      </c>
      <c r="C6025" s="12" t="str">
        <f>IFERROR(VLOOKUP(D6025,'[1]Перечень товаров'!$A$2:$I9525,3,0),"")</f>
        <v xml:space="preserve">Техника </v>
      </c>
      <c r="D6025" s="35" t="s">
        <v>31</v>
      </c>
      <c r="E6025" s="58"/>
      <c r="F6025" s="58"/>
      <c r="G6025" s="48">
        <v>1</v>
      </c>
      <c r="H6025" s="48"/>
      <c r="I6025" s="49"/>
      <c r="J6025" s="49"/>
      <c r="K6025" s="19"/>
      <c r="L6025" s="20"/>
    </row>
    <row r="6026" spans="1:12" outlineLevel="2">
      <c r="A6026" s="21"/>
      <c r="B6026" s="12" t="str">
        <f>IFERROR(VLOOKUP(D6026,'[1]Перечень товаров'!$A$2:$I9525,2,0),"")</f>
        <v>тм65</v>
      </c>
      <c r="C6026" s="12" t="str">
        <f>IFERROR(VLOOKUP(D6026,'[1]Перечень товаров'!$A$2:$I9525,3,0),"")</f>
        <v>Техника муз</v>
      </c>
      <c r="D6026" s="22" t="s">
        <v>380</v>
      </c>
      <c r="E6026" s="58"/>
      <c r="F6026" s="58"/>
      <c r="G6026" s="48">
        <v>1</v>
      </c>
      <c r="H6026" s="48"/>
      <c r="I6026" s="49"/>
      <c r="J6026" s="49"/>
      <c r="K6026" s="19"/>
      <c r="L6026" s="20"/>
    </row>
    <row r="6027" spans="1:12" outlineLevel="2">
      <c r="A6027" s="21"/>
      <c r="B6027" s="12" t="str">
        <f>IFERROR(VLOOKUP(D6027,'[1]Перечень товаров'!$A$2:$I9525,2,0),"")</f>
        <v>т12</v>
      </c>
      <c r="C6027" s="12" t="str">
        <f>IFERROR(VLOOKUP(D6027,'[1]Перечень товаров'!$A$2:$I9525,3,0),"")</f>
        <v>Техника</v>
      </c>
      <c r="D6027" s="22" t="s">
        <v>49</v>
      </c>
      <c r="E6027" s="58"/>
      <c r="F6027" s="58"/>
      <c r="G6027" s="48">
        <v>1</v>
      </c>
      <c r="H6027" s="48"/>
      <c r="I6027" s="49"/>
      <c r="J6027" s="49"/>
      <c r="K6027" s="19"/>
      <c r="L6027" s="20"/>
    </row>
    <row r="6028" spans="1:12" outlineLevel="2">
      <c r="A6028" s="35"/>
      <c r="B6028" s="12" t="str">
        <f>IFERROR(VLOOKUP(D6028,'[1]Перечень товаров'!$A$2:$I9525,2,0),"")</f>
        <v>т6</v>
      </c>
      <c r="C6028" s="12" t="str">
        <f>IFERROR(VLOOKUP(D6028,'[1]Перечень товаров'!$A$2:$I9525,3,0),"")</f>
        <v xml:space="preserve">Техника </v>
      </c>
      <c r="D6028" s="35" t="s">
        <v>33</v>
      </c>
      <c r="E6028" s="58"/>
      <c r="F6028" s="58"/>
      <c r="G6028" s="48">
        <v>1</v>
      </c>
      <c r="H6028" s="48"/>
      <c r="I6028" s="49"/>
      <c r="J6028" s="49"/>
      <c r="K6028" s="19"/>
      <c r="L6028" s="20"/>
    </row>
    <row r="6029" spans="1:12" outlineLevel="2">
      <c r="A6029" s="21"/>
      <c r="B6029" s="12" t="str">
        <f>IFERROR(VLOOKUP(D6029,'[1]Перечень товаров'!$A$2:$I9525,2,0),"")</f>
        <v>т7</v>
      </c>
      <c r="C6029" s="12" t="str">
        <f>IFERROR(VLOOKUP(D6029,'[1]Перечень товаров'!$A$2:$I9525,3,0),"")</f>
        <v xml:space="preserve">Техника </v>
      </c>
      <c r="D6029" s="22" t="s">
        <v>34</v>
      </c>
      <c r="E6029" s="58"/>
      <c r="F6029" s="58"/>
      <c r="G6029" s="48">
        <v>3</v>
      </c>
      <c r="H6029" s="48"/>
      <c r="I6029" s="49"/>
      <c r="J6029" s="49"/>
      <c r="K6029" s="19"/>
      <c r="L6029" s="20"/>
    </row>
    <row r="6030" spans="1:12" outlineLevel="2">
      <c r="A6030" s="28"/>
      <c r="B6030" s="12" t="str">
        <f>IFERROR(VLOOKUP(D6030,'[1]Перечень товаров'!$A$2:$I9525,2,0),"")</f>
        <v>т161</v>
      </c>
      <c r="C6030" s="12" t="str">
        <f>IFERROR(VLOOKUP(D6030,'[1]Перечень товаров'!$A$2:$I9525,3,0),"")</f>
        <v xml:space="preserve">Техника </v>
      </c>
      <c r="D6030" s="29" t="s">
        <v>381</v>
      </c>
      <c r="E6030" s="30"/>
      <c r="F6030" s="30"/>
      <c r="G6030" s="59">
        <v>1</v>
      </c>
      <c r="H6030" s="59"/>
      <c r="I6030" s="60"/>
      <c r="J6030" s="60"/>
      <c r="K6030" s="19"/>
      <c r="L6030" s="20"/>
    </row>
    <row r="6031" spans="1:12" outlineLevel="2">
      <c r="A6031" s="113"/>
      <c r="B6031" s="12" t="str">
        <f>IFERROR(VLOOKUP(D6031,'[1]Перечень товаров'!$A$2:$I9525,2,0),"")</f>
        <v/>
      </c>
      <c r="C6031" s="12" t="str">
        <f>IFERROR(VLOOKUP(D6031,'[1]Перечень товаров'!$A$2:$I9525,3,0),"")</f>
        <v/>
      </c>
      <c r="D6031" s="114" t="s">
        <v>19</v>
      </c>
      <c r="E6031" s="258"/>
      <c r="F6031" s="258"/>
      <c r="G6031" s="59"/>
      <c r="H6031" s="59"/>
      <c r="I6031" s="60"/>
      <c r="J6031" s="60"/>
      <c r="K6031" s="19"/>
      <c r="L6031" s="20"/>
    </row>
    <row r="6032" spans="1:12" outlineLevel="2">
      <c r="A6032" s="34"/>
      <c r="B6032" s="12" t="str">
        <f>IFERROR(VLOOKUP(D6032,'[1]Перечень товаров'!$A$2:$I9525,2,0),"")</f>
        <v>м62</v>
      </c>
      <c r="C6032" s="12" t="str">
        <f>IFERROR(VLOOKUP(D6032,'[1]Перечень товаров'!$A$2:$I9525,3,0),"")</f>
        <v>Мебель</v>
      </c>
      <c r="D6032" s="35" t="s">
        <v>398</v>
      </c>
      <c r="E6032" s="88"/>
      <c r="F6032" s="88"/>
      <c r="G6032" s="59">
        <v>1</v>
      </c>
      <c r="H6032" s="59"/>
      <c r="I6032" s="60"/>
      <c r="J6032" s="60"/>
      <c r="K6032" s="19"/>
      <c r="L6032" s="20"/>
    </row>
    <row r="6033" spans="1:12" outlineLevel="2">
      <c r="A6033" s="34"/>
      <c r="B6033" s="12" t="str">
        <f>IFERROR(VLOOKUP(D6033,'[1]Перечень товаров'!$A$2:$I9525,2,0),"")</f>
        <v>м61</v>
      </c>
      <c r="C6033" s="12" t="str">
        <f>IFERROR(VLOOKUP(D6033,'[1]Перечень товаров'!$A$2:$I9525,3,0),"")</f>
        <v>Мебель</v>
      </c>
      <c r="D6033" s="35" t="s">
        <v>383</v>
      </c>
      <c r="E6033" s="88"/>
      <c r="F6033" s="88"/>
      <c r="G6033" s="59">
        <v>1</v>
      </c>
      <c r="H6033" s="59"/>
      <c r="I6033" s="60"/>
      <c r="J6033" s="60"/>
      <c r="K6033" s="19"/>
      <c r="L6033" s="20"/>
    </row>
    <row r="6034" spans="1:12" outlineLevel="2">
      <c r="A6034" s="34"/>
      <c r="B6034" s="12" t="str">
        <f>IFERROR(VLOOKUP(D6034,'[1]Перечень товаров'!$A$2:$I9525,2,0),"")</f>
        <v>м61</v>
      </c>
      <c r="C6034" s="12" t="str">
        <f>IFERROR(VLOOKUP(D6034,'[1]Перечень товаров'!$A$2:$I9525,3,0),"")</f>
        <v>Мебель</v>
      </c>
      <c r="D6034" s="35" t="s">
        <v>384</v>
      </c>
      <c r="E6034" s="88"/>
      <c r="F6034" s="88"/>
      <c r="G6034" s="59">
        <v>5</v>
      </c>
      <c r="H6034" s="59"/>
      <c r="I6034" s="60"/>
      <c r="J6034" s="60"/>
      <c r="K6034" s="19"/>
      <c r="L6034" s="20"/>
    </row>
    <row r="6035" spans="1:12" outlineLevel="2">
      <c r="A6035" s="21"/>
      <c r="B6035" s="12" t="str">
        <f>IFERROR(VLOOKUP(D6035,'[1]Перечень товаров'!$A$2:$I9525,2,0),"")</f>
        <v>м13</v>
      </c>
      <c r="C6035" s="12" t="str">
        <f>IFERROR(VLOOKUP(D6035,'[1]Перечень товаров'!$A$2:$I9525,3,0),"")</f>
        <v>Мебель</v>
      </c>
      <c r="D6035" s="22" t="s">
        <v>42</v>
      </c>
      <c r="E6035" s="58"/>
      <c r="F6035" s="58"/>
      <c r="G6035" s="24">
        <v>1</v>
      </c>
      <c r="H6035" s="24"/>
      <c r="I6035" s="25"/>
      <c r="J6035" s="25"/>
      <c r="K6035" s="19"/>
      <c r="L6035" s="20"/>
    </row>
    <row r="6036" spans="1:12" outlineLevel="2">
      <c r="A6036" s="21"/>
      <c r="B6036" s="12" t="str">
        <f>IFERROR(VLOOKUP(D6036,'[1]Перечень товаров'!$A$2:$I9525,2,0),"")</f>
        <v>м14</v>
      </c>
      <c r="C6036" s="12" t="str">
        <f>IFERROR(VLOOKUP(D6036,'[1]Перечень товаров'!$A$2:$I9525,3,0),"")</f>
        <v>Мебель</v>
      </c>
      <c r="D6036" s="22" t="s">
        <v>43</v>
      </c>
      <c r="E6036" s="58"/>
      <c r="F6036" s="58"/>
      <c r="G6036" s="24">
        <v>1</v>
      </c>
      <c r="H6036" s="24"/>
      <c r="I6036" s="25"/>
      <c r="J6036" s="25"/>
      <c r="K6036" s="19"/>
      <c r="L6036" s="20"/>
    </row>
    <row r="6037" spans="1:12" ht="15" outlineLevel="2">
      <c r="A6037" s="116"/>
      <c r="B6037" s="12" t="str">
        <f>IFERROR(VLOOKUP(D6037,'[1]Перечень товаров'!$A$2:$I9525,2,0),"")</f>
        <v/>
      </c>
      <c r="C6037" s="12" t="str">
        <f>IFERROR(VLOOKUP(D6037,'[1]Перечень товаров'!$A$2:$I9525,3,0),"")</f>
        <v/>
      </c>
      <c r="D6037" s="117" t="s">
        <v>391</v>
      </c>
      <c r="E6037" s="122"/>
      <c r="F6037" s="122"/>
      <c r="G6037" s="123"/>
      <c r="H6037" s="123"/>
      <c r="I6037" s="124"/>
      <c r="J6037" s="124"/>
      <c r="K6037" s="19"/>
      <c r="L6037" s="20"/>
    </row>
    <row r="6038" spans="1:12" outlineLevel="2">
      <c r="A6038" s="28"/>
      <c r="B6038" s="12" t="str">
        <f>IFERROR(VLOOKUP(D6038,'[1]Перечень товаров'!$A$2:$I9525,2,0),"")</f>
        <v>тм147</v>
      </c>
      <c r="C6038" s="12" t="str">
        <f>IFERROR(VLOOKUP(D6038,'[1]Перечень товаров'!$A$2:$I9525,3,0),"")</f>
        <v>Техника муз</v>
      </c>
      <c r="D6038" s="29" t="s">
        <v>1687</v>
      </c>
      <c r="E6038" s="30"/>
      <c r="F6038" s="30"/>
      <c r="G6038" s="31">
        <v>1</v>
      </c>
      <c r="H6038" s="31"/>
      <c r="I6038" s="32"/>
      <c r="J6038" s="32"/>
      <c r="K6038" s="19"/>
      <c r="L6038" s="20"/>
    </row>
    <row r="6039" spans="1:12" ht="31.5" outlineLevel="2">
      <c r="A6039" s="28"/>
      <c r="B6039" s="12" t="str">
        <f>IFERROR(VLOOKUP(D6039,'[1]Перечень товаров'!$A$2:$I9525,2,0),"")</f>
        <v>тм219</v>
      </c>
      <c r="C6039" s="12" t="str">
        <f>IFERROR(VLOOKUP(D6039,'[1]Перечень товаров'!$A$2:$I9525,3,0),"")</f>
        <v>Техника муз</v>
      </c>
      <c r="D6039" s="29" t="s">
        <v>1000</v>
      </c>
      <c r="E6039" s="30"/>
      <c r="F6039" s="30"/>
      <c r="G6039" s="31">
        <v>1</v>
      </c>
      <c r="H6039" s="31"/>
      <c r="I6039" s="32"/>
      <c r="J6039" s="32"/>
      <c r="K6039" s="19"/>
      <c r="L6039" s="20"/>
    </row>
    <row r="6040" spans="1:12" outlineLevel="2">
      <c r="A6040" s="28"/>
      <c r="B6040" s="12" t="str">
        <f>IFERROR(VLOOKUP(D6040,'[1]Перечень товаров'!$A$2:$I9525,2,0),"")</f>
        <v>м175</v>
      </c>
      <c r="C6040" s="12" t="str">
        <f>IFERROR(VLOOKUP(D6040,'[1]Перечень товаров'!$A$2:$I9525,3,0),"")</f>
        <v>мебель</v>
      </c>
      <c r="D6040" s="29" t="s">
        <v>1001</v>
      </c>
      <c r="E6040" s="30"/>
      <c r="F6040" s="30"/>
      <c r="G6040" s="31">
        <v>2</v>
      </c>
      <c r="H6040" s="31"/>
      <c r="I6040" s="32"/>
      <c r="J6040" s="32"/>
      <c r="K6040" s="19"/>
      <c r="L6040" s="20"/>
    </row>
    <row r="6041" spans="1:12" outlineLevel="2">
      <c r="A6041" s="28"/>
      <c r="B6041" s="12" t="str">
        <f>IFERROR(VLOOKUP(D6041,'[1]Перечень товаров'!$A$2:$I9525,2,0),"")</f>
        <v>д246</v>
      </c>
      <c r="C6041" s="12" t="str">
        <f>IFERROR(VLOOKUP(D6041,'[1]Перечень товаров'!$A$2:$I9525,3,0),"")</f>
        <v>Дидактика</v>
      </c>
      <c r="D6041" s="29" t="s">
        <v>1688</v>
      </c>
      <c r="E6041" s="30"/>
      <c r="F6041" s="30"/>
      <c r="G6041" s="31">
        <v>1</v>
      </c>
      <c r="H6041" s="31"/>
      <c r="I6041" s="32"/>
      <c r="J6041" s="32"/>
      <c r="K6041" s="19"/>
      <c r="L6041" s="20"/>
    </row>
    <row r="6042" spans="1:12" outlineLevel="2">
      <c r="A6042" s="28"/>
      <c r="B6042" s="12" t="str">
        <f>IFERROR(VLOOKUP(D6042,'[1]Перечень товаров'!$A$2:$I9525,2,0),"")</f>
        <v>пм167</v>
      </c>
      <c r="C6042" s="12" t="str">
        <f>IFERROR(VLOOKUP(D6042,'[1]Перечень товаров'!$A$2:$I9525,3,0),"")</f>
        <v>прочее муз</v>
      </c>
      <c r="D6042" s="29" t="s">
        <v>1136</v>
      </c>
      <c r="E6042" s="30"/>
      <c r="F6042" s="30"/>
      <c r="G6042" s="31">
        <v>1</v>
      </c>
      <c r="H6042" s="31"/>
      <c r="I6042" s="32"/>
      <c r="J6042" s="32"/>
      <c r="K6042" s="19"/>
      <c r="L6042" s="20"/>
    </row>
    <row r="6043" spans="1:12" outlineLevel="2">
      <c r="A6043" s="28"/>
      <c r="B6043" s="12" t="str">
        <f>IFERROR(VLOOKUP(D6043,'[1]Перечень товаров'!$A$2:$I9525,2,0),"")</f>
        <v>пм108</v>
      </c>
      <c r="C6043" s="12" t="str">
        <f>IFERROR(VLOOKUP(D6043,'[1]Перечень товаров'!$A$2:$I9525,3,0),"")</f>
        <v>прочее муз</v>
      </c>
      <c r="D6043" s="29" t="s">
        <v>1689</v>
      </c>
      <c r="E6043" s="30"/>
      <c r="F6043" s="30"/>
      <c r="G6043" s="31">
        <v>1</v>
      </c>
      <c r="H6043" s="31"/>
      <c r="I6043" s="32"/>
      <c r="J6043" s="32"/>
      <c r="K6043" s="19"/>
      <c r="L6043" s="20"/>
    </row>
    <row r="6044" spans="1:12" ht="15" outlineLevel="2">
      <c r="A6044" s="54"/>
      <c r="B6044" s="12" t="str">
        <f>IFERROR(VLOOKUP(D6044,'[1]Перечень товаров'!$A$2:$I9525,2,0),"")</f>
        <v/>
      </c>
      <c r="C6044" s="12" t="str">
        <f>IFERROR(VLOOKUP(D6044,'[1]Перечень товаров'!$A$2:$I9525,3,0),"")</f>
        <v/>
      </c>
      <c r="D6044" s="55" t="s">
        <v>45</v>
      </c>
      <c r="E6044" s="56"/>
      <c r="F6044" s="56"/>
      <c r="G6044" s="17"/>
      <c r="H6044" s="17"/>
      <c r="I6044" s="57"/>
      <c r="J6044" s="57"/>
      <c r="K6044" s="19"/>
      <c r="L6044" s="20"/>
    </row>
    <row r="6045" spans="1:12" outlineLevel="2">
      <c r="A6045" s="21"/>
      <c r="B6045" s="12" t="str">
        <f>IFERROR(VLOOKUP(D6045,'[1]Перечень товаров'!$A$2:$I9525,2,0),"")</f>
        <v>п2</v>
      </c>
      <c r="C6045" s="12" t="str">
        <f>IFERROR(VLOOKUP(D6045,'[1]Перечень товаров'!$A$2:$I9525,3,0),"")</f>
        <v>Прочее</v>
      </c>
      <c r="D6045" s="22" t="s">
        <v>46</v>
      </c>
      <c r="E6045" s="58"/>
      <c r="F6045" s="58"/>
      <c r="G6045" s="24">
        <v>1</v>
      </c>
      <c r="H6045" s="24"/>
      <c r="I6045" s="25"/>
      <c r="J6045" s="25"/>
      <c r="K6045" s="19"/>
      <c r="L6045" s="20"/>
    </row>
    <row r="6046" spans="1:12" outlineLevel="2">
      <c r="A6046" s="43"/>
      <c r="B6046" s="12" t="str">
        <f>IFERROR(VLOOKUP(D6046,'[1]Перечень товаров'!$A$2:$I9525,2,0),"")</f>
        <v>м7</v>
      </c>
      <c r="C6046" s="12" t="str">
        <f>IFERROR(VLOOKUP(D6046,'[1]Перечень товаров'!$A$2:$I9525,3,0),"")</f>
        <v>Мебель</v>
      </c>
      <c r="D6046" s="44" t="s">
        <v>24</v>
      </c>
      <c r="E6046" s="30"/>
      <c r="F6046" s="30"/>
      <c r="G6046" s="59">
        <v>1</v>
      </c>
      <c r="H6046" s="59"/>
      <c r="I6046" s="60"/>
      <c r="J6046" s="60"/>
      <c r="K6046" s="19"/>
      <c r="L6046" s="20"/>
    </row>
    <row r="6047" spans="1:12" outlineLevel="2">
      <c r="A6047" s="43"/>
      <c r="B6047" s="12" t="str">
        <f>IFERROR(VLOOKUP(D6047,'[1]Перечень товаров'!$A$2:$I9525,2,0),"")</f>
        <v>п1</v>
      </c>
      <c r="C6047" s="12" t="str">
        <f>IFERROR(VLOOKUP(D6047,'[1]Перечень товаров'!$A$2:$I9525,3,0),"")</f>
        <v>Прочее</v>
      </c>
      <c r="D6047" s="44" t="s">
        <v>37</v>
      </c>
      <c r="E6047" s="30"/>
      <c r="F6047" s="30"/>
      <c r="G6047" s="59">
        <v>1</v>
      </c>
      <c r="H6047" s="59"/>
      <c r="I6047" s="60"/>
      <c r="J6047" s="60"/>
      <c r="K6047" s="19"/>
      <c r="L6047" s="20"/>
    </row>
    <row r="6048" spans="1:12" ht="12.75" outlineLevel="1">
      <c r="A6048" s="89"/>
      <c r="B6048" s="12" t="str">
        <f>IFERROR(VLOOKUP(D6048,'[1]Перечень товаров'!$A$2:$I9525,2,0),"")</f>
        <v/>
      </c>
      <c r="C6048" s="12" t="str">
        <f>IFERROR(VLOOKUP(D6048,'[1]Перечень товаров'!$A$2:$I9525,3,0),"")</f>
        <v/>
      </c>
      <c r="D6048" s="90" t="s">
        <v>1686</v>
      </c>
      <c r="E6048" s="91" t="s">
        <v>396</v>
      </c>
      <c r="F6048" s="91"/>
      <c r="G6048" s="17"/>
      <c r="H6048" s="17"/>
      <c r="I6048" s="57"/>
      <c r="J6048" s="57"/>
      <c r="K6048" s="19"/>
      <c r="L6048" s="20"/>
    </row>
    <row r="6049" spans="1:12" ht="15" outlineLevel="2">
      <c r="A6049" s="109"/>
      <c r="B6049" s="12" t="str">
        <f>IFERROR(VLOOKUP(D6049,'[1]Перечень товаров'!$A$2:$I9525,2,0),"")</f>
        <v/>
      </c>
      <c r="C6049" s="12" t="str">
        <f>IFERROR(VLOOKUP(D6049,'[1]Перечень товаров'!$A$2:$I9525,3,0),"")</f>
        <v/>
      </c>
      <c r="D6049" s="110" t="s">
        <v>27</v>
      </c>
      <c r="E6049" s="56"/>
      <c r="F6049" s="56"/>
      <c r="G6049" s="111"/>
      <c r="H6049" s="111"/>
      <c r="I6049" s="112"/>
      <c r="J6049" s="112"/>
      <c r="K6049" s="19"/>
      <c r="L6049" s="20"/>
    </row>
    <row r="6050" spans="1:12" outlineLevel="2">
      <c r="A6050" s="21"/>
      <c r="B6050" s="12" t="str">
        <f>IFERROR(VLOOKUP(D6050,'[1]Перечень товаров'!$A$2:$I9525,2,0),"")</f>
        <v>т1</v>
      </c>
      <c r="C6050" s="12" t="str">
        <f>IFERROR(VLOOKUP(D6050,'[1]Перечень товаров'!$A$2:$I9525,3,0),"")</f>
        <v xml:space="preserve">Техника </v>
      </c>
      <c r="D6050" s="22" t="s">
        <v>28</v>
      </c>
      <c r="E6050" s="58"/>
      <c r="F6050" s="58"/>
      <c r="G6050" s="48">
        <v>1</v>
      </c>
      <c r="H6050" s="48"/>
      <c r="I6050" s="49"/>
      <c r="J6050" s="49"/>
      <c r="K6050" s="19"/>
      <c r="L6050" s="20"/>
    </row>
    <row r="6051" spans="1:12" outlineLevel="2">
      <c r="A6051" s="143"/>
      <c r="B6051" s="12" t="str">
        <f>IFERROR(VLOOKUP(D6051,'[1]Перечень товаров'!$A$2:$I9525,2,0),"")</f>
        <v>т9</v>
      </c>
      <c r="C6051" s="12" t="str">
        <f>IFERROR(VLOOKUP(D6051,'[1]Перечень товаров'!$A$2:$I9525,3,0),"")</f>
        <v>Техника</v>
      </c>
      <c r="D6051" s="143" t="s">
        <v>36</v>
      </c>
      <c r="E6051" s="58"/>
      <c r="F6051" s="58"/>
      <c r="G6051" s="48">
        <v>1</v>
      </c>
      <c r="H6051" s="48"/>
      <c r="I6051" s="49"/>
      <c r="J6051" s="49"/>
      <c r="K6051" s="19"/>
      <c r="L6051" s="20"/>
    </row>
    <row r="6052" spans="1:12" outlineLevel="2">
      <c r="A6052" s="35"/>
      <c r="B6052" s="12" t="str">
        <f>IFERROR(VLOOKUP(D6052,'[1]Перечень товаров'!$A$2:$I9525,2,0),"")</f>
        <v>т2</v>
      </c>
      <c r="C6052" s="12" t="str">
        <f>IFERROR(VLOOKUP(D6052,'[1]Перечень товаров'!$A$2:$I9525,3,0),"")</f>
        <v xml:space="preserve">Техника </v>
      </c>
      <c r="D6052" s="35" t="s">
        <v>29</v>
      </c>
      <c r="E6052" s="58"/>
      <c r="F6052" s="58"/>
      <c r="G6052" s="48">
        <v>1</v>
      </c>
      <c r="H6052" s="48"/>
      <c r="I6052" s="49"/>
      <c r="J6052" s="49"/>
      <c r="K6052" s="19"/>
      <c r="L6052" s="20"/>
    </row>
    <row r="6053" spans="1:12" outlineLevel="2">
      <c r="A6053" s="35"/>
      <c r="B6053" s="12" t="str">
        <f>IFERROR(VLOOKUP(D6053,'[1]Перечень товаров'!$A$2:$I9525,2,0),"")</f>
        <v>т3</v>
      </c>
      <c r="C6053" s="12" t="str">
        <f>IFERROR(VLOOKUP(D6053,'[1]Перечень товаров'!$A$2:$I9525,3,0),"")</f>
        <v xml:space="preserve">Техника </v>
      </c>
      <c r="D6053" s="35" t="s">
        <v>30</v>
      </c>
      <c r="E6053" s="58"/>
      <c r="F6053" s="58"/>
      <c r="G6053" s="48">
        <v>1</v>
      </c>
      <c r="H6053" s="48"/>
      <c r="I6053" s="49"/>
      <c r="J6053" s="49"/>
      <c r="K6053" s="19"/>
      <c r="L6053" s="20"/>
    </row>
    <row r="6054" spans="1:12" outlineLevel="2">
      <c r="A6054" s="35"/>
      <c r="B6054" s="12" t="str">
        <f>IFERROR(VLOOKUP(D6054,'[1]Перечень товаров'!$A$2:$I9525,2,0),"")</f>
        <v>т4</v>
      </c>
      <c r="C6054" s="12" t="str">
        <f>IFERROR(VLOOKUP(D6054,'[1]Перечень товаров'!$A$2:$I9525,3,0),"")</f>
        <v xml:space="preserve">Техника </v>
      </c>
      <c r="D6054" s="35" t="s">
        <v>31</v>
      </c>
      <c r="E6054" s="58"/>
      <c r="F6054" s="58"/>
      <c r="G6054" s="48">
        <v>1</v>
      </c>
      <c r="H6054" s="48"/>
      <c r="I6054" s="49"/>
      <c r="J6054" s="49"/>
      <c r="K6054" s="19"/>
      <c r="L6054" s="20"/>
    </row>
    <row r="6055" spans="1:12" outlineLevel="2">
      <c r="A6055" s="21"/>
      <c r="B6055" s="12" t="str">
        <f>IFERROR(VLOOKUP(D6055,'[1]Перечень товаров'!$A$2:$I9525,2,0),"")</f>
        <v>тм65</v>
      </c>
      <c r="C6055" s="12" t="str">
        <f>IFERROR(VLOOKUP(D6055,'[1]Перечень товаров'!$A$2:$I9525,3,0),"")</f>
        <v>Техника муз</v>
      </c>
      <c r="D6055" s="22" t="s">
        <v>380</v>
      </c>
      <c r="E6055" s="58"/>
      <c r="F6055" s="58"/>
      <c r="G6055" s="48">
        <v>1</v>
      </c>
      <c r="H6055" s="48"/>
      <c r="I6055" s="49"/>
      <c r="J6055" s="49"/>
      <c r="K6055" s="19"/>
      <c r="L6055" s="20"/>
    </row>
    <row r="6056" spans="1:12" outlineLevel="2">
      <c r="A6056" s="21"/>
      <c r="B6056" s="12" t="str">
        <f>IFERROR(VLOOKUP(D6056,'[1]Перечень товаров'!$A$2:$I9525,2,0),"")</f>
        <v>т12</v>
      </c>
      <c r="C6056" s="12" t="str">
        <f>IFERROR(VLOOKUP(D6056,'[1]Перечень товаров'!$A$2:$I9525,3,0),"")</f>
        <v>Техника</v>
      </c>
      <c r="D6056" s="22" t="s">
        <v>49</v>
      </c>
      <c r="E6056" s="58"/>
      <c r="F6056" s="58"/>
      <c r="G6056" s="48">
        <v>1</v>
      </c>
      <c r="H6056" s="48"/>
      <c r="I6056" s="49"/>
      <c r="J6056" s="49"/>
      <c r="K6056" s="19"/>
      <c r="L6056" s="20"/>
    </row>
    <row r="6057" spans="1:12" outlineLevel="2">
      <c r="A6057" s="35"/>
      <c r="B6057" s="12" t="str">
        <f>IFERROR(VLOOKUP(D6057,'[1]Перечень товаров'!$A$2:$I9525,2,0),"")</f>
        <v>т6</v>
      </c>
      <c r="C6057" s="12" t="str">
        <f>IFERROR(VLOOKUP(D6057,'[1]Перечень товаров'!$A$2:$I9525,3,0),"")</f>
        <v xml:space="preserve">Техника </v>
      </c>
      <c r="D6057" s="35" t="s">
        <v>33</v>
      </c>
      <c r="E6057" s="58"/>
      <c r="F6057" s="58"/>
      <c r="G6057" s="48">
        <v>1</v>
      </c>
      <c r="H6057" s="48"/>
      <c r="I6057" s="49"/>
      <c r="J6057" s="49"/>
      <c r="K6057" s="19"/>
      <c r="L6057" s="20"/>
    </row>
    <row r="6058" spans="1:12" outlineLevel="2">
      <c r="A6058" s="21"/>
      <c r="B6058" s="12" t="str">
        <f>IFERROR(VLOOKUP(D6058,'[1]Перечень товаров'!$A$2:$I9525,2,0),"")</f>
        <v>т7</v>
      </c>
      <c r="C6058" s="12" t="str">
        <f>IFERROR(VLOOKUP(D6058,'[1]Перечень товаров'!$A$2:$I9525,3,0),"")</f>
        <v xml:space="preserve">Техника </v>
      </c>
      <c r="D6058" s="22" t="s">
        <v>34</v>
      </c>
      <c r="E6058" s="58"/>
      <c r="F6058" s="58"/>
      <c r="G6058" s="48">
        <v>3</v>
      </c>
      <c r="H6058" s="48"/>
      <c r="I6058" s="49"/>
      <c r="J6058" s="49"/>
      <c r="K6058" s="19"/>
      <c r="L6058" s="20"/>
    </row>
    <row r="6059" spans="1:12" outlineLevel="2">
      <c r="A6059" s="28"/>
      <c r="B6059" s="12" t="str">
        <f>IFERROR(VLOOKUP(D6059,'[1]Перечень товаров'!$A$2:$I9525,2,0),"")</f>
        <v>т161</v>
      </c>
      <c r="C6059" s="12" t="str">
        <f>IFERROR(VLOOKUP(D6059,'[1]Перечень товаров'!$A$2:$I9525,3,0),"")</f>
        <v xml:space="preserve">Техника </v>
      </c>
      <c r="D6059" s="29" t="s">
        <v>381</v>
      </c>
      <c r="E6059" s="30"/>
      <c r="F6059" s="30"/>
      <c r="G6059" s="59">
        <v>1</v>
      </c>
      <c r="H6059" s="59"/>
      <c r="I6059" s="60"/>
      <c r="J6059" s="60"/>
      <c r="K6059" s="19"/>
      <c r="L6059" s="20"/>
    </row>
    <row r="6060" spans="1:12" outlineLevel="2">
      <c r="A6060" s="113"/>
      <c r="B6060" s="12" t="str">
        <f>IFERROR(VLOOKUP(D6060,'[1]Перечень товаров'!$A$2:$I9525,2,0),"")</f>
        <v/>
      </c>
      <c r="C6060" s="12" t="str">
        <f>IFERROR(VLOOKUP(D6060,'[1]Перечень товаров'!$A$2:$I9525,3,0),"")</f>
        <v/>
      </c>
      <c r="D6060" s="114" t="s">
        <v>19</v>
      </c>
      <c r="E6060" s="258"/>
      <c r="F6060" s="258"/>
      <c r="G6060" s="59"/>
      <c r="H6060" s="59"/>
      <c r="I6060" s="60"/>
      <c r="J6060" s="60"/>
      <c r="K6060" s="19"/>
      <c r="L6060" s="20"/>
    </row>
    <row r="6061" spans="1:12" outlineLevel="2">
      <c r="A6061" s="34"/>
      <c r="B6061" s="12" t="str">
        <f>IFERROR(VLOOKUP(D6061,'[1]Перечень товаров'!$A$2:$I9525,2,0),"")</f>
        <v>м62</v>
      </c>
      <c r="C6061" s="12" t="str">
        <f>IFERROR(VLOOKUP(D6061,'[1]Перечень товаров'!$A$2:$I9525,3,0),"")</f>
        <v>Мебель</v>
      </c>
      <c r="D6061" s="35" t="s">
        <v>398</v>
      </c>
      <c r="E6061" s="88"/>
      <c r="F6061" s="88"/>
      <c r="G6061" s="59">
        <v>1</v>
      </c>
      <c r="H6061" s="59"/>
      <c r="I6061" s="60"/>
      <c r="J6061" s="60"/>
      <c r="K6061" s="19"/>
      <c r="L6061" s="20"/>
    </row>
    <row r="6062" spans="1:12" outlineLevel="2">
      <c r="A6062" s="34"/>
      <c r="B6062" s="12" t="str">
        <f>IFERROR(VLOOKUP(D6062,'[1]Перечень товаров'!$A$2:$I9525,2,0),"")</f>
        <v>м61</v>
      </c>
      <c r="C6062" s="12" t="str">
        <f>IFERROR(VLOOKUP(D6062,'[1]Перечень товаров'!$A$2:$I9525,3,0),"")</f>
        <v>Мебель</v>
      </c>
      <c r="D6062" s="35" t="s">
        <v>383</v>
      </c>
      <c r="E6062" s="88"/>
      <c r="F6062" s="88"/>
      <c r="G6062" s="59">
        <v>1</v>
      </c>
      <c r="H6062" s="59"/>
      <c r="I6062" s="60"/>
      <c r="J6062" s="60"/>
      <c r="K6062" s="19"/>
      <c r="L6062" s="20"/>
    </row>
    <row r="6063" spans="1:12" outlineLevel="2">
      <c r="A6063" s="34"/>
      <c r="B6063" s="12" t="str">
        <f>IFERROR(VLOOKUP(D6063,'[1]Перечень товаров'!$A$2:$I9525,2,0),"")</f>
        <v>м61</v>
      </c>
      <c r="C6063" s="12" t="str">
        <f>IFERROR(VLOOKUP(D6063,'[1]Перечень товаров'!$A$2:$I9525,3,0),"")</f>
        <v>Мебель</v>
      </c>
      <c r="D6063" s="35" t="s">
        <v>384</v>
      </c>
      <c r="E6063" s="88"/>
      <c r="F6063" s="88"/>
      <c r="G6063" s="59">
        <v>5</v>
      </c>
      <c r="H6063" s="59"/>
      <c r="I6063" s="60"/>
      <c r="J6063" s="60"/>
      <c r="K6063" s="19"/>
      <c r="L6063" s="20"/>
    </row>
    <row r="6064" spans="1:12" outlineLevel="2">
      <c r="A6064" s="21"/>
      <c r="B6064" s="12" t="str">
        <f>IFERROR(VLOOKUP(D6064,'[1]Перечень товаров'!$A$2:$I9525,2,0),"")</f>
        <v>м13</v>
      </c>
      <c r="C6064" s="12" t="str">
        <f>IFERROR(VLOOKUP(D6064,'[1]Перечень товаров'!$A$2:$I9525,3,0),"")</f>
        <v>Мебель</v>
      </c>
      <c r="D6064" s="22" t="s">
        <v>42</v>
      </c>
      <c r="E6064" s="58"/>
      <c r="F6064" s="58"/>
      <c r="G6064" s="24">
        <v>1</v>
      </c>
      <c r="H6064" s="24"/>
      <c r="I6064" s="25"/>
      <c r="J6064" s="25"/>
      <c r="K6064" s="19"/>
      <c r="L6064" s="20"/>
    </row>
    <row r="6065" spans="1:12" outlineLevel="2">
      <c r="A6065" s="21"/>
      <c r="B6065" s="12" t="str">
        <f>IFERROR(VLOOKUP(D6065,'[1]Перечень товаров'!$A$2:$I9525,2,0),"")</f>
        <v>м14</v>
      </c>
      <c r="C6065" s="12" t="str">
        <f>IFERROR(VLOOKUP(D6065,'[1]Перечень товаров'!$A$2:$I9525,3,0),"")</f>
        <v>Мебель</v>
      </c>
      <c r="D6065" s="22" t="s">
        <v>43</v>
      </c>
      <c r="E6065" s="58"/>
      <c r="F6065" s="58"/>
      <c r="G6065" s="24">
        <v>1</v>
      </c>
      <c r="H6065" s="24"/>
      <c r="I6065" s="25"/>
      <c r="J6065" s="25"/>
      <c r="K6065" s="19"/>
      <c r="L6065" s="20"/>
    </row>
    <row r="6066" spans="1:12" ht="15" outlineLevel="2">
      <c r="A6066" s="116"/>
      <c r="B6066" s="12" t="str">
        <f>IFERROR(VLOOKUP(D6066,'[1]Перечень товаров'!$A$2:$I9525,2,0),"")</f>
        <v/>
      </c>
      <c r="C6066" s="12" t="str">
        <f>IFERROR(VLOOKUP(D6066,'[1]Перечень товаров'!$A$2:$I9525,3,0),"")</f>
        <v/>
      </c>
      <c r="D6066" s="117" t="s">
        <v>391</v>
      </c>
      <c r="E6066" s="122"/>
      <c r="F6066" s="122"/>
      <c r="G6066" s="123"/>
      <c r="H6066" s="123"/>
      <c r="I6066" s="124"/>
      <c r="J6066" s="124"/>
      <c r="K6066" s="19"/>
      <c r="L6066" s="20"/>
    </row>
    <row r="6067" spans="1:12" outlineLevel="2">
      <c r="A6067" s="28"/>
      <c r="B6067" s="12" t="str">
        <f>IFERROR(VLOOKUP(D6067,'[1]Перечень товаров'!$A$2:$I9525,2,0),"")</f>
        <v>тм147</v>
      </c>
      <c r="C6067" s="12" t="str">
        <f>IFERROR(VLOOKUP(D6067,'[1]Перечень товаров'!$A$2:$I9525,3,0),"")</f>
        <v>Техника муз</v>
      </c>
      <c r="D6067" s="29" t="s">
        <v>1687</v>
      </c>
      <c r="E6067" s="30"/>
      <c r="F6067" s="30"/>
      <c r="G6067" s="31">
        <v>1</v>
      </c>
      <c r="H6067" s="31"/>
      <c r="I6067" s="32"/>
      <c r="J6067" s="32"/>
      <c r="K6067" s="19"/>
      <c r="L6067" s="20"/>
    </row>
    <row r="6068" spans="1:12" ht="31.5" outlineLevel="2">
      <c r="A6068" s="28"/>
      <c r="B6068" s="12" t="str">
        <f>IFERROR(VLOOKUP(D6068,'[1]Перечень товаров'!$A$2:$I9525,2,0),"")</f>
        <v>тм219</v>
      </c>
      <c r="C6068" s="12" t="str">
        <f>IFERROR(VLOOKUP(D6068,'[1]Перечень товаров'!$A$2:$I9525,3,0),"")</f>
        <v>Техника муз</v>
      </c>
      <c r="D6068" s="29" t="s">
        <v>1000</v>
      </c>
      <c r="E6068" s="30"/>
      <c r="F6068" s="30"/>
      <c r="G6068" s="31">
        <v>1</v>
      </c>
      <c r="H6068" s="31"/>
      <c r="I6068" s="32"/>
      <c r="J6068" s="32"/>
      <c r="K6068" s="19"/>
      <c r="L6068" s="20"/>
    </row>
    <row r="6069" spans="1:12" outlineLevel="2">
      <c r="A6069" s="28"/>
      <c r="B6069" s="12" t="str">
        <f>IFERROR(VLOOKUP(D6069,'[1]Перечень товаров'!$A$2:$I9525,2,0),"")</f>
        <v>м175</v>
      </c>
      <c r="C6069" s="12" t="str">
        <f>IFERROR(VLOOKUP(D6069,'[1]Перечень товаров'!$A$2:$I9525,3,0),"")</f>
        <v>мебель</v>
      </c>
      <c r="D6069" s="29" t="s">
        <v>1001</v>
      </c>
      <c r="E6069" s="30"/>
      <c r="F6069" s="30"/>
      <c r="G6069" s="31">
        <v>2</v>
      </c>
      <c r="H6069" s="31"/>
      <c r="I6069" s="32"/>
      <c r="J6069" s="32"/>
      <c r="K6069" s="19"/>
      <c r="L6069" s="20"/>
    </row>
    <row r="6070" spans="1:12" outlineLevel="2">
      <c r="A6070" s="28"/>
      <c r="B6070" s="12" t="str">
        <f>IFERROR(VLOOKUP(D6070,'[1]Перечень товаров'!$A$2:$I9525,2,0),"")</f>
        <v>д246</v>
      </c>
      <c r="C6070" s="12" t="str">
        <f>IFERROR(VLOOKUP(D6070,'[1]Перечень товаров'!$A$2:$I9525,3,0),"")</f>
        <v>Дидактика</v>
      </c>
      <c r="D6070" s="29" t="s">
        <v>1688</v>
      </c>
      <c r="E6070" s="30"/>
      <c r="F6070" s="30"/>
      <c r="G6070" s="31">
        <v>1</v>
      </c>
      <c r="H6070" s="31"/>
      <c r="I6070" s="32"/>
      <c r="J6070" s="32"/>
      <c r="K6070" s="19"/>
      <c r="L6070" s="20"/>
    </row>
    <row r="6071" spans="1:12" outlineLevel="2">
      <c r="A6071" s="28"/>
      <c r="B6071" s="12" t="str">
        <f>IFERROR(VLOOKUP(D6071,'[1]Перечень товаров'!$A$2:$I9525,2,0),"")</f>
        <v>пм167</v>
      </c>
      <c r="C6071" s="12" t="str">
        <f>IFERROR(VLOOKUP(D6071,'[1]Перечень товаров'!$A$2:$I9525,3,0),"")</f>
        <v>прочее муз</v>
      </c>
      <c r="D6071" s="29" t="s">
        <v>1136</v>
      </c>
      <c r="E6071" s="30"/>
      <c r="F6071" s="30"/>
      <c r="G6071" s="31">
        <v>1</v>
      </c>
      <c r="H6071" s="31"/>
      <c r="I6071" s="32"/>
      <c r="J6071" s="32"/>
      <c r="K6071" s="19"/>
      <c r="L6071" s="20"/>
    </row>
    <row r="6072" spans="1:12" outlineLevel="2">
      <c r="A6072" s="28"/>
      <c r="B6072" s="12" t="str">
        <f>IFERROR(VLOOKUP(D6072,'[1]Перечень товаров'!$A$2:$I9525,2,0),"")</f>
        <v>пм108</v>
      </c>
      <c r="C6072" s="12" t="str">
        <f>IFERROR(VLOOKUP(D6072,'[1]Перечень товаров'!$A$2:$I9525,3,0),"")</f>
        <v>прочее муз</v>
      </c>
      <c r="D6072" s="29" t="s">
        <v>1689</v>
      </c>
      <c r="E6072" s="30"/>
      <c r="F6072" s="30"/>
      <c r="G6072" s="31">
        <v>1</v>
      </c>
      <c r="H6072" s="31"/>
      <c r="I6072" s="32"/>
      <c r="J6072" s="32"/>
      <c r="K6072" s="19"/>
      <c r="L6072" s="20"/>
    </row>
    <row r="6073" spans="1:12" ht="15" outlineLevel="2">
      <c r="A6073" s="54"/>
      <c r="B6073" s="12" t="str">
        <f>IFERROR(VLOOKUP(D6073,'[1]Перечень товаров'!$A$2:$I9525,2,0),"")</f>
        <v/>
      </c>
      <c r="C6073" s="12" t="str">
        <f>IFERROR(VLOOKUP(D6073,'[1]Перечень товаров'!$A$2:$I9525,3,0),"")</f>
        <v/>
      </c>
      <c r="D6073" s="55" t="s">
        <v>45</v>
      </c>
      <c r="E6073" s="56"/>
      <c r="F6073" s="56"/>
      <c r="G6073" s="17"/>
      <c r="H6073" s="17"/>
      <c r="I6073" s="57"/>
      <c r="J6073" s="57"/>
      <c r="K6073" s="19"/>
      <c r="L6073" s="20"/>
    </row>
    <row r="6074" spans="1:12" outlineLevel="2">
      <c r="A6074" s="21"/>
      <c r="B6074" s="12" t="str">
        <f>IFERROR(VLOOKUP(D6074,'[1]Перечень товаров'!$A$2:$I9525,2,0),"")</f>
        <v>п2</v>
      </c>
      <c r="C6074" s="12" t="str">
        <f>IFERROR(VLOOKUP(D6074,'[1]Перечень товаров'!$A$2:$I9525,3,0),"")</f>
        <v>Прочее</v>
      </c>
      <c r="D6074" s="22" t="s">
        <v>46</v>
      </c>
      <c r="E6074" s="58"/>
      <c r="F6074" s="58"/>
      <c r="G6074" s="24">
        <v>1</v>
      </c>
      <c r="H6074" s="24"/>
      <c r="I6074" s="25"/>
      <c r="J6074" s="25"/>
      <c r="K6074" s="19"/>
      <c r="L6074" s="20"/>
    </row>
    <row r="6075" spans="1:12" outlineLevel="2">
      <c r="A6075" s="43"/>
      <c r="B6075" s="12" t="str">
        <f>IFERROR(VLOOKUP(D6075,'[1]Перечень товаров'!$A$2:$I9525,2,0),"")</f>
        <v>м7</v>
      </c>
      <c r="C6075" s="12" t="str">
        <f>IFERROR(VLOOKUP(D6075,'[1]Перечень товаров'!$A$2:$I9525,3,0),"")</f>
        <v>Мебель</v>
      </c>
      <c r="D6075" s="44" t="s">
        <v>24</v>
      </c>
      <c r="E6075" s="30"/>
      <c r="F6075" s="30"/>
      <c r="G6075" s="59">
        <v>1</v>
      </c>
      <c r="H6075" s="59"/>
      <c r="I6075" s="60"/>
      <c r="J6075" s="60"/>
      <c r="K6075" s="19"/>
      <c r="L6075" s="20"/>
    </row>
    <row r="6076" spans="1:12" outlineLevel="2">
      <c r="A6076" s="43"/>
      <c r="B6076" s="12" t="str">
        <f>IFERROR(VLOOKUP(D6076,'[1]Перечень товаров'!$A$2:$I9525,2,0),"")</f>
        <v>п1</v>
      </c>
      <c r="C6076" s="12" t="str">
        <f>IFERROR(VLOOKUP(D6076,'[1]Перечень товаров'!$A$2:$I9525,3,0),"")</f>
        <v>Прочее</v>
      </c>
      <c r="D6076" s="44" t="s">
        <v>37</v>
      </c>
      <c r="E6076" s="30"/>
      <c r="F6076" s="30"/>
      <c r="G6076" s="59">
        <v>1</v>
      </c>
      <c r="H6076" s="59"/>
      <c r="I6076" s="60"/>
      <c r="J6076" s="60"/>
      <c r="K6076" s="19"/>
      <c r="L6076" s="20"/>
    </row>
    <row r="6077" spans="1:12" ht="12.75" outlineLevel="1">
      <c r="A6077" s="89"/>
      <c r="B6077" s="12" t="str">
        <f>IFERROR(VLOOKUP(D6077,'[1]Перечень товаров'!$A$2:$I9525,2,0),"")</f>
        <v/>
      </c>
      <c r="C6077" s="12" t="str">
        <f>IFERROR(VLOOKUP(D6077,'[1]Перечень товаров'!$A$2:$I9525,3,0),"")</f>
        <v/>
      </c>
      <c r="D6077" s="90" t="s">
        <v>1686</v>
      </c>
      <c r="E6077" s="108">
        <v>46134</v>
      </c>
      <c r="F6077" s="108"/>
      <c r="G6077" s="100"/>
      <c r="H6077" s="100"/>
      <c r="I6077" s="101"/>
      <c r="J6077" s="101"/>
      <c r="K6077" s="19"/>
      <c r="L6077" s="20"/>
    </row>
    <row r="6078" spans="1:12" ht="15" outlineLevel="2">
      <c r="A6078" s="109"/>
      <c r="B6078" s="12" t="str">
        <f>IFERROR(VLOOKUP(D6078,'[1]Перечень товаров'!$A$2:$I9525,2,0),"")</f>
        <v/>
      </c>
      <c r="C6078" s="12" t="str">
        <f>IFERROR(VLOOKUP(D6078,'[1]Перечень товаров'!$A$2:$I9525,3,0),"")</f>
        <v/>
      </c>
      <c r="D6078" s="110" t="s">
        <v>27</v>
      </c>
      <c r="E6078" s="56"/>
      <c r="F6078" s="56"/>
      <c r="G6078" s="111"/>
      <c r="H6078" s="111"/>
      <c r="I6078" s="112"/>
      <c r="J6078" s="112"/>
      <c r="K6078" s="19"/>
      <c r="L6078" s="20"/>
    </row>
    <row r="6079" spans="1:12" outlineLevel="2">
      <c r="A6079" s="21"/>
      <c r="B6079" s="12" t="str">
        <f>IFERROR(VLOOKUP(D6079,'[1]Перечень товаров'!$A$2:$I9525,2,0),"")</f>
        <v>т1</v>
      </c>
      <c r="C6079" s="12" t="str">
        <f>IFERROR(VLOOKUP(D6079,'[1]Перечень товаров'!$A$2:$I9525,3,0),"")</f>
        <v xml:space="preserve">Техника </v>
      </c>
      <c r="D6079" s="22" t="s">
        <v>28</v>
      </c>
      <c r="E6079" s="58"/>
      <c r="F6079" s="58"/>
      <c r="G6079" s="48">
        <v>1</v>
      </c>
      <c r="H6079" s="48"/>
      <c r="I6079" s="49"/>
      <c r="J6079" s="49"/>
      <c r="K6079" s="19"/>
      <c r="L6079" s="20"/>
    </row>
    <row r="6080" spans="1:12" outlineLevel="2">
      <c r="A6080" s="143"/>
      <c r="B6080" s="12" t="str">
        <f>IFERROR(VLOOKUP(D6080,'[1]Перечень товаров'!$A$2:$I9525,2,0),"")</f>
        <v>т9</v>
      </c>
      <c r="C6080" s="12" t="str">
        <f>IFERROR(VLOOKUP(D6080,'[1]Перечень товаров'!$A$2:$I9525,3,0),"")</f>
        <v>Техника</v>
      </c>
      <c r="D6080" s="143" t="s">
        <v>36</v>
      </c>
      <c r="E6080" s="58"/>
      <c r="F6080" s="58"/>
      <c r="G6080" s="48">
        <v>1</v>
      </c>
      <c r="H6080" s="48"/>
      <c r="I6080" s="49"/>
      <c r="J6080" s="49"/>
      <c r="K6080" s="19"/>
      <c r="L6080" s="20"/>
    </row>
    <row r="6081" spans="1:12" outlineLevel="2">
      <c r="A6081" s="35"/>
      <c r="B6081" s="12" t="str">
        <f>IFERROR(VLOOKUP(D6081,'[1]Перечень товаров'!$A$2:$I9525,2,0),"")</f>
        <v>т2</v>
      </c>
      <c r="C6081" s="12" t="str">
        <f>IFERROR(VLOOKUP(D6081,'[1]Перечень товаров'!$A$2:$I9525,3,0),"")</f>
        <v xml:space="preserve">Техника </v>
      </c>
      <c r="D6081" s="35" t="s">
        <v>29</v>
      </c>
      <c r="E6081" s="58"/>
      <c r="F6081" s="58"/>
      <c r="G6081" s="48">
        <v>1</v>
      </c>
      <c r="H6081" s="48"/>
      <c r="I6081" s="49"/>
      <c r="J6081" s="49"/>
      <c r="K6081" s="19"/>
      <c r="L6081" s="20"/>
    </row>
    <row r="6082" spans="1:12" outlineLevel="2">
      <c r="A6082" s="35"/>
      <c r="B6082" s="12" t="str">
        <f>IFERROR(VLOOKUP(D6082,'[1]Перечень товаров'!$A$2:$I9525,2,0),"")</f>
        <v>т3</v>
      </c>
      <c r="C6082" s="12" t="str">
        <f>IFERROR(VLOOKUP(D6082,'[1]Перечень товаров'!$A$2:$I9525,3,0),"")</f>
        <v xml:space="preserve">Техника </v>
      </c>
      <c r="D6082" s="35" t="s">
        <v>30</v>
      </c>
      <c r="E6082" s="58"/>
      <c r="F6082" s="58"/>
      <c r="G6082" s="48">
        <v>1</v>
      </c>
      <c r="H6082" s="48"/>
      <c r="I6082" s="49"/>
      <c r="J6082" s="49"/>
      <c r="K6082" s="19"/>
      <c r="L6082" s="20"/>
    </row>
    <row r="6083" spans="1:12" outlineLevel="2">
      <c r="A6083" s="35"/>
      <c r="B6083" s="12" t="str">
        <f>IFERROR(VLOOKUP(D6083,'[1]Перечень товаров'!$A$2:$I9525,2,0),"")</f>
        <v>т4</v>
      </c>
      <c r="C6083" s="12" t="str">
        <f>IFERROR(VLOOKUP(D6083,'[1]Перечень товаров'!$A$2:$I9525,3,0),"")</f>
        <v xml:space="preserve">Техника </v>
      </c>
      <c r="D6083" s="35" t="s">
        <v>31</v>
      </c>
      <c r="E6083" s="58"/>
      <c r="F6083" s="58"/>
      <c r="G6083" s="48">
        <v>1</v>
      </c>
      <c r="H6083" s="48"/>
      <c r="I6083" s="49"/>
      <c r="J6083" s="49"/>
      <c r="K6083" s="19"/>
      <c r="L6083" s="20"/>
    </row>
    <row r="6084" spans="1:12" outlineLevel="2">
      <c r="A6084" s="21"/>
      <c r="B6084" s="12" t="str">
        <f>IFERROR(VLOOKUP(D6084,'[1]Перечень товаров'!$A$2:$I9525,2,0),"")</f>
        <v>тм65</v>
      </c>
      <c r="C6084" s="12" t="str">
        <f>IFERROR(VLOOKUP(D6084,'[1]Перечень товаров'!$A$2:$I9525,3,0),"")</f>
        <v>Техника муз</v>
      </c>
      <c r="D6084" s="22" t="s">
        <v>380</v>
      </c>
      <c r="E6084" s="58"/>
      <c r="F6084" s="58"/>
      <c r="G6084" s="48">
        <v>1</v>
      </c>
      <c r="H6084" s="48"/>
      <c r="I6084" s="49"/>
      <c r="J6084" s="49"/>
      <c r="K6084" s="19"/>
      <c r="L6084" s="20"/>
    </row>
    <row r="6085" spans="1:12" outlineLevel="2">
      <c r="A6085" s="21"/>
      <c r="B6085" s="12" t="str">
        <f>IFERROR(VLOOKUP(D6085,'[1]Перечень товаров'!$A$2:$I9525,2,0),"")</f>
        <v>т12</v>
      </c>
      <c r="C6085" s="12" t="str">
        <f>IFERROR(VLOOKUP(D6085,'[1]Перечень товаров'!$A$2:$I9525,3,0),"")</f>
        <v>Техника</v>
      </c>
      <c r="D6085" s="22" t="s">
        <v>49</v>
      </c>
      <c r="E6085" s="58"/>
      <c r="F6085" s="58"/>
      <c r="G6085" s="48">
        <v>1</v>
      </c>
      <c r="H6085" s="48"/>
      <c r="I6085" s="49"/>
      <c r="J6085" s="49"/>
      <c r="K6085" s="19"/>
      <c r="L6085" s="20"/>
    </row>
    <row r="6086" spans="1:12" outlineLevel="2">
      <c r="A6086" s="35"/>
      <c r="B6086" s="12" t="str">
        <f>IFERROR(VLOOKUP(D6086,'[1]Перечень товаров'!$A$2:$I9525,2,0),"")</f>
        <v>т6</v>
      </c>
      <c r="C6086" s="12" t="str">
        <f>IFERROR(VLOOKUP(D6086,'[1]Перечень товаров'!$A$2:$I9525,3,0),"")</f>
        <v xml:space="preserve">Техника </v>
      </c>
      <c r="D6086" s="35" t="s">
        <v>33</v>
      </c>
      <c r="E6086" s="58"/>
      <c r="F6086" s="58"/>
      <c r="G6086" s="48">
        <v>1</v>
      </c>
      <c r="H6086" s="48"/>
      <c r="I6086" s="49"/>
      <c r="J6086" s="49"/>
      <c r="K6086" s="19"/>
      <c r="L6086" s="20"/>
    </row>
    <row r="6087" spans="1:12" outlineLevel="2">
      <c r="A6087" s="21"/>
      <c r="B6087" s="12" t="str">
        <f>IFERROR(VLOOKUP(D6087,'[1]Перечень товаров'!$A$2:$I9525,2,0),"")</f>
        <v>т7</v>
      </c>
      <c r="C6087" s="12" t="str">
        <f>IFERROR(VLOOKUP(D6087,'[1]Перечень товаров'!$A$2:$I9525,3,0),"")</f>
        <v xml:space="preserve">Техника </v>
      </c>
      <c r="D6087" s="22" t="s">
        <v>34</v>
      </c>
      <c r="E6087" s="58"/>
      <c r="F6087" s="58"/>
      <c r="G6087" s="48">
        <v>3</v>
      </c>
      <c r="H6087" s="48"/>
      <c r="I6087" s="49"/>
      <c r="J6087" s="49"/>
      <c r="K6087" s="19"/>
      <c r="L6087" s="20"/>
    </row>
    <row r="6088" spans="1:12" outlineLevel="2">
      <c r="A6088" s="28"/>
      <c r="B6088" s="12" t="str">
        <f>IFERROR(VLOOKUP(D6088,'[1]Перечень товаров'!$A$2:$I9525,2,0),"")</f>
        <v>т161</v>
      </c>
      <c r="C6088" s="12" t="str">
        <f>IFERROR(VLOOKUP(D6088,'[1]Перечень товаров'!$A$2:$I9525,3,0),"")</f>
        <v xml:space="preserve">Техника </v>
      </c>
      <c r="D6088" s="29" t="s">
        <v>381</v>
      </c>
      <c r="E6088" s="30"/>
      <c r="F6088" s="30"/>
      <c r="G6088" s="59">
        <v>1</v>
      </c>
      <c r="H6088" s="59"/>
      <c r="I6088" s="60"/>
      <c r="J6088" s="60"/>
      <c r="K6088" s="19"/>
      <c r="L6088" s="20"/>
    </row>
    <row r="6089" spans="1:12" outlineLevel="2">
      <c r="A6089" s="113"/>
      <c r="B6089" s="12" t="str">
        <f>IFERROR(VLOOKUP(D6089,'[1]Перечень товаров'!$A$2:$I9525,2,0),"")</f>
        <v/>
      </c>
      <c r="C6089" s="12" t="str">
        <f>IFERROR(VLOOKUP(D6089,'[1]Перечень товаров'!$A$2:$I9525,3,0),"")</f>
        <v/>
      </c>
      <c r="D6089" s="114" t="s">
        <v>19</v>
      </c>
      <c r="E6089" s="258"/>
      <c r="F6089" s="258"/>
      <c r="G6089" s="59"/>
      <c r="H6089" s="59"/>
      <c r="I6089" s="60"/>
      <c r="J6089" s="60"/>
      <c r="K6089" s="19"/>
      <c r="L6089" s="20"/>
    </row>
    <row r="6090" spans="1:12" outlineLevel="2">
      <c r="A6090" s="34"/>
      <c r="B6090" s="12" t="str">
        <f>IFERROR(VLOOKUP(D6090,'[1]Перечень товаров'!$A$2:$I9525,2,0),"")</f>
        <v>м62</v>
      </c>
      <c r="C6090" s="12" t="str">
        <f>IFERROR(VLOOKUP(D6090,'[1]Перечень товаров'!$A$2:$I9525,3,0),"")</f>
        <v>Мебель</v>
      </c>
      <c r="D6090" s="35" t="s">
        <v>398</v>
      </c>
      <c r="E6090" s="88"/>
      <c r="F6090" s="88"/>
      <c r="G6090" s="59">
        <v>1</v>
      </c>
      <c r="H6090" s="59"/>
      <c r="I6090" s="60"/>
      <c r="J6090" s="60"/>
      <c r="K6090" s="19"/>
      <c r="L6090" s="20"/>
    </row>
    <row r="6091" spans="1:12" outlineLevel="2">
      <c r="A6091" s="34"/>
      <c r="B6091" s="12" t="str">
        <f>IFERROR(VLOOKUP(D6091,'[1]Перечень товаров'!$A$2:$I9525,2,0),"")</f>
        <v>м61</v>
      </c>
      <c r="C6091" s="12" t="str">
        <f>IFERROR(VLOOKUP(D6091,'[1]Перечень товаров'!$A$2:$I9525,3,0),"")</f>
        <v>Мебель</v>
      </c>
      <c r="D6091" s="35" t="s">
        <v>383</v>
      </c>
      <c r="E6091" s="88"/>
      <c r="F6091" s="88"/>
      <c r="G6091" s="59">
        <v>1</v>
      </c>
      <c r="H6091" s="59"/>
      <c r="I6091" s="60"/>
      <c r="J6091" s="60"/>
      <c r="K6091" s="19"/>
      <c r="L6091" s="20"/>
    </row>
    <row r="6092" spans="1:12" outlineLevel="2">
      <c r="A6092" s="34"/>
      <c r="B6092" s="12" t="str">
        <f>IFERROR(VLOOKUP(D6092,'[1]Перечень товаров'!$A$2:$I9525,2,0),"")</f>
        <v>м61</v>
      </c>
      <c r="C6092" s="12" t="str">
        <f>IFERROR(VLOOKUP(D6092,'[1]Перечень товаров'!$A$2:$I9525,3,0),"")</f>
        <v>Мебель</v>
      </c>
      <c r="D6092" s="35" t="s">
        <v>384</v>
      </c>
      <c r="E6092" s="88"/>
      <c r="F6092" s="88"/>
      <c r="G6092" s="59">
        <v>5</v>
      </c>
      <c r="H6092" s="59"/>
      <c r="I6092" s="60"/>
      <c r="J6092" s="60"/>
      <c r="K6092" s="19"/>
      <c r="L6092" s="20"/>
    </row>
    <row r="6093" spans="1:12" outlineLevel="2">
      <c r="A6093" s="21"/>
      <c r="B6093" s="12" t="str">
        <f>IFERROR(VLOOKUP(D6093,'[1]Перечень товаров'!$A$2:$I9525,2,0),"")</f>
        <v>м13</v>
      </c>
      <c r="C6093" s="12" t="str">
        <f>IFERROR(VLOOKUP(D6093,'[1]Перечень товаров'!$A$2:$I9525,3,0),"")</f>
        <v>Мебель</v>
      </c>
      <c r="D6093" s="22" t="s">
        <v>42</v>
      </c>
      <c r="E6093" s="58"/>
      <c r="F6093" s="58"/>
      <c r="G6093" s="24">
        <v>1</v>
      </c>
      <c r="H6093" s="24"/>
      <c r="I6093" s="25"/>
      <c r="J6093" s="25"/>
      <c r="K6093" s="19"/>
      <c r="L6093" s="20"/>
    </row>
    <row r="6094" spans="1:12" outlineLevel="2">
      <c r="A6094" s="21"/>
      <c r="B6094" s="12" t="str">
        <f>IFERROR(VLOOKUP(D6094,'[1]Перечень товаров'!$A$2:$I9525,2,0),"")</f>
        <v>м14</v>
      </c>
      <c r="C6094" s="12" t="str">
        <f>IFERROR(VLOOKUP(D6094,'[1]Перечень товаров'!$A$2:$I9525,3,0),"")</f>
        <v>Мебель</v>
      </c>
      <c r="D6094" s="22" t="s">
        <v>43</v>
      </c>
      <c r="E6094" s="58"/>
      <c r="F6094" s="58"/>
      <c r="G6094" s="24">
        <v>1</v>
      </c>
      <c r="H6094" s="24"/>
      <c r="I6094" s="25"/>
      <c r="J6094" s="25"/>
      <c r="K6094" s="19"/>
      <c r="L6094" s="20"/>
    </row>
    <row r="6095" spans="1:12" ht="15" outlineLevel="2">
      <c r="A6095" s="116"/>
      <c r="B6095" s="12" t="str">
        <f>IFERROR(VLOOKUP(D6095,'[1]Перечень товаров'!$A$2:$I9525,2,0),"")</f>
        <v/>
      </c>
      <c r="C6095" s="12" t="str">
        <f>IFERROR(VLOOKUP(D6095,'[1]Перечень товаров'!$A$2:$I9525,3,0),"")</f>
        <v/>
      </c>
      <c r="D6095" s="117" t="s">
        <v>391</v>
      </c>
      <c r="E6095" s="122"/>
      <c r="F6095" s="122"/>
      <c r="G6095" s="123"/>
      <c r="H6095" s="123"/>
      <c r="I6095" s="124"/>
      <c r="J6095" s="124"/>
      <c r="K6095" s="19"/>
      <c r="L6095" s="20"/>
    </row>
    <row r="6096" spans="1:12" outlineLevel="2">
      <c r="A6096" s="28"/>
      <c r="B6096" s="12" t="str">
        <f>IFERROR(VLOOKUP(D6096,'[1]Перечень товаров'!$A$2:$I9525,2,0),"")</f>
        <v>тм147</v>
      </c>
      <c r="C6096" s="12" t="str">
        <f>IFERROR(VLOOKUP(D6096,'[1]Перечень товаров'!$A$2:$I9525,3,0),"")</f>
        <v>Техника муз</v>
      </c>
      <c r="D6096" s="29" t="s">
        <v>1687</v>
      </c>
      <c r="E6096" s="30"/>
      <c r="F6096" s="30"/>
      <c r="G6096" s="31">
        <v>1</v>
      </c>
      <c r="H6096" s="31"/>
      <c r="I6096" s="32"/>
      <c r="J6096" s="32"/>
      <c r="K6096" s="19"/>
      <c r="L6096" s="20"/>
    </row>
    <row r="6097" spans="1:12" ht="31.5" outlineLevel="2">
      <c r="A6097" s="28"/>
      <c r="B6097" s="12" t="str">
        <f>IFERROR(VLOOKUP(D6097,'[1]Перечень товаров'!$A$2:$I9525,2,0),"")</f>
        <v>тм219</v>
      </c>
      <c r="C6097" s="12" t="str">
        <f>IFERROR(VLOOKUP(D6097,'[1]Перечень товаров'!$A$2:$I9525,3,0),"")</f>
        <v>Техника муз</v>
      </c>
      <c r="D6097" s="29" t="s">
        <v>1000</v>
      </c>
      <c r="E6097" s="30"/>
      <c r="F6097" s="30"/>
      <c r="G6097" s="31">
        <v>1</v>
      </c>
      <c r="H6097" s="31"/>
      <c r="I6097" s="32"/>
      <c r="J6097" s="32"/>
      <c r="K6097" s="19"/>
      <c r="L6097" s="20"/>
    </row>
    <row r="6098" spans="1:12" outlineLevel="2">
      <c r="A6098" s="28"/>
      <c r="B6098" s="12" t="str">
        <f>IFERROR(VLOOKUP(D6098,'[1]Перечень товаров'!$A$2:$I9525,2,0),"")</f>
        <v>м175</v>
      </c>
      <c r="C6098" s="12" t="str">
        <f>IFERROR(VLOOKUP(D6098,'[1]Перечень товаров'!$A$2:$I9525,3,0),"")</f>
        <v>мебель</v>
      </c>
      <c r="D6098" s="29" t="s">
        <v>1001</v>
      </c>
      <c r="E6098" s="30"/>
      <c r="F6098" s="30"/>
      <c r="G6098" s="31">
        <v>2</v>
      </c>
      <c r="H6098" s="31"/>
      <c r="I6098" s="32"/>
      <c r="J6098" s="32"/>
      <c r="K6098" s="19"/>
      <c r="L6098" s="20"/>
    </row>
    <row r="6099" spans="1:12" outlineLevel="2">
      <c r="A6099" s="28"/>
      <c r="B6099" s="12" t="str">
        <f>IFERROR(VLOOKUP(D6099,'[1]Перечень товаров'!$A$2:$I9525,2,0),"")</f>
        <v>д246</v>
      </c>
      <c r="C6099" s="12" t="str">
        <f>IFERROR(VLOOKUP(D6099,'[1]Перечень товаров'!$A$2:$I9525,3,0),"")</f>
        <v>Дидактика</v>
      </c>
      <c r="D6099" s="29" t="s">
        <v>1688</v>
      </c>
      <c r="E6099" s="30"/>
      <c r="F6099" s="30"/>
      <c r="G6099" s="31">
        <v>1</v>
      </c>
      <c r="H6099" s="31"/>
      <c r="I6099" s="32"/>
      <c r="J6099" s="32"/>
      <c r="K6099" s="19"/>
      <c r="L6099" s="20"/>
    </row>
    <row r="6100" spans="1:12" outlineLevel="2">
      <c r="A6100" s="28"/>
      <c r="B6100" s="12" t="str">
        <f>IFERROR(VLOOKUP(D6100,'[1]Перечень товаров'!$A$2:$I9525,2,0),"")</f>
        <v>пм167</v>
      </c>
      <c r="C6100" s="12" t="str">
        <f>IFERROR(VLOOKUP(D6100,'[1]Перечень товаров'!$A$2:$I9525,3,0),"")</f>
        <v>прочее муз</v>
      </c>
      <c r="D6100" s="29" t="s">
        <v>1136</v>
      </c>
      <c r="E6100" s="30"/>
      <c r="F6100" s="30"/>
      <c r="G6100" s="31">
        <v>1</v>
      </c>
      <c r="H6100" s="31"/>
      <c r="I6100" s="32"/>
      <c r="J6100" s="32"/>
      <c r="K6100" s="19"/>
      <c r="L6100" s="20"/>
    </row>
    <row r="6101" spans="1:12" outlineLevel="2">
      <c r="A6101" s="28"/>
      <c r="B6101" s="12" t="str">
        <f>IFERROR(VLOOKUP(D6101,'[1]Перечень товаров'!$A$2:$I9525,2,0),"")</f>
        <v>пм108</v>
      </c>
      <c r="C6101" s="12" t="str">
        <f>IFERROR(VLOOKUP(D6101,'[1]Перечень товаров'!$A$2:$I9525,3,0),"")</f>
        <v>прочее муз</v>
      </c>
      <c r="D6101" s="29" t="s">
        <v>1689</v>
      </c>
      <c r="E6101" s="30"/>
      <c r="F6101" s="30"/>
      <c r="G6101" s="31">
        <v>1</v>
      </c>
      <c r="H6101" s="31"/>
      <c r="I6101" s="32"/>
      <c r="J6101" s="32"/>
      <c r="K6101" s="19"/>
      <c r="L6101" s="20"/>
    </row>
    <row r="6102" spans="1:12" ht="15" outlineLevel="2">
      <c r="A6102" s="54"/>
      <c r="B6102" s="12" t="str">
        <f>IFERROR(VLOOKUP(D6102,'[1]Перечень товаров'!$A$2:$I9525,2,0),"")</f>
        <v/>
      </c>
      <c r="C6102" s="12" t="str">
        <f>IFERROR(VLOOKUP(D6102,'[1]Перечень товаров'!$A$2:$I9525,3,0),"")</f>
        <v/>
      </c>
      <c r="D6102" s="55" t="s">
        <v>45</v>
      </c>
      <c r="E6102" s="56"/>
      <c r="F6102" s="56"/>
      <c r="G6102" s="17"/>
      <c r="H6102" s="17"/>
      <c r="I6102" s="57"/>
      <c r="J6102" s="57"/>
      <c r="K6102" s="19"/>
      <c r="L6102" s="20"/>
    </row>
    <row r="6103" spans="1:12" outlineLevel="2">
      <c r="A6103" s="21"/>
      <c r="B6103" s="12" t="str">
        <f>IFERROR(VLOOKUP(D6103,'[1]Перечень товаров'!$A$2:$I9525,2,0),"")</f>
        <v>п2</v>
      </c>
      <c r="C6103" s="12" t="str">
        <f>IFERROR(VLOOKUP(D6103,'[1]Перечень товаров'!$A$2:$I9525,3,0),"")</f>
        <v>Прочее</v>
      </c>
      <c r="D6103" s="22" t="s">
        <v>46</v>
      </c>
      <c r="E6103" s="58"/>
      <c r="F6103" s="58"/>
      <c r="G6103" s="24">
        <v>1</v>
      </c>
      <c r="H6103" s="24"/>
      <c r="I6103" s="25"/>
      <c r="J6103" s="25"/>
      <c r="K6103" s="19"/>
      <c r="L6103" s="20"/>
    </row>
    <row r="6104" spans="1:12" outlineLevel="2">
      <c r="A6104" s="43"/>
      <c r="B6104" s="12" t="str">
        <f>IFERROR(VLOOKUP(D6104,'[1]Перечень товаров'!$A$2:$I9525,2,0),"")</f>
        <v>м7</v>
      </c>
      <c r="C6104" s="12" t="str">
        <f>IFERROR(VLOOKUP(D6104,'[1]Перечень товаров'!$A$2:$I9525,3,0),"")</f>
        <v>Мебель</v>
      </c>
      <c r="D6104" s="44" t="s">
        <v>24</v>
      </c>
      <c r="E6104" s="30"/>
      <c r="F6104" s="30"/>
      <c r="G6104" s="59">
        <v>1</v>
      </c>
      <c r="H6104" s="59"/>
      <c r="I6104" s="60"/>
      <c r="J6104" s="60"/>
      <c r="K6104" s="19"/>
      <c r="L6104" s="20"/>
    </row>
    <row r="6105" spans="1:12" outlineLevel="2">
      <c r="A6105" s="43"/>
      <c r="B6105" s="12" t="str">
        <f>IFERROR(VLOOKUP(D6105,'[1]Перечень товаров'!$A$2:$I9525,2,0),"")</f>
        <v>п1</v>
      </c>
      <c r="C6105" s="12" t="str">
        <f>IFERROR(VLOOKUP(D6105,'[1]Перечень товаров'!$A$2:$I9525,3,0),"")</f>
        <v>Прочее</v>
      </c>
      <c r="D6105" s="44" t="s">
        <v>37</v>
      </c>
      <c r="E6105" s="30"/>
      <c r="F6105" s="30"/>
      <c r="G6105" s="59">
        <v>1</v>
      </c>
      <c r="H6105" s="59"/>
      <c r="I6105" s="60"/>
      <c r="J6105" s="60"/>
      <c r="K6105" s="19"/>
      <c r="L6105" s="20"/>
    </row>
    <row r="6106" spans="1:12" ht="12.75" outlineLevel="1">
      <c r="A6106" s="89"/>
      <c r="B6106" s="12" t="str">
        <f>IFERROR(VLOOKUP(D6106,'[1]Перечень товаров'!$A$2:$I9525,2,0),"")</f>
        <v/>
      </c>
      <c r="C6106" s="12" t="str">
        <f>IFERROR(VLOOKUP(D6106,'[1]Перечень товаров'!$A$2:$I9525,3,0),"")</f>
        <v/>
      </c>
      <c r="D6106" s="90" t="s">
        <v>1686</v>
      </c>
      <c r="E6106" s="91" t="s">
        <v>396</v>
      </c>
      <c r="F6106" s="91"/>
      <c r="G6106" s="17"/>
      <c r="H6106" s="17"/>
      <c r="I6106" s="57"/>
      <c r="J6106" s="57"/>
      <c r="K6106" s="19"/>
      <c r="L6106" s="20"/>
    </row>
    <row r="6107" spans="1:12" ht="15" outlineLevel="2">
      <c r="A6107" s="109"/>
      <c r="B6107" s="12" t="str">
        <f>IFERROR(VLOOKUP(D6107,'[1]Перечень товаров'!$A$2:$I9525,2,0),"")</f>
        <v/>
      </c>
      <c r="C6107" s="12" t="str">
        <f>IFERROR(VLOOKUP(D6107,'[1]Перечень товаров'!$A$2:$I9525,3,0),"")</f>
        <v/>
      </c>
      <c r="D6107" s="110" t="s">
        <v>27</v>
      </c>
      <c r="E6107" s="56"/>
      <c r="F6107" s="56"/>
      <c r="G6107" s="111"/>
      <c r="H6107" s="111"/>
      <c r="I6107" s="112"/>
      <c r="J6107" s="112"/>
      <c r="K6107" s="19"/>
      <c r="L6107" s="20"/>
    </row>
    <row r="6108" spans="1:12" outlineLevel="2">
      <c r="A6108" s="21"/>
      <c r="B6108" s="12" t="str">
        <f>IFERROR(VLOOKUP(D6108,'[1]Перечень товаров'!$A$2:$I9525,2,0),"")</f>
        <v>т1</v>
      </c>
      <c r="C6108" s="12" t="str">
        <f>IFERROR(VLOOKUP(D6108,'[1]Перечень товаров'!$A$2:$I9525,3,0),"")</f>
        <v xml:space="preserve">Техника </v>
      </c>
      <c r="D6108" s="22" t="s">
        <v>28</v>
      </c>
      <c r="E6108" s="58"/>
      <c r="F6108" s="58"/>
      <c r="G6108" s="48">
        <v>1</v>
      </c>
      <c r="H6108" s="48"/>
      <c r="I6108" s="49"/>
      <c r="J6108" s="49"/>
      <c r="K6108" s="19"/>
      <c r="L6108" s="20"/>
    </row>
    <row r="6109" spans="1:12" outlineLevel="2">
      <c r="A6109" s="143"/>
      <c r="B6109" s="12" t="str">
        <f>IFERROR(VLOOKUP(D6109,'[1]Перечень товаров'!$A$2:$I9525,2,0),"")</f>
        <v>т9</v>
      </c>
      <c r="C6109" s="12" t="str">
        <f>IFERROR(VLOOKUP(D6109,'[1]Перечень товаров'!$A$2:$I9525,3,0),"")</f>
        <v>Техника</v>
      </c>
      <c r="D6109" s="143" t="s">
        <v>36</v>
      </c>
      <c r="E6109" s="58"/>
      <c r="F6109" s="58"/>
      <c r="G6109" s="48">
        <v>1</v>
      </c>
      <c r="H6109" s="48"/>
      <c r="I6109" s="49"/>
      <c r="J6109" s="49"/>
      <c r="K6109" s="19"/>
      <c r="L6109" s="20"/>
    </row>
    <row r="6110" spans="1:12" outlineLevel="2">
      <c r="A6110" s="35"/>
      <c r="B6110" s="12" t="str">
        <f>IFERROR(VLOOKUP(D6110,'[1]Перечень товаров'!$A$2:$I9525,2,0),"")</f>
        <v>т2</v>
      </c>
      <c r="C6110" s="12" t="str">
        <f>IFERROR(VLOOKUP(D6110,'[1]Перечень товаров'!$A$2:$I9525,3,0),"")</f>
        <v xml:space="preserve">Техника </v>
      </c>
      <c r="D6110" s="35" t="s">
        <v>29</v>
      </c>
      <c r="E6110" s="58"/>
      <c r="F6110" s="58"/>
      <c r="G6110" s="48">
        <v>1</v>
      </c>
      <c r="H6110" s="48"/>
      <c r="I6110" s="49"/>
      <c r="J6110" s="49"/>
      <c r="K6110" s="19"/>
      <c r="L6110" s="20"/>
    </row>
    <row r="6111" spans="1:12" outlineLevel="2">
      <c r="A6111" s="35"/>
      <c r="B6111" s="12" t="str">
        <f>IFERROR(VLOOKUP(D6111,'[1]Перечень товаров'!$A$2:$I9525,2,0),"")</f>
        <v>т3</v>
      </c>
      <c r="C6111" s="12" t="str">
        <f>IFERROR(VLOOKUP(D6111,'[1]Перечень товаров'!$A$2:$I9525,3,0),"")</f>
        <v xml:space="preserve">Техника </v>
      </c>
      <c r="D6111" s="35" t="s">
        <v>30</v>
      </c>
      <c r="E6111" s="58"/>
      <c r="F6111" s="58"/>
      <c r="G6111" s="48">
        <v>1</v>
      </c>
      <c r="H6111" s="48"/>
      <c r="I6111" s="49"/>
      <c r="J6111" s="49"/>
      <c r="K6111" s="19"/>
      <c r="L6111" s="20"/>
    </row>
    <row r="6112" spans="1:12" outlineLevel="2">
      <c r="A6112" s="35"/>
      <c r="B6112" s="12" t="str">
        <f>IFERROR(VLOOKUP(D6112,'[1]Перечень товаров'!$A$2:$I9525,2,0),"")</f>
        <v>т4</v>
      </c>
      <c r="C6112" s="12" t="str">
        <f>IFERROR(VLOOKUP(D6112,'[1]Перечень товаров'!$A$2:$I9525,3,0),"")</f>
        <v xml:space="preserve">Техника </v>
      </c>
      <c r="D6112" s="35" t="s">
        <v>31</v>
      </c>
      <c r="E6112" s="58"/>
      <c r="F6112" s="58"/>
      <c r="G6112" s="48">
        <v>1</v>
      </c>
      <c r="H6112" s="48"/>
      <c r="I6112" s="49"/>
      <c r="J6112" s="49"/>
      <c r="K6112" s="19"/>
      <c r="L6112" s="20"/>
    </row>
    <row r="6113" spans="1:12" outlineLevel="2">
      <c r="A6113" s="21"/>
      <c r="B6113" s="12" t="str">
        <f>IFERROR(VLOOKUP(D6113,'[1]Перечень товаров'!$A$2:$I9525,2,0),"")</f>
        <v>тм65</v>
      </c>
      <c r="C6113" s="12" t="str">
        <f>IFERROR(VLOOKUP(D6113,'[1]Перечень товаров'!$A$2:$I9525,3,0),"")</f>
        <v>Техника муз</v>
      </c>
      <c r="D6113" s="22" t="s">
        <v>380</v>
      </c>
      <c r="E6113" s="58"/>
      <c r="F6113" s="58"/>
      <c r="G6113" s="48">
        <v>1</v>
      </c>
      <c r="H6113" s="48"/>
      <c r="I6113" s="49"/>
      <c r="J6113" s="49"/>
      <c r="K6113" s="19"/>
      <c r="L6113" s="20"/>
    </row>
    <row r="6114" spans="1:12" outlineLevel="2">
      <c r="A6114" s="21"/>
      <c r="B6114" s="12" t="str">
        <f>IFERROR(VLOOKUP(D6114,'[1]Перечень товаров'!$A$2:$I9525,2,0),"")</f>
        <v>т12</v>
      </c>
      <c r="C6114" s="12" t="str">
        <f>IFERROR(VLOOKUP(D6114,'[1]Перечень товаров'!$A$2:$I9525,3,0),"")</f>
        <v>Техника</v>
      </c>
      <c r="D6114" s="22" t="s">
        <v>49</v>
      </c>
      <c r="E6114" s="58"/>
      <c r="F6114" s="58"/>
      <c r="G6114" s="48">
        <v>1</v>
      </c>
      <c r="H6114" s="48"/>
      <c r="I6114" s="49"/>
      <c r="J6114" s="49"/>
      <c r="K6114" s="19"/>
      <c r="L6114" s="20"/>
    </row>
    <row r="6115" spans="1:12" outlineLevel="2">
      <c r="A6115" s="35"/>
      <c r="B6115" s="12" t="str">
        <f>IFERROR(VLOOKUP(D6115,'[1]Перечень товаров'!$A$2:$I9525,2,0),"")</f>
        <v>т6</v>
      </c>
      <c r="C6115" s="12" t="str">
        <f>IFERROR(VLOOKUP(D6115,'[1]Перечень товаров'!$A$2:$I9525,3,0),"")</f>
        <v xml:space="preserve">Техника </v>
      </c>
      <c r="D6115" s="35" t="s">
        <v>33</v>
      </c>
      <c r="E6115" s="58"/>
      <c r="F6115" s="58"/>
      <c r="G6115" s="48">
        <v>1</v>
      </c>
      <c r="H6115" s="48"/>
      <c r="I6115" s="49"/>
      <c r="J6115" s="49"/>
      <c r="K6115" s="19"/>
      <c r="L6115" s="20"/>
    </row>
    <row r="6116" spans="1:12" outlineLevel="2">
      <c r="A6116" s="21"/>
      <c r="B6116" s="12" t="str">
        <f>IFERROR(VLOOKUP(D6116,'[1]Перечень товаров'!$A$2:$I9525,2,0),"")</f>
        <v>т7</v>
      </c>
      <c r="C6116" s="12" t="str">
        <f>IFERROR(VLOOKUP(D6116,'[1]Перечень товаров'!$A$2:$I9525,3,0),"")</f>
        <v xml:space="preserve">Техника </v>
      </c>
      <c r="D6116" s="22" t="s">
        <v>34</v>
      </c>
      <c r="E6116" s="58"/>
      <c r="F6116" s="58"/>
      <c r="G6116" s="48">
        <v>3</v>
      </c>
      <c r="H6116" s="48"/>
      <c r="I6116" s="49"/>
      <c r="J6116" s="49"/>
      <c r="K6116" s="19"/>
      <c r="L6116" s="20"/>
    </row>
    <row r="6117" spans="1:12" outlineLevel="2">
      <c r="A6117" s="28"/>
      <c r="B6117" s="12" t="str">
        <f>IFERROR(VLOOKUP(D6117,'[1]Перечень товаров'!$A$2:$I9525,2,0),"")</f>
        <v>т161</v>
      </c>
      <c r="C6117" s="12" t="str">
        <f>IFERROR(VLOOKUP(D6117,'[1]Перечень товаров'!$A$2:$I9525,3,0),"")</f>
        <v xml:space="preserve">Техника </v>
      </c>
      <c r="D6117" s="29" t="s">
        <v>381</v>
      </c>
      <c r="E6117" s="30"/>
      <c r="F6117" s="30"/>
      <c r="G6117" s="59">
        <v>1</v>
      </c>
      <c r="H6117" s="59"/>
      <c r="I6117" s="60"/>
      <c r="J6117" s="60"/>
      <c r="K6117" s="19"/>
      <c r="L6117" s="20"/>
    </row>
    <row r="6118" spans="1:12" outlineLevel="2">
      <c r="A6118" s="113"/>
      <c r="B6118" s="12" t="str">
        <f>IFERROR(VLOOKUP(D6118,'[1]Перечень товаров'!$A$2:$I9525,2,0),"")</f>
        <v/>
      </c>
      <c r="C6118" s="12" t="str">
        <f>IFERROR(VLOOKUP(D6118,'[1]Перечень товаров'!$A$2:$I9525,3,0),"")</f>
        <v/>
      </c>
      <c r="D6118" s="114" t="s">
        <v>19</v>
      </c>
      <c r="E6118" s="258"/>
      <c r="F6118" s="258"/>
      <c r="G6118" s="59"/>
      <c r="H6118" s="59"/>
      <c r="I6118" s="60"/>
      <c r="J6118" s="60"/>
      <c r="K6118" s="19"/>
      <c r="L6118" s="20"/>
    </row>
    <row r="6119" spans="1:12" outlineLevel="2">
      <c r="A6119" s="34"/>
      <c r="B6119" s="12" t="str">
        <f>IFERROR(VLOOKUP(D6119,'[1]Перечень товаров'!$A$2:$I9525,2,0),"")</f>
        <v>м62</v>
      </c>
      <c r="C6119" s="12" t="str">
        <f>IFERROR(VLOOKUP(D6119,'[1]Перечень товаров'!$A$2:$I9525,3,0),"")</f>
        <v>Мебель</v>
      </c>
      <c r="D6119" s="35" t="s">
        <v>398</v>
      </c>
      <c r="E6119" s="88"/>
      <c r="F6119" s="88"/>
      <c r="G6119" s="59">
        <v>1</v>
      </c>
      <c r="H6119" s="59"/>
      <c r="I6119" s="60"/>
      <c r="J6119" s="60"/>
      <c r="K6119" s="19"/>
      <c r="L6119" s="20"/>
    </row>
    <row r="6120" spans="1:12" outlineLevel="2">
      <c r="A6120" s="34"/>
      <c r="B6120" s="12" t="str">
        <f>IFERROR(VLOOKUP(D6120,'[1]Перечень товаров'!$A$2:$I9525,2,0),"")</f>
        <v>м61</v>
      </c>
      <c r="C6120" s="12" t="str">
        <f>IFERROR(VLOOKUP(D6120,'[1]Перечень товаров'!$A$2:$I9525,3,0),"")</f>
        <v>Мебель</v>
      </c>
      <c r="D6120" s="35" t="s">
        <v>383</v>
      </c>
      <c r="E6120" s="88"/>
      <c r="F6120" s="88"/>
      <c r="G6120" s="59">
        <v>1</v>
      </c>
      <c r="H6120" s="59"/>
      <c r="I6120" s="60"/>
      <c r="J6120" s="60"/>
      <c r="K6120" s="19"/>
      <c r="L6120" s="20"/>
    </row>
    <row r="6121" spans="1:12" outlineLevel="2">
      <c r="A6121" s="34"/>
      <c r="B6121" s="12" t="str">
        <f>IFERROR(VLOOKUP(D6121,'[1]Перечень товаров'!$A$2:$I9525,2,0),"")</f>
        <v>м61</v>
      </c>
      <c r="C6121" s="12" t="str">
        <f>IFERROR(VLOOKUP(D6121,'[1]Перечень товаров'!$A$2:$I9525,3,0),"")</f>
        <v>Мебель</v>
      </c>
      <c r="D6121" s="35" t="s">
        <v>384</v>
      </c>
      <c r="E6121" s="88"/>
      <c r="F6121" s="88"/>
      <c r="G6121" s="59">
        <v>5</v>
      </c>
      <c r="H6121" s="59"/>
      <c r="I6121" s="60"/>
      <c r="J6121" s="60"/>
      <c r="K6121" s="19"/>
      <c r="L6121" s="20"/>
    </row>
    <row r="6122" spans="1:12" outlineLevel="2">
      <c r="A6122" s="21"/>
      <c r="B6122" s="12" t="str">
        <f>IFERROR(VLOOKUP(D6122,'[1]Перечень товаров'!$A$2:$I9525,2,0),"")</f>
        <v>м13</v>
      </c>
      <c r="C6122" s="12" t="str">
        <f>IFERROR(VLOOKUP(D6122,'[1]Перечень товаров'!$A$2:$I9525,3,0),"")</f>
        <v>Мебель</v>
      </c>
      <c r="D6122" s="22" t="s">
        <v>42</v>
      </c>
      <c r="E6122" s="58"/>
      <c r="F6122" s="58"/>
      <c r="G6122" s="24">
        <v>1</v>
      </c>
      <c r="H6122" s="24"/>
      <c r="I6122" s="25"/>
      <c r="J6122" s="25"/>
      <c r="K6122" s="19"/>
      <c r="L6122" s="20"/>
    </row>
    <row r="6123" spans="1:12" outlineLevel="2">
      <c r="A6123" s="21"/>
      <c r="B6123" s="12" t="str">
        <f>IFERROR(VLOOKUP(D6123,'[1]Перечень товаров'!$A$2:$I9525,2,0),"")</f>
        <v>м14</v>
      </c>
      <c r="C6123" s="12" t="str">
        <f>IFERROR(VLOOKUP(D6123,'[1]Перечень товаров'!$A$2:$I9525,3,0),"")</f>
        <v>Мебель</v>
      </c>
      <c r="D6123" s="22" t="s">
        <v>43</v>
      </c>
      <c r="E6123" s="58"/>
      <c r="F6123" s="58"/>
      <c r="G6123" s="24">
        <v>1</v>
      </c>
      <c r="H6123" s="24"/>
      <c r="I6123" s="25"/>
      <c r="J6123" s="25"/>
      <c r="K6123" s="19"/>
      <c r="L6123" s="20"/>
    </row>
    <row r="6124" spans="1:12" ht="15" outlineLevel="2">
      <c r="A6124" s="116"/>
      <c r="B6124" s="12" t="str">
        <f>IFERROR(VLOOKUP(D6124,'[1]Перечень товаров'!$A$2:$I9525,2,0),"")</f>
        <v/>
      </c>
      <c r="C6124" s="12" t="str">
        <f>IFERROR(VLOOKUP(D6124,'[1]Перечень товаров'!$A$2:$I9525,3,0),"")</f>
        <v/>
      </c>
      <c r="D6124" s="117" t="s">
        <v>391</v>
      </c>
      <c r="E6124" s="122"/>
      <c r="F6124" s="122"/>
      <c r="G6124" s="123"/>
      <c r="H6124" s="123"/>
      <c r="I6124" s="124"/>
      <c r="J6124" s="124"/>
      <c r="K6124" s="19"/>
      <c r="L6124" s="20"/>
    </row>
    <row r="6125" spans="1:12" outlineLevel="2">
      <c r="A6125" s="28"/>
      <c r="B6125" s="12" t="str">
        <f>IFERROR(VLOOKUP(D6125,'[1]Перечень товаров'!$A$2:$I9525,2,0),"")</f>
        <v>тм147</v>
      </c>
      <c r="C6125" s="12" t="str">
        <f>IFERROR(VLOOKUP(D6125,'[1]Перечень товаров'!$A$2:$I9525,3,0),"")</f>
        <v>Техника муз</v>
      </c>
      <c r="D6125" s="29" t="s">
        <v>1687</v>
      </c>
      <c r="E6125" s="30"/>
      <c r="F6125" s="30"/>
      <c r="G6125" s="31">
        <v>1</v>
      </c>
      <c r="H6125" s="31"/>
      <c r="I6125" s="32"/>
      <c r="J6125" s="32"/>
      <c r="K6125" s="19"/>
      <c r="L6125" s="20"/>
    </row>
    <row r="6126" spans="1:12" ht="31.5" outlineLevel="2">
      <c r="A6126" s="28"/>
      <c r="B6126" s="12" t="str">
        <f>IFERROR(VLOOKUP(D6126,'[1]Перечень товаров'!$A$2:$I9525,2,0),"")</f>
        <v>тм219</v>
      </c>
      <c r="C6126" s="12" t="str">
        <f>IFERROR(VLOOKUP(D6126,'[1]Перечень товаров'!$A$2:$I9525,3,0),"")</f>
        <v>Техника муз</v>
      </c>
      <c r="D6126" s="29" t="s">
        <v>1000</v>
      </c>
      <c r="E6126" s="30"/>
      <c r="F6126" s="30"/>
      <c r="G6126" s="31">
        <v>1</v>
      </c>
      <c r="H6126" s="31"/>
      <c r="I6126" s="32"/>
      <c r="J6126" s="32"/>
      <c r="K6126" s="19"/>
      <c r="L6126" s="20"/>
    </row>
    <row r="6127" spans="1:12" outlineLevel="2">
      <c r="A6127" s="28"/>
      <c r="B6127" s="12" t="str">
        <f>IFERROR(VLOOKUP(D6127,'[1]Перечень товаров'!$A$2:$I9525,2,0),"")</f>
        <v>м175</v>
      </c>
      <c r="C6127" s="12" t="str">
        <f>IFERROR(VLOOKUP(D6127,'[1]Перечень товаров'!$A$2:$I9525,3,0),"")</f>
        <v>мебель</v>
      </c>
      <c r="D6127" s="29" t="s">
        <v>1001</v>
      </c>
      <c r="E6127" s="30"/>
      <c r="F6127" s="30"/>
      <c r="G6127" s="31">
        <v>2</v>
      </c>
      <c r="H6127" s="31"/>
      <c r="I6127" s="32"/>
      <c r="J6127" s="32"/>
      <c r="K6127" s="19"/>
      <c r="L6127" s="20"/>
    </row>
    <row r="6128" spans="1:12" outlineLevel="2">
      <c r="A6128" s="28"/>
      <c r="B6128" s="12" t="str">
        <f>IFERROR(VLOOKUP(D6128,'[1]Перечень товаров'!$A$2:$I9525,2,0),"")</f>
        <v>д246</v>
      </c>
      <c r="C6128" s="12" t="str">
        <f>IFERROR(VLOOKUP(D6128,'[1]Перечень товаров'!$A$2:$I9525,3,0),"")</f>
        <v>Дидактика</v>
      </c>
      <c r="D6128" s="29" t="s">
        <v>1688</v>
      </c>
      <c r="E6128" s="30"/>
      <c r="F6128" s="30"/>
      <c r="G6128" s="31">
        <v>1</v>
      </c>
      <c r="H6128" s="31"/>
      <c r="I6128" s="32"/>
      <c r="J6128" s="32"/>
      <c r="K6128" s="19"/>
      <c r="L6128" s="20"/>
    </row>
    <row r="6129" spans="1:12" outlineLevel="2">
      <c r="A6129" s="28"/>
      <c r="B6129" s="12" t="str">
        <f>IFERROR(VLOOKUP(D6129,'[1]Перечень товаров'!$A$2:$I9525,2,0),"")</f>
        <v>пм167</v>
      </c>
      <c r="C6129" s="12" t="str">
        <f>IFERROR(VLOOKUP(D6129,'[1]Перечень товаров'!$A$2:$I9525,3,0),"")</f>
        <v>прочее муз</v>
      </c>
      <c r="D6129" s="29" t="s">
        <v>1136</v>
      </c>
      <c r="E6129" s="30"/>
      <c r="F6129" s="30"/>
      <c r="G6129" s="31">
        <v>1</v>
      </c>
      <c r="H6129" s="31"/>
      <c r="I6129" s="32"/>
      <c r="J6129" s="32"/>
      <c r="K6129" s="19"/>
      <c r="L6129" s="20"/>
    </row>
    <row r="6130" spans="1:12" outlineLevel="2">
      <c r="A6130" s="28"/>
      <c r="B6130" s="12" t="str">
        <f>IFERROR(VLOOKUP(D6130,'[1]Перечень товаров'!$A$2:$I9525,2,0),"")</f>
        <v>пм108</v>
      </c>
      <c r="C6130" s="12" t="str">
        <f>IFERROR(VLOOKUP(D6130,'[1]Перечень товаров'!$A$2:$I9525,3,0),"")</f>
        <v>прочее муз</v>
      </c>
      <c r="D6130" s="29" t="s">
        <v>1689</v>
      </c>
      <c r="E6130" s="30"/>
      <c r="F6130" s="30"/>
      <c r="G6130" s="31">
        <v>1</v>
      </c>
      <c r="H6130" s="31"/>
      <c r="I6130" s="32"/>
      <c r="J6130" s="32"/>
      <c r="K6130" s="19"/>
      <c r="L6130" s="20"/>
    </row>
    <row r="6131" spans="1:12" ht="15" outlineLevel="2">
      <c r="A6131" s="54"/>
      <c r="B6131" s="12" t="str">
        <f>IFERROR(VLOOKUP(D6131,'[1]Перечень товаров'!$A$2:$I9525,2,0),"")</f>
        <v/>
      </c>
      <c r="C6131" s="12" t="str">
        <f>IFERROR(VLOOKUP(D6131,'[1]Перечень товаров'!$A$2:$I9525,3,0),"")</f>
        <v/>
      </c>
      <c r="D6131" s="55" t="s">
        <v>45</v>
      </c>
      <c r="E6131" s="56"/>
      <c r="F6131" s="56"/>
      <c r="G6131" s="17"/>
      <c r="H6131" s="17"/>
      <c r="I6131" s="57"/>
      <c r="J6131" s="57"/>
      <c r="K6131" s="19"/>
      <c r="L6131" s="20"/>
    </row>
    <row r="6132" spans="1:12" outlineLevel="2">
      <c r="A6132" s="21"/>
      <c r="B6132" s="12" t="str">
        <f>IFERROR(VLOOKUP(D6132,'[1]Перечень товаров'!$A$2:$I9525,2,0),"")</f>
        <v>п2</v>
      </c>
      <c r="C6132" s="12" t="str">
        <f>IFERROR(VLOOKUP(D6132,'[1]Перечень товаров'!$A$2:$I9525,3,0),"")</f>
        <v>Прочее</v>
      </c>
      <c r="D6132" s="22" t="s">
        <v>46</v>
      </c>
      <c r="E6132" s="58"/>
      <c r="F6132" s="58"/>
      <c r="G6132" s="24">
        <v>1</v>
      </c>
      <c r="H6132" s="24"/>
      <c r="I6132" s="25"/>
      <c r="J6132" s="25"/>
      <c r="K6132" s="19"/>
      <c r="L6132" s="20"/>
    </row>
    <row r="6133" spans="1:12" outlineLevel="2">
      <c r="A6133" s="43"/>
      <c r="B6133" s="12" t="str">
        <f>IFERROR(VLOOKUP(D6133,'[1]Перечень товаров'!$A$2:$I9525,2,0),"")</f>
        <v>м7</v>
      </c>
      <c r="C6133" s="12" t="str">
        <f>IFERROR(VLOOKUP(D6133,'[1]Перечень товаров'!$A$2:$I9525,3,0),"")</f>
        <v>Мебель</v>
      </c>
      <c r="D6133" s="44" t="s">
        <v>24</v>
      </c>
      <c r="E6133" s="30"/>
      <c r="F6133" s="30"/>
      <c r="G6133" s="59">
        <v>1</v>
      </c>
      <c r="H6133" s="59"/>
      <c r="I6133" s="60"/>
      <c r="J6133" s="60"/>
      <c r="K6133" s="19"/>
      <c r="L6133" s="20"/>
    </row>
    <row r="6134" spans="1:12" outlineLevel="2">
      <c r="A6134" s="43"/>
      <c r="B6134" s="12" t="str">
        <f>IFERROR(VLOOKUP(D6134,'[1]Перечень товаров'!$A$2:$I9525,2,0),"")</f>
        <v>п1</v>
      </c>
      <c r="C6134" s="12" t="str">
        <f>IFERROR(VLOOKUP(D6134,'[1]Перечень товаров'!$A$2:$I9525,3,0),"")</f>
        <v>Прочее</v>
      </c>
      <c r="D6134" s="44" t="s">
        <v>37</v>
      </c>
      <c r="E6134" s="30"/>
      <c r="F6134" s="30"/>
      <c r="G6134" s="59">
        <v>1</v>
      </c>
      <c r="H6134" s="59"/>
      <c r="I6134" s="60"/>
      <c r="J6134" s="60"/>
      <c r="K6134" s="19"/>
      <c r="L6134" s="20"/>
    </row>
    <row r="6135" spans="1:12" ht="12.75" outlineLevel="1">
      <c r="A6135" s="89"/>
      <c r="B6135" s="12" t="str">
        <f>IFERROR(VLOOKUP(D6135,'[1]Перечень товаров'!$A$2:$I9525,2,0),"")</f>
        <v/>
      </c>
      <c r="C6135" s="12" t="str">
        <f>IFERROR(VLOOKUP(D6135,'[1]Перечень товаров'!$A$2:$I9525,3,0),"")</f>
        <v/>
      </c>
      <c r="D6135" s="90" t="s">
        <v>1686</v>
      </c>
      <c r="E6135" s="108">
        <v>46045</v>
      </c>
      <c r="F6135" s="108"/>
      <c r="G6135" s="100"/>
      <c r="H6135" s="100"/>
      <c r="I6135" s="101"/>
      <c r="J6135" s="101"/>
      <c r="K6135" s="19"/>
      <c r="L6135" s="20"/>
    </row>
    <row r="6136" spans="1:12" ht="15" outlineLevel="2">
      <c r="A6136" s="109"/>
      <c r="B6136" s="12" t="str">
        <f>IFERROR(VLOOKUP(D6136,'[1]Перечень товаров'!$A$2:$I9525,2,0),"")</f>
        <v/>
      </c>
      <c r="C6136" s="12" t="str">
        <f>IFERROR(VLOOKUP(D6136,'[1]Перечень товаров'!$A$2:$I9525,3,0),"")</f>
        <v/>
      </c>
      <c r="D6136" s="110" t="s">
        <v>27</v>
      </c>
      <c r="E6136" s="56"/>
      <c r="F6136" s="56"/>
      <c r="G6136" s="111"/>
      <c r="H6136" s="111"/>
      <c r="I6136" s="112"/>
      <c r="J6136" s="112"/>
      <c r="K6136" s="19"/>
      <c r="L6136" s="20"/>
    </row>
    <row r="6137" spans="1:12" outlineLevel="2">
      <c r="A6137" s="21"/>
      <c r="B6137" s="12" t="str">
        <f>IFERROR(VLOOKUP(D6137,'[1]Перечень товаров'!$A$2:$I9525,2,0),"")</f>
        <v>т1</v>
      </c>
      <c r="C6137" s="12" t="str">
        <f>IFERROR(VLOOKUP(D6137,'[1]Перечень товаров'!$A$2:$I9525,3,0),"")</f>
        <v xml:space="preserve">Техника </v>
      </c>
      <c r="D6137" s="22" t="s">
        <v>28</v>
      </c>
      <c r="E6137" s="58"/>
      <c r="F6137" s="58"/>
      <c r="G6137" s="48">
        <v>1</v>
      </c>
      <c r="H6137" s="48"/>
      <c r="I6137" s="49"/>
      <c r="J6137" s="49"/>
      <c r="K6137" s="19"/>
      <c r="L6137" s="20"/>
    </row>
    <row r="6138" spans="1:12" outlineLevel="2">
      <c r="A6138" s="143"/>
      <c r="B6138" s="12" t="str">
        <f>IFERROR(VLOOKUP(D6138,'[1]Перечень товаров'!$A$2:$I9525,2,0),"")</f>
        <v>т9</v>
      </c>
      <c r="C6138" s="12" t="str">
        <f>IFERROR(VLOOKUP(D6138,'[1]Перечень товаров'!$A$2:$I9525,3,0),"")</f>
        <v>Техника</v>
      </c>
      <c r="D6138" s="143" t="s">
        <v>36</v>
      </c>
      <c r="E6138" s="58"/>
      <c r="F6138" s="58"/>
      <c r="G6138" s="48">
        <v>1</v>
      </c>
      <c r="H6138" s="48"/>
      <c r="I6138" s="49"/>
      <c r="J6138" s="49"/>
      <c r="K6138" s="19"/>
      <c r="L6138" s="20"/>
    </row>
    <row r="6139" spans="1:12" outlineLevel="2">
      <c r="A6139" s="35"/>
      <c r="B6139" s="12" t="str">
        <f>IFERROR(VLOOKUP(D6139,'[1]Перечень товаров'!$A$2:$I9525,2,0),"")</f>
        <v>т2</v>
      </c>
      <c r="C6139" s="12" t="str">
        <f>IFERROR(VLOOKUP(D6139,'[1]Перечень товаров'!$A$2:$I9525,3,0),"")</f>
        <v xml:space="preserve">Техника </v>
      </c>
      <c r="D6139" s="35" t="s">
        <v>29</v>
      </c>
      <c r="E6139" s="58"/>
      <c r="F6139" s="58"/>
      <c r="G6139" s="48">
        <v>1</v>
      </c>
      <c r="H6139" s="48"/>
      <c r="I6139" s="49"/>
      <c r="J6139" s="49"/>
      <c r="K6139" s="19"/>
      <c r="L6139" s="20"/>
    </row>
    <row r="6140" spans="1:12" outlineLevel="2">
      <c r="A6140" s="35"/>
      <c r="B6140" s="12" t="str">
        <f>IFERROR(VLOOKUP(D6140,'[1]Перечень товаров'!$A$2:$I9525,2,0),"")</f>
        <v>т3</v>
      </c>
      <c r="C6140" s="12" t="str">
        <f>IFERROR(VLOOKUP(D6140,'[1]Перечень товаров'!$A$2:$I9525,3,0),"")</f>
        <v xml:space="preserve">Техника </v>
      </c>
      <c r="D6140" s="35" t="s">
        <v>30</v>
      </c>
      <c r="E6140" s="58"/>
      <c r="F6140" s="58"/>
      <c r="G6140" s="48">
        <v>1</v>
      </c>
      <c r="H6140" s="48"/>
      <c r="I6140" s="49"/>
      <c r="J6140" s="49"/>
      <c r="K6140" s="19"/>
      <c r="L6140" s="20"/>
    </row>
    <row r="6141" spans="1:12" outlineLevel="2">
      <c r="A6141" s="35"/>
      <c r="B6141" s="12" t="str">
        <f>IFERROR(VLOOKUP(D6141,'[1]Перечень товаров'!$A$2:$I9525,2,0),"")</f>
        <v>т4</v>
      </c>
      <c r="C6141" s="12" t="str">
        <f>IFERROR(VLOOKUP(D6141,'[1]Перечень товаров'!$A$2:$I9525,3,0),"")</f>
        <v xml:space="preserve">Техника </v>
      </c>
      <c r="D6141" s="35" t="s">
        <v>31</v>
      </c>
      <c r="E6141" s="58"/>
      <c r="F6141" s="58"/>
      <c r="G6141" s="48">
        <v>1</v>
      </c>
      <c r="H6141" s="48"/>
      <c r="I6141" s="49"/>
      <c r="J6141" s="49"/>
      <c r="K6141" s="19"/>
      <c r="L6141" s="20"/>
    </row>
    <row r="6142" spans="1:12" outlineLevel="2">
      <c r="A6142" s="21"/>
      <c r="B6142" s="12" t="str">
        <f>IFERROR(VLOOKUP(D6142,'[1]Перечень товаров'!$A$2:$I9525,2,0),"")</f>
        <v>тм65</v>
      </c>
      <c r="C6142" s="12" t="str">
        <f>IFERROR(VLOOKUP(D6142,'[1]Перечень товаров'!$A$2:$I9525,3,0),"")</f>
        <v>Техника муз</v>
      </c>
      <c r="D6142" s="22" t="s">
        <v>380</v>
      </c>
      <c r="E6142" s="58"/>
      <c r="F6142" s="58"/>
      <c r="G6142" s="48">
        <v>1</v>
      </c>
      <c r="H6142" s="48"/>
      <c r="I6142" s="49"/>
      <c r="J6142" s="49"/>
      <c r="K6142" s="19"/>
      <c r="L6142" s="20"/>
    </row>
    <row r="6143" spans="1:12" outlineLevel="2">
      <c r="A6143" s="21"/>
      <c r="B6143" s="12" t="str">
        <f>IFERROR(VLOOKUP(D6143,'[1]Перечень товаров'!$A$2:$I9525,2,0),"")</f>
        <v>т12</v>
      </c>
      <c r="C6143" s="12" t="str">
        <f>IFERROR(VLOOKUP(D6143,'[1]Перечень товаров'!$A$2:$I9525,3,0),"")</f>
        <v>Техника</v>
      </c>
      <c r="D6143" s="22" t="s">
        <v>49</v>
      </c>
      <c r="E6143" s="58"/>
      <c r="F6143" s="58"/>
      <c r="G6143" s="48">
        <v>1</v>
      </c>
      <c r="H6143" s="48"/>
      <c r="I6143" s="49"/>
      <c r="J6143" s="49"/>
      <c r="K6143" s="19"/>
      <c r="L6143" s="20"/>
    </row>
    <row r="6144" spans="1:12" outlineLevel="2">
      <c r="A6144" s="35"/>
      <c r="B6144" s="12" t="str">
        <f>IFERROR(VLOOKUP(D6144,'[1]Перечень товаров'!$A$2:$I9525,2,0),"")</f>
        <v>т6</v>
      </c>
      <c r="C6144" s="12" t="str">
        <f>IFERROR(VLOOKUP(D6144,'[1]Перечень товаров'!$A$2:$I9525,3,0),"")</f>
        <v xml:space="preserve">Техника </v>
      </c>
      <c r="D6144" s="35" t="s">
        <v>33</v>
      </c>
      <c r="E6144" s="58"/>
      <c r="F6144" s="58"/>
      <c r="G6144" s="48">
        <v>1</v>
      </c>
      <c r="H6144" s="48"/>
      <c r="I6144" s="49"/>
      <c r="J6144" s="49"/>
      <c r="K6144" s="19"/>
      <c r="L6144" s="20"/>
    </row>
    <row r="6145" spans="1:12" outlineLevel="2">
      <c r="A6145" s="21"/>
      <c r="B6145" s="12" t="str">
        <f>IFERROR(VLOOKUP(D6145,'[1]Перечень товаров'!$A$2:$I9525,2,0),"")</f>
        <v>т7</v>
      </c>
      <c r="C6145" s="12" t="str">
        <f>IFERROR(VLOOKUP(D6145,'[1]Перечень товаров'!$A$2:$I9525,3,0),"")</f>
        <v xml:space="preserve">Техника </v>
      </c>
      <c r="D6145" s="22" t="s">
        <v>34</v>
      </c>
      <c r="E6145" s="58"/>
      <c r="F6145" s="58"/>
      <c r="G6145" s="48">
        <v>3</v>
      </c>
      <c r="H6145" s="48"/>
      <c r="I6145" s="49"/>
      <c r="J6145" s="49"/>
      <c r="K6145" s="19"/>
      <c r="L6145" s="20"/>
    </row>
    <row r="6146" spans="1:12" outlineLevel="2">
      <c r="A6146" s="28"/>
      <c r="B6146" s="12" t="str">
        <f>IFERROR(VLOOKUP(D6146,'[1]Перечень товаров'!$A$2:$I9525,2,0),"")</f>
        <v>т161</v>
      </c>
      <c r="C6146" s="12" t="str">
        <f>IFERROR(VLOOKUP(D6146,'[1]Перечень товаров'!$A$2:$I9525,3,0),"")</f>
        <v xml:space="preserve">Техника </v>
      </c>
      <c r="D6146" s="29" t="s">
        <v>381</v>
      </c>
      <c r="E6146" s="30"/>
      <c r="F6146" s="30"/>
      <c r="G6146" s="59">
        <v>1</v>
      </c>
      <c r="H6146" s="59"/>
      <c r="I6146" s="60"/>
      <c r="J6146" s="60"/>
      <c r="K6146" s="19"/>
      <c r="L6146" s="20"/>
    </row>
    <row r="6147" spans="1:12" outlineLevel="2">
      <c r="A6147" s="113"/>
      <c r="B6147" s="12" t="str">
        <f>IFERROR(VLOOKUP(D6147,'[1]Перечень товаров'!$A$2:$I9525,2,0),"")</f>
        <v/>
      </c>
      <c r="C6147" s="12" t="str">
        <f>IFERROR(VLOOKUP(D6147,'[1]Перечень товаров'!$A$2:$I9525,3,0),"")</f>
        <v/>
      </c>
      <c r="D6147" s="114" t="s">
        <v>19</v>
      </c>
      <c r="E6147" s="258"/>
      <c r="F6147" s="258"/>
      <c r="G6147" s="59"/>
      <c r="H6147" s="59"/>
      <c r="I6147" s="60"/>
      <c r="J6147" s="60"/>
      <c r="K6147" s="19"/>
      <c r="L6147" s="20"/>
    </row>
    <row r="6148" spans="1:12" outlineLevel="2">
      <c r="A6148" s="34"/>
      <c r="B6148" s="12" t="str">
        <f>IFERROR(VLOOKUP(D6148,'[1]Перечень товаров'!$A$2:$I9525,2,0),"")</f>
        <v>м62</v>
      </c>
      <c r="C6148" s="12" t="str">
        <f>IFERROR(VLOOKUP(D6148,'[1]Перечень товаров'!$A$2:$I9525,3,0),"")</f>
        <v>Мебель</v>
      </c>
      <c r="D6148" s="35" t="s">
        <v>398</v>
      </c>
      <c r="E6148" s="88"/>
      <c r="F6148" s="88"/>
      <c r="G6148" s="59">
        <v>1</v>
      </c>
      <c r="H6148" s="59"/>
      <c r="I6148" s="60"/>
      <c r="J6148" s="60"/>
      <c r="K6148" s="19"/>
      <c r="L6148" s="20"/>
    </row>
    <row r="6149" spans="1:12" outlineLevel="2">
      <c r="A6149" s="34"/>
      <c r="B6149" s="12" t="str">
        <f>IFERROR(VLOOKUP(D6149,'[1]Перечень товаров'!$A$2:$I9525,2,0),"")</f>
        <v>м61</v>
      </c>
      <c r="C6149" s="12" t="str">
        <f>IFERROR(VLOOKUP(D6149,'[1]Перечень товаров'!$A$2:$I9525,3,0),"")</f>
        <v>Мебель</v>
      </c>
      <c r="D6149" s="35" t="s">
        <v>383</v>
      </c>
      <c r="E6149" s="88"/>
      <c r="F6149" s="88"/>
      <c r="G6149" s="59">
        <v>1</v>
      </c>
      <c r="H6149" s="59"/>
      <c r="I6149" s="60"/>
      <c r="J6149" s="60"/>
      <c r="K6149" s="19"/>
      <c r="L6149" s="20"/>
    </row>
    <row r="6150" spans="1:12" outlineLevel="2">
      <c r="A6150" s="34"/>
      <c r="B6150" s="12" t="str">
        <f>IFERROR(VLOOKUP(D6150,'[1]Перечень товаров'!$A$2:$I9525,2,0),"")</f>
        <v>м61</v>
      </c>
      <c r="C6150" s="12" t="str">
        <f>IFERROR(VLOOKUP(D6150,'[1]Перечень товаров'!$A$2:$I9525,3,0),"")</f>
        <v>Мебель</v>
      </c>
      <c r="D6150" s="35" t="s">
        <v>384</v>
      </c>
      <c r="E6150" s="88"/>
      <c r="F6150" s="88"/>
      <c r="G6150" s="59">
        <v>5</v>
      </c>
      <c r="H6150" s="59"/>
      <c r="I6150" s="60"/>
      <c r="J6150" s="60"/>
      <c r="K6150" s="19"/>
      <c r="L6150" s="20"/>
    </row>
    <row r="6151" spans="1:12" outlineLevel="2">
      <c r="A6151" s="21"/>
      <c r="B6151" s="12" t="str">
        <f>IFERROR(VLOOKUP(D6151,'[1]Перечень товаров'!$A$2:$I9525,2,0),"")</f>
        <v>м13</v>
      </c>
      <c r="C6151" s="12" t="str">
        <f>IFERROR(VLOOKUP(D6151,'[1]Перечень товаров'!$A$2:$I9525,3,0),"")</f>
        <v>Мебель</v>
      </c>
      <c r="D6151" s="22" t="s">
        <v>42</v>
      </c>
      <c r="E6151" s="58"/>
      <c r="F6151" s="58"/>
      <c r="G6151" s="24">
        <v>1</v>
      </c>
      <c r="H6151" s="24"/>
      <c r="I6151" s="25"/>
      <c r="J6151" s="25"/>
      <c r="K6151" s="19"/>
      <c r="L6151" s="20"/>
    </row>
    <row r="6152" spans="1:12" outlineLevel="2">
      <c r="A6152" s="21"/>
      <c r="B6152" s="12" t="str">
        <f>IFERROR(VLOOKUP(D6152,'[1]Перечень товаров'!$A$2:$I9525,2,0),"")</f>
        <v>м14</v>
      </c>
      <c r="C6152" s="12" t="str">
        <f>IFERROR(VLOOKUP(D6152,'[1]Перечень товаров'!$A$2:$I9525,3,0),"")</f>
        <v>Мебель</v>
      </c>
      <c r="D6152" s="22" t="s">
        <v>43</v>
      </c>
      <c r="E6152" s="58"/>
      <c r="F6152" s="58"/>
      <c r="G6152" s="24">
        <v>1</v>
      </c>
      <c r="H6152" s="24"/>
      <c r="I6152" s="25"/>
      <c r="J6152" s="25"/>
      <c r="K6152" s="19"/>
      <c r="L6152" s="20"/>
    </row>
    <row r="6153" spans="1:12" ht="15" outlineLevel="2">
      <c r="A6153" s="116"/>
      <c r="B6153" s="12" t="str">
        <f>IFERROR(VLOOKUP(D6153,'[1]Перечень товаров'!$A$2:$I9525,2,0),"")</f>
        <v/>
      </c>
      <c r="C6153" s="12" t="str">
        <f>IFERROR(VLOOKUP(D6153,'[1]Перечень товаров'!$A$2:$I9525,3,0),"")</f>
        <v/>
      </c>
      <c r="D6153" s="117" t="s">
        <v>391</v>
      </c>
      <c r="E6153" s="122"/>
      <c r="F6153" s="122"/>
      <c r="G6153" s="123"/>
      <c r="H6153" s="123"/>
      <c r="I6153" s="124"/>
      <c r="J6153" s="124"/>
      <c r="K6153" s="19"/>
      <c r="L6153" s="20"/>
    </row>
    <row r="6154" spans="1:12" outlineLevel="2">
      <c r="A6154" s="28"/>
      <c r="B6154" s="12" t="str">
        <f>IFERROR(VLOOKUP(D6154,'[1]Перечень товаров'!$A$2:$I9525,2,0),"")</f>
        <v>тм147</v>
      </c>
      <c r="C6154" s="12" t="str">
        <f>IFERROR(VLOOKUP(D6154,'[1]Перечень товаров'!$A$2:$I9525,3,0),"")</f>
        <v>Техника муз</v>
      </c>
      <c r="D6154" s="29" t="s">
        <v>1687</v>
      </c>
      <c r="E6154" s="30"/>
      <c r="F6154" s="30"/>
      <c r="G6154" s="31">
        <v>1</v>
      </c>
      <c r="H6154" s="31"/>
      <c r="I6154" s="32"/>
      <c r="J6154" s="32"/>
      <c r="K6154" s="19"/>
      <c r="L6154" s="20"/>
    </row>
    <row r="6155" spans="1:12" ht="31.5" outlineLevel="2">
      <c r="A6155" s="28"/>
      <c r="B6155" s="12" t="str">
        <f>IFERROR(VLOOKUP(D6155,'[1]Перечень товаров'!$A$2:$I9525,2,0),"")</f>
        <v>тм219</v>
      </c>
      <c r="C6155" s="12" t="str">
        <f>IFERROR(VLOOKUP(D6155,'[1]Перечень товаров'!$A$2:$I9525,3,0),"")</f>
        <v>Техника муз</v>
      </c>
      <c r="D6155" s="29" t="s">
        <v>1000</v>
      </c>
      <c r="E6155" s="30"/>
      <c r="F6155" s="30"/>
      <c r="G6155" s="31">
        <v>1</v>
      </c>
      <c r="H6155" s="31"/>
      <c r="I6155" s="32"/>
      <c r="J6155" s="32"/>
      <c r="K6155" s="19"/>
      <c r="L6155" s="20"/>
    </row>
    <row r="6156" spans="1:12" outlineLevel="2">
      <c r="A6156" s="28"/>
      <c r="B6156" s="12" t="str">
        <f>IFERROR(VLOOKUP(D6156,'[1]Перечень товаров'!$A$2:$I9525,2,0),"")</f>
        <v>м175</v>
      </c>
      <c r="C6156" s="12" t="str">
        <f>IFERROR(VLOOKUP(D6156,'[1]Перечень товаров'!$A$2:$I9525,3,0),"")</f>
        <v>мебель</v>
      </c>
      <c r="D6156" s="29" t="s">
        <v>1001</v>
      </c>
      <c r="E6156" s="30"/>
      <c r="F6156" s="30"/>
      <c r="G6156" s="31">
        <v>2</v>
      </c>
      <c r="H6156" s="31"/>
      <c r="I6156" s="32"/>
      <c r="J6156" s="32"/>
      <c r="K6156" s="19"/>
      <c r="L6156" s="20"/>
    </row>
    <row r="6157" spans="1:12" outlineLevel="2">
      <c r="A6157" s="28"/>
      <c r="B6157" s="12" t="str">
        <f>IFERROR(VLOOKUP(D6157,'[1]Перечень товаров'!$A$2:$I9525,2,0),"")</f>
        <v>д246</v>
      </c>
      <c r="C6157" s="12" t="str">
        <f>IFERROR(VLOOKUP(D6157,'[1]Перечень товаров'!$A$2:$I9525,3,0),"")</f>
        <v>Дидактика</v>
      </c>
      <c r="D6157" s="29" t="s">
        <v>1688</v>
      </c>
      <c r="E6157" s="30"/>
      <c r="F6157" s="30"/>
      <c r="G6157" s="31">
        <v>1</v>
      </c>
      <c r="H6157" s="31"/>
      <c r="I6157" s="32"/>
      <c r="J6157" s="32"/>
      <c r="K6157" s="19"/>
      <c r="L6157" s="20"/>
    </row>
    <row r="6158" spans="1:12" outlineLevel="2">
      <c r="A6158" s="28"/>
      <c r="B6158" s="12" t="str">
        <f>IFERROR(VLOOKUP(D6158,'[1]Перечень товаров'!$A$2:$I9525,2,0),"")</f>
        <v>пм167</v>
      </c>
      <c r="C6158" s="12" t="str">
        <f>IFERROR(VLOOKUP(D6158,'[1]Перечень товаров'!$A$2:$I9525,3,0),"")</f>
        <v>прочее муз</v>
      </c>
      <c r="D6158" s="29" t="s">
        <v>1136</v>
      </c>
      <c r="E6158" s="30"/>
      <c r="F6158" s="30"/>
      <c r="G6158" s="31">
        <v>1</v>
      </c>
      <c r="H6158" s="31"/>
      <c r="I6158" s="32"/>
      <c r="J6158" s="32"/>
      <c r="K6158" s="19"/>
      <c r="L6158" s="20"/>
    </row>
    <row r="6159" spans="1:12" outlineLevel="2">
      <c r="A6159" s="28"/>
      <c r="B6159" s="12" t="str">
        <f>IFERROR(VLOOKUP(D6159,'[1]Перечень товаров'!$A$2:$I9525,2,0),"")</f>
        <v>пм108</v>
      </c>
      <c r="C6159" s="12" t="str">
        <f>IFERROR(VLOOKUP(D6159,'[1]Перечень товаров'!$A$2:$I9525,3,0),"")</f>
        <v>прочее муз</v>
      </c>
      <c r="D6159" s="29" t="s">
        <v>1689</v>
      </c>
      <c r="E6159" s="30"/>
      <c r="F6159" s="30"/>
      <c r="G6159" s="31">
        <v>1</v>
      </c>
      <c r="H6159" s="31"/>
      <c r="I6159" s="32"/>
      <c r="J6159" s="32"/>
      <c r="K6159" s="19"/>
      <c r="L6159" s="20"/>
    </row>
    <row r="6160" spans="1:12" ht="15" outlineLevel="2">
      <c r="A6160" s="54"/>
      <c r="B6160" s="12" t="str">
        <f>IFERROR(VLOOKUP(D6160,'[1]Перечень товаров'!$A$2:$I9525,2,0),"")</f>
        <v/>
      </c>
      <c r="C6160" s="12" t="str">
        <f>IFERROR(VLOOKUP(D6160,'[1]Перечень товаров'!$A$2:$I9525,3,0),"")</f>
        <v/>
      </c>
      <c r="D6160" s="55" t="s">
        <v>45</v>
      </c>
      <c r="E6160" s="56"/>
      <c r="F6160" s="56"/>
      <c r="G6160" s="17"/>
      <c r="H6160" s="17"/>
      <c r="I6160" s="57"/>
      <c r="J6160" s="57"/>
      <c r="K6160" s="19"/>
      <c r="L6160" s="20"/>
    </row>
    <row r="6161" spans="1:12" outlineLevel="2">
      <c r="A6161" s="21"/>
      <c r="B6161" s="12" t="str">
        <f>IFERROR(VLOOKUP(D6161,'[1]Перечень товаров'!$A$2:$I9525,2,0),"")</f>
        <v>п2</v>
      </c>
      <c r="C6161" s="12" t="str">
        <f>IFERROR(VLOOKUP(D6161,'[1]Перечень товаров'!$A$2:$I9525,3,0),"")</f>
        <v>Прочее</v>
      </c>
      <c r="D6161" s="22" t="s">
        <v>46</v>
      </c>
      <c r="E6161" s="58"/>
      <c r="F6161" s="58"/>
      <c r="G6161" s="24">
        <v>1</v>
      </c>
      <c r="H6161" s="24"/>
      <c r="I6161" s="25"/>
      <c r="J6161" s="25"/>
      <c r="K6161" s="19"/>
      <c r="L6161" s="20"/>
    </row>
    <row r="6162" spans="1:12" outlineLevel="2">
      <c r="A6162" s="43"/>
      <c r="B6162" s="12" t="str">
        <f>IFERROR(VLOOKUP(D6162,'[1]Перечень товаров'!$A$2:$I9525,2,0),"")</f>
        <v>м7</v>
      </c>
      <c r="C6162" s="12" t="str">
        <f>IFERROR(VLOOKUP(D6162,'[1]Перечень товаров'!$A$2:$I9525,3,0),"")</f>
        <v>Мебель</v>
      </c>
      <c r="D6162" s="44" t="s">
        <v>24</v>
      </c>
      <c r="E6162" s="30"/>
      <c r="F6162" s="30"/>
      <c r="G6162" s="59">
        <v>1</v>
      </c>
      <c r="H6162" s="59"/>
      <c r="I6162" s="60"/>
      <c r="J6162" s="60"/>
      <c r="K6162" s="19"/>
      <c r="L6162" s="20"/>
    </row>
    <row r="6163" spans="1:12" outlineLevel="2">
      <c r="A6163" s="43"/>
      <c r="B6163" s="12" t="str">
        <f>IFERROR(VLOOKUP(D6163,'[1]Перечень товаров'!$A$2:$I9525,2,0),"")</f>
        <v>п1</v>
      </c>
      <c r="C6163" s="12" t="str">
        <f>IFERROR(VLOOKUP(D6163,'[1]Перечень товаров'!$A$2:$I9525,3,0),"")</f>
        <v>Прочее</v>
      </c>
      <c r="D6163" s="44" t="s">
        <v>37</v>
      </c>
      <c r="E6163" s="30"/>
      <c r="F6163" s="30"/>
      <c r="G6163" s="59">
        <v>1</v>
      </c>
      <c r="H6163" s="59"/>
      <c r="I6163" s="60"/>
      <c r="J6163" s="60"/>
      <c r="K6163" s="19"/>
      <c r="L6163" s="20"/>
    </row>
    <row r="6164" spans="1:12" ht="12.75" outlineLevel="1">
      <c r="A6164" s="89"/>
      <c r="B6164" s="12" t="str">
        <f>IFERROR(VLOOKUP(D6164,'[1]Перечень товаров'!$A$2:$I9525,2,0),"")</f>
        <v/>
      </c>
      <c r="C6164" s="12" t="str">
        <f>IFERROR(VLOOKUP(D6164,'[1]Перечень товаров'!$A$2:$I9525,3,0),"")</f>
        <v/>
      </c>
      <c r="D6164" s="90" t="s">
        <v>1686</v>
      </c>
      <c r="E6164" s="108">
        <v>46194</v>
      </c>
      <c r="F6164" s="108"/>
      <c r="G6164" s="100"/>
      <c r="H6164" s="100"/>
      <c r="I6164" s="101"/>
      <c r="J6164" s="101"/>
      <c r="K6164" s="19"/>
      <c r="L6164" s="20"/>
    </row>
    <row r="6165" spans="1:12" ht="15" outlineLevel="2">
      <c r="A6165" s="109"/>
      <c r="B6165" s="12" t="str">
        <f>IFERROR(VLOOKUP(D6165,'[1]Перечень товаров'!$A$2:$I9525,2,0),"")</f>
        <v/>
      </c>
      <c r="C6165" s="12" t="str">
        <f>IFERROR(VLOOKUP(D6165,'[1]Перечень товаров'!$A$2:$I9525,3,0),"")</f>
        <v/>
      </c>
      <c r="D6165" s="110" t="s">
        <v>27</v>
      </c>
      <c r="E6165" s="56"/>
      <c r="F6165" s="56"/>
      <c r="G6165" s="111"/>
      <c r="H6165" s="111"/>
      <c r="I6165" s="112"/>
      <c r="J6165" s="112"/>
      <c r="K6165" s="19"/>
      <c r="L6165" s="20"/>
    </row>
    <row r="6166" spans="1:12" outlineLevel="2">
      <c r="A6166" s="21"/>
      <c r="B6166" s="12" t="str">
        <f>IFERROR(VLOOKUP(D6166,'[1]Перечень товаров'!$A$2:$I9525,2,0),"")</f>
        <v>т1</v>
      </c>
      <c r="C6166" s="12" t="str">
        <f>IFERROR(VLOOKUP(D6166,'[1]Перечень товаров'!$A$2:$I9525,3,0),"")</f>
        <v xml:space="preserve">Техника </v>
      </c>
      <c r="D6166" s="22" t="s">
        <v>28</v>
      </c>
      <c r="E6166" s="58"/>
      <c r="F6166" s="58"/>
      <c r="G6166" s="48">
        <v>1</v>
      </c>
      <c r="H6166" s="48"/>
      <c r="I6166" s="49"/>
      <c r="J6166" s="49"/>
      <c r="K6166" s="19"/>
      <c r="L6166" s="20"/>
    </row>
    <row r="6167" spans="1:12" outlineLevel="2">
      <c r="A6167" s="143"/>
      <c r="B6167" s="12" t="str">
        <f>IFERROR(VLOOKUP(D6167,'[1]Перечень товаров'!$A$2:$I9525,2,0),"")</f>
        <v>т9</v>
      </c>
      <c r="C6167" s="12" t="str">
        <f>IFERROR(VLOOKUP(D6167,'[1]Перечень товаров'!$A$2:$I9525,3,0),"")</f>
        <v>Техника</v>
      </c>
      <c r="D6167" s="143" t="s">
        <v>36</v>
      </c>
      <c r="E6167" s="58"/>
      <c r="F6167" s="58"/>
      <c r="G6167" s="48">
        <v>1</v>
      </c>
      <c r="H6167" s="48"/>
      <c r="I6167" s="49"/>
      <c r="J6167" s="49"/>
      <c r="K6167" s="19"/>
      <c r="L6167" s="20"/>
    </row>
    <row r="6168" spans="1:12" outlineLevel="2">
      <c r="A6168" s="35"/>
      <c r="B6168" s="12" t="str">
        <f>IFERROR(VLOOKUP(D6168,'[1]Перечень товаров'!$A$2:$I9525,2,0),"")</f>
        <v>т2</v>
      </c>
      <c r="C6168" s="12" t="str">
        <f>IFERROR(VLOOKUP(D6168,'[1]Перечень товаров'!$A$2:$I9525,3,0),"")</f>
        <v xml:space="preserve">Техника </v>
      </c>
      <c r="D6168" s="35" t="s">
        <v>29</v>
      </c>
      <c r="E6168" s="58"/>
      <c r="F6168" s="58"/>
      <c r="G6168" s="48">
        <v>1</v>
      </c>
      <c r="H6168" s="48"/>
      <c r="I6168" s="49"/>
      <c r="J6168" s="49"/>
      <c r="K6168" s="19"/>
      <c r="L6168" s="20"/>
    </row>
    <row r="6169" spans="1:12" outlineLevel="2">
      <c r="A6169" s="35"/>
      <c r="B6169" s="12" t="str">
        <f>IFERROR(VLOOKUP(D6169,'[1]Перечень товаров'!$A$2:$I9525,2,0),"")</f>
        <v>т3</v>
      </c>
      <c r="C6169" s="12" t="str">
        <f>IFERROR(VLOOKUP(D6169,'[1]Перечень товаров'!$A$2:$I9525,3,0),"")</f>
        <v xml:space="preserve">Техника </v>
      </c>
      <c r="D6169" s="35" t="s">
        <v>30</v>
      </c>
      <c r="E6169" s="58"/>
      <c r="F6169" s="58"/>
      <c r="G6169" s="48">
        <v>1</v>
      </c>
      <c r="H6169" s="48"/>
      <c r="I6169" s="49"/>
      <c r="J6169" s="49"/>
      <c r="K6169" s="19"/>
      <c r="L6169" s="20"/>
    </row>
    <row r="6170" spans="1:12" outlineLevel="2">
      <c r="A6170" s="35"/>
      <c r="B6170" s="12" t="str">
        <f>IFERROR(VLOOKUP(D6170,'[1]Перечень товаров'!$A$2:$I9525,2,0),"")</f>
        <v>т4</v>
      </c>
      <c r="C6170" s="12" t="str">
        <f>IFERROR(VLOOKUP(D6170,'[1]Перечень товаров'!$A$2:$I9525,3,0),"")</f>
        <v xml:space="preserve">Техника </v>
      </c>
      <c r="D6170" s="35" t="s">
        <v>31</v>
      </c>
      <c r="E6170" s="58"/>
      <c r="F6170" s="58"/>
      <c r="G6170" s="48">
        <v>1</v>
      </c>
      <c r="H6170" s="48"/>
      <c r="I6170" s="49"/>
      <c r="J6170" s="49"/>
      <c r="K6170" s="19"/>
      <c r="L6170" s="20"/>
    </row>
    <row r="6171" spans="1:12" outlineLevel="2">
      <c r="A6171" s="21"/>
      <c r="B6171" s="12" t="str">
        <f>IFERROR(VLOOKUP(D6171,'[1]Перечень товаров'!$A$2:$I9525,2,0),"")</f>
        <v>тм65</v>
      </c>
      <c r="C6171" s="12" t="str">
        <f>IFERROR(VLOOKUP(D6171,'[1]Перечень товаров'!$A$2:$I9525,3,0),"")</f>
        <v>Техника муз</v>
      </c>
      <c r="D6171" s="22" t="s">
        <v>380</v>
      </c>
      <c r="E6171" s="58"/>
      <c r="F6171" s="58"/>
      <c r="G6171" s="48">
        <v>1</v>
      </c>
      <c r="H6171" s="48"/>
      <c r="I6171" s="49"/>
      <c r="J6171" s="49"/>
      <c r="K6171" s="19"/>
      <c r="L6171" s="20"/>
    </row>
    <row r="6172" spans="1:12" outlineLevel="2">
      <c r="A6172" s="21"/>
      <c r="B6172" s="12" t="str">
        <f>IFERROR(VLOOKUP(D6172,'[1]Перечень товаров'!$A$2:$I9525,2,0),"")</f>
        <v>т12</v>
      </c>
      <c r="C6172" s="12" t="str">
        <f>IFERROR(VLOOKUP(D6172,'[1]Перечень товаров'!$A$2:$I9525,3,0),"")</f>
        <v>Техника</v>
      </c>
      <c r="D6172" s="22" t="s">
        <v>49</v>
      </c>
      <c r="E6172" s="58"/>
      <c r="F6172" s="58"/>
      <c r="G6172" s="48">
        <v>1</v>
      </c>
      <c r="H6172" s="48"/>
      <c r="I6172" s="49"/>
      <c r="J6172" s="49"/>
      <c r="K6172" s="19"/>
      <c r="L6172" s="20"/>
    </row>
    <row r="6173" spans="1:12" outlineLevel="2">
      <c r="A6173" s="35"/>
      <c r="B6173" s="12" t="str">
        <f>IFERROR(VLOOKUP(D6173,'[1]Перечень товаров'!$A$2:$I9525,2,0),"")</f>
        <v>т6</v>
      </c>
      <c r="C6173" s="12" t="str">
        <f>IFERROR(VLOOKUP(D6173,'[1]Перечень товаров'!$A$2:$I9525,3,0),"")</f>
        <v xml:space="preserve">Техника </v>
      </c>
      <c r="D6173" s="35" t="s">
        <v>33</v>
      </c>
      <c r="E6173" s="58"/>
      <c r="F6173" s="58"/>
      <c r="G6173" s="48">
        <v>1</v>
      </c>
      <c r="H6173" s="48"/>
      <c r="I6173" s="49"/>
      <c r="J6173" s="49"/>
      <c r="K6173" s="19"/>
      <c r="L6173" s="20"/>
    </row>
    <row r="6174" spans="1:12" outlineLevel="2">
      <c r="A6174" s="21"/>
      <c r="B6174" s="12" t="str">
        <f>IFERROR(VLOOKUP(D6174,'[1]Перечень товаров'!$A$2:$I9525,2,0),"")</f>
        <v>т7</v>
      </c>
      <c r="C6174" s="12" t="str">
        <f>IFERROR(VLOOKUP(D6174,'[1]Перечень товаров'!$A$2:$I9525,3,0),"")</f>
        <v xml:space="preserve">Техника </v>
      </c>
      <c r="D6174" s="22" t="s">
        <v>34</v>
      </c>
      <c r="E6174" s="58"/>
      <c r="F6174" s="58"/>
      <c r="G6174" s="48">
        <v>3</v>
      </c>
      <c r="H6174" s="48"/>
      <c r="I6174" s="49"/>
      <c r="J6174" s="49"/>
      <c r="K6174" s="19"/>
      <c r="L6174" s="20"/>
    </row>
    <row r="6175" spans="1:12" outlineLevel="2">
      <c r="A6175" s="28"/>
      <c r="B6175" s="12" t="str">
        <f>IFERROR(VLOOKUP(D6175,'[1]Перечень товаров'!$A$2:$I9525,2,0),"")</f>
        <v>т161</v>
      </c>
      <c r="C6175" s="12" t="str">
        <f>IFERROR(VLOOKUP(D6175,'[1]Перечень товаров'!$A$2:$I9525,3,0),"")</f>
        <v xml:space="preserve">Техника </v>
      </c>
      <c r="D6175" s="29" t="s">
        <v>381</v>
      </c>
      <c r="E6175" s="30"/>
      <c r="F6175" s="30"/>
      <c r="G6175" s="59">
        <v>1</v>
      </c>
      <c r="H6175" s="59"/>
      <c r="I6175" s="60"/>
      <c r="J6175" s="60"/>
      <c r="K6175" s="19"/>
      <c r="L6175" s="20"/>
    </row>
    <row r="6176" spans="1:12" outlineLevel="2">
      <c r="A6176" s="113"/>
      <c r="B6176" s="12" t="str">
        <f>IFERROR(VLOOKUP(D6176,'[1]Перечень товаров'!$A$2:$I9525,2,0),"")</f>
        <v/>
      </c>
      <c r="C6176" s="12" t="str">
        <f>IFERROR(VLOOKUP(D6176,'[1]Перечень товаров'!$A$2:$I9525,3,0),"")</f>
        <v/>
      </c>
      <c r="D6176" s="114" t="s">
        <v>19</v>
      </c>
      <c r="E6176" s="258"/>
      <c r="F6176" s="258"/>
      <c r="G6176" s="59"/>
      <c r="H6176" s="59"/>
      <c r="I6176" s="60"/>
      <c r="J6176" s="60"/>
      <c r="K6176" s="19"/>
      <c r="L6176" s="20"/>
    </row>
    <row r="6177" spans="1:12" outlineLevel="2">
      <c r="A6177" s="34"/>
      <c r="B6177" s="12" t="str">
        <f>IFERROR(VLOOKUP(D6177,'[1]Перечень товаров'!$A$2:$I9525,2,0),"")</f>
        <v>м62</v>
      </c>
      <c r="C6177" s="12" t="str">
        <f>IFERROR(VLOOKUP(D6177,'[1]Перечень товаров'!$A$2:$I9525,3,0),"")</f>
        <v>Мебель</v>
      </c>
      <c r="D6177" s="35" t="s">
        <v>398</v>
      </c>
      <c r="E6177" s="88"/>
      <c r="F6177" s="88"/>
      <c r="G6177" s="59">
        <v>1</v>
      </c>
      <c r="H6177" s="59"/>
      <c r="I6177" s="60"/>
      <c r="J6177" s="60"/>
      <c r="K6177" s="19"/>
      <c r="L6177" s="20"/>
    </row>
    <row r="6178" spans="1:12" outlineLevel="2">
      <c r="A6178" s="34"/>
      <c r="B6178" s="12" t="str">
        <f>IFERROR(VLOOKUP(D6178,'[1]Перечень товаров'!$A$2:$I9525,2,0),"")</f>
        <v>м61</v>
      </c>
      <c r="C6178" s="12" t="str">
        <f>IFERROR(VLOOKUP(D6178,'[1]Перечень товаров'!$A$2:$I9525,3,0),"")</f>
        <v>Мебель</v>
      </c>
      <c r="D6178" s="35" t="s">
        <v>383</v>
      </c>
      <c r="E6178" s="88"/>
      <c r="F6178" s="88"/>
      <c r="G6178" s="59">
        <v>1</v>
      </c>
      <c r="H6178" s="59"/>
      <c r="I6178" s="60"/>
      <c r="J6178" s="60"/>
      <c r="K6178" s="19"/>
      <c r="L6178" s="20"/>
    </row>
    <row r="6179" spans="1:12" outlineLevel="2">
      <c r="A6179" s="34"/>
      <c r="B6179" s="12" t="str">
        <f>IFERROR(VLOOKUP(D6179,'[1]Перечень товаров'!$A$2:$I9525,2,0),"")</f>
        <v>м61</v>
      </c>
      <c r="C6179" s="12" t="str">
        <f>IFERROR(VLOOKUP(D6179,'[1]Перечень товаров'!$A$2:$I9525,3,0),"")</f>
        <v>Мебель</v>
      </c>
      <c r="D6179" s="35" t="s">
        <v>384</v>
      </c>
      <c r="E6179" s="88"/>
      <c r="F6179" s="88"/>
      <c r="G6179" s="59">
        <v>5</v>
      </c>
      <c r="H6179" s="59"/>
      <c r="I6179" s="60"/>
      <c r="J6179" s="60"/>
      <c r="K6179" s="19"/>
      <c r="L6179" s="20"/>
    </row>
    <row r="6180" spans="1:12" outlineLevel="2">
      <c r="A6180" s="21"/>
      <c r="B6180" s="12" t="str">
        <f>IFERROR(VLOOKUP(D6180,'[1]Перечень товаров'!$A$2:$I9525,2,0),"")</f>
        <v>м13</v>
      </c>
      <c r="C6180" s="12" t="str">
        <f>IFERROR(VLOOKUP(D6180,'[1]Перечень товаров'!$A$2:$I9525,3,0),"")</f>
        <v>Мебель</v>
      </c>
      <c r="D6180" s="22" t="s">
        <v>42</v>
      </c>
      <c r="E6180" s="58"/>
      <c r="F6180" s="58"/>
      <c r="G6180" s="24">
        <v>1</v>
      </c>
      <c r="H6180" s="24"/>
      <c r="I6180" s="25"/>
      <c r="J6180" s="25"/>
      <c r="K6180" s="19"/>
      <c r="L6180" s="20"/>
    </row>
    <row r="6181" spans="1:12" outlineLevel="2">
      <c r="A6181" s="21"/>
      <c r="B6181" s="12" t="str">
        <f>IFERROR(VLOOKUP(D6181,'[1]Перечень товаров'!$A$2:$I9525,2,0),"")</f>
        <v>м14</v>
      </c>
      <c r="C6181" s="12" t="str">
        <f>IFERROR(VLOOKUP(D6181,'[1]Перечень товаров'!$A$2:$I9525,3,0),"")</f>
        <v>Мебель</v>
      </c>
      <c r="D6181" s="22" t="s">
        <v>43</v>
      </c>
      <c r="E6181" s="58"/>
      <c r="F6181" s="58"/>
      <c r="G6181" s="24">
        <v>1</v>
      </c>
      <c r="H6181" s="24"/>
      <c r="I6181" s="25"/>
      <c r="J6181" s="25"/>
      <c r="K6181" s="19"/>
      <c r="L6181" s="20"/>
    </row>
    <row r="6182" spans="1:12" ht="15" outlineLevel="2">
      <c r="A6182" s="116"/>
      <c r="B6182" s="12" t="str">
        <f>IFERROR(VLOOKUP(D6182,'[1]Перечень товаров'!$A$2:$I9525,2,0),"")</f>
        <v/>
      </c>
      <c r="C6182" s="12" t="str">
        <f>IFERROR(VLOOKUP(D6182,'[1]Перечень товаров'!$A$2:$I9525,3,0),"")</f>
        <v/>
      </c>
      <c r="D6182" s="117" t="s">
        <v>391</v>
      </c>
      <c r="E6182" s="122"/>
      <c r="F6182" s="122"/>
      <c r="G6182" s="123"/>
      <c r="H6182" s="123"/>
      <c r="I6182" s="124"/>
      <c r="J6182" s="124"/>
      <c r="K6182" s="19"/>
      <c r="L6182" s="20"/>
    </row>
    <row r="6183" spans="1:12" outlineLevel="2">
      <c r="A6183" s="28"/>
      <c r="B6183" s="12" t="str">
        <f>IFERROR(VLOOKUP(D6183,'[1]Перечень товаров'!$A$2:$I9525,2,0),"")</f>
        <v>тм147</v>
      </c>
      <c r="C6183" s="12" t="str">
        <f>IFERROR(VLOOKUP(D6183,'[1]Перечень товаров'!$A$2:$I9525,3,0),"")</f>
        <v>Техника муз</v>
      </c>
      <c r="D6183" s="29" t="s">
        <v>1687</v>
      </c>
      <c r="E6183" s="30"/>
      <c r="F6183" s="30"/>
      <c r="G6183" s="31">
        <v>1</v>
      </c>
      <c r="H6183" s="31"/>
      <c r="I6183" s="32"/>
      <c r="J6183" s="32"/>
      <c r="K6183" s="19"/>
      <c r="L6183" s="20"/>
    </row>
    <row r="6184" spans="1:12" ht="31.5" outlineLevel="2">
      <c r="A6184" s="28"/>
      <c r="B6184" s="12" t="str">
        <f>IFERROR(VLOOKUP(D6184,'[1]Перечень товаров'!$A$2:$I9525,2,0),"")</f>
        <v>тм219</v>
      </c>
      <c r="C6184" s="12" t="str">
        <f>IFERROR(VLOOKUP(D6184,'[1]Перечень товаров'!$A$2:$I9525,3,0),"")</f>
        <v>Техника муз</v>
      </c>
      <c r="D6184" s="29" t="s">
        <v>1000</v>
      </c>
      <c r="E6184" s="30"/>
      <c r="F6184" s="30"/>
      <c r="G6184" s="31">
        <v>1</v>
      </c>
      <c r="H6184" s="31"/>
      <c r="I6184" s="32"/>
      <c r="J6184" s="32"/>
      <c r="K6184" s="19"/>
      <c r="L6184" s="20"/>
    </row>
    <row r="6185" spans="1:12" outlineLevel="2">
      <c r="A6185" s="28"/>
      <c r="B6185" s="12" t="str">
        <f>IFERROR(VLOOKUP(D6185,'[1]Перечень товаров'!$A$2:$I9525,2,0),"")</f>
        <v>м175</v>
      </c>
      <c r="C6185" s="12" t="str">
        <f>IFERROR(VLOOKUP(D6185,'[1]Перечень товаров'!$A$2:$I9525,3,0),"")</f>
        <v>мебель</v>
      </c>
      <c r="D6185" s="29" t="s">
        <v>1001</v>
      </c>
      <c r="E6185" s="30"/>
      <c r="F6185" s="30"/>
      <c r="G6185" s="31">
        <v>2</v>
      </c>
      <c r="H6185" s="31"/>
      <c r="I6185" s="32"/>
      <c r="J6185" s="32"/>
      <c r="K6185" s="19"/>
      <c r="L6185" s="20"/>
    </row>
    <row r="6186" spans="1:12" outlineLevel="2">
      <c r="A6186" s="28"/>
      <c r="B6186" s="12" t="str">
        <f>IFERROR(VLOOKUP(D6186,'[1]Перечень товаров'!$A$2:$I9525,2,0),"")</f>
        <v>д246</v>
      </c>
      <c r="C6186" s="12" t="str">
        <f>IFERROR(VLOOKUP(D6186,'[1]Перечень товаров'!$A$2:$I9525,3,0),"")</f>
        <v>Дидактика</v>
      </c>
      <c r="D6186" s="29" t="s">
        <v>1688</v>
      </c>
      <c r="E6186" s="30"/>
      <c r="F6186" s="30"/>
      <c r="G6186" s="31">
        <v>1</v>
      </c>
      <c r="H6186" s="31"/>
      <c r="I6186" s="32"/>
      <c r="J6186" s="32"/>
      <c r="K6186" s="19"/>
      <c r="L6186" s="20"/>
    </row>
    <row r="6187" spans="1:12" outlineLevel="2">
      <c r="A6187" s="28"/>
      <c r="B6187" s="12" t="str">
        <f>IFERROR(VLOOKUP(D6187,'[1]Перечень товаров'!$A$2:$I9525,2,0),"")</f>
        <v>пм167</v>
      </c>
      <c r="C6187" s="12" t="str">
        <f>IFERROR(VLOOKUP(D6187,'[1]Перечень товаров'!$A$2:$I9525,3,0),"")</f>
        <v>прочее муз</v>
      </c>
      <c r="D6187" s="29" t="s">
        <v>1136</v>
      </c>
      <c r="E6187" s="30"/>
      <c r="F6187" s="30"/>
      <c r="G6187" s="31">
        <v>1</v>
      </c>
      <c r="H6187" s="31"/>
      <c r="I6187" s="32"/>
      <c r="J6187" s="32"/>
      <c r="K6187" s="19"/>
      <c r="L6187" s="20"/>
    </row>
    <row r="6188" spans="1:12" outlineLevel="2">
      <c r="A6188" s="28"/>
      <c r="B6188" s="12" t="str">
        <f>IFERROR(VLOOKUP(D6188,'[1]Перечень товаров'!$A$2:$I9525,2,0),"")</f>
        <v>пм108</v>
      </c>
      <c r="C6188" s="12" t="str">
        <f>IFERROR(VLOOKUP(D6188,'[1]Перечень товаров'!$A$2:$I9525,3,0),"")</f>
        <v>прочее муз</v>
      </c>
      <c r="D6188" s="29" t="s">
        <v>1689</v>
      </c>
      <c r="E6188" s="30"/>
      <c r="F6188" s="30"/>
      <c r="G6188" s="31">
        <v>1</v>
      </c>
      <c r="H6188" s="31"/>
      <c r="I6188" s="32"/>
      <c r="J6188" s="32"/>
      <c r="K6188" s="19"/>
      <c r="L6188" s="20"/>
    </row>
    <row r="6189" spans="1:12" ht="15" outlineLevel="2">
      <c r="A6189" s="54"/>
      <c r="B6189" s="12" t="str">
        <f>IFERROR(VLOOKUP(D6189,'[1]Перечень товаров'!$A$2:$I9525,2,0),"")</f>
        <v/>
      </c>
      <c r="C6189" s="12" t="str">
        <f>IFERROR(VLOOKUP(D6189,'[1]Перечень товаров'!$A$2:$I9525,3,0),"")</f>
        <v/>
      </c>
      <c r="D6189" s="55" t="s">
        <v>45</v>
      </c>
      <c r="E6189" s="56"/>
      <c r="F6189" s="56"/>
      <c r="G6189" s="17"/>
      <c r="H6189" s="17"/>
      <c r="I6189" s="57"/>
      <c r="J6189" s="57"/>
      <c r="K6189" s="19"/>
      <c r="L6189" s="20"/>
    </row>
    <row r="6190" spans="1:12" outlineLevel="2">
      <c r="A6190" s="21"/>
      <c r="B6190" s="12" t="str">
        <f>IFERROR(VLOOKUP(D6190,'[1]Перечень товаров'!$A$2:$I9525,2,0),"")</f>
        <v>п2</v>
      </c>
      <c r="C6190" s="12" t="str">
        <f>IFERROR(VLOOKUP(D6190,'[1]Перечень товаров'!$A$2:$I9525,3,0),"")</f>
        <v>Прочее</v>
      </c>
      <c r="D6190" s="22" t="s">
        <v>46</v>
      </c>
      <c r="E6190" s="58"/>
      <c r="F6190" s="58"/>
      <c r="G6190" s="24">
        <v>1</v>
      </c>
      <c r="H6190" s="24"/>
      <c r="I6190" s="25"/>
      <c r="J6190" s="25"/>
      <c r="K6190" s="19"/>
      <c r="L6190" s="20"/>
    </row>
    <row r="6191" spans="1:12" outlineLevel="2">
      <c r="A6191" s="43"/>
      <c r="B6191" s="12" t="str">
        <f>IFERROR(VLOOKUP(D6191,'[1]Перечень товаров'!$A$2:$I9525,2,0),"")</f>
        <v>м7</v>
      </c>
      <c r="C6191" s="12" t="str">
        <f>IFERROR(VLOOKUP(D6191,'[1]Перечень товаров'!$A$2:$I9525,3,0),"")</f>
        <v>Мебель</v>
      </c>
      <c r="D6191" s="44" t="s">
        <v>24</v>
      </c>
      <c r="E6191" s="30"/>
      <c r="F6191" s="30"/>
      <c r="G6191" s="59">
        <v>1</v>
      </c>
      <c r="H6191" s="59"/>
      <c r="I6191" s="60"/>
      <c r="J6191" s="60"/>
      <c r="K6191" s="19"/>
      <c r="L6191" s="20"/>
    </row>
    <row r="6192" spans="1:12" outlineLevel="2">
      <c r="A6192" s="43"/>
      <c r="B6192" s="12" t="str">
        <f>IFERROR(VLOOKUP(D6192,'[1]Перечень товаров'!$A$2:$I9525,2,0),"")</f>
        <v>п1</v>
      </c>
      <c r="C6192" s="12" t="str">
        <f>IFERROR(VLOOKUP(D6192,'[1]Перечень товаров'!$A$2:$I9525,3,0),"")</f>
        <v>Прочее</v>
      </c>
      <c r="D6192" s="44" t="s">
        <v>37</v>
      </c>
      <c r="E6192" s="30"/>
      <c r="F6192" s="30"/>
      <c r="G6192" s="59">
        <v>1</v>
      </c>
      <c r="H6192" s="59"/>
      <c r="I6192" s="60"/>
      <c r="J6192" s="60"/>
      <c r="K6192" s="19"/>
      <c r="L6192" s="20"/>
    </row>
    <row r="6193" spans="1:12" ht="12.75" outlineLevel="1">
      <c r="A6193" s="89"/>
      <c r="B6193" s="12" t="str">
        <f>IFERROR(VLOOKUP(D6193,'[1]Перечень товаров'!$A$2:$I9525,2,0),"")</f>
        <v/>
      </c>
      <c r="C6193" s="12" t="str">
        <f>IFERROR(VLOOKUP(D6193,'[1]Перечень товаров'!$A$2:$I9525,3,0),"")</f>
        <v/>
      </c>
      <c r="D6193" s="90" t="s">
        <v>1686</v>
      </c>
      <c r="E6193" s="108">
        <v>46194</v>
      </c>
      <c r="F6193" s="108"/>
      <c r="G6193" s="100"/>
      <c r="H6193" s="100"/>
      <c r="I6193" s="101"/>
      <c r="J6193" s="101"/>
      <c r="K6193" s="19"/>
      <c r="L6193" s="20"/>
    </row>
    <row r="6194" spans="1:12" ht="15" outlineLevel="2">
      <c r="A6194" s="109"/>
      <c r="B6194" s="12" t="str">
        <f>IFERROR(VLOOKUP(D6194,'[1]Перечень товаров'!$A$2:$I9525,2,0),"")</f>
        <v/>
      </c>
      <c r="C6194" s="12" t="str">
        <f>IFERROR(VLOOKUP(D6194,'[1]Перечень товаров'!$A$2:$I9525,3,0),"")</f>
        <v/>
      </c>
      <c r="D6194" s="110" t="s">
        <v>27</v>
      </c>
      <c r="E6194" s="56"/>
      <c r="F6194" s="56"/>
      <c r="G6194" s="111"/>
      <c r="H6194" s="111"/>
      <c r="I6194" s="112"/>
      <c r="J6194" s="112"/>
      <c r="K6194" s="19"/>
      <c r="L6194" s="20"/>
    </row>
    <row r="6195" spans="1:12" outlineLevel="2">
      <c r="A6195" s="21"/>
      <c r="B6195" s="12" t="str">
        <f>IFERROR(VLOOKUP(D6195,'[1]Перечень товаров'!$A$2:$I9525,2,0),"")</f>
        <v>т1</v>
      </c>
      <c r="C6195" s="12" t="str">
        <f>IFERROR(VLOOKUP(D6195,'[1]Перечень товаров'!$A$2:$I9525,3,0),"")</f>
        <v xml:space="preserve">Техника </v>
      </c>
      <c r="D6195" s="22" t="s">
        <v>28</v>
      </c>
      <c r="E6195" s="58"/>
      <c r="F6195" s="58"/>
      <c r="G6195" s="48">
        <v>1</v>
      </c>
      <c r="H6195" s="48"/>
      <c r="I6195" s="49"/>
      <c r="J6195" s="49"/>
      <c r="K6195" s="19"/>
      <c r="L6195" s="20"/>
    </row>
    <row r="6196" spans="1:12" outlineLevel="2">
      <c r="A6196" s="143"/>
      <c r="B6196" s="12" t="str">
        <f>IFERROR(VLOOKUP(D6196,'[1]Перечень товаров'!$A$2:$I9525,2,0),"")</f>
        <v>т9</v>
      </c>
      <c r="C6196" s="12" t="str">
        <f>IFERROR(VLOOKUP(D6196,'[1]Перечень товаров'!$A$2:$I9525,3,0),"")</f>
        <v>Техника</v>
      </c>
      <c r="D6196" s="143" t="s">
        <v>36</v>
      </c>
      <c r="E6196" s="58"/>
      <c r="F6196" s="58"/>
      <c r="G6196" s="48">
        <v>1</v>
      </c>
      <c r="H6196" s="48"/>
      <c r="I6196" s="49"/>
      <c r="J6196" s="49"/>
      <c r="K6196" s="19"/>
      <c r="L6196" s="20"/>
    </row>
    <row r="6197" spans="1:12" outlineLevel="2">
      <c r="A6197" s="35"/>
      <c r="B6197" s="12" t="str">
        <f>IFERROR(VLOOKUP(D6197,'[1]Перечень товаров'!$A$2:$I9525,2,0),"")</f>
        <v>т2</v>
      </c>
      <c r="C6197" s="12" t="str">
        <f>IFERROR(VLOOKUP(D6197,'[1]Перечень товаров'!$A$2:$I9525,3,0),"")</f>
        <v xml:space="preserve">Техника </v>
      </c>
      <c r="D6197" s="35" t="s">
        <v>29</v>
      </c>
      <c r="E6197" s="58"/>
      <c r="F6197" s="58"/>
      <c r="G6197" s="48">
        <v>1</v>
      </c>
      <c r="H6197" s="48"/>
      <c r="I6197" s="49"/>
      <c r="J6197" s="49"/>
      <c r="K6197" s="19"/>
      <c r="L6197" s="20"/>
    </row>
    <row r="6198" spans="1:12" outlineLevel="2">
      <c r="A6198" s="35"/>
      <c r="B6198" s="12" t="str">
        <f>IFERROR(VLOOKUP(D6198,'[1]Перечень товаров'!$A$2:$I9525,2,0),"")</f>
        <v>т3</v>
      </c>
      <c r="C6198" s="12" t="str">
        <f>IFERROR(VLOOKUP(D6198,'[1]Перечень товаров'!$A$2:$I9525,3,0),"")</f>
        <v xml:space="preserve">Техника </v>
      </c>
      <c r="D6198" s="35" t="s">
        <v>30</v>
      </c>
      <c r="E6198" s="58"/>
      <c r="F6198" s="58"/>
      <c r="G6198" s="48">
        <v>1</v>
      </c>
      <c r="H6198" s="48"/>
      <c r="I6198" s="49"/>
      <c r="J6198" s="49"/>
      <c r="K6198" s="19"/>
      <c r="L6198" s="20"/>
    </row>
    <row r="6199" spans="1:12" outlineLevel="2">
      <c r="A6199" s="35"/>
      <c r="B6199" s="12" t="str">
        <f>IFERROR(VLOOKUP(D6199,'[1]Перечень товаров'!$A$2:$I9525,2,0),"")</f>
        <v>т4</v>
      </c>
      <c r="C6199" s="12" t="str">
        <f>IFERROR(VLOOKUP(D6199,'[1]Перечень товаров'!$A$2:$I9525,3,0),"")</f>
        <v xml:space="preserve">Техника </v>
      </c>
      <c r="D6199" s="35" t="s">
        <v>31</v>
      </c>
      <c r="E6199" s="58"/>
      <c r="F6199" s="58"/>
      <c r="G6199" s="48">
        <v>1</v>
      </c>
      <c r="H6199" s="48"/>
      <c r="I6199" s="49"/>
      <c r="J6199" s="49"/>
      <c r="K6199" s="19"/>
      <c r="L6199" s="20"/>
    </row>
    <row r="6200" spans="1:12" outlineLevel="2">
      <c r="A6200" s="21"/>
      <c r="B6200" s="12" t="str">
        <f>IFERROR(VLOOKUP(D6200,'[1]Перечень товаров'!$A$2:$I9525,2,0),"")</f>
        <v>тм65</v>
      </c>
      <c r="C6200" s="12" t="str">
        <f>IFERROR(VLOOKUP(D6200,'[1]Перечень товаров'!$A$2:$I9525,3,0),"")</f>
        <v>Техника муз</v>
      </c>
      <c r="D6200" s="22" t="s">
        <v>380</v>
      </c>
      <c r="E6200" s="58"/>
      <c r="F6200" s="58"/>
      <c r="G6200" s="48">
        <v>1</v>
      </c>
      <c r="H6200" s="48"/>
      <c r="I6200" s="49"/>
      <c r="J6200" s="49"/>
      <c r="K6200" s="19"/>
      <c r="L6200" s="20"/>
    </row>
    <row r="6201" spans="1:12" outlineLevel="2">
      <c r="A6201" s="21"/>
      <c r="B6201" s="12" t="str">
        <f>IFERROR(VLOOKUP(D6201,'[1]Перечень товаров'!$A$2:$I9525,2,0),"")</f>
        <v>т12</v>
      </c>
      <c r="C6201" s="12" t="str">
        <f>IFERROR(VLOOKUP(D6201,'[1]Перечень товаров'!$A$2:$I9525,3,0),"")</f>
        <v>Техника</v>
      </c>
      <c r="D6201" s="22" t="s">
        <v>49</v>
      </c>
      <c r="E6201" s="58"/>
      <c r="F6201" s="58"/>
      <c r="G6201" s="48">
        <v>1</v>
      </c>
      <c r="H6201" s="48"/>
      <c r="I6201" s="49"/>
      <c r="J6201" s="49"/>
      <c r="K6201" s="19"/>
      <c r="L6201" s="20"/>
    </row>
    <row r="6202" spans="1:12" outlineLevel="2">
      <c r="A6202" s="35"/>
      <c r="B6202" s="12" t="str">
        <f>IFERROR(VLOOKUP(D6202,'[1]Перечень товаров'!$A$2:$I9525,2,0),"")</f>
        <v>т6</v>
      </c>
      <c r="C6202" s="12" t="str">
        <f>IFERROR(VLOOKUP(D6202,'[1]Перечень товаров'!$A$2:$I9525,3,0),"")</f>
        <v xml:space="preserve">Техника </v>
      </c>
      <c r="D6202" s="35" t="s">
        <v>33</v>
      </c>
      <c r="E6202" s="58"/>
      <c r="F6202" s="58"/>
      <c r="G6202" s="48">
        <v>1</v>
      </c>
      <c r="H6202" s="48"/>
      <c r="I6202" s="49"/>
      <c r="J6202" s="49"/>
      <c r="K6202" s="19"/>
      <c r="L6202" s="20"/>
    </row>
    <row r="6203" spans="1:12" outlineLevel="2">
      <c r="A6203" s="21"/>
      <c r="B6203" s="12" t="str">
        <f>IFERROR(VLOOKUP(D6203,'[1]Перечень товаров'!$A$2:$I9525,2,0),"")</f>
        <v>т7</v>
      </c>
      <c r="C6203" s="12" t="str">
        <f>IFERROR(VLOOKUP(D6203,'[1]Перечень товаров'!$A$2:$I9525,3,0),"")</f>
        <v xml:space="preserve">Техника </v>
      </c>
      <c r="D6203" s="22" t="s">
        <v>34</v>
      </c>
      <c r="E6203" s="58"/>
      <c r="F6203" s="58"/>
      <c r="G6203" s="48">
        <v>3</v>
      </c>
      <c r="H6203" s="48"/>
      <c r="I6203" s="49"/>
      <c r="J6203" s="49"/>
      <c r="K6203" s="19"/>
      <c r="L6203" s="20"/>
    </row>
    <row r="6204" spans="1:12" outlineLevel="2">
      <c r="A6204" s="28"/>
      <c r="B6204" s="12" t="str">
        <f>IFERROR(VLOOKUP(D6204,'[1]Перечень товаров'!$A$2:$I9525,2,0),"")</f>
        <v>т161</v>
      </c>
      <c r="C6204" s="12" t="str">
        <f>IFERROR(VLOOKUP(D6204,'[1]Перечень товаров'!$A$2:$I9525,3,0),"")</f>
        <v xml:space="preserve">Техника </v>
      </c>
      <c r="D6204" s="29" t="s">
        <v>381</v>
      </c>
      <c r="E6204" s="30"/>
      <c r="F6204" s="30"/>
      <c r="G6204" s="59">
        <v>1</v>
      </c>
      <c r="H6204" s="59"/>
      <c r="I6204" s="60"/>
      <c r="J6204" s="60"/>
      <c r="K6204" s="19"/>
      <c r="L6204" s="20"/>
    </row>
    <row r="6205" spans="1:12" outlineLevel="2">
      <c r="A6205" s="113"/>
      <c r="B6205" s="12" t="str">
        <f>IFERROR(VLOOKUP(D6205,'[1]Перечень товаров'!$A$2:$I9525,2,0),"")</f>
        <v/>
      </c>
      <c r="C6205" s="12" t="str">
        <f>IFERROR(VLOOKUP(D6205,'[1]Перечень товаров'!$A$2:$I9525,3,0),"")</f>
        <v/>
      </c>
      <c r="D6205" s="114" t="s">
        <v>19</v>
      </c>
      <c r="E6205" s="258"/>
      <c r="F6205" s="258"/>
      <c r="G6205" s="59"/>
      <c r="H6205" s="59"/>
      <c r="I6205" s="60"/>
      <c r="J6205" s="60"/>
      <c r="K6205" s="19"/>
      <c r="L6205" s="20"/>
    </row>
    <row r="6206" spans="1:12" outlineLevel="2">
      <c r="A6206" s="34"/>
      <c r="B6206" s="12" t="str">
        <f>IFERROR(VLOOKUP(D6206,'[1]Перечень товаров'!$A$2:$I9525,2,0),"")</f>
        <v>м62</v>
      </c>
      <c r="C6206" s="12" t="str">
        <f>IFERROR(VLOOKUP(D6206,'[1]Перечень товаров'!$A$2:$I9525,3,0),"")</f>
        <v>Мебель</v>
      </c>
      <c r="D6206" s="35" t="s">
        <v>398</v>
      </c>
      <c r="E6206" s="88"/>
      <c r="F6206" s="88"/>
      <c r="G6206" s="59">
        <v>1</v>
      </c>
      <c r="H6206" s="59"/>
      <c r="I6206" s="60"/>
      <c r="J6206" s="60"/>
      <c r="K6206" s="19"/>
      <c r="L6206" s="20"/>
    </row>
    <row r="6207" spans="1:12" outlineLevel="2">
      <c r="A6207" s="34"/>
      <c r="B6207" s="12" t="str">
        <f>IFERROR(VLOOKUP(D6207,'[1]Перечень товаров'!$A$2:$I9525,2,0),"")</f>
        <v>м61</v>
      </c>
      <c r="C6207" s="12" t="str">
        <f>IFERROR(VLOOKUP(D6207,'[1]Перечень товаров'!$A$2:$I9525,3,0),"")</f>
        <v>Мебель</v>
      </c>
      <c r="D6207" s="35" t="s">
        <v>383</v>
      </c>
      <c r="E6207" s="88"/>
      <c r="F6207" s="88"/>
      <c r="G6207" s="59">
        <v>1</v>
      </c>
      <c r="H6207" s="59"/>
      <c r="I6207" s="60"/>
      <c r="J6207" s="60"/>
      <c r="K6207" s="19"/>
      <c r="L6207" s="20"/>
    </row>
    <row r="6208" spans="1:12" outlineLevel="2">
      <c r="A6208" s="34"/>
      <c r="B6208" s="12" t="str">
        <f>IFERROR(VLOOKUP(D6208,'[1]Перечень товаров'!$A$2:$I9525,2,0),"")</f>
        <v>м61</v>
      </c>
      <c r="C6208" s="12" t="str">
        <f>IFERROR(VLOOKUP(D6208,'[1]Перечень товаров'!$A$2:$I9525,3,0),"")</f>
        <v>Мебель</v>
      </c>
      <c r="D6208" s="35" t="s">
        <v>384</v>
      </c>
      <c r="E6208" s="88"/>
      <c r="F6208" s="88"/>
      <c r="G6208" s="59">
        <v>5</v>
      </c>
      <c r="H6208" s="59"/>
      <c r="I6208" s="60"/>
      <c r="J6208" s="60"/>
      <c r="K6208" s="19"/>
      <c r="L6208" s="20"/>
    </row>
    <row r="6209" spans="1:12" outlineLevel="2">
      <c r="A6209" s="21"/>
      <c r="B6209" s="12" t="str">
        <f>IFERROR(VLOOKUP(D6209,'[1]Перечень товаров'!$A$2:$I9525,2,0),"")</f>
        <v>м13</v>
      </c>
      <c r="C6209" s="12" t="str">
        <f>IFERROR(VLOOKUP(D6209,'[1]Перечень товаров'!$A$2:$I9525,3,0),"")</f>
        <v>Мебель</v>
      </c>
      <c r="D6209" s="22" t="s">
        <v>42</v>
      </c>
      <c r="E6209" s="58"/>
      <c r="F6209" s="58"/>
      <c r="G6209" s="24">
        <v>1</v>
      </c>
      <c r="H6209" s="24"/>
      <c r="I6209" s="25"/>
      <c r="J6209" s="25"/>
      <c r="K6209" s="19"/>
      <c r="L6209" s="20"/>
    </row>
    <row r="6210" spans="1:12" outlineLevel="2">
      <c r="A6210" s="21"/>
      <c r="B6210" s="12" t="str">
        <f>IFERROR(VLOOKUP(D6210,'[1]Перечень товаров'!$A$2:$I9525,2,0),"")</f>
        <v>м14</v>
      </c>
      <c r="C6210" s="12" t="str">
        <f>IFERROR(VLOOKUP(D6210,'[1]Перечень товаров'!$A$2:$I9525,3,0),"")</f>
        <v>Мебель</v>
      </c>
      <c r="D6210" s="22" t="s">
        <v>43</v>
      </c>
      <c r="E6210" s="58"/>
      <c r="F6210" s="58"/>
      <c r="G6210" s="24">
        <v>1</v>
      </c>
      <c r="H6210" s="24"/>
      <c r="I6210" s="25"/>
      <c r="J6210" s="25"/>
      <c r="K6210" s="19"/>
      <c r="L6210" s="20"/>
    </row>
    <row r="6211" spans="1:12" ht="15" outlineLevel="2">
      <c r="A6211" s="116"/>
      <c r="B6211" s="12" t="str">
        <f>IFERROR(VLOOKUP(D6211,'[1]Перечень товаров'!$A$2:$I9525,2,0),"")</f>
        <v/>
      </c>
      <c r="C6211" s="12" t="str">
        <f>IFERROR(VLOOKUP(D6211,'[1]Перечень товаров'!$A$2:$I9525,3,0),"")</f>
        <v/>
      </c>
      <c r="D6211" s="117" t="s">
        <v>391</v>
      </c>
      <c r="E6211" s="122"/>
      <c r="F6211" s="122"/>
      <c r="G6211" s="123"/>
      <c r="H6211" s="123"/>
      <c r="I6211" s="124"/>
      <c r="J6211" s="124"/>
      <c r="K6211" s="19"/>
      <c r="L6211" s="20"/>
    </row>
    <row r="6212" spans="1:12" outlineLevel="2">
      <c r="A6212" s="28"/>
      <c r="B6212" s="12" t="str">
        <f>IFERROR(VLOOKUP(D6212,'[1]Перечень товаров'!$A$2:$I9525,2,0),"")</f>
        <v>тм147</v>
      </c>
      <c r="C6212" s="12" t="str">
        <f>IFERROR(VLOOKUP(D6212,'[1]Перечень товаров'!$A$2:$I9525,3,0),"")</f>
        <v>Техника муз</v>
      </c>
      <c r="D6212" s="29" t="s">
        <v>1687</v>
      </c>
      <c r="E6212" s="30"/>
      <c r="F6212" s="30"/>
      <c r="G6212" s="31">
        <v>1</v>
      </c>
      <c r="H6212" s="31"/>
      <c r="I6212" s="32"/>
      <c r="J6212" s="32"/>
      <c r="K6212" s="19"/>
      <c r="L6212" s="20"/>
    </row>
    <row r="6213" spans="1:12" ht="31.5" outlineLevel="2">
      <c r="A6213" s="28"/>
      <c r="B6213" s="12" t="str">
        <f>IFERROR(VLOOKUP(D6213,'[1]Перечень товаров'!$A$2:$I9525,2,0),"")</f>
        <v>тм219</v>
      </c>
      <c r="C6213" s="12" t="str">
        <f>IFERROR(VLOOKUP(D6213,'[1]Перечень товаров'!$A$2:$I9525,3,0),"")</f>
        <v>Техника муз</v>
      </c>
      <c r="D6213" s="29" t="s">
        <v>1000</v>
      </c>
      <c r="E6213" s="30"/>
      <c r="F6213" s="30"/>
      <c r="G6213" s="31">
        <v>1</v>
      </c>
      <c r="H6213" s="31"/>
      <c r="I6213" s="32"/>
      <c r="J6213" s="32"/>
      <c r="K6213" s="19"/>
      <c r="L6213" s="20"/>
    </row>
    <row r="6214" spans="1:12" outlineLevel="2">
      <c r="A6214" s="28"/>
      <c r="B6214" s="12" t="str">
        <f>IFERROR(VLOOKUP(D6214,'[1]Перечень товаров'!$A$2:$I9525,2,0),"")</f>
        <v>м175</v>
      </c>
      <c r="C6214" s="12" t="str">
        <f>IFERROR(VLOOKUP(D6214,'[1]Перечень товаров'!$A$2:$I9525,3,0),"")</f>
        <v>мебель</v>
      </c>
      <c r="D6214" s="29" t="s">
        <v>1001</v>
      </c>
      <c r="E6214" s="30"/>
      <c r="F6214" s="30"/>
      <c r="G6214" s="31">
        <v>2</v>
      </c>
      <c r="H6214" s="31"/>
      <c r="I6214" s="32"/>
      <c r="J6214" s="32"/>
      <c r="K6214" s="19"/>
      <c r="L6214" s="20"/>
    </row>
    <row r="6215" spans="1:12" outlineLevel="2">
      <c r="A6215" s="28"/>
      <c r="B6215" s="12" t="str">
        <f>IFERROR(VLOOKUP(D6215,'[1]Перечень товаров'!$A$2:$I9525,2,0),"")</f>
        <v>д246</v>
      </c>
      <c r="C6215" s="12" t="str">
        <f>IFERROR(VLOOKUP(D6215,'[1]Перечень товаров'!$A$2:$I9525,3,0),"")</f>
        <v>Дидактика</v>
      </c>
      <c r="D6215" s="29" t="s">
        <v>1688</v>
      </c>
      <c r="E6215" s="30"/>
      <c r="F6215" s="30"/>
      <c r="G6215" s="31">
        <v>1</v>
      </c>
      <c r="H6215" s="31"/>
      <c r="I6215" s="32"/>
      <c r="J6215" s="32"/>
      <c r="K6215" s="19"/>
      <c r="L6215" s="20"/>
    </row>
    <row r="6216" spans="1:12" outlineLevel="2">
      <c r="A6216" s="28"/>
      <c r="B6216" s="12" t="str">
        <f>IFERROR(VLOOKUP(D6216,'[1]Перечень товаров'!$A$2:$I9525,2,0),"")</f>
        <v>пм167</v>
      </c>
      <c r="C6216" s="12" t="str">
        <f>IFERROR(VLOOKUP(D6216,'[1]Перечень товаров'!$A$2:$I9525,3,0),"")</f>
        <v>прочее муз</v>
      </c>
      <c r="D6216" s="29" t="s">
        <v>1136</v>
      </c>
      <c r="E6216" s="30"/>
      <c r="F6216" s="30"/>
      <c r="G6216" s="31">
        <v>1</v>
      </c>
      <c r="H6216" s="31"/>
      <c r="I6216" s="32"/>
      <c r="J6216" s="32"/>
      <c r="K6216" s="19"/>
      <c r="L6216" s="20"/>
    </row>
    <row r="6217" spans="1:12" outlineLevel="2">
      <c r="A6217" s="28"/>
      <c r="B6217" s="12" t="str">
        <f>IFERROR(VLOOKUP(D6217,'[1]Перечень товаров'!$A$2:$I9525,2,0),"")</f>
        <v>пм108</v>
      </c>
      <c r="C6217" s="12" t="str">
        <f>IFERROR(VLOOKUP(D6217,'[1]Перечень товаров'!$A$2:$I9525,3,0),"")</f>
        <v>прочее муз</v>
      </c>
      <c r="D6217" s="29" t="s">
        <v>1689</v>
      </c>
      <c r="E6217" s="30"/>
      <c r="F6217" s="30"/>
      <c r="G6217" s="31">
        <v>1</v>
      </c>
      <c r="H6217" s="31"/>
      <c r="I6217" s="32"/>
      <c r="J6217" s="32"/>
      <c r="K6217" s="19"/>
      <c r="L6217" s="20"/>
    </row>
    <row r="6218" spans="1:12" ht="15" outlineLevel="2">
      <c r="A6218" s="54"/>
      <c r="B6218" s="12" t="str">
        <f>IFERROR(VLOOKUP(D6218,'[1]Перечень товаров'!$A$2:$I9525,2,0),"")</f>
        <v/>
      </c>
      <c r="C6218" s="12" t="str">
        <f>IFERROR(VLOOKUP(D6218,'[1]Перечень товаров'!$A$2:$I9525,3,0),"")</f>
        <v/>
      </c>
      <c r="D6218" s="55" t="s">
        <v>45</v>
      </c>
      <c r="E6218" s="56"/>
      <c r="F6218" s="56"/>
      <c r="G6218" s="17"/>
      <c r="H6218" s="17"/>
      <c r="I6218" s="57"/>
      <c r="J6218" s="57"/>
      <c r="K6218" s="19"/>
      <c r="L6218" s="20"/>
    </row>
    <row r="6219" spans="1:12" outlineLevel="2">
      <c r="A6219" s="21"/>
      <c r="B6219" s="12" t="str">
        <f>IFERROR(VLOOKUP(D6219,'[1]Перечень товаров'!$A$2:$I9525,2,0),"")</f>
        <v>п2</v>
      </c>
      <c r="C6219" s="12" t="str">
        <f>IFERROR(VLOOKUP(D6219,'[1]Перечень товаров'!$A$2:$I9525,3,0),"")</f>
        <v>Прочее</v>
      </c>
      <c r="D6219" s="22" t="s">
        <v>46</v>
      </c>
      <c r="E6219" s="58"/>
      <c r="F6219" s="58"/>
      <c r="G6219" s="24">
        <v>1</v>
      </c>
      <c r="H6219" s="24"/>
      <c r="I6219" s="25"/>
      <c r="J6219" s="25"/>
      <c r="K6219" s="19"/>
      <c r="L6219" s="20"/>
    </row>
    <row r="6220" spans="1:12" outlineLevel="2">
      <c r="A6220" s="43"/>
      <c r="B6220" s="12" t="str">
        <f>IFERROR(VLOOKUP(D6220,'[1]Перечень товаров'!$A$2:$I9525,2,0),"")</f>
        <v>м7</v>
      </c>
      <c r="C6220" s="12" t="str">
        <f>IFERROR(VLOOKUP(D6220,'[1]Перечень товаров'!$A$2:$I9525,3,0),"")</f>
        <v>Мебель</v>
      </c>
      <c r="D6220" s="44" t="s">
        <v>24</v>
      </c>
      <c r="E6220" s="30"/>
      <c r="F6220" s="30"/>
      <c r="G6220" s="59">
        <v>1</v>
      </c>
      <c r="H6220" s="59"/>
      <c r="I6220" s="60"/>
      <c r="J6220" s="60"/>
      <c r="K6220" s="19"/>
      <c r="L6220" s="20"/>
    </row>
    <row r="6221" spans="1:12" outlineLevel="2">
      <c r="A6221" s="43"/>
      <c r="B6221" s="12" t="str">
        <f>IFERROR(VLOOKUP(D6221,'[1]Перечень товаров'!$A$2:$I9525,2,0),"")</f>
        <v>п1</v>
      </c>
      <c r="C6221" s="12" t="str">
        <f>IFERROR(VLOOKUP(D6221,'[1]Перечень товаров'!$A$2:$I9525,3,0),"")</f>
        <v>Прочее</v>
      </c>
      <c r="D6221" s="44" t="s">
        <v>37</v>
      </c>
      <c r="E6221" s="30"/>
      <c r="F6221" s="30"/>
      <c r="G6221" s="59">
        <v>1</v>
      </c>
      <c r="H6221" s="59"/>
      <c r="I6221" s="60"/>
      <c r="J6221" s="60"/>
      <c r="K6221" s="19"/>
      <c r="L6221" s="20"/>
    </row>
    <row r="6222" spans="1:12" ht="12.75" outlineLevel="1">
      <c r="A6222" s="89"/>
      <c r="B6222" s="12" t="str">
        <f>IFERROR(VLOOKUP(D6222,'[1]Перечень товаров'!$A$2:$I9525,2,0),"")</f>
        <v/>
      </c>
      <c r="C6222" s="12" t="str">
        <f>IFERROR(VLOOKUP(D6222,'[1]Перечень товаров'!$A$2:$I9525,3,0),"")</f>
        <v/>
      </c>
      <c r="D6222" s="90" t="s">
        <v>1686</v>
      </c>
      <c r="E6222" s="108">
        <v>46071</v>
      </c>
      <c r="F6222" s="108"/>
      <c r="G6222" s="100"/>
      <c r="H6222" s="100"/>
      <c r="I6222" s="101"/>
      <c r="J6222" s="101"/>
      <c r="K6222" s="19"/>
      <c r="L6222" s="20"/>
    </row>
    <row r="6223" spans="1:12" ht="15" outlineLevel="2">
      <c r="A6223" s="109"/>
      <c r="B6223" s="12" t="str">
        <f>IFERROR(VLOOKUP(D6223,'[1]Перечень товаров'!$A$2:$I9525,2,0),"")</f>
        <v/>
      </c>
      <c r="C6223" s="12" t="str">
        <f>IFERROR(VLOOKUP(D6223,'[1]Перечень товаров'!$A$2:$I9525,3,0),"")</f>
        <v/>
      </c>
      <c r="D6223" s="110" t="s">
        <v>27</v>
      </c>
      <c r="E6223" s="56"/>
      <c r="F6223" s="56"/>
      <c r="G6223" s="111"/>
      <c r="H6223" s="111"/>
      <c r="I6223" s="112"/>
      <c r="J6223" s="112"/>
      <c r="K6223" s="19"/>
      <c r="L6223" s="20"/>
    </row>
    <row r="6224" spans="1:12" outlineLevel="2">
      <c r="A6224" s="21"/>
      <c r="B6224" s="12" t="str">
        <f>IFERROR(VLOOKUP(D6224,'[1]Перечень товаров'!$A$2:$I9525,2,0),"")</f>
        <v>т1</v>
      </c>
      <c r="C6224" s="12" t="str">
        <f>IFERROR(VLOOKUP(D6224,'[1]Перечень товаров'!$A$2:$I9525,3,0),"")</f>
        <v xml:space="preserve">Техника </v>
      </c>
      <c r="D6224" s="22" t="s">
        <v>28</v>
      </c>
      <c r="E6224" s="58"/>
      <c r="F6224" s="58"/>
      <c r="G6224" s="48">
        <v>1</v>
      </c>
      <c r="H6224" s="48"/>
      <c r="I6224" s="49"/>
      <c r="J6224" s="49"/>
      <c r="K6224" s="19"/>
      <c r="L6224" s="20"/>
    </row>
    <row r="6225" spans="1:12" outlineLevel="2">
      <c r="A6225" s="143"/>
      <c r="B6225" s="12" t="str">
        <f>IFERROR(VLOOKUP(D6225,'[1]Перечень товаров'!$A$2:$I9525,2,0),"")</f>
        <v>т9</v>
      </c>
      <c r="C6225" s="12" t="str">
        <f>IFERROR(VLOOKUP(D6225,'[1]Перечень товаров'!$A$2:$I9525,3,0),"")</f>
        <v>Техника</v>
      </c>
      <c r="D6225" s="143" t="s">
        <v>36</v>
      </c>
      <c r="E6225" s="58"/>
      <c r="F6225" s="58"/>
      <c r="G6225" s="48">
        <v>1</v>
      </c>
      <c r="H6225" s="48"/>
      <c r="I6225" s="49"/>
      <c r="J6225" s="49"/>
      <c r="K6225" s="19"/>
      <c r="L6225" s="20"/>
    </row>
    <row r="6226" spans="1:12" outlineLevel="2">
      <c r="A6226" s="35"/>
      <c r="B6226" s="12" t="str">
        <f>IFERROR(VLOOKUP(D6226,'[1]Перечень товаров'!$A$2:$I9525,2,0),"")</f>
        <v>т2</v>
      </c>
      <c r="C6226" s="12" t="str">
        <f>IFERROR(VLOOKUP(D6226,'[1]Перечень товаров'!$A$2:$I9525,3,0),"")</f>
        <v xml:space="preserve">Техника </v>
      </c>
      <c r="D6226" s="35" t="s">
        <v>29</v>
      </c>
      <c r="E6226" s="58"/>
      <c r="F6226" s="58"/>
      <c r="G6226" s="48">
        <v>1</v>
      </c>
      <c r="H6226" s="48"/>
      <c r="I6226" s="49"/>
      <c r="J6226" s="49"/>
      <c r="K6226" s="19"/>
      <c r="L6226" s="20"/>
    </row>
    <row r="6227" spans="1:12" outlineLevel="2">
      <c r="A6227" s="35"/>
      <c r="B6227" s="12" t="str">
        <f>IFERROR(VLOOKUP(D6227,'[1]Перечень товаров'!$A$2:$I9525,2,0),"")</f>
        <v>т3</v>
      </c>
      <c r="C6227" s="12" t="str">
        <f>IFERROR(VLOOKUP(D6227,'[1]Перечень товаров'!$A$2:$I9525,3,0),"")</f>
        <v xml:space="preserve">Техника </v>
      </c>
      <c r="D6227" s="35" t="s">
        <v>30</v>
      </c>
      <c r="E6227" s="58"/>
      <c r="F6227" s="58"/>
      <c r="G6227" s="48">
        <v>1</v>
      </c>
      <c r="H6227" s="48"/>
      <c r="I6227" s="49"/>
      <c r="J6227" s="49"/>
      <c r="K6227" s="19"/>
      <c r="L6227" s="20"/>
    </row>
    <row r="6228" spans="1:12" outlineLevel="2">
      <c r="A6228" s="35"/>
      <c r="B6228" s="12" t="str">
        <f>IFERROR(VLOOKUP(D6228,'[1]Перечень товаров'!$A$2:$I9525,2,0),"")</f>
        <v>т4</v>
      </c>
      <c r="C6228" s="12" t="str">
        <f>IFERROR(VLOOKUP(D6228,'[1]Перечень товаров'!$A$2:$I9525,3,0),"")</f>
        <v xml:space="preserve">Техника </v>
      </c>
      <c r="D6228" s="35" t="s">
        <v>31</v>
      </c>
      <c r="E6228" s="58"/>
      <c r="F6228" s="58"/>
      <c r="G6228" s="48">
        <v>1</v>
      </c>
      <c r="H6228" s="48"/>
      <c r="I6228" s="49"/>
      <c r="J6228" s="49"/>
      <c r="K6228" s="19"/>
      <c r="L6228" s="20"/>
    </row>
    <row r="6229" spans="1:12" outlineLevel="2">
      <c r="A6229" s="21"/>
      <c r="B6229" s="12" t="str">
        <f>IFERROR(VLOOKUP(D6229,'[1]Перечень товаров'!$A$2:$I9525,2,0),"")</f>
        <v>тм65</v>
      </c>
      <c r="C6229" s="12" t="str">
        <f>IFERROR(VLOOKUP(D6229,'[1]Перечень товаров'!$A$2:$I9525,3,0),"")</f>
        <v>Техника муз</v>
      </c>
      <c r="D6229" s="22" t="s">
        <v>380</v>
      </c>
      <c r="E6229" s="58"/>
      <c r="F6229" s="58"/>
      <c r="G6229" s="48">
        <v>1</v>
      </c>
      <c r="H6229" s="48"/>
      <c r="I6229" s="49"/>
      <c r="J6229" s="49"/>
      <c r="K6229" s="19"/>
      <c r="L6229" s="20"/>
    </row>
    <row r="6230" spans="1:12" outlineLevel="2">
      <c r="A6230" s="21"/>
      <c r="B6230" s="12" t="str">
        <f>IFERROR(VLOOKUP(D6230,'[1]Перечень товаров'!$A$2:$I9525,2,0),"")</f>
        <v>т12</v>
      </c>
      <c r="C6230" s="12" t="str">
        <f>IFERROR(VLOOKUP(D6230,'[1]Перечень товаров'!$A$2:$I9525,3,0),"")</f>
        <v>Техника</v>
      </c>
      <c r="D6230" s="22" t="s">
        <v>49</v>
      </c>
      <c r="E6230" s="58"/>
      <c r="F6230" s="58"/>
      <c r="G6230" s="48">
        <v>1</v>
      </c>
      <c r="H6230" s="48"/>
      <c r="I6230" s="49"/>
      <c r="J6230" s="49"/>
      <c r="K6230" s="19"/>
      <c r="L6230" s="20"/>
    </row>
    <row r="6231" spans="1:12" outlineLevel="2">
      <c r="A6231" s="35"/>
      <c r="B6231" s="12" t="str">
        <f>IFERROR(VLOOKUP(D6231,'[1]Перечень товаров'!$A$2:$I9525,2,0),"")</f>
        <v>т6</v>
      </c>
      <c r="C6231" s="12" t="str">
        <f>IFERROR(VLOOKUP(D6231,'[1]Перечень товаров'!$A$2:$I9525,3,0),"")</f>
        <v xml:space="preserve">Техника </v>
      </c>
      <c r="D6231" s="35" t="s">
        <v>33</v>
      </c>
      <c r="E6231" s="58"/>
      <c r="F6231" s="58"/>
      <c r="G6231" s="48">
        <v>1</v>
      </c>
      <c r="H6231" s="48"/>
      <c r="I6231" s="49"/>
      <c r="J6231" s="49"/>
      <c r="K6231" s="19"/>
      <c r="L6231" s="20"/>
    </row>
    <row r="6232" spans="1:12" outlineLevel="2">
      <c r="A6232" s="21"/>
      <c r="B6232" s="12" t="str">
        <f>IFERROR(VLOOKUP(D6232,'[1]Перечень товаров'!$A$2:$I9525,2,0),"")</f>
        <v>т7</v>
      </c>
      <c r="C6232" s="12" t="str">
        <f>IFERROR(VLOOKUP(D6232,'[1]Перечень товаров'!$A$2:$I9525,3,0),"")</f>
        <v xml:space="preserve">Техника </v>
      </c>
      <c r="D6232" s="22" t="s">
        <v>34</v>
      </c>
      <c r="E6232" s="58"/>
      <c r="F6232" s="58"/>
      <c r="G6232" s="48">
        <v>3</v>
      </c>
      <c r="H6232" s="48"/>
      <c r="I6232" s="49"/>
      <c r="J6232" s="49"/>
      <c r="K6232" s="19"/>
      <c r="L6232" s="20"/>
    </row>
    <row r="6233" spans="1:12" outlineLevel="2">
      <c r="A6233" s="28"/>
      <c r="B6233" s="12" t="str">
        <f>IFERROR(VLOOKUP(D6233,'[1]Перечень товаров'!$A$2:$I9525,2,0),"")</f>
        <v>т161</v>
      </c>
      <c r="C6233" s="12" t="str">
        <f>IFERROR(VLOOKUP(D6233,'[1]Перечень товаров'!$A$2:$I9525,3,0),"")</f>
        <v xml:space="preserve">Техника </v>
      </c>
      <c r="D6233" s="29" t="s">
        <v>381</v>
      </c>
      <c r="E6233" s="30"/>
      <c r="F6233" s="30"/>
      <c r="G6233" s="59">
        <v>1</v>
      </c>
      <c r="H6233" s="59"/>
      <c r="I6233" s="60"/>
      <c r="J6233" s="60"/>
      <c r="K6233" s="19"/>
      <c r="L6233" s="20"/>
    </row>
    <row r="6234" spans="1:12" outlineLevel="2">
      <c r="A6234" s="113"/>
      <c r="B6234" s="12" t="str">
        <f>IFERROR(VLOOKUP(D6234,'[1]Перечень товаров'!$A$2:$I9525,2,0),"")</f>
        <v/>
      </c>
      <c r="C6234" s="12" t="str">
        <f>IFERROR(VLOOKUP(D6234,'[1]Перечень товаров'!$A$2:$I9525,3,0),"")</f>
        <v/>
      </c>
      <c r="D6234" s="114" t="s">
        <v>19</v>
      </c>
      <c r="E6234" s="258"/>
      <c r="F6234" s="258"/>
      <c r="G6234" s="59"/>
      <c r="H6234" s="59"/>
      <c r="I6234" s="60"/>
      <c r="J6234" s="60"/>
      <c r="K6234" s="19"/>
      <c r="L6234" s="20"/>
    </row>
    <row r="6235" spans="1:12" outlineLevel="2">
      <c r="A6235" s="34"/>
      <c r="B6235" s="12" t="str">
        <f>IFERROR(VLOOKUP(D6235,'[1]Перечень товаров'!$A$2:$I9525,2,0),"")</f>
        <v>м62</v>
      </c>
      <c r="C6235" s="12" t="str">
        <f>IFERROR(VLOOKUP(D6235,'[1]Перечень товаров'!$A$2:$I9525,3,0),"")</f>
        <v>Мебель</v>
      </c>
      <c r="D6235" s="35" t="s">
        <v>398</v>
      </c>
      <c r="E6235" s="88"/>
      <c r="F6235" s="88"/>
      <c r="G6235" s="59">
        <v>1</v>
      </c>
      <c r="H6235" s="59"/>
      <c r="I6235" s="60"/>
      <c r="J6235" s="60"/>
      <c r="K6235" s="19"/>
      <c r="L6235" s="20"/>
    </row>
    <row r="6236" spans="1:12" outlineLevel="2">
      <c r="A6236" s="34"/>
      <c r="B6236" s="12" t="str">
        <f>IFERROR(VLOOKUP(D6236,'[1]Перечень товаров'!$A$2:$I9525,2,0),"")</f>
        <v>м61</v>
      </c>
      <c r="C6236" s="12" t="str">
        <f>IFERROR(VLOOKUP(D6236,'[1]Перечень товаров'!$A$2:$I9525,3,0),"")</f>
        <v>Мебель</v>
      </c>
      <c r="D6236" s="35" t="s">
        <v>383</v>
      </c>
      <c r="E6236" s="88"/>
      <c r="F6236" s="88"/>
      <c r="G6236" s="59">
        <v>1</v>
      </c>
      <c r="H6236" s="59"/>
      <c r="I6236" s="60"/>
      <c r="J6236" s="60"/>
      <c r="K6236" s="19"/>
      <c r="L6236" s="20"/>
    </row>
    <row r="6237" spans="1:12" outlineLevel="2">
      <c r="A6237" s="34"/>
      <c r="B6237" s="12" t="str">
        <f>IFERROR(VLOOKUP(D6237,'[1]Перечень товаров'!$A$2:$I9525,2,0),"")</f>
        <v>м61</v>
      </c>
      <c r="C6237" s="12" t="str">
        <f>IFERROR(VLOOKUP(D6237,'[1]Перечень товаров'!$A$2:$I9525,3,0),"")</f>
        <v>Мебель</v>
      </c>
      <c r="D6237" s="35" t="s">
        <v>384</v>
      </c>
      <c r="E6237" s="88"/>
      <c r="F6237" s="88"/>
      <c r="G6237" s="59">
        <v>5</v>
      </c>
      <c r="H6237" s="59"/>
      <c r="I6237" s="60"/>
      <c r="J6237" s="60"/>
      <c r="K6237" s="19"/>
      <c r="L6237" s="20"/>
    </row>
    <row r="6238" spans="1:12" outlineLevel="2">
      <c r="A6238" s="21"/>
      <c r="B6238" s="12" t="str">
        <f>IFERROR(VLOOKUP(D6238,'[1]Перечень товаров'!$A$2:$I9525,2,0),"")</f>
        <v>м13</v>
      </c>
      <c r="C6238" s="12" t="str">
        <f>IFERROR(VLOOKUP(D6238,'[1]Перечень товаров'!$A$2:$I9525,3,0),"")</f>
        <v>Мебель</v>
      </c>
      <c r="D6238" s="22" t="s">
        <v>42</v>
      </c>
      <c r="E6238" s="58"/>
      <c r="F6238" s="58"/>
      <c r="G6238" s="24">
        <v>1</v>
      </c>
      <c r="H6238" s="24"/>
      <c r="I6238" s="25"/>
      <c r="J6238" s="25"/>
      <c r="K6238" s="19"/>
      <c r="L6238" s="20"/>
    </row>
    <row r="6239" spans="1:12" outlineLevel="2">
      <c r="A6239" s="21"/>
      <c r="B6239" s="12" t="str">
        <f>IFERROR(VLOOKUP(D6239,'[1]Перечень товаров'!$A$2:$I9525,2,0),"")</f>
        <v>м14</v>
      </c>
      <c r="C6239" s="12" t="str">
        <f>IFERROR(VLOOKUP(D6239,'[1]Перечень товаров'!$A$2:$I9525,3,0),"")</f>
        <v>Мебель</v>
      </c>
      <c r="D6239" s="22" t="s">
        <v>43</v>
      </c>
      <c r="E6239" s="58"/>
      <c r="F6239" s="58"/>
      <c r="G6239" s="24">
        <v>1</v>
      </c>
      <c r="H6239" s="24"/>
      <c r="I6239" s="25"/>
      <c r="J6239" s="25"/>
      <c r="K6239" s="19"/>
      <c r="L6239" s="20"/>
    </row>
    <row r="6240" spans="1:12" ht="15" outlineLevel="2">
      <c r="A6240" s="116"/>
      <c r="B6240" s="12" t="str">
        <f>IFERROR(VLOOKUP(D6240,'[1]Перечень товаров'!$A$2:$I9525,2,0),"")</f>
        <v/>
      </c>
      <c r="C6240" s="12" t="str">
        <f>IFERROR(VLOOKUP(D6240,'[1]Перечень товаров'!$A$2:$I9525,3,0),"")</f>
        <v/>
      </c>
      <c r="D6240" s="117" t="s">
        <v>391</v>
      </c>
      <c r="E6240" s="122"/>
      <c r="F6240" s="122"/>
      <c r="G6240" s="123"/>
      <c r="H6240" s="123"/>
      <c r="I6240" s="124"/>
      <c r="J6240" s="124"/>
      <c r="K6240" s="19"/>
      <c r="L6240" s="20"/>
    </row>
    <row r="6241" spans="1:12" outlineLevel="2">
      <c r="A6241" s="28"/>
      <c r="B6241" s="12" t="str">
        <f>IFERROR(VLOOKUP(D6241,'[1]Перечень товаров'!$A$2:$I9525,2,0),"")</f>
        <v>тм147</v>
      </c>
      <c r="C6241" s="12" t="str">
        <f>IFERROR(VLOOKUP(D6241,'[1]Перечень товаров'!$A$2:$I9525,3,0),"")</f>
        <v>Техника муз</v>
      </c>
      <c r="D6241" s="29" t="s">
        <v>1687</v>
      </c>
      <c r="E6241" s="30"/>
      <c r="F6241" s="30"/>
      <c r="G6241" s="31">
        <v>1</v>
      </c>
      <c r="H6241" s="31"/>
      <c r="I6241" s="32"/>
      <c r="J6241" s="32"/>
      <c r="K6241" s="19"/>
      <c r="L6241" s="20"/>
    </row>
    <row r="6242" spans="1:12" ht="31.5" outlineLevel="2">
      <c r="A6242" s="28"/>
      <c r="B6242" s="12" t="str">
        <f>IFERROR(VLOOKUP(D6242,'[1]Перечень товаров'!$A$2:$I9525,2,0),"")</f>
        <v>тм219</v>
      </c>
      <c r="C6242" s="12" t="str">
        <f>IFERROR(VLOOKUP(D6242,'[1]Перечень товаров'!$A$2:$I9525,3,0),"")</f>
        <v>Техника муз</v>
      </c>
      <c r="D6242" s="29" t="s">
        <v>1000</v>
      </c>
      <c r="E6242" s="30"/>
      <c r="F6242" s="30"/>
      <c r="G6242" s="31">
        <v>1</v>
      </c>
      <c r="H6242" s="31"/>
      <c r="I6242" s="32"/>
      <c r="J6242" s="32"/>
      <c r="K6242" s="19"/>
      <c r="L6242" s="20"/>
    </row>
    <row r="6243" spans="1:12" outlineLevel="2">
      <c r="A6243" s="28"/>
      <c r="B6243" s="12" t="str">
        <f>IFERROR(VLOOKUP(D6243,'[1]Перечень товаров'!$A$2:$I9525,2,0),"")</f>
        <v>м175</v>
      </c>
      <c r="C6243" s="12" t="str">
        <f>IFERROR(VLOOKUP(D6243,'[1]Перечень товаров'!$A$2:$I9525,3,0),"")</f>
        <v>мебель</v>
      </c>
      <c r="D6243" s="29" t="s">
        <v>1001</v>
      </c>
      <c r="E6243" s="30"/>
      <c r="F6243" s="30"/>
      <c r="G6243" s="31">
        <v>2</v>
      </c>
      <c r="H6243" s="31"/>
      <c r="I6243" s="32"/>
      <c r="J6243" s="32"/>
      <c r="K6243" s="19"/>
      <c r="L6243" s="20"/>
    </row>
    <row r="6244" spans="1:12" outlineLevel="2">
      <c r="A6244" s="28"/>
      <c r="B6244" s="12" t="str">
        <f>IFERROR(VLOOKUP(D6244,'[1]Перечень товаров'!$A$2:$I9525,2,0),"")</f>
        <v>д246</v>
      </c>
      <c r="C6244" s="12" t="str">
        <f>IFERROR(VLOOKUP(D6244,'[1]Перечень товаров'!$A$2:$I9525,3,0),"")</f>
        <v>Дидактика</v>
      </c>
      <c r="D6244" s="29" t="s">
        <v>1688</v>
      </c>
      <c r="E6244" s="30"/>
      <c r="F6244" s="30"/>
      <c r="G6244" s="31">
        <v>1</v>
      </c>
      <c r="H6244" s="31"/>
      <c r="I6244" s="32"/>
      <c r="J6244" s="32"/>
      <c r="K6244" s="19"/>
      <c r="L6244" s="20"/>
    </row>
    <row r="6245" spans="1:12" outlineLevel="2">
      <c r="A6245" s="28"/>
      <c r="B6245" s="12" t="str">
        <f>IFERROR(VLOOKUP(D6245,'[1]Перечень товаров'!$A$2:$I9525,2,0),"")</f>
        <v>пм167</v>
      </c>
      <c r="C6245" s="12" t="str">
        <f>IFERROR(VLOOKUP(D6245,'[1]Перечень товаров'!$A$2:$I9525,3,0),"")</f>
        <v>прочее муз</v>
      </c>
      <c r="D6245" s="29" t="s">
        <v>1136</v>
      </c>
      <c r="E6245" s="30"/>
      <c r="F6245" s="30"/>
      <c r="G6245" s="31">
        <v>1</v>
      </c>
      <c r="H6245" s="31"/>
      <c r="I6245" s="32"/>
      <c r="J6245" s="32"/>
      <c r="K6245" s="19"/>
      <c r="L6245" s="20"/>
    </row>
    <row r="6246" spans="1:12" outlineLevel="2">
      <c r="A6246" s="28"/>
      <c r="B6246" s="12" t="str">
        <f>IFERROR(VLOOKUP(D6246,'[1]Перечень товаров'!$A$2:$I9525,2,0),"")</f>
        <v>пм108</v>
      </c>
      <c r="C6246" s="12" t="str">
        <f>IFERROR(VLOOKUP(D6246,'[1]Перечень товаров'!$A$2:$I9525,3,0),"")</f>
        <v>прочее муз</v>
      </c>
      <c r="D6246" s="29" t="s">
        <v>1689</v>
      </c>
      <c r="E6246" s="30"/>
      <c r="F6246" s="30"/>
      <c r="G6246" s="31">
        <v>1</v>
      </c>
      <c r="H6246" s="31"/>
      <c r="I6246" s="32"/>
      <c r="J6246" s="32"/>
      <c r="K6246" s="19"/>
      <c r="L6246" s="20"/>
    </row>
    <row r="6247" spans="1:12" ht="15" outlineLevel="2">
      <c r="A6247" s="54"/>
      <c r="B6247" s="12" t="str">
        <f>IFERROR(VLOOKUP(D6247,'[1]Перечень товаров'!$A$2:$I9525,2,0),"")</f>
        <v/>
      </c>
      <c r="C6247" s="12" t="str">
        <f>IFERROR(VLOOKUP(D6247,'[1]Перечень товаров'!$A$2:$I9525,3,0),"")</f>
        <v/>
      </c>
      <c r="D6247" s="55" t="s">
        <v>45</v>
      </c>
      <c r="E6247" s="56"/>
      <c r="F6247" s="56"/>
      <c r="G6247" s="17"/>
      <c r="H6247" s="17"/>
      <c r="I6247" s="57"/>
      <c r="J6247" s="57"/>
      <c r="K6247" s="19"/>
      <c r="L6247" s="20"/>
    </row>
    <row r="6248" spans="1:12" outlineLevel="2">
      <c r="A6248" s="21"/>
      <c r="B6248" s="12" t="str">
        <f>IFERROR(VLOOKUP(D6248,'[1]Перечень товаров'!$A$2:$I9525,2,0),"")</f>
        <v>п2</v>
      </c>
      <c r="C6248" s="12" t="str">
        <f>IFERROR(VLOOKUP(D6248,'[1]Перечень товаров'!$A$2:$I9525,3,0),"")</f>
        <v>Прочее</v>
      </c>
      <c r="D6248" s="22" t="s">
        <v>46</v>
      </c>
      <c r="E6248" s="58"/>
      <c r="F6248" s="58"/>
      <c r="G6248" s="24">
        <v>1</v>
      </c>
      <c r="H6248" s="24"/>
      <c r="I6248" s="25"/>
      <c r="J6248" s="25"/>
      <c r="K6248" s="19"/>
      <c r="L6248" s="20"/>
    </row>
    <row r="6249" spans="1:12" outlineLevel="2">
      <c r="A6249" s="43"/>
      <c r="B6249" s="12" t="str">
        <f>IFERROR(VLOOKUP(D6249,'[1]Перечень товаров'!$A$2:$I9525,2,0),"")</f>
        <v>м7</v>
      </c>
      <c r="C6249" s="12" t="str">
        <f>IFERROR(VLOOKUP(D6249,'[1]Перечень товаров'!$A$2:$I9525,3,0),"")</f>
        <v>Мебель</v>
      </c>
      <c r="D6249" s="44" t="s">
        <v>24</v>
      </c>
      <c r="E6249" s="30"/>
      <c r="F6249" s="30"/>
      <c r="G6249" s="59">
        <v>1</v>
      </c>
      <c r="H6249" s="59"/>
      <c r="I6249" s="60"/>
      <c r="J6249" s="60"/>
      <c r="K6249" s="19"/>
      <c r="L6249" s="20"/>
    </row>
    <row r="6250" spans="1:12" outlineLevel="2">
      <c r="A6250" s="43"/>
      <c r="B6250" s="12" t="str">
        <f>IFERROR(VLOOKUP(D6250,'[1]Перечень товаров'!$A$2:$I9525,2,0),"")</f>
        <v>п1</v>
      </c>
      <c r="C6250" s="12" t="str">
        <f>IFERROR(VLOOKUP(D6250,'[1]Перечень товаров'!$A$2:$I9525,3,0),"")</f>
        <v>Прочее</v>
      </c>
      <c r="D6250" s="44" t="s">
        <v>37</v>
      </c>
      <c r="E6250" s="30"/>
      <c r="F6250" s="30"/>
      <c r="G6250" s="59">
        <v>1</v>
      </c>
      <c r="H6250" s="59"/>
      <c r="I6250" s="60"/>
      <c r="J6250" s="60"/>
      <c r="K6250" s="19"/>
      <c r="L6250" s="20"/>
    </row>
    <row r="6251" spans="1:12" ht="12.75" outlineLevel="1">
      <c r="A6251" s="11"/>
      <c r="B6251" s="12" t="str">
        <f>IFERROR(VLOOKUP(D6251,'[1]Перечень товаров'!$A$2:$I9525,2,0),"")</f>
        <v/>
      </c>
      <c r="C6251" s="12" t="str">
        <f>IFERROR(VLOOKUP(D6251,'[1]Перечень товаров'!$A$2:$I9525,3,0),"")</f>
        <v/>
      </c>
      <c r="D6251" s="27" t="s">
        <v>1671</v>
      </c>
      <c r="E6251" s="14" t="s">
        <v>1672</v>
      </c>
      <c r="F6251" s="14"/>
      <c r="G6251" s="17"/>
      <c r="H6251" s="17"/>
      <c r="I6251" s="57"/>
      <c r="J6251" s="57"/>
      <c r="K6251" s="19"/>
      <c r="L6251" s="20"/>
    </row>
    <row r="6252" spans="1:12" outlineLevel="2">
      <c r="A6252" s="113"/>
      <c r="B6252" s="12" t="str">
        <f>IFERROR(VLOOKUP(D6252,'[1]Перечень товаров'!$A$2:$I9525,2,0),"")</f>
        <v/>
      </c>
      <c r="C6252" s="12" t="str">
        <f>IFERROR(VLOOKUP(D6252,'[1]Перечень товаров'!$A$2:$I9525,3,0),"")</f>
        <v/>
      </c>
      <c r="D6252" s="114" t="s">
        <v>19</v>
      </c>
      <c r="E6252" s="258"/>
      <c r="F6252" s="258"/>
      <c r="G6252" s="59"/>
      <c r="H6252" s="59"/>
      <c r="I6252" s="60"/>
      <c r="J6252" s="60"/>
      <c r="K6252" s="19"/>
      <c r="L6252" s="20"/>
    </row>
    <row r="6253" spans="1:12" outlineLevel="2">
      <c r="A6253" s="34"/>
      <c r="B6253" s="12" t="str">
        <f>IFERROR(VLOOKUP(D6253,'[1]Перечень товаров'!$A$2:$I9525,2,0),"")</f>
        <v>м62</v>
      </c>
      <c r="C6253" s="12" t="str">
        <f>IFERROR(VLOOKUP(D6253,'[1]Перечень товаров'!$A$2:$I9525,3,0),"")</f>
        <v>Мебель</v>
      </c>
      <c r="D6253" s="35" t="s">
        <v>398</v>
      </c>
      <c r="E6253" s="88"/>
      <c r="F6253" s="88"/>
      <c r="G6253" s="59">
        <v>1</v>
      </c>
      <c r="H6253" s="59"/>
      <c r="I6253" s="60"/>
      <c r="J6253" s="60"/>
      <c r="K6253" s="19"/>
      <c r="L6253" s="20"/>
    </row>
    <row r="6254" spans="1:12" outlineLevel="2">
      <c r="A6254" s="34"/>
      <c r="B6254" s="12" t="str">
        <f>IFERROR(VLOOKUP(D6254,'[1]Перечень товаров'!$A$2:$I9525,2,0),"")</f>
        <v>м61</v>
      </c>
      <c r="C6254" s="12" t="str">
        <f>IFERROR(VLOOKUP(D6254,'[1]Перечень товаров'!$A$2:$I9525,3,0),"")</f>
        <v>Мебель</v>
      </c>
      <c r="D6254" s="35" t="s">
        <v>383</v>
      </c>
      <c r="E6254" s="88"/>
      <c r="F6254" s="88"/>
      <c r="G6254" s="59">
        <v>1</v>
      </c>
      <c r="H6254" s="59"/>
      <c r="I6254" s="60"/>
      <c r="J6254" s="60"/>
      <c r="K6254" s="19"/>
      <c r="L6254" s="20"/>
    </row>
    <row r="6255" spans="1:12" outlineLevel="2">
      <c r="A6255" s="34"/>
      <c r="B6255" s="12" t="str">
        <f>IFERROR(VLOOKUP(D6255,'[1]Перечень товаров'!$A$2:$I9525,2,0),"")</f>
        <v>м179</v>
      </c>
      <c r="C6255" s="12" t="str">
        <f>IFERROR(VLOOKUP(D6255,'[1]Перечень товаров'!$A$2:$I9525,3,0),"")</f>
        <v>Мебель</v>
      </c>
      <c r="D6255" s="35" t="s">
        <v>579</v>
      </c>
      <c r="E6255" s="88"/>
      <c r="F6255" s="88"/>
      <c r="G6255" s="59">
        <v>10</v>
      </c>
      <c r="H6255" s="59"/>
      <c r="I6255" s="60"/>
      <c r="J6255" s="60"/>
      <c r="K6255" s="19"/>
      <c r="L6255" s="20"/>
    </row>
    <row r="6256" spans="1:12" outlineLevel="2">
      <c r="A6256" s="34"/>
      <c r="B6256" s="12" t="str">
        <f>IFERROR(VLOOKUP(D6256,'[1]Перечень товаров'!$A$2:$I9525,2,0),"")</f>
        <v>м61</v>
      </c>
      <c r="C6256" s="12" t="str">
        <f>IFERROR(VLOOKUP(D6256,'[1]Перечень товаров'!$A$2:$I9525,3,0),"")</f>
        <v>Мебель</v>
      </c>
      <c r="D6256" s="35" t="s">
        <v>384</v>
      </c>
      <c r="E6256" s="88"/>
      <c r="F6256" s="88"/>
      <c r="G6256" s="59">
        <v>20</v>
      </c>
      <c r="H6256" s="59"/>
      <c r="I6256" s="60"/>
      <c r="J6256" s="60"/>
      <c r="K6256" s="19"/>
      <c r="L6256" s="20"/>
    </row>
    <row r="6257" spans="1:12" outlineLevel="2">
      <c r="A6257" s="21"/>
      <c r="B6257" s="12" t="str">
        <f>IFERROR(VLOOKUP(D6257,'[1]Перечень товаров'!$A$2:$I9525,2,0),"")</f>
        <v>м13</v>
      </c>
      <c r="C6257" s="12" t="str">
        <f>IFERROR(VLOOKUP(D6257,'[1]Перечень товаров'!$A$2:$I9525,3,0),"")</f>
        <v>Мебель</v>
      </c>
      <c r="D6257" s="22" t="s">
        <v>42</v>
      </c>
      <c r="E6257" s="58"/>
      <c r="F6257" s="58"/>
      <c r="G6257" s="24">
        <v>1</v>
      </c>
      <c r="H6257" s="24"/>
      <c r="I6257" s="25"/>
      <c r="J6257" s="25"/>
      <c r="K6257" s="19"/>
      <c r="L6257" s="20"/>
    </row>
    <row r="6258" spans="1:12" outlineLevel="2">
      <c r="A6258" s="21"/>
      <c r="B6258" s="12" t="str">
        <f>IFERROR(VLOOKUP(D6258,'[1]Перечень товаров'!$A$2:$I9525,2,0),"")</f>
        <v>м14</v>
      </c>
      <c r="C6258" s="12" t="str">
        <f>IFERROR(VLOOKUP(D6258,'[1]Перечень товаров'!$A$2:$I9525,3,0),"")</f>
        <v>Мебель</v>
      </c>
      <c r="D6258" s="22" t="s">
        <v>43</v>
      </c>
      <c r="E6258" s="58"/>
      <c r="F6258" s="58"/>
      <c r="G6258" s="24">
        <v>1</v>
      </c>
      <c r="H6258" s="24"/>
      <c r="I6258" s="25"/>
      <c r="J6258" s="25"/>
      <c r="K6258" s="19"/>
      <c r="L6258" s="20"/>
    </row>
    <row r="6259" spans="1:12" ht="15" outlineLevel="2">
      <c r="A6259" s="116"/>
      <c r="B6259" s="12" t="str">
        <f>IFERROR(VLOOKUP(D6259,'[1]Перечень товаров'!$A$2:$I9525,2,0),"")</f>
        <v/>
      </c>
      <c r="C6259" s="12" t="str">
        <f>IFERROR(VLOOKUP(D6259,'[1]Перечень товаров'!$A$2:$I9525,3,0),"")</f>
        <v/>
      </c>
      <c r="D6259" s="117" t="s">
        <v>391</v>
      </c>
      <c r="E6259" s="122"/>
      <c r="F6259" s="122"/>
      <c r="G6259" s="123"/>
      <c r="H6259" s="123"/>
      <c r="I6259" s="124"/>
      <c r="J6259" s="124"/>
      <c r="K6259" s="19"/>
      <c r="L6259" s="20"/>
    </row>
    <row r="6260" spans="1:12" outlineLevel="2">
      <c r="A6260" s="34"/>
      <c r="B6260" s="12" t="str">
        <f>IFERROR(VLOOKUP(D6260,'[1]Перечень товаров'!$A$2:$I9525,2,0),"")</f>
        <v>тм1</v>
      </c>
      <c r="C6260" s="12" t="str">
        <f>IFERROR(VLOOKUP(D6260,'[1]Перечень товаров'!$A$2:$I9525,3,0),"")</f>
        <v>Техника муз</v>
      </c>
      <c r="D6260" s="35" t="s">
        <v>14</v>
      </c>
      <c r="E6260" s="88"/>
      <c r="F6260" s="88"/>
      <c r="G6260" s="59">
        <v>1</v>
      </c>
      <c r="H6260" s="59"/>
      <c r="I6260" s="60"/>
      <c r="J6260" s="60"/>
      <c r="K6260" s="19"/>
      <c r="L6260" s="20"/>
    </row>
    <row r="6261" spans="1:12" outlineLevel="2">
      <c r="A6261" s="34"/>
      <c r="B6261" s="12" t="str">
        <f>IFERROR(VLOOKUP(D6261,'[1]Перечень товаров'!$A$2:$I9525,2,0),"")</f>
        <v>м66</v>
      </c>
      <c r="C6261" s="12" t="str">
        <f>IFERROR(VLOOKUP(D6261,'[1]Перечень товаров'!$A$2:$I9525,3,0),"")</f>
        <v>Мебель</v>
      </c>
      <c r="D6261" s="35" t="s">
        <v>401</v>
      </c>
      <c r="E6261" s="88"/>
      <c r="F6261" s="88"/>
      <c r="G6261" s="59">
        <v>10</v>
      </c>
      <c r="H6261" s="59"/>
      <c r="I6261" s="60"/>
      <c r="J6261" s="60"/>
      <c r="K6261" s="19"/>
      <c r="L6261" s="20"/>
    </row>
    <row r="6262" spans="1:12" outlineLevel="2">
      <c r="A6262" s="34"/>
      <c r="B6262" s="12" t="str">
        <f>IFERROR(VLOOKUP(D6262,'[1]Перечень товаров'!$A$2:$I9525,2,0),"")</f>
        <v>м51</v>
      </c>
      <c r="C6262" s="12" t="str">
        <f>IFERROR(VLOOKUP(D6262,'[1]Перечень товаров'!$A$2:$I9525,3,0),"")</f>
        <v>Мебель</v>
      </c>
      <c r="D6262" s="35" t="s">
        <v>318</v>
      </c>
      <c r="E6262" s="88"/>
      <c r="F6262" s="88"/>
      <c r="G6262" s="59">
        <v>6</v>
      </c>
      <c r="H6262" s="59"/>
      <c r="I6262" s="60"/>
      <c r="J6262" s="60"/>
      <c r="K6262" s="19"/>
      <c r="L6262" s="20"/>
    </row>
    <row r="6263" spans="1:12" outlineLevel="2">
      <c r="A6263" s="34"/>
      <c r="B6263" s="12" t="str">
        <f>IFERROR(VLOOKUP(D6263,'[1]Перечень товаров'!$A$2:$I9525,2,0),"")</f>
        <v>м67</v>
      </c>
      <c r="C6263" s="12" t="str">
        <f>IFERROR(VLOOKUP(D6263,'[1]Перечень товаров'!$A$2:$I9525,3,0),"")</f>
        <v>Мебель</v>
      </c>
      <c r="D6263" s="35" t="s">
        <v>402</v>
      </c>
      <c r="E6263" s="88"/>
      <c r="F6263" s="88"/>
      <c r="G6263" s="59">
        <v>2</v>
      </c>
      <c r="H6263" s="59"/>
      <c r="I6263" s="60"/>
      <c r="J6263" s="60"/>
      <c r="K6263" s="19"/>
      <c r="L6263" s="20"/>
    </row>
    <row r="6264" spans="1:12" ht="31.5" outlineLevel="2">
      <c r="A6264" s="34"/>
      <c r="B6264" s="12" t="str">
        <f>IFERROR(VLOOKUP(D6264,'[1]Перечень товаров'!$A$2:$I9525,2,0),"")</f>
        <v>м68</v>
      </c>
      <c r="C6264" s="12" t="str">
        <f>IFERROR(VLOOKUP(D6264,'[1]Перечень товаров'!$A$2:$I9525,3,0),"")</f>
        <v>Мебель</v>
      </c>
      <c r="D6264" s="35" t="s">
        <v>403</v>
      </c>
      <c r="E6264" s="88"/>
      <c r="F6264" s="88"/>
      <c r="G6264" s="59">
        <v>2</v>
      </c>
      <c r="H6264" s="59"/>
      <c r="I6264" s="60"/>
      <c r="J6264" s="60"/>
      <c r="K6264" s="19"/>
      <c r="L6264" s="20"/>
    </row>
    <row r="6265" spans="1:12" ht="31.5" outlineLevel="2">
      <c r="A6265" s="34"/>
      <c r="B6265" s="12" t="str">
        <f>IFERROR(VLOOKUP(D6265,'[1]Перечень товаров'!$A$2:$I9525,2,0),"")</f>
        <v>м69</v>
      </c>
      <c r="C6265" s="12" t="str">
        <f>IFERROR(VLOOKUP(D6265,'[1]Перечень товаров'!$A$2:$I9525,3,0),"")</f>
        <v>Мебель</v>
      </c>
      <c r="D6265" s="35" t="s">
        <v>404</v>
      </c>
      <c r="E6265" s="88"/>
      <c r="F6265" s="88"/>
      <c r="G6265" s="59">
        <v>2</v>
      </c>
      <c r="H6265" s="59"/>
      <c r="I6265" s="60"/>
      <c r="J6265" s="60"/>
      <c r="K6265" s="19"/>
      <c r="L6265" s="20"/>
    </row>
    <row r="6266" spans="1:12" ht="15" outlineLevel="2">
      <c r="A6266" s="54"/>
      <c r="B6266" s="12" t="str">
        <f>IFERROR(VLOOKUP(D6266,'[1]Перечень товаров'!$A$2:$I9525,2,0),"")</f>
        <v/>
      </c>
      <c r="C6266" s="12" t="str">
        <f>IFERROR(VLOOKUP(D6266,'[1]Перечень товаров'!$A$2:$I9525,3,0),"")</f>
        <v/>
      </c>
      <c r="D6266" s="55" t="s">
        <v>45</v>
      </c>
      <c r="E6266" s="56"/>
      <c r="F6266" s="56"/>
      <c r="G6266" s="17"/>
      <c r="H6266" s="17"/>
      <c r="I6266" s="57"/>
      <c r="J6266" s="57"/>
      <c r="K6266" s="19"/>
      <c r="L6266" s="20"/>
    </row>
    <row r="6267" spans="1:12" outlineLevel="2">
      <c r="A6267" s="21"/>
      <c r="B6267" s="12" t="str">
        <f>IFERROR(VLOOKUP(D6267,'[1]Перечень товаров'!$A$2:$I9525,2,0),"")</f>
        <v>п2</v>
      </c>
      <c r="C6267" s="12" t="str">
        <f>IFERROR(VLOOKUP(D6267,'[1]Перечень товаров'!$A$2:$I9525,3,0),"")</f>
        <v>Прочее</v>
      </c>
      <c r="D6267" s="22" t="s">
        <v>46</v>
      </c>
      <c r="E6267" s="58"/>
      <c r="F6267" s="58"/>
      <c r="G6267" s="24">
        <v>1</v>
      </c>
      <c r="H6267" s="24"/>
      <c r="I6267" s="25"/>
      <c r="J6267" s="25"/>
      <c r="K6267" s="19"/>
      <c r="L6267" s="20"/>
    </row>
    <row r="6268" spans="1:12" outlineLevel="2">
      <c r="A6268" s="43"/>
      <c r="B6268" s="12" t="str">
        <f>IFERROR(VLOOKUP(D6268,'[1]Перечень товаров'!$A$2:$I9525,2,0),"")</f>
        <v>м7</v>
      </c>
      <c r="C6268" s="12" t="str">
        <f>IFERROR(VLOOKUP(D6268,'[1]Перечень товаров'!$A$2:$I9525,3,0),"")</f>
        <v>Мебель</v>
      </c>
      <c r="D6268" s="44" t="s">
        <v>24</v>
      </c>
      <c r="E6268" s="30"/>
      <c r="F6268" s="30"/>
      <c r="G6268" s="59">
        <v>1</v>
      </c>
      <c r="H6268" s="59"/>
      <c r="I6268" s="60"/>
      <c r="J6268" s="60"/>
      <c r="K6268" s="19"/>
      <c r="L6268" s="20"/>
    </row>
    <row r="6269" spans="1:12" outlineLevel="2">
      <c r="A6269" s="43"/>
      <c r="B6269" s="12" t="str">
        <f>IFERROR(VLOOKUP(D6269,'[1]Перечень товаров'!$A$2:$I9525,2,0),"")</f>
        <v>п1</v>
      </c>
      <c r="C6269" s="12" t="str">
        <f>IFERROR(VLOOKUP(D6269,'[1]Перечень товаров'!$A$2:$I9525,3,0),"")</f>
        <v>Прочее</v>
      </c>
      <c r="D6269" s="44" t="s">
        <v>37</v>
      </c>
      <c r="E6269" s="30"/>
      <c r="F6269" s="30"/>
      <c r="G6269" s="59">
        <v>1</v>
      </c>
      <c r="H6269" s="59"/>
      <c r="I6269" s="60"/>
      <c r="J6269" s="60"/>
      <c r="K6269" s="19"/>
      <c r="L6269" s="20"/>
    </row>
    <row r="6270" spans="1:12" ht="12.75" outlineLevel="1">
      <c r="A6270" s="11"/>
      <c r="B6270" s="12" t="str">
        <f>IFERROR(VLOOKUP(D6270,'[1]Перечень товаров'!$A$2:$I9525,2,0),"")</f>
        <v/>
      </c>
      <c r="C6270" s="12" t="str">
        <f>IFERROR(VLOOKUP(D6270,'[1]Перечень товаров'!$A$2:$I9525,3,0),"")</f>
        <v/>
      </c>
      <c r="D6270" s="27" t="s">
        <v>1690</v>
      </c>
      <c r="E6270" s="14" t="s">
        <v>1691</v>
      </c>
      <c r="F6270" s="14"/>
      <c r="G6270" s="17"/>
      <c r="H6270" s="17"/>
      <c r="I6270" s="57"/>
      <c r="J6270" s="57"/>
      <c r="K6270" s="19"/>
      <c r="L6270" s="20"/>
    </row>
    <row r="6271" spans="1:12" ht="31.5" outlineLevel="2">
      <c r="A6271" s="125"/>
      <c r="B6271" s="12" t="str">
        <f>IFERROR(VLOOKUP(D6271,'[1]Перечень товаров'!$A$2:$I9525,2,0),"")</f>
        <v/>
      </c>
      <c r="C6271" s="12" t="str">
        <f>IFERROR(VLOOKUP(D6271,'[1]Перечень товаров'!$A$2:$I9525,3,0),"")</f>
        <v/>
      </c>
      <c r="D6271" s="126" t="s">
        <v>1692</v>
      </c>
      <c r="E6271" s="45"/>
      <c r="F6271" s="45"/>
      <c r="G6271" s="127"/>
      <c r="H6271" s="127"/>
      <c r="I6271" s="128"/>
      <c r="J6271" s="128"/>
      <c r="K6271" s="19"/>
      <c r="L6271" s="20"/>
    </row>
    <row r="6272" spans="1:12" ht="31.5" outlineLevel="2">
      <c r="A6272" s="129"/>
      <c r="B6272" s="12" t="str">
        <f>IFERROR(VLOOKUP(D6272,'[1]Перечень товаров'!$A$2:$I9525,2,0),"")</f>
        <v>пм107</v>
      </c>
      <c r="C6272" s="12" t="str">
        <f>IFERROR(VLOOKUP(D6272,'[1]Перечень товаров'!$A$2:$I9525,3,0),"")</f>
        <v>прочее муз</v>
      </c>
      <c r="D6272" s="130" t="s">
        <v>1693</v>
      </c>
      <c r="E6272" s="23"/>
      <c r="F6272" s="23"/>
      <c r="G6272" s="95">
        <v>8</v>
      </c>
      <c r="H6272" s="95"/>
      <c r="I6272" s="96"/>
      <c r="J6272" s="96"/>
      <c r="K6272" s="19"/>
      <c r="L6272" s="20"/>
    </row>
    <row r="6273" spans="1:12" ht="31.5" outlineLevel="2">
      <c r="A6273" s="129"/>
      <c r="B6273" s="12" t="str">
        <f>IFERROR(VLOOKUP(D6273,'[1]Перечень товаров'!$A$2:$I9525,2,0),"")</f>
        <v>пм106</v>
      </c>
      <c r="C6273" s="12" t="str">
        <f>IFERROR(VLOOKUP(D6273,'[1]Перечень товаров'!$A$2:$I9525,3,0),"")</f>
        <v>прочее муз</v>
      </c>
      <c r="D6273" s="130" t="s">
        <v>1694</v>
      </c>
      <c r="E6273" s="23"/>
      <c r="F6273" s="23"/>
      <c r="G6273" s="95">
        <v>20</v>
      </c>
      <c r="H6273" s="95"/>
      <c r="I6273" s="96"/>
      <c r="J6273" s="96"/>
      <c r="K6273" s="19"/>
      <c r="L6273" s="20"/>
    </row>
    <row r="6274" spans="1:12" ht="31.5" outlineLevel="2">
      <c r="A6274" s="129"/>
      <c r="B6274" s="12" t="str">
        <f>IFERROR(VLOOKUP(D6274,'[1]Перечень товаров'!$A$2:$I9525,2,0),"")</f>
        <v>тм146</v>
      </c>
      <c r="C6274" s="12" t="str">
        <f>IFERROR(VLOOKUP(D6274,'[1]Перечень товаров'!$A$2:$I9525,3,0),"")</f>
        <v>Техника муз</v>
      </c>
      <c r="D6274" s="130" t="s">
        <v>1695</v>
      </c>
      <c r="E6274" s="23"/>
      <c r="F6274" s="23"/>
      <c r="G6274" s="95">
        <v>6</v>
      </c>
      <c r="H6274" s="95"/>
      <c r="I6274" s="96"/>
      <c r="J6274" s="96"/>
      <c r="K6274" s="19"/>
      <c r="L6274" s="20"/>
    </row>
    <row r="6275" spans="1:12" ht="31.5" outlineLevel="2">
      <c r="A6275" s="129"/>
      <c r="B6275" s="12" t="str">
        <f>IFERROR(VLOOKUP(D6275,'[1]Перечень товаров'!$A$2:$I9525,2,0),"")</f>
        <v>д245</v>
      </c>
      <c r="C6275" s="12" t="str">
        <f>IFERROR(VLOOKUP(D6275,'[1]Перечень товаров'!$A$2:$I9525,3,0),"")</f>
        <v>Дидактика</v>
      </c>
      <c r="D6275" s="130" t="s">
        <v>1696</v>
      </c>
      <c r="E6275" s="23"/>
      <c r="F6275" s="23"/>
      <c r="G6275" s="95">
        <v>1</v>
      </c>
      <c r="H6275" s="95"/>
      <c r="I6275" s="96"/>
      <c r="J6275" s="96"/>
      <c r="K6275" s="19"/>
      <c r="L6275" s="20"/>
    </row>
    <row r="6276" spans="1:12" ht="31.5" outlineLevel="2">
      <c r="A6276" s="129"/>
      <c r="B6276" s="12" t="str">
        <f>IFERROR(VLOOKUP(D6276,'[1]Перечень товаров'!$A$2:$I9525,2,0),"")</f>
        <v>м117</v>
      </c>
      <c r="C6276" s="12" t="str">
        <f>IFERROR(VLOOKUP(D6276,'[1]Перечень товаров'!$A$2:$I9525,3,0),"")</f>
        <v>Мебель</v>
      </c>
      <c r="D6276" s="130" t="s">
        <v>1697</v>
      </c>
      <c r="E6276" s="23"/>
      <c r="F6276" s="23"/>
      <c r="G6276" s="95">
        <v>1</v>
      </c>
      <c r="H6276" s="95"/>
      <c r="I6276" s="96"/>
      <c r="J6276" s="96"/>
      <c r="K6276" s="19"/>
      <c r="L6276" s="20"/>
    </row>
    <row r="6277" spans="1:12" ht="31.5" outlineLevel="2">
      <c r="A6277" s="129"/>
      <c r="B6277" s="12" t="str">
        <f>IFERROR(VLOOKUP(D6277,'[1]Перечень товаров'!$A$2:$I9525,2,0),"")</f>
        <v>д245</v>
      </c>
      <c r="C6277" s="12" t="str">
        <f>IFERROR(VLOOKUP(D6277,'[1]Перечень товаров'!$A$2:$I9525,3,0),"")</f>
        <v>Дидактика</v>
      </c>
      <c r="D6277" s="130" t="s">
        <v>1698</v>
      </c>
      <c r="E6277" s="58"/>
      <c r="F6277" s="58"/>
      <c r="G6277" s="95">
        <v>1</v>
      </c>
      <c r="H6277" s="95"/>
      <c r="I6277" s="96"/>
      <c r="J6277" s="96"/>
      <c r="K6277" s="19"/>
      <c r="L6277" s="20"/>
    </row>
    <row r="6278" spans="1:12" ht="47.25" outlineLevel="2">
      <c r="A6278" s="125"/>
      <c r="B6278" s="12" t="str">
        <f>IFERROR(VLOOKUP(D6278,'[1]Перечень товаров'!$A$2:$I9525,2,0),"")</f>
        <v/>
      </c>
      <c r="C6278" s="12" t="str">
        <f>IFERROR(VLOOKUP(D6278,'[1]Перечень товаров'!$A$2:$I9525,3,0),"")</f>
        <v/>
      </c>
      <c r="D6278" s="126" t="s">
        <v>1699</v>
      </c>
      <c r="E6278" s="45"/>
      <c r="F6278" s="45"/>
      <c r="G6278" s="131"/>
      <c r="H6278" s="131"/>
      <c r="I6278" s="132"/>
      <c r="J6278" s="132"/>
      <c r="K6278" s="19"/>
      <c r="L6278" s="20"/>
    </row>
    <row r="6279" spans="1:12" ht="31.5" outlineLevel="2">
      <c r="A6279" s="129"/>
      <c r="B6279" s="12" t="str">
        <f>IFERROR(VLOOKUP(D6279,'[1]Перечень товаров'!$A$2:$I9525,2,0),"")</f>
        <v>м116</v>
      </c>
      <c r="C6279" s="12" t="str">
        <f>IFERROR(VLOOKUP(D6279,'[1]Перечень товаров'!$A$2:$I9525,3,0),"")</f>
        <v>Мебель</v>
      </c>
      <c r="D6279" s="130" t="s">
        <v>1700</v>
      </c>
      <c r="E6279" s="23"/>
      <c r="F6279" s="23"/>
      <c r="G6279" s="95">
        <v>1</v>
      </c>
      <c r="H6279" s="95"/>
      <c r="I6279" s="96"/>
      <c r="J6279" s="96"/>
      <c r="K6279" s="19"/>
      <c r="L6279" s="20"/>
    </row>
    <row r="6280" spans="1:12" ht="31.5" outlineLevel="2">
      <c r="A6280" s="129"/>
      <c r="B6280" s="12" t="str">
        <f>IFERROR(VLOOKUP(D6280,'[1]Перечень товаров'!$A$2:$I9525,2,0),"")</f>
        <v>м115</v>
      </c>
      <c r="C6280" s="12" t="str">
        <f>IFERROR(VLOOKUP(D6280,'[1]Перечень товаров'!$A$2:$I9525,3,0),"")</f>
        <v>Мебель</v>
      </c>
      <c r="D6280" s="130" t="s">
        <v>1701</v>
      </c>
      <c r="E6280" s="23"/>
      <c r="F6280" s="23"/>
      <c r="G6280" s="95">
        <v>1</v>
      </c>
      <c r="H6280" s="95"/>
      <c r="I6280" s="96"/>
      <c r="J6280" s="96"/>
      <c r="K6280" s="19"/>
      <c r="L6280" s="20"/>
    </row>
    <row r="6281" spans="1:12" ht="31.5" outlineLevel="2">
      <c r="A6281" s="129"/>
      <c r="B6281" s="12" t="str">
        <f>IFERROR(VLOOKUP(D6281,'[1]Перечень товаров'!$A$2:$I9525,2,0),"")</f>
        <v>пм105</v>
      </c>
      <c r="C6281" s="12" t="str">
        <f>IFERROR(VLOOKUP(D6281,'[1]Перечень товаров'!$A$2:$I9525,3,0),"")</f>
        <v>прочее муз</v>
      </c>
      <c r="D6281" s="130" t="s">
        <v>1702</v>
      </c>
      <c r="E6281" s="23"/>
      <c r="F6281" s="23"/>
      <c r="G6281" s="95">
        <v>2</v>
      </c>
      <c r="H6281" s="95"/>
      <c r="I6281" s="96"/>
      <c r="J6281" s="96"/>
      <c r="K6281" s="19"/>
      <c r="L6281" s="20"/>
    </row>
    <row r="6282" spans="1:12" ht="31.5" outlineLevel="2">
      <c r="A6282" s="129"/>
      <c r="B6282" s="12" t="str">
        <f>IFERROR(VLOOKUP(D6282,'[1]Перечень товаров'!$A$2:$I9525,2,0),"")</f>
        <v>пм104</v>
      </c>
      <c r="C6282" s="12" t="str">
        <f>IFERROR(VLOOKUP(D6282,'[1]Перечень товаров'!$A$2:$I9525,3,0),"")</f>
        <v>Прочее муз</v>
      </c>
      <c r="D6282" s="130" t="s">
        <v>1703</v>
      </c>
      <c r="E6282" s="23"/>
      <c r="F6282" s="23"/>
      <c r="G6282" s="95">
        <v>1</v>
      </c>
      <c r="H6282" s="95"/>
      <c r="I6282" s="96"/>
      <c r="J6282" s="96"/>
      <c r="K6282" s="19"/>
      <c r="L6282" s="20"/>
    </row>
    <row r="6283" spans="1:12" ht="31.5" outlineLevel="2">
      <c r="A6283" s="129"/>
      <c r="B6283" s="12" t="str">
        <f>IFERROR(VLOOKUP(D6283,'[1]Перечень товаров'!$A$2:$I9525,2,0),"")</f>
        <v>м114</v>
      </c>
      <c r="C6283" s="12" t="str">
        <f>IFERROR(VLOOKUP(D6283,'[1]Перечень товаров'!$A$2:$I9525,3,0),"")</f>
        <v>Мебель</v>
      </c>
      <c r="D6283" s="130" t="s">
        <v>1704</v>
      </c>
      <c r="E6283" s="23"/>
      <c r="F6283" s="23"/>
      <c r="G6283" s="95">
        <v>1</v>
      </c>
      <c r="H6283" s="95"/>
      <c r="I6283" s="96"/>
      <c r="J6283" s="96"/>
      <c r="K6283" s="19"/>
      <c r="L6283" s="20"/>
    </row>
    <row r="6284" spans="1:12" ht="31.5" outlineLevel="2">
      <c r="A6284" s="130"/>
      <c r="B6284" s="12" t="str">
        <f>IFERROR(VLOOKUP(D6284,'[1]Перечень товаров'!$A$2:$I9525,2,0),"")</f>
        <v>м113</v>
      </c>
      <c r="C6284" s="12" t="str">
        <f>IFERROR(VLOOKUP(D6284,'[1]Перечень товаров'!$A$2:$I9525,3,0),"")</f>
        <v>Мебель</v>
      </c>
      <c r="D6284" s="130" t="s">
        <v>1705</v>
      </c>
      <c r="E6284" s="23"/>
      <c r="F6284" s="23"/>
      <c r="G6284" s="95">
        <v>1</v>
      </c>
      <c r="H6284" s="95"/>
      <c r="I6284" s="96"/>
      <c r="J6284" s="96"/>
      <c r="K6284" s="19"/>
      <c r="L6284" s="20"/>
    </row>
    <row r="6285" spans="1:12" ht="31.5" outlineLevel="2">
      <c r="A6285" s="129"/>
      <c r="B6285" s="12" t="str">
        <f>IFERROR(VLOOKUP(D6285,'[1]Перечень товаров'!$A$2:$I9525,2,0),"")</f>
        <v>м112</v>
      </c>
      <c r="C6285" s="12" t="str">
        <f>IFERROR(VLOOKUP(D6285,'[1]Перечень товаров'!$A$2:$I9525,3,0),"")</f>
        <v>Мебель</v>
      </c>
      <c r="D6285" s="130" t="s">
        <v>1706</v>
      </c>
      <c r="E6285" s="23"/>
      <c r="F6285" s="23"/>
      <c r="G6285" s="95">
        <v>2</v>
      </c>
      <c r="H6285" s="95"/>
      <c r="I6285" s="96"/>
      <c r="J6285" s="96"/>
      <c r="K6285" s="19"/>
      <c r="L6285" s="20"/>
    </row>
    <row r="6286" spans="1:12" ht="31.5" outlineLevel="2">
      <c r="A6286" s="129"/>
      <c r="B6286" s="12" t="str">
        <f>IFERROR(VLOOKUP(D6286,'[1]Перечень товаров'!$A$2:$I9525,2,0),"")</f>
        <v>м111</v>
      </c>
      <c r="C6286" s="12" t="str">
        <f>IFERROR(VLOOKUP(D6286,'[1]Перечень товаров'!$A$2:$I9525,3,0),"")</f>
        <v>Мебель</v>
      </c>
      <c r="D6286" s="130" t="s">
        <v>1707</v>
      </c>
      <c r="E6286" s="102"/>
      <c r="F6286" s="102"/>
      <c r="G6286" s="95">
        <v>1</v>
      </c>
      <c r="H6286" s="95"/>
      <c r="I6286" s="96"/>
      <c r="J6286" s="96"/>
      <c r="K6286" s="19"/>
      <c r="L6286" s="20"/>
    </row>
    <row r="6287" spans="1:12" ht="31.5" outlineLevel="2">
      <c r="A6287" s="129"/>
      <c r="B6287" s="12" t="str">
        <f>IFERROR(VLOOKUP(D6287,'[1]Перечень товаров'!$A$2:$I9525,2,0),"")</f>
        <v>пм103</v>
      </c>
      <c r="C6287" s="12" t="str">
        <f>IFERROR(VLOOKUP(D6287,'[1]Перечень товаров'!$A$2:$I9525,3,0),"")</f>
        <v>Прочее муз</v>
      </c>
      <c r="D6287" s="130" t="s">
        <v>1708</v>
      </c>
      <c r="E6287" s="102"/>
      <c r="F6287" s="102"/>
      <c r="G6287" s="95">
        <v>2</v>
      </c>
      <c r="H6287" s="95"/>
      <c r="I6287" s="96"/>
      <c r="J6287" s="96"/>
      <c r="K6287" s="19"/>
      <c r="L6287" s="20"/>
    </row>
    <row r="6288" spans="1:12" ht="31.5" outlineLevel="2">
      <c r="A6288" s="125"/>
      <c r="B6288" s="12" t="str">
        <f>IFERROR(VLOOKUP(D6288,'[1]Перечень товаров'!$A$2:$I9525,2,0),"")</f>
        <v/>
      </c>
      <c r="C6288" s="12" t="str">
        <f>IFERROR(VLOOKUP(D6288,'[1]Перечень товаров'!$A$2:$I9525,3,0),"")</f>
        <v/>
      </c>
      <c r="D6288" s="126" t="s">
        <v>1709</v>
      </c>
      <c r="E6288" s="79"/>
      <c r="F6288" s="79"/>
      <c r="G6288" s="131"/>
      <c r="H6288" s="131"/>
      <c r="I6288" s="132"/>
      <c r="J6288" s="132"/>
      <c r="K6288" s="19"/>
      <c r="L6288" s="20"/>
    </row>
    <row r="6289" spans="1:12" ht="31.5" outlineLevel="2">
      <c r="A6289" s="129"/>
      <c r="B6289" s="12" t="str">
        <f>IFERROR(VLOOKUP(D6289,'[1]Перечень товаров'!$A$2:$I9525,2,0),"")</f>
        <v>м110</v>
      </c>
      <c r="C6289" s="12" t="str">
        <f>IFERROR(VLOOKUP(D6289,'[1]Перечень товаров'!$A$2:$I9525,3,0),"")</f>
        <v>Мебель</v>
      </c>
      <c r="D6289" s="130" t="s">
        <v>1710</v>
      </c>
      <c r="E6289" s="102"/>
      <c r="F6289" s="102"/>
      <c r="G6289" s="95">
        <v>4</v>
      </c>
      <c r="H6289" s="95"/>
      <c r="I6289" s="96"/>
      <c r="J6289" s="96"/>
      <c r="K6289" s="19"/>
      <c r="L6289" s="20"/>
    </row>
    <row r="6290" spans="1:12" ht="31.5" outlineLevel="2">
      <c r="A6290" s="129"/>
      <c r="B6290" s="12" t="str">
        <f>IFERROR(VLOOKUP(D6290,'[1]Перечень товаров'!$A$2:$I9525,2,0),"")</f>
        <v>м109</v>
      </c>
      <c r="C6290" s="12" t="str">
        <f>IFERROR(VLOOKUP(D6290,'[1]Перечень товаров'!$A$2:$I9525,3,0),"")</f>
        <v>Мебель</v>
      </c>
      <c r="D6290" s="130" t="s">
        <v>1711</v>
      </c>
      <c r="E6290" s="102"/>
      <c r="F6290" s="102"/>
      <c r="G6290" s="95">
        <v>4</v>
      </c>
      <c r="H6290" s="95"/>
      <c r="I6290" s="96"/>
      <c r="J6290" s="96"/>
      <c r="K6290" s="19"/>
      <c r="L6290" s="20"/>
    </row>
    <row r="6291" spans="1:12" ht="31.5" outlineLevel="2">
      <c r="A6291" s="129"/>
      <c r="B6291" s="12" t="str">
        <f>IFERROR(VLOOKUP(D6291,'[1]Перечень товаров'!$A$2:$I9525,2,0),"")</f>
        <v>тм145</v>
      </c>
      <c r="C6291" s="12" t="str">
        <f>IFERROR(VLOOKUP(D6291,'[1]Перечень товаров'!$A$2:$I9525,3,0),"")</f>
        <v>Техника муз</v>
      </c>
      <c r="D6291" s="130" t="s">
        <v>1712</v>
      </c>
      <c r="E6291" s="102"/>
      <c r="F6291" s="102"/>
      <c r="G6291" s="95">
        <v>4</v>
      </c>
      <c r="H6291" s="95"/>
      <c r="I6291" s="96"/>
      <c r="J6291" s="96"/>
      <c r="K6291" s="19"/>
      <c r="L6291" s="20"/>
    </row>
    <row r="6292" spans="1:12" ht="31.5" outlineLevel="2">
      <c r="A6292" s="129"/>
      <c r="B6292" s="12" t="str">
        <f>IFERROR(VLOOKUP(D6292,'[1]Перечень товаров'!$A$2:$I9525,2,0),"")</f>
        <v>м108</v>
      </c>
      <c r="C6292" s="12" t="str">
        <f>IFERROR(VLOOKUP(D6292,'[1]Перечень товаров'!$A$2:$I9525,3,0),"")</f>
        <v>Мебель</v>
      </c>
      <c r="D6292" s="130" t="s">
        <v>1713</v>
      </c>
      <c r="E6292" s="102"/>
      <c r="F6292" s="102"/>
      <c r="G6292" s="95">
        <v>1</v>
      </c>
      <c r="H6292" s="95"/>
      <c r="I6292" s="96"/>
      <c r="J6292" s="96"/>
      <c r="K6292" s="19"/>
      <c r="L6292" s="20"/>
    </row>
    <row r="6293" spans="1:12" ht="31.5" outlineLevel="2">
      <c r="A6293" s="129"/>
      <c r="B6293" s="12" t="str">
        <f>IFERROR(VLOOKUP(D6293,'[1]Перечень товаров'!$A$2:$I9525,2,0),"")</f>
        <v>д244</v>
      </c>
      <c r="C6293" s="12" t="str">
        <f>IFERROR(VLOOKUP(D6293,'[1]Перечень товаров'!$A$2:$I9525,3,0),"")</f>
        <v>Дидактика</v>
      </c>
      <c r="D6293" s="130" t="s">
        <v>1714</v>
      </c>
      <c r="E6293" s="102"/>
      <c r="F6293" s="102"/>
      <c r="G6293" s="95">
        <v>2</v>
      </c>
      <c r="H6293" s="95"/>
      <c r="I6293" s="96"/>
      <c r="J6293" s="96"/>
      <c r="K6293" s="19"/>
      <c r="L6293" s="20"/>
    </row>
    <row r="6294" spans="1:12" ht="31.5" outlineLevel="2">
      <c r="A6294" s="129"/>
      <c r="B6294" s="12" t="str">
        <f>IFERROR(VLOOKUP(D6294,'[1]Перечень товаров'!$A$2:$I9525,2,0),"")</f>
        <v>пм102</v>
      </c>
      <c r="C6294" s="12" t="str">
        <f>IFERROR(VLOOKUP(D6294,'[1]Перечень товаров'!$A$2:$I9525,3,0),"")</f>
        <v>Прочее муз</v>
      </c>
      <c r="D6294" s="130" t="s">
        <v>1715</v>
      </c>
      <c r="E6294" s="102"/>
      <c r="F6294" s="102"/>
      <c r="G6294" s="95">
        <v>10</v>
      </c>
      <c r="H6294" s="95"/>
      <c r="I6294" s="96"/>
      <c r="J6294" s="96"/>
      <c r="K6294" s="19"/>
      <c r="L6294" s="20"/>
    </row>
    <row r="6295" spans="1:12" ht="31.5" outlineLevel="2">
      <c r="A6295" s="129"/>
      <c r="B6295" s="12" t="str">
        <f>IFERROR(VLOOKUP(D6295,'[1]Перечень товаров'!$A$2:$I9525,2,0),"")</f>
        <v>пм101</v>
      </c>
      <c r="C6295" s="12" t="str">
        <f>IFERROR(VLOOKUP(D6295,'[1]Перечень товаров'!$A$2:$I9525,3,0),"")</f>
        <v>Прочее муз</v>
      </c>
      <c r="D6295" s="130" t="s">
        <v>1716</v>
      </c>
      <c r="E6295" s="102"/>
      <c r="F6295" s="102"/>
      <c r="G6295" s="95">
        <v>4</v>
      </c>
      <c r="H6295" s="95"/>
      <c r="I6295" s="96"/>
      <c r="J6295" s="96"/>
      <c r="K6295" s="19"/>
      <c r="L6295" s="20"/>
    </row>
    <row r="6296" spans="1:12" ht="31.5" outlineLevel="2">
      <c r="A6296" s="129"/>
      <c r="B6296" s="12" t="str">
        <f>IFERROR(VLOOKUP(D6296,'[1]Перечень товаров'!$A$2:$I9525,2,0),"")</f>
        <v>пм100</v>
      </c>
      <c r="C6296" s="12" t="str">
        <f>IFERROR(VLOOKUP(D6296,'[1]Перечень товаров'!$A$2:$I9525,3,0),"")</f>
        <v>Прочее муз</v>
      </c>
      <c r="D6296" s="130" t="s">
        <v>1717</v>
      </c>
      <c r="E6296" s="102"/>
      <c r="F6296" s="102"/>
      <c r="G6296" s="95">
        <v>6</v>
      </c>
      <c r="H6296" s="95"/>
      <c r="I6296" s="96"/>
      <c r="J6296" s="96"/>
      <c r="K6296" s="19"/>
      <c r="L6296" s="20"/>
    </row>
    <row r="6297" spans="1:12" ht="31.5" outlineLevel="2">
      <c r="A6297" s="129"/>
      <c r="B6297" s="12" t="str">
        <f>IFERROR(VLOOKUP(D6297,'[1]Перечень товаров'!$A$2:$I9525,2,0),"")</f>
        <v>пм99</v>
      </c>
      <c r="C6297" s="12" t="str">
        <f>IFERROR(VLOOKUP(D6297,'[1]Перечень товаров'!$A$2:$I9525,3,0),"")</f>
        <v>Прочее муз</v>
      </c>
      <c r="D6297" s="130" t="s">
        <v>1718</v>
      </c>
      <c r="E6297" s="102"/>
      <c r="F6297" s="102"/>
      <c r="G6297" s="95">
        <v>2</v>
      </c>
      <c r="H6297" s="95"/>
      <c r="I6297" s="96"/>
      <c r="J6297" s="96"/>
      <c r="K6297" s="19"/>
      <c r="L6297" s="20"/>
    </row>
    <row r="6298" spans="1:12" ht="31.5" outlineLevel="2">
      <c r="A6298" s="129"/>
      <c r="B6298" s="12" t="str">
        <f>IFERROR(VLOOKUP(D6298,'[1]Перечень товаров'!$A$2:$I9525,2,0),"")</f>
        <v>тм144</v>
      </c>
      <c r="C6298" s="12" t="str">
        <f>IFERROR(VLOOKUP(D6298,'[1]Перечень товаров'!$A$2:$I9525,3,0),"")</f>
        <v>Техника муз</v>
      </c>
      <c r="D6298" s="130" t="s">
        <v>1719</v>
      </c>
      <c r="E6298" s="102"/>
      <c r="F6298" s="102"/>
      <c r="G6298" s="95">
        <v>1</v>
      </c>
      <c r="H6298" s="95"/>
      <c r="I6298" s="96"/>
      <c r="J6298" s="96"/>
      <c r="K6298" s="19"/>
      <c r="L6298" s="20"/>
    </row>
    <row r="6299" spans="1:12" outlineLevel="2">
      <c r="A6299" s="129"/>
      <c r="B6299" s="12" t="str">
        <f>IFERROR(VLOOKUP(D6299,'[1]Перечень товаров'!$A$2:$I9525,2,0),"")</f>
        <v>м107</v>
      </c>
      <c r="C6299" s="12" t="str">
        <f>IFERROR(VLOOKUP(D6299,'[1]Перечень товаров'!$A$2:$I9525,3,0),"")</f>
        <v>Мебель</v>
      </c>
      <c r="D6299" s="130" t="s">
        <v>1720</v>
      </c>
      <c r="E6299" s="102"/>
      <c r="F6299" s="102"/>
      <c r="G6299" s="95">
        <v>1</v>
      </c>
      <c r="H6299" s="95"/>
      <c r="I6299" s="96"/>
      <c r="J6299" s="96"/>
      <c r="K6299" s="19"/>
      <c r="L6299" s="20"/>
    </row>
    <row r="6300" spans="1:12" ht="31.5" outlineLevel="2">
      <c r="A6300" s="125"/>
      <c r="B6300" s="12" t="str">
        <f>IFERROR(VLOOKUP(D6300,'[1]Перечень товаров'!$A$2:$I9525,2,0),"")</f>
        <v/>
      </c>
      <c r="C6300" s="12" t="str">
        <f>IFERROR(VLOOKUP(D6300,'[1]Перечень товаров'!$A$2:$I9525,3,0),"")</f>
        <v/>
      </c>
      <c r="D6300" s="126" t="s">
        <v>1721</v>
      </c>
      <c r="E6300" s="79"/>
      <c r="F6300" s="79"/>
      <c r="G6300" s="131"/>
      <c r="H6300" s="131"/>
      <c r="I6300" s="132"/>
      <c r="J6300" s="132"/>
      <c r="K6300" s="19"/>
      <c r="L6300" s="20"/>
    </row>
    <row r="6301" spans="1:12" ht="47.25" outlineLevel="2">
      <c r="A6301" s="129"/>
      <c r="B6301" s="12" t="str">
        <f>IFERROR(VLOOKUP(D6301,'[1]Перечень товаров'!$A$2:$I9525,2,0),"")</f>
        <v>тм143</v>
      </c>
      <c r="C6301" s="12" t="str">
        <f>IFERROR(VLOOKUP(D6301,'[1]Перечень товаров'!$A$2:$I9525,3,0),"")</f>
        <v>Техника муз</v>
      </c>
      <c r="D6301" s="130" t="s">
        <v>1722</v>
      </c>
      <c r="E6301" s="102"/>
      <c r="F6301" s="102"/>
      <c r="G6301" s="95">
        <v>1</v>
      </c>
      <c r="H6301" s="95"/>
      <c r="I6301" s="96"/>
      <c r="J6301" s="96"/>
      <c r="K6301" s="19"/>
      <c r="L6301" s="20"/>
    </row>
    <row r="6302" spans="1:12" ht="31.5" outlineLevel="2">
      <c r="A6302" s="129"/>
      <c r="B6302" s="12" t="str">
        <f>IFERROR(VLOOKUP(D6302,'[1]Перечень товаров'!$A$2:$I9525,2,0),"")</f>
        <v>тм142</v>
      </c>
      <c r="C6302" s="12" t="str">
        <f>IFERROR(VLOOKUP(D6302,'[1]Перечень товаров'!$A$2:$I9525,3,0),"")</f>
        <v>Техника муз</v>
      </c>
      <c r="D6302" s="130" t="s">
        <v>1723</v>
      </c>
      <c r="E6302" s="102"/>
      <c r="F6302" s="102"/>
      <c r="G6302" s="95">
        <v>1</v>
      </c>
      <c r="H6302" s="95"/>
      <c r="I6302" s="96"/>
      <c r="J6302" s="96"/>
      <c r="K6302" s="19"/>
      <c r="L6302" s="20"/>
    </row>
    <row r="6303" spans="1:12" ht="31.5" outlineLevel="2">
      <c r="A6303" s="129"/>
      <c r="B6303" s="12" t="str">
        <f>IFERROR(VLOOKUP(D6303,'[1]Перечень товаров'!$A$2:$I9525,2,0),"")</f>
        <v>т86</v>
      </c>
      <c r="C6303" s="12" t="str">
        <f>IFERROR(VLOOKUP(D6303,'[1]Перечень товаров'!$A$2:$I9525,3,0),"")</f>
        <v>Техника</v>
      </c>
      <c r="D6303" s="130" t="s">
        <v>1724</v>
      </c>
      <c r="E6303" s="102"/>
      <c r="F6303" s="102"/>
      <c r="G6303" s="95">
        <v>2</v>
      </c>
      <c r="H6303" s="95"/>
      <c r="I6303" s="96"/>
      <c r="J6303" s="96"/>
      <c r="K6303" s="19"/>
      <c r="L6303" s="20"/>
    </row>
    <row r="6304" spans="1:12" ht="31.5" outlineLevel="2">
      <c r="A6304" s="129"/>
      <c r="B6304" s="12" t="str">
        <f>IFERROR(VLOOKUP(D6304,'[1]Перечень товаров'!$A$2:$I9525,2,0),"")</f>
        <v>тм141</v>
      </c>
      <c r="C6304" s="12" t="str">
        <f>IFERROR(VLOOKUP(D6304,'[1]Перечень товаров'!$A$2:$I9525,3,0),"")</f>
        <v>Техника муз</v>
      </c>
      <c r="D6304" s="130" t="s">
        <v>1725</v>
      </c>
      <c r="E6304" s="102"/>
      <c r="F6304" s="102"/>
      <c r="G6304" s="95">
        <v>2</v>
      </c>
      <c r="H6304" s="95"/>
      <c r="I6304" s="96"/>
      <c r="J6304" s="96"/>
      <c r="K6304" s="19"/>
      <c r="L6304" s="20"/>
    </row>
    <row r="6305" spans="1:12" ht="31.5" outlineLevel="2">
      <c r="A6305" s="129"/>
      <c r="B6305" s="12" t="str">
        <f>IFERROR(VLOOKUP(D6305,'[1]Перечень товаров'!$A$2:$I9525,2,0),"")</f>
        <v>тм140</v>
      </c>
      <c r="C6305" s="12" t="str">
        <f>IFERROR(VLOOKUP(D6305,'[1]Перечень товаров'!$A$2:$I9525,3,0),"")</f>
        <v>Техника муз</v>
      </c>
      <c r="D6305" s="130" t="s">
        <v>1726</v>
      </c>
      <c r="E6305" s="102"/>
      <c r="F6305" s="102"/>
      <c r="G6305" s="95">
        <v>1</v>
      </c>
      <c r="H6305" s="95"/>
      <c r="I6305" s="96"/>
      <c r="J6305" s="96"/>
      <c r="K6305" s="19"/>
      <c r="L6305" s="20"/>
    </row>
    <row r="6306" spans="1:12" ht="31.5" outlineLevel="2">
      <c r="A6306" s="129"/>
      <c r="B6306" s="12" t="str">
        <f>IFERROR(VLOOKUP(D6306,'[1]Перечень товаров'!$A$2:$I9525,2,0),"")</f>
        <v>тм139</v>
      </c>
      <c r="C6306" s="12" t="str">
        <f>IFERROR(VLOOKUP(D6306,'[1]Перечень товаров'!$A$2:$I9525,3,0),"")</f>
        <v>Техника муз</v>
      </c>
      <c r="D6306" s="130" t="s">
        <v>1727</v>
      </c>
      <c r="E6306" s="102"/>
      <c r="F6306" s="102"/>
      <c r="G6306" s="95">
        <v>2</v>
      </c>
      <c r="H6306" s="95"/>
      <c r="I6306" s="96"/>
      <c r="J6306" s="96"/>
      <c r="K6306" s="19"/>
      <c r="L6306" s="20"/>
    </row>
    <row r="6307" spans="1:12" ht="31.5" outlineLevel="2">
      <c r="A6307" s="129"/>
      <c r="B6307" s="12" t="str">
        <f>IFERROR(VLOOKUP(D6307,'[1]Перечень товаров'!$A$2:$I9525,2,0),"")</f>
        <v>тм138</v>
      </c>
      <c r="C6307" s="12" t="str">
        <f>IFERROR(VLOOKUP(D6307,'[1]Перечень товаров'!$A$2:$I9525,3,0),"")</f>
        <v>Техника муз</v>
      </c>
      <c r="D6307" s="130" t="s">
        <v>1728</v>
      </c>
      <c r="E6307" s="102"/>
      <c r="F6307" s="102"/>
      <c r="G6307" s="95">
        <v>1</v>
      </c>
      <c r="H6307" s="95"/>
      <c r="I6307" s="96"/>
      <c r="J6307" s="96"/>
      <c r="K6307" s="19"/>
      <c r="L6307" s="20"/>
    </row>
    <row r="6308" spans="1:12" ht="31.5" outlineLevel="2">
      <c r="A6308" s="129"/>
      <c r="B6308" s="12" t="str">
        <f>IFERROR(VLOOKUP(D6308,'[1]Перечень товаров'!$A$2:$I9525,2,0),"")</f>
        <v>тм137</v>
      </c>
      <c r="C6308" s="12" t="str">
        <f>IFERROR(VLOOKUP(D6308,'[1]Перечень товаров'!$A$2:$I9525,3,0),"")</f>
        <v>Техника муз</v>
      </c>
      <c r="D6308" s="130" t="s">
        <v>1729</v>
      </c>
      <c r="E6308" s="102"/>
      <c r="F6308" s="102"/>
      <c r="G6308" s="95">
        <v>1</v>
      </c>
      <c r="H6308" s="95"/>
      <c r="I6308" s="96"/>
      <c r="J6308" s="96"/>
      <c r="K6308" s="19"/>
      <c r="L6308" s="20"/>
    </row>
    <row r="6309" spans="1:12" outlineLevel="2">
      <c r="A6309" s="129"/>
      <c r="B6309" s="12" t="str">
        <f>IFERROR(VLOOKUP(D6309,'[1]Перечень товаров'!$A$2:$I9525,2,0),"")</f>
        <v>тм136</v>
      </c>
      <c r="C6309" s="12" t="str">
        <f>IFERROR(VLOOKUP(D6309,'[1]Перечень товаров'!$A$2:$I9525,3,0),"")</f>
        <v>Техника муз</v>
      </c>
      <c r="D6309" s="130" t="s">
        <v>1730</v>
      </c>
      <c r="E6309" s="102"/>
      <c r="F6309" s="102"/>
      <c r="G6309" s="95">
        <v>1</v>
      </c>
      <c r="H6309" s="95"/>
      <c r="I6309" s="96"/>
      <c r="J6309" s="96"/>
      <c r="K6309" s="19"/>
      <c r="L6309" s="20"/>
    </row>
    <row r="6310" spans="1:12" ht="31.5" outlineLevel="2">
      <c r="A6310" s="129"/>
      <c r="B6310" s="12" t="str">
        <f>IFERROR(VLOOKUP(D6310,'[1]Перечень товаров'!$A$2:$I9525,2,0),"")</f>
        <v>тм135</v>
      </c>
      <c r="C6310" s="12" t="str">
        <f>IFERROR(VLOOKUP(D6310,'[1]Перечень товаров'!$A$2:$I9525,3,0),"")</f>
        <v>Техника муз</v>
      </c>
      <c r="D6310" s="130" t="s">
        <v>1731</v>
      </c>
      <c r="E6310" s="102"/>
      <c r="F6310" s="102"/>
      <c r="G6310" s="95">
        <v>1</v>
      </c>
      <c r="H6310" s="95"/>
      <c r="I6310" s="96"/>
      <c r="J6310" s="96"/>
      <c r="K6310" s="19"/>
      <c r="L6310" s="20"/>
    </row>
    <row r="6311" spans="1:12" ht="31.5" outlineLevel="2">
      <c r="A6311" s="129"/>
      <c r="B6311" s="12" t="str">
        <f>IFERROR(VLOOKUP(D6311,'[1]Перечень товаров'!$A$2:$I9525,2,0),"")</f>
        <v>тм134</v>
      </c>
      <c r="C6311" s="12" t="str">
        <f>IFERROR(VLOOKUP(D6311,'[1]Перечень товаров'!$A$2:$I9525,3,0),"")</f>
        <v>Техника муз</v>
      </c>
      <c r="D6311" s="130" t="s">
        <v>1732</v>
      </c>
      <c r="E6311" s="102"/>
      <c r="F6311" s="102"/>
      <c r="G6311" s="95">
        <v>1</v>
      </c>
      <c r="H6311" s="95"/>
      <c r="I6311" s="96"/>
      <c r="J6311" s="96"/>
      <c r="K6311" s="19"/>
      <c r="L6311" s="20"/>
    </row>
    <row r="6312" spans="1:12" ht="31.5" outlineLevel="2">
      <c r="A6312" s="129"/>
      <c r="B6312" s="12" t="str">
        <f>IFERROR(VLOOKUP(D6312,'[1]Перечень товаров'!$A$2:$I9525,2,0),"")</f>
        <v>тм133</v>
      </c>
      <c r="C6312" s="12" t="str">
        <f>IFERROR(VLOOKUP(D6312,'[1]Перечень товаров'!$A$2:$I9525,3,0),"")</f>
        <v>Техника муз</v>
      </c>
      <c r="D6312" s="130" t="s">
        <v>1733</v>
      </c>
      <c r="E6312" s="102"/>
      <c r="F6312" s="102"/>
      <c r="G6312" s="95">
        <v>1</v>
      </c>
      <c r="H6312" s="95"/>
      <c r="I6312" s="96"/>
      <c r="J6312" s="96"/>
      <c r="K6312" s="19"/>
      <c r="L6312" s="20"/>
    </row>
    <row r="6313" spans="1:12" ht="47.25" outlineLevel="2">
      <c r="A6313" s="129"/>
      <c r="B6313" s="12" t="str">
        <f>IFERROR(VLOOKUP(D6313,'[1]Перечень товаров'!$A$2:$I9525,2,0),"")</f>
        <v>тм132</v>
      </c>
      <c r="C6313" s="12" t="str">
        <f>IFERROR(VLOOKUP(D6313,'[1]Перечень товаров'!$A$2:$I9525,3,0),"")</f>
        <v>Техника муз</v>
      </c>
      <c r="D6313" s="130" t="s">
        <v>1734</v>
      </c>
      <c r="E6313" s="102"/>
      <c r="F6313" s="102"/>
      <c r="G6313" s="95">
        <v>1</v>
      </c>
      <c r="H6313" s="95"/>
      <c r="I6313" s="96"/>
      <c r="J6313" s="96"/>
      <c r="K6313" s="19"/>
      <c r="L6313" s="20"/>
    </row>
    <row r="6314" spans="1:12" outlineLevel="2">
      <c r="A6314" s="125"/>
      <c r="B6314" s="12" t="str">
        <f>IFERROR(VLOOKUP(D6314,'[1]Перечень товаров'!$A$2:$I9525,2,0),"")</f>
        <v/>
      </c>
      <c r="C6314" s="12" t="str">
        <f>IFERROR(VLOOKUP(D6314,'[1]Перечень товаров'!$A$2:$I9525,3,0),"")</f>
        <v/>
      </c>
      <c r="D6314" s="126" t="s">
        <v>1735</v>
      </c>
      <c r="E6314" s="79"/>
      <c r="F6314" s="79"/>
      <c r="G6314" s="131"/>
      <c r="H6314" s="131"/>
      <c r="I6314" s="132"/>
      <c r="J6314" s="132"/>
      <c r="K6314" s="19"/>
      <c r="L6314" s="20"/>
    </row>
    <row r="6315" spans="1:12" ht="31.5" outlineLevel="2">
      <c r="A6315" s="129"/>
      <c r="B6315" s="12" t="str">
        <f>IFERROR(VLOOKUP(D6315,'[1]Перечень товаров'!$A$2:$I9525,2,0),"")</f>
        <v>тм131</v>
      </c>
      <c r="C6315" s="12" t="str">
        <f>IFERROR(VLOOKUP(D6315,'[1]Перечень товаров'!$A$2:$I9525,3,0),"")</f>
        <v>Техника муз</v>
      </c>
      <c r="D6315" s="130" t="s">
        <v>1736</v>
      </c>
      <c r="E6315" s="102"/>
      <c r="F6315" s="102"/>
      <c r="G6315" s="95">
        <v>2</v>
      </c>
      <c r="H6315" s="95"/>
      <c r="I6315" s="96"/>
      <c r="J6315" s="96"/>
      <c r="K6315" s="19"/>
      <c r="L6315" s="20"/>
    </row>
    <row r="6316" spans="1:12" ht="47.25" outlineLevel="2">
      <c r="A6316" s="129"/>
      <c r="B6316" s="12" t="str">
        <f>IFERROR(VLOOKUP(D6316,'[1]Перечень товаров'!$A$2:$I9525,2,0),"")</f>
        <v>тм130</v>
      </c>
      <c r="C6316" s="12" t="str">
        <f>IFERROR(VLOOKUP(D6316,'[1]Перечень товаров'!$A$2:$I9525,3,0),"")</f>
        <v>Техника муз</v>
      </c>
      <c r="D6316" s="130" t="s">
        <v>1737</v>
      </c>
      <c r="E6316" s="102"/>
      <c r="F6316" s="102"/>
      <c r="G6316" s="95">
        <v>1</v>
      </c>
      <c r="H6316" s="95"/>
      <c r="I6316" s="96"/>
      <c r="J6316" s="96"/>
      <c r="K6316" s="19"/>
      <c r="L6316" s="20"/>
    </row>
    <row r="6317" spans="1:12" ht="31.5" outlineLevel="2">
      <c r="A6317" s="129"/>
      <c r="B6317" s="12" t="str">
        <f>IFERROR(VLOOKUP(D6317,'[1]Перечень товаров'!$A$2:$I9525,2,0),"")</f>
        <v>т85</v>
      </c>
      <c r="C6317" s="12" t="str">
        <f>IFERROR(VLOOKUP(D6317,'[1]Перечень товаров'!$A$2:$I9525,3,0),"")</f>
        <v>Техника</v>
      </c>
      <c r="D6317" s="130" t="s">
        <v>1738</v>
      </c>
      <c r="E6317" s="102"/>
      <c r="F6317" s="102"/>
      <c r="G6317" s="95">
        <v>1</v>
      </c>
      <c r="H6317" s="95"/>
      <c r="I6317" s="96"/>
      <c r="J6317" s="96"/>
      <c r="K6317" s="19"/>
      <c r="L6317" s="20"/>
    </row>
    <row r="6318" spans="1:12" ht="31.5" outlineLevel="2">
      <c r="A6318" s="129"/>
      <c r="B6318" s="12" t="str">
        <f>IFERROR(VLOOKUP(D6318,'[1]Перечень товаров'!$A$2:$I9525,2,0),"")</f>
        <v>тм149</v>
      </c>
      <c r="C6318" s="12" t="str">
        <f>IFERROR(VLOOKUP(D6318,'[1]Перечень товаров'!$A$2:$I9525,3,0),"")</f>
        <v>Техника муз</v>
      </c>
      <c r="D6318" s="130" t="s">
        <v>1639</v>
      </c>
      <c r="E6318" s="102"/>
      <c r="F6318" s="102"/>
      <c r="G6318" s="95">
        <v>2</v>
      </c>
      <c r="H6318" s="95"/>
      <c r="I6318" s="96"/>
      <c r="J6318" s="96"/>
      <c r="K6318" s="19"/>
      <c r="L6318" s="20"/>
    </row>
    <row r="6319" spans="1:12" ht="31.5" outlineLevel="2">
      <c r="A6319" s="129"/>
      <c r="B6319" s="12" t="str">
        <f>IFERROR(VLOOKUP(D6319,'[1]Перечень товаров'!$A$2:$I9525,2,0),"")</f>
        <v>тм148</v>
      </c>
      <c r="C6319" s="12" t="str">
        <f>IFERROR(VLOOKUP(D6319,'[1]Перечень товаров'!$A$2:$I9525,3,0),"")</f>
        <v>Техника муз</v>
      </c>
      <c r="D6319" s="130" t="s">
        <v>1640</v>
      </c>
      <c r="E6319" s="102"/>
      <c r="F6319" s="102"/>
      <c r="G6319" s="95">
        <v>2</v>
      </c>
      <c r="H6319" s="95"/>
      <c r="I6319" s="96"/>
      <c r="J6319" s="96"/>
      <c r="K6319" s="19"/>
      <c r="L6319" s="20"/>
    </row>
    <row r="6320" spans="1:12" ht="31.5" outlineLevel="2">
      <c r="A6320" s="129"/>
      <c r="B6320" s="12" t="str">
        <f>IFERROR(VLOOKUP(D6320,'[1]Перечень товаров'!$A$2:$I9525,2,0),"")</f>
        <v>тм129</v>
      </c>
      <c r="C6320" s="12" t="str">
        <f>IFERROR(VLOOKUP(D6320,'[1]Перечень товаров'!$A$2:$I9525,3,0),"")</f>
        <v>Техника муз</v>
      </c>
      <c r="D6320" s="130" t="s">
        <v>1739</v>
      </c>
      <c r="E6320" s="102"/>
      <c r="F6320" s="102"/>
      <c r="G6320" s="95">
        <v>6</v>
      </c>
      <c r="H6320" s="95"/>
      <c r="I6320" s="96"/>
      <c r="J6320" s="96"/>
      <c r="K6320" s="19"/>
      <c r="L6320" s="20"/>
    </row>
    <row r="6321" spans="1:12" ht="31.5" outlineLevel="2">
      <c r="A6321" s="129"/>
      <c r="B6321" s="12" t="str">
        <f>IFERROR(VLOOKUP(D6321,'[1]Перечень товаров'!$A$2:$I9525,2,0),"")</f>
        <v>тм128</v>
      </c>
      <c r="C6321" s="12" t="str">
        <f>IFERROR(VLOOKUP(D6321,'[1]Перечень товаров'!$A$2:$I9525,3,0),"")</f>
        <v>Техника муз</v>
      </c>
      <c r="D6321" s="130" t="s">
        <v>1740</v>
      </c>
      <c r="E6321" s="102"/>
      <c r="F6321" s="102"/>
      <c r="G6321" s="95">
        <v>1</v>
      </c>
      <c r="H6321" s="95"/>
      <c r="I6321" s="96"/>
      <c r="J6321" s="96"/>
      <c r="K6321" s="19"/>
      <c r="L6321" s="20"/>
    </row>
    <row r="6322" spans="1:12" ht="31.5" outlineLevel="2">
      <c r="A6322" s="129"/>
      <c r="B6322" s="12" t="str">
        <f>IFERROR(VLOOKUP(D6322,'[1]Перечень товаров'!$A$2:$I9525,2,0),"")</f>
        <v>тм127</v>
      </c>
      <c r="C6322" s="12" t="str">
        <f>IFERROR(VLOOKUP(D6322,'[1]Перечень товаров'!$A$2:$I9525,3,0),"")</f>
        <v>Техника муз</v>
      </c>
      <c r="D6322" s="130" t="s">
        <v>1741</v>
      </c>
      <c r="E6322" s="102"/>
      <c r="F6322" s="102"/>
      <c r="G6322" s="95">
        <v>6</v>
      </c>
      <c r="H6322" s="95"/>
      <c r="I6322" s="96"/>
      <c r="J6322" s="96"/>
      <c r="K6322" s="19"/>
      <c r="L6322" s="20"/>
    </row>
    <row r="6323" spans="1:12" outlineLevel="2">
      <c r="A6323" s="125"/>
      <c r="B6323" s="12" t="str">
        <f>IFERROR(VLOOKUP(D6323,'[1]Перечень товаров'!$A$2:$I9525,2,0),"")</f>
        <v/>
      </c>
      <c r="C6323" s="12" t="str">
        <f>IFERROR(VLOOKUP(D6323,'[1]Перечень товаров'!$A$2:$I9525,3,0),"")</f>
        <v/>
      </c>
      <c r="D6323" s="126" t="s">
        <v>1742</v>
      </c>
      <c r="E6323" s="79"/>
      <c r="F6323" s="79"/>
      <c r="G6323" s="131"/>
      <c r="H6323" s="131"/>
      <c r="I6323" s="132"/>
      <c r="J6323" s="132"/>
      <c r="K6323" s="19"/>
      <c r="L6323" s="20"/>
    </row>
    <row r="6324" spans="1:12" ht="47.25" outlineLevel="2">
      <c r="A6324" s="129"/>
      <c r="B6324" s="12" t="str">
        <f>IFERROR(VLOOKUP(D6324,'[1]Перечень товаров'!$A$2:$I9525,2,0),"")</f>
        <v>тм126</v>
      </c>
      <c r="C6324" s="12" t="str">
        <f>IFERROR(VLOOKUP(D6324,'[1]Перечень товаров'!$A$2:$I9525,3,0),"")</f>
        <v>Техника муз</v>
      </c>
      <c r="D6324" s="130" t="s">
        <v>1743</v>
      </c>
      <c r="E6324" s="102"/>
      <c r="F6324" s="102"/>
      <c r="G6324" s="95">
        <v>2</v>
      </c>
      <c r="H6324" s="95"/>
      <c r="I6324" s="96"/>
      <c r="J6324" s="96"/>
      <c r="K6324" s="19"/>
      <c r="L6324" s="20"/>
    </row>
    <row r="6325" spans="1:12" ht="47.25" outlineLevel="2">
      <c r="A6325" s="129"/>
      <c r="B6325" s="12" t="str">
        <f>IFERROR(VLOOKUP(D6325,'[1]Перечень товаров'!$A$2:$I9525,2,0),"")</f>
        <v>тм125</v>
      </c>
      <c r="C6325" s="12" t="str">
        <f>IFERROR(VLOOKUP(D6325,'[1]Перечень товаров'!$A$2:$I9525,3,0),"")</f>
        <v>Техника муз</v>
      </c>
      <c r="D6325" s="130" t="s">
        <v>1744</v>
      </c>
      <c r="E6325" s="102"/>
      <c r="F6325" s="102"/>
      <c r="G6325" s="95">
        <v>1</v>
      </c>
      <c r="H6325" s="95"/>
      <c r="I6325" s="96"/>
      <c r="J6325" s="96"/>
      <c r="K6325" s="19"/>
      <c r="L6325" s="20"/>
    </row>
    <row r="6326" spans="1:12" ht="31.5" outlineLevel="2">
      <c r="A6326" s="129"/>
      <c r="B6326" s="12" t="str">
        <f>IFERROR(VLOOKUP(D6326,'[1]Перечень товаров'!$A$2:$I9525,2,0),"")</f>
        <v>тм124</v>
      </c>
      <c r="C6326" s="12" t="str">
        <f>IFERROR(VLOOKUP(D6326,'[1]Перечень товаров'!$A$2:$I9525,3,0),"")</f>
        <v>Техника муз</v>
      </c>
      <c r="D6326" s="130" t="s">
        <v>1745</v>
      </c>
      <c r="E6326" s="102"/>
      <c r="F6326" s="102"/>
      <c r="G6326" s="95">
        <v>1</v>
      </c>
      <c r="H6326" s="95"/>
      <c r="I6326" s="96"/>
      <c r="J6326" s="96"/>
      <c r="K6326" s="19"/>
      <c r="L6326" s="20"/>
    </row>
    <row r="6327" spans="1:12" ht="31.5" outlineLevel="2">
      <c r="A6327" s="129"/>
      <c r="B6327" s="12" t="str">
        <f>IFERROR(VLOOKUP(D6327,'[1]Перечень товаров'!$A$2:$I9525,2,0),"")</f>
        <v>тм123</v>
      </c>
      <c r="C6327" s="12" t="str">
        <f>IFERROR(VLOOKUP(D6327,'[1]Перечень товаров'!$A$2:$I9525,3,0),"")</f>
        <v>Техника муз</v>
      </c>
      <c r="D6327" s="130" t="s">
        <v>1746</v>
      </c>
      <c r="E6327" s="102"/>
      <c r="F6327" s="102"/>
      <c r="G6327" s="95">
        <v>1</v>
      </c>
      <c r="H6327" s="95"/>
      <c r="I6327" s="96"/>
      <c r="J6327" s="96"/>
      <c r="K6327" s="19"/>
      <c r="L6327" s="20"/>
    </row>
    <row r="6328" spans="1:12" ht="31.5" outlineLevel="2">
      <c r="A6328" s="129"/>
      <c r="B6328" s="12" t="str">
        <f>IFERROR(VLOOKUP(D6328,'[1]Перечень товаров'!$A$2:$I9525,2,0),"")</f>
        <v>тм122</v>
      </c>
      <c r="C6328" s="12" t="str">
        <f>IFERROR(VLOOKUP(D6328,'[1]Перечень товаров'!$A$2:$I9525,3,0),"")</f>
        <v>Техника муз</v>
      </c>
      <c r="D6328" s="130" t="s">
        <v>1747</v>
      </c>
      <c r="E6328" s="102"/>
      <c r="F6328" s="102"/>
      <c r="G6328" s="95">
        <v>6</v>
      </c>
      <c r="H6328" s="95"/>
      <c r="I6328" s="96"/>
      <c r="J6328" s="96"/>
      <c r="K6328" s="19"/>
      <c r="L6328" s="20"/>
    </row>
    <row r="6329" spans="1:12" ht="31.5" outlineLevel="2">
      <c r="A6329" s="129"/>
      <c r="B6329" s="12" t="str">
        <f>IFERROR(VLOOKUP(D6329,'[1]Перечень товаров'!$A$2:$I9525,2,0),"")</f>
        <v>тм121</v>
      </c>
      <c r="C6329" s="12" t="str">
        <f>IFERROR(VLOOKUP(D6329,'[1]Перечень товаров'!$A$2:$I9525,3,0),"")</f>
        <v>Техника муз</v>
      </c>
      <c r="D6329" s="130" t="s">
        <v>1748</v>
      </c>
      <c r="E6329" s="102"/>
      <c r="F6329" s="102"/>
      <c r="G6329" s="95">
        <v>1</v>
      </c>
      <c r="H6329" s="95"/>
      <c r="I6329" s="96"/>
      <c r="J6329" s="96"/>
      <c r="K6329" s="19"/>
      <c r="L6329" s="20"/>
    </row>
    <row r="6330" spans="1:12" ht="31.5" outlineLevel="2">
      <c r="A6330" s="129"/>
      <c r="B6330" s="12" t="str">
        <f>IFERROR(VLOOKUP(D6330,'[1]Перечень товаров'!$A$2:$I9525,2,0),"")</f>
        <v>тм120</v>
      </c>
      <c r="C6330" s="12" t="str">
        <f>IFERROR(VLOOKUP(D6330,'[1]Перечень товаров'!$A$2:$I9525,3,0),"")</f>
        <v>Техника муз</v>
      </c>
      <c r="D6330" s="130" t="s">
        <v>1749</v>
      </c>
      <c r="E6330" s="102"/>
      <c r="F6330" s="102"/>
      <c r="G6330" s="95">
        <v>2</v>
      </c>
      <c r="H6330" s="95"/>
      <c r="I6330" s="96"/>
      <c r="J6330" s="96"/>
      <c r="K6330" s="19"/>
      <c r="L6330" s="20"/>
    </row>
    <row r="6331" spans="1:12" ht="31.5" outlineLevel="2">
      <c r="A6331" s="129"/>
      <c r="B6331" s="12" t="str">
        <f>IFERROR(VLOOKUP(D6331,'[1]Перечень товаров'!$A$2:$I9525,2,0),"")</f>
        <v>тм119</v>
      </c>
      <c r="C6331" s="12" t="str">
        <f>IFERROR(VLOOKUP(D6331,'[1]Перечень товаров'!$A$2:$I9525,3,0),"")</f>
        <v>Техника муз</v>
      </c>
      <c r="D6331" s="130" t="s">
        <v>1750</v>
      </c>
      <c r="E6331" s="102"/>
      <c r="F6331" s="102"/>
      <c r="G6331" s="95">
        <v>2</v>
      </c>
      <c r="H6331" s="95"/>
      <c r="I6331" s="96"/>
      <c r="J6331" s="96"/>
      <c r="K6331" s="19"/>
      <c r="L6331" s="20"/>
    </row>
    <row r="6332" spans="1:12" ht="31.5" outlineLevel="2">
      <c r="A6332" s="129"/>
      <c r="B6332" s="12" t="str">
        <f>IFERROR(VLOOKUP(D6332,'[1]Перечень товаров'!$A$2:$I9525,2,0),"")</f>
        <v>тм118</v>
      </c>
      <c r="C6332" s="12" t="str">
        <f>IFERROR(VLOOKUP(D6332,'[1]Перечень товаров'!$A$2:$I9525,3,0),"")</f>
        <v>Техника муз</v>
      </c>
      <c r="D6332" s="130" t="s">
        <v>1751</v>
      </c>
      <c r="E6332" s="102"/>
      <c r="F6332" s="102"/>
      <c r="G6332" s="95">
        <v>2</v>
      </c>
      <c r="H6332" s="95"/>
      <c r="I6332" s="96"/>
      <c r="J6332" s="96"/>
      <c r="K6332" s="19"/>
      <c r="L6332" s="20"/>
    </row>
    <row r="6333" spans="1:12" ht="47.25" outlineLevel="2">
      <c r="A6333" s="129"/>
      <c r="B6333" s="12" t="str">
        <f>IFERROR(VLOOKUP(D6333,'[1]Перечень товаров'!$A$2:$I9525,2,0),"")</f>
        <v>тм117</v>
      </c>
      <c r="C6333" s="12" t="str">
        <f>IFERROR(VLOOKUP(D6333,'[1]Перечень товаров'!$A$2:$I9525,3,0),"")</f>
        <v>Техника муз</v>
      </c>
      <c r="D6333" s="130" t="s">
        <v>1752</v>
      </c>
      <c r="E6333" s="102"/>
      <c r="F6333" s="102"/>
      <c r="G6333" s="95">
        <v>1</v>
      </c>
      <c r="H6333" s="95"/>
      <c r="I6333" s="96"/>
      <c r="J6333" s="96"/>
      <c r="K6333" s="19"/>
      <c r="L6333" s="20"/>
    </row>
    <row r="6334" spans="1:12" ht="31.5" outlineLevel="2">
      <c r="A6334" s="129"/>
      <c r="B6334" s="12" t="str">
        <f>IFERROR(VLOOKUP(D6334,'[1]Перечень товаров'!$A$2:$I9525,2,0),"")</f>
        <v>тм116</v>
      </c>
      <c r="C6334" s="12" t="str">
        <f>IFERROR(VLOOKUP(D6334,'[1]Перечень товаров'!$A$2:$I9525,3,0),"")</f>
        <v>Техника муз</v>
      </c>
      <c r="D6334" s="130" t="s">
        <v>1753</v>
      </c>
      <c r="E6334" s="102"/>
      <c r="F6334" s="102"/>
      <c r="G6334" s="95">
        <v>2</v>
      </c>
      <c r="H6334" s="95"/>
      <c r="I6334" s="96"/>
      <c r="J6334" s="96"/>
      <c r="K6334" s="19"/>
      <c r="L6334" s="20"/>
    </row>
    <row r="6335" spans="1:12" ht="47.25" outlineLevel="2">
      <c r="A6335" s="129"/>
      <c r="B6335" s="12" t="str">
        <f>IFERROR(VLOOKUP(D6335,'[1]Перечень товаров'!$A$2:$I9525,2,0),"")</f>
        <v>тм115</v>
      </c>
      <c r="C6335" s="12" t="str">
        <f>IFERROR(VLOOKUP(D6335,'[1]Перечень товаров'!$A$2:$I9525,3,0),"")</f>
        <v>Техника муз</v>
      </c>
      <c r="D6335" s="130" t="s">
        <v>1754</v>
      </c>
      <c r="E6335" s="102"/>
      <c r="F6335" s="102"/>
      <c r="G6335" s="95">
        <v>1</v>
      </c>
      <c r="H6335" s="95"/>
      <c r="I6335" s="96"/>
      <c r="J6335" s="96"/>
      <c r="K6335" s="19"/>
      <c r="L6335" s="20"/>
    </row>
    <row r="6336" spans="1:12" ht="31.5" outlineLevel="2">
      <c r="A6336" s="129"/>
      <c r="B6336" s="12" t="str">
        <f>IFERROR(VLOOKUP(D6336,'[1]Перечень товаров'!$A$2:$I9525,2,0),"")</f>
        <v>тм114</v>
      </c>
      <c r="C6336" s="12" t="str">
        <f>IFERROR(VLOOKUP(D6336,'[1]Перечень товаров'!$A$2:$I9525,3,0),"")</f>
        <v>Техника муз</v>
      </c>
      <c r="D6336" s="130" t="s">
        <v>1755</v>
      </c>
      <c r="E6336" s="102"/>
      <c r="F6336" s="102"/>
      <c r="G6336" s="95">
        <v>1</v>
      </c>
      <c r="H6336" s="95"/>
      <c r="I6336" s="96"/>
      <c r="J6336" s="96"/>
      <c r="K6336" s="19"/>
      <c r="L6336" s="20"/>
    </row>
    <row r="6337" spans="1:12" ht="31.5" outlineLevel="2">
      <c r="A6337" s="125"/>
      <c r="B6337" s="12" t="str">
        <f>IFERROR(VLOOKUP(D6337,'[1]Перечень товаров'!$A$2:$I9525,2,0),"")</f>
        <v/>
      </c>
      <c r="C6337" s="12" t="str">
        <f>IFERROR(VLOOKUP(D6337,'[1]Перечень товаров'!$A$2:$I9525,3,0),"")</f>
        <v/>
      </c>
      <c r="D6337" s="126" t="s">
        <v>1756</v>
      </c>
      <c r="E6337" s="79"/>
      <c r="F6337" s="79"/>
      <c r="G6337" s="131"/>
      <c r="H6337" s="131"/>
      <c r="I6337" s="132"/>
      <c r="J6337" s="132"/>
      <c r="K6337" s="19"/>
      <c r="L6337" s="20"/>
    </row>
    <row r="6338" spans="1:12" ht="47.25" outlineLevel="2">
      <c r="A6338" s="129"/>
      <c r="B6338" s="12" t="str">
        <f>IFERROR(VLOOKUP(D6338,'[1]Перечень товаров'!$A$2:$I9525,2,0),"")</f>
        <v>т84</v>
      </c>
      <c r="C6338" s="12" t="str">
        <f>IFERROR(VLOOKUP(D6338,'[1]Перечень товаров'!$A$2:$I9525,3,0),"")</f>
        <v>Техника</v>
      </c>
      <c r="D6338" s="130" t="s">
        <v>1757</v>
      </c>
      <c r="E6338" s="102"/>
      <c r="F6338" s="102"/>
      <c r="G6338" s="95">
        <v>1</v>
      </c>
      <c r="H6338" s="95"/>
      <c r="I6338" s="96"/>
      <c r="J6338" s="96"/>
      <c r="K6338" s="19"/>
      <c r="L6338" s="20"/>
    </row>
    <row r="6339" spans="1:12" ht="31.5" outlineLevel="2">
      <c r="A6339" s="129"/>
      <c r="B6339" s="12" t="str">
        <f>IFERROR(VLOOKUP(D6339,'[1]Перечень товаров'!$A$2:$I9525,2,0),"")</f>
        <v>т83</v>
      </c>
      <c r="C6339" s="12" t="str">
        <f>IFERROR(VLOOKUP(D6339,'[1]Перечень товаров'!$A$2:$I9525,3,0),"")</f>
        <v>Техника</v>
      </c>
      <c r="D6339" s="130" t="s">
        <v>1758</v>
      </c>
      <c r="E6339" s="102"/>
      <c r="F6339" s="102"/>
      <c r="G6339" s="95">
        <v>2</v>
      </c>
      <c r="H6339" s="95"/>
      <c r="I6339" s="96"/>
      <c r="J6339" s="96"/>
      <c r="K6339" s="19"/>
      <c r="L6339" s="20"/>
    </row>
    <row r="6340" spans="1:12" ht="31.5" outlineLevel="2">
      <c r="A6340" s="129"/>
      <c r="B6340" s="12" t="str">
        <f>IFERROR(VLOOKUP(D6340,'[1]Перечень товаров'!$A$2:$I9525,2,0),"")</f>
        <v>тм113</v>
      </c>
      <c r="C6340" s="12" t="str">
        <f>IFERROR(VLOOKUP(D6340,'[1]Перечень товаров'!$A$2:$I9525,3,0),"")</f>
        <v>Техника муз</v>
      </c>
      <c r="D6340" s="130" t="s">
        <v>1759</v>
      </c>
      <c r="E6340" s="102"/>
      <c r="F6340" s="102"/>
      <c r="G6340" s="95">
        <v>1</v>
      </c>
      <c r="H6340" s="95"/>
      <c r="I6340" s="96"/>
      <c r="J6340" s="96"/>
      <c r="K6340" s="19"/>
      <c r="L6340" s="20"/>
    </row>
    <row r="6341" spans="1:12" ht="31.5" outlineLevel="2">
      <c r="A6341" s="129"/>
      <c r="B6341" s="12" t="str">
        <f>IFERROR(VLOOKUP(D6341,'[1]Перечень товаров'!$A$2:$I9525,2,0),"")</f>
        <v>тм112</v>
      </c>
      <c r="C6341" s="12" t="str">
        <f>IFERROR(VLOOKUP(D6341,'[1]Перечень товаров'!$A$2:$I9525,3,0),"")</f>
        <v>Техника муз</v>
      </c>
      <c r="D6341" s="130" t="s">
        <v>1760</v>
      </c>
      <c r="E6341" s="102"/>
      <c r="F6341" s="102"/>
      <c r="G6341" s="95">
        <v>2</v>
      </c>
      <c r="H6341" s="95"/>
      <c r="I6341" s="96"/>
      <c r="J6341" s="96"/>
      <c r="K6341" s="19"/>
      <c r="L6341" s="20"/>
    </row>
    <row r="6342" spans="1:12" outlineLevel="2">
      <c r="A6342" s="129"/>
      <c r="B6342" s="12" t="str">
        <f>IFERROR(VLOOKUP(D6342,'[1]Перечень товаров'!$A$2:$I9525,2,0),"")</f>
        <v>д244</v>
      </c>
      <c r="C6342" s="12" t="str">
        <f>IFERROR(VLOOKUP(D6342,'[1]Перечень товаров'!$A$2:$I9525,3,0),"")</f>
        <v>Дидактика</v>
      </c>
      <c r="D6342" s="130" t="s">
        <v>1761</v>
      </c>
      <c r="E6342" s="102"/>
      <c r="F6342" s="102"/>
      <c r="G6342" s="95">
        <v>5</v>
      </c>
      <c r="H6342" s="95"/>
      <c r="I6342" s="96"/>
      <c r="J6342" s="96"/>
      <c r="K6342" s="19"/>
      <c r="L6342" s="20"/>
    </row>
    <row r="6343" spans="1:12" outlineLevel="2">
      <c r="A6343" s="129"/>
      <c r="B6343" s="12" t="str">
        <f>IFERROR(VLOOKUP(D6343,'[1]Перечень товаров'!$A$2:$I9525,2,0),"")</f>
        <v>тм111</v>
      </c>
      <c r="C6343" s="12" t="str">
        <f>IFERROR(VLOOKUP(D6343,'[1]Перечень товаров'!$A$2:$I9525,3,0),"")</f>
        <v>Техника муз</v>
      </c>
      <c r="D6343" s="130" t="s">
        <v>1762</v>
      </c>
      <c r="E6343" s="102"/>
      <c r="F6343" s="102"/>
      <c r="G6343" s="95">
        <v>1</v>
      </c>
      <c r="H6343" s="95"/>
      <c r="I6343" s="96"/>
      <c r="J6343" s="96"/>
      <c r="K6343" s="19"/>
      <c r="L6343" s="20"/>
    </row>
    <row r="6344" spans="1:12" ht="31.5" outlineLevel="2">
      <c r="A6344" s="129"/>
      <c r="B6344" s="12" t="str">
        <f>IFERROR(VLOOKUP(D6344,'[1]Перечень товаров'!$A$2:$I9525,2,0),"")</f>
        <v>тм110</v>
      </c>
      <c r="C6344" s="12" t="str">
        <f>IFERROR(VLOOKUP(D6344,'[1]Перечень товаров'!$A$2:$I9525,3,0),"")</f>
        <v>Техника муз</v>
      </c>
      <c r="D6344" s="130" t="s">
        <v>1763</v>
      </c>
      <c r="E6344" s="102"/>
      <c r="F6344" s="102"/>
      <c r="G6344" s="95">
        <v>1</v>
      </c>
      <c r="H6344" s="95"/>
      <c r="I6344" s="96"/>
      <c r="J6344" s="96"/>
      <c r="K6344" s="19"/>
      <c r="L6344" s="20"/>
    </row>
    <row r="6345" spans="1:12" ht="31.5" outlineLevel="2">
      <c r="A6345" s="129"/>
      <c r="B6345" s="12" t="str">
        <f>IFERROR(VLOOKUP(D6345,'[1]Перечень товаров'!$A$2:$I9525,2,0),"")</f>
        <v>тм109</v>
      </c>
      <c r="C6345" s="12" t="str">
        <f>IFERROR(VLOOKUP(D6345,'[1]Перечень товаров'!$A$2:$I9525,3,0),"")</f>
        <v>Техника муз</v>
      </c>
      <c r="D6345" s="130" t="s">
        <v>1764</v>
      </c>
      <c r="E6345" s="102"/>
      <c r="F6345" s="102"/>
      <c r="G6345" s="95">
        <v>1</v>
      </c>
      <c r="H6345" s="95"/>
      <c r="I6345" s="96"/>
      <c r="J6345" s="96"/>
      <c r="K6345" s="19"/>
      <c r="L6345" s="20"/>
    </row>
    <row r="6346" spans="1:12" ht="31.5" outlineLevel="2">
      <c r="A6346" s="129"/>
      <c r="B6346" s="12" t="str">
        <f>IFERROR(VLOOKUP(D6346,'[1]Перечень товаров'!$A$2:$I9525,2,0),"")</f>
        <v>тм108</v>
      </c>
      <c r="C6346" s="12" t="str">
        <f>IFERROR(VLOOKUP(D6346,'[1]Перечень товаров'!$A$2:$I9525,3,0),"")</f>
        <v>Техника муз</v>
      </c>
      <c r="D6346" s="130" t="s">
        <v>1765</v>
      </c>
      <c r="E6346" s="102"/>
      <c r="F6346" s="102"/>
      <c r="G6346" s="95">
        <v>1</v>
      </c>
      <c r="H6346" s="95"/>
      <c r="I6346" s="96"/>
      <c r="J6346" s="96"/>
      <c r="K6346" s="19"/>
      <c r="L6346" s="20"/>
    </row>
    <row r="6347" spans="1:12" ht="47.25" outlineLevel="2">
      <c r="A6347" s="129"/>
      <c r="B6347" s="12" t="str">
        <f>IFERROR(VLOOKUP(D6347,'[1]Перечень товаров'!$A$2:$I9525,2,0),"")</f>
        <v>т82</v>
      </c>
      <c r="C6347" s="12" t="str">
        <f>IFERROR(VLOOKUP(D6347,'[1]Перечень товаров'!$A$2:$I9525,3,0),"")</f>
        <v>Техника</v>
      </c>
      <c r="D6347" s="130" t="s">
        <v>1766</v>
      </c>
      <c r="E6347" s="102"/>
      <c r="F6347" s="102"/>
      <c r="G6347" s="95">
        <v>5</v>
      </c>
      <c r="H6347" s="95"/>
      <c r="I6347" s="96"/>
      <c r="J6347" s="96"/>
      <c r="K6347" s="19"/>
      <c r="L6347" s="20"/>
    </row>
    <row r="6348" spans="1:12" outlineLevel="2">
      <c r="A6348" s="129"/>
      <c r="B6348" s="12" t="str">
        <f>IFERROR(VLOOKUP(D6348,'[1]Перечень товаров'!$A$2:$I9525,2,0),"")</f>
        <v>т4</v>
      </c>
      <c r="C6348" s="12" t="str">
        <f>IFERROR(VLOOKUP(D6348,'[1]Перечень товаров'!$A$2:$I9525,3,0),"")</f>
        <v xml:space="preserve">Техника </v>
      </c>
      <c r="D6348" s="35" t="s">
        <v>31</v>
      </c>
      <c r="E6348" s="102"/>
      <c r="F6348" s="102"/>
      <c r="G6348" s="95">
        <v>2</v>
      </c>
      <c r="H6348" s="95"/>
      <c r="I6348" s="96"/>
      <c r="J6348" s="96"/>
      <c r="K6348" s="19"/>
      <c r="L6348" s="20"/>
    </row>
    <row r="6349" spans="1:12" ht="31.5" outlineLevel="2">
      <c r="A6349" s="129"/>
      <c r="B6349" s="12" t="str">
        <f>IFERROR(VLOOKUP(D6349,'[1]Перечень товаров'!$A$2:$I9525,2,0),"")</f>
        <v>т81</v>
      </c>
      <c r="C6349" s="12" t="str">
        <f>IFERROR(VLOOKUP(D6349,'[1]Перечень товаров'!$A$2:$I9525,3,0),"")</f>
        <v>Техника</v>
      </c>
      <c r="D6349" s="130" t="s">
        <v>1767</v>
      </c>
      <c r="E6349" s="102"/>
      <c r="F6349" s="102"/>
      <c r="G6349" s="95">
        <v>8</v>
      </c>
      <c r="H6349" s="95"/>
      <c r="I6349" s="96"/>
      <c r="J6349" s="96"/>
      <c r="K6349" s="19"/>
      <c r="L6349" s="20"/>
    </row>
    <row r="6350" spans="1:12" ht="31.5" outlineLevel="2">
      <c r="A6350" s="125"/>
      <c r="B6350" s="12" t="str">
        <f>IFERROR(VLOOKUP(D6350,'[1]Перечень товаров'!$A$2:$I9525,2,0),"")</f>
        <v/>
      </c>
      <c r="C6350" s="12" t="str">
        <f>IFERROR(VLOOKUP(D6350,'[1]Перечень товаров'!$A$2:$I9525,3,0),"")</f>
        <v/>
      </c>
      <c r="D6350" s="126" t="s">
        <v>1768</v>
      </c>
      <c r="E6350" s="79"/>
      <c r="F6350" s="79"/>
      <c r="G6350" s="131"/>
      <c r="H6350" s="131"/>
      <c r="I6350" s="132"/>
      <c r="J6350" s="132"/>
      <c r="K6350" s="19"/>
      <c r="L6350" s="20"/>
    </row>
    <row r="6351" spans="1:12" ht="31.5" outlineLevel="2">
      <c r="A6351" s="129"/>
      <c r="B6351" s="12" t="str">
        <f>IFERROR(VLOOKUP(D6351,'[1]Перечень товаров'!$A$2:$I9525,2,0),"")</f>
        <v>д243</v>
      </c>
      <c r="C6351" s="12" t="str">
        <f>IFERROR(VLOOKUP(D6351,'[1]Перечень товаров'!$A$2:$I9525,3,0),"")</f>
        <v>Дидактика</v>
      </c>
      <c r="D6351" s="130" t="s">
        <v>1769</v>
      </c>
      <c r="E6351" s="102"/>
      <c r="F6351" s="102"/>
      <c r="G6351" s="95">
        <v>10</v>
      </c>
      <c r="H6351" s="95"/>
      <c r="I6351" s="96"/>
      <c r="J6351" s="96"/>
      <c r="K6351" s="19"/>
      <c r="L6351" s="20"/>
    </row>
    <row r="6352" spans="1:12" ht="31.5" outlineLevel="2">
      <c r="A6352" s="129"/>
      <c r="B6352" s="12" t="str">
        <f>IFERROR(VLOOKUP(D6352,'[1]Перечень товаров'!$A$2:$I9525,2,0),"")</f>
        <v>д242</v>
      </c>
      <c r="C6352" s="12" t="str">
        <f>IFERROR(VLOOKUP(D6352,'[1]Перечень товаров'!$A$2:$I9525,3,0),"")</f>
        <v>Дидактика</v>
      </c>
      <c r="D6352" s="130" t="s">
        <v>1770</v>
      </c>
      <c r="E6352" s="102"/>
      <c r="F6352" s="102"/>
      <c r="G6352" s="95">
        <v>5</v>
      </c>
      <c r="H6352" s="95"/>
      <c r="I6352" s="96"/>
      <c r="J6352" s="96"/>
      <c r="K6352" s="19"/>
      <c r="L6352" s="20"/>
    </row>
    <row r="6353" spans="1:12" outlineLevel="2">
      <c r="A6353" s="129"/>
      <c r="B6353" s="12" t="str">
        <f>IFERROR(VLOOKUP(D6353,'[1]Перечень товаров'!$A$2:$I9525,2,0),"")</f>
        <v>д241</v>
      </c>
      <c r="C6353" s="12" t="str">
        <f>IFERROR(VLOOKUP(D6353,'[1]Перечень товаров'!$A$2:$I9525,3,0),"")</f>
        <v>Дидактика</v>
      </c>
      <c r="D6353" s="130" t="s">
        <v>1771</v>
      </c>
      <c r="E6353" s="102"/>
      <c r="F6353" s="102"/>
      <c r="G6353" s="95">
        <v>10</v>
      </c>
      <c r="H6353" s="95"/>
      <c r="I6353" s="96"/>
      <c r="J6353" s="96"/>
      <c r="K6353" s="19"/>
      <c r="L6353" s="20"/>
    </row>
    <row r="6354" spans="1:12" outlineLevel="2">
      <c r="A6354" s="129"/>
      <c r="B6354" s="12" t="str">
        <f>IFERROR(VLOOKUP(D6354,'[1]Перечень товаров'!$A$2:$I9525,2,0),"")</f>
        <v>д240</v>
      </c>
      <c r="C6354" s="12" t="str">
        <f>IFERROR(VLOOKUP(D6354,'[1]Перечень товаров'!$A$2:$I9525,3,0),"")</f>
        <v>Дидактика</v>
      </c>
      <c r="D6354" s="130" t="s">
        <v>1772</v>
      </c>
      <c r="E6354" s="102"/>
      <c r="F6354" s="102"/>
      <c r="G6354" s="95">
        <v>5</v>
      </c>
      <c r="H6354" s="95"/>
      <c r="I6354" s="96"/>
      <c r="J6354" s="96"/>
      <c r="K6354" s="19"/>
      <c r="L6354" s="20"/>
    </row>
    <row r="6355" spans="1:12" ht="31.5" outlineLevel="2">
      <c r="A6355" s="129"/>
      <c r="B6355" s="12" t="str">
        <f>IFERROR(VLOOKUP(D6355,'[1]Перечень товаров'!$A$2:$I9525,2,0),"")</f>
        <v>т89</v>
      </c>
      <c r="C6355" s="12" t="str">
        <f>IFERROR(VLOOKUP(D6355,'[1]Перечень товаров'!$A$2:$I9525,3,0),"")</f>
        <v>Техника</v>
      </c>
      <c r="D6355" s="130" t="s">
        <v>1665</v>
      </c>
      <c r="E6355" s="102"/>
      <c r="F6355" s="102"/>
      <c r="G6355" s="95">
        <v>10</v>
      </c>
      <c r="H6355" s="95"/>
      <c r="I6355" s="96"/>
      <c r="J6355" s="96"/>
      <c r="K6355" s="19"/>
      <c r="L6355" s="20"/>
    </row>
    <row r="6356" spans="1:12" outlineLevel="2">
      <c r="A6356" s="129"/>
      <c r="B6356" s="12" t="str">
        <f>IFERROR(VLOOKUP(D6356,'[1]Перечень товаров'!$A$2:$I9525,2,0),"")</f>
        <v>д239</v>
      </c>
      <c r="C6356" s="12" t="str">
        <f>IFERROR(VLOOKUP(D6356,'[1]Перечень товаров'!$A$2:$I9525,3,0),"")</f>
        <v>Дидактика</v>
      </c>
      <c r="D6356" s="130" t="s">
        <v>1773</v>
      </c>
      <c r="E6356" s="102"/>
      <c r="F6356" s="102"/>
      <c r="G6356" s="95">
        <v>5</v>
      </c>
      <c r="H6356" s="95"/>
      <c r="I6356" s="96"/>
      <c r="J6356" s="96"/>
      <c r="K6356" s="19"/>
      <c r="L6356" s="20"/>
    </row>
    <row r="6357" spans="1:12" ht="31.5" outlineLevel="2">
      <c r="A6357" s="129"/>
      <c r="B6357" s="12" t="str">
        <f>IFERROR(VLOOKUP(D6357,'[1]Перечень товаров'!$A$2:$I9525,2,0),"")</f>
        <v>тм107</v>
      </c>
      <c r="C6357" s="12" t="str">
        <f>IFERROR(VLOOKUP(D6357,'[1]Перечень товаров'!$A$2:$I9525,3,0),"")</f>
        <v>Техника муз</v>
      </c>
      <c r="D6357" s="130" t="s">
        <v>1774</v>
      </c>
      <c r="E6357" s="102"/>
      <c r="F6357" s="102"/>
      <c r="G6357" s="95">
        <v>1</v>
      </c>
      <c r="H6357" s="95"/>
      <c r="I6357" s="96"/>
      <c r="J6357" s="96"/>
      <c r="K6357" s="19"/>
      <c r="L6357" s="20"/>
    </row>
    <row r="6358" spans="1:12" ht="31.5" outlineLevel="2">
      <c r="A6358" s="129"/>
      <c r="B6358" s="12" t="str">
        <f>IFERROR(VLOOKUP(D6358,'[1]Перечень товаров'!$A$2:$I9525,2,0),"")</f>
        <v>тм106</v>
      </c>
      <c r="C6358" s="12" t="str">
        <f>IFERROR(VLOOKUP(D6358,'[1]Перечень товаров'!$A$2:$I9525,3,0),"")</f>
        <v>Техника муз</v>
      </c>
      <c r="D6358" s="130" t="s">
        <v>1775</v>
      </c>
      <c r="E6358" s="102"/>
      <c r="F6358" s="102"/>
      <c r="G6358" s="95">
        <v>1</v>
      </c>
      <c r="H6358" s="95"/>
      <c r="I6358" s="96"/>
      <c r="J6358" s="96"/>
      <c r="K6358" s="19"/>
      <c r="L6358" s="20"/>
    </row>
    <row r="6359" spans="1:12" ht="31.5" outlineLevel="2">
      <c r="A6359" s="129"/>
      <c r="B6359" s="12" t="str">
        <f>IFERROR(VLOOKUP(D6359,'[1]Перечень товаров'!$A$2:$I9525,2,0),"")</f>
        <v>тм105</v>
      </c>
      <c r="C6359" s="12" t="str">
        <f>IFERROR(VLOOKUP(D6359,'[1]Перечень товаров'!$A$2:$I9525,3,0),"")</f>
        <v>Техника муз</v>
      </c>
      <c r="D6359" s="130" t="s">
        <v>1776</v>
      </c>
      <c r="E6359" s="102"/>
      <c r="F6359" s="102"/>
      <c r="G6359" s="95">
        <v>6</v>
      </c>
      <c r="H6359" s="95"/>
      <c r="I6359" s="96"/>
      <c r="J6359" s="96"/>
      <c r="K6359" s="19"/>
      <c r="L6359" s="20"/>
    </row>
    <row r="6360" spans="1:12" ht="12.75" outlineLevel="1">
      <c r="A6360" s="11"/>
      <c r="B6360" s="12" t="str">
        <f>IFERROR(VLOOKUP(D6360,'[1]Перечень товаров'!$A$2:$I9525,2,0),"")</f>
        <v/>
      </c>
      <c r="C6360" s="12" t="str">
        <f>IFERROR(VLOOKUP(D6360,'[1]Перечень товаров'!$A$2:$I9525,3,0),"")</f>
        <v/>
      </c>
      <c r="D6360" s="27" t="s">
        <v>1777</v>
      </c>
      <c r="E6360" s="99">
        <v>46124</v>
      </c>
      <c r="F6360" s="99"/>
      <c r="G6360" s="100"/>
      <c r="H6360" s="100"/>
      <c r="I6360" s="101"/>
      <c r="J6360" s="101"/>
      <c r="K6360" s="19"/>
      <c r="L6360" s="20"/>
    </row>
    <row r="6361" spans="1:12" outlineLevel="2">
      <c r="A6361" s="43"/>
      <c r="B6361" s="12" t="str">
        <f>IFERROR(VLOOKUP(D6361,'[1]Перечень товаров'!$A$2:$I9525,2,0),"")</f>
        <v>тм77</v>
      </c>
      <c r="C6361" s="12" t="str">
        <f>IFERROR(VLOOKUP(D6361,'[1]Перечень товаров'!$A$2:$I9525,3,0),"")</f>
        <v>Техника муз</v>
      </c>
      <c r="D6361" s="44" t="s">
        <v>1778</v>
      </c>
      <c r="E6361" s="102"/>
      <c r="F6361" s="102"/>
      <c r="G6361" s="24">
        <v>1</v>
      </c>
      <c r="H6361" s="24"/>
      <c r="I6361" s="25"/>
      <c r="J6361" s="25"/>
      <c r="K6361" s="19"/>
      <c r="L6361" s="20"/>
    </row>
    <row r="6362" spans="1:12" outlineLevel="2">
      <c r="A6362" s="43"/>
      <c r="B6362" s="12" t="str">
        <f>IFERROR(VLOOKUP(D6362,'[1]Перечень товаров'!$A$2:$I9525,2,0),"")</f>
        <v>м66</v>
      </c>
      <c r="C6362" s="12" t="str">
        <f>IFERROR(VLOOKUP(D6362,'[1]Перечень товаров'!$A$2:$I9525,3,0),"")</f>
        <v>Мебель</v>
      </c>
      <c r="D6362" s="44" t="s">
        <v>401</v>
      </c>
      <c r="E6362" s="102"/>
      <c r="F6362" s="102"/>
      <c r="G6362" s="24">
        <v>10</v>
      </c>
      <c r="H6362" s="24"/>
      <c r="I6362" s="25"/>
      <c r="J6362" s="25"/>
      <c r="K6362" s="19"/>
      <c r="L6362" s="20"/>
    </row>
    <row r="6363" spans="1:12" outlineLevel="2">
      <c r="A6363" s="43"/>
      <c r="B6363" s="12" t="str">
        <f>IFERROR(VLOOKUP(D6363,'[1]Перечень товаров'!$A$2:$I9525,2,0),"")</f>
        <v>тм104</v>
      </c>
      <c r="C6363" s="12" t="str">
        <f>IFERROR(VLOOKUP(D6363,'[1]Перечень товаров'!$A$2:$I9525,3,0),"")</f>
        <v>Техника муз</v>
      </c>
      <c r="D6363" s="44" t="s">
        <v>1779</v>
      </c>
      <c r="E6363" s="102"/>
      <c r="F6363" s="102"/>
      <c r="G6363" s="24">
        <v>5</v>
      </c>
      <c r="H6363" s="24"/>
      <c r="I6363" s="25"/>
      <c r="J6363" s="25"/>
      <c r="K6363" s="19"/>
      <c r="L6363" s="20"/>
    </row>
    <row r="6364" spans="1:12" ht="12.75" outlineLevel="1">
      <c r="A6364" s="11"/>
      <c r="B6364" s="12" t="str">
        <f>IFERROR(VLOOKUP(D6364,'[1]Перечень товаров'!$A$2:$I9525,2,0),"")</f>
        <v/>
      </c>
      <c r="C6364" s="12" t="str">
        <f>IFERROR(VLOOKUP(D6364,'[1]Перечень товаров'!$A$2:$I9525,3,0),"")</f>
        <v/>
      </c>
      <c r="D6364" s="27" t="s">
        <v>528</v>
      </c>
      <c r="E6364" s="99">
        <v>46087</v>
      </c>
      <c r="F6364" s="99"/>
      <c r="G6364" s="100"/>
      <c r="H6364" s="100"/>
      <c r="I6364" s="101"/>
      <c r="J6364" s="101"/>
      <c r="K6364" s="19"/>
      <c r="L6364" s="20"/>
    </row>
    <row r="6365" spans="1:12" outlineLevel="2">
      <c r="A6365" s="21"/>
      <c r="B6365" s="12" t="str">
        <f>IFERROR(VLOOKUP(D6365,'[1]Перечень товаров'!$A$2:$I9525,2,0),"")</f>
        <v>м167</v>
      </c>
      <c r="C6365" s="12" t="str">
        <f>IFERROR(VLOOKUP(D6365,'[1]Перечень товаров'!$A$2:$I9525,3,0),"")</f>
        <v>Мебель</v>
      </c>
      <c r="D6365" s="22" t="s">
        <v>508</v>
      </c>
      <c r="E6365" s="102"/>
      <c r="F6365" s="102"/>
      <c r="G6365" s="48">
        <v>2</v>
      </c>
      <c r="H6365" s="48"/>
      <c r="I6365" s="49"/>
      <c r="J6365" s="49"/>
      <c r="K6365" s="19"/>
      <c r="L6365" s="20"/>
    </row>
    <row r="6366" spans="1:12" outlineLevel="2">
      <c r="A6366" s="21"/>
      <c r="B6366" s="12" t="str">
        <f>IFERROR(VLOOKUP(D6366,'[1]Перечень товаров'!$A$2:$I9525,2,0),"")</f>
        <v>п46</v>
      </c>
      <c r="C6366" s="12" t="str">
        <f>IFERROR(VLOOKUP(D6366,'[1]Перечень товаров'!$A$2:$I9525,3,0),"")</f>
        <v>Прочее</v>
      </c>
      <c r="D6366" s="22" t="s">
        <v>509</v>
      </c>
      <c r="E6366" s="102"/>
      <c r="F6366" s="102"/>
      <c r="G6366" s="48">
        <v>2</v>
      </c>
      <c r="H6366" s="48"/>
      <c r="I6366" s="49"/>
      <c r="J6366" s="49"/>
      <c r="K6366" s="19"/>
      <c r="L6366" s="20"/>
    </row>
    <row r="6367" spans="1:12" outlineLevel="2">
      <c r="A6367" s="21"/>
      <c r="B6367" s="12" t="str">
        <f>IFERROR(VLOOKUP(D6367,'[1]Перечень товаров'!$A$2:$I9525,2,0),"")</f>
        <v>п47</v>
      </c>
      <c r="C6367" s="12" t="str">
        <f>IFERROR(VLOOKUP(D6367,'[1]Перечень товаров'!$A$2:$I9525,3,0),"")</f>
        <v>Прочее</v>
      </c>
      <c r="D6367" s="22" t="s">
        <v>510</v>
      </c>
      <c r="E6367" s="102"/>
      <c r="F6367" s="102"/>
      <c r="G6367" s="48">
        <v>3</v>
      </c>
      <c r="H6367" s="48"/>
      <c r="I6367" s="49"/>
      <c r="J6367" s="49"/>
      <c r="K6367" s="19"/>
      <c r="L6367" s="20"/>
    </row>
    <row r="6368" spans="1:12" outlineLevel="2">
      <c r="A6368" s="21"/>
      <c r="B6368" s="12" t="str">
        <f>IFERROR(VLOOKUP(D6368,'[1]Перечень товаров'!$A$2:$I9525,2,0),"")</f>
        <v>п48</v>
      </c>
      <c r="C6368" s="12" t="str">
        <f>IFERROR(VLOOKUP(D6368,'[1]Перечень товаров'!$A$2:$I9525,3,0),"")</f>
        <v>Прочее</v>
      </c>
      <c r="D6368" s="22" t="s">
        <v>511</v>
      </c>
      <c r="E6368" s="102"/>
      <c r="F6368" s="102"/>
      <c r="G6368" s="48">
        <v>6</v>
      </c>
      <c r="H6368" s="48"/>
      <c r="I6368" s="49"/>
      <c r="J6368" s="49"/>
      <c r="K6368" s="19"/>
      <c r="L6368" s="20"/>
    </row>
    <row r="6369" spans="1:12" ht="31.5" outlineLevel="2">
      <c r="A6369" s="21"/>
      <c r="B6369" s="12" t="str">
        <f>IFERROR(VLOOKUP(D6369,'[1]Перечень товаров'!$A$2:$I9525,2,0),"")</f>
        <v>м168</v>
      </c>
      <c r="C6369" s="12" t="str">
        <f>IFERROR(VLOOKUP(D6369,'[1]Перечень товаров'!$A$2:$I9525,3,0),"")</f>
        <v>Мебель</v>
      </c>
      <c r="D6369" s="22" t="s">
        <v>512</v>
      </c>
      <c r="E6369" s="102"/>
      <c r="F6369" s="102"/>
      <c r="G6369" s="48">
        <v>1</v>
      </c>
      <c r="H6369" s="48"/>
      <c r="I6369" s="49"/>
      <c r="J6369" s="49"/>
      <c r="K6369" s="19"/>
      <c r="L6369" s="20"/>
    </row>
    <row r="6370" spans="1:12" ht="12.75" outlineLevel="1">
      <c r="A6370" s="11"/>
      <c r="B6370" s="12" t="str">
        <f>IFERROR(VLOOKUP(D6370,'[1]Перечень товаров'!$A$2:$I9525,2,0),"")</f>
        <v/>
      </c>
      <c r="C6370" s="12" t="str">
        <f>IFERROR(VLOOKUP(D6370,'[1]Перечень товаров'!$A$2:$I9525,3,0),"")</f>
        <v/>
      </c>
      <c r="D6370" s="27" t="s">
        <v>359</v>
      </c>
      <c r="E6370" s="14">
        <v>0</v>
      </c>
      <c r="F6370" s="14"/>
      <c r="G6370" s="17"/>
      <c r="H6370" s="17"/>
      <c r="I6370" s="57"/>
      <c r="J6370" s="57"/>
      <c r="K6370" s="19"/>
      <c r="L6370" s="20"/>
    </row>
    <row r="6371" spans="1:12" outlineLevel="2">
      <c r="A6371" s="22"/>
      <c r="B6371" s="12" t="str">
        <f>IFERROR(VLOOKUP(D6371,'[1]Перечень товаров'!$A$2:$I9525,2,0),"")</f>
        <v>п25</v>
      </c>
      <c r="C6371" s="12" t="str">
        <f>IFERROR(VLOOKUP(D6371,'[1]Перечень товаров'!$A$2:$I9525,3,0),"")</f>
        <v>Прочее</v>
      </c>
      <c r="D6371" s="22" t="s">
        <v>360</v>
      </c>
      <c r="E6371" s="102"/>
      <c r="F6371" s="102"/>
      <c r="G6371" s="48">
        <v>3</v>
      </c>
      <c r="H6371" s="48"/>
      <c r="I6371" s="49"/>
      <c r="J6371" s="49"/>
      <c r="K6371" s="33"/>
      <c r="L6371" s="20"/>
    </row>
    <row r="6372" spans="1:12" outlineLevel="2">
      <c r="A6372" s="21"/>
      <c r="B6372" s="12" t="str">
        <f>IFERROR(VLOOKUP(D6372,'[1]Перечень товаров'!$A$2:$I9525,2,0),"")</f>
        <v>п26</v>
      </c>
      <c r="C6372" s="12" t="str">
        <f>IFERROR(VLOOKUP(D6372,'[1]Перечень товаров'!$A$2:$I9525,3,0),"")</f>
        <v>Прочее</v>
      </c>
      <c r="D6372" s="22" t="s">
        <v>361</v>
      </c>
      <c r="E6372" s="102"/>
      <c r="F6372" s="102"/>
      <c r="G6372" s="48">
        <v>2</v>
      </c>
      <c r="H6372" s="48"/>
      <c r="I6372" s="49"/>
      <c r="J6372" s="49"/>
      <c r="K6372" s="33"/>
      <c r="L6372" s="20"/>
    </row>
    <row r="6373" spans="1:12" outlineLevel="2">
      <c r="A6373" s="21"/>
      <c r="B6373" s="12" t="str">
        <f>IFERROR(VLOOKUP(D6373,'[1]Перечень товаров'!$A$2:$I9525,2,0),"")</f>
        <v>п27</v>
      </c>
      <c r="C6373" s="12" t="str">
        <f>IFERROR(VLOOKUP(D6373,'[1]Перечень товаров'!$A$2:$I9525,3,0),"")</f>
        <v>Прочее</v>
      </c>
      <c r="D6373" s="22" t="s">
        <v>362</v>
      </c>
      <c r="E6373" s="102"/>
      <c r="F6373" s="102"/>
      <c r="G6373" s="48">
        <v>2</v>
      </c>
      <c r="H6373" s="48"/>
      <c r="I6373" s="49"/>
      <c r="J6373" s="49"/>
      <c r="K6373" s="33"/>
      <c r="L6373" s="20"/>
    </row>
    <row r="6374" spans="1:12" outlineLevel="2">
      <c r="A6374" s="21"/>
      <c r="B6374" s="12" t="str">
        <f>IFERROR(VLOOKUP(D6374,'[1]Перечень товаров'!$A$2:$I9525,2,0),"")</f>
        <v>п28</v>
      </c>
      <c r="C6374" s="12" t="str">
        <f>IFERROR(VLOOKUP(D6374,'[1]Перечень товаров'!$A$2:$I9525,3,0),"")</f>
        <v>Прочее</v>
      </c>
      <c r="D6374" s="22" t="s">
        <v>363</v>
      </c>
      <c r="E6374" s="102"/>
      <c r="F6374" s="102"/>
      <c r="G6374" s="48">
        <v>1</v>
      </c>
      <c r="H6374" s="48"/>
      <c r="I6374" s="49"/>
      <c r="J6374" s="49"/>
      <c r="K6374" s="33"/>
      <c r="L6374" s="20"/>
    </row>
    <row r="6375" spans="1:12" outlineLevel="2">
      <c r="A6375" s="21"/>
      <c r="B6375" s="12" t="str">
        <f>IFERROR(VLOOKUP(D6375,'[1]Перечень товаров'!$A$2:$I9525,2,0),"")</f>
        <v>п29</v>
      </c>
      <c r="C6375" s="12" t="str">
        <f>IFERROR(VLOOKUP(D6375,'[1]Перечень товаров'!$A$2:$I9525,3,0),"")</f>
        <v>Прочее</v>
      </c>
      <c r="D6375" s="22" t="s">
        <v>364</v>
      </c>
      <c r="E6375" s="102"/>
      <c r="F6375" s="102"/>
      <c r="G6375" s="48">
        <v>6</v>
      </c>
      <c r="H6375" s="48"/>
      <c r="I6375" s="49"/>
      <c r="J6375" s="49"/>
      <c r="K6375" s="33"/>
      <c r="L6375" s="20"/>
    </row>
    <row r="6376" spans="1:12" outlineLevel="2">
      <c r="A6376" s="21"/>
      <c r="B6376" s="12" t="str">
        <f>IFERROR(VLOOKUP(D6376,'[1]Перечень товаров'!$A$2:$I9525,2,0),"")</f>
        <v>п30</v>
      </c>
      <c r="C6376" s="12" t="str">
        <f>IFERROR(VLOOKUP(D6376,'[1]Перечень товаров'!$A$2:$I9525,3,0),"")</f>
        <v>Прочее</v>
      </c>
      <c r="D6376" s="22" t="s">
        <v>365</v>
      </c>
      <c r="E6376" s="102"/>
      <c r="F6376" s="102"/>
      <c r="G6376" s="48">
        <v>2</v>
      </c>
      <c r="H6376" s="48"/>
      <c r="I6376" s="49"/>
      <c r="J6376" s="49"/>
      <c r="K6376" s="33"/>
      <c r="L6376" s="20"/>
    </row>
    <row r="6377" spans="1:12" ht="31.5" outlineLevel="2">
      <c r="A6377" s="21"/>
      <c r="B6377" s="12" t="str">
        <f>IFERROR(VLOOKUP(D6377,'[1]Перечень товаров'!$A$2:$I9525,2,0),"")</f>
        <v>п31</v>
      </c>
      <c r="C6377" s="12" t="str">
        <f>IFERROR(VLOOKUP(D6377,'[1]Перечень товаров'!$A$2:$I9525,3,0),"")</f>
        <v>Прочее</v>
      </c>
      <c r="D6377" s="22" t="s">
        <v>366</v>
      </c>
      <c r="E6377" s="102"/>
      <c r="F6377" s="102"/>
      <c r="G6377" s="48">
        <v>1</v>
      </c>
      <c r="H6377" s="48"/>
      <c r="I6377" s="49"/>
      <c r="J6377" s="49"/>
      <c r="K6377" s="33"/>
      <c r="L6377" s="20"/>
    </row>
    <row r="6378" spans="1:12" ht="31.5" outlineLevel="2">
      <c r="A6378" s="21"/>
      <c r="B6378" s="12" t="str">
        <f>IFERROR(VLOOKUP(D6378,'[1]Перечень товаров'!$A$2:$I9525,2,0),"")</f>
        <v>п32</v>
      </c>
      <c r="C6378" s="12" t="str">
        <f>IFERROR(VLOOKUP(D6378,'[1]Перечень товаров'!$A$2:$I9525,3,0),"")</f>
        <v>Прочее</v>
      </c>
      <c r="D6378" s="22" t="s">
        <v>367</v>
      </c>
      <c r="E6378" s="102"/>
      <c r="F6378" s="102"/>
      <c r="G6378" s="48">
        <v>2</v>
      </c>
      <c r="H6378" s="48"/>
      <c r="I6378" s="49"/>
      <c r="J6378" s="49"/>
      <c r="K6378" s="33"/>
      <c r="L6378" s="20"/>
    </row>
    <row r="6379" spans="1:12" outlineLevel="1">
      <c r="A6379" s="21"/>
      <c r="B6379" s="12" t="str">
        <f>IFERROR(VLOOKUP(D6379,'[1]Перечень товаров'!$A$2:$I9525,2,0),"")</f>
        <v/>
      </c>
      <c r="C6379" s="12" t="str">
        <f>IFERROR(VLOOKUP(D6379,'[1]Перечень товаров'!$A$2:$I9525,3,0),"")</f>
        <v/>
      </c>
      <c r="D6379" s="22" t="s">
        <v>343</v>
      </c>
      <c r="E6379" s="23" t="s">
        <v>1780</v>
      </c>
      <c r="F6379" s="23"/>
      <c r="G6379" s="24"/>
      <c r="H6379" s="24"/>
      <c r="I6379" s="25"/>
      <c r="J6379" s="25"/>
      <c r="K6379" s="19"/>
      <c r="L6379" s="20"/>
    </row>
    <row r="6380" spans="1:12" outlineLevel="1">
      <c r="A6380" s="21"/>
      <c r="B6380" s="12" t="str">
        <f>IFERROR(VLOOKUP(D6380,'[1]Перечень товаров'!$A$2:$I9525,2,0),"")</f>
        <v/>
      </c>
      <c r="C6380" s="12" t="str">
        <f>IFERROR(VLOOKUP(D6380,'[1]Перечень товаров'!$A$2:$I9525,3,0),"")</f>
        <v/>
      </c>
      <c r="D6380" s="22" t="s">
        <v>311</v>
      </c>
      <c r="E6380" s="23" t="s">
        <v>1781</v>
      </c>
      <c r="F6380" s="23"/>
      <c r="G6380" s="24"/>
      <c r="H6380" s="24"/>
      <c r="I6380" s="25"/>
      <c r="J6380" s="25"/>
      <c r="K6380" s="19"/>
      <c r="L6380" s="20"/>
    </row>
    <row r="6381" spans="1:12" outlineLevel="1">
      <c r="A6381" s="21"/>
      <c r="B6381" s="12" t="str">
        <f>IFERROR(VLOOKUP(D6381,'[1]Перечень товаров'!$A$2:$I9525,2,0),"")</f>
        <v/>
      </c>
      <c r="C6381" s="12" t="str">
        <f>IFERROR(VLOOKUP(D6381,'[1]Перечень товаров'!$A$2:$I9525,3,0),"")</f>
        <v/>
      </c>
      <c r="D6381" s="22" t="s">
        <v>368</v>
      </c>
      <c r="E6381" s="23">
        <v>0</v>
      </c>
      <c r="F6381" s="23"/>
      <c r="G6381" s="24"/>
      <c r="H6381" s="24"/>
      <c r="I6381" s="25"/>
      <c r="J6381" s="25"/>
      <c r="K6381" s="19"/>
      <c r="L6381" s="20"/>
    </row>
    <row r="6382" spans="1:12" outlineLevel="1">
      <c r="A6382" s="21"/>
      <c r="B6382" s="12" t="str">
        <f>IFERROR(VLOOKUP(D6382,'[1]Перечень товаров'!$A$2:$I9525,2,0),"")</f>
        <v/>
      </c>
      <c r="C6382" s="12" t="str">
        <f>IFERROR(VLOOKUP(D6382,'[1]Перечень товаров'!$A$2:$I9525,3,0),"")</f>
        <v/>
      </c>
      <c r="D6382" s="22" t="s">
        <v>369</v>
      </c>
      <c r="E6382" s="23">
        <v>0</v>
      </c>
      <c r="F6382" s="23"/>
      <c r="G6382" s="24"/>
      <c r="H6382" s="24"/>
      <c r="I6382" s="25"/>
      <c r="J6382" s="25"/>
      <c r="K6382" s="19"/>
      <c r="L6382" s="20"/>
    </row>
    <row r="6383" spans="1:12" ht="12.75" outlineLevel="1">
      <c r="A6383" s="11"/>
      <c r="B6383" s="12" t="str">
        <f>IFERROR(VLOOKUP(D6383,'[1]Перечень товаров'!$A$2:$I9525,2,0),"")</f>
        <v/>
      </c>
      <c r="C6383" s="12" t="str">
        <f>IFERROR(VLOOKUP(D6383,'[1]Перечень товаров'!$A$2:$I9525,3,0),"")</f>
        <v/>
      </c>
      <c r="D6383" s="27" t="s">
        <v>371</v>
      </c>
      <c r="E6383" s="99">
        <v>46270</v>
      </c>
      <c r="F6383" s="99"/>
      <c r="G6383" s="100"/>
      <c r="H6383" s="100"/>
      <c r="I6383" s="101"/>
      <c r="J6383" s="101"/>
      <c r="K6383" s="19"/>
      <c r="L6383" s="20"/>
    </row>
    <row r="6384" spans="1:12" outlineLevel="2">
      <c r="A6384" s="22"/>
      <c r="B6384" s="12" t="str">
        <f>IFERROR(VLOOKUP(D6384,'[1]Перечень товаров'!$A$2:$I9525,2,0),"")</f>
        <v>п25</v>
      </c>
      <c r="C6384" s="12" t="str">
        <f>IFERROR(VLOOKUP(D6384,'[1]Перечень товаров'!$A$2:$I9525,3,0),"")</f>
        <v>Прочее</v>
      </c>
      <c r="D6384" s="22" t="s">
        <v>360</v>
      </c>
      <c r="E6384" s="102"/>
      <c r="F6384" s="102"/>
      <c r="G6384" s="48">
        <v>3</v>
      </c>
      <c r="H6384" s="48"/>
      <c r="I6384" s="49"/>
      <c r="J6384" s="49"/>
      <c r="K6384" s="33"/>
      <c r="L6384" s="20"/>
    </row>
    <row r="6385" spans="1:12" outlineLevel="2">
      <c r="A6385" s="21"/>
      <c r="B6385" s="12" t="str">
        <f>IFERROR(VLOOKUP(D6385,'[1]Перечень товаров'!$A$2:$I9525,2,0),"")</f>
        <v>п26</v>
      </c>
      <c r="C6385" s="12" t="str">
        <f>IFERROR(VLOOKUP(D6385,'[1]Перечень товаров'!$A$2:$I9525,3,0),"")</f>
        <v>Прочее</v>
      </c>
      <c r="D6385" s="22" t="s">
        <v>361</v>
      </c>
      <c r="E6385" s="102"/>
      <c r="F6385" s="102"/>
      <c r="G6385" s="48">
        <v>2</v>
      </c>
      <c r="H6385" s="48"/>
      <c r="I6385" s="49"/>
      <c r="J6385" s="49"/>
      <c r="K6385" s="33"/>
      <c r="L6385" s="20"/>
    </row>
    <row r="6386" spans="1:12" outlineLevel="2">
      <c r="A6386" s="21"/>
      <c r="B6386" s="12" t="str">
        <f>IFERROR(VLOOKUP(D6386,'[1]Перечень товаров'!$A$2:$I9525,2,0),"")</f>
        <v>п27</v>
      </c>
      <c r="C6386" s="12" t="str">
        <f>IFERROR(VLOOKUP(D6386,'[1]Перечень товаров'!$A$2:$I9525,3,0),"")</f>
        <v>Прочее</v>
      </c>
      <c r="D6386" s="22" t="s">
        <v>362</v>
      </c>
      <c r="E6386" s="102"/>
      <c r="F6386" s="102"/>
      <c r="G6386" s="48">
        <v>2</v>
      </c>
      <c r="H6386" s="48"/>
      <c r="I6386" s="49"/>
      <c r="J6386" s="49"/>
      <c r="K6386" s="33"/>
      <c r="L6386" s="20"/>
    </row>
    <row r="6387" spans="1:12" outlineLevel="2">
      <c r="A6387" s="21"/>
      <c r="B6387" s="12" t="str">
        <f>IFERROR(VLOOKUP(D6387,'[1]Перечень товаров'!$A$2:$I9525,2,0),"")</f>
        <v>п28</v>
      </c>
      <c r="C6387" s="12" t="str">
        <f>IFERROR(VLOOKUP(D6387,'[1]Перечень товаров'!$A$2:$I9525,3,0),"")</f>
        <v>Прочее</v>
      </c>
      <c r="D6387" s="22" t="s">
        <v>363</v>
      </c>
      <c r="E6387" s="102"/>
      <c r="F6387" s="102"/>
      <c r="G6387" s="48">
        <v>1</v>
      </c>
      <c r="H6387" s="48"/>
      <c r="I6387" s="49"/>
      <c r="J6387" s="49"/>
      <c r="K6387" s="33"/>
      <c r="L6387" s="20"/>
    </row>
    <row r="6388" spans="1:12" outlineLevel="2">
      <c r="A6388" s="21"/>
      <c r="B6388" s="12" t="str">
        <f>IFERROR(VLOOKUP(D6388,'[1]Перечень товаров'!$A$2:$I9525,2,0),"")</f>
        <v>п29</v>
      </c>
      <c r="C6388" s="12" t="str">
        <f>IFERROR(VLOOKUP(D6388,'[1]Перечень товаров'!$A$2:$I9525,3,0),"")</f>
        <v>Прочее</v>
      </c>
      <c r="D6388" s="22" t="s">
        <v>364</v>
      </c>
      <c r="E6388" s="102"/>
      <c r="F6388" s="102"/>
      <c r="G6388" s="48">
        <v>6</v>
      </c>
      <c r="H6388" s="48"/>
      <c r="I6388" s="49"/>
      <c r="J6388" s="49"/>
      <c r="K6388" s="33"/>
      <c r="L6388" s="20"/>
    </row>
    <row r="6389" spans="1:12" outlineLevel="2">
      <c r="A6389" s="21"/>
      <c r="B6389" s="12" t="str">
        <f>IFERROR(VLOOKUP(D6389,'[1]Перечень товаров'!$A$2:$I9525,2,0),"")</f>
        <v>п30</v>
      </c>
      <c r="C6389" s="12" t="str">
        <f>IFERROR(VLOOKUP(D6389,'[1]Перечень товаров'!$A$2:$I9525,3,0),"")</f>
        <v>Прочее</v>
      </c>
      <c r="D6389" s="22" t="s">
        <v>365</v>
      </c>
      <c r="E6389" s="102"/>
      <c r="F6389" s="102"/>
      <c r="G6389" s="48">
        <v>2</v>
      </c>
      <c r="H6389" s="48"/>
      <c r="I6389" s="49"/>
      <c r="J6389" s="49"/>
      <c r="K6389" s="33"/>
      <c r="L6389" s="20"/>
    </row>
    <row r="6390" spans="1:12" ht="31.5" outlineLevel="2">
      <c r="A6390" s="21"/>
      <c r="B6390" s="12" t="str">
        <f>IFERROR(VLOOKUP(D6390,'[1]Перечень товаров'!$A$2:$I9525,2,0),"")</f>
        <v>п31</v>
      </c>
      <c r="C6390" s="12" t="str">
        <f>IFERROR(VLOOKUP(D6390,'[1]Перечень товаров'!$A$2:$I9525,3,0),"")</f>
        <v>Прочее</v>
      </c>
      <c r="D6390" s="22" t="s">
        <v>366</v>
      </c>
      <c r="E6390" s="102"/>
      <c r="F6390" s="102"/>
      <c r="G6390" s="48">
        <v>1</v>
      </c>
      <c r="H6390" s="48"/>
      <c r="I6390" s="49"/>
      <c r="J6390" s="49"/>
      <c r="K6390" s="33"/>
      <c r="L6390" s="20"/>
    </row>
    <row r="6391" spans="1:12" ht="31.5" outlineLevel="2">
      <c r="A6391" s="21"/>
      <c r="B6391" s="12" t="str">
        <f>IFERROR(VLOOKUP(D6391,'[1]Перечень товаров'!$A$2:$I9525,2,0),"")</f>
        <v>п32</v>
      </c>
      <c r="C6391" s="12" t="str">
        <f>IFERROR(VLOOKUP(D6391,'[1]Перечень товаров'!$A$2:$I9525,3,0),"")</f>
        <v>Прочее</v>
      </c>
      <c r="D6391" s="22" t="s">
        <v>367</v>
      </c>
      <c r="E6391" s="102"/>
      <c r="F6391" s="102"/>
      <c r="G6391" s="48">
        <v>2</v>
      </c>
      <c r="H6391" s="48"/>
      <c r="I6391" s="49"/>
      <c r="J6391" s="49"/>
      <c r="K6391" s="33"/>
      <c r="L6391" s="20"/>
    </row>
    <row r="6392" spans="1:12" ht="12.75" outlineLevel="1">
      <c r="A6392" s="11"/>
      <c r="B6392" s="12" t="str">
        <f>IFERROR(VLOOKUP(D6392,'[1]Перечень товаров'!$A$2:$I9525,2,0),"")</f>
        <v/>
      </c>
      <c r="C6392" s="12" t="str">
        <f>IFERROR(VLOOKUP(D6392,'[1]Перечень товаров'!$A$2:$I9525,3,0),"")</f>
        <v/>
      </c>
      <c r="D6392" s="27" t="s">
        <v>372</v>
      </c>
      <c r="E6392" s="99">
        <v>46270</v>
      </c>
      <c r="F6392" s="99"/>
      <c r="G6392" s="100"/>
      <c r="H6392" s="100"/>
      <c r="I6392" s="101"/>
      <c r="J6392" s="101"/>
      <c r="K6392" s="19"/>
      <c r="L6392" s="20"/>
    </row>
    <row r="6393" spans="1:12" outlineLevel="2">
      <c r="A6393" s="22"/>
      <c r="B6393" s="12" t="str">
        <f>IFERROR(VLOOKUP(D6393,'[1]Перечень товаров'!$A$2:$I9525,2,0),"")</f>
        <v>п25</v>
      </c>
      <c r="C6393" s="12" t="str">
        <f>IFERROR(VLOOKUP(D6393,'[1]Перечень товаров'!$A$2:$I9525,3,0),"")</f>
        <v>Прочее</v>
      </c>
      <c r="D6393" s="22" t="s">
        <v>360</v>
      </c>
      <c r="E6393" s="102"/>
      <c r="F6393" s="102"/>
      <c r="G6393" s="48">
        <v>3</v>
      </c>
      <c r="H6393" s="48"/>
      <c r="I6393" s="49"/>
      <c r="J6393" s="49"/>
      <c r="K6393" s="33"/>
      <c r="L6393" s="20"/>
    </row>
    <row r="6394" spans="1:12" outlineLevel="2">
      <c r="A6394" s="21"/>
      <c r="B6394" s="12" t="str">
        <f>IFERROR(VLOOKUP(D6394,'[1]Перечень товаров'!$A$2:$I9525,2,0),"")</f>
        <v>п26</v>
      </c>
      <c r="C6394" s="12" t="str">
        <f>IFERROR(VLOOKUP(D6394,'[1]Перечень товаров'!$A$2:$I9525,3,0),"")</f>
        <v>Прочее</v>
      </c>
      <c r="D6394" s="22" t="s">
        <v>361</v>
      </c>
      <c r="E6394" s="102"/>
      <c r="F6394" s="102"/>
      <c r="G6394" s="48">
        <v>2</v>
      </c>
      <c r="H6394" s="48"/>
      <c r="I6394" s="49"/>
      <c r="J6394" s="49"/>
      <c r="K6394" s="33"/>
      <c r="L6394" s="20"/>
    </row>
    <row r="6395" spans="1:12" outlineLevel="2">
      <c r="A6395" s="21"/>
      <c r="B6395" s="12" t="str">
        <f>IFERROR(VLOOKUP(D6395,'[1]Перечень товаров'!$A$2:$I9525,2,0),"")</f>
        <v>п27</v>
      </c>
      <c r="C6395" s="12" t="str">
        <f>IFERROR(VLOOKUP(D6395,'[1]Перечень товаров'!$A$2:$I9525,3,0),"")</f>
        <v>Прочее</v>
      </c>
      <c r="D6395" s="22" t="s">
        <v>362</v>
      </c>
      <c r="E6395" s="102"/>
      <c r="F6395" s="102"/>
      <c r="G6395" s="48">
        <v>2</v>
      </c>
      <c r="H6395" s="48"/>
      <c r="I6395" s="49"/>
      <c r="J6395" s="49"/>
      <c r="K6395" s="33"/>
      <c r="L6395" s="20"/>
    </row>
    <row r="6396" spans="1:12" outlineLevel="2">
      <c r="A6396" s="21"/>
      <c r="B6396" s="12" t="str">
        <f>IFERROR(VLOOKUP(D6396,'[1]Перечень товаров'!$A$2:$I9525,2,0),"")</f>
        <v>п28</v>
      </c>
      <c r="C6396" s="12" t="str">
        <f>IFERROR(VLOOKUP(D6396,'[1]Перечень товаров'!$A$2:$I9525,3,0),"")</f>
        <v>Прочее</v>
      </c>
      <c r="D6396" s="22" t="s">
        <v>363</v>
      </c>
      <c r="E6396" s="102"/>
      <c r="F6396" s="102"/>
      <c r="G6396" s="48">
        <v>1</v>
      </c>
      <c r="H6396" s="48"/>
      <c r="I6396" s="49"/>
      <c r="J6396" s="49"/>
      <c r="K6396" s="33"/>
      <c r="L6396" s="20"/>
    </row>
    <row r="6397" spans="1:12" outlineLevel="2">
      <c r="A6397" s="21"/>
      <c r="B6397" s="12" t="str">
        <f>IFERROR(VLOOKUP(D6397,'[1]Перечень товаров'!$A$2:$I9525,2,0),"")</f>
        <v>п29</v>
      </c>
      <c r="C6397" s="12" t="str">
        <f>IFERROR(VLOOKUP(D6397,'[1]Перечень товаров'!$A$2:$I9525,3,0),"")</f>
        <v>Прочее</v>
      </c>
      <c r="D6397" s="22" t="s">
        <v>364</v>
      </c>
      <c r="E6397" s="102"/>
      <c r="F6397" s="102"/>
      <c r="G6397" s="48">
        <v>6</v>
      </c>
      <c r="H6397" s="48"/>
      <c r="I6397" s="49"/>
      <c r="J6397" s="49"/>
      <c r="K6397" s="33"/>
      <c r="L6397" s="20"/>
    </row>
    <row r="6398" spans="1:12" outlineLevel="2">
      <c r="A6398" s="21"/>
      <c r="B6398" s="12" t="str">
        <f>IFERROR(VLOOKUP(D6398,'[1]Перечень товаров'!$A$2:$I9525,2,0),"")</f>
        <v>п30</v>
      </c>
      <c r="C6398" s="12" t="str">
        <f>IFERROR(VLOOKUP(D6398,'[1]Перечень товаров'!$A$2:$I9525,3,0),"")</f>
        <v>Прочее</v>
      </c>
      <c r="D6398" s="22" t="s">
        <v>365</v>
      </c>
      <c r="E6398" s="102"/>
      <c r="F6398" s="102"/>
      <c r="G6398" s="48">
        <v>2</v>
      </c>
      <c r="H6398" s="48"/>
      <c r="I6398" s="49"/>
      <c r="J6398" s="49"/>
      <c r="K6398" s="33"/>
      <c r="L6398" s="20"/>
    </row>
    <row r="6399" spans="1:12" ht="31.5" outlineLevel="2">
      <c r="A6399" s="21"/>
      <c r="B6399" s="12" t="str">
        <f>IFERROR(VLOOKUP(D6399,'[1]Перечень товаров'!$A$2:$I9525,2,0),"")</f>
        <v>п31</v>
      </c>
      <c r="C6399" s="12" t="str">
        <f>IFERROR(VLOOKUP(D6399,'[1]Перечень товаров'!$A$2:$I9525,3,0),"")</f>
        <v>Прочее</v>
      </c>
      <c r="D6399" s="22" t="s">
        <v>366</v>
      </c>
      <c r="E6399" s="102"/>
      <c r="F6399" s="102"/>
      <c r="G6399" s="48">
        <v>1</v>
      </c>
      <c r="H6399" s="48"/>
      <c r="I6399" s="49"/>
      <c r="J6399" s="49"/>
      <c r="K6399" s="33"/>
      <c r="L6399" s="20"/>
    </row>
    <row r="6400" spans="1:12" ht="31.5" outlineLevel="2">
      <c r="A6400" s="21"/>
      <c r="B6400" s="12" t="str">
        <f>IFERROR(VLOOKUP(D6400,'[1]Перечень товаров'!$A$2:$I9525,2,0),"")</f>
        <v>п32</v>
      </c>
      <c r="C6400" s="12" t="str">
        <f>IFERROR(VLOOKUP(D6400,'[1]Перечень товаров'!$A$2:$I9525,3,0),"")</f>
        <v>Прочее</v>
      </c>
      <c r="D6400" s="22" t="s">
        <v>367</v>
      </c>
      <c r="E6400" s="102"/>
      <c r="F6400" s="102"/>
      <c r="G6400" s="48">
        <v>2</v>
      </c>
      <c r="H6400" s="48"/>
      <c r="I6400" s="49"/>
      <c r="J6400" s="49"/>
      <c r="K6400" s="33"/>
      <c r="L6400" s="20"/>
    </row>
    <row r="6401" spans="1:12" ht="12.75" outlineLevel="1">
      <c r="A6401" s="11"/>
      <c r="B6401" s="12" t="str">
        <f>IFERROR(VLOOKUP(D6401,'[1]Перечень товаров'!$A$2:$I9525,2,0),"")</f>
        <v/>
      </c>
      <c r="C6401" s="12" t="str">
        <f>IFERROR(VLOOKUP(D6401,'[1]Перечень товаров'!$A$2:$I9525,3,0),"")</f>
        <v/>
      </c>
      <c r="D6401" s="27" t="s">
        <v>373</v>
      </c>
      <c r="E6401" s="99">
        <v>46055</v>
      </c>
      <c r="F6401" s="99"/>
      <c r="G6401" s="100"/>
      <c r="H6401" s="100"/>
      <c r="I6401" s="101"/>
      <c r="J6401" s="101"/>
      <c r="K6401" s="19"/>
      <c r="L6401" s="20"/>
    </row>
    <row r="6402" spans="1:12" outlineLevel="2">
      <c r="A6402" s="22"/>
      <c r="B6402" s="12" t="str">
        <f>IFERROR(VLOOKUP(D6402,'[1]Перечень товаров'!$A$2:$I9525,2,0),"")</f>
        <v>п25</v>
      </c>
      <c r="C6402" s="12" t="str">
        <f>IFERROR(VLOOKUP(D6402,'[1]Перечень товаров'!$A$2:$I9525,3,0),"")</f>
        <v>Прочее</v>
      </c>
      <c r="D6402" s="22" t="s">
        <v>360</v>
      </c>
      <c r="E6402" s="102"/>
      <c r="F6402" s="102"/>
      <c r="G6402" s="48">
        <v>3</v>
      </c>
      <c r="H6402" s="48"/>
      <c r="I6402" s="49"/>
      <c r="J6402" s="49"/>
      <c r="K6402" s="19"/>
      <c r="L6402" s="20"/>
    </row>
    <row r="6403" spans="1:12" outlineLevel="2">
      <c r="A6403" s="21"/>
      <c r="B6403" s="12" t="str">
        <f>IFERROR(VLOOKUP(D6403,'[1]Перечень товаров'!$A$2:$I9525,2,0),"")</f>
        <v>п26</v>
      </c>
      <c r="C6403" s="12" t="str">
        <f>IFERROR(VLOOKUP(D6403,'[1]Перечень товаров'!$A$2:$I9525,3,0),"")</f>
        <v>Прочее</v>
      </c>
      <c r="D6403" s="22" t="s">
        <v>361</v>
      </c>
      <c r="E6403" s="102"/>
      <c r="F6403" s="102"/>
      <c r="G6403" s="48">
        <v>2</v>
      </c>
      <c r="H6403" s="48"/>
      <c r="I6403" s="49"/>
      <c r="J6403" s="49"/>
      <c r="K6403" s="19"/>
      <c r="L6403" s="20"/>
    </row>
    <row r="6404" spans="1:12" outlineLevel="2">
      <c r="A6404" s="21"/>
      <c r="B6404" s="12" t="str">
        <f>IFERROR(VLOOKUP(D6404,'[1]Перечень товаров'!$A$2:$I9525,2,0),"")</f>
        <v>п27</v>
      </c>
      <c r="C6404" s="12" t="str">
        <f>IFERROR(VLOOKUP(D6404,'[1]Перечень товаров'!$A$2:$I9525,3,0),"")</f>
        <v>Прочее</v>
      </c>
      <c r="D6404" s="22" t="s">
        <v>362</v>
      </c>
      <c r="E6404" s="102"/>
      <c r="F6404" s="102"/>
      <c r="G6404" s="48">
        <v>2</v>
      </c>
      <c r="H6404" s="48"/>
      <c r="I6404" s="49"/>
      <c r="J6404" s="49"/>
      <c r="K6404" s="19"/>
      <c r="L6404" s="20"/>
    </row>
    <row r="6405" spans="1:12" outlineLevel="2">
      <c r="A6405" s="21"/>
      <c r="B6405" s="12" t="str">
        <f>IFERROR(VLOOKUP(D6405,'[1]Перечень товаров'!$A$2:$I9525,2,0),"")</f>
        <v>п28</v>
      </c>
      <c r="C6405" s="12" t="str">
        <f>IFERROR(VLOOKUP(D6405,'[1]Перечень товаров'!$A$2:$I9525,3,0),"")</f>
        <v>Прочее</v>
      </c>
      <c r="D6405" s="22" t="s">
        <v>363</v>
      </c>
      <c r="E6405" s="102"/>
      <c r="F6405" s="102"/>
      <c r="G6405" s="48">
        <v>1</v>
      </c>
      <c r="H6405" s="48"/>
      <c r="I6405" s="49"/>
      <c r="J6405" s="49"/>
      <c r="K6405" s="19"/>
      <c r="L6405" s="20"/>
    </row>
    <row r="6406" spans="1:12" outlineLevel="2">
      <c r="A6406" s="21"/>
      <c r="B6406" s="12" t="str">
        <f>IFERROR(VLOOKUP(D6406,'[1]Перечень товаров'!$A$2:$I9525,2,0),"")</f>
        <v>п29</v>
      </c>
      <c r="C6406" s="12" t="str">
        <f>IFERROR(VLOOKUP(D6406,'[1]Перечень товаров'!$A$2:$I9525,3,0),"")</f>
        <v>Прочее</v>
      </c>
      <c r="D6406" s="22" t="s">
        <v>364</v>
      </c>
      <c r="E6406" s="102"/>
      <c r="F6406" s="102"/>
      <c r="G6406" s="48">
        <v>6</v>
      </c>
      <c r="H6406" s="48"/>
      <c r="I6406" s="49"/>
      <c r="J6406" s="49"/>
      <c r="K6406" s="19"/>
      <c r="L6406" s="20"/>
    </row>
    <row r="6407" spans="1:12" outlineLevel="2">
      <c r="A6407" s="21"/>
      <c r="B6407" s="12" t="str">
        <f>IFERROR(VLOOKUP(D6407,'[1]Перечень товаров'!$A$2:$I9525,2,0),"")</f>
        <v>п30</v>
      </c>
      <c r="C6407" s="12" t="str">
        <f>IFERROR(VLOOKUP(D6407,'[1]Перечень товаров'!$A$2:$I9525,3,0),"")</f>
        <v>Прочее</v>
      </c>
      <c r="D6407" s="22" t="s">
        <v>365</v>
      </c>
      <c r="E6407" s="102"/>
      <c r="F6407" s="102"/>
      <c r="G6407" s="48">
        <v>2</v>
      </c>
      <c r="H6407" s="48"/>
      <c r="I6407" s="49"/>
      <c r="J6407" s="49"/>
      <c r="K6407" s="19"/>
      <c r="L6407" s="20"/>
    </row>
    <row r="6408" spans="1:12" ht="31.5" outlineLevel="2">
      <c r="A6408" s="21"/>
      <c r="B6408" s="12" t="str">
        <f>IFERROR(VLOOKUP(D6408,'[1]Перечень товаров'!$A$2:$I9525,2,0),"")</f>
        <v>п31</v>
      </c>
      <c r="C6408" s="12" t="str">
        <f>IFERROR(VLOOKUP(D6408,'[1]Перечень товаров'!$A$2:$I9525,3,0),"")</f>
        <v>Прочее</v>
      </c>
      <c r="D6408" s="22" t="s">
        <v>366</v>
      </c>
      <c r="E6408" s="102"/>
      <c r="F6408" s="102"/>
      <c r="G6408" s="48">
        <v>1</v>
      </c>
      <c r="H6408" s="48"/>
      <c r="I6408" s="49"/>
      <c r="J6408" s="49"/>
      <c r="K6408" s="19"/>
      <c r="L6408" s="20"/>
    </row>
    <row r="6409" spans="1:12" ht="12.75" outlineLevel="1">
      <c r="A6409" s="11"/>
      <c r="B6409" s="12" t="str">
        <f>IFERROR(VLOOKUP(D6409,'[1]Перечень товаров'!$A$2:$I9525,2,0),"")</f>
        <v/>
      </c>
      <c r="C6409" s="12" t="str">
        <f>IFERROR(VLOOKUP(D6409,'[1]Перечень товаров'!$A$2:$I9525,3,0),"")</f>
        <v/>
      </c>
      <c r="D6409" s="27" t="s">
        <v>652</v>
      </c>
      <c r="E6409" s="14" t="s">
        <v>375</v>
      </c>
      <c r="F6409" s="14"/>
      <c r="G6409" s="17"/>
      <c r="H6409" s="17"/>
      <c r="I6409" s="57"/>
      <c r="J6409" s="57"/>
      <c r="K6409" s="19"/>
      <c r="L6409" s="20"/>
    </row>
    <row r="6410" spans="1:12" ht="20.25" customHeight="1" outlineLevel="2">
      <c r="A6410" s="22"/>
      <c r="B6410" s="12" t="str">
        <f>IFERROR(VLOOKUP(D6410,'[1]Перечень товаров'!$A$2:$I9525,2,0),"")</f>
        <v>п25</v>
      </c>
      <c r="C6410" s="12" t="str">
        <f>IFERROR(VLOOKUP(D6410,'[1]Перечень товаров'!$A$2:$I9525,3,0),"")</f>
        <v>Прочее</v>
      </c>
      <c r="D6410" s="22" t="s">
        <v>360</v>
      </c>
      <c r="E6410" s="102"/>
      <c r="F6410" s="102"/>
      <c r="G6410" s="48">
        <v>3</v>
      </c>
      <c r="H6410" s="48"/>
      <c r="I6410" s="49"/>
      <c r="J6410" s="49"/>
      <c r="K6410" s="19"/>
      <c r="L6410" s="20"/>
    </row>
    <row r="6411" spans="1:12" outlineLevel="2">
      <c r="A6411" s="21"/>
      <c r="B6411" s="12" t="str">
        <f>IFERROR(VLOOKUP(D6411,'[1]Перечень товаров'!$A$2:$I9525,2,0),"")</f>
        <v>п26</v>
      </c>
      <c r="C6411" s="12" t="str">
        <f>IFERROR(VLOOKUP(D6411,'[1]Перечень товаров'!$A$2:$I9525,3,0),"")</f>
        <v>Прочее</v>
      </c>
      <c r="D6411" s="22" t="s">
        <v>361</v>
      </c>
      <c r="E6411" s="102"/>
      <c r="F6411" s="102"/>
      <c r="G6411" s="48">
        <v>2</v>
      </c>
      <c r="H6411" s="48"/>
      <c r="I6411" s="49"/>
      <c r="J6411" s="49"/>
      <c r="K6411" s="19"/>
      <c r="L6411" s="20"/>
    </row>
    <row r="6412" spans="1:12" outlineLevel="2">
      <c r="A6412" s="21"/>
      <c r="B6412" s="12" t="str">
        <f>IFERROR(VLOOKUP(D6412,'[1]Перечень товаров'!$A$2:$I9525,2,0),"")</f>
        <v>п27</v>
      </c>
      <c r="C6412" s="12" t="str">
        <f>IFERROR(VLOOKUP(D6412,'[1]Перечень товаров'!$A$2:$I9525,3,0),"")</f>
        <v>Прочее</v>
      </c>
      <c r="D6412" s="22" t="s">
        <v>362</v>
      </c>
      <c r="E6412" s="102"/>
      <c r="F6412" s="102"/>
      <c r="G6412" s="48">
        <v>2</v>
      </c>
      <c r="H6412" s="48"/>
      <c r="I6412" s="49"/>
      <c r="J6412" s="49"/>
      <c r="K6412" s="19"/>
      <c r="L6412" s="20"/>
    </row>
    <row r="6413" spans="1:12" outlineLevel="2">
      <c r="A6413" s="21"/>
      <c r="B6413" s="12" t="str">
        <f>IFERROR(VLOOKUP(D6413,'[1]Перечень товаров'!$A$2:$I9525,2,0),"")</f>
        <v>п28</v>
      </c>
      <c r="C6413" s="12" t="str">
        <f>IFERROR(VLOOKUP(D6413,'[1]Перечень товаров'!$A$2:$I9525,3,0),"")</f>
        <v>Прочее</v>
      </c>
      <c r="D6413" s="22" t="s">
        <v>363</v>
      </c>
      <c r="E6413" s="102"/>
      <c r="F6413" s="102"/>
      <c r="G6413" s="48">
        <v>1</v>
      </c>
      <c r="H6413" s="48"/>
      <c r="I6413" s="49"/>
      <c r="J6413" s="49"/>
      <c r="K6413" s="19"/>
      <c r="L6413" s="20"/>
    </row>
    <row r="6414" spans="1:12" outlineLevel="2">
      <c r="A6414" s="21"/>
      <c r="B6414" s="12" t="str">
        <f>IFERROR(VLOOKUP(D6414,'[1]Перечень товаров'!$A$2:$I9525,2,0),"")</f>
        <v>п29</v>
      </c>
      <c r="C6414" s="12" t="str">
        <f>IFERROR(VLOOKUP(D6414,'[1]Перечень товаров'!$A$2:$I9525,3,0),"")</f>
        <v>Прочее</v>
      </c>
      <c r="D6414" s="22" t="s">
        <v>364</v>
      </c>
      <c r="E6414" s="102"/>
      <c r="F6414" s="102"/>
      <c r="G6414" s="48">
        <v>6</v>
      </c>
      <c r="H6414" s="48"/>
      <c r="I6414" s="49"/>
      <c r="J6414" s="49"/>
      <c r="K6414" s="19"/>
      <c r="L6414" s="20"/>
    </row>
    <row r="6415" spans="1:12" outlineLevel="2">
      <c r="A6415" s="21"/>
      <c r="B6415" s="12" t="str">
        <f>IFERROR(VLOOKUP(D6415,'[1]Перечень товаров'!$A$2:$I9525,2,0),"")</f>
        <v>п30</v>
      </c>
      <c r="C6415" s="12" t="str">
        <f>IFERROR(VLOOKUP(D6415,'[1]Перечень товаров'!$A$2:$I9525,3,0),"")</f>
        <v>Прочее</v>
      </c>
      <c r="D6415" s="22" t="s">
        <v>365</v>
      </c>
      <c r="E6415" s="102"/>
      <c r="F6415" s="102"/>
      <c r="G6415" s="48">
        <v>2</v>
      </c>
      <c r="H6415" s="48"/>
      <c r="I6415" s="49"/>
      <c r="J6415" s="49"/>
      <c r="K6415" s="19"/>
      <c r="L6415" s="20"/>
    </row>
    <row r="6416" spans="1:12" ht="31.5" outlineLevel="2">
      <c r="A6416" s="21"/>
      <c r="B6416" s="12" t="str">
        <f>IFERROR(VLOOKUP(D6416,'[1]Перечень товаров'!$A$2:$I9525,2,0),"")</f>
        <v>п31</v>
      </c>
      <c r="C6416" s="12" t="str">
        <f>IFERROR(VLOOKUP(D6416,'[1]Перечень товаров'!$A$2:$I9525,3,0),"")</f>
        <v>Прочее</v>
      </c>
      <c r="D6416" s="22" t="s">
        <v>366</v>
      </c>
      <c r="E6416" s="102"/>
      <c r="F6416" s="102"/>
      <c r="G6416" s="48">
        <v>1</v>
      </c>
      <c r="H6416" s="48"/>
      <c r="I6416" s="49"/>
      <c r="J6416" s="49"/>
      <c r="K6416" s="19"/>
      <c r="L6416" s="20"/>
    </row>
    <row r="6417" spans="1:12" ht="31.5" outlineLevel="2">
      <c r="A6417" s="21"/>
      <c r="B6417" s="12" t="str">
        <f>IFERROR(VLOOKUP(D6417,'[1]Перечень товаров'!$A$2:$I9525,2,0),"")</f>
        <v>п32</v>
      </c>
      <c r="C6417" s="12" t="str">
        <f>IFERROR(VLOOKUP(D6417,'[1]Перечень товаров'!$A$2:$I9525,3,0),"")</f>
        <v>Прочее</v>
      </c>
      <c r="D6417" s="22" t="s">
        <v>367</v>
      </c>
      <c r="E6417" s="102"/>
      <c r="F6417" s="102"/>
      <c r="G6417" s="48">
        <v>2</v>
      </c>
      <c r="H6417" s="48"/>
      <c r="I6417" s="49"/>
      <c r="J6417" s="49"/>
      <c r="K6417" s="19"/>
      <c r="L6417" s="20"/>
    </row>
    <row r="6418" spans="1:12" ht="12.75" outlineLevel="1">
      <c r="A6418" s="11"/>
      <c r="B6418" s="12" t="str">
        <f>IFERROR(VLOOKUP(D6418,'[1]Перечень товаров'!$A$2:$I9525,2,0),"")</f>
        <v/>
      </c>
      <c r="C6418" s="12" t="str">
        <f>IFERROR(VLOOKUP(D6418,'[1]Перечень товаров'!$A$2:$I9525,3,0),"")</f>
        <v/>
      </c>
      <c r="D6418" s="27" t="s">
        <v>371</v>
      </c>
      <c r="E6418" s="99">
        <v>46240</v>
      </c>
      <c r="F6418" s="99"/>
      <c r="G6418" s="100"/>
      <c r="H6418" s="100"/>
      <c r="I6418" s="101"/>
      <c r="J6418" s="101"/>
      <c r="K6418" s="19"/>
      <c r="L6418" s="20"/>
    </row>
    <row r="6419" spans="1:12" outlineLevel="2">
      <c r="A6419" s="22"/>
      <c r="B6419" s="12" t="str">
        <f>IFERROR(VLOOKUP(D6419,'[1]Перечень товаров'!$A$2:$I9525,2,0),"")</f>
        <v>п25</v>
      </c>
      <c r="C6419" s="12" t="str">
        <f>IFERROR(VLOOKUP(D6419,'[1]Перечень товаров'!$A$2:$I9525,3,0),"")</f>
        <v>Прочее</v>
      </c>
      <c r="D6419" s="22" t="s">
        <v>360</v>
      </c>
      <c r="E6419" s="102"/>
      <c r="F6419" s="102"/>
      <c r="G6419" s="48">
        <v>3</v>
      </c>
      <c r="H6419" s="48"/>
      <c r="I6419" s="49"/>
      <c r="J6419" s="49"/>
      <c r="K6419" s="33"/>
      <c r="L6419" s="20"/>
    </row>
    <row r="6420" spans="1:12" outlineLevel="2">
      <c r="A6420" s="21"/>
      <c r="B6420" s="12" t="str">
        <f>IFERROR(VLOOKUP(D6420,'[1]Перечень товаров'!$A$2:$I9525,2,0),"")</f>
        <v>п26</v>
      </c>
      <c r="C6420" s="12" t="str">
        <f>IFERROR(VLOOKUP(D6420,'[1]Перечень товаров'!$A$2:$I9525,3,0),"")</f>
        <v>Прочее</v>
      </c>
      <c r="D6420" s="22" t="s">
        <v>361</v>
      </c>
      <c r="E6420" s="102"/>
      <c r="F6420" s="102"/>
      <c r="G6420" s="48">
        <v>2</v>
      </c>
      <c r="H6420" s="48"/>
      <c r="I6420" s="49"/>
      <c r="J6420" s="49"/>
      <c r="K6420" s="33"/>
      <c r="L6420" s="20"/>
    </row>
    <row r="6421" spans="1:12" outlineLevel="2">
      <c r="A6421" s="21"/>
      <c r="B6421" s="12" t="str">
        <f>IFERROR(VLOOKUP(D6421,'[1]Перечень товаров'!$A$2:$I9525,2,0),"")</f>
        <v>п27</v>
      </c>
      <c r="C6421" s="12" t="str">
        <f>IFERROR(VLOOKUP(D6421,'[1]Перечень товаров'!$A$2:$I9525,3,0),"")</f>
        <v>Прочее</v>
      </c>
      <c r="D6421" s="22" t="s">
        <v>362</v>
      </c>
      <c r="E6421" s="102"/>
      <c r="F6421" s="102"/>
      <c r="G6421" s="48">
        <v>2</v>
      </c>
      <c r="H6421" s="48"/>
      <c r="I6421" s="49"/>
      <c r="J6421" s="49"/>
      <c r="K6421" s="33"/>
      <c r="L6421" s="20"/>
    </row>
    <row r="6422" spans="1:12" outlineLevel="2">
      <c r="A6422" s="21"/>
      <c r="B6422" s="12" t="str">
        <f>IFERROR(VLOOKUP(D6422,'[1]Перечень товаров'!$A$2:$I9525,2,0),"")</f>
        <v>п28</v>
      </c>
      <c r="C6422" s="12" t="str">
        <f>IFERROR(VLOOKUP(D6422,'[1]Перечень товаров'!$A$2:$I9525,3,0),"")</f>
        <v>Прочее</v>
      </c>
      <c r="D6422" s="22" t="s">
        <v>363</v>
      </c>
      <c r="E6422" s="102"/>
      <c r="F6422" s="102"/>
      <c r="G6422" s="48">
        <v>1</v>
      </c>
      <c r="H6422" s="48"/>
      <c r="I6422" s="49"/>
      <c r="J6422" s="49"/>
      <c r="K6422" s="33"/>
      <c r="L6422" s="20"/>
    </row>
    <row r="6423" spans="1:12" outlineLevel="2">
      <c r="A6423" s="21"/>
      <c r="B6423" s="12" t="str">
        <f>IFERROR(VLOOKUP(D6423,'[1]Перечень товаров'!$A$2:$I9525,2,0),"")</f>
        <v>п29</v>
      </c>
      <c r="C6423" s="12" t="str">
        <f>IFERROR(VLOOKUP(D6423,'[1]Перечень товаров'!$A$2:$I9525,3,0),"")</f>
        <v>Прочее</v>
      </c>
      <c r="D6423" s="22" t="s">
        <v>364</v>
      </c>
      <c r="E6423" s="102"/>
      <c r="F6423" s="102"/>
      <c r="G6423" s="48">
        <v>6</v>
      </c>
      <c r="H6423" s="48"/>
      <c r="I6423" s="49"/>
      <c r="J6423" s="49"/>
      <c r="K6423" s="33"/>
      <c r="L6423" s="20"/>
    </row>
    <row r="6424" spans="1:12" outlineLevel="2">
      <c r="A6424" s="21"/>
      <c r="B6424" s="12" t="str">
        <f>IFERROR(VLOOKUP(D6424,'[1]Перечень товаров'!$A$2:$I9525,2,0),"")</f>
        <v>п30</v>
      </c>
      <c r="C6424" s="12" t="str">
        <f>IFERROR(VLOOKUP(D6424,'[1]Перечень товаров'!$A$2:$I9525,3,0),"")</f>
        <v>Прочее</v>
      </c>
      <c r="D6424" s="22" t="s">
        <v>365</v>
      </c>
      <c r="E6424" s="102"/>
      <c r="F6424" s="102"/>
      <c r="G6424" s="48">
        <v>2</v>
      </c>
      <c r="H6424" s="48"/>
      <c r="I6424" s="49"/>
      <c r="J6424" s="49"/>
      <c r="K6424" s="33"/>
      <c r="L6424" s="20"/>
    </row>
    <row r="6425" spans="1:12" ht="31.5" outlineLevel="2">
      <c r="A6425" s="21"/>
      <c r="B6425" s="12" t="str">
        <f>IFERROR(VLOOKUP(D6425,'[1]Перечень товаров'!$A$2:$I9525,2,0),"")</f>
        <v>п31</v>
      </c>
      <c r="C6425" s="12" t="str">
        <f>IFERROR(VLOOKUP(D6425,'[1]Перечень товаров'!$A$2:$I9525,3,0),"")</f>
        <v>Прочее</v>
      </c>
      <c r="D6425" s="22" t="s">
        <v>366</v>
      </c>
      <c r="E6425" s="102"/>
      <c r="F6425" s="102"/>
      <c r="G6425" s="48">
        <v>1</v>
      </c>
      <c r="H6425" s="48"/>
      <c r="I6425" s="49"/>
      <c r="J6425" s="49"/>
      <c r="K6425" s="33"/>
      <c r="L6425" s="20"/>
    </row>
    <row r="6426" spans="1:12" ht="31.5" outlineLevel="2">
      <c r="A6426" s="21"/>
      <c r="B6426" s="12" t="str">
        <f>IFERROR(VLOOKUP(D6426,'[1]Перечень товаров'!$A$2:$I9525,2,0),"")</f>
        <v>п32</v>
      </c>
      <c r="C6426" s="12" t="str">
        <f>IFERROR(VLOOKUP(D6426,'[1]Перечень товаров'!$A$2:$I9525,3,0),"")</f>
        <v>Прочее</v>
      </c>
      <c r="D6426" s="22" t="s">
        <v>367</v>
      </c>
      <c r="E6426" s="102"/>
      <c r="F6426" s="102"/>
      <c r="G6426" s="48">
        <v>2</v>
      </c>
      <c r="H6426" s="48"/>
      <c r="I6426" s="49"/>
      <c r="J6426" s="49"/>
      <c r="K6426" s="33"/>
      <c r="L6426" s="20"/>
    </row>
    <row r="6427" spans="1:12" ht="12.75" outlineLevel="1">
      <c r="A6427" s="11"/>
      <c r="B6427" s="12" t="str">
        <f>IFERROR(VLOOKUP(D6427,'[1]Перечень товаров'!$A$2:$I9525,2,0),"")</f>
        <v/>
      </c>
      <c r="C6427" s="12" t="str">
        <f>IFERROR(VLOOKUP(D6427,'[1]Перечень товаров'!$A$2:$I9525,3,0),"")</f>
        <v/>
      </c>
      <c r="D6427" s="27" t="s">
        <v>372</v>
      </c>
      <c r="E6427" s="99">
        <v>46059</v>
      </c>
      <c r="F6427" s="99"/>
      <c r="G6427" s="100"/>
      <c r="H6427" s="100"/>
      <c r="I6427" s="101"/>
      <c r="J6427" s="101"/>
      <c r="K6427" s="19"/>
      <c r="L6427" s="20"/>
    </row>
    <row r="6428" spans="1:12" outlineLevel="2">
      <c r="A6428" s="22"/>
      <c r="B6428" s="12" t="str">
        <f>IFERROR(VLOOKUP(D6428,'[1]Перечень товаров'!$A$2:$I9525,2,0),"")</f>
        <v>п25</v>
      </c>
      <c r="C6428" s="12" t="str">
        <f>IFERROR(VLOOKUP(D6428,'[1]Перечень товаров'!$A$2:$I9525,3,0),"")</f>
        <v>Прочее</v>
      </c>
      <c r="D6428" s="22" t="s">
        <v>360</v>
      </c>
      <c r="E6428" s="102"/>
      <c r="F6428" s="102"/>
      <c r="G6428" s="48">
        <v>3</v>
      </c>
      <c r="H6428" s="48"/>
      <c r="I6428" s="49"/>
      <c r="J6428" s="49"/>
      <c r="K6428" s="33"/>
      <c r="L6428" s="20"/>
    </row>
    <row r="6429" spans="1:12" outlineLevel="2">
      <c r="A6429" s="21"/>
      <c r="B6429" s="12" t="str">
        <f>IFERROR(VLOOKUP(D6429,'[1]Перечень товаров'!$A$2:$I9525,2,0),"")</f>
        <v>п26</v>
      </c>
      <c r="C6429" s="12" t="str">
        <f>IFERROR(VLOOKUP(D6429,'[1]Перечень товаров'!$A$2:$I9525,3,0),"")</f>
        <v>Прочее</v>
      </c>
      <c r="D6429" s="22" t="s">
        <v>361</v>
      </c>
      <c r="E6429" s="102"/>
      <c r="F6429" s="102"/>
      <c r="G6429" s="48">
        <v>2</v>
      </c>
      <c r="H6429" s="48"/>
      <c r="I6429" s="49"/>
      <c r="J6429" s="49"/>
      <c r="K6429" s="33"/>
      <c r="L6429" s="20"/>
    </row>
    <row r="6430" spans="1:12" outlineLevel="2">
      <c r="A6430" s="21"/>
      <c r="B6430" s="12" t="str">
        <f>IFERROR(VLOOKUP(D6430,'[1]Перечень товаров'!$A$2:$I9525,2,0),"")</f>
        <v>п27</v>
      </c>
      <c r="C6430" s="12" t="str">
        <f>IFERROR(VLOOKUP(D6430,'[1]Перечень товаров'!$A$2:$I9525,3,0),"")</f>
        <v>Прочее</v>
      </c>
      <c r="D6430" s="22" t="s">
        <v>362</v>
      </c>
      <c r="E6430" s="102"/>
      <c r="F6430" s="102"/>
      <c r="G6430" s="48">
        <v>2</v>
      </c>
      <c r="H6430" s="48"/>
      <c r="I6430" s="49"/>
      <c r="J6430" s="49"/>
      <c r="K6430" s="33"/>
      <c r="L6430" s="20"/>
    </row>
    <row r="6431" spans="1:12" outlineLevel="2">
      <c r="A6431" s="21"/>
      <c r="B6431" s="12" t="str">
        <f>IFERROR(VLOOKUP(D6431,'[1]Перечень товаров'!$A$2:$I9525,2,0),"")</f>
        <v>п28</v>
      </c>
      <c r="C6431" s="12" t="str">
        <f>IFERROR(VLOOKUP(D6431,'[1]Перечень товаров'!$A$2:$I9525,3,0),"")</f>
        <v>Прочее</v>
      </c>
      <c r="D6431" s="22" t="s">
        <v>363</v>
      </c>
      <c r="E6431" s="102"/>
      <c r="F6431" s="102"/>
      <c r="G6431" s="48">
        <v>1</v>
      </c>
      <c r="H6431" s="48"/>
      <c r="I6431" s="49"/>
      <c r="J6431" s="49"/>
      <c r="K6431" s="33"/>
      <c r="L6431" s="20"/>
    </row>
    <row r="6432" spans="1:12" outlineLevel="2">
      <c r="A6432" s="21"/>
      <c r="B6432" s="12" t="str">
        <f>IFERROR(VLOOKUP(D6432,'[1]Перечень товаров'!$A$2:$I9525,2,0),"")</f>
        <v>п29</v>
      </c>
      <c r="C6432" s="12" t="str">
        <f>IFERROR(VLOOKUP(D6432,'[1]Перечень товаров'!$A$2:$I9525,3,0),"")</f>
        <v>Прочее</v>
      </c>
      <c r="D6432" s="22" t="s">
        <v>364</v>
      </c>
      <c r="E6432" s="102"/>
      <c r="F6432" s="102"/>
      <c r="G6432" s="48">
        <v>6</v>
      </c>
      <c r="H6432" s="48"/>
      <c r="I6432" s="49"/>
      <c r="J6432" s="49"/>
      <c r="K6432" s="33"/>
      <c r="L6432" s="20"/>
    </row>
    <row r="6433" spans="1:12" outlineLevel="2">
      <c r="A6433" s="21"/>
      <c r="B6433" s="12" t="str">
        <f>IFERROR(VLOOKUP(D6433,'[1]Перечень товаров'!$A$2:$I9525,2,0),"")</f>
        <v>п30</v>
      </c>
      <c r="C6433" s="12" t="str">
        <f>IFERROR(VLOOKUP(D6433,'[1]Перечень товаров'!$A$2:$I9525,3,0),"")</f>
        <v>Прочее</v>
      </c>
      <c r="D6433" s="22" t="s">
        <v>365</v>
      </c>
      <c r="E6433" s="102"/>
      <c r="F6433" s="102"/>
      <c r="G6433" s="48">
        <v>2</v>
      </c>
      <c r="H6433" s="48"/>
      <c r="I6433" s="49"/>
      <c r="J6433" s="49"/>
      <c r="K6433" s="33"/>
      <c r="L6433" s="20"/>
    </row>
    <row r="6434" spans="1:12" ht="31.5" outlineLevel="2">
      <c r="A6434" s="21"/>
      <c r="B6434" s="12" t="str">
        <f>IFERROR(VLOOKUP(D6434,'[1]Перечень товаров'!$A$2:$I9525,2,0),"")</f>
        <v>п31</v>
      </c>
      <c r="C6434" s="12" t="str">
        <f>IFERROR(VLOOKUP(D6434,'[1]Перечень товаров'!$A$2:$I9525,3,0),"")</f>
        <v>Прочее</v>
      </c>
      <c r="D6434" s="22" t="s">
        <v>366</v>
      </c>
      <c r="E6434" s="102"/>
      <c r="F6434" s="102"/>
      <c r="G6434" s="48">
        <v>1</v>
      </c>
      <c r="H6434" s="48"/>
      <c r="I6434" s="49"/>
      <c r="J6434" s="49"/>
      <c r="K6434" s="33"/>
      <c r="L6434" s="20"/>
    </row>
    <row r="6435" spans="1:12" ht="31.5" outlineLevel="2">
      <c r="A6435" s="21"/>
      <c r="B6435" s="12" t="str">
        <f>IFERROR(VLOOKUP(D6435,'[1]Перечень товаров'!$A$2:$I9525,2,0),"")</f>
        <v>п32</v>
      </c>
      <c r="C6435" s="12" t="str">
        <f>IFERROR(VLOOKUP(D6435,'[1]Перечень товаров'!$A$2:$I9525,3,0),"")</f>
        <v>Прочее</v>
      </c>
      <c r="D6435" s="22" t="s">
        <v>367</v>
      </c>
      <c r="E6435" s="102"/>
      <c r="F6435" s="102"/>
      <c r="G6435" s="48">
        <v>2</v>
      </c>
      <c r="H6435" s="48"/>
      <c r="I6435" s="49"/>
      <c r="J6435" s="49"/>
      <c r="K6435" s="33"/>
      <c r="L6435" s="20"/>
    </row>
    <row r="6436" spans="1:12" outlineLevel="1">
      <c r="A6436" s="21"/>
      <c r="B6436" s="12" t="str">
        <f>IFERROR(VLOOKUP(D6436,'[1]Перечень товаров'!$A$2:$I9525,2,0),"")</f>
        <v/>
      </c>
      <c r="C6436" s="12" t="str">
        <f>IFERROR(VLOOKUP(D6436,'[1]Перечень товаров'!$A$2:$I9525,3,0),"")</f>
        <v/>
      </c>
      <c r="D6436" s="22" t="s">
        <v>311</v>
      </c>
      <c r="E6436" s="102">
        <v>46182</v>
      </c>
      <c r="F6436" s="102"/>
      <c r="G6436" s="103"/>
      <c r="H6436" s="103"/>
      <c r="I6436" s="104"/>
      <c r="J6436" s="104"/>
      <c r="K6436" s="19"/>
      <c r="L6436" s="20"/>
    </row>
    <row r="6437" spans="1:12" ht="12.75" outlineLevel="1">
      <c r="A6437" s="11"/>
      <c r="B6437" s="12" t="str">
        <f>IFERROR(VLOOKUP(D6437,'[1]Перечень товаров'!$A$2:$I9525,2,0),"")</f>
        <v/>
      </c>
      <c r="C6437" s="12" t="str">
        <f>IFERROR(VLOOKUP(D6437,'[1]Перечень товаров'!$A$2:$I9525,3,0),"")</f>
        <v/>
      </c>
      <c r="D6437" s="27" t="s">
        <v>1782</v>
      </c>
      <c r="E6437" s="99">
        <v>46099</v>
      </c>
      <c r="F6437" s="99"/>
      <c r="G6437" s="100"/>
      <c r="H6437" s="100"/>
      <c r="I6437" s="101"/>
      <c r="J6437" s="101"/>
      <c r="K6437" s="19"/>
      <c r="L6437" s="20"/>
    </row>
    <row r="6438" spans="1:12" ht="15" outlineLevel="2">
      <c r="A6438" s="116"/>
      <c r="B6438" s="12" t="str">
        <f>IFERROR(VLOOKUP(D6438,'[1]Перечень товаров'!$A$2:$I9525,2,0),"")</f>
        <v/>
      </c>
      <c r="C6438" s="12" t="str">
        <f>IFERROR(VLOOKUP(D6438,'[1]Перечень товаров'!$A$2:$I9525,3,0),"")</f>
        <v/>
      </c>
      <c r="D6438" s="117" t="s">
        <v>19</v>
      </c>
      <c r="E6438" s="122"/>
      <c r="F6438" s="122"/>
      <c r="G6438" s="123"/>
      <c r="H6438" s="123"/>
      <c r="I6438" s="124"/>
      <c r="J6438" s="124"/>
      <c r="K6438" s="19"/>
      <c r="L6438" s="20"/>
    </row>
    <row r="6439" spans="1:12" outlineLevel="2">
      <c r="A6439" s="34"/>
      <c r="B6439" s="12" t="str">
        <f>IFERROR(VLOOKUP(D6439,'[1]Перечень товаров'!$A$2:$I9525,2,0),"")</f>
        <v>м2</v>
      </c>
      <c r="C6439" s="12" t="str">
        <f>IFERROR(VLOOKUP(D6439,'[1]Перечень товаров'!$A$2:$I9525,3,0),"")</f>
        <v>Мебель</v>
      </c>
      <c r="D6439" s="35" t="s">
        <v>845</v>
      </c>
      <c r="E6439" s="30"/>
      <c r="F6439" s="30"/>
      <c r="G6439" s="31">
        <v>1</v>
      </c>
      <c r="H6439" s="31"/>
      <c r="I6439" s="32"/>
      <c r="J6439" s="32"/>
      <c r="K6439" s="19"/>
      <c r="L6439" s="20"/>
    </row>
    <row r="6440" spans="1:12" outlineLevel="2">
      <c r="A6440" s="34"/>
      <c r="B6440" s="12" t="str">
        <f>IFERROR(VLOOKUP(D6440,'[1]Перечень товаров'!$A$2:$I9525,2,0),"")</f>
        <v>м12</v>
      </c>
      <c r="C6440" s="12" t="str">
        <f>IFERROR(VLOOKUP(D6440,'[1]Перечень товаров'!$A$2:$I9525,3,0),"")</f>
        <v>Мебель</v>
      </c>
      <c r="D6440" s="35" t="s">
        <v>21</v>
      </c>
      <c r="E6440" s="30"/>
      <c r="F6440" s="30"/>
      <c r="G6440" s="31">
        <v>1</v>
      </c>
      <c r="H6440" s="31"/>
      <c r="I6440" s="32"/>
      <c r="J6440" s="32"/>
      <c r="K6440" s="19"/>
      <c r="L6440" s="20"/>
    </row>
    <row r="6441" spans="1:12" ht="63" outlineLevel="2">
      <c r="A6441" s="34"/>
      <c r="B6441" s="12" t="str">
        <f>IFERROR(VLOOKUP(D6441,'[1]Перечень товаров'!$A$2:$I9525,2,0),"")</f>
        <v>м5</v>
      </c>
      <c r="C6441" s="12" t="str">
        <f>IFERROR(VLOOKUP(D6441,'[1]Перечень товаров'!$A$2:$I9525,3,0),"")</f>
        <v>Мебель</v>
      </c>
      <c r="D6441" s="35" t="s">
        <v>22</v>
      </c>
      <c r="E6441" s="30"/>
      <c r="F6441" s="30"/>
      <c r="G6441" s="31">
        <v>1</v>
      </c>
      <c r="H6441" s="31"/>
      <c r="I6441" s="32"/>
      <c r="J6441" s="32"/>
      <c r="K6441" s="19"/>
      <c r="L6441" s="20"/>
    </row>
    <row r="6442" spans="1:12" ht="31.5" outlineLevel="2">
      <c r="A6442" s="34"/>
      <c r="B6442" s="12" t="str">
        <f>IFERROR(VLOOKUP(D6442,'[1]Перечень товаров'!$A$2:$I9525,2,0),"")</f>
        <v>м6</v>
      </c>
      <c r="C6442" s="12" t="str">
        <f>IFERROR(VLOOKUP(D6442,'[1]Перечень товаров'!$A$2:$I9525,3,0),"")</f>
        <v>Мебель</v>
      </c>
      <c r="D6442" s="35" t="s">
        <v>23</v>
      </c>
      <c r="E6442" s="30"/>
      <c r="F6442" s="30"/>
      <c r="G6442" s="31">
        <v>1</v>
      </c>
      <c r="H6442" s="31"/>
      <c r="I6442" s="32"/>
      <c r="J6442" s="32"/>
      <c r="K6442" s="19"/>
      <c r="L6442" s="20"/>
    </row>
    <row r="6443" spans="1:12" outlineLevel="2">
      <c r="A6443" s="34"/>
      <c r="B6443" s="12" t="str">
        <f>IFERROR(VLOOKUP(D6443,'[1]Перечень товаров'!$A$2:$I9525,2,0),"")</f>
        <v>м7</v>
      </c>
      <c r="C6443" s="12" t="str">
        <f>IFERROR(VLOOKUP(D6443,'[1]Перечень товаров'!$A$2:$I9525,3,0),"")</f>
        <v>Мебель</v>
      </c>
      <c r="D6443" s="35" t="s">
        <v>24</v>
      </c>
      <c r="E6443" s="30"/>
      <c r="F6443" s="30"/>
      <c r="G6443" s="31">
        <v>1</v>
      </c>
      <c r="H6443" s="31"/>
      <c r="I6443" s="32"/>
      <c r="J6443" s="32"/>
      <c r="K6443" s="19"/>
      <c r="L6443" s="20"/>
    </row>
    <row r="6444" spans="1:12" outlineLevel="2">
      <c r="A6444" s="43"/>
      <c r="B6444" s="12" t="str">
        <f>IFERROR(VLOOKUP(D6444,'[1]Перечень товаров'!$A$2:$I9525,2,0),"")</f>
        <v>м213</v>
      </c>
      <c r="C6444" s="12" t="str">
        <f>IFERROR(VLOOKUP(D6444,'[1]Перечень товаров'!$A$2:$I9525,3,0),"")</f>
        <v>Мебель</v>
      </c>
      <c r="D6444" s="44" t="s">
        <v>1783</v>
      </c>
      <c r="E6444" s="30"/>
      <c r="F6444" s="30"/>
      <c r="G6444" s="31">
        <v>1</v>
      </c>
      <c r="H6444" s="31"/>
      <c r="I6444" s="32"/>
      <c r="J6444" s="32"/>
      <c r="K6444" s="19"/>
      <c r="L6444" s="20"/>
    </row>
    <row r="6445" spans="1:12" outlineLevel="2">
      <c r="A6445" s="28"/>
      <c r="B6445" s="12" t="str">
        <f>IFERROR(VLOOKUP(D6445,'[1]Перечень товаров'!$A$2:$I9525,2,0),"")</f>
        <v>м9</v>
      </c>
      <c r="C6445" s="12" t="str">
        <f>IFERROR(VLOOKUP(D6445,'[1]Перечень товаров'!$A$2:$I9525,3,0),"")</f>
        <v>Мебель</v>
      </c>
      <c r="D6445" s="29" t="s">
        <v>26</v>
      </c>
      <c r="E6445" s="30"/>
      <c r="F6445" s="30"/>
      <c r="G6445" s="31">
        <v>4</v>
      </c>
      <c r="H6445" s="31"/>
      <c r="I6445" s="32"/>
      <c r="J6445" s="32"/>
      <c r="K6445" s="19"/>
      <c r="L6445" s="20"/>
    </row>
    <row r="6446" spans="1:12" ht="30" outlineLevel="2">
      <c r="A6446" s="116"/>
      <c r="B6446" s="12" t="str">
        <f>IFERROR(VLOOKUP(D6446,'[1]Перечень товаров'!$A$2:$I9525,2,0),"")</f>
        <v/>
      </c>
      <c r="C6446" s="12" t="str">
        <f>IFERROR(VLOOKUP(D6446,'[1]Перечень товаров'!$A$2:$I9525,3,0),"")</f>
        <v/>
      </c>
      <c r="D6446" s="117" t="s">
        <v>27</v>
      </c>
      <c r="E6446" s="122"/>
      <c r="F6446" s="122"/>
      <c r="G6446" s="123"/>
      <c r="H6446" s="123"/>
      <c r="I6446" s="124"/>
      <c r="J6446" s="124"/>
      <c r="K6446" s="19"/>
      <c r="L6446" s="20"/>
    </row>
    <row r="6447" spans="1:12" outlineLevel="2">
      <c r="A6447" s="34"/>
      <c r="B6447" s="12" t="str">
        <f>IFERROR(VLOOKUP(D6447,'[1]Перечень товаров'!$A$2:$I9525,2,0),"")</f>
        <v>т1</v>
      </c>
      <c r="C6447" s="12" t="str">
        <f>IFERROR(VLOOKUP(D6447,'[1]Перечень товаров'!$A$2:$I9525,3,0),"")</f>
        <v xml:space="preserve">Техника </v>
      </c>
      <c r="D6447" s="35" t="s">
        <v>28</v>
      </c>
      <c r="E6447" s="30"/>
      <c r="F6447" s="30"/>
      <c r="G6447" s="31">
        <v>1</v>
      </c>
      <c r="H6447" s="31"/>
      <c r="I6447" s="32"/>
      <c r="J6447" s="32"/>
      <c r="K6447" s="19"/>
      <c r="L6447" s="20"/>
    </row>
    <row r="6448" spans="1:12" outlineLevel="2">
      <c r="A6448" s="35"/>
      <c r="B6448" s="12" t="str">
        <f>IFERROR(VLOOKUP(D6448,'[1]Перечень товаров'!$A$2:$I9525,2,0),"")</f>
        <v>т2</v>
      </c>
      <c r="C6448" s="12" t="str">
        <f>IFERROR(VLOOKUP(D6448,'[1]Перечень товаров'!$A$2:$I9525,3,0),"")</f>
        <v xml:space="preserve">Техника </v>
      </c>
      <c r="D6448" s="35" t="s">
        <v>29</v>
      </c>
      <c r="E6448" s="30"/>
      <c r="F6448" s="30"/>
      <c r="G6448" s="31">
        <v>1</v>
      </c>
      <c r="H6448" s="31"/>
      <c r="I6448" s="32"/>
      <c r="J6448" s="32"/>
      <c r="K6448" s="19"/>
      <c r="L6448" s="20"/>
    </row>
    <row r="6449" spans="1:12" outlineLevel="2">
      <c r="A6449" s="35"/>
      <c r="B6449" s="12" t="str">
        <f>IFERROR(VLOOKUP(D6449,'[1]Перечень товаров'!$A$2:$I9525,2,0),"")</f>
        <v>т3</v>
      </c>
      <c r="C6449" s="12" t="str">
        <f>IFERROR(VLOOKUP(D6449,'[1]Перечень товаров'!$A$2:$I9525,3,0),"")</f>
        <v xml:space="preserve">Техника </v>
      </c>
      <c r="D6449" s="35" t="s">
        <v>30</v>
      </c>
      <c r="E6449" s="30"/>
      <c r="F6449" s="30"/>
      <c r="G6449" s="31">
        <v>1</v>
      </c>
      <c r="H6449" s="31"/>
      <c r="I6449" s="32"/>
      <c r="J6449" s="32"/>
      <c r="K6449" s="19"/>
      <c r="L6449" s="20"/>
    </row>
    <row r="6450" spans="1:12" outlineLevel="2">
      <c r="A6450" s="35"/>
      <c r="B6450" s="12" t="str">
        <f>IFERROR(VLOOKUP(D6450,'[1]Перечень товаров'!$A$2:$I9525,2,0),"")</f>
        <v>т4</v>
      </c>
      <c r="C6450" s="12" t="str">
        <f>IFERROR(VLOOKUP(D6450,'[1]Перечень товаров'!$A$2:$I9525,3,0),"")</f>
        <v xml:space="preserve">Техника </v>
      </c>
      <c r="D6450" s="35" t="s">
        <v>31</v>
      </c>
      <c r="E6450" s="30"/>
      <c r="F6450" s="30"/>
      <c r="G6450" s="31">
        <v>1</v>
      </c>
      <c r="H6450" s="31"/>
      <c r="I6450" s="32"/>
      <c r="J6450" s="32"/>
      <c r="K6450" s="19"/>
      <c r="L6450" s="20"/>
    </row>
    <row r="6451" spans="1:12" outlineLevel="2">
      <c r="A6451" s="34"/>
      <c r="B6451" s="12" t="str">
        <f>IFERROR(VLOOKUP(D6451,'[1]Перечень товаров'!$A$2:$I9525,2,0),"")</f>
        <v>т5</v>
      </c>
      <c r="C6451" s="12" t="str">
        <f>IFERROR(VLOOKUP(D6451,'[1]Перечень товаров'!$A$2:$I9525,3,0),"")</f>
        <v xml:space="preserve">Техника </v>
      </c>
      <c r="D6451" s="35" t="s">
        <v>32</v>
      </c>
      <c r="E6451" s="30"/>
      <c r="F6451" s="30"/>
      <c r="G6451" s="31">
        <v>1</v>
      </c>
      <c r="H6451" s="31"/>
      <c r="I6451" s="32"/>
      <c r="J6451" s="32"/>
      <c r="K6451" s="19"/>
      <c r="L6451" s="20"/>
    </row>
    <row r="6452" spans="1:12" outlineLevel="2">
      <c r="A6452" s="35"/>
      <c r="B6452" s="12" t="str">
        <f>IFERROR(VLOOKUP(D6452,'[1]Перечень товаров'!$A$2:$I9525,2,0),"")</f>
        <v>т6</v>
      </c>
      <c r="C6452" s="12" t="str">
        <f>IFERROR(VLOOKUP(D6452,'[1]Перечень товаров'!$A$2:$I9525,3,0),"")</f>
        <v xml:space="preserve">Техника </v>
      </c>
      <c r="D6452" s="35" t="s">
        <v>33</v>
      </c>
      <c r="E6452" s="30"/>
      <c r="F6452" s="30"/>
      <c r="G6452" s="31">
        <v>1</v>
      </c>
      <c r="H6452" s="31"/>
      <c r="I6452" s="32"/>
      <c r="J6452" s="32"/>
      <c r="K6452" s="19"/>
      <c r="L6452" s="20"/>
    </row>
    <row r="6453" spans="1:12" outlineLevel="2">
      <c r="A6453" s="34"/>
      <c r="B6453" s="12" t="str">
        <f>IFERROR(VLOOKUP(D6453,'[1]Перечень товаров'!$A$2:$I9525,2,0),"")</f>
        <v>т7</v>
      </c>
      <c r="C6453" s="12" t="str">
        <f>IFERROR(VLOOKUP(D6453,'[1]Перечень товаров'!$A$2:$I9525,3,0),"")</f>
        <v xml:space="preserve">Техника </v>
      </c>
      <c r="D6453" s="35" t="s">
        <v>34</v>
      </c>
      <c r="E6453" s="30"/>
      <c r="F6453" s="30"/>
      <c r="G6453" s="31">
        <v>2</v>
      </c>
      <c r="H6453" s="31"/>
      <c r="I6453" s="32"/>
      <c r="J6453" s="32"/>
      <c r="K6453" s="19"/>
      <c r="L6453" s="20"/>
    </row>
    <row r="6454" spans="1:12" outlineLevel="2">
      <c r="A6454" s="34"/>
      <c r="B6454" s="12" t="str">
        <f>IFERROR(VLOOKUP(D6454,'[1]Перечень товаров'!$A$2:$I9525,2,0),"")</f>
        <v>т8</v>
      </c>
      <c r="C6454" s="12" t="str">
        <f>IFERROR(VLOOKUP(D6454,'[1]Перечень товаров'!$A$2:$I9525,3,0),"")</f>
        <v xml:space="preserve">Техника </v>
      </c>
      <c r="D6454" s="35" t="s">
        <v>35</v>
      </c>
      <c r="E6454" s="30"/>
      <c r="F6454" s="30"/>
      <c r="G6454" s="31">
        <v>1</v>
      </c>
      <c r="H6454" s="31"/>
      <c r="I6454" s="32"/>
      <c r="J6454" s="32"/>
      <c r="K6454" s="19"/>
      <c r="L6454" s="20"/>
    </row>
    <row r="6455" spans="1:12" ht="15" outlineLevel="2">
      <c r="A6455" s="54"/>
      <c r="B6455" s="12" t="str">
        <f>IFERROR(VLOOKUP(D6455,'[1]Перечень товаров'!$A$2:$I9525,2,0),"")</f>
        <v/>
      </c>
      <c r="C6455" s="12" t="str">
        <f>IFERROR(VLOOKUP(D6455,'[1]Перечень товаров'!$A$2:$I9525,3,0),"")</f>
        <v/>
      </c>
      <c r="D6455" s="55" t="s">
        <v>45</v>
      </c>
      <c r="E6455" s="122"/>
      <c r="F6455" s="122"/>
      <c r="G6455" s="123"/>
      <c r="H6455" s="123"/>
      <c r="I6455" s="124"/>
      <c r="J6455" s="124"/>
      <c r="K6455" s="19"/>
      <c r="L6455" s="20"/>
    </row>
    <row r="6456" spans="1:12" outlineLevel="2">
      <c r="A6456" s="88"/>
      <c r="B6456" s="12" t="str">
        <f>IFERROR(VLOOKUP(D6456,'[1]Перечень товаров'!$A$2:$I9525,2,0),"")</f>
        <v>п1</v>
      </c>
      <c r="C6456" s="12" t="str">
        <f>IFERROR(VLOOKUP(D6456,'[1]Перечень товаров'!$A$2:$I9525,3,0),"")</f>
        <v>Прочее</v>
      </c>
      <c r="D6456" s="223" t="s">
        <v>37</v>
      </c>
      <c r="E6456" s="30"/>
      <c r="F6456" s="30"/>
      <c r="G6456" s="31">
        <v>1</v>
      </c>
      <c r="H6456" s="31"/>
      <c r="I6456" s="32"/>
      <c r="J6456" s="32"/>
      <c r="K6456" s="19"/>
      <c r="L6456" s="20"/>
    </row>
    <row r="6457" spans="1:12" outlineLevel="2">
      <c r="A6457" s="88"/>
      <c r="B6457" s="12" t="str">
        <f>IFERROR(VLOOKUP(D6457,'[1]Перечень товаров'!$A$2:$I9525,2,0),"")</f>
        <v>м10</v>
      </c>
      <c r="C6457" s="12" t="str">
        <f>IFERROR(VLOOKUP(D6457,'[1]Перечень товаров'!$A$2:$I9525,3,0),"")</f>
        <v>Мебель</v>
      </c>
      <c r="D6457" s="223" t="s">
        <v>38</v>
      </c>
      <c r="E6457" s="30"/>
      <c r="F6457" s="30"/>
      <c r="G6457" s="31">
        <v>1</v>
      </c>
      <c r="H6457" s="31"/>
      <c r="I6457" s="32"/>
      <c r="J6457" s="32"/>
      <c r="K6457" s="19"/>
      <c r="L6457" s="20"/>
    </row>
    <row r="6458" spans="1:12" outlineLevel="2">
      <c r="A6458" s="88"/>
      <c r="B6458" s="12" t="str">
        <f>IFERROR(VLOOKUP(D6458,'[1]Перечень товаров'!$A$2:$I9525,2,0),"")</f>
        <v>т10</v>
      </c>
      <c r="C6458" s="12" t="str">
        <f>IFERROR(VLOOKUP(D6458,'[1]Перечень товаров'!$A$2:$I9525,3,0),"")</f>
        <v xml:space="preserve">Техника </v>
      </c>
      <c r="D6458" s="223" t="s">
        <v>39</v>
      </c>
      <c r="E6458" s="30"/>
      <c r="F6458" s="30"/>
      <c r="G6458" s="31">
        <v>1</v>
      </c>
      <c r="H6458" s="31"/>
      <c r="I6458" s="32"/>
      <c r="J6458" s="32"/>
      <c r="K6458" s="19"/>
      <c r="L6458" s="20"/>
    </row>
    <row r="6459" spans="1:12" outlineLevel="2">
      <c r="A6459" s="21"/>
      <c r="B6459" s="12" t="str">
        <f>IFERROR(VLOOKUP(D6459,'[1]Перечень товаров'!$A$2:$I9525,2,0),"")</f>
        <v>п2</v>
      </c>
      <c r="C6459" s="12" t="str">
        <f>IFERROR(VLOOKUP(D6459,'[1]Перечень товаров'!$A$2:$I9525,3,0),"")</f>
        <v>Прочее</v>
      </c>
      <c r="D6459" s="22" t="s">
        <v>46</v>
      </c>
      <c r="E6459" s="30"/>
      <c r="F6459" s="30"/>
      <c r="G6459" s="31">
        <v>1</v>
      </c>
      <c r="H6459" s="31"/>
      <c r="I6459" s="32"/>
      <c r="J6459" s="32"/>
      <c r="K6459" s="19"/>
      <c r="L6459" s="20"/>
    </row>
    <row r="6460" spans="1:12" ht="12.75" outlineLevel="1">
      <c r="A6460" s="11"/>
      <c r="B6460" s="12" t="str">
        <f>IFERROR(VLOOKUP(D6460,'[1]Перечень товаров'!$A$2:$I9525,2,0),"")</f>
        <v/>
      </c>
      <c r="C6460" s="12" t="str">
        <f>IFERROR(VLOOKUP(D6460,'[1]Перечень товаров'!$A$2:$I9525,3,0),"")</f>
        <v/>
      </c>
      <c r="D6460" s="27" t="s">
        <v>1679</v>
      </c>
      <c r="E6460" s="99">
        <v>46264</v>
      </c>
      <c r="F6460" s="99"/>
      <c r="G6460" s="100"/>
      <c r="H6460" s="100"/>
      <c r="I6460" s="101"/>
      <c r="J6460" s="101"/>
      <c r="K6460" s="19"/>
      <c r="L6460" s="20"/>
    </row>
    <row r="6461" spans="1:12" ht="15" outlineLevel="2">
      <c r="A6461" s="109"/>
      <c r="B6461" s="12" t="str">
        <f>IFERROR(VLOOKUP(D6461,'[1]Перечень товаров'!$A$2:$I9525,2,0),"")</f>
        <v/>
      </c>
      <c r="C6461" s="12" t="str">
        <f>IFERROR(VLOOKUP(D6461,'[1]Перечень товаров'!$A$2:$I9525,3,0),"")</f>
        <v/>
      </c>
      <c r="D6461" s="110" t="s">
        <v>27</v>
      </c>
      <c r="E6461" s="56"/>
      <c r="F6461" s="56"/>
      <c r="G6461" s="111"/>
      <c r="H6461" s="111"/>
      <c r="I6461" s="112"/>
      <c r="J6461" s="112"/>
      <c r="K6461" s="19"/>
      <c r="L6461" s="20"/>
    </row>
    <row r="6462" spans="1:12" outlineLevel="2">
      <c r="A6462" s="21"/>
      <c r="B6462" s="12" t="str">
        <f>IFERROR(VLOOKUP(D6462,'[1]Перечень товаров'!$A$2:$I9525,2,0),"")</f>
        <v>т1</v>
      </c>
      <c r="C6462" s="12" t="str">
        <f>IFERROR(VLOOKUP(D6462,'[1]Перечень товаров'!$A$2:$I9525,3,0),"")</f>
        <v xml:space="preserve">Техника </v>
      </c>
      <c r="D6462" s="22" t="s">
        <v>28</v>
      </c>
      <c r="E6462" s="58"/>
      <c r="F6462" s="58"/>
      <c r="G6462" s="48">
        <v>1</v>
      </c>
      <c r="H6462" s="48"/>
      <c r="I6462" s="49"/>
      <c r="J6462" s="49"/>
      <c r="K6462" s="19"/>
      <c r="L6462" s="20"/>
    </row>
    <row r="6463" spans="1:12" outlineLevel="2">
      <c r="A6463" s="143"/>
      <c r="B6463" s="12" t="str">
        <f>IFERROR(VLOOKUP(D6463,'[1]Перечень товаров'!$A$2:$I9525,2,0),"")</f>
        <v>т9</v>
      </c>
      <c r="C6463" s="12" t="str">
        <f>IFERROR(VLOOKUP(D6463,'[1]Перечень товаров'!$A$2:$I9525,3,0),"")</f>
        <v>Техника</v>
      </c>
      <c r="D6463" s="143" t="s">
        <v>36</v>
      </c>
      <c r="E6463" s="58"/>
      <c r="F6463" s="58"/>
      <c r="G6463" s="48">
        <v>1</v>
      </c>
      <c r="H6463" s="48"/>
      <c r="I6463" s="49"/>
      <c r="J6463" s="49"/>
      <c r="K6463" s="19"/>
      <c r="L6463" s="20"/>
    </row>
    <row r="6464" spans="1:12" outlineLevel="2">
      <c r="A6464" s="35"/>
      <c r="B6464" s="12" t="str">
        <f>IFERROR(VLOOKUP(D6464,'[1]Перечень товаров'!$A$2:$I9525,2,0),"")</f>
        <v>т2</v>
      </c>
      <c r="C6464" s="12" t="str">
        <f>IFERROR(VLOOKUP(D6464,'[1]Перечень товаров'!$A$2:$I9525,3,0),"")</f>
        <v xml:space="preserve">Техника </v>
      </c>
      <c r="D6464" s="35" t="s">
        <v>29</v>
      </c>
      <c r="E6464" s="58"/>
      <c r="F6464" s="58"/>
      <c r="G6464" s="48">
        <v>1</v>
      </c>
      <c r="H6464" s="48"/>
      <c r="I6464" s="49"/>
      <c r="J6464" s="49"/>
      <c r="K6464" s="19"/>
      <c r="L6464" s="20"/>
    </row>
    <row r="6465" spans="1:12" outlineLevel="2">
      <c r="A6465" s="35"/>
      <c r="B6465" s="12" t="str">
        <f>IFERROR(VLOOKUP(D6465,'[1]Перечень товаров'!$A$2:$I9525,2,0),"")</f>
        <v>т3</v>
      </c>
      <c r="C6465" s="12" t="str">
        <f>IFERROR(VLOOKUP(D6465,'[1]Перечень товаров'!$A$2:$I9525,3,0),"")</f>
        <v xml:space="preserve">Техника </v>
      </c>
      <c r="D6465" s="35" t="s">
        <v>30</v>
      </c>
      <c r="E6465" s="58"/>
      <c r="F6465" s="58"/>
      <c r="G6465" s="48">
        <v>1</v>
      </c>
      <c r="H6465" s="48"/>
      <c r="I6465" s="49"/>
      <c r="J6465" s="49"/>
      <c r="K6465" s="19"/>
      <c r="L6465" s="20"/>
    </row>
    <row r="6466" spans="1:12" outlineLevel="2">
      <c r="A6466" s="35"/>
      <c r="B6466" s="12" t="str">
        <f>IFERROR(VLOOKUP(D6466,'[1]Перечень товаров'!$A$2:$I9525,2,0),"")</f>
        <v>т4</v>
      </c>
      <c r="C6466" s="12" t="str">
        <f>IFERROR(VLOOKUP(D6466,'[1]Перечень товаров'!$A$2:$I9525,3,0),"")</f>
        <v xml:space="preserve">Техника </v>
      </c>
      <c r="D6466" s="35" t="s">
        <v>31</v>
      </c>
      <c r="E6466" s="58"/>
      <c r="F6466" s="58"/>
      <c r="G6466" s="48">
        <v>1</v>
      </c>
      <c r="H6466" s="48"/>
      <c r="I6466" s="49"/>
      <c r="J6466" s="49"/>
      <c r="K6466" s="19"/>
      <c r="L6466" s="20"/>
    </row>
    <row r="6467" spans="1:12" outlineLevel="2">
      <c r="A6467" s="21"/>
      <c r="B6467" s="12" t="str">
        <f>IFERROR(VLOOKUP(D6467,'[1]Перечень товаров'!$A$2:$I9525,2,0),"")</f>
        <v>тм65</v>
      </c>
      <c r="C6467" s="12" t="str">
        <f>IFERROR(VLOOKUP(D6467,'[1]Перечень товаров'!$A$2:$I9525,3,0),"")</f>
        <v>Техника муз</v>
      </c>
      <c r="D6467" s="22" t="s">
        <v>380</v>
      </c>
      <c r="E6467" s="58"/>
      <c r="F6467" s="58"/>
      <c r="G6467" s="48">
        <v>1</v>
      </c>
      <c r="H6467" s="48"/>
      <c r="I6467" s="49"/>
      <c r="J6467" s="49"/>
      <c r="K6467" s="19"/>
      <c r="L6467" s="20"/>
    </row>
    <row r="6468" spans="1:12" outlineLevel="2">
      <c r="A6468" s="21"/>
      <c r="B6468" s="12" t="str">
        <f>IFERROR(VLOOKUP(D6468,'[1]Перечень товаров'!$A$2:$I9525,2,0),"")</f>
        <v>т12</v>
      </c>
      <c r="C6468" s="12" t="str">
        <f>IFERROR(VLOOKUP(D6468,'[1]Перечень товаров'!$A$2:$I9525,3,0),"")</f>
        <v>Техника</v>
      </c>
      <c r="D6468" s="22" t="s">
        <v>49</v>
      </c>
      <c r="E6468" s="58"/>
      <c r="F6468" s="58"/>
      <c r="G6468" s="48">
        <v>1</v>
      </c>
      <c r="H6468" s="48"/>
      <c r="I6468" s="49"/>
      <c r="J6468" s="49"/>
      <c r="K6468" s="19"/>
      <c r="L6468" s="20"/>
    </row>
    <row r="6469" spans="1:12" outlineLevel="2">
      <c r="A6469" s="35"/>
      <c r="B6469" s="12" t="str">
        <f>IFERROR(VLOOKUP(D6469,'[1]Перечень товаров'!$A$2:$I9525,2,0),"")</f>
        <v>т6</v>
      </c>
      <c r="C6469" s="12" t="str">
        <f>IFERROR(VLOOKUP(D6469,'[1]Перечень товаров'!$A$2:$I9525,3,0),"")</f>
        <v xml:space="preserve">Техника </v>
      </c>
      <c r="D6469" s="35" t="s">
        <v>33</v>
      </c>
      <c r="E6469" s="58"/>
      <c r="F6469" s="58"/>
      <c r="G6469" s="48">
        <v>1</v>
      </c>
      <c r="H6469" s="48"/>
      <c r="I6469" s="49"/>
      <c r="J6469" s="49"/>
      <c r="K6469" s="19"/>
      <c r="L6469" s="20"/>
    </row>
    <row r="6470" spans="1:12" outlineLevel="2">
      <c r="A6470" s="21"/>
      <c r="B6470" s="12" t="str">
        <f>IFERROR(VLOOKUP(D6470,'[1]Перечень товаров'!$A$2:$I9525,2,0),"")</f>
        <v>т7</v>
      </c>
      <c r="C6470" s="12" t="str">
        <f>IFERROR(VLOOKUP(D6470,'[1]Перечень товаров'!$A$2:$I9525,3,0),"")</f>
        <v xml:space="preserve">Техника </v>
      </c>
      <c r="D6470" s="22" t="s">
        <v>34</v>
      </c>
      <c r="E6470" s="58"/>
      <c r="F6470" s="58"/>
      <c r="G6470" s="48">
        <v>3</v>
      </c>
      <c r="H6470" s="48"/>
      <c r="I6470" s="49"/>
      <c r="J6470" s="49"/>
      <c r="K6470" s="19"/>
      <c r="L6470" s="20"/>
    </row>
    <row r="6471" spans="1:12" outlineLevel="2">
      <c r="A6471" s="28"/>
      <c r="B6471" s="12" t="str">
        <f>IFERROR(VLOOKUP(D6471,'[1]Перечень товаров'!$A$2:$I9525,2,0),"")</f>
        <v>т161</v>
      </c>
      <c r="C6471" s="12" t="str">
        <f>IFERROR(VLOOKUP(D6471,'[1]Перечень товаров'!$A$2:$I9525,3,0),"")</f>
        <v xml:space="preserve">Техника </v>
      </c>
      <c r="D6471" s="29" t="s">
        <v>381</v>
      </c>
      <c r="E6471" s="30"/>
      <c r="F6471" s="30"/>
      <c r="G6471" s="59">
        <v>1</v>
      </c>
      <c r="H6471" s="59"/>
      <c r="I6471" s="60"/>
      <c r="J6471" s="60"/>
      <c r="K6471" s="19"/>
      <c r="L6471" s="20"/>
    </row>
    <row r="6472" spans="1:12" outlineLevel="2">
      <c r="A6472" s="113"/>
      <c r="B6472" s="12" t="str">
        <f>IFERROR(VLOOKUP(D6472,'[1]Перечень товаров'!$A$2:$I9525,2,0),"")</f>
        <v/>
      </c>
      <c r="C6472" s="12" t="str">
        <f>IFERROR(VLOOKUP(D6472,'[1]Перечень товаров'!$A$2:$I9525,3,0),"")</f>
        <v/>
      </c>
      <c r="D6472" s="114" t="s">
        <v>19</v>
      </c>
      <c r="E6472" s="258"/>
      <c r="F6472" s="258"/>
      <c r="G6472" s="59"/>
      <c r="H6472" s="59"/>
      <c r="I6472" s="60"/>
      <c r="J6472" s="60"/>
      <c r="K6472" s="19"/>
      <c r="L6472" s="20"/>
    </row>
    <row r="6473" spans="1:12" outlineLevel="2">
      <c r="A6473" s="34"/>
      <c r="B6473" s="12" t="str">
        <f>IFERROR(VLOOKUP(D6473,'[1]Перечень товаров'!$A$2:$I9525,2,0),"")</f>
        <v>м62</v>
      </c>
      <c r="C6473" s="12" t="str">
        <f>IFERROR(VLOOKUP(D6473,'[1]Перечень товаров'!$A$2:$I9525,3,0),"")</f>
        <v>Мебель</v>
      </c>
      <c r="D6473" s="35" t="s">
        <v>398</v>
      </c>
      <c r="E6473" s="88"/>
      <c r="F6473" s="88"/>
      <c r="G6473" s="59">
        <v>1</v>
      </c>
      <c r="H6473" s="59"/>
      <c r="I6473" s="60"/>
      <c r="J6473" s="60"/>
      <c r="K6473" s="19"/>
      <c r="L6473" s="20"/>
    </row>
    <row r="6474" spans="1:12" outlineLevel="2">
      <c r="A6474" s="34"/>
      <c r="B6474" s="12" t="str">
        <f>IFERROR(VLOOKUP(D6474,'[1]Перечень товаров'!$A$2:$I9525,2,0),"")</f>
        <v>м61</v>
      </c>
      <c r="C6474" s="12" t="str">
        <f>IFERROR(VLOOKUP(D6474,'[1]Перечень товаров'!$A$2:$I9525,3,0),"")</f>
        <v>Мебель</v>
      </c>
      <c r="D6474" s="35" t="s">
        <v>383</v>
      </c>
      <c r="E6474" s="88"/>
      <c r="F6474" s="88"/>
      <c r="G6474" s="59">
        <v>1</v>
      </c>
      <c r="H6474" s="59"/>
      <c r="I6474" s="60"/>
      <c r="J6474" s="60"/>
      <c r="K6474" s="19"/>
      <c r="L6474" s="20"/>
    </row>
    <row r="6475" spans="1:12" outlineLevel="2">
      <c r="A6475" s="34"/>
      <c r="B6475" s="12" t="str">
        <f>IFERROR(VLOOKUP(D6475,'[1]Перечень товаров'!$A$2:$I9525,2,0),"")</f>
        <v>м179</v>
      </c>
      <c r="C6475" s="12" t="str">
        <f>IFERROR(VLOOKUP(D6475,'[1]Перечень товаров'!$A$2:$I9525,3,0),"")</f>
        <v>Мебель</v>
      </c>
      <c r="D6475" s="35" t="s">
        <v>579</v>
      </c>
      <c r="E6475" s="88"/>
      <c r="F6475" s="88"/>
      <c r="G6475" s="59">
        <v>10</v>
      </c>
      <c r="H6475" s="59"/>
      <c r="I6475" s="60"/>
      <c r="J6475" s="60"/>
      <c r="K6475" s="19"/>
      <c r="L6475" s="20"/>
    </row>
    <row r="6476" spans="1:12" outlineLevel="2">
      <c r="A6476" s="34"/>
      <c r="B6476" s="12" t="str">
        <f>IFERROR(VLOOKUP(D6476,'[1]Перечень товаров'!$A$2:$I9525,2,0),"")</f>
        <v>м61</v>
      </c>
      <c r="C6476" s="12" t="str">
        <f>IFERROR(VLOOKUP(D6476,'[1]Перечень товаров'!$A$2:$I9525,3,0),"")</f>
        <v>Мебель</v>
      </c>
      <c r="D6476" s="35" t="s">
        <v>384</v>
      </c>
      <c r="E6476" s="88"/>
      <c r="F6476" s="88"/>
      <c r="G6476" s="59">
        <v>20</v>
      </c>
      <c r="H6476" s="59"/>
      <c r="I6476" s="60"/>
      <c r="J6476" s="60"/>
      <c r="K6476" s="19"/>
      <c r="L6476" s="20"/>
    </row>
    <row r="6477" spans="1:12" outlineLevel="2">
      <c r="A6477" s="21"/>
      <c r="B6477" s="12" t="str">
        <f>IFERROR(VLOOKUP(D6477,'[1]Перечень товаров'!$A$2:$I9525,2,0),"")</f>
        <v>м13</v>
      </c>
      <c r="C6477" s="12" t="str">
        <f>IFERROR(VLOOKUP(D6477,'[1]Перечень товаров'!$A$2:$I9525,3,0),"")</f>
        <v>Мебель</v>
      </c>
      <c r="D6477" s="22" t="s">
        <v>42</v>
      </c>
      <c r="E6477" s="58"/>
      <c r="F6477" s="58"/>
      <c r="G6477" s="24">
        <v>1</v>
      </c>
      <c r="H6477" s="24"/>
      <c r="I6477" s="25"/>
      <c r="J6477" s="25"/>
      <c r="K6477" s="19"/>
      <c r="L6477" s="20"/>
    </row>
    <row r="6478" spans="1:12" outlineLevel="2">
      <c r="A6478" s="21"/>
      <c r="B6478" s="12" t="str">
        <f>IFERROR(VLOOKUP(D6478,'[1]Перечень товаров'!$A$2:$I9525,2,0),"")</f>
        <v>м14</v>
      </c>
      <c r="C6478" s="12" t="str">
        <f>IFERROR(VLOOKUP(D6478,'[1]Перечень товаров'!$A$2:$I9525,3,0),"")</f>
        <v>Мебель</v>
      </c>
      <c r="D6478" s="22" t="s">
        <v>43</v>
      </c>
      <c r="E6478" s="58"/>
      <c r="F6478" s="58"/>
      <c r="G6478" s="24">
        <v>1</v>
      </c>
      <c r="H6478" s="24"/>
      <c r="I6478" s="25"/>
      <c r="J6478" s="25"/>
      <c r="K6478" s="19"/>
      <c r="L6478" s="20"/>
    </row>
    <row r="6479" spans="1:12" ht="15" outlineLevel="2">
      <c r="A6479" s="54"/>
      <c r="B6479" s="12" t="str">
        <f>IFERROR(VLOOKUP(D6479,'[1]Перечень товаров'!$A$2:$I9525,2,0),"")</f>
        <v/>
      </c>
      <c r="C6479" s="12" t="str">
        <f>IFERROR(VLOOKUP(D6479,'[1]Перечень товаров'!$A$2:$I9525,3,0),"")</f>
        <v/>
      </c>
      <c r="D6479" s="55" t="s">
        <v>45</v>
      </c>
      <c r="E6479" s="56"/>
      <c r="F6479" s="56"/>
      <c r="G6479" s="17"/>
      <c r="H6479" s="17"/>
      <c r="I6479" s="57"/>
      <c r="J6479" s="57"/>
      <c r="K6479" s="19"/>
      <c r="L6479" s="20"/>
    </row>
    <row r="6480" spans="1:12" outlineLevel="2">
      <c r="A6480" s="21"/>
      <c r="B6480" s="12" t="str">
        <f>IFERROR(VLOOKUP(D6480,'[1]Перечень товаров'!$A$2:$I9525,2,0),"")</f>
        <v>п2</v>
      </c>
      <c r="C6480" s="12" t="str">
        <f>IFERROR(VLOOKUP(D6480,'[1]Перечень товаров'!$A$2:$I9525,3,0),"")</f>
        <v>Прочее</v>
      </c>
      <c r="D6480" s="22" t="s">
        <v>46</v>
      </c>
      <c r="E6480" s="58"/>
      <c r="F6480" s="58"/>
      <c r="G6480" s="24">
        <v>1</v>
      </c>
      <c r="H6480" s="24"/>
      <c r="I6480" s="25"/>
      <c r="J6480" s="25"/>
      <c r="K6480" s="19"/>
      <c r="L6480" s="20"/>
    </row>
    <row r="6481" spans="1:12" outlineLevel="2">
      <c r="A6481" s="43"/>
      <c r="B6481" s="12" t="str">
        <f>IFERROR(VLOOKUP(D6481,'[1]Перечень товаров'!$A$2:$I9525,2,0),"")</f>
        <v>м7</v>
      </c>
      <c r="C6481" s="12" t="str">
        <f>IFERROR(VLOOKUP(D6481,'[1]Перечень товаров'!$A$2:$I9525,3,0),"")</f>
        <v>Мебель</v>
      </c>
      <c r="D6481" s="44" t="s">
        <v>24</v>
      </c>
      <c r="E6481" s="30"/>
      <c r="F6481" s="30"/>
      <c r="G6481" s="59">
        <v>1</v>
      </c>
      <c r="H6481" s="59"/>
      <c r="I6481" s="60"/>
      <c r="J6481" s="60"/>
      <c r="K6481" s="19"/>
      <c r="L6481" s="20"/>
    </row>
    <row r="6482" spans="1:12" outlineLevel="2">
      <c r="A6482" s="43"/>
      <c r="B6482" s="12" t="str">
        <f>IFERROR(VLOOKUP(D6482,'[1]Перечень товаров'!$A$2:$I9525,2,0),"")</f>
        <v>п1</v>
      </c>
      <c r="C6482" s="12" t="str">
        <f>IFERROR(VLOOKUP(D6482,'[1]Перечень товаров'!$A$2:$I9525,3,0),"")</f>
        <v>Прочее</v>
      </c>
      <c r="D6482" s="44" t="s">
        <v>37</v>
      </c>
      <c r="E6482" s="30"/>
      <c r="F6482" s="30"/>
      <c r="G6482" s="59">
        <v>1</v>
      </c>
      <c r="H6482" s="59"/>
      <c r="I6482" s="60"/>
      <c r="J6482" s="60"/>
      <c r="K6482" s="19"/>
      <c r="L6482" s="20"/>
    </row>
    <row r="6483" spans="1:12" ht="15" outlineLevel="2">
      <c r="A6483" s="116"/>
      <c r="B6483" s="12" t="str">
        <f>IFERROR(VLOOKUP(D6483,'[1]Перечень товаров'!$A$2:$I9525,2,0),"")</f>
        <v/>
      </c>
      <c r="C6483" s="12" t="str">
        <f>IFERROR(VLOOKUP(D6483,'[1]Перечень товаров'!$A$2:$I9525,3,0),"")</f>
        <v/>
      </c>
      <c r="D6483" s="117" t="s">
        <v>391</v>
      </c>
      <c r="E6483" s="122"/>
      <c r="F6483" s="122"/>
      <c r="G6483" s="123"/>
      <c r="H6483" s="123"/>
      <c r="I6483" s="124"/>
      <c r="J6483" s="124"/>
      <c r="K6483" s="19"/>
      <c r="L6483" s="20"/>
    </row>
    <row r="6484" spans="1:12" outlineLevel="2">
      <c r="A6484" s="28"/>
      <c r="B6484" s="12" t="str">
        <f>IFERROR(VLOOKUP(D6484,'[1]Перечень товаров'!$A$2:$I9525,2,0),"")</f>
        <v>мм1</v>
      </c>
      <c r="C6484" s="12" t="str">
        <f>IFERROR(VLOOKUP(D6484,'[1]Перечень товаров'!$A$2:$I9525,3,0),"")</f>
        <v>Мебель муз</v>
      </c>
      <c r="D6484" s="29" t="s">
        <v>1134</v>
      </c>
      <c r="E6484" s="30"/>
      <c r="F6484" s="30"/>
      <c r="G6484" s="31">
        <v>1</v>
      </c>
      <c r="H6484" s="31"/>
      <c r="I6484" s="32"/>
      <c r="J6484" s="32"/>
      <c r="K6484" s="19"/>
      <c r="L6484" s="20"/>
    </row>
    <row r="6485" spans="1:12" outlineLevel="2">
      <c r="A6485" s="28"/>
      <c r="B6485" s="12" t="str">
        <f>IFERROR(VLOOKUP(D6485,'[1]Перечень товаров'!$A$2:$I9525,2,0),"")</f>
        <v>пм111</v>
      </c>
      <c r="C6485" s="12" t="str">
        <f>IFERROR(VLOOKUP(D6485,'[1]Перечень товаров'!$A$2:$I9525,3,0),"")</f>
        <v>прочее муз</v>
      </c>
      <c r="D6485" s="29" t="s">
        <v>1681</v>
      </c>
      <c r="E6485" s="30"/>
      <c r="F6485" s="30"/>
      <c r="G6485" s="31">
        <v>1</v>
      </c>
      <c r="H6485" s="31"/>
      <c r="I6485" s="32"/>
      <c r="J6485" s="32"/>
      <c r="K6485" s="19"/>
      <c r="L6485" s="20"/>
    </row>
    <row r="6486" spans="1:12" outlineLevel="2">
      <c r="A6486" s="28"/>
      <c r="B6486" s="12" t="str">
        <f>IFERROR(VLOOKUP(D6486,'[1]Перечень товаров'!$A$2:$I9525,2,0),"")</f>
        <v>пм110</v>
      </c>
      <c r="C6486" s="12" t="str">
        <f>IFERROR(VLOOKUP(D6486,'[1]Перечень товаров'!$A$2:$I9525,3,0),"")</f>
        <v>прочее муз</v>
      </c>
      <c r="D6486" s="29" t="s">
        <v>1682</v>
      </c>
      <c r="E6486" s="30"/>
      <c r="F6486" s="30"/>
      <c r="G6486" s="31">
        <v>1</v>
      </c>
      <c r="H6486" s="31"/>
      <c r="I6486" s="32"/>
      <c r="J6486" s="32"/>
      <c r="K6486" s="19"/>
      <c r="L6486" s="20"/>
    </row>
    <row r="6487" spans="1:12" ht="31.5" outlineLevel="2">
      <c r="A6487" s="28"/>
      <c r="B6487" s="12" t="str">
        <f>IFERROR(VLOOKUP(D6487,'[1]Перечень товаров'!$A$2:$I9525,2,0),"")</f>
        <v>д247</v>
      </c>
      <c r="C6487" s="12" t="str">
        <f>IFERROR(VLOOKUP(D6487,'[1]Перечень товаров'!$A$2:$I9525,3,0),"")</f>
        <v>Дидактика</v>
      </c>
      <c r="D6487" s="29" t="s">
        <v>1683</v>
      </c>
      <c r="E6487" s="30"/>
      <c r="F6487" s="30"/>
      <c r="G6487" s="31">
        <v>20</v>
      </c>
      <c r="H6487" s="31"/>
      <c r="I6487" s="32"/>
      <c r="J6487" s="32"/>
      <c r="K6487" s="19"/>
      <c r="L6487" s="20"/>
    </row>
    <row r="6488" spans="1:12" ht="31.5" outlineLevel="2">
      <c r="A6488" s="28"/>
      <c r="B6488" s="12" t="str">
        <f>IFERROR(VLOOKUP(D6488,'[1]Перечень товаров'!$A$2:$I9525,2,0),"")</f>
        <v>пм109</v>
      </c>
      <c r="C6488" s="12" t="str">
        <f>IFERROR(VLOOKUP(D6488,'[1]Перечень товаров'!$A$2:$I9525,3,0),"")</f>
        <v>прочее муз</v>
      </c>
      <c r="D6488" s="29" t="s">
        <v>1684</v>
      </c>
      <c r="E6488" s="30"/>
      <c r="F6488" s="30"/>
      <c r="G6488" s="31">
        <v>1</v>
      </c>
      <c r="H6488" s="31"/>
      <c r="I6488" s="32"/>
      <c r="J6488" s="32"/>
      <c r="K6488" s="19"/>
      <c r="L6488" s="20"/>
    </row>
    <row r="6489" spans="1:12" ht="12.75" outlineLevel="1">
      <c r="A6489" s="89"/>
      <c r="B6489" s="12" t="str">
        <f>IFERROR(VLOOKUP(D6489,'[1]Перечень товаров'!$A$2:$I9525,2,0),"")</f>
        <v/>
      </c>
      <c r="C6489" s="12" t="str">
        <f>IFERROR(VLOOKUP(D6489,'[1]Перечень товаров'!$A$2:$I9525,3,0),"")</f>
        <v/>
      </c>
      <c r="D6489" s="90" t="s">
        <v>1686</v>
      </c>
      <c r="E6489" s="108">
        <v>46134</v>
      </c>
      <c r="F6489" s="108"/>
      <c r="G6489" s="100"/>
      <c r="H6489" s="100"/>
      <c r="I6489" s="101"/>
      <c r="J6489" s="101"/>
      <c r="K6489" s="19"/>
      <c r="L6489" s="20"/>
    </row>
    <row r="6490" spans="1:12" ht="15" outlineLevel="2">
      <c r="A6490" s="109"/>
      <c r="B6490" s="12" t="str">
        <f>IFERROR(VLOOKUP(D6490,'[1]Перечень товаров'!$A$2:$I9525,2,0),"")</f>
        <v/>
      </c>
      <c r="C6490" s="12" t="str">
        <f>IFERROR(VLOOKUP(D6490,'[1]Перечень товаров'!$A$2:$I9525,3,0),"")</f>
        <v/>
      </c>
      <c r="D6490" s="110" t="s">
        <v>27</v>
      </c>
      <c r="E6490" s="56"/>
      <c r="F6490" s="56"/>
      <c r="G6490" s="111"/>
      <c r="H6490" s="111"/>
      <c r="I6490" s="112"/>
      <c r="J6490" s="112"/>
      <c r="K6490" s="19"/>
      <c r="L6490" s="20"/>
    </row>
    <row r="6491" spans="1:12" outlineLevel="2">
      <c r="A6491" s="21"/>
      <c r="B6491" s="12" t="str">
        <f>IFERROR(VLOOKUP(D6491,'[1]Перечень товаров'!$A$2:$I9525,2,0),"")</f>
        <v>т1</v>
      </c>
      <c r="C6491" s="12" t="str">
        <f>IFERROR(VLOOKUP(D6491,'[1]Перечень товаров'!$A$2:$I9525,3,0),"")</f>
        <v xml:space="preserve">Техника </v>
      </c>
      <c r="D6491" s="22" t="s">
        <v>28</v>
      </c>
      <c r="E6491" s="58"/>
      <c r="F6491" s="58"/>
      <c r="G6491" s="48">
        <v>1</v>
      </c>
      <c r="H6491" s="48"/>
      <c r="I6491" s="49"/>
      <c r="J6491" s="49"/>
      <c r="K6491" s="19"/>
      <c r="L6491" s="20"/>
    </row>
    <row r="6492" spans="1:12" outlineLevel="2">
      <c r="A6492" s="143"/>
      <c r="B6492" s="12" t="str">
        <f>IFERROR(VLOOKUP(D6492,'[1]Перечень товаров'!$A$2:$I9525,2,0),"")</f>
        <v>т9</v>
      </c>
      <c r="C6492" s="12" t="str">
        <f>IFERROR(VLOOKUP(D6492,'[1]Перечень товаров'!$A$2:$I9525,3,0),"")</f>
        <v>Техника</v>
      </c>
      <c r="D6492" s="143" t="s">
        <v>36</v>
      </c>
      <c r="E6492" s="58"/>
      <c r="F6492" s="58"/>
      <c r="G6492" s="48">
        <v>1</v>
      </c>
      <c r="H6492" s="48"/>
      <c r="I6492" s="49"/>
      <c r="J6492" s="49"/>
      <c r="K6492" s="19"/>
      <c r="L6492" s="20"/>
    </row>
    <row r="6493" spans="1:12" outlineLevel="2">
      <c r="A6493" s="35"/>
      <c r="B6493" s="12" t="str">
        <f>IFERROR(VLOOKUP(D6493,'[1]Перечень товаров'!$A$2:$I9525,2,0),"")</f>
        <v>т2</v>
      </c>
      <c r="C6493" s="12" t="str">
        <f>IFERROR(VLOOKUP(D6493,'[1]Перечень товаров'!$A$2:$I9525,3,0),"")</f>
        <v xml:space="preserve">Техника </v>
      </c>
      <c r="D6493" s="35" t="s">
        <v>29</v>
      </c>
      <c r="E6493" s="58"/>
      <c r="F6493" s="58"/>
      <c r="G6493" s="48">
        <v>1</v>
      </c>
      <c r="H6493" s="48"/>
      <c r="I6493" s="49"/>
      <c r="J6493" s="49"/>
      <c r="K6493" s="19"/>
      <c r="L6493" s="20"/>
    </row>
    <row r="6494" spans="1:12" outlineLevel="2">
      <c r="A6494" s="35"/>
      <c r="B6494" s="12" t="str">
        <f>IFERROR(VLOOKUP(D6494,'[1]Перечень товаров'!$A$2:$I9525,2,0),"")</f>
        <v>т3</v>
      </c>
      <c r="C6494" s="12" t="str">
        <f>IFERROR(VLOOKUP(D6494,'[1]Перечень товаров'!$A$2:$I9525,3,0),"")</f>
        <v xml:space="preserve">Техника </v>
      </c>
      <c r="D6494" s="35" t="s">
        <v>30</v>
      </c>
      <c r="E6494" s="58"/>
      <c r="F6494" s="58"/>
      <c r="G6494" s="48">
        <v>1</v>
      </c>
      <c r="H6494" s="48"/>
      <c r="I6494" s="49"/>
      <c r="J6494" s="49"/>
      <c r="K6494" s="19"/>
      <c r="L6494" s="20"/>
    </row>
    <row r="6495" spans="1:12" outlineLevel="2">
      <c r="A6495" s="35"/>
      <c r="B6495" s="12" t="str">
        <f>IFERROR(VLOOKUP(D6495,'[1]Перечень товаров'!$A$2:$I9525,2,0),"")</f>
        <v>т4</v>
      </c>
      <c r="C6495" s="12" t="str">
        <f>IFERROR(VLOOKUP(D6495,'[1]Перечень товаров'!$A$2:$I9525,3,0),"")</f>
        <v xml:space="preserve">Техника </v>
      </c>
      <c r="D6495" s="35" t="s">
        <v>31</v>
      </c>
      <c r="E6495" s="58"/>
      <c r="F6495" s="58"/>
      <c r="G6495" s="48">
        <v>1</v>
      </c>
      <c r="H6495" s="48"/>
      <c r="I6495" s="49"/>
      <c r="J6495" s="49"/>
      <c r="K6495" s="19"/>
      <c r="L6495" s="20"/>
    </row>
    <row r="6496" spans="1:12" outlineLevel="2">
      <c r="A6496" s="21"/>
      <c r="B6496" s="12" t="str">
        <f>IFERROR(VLOOKUP(D6496,'[1]Перечень товаров'!$A$2:$I9525,2,0),"")</f>
        <v>тм65</v>
      </c>
      <c r="C6496" s="12" t="str">
        <f>IFERROR(VLOOKUP(D6496,'[1]Перечень товаров'!$A$2:$I9525,3,0),"")</f>
        <v>Техника муз</v>
      </c>
      <c r="D6496" s="22" t="s">
        <v>380</v>
      </c>
      <c r="E6496" s="58"/>
      <c r="F6496" s="58"/>
      <c r="G6496" s="48">
        <v>1</v>
      </c>
      <c r="H6496" s="48"/>
      <c r="I6496" s="49"/>
      <c r="J6496" s="49"/>
      <c r="K6496" s="19"/>
      <c r="L6496" s="20"/>
    </row>
    <row r="6497" spans="1:12" outlineLevel="2">
      <c r="A6497" s="21"/>
      <c r="B6497" s="12" t="str">
        <f>IFERROR(VLOOKUP(D6497,'[1]Перечень товаров'!$A$2:$I9525,2,0),"")</f>
        <v>т12</v>
      </c>
      <c r="C6497" s="12" t="str">
        <f>IFERROR(VLOOKUP(D6497,'[1]Перечень товаров'!$A$2:$I9525,3,0),"")</f>
        <v>Техника</v>
      </c>
      <c r="D6497" s="22" t="s">
        <v>49</v>
      </c>
      <c r="E6497" s="58"/>
      <c r="F6497" s="58"/>
      <c r="G6497" s="48">
        <v>1</v>
      </c>
      <c r="H6497" s="48"/>
      <c r="I6497" s="49"/>
      <c r="J6497" s="49"/>
      <c r="K6497" s="19"/>
      <c r="L6497" s="20"/>
    </row>
    <row r="6498" spans="1:12" outlineLevel="2">
      <c r="A6498" s="35"/>
      <c r="B6498" s="12" t="str">
        <f>IFERROR(VLOOKUP(D6498,'[1]Перечень товаров'!$A$2:$I9525,2,0),"")</f>
        <v>т6</v>
      </c>
      <c r="C6498" s="12" t="str">
        <f>IFERROR(VLOOKUP(D6498,'[1]Перечень товаров'!$A$2:$I9525,3,0),"")</f>
        <v xml:space="preserve">Техника </v>
      </c>
      <c r="D6498" s="35" t="s">
        <v>33</v>
      </c>
      <c r="E6498" s="58"/>
      <c r="F6498" s="58"/>
      <c r="G6498" s="48">
        <v>1</v>
      </c>
      <c r="H6498" s="48"/>
      <c r="I6498" s="49"/>
      <c r="J6498" s="49"/>
      <c r="K6498" s="19"/>
      <c r="L6498" s="20"/>
    </row>
    <row r="6499" spans="1:12" outlineLevel="2">
      <c r="A6499" s="21"/>
      <c r="B6499" s="12" t="str">
        <f>IFERROR(VLOOKUP(D6499,'[1]Перечень товаров'!$A$2:$I9525,2,0),"")</f>
        <v>т7</v>
      </c>
      <c r="C6499" s="12" t="str">
        <f>IFERROR(VLOOKUP(D6499,'[1]Перечень товаров'!$A$2:$I9525,3,0),"")</f>
        <v xml:space="preserve">Техника </v>
      </c>
      <c r="D6499" s="22" t="s">
        <v>34</v>
      </c>
      <c r="E6499" s="58"/>
      <c r="F6499" s="58"/>
      <c r="G6499" s="48">
        <v>3</v>
      </c>
      <c r="H6499" s="48"/>
      <c r="I6499" s="49"/>
      <c r="J6499" s="49"/>
      <c r="K6499" s="19"/>
      <c r="L6499" s="20"/>
    </row>
    <row r="6500" spans="1:12" outlineLevel="2">
      <c r="A6500" s="28"/>
      <c r="B6500" s="12" t="str">
        <f>IFERROR(VLOOKUP(D6500,'[1]Перечень товаров'!$A$2:$I9525,2,0),"")</f>
        <v>т161</v>
      </c>
      <c r="C6500" s="12" t="str">
        <f>IFERROR(VLOOKUP(D6500,'[1]Перечень товаров'!$A$2:$I9525,3,0),"")</f>
        <v xml:space="preserve">Техника </v>
      </c>
      <c r="D6500" s="29" t="s">
        <v>381</v>
      </c>
      <c r="E6500" s="30"/>
      <c r="F6500" s="30"/>
      <c r="G6500" s="59">
        <v>1</v>
      </c>
      <c r="H6500" s="59"/>
      <c r="I6500" s="60"/>
      <c r="J6500" s="60"/>
      <c r="K6500" s="19"/>
      <c r="L6500" s="20"/>
    </row>
    <row r="6501" spans="1:12" outlineLevel="2">
      <c r="A6501" s="113"/>
      <c r="B6501" s="12" t="str">
        <f>IFERROR(VLOOKUP(D6501,'[1]Перечень товаров'!$A$2:$I9525,2,0),"")</f>
        <v/>
      </c>
      <c r="C6501" s="12" t="str">
        <f>IFERROR(VLOOKUP(D6501,'[1]Перечень товаров'!$A$2:$I9525,3,0),"")</f>
        <v/>
      </c>
      <c r="D6501" s="114" t="s">
        <v>19</v>
      </c>
      <c r="E6501" s="258"/>
      <c r="F6501" s="258"/>
      <c r="G6501" s="59"/>
      <c r="H6501" s="59"/>
      <c r="I6501" s="60"/>
      <c r="J6501" s="60"/>
      <c r="K6501" s="19"/>
      <c r="L6501" s="20"/>
    </row>
    <row r="6502" spans="1:12" outlineLevel="2">
      <c r="A6502" s="34"/>
      <c r="B6502" s="12" t="str">
        <f>IFERROR(VLOOKUP(D6502,'[1]Перечень товаров'!$A$2:$I9525,2,0),"")</f>
        <v>м62</v>
      </c>
      <c r="C6502" s="12" t="str">
        <f>IFERROR(VLOOKUP(D6502,'[1]Перечень товаров'!$A$2:$I9525,3,0),"")</f>
        <v>Мебель</v>
      </c>
      <c r="D6502" s="35" t="s">
        <v>398</v>
      </c>
      <c r="E6502" s="88"/>
      <c r="F6502" s="88"/>
      <c r="G6502" s="59">
        <v>1</v>
      </c>
      <c r="H6502" s="59"/>
      <c r="I6502" s="60"/>
      <c r="J6502" s="60"/>
      <c r="K6502" s="19"/>
      <c r="L6502" s="20"/>
    </row>
    <row r="6503" spans="1:12" outlineLevel="2">
      <c r="A6503" s="34"/>
      <c r="B6503" s="12" t="str">
        <f>IFERROR(VLOOKUP(D6503,'[1]Перечень товаров'!$A$2:$I9525,2,0),"")</f>
        <v>м61</v>
      </c>
      <c r="C6503" s="12" t="str">
        <f>IFERROR(VLOOKUP(D6503,'[1]Перечень товаров'!$A$2:$I9525,3,0),"")</f>
        <v>Мебель</v>
      </c>
      <c r="D6503" s="35" t="s">
        <v>383</v>
      </c>
      <c r="E6503" s="88"/>
      <c r="F6503" s="88"/>
      <c r="G6503" s="59">
        <v>1</v>
      </c>
      <c r="H6503" s="59"/>
      <c r="I6503" s="60"/>
      <c r="J6503" s="60"/>
      <c r="K6503" s="19"/>
      <c r="L6503" s="20"/>
    </row>
    <row r="6504" spans="1:12" outlineLevel="2">
      <c r="A6504" s="34"/>
      <c r="B6504" s="12" t="str">
        <f>IFERROR(VLOOKUP(D6504,'[1]Перечень товаров'!$A$2:$I9525,2,0),"")</f>
        <v>м61</v>
      </c>
      <c r="C6504" s="12" t="str">
        <f>IFERROR(VLOOKUP(D6504,'[1]Перечень товаров'!$A$2:$I9525,3,0),"")</f>
        <v>Мебель</v>
      </c>
      <c r="D6504" s="35" t="s">
        <v>384</v>
      </c>
      <c r="E6504" s="88"/>
      <c r="F6504" s="88"/>
      <c r="G6504" s="59">
        <v>5</v>
      </c>
      <c r="H6504" s="59"/>
      <c r="I6504" s="60"/>
      <c r="J6504" s="60"/>
      <c r="K6504" s="19"/>
      <c r="L6504" s="20"/>
    </row>
    <row r="6505" spans="1:12" outlineLevel="2">
      <c r="A6505" s="21"/>
      <c r="B6505" s="12" t="str">
        <f>IFERROR(VLOOKUP(D6505,'[1]Перечень товаров'!$A$2:$I9525,2,0),"")</f>
        <v>м13</v>
      </c>
      <c r="C6505" s="12" t="str">
        <f>IFERROR(VLOOKUP(D6505,'[1]Перечень товаров'!$A$2:$I9525,3,0),"")</f>
        <v>Мебель</v>
      </c>
      <c r="D6505" s="22" t="s">
        <v>42</v>
      </c>
      <c r="E6505" s="58"/>
      <c r="F6505" s="58"/>
      <c r="G6505" s="24">
        <v>1</v>
      </c>
      <c r="H6505" s="24"/>
      <c r="I6505" s="25"/>
      <c r="J6505" s="25"/>
      <c r="K6505" s="19"/>
      <c r="L6505" s="20"/>
    </row>
    <row r="6506" spans="1:12" outlineLevel="2">
      <c r="A6506" s="21"/>
      <c r="B6506" s="12" t="str">
        <f>IFERROR(VLOOKUP(D6506,'[1]Перечень товаров'!$A$2:$I9525,2,0),"")</f>
        <v>м14</v>
      </c>
      <c r="C6506" s="12" t="str">
        <f>IFERROR(VLOOKUP(D6506,'[1]Перечень товаров'!$A$2:$I9525,3,0),"")</f>
        <v>Мебель</v>
      </c>
      <c r="D6506" s="22" t="s">
        <v>43</v>
      </c>
      <c r="E6506" s="58"/>
      <c r="F6506" s="58"/>
      <c r="G6506" s="24">
        <v>1</v>
      </c>
      <c r="H6506" s="24"/>
      <c r="I6506" s="25"/>
      <c r="J6506" s="25"/>
      <c r="K6506" s="19"/>
      <c r="L6506" s="20"/>
    </row>
    <row r="6507" spans="1:12" ht="15" outlineLevel="2">
      <c r="A6507" s="116"/>
      <c r="B6507" s="12" t="str">
        <f>IFERROR(VLOOKUP(D6507,'[1]Перечень товаров'!$A$2:$I9525,2,0),"")</f>
        <v/>
      </c>
      <c r="C6507" s="12" t="str">
        <f>IFERROR(VLOOKUP(D6507,'[1]Перечень товаров'!$A$2:$I9525,3,0),"")</f>
        <v/>
      </c>
      <c r="D6507" s="117" t="s">
        <v>391</v>
      </c>
      <c r="E6507" s="122"/>
      <c r="F6507" s="122"/>
      <c r="G6507" s="123"/>
      <c r="H6507" s="123"/>
      <c r="I6507" s="124"/>
      <c r="J6507" s="124"/>
      <c r="K6507" s="19"/>
      <c r="L6507" s="20"/>
    </row>
    <row r="6508" spans="1:12" outlineLevel="2">
      <c r="A6508" s="28"/>
      <c r="B6508" s="12" t="str">
        <f>IFERROR(VLOOKUP(D6508,'[1]Перечень товаров'!$A$2:$I9525,2,0),"")</f>
        <v>тм147</v>
      </c>
      <c r="C6508" s="12" t="str">
        <f>IFERROR(VLOOKUP(D6508,'[1]Перечень товаров'!$A$2:$I9525,3,0),"")</f>
        <v>Техника муз</v>
      </c>
      <c r="D6508" s="29" t="s">
        <v>1687</v>
      </c>
      <c r="E6508" s="30"/>
      <c r="F6508" s="30"/>
      <c r="G6508" s="31">
        <v>1</v>
      </c>
      <c r="H6508" s="31"/>
      <c r="I6508" s="32"/>
      <c r="J6508" s="32"/>
      <c r="K6508" s="19"/>
      <c r="L6508" s="20"/>
    </row>
    <row r="6509" spans="1:12" ht="31.5" outlineLevel="2">
      <c r="A6509" s="28"/>
      <c r="B6509" s="12" t="str">
        <f>IFERROR(VLOOKUP(D6509,'[1]Перечень товаров'!$A$2:$I9525,2,0),"")</f>
        <v>тм219</v>
      </c>
      <c r="C6509" s="12" t="str">
        <f>IFERROR(VLOOKUP(D6509,'[1]Перечень товаров'!$A$2:$I9525,3,0),"")</f>
        <v>Техника муз</v>
      </c>
      <c r="D6509" s="29" t="s">
        <v>1000</v>
      </c>
      <c r="E6509" s="30"/>
      <c r="F6509" s="30"/>
      <c r="G6509" s="31">
        <v>1</v>
      </c>
      <c r="H6509" s="31"/>
      <c r="I6509" s="32"/>
      <c r="J6509" s="32"/>
      <c r="K6509" s="19"/>
      <c r="L6509" s="20"/>
    </row>
    <row r="6510" spans="1:12" outlineLevel="2">
      <c r="A6510" s="28"/>
      <c r="B6510" s="12" t="str">
        <f>IFERROR(VLOOKUP(D6510,'[1]Перечень товаров'!$A$2:$I9525,2,0),"")</f>
        <v>м175</v>
      </c>
      <c r="C6510" s="12" t="str">
        <f>IFERROR(VLOOKUP(D6510,'[1]Перечень товаров'!$A$2:$I9525,3,0),"")</f>
        <v>мебель</v>
      </c>
      <c r="D6510" s="29" t="s">
        <v>1001</v>
      </c>
      <c r="E6510" s="30"/>
      <c r="F6510" s="30"/>
      <c r="G6510" s="31">
        <v>2</v>
      </c>
      <c r="H6510" s="31"/>
      <c r="I6510" s="32"/>
      <c r="J6510" s="32"/>
      <c r="K6510" s="19"/>
      <c r="L6510" s="20"/>
    </row>
    <row r="6511" spans="1:12" outlineLevel="2">
      <c r="A6511" s="28"/>
      <c r="B6511" s="12" t="str">
        <f>IFERROR(VLOOKUP(D6511,'[1]Перечень товаров'!$A$2:$I9525,2,0),"")</f>
        <v>д246</v>
      </c>
      <c r="C6511" s="12" t="str">
        <f>IFERROR(VLOOKUP(D6511,'[1]Перечень товаров'!$A$2:$I9525,3,0),"")</f>
        <v>Дидактика</v>
      </c>
      <c r="D6511" s="29" t="s">
        <v>1688</v>
      </c>
      <c r="E6511" s="30"/>
      <c r="F6511" s="30"/>
      <c r="G6511" s="31">
        <v>1</v>
      </c>
      <c r="H6511" s="31"/>
      <c r="I6511" s="32"/>
      <c r="J6511" s="32"/>
      <c r="K6511" s="19"/>
      <c r="L6511" s="20"/>
    </row>
    <row r="6512" spans="1:12" outlineLevel="2">
      <c r="A6512" s="28"/>
      <c r="B6512" s="12" t="str">
        <f>IFERROR(VLOOKUP(D6512,'[1]Перечень товаров'!$A$2:$I9525,2,0),"")</f>
        <v>пм167</v>
      </c>
      <c r="C6512" s="12" t="str">
        <f>IFERROR(VLOOKUP(D6512,'[1]Перечень товаров'!$A$2:$I9525,3,0),"")</f>
        <v>прочее муз</v>
      </c>
      <c r="D6512" s="29" t="s">
        <v>1136</v>
      </c>
      <c r="E6512" s="30"/>
      <c r="F6512" s="30"/>
      <c r="G6512" s="31">
        <v>1</v>
      </c>
      <c r="H6512" s="31"/>
      <c r="I6512" s="32"/>
      <c r="J6512" s="32"/>
      <c r="K6512" s="19"/>
      <c r="L6512" s="20"/>
    </row>
    <row r="6513" spans="1:12" outlineLevel="2">
      <c r="A6513" s="28"/>
      <c r="B6513" s="12" t="str">
        <f>IFERROR(VLOOKUP(D6513,'[1]Перечень товаров'!$A$2:$I9525,2,0),"")</f>
        <v>пм108</v>
      </c>
      <c r="C6513" s="12" t="str">
        <f>IFERROR(VLOOKUP(D6513,'[1]Перечень товаров'!$A$2:$I9525,3,0),"")</f>
        <v>прочее муз</v>
      </c>
      <c r="D6513" s="29" t="s">
        <v>1689</v>
      </c>
      <c r="E6513" s="30"/>
      <c r="F6513" s="30"/>
      <c r="G6513" s="31">
        <v>1</v>
      </c>
      <c r="H6513" s="31"/>
      <c r="I6513" s="32"/>
      <c r="J6513" s="32"/>
      <c r="K6513" s="19"/>
      <c r="L6513" s="20"/>
    </row>
    <row r="6514" spans="1:12" ht="15" outlineLevel="2">
      <c r="A6514" s="54"/>
      <c r="B6514" s="12" t="str">
        <f>IFERROR(VLOOKUP(D6514,'[1]Перечень товаров'!$A$2:$I9525,2,0),"")</f>
        <v/>
      </c>
      <c r="C6514" s="12" t="str">
        <f>IFERROR(VLOOKUP(D6514,'[1]Перечень товаров'!$A$2:$I9525,3,0),"")</f>
        <v/>
      </c>
      <c r="D6514" s="55" t="s">
        <v>45</v>
      </c>
      <c r="E6514" s="56"/>
      <c r="F6514" s="56"/>
      <c r="G6514" s="17"/>
      <c r="H6514" s="17"/>
      <c r="I6514" s="57"/>
      <c r="J6514" s="57"/>
      <c r="K6514" s="19"/>
      <c r="L6514" s="20"/>
    </row>
    <row r="6515" spans="1:12" outlineLevel="2">
      <c r="A6515" s="21"/>
      <c r="B6515" s="12" t="str">
        <f>IFERROR(VLOOKUP(D6515,'[1]Перечень товаров'!$A$2:$I9525,2,0),"")</f>
        <v>п2</v>
      </c>
      <c r="C6515" s="12" t="str">
        <f>IFERROR(VLOOKUP(D6515,'[1]Перечень товаров'!$A$2:$I9525,3,0),"")</f>
        <v>Прочее</v>
      </c>
      <c r="D6515" s="22" t="s">
        <v>46</v>
      </c>
      <c r="E6515" s="58"/>
      <c r="F6515" s="58"/>
      <c r="G6515" s="24">
        <v>1</v>
      </c>
      <c r="H6515" s="24"/>
      <c r="I6515" s="25"/>
      <c r="J6515" s="25"/>
      <c r="K6515" s="19"/>
      <c r="L6515" s="20"/>
    </row>
    <row r="6516" spans="1:12" outlineLevel="2">
      <c r="A6516" s="43"/>
      <c r="B6516" s="12" t="str">
        <f>IFERROR(VLOOKUP(D6516,'[1]Перечень товаров'!$A$2:$I9525,2,0),"")</f>
        <v>м7</v>
      </c>
      <c r="C6516" s="12" t="str">
        <f>IFERROR(VLOOKUP(D6516,'[1]Перечень товаров'!$A$2:$I9525,3,0),"")</f>
        <v>Мебель</v>
      </c>
      <c r="D6516" s="44" t="s">
        <v>24</v>
      </c>
      <c r="E6516" s="30"/>
      <c r="F6516" s="30"/>
      <c r="G6516" s="59">
        <v>1</v>
      </c>
      <c r="H6516" s="59"/>
      <c r="I6516" s="60"/>
      <c r="J6516" s="60"/>
      <c r="K6516" s="19"/>
      <c r="L6516" s="20"/>
    </row>
    <row r="6517" spans="1:12" outlineLevel="2">
      <c r="A6517" s="43"/>
      <c r="B6517" s="12" t="str">
        <f>IFERROR(VLOOKUP(D6517,'[1]Перечень товаров'!$A$2:$I9525,2,0),"")</f>
        <v>п1</v>
      </c>
      <c r="C6517" s="12" t="str">
        <f>IFERROR(VLOOKUP(D6517,'[1]Перечень товаров'!$A$2:$I9525,3,0),"")</f>
        <v>Прочее</v>
      </c>
      <c r="D6517" s="44" t="s">
        <v>37</v>
      </c>
      <c r="E6517" s="30"/>
      <c r="F6517" s="30"/>
      <c r="G6517" s="59">
        <v>1</v>
      </c>
      <c r="H6517" s="59"/>
      <c r="I6517" s="60"/>
      <c r="J6517" s="60"/>
      <c r="K6517" s="19"/>
      <c r="L6517" s="20"/>
    </row>
    <row r="6518" spans="1:12" ht="12.75" outlineLevel="1">
      <c r="A6518" s="89"/>
      <c r="B6518" s="12" t="str">
        <f>IFERROR(VLOOKUP(D6518,'[1]Перечень товаров'!$A$2:$I9525,2,0),"")</f>
        <v/>
      </c>
      <c r="C6518" s="12" t="str">
        <f>IFERROR(VLOOKUP(D6518,'[1]Перечень товаров'!$A$2:$I9525,3,0),"")</f>
        <v/>
      </c>
      <c r="D6518" s="90" t="s">
        <v>1784</v>
      </c>
      <c r="E6518" s="108">
        <v>46263</v>
      </c>
      <c r="F6518" s="108"/>
      <c r="G6518" s="100"/>
      <c r="H6518" s="100"/>
      <c r="I6518" s="101"/>
      <c r="J6518" s="101"/>
      <c r="K6518" s="19"/>
      <c r="L6518" s="20"/>
    </row>
    <row r="6519" spans="1:12" ht="15" outlineLevel="2">
      <c r="A6519" s="109"/>
      <c r="B6519" s="12" t="str">
        <f>IFERROR(VLOOKUP(D6519,'[1]Перечень товаров'!$A$2:$I9525,2,0),"")</f>
        <v/>
      </c>
      <c r="C6519" s="12" t="str">
        <f>IFERROR(VLOOKUP(D6519,'[1]Перечень товаров'!$A$2:$I9525,3,0),"")</f>
        <v/>
      </c>
      <c r="D6519" s="110" t="s">
        <v>27</v>
      </c>
      <c r="E6519" s="56"/>
      <c r="F6519" s="56"/>
      <c r="G6519" s="111"/>
      <c r="H6519" s="111"/>
      <c r="I6519" s="112"/>
      <c r="J6519" s="112"/>
      <c r="K6519" s="19"/>
      <c r="L6519" s="20"/>
    </row>
    <row r="6520" spans="1:12" outlineLevel="2">
      <c r="A6520" s="21"/>
      <c r="B6520" s="12" t="str">
        <f>IFERROR(VLOOKUP(D6520,'[1]Перечень товаров'!$A$2:$I9525,2,0),"")</f>
        <v>т1</v>
      </c>
      <c r="C6520" s="12" t="str">
        <f>IFERROR(VLOOKUP(D6520,'[1]Перечень товаров'!$A$2:$I9525,3,0),"")</f>
        <v xml:space="preserve">Техника </v>
      </c>
      <c r="D6520" s="22" t="s">
        <v>28</v>
      </c>
      <c r="E6520" s="58"/>
      <c r="F6520" s="58"/>
      <c r="G6520" s="48">
        <v>1</v>
      </c>
      <c r="H6520" s="48"/>
      <c r="I6520" s="49"/>
      <c r="J6520" s="49"/>
      <c r="K6520" s="19"/>
      <c r="L6520" s="20"/>
    </row>
    <row r="6521" spans="1:12" outlineLevel="2">
      <c r="A6521" s="143"/>
      <c r="B6521" s="12" t="str">
        <f>IFERROR(VLOOKUP(D6521,'[1]Перечень товаров'!$A$2:$I9525,2,0),"")</f>
        <v>т9</v>
      </c>
      <c r="C6521" s="12" t="str">
        <f>IFERROR(VLOOKUP(D6521,'[1]Перечень товаров'!$A$2:$I9525,3,0),"")</f>
        <v>Техника</v>
      </c>
      <c r="D6521" s="143" t="s">
        <v>36</v>
      </c>
      <c r="E6521" s="58"/>
      <c r="F6521" s="58"/>
      <c r="G6521" s="48">
        <v>1</v>
      </c>
      <c r="H6521" s="48"/>
      <c r="I6521" s="49"/>
      <c r="J6521" s="49"/>
      <c r="K6521" s="19"/>
      <c r="L6521" s="20"/>
    </row>
    <row r="6522" spans="1:12" outlineLevel="2">
      <c r="A6522" s="35"/>
      <c r="B6522" s="12" t="str">
        <f>IFERROR(VLOOKUP(D6522,'[1]Перечень товаров'!$A$2:$I9525,2,0),"")</f>
        <v>т2</v>
      </c>
      <c r="C6522" s="12" t="str">
        <f>IFERROR(VLOOKUP(D6522,'[1]Перечень товаров'!$A$2:$I9525,3,0),"")</f>
        <v xml:space="preserve">Техника </v>
      </c>
      <c r="D6522" s="35" t="s">
        <v>29</v>
      </c>
      <c r="E6522" s="58"/>
      <c r="F6522" s="58"/>
      <c r="G6522" s="48">
        <v>1</v>
      </c>
      <c r="H6522" s="48"/>
      <c r="I6522" s="49"/>
      <c r="J6522" s="49"/>
      <c r="K6522" s="19"/>
      <c r="L6522" s="20"/>
    </row>
    <row r="6523" spans="1:12" outlineLevel="2">
      <c r="A6523" s="35"/>
      <c r="B6523" s="12" t="str">
        <f>IFERROR(VLOOKUP(D6523,'[1]Перечень товаров'!$A$2:$I9525,2,0),"")</f>
        <v>т3</v>
      </c>
      <c r="C6523" s="12" t="str">
        <f>IFERROR(VLOOKUP(D6523,'[1]Перечень товаров'!$A$2:$I9525,3,0),"")</f>
        <v xml:space="preserve">Техника </v>
      </c>
      <c r="D6523" s="35" t="s">
        <v>30</v>
      </c>
      <c r="E6523" s="58"/>
      <c r="F6523" s="58"/>
      <c r="G6523" s="48">
        <v>1</v>
      </c>
      <c r="H6523" s="48"/>
      <c r="I6523" s="49"/>
      <c r="J6523" s="49"/>
      <c r="K6523" s="19"/>
      <c r="L6523" s="20"/>
    </row>
    <row r="6524" spans="1:12" outlineLevel="2">
      <c r="A6524" s="35"/>
      <c r="B6524" s="12" t="str">
        <f>IFERROR(VLOOKUP(D6524,'[1]Перечень товаров'!$A$2:$I9525,2,0),"")</f>
        <v>т4</v>
      </c>
      <c r="C6524" s="12" t="str">
        <f>IFERROR(VLOOKUP(D6524,'[1]Перечень товаров'!$A$2:$I9525,3,0),"")</f>
        <v xml:space="preserve">Техника </v>
      </c>
      <c r="D6524" s="35" t="s">
        <v>31</v>
      </c>
      <c r="E6524" s="58"/>
      <c r="F6524" s="58"/>
      <c r="G6524" s="48">
        <v>1</v>
      </c>
      <c r="H6524" s="48"/>
      <c r="I6524" s="49"/>
      <c r="J6524" s="49"/>
      <c r="K6524" s="19"/>
      <c r="L6524" s="20"/>
    </row>
    <row r="6525" spans="1:12" outlineLevel="2">
      <c r="A6525" s="21"/>
      <c r="B6525" s="12" t="str">
        <f>IFERROR(VLOOKUP(D6525,'[1]Перечень товаров'!$A$2:$I9525,2,0),"")</f>
        <v>тм65</v>
      </c>
      <c r="C6525" s="12" t="str">
        <f>IFERROR(VLOOKUP(D6525,'[1]Перечень товаров'!$A$2:$I9525,3,0),"")</f>
        <v>Техника муз</v>
      </c>
      <c r="D6525" s="22" t="s">
        <v>380</v>
      </c>
      <c r="E6525" s="58"/>
      <c r="F6525" s="58"/>
      <c r="G6525" s="48">
        <v>1</v>
      </c>
      <c r="H6525" s="48"/>
      <c r="I6525" s="49"/>
      <c r="J6525" s="49"/>
      <c r="K6525" s="19"/>
      <c r="L6525" s="20"/>
    </row>
    <row r="6526" spans="1:12" outlineLevel="2">
      <c r="A6526" s="21"/>
      <c r="B6526" s="12" t="str">
        <f>IFERROR(VLOOKUP(D6526,'[1]Перечень товаров'!$A$2:$I9525,2,0),"")</f>
        <v>т12</v>
      </c>
      <c r="C6526" s="12" t="str">
        <f>IFERROR(VLOOKUP(D6526,'[1]Перечень товаров'!$A$2:$I9525,3,0),"")</f>
        <v>Техника</v>
      </c>
      <c r="D6526" s="22" t="s">
        <v>49</v>
      </c>
      <c r="E6526" s="58"/>
      <c r="F6526" s="58"/>
      <c r="G6526" s="48">
        <v>1</v>
      </c>
      <c r="H6526" s="48"/>
      <c r="I6526" s="49"/>
      <c r="J6526" s="49"/>
      <c r="K6526" s="19"/>
      <c r="L6526" s="20"/>
    </row>
    <row r="6527" spans="1:12" outlineLevel="2">
      <c r="A6527" s="35"/>
      <c r="B6527" s="12" t="str">
        <f>IFERROR(VLOOKUP(D6527,'[1]Перечень товаров'!$A$2:$I9525,2,0),"")</f>
        <v>т6</v>
      </c>
      <c r="C6527" s="12" t="str">
        <f>IFERROR(VLOOKUP(D6527,'[1]Перечень товаров'!$A$2:$I9525,3,0),"")</f>
        <v xml:space="preserve">Техника </v>
      </c>
      <c r="D6527" s="35" t="s">
        <v>33</v>
      </c>
      <c r="E6527" s="58"/>
      <c r="F6527" s="58"/>
      <c r="G6527" s="48">
        <v>1</v>
      </c>
      <c r="H6527" s="48"/>
      <c r="I6527" s="49"/>
      <c r="J6527" s="49"/>
      <c r="K6527" s="19"/>
      <c r="L6527" s="20"/>
    </row>
    <row r="6528" spans="1:12" outlineLevel="2">
      <c r="A6528" s="21"/>
      <c r="B6528" s="12" t="str">
        <f>IFERROR(VLOOKUP(D6528,'[1]Перечень товаров'!$A$2:$I9525,2,0),"")</f>
        <v>т7</v>
      </c>
      <c r="C6528" s="12" t="str">
        <f>IFERROR(VLOOKUP(D6528,'[1]Перечень товаров'!$A$2:$I9525,3,0),"")</f>
        <v xml:space="preserve">Техника </v>
      </c>
      <c r="D6528" s="22" t="s">
        <v>34</v>
      </c>
      <c r="E6528" s="58"/>
      <c r="F6528" s="58"/>
      <c r="G6528" s="48">
        <v>3</v>
      </c>
      <c r="H6528" s="48"/>
      <c r="I6528" s="49"/>
      <c r="J6528" s="49"/>
      <c r="K6528" s="19"/>
      <c r="L6528" s="20"/>
    </row>
    <row r="6529" spans="1:12" outlineLevel="2">
      <c r="A6529" s="28"/>
      <c r="B6529" s="12" t="str">
        <f>IFERROR(VLOOKUP(D6529,'[1]Перечень товаров'!$A$2:$I9525,2,0),"")</f>
        <v>т161</v>
      </c>
      <c r="C6529" s="12" t="str">
        <f>IFERROR(VLOOKUP(D6529,'[1]Перечень товаров'!$A$2:$I9525,3,0),"")</f>
        <v xml:space="preserve">Техника </v>
      </c>
      <c r="D6529" s="29" t="s">
        <v>381</v>
      </c>
      <c r="E6529" s="30"/>
      <c r="F6529" s="30"/>
      <c r="G6529" s="59">
        <v>1</v>
      </c>
      <c r="H6529" s="59"/>
      <c r="I6529" s="60"/>
      <c r="J6529" s="60"/>
      <c r="K6529" s="19"/>
      <c r="L6529" s="20"/>
    </row>
    <row r="6530" spans="1:12" outlineLevel="2">
      <c r="A6530" s="113"/>
      <c r="B6530" s="12" t="str">
        <f>IFERROR(VLOOKUP(D6530,'[1]Перечень товаров'!$A$2:$I9525,2,0),"")</f>
        <v/>
      </c>
      <c r="C6530" s="12" t="str">
        <f>IFERROR(VLOOKUP(D6530,'[1]Перечень товаров'!$A$2:$I9525,3,0),"")</f>
        <v/>
      </c>
      <c r="D6530" s="114" t="s">
        <v>19</v>
      </c>
      <c r="E6530" s="258"/>
      <c r="F6530" s="258"/>
      <c r="G6530" s="59"/>
      <c r="H6530" s="59"/>
      <c r="I6530" s="60"/>
      <c r="J6530" s="60"/>
      <c r="K6530" s="19"/>
      <c r="L6530" s="20"/>
    </row>
    <row r="6531" spans="1:12" outlineLevel="2">
      <c r="A6531" s="34"/>
      <c r="B6531" s="12" t="str">
        <f>IFERROR(VLOOKUP(D6531,'[1]Перечень товаров'!$A$2:$I9525,2,0),"")</f>
        <v>м62</v>
      </c>
      <c r="C6531" s="12" t="str">
        <f>IFERROR(VLOOKUP(D6531,'[1]Перечень товаров'!$A$2:$I9525,3,0),"")</f>
        <v>Мебель</v>
      </c>
      <c r="D6531" s="35" t="s">
        <v>398</v>
      </c>
      <c r="E6531" s="88"/>
      <c r="F6531" s="88"/>
      <c r="G6531" s="59">
        <v>1</v>
      </c>
      <c r="H6531" s="59"/>
      <c r="I6531" s="60"/>
      <c r="J6531" s="60"/>
      <c r="K6531" s="19"/>
      <c r="L6531" s="20"/>
    </row>
    <row r="6532" spans="1:12" outlineLevel="2">
      <c r="A6532" s="34"/>
      <c r="B6532" s="12" t="str">
        <f>IFERROR(VLOOKUP(D6532,'[1]Перечень товаров'!$A$2:$I9525,2,0),"")</f>
        <v>м61</v>
      </c>
      <c r="C6532" s="12" t="str">
        <f>IFERROR(VLOOKUP(D6532,'[1]Перечень товаров'!$A$2:$I9525,3,0),"")</f>
        <v>Мебель</v>
      </c>
      <c r="D6532" s="35" t="s">
        <v>383</v>
      </c>
      <c r="E6532" s="88"/>
      <c r="F6532" s="88"/>
      <c r="G6532" s="59">
        <v>1</v>
      </c>
      <c r="H6532" s="59"/>
      <c r="I6532" s="60"/>
      <c r="J6532" s="60"/>
      <c r="K6532" s="19"/>
      <c r="L6532" s="20"/>
    </row>
    <row r="6533" spans="1:12" outlineLevel="2">
      <c r="A6533" s="34"/>
      <c r="B6533" s="12" t="str">
        <f>IFERROR(VLOOKUP(D6533,'[1]Перечень товаров'!$A$2:$I9525,2,0),"")</f>
        <v>м61</v>
      </c>
      <c r="C6533" s="12" t="str">
        <f>IFERROR(VLOOKUP(D6533,'[1]Перечень товаров'!$A$2:$I9525,3,0),"")</f>
        <v>Мебель</v>
      </c>
      <c r="D6533" s="35" t="s">
        <v>384</v>
      </c>
      <c r="E6533" s="88"/>
      <c r="F6533" s="88"/>
      <c r="G6533" s="59">
        <v>5</v>
      </c>
      <c r="H6533" s="59"/>
      <c r="I6533" s="60"/>
      <c r="J6533" s="60"/>
      <c r="K6533" s="19"/>
      <c r="L6533" s="20"/>
    </row>
    <row r="6534" spans="1:12" outlineLevel="2">
      <c r="A6534" s="21"/>
      <c r="B6534" s="12" t="str">
        <f>IFERROR(VLOOKUP(D6534,'[1]Перечень товаров'!$A$2:$I9525,2,0),"")</f>
        <v>м13</v>
      </c>
      <c r="C6534" s="12" t="str">
        <f>IFERROR(VLOOKUP(D6534,'[1]Перечень товаров'!$A$2:$I9525,3,0),"")</f>
        <v>Мебель</v>
      </c>
      <c r="D6534" s="22" t="s">
        <v>42</v>
      </c>
      <c r="E6534" s="58"/>
      <c r="F6534" s="58"/>
      <c r="G6534" s="24">
        <v>1</v>
      </c>
      <c r="H6534" s="24"/>
      <c r="I6534" s="25"/>
      <c r="J6534" s="25"/>
      <c r="K6534" s="19"/>
      <c r="L6534" s="20"/>
    </row>
    <row r="6535" spans="1:12" outlineLevel="2">
      <c r="A6535" s="21"/>
      <c r="B6535" s="12" t="str">
        <f>IFERROR(VLOOKUP(D6535,'[1]Перечень товаров'!$A$2:$I9525,2,0),"")</f>
        <v>м14</v>
      </c>
      <c r="C6535" s="12" t="str">
        <f>IFERROR(VLOOKUP(D6535,'[1]Перечень товаров'!$A$2:$I9525,3,0),"")</f>
        <v>Мебель</v>
      </c>
      <c r="D6535" s="22" t="s">
        <v>43</v>
      </c>
      <c r="E6535" s="58"/>
      <c r="F6535" s="58"/>
      <c r="G6535" s="24">
        <v>1</v>
      </c>
      <c r="H6535" s="24"/>
      <c r="I6535" s="25"/>
      <c r="J6535" s="25"/>
      <c r="K6535" s="19"/>
      <c r="L6535" s="20"/>
    </row>
    <row r="6536" spans="1:12" ht="15" outlineLevel="2">
      <c r="A6536" s="116"/>
      <c r="B6536" s="12" t="str">
        <f>IFERROR(VLOOKUP(D6536,'[1]Перечень товаров'!$A$2:$I9525,2,0),"")</f>
        <v/>
      </c>
      <c r="C6536" s="12" t="str">
        <f>IFERROR(VLOOKUP(D6536,'[1]Перечень товаров'!$A$2:$I9525,3,0),"")</f>
        <v/>
      </c>
      <c r="D6536" s="117" t="s">
        <v>391</v>
      </c>
      <c r="E6536" s="122"/>
      <c r="F6536" s="122"/>
      <c r="G6536" s="123"/>
      <c r="H6536" s="123"/>
      <c r="I6536" s="124"/>
      <c r="J6536" s="124"/>
      <c r="K6536" s="19"/>
      <c r="L6536" s="20"/>
    </row>
    <row r="6537" spans="1:12" outlineLevel="2">
      <c r="A6537" s="28"/>
      <c r="B6537" s="12" t="str">
        <f>IFERROR(VLOOKUP(D6537,'[1]Перечень товаров'!$A$2:$I9525,2,0),"")</f>
        <v>тм147</v>
      </c>
      <c r="C6537" s="12" t="str">
        <f>IFERROR(VLOOKUP(D6537,'[1]Перечень товаров'!$A$2:$I9525,3,0),"")</f>
        <v>Техника муз</v>
      </c>
      <c r="D6537" s="29" t="s">
        <v>1687</v>
      </c>
      <c r="E6537" s="30"/>
      <c r="F6537" s="30"/>
      <c r="G6537" s="31">
        <v>1</v>
      </c>
      <c r="H6537" s="31"/>
      <c r="I6537" s="32"/>
      <c r="J6537" s="32"/>
      <c r="K6537" s="19"/>
      <c r="L6537" s="20"/>
    </row>
    <row r="6538" spans="1:12" ht="31.5" outlineLevel="2">
      <c r="A6538" s="28"/>
      <c r="B6538" s="12" t="str">
        <f>IFERROR(VLOOKUP(D6538,'[1]Перечень товаров'!$A$2:$I9525,2,0),"")</f>
        <v>тм219</v>
      </c>
      <c r="C6538" s="12" t="str">
        <f>IFERROR(VLOOKUP(D6538,'[1]Перечень товаров'!$A$2:$I9525,3,0),"")</f>
        <v>Техника муз</v>
      </c>
      <c r="D6538" s="29" t="s">
        <v>1000</v>
      </c>
      <c r="E6538" s="30"/>
      <c r="F6538" s="30"/>
      <c r="G6538" s="31">
        <v>1</v>
      </c>
      <c r="H6538" s="31"/>
      <c r="I6538" s="32"/>
      <c r="J6538" s="32"/>
      <c r="K6538" s="19"/>
      <c r="L6538" s="20"/>
    </row>
    <row r="6539" spans="1:12" outlineLevel="2">
      <c r="A6539" s="28"/>
      <c r="B6539" s="12" t="str">
        <f>IFERROR(VLOOKUP(D6539,'[1]Перечень товаров'!$A$2:$I9525,2,0),"")</f>
        <v>м175</v>
      </c>
      <c r="C6539" s="12" t="str">
        <f>IFERROR(VLOOKUP(D6539,'[1]Перечень товаров'!$A$2:$I9525,3,0),"")</f>
        <v>мебель</v>
      </c>
      <c r="D6539" s="29" t="s">
        <v>1001</v>
      </c>
      <c r="E6539" s="30"/>
      <c r="F6539" s="30"/>
      <c r="G6539" s="31">
        <v>2</v>
      </c>
      <c r="H6539" s="31"/>
      <c r="I6539" s="32"/>
      <c r="J6539" s="32"/>
      <c r="K6539" s="19"/>
      <c r="L6539" s="20"/>
    </row>
    <row r="6540" spans="1:12" outlineLevel="2">
      <c r="A6540" s="28"/>
      <c r="B6540" s="12" t="str">
        <f>IFERROR(VLOOKUP(D6540,'[1]Перечень товаров'!$A$2:$I9525,2,0),"")</f>
        <v>д246</v>
      </c>
      <c r="C6540" s="12" t="str">
        <f>IFERROR(VLOOKUP(D6540,'[1]Перечень товаров'!$A$2:$I9525,3,0),"")</f>
        <v>Дидактика</v>
      </c>
      <c r="D6540" s="29" t="s">
        <v>1688</v>
      </c>
      <c r="E6540" s="30"/>
      <c r="F6540" s="30"/>
      <c r="G6540" s="31">
        <v>1</v>
      </c>
      <c r="H6540" s="31"/>
      <c r="I6540" s="32"/>
      <c r="J6540" s="32"/>
      <c r="K6540" s="19"/>
      <c r="L6540" s="20"/>
    </row>
    <row r="6541" spans="1:12" outlineLevel="2">
      <c r="A6541" s="28"/>
      <c r="B6541" s="12" t="str">
        <f>IFERROR(VLOOKUP(D6541,'[1]Перечень товаров'!$A$2:$I9525,2,0),"")</f>
        <v>пм167</v>
      </c>
      <c r="C6541" s="12" t="str">
        <f>IFERROR(VLOOKUP(D6541,'[1]Перечень товаров'!$A$2:$I9525,3,0),"")</f>
        <v>прочее муз</v>
      </c>
      <c r="D6541" s="29" t="s">
        <v>1136</v>
      </c>
      <c r="E6541" s="30"/>
      <c r="F6541" s="30"/>
      <c r="G6541" s="31">
        <v>1</v>
      </c>
      <c r="H6541" s="31"/>
      <c r="I6541" s="32"/>
      <c r="J6541" s="32"/>
      <c r="K6541" s="19"/>
      <c r="L6541" s="20"/>
    </row>
    <row r="6542" spans="1:12" outlineLevel="2">
      <c r="A6542" s="28"/>
      <c r="B6542" s="12" t="str">
        <f>IFERROR(VLOOKUP(D6542,'[1]Перечень товаров'!$A$2:$I9525,2,0),"")</f>
        <v>пм108</v>
      </c>
      <c r="C6542" s="12" t="str">
        <f>IFERROR(VLOOKUP(D6542,'[1]Перечень товаров'!$A$2:$I9525,3,0),"")</f>
        <v>прочее муз</v>
      </c>
      <c r="D6542" s="29" t="s">
        <v>1689</v>
      </c>
      <c r="E6542" s="30"/>
      <c r="F6542" s="30"/>
      <c r="G6542" s="31">
        <v>1</v>
      </c>
      <c r="H6542" s="31"/>
      <c r="I6542" s="32"/>
      <c r="J6542" s="32"/>
      <c r="K6542" s="19"/>
      <c r="L6542" s="20"/>
    </row>
    <row r="6543" spans="1:12" ht="15" outlineLevel="2">
      <c r="A6543" s="54"/>
      <c r="B6543" s="12" t="str">
        <f>IFERROR(VLOOKUP(D6543,'[1]Перечень товаров'!$A$2:$I9525,2,0),"")</f>
        <v/>
      </c>
      <c r="C6543" s="12" t="str">
        <f>IFERROR(VLOOKUP(D6543,'[1]Перечень товаров'!$A$2:$I9525,3,0),"")</f>
        <v/>
      </c>
      <c r="D6543" s="55" t="s">
        <v>45</v>
      </c>
      <c r="E6543" s="56"/>
      <c r="F6543" s="56"/>
      <c r="G6543" s="17"/>
      <c r="H6543" s="17"/>
      <c r="I6543" s="57"/>
      <c r="J6543" s="57"/>
      <c r="K6543" s="19"/>
      <c r="L6543" s="20"/>
    </row>
    <row r="6544" spans="1:12" outlineLevel="2">
      <c r="A6544" s="21"/>
      <c r="B6544" s="12" t="str">
        <f>IFERROR(VLOOKUP(D6544,'[1]Перечень товаров'!$A$2:$I9525,2,0),"")</f>
        <v>п2</v>
      </c>
      <c r="C6544" s="12" t="str">
        <f>IFERROR(VLOOKUP(D6544,'[1]Перечень товаров'!$A$2:$I9525,3,0),"")</f>
        <v>Прочее</v>
      </c>
      <c r="D6544" s="22" t="s">
        <v>46</v>
      </c>
      <c r="E6544" s="58"/>
      <c r="F6544" s="58"/>
      <c r="G6544" s="24">
        <v>1</v>
      </c>
      <c r="H6544" s="24"/>
      <c r="I6544" s="25"/>
      <c r="J6544" s="25"/>
      <c r="K6544" s="19"/>
      <c r="L6544" s="20"/>
    </row>
    <row r="6545" spans="1:12" outlineLevel="2">
      <c r="A6545" s="43"/>
      <c r="B6545" s="12" t="str">
        <f>IFERROR(VLOOKUP(D6545,'[1]Перечень товаров'!$A$2:$I9525,2,0),"")</f>
        <v>м7</v>
      </c>
      <c r="C6545" s="12" t="str">
        <f>IFERROR(VLOOKUP(D6545,'[1]Перечень товаров'!$A$2:$I9525,3,0),"")</f>
        <v>Мебель</v>
      </c>
      <c r="D6545" s="44" t="s">
        <v>24</v>
      </c>
      <c r="E6545" s="30"/>
      <c r="F6545" s="30"/>
      <c r="G6545" s="59">
        <v>1</v>
      </c>
      <c r="H6545" s="59"/>
      <c r="I6545" s="60"/>
      <c r="J6545" s="60"/>
      <c r="K6545" s="19"/>
      <c r="L6545" s="20"/>
    </row>
    <row r="6546" spans="1:12" outlineLevel="2">
      <c r="A6546" s="43"/>
      <c r="B6546" s="12" t="str">
        <f>IFERROR(VLOOKUP(D6546,'[1]Перечень товаров'!$A$2:$I9525,2,0),"")</f>
        <v>п1</v>
      </c>
      <c r="C6546" s="12" t="str">
        <f>IFERROR(VLOOKUP(D6546,'[1]Перечень товаров'!$A$2:$I9525,3,0),"")</f>
        <v>Прочее</v>
      </c>
      <c r="D6546" s="44" t="s">
        <v>37</v>
      </c>
      <c r="E6546" s="30"/>
      <c r="F6546" s="30"/>
      <c r="G6546" s="59">
        <v>1</v>
      </c>
      <c r="H6546" s="59"/>
      <c r="I6546" s="60"/>
      <c r="J6546" s="60"/>
      <c r="K6546" s="19"/>
      <c r="L6546" s="20"/>
    </row>
    <row r="6547" spans="1:12" ht="12.75" outlineLevel="1">
      <c r="A6547" s="89"/>
      <c r="B6547" s="12" t="str">
        <f>IFERROR(VLOOKUP(D6547,'[1]Перечень товаров'!$A$2:$I9525,2,0),"")</f>
        <v/>
      </c>
      <c r="C6547" s="12" t="str">
        <f>IFERROR(VLOOKUP(D6547,'[1]Перечень товаров'!$A$2:$I9525,3,0),"")</f>
        <v/>
      </c>
      <c r="D6547" s="90" t="s">
        <v>1686</v>
      </c>
      <c r="E6547" s="108"/>
      <c r="F6547" s="108"/>
      <c r="G6547" s="100"/>
      <c r="H6547" s="100"/>
      <c r="I6547" s="101"/>
      <c r="J6547" s="101"/>
      <c r="K6547" s="19"/>
      <c r="L6547" s="20"/>
    </row>
    <row r="6548" spans="1:12" ht="15" outlineLevel="2">
      <c r="A6548" s="109"/>
      <c r="B6548" s="12" t="str">
        <f>IFERROR(VLOOKUP(D6548,'[1]Перечень товаров'!$A$2:$I9525,2,0),"")</f>
        <v/>
      </c>
      <c r="C6548" s="12" t="str">
        <f>IFERROR(VLOOKUP(D6548,'[1]Перечень товаров'!$A$2:$I9525,3,0),"")</f>
        <v/>
      </c>
      <c r="D6548" s="110" t="s">
        <v>27</v>
      </c>
      <c r="E6548" s="56"/>
      <c r="F6548" s="56"/>
      <c r="G6548" s="111"/>
      <c r="H6548" s="111"/>
      <c r="I6548" s="112"/>
      <c r="J6548" s="112"/>
      <c r="K6548" s="19"/>
      <c r="L6548" s="20"/>
    </row>
    <row r="6549" spans="1:12" outlineLevel="2">
      <c r="A6549" s="21"/>
      <c r="B6549" s="12" t="str">
        <f>IFERROR(VLOOKUP(D6549,'[1]Перечень товаров'!$A$2:$I9525,2,0),"")</f>
        <v>т1</v>
      </c>
      <c r="C6549" s="12" t="str">
        <f>IFERROR(VLOOKUP(D6549,'[1]Перечень товаров'!$A$2:$I9525,3,0),"")</f>
        <v xml:space="preserve">Техника </v>
      </c>
      <c r="D6549" s="22" t="s">
        <v>28</v>
      </c>
      <c r="E6549" s="58"/>
      <c r="F6549" s="58"/>
      <c r="G6549" s="48">
        <v>1</v>
      </c>
      <c r="H6549" s="48"/>
      <c r="I6549" s="49"/>
      <c r="J6549" s="49"/>
      <c r="K6549" s="19"/>
      <c r="L6549" s="20"/>
    </row>
    <row r="6550" spans="1:12" outlineLevel="2">
      <c r="A6550" s="143"/>
      <c r="B6550" s="12" t="str">
        <f>IFERROR(VLOOKUP(D6550,'[1]Перечень товаров'!$A$2:$I9525,2,0),"")</f>
        <v>т9</v>
      </c>
      <c r="C6550" s="12" t="str">
        <f>IFERROR(VLOOKUP(D6550,'[1]Перечень товаров'!$A$2:$I9525,3,0),"")</f>
        <v>Техника</v>
      </c>
      <c r="D6550" s="143" t="s">
        <v>36</v>
      </c>
      <c r="E6550" s="58"/>
      <c r="F6550" s="58"/>
      <c r="G6550" s="48">
        <v>1</v>
      </c>
      <c r="H6550" s="48"/>
      <c r="I6550" s="49"/>
      <c r="J6550" s="49"/>
      <c r="K6550" s="19"/>
      <c r="L6550" s="20"/>
    </row>
    <row r="6551" spans="1:12" outlineLevel="2">
      <c r="A6551" s="35"/>
      <c r="B6551" s="12" t="str">
        <f>IFERROR(VLOOKUP(D6551,'[1]Перечень товаров'!$A$2:$I9525,2,0),"")</f>
        <v>т2</v>
      </c>
      <c r="C6551" s="12" t="str">
        <f>IFERROR(VLOOKUP(D6551,'[1]Перечень товаров'!$A$2:$I9525,3,0),"")</f>
        <v xml:space="preserve">Техника </v>
      </c>
      <c r="D6551" s="35" t="s">
        <v>29</v>
      </c>
      <c r="E6551" s="58"/>
      <c r="F6551" s="58"/>
      <c r="G6551" s="48">
        <v>1</v>
      </c>
      <c r="H6551" s="48"/>
      <c r="I6551" s="49"/>
      <c r="J6551" s="49"/>
      <c r="K6551" s="19"/>
      <c r="L6551" s="20"/>
    </row>
    <row r="6552" spans="1:12" outlineLevel="2">
      <c r="A6552" s="35"/>
      <c r="B6552" s="12" t="str">
        <f>IFERROR(VLOOKUP(D6552,'[1]Перечень товаров'!$A$2:$I9525,2,0),"")</f>
        <v>т3</v>
      </c>
      <c r="C6552" s="12" t="str">
        <f>IFERROR(VLOOKUP(D6552,'[1]Перечень товаров'!$A$2:$I9525,3,0),"")</f>
        <v xml:space="preserve">Техника </v>
      </c>
      <c r="D6552" s="35" t="s">
        <v>30</v>
      </c>
      <c r="E6552" s="58"/>
      <c r="F6552" s="58"/>
      <c r="G6552" s="48">
        <v>1</v>
      </c>
      <c r="H6552" s="48"/>
      <c r="I6552" s="49"/>
      <c r="J6552" s="49"/>
      <c r="K6552" s="19"/>
      <c r="L6552" s="20"/>
    </row>
    <row r="6553" spans="1:12" outlineLevel="2">
      <c r="A6553" s="35"/>
      <c r="B6553" s="12" t="str">
        <f>IFERROR(VLOOKUP(D6553,'[1]Перечень товаров'!$A$2:$I9525,2,0),"")</f>
        <v>т4</v>
      </c>
      <c r="C6553" s="12" t="str">
        <f>IFERROR(VLOOKUP(D6553,'[1]Перечень товаров'!$A$2:$I9525,3,0),"")</f>
        <v xml:space="preserve">Техника </v>
      </c>
      <c r="D6553" s="35" t="s">
        <v>31</v>
      </c>
      <c r="E6553" s="58"/>
      <c r="F6553" s="58"/>
      <c r="G6553" s="48">
        <v>1</v>
      </c>
      <c r="H6553" s="48"/>
      <c r="I6553" s="49"/>
      <c r="J6553" s="49"/>
      <c r="K6553" s="19"/>
      <c r="L6553" s="20"/>
    </row>
    <row r="6554" spans="1:12" outlineLevel="2">
      <c r="A6554" s="21"/>
      <c r="B6554" s="12" t="str">
        <f>IFERROR(VLOOKUP(D6554,'[1]Перечень товаров'!$A$2:$I9525,2,0),"")</f>
        <v>тм65</v>
      </c>
      <c r="C6554" s="12" t="str">
        <f>IFERROR(VLOOKUP(D6554,'[1]Перечень товаров'!$A$2:$I9525,3,0),"")</f>
        <v>Техника муз</v>
      </c>
      <c r="D6554" s="22" t="s">
        <v>380</v>
      </c>
      <c r="E6554" s="58"/>
      <c r="F6554" s="58"/>
      <c r="G6554" s="48">
        <v>1</v>
      </c>
      <c r="H6554" s="48"/>
      <c r="I6554" s="49"/>
      <c r="J6554" s="49"/>
      <c r="K6554" s="19"/>
      <c r="L6554" s="20"/>
    </row>
    <row r="6555" spans="1:12" outlineLevel="2">
      <c r="A6555" s="21"/>
      <c r="B6555" s="12" t="str">
        <f>IFERROR(VLOOKUP(D6555,'[1]Перечень товаров'!$A$2:$I9525,2,0),"")</f>
        <v>т12</v>
      </c>
      <c r="C6555" s="12" t="str">
        <f>IFERROR(VLOOKUP(D6555,'[1]Перечень товаров'!$A$2:$I9525,3,0),"")</f>
        <v>Техника</v>
      </c>
      <c r="D6555" s="22" t="s">
        <v>49</v>
      </c>
      <c r="E6555" s="58"/>
      <c r="F6555" s="58"/>
      <c r="G6555" s="48">
        <v>1</v>
      </c>
      <c r="H6555" s="48"/>
      <c r="I6555" s="49"/>
      <c r="J6555" s="49"/>
      <c r="K6555" s="19"/>
      <c r="L6555" s="20"/>
    </row>
    <row r="6556" spans="1:12" outlineLevel="2">
      <c r="A6556" s="35"/>
      <c r="B6556" s="12" t="str">
        <f>IFERROR(VLOOKUP(D6556,'[1]Перечень товаров'!$A$2:$I9525,2,0),"")</f>
        <v>т6</v>
      </c>
      <c r="C6556" s="12" t="str">
        <f>IFERROR(VLOOKUP(D6556,'[1]Перечень товаров'!$A$2:$I9525,3,0),"")</f>
        <v xml:space="preserve">Техника </v>
      </c>
      <c r="D6556" s="35" t="s">
        <v>33</v>
      </c>
      <c r="E6556" s="58"/>
      <c r="F6556" s="58"/>
      <c r="G6556" s="48">
        <v>1</v>
      </c>
      <c r="H6556" s="48"/>
      <c r="I6556" s="49"/>
      <c r="J6556" s="49"/>
      <c r="K6556" s="19"/>
      <c r="L6556" s="20"/>
    </row>
    <row r="6557" spans="1:12" outlineLevel="2">
      <c r="A6557" s="21"/>
      <c r="B6557" s="12" t="str">
        <f>IFERROR(VLOOKUP(D6557,'[1]Перечень товаров'!$A$2:$I9525,2,0),"")</f>
        <v>т7</v>
      </c>
      <c r="C6557" s="12" t="str">
        <f>IFERROR(VLOOKUP(D6557,'[1]Перечень товаров'!$A$2:$I9525,3,0),"")</f>
        <v xml:space="preserve">Техника </v>
      </c>
      <c r="D6557" s="22" t="s">
        <v>34</v>
      </c>
      <c r="E6557" s="58"/>
      <c r="F6557" s="58"/>
      <c r="G6557" s="48">
        <v>3</v>
      </c>
      <c r="H6557" s="48"/>
      <c r="I6557" s="49"/>
      <c r="J6557" s="49"/>
      <c r="K6557" s="19"/>
      <c r="L6557" s="20"/>
    </row>
    <row r="6558" spans="1:12" outlineLevel="2">
      <c r="A6558" s="28"/>
      <c r="B6558" s="12" t="str">
        <f>IFERROR(VLOOKUP(D6558,'[1]Перечень товаров'!$A$2:$I9525,2,0),"")</f>
        <v>т161</v>
      </c>
      <c r="C6558" s="12" t="str">
        <f>IFERROR(VLOOKUP(D6558,'[1]Перечень товаров'!$A$2:$I9525,3,0),"")</f>
        <v xml:space="preserve">Техника </v>
      </c>
      <c r="D6558" s="29" t="s">
        <v>381</v>
      </c>
      <c r="E6558" s="30"/>
      <c r="F6558" s="30"/>
      <c r="G6558" s="59">
        <v>1</v>
      </c>
      <c r="H6558" s="59"/>
      <c r="I6558" s="60"/>
      <c r="J6558" s="60"/>
      <c r="K6558" s="19"/>
      <c r="L6558" s="20"/>
    </row>
    <row r="6559" spans="1:12" outlineLevel="2">
      <c r="A6559" s="113"/>
      <c r="B6559" s="12" t="str">
        <f>IFERROR(VLOOKUP(D6559,'[1]Перечень товаров'!$A$2:$I9525,2,0),"")</f>
        <v/>
      </c>
      <c r="C6559" s="12" t="str">
        <f>IFERROR(VLOOKUP(D6559,'[1]Перечень товаров'!$A$2:$I9525,3,0),"")</f>
        <v/>
      </c>
      <c r="D6559" s="114" t="s">
        <v>19</v>
      </c>
      <c r="E6559" s="258"/>
      <c r="F6559" s="258"/>
      <c r="G6559" s="59"/>
      <c r="H6559" s="59"/>
      <c r="I6559" s="60"/>
      <c r="J6559" s="60"/>
      <c r="K6559" s="19"/>
      <c r="L6559" s="20"/>
    </row>
    <row r="6560" spans="1:12" outlineLevel="2">
      <c r="A6560" s="34"/>
      <c r="B6560" s="12" t="str">
        <f>IFERROR(VLOOKUP(D6560,'[1]Перечень товаров'!$A$2:$I9525,2,0),"")</f>
        <v>м62</v>
      </c>
      <c r="C6560" s="12" t="str">
        <f>IFERROR(VLOOKUP(D6560,'[1]Перечень товаров'!$A$2:$I9525,3,0),"")</f>
        <v>Мебель</v>
      </c>
      <c r="D6560" s="35" t="s">
        <v>398</v>
      </c>
      <c r="E6560" s="88"/>
      <c r="F6560" s="88"/>
      <c r="G6560" s="59">
        <v>1</v>
      </c>
      <c r="H6560" s="59"/>
      <c r="I6560" s="60"/>
      <c r="J6560" s="60"/>
      <c r="K6560" s="19"/>
      <c r="L6560" s="20"/>
    </row>
    <row r="6561" spans="1:12" outlineLevel="2">
      <c r="A6561" s="34"/>
      <c r="B6561" s="12" t="str">
        <f>IFERROR(VLOOKUP(D6561,'[1]Перечень товаров'!$A$2:$I9525,2,0),"")</f>
        <v>м61</v>
      </c>
      <c r="C6561" s="12" t="str">
        <f>IFERROR(VLOOKUP(D6561,'[1]Перечень товаров'!$A$2:$I9525,3,0),"")</f>
        <v>Мебель</v>
      </c>
      <c r="D6561" s="35" t="s">
        <v>383</v>
      </c>
      <c r="E6561" s="88"/>
      <c r="F6561" s="88"/>
      <c r="G6561" s="59">
        <v>1</v>
      </c>
      <c r="H6561" s="59"/>
      <c r="I6561" s="60"/>
      <c r="J6561" s="60"/>
      <c r="K6561" s="19"/>
      <c r="L6561" s="20"/>
    </row>
    <row r="6562" spans="1:12" outlineLevel="2">
      <c r="A6562" s="34"/>
      <c r="B6562" s="12" t="str">
        <f>IFERROR(VLOOKUP(D6562,'[1]Перечень товаров'!$A$2:$I9525,2,0),"")</f>
        <v>м61</v>
      </c>
      <c r="C6562" s="12" t="str">
        <f>IFERROR(VLOOKUP(D6562,'[1]Перечень товаров'!$A$2:$I9525,3,0),"")</f>
        <v>Мебель</v>
      </c>
      <c r="D6562" s="35" t="s">
        <v>384</v>
      </c>
      <c r="E6562" s="88"/>
      <c r="F6562" s="88"/>
      <c r="G6562" s="59">
        <v>5</v>
      </c>
      <c r="H6562" s="59"/>
      <c r="I6562" s="60"/>
      <c r="J6562" s="60"/>
      <c r="K6562" s="19"/>
      <c r="L6562" s="20"/>
    </row>
    <row r="6563" spans="1:12" outlineLevel="2">
      <c r="A6563" s="21"/>
      <c r="B6563" s="12" t="str">
        <f>IFERROR(VLOOKUP(D6563,'[1]Перечень товаров'!$A$2:$I9525,2,0),"")</f>
        <v>м13</v>
      </c>
      <c r="C6563" s="12" t="str">
        <f>IFERROR(VLOOKUP(D6563,'[1]Перечень товаров'!$A$2:$I9525,3,0),"")</f>
        <v>Мебель</v>
      </c>
      <c r="D6563" s="22" t="s">
        <v>42</v>
      </c>
      <c r="E6563" s="58"/>
      <c r="F6563" s="58"/>
      <c r="G6563" s="24">
        <v>1</v>
      </c>
      <c r="H6563" s="24"/>
      <c r="I6563" s="25"/>
      <c r="J6563" s="25"/>
      <c r="K6563" s="19"/>
      <c r="L6563" s="20"/>
    </row>
    <row r="6564" spans="1:12" outlineLevel="2">
      <c r="A6564" s="21"/>
      <c r="B6564" s="12" t="str">
        <f>IFERROR(VLOOKUP(D6564,'[1]Перечень товаров'!$A$2:$I9525,2,0),"")</f>
        <v>м14</v>
      </c>
      <c r="C6564" s="12" t="str">
        <f>IFERROR(VLOOKUP(D6564,'[1]Перечень товаров'!$A$2:$I9525,3,0),"")</f>
        <v>Мебель</v>
      </c>
      <c r="D6564" s="22" t="s">
        <v>43</v>
      </c>
      <c r="E6564" s="58"/>
      <c r="F6564" s="58"/>
      <c r="G6564" s="24">
        <v>1</v>
      </c>
      <c r="H6564" s="24"/>
      <c r="I6564" s="25"/>
      <c r="J6564" s="25"/>
      <c r="K6564" s="19"/>
      <c r="L6564" s="20"/>
    </row>
    <row r="6565" spans="1:12" ht="15" outlineLevel="2">
      <c r="A6565" s="116"/>
      <c r="B6565" s="12" t="str">
        <f>IFERROR(VLOOKUP(D6565,'[1]Перечень товаров'!$A$2:$I9525,2,0),"")</f>
        <v/>
      </c>
      <c r="C6565" s="12" t="str">
        <f>IFERROR(VLOOKUP(D6565,'[1]Перечень товаров'!$A$2:$I9525,3,0),"")</f>
        <v/>
      </c>
      <c r="D6565" s="117" t="s">
        <v>391</v>
      </c>
      <c r="E6565" s="122"/>
      <c r="F6565" s="122"/>
      <c r="G6565" s="123"/>
      <c r="H6565" s="123"/>
      <c r="I6565" s="124"/>
      <c r="J6565" s="124"/>
      <c r="K6565" s="19"/>
      <c r="L6565" s="20"/>
    </row>
    <row r="6566" spans="1:12" outlineLevel="2">
      <c r="A6566" s="28"/>
      <c r="B6566" s="12" t="str">
        <f>IFERROR(VLOOKUP(D6566,'[1]Перечень товаров'!$A$2:$I9525,2,0),"")</f>
        <v>тм147</v>
      </c>
      <c r="C6566" s="12" t="str">
        <f>IFERROR(VLOOKUP(D6566,'[1]Перечень товаров'!$A$2:$I9525,3,0),"")</f>
        <v>Техника муз</v>
      </c>
      <c r="D6566" s="29" t="s">
        <v>1687</v>
      </c>
      <c r="E6566" s="30"/>
      <c r="F6566" s="30"/>
      <c r="G6566" s="31">
        <v>1</v>
      </c>
      <c r="H6566" s="31"/>
      <c r="I6566" s="32"/>
      <c r="J6566" s="32"/>
      <c r="K6566" s="19"/>
      <c r="L6566" s="20"/>
    </row>
    <row r="6567" spans="1:12" ht="31.5" outlineLevel="2">
      <c r="A6567" s="28"/>
      <c r="B6567" s="12" t="str">
        <f>IFERROR(VLOOKUP(D6567,'[1]Перечень товаров'!$A$2:$I9525,2,0),"")</f>
        <v>тм219</v>
      </c>
      <c r="C6567" s="12" t="str">
        <f>IFERROR(VLOOKUP(D6567,'[1]Перечень товаров'!$A$2:$I9525,3,0),"")</f>
        <v>Техника муз</v>
      </c>
      <c r="D6567" s="29" t="s">
        <v>1000</v>
      </c>
      <c r="E6567" s="30"/>
      <c r="F6567" s="30"/>
      <c r="G6567" s="31">
        <v>1</v>
      </c>
      <c r="H6567" s="31"/>
      <c r="I6567" s="32"/>
      <c r="J6567" s="32"/>
      <c r="K6567" s="19"/>
      <c r="L6567" s="20"/>
    </row>
    <row r="6568" spans="1:12" outlineLevel="2">
      <c r="A6568" s="28"/>
      <c r="B6568" s="12" t="str">
        <f>IFERROR(VLOOKUP(D6568,'[1]Перечень товаров'!$A$2:$I9525,2,0),"")</f>
        <v>м175</v>
      </c>
      <c r="C6568" s="12" t="str">
        <f>IFERROR(VLOOKUP(D6568,'[1]Перечень товаров'!$A$2:$I9525,3,0),"")</f>
        <v>мебель</v>
      </c>
      <c r="D6568" s="29" t="s">
        <v>1001</v>
      </c>
      <c r="E6568" s="30"/>
      <c r="F6568" s="30"/>
      <c r="G6568" s="31">
        <v>2</v>
      </c>
      <c r="H6568" s="31"/>
      <c r="I6568" s="32"/>
      <c r="J6568" s="32"/>
      <c r="K6568" s="19"/>
      <c r="L6568" s="20"/>
    </row>
    <row r="6569" spans="1:12" outlineLevel="2">
      <c r="A6569" s="28"/>
      <c r="B6569" s="12" t="str">
        <f>IFERROR(VLOOKUP(D6569,'[1]Перечень товаров'!$A$2:$I9525,2,0),"")</f>
        <v>д246</v>
      </c>
      <c r="C6569" s="12" t="str">
        <f>IFERROR(VLOOKUP(D6569,'[1]Перечень товаров'!$A$2:$I9525,3,0),"")</f>
        <v>Дидактика</v>
      </c>
      <c r="D6569" s="29" t="s">
        <v>1688</v>
      </c>
      <c r="E6569" s="30"/>
      <c r="F6569" s="30"/>
      <c r="G6569" s="31">
        <v>1</v>
      </c>
      <c r="H6569" s="31"/>
      <c r="I6569" s="32"/>
      <c r="J6569" s="32"/>
      <c r="K6569" s="19"/>
      <c r="L6569" s="20"/>
    </row>
    <row r="6570" spans="1:12" outlineLevel="2">
      <c r="A6570" s="28"/>
      <c r="B6570" s="12" t="str">
        <f>IFERROR(VLOOKUP(D6570,'[1]Перечень товаров'!$A$2:$I9525,2,0),"")</f>
        <v>пм167</v>
      </c>
      <c r="C6570" s="12" t="str">
        <f>IFERROR(VLOOKUP(D6570,'[1]Перечень товаров'!$A$2:$I9525,3,0),"")</f>
        <v>прочее муз</v>
      </c>
      <c r="D6570" s="29" t="s">
        <v>1136</v>
      </c>
      <c r="E6570" s="30"/>
      <c r="F6570" s="30"/>
      <c r="G6570" s="31">
        <v>1</v>
      </c>
      <c r="H6570" s="31"/>
      <c r="I6570" s="32"/>
      <c r="J6570" s="32"/>
      <c r="K6570" s="19"/>
      <c r="L6570" s="20"/>
    </row>
    <row r="6571" spans="1:12" outlineLevel="2">
      <c r="A6571" s="28"/>
      <c r="B6571" s="12" t="str">
        <f>IFERROR(VLOOKUP(D6571,'[1]Перечень товаров'!$A$2:$I9525,2,0),"")</f>
        <v>пм108</v>
      </c>
      <c r="C6571" s="12" t="str">
        <f>IFERROR(VLOOKUP(D6571,'[1]Перечень товаров'!$A$2:$I9525,3,0),"")</f>
        <v>прочее муз</v>
      </c>
      <c r="D6571" s="29" t="s">
        <v>1689</v>
      </c>
      <c r="E6571" s="30"/>
      <c r="F6571" s="30"/>
      <c r="G6571" s="31">
        <v>1</v>
      </c>
      <c r="H6571" s="31"/>
      <c r="I6571" s="32"/>
      <c r="J6571" s="32"/>
      <c r="K6571" s="19"/>
      <c r="L6571" s="20"/>
    </row>
    <row r="6572" spans="1:12" ht="15" outlineLevel="2">
      <c r="A6572" s="54"/>
      <c r="B6572" s="12" t="str">
        <f>IFERROR(VLOOKUP(D6572,'[1]Перечень товаров'!$A$2:$I9525,2,0),"")</f>
        <v/>
      </c>
      <c r="C6572" s="12" t="str">
        <f>IFERROR(VLOOKUP(D6572,'[1]Перечень товаров'!$A$2:$I9525,3,0),"")</f>
        <v/>
      </c>
      <c r="D6572" s="55" t="s">
        <v>45</v>
      </c>
      <c r="E6572" s="56"/>
      <c r="F6572" s="56"/>
      <c r="G6572" s="17"/>
      <c r="H6572" s="17"/>
      <c r="I6572" s="57"/>
      <c r="J6572" s="57"/>
      <c r="K6572" s="19"/>
      <c r="L6572" s="20"/>
    </row>
    <row r="6573" spans="1:12" outlineLevel="2">
      <c r="A6573" s="21"/>
      <c r="B6573" s="12" t="str">
        <f>IFERROR(VLOOKUP(D6573,'[1]Перечень товаров'!$A$2:$I9525,2,0),"")</f>
        <v>п2</v>
      </c>
      <c r="C6573" s="12" t="str">
        <f>IFERROR(VLOOKUP(D6573,'[1]Перечень товаров'!$A$2:$I9525,3,0),"")</f>
        <v>Прочее</v>
      </c>
      <c r="D6573" s="22" t="s">
        <v>46</v>
      </c>
      <c r="E6573" s="58"/>
      <c r="F6573" s="58"/>
      <c r="G6573" s="24">
        <v>1</v>
      </c>
      <c r="H6573" s="24"/>
      <c r="I6573" s="25"/>
      <c r="J6573" s="25"/>
      <c r="K6573" s="19"/>
      <c r="L6573" s="20"/>
    </row>
    <row r="6574" spans="1:12" outlineLevel="2">
      <c r="A6574" s="43"/>
      <c r="B6574" s="12" t="str">
        <f>IFERROR(VLOOKUP(D6574,'[1]Перечень товаров'!$A$2:$I9525,2,0),"")</f>
        <v>м7</v>
      </c>
      <c r="C6574" s="12" t="str">
        <f>IFERROR(VLOOKUP(D6574,'[1]Перечень товаров'!$A$2:$I9525,3,0),"")</f>
        <v>Мебель</v>
      </c>
      <c r="D6574" s="44" t="s">
        <v>24</v>
      </c>
      <c r="E6574" s="30"/>
      <c r="F6574" s="30"/>
      <c r="G6574" s="59">
        <v>1</v>
      </c>
      <c r="H6574" s="59"/>
      <c r="I6574" s="60"/>
      <c r="J6574" s="60"/>
      <c r="K6574" s="19"/>
      <c r="L6574" s="20"/>
    </row>
    <row r="6575" spans="1:12" outlineLevel="2">
      <c r="A6575" s="43"/>
      <c r="B6575" s="12" t="str">
        <f>IFERROR(VLOOKUP(D6575,'[1]Перечень товаров'!$A$2:$I9525,2,0),"")</f>
        <v>п1</v>
      </c>
      <c r="C6575" s="12" t="str">
        <f>IFERROR(VLOOKUP(D6575,'[1]Перечень товаров'!$A$2:$I9525,3,0),"")</f>
        <v>Прочее</v>
      </c>
      <c r="D6575" s="44" t="s">
        <v>37</v>
      </c>
      <c r="E6575" s="30"/>
      <c r="F6575" s="30"/>
      <c r="G6575" s="59">
        <v>1</v>
      </c>
      <c r="H6575" s="59"/>
      <c r="I6575" s="60"/>
      <c r="J6575" s="60"/>
      <c r="K6575" s="19"/>
      <c r="L6575" s="20"/>
    </row>
    <row r="6576" spans="1:12" ht="12.75" outlineLevel="1">
      <c r="A6576" s="89"/>
      <c r="B6576" s="12" t="str">
        <f>IFERROR(VLOOKUP(D6576,'[1]Перечень товаров'!$A$2:$I9525,2,0),"")</f>
        <v/>
      </c>
      <c r="C6576" s="12" t="str">
        <f>IFERROR(VLOOKUP(D6576,'[1]Перечень товаров'!$A$2:$I9525,3,0),"")</f>
        <v/>
      </c>
      <c r="D6576" s="90" t="s">
        <v>1686</v>
      </c>
      <c r="E6576" s="108">
        <v>46102</v>
      </c>
      <c r="F6576" s="108"/>
      <c r="G6576" s="100"/>
      <c r="H6576" s="100"/>
      <c r="I6576" s="101"/>
      <c r="J6576" s="101"/>
      <c r="K6576" s="19"/>
      <c r="L6576" s="20"/>
    </row>
    <row r="6577" spans="1:12" ht="15" outlineLevel="2">
      <c r="A6577" s="109"/>
      <c r="B6577" s="12" t="str">
        <f>IFERROR(VLOOKUP(D6577,'[1]Перечень товаров'!$A$2:$I9525,2,0),"")</f>
        <v/>
      </c>
      <c r="C6577" s="12" t="str">
        <f>IFERROR(VLOOKUP(D6577,'[1]Перечень товаров'!$A$2:$I9525,3,0),"")</f>
        <v/>
      </c>
      <c r="D6577" s="110" t="s">
        <v>27</v>
      </c>
      <c r="E6577" s="56"/>
      <c r="F6577" s="56"/>
      <c r="G6577" s="111"/>
      <c r="H6577" s="111"/>
      <c r="I6577" s="112"/>
      <c r="J6577" s="112"/>
      <c r="K6577" s="19"/>
      <c r="L6577" s="20"/>
    </row>
    <row r="6578" spans="1:12" outlineLevel="2">
      <c r="A6578" s="21"/>
      <c r="B6578" s="12" t="str">
        <f>IFERROR(VLOOKUP(D6578,'[1]Перечень товаров'!$A$2:$I9525,2,0),"")</f>
        <v>т1</v>
      </c>
      <c r="C6578" s="12" t="str">
        <f>IFERROR(VLOOKUP(D6578,'[1]Перечень товаров'!$A$2:$I9525,3,0),"")</f>
        <v xml:space="preserve">Техника </v>
      </c>
      <c r="D6578" s="22" t="s">
        <v>28</v>
      </c>
      <c r="E6578" s="58"/>
      <c r="F6578" s="58"/>
      <c r="G6578" s="48">
        <v>1</v>
      </c>
      <c r="H6578" s="48"/>
      <c r="I6578" s="49"/>
      <c r="J6578" s="49"/>
      <c r="K6578" s="19"/>
      <c r="L6578" s="20"/>
    </row>
    <row r="6579" spans="1:12" outlineLevel="2">
      <c r="A6579" s="143"/>
      <c r="B6579" s="12" t="str">
        <f>IFERROR(VLOOKUP(D6579,'[1]Перечень товаров'!$A$2:$I9525,2,0),"")</f>
        <v>т9</v>
      </c>
      <c r="C6579" s="12" t="str">
        <f>IFERROR(VLOOKUP(D6579,'[1]Перечень товаров'!$A$2:$I9525,3,0),"")</f>
        <v>Техника</v>
      </c>
      <c r="D6579" s="143" t="s">
        <v>36</v>
      </c>
      <c r="E6579" s="58"/>
      <c r="F6579" s="58"/>
      <c r="G6579" s="48">
        <v>1</v>
      </c>
      <c r="H6579" s="48"/>
      <c r="I6579" s="49"/>
      <c r="J6579" s="49"/>
      <c r="K6579" s="19"/>
      <c r="L6579" s="20"/>
    </row>
    <row r="6580" spans="1:12" outlineLevel="2">
      <c r="A6580" s="35"/>
      <c r="B6580" s="12" t="str">
        <f>IFERROR(VLOOKUP(D6580,'[1]Перечень товаров'!$A$2:$I9525,2,0),"")</f>
        <v>т2</v>
      </c>
      <c r="C6580" s="12" t="str">
        <f>IFERROR(VLOOKUP(D6580,'[1]Перечень товаров'!$A$2:$I9525,3,0),"")</f>
        <v xml:space="preserve">Техника </v>
      </c>
      <c r="D6580" s="35" t="s">
        <v>29</v>
      </c>
      <c r="E6580" s="58"/>
      <c r="F6580" s="58"/>
      <c r="G6580" s="48">
        <v>1</v>
      </c>
      <c r="H6580" s="48"/>
      <c r="I6580" s="49"/>
      <c r="J6580" s="49"/>
      <c r="K6580" s="19"/>
      <c r="L6580" s="20"/>
    </row>
    <row r="6581" spans="1:12" outlineLevel="2">
      <c r="A6581" s="35"/>
      <c r="B6581" s="12" t="str">
        <f>IFERROR(VLOOKUP(D6581,'[1]Перечень товаров'!$A$2:$I9525,2,0),"")</f>
        <v>т3</v>
      </c>
      <c r="C6581" s="12" t="str">
        <f>IFERROR(VLOOKUP(D6581,'[1]Перечень товаров'!$A$2:$I9525,3,0),"")</f>
        <v xml:space="preserve">Техника </v>
      </c>
      <c r="D6581" s="35" t="s">
        <v>30</v>
      </c>
      <c r="E6581" s="58"/>
      <c r="F6581" s="58"/>
      <c r="G6581" s="48">
        <v>1</v>
      </c>
      <c r="H6581" s="48"/>
      <c r="I6581" s="49"/>
      <c r="J6581" s="49"/>
      <c r="K6581" s="19"/>
      <c r="L6581" s="20"/>
    </row>
    <row r="6582" spans="1:12" outlineLevel="2">
      <c r="A6582" s="35"/>
      <c r="B6582" s="12" t="str">
        <f>IFERROR(VLOOKUP(D6582,'[1]Перечень товаров'!$A$2:$I9525,2,0),"")</f>
        <v>т4</v>
      </c>
      <c r="C6582" s="12" t="str">
        <f>IFERROR(VLOOKUP(D6582,'[1]Перечень товаров'!$A$2:$I9525,3,0),"")</f>
        <v xml:space="preserve">Техника </v>
      </c>
      <c r="D6582" s="35" t="s">
        <v>31</v>
      </c>
      <c r="E6582" s="58"/>
      <c r="F6582" s="58"/>
      <c r="G6582" s="48">
        <v>1</v>
      </c>
      <c r="H6582" s="48"/>
      <c r="I6582" s="49"/>
      <c r="J6582" s="49"/>
      <c r="K6582" s="19"/>
      <c r="L6582" s="20"/>
    </row>
    <row r="6583" spans="1:12" outlineLevel="2">
      <c r="A6583" s="21"/>
      <c r="B6583" s="12" t="str">
        <f>IFERROR(VLOOKUP(D6583,'[1]Перечень товаров'!$A$2:$I9525,2,0),"")</f>
        <v>тм65</v>
      </c>
      <c r="C6583" s="12" t="str">
        <f>IFERROR(VLOOKUP(D6583,'[1]Перечень товаров'!$A$2:$I9525,3,0),"")</f>
        <v>Техника муз</v>
      </c>
      <c r="D6583" s="22" t="s">
        <v>380</v>
      </c>
      <c r="E6583" s="58"/>
      <c r="F6583" s="58"/>
      <c r="G6583" s="48">
        <v>1</v>
      </c>
      <c r="H6583" s="48"/>
      <c r="I6583" s="49"/>
      <c r="J6583" s="49"/>
      <c r="K6583" s="19"/>
      <c r="L6583" s="20"/>
    </row>
    <row r="6584" spans="1:12" outlineLevel="2">
      <c r="A6584" s="21"/>
      <c r="B6584" s="12" t="str">
        <f>IFERROR(VLOOKUP(D6584,'[1]Перечень товаров'!$A$2:$I9525,2,0),"")</f>
        <v>т12</v>
      </c>
      <c r="C6584" s="12" t="str">
        <f>IFERROR(VLOOKUP(D6584,'[1]Перечень товаров'!$A$2:$I9525,3,0),"")</f>
        <v>Техника</v>
      </c>
      <c r="D6584" s="22" t="s">
        <v>49</v>
      </c>
      <c r="E6584" s="58"/>
      <c r="F6584" s="58"/>
      <c r="G6584" s="48">
        <v>1</v>
      </c>
      <c r="H6584" s="48"/>
      <c r="I6584" s="49"/>
      <c r="J6584" s="49"/>
      <c r="K6584" s="19"/>
      <c r="L6584" s="20"/>
    </row>
    <row r="6585" spans="1:12" outlineLevel="2">
      <c r="A6585" s="35"/>
      <c r="B6585" s="12" t="str">
        <f>IFERROR(VLOOKUP(D6585,'[1]Перечень товаров'!$A$2:$I9525,2,0),"")</f>
        <v>т6</v>
      </c>
      <c r="C6585" s="12" t="str">
        <f>IFERROR(VLOOKUP(D6585,'[1]Перечень товаров'!$A$2:$I9525,3,0),"")</f>
        <v xml:space="preserve">Техника </v>
      </c>
      <c r="D6585" s="35" t="s">
        <v>33</v>
      </c>
      <c r="E6585" s="58"/>
      <c r="F6585" s="58"/>
      <c r="G6585" s="48">
        <v>1</v>
      </c>
      <c r="H6585" s="48"/>
      <c r="I6585" s="49"/>
      <c r="J6585" s="49"/>
      <c r="K6585" s="19"/>
      <c r="L6585" s="20"/>
    </row>
    <row r="6586" spans="1:12" outlineLevel="2">
      <c r="A6586" s="21"/>
      <c r="B6586" s="12" t="str">
        <f>IFERROR(VLOOKUP(D6586,'[1]Перечень товаров'!$A$2:$I9525,2,0),"")</f>
        <v>т7</v>
      </c>
      <c r="C6586" s="12" t="str">
        <f>IFERROR(VLOOKUP(D6586,'[1]Перечень товаров'!$A$2:$I9525,3,0),"")</f>
        <v xml:space="preserve">Техника </v>
      </c>
      <c r="D6586" s="22" t="s">
        <v>34</v>
      </c>
      <c r="E6586" s="58"/>
      <c r="F6586" s="58"/>
      <c r="G6586" s="48">
        <v>3</v>
      </c>
      <c r="H6586" s="48"/>
      <c r="I6586" s="49"/>
      <c r="J6586" s="49"/>
      <c r="K6586" s="19"/>
      <c r="L6586" s="20"/>
    </row>
    <row r="6587" spans="1:12" outlineLevel="2">
      <c r="A6587" s="28"/>
      <c r="B6587" s="12" t="str">
        <f>IFERROR(VLOOKUP(D6587,'[1]Перечень товаров'!$A$2:$I9525,2,0),"")</f>
        <v>т161</v>
      </c>
      <c r="C6587" s="12" t="str">
        <f>IFERROR(VLOOKUP(D6587,'[1]Перечень товаров'!$A$2:$I9525,3,0),"")</f>
        <v xml:space="preserve">Техника </v>
      </c>
      <c r="D6587" s="29" t="s">
        <v>381</v>
      </c>
      <c r="E6587" s="30"/>
      <c r="F6587" s="30"/>
      <c r="G6587" s="59">
        <v>1</v>
      </c>
      <c r="H6587" s="59"/>
      <c r="I6587" s="60"/>
      <c r="J6587" s="60"/>
      <c r="K6587" s="19"/>
      <c r="L6587" s="20"/>
    </row>
    <row r="6588" spans="1:12" outlineLevel="2">
      <c r="A6588" s="113"/>
      <c r="B6588" s="12" t="str">
        <f>IFERROR(VLOOKUP(D6588,'[1]Перечень товаров'!$A$2:$I9525,2,0),"")</f>
        <v/>
      </c>
      <c r="C6588" s="12" t="str">
        <f>IFERROR(VLOOKUP(D6588,'[1]Перечень товаров'!$A$2:$I9525,3,0),"")</f>
        <v/>
      </c>
      <c r="D6588" s="114" t="s">
        <v>19</v>
      </c>
      <c r="E6588" s="258"/>
      <c r="F6588" s="258"/>
      <c r="G6588" s="59"/>
      <c r="H6588" s="59"/>
      <c r="I6588" s="60"/>
      <c r="J6588" s="60"/>
      <c r="K6588" s="19"/>
      <c r="L6588" s="20"/>
    </row>
    <row r="6589" spans="1:12" outlineLevel="2">
      <c r="A6589" s="34"/>
      <c r="B6589" s="12" t="str">
        <f>IFERROR(VLOOKUP(D6589,'[1]Перечень товаров'!$A$2:$I9525,2,0),"")</f>
        <v>м62</v>
      </c>
      <c r="C6589" s="12" t="str">
        <f>IFERROR(VLOOKUP(D6589,'[1]Перечень товаров'!$A$2:$I9525,3,0),"")</f>
        <v>Мебель</v>
      </c>
      <c r="D6589" s="35" t="s">
        <v>398</v>
      </c>
      <c r="E6589" s="88"/>
      <c r="F6589" s="88"/>
      <c r="G6589" s="59">
        <v>1</v>
      </c>
      <c r="H6589" s="59"/>
      <c r="I6589" s="60"/>
      <c r="J6589" s="60"/>
      <c r="K6589" s="19"/>
      <c r="L6589" s="20"/>
    </row>
    <row r="6590" spans="1:12" outlineLevel="2">
      <c r="A6590" s="34"/>
      <c r="B6590" s="12" t="str">
        <f>IFERROR(VLOOKUP(D6590,'[1]Перечень товаров'!$A$2:$I9525,2,0),"")</f>
        <v>м61</v>
      </c>
      <c r="C6590" s="12" t="str">
        <f>IFERROR(VLOOKUP(D6590,'[1]Перечень товаров'!$A$2:$I9525,3,0),"")</f>
        <v>Мебель</v>
      </c>
      <c r="D6590" s="35" t="s">
        <v>383</v>
      </c>
      <c r="E6590" s="88"/>
      <c r="F6590" s="88"/>
      <c r="G6590" s="59">
        <v>1</v>
      </c>
      <c r="H6590" s="59"/>
      <c r="I6590" s="60"/>
      <c r="J6590" s="60"/>
      <c r="K6590" s="19"/>
      <c r="L6590" s="20"/>
    </row>
    <row r="6591" spans="1:12" outlineLevel="2">
      <c r="A6591" s="34"/>
      <c r="B6591" s="12" t="str">
        <f>IFERROR(VLOOKUP(D6591,'[1]Перечень товаров'!$A$2:$I9525,2,0),"")</f>
        <v>м61</v>
      </c>
      <c r="C6591" s="12" t="str">
        <f>IFERROR(VLOOKUP(D6591,'[1]Перечень товаров'!$A$2:$I9525,3,0),"")</f>
        <v>Мебель</v>
      </c>
      <c r="D6591" s="35" t="s">
        <v>384</v>
      </c>
      <c r="E6591" s="88"/>
      <c r="F6591" s="88"/>
      <c r="G6591" s="59">
        <v>5</v>
      </c>
      <c r="H6591" s="59"/>
      <c r="I6591" s="60"/>
      <c r="J6591" s="60"/>
      <c r="K6591" s="19"/>
      <c r="L6591" s="20"/>
    </row>
    <row r="6592" spans="1:12" outlineLevel="2">
      <c r="A6592" s="21"/>
      <c r="B6592" s="12" t="str">
        <f>IFERROR(VLOOKUP(D6592,'[1]Перечень товаров'!$A$2:$I9525,2,0),"")</f>
        <v>м13</v>
      </c>
      <c r="C6592" s="12" t="str">
        <f>IFERROR(VLOOKUP(D6592,'[1]Перечень товаров'!$A$2:$I9525,3,0),"")</f>
        <v>Мебель</v>
      </c>
      <c r="D6592" s="22" t="s">
        <v>42</v>
      </c>
      <c r="E6592" s="58"/>
      <c r="F6592" s="58"/>
      <c r="G6592" s="24">
        <v>1</v>
      </c>
      <c r="H6592" s="24"/>
      <c r="I6592" s="25"/>
      <c r="J6592" s="25"/>
      <c r="K6592" s="19"/>
      <c r="L6592" s="20"/>
    </row>
    <row r="6593" spans="1:12" outlineLevel="2">
      <c r="A6593" s="21"/>
      <c r="B6593" s="12" t="str">
        <f>IFERROR(VLOOKUP(D6593,'[1]Перечень товаров'!$A$2:$I9525,2,0),"")</f>
        <v>м14</v>
      </c>
      <c r="C6593" s="12" t="str">
        <f>IFERROR(VLOOKUP(D6593,'[1]Перечень товаров'!$A$2:$I9525,3,0),"")</f>
        <v>Мебель</v>
      </c>
      <c r="D6593" s="22" t="s">
        <v>43</v>
      </c>
      <c r="E6593" s="58"/>
      <c r="F6593" s="58"/>
      <c r="G6593" s="24">
        <v>1</v>
      </c>
      <c r="H6593" s="24"/>
      <c r="I6593" s="25"/>
      <c r="J6593" s="25"/>
      <c r="K6593" s="19"/>
      <c r="L6593" s="20"/>
    </row>
    <row r="6594" spans="1:12" ht="15" outlineLevel="2">
      <c r="A6594" s="116"/>
      <c r="B6594" s="12" t="str">
        <f>IFERROR(VLOOKUP(D6594,'[1]Перечень товаров'!$A$2:$I9525,2,0),"")</f>
        <v/>
      </c>
      <c r="C6594" s="12" t="str">
        <f>IFERROR(VLOOKUP(D6594,'[1]Перечень товаров'!$A$2:$I9525,3,0),"")</f>
        <v/>
      </c>
      <c r="D6594" s="117" t="s">
        <v>391</v>
      </c>
      <c r="E6594" s="122"/>
      <c r="F6594" s="122"/>
      <c r="G6594" s="123"/>
      <c r="H6594" s="123"/>
      <c r="I6594" s="124"/>
      <c r="J6594" s="124"/>
      <c r="K6594" s="19"/>
      <c r="L6594" s="20"/>
    </row>
    <row r="6595" spans="1:12" outlineLevel="2">
      <c r="A6595" s="28"/>
      <c r="B6595" s="12" t="str">
        <f>IFERROR(VLOOKUP(D6595,'[1]Перечень товаров'!$A$2:$I9525,2,0),"")</f>
        <v>тм147</v>
      </c>
      <c r="C6595" s="12" t="str">
        <f>IFERROR(VLOOKUP(D6595,'[1]Перечень товаров'!$A$2:$I9525,3,0),"")</f>
        <v>Техника муз</v>
      </c>
      <c r="D6595" s="29" t="s">
        <v>1687</v>
      </c>
      <c r="E6595" s="30"/>
      <c r="F6595" s="30"/>
      <c r="G6595" s="31">
        <v>1</v>
      </c>
      <c r="H6595" s="31"/>
      <c r="I6595" s="32"/>
      <c r="J6595" s="32"/>
      <c r="K6595" s="19"/>
      <c r="L6595" s="20"/>
    </row>
    <row r="6596" spans="1:12" ht="31.5" outlineLevel="2">
      <c r="A6596" s="28"/>
      <c r="B6596" s="12" t="str">
        <f>IFERROR(VLOOKUP(D6596,'[1]Перечень товаров'!$A$2:$I9525,2,0),"")</f>
        <v>тм219</v>
      </c>
      <c r="C6596" s="12" t="str">
        <f>IFERROR(VLOOKUP(D6596,'[1]Перечень товаров'!$A$2:$I9525,3,0),"")</f>
        <v>Техника муз</v>
      </c>
      <c r="D6596" s="29" t="s">
        <v>1000</v>
      </c>
      <c r="E6596" s="30"/>
      <c r="F6596" s="30"/>
      <c r="G6596" s="31">
        <v>1</v>
      </c>
      <c r="H6596" s="31"/>
      <c r="I6596" s="32"/>
      <c r="J6596" s="32"/>
      <c r="K6596" s="19"/>
      <c r="L6596" s="20"/>
    </row>
    <row r="6597" spans="1:12" outlineLevel="2">
      <c r="A6597" s="28"/>
      <c r="B6597" s="12" t="str">
        <f>IFERROR(VLOOKUP(D6597,'[1]Перечень товаров'!$A$2:$I9525,2,0),"")</f>
        <v>м175</v>
      </c>
      <c r="C6597" s="12" t="str">
        <f>IFERROR(VLOOKUP(D6597,'[1]Перечень товаров'!$A$2:$I9525,3,0),"")</f>
        <v>мебель</v>
      </c>
      <c r="D6597" s="29" t="s">
        <v>1001</v>
      </c>
      <c r="E6597" s="30"/>
      <c r="F6597" s="30"/>
      <c r="G6597" s="31">
        <v>2</v>
      </c>
      <c r="H6597" s="31"/>
      <c r="I6597" s="32"/>
      <c r="J6597" s="32"/>
      <c r="K6597" s="19"/>
      <c r="L6597" s="20"/>
    </row>
    <row r="6598" spans="1:12" outlineLevel="2">
      <c r="A6598" s="28"/>
      <c r="B6598" s="12" t="str">
        <f>IFERROR(VLOOKUP(D6598,'[1]Перечень товаров'!$A$2:$I9525,2,0),"")</f>
        <v>д246</v>
      </c>
      <c r="C6598" s="12" t="str">
        <f>IFERROR(VLOOKUP(D6598,'[1]Перечень товаров'!$A$2:$I9525,3,0),"")</f>
        <v>Дидактика</v>
      </c>
      <c r="D6598" s="29" t="s">
        <v>1688</v>
      </c>
      <c r="E6598" s="30"/>
      <c r="F6598" s="30"/>
      <c r="G6598" s="31">
        <v>1</v>
      </c>
      <c r="H6598" s="31"/>
      <c r="I6598" s="32"/>
      <c r="J6598" s="32"/>
      <c r="K6598" s="19"/>
      <c r="L6598" s="20"/>
    </row>
    <row r="6599" spans="1:12" outlineLevel="2">
      <c r="A6599" s="28"/>
      <c r="B6599" s="12" t="str">
        <f>IFERROR(VLOOKUP(D6599,'[1]Перечень товаров'!$A$2:$I9525,2,0),"")</f>
        <v>пм167</v>
      </c>
      <c r="C6599" s="12" t="str">
        <f>IFERROR(VLOOKUP(D6599,'[1]Перечень товаров'!$A$2:$I9525,3,0),"")</f>
        <v>прочее муз</v>
      </c>
      <c r="D6599" s="29" t="s">
        <v>1136</v>
      </c>
      <c r="E6599" s="30"/>
      <c r="F6599" s="30"/>
      <c r="G6599" s="31">
        <v>1</v>
      </c>
      <c r="H6599" s="31"/>
      <c r="I6599" s="32"/>
      <c r="J6599" s="32"/>
      <c r="K6599" s="19"/>
      <c r="L6599" s="20"/>
    </row>
    <row r="6600" spans="1:12" outlineLevel="2">
      <c r="A6600" s="28"/>
      <c r="B6600" s="12" t="str">
        <f>IFERROR(VLOOKUP(D6600,'[1]Перечень товаров'!$A$2:$I9525,2,0),"")</f>
        <v>пм108</v>
      </c>
      <c r="C6600" s="12" t="str">
        <f>IFERROR(VLOOKUP(D6600,'[1]Перечень товаров'!$A$2:$I9525,3,0),"")</f>
        <v>прочее муз</v>
      </c>
      <c r="D6600" s="29" t="s">
        <v>1689</v>
      </c>
      <c r="E6600" s="30"/>
      <c r="F6600" s="30"/>
      <c r="G6600" s="31">
        <v>1</v>
      </c>
      <c r="H6600" s="31"/>
      <c r="I6600" s="32"/>
      <c r="J6600" s="32"/>
      <c r="K6600" s="19"/>
      <c r="L6600" s="20"/>
    </row>
    <row r="6601" spans="1:12" ht="15" outlineLevel="2">
      <c r="A6601" s="54"/>
      <c r="B6601" s="12" t="str">
        <f>IFERROR(VLOOKUP(D6601,'[1]Перечень товаров'!$A$2:$I9525,2,0),"")</f>
        <v/>
      </c>
      <c r="C6601" s="12" t="str">
        <f>IFERROR(VLOOKUP(D6601,'[1]Перечень товаров'!$A$2:$I9525,3,0),"")</f>
        <v/>
      </c>
      <c r="D6601" s="55" t="s">
        <v>45</v>
      </c>
      <c r="E6601" s="56"/>
      <c r="F6601" s="56"/>
      <c r="G6601" s="17"/>
      <c r="H6601" s="17"/>
      <c r="I6601" s="57"/>
      <c r="J6601" s="57"/>
      <c r="K6601" s="19"/>
      <c r="L6601" s="20"/>
    </row>
    <row r="6602" spans="1:12" outlineLevel="2">
      <c r="A6602" s="21"/>
      <c r="B6602" s="12" t="str">
        <f>IFERROR(VLOOKUP(D6602,'[1]Перечень товаров'!$A$2:$I9525,2,0),"")</f>
        <v>п2</v>
      </c>
      <c r="C6602" s="12" t="str">
        <f>IFERROR(VLOOKUP(D6602,'[1]Перечень товаров'!$A$2:$I9525,3,0),"")</f>
        <v>Прочее</v>
      </c>
      <c r="D6602" s="22" t="s">
        <v>46</v>
      </c>
      <c r="E6602" s="58"/>
      <c r="F6602" s="58"/>
      <c r="G6602" s="24">
        <v>1</v>
      </c>
      <c r="H6602" s="24"/>
      <c r="I6602" s="25"/>
      <c r="J6602" s="25"/>
      <c r="K6602" s="19"/>
      <c r="L6602" s="20"/>
    </row>
    <row r="6603" spans="1:12" outlineLevel="2">
      <c r="A6603" s="43"/>
      <c r="B6603" s="12" t="str">
        <f>IFERROR(VLOOKUP(D6603,'[1]Перечень товаров'!$A$2:$I9525,2,0),"")</f>
        <v>м7</v>
      </c>
      <c r="C6603" s="12" t="str">
        <f>IFERROR(VLOOKUP(D6603,'[1]Перечень товаров'!$A$2:$I9525,3,0),"")</f>
        <v>Мебель</v>
      </c>
      <c r="D6603" s="44" t="s">
        <v>24</v>
      </c>
      <c r="E6603" s="30"/>
      <c r="F6603" s="30"/>
      <c r="G6603" s="59">
        <v>1</v>
      </c>
      <c r="H6603" s="59"/>
      <c r="I6603" s="60"/>
      <c r="J6603" s="60"/>
      <c r="K6603" s="19"/>
      <c r="L6603" s="20"/>
    </row>
    <row r="6604" spans="1:12" outlineLevel="2">
      <c r="A6604" s="43"/>
      <c r="B6604" s="12" t="str">
        <f>IFERROR(VLOOKUP(D6604,'[1]Перечень товаров'!$A$2:$I9525,2,0),"")</f>
        <v>п1</v>
      </c>
      <c r="C6604" s="12" t="str">
        <f>IFERROR(VLOOKUP(D6604,'[1]Перечень товаров'!$A$2:$I9525,3,0),"")</f>
        <v>Прочее</v>
      </c>
      <c r="D6604" s="44" t="s">
        <v>37</v>
      </c>
      <c r="E6604" s="30"/>
      <c r="F6604" s="30"/>
      <c r="G6604" s="59">
        <v>1</v>
      </c>
      <c r="H6604" s="59"/>
      <c r="I6604" s="60"/>
      <c r="J6604" s="60"/>
      <c r="K6604" s="19"/>
      <c r="L6604" s="20"/>
    </row>
    <row r="6605" spans="1:12" ht="12.75" outlineLevel="1">
      <c r="A6605" s="89"/>
      <c r="B6605" s="12" t="str">
        <f>IFERROR(VLOOKUP(D6605,'[1]Перечень товаров'!$A$2:$I9525,2,0),"")</f>
        <v/>
      </c>
      <c r="C6605" s="12" t="str">
        <f>IFERROR(VLOOKUP(D6605,'[1]Перечень товаров'!$A$2:$I9525,3,0),"")</f>
        <v/>
      </c>
      <c r="D6605" s="90" t="s">
        <v>1686</v>
      </c>
      <c r="E6605" s="91" t="s">
        <v>396</v>
      </c>
      <c r="F6605" s="91"/>
      <c r="G6605" s="17"/>
      <c r="H6605" s="17"/>
      <c r="I6605" s="57"/>
      <c r="J6605" s="57"/>
      <c r="K6605" s="19"/>
      <c r="L6605" s="20"/>
    </row>
    <row r="6606" spans="1:12" ht="15" outlineLevel="2">
      <c r="A6606" s="109"/>
      <c r="B6606" s="12" t="str">
        <f>IFERROR(VLOOKUP(D6606,'[1]Перечень товаров'!$A$2:$I9525,2,0),"")</f>
        <v/>
      </c>
      <c r="C6606" s="12" t="str">
        <f>IFERROR(VLOOKUP(D6606,'[1]Перечень товаров'!$A$2:$I9525,3,0),"")</f>
        <v/>
      </c>
      <c r="D6606" s="110" t="s">
        <v>27</v>
      </c>
      <c r="E6606" s="56"/>
      <c r="F6606" s="56"/>
      <c r="G6606" s="111"/>
      <c r="H6606" s="111"/>
      <c r="I6606" s="112"/>
      <c r="J6606" s="112"/>
      <c r="K6606" s="19"/>
      <c r="L6606" s="20"/>
    </row>
    <row r="6607" spans="1:12" outlineLevel="2">
      <c r="A6607" s="21"/>
      <c r="B6607" s="12" t="str">
        <f>IFERROR(VLOOKUP(D6607,'[1]Перечень товаров'!$A$2:$I9525,2,0),"")</f>
        <v>т1</v>
      </c>
      <c r="C6607" s="12" t="str">
        <f>IFERROR(VLOOKUP(D6607,'[1]Перечень товаров'!$A$2:$I9525,3,0),"")</f>
        <v xml:space="preserve">Техника </v>
      </c>
      <c r="D6607" s="22" t="s">
        <v>28</v>
      </c>
      <c r="E6607" s="58"/>
      <c r="F6607" s="58"/>
      <c r="G6607" s="48">
        <v>1</v>
      </c>
      <c r="H6607" s="48"/>
      <c r="I6607" s="49"/>
      <c r="J6607" s="49"/>
      <c r="K6607" s="19"/>
      <c r="L6607" s="20"/>
    </row>
    <row r="6608" spans="1:12" outlineLevel="2">
      <c r="A6608" s="143"/>
      <c r="B6608" s="12" t="str">
        <f>IFERROR(VLOOKUP(D6608,'[1]Перечень товаров'!$A$2:$I9525,2,0),"")</f>
        <v>т9</v>
      </c>
      <c r="C6608" s="12" t="str">
        <f>IFERROR(VLOOKUP(D6608,'[1]Перечень товаров'!$A$2:$I9525,3,0),"")</f>
        <v>Техника</v>
      </c>
      <c r="D6608" s="143" t="s">
        <v>36</v>
      </c>
      <c r="E6608" s="58"/>
      <c r="F6608" s="58"/>
      <c r="G6608" s="48">
        <v>1</v>
      </c>
      <c r="H6608" s="48"/>
      <c r="I6608" s="49"/>
      <c r="J6608" s="49"/>
      <c r="K6608" s="19"/>
      <c r="L6608" s="20"/>
    </row>
    <row r="6609" spans="1:12" outlineLevel="2">
      <c r="A6609" s="35"/>
      <c r="B6609" s="12" t="str">
        <f>IFERROR(VLOOKUP(D6609,'[1]Перечень товаров'!$A$2:$I9525,2,0),"")</f>
        <v>т2</v>
      </c>
      <c r="C6609" s="12" t="str">
        <f>IFERROR(VLOOKUP(D6609,'[1]Перечень товаров'!$A$2:$I9525,3,0),"")</f>
        <v xml:space="preserve">Техника </v>
      </c>
      <c r="D6609" s="35" t="s">
        <v>29</v>
      </c>
      <c r="E6609" s="58"/>
      <c r="F6609" s="58"/>
      <c r="G6609" s="48">
        <v>1</v>
      </c>
      <c r="H6609" s="48"/>
      <c r="I6609" s="49"/>
      <c r="J6609" s="49"/>
      <c r="K6609" s="19"/>
      <c r="L6609" s="20"/>
    </row>
    <row r="6610" spans="1:12" outlineLevel="2">
      <c r="A6610" s="35"/>
      <c r="B6610" s="12" t="str">
        <f>IFERROR(VLOOKUP(D6610,'[1]Перечень товаров'!$A$2:$I9525,2,0),"")</f>
        <v>т3</v>
      </c>
      <c r="C6610" s="12" t="str">
        <f>IFERROR(VLOOKUP(D6610,'[1]Перечень товаров'!$A$2:$I9525,3,0),"")</f>
        <v xml:space="preserve">Техника </v>
      </c>
      <c r="D6610" s="35" t="s">
        <v>30</v>
      </c>
      <c r="E6610" s="58"/>
      <c r="F6610" s="58"/>
      <c r="G6610" s="48">
        <v>1</v>
      </c>
      <c r="H6610" s="48"/>
      <c r="I6610" s="49"/>
      <c r="J6610" s="49"/>
      <c r="K6610" s="19"/>
      <c r="L6610" s="20"/>
    </row>
    <row r="6611" spans="1:12" outlineLevel="2">
      <c r="A6611" s="35"/>
      <c r="B6611" s="12" t="str">
        <f>IFERROR(VLOOKUP(D6611,'[1]Перечень товаров'!$A$2:$I9525,2,0),"")</f>
        <v>т4</v>
      </c>
      <c r="C6611" s="12" t="str">
        <f>IFERROR(VLOOKUP(D6611,'[1]Перечень товаров'!$A$2:$I9525,3,0),"")</f>
        <v xml:space="preserve">Техника </v>
      </c>
      <c r="D6611" s="35" t="s">
        <v>31</v>
      </c>
      <c r="E6611" s="58"/>
      <c r="F6611" s="58"/>
      <c r="G6611" s="48">
        <v>1</v>
      </c>
      <c r="H6611" s="48"/>
      <c r="I6611" s="49"/>
      <c r="J6611" s="49"/>
      <c r="K6611" s="19"/>
      <c r="L6611" s="20"/>
    </row>
    <row r="6612" spans="1:12" outlineLevel="2">
      <c r="A6612" s="21"/>
      <c r="B6612" s="12" t="str">
        <f>IFERROR(VLOOKUP(D6612,'[1]Перечень товаров'!$A$2:$I9525,2,0),"")</f>
        <v>тм65</v>
      </c>
      <c r="C6612" s="12" t="str">
        <f>IFERROR(VLOOKUP(D6612,'[1]Перечень товаров'!$A$2:$I9525,3,0),"")</f>
        <v>Техника муз</v>
      </c>
      <c r="D6612" s="22" t="s">
        <v>380</v>
      </c>
      <c r="E6612" s="58"/>
      <c r="F6612" s="58"/>
      <c r="G6612" s="48">
        <v>1</v>
      </c>
      <c r="H6612" s="48"/>
      <c r="I6612" s="49"/>
      <c r="J6612" s="49"/>
      <c r="K6612" s="19"/>
      <c r="L6612" s="20"/>
    </row>
    <row r="6613" spans="1:12" outlineLevel="2">
      <c r="A6613" s="21"/>
      <c r="B6613" s="12" t="str">
        <f>IFERROR(VLOOKUP(D6613,'[1]Перечень товаров'!$A$2:$I9525,2,0),"")</f>
        <v>т12</v>
      </c>
      <c r="C6613" s="12" t="str">
        <f>IFERROR(VLOOKUP(D6613,'[1]Перечень товаров'!$A$2:$I9525,3,0),"")</f>
        <v>Техника</v>
      </c>
      <c r="D6613" s="22" t="s">
        <v>49</v>
      </c>
      <c r="E6613" s="58"/>
      <c r="F6613" s="58"/>
      <c r="G6613" s="48">
        <v>1</v>
      </c>
      <c r="H6613" s="48"/>
      <c r="I6613" s="49"/>
      <c r="J6613" s="49"/>
      <c r="K6613" s="19"/>
      <c r="L6613" s="20"/>
    </row>
    <row r="6614" spans="1:12" outlineLevel="2">
      <c r="A6614" s="35"/>
      <c r="B6614" s="12" t="str">
        <f>IFERROR(VLOOKUP(D6614,'[1]Перечень товаров'!$A$2:$I9525,2,0),"")</f>
        <v>т6</v>
      </c>
      <c r="C6614" s="12" t="str">
        <f>IFERROR(VLOOKUP(D6614,'[1]Перечень товаров'!$A$2:$I9525,3,0),"")</f>
        <v xml:space="preserve">Техника </v>
      </c>
      <c r="D6614" s="35" t="s">
        <v>33</v>
      </c>
      <c r="E6614" s="58"/>
      <c r="F6614" s="58"/>
      <c r="G6614" s="48">
        <v>1</v>
      </c>
      <c r="H6614" s="48"/>
      <c r="I6614" s="49"/>
      <c r="J6614" s="49"/>
      <c r="K6614" s="19"/>
      <c r="L6614" s="20"/>
    </row>
    <row r="6615" spans="1:12" outlineLevel="2">
      <c r="A6615" s="21"/>
      <c r="B6615" s="12" t="str">
        <f>IFERROR(VLOOKUP(D6615,'[1]Перечень товаров'!$A$2:$I9525,2,0),"")</f>
        <v>т7</v>
      </c>
      <c r="C6615" s="12" t="str">
        <f>IFERROR(VLOOKUP(D6615,'[1]Перечень товаров'!$A$2:$I9525,3,0),"")</f>
        <v xml:space="preserve">Техника </v>
      </c>
      <c r="D6615" s="22" t="s">
        <v>34</v>
      </c>
      <c r="E6615" s="58"/>
      <c r="F6615" s="58"/>
      <c r="G6615" s="48">
        <v>3</v>
      </c>
      <c r="H6615" s="48"/>
      <c r="I6615" s="49"/>
      <c r="J6615" s="49"/>
      <c r="K6615" s="19"/>
      <c r="L6615" s="20"/>
    </row>
    <row r="6616" spans="1:12" outlineLevel="2">
      <c r="A6616" s="28"/>
      <c r="B6616" s="12" t="str">
        <f>IFERROR(VLOOKUP(D6616,'[1]Перечень товаров'!$A$2:$I9525,2,0),"")</f>
        <v>т161</v>
      </c>
      <c r="C6616" s="12" t="str">
        <f>IFERROR(VLOOKUP(D6616,'[1]Перечень товаров'!$A$2:$I9525,3,0),"")</f>
        <v xml:space="preserve">Техника </v>
      </c>
      <c r="D6616" s="29" t="s">
        <v>381</v>
      </c>
      <c r="E6616" s="30"/>
      <c r="F6616" s="30"/>
      <c r="G6616" s="59">
        <v>1</v>
      </c>
      <c r="H6616" s="59"/>
      <c r="I6616" s="60"/>
      <c r="J6616" s="60"/>
      <c r="K6616" s="19"/>
      <c r="L6616" s="20"/>
    </row>
    <row r="6617" spans="1:12" outlineLevel="2">
      <c r="A6617" s="113"/>
      <c r="B6617" s="12" t="str">
        <f>IFERROR(VLOOKUP(D6617,'[1]Перечень товаров'!$A$2:$I9525,2,0),"")</f>
        <v/>
      </c>
      <c r="C6617" s="12" t="str">
        <f>IFERROR(VLOOKUP(D6617,'[1]Перечень товаров'!$A$2:$I9525,3,0),"")</f>
        <v/>
      </c>
      <c r="D6617" s="114" t="s">
        <v>19</v>
      </c>
      <c r="E6617" s="258"/>
      <c r="F6617" s="258"/>
      <c r="G6617" s="59"/>
      <c r="H6617" s="59"/>
      <c r="I6617" s="60"/>
      <c r="J6617" s="60"/>
      <c r="K6617" s="19"/>
      <c r="L6617" s="20"/>
    </row>
    <row r="6618" spans="1:12" outlineLevel="2">
      <c r="A6618" s="34"/>
      <c r="B6618" s="12" t="str">
        <f>IFERROR(VLOOKUP(D6618,'[1]Перечень товаров'!$A$2:$I9525,2,0),"")</f>
        <v>м62</v>
      </c>
      <c r="C6618" s="12" t="str">
        <f>IFERROR(VLOOKUP(D6618,'[1]Перечень товаров'!$A$2:$I9525,3,0),"")</f>
        <v>Мебель</v>
      </c>
      <c r="D6618" s="35" t="s">
        <v>398</v>
      </c>
      <c r="E6618" s="88"/>
      <c r="F6618" s="88"/>
      <c r="G6618" s="59">
        <v>1</v>
      </c>
      <c r="H6618" s="59"/>
      <c r="I6618" s="60"/>
      <c r="J6618" s="60"/>
      <c r="K6618" s="19"/>
      <c r="L6618" s="20"/>
    </row>
    <row r="6619" spans="1:12" outlineLevel="2">
      <c r="A6619" s="34"/>
      <c r="B6619" s="12" t="str">
        <f>IFERROR(VLOOKUP(D6619,'[1]Перечень товаров'!$A$2:$I9525,2,0),"")</f>
        <v>м61</v>
      </c>
      <c r="C6619" s="12" t="str">
        <f>IFERROR(VLOOKUP(D6619,'[1]Перечень товаров'!$A$2:$I9525,3,0),"")</f>
        <v>Мебель</v>
      </c>
      <c r="D6619" s="35" t="s">
        <v>383</v>
      </c>
      <c r="E6619" s="88"/>
      <c r="F6619" s="88"/>
      <c r="G6619" s="59">
        <v>1</v>
      </c>
      <c r="H6619" s="59"/>
      <c r="I6619" s="60"/>
      <c r="J6619" s="60"/>
      <c r="K6619" s="19"/>
      <c r="L6619" s="20"/>
    </row>
    <row r="6620" spans="1:12" outlineLevel="2">
      <c r="A6620" s="34"/>
      <c r="B6620" s="12" t="str">
        <f>IFERROR(VLOOKUP(D6620,'[1]Перечень товаров'!$A$2:$I9525,2,0),"")</f>
        <v>м61</v>
      </c>
      <c r="C6620" s="12" t="str">
        <f>IFERROR(VLOOKUP(D6620,'[1]Перечень товаров'!$A$2:$I9525,3,0),"")</f>
        <v>Мебель</v>
      </c>
      <c r="D6620" s="35" t="s">
        <v>384</v>
      </c>
      <c r="E6620" s="88"/>
      <c r="F6620" s="88"/>
      <c r="G6620" s="59">
        <v>5</v>
      </c>
      <c r="H6620" s="59"/>
      <c r="I6620" s="60"/>
      <c r="J6620" s="60"/>
      <c r="K6620" s="19"/>
      <c r="L6620" s="20"/>
    </row>
    <row r="6621" spans="1:12" outlineLevel="2">
      <c r="A6621" s="21"/>
      <c r="B6621" s="12" t="str">
        <f>IFERROR(VLOOKUP(D6621,'[1]Перечень товаров'!$A$2:$I9525,2,0),"")</f>
        <v>м13</v>
      </c>
      <c r="C6621" s="12" t="str">
        <f>IFERROR(VLOOKUP(D6621,'[1]Перечень товаров'!$A$2:$I9525,3,0),"")</f>
        <v>Мебель</v>
      </c>
      <c r="D6621" s="22" t="s">
        <v>42</v>
      </c>
      <c r="E6621" s="58"/>
      <c r="F6621" s="58"/>
      <c r="G6621" s="24">
        <v>1</v>
      </c>
      <c r="H6621" s="24"/>
      <c r="I6621" s="25"/>
      <c r="J6621" s="25"/>
      <c r="K6621" s="19"/>
      <c r="L6621" s="20"/>
    </row>
    <row r="6622" spans="1:12" outlineLevel="2">
      <c r="A6622" s="21"/>
      <c r="B6622" s="12" t="str">
        <f>IFERROR(VLOOKUP(D6622,'[1]Перечень товаров'!$A$2:$I9525,2,0),"")</f>
        <v>м14</v>
      </c>
      <c r="C6622" s="12" t="str">
        <f>IFERROR(VLOOKUP(D6622,'[1]Перечень товаров'!$A$2:$I9525,3,0),"")</f>
        <v>Мебель</v>
      </c>
      <c r="D6622" s="22" t="s">
        <v>43</v>
      </c>
      <c r="E6622" s="58"/>
      <c r="F6622" s="58"/>
      <c r="G6622" s="24">
        <v>1</v>
      </c>
      <c r="H6622" s="24"/>
      <c r="I6622" s="25"/>
      <c r="J6622" s="25"/>
      <c r="K6622" s="19"/>
      <c r="L6622" s="20"/>
    </row>
    <row r="6623" spans="1:12" ht="15" outlineLevel="2">
      <c r="A6623" s="116"/>
      <c r="B6623" s="12" t="str">
        <f>IFERROR(VLOOKUP(D6623,'[1]Перечень товаров'!$A$2:$I9525,2,0),"")</f>
        <v/>
      </c>
      <c r="C6623" s="12" t="str">
        <f>IFERROR(VLOOKUP(D6623,'[1]Перечень товаров'!$A$2:$I9525,3,0),"")</f>
        <v/>
      </c>
      <c r="D6623" s="117" t="s">
        <v>391</v>
      </c>
      <c r="E6623" s="122"/>
      <c r="F6623" s="122"/>
      <c r="G6623" s="123"/>
      <c r="H6623" s="123"/>
      <c r="I6623" s="124"/>
      <c r="J6623" s="124"/>
      <c r="K6623" s="19"/>
      <c r="L6623" s="20"/>
    </row>
    <row r="6624" spans="1:12" outlineLevel="2">
      <c r="A6624" s="28"/>
      <c r="B6624" s="12" t="str">
        <f>IFERROR(VLOOKUP(D6624,'[1]Перечень товаров'!$A$2:$I9525,2,0),"")</f>
        <v>тм147</v>
      </c>
      <c r="C6624" s="12" t="str">
        <f>IFERROR(VLOOKUP(D6624,'[1]Перечень товаров'!$A$2:$I9525,3,0),"")</f>
        <v>Техника муз</v>
      </c>
      <c r="D6624" s="29" t="s">
        <v>1687</v>
      </c>
      <c r="E6624" s="30"/>
      <c r="F6624" s="30"/>
      <c r="G6624" s="31">
        <v>1</v>
      </c>
      <c r="H6624" s="31"/>
      <c r="I6624" s="32"/>
      <c r="J6624" s="32"/>
      <c r="K6624" s="19"/>
      <c r="L6624" s="20"/>
    </row>
    <row r="6625" spans="1:12" ht="31.5" outlineLevel="2">
      <c r="A6625" s="28"/>
      <c r="B6625" s="12" t="str">
        <f>IFERROR(VLOOKUP(D6625,'[1]Перечень товаров'!$A$2:$I9525,2,0),"")</f>
        <v>тм219</v>
      </c>
      <c r="C6625" s="12" t="str">
        <f>IFERROR(VLOOKUP(D6625,'[1]Перечень товаров'!$A$2:$I9525,3,0),"")</f>
        <v>Техника муз</v>
      </c>
      <c r="D6625" s="29" t="s">
        <v>1000</v>
      </c>
      <c r="E6625" s="30"/>
      <c r="F6625" s="30"/>
      <c r="G6625" s="31">
        <v>1</v>
      </c>
      <c r="H6625" s="31"/>
      <c r="I6625" s="32"/>
      <c r="J6625" s="32"/>
      <c r="K6625" s="19"/>
      <c r="L6625" s="20"/>
    </row>
    <row r="6626" spans="1:12" outlineLevel="2">
      <c r="A6626" s="28"/>
      <c r="B6626" s="12" t="str">
        <f>IFERROR(VLOOKUP(D6626,'[1]Перечень товаров'!$A$2:$I9525,2,0),"")</f>
        <v>м175</v>
      </c>
      <c r="C6626" s="12" t="str">
        <f>IFERROR(VLOOKUP(D6626,'[1]Перечень товаров'!$A$2:$I9525,3,0),"")</f>
        <v>мебель</v>
      </c>
      <c r="D6626" s="29" t="s">
        <v>1001</v>
      </c>
      <c r="E6626" s="30"/>
      <c r="F6626" s="30"/>
      <c r="G6626" s="31">
        <v>2</v>
      </c>
      <c r="H6626" s="31"/>
      <c r="I6626" s="32"/>
      <c r="J6626" s="32"/>
      <c r="K6626" s="19"/>
      <c r="L6626" s="20"/>
    </row>
    <row r="6627" spans="1:12" outlineLevel="2">
      <c r="A6627" s="28"/>
      <c r="B6627" s="12" t="str">
        <f>IFERROR(VLOOKUP(D6627,'[1]Перечень товаров'!$A$2:$I9525,2,0),"")</f>
        <v>д246</v>
      </c>
      <c r="C6627" s="12" t="str">
        <f>IFERROR(VLOOKUP(D6627,'[1]Перечень товаров'!$A$2:$I9525,3,0),"")</f>
        <v>Дидактика</v>
      </c>
      <c r="D6627" s="29" t="s">
        <v>1688</v>
      </c>
      <c r="E6627" s="30"/>
      <c r="F6627" s="30"/>
      <c r="G6627" s="31">
        <v>1</v>
      </c>
      <c r="H6627" s="31"/>
      <c r="I6627" s="32"/>
      <c r="J6627" s="32"/>
      <c r="K6627" s="19"/>
      <c r="L6627" s="20"/>
    </row>
    <row r="6628" spans="1:12" outlineLevel="2">
      <c r="A6628" s="28"/>
      <c r="B6628" s="12" t="str">
        <f>IFERROR(VLOOKUP(D6628,'[1]Перечень товаров'!$A$2:$I9525,2,0),"")</f>
        <v>пм167</v>
      </c>
      <c r="C6628" s="12" t="str">
        <f>IFERROR(VLOOKUP(D6628,'[1]Перечень товаров'!$A$2:$I9525,3,0),"")</f>
        <v>прочее муз</v>
      </c>
      <c r="D6628" s="29" t="s">
        <v>1136</v>
      </c>
      <c r="E6628" s="30"/>
      <c r="F6628" s="30"/>
      <c r="G6628" s="31">
        <v>1</v>
      </c>
      <c r="H6628" s="31"/>
      <c r="I6628" s="32"/>
      <c r="J6628" s="32"/>
      <c r="K6628" s="19"/>
      <c r="L6628" s="20"/>
    </row>
    <row r="6629" spans="1:12" outlineLevel="2">
      <c r="A6629" s="28"/>
      <c r="B6629" s="12" t="str">
        <f>IFERROR(VLOOKUP(D6629,'[1]Перечень товаров'!$A$2:$I9525,2,0),"")</f>
        <v>пм108</v>
      </c>
      <c r="C6629" s="12" t="str">
        <f>IFERROR(VLOOKUP(D6629,'[1]Перечень товаров'!$A$2:$I9525,3,0),"")</f>
        <v>прочее муз</v>
      </c>
      <c r="D6629" s="29" t="s">
        <v>1689</v>
      </c>
      <c r="E6629" s="30"/>
      <c r="F6629" s="30"/>
      <c r="G6629" s="31">
        <v>1</v>
      </c>
      <c r="H6629" s="31"/>
      <c r="I6629" s="32"/>
      <c r="J6629" s="32"/>
      <c r="K6629" s="19"/>
      <c r="L6629" s="20"/>
    </row>
    <row r="6630" spans="1:12" ht="15" outlineLevel="2">
      <c r="A6630" s="54"/>
      <c r="B6630" s="12" t="str">
        <f>IFERROR(VLOOKUP(D6630,'[1]Перечень товаров'!$A$2:$I9525,2,0),"")</f>
        <v/>
      </c>
      <c r="C6630" s="12" t="str">
        <f>IFERROR(VLOOKUP(D6630,'[1]Перечень товаров'!$A$2:$I9525,3,0),"")</f>
        <v/>
      </c>
      <c r="D6630" s="55" t="s">
        <v>45</v>
      </c>
      <c r="E6630" s="56"/>
      <c r="F6630" s="56"/>
      <c r="G6630" s="17"/>
      <c r="H6630" s="17"/>
      <c r="I6630" s="57"/>
      <c r="J6630" s="57"/>
      <c r="K6630" s="19"/>
      <c r="L6630" s="20"/>
    </row>
    <row r="6631" spans="1:12" outlineLevel="2">
      <c r="A6631" s="21"/>
      <c r="B6631" s="12" t="str">
        <f>IFERROR(VLOOKUP(D6631,'[1]Перечень товаров'!$A$2:$I9525,2,0),"")</f>
        <v>п2</v>
      </c>
      <c r="C6631" s="12" t="str">
        <f>IFERROR(VLOOKUP(D6631,'[1]Перечень товаров'!$A$2:$I9525,3,0),"")</f>
        <v>Прочее</v>
      </c>
      <c r="D6631" s="22" t="s">
        <v>46</v>
      </c>
      <c r="E6631" s="58"/>
      <c r="F6631" s="58"/>
      <c r="G6631" s="24">
        <v>1</v>
      </c>
      <c r="H6631" s="24"/>
      <c r="I6631" s="25"/>
      <c r="J6631" s="25"/>
      <c r="K6631" s="19"/>
      <c r="L6631" s="20"/>
    </row>
    <row r="6632" spans="1:12" outlineLevel="2">
      <c r="A6632" s="43"/>
      <c r="B6632" s="12" t="str">
        <f>IFERROR(VLOOKUP(D6632,'[1]Перечень товаров'!$A$2:$I9525,2,0),"")</f>
        <v>м7</v>
      </c>
      <c r="C6632" s="12" t="str">
        <f>IFERROR(VLOOKUP(D6632,'[1]Перечень товаров'!$A$2:$I9525,3,0),"")</f>
        <v>Мебель</v>
      </c>
      <c r="D6632" s="44" t="s">
        <v>24</v>
      </c>
      <c r="E6632" s="30"/>
      <c r="F6632" s="30"/>
      <c r="G6632" s="59">
        <v>1</v>
      </c>
      <c r="H6632" s="59"/>
      <c r="I6632" s="60"/>
      <c r="J6632" s="60"/>
      <c r="K6632" s="19"/>
      <c r="L6632" s="20"/>
    </row>
    <row r="6633" spans="1:12" outlineLevel="2">
      <c r="A6633" s="43"/>
      <c r="B6633" s="12" t="str">
        <f>IFERROR(VLOOKUP(D6633,'[1]Перечень товаров'!$A$2:$I9525,2,0),"")</f>
        <v>п1</v>
      </c>
      <c r="C6633" s="12" t="str">
        <f>IFERROR(VLOOKUP(D6633,'[1]Перечень товаров'!$A$2:$I9525,3,0),"")</f>
        <v>Прочее</v>
      </c>
      <c r="D6633" s="44" t="s">
        <v>37</v>
      </c>
      <c r="E6633" s="30"/>
      <c r="F6633" s="30"/>
      <c r="G6633" s="59">
        <v>1</v>
      </c>
      <c r="H6633" s="59"/>
      <c r="I6633" s="60"/>
      <c r="J6633" s="60"/>
      <c r="K6633" s="19"/>
      <c r="L6633" s="20"/>
    </row>
    <row r="6634" spans="1:12" ht="12.75" outlineLevel="1">
      <c r="A6634" s="89"/>
      <c r="B6634" s="12" t="str">
        <f>IFERROR(VLOOKUP(D6634,'[1]Перечень товаров'!$A$2:$I9525,2,0),"")</f>
        <v/>
      </c>
      <c r="C6634" s="12" t="str">
        <f>IFERROR(VLOOKUP(D6634,'[1]Перечень товаров'!$A$2:$I9525,3,0),"")</f>
        <v/>
      </c>
      <c r="D6634" s="90" t="s">
        <v>1686</v>
      </c>
      <c r="E6634" s="108">
        <v>46134</v>
      </c>
      <c r="F6634" s="108"/>
      <c r="G6634" s="100"/>
      <c r="H6634" s="100"/>
      <c r="I6634" s="101"/>
      <c r="J6634" s="101"/>
      <c r="K6634" s="19"/>
      <c r="L6634" s="20"/>
    </row>
    <row r="6635" spans="1:12" ht="15" outlineLevel="2">
      <c r="A6635" s="109"/>
      <c r="B6635" s="12" t="str">
        <f>IFERROR(VLOOKUP(D6635,'[1]Перечень товаров'!$A$2:$I9525,2,0),"")</f>
        <v/>
      </c>
      <c r="C6635" s="12" t="str">
        <f>IFERROR(VLOOKUP(D6635,'[1]Перечень товаров'!$A$2:$I9525,3,0),"")</f>
        <v/>
      </c>
      <c r="D6635" s="110" t="s">
        <v>27</v>
      </c>
      <c r="E6635" s="56"/>
      <c r="F6635" s="56"/>
      <c r="G6635" s="111"/>
      <c r="H6635" s="111"/>
      <c r="I6635" s="112"/>
      <c r="J6635" s="112"/>
      <c r="K6635" s="19"/>
      <c r="L6635" s="20"/>
    </row>
    <row r="6636" spans="1:12" outlineLevel="2">
      <c r="A6636" s="21"/>
      <c r="B6636" s="12" t="str">
        <f>IFERROR(VLOOKUP(D6636,'[1]Перечень товаров'!$A$2:$I9525,2,0),"")</f>
        <v>т1</v>
      </c>
      <c r="C6636" s="12" t="str">
        <f>IFERROR(VLOOKUP(D6636,'[1]Перечень товаров'!$A$2:$I9525,3,0),"")</f>
        <v xml:space="preserve">Техника </v>
      </c>
      <c r="D6636" s="22" t="s">
        <v>28</v>
      </c>
      <c r="E6636" s="58"/>
      <c r="F6636" s="58"/>
      <c r="G6636" s="48">
        <v>1</v>
      </c>
      <c r="H6636" s="48"/>
      <c r="I6636" s="49"/>
      <c r="J6636" s="49"/>
      <c r="K6636" s="19"/>
      <c r="L6636" s="20"/>
    </row>
    <row r="6637" spans="1:12" outlineLevel="2">
      <c r="A6637" s="143"/>
      <c r="B6637" s="12" t="str">
        <f>IFERROR(VLOOKUP(D6637,'[1]Перечень товаров'!$A$2:$I9525,2,0),"")</f>
        <v>т9</v>
      </c>
      <c r="C6637" s="12" t="str">
        <f>IFERROR(VLOOKUP(D6637,'[1]Перечень товаров'!$A$2:$I9525,3,0),"")</f>
        <v>Техника</v>
      </c>
      <c r="D6637" s="143" t="s">
        <v>36</v>
      </c>
      <c r="E6637" s="58"/>
      <c r="F6637" s="58"/>
      <c r="G6637" s="48">
        <v>1</v>
      </c>
      <c r="H6637" s="48"/>
      <c r="I6637" s="49"/>
      <c r="J6637" s="49"/>
      <c r="K6637" s="19"/>
      <c r="L6637" s="20"/>
    </row>
    <row r="6638" spans="1:12" outlineLevel="2">
      <c r="A6638" s="35"/>
      <c r="B6638" s="12" t="str">
        <f>IFERROR(VLOOKUP(D6638,'[1]Перечень товаров'!$A$2:$I9525,2,0),"")</f>
        <v>т2</v>
      </c>
      <c r="C6638" s="12" t="str">
        <f>IFERROR(VLOOKUP(D6638,'[1]Перечень товаров'!$A$2:$I9525,3,0),"")</f>
        <v xml:space="preserve">Техника </v>
      </c>
      <c r="D6638" s="35" t="s">
        <v>29</v>
      </c>
      <c r="E6638" s="58"/>
      <c r="F6638" s="58"/>
      <c r="G6638" s="48">
        <v>1</v>
      </c>
      <c r="H6638" s="48"/>
      <c r="I6638" s="49"/>
      <c r="J6638" s="49"/>
      <c r="K6638" s="19"/>
      <c r="L6638" s="20"/>
    </row>
    <row r="6639" spans="1:12" outlineLevel="2">
      <c r="A6639" s="35"/>
      <c r="B6639" s="12" t="str">
        <f>IFERROR(VLOOKUP(D6639,'[1]Перечень товаров'!$A$2:$I9525,2,0),"")</f>
        <v>т3</v>
      </c>
      <c r="C6639" s="12" t="str">
        <f>IFERROR(VLOOKUP(D6639,'[1]Перечень товаров'!$A$2:$I9525,3,0),"")</f>
        <v xml:space="preserve">Техника </v>
      </c>
      <c r="D6639" s="35" t="s">
        <v>30</v>
      </c>
      <c r="E6639" s="58"/>
      <c r="F6639" s="58"/>
      <c r="G6639" s="48">
        <v>1</v>
      </c>
      <c r="H6639" s="48"/>
      <c r="I6639" s="49"/>
      <c r="J6639" s="49"/>
      <c r="K6639" s="19"/>
      <c r="L6639" s="20"/>
    </row>
    <row r="6640" spans="1:12" outlineLevel="2">
      <c r="A6640" s="35"/>
      <c r="B6640" s="12" t="str">
        <f>IFERROR(VLOOKUP(D6640,'[1]Перечень товаров'!$A$2:$I9525,2,0),"")</f>
        <v>т4</v>
      </c>
      <c r="C6640" s="12" t="str">
        <f>IFERROR(VLOOKUP(D6640,'[1]Перечень товаров'!$A$2:$I9525,3,0),"")</f>
        <v xml:space="preserve">Техника </v>
      </c>
      <c r="D6640" s="35" t="s">
        <v>31</v>
      </c>
      <c r="E6640" s="58"/>
      <c r="F6640" s="58"/>
      <c r="G6640" s="48">
        <v>1</v>
      </c>
      <c r="H6640" s="48"/>
      <c r="I6640" s="49"/>
      <c r="J6640" s="49"/>
      <c r="K6640" s="19"/>
      <c r="L6640" s="20"/>
    </row>
    <row r="6641" spans="1:12" outlineLevel="2">
      <c r="A6641" s="21"/>
      <c r="B6641" s="12" t="str">
        <f>IFERROR(VLOOKUP(D6641,'[1]Перечень товаров'!$A$2:$I9525,2,0),"")</f>
        <v>тм65</v>
      </c>
      <c r="C6641" s="12" t="str">
        <f>IFERROR(VLOOKUP(D6641,'[1]Перечень товаров'!$A$2:$I9525,3,0),"")</f>
        <v>Техника муз</v>
      </c>
      <c r="D6641" s="22" t="s">
        <v>380</v>
      </c>
      <c r="E6641" s="58"/>
      <c r="F6641" s="58"/>
      <c r="G6641" s="48">
        <v>1</v>
      </c>
      <c r="H6641" s="48"/>
      <c r="I6641" s="49"/>
      <c r="J6641" s="49"/>
      <c r="K6641" s="19"/>
      <c r="L6641" s="20"/>
    </row>
    <row r="6642" spans="1:12" outlineLevel="2">
      <c r="A6642" s="21"/>
      <c r="B6642" s="12" t="str">
        <f>IFERROR(VLOOKUP(D6642,'[1]Перечень товаров'!$A$2:$I9525,2,0),"")</f>
        <v>т12</v>
      </c>
      <c r="C6642" s="12" t="str">
        <f>IFERROR(VLOOKUP(D6642,'[1]Перечень товаров'!$A$2:$I9525,3,0),"")</f>
        <v>Техника</v>
      </c>
      <c r="D6642" s="22" t="s">
        <v>49</v>
      </c>
      <c r="E6642" s="58"/>
      <c r="F6642" s="58"/>
      <c r="G6642" s="48">
        <v>1</v>
      </c>
      <c r="H6642" s="48"/>
      <c r="I6642" s="49"/>
      <c r="J6642" s="49"/>
      <c r="K6642" s="19"/>
      <c r="L6642" s="20"/>
    </row>
    <row r="6643" spans="1:12" outlineLevel="2">
      <c r="A6643" s="35"/>
      <c r="B6643" s="12" t="str">
        <f>IFERROR(VLOOKUP(D6643,'[1]Перечень товаров'!$A$2:$I9525,2,0),"")</f>
        <v>т6</v>
      </c>
      <c r="C6643" s="12" t="str">
        <f>IFERROR(VLOOKUP(D6643,'[1]Перечень товаров'!$A$2:$I9525,3,0),"")</f>
        <v xml:space="preserve">Техника </v>
      </c>
      <c r="D6643" s="35" t="s">
        <v>33</v>
      </c>
      <c r="E6643" s="58"/>
      <c r="F6643" s="58"/>
      <c r="G6643" s="48">
        <v>1</v>
      </c>
      <c r="H6643" s="48"/>
      <c r="I6643" s="49"/>
      <c r="J6643" s="49"/>
      <c r="K6643" s="19"/>
      <c r="L6643" s="20"/>
    </row>
    <row r="6644" spans="1:12" outlineLevel="2">
      <c r="A6644" s="21"/>
      <c r="B6644" s="12" t="str">
        <f>IFERROR(VLOOKUP(D6644,'[1]Перечень товаров'!$A$2:$I9525,2,0),"")</f>
        <v>т7</v>
      </c>
      <c r="C6644" s="12" t="str">
        <f>IFERROR(VLOOKUP(D6644,'[1]Перечень товаров'!$A$2:$I9525,3,0),"")</f>
        <v xml:space="preserve">Техника </v>
      </c>
      <c r="D6644" s="22" t="s">
        <v>34</v>
      </c>
      <c r="E6644" s="58"/>
      <c r="F6644" s="58"/>
      <c r="G6644" s="48">
        <v>3</v>
      </c>
      <c r="H6644" s="48"/>
      <c r="I6644" s="49"/>
      <c r="J6644" s="49"/>
      <c r="K6644" s="19"/>
      <c r="L6644" s="20"/>
    </row>
    <row r="6645" spans="1:12" outlineLevel="2">
      <c r="A6645" s="28"/>
      <c r="B6645" s="12" t="str">
        <f>IFERROR(VLOOKUP(D6645,'[1]Перечень товаров'!$A$2:$I9525,2,0),"")</f>
        <v>т161</v>
      </c>
      <c r="C6645" s="12" t="str">
        <f>IFERROR(VLOOKUP(D6645,'[1]Перечень товаров'!$A$2:$I9525,3,0),"")</f>
        <v xml:space="preserve">Техника </v>
      </c>
      <c r="D6645" s="29" t="s">
        <v>381</v>
      </c>
      <c r="E6645" s="30"/>
      <c r="F6645" s="30"/>
      <c r="G6645" s="59">
        <v>1</v>
      </c>
      <c r="H6645" s="59"/>
      <c r="I6645" s="60"/>
      <c r="J6645" s="60"/>
      <c r="K6645" s="19"/>
      <c r="L6645" s="20"/>
    </row>
    <row r="6646" spans="1:12" outlineLevel="2">
      <c r="A6646" s="113"/>
      <c r="B6646" s="12" t="str">
        <f>IFERROR(VLOOKUP(D6646,'[1]Перечень товаров'!$A$2:$I9525,2,0),"")</f>
        <v/>
      </c>
      <c r="C6646" s="12" t="str">
        <f>IFERROR(VLOOKUP(D6646,'[1]Перечень товаров'!$A$2:$I9525,3,0),"")</f>
        <v/>
      </c>
      <c r="D6646" s="114" t="s">
        <v>19</v>
      </c>
      <c r="E6646" s="258"/>
      <c r="F6646" s="258"/>
      <c r="G6646" s="59"/>
      <c r="H6646" s="59"/>
      <c r="I6646" s="60"/>
      <c r="J6646" s="60"/>
      <c r="K6646" s="19"/>
      <c r="L6646" s="20"/>
    </row>
    <row r="6647" spans="1:12" outlineLevel="2">
      <c r="A6647" s="34"/>
      <c r="B6647" s="12" t="str">
        <f>IFERROR(VLOOKUP(D6647,'[1]Перечень товаров'!$A$2:$I9525,2,0),"")</f>
        <v>м62</v>
      </c>
      <c r="C6647" s="12" t="str">
        <f>IFERROR(VLOOKUP(D6647,'[1]Перечень товаров'!$A$2:$I9525,3,0),"")</f>
        <v>Мебель</v>
      </c>
      <c r="D6647" s="35" t="s">
        <v>398</v>
      </c>
      <c r="E6647" s="88"/>
      <c r="F6647" s="88"/>
      <c r="G6647" s="59">
        <v>1</v>
      </c>
      <c r="H6647" s="59"/>
      <c r="I6647" s="60"/>
      <c r="J6647" s="60"/>
      <c r="K6647" s="19"/>
      <c r="L6647" s="20"/>
    </row>
    <row r="6648" spans="1:12" outlineLevel="2">
      <c r="A6648" s="34"/>
      <c r="B6648" s="12" t="str">
        <f>IFERROR(VLOOKUP(D6648,'[1]Перечень товаров'!$A$2:$I9525,2,0),"")</f>
        <v>м61</v>
      </c>
      <c r="C6648" s="12" t="str">
        <f>IFERROR(VLOOKUP(D6648,'[1]Перечень товаров'!$A$2:$I9525,3,0),"")</f>
        <v>Мебель</v>
      </c>
      <c r="D6648" s="35" t="s">
        <v>383</v>
      </c>
      <c r="E6648" s="88"/>
      <c r="F6648" s="88"/>
      <c r="G6648" s="59">
        <v>1</v>
      </c>
      <c r="H6648" s="59"/>
      <c r="I6648" s="60"/>
      <c r="J6648" s="60"/>
      <c r="K6648" s="19"/>
      <c r="L6648" s="20"/>
    </row>
    <row r="6649" spans="1:12" outlineLevel="2">
      <c r="A6649" s="34"/>
      <c r="B6649" s="12" t="str">
        <f>IFERROR(VLOOKUP(D6649,'[1]Перечень товаров'!$A$2:$I9525,2,0),"")</f>
        <v>м61</v>
      </c>
      <c r="C6649" s="12" t="str">
        <f>IFERROR(VLOOKUP(D6649,'[1]Перечень товаров'!$A$2:$I9525,3,0),"")</f>
        <v>Мебель</v>
      </c>
      <c r="D6649" s="35" t="s">
        <v>384</v>
      </c>
      <c r="E6649" s="88"/>
      <c r="F6649" s="88"/>
      <c r="G6649" s="59">
        <v>5</v>
      </c>
      <c r="H6649" s="59"/>
      <c r="I6649" s="60"/>
      <c r="J6649" s="60"/>
      <c r="K6649" s="19"/>
      <c r="L6649" s="20"/>
    </row>
    <row r="6650" spans="1:12" outlineLevel="2">
      <c r="A6650" s="21"/>
      <c r="B6650" s="12" t="str">
        <f>IFERROR(VLOOKUP(D6650,'[1]Перечень товаров'!$A$2:$I9525,2,0),"")</f>
        <v>м13</v>
      </c>
      <c r="C6650" s="12" t="str">
        <f>IFERROR(VLOOKUP(D6650,'[1]Перечень товаров'!$A$2:$I9525,3,0),"")</f>
        <v>Мебель</v>
      </c>
      <c r="D6650" s="22" t="s">
        <v>42</v>
      </c>
      <c r="E6650" s="58"/>
      <c r="F6650" s="58"/>
      <c r="G6650" s="24">
        <v>1</v>
      </c>
      <c r="H6650" s="24"/>
      <c r="I6650" s="25"/>
      <c r="J6650" s="25"/>
      <c r="K6650" s="19"/>
      <c r="L6650" s="20"/>
    </row>
    <row r="6651" spans="1:12" outlineLevel="2">
      <c r="A6651" s="21"/>
      <c r="B6651" s="12" t="str">
        <f>IFERROR(VLOOKUP(D6651,'[1]Перечень товаров'!$A$2:$I9525,2,0),"")</f>
        <v>м14</v>
      </c>
      <c r="C6651" s="12" t="str">
        <f>IFERROR(VLOOKUP(D6651,'[1]Перечень товаров'!$A$2:$I9525,3,0),"")</f>
        <v>Мебель</v>
      </c>
      <c r="D6651" s="22" t="s">
        <v>43</v>
      </c>
      <c r="E6651" s="58"/>
      <c r="F6651" s="58"/>
      <c r="G6651" s="24">
        <v>1</v>
      </c>
      <c r="H6651" s="24"/>
      <c r="I6651" s="25"/>
      <c r="J6651" s="25"/>
      <c r="K6651" s="19"/>
      <c r="L6651" s="20"/>
    </row>
    <row r="6652" spans="1:12" ht="15" outlineLevel="2">
      <c r="A6652" s="116"/>
      <c r="B6652" s="12" t="str">
        <f>IFERROR(VLOOKUP(D6652,'[1]Перечень товаров'!$A$2:$I9525,2,0),"")</f>
        <v/>
      </c>
      <c r="C6652" s="12" t="str">
        <f>IFERROR(VLOOKUP(D6652,'[1]Перечень товаров'!$A$2:$I9525,3,0),"")</f>
        <v/>
      </c>
      <c r="D6652" s="117" t="s">
        <v>391</v>
      </c>
      <c r="E6652" s="122"/>
      <c r="F6652" s="122"/>
      <c r="G6652" s="123"/>
      <c r="H6652" s="123"/>
      <c r="I6652" s="124"/>
      <c r="J6652" s="124"/>
      <c r="K6652" s="19"/>
      <c r="L6652" s="20"/>
    </row>
    <row r="6653" spans="1:12" outlineLevel="2">
      <c r="A6653" s="28"/>
      <c r="B6653" s="12" t="str">
        <f>IFERROR(VLOOKUP(D6653,'[1]Перечень товаров'!$A$2:$I9525,2,0),"")</f>
        <v>тм147</v>
      </c>
      <c r="C6653" s="12" t="str">
        <f>IFERROR(VLOOKUP(D6653,'[1]Перечень товаров'!$A$2:$I9525,3,0),"")</f>
        <v>Техника муз</v>
      </c>
      <c r="D6653" s="29" t="s">
        <v>1687</v>
      </c>
      <c r="E6653" s="30"/>
      <c r="F6653" s="30"/>
      <c r="G6653" s="31">
        <v>1</v>
      </c>
      <c r="H6653" s="31"/>
      <c r="I6653" s="32"/>
      <c r="J6653" s="32"/>
      <c r="K6653" s="19"/>
      <c r="L6653" s="20"/>
    </row>
    <row r="6654" spans="1:12" ht="31.5" outlineLevel="2">
      <c r="A6654" s="28"/>
      <c r="B6654" s="12" t="str">
        <f>IFERROR(VLOOKUP(D6654,'[1]Перечень товаров'!$A$2:$I9525,2,0),"")</f>
        <v>тм219</v>
      </c>
      <c r="C6654" s="12" t="str">
        <f>IFERROR(VLOOKUP(D6654,'[1]Перечень товаров'!$A$2:$I9525,3,0),"")</f>
        <v>Техника муз</v>
      </c>
      <c r="D6654" s="29" t="s">
        <v>1000</v>
      </c>
      <c r="E6654" s="30"/>
      <c r="F6654" s="30"/>
      <c r="G6654" s="31">
        <v>1</v>
      </c>
      <c r="H6654" s="31"/>
      <c r="I6654" s="32"/>
      <c r="J6654" s="32"/>
      <c r="K6654" s="19"/>
      <c r="L6654" s="20"/>
    </row>
    <row r="6655" spans="1:12" outlineLevel="2">
      <c r="A6655" s="28"/>
      <c r="B6655" s="12" t="str">
        <f>IFERROR(VLOOKUP(D6655,'[1]Перечень товаров'!$A$2:$I9525,2,0),"")</f>
        <v>м175</v>
      </c>
      <c r="C6655" s="12" t="str">
        <f>IFERROR(VLOOKUP(D6655,'[1]Перечень товаров'!$A$2:$I9525,3,0),"")</f>
        <v>мебель</v>
      </c>
      <c r="D6655" s="29" t="s">
        <v>1001</v>
      </c>
      <c r="E6655" s="30"/>
      <c r="F6655" s="30"/>
      <c r="G6655" s="31">
        <v>2</v>
      </c>
      <c r="H6655" s="31"/>
      <c r="I6655" s="32"/>
      <c r="J6655" s="32"/>
      <c r="K6655" s="19"/>
      <c r="L6655" s="20"/>
    </row>
    <row r="6656" spans="1:12" outlineLevel="2">
      <c r="A6656" s="28"/>
      <c r="B6656" s="12" t="str">
        <f>IFERROR(VLOOKUP(D6656,'[1]Перечень товаров'!$A$2:$I9525,2,0),"")</f>
        <v>д246</v>
      </c>
      <c r="C6656" s="12" t="str">
        <f>IFERROR(VLOOKUP(D6656,'[1]Перечень товаров'!$A$2:$I9525,3,0),"")</f>
        <v>Дидактика</v>
      </c>
      <c r="D6656" s="29" t="s">
        <v>1688</v>
      </c>
      <c r="E6656" s="30"/>
      <c r="F6656" s="30"/>
      <c r="G6656" s="31">
        <v>1</v>
      </c>
      <c r="H6656" s="31"/>
      <c r="I6656" s="32"/>
      <c r="J6656" s="32"/>
      <c r="K6656" s="19"/>
      <c r="L6656" s="20"/>
    </row>
    <row r="6657" spans="1:12" outlineLevel="2">
      <c r="A6657" s="28"/>
      <c r="B6657" s="12" t="str">
        <f>IFERROR(VLOOKUP(D6657,'[1]Перечень товаров'!$A$2:$I9525,2,0),"")</f>
        <v>пм167</v>
      </c>
      <c r="C6657" s="12" t="str">
        <f>IFERROR(VLOOKUP(D6657,'[1]Перечень товаров'!$A$2:$I9525,3,0),"")</f>
        <v>прочее муз</v>
      </c>
      <c r="D6657" s="29" t="s">
        <v>1136</v>
      </c>
      <c r="E6657" s="30"/>
      <c r="F6657" s="30"/>
      <c r="G6657" s="31">
        <v>1</v>
      </c>
      <c r="H6657" s="31"/>
      <c r="I6657" s="32"/>
      <c r="J6657" s="32"/>
      <c r="K6657" s="19"/>
      <c r="L6657" s="20"/>
    </row>
    <row r="6658" spans="1:12" outlineLevel="2">
      <c r="A6658" s="28"/>
      <c r="B6658" s="12" t="str">
        <f>IFERROR(VLOOKUP(D6658,'[1]Перечень товаров'!$A$2:$I9525,2,0),"")</f>
        <v>пм108</v>
      </c>
      <c r="C6658" s="12" t="str">
        <f>IFERROR(VLOOKUP(D6658,'[1]Перечень товаров'!$A$2:$I9525,3,0),"")</f>
        <v>прочее муз</v>
      </c>
      <c r="D6658" s="29" t="s">
        <v>1689</v>
      </c>
      <c r="E6658" s="30"/>
      <c r="F6658" s="30"/>
      <c r="G6658" s="31">
        <v>1</v>
      </c>
      <c r="H6658" s="31"/>
      <c r="I6658" s="32"/>
      <c r="J6658" s="32"/>
      <c r="K6658" s="19"/>
      <c r="L6658" s="20"/>
    </row>
    <row r="6659" spans="1:12" ht="15" outlineLevel="2">
      <c r="A6659" s="54"/>
      <c r="B6659" s="12" t="str">
        <f>IFERROR(VLOOKUP(D6659,'[1]Перечень товаров'!$A$2:$I9525,2,0),"")</f>
        <v/>
      </c>
      <c r="C6659" s="12" t="str">
        <f>IFERROR(VLOOKUP(D6659,'[1]Перечень товаров'!$A$2:$I9525,3,0),"")</f>
        <v/>
      </c>
      <c r="D6659" s="55" t="s">
        <v>45</v>
      </c>
      <c r="E6659" s="56"/>
      <c r="F6659" s="56"/>
      <c r="G6659" s="17"/>
      <c r="H6659" s="17"/>
      <c r="I6659" s="57"/>
      <c r="J6659" s="57"/>
      <c r="K6659" s="19"/>
      <c r="L6659" s="20"/>
    </row>
    <row r="6660" spans="1:12" outlineLevel="2">
      <c r="A6660" s="21"/>
      <c r="B6660" s="12" t="str">
        <f>IFERROR(VLOOKUP(D6660,'[1]Перечень товаров'!$A$2:$I9525,2,0),"")</f>
        <v>п2</v>
      </c>
      <c r="C6660" s="12" t="str">
        <f>IFERROR(VLOOKUP(D6660,'[1]Перечень товаров'!$A$2:$I9525,3,0),"")</f>
        <v>Прочее</v>
      </c>
      <c r="D6660" s="22" t="s">
        <v>46</v>
      </c>
      <c r="E6660" s="58"/>
      <c r="F6660" s="58"/>
      <c r="G6660" s="24">
        <v>1</v>
      </c>
      <c r="H6660" s="24"/>
      <c r="I6660" s="25"/>
      <c r="J6660" s="25"/>
      <c r="K6660" s="19"/>
      <c r="L6660" s="20"/>
    </row>
    <row r="6661" spans="1:12" outlineLevel="2">
      <c r="A6661" s="43"/>
      <c r="B6661" s="12" t="str">
        <f>IFERROR(VLOOKUP(D6661,'[1]Перечень товаров'!$A$2:$I9525,2,0),"")</f>
        <v>м7</v>
      </c>
      <c r="C6661" s="12" t="str">
        <f>IFERROR(VLOOKUP(D6661,'[1]Перечень товаров'!$A$2:$I9525,3,0),"")</f>
        <v>Мебель</v>
      </c>
      <c r="D6661" s="44" t="s">
        <v>24</v>
      </c>
      <c r="E6661" s="30"/>
      <c r="F6661" s="30"/>
      <c r="G6661" s="59">
        <v>1</v>
      </c>
      <c r="H6661" s="59"/>
      <c r="I6661" s="60"/>
      <c r="J6661" s="60"/>
      <c r="K6661" s="19"/>
      <c r="L6661" s="20"/>
    </row>
    <row r="6662" spans="1:12" outlineLevel="2">
      <c r="A6662" s="43"/>
      <c r="B6662" s="12" t="str">
        <f>IFERROR(VLOOKUP(D6662,'[1]Перечень товаров'!$A$2:$I9525,2,0),"")</f>
        <v>п1</v>
      </c>
      <c r="C6662" s="12" t="str">
        <f>IFERROR(VLOOKUP(D6662,'[1]Перечень товаров'!$A$2:$I9525,3,0),"")</f>
        <v>Прочее</v>
      </c>
      <c r="D6662" s="44" t="s">
        <v>37</v>
      </c>
      <c r="E6662" s="30"/>
      <c r="F6662" s="30"/>
      <c r="G6662" s="59">
        <v>1</v>
      </c>
      <c r="H6662" s="59"/>
      <c r="I6662" s="60"/>
      <c r="J6662" s="60"/>
      <c r="K6662" s="19"/>
      <c r="L6662" s="20"/>
    </row>
    <row r="6663" spans="1:12" ht="12.75" outlineLevel="1">
      <c r="A6663" s="89"/>
      <c r="B6663" s="12" t="str">
        <f>IFERROR(VLOOKUP(D6663,'[1]Перечень товаров'!$A$2:$I9525,2,0),"")</f>
        <v/>
      </c>
      <c r="C6663" s="12" t="str">
        <f>IFERROR(VLOOKUP(D6663,'[1]Перечень товаров'!$A$2:$I9525,3,0),"")</f>
        <v/>
      </c>
      <c r="D6663" s="90" t="s">
        <v>1686</v>
      </c>
      <c r="E6663" s="108">
        <v>46134</v>
      </c>
      <c r="F6663" s="108"/>
      <c r="G6663" s="100"/>
      <c r="H6663" s="100"/>
      <c r="I6663" s="101"/>
      <c r="J6663" s="101"/>
      <c r="K6663" s="19"/>
      <c r="L6663" s="20"/>
    </row>
    <row r="6664" spans="1:12" ht="15" outlineLevel="2">
      <c r="A6664" s="109"/>
      <c r="B6664" s="12" t="str">
        <f>IFERROR(VLOOKUP(D6664,'[1]Перечень товаров'!$A$2:$I9525,2,0),"")</f>
        <v/>
      </c>
      <c r="C6664" s="12" t="str">
        <f>IFERROR(VLOOKUP(D6664,'[1]Перечень товаров'!$A$2:$I9525,3,0),"")</f>
        <v/>
      </c>
      <c r="D6664" s="110" t="s">
        <v>27</v>
      </c>
      <c r="E6664" s="56"/>
      <c r="F6664" s="56"/>
      <c r="G6664" s="111"/>
      <c r="H6664" s="111"/>
      <c r="I6664" s="112"/>
      <c r="J6664" s="112"/>
      <c r="K6664" s="19"/>
      <c r="L6664" s="20"/>
    </row>
    <row r="6665" spans="1:12" outlineLevel="2">
      <c r="A6665" s="21"/>
      <c r="B6665" s="12" t="str">
        <f>IFERROR(VLOOKUP(D6665,'[1]Перечень товаров'!$A$2:$I9525,2,0),"")</f>
        <v>т1</v>
      </c>
      <c r="C6665" s="12" t="str">
        <f>IFERROR(VLOOKUP(D6665,'[1]Перечень товаров'!$A$2:$I9525,3,0),"")</f>
        <v xml:space="preserve">Техника </v>
      </c>
      <c r="D6665" s="22" t="s">
        <v>28</v>
      </c>
      <c r="E6665" s="58"/>
      <c r="F6665" s="58"/>
      <c r="G6665" s="48">
        <v>1</v>
      </c>
      <c r="H6665" s="48"/>
      <c r="I6665" s="49"/>
      <c r="J6665" s="49"/>
      <c r="K6665" s="19"/>
      <c r="L6665" s="20"/>
    </row>
    <row r="6666" spans="1:12" outlineLevel="2">
      <c r="A6666" s="143"/>
      <c r="B6666" s="12" t="str">
        <f>IFERROR(VLOOKUP(D6666,'[1]Перечень товаров'!$A$2:$I9525,2,0),"")</f>
        <v>т9</v>
      </c>
      <c r="C6666" s="12" t="str">
        <f>IFERROR(VLOOKUP(D6666,'[1]Перечень товаров'!$A$2:$I9525,3,0),"")</f>
        <v>Техника</v>
      </c>
      <c r="D6666" s="143" t="s">
        <v>36</v>
      </c>
      <c r="E6666" s="58"/>
      <c r="F6666" s="58"/>
      <c r="G6666" s="48">
        <v>1</v>
      </c>
      <c r="H6666" s="48"/>
      <c r="I6666" s="49"/>
      <c r="J6666" s="49"/>
      <c r="K6666" s="19"/>
      <c r="L6666" s="20"/>
    </row>
    <row r="6667" spans="1:12" outlineLevel="2">
      <c r="A6667" s="35"/>
      <c r="B6667" s="12" t="str">
        <f>IFERROR(VLOOKUP(D6667,'[1]Перечень товаров'!$A$2:$I9525,2,0),"")</f>
        <v>т2</v>
      </c>
      <c r="C6667" s="12" t="str">
        <f>IFERROR(VLOOKUP(D6667,'[1]Перечень товаров'!$A$2:$I9525,3,0),"")</f>
        <v xml:space="preserve">Техника </v>
      </c>
      <c r="D6667" s="35" t="s">
        <v>29</v>
      </c>
      <c r="E6667" s="58"/>
      <c r="F6667" s="58"/>
      <c r="G6667" s="48">
        <v>1</v>
      </c>
      <c r="H6667" s="48"/>
      <c r="I6667" s="49"/>
      <c r="J6667" s="49"/>
      <c r="K6667" s="19"/>
      <c r="L6667" s="20"/>
    </row>
    <row r="6668" spans="1:12" outlineLevel="2">
      <c r="A6668" s="35"/>
      <c r="B6668" s="12" t="str">
        <f>IFERROR(VLOOKUP(D6668,'[1]Перечень товаров'!$A$2:$I9525,2,0),"")</f>
        <v>т3</v>
      </c>
      <c r="C6668" s="12" t="str">
        <f>IFERROR(VLOOKUP(D6668,'[1]Перечень товаров'!$A$2:$I9525,3,0),"")</f>
        <v xml:space="preserve">Техника </v>
      </c>
      <c r="D6668" s="35" t="s">
        <v>30</v>
      </c>
      <c r="E6668" s="58"/>
      <c r="F6668" s="58"/>
      <c r="G6668" s="48">
        <v>1</v>
      </c>
      <c r="H6668" s="48"/>
      <c r="I6668" s="49"/>
      <c r="J6668" s="49"/>
      <c r="K6668" s="19"/>
      <c r="L6668" s="20"/>
    </row>
    <row r="6669" spans="1:12" outlineLevel="2">
      <c r="A6669" s="35"/>
      <c r="B6669" s="12" t="str">
        <f>IFERROR(VLOOKUP(D6669,'[1]Перечень товаров'!$A$2:$I9525,2,0),"")</f>
        <v>т4</v>
      </c>
      <c r="C6669" s="12" t="str">
        <f>IFERROR(VLOOKUP(D6669,'[1]Перечень товаров'!$A$2:$I9525,3,0),"")</f>
        <v xml:space="preserve">Техника </v>
      </c>
      <c r="D6669" s="35" t="s">
        <v>31</v>
      </c>
      <c r="E6669" s="58"/>
      <c r="F6669" s="58"/>
      <c r="G6669" s="48">
        <v>1</v>
      </c>
      <c r="H6669" s="48"/>
      <c r="I6669" s="49"/>
      <c r="J6669" s="49"/>
      <c r="K6669" s="19"/>
      <c r="L6669" s="20"/>
    </row>
    <row r="6670" spans="1:12" outlineLevel="2">
      <c r="A6670" s="21"/>
      <c r="B6670" s="12" t="str">
        <f>IFERROR(VLOOKUP(D6670,'[1]Перечень товаров'!$A$2:$I9525,2,0),"")</f>
        <v>тм65</v>
      </c>
      <c r="C6670" s="12" t="str">
        <f>IFERROR(VLOOKUP(D6670,'[1]Перечень товаров'!$A$2:$I9525,3,0),"")</f>
        <v>Техника муз</v>
      </c>
      <c r="D6670" s="22" t="s">
        <v>380</v>
      </c>
      <c r="E6670" s="58"/>
      <c r="F6670" s="58"/>
      <c r="G6670" s="48">
        <v>1</v>
      </c>
      <c r="H6670" s="48"/>
      <c r="I6670" s="49"/>
      <c r="J6670" s="49"/>
      <c r="K6670" s="19"/>
      <c r="L6670" s="20"/>
    </row>
    <row r="6671" spans="1:12" outlineLevel="2">
      <c r="A6671" s="21"/>
      <c r="B6671" s="12" t="str">
        <f>IFERROR(VLOOKUP(D6671,'[1]Перечень товаров'!$A$2:$I9525,2,0),"")</f>
        <v>т12</v>
      </c>
      <c r="C6671" s="12" t="str">
        <f>IFERROR(VLOOKUP(D6671,'[1]Перечень товаров'!$A$2:$I9525,3,0),"")</f>
        <v>Техника</v>
      </c>
      <c r="D6671" s="22" t="s">
        <v>49</v>
      </c>
      <c r="E6671" s="58"/>
      <c r="F6671" s="58"/>
      <c r="G6671" s="48">
        <v>1</v>
      </c>
      <c r="H6671" s="48"/>
      <c r="I6671" s="49"/>
      <c r="J6671" s="49"/>
      <c r="K6671" s="19"/>
      <c r="L6671" s="20"/>
    </row>
    <row r="6672" spans="1:12" outlineLevel="2">
      <c r="A6672" s="35"/>
      <c r="B6672" s="12" t="str">
        <f>IFERROR(VLOOKUP(D6672,'[1]Перечень товаров'!$A$2:$I9525,2,0),"")</f>
        <v>т6</v>
      </c>
      <c r="C6672" s="12" t="str">
        <f>IFERROR(VLOOKUP(D6672,'[1]Перечень товаров'!$A$2:$I9525,3,0),"")</f>
        <v xml:space="preserve">Техника </v>
      </c>
      <c r="D6672" s="35" t="s">
        <v>33</v>
      </c>
      <c r="E6672" s="58"/>
      <c r="F6672" s="58"/>
      <c r="G6672" s="48">
        <v>1</v>
      </c>
      <c r="H6672" s="48"/>
      <c r="I6672" s="49"/>
      <c r="J6672" s="49"/>
      <c r="K6672" s="19"/>
      <c r="L6672" s="20"/>
    </row>
    <row r="6673" spans="1:12" outlineLevel="2">
      <c r="A6673" s="21"/>
      <c r="B6673" s="12" t="str">
        <f>IFERROR(VLOOKUP(D6673,'[1]Перечень товаров'!$A$2:$I9525,2,0),"")</f>
        <v>т7</v>
      </c>
      <c r="C6673" s="12" t="str">
        <f>IFERROR(VLOOKUP(D6673,'[1]Перечень товаров'!$A$2:$I9525,3,0),"")</f>
        <v xml:space="preserve">Техника </v>
      </c>
      <c r="D6673" s="22" t="s">
        <v>34</v>
      </c>
      <c r="E6673" s="58"/>
      <c r="F6673" s="58"/>
      <c r="G6673" s="48">
        <v>3</v>
      </c>
      <c r="H6673" s="48"/>
      <c r="I6673" s="49"/>
      <c r="J6673" s="49"/>
      <c r="K6673" s="19"/>
      <c r="L6673" s="20"/>
    </row>
    <row r="6674" spans="1:12" outlineLevel="2">
      <c r="A6674" s="28"/>
      <c r="B6674" s="12" t="str">
        <f>IFERROR(VLOOKUP(D6674,'[1]Перечень товаров'!$A$2:$I9525,2,0),"")</f>
        <v>т161</v>
      </c>
      <c r="C6674" s="12" t="str">
        <f>IFERROR(VLOOKUP(D6674,'[1]Перечень товаров'!$A$2:$I9525,3,0),"")</f>
        <v xml:space="preserve">Техника </v>
      </c>
      <c r="D6674" s="29" t="s">
        <v>381</v>
      </c>
      <c r="E6674" s="30"/>
      <c r="F6674" s="30"/>
      <c r="G6674" s="59">
        <v>1</v>
      </c>
      <c r="H6674" s="59"/>
      <c r="I6674" s="60"/>
      <c r="J6674" s="60"/>
      <c r="K6674" s="19"/>
      <c r="L6674" s="20"/>
    </row>
    <row r="6675" spans="1:12" outlineLevel="2">
      <c r="A6675" s="113"/>
      <c r="B6675" s="12" t="str">
        <f>IFERROR(VLOOKUP(D6675,'[1]Перечень товаров'!$A$2:$I9525,2,0),"")</f>
        <v/>
      </c>
      <c r="C6675" s="12" t="str">
        <f>IFERROR(VLOOKUP(D6675,'[1]Перечень товаров'!$A$2:$I9525,3,0),"")</f>
        <v/>
      </c>
      <c r="D6675" s="114" t="s">
        <v>19</v>
      </c>
      <c r="E6675" s="258"/>
      <c r="F6675" s="258"/>
      <c r="G6675" s="59"/>
      <c r="H6675" s="59"/>
      <c r="I6675" s="60"/>
      <c r="J6675" s="60"/>
      <c r="K6675" s="19"/>
      <c r="L6675" s="20"/>
    </row>
    <row r="6676" spans="1:12" outlineLevel="2">
      <c r="A6676" s="34"/>
      <c r="B6676" s="12" t="str">
        <f>IFERROR(VLOOKUP(D6676,'[1]Перечень товаров'!$A$2:$I9525,2,0),"")</f>
        <v>м62</v>
      </c>
      <c r="C6676" s="12" t="str">
        <f>IFERROR(VLOOKUP(D6676,'[1]Перечень товаров'!$A$2:$I9525,3,0),"")</f>
        <v>Мебель</v>
      </c>
      <c r="D6676" s="35" t="s">
        <v>398</v>
      </c>
      <c r="E6676" s="88"/>
      <c r="F6676" s="88"/>
      <c r="G6676" s="59">
        <v>1</v>
      </c>
      <c r="H6676" s="59"/>
      <c r="I6676" s="60"/>
      <c r="J6676" s="60"/>
      <c r="K6676" s="19"/>
      <c r="L6676" s="20"/>
    </row>
    <row r="6677" spans="1:12" outlineLevel="2">
      <c r="A6677" s="34"/>
      <c r="B6677" s="12" t="str">
        <f>IFERROR(VLOOKUP(D6677,'[1]Перечень товаров'!$A$2:$I9525,2,0),"")</f>
        <v>м61</v>
      </c>
      <c r="C6677" s="12" t="str">
        <f>IFERROR(VLOOKUP(D6677,'[1]Перечень товаров'!$A$2:$I9525,3,0),"")</f>
        <v>Мебель</v>
      </c>
      <c r="D6677" s="35" t="s">
        <v>383</v>
      </c>
      <c r="E6677" s="88"/>
      <c r="F6677" s="88"/>
      <c r="G6677" s="59">
        <v>1</v>
      </c>
      <c r="H6677" s="59"/>
      <c r="I6677" s="60"/>
      <c r="J6677" s="60"/>
      <c r="K6677" s="19"/>
      <c r="L6677" s="20"/>
    </row>
    <row r="6678" spans="1:12" outlineLevel="2">
      <c r="A6678" s="34"/>
      <c r="B6678" s="12" t="str">
        <f>IFERROR(VLOOKUP(D6678,'[1]Перечень товаров'!$A$2:$I9525,2,0),"")</f>
        <v>м61</v>
      </c>
      <c r="C6678" s="12" t="str">
        <f>IFERROR(VLOOKUP(D6678,'[1]Перечень товаров'!$A$2:$I9525,3,0),"")</f>
        <v>Мебель</v>
      </c>
      <c r="D6678" s="35" t="s">
        <v>384</v>
      </c>
      <c r="E6678" s="88"/>
      <c r="F6678" s="88"/>
      <c r="G6678" s="59">
        <v>5</v>
      </c>
      <c r="H6678" s="59"/>
      <c r="I6678" s="60"/>
      <c r="J6678" s="60"/>
      <c r="K6678" s="19"/>
      <c r="L6678" s="20"/>
    </row>
    <row r="6679" spans="1:12" outlineLevel="2">
      <c r="A6679" s="21"/>
      <c r="B6679" s="12" t="str">
        <f>IFERROR(VLOOKUP(D6679,'[1]Перечень товаров'!$A$2:$I9525,2,0),"")</f>
        <v>м13</v>
      </c>
      <c r="C6679" s="12" t="str">
        <f>IFERROR(VLOOKUP(D6679,'[1]Перечень товаров'!$A$2:$I9525,3,0),"")</f>
        <v>Мебель</v>
      </c>
      <c r="D6679" s="22" t="s">
        <v>42</v>
      </c>
      <c r="E6679" s="58"/>
      <c r="F6679" s="58"/>
      <c r="G6679" s="24">
        <v>1</v>
      </c>
      <c r="H6679" s="24"/>
      <c r="I6679" s="25"/>
      <c r="J6679" s="25"/>
      <c r="K6679" s="19"/>
      <c r="L6679" s="20"/>
    </row>
    <row r="6680" spans="1:12" outlineLevel="2">
      <c r="A6680" s="21"/>
      <c r="B6680" s="12" t="str">
        <f>IFERROR(VLOOKUP(D6680,'[1]Перечень товаров'!$A$2:$I9525,2,0),"")</f>
        <v>м14</v>
      </c>
      <c r="C6680" s="12" t="str">
        <f>IFERROR(VLOOKUP(D6680,'[1]Перечень товаров'!$A$2:$I9525,3,0),"")</f>
        <v>Мебель</v>
      </c>
      <c r="D6680" s="22" t="s">
        <v>43</v>
      </c>
      <c r="E6680" s="58"/>
      <c r="F6680" s="58"/>
      <c r="G6680" s="24">
        <v>1</v>
      </c>
      <c r="H6680" s="24"/>
      <c r="I6680" s="25"/>
      <c r="J6680" s="25"/>
      <c r="K6680" s="19"/>
      <c r="L6680" s="20"/>
    </row>
    <row r="6681" spans="1:12" ht="15" outlineLevel="2">
      <c r="A6681" s="116"/>
      <c r="B6681" s="12" t="str">
        <f>IFERROR(VLOOKUP(D6681,'[1]Перечень товаров'!$A$2:$I9525,2,0),"")</f>
        <v/>
      </c>
      <c r="C6681" s="12" t="str">
        <f>IFERROR(VLOOKUP(D6681,'[1]Перечень товаров'!$A$2:$I9525,3,0),"")</f>
        <v/>
      </c>
      <c r="D6681" s="117" t="s">
        <v>391</v>
      </c>
      <c r="E6681" s="122"/>
      <c r="F6681" s="122"/>
      <c r="G6681" s="123"/>
      <c r="H6681" s="123"/>
      <c r="I6681" s="124"/>
      <c r="J6681" s="124"/>
      <c r="K6681" s="19"/>
      <c r="L6681" s="20"/>
    </row>
    <row r="6682" spans="1:12" outlineLevel="2">
      <c r="A6682" s="28"/>
      <c r="B6682" s="12" t="str">
        <f>IFERROR(VLOOKUP(D6682,'[1]Перечень товаров'!$A$2:$I9525,2,0),"")</f>
        <v>тм147</v>
      </c>
      <c r="C6682" s="12" t="str">
        <f>IFERROR(VLOOKUP(D6682,'[1]Перечень товаров'!$A$2:$I9525,3,0),"")</f>
        <v>Техника муз</v>
      </c>
      <c r="D6682" s="29" t="s">
        <v>1687</v>
      </c>
      <c r="E6682" s="30"/>
      <c r="F6682" s="30"/>
      <c r="G6682" s="31">
        <v>1</v>
      </c>
      <c r="H6682" s="31"/>
      <c r="I6682" s="32"/>
      <c r="J6682" s="32"/>
      <c r="K6682" s="19"/>
      <c r="L6682" s="20"/>
    </row>
    <row r="6683" spans="1:12" ht="31.5" outlineLevel="2">
      <c r="A6683" s="28"/>
      <c r="B6683" s="12" t="str">
        <f>IFERROR(VLOOKUP(D6683,'[1]Перечень товаров'!$A$2:$I9525,2,0),"")</f>
        <v>тм219</v>
      </c>
      <c r="C6683" s="12" t="str">
        <f>IFERROR(VLOOKUP(D6683,'[1]Перечень товаров'!$A$2:$I9525,3,0),"")</f>
        <v>Техника муз</v>
      </c>
      <c r="D6683" s="29" t="s">
        <v>1000</v>
      </c>
      <c r="E6683" s="30"/>
      <c r="F6683" s="30"/>
      <c r="G6683" s="31">
        <v>1</v>
      </c>
      <c r="H6683" s="31"/>
      <c r="I6683" s="32"/>
      <c r="J6683" s="32"/>
      <c r="K6683" s="19"/>
      <c r="L6683" s="20"/>
    </row>
    <row r="6684" spans="1:12" outlineLevel="2">
      <c r="A6684" s="28"/>
      <c r="B6684" s="12" t="str">
        <f>IFERROR(VLOOKUP(D6684,'[1]Перечень товаров'!$A$2:$I9525,2,0),"")</f>
        <v>м175</v>
      </c>
      <c r="C6684" s="12" t="str">
        <f>IFERROR(VLOOKUP(D6684,'[1]Перечень товаров'!$A$2:$I9525,3,0),"")</f>
        <v>мебель</v>
      </c>
      <c r="D6684" s="29" t="s">
        <v>1001</v>
      </c>
      <c r="E6684" s="30"/>
      <c r="F6684" s="30"/>
      <c r="G6684" s="31">
        <v>2</v>
      </c>
      <c r="H6684" s="31"/>
      <c r="I6684" s="32"/>
      <c r="J6684" s="32"/>
      <c r="K6684" s="19"/>
      <c r="L6684" s="20"/>
    </row>
    <row r="6685" spans="1:12" outlineLevel="2">
      <c r="A6685" s="28"/>
      <c r="B6685" s="12" t="str">
        <f>IFERROR(VLOOKUP(D6685,'[1]Перечень товаров'!$A$2:$I9525,2,0),"")</f>
        <v>д246</v>
      </c>
      <c r="C6685" s="12" t="str">
        <f>IFERROR(VLOOKUP(D6685,'[1]Перечень товаров'!$A$2:$I9525,3,0),"")</f>
        <v>Дидактика</v>
      </c>
      <c r="D6685" s="29" t="s">
        <v>1688</v>
      </c>
      <c r="E6685" s="30"/>
      <c r="F6685" s="30"/>
      <c r="G6685" s="31">
        <v>1</v>
      </c>
      <c r="H6685" s="31"/>
      <c r="I6685" s="32"/>
      <c r="J6685" s="32"/>
      <c r="K6685" s="19"/>
      <c r="L6685" s="20"/>
    </row>
    <row r="6686" spans="1:12" outlineLevel="2">
      <c r="A6686" s="28"/>
      <c r="B6686" s="12" t="str">
        <f>IFERROR(VLOOKUP(D6686,'[1]Перечень товаров'!$A$2:$I9525,2,0),"")</f>
        <v>пм167</v>
      </c>
      <c r="C6686" s="12" t="str">
        <f>IFERROR(VLOOKUP(D6686,'[1]Перечень товаров'!$A$2:$I9525,3,0),"")</f>
        <v>прочее муз</v>
      </c>
      <c r="D6686" s="29" t="s">
        <v>1136</v>
      </c>
      <c r="E6686" s="30"/>
      <c r="F6686" s="30"/>
      <c r="G6686" s="31">
        <v>1</v>
      </c>
      <c r="H6686" s="31"/>
      <c r="I6686" s="32"/>
      <c r="J6686" s="32"/>
      <c r="K6686" s="19"/>
      <c r="L6686" s="20"/>
    </row>
    <row r="6687" spans="1:12" outlineLevel="2">
      <c r="A6687" s="28"/>
      <c r="B6687" s="12" t="str">
        <f>IFERROR(VLOOKUP(D6687,'[1]Перечень товаров'!$A$2:$I9525,2,0),"")</f>
        <v>пм108</v>
      </c>
      <c r="C6687" s="12" t="str">
        <f>IFERROR(VLOOKUP(D6687,'[1]Перечень товаров'!$A$2:$I9525,3,0),"")</f>
        <v>прочее муз</v>
      </c>
      <c r="D6687" s="29" t="s">
        <v>1689</v>
      </c>
      <c r="E6687" s="30"/>
      <c r="F6687" s="30"/>
      <c r="G6687" s="31">
        <v>1</v>
      </c>
      <c r="H6687" s="31"/>
      <c r="I6687" s="32"/>
      <c r="J6687" s="32"/>
      <c r="K6687" s="19"/>
      <c r="L6687" s="20"/>
    </row>
    <row r="6688" spans="1:12" ht="15" outlineLevel="2">
      <c r="A6688" s="54"/>
      <c r="B6688" s="12" t="str">
        <f>IFERROR(VLOOKUP(D6688,'[1]Перечень товаров'!$A$2:$I9525,2,0),"")</f>
        <v/>
      </c>
      <c r="C6688" s="12" t="str">
        <f>IFERROR(VLOOKUP(D6688,'[1]Перечень товаров'!$A$2:$I9525,3,0),"")</f>
        <v/>
      </c>
      <c r="D6688" s="55" t="s">
        <v>45</v>
      </c>
      <c r="E6688" s="56"/>
      <c r="F6688" s="56"/>
      <c r="G6688" s="17"/>
      <c r="H6688" s="17"/>
      <c r="I6688" s="57"/>
      <c r="J6688" s="57"/>
      <c r="K6688" s="19"/>
      <c r="L6688" s="20"/>
    </row>
    <row r="6689" spans="1:12" outlineLevel="2">
      <c r="A6689" s="21"/>
      <c r="B6689" s="12" t="str">
        <f>IFERROR(VLOOKUP(D6689,'[1]Перечень товаров'!$A$2:$I9525,2,0),"")</f>
        <v>п2</v>
      </c>
      <c r="C6689" s="12" t="str">
        <f>IFERROR(VLOOKUP(D6689,'[1]Перечень товаров'!$A$2:$I9525,3,0),"")</f>
        <v>Прочее</v>
      </c>
      <c r="D6689" s="22" t="s">
        <v>46</v>
      </c>
      <c r="E6689" s="58"/>
      <c r="F6689" s="58"/>
      <c r="G6689" s="24">
        <v>1</v>
      </c>
      <c r="H6689" s="24"/>
      <c r="I6689" s="25"/>
      <c r="J6689" s="25"/>
      <c r="K6689" s="19"/>
      <c r="L6689" s="20"/>
    </row>
    <row r="6690" spans="1:12" outlineLevel="2">
      <c r="A6690" s="43"/>
      <c r="B6690" s="12" t="str">
        <f>IFERROR(VLOOKUP(D6690,'[1]Перечень товаров'!$A$2:$I9525,2,0),"")</f>
        <v>м7</v>
      </c>
      <c r="C6690" s="12" t="str">
        <f>IFERROR(VLOOKUP(D6690,'[1]Перечень товаров'!$A$2:$I9525,3,0),"")</f>
        <v>Мебель</v>
      </c>
      <c r="D6690" s="44" t="s">
        <v>24</v>
      </c>
      <c r="E6690" s="30"/>
      <c r="F6690" s="30"/>
      <c r="G6690" s="59">
        <v>1</v>
      </c>
      <c r="H6690" s="59"/>
      <c r="I6690" s="60"/>
      <c r="J6690" s="60"/>
      <c r="K6690" s="19"/>
      <c r="L6690" s="20"/>
    </row>
    <row r="6691" spans="1:12" outlineLevel="2">
      <c r="A6691" s="43"/>
      <c r="B6691" s="12" t="str">
        <f>IFERROR(VLOOKUP(D6691,'[1]Перечень товаров'!$A$2:$I9525,2,0),"")</f>
        <v>п1</v>
      </c>
      <c r="C6691" s="12" t="str">
        <f>IFERROR(VLOOKUP(D6691,'[1]Перечень товаров'!$A$2:$I9525,3,0),"")</f>
        <v>Прочее</v>
      </c>
      <c r="D6691" s="44" t="s">
        <v>37</v>
      </c>
      <c r="E6691" s="30"/>
      <c r="F6691" s="30"/>
      <c r="G6691" s="59">
        <v>1</v>
      </c>
      <c r="H6691" s="59"/>
      <c r="I6691" s="60"/>
      <c r="J6691" s="60"/>
      <c r="K6691" s="19"/>
      <c r="L6691" s="20"/>
    </row>
    <row r="6692" spans="1:12" ht="12.75" outlineLevel="1">
      <c r="A6692" s="89"/>
      <c r="B6692" s="12" t="str">
        <f>IFERROR(VLOOKUP(D6692,'[1]Перечень товаров'!$A$2:$I9525,2,0),"")</f>
        <v/>
      </c>
      <c r="C6692" s="12" t="str">
        <f>IFERROR(VLOOKUP(D6692,'[1]Перечень товаров'!$A$2:$I9525,3,0),"")</f>
        <v/>
      </c>
      <c r="D6692" s="90" t="s">
        <v>1686</v>
      </c>
      <c r="E6692" s="108">
        <v>46076</v>
      </c>
      <c r="F6692" s="108"/>
      <c r="G6692" s="100"/>
      <c r="H6692" s="100"/>
      <c r="I6692" s="101"/>
      <c r="J6692" s="101"/>
      <c r="K6692" s="19"/>
      <c r="L6692" s="20"/>
    </row>
    <row r="6693" spans="1:12" ht="15" outlineLevel="2">
      <c r="A6693" s="109"/>
      <c r="B6693" s="12" t="str">
        <f>IFERROR(VLOOKUP(D6693,'[1]Перечень товаров'!$A$2:$I9525,2,0),"")</f>
        <v/>
      </c>
      <c r="C6693" s="12" t="str">
        <f>IFERROR(VLOOKUP(D6693,'[1]Перечень товаров'!$A$2:$I9525,3,0),"")</f>
        <v/>
      </c>
      <c r="D6693" s="110" t="s">
        <v>27</v>
      </c>
      <c r="E6693" s="56"/>
      <c r="F6693" s="56"/>
      <c r="G6693" s="111"/>
      <c r="H6693" s="111"/>
      <c r="I6693" s="112"/>
      <c r="J6693" s="112"/>
      <c r="K6693" s="19"/>
      <c r="L6693" s="20"/>
    </row>
    <row r="6694" spans="1:12" outlineLevel="2">
      <c r="A6694" s="21"/>
      <c r="B6694" s="12" t="str">
        <f>IFERROR(VLOOKUP(D6694,'[1]Перечень товаров'!$A$2:$I9525,2,0),"")</f>
        <v>т1</v>
      </c>
      <c r="C6694" s="12" t="str">
        <f>IFERROR(VLOOKUP(D6694,'[1]Перечень товаров'!$A$2:$I9525,3,0),"")</f>
        <v xml:space="preserve">Техника </v>
      </c>
      <c r="D6694" s="22" t="s">
        <v>28</v>
      </c>
      <c r="E6694" s="58"/>
      <c r="F6694" s="58"/>
      <c r="G6694" s="48">
        <v>1</v>
      </c>
      <c r="H6694" s="48"/>
      <c r="I6694" s="49"/>
      <c r="J6694" s="49"/>
      <c r="K6694" s="19"/>
      <c r="L6694" s="20"/>
    </row>
    <row r="6695" spans="1:12" outlineLevel="2">
      <c r="A6695" s="143"/>
      <c r="B6695" s="12" t="str">
        <f>IFERROR(VLOOKUP(D6695,'[1]Перечень товаров'!$A$2:$I9525,2,0),"")</f>
        <v>т9</v>
      </c>
      <c r="C6695" s="12" t="str">
        <f>IFERROR(VLOOKUP(D6695,'[1]Перечень товаров'!$A$2:$I9525,3,0),"")</f>
        <v>Техника</v>
      </c>
      <c r="D6695" s="143" t="s">
        <v>36</v>
      </c>
      <c r="E6695" s="58"/>
      <c r="F6695" s="58"/>
      <c r="G6695" s="48">
        <v>1</v>
      </c>
      <c r="H6695" s="48"/>
      <c r="I6695" s="49"/>
      <c r="J6695" s="49"/>
      <c r="K6695" s="19"/>
      <c r="L6695" s="20"/>
    </row>
    <row r="6696" spans="1:12" outlineLevel="2">
      <c r="A6696" s="35"/>
      <c r="B6696" s="12" t="str">
        <f>IFERROR(VLOOKUP(D6696,'[1]Перечень товаров'!$A$2:$I9525,2,0),"")</f>
        <v>т2</v>
      </c>
      <c r="C6696" s="12" t="str">
        <f>IFERROR(VLOOKUP(D6696,'[1]Перечень товаров'!$A$2:$I9525,3,0),"")</f>
        <v xml:space="preserve">Техника </v>
      </c>
      <c r="D6696" s="35" t="s">
        <v>29</v>
      </c>
      <c r="E6696" s="58"/>
      <c r="F6696" s="58"/>
      <c r="G6696" s="48">
        <v>1</v>
      </c>
      <c r="H6696" s="48"/>
      <c r="I6696" s="49"/>
      <c r="J6696" s="49"/>
      <c r="K6696" s="19"/>
      <c r="L6696" s="20"/>
    </row>
    <row r="6697" spans="1:12" outlineLevel="2">
      <c r="A6697" s="35"/>
      <c r="B6697" s="12" t="str">
        <f>IFERROR(VLOOKUP(D6697,'[1]Перечень товаров'!$A$2:$I9525,2,0),"")</f>
        <v>т3</v>
      </c>
      <c r="C6697" s="12" t="str">
        <f>IFERROR(VLOOKUP(D6697,'[1]Перечень товаров'!$A$2:$I9525,3,0),"")</f>
        <v xml:space="preserve">Техника </v>
      </c>
      <c r="D6697" s="35" t="s">
        <v>30</v>
      </c>
      <c r="E6697" s="58"/>
      <c r="F6697" s="58"/>
      <c r="G6697" s="48">
        <v>1</v>
      </c>
      <c r="H6697" s="48"/>
      <c r="I6697" s="49"/>
      <c r="J6697" s="49"/>
      <c r="K6697" s="19"/>
      <c r="L6697" s="20"/>
    </row>
    <row r="6698" spans="1:12" outlineLevel="2">
      <c r="A6698" s="35"/>
      <c r="B6698" s="12" t="str">
        <f>IFERROR(VLOOKUP(D6698,'[1]Перечень товаров'!$A$2:$I9525,2,0),"")</f>
        <v>т4</v>
      </c>
      <c r="C6698" s="12" t="str">
        <f>IFERROR(VLOOKUP(D6698,'[1]Перечень товаров'!$A$2:$I9525,3,0),"")</f>
        <v xml:space="preserve">Техника </v>
      </c>
      <c r="D6698" s="35" t="s">
        <v>31</v>
      </c>
      <c r="E6698" s="58"/>
      <c r="F6698" s="58"/>
      <c r="G6698" s="48">
        <v>1</v>
      </c>
      <c r="H6698" s="48"/>
      <c r="I6698" s="49"/>
      <c r="J6698" s="49"/>
      <c r="K6698" s="19"/>
      <c r="L6698" s="20"/>
    </row>
    <row r="6699" spans="1:12" outlineLevel="2">
      <c r="A6699" s="21"/>
      <c r="B6699" s="12" t="str">
        <f>IFERROR(VLOOKUP(D6699,'[1]Перечень товаров'!$A$2:$I9525,2,0),"")</f>
        <v>тм65</v>
      </c>
      <c r="C6699" s="12" t="str">
        <f>IFERROR(VLOOKUP(D6699,'[1]Перечень товаров'!$A$2:$I9525,3,0),"")</f>
        <v>Техника муз</v>
      </c>
      <c r="D6699" s="22" t="s">
        <v>380</v>
      </c>
      <c r="E6699" s="58"/>
      <c r="F6699" s="58"/>
      <c r="G6699" s="48">
        <v>1</v>
      </c>
      <c r="H6699" s="48"/>
      <c r="I6699" s="49"/>
      <c r="J6699" s="49"/>
      <c r="K6699" s="19"/>
      <c r="L6699" s="20"/>
    </row>
    <row r="6700" spans="1:12" outlineLevel="2">
      <c r="A6700" s="21"/>
      <c r="B6700" s="12" t="str">
        <f>IFERROR(VLOOKUP(D6700,'[1]Перечень товаров'!$A$2:$I9525,2,0),"")</f>
        <v>т12</v>
      </c>
      <c r="C6700" s="12" t="str">
        <f>IFERROR(VLOOKUP(D6700,'[1]Перечень товаров'!$A$2:$I9525,3,0),"")</f>
        <v>Техника</v>
      </c>
      <c r="D6700" s="22" t="s">
        <v>49</v>
      </c>
      <c r="E6700" s="58"/>
      <c r="F6700" s="58"/>
      <c r="G6700" s="48">
        <v>1</v>
      </c>
      <c r="H6700" s="48"/>
      <c r="I6700" s="49"/>
      <c r="J6700" s="49"/>
      <c r="K6700" s="19"/>
      <c r="L6700" s="20"/>
    </row>
    <row r="6701" spans="1:12" outlineLevel="2">
      <c r="A6701" s="35"/>
      <c r="B6701" s="12" t="str">
        <f>IFERROR(VLOOKUP(D6701,'[1]Перечень товаров'!$A$2:$I9525,2,0),"")</f>
        <v>т6</v>
      </c>
      <c r="C6701" s="12" t="str">
        <f>IFERROR(VLOOKUP(D6701,'[1]Перечень товаров'!$A$2:$I9525,3,0),"")</f>
        <v xml:space="preserve">Техника </v>
      </c>
      <c r="D6701" s="35" t="s">
        <v>33</v>
      </c>
      <c r="E6701" s="58"/>
      <c r="F6701" s="58"/>
      <c r="G6701" s="48">
        <v>1</v>
      </c>
      <c r="H6701" s="48"/>
      <c r="I6701" s="49"/>
      <c r="J6701" s="49"/>
      <c r="K6701" s="19"/>
      <c r="L6701" s="20"/>
    </row>
    <row r="6702" spans="1:12" outlineLevel="2">
      <c r="A6702" s="21"/>
      <c r="B6702" s="12" t="str">
        <f>IFERROR(VLOOKUP(D6702,'[1]Перечень товаров'!$A$2:$I9525,2,0),"")</f>
        <v>т7</v>
      </c>
      <c r="C6702" s="12" t="str">
        <f>IFERROR(VLOOKUP(D6702,'[1]Перечень товаров'!$A$2:$I9525,3,0),"")</f>
        <v xml:space="preserve">Техника </v>
      </c>
      <c r="D6702" s="22" t="s">
        <v>34</v>
      </c>
      <c r="E6702" s="58"/>
      <c r="F6702" s="58"/>
      <c r="G6702" s="48">
        <v>3</v>
      </c>
      <c r="H6702" s="48"/>
      <c r="I6702" s="49"/>
      <c r="J6702" s="49"/>
      <c r="K6702" s="19"/>
      <c r="L6702" s="20"/>
    </row>
    <row r="6703" spans="1:12" outlineLevel="2">
      <c r="A6703" s="28"/>
      <c r="B6703" s="12" t="str">
        <f>IFERROR(VLOOKUP(D6703,'[1]Перечень товаров'!$A$2:$I9525,2,0),"")</f>
        <v>т161</v>
      </c>
      <c r="C6703" s="12" t="str">
        <f>IFERROR(VLOOKUP(D6703,'[1]Перечень товаров'!$A$2:$I9525,3,0),"")</f>
        <v xml:space="preserve">Техника </v>
      </c>
      <c r="D6703" s="29" t="s">
        <v>381</v>
      </c>
      <c r="E6703" s="30"/>
      <c r="F6703" s="30"/>
      <c r="G6703" s="59">
        <v>1</v>
      </c>
      <c r="H6703" s="59"/>
      <c r="I6703" s="60"/>
      <c r="J6703" s="60"/>
      <c r="K6703" s="19"/>
      <c r="L6703" s="20"/>
    </row>
    <row r="6704" spans="1:12" outlineLevel="2">
      <c r="A6704" s="113"/>
      <c r="B6704" s="12" t="str">
        <f>IFERROR(VLOOKUP(D6704,'[1]Перечень товаров'!$A$2:$I9525,2,0),"")</f>
        <v/>
      </c>
      <c r="C6704" s="12" t="str">
        <f>IFERROR(VLOOKUP(D6704,'[1]Перечень товаров'!$A$2:$I9525,3,0),"")</f>
        <v/>
      </c>
      <c r="D6704" s="114" t="s">
        <v>19</v>
      </c>
      <c r="E6704" s="258"/>
      <c r="F6704" s="258"/>
      <c r="G6704" s="59"/>
      <c r="H6704" s="59"/>
      <c r="I6704" s="60"/>
      <c r="J6704" s="60"/>
      <c r="K6704" s="19"/>
      <c r="L6704" s="20"/>
    </row>
    <row r="6705" spans="1:12" outlineLevel="2">
      <c r="A6705" s="34"/>
      <c r="B6705" s="12" t="str">
        <f>IFERROR(VLOOKUP(D6705,'[1]Перечень товаров'!$A$2:$I9525,2,0),"")</f>
        <v>м62</v>
      </c>
      <c r="C6705" s="12" t="str">
        <f>IFERROR(VLOOKUP(D6705,'[1]Перечень товаров'!$A$2:$I9525,3,0),"")</f>
        <v>Мебель</v>
      </c>
      <c r="D6705" s="35" t="s">
        <v>398</v>
      </c>
      <c r="E6705" s="88"/>
      <c r="F6705" s="88"/>
      <c r="G6705" s="59">
        <v>1</v>
      </c>
      <c r="H6705" s="59"/>
      <c r="I6705" s="60"/>
      <c r="J6705" s="60"/>
      <c r="K6705" s="19"/>
      <c r="L6705" s="20"/>
    </row>
    <row r="6706" spans="1:12" outlineLevel="2">
      <c r="A6706" s="34"/>
      <c r="B6706" s="12" t="str">
        <f>IFERROR(VLOOKUP(D6706,'[1]Перечень товаров'!$A$2:$I9525,2,0),"")</f>
        <v>м61</v>
      </c>
      <c r="C6706" s="12" t="str">
        <f>IFERROR(VLOOKUP(D6706,'[1]Перечень товаров'!$A$2:$I9525,3,0),"")</f>
        <v>Мебель</v>
      </c>
      <c r="D6706" s="35" t="s">
        <v>383</v>
      </c>
      <c r="E6706" s="88"/>
      <c r="F6706" s="88"/>
      <c r="G6706" s="59">
        <v>1</v>
      </c>
      <c r="H6706" s="59"/>
      <c r="I6706" s="60"/>
      <c r="J6706" s="60"/>
      <c r="K6706" s="19"/>
      <c r="L6706" s="20"/>
    </row>
    <row r="6707" spans="1:12" outlineLevel="2">
      <c r="A6707" s="34"/>
      <c r="B6707" s="12" t="str">
        <f>IFERROR(VLOOKUP(D6707,'[1]Перечень товаров'!$A$2:$I9525,2,0),"")</f>
        <v>м61</v>
      </c>
      <c r="C6707" s="12" t="str">
        <f>IFERROR(VLOOKUP(D6707,'[1]Перечень товаров'!$A$2:$I9525,3,0),"")</f>
        <v>Мебель</v>
      </c>
      <c r="D6707" s="35" t="s">
        <v>384</v>
      </c>
      <c r="E6707" s="88"/>
      <c r="F6707" s="88"/>
      <c r="G6707" s="59">
        <v>5</v>
      </c>
      <c r="H6707" s="59"/>
      <c r="I6707" s="60"/>
      <c r="J6707" s="60"/>
      <c r="K6707" s="19"/>
      <c r="L6707" s="20"/>
    </row>
    <row r="6708" spans="1:12" outlineLevel="2">
      <c r="A6708" s="21"/>
      <c r="B6708" s="12" t="str">
        <f>IFERROR(VLOOKUP(D6708,'[1]Перечень товаров'!$A$2:$I9525,2,0),"")</f>
        <v>м13</v>
      </c>
      <c r="C6708" s="12" t="str">
        <f>IFERROR(VLOOKUP(D6708,'[1]Перечень товаров'!$A$2:$I9525,3,0),"")</f>
        <v>Мебель</v>
      </c>
      <c r="D6708" s="22" t="s">
        <v>42</v>
      </c>
      <c r="E6708" s="58"/>
      <c r="F6708" s="58"/>
      <c r="G6708" s="24">
        <v>1</v>
      </c>
      <c r="H6708" s="24"/>
      <c r="I6708" s="25"/>
      <c r="J6708" s="25"/>
      <c r="K6708" s="19"/>
      <c r="L6708" s="20"/>
    </row>
    <row r="6709" spans="1:12" outlineLevel="2">
      <c r="A6709" s="21"/>
      <c r="B6709" s="12" t="str">
        <f>IFERROR(VLOOKUP(D6709,'[1]Перечень товаров'!$A$2:$I9525,2,0),"")</f>
        <v>м14</v>
      </c>
      <c r="C6709" s="12" t="str">
        <f>IFERROR(VLOOKUP(D6709,'[1]Перечень товаров'!$A$2:$I9525,3,0),"")</f>
        <v>Мебель</v>
      </c>
      <c r="D6709" s="22" t="s">
        <v>43</v>
      </c>
      <c r="E6709" s="58"/>
      <c r="F6709" s="58"/>
      <c r="G6709" s="24">
        <v>1</v>
      </c>
      <c r="H6709" s="24"/>
      <c r="I6709" s="25"/>
      <c r="J6709" s="25"/>
      <c r="K6709" s="19"/>
      <c r="L6709" s="20"/>
    </row>
    <row r="6710" spans="1:12" ht="15" outlineLevel="2">
      <c r="A6710" s="116"/>
      <c r="B6710" s="12" t="str">
        <f>IFERROR(VLOOKUP(D6710,'[1]Перечень товаров'!$A$2:$I9525,2,0),"")</f>
        <v/>
      </c>
      <c r="C6710" s="12" t="str">
        <f>IFERROR(VLOOKUP(D6710,'[1]Перечень товаров'!$A$2:$I9525,3,0),"")</f>
        <v/>
      </c>
      <c r="D6710" s="117" t="s">
        <v>391</v>
      </c>
      <c r="E6710" s="122"/>
      <c r="F6710" s="122"/>
      <c r="G6710" s="123"/>
      <c r="H6710" s="123"/>
      <c r="I6710" s="124"/>
      <c r="J6710" s="124"/>
      <c r="K6710" s="19"/>
      <c r="L6710" s="20"/>
    </row>
    <row r="6711" spans="1:12" outlineLevel="2">
      <c r="A6711" s="28"/>
      <c r="B6711" s="12" t="str">
        <f>IFERROR(VLOOKUP(D6711,'[1]Перечень товаров'!$A$2:$I9525,2,0),"")</f>
        <v>тм147</v>
      </c>
      <c r="C6711" s="12" t="str">
        <f>IFERROR(VLOOKUP(D6711,'[1]Перечень товаров'!$A$2:$I9525,3,0),"")</f>
        <v>Техника муз</v>
      </c>
      <c r="D6711" s="29" t="s">
        <v>1687</v>
      </c>
      <c r="E6711" s="30"/>
      <c r="F6711" s="30"/>
      <c r="G6711" s="31">
        <v>1</v>
      </c>
      <c r="H6711" s="31"/>
      <c r="I6711" s="32"/>
      <c r="J6711" s="32"/>
      <c r="K6711" s="19"/>
      <c r="L6711" s="20"/>
    </row>
    <row r="6712" spans="1:12" ht="31.5" outlineLevel="2">
      <c r="A6712" s="28"/>
      <c r="B6712" s="12" t="str">
        <f>IFERROR(VLOOKUP(D6712,'[1]Перечень товаров'!$A$2:$I9525,2,0),"")</f>
        <v>тм219</v>
      </c>
      <c r="C6712" s="12" t="str">
        <f>IFERROR(VLOOKUP(D6712,'[1]Перечень товаров'!$A$2:$I9525,3,0),"")</f>
        <v>Техника муз</v>
      </c>
      <c r="D6712" s="29" t="s">
        <v>1000</v>
      </c>
      <c r="E6712" s="30"/>
      <c r="F6712" s="30"/>
      <c r="G6712" s="31">
        <v>1</v>
      </c>
      <c r="H6712" s="31"/>
      <c r="I6712" s="32"/>
      <c r="J6712" s="32"/>
      <c r="K6712" s="19"/>
      <c r="L6712" s="20"/>
    </row>
    <row r="6713" spans="1:12" outlineLevel="2">
      <c r="A6713" s="28"/>
      <c r="B6713" s="12" t="str">
        <f>IFERROR(VLOOKUP(D6713,'[1]Перечень товаров'!$A$2:$I9525,2,0),"")</f>
        <v>м175</v>
      </c>
      <c r="C6713" s="12" t="str">
        <f>IFERROR(VLOOKUP(D6713,'[1]Перечень товаров'!$A$2:$I9525,3,0),"")</f>
        <v>мебель</v>
      </c>
      <c r="D6713" s="29" t="s">
        <v>1001</v>
      </c>
      <c r="E6713" s="30"/>
      <c r="F6713" s="30"/>
      <c r="G6713" s="31">
        <v>2</v>
      </c>
      <c r="H6713" s="31"/>
      <c r="I6713" s="32"/>
      <c r="J6713" s="32"/>
      <c r="K6713" s="19"/>
      <c r="L6713" s="20"/>
    </row>
    <row r="6714" spans="1:12" outlineLevel="2">
      <c r="A6714" s="28"/>
      <c r="B6714" s="12" t="str">
        <f>IFERROR(VLOOKUP(D6714,'[1]Перечень товаров'!$A$2:$I9525,2,0),"")</f>
        <v>д246</v>
      </c>
      <c r="C6714" s="12" t="str">
        <f>IFERROR(VLOOKUP(D6714,'[1]Перечень товаров'!$A$2:$I9525,3,0),"")</f>
        <v>Дидактика</v>
      </c>
      <c r="D6714" s="29" t="s">
        <v>1688</v>
      </c>
      <c r="E6714" s="30"/>
      <c r="F6714" s="30"/>
      <c r="G6714" s="31">
        <v>1</v>
      </c>
      <c r="H6714" s="31"/>
      <c r="I6714" s="32"/>
      <c r="J6714" s="32"/>
      <c r="K6714" s="19"/>
      <c r="L6714" s="20"/>
    </row>
    <row r="6715" spans="1:12" outlineLevel="2">
      <c r="A6715" s="28"/>
      <c r="B6715" s="12" t="str">
        <f>IFERROR(VLOOKUP(D6715,'[1]Перечень товаров'!$A$2:$I9525,2,0),"")</f>
        <v>пм167</v>
      </c>
      <c r="C6715" s="12" t="str">
        <f>IFERROR(VLOOKUP(D6715,'[1]Перечень товаров'!$A$2:$I9525,3,0),"")</f>
        <v>прочее муз</v>
      </c>
      <c r="D6715" s="29" t="s">
        <v>1136</v>
      </c>
      <c r="E6715" s="30"/>
      <c r="F6715" s="30"/>
      <c r="G6715" s="31">
        <v>1</v>
      </c>
      <c r="H6715" s="31"/>
      <c r="I6715" s="32"/>
      <c r="J6715" s="32"/>
      <c r="K6715" s="19"/>
      <c r="L6715" s="20"/>
    </row>
    <row r="6716" spans="1:12" outlineLevel="2">
      <c r="A6716" s="28"/>
      <c r="B6716" s="12" t="str">
        <f>IFERROR(VLOOKUP(D6716,'[1]Перечень товаров'!$A$2:$I9525,2,0),"")</f>
        <v>пм108</v>
      </c>
      <c r="C6716" s="12" t="str">
        <f>IFERROR(VLOOKUP(D6716,'[1]Перечень товаров'!$A$2:$I9525,3,0),"")</f>
        <v>прочее муз</v>
      </c>
      <c r="D6716" s="29" t="s">
        <v>1689</v>
      </c>
      <c r="E6716" s="30"/>
      <c r="F6716" s="30"/>
      <c r="G6716" s="31">
        <v>1</v>
      </c>
      <c r="H6716" s="31"/>
      <c r="I6716" s="32"/>
      <c r="J6716" s="32"/>
      <c r="K6716" s="19"/>
      <c r="L6716" s="20"/>
    </row>
    <row r="6717" spans="1:12" ht="15" outlineLevel="2">
      <c r="A6717" s="54"/>
      <c r="B6717" s="12" t="str">
        <f>IFERROR(VLOOKUP(D6717,'[1]Перечень товаров'!$A$2:$I9525,2,0),"")</f>
        <v/>
      </c>
      <c r="C6717" s="12" t="str">
        <f>IFERROR(VLOOKUP(D6717,'[1]Перечень товаров'!$A$2:$I9525,3,0),"")</f>
        <v/>
      </c>
      <c r="D6717" s="55" t="s">
        <v>45</v>
      </c>
      <c r="E6717" s="56"/>
      <c r="F6717" s="56"/>
      <c r="G6717" s="17"/>
      <c r="H6717" s="17"/>
      <c r="I6717" s="57"/>
      <c r="J6717" s="57"/>
      <c r="K6717" s="19"/>
      <c r="L6717" s="20"/>
    </row>
    <row r="6718" spans="1:12" outlineLevel="2">
      <c r="A6718" s="21"/>
      <c r="B6718" s="12" t="str">
        <f>IFERROR(VLOOKUP(D6718,'[1]Перечень товаров'!$A$2:$I9525,2,0),"")</f>
        <v>п2</v>
      </c>
      <c r="C6718" s="12" t="str">
        <f>IFERROR(VLOOKUP(D6718,'[1]Перечень товаров'!$A$2:$I9525,3,0),"")</f>
        <v>Прочее</v>
      </c>
      <c r="D6718" s="22" t="s">
        <v>46</v>
      </c>
      <c r="E6718" s="58"/>
      <c r="F6718" s="58"/>
      <c r="G6718" s="24">
        <v>1</v>
      </c>
      <c r="H6718" s="24"/>
      <c r="I6718" s="25"/>
      <c r="J6718" s="25"/>
      <c r="K6718" s="19"/>
      <c r="L6718" s="20"/>
    </row>
    <row r="6719" spans="1:12" outlineLevel="2">
      <c r="A6719" s="43"/>
      <c r="B6719" s="12" t="str">
        <f>IFERROR(VLOOKUP(D6719,'[1]Перечень товаров'!$A$2:$I9525,2,0),"")</f>
        <v>м7</v>
      </c>
      <c r="C6719" s="12" t="str">
        <f>IFERROR(VLOOKUP(D6719,'[1]Перечень товаров'!$A$2:$I9525,3,0),"")</f>
        <v>Мебель</v>
      </c>
      <c r="D6719" s="44" t="s">
        <v>24</v>
      </c>
      <c r="E6719" s="30"/>
      <c r="F6719" s="30"/>
      <c r="G6719" s="59">
        <v>1</v>
      </c>
      <c r="H6719" s="59"/>
      <c r="I6719" s="60"/>
      <c r="J6719" s="60"/>
      <c r="K6719" s="19"/>
      <c r="L6719" s="20"/>
    </row>
    <row r="6720" spans="1:12" outlineLevel="2">
      <c r="A6720" s="43"/>
      <c r="B6720" s="12" t="str">
        <f>IFERROR(VLOOKUP(D6720,'[1]Перечень товаров'!$A$2:$I9525,2,0),"")</f>
        <v>п1</v>
      </c>
      <c r="C6720" s="12" t="str">
        <f>IFERROR(VLOOKUP(D6720,'[1]Перечень товаров'!$A$2:$I9525,3,0),"")</f>
        <v>Прочее</v>
      </c>
      <c r="D6720" s="44" t="s">
        <v>37</v>
      </c>
      <c r="E6720" s="30"/>
      <c r="F6720" s="30"/>
      <c r="G6720" s="59">
        <v>1</v>
      </c>
      <c r="H6720" s="59"/>
      <c r="I6720" s="60"/>
      <c r="J6720" s="60"/>
      <c r="K6720" s="19"/>
      <c r="L6720" s="20"/>
    </row>
    <row r="6721" spans="1:12" ht="12.75" outlineLevel="1">
      <c r="A6721" s="89"/>
      <c r="B6721" s="12" t="str">
        <f>IFERROR(VLOOKUP(D6721,'[1]Перечень товаров'!$A$2:$I9525,2,0),"")</f>
        <v/>
      </c>
      <c r="C6721" s="12" t="str">
        <f>IFERROR(VLOOKUP(D6721,'[1]Перечень товаров'!$A$2:$I9525,3,0),"")</f>
        <v/>
      </c>
      <c r="D6721" s="90" t="s">
        <v>1686</v>
      </c>
      <c r="E6721" s="108">
        <v>46194</v>
      </c>
      <c r="F6721" s="108"/>
      <c r="G6721" s="100"/>
      <c r="H6721" s="100"/>
      <c r="I6721" s="101"/>
      <c r="J6721" s="101"/>
      <c r="K6721" s="19"/>
      <c r="L6721" s="20"/>
    </row>
    <row r="6722" spans="1:12" ht="15" outlineLevel="2">
      <c r="A6722" s="109"/>
      <c r="B6722" s="12" t="str">
        <f>IFERROR(VLOOKUP(D6722,'[1]Перечень товаров'!$A$2:$I9525,2,0),"")</f>
        <v/>
      </c>
      <c r="C6722" s="12" t="str">
        <f>IFERROR(VLOOKUP(D6722,'[1]Перечень товаров'!$A$2:$I9525,3,0),"")</f>
        <v/>
      </c>
      <c r="D6722" s="110" t="s">
        <v>27</v>
      </c>
      <c r="E6722" s="56"/>
      <c r="F6722" s="56"/>
      <c r="G6722" s="111"/>
      <c r="H6722" s="111"/>
      <c r="I6722" s="112"/>
      <c r="J6722" s="112"/>
      <c r="K6722" s="19"/>
      <c r="L6722" s="20"/>
    </row>
    <row r="6723" spans="1:12" outlineLevel="2">
      <c r="A6723" s="21"/>
      <c r="B6723" s="12" t="str">
        <f>IFERROR(VLOOKUP(D6723,'[1]Перечень товаров'!$A$2:$I9525,2,0),"")</f>
        <v>т1</v>
      </c>
      <c r="C6723" s="12" t="str">
        <f>IFERROR(VLOOKUP(D6723,'[1]Перечень товаров'!$A$2:$I9525,3,0),"")</f>
        <v xml:space="preserve">Техника </v>
      </c>
      <c r="D6723" s="22" t="s">
        <v>28</v>
      </c>
      <c r="E6723" s="58"/>
      <c r="F6723" s="58"/>
      <c r="G6723" s="48">
        <v>1</v>
      </c>
      <c r="H6723" s="48"/>
      <c r="I6723" s="49"/>
      <c r="J6723" s="49"/>
      <c r="K6723" s="19"/>
      <c r="L6723" s="20"/>
    </row>
    <row r="6724" spans="1:12" outlineLevel="2">
      <c r="A6724" s="143"/>
      <c r="B6724" s="12" t="str">
        <f>IFERROR(VLOOKUP(D6724,'[1]Перечень товаров'!$A$2:$I9525,2,0),"")</f>
        <v>т9</v>
      </c>
      <c r="C6724" s="12" t="str">
        <f>IFERROR(VLOOKUP(D6724,'[1]Перечень товаров'!$A$2:$I9525,3,0),"")</f>
        <v>Техника</v>
      </c>
      <c r="D6724" s="143" t="s">
        <v>36</v>
      </c>
      <c r="E6724" s="58"/>
      <c r="F6724" s="58"/>
      <c r="G6724" s="48">
        <v>1</v>
      </c>
      <c r="H6724" s="48"/>
      <c r="I6724" s="49"/>
      <c r="J6724" s="49"/>
      <c r="K6724" s="19"/>
      <c r="L6724" s="20"/>
    </row>
    <row r="6725" spans="1:12" outlineLevel="2">
      <c r="A6725" s="35"/>
      <c r="B6725" s="12" t="str">
        <f>IFERROR(VLOOKUP(D6725,'[1]Перечень товаров'!$A$2:$I9525,2,0),"")</f>
        <v>т2</v>
      </c>
      <c r="C6725" s="12" t="str">
        <f>IFERROR(VLOOKUP(D6725,'[1]Перечень товаров'!$A$2:$I9525,3,0),"")</f>
        <v xml:space="preserve">Техника </v>
      </c>
      <c r="D6725" s="35" t="s">
        <v>29</v>
      </c>
      <c r="E6725" s="58"/>
      <c r="F6725" s="58"/>
      <c r="G6725" s="48">
        <v>1</v>
      </c>
      <c r="H6725" s="48"/>
      <c r="I6725" s="49"/>
      <c r="J6725" s="49"/>
      <c r="K6725" s="19"/>
      <c r="L6725" s="20"/>
    </row>
    <row r="6726" spans="1:12" outlineLevel="2">
      <c r="A6726" s="35"/>
      <c r="B6726" s="12" t="str">
        <f>IFERROR(VLOOKUP(D6726,'[1]Перечень товаров'!$A$2:$I9525,2,0),"")</f>
        <v>т3</v>
      </c>
      <c r="C6726" s="12" t="str">
        <f>IFERROR(VLOOKUP(D6726,'[1]Перечень товаров'!$A$2:$I9525,3,0),"")</f>
        <v xml:space="preserve">Техника </v>
      </c>
      <c r="D6726" s="35" t="s">
        <v>30</v>
      </c>
      <c r="E6726" s="58"/>
      <c r="F6726" s="58"/>
      <c r="G6726" s="48">
        <v>1</v>
      </c>
      <c r="H6726" s="48"/>
      <c r="I6726" s="49"/>
      <c r="J6726" s="49"/>
      <c r="K6726" s="19"/>
      <c r="L6726" s="20"/>
    </row>
    <row r="6727" spans="1:12" outlineLevel="2">
      <c r="A6727" s="35"/>
      <c r="B6727" s="12" t="str">
        <f>IFERROR(VLOOKUP(D6727,'[1]Перечень товаров'!$A$2:$I9525,2,0),"")</f>
        <v>т4</v>
      </c>
      <c r="C6727" s="12" t="str">
        <f>IFERROR(VLOOKUP(D6727,'[1]Перечень товаров'!$A$2:$I9525,3,0),"")</f>
        <v xml:space="preserve">Техника </v>
      </c>
      <c r="D6727" s="35" t="s">
        <v>31</v>
      </c>
      <c r="E6727" s="58"/>
      <c r="F6727" s="58"/>
      <c r="G6727" s="48">
        <v>1</v>
      </c>
      <c r="H6727" s="48"/>
      <c r="I6727" s="49"/>
      <c r="J6727" s="49"/>
      <c r="K6727" s="19"/>
      <c r="L6727" s="20"/>
    </row>
    <row r="6728" spans="1:12" outlineLevel="2">
      <c r="A6728" s="21"/>
      <c r="B6728" s="12" t="str">
        <f>IFERROR(VLOOKUP(D6728,'[1]Перечень товаров'!$A$2:$I9525,2,0),"")</f>
        <v>тм65</v>
      </c>
      <c r="C6728" s="12" t="str">
        <f>IFERROR(VLOOKUP(D6728,'[1]Перечень товаров'!$A$2:$I9525,3,0),"")</f>
        <v>Техника муз</v>
      </c>
      <c r="D6728" s="22" t="s">
        <v>380</v>
      </c>
      <c r="E6728" s="58"/>
      <c r="F6728" s="58"/>
      <c r="G6728" s="48">
        <v>1</v>
      </c>
      <c r="H6728" s="48"/>
      <c r="I6728" s="49"/>
      <c r="J6728" s="49"/>
      <c r="K6728" s="19"/>
      <c r="L6728" s="20"/>
    </row>
    <row r="6729" spans="1:12" outlineLevel="2">
      <c r="A6729" s="21"/>
      <c r="B6729" s="12" t="str">
        <f>IFERROR(VLOOKUP(D6729,'[1]Перечень товаров'!$A$2:$I9525,2,0),"")</f>
        <v>т12</v>
      </c>
      <c r="C6729" s="12" t="str">
        <f>IFERROR(VLOOKUP(D6729,'[1]Перечень товаров'!$A$2:$I9525,3,0),"")</f>
        <v>Техника</v>
      </c>
      <c r="D6729" s="22" t="s">
        <v>49</v>
      </c>
      <c r="E6729" s="58"/>
      <c r="F6729" s="58"/>
      <c r="G6729" s="48">
        <v>1</v>
      </c>
      <c r="H6729" s="48"/>
      <c r="I6729" s="49"/>
      <c r="J6729" s="49"/>
      <c r="K6729" s="19"/>
      <c r="L6729" s="20"/>
    </row>
    <row r="6730" spans="1:12" outlineLevel="2">
      <c r="A6730" s="35"/>
      <c r="B6730" s="12" t="str">
        <f>IFERROR(VLOOKUP(D6730,'[1]Перечень товаров'!$A$2:$I9525,2,0),"")</f>
        <v>т6</v>
      </c>
      <c r="C6730" s="12" t="str">
        <f>IFERROR(VLOOKUP(D6730,'[1]Перечень товаров'!$A$2:$I9525,3,0),"")</f>
        <v xml:space="preserve">Техника </v>
      </c>
      <c r="D6730" s="35" t="s">
        <v>33</v>
      </c>
      <c r="E6730" s="58"/>
      <c r="F6730" s="58"/>
      <c r="G6730" s="48">
        <v>1</v>
      </c>
      <c r="H6730" s="48"/>
      <c r="I6730" s="49"/>
      <c r="J6730" s="49"/>
      <c r="K6730" s="19"/>
      <c r="L6730" s="20"/>
    </row>
    <row r="6731" spans="1:12" outlineLevel="2">
      <c r="A6731" s="21"/>
      <c r="B6731" s="12" t="str">
        <f>IFERROR(VLOOKUP(D6731,'[1]Перечень товаров'!$A$2:$I9525,2,0),"")</f>
        <v>т7</v>
      </c>
      <c r="C6731" s="12" t="str">
        <f>IFERROR(VLOOKUP(D6731,'[1]Перечень товаров'!$A$2:$I9525,3,0),"")</f>
        <v xml:space="preserve">Техника </v>
      </c>
      <c r="D6731" s="22" t="s">
        <v>34</v>
      </c>
      <c r="E6731" s="58"/>
      <c r="F6731" s="58"/>
      <c r="G6731" s="48">
        <v>3</v>
      </c>
      <c r="H6731" s="48"/>
      <c r="I6731" s="49"/>
      <c r="J6731" s="49"/>
      <c r="K6731" s="19"/>
      <c r="L6731" s="20"/>
    </row>
    <row r="6732" spans="1:12" outlineLevel="2">
      <c r="A6732" s="28"/>
      <c r="B6732" s="12" t="str">
        <f>IFERROR(VLOOKUP(D6732,'[1]Перечень товаров'!$A$2:$I9525,2,0),"")</f>
        <v>т161</v>
      </c>
      <c r="C6732" s="12" t="str">
        <f>IFERROR(VLOOKUP(D6732,'[1]Перечень товаров'!$A$2:$I9525,3,0),"")</f>
        <v xml:space="preserve">Техника </v>
      </c>
      <c r="D6732" s="29" t="s">
        <v>381</v>
      </c>
      <c r="E6732" s="30"/>
      <c r="F6732" s="30"/>
      <c r="G6732" s="59">
        <v>1</v>
      </c>
      <c r="H6732" s="59"/>
      <c r="I6732" s="60"/>
      <c r="J6732" s="60"/>
      <c r="K6732" s="19"/>
      <c r="L6732" s="20"/>
    </row>
    <row r="6733" spans="1:12" outlineLevel="2">
      <c r="A6733" s="113"/>
      <c r="B6733" s="12" t="str">
        <f>IFERROR(VLOOKUP(D6733,'[1]Перечень товаров'!$A$2:$I9525,2,0),"")</f>
        <v/>
      </c>
      <c r="C6733" s="12" t="str">
        <f>IFERROR(VLOOKUP(D6733,'[1]Перечень товаров'!$A$2:$I9525,3,0),"")</f>
        <v/>
      </c>
      <c r="D6733" s="114" t="s">
        <v>19</v>
      </c>
      <c r="E6733" s="258"/>
      <c r="F6733" s="258"/>
      <c r="G6733" s="59"/>
      <c r="H6733" s="59"/>
      <c r="I6733" s="60"/>
      <c r="J6733" s="60"/>
      <c r="K6733" s="19"/>
      <c r="L6733" s="20"/>
    </row>
    <row r="6734" spans="1:12" outlineLevel="2">
      <c r="A6734" s="34"/>
      <c r="B6734" s="12" t="str">
        <f>IFERROR(VLOOKUP(D6734,'[1]Перечень товаров'!$A$2:$I9525,2,0),"")</f>
        <v>м62</v>
      </c>
      <c r="C6734" s="12" t="str">
        <f>IFERROR(VLOOKUP(D6734,'[1]Перечень товаров'!$A$2:$I9525,3,0),"")</f>
        <v>Мебель</v>
      </c>
      <c r="D6734" s="35" t="s">
        <v>398</v>
      </c>
      <c r="E6734" s="88"/>
      <c r="F6734" s="88"/>
      <c r="G6734" s="59">
        <v>1</v>
      </c>
      <c r="H6734" s="59"/>
      <c r="I6734" s="60"/>
      <c r="J6734" s="60"/>
      <c r="K6734" s="19"/>
      <c r="L6734" s="20"/>
    </row>
    <row r="6735" spans="1:12" outlineLevel="2">
      <c r="A6735" s="34"/>
      <c r="B6735" s="12" t="str">
        <f>IFERROR(VLOOKUP(D6735,'[1]Перечень товаров'!$A$2:$I9525,2,0),"")</f>
        <v>м61</v>
      </c>
      <c r="C6735" s="12" t="str">
        <f>IFERROR(VLOOKUP(D6735,'[1]Перечень товаров'!$A$2:$I9525,3,0),"")</f>
        <v>Мебель</v>
      </c>
      <c r="D6735" s="35" t="s">
        <v>383</v>
      </c>
      <c r="E6735" s="88"/>
      <c r="F6735" s="88"/>
      <c r="G6735" s="59">
        <v>1</v>
      </c>
      <c r="H6735" s="59"/>
      <c r="I6735" s="60"/>
      <c r="J6735" s="60"/>
      <c r="K6735" s="19"/>
      <c r="L6735" s="20"/>
    </row>
    <row r="6736" spans="1:12" outlineLevel="2">
      <c r="A6736" s="34"/>
      <c r="B6736" s="12" t="str">
        <f>IFERROR(VLOOKUP(D6736,'[1]Перечень товаров'!$A$2:$I9525,2,0),"")</f>
        <v>м61</v>
      </c>
      <c r="C6736" s="12" t="str">
        <f>IFERROR(VLOOKUP(D6736,'[1]Перечень товаров'!$A$2:$I9525,3,0),"")</f>
        <v>Мебель</v>
      </c>
      <c r="D6736" s="35" t="s">
        <v>384</v>
      </c>
      <c r="E6736" s="88"/>
      <c r="F6736" s="88"/>
      <c r="G6736" s="59">
        <v>5</v>
      </c>
      <c r="H6736" s="59"/>
      <c r="I6736" s="60"/>
      <c r="J6736" s="60"/>
      <c r="K6736" s="19"/>
      <c r="L6736" s="20"/>
    </row>
    <row r="6737" spans="1:12" outlineLevel="2">
      <c r="A6737" s="21"/>
      <c r="B6737" s="12" t="str">
        <f>IFERROR(VLOOKUP(D6737,'[1]Перечень товаров'!$A$2:$I9525,2,0),"")</f>
        <v>м13</v>
      </c>
      <c r="C6737" s="12" t="str">
        <f>IFERROR(VLOOKUP(D6737,'[1]Перечень товаров'!$A$2:$I9525,3,0),"")</f>
        <v>Мебель</v>
      </c>
      <c r="D6737" s="22" t="s">
        <v>42</v>
      </c>
      <c r="E6737" s="58"/>
      <c r="F6737" s="58"/>
      <c r="G6737" s="24">
        <v>1</v>
      </c>
      <c r="H6737" s="24"/>
      <c r="I6737" s="25"/>
      <c r="J6737" s="25"/>
      <c r="K6737" s="19"/>
      <c r="L6737" s="20"/>
    </row>
    <row r="6738" spans="1:12" outlineLevel="2">
      <c r="A6738" s="21"/>
      <c r="B6738" s="12" t="str">
        <f>IFERROR(VLOOKUP(D6738,'[1]Перечень товаров'!$A$2:$I9525,2,0),"")</f>
        <v>м14</v>
      </c>
      <c r="C6738" s="12" t="str">
        <f>IFERROR(VLOOKUP(D6738,'[1]Перечень товаров'!$A$2:$I9525,3,0),"")</f>
        <v>Мебель</v>
      </c>
      <c r="D6738" s="22" t="s">
        <v>43</v>
      </c>
      <c r="E6738" s="58"/>
      <c r="F6738" s="58"/>
      <c r="G6738" s="24">
        <v>1</v>
      </c>
      <c r="H6738" s="24"/>
      <c r="I6738" s="25"/>
      <c r="J6738" s="25"/>
      <c r="K6738" s="19"/>
      <c r="L6738" s="20"/>
    </row>
    <row r="6739" spans="1:12" ht="15" outlineLevel="2">
      <c r="A6739" s="116"/>
      <c r="B6739" s="12" t="str">
        <f>IFERROR(VLOOKUP(D6739,'[1]Перечень товаров'!$A$2:$I9525,2,0),"")</f>
        <v/>
      </c>
      <c r="C6739" s="12" t="str">
        <f>IFERROR(VLOOKUP(D6739,'[1]Перечень товаров'!$A$2:$I9525,3,0),"")</f>
        <v/>
      </c>
      <c r="D6739" s="117" t="s">
        <v>391</v>
      </c>
      <c r="E6739" s="122"/>
      <c r="F6739" s="122"/>
      <c r="G6739" s="123"/>
      <c r="H6739" s="123"/>
      <c r="I6739" s="124"/>
      <c r="J6739" s="124"/>
      <c r="K6739" s="19"/>
      <c r="L6739" s="20"/>
    </row>
    <row r="6740" spans="1:12" outlineLevel="2">
      <c r="A6740" s="28"/>
      <c r="B6740" s="12" t="str">
        <f>IFERROR(VLOOKUP(D6740,'[1]Перечень товаров'!$A$2:$I9525,2,0),"")</f>
        <v>тм147</v>
      </c>
      <c r="C6740" s="12" t="str">
        <f>IFERROR(VLOOKUP(D6740,'[1]Перечень товаров'!$A$2:$I9525,3,0),"")</f>
        <v>Техника муз</v>
      </c>
      <c r="D6740" s="29" t="s">
        <v>1687</v>
      </c>
      <c r="E6740" s="30"/>
      <c r="F6740" s="30"/>
      <c r="G6740" s="31">
        <v>1</v>
      </c>
      <c r="H6740" s="31"/>
      <c r="I6740" s="32"/>
      <c r="J6740" s="32"/>
      <c r="K6740" s="19"/>
      <c r="L6740" s="20"/>
    </row>
    <row r="6741" spans="1:12" ht="31.5" outlineLevel="2">
      <c r="A6741" s="28"/>
      <c r="B6741" s="12" t="str">
        <f>IFERROR(VLOOKUP(D6741,'[1]Перечень товаров'!$A$2:$I9525,2,0),"")</f>
        <v>тм219</v>
      </c>
      <c r="C6741" s="12" t="str">
        <f>IFERROR(VLOOKUP(D6741,'[1]Перечень товаров'!$A$2:$I9525,3,0),"")</f>
        <v>Техника муз</v>
      </c>
      <c r="D6741" s="29" t="s">
        <v>1000</v>
      </c>
      <c r="E6741" s="30"/>
      <c r="F6741" s="30"/>
      <c r="G6741" s="31">
        <v>1</v>
      </c>
      <c r="H6741" s="31"/>
      <c r="I6741" s="32"/>
      <c r="J6741" s="32"/>
      <c r="K6741" s="19"/>
      <c r="L6741" s="20"/>
    </row>
    <row r="6742" spans="1:12" outlineLevel="2">
      <c r="A6742" s="28"/>
      <c r="B6742" s="12" t="str">
        <f>IFERROR(VLOOKUP(D6742,'[1]Перечень товаров'!$A$2:$I9525,2,0),"")</f>
        <v>м175</v>
      </c>
      <c r="C6742" s="12" t="str">
        <f>IFERROR(VLOOKUP(D6742,'[1]Перечень товаров'!$A$2:$I9525,3,0),"")</f>
        <v>мебель</v>
      </c>
      <c r="D6742" s="29" t="s">
        <v>1001</v>
      </c>
      <c r="E6742" s="30"/>
      <c r="F6742" s="30"/>
      <c r="G6742" s="31">
        <v>2</v>
      </c>
      <c r="H6742" s="31"/>
      <c r="I6742" s="32"/>
      <c r="J6742" s="32"/>
      <c r="K6742" s="19"/>
      <c r="L6742" s="20"/>
    </row>
    <row r="6743" spans="1:12" outlineLevel="2">
      <c r="A6743" s="28"/>
      <c r="B6743" s="12" t="str">
        <f>IFERROR(VLOOKUP(D6743,'[1]Перечень товаров'!$A$2:$I9525,2,0),"")</f>
        <v>д246</v>
      </c>
      <c r="C6743" s="12" t="str">
        <f>IFERROR(VLOOKUP(D6743,'[1]Перечень товаров'!$A$2:$I9525,3,0),"")</f>
        <v>Дидактика</v>
      </c>
      <c r="D6743" s="29" t="s">
        <v>1688</v>
      </c>
      <c r="E6743" s="30"/>
      <c r="F6743" s="30"/>
      <c r="G6743" s="31">
        <v>1</v>
      </c>
      <c r="H6743" s="31"/>
      <c r="I6743" s="32"/>
      <c r="J6743" s="32"/>
      <c r="K6743" s="19"/>
      <c r="L6743" s="20"/>
    </row>
    <row r="6744" spans="1:12" outlineLevel="2">
      <c r="A6744" s="28"/>
      <c r="B6744" s="12" t="str">
        <f>IFERROR(VLOOKUP(D6744,'[1]Перечень товаров'!$A$2:$I9525,2,0),"")</f>
        <v>пм167</v>
      </c>
      <c r="C6744" s="12" t="str">
        <f>IFERROR(VLOOKUP(D6744,'[1]Перечень товаров'!$A$2:$I9525,3,0),"")</f>
        <v>прочее муз</v>
      </c>
      <c r="D6744" s="29" t="s">
        <v>1136</v>
      </c>
      <c r="E6744" s="30"/>
      <c r="F6744" s="30"/>
      <c r="G6744" s="31">
        <v>1</v>
      </c>
      <c r="H6744" s="31"/>
      <c r="I6744" s="32"/>
      <c r="J6744" s="32"/>
      <c r="K6744" s="19"/>
      <c r="L6744" s="20"/>
    </row>
    <row r="6745" spans="1:12" outlineLevel="2">
      <c r="A6745" s="28"/>
      <c r="B6745" s="12" t="str">
        <f>IFERROR(VLOOKUP(D6745,'[1]Перечень товаров'!$A$2:$I9525,2,0),"")</f>
        <v>пм108</v>
      </c>
      <c r="C6745" s="12" t="str">
        <f>IFERROR(VLOOKUP(D6745,'[1]Перечень товаров'!$A$2:$I9525,3,0),"")</f>
        <v>прочее муз</v>
      </c>
      <c r="D6745" s="29" t="s">
        <v>1689</v>
      </c>
      <c r="E6745" s="30"/>
      <c r="F6745" s="30"/>
      <c r="G6745" s="31">
        <v>1</v>
      </c>
      <c r="H6745" s="31"/>
      <c r="I6745" s="32"/>
      <c r="J6745" s="32"/>
      <c r="K6745" s="19"/>
      <c r="L6745" s="20"/>
    </row>
    <row r="6746" spans="1:12" ht="15" outlineLevel="2">
      <c r="A6746" s="54"/>
      <c r="B6746" s="12" t="str">
        <f>IFERROR(VLOOKUP(D6746,'[1]Перечень товаров'!$A$2:$I9525,2,0),"")</f>
        <v/>
      </c>
      <c r="C6746" s="12" t="str">
        <f>IFERROR(VLOOKUP(D6746,'[1]Перечень товаров'!$A$2:$I9525,3,0),"")</f>
        <v/>
      </c>
      <c r="D6746" s="55" t="s">
        <v>45</v>
      </c>
      <c r="E6746" s="56"/>
      <c r="F6746" s="56"/>
      <c r="G6746" s="17"/>
      <c r="H6746" s="17"/>
      <c r="I6746" s="57"/>
      <c r="J6746" s="57"/>
      <c r="K6746" s="19"/>
      <c r="L6746" s="20"/>
    </row>
    <row r="6747" spans="1:12" outlineLevel="2">
      <c r="A6747" s="21"/>
      <c r="B6747" s="12" t="str">
        <f>IFERROR(VLOOKUP(D6747,'[1]Перечень товаров'!$A$2:$I9525,2,0),"")</f>
        <v>п2</v>
      </c>
      <c r="C6747" s="12" t="str">
        <f>IFERROR(VLOOKUP(D6747,'[1]Перечень товаров'!$A$2:$I9525,3,0),"")</f>
        <v>Прочее</v>
      </c>
      <c r="D6747" s="22" t="s">
        <v>46</v>
      </c>
      <c r="E6747" s="58"/>
      <c r="F6747" s="58"/>
      <c r="G6747" s="24">
        <v>1</v>
      </c>
      <c r="H6747" s="24"/>
      <c r="I6747" s="25"/>
      <c r="J6747" s="25"/>
      <c r="K6747" s="19"/>
      <c r="L6747" s="20"/>
    </row>
    <row r="6748" spans="1:12" outlineLevel="2">
      <c r="A6748" s="43"/>
      <c r="B6748" s="12" t="str">
        <f>IFERROR(VLOOKUP(D6748,'[1]Перечень товаров'!$A$2:$I9525,2,0),"")</f>
        <v>м7</v>
      </c>
      <c r="C6748" s="12" t="str">
        <f>IFERROR(VLOOKUP(D6748,'[1]Перечень товаров'!$A$2:$I9525,3,0),"")</f>
        <v>Мебель</v>
      </c>
      <c r="D6748" s="44" t="s">
        <v>24</v>
      </c>
      <c r="E6748" s="30"/>
      <c r="F6748" s="30"/>
      <c r="G6748" s="59">
        <v>1</v>
      </c>
      <c r="H6748" s="59"/>
      <c r="I6748" s="60"/>
      <c r="J6748" s="60"/>
      <c r="K6748" s="19"/>
      <c r="L6748" s="20"/>
    </row>
    <row r="6749" spans="1:12" outlineLevel="2">
      <c r="A6749" s="43"/>
      <c r="B6749" s="12" t="str">
        <f>IFERROR(VLOOKUP(D6749,'[1]Перечень товаров'!$A$2:$I9525,2,0),"")</f>
        <v>п1</v>
      </c>
      <c r="C6749" s="12" t="str">
        <f>IFERROR(VLOOKUP(D6749,'[1]Перечень товаров'!$A$2:$I9525,3,0),"")</f>
        <v>Прочее</v>
      </c>
      <c r="D6749" s="44" t="s">
        <v>37</v>
      </c>
      <c r="E6749" s="30"/>
      <c r="F6749" s="30"/>
      <c r="G6749" s="59">
        <v>1</v>
      </c>
      <c r="H6749" s="59"/>
      <c r="I6749" s="60"/>
      <c r="J6749" s="60"/>
      <c r="K6749" s="19"/>
      <c r="L6749" s="20"/>
    </row>
    <row r="6750" spans="1:12" ht="12.75" outlineLevel="1">
      <c r="A6750" s="89"/>
      <c r="B6750" s="12" t="str">
        <f>IFERROR(VLOOKUP(D6750,'[1]Перечень товаров'!$A$2:$I9525,2,0),"")</f>
        <v/>
      </c>
      <c r="C6750" s="12" t="str">
        <f>IFERROR(VLOOKUP(D6750,'[1]Перечень товаров'!$A$2:$I9525,3,0),"")</f>
        <v/>
      </c>
      <c r="D6750" s="90" t="s">
        <v>1686</v>
      </c>
      <c r="E6750" s="108">
        <v>46133</v>
      </c>
      <c r="F6750" s="108"/>
      <c r="G6750" s="100"/>
      <c r="H6750" s="100"/>
      <c r="I6750" s="101"/>
      <c r="J6750" s="101"/>
      <c r="K6750" s="19"/>
      <c r="L6750" s="20"/>
    </row>
    <row r="6751" spans="1:12" ht="15" outlineLevel="2">
      <c r="A6751" s="109"/>
      <c r="B6751" s="12" t="str">
        <f>IFERROR(VLOOKUP(D6751,'[1]Перечень товаров'!$A$2:$I9525,2,0),"")</f>
        <v/>
      </c>
      <c r="C6751" s="12" t="str">
        <f>IFERROR(VLOOKUP(D6751,'[1]Перечень товаров'!$A$2:$I9525,3,0),"")</f>
        <v/>
      </c>
      <c r="D6751" s="110" t="s">
        <v>27</v>
      </c>
      <c r="E6751" s="56"/>
      <c r="F6751" s="56"/>
      <c r="G6751" s="111"/>
      <c r="H6751" s="111"/>
      <c r="I6751" s="112"/>
      <c r="J6751" s="112"/>
      <c r="K6751" s="19"/>
      <c r="L6751" s="20"/>
    </row>
    <row r="6752" spans="1:12" outlineLevel="2">
      <c r="A6752" s="21"/>
      <c r="B6752" s="12" t="str">
        <f>IFERROR(VLOOKUP(D6752,'[1]Перечень товаров'!$A$2:$I9525,2,0),"")</f>
        <v>т1</v>
      </c>
      <c r="C6752" s="12" t="str">
        <f>IFERROR(VLOOKUP(D6752,'[1]Перечень товаров'!$A$2:$I9525,3,0),"")</f>
        <v xml:space="preserve">Техника </v>
      </c>
      <c r="D6752" s="22" t="s">
        <v>28</v>
      </c>
      <c r="E6752" s="58"/>
      <c r="F6752" s="58"/>
      <c r="G6752" s="48">
        <v>1</v>
      </c>
      <c r="H6752" s="48"/>
      <c r="I6752" s="49"/>
      <c r="J6752" s="49"/>
      <c r="K6752" s="19"/>
      <c r="L6752" s="20"/>
    </row>
    <row r="6753" spans="1:12" outlineLevel="2">
      <c r="A6753" s="143"/>
      <c r="B6753" s="12" t="str">
        <f>IFERROR(VLOOKUP(D6753,'[1]Перечень товаров'!$A$2:$I9525,2,0),"")</f>
        <v>т9</v>
      </c>
      <c r="C6753" s="12" t="str">
        <f>IFERROR(VLOOKUP(D6753,'[1]Перечень товаров'!$A$2:$I9525,3,0),"")</f>
        <v>Техника</v>
      </c>
      <c r="D6753" s="143" t="s">
        <v>36</v>
      </c>
      <c r="E6753" s="58"/>
      <c r="F6753" s="58"/>
      <c r="G6753" s="48">
        <v>1</v>
      </c>
      <c r="H6753" s="48"/>
      <c r="I6753" s="49"/>
      <c r="J6753" s="49"/>
      <c r="K6753" s="19"/>
      <c r="L6753" s="20"/>
    </row>
    <row r="6754" spans="1:12" outlineLevel="2">
      <c r="A6754" s="35"/>
      <c r="B6754" s="12" t="str">
        <f>IFERROR(VLOOKUP(D6754,'[1]Перечень товаров'!$A$2:$I9525,2,0),"")</f>
        <v>т2</v>
      </c>
      <c r="C6754" s="12" t="str">
        <f>IFERROR(VLOOKUP(D6754,'[1]Перечень товаров'!$A$2:$I9525,3,0),"")</f>
        <v xml:space="preserve">Техника </v>
      </c>
      <c r="D6754" s="35" t="s">
        <v>29</v>
      </c>
      <c r="E6754" s="58"/>
      <c r="F6754" s="58"/>
      <c r="G6754" s="48">
        <v>1</v>
      </c>
      <c r="H6754" s="48"/>
      <c r="I6754" s="49"/>
      <c r="J6754" s="49"/>
      <c r="K6754" s="19"/>
      <c r="L6754" s="20"/>
    </row>
    <row r="6755" spans="1:12" outlineLevel="2">
      <c r="A6755" s="35"/>
      <c r="B6755" s="12" t="str">
        <f>IFERROR(VLOOKUP(D6755,'[1]Перечень товаров'!$A$2:$I9525,2,0),"")</f>
        <v>т3</v>
      </c>
      <c r="C6755" s="12" t="str">
        <f>IFERROR(VLOOKUP(D6755,'[1]Перечень товаров'!$A$2:$I9525,3,0),"")</f>
        <v xml:space="preserve">Техника </v>
      </c>
      <c r="D6755" s="35" t="s">
        <v>30</v>
      </c>
      <c r="E6755" s="58"/>
      <c r="F6755" s="58"/>
      <c r="G6755" s="48">
        <v>1</v>
      </c>
      <c r="H6755" s="48"/>
      <c r="I6755" s="49"/>
      <c r="J6755" s="49"/>
      <c r="K6755" s="19"/>
      <c r="L6755" s="20"/>
    </row>
    <row r="6756" spans="1:12" outlineLevel="2">
      <c r="A6756" s="35"/>
      <c r="B6756" s="12" t="str">
        <f>IFERROR(VLOOKUP(D6756,'[1]Перечень товаров'!$A$2:$I9525,2,0),"")</f>
        <v>т4</v>
      </c>
      <c r="C6756" s="12" t="str">
        <f>IFERROR(VLOOKUP(D6756,'[1]Перечень товаров'!$A$2:$I9525,3,0),"")</f>
        <v xml:space="preserve">Техника </v>
      </c>
      <c r="D6756" s="35" t="s">
        <v>31</v>
      </c>
      <c r="E6756" s="58"/>
      <c r="F6756" s="58"/>
      <c r="G6756" s="48">
        <v>1</v>
      </c>
      <c r="H6756" s="48"/>
      <c r="I6756" s="49"/>
      <c r="J6756" s="49"/>
      <c r="K6756" s="19"/>
      <c r="L6756" s="20"/>
    </row>
    <row r="6757" spans="1:12" outlineLevel="2">
      <c r="A6757" s="21"/>
      <c r="B6757" s="12" t="str">
        <f>IFERROR(VLOOKUP(D6757,'[1]Перечень товаров'!$A$2:$I9525,2,0),"")</f>
        <v>тм65</v>
      </c>
      <c r="C6757" s="12" t="str">
        <f>IFERROR(VLOOKUP(D6757,'[1]Перечень товаров'!$A$2:$I9525,3,0),"")</f>
        <v>Техника муз</v>
      </c>
      <c r="D6757" s="22" t="s">
        <v>380</v>
      </c>
      <c r="E6757" s="58"/>
      <c r="F6757" s="58"/>
      <c r="G6757" s="48">
        <v>1</v>
      </c>
      <c r="H6757" s="48"/>
      <c r="I6757" s="49"/>
      <c r="J6757" s="49"/>
      <c r="K6757" s="19"/>
      <c r="L6757" s="20"/>
    </row>
    <row r="6758" spans="1:12" outlineLevel="2">
      <c r="A6758" s="21"/>
      <c r="B6758" s="12" t="str">
        <f>IFERROR(VLOOKUP(D6758,'[1]Перечень товаров'!$A$2:$I9525,2,0),"")</f>
        <v>т12</v>
      </c>
      <c r="C6758" s="12" t="str">
        <f>IFERROR(VLOOKUP(D6758,'[1]Перечень товаров'!$A$2:$I9525,3,0),"")</f>
        <v>Техника</v>
      </c>
      <c r="D6758" s="22" t="s">
        <v>49</v>
      </c>
      <c r="E6758" s="58"/>
      <c r="F6758" s="58"/>
      <c r="G6758" s="48">
        <v>1</v>
      </c>
      <c r="H6758" s="48"/>
      <c r="I6758" s="49"/>
      <c r="J6758" s="49"/>
      <c r="K6758" s="19"/>
      <c r="L6758" s="20"/>
    </row>
    <row r="6759" spans="1:12" outlineLevel="2">
      <c r="A6759" s="35"/>
      <c r="B6759" s="12" t="str">
        <f>IFERROR(VLOOKUP(D6759,'[1]Перечень товаров'!$A$2:$I9525,2,0),"")</f>
        <v>т6</v>
      </c>
      <c r="C6759" s="12" t="str">
        <f>IFERROR(VLOOKUP(D6759,'[1]Перечень товаров'!$A$2:$I9525,3,0),"")</f>
        <v xml:space="preserve">Техника </v>
      </c>
      <c r="D6759" s="35" t="s">
        <v>33</v>
      </c>
      <c r="E6759" s="58"/>
      <c r="F6759" s="58"/>
      <c r="G6759" s="48">
        <v>1</v>
      </c>
      <c r="H6759" s="48"/>
      <c r="I6759" s="49"/>
      <c r="J6759" s="49"/>
      <c r="K6759" s="19"/>
      <c r="L6759" s="20"/>
    </row>
    <row r="6760" spans="1:12" outlineLevel="2">
      <c r="A6760" s="21"/>
      <c r="B6760" s="12" t="str">
        <f>IFERROR(VLOOKUP(D6760,'[1]Перечень товаров'!$A$2:$I9525,2,0),"")</f>
        <v>т7</v>
      </c>
      <c r="C6760" s="12" t="str">
        <f>IFERROR(VLOOKUP(D6760,'[1]Перечень товаров'!$A$2:$I9525,3,0),"")</f>
        <v xml:space="preserve">Техника </v>
      </c>
      <c r="D6760" s="22" t="s">
        <v>34</v>
      </c>
      <c r="E6760" s="58"/>
      <c r="F6760" s="58"/>
      <c r="G6760" s="48">
        <v>3</v>
      </c>
      <c r="H6760" s="48"/>
      <c r="I6760" s="49"/>
      <c r="J6760" s="49"/>
      <c r="K6760" s="19"/>
      <c r="L6760" s="20"/>
    </row>
    <row r="6761" spans="1:12" outlineLevel="2">
      <c r="A6761" s="28"/>
      <c r="B6761" s="12" t="str">
        <f>IFERROR(VLOOKUP(D6761,'[1]Перечень товаров'!$A$2:$I9525,2,0),"")</f>
        <v>т161</v>
      </c>
      <c r="C6761" s="12" t="str">
        <f>IFERROR(VLOOKUP(D6761,'[1]Перечень товаров'!$A$2:$I9525,3,0),"")</f>
        <v xml:space="preserve">Техника </v>
      </c>
      <c r="D6761" s="29" t="s">
        <v>381</v>
      </c>
      <c r="E6761" s="30"/>
      <c r="F6761" s="30"/>
      <c r="G6761" s="59">
        <v>1</v>
      </c>
      <c r="H6761" s="59"/>
      <c r="I6761" s="60"/>
      <c r="J6761" s="60"/>
      <c r="K6761" s="19"/>
      <c r="L6761" s="20"/>
    </row>
    <row r="6762" spans="1:12" outlineLevel="2">
      <c r="A6762" s="113"/>
      <c r="B6762" s="12" t="str">
        <f>IFERROR(VLOOKUP(D6762,'[1]Перечень товаров'!$A$2:$I9525,2,0),"")</f>
        <v/>
      </c>
      <c r="C6762" s="12" t="str">
        <f>IFERROR(VLOOKUP(D6762,'[1]Перечень товаров'!$A$2:$I9525,3,0),"")</f>
        <v/>
      </c>
      <c r="D6762" s="114" t="s">
        <v>19</v>
      </c>
      <c r="E6762" s="258"/>
      <c r="F6762" s="258"/>
      <c r="G6762" s="59"/>
      <c r="H6762" s="59"/>
      <c r="I6762" s="60"/>
      <c r="J6762" s="60"/>
      <c r="K6762" s="19"/>
      <c r="L6762" s="20"/>
    </row>
    <row r="6763" spans="1:12" outlineLevel="2">
      <c r="A6763" s="34"/>
      <c r="B6763" s="12" t="str">
        <f>IFERROR(VLOOKUP(D6763,'[1]Перечень товаров'!$A$2:$I9525,2,0),"")</f>
        <v>м62</v>
      </c>
      <c r="C6763" s="12" t="str">
        <f>IFERROR(VLOOKUP(D6763,'[1]Перечень товаров'!$A$2:$I9525,3,0),"")</f>
        <v>Мебель</v>
      </c>
      <c r="D6763" s="35" t="s">
        <v>398</v>
      </c>
      <c r="E6763" s="88"/>
      <c r="F6763" s="88"/>
      <c r="G6763" s="59">
        <v>1</v>
      </c>
      <c r="H6763" s="59"/>
      <c r="I6763" s="60"/>
      <c r="J6763" s="60"/>
      <c r="K6763" s="19"/>
      <c r="L6763" s="20"/>
    </row>
    <row r="6764" spans="1:12" outlineLevel="2">
      <c r="A6764" s="34"/>
      <c r="B6764" s="12" t="str">
        <f>IFERROR(VLOOKUP(D6764,'[1]Перечень товаров'!$A$2:$I9525,2,0),"")</f>
        <v>м61</v>
      </c>
      <c r="C6764" s="12" t="str">
        <f>IFERROR(VLOOKUP(D6764,'[1]Перечень товаров'!$A$2:$I9525,3,0),"")</f>
        <v>Мебель</v>
      </c>
      <c r="D6764" s="35" t="s">
        <v>383</v>
      </c>
      <c r="E6764" s="88"/>
      <c r="F6764" s="88"/>
      <c r="G6764" s="59">
        <v>1</v>
      </c>
      <c r="H6764" s="59"/>
      <c r="I6764" s="60"/>
      <c r="J6764" s="60"/>
      <c r="K6764" s="19"/>
      <c r="L6764" s="20"/>
    </row>
    <row r="6765" spans="1:12" outlineLevel="2">
      <c r="A6765" s="34"/>
      <c r="B6765" s="12" t="str">
        <f>IFERROR(VLOOKUP(D6765,'[1]Перечень товаров'!$A$2:$I9525,2,0),"")</f>
        <v>м61</v>
      </c>
      <c r="C6765" s="12" t="str">
        <f>IFERROR(VLOOKUP(D6765,'[1]Перечень товаров'!$A$2:$I9525,3,0),"")</f>
        <v>Мебель</v>
      </c>
      <c r="D6765" s="35" t="s">
        <v>384</v>
      </c>
      <c r="E6765" s="88"/>
      <c r="F6765" s="88"/>
      <c r="G6765" s="59">
        <v>5</v>
      </c>
      <c r="H6765" s="59"/>
      <c r="I6765" s="60"/>
      <c r="J6765" s="60"/>
      <c r="K6765" s="19"/>
      <c r="L6765" s="20"/>
    </row>
    <row r="6766" spans="1:12" outlineLevel="2">
      <c r="A6766" s="21"/>
      <c r="B6766" s="12" t="str">
        <f>IFERROR(VLOOKUP(D6766,'[1]Перечень товаров'!$A$2:$I9525,2,0),"")</f>
        <v>м13</v>
      </c>
      <c r="C6766" s="12" t="str">
        <f>IFERROR(VLOOKUP(D6766,'[1]Перечень товаров'!$A$2:$I9525,3,0),"")</f>
        <v>Мебель</v>
      </c>
      <c r="D6766" s="22" t="s">
        <v>42</v>
      </c>
      <c r="E6766" s="58"/>
      <c r="F6766" s="58"/>
      <c r="G6766" s="24">
        <v>1</v>
      </c>
      <c r="H6766" s="24"/>
      <c r="I6766" s="25"/>
      <c r="J6766" s="25"/>
      <c r="K6766" s="19"/>
      <c r="L6766" s="20"/>
    </row>
    <row r="6767" spans="1:12" outlineLevel="2">
      <c r="A6767" s="21"/>
      <c r="B6767" s="12" t="str">
        <f>IFERROR(VLOOKUP(D6767,'[1]Перечень товаров'!$A$2:$I9525,2,0),"")</f>
        <v>м14</v>
      </c>
      <c r="C6767" s="12" t="str">
        <f>IFERROR(VLOOKUP(D6767,'[1]Перечень товаров'!$A$2:$I9525,3,0),"")</f>
        <v>Мебель</v>
      </c>
      <c r="D6767" s="22" t="s">
        <v>43</v>
      </c>
      <c r="E6767" s="58"/>
      <c r="F6767" s="58"/>
      <c r="G6767" s="24">
        <v>1</v>
      </c>
      <c r="H6767" s="24"/>
      <c r="I6767" s="25"/>
      <c r="J6767" s="25"/>
      <c r="K6767" s="19"/>
      <c r="L6767" s="20"/>
    </row>
    <row r="6768" spans="1:12" ht="15" outlineLevel="2">
      <c r="A6768" s="116"/>
      <c r="B6768" s="12" t="str">
        <f>IFERROR(VLOOKUP(D6768,'[1]Перечень товаров'!$A$2:$I9525,2,0),"")</f>
        <v/>
      </c>
      <c r="C6768" s="12" t="str">
        <f>IFERROR(VLOOKUP(D6768,'[1]Перечень товаров'!$A$2:$I9525,3,0),"")</f>
        <v/>
      </c>
      <c r="D6768" s="117" t="s">
        <v>391</v>
      </c>
      <c r="E6768" s="122"/>
      <c r="F6768" s="122"/>
      <c r="G6768" s="123"/>
      <c r="H6768" s="123"/>
      <c r="I6768" s="124"/>
      <c r="J6768" s="124"/>
      <c r="K6768" s="19"/>
      <c r="L6768" s="20"/>
    </row>
    <row r="6769" spans="1:12" outlineLevel="2">
      <c r="A6769" s="28"/>
      <c r="B6769" s="12" t="str">
        <f>IFERROR(VLOOKUP(D6769,'[1]Перечень товаров'!$A$2:$I9525,2,0),"")</f>
        <v>тм147</v>
      </c>
      <c r="C6769" s="12" t="str">
        <f>IFERROR(VLOOKUP(D6769,'[1]Перечень товаров'!$A$2:$I9525,3,0),"")</f>
        <v>Техника муз</v>
      </c>
      <c r="D6769" s="29" t="s">
        <v>1687</v>
      </c>
      <c r="E6769" s="30"/>
      <c r="F6769" s="30"/>
      <c r="G6769" s="31">
        <v>1</v>
      </c>
      <c r="H6769" s="31"/>
      <c r="I6769" s="32"/>
      <c r="J6769" s="32"/>
      <c r="K6769" s="19"/>
      <c r="L6769" s="20"/>
    </row>
    <row r="6770" spans="1:12" ht="31.5" outlineLevel="2">
      <c r="A6770" s="28"/>
      <c r="B6770" s="12" t="str">
        <f>IFERROR(VLOOKUP(D6770,'[1]Перечень товаров'!$A$2:$I9525,2,0),"")</f>
        <v>тм219</v>
      </c>
      <c r="C6770" s="12" t="str">
        <f>IFERROR(VLOOKUP(D6770,'[1]Перечень товаров'!$A$2:$I9525,3,0),"")</f>
        <v>Техника муз</v>
      </c>
      <c r="D6770" s="29" t="s">
        <v>1000</v>
      </c>
      <c r="E6770" s="30"/>
      <c r="F6770" s="30"/>
      <c r="G6770" s="31">
        <v>1</v>
      </c>
      <c r="H6770" s="31"/>
      <c r="I6770" s="32"/>
      <c r="J6770" s="32"/>
      <c r="K6770" s="19"/>
      <c r="L6770" s="20"/>
    </row>
    <row r="6771" spans="1:12" outlineLevel="2">
      <c r="A6771" s="28"/>
      <c r="B6771" s="12" t="str">
        <f>IFERROR(VLOOKUP(D6771,'[1]Перечень товаров'!$A$2:$I9525,2,0),"")</f>
        <v>м175</v>
      </c>
      <c r="C6771" s="12" t="str">
        <f>IFERROR(VLOOKUP(D6771,'[1]Перечень товаров'!$A$2:$I9525,3,0),"")</f>
        <v>мебель</v>
      </c>
      <c r="D6771" s="29" t="s">
        <v>1001</v>
      </c>
      <c r="E6771" s="30"/>
      <c r="F6771" s="30"/>
      <c r="G6771" s="31">
        <v>2</v>
      </c>
      <c r="H6771" s="31"/>
      <c r="I6771" s="32"/>
      <c r="J6771" s="32"/>
      <c r="K6771" s="19"/>
      <c r="L6771" s="20"/>
    </row>
    <row r="6772" spans="1:12" outlineLevel="2">
      <c r="A6772" s="28"/>
      <c r="B6772" s="12" t="str">
        <f>IFERROR(VLOOKUP(D6772,'[1]Перечень товаров'!$A$2:$I9525,2,0),"")</f>
        <v>д246</v>
      </c>
      <c r="C6772" s="12" t="str">
        <f>IFERROR(VLOOKUP(D6772,'[1]Перечень товаров'!$A$2:$I9525,3,0),"")</f>
        <v>Дидактика</v>
      </c>
      <c r="D6772" s="29" t="s">
        <v>1688</v>
      </c>
      <c r="E6772" s="30"/>
      <c r="F6772" s="30"/>
      <c r="G6772" s="31">
        <v>1</v>
      </c>
      <c r="H6772" s="31"/>
      <c r="I6772" s="32"/>
      <c r="J6772" s="32"/>
      <c r="K6772" s="19"/>
      <c r="L6772" s="20"/>
    </row>
    <row r="6773" spans="1:12" outlineLevel="2">
      <c r="A6773" s="28"/>
      <c r="B6773" s="12" t="str">
        <f>IFERROR(VLOOKUP(D6773,'[1]Перечень товаров'!$A$2:$I9525,2,0),"")</f>
        <v>пм167</v>
      </c>
      <c r="C6773" s="12" t="str">
        <f>IFERROR(VLOOKUP(D6773,'[1]Перечень товаров'!$A$2:$I9525,3,0),"")</f>
        <v>прочее муз</v>
      </c>
      <c r="D6773" s="29" t="s">
        <v>1136</v>
      </c>
      <c r="E6773" s="30"/>
      <c r="F6773" s="30"/>
      <c r="G6773" s="31">
        <v>1</v>
      </c>
      <c r="H6773" s="31"/>
      <c r="I6773" s="32"/>
      <c r="J6773" s="32"/>
      <c r="K6773" s="19"/>
      <c r="L6773" s="20"/>
    </row>
    <row r="6774" spans="1:12" outlineLevel="2">
      <c r="A6774" s="28"/>
      <c r="B6774" s="12" t="str">
        <f>IFERROR(VLOOKUP(D6774,'[1]Перечень товаров'!$A$2:$I9525,2,0),"")</f>
        <v>пм108</v>
      </c>
      <c r="C6774" s="12" t="str">
        <f>IFERROR(VLOOKUP(D6774,'[1]Перечень товаров'!$A$2:$I9525,3,0),"")</f>
        <v>прочее муз</v>
      </c>
      <c r="D6774" s="29" t="s">
        <v>1689</v>
      </c>
      <c r="E6774" s="30"/>
      <c r="F6774" s="30"/>
      <c r="G6774" s="31">
        <v>1</v>
      </c>
      <c r="H6774" s="31"/>
      <c r="I6774" s="32"/>
      <c r="J6774" s="32"/>
      <c r="K6774" s="19"/>
      <c r="L6774" s="20"/>
    </row>
    <row r="6775" spans="1:12" ht="15" outlineLevel="2">
      <c r="A6775" s="54"/>
      <c r="B6775" s="12" t="str">
        <f>IFERROR(VLOOKUP(D6775,'[1]Перечень товаров'!$A$2:$I9525,2,0),"")</f>
        <v/>
      </c>
      <c r="C6775" s="12" t="str">
        <f>IFERROR(VLOOKUP(D6775,'[1]Перечень товаров'!$A$2:$I9525,3,0),"")</f>
        <v/>
      </c>
      <c r="D6775" s="55" t="s">
        <v>45</v>
      </c>
      <c r="E6775" s="56"/>
      <c r="F6775" s="56"/>
      <c r="G6775" s="17"/>
      <c r="H6775" s="17"/>
      <c r="I6775" s="57"/>
      <c r="J6775" s="57"/>
      <c r="K6775" s="19"/>
      <c r="L6775" s="20"/>
    </row>
    <row r="6776" spans="1:12" outlineLevel="2">
      <c r="A6776" s="21"/>
      <c r="B6776" s="12" t="str">
        <f>IFERROR(VLOOKUP(D6776,'[1]Перечень товаров'!$A$2:$I9525,2,0),"")</f>
        <v>п2</v>
      </c>
      <c r="C6776" s="12" t="str">
        <f>IFERROR(VLOOKUP(D6776,'[1]Перечень товаров'!$A$2:$I9525,3,0),"")</f>
        <v>Прочее</v>
      </c>
      <c r="D6776" s="22" t="s">
        <v>46</v>
      </c>
      <c r="E6776" s="58"/>
      <c r="F6776" s="58"/>
      <c r="G6776" s="24">
        <v>1</v>
      </c>
      <c r="H6776" s="24"/>
      <c r="I6776" s="25"/>
      <c r="J6776" s="25"/>
      <c r="K6776" s="19"/>
      <c r="L6776" s="20"/>
    </row>
    <row r="6777" spans="1:12" outlineLevel="2">
      <c r="A6777" s="43"/>
      <c r="B6777" s="12" t="str">
        <f>IFERROR(VLOOKUP(D6777,'[1]Перечень товаров'!$A$2:$I9525,2,0),"")</f>
        <v>м7</v>
      </c>
      <c r="C6777" s="12" t="str">
        <f>IFERROR(VLOOKUP(D6777,'[1]Перечень товаров'!$A$2:$I9525,3,0),"")</f>
        <v>Мебель</v>
      </c>
      <c r="D6777" s="44" t="s">
        <v>24</v>
      </c>
      <c r="E6777" s="30"/>
      <c r="F6777" s="30"/>
      <c r="G6777" s="59">
        <v>1</v>
      </c>
      <c r="H6777" s="59"/>
      <c r="I6777" s="60"/>
      <c r="J6777" s="60"/>
      <c r="K6777" s="19"/>
      <c r="L6777" s="20"/>
    </row>
    <row r="6778" spans="1:12" outlineLevel="2">
      <c r="A6778" s="43"/>
      <c r="B6778" s="12" t="str">
        <f>IFERROR(VLOOKUP(D6778,'[1]Перечень товаров'!$A$2:$I9525,2,0),"")</f>
        <v>п1</v>
      </c>
      <c r="C6778" s="12" t="str">
        <f>IFERROR(VLOOKUP(D6778,'[1]Перечень товаров'!$A$2:$I9525,3,0),"")</f>
        <v>Прочее</v>
      </c>
      <c r="D6778" s="44" t="s">
        <v>37</v>
      </c>
      <c r="E6778" s="30"/>
      <c r="F6778" s="30"/>
      <c r="G6778" s="59">
        <v>1</v>
      </c>
      <c r="H6778" s="59"/>
      <c r="I6778" s="60"/>
      <c r="J6778" s="60"/>
      <c r="K6778" s="19"/>
      <c r="L6778" s="20"/>
    </row>
    <row r="6779" spans="1:12" ht="12.75" outlineLevel="1">
      <c r="A6779" s="89"/>
      <c r="B6779" s="12" t="str">
        <f>IFERROR(VLOOKUP(D6779,'[1]Перечень товаров'!$A$2:$I9525,2,0),"")</f>
        <v/>
      </c>
      <c r="C6779" s="12" t="str">
        <f>IFERROR(VLOOKUP(D6779,'[1]Перечень товаров'!$A$2:$I9525,3,0),"")</f>
        <v/>
      </c>
      <c r="D6779" s="90" t="s">
        <v>1676</v>
      </c>
      <c r="E6779" s="91" t="s">
        <v>519</v>
      </c>
      <c r="F6779" s="91"/>
      <c r="G6779" s="17"/>
      <c r="H6779" s="17"/>
      <c r="I6779" s="57"/>
      <c r="J6779" s="57"/>
      <c r="K6779" s="19"/>
      <c r="L6779" s="20"/>
    </row>
    <row r="6780" spans="1:12" ht="15" outlineLevel="2">
      <c r="A6780" s="109"/>
      <c r="B6780" s="12" t="str">
        <f>IFERROR(VLOOKUP(D6780,'[1]Перечень товаров'!$A$2:$I9525,2,0),"")</f>
        <v/>
      </c>
      <c r="C6780" s="12" t="str">
        <f>IFERROR(VLOOKUP(D6780,'[1]Перечень товаров'!$A$2:$I9525,3,0),"")</f>
        <v/>
      </c>
      <c r="D6780" s="110" t="s">
        <v>27</v>
      </c>
      <c r="E6780" s="45"/>
      <c r="F6780" s="45"/>
      <c r="G6780" s="111"/>
      <c r="H6780" s="111"/>
      <c r="I6780" s="112"/>
      <c r="J6780" s="112"/>
      <c r="K6780" s="19"/>
      <c r="L6780" s="20"/>
    </row>
    <row r="6781" spans="1:12" outlineLevel="2">
      <c r="A6781" s="21"/>
      <c r="B6781" s="12" t="str">
        <f>IFERROR(VLOOKUP(D6781,'[1]Перечень товаров'!$A$2:$I9525,2,0),"")</f>
        <v>т1</v>
      </c>
      <c r="C6781" s="12" t="str">
        <f>IFERROR(VLOOKUP(D6781,'[1]Перечень товаров'!$A$2:$I9525,3,0),"")</f>
        <v xml:space="preserve">Техника </v>
      </c>
      <c r="D6781" s="22" t="s">
        <v>28</v>
      </c>
      <c r="E6781" s="58"/>
      <c r="F6781" s="58"/>
      <c r="G6781" s="48">
        <v>1</v>
      </c>
      <c r="H6781" s="48"/>
      <c r="I6781" s="49"/>
      <c r="J6781" s="49"/>
      <c r="K6781" s="19"/>
      <c r="L6781" s="20"/>
    </row>
    <row r="6782" spans="1:12" outlineLevel="2">
      <c r="A6782" s="143"/>
      <c r="B6782" s="12" t="str">
        <f>IFERROR(VLOOKUP(D6782,'[1]Перечень товаров'!$A$2:$I9525,2,0),"")</f>
        <v>т9</v>
      </c>
      <c r="C6782" s="12" t="str">
        <f>IFERROR(VLOOKUP(D6782,'[1]Перечень товаров'!$A$2:$I9525,3,0),"")</f>
        <v>Техника</v>
      </c>
      <c r="D6782" s="143" t="s">
        <v>36</v>
      </c>
      <c r="E6782" s="58"/>
      <c r="F6782" s="58"/>
      <c r="G6782" s="48">
        <v>1</v>
      </c>
      <c r="H6782" s="48"/>
      <c r="I6782" s="49"/>
      <c r="J6782" s="49"/>
      <c r="K6782" s="19"/>
      <c r="L6782" s="20"/>
    </row>
    <row r="6783" spans="1:12" outlineLevel="2">
      <c r="A6783" s="35"/>
      <c r="B6783" s="12" t="str">
        <f>IFERROR(VLOOKUP(D6783,'[1]Перечень товаров'!$A$2:$I9525,2,0),"")</f>
        <v>т2</v>
      </c>
      <c r="C6783" s="12" t="str">
        <f>IFERROR(VLOOKUP(D6783,'[1]Перечень товаров'!$A$2:$I9525,3,0),"")</f>
        <v xml:space="preserve">Техника </v>
      </c>
      <c r="D6783" s="35" t="s">
        <v>29</v>
      </c>
      <c r="E6783" s="58"/>
      <c r="F6783" s="58"/>
      <c r="G6783" s="48">
        <v>1</v>
      </c>
      <c r="H6783" s="48"/>
      <c r="I6783" s="49"/>
      <c r="J6783" s="49"/>
      <c r="K6783" s="19"/>
      <c r="L6783" s="20"/>
    </row>
    <row r="6784" spans="1:12" outlineLevel="2">
      <c r="A6784" s="35"/>
      <c r="B6784" s="12" t="str">
        <f>IFERROR(VLOOKUP(D6784,'[1]Перечень товаров'!$A$2:$I9525,2,0),"")</f>
        <v>т3</v>
      </c>
      <c r="C6784" s="12" t="str">
        <f>IFERROR(VLOOKUP(D6784,'[1]Перечень товаров'!$A$2:$I9525,3,0),"")</f>
        <v xml:space="preserve">Техника </v>
      </c>
      <c r="D6784" s="35" t="s">
        <v>30</v>
      </c>
      <c r="E6784" s="58"/>
      <c r="F6784" s="58"/>
      <c r="G6784" s="48">
        <v>1</v>
      </c>
      <c r="H6784" s="48"/>
      <c r="I6784" s="49"/>
      <c r="J6784" s="49"/>
      <c r="K6784" s="19"/>
      <c r="L6784" s="20"/>
    </row>
    <row r="6785" spans="1:12" outlineLevel="2">
      <c r="A6785" s="35"/>
      <c r="B6785" s="12" t="str">
        <f>IFERROR(VLOOKUP(D6785,'[1]Перечень товаров'!$A$2:$I9525,2,0),"")</f>
        <v>т4</v>
      </c>
      <c r="C6785" s="12" t="str">
        <f>IFERROR(VLOOKUP(D6785,'[1]Перечень товаров'!$A$2:$I9525,3,0),"")</f>
        <v xml:space="preserve">Техника </v>
      </c>
      <c r="D6785" s="35" t="s">
        <v>31</v>
      </c>
      <c r="E6785" s="58"/>
      <c r="F6785" s="58"/>
      <c r="G6785" s="48">
        <v>1</v>
      </c>
      <c r="H6785" s="48"/>
      <c r="I6785" s="49"/>
      <c r="J6785" s="49"/>
      <c r="K6785" s="19"/>
      <c r="L6785" s="20"/>
    </row>
    <row r="6786" spans="1:12" outlineLevel="2">
      <c r="A6786" s="21"/>
      <c r="B6786" s="12" t="str">
        <f>IFERROR(VLOOKUP(D6786,'[1]Перечень товаров'!$A$2:$I9525,2,0),"")</f>
        <v>тм65</v>
      </c>
      <c r="C6786" s="12" t="str">
        <f>IFERROR(VLOOKUP(D6786,'[1]Перечень товаров'!$A$2:$I9525,3,0),"")</f>
        <v>Техника муз</v>
      </c>
      <c r="D6786" s="22" t="s">
        <v>380</v>
      </c>
      <c r="E6786" s="58"/>
      <c r="F6786" s="58"/>
      <c r="G6786" s="48">
        <v>1</v>
      </c>
      <c r="H6786" s="48"/>
      <c r="I6786" s="49"/>
      <c r="J6786" s="49"/>
      <c r="K6786" s="19"/>
      <c r="L6786" s="20"/>
    </row>
    <row r="6787" spans="1:12" outlineLevel="2">
      <c r="A6787" s="21"/>
      <c r="B6787" s="12" t="str">
        <f>IFERROR(VLOOKUP(D6787,'[1]Перечень товаров'!$A$2:$I9525,2,0),"")</f>
        <v>т12</v>
      </c>
      <c r="C6787" s="12" t="str">
        <f>IFERROR(VLOOKUP(D6787,'[1]Перечень товаров'!$A$2:$I9525,3,0),"")</f>
        <v>Техника</v>
      </c>
      <c r="D6787" s="22" t="s">
        <v>49</v>
      </c>
      <c r="E6787" s="58"/>
      <c r="F6787" s="58"/>
      <c r="G6787" s="48">
        <v>1</v>
      </c>
      <c r="H6787" s="48"/>
      <c r="I6787" s="49"/>
      <c r="J6787" s="49"/>
      <c r="K6787" s="19"/>
      <c r="L6787" s="20"/>
    </row>
    <row r="6788" spans="1:12" outlineLevel="2">
      <c r="A6788" s="35"/>
      <c r="B6788" s="12" t="str">
        <f>IFERROR(VLOOKUP(D6788,'[1]Перечень товаров'!$A$2:$I9525,2,0),"")</f>
        <v>т6</v>
      </c>
      <c r="C6788" s="12" t="str">
        <f>IFERROR(VLOOKUP(D6788,'[1]Перечень товаров'!$A$2:$I9525,3,0),"")</f>
        <v xml:space="preserve">Техника </v>
      </c>
      <c r="D6788" s="35" t="s">
        <v>33</v>
      </c>
      <c r="E6788" s="58"/>
      <c r="F6788" s="58"/>
      <c r="G6788" s="48">
        <v>1</v>
      </c>
      <c r="H6788" s="48"/>
      <c r="I6788" s="49"/>
      <c r="J6788" s="49"/>
      <c r="K6788" s="19"/>
      <c r="L6788" s="20"/>
    </row>
    <row r="6789" spans="1:12" outlineLevel="2">
      <c r="A6789" s="21"/>
      <c r="B6789" s="12" t="str">
        <f>IFERROR(VLOOKUP(D6789,'[1]Перечень товаров'!$A$2:$I9525,2,0),"")</f>
        <v>т7</v>
      </c>
      <c r="C6789" s="12" t="str">
        <f>IFERROR(VLOOKUP(D6789,'[1]Перечень товаров'!$A$2:$I9525,3,0),"")</f>
        <v xml:space="preserve">Техника </v>
      </c>
      <c r="D6789" s="22" t="s">
        <v>34</v>
      </c>
      <c r="E6789" s="58"/>
      <c r="F6789" s="58"/>
      <c r="G6789" s="48">
        <v>3</v>
      </c>
      <c r="H6789" s="48"/>
      <c r="I6789" s="49"/>
      <c r="J6789" s="49"/>
      <c r="K6789" s="19"/>
      <c r="L6789" s="20"/>
    </row>
    <row r="6790" spans="1:12" outlineLevel="2">
      <c r="A6790" s="28"/>
      <c r="B6790" s="12" t="str">
        <f>IFERROR(VLOOKUP(D6790,'[1]Перечень товаров'!$A$2:$I9525,2,0),"")</f>
        <v>т161</v>
      </c>
      <c r="C6790" s="12" t="str">
        <f>IFERROR(VLOOKUP(D6790,'[1]Перечень товаров'!$A$2:$I9525,3,0),"")</f>
        <v xml:space="preserve">Техника </v>
      </c>
      <c r="D6790" s="29" t="s">
        <v>381</v>
      </c>
      <c r="E6790" s="30"/>
      <c r="F6790" s="30"/>
      <c r="G6790" s="59">
        <v>1</v>
      </c>
      <c r="H6790" s="59"/>
      <c r="I6790" s="60"/>
      <c r="J6790" s="60"/>
      <c r="K6790" s="19"/>
      <c r="L6790" s="20"/>
    </row>
    <row r="6791" spans="1:12" outlineLevel="2">
      <c r="A6791" s="113"/>
      <c r="B6791" s="12" t="str">
        <f>IFERROR(VLOOKUP(D6791,'[1]Перечень товаров'!$A$2:$I9525,2,0),"")</f>
        <v/>
      </c>
      <c r="C6791" s="12" t="str">
        <f>IFERROR(VLOOKUP(D6791,'[1]Перечень товаров'!$A$2:$I9525,3,0),"")</f>
        <v/>
      </c>
      <c r="D6791" s="114" t="s">
        <v>19</v>
      </c>
      <c r="E6791" s="115"/>
      <c r="F6791" s="115"/>
      <c r="G6791" s="59"/>
      <c r="H6791" s="59"/>
      <c r="I6791" s="60"/>
      <c r="J6791" s="60"/>
      <c r="K6791" s="19"/>
      <c r="L6791" s="20"/>
    </row>
    <row r="6792" spans="1:12" outlineLevel="2">
      <c r="A6792" s="34"/>
      <c r="B6792" s="12" t="str">
        <f>IFERROR(VLOOKUP(D6792,'[1]Перечень товаров'!$A$2:$I9525,2,0),"")</f>
        <v>м62</v>
      </c>
      <c r="C6792" s="12" t="str">
        <f>IFERROR(VLOOKUP(D6792,'[1]Перечень товаров'!$A$2:$I9525,3,0),"")</f>
        <v>Мебель</v>
      </c>
      <c r="D6792" s="35" t="s">
        <v>398</v>
      </c>
      <c r="E6792" s="88"/>
      <c r="F6792" s="88"/>
      <c r="G6792" s="59">
        <v>1</v>
      </c>
      <c r="H6792" s="59"/>
      <c r="I6792" s="60"/>
      <c r="J6792" s="60"/>
      <c r="K6792" s="19"/>
      <c r="L6792" s="20"/>
    </row>
    <row r="6793" spans="1:12" outlineLevel="2">
      <c r="A6793" s="34"/>
      <c r="B6793" s="12" t="str">
        <f>IFERROR(VLOOKUP(D6793,'[1]Перечень товаров'!$A$2:$I9525,2,0),"")</f>
        <v>м61</v>
      </c>
      <c r="C6793" s="12" t="str">
        <f>IFERROR(VLOOKUP(D6793,'[1]Перечень товаров'!$A$2:$I9525,3,0),"")</f>
        <v>Мебель</v>
      </c>
      <c r="D6793" s="35" t="s">
        <v>383</v>
      </c>
      <c r="E6793" s="88"/>
      <c r="F6793" s="88"/>
      <c r="G6793" s="59">
        <v>1</v>
      </c>
      <c r="H6793" s="59"/>
      <c r="I6793" s="60"/>
      <c r="J6793" s="60"/>
      <c r="K6793" s="19"/>
      <c r="L6793" s="20"/>
    </row>
    <row r="6794" spans="1:12" outlineLevel="2">
      <c r="A6794" s="34"/>
      <c r="B6794" s="12" t="str">
        <f>IFERROR(VLOOKUP(D6794,'[1]Перечень товаров'!$A$2:$I9525,2,0),"")</f>
        <v>м179</v>
      </c>
      <c r="C6794" s="12" t="str">
        <f>IFERROR(VLOOKUP(D6794,'[1]Перечень товаров'!$A$2:$I9525,3,0),"")</f>
        <v>Мебель</v>
      </c>
      <c r="D6794" s="35" t="s">
        <v>579</v>
      </c>
      <c r="E6794" s="88"/>
      <c r="F6794" s="88"/>
      <c r="G6794" s="59">
        <v>10</v>
      </c>
      <c r="H6794" s="59"/>
      <c r="I6794" s="60"/>
      <c r="J6794" s="60"/>
      <c r="K6794" s="19"/>
      <c r="L6794" s="20"/>
    </row>
    <row r="6795" spans="1:12" outlineLevel="2">
      <c r="A6795" s="34"/>
      <c r="B6795" s="12" t="str">
        <f>IFERROR(VLOOKUP(D6795,'[1]Перечень товаров'!$A$2:$I9525,2,0),"")</f>
        <v>м61</v>
      </c>
      <c r="C6795" s="12" t="str">
        <f>IFERROR(VLOOKUP(D6795,'[1]Перечень товаров'!$A$2:$I9525,3,0),"")</f>
        <v>Мебель</v>
      </c>
      <c r="D6795" s="35" t="s">
        <v>384</v>
      </c>
      <c r="E6795" s="88"/>
      <c r="F6795" s="88"/>
      <c r="G6795" s="59">
        <v>20</v>
      </c>
      <c r="H6795" s="59"/>
      <c r="I6795" s="60"/>
      <c r="J6795" s="60"/>
      <c r="K6795" s="19"/>
      <c r="L6795" s="20"/>
    </row>
    <row r="6796" spans="1:12" outlineLevel="2">
      <c r="A6796" s="21"/>
      <c r="B6796" s="12" t="str">
        <f>IFERROR(VLOOKUP(D6796,'[1]Перечень товаров'!$A$2:$I9525,2,0),"")</f>
        <v>м13</v>
      </c>
      <c r="C6796" s="12" t="str">
        <f>IFERROR(VLOOKUP(D6796,'[1]Перечень товаров'!$A$2:$I9525,3,0),"")</f>
        <v>Мебель</v>
      </c>
      <c r="D6796" s="22" t="s">
        <v>42</v>
      </c>
      <c r="E6796" s="58"/>
      <c r="F6796" s="58"/>
      <c r="G6796" s="24">
        <v>1</v>
      </c>
      <c r="H6796" s="24"/>
      <c r="I6796" s="25"/>
      <c r="J6796" s="25"/>
      <c r="K6796" s="19"/>
      <c r="L6796" s="20"/>
    </row>
    <row r="6797" spans="1:12" outlineLevel="2">
      <c r="A6797" s="21"/>
      <c r="B6797" s="12" t="str">
        <f>IFERROR(VLOOKUP(D6797,'[1]Перечень товаров'!$A$2:$I9525,2,0),"")</f>
        <v>м14</v>
      </c>
      <c r="C6797" s="12" t="str">
        <f>IFERROR(VLOOKUP(D6797,'[1]Перечень товаров'!$A$2:$I9525,3,0),"")</f>
        <v>Мебель</v>
      </c>
      <c r="D6797" s="22" t="s">
        <v>43</v>
      </c>
      <c r="E6797" s="58"/>
      <c r="F6797" s="58"/>
      <c r="G6797" s="24">
        <v>1</v>
      </c>
      <c r="H6797" s="24"/>
      <c r="I6797" s="25"/>
      <c r="J6797" s="25"/>
      <c r="K6797" s="19"/>
      <c r="L6797" s="20"/>
    </row>
    <row r="6798" spans="1:12" ht="31.5" outlineLevel="2">
      <c r="A6798" s="21"/>
      <c r="B6798" s="12" t="str">
        <f>IFERROR(VLOOKUP(D6798,'[1]Перечень товаров'!$A$2:$I9525,2,0),"")</f>
        <v>м106</v>
      </c>
      <c r="C6798" s="12" t="str">
        <f>IFERROR(VLOOKUP(D6798,'[1]Перечень товаров'!$A$2:$I9525,3,0),"")</f>
        <v>мебель</v>
      </c>
      <c r="D6798" s="22" t="s">
        <v>1785</v>
      </c>
      <c r="E6798" s="58"/>
      <c r="F6798" s="58"/>
      <c r="G6798" s="24">
        <v>1</v>
      </c>
      <c r="H6798" s="24"/>
      <c r="I6798" s="25"/>
      <c r="J6798" s="25"/>
      <c r="K6798" s="19"/>
      <c r="L6798" s="20"/>
    </row>
    <row r="6799" spans="1:12" outlineLevel="2">
      <c r="A6799" s="21"/>
      <c r="B6799" s="12" t="str">
        <f>IFERROR(VLOOKUP(D6799,'[1]Перечень товаров'!$A$2:$I9525,2,0),"")</f>
        <v>п2</v>
      </c>
      <c r="C6799" s="12" t="str">
        <f>IFERROR(VLOOKUP(D6799,'[1]Перечень товаров'!$A$2:$I9525,3,0),"")</f>
        <v>Прочее</v>
      </c>
      <c r="D6799" s="22" t="s">
        <v>46</v>
      </c>
      <c r="E6799" s="58"/>
      <c r="F6799" s="58"/>
      <c r="G6799" s="24">
        <v>1</v>
      </c>
      <c r="H6799" s="24"/>
      <c r="I6799" s="25"/>
      <c r="J6799" s="25"/>
      <c r="K6799" s="19"/>
      <c r="L6799" s="20"/>
    </row>
    <row r="6800" spans="1:12" ht="31.5" outlineLevel="2">
      <c r="A6800" s="155"/>
      <c r="B6800" s="12" t="str">
        <f>IFERROR(VLOOKUP(D6800,'[1]Перечень товаров'!$A$2:$I9525,2,0),"")</f>
        <v>м21</v>
      </c>
      <c r="C6800" s="12" t="str">
        <f>IFERROR(VLOOKUP(D6800,'[1]Перечень товаров'!$A$2:$I9525,3,0),"")</f>
        <v>Мебель</v>
      </c>
      <c r="D6800" s="156" t="s">
        <v>58</v>
      </c>
      <c r="E6800" s="58"/>
      <c r="F6800" s="58"/>
      <c r="G6800" s="24">
        <v>1</v>
      </c>
      <c r="H6800" s="24"/>
      <c r="I6800" s="25"/>
      <c r="J6800" s="25"/>
      <c r="K6800" s="19"/>
      <c r="L6800" s="20"/>
    </row>
    <row r="6801" spans="1:12" outlineLevel="2">
      <c r="A6801" s="116"/>
      <c r="B6801" s="12" t="str">
        <f>IFERROR(VLOOKUP(D6801,'[1]Перечень товаров'!$A$2:$I9525,2,0),"")</f>
        <v/>
      </c>
      <c r="C6801" s="12" t="str">
        <f>IFERROR(VLOOKUP(D6801,'[1]Перечень товаров'!$A$2:$I9525,3,0),"")</f>
        <v/>
      </c>
      <c r="D6801" s="117" t="s">
        <v>391</v>
      </c>
      <c r="E6801" s="217"/>
      <c r="F6801" s="217"/>
      <c r="G6801" s="59"/>
      <c r="H6801" s="59"/>
      <c r="I6801" s="60"/>
      <c r="J6801" s="60"/>
      <c r="K6801" s="19"/>
      <c r="L6801" s="20"/>
    </row>
    <row r="6802" spans="1:12" outlineLevel="2">
      <c r="A6802" s="28"/>
      <c r="B6802" s="12" t="str">
        <f>IFERROR(VLOOKUP(D6802,'[1]Перечень товаров'!$A$2:$I9525,2,0),"")</f>
        <v>мм1</v>
      </c>
      <c r="C6802" s="12" t="str">
        <f>IFERROR(VLOOKUP(D6802,'[1]Перечень товаров'!$A$2:$I9525,3,0),"")</f>
        <v>Мебель муз</v>
      </c>
      <c r="D6802" s="29" t="s">
        <v>1134</v>
      </c>
      <c r="E6802" s="30"/>
      <c r="F6802" s="30"/>
      <c r="G6802" s="59">
        <v>1</v>
      </c>
      <c r="H6802" s="59"/>
      <c r="I6802" s="60"/>
      <c r="J6802" s="60"/>
      <c r="K6802" s="19"/>
      <c r="L6802" s="20"/>
    </row>
    <row r="6803" spans="1:12" ht="47.25" outlineLevel="2">
      <c r="A6803" s="28"/>
      <c r="B6803" s="12" t="str">
        <f>IFERROR(VLOOKUP(D6803,'[1]Перечень товаров'!$A$2:$I9525,2,0),"")</f>
        <v>пм168</v>
      </c>
      <c r="C6803" s="12" t="str">
        <f>IFERROR(VLOOKUP(D6803,'[1]Перечень товаров'!$A$2:$I9525,3,0),"")</f>
        <v>прочее муз</v>
      </c>
      <c r="D6803" s="29" t="s">
        <v>1135</v>
      </c>
      <c r="E6803" s="30"/>
      <c r="F6803" s="30"/>
      <c r="G6803" s="59">
        <v>4</v>
      </c>
      <c r="H6803" s="59"/>
      <c r="I6803" s="60"/>
      <c r="J6803" s="60"/>
      <c r="K6803" s="19"/>
      <c r="L6803" s="20"/>
    </row>
    <row r="6804" spans="1:12" ht="47.25" outlineLevel="2">
      <c r="A6804" s="28"/>
      <c r="B6804" s="12" t="str">
        <f>IFERROR(VLOOKUP(D6804,'[1]Перечень товаров'!$A$2:$I9525,2,0),"")</f>
        <v>тм103</v>
      </c>
      <c r="C6804" s="12" t="str">
        <f>IFERROR(VLOOKUP(D6804,'[1]Перечень товаров'!$A$2:$I9525,3,0),"")</f>
        <v>Техника муз</v>
      </c>
      <c r="D6804" s="29" t="s">
        <v>1786</v>
      </c>
      <c r="E6804" s="30"/>
      <c r="F6804" s="30"/>
      <c r="G6804" s="59">
        <v>1</v>
      </c>
      <c r="H6804" s="59"/>
      <c r="I6804" s="60"/>
      <c r="J6804" s="60"/>
      <c r="K6804" s="19"/>
      <c r="L6804" s="20"/>
    </row>
    <row r="6805" spans="1:12" outlineLevel="2">
      <c r="A6805" s="28"/>
      <c r="B6805" s="12" t="str">
        <f>IFERROR(VLOOKUP(D6805,'[1]Перечень товаров'!$A$2:$I9525,2,0),"")</f>
        <v>пм167</v>
      </c>
      <c r="C6805" s="12" t="str">
        <f>IFERROR(VLOOKUP(D6805,'[1]Перечень товаров'!$A$2:$I9525,3,0),"")</f>
        <v>прочее муз</v>
      </c>
      <c r="D6805" s="29" t="s">
        <v>1136</v>
      </c>
      <c r="E6805" s="30"/>
      <c r="F6805" s="30"/>
      <c r="G6805" s="59">
        <v>1</v>
      </c>
      <c r="H6805" s="59"/>
      <c r="I6805" s="60"/>
      <c r="J6805" s="60"/>
      <c r="K6805" s="19"/>
      <c r="L6805" s="20"/>
    </row>
    <row r="6806" spans="1:12" ht="31.5" outlineLevel="2">
      <c r="A6806" s="28"/>
      <c r="B6806" s="12" t="str">
        <f>IFERROR(VLOOKUP(D6806,'[1]Перечень товаров'!$A$2:$I9525,2,0),"")</f>
        <v>пм166</v>
      </c>
      <c r="C6806" s="12" t="str">
        <f>IFERROR(VLOOKUP(D6806,'[1]Перечень товаров'!$A$2:$I9525,3,0),"")</f>
        <v>прочее муз</v>
      </c>
      <c r="D6806" s="29" t="s">
        <v>1137</v>
      </c>
      <c r="E6806" s="30"/>
      <c r="F6806" s="30"/>
      <c r="G6806" s="59">
        <v>1</v>
      </c>
      <c r="H6806" s="59"/>
      <c r="I6806" s="60"/>
      <c r="J6806" s="60"/>
      <c r="K6806" s="19"/>
      <c r="L6806" s="20"/>
    </row>
    <row r="6807" spans="1:12" ht="31.5" outlineLevel="2">
      <c r="A6807" s="28"/>
      <c r="B6807" s="12" t="str">
        <f>IFERROR(VLOOKUP(D6807,'[1]Перечень товаров'!$A$2:$I9525,2,0),"")</f>
        <v>т130</v>
      </c>
      <c r="C6807" s="12" t="str">
        <f>IFERROR(VLOOKUP(D6807,'[1]Перечень товаров'!$A$2:$I9525,3,0),"")</f>
        <v>Техника</v>
      </c>
      <c r="D6807" s="29" t="s">
        <v>1138</v>
      </c>
      <c r="E6807" s="30"/>
      <c r="F6807" s="30"/>
      <c r="G6807" s="59">
        <v>1</v>
      </c>
      <c r="H6807" s="59"/>
      <c r="I6807" s="60"/>
      <c r="J6807" s="60"/>
      <c r="K6807" s="19"/>
      <c r="L6807" s="20"/>
    </row>
    <row r="6808" spans="1:12" outlineLevel="2">
      <c r="A6808" s="54"/>
      <c r="B6808" s="12" t="str">
        <f>IFERROR(VLOOKUP(D6808,'[1]Перечень товаров'!$A$2:$I9525,2,0),"")</f>
        <v/>
      </c>
      <c r="C6808" s="12" t="str">
        <f>IFERROR(VLOOKUP(D6808,'[1]Перечень товаров'!$A$2:$I9525,3,0),"")</f>
        <v/>
      </c>
      <c r="D6808" s="55" t="s">
        <v>45</v>
      </c>
      <c r="E6808" s="217"/>
      <c r="F6808" s="217"/>
      <c r="G6808" s="59"/>
      <c r="H6808" s="59"/>
      <c r="I6808" s="60"/>
      <c r="J6808" s="60"/>
      <c r="K6808" s="19"/>
      <c r="L6808" s="20"/>
    </row>
    <row r="6809" spans="1:12" outlineLevel="2">
      <c r="A6809" s="43"/>
      <c r="B6809" s="12" t="str">
        <f>IFERROR(VLOOKUP(D6809,'[1]Перечень товаров'!$A$2:$I9525,2,0),"")</f>
        <v>м7</v>
      </c>
      <c r="C6809" s="12" t="str">
        <f>IFERROR(VLOOKUP(D6809,'[1]Перечень товаров'!$A$2:$I9525,3,0),"")</f>
        <v>Мебель</v>
      </c>
      <c r="D6809" s="44" t="s">
        <v>24</v>
      </c>
      <c r="E6809" s="30"/>
      <c r="F6809" s="30"/>
      <c r="G6809" s="59">
        <v>1</v>
      </c>
      <c r="H6809" s="59"/>
      <c r="I6809" s="60"/>
      <c r="J6809" s="60"/>
      <c r="K6809" s="19"/>
      <c r="L6809" s="20"/>
    </row>
    <row r="6810" spans="1:12" outlineLevel="2">
      <c r="A6810" s="43"/>
      <c r="B6810" s="12" t="str">
        <f>IFERROR(VLOOKUP(D6810,'[1]Перечень товаров'!$A$2:$I9525,2,0),"")</f>
        <v>п1</v>
      </c>
      <c r="C6810" s="12" t="str">
        <f>IFERROR(VLOOKUP(D6810,'[1]Перечень товаров'!$A$2:$I9525,3,0),"")</f>
        <v>Прочее</v>
      </c>
      <c r="D6810" s="44" t="s">
        <v>37</v>
      </c>
      <c r="E6810" s="30"/>
      <c r="F6810" s="30"/>
      <c r="G6810" s="59">
        <v>1</v>
      </c>
      <c r="H6810" s="59"/>
      <c r="I6810" s="60"/>
      <c r="J6810" s="60"/>
      <c r="K6810" s="19"/>
      <c r="L6810" s="20"/>
    </row>
    <row r="6811" spans="1:12" ht="12.75" outlineLevel="1">
      <c r="A6811" s="11"/>
      <c r="B6811" s="12" t="str">
        <f>IFERROR(VLOOKUP(D6811,'[1]Перечень товаров'!$A$2:$I9525,2,0),"")</f>
        <v/>
      </c>
      <c r="C6811" s="12" t="str">
        <f>IFERROR(VLOOKUP(D6811,'[1]Перечень товаров'!$A$2:$I9525,3,0),"")</f>
        <v/>
      </c>
      <c r="D6811" s="27" t="s">
        <v>338</v>
      </c>
      <c r="E6811" s="99">
        <v>46128</v>
      </c>
      <c r="F6811" s="99"/>
      <c r="G6811" s="100"/>
      <c r="H6811" s="100"/>
      <c r="I6811" s="101"/>
      <c r="J6811" s="101"/>
      <c r="K6811" s="19"/>
      <c r="L6811" s="20"/>
    </row>
    <row r="6812" spans="1:12" ht="12.75" outlineLevel="2">
      <c r="A6812" s="77"/>
      <c r="B6812" s="12" t="str">
        <f>IFERROR(VLOOKUP(D6812,'[1]Перечень товаров'!$A$2:$I9525,2,0),"")</f>
        <v/>
      </c>
      <c r="C6812" s="12" t="str">
        <f>IFERROR(VLOOKUP(D6812,'[1]Перечень товаров'!$A$2:$I9525,3,0),"")</f>
        <v/>
      </c>
      <c r="D6812" s="78" t="s">
        <v>19</v>
      </c>
      <c r="E6812" s="79"/>
      <c r="F6812" s="79"/>
      <c r="G6812" s="100"/>
      <c r="H6812" s="100"/>
      <c r="I6812" s="101"/>
      <c r="J6812" s="101"/>
      <c r="K6812" s="19"/>
      <c r="L6812" s="20"/>
    </row>
    <row r="6813" spans="1:12" outlineLevel="2">
      <c r="A6813" s="43"/>
      <c r="B6813" s="12" t="str">
        <f>IFERROR(VLOOKUP(D6813,'[1]Перечень товаров'!$A$2:$I9525,2,0),"")</f>
        <v>м25</v>
      </c>
      <c r="C6813" s="12" t="str">
        <f>IFERROR(VLOOKUP(D6813,'[1]Перечень товаров'!$A$2:$I9525,3,0),"")</f>
        <v>Мебель</v>
      </c>
      <c r="D6813" s="44" t="s">
        <v>175</v>
      </c>
      <c r="E6813" s="23"/>
      <c r="F6813" s="23"/>
      <c r="G6813" s="23">
        <v>10</v>
      </c>
      <c r="H6813" s="23"/>
      <c r="I6813" s="121"/>
      <c r="J6813" s="121"/>
      <c r="K6813" s="19"/>
      <c r="L6813" s="20"/>
    </row>
    <row r="6814" spans="1:12" outlineLevel="2">
      <c r="A6814" s="43"/>
      <c r="B6814" s="12" t="str">
        <f>IFERROR(VLOOKUP(D6814,'[1]Перечень товаров'!$A$2:$I9525,2,0),"")</f>
        <v>м26</v>
      </c>
      <c r="C6814" s="12" t="str">
        <f>IFERROR(VLOOKUP(D6814,'[1]Перечень товаров'!$A$2:$I9525,3,0),"")</f>
        <v>Мебель</v>
      </c>
      <c r="D6814" s="44" t="s">
        <v>176</v>
      </c>
      <c r="E6814" s="23"/>
      <c r="F6814" s="23"/>
      <c r="G6814" s="23">
        <v>5</v>
      </c>
      <c r="H6814" s="23"/>
      <c r="I6814" s="121"/>
      <c r="J6814" s="121"/>
      <c r="K6814" s="19"/>
      <c r="L6814" s="20"/>
    </row>
    <row r="6815" spans="1:12" outlineLevel="2">
      <c r="A6815" s="43"/>
      <c r="B6815" s="12" t="str">
        <f>IFERROR(VLOOKUP(D6815,'[1]Перечень товаров'!$A$2:$I9525,2,0),"")</f>
        <v>м27</v>
      </c>
      <c r="C6815" s="12" t="str">
        <f>IFERROR(VLOOKUP(D6815,'[1]Перечень товаров'!$A$2:$I9525,3,0),"")</f>
        <v>Мебель</v>
      </c>
      <c r="D6815" s="44" t="s">
        <v>177</v>
      </c>
      <c r="E6815" s="23"/>
      <c r="F6815" s="23"/>
      <c r="G6815" s="23">
        <v>2</v>
      </c>
      <c r="H6815" s="23"/>
      <c r="I6815" s="121"/>
      <c r="J6815" s="121"/>
      <c r="K6815" s="19"/>
      <c r="L6815" s="20"/>
    </row>
    <row r="6816" spans="1:12" outlineLevel="2">
      <c r="A6816" s="43"/>
      <c r="B6816" s="12" t="str">
        <f>IFERROR(VLOOKUP(D6816,'[1]Перечень товаров'!$A$2:$I9525,2,0),"")</f>
        <v>м28</v>
      </c>
      <c r="C6816" s="12" t="str">
        <f>IFERROR(VLOOKUP(D6816,'[1]Перечень товаров'!$A$2:$I9525,3,0),"")</f>
        <v>Мебель</v>
      </c>
      <c r="D6816" s="44" t="s">
        <v>178</v>
      </c>
      <c r="E6816" s="23"/>
      <c r="F6816" s="23"/>
      <c r="G6816" s="23">
        <v>1</v>
      </c>
      <c r="H6816" s="23"/>
      <c r="I6816" s="121"/>
      <c r="J6816" s="121"/>
      <c r="K6816" s="19"/>
      <c r="L6816" s="20"/>
    </row>
    <row r="6817" spans="1:12" outlineLevel="2">
      <c r="A6817" s="21"/>
      <c r="B6817" s="12" t="str">
        <f>IFERROR(VLOOKUP(D6817,'[1]Перечень товаров'!$A$2:$I9525,2,0),"")</f>
        <v>мм1</v>
      </c>
      <c r="C6817" s="12" t="str">
        <f>IFERROR(VLOOKUP(D6817,'[1]Перечень товаров'!$A$2:$I9525,3,0),"")</f>
        <v>Мебель муз</v>
      </c>
      <c r="D6817" s="22" t="s">
        <v>179</v>
      </c>
      <c r="E6817" s="23"/>
      <c r="F6817" s="23"/>
      <c r="G6817" s="23">
        <v>1</v>
      </c>
      <c r="H6817" s="23"/>
      <c r="I6817" s="121"/>
      <c r="J6817" s="121"/>
      <c r="K6817" s="19"/>
      <c r="L6817" s="20"/>
    </row>
    <row r="6818" spans="1:12" ht="12.75" outlineLevel="1">
      <c r="A6818" s="89"/>
      <c r="B6818" s="12" t="str">
        <f>IFERROR(VLOOKUP(D6818,'[1]Перечень товаров'!$A$2:$I9525,2,0),"")</f>
        <v/>
      </c>
      <c r="C6818" s="12" t="str">
        <f>IFERROR(VLOOKUP(D6818,'[1]Перечень товаров'!$A$2:$I9525,3,0),"")</f>
        <v/>
      </c>
      <c r="D6818" s="90" t="s">
        <v>1676</v>
      </c>
      <c r="E6818" s="91" t="s">
        <v>1787</v>
      </c>
      <c r="F6818" s="91"/>
      <c r="G6818" s="17"/>
      <c r="H6818" s="17"/>
      <c r="I6818" s="57"/>
      <c r="J6818" s="57"/>
      <c r="K6818" s="19"/>
      <c r="L6818" s="20"/>
    </row>
    <row r="6819" spans="1:12" ht="15" outlineLevel="2">
      <c r="A6819" s="109"/>
      <c r="B6819" s="12" t="str">
        <f>IFERROR(VLOOKUP(D6819,'[1]Перечень товаров'!$A$2:$I9525,2,0),"")</f>
        <v/>
      </c>
      <c r="C6819" s="12" t="str">
        <f>IFERROR(VLOOKUP(D6819,'[1]Перечень товаров'!$A$2:$I9525,3,0),"")</f>
        <v/>
      </c>
      <c r="D6819" s="110" t="s">
        <v>27</v>
      </c>
      <c r="E6819" s="45"/>
      <c r="F6819" s="45"/>
      <c r="G6819" s="111"/>
      <c r="H6819" s="111"/>
      <c r="I6819" s="112"/>
      <c r="J6819" s="112"/>
      <c r="K6819" s="19"/>
      <c r="L6819" s="20"/>
    </row>
    <row r="6820" spans="1:12" outlineLevel="2">
      <c r="A6820" s="21"/>
      <c r="B6820" s="12" t="str">
        <f>IFERROR(VLOOKUP(D6820,'[1]Перечень товаров'!$A$2:$I9525,2,0),"")</f>
        <v>т1</v>
      </c>
      <c r="C6820" s="12" t="str">
        <f>IFERROR(VLOOKUP(D6820,'[1]Перечень товаров'!$A$2:$I9525,3,0),"")</f>
        <v xml:space="preserve">Техника </v>
      </c>
      <c r="D6820" s="22" t="s">
        <v>28</v>
      </c>
      <c r="E6820" s="58"/>
      <c r="F6820" s="58"/>
      <c r="G6820" s="48">
        <v>1</v>
      </c>
      <c r="H6820" s="48"/>
      <c r="I6820" s="49"/>
      <c r="J6820" s="49"/>
      <c r="K6820" s="19"/>
      <c r="L6820" s="20"/>
    </row>
    <row r="6821" spans="1:12" outlineLevel="2">
      <c r="A6821" s="143"/>
      <c r="B6821" s="12" t="str">
        <f>IFERROR(VLOOKUP(D6821,'[1]Перечень товаров'!$A$2:$I9525,2,0),"")</f>
        <v>т9</v>
      </c>
      <c r="C6821" s="12" t="str">
        <f>IFERROR(VLOOKUP(D6821,'[1]Перечень товаров'!$A$2:$I9525,3,0),"")</f>
        <v>Техника</v>
      </c>
      <c r="D6821" s="143" t="s">
        <v>36</v>
      </c>
      <c r="E6821" s="58"/>
      <c r="F6821" s="58"/>
      <c r="G6821" s="48">
        <v>1</v>
      </c>
      <c r="H6821" s="48"/>
      <c r="I6821" s="49"/>
      <c r="J6821" s="49"/>
      <c r="K6821" s="19"/>
      <c r="L6821" s="20"/>
    </row>
    <row r="6822" spans="1:12" outlineLevel="2">
      <c r="A6822" s="35"/>
      <c r="B6822" s="12" t="str">
        <f>IFERROR(VLOOKUP(D6822,'[1]Перечень товаров'!$A$2:$I9525,2,0),"")</f>
        <v>т2</v>
      </c>
      <c r="C6822" s="12" t="str">
        <f>IFERROR(VLOOKUP(D6822,'[1]Перечень товаров'!$A$2:$I9525,3,0),"")</f>
        <v xml:space="preserve">Техника </v>
      </c>
      <c r="D6822" s="35" t="s">
        <v>29</v>
      </c>
      <c r="E6822" s="58"/>
      <c r="F6822" s="58"/>
      <c r="G6822" s="48">
        <v>1</v>
      </c>
      <c r="H6822" s="48"/>
      <c r="I6822" s="49"/>
      <c r="J6822" s="49"/>
      <c r="K6822" s="19"/>
      <c r="L6822" s="20"/>
    </row>
    <row r="6823" spans="1:12" outlineLevel="2">
      <c r="A6823" s="35"/>
      <c r="B6823" s="12" t="str">
        <f>IFERROR(VLOOKUP(D6823,'[1]Перечень товаров'!$A$2:$I9525,2,0),"")</f>
        <v>т3</v>
      </c>
      <c r="C6823" s="12" t="str">
        <f>IFERROR(VLOOKUP(D6823,'[1]Перечень товаров'!$A$2:$I9525,3,0),"")</f>
        <v xml:space="preserve">Техника </v>
      </c>
      <c r="D6823" s="35" t="s">
        <v>30</v>
      </c>
      <c r="E6823" s="58"/>
      <c r="F6823" s="58"/>
      <c r="G6823" s="48">
        <v>1</v>
      </c>
      <c r="H6823" s="48"/>
      <c r="I6823" s="49"/>
      <c r="J6823" s="49"/>
      <c r="K6823" s="19"/>
      <c r="L6823" s="20"/>
    </row>
    <row r="6824" spans="1:12" outlineLevel="2">
      <c r="A6824" s="35"/>
      <c r="B6824" s="12" t="str">
        <f>IFERROR(VLOOKUP(D6824,'[1]Перечень товаров'!$A$2:$I9525,2,0),"")</f>
        <v>т4</v>
      </c>
      <c r="C6824" s="12" t="str">
        <f>IFERROR(VLOOKUP(D6824,'[1]Перечень товаров'!$A$2:$I9525,3,0),"")</f>
        <v xml:space="preserve">Техника </v>
      </c>
      <c r="D6824" s="35" t="s">
        <v>31</v>
      </c>
      <c r="E6824" s="58"/>
      <c r="F6824" s="58"/>
      <c r="G6824" s="48">
        <v>1</v>
      </c>
      <c r="H6824" s="48"/>
      <c r="I6824" s="49"/>
      <c r="J6824" s="49"/>
      <c r="K6824" s="19"/>
      <c r="L6824" s="20"/>
    </row>
    <row r="6825" spans="1:12" outlineLevel="2">
      <c r="A6825" s="21"/>
      <c r="B6825" s="12" t="str">
        <f>IFERROR(VLOOKUP(D6825,'[1]Перечень товаров'!$A$2:$I9525,2,0),"")</f>
        <v>тм65</v>
      </c>
      <c r="C6825" s="12" t="str">
        <f>IFERROR(VLOOKUP(D6825,'[1]Перечень товаров'!$A$2:$I9525,3,0),"")</f>
        <v>Техника муз</v>
      </c>
      <c r="D6825" s="22" t="s">
        <v>380</v>
      </c>
      <c r="E6825" s="58"/>
      <c r="F6825" s="58"/>
      <c r="G6825" s="48">
        <v>1</v>
      </c>
      <c r="H6825" s="48"/>
      <c r="I6825" s="49"/>
      <c r="J6825" s="49"/>
      <c r="K6825" s="19"/>
      <c r="L6825" s="20"/>
    </row>
    <row r="6826" spans="1:12" outlineLevel="2">
      <c r="A6826" s="21"/>
      <c r="B6826" s="12" t="str">
        <f>IFERROR(VLOOKUP(D6826,'[1]Перечень товаров'!$A$2:$I9525,2,0),"")</f>
        <v>т12</v>
      </c>
      <c r="C6826" s="12" t="str">
        <f>IFERROR(VLOOKUP(D6826,'[1]Перечень товаров'!$A$2:$I9525,3,0),"")</f>
        <v>Техника</v>
      </c>
      <c r="D6826" s="22" t="s">
        <v>49</v>
      </c>
      <c r="E6826" s="58"/>
      <c r="F6826" s="58"/>
      <c r="G6826" s="48">
        <v>1</v>
      </c>
      <c r="H6826" s="48"/>
      <c r="I6826" s="49"/>
      <c r="J6826" s="49"/>
      <c r="K6826" s="19"/>
      <c r="L6826" s="20"/>
    </row>
    <row r="6827" spans="1:12" outlineLevel="2">
      <c r="A6827" s="35"/>
      <c r="B6827" s="12" t="str">
        <f>IFERROR(VLOOKUP(D6827,'[1]Перечень товаров'!$A$2:$I9525,2,0),"")</f>
        <v>т6</v>
      </c>
      <c r="C6827" s="12" t="str">
        <f>IFERROR(VLOOKUP(D6827,'[1]Перечень товаров'!$A$2:$I9525,3,0),"")</f>
        <v xml:space="preserve">Техника </v>
      </c>
      <c r="D6827" s="35" t="s">
        <v>33</v>
      </c>
      <c r="E6827" s="58"/>
      <c r="F6827" s="58"/>
      <c r="G6827" s="48">
        <v>1</v>
      </c>
      <c r="H6827" s="48"/>
      <c r="I6827" s="49"/>
      <c r="J6827" s="49"/>
      <c r="K6827" s="19"/>
      <c r="L6827" s="20"/>
    </row>
    <row r="6828" spans="1:12" outlineLevel="2">
      <c r="A6828" s="21"/>
      <c r="B6828" s="12" t="str">
        <f>IFERROR(VLOOKUP(D6828,'[1]Перечень товаров'!$A$2:$I9525,2,0),"")</f>
        <v>т7</v>
      </c>
      <c r="C6828" s="12" t="str">
        <f>IFERROR(VLOOKUP(D6828,'[1]Перечень товаров'!$A$2:$I9525,3,0),"")</f>
        <v xml:space="preserve">Техника </v>
      </c>
      <c r="D6828" s="22" t="s">
        <v>34</v>
      </c>
      <c r="E6828" s="58"/>
      <c r="F6828" s="58"/>
      <c r="G6828" s="48">
        <v>3</v>
      </c>
      <c r="H6828" s="48"/>
      <c r="I6828" s="49"/>
      <c r="J6828" s="49"/>
      <c r="K6828" s="19"/>
      <c r="L6828" s="20"/>
    </row>
    <row r="6829" spans="1:12" outlineLevel="2">
      <c r="A6829" s="28"/>
      <c r="B6829" s="12" t="str">
        <f>IFERROR(VLOOKUP(D6829,'[1]Перечень товаров'!$A$2:$I9525,2,0),"")</f>
        <v>т161</v>
      </c>
      <c r="C6829" s="12" t="str">
        <f>IFERROR(VLOOKUP(D6829,'[1]Перечень товаров'!$A$2:$I9525,3,0),"")</f>
        <v xml:space="preserve">Техника </v>
      </c>
      <c r="D6829" s="29" t="s">
        <v>381</v>
      </c>
      <c r="E6829" s="30"/>
      <c r="F6829" s="30"/>
      <c r="G6829" s="59">
        <v>1</v>
      </c>
      <c r="H6829" s="59"/>
      <c r="I6829" s="60"/>
      <c r="J6829" s="60"/>
      <c r="K6829" s="19"/>
      <c r="L6829" s="20"/>
    </row>
    <row r="6830" spans="1:12" outlineLevel="2">
      <c r="A6830" s="113"/>
      <c r="B6830" s="12" t="str">
        <f>IFERROR(VLOOKUP(D6830,'[1]Перечень товаров'!$A$2:$I9525,2,0),"")</f>
        <v/>
      </c>
      <c r="C6830" s="12" t="str">
        <f>IFERROR(VLOOKUP(D6830,'[1]Перечень товаров'!$A$2:$I9525,3,0),"")</f>
        <v/>
      </c>
      <c r="D6830" s="114" t="s">
        <v>19</v>
      </c>
      <c r="E6830" s="115"/>
      <c r="F6830" s="115"/>
      <c r="G6830" s="59"/>
      <c r="H6830" s="59"/>
      <c r="I6830" s="60"/>
      <c r="J6830" s="60"/>
      <c r="K6830" s="19"/>
      <c r="L6830" s="20"/>
    </row>
    <row r="6831" spans="1:12" outlineLevel="2">
      <c r="A6831" s="34"/>
      <c r="B6831" s="12" t="str">
        <f>IFERROR(VLOOKUP(D6831,'[1]Перечень товаров'!$A$2:$I9525,2,0),"")</f>
        <v>м62</v>
      </c>
      <c r="C6831" s="12" t="str">
        <f>IFERROR(VLOOKUP(D6831,'[1]Перечень товаров'!$A$2:$I9525,3,0),"")</f>
        <v>Мебель</v>
      </c>
      <c r="D6831" s="35" t="s">
        <v>398</v>
      </c>
      <c r="E6831" s="88"/>
      <c r="F6831" s="88"/>
      <c r="G6831" s="59">
        <v>1</v>
      </c>
      <c r="H6831" s="59"/>
      <c r="I6831" s="60"/>
      <c r="J6831" s="60"/>
      <c r="K6831" s="19"/>
      <c r="L6831" s="20"/>
    </row>
    <row r="6832" spans="1:12" outlineLevel="2">
      <c r="A6832" s="34"/>
      <c r="B6832" s="12" t="str">
        <f>IFERROR(VLOOKUP(D6832,'[1]Перечень товаров'!$A$2:$I9525,2,0),"")</f>
        <v>м61</v>
      </c>
      <c r="C6832" s="12" t="str">
        <f>IFERROR(VLOOKUP(D6832,'[1]Перечень товаров'!$A$2:$I9525,3,0),"")</f>
        <v>Мебель</v>
      </c>
      <c r="D6832" s="35" t="s">
        <v>383</v>
      </c>
      <c r="E6832" s="88"/>
      <c r="F6832" s="88"/>
      <c r="G6832" s="59">
        <v>1</v>
      </c>
      <c r="H6832" s="59"/>
      <c r="I6832" s="60"/>
      <c r="J6832" s="60"/>
      <c r="K6832" s="19"/>
      <c r="L6832" s="20"/>
    </row>
    <row r="6833" spans="1:12" outlineLevel="2">
      <c r="A6833" s="34"/>
      <c r="B6833" s="12" t="str">
        <f>IFERROR(VLOOKUP(D6833,'[1]Перечень товаров'!$A$2:$I9525,2,0),"")</f>
        <v>м179</v>
      </c>
      <c r="C6833" s="12" t="str">
        <f>IFERROR(VLOOKUP(D6833,'[1]Перечень товаров'!$A$2:$I9525,3,0),"")</f>
        <v>Мебель</v>
      </c>
      <c r="D6833" s="35" t="s">
        <v>579</v>
      </c>
      <c r="E6833" s="88"/>
      <c r="F6833" s="88"/>
      <c r="G6833" s="59">
        <v>10</v>
      </c>
      <c r="H6833" s="59"/>
      <c r="I6833" s="60"/>
      <c r="J6833" s="60"/>
      <c r="K6833" s="19"/>
      <c r="L6833" s="20"/>
    </row>
    <row r="6834" spans="1:12" outlineLevel="2">
      <c r="A6834" s="34"/>
      <c r="B6834" s="12" t="str">
        <f>IFERROR(VLOOKUP(D6834,'[1]Перечень товаров'!$A$2:$I9525,2,0),"")</f>
        <v>м61</v>
      </c>
      <c r="C6834" s="12" t="str">
        <f>IFERROR(VLOOKUP(D6834,'[1]Перечень товаров'!$A$2:$I9525,3,0),"")</f>
        <v>Мебель</v>
      </c>
      <c r="D6834" s="35" t="s">
        <v>384</v>
      </c>
      <c r="E6834" s="88"/>
      <c r="F6834" s="88"/>
      <c r="G6834" s="59">
        <v>20</v>
      </c>
      <c r="H6834" s="59"/>
      <c r="I6834" s="60"/>
      <c r="J6834" s="60"/>
      <c r="K6834" s="19"/>
      <c r="L6834" s="20"/>
    </row>
    <row r="6835" spans="1:12" outlineLevel="2">
      <c r="A6835" s="21"/>
      <c r="B6835" s="12" t="str">
        <f>IFERROR(VLOOKUP(D6835,'[1]Перечень товаров'!$A$2:$I9525,2,0),"")</f>
        <v>м13</v>
      </c>
      <c r="C6835" s="12" t="str">
        <f>IFERROR(VLOOKUP(D6835,'[1]Перечень товаров'!$A$2:$I9525,3,0),"")</f>
        <v>Мебель</v>
      </c>
      <c r="D6835" s="22" t="s">
        <v>42</v>
      </c>
      <c r="E6835" s="58"/>
      <c r="F6835" s="58"/>
      <c r="G6835" s="24">
        <v>1</v>
      </c>
      <c r="H6835" s="24"/>
      <c r="I6835" s="25"/>
      <c r="J6835" s="25"/>
      <c r="K6835" s="19"/>
      <c r="L6835" s="20"/>
    </row>
    <row r="6836" spans="1:12" outlineLevel="2">
      <c r="A6836" s="21"/>
      <c r="B6836" s="12" t="str">
        <f>IFERROR(VLOOKUP(D6836,'[1]Перечень товаров'!$A$2:$I9525,2,0),"")</f>
        <v>м14</v>
      </c>
      <c r="C6836" s="12" t="str">
        <f>IFERROR(VLOOKUP(D6836,'[1]Перечень товаров'!$A$2:$I9525,3,0),"")</f>
        <v>Мебель</v>
      </c>
      <c r="D6836" s="22" t="s">
        <v>43</v>
      </c>
      <c r="E6836" s="58"/>
      <c r="F6836" s="58"/>
      <c r="G6836" s="24">
        <v>1</v>
      </c>
      <c r="H6836" s="24"/>
      <c r="I6836" s="25"/>
      <c r="J6836" s="25"/>
      <c r="K6836" s="19"/>
      <c r="L6836" s="20"/>
    </row>
    <row r="6837" spans="1:12" ht="31.5" outlineLevel="2">
      <c r="A6837" s="21"/>
      <c r="B6837" s="12" t="str">
        <f>IFERROR(VLOOKUP(D6837,'[1]Перечень товаров'!$A$2:$I9525,2,0),"")</f>
        <v>м106</v>
      </c>
      <c r="C6837" s="12" t="str">
        <f>IFERROR(VLOOKUP(D6837,'[1]Перечень товаров'!$A$2:$I9525,3,0),"")</f>
        <v>мебель</v>
      </c>
      <c r="D6837" s="22" t="s">
        <v>1785</v>
      </c>
      <c r="E6837" s="58"/>
      <c r="F6837" s="58"/>
      <c r="G6837" s="24">
        <v>1</v>
      </c>
      <c r="H6837" s="24"/>
      <c r="I6837" s="25"/>
      <c r="J6837" s="25"/>
      <c r="K6837" s="19"/>
      <c r="L6837" s="20"/>
    </row>
    <row r="6838" spans="1:12" outlineLevel="2">
      <c r="A6838" s="21"/>
      <c r="B6838" s="12" t="str">
        <f>IFERROR(VLOOKUP(D6838,'[1]Перечень товаров'!$A$2:$I9525,2,0),"")</f>
        <v>п2</v>
      </c>
      <c r="C6838" s="12" t="str">
        <f>IFERROR(VLOOKUP(D6838,'[1]Перечень товаров'!$A$2:$I9525,3,0),"")</f>
        <v>Прочее</v>
      </c>
      <c r="D6838" s="22" t="s">
        <v>46</v>
      </c>
      <c r="E6838" s="58"/>
      <c r="F6838" s="58"/>
      <c r="G6838" s="24">
        <v>1</v>
      </c>
      <c r="H6838" s="24"/>
      <c r="I6838" s="25"/>
      <c r="J6838" s="25"/>
      <c r="K6838" s="19"/>
      <c r="L6838" s="20"/>
    </row>
    <row r="6839" spans="1:12" ht="31.5" outlineLevel="2">
      <c r="A6839" s="155"/>
      <c r="B6839" s="12" t="str">
        <f>IFERROR(VLOOKUP(D6839,'[1]Перечень товаров'!$A$2:$I9525,2,0),"")</f>
        <v>м21</v>
      </c>
      <c r="C6839" s="12" t="str">
        <f>IFERROR(VLOOKUP(D6839,'[1]Перечень товаров'!$A$2:$I9525,3,0),"")</f>
        <v>Мебель</v>
      </c>
      <c r="D6839" s="156" t="s">
        <v>58</v>
      </c>
      <c r="E6839" s="58"/>
      <c r="F6839" s="58"/>
      <c r="G6839" s="24">
        <v>1</v>
      </c>
      <c r="H6839" s="24"/>
      <c r="I6839" s="25"/>
      <c r="J6839" s="25"/>
      <c r="K6839" s="19"/>
      <c r="L6839" s="20"/>
    </row>
    <row r="6840" spans="1:12" outlineLevel="2">
      <c r="A6840" s="116"/>
      <c r="B6840" s="12" t="str">
        <f>IFERROR(VLOOKUP(D6840,'[1]Перечень товаров'!$A$2:$I9525,2,0),"")</f>
        <v/>
      </c>
      <c r="C6840" s="12" t="str">
        <f>IFERROR(VLOOKUP(D6840,'[1]Перечень товаров'!$A$2:$I9525,3,0),"")</f>
        <v/>
      </c>
      <c r="D6840" s="117" t="s">
        <v>391</v>
      </c>
      <c r="E6840" s="217"/>
      <c r="F6840" s="217"/>
      <c r="G6840" s="59"/>
      <c r="H6840" s="59"/>
      <c r="I6840" s="60"/>
      <c r="J6840" s="60"/>
      <c r="K6840" s="19"/>
      <c r="L6840" s="20"/>
    </row>
    <row r="6841" spans="1:12" outlineLevel="2">
      <c r="A6841" s="28"/>
      <c r="B6841" s="12" t="str">
        <f>IFERROR(VLOOKUP(D6841,'[1]Перечень товаров'!$A$2:$I9525,2,0),"")</f>
        <v>мм1</v>
      </c>
      <c r="C6841" s="12" t="str">
        <f>IFERROR(VLOOKUP(D6841,'[1]Перечень товаров'!$A$2:$I9525,3,0),"")</f>
        <v>Мебель муз</v>
      </c>
      <c r="D6841" s="29" t="s">
        <v>1134</v>
      </c>
      <c r="E6841" s="30"/>
      <c r="F6841" s="30"/>
      <c r="G6841" s="59">
        <v>1</v>
      </c>
      <c r="H6841" s="59"/>
      <c r="I6841" s="60"/>
      <c r="J6841" s="60"/>
      <c r="K6841" s="19"/>
      <c r="L6841" s="20"/>
    </row>
    <row r="6842" spans="1:12" ht="47.25" outlineLevel="2">
      <c r="A6842" s="28"/>
      <c r="B6842" s="12" t="str">
        <f>IFERROR(VLOOKUP(D6842,'[1]Перечень товаров'!$A$2:$I9525,2,0),"")</f>
        <v>пм168</v>
      </c>
      <c r="C6842" s="12" t="str">
        <f>IFERROR(VLOOKUP(D6842,'[1]Перечень товаров'!$A$2:$I9525,3,0),"")</f>
        <v>прочее муз</v>
      </c>
      <c r="D6842" s="29" t="s">
        <v>1135</v>
      </c>
      <c r="E6842" s="30"/>
      <c r="F6842" s="30"/>
      <c r="G6842" s="59">
        <v>4</v>
      </c>
      <c r="H6842" s="59"/>
      <c r="I6842" s="60"/>
      <c r="J6842" s="60"/>
      <c r="K6842" s="19"/>
      <c r="L6842" s="20"/>
    </row>
    <row r="6843" spans="1:12" ht="47.25" outlineLevel="2">
      <c r="A6843" s="28"/>
      <c r="B6843" s="12" t="str">
        <f>IFERROR(VLOOKUP(D6843,'[1]Перечень товаров'!$A$2:$I9525,2,0),"")</f>
        <v>тм103</v>
      </c>
      <c r="C6843" s="12" t="str">
        <f>IFERROR(VLOOKUP(D6843,'[1]Перечень товаров'!$A$2:$I9525,3,0),"")</f>
        <v>Техника муз</v>
      </c>
      <c r="D6843" s="29" t="s">
        <v>1786</v>
      </c>
      <c r="E6843" s="30"/>
      <c r="F6843" s="30"/>
      <c r="G6843" s="59">
        <v>1</v>
      </c>
      <c r="H6843" s="59"/>
      <c r="I6843" s="60"/>
      <c r="J6843" s="60"/>
      <c r="K6843" s="19"/>
      <c r="L6843" s="20"/>
    </row>
    <row r="6844" spans="1:12" outlineLevel="2">
      <c r="A6844" s="28"/>
      <c r="B6844" s="12" t="str">
        <f>IFERROR(VLOOKUP(D6844,'[1]Перечень товаров'!$A$2:$I9525,2,0),"")</f>
        <v>пм167</v>
      </c>
      <c r="C6844" s="12" t="str">
        <f>IFERROR(VLOOKUP(D6844,'[1]Перечень товаров'!$A$2:$I9525,3,0),"")</f>
        <v>прочее муз</v>
      </c>
      <c r="D6844" s="29" t="s">
        <v>1136</v>
      </c>
      <c r="E6844" s="30"/>
      <c r="F6844" s="30"/>
      <c r="G6844" s="59">
        <v>1</v>
      </c>
      <c r="H6844" s="59"/>
      <c r="I6844" s="60"/>
      <c r="J6844" s="60"/>
      <c r="K6844" s="19"/>
      <c r="L6844" s="20"/>
    </row>
    <row r="6845" spans="1:12" ht="31.5" outlineLevel="2">
      <c r="A6845" s="28"/>
      <c r="B6845" s="12" t="str">
        <f>IFERROR(VLOOKUP(D6845,'[1]Перечень товаров'!$A$2:$I9525,2,0),"")</f>
        <v>пм166</v>
      </c>
      <c r="C6845" s="12" t="str">
        <f>IFERROR(VLOOKUP(D6845,'[1]Перечень товаров'!$A$2:$I9525,3,0),"")</f>
        <v>прочее муз</v>
      </c>
      <c r="D6845" s="29" t="s">
        <v>1137</v>
      </c>
      <c r="E6845" s="30"/>
      <c r="F6845" s="30"/>
      <c r="G6845" s="59">
        <v>1</v>
      </c>
      <c r="H6845" s="59"/>
      <c r="I6845" s="60"/>
      <c r="J6845" s="60"/>
      <c r="K6845" s="19"/>
      <c r="L6845" s="20"/>
    </row>
    <row r="6846" spans="1:12" ht="31.5" outlineLevel="2">
      <c r="A6846" s="28"/>
      <c r="B6846" s="12" t="str">
        <f>IFERROR(VLOOKUP(D6846,'[1]Перечень товаров'!$A$2:$I9525,2,0),"")</f>
        <v>т130</v>
      </c>
      <c r="C6846" s="12" t="str">
        <f>IFERROR(VLOOKUP(D6846,'[1]Перечень товаров'!$A$2:$I9525,3,0),"")</f>
        <v>Техника</v>
      </c>
      <c r="D6846" s="29" t="s">
        <v>1138</v>
      </c>
      <c r="E6846" s="30"/>
      <c r="F6846" s="30"/>
      <c r="G6846" s="59">
        <v>1</v>
      </c>
      <c r="H6846" s="59"/>
      <c r="I6846" s="60"/>
      <c r="J6846" s="60"/>
      <c r="K6846" s="19"/>
      <c r="L6846" s="20"/>
    </row>
    <row r="6847" spans="1:12" outlineLevel="2">
      <c r="A6847" s="54"/>
      <c r="B6847" s="12" t="str">
        <f>IFERROR(VLOOKUP(D6847,'[1]Перечень товаров'!$A$2:$I9525,2,0),"")</f>
        <v/>
      </c>
      <c r="C6847" s="12" t="str">
        <f>IFERROR(VLOOKUP(D6847,'[1]Перечень товаров'!$A$2:$I9525,3,0),"")</f>
        <v/>
      </c>
      <c r="D6847" s="55" t="s">
        <v>45</v>
      </c>
      <c r="E6847" s="217"/>
      <c r="F6847" s="217"/>
      <c r="G6847" s="59"/>
      <c r="H6847" s="59"/>
      <c r="I6847" s="60"/>
      <c r="J6847" s="60"/>
      <c r="K6847" s="19"/>
      <c r="L6847" s="20"/>
    </row>
    <row r="6848" spans="1:12" outlineLevel="2">
      <c r="A6848" s="43"/>
      <c r="B6848" s="12" t="str">
        <f>IFERROR(VLOOKUP(D6848,'[1]Перечень товаров'!$A$2:$I9525,2,0),"")</f>
        <v>м7</v>
      </c>
      <c r="C6848" s="12" t="str">
        <f>IFERROR(VLOOKUP(D6848,'[1]Перечень товаров'!$A$2:$I9525,3,0),"")</f>
        <v>Мебель</v>
      </c>
      <c r="D6848" s="44" t="s">
        <v>24</v>
      </c>
      <c r="E6848" s="30"/>
      <c r="F6848" s="30"/>
      <c r="G6848" s="59">
        <v>1</v>
      </c>
      <c r="H6848" s="59"/>
      <c r="I6848" s="60"/>
      <c r="J6848" s="60"/>
      <c r="K6848" s="19"/>
      <c r="L6848" s="20"/>
    </row>
    <row r="6849" spans="1:12" outlineLevel="2">
      <c r="A6849" s="43"/>
      <c r="B6849" s="12" t="str">
        <f>IFERROR(VLOOKUP(D6849,'[1]Перечень товаров'!$A$2:$I9525,2,0),"")</f>
        <v>п1</v>
      </c>
      <c r="C6849" s="12" t="str">
        <f>IFERROR(VLOOKUP(D6849,'[1]Перечень товаров'!$A$2:$I9525,3,0),"")</f>
        <v>Прочее</v>
      </c>
      <c r="D6849" s="44" t="s">
        <v>37</v>
      </c>
      <c r="E6849" s="30"/>
      <c r="F6849" s="30"/>
      <c r="G6849" s="59">
        <v>1</v>
      </c>
      <c r="H6849" s="59"/>
      <c r="I6849" s="60"/>
      <c r="J6849" s="60"/>
      <c r="K6849" s="19"/>
      <c r="L6849" s="20"/>
    </row>
    <row r="6850" spans="1:12" ht="12.75" outlineLevel="1">
      <c r="A6850" s="89"/>
      <c r="B6850" s="12" t="str">
        <f>IFERROR(VLOOKUP(D6850,'[1]Перечень товаров'!$A$2:$I9525,2,0),"")</f>
        <v/>
      </c>
      <c r="C6850" s="12" t="str">
        <f>IFERROR(VLOOKUP(D6850,'[1]Перечень товаров'!$A$2:$I9525,3,0),"")</f>
        <v/>
      </c>
      <c r="D6850" s="90" t="s">
        <v>1788</v>
      </c>
      <c r="E6850" s="108">
        <v>46172</v>
      </c>
      <c r="F6850" s="108"/>
      <c r="G6850" s="261"/>
      <c r="H6850" s="261"/>
      <c r="I6850" s="262"/>
      <c r="J6850" s="262"/>
      <c r="K6850" s="19"/>
      <c r="L6850" s="20"/>
    </row>
    <row r="6851" spans="1:12" ht="15" outlineLevel="2">
      <c r="A6851" s="116"/>
      <c r="B6851" s="12" t="str">
        <f>IFERROR(VLOOKUP(D6851,'[1]Перечень товаров'!$A$2:$I9525,2,0),"")</f>
        <v/>
      </c>
      <c r="C6851" s="12" t="str">
        <f>IFERROR(VLOOKUP(D6851,'[1]Перечень товаров'!$A$2:$I9525,3,0),"")</f>
        <v/>
      </c>
      <c r="D6851" s="117" t="s">
        <v>391</v>
      </c>
      <c r="E6851" s="122"/>
      <c r="F6851" s="122"/>
      <c r="G6851" s="123"/>
      <c r="H6851" s="123"/>
      <c r="I6851" s="124"/>
      <c r="J6851" s="124"/>
      <c r="K6851" s="19"/>
      <c r="L6851" s="20"/>
    </row>
    <row r="6852" spans="1:12" outlineLevel="2">
      <c r="A6852" s="28"/>
      <c r="B6852" s="12" t="str">
        <f>IFERROR(VLOOKUP(D6852,'[1]Перечень товаров'!$A$2:$I9525,2,0),"")</f>
        <v>мм1</v>
      </c>
      <c r="C6852" s="12" t="str">
        <f>IFERROR(VLOOKUP(D6852,'[1]Перечень товаров'!$A$2:$I9525,3,0),"")</f>
        <v>Мебель муз</v>
      </c>
      <c r="D6852" s="29" t="s">
        <v>1134</v>
      </c>
      <c r="E6852" s="30"/>
      <c r="F6852" s="30"/>
      <c r="G6852" s="31">
        <v>1</v>
      </c>
      <c r="H6852" s="31"/>
      <c r="I6852" s="32"/>
      <c r="J6852" s="32"/>
      <c r="K6852" s="19"/>
      <c r="L6852" s="20"/>
    </row>
    <row r="6853" spans="1:12" ht="31.5" outlineLevel="2">
      <c r="A6853" s="28"/>
      <c r="B6853" s="12" t="str">
        <f>IFERROR(VLOOKUP(D6853,'[1]Перечень товаров'!$A$2:$I9525,2,0),"")</f>
        <v>тм2</v>
      </c>
      <c r="C6853" s="12" t="str">
        <f>IFERROR(VLOOKUP(D6853,'[1]Перечень товаров'!$A$2:$I9525,3,0),"")</f>
        <v>Техника муз</v>
      </c>
      <c r="D6853" s="29" t="s">
        <v>15</v>
      </c>
      <c r="E6853" s="30"/>
      <c r="F6853" s="30"/>
      <c r="G6853" s="31">
        <v>1</v>
      </c>
      <c r="H6853" s="31"/>
      <c r="I6853" s="32"/>
      <c r="J6853" s="32"/>
      <c r="K6853" s="19"/>
      <c r="L6853" s="20"/>
    </row>
    <row r="6854" spans="1:12" ht="47.25" outlineLevel="2">
      <c r="A6854" s="28"/>
      <c r="B6854" s="12" t="str">
        <f>IFERROR(VLOOKUP(D6854,'[1]Перечень товаров'!$A$2:$I9525,2,0),"")</f>
        <v>тм3</v>
      </c>
      <c r="C6854" s="12" t="str">
        <f>IFERROR(VLOOKUP(D6854,'[1]Перечень товаров'!$A$2:$I9525,3,0),"")</f>
        <v>Техника муз</v>
      </c>
      <c r="D6854" s="29" t="s">
        <v>16</v>
      </c>
      <c r="E6854" s="30"/>
      <c r="F6854" s="30"/>
      <c r="G6854" s="31">
        <v>1</v>
      </c>
      <c r="H6854" s="31"/>
      <c r="I6854" s="32"/>
      <c r="J6854" s="32"/>
      <c r="K6854" s="19"/>
      <c r="L6854" s="20"/>
    </row>
    <row r="6855" spans="1:12" ht="31.5" outlineLevel="2">
      <c r="A6855" s="34"/>
      <c r="B6855" s="12" t="str">
        <f>IFERROR(VLOOKUP(D6855,'[1]Перечень товаров'!$A$2:$I9525,2,0),"")</f>
        <v>дм1</v>
      </c>
      <c r="C6855" s="12" t="str">
        <f>IFERROR(VLOOKUP(D6855,'[1]Перечень товаров'!$A$2:$I9525,3,0),"")</f>
        <v>Дидактика муз</v>
      </c>
      <c r="D6855" s="35" t="s">
        <v>17</v>
      </c>
      <c r="E6855" s="30"/>
      <c r="F6855" s="30"/>
      <c r="G6855" s="31">
        <v>1</v>
      </c>
      <c r="H6855" s="31"/>
      <c r="I6855" s="32"/>
      <c r="J6855" s="32"/>
      <c r="K6855" s="19"/>
      <c r="L6855" s="20"/>
    </row>
    <row r="6856" spans="1:12" ht="31.5" outlineLevel="2">
      <c r="A6856" s="34"/>
      <c r="B6856" s="12" t="str">
        <f>IFERROR(VLOOKUP(D6856,'[1]Перечень товаров'!$A$2:$I9525,2,0),"")</f>
        <v>м1</v>
      </c>
      <c r="C6856" s="12" t="str">
        <f>IFERROR(VLOOKUP(D6856,'[1]Перечень товаров'!$A$2:$I9525,3,0),"")</f>
        <v>Мебель</v>
      </c>
      <c r="D6856" s="35" t="s">
        <v>18</v>
      </c>
      <c r="E6856" s="30"/>
      <c r="F6856" s="30"/>
      <c r="G6856" s="31">
        <v>1</v>
      </c>
      <c r="H6856" s="31"/>
      <c r="I6856" s="32"/>
      <c r="J6856" s="32"/>
      <c r="K6856" s="19"/>
      <c r="L6856" s="20"/>
    </row>
    <row r="6857" spans="1:12" ht="15" outlineLevel="2">
      <c r="A6857" s="116"/>
      <c r="B6857" s="12" t="str">
        <f>IFERROR(VLOOKUP(D6857,'[1]Перечень товаров'!$A$2:$I9525,2,0),"")</f>
        <v/>
      </c>
      <c r="C6857" s="12" t="str">
        <f>IFERROR(VLOOKUP(D6857,'[1]Перечень товаров'!$A$2:$I9525,3,0),"")</f>
        <v/>
      </c>
      <c r="D6857" s="117" t="s">
        <v>19</v>
      </c>
      <c r="E6857" s="122"/>
      <c r="F6857" s="122"/>
      <c r="G6857" s="123"/>
      <c r="H6857" s="123"/>
      <c r="I6857" s="124"/>
      <c r="J6857" s="124"/>
      <c r="K6857" s="19"/>
      <c r="L6857" s="20"/>
    </row>
    <row r="6858" spans="1:12" outlineLevel="2">
      <c r="A6858" s="28"/>
      <c r="B6858" s="12" t="str">
        <f>IFERROR(VLOOKUP(D6858,'[1]Перечень товаров'!$A$2:$I9525,2,0),"")</f>
        <v>м2</v>
      </c>
      <c r="C6858" s="12" t="str">
        <f>IFERROR(VLOOKUP(D6858,'[1]Перечень товаров'!$A$2:$I9525,3,0),"")</f>
        <v>Мебель</v>
      </c>
      <c r="D6858" s="29" t="s">
        <v>845</v>
      </c>
      <c r="E6858" s="30"/>
      <c r="F6858" s="30"/>
      <c r="G6858" s="31">
        <v>1</v>
      </c>
      <c r="H6858" s="31"/>
      <c r="I6858" s="32"/>
      <c r="J6858" s="32"/>
      <c r="K6858" s="19"/>
      <c r="L6858" s="20"/>
    </row>
    <row r="6859" spans="1:12" outlineLevel="2">
      <c r="A6859" s="28"/>
      <c r="B6859" s="12" t="str">
        <f>IFERROR(VLOOKUP(D6859,'[1]Перечень товаров'!$A$2:$I9525,2,0),"")</f>
        <v>м12</v>
      </c>
      <c r="C6859" s="12" t="str">
        <f>IFERROR(VLOOKUP(D6859,'[1]Перечень товаров'!$A$2:$I9525,3,0),"")</f>
        <v>Мебель</v>
      </c>
      <c r="D6859" s="29" t="s">
        <v>21</v>
      </c>
      <c r="E6859" s="30"/>
      <c r="F6859" s="30"/>
      <c r="G6859" s="31">
        <v>1</v>
      </c>
      <c r="H6859" s="31"/>
      <c r="I6859" s="32"/>
      <c r="J6859" s="32"/>
      <c r="K6859" s="19"/>
      <c r="L6859" s="20"/>
    </row>
    <row r="6860" spans="1:12" outlineLevel="2">
      <c r="A6860" s="263"/>
      <c r="B6860" s="12" t="str">
        <f>IFERROR(VLOOKUP(D6860,'[1]Перечень товаров'!$A$2:$I9525,2,0),"")</f>
        <v>м105</v>
      </c>
      <c r="C6860" s="12" t="str">
        <f>IFERROR(VLOOKUP(D6860,'[1]Перечень товаров'!$A$2:$I9525,3,0),"")</f>
        <v>мебель</v>
      </c>
      <c r="D6860" s="264" t="s">
        <v>1789</v>
      </c>
      <c r="E6860" s="30"/>
      <c r="F6860" s="30"/>
      <c r="G6860" s="31">
        <v>2</v>
      </c>
      <c r="H6860" s="31"/>
      <c r="I6860" s="32"/>
      <c r="J6860" s="32"/>
      <c r="K6860" s="19"/>
      <c r="L6860" s="20"/>
    </row>
    <row r="6861" spans="1:12" ht="63" outlineLevel="2">
      <c r="A6861" s="28"/>
      <c r="B6861" s="12" t="str">
        <f>IFERROR(VLOOKUP(D6861,'[1]Перечень товаров'!$A$2:$I9525,2,0),"")</f>
        <v>м5</v>
      </c>
      <c r="C6861" s="12" t="str">
        <f>IFERROR(VLOOKUP(D6861,'[1]Перечень товаров'!$A$2:$I9525,3,0),"")</f>
        <v>Мебель</v>
      </c>
      <c r="D6861" s="29" t="s">
        <v>22</v>
      </c>
      <c r="E6861" s="30"/>
      <c r="F6861" s="30"/>
      <c r="G6861" s="31">
        <v>1</v>
      </c>
      <c r="H6861" s="31"/>
      <c r="I6861" s="32"/>
      <c r="J6861" s="32"/>
      <c r="K6861" s="19"/>
      <c r="L6861" s="20"/>
    </row>
    <row r="6862" spans="1:12" ht="31.5" outlineLevel="2">
      <c r="A6862" s="28"/>
      <c r="B6862" s="12" t="str">
        <f>IFERROR(VLOOKUP(D6862,'[1]Перечень товаров'!$A$2:$I9525,2,0),"")</f>
        <v>м6</v>
      </c>
      <c r="C6862" s="12" t="str">
        <f>IFERROR(VLOOKUP(D6862,'[1]Перечень товаров'!$A$2:$I9525,3,0),"")</f>
        <v>Мебель</v>
      </c>
      <c r="D6862" s="29" t="s">
        <v>23</v>
      </c>
      <c r="E6862" s="30"/>
      <c r="F6862" s="30"/>
      <c r="G6862" s="31">
        <v>1</v>
      </c>
      <c r="H6862" s="31"/>
      <c r="I6862" s="32"/>
      <c r="J6862" s="32"/>
      <c r="K6862" s="19"/>
      <c r="L6862" s="20"/>
    </row>
    <row r="6863" spans="1:12" outlineLevel="2">
      <c r="A6863" s="28"/>
      <c r="B6863" s="12" t="str">
        <f>IFERROR(VLOOKUP(D6863,'[1]Перечень товаров'!$A$2:$I9525,2,0),"")</f>
        <v>м7</v>
      </c>
      <c r="C6863" s="12" t="str">
        <f>IFERROR(VLOOKUP(D6863,'[1]Перечень товаров'!$A$2:$I9525,3,0),"")</f>
        <v>Мебель</v>
      </c>
      <c r="D6863" s="29" t="s">
        <v>24</v>
      </c>
      <c r="E6863" s="30"/>
      <c r="F6863" s="30"/>
      <c r="G6863" s="31">
        <v>1</v>
      </c>
      <c r="H6863" s="31"/>
      <c r="I6863" s="32"/>
      <c r="J6863" s="32"/>
      <c r="K6863" s="19"/>
      <c r="L6863" s="20"/>
    </row>
    <row r="6864" spans="1:12" ht="31.5" outlineLevel="2">
      <c r="A6864" s="28"/>
      <c r="B6864" s="12" t="str">
        <f>IFERROR(VLOOKUP(D6864,'[1]Перечень товаров'!$A$2:$I9525,2,0),"")</f>
        <v>д525</v>
      </c>
      <c r="C6864" s="12" t="str">
        <f>IFERROR(VLOOKUP(D6864,'[1]Перечень товаров'!$A$2:$I9525,3,0),"")</f>
        <v>дидактика</v>
      </c>
      <c r="D6864" s="29" t="s">
        <v>1230</v>
      </c>
      <c r="E6864" s="30"/>
      <c r="F6864" s="30"/>
      <c r="G6864" s="31">
        <v>10</v>
      </c>
      <c r="H6864" s="31"/>
      <c r="I6864" s="32"/>
      <c r="J6864" s="32"/>
      <c r="K6864" s="19"/>
      <c r="L6864" s="20"/>
    </row>
    <row r="6865" spans="1:12" ht="31.5" outlineLevel="2">
      <c r="A6865" s="28"/>
      <c r="B6865" s="12" t="str">
        <f>IFERROR(VLOOKUP(D6865,'[1]Перечень товаров'!$A$2:$I9525,2,0),"")</f>
        <v>м104</v>
      </c>
      <c r="C6865" s="12" t="str">
        <f>IFERROR(VLOOKUP(D6865,'[1]Перечень товаров'!$A$2:$I9525,3,0),"")</f>
        <v>мебель</v>
      </c>
      <c r="D6865" s="29" t="s">
        <v>1790</v>
      </c>
      <c r="E6865" s="30"/>
      <c r="F6865" s="30"/>
      <c r="G6865" s="31">
        <v>3</v>
      </c>
      <c r="H6865" s="31"/>
      <c r="I6865" s="32"/>
      <c r="J6865" s="32"/>
      <c r="K6865" s="19"/>
      <c r="L6865" s="20"/>
    </row>
    <row r="6866" spans="1:12" ht="30" outlineLevel="2">
      <c r="A6866" s="116"/>
      <c r="B6866" s="12" t="str">
        <f>IFERROR(VLOOKUP(D6866,'[1]Перечень товаров'!$A$2:$I9525,2,0),"")</f>
        <v/>
      </c>
      <c r="C6866" s="12" t="str">
        <f>IFERROR(VLOOKUP(D6866,'[1]Перечень товаров'!$A$2:$I9525,3,0),"")</f>
        <v/>
      </c>
      <c r="D6866" s="117" t="s">
        <v>27</v>
      </c>
      <c r="E6866" s="122"/>
      <c r="F6866" s="122"/>
      <c r="G6866" s="123"/>
      <c r="H6866" s="123"/>
      <c r="I6866" s="124"/>
      <c r="J6866" s="124"/>
      <c r="K6866" s="19"/>
      <c r="L6866" s="20"/>
    </row>
    <row r="6867" spans="1:12" outlineLevel="2">
      <c r="A6867" s="34"/>
      <c r="B6867" s="12" t="str">
        <f>IFERROR(VLOOKUP(D6867,'[1]Перечень товаров'!$A$2:$I9525,2,0),"")</f>
        <v>т1</v>
      </c>
      <c r="C6867" s="12" t="str">
        <f>IFERROR(VLOOKUP(D6867,'[1]Перечень товаров'!$A$2:$I9525,3,0),"")</f>
        <v xml:space="preserve">Техника </v>
      </c>
      <c r="D6867" s="35" t="s">
        <v>28</v>
      </c>
      <c r="E6867" s="30"/>
      <c r="F6867" s="30"/>
      <c r="G6867" s="31">
        <v>1</v>
      </c>
      <c r="H6867" s="31"/>
      <c r="I6867" s="32"/>
      <c r="J6867" s="32"/>
      <c r="K6867" s="19"/>
      <c r="L6867" s="20"/>
    </row>
    <row r="6868" spans="1:12" outlineLevel="2">
      <c r="A6868" s="35"/>
      <c r="B6868" s="12" t="str">
        <f>IFERROR(VLOOKUP(D6868,'[1]Перечень товаров'!$A$2:$I9525,2,0),"")</f>
        <v>т2</v>
      </c>
      <c r="C6868" s="12" t="str">
        <f>IFERROR(VLOOKUP(D6868,'[1]Перечень товаров'!$A$2:$I9525,3,0),"")</f>
        <v xml:space="preserve">Техника </v>
      </c>
      <c r="D6868" s="35" t="s">
        <v>29</v>
      </c>
      <c r="E6868" s="30"/>
      <c r="F6868" s="30"/>
      <c r="G6868" s="31">
        <v>1</v>
      </c>
      <c r="H6868" s="31"/>
      <c r="I6868" s="32"/>
      <c r="J6868" s="32"/>
      <c r="K6868" s="19"/>
      <c r="L6868" s="20"/>
    </row>
    <row r="6869" spans="1:12" outlineLevel="2">
      <c r="A6869" s="35"/>
      <c r="B6869" s="12" t="str">
        <f>IFERROR(VLOOKUP(D6869,'[1]Перечень товаров'!$A$2:$I9525,2,0),"")</f>
        <v>т3</v>
      </c>
      <c r="C6869" s="12" t="str">
        <f>IFERROR(VLOOKUP(D6869,'[1]Перечень товаров'!$A$2:$I9525,3,0),"")</f>
        <v xml:space="preserve">Техника </v>
      </c>
      <c r="D6869" s="35" t="s">
        <v>30</v>
      </c>
      <c r="E6869" s="30"/>
      <c r="F6869" s="30"/>
      <c r="G6869" s="31">
        <v>1</v>
      </c>
      <c r="H6869" s="31"/>
      <c r="I6869" s="32"/>
      <c r="J6869" s="32"/>
      <c r="K6869" s="19"/>
      <c r="L6869" s="20"/>
    </row>
    <row r="6870" spans="1:12" outlineLevel="2">
      <c r="A6870" s="35"/>
      <c r="B6870" s="12" t="str">
        <f>IFERROR(VLOOKUP(D6870,'[1]Перечень товаров'!$A$2:$I9525,2,0),"")</f>
        <v>т4</v>
      </c>
      <c r="C6870" s="12" t="str">
        <f>IFERROR(VLOOKUP(D6870,'[1]Перечень товаров'!$A$2:$I9525,3,0),"")</f>
        <v xml:space="preserve">Техника </v>
      </c>
      <c r="D6870" s="35" t="s">
        <v>31</v>
      </c>
      <c r="E6870" s="30"/>
      <c r="F6870" s="30"/>
      <c r="G6870" s="31">
        <v>1</v>
      </c>
      <c r="H6870" s="31"/>
      <c r="I6870" s="32"/>
      <c r="J6870" s="32"/>
      <c r="K6870" s="19"/>
      <c r="L6870" s="20"/>
    </row>
    <row r="6871" spans="1:12" outlineLevel="2">
      <c r="A6871" s="34"/>
      <c r="B6871" s="12" t="str">
        <f>IFERROR(VLOOKUP(D6871,'[1]Перечень товаров'!$A$2:$I9525,2,0),"")</f>
        <v>т5</v>
      </c>
      <c r="C6871" s="12" t="str">
        <f>IFERROR(VLOOKUP(D6871,'[1]Перечень товаров'!$A$2:$I9525,3,0),"")</f>
        <v xml:space="preserve">Техника </v>
      </c>
      <c r="D6871" s="35" t="s">
        <v>32</v>
      </c>
      <c r="E6871" s="30"/>
      <c r="F6871" s="30"/>
      <c r="G6871" s="31">
        <v>1</v>
      </c>
      <c r="H6871" s="31"/>
      <c r="I6871" s="32"/>
      <c r="J6871" s="32"/>
      <c r="K6871" s="19"/>
      <c r="L6871" s="20"/>
    </row>
    <row r="6872" spans="1:12" outlineLevel="2">
      <c r="A6872" s="35"/>
      <c r="B6872" s="12" t="str">
        <f>IFERROR(VLOOKUP(D6872,'[1]Перечень товаров'!$A$2:$I9525,2,0),"")</f>
        <v>т6</v>
      </c>
      <c r="C6872" s="12" t="str">
        <f>IFERROR(VLOOKUP(D6872,'[1]Перечень товаров'!$A$2:$I9525,3,0),"")</f>
        <v xml:space="preserve">Техника </v>
      </c>
      <c r="D6872" s="35" t="s">
        <v>33</v>
      </c>
      <c r="E6872" s="30"/>
      <c r="F6872" s="30"/>
      <c r="G6872" s="31">
        <v>1</v>
      </c>
      <c r="H6872" s="31"/>
      <c r="I6872" s="32"/>
      <c r="J6872" s="32"/>
      <c r="K6872" s="19"/>
      <c r="L6872" s="20"/>
    </row>
    <row r="6873" spans="1:12" outlineLevel="2">
      <c r="A6873" s="34"/>
      <c r="B6873" s="12" t="str">
        <f>IFERROR(VLOOKUP(D6873,'[1]Перечень товаров'!$A$2:$I9525,2,0),"")</f>
        <v>т7</v>
      </c>
      <c r="C6873" s="12" t="str">
        <f>IFERROR(VLOOKUP(D6873,'[1]Перечень товаров'!$A$2:$I9525,3,0),"")</f>
        <v xml:space="preserve">Техника </v>
      </c>
      <c r="D6873" s="35" t="s">
        <v>34</v>
      </c>
      <c r="E6873" s="30"/>
      <c r="F6873" s="30"/>
      <c r="G6873" s="31">
        <v>2</v>
      </c>
      <c r="H6873" s="31"/>
      <c r="I6873" s="32"/>
      <c r="J6873" s="32"/>
      <c r="K6873" s="19"/>
      <c r="L6873" s="20"/>
    </row>
    <row r="6874" spans="1:12" outlineLevel="2">
      <c r="A6874" s="34"/>
      <c r="B6874" s="12" t="str">
        <f>IFERROR(VLOOKUP(D6874,'[1]Перечень товаров'!$A$2:$I9525,2,0),"")</f>
        <v>т8</v>
      </c>
      <c r="C6874" s="12" t="str">
        <f>IFERROR(VLOOKUP(D6874,'[1]Перечень товаров'!$A$2:$I9525,3,0),"")</f>
        <v xml:space="preserve">Техника </v>
      </c>
      <c r="D6874" s="35" t="s">
        <v>35</v>
      </c>
      <c r="E6874" s="30"/>
      <c r="F6874" s="30"/>
      <c r="G6874" s="31">
        <v>1</v>
      </c>
      <c r="H6874" s="31"/>
      <c r="I6874" s="32"/>
      <c r="J6874" s="32"/>
      <c r="K6874" s="19"/>
      <c r="L6874" s="20"/>
    </row>
    <row r="6875" spans="1:12" outlineLevel="2">
      <c r="A6875" s="88"/>
      <c r="B6875" s="12" t="str">
        <f>IFERROR(VLOOKUP(D6875,'[1]Перечень товаров'!$A$2:$I9525,2,0),"")</f>
        <v>т9</v>
      </c>
      <c r="C6875" s="12" t="str">
        <f>IFERROR(VLOOKUP(D6875,'[1]Перечень товаров'!$A$2:$I9525,3,0),"")</f>
        <v>Техника</v>
      </c>
      <c r="D6875" s="223" t="s">
        <v>36</v>
      </c>
      <c r="E6875" s="30"/>
      <c r="F6875" s="30"/>
      <c r="G6875" s="31">
        <v>1</v>
      </c>
      <c r="H6875" s="31"/>
      <c r="I6875" s="32"/>
      <c r="J6875" s="32"/>
      <c r="K6875" s="19"/>
      <c r="L6875" s="20"/>
    </row>
    <row r="6876" spans="1:12" ht="15" outlineLevel="2">
      <c r="A6876" s="54"/>
      <c r="B6876" s="12" t="str">
        <f>IFERROR(VLOOKUP(D6876,'[1]Перечень товаров'!$A$2:$I9525,2,0),"")</f>
        <v/>
      </c>
      <c r="C6876" s="12" t="str">
        <f>IFERROR(VLOOKUP(D6876,'[1]Перечень товаров'!$A$2:$I9525,3,0),"")</f>
        <v/>
      </c>
      <c r="D6876" s="55" t="s">
        <v>45</v>
      </c>
      <c r="E6876" s="122"/>
      <c r="F6876" s="122"/>
      <c r="G6876" s="123"/>
      <c r="H6876" s="123"/>
      <c r="I6876" s="124"/>
      <c r="J6876" s="124"/>
      <c r="K6876" s="19"/>
      <c r="L6876" s="20"/>
    </row>
    <row r="6877" spans="1:12" outlineLevel="2">
      <c r="A6877" s="88"/>
      <c r="B6877" s="12" t="str">
        <f>IFERROR(VLOOKUP(D6877,'[1]Перечень товаров'!$A$2:$I9525,2,0),"")</f>
        <v>п1</v>
      </c>
      <c r="C6877" s="12" t="str">
        <f>IFERROR(VLOOKUP(D6877,'[1]Перечень товаров'!$A$2:$I9525,3,0),"")</f>
        <v>Прочее</v>
      </c>
      <c r="D6877" s="223" t="s">
        <v>37</v>
      </c>
      <c r="E6877" s="30"/>
      <c r="F6877" s="30"/>
      <c r="G6877" s="31">
        <v>1</v>
      </c>
      <c r="H6877" s="31"/>
      <c r="I6877" s="32"/>
      <c r="J6877" s="32"/>
      <c r="K6877" s="19"/>
      <c r="L6877" s="20"/>
    </row>
    <row r="6878" spans="1:12" outlineLevel="2">
      <c r="A6878" s="88"/>
      <c r="B6878" s="12" t="str">
        <f>IFERROR(VLOOKUP(D6878,'[1]Перечень товаров'!$A$2:$I9525,2,0),"")</f>
        <v>м10</v>
      </c>
      <c r="C6878" s="12" t="str">
        <f>IFERROR(VLOOKUP(D6878,'[1]Перечень товаров'!$A$2:$I9525,3,0),"")</f>
        <v>Мебель</v>
      </c>
      <c r="D6878" s="223" t="s">
        <v>38</v>
      </c>
      <c r="E6878" s="30"/>
      <c r="F6878" s="30"/>
      <c r="G6878" s="31">
        <v>1</v>
      </c>
      <c r="H6878" s="31"/>
      <c r="I6878" s="32"/>
      <c r="J6878" s="32"/>
      <c r="K6878" s="19"/>
      <c r="L6878" s="20"/>
    </row>
    <row r="6879" spans="1:12" outlineLevel="2">
      <c r="A6879" s="88"/>
      <c r="B6879" s="12" t="str">
        <f>IFERROR(VLOOKUP(D6879,'[1]Перечень товаров'!$A$2:$I9525,2,0),"")</f>
        <v>т10</v>
      </c>
      <c r="C6879" s="12" t="str">
        <f>IFERROR(VLOOKUP(D6879,'[1]Перечень товаров'!$A$2:$I9525,3,0),"")</f>
        <v xml:space="preserve">Техника </v>
      </c>
      <c r="D6879" s="223" t="s">
        <v>39</v>
      </c>
      <c r="E6879" s="30"/>
      <c r="F6879" s="30"/>
      <c r="G6879" s="31">
        <v>1</v>
      </c>
      <c r="H6879" s="31"/>
      <c r="I6879" s="32"/>
      <c r="J6879" s="32"/>
      <c r="K6879" s="19"/>
      <c r="L6879" s="20"/>
    </row>
    <row r="6880" spans="1:12" outlineLevel="2">
      <c r="A6880" s="21"/>
      <c r="B6880" s="12" t="str">
        <f>IFERROR(VLOOKUP(D6880,'[1]Перечень товаров'!$A$2:$I9525,2,0),"")</f>
        <v>п2</v>
      </c>
      <c r="C6880" s="12" t="str">
        <f>IFERROR(VLOOKUP(D6880,'[1]Перечень товаров'!$A$2:$I9525,3,0),"")</f>
        <v>Прочее</v>
      </c>
      <c r="D6880" s="22" t="s">
        <v>46</v>
      </c>
      <c r="E6880" s="58"/>
      <c r="F6880" s="58"/>
      <c r="G6880" s="24">
        <v>1</v>
      </c>
      <c r="H6880" s="24"/>
      <c r="I6880" s="25"/>
      <c r="J6880" s="25"/>
      <c r="K6880" s="19"/>
      <c r="L6880" s="20"/>
    </row>
    <row r="6881" spans="1:12" ht="31.5" outlineLevel="2">
      <c r="A6881" s="265"/>
      <c r="B6881" s="12" t="str">
        <f>IFERROR(VLOOKUP(D6881,'[1]Перечень товаров'!$A$2:$I9525,2,0),"")</f>
        <v>д238</v>
      </c>
      <c r="C6881" s="12" t="str">
        <f>IFERROR(VLOOKUP(D6881,'[1]Перечень товаров'!$A$2:$I9525,3,0),"")</f>
        <v>Дидактика</v>
      </c>
      <c r="D6881" s="266" t="s">
        <v>1791</v>
      </c>
      <c r="E6881" s="58"/>
      <c r="F6881" s="58"/>
      <c r="G6881" s="24">
        <v>1</v>
      </c>
      <c r="H6881" s="24"/>
      <c r="I6881" s="25"/>
      <c r="J6881" s="25"/>
      <c r="K6881" s="19"/>
      <c r="L6881" s="20"/>
    </row>
    <row r="6882" spans="1:12" ht="12.75" outlineLevel="1">
      <c r="A6882" s="89"/>
      <c r="B6882" s="12" t="str">
        <f>IFERROR(VLOOKUP(D6882,'[1]Перечень товаров'!$A$2:$I9525,2,0),"")</f>
        <v/>
      </c>
      <c r="C6882" s="12" t="str">
        <f>IFERROR(VLOOKUP(D6882,'[1]Перечень товаров'!$A$2:$I9525,3,0),"")</f>
        <v/>
      </c>
      <c r="D6882" s="90" t="s">
        <v>1676</v>
      </c>
      <c r="E6882" s="108">
        <v>46053</v>
      </c>
      <c r="F6882" s="108"/>
      <c r="G6882" s="100"/>
      <c r="H6882" s="100"/>
      <c r="I6882" s="101"/>
      <c r="J6882" s="101"/>
      <c r="K6882" s="19"/>
      <c r="L6882" s="20"/>
    </row>
    <row r="6883" spans="1:12" ht="15" outlineLevel="2">
      <c r="A6883" s="109"/>
      <c r="B6883" s="12" t="str">
        <f>IFERROR(VLOOKUP(D6883,'[1]Перечень товаров'!$A$2:$I9525,2,0),"")</f>
        <v/>
      </c>
      <c r="C6883" s="12" t="str">
        <f>IFERROR(VLOOKUP(D6883,'[1]Перечень товаров'!$A$2:$I9525,3,0),"")</f>
        <v/>
      </c>
      <c r="D6883" s="110" t="s">
        <v>27</v>
      </c>
      <c r="E6883" s="45"/>
      <c r="F6883" s="45"/>
      <c r="G6883" s="111"/>
      <c r="H6883" s="111"/>
      <c r="I6883" s="112"/>
      <c r="J6883" s="112"/>
      <c r="K6883" s="19"/>
      <c r="L6883" s="20"/>
    </row>
    <row r="6884" spans="1:12" outlineLevel="2">
      <c r="A6884" s="21"/>
      <c r="B6884" s="12" t="str">
        <f>IFERROR(VLOOKUP(D6884,'[1]Перечень товаров'!$A$2:$I9525,2,0),"")</f>
        <v>т1</v>
      </c>
      <c r="C6884" s="12" t="str">
        <f>IFERROR(VLOOKUP(D6884,'[1]Перечень товаров'!$A$2:$I9525,3,0),"")</f>
        <v xml:space="preserve">Техника </v>
      </c>
      <c r="D6884" s="22" t="s">
        <v>28</v>
      </c>
      <c r="E6884" s="58"/>
      <c r="F6884" s="58"/>
      <c r="G6884" s="48">
        <v>1</v>
      </c>
      <c r="H6884" s="48"/>
      <c r="I6884" s="49"/>
      <c r="J6884" s="49"/>
      <c r="K6884" s="19"/>
      <c r="L6884" s="20"/>
    </row>
    <row r="6885" spans="1:12" outlineLevel="2">
      <c r="A6885" s="143"/>
      <c r="B6885" s="12" t="str">
        <f>IFERROR(VLOOKUP(D6885,'[1]Перечень товаров'!$A$2:$I9525,2,0),"")</f>
        <v>т9</v>
      </c>
      <c r="C6885" s="12" t="str">
        <f>IFERROR(VLOOKUP(D6885,'[1]Перечень товаров'!$A$2:$I9525,3,0),"")</f>
        <v>Техника</v>
      </c>
      <c r="D6885" s="143" t="s">
        <v>36</v>
      </c>
      <c r="E6885" s="58"/>
      <c r="F6885" s="58"/>
      <c r="G6885" s="48">
        <v>1</v>
      </c>
      <c r="H6885" s="48"/>
      <c r="I6885" s="49"/>
      <c r="J6885" s="49"/>
      <c r="K6885" s="19"/>
      <c r="L6885" s="20"/>
    </row>
    <row r="6886" spans="1:12" outlineLevel="2">
      <c r="A6886" s="35"/>
      <c r="B6886" s="12" t="str">
        <f>IFERROR(VLOOKUP(D6886,'[1]Перечень товаров'!$A$2:$I9525,2,0),"")</f>
        <v>т2</v>
      </c>
      <c r="C6886" s="12" t="str">
        <f>IFERROR(VLOOKUP(D6886,'[1]Перечень товаров'!$A$2:$I9525,3,0),"")</f>
        <v xml:space="preserve">Техника </v>
      </c>
      <c r="D6886" s="35" t="s">
        <v>29</v>
      </c>
      <c r="E6886" s="58"/>
      <c r="F6886" s="58"/>
      <c r="G6886" s="48">
        <v>1</v>
      </c>
      <c r="H6886" s="48"/>
      <c r="I6886" s="49"/>
      <c r="J6886" s="49"/>
      <c r="K6886" s="19"/>
      <c r="L6886" s="20"/>
    </row>
    <row r="6887" spans="1:12" outlineLevel="2">
      <c r="A6887" s="35"/>
      <c r="B6887" s="12" t="str">
        <f>IFERROR(VLOOKUP(D6887,'[1]Перечень товаров'!$A$2:$I9525,2,0),"")</f>
        <v>т3</v>
      </c>
      <c r="C6887" s="12" t="str">
        <f>IFERROR(VLOOKUP(D6887,'[1]Перечень товаров'!$A$2:$I9525,3,0),"")</f>
        <v xml:space="preserve">Техника </v>
      </c>
      <c r="D6887" s="35" t="s">
        <v>30</v>
      </c>
      <c r="E6887" s="58"/>
      <c r="F6887" s="58"/>
      <c r="G6887" s="48">
        <v>1</v>
      </c>
      <c r="H6887" s="48"/>
      <c r="I6887" s="49"/>
      <c r="J6887" s="49"/>
      <c r="K6887" s="19"/>
      <c r="L6887" s="20"/>
    </row>
    <row r="6888" spans="1:12" outlineLevel="2">
      <c r="A6888" s="35"/>
      <c r="B6888" s="12" t="str">
        <f>IFERROR(VLOOKUP(D6888,'[1]Перечень товаров'!$A$2:$I9525,2,0),"")</f>
        <v>т4</v>
      </c>
      <c r="C6888" s="12" t="str">
        <f>IFERROR(VLOOKUP(D6888,'[1]Перечень товаров'!$A$2:$I9525,3,0),"")</f>
        <v xml:space="preserve">Техника </v>
      </c>
      <c r="D6888" s="35" t="s">
        <v>31</v>
      </c>
      <c r="E6888" s="58"/>
      <c r="F6888" s="58"/>
      <c r="G6888" s="48">
        <v>1</v>
      </c>
      <c r="H6888" s="48"/>
      <c r="I6888" s="49"/>
      <c r="J6888" s="49"/>
      <c r="K6888" s="19"/>
      <c r="L6888" s="20"/>
    </row>
    <row r="6889" spans="1:12" outlineLevel="2">
      <c r="A6889" s="21"/>
      <c r="B6889" s="12" t="str">
        <f>IFERROR(VLOOKUP(D6889,'[1]Перечень товаров'!$A$2:$I9525,2,0),"")</f>
        <v>тм65</v>
      </c>
      <c r="C6889" s="12" t="str">
        <f>IFERROR(VLOOKUP(D6889,'[1]Перечень товаров'!$A$2:$I9525,3,0),"")</f>
        <v>Техника муз</v>
      </c>
      <c r="D6889" s="22" t="s">
        <v>380</v>
      </c>
      <c r="E6889" s="58"/>
      <c r="F6889" s="58"/>
      <c r="G6889" s="48">
        <v>1</v>
      </c>
      <c r="H6889" s="48"/>
      <c r="I6889" s="49"/>
      <c r="J6889" s="49"/>
      <c r="K6889" s="19"/>
      <c r="L6889" s="20"/>
    </row>
    <row r="6890" spans="1:12" outlineLevel="2">
      <c r="A6890" s="21"/>
      <c r="B6890" s="12" t="str">
        <f>IFERROR(VLOOKUP(D6890,'[1]Перечень товаров'!$A$2:$I9525,2,0),"")</f>
        <v>т12</v>
      </c>
      <c r="C6890" s="12" t="str">
        <f>IFERROR(VLOOKUP(D6890,'[1]Перечень товаров'!$A$2:$I9525,3,0),"")</f>
        <v>Техника</v>
      </c>
      <c r="D6890" s="22" t="s">
        <v>49</v>
      </c>
      <c r="E6890" s="58"/>
      <c r="F6890" s="58"/>
      <c r="G6890" s="48">
        <v>1</v>
      </c>
      <c r="H6890" s="48"/>
      <c r="I6890" s="49"/>
      <c r="J6890" s="49"/>
      <c r="K6890" s="19"/>
      <c r="L6890" s="20"/>
    </row>
    <row r="6891" spans="1:12" outlineLevel="2">
      <c r="A6891" s="35"/>
      <c r="B6891" s="12" t="str">
        <f>IFERROR(VLOOKUP(D6891,'[1]Перечень товаров'!$A$2:$I9525,2,0),"")</f>
        <v>т6</v>
      </c>
      <c r="C6891" s="12" t="str">
        <f>IFERROR(VLOOKUP(D6891,'[1]Перечень товаров'!$A$2:$I9525,3,0),"")</f>
        <v xml:space="preserve">Техника </v>
      </c>
      <c r="D6891" s="35" t="s">
        <v>33</v>
      </c>
      <c r="E6891" s="58"/>
      <c r="F6891" s="58"/>
      <c r="G6891" s="48">
        <v>1</v>
      </c>
      <c r="H6891" s="48"/>
      <c r="I6891" s="49"/>
      <c r="J6891" s="49"/>
      <c r="K6891" s="19"/>
      <c r="L6891" s="20"/>
    </row>
    <row r="6892" spans="1:12" outlineLevel="2">
      <c r="A6892" s="21"/>
      <c r="B6892" s="12" t="str">
        <f>IFERROR(VLOOKUP(D6892,'[1]Перечень товаров'!$A$2:$I9525,2,0),"")</f>
        <v>т7</v>
      </c>
      <c r="C6892" s="12" t="str">
        <f>IFERROR(VLOOKUP(D6892,'[1]Перечень товаров'!$A$2:$I9525,3,0),"")</f>
        <v xml:space="preserve">Техника </v>
      </c>
      <c r="D6892" s="22" t="s">
        <v>34</v>
      </c>
      <c r="E6892" s="58"/>
      <c r="F6892" s="58"/>
      <c r="G6892" s="48">
        <v>3</v>
      </c>
      <c r="H6892" s="48"/>
      <c r="I6892" s="49"/>
      <c r="J6892" s="49"/>
      <c r="K6892" s="19"/>
      <c r="L6892" s="20"/>
    </row>
    <row r="6893" spans="1:12" outlineLevel="2">
      <c r="A6893" s="28"/>
      <c r="B6893" s="12" t="str">
        <f>IFERROR(VLOOKUP(D6893,'[1]Перечень товаров'!$A$2:$I9525,2,0),"")</f>
        <v>т161</v>
      </c>
      <c r="C6893" s="12" t="str">
        <f>IFERROR(VLOOKUP(D6893,'[1]Перечень товаров'!$A$2:$I9525,3,0),"")</f>
        <v xml:space="preserve">Техника </v>
      </c>
      <c r="D6893" s="29" t="s">
        <v>381</v>
      </c>
      <c r="E6893" s="30"/>
      <c r="F6893" s="30"/>
      <c r="G6893" s="59">
        <v>1</v>
      </c>
      <c r="H6893" s="59"/>
      <c r="I6893" s="60"/>
      <c r="J6893" s="60"/>
      <c r="K6893" s="19"/>
      <c r="L6893" s="20"/>
    </row>
    <row r="6894" spans="1:12" outlineLevel="2">
      <c r="A6894" s="113"/>
      <c r="B6894" s="12" t="str">
        <f>IFERROR(VLOOKUP(D6894,'[1]Перечень товаров'!$A$2:$I9525,2,0),"")</f>
        <v/>
      </c>
      <c r="C6894" s="12" t="str">
        <f>IFERROR(VLOOKUP(D6894,'[1]Перечень товаров'!$A$2:$I9525,3,0),"")</f>
        <v/>
      </c>
      <c r="D6894" s="114" t="s">
        <v>19</v>
      </c>
      <c r="E6894" s="115"/>
      <c r="F6894" s="115"/>
      <c r="G6894" s="59"/>
      <c r="H6894" s="59"/>
      <c r="I6894" s="60"/>
      <c r="J6894" s="60"/>
      <c r="K6894" s="19"/>
      <c r="L6894" s="20"/>
    </row>
    <row r="6895" spans="1:12" outlineLevel="2">
      <c r="A6895" s="34"/>
      <c r="B6895" s="12" t="str">
        <f>IFERROR(VLOOKUP(D6895,'[1]Перечень товаров'!$A$2:$I9525,2,0),"")</f>
        <v>м62</v>
      </c>
      <c r="C6895" s="12" t="str">
        <f>IFERROR(VLOOKUP(D6895,'[1]Перечень товаров'!$A$2:$I9525,3,0),"")</f>
        <v>Мебель</v>
      </c>
      <c r="D6895" s="35" t="s">
        <v>398</v>
      </c>
      <c r="E6895" s="88"/>
      <c r="F6895" s="88"/>
      <c r="G6895" s="59">
        <v>1</v>
      </c>
      <c r="H6895" s="59"/>
      <c r="I6895" s="60"/>
      <c r="J6895" s="60"/>
      <c r="K6895" s="19"/>
      <c r="L6895" s="20"/>
    </row>
    <row r="6896" spans="1:12" outlineLevel="2">
      <c r="A6896" s="34"/>
      <c r="B6896" s="12" t="str">
        <f>IFERROR(VLOOKUP(D6896,'[1]Перечень товаров'!$A$2:$I9525,2,0),"")</f>
        <v>м61</v>
      </c>
      <c r="C6896" s="12" t="str">
        <f>IFERROR(VLOOKUP(D6896,'[1]Перечень товаров'!$A$2:$I9525,3,0),"")</f>
        <v>Мебель</v>
      </c>
      <c r="D6896" s="35" t="s">
        <v>383</v>
      </c>
      <c r="E6896" s="88"/>
      <c r="F6896" s="88"/>
      <c r="G6896" s="59">
        <v>1</v>
      </c>
      <c r="H6896" s="59"/>
      <c r="I6896" s="60"/>
      <c r="J6896" s="60"/>
      <c r="K6896" s="19"/>
      <c r="L6896" s="20"/>
    </row>
    <row r="6897" spans="1:12" outlineLevel="2">
      <c r="A6897" s="34"/>
      <c r="B6897" s="12" t="str">
        <f>IFERROR(VLOOKUP(D6897,'[1]Перечень товаров'!$A$2:$I9525,2,0),"")</f>
        <v>м179</v>
      </c>
      <c r="C6897" s="12" t="str">
        <f>IFERROR(VLOOKUP(D6897,'[1]Перечень товаров'!$A$2:$I9525,3,0),"")</f>
        <v>Мебель</v>
      </c>
      <c r="D6897" s="35" t="s">
        <v>579</v>
      </c>
      <c r="E6897" s="88"/>
      <c r="F6897" s="88"/>
      <c r="G6897" s="59">
        <v>10</v>
      </c>
      <c r="H6897" s="59"/>
      <c r="I6897" s="60"/>
      <c r="J6897" s="60"/>
      <c r="K6897" s="19"/>
      <c r="L6897" s="20"/>
    </row>
    <row r="6898" spans="1:12" outlineLevel="2">
      <c r="A6898" s="34"/>
      <c r="B6898" s="12" t="str">
        <f>IFERROR(VLOOKUP(D6898,'[1]Перечень товаров'!$A$2:$I9525,2,0),"")</f>
        <v>м61</v>
      </c>
      <c r="C6898" s="12" t="str">
        <f>IFERROR(VLOOKUP(D6898,'[1]Перечень товаров'!$A$2:$I9525,3,0),"")</f>
        <v>Мебель</v>
      </c>
      <c r="D6898" s="35" t="s">
        <v>384</v>
      </c>
      <c r="E6898" s="88"/>
      <c r="F6898" s="88"/>
      <c r="G6898" s="59">
        <v>20</v>
      </c>
      <c r="H6898" s="59"/>
      <c r="I6898" s="60"/>
      <c r="J6898" s="60"/>
      <c r="K6898" s="19"/>
      <c r="L6898" s="20"/>
    </row>
    <row r="6899" spans="1:12" outlineLevel="2">
      <c r="A6899" s="21"/>
      <c r="B6899" s="12" t="str">
        <f>IFERROR(VLOOKUP(D6899,'[1]Перечень товаров'!$A$2:$I9525,2,0),"")</f>
        <v>м13</v>
      </c>
      <c r="C6899" s="12" t="str">
        <f>IFERROR(VLOOKUP(D6899,'[1]Перечень товаров'!$A$2:$I9525,3,0),"")</f>
        <v>Мебель</v>
      </c>
      <c r="D6899" s="22" t="s">
        <v>42</v>
      </c>
      <c r="E6899" s="58"/>
      <c r="F6899" s="58"/>
      <c r="G6899" s="24">
        <v>1</v>
      </c>
      <c r="H6899" s="24"/>
      <c r="I6899" s="25"/>
      <c r="J6899" s="25"/>
      <c r="K6899" s="19"/>
      <c r="L6899" s="20"/>
    </row>
    <row r="6900" spans="1:12" outlineLevel="2">
      <c r="A6900" s="21"/>
      <c r="B6900" s="12" t="str">
        <f>IFERROR(VLOOKUP(D6900,'[1]Перечень товаров'!$A$2:$I9525,2,0),"")</f>
        <v>м14</v>
      </c>
      <c r="C6900" s="12" t="str">
        <f>IFERROR(VLOOKUP(D6900,'[1]Перечень товаров'!$A$2:$I9525,3,0),"")</f>
        <v>Мебель</v>
      </c>
      <c r="D6900" s="22" t="s">
        <v>43</v>
      </c>
      <c r="E6900" s="58"/>
      <c r="F6900" s="58"/>
      <c r="G6900" s="24">
        <v>1</v>
      </c>
      <c r="H6900" s="24"/>
      <c r="I6900" s="25"/>
      <c r="J6900" s="25"/>
      <c r="K6900" s="19"/>
      <c r="L6900" s="20"/>
    </row>
    <row r="6901" spans="1:12" ht="31.5" outlineLevel="2">
      <c r="A6901" s="21"/>
      <c r="B6901" s="12" t="str">
        <f>IFERROR(VLOOKUP(D6901,'[1]Перечень товаров'!$A$2:$I9525,2,0),"")</f>
        <v>м106</v>
      </c>
      <c r="C6901" s="12" t="str">
        <f>IFERROR(VLOOKUP(D6901,'[1]Перечень товаров'!$A$2:$I9525,3,0),"")</f>
        <v>мебель</v>
      </c>
      <c r="D6901" s="22" t="s">
        <v>1785</v>
      </c>
      <c r="E6901" s="58"/>
      <c r="F6901" s="58"/>
      <c r="G6901" s="24">
        <v>1</v>
      </c>
      <c r="H6901" s="24"/>
      <c r="I6901" s="25"/>
      <c r="J6901" s="25"/>
      <c r="K6901" s="19"/>
      <c r="L6901" s="20"/>
    </row>
    <row r="6902" spans="1:12" outlineLevel="2">
      <c r="A6902" s="21"/>
      <c r="B6902" s="12" t="str">
        <f>IFERROR(VLOOKUP(D6902,'[1]Перечень товаров'!$A$2:$I9525,2,0),"")</f>
        <v>п2</v>
      </c>
      <c r="C6902" s="12" t="str">
        <f>IFERROR(VLOOKUP(D6902,'[1]Перечень товаров'!$A$2:$I9525,3,0),"")</f>
        <v>Прочее</v>
      </c>
      <c r="D6902" s="22" t="s">
        <v>46</v>
      </c>
      <c r="E6902" s="58"/>
      <c r="F6902" s="58"/>
      <c r="G6902" s="24">
        <v>1</v>
      </c>
      <c r="H6902" s="24"/>
      <c r="I6902" s="25"/>
      <c r="J6902" s="25"/>
      <c r="K6902" s="19"/>
      <c r="L6902" s="20"/>
    </row>
    <row r="6903" spans="1:12" ht="31.5" outlineLevel="2">
      <c r="A6903" s="155"/>
      <c r="B6903" s="12" t="str">
        <f>IFERROR(VLOOKUP(D6903,'[1]Перечень товаров'!$A$2:$I9525,2,0),"")</f>
        <v>м21</v>
      </c>
      <c r="C6903" s="12" t="str">
        <f>IFERROR(VLOOKUP(D6903,'[1]Перечень товаров'!$A$2:$I9525,3,0),"")</f>
        <v>Мебель</v>
      </c>
      <c r="D6903" s="156" t="s">
        <v>58</v>
      </c>
      <c r="E6903" s="58"/>
      <c r="F6903" s="58"/>
      <c r="G6903" s="24">
        <v>1</v>
      </c>
      <c r="H6903" s="24"/>
      <c r="I6903" s="25"/>
      <c r="J6903" s="25"/>
      <c r="K6903" s="19"/>
      <c r="L6903" s="20"/>
    </row>
    <row r="6904" spans="1:12" outlineLevel="2">
      <c r="A6904" s="116"/>
      <c r="B6904" s="12" t="str">
        <f>IFERROR(VLOOKUP(D6904,'[1]Перечень товаров'!$A$2:$I9525,2,0),"")</f>
        <v/>
      </c>
      <c r="C6904" s="12" t="str">
        <f>IFERROR(VLOOKUP(D6904,'[1]Перечень товаров'!$A$2:$I9525,3,0),"")</f>
        <v/>
      </c>
      <c r="D6904" s="117" t="s">
        <v>391</v>
      </c>
      <c r="E6904" s="217"/>
      <c r="F6904" s="217"/>
      <c r="G6904" s="59"/>
      <c r="H6904" s="59"/>
      <c r="I6904" s="60"/>
      <c r="J6904" s="60"/>
      <c r="K6904" s="19"/>
      <c r="L6904" s="20"/>
    </row>
    <row r="6905" spans="1:12" outlineLevel="2">
      <c r="A6905" s="28"/>
      <c r="B6905" s="12" t="str">
        <f>IFERROR(VLOOKUP(D6905,'[1]Перечень товаров'!$A$2:$I9525,2,0),"")</f>
        <v>мм1</v>
      </c>
      <c r="C6905" s="12" t="str">
        <f>IFERROR(VLOOKUP(D6905,'[1]Перечень товаров'!$A$2:$I9525,3,0),"")</f>
        <v>Мебель муз</v>
      </c>
      <c r="D6905" s="29" t="s">
        <v>1134</v>
      </c>
      <c r="E6905" s="30"/>
      <c r="F6905" s="30"/>
      <c r="G6905" s="59">
        <v>1</v>
      </c>
      <c r="H6905" s="59"/>
      <c r="I6905" s="60"/>
      <c r="J6905" s="60"/>
      <c r="K6905" s="19"/>
      <c r="L6905" s="20"/>
    </row>
    <row r="6906" spans="1:12" ht="47.25" outlineLevel="2">
      <c r="A6906" s="28"/>
      <c r="B6906" s="12" t="str">
        <f>IFERROR(VLOOKUP(D6906,'[1]Перечень товаров'!$A$2:$I9525,2,0),"")</f>
        <v>пм168</v>
      </c>
      <c r="C6906" s="12" t="str">
        <f>IFERROR(VLOOKUP(D6906,'[1]Перечень товаров'!$A$2:$I9525,3,0),"")</f>
        <v>прочее муз</v>
      </c>
      <c r="D6906" s="29" t="s">
        <v>1135</v>
      </c>
      <c r="E6906" s="30"/>
      <c r="F6906" s="30"/>
      <c r="G6906" s="59">
        <v>4</v>
      </c>
      <c r="H6906" s="59"/>
      <c r="I6906" s="60"/>
      <c r="J6906" s="60"/>
      <c r="K6906" s="19"/>
      <c r="L6906" s="20"/>
    </row>
    <row r="6907" spans="1:12" ht="47.25" outlineLevel="2">
      <c r="A6907" s="28"/>
      <c r="B6907" s="12" t="str">
        <f>IFERROR(VLOOKUP(D6907,'[1]Перечень товаров'!$A$2:$I9525,2,0),"")</f>
        <v>тм103</v>
      </c>
      <c r="C6907" s="12" t="str">
        <f>IFERROR(VLOOKUP(D6907,'[1]Перечень товаров'!$A$2:$I9525,3,0),"")</f>
        <v>Техника муз</v>
      </c>
      <c r="D6907" s="29" t="s">
        <v>1786</v>
      </c>
      <c r="E6907" s="30"/>
      <c r="F6907" s="30"/>
      <c r="G6907" s="59">
        <v>1</v>
      </c>
      <c r="H6907" s="59"/>
      <c r="I6907" s="60"/>
      <c r="J6907" s="60"/>
      <c r="K6907" s="19"/>
      <c r="L6907" s="20"/>
    </row>
    <row r="6908" spans="1:12" outlineLevel="2">
      <c r="A6908" s="28"/>
      <c r="B6908" s="12" t="str">
        <f>IFERROR(VLOOKUP(D6908,'[1]Перечень товаров'!$A$2:$I9525,2,0),"")</f>
        <v>пм167</v>
      </c>
      <c r="C6908" s="12" t="str">
        <f>IFERROR(VLOOKUP(D6908,'[1]Перечень товаров'!$A$2:$I9525,3,0),"")</f>
        <v>прочее муз</v>
      </c>
      <c r="D6908" s="29" t="s">
        <v>1136</v>
      </c>
      <c r="E6908" s="30"/>
      <c r="F6908" s="30"/>
      <c r="G6908" s="59">
        <v>1</v>
      </c>
      <c r="H6908" s="59"/>
      <c r="I6908" s="60"/>
      <c r="J6908" s="60"/>
      <c r="K6908" s="19"/>
      <c r="L6908" s="20"/>
    </row>
    <row r="6909" spans="1:12" ht="31.5" outlineLevel="2">
      <c r="A6909" s="28"/>
      <c r="B6909" s="12" t="str">
        <f>IFERROR(VLOOKUP(D6909,'[1]Перечень товаров'!$A$2:$I9525,2,0),"")</f>
        <v>пм166</v>
      </c>
      <c r="C6909" s="12" t="str">
        <f>IFERROR(VLOOKUP(D6909,'[1]Перечень товаров'!$A$2:$I9525,3,0),"")</f>
        <v>прочее муз</v>
      </c>
      <c r="D6909" s="29" t="s">
        <v>1137</v>
      </c>
      <c r="E6909" s="30"/>
      <c r="F6909" s="30"/>
      <c r="G6909" s="59">
        <v>1</v>
      </c>
      <c r="H6909" s="59"/>
      <c r="I6909" s="60"/>
      <c r="J6909" s="60"/>
      <c r="K6909" s="19"/>
      <c r="L6909" s="20"/>
    </row>
    <row r="6910" spans="1:12" ht="31.5" outlineLevel="2">
      <c r="A6910" s="28"/>
      <c r="B6910" s="12" t="str">
        <f>IFERROR(VLOOKUP(D6910,'[1]Перечень товаров'!$A$2:$I9525,2,0),"")</f>
        <v>т130</v>
      </c>
      <c r="C6910" s="12" t="str">
        <f>IFERROR(VLOOKUP(D6910,'[1]Перечень товаров'!$A$2:$I9525,3,0),"")</f>
        <v>Техника</v>
      </c>
      <c r="D6910" s="29" t="s">
        <v>1138</v>
      </c>
      <c r="E6910" s="30"/>
      <c r="F6910" s="30"/>
      <c r="G6910" s="59">
        <v>1</v>
      </c>
      <c r="H6910" s="59"/>
      <c r="I6910" s="60"/>
      <c r="J6910" s="60"/>
      <c r="K6910" s="19"/>
      <c r="L6910" s="20"/>
    </row>
    <row r="6911" spans="1:12" outlineLevel="2">
      <c r="A6911" s="54"/>
      <c r="B6911" s="12" t="str">
        <f>IFERROR(VLOOKUP(D6911,'[1]Перечень товаров'!$A$2:$I9525,2,0),"")</f>
        <v/>
      </c>
      <c r="C6911" s="12" t="str">
        <f>IFERROR(VLOOKUP(D6911,'[1]Перечень товаров'!$A$2:$I9525,3,0),"")</f>
        <v/>
      </c>
      <c r="D6911" s="55" t="s">
        <v>45</v>
      </c>
      <c r="E6911" s="217"/>
      <c r="F6911" s="217"/>
      <c r="G6911" s="59"/>
      <c r="H6911" s="59"/>
      <c r="I6911" s="60"/>
      <c r="J6911" s="60"/>
      <c r="K6911" s="19"/>
      <c r="L6911" s="20"/>
    </row>
    <row r="6912" spans="1:12" outlineLevel="2">
      <c r="A6912" s="43"/>
      <c r="B6912" s="12" t="str">
        <f>IFERROR(VLOOKUP(D6912,'[1]Перечень товаров'!$A$2:$I9525,2,0),"")</f>
        <v>м7</v>
      </c>
      <c r="C6912" s="12" t="str">
        <f>IFERROR(VLOOKUP(D6912,'[1]Перечень товаров'!$A$2:$I9525,3,0),"")</f>
        <v>Мебель</v>
      </c>
      <c r="D6912" s="44" t="s">
        <v>24</v>
      </c>
      <c r="E6912" s="30"/>
      <c r="F6912" s="30"/>
      <c r="G6912" s="59">
        <v>1</v>
      </c>
      <c r="H6912" s="59"/>
      <c r="I6912" s="60"/>
      <c r="J6912" s="60"/>
      <c r="K6912" s="19"/>
      <c r="L6912" s="20"/>
    </row>
    <row r="6913" spans="1:12" outlineLevel="2">
      <c r="A6913" s="43"/>
      <c r="B6913" s="12" t="str">
        <f>IFERROR(VLOOKUP(D6913,'[1]Перечень товаров'!$A$2:$I9525,2,0),"")</f>
        <v>п1</v>
      </c>
      <c r="C6913" s="12" t="str">
        <f>IFERROR(VLOOKUP(D6913,'[1]Перечень товаров'!$A$2:$I9525,3,0),"")</f>
        <v>Прочее</v>
      </c>
      <c r="D6913" s="44" t="s">
        <v>37</v>
      </c>
      <c r="E6913" s="30"/>
      <c r="F6913" s="30"/>
      <c r="G6913" s="59">
        <v>1</v>
      </c>
      <c r="H6913" s="59"/>
      <c r="I6913" s="60"/>
      <c r="J6913" s="60"/>
      <c r="K6913" s="19"/>
      <c r="L6913" s="20"/>
    </row>
    <row r="6914" spans="1:12" ht="12.75" outlineLevel="1">
      <c r="A6914" s="89"/>
      <c r="B6914" s="12" t="str">
        <f>IFERROR(VLOOKUP(D6914,'[1]Перечень товаров'!$A$2:$I9525,2,0),"")</f>
        <v/>
      </c>
      <c r="C6914" s="12" t="str">
        <f>IFERROR(VLOOKUP(D6914,'[1]Перечень товаров'!$A$2:$I9525,3,0),"")</f>
        <v/>
      </c>
      <c r="D6914" s="90" t="s">
        <v>1676</v>
      </c>
      <c r="E6914" s="108">
        <v>46053</v>
      </c>
      <c r="F6914" s="108"/>
      <c r="G6914" s="100"/>
      <c r="H6914" s="100"/>
      <c r="I6914" s="101"/>
      <c r="J6914" s="101"/>
      <c r="K6914" s="19"/>
      <c r="L6914" s="20"/>
    </row>
    <row r="6915" spans="1:12" ht="15" outlineLevel="2">
      <c r="A6915" s="109"/>
      <c r="B6915" s="12" t="str">
        <f>IFERROR(VLOOKUP(D6915,'[1]Перечень товаров'!$A$2:$I9525,2,0),"")</f>
        <v/>
      </c>
      <c r="C6915" s="12" t="str">
        <f>IFERROR(VLOOKUP(D6915,'[1]Перечень товаров'!$A$2:$I9525,3,0),"")</f>
        <v/>
      </c>
      <c r="D6915" s="110" t="s">
        <v>27</v>
      </c>
      <c r="E6915" s="45"/>
      <c r="F6915" s="45"/>
      <c r="G6915" s="111"/>
      <c r="H6915" s="111"/>
      <c r="I6915" s="112"/>
      <c r="J6915" s="112"/>
      <c r="K6915" s="19"/>
      <c r="L6915" s="20"/>
    </row>
    <row r="6916" spans="1:12" outlineLevel="2">
      <c r="A6916" s="21"/>
      <c r="B6916" s="12" t="str">
        <f>IFERROR(VLOOKUP(D6916,'[1]Перечень товаров'!$A$2:$I9525,2,0),"")</f>
        <v>т1</v>
      </c>
      <c r="C6916" s="12" t="str">
        <f>IFERROR(VLOOKUP(D6916,'[1]Перечень товаров'!$A$2:$I9525,3,0),"")</f>
        <v xml:space="preserve">Техника </v>
      </c>
      <c r="D6916" s="22" t="s">
        <v>28</v>
      </c>
      <c r="E6916" s="58"/>
      <c r="F6916" s="58"/>
      <c r="G6916" s="48">
        <v>1</v>
      </c>
      <c r="H6916" s="48"/>
      <c r="I6916" s="49"/>
      <c r="J6916" s="49"/>
      <c r="K6916" s="19"/>
      <c r="L6916" s="20"/>
    </row>
    <row r="6917" spans="1:12" outlineLevel="2">
      <c r="A6917" s="143"/>
      <c r="B6917" s="12" t="str">
        <f>IFERROR(VLOOKUP(D6917,'[1]Перечень товаров'!$A$2:$I9525,2,0),"")</f>
        <v>т9</v>
      </c>
      <c r="C6917" s="12" t="str">
        <f>IFERROR(VLOOKUP(D6917,'[1]Перечень товаров'!$A$2:$I9525,3,0),"")</f>
        <v>Техника</v>
      </c>
      <c r="D6917" s="143" t="s">
        <v>36</v>
      </c>
      <c r="E6917" s="58"/>
      <c r="F6917" s="58"/>
      <c r="G6917" s="48">
        <v>1</v>
      </c>
      <c r="H6917" s="48"/>
      <c r="I6917" s="49"/>
      <c r="J6917" s="49"/>
      <c r="K6917" s="19"/>
      <c r="L6917" s="20"/>
    </row>
    <row r="6918" spans="1:12" outlineLevel="2">
      <c r="A6918" s="35"/>
      <c r="B6918" s="12" t="str">
        <f>IFERROR(VLOOKUP(D6918,'[1]Перечень товаров'!$A$2:$I9525,2,0),"")</f>
        <v>т2</v>
      </c>
      <c r="C6918" s="12" t="str">
        <f>IFERROR(VLOOKUP(D6918,'[1]Перечень товаров'!$A$2:$I9525,3,0),"")</f>
        <v xml:space="preserve">Техника </v>
      </c>
      <c r="D6918" s="35" t="s">
        <v>29</v>
      </c>
      <c r="E6918" s="58"/>
      <c r="F6918" s="58"/>
      <c r="G6918" s="48">
        <v>1</v>
      </c>
      <c r="H6918" s="48"/>
      <c r="I6918" s="49"/>
      <c r="J6918" s="49"/>
      <c r="K6918" s="19"/>
      <c r="L6918" s="20"/>
    </row>
    <row r="6919" spans="1:12" outlineLevel="2">
      <c r="A6919" s="35"/>
      <c r="B6919" s="12" t="str">
        <f>IFERROR(VLOOKUP(D6919,'[1]Перечень товаров'!$A$2:$I9525,2,0),"")</f>
        <v>т3</v>
      </c>
      <c r="C6919" s="12" t="str">
        <f>IFERROR(VLOOKUP(D6919,'[1]Перечень товаров'!$A$2:$I9525,3,0),"")</f>
        <v xml:space="preserve">Техника </v>
      </c>
      <c r="D6919" s="35" t="s">
        <v>30</v>
      </c>
      <c r="E6919" s="58"/>
      <c r="F6919" s="58"/>
      <c r="G6919" s="48">
        <v>1</v>
      </c>
      <c r="H6919" s="48"/>
      <c r="I6919" s="49"/>
      <c r="J6919" s="49"/>
      <c r="K6919" s="19"/>
      <c r="L6919" s="20"/>
    </row>
    <row r="6920" spans="1:12" outlineLevel="2">
      <c r="A6920" s="35"/>
      <c r="B6920" s="12" t="str">
        <f>IFERROR(VLOOKUP(D6920,'[1]Перечень товаров'!$A$2:$I9525,2,0),"")</f>
        <v>т4</v>
      </c>
      <c r="C6920" s="12" t="str">
        <f>IFERROR(VLOOKUP(D6920,'[1]Перечень товаров'!$A$2:$I9525,3,0),"")</f>
        <v xml:space="preserve">Техника </v>
      </c>
      <c r="D6920" s="35" t="s">
        <v>31</v>
      </c>
      <c r="E6920" s="58"/>
      <c r="F6920" s="58"/>
      <c r="G6920" s="48">
        <v>1</v>
      </c>
      <c r="H6920" s="48"/>
      <c r="I6920" s="49"/>
      <c r="J6920" s="49"/>
      <c r="K6920" s="19"/>
      <c r="L6920" s="20"/>
    </row>
    <row r="6921" spans="1:12" outlineLevel="2">
      <c r="A6921" s="21"/>
      <c r="B6921" s="12" t="str">
        <f>IFERROR(VLOOKUP(D6921,'[1]Перечень товаров'!$A$2:$I9525,2,0),"")</f>
        <v>тм65</v>
      </c>
      <c r="C6921" s="12" t="str">
        <f>IFERROR(VLOOKUP(D6921,'[1]Перечень товаров'!$A$2:$I9525,3,0),"")</f>
        <v>Техника муз</v>
      </c>
      <c r="D6921" s="22" t="s">
        <v>380</v>
      </c>
      <c r="E6921" s="58"/>
      <c r="F6921" s="58"/>
      <c r="G6921" s="48">
        <v>1</v>
      </c>
      <c r="H6921" s="48"/>
      <c r="I6921" s="49"/>
      <c r="J6921" s="49"/>
      <c r="K6921" s="19"/>
      <c r="L6921" s="20"/>
    </row>
    <row r="6922" spans="1:12" outlineLevel="2">
      <c r="A6922" s="21"/>
      <c r="B6922" s="12" t="str">
        <f>IFERROR(VLOOKUP(D6922,'[1]Перечень товаров'!$A$2:$I9525,2,0),"")</f>
        <v>т12</v>
      </c>
      <c r="C6922" s="12" t="str">
        <f>IFERROR(VLOOKUP(D6922,'[1]Перечень товаров'!$A$2:$I9525,3,0),"")</f>
        <v>Техника</v>
      </c>
      <c r="D6922" s="22" t="s">
        <v>49</v>
      </c>
      <c r="E6922" s="58"/>
      <c r="F6922" s="58"/>
      <c r="G6922" s="48">
        <v>1</v>
      </c>
      <c r="H6922" s="48"/>
      <c r="I6922" s="49"/>
      <c r="J6922" s="49"/>
      <c r="K6922" s="19"/>
      <c r="L6922" s="20"/>
    </row>
    <row r="6923" spans="1:12" outlineLevel="2">
      <c r="A6923" s="35"/>
      <c r="B6923" s="12" t="str">
        <f>IFERROR(VLOOKUP(D6923,'[1]Перечень товаров'!$A$2:$I9525,2,0),"")</f>
        <v>т6</v>
      </c>
      <c r="C6923" s="12" t="str">
        <f>IFERROR(VLOOKUP(D6923,'[1]Перечень товаров'!$A$2:$I9525,3,0),"")</f>
        <v xml:space="preserve">Техника </v>
      </c>
      <c r="D6923" s="35" t="s">
        <v>33</v>
      </c>
      <c r="E6923" s="58"/>
      <c r="F6923" s="58"/>
      <c r="G6923" s="48">
        <v>1</v>
      </c>
      <c r="H6923" s="48"/>
      <c r="I6923" s="49"/>
      <c r="J6923" s="49"/>
      <c r="K6923" s="19"/>
      <c r="L6923" s="20"/>
    </row>
    <row r="6924" spans="1:12" outlineLevel="2">
      <c r="A6924" s="21"/>
      <c r="B6924" s="12" t="str">
        <f>IFERROR(VLOOKUP(D6924,'[1]Перечень товаров'!$A$2:$I9525,2,0),"")</f>
        <v>т7</v>
      </c>
      <c r="C6924" s="12" t="str">
        <f>IFERROR(VLOOKUP(D6924,'[1]Перечень товаров'!$A$2:$I9525,3,0),"")</f>
        <v xml:space="preserve">Техника </v>
      </c>
      <c r="D6924" s="22" t="s">
        <v>34</v>
      </c>
      <c r="E6924" s="58"/>
      <c r="F6924" s="58"/>
      <c r="G6924" s="48">
        <v>3</v>
      </c>
      <c r="H6924" s="48"/>
      <c r="I6924" s="49"/>
      <c r="J6924" s="49"/>
      <c r="K6924" s="19"/>
      <c r="L6924" s="20"/>
    </row>
    <row r="6925" spans="1:12" outlineLevel="2">
      <c r="A6925" s="28"/>
      <c r="B6925" s="12" t="str">
        <f>IFERROR(VLOOKUP(D6925,'[1]Перечень товаров'!$A$2:$I9525,2,0),"")</f>
        <v>т161</v>
      </c>
      <c r="C6925" s="12" t="str">
        <f>IFERROR(VLOOKUP(D6925,'[1]Перечень товаров'!$A$2:$I9525,3,0),"")</f>
        <v xml:space="preserve">Техника </v>
      </c>
      <c r="D6925" s="29" t="s">
        <v>381</v>
      </c>
      <c r="E6925" s="30"/>
      <c r="F6925" s="30"/>
      <c r="G6925" s="59">
        <v>1</v>
      </c>
      <c r="H6925" s="59"/>
      <c r="I6925" s="60"/>
      <c r="J6925" s="60"/>
      <c r="K6925" s="19"/>
      <c r="L6925" s="20"/>
    </row>
    <row r="6926" spans="1:12" outlineLevel="2">
      <c r="A6926" s="113"/>
      <c r="B6926" s="12" t="str">
        <f>IFERROR(VLOOKUP(D6926,'[1]Перечень товаров'!$A$2:$I9525,2,0),"")</f>
        <v/>
      </c>
      <c r="C6926" s="12" t="str">
        <f>IFERROR(VLOOKUP(D6926,'[1]Перечень товаров'!$A$2:$I9525,3,0),"")</f>
        <v/>
      </c>
      <c r="D6926" s="114" t="s">
        <v>19</v>
      </c>
      <c r="E6926" s="115"/>
      <c r="F6926" s="115"/>
      <c r="G6926" s="59"/>
      <c r="H6926" s="59"/>
      <c r="I6926" s="60"/>
      <c r="J6926" s="60"/>
      <c r="K6926" s="19"/>
      <c r="L6926" s="20"/>
    </row>
    <row r="6927" spans="1:12" outlineLevel="2">
      <c r="A6927" s="34"/>
      <c r="B6927" s="12" t="str">
        <f>IFERROR(VLOOKUP(D6927,'[1]Перечень товаров'!$A$2:$I9525,2,0),"")</f>
        <v>м62</v>
      </c>
      <c r="C6927" s="12" t="str">
        <f>IFERROR(VLOOKUP(D6927,'[1]Перечень товаров'!$A$2:$I9525,3,0),"")</f>
        <v>Мебель</v>
      </c>
      <c r="D6927" s="35" t="s">
        <v>398</v>
      </c>
      <c r="E6927" s="88"/>
      <c r="F6927" s="88"/>
      <c r="G6927" s="59">
        <v>1</v>
      </c>
      <c r="H6927" s="59"/>
      <c r="I6927" s="60"/>
      <c r="J6927" s="60"/>
      <c r="K6927" s="19"/>
      <c r="L6927" s="20"/>
    </row>
    <row r="6928" spans="1:12" outlineLevel="2">
      <c r="A6928" s="34"/>
      <c r="B6928" s="12" t="str">
        <f>IFERROR(VLOOKUP(D6928,'[1]Перечень товаров'!$A$2:$I9525,2,0),"")</f>
        <v>м61</v>
      </c>
      <c r="C6928" s="12" t="str">
        <f>IFERROR(VLOOKUP(D6928,'[1]Перечень товаров'!$A$2:$I9525,3,0),"")</f>
        <v>Мебель</v>
      </c>
      <c r="D6928" s="35" t="s">
        <v>383</v>
      </c>
      <c r="E6928" s="88"/>
      <c r="F6928" s="88"/>
      <c r="G6928" s="59">
        <v>1</v>
      </c>
      <c r="H6928" s="59"/>
      <c r="I6928" s="60"/>
      <c r="J6928" s="60"/>
      <c r="K6928" s="19"/>
      <c r="L6928" s="20"/>
    </row>
    <row r="6929" spans="1:12" outlineLevel="2">
      <c r="A6929" s="34"/>
      <c r="B6929" s="12" t="str">
        <f>IFERROR(VLOOKUP(D6929,'[1]Перечень товаров'!$A$2:$I9525,2,0),"")</f>
        <v>м179</v>
      </c>
      <c r="C6929" s="12" t="str">
        <f>IFERROR(VLOOKUP(D6929,'[1]Перечень товаров'!$A$2:$I9525,3,0),"")</f>
        <v>Мебель</v>
      </c>
      <c r="D6929" s="35" t="s">
        <v>579</v>
      </c>
      <c r="E6929" s="88"/>
      <c r="F6929" s="88"/>
      <c r="G6929" s="59">
        <v>10</v>
      </c>
      <c r="H6929" s="59"/>
      <c r="I6929" s="60"/>
      <c r="J6929" s="60"/>
      <c r="K6929" s="19"/>
      <c r="L6929" s="20"/>
    </row>
    <row r="6930" spans="1:12" outlineLevel="2">
      <c r="A6930" s="34"/>
      <c r="B6930" s="12" t="str">
        <f>IFERROR(VLOOKUP(D6930,'[1]Перечень товаров'!$A$2:$I9525,2,0),"")</f>
        <v>м61</v>
      </c>
      <c r="C6930" s="12" t="str">
        <f>IFERROR(VLOOKUP(D6930,'[1]Перечень товаров'!$A$2:$I9525,3,0),"")</f>
        <v>Мебель</v>
      </c>
      <c r="D6930" s="35" t="s">
        <v>384</v>
      </c>
      <c r="E6930" s="88"/>
      <c r="F6930" s="88"/>
      <c r="G6930" s="59">
        <v>20</v>
      </c>
      <c r="H6930" s="59"/>
      <c r="I6930" s="60"/>
      <c r="J6930" s="60"/>
      <c r="K6930" s="19"/>
      <c r="L6930" s="20"/>
    </row>
    <row r="6931" spans="1:12" outlineLevel="2">
      <c r="A6931" s="21"/>
      <c r="B6931" s="12" t="str">
        <f>IFERROR(VLOOKUP(D6931,'[1]Перечень товаров'!$A$2:$I9525,2,0),"")</f>
        <v>м13</v>
      </c>
      <c r="C6931" s="12" t="str">
        <f>IFERROR(VLOOKUP(D6931,'[1]Перечень товаров'!$A$2:$I9525,3,0),"")</f>
        <v>Мебель</v>
      </c>
      <c r="D6931" s="22" t="s">
        <v>42</v>
      </c>
      <c r="E6931" s="58"/>
      <c r="F6931" s="58"/>
      <c r="G6931" s="24">
        <v>1</v>
      </c>
      <c r="H6931" s="24"/>
      <c r="I6931" s="25"/>
      <c r="J6931" s="25"/>
      <c r="K6931" s="19"/>
      <c r="L6931" s="20"/>
    </row>
    <row r="6932" spans="1:12" outlineLevel="2">
      <c r="A6932" s="21"/>
      <c r="B6932" s="12" t="str">
        <f>IFERROR(VLOOKUP(D6932,'[1]Перечень товаров'!$A$2:$I9525,2,0),"")</f>
        <v>м14</v>
      </c>
      <c r="C6932" s="12" t="str">
        <f>IFERROR(VLOOKUP(D6932,'[1]Перечень товаров'!$A$2:$I9525,3,0),"")</f>
        <v>Мебель</v>
      </c>
      <c r="D6932" s="22" t="s">
        <v>43</v>
      </c>
      <c r="E6932" s="58"/>
      <c r="F6932" s="58"/>
      <c r="G6932" s="24">
        <v>1</v>
      </c>
      <c r="H6932" s="24"/>
      <c r="I6932" s="25"/>
      <c r="J6932" s="25"/>
      <c r="K6932" s="19"/>
      <c r="L6932" s="20"/>
    </row>
    <row r="6933" spans="1:12" ht="31.5" outlineLevel="2">
      <c r="A6933" s="21"/>
      <c r="B6933" s="12" t="str">
        <f>IFERROR(VLOOKUP(D6933,'[1]Перечень товаров'!$A$2:$I9525,2,0),"")</f>
        <v>м106</v>
      </c>
      <c r="C6933" s="12" t="str">
        <f>IFERROR(VLOOKUP(D6933,'[1]Перечень товаров'!$A$2:$I9525,3,0),"")</f>
        <v>мебель</v>
      </c>
      <c r="D6933" s="22" t="s">
        <v>1785</v>
      </c>
      <c r="E6933" s="58"/>
      <c r="F6933" s="58"/>
      <c r="G6933" s="24">
        <v>1</v>
      </c>
      <c r="H6933" s="24"/>
      <c r="I6933" s="25"/>
      <c r="J6933" s="25"/>
      <c r="K6933" s="19"/>
      <c r="L6933" s="20"/>
    </row>
    <row r="6934" spans="1:12" outlineLevel="2">
      <c r="A6934" s="21"/>
      <c r="B6934" s="12" t="str">
        <f>IFERROR(VLOOKUP(D6934,'[1]Перечень товаров'!$A$2:$I9525,2,0),"")</f>
        <v>п2</v>
      </c>
      <c r="C6934" s="12" t="str">
        <f>IFERROR(VLOOKUP(D6934,'[1]Перечень товаров'!$A$2:$I9525,3,0),"")</f>
        <v>Прочее</v>
      </c>
      <c r="D6934" s="22" t="s">
        <v>46</v>
      </c>
      <c r="E6934" s="58"/>
      <c r="F6934" s="58"/>
      <c r="G6934" s="24">
        <v>1</v>
      </c>
      <c r="H6934" s="24"/>
      <c r="I6934" s="25"/>
      <c r="J6934" s="25"/>
      <c r="K6934" s="19"/>
      <c r="L6934" s="20"/>
    </row>
    <row r="6935" spans="1:12" ht="31.5" outlineLevel="2">
      <c r="A6935" s="155"/>
      <c r="B6935" s="12" t="str">
        <f>IFERROR(VLOOKUP(D6935,'[1]Перечень товаров'!$A$2:$I9525,2,0),"")</f>
        <v>м21</v>
      </c>
      <c r="C6935" s="12" t="str">
        <f>IFERROR(VLOOKUP(D6935,'[1]Перечень товаров'!$A$2:$I9525,3,0),"")</f>
        <v>Мебель</v>
      </c>
      <c r="D6935" s="156" t="s">
        <v>58</v>
      </c>
      <c r="E6935" s="58"/>
      <c r="F6935" s="58"/>
      <c r="G6935" s="24">
        <v>1</v>
      </c>
      <c r="H6935" s="24"/>
      <c r="I6935" s="25"/>
      <c r="J6935" s="25"/>
      <c r="K6935" s="19"/>
      <c r="L6935" s="20"/>
    </row>
    <row r="6936" spans="1:12" outlineLevel="2">
      <c r="A6936" s="116"/>
      <c r="B6936" s="12" t="str">
        <f>IFERROR(VLOOKUP(D6936,'[1]Перечень товаров'!$A$2:$I9525,2,0),"")</f>
        <v/>
      </c>
      <c r="C6936" s="12" t="str">
        <f>IFERROR(VLOOKUP(D6936,'[1]Перечень товаров'!$A$2:$I9525,3,0),"")</f>
        <v/>
      </c>
      <c r="D6936" s="117" t="s">
        <v>391</v>
      </c>
      <c r="E6936" s="217"/>
      <c r="F6936" s="217"/>
      <c r="G6936" s="59"/>
      <c r="H6936" s="59"/>
      <c r="I6936" s="60"/>
      <c r="J6936" s="60"/>
      <c r="K6936" s="19"/>
      <c r="L6936" s="20"/>
    </row>
    <row r="6937" spans="1:12" outlineLevel="2">
      <c r="A6937" s="28"/>
      <c r="B6937" s="12" t="str">
        <f>IFERROR(VLOOKUP(D6937,'[1]Перечень товаров'!$A$2:$I9525,2,0),"")</f>
        <v>мм1</v>
      </c>
      <c r="C6937" s="12" t="str">
        <f>IFERROR(VLOOKUP(D6937,'[1]Перечень товаров'!$A$2:$I9525,3,0),"")</f>
        <v>Мебель муз</v>
      </c>
      <c r="D6937" s="29" t="s">
        <v>1134</v>
      </c>
      <c r="E6937" s="30"/>
      <c r="F6937" s="30"/>
      <c r="G6937" s="59">
        <v>1</v>
      </c>
      <c r="H6937" s="59"/>
      <c r="I6937" s="60"/>
      <c r="J6937" s="60"/>
      <c r="K6937" s="19"/>
      <c r="L6937" s="20"/>
    </row>
    <row r="6938" spans="1:12" ht="47.25" outlineLevel="2">
      <c r="A6938" s="28"/>
      <c r="B6938" s="12" t="str">
        <f>IFERROR(VLOOKUP(D6938,'[1]Перечень товаров'!$A$2:$I9525,2,0),"")</f>
        <v>пм168</v>
      </c>
      <c r="C6938" s="12" t="str">
        <f>IFERROR(VLOOKUP(D6938,'[1]Перечень товаров'!$A$2:$I9525,3,0),"")</f>
        <v>прочее муз</v>
      </c>
      <c r="D6938" s="29" t="s">
        <v>1135</v>
      </c>
      <c r="E6938" s="30"/>
      <c r="F6938" s="30"/>
      <c r="G6938" s="59">
        <v>4</v>
      </c>
      <c r="H6938" s="59"/>
      <c r="I6938" s="60"/>
      <c r="J6938" s="60"/>
      <c r="K6938" s="19"/>
      <c r="L6938" s="20"/>
    </row>
    <row r="6939" spans="1:12" ht="47.25" outlineLevel="2">
      <c r="A6939" s="28"/>
      <c r="B6939" s="12" t="str">
        <f>IFERROR(VLOOKUP(D6939,'[1]Перечень товаров'!$A$2:$I9525,2,0),"")</f>
        <v>тм103</v>
      </c>
      <c r="C6939" s="12" t="str">
        <f>IFERROR(VLOOKUP(D6939,'[1]Перечень товаров'!$A$2:$I9525,3,0),"")</f>
        <v>Техника муз</v>
      </c>
      <c r="D6939" s="29" t="s">
        <v>1786</v>
      </c>
      <c r="E6939" s="30"/>
      <c r="F6939" s="30"/>
      <c r="G6939" s="59">
        <v>1</v>
      </c>
      <c r="H6939" s="59"/>
      <c r="I6939" s="60"/>
      <c r="J6939" s="60"/>
      <c r="K6939" s="19"/>
      <c r="L6939" s="20"/>
    </row>
    <row r="6940" spans="1:12" outlineLevel="2">
      <c r="A6940" s="28"/>
      <c r="B6940" s="12" t="str">
        <f>IFERROR(VLOOKUP(D6940,'[1]Перечень товаров'!$A$2:$I9525,2,0),"")</f>
        <v>пм167</v>
      </c>
      <c r="C6940" s="12" t="str">
        <f>IFERROR(VLOOKUP(D6940,'[1]Перечень товаров'!$A$2:$I9525,3,0),"")</f>
        <v>прочее муз</v>
      </c>
      <c r="D6940" s="29" t="s">
        <v>1136</v>
      </c>
      <c r="E6940" s="30"/>
      <c r="F6940" s="30"/>
      <c r="G6940" s="59">
        <v>1</v>
      </c>
      <c r="H6940" s="59"/>
      <c r="I6940" s="60"/>
      <c r="J6940" s="60"/>
      <c r="K6940" s="19"/>
      <c r="L6940" s="20"/>
    </row>
    <row r="6941" spans="1:12" ht="31.5" outlineLevel="2">
      <c r="A6941" s="28"/>
      <c r="B6941" s="12" t="str">
        <f>IFERROR(VLOOKUP(D6941,'[1]Перечень товаров'!$A$2:$I9525,2,0),"")</f>
        <v>пм166</v>
      </c>
      <c r="C6941" s="12" t="str">
        <f>IFERROR(VLOOKUP(D6941,'[1]Перечень товаров'!$A$2:$I9525,3,0),"")</f>
        <v>прочее муз</v>
      </c>
      <c r="D6941" s="29" t="s">
        <v>1137</v>
      </c>
      <c r="E6941" s="30"/>
      <c r="F6941" s="30"/>
      <c r="G6941" s="59">
        <v>1</v>
      </c>
      <c r="H6941" s="59"/>
      <c r="I6941" s="60"/>
      <c r="J6941" s="60"/>
      <c r="K6941" s="19"/>
      <c r="L6941" s="20"/>
    </row>
    <row r="6942" spans="1:12" ht="31.5" outlineLevel="2">
      <c r="A6942" s="28"/>
      <c r="B6942" s="12" t="str">
        <f>IFERROR(VLOOKUP(D6942,'[1]Перечень товаров'!$A$2:$I9525,2,0),"")</f>
        <v>т130</v>
      </c>
      <c r="C6942" s="12" t="str">
        <f>IFERROR(VLOOKUP(D6942,'[1]Перечень товаров'!$A$2:$I9525,3,0),"")</f>
        <v>Техника</v>
      </c>
      <c r="D6942" s="29" t="s">
        <v>1138</v>
      </c>
      <c r="E6942" s="30"/>
      <c r="F6942" s="30"/>
      <c r="G6942" s="59">
        <v>1</v>
      </c>
      <c r="H6942" s="59"/>
      <c r="I6942" s="60"/>
      <c r="J6942" s="60"/>
      <c r="K6942" s="19"/>
      <c r="L6942" s="20"/>
    </row>
    <row r="6943" spans="1:12" outlineLevel="2">
      <c r="A6943" s="54"/>
      <c r="B6943" s="12" t="str">
        <f>IFERROR(VLOOKUP(D6943,'[1]Перечень товаров'!$A$2:$I9525,2,0),"")</f>
        <v/>
      </c>
      <c r="C6943" s="12" t="str">
        <f>IFERROR(VLOOKUP(D6943,'[1]Перечень товаров'!$A$2:$I9525,3,0),"")</f>
        <v/>
      </c>
      <c r="D6943" s="55" t="s">
        <v>45</v>
      </c>
      <c r="E6943" s="217"/>
      <c r="F6943" s="217"/>
      <c r="G6943" s="59"/>
      <c r="H6943" s="59"/>
      <c r="I6943" s="60"/>
      <c r="J6943" s="60"/>
      <c r="K6943" s="19"/>
      <c r="L6943" s="20"/>
    </row>
    <row r="6944" spans="1:12" outlineLevel="2">
      <c r="A6944" s="43"/>
      <c r="B6944" s="12" t="str">
        <f>IFERROR(VLOOKUP(D6944,'[1]Перечень товаров'!$A$2:$I9525,2,0),"")</f>
        <v>м7</v>
      </c>
      <c r="C6944" s="12" t="str">
        <f>IFERROR(VLOOKUP(D6944,'[1]Перечень товаров'!$A$2:$I9525,3,0),"")</f>
        <v>Мебель</v>
      </c>
      <c r="D6944" s="44" t="s">
        <v>24</v>
      </c>
      <c r="E6944" s="30"/>
      <c r="F6944" s="30"/>
      <c r="G6944" s="59">
        <v>1</v>
      </c>
      <c r="H6944" s="59"/>
      <c r="I6944" s="60"/>
      <c r="J6944" s="60"/>
      <c r="K6944" s="19"/>
      <c r="L6944" s="20"/>
    </row>
    <row r="6945" spans="1:12" outlineLevel="2">
      <c r="A6945" s="43"/>
      <c r="B6945" s="12" t="str">
        <f>IFERROR(VLOOKUP(D6945,'[1]Перечень товаров'!$A$2:$I9525,2,0),"")</f>
        <v>п1</v>
      </c>
      <c r="C6945" s="12" t="str">
        <f>IFERROR(VLOOKUP(D6945,'[1]Перечень товаров'!$A$2:$I9525,3,0),"")</f>
        <v>Прочее</v>
      </c>
      <c r="D6945" s="44" t="s">
        <v>37</v>
      </c>
      <c r="E6945" s="30"/>
      <c r="F6945" s="30"/>
      <c r="G6945" s="59">
        <v>1</v>
      </c>
      <c r="H6945" s="59"/>
      <c r="I6945" s="60"/>
      <c r="J6945" s="60"/>
      <c r="K6945" s="19"/>
      <c r="L6945" s="20"/>
    </row>
    <row r="6946" spans="1:12" ht="12.75" outlineLevel="1">
      <c r="A6946" s="11"/>
      <c r="B6946" s="12" t="str">
        <f>IFERROR(VLOOKUP(D6946,'[1]Перечень товаров'!$A$2:$I9525,2,0),"")</f>
        <v/>
      </c>
      <c r="C6946" s="12" t="str">
        <f>IFERROR(VLOOKUP(D6946,'[1]Перечень товаров'!$A$2:$I9525,3,0),"")</f>
        <v/>
      </c>
      <c r="D6946" s="27" t="s">
        <v>1792</v>
      </c>
      <c r="E6946" s="14" t="s">
        <v>313</v>
      </c>
      <c r="F6946" s="14"/>
      <c r="G6946" s="17"/>
      <c r="H6946" s="17"/>
      <c r="I6946" s="57"/>
      <c r="J6946" s="57"/>
      <c r="K6946" s="19"/>
      <c r="L6946" s="20"/>
    </row>
    <row r="6947" spans="1:12" ht="12.75" outlineLevel="2">
      <c r="A6947" s="77"/>
      <c r="B6947" s="12" t="str">
        <f>IFERROR(VLOOKUP(D6947,'[1]Перечень товаров'!$A$2:$I9525,2,0),"")</f>
        <v/>
      </c>
      <c r="C6947" s="12" t="str">
        <f>IFERROR(VLOOKUP(D6947,'[1]Перечень товаров'!$A$2:$I9525,3,0),"")</f>
        <v/>
      </c>
      <c r="D6947" s="78" t="s">
        <v>19</v>
      </c>
      <c r="E6947" s="45"/>
      <c r="F6947" s="45"/>
      <c r="G6947" s="17"/>
      <c r="H6947" s="17"/>
      <c r="I6947" s="57"/>
      <c r="J6947" s="57"/>
      <c r="K6947" s="19"/>
      <c r="L6947" s="20"/>
    </row>
    <row r="6948" spans="1:12" outlineLevel="2">
      <c r="A6948" s="21"/>
      <c r="B6948" s="12" t="str">
        <f>IFERROR(VLOOKUP(D6948,'[1]Перечень товаров'!$A$2:$I9525,2,0),"")</f>
        <v>м11</v>
      </c>
      <c r="C6948" s="12" t="str">
        <f>IFERROR(VLOOKUP(D6948,'[1]Перечень товаров'!$A$2:$I9525,3,0),"")</f>
        <v>Мебель</v>
      </c>
      <c r="D6948" s="22" t="s">
        <v>737</v>
      </c>
      <c r="E6948" s="23"/>
      <c r="F6948" s="23"/>
      <c r="G6948" s="24">
        <v>3</v>
      </c>
      <c r="H6948" s="24"/>
      <c r="I6948" s="25"/>
      <c r="J6948" s="25"/>
      <c r="K6948" s="19"/>
      <c r="L6948" s="20"/>
    </row>
    <row r="6949" spans="1:12" outlineLevel="2">
      <c r="A6949" s="21"/>
      <c r="B6949" s="12" t="str">
        <f>IFERROR(VLOOKUP(D6949,'[1]Перечень товаров'!$A$2:$I9525,2,0),"")</f>
        <v>м12</v>
      </c>
      <c r="C6949" s="12" t="str">
        <f>IFERROR(VLOOKUP(D6949,'[1]Перечень товаров'!$A$2:$I9525,3,0),"")</f>
        <v>Мебель</v>
      </c>
      <c r="D6949" s="22" t="s">
        <v>21</v>
      </c>
      <c r="E6949" s="23"/>
      <c r="F6949" s="23"/>
      <c r="G6949" s="24">
        <v>15</v>
      </c>
      <c r="H6949" s="24"/>
      <c r="I6949" s="25"/>
      <c r="J6949" s="25"/>
      <c r="K6949" s="19"/>
      <c r="L6949" s="20"/>
    </row>
    <row r="6950" spans="1:12" outlineLevel="2">
      <c r="A6950" s="21"/>
      <c r="B6950" s="12" t="str">
        <f>IFERROR(VLOOKUP(D6950,'[1]Перечень товаров'!$A$2:$I9525,2,0),"")</f>
        <v>м13</v>
      </c>
      <c r="C6950" s="12" t="str">
        <f>IFERROR(VLOOKUP(D6950,'[1]Перечень товаров'!$A$2:$I9525,3,0),"")</f>
        <v>Мебель</v>
      </c>
      <c r="D6950" s="22" t="s">
        <v>42</v>
      </c>
      <c r="E6950" s="23"/>
      <c r="F6950" s="23"/>
      <c r="G6950" s="24">
        <v>4</v>
      </c>
      <c r="H6950" s="24"/>
      <c r="I6950" s="25"/>
      <c r="J6950" s="25"/>
      <c r="K6950" s="19"/>
      <c r="L6950" s="20"/>
    </row>
    <row r="6951" spans="1:12" outlineLevel="2">
      <c r="A6951" s="21"/>
      <c r="B6951" s="12" t="str">
        <f>IFERROR(VLOOKUP(D6951,'[1]Перечень товаров'!$A$2:$I9525,2,0),"")</f>
        <v>м14</v>
      </c>
      <c r="C6951" s="12" t="str">
        <f>IFERROR(VLOOKUP(D6951,'[1]Перечень товаров'!$A$2:$I9525,3,0),"")</f>
        <v>Мебель</v>
      </c>
      <c r="D6951" s="22" t="s">
        <v>43</v>
      </c>
      <c r="E6951" s="23"/>
      <c r="F6951" s="23"/>
      <c r="G6951" s="24">
        <v>2</v>
      </c>
      <c r="H6951" s="24"/>
      <c r="I6951" s="25"/>
      <c r="J6951" s="25"/>
      <c r="K6951" s="19"/>
      <c r="L6951" s="20"/>
    </row>
    <row r="6952" spans="1:12" outlineLevel="2">
      <c r="A6952" s="21"/>
      <c r="B6952" s="12" t="str">
        <f>IFERROR(VLOOKUP(D6952,'[1]Перечень товаров'!$A$2:$I9525,2,0),"")</f>
        <v>п2</v>
      </c>
      <c r="C6952" s="12" t="str">
        <f>IFERROR(VLOOKUP(D6952,'[1]Перечень товаров'!$A$2:$I9525,3,0),"")</f>
        <v>Прочее</v>
      </c>
      <c r="D6952" s="22" t="s">
        <v>46</v>
      </c>
      <c r="E6952" s="23"/>
      <c r="F6952" s="23"/>
      <c r="G6952" s="24">
        <v>1</v>
      </c>
      <c r="H6952" s="24"/>
      <c r="I6952" s="25"/>
      <c r="J6952" s="25"/>
      <c r="K6952" s="19"/>
      <c r="L6952" s="20"/>
    </row>
    <row r="6953" spans="1:12" outlineLevel="2">
      <c r="A6953" s="21"/>
      <c r="B6953" s="12" t="str">
        <f>IFERROR(VLOOKUP(D6953,'[1]Перечень товаров'!$A$2:$I9525,2,0),"")</f>
        <v>п28</v>
      </c>
      <c r="C6953" s="12" t="str">
        <f>IFERROR(VLOOKUP(D6953,'[1]Перечень товаров'!$A$2:$I9525,3,0),"")</f>
        <v>Прочее</v>
      </c>
      <c r="D6953" s="22" t="s">
        <v>363</v>
      </c>
      <c r="E6953" s="102"/>
      <c r="F6953" s="102"/>
      <c r="G6953" s="48">
        <v>1</v>
      </c>
      <c r="H6953" s="48"/>
      <c r="I6953" s="49"/>
      <c r="J6953" s="49"/>
      <c r="K6953" s="19"/>
      <c r="L6953" s="20"/>
    </row>
    <row r="6954" spans="1:12" outlineLevel="2">
      <c r="A6954" s="22"/>
      <c r="B6954" s="12" t="str">
        <f>IFERROR(VLOOKUP(D6954,'[1]Перечень товаров'!$A$2:$I9525,2,0),"")</f>
        <v>п25</v>
      </c>
      <c r="C6954" s="12" t="str">
        <f>IFERROR(VLOOKUP(D6954,'[1]Перечень товаров'!$A$2:$I9525,3,0),"")</f>
        <v>Прочее</v>
      </c>
      <c r="D6954" s="22" t="s">
        <v>360</v>
      </c>
      <c r="E6954" s="102"/>
      <c r="F6954" s="102"/>
      <c r="G6954" s="48">
        <v>3</v>
      </c>
      <c r="H6954" s="48"/>
      <c r="I6954" s="49"/>
      <c r="J6954" s="49"/>
      <c r="K6954" s="19"/>
      <c r="L6954" s="20"/>
    </row>
    <row r="6955" spans="1:12" outlineLevel="2">
      <c r="A6955" s="21"/>
      <c r="B6955" s="12" t="str">
        <f>IFERROR(VLOOKUP(D6955,'[1]Перечень товаров'!$A$2:$I9525,2,0),"")</f>
        <v>м27</v>
      </c>
      <c r="C6955" s="12" t="str">
        <f>IFERROR(VLOOKUP(D6955,'[1]Перечень товаров'!$A$2:$I9525,3,0),"")</f>
        <v>Мебель</v>
      </c>
      <c r="D6955" s="22" t="s">
        <v>177</v>
      </c>
      <c r="E6955" s="23"/>
      <c r="F6955" s="23"/>
      <c r="G6955" s="24">
        <v>2</v>
      </c>
      <c r="H6955" s="24"/>
      <c r="I6955" s="25"/>
      <c r="J6955" s="25"/>
      <c r="K6955" s="19"/>
      <c r="L6955" s="20"/>
    </row>
    <row r="6956" spans="1:12" outlineLevel="2">
      <c r="A6956" s="21"/>
      <c r="B6956" s="12" t="str">
        <f>IFERROR(VLOOKUP(D6956,'[1]Перечень товаров'!$A$2:$I9525,2,0),"")</f>
        <v>м103</v>
      </c>
      <c r="C6956" s="12" t="str">
        <f>IFERROR(VLOOKUP(D6956,'[1]Перечень товаров'!$A$2:$I9525,3,0),"")</f>
        <v>мебель</v>
      </c>
      <c r="D6956" s="22" t="s">
        <v>1793</v>
      </c>
      <c r="E6956" s="23"/>
      <c r="F6956" s="23"/>
      <c r="G6956" s="24">
        <v>1</v>
      </c>
      <c r="H6956" s="24"/>
      <c r="I6956" s="25"/>
      <c r="J6956" s="25"/>
      <c r="K6956" s="19"/>
      <c r="L6956" s="20"/>
    </row>
    <row r="6957" spans="1:12" ht="12.75" outlineLevel="1">
      <c r="A6957" s="11"/>
      <c r="B6957" s="12" t="str">
        <f>IFERROR(VLOOKUP(D6957,'[1]Перечень товаров'!$A$2:$I9525,2,0),"")</f>
        <v/>
      </c>
      <c r="C6957" s="12" t="str">
        <f>IFERROR(VLOOKUP(D6957,'[1]Перечень товаров'!$A$2:$I9525,3,0),"")</f>
        <v/>
      </c>
      <c r="D6957" s="27" t="s">
        <v>527</v>
      </c>
      <c r="E6957" s="99">
        <v>46247</v>
      </c>
      <c r="F6957" s="99"/>
      <c r="G6957" s="100"/>
      <c r="H6957" s="100"/>
      <c r="I6957" s="101"/>
      <c r="J6957" s="101"/>
      <c r="K6957" s="19"/>
      <c r="L6957" s="20"/>
    </row>
    <row r="6958" spans="1:12" outlineLevel="2">
      <c r="A6958" s="22"/>
      <c r="B6958" s="12" t="str">
        <f>IFERROR(VLOOKUP(D6958,'[1]Перечень товаров'!$A$2:$I9525,2,0),"")</f>
        <v>п25</v>
      </c>
      <c r="C6958" s="12" t="str">
        <f>IFERROR(VLOOKUP(D6958,'[1]Перечень товаров'!$A$2:$I9525,3,0),"")</f>
        <v>Прочее</v>
      </c>
      <c r="D6958" s="22" t="s">
        <v>360</v>
      </c>
      <c r="E6958" s="102"/>
      <c r="F6958" s="102"/>
      <c r="G6958" s="48">
        <v>3</v>
      </c>
      <c r="H6958" s="48"/>
      <c r="I6958" s="49"/>
      <c r="J6958" s="49"/>
      <c r="K6958" s="33"/>
      <c r="L6958" s="20"/>
    </row>
    <row r="6959" spans="1:12" outlineLevel="2">
      <c r="A6959" s="21"/>
      <c r="B6959" s="12" t="str">
        <f>IFERROR(VLOOKUP(D6959,'[1]Перечень товаров'!$A$2:$I9525,2,0),"")</f>
        <v>п26</v>
      </c>
      <c r="C6959" s="12" t="str">
        <f>IFERROR(VLOOKUP(D6959,'[1]Перечень товаров'!$A$2:$I9525,3,0),"")</f>
        <v>Прочее</v>
      </c>
      <c r="D6959" s="22" t="s">
        <v>361</v>
      </c>
      <c r="E6959" s="102"/>
      <c r="F6959" s="102"/>
      <c r="G6959" s="48">
        <v>2</v>
      </c>
      <c r="H6959" s="48"/>
      <c r="I6959" s="49"/>
      <c r="J6959" s="49"/>
      <c r="K6959" s="33"/>
      <c r="L6959" s="20"/>
    </row>
    <row r="6960" spans="1:12" outlineLevel="2">
      <c r="A6960" s="21"/>
      <c r="B6960" s="12" t="str">
        <f>IFERROR(VLOOKUP(D6960,'[1]Перечень товаров'!$A$2:$I9525,2,0),"")</f>
        <v>п27</v>
      </c>
      <c r="C6960" s="12" t="str">
        <f>IFERROR(VLOOKUP(D6960,'[1]Перечень товаров'!$A$2:$I9525,3,0),"")</f>
        <v>Прочее</v>
      </c>
      <c r="D6960" s="22" t="s">
        <v>362</v>
      </c>
      <c r="E6960" s="102"/>
      <c r="F6960" s="102"/>
      <c r="G6960" s="48">
        <v>2</v>
      </c>
      <c r="H6960" s="48"/>
      <c r="I6960" s="49"/>
      <c r="J6960" s="49"/>
      <c r="K6960" s="33"/>
      <c r="L6960" s="20"/>
    </row>
    <row r="6961" spans="1:12" outlineLevel="2">
      <c r="A6961" s="21"/>
      <c r="B6961" s="12" t="str">
        <f>IFERROR(VLOOKUP(D6961,'[1]Перечень товаров'!$A$2:$I9525,2,0),"")</f>
        <v>п28</v>
      </c>
      <c r="C6961" s="12" t="str">
        <f>IFERROR(VLOOKUP(D6961,'[1]Перечень товаров'!$A$2:$I9525,3,0),"")</f>
        <v>Прочее</v>
      </c>
      <c r="D6961" s="22" t="s">
        <v>363</v>
      </c>
      <c r="E6961" s="102"/>
      <c r="F6961" s="102"/>
      <c r="G6961" s="48">
        <v>1</v>
      </c>
      <c r="H6961" s="48"/>
      <c r="I6961" s="49"/>
      <c r="J6961" s="49"/>
      <c r="K6961" s="33"/>
      <c r="L6961" s="20"/>
    </row>
    <row r="6962" spans="1:12" outlineLevel="2">
      <c r="A6962" s="21"/>
      <c r="B6962" s="12" t="str">
        <f>IFERROR(VLOOKUP(D6962,'[1]Перечень товаров'!$A$2:$I9525,2,0),"")</f>
        <v>п29</v>
      </c>
      <c r="C6962" s="12" t="str">
        <f>IFERROR(VLOOKUP(D6962,'[1]Перечень товаров'!$A$2:$I9525,3,0),"")</f>
        <v>Прочее</v>
      </c>
      <c r="D6962" s="22" t="s">
        <v>364</v>
      </c>
      <c r="E6962" s="102"/>
      <c r="F6962" s="102"/>
      <c r="G6962" s="48">
        <v>6</v>
      </c>
      <c r="H6962" s="48"/>
      <c r="I6962" s="49"/>
      <c r="J6962" s="49"/>
      <c r="K6962" s="33"/>
      <c r="L6962" s="20"/>
    </row>
    <row r="6963" spans="1:12" outlineLevel="2">
      <c r="A6963" s="21"/>
      <c r="B6963" s="12" t="str">
        <f>IFERROR(VLOOKUP(D6963,'[1]Перечень товаров'!$A$2:$I9525,2,0),"")</f>
        <v>п30</v>
      </c>
      <c r="C6963" s="12" t="str">
        <f>IFERROR(VLOOKUP(D6963,'[1]Перечень товаров'!$A$2:$I9525,3,0),"")</f>
        <v>Прочее</v>
      </c>
      <c r="D6963" s="22" t="s">
        <v>365</v>
      </c>
      <c r="E6963" s="102"/>
      <c r="F6963" s="102"/>
      <c r="G6963" s="48">
        <v>2</v>
      </c>
      <c r="H6963" s="48"/>
      <c r="I6963" s="49"/>
      <c r="J6963" s="49"/>
      <c r="K6963" s="33"/>
      <c r="L6963" s="20"/>
    </row>
    <row r="6964" spans="1:12" ht="31.5" outlineLevel="2">
      <c r="A6964" s="21"/>
      <c r="B6964" s="12" t="str">
        <f>IFERROR(VLOOKUP(D6964,'[1]Перечень товаров'!$A$2:$I9525,2,0),"")</f>
        <v>п31</v>
      </c>
      <c r="C6964" s="12" t="str">
        <f>IFERROR(VLOOKUP(D6964,'[1]Перечень товаров'!$A$2:$I9525,3,0),"")</f>
        <v>Прочее</v>
      </c>
      <c r="D6964" s="22" t="s">
        <v>366</v>
      </c>
      <c r="E6964" s="102"/>
      <c r="F6964" s="102"/>
      <c r="G6964" s="48">
        <v>1</v>
      </c>
      <c r="H6964" s="48"/>
      <c r="I6964" s="49"/>
      <c r="J6964" s="49"/>
      <c r="K6964" s="33"/>
      <c r="L6964" s="20"/>
    </row>
    <row r="6965" spans="1:12" ht="31.5" outlineLevel="2">
      <c r="A6965" s="21"/>
      <c r="B6965" s="12" t="str">
        <f>IFERROR(VLOOKUP(D6965,'[1]Перечень товаров'!$A$2:$I9525,2,0),"")</f>
        <v>п32</v>
      </c>
      <c r="C6965" s="12" t="str">
        <f>IFERROR(VLOOKUP(D6965,'[1]Перечень товаров'!$A$2:$I9525,3,0),"")</f>
        <v>Прочее</v>
      </c>
      <c r="D6965" s="22" t="s">
        <v>367</v>
      </c>
      <c r="E6965" s="102"/>
      <c r="F6965" s="102"/>
      <c r="G6965" s="48">
        <v>2</v>
      </c>
      <c r="H6965" s="48"/>
      <c r="I6965" s="49"/>
      <c r="J6965" s="49"/>
      <c r="K6965" s="33"/>
      <c r="L6965" s="20"/>
    </row>
    <row r="6966" spans="1:12" ht="12.75" outlineLevel="1">
      <c r="A6966" s="11"/>
      <c r="B6966" s="12" t="str">
        <f>IFERROR(VLOOKUP(D6966,'[1]Перечень товаров'!$A$2:$I9525,2,0),"")</f>
        <v/>
      </c>
      <c r="C6966" s="12" t="str">
        <f>IFERROR(VLOOKUP(D6966,'[1]Перечень товаров'!$A$2:$I9525,3,0),"")</f>
        <v/>
      </c>
      <c r="D6966" s="27" t="s">
        <v>373</v>
      </c>
      <c r="E6966" s="99">
        <v>46025</v>
      </c>
      <c r="F6966" s="99"/>
      <c r="G6966" s="100"/>
      <c r="H6966" s="100"/>
      <c r="I6966" s="101"/>
      <c r="J6966" s="101"/>
      <c r="K6966" s="19"/>
      <c r="L6966" s="20"/>
    </row>
    <row r="6967" spans="1:12" outlineLevel="2">
      <c r="A6967" s="22"/>
      <c r="B6967" s="12" t="str">
        <f>IFERROR(VLOOKUP(D6967,'[1]Перечень товаров'!$A$2:$I9525,2,0),"")</f>
        <v>п25</v>
      </c>
      <c r="C6967" s="12" t="str">
        <f>IFERROR(VLOOKUP(D6967,'[1]Перечень товаров'!$A$2:$I9525,3,0),"")</f>
        <v>Прочее</v>
      </c>
      <c r="D6967" s="22" t="s">
        <v>360</v>
      </c>
      <c r="E6967" s="102"/>
      <c r="F6967" s="102"/>
      <c r="G6967" s="48">
        <v>3</v>
      </c>
      <c r="H6967" s="48"/>
      <c r="I6967" s="49"/>
      <c r="J6967" s="49"/>
      <c r="K6967" s="19"/>
      <c r="L6967" s="20"/>
    </row>
    <row r="6968" spans="1:12" outlineLevel="2">
      <c r="A6968" s="21"/>
      <c r="B6968" s="12" t="str">
        <f>IFERROR(VLOOKUP(D6968,'[1]Перечень товаров'!$A$2:$I9525,2,0),"")</f>
        <v>п26</v>
      </c>
      <c r="C6968" s="12" t="str">
        <f>IFERROR(VLOOKUP(D6968,'[1]Перечень товаров'!$A$2:$I9525,3,0),"")</f>
        <v>Прочее</v>
      </c>
      <c r="D6968" s="22" t="s">
        <v>361</v>
      </c>
      <c r="E6968" s="102"/>
      <c r="F6968" s="102"/>
      <c r="G6968" s="48">
        <v>2</v>
      </c>
      <c r="H6968" s="48"/>
      <c r="I6968" s="49"/>
      <c r="J6968" s="49"/>
      <c r="K6968" s="19"/>
      <c r="L6968" s="20"/>
    </row>
    <row r="6969" spans="1:12" outlineLevel="2">
      <c r="A6969" s="21"/>
      <c r="B6969" s="12" t="str">
        <f>IFERROR(VLOOKUP(D6969,'[1]Перечень товаров'!$A$2:$I9525,2,0),"")</f>
        <v>п27</v>
      </c>
      <c r="C6969" s="12" t="str">
        <f>IFERROR(VLOOKUP(D6969,'[1]Перечень товаров'!$A$2:$I9525,3,0),"")</f>
        <v>Прочее</v>
      </c>
      <c r="D6969" s="22" t="s">
        <v>362</v>
      </c>
      <c r="E6969" s="102"/>
      <c r="F6969" s="102"/>
      <c r="G6969" s="48">
        <v>2</v>
      </c>
      <c r="H6969" s="48"/>
      <c r="I6969" s="49"/>
      <c r="J6969" s="49"/>
      <c r="K6969" s="19"/>
      <c r="L6969" s="20"/>
    </row>
    <row r="6970" spans="1:12" outlineLevel="2">
      <c r="A6970" s="21"/>
      <c r="B6970" s="12" t="str">
        <f>IFERROR(VLOOKUP(D6970,'[1]Перечень товаров'!$A$2:$I9525,2,0),"")</f>
        <v>п28</v>
      </c>
      <c r="C6970" s="12" t="str">
        <f>IFERROR(VLOOKUP(D6970,'[1]Перечень товаров'!$A$2:$I9525,3,0),"")</f>
        <v>Прочее</v>
      </c>
      <c r="D6970" s="22" t="s">
        <v>363</v>
      </c>
      <c r="E6970" s="102"/>
      <c r="F6970" s="102"/>
      <c r="G6970" s="48">
        <v>1</v>
      </c>
      <c r="H6970" s="48"/>
      <c r="I6970" s="49"/>
      <c r="J6970" s="49"/>
      <c r="K6970" s="19"/>
      <c r="L6970" s="20"/>
    </row>
    <row r="6971" spans="1:12" outlineLevel="2">
      <c r="A6971" s="21"/>
      <c r="B6971" s="12" t="str">
        <f>IFERROR(VLOOKUP(D6971,'[1]Перечень товаров'!$A$2:$I9525,2,0),"")</f>
        <v>п29</v>
      </c>
      <c r="C6971" s="12" t="str">
        <f>IFERROR(VLOOKUP(D6971,'[1]Перечень товаров'!$A$2:$I9525,3,0),"")</f>
        <v>Прочее</v>
      </c>
      <c r="D6971" s="22" t="s">
        <v>364</v>
      </c>
      <c r="E6971" s="102"/>
      <c r="F6971" s="102"/>
      <c r="G6971" s="48">
        <v>6</v>
      </c>
      <c r="H6971" s="48"/>
      <c r="I6971" s="49"/>
      <c r="J6971" s="49"/>
      <c r="K6971" s="19"/>
      <c r="L6971" s="20"/>
    </row>
    <row r="6972" spans="1:12" outlineLevel="2">
      <c r="A6972" s="21"/>
      <c r="B6972" s="12" t="str">
        <f>IFERROR(VLOOKUP(D6972,'[1]Перечень товаров'!$A$2:$I9525,2,0),"")</f>
        <v>п30</v>
      </c>
      <c r="C6972" s="12" t="str">
        <f>IFERROR(VLOOKUP(D6972,'[1]Перечень товаров'!$A$2:$I9525,3,0),"")</f>
        <v>Прочее</v>
      </c>
      <c r="D6972" s="22" t="s">
        <v>365</v>
      </c>
      <c r="E6972" s="102"/>
      <c r="F6972" s="102"/>
      <c r="G6972" s="48">
        <v>2</v>
      </c>
      <c r="H6972" s="48"/>
      <c r="I6972" s="49"/>
      <c r="J6972" s="49"/>
      <c r="K6972" s="19"/>
      <c r="L6972" s="20"/>
    </row>
    <row r="6973" spans="1:12" ht="31.5" outlineLevel="2">
      <c r="A6973" s="21"/>
      <c r="B6973" s="12" t="str">
        <f>IFERROR(VLOOKUP(D6973,'[1]Перечень товаров'!$A$2:$I9525,2,0),"")</f>
        <v>п31</v>
      </c>
      <c r="C6973" s="12" t="str">
        <f>IFERROR(VLOOKUP(D6973,'[1]Перечень товаров'!$A$2:$I9525,3,0),"")</f>
        <v>Прочее</v>
      </c>
      <c r="D6973" s="22" t="s">
        <v>366</v>
      </c>
      <c r="E6973" s="102"/>
      <c r="F6973" s="102"/>
      <c r="G6973" s="48">
        <v>1</v>
      </c>
      <c r="H6973" s="48"/>
      <c r="I6973" s="49"/>
      <c r="J6973" s="49"/>
      <c r="K6973" s="19"/>
      <c r="L6973" s="20"/>
    </row>
    <row r="6974" spans="1:12" ht="31.5" outlineLevel="2">
      <c r="A6974" s="21"/>
      <c r="B6974" s="12" t="str">
        <f>IFERROR(VLOOKUP(D6974,'[1]Перечень товаров'!$A$2:$I9525,2,0),"")</f>
        <v>п32</v>
      </c>
      <c r="C6974" s="12" t="str">
        <f>IFERROR(VLOOKUP(D6974,'[1]Перечень товаров'!$A$2:$I9525,3,0),"")</f>
        <v>Прочее</v>
      </c>
      <c r="D6974" s="22" t="s">
        <v>367</v>
      </c>
      <c r="E6974" s="102"/>
      <c r="F6974" s="102"/>
      <c r="G6974" s="48">
        <v>2</v>
      </c>
      <c r="H6974" s="48"/>
      <c r="I6974" s="49"/>
      <c r="J6974" s="49"/>
      <c r="K6974" s="19"/>
      <c r="L6974" s="20"/>
    </row>
    <row r="6975" spans="1:12" ht="12.75" outlineLevel="1">
      <c r="A6975" s="11"/>
      <c r="B6975" s="12" t="str">
        <f>IFERROR(VLOOKUP(D6975,'[1]Перечень товаров'!$A$2:$I9525,2,0),"")</f>
        <v/>
      </c>
      <c r="C6975" s="12" t="str">
        <f>IFERROR(VLOOKUP(D6975,'[1]Перечень товаров'!$A$2:$I9525,3,0),"")</f>
        <v/>
      </c>
      <c r="D6975" s="27" t="s">
        <v>507</v>
      </c>
      <c r="E6975" s="99">
        <v>46025</v>
      </c>
      <c r="F6975" s="99"/>
      <c r="G6975" s="100"/>
      <c r="H6975" s="100"/>
      <c r="I6975" s="101"/>
      <c r="J6975" s="101"/>
      <c r="K6975" s="19"/>
      <c r="L6975" s="20"/>
    </row>
    <row r="6976" spans="1:12" outlineLevel="2">
      <c r="A6976" s="21"/>
      <c r="B6976" s="12" t="str">
        <f>IFERROR(VLOOKUP(D6976,'[1]Перечень товаров'!$A$2:$I9525,2,0),"")</f>
        <v>м167</v>
      </c>
      <c r="C6976" s="12" t="str">
        <f>IFERROR(VLOOKUP(D6976,'[1]Перечень товаров'!$A$2:$I9525,3,0),"")</f>
        <v>Мебель</v>
      </c>
      <c r="D6976" s="22" t="s">
        <v>508</v>
      </c>
      <c r="E6976" s="102"/>
      <c r="F6976" s="102"/>
      <c r="G6976" s="48">
        <v>2</v>
      </c>
      <c r="H6976" s="48"/>
      <c r="I6976" s="49"/>
      <c r="J6976" s="49"/>
      <c r="K6976" s="19"/>
      <c r="L6976" s="20"/>
    </row>
    <row r="6977" spans="1:12" outlineLevel="2">
      <c r="A6977" s="21"/>
      <c r="B6977" s="12" t="str">
        <f>IFERROR(VLOOKUP(D6977,'[1]Перечень товаров'!$A$2:$I9525,2,0),"")</f>
        <v>п46</v>
      </c>
      <c r="C6977" s="12" t="str">
        <f>IFERROR(VLOOKUP(D6977,'[1]Перечень товаров'!$A$2:$I9525,3,0),"")</f>
        <v>Прочее</v>
      </c>
      <c r="D6977" s="22" t="s">
        <v>509</v>
      </c>
      <c r="E6977" s="102"/>
      <c r="F6977" s="102"/>
      <c r="G6977" s="48">
        <v>2</v>
      </c>
      <c r="H6977" s="48"/>
      <c r="I6977" s="49"/>
      <c r="J6977" s="49"/>
      <c r="K6977" s="19"/>
      <c r="L6977" s="20"/>
    </row>
    <row r="6978" spans="1:12" outlineLevel="2">
      <c r="A6978" s="21"/>
      <c r="B6978" s="12" t="str">
        <f>IFERROR(VLOOKUP(D6978,'[1]Перечень товаров'!$A$2:$I9525,2,0),"")</f>
        <v>п47</v>
      </c>
      <c r="C6978" s="12" t="str">
        <f>IFERROR(VLOOKUP(D6978,'[1]Перечень товаров'!$A$2:$I9525,3,0),"")</f>
        <v>Прочее</v>
      </c>
      <c r="D6978" s="22" t="s">
        <v>510</v>
      </c>
      <c r="E6978" s="102"/>
      <c r="F6978" s="102"/>
      <c r="G6978" s="48">
        <v>3</v>
      </c>
      <c r="H6978" s="48"/>
      <c r="I6978" s="49"/>
      <c r="J6978" s="49"/>
      <c r="K6978" s="19"/>
      <c r="L6978" s="20"/>
    </row>
    <row r="6979" spans="1:12" outlineLevel="2">
      <c r="A6979" s="21"/>
      <c r="B6979" s="12" t="str">
        <f>IFERROR(VLOOKUP(D6979,'[1]Перечень товаров'!$A$2:$I9525,2,0),"")</f>
        <v>п48</v>
      </c>
      <c r="C6979" s="12" t="str">
        <f>IFERROR(VLOOKUP(D6979,'[1]Перечень товаров'!$A$2:$I9525,3,0),"")</f>
        <v>Прочее</v>
      </c>
      <c r="D6979" s="22" t="s">
        <v>511</v>
      </c>
      <c r="E6979" s="102"/>
      <c r="F6979" s="102"/>
      <c r="G6979" s="48">
        <v>6</v>
      </c>
      <c r="H6979" s="48"/>
      <c r="I6979" s="49"/>
      <c r="J6979" s="49"/>
      <c r="K6979" s="19"/>
      <c r="L6979" s="20"/>
    </row>
    <row r="6980" spans="1:12" ht="31.5" outlineLevel="2">
      <c r="A6980" s="21"/>
      <c r="B6980" s="12" t="str">
        <f>IFERROR(VLOOKUP(D6980,'[1]Перечень товаров'!$A$2:$I9525,2,0),"")</f>
        <v>м168</v>
      </c>
      <c r="C6980" s="12" t="str">
        <f>IFERROR(VLOOKUP(D6980,'[1]Перечень товаров'!$A$2:$I9525,3,0),"")</f>
        <v>Мебель</v>
      </c>
      <c r="D6980" s="22" t="s">
        <v>512</v>
      </c>
      <c r="E6980" s="102"/>
      <c r="F6980" s="102"/>
      <c r="G6980" s="48">
        <v>1</v>
      </c>
      <c r="H6980" s="48"/>
      <c r="I6980" s="49"/>
      <c r="J6980" s="49"/>
      <c r="K6980" s="19"/>
      <c r="L6980" s="20"/>
    </row>
    <row r="6981" spans="1:12" ht="12.75" outlineLevel="1">
      <c r="A6981" s="11"/>
      <c r="B6981" s="12" t="str">
        <f>IFERROR(VLOOKUP(D6981,'[1]Перечень товаров'!$A$2:$I9525,2,0),"")</f>
        <v/>
      </c>
      <c r="C6981" s="12" t="str">
        <f>IFERROR(VLOOKUP(D6981,'[1]Перечень товаров'!$A$2:$I9525,3,0),"")</f>
        <v/>
      </c>
      <c r="D6981" s="27" t="s">
        <v>359</v>
      </c>
      <c r="E6981" s="99">
        <v>46237</v>
      </c>
      <c r="F6981" s="99"/>
      <c r="G6981" s="100"/>
      <c r="H6981" s="100"/>
      <c r="I6981" s="101"/>
      <c r="J6981" s="101"/>
      <c r="K6981" s="19"/>
      <c r="L6981" s="20"/>
    </row>
    <row r="6982" spans="1:12" outlineLevel="2">
      <c r="A6982" s="22"/>
      <c r="B6982" s="12" t="str">
        <f>IFERROR(VLOOKUP(D6982,'[1]Перечень товаров'!$A$2:$I9525,2,0),"")</f>
        <v>п25</v>
      </c>
      <c r="C6982" s="12" t="str">
        <f>IFERROR(VLOOKUP(D6982,'[1]Перечень товаров'!$A$2:$I9525,3,0),"")</f>
        <v>Прочее</v>
      </c>
      <c r="D6982" s="22" t="s">
        <v>360</v>
      </c>
      <c r="E6982" s="102"/>
      <c r="F6982" s="102"/>
      <c r="G6982" s="48">
        <v>3</v>
      </c>
      <c r="H6982" s="48"/>
      <c r="I6982" s="49"/>
      <c r="J6982" s="49"/>
      <c r="K6982" s="33"/>
      <c r="L6982" s="20"/>
    </row>
    <row r="6983" spans="1:12" outlineLevel="2">
      <c r="A6983" s="21"/>
      <c r="B6983" s="12" t="str">
        <f>IFERROR(VLOOKUP(D6983,'[1]Перечень товаров'!$A$2:$I9525,2,0),"")</f>
        <v>п26</v>
      </c>
      <c r="C6983" s="12" t="str">
        <f>IFERROR(VLOOKUP(D6983,'[1]Перечень товаров'!$A$2:$I9525,3,0),"")</f>
        <v>Прочее</v>
      </c>
      <c r="D6983" s="22" t="s">
        <v>361</v>
      </c>
      <c r="E6983" s="102"/>
      <c r="F6983" s="102"/>
      <c r="G6983" s="48">
        <v>2</v>
      </c>
      <c r="H6983" s="48"/>
      <c r="I6983" s="49"/>
      <c r="J6983" s="49"/>
      <c r="K6983" s="33"/>
      <c r="L6983" s="20"/>
    </row>
    <row r="6984" spans="1:12" outlineLevel="2">
      <c r="A6984" s="21"/>
      <c r="B6984" s="12" t="str">
        <f>IFERROR(VLOOKUP(D6984,'[1]Перечень товаров'!$A$2:$I9525,2,0),"")</f>
        <v>п27</v>
      </c>
      <c r="C6984" s="12" t="str">
        <f>IFERROR(VLOOKUP(D6984,'[1]Перечень товаров'!$A$2:$I9525,3,0),"")</f>
        <v>Прочее</v>
      </c>
      <c r="D6984" s="22" t="s">
        <v>362</v>
      </c>
      <c r="E6984" s="102"/>
      <c r="F6984" s="102"/>
      <c r="G6984" s="48">
        <v>2</v>
      </c>
      <c r="H6984" s="48"/>
      <c r="I6984" s="49"/>
      <c r="J6984" s="49"/>
      <c r="K6984" s="33"/>
      <c r="L6984" s="20"/>
    </row>
    <row r="6985" spans="1:12" outlineLevel="2">
      <c r="A6985" s="21"/>
      <c r="B6985" s="12" t="str">
        <f>IFERROR(VLOOKUP(D6985,'[1]Перечень товаров'!$A$2:$I9525,2,0),"")</f>
        <v>п28</v>
      </c>
      <c r="C6985" s="12" t="str">
        <f>IFERROR(VLOOKUP(D6985,'[1]Перечень товаров'!$A$2:$I9525,3,0),"")</f>
        <v>Прочее</v>
      </c>
      <c r="D6985" s="22" t="s">
        <v>363</v>
      </c>
      <c r="E6985" s="102"/>
      <c r="F6985" s="102"/>
      <c r="G6985" s="48">
        <v>1</v>
      </c>
      <c r="H6985" s="48"/>
      <c r="I6985" s="49"/>
      <c r="J6985" s="49"/>
      <c r="K6985" s="33"/>
      <c r="L6985" s="20"/>
    </row>
    <row r="6986" spans="1:12" outlineLevel="2">
      <c r="A6986" s="21"/>
      <c r="B6986" s="12" t="str">
        <f>IFERROR(VLOOKUP(D6986,'[1]Перечень товаров'!$A$2:$I9525,2,0),"")</f>
        <v>п29</v>
      </c>
      <c r="C6986" s="12" t="str">
        <f>IFERROR(VLOOKUP(D6986,'[1]Перечень товаров'!$A$2:$I9525,3,0),"")</f>
        <v>Прочее</v>
      </c>
      <c r="D6986" s="22" t="s">
        <v>364</v>
      </c>
      <c r="E6986" s="102"/>
      <c r="F6986" s="102"/>
      <c r="G6986" s="48">
        <v>6</v>
      </c>
      <c r="H6986" s="48"/>
      <c r="I6986" s="49"/>
      <c r="J6986" s="49"/>
      <c r="K6986" s="33"/>
      <c r="L6986" s="20"/>
    </row>
    <row r="6987" spans="1:12" outlineLevel="2">
      <c r="A6987" s="21"/>
      <c r="B6987" s="12" t="str">
        <f>IFERROR(VLOOKUP(D6987,'[1]Перечень товаров'!$A$2:$I9525,2,0),"")</f>
        <v>п30</v>
      </c>
      <c r="C6987" s="12" t="str">
        <f>IFERROR(VLOOKUP(D6987,'[1]Перечень товаров'!$A$2:$I9525,3,0),"")</f>
        <v>Прочее</v>
      </c>
      <c r="D6987" s="22" t="s">
        <v>365</v>
      </c>
      <c r="E6987" s="102"/>
      <c r="F6987" s="102"/>
      <c r="G6987" s="48">
        <v>2</v>
      </c>
      <c r="H6987" s="48"/>
      <c r="I6987" s="49"/>
      <c r="J6987" s="49"/>
      <c r="K6987" s="33"/>
      <c r="L6987" s="20"/>
    </row>
    <row r="6988" spans="1:12" ht="31.5" outlineLevel="2">
      <c r="A6988" s="21"/>
      <c r="B6988" s="12" t="str">
        <f>IFERROR(VLOOKUP(D6988,'[1]Перечень товаров'!$A$2:$I9525,2,0),"")</f>
        <v>п31</v>
      </c>
      <c r="C6988" s="12" t="str">
        <f>IFERROR(VLOOKUP(D6988,'[1]Перечень товаров'!$A$2:$I9525,3,0),"")</f>
        <v>Прочее</v>
      </c>
      <c r="D6988" s="22" t="s">
        <v>366</v>
      </c>
      <c r="E6988" s="102"/>
      <c r="F6988" s="102"/>
      <c r="G6988" s="48">
        <v>1</v>
      </c>
      <c r="H6988" s="48"/>
      <c r="I6988" s="49"/>
      <c r="J6988" s="49"/>
      <c r="K6988" s="33"/>
      <c r="L6988" s="20"/>
    </row>
    <row r="6989" spans="1:12" ht="31.5" outlineLevel="2">
      <c r="A6989" s="21"/>
      <c r="B6989" s="12" t="str">
        <f>IFERROR(VLOOKUP(D6989,'[1]Перечень товаров'!$A$2:$I9525,2,0),"")</f>
        <v>п32</v>
      </c>
      <c r="C6989" s="12" t="str">
        <f>IFERROR(VLOOKUP(D6989,'[1]Перечень товаров'!$A$2:$I9525,3,0),"")</f>
        <v>Прочее</v>
      </c>
      <c r="D6989" s="22" t="s">
        <v>367</v>
      </c>
      <c r="E6989" s="102"/>
      <c r="F6989" s="102"/>
      <c r="G6989" s="48">
        <v>2</v>
      </c>
      <c r="H6989" s="48"/>
      <c r="I6989" s="49"/>
      <c r="J6989" s="49"/>
      <c r="K6989" s="33"/>
      <c r="L6989" s="20"/>
    </row>
    <row r="6990" spans="1:12" ht="12.75" outlineLevel="1">
      <c r="A6990" s="11"/>
      <c r="B6990" s="12" t="str">
        <f>IFERROR(VLOOKUP(D6990,'[1]Перечень товаров'!$A$2:$I9525,2,0),"")</f>
        <v/>
      </c>
      <c r="C6990" s="12" t="str">
        <f>IFERROR(VLOOKUP(D6990,'[1]Перечень товаров'!$A$2:$I9525,3,0),"")</f>
        <v/>
      </c>
      <c r="D6990" s="27" t="s">
        <v>371</v>
      </c>
      <c r="E6990" s="99">
        <v>46185</v>
      </c>
      <c r="F6990" s="99"/>
      <c r="G6990" s="100"/>
      <c r="H6990" s="100"/>
      <c r="I6990" s="101"/>
      <c r="J6990" s="101"/>
      <c r="K6990" s="19"/>
      <c r="L6990" s="20"/>
    </row>
    <row r="6991" spans="1:12" outlineLevel="2">
      <c r="A6991" s="22"/>
      <c r="B6991" s="12" t="str">
        <f>IFERROR(VLOOKUP(D6991,'[1]Перечень товаров'!$A$2:$I9525,2,0),"")</f>
        <v>п25</v>
      </c>
      <c r="C6991" s="12" t="str">
        <f>IFERROR(VLOOKUP(D6991,'[1]Перечень товаров'!$A$2:$I9525,3,0),"")</f>
        <v>Прочее</v>
      </c>
      <c r="D6991" s="22" t="s">
        <v>360</v>
      </c>
      <c r="E6991" s="102"/>
      <c r="F6991" s="102"/>
      <c r="G6991" s="48">
        <v>3</v>
      </c>
      <c r="H6991" s="48"/>
      <c r="I6991" s="49"/>
      <c r="J6991" s="49"/>
      <c r="K6991" s="33"/>
      <c r="L6991" s="20"/>
    </row>
    <row r="6992" spans="1:12" outlineLevel="2">
      <c r="A6992" s="21"/>
      <c r="B6992" s="12" t="str">
        <f>IFERROR(VLOOKUP(D6992,'[1]Перечень товаров'!$A$2:$I9525,2,0),"")</f>
        <v>п26</v>
      </c>
      <c r="C6992" s="12" t="str">
        <f>IFERROR(VLOOKUP(D6992,'[1]Перечень товаров'!$A$2:$I9525,3,0),"")</f>
        <v>Прочее</v>
      </c>
      <c r="D6992" s="22" t="s">
        <v>361</v>
      </c>
      <c r="E6992" s="102"/>
      <c r="F6992" s="102"/>
      <c r="G6992" s="48">
        <v>2</v>
      </c>
      <c r="H6992" s="48"/>
      <c r="I6992" s="49"/>
      <c r="J6992" s="49"/>
      <c r="K6992" s="33"/>
      <c r="L6992" s="20"/>
    </row>
    <row r="6993" spans="1:12" outlineLevel="2">
      <c r="A6993" s="21"/>
      <c r="B6993" s="12" t="str">
        <f>IFERROR(VLOOKUP(D6993,'[1]Перечень товаров'!$A$2:$I9525,2,0),"")</f>
        <v>п27</v>
      </c>
      <c r="C6993" s="12" t="str">
        <f>IFERROR(VLOOKUP(D6993,'[1]Перечень товаров'!$A$2:$I9525,3,0),"")</f>
        <v>Прочее</v>
      </c>
      <c r="D6993" s="22" t="s">
        <v>362</v>
      </c>
      <c r="E6993" s="102"/>
      <c r="F6993" s="102"/>
      <c r="G6993" s="48">
        <v>2</v>
      </c>
      <c r="H6993" s="48"/>
      <c r="I6993" s="49"/>
      <c r="J6993" s="49"/>
      <c r="K6993" s="33"/>
      <c r="L6993" s="20"/>
    </row>
    <row r="6994" spans="1:12" outlineLevel="2">
      <c r="A6994" s="21"/>
      <c r="B6994" s="12" t="str">
        <f>IFERROR(VLOOKUP(D6994,'[1]Перечень товаров'!$A$2:$I9525,2,0),"")</f>
        <v>п28</v>
      </c>
      <c r="C6994" s="12" t="str">
        <f>IFERROR(VLOOKUP(D6994,'[1]Перечень товаров'!$A$2:$I9525,3,0),"")</f>
        <v>Прочее</v>
      </c>
      <c r="D6994" s="22" t="s">
        <v>363</v>
      </c>
      <c r="E6994" s="102"/>
      <c r="F6994" s="102"/>
      <c r="G6994" s="48">
        <v>1</v>
      </c>
      <c r="H6994" s="48"/>
      <c r="I6994" s="49"/>
      <c r="J6994" s="49"/>
      <c r="K6994" s="33"/>
      <c r="L6994" s="20"/>
    </row>
    <row r="6995" spans="1:12" outlineLevel="2">
      <c r="A6995" s="21"/>
      <c r="B6995" s="12" t="str">
        <f>IFERROR(VLOOKUP(D6995,'[1]Перечень товаров'!$A$2:$I9525,2,0),"")</f>
        <v>п29</v>
      </c>
      <c r="C6995" s="12" t="str">
        <f>IFERROR(VLOOKUP(D6995,'[1]Перечень товаров'!$A$2:$I9525,3,0),"")</f>
        <v>Прочее</v>
      </c>
      <c r="D6995" s="22" t="s">
        <v>364</v>
      </c>
      <c r="E6995" s="102"/>
      <c r="F6995" s="102"/>
      <c r="G6995" s="48">
        <v>6</v>
      </c>
      <c r="H6995" s="48"/>
      <c r="I6995" s="49"/>
      <c r="J6995" s="49"/>
      <c r="K6995" s="33"/>
      <c r="L6995" s="20"/>
    </row>
    <row r="6996" spans="1:12" outlineLevel="2">
      <c r="A6996" s="21"/>
      <c r="B6996" s="12" t="str">
        <f>IFERROR(VLOOKUP(D6996,'[1]Перечень товаров'!$A$2:$I9525,2,0),"")</f>
        <v>п30</v>
      </c>
      <c r="C6996" s="12" t="str">
        <f>IFERROR(VLOOKUP(D6996,'[1]Перечень товаров'!$A$2:$I9525,3,0),"")</f>
        <v>Прочее</v>
      </c>
      <c r="D6996" s="22" t="s">
        <v>365</v>
      </c>
      <c r="E6996" s="102"/>
      <c r="F6996" s="102"/>
      <c r="G6996" s="48">
        <v>2</v>
      </c>
      <c r="H6996" s="48"/>
      <c r="I6996" s="49"/>
      <c r="J6996" s="49"/>
      <c r="K6996" s="33"/>
      <c r="L6996" s="20"/>
    </row>
    <row r="6997" spans="1:12" ht="31.5" outlineLevel="2">
      <c r="A6997" s="21"/>
      <c r="B6997" s="12" t="str">
        <f>IFERROR(VLOOKUP(D6997,'[1]Перечень товаров'!$A$2:$I9525,2,0),"")</f>
        <v>п31</v>
      </c>
      <c r="C6997" s="12" t="str">
        <f>IFERROR(VLOOKUP(D6997,'[1]Перечень товаров'!$A$2:$I9525,3,0),"")</f>
        <v>Прочее</v>
      </c>
      <c r="D6997" s="22" t="s">
        <v>366</v>
      </c>
      <c r="E6997" s="102"/>
      <c r="F6997" s="102"/>
      <c r="G6997" s="48">
        <v>1</v>
      </c>
      <c r="H6997" s="48"/>
      <c r="I6997" s="49"/>
      <c r="J6997" s="49"/>
      <c r="K6997" s="33"/>
      <c r="L6997" s="20"/>
    </row>
    <row r="6998" spans="1:12" ht="31.5" outlineLevel="2">
      <c r="A6998" s="21"/>
      <c r="B6998" s="12" t="str">
        <f>IFERROR(VLOOKUP(D6998,'[1]Перечень товаров'!$A$2:$I9525,2,0),"")</f>
        <v>п32</v>
      </c>
      <c r="C6998" s="12" t="str">
        <f>IFERROR(VLOOKUP(D6998,'[1]Перечень товаров'!$A$2:$I9525,3,0),"")</f>
        <v>Прочее</v>
      </c>
      <c r="D6998" s="22" t="s">
        <v>367</v>
      </c>
      <c r="E6998" s="102"/>
      <c r="F6998" s="102"/>
      <c r="G6998" s="48">
        <v>2</v>
      </c>
      <c r="H6998" s="48"/>
      <c r="I6998" s="49"/>
      <c r="J6998" s="49"/>
      <c r="K6998" s="33"/>
      <c r="L6998" s="20"/>
    </row>
    <row r="6999" spans="1:12" ht="25.5" outlineLevel="1">
      <c r="A6999" s="11"/>
      <c r="B6999" s="12" t="str">
        <f>IFERROR(VLOOKUP(D6999,'[1]Перечень товаров'!$A$2:$I9525,2,0),"")</f>
        <v/>
      </c>
      <c r="C6999" s="12" t="str">
        <f>IFERROR(VLOOKUP(D6999,'[1]Перечень товаров'!$A$2:$I9525,3,0),"")</f>
        <v/>
      </c>
      <c r="D6999" s="27" t="s">
        <v>1794</v>
      </c>
      <c r="E6999" s="14" t="s">
        <v>1795</v>
      </c>
      <c r="F6999" s="14"/>
      <c r="G6999" s="17"/>
      <c r="H6999" s="17"/>
      <c r="I6999" s="57"/>
      <c r="J6999" s="57"/>
      <c r="K6999" s="19"/>
      <c r="L6999" s="20"/>
    </row>
    <row r="7000" spans="1:12" outlineLevel="2">
      <c r="A7000" s="116"/>
      <c r="B7000" s="12" t="str">
        <f>IFERROR(VLOOKUP(D7000,'[1]Перечень товаров'!$A$2:$I9525,2,0),"")</f>
        <v/>
      </c>
      <c r="C7000" s="12" t="str">
        <f>IFERROR(VLOOKUP(D7000,'[1]Перечень товаров'!$A$2:$I9525,3,0),"")</f>
        <v/>
      </c>
      <c r="D7000" s="117" t="s">
        <v>391</v>
      </c>
      <c r="E7000" s="122"/>
      <c r="F7000" s="122"/>
      <c r="G7000" s="59"/>
      <c r="H7000" s="59"/>
      <c r="I7000" s="60"/>
      <c r="J7000" s="60"/>
      <c r="K7000" s="19"/>
      <c r="L7000" s="20"/>
    </row>
    <row r="7001" spans="1:12" outlineLevel="2">
      <c r="A7001" s="70"/>
      <c r="B7001" s="12" t="str">
        <f>IFERROR(VLOOKUP(D7001,'[1]Перечень товаров'!$A$2:$I9525,2,0),"")</f>
        <v>мм1</v>
      </c>
      <c r="C7001" s="12" t="str">
        <f>IFERROR(VLOOKUP(D7001,'[1]Перечень товаров'!$A$2:$I9525,3,0),"")</f>
        <v>Мебель муз</v>
      </c>
      <c r="D7001" s="71" t="s">
        <v>1134</v>
      </c>
      <c r="E7001" s="30"/>
      <c r="F7001" s="30"/>
      <c r="G7001" s="59">
        <v>2</v>
      </c>
      <c r="H7001" s="59"/>
      <c r="I7001" s="60"/>
      <c r="J7001" s="60"/>
      <c r="K7001" s="19"/>
      <c r="L7001" s="20"/>
    </row>
    <row r="7002" spans="1:12" outlineLevel="2">
      <c r="A7002" s="70"/>
      <c r="B7002" s="12" t="str">
        <f>IFERROR(VLOOKUP(D7002,'[1]Перечень товаров'!$A$2:$I9525,2,0),"")</f>
        <v>тм102</v>
      </c>
      <c r="C7002" s="12" t="str">
        <f>IFERROR(VLOOKUP(D7002,'[1]Перечень товаров'!$A$2:$I9525,3,0),"")</f>
        <v>Техника муз</v>
      </c>
      <c r="D7002" s="71" t="s">
        <v>1796</v>
      </c>
      <c r="E7002" s="72"/>
      <c r="F7002" s="72"/>
      <c r="G7002" s="73">
        <v>2</v>
      </c>
      <c r="H7002" s="73"/>
      <c r="I7002" s="74"/>
      <c r="J7002" s="74"/>
      <c r="K7002" s="19"/>
      <c r="L7002" s="20"/>
    </row>
    <row r="7003" spans="1:12" outlineLevel="2">
      <c r="A7003" s="70"/>
      <c r="B7003" s="12" t="str">
        <f>IFERROR(VLOOKUP(D7003,'[1]Перечень товаров'!$A$2:$I9525,2,0),"")</f>
        <v>тм101</v>
      </c>
      <c r="C7003" s="12" t="str">
        <f>IFERROR(VLOOKUP(D7003,'[1]Перечень товаров'!$A$2:$I9525,3,0),"")</f>
        <v>Техника муз</v>
      </c>
      <c r="D7003" s="71" t="s">
        <v>1797</v>
      </c>
      <c r="E7003" s="72"/>
      <c r="F7003" s="72"/>
      <c r="G7003" s="73">
        <v>2</v>
      </c>
      <c r="H7003" s="73"/>
      <c r="I7003" s="74"/>
      <c r="J7003" s="74"/>
      <c r="K7003" s="19"/>
      <c r="L7003" s="20"/>
    </row>
    <row r="7004" spans="1:12" ht="31.5" outlineLevel="2">
      <c r="A7004" s="70"/>
      <c r="B7004" s="12" t="str">
        <f>IFERROR(VLOOKUP(D7004,'[1]Перечень товаров'!$A$2:$I9525,2,0),"")</f>
        <v>тм169</v>
      </c>
      <c r="C7004" s="12" t="str">
        <f>IFERROR(VLOOKUP(D7004,'[1]Перечень товаров'!$A$2:$I9525,3,0),"")</f>
        <v>Техника муз</v>
      </c>
      <c r="D7004" s="71" t="s">
        <v>1351</v>
      </c>
      <c r="E7004" s="72"/>
      <c r="F7004" s="72"/>
      <c r="G7004" s="73">
        <v>2</v>
      </c>
      <c r="H7004" s="73"/>
      <c r="I7004" s="74"/>
      <c r="J7004" s="74"/>
      <c r="K7004" s="19"/>
      <c r="L7004" s="20"/>
    </row>
    <row r="7005" spans="1:12" outlineLevel="2">
      <c r="A7005" s="70"/>
      <c r="B7005" s="12" t="str">
        <f>IFERROR(VLOOKUP(D7005,'[1]Перечень товаров'!$A$2:$I9525,2,0),"")</f>
        <v>тм288</v>
      </c>
      <c r="C7005" s="12" t="str">
        <f>IFERROR(VLOOKUP(D7005,'[1]Перечень товаров'!$A$2:$I9525,3,0),"")</f>
        <v>Техника муз</v>
      </c>
      <c r="D7005" s="71" t="s">
        <v>620</v>
      </c>
      <c r="E7005" s="72"/>
      <c r="F7005" s="72"/>
      <c r="G7005" s="73">
        <v>2</v>
      </c>
      <c r="H7005" s="73"/>
      <c r="I7005" s="74"/>
      <c r="J7005" s="74"/>
      <c r="K7005" s="19"/>
      <c r="L7005" s="20"/>
    </row>
    <row r="7006" spans="1:12" outlineLevel="2">
      <c r="A7006" s="70"/>
      <c r="B7006" s="12" t="str">
        <f>IFERROR(VLOOKUP(D7006,'[1]Перечень товаров'!$A$2:$I9525,2,0),"")</f>
        <v>тм168</v>
      </c>
      <c r="C7006" s="12" t="str">
        <f>IFERROR(VLOOKUP(D7006,'[1]Перечень товаров'!$A$2:$I9525,3,0),"")</f>
        <v>Техника муз</v>
      </c>
      <c r="D7006" s="71" t="s">
        <v>1352</v>
      </c>
      <c r="E7006" s="72"/>
      <c r="F7006" s="72"/>
      <c r="G7006" s="73">
        <v>2</v>
      </c>
      <c r="H7006" s="73"/>
      <c r="I7006" s="74"/>
      <c r="J7006" s="74"/>
      <c r="K7006" s="19"/>
      <c r="L7006" s="20"/>
    </row>
    <row r="7007" spans="1:12" outlineLevel="2">
      <c r="A7007" s="70"/>
      <c r="B7007" s="12" t="str">
        <f>IFERROR(VLOOKUP(D7007,'[1]Перечень товаров'!$A$2:$I9525,2,0),"")</f>
        <v>тм167</v>
      </c>
      <c r="C7007" s="12" t="str">
        <f>IFERROR(VLOOKUP(D7007,'[1]Перечень товаров'!$A$2:$I9525,3,0),"")</f>
        <v>Техника муз</v>
      </c>
      <c r="D7007" s="71" t="s">
        <v>1353</v>
      </c>
      <c r="E7007" s="72"/>
      <c r="F7007" s="72"/>
      <c r="G7007" s="73">
        <v>2</v>
      </c>
      <c r="H7007" s="73"/>
      <c r="I7007" s="74"/>
      <c r="J7007" s="74"/>
      <c r="K7007" s="19"/>
      <c r="L7007" s="20"/>
    </row>
    <row r="7008" spans="1:12" outlineLevel="2">
      <c r="A7008" s="70"/>
      <c r="B7008" s="12" t="str">
        <f>IFERROR(VLOOKUP(D7008,'[1]Перечень товаров'!$A$2:$I9525,2,0),"")</f>
        <v>тм166</v>
      </c>
      <c r="C7008" s="12" t="str">
        <f>IFERROR(VLOOKUP(D7008,'[1]Перечень товаров'!$A$2:$I9525,3,0),"")</f>
        <v>Техника муз</v>
      </c>
      <c r="D7008" s="71" t="s">
        <v>1354</v>
      </c>
      <c r="E7008" s="72"/>
      <c r="F7008" s="72"/>
      <c r="G7008" s="73">
        <v>2</v>
      </c>
      <c r="H7008" s="73"/>
      <c r="I7008" s="74"/>
      <c r="J7008" s="74"/>
      <c r="K7008" s="19"/>
      <c r="L7008" s="20"/>
    </row>
    <row r="7009" spans="1:12" outlineLevel="2">
      <c r="A7009" s="70"/>
      <c r="B7009" s="12" t="str">
        <f>IFERROR(VLOOKUP(D7009,'[1]Перечень товаров'!$A$2:$I9525,2,0),"")</f>
        <v>тм165</v>
      </c>
      <c r="C7009" s="12" t="str">
        <f>IFERROR(VLOOKUP(D7009,'[1]Перечень товаров'!$A$2:$I9525,3,0),"")</f>
        <v>Техника муз</v>
      </c>
      <c r="D7009" s="71" t="s">
        <v>1355</v>
      </c>
      <c r="E7009" s="72"/>
      <c r="F7009" s="72"/>
      <c r="G7009" s="73">
        <v>2</v>
      </c>
      <c r="H7009" s="73"/>
      <c r="I7009" s="74"/>
      <c r="J7009" s="74"/>
      <c r="K7009" s="19"/>
      <c r="L7009" s="20"/>
    </row>
    <row r="7010" spans="1:12" outlineLevel="2">
      <c r="A7010" s="70"/>
      <c r="B7010" s="12" t="str">
        <f>IFERROR(VLOOKUP(D7010,'[1]Перечень товаров'!$A$2:$I9525,2,0),"")</f>
        <v>тм282</v>
      </c>
      <c r="C7010" s="12" t="str">
        <f>IFERROR(VLOOKUP(D7010,'[1]Перечень товаров'!$A$2:$I9525,3,0),"")</f>
        <v>Техника муз</v>
      </c>
      <c r="D7010" s="71" t="s">
        <v>614</v>
      </c>
      <c r="E7010" s="72"/>
      <c r="F7010" s="72"/>
      <c r="G7010" s="73">
        <v>2</v>
      </c>
      <c r="H7010" s="73"/>
      <c r="I7010" s="74"/>
      <c r="J7010" s="74"/>
      <c r="K7010" s="19"/>
      <c r="L7010" s="20"/>
    </row>
    <row r="7011" spans="1:12" outlineLevel="2">
      <c r="A7011" s="70"/>
      <c r="B7011" s="12" t="str">
        <f>IFERROR(VLOOKUP(D7011,'[1]Перечень товаров'!$A$2:$I9525,2,0),"")</f>
        <v>тм164</v>
      </c>
      <c r="C7011" s="12" t="str">
        <f>IFERROR(VLOOKUP(D7011,'[1]Перечень товаров'!$A$2:$I9525,3,0),"")</f>
        <v>Техника муз</v>
      </c>
      <c r="D7011" s="71" t="s">
        <v>1356</v>
      </c>
      <c r="E7011" s="72"/>
      <c r="F7011" s="72"/>
      <c r="G7011" s="73">
        <v>2</v>
      </c>
      <c r="H7011" s="73"/>
      <c r="I7011" s="74"/>
      <c r="J7011" s="74"/>
      <c r="K7011" s="19"/>
      <c r="L7011" s="20"/>
    </row>
    <row r="7012" spans="1:12" outlineLevel="2">
      <c r="A7012" s="70"/>
      <c r="B7012" s="12" t="str">
        <f>IFERROR(VLOOKUP(D7012,'[1]Перечень товаров'!$A$2:$I9525,2,0),"")</f>
        <v>тм163</v>
      </c>
      <c r="C7012" s="12" t="str">
        <f>IFERROR(VLOOKUP(D7012,'[1]Перечень товаров'!$A$2:$I9525,3,0),"")</f>
        <v>Техника муз</v>
      </c>
      <c r="D7012" s="71" t="s">
        <v>1357</v>
      </c>
      <c r="E7012" s="72"/>
      <c r="F7012" s="72"/>
      <c r="G7012" s="73">
        <v>2</v>
      </c>
      <c r="H7012" s="73"/>
      <c r="I7012" s="74"/>
      <c r="J7012" s="74"/>
      <c r="K7012" s="19"/>
      <c r="L7012" s="20"/>
    </row>
    <row r="7013" spans="1:12" outlineLevel="2">
      <c r="A7013" s="70"/>
      <c r="B7013" s="12" t="str">
        <f>IFERROR(VLOOKUP(D7013,'[1]Перечень товаров'!$A$2:$I9525,2,0),"")</f>
        <v>тм162</v>
      </c>
      <c r="C7013" s="12" t="str">
        <f>IFERROR(VLOOKUP(D7013,'[1]Перечень товаров'!$A$2:$I9525,3,0),"")</f>
        <v>Техника муз</v>
      </c>
      <c r="D7013" s="71" t="s">
        <v>1358</v>
      </c>
      <c r="E7013" s="72"/>
      <c r="F7013" s="72"/>
      <c r="G7013" s="73">
        <v>2</v>
      </c>
      <c r="H7013" s="73"/>
      <c r="I7013" s="74"/>
      <c r="J7013" s="74"/>
      <c r="K7013" s="19"/>
      <c r="L7013" s="20"/>
    </row>
    <row r="7014" spans="1:12" outlineLevel="2">
      <c r="A7014" s="70"/>
      <c r="B7014" s="12" t="str">
        <f>IFERROR(VLOOKUP(D7014,'[1]Перечень товаров'!$A$2:$I9525,2,0),"")</f>
        <v>тм161</v>
      </c>
      <c r="C7014" s="12" t="str">
        <f>IFERROR(VLOOKUP(D7014,'[1]Перечень товаров'!$A$2:$I9525,3,0),"")</f>
        <v>Техника муз</v>
      </c>
      <c r="D7014" s="71" t="s">
        <v>1359</v>
      </c>
      <c r="E7014" s="72"/>
      <c r="F7014" s="72"/>
      <c r="G7014" s="73">
        <v>2</v>
      </c>
      <c r="H7014" s="73"/>
      <c r="I7014" s="74"/>
      <c r="J7014" s="74"/>
      <c r="K7014" s="19"/>
      <c r="L7014" s="20"/>
    </row>
    <row r="7015" spans="1:12" outlineLevel="2">
      <c r="A7015" s="70"/>
      <c r="B7015" s="12" t="str">
        <f>IFERROR(VLOOKUP(D7015,'[1]Перечень товаров'!$A$2:$I9525,2,0),"")</f>
        <v>тм160</v>
      </c>
      <c r="C7015" s="12" t="str">
        <f>IFERROR(VLOOKUP(D7015,'[1]Перечень товаров'!$A$2:$I9525,3,0),"")</f>
        <v>Техника муз</v>
      </c>
      <c r="D7015" s="71" t="s">
        <v>1360</v>
      </c>
      <c r="E7015" s="72"/>
      <c r="F7015" s="72"/>
      <c r="G7015" s="73">
        <v>2</v>
      </c>
      <c r="H7015" s="73"/>
      <c r="I7015" s="74"/>
      <c r="J7015" s="74"/>
      <c r="K7015" s="19"/>
      <c r="L7015" s="20"/>
    </row>
    <row r="7016" spans="1:12" outlineLevel="2">
      <c r="A7016" s="70"/>
      <c r="B7016" s="12" t="str">
        <f>IFERROR(VLOOKUP(D7016,'[1]Перечень товаров'!$A$2:$I9525,2,0),"")</f>
        <v>тм159</v>
      </c>
      <c r="C7016" s="12" t="str">
        <f>IFERROR(VLOOKUP(D7016,'[1]Перечень товаров'!$A$2:$I9525,3,0),"")</f>
        <v>Техника муз</v>
      </c>
      <c r="D7016" s="71" t="s">
        <v>1361</v>
      </c>
      <c r="E7016" s="72"/>
      <c r="F7016" s="72"/>
      <c r="G7016" s="73">
        <v>2</v>
      </c>
      <c r="H7016" s="73"/>
      <c r="I7016" s="74"/>
      <c r="J7016" s="74"/>
      <c r="K7016" s="19"/>
      <c r="L7016" s="20"/>
    </row>
    <row r="7017" spans="1:12" outlineLevel="2">
      <c r="A7017" s="70"/>
      <c r="B7017" s="12" t="str">
        <f>IFERROR(VLOOKUP(D7017,'[1]Перечень товаров'!$A$2:$I9525,2,0),"")</f>
        <v>тм158</v>
      </c>
      <c r="C7017" s="12" t="str">
        <f>IFERROR(VLOOKUP(D7017,'[1]Перечень товаров'!$A$2:$I9525,3,0),"")</f>
        <v>Техника муз</v>
      </c>
      <c r="D7017" s="71" t="s">
        <v>1362</v>
      </c>
      <c r="E7017" s="72"/>
      <c r="F7017" s="72"/>
      <c r="G7017" s="73">
        <v>2</v>
      </c>
      <c r="H7017" s="73"/>
      <c r="I7017" s="74"/>
      <c r="J7017" s="74"/>
      <c r="K7017" s="19"/>
      <c r="L7017" s="20"/>
    </row>
    <row r="7018" spans="1:12" outlineLevel="2">
      <c r="A7018" s="70"/>
      <c r="B7018" s="12" t="str">
        <f>IFERROR(VLOOKUP(D7018,'[1]Перечень товаров'!$A$2:$I9525,2,0),"")</f>
        <v>тм157</v>
      </c>
      <c r="C7018" s="12" t="str">
        <f>IFERROR(VLOOKUP(D7018,'[1]Перечень товаров'!$A$2:$I9525,3,0),"")</f>
        <v>Техника муз</v>
      </c>
      <c r="D7018" s="71" t="s">
        <v>1363</v>
      </c>
      <c r="E7018" s="30"/>
      <c r="F7018" s="30"/>
      <c r="G7018" s="59">
        <v>2</v>
      </c>
      <c r="H7018" s="59"/>
      <c r="I7018" s="60"/>
      <c r="J7018" s="60"/>
      <c r="K7018" s="19"/>
      <c r="L7018" s="20"/>
    </row>
    <row r="7019" spans="1:12" outlineLevel="2">
      <c r="A7019" s="70"/>
      <c r="B7019" s="12" t="str">
        <f>IFERROR(VLOOKUP(D7019,'[1]Перечень товаров'!$A$2:$I9525,2,0),"")</f>
        <v>тм156</v>
      </c>
      <c r="C7019" s="12" t="str">
        <f>IFERROR(VLOOKUP(D7019,'[1]Перечень товаров'!$A$2:$I9525,3,0),"")</f>
        <v>Техника муз</v>
      </c>
      <c r="D7019" s="71" t="s">
        <v>1364</v>
      </c>
      <c r="E7019" s="30"/>
      <c r="F7019" s="30"/>
      <c r="G7019" s="59">
        <v>2</v>
      </c>
      <c r="H7019" s="59"/>
      <c r="I7019" s="60"/>
      <c r="J7019" s="60"/>
      <c r="K7019" s="19"/>
      <c r="L7019" s="20"/>
    </row>
    <row r="7020" spans="1:12" outlineLevel="2">
      <c r="A7020" s="70"/>
      <c r="B7020" s="12" t="str">
        <f>IFERROR(VLOOKUP(D7020,'[1]Перечень товаров'!$A$2:$I9525,2,0),"")</f>
        <v>тм155</v>
      </c>
      <c r="C7020" s="12" t="str">
        <f>IFERROR(VLOOKUP(D7020,'[1]Перечень товаров'!$A$2:$I9525,3,0),"")</f>
        <v>Техника муз</v>
      </c>
      <c r="D7020" s="71" t="s">
        <v>1365</v>
      </c>
      <c r="E7020" s="72"/>
      <c r="F7020" s="72"/>
      <c r="G7020" s="73">
        <v>2</v>
      </c>
      <c r="H7020" s="73"/>
      <c r="I7020" s="74"/>
      <c r="J7020" s="74"/>
      <c r="K7020" s="19"/>
      <c r="L7020" s="20"/>
    </row>
    <row r="7021" spans="1:12" outlineLevel="2">
      <c r="A7021" s="70"/>
      <c r="B7021" s="12" t="str">
        <f>IFERROR(VLOOKUP(D7021,'[1]Перечень товаров'!$A$2:$I9525,2,0),"")</f>
        <v>т123</v>
      </c>
      <c r="C7021" s="12" t="str">
        <f>IFERROR(VLOOKUP(D7021,'[1]Перечень товаров'!$A$2:$I9525,3,0),"")</f>
        <v>Техника</v>
      </c>
      <c r="D7021" s="71" t="s">
        <v>1366</v>
      </c>
      <c r="E7021" s="72"/>
      <c r="F7021" s="72"/>
      <c r="G7021" s="73">
        <v>1</v>
      </c>
      <c r="H7021" s="73"/>
      <c r="I7021" s="74"/>
      <c r="J7021" s="74"/>
      <c r="K7021" s="19"/>
      <c r="L7021" s="20"/>
    </row>
    <row r="7022" spans="1:12" outlineLevel="2">
      <c r="A7022" s="109"/>
      <c r="B7022" s="12" t="str">
        <f>IFERROR(VLOOKUP(D7022,'[1]Перечень товаров'!$A$2:$I9525,2,0),"")</f>
        <v/>
      </c>
      <c r="C7022" s="12" t="str">
        <f>IFERROR(VLOOKUP(D7022,'[1]Перечень товаров'!$A$2:$I9525,3,0),"")</f>
        <v/>
      </c>
      <c r="D7022" s="110" t="s">
        <v>27</v>
      </c>
      <c r="E7022" s="244"/>
      <c r="F7022" s="244"/>
      <c r="G7022" s="73"/>
      <c r="H7022" s="73"/>
      <c r="I7022" s="74"/>
      <c r="J7022" s="74"/>
      <c r="K7022" s="19"/>
      <c r="L7022" s="20"/>
    </row>
    <row r="7023" spans="1:12" outlineLevel="2">
      <c r="A7023" s="70"/>
      <c r="B7023" s="12" t="str">
        <f>IFERROR(VLOOKUP(D7023,'[1]Перечень товаров'!$A$2:$I9525,2,0),"")</f>
        <v>т122</v>
      </c>
      <c r="C7023" s="12" t="str">
        <f>IFERROR(VLOOKUP(D7023,'[1]Перечень товаров'!$A$2:$I9525,3,0),"")</f>
        <v>Техника</v>
      </c>
      <c r="D7023" s="71" t="s">
        <v>1367</v>
      </c>
      <c r="E7023" s="72"/>
      <c r="F7023" s="72"/>
      <c r="G7023" s="73">
        <v>2</v>
      </c>
      <c r="H7023" s="73"/>
      <c r="I7023" s="74"/>
      <c r="J7023" s="74"/>
      <c r="K7023" s="19"/>
      <c r="L7023" s="20"/>
    </row>
    <row r="7024" spans="1:12" ht="31.5" outlineLevel="2">
      <c r="A7024" s="70"/>
      <c r="B7024" s="12" t="str">
        <f>IFERROR(VLOOKUP(D7024,'[1]Перечень товаров'!$A$2:$I9525,2,0),"")</f>
        <v>т121</v>
      </c>
      <c r="C7024" s="12" t="str">
        <f>IFERROR(VLOOKUP(D7024,'[1]Перечень товаров'!$A$2:$I9525,3,0),"")</f>
        <v>Техника</v>
      </c>
      <c r="D7024" s="71" t="s">
        <v>1368</v>
      </c>
      <c r="E7024" s="30"/>
      <c r="F7024" s="30"/>
      <c r="G7024" s="59">
        <v>2</v>
      </c>
      <c r="H7024" s="59"/>
      <c r="I7024" s="60"/>
      <c r="J7024" s="60"/>
      <c r="K7024" s="19"/>
      <c r="L7024" s="20"/>
    </row>
    <row r="7025" spans="1:12" outlineLevel="2">
      <c r="A7025" s="70"/>
      <c r="B7025" s="12" t="str">
        <f>IFERROR(VLOOKUP(D7025,'[1]Перечень товаров'!$A$2:$I9525,2,0),"")</f>
        <v>т1</v>
      </c>
      <c r="C7025" s="12" t="str">
        <f>IFERROR(VLOOKUP(D7025,'[1]Перечень товаров'!$A$2:$I9525,3,0),"")</f>
        <v xml:space="preserve">Техника </v>
      </c>
      <c r="D7025" s="22" t="s">
        <v>28</v>
      </c>
      <c r="E7025" s="72"/>
      <c r="F7025" s="72"/>
      <c r="G7025" s="73">
        <v>2</v>
      </c>
      <c r="H7025" s="73"/>
      <c r="I7025" s="74"/>
      <c r="J7025" s="74"/>
      <c r="K7025" s="19"/>
      <c r="L7025" s="20"/>
    </row>
    <row r="7026" spans="1:12" outlineLevel="2">
      <c r="A7026" s="70"/>
      <c r="B7026" s="12" t="str">
        <f>IFERROR(VLOOKUP(D7026,'[1]Перечень товаров'!$A$2:$I9525,2,0),"")</f>
        <v>т236</v>
      </c>
      <c r="C7026" s="12" t="str">
        <f>IFERROR(VLOOKUP(D7026,'[1]Перечень товаров'!$A$2:$I9525,3,0),"")</f>
        <v>Техника</v>
      </c>
      <c r="D7026" s="35" t="s">
        <v>743</v>
      </c>
      <c r="E7026" s="30"/>
      <c r="F7026" s="30"/>
      <c r="G7026" s="59">
        <v>2</v>
      </c>
      <c r="H7026" s="59"/>
      <c r="I7026" s="60"/>
      <c r="J7026" s="60"/>
      <c r="K7026" s="19"/>
      <c r="L7026" s="20"/>
    </row>
    <row r="7027" spans="1:12" outlineLevel="2">
      <c r="A7027" s="70"/>
      <c r="B7027" s="12" t="str">
        <f>IFERROR(VLOOKUP(D7027,'[1]Перечень товаров'!$A$2:$I9525,2,0),"")</f>
        <v>т120</v>
      </c>
      <c r="C7027" s="12" t="str">
        <f>IFERROR(VLOOKUP(D7027,'[1]Перечень товаров'!$A$2:$I9525,3,0),"")</f>
        <v>Техника</v>
      </c>
      <c r="D7027" s="71" t="s">
        <v>1369</v>
      </c>
      <c r="E7027" s="72"/>
      <c r="F7027" s="72"/>
      <c r="G7027" s="73">
        <v>2</v>
      </c>
      <c r="H7027" s="73"/>
      <c r="I7027" s="74"/>
      <c r="J7027" s="74"/>
      <c r="K7027" s="19"/>
      <c r="L7027" s="20"/>
    </row>
    <row r="7028" spans="1:12" outlineLevel="2">
      <c r="A7028" s="70"/>
      <c r="B7028" s="12" t="str">
        <f>IFERROR(VLOOKUP(D7028,'[1]Перечень товаров'!$A$2:$I9525,2,0),"")</f>
        <v>т119</v>
      </c>
      <c r="C7028" s="12" t="str">
        <f>IFERROR(VLOOKUP(D7028,'[1]Перечень товаров'!$A$2:$I9525,3,0),"")</f>
        <v>Техника</v>
      </c>
      <c r="D7028" s="71" t="s">
        <v>1370</v>
      </c>
      <c r="E7028" s="30"/>
      <c r="F7028" s="30"/>
      <c r="G7028" s="59">
        <v>2</v>
      </c>
      <c r="H7028" s="59"/>
      <c r="I7028" s="60"/>
      <c r="J7028" s="60"/>
      <c r="K7028" s="19"/>
      <c r="L7028" s="20"/>
    </row>
    <row r="7029" spans="1:12" ht="31.5" outlineLevel="2">
      <c r="A7029" s="70"/>
      <c r="B7029" s="12" t="str">
        <f>IFERROR(VLOOKUP(D7029,'[1]Перечень товаров'!$A$2:$I9525,2,0),"")</f>
        <v>т118</v>
      </c>
      <c r="C7029" s="12" t="str">
        <f>IFERROR(VLOOKUP(D7029,'[1]Перечень товаров'!$A$2:$I9525,3,0),"")</f>
        <v>Техника</v>
      </c>
      <c r="D7029" s="71" t="s">
        <v>1371</v>
      </c>
      <c r="E7029" s="72"/>
      <c r="F7029" s="72"/>
      <c r="G7029" s="73">
        <v>2</v>
      </c>
      <c r="H7029" s="73"/>
      <c r="I7029" s="74"/>
      <c r="J7029" s="74"/>
      <c r="K7029" s="19"/>
      <c r="L7029" s="20"/>
    </row>
    <row r="7030" spans="1:12" outlineLevel="2">
      <c r="A7030" s="70"/>
      <c r="B7030" s="12" t="str">
        <f>IFERROR(VLOOKUP(D7030,'[1]Перечень товаров'!$A$2:$I9525,2,0),"")</f>
        <v>т157</v>
      </c>
      <c r="C7030" s="12" t="str">
        <f>IFERROR(VLOOKUP(D7030,'[1]Перечень товаров'!$A$2:$I9525,3,0),"")</f>
        <v>Техника</v>
      </c>
      <c r="D7030" s="71" t="s">
        <v>296</v>
      </c>
      <c r="E7030" s="30"/>
      <c r="F7030" s="30"/>
      <c r="G7030" s="59">
        <v>2</v>
      </c>
      <c r="H7030" s="59"/>
      <c r="I7030" s="60"/>
      <c r="J7030" s="60"/>
      <c r="K7030" s="19"/>
      <c r="L7030" s="20"/>
    </row>
    <row r="7031" spans="1:12" outlineLevel="2">
      <c r="A7031" s="70"/>
      <c r="B7031" s="12" t="str">
        <f>IFERROR(VLOOKUP(D7031,'[1]Перечень товаров'!$A$2:$I9525,2,0),"")</f>
        <v>т9</v>
      </c>
      <c r="C7031" s="12" t="str">
        <f>IFERROR(VLOOKUP(D7031,'[1]Перечень товаров'!$A$2:$I9525,3,0),"")</f>
        <v>Техника</v>
      </c>
      <c r="D7031" s="71" t="s">
        <v>36</v>
      </c>
      <c r="E7031" s="72"/>
      <c r="F7031" s="72"/>
      <c r="G7031" s="73">
        <v>2</v>
      </c>
      <c r="H7031" s="73"/>
      <c r="I7031" s="74"/>
      <c r="J7031" s="74"/>
      <c r="K7031" s="19"/>
      <c r="L7031" s="20"/>
    </row>
    <row r="7032" spans="1:12" outlineLevel="2">
      <c r="A7032" s="70"/>
      <c r="B7032" s="12" t="str">
        <f>IFERROR(VLOOKUP(D7032,'[1]Перечень товаров'!$A$2:$I9525,2,0),"")</f>
        <v>т237</v>
      </c>
      <c r="C7032" s="12" t="str">
        <f>IFERROR(VLOOKUP(D7032,'[1]Перечень товаров'!$A$2:$I9525,3,0),"")</f>
        <v>Техника</v>
      </c>
      <c r="D7032" s="71" t="s">
        <v>744</v>
      </c>
      <c r="E7032" s="30"/>
      <c r="F7032" s="30"/>
      <c r="G7032" s="59">
        <v>4</v>
      </c>
      <c r="H7032" s="59"/>
      <c r="I7032" s="60"/>
      <c r="J7032" s="60"/>
      <c r="K7032" s="19"/>
      <c r="L7032" s="20"/>
    </row>
    <row r="7033" spans="1:12" ht="31.5" outlineLevel="2">
      <c r="A7033" s="70"/>
      <c r="B7033" s="12" t="str">
        <f>IFERROR(VLOOKUP(D7033,'[1]Перечень товаров'!$A$2:$I9525,2,0),"")</f>
        <v>пм126</v>
      </c>
      <c r="C7033" s="12" t="str">
        <f>IFERROR(VLOOKUP(D7033,'[1]Перечень товаров'!$A$2:$I9525,3,0),"")</f>
        <v>прочее муз</v>
      </c>
      <c r="D7033" s="71" t="s">
        <v>1372</v>
      </c>
      <c r="E7033" s="72"/>
      <c r="F7033" s="72"/>
      <c r="G7033" s="73">
        <v>4</v>
      </c>
      <c r="H7033" s="73"/>
      <c r="I7033" s="74"/>
      <c r="J7033" s="74"/>
      <c r="K7033" s="19"/>
      <c r="L7033" s="20"/>
    </row>
    <row r="7034" spans="1:12" outlineLevel="2">
      <c r="A7034" s="70"/>
      <c r="B7034" s="12" t="str">
        <f>IFERROR(VLOOKUP(D7034,'[1]Перечень товаров'!$A$2:$I9525,2,0),"")</f>
        <v>пм125</v>
      </c>
      <c r="C7034" s="12" t="str">
        <f>IFERROR(VLOOKUP(D7034,'[1]Перечень товаров'!$A$2:$I9525,3,0),"")</f>
        <v>прочее муз</v>
      </c>
      <c r="D7034" s="71" t="s">
        <v>1373</v>
      </c>
      <c r="E7034" s="30"/>
      <c r="F7034" s="30"/>
      <c r="G7034" s="59">
        <v>4</v>
      </c>
      <c r="H7034" s="59"/>
      <c r="I7034" s="60"/>
      <c r="J7034" s="60"/>
      <c r="K7034" s="19"/>
      <c r="L7034" s="20"/>
    </row>
    <row r="7035" spans="1:12" outlineLevel="2">
      <c r="A7035" s="70"/>
      <c r="B7035" s="12" t="str">
        <f>IFERROR(VLOOKUP(D7035,'[1]Перечень товаров'!$A$2:$I9525,2,0),"")</f>
        <v>тм154</v>
      </c>
      <c r="C7035" s="12" t="str">
        <f>IFERROR(VLOOKUP(D7035,'[1]Перечень товаров'!$A$2:$I9525,3,0),"")</f>
        <v>Техника муз</v>
      </c>
      <c r="D7035" s="71" t="s">
        <v>1374</v>
      </c>
      <c r="E7035" s="72"/>
      <c r="F7035" s="72"/>
      <c r="G7035" s="73">
        <v>2</v>
      </c>
      <c r="H7035" s="73"/>
      <c r="I7035" s="74"/>
      <c r="J7035" s="74"/>
      <c r="K7035" s="19"/>
      <c r="L7035" s="20"/>
    </row>
    <row r="7036" spans="1:12" outlineLevel="2">
      <c r="A7036" s="70"/>
      <c r="B7036" s="12" t="str">
        <f>IFERROR(VLOOKUP(D7036,'[1]Перечень товаров'!$A$2:$I9525,2,0),"")</f>
        <v>тм74</v>
      </c>
      <c r="C7036" s="12" t="str">
        <f>IFERROR(VLOOKUP(D7036,'[1]Перечень товаров'!$A$2:$I9525,3,0),"")</f>
        <v>Техника муз</v>
      </c>
      <c r="D7036" s="71" t="s">
        <v>421</v>
      </c>
      <c r="E7036" s="72"/>
      <c r="F7036" s="72"/>
      <c r="G7036" s="73">
        <v>2</v>
      </c>
      <c r="H7036" s="73"/>
      <c r="I7036" s="74"/>
      <c r="J7036" s="74"/>
      <c r="K7036" s="19"/>
      <c r="L7036" s="20"/>
    </row>
    <row r="7037" spans="1:12" outlineLevel="2">
      <c r="A7037" s="70"/>
      <c r="B7037" s="12" t="str">
        <f>IFERROR(VLOOKUP(D7037,'[1]Перечень товаров'!$A$2:$I9525,2,0),"")</f>
        <v>тм76</v>
      </c>
      <c r="C7037" s="12" t="str">
        <f>IFERROR(VLOOKUP(D7037,'[1]Перечень товаров'!$A$2:$I9525,3,0),"")</f>
        <v>Техника муз</v>
      </c>
      <c r="D7037" s="71" t="s">
        <v>423</v>
      </c>
      <c r="E7037" s="72"/>
      <c r="F7037" s="72"/>
      <c r="G7037" s="73">
        <v>2</v>
      </c>
      <c r="H7037" s="73"/>
      <c r="I7037" s="74"/>
      <c r="J7037" s="74"/>
      <c r="K7037" s="19"/>
      <c r="L7037" s="20"/>
    </row>
    <row r="7038" spans="1:12" ht="31.5" outlineLevel="2">
      <c r="A7038" s="70"/>
      <c r="B7038" s="12" t="str">
        <f>IFERROR(VLOOKUP(D7038,'[1]Перечень товаров'!$A$2:$I9525,2,0),"")</f>
        <v>тм153</v>
      </c>
      <c r="C7038" s="12" t="str">
        <f>IFERROR(VLOOKUP(D7038,'[1]Перечень товаров'!$A$2:$I9525,3,0),"")</f>
        <v>Техника муз</v>
      </c>
      <c r="D7038" s="71" t="s">
        <v>1375</v>
      </c>
      <c r="E7038" s="72"/>
      <c r="F7038" s="72"/>
      <c r="G7038" s="73">
        <v>2</v>
      </c>
      <c r="H7038" s="73"/>
      <c r="I7038" s="74"/>
      <c r="J7038" s="74"/>
      <c r="K7038" s="19"/>
      <c r="L7038" s="20"/>
    </row>
    <row r="7039" spans="1:12" outlineLevel="2">
      <c r="A7039" s="113"/>
      <c r="B7039" s="12" t="str">
        <f>IFERROR(VLOOKUP(D7039,'[1]Перечень товаров'!$A$2:$I9525,2,0),"")</f>
        <v/>
      </c>
      <c r="C7039" s="12" t="str">
        <f>IFERROR(VLOOKUP(D7039,'[1]Перечень товаров'!$A$2:$I9525,3,0),"")</f>
        <v/>
      </c>
      <c r="D7039" s="114" t="s">
        <v>19</v>
      </c>
      <c r="E7039" s="115"/>
      <c r="F7039" s="115"/>
      <c r="G7039" s="59"/>
      <c r="H7039" s="59"/>
      <c r="I7039" s="60"/>
      <c r="J7039" s="60"/>
      <c r="K7039" s="19"/>
      <c r="L7039" s="20"/>
    </row>
    <row r="7040" spans="1:12" outlineLevel="2">
      <c r="A7040" s="34"/>
      <c r="B7040" s="12" t="str">
        <f>IFERROR(VLOOKUP(D7040,'[1]Перечень товаров'!$A$2:$I9525,2,0),"")</f>
        <v>м62</v>
      </c>
      <c r="C7040" s="12" t="str">
        <f>IFERROR(VLOOKUP(D7040,'[1]Перечень товаров'!$A$2:$I9525,3,0),"")</f>
        <v>Мебель</v>
      </c>
      <c r="D7040" s="35" t="s">
        <v>398</v>
      </c>
      <c r="E7040" s="88"/>
      <c r="F7040" s="88"/>
      <c r="G7040" s="59">
        <v>1</v>
      </c>
      <c r="H7040" s="59"/>
      <c r="I7040" s="60"/>
      <c r="J7040" s="60"/>
      <c r="K7040" s="19"/>
      <c r="L7040" s="20"/>
    </row>
    <row r="7041" spans="1:12" outlineLevel="2">
      <c r="A7041" s="34"/>
      <c r="B7041" s="12" t="str">
        <f>IFERROR(VLOOKUP(D7041,'[1]Перечень товаров'!$A$2:$I9525,2,0),"")</f>
        <v>м61</v>
      </c>
      <c r="C7041" s="12" t="str">
        <f>IFERROR(VLOOKUP(D7041,'[1]Перечень товаров'!$A$2:$I9525,3,0),"")</f>
        <v>Мебель</v>
      </c>
      <c r="D7041" s="35" t="s">
        <v>383</v>
      </c>
      <c r="E7041" s="88"/>
      <c r="F7041" s="88"/>
      <c r="G7041" s="59">
        <v>1</v>
      </c>
      <c r="H7041" s="59"/>
      <c r="I7041" s="60"/>
      <c r="J7041" s="60"/>
      <c r="K7041" s="19"/>
      <c r="L7041" s="20"/>
    </row>
    <row r="7042" spans="1:12" outlineLevel="2">
      <c r="A7042" s="34"/>
      <c r="B7042" s="12" t="str">
        <f>IFERROR(VLOOKUP(D7042,'[1]Перечень товаров'!$A$2:$I9525,2,0),"")</f>
        <v>м61</v>
      </c>
      <c r="C7042" s="12" t="str">
        <f>IFERROR(VLOOKUP(D7042,'[1]Перечень товаров'!$A$2:$I9525,3,0),"")</f>
        <v>Мебель</v>
      </c>
      <c r="D7042" s="35" t="s">
        <v>384</v>
      </c>
      <c r="E7042" s="88"/>
      <c r="F7042" s="88"/>
      <c r="G7042" s="59">
        <v>20</v>
      </c>
      <c r="H7042" s="59"/>
      <c r="I7042" s="60"/>
      <c r="J7042" s="60"/>
      <c r="K7042" s="19"/>
      <c r="L7042" s="20"/>
    </row>
    <row r="7043" spans="1:12" outlineLevel="2">
      <c r="A7043" s="34"/>
      <c r="B7043" s="12" t="str">
        <f>IFERROR(VLOOKUP(D7043,'[1]Перечень товаров'!$A$2:$I9525,2,0),"")</f>
        <v>м179</v>
      </c>
      <c r="C7043" s="12" t="str">
        <f>IFERROR(VLOOKUP(D7043,'[1]Перечень товаров'!$A$2:$I9525,3,0),"")</f>
        <v>Мебель</v>
      </c>
      <c r="D7043" s="35" t="s">
        <v>579</v>
      </c>
      <c r="E7043" s="88"/>
      <c r="F7043" s="88"/>
      <c r="G7043" s="59">
        <v>10</v>
      </c>
      <c r="H7043" s="59"/>
      <c r="I7043" s="60"/>
      <c r="J7043" s="60"/>
      <c r="K7043" s="19"/>
      <c r="L7043" s="20"/>
    </row>
    <row r="7044" spans="1:12" outlineLevel="2">
      <c r="A7044" s="21"/>
      <c r="B7044" s="12" t="str">
        <f>IFERROR(VLOOKUP(D7044,'[1]Перечень товаров'!$A$2:$I9525,2,0),"")</f>
        <v>м13</v>
      </c>
      <c r="C7044" s="12" t="str">
        <f>IFERROR(VLOOKUP(D7044,'[1]Перечень товаров'!$A$2:$I9525,3,0),"")</f>
        <v>Мебель</v>
      </c>
      <c r="D7044" s="22" t="s">
        <v>42</v>
      </c>
      <c r="E7044" s="58"/>
      <c r="F7044" s="58"/>
      <c r="G7044" s="24">
        <v>1</v>
      </c>
      <c r="H7044" s="24"/>
      <c r="I7044" s="25"/>
      <c r="J7044" s="25"/>
      <c r="K7044" s="19"/>
      <c r="L7044" s="20"/>
    </row>
    <row r="7045" spans="1:12" outlineLevel="2">
      <c r="A7045" s="21"/>
      <c r="B7045" s="12" t="str">
        <f>IFERROR(VLOOKUP(D7045,'[1]Перечень товаров'!$A$2:$I9525,2,0),"")</f>
        <v>м14</v>
      </c>
      <c r="C7045" s="12" t="str">
        <f>IFERROR(VLOOKUP(D7045,'[1]Перечень товаров'!$A$2:$I9525,3,0),"")</f>
        <v>Мебель</v>
      </c>
      <c r="D7045" s="22" t="s">
        <v>43</v>
      </c>
      <c r="E7045" s="58"/>
      <c r="F7045" s="58"/>
      <c r="G7045" s="24">
        <v>1</v>
      </c>
      <c r="H7045" s="24"/>
      <c r="I7045" s="25"/>
      <c r="J7045" s="25"/>
      <c r="K7045" s="19"/>
      <c r="L7045" s="20"/>
    </row>
    <row r="7046" spans="1:12" outlineLevel="2">
      <c r="A7046" s="21"/>
      <c r="B7046" s="12" t="str">
        <f>IFERROR(VLOOKUP(D7046,'[1]Перечень товаров'!$A$2:$I9525,2,0),"")</f>
        <v>п2</v>
      </c>
      <c r="C7046" s="12" t="str">
        <f>IFERROR(VLOOKUP(D7046,'[1]Перечень товаров'!$A$2:$I9525,3,0),"")</f>
        <v>Прочее</v>
      </c>
      <c r="D7046" s="22" t="s">
        <v>46</v>
      </c>
      <c r="E7046" s="58"/>
      <c r="F7046" s="58"/>
      <c r="G7046" s="24">
        <v>1</v>
      </c>
      <c r="H7046" s="24"/>
      <c r="I7046" s="25"/>
      <c r="J7046" s="25"/>
      <c r="K7046" s="19"/>
      <c r="L7046" s="20"/>
    </row>
    <row r="7047" spans="1:12" ht="31.5" outlineLevel="2">
      <c r="A7047" s="155"/>
      <c r="B7047" s="12" t="str">
        <f>IFERROR(VLOOKUP(D7047,'[1]Перечень товаров'!$A$2:$I9525,2,0),"")</f>
        <v>м21</v>
      </c>
      <c r="C7047" s="12" t="str">
        <f>IFERROR(VLOOKUP(D7047,'[1]Перечень товаров'!$A$2:$I9525,3,0),"")</f>
        <v>Мебель</v>
      </c>
      <c r="D7047" s="156" t="s">
        <v>58</v>
      </c>
      <c r="E7047" s="58"/>
      <c r="F7047" s="58"/>
      <c r="G7047" s="24">
        <v>1</v>
      </c>
      <c r="H7047" s="24"/>
      <c r="I7047" s="25"/>
      <c r="J7047" s="25"/>
      <c r="K7047" s="19"/>
      <c r="L7047" s="20"/>
    </row>
    <row r="7048" spans="1:12" ht="12.75" outlineLevel="1">
      <c r="A7048" s="11"/>
      <c r="B7048" s="12" t="str">
        <f>IFERROR(VLOOKUP(D7048,'[1]Перечень товаров'!$A$2:$I9525,2,0),"")</f>
        <v/>
      </c>
      <c r="C7048" s="12" t="str">
        <f>IFERROR(VLOOKUP(D7048,'[1]Перечень товаров'!$A$2:$I9525,3,0),"")</f>
        <v/>
      </c>
      <c r="D7048" s="27" t="s">
        <v>1798</v>
      </c>
      <c r="E7048" s="14" t="s">
        <v>532</v>
      </c>
      <c r="F7048" s="14"/>
      <c r="G7048" s="17"/>
      <c r="H7048" s="17"/>
      <c r="I7048" s="57"/>
      <c r="J7048" s="57"/>
      <c r="K7048" s="19"/>
      <c r="L7048" s="20"/>
    </row>
    <row r="7049" spans="1:12" outlineLevel="2">
      <c r="A7049" s="113"/>
      <c r="B7049" s="12" t="str">
        <f>IFERROR(VLOOKUP(D7049,'[1]Перечень товаров'!$A$2:$I9525,2,0),"")</f>
        <v/>
      </c>
      <c r="C7049" s="12" t="str">
        <f>IFERROR(VLOOKUP(D7049,'[1]Перечень товаров'!$A$2:$I9525,3,0),"")</f>
        <v/>
      </c>
      <c r="D7049" s="114" t="s">
        <v>19</v>
      </c>
      <c r="E7049" s="146"/>
      <c r="F7049" s="146"/>
      <c r="G7049" s="267"/>
      <c r="H7049" s="267"/>
      <c r="I7049" s="268"/>
      <c r="J7049" s="268"/>
      <c r="K7049" s="19"/>
      <c r="L7049" s="20"/>
    </row>
    <row r="7050" spans="1:12" ht="31.5" outlineLevel="2">
      <c r="A7050" s="70"/>
      <c r="B7050" s="12" t="str">
        <f>IFERROR(VLOOKUP(D7050,'[1]Перечень товаров'!$A$2:$I9525,2,0),"")</f>
        <v>мм3</v>
      </c>
      <c r="C7050" s="12" t="str">
        <f>IFERROR(VLOOKUP(D7050,'[1]Перечень товаров'!$A$2:$I9525,3,0),"")</f>
        <v>Мебель муз</v>
      </c>
      <c r="D7050" s="71" t="s">
        <v>219</v>
      </c>
      <c r="E7050" s="228"/>
      <c r="F7050" s="228"/>
      <c r="G7050" s="73">
        <v>1</v>
      </c>
      <c r="H7050" s="73"/>
      <c r="I7050" s="74"/>
      <c r="J7050" s="74"/>
      <c r="K7050" s="19"/>
      <c r="L7050" s="20"/>
    </row>
    <row r="7051" spans="1:12" ht="31.5" outlineLevel="2">
      <c r="A7051" s="70"/>
      <c r="B7051" s="12" t="str">
        <f>IFERROR(VLOOKUP(D7051,'[1]Перечень товаров'!$A$2:$I9525,2,0),"")</f>
        <v>м102</v>
      </c>
      <c r="C7051" s="12" t="str">
        <f>IFERROR(VLOOKUP(D7051,'[1]Перечень товаров'!$A$2:$I9525,3,0),"")</f>
        <v>мебель</v>
      </c>
      <c r="D7051" s="71" t="s">
        <v>1799</v>
      </c>
      <c r="E7051" s="228"/>
      <c r="F7051" s="228"/>
      <c r="G7051" s="73">
        <v>88</v>
      </c>
      <c r="H7051" s="73"/>
      <c r="I7051" s="74"/>
      <c r="J7051" s="74"/>
      <c r="K7051" s="19"/>
      <c r="L7051" s="20"/>
    </row>
    <row r="7052" spans="1:12" ht="31.5" outlineLevel="2">
      <c r="A7052" s="70"/>
      <c r="B7052" s="12">
        <f>IFERROR(VLOOKUP(D7052,'[1]Перечень товаров'!$A$2:$I9525,2,0),"")</f>
        <v>0</v>
      </c>
      <c r="C7052" s="12">
        <f>IFERROR(VLOOKUP(D7052,'[1]Перечень товаров'!$A$2:$I9525,3,0),"")</f>
        <v>0</v>
      </c>
      <c r="D7052" s="71" t="s">
        <v>1800</v>
      </c>
      <c r="E7052" s="228"/>
      <c r="F7052" s="228"/>
      <c r="G7052" s="73">
        <v>1</v>
      </c>
      <c r="H7052" s="73"/>
      <c r="I7052" s="74"/>
      <c r="J7052" s="74"/>
      <c r="K7052" s="19"/>
      <c r="L7052" s="20"/>
    </row>
    <row r="7053" spans="1:12" outlineLevel="2">
      <c r="A7053" s="70"/>
      <c r="B7053" s="12" t="str">
        <f>IFERROR(VLOOKUP(D7053,'[1]Перечень товаров'!$A$2:$I9525,2,0),"")</f>
        <v>м101</v>
      </c>
      <c r="C7053" s="12" t="str">
        <f>IFERROR(VLOOKUP(D7053,'[1]Перечень товаров'!$A$2:$I9525,3,0),"")</f>
        <v>мебель</v>
      </c>
      <c r="D7053" s="71" t="s">
        <v>1801</v>
      </c>
      <c r="E7053" s="228"/>
      <c r="F7053" s="228"/>
      <c r="G7053" s="73">
        <v>1</v>
      </c>
      <c r="H7053" s="73"/>
      <c r="I7053" s="74"/>
      <c r="J7053" s="74"/>
      <c r="K7053" s="19"/>
      <c r="L7053" s="20"/>
    </row>
    <row r="7054" spans="1:12" ht="15" outlineLevel="2">
      <c r="A7054" s="116"/>
      <c r="B7054" s="12" t="str">
        <f>IFERROR(VLOOKUP(D7054,'[1]Перечень товаров'!$A$2:$I9525,2,0),"")</f>
        <v/>
      </c>
      <c r="C7054" s="12" t="str">
        <f>IFERROR(VLOOKUP(D7054,'[1]Перечень товаров'!$A$2:$I9525,3,0),"")</f>
        <v/>
      </c>
      <c r="D7054" s="117" t="s">
        <v>391</v>
      </c>
      <c r="E7054" s="269"/>
      <c r="F7054" s="269"/>
      <c r="G7054" s="270"/>
      <c r="H7054" s="270"/>
      <c r="I7054" s="271"/>
      <c r="J7054" s="271"/>
      <c r="K7054" s="19"/>
      <c r="L7054" s="20"/>
    </row>
    <row r="7055" spans="1:12" outlineLevel="2">
      <c r="A7055" s="70"/>
      <c r="B7055" s="12" t="str">
        <f>IFERROR(VLOOKUP(D7055,'[1]Перечень товаров'!$A$2:$I9525,2,0),"")</f>
        <v>тм73</v>
      </c>
      <c r="C7055" s="12" t="str">
        <f>IFERROR(VLOOKUP(D7055,'[1]Перечень товаров'!$A$2:$I9525,3,0),"")</f>
        <v>Техника муз</v>
      </c>
      <c r="D7055" s="71" t="s">
        <v>420</v>
      </c>
      <c r="E7055" s="150"/>
      <c r="F7055" s="150"/>
      <c r="G7055" s="73">
        <v>1</v>
      </c>
      <c r="H7055" s="73"/>
      <c r="I7055" s="74"/>
      <c r="J7055" s="74"/>
      <c r="K7055" s="19"/>
      <c r="L7055" s="20"/>
    </row>
    <row r="7056" spans="1:12" outlineLevel="2">
      <c r="A7056" s="70"/>
      <c r="B7056" s="12" t="str">
        <f>IFERROR(VLOOKUP(D7056,'[1]Перечень товаров'!$A$2:$I9525,2,0),"")</f>
        <v>мм1</v>
      </c>
      <c r="C7056" s="12" t="str">
        <f>IFERROR(VLOOKUP(D7056,'[1]Перечень товаров'!$A$2:$I9525,3,0),"")</f>
        <v>Мебель муз</v>
      </c>
      <c r="D7056" s="71" t="s">
        <v>1134</v>
      </c>
      <c r="E7056" s="150"/>
      <c r="F7056" s="150"/>
      <c r="G7056" s="73">
        <v>1</v>
      </c>
      <c r="H7056" s="73"/>
      <c r="I7056" s="74"/>
      <c r="J7056" s="74"/>
      <c r="K7056" s="19"/>
      <c r="L7056" s="20"/>
    </row>
    <row r="7057" spans="1:12" ht="31.5" outlineLevel="2">
      <c r="A7057" s="70"/>
      <c r="B7057" s="12" t="str">
        <f>IFERROR(VLOOKUP(D7057,'[1]Перечень товаров'!$A$2:$I9525,2,0),"")</f>
        <v>мм4</v>
      </c>
      <c r="C7057" s="12" t="str">
        <f>IFERROR(VLOOKUP(D7057,'[1]Перечень товаров'!$A$2:$I9525,3,0),"")</f>
        <v>Мебель муз</v>
      </c>
      <c r="D7057" s="71" t="s">
        <v>220</v>
      </c>
      <c r="E7057" s="150"/>
      <c r="F7057" s="150"/>
      <c r="G7057" s="73">
        <v>15</v>
      </c>
      <c r="H7057" s="73"/>
      <c r="I7057" s="74"/>
      <c r="J7057" s="74"/>
      <c r="K7057" s="19"/>
      <c r="L7057" s="20"/>
    </row>
    <row r="7058" spans="1:12" ht="31.5" outlineLevel="2">
      <c r="A7058" s="70"/>
      <c r="B7058" s="12" t="str">
        <f>IFERROR(VLOOKUP(D7058,'[1]Перечень товаров'!$A$2:$I9525,2,0),"")</f>
        <v>тм100</v>
      </c>
      <c r="C7058" s="12" t="str">
        <f>IFERROR(VLOOKUP(D7058,'[1]Перечень товаров'!$A$2:$I9525,3,0),"")</f>
        <v>Техника муз</v>
      </c>
      <c r="D7058" s="71" t="s">
        <v>1802</v>
      </c>
      <c r="E7058" s="150"/>
      <c r="F7058" s="150"/>
      <c r="G7058" s="73">
        <v>2</v>
      </c>
      <c r="H7058" s="73"/>
      <c r="I7058" s="74"/>
      <c r="J7058" s="74"/>
      <c r="K7058" s="19"/>
      <c r="L7058" s="20"/>
    </row>
    <row r="7059" spans="1:12" ht="31.5" outlineLevel="2">
      <c r="A7059" s="70"/>
      <c r="B7059" s="12" t="str">
        <f>IFERROR(VLOOKUP(D7059,'[1]Перечень товаров'!$A$2:$I9525,2,0),"")</f>
        <v>м100</v>
      </c>
      <c r="C7059" s="12" t="str">
        <f>IFERROR(VLOOKUP(D7059,'[1]Перечень товаров'!$A$2:$I9525,3,0),"")</f>
        <v>мебель</v>
      </c>
      <c r="D7059" s="71" t="s">
        <v>1803</v>
      </c>
      <c r="E7059" s="150"/>
      <c r="F7059" s="150"/>
      <c r="G7059" s="73">
        <v>15</v>
      </c>
      <c r="H7059" s="73"/>
      <c r="I7059" s="74"/>
      <c r="J7059" s="74"/>
      <c r="K7059" s="19"/>
      <c r="L7059" s="20"/>
    </row>
    <row r="7060" spans="1:12" ht="47.25" outlineLevel="2">
      <c r="A7060" s="70"/>
      <c r="B7060" s="12" t="str">
        <f>IFERROR(VLOOKUP(D7060,'[1]Перечень товаров'!$A$2:$I9525,2,0),"")</f>
        <v>м156</v>
      </c>
      <c r="C7060" s="12" t="str">
        <f>IFERROR(VLOOKUP(D7060,'[1]Перечень товаров'!$A$2:$I9525,3,0),"")</f>
        <v>мебель</v>
      </c>
      <c r="D7060" s="71" t="s">
        <v>1122</v>
      </c>
      <c r="E7060" s="150"/>
      <c r="F7060" s="150"/>
      <c r="G7060" s="73">
        <v>2</v>
      </c>
      <c r="H7060" s="73"/>
      <c r="I7060" s="74"/>
      <c r="J7060" s="74"/>
      <c r="K7060" s="19"/>
      <c r="L7060" s="20"/>
    </row>
    <row r="7061" spans="1:12" outlineLevel="2">
      <c r="A7061" s="70"/>
      <c r="B7061" s="12" t="str">
        <f>IFERROR(VLOOKUP(D7061,'[1]Перечень товаров'!$A$2:$I9525,2,0),"")</f>
        <v>м99</v>
      </c>
      <c r="C7061" s="12" t="str">
        <f>IFERROR(VLOOKUP(D7061,'[1]Перечень товаров'!$A$2:$I9525,3,0),"")</f>
        <v>мебель</v>
      </c>
      <c r="D7061" s="71" t="s">
        <v>1804</v>
      </c>
      <c r="E7061" s="150"/>
      <c r="F7061" s="150"/>
      <c r="G7061" s="73">
        <v>2</v>
      </c>
      <c r="H7061" s="73"/>
      <c r="I7061" s="74"/>
      <c r="J7061" s="74"/>
      <c r="K7061" s="19"/>
      <c r="L7061" s="20"/>
    </row>
    <row r="7062" spans="1:12" outlineLevel="2">
      <c r="A7062" s="70"/>
      <c r="B7062" s="12" t="str">
        <f>IFERROR(VLOOKUP(D7062,'[1]Перечень товаров'!$A$2:$I9525,2,0),"")</f>
        <v>д237</v>
      </c>
      <c r="C7062" s="12" t="str">
        <f>IFERROR(VLOOKUP(D7062,'[1]Перечень товаров'!$A$2:$I9525,3,0),"")</f>
        <v>Дидактика</v>
      </c>
      <c r="D7062" s="71" t="s">
        <v>1805</v>
      </c>
      <c r="E7062" s="150"/>
      <c r="F7062" s="150"/>
      <c r="G7062" s="73">
        <v>1</v>
      </c>
      <c r="H7062" s="73"/>
      <c r="I7062" s="74"/>
      <c r="J7062" s="74"/>
      <c r="K7062" s="19"/>
      <c r="L7062" s="20"/>
    </row>
    <row r="7063" spans="1:12" ht="31.5" outlineLevel="2">
      <c r="A7063" s="70"/>
      <c r="B7063" s="12" t="str">
        <f>IFERROR(VLOOKUP(D7063,'[1]Перечень товаров'!$A$2:$I9525,2,0),"")</f>
        <v>м158</v>
      </c>
      <c r="C7063" s="12" t="str">
        <f>IFERROR(VLOOKUP(D7063,'[1]Перечень товаров'!$A$2:$I9525,3,0),"")</f>
        <v>мебель</v>
      </c>
      <c r="D7063" s="71" t="s">
        <v>1119</v>
      </c>
      <c r="E7063" s="150"/>
      <c r="F7063" s="150"/>
      <c r="G7063" s="73">
        <v>1</v>
      </c>
      <c r="H7063" s="73"/>
      <c r="I7063" s="74"/>
      <c r="J7063" s="74"/>
      <c r="K7063" s="19"/>
      <c r="L7063" s="20"/>
    </row>
    <row r="7064" spans="1:12" ht="31.5" outlineLevel="2">
      <c r="A7064" s="70"/>
      <c r="B7064" s="12" t="str">
        <f>IFERROR(VLOOKUP(D7064,'[1]Перечень товаров'!$A$2:$I9525,2,0),"")</f>
        <v>тм99</v>
      </c>
      <c r="C7064" s="12" t="str">
        <f>IFERROR(VLOOKUP(D7064,'[1]Перечень товаров'!$A$2:$I9525,3,0),"")</f>
        <v>Техника муз</v>
      </c>
      <c r="D7064" s="71" t="s">
        <v>1806</v>
      </c>
      <c r="E7064" s="150"/>
      <c r="F7064" s="150"/>
      <c r="G7064" s="73">
        <v>2</v>
      </c>
      <c r="H7064" s="73"/>
      <c r="I7064" s="74"/>
      <c r="J7064" s="74"/>
      <c r="K7064" s="19"/>
      <c r="L7064" s="20"/>
    </row>
    <row r="7065" spans="1:12" outlineLevel="2">
      <c r="A7065" s="70"/>
      <c r="B7065" s="12" t="str">
        <f>IFERROR(VLOOKUP(D7065,'[1]Перечень товаров'!$A$2:$I9525,2,0),"")</f>
        <v>тм23</v>
      </c>
      <c r="C7065" s="12" t="str">
        <f>IFERROR(VLOOKUP(D7065,'[1]Перечень товаров'!$A$2:$I9525,3,0),"")</f>
        <v>Техника муз</v>
      </c>
      <c r="D7065" s="71" t="s">
        <v>252</v>
      </c>
      <c r="E7065" s="150"/>
      <c r="F7065" s="150"/>
      <c r="G7065" s="73">
        <v>1</v>
      </c>
      <c r="H7065" s="73"/>
      <c r="I7065" s="74"/>
      <c r="J7065" s="74"/>
      <c r="K7065" s="19"/>
      <c r="L7065" s="20"/>
    </row>
    <row r="7066" spans="1:12" ht="31.5" outlineLevel="2">
      <c r="A7066" s="70"/>
      <c r="B7066" s="12" t="str">
        <f>IFERROR(VLOOKUP(D7066,'[1]Перечень товаров'!$A$2:$I9525,2,0),"")</f>
        <v>тм98</v>
      </c>
      <c r="C7066" s="12" t="str">
        <f>IFERROR(VLOOKUP(D7066,'[1]Перечень товаров'!$A$2:$I9525,3,0),"")</f>
        <v>Техника муз</v>
      </c>
      <c r="D7066" s="71" t="s">
        <v>1807</v>
      </c>
      <c r="E7066" s="150"/>
      <c r="F7066" s="150"/>
      <c r="G7066" s="73">
        <v>2</v>
      </c>
      <c r="H7066" s="73"/>
      <c r="I7066" s="74"/>
      <c r="J7066" s="74"/>
      <c r="K7066" s="19"/>
      <c r="L7066" s="20"/>
    </row>
    <row r="7067" spans="1:12" outlineLevel="2">
      <c r="A7067" s="70"/>
      <c r="B7067" s="12" t="str">
        <f>IFERROR(VLOOKUP(D7067,'[1]Перечень товаров'!$A$2:$I9525,2,0),"")</f>
        <v>тм97</v>
      </c>
      <c r="C7067" s="12" t="str">
        <f>IFERROR(VLOOKUP(D7067,'[1]Перечень товаров'!$A$2:$I9525,3,0),"")</f>
        <v>Техника муз</v>
      </c>
      <c r="D7067" s="71" t="s">
        <v>1808</v>
      </c>
      <c r="E7067" s="150"/>
      <c r="F7067" s="150"/>
      <c r="G7067" s="73">
        <v>1</v>
      </c>
      <c r="H7067" s="73"/>
      <c r="I7067" s="74"/>
      <c r="J7067" s="74"/>
      <c r="K7067" s="19"/>
      <c r="L7067" s="20"/>
    </row>
    <row r="7068" spans="1:12" ht="31.5" outlineLevel="2">
      <c r="A7068" s="70"/>
      <c r="B7068" s="12" t="str">
        <f>IFERROR(VLOOKUP(D7068,'[1]Перечень товаров'!$A$2:$I9525,2,0),"")</f>
        <v>тм96</v>
      </c>
      <c r="C7068" s="12" t="str">
        <f>IFERROR(VLOOKUP(D7068,'[1]Перечень товаров'!$A$2:$I9525,3,0),"")</f>
        <v>Техника муз</v>
      </c>
      <c r="D7068" s="71" t="s">
        <v>1809</v>
      </c>
      <c r="E7068" s="150"/>
      <c r="F7068" s="150"/>
      <c r="G7068" s="73">
        <v>1</v>
      </c>
      <c r="H7068" s="73"/>
      <c r="I7068" s="74"/>
      <c r="J7068" s="74"/>
      <c r="K7068" s="19"/>
      <c r="L7068" s="20"/>
    </row>
    <row r="7069" spans="1:12" ht="31.5" outlineLevel="2">
      <c r="A7069" s="70"/>
      <c r="B7069" s="12" t="str">
        <f>IFERROR(VLOOKUP(D7069,'[1]Перечень товаров'!$A$2:$I9525,2,0),"")</f>
        <v>тм95</v>
      </c>
      <c r="C7069" s="12" t="str">
        <f>IFERROR(VLOOKUP(D7069,'[1]Перечень товаров'!$A$2:$I9525,3,0),"")</f>
        <v>Техника муз</v>
      </c>
      <c r="D7069" s="71" t="s">
        <v>1810</v>
      </c>
      <c r="E7069" s="150"/>
      <c r="F7069" s="150"/>
      <c r="G7069" s="73">
        <v>2</v>
      </c>
      <c r="H7069" s="73"/>
      <c r="I7069" s="74"/>
      <c r="J7069" s="74"/>
      <c r="K7069" s="19"/>
      <c r="L7069" s="20"/>
    </row>
    <row r="7070" spans="1:12" ht="31.5" outlineLevel="2">
      <c r="A7070" s="70"/>
      <c r="B7070" s="12" t="str">
        <f>IFERROR(VLOOKUP(D7070,'[1]Перечень товаров'!$A$2:$I9525,2,0),"")</f>
        <v>тм94</v>
      </c>
      <c r="C7070" s="12" t="str">
        <f>IFERROR(VLOOKUP(D7070,'[1]Перечень товаров'!$A$2:$I9525,3,0),"")</f>
        <v>Техника муз</v>
      </c>
      <c r="D7070" s="71" t="s">
        <v>1811</v>
      </c>
      <c r="E7070" s="150"/>
      <c r="F7070" s="150"/>
      <c r="G7070" s="73">
        <v>1</v>
      </c>
      <c r="H7070" s="73"/>
      <c r="I7070" s="74"/>
      <c r="J7070" s="74"/>
      <c r="K7070" s="19"/>
      <c r="L7070" s="20"/>
    </row>
    <row r="7071" spans="1:12" outlineLevel="2">
      <c r="A7071" s="70"/>
      <c r="B7071" s="12" t="str">
        <f>IFERROR(VLOOKUP(D7071,'[1]Перечень товаров'!$A$2:$I9525,2,0),"")</f>
        <v>т133</v>
      </c>
      <c r="C7071" s="12" t="str">
        <f>IFERROR(VLOOKUP(D7071,'[1]Перечень товаров'!$A$2:$I9525,3,0),"")</f>
        <v>Техника</v>
      </c>
      <c r="D7071" s="71" t="s">
        <v>1126</v>
      </c>
      <c r="E7071" s="150"/>
      <c r="F7071" s="150"/>
      <c r="G7071" s="73">
        <v>2</v>
      </c>
      <c r="H7071" s="73"/>
      <c r="I7071" s="74"/>
      <c r="J7071" s="74"/>
      <c r="K7071" s="19"/>
      <c r="L7071" s="20"/>
    </row>
    <row r="7072" spans="1:12" ht="31.5" outlineLevel="2">
      <c r="A7072" s="70"/>
      <c r="B7072" s="12" t="str">
        <f>IFERROR(VLOOKUP(D7072,'[1]Перечень товаров'!$A$2:$I9525,2,0),"")</f>
        <v>тм93</v>
      </c>
      <c r="C7072" s="12" t="str">
        <f>IFERROR(VLOOKUP(D7072,'[1]Перечень товаров'!$A$2:$I9525,3,0),"")</f>
        <v>Техника муз</v>
      </c>
      <c r="D7072" s="71" t="s">
        <v>1812</v>
      </c>
      <c r="E7072" s="150"/>
      <c r="F7072" s="150"/>
      <c r="G7072" s="73">
        <v>6</v>
      </c>
      <c r="H7072" s="73"/>
      <c r="I7072" s="74"/>
      <c r="J7072" s="74"/>
      <c r="K7072" s="19"/>
      <c r="L7072" s="20"/>
    </row>
    <row r="7073" spans="1:12" outlineLevel="2">
      <c r="A7073" s="70"/>
      <c r="B7073" s="12" t="str">
        <f>IFERROR(VLOOKUP(D7073,'[1]Перечень товаров'!$A$2:$I9525,2,0),"")</f>
        <v>пм171</v>
      </c>
      <c r="C7073" s="12" t="str">
        <f>IFERROR(VLOOKUP(D7073,'[1]Перечень товаров'!$A$2:$I9525,3,0),"")</f>
        <v>прочее муз</v>
      </c>
      <c r="D7073" s="71" t="s">
        <v>1127</v>
      </c>
      <c r="E7073" s="150"/>
      <c r="F7073" s="150"/>
      <c r="G7073" s="73">
        <v>4</v>
      </c>
      <c r="H7073" s="73"/>
      <c r="I7073" s="74"/>
      <c r="J7073" s="74"/>
      <c r="K7073" s="19"/>
      <c r="L7073" s="20"/>
    </row>
    <row r="7074" spans="1:12" ht="31.5" outlineLevel="2">
      <c r="A7074" s="70"/>
      <c r="B7074" s="12" t="str">
        <f>IFERROR(VLOOKUP(D7074,'[1]Перечень товаров'!$A$2:$I9525,2,0),"")</f>
        <v>тм92</v>
      </c>
      <c r="C7074" s="12" t="str">
        <f>IFERROR(VLOOKUP(D7074,'[1]Перечень товаров'!$A$2:$I9525,3,0),"")</f>
        <v>Техника муз</v>
      </c>
      <c r="D7074" s="71" t="s">
        <v>1813</v>
      </c>
      <c r="E7074" s="150"/>
      <c r="F7074" s="150"/>
      <c r="G7074" s="73">
        <v>2</v>
      </c>
      <c r="H7074" s="73"/>
      <c r="I7074" s="74"/>
      <c r="J7074" s="74"/>
      <c r="K7074" s="19"/>
      <c r="L7074" s="20"/>
    </row>
    <row r="7075" spans="1:12" outlineLevel="2">
      <c r="A7075" s="70"/>
      <c r="B7075" s="12" t="str">
        <f>IFERROR(VLOOKUP(D7075,'[1]Перечень товаров'!$A$2:$I9525,2,0),"")</f>
        <v>тм91</v>
      </c>
      <c r="C7075" s="12" t="str">
        <f>IFERROR(VLOOKUP(D7075,'[1]Перечень товаров'!$A$2:$I9525,3,0),"")</f>
        <v>Техника муз</v>
      </c>
      <c r="D7075" s="71" t="s">
        <v>1814</v>
      </c>
      <c r="E7075" s="150"/>
      <c r="F7075" s="150"/>
      <c r="G7075" s="73">
        <v>8</v>
      </c>
      <c r="H7075" s="73"/>
      <c r="I7075" s="74"/>
      <c r="J7075" s="74"/>
      <c r="K7075" s="19"/>
      <c r="L7075" s="20"/>
    </row>
    <row r="7076" spans="1:12" ht="31.5" outlineLevel="2">
      <c r="A7076" s="70"/>
      <c r="B7076" s="12" t="str">
        <f>IFERROR(VLOOKUP(D7076,'[1]Перечень товаров'!$A$2:$I9525,2,0),"")</f>
        <v>тм90</v>
      </c>
      <c r="C7076" s="12" t="str">
        <f>IFERROR(VLOOKUP(D7076,'[1]Перечень товаров'!$A$2:$I9525,3,0),"")</f>
        <v>Техника муз</v>
      </c>
      <c r="D7076" s="71" t="s">
        <v>1815</v>
      </c>
      <c r="E7076" s="150"/>
      <c r="F7076" s="150"/>
      <c r="G7076" s="73">
        <v>2</v>
      </c>
      <c r="H7076" s="73"/>
      <c r="I7076" s="74"/>
      <c r="J7076" s="74"/>
      <c r="K7076" s="19"/>
      <c r="L7076" s="20"/>
    </row>
    <row r="7077" spans="1:12" ht="31.5" outlineLevel="2">
      <c r="A7077" s="70"/>
      <c r="B7077" s="12" t="str">
        <f>IFERROR(VLOOKUP(D7077,'[1]Перечень товаров'!$A$2:$I9525,2,0),"")</f>
        <v>тм89</v>
      </c>
      <c r="C7077" s="12" t="str">
        <f>IFERROR(VLOOKUP(D7077,'[1]Перечень товаров'!$A$2:$I9525,3,0),"")</f>
        <v>Техника муз</v>
      </c>
      <c r="D7077" s="71" t="s">
        <v>1816</v>
      </c>
      <c r="E7077" s="150"/>
      <c r="F7077" s="150"/>
      <c r="G7077" s="73">
        <v>1</v>
      </c>
      <c r="H7077" s="73"/>
      <c r="I7077" s="74"/>
      <c r="J7077" s="74"/>
      <c r="K7077" s="19"/>
      <c r="L7077" s="20"/>
    </row>
    <row r="7078" spans="1:12" ht="31.5" outlineLevel="2">
      <c r="A7078" s="70"/>
      <c r="B7078" s="12" t="str">
        <f>IFERROR(VLOOKUP(D7078,'[1]Перечень товаров'!$A$2:$I9525,2,0),"")</f>
        <v>д236</v>
      </c>
      <c r="C7078" s="12" t="str">
        <f>IFERROR(VLOOKUP(D7078,'[1]Перечень товаров'!$A$2:$I9525,3,0),"")</f>
        <v>Дидактика</v>
      </c>
      <c r="D7078" s="71" t="s">
        <v>1817</v>
      </c>
      <c r="E7078" s="150"/>
      <c r="F7078" s="150"/>
      <c r="G7078" s="73">
        <v>1</v>
      </c>
      <c r="H7078" s="73"/>
      <c r="I7078" s="74"/>
      <c r="J7078" s="74"/>
      <c r="K7078" s="19"/>
      <c r="L7078" s="20"/>
    </row>
    <row r="7079" spans="1:12" outlineLevel="2">
      <c r="A7079" s="70"/>
      <c r="B7079" s="12" t="str">
        <f>IFERROR(VLOOKUP(D7079,'[1]Перечень товаров'!$A$2:$I9525,2,0),"")</f>
        <v>т188</v>
      </c>
      <c r="C7079" s="12" t="str">
        <f>IFERROR(VLOOKUP(D7079,'[1]Перечень товаров'!$A$2:$I9525,3,0),"")</f>
        <v>Техника</v>
      </c>
      <c r="D7079" s="71" t="s">
        <v>458</v>
      </c>
      <c r="E7079" s="150"/>
      <c r="F7079" s="150"/>
      <c r="G7079" s="73">
        <v>1</v>
      </c>
      <c r="H7079" s="73"/>
      <c r="I7079" s="74"/>
      <c r="J7079" s="74"/>
      <c r="K7079" s="19"/>
      <c r="L7079" s="20"/>
    </row>
    <row r="7080" spans="1:12" outlineLevel="2">
      <c r="A7080" s="70"/>
      <c r="B7080" s="12" t="str">
        <f>IFERROR(VLOOKUP(D7080,'[1]Перечень товаров'!$A$2:$I9525,2,0),"")</f>
        <v>тм76</v>
      </c>
      <c r="C7080" s="12" t="str">
        <f>IFERROR(VLOOKUP(D7080,'[1]Перечень товаров'!$A$2:$I9525,3,0),"")</f>
        <v>Техника муз</v>
      </c>
      <c r="D7080" s="71" t="s">
        <v>423</v>
      </c>
      <c r="E7080" s="150"/>
      <c r="F7080" s="150"/>
      <c r="G7080" s="73">
        <v>1</v>
      </c>
      <c r="H7080" s="73"/>
      <c r="I7080" s="74"/>
      <c r="J7080" s="74"/>
      <c r="K7080" s="19"/>
      <c r="L7080" s="20"/>
    </row>
    <row r="7081" spans="1:12" ht="31.5" outlineLevel="2">
      <c r="A7081" s="70"/>
      <c r="B7081" s="12" t="str">
        <f>IFERROR(VLOOKUP(D7081,'[1]Перечень товаров'!$A$2:$I9525,2,0),"")</f>
        <v>т80</v>
      </c>
      <c r="C7081" s="12" t="str">
        <f>IFERROR(VLOOKUP(D7081,'[1]Перечень товаров'!$A$2:$I9525,3,0),"")</f>
        <v>Техника</v>
      </c>
      <c r="D7081" s="71" t="s">
        <v>1818</v>
      </c>
      <c r="E7081" s="150"/>
      <c r="F7081" s="150"/>
      <c r="G7081" s="73">
        <v>1</v>
      </c>
      <c r="H7081" s="73"/>
      <c r="I7081" s="74"/>
      <c r="J7081" s="74"/>
      <c r="K7081" s="19"/>
      <c r="L7081" s="20"/>
    </row>
    <row r="7082" spans="1:12" ht="31.5" outlineLevel="2">
      <c r="A7082" s="70"/>
      <c r="B7082" s="12" t="str">
        <f>IFERROR(VLOOKUP(D7082,'[1]Перечень товаров'!$A$2:$I9525,2,0),"")</f>
        <v>т209</v>
      </c>
      <c r="C7082" s="12" t="str">
        <f>IFERROR(VLOOKUP(D7082,'[1]Перечень товаров'!$A$2:$I9525,3,0),"")</f>
        <v>Техника</v>
      </c>
      <c r="D7082" s="71" t="s">
        <v>573</v>
      </c>
      <c r="E7082" s="150"/>
      <c r="F7082" s="150"/>
      <c r="G7082" s="272">
        <v>1</v>
      </c>
      <c r="H7082" s="272"/>
      <c r="I7082" s="273"/>
      <c r="J7082" s="273"/>
      <c r="K7082" s="19"/>
      <c r="L7082" s="20"/>
    </row>
    <row r="7083" spans="1:12" outlineLevel="2">
      <c r="A7083" s="70"/>
      <c r="B7083" s="12" t="str">
        <f>IFERROR(VLOOKUP(D7083,'[1]Перечень товаров'!$A$2:$I9525,2,0),"")</f>
        <v>т79</v>
      </c>
      <c r="C7083" s="12" t="str">
        <f>IFERROR(VLOOKUP(D7083,'[1]Перечень товаров'!$A$2:$I9525,3,0),"")</f>
        <v>Техника</v>
      </c>
      <c r="D7083" s="71" t="s">
        <v>1819</v>
      </c>
      <c r="E7083" s="150"/>
      <c r="F7083" s="150"/>
      <c r="G7083" s="73">
        <v>1</v>
      </c>
      <c r="H7083" s="73"/>
      <c r="I7083" s="74"/>
      <c r="J7083" s="74"/>
      <c r="K7083" s="19"/>
      <c r="L7083" s="20"/>
    </row>
    <row r="7084" spans="1:12" ht="31.5" outlineLevel="2">
      <c r="A7084" s="70"/>
      <c r="B7084" s="12" t="str">
        <f>IFERROR(VLOOKUP(D7084,'[1]Перечень товаров'!$A$2:$I9525,2,0),"")</f>
        <v>т78</v>
      </c>
      <c r="C7084" s="12" t="str">
        <f>IFERROR(VLOOKUP(D7084,'[1]Перечень товаров'!$A$2:$I9525,3,0),"")</f>
        <v>Техника</v>
      </c>
      <c r="D7084" s="71" t="s">
        <v>1820</v>
      </c>
      <c r="E7084" s="150"/>
      <c r="F7084" s="150"/>
      <c r="G7084" s="73">
        <v>1</v>
      </c>
      <c r="H7084" s="73"/>
      <c r="I7084" s="74"/>
      <c r="J7084" s="74"/>
      <c r="K7084" s="19"/>
      <c r="L7084" s="20"/>
    </row>
    <row r="7085" spans="1:12" ht="31.5" outlineLevel="2">
      <c r="A7085" s="70"/>
      <c r="B7085" s="12" t="str">
        <f>IFERROR(VLOOKUP(D7085,'[1]Перечень товаров'!$A$2:$I9525,2,0),"")</f>
        <v>т77</v>
      </c>
      <c r="C7085" s="12" t="str">
        <f>IFERROR(VLOOKUP(D7085,'[1]Перечень товаров'!$A$2:$I9525,3,0),"")</f>
        <v>Техника</v>
      </c>
      <c r="D7085" s="71" t="s">
        <v>1821</v>
      </c>
      <c r="E7085" s="150"/>
      <c r="F7085" s="150"/>
      <c r="G7085" s="73">
        <v>1</v>
      </c>
      <c r="H7085" s="73"/>
      <c r="I7085" s="74"/>
      <c r="J7085" s="74"/>
      <c r="K7085" s="19"/>
      <c r="L7085" s="20"/>
    </row>
    <row r="7086" spans="1:12" ht="31.5" outlineLevel="2">
      <c r="A7086" s="70"/>
      <c r="B7086" s="12" t="str">
        <f>IFERROR(VLOOKUP(D7086,'[1]Перечень товаров'!$A$2:$I9525,2,0),"")</f>
        <v>тм88</v>
      </c>
      <c r="C7086" s="12" t="str">
        <f>IFERROR(VLOOKUP(D7086,'[1]Перечень товаров'!$A$2:$I9525,3,0),"")</f>
        <v>Техника муз</v>
      </c>
      <c r="D7086" s="71" t="s">
        <v>1822</v>
      </c>
      <c r="E7086" s="150"/>
      <c r="F7086" s="150"/>
      <c r="G7086" s="73" t="s">
        <v>1823</v>
      </c>
      <c r="H7086" s="73"/>
      <c r="I7086" s="74"/>
      <c r="J7086" s="74"/>
      <c r="K7086" s="19"/>
      <c r="L7086" s="20"/>
    </row>
    <row r="7087" spans="1:12" ht="31.5" outlineLevel="2">
      <c r="A7087" s="70"/>
      <c r="B7087" s="12" t="str">
        <f>IFERROR(VLOOKUP(D7087,'[1]Перечень товаров'!$A$2:$I9525,2,0),"")</f>
        <v>д235</v>
      </c>
      <c r="C7087" s="12" t="str">
        <f>IFERROR(VLOOKUP(D7087,'[1]Перечень товаров'!$A$2:$I9525,3,0),"")</f>
        <v>Дидактика</v>
      </c>
      <c r="D7087" s="71" t="s">
        <v>1824</v>
      </c>
      <c r="E7087" s="150"/>
      <c r="F7087" s="150"/>
      <c r="G7087" s="73">
        <v>15</v>
      </c>
      <c r="H7087" s="73"/>
      <c r="I7087" s="74"/>
      <c r="J7087" s="74"/>
      <c r="K7087" s="19"/>
      <c r="L7087" s="20"/>
    </row>
    <row r="7088" spans="1:12" outlineLevel="2">
      <c r="A7088" s="70"/>
      <c r="B7088" s="12" t="str">
        <f>IFERROR(VLOOKUP(D7088,'[1]Перечень товаров'!$A$2:$I9525,2,0),"")</f>
        <v>д234</v>
      </c>
      <c r="C7088" s="12" t="str">
        <f>IFERROR(VLOOKUP(D7088,'[1]Перечень товаров'!$A$2:$I9525,3,0),"")</f>
        <v>Дидактика</v>
      </c>
      <c r="D7088" s="71" t="s">
        <v>1825</v>
      </c>
      <c r="E7088" s="150"/>
      <c r="F7088" s="150"/>
      <c r="G7088" s="73">
        <v>5</v>
      </c>
      <c r="H7088" s="73"/>
      <c r="I7088" s="74"/>
      <c r="J7088" s="74"/>
      <c r="K7088" s="19"/>
      <c r="L7088" s="20"/>
    </row>
    <row r="7089" spans="1:12" outlineLevel="2">
      <c r="A7089" s="70"/>
      <c r="B7089" s="12" t="str">
        <f>IFERROR(VLOOKUP(D7089,'[1]Перечень товаров'!$A$2:$I9525,2,0),"")</f>
        <v>д232</v>
      </c>
      <c r="C7089" s="12" t="str">
        <f>IFERROR(VLOOKUP(D7089,'[1]Перечень товаров'!$A$2:$I9525,3,0),"")</f>
        <v>Дидактика</v>
      </c>
      <c r="D7089" s="71" t="s">
        <v>1826</v>
      </c>
      <c r="E7089" s="150"/>
      <c r="F7089" s="150"/>
      <c r="G7089" s="73">
        <v>50</v>
      </c>
      <c r="H7089" s="73"/>
      <c r="I7089" s="74"/>
      <c r="J7089" s="74"/>
      <c r="K7089" s="19"/>
      <c r="L7089" s="20"/>
    </row>
    <row r="7090" spans="1:12" outlineLevel="2">
      <c r="A7090" s="70"/>
      <c r="B7090" s="12" t="str">
        <f>IFERROR(VLOOKUP(D7090,'[1]Перечень товаров'!$A$2:$I9525,2,0),"")</f>
        <v>тм54</v>
      </c>
      <c r="C7090" s="12" t="str">
        <f>IFERROR(VLOOKUP(D7090,'[1]Перечень товаров'!$A$2:$I9525,3,0),"")</f>
        <v>Техника муз</v>
      </c>
      <c r="D7090" s="71" t="s">
        <v>310</v>
      </c>
      <c r="E7090" s="150"/>
      <c r="F7090" s="150"/>
      <c r="G7090" s="73">
        <v>5</v>
      </c>
      <c r="H7090" s="73"/>
      <c r="I7090" s="74"/>
      <c r="J7090" s="74"/>
      <c r="K7090" s="19"/>
      <c r="L7090" s="20"/>
    </row>
    <row r="7091" spans="1:12" outlineLevel="2">
      <c r="A7091" s="70"/>
      <c r="B7091" s="12" t="str">
        <f>IFERROR(VLOOKUP(D7091,'[1]Перечень товаров'!$A$2:$I9525,2,0),"")</f>
        <v>п35</v>
      </c>
      <c r="C7091" s="12" t="str">
        <f>IFERROR(VLOOKUP(D7091,'[1]Перечень товаров'!$A$2:$I9525,3,0),"")</f>
        <v>Прочее</v>
      </c>
      <c r="D7091" s="71" t="s">
        <v>469</v>
      </c>
      <c r="E7091" s="150"/>
      <c r="F7091" s="150"/>
      <c r="G7091" s="73">
        <v>10</v>
      </c>
      <c r="H7091" s="73"/>
      <c r="I7091" s="74"/>
      <c r="J7091" s="74"/>
      <c r="K7091" s="19"/>
      <c r="L7091" s="20"/>
    </row>
    <row r="7092" spans="1:12" ht="12.75" outlineLevel="1">
      <c r="A7092" s="11"/>
      <c r="B7092" s="12" t="str">
        <f>IFERROR(VLOOKUP(D7092,'[1]Перечень товаров'!$A$2:$I9525,2,0),"")</f>
        <v/>
      </c>
      <c r="C7092" s="12" t="str">
        <f>IFERROR(VLOOKUP(D7092,'[1]Перечень товаров'!$A$2:$I9525,3,0),"")</f>
        <v/>
      </c>
      <c r="D7092" s="27" t="s">
        <v>182</v>
      </c>
      <c r="E7092" s="14" t="s">
        <v>405</v>
      </c>
      <c r="F7092" s="14"/>
      <c r="G7092" s="17"/>
      <c r="H7092" s="17"/>
      <c r="I7092" s="57"/>
      <c r="J7092" s="57"/>
      <c r="K7092" s="19"/>
      <c r="L7092" s="20"/>
    </row>
    <row r="7093" spans="1:12" ht="31.5" outlineLevel="2">
      <c r="A7093" s="70"/>
      <c r="B7093" s="12" t="str">
        <f>IFERROR(VLOOKUP(D7093,'[1]Перечень товаров'!$A$2:$I9525,2,0),"")</f>
        <v>т62</v>
      </c>
      <c r="C7093" s="12" t="str">
        <f>IFERROR(VLOOKUP(D7093,'[1]Перечень товаров'!$A$2:$I9525,3,0),"")</f>
        <v>Техника</v>
      </c>
      <c r="D7093" s="71" t="s">
        <v>184</v>
      </c>
      <c r="E7093" s="88"/>
      <c r="F7093" s="88"/>
      <c r="G7093" s="73">
        <v>6</v>
      </c>
      <c r="H7093" s="73"/>
      <c r="I7093" s="74"/>
      <c r="J7093" s="74"/>
      <c r="K7093" s="19"/>
      <c r="L7093" s="20"/>
    </row>
    <row r="7094" spans="1:12" ht="31.5" outlineLevel="2">
      <c r="A7094" s="70"/>
      <c r="B7094" s="12" t="str">
        <f>IFERROR(VLOOKUP(D7094,'[1]Перечень товаров'!$A$2:$I9525,2,0),"")</f>
        <v>т63</v>
      </c>
      <c r="C7094" s="12" t="str">
        <f>IFERROR(VLOOKUP(D7094,'[1]Перечень товаров'!$A$2:$I9525,3,0),"")</f>
        <v>Техника</v>
      </c>
      <c r="D7094" s="71" t="s">
        <v>185</v>
      </c>
      <c r="E7094" s="88"/>
      <c r="F7094" s="88"/>
      <c r="G7094" s="73">
        <v>4</v>
      </c>
      <c r="H7094" s="73"/>
      <c r="I7094" s="74"/>
      <c r="J7094" s="74"/>
      <c r="K7094" s="19"/>
      <c r="L7094" s="20"/>
    </row>
    <row r="7095" spans="1:12" ht="31.5" outlineLevel="2">
      <c r="A7095" s="70"/>
      <c r="B7095" s="12" t="str">
        <f>IFERROR(VLOOKUP(D7095,'[1]Перечень товаров'!$A$2:$I9525,2,0),"")</f>
        <v>т64</v>
      </c>
      <c r="C7095" s="12" t="str">
        <f>IFERROR(VLOOKUP(D7095,'[1]Перечень товаров'!$A$2:$I9525,3,0),"")</f>
        <v>Техника</v>
      </c>
      <c r="D7095" s="71" t="s">
        <v>186</v>
      </c>
      <c r="E7095" s="88"/>
      <c r="F7095" s="88"/>
      <c r="G7095" s="73">
        <v>2</v>
      </c>
      <c r="H7095" s="73"/>
      <c r="I7095" s="74"/>
      <c r="J7095" s="74"/>
      <c r="K7095" s="19"/>
      <c r="L7095" s="20"/>
    </row>
    <row r="7096" spans="1:12" ht="63" outlineLevel="2">
      <c r="A7096" s="70"/>
      <c r="B7096" s="12" t="str">
        <f>IFERROR(VLOOKUP(D7096,'[1]Перечень товаров'!$A$2:$I9525,2,0),"")</f>
        <v>т65</v>
      </c>
      <c r="C7096" s="12" t="str">
        <f>IFERROR(VLOOKUP(D7096,'[1]Перечень товаров'!$A$2:$I9525,3,0),"")</f>
        <v>Техника</v>
      </c>
      <c r="D7096" s="71" t="s">
        <v>187</v>
      </c>
      <c r="E7096" s="88"/>
      <c r="F7096" s="88"/>
      <c r="G7096" s="73">
        <v>1</v>
      </c>
      <c r="H7096" s="73"/>
      <c r="I7096" s="74"/>
      <c r="J7096" s="74"/>
      <c r="K7096" s="19"/>
      <c r="L7096" s="20"/>
    </row>
    <row r="7097" spans="1:12" outlineLevel="2">
      <c r="A7097" s="70"/>
      <c r="B7097" s="12" t="str">
        <f>IFERROR(VLOOKUP(D7097,'[1]Перечень товаров'!$A$2:$I9525,2,0),"")</f>
        <v>т66</v>
      </c>
      <c r="C7097" s="12" t="str">
        <f>IFERROR(VLOOKUP(D7097,'[1]Перечень товаров'!$A$2:$I9525,3,0),"")</f>
        <v>Техника</v>
      </c>
      <c r="D7097" s="71" t="s">
        <v>188</v>
      </c>
      <c r="E7097" s="88"/>
      <c r="F7097" s="88"/>
      <c r="G7097" s="73">
        <v>2</v>
      </c>
      <c r="H7097" s="73"/>
      <c r="I7097" s="74"/>
      <c r="J7097" s="74"/>
      <c r="K7097" s="19"/>
      <c r="L7097" s="20"/>
    </row>
    <row r="7098" spans="1:12" ht="31.5" outlineLevel="2">
      <c r="A7098" s="70"/>
      <c r="B7098" s="12" t="str">
        <f>IFERROR(VLOOKUP(D7098,'[1]Перечень товаров'!$A$2:$I9525,2,0),"")</f>
        <v>т67</v>
      </c>
      <c r="C7098" s="12" t="str">
        <f>IFERROR(VLOOKUP(D7098,'[1]Перечень товаров'!$A$2:$I9525,3,0),"")</f>
        <v>Техника</v>
      </c>
      <c r="D7098" s="71" t="s">
        <v>189</v>
      </c>
      <c r="E7098" s="88"/>
      <c r="F7098" s="88"/>
      <c r="G7098" s="73">
        <v>1</v>
      </c>
      <c r="H7098" s="73"/>
      <c r="I7098" s="74"/>
      <c r="J7098" s="74"/>
      <c r="K7098" s="19"/>
      <c r="L7098" s="20"/>
    </row>
    <row r="7099" spans="1:12" ht="31.5" outlineLevel="2">
      <c r="A7099" s="70"/>
      <c r="B7099" s="12" t="str">
        <f>IFERROR(VLOOKUP(D7099,'[1]Перечень товаров'!$A$2:$I9525,2,0),"")</f>
        <v>т68</v>
      </c>
      <c r="C7099" s="12" t="str">
        <f>IFERROR(VLOOKUP(D7099,'[1]Перечень товаров'!$A$2:$I9525,3,0),"")</f>
        <v>Техника</v>
      </c>
      <c r="D7099" s="71" t="s">
        <v>190</v>
      </c>
      <c r="E7099" s="88"/>
      <c r="F7099" s="88"/>
      <c r="G7099" s="73">
        <v>2</v>
      </c>
      <c r="H7099" s="73"/>
      <c r="I7099" s="74"/>
      <c r="J7099" s="74"/>
      <c r="K7099" s="19"/>
      <c r="L7099" s="20"/>
    </row>
    <row r="7100" spans="1:12" ht="31.5" outlineLevel="2">
      <c r="A7100" s="70"/>
      <c r="B7100" s="12" t="str">
        <f>IFERROR(VLOOKUP(D7100,'[1]Перечень товаров'!$A$2:$I9525,2,0),"")</f>
        <v>т69</v>
      </c>
      <c r="C7100" s="12" t="str">
        <f>IFERROR(VLOOKUP(D7100,'[1]Перечень товаров'!$A$2:$I9525,3,0),"")</f>
        <v>Техника</v>
      </c>
      <c r="D7100" s="71" t="s">
        <v>191</v>
      </c>
      <c r="E7100" s="88"/>
      <c r="F7100" s="88"/>
      <c r="G7100" s="73">
        <v>1</v>
      </c>
      <c r="H7100" s="73"/>
      <c r="I7100" s="74"/>
      <c r="J7100" s="74"/>
      <c r="K7100" s="19"/>
      <c r="L7100" s="20"/>
    </row>
    <row r="7101" spans="1:12" ht="47.25" outlineLevel="2">
      <c r="A7101" s="70"/>
      <c r="B7101" s="12" t="str">
        <f>IFERROR(VLOOKUP(D7101,'[1]Перечень товаров'!$A$2:$I9525,2,0),"")</f>
        <v>т70</v>
      </c>
      <c r="C7101" s="12" t="str">
        <f>IFERROR(VLOOKUP(D7101,'[1]Перечень товаров'!$A$2:$I9525,3,0),"")</f>
        <v>Техника</v>
      </c>
      <c r="D7101" s="71" t="s">
        <v>192</v>
      </c>
      <c r="E7101" s="88"/>
      <c r="F7101" s="88"/>
      <c r="G7101" s="73">
        <v>1</v>
      </c>
      <c r="H7101" s="73"/>
      <c r="I7101" s="74"/>
      <c r="J7101" s="74"/>
      <c r="K7101" s="19"/>
      <c r="L7101" s="20"/>
    </row>
    <row r="7102" spans="1:12" ht="31.5" outlineLevel="2">
      <c r="A7102" s="70"/>
      <c r="B7102" s="12" t="str">
        <f>IFERROR(VLOOKUP(D7102,'[1]Перечень товаров'!$A$2:$I9525,2,0),"")</f>
        <v>т71</v>
      </c>
      <c r="C7102" s="12" t="str">
        <f>IFERROR(VLOOKUP(D7102,'[1]Перечень товаров'!$A$2:$I9525,3,0),"")</f>
        <v>Техника</v>
      </c>
      <c r="D7102" s="71" t="s">
        <v>193</v>
      </c>
      <c r="E7102" s="88"/>
      <c r="F7102" s="88"/>
      <c r="G7102" s="73">
        <v>2</v>
      </c>
      <c r="H7102" s="73"/>
      <c r="I7102" s="74"/>
      <c r="J7102" s="74"/>
      <c r="K7102" s="19"/>
      <c r="L7102" s="20"/>
    </row>
    <row r="7103" spans="1:12" ht="31.5" outlineLevel="2">
      <c r="A7103" s="70"/>
      <c r="B7103" s="12" t="str">
        <f>IFERROR(VLOOKUP(D7103,'[1]Перечень товаров'!$A$2:$I9525,2,0),"")</f>
        <v>т72</v>
      </c>
      <c r="C7103" s="12" t="str">
        <f>IFERROR(VLOOKUP(D7103,'[1]Перечень товаров'!$A$2:$I9525,3,0),"")</f>
        <v>Техника</v>
      </c>
      <c r="D7103" s="71" t="s">
        <v>194</v>
      </c>
      <c r="E7103" s="88"/>
      <c r="F7103" s="88"/>
      <c r="G7103" s="73">
        <v>2</v>
      </c>
      <c r="H7103" s="73"/>
      <c r="I7103" s="74"/>
      <c r="J7103" s="74"/>
      <c r="K7103" s="19"/>
      <c r="L7103" s="20"/>
    </row>
    <row r="7104" spans="1:12" ht="31.5" outlineLevel="2">
      <c r="A7104" s="70"/>
      <c r="B7104" s="12" t="str">
        <f>IFERROR(VLOOKUP(D7104,'[1]Перечень товаров'!$A$2:$I9525,2,0),"")</f>
        <v>тм4</v>
      </c>
      <c r="C7104" s="12" t="str">
        <f>IFERROR(VLOOKUP(D7104,'[1]Перечень товаров'!$A$2:$I9525,3,0),"")</f>
        <v>Техника муз</v>
      </c>
      <c r="D7104" s="71" t="s">
        <v>195</v>
      </c>
      <c r="E7104" s="88"/>
      <c r="F7104" s="88"/>
      <c r="G7104" s="73">
        <v>6</v>
      </c>
      <c r="H7104" s="73"/>
      <c r="I7104" s="74"/>
      <c r="J7104" s="74"/>
      <c r="K7104" s="19"/>
      <c r="L7104" s="20"/>
    </row>
    <row r="7105" spans="1:12" ht="31.5" outlineLevel="2">
      <c r="A7105" s="70"/>
      <c r="B7105" s="12" t="str">
        <f>IFERROR(VLOOKUP(D7105,'[1]Перечень товаров'!$A$2:$I9525,2,0),"")</f>
        <v>т73</v>
      </c>
      <c r="C7105" s="12" t="str">
        <f>IFERROR(VLOOKUP(D7105,'[1]Перечень товаров'!$A$2:$I9525,3,0),"")</f>
        <v>Техника</v>
      </c>
      <c r="D7105" s="71" t="s">
        <v>196</v>
      </c>
      <c r="E7105" s="88"/>
      <c r="F7105" s="88"/>
      <c r="G7105" s="73">
        <v>2</v>
      </c>
      <c r="H7105" s="73"/>
      <c r="I7105" s="74"/>
      <c r="J7105" s="74"/>
      <c r="K7105" s="19"/>
      <c r="L7105" s="20"/>
    </row>
    <row r="7106" spans="1:12" ht="47.25" outlineLevel="2">
      <c r="A7106" s="70"/>
      <c r="B7106" s="12" t="str">
        <f>IFERROR(VLOOKUP(D7106,'[1]Перечень товаров'!$A$2:$I9525,2,0),"")</f>
        <v>тм5</v>
      </c>
      <c r="C7106" s="12" t="str">
        <f>IFERROR(VLOOKUP(D7106,'[1]Перечень товаров'!$A$2:$I9525,3,0),"")</f>
        <v>Техника муз</v>
      </c>
      <c r="D7106" s="71" t="s">
        <v>197</v>
      </c>
      <c r="E7106" s="88"/>
      <c r="F7106" s="88"/>
      <c r="G7106" s="73">
        <v>6</v>
      </c>
      <c r="H7106" s="73"/>
      <c r="I7106" s="74"/>
      <c r="J7106" s="74"/>
      <c r="K7106" s="19"/>
      <c r="L7106" s="20"/>
    </row>
    <row r="7107" spans="1:12" ht="31.5" outlineLevel="2">
      <c r="A7107" s="70"/>
      <c r="B7107" s="12" t="str">
        <f>IFERROR(VLOOKUP(D7107,'[1]Перечень товаров'!$A$2:$I9525,2,0),"")</f>
        <v>тм6</v>
      </c>
      <c r="C7107" s="12" t="str">
        <f>IFERROR(VLOOKUP(D7107,'[1]Перечень товаров'!$A$2:$I9525,3,0),"")</f>
        <v>Техника муз</v>
      </c>
      <c r="D7107" s="71" t="s">
        <v>198</v>
      </c>
      <c r="E7107" s="88"/>
      <c r="F7107" s="88"/>
      <c r="G7107" s="73">
        <v>2</v>
      </c>
      <c r="H7107" s="73"/>
      <c r="I7107" s="74"/>
      <c r="J7107" s="74"/>
      <c r="K7107" s="19"/>
      <c r="L7107" s="20"/>
    </row>
    <row r="7108" spans="1:12" ht="31.5" outlineLevel="2">
      <c r="A7108" s="70"/>
      <c r="B7108" s="12" t="str">
        <f>IFERROR(VLOOKUP(D7108,'[1]Перечень товаров'!$A$2:$I9525,2,0),"")</f>
        <v>т74</v>
      </c>
      <c r="C7108" s="12" t="str">
        <f>IFERROR(VLOOKUP(D7108,'[1]Перечень товаров'!$A$2:$I9525,3,0),"")</f>
        <v>Техника</v>
      </c>
      <c r="D7108" s="71" t="s">
        <v>199</v>
      </c>
      <c r="E7108" s="88"/>
      <c r="F7108" s="88"/>
      <c r="G7108" s="73">
        <v>8</v>
      </c>
      <c r="H7108" s="73"/>
      <c r="I7108" s="74"/>
      <c r="J7108" s="74"/>
      <c r="K7108" s="19"/>
      <c r="L7108" s="20"/>
    </row>
    <row r="7109" spans="1:12" ht="31.5" outlineLevel="2">
      <c r="A7109" s="70"/>
      <c r="B7109" s="12" t="str">
        <f>IFERROR(VLOOKUP(D7109,'[1]Перечень товаров'!$A$2:$I9525,2,0),"")</f>
        <v>тм7</v>
      </c>
      <c r="C7109" s="12" t="str">
        <f>IFERROR(VLOOKUP(D7109,'[1]Перечень товаров'!$A$2:$I9525,3,0),"")</f>
        <v>Техника муз</v>
      </c>
      <c r="D7109" s="71" t="s">
        <v>200</v>
      </c>
      <c r="E7109" s="88"/>
      <c r="F7109" s="88"/>
      <c r="G7109" s="73">
        <v>2</v>
      </c>
      <c r="H7109" s="73"/>
      <c r="I7109" s="74"/>
      <c r="J7109" s="74"/>
      <c r="K7109" s="19"/>
      <c r="L7109" s="20"/>
    </row>
    <row r="7110" spans="1:12" ht="31.5" outlineLevel="2">
      <c r="A7110" s="70"/>
      <c r="B7110" s="12" t="str">
        <f>IFERROR(VLOOKUP(D7110,'[1]Перечень товаров'!$A$2:$I9525,2,0),"")</f>
        <v>тм8</v>
      </c>
      <c r="C7110" s="12" t="str">
        <f>IFERROR(VLOOKUP(D7110,'[1]Перечень товаров'!$A$2:$I9525,3,0),"")</f>
        <v>Техника муз</v>
      </c>
      <c r="D7110" s="71" t="s">
        <v>201</v>
      </c>
      <c r="E7110" s="88"/>
      <c r="F7110" s="88"/>
      <c r="G7110" s="73">
        <v>4</v>
      </c>
      <c r="H7110" s="73"/>
      <c r="I7110" s="74"/>
      <c r="J7110" s="74"/>
      <c r="K7110" s="19"/>
      <c r="L7110" s="20"/>
    </row>
    <row r="7111" spans="1:12" outlineLevel="2">
      <c r="A7111" s="70"/>
      <c r="B7111" s="12" t="str">
        <f>IFERROR(VLOOKUP(D7111,'[1]Перечень товаров'!$A$2:$I9525,2,0),"")</f>
        <v>т75</v>
      </c>
      <c r="C7111" s="12" t="str">
        <f>IFERROR(VLOOKUP(D7111,'[1]Перечень товаров'!$A$2:$I9525,3,0),"")</f>
        <v>Техника</v>
      </c>
      <c r="D7111" s="71" t="s">
        <v>202</v>
      </c>
      <c r="E7111" s="88"/>
      <c r="F7111" s="88"/>
      <c r="G7111" s="73">
        <v>1</v>
      </c>
      <c r="H7111" s="73"/>
      <c r="I7111" s="74"/>
      <c r="J7111" s="74"/>
      <c r="K7111" s="19"/>
      <c r="L7111" s="20"/>
    </row>
    <row r="7112" spans="1:12" ht="31.5" outlineLevel="2">
      <c r="A7112" s="70"/>
      <c r="B7112" s="12" t="str">
        <f>IFERROR(VLOOKUP(D7112,'[1]Перечень товаров'!$A$2:$I9525,2,0),"")</f>
        <v>т76</v>
      </c>
      <c r="C7112" s="12" t="str">
        <f>IFERROR(VLOOKUP(D7112,'[1]Перечень товаров'!$A$2:$I9525,3,0),"")</f>
        <v>Техника</v>
      </c>
      <c r="D7112" s="71" t="s">
        <v>203</v>
      </c>
      <c r="E7112" s="88"/>
      <c r="F7112" s="88"/>
      <c r="G7112" s="73">
        <v>10</v>
      </c>
      <c r="H7112" s="73"/>
      <c r="I7112" s="74"/>
      <c r="J7112" s="74"/>
      <c r="K7112" s="19"/>
      <c r="L7112" s="20"/>
    </row>
    <row r="7113" spans="1:12" ht="47.25" outlineLevel="2">
      <c r="A7113" s="70"/>
      <c r="B7113" s="12" t="str">
        <f>IFERROR(VLOOKUP(D7113,'[1]Перечень товаров'!$A$2:$I9525,2,0),"")</f>
        <v>м31</v>
      </c>
      <c r="C7113" s="12" t="str">
        <f>IFERROR(VLOOKUP(D7113,'[1]Перечень товаров'!$A$2:$I9525,3,0),"")</f>
        <v>Мебель</v>
      </c>
      <c r="D7113" s="71" t="s">
        <v>204</v>
      </c>
      <c r="E7113" s="88"/>
      <c r="F7113" s="88"/>
      <c r="G7113" s="73">
        <v>10</v>
      </c>
      <c r="H7113" s="73"/>
      <c r="I7113" s="74"/>
      <c r="J7113" s="74"/>
      <c r="K7113" s="19"/>
      <c r="L7113" s="20"/>
    </row>
    <row r="7114" spans="1:12" ht="47.25" outlineLevel="2">
      <c r="A7114" s="70"/>
      <c r="B7114" s="12" t="str">
        <f>IFERROR(VLOOKUP(D7114,'[1]Перечень товаров'!$A$2:$I9525,2,0),"")</f>
        <v>м32</v>
      </c>
      <c r="C7114" s="12" t="str">
        <f>IFERROR(VLOOKUP(D7114,'[1]Перечень товаров'!$A$2:$I9525,3,0),"")</f>
        <v>Мебель</v>
      </c>
      <c r="D7114" s="71" t="s">
        <v>205</v>
      </c>
      <c r="E7114" s="88"/>
      <c r="F7114" s="88"/>
      <c r="G7114" s="73">
        <v>2</v>
      </c>
      <c r="H7114" s="73"/>
      <c r="I7114" s="74"/>
      <c r="J7114" s="74"/>
      <c r="K7114" s="19"/>
      <c r="L7114" s="20"/>
    </row>
    <row r="7115" spans="1:12" ht="31.5" outlineLevel="2">
      <c r="A7115" s="70"/>
      <c r="B7115" s="12" t="str">
        <f>IFERROR(VLOOKUP(D7115,'[1]Перечень товаров'!$A$2:$I9525,2,0),"")</f>
        <v>м33</v>
      </c>
      <c r="C7115" s="12" t="str">
        <f>IFERROR(VLOOKUP(D7115,'[1]Перечень товаров'!$A$2:$I9525,3,0),"")</f>
        <v>Мебель</v>
      </c>
      <c r="D7115" s="71" t="s">
        <v>206</v>
      </c>
      <c r="E7115" s="88"/>
      <c r="F7115" s="88"/>
      <c r="G7115" s="73">
        <v>4</v>
      </c>
      <c r="H7115" s="73"/>
      <c r="I7115" s="74"/>
      <c r="J7115" s="74"/>
      <c r="K7115" s="19"/>
      <c r="L7115" s="20"/>
    </row>
    <row r="7116" spans="1:12" ht="31.5" outlineLevel="2">
      <c r="A7116" s="70"/>
      <c r="B7116" s="12" t="str">
        <f>IFERROR(VLOOKUP(D7116,'[1]Перечень товаров'!$A$2:$I9525,2,0),"")</f>
        <v>м34</v>
      </c>
      <c r="C7116" s="12" t="str">
        <f>IFERROR(VLOOKUP(D7116,'[1]Перечень товаров'!$A$2:$I9525,3,0),"")</f>
        <v>Мебель</v>
      </c>
      <c r="D7116" s="71" t="s">
        <v>207</v>
      </c>
      <c r="E7116" s="88"/>
      <c r="F7116" s="88"/>
      <c r="G7116" s="73">
        <v>2</v>
      </c>
      <c r="H7116" s="73"/>
      <c r="I7116" s="74"/>
      <c r="J7116" s="74"/>
      <c r="K7116" s="19"/>
      <c r="L7116" s="20"/>
    </row>
    <row r="7117" spans="1:12" ht="31.5" outlineLevel="2">
      <c r="A7117" s="70"/>
      <c r="B7117" s="12" t="str">
        <f>IFERROR(VLOOKUP(D7117,'[1]Перечень товаров'!$A$2:$I9525,2,0),"")</f>
        <v>м35</v>
      </c>
      <c r="C7117" s="12" t="str">
        <f>IFERROR(VLOOKUP(D7117,'[1]Перечень товаров'!$A$2:$I9525,3,0),"")</f>
        <v>Мебель</v>
      </c>
      <c r="D7117" s="71" t="s">
        <v>208</v>
      </c>
      <c r="E7117" s="88"/>
      <c r="F7117" s="88"/>
      <c r="G7117" s="73">
        <v>1</v>
      </c>
      <c r="H7117" s="73"/>
      <c r="I7117" s="74"/>
      <c r="J7117" s="74"/>
      <c r="K7117" s="19"/>
      <c r="L7117" s="20"/>
    </row>
    <row r="7118" spans="1:12" outlineLevel="2">
      <c r="A7118" s="70"/>
      <c r="B7118" s="12" t="str">
        <f>IFERROR(VLOOKUP(D7118,'[1]Перечень товаров'!$A$2:$I9525,2,0),"")</f>
        <v>тм9</v>
      </c>
      <c r="C7118" s="12" t="str">
        <f>IFERROR(VLOOKUP(D7118,'[1]Перечень товаров'!$A$2:$I9525,3,0),"")</f>
        <v>Техника муз</v>
      </c>
      <c r="D7118" s="71" t="s">
        <v>209</v>
      </c>
      <c r="E7118" s="88"/>
      <c r="F7118" s="88"/>
      <c r="G7118" s="73">
        <v>1</v>
      </c>
      <c r="H7118" s="73"/>
      <c r="I7118" s="74"/>
      <c r="J7118" s="74"/>
      <c r="K7118" s="19"/>
      <c r="L7118" s="20"/>
    </row>
    <row r="7119" spans="1:12" outlineLevel="2">
      <c r="A7119" s="70"/>
      <c r="B7119" s="12" t="str">
        <f>IFERROR(VLOOKUP(D7119,'[1]Перечень товаров'!$A$2:$I9525,2,0),"")</f>
        <v>дм3</v>
      </c>
      <c r="C7119" s="12" t="str">
        <f>IFERROR(VLOOKUP(D7119,'[1]Перечень товаров'!$A$2:$I9525,3,0),"")</f>
        <v>Дидактика муз</v>
      </c>
      <c r="D7119" s="71" t="s">
        <v>210</v>
      </c>
      <c r="E7119" s="88"/>
      <c r="F7119" s="88"/>
      <c r="G7119" s="73">
        <v>3</v>
      </c>
      <c r="H7119" s="73"/>
      <c r="I7119" s="74"/>
      <c r="J7119" s="74"/>
      <c r="K7119" s="19"/>
      <c r="L7119" s="20"/>
    </row>
    <row r="7120" spans="1:12" ht="31.5" outlineLevel="2">
      <c r="A7120" s="70"/>
      <c r="B7120" s="12" t="str">
        <f>IFERROR(VLOOKUP(D7120,'[1]Перечень товаров'!$A$2:$I9525,2,0),"")</f>
        <v>тм10</v>
      </c>
      <c r="C7120" s="12" t="str">
        <f>IFERROR(VLOOKUP(D7120,'[1]Перечень товаров'!$A$2:$I9525,3,0),"")</f>
        <v>Техника муз</v>
      </c>
      <c r="D7120" s="71" t="s">
        <v>211</v>
      </c>
      <c r="E7120" s="88"/>
      <c r="F7120" s="88"/>
      <c r="G7120" s="73">
        <v>1</v>
      </c>
      <c r="H7120" s="73"/>
      <c r="I7120" s="74"/>
      <c r="J7120" s="74"/>
      <c r="K7120" s="19"/>
      <c r="L7120" s="20"/>
    </row>
    <row r="7121" spans="1:12" ht="47.25" outlineLevel="2">
      <c r="A7121" s="70"/>
      <c r="B7121" s="12" t="str">
        <f>IFERROR(VLOOKUP(D7121,'[1]Перечень товаров'!$A$2:$I9525,2,0),"")</f>
        <v>тм11</v>
      </c>
      <c r="C7121" s="12" t="str">
        <f>IFERROR(VLOOKUP(D7121,'[1]Перечень товаров'!$A$2:$I9525,3,0),"")</f>
        <v>Техника муз</v>
      </c>
      <c r="D7121" s="71" t="s">
        <v>212</v>
      </c>
      <c r="E7121" s="88"/>
      <c r="F7121" s="88"/>
      <c r="G7121" s="73">
        <v>1</v>
      </c>
      <c r="H7121" s="73"/>
      <c r="I7121" s="74"/>
      <c r="J7121" s="74"/>
      <c r="K7121" s="19"/>
      <c r="L7121" s="20"/>
    </row>
    <row r="7122" spans="1:12" ht="47.25" outlineLevel="2">
      <c r="A7122" s="70"/>
      <c r="B7122" s="12" t="str">
        <f>IFERROR(VLOOKUP(D7122,'[1]Перечень товаров'!$A$2:$I9525,2,0),"")</f>
        <v>мм2</v>
      </c>
      <c r="C7122" s="12" t="str">
        <f>IFERROR(VLOOKUP(D7122,'[1]Перечень товаров'!$A$2:$I9525,3,0),"")</f>
        <v>Мебель муз</v>
      </c>
      <c r="D7122" s="71" t="s">
        <v>213</v>
      </c>
      <c r="E7122" s="88"/>
      <c r="F7122" s="88"/>
      <c r="G7122" s="73">
        <v>2</v>
      </c>
      <c r="H7122" s="73"/>
      <c r="I7122" s="74"/>
      <c r="J7122" s="74"/>
      <c r="K7122" s="19"/>
      <c r="L7122" s="20"/>
    </row>
    <row r="7123" spans="1:12" ht="12.75" outlineLevel="1">
      <c r="A7123" s="11"/>
      <c r="B7123" s="12" t="str">
        <f>IFERROR(VLOOKUP(D7123,'[1]Перечень товаров'!$A$2:$I9525,2,0),"")</f>
        <v/>
      </c>
      <c r="C7123" s="12" t="str">
        <f>IFERROR(VLOOKUP(D7123,'[1]Перечень товаров'!$A$2:$I9525,3,0),"")</f>
        <v/>
      </c>
      <c r="D7123" s="27" t="s">
        <v>397</v>
      </c>
      <c r="E7123" s="99">
        <v>46216</v>
      </c>
      <c r="F7123" s="99"/>
      <c r="G7123" s="100"/>
      <c r="H7123" s="100"/>
      <c r="I7123" s="101"/>
      <c r="J7123" s="101"/>
      <c r="K7123" s="19"/>
      <c r="L7123" s="20"/>
    </row>
    <row r="7124" spans="1:12" outlineLevel="2">
      <c r="A7124" s="114"/>
      <c r="B7124" s="12" t="str">
        <f>IFERROR(VLOOKUP(D7124,'[1]Перечень товаров'!$A$2:$I9525,2,0),"")</f>
        <v/>
      </c>
      <c r="C7124" s="12" t="str">
        <f>IFERROR(VLOOKUP(D7124,'[1]Перечень товаров'!$A$2:$I9525,3,0),"")</f>
        <v/>
      </c>
      <c r="D7124" s="114" t="s">
        <v>19</v>
      </c>
      <c r="E7124" s="122"/>
      <c r="F7124" s="122"/>
      <c r="G7124" s="123"/>
      <c r="H7124" s="123"/>
      <c r="I7124" s="124"/>
      <c r="J7124" s="124"/>
      <c r="K7124" s="19"/>
      <c r="L7124" s="20"/>
    </row>
    <row r="7125" spans="1:12" outlineLevel="2">
      <c r="A7125" s="34"/>
      <c r="B7125" s="12" t="str">
        <f>IFERROR(VLOOKUP(D7125,'[1]Перечень товаров'!$A$2:$I9525,2,0),"")</f>
        <v>м62</v>
      </c>
      <c r="C7125" s="12" t="str">
        <f>IFERROR(VLOOKUP(D7125,'[1]Перечень товаров'!$A$2:$I9525,3,0),"")</f>
        <v>Мебель</v>
      </c>
      <c r="D7125" s="35" t="s">
        <v>398</v>
      </c>
      <c r="E7125" s="88"/>
      <c r="F7125" s="88"/>
      <c r="G7125" s="59">
        <v>1</v>
      </c>
      <c r="H7125" s="59"/>
      <c r="I7125" s="60"/>
      <c r="J7125" s="60"/>
      <c r="K7125" s="19"/>
      <c r="L7125" s="20"/>
    </row>
    <row r="7126" spans="1:12" outlineLevel="2">
      <c r="A7126" s="34"/>
      <c r="B7126" s="12" t="str">
        <f>IFERROR(VLOOKUP(D7126,'[1]Перечень товаров'!$A$2:$I9525,2,0),"")</f>
        <v>м61</v>
      </c>
      <c r="C7126" s="12" t="str">
        <f>IFERROR(VLOOKUP(D7126,'[1]Перечень товаров'!$A$2:$I9525,3,0),"")</f>
        <v>Мебель</v>
      </c>
      <c r="D7126" s="35" t="s">
        <v>383</v>
      </c>
      <c r="E7126" s="88"/>
      <c r="F7126" s="88"/>
      <c r="G7126" s="59">
        <v>1</v>
      </c>
      <c r="H7126" s="59"/>
      <c r="I7126" s="60"/>
      <c r="J7126" s="60"/>
      <c r="K7126" s="19"/>
      <c r="L7126" s="20"/>
    </row>
    <row r="7127" spans="1:12" outlineLevel="2">
      <c r="A7127" s="22"/>
      <c r="B7127" s="12" t="str">
        <f>IFERROR(VLOOKUP(D7127,'[1]Перечень товаров'!$A$2:$I9525,2,0),"")</f>
        <v>м13</v>
      </c>
      <c r="C7127" s="12" t="str">
        <f>IFERROR(VLOOKUP(D7127,'[1]Перечень товаров'!$A$2:$I9525,3,0),"")</f>
        <v>Мебель</v>
      </c>
      <c r="D7127" s="22" t="s">
        <v>42</v>
      </c>
      <c r="E7127" s="88"/>
      <c r="F7127" s="88"/>
      <c r="G7127" s="48">
        <v>1</v>
      </c>
      <c r="H7127" s="48"/>
      <c r="I7127" s="49"/>
      <c r="J7127" s="49"/>
      <c r="K7127" s="19"/>
      <c r="L7127" s="20"/>
    </row>
    <row r="7128" spans="1:12" outlineLevel="2">
      <c r="A7128" s="21"/>
      <c r="B7128" s="12" t="str">
        <f>IFERROR(VLOOKUP(D7128,'[1]Перечень товаров'!$A$2:$I9525,2,0),"")</f>
        <v>м14</v>
      </c>
      <c r="C7128" s="12" t="str">
        <f>IFERROR(VLOOKUP(D7128,'[1]Перечень товаров'!$A$2:$I9525,3,0),"")</f>
        <v>Мебель</v>
      </c>
      <c r="D7128" s="22" t="s">
        <v>43</v>
      </c>
      <c r="E7128" s="88"/>
      <c r="F7128" s="88"/>
      <c r="G7128" s="48">
        <v>1</v>
      </c>
      <c r="H7128" s="48"/>
      <c r="I7128" s="49"/>
      <c r="J7128" s="49"/>
      <c r="K7128" s="19"/>
      <c r="L7128" s="20"/>
    </row>
    <row r="7129" spans="1:12" outlineLevel="2">
      <c r="A7129" s="21"/>
      <c r="B7129" s="12" t="str">
        <f>IFERROR(VLOOKUP(D7129,'[1]Перечень товаров'!$A$2:$I9525,2,0),"")</f>
        <v>п2</v>
      </c>
      <c r="C7129" s="12" t="str">
        <f>IFERROR(VLOOKUP(D7129,'[1]Перечень товаров'!$A$2:$I9525,3,0),"")</f>
        <v>Прочее</v>
      </c>
      <c r="D7129" s="22" t="s">
        <v>46</v>
      </c>
      <c r="E7129" s="88"/>
      <c r="F7129" s="88"/>
      <c r="G7129" s="24">
        <v>1</v>
      </c>
      <c r="H7129" s="24"/>
      <c r="I7129" s="25"/>
      <c r="J7129" s="25"/>
      <c r="K7129" s="19"/>
      <c r="L7129" s="20"/>
    </row>
    <row r="7130" spans="1:12" outlineLevel="2">
      <c r="A7130" s="113"/>
      <c r="B7130" s="12" t="str">
        <f>IFERROR(VLOOKUP(D7130,'[1]Перечень товаров'!$A$2:$I9525,2,0),"")</f>
        <v/>
      </c>
      <c r="C7130" s="12" t="str">
        <f>IFERROR(VLOOKUP(D7130,'[1]Перечень товаров'!$A$2:$I9525,3,0),"")</f>
        <v/>
      </c>
      <c r="D7130" s="114" t="s">
        <v>391</v>
      </c>
      <c r="E7130" s="122"/>
      <c r="F7130" s="122"/>
      <c r="G7130" s="123"/>
      <c r="H7130" s="123"/>
      <c r="I7130" s="124"/>
      <c r="J7130" s="124"/>
      <c r="K7130" s="19"/>
      <c r="L7130" s="20"/>
    </row>
    <row r="7131" spans="1:12" outlineLevel="2">
      <c r="A7131" s="28"/>
      <c r="B7131" s="12" t="str">
        <f>IFERROR(VLOOKUP(D7131,'[1]Перечень товаров'!$A$2:$I9525,2,0),"")</f>
        <v>тм71</v>
      </c>
      <c r="C7131" s="12" t="str">
        <f>IFERROR(VLOOKUP(D7131,'[1]Перечень товаров'!$A$2:$I9525,3,0),"")</f>
        <v>Техника муз</v>
      </c>
      <c r="D7131" s="29" t="s">
        <v>400</v>
      </c>
      <c r="E7131" s="30"/>
      <c r="F7131" s="30"/>
      <c r="G7131" s="31">
        <v>1</v>
      </c>
      <c r="H7131" s="31"/>
      <c r="I7131" s="32"/>
      <c r="J7131" s="32"/>
      <c r="K7131" s="19"/>
      <c r="L7131" s="20"/>
    </row>
    <row r="7132" spans="1:12" outlineLevel="2">
      <c r="A7132" s="28"/>
      <c r="B7132" s="12" t="str">
        <f>IFERROR(VLOOKUP(D7132,'[1]Перечень товаров'!$A$2:$I9525,2,0),"")</f>
        <v>м66</v>
      </c>
      <c r="C7132" s="12" t="str">
        <f>IFERROR(VLOOKUP(D7132,'[1]Перечень товаров'!$A$2:$I9525,3,0),"")</f>
        <v>Мебель</v>
      </c>
      <c r="D7132" s="29" t="s">
        <v>401</v>
      </c>
      <c r="E7132" s="30"/>
      <c r="F7132" s="30"/>
      <c r="G7132" s="31">
        <v>10</v>
      </c>
      <c r="H7132" s="31"/>
      <c r="I7132" s="32"/>
      <c r="J7132" s="32"/>
      <c r="K7132" s="19"/>
      <c r="L7132" s="20"/>
    </row>
    <row r="7133" spans="1:12" outlineLevel="2">
      <c r="A7133" s="28"/>
      <c r="B7133" s="12" t="str">
        <f>IFERROR(VLOOKUP(D7133,'[1]Перечень товаров'!$A$2:$I9525,2,0),"")</f>
        <v>м51</v>
      </c>
      <c r="C7133" s="12" t="str">
        <f>IFERROR(VLOOKUP(D7133,'[1]Перечень товаров'!$A$2:$I9525,3,0),"")</f>
        <v>Мебель</v>
      </c>
      <c r="D7133" s="29" t="s">
        <v>318</v>
      </c>
      <c r="E7133" s="30"/>
      <c r="F7133" s="30"/>
      <c r="G7133" s="31">
        <v>6</v>
      </c>
      <c r="H7133" s="31"/>
      <c r="I7133" s="32"/>
      <c r="J7133" s="32"/>
      <c r="K7133" s="19"/>
      <c r="L7133" s="20"/>
    </row>
    <row r="7134" spans="1:12" outlineLevel="2">
      <c r="A7134" s="28"/>
      <c r="B7134" s="12" t="str">
        <f>IFERROR(VLOOKUP(D7134,'[1]Перечень товаров'!$A$2:$I9525,2,0),"")</f>
        <v>м67</v>
      </c>
      <c r="C7134" s="12" t="str">
        <f>IFERROR(VLOOKUP(D7134,'[1]Перечень товаров'!$A$2:$I9525,3,0),"")</f>
        <v>Мебель</v>
      </c>
      <c r="D7134" s="29" t="s">
        <v>402</v>
      </c>
      <c r="E7134" s="30"/>
      <c r="F7134" s="30"/>
      <c r="G7134" s="31">
        <v>2</v>
      </c>
      <c r="H7134" s="31"/>
      <c r="I7134" s="32"/>
      <c r="J7134" s="32"/>
      <c r="K7134" s="19"/>
      <c r="L7134" s="20"/>
    </row>
    <row r="7135" spans="1:12" ht="31.5" outlineLevel="2">
      <c r="A7135" s="28"/>
      <c r="B7135" s="12" t="str">
        <f>IFERROR(VLOOKUP(D7135,'[1]Перечень товаров'!$A$2:$I9525,2,0),"")</f>
        <v>м68</v>
      </c>
      <c r="C7135" s="12" t="str">
        <f>IFERROR(VLOOKUP(D7135,'[1]Перечень товаров'!$A$2:$I9525,3,0),"")</f>
        <v>Мебель</v>
      </c>
      <c r="D7135" s="29" t="s">
        <v>403</v>
      </c>
      <c r="E7135" s="30"/>
      <c r="F7135" s="30"/>
      <c r="G7135" s="31">
        <v>2</v>
      </c>
      <c r="H7135" s="31"/>
      <c r="I7135" s="32"/>
      <c r="J7135" s="32"/>
      <c r="K7135" s="19"/>
      <c r="L7135" s="20"/>
    </row>
    <row r="7136" spans="1:12" ht="31.5" outlineLevel="2">
      <c r="A7136" s="28"/>
      <c r="B7136" s="12" t="str">
        <f>IFERROR(VLOOKUP(D7136,'[1]Перечень товаров'!$A$2:$I9525,2,0),"")</f>
        <v>м69</v>
      </c>
      <c r="C7136" s="12" t="str">
        <f>IFERROR(VLOOKUP(D7136,'[1]Перечень товаров'!$A$2:$I9525,3,0),"")</f>
        <v>Мебель</v>
      </c>
      <c r="D7136" s="29" t="s">
        <v>404</v>
      </c>
      <c r="E7136" s="30"/>
      <c r="F7136" s="30"/>
      <c r="G7136" s="31">
        <v>2</v>
      </c>
      <c r="H7136" s="31"/>
      <c r="I7136" s="32"/>
      <c r="J7136" s="32"/>
      <c r="K7136" s="19"/>
      <c r="L7136" s="20"/>
    </row>
    <row r="7137" spans="1:34" ht="12.75" outlineLevel="1">
      <c r="A7137" s="11"/>
      <c r="B7137" s="12" t="str">
        <f>IFERROR(VLOOKUP(D7137,'[1]Перечень товаров'!$A$2:$I9525,2,0),"")</f>
        <v/>
      </c>
      <c r="C7137" s="12" t="str">
        <f>IFERROR(VLOOKUP(D7137,'[1]Перечень товаров'!$A$2:$I9525,3,0),"")</f>
        <v/>
      </c>
      <c r="D7137" s="27" t="s">
        <v>338</v>
      </c>
      <c r="E7137" s="99">
        <v>46091</v>
      </c>
      <c r="F7137" s="99"/>
      <c r="G7137" s="100"/>
      <c r="H7137" s="100"/>
      <c r="I7137" s="101"/>
      <c r="J7137" s="101"/>
      <c r="K7137" s="19"/>
      <c r="L7137" s="20"/>
    </row>
    <row r="7138" spans="1:34" ht="12.75" outlineLevel="2">
      <c r="A7138" s="77"/>
      <c r="B7138" s="12" t="str">
        <f>IFERROR(VLOOKUP(D7138,'[1]Перечень товаров'!$A$2:$I9525,2,0),"")</f>
        <v/>
      </c>
      <c r="C7138" s="12" t="str">
        <f>IFERROR(VLOOKUP(D7138,'[1]Перечень товаров'!$A$2:$I9525,3,0),"")</f>
        <v/>
      </c>
      <c r="D7138" s="78" t="s">
        <v>19</v>
      </c>
      <c r="E7138" s="79"/>
      <c r="F7138" s="79"/>
      <c r="G7138" s="100"/>
      <c r="H7138" s="100"/>
      <c r="I7138" s="101"/>
      <c r="J7138" s="101"/>
      <c r="K7138" s="19"/>
      <c r="L7138" s="20"/>
    </row>
    <row r="7139" spans="1:34" outlineLevel="2">
      <c r="A7139" s="43"/>
      <c r="B7139" s="12" t="str">
        <f>IFERROR(VLOOKUP(D7139,'[1]Перечень товаров'!$A$2:$I9525,2,0),"")</f>
        <v>м25</v>
      </c>
      <c r="C7139" s="12" t="str">
        <f>IFERROR(VLOOKUP(D7139,'[1]Перечень товаров'!$A$2:$I9525,3,0),"")</f>
        <v>Мебель</v>
      </c>
      <c r="D7139" s="44" t="s">
        <v>175</v>
      </c>
      <c r="E7139" s="23"/>
      <c r="F7139" s="23"/>
      <c r="G7139" s="23">
        <v>5</v>
      </c>
      <c r="H7139" s="103"/>
      <c r="I7139" s="104"/>
      <c r="J7139" s="104"/>
      <c r="K7139" s="19"/>
      <c r="L7139" s="20"/>
    </row>
    <row r="7140" spans="1:34" outlineLevel="2">
      <c r="A7140" s="43"/>
      <c r="B7140" s="12" t="str">
        <f>IFERROR(VLOOKUP(D7140,'[1]Перечень товаров'!$A$2:$I9525,2,0),"")</f>
        <v>м26</v>
      </c>
      <c r="C7140" s="12" t="str">
        <f>IFERROR(VLOOKUP(D7140,'[1]Перечень товаров'!$A$2:$I9525,3,0),"")</f>
        <v>Мебель</v>
      </c>
      <c r="D7140" s="44" t="s">
        <v>176</v>
      </c>
      <c r="E7140" s="23"/>
      <c r="F7140" s="23"/>
      <c r="G7140" s="23">
        <v>2</v>
      </c>
      <c r="H7140" s="103"/>
      <c r="I7140" s="104"/>
      <c r="J7140" s="104"/>
      <c r="K7140" s="19"/>
      <c r="L7140" s="20"/>
    </row>
    <row r="7141" spans="1:34" outlineLevel="2">
      <c r="A7141" s="43"/>
      <c r="B7141" s="12" t="str">
        <f>IFERROR(VLOOKUP(D7141,'[1]Перечень товаров'!$A$2:$I9525,2,0),"")</f>
        <v>м27</v>
      </c>
      <c r="C7141" s="12" t="str">
        <f>IFERROR(VLOOKUP(D7141,'[1]Перечень товаров'!$A$2:$I9525,3,0),"")</f>
        <v>Мебель</v>
      </c>
      <c r="D7141" s="44" t="s">
        <v>177</v>
      </c>
      <c r="E7141" s="23"/>
      <c r="F7141" s="23"/>
      <c r="G7141" s="23">
        <v>1</v>
      </c>
      <c r="H7141" s="103"/>
      <c r="I7141" s="104"/>
      <c r="J7141" s="104"/>
      <c r="K7141" s="19"/>
      <c r="L7141" s="20"/>
    </row>
    <row r="7142" spans="1:34" outlineLevel="2">
      <c r="A7142" s="43"/>
      <c r="B7142" s="12" t="str">
        <f>IFERROR(VLOOKUP(D7142,'[1]Перечень товаров'!$A$2:$I9525,2,0),"")</f>
        <v>м28</v>
      </c>
      <c r="C7142" s="12" t="str">
        <f>IFERROR(VLOOKUP(D7142,'[1]Перечень товаров'!$A$2:$I9525,3,0),"")</f>
        <v>Мебель</v>
      </c>
      <c r="D7142" s="44" t="s">
        <v>178</v>
      </c>
      <c r="E7142" s="23"/>
      <c r="F7142" s="23"/>
      <c r="G7142" s="23">
        <v>1</v>
      </c>
      <c r="H7142" s="103"/>
      <c r="I7142" s="104"/>
      <c r="J7142" s="104"/>
      <c r="K7142" s="19"/>
      <c r="L7142" s="20"/>
    </row>
    <row r="7143" spans="1:34" outlineLevel="2">
      <c r="A7143" s="21"/>
      <c r="B7143" s="12" t="str">
        <f>IFERROR(VLOOKUP(D7143,'[1]Перечень товаров'!$A$2:$I9525,2,0),"")</f>
        <v>мм1</v>
      </c>
      <c r="C7143" s="12" t="str">
        <f>IFERROR(VLOOKUP(D7143,'[1]Перечень товаров'!$A$2:$I9525,3,0),"")</f>
        <v>Мебель муз</v>
      </c>
      <c r="D7143" s="22" t="s">
        <v>179</v>
      </c>
      <c r="E7143" s="23"/>
      <c r="F7143" s="23"/>
      <c r="G7143" s="23">
        <v>1</v>
      </c>
      <c r="H7143" s="103"/>
      <c r="I7143" s="104"/>
      <c r="J7143" s="104"/>
      <c r="K7143" s="19"/>
      <c r="L7143" s="20"/>
    </row>
    <row r="7144" spans="1:34" ht="12.75" outlineLevel="1">
      <c r="A7144" s="11"/>
      <c r="B7144" s="12" t="str">
        <f>IFERROR(VLOOKUP(D7144,'[1]Перечень товаров'!$A$2:$I9525,2,0),"")</f>
        <v/>
      </c>
      <c r="C7144" s="12" t="str">
        <f>IFERROR(VLOOKUP(D7144,'[1]Перечень товаров'!$A$2:$I9525,3,0),"")</f>
        <v/>
      </c>
      <c r="D7144" s="27" t="s">
        <v>1827</v>
      </c>
      <c r="E7144" s="99">
        <v>46039</v>
      </c>
      <c r="F7144" s="99"/>
      <c r="G7144" s="100"/>
      <c r="H7144" s="100"/>
      <c r="I7144" s="101"/>
      <c r="J7144" s="101"/>
      <c r="K7144" s="19"/>
      <c r="L7144" s="20"/>
    </row>
    <row r="7145" spans="1:34" ht="15" outlineLevel="2">
      <c r="A7145" s="109"/>
      <c r="B7145" s="12" t="str">
        <f>IFERROR(VLOOKUP(D7145,'[1]Перечень товаров'!$A$2:$I9525,2,0),"")</f>
        <v/>
      </c>
      <c r="C7145" s="12" t="str">
        <f>IFERROR(VLOOKUP(D7145,'[1]Перечень товаров'!$A$2:$I9525,3,0),"")</f>
        <v/>
      </c>
      <c r="D7145" s="110" t="s">
        <v>27</v>
      </c>
      <c r="E7145" s="45"/>
      <c r="F7145" s="45"/>
      <c r="G7145" s="111"/>
      <c r="H7145" s="111"/>
      <c r="I7145" s="112"/>
      <c r="J7145" s="112"/>
      <c r="K7145" s="19"/>
      <c r="L7145" s="20"/>
      <c r="M7145" s="10"/>
      <c r="N7145" s="10"/>
      <c r="O7145" s="10"/>
      <c r="P7145" s="10"/>
      <c r="Q7145" s="10"/>
      <c r="R7145" s="10"/>
      <c r="S7145" s="10"/>
      <c r="T7145" s="10"/>
      <c r="U7145" s="10"/>
      <c r="V7145" s="10"/>
      <c r="W7145" s="10"/>
      <c r="X7145" s="10"/>
      <c r="Y7145" s="10"/>
      <c r="Z7145" s="10"/>
      <c r="AA7145" s="10"/>
      <c r="AB7145" s="10"/>
      <c r="AC7145" s="10"/>
      <c r="AD7145" s="10"/>
      <c r="AE7145" s="10"/>
      <c r="AF7145" s="10"/>
      <c r="AG7145" s="10"/>
      <c r="AH7145" s="10"/>
    </row>
    <row r="7146" spans="1:34" outlineLevel="2">
      <c r="A7146" s="21"/>
      <c r="B7146" s="12" t="str">
        <f>IFERROR(VLOOKUP(D7146,'[1]Перечень товаров'!$A$2:$I9525,2,0),"")</f>
        <v>т1</v>
      </c>
      <c r="C7146" s="12" t="str">
        <f>IFERROR(VLOOKUP(D7146,'[1]Перечень товаров'!$A$2:$I9525,3,0),"")</f>
        <v xml:space="preserve">Техника </v>
      </c>
      <c r="D7146" s="22" t="s">
        <v>28</v>
      </c>
      <c r="E7146" s="58"/>
      <c r="F7146" s="58"/>
      <c r="G7146" s="48">
        <v>1</v>
      </c>
      <c r="H7146" s="48"/>
      <c r="I7146" s="49"/>
      <c r="J7146" s="49"/>
      <c r="K7146" s="19"/>
      <c r="L7146" s="20"/>
      <c r="M7146" s="10"/>
      <c r="N7146" s="10"/>
      <c r="O7146" s="10"/>
      <c r="P7146" s="10"/>
      <c r="Q7146" s="10"/>
      <c r="R7146" s="10"/>
      <c r="S7146" s="10"/>
      <c r="T7146" s="10"/>
      <c r="U7146" s="10"/>
      <c r="V7146" s="10"/>
      <c r="W7146" s="10"/>
      <c r="X7146" s="10"/>
      <c r="Y7146" s="10"/>
      <c r="Z7146" s="10"/>
      <c r="AA7146" s="10"/>
      <c r="AB7146" s="10"/>
      <c r="AC7146" s="10"/>
      <c r="AD7146" s="10"/>
      <c r="AE7146" s="10"/>
      <c r="AF7146" s="10"/>
      <c r="AG7146" s="10"/>
      <c r="AH7146" s="10"/>
    </row>
    <row r="7147" spans="1:34" outlineLevel="2">
      <c r="A7147" s="143"/>
      <c r="B7147" s="12" t="str">
        <f>IFERROR(VLOOKUP(D7147,'[1]Перечень товаров'!$A$2:$I9525,2,0),"")</f>
        <v>т9</v>
      </c>
      <c r="C7147" s="12" t="str">
        <f>IFERROR(VLOOKUP(D7147,'[1]Перечень товаров'!$A$2:$I9525,3,0),"")</f>
        <v>Техника</v>
      </c>
      <c r="D7147" s="143" t="s">
        <v>36</v>
      </c>
      <c r="E7147" s="58"/>
      <c r="F7147" s="58"/>
      <c r="G7147" s="48">
        <v>1</v>
      </c>
      <c r="H7147" s="48"/>
      <c r="I7147" s="49"/>
      <c r="J7147" s="49"/>
      <c r="K7147" s="19"/>
      <c r="L7147" s="20"/>
      <c r="M7147" s="10"/>
      <c r="N7147" s="10"/>
      <c r="O7147" s="10"/>
      <c r="P7147" s="10"/>
      <c r="Q7147" s="10"/>
      <c r="R7147" s="10"/>
      <c r="S7147" s="10"/>
      <c r="T7147" s="10"/>
      <c r="U7147" s="10"/>
      <c r="V7147" s="10"/>
      <c r="W7147" s="10"/>
      <c r="X7147" s="10"/>
      <c r="Y7147" s="10"/>
      <c r="Z7147" s="10"/>
      <c r="AA7147" s="10"/>
      <c r="AB7147" s="10"/>
      <c r="AC7147" s="10"/>
      <c r="AD7147" s="10"/>
      <c r="AE7147" s="10"/>
      <c r="AF7147" s="10"/>
      <c r="AG7147" s="10"/>
      <c r="AH7147" s="10"/>
    </row>
    <row r="7148" spans="1:34" outlineLevel="2">
      <c r="A7148" s="35"/>
      <c r="B7148" s="12" t="str">
        <f>IFERROR(VLOOKUP(D7148,'[1]Перечень товаров'!$A$2:$I9525,2,0),"")</f>
        <v>т2</v>
      </c>
      <c r="C7148" s="12" t="str">
        <f>IFERROR(VLOOKUP(D7148,'[1]Перечень товаров'!$A$2:$I9525,3,0),"")</f>
        <v xml:space="preserve">Техника </v>
      </c>
      <c r="D7148" s="35" t="s">
        <v>29</v>
      </c>
      <c r="E7148" s="58"/>
      <c r="F7148" s="58"/>
      <c r="G7148" s="48">
        <v>1</v>
      </c>
      <c r="H7148" s="48"/>
      <c r="I7148" s="49"/>
      <c r="J7148" s="49"/>
      <c r="K7148" s="19"/>
      <c r="L7148" s="20"/>
      <c r="M7148" s="10"/>
      <c r="N7148" s="10"/>
      <c r="O7148" s="10"/>
      <c r="P7148" s="10"/>
      <c r="Q7148" s="10"/>
      <c r="R7148" s="10"/>
      <c r="S7148" s="10"/>
      <c r="T7148" s="10"/>
      <c r="U7148" s="10"/>
      <c r="V7148" s="10"/>
      <c r="W7148" s="10"/>
      <c r="X7148" s="10"/>
      <c r="Y7148" s="10"/>
      <c r="Z7148" s="10"/>
      <c r="AA7148" s="10"/>
      <c r="AB7148" s="10"/>
      <c r="AC7148" s="10"/>
      <c r="AD7148" s="10"/>
      <c r="AE7148" s="10"/>
      <c r="AF7148" s="10"/>
      <c r="AG7148" s="10"/>
      <c r="AH7148" s="10"/>
    </row>
    <row r="7149" spans="1:34" outlineLevel="2">
      <c r="A7149" s="35"/>
      <c r="B7149" s="12" t="str">
        <f>IFERROR(VLOOKUP(D7149,'[1]Перечень товаров'!$A$2:$I9525,2,0),"")</f>
        <v>т3</v>
      </c>
      <c r="C7149" s="12" t="str">
        <f>IFERROR(VLOOKUP(D7149,'[1]Перечень товаров'!$A$2:$I9525,3,0),"")</f>
        <v xml:space="preserve">Техника </v>
      </c>
      <c r="D7149" s="35" t="s">
        <v>30</v>
      </c>
      <c r="E7149" s="58"/>
      <c r="F7149" s="58"/>
      <c r="G7149" s="48">
        <v>1</v>
      </c>
      <c r="H7149" s="48"/>
      <c r="I7149" s="49"/>
      <c r="J7149" s="49"/>
      <c r="K7149" s="19"/>
      <c r="L7149" s="20"/>
      <c r="M7149" s="10"/>
      <c r="N7149" s="10"/>
      <c r="O7149" s="10"/>
      <c r="P7149" s="10"/>
      <c r="Q7149" s="10"/>
      <c r="R7149" s="10"/>
      <c r="S7149" s="10"/>
      <c r="T7149" s="10"/>
      <c r="U7149" s="10"/>
      <c r="V7149" s="10"/>
      <c r="W7149" s="10"/>
      <c r="X7149" s="10"/>
      <c r="Y7149" s="10"/>
      <c r="Z7149" s="10"/>
      <c r="AA7149" s="10"/>
      <c r="AB7149" s="10"/>
      <c r="AC7149" s="10"/>
      <c r="AD7149" s="10"/>
      <c r="AE7149" s="10"/>
      <c r="AF7149" s="10"/>
      <c r="AG7149" s="10"/>
      <c r="AH7149" s="10"/>
    </row>
    <row r="7150" spans="1:34" outlineLevel="2">
      <c r="A7150" s="35"/>
      <c r="B7150" s="12" t="str">
        <f>IFERROR(VLOOKUP(D7150,'[1]Перечень товаров'!$A$2:$I9525,2,0),"")</f>
        <v>т4</v>
      </c>
      <c r="C7150" s="12" t="str">
        <f>IFERROR(VLOOKUP(D7150,'[1]Перечень товаров'!$A$2:$I9525,3,0),"")</f>
        <v xml:space="preserve">Техника </v>
      </c>
      <c r="D7150" s="35" t="s">
        <v>31</v>
      </c>
      <c r="E7150" s="58"/>
      <c r="F7150" s="58"/>
      <c r="G7150" s="48">
        <v>1</v>
      </c>
      <c r="H7150" s="48"/>
      <c r="I7150" s="49"/>
      <c r="J7150" s="49"/>
      <c r="K7150" s="19"/>
      <c r="L7150" s="20"/>
      <c r="M7150" s="10"/>
      <c r="N7150" s="10"/>
      <c r="O7150" s="10"/>
      <c r="P7150" s="10"/>
      <c r="Q7150" s="10"/>
      <c r="R7150" s="10"/>
      <c r="S7150" s="10"/>
      <c r="T7150" s="10"/>
      <c r="U7150" s="10"/>
      <c r="V7150" s="10"/>
      <c r="W7150" s="10"/>
      <c r="X7150" s="10"/>
      <c r="Y7150" s="10"/>
      <c r="Z7150" s="10"/>
      <c r="AA7150" s="10"/>
      <c r="AB7150" s="10"/>
      <c r="AC7150" s="10"/>
      <c r="AD7150" s="10"/>
      <c r="AE7150" s="10"/>
      <c r="AF7150" s="10"/>
      <c r="AG7150" s="10"/>
      <c r="AH7150" s="10"/>
    </row>
    <row r="7151" spans="1:34" outlineLevel="2">
      <c r="A7151" s="21"/>
      <c r="B7151" s="12" t="str">
        <f>IFERROR(VLOOKUP(D7151,'[1]Перечень товаров'!$A$2:$I9525,2,0),"")</f>
        <v>тм65</v>
      </c>
      <c r="C7151" s="12" t="str">
        <f>IFERROR(VLOOKUP(D7151,'[1]Перечень товаров'!$A$2:$I9525,3,0),"")</f>
        <v>Техника муз</v>
      </c>
      <c r="D7151" s="22" t="s">
        <v>380</v>
      </c>
      <c r="E7151" s="58"/>
      <c r="F7151" s="58"/>
      <c r="G7151" s="48">
        <v>1</v>
      </c>
      <c r="H7151" s="48"/>
      <c r="I7151" s="49"/>
      <c r="J7151" s="49"/>
      <c r="K7151" s="19"/>
      <c r="L7151" s="20"/>
      <c r="M7151" s="10"/>
      <c r="N7151" s="10"/>
      <c r="O7151" s="10"/>
      <c r="P7151" s="10"/>
      <c r="Q7151" s="10"/>
      <c r="R7151" s="10"/>
      <c r="S7151" s="10"/>
      <c r="T7151" s="10"/>
      <c r="U7151" s="10"/>
      <c r="V7151" s="10"/>
      <c r="W7151" s="10"/>
      <c r="X7151" s="10"/>
      <c r="Y7151" s="10"/>
      <c r="Z7151" s="10"/>
      <c r="AA7151" s="10"/>
      <c r="AB7151" s="10"/>
      <c r="AC7151" s="10"/>
      <c r="AD7151" s="10"/>
      <c r="AE7151" s="10"/>
      <c r="AF7151" s="10"/>
      <c r="AG7151" s="10"/>
      <c r="AH7151" s="10"/>
    </row>
    <row r="7152" spans="1:34" outlineLevel="2">
      <c r="A7152" s="21"/>
      <c r="B7152" s="12" t="str">
        <f>IFERROR(VLOOKUP(D7152,'[1]Перечень товаров'!$A$2:$I9525,2,0),"")</f>
        <v>т12</v>
      </c>
      <c r="C7152" s="12" t="str">
        <f>IFERROR(VLOOKUP(D7152,'[1]Перечень товаров'!$A$2:$I9525,3,0),"")</f>
        <v>Техника</v>
      </c>
      <c r="D7152" s="22" t="s">
        <v>49</v>
      </c>
      <c r="E7152" s="58"/>
      <c r="F7152" s="58"/>
      <c r="G7152" s="48">
        <v>1</v>
      </c>
      <c r="H7152" s="48"/>
      <c r="I7152" s="49"/>
      <c r="J7152" s="49"/>
      <c r="K7152" s="19"/>
      <c r="L7152" s="20"/>
      <c r="M7152" s="10"/>
      <c r="N7152" s="10"/>
      <c r="O7152" s="10"/>
      <c r="P7152" s="10"/>
      <c r="Q7152" s="10"/>
      <c r="R7152" s="10"/>
      <c r="S7152" s="10"/>
      <c r="T7152" s="10"/>
      <c r="U7152" s="10"/>
      <c r="V7152" s="10"/>
      <c r="W7152" s="10"/>
      <c r="X7152" s="10"/>
      <c r="Y7152" s="10"/>
      <c r="Z7152" s="10"/>
      <c r="AA7152" s="10"/>
      <c r="AB7152" s="10"/>
      <c r="AC7152" s="10"/>
      <c r="AD7152" s="10"/>
      <c r="AE7152" s="10"/>
      <c r="AF7152" s="10"/>
      <c r="AG7152" s="10"/>
      <c r="AH7152" s="10"/>
    </row>
    <row r="7153" spans="1:34" outlineLevel="2">
      <c r="A7153" s="35"/>
      <c r="B7153" s="12" t="str">
        <f>IFERROR(VLOOKUP(D7153,'[1]Перечень товаров'!$A$2:$I9525,2,0),"")</f>
        <v>т6</v>
      </c>
      <c r="C7153" s="12" t="str">
        <f>IFERROR(VLOOKUP(D7153,'[1]Перечень товаров'!$A$2:$I9525,3,0),"")</f>
        <v xml:space="preserve">Техника </v>
      </c>
      <c r="D7153" s="35" t="s">
        <v>33</v>
      </c>
      <c r="E7153" s="58"/>
      <c r="F7153" s="58"/>
      <c r="G7153" s="48">
        <v>1</v>
      </c>
      <c r="H7153" s="48"/>
      <c r="I7153" s="49"/>
      <c r="J7153" s="49"/>
      <c r="K7153" s="19"/>
      <c r="L7153" s="20"/>
      <c r="M7153" s="10"/>
      <c r="N7153" s="10"/>
      <c r="O7153" s="10"/>
      <c r="P7153" s="10"/>
      <c r="Q7153" s="10"/>
      <c r="R7153" s="10"/>
      <c r="S7153" s="10"/>
      <c r="T7153" s="10"/>
      <c r="U7153" s="10"/>
      <c r="V7153" s="10"/>
      <c r="W7153" s="10"/>
      <c r="X7153" s="10"/>
      <c r="Y7153" s="10"/>
      <c r="Z7153" s="10"/>
      <c r="AA7153" s="10"/>
      <c r="AB7153" s="10"/>
      <c r="AC7153" s="10"/>
      <c r="AD7153" s="10"/>
      <c r="AE7153" s="10"/>
      <c r="AF7153" s="10"/>
      <c r="AG7153" s="10"/>
      <c r="AH7153" s="10"/>
    </row>
    <row r="7154" spans="1:34" outlineLevel="2">
      <c r="A7154" s="21"/>
      <c r="B7154" s="12" t="str">
        <f>IFERROR(VLOOKUP(D7154,'[1]Перечень товаров'!$A$2:$I9525,2,0),"")</f>
        <v>т7</v>
      </c>
      <c r="C7154" s="12" t="str">
        <f>IFERROR(VLOOKUP(D7154,'[1]Перечень товаров'!$A$2:$I9525,3,0),"")</f>
        <v xml:space="preserve">Техника </v>
      </c>
      <c r="D7154" s="22" t="s">
        <v>34</v>
      </c>
      <c r="E7154" s="58"/>
      <c r="F7154" s="58"/>
      <c r="G7154" s="48">
        <v>3</v>
      </c>
      <c r="H7154" s="48"/>
      <c r="I7154" s="49"/>
      <c r="J7154" s="49"/>
      <c r="K7154" s="19"/>
      <c r="L7154" s="20"/>
      <c r="M7154" s="10"/>
      <c r="N7154" s="10"/>
      <c r="O7154" s="10"/>
      <c r="P7154" s="10"/>
      <c r="Q7154" s="10"/>
      <c r="R7154" s="10"/>
      <c r="S7154" s="10"/>
      <c r="T7154" s="10"/>
      <c r="U7154" s="10"/>
      <c r="V7154" s="10"/>
      <c r="W7154" s="10"/>
      <c r="X7154" s="10"/>
      <c r="Y7154" s="10"/>
      <c r="Z7154" s="10"/>
      <c r="AA7154" s="10"/>
      <c r="AB7154" s="10"/>
      <c r="AC7154" s="10"/>
      <c r="AD7154" s="10"/>
      <c r="AE7154" s="10"/>
      <c r="AF7154" s="10"/>
      <c r="AG7154" s="10"/>
      <c r="AH7154" s="10"/>
    </row>
    <row r="7155" spans="1:34" outlineLevel="2">
      <c r="A7155" s="28"/>
      <c r="B7155" s="12" t="str">
        <f>IFERROR(VLOOKUP(D7155,'[1]Перечень товаров'!$A$2:$I9525,2,0),"")</f>
        <v>т161</v>
      </c>
      <c r="C7155" s="12" t="str">
        <f>IFERROR(VLOOKUP(D7155,'[1]Перечень товаров'!$A$2:$I9525,3,0),"")</f>
        <v xml:space="preserve">Техника </v>
      </c>
      <c r="D7155" s="29" t="s">
        <v>381</v>
      </c>
      <c r="E7155" s="30"/>
      <c r="F7155" s="30"/>
      <c r="G7155" s="59">
        <v>1</v>
      </c>
      <c r="H7155" s="59"/>
      <c r="I7155" s="60"/>
      <c r="J7155" s="60"/>
      <c r="K7155" s="19"/>
      <c r="L7155" s="20"/>
      <c r="M7155" s="10"/>
      <c r="N7155" s="10"/>
      <c r="O7155" s="10"/>
      <c r="P7155" s="10"/>
      <c r="Q7155" s="10"/>
      <c r="R7155" s="10"/>
      <c r="S7155" s="10"/>
      <c r="T7155" s="10"/>
      <c r="U7155" s="10"/>
      <c r="V7155" s="10"/>
      <c r="W7155" s="10"/>
      <c r="X7155" s="10"/>
      <c r="Y7155" s="10"/>
      <c r="Z7155" s="10"/>
      <c r="AA7155" s="10"/>
      <c r="AB7155" s="10"/>
      <c r="AC7155" s="10"/>
      <c r="AD7155" s="10"/>
      <c r="AE7155" s="10"/>
      <c r="AF7155" s="10"/>
      <c r="AG7155" s="10"/>
      <c r="AH7155" s="10"/>
    </row>
    <row r="7156" spans="1:34" outlineLevel="2">
      <c r="A7156" s="113"/>
      <c r="B7156" s="12" t="str">
        <f>IFERROR(VLOOKUP(D7156,'[1]Перечень товаров'!$A$2:$I9525,2,0),"")</f>
        <v/>
      </c>
      <c r="C7156" s="12" t="str">
        <f>IFERROR(VLOOKUP(D7156,'[1]Перечень товаров'!$A$2:$I9525,3,0),"")</f>
        <v/>
      </c>
      <c r="D7156" s="114" t="s">
        <v>19</v>
      </c>
      <c r="E7156" s="115"/>
      <c r="F7156" s="115"/>
      <c r="G7156" s="59"/>
      <c r="H7156" s="59"/>
      <c r="I7156" s="60"/>
      <c r="J7156" s="60"/>
      <c r="K7156" s="19"/>
      <c r="L7156" s="20"/>
      <c r="M7156" s="10"/>
      <c r="N7156" s="10"/>
      <c r="O7156" s="10"/>
      <c r="P7156" s="10"/>
      <c r="Q7156" s="10"/>
      <c r="R7156" s="10"/>
      <c r="S7156" s="10"/>
      <c r="T7156" s="10"/>
      <c r="U7156" s="10"/>
      <c r="V7156" s="10"/>
      <c r="W7156" s="10"/>
      <c r="X7156" s="10"/>
      <c r="Y7156" s="10"/>
      <c r="Z7156" s="10"/>
      <c r="AA7156" s="10"/>
      <c r="AB7156" s="10"/>
      <c r="AC7156" s="10"/>
      <c r="AD7156" s="10"/>
      <c r="AE7156" s="10"/>
      <c r="AF7156" s="10"/>
      <c r="AG7156" s="10"/>
      <c r="AH7156" s="10"/>
    </row>
    <row r="7157" spans="1:34" outlineLevel="2">
      <c r="A7157" s="34"/>
      <c r="B7157" s="12" t="str">
        <f>IFERROR(VLOOKUP(D7157,'[1]Перечень товаров'!$A$2:$I9525,2,0),"")</f>
        <v>м62</v>
      </c>
      <c r="C7157" s="12" t="str">
        <f>IFERROR(VLOOKUP(D7157,'[1]Перечень товаров'!$A$2:$I9525,3,0),"")</f>
        <v>Мебель</v>
      </c>
      <c r="D7157" s="35" t="s">
        <v>398</v>
      </c>
      <c r="E7157" s="88"/>
      <c r="F7157" s="88"/>
      <c r="G7157" s="59">
        <v>1</v>
      </c>
      <c r="H7157" s="59"/>
      <c r="I7157" s="60"/>
      <c r="J7157" s="60"/>
      <c r="K7157" s="19"/>
      <c r="L7157" s="20"/>
      <c r="M7157" s="10"/>
      <c r="N7157" s="10"/>
      <c r="O7157" s="10"/>
      <c r="P7157" s="10"/>
      <c r="Q7157" s="10"/>
      <c r="R7157" s="10"/>
      <c r="S7157" s="10"/>
      <c r="T7157" s="10"/>
      <c r="U7157" s="10"/>
      <c r="V7157" s="10"/>
      <c r="W7157" s="10"/>
      <c r="X7157" s="10"/>
      <c r="Y7157" s="10"/>
      <c r="Z7157" s="10"/>
      <c r="AA7157" s="10"/>
      <c r="AB7157" s="10"/>
      <c r="AC7157" s="10"/>
      <c r="AD7157" s="10"/>
      <c r="AE7157" s="10"/>
      <c r="AF7157" s="10"/>
      <c r="AG7157" s="10"/>
      <c r="AH7157" s="10"/>
    </row>
    <row r="7158" spans="1:34" outlineLevel="2">
      <c r="A7158" s="34"/>
      <c r="B7158" s="12" t="str">
        <f>IFERROR(VLOOKUP(D7158,'[1]Перечень товаров'!$A$2:$I9525,2,0),"")</f>
        <v>м61</v>
      </c>
      <c r="C7158" s="12" t="str">
        <f>IFERROR(VLOOKUP(D7158,'[1]Перечень товаров'!$A$2:$I9525,3,0),"")</f>
        <v>Мебель</v>
      </c>
      <c r="D7158" s="35" t="s">
        <v>383</v>
      </c>
      <c r="E7158" s="88"/>
      <c r="F7158" s="88"/>
      <c r="G7158" s="59">
        <v>1</v>
      </c>
      <c r="H7158" s="59"/>
      <c r="I7158" s="60"/>
      <c r="J7158" s="60"/>
      <c r="K7158" s="19"/>
      <c r="L7158" s="20"/>
      <c r="M7158" s="10"/>
      <c r="N7158" s="10"/>
      <c r="O7158" s="10"/>
      <c r="P7158" s="10"/>
      <c r="Q7158" s="10"/>
      <c r="R7158" s="10"/>
      <c r="S7158" s="10"/>
      <c r="T7158" s="10"/>
      <c r="U7158" s="10"/>
      <c r="V7158" s="10"/>
      <c r="W7158" s="10"/>
      <c r="X7158" s="10"/>
      <c r="Y7158" s="10"/>
      <c r="Z7158" s="10"/>
      <c r="AA7158" s="10"/>
      <c r="AB7158" s="10"/>
      <c r="AC7158" s="10"/>
      <c r="AD7158" s="10"/>
      <c r="AE7158" s="10"/>
      <c r="AF7158" s="10"/>
      <c r="AG7158" s="10"/>
      <c r="AH7158" s="10"/>
    </row>
    <row r="7159" spans="1:34" outlineLevel="2">
      <c r="A7159" s="34"/>
      <c r="B7159" s="12" t="str">
        <f>IFERROR(VLOOKUP(D7159,'[1]Перечень товаров'!$A$2:$I9525,2,0),"")</f>
        <v>м179</v>
      </c>
      <c r="C7159" s="12" t="str">
        <f>IFERROR(VLOOKUP(D7159,'[1]Перечень товаров'!$A$2:$I9525,3,0),"")</f>
        <v>Мебель</v>
      </c>
      <c r="D7159" s="35" t="s">
        <v>579</v>
      </c>
      <c r="E7159" s="88"/>
      <c r="F7159" s="88"/>
      <c r="G7159" s="59">
        <v>10</v>
      </c>
      <c r="H7159" s="59"/>
      <c r="I7159" s="60"/>
      <c r="J7159" s="60"/>
      <c r="K7159" s="19"/>
      <c r="L7159" s="20"/>
      <c r="M7159" s="10"/>
      <c r="N7159" s="10"/>
      <c r="O7159" s="10"/>
      <c r="P7159" s="10"/>
      <c r="Q7159" s="10"/>
      <c r="R7159" s="10"/>
      <c r="S7159" s="10"/>
      <c r="T7159" s="10"/>
      <c r="U7159" s="10"/>
      <c r="V7159" s="10"/>
      <c r="W7159" s="10"/>
      <c r="X7159" s="10"/>
      <c r="Y7159" s="10"/>
      <c r="Z7159" s="10"/>
      <c r="AA7159" s="10"/>
      <c r="AB7159" s="10"/>
      <c r="AC7159" s="10"/>
      <c r="AD7159" s="10"/>
      <c r="AE7159" s="10"/>
      <c r="AF7159" s="10"/>
      <c r="AG7159" s="10"/>
      <c r="AH7159" s="10"/>
    </row>
    <row r="7160" spans="1:34" outlineLevel="2">
      <c r="A7160" s="34"/>
      <c r="B7160" s="12" t="str">
        <f>IFERROR(VLOOKUP(D7160,'[1]Перечень товаров'!$A$2:$I9525,2,0),"")</f>
        <v>м61</v>
      </c>
      <c r="C7160" s="12" t="str">
        <f>IFERROR(VLOOKUP(D7160,'[1]Перечень товаров'!$A$2:$I9525,3,0),"")</f>
        <v>Мебель</v>
      </c>
      <c r="D7160" s="35" t="s">
        <v>384</v>
      </c>
      <c r="E7160" s="88"/>
      <c r="F7160" s="88"/>
      <c r="G7160" s="59">
        <v>20</v>
      </c>
      <c r="H7160" s="59"/>
      <c r="I7160" s="60"/>
      <c r="J7160" s="60"/>
      <c r="K7160" s="19"/>
      <c r="L7160" s="20"/>
      <c r="M7160" s="10"/>
      <c r="N7160" s="10"/>
      <c r="O7160" s="10"/>
      <c r="P7160" s="10"/>
      <c r="Q7160" s="10"/>
      <c r="R7160" s="10"/>
      <c r="S7160" s="10"/>
      <c r="T7160" s="10"/>
      <c r="U7160" s="10"/>
      <c r="V7160" s="10"/>
      <c r="W7160" s="10"/>
      <c r="X7160" s="10"/>
      <c r="Y7160" s="10"/>
      <c r="Z7160" s="10"/>
      <c r="AA7160" s="10"/>
      <c r="AB7160" s="10"/>
      <c r="AC7160" s="10"/>
      <c r="AD7160" s="10"/>
      <c r="AE7160" s="10"/>
      <c r="AF7160" s="10"/>
      <c r="AG7160" s="10"/>
      <c r="AH7160" s="10"/>
    </row>
    <row r="7161" spans="1:34" outlineLevel="2">
      <c r="A7161" s="21"/>
      <c r="B7161" s="12" t="str">
        <f>IFERROR(VLOOKUP(D7161,'[1]Перечень товаров'!$A$2:$I9525,2,0),"")</f>
        <v>м13</v>
      </c>
      <c r="C7161" s="12" t="str">
        <f>IFERROR(VLOOKUP(D7161,'[1]Перечень товаров'!$A$2:$I9525,3,0),"")</f>
        <v>Мебель</v>
      </c>
      <c r="D7161" s="22" t="s">
        <v>42</v>
      </c>
      <c r="E7161" s="58"/>
      <c r="F7161" s="58"/>
      <c r="G7161" s="24">
        <v>1</v>
      </c>
      <c r="H7161" s="24"/>
      <c r="I7161" s="25"/>
      <c r="J7161" s="25"/>
      <c r="K7161" s="19"/>
      <c r="L7161" s="20"/>
      <c r="M7161" s="10"/>
      <c r="N7161" s="10"/>
      <c r="O7161" s="10"/>
      <c r="P7161" s="10"/>
      <c r="Q7161" s="10"/>
      <c r="R7161" s="10"/>
      <c r="S7161" s="10"/>
      <c r="T7161" s="10"/>
      <c r="U7161" s="10"/>
      <c r="V7161" s="10"/>
      <c r="W7161" s="10"/>
      <c r="X7161" s="10"/>
      <c r="Y7161" s="10"/>
      <c r="Z7161" s="10"/>
      <c r="AA7161" s="10"/>
      <c r="AB7161" s="10"/>
      <c r="AC7161" s="10"/>
      <c r="AD7161" s="10"/>
      <c r="AE7161" s="10"/>
      <c r="AF7161" s="10"/>
      <c r="AG7161" s="10"/>
      <c r="AH7161" s="10"/>
    </row>
    <row r="7162" spans="1:34" outlineLevel="2">
      <c r="A7162" s="21"/>
      <c r="B7162" s="12" t="str">
        <f>IFERROR(VLOOKUP(D7162,'[1]Перечень товаров'!$A$2:$I9525,2,0),"")</f>
        <v>м14</v>
      </c>
      <c r="C7162" s="12" t="str">
        <f>IFERROR(VLOOKUP(D7162,'[1]Перечень товаров'!$A$2:$I9525,3,0),"")</f>
        <v>Мебель</v>
      </c>
      <c r="D7162" s="22" t="s">
        <v>43</v>
      </c>
      <c r="E7162" s="58"/>
      <c r="F7162" s="58"/>
      <c r="G7162" s="24">
        <v>1</v>
      </c>
      <c r="H7162" s="24"/>
      <c r="I7162" s="25"/>
      <c r="J7162" s="25"/>
      <c r="K7162" s="19"/>
      <c r="L7162" s="20"/>
      <c r="M7162" s="10"/>
      <c r="N7162" s="10"/>
      <c r="O7162" s="10"/>
      <c r="P7162" s="10"/>
      <c r="Q7162" s="10"/>
      <c r="R7162" s="10"/>
      <c r="S7162" s="10"/>
      <c r="T7162" s="10"/>
      <c r="U7162" s="10"/>
      <c r="V7162" s="10"/>
      <c r="W7162" s="10"/>
      <c r="X7162" s="10"/>
      <c r="Y7162" s="10"/>
      <c r="Z7162" s="10"/>
      <c r="AA7162" s="10"/>
      <c r="AB7162" s="10"/>
      <c r="AC7162" s="10"/>
      <c r="AD7162" s="10"/>
      <c r="AE7162" s="10"/>
      <c r="AF7162" s="10"/>
      <c r="AG7162" s="10"/>
      <c r="AH7162" s="10"/>
    </row>
    <row r="7163" spans="1:34" ht="31.5" outlineLevel="2">
      <c r="A7163" s="155"/>
      <c r="B7163" s="12" t="str">
        <f>IFERROR(VLOOKUP(D7163,'[1]Перечень товаров'!$A$2:$I9525,2,0),"")</f>
        <v>м21</v>
      </c>
      <c r="C7163" s="12" t="str">
        <f>IFERROR(VLOOKUP(D7163,'[1]Перечень товаров'!$A$2:$I9525,3,0),"")</f>
        <v>Мебель</v>
      </c>
      <c r="D7163" s="156" t="s">
        <v>58</v>
      </c>
      <c r="E7163" s="58"/>
      <c r="F7163" s="58"/>
      <c r="G7163" s="24">
        <v>1</v>
      </c>
      <c r="H7163" s="24"/>
      <c r="I7163" s="25"/>
      <c r="J7163" s="25"/>
      <c r="K7163" s="19"/>
      <c r="L7163" s="20"/>
      <c r="M7163" s="10"/>
      <c r="N7163" s="10"/>
      <c r="O7163" s="10"/>
      <c r="P7163" s="10"/>
      <c r="Q7163" s="10"/>
      <c r="R7163" s="10"/>
      <c r="S7163" s="10"/>
      <c r="T7163" s="10"/>
      <c r="U7163" s="10"/>
      <c r="V7163" s="10"/>
      <c r="W7163" s="10"/>
      <c r="X7163" s="10"/>
      <c r="Y7163" s="10"/>
      <c r="Z7163" s="10"/>
      <c r="AA7163" s="10"/>
      <c r="AB7163" s="10"/>
      <c r="AC7163" s="10"/>
      <c r="AD7163" s="10"/>
      <c r="AE7163" s="10"/>
      <c r="AF7163" s="10"/>
      <c r="AG7163" s="10"/>
      <c r="AH7163" s="10"/>
    </row>
    <row r="7164" spans="1:34" ht="15" outlineLevel="2">
      <c r="A7164" s="116"/>
      <c r="B7164" s="12" t="str">
        <f>IFERROR(VLOOKUP(D7164,'[1]Перечень товаров'!$A$2:$I9525,2,0),"")</f>
        <v/>
      </c>
      <c r="C7164" s="12" t="str">
        <f>IFERROR(VLOOKUP(D7164,'[1]Перечень товаров'!$A$2:$I9525,3,0),"")</f>
        <v/>
      </c>
      <c r="D7164" s="117" t="s">
        <v>391</v>
      </c>
      <c r="E7164" s="118"/>
      <c r="F7164" s="118"/>
      <c r="G7164" s="119"/>
      <c r="H7164" s="119"/>
      <c r="I7164" s="120"/>
      <c r="J7164" s="120"/>
      <c r="K7164" s="19"/>
      <c r="L7164" s="20"/>
    </row>
    <row r="7165" spans="1:34" ht="15" outlineLevel="2">
      <c r="A7165" s="274"/>
      <c r="B7165" s="12" t="str">
        <f>IFERROR(VLOOKUP(D7165,'[1]Перечень товаров'!$A$2:$I9525,2,0),"")</f>
        <v/>
      </c>
      <c r="C7165" s="12" t="str">
        <f>IFERROR(VLOOKUP(D7165,'[1]Перечень товаров'!$A$2:$I9525,3,0),"")</f>
        <v/>
      </c>
      <c r="D7165" s="275" t="s">
        <v>1828</v>
      </c>
      <c r="E7165" s="118"/>
      <c r="F7165" s="118"/>
      <c r="G7165" s="119"/>
      <c r="H7165" s="119"/>
      <c r="I7165" s="120"/>
      <c r="J7165" s="120"/>
      <c r="K7165" s="19"/>
      <c r="L7165" s="20"/>
    </row>
    <row r="7166" spans="1:34" outlineLevel="2">
      <c r="A7166" s="28"/>
      <c r="B7166" s="12" t="str">
        <f>IFERROR(VLOOKUP(D7166,'[1]Перечень товаров'!$A$2:$I9525,2,0),"")</f>
        <v>тм87</v>
      </c>
      <c r="C7166" s="12" t="str">
        <f>IFERROR(VLOOKUP(D7166,'[1]Перечень товаров'!$A$2:$I9525,3,0),"")</f>
        <v>Техника муз</v>
      </c>
      <c r="D7166" s="29" t="s">
        <v>1829</v>
      </c>
      <c r="E7166" s="30"/>
      <c r="F7166" s="30"/>
      <c r="G7166" s="31">
        <v>2</v>
      </c>
      <c r="H7166" s="31"/>
      <c r="I7166" s="32"/>
      <c r="J7166" s="32"/>
      <c r="K7166" s="19"/>
      <c r="L7166" s="20"/>
    </row>
    <row r="7167" spans="1:34" outlineLevel="2">
      <c r="A7167" s="28"/>
      <c r="B7167" s="12" t="str">
        <f>IFERROR(VLOOKUP(D7167,'[1]Перечень товаров'!$A$2:$I9525,2,0),"")</f>
        <v>тм86</v>
      </c>
      <c r="C7167" s="12" t="str">
        <f>IFERROR(VLOOKUP(D7167,'[1]Перечень товаров'!$A$2:$I9525,3,0),"")</f>
        <v>Техника муз</v>
      </c>
      <c r="D7167" s="29" t="s">
        <v>1830</v>
      </c>
      <c r="E7167" s="30"/>
      <c r="F7167" s="30"/>
      <c r="G7167" s="31">
        <v>3</v>
      </c>
      <c r="H7167" s="31"/>
      <c r="I7167" s="32"/>
      <c r="J7167" s="32"/>
      <c r="K7167" s="19"/>
      <c r="L7167" s="20"/>
    </row>
    <row r="7168" spans="1:34" outlineLevel="2">
      <c r="A7168" s="28"/>
      <c r="B7168" s="12" t="str">
        <f>IFERROR(VLOOKUP(D7168,'[1]Перечень товаров'!$A$2:$I9525,2,0),"")</f>
        <v>тм85</v>
      </c>
      <c r="C7168" s="12" t="str">
        <f>IFERROR(VLOOKUP(D7168,'[1]Перечень товаров'!$A$2:$I9525,3,0),"")</f>
        <v>Техника муз</v>
      </c>
      <c r="D7168" s="29" t="s">
        <v>1831</v>
      </c>
      <c r="E7168" s="30"/>
      <c r="F7168" s="30"/>
      <c r="G7168" s="31">
        <v>4</v>
      </c>
      <c r="H7168" s="31"/>
      <c r="I7168" s="32"/>
      <c r="J7168" s="32"/>
      <c r="K7168" s="19"/>
      <c r="L7168" s="20"/>
    </row>
    <row r="7169" spans="1:34" outlineLevel="2">
      <c r="A7169" s="28"/>
      <c r="B7169" s="12" t="str">
        <f>IFERROR(VLOOKUP(D7169,'[1]Перечень товаров'!$A$2:$I9525,2,0),"")</f>
        <v>тм84</v>
      </c>
      <c r="C7169" s="12" t="str">
        <f>IFERROR(VLOOKUP(D7169,'[1]Перечень товаров'!$A$2:$I9525,3,0),"")</f>
        <v>Техника муз</v>
      </c>
      <c r="D7169" s="29" t="s">
        <v>1832</v>
      </c>
      <c r="E7169" s="30"/>
      <c r="F7169" s="30"/>
      <c r="G7169" s="31">
        <v>4</v>
      </c>
      <c r="H7169" s="31"/>
      <c r="I7169" s="32"/>
      <c r="J7169" s="32"/>
      <c r="K7169" s="19"/>
      <c r="L7169" s="20"/>
    </row>
    <row r="7170" spans="1:34" outlineLevel="2">
      <c r="A7170" s="28"/>
      <c r="B7170" s="12" t="str">
        <f>IFERROR(VLOOKUP(D7170,'[1]Перечень товаров'!$A$2:$I9525,2,0),"")</f>
        <v>тм83</v>
      </c>
      <c r="C7170" s="12" t="str">
        <f>IFERROR(VLOOKUP(D7170,'[1]Перечень товаров'!$A$2:$I9525,3,0),"")</f>
        <v>Техника муз</v>
      </c>
      <c r="D7170" s="29" t="s">
        <v>1833</v>
      </c>
      <c r="E7170" s="30"/>
      <c r="F7170" s="30"/>
      <c r="G7170" s="31">
        <v>5</v>
      </c>
      <c r="H7170" s="31"/>
      <c r="I7170" s="32"/>
      <c r="J7170" s="32"/>
      <c r="K7170" s="19"/>
      <c r="L7170" s="20"/>
    </row>
    <row r="7171" spans="1:34" outlineLevel="2">
      <c r="A7171" s="28"/>
      <c r="B7171" s="12" t="str">
        <f>IFERROR(VLOOKUP(D7171,'[1]Перечень товаров'!$A$2:$I9525,2,0),"")</f>
        <v>тм82</v>
      </c>
      <c r="C7171" s="12" t="str">
        <f>IFERROR(VLOOKUP(D7171,'[1]Перечень товаров'!$A$2:$I9525,3,0),"")</f>
        <v>Техника муз</v>
      </c>
      <c r="D7171" s="29" t="s">
        <v>1834</v>
      </c>
      <c r="E7171" s="30"/>
      <c r="F7171" s="30"/>
      <c r="G7171" s="31">
        <v>2</v>
      </c>
      <c r="H7171" s="31"/>
      <c r="I7171" s="32"/>
      <c r="J7171" s="32"/>
      <c r="K7171" s="19"/>
      <c r="L7171" s="20"/>
    </row>
    <row r="7172" spans="1:34" ht="31.5" outlineLevel="2">
      <c r="A7172" s="28"/>
      <c r="B7172" s="12" t="str">
        <f>IFERROR(VLOOKUP(D7172,'[1]Перечень товаров'!$A$2:$I9525,2,0),"")</f>
        <v>тм81</v>
      </c>
      <c r="C7172" s="12" t="str">
        <f>IFERROR(VLOOKUP(D7172,'[1]Перечень товаров'!$A$2:$I9525,3,0),"")</f>
        <v>Техника муз</v>
      </c>
      <c r="D7172" s="29" t="s">
        <v>1835</v>
      </c>
      <c r="E7172" s="30"/>
      <c r="F7172" s="30"/>
      <c r="G7172" s="31">
        <v>18</v>
      </c>
      <c r="H7172" s="31"/>
      <c r="I7172" s="32"/>
      <c r="J7172" s="32"/>
      <c r="K7172" s="19"/>
      <c r="L7172" s="20"/>
    </row>
    <row r="7173" spans="1:34" outlineLevel="2">
      <c r="A7173" s="28"/>
      <c r="B7173" s="12" t="str">
        <f>IFERROR(VLOOKUP(D7173,'[1]Перечень товаров'!$A$2:$I9525,2,0),"")</f>
        <v>тм54</v>
      </c>
      <c r="C7173" s="12" t="str">
        <f>IFERROR(VLOOKUP(D7173,'[1]Перечень товаров'!$A$2:$I9525,3,0),"")</f>
        <v>Техника муз</v>
      </c>
      <c r="D7173" s="29" t="s">
        <v>310</v>
      </c>
      <c r="E7173" s="30"/>
      <c r="F7173" s="30"/>
      <c r="G7173" s="31">
        <v>30</v>
      </c>
      <c r="H7173" s="31"/>
      <c r="I7173" s="32"/>
      <c r="J7173" s="32"/>
      <c r="K7173" s="19"/>
      <c r="L7173" s="20"/>
    </row>
    <row r="7174" spans="1:34" ht="31.5" outlineLevel="2">
      <c r="A7174" s="28"/>
      <c r="B7174" s="12" t="str">
        <f>IFERROR(VLOOKUP(D7174,'[1]Перечень товаров'!$A$2:$I9525,2,0),"")</f>
        <v>тм80</v>
      </c>
      <c r="C7174" s="12" t="str">
        <f>IFERROR(VLOOKUP(D7174,'[1]Перечень товаров'!$A$2:$I9525,3,0),"")</f>
        <v>Техника муз</v>
      </c>
      <c r="D7174" s="29" t="s">
        <v>1836</v>
      </c>
      <c r="E7174" s="30"/>
      <c r="F7174" s="30"/>
      <c r="G7174" s="31">
        <v>5</v>
      </c>
      <c r="H7174" s="31"/>
      <c r="I7174" s="32"/>
      <c r="J7174" s="32"/>
      <c r="K7174" s="19"/>
      <c r="L7174" s="20"/>
    </row>
    <row r="7175" spans="1:34" outlineLevel="2">
      <c r="A7175" s="28"/>
      <c r="B7175" s="12" t="str">
        <f>IFERROR(VLOOKUP(D7175,'[1]Перечень товаров'!$A$2:$I9525,2,0),"")</f>
        <v>пм211</v>
      </c>
      <c r="C7175" s="12" t="str">
        <f>IFERROR(VLOOKUP(D7175,'[1]Перечень товаров'!$A$2:$I9525,3,0),"")</f>
        <v>прочее муз</v>
      </c>
      <c r="D7175" s="29" t="s">
        <v>995</v>
      </c>
      <c r="E7175" s="30"/>
      <c r="F7175" s="30"/>
      <c r="G7175" s="31">
        <v>10</v>
      </c>
      <c r="H7175" s="31"/>
      <c r="I7175" s="32"/>
      <c r="J7175" s="32"/>
      <c r="K7175" s="19"/>
      <c r="L7175" s="20"/>
    </row>
    <row r="7176" spans="1:34" ht="31.5" outlineLevel="2">
      <c r="A7176" s="28"/>
      <c r="B7176" s="12" t="str">
        <f>IFERROR(VLOOKUP(D7176,'[1]Перечень товаров'!$A$2:$I9525,2,0),"")</f>
        <v>тм79</v>
      </c>
      <c r="C7176" s="12" t="str">
        <f>IFERROR(VLOOKUP(D7176,'[1]Перечень товаров'!$A$2:$I9525,3,0),"")</f>
        <v>Техника муз</v>
      </c>
      <c r="D7176" s="29" t="s">
        <v>1837</v>
      </c>
      <c r="E7176" s="30"/>
      <c r="F7176" s="30"/>
      <c r="G7176" s="31">
        <v>18</v>
      </c>
      <c r="H7176" s="31"/>
      <c r="I7176" s="32"/>
      <c r="J7176" s="32"/>
      <c r="K7176" s="19"/>
      <c r="L7176" s="20"/>
    </row>
    <row r="7177" spans="1:34" outlineLevel="2">
      <c r="A7177" s="28"/>
      <c r="B7177" s="12" t="str">
        <f>IFERROR(VLOOKUP(D7177,'[1]Перечень товаров'!$A$2:$I9525,2,0),"")</f>
        <v>тм78</v>
      </c>
      <c r="C7177" s="12" t="str">
        <f>IFERROR(VLOOKUP(D7177,'[1]Перечень товаров'!$A$2:$I9525,3,0),"")</f>
        <v>Техника муз</v>
      </c>
      <c r="D7177" s="29" t="s">
        <v>1838</v>
      </c>
      <c r="E7177" s="30"/>
      <c r="F7177" s="30"/>
      <c r="G7177" s="31">
        <v>1</v>
      </c>
      <c r="H7177" s="31"/>
      <c r="I7177" s="32"/>
      <c r="J7177" s="32"/>
      <c r="K7177" s="19"/>
      <c r="L7177" s="20"/>
    </row>
    <row r="7178" spans="1:34" outlineLevel="2">
      <c r="A7178" s="54"/>
      <c r="B7178" s="12" t="str">
        <f>IFERROR(VLOOKUP(D7178,'[1]Перечень товаров'!$A$2:$I9525,2,0),"")</f>
        <v/>
      </c>
      <c r="C7178" s="12" t="str">
        <f>IFERROR(VLOOKUP(D7178,'[1]Перечень товаров'!$A$2:$I9525,3,0),"")</f>
        <v/>
      </c>
      <c r="D7178" s="55" t="s">
        <v>45</v>
      </c>
      <c r="E7178" s="217"/>
      <c r="F7178" s="217"/>
      <c r="G7178" s="59"/>
      <c r="H7178" s="59"/>
      <c r="I7178" s="60"/>
      <c r="J7178" s="60"/>
      <c r="K7178" s="19"/>
      <c r="L7178" s="20"/>
    </row>
    <row r="7179" spans="1:34" outlineLevel="2">
      <c r="A7179" s="43"/>
      <c r="B7179" s="12" t="str">
        <f>IFERROR(VLOOKUP(D7179,'[1]Перечень товаров'!$A$2:$I9525,2,0),"")</f>
        <v>м7</v>
      </c>
      <c r="C7179" s="12" t="str">
        <f>IFERROR(VLOOKUP(D7179,'[1]Перечень товаров'!$A$2:$I9525,3,0),"")</f>
        <v>Мебель</v>
      </c>
      <c r="D7179" s="44" t="s">
        <v>24</v>
      </c>
      <c r="E7179" s="30"/>
      <c r="F7179" s="30"/>
      <c r="G7179" s="59">
        <v>1</v>
      </c>
      <c r="H7179" s="59"/>
      <c r="I7179" s="60"/>
      <c r="J7179" s="60"/>
      <c r="K7179" s="19"/>
      <c r="L7179" s="20"/>
    </row>
    <row r="7180" spans="1:34" outlineLevel="2">
      <c r="A7180" s="43"/>
      <c r="B7180" s="12" t="str">
        <f>IFERROR(VLOOKUP(D7180,'[1]Перечень товаров'!$A$2:$I9525,2,0),"")</f>
        <v>п1</v>
      </c>
      <c r="C7180" s="12" t="str">
        <f>IFERROR(VLOOKUP(D7180,'[1]Перечень товаров'!$A$2:$I9525,3,0),"")</f>
        <v>Прочее</v>
      </c>
      <c r="D7180" s="44" t="s">
        <v>37</v>
      </c>
      <c r="E7180" s="30"/>
      <c r="F7180" s="30"/>
      <c r="G7180" s="59">
        <v>1</v>
      </c>
      <c r="H7180" s="59"/>
      <c r="I7180" s="60"/>
      <c r="J7180" s="60"/>
      <c r="K7180" s="19"/>
      <c r="L7180" s="20"/>
    </row>
    <row r="7181" spans="1:34" outlineLevel="2">
      <c r="A7181" s="21"/>
      <c r="B7181" s="12" t="str">
        <f>IFERROR(VLOOKUP(D7181,'[1]Перечень товаров'!$A$2:$I9525,2,0),"")</f>
        <v>п2</v>
      </c>
      <c r="C7181" s="12" t="str">
        <f>IFERROR(VLOOKUP(D7181,'[1]Перечень товаров'!$A$2:$I9525,3,0),"")</f>
        <v>Прочее</v>
      </c>
      <c r="D7181" s="22" t="s">
        <v>46</v>
      </c>
      <c r="E7181" s="58"/>
      <c r="F7181" s="58"/>
      <c r="G7181" s="24">
        <v>1</v>
      </c>
      <c r="H7181" s="24"/>
      <c r="I7181" s="25"/>
      <c r="J7181" s="25"/>
      <c r="K7181" s="19"/>
      <c r="L7181" s="20"/>
      <c r="M7181" s="10"/>
      <c r="N7181" s="10"/>
      <c r="O7181" s="10"/>
      <c r="P7181" s="10"/>
      <c r="Q7181" s="10"/>
      <c r="R7181" s="10"/>
      <c r="S7181" s="10"/>
      <c r="T7181" s="10"/>
      <c r="U7181" s="10"/>
      <c r="V7181" s="10"/>
      <c r="W7181" s="10"/>
      <c r="X7181" s="10"/>
      <c r="Y7181" s="10"/>
      <c r="Z7181" s="10"/>
      <c r="AA7181" s="10"/>
      <c r="AB7181" s="10"/>
      <c r="AC7181" s="10"/>
      <c r="AD7181" s="10"/>
      <c r="AE7181" s="10"/>
      <c r="AF7181" s="10"/>
      <c r="AG7181" s="10"/>
      <c r="AH7181" s="10"/>
    </row>
    <row r="7182" spans="1:34" ht="12.75" outlineLevel="1">
      <c r="A7182" s="11"/>
      <c r="B7182" s="12" t="str">
        <f>IFERROR(VLOOKUP(D7182,'[1]Перечень товаров'!$A$2:$I9525,2,0),"")</f>
        <v/>
      </c>
      <c r="C7182" s="12" t="str">
        <f>IFERROR(VLOOKUP(D7182,'[1]Перечень товаров'!$A$2:$I9525,3,0),"")</f>
        <v/>
      </c>
      <c r="D7182" s="27" t="s">
        <v>1827</v>
      </c>
      <c r="E7182" s="99">
        <v>46250</v>
      </c>
      <c r="F7182" s="99"/>
      <c r="G7182" s="100"/>
      <c r="H7182" s="100"/>
      <c r="I7182" s="101"/>
      <c r="J7182" s="101"/>
      <c r="K7182" s="19"/>
      <c r="L7182" s="20"/>
    </row>
    <row r="7183" spans="1:34" ht="15" outlineLevel="2">
      <c r="A7183" s="109"/>
      <c r="B7183" s="12" t="str">
        <f>IFERROR(VLOOKUP(D7183,'[1]Перечень товаров'!$A$2:$I9525,2,0),"")</f>
        <v/>
      </c>
      <c r="C7183" s="12" t="str">
        <f>IFERROR(VLOOKUP(D7183,'[1]Перечень товаров'!$A$2:$I9525,3,0),"")</f>
        <v/>
      </c>
      <c r="D7183" s="110" t="s">
        <v>27</v>
      </c>
      <c r="E7183" s="45"/>
      <c r="F7183" s="45"/>
      <c r="G7183" s="111"/>
      <c r="H7183" s="111"/>
      <c r="I7183" s="112"/>
      <c r="J7183" s="112"/>
      <c r="K7183" s="19"/>
      <c r="L7183" s="20"/>
    </row>
    <row r="7184" spans="1:34" outlineLevel="2">
      <c r="A7184" s="21"/>
      <c r="B7184" s="12" t="str">
        <f>IFERROR(VLOOKUP(D7184,'[1]Перечень товаров'!$A$2:$I9525,2,0),"")</f>
        <v>т1</v>
      </c>
      <c r="C7184" s="12" t="str">
        <f>IFERROR(VLOOKUP(D7184,'[1]Перечень товаров'!$A$2:$I9525,3,0),"")</f>
        <v xml:space="preserve">Техника </v>
      </c>
      <c r="D7184" s="22" t="s">
        <v>28</v>
      </c>
      <c r="E7184" s="58"/>
      <c r="F7184" s="58"/>
      <c r="G7184" s="48">
        <v>1</v>
      </c>
      <c r="H7184" s="48"/>
      <c r="I7184" s="49"/>
      <c r="J7184" s="49"/>
      <c r="K7184" s="19"/>
      <c r="L7184" s="20"/>
    </row>
    <row r="7185" spans="1:12" outlineLevel="2">
      <c r="A7185" s="143"/>
      <c r="B7185" s="12" t="str">
        <f>IFERROR(VLOOKUP(D7185,'[1]Перечень товаров'!$A$2:$I9525,2,0),"")</f>
        <v>т9</v>
      </c>
      <c r="C7185" s="12" t="str">
        <f>IFERROR(VLOOKUP(D7185,'[1]Перечень товаров'!$A$2:$I9525,3,0),"")</f>
        <v>Техника</v>
      </c>
      <c r="D7185" s="143" t="s">
        <v>36</v>
      </c>
      <c r="E7185" s="58"/>
      <c r="F7185" s="58"/>
      <c r="G7185" s="48">
        <v>1</v>
      </c>
      <c r="H7185" s="48"/>
      <c r="I7185" s="49"/>
      <c r="J7185" s="49"/>
      <c r="K7185" s="19"/>
      <c r="L7185" s="20"/>
    </row>
    <row r="7186" spans="1:12" outlineLevel="2">
      <c r="A7186" s="35"/>
      <c r="B7186" s="12" t="str">
        <f>IFERROR(VLOOKUP(D7186,'[1]Перечень товаров'!$A$2:$I9525,2,0),"")</f>
        <v>т2</v>
      </c>
      <c r="C7186" s="12" t="str">
        <f>IFERROR(VLOOKUP(D7186,'[1]Перечень товаров'!$A$2:$I9525,3,0),"")</f>
        <v xml:space="preserve">Техника </v>
      </c>
      <c r="D7186" s="35" t="s">
        <v>29</v>
      </c>
      <c r="E7186" s="58"/>
      <c r="F7186" s="58"/>
      <c r="G7186" s="48">
        <v>1</v>
      </c>
      <c r="H7186" s="48"/>
      <c r="I7186" s="49"/>
      <c r="J7186" s="49"/>
      <c r="K7186" s="19"/>
      <c r="L7186" s="20"/>
    </row>
    <row r="7187" spans="1:12" outlineLevel="2">
      <c r="A7187" s="35"/>
      <c r="B7187" s="12" t="str">
        <f>IFERROR(VLOOKUP(D7187,'[1]Перечень товаров'!$A$2:$I9525,2,0),"")</f>
        <v>т3</v>
      </c>
      <c r="C7187" s="12" t="str">
        <f>IFERROR(VLOOKUP(D7187,'[1]Перечень товаров'!$A$2:$I9525,3,0),"")</f>
        <v xml:space="preserve">Техника </v>
      </c>
      <c r="D7187" s="35" t="s">
        <v>30</v>
      </c>
      <c r="E7187" s="58"/>
      <c r="F7187" s="58"/>
      <c r="G7187" s="48">
        <v>1</v>
      </c>
      <c r="H7187" s="48"/>
      <c r="I7187" s="49"/>
      <c r="J7187" s="49"/>
      <c r="K7187" s="19"/>
      <c r="L7187" s="20"/>
    </row>
    <row r="7188" spans="1:12" outlineLevel="2">
      <c r="A7188" s="35"/>
      <c r="B7188" s="12" t="str">
        <f>IFERROR(VLOOKUP(D7188,'[1]Перечень товаров'!$A$2:$I9525,2,0),"")</f>
        <v>т4</v>
      </c>
      <c r="C7188" s="12" t="str">
        <f>IFERROR(VLOOKUP(D7188,'[1]Перечень товаров'!$A$2:$I9525,3,0),"")</f>
        <v xml:space="preserve">Техника </v>
      </c>
      <c r="D7188" s="35" t="s">
        <v>31</v>
      </c>
      <c r="E7188" s="58"/>
      <c r="F7188" s="58"/>
      <c r="G7188" s="48">
        <v>1</v>
      </c>
      <c r="H7188" s="48"/>
      <c r="I7188" s="49"/>
      <c r="J7188" s="49"/>
      <c r="K7188" s="19"/>
      <c r="L7188" s="20"/>
    </row>
    <row r="7189" spans="1:12" outlineLevel="2">
      <c r="A7189" s="21"/>
      <c r="B7189" s="12" t="str">
        <f>IFERROR(VLOOKUP(D7189,'[1]Перечень товаров'!$A$2:$I9525,2,0),"")</f>
        <v>тм65</v>
      </c>
      <c r="C7189" s="12" t="str">
        <f>IFERROR(VLOOKUP(D7189,'[1]Перечень товаров'!$A$2:$I9525,3,0),"")</f>
        <v>Техника муз</v>
      </c>
      <c r="D7189" s="22" t="s">
        <v>380</v>
      </c>
      <c r="E7189" s="58"/>
      <c r="F7189" s="58"/>
      <c r="G7189" s="48">
        <v>1</v>
      </c>
      <c r="H7189" s="48"/>
      <c r="I7189" s="49"/>
      <c r="J7189" s="49"/>
      <c r="K7189" s="19"/>
      <c r="L7189" s="20"/>
    </row>
    <row r="7190" spans="1:12" outlineLevel="2">
      <c r="A7190" s="21"/>
      <c r="B7190" s="12" t="str">
        <f>IFERROR(VLOOKUP(D7190,'[1]Перечень товаров'!$A$2:$I9525,2,0),"")</f>
        <v>т12</v>
      </c>
      <c r="C7190" s="12" t="str">
        <f>IFERROR(VLOOKUP(D7190,'[1]Перечень товаров'!$A$2:$I9525,3,0),"")</f>
        <v>Техника</v>
      </c>
      <c r="D7190" s="22" t="s">
        <v>49</v>
      </c>
      <c r="E7190" s="58"/>
      <c r="F7190" s="58"/>
      <c r="G7190" s="48">
        <v>1</v>
      </c>
      <c r="H7190" s="48"/>
      <c r="I7190" s="49"/>
      <c r="J7190" s="49"/>
      <c r="K7190" s="19"/>
      <c r="L7190" s="20"/>
    </row>
    <row r="7191" spans="1:12" outlineLevel="2">
      <c r="A7191" s="35"/>
      <c r="B7191" s="12" t="str">
        <f>IFERROR(VLOOKUP(D7191,'[1]Перечень товаров'!$A$2:$I9525,2,0),"")</f>
        <v>т6</v>
      </c>
      <c r="C7191" s="12" t="str">
        <f>IFERROR(VLOOKUP(D7191,'[1]Перечень товаров'!$A$2:$I9525,3,0),"")</f>
        <v xml:space="preserve">Техника </v>
      </c>
      <c r="D7191" s="35" t="s">
        <v>33</v>
      </c>
      <c r="E7191" s="58"/>
      <c r="F7191" s="58"/>
      <c r="G7191" s="48">
        <v>1</v>
      </c>
      <c r="H7191" s="48"/>
      <c r="I7191" s="49"/>
      <c r="J7191" s="49"/>
      <c r="K7191" s="19"/>
      <c r="L7191" s="20"/>
    </row>
    <row r="7192" spans="1:12" outlineLevel="2">
      <c r="A7192" s="21"/>
      <c r="B7192" s="12" t="str">
        <f>IFERROR(VLOOKUP(D7192,'[1]Перечень товаров'!$A$2:$I9525,2,0),"")</f>
        <v>т7</v>
      </c>
      <c r="C7192" s="12" t="str">
        <f>IFERROR(VLOOKUP(D7192,'[1]Перечень товаров'!$A$2:$I9525,3,0),"")</f>
        <v xml:space="preserve">Техника </v>
      </c>
      <c r="D7192" s="22" t="s">
        <v>34</v>
      </c>
      <c r="E7192" s="58"/>
      <c r="F7192" s="58"/>
      <c r="G7192" s="48">
        <v>3</v>
      </c>
      <c r="H7192" s="48"/>
      <c r="I7192" s="49"/>
      <c r="J7192" s="49"/>
      <c r="K7192" s="19"/>
      <c r="L7192" s="20"/>
    </row>
    <row r="7193" spans="1:12" outlineLevel="2">
      <c r="A7193" s="28"/>
      <c r="B7193" s="12" t="str">
        <f>IFERROR(VLOOKUP(D7193,'[1]Перечень товаров'!$A$2:$I9525,2,0),"")</f>
        <v>т161</v>
      </c>
      <c r="C7193" s="12" t="str">
        <f>IFERROR(VLOOKUP(D7193,'[1]Перечень товаров'!$A$2:$I9525,3,0),"")</f>
        <v xml:space="preserve">Техника </v>
      </c>
      <c r="D7193" s="29" t="s">
        <v>381</v>
      </c>
      <c r="E7193" s="30"/>
      <c r="F7193" s="30"/>
      <c r="G7193" s="59">
        <v>1</v>
      </c>
      <c r="H7193" s="59"/>
      <c r="I7193" s="60"/>
      <c r="J7193" s="60"/>
      <c r="K7193" s="19"/>
      <c r="L7193" s="20"/>
    </row>
    <row r="7194" spans="1:12" outlineLevel="2">
      <c r="A7194" s="113"/>
      <c r="B7194" s="12" t="str">
        <f>IFERROR(VLOOKUP(D7194,'[1]Перечень товаров'!$A$2:$I9525,2,0),"")</f>
        <v/>
      </c>
      <c r="C7194" s="12" t="str">
        <f>IFERROR(VLOOKUP(D7194,'[1]Перечень товаров'!$A$2:$I9525,3,0),"")</f>
        <v/>
      </c>
      <c r="D7194" s="114" t="s">
        <v>19</v>
      </c>
      <c r="E7194" s="115"/>
      <c r="F7194" s="115"/>
      <c r="G7194" s="59"/>
      <c r="H7194" s="59"/>
      <c r="I7194" s="60"/>
      <c r="J7194" s="60"/>
      <c r="K7194" s="19"/>
      <c r="L7194" s="20"/>
    </row>
    <row r="7195" spans="1:12" outlineLevel="2">
      <c r="A7195" s="34"/>
      <c r="B7195" s="12" t="str">
        <f>IFERROR(VLOOKUP(D7195,'[1]Перечень товаров'!$A$2:$I9525,2,0),"")</f>
        <v>м62</v>
      </c>
      <c r="C7195" s="12" t="str">
        <f>IFERROR(VLOOKUP(D7195,'[1]Перечень товаров'!$A$2:$I9525,3,0),"")</f>
        <v>Мебель</v>
      </c>
      <c r="D7195" s="35" t="s">
        <v>398</v>
      </c>
      <c r="E7195" s="88"/>
      <c r="F7195" s="88"/>
      <c r="G7195" s="59">
        <v>1</v>
      </c>
      <c r="H7195" s="59"/>
      <c r="I7195" s="60"/>
      <c r="J7195" s="60"/>
      <c r="K7195" s="19"/>
      <c r="L7195" s="20"/>
    </row>
    <row r="7196" spans="1:12" outlineLevel="2">
      <c r="A7196" s="34"/>
      <c r="B7196" s="12" t="str">
        <f>IFERROR(VLOOKUP(D7196,'[1]Перечень товаров'!$A$2:$I9525,2,0),"")</f>
        <v>м61</v>
      </c>
      <c r="C7196" s="12" t="str">
        <f>IFERROR(VLOOKUP(D7196,'[1]Перечень товаров'!$A$2:$I9525,3,0),"")</f>
        <v>Мебель</v>
      </c>
      <c r="D7196" s="35" t="s">
        <v>383</v>
      </c>
      <c r="E7196" s="88"/>
      <c r="F7196" s="88"/>
      <c r="G7196" s="59">
        <v>1</v>
      </c>
      <c r="H7196" s="59"/>
      <c r="I7196" s="60"/>
      <c r="J7196" s="60"/>
      <c r="K7196" s="19"/>
      <c r="L7196" s="20"/>
    </row>
    <row r="7197" spans="1:12" outlineLevel="2">
      <c r="A7197" s="34"/>
      <c r="B7197" s="12" t="str">
        <f>IFERROR(VLOOKUP(D7197,'[1]Перечень товаров'!$A$2:$I9525,2,0),"")</f>
        <v>м179</v>
      </c>
      <c r="C7197" s="12" t="str">
        <f>IFERROR(VLOOKUP(D7197,'[1]Перечень товаров'!$A$2:$I9525,3,0),"")</f>
        <v>Мебель</v>
      </c>
      <c r="D7197" s="35" t="s">
        <v>579</v>
      </c>
      <c r="E7197" s="88"/>
      <c r="F7197" s="88"/>
      <c r="G7197" s="59">
        <v>10</v>
      </c>
      <c r="H7197" s="59"/>
      <c r="I7197" s="60"/>
      <c r="J7197" s="60"/>
      <c r="K7197" s="19"/>
      <c r="L7197" s="20"/>
    </row>
    <row r="7198" spans="1:12" outlineLevel="2">
      <c r="A7198" s="34"/>
      <c r="B7198" s="12" t="str">
        <f>IFERROR(VLOOKUP(D7198,'[1]Перечень товаров'!$A$2:$I9525,2,0),"")</f>
        <v>м61</v>
      </c>
      <c r="C7198" s="12" t="str">
        <f>IFERROR(VLOOKUP(D7198,'[1]Перечень товаров'!$A$2:$I9525,3,0),"")</f>
        <v>Мебель</v>
      </c>
      <c r="D7198" s="35" t="s">
        <v>384</v>
      </c>
      <c r="E7198" s="88"/>
      <c r="F7198" s="88"/>
      <c r="G7198" s="59">
        <v>20</v>
      </c>
      <c r="H7198" s="59"/>
      <c r="I7198" s="60"/>
      <c r="J7198" s="60"/>
      <c r="K7198" s="19"/>
      <c r="L7198" s="20"/>
    </row>
    <row r="7199" spans="1:12" outlineLevel="2">
      <c r="A7199" s="21"/>
      <c r="B7199" s="12" t="str">
        <f>IFERROR(VLOOKUP(D7199,'[1]Перечень товаров'!$A$2:$I9525,2,0),"")</f>
        <v>м13</v>
      </c>
      <c r="C7199" s="12" t="str">
        <f>IFERROR(VLOOKUP(D7199,'[1]Перечень товаров'!$A$2:$I9525,3,0),"")</f>
        <v>Мебель</v>
      </c>
      <c r="D7199" s="22" t="s">
        <v>42</v>
      </c>
      <c r="E7199" s="58"/>
      <c r="F7199" s="58"/>
      <c r="G7199" s="24">
        <v>1</v>
      </c>
      <c r="H7199" s="24"/>
      <c r="I7199" s="25"/>
      <c r="J7199" s="25"/>
      <c r="K7199" s="19"/>
      <c r="L7199" s="20"/>
    </row>
    <row r="7200" spans="1:12" outlineLevel="2">
      <c r="A7200" s="21"/>
      <c r="B7200" s="12" t="str">
        <f>IFERROR(VLOOKUP(D7200,'[1]Перечень товаров'!$A$2:$I9525,2,0),"")</f>
        <v>м14</v>
      </c>
      <c r="C7200" s="12" t="str">
        <f>IFERROR(VLOOKUP(D7200,'[1]Перечень товаров'!$A$2:$I9525,3,0),"")</f>
        <v>Мебель</v>
      </c>
      <c r="D7200" s="22" t="s">
        <v>43</v>
      </c>
      <c r="E7200" s="58"/>
      <c r="F7200" s="58"/>
      <c r="G7200" s="24">
        <v>1</v>
      </c>
      <c r="H7200" s="24"/>
      <c r="I7200" s="25"/>
      <c r="J7200" s="25"/>
      <c r="K7200" s="19"/>
      <c r="L7200" s="20"/>
    </row>
    <row r="7201" spans="1:12" ht="31.5" outlineLevel="2">
      <c r="A7201" s="155"/>
      <c r="B7201" s="12" t="str">
        <f>IFERROR(VLOOKUP(D7201,'[1]Перечень товаров'!$A$2:$I9525,2,0),"")</f>
        <v>м21</v>
      </c>
      <c r="C7201" s="12" t="str">
        <f>IFERROR(VLOOKUP(D7201,'[1]Перечень товаров'!$A$2:$I9525,3,0),"")</f>
        <v>Мебель</v>
      </c>
      <c r="D7201" s="156" t="s">
        <v>58</v>
      </c>
      <c r="E7201" s="58"/>
      <c r="F7201" s="58"/>
      <c r="G7201" s="24">
        <v>1</v>
      </c>
      <c r="H7201" s="24"/>
      <c r="I7201" s="25"/>
      <c r="J7201" s="25"/>
      <c r="K7201" s="19"/>
      <c r="L7201" s="20"/>
    </row>
    <row r="7202" spans="1:12" ht="15" outlineLevel="2">
      <c r="A7202" s="116"/>
      <c r="B7202" s="12" t="str">
        <f>IFERROR(VLOOKUP(D7202,'[1]Перечень товаров'!$A$2:$I9525,2,0),"")</f>
        <v/>
      </c>
      <c r="C7202" s="12" t="str">
        <f>IFERROR(VLOOKUP(D7202,'[1]Перечень товаров'!$A$2:$I9525,3,0),"")</f>
        <v/>
      </c>
      <c r="D7202" s="117" t="s">
        <v>391</v>
      </c>
      <c r="E7202" s="118"/>
      <c r="F7202" s="118"/>
      <c r="G7202" s="119"/>
      <c r="H7202" s="119"/>
      <c r="I7202" s="120"/>
      <c r="J7202" s="120"/>
      <c r="K7202" s="19"/>
      <c r="L7202" s="20"/>
    </row>
    <row r="7203" spans="1:12" ht="15" outlineLevel="2">
      <c r="A7203" s="274"/>
      <c r="B7203" s="12" t="str">
        <f>IFERROR(VLOOKUP(D7203,'[1]Перечень товаров'!$A$2:$I9525,2,0),"")</f>
        <v/>
      </c>
      <c r="C7203" s="12" t="str">
        <f>IFERROR(VLOOKUP(D7203,'[1]Перечень товаров'!$A$2:$I9525,3,0),"")</f>
        <v/>
      </c>
      <c r="D7203" s="275" t="s">
        <v>1828</v>
      </c>
      <c r="E7203" s="118"/>
      <c r="F7203" s="118"/>
      <c r="G7203" s="119"/>
      <c r="H7203" s="119"/>
      <c r="I7203" s="120"/>
      <c r="J7203" s="120"/>
      <c r="K7203" s="19"/>
      <c r="L7203" s="20"/>
    </row>
    <row r="7204" spans="1:12" outlineLevel="2">
      <c r="A7204" s="28"/>
      <c r="B7204" s="12" t="str">
        <f>IFERROR(VLOOKUP(D7204,'[1]Перечень товаров'!$A$2:$I9525,2,0),"")</f>
        <v>тм87</v>
      </c>
      <c r="C7204" s="12" t="str">
        <f>IFERROR(VLOOKUP(D7204,'[1]Перечень товаров'!$A$2:$I9525,3,0),"")</f>
        <v>Техника муз</v>
      </c>
      <c r="D7204" s="29" t="s">
        <v>1829</v>
      </c>
      <c r="E7204" s="30"/>
      <c r="F7204" s="30"/>
      <c r="G7204" s="31">
        <v>2</v>
      </c>
      <c r="H7204" s="31"/>
      <c r="I7204" s="32"/>
      <c r="J7204" s="32"/>
      <c r="K7204" s="19"/>
      <c r="L7204" s="20"/>
    </row>
    <row r="7205" spans="1:12" outlineLevel="2">
      <c r="A7205" s="28"/>
      <c r="B7205" s="12" t="str">
        <f>IFERROR(VLOOKUP(D7205,'[1]Перечень товаров'!$A$2:$I9525,2,0),"")</f>
        <v>тм86</v>
      </c>
      <c r="C7205" s="12" t="str">
        <f>IFERROR(VLOOKUP(D7205,'[1]Перечень товаров'!$A$2:$I9525,3,0),"")</f>
        <v>Техника муз</v>
      </c>
      <c r="D7205" s="29" t="s">
        <v>1830</v>
      </c>
      <c r="E7205" s="30"/>
      <c r="F7205" s="30"/>
      <c r="G7205" s="31">
        <v>3</v>
      </c>
      <c r="H7205" s="31"/>
      <c r="I7205" s="32"/>
      <c r="J7205" s="32"/>
      <c r="K7205" s="19"/>
      <c r="L7205" s="20"/>
    </row>
    <row r="7206" spans="1:12" outlineLevel="2">
      <c r="A7206" s="28"/>
      <c r="B7206" s="12" t="str">
        <f>IFERROR(VLOOKUP(D7206,'[1]Перечень товаров'!$A$2:$I9525,2,0),"")</f>
        <v>тм85</v>
      </c>
      <c r="C7206" s="12" t="str">
        <f>IFERROR(VLOOKUP(D7206,'[1]Перечень товаров'!$A$2:$I9525,3,0),"")</f>
        <v>Техника муз</v>
      </c>
      <c r="D7206" s="29" t="s">
        <v>1831</v>
      </c>
      <c r="E7206" s="30"/>
      <c r="F7206" s="30"/>
      <c r="G7206" s="31">
        <v>4</v>
      </c>
      <c r="H7206" s="31"/>
      <c r="I7206" s="32"/>
      <c r="J7206" s="32"/>
      <c r="K7206" s="19"/>
      <c r="L7206" s="20"/>
    </row>
    <row r="7207" spans="1:12" outlineLevel="2">
      <c r="A7207" s="28"/>
      <c r="B7207" s="12" t="str">
        <f>IFERROR(VLOOKUP(D7207,'[1]Перечень товаров'!$A$2:$I9525,2,0),"")</f>
        <v>тм84</v>
      </c>
      <c r="C7207" s="12" t="str">
        <f>IFERROR(VLOOKUP(D7207,'[1]Перечень товаров'!$A$2:$I9525,3,0),"")</f>
        <v>Техника муз</v>
      </c>
      <c r="D7207" s="29" t="s">
        <v>1832</v>
      </c>
      <c r="E7207" s="30"/>
      <c r="F7207" s="30"/>
      <c r="G7207" s="31">
        <v>4</v>
      </c>
      <c r="H7207" s="31"/>
      <c r="I7207" s="32"/>
      <c r="J7207" s="32"/>
      <c r="K7207" s="19"/>
      <c r="L7207" s="20"/>
    </row>
    <row r="7208" spans="1:12" outlineLevel="2">
      <c r="A7208" s="28"/>
      <c r="B7208" s="12" t="str">
        <f>IFERROR(VLOOKUP(D7208,'[1]Перечень товаров'!$A$2:$I9525,2,0),"")</f>
        <v>тм83</v>
      </c>
      <c r="C7208" s="12" t="str">
        <f>IFERROR(VLOOKUP(D7208,'[1]Перечень товаров'!$A$2:$I9525,3,0),"")</f>
        <v>Техника муз</v>
      </c>
      <c r="D7208" s="29" t="s">
        <v>1833</v>
      </c>
      <c r="E7208" s="30"/>
      <c r="F7208" s="30"/>
      <c r="G7208" s="31">
        <v>5</v>
      </c>
      <c r="H7208" s="31"/>
      <c r="I7208" s="32"/>
      <c r="J7208" s="32"/>
      <c r="K7208" s="19"/>
      <c r="L7208" s="20"/>
    </row>
    <row r="7209" spans="1:12" outlineLevel="2">
      <c r="A7209" s="28"/>
      <c r="B7209" s="12" t="str">
        <f>IFERROR(VLOOKUP(D7209,'[1]Перечень товаров'!$A$2:$I9525,2,0),"")</f>
        <v>тм82</v>
      </c>
      <c r="C7209" s="12" t="str">
        <f>IFERROR(VLOOKUP(D7209,'[1]Перечень товаров'!$A$2:$I9525,3,0),"")</f>
        <v>Техника муз</v>
      </c>
      <c r="D7209" s="29" t="s">
        <v>1834</v>
      </c>
      <c r="E7209" s="30"/>
      <c r="F7209" s="30"/>
      <c r="G7209" s="31">
        <v>2</v>
      </c>
      <c r="H7209" s="31"/>
      <c r="I7209" s="32"/>
      <c r="J7209" s="32"/>
      <c r="K7209" s="19"/>
      <c r="L7209" s="20"/>
    </row>
    <row r="7210" spans="1:12" ht="31.5" outlineLevel="2">
      <c r="A7210" s="28"/>
      <c r="B7210" s="12" t="str">
        <f>IFERROR(VLOOKUP(D7210,'[1]Перечень товаров'!$A$2:$I9525,2,0),"")</f>
        <v>тм81</v>
      </c>
      <c r="C7210" s="12" t="str">
        <f>IFERROR(VLOOKUP(D7210,'[1]Перечень товаров'!$A$2:$I9525,3,0),"")</f>
        <v>Техника муз</v>
      </c>
      <c r="D7210" s="29" t="s">
        <v>1835</v>
      </c>
      <c r="E7210" s="30"/>
      <c r="F7210" s="30"/>
      <c r="G7210" s="31">
        <v>18</v>
      </c>
      <c r="H7210" s="31"/>
      <c r="I7210" s="32"/>
      <c r="J7210" s="32"/>
      <c r="K7210" s="19"/>
      <c r="L7210" s="20"/>
    </row>
    <row r="7211" spans="1:12" outlineLevel="2">
      <c r="A7211" s="28"/>
      <c r="B7211" s="12" t="str">
        <f>IFERROR(VLOOKUP(D7211,'[1]Перечень товаров'!$A$2:$I9525,2,0),"")</f>
        <v>тм54</v>
      </c>
      <c r="C7211" s="12" t="str">
        <f>IFERROR(VLOOKUP(D7211,'[1]Перечень товаров'!$A$2:$I9525,3,0),"")</f>
        <v>Техника муз</v>
      </c>
      <c r="D7211" s="29" t="s">
        <v>310</v>
      </c>
      <c r="E7211" s="30"/>
      <c r="F7211" s="30"/>
      <c r="G7211" s="31">
        <v>30</v>
      </c>
      <c r="H7211" s="31"/>
      <c r="I7211" s="32"/>
      <c r="J7211" s="32"/>
      <c r="K7211" s="19"/>
      <c r="L7211" s="20"/>
    </row>
    <row r="7212" spans="1:12" ht="31.5" outlineLevel="2">
      <c r="A7212" s="28"/>
      <c r="B7212" s="12" t="str">
        <f>IFERROR(VLOOKUP(D7212,'[1]Перечень товаров'!$A$2:$I9525,2,0),"")</f>
        <v>тм80</v>
      </c>
      <c r="C7212" s="12" t="str">
        <f>IFERROR(VLOOKUP(D7212,'[1]Перечень товаров'!$A$2:$I9525,3,0),"")</f>
        <v>Техника муз</v>
      </c>
      <c r="D7212" s="29" t="s">
        <v>1836</v>
      </c>
      <c r="E7212" s="30"/>
      <c r="F7212" s="30"/>
      <c r="G7212" s="31">
        <v>5</v>
      </c>
      <c r="H7212" s="31"/>
      <c r="I7212" s="32"/>
      <c r="J7212" s="32"/>
      <c r="K7212" s="19"/>
      <c r="L7212" s="20"/>
    </row>
    <row r="7213" spans="1:12" outlineLevel="2">
      <c r="A7213" s="28"/>
      <c r="B7213" s="12" t="str">
        <f>IFERROR(VLOOKUP(D7213,'[1]Перечень товаров'!$A$2:$I9525,2,0),"")</f>
        <v>пм211</v>
      </c>
      <c r="C7213" s="12" t="str">
        <f>IFERROR(VLOOKUP(D7213,'[1]Перечень товаров'!$A$2:$I9525,3,0),"")</f>
        <v>прочее муз</v>
      </c>
      <c r="D7213" s="29" t="s">
        <v>995</v>
      </c>
      <c r="E7213" s="30"/>
      <c r="F7213" s="30"/>
      <c r="G7213" s="31">
        <v>10</v>
      </c>
      <c r="H7213" s="31"/>
      <c r="I7213" s="32"/>
      <c r="J7213" s="32"/>
      <c r="K7213" s="19"/>
      <c r="L7213" s="20"/>
    </row>
    <row r="7214" spans="1:12" ht="31.5" outlineLevel="2">
      <c r="A7214" s="28"/>
      <c r="B7214" s="12" t="str">
        <f>IFERROR(VLOOKUP(D7214,'[1]Перечень товаров'!$A$2:$I9525,2,0),"")</f>
        <v>тм79</v>
      </c>
      <c r="C7214" s="12" t="str">
        <f>IFERROR(VLOOKUP(D7214,'[1]Перечень товаров'!$A$2:$I9525,3,0),"")</f>
        <v>Техника муз</v>
      </c>
      <c r="D7214" s="29" t="s">
        <v>1837</v>
      </c>
      <c r="E7214" s="30"/>
      <c r="F7214" s="30"/>
      <c r="G7214" s="31">
        <v>18</v>
      </c>
      <c r="H7214" s="31"/>
      <c r="I7214" s="32"/>
      <c r="J7214" s="32"/>
      <c r="K7214" s="19"/>
      <c r="L7214" s="20"/>
    </row>
    <row r="7215" spans="1:12" outlineLevel="2">
      <c r="A7215" s="28"/>
      <c r="B7215" s="12" t="str">
        <f>IFERROR(VLOOKUP(D7215,'[1]Перечень товаров'!$A$2:$I9525,2,0),"")</f>
        <v>тм78</v>
      </c>
      <c r="C7215" s="12" t="str">
        <f>IFERROR(VLOOKUP(D7215,'[1]Перечень товаров'!$A$2:$I9525,3,0),"")</f>
        <v>Техника муз</v>
      </c>
      <c r="D7215" s="29" t="s">
        <v>1838</v>
      </c>
      <c r="E7215" s="30"/>
      <c r="F7215" s="30"/>
      <c r="G7215" s="31">
        <v>1</v>
      </c>
      <c r="H7215" s="31"/>
      <c r="I7215" s="32"/>
      <c r="J7215" s="32"/>
      <c r="K7215" s="19"/>
      <c r="L7215" s="20"/>
    </row>
    <row r="7216" spans="1:12" outlineLevel="2">
      <c r="A7216" s="54"/>
      <c r="B7216" s="12" t="str">
        <f>IFERROR(VLOOKUP(D7216,'[1]Перечень товаров'!$A$2:$I9525,2,0),"")</f>
        <v/>
      </c>
      <c r="C7216" s="12" t="str">
        <f>IFERROR(VLOOKUP(D7216,'[1]Перечень товаров'!$A$2:$I9525,3,0),"")</f>
        <v/>
      </c>
      <c r="D7216" s="55" t="s">
        <v>45</v>
      </c>
      <c r="E7216" s="217"/>
      <c r="F7216" s="217"/>
      <c r="G7216" s="59"/>
      <c r="H7216" s="59"/>
      <c r="I7216" s="60"/>
      <c r="J7216" s="60"/>
      <c r="K7216" s="19"/>
      <c r="L7216" s="20"/>
    </row>
    <row r="7217" spans="1:12" outlineLevel="2">
      <c r="A7217" s="43"/>
      <c r="B7217" s="12" t="str">
        <f>IFERROR(VLOOKUP(D7217,'[1]Перечень товаров'!$A$2:$I9525,2,0),"")</f>
        <v>м7</v>
      </c>
      <c r="C7217" s="12" t="str">
        <f>IFERROR(VLOOKUP(D7217,'[1]Перечень товаров'!$A$2:$I9525,3,0),"")</f>
        <v>Мебель</v>
      </c>
      <c r="D7217" s="44" t="s">
        <v>24</v>
      </c>
      <c r="E7217" s="30"/>
      <c r="F7217" s="30"/>
      <c r="G7217" s="59">
        <v>1</v>
      </c>
      <c r="H7217" s="59"/>
      <c r="I7217" s="60"/>
      <c r="J7217" s="60"/>
      <c r="K7217" s="19"/>
      <c r="L7217" s="20"/>
    </row>
    <row r="7218" spans="1:12" outlineLevel="2">
      <c r="A7218" s="43"/>
      <c r="B7218" s="12" t="str">
        <f>IFERROR(VLOOKUP(D7218,'[1]Перечень товаров'!$A$2:$I9525,2,0),"")</f>
        <v>п1</v>
      </c>
      <c r="C7218" s="12" t="str">
        <f>IFERROR(VLOOKUP(D7218,'[1]Перечень товаров'!$A$2:$I9525,3,0),"")</f>
        <v>Прочее</v>
      </c>
      <c r="D7218" s="44" t="s">
        <v>37</v>
      </c>
      <c r="E7218" s="30"/>
      <c r="F7218" s="30"/>
      <c r="G7218" s="59">
        <v>1</v>
      </c>
      <c r="H7218" s="59"/>
      <c r="I7218" s="60"/>
      <c r="J7218" s="60"/>
      <c r="K7218" s="19"/>
      <c r="L7218" s="20"/>
    </row>
    <row r="7219" spans="1:12" outlineLevel="2">
      <c r="A7219" s="21"/>
      <c r="B7219" s="12" t="str">
        <f>IFERROR(VLOOKUP(D7219,'[1]Перечень товаров'!$A$2:$I9525,2,0),"")</f>
        <v>п2</v>
      </c>
      <c r="C7219" s="12" t="str">
        <f>IFERROR(VLOOKUP(D7219,'[1]Перечень товаров'!$A$2:$I9525,3,0),"")</f>
        <v>Прочее</v>
      </c>
      <c r="D7219" s="22" t="s">
        <v>46</v>
      </c>
      <c r="E7219" s="58"/>
      <c r="F7219" s="58"/>
      <c r="G7219" s="24">
        <v>1</v>
      </c>
      <c r="H7219" s="24"/>
      <c r="I7219" s="25"/>
      <c r="J7219" s="25"/>
      <c r="K7219" s="19"/>
      <c r="L7219" s="20"/>
    </row>
    <row r="7220" spans="1:12" ht="12.75" outlineLevel="1">
      <c r="A7220" s="11"/>
      <c r="B7220" s="12" t="str">
        <f>IFERROR(VLOOKUP(D7220,'[1]Перечень товаров'!$A$2:$I9525,2,0),"")</f>
        <v/>
      </c>
      <c r="C7220" s="12" t="str">
        <f>IFERROR(VLOOKUP(D7220,'[1]Перечень товаров'!$A$2:$I9525,3,0),"")</f>
        <v/>
      </c>
      <c r="D7220" s="27" t="s">
        <v>1827</v>
      </c>
      <c r="E7220" s="99">
        <v>46072</v>
      </c>
      <c r="F7220" s="99"/>
      <c r="G7220" s="100"/>
      <c r="H7220" s="100"/>
      <c r="I7220" s="101"/>
      <c r="J7220" s="101"/>
      <c r="K7220" s="19"/>
      <c r="L7220" s="20"/>
    </row>
    <row r="7221" spans="1:12" ht="15" outlineLevel="2">
      <c r="A7221" s="109"/>
      <c r="B7221" s="12" t="str">
        <f>IFERROR(VLOOKUP(D7221,'[1]Перечень товаров'!$A$2:$I9525,2,0),"")</f>
        <v/>
      </c>
      <c r="C7221" s="12" t="str">
        <f>IFERROR(VLOOKUP(D7221,'[1]Перечень товаров'!$A$2:$I9525,3,0),"")</f>
        <v/>
      </c>
      <c r="D7221" s="110" t="s">
        <v>27</v>
      </c>
      <c r="E7221" s="45"/>
      <c r="F7221" s="45"/>
      <c r="G7221" s="111"/>
      <c r="H7221" s="111"/>
      <c r="I7221" s="112"/>
      <c r="J7221" s="112"/>
      <c r="K7221" s="19"/>
      <c r="L7221" s="20"/>
    </row>
    <row r="7222" spans="1:12" outlineLevel="2">
      <c r="A7222" s="21"/>
      <c r="B7222" s="12" t="str">
        <f>IFERROR(VLOOKUP(D7222,'[1]Перечень товаров'!$A$2:$I9525,2,0),"")</f>
        <v>т1</v>
      </c>
      <c r="C7222" s="12" t="str">
        <f>IFERROR(VLOOKUP(D7222,'[1]Перечень товаров'!$A$2:$I9525,3,0),"")</f>
        <v xml:space="preserve">Техника </v>
      </c>
      <c r="D7222" s="22" t="s">
        <v>28</v>
      </c>
      <c r="E7222" s="58"/>
      <c r="F7222" s="58"/>
      <c r="G7222" s="48">
        <v>1</v>
      </c>
      <c r="H7222" s="48"/>
      <c r="I7222" s="49"/>
      <c r="J7222" s="49"/>
      <c r="K7222" s="19"/>
      <c r="L7222" s="20"/>
    </row>
    <row r="7223" spans="1:12" outlineLevel="2">
      <c r="A7223" s="143"/>
      <c r="B7223" s="12" t="str">
        <f>IFERROR(VLOOKUP(D7223,'[1]Перечень товаров'!$A$2:$I9525,2,0),"")</f>
        <v>т9</v>
      </c>
      <c r="C7223" s="12" t="str">
        <f>IFERROR(VLOOKUP(D7223,'[1]Перечень товаров'!$A$2:$I9525,3,0),"")</f>
        <v>Техника</v>
      </c>
      <c r="D7223" s="143" t="s">
        <v>36</v>
      </c>
      <c r="E7223" s="58"/>
      <c r="F7223" s="58"/>
      <c r="G7223" s="48">
        <v>1</v>
      </c>
      <c r="H7223" s="48"/>
      <c r="I7223" s="49"/>
      <c r="J7223" s="49"/>
      <c r="K7223" s="19"/>
      <c r="L7223" s="20"/>
    </row>
    <row r="7224" spans="1:12" outlineLevel="2">
      <c r="A7224" s="35"/>
      <c r="B7224" s="12" t="str">
        <f>IFERROR(VLOOKUP(D7224,'[1]Перечень товаров'!$A$2:$I9525,2,0),"")</f>
        <v>т2</v>
      </c>
      <c r="C7224" s="12" t="str">
        <f>IFERROR(VLOOKUP(D7224,'[1]Перечень товаров'!$A$2:$I9525,3,0),"")</f>
        <v xml:space="preserve">Техника </v>
      </c>
      <c r="D7224" s="35" t="s">
        <v>29</v>
      </c>
      <c r="E7224" s="58"/>
      <c r="F7224" s="58"/>
      <c r="G7224" s="48">
        <v>1</v>
      </c>
      <c r="H7224" s="48"/>
      <c r="I7224" s="49"/>
      <c r="J7224" s="49"/>
      <c r="K7224" s="19"/>
      <c r="L7224" s="20"/>
    </row>
    <row r="7225" spans="1:12" outlineLevel="2">
      <c r="A7225" s="35"/>
      <c r="B7225" s="12" t="str">
        <f>IFERROR(VLOOKUP(D7225,'[1]Перечень товаров'!$A$2:$I9525,2,0),"")</f>
        <v>т3</v>
      </c>
      <c r="C7225" s="12" t="str">
        <f>IFERROR(VLOOKUP(D7225,'[1]Перечень товаров'!$A$2:$I9525,3,0),"")</f>
        <v xml:space="preserve">Техника </v>
      </c>
      <c r="D7225" s="35" t="s">
        <v>30</v>
      </c>
      <c r="E7225" s="58"/>
      <c r="F7225" s="58"/>
      <c r="G7225" s="48">
        <v>1</v>
      </c>
      <c r="H7225" s="48"/>
      <c r="I7225" s="49"/>
      <c r="J7225" s="49"/>
      <c r="K7225" s="19"/>
      <c r="L7225" s="20"/>
    </row>
    <row r="7226" spans="1:12" outlineLevel="2">
      <c r="A7226" s="35"/>
      <c r="B7226" s="12" t="str">
        <f>IFERROR(VLOOKUP(D7226,'[1]Перечень товаров'!$A$2:$I9525,2,0),"")</f>
        <v>т4</v>
      </c>
      <c r="C7226" s="12" t="str">
        <f>IFERROR(VLOOKUP(D7226,'[1]Перечень товаров'!$A$2:$I9525,3,0),"")</f>
        <v xml:space="preserve">Техника </v>
      </c>
      <c r="D7226" s="35" t="s">
        <v>31</v>
      </c>
      <c r="E7226" s="58"/>
      <c r="F7226" s="58"/>
      <c r="G7226" s="48">
        <v>1</v>
      </c>
      <c r="H7226" s="48"/>
      <c r="I7226" s="49"/>
      <c r="J7226" s="49"/>
      <c r="K7226" s="19"/>
      <c r="L7226" s="20"/>
    </row>
    <row r="7227" spans="1:12" outlineLevel="2">
      <c r="A7227" s="21"/>
      <c r="B7227" s="12" t="str">
        <f>IFERROR(VLOOKUP(D7227,'[1]Перечень товаров'!$A$2:$I9525,2,0),"")</f>
        <v>тм65</v>
      </c>
      <c r="C7227" s="12" t="str">
        <f>IFERROR(VLOOKUP(D7227,'[1]Перечень товаров'!$A$2:$I9525,3,0),"")</f>
        <v>Техника муз</v>
      </c>
      <c r="D7227" s="22" t="s">
        <v>380</v>
      </c>
      <c r="E7227" s="58"/>
      <c r="F7227" s="58"/>
      <c r="G7227" s="48">
        <v>1</v>
      </c>
      <c r="H7227" s="48"/>
      <c r="I7227" s="49"/>
      <c r="J7227" s="49"/>
      <c r="K7227" s="19"/>
      <c r="L7227" s="20"/>
    </row>
    <row r="7228" spans="1:12" outlineLevel="2">
      <c r="A7228" s="21"/>
      <c r="B7228" s="12" t="str">
        <f>IFERROR(VLOOKUP(D7228,'[1]Перечень товаров'!$A$2:$I9525,2,0),"")</f>
        <v>т12</v>
      </c>
      <c r="C7228" s="12" t="str">
        <f>IFERROR(VLOOKUP(D7228,'[1]Перечень товаров'!$A$2:$I9525,3,0),"")</f>
        <v>Техника</v>
      </c>
      <c r="D7228" s="22" t="s">
        <v>49</v>
      </c>
      <c r="E7228" s="58"/>
      <c r="F7228" s="58"/>
      <c r="G7228" s="48">
        <v>1</v>
      </c>
      <c r="H7228" s="48"/>
      <c r="I7228" s="49"/>
      <c r="J7228" s="49"/>
      <c r="K7228" s="19"/>
      <c r="L7228" s="20"/>
    </row>
    <row r="7229" spans="1:12" outlineLevel="2">
      <c r="A7229" s="35"/>
      <c r="B7229" s="12" t="str">
        <f>IFERROR(VLOOKUP(D7229,'[1]Перечень товаров'!$A$2:$I9525,2,0),"")</f>
        <v>т6</v>
      </c>
      <c r="C7229" s="12" t="str">
        <f>IFERROR(VLOOKUP(D7229,'[1]Перечень товаров'!$A$2:$I9525,3,0),"")</f>
        <v xml:space="preserve">Техника </v>
      </c>
      <c r="D7229" s="35" t="s">
        <v>33</v>
      </c>
      <c r="E7229" s="58"/>
      <c r="F7229" s="58"/>
      <c r="G7229" s="48">
        <v>1</v>
      </c>
      <c r="H7229" s="48"/>
      <c r="I7229" s="49"/>
      <c r="J7229" s="49"/>
      <c r="K7229" s="19"/>
      <c r="L7229" s="20"/>
    </row>
    <row r="7230" spans="1:12" outlineLevel="2">
      <c r="A7230" s="21"/>
      <c r="B7230" s="12" t="str">
        <f>IFERROR(VLOOKUP(D7230,'[1]Перечень товаров'!$A$2:$I9525,2,0),"")</f>
        <v>т7</v>
      </c>
      <c r="C7230" s="12" t="str">
        <f>IFERROR(VLOOKUP(D7230,'[1]Перечень товаров'!$A$2:$I9525,3,0),"")</f>
        <v xml:space="preserve">Техника </v>
      </c>
      <c r="D7230" s="22" t="s">
        <v>34</v>
      </c>
      <c r="E7230" s="58"/>
      <c r="F7230" s="58"/>
      <c r="G7230" s="48">
        <v>3</v>
      </c>
      <c r="H7230" s="48"/>
      <c r="I7230" s="49"/>
      <c r="J7230" s="49"/>
      <c r="K7230" s="19"/>
      <c r="L7230" s="20"/>
    </row>
    <row r="7231" spans="1:12" outlineLevel="2">
      <c r="A7231" s="28"/>
      <c r="B7231" s="12" t="str">
        <f>IFERROR(VLOOKUP(D7231,'[1]Перечень товаров'!$A$2:$I9525,2,0),"")</f>
        <v>т161</v>
      </c>
      <c r="C7231" s="12" t="str">
        <f>IFERROR(VLOOKUP(D7231,'[1]Перечень товаров'!$A$2:$I9525,3,0),"")</f>
        <v xml:space="preserve">Техника </v>
      </c>
      <c r="D7231" s="29" t="s">
        <v>381</v>
      </c>
      <c r="E7231" s="30"/>
      <c r="F7231" s="30"/>
      <c r="G7231" s="59">
        <v>1</v>
      </c>
      <c r="H7231" s="59"/>
      <c r="I7231" s="60"/>
      <c r="J7231" s="60"/>
      <c r="K7231" s="19"/>
      <c r="L7231" s="20"/>
    </row>
    <row r="7232" spans="1:12" outlineLevel="2">
      <c r="A7232" s="113"/>
      <c r="B7232" s="12" t="str">
        <f>IFERROR(VLOOKUP(D7232,'[1]Перечень товаров'!$A$2:$I9525,2,0),"")</f>
        <v/>
      </c>
      <c r="C7232" s="12" t="str">
        <f>IFERROR(VLOOKUP(D7232,'[1]Перечень товаров'!$A$2:$I9525,3,0),"")</f>
        <v/>
      </c>
      <c r="D7232" s="114" t="s">
        <v>19</v>
      </c>
      <c r="E7232" s="115"/>
      <c r="F7232" s="115"/>
      <c r="G7232" s="59"/>
      <c r="H7232" s="59"/>
      <c r="I7232" s="60"/>
      <c r="J7232" s="60"/>
      <c r="K7232" s="19"/>
      <c r="L7232" s="20"/>
    </row>
    <row r="7233" spans="1:12" outlineLevel="2">
      <c r="A7233" s="34"/>
      <c r="B7233" s="12" t="str">
        <f>IFERROR(VLOOKUP(D7233,'[1]Перечень товаров'!$A$2:$I9525,2,0),"")</f>
        <v>м62</v>
      </c>
      <c r="C7233" s="12" t="str">
        <f>IFERROR(VLOOKUP(D7233,'[1]Перечень товаров'!$A$2:$I9525,3,0),"")</f>
        <v>Мебель</v>
      </c>
      <c r="D7233" s="35" t="s">
        <v>398</v>
      </c>
      <c r="E7233" s="88"/>
      <c r="F7233" s="88"/>
      <c r="G7233" s="59">
        <v>1</v>
      </c>
      <c r="H7233" s="59"/>
      <c r="I7233" s="60"/>
      <c r="J7233" s="60"/>
      <c r="K7233" s="19"/>
      <c r="L7233" s="20"/>
    </row>
    <row r="7234" spans="1:12" outlineLevel="2">
      <c r="A7234" s="34"/>
      <c r="B7234" s="12" t="str">
        <f>IFERROR(VLOOKUP(D7234,'[1]Перечень товаров'!$A$2:$I9525,2,0),"")</f>
        <v>м61</v>
      </c>
      <c r="C7234" s="12" t="str">
        <f>IFERROR(VLOOKUP(D7234,'[1]Перечень товаров'!$A$2:$I9525,3,0),"")</f>
        <v>Мебель</v>
      </c>
      <c r="D7234" s="35" t="s">
        <v>383</v>
      </c>
      <c r="E7234" s="88"/>
      <c r="F7234" s="88"/>
      <c r="G7234" s="59">
        <v>1</v>
      </c>
      <c r="H7234" s="59"/>
      <c r="I7234" s="60"/>
      <c r="J7234" s="60"/>
      <c r="K7234" s="19"/>
      <c r="L7234" s="20"/>
    </row>
    <row r="7235" spans="1:12" outlineLevel="2">
      <c r="A7235" s="34"/>
      <c r="B7235" s="12" t="str">
        <f>IFERROR(VLOOKUP(D7235,'[1]Перечень товаров'!$A$2:$I9525,2,0),"")</f>
        <v>м179</v>
      </c>
      <c r="C7235" s="12" t="str">
        <f>IFERROR(VLOOKUP(D7235,'[1]Перечень товаров'!$A$2:$I9525,3,0),"")</f>
        <v>Мебель</v>
      </c>
      <c r="D7235" s="35" t="s">
        <v>579</v>
      </c>
      <c r="E7235" s="88"/>
      <c r="F7235" s="88"/>
      <c r="G7235" s="59">
        <v>10</v>
      </c>
      <c r="H7235" s="59"/>
      <c r="I7235" s="60"/>
      <c r="J7235" s="60"/>
      <c r="K7235" s="19"/>
      <c r="L7235" s="20"/>
    </row>
    <row r="7236" spans="1:12" outlineLevel="2">
      <c r="A7236" s="34"/>
      <c r="B7236" s="12" t="str">
        <f>IFERROR(VLOOKUP(D7236,'[1]Перечень товаров'!$A$2:$I9525,2,0),"")</f>
        <v>м61</v>
      </c>
      <c r="C7236" s="12" t="str">
        <f>IFERROR(VLOOKUP(D7236,'[1]Перечень товаров'!$A$2:$I9525,3,0),"")</f>
        <v>Мебель</v>
      </c>
      <c r="D7236" s="35" t="s">
        <v>384</v>
      </c>
      <c r="E7236" s="88"/>
      <c r="F7236" s="88"/>
      <c r="G7236" s="59">
        <v>20</v>
      </c>
      <c r="H7236" s="59"/>
      <c r="I7236" s="60"/>
      <c r="J7236" s="60"/>
      <c r="K7236" s="19"/>
      <c r="L7236" s="20"/>
    </row>
    <row r="7237" spans="1:12" outlineLevel="2">
      <c r="A7237" s="21"/>
      <c r="B7237" s="12" t="str">
        <f>IFERROR(VLOOKUP(D7237,'[1]Перечень товаров'!$A$2:$I9525,2,0),"")</f>
        <v>м13</v>
      </c>
      <c r="C7237" s="12" t="str">
        <f>IFERROR(VLOOKUP(D7237,'[1]Перечень товаров'!$A$2:$I9525,3,0),"")</f>
        <v>Мебель</v>
      </c>
      <c r="D7237" s="22" t="s">
        <v>42</v>
      </c>
      <c r="E7237" s="58"/>
      <c r="F7237" s="58"/>
      <c r="G7237" s="24">
        <v>1</v>
      </c>
      <c r="H7237" s="24"/>
      <c r="I7237" s="25"/>
      <c r="J7237" s="25"/>
      <c r="K7237" s="19"/>
      <c r="L7237" s="20"/>
    </row>
    <row r="7238" spans="1:12" outlineLevel="2">
      <c r="A7238" s="21"/>
      <c r="B7238" s="12" t="str">
        <f>IFERROR(VLOOKUP(D7238,'[1]Перечень товаров'!$A$2:$I9525,2,0),"")</f>
        <v>м14</v>
      </c>
      <c r="C7238" s="12" t="str">
        <f>IFERROR(VLOOKUP(D7238,'[1]Перечень товаров'!$A$2:$I9525,3,0),"")</f>
        <v>Мебель</v>
      </c>
      <c r="D7238" s="22" t="s">
        <v>43</v>
      </c>
      <c r="E7238" s="58"/>
      <c r="F7238" s="58"/>
      <c r="G7238" s="24">
        <v>1</v>
      </c>
      <c r="H7238" s="24"/>
      <c r="I7238" s="25"/>
      <c r="J7238" s="25"/>
      <c r="K7238" s="19"/>
      <c r="L7238" s="20"/>
    </row>
    <row r="7239" spans="1:12" ht="31.5" outlineLevel="2">
      <c r="A7239" s="155"/>
      <c r="B7239" s="12" t="str">
        <f>IFERROR(VLOOKUP(D7239,'[1]Перечень товаров'!$A$2:$I9525,2,0),"")</f>
        <v>м21</v>
      </c>
      <c r="C7239" s="12" t="str">
        <f>IFERROR(VLOOKUP(D7239,'[1]Перечень товаров'!$A$2:$I9525,3,0),"")</f>
        <v>Мебель</v>
      </c>
      <c r="D7239" s="156" t="s">
        <v>58</v>
      </c>
      <c r="E7239" s="58"/>
      <c r="F7239" s="58"/>
      <c r="G7239" s="24">
        <v>1</v>
      </c>
      <c r="H7239" s="24"/>
      <c r="I7239" s="25"/>
      <c r="J7239" s="25"/>
      <c r="K7239" s="19"/>
      <c r="L7239" s="20"/>
    </row>
    <row r="7240" spans="1:12" ht="15" outlineLevel="2">
      <c r="A7240" s="116"/>
      <c r="B7240" s="12" t="str">
        <f>IFERROR(VLOOKUP(D7240,'[1]Перечень товаров'!$A$2:$I9525,2,0),"")</f>
        <v/>
      </c>
      <c r="C7240" s="12" t="str">
        <f>IFERROR(VLOOKUP(D7240,'[1]Перечень товаров'!$A$2:$I9525,3,0),"")</f>
        <v/>
      </c>
      <c r="D7240" s="117" t="s">
        <v>391</v>
      </c>
      <c r="E7240" s="118"/>
      <c r="F7240" s="118"/>
      <c r="G7240" s="119"/>
      <c r="H7240" s="119"/>
      <c r="I7240" s="120"/>
      <c r="J7240" s="120"/>
      <c r="K7240" s="19"/>
      <c r="L7240" s="20"/>
    </row>
    <row r="7241" spans="1:12" ht="15" outlineLevel="2">
      <c r="A7241" s="274"/>
      <c r="B7241" s="12" t="str">
        <f>IFERROR(VLOOKUP(D7241,'[1]Перечень товаров'!$A$2:$I9525,2,0),"")</f>
        <v/>
      </c>
      <c r="C7241" s="12" t="str">
        <f>IFERROR(VLOOKUP(D7241,'[1]Перечень товаров'!$A$2:$I9525,3,0),"")</f>
        <v/>
      </c>
      <c r="D7241" s="275" t="s">
        <v>1828</v>
      </c>
      <c r="E7241" s="118"/>
      <c r="F7241" s="118"/>
      <c r="G7241" s="119"/>
      <c r="H7241" s="119"/>
      <c r="I7241" s="120"/>
      <c r="J7241" s="120"/>
      <c r="K7241" s="19"/>
      <c r="L7241" s="20"/>
    </row>
    <row r="7242" spans="1:12" outlineLevel="2">
      <c r="A7242" s="28"/>
      <c r="B7242" s="12" t="str">
        <f>IFERROR(VLOOKUP(D7242,'[1]Перечень товаров'!$A$2:$I9525,2,0),"")</f>
        <v>тм87</v>
      </c>
      <c r="C7242" s="12" t="str">
        <f>IFERROR(VLOOKUP(D7242,'[1]Перечень товаров'!$A$2:$I9525,3,0),"")</f>
        <v>Техника муз</v>
      </c>
      <c r="D7242" s="29" t="s">
        <v>1829</v>
      </c>
      <c r="E7242" s="30"/>
      <c r="F7242" s="30"/>
      <c r="G7242" s="31">
        <v>2</v>
      </c>
      <c r="H7242" s="31"/>
      <c r="I7242" s="32"/>
      <c r="J7242" s="32"/>
      <c r="K7242" s="19"/>
      <c r="L7242" s="20"/>
    </row>
    <row r="7243" spans="1:12" outlineLevel="2">
      <c r="A7243" s="28"/>
      <c r="B7243" s="12" t="str">
        <f>IFERROR(VLOOKUP(D7243,'[1]Перечень товаров'!$A$2:$I9525,2,0),"")</f>
        <v>тм86</v>
      </c>
      <c r="C7243" s="12" t="str">
        <f>IFERROR(VLOOKUP(D7243,'[1]Перечень товаров'!$A$2:$I9525,3,0),"")</f>
        <v>Техника муз</v>
      </c>
      <c r="D7243" s="29" t="s">
        <v>1830</v>
      </c>
      <c r="E7243" s="30"/>
      <c r="F7243" s="30"/>
      <c r="G7243" s="31">
        <v>3</v>
      </c>
      <c r="H7243" s="31"/>
      <c r="I7243" s="32"/>
      <c r="J7243" s="32"/>
      <c r="K7243" s="19"/>
      <c r="L7243" s="20"/>
    </row>
    <row r="7244" spans="1:12" outlineLevel="2">
      <c r="A7244" s="28"/>
      <c r="B7244" s="12" t="str">
        <f>IFERROR(VLOOKUP(D7244,'[1]Перечень товаров'!$A$2:$I9525,2,0),"")</f>
        <v>тм85</v>
      </c>
      <c r="C7244" s="12" t="str">
        <f>IFERROR(VLOOKUP(D7244,'[1]Перечень товаров'!$A$2:$I9525,3,0),"")</f>
        <v>Техника муз</v>
      </c>
      <c r="D7244" s="29" t="s">
        <v>1831</v>
      </c>
      <c r="E7244" s="30"/>
      <c r="F7244" s="30"/>
      <c r="G7244" s="31">
        <v>4</v>
      </c>
      <c r="H7244" s="31"/>
      <c r="I7244" s="32"/>
      <c r="J7244" s="32"/>
      <c r="K7244" s="19"/>
      <c r="L7244" s="20"/>
    </row>
    <row r="7245" spans="1:12" outlineLevel="2">
      <c r="A7245" s="28"/>
      <c r="B7245" s="12" t="str">
        <f>IFERROR(VLOOKUP(D7245,'[1]Перечень товаров'!$A$2:$I9525,2,0),"")</f>
        <v>тм84</v>
      </c>
      <c r="C7245" s="12" t="str">
        <f>IFERROR(VLOOKUP(D7245,'[1]Перечень товаров'!$A$2:$I9525,3,0),"")</f>
        <v>Техника муз</v>
      </c>
      <c r="D7245" s="29" t="s">
        <v>1832</v>
      </c>
      <c r="E7245" s="30"/>
      <c r="F7245" s="30"/>
      <c r="G7245" s="31">
        <v>4</v>
      </c>
      <c r="H7245" s="31"/>
      <c r="I7245" s="32"/>
      <c r="J7245" s="32"/>
      <c r="K7245" s="19"/>
      <c r="L7245" s="20"/>
    </row>
    <row r="7246" spans="1:12" outlineLevel="2">
      <c r="A7246" s="28"/>
      <c r="B7246" s="12" t="str">
        <f>IFERROR(VLOOKUP(D7246,'[1]Перечень товаров'!$A$2:$I9525,2,0),"")</f>
        <v>тм83</v>
      </c>
      <c r="C7246" s="12" t="str">
        <f>IFERROR(VLOOKUP(D7246,'[1]Перечень товаров'!$A$2:$I9525,3,0),"")</f>
        <v>Техника муз</v>
      </c>
      <c r="D7246" s="29" t="s">
        <v>1833</v>
      </c>
      <c r="E7246" s="30"/>
      <c r="F7246" s="30"/>
      <c r="G7246" s="31">
        <v>5</v>
      </c>
      <c r="H7246" s="31"/>
      <c r="I7246" s="32"/>
      <c r="J7246" s="32"/>
      <c r="K7246" s="19"/>
      <c r="L7246" s="20"/>
    </row>
    <row r="7247" spans="1:12" outlineLevel="2">
      <c r="A7247" s="28"/>
      <c r="B7247" s="12" t="str">
        <f>IFERROR(VLOOKUP(D7247,'[1]Перечень товаров'!$A$2:$I9525,2,0),"")</f>
        <v>тм82</v>
      </c>
      <c r="C7247" s="12" t="str">
        <f>IFERROR(VLOOKUP(D7247,'[1]Перечень товаров'!$A$2:$I9525,3,0),"")</f>
        <v>Техника муз</v>
      </c>
      <c r="D7247" s="29" t="s">
        <v>1834</v>
      </c>
      <c r="E7247" s="30"/>
      <c r="F7247" s="30"/>
      <c r="G7247" s="31">
        <v>2</v>
      </c>
      <c r="H7247" s="31"/>
      <c r="I7247" s="32"/>
      <c r="J7247" s="32"/>
      <c r="K7247" s="19"/>
      <c r="L7247" s="20"/>
    </row>
    <row r="7248" spans="1:12" ht="31.5" outlineLevel="2">
      <c r="A7248" s="28"/>
      <c r="B7248" s="12" t="str">
        <f>IFERROR(VLOOKUP(D7248,'[1]Перечень товаров'!$A$2:$I9525,2,0),"")</f>
        <v>тм81</v>
      </c>
      <c r="C7248" s="12" t="str">
        <f>IFERROR(VLOOKUP(D7248,'[1]Перечень товаров'!$A$2:$I9525,3,0),"")</f>
        <v>Техника муз</v>
      </c>
      <c r="D7248" s="29" t="s">
        <v>1835</v>
      </c>
      <c r="E7248" s="30"/>
      <c r="F7248" s="30"/>
      <c r="G7248" s="31">
        <v>18</v>
      </c>
      <c r="H7248" s="31"/>
      <c r="I7248" s="32"/>
      <c r="J7248" s="32"/>
      <c r="K7248" s="19"/>
      <c r="L7248" s="20"/>
    </row>
    <row r="7249" spans="1:12" outlineLevel="2">
      <c r="A7249" s="28"/>
      <c r="B7249" s="12" t="str">
        <f>IFERROR(VLOOKUP(D7249,'[1]Перечень товаров'!$A$2:$I9525,2,0),"")</f>
        <v>тм54</v>
      </c>
      <c r="C7249" s="12" t="str">
        <f>IFERROR(VLOOKUP(D7249,'[1]Перечень товаров'!$A$2:$I9525,3,0),"")</f>
        <v>Техника муз</v>
      </c>
      <c r="D7249" s="29" t="s">
        <v>310</v>
      </c>
      <c r="E7249" s="30"/>
      <c r="F7249" s="30"/>
      <c r="G7249" s="31">
        <v>30</v>
      </c>
      <c r="H7249" s="31"/>
      <c r="I7249" s="32"/>
      <c r="J7249" s="32"/>
      <c r="K7249" s="19"/>
      <c r="L7249" s="20"/>
    </row>
    <row r="7250" spans="1:12" ht="31.5" outlineLevel="2">
      <c r="A7250" s="28"/>
      <c r="B7250" s="12" t="str">
        <f>IFERROR(VLOOKUP(D7250,'[1]Перечень товаров'!$A$2:$I9525,2,0),"")</f>
        <v>тм80</v>
      </c>
      <c r="C7250" s="12" t="str">
        <f>IFERROR(VLOOKUP(D7250,'[1]Перечень товаров'!$A$2:$I9525,3,0),"")</f>
        <v>Техника муз</v>
      </c>
      <c r="D7250" s="29" t="s">
        <v>1836</v>
      </c>
      <c r="E7250" s="30"/>
      <c r="F7250" s="30"/>
      <c r="G7250" s="31">
        <v>5</v>
      </c>
      <c r="H7250" s="31"/>
      <c r="I7250" s="32"/>
      <c r="J7250" s="32"/>
      <c r="K7250" s="19"/>
      <c r="L7250" s="20"/>
    </row>
    <row r="7251" spans="1:12" outlineLevel="2">
      <c r="A7251" s="28"/>
      <c r="B7251" s="12" t="str">
        <f>IFERROR(VLOOKUP(D7251,'[1]Перечень товаров'!$A$2:$I9525,2,0),"")</f>
        <v>пм211</v>
      </c>
      <c r="C7251" s="12" t="str">
        <f>IFERROR(VLOOKUP(D7251,'[1]Перечень товаров'!$A$2:$I9525,3,0),"")</f>
        <v>прочее муз</v>
      </c>
      <c r="D7251" s="29" t="s">
        <v>995</v>
      </c>
      <c r="E7251" s="30"/>
      <c r="F7251" s="30"/>
      <c r="G7251" s="31">
        <v>10</v>
      </c>
      <c r="H7251" s="31"/>
      <c r="I7251" s="32"/>
      <c r="J7251" s="32"/>
      <c r="K7251" s="19"/>
      <c r="L7251" s="20"/>
    </row>
    <row r="7252" spans="1:12" ht="31.5" outlineLevel="2">
      <c r="A7252" s="28"/>
      <c r="B7252" s="12" t="str">
        <f>IFERROR(VLOOKUP(D7252,'[1]Перечень товаров'!$A$2:$I9525,2,0),"")</f>
        <v>тм79</v>
      </c>
      <c r="C7252" s="12" t="str">
        <f>IFERROR(VLOOKUP(D7252,'[1]Перечень товаров'!$A$2:$I9525,3,0),"")</f>
        <v>Техника муз</v>
      </c>
      <c r="D7252" s="29" t="s">
        <v>1837</v>
      </c>
      <c r="E7252" s="30"/>
      <c r="F7252" s="30"/>
      <c r="G7252" s="31">
        <v>18</v>
      </c>
      <c r="H7252" s="31"/>
      <c r="I7252" s="32"/>
      <c r="J7252" s="32"/>
      <c r="K7252" s="19"/>
      <c r="L7252" s="20"/>
    </row>
    <row r="7253" spans="1:12" outlineLevel="2">
      <c r="A7253" s="28"/>
      <c r="B7253" s="12" t="str">
        <f>IFERROR(VLOOKUP(D7253,'[1]Перечень товаров'!$A$2:$I9525,2,0),"")</f>
        <v>тм78</v>
      </c>
      <c r="C7253" s="12" t="str">
        <f>IFERROR(VLOOKUP(D7253,'[1]Перечень товаров'!$A$2:$I9525,3,0),"")</f>
        <v>Техника муз</v>
      </c>
      <c r="D7253" s="29" t="s">
        <v>1838</v>
      </c>
      <c r="E7253" s="30"/>
      <c r="F7253" s="30"/>
      <c r="G7253" s="31">
        <v>1</v>
      </c>
      <c r="H7253" s="31"/>
      <c r="I7253" s="32"/>
      <c r="J7253" s="32"/>
      <c r="K7253" s="19"/>
      <c r="L7253" s="20"/>
    </row>
    <row r="7254" spans="1:12" outlineLevel="2">
      <c r="A7254" s="54"/>
      <c r="B7254" s="12" t="str">
        <f>IFERROR(VLOOKUP(D7254,'[1]Перечень товаров'!$A$2:$I9525,2,0),"")</f>
        <v/>
      </c>
      <c r="C7254" s="12" t="str">
        <f>IFERROR(VLOOKUP(D7254,'[1]Перечень товаров'!$A$2:$I9525,3,0),"")</f>
        <v/>
      </c>
      <c r="D7254" s="55" t="s">
        <v>45</v>
      </c>
      <c r="E7254" s="217"/>
      <c r="F7254" s="217"/>
      <c r="G7254" s="59"/>
      <c r="H7254" s="59"/>
      <c r="I7254" s="60"/>
      <c r="J7254" s="60"/>
      <c r="K7254" s="19"/>
      <c r="L7254" s="20"/>
    </row>
    <row r="7255" spans="1:12" outlineLevel="2">
      <c r="A7255" s="43"/>
      <c r="B7255" s="12" t="str">
        <f>IFERROR(VLOOKUP(D7255,'[1]Перечень товаров'!$A$2:$I9525,2,0),"")</f>
        <v>м7</v>
      </c>
      <c r="C7255" s="12" t="str">
        <f>IFERROR(VLOOKUP(D7255,'[1]Перечень товаров'!$A$2:$I9525,3,0),"")</f>
        <v>Мебель</v>
      </c>
      <c r="D7255" s="44" t="s">
        <v>24</v>
      </c>
      <c r="E7255" s="30"/>
      <c r="F7255" s="30"/>
      <c r="G7255" s="59">
        <v>1</v>
      </c>
      <c r="H7255" s="59"/>
      <c r="I7255" s="60"/>
      <c r="J7255" s="60"/>
      <c r="K7255" s="19"/>
      <c r="L7255" s="20"/>
    </row>
    <row r="7256" spans="1:12" outlineLevel="2">
      <c r="A7256" s="43"/>
      <c r="B7256" s="12" t="str">
        <f>IFERROR(VLOOKUP(D7256,'[1]Перечень товаров'!$A$2:$I9525,2,0),"")</f>
        <v>п1</v>
      </c>
      <c r="C7256" s="12" t="str">
        <f>IFERROR(VLOOKUP(D7256,'[1]Перечень товаров'!$A$2:$I9525,3,0),"")</f>
        <v>Прочее</v>
      </c>
      <c r="D7256" s="44" t="s">
        <v>37</v>
      </c>
      <c r="E7256" s="30"/>
      <c r="F7256" s="30"/>
      <c r="G7256" s="59">
        <v>1</v>
      </c>
      <c r="H7256" s="59"/>
      <c r="I7256" s="60"/>
      <c r="J7256" s="60"/>
      <c r="K7256" s="19"/>
      <c r="L7256" s="20"/>
    </row>
    <row r="7257" spans="1:12" outlineLevel="2">
      <c r="A7257" s="21"/>
      <c r="B7257" s="12" t="str">
        <f>IFERROR(VLOOKUP(D7257,'[1]Перечень товаров'!$A$2:$I9525,2,0),"")</f>
        <v>п2</v>
      </c>
      <c r="C7257" s="12" t="str">
        <f>IFERROR(VLOOKUP(D7257,'[1]Перечень товаров'!$A$2:$I9525,3,0),"")</f>
        <v>Прочее</v>
      </c>
      <c r="D7257" s="22" t="s">
        <v>46</v>
      </c>
      <c r="E7257" s="58"/>
      <c r="F7257" s="58"/>
      <c r="G7257" s="24">
        <v>1</v>
      </c>
      <c r="H7257" s="24"/>
      <c r="I7257" s="25"/>
      <c r="J7257" s="25"/>
      <c r="K7257" s="19"/>
      <c r="L7257" s="20"/>
    </row>
    <row r="7258" spans="1:12" ht="12.75" outlineLevel="1">
      <c r="A7258" s="89"/>
      <c r="B7258" s="12" t="str">
        <f>IFERROR(VLOOKUP(D7258,'[1]Перечень товаров'!$A$2:$I9525,2,0),"")</f>
        <v/>
      </c>
      <c r="C7258" s="12" t="str">
        <f>IFERROR(VLOOKUP(D7258,'[1]Перечень товаров'!$A$2:$I9525,3,0),"")</f>
        <v/>
      </c>
      <c r="D7258" s="90" t="s">
        <v>1839</v>
      </c>
      <c r="E7258" s="108">
        <v>46192</v>
      </c>
      <c r="F7258" s="108"/>
      <c r="G7258" s="100"/>
      <c r="H7258" s="100"/>
      <c r="I7258" s="101"/>
      <c r="J7258" s="101"/>
      <c r="K7258" s="19"/>
      <c r="L7258" s="20"/>
    </row>
    <row r="7259" spans="1:12" outlineLevel="2">
      <c r="A7259" s="113"/>
      <c r="B7259" s="12" t="str">
        <f>IFERROR(VLOOKUP(D7259,'[1]Перечень товаров'!$A$2:$I9525,2,0),"")</f>
        <v/>
      </c>
      <c r="C7259" s="12" t="str">
        <f>IFERROR(VLOOKUP(D7259,'[1]Перечень товаров'!$A$2:$I9525,3,0),"")</f>
        <v/>
      </c>
      <c r="D7259" s="114" t="s">
        <v>19</v>
      </c>
      <c r="E7259" s="115"/>
      <c r="F7259" s="115"/>
      <c r="G7259" s="157"/>
      <c r="H7259" s="157"/>
      <c r="I7259" s="158"/>
      <c r="J7259" s="158"/>
      <c r="K7259" s="19"/>
      <c r="L7259" s="20"/>
    </row>
    <row r="7260" spans="1:12" outlineLevel="2">
      <c r="A7260" s="34"/>
      <c r="B7260" s="12" t="str">
        <f>IFERROR(VLOOKUP(D7260,'[1]Перечень товаров'!$A$2:$I9525,2,0),"")</f>
        <v>м62</v>
      </c>
      <c r="C7260" s="12" t="str">
        <f>IFERROR(VLOOKUP(D7260,'[1]Перечень товаров'!$A$2:$I9525,3,0),"")</f>
        <v>Мебель</v>
      </c>
      <c r="D7260" s="35" t="s">
        <v>398</v>
      </c>
      <c r="E7260" s="88"/>
      <c r="F7260" s="88"/>
      <c r="G7260" s="159">
        <v>1</v>
      </c>
      <c r="H7260" s="159"/>
      <c r="I7260" s="160"/>
      <c r="J7260" s="160"/>
      <c r="K7260" s="19"/>
      <c r="L7260" s="20"/>
    </row>
    <row r="7261" spans="1:12" outlineLevel="2">
      <c r="A7261" s="35"/>
      <c r="B7261" s="12" t="str">
        <f>IFERROR(VLOOKUP(D7261,'[1]Перечень товаров'!$A$2:$I9525,2,0),"")</f>
        <v>м61</v>
      </c>
      <c r="C7261" s="12" t="str">
        <f>IFERROR(VLOOKUP(D7261,'[1]Перечень товаров'!$A$2:$I9525,3,0),"")</f>
        <v>Мебель</v>
      </c>
      <c r="D7261" s="35" t="s">
        <v>383</v>
      </c>
      <c r="E7261" s="88"/>
      <c r="F7261" s="88"/>
      <c r="G7261" s="159">
        <v>1</v>
      </c>
      <c r="H7261" s="159"/>
      <c r="I7261" s="160"/>
      <c r="J7261" s="160"/>
      <c r="K7261" s="19"/>
      <c r="L7261" s="20"/>
    </row>
    <row r="7262" spans="1:12" outlineLevel="2">
      <c r="A7262" s="35"/>
      <c r="B7262" s="12" t="str">
        <f>IFERROR(VLOOKUP(D7262,'[1]Перечень товаров'!$A$2:$I9525,2,0),"")</f>
        <v>м179</v>
      </c>
      <c r="C7262" s="12" t="str">
        <f>IFERROR(VLOOKUP(D7262,'[1]Перечень товаров'!$A$2:$I9525,3,0),"")</f>
        <v>Мебель</v>
      </c>
      <c r="D7262" s="35" t="s">
        <v>579</v>
      </c>
      <c r="E7262" s="88"/>
      <c r="F7262" s="88"/>
      <c r="G7262" s="159">
        <v>10</v>
      </c>
      <c r="H7262" s="159"/>
      <c r="I7262" s="160"/>
      <c r="J7262" s="160"/>
      <c r="K7262" s="19"/>
      <c r="L7262" s="20"/>
    </row>
    <row r="7263" spans="1:12" outlineLevel="2">
      <c r="A7263" s="35"/>
      <c r="B7263" s="12" t="str">
        <f>IFERROR(VLOOKUP(D7263,'[1]Перечень товаров'!$A$2:$I9525,2,0),"")</f>
        <v>м61</v>
      </c>
      <c r="C7263" s="12" t="str">
        <f>IFERROR(VLOOKUP(D7263,'[1]Перечень товаров'!$A$2:$I9525,3,0),"")</f>
        <v>Мебель</v>
      </c>
      <c r="D7263" s="35" t="s">
        <v>384</v>
      </c>
      <c r="E7263" s="88"/>
      <c r="F7263" s="88"/>
      <c r="G7263" s="159">
        <v>20</v>
      </c>
      <c r="H7263" s="159"/>
      <c r="I7263" s="160"/>
      <c r="J7263" s="160"/>
      <c r="K7263" s="19"/>
      <c r="L7263" s="20"/>
    </row>
    <row r="7264" spans="1:12" outlineLevel="2">
      <c r="A7264" s="22"/>
      <c r="B7264" s="12" t="str">
        <f>IFERROR(VLOOKUP(D7264,'[1]Перечень товаров'!$A$2:$I9525,2,0),"")</f>
        <v>м13</v>
      </c>
      <c r="C7264" s="12" t="str">
        <f>IFERROR(VLOOKUP(D7264,'[1]Перечень товаров'!$A$2:$I9525,3,0),"")</f>
        <v>Мебель</v>
      </c>
      <c r="D7264" s="22" t="s">
        <v>42</v>
      </c>
      <c r="E7264" s="88"/>
      <c r="F7264" s="88"/>
      <c r="G7264" s="48">
        <v>1</v>
      </c>
      <c r="H7264" s="48"/>
      <c r="I7264" s="49"/>
      <c r="J7264" s="49"/>
      <c r="K7264" s="19"/>
      <c r="L7264" s="20"/>
    </row>
    <row r="7265" spans="1:12" outlineLevel="2">
      <c r="A7265" s="21"/>
      <c r="B7265" s="12" t="str">
        <f>IFERROR(VLOOKUP(D7265,'[1]Перечень товаров'!$A$2:$I9525,2,0),"")</f>
        <v>м14</v>
      </c>
      <c r="C7265" s="12" t="str">
        <f>IFERROR(VLOOKUP(D7265,'[1]Перечень товаров'!$A$2:$I9525,3,0),"")</f>
        <v>Мебель</v>
      </c>
      <c r="D7265" s="22" t="s">
        <v>43</v>
      </c>
      <c r="E7265" s="88"/>
      <c r="F7265" s="88"/>
      <c r="G7265" s="48">
        <v>1</v>
      </c>
      <c r="H7265" s="48"/>
      <c r="I7265" s="49"/>
      <c r="J7265" s="49"/>
      <c r="K7265" s="19"/>
      <c r="L7265" s="20"/>
    </row>
    <row r="7266" spans="1:12" ht="31.5" outlineLevel="2">
      <c r="A7266" s="21"/>
      <c r="B7266" s="12" t="str">
        <f>IFERROR(VLOOKUP(D7266,'[1]Перечень товаров'!$A$2:$I9525,2,0),"")</f>
        <v>м21</v>
      </c>
      <c r="C7266" s="12" t="str">
        <f>IFERROR(VLOOKUP(D7266,'[1]Перечень товаров'!$A$2:$I9525,3,0),"")</f>
        <v>Мебель</v>
      </c>
      <c r="D7266" s="22" t="s">
        <v>58</v>
      </c>
      <c r="E7266" s="88"/>
      <c r="F7266" s="88"/>
      <c r="G7266" s="48">
        <v>1</v>
      </c>
      <c r="H7266" s="48"/>
      <c r="I7266" s="49"/>
      <c r="J7266" s="49"/>
      <c r="K7266" s="19"/>
      <c r="L7266" s="20"/>
    </row>
    <row r="7267" spans="1:12" outlineLevel="2">
      <c r="A7267" s="114"/>
      <c r="B7267" s="12" t="str">
        <f>IFERROR(VLOOKUP(D7267,'[1]Перечень товаров'!$A$2:$I9525,2,0),"")</f>
        <v/>
      </c>
      <c r="C7267" s="12" t="str">
        <f>IFERROR(VLOOKUP(D7267,'[1]Перечень товаров'!$A$2:$I9525,3,0),"")</f>
        <v/>
      </c>
      <c r="D7267" s="114" t="s">
        <v>391</v>
      </c>
      <c r="E7267" s="161"/>
      <c r="F7267" s="161"/>
      <c r="G7267" s="162"/>
      <c r="H7267" s="162"/>
      <c r="I7267" s="163"/>
      <c r="J7267" s="163"/>
      <c r="K7267" s="19"/>
      <c r="L7267" s="20"/>
    </row>
    <row r="7268" spans="1:12" ht="47.25" outlineLevel="2">
      <c r="A7268" s="34"/>
      <c r="B7268" s="12" t="str">
        <f>IFERROR(VLOOKUP(D7268,'[1]Перечень товаров'!$A$2:$I9525,2,0),"")</f>
        <v>м180</v>
      </c>
      <c r="C7268" s="12" t="str">
        <f>IFERROR(VLOOKUP(D7268,'[1]Перечень товаров'!$A$2:$I9525,3,0),"")</f>
        <v>Мебель</v>
      </c>
      <c r="D7268" s="35" t="s">
        <v>580</v>
      </c>
      <c r="E7268" s="88"/>
      <c r="F7268" s="88"/>
      <c r="G7268" s="159">
        <v>2</v>
      </c>
      <c r="H7268" s="159"/>
      <c r="I7268" s="160"/>
      <c r="J7268" s="160"/>
      <c r="K7268" s="19"/>
      <c r="L7268" s="20"/>
    </row>
    <row r="7269" spans="1:12" outlineLevel="2">
      <c r="A7269" s="34"/>
      <c r="B7269" s="12" t="str">
        <f>IFERROR(VLOOKUP(D7269,'[1]Перечень товаров'!$A$2:$I9525,2,0),"")</f>
        <v>м181</v>
      </c>
      <c r="C7269" s="12" t="str">
        <f>IFERROR(VLOOKUP(D7269,'[1]Перечень товаров'!$A$2:$I9525,3,0),"")</f>
        <v>Мебель</v>
      </c>
      <c r="D7269" s="35" t="s">
        <v>581</v>
      </c>
      <c r="E7269" s="88"/>
      <c r="F7269" s="88"/>
      <c r="G7269" s="59">
        <v>2</v>
      </c>
      <c r="H7269" s="59"/>
      <c r="I7269" s="60"/>
      <c r="J7269" s="60"/>
      <c r="K7269" s="19"/>
      <c r="L7269" s="20"/>
    </row>
    <row r="7270" spans="1:12" ht="31.5" outlineLevel="2">
      <c r="A7270" s="34"/>
      <c r="B7270" s="12" t="str">
        <f>IFERROR(VLOOKUP(D7270,'[1]Перечень товаров'!$A$2:$I9525,2,0),"")</f>
        <v>тм258</v>
      </c>
      <c r="C7270" s="12" t="str">
        <f>IFERROR(VLOOKUP(D7270,'[1]Перечень товаров'!$A$2:$I9525,3,0),"")</f>
        <v>Техника муз</v>
      </c>
      <c r="D7270" s="35" t="s">
        <v>582</v>
      </c>
      <c r="E7270" s="88"/>
      <c r="F7270" s="88"/>
      <c r="G7270" s="59">
        <v>1</v>
      </c>
      <c r="H7270" s="59"/>
      <c r="I7270" s="60"/>
      <c r="J7270" s="60"/>
      <c r="K7270" s="19"/>
      <c r="L7270" s="20"/>
    </row>
    <row r="7271" spans="1:12" ht="31.5" outlineLevel="2">
      <c r="A7271" s="34"/>
      <c r="B7271" s="12" t="str">
        <f>IFERROR(VLOOKUP(D7271,'[1]Перечень товаров'!$A$2:$I9525,2,0),"")</f>
        <v>тм259</v>
      </c>
      <c r="C7271" s="12" t="str">
        <f>IFERROR(VLOOKUP(D7271,'[1]Перечень товаров'!$A$2:$I9525,3,0),"")</f>
        <v>Техника муз</v>
      </c>
      <c r="D7271" s="35" t="s">
        <v>583</v>
      </c>
      <c r="E7271" s="88"/>
      <c r="F7271" s="88"/>
      <c r="G7271" s="59">
        <v>1</v>
      </c>
      <c r="H7271" s="59"/>
      <c r="I7271" s="60"/>
      <c r="J7271" s="60"/>
      <c r="K7271" s="19"/>
      <c r="L7271" s="20"/>
    </row>
    <row r="7272" spans="1:12" ht="47.25" outlineLevel="2">
      <c r="A7272" s="34"/>
      <c r="B7272" s="12" t="str">
        <f>IFERROR(VLOOKUP(D7272,'[1]Перечень товаров'!$A$2:$I9525,2,0),"")</f>
        <v>п49</v>
      </c>
      <c r="C7272" s="12" t="str">
        <f>IFERROR(VLOOKUP(D7272,'[1]Перечень товаров'!$A$2:$I9525,3,0),"")</f>
        <v>Прочее</v>
      </c>
      <c r="D7272" s="35" t="s">
        <v>584</v>
      </c>
      <c r="E7272" s="88"/>
      <c r="F7272" s="88"/>
      <c r="G7272" s="59">
        <v>1</v>
      </c>
      <c r="H7272" s="59"/>
      <c r="I7272" s="60"/>
      <c r="J7272" s="60"/>
      <c r="K7272" s="19"/>
      <c r="L7272" s="20"/>
    </row>
    <row r="7273" spans="1:12" outlineLevel="2">
      <c r="A7273" s="34"/>
      <c r="B7273" s="12" t="str">
        <f>IFERROR(VLOOKUP(D7273,'[1]Перечень товаров'!$A$2:$I9525,2,0),"")</f>
        <v>п50</v>
      </c>
      <c r="C7273" s="12" t="str">
        <f>IFERROR(VLOOKUP(D7273,'[1]Перечень товаров'!$A$2:$I9525,3,0),"")</f>
        <v>Прочее</v>
      </c>
      <c r="D7273" s="35" t="s">
        <v>585</v>
      </c>
      <c r="E7273" s="88"/>
      <c r="F7273" s="88"/>
      <c r="G7273" s="59">
        <v>1</v>
      </c>
      <c r="H7273" s="59"/>
      <c r="I7273" s="60"/>
      <c r="J7273" s="60"/>
      <c r="K7273" s="19"/>
      <c r="L7273" s="20"/>
    </row>
    <row r="7274" spans="1:12" ht="12.75" outlineLevel="1">
      <c r="A7274" s="11"/>
      <c r="B7274" s="12" t="str">
        <f>IFERROR(VLOOKUP(D7274,'[1]Перечень товаров'!$A$2:$I9525,2,0),"")</f>
        <v/>
      </c>
      <c r="C7274" s="12" t="str">
        <f>IFERROR(VLOOKUP(D7274,'[1]Перечень товаров'!$A$2:$I9525,3,0),"")</f>
        <v/>
      </c>
      <c r="D7274" s="27" t="s">
        <v>1827</v>
      </c>
      <c r="E7274" s="99">
        <v>46222</v>
      </c>
      <c r="F7274" s="99"/>
      <c r="G7274" s="100"/>
      <c r="H7274" s="100"/>
      <c r="I7274" s="101"/>
      <c r="J7274" s="101"/>
      <c r="K7274" s="19"/>
      <c r="L7274" s="20"/>
    </row>
    <row r="7275" spans="1:12" ht="15" outlineLevel="2">
      <c r="A7275" s="109"/>
      <c r="B7275" s="12" t="str">
        <f>IFERROR(VLOOKUP(D7275,'[1]Перечень товаров'!$A$2:$I9525,2,0),"")</f>
        <v/>
      </c>
      <c r="C7275" s="12" t="str">
        <f>IFERROR(VLOOKUP(D7275,'[1]Перечень товаров'!$A$2:$I9525,3,0),"")</f>
        <v/>
      </c>
      <c r="D7275" s="110" t="s">
        <v>27</v>
      </c>
      <c r="E7275" s="45"/>
      <c r="F7275" s="45"/>
      <c r="G7275" s="111"/>
      <c r="H7275" s="111"/>
      <c r="I7275" s="112"/>
      <c r="J7275" s="112"/>
      <c r="K7275" s="19"/>
      <c r="L7275" s="20"/>
    </row>
    <row r="7276" spans="1:12" outlineLevel="2">
      <c r="A7276" s="21"/>
      <c r="B7276" s="12" t="str">
        <f>IFERROR(VLOOKUP(D7276,'[1]Перечень товаров'!$A$2:$I9525,2,0),"")</f>
        <v>т1</v>
      </c>
      <c r="C7276" s="12" t="str">
        <f>IFERROR(VLOOKUP(D7276,'[1]Перечень товаров'!$A$2:$I9525,3,0),"")</f>
        <v xml:space="preserve">Техника </v>
      </c>
      <c r="D7276" s="22" t="s">
        <v>28</v>
      </c>
      <c r="E7276" s="58"/>
      <c r="F7276" s="58"/>
      <c r="G7276" s="48">
        <v>1</v>
      </c>
      <c r="H7276" s="48"/>
      <c r="I7276" s="49"/>
      <c r="J7276" s="49"/>
      <c r="K7276" s="19"/>
      <c r="L7276" s="20"/>
    </row>
    <row r="7277" spans="1:12" outlineLevel="2">
      <c r="A7277" s="143"/>
      <c r="B7277" s="12" t="str">
        <f>IFERROR(VLOOKUP(D7277,'[1]Перечень товаров'!$A$2:$I9525,2,0),"")</f>
        <v>т9</v>
      </c>
      <c r="C7277" s="12" t="str">
        <f>IFERROR(VLOOKUP(D7277,'[1]Перечень товаров'!$A$2:$I9525,3,0),"")</f>
        <v>Техника</v>
      </c>
      <c r="D7277" s="143" t="s">
        <v>36</v>
      </c>
      <c r="E7277" s="58"/>
      <c r="F7277" s="58"/>
      <c r="G7277" s="48">
        <v>1</v>
      </c>
      <c r="H7277" s="48"/>
      <c r="I7277" s="49"/>
      <c r="J7277" s="49"/>
      <c r="K7277" s="19"/>
      <c r="L7277" s="20"/>
    </row>
    <row r="7278" spans="1:12" outlineLevel="2">
      <c r="A7278" s="35"/>
      <c r="B7278" s="12" t="str">
        <f>IFERROR(VLOOKUP(D7278,'[1]Перечень товаров'!$A$2:$I9525,2,0),"")</f>
        <v>т2</v>
      </c>
      <c r="C7278" s="12" t="str">
        <f>IFERROR(VLOOKUP(D7278,'[1]Перечень товаров'!$A$2:$I9525,3,0),"")</f>
        <v xml:space="preserve">Техника </v>
      </c>
      <c r="D7278" s="35" t="s">
        <v>29</v>
      </c>
      <c r="E7278" s="58"/>
      <c r="F7278" s="58"/>
      <c r="G7278" s="48">
        <v>1</v>
      </c>
      <c r="H7278" s="48"/>
      <c r="I7278" s="49"/>
      <c r="J7278" s="49"/>
      <c r="K7278" s="19"/>
      <c r="L7278" s="20"/>
    </row>
    <row r="7279" spans="1:12" outlineLevel="2">
      <c r="A7279" s="35"/>
      <c r="B7279" s="12" t="str">
        <f>IFERROR(VLOOKUP(D7279,'[1]Перечень товаров'!$A$2:$I9525,2,0),"")</f>
        <v>т3</v>
      </c>
      <c r="C7279" s="12" t="str">
        <f>IFERROR(VLOOKUP(D7279,'[1]Перечень товаров'!$A$2:$I9525,3,0),"")</f>
        <v xml:space="preserve">Техника </v>
      </c>
      <c r="D7279" s="35" t="s">
        <v>30</v>
      </c>
      <c r="E7279" s="58"/>
      <c r="F7279" s="58"/>
      <c r="G7279" s="48">
        <v>1</v>
      </c>
      <c r="H7279" s="48"/>
      <c r="I7279" s="49"/>
      <c r="J7279" s="49"/>
      <c r="K7279" s="19"/>
      <c r="L7279" s="20"/>
    </row>
    <row r="7280" spans="1:12" outlineLevel="2">
      <c r="A7280" s="35"/>
      <c r="B7280" s="12" t="str">
        <f>IFERROR(VLOOKUP(D7280,'[1]Перечень товаров'!$A$2:$I9525,2,0),"")</f>
        <v>т4</v>
      </c>
      <c r="C7280" s="12" t="str">
        <f>IFERROR(VLOOKUP(D7280,'[1]Перечень товаров'!$A$2:$I9525,3,0),"")</f>
        <v xml:space="preserve">Техника </v>
      </c>
      <c r="D7280" s="35" t="s">
        <v>31</v>
      </c>
      <c r="E7280" s="58"/>
      <c r="F7280" s="58"/>
      <c r="G7280" s="48">
        <v>1</v>
      </c>
      <c r="H7280" s="48"/>
      <c r="I7280" s="49"/>
      <c r="J7280" s="49"/>
      <c r="K7280" s="19"/>
      <c r="L7280" s="20"/>
    </row>
    <row r="7281" spans="1:12" outlineLevel="2">
      <c r="A7281" s="21"/>
      <c r="B7281" s="12" t="str">
        <f>IFERROR(VLOOKUP(D7281,'[1]Перечень товаров'!$A$2:$I9525,2,0),"")</f>
        <v>тм65</v>
      </c>
      <c r="C7281" s="12" t="str">
        <f>IFERROR(VLOOKUP(D7281,'[1]Перечень товаров'!$A$2:$I9525,3,0),"")</f>
        <v>Техника муз</v>
      </c>
      <c r="D7281" s="22" t="s">
        <v>380</v>
      </c>
      <c r="E7281" s="58"/>
      <c r="F7281" s="58"/>
      <c r="G7281" s="48">
        <v>1</v>
      </c>
      <c r="H7281" s="48"/>
      <c r="I7281" s="49"/>
      <c r="J7281" s="49"/>
      <c r="K7281" s="19"/>
      <c r="L7281" s="20"/>
    </row>
    <row r="7282" spans="1:12" outlineLevel="2">
      <c r="A7282" s="21"/>
      <c r="B7282" s="12" t="str">
        <f>IFERROR(VLOOKUP(D7282,'[1]Перечень товаров'!$A$2:$I9525,2,0),"")</f>
        <v>т12</v>
      </c>
      <c r="C7282" s="12" t="str">
        <f>IFERROR(VLOOKUP(D7282,'[1]Перечень товаров'!$A$2:$I9525,3,0),"")</f>
        <v>Техника</v>
      </c>
      <c r="D7282" s="22" t="s">
        <v>49</v>
      </c>
      <c r="E7282" s="58"/>
      <c r="F7282" s="58"/>
      <c r="G7282" s="48">
        <v>1</v>
      </c>
      <c r="H7282" s="48"/>
      <c r="I7282" s="49"/>
      <c r="J7282" s="49"/>
      <c r="K7282" s="19"/>
      <c r="L7282" s="20"/>
    </row>
    <row r="7283" spans="1:12" outlineLevel="2">
      <c r="A7283" s="35"/>
      <c r="B7283" s="12" t="str">
        <f>IFERROR(VLOOKUP(D7283,'[1]Перечень товаров'!$A$2:$I9525,2,0),"")</f>
        <v>т6</v>
      </c>
      <c r="C7283" s="12" t="str">
        <f>IFERROR(VLOOKUP(D7283,'[1]Перечень товаров'!$A$2:$I9525,3,0),"")</f>
        <v xml:space="preserve">Техника </v>
      </c>
      <c r="D7283" s="35" t="s">
        <v>33</v>
      </c>
      <c r="E7283" s="58"/>
      <c r="F7283" s="58"/>
      <c r="G7283" s="48">
        <v>1</v>
      </c>
      <c r="H7283" s="48"/>
      <c r="I7283" s="49"/>
      <c r="J7283" s="49"/>
      <c r="K7283" s="19"/>
      <c r="L7283" s="20"/>
    </row>
    <row r="7284" spans="1:12" outlineLevel="2">
      <c r="A7284" s="21"/>
      <c r="B7284" s="12" t="str">
        <f>IFERROR(VLOOKUP(D7284,'[1]Перечень товаров'!$A$2:$I9525,2,0),"")</f>
        <v>т7</v>
      </c>
      <c r="C7284" s="12" t="str">
        <f>IFERROR(VLOOKUP(D7284,'[1]Перечень товаров'!$A$2:$I9525,3,0),"")</f>
        <v xml:space="preserve">Техника </v>
      </c>
      <c r="D7284" s="22" t="s">
        <v>34</v>
      </c>
      <c r="E7284" s="58"/>
      <c r="F7284" s="58"/>
      <c r="G7284" s="48">
        <v>3</v>
      </c>
      <c r="H7284" s="48"/>
      <c r="I7284" s="49"/>
      <c r="J7284" s="49"/>
      <c r="K7284" s="19"/>
      <c r="L7284" s="20"/>
    </row>
    <row r="7285" spans="1:12" outlineLevel="2">
      <c r="A7285" s="28"/>
      <c r="B7285" s="12" t="str">
        <f>IFERROR(VLOOKUP(D7285,'[1]Перечень товаров'!$A$2:$I9525,2,0),"")</f>
        <v>т161</v>
      </c>
      <c r="C7285" s="12" t="str">
        <f>IFERROR(VLOOKUP(D7285,'[1]Перечень товаров'!$A$2:$I9525,3,0),"")</f>
        <v xml:space="preserve">Техника </v>
      </c>
      <c r="D7285" s="29" t="s">
        <v>381</v>
      </c>
      <c r="E7285" s="30"/>
      <c r="F7285" s="30"/>
      <c r="G7285" s="59">
        <v>1</v>
      </c>
      <c r="H7285" s="59"/>
      <c r="I7285" s="60"/>
      <c r="J7285" s="60"/>
      <c r="K7285" s="19"/>
      <c r="L7285" s="20"/>
    </row>
    <row r="7286" spans="1:12" outlineLevel="2">
      <c r="A7286" s="113"/>
      <c r="B7286" s="12" t="str">
        <f>IFERROR(VLOOKUP(D7286,'[1]Перечень товаров'!$A$2:$I9525,2,0),"")</f>
        <v/>
      </c>
      <c r="C7286" s="12" t="str">
        <f>IFERROR(VLOOKUP(D7286,'[1]Перечень товаров'!$A$2:$I9525,3,0),"")</f>
        <v/>
      </c>
      <c r="D7286" s="114" t="s">
        <v>19</v>
      </c>
      <c r="E7286" s="115"/>
      <c r="F7286" s="115"/>
      <c r="G7286" s="59"/>
      <c r="H7286" s="59"/>
      <c r="I7286" s="60"/>
      <c r="J7286" s="60"/>
      <c r="K7286" s="19"/>
      <c r="L7286" s="20"/>
    </row>
    <row r="7287" spans="1:12" outlineLevel="2">
      <c r="A7287" s="34"/>
      <c r="B7287" s="12" t="str">
        <f>IFERROR(VLOOKUP(D7287,'[1]Перечень товаров'!$A$2:$I9525,2,0),"")</f>
        <v>м62</v>
      </c>
      <c r="C7287" s="12" t="str">
        <f>IFERROR(VLOOKUP(D7287,'[1]Перечень товаров'!$A$2:$I9525,3,0),"")</f>
        <v>Мебель</v>
      </c>
      <c r="D7287" s="35" t="s">
        <v>398</v>
      </c>
      <c r="E7287" s="88"/>
      <c r="F7287" s="88"/>
      <c r="G7287" s="59">
        <v>1</v>
      </c>
      <c r="H7287" s="59"/>
      <c r="I7287" s="60"/>
      <c r="J7287" s="60"/>
      <c r="K7287" s="19"/>
      <c r="L7287" s="20"/>
    </row>
    <row r="7288" spans="1:12" outlineLevel="2">
      <c r="A7288" s="34"/>
      <c r="B7288" s="12" t="str">
        <f>IFERROR(VLOOKUP(D7288,'[1]Перечень товаров'!$A$2:$I9525,2,0),"")</f>
        <v>м61</v>
      </c>
      <c r="C7288" s="12" t="str">
        <f>IFERROR(VLOOKUP(D7288,'[1]Перечень товаров'!$A$2:$I9525,3,0),"")</f>
        <v>Мебель</v>
      </c>
      <c r="D7288" s="35" t="s">
        <v>383</v>
      </c>
      <c r="E7288" s="88"/>
      <c r="F7288" s="88"/>
      <c r="G7288" s="59">
        <v>1</v>
      </c>
      <c r="H7288" s="59"/>
      <c r="I7288" s="60"/>
      <c r="J7288" s="60"/>
      <c r="K7288" s="19"/>
      <c r="L7288" s="20"/>
    </row>
    <row r="7289" spans="1:12" outlineLevel="2">
      <c r="A7289" s="34"/>
      <c r="B7289" s="12" t="str">
        <f>IFERROR(VLOOKUP(D7289,'[1]Перечень товаров'!$A$2:$I9525,2,0),"")</f>
        <v>м179</v>
      </c>
      <c r="C7289" s="12" t="str">
        <f>IFERROR(VLOOKUP(D7289,'[1]Перечень товаров'!$A$2:$I9525,3,0),"")</f>
        <v>Мебель</v>
      </c>
      <c r="D7289" s="35" t="s">
        <v>579</v>
      </c>
      <c r="E7289" s="88"/>
      <c r="F7289" s="88"/>
      <c r="G7289" s="59">
        <v>10</v>
      </c>
      <c r="H7289" s="59"/>
      <c r="I7289" s="60"/>
      <c r="J7289" s="60"/>
      <c r="K7289" s="19"/>
      <c r="L7289" s="20"/>
    </row>
    <row r="7290" spans="1:12" outlineLevel="2">
      <c r="A7290" s="34"/>
      <c r="B7290" s="12" t="str">
        <f>IFERROR(VLOOKUP(D7290,'[1]Перечень товаров'!$A$2:$I9525,2,0),"")</f>
        <v>м61</v>
      </c>
      <c r="C7290" s="12" t="str">
        <f>IFERROR(VLOOKUP(D7290,'[1]Перечень товаров'!$A$2:$I9525,3,0),"")</f>
        <v>Мебель</v>
      </c>
      <c r="D7290" s="35" t="s">
        <v>384</v>
      </c>
      <c r="E7290" s="88"/>
      <c r="F7290" s="88"/>
      <c r="G7290" s="59">
        <v>20</v>
      </c>
      <c r="H7290" s="59"/>
      <c r="I7290" s="60"/>
      <c r="J7290" s="60"/>
      <c r="K7290" s="19"/>
      <c r="L7290" s="20"/>
    </row>
    <row r="7291" spans="1:12" outlineLevel="2">
      <c r="A7291" s="21"/>
      <c r="B7291" s="12" t="str">
        <f>IFERROR(VLOOKUP(D7291,'[1]Перечень товаров'!$A$2:$I9525,2,0),"")</f>
        <v>м13</v>
      </c>
      <c r="C7291" s="12" t="str">
        <f>IFERROR(VLOOKUP(D7291,'[1]Перечень товаров'!$A$2:$I9525,3,0),"")</f>
        <v>Мебель</v>
      </c>
      <c r="D7291" s="22" t="s">
        <v>42</v>
      </c>
      <c r="E7291" s="58"/>
      <c r="F7291" s="58"/>
      <c r="G7291" s="24">
        <v>1</v>
      </c>
      <c r="H7291" s="24"/>
      <c r="I7291" s="25"/>
      <c r="J7291" s="25"/>
      <c r="K7291" s="19"/>
      <c r="L7291" s="20"/>
    </row>
    <row r="7292" spans="1:12" outlineLevel="2">
      <c r="A7292" s="21"/>
      <c r="B7292" s="12" t="str">
        <f>IFERROR(VLOOKUP(D7292,'[1]Перечень товаров'!$A$2:$I9525,2,0),"")</f>
        <v>м14</v>
      </c>
      <c r="C7292" s="12" t="str">
        <f>IFERROR(VLOOKUP(D7292,'[1]Перечень товаров'!$A$2:$I9525,3,0),"")</f>
        <v>Мебель</v>
      </c>
      <c r="D7292" s="22" t="s">
        <v>43</v>
      </c>
      <c r="E7292" s="58"/>
      <c r="F7292" s="58"/>
      <c r="G7292" s="24">
        <v>1</v>
      </c>
      <c r="H7292" s="24"/>
      <c r="I7292" s="25"/>
      <c r="J7292" s="25"/>
      <c r="K7292" s="19"/>
      <c r="L7292" s="20"/>
    </row>
    <row r="7293" spans="1:12" ht="31.5" outlineLevel="2">
      <c r="A7293" s="155"/>
      <c r="B7293" s="12" t="str">
        <f>IFERROR(VLOOKUP(D7293,'[1]Перечень товаров'!$A$2:$I9525,2,0),"")</f>
        <v>м21</v>
      </c>
      <c r="C7293" s="12" t="str">
        <f>IFERROR(VLOOKUP(D7293,'[1]Перечень товаров'!$A$2:$I9525,3,0),"")</f>
        <v>Мебель</v>
      </c>
      <c r="D7293" s="156" t="s">
        <v>58</v>
      </c>
      <c r="E7293" s="58"/>
      <c r="F7293" s="58"/>
      <c r="G7293" s="24">
        <v>1</v>
      </c>
      <c r="H7293" s="24"/>
      <c r="I7293" s="25"/>
      <c r="J7293" s="25"/>
      <c r="K7293" s="19"/>
      <c r="L7293" s="20"/>
    </row>
    <row r="7294" spans="1:12" ht="15" outlineLevel="2">
      <c r="A7294" s="116"/>
      <c r="B7294" s="12" t="str">
        <f>IFERROR(VLOOKUP(D7294,'[1]Перечень товаров'!$A$2:$I9525,2,0),"")</f>
        <v/>
      </c>
      <c r="C7294" s="12" t="str">
        <f>IFERROR(VLOOKUP(D7294,'[1]Перечень товаров'!$A$2:$I9525,3,0),"")</f>
        <v/>
      </c>
      <c r="D7294" s="117" t="s">
        <v>391</v>
      </c>
      <c r="E7294" s="118"/>
      <c r="F7294" s="118"/>
      <c r="G7294" s="119"/>
      <c r="H7294" s="119"/>
      <c r="I7294" s="120"/>
      <c r="J7294" s="120"/>
      <c r="K7294" s="19"/>
      <c r="L7294" s="20"/>
    </row>
    <row r="7295" spans="1:12" ht="15" outlineLevel="2">
      <c r="A7295" s="274"/>
      <c r="B7295" s="12" t="str">
        <f>IFERROR(VLOOKUP(D7295,'[1]Перечень товаров'!$A$2:$I9525,2,0),"")</f>
        <v/>
      </c>
      <c r="C7295" s="12" t="str">
        <f>IFERROR(VLOOKUP(D7295,'[1]Перечень товаров'!$A$2:$I9525,3,0),"")</f>
        <v/>
      </c>
      <c r="D7295" s="275" t="s">
        <v>1828</v>
      </c>
      <c r="E7295" s="118"/>
      <c r="F7295" s="118"/>
      <c r="G7295" s="119"/>
      <c r="H7295" s="119"/>
      <c r="I7295" s="120"/>
      <c r="J7295" s="120"/>
      <c r="K7295" s="19"/>
      <c r="L7295" s="20"/>
    </row>
    <row r="7296" spans="1:12" outlineLevel="2">
      <c r="A7296" s="28"/>
      <c r="B7296" s="12" t="str">
        <f>IFERROR(VLOOKUP(D7296,'[1]Перечень товаров'!$A$2:$I9525,2,0),"")</f>
        <v>тм87</v>
      </c>
      <c r="C7296" s="12" t="str">
        <f>IFERROR(VLOOKUP(D7296,'[1]Перечень товаров'!$A$2:$I9525,3,0),"")</f>
        <v>Техника муз</v>
      </c>
      <c r="D7296" s="29" t="s">
        <v>1829</v>
      </c>
      <c r="E7296" s="30"/>
      <c r="F7296" s="30"/>
      <c r="G7296" s="31">
        <v>2</v>
      </c>
      <c r="H7296" s="31"/>
      <c r="I7296" s="32"/>
      <c r="J7296" s="32"/>
      <c r="K7296" s="19"/>
      <c r="L7296" s="20"/>
    </row>
    <row r="7297" spans="1:12" outlineLevel="2">
      <c r="A7297" s="28"/>
      <c r="B7297" s="12" t="str">
        <f>IFERROR(VLOOKUP(D7297,'[1]Перечень товаров'!$A$2:$I9525,2,0),"")</f>
        <v>тм86</v>
      </c>
      <c r="C7297" s="12" t="str">
        <f>IFERROR(VLOOKUP(D7297,'[1]Перечень товаров'!$A$2:$I9525,3,0),"")</f>
        <v>Техника муз</v>
      </c>
      <c r="D7297" s="29" t="s">
        <v>1830</v>
      </c>
      <c r="E7297" s="30"/>
      <c r="F7297" s="30"/>
      <c r="G7297" s="31">
        <v>3</v>
      </c>
      <c r="H7297" s="31"/>
      <c r="I7297" s="32"/>
      <c r="J7297" s="32"/>
      <c r="K7297" s="19"/>
      <c r="L7297" s="20"/>
    </row>
    <row r="7298" spans="1:12" outlineLevel="2">
      <c r="A7298" s="28"/>
      <c r="B7298" s="12" t="str">
        <f>IFERROR(VLOOKUP(D7298,'[1]Перечень товаров'!$A$2:$I9525,2,0),"")</f>
        <v>тм85</v>
      </c>
      <c r="C7298" s="12" t="str">
        <f>IFERROR(VLOOKUP(D7298,'[1]Перечень товаров'!$A$2:$I9525,3,0),"")</f>
        <v>Техника муз</v>
      </c>
      <c r="D7298" s="29" t="s">
        <v>1831</v>
      </c>
      <c r="E7298" s="30"/>
      <c r="F7298" s="30"/>
      <c r="G7298" s="31">
        <v>4</v>
      </c>
      <c r="H7298" s="31"/>
      <c r="I7298" s="32"/>
      <c r="J7298" s="32"/>
      <c r="K7298" s="19"/>
      <c r="L7298" s="20"/>
    </row>
    <row r="7299" spans="1:12" outlineLevel="2">
      <c r="A7299" s="28"/>
      <c r="B7299" s="12" t="str">
        <f>IFERROR(VLOOKUP(D7299,'[1]Перечень товаров'!$A$2:$I9525,2,0),"")</f>
        <v>тм84</v>
      </c>
      <c r="C7299" s="12" t="str">
        <f>IFERROR(VLOOKUP(D7299,'[1]Перечень товаров'!$A$2:$I9525,3,0),"")</f>
        <v>Техника муз</v>
      </c>
      <c r="D7299" s="29" t="s">
        <v>1832</v>
      </c>
      <c r="E7299" s="30"/>
      <c r="F7299" s="30"/>
      <c r="G7299" s="31">
        <v>4</v>
      </c>
      <c r="H7299" s="31"/>
      <c r="I7299" s="32"/>
      <c r="J7299" s="32"/>
      <c r="K7299" s="19"/>
      <c r="L7299" s="20"/>
    </row>
    <row r="7300" spans="1:12" outlineLevel="2">
      <c r="A7300" s="28"/>
      <c r="B7300" s="12" t="str">
        <f>IFERROR(VLOOKUP(D7300,'[1]Перечень товаров'!$A$2:$I9525,2,0),"")</f>
        <v>тм83</v>
      </c>
      <c r="C7300" s="12" t="str">
        <f>IFERROR(VLOOKUP(D7300,'[1]Перечень товаров'!$A$2:$I9525,3,0),"")</f>
        <v>Техника муз</v>
      </c>
      <c r="D7300" s="29" t="s">
        <v>1833</v>
      </c>
      <c r="E7300" s="30"/>
      <c r="F7300" s="30"/>
      <c r="G7300" s="31">
        <v>5</v>
      </c>
      <c r="H7300" s="31"/>
      <c r="I7300" s="32"/>
      <c r="J7300" s="32"/>
      <c r="K7300" s="19"/>
      <c r="L7300" s="20"/>
    </row>
    <row r="7301" spans="1:12" outlineLevel="2">
      <c r="A7301" s="28"/>
      <c r="B7301" s="12" t="str">
        <f>IFERROR(VLOOKUP(D7301,'[1]Перечень товаров'!$A$2:$I9525,2,0),"")</f>
        <v>тм82</v>
      </c>
      <c r="C7301" s="12" t="str">
        <f>IFERROR(VLOOKUP(D7301,'[1]Перечень товаров'!$A$2:$I9525,3,0),"")</f>
        <v>Техника муз</v>
      </c>
      <c r="D7301" s="29" t="s">
        <v>1834</v>
      </c>
      <c r="E7301" s="30"/>
      <c r="F7301" s="30"/>
      <c r="G7301" s="31">
        <v>2</v>
      </c>
      <c r="H7301" s="31"/>
      <c r="I7301" s="32"/>
      <c r="J7301" s="32"/>
      <c r="K7301" s="19"/>
      <c r="L7301" s="20"/>
    </row>
    <row r="7302" spans="1:12" ht="31.5" outlineLevel="2">
      <c r="A7302" s="28"/>
      <c r="B7302" s="12" t="str">
        <f>IFERROR(VLOOKUP(D7302,'[1]Перечень товаров'!$A$2:$I9525,2,0),"")</f>
        <v>тм81</v>
      </c>
      <c r="C7302" s="12" t="str">
        <f>IFERROR(VLOOKUP(D7302,'[1]Перечень товаров'!$A$2:$I9525,3,0),"")</f>
        <v>Техника муз</v>
      </c>
      <c r="D7302" s="29" t="s">
        <v>1835</v>
      </c>
      <c r="E7302" s="30"/>
      <c r="F7302" s="30"/>
      <c r="G7302" s="31">
        <v>18</v>
      </c>
      <c r="H7302" s="31"/>
      <c r="I7302" s="32"/>
      <c r="J7302" s="32"/>
      <c r="K7302" s="19"/>
      <c r="L7302" s="20"/>
    </row>
    <row r="7303" spans="1:12" outlineLevel="2">
      <c r="A7303" s="28"/>
      <c r="B7303" s="12" t="str">
        <f>IFERROR(VLOOKUP(D7303,'[1]Перечень товаров'!$A$2:$I9525,2,0),"")</f>
        <v>тм54</v>
      </c>
      <c r="C7303" s="12" t="str">
        <f>IFERROR(VLOOKUP(D7303,'[1]Перечень товаров'!$A$2:$I9525,3,0),"")</f>
        <v>Техника муз</v>
      </c>
      <c r="D7303" s="29" t="s">
        <v>310</v>
      </c>
      <c r="E7303" s="30"/>
      <c r="F7303" s="30"/>
      <c r="G7303" s="31">
        <v>30</v>
      </c>
      <c r="H7303" s="31"/>
      <c r="I7303" s="32"/>
      <c r="J7303" s="32"/>
      <c r="K7303" s="19"/>
      <c r="L7303" s="20"/>
    </row>
    <row r="7304" spans="1:12" ht="31.5" outlineLevel="2">
      <c r="A7304" s="28"/>
      <c r="B7304" s="12" t="str">
        <f>IFERROR(VLOOKUP(D7304,'[1]Перечень товаров'!$A$2:$I9525,2,0),"")</f>
        <v>тм80</v>
      </c>
      <c r="C7304" s="12" t="str">
        <f>IFERROR(VLOOKUP(D7304,'[1]Перечень товаров'!$A$2:$I9525,3,0),"")</f>
        <v>Техника муз</v>
      </c>
      <c r="D7304" s="29" t="s">
        <v>1836</v>
      </c>
      <c r="E7304" s="30"/>
      <c r="F7304" s="30"/>
      <c r="G7304" s="31">
        <v>5</v>
      </c>
      <c r="H7304" s="31"/>
      <c r="I7304" s="32"/>
      <c r="J7304" s="32"/>
      <c r="K7304" s="19"/>
      <c r="L7304" s="20"/>
    </row>
    <row r="7305" spans="1:12" outlineLevel="2">
      <c r="A7305" s="28"/>
      <c r="B7305" s="12" t="str">
        <f>IFERROR(VLOOKUP(D7305,'[1]Перечень товаров'!$A$2:$I9525,2,0),"")</f>
        <v>пм211</v>
      </c>
      <c r="C7305" s="12" t="str">
        <f>IFERROR(VLOOKUP(D7305,'[1]Перечень товаров'!$A$2:$I9525,3,0),"")</f>
        <v>прочее муз</v>
      </c>
      <c r="D7305" s="29" t="s">
        <v>995</v>
      </c>
      <c r="E7305" s="30"/>
      <c r="F7305" s="30"/>
      <c r="G7305" s="31">
        <v>10</v>
      </c>
      <c r="H7305" s="31"/>
      <c r="I7305" s="32"/>
      <c r="J7305" s="32"/>
      <c r="K7305" s="19"/>
      <c r="L7305" s="20"/>
    </row>
    <row r="7306" spans="1:12" ht="31.5" outlineLevel="2">
      <c r="A7306" s="28"/>
      <c r="B7306" s="12" t="str">
        <f>IFERROR(VLOOKUP(D7306,'[1]Перечень товаров'!$A$2:$I9525,2,0),"")</f>
        <v>тм79</v>
      </c>
      <c r="C7306" s="12" t="str">
        <f>IFERROR(VLOOKUP(D7306,'[1]Перечень товаров'!$A$2:$I9525,3,0),"")</f>
        <v>Техника муз</v>
      </c>
      <c r="D7306" s="29" t="s">
        <v>1837</v>
      </c>
      <c r="E7306" s="30"/>
      <c r="F7306" s="30"/>
      <c r="G7306" s="31">
        <v>18</v>
      </c>
      <c r="H7306" s="31"/>
      <c r="I7306" s="32"/>
      <c r="J7306" s="32"/>
      <c r="K7306" s="19"/>
      <c r="L7306" s="20"/>
    </row>
    <row r="7307" spans="1:12" outlineLevel="2">
      <c r="A7307" s="28"/>
      <c r="B7307" s="12" t="str">
        <f>IFERROR(VLOOKUP(D7307,'[1]Перечень товаров'!$A$2:$I9525,2,0),"")</f>
        <v>тм78</v>
      </c>
      <c r="C7307" s="12" t="str">
        <f>IFERROR(VLOOKUP(D7307,'[1]Перечень товаров'!$A$2:$I9525,3,0),"")</f>
        <v>Техника муз</v>
      </c>
      <c r="D7307" s="29" t="s">
        <v>1838</v>
      </c>
      <c r="E7307" s="30"/>
      <c r="F7307" s="30"/>
      <c r="G7307" s="31">
        <v>1</v>
      </c>
      <c r="H7307" s="31"/>
      <c r="I7307" s="32"/>
      <c r="J7307" s="32"/>
      <c r="K7307" s="19"/>
      <c r="L7307" s="20"/>
    </row>
    <row r="7308" spans="1:12" outlineLevel="2">
      <c r="A7308" s="54"/>
      <c r="B7308" s="12" t="str">
        <f>IFERROR(VLOOKUP(D7308,'[1]Перечень товаров'!$A$2:$I9525,2,0),"")</f>
        <v/>
      </c>
      <c r="C7308" s="12" t="str">
        <f>IFERROR(VLOOKUP(D7308,'[1]Перечень товаров'!$A$2:$I9525,3,0),"")</f>
        <v/>
      </c>
      <c r="D7308" s="55" t="s">
        <v>45</v>
      </c>
      <c r="E7308" s="217"/>
      <c r="F7308" s="217"/>
      <c r="G7308" s="59"/>
      <c r="H7308" s="59"/>
      <c r="I7308" s="60"/>
      <c r="J7308" s="60"/>
      <c r="K7308" s="19"/>
      <c r="L7308" s="20"/>
    </row>
    <row r="7309" spans="1:12" outlineLevel="2">
      <c r="A7309" s="43"/>
      <c r="B7309" s="12" t="str">
        <f>IFERROR(VLOOKUP(D7309,'[1]Перечень товаров'!$A$2:$I9525,2,0),"")</f>
        <v>м7</v>
      </c>
      <c r="C7309" s="12" t="str">
        <f>IFERROR(VLOOKUP(D7309,'[1]Перечень товаров'!$A$2:$I9525,3,0),"")</f>
        <v>Мебель</v>
      </c>
      <c r="D7309" s="44" t="s">
        <v>24</v>
      </c>
      <c r="E7309" s="30"/>
      <c r="F7309" s="30"/>
      <c r="G7309" s="59">
        <v>1</v>
      </c>
      <c r="H7309" s="59"/>
      <c r="I7309" s="60"/>
      <c r="J7309" s="60"/>
      <c r="K7309" s="19"/>
      <c r="L7309" s="20"/>
    </row>
    <row r="7310" spans="1:12" outlineLevel="2">
      <c r="A7310" s="43"/>
      <c r="B7310" s="12" t="str">
        <f>IFERROR(VLOOKUP(D7310,'[1]Перечень товаров'!$A$2:$I9525,2,0),"")</f>
        <v>п1</v>
      </c>
      <c r="C7310" s="12" t="str">
        <f>IFERROR(VLOOKUP(D7310,'[1]Перечень товаров'!$A$2:$I9525,3,0),"")</f>
        <v>Прочее</v>
      </c>
      <c r="D7310" s="44" t="s">
        <v>37</v>
      </c>
      <c r="E7310" s="30"/>
      <c r="F7310" s="30"/>
      <c r="G7310" s="59">
        <v>1</v>
      </c>
      <c r="H7310" s="59"/>
      <c r="I7310" s="60"/>
      <c r="J7310" s="60"/>
      <c r="K7310" s="19"/>
      <c r="L7310" s="20"/>
    </row>
    <row r="7311" spans="1:12" outlineLevel="2">
      <c r="A7311" s="21"/>
      <c r="B7311" s="12" t="str">
        <f>IFERROR(VLOOKUP(D7311,'[1]Перечень товаров'!$A$2:$I9525,2,0),"")</f>
        <v>п2</v>
      </c>
      <c r="C7311" s="12" t="str">
        <f>IFERROR(VLOOKUP(D7311,'[1]Перечень товаров'!$A$2:$I9525,3,0),"")</f>
        <v>Прочее</v>
      </c>
      <c r="D7311" s="22" t="s">
        <v>46</v>
      </c>
      <c r="E7311" s="58"/>
      <c r="F7311" s="58"/>
      <c r="G7311" s="24">
        <v>1</v>
      </c>
      <c r="H7311" s="24"/>
      <c r="I7311" s="25"/>
      <c r="J7311" s="25"/>
      <c r="K7311" s="19"/>
      <c r="L7311" s="20"/>
    </row>
    <row r="7312" spans="1:12" ht="12.75" outlineLevel="1">
      <c r="A7312" s="11"/>
      <c r="B7312" s="12" t="str">
        <f>IFERROR(VLOOKUP(D7312,'[1]Перечень товаров'!$A$2:$I9525,2,0),"")</f>
        <v/>
      </c>
      <c r="C7312" s="12" t="str">
        <f>IFERROR(VLOOKUP(D7312,'[1]Перечень товаров'!$A$2:$I9525,3,0),"")</f>
        <v/>
      </c>
      <c r="D7312" s="27" t="s">
        <v>1827</v>
      </c>
      <c r="E7312" s="99">
        <v>46192</v>
      </c>
      <c r="F7312" s="99"/>
      <c r="G7312" s="100"/>
      <c r="H7312" s="100"/>
      <c r="I7312" s="101"/>
      <c r="J7312" s="101"/>
      <c r="K7312" s="19"/>
      <c r="L7312" s="20"/>
    </row>
    <row r="7313" spans="1:12" ht="15" outlineLevel="2">
      <c r="A7313" s="109"/>
      <c r="B7313" s="12" t="str">
        <f>IFERROR(VLOOKUP(D7313,'[1]Перечень товаров'!$A$2:$I9525,2,0),"")</f>
        <v/>
      </c>
      <c r="C7313" s="12" t="str">
        <f>IFERROR(VLOOKUP(D7313,'[1]Перечень товаров'!$A$2:$I9525,3,0),"")</f>
        <v/>
      </c>
      <c r="D7313" s="110" t="s">
        <v>27</v>
      </c>
      <c r="E7313" s="45"/>
      <c r="F7313" s="45"/>
      <c r="G7313" s="111"/>
      <c r="H7313" s="111"/>
      <c r="I7313" s="112"/>
      <c r="J7313" s="112"/>
      <c r="K7313" s="19"/>
      <c r="L7313" s="20"/>
    </row>
    <row r="7314" spans="1:12" outlineLevel="2">
      <c r="A7314" s="21"/>
      <c r="B7314" s="12" t="str">
        <f>IFERROR(VLOOKUP(D7314,'[1]Перечень товаров'!$A$2:$I9525,2,0),"")</f>
        <v>т1</v>
      </c>
      <c r="C7314" s="12" t="str">
        <f>IFERROR(VLOOKUP(D7314,'[1]Перечень товаров'!$A$2:$I9525,3,0),"")</f>
        <v xml:space="preserve">Техника </v>
      </c>
      <c r="D7314" s="22" t="s">
        <v>28</v>
      </c>
      <c r="E7314" s="58"/>
      <c r="F7314" s="58"/>
      <c r="G7314" s="48">
        <v>1</v>
      </c>
      <c r="H7314" s="48"/>
      <c r="I7314" s="49"/>
      <c r="J7314" s="49"/>
      <c r="K7314" s="19"/>
      <c r="L7314" s="20"/>
    </row>
    <row r="7315" spans="1:12" outlineLevel="2">
      <c r="A7315" s="143"/>
      <c r="B7315" s="12" t="str">
        <f>IFERROR(VLOOKUP(D7315,'[1]Перечень товаров'!$A$2:$I9525,2,0),"")</f>
        <v>т9</v>
      </c>
      <c r="C7315" s="12" t="str">
        <f>IFERROR(VLOOKUP(D7315,'[1]Перечень товаров'!$A$2:$I9525,3,0),"")</f>
        <v>Техника</v>
      </c>
      <c r="D7315" s="143" t="s">
        <v>36</v>
      </c>
      <c r="E7315" s="58"/>
      <c r="F7315" s="58"/>
      <c r="G7315" s="48">
        <v>1</v>
      </c>
      <c r="H7315" s="48"/>
      <c r="I7315" s="49"/>
      <c r="J7315" s="49"/>
      <c r="K7315" s="19"/>
      <c r="L7315" s="20"/>
    </row>
    <row r="7316" spans="1:12" outlineLevel="2">
      <c r="A7316" s="35"/>
      <c r="B7316" s="12" t="str">
        <f>IFERROR(VLOOKUP(D7316,'[1]Перечень товаров'!$A$2:$I9525,2,0),"")</f>
        <v>т2</v>
      </c>
      <c r="C7316" s="12" t="str">
        <f>IFERROR(VLOOKUP(D7316,'[1]Перечень товаров'!$A$2:$I9525,3,0),"")</f>
        <v xml:space="preserve">Техника </v>
      </c>
      <c r="D7316" s="35" t="s">
        <v>29</v>
      </c>
      <c r="E7316" s="58"/>
      <c r="F7316" s="58"/>
      <c r="G7316" s="48">
        <v>1</v>
      </c>
      <c r="H7316" s="48"/>
      <c r="I7316" s="49"/>
      <c r="J7316" s="49"/>
      <c r="K7316" s="19"/>
      <c r="L7316" s="20"/>
    </row>
    <row r="7317" spans="1:12" outlineLevel="2">
      <c r="A7317" s="35"/>
      <c r="B7317" s="12" t="str">
        <f>IFERROR(VLOOKUP(D7317,'[1]Перечень товаров'!$A$2:$I9525,2,0),"")</f>
        <v>т3</v>
      </c>
      <c r="C7317" s="12" t="str">
        <f>IFERROR(VLOOKUP(D7317,'[1]Перечень товаров'!$A$2:$I9525,3,0),"")</f>
        <v xml:space="preserve">Техника </v>
      </c>
      <c r="D7317" s="35" t="s">
        <v>30</v>
      </c>
      <c r="E7317" s="58"/>
      <c r="F7317" s="58"/>
      <c r="G7317" s="48">
        <v>1</v>
      </c>
      <c r="H7317" s="48"/>
      <c r="I7317" s="49"/>
      <c r="J7317" s="49"/>
      <c r="K7317" s="19"/>
      <c r="L7317" s="20"/>
    </row>
    <row r="7318" spans="1:12" outlineLevel="2">
      <c r="A7318" s="35"/>
      <c r="B7318" s="12" t="str">
        <f>IFERROR(VLOOKUP(D7318,'[1]Перечень товаров'!$A$2:$I9525,2,0),"")</f>
        <v>т4</v>
      </c>
      <c r="C7318" s="12" t="str">
        <f>IFERROR(VLOOKUP(D7318,'[1]Перечень товаров'!$A$2:$I9525,3,0),"")</f>
        <v xml:space="preserve">Техника </v>
      </c>
      <c r="D7318" s="35" t="s">
        <v>31</v>
      </c>
      <c r="E7318" s="58"/>
      <c r="F7318" s="58"/>
      <c r="G7318" s="48">
        <v>1</v>
      </c>
      <c r="H7318" s="48"/>
      <c r="I7318" s="49"/>
      <c r="J7318" s="49"/>
      <c r="K7318" s="19"/>
      <c r="L7318" s="20"/>
    </row>
    <row r="7319" spans="1:12" outlineLevel="2">
      <c r="A7319" s="21"/>
      <c r="B7319" s="12" t="str">
        <f>IFERROR(VLOOKUP(D7319,'[1]Перечень товаров'!$A$2:$I9525,2,0),"")</f>
        <v>тм65</v>
      </c>
      <c r="C7319" s="12" t="str">
        <f>IFERROR(VLOOKUP(D7319,'[1]Перечень товаров'!$A$2:$I9525,3,0),"")</f>
        <v>Техника муз</v>
      </c>
      <c r="D7319" s="22" t="s">
        <v>380</v>
      </c>
      <c r="E7319" s="58"/>
      <c r="F7319" s="58"/>
      <c r="G7319" s="48">
        <v>1</v>
      </c>
      <c r="H7319" s="48"/>
      <c r="I7319" s="49"/>
      <c r="J7319" s="49"/>
      <c r="K7319" s="19"/>
      <c r="L7319" s="20"/>
    </row>
    <row r="7320" spans="1:12" outlineLevel="2">
      <c r="A7320" s="21"/>
      <c r="B7320" s="12" t="str">
        <f>IFERROR(VLOOKUP(D7320,'[1]Перечень товаров'!$A$2:$I9525,2,0),"")</f>
        <v>т12</v>
      </c>
      <c r="C7320" s="12" t="str">
        <f>IFERROR(VLOOKUP(D7320,'[1]Перечень товаров'!$A$2:$I9525,3,0),"")</f>
        <v>Техника</v>
      </c>
      <c r="D7320" s="22" t="s">
        <v>49</v>
      </c>
      <c r="E7320" s="58"/>
      <c r="F7320" s="58"/>
      <c r="G7320" s="48">
        <v>1</v>
      </c>
      <c r="H7320" s="48"/>
      <c r="I7320" s="49"/>
      <c r="J7320" s="49"/>
      <c r="K7320" s="19"/>
      <c r="L7320" s="20"/>
    </row>
    <row r="7321" spans="1:12" outlineLevel="2">
      <c r="A7321" s="35"/>
      <c r="B7321" s="12" t="str">
        <f>IFERROR(VLOOKUP(D7321,'[1]Перечень товаров'!$A$2:$I9525,2,0),"")</f>
        <v>т6</v>
      </c>
      <c r="C7321" s="12" t="str">
        <f>IFERROR(VLOOKUP(D7321,'[1]Перечень товаров'!$A$2:$I9525,3,0),"")</f>
        <v xml:space="preserve">Техника </v>
      </c>
      <c r="D7321" s="35" t="s">
        <v>33</v>
      </c>
      <c r="E7321" s="58"/>
      <c r="F7321" s="58"/>
      <c r="G7321" s="48">
        <v>1</v>
      </c>
      <c r="H7321" s="48"/>
      <c r="I7321" s="49"/>
      <c r="J7321" s="49"/>
      <c r="K7321" s="19"/>
      <c r="L7321" s="20"/>
    </row>
    <row r="7322" spans="1:12" outlineLevel="2">
      <c r="A7322" s="21"/>
      <c r="B7322" s="12" t="str">
        <f>IFERROR(VLOOKUP(D7322,'[1]Перечень товаров'!$A$2:$I9525,2,0),"")</f>
        <v>т7</v>
      </c>
      <c r="C7322" s="12" t="str">
        <f>IFERROR(VLOOKUP(D7322,'[1]Перечень товаров'!$A$2:$I9525,3,0),"")</f>
        <v xml:space="preserve">Техника </v>
      </c>
      <c r="D7322" s="22" t="s">
        <v>34</v>
      </c>
      <c r="E7322" s="58"/>
      <c r="F7322" s="58"/>
      <c r="G7322" s="48">
        <v>3</v>
      </c>
      <c r="H7322" s="48"/>
      <c r="I7322" s="49"/>
      <c r="J7322" s="49"/>
      <c r="K7322" s="19"/>
      <c r="L7322" s="20"/>
    </row>
    <row r="7323" spans="1:12" outlineLevel="2">
      <c r="A7323" s="28"/>
      <c r="B7323" s="12" t="str">
        <f>IFERROR(VLOOKUP(D7323,'[1]Перечень товаров'!$A$2:$I9525,2,0),"")</f>
        <v>т161</v>
      </c>
      <c r="C7323" s="12" t="str">
        <f>IFERROR(VLOOKUP(D7323,'[1]Перечень товаров'!$A$2:$I9525,3,0),"")</f>
        <v xml:space="preserve">Техника </v>
      </c>
      <c r="D7323" s="29" t="s">
        <v>381</v>
      </c>
      <c r="E7323" s="30"/>
      <c r="F7323" s="30"/>
      <c r="G7323" s="59">
        <v>1</v>
      </c>
      <c r="H7323" s="59"/>
      <c r="I7323" s="60"/>
      <c r="J7323" s="60"/>
      <c r="K7323" s="19"/>
      <c r="L7323" s="20"/>
    </row>
    <row r="7324" spans="1:12" outlineLevel="2">
      <c r="A7324" s="113"/>
      <c r="B7324" s="12" t="str">
        <f>IFERROR(VLOOKUP(D7324,'[1]Перечень товаров'!$A$2:$I9525,2,0),"")</f>
        <v/>
      </c>
      <c r="C7324" s="12" t="str">
        <f>IFERROR(VLOOKUP(D7324,'[1]Перечень товаров'!$A$2:$I9525,3,0),"")</f>
        <v/>
      </c>
      <c r="D7324" s="114" t="s">
        <v>19</v>
      </c>
      <c r="E7324" s="115"/>
      <c r="F7324" s="115"/>
      <c r="G7324" s="59"/>
      <c r="H7324" s="59"/>
      <c r="I7324" s="60"/>
      <c r="J7324" s="60"/>
      <c r="K7324" s="19"/>
      <c r="L7324" s="20"/>
    </row>
    <row r="7325" spans="1:12" outlineLevel="2">
      <c r="A7325" s="34"/>
      <c r="B7325" s="12" t="str">
        <f>IFERROR(VLOOKUP(D7325,'[1]Перечень товаров'!$A$2:$I9525,2,0),"")</f>
        <v>м62</v>
      </c>
      <c r="C7325" s="12" t="str">
        <f>IFERROR(VLOOKUP(D7325,'[1]Перечень товаров'!$A$2:$I9525,3,0),"")</f>
        <v>Мебель</v>
      </c>
      <c r="D7325" s="35" t="s">
        <v>398</v>
      </c>
      <c r="E7325" s="88"/>
      <c r="F7325" s="88"/>
      <c r="G7325" s="59">
        <v>1</v>
      </c>
      <c r="H7325" s="59"/>
      <c r="I7325" s="60"/>
      <c r="J7325" s="60"/>
      <c r="K7325" s="19"/>
      <c r="L7325" s="20"/>
    </row>
    <row r="7326" spans="1:12" outlineLevel="2">
      <c r="A7326" s="34"/>
      <c r="B7326" s="12" t="str">
        <f>IFERROR(VLOOKUP(D7326,'[1]Перечень товаров'!$A$2:$I9525,2,0),"")</f>
        <v>м61</v>
      </c>
      <c r="C7326" s="12" t="str">
        <f>IFERROR(VLOOKUP(D7326,'[1]Перечень товаров'!$A$2:$I9525,3,0),"")</f>
        <v>Мебель</v>
      </c>
      <c r="D7326" s="35" t="s">
        <v>383</v>
      </c>
      <c r="E7326" s="88"/>
      <c r="F7326" s="88"/>
      <c r="G7326" s="59">
        <v>1</v>
      </c>
      <c r="H7326" s="59"/>
      <c r="I7326" s="60"/>
      <c r="J7326" s="60"/>
      <c r="K7326" s="19"/>
      <c r="L7326" s="20"/>
    </row>
    <row r="7327" spans="1:12" outlineLevel="2">
      <c r="A7327" s="34"/>
      <c r="B7327" s="12" t="str">
        <f>IFERROR(VLOOKUP(D7327,'[1]Перечень товаров'!$A$2:$I9525,2,0),"")</f>
        <v>м179</v>
      </c>
      <c r="C7327" s="12" t="str">
        <f>IFERROR(VLOOKUP(D7327,'[1]Перечень товаров'!$A$2:$I9525,3,0),"")</f>
        <v>Мебель</v>
      </c>
      <c r="D7327" s="35" t="s">
        <v>579</v>
      </c>
      <c r="E7327" s="88"/>
      <c r="F7327" s="88"/>
      <c r="G7327" s="59">
        <v>10</v>
      </c>
      <c r="H7327" s="59"/>
      <c r="I7327" s="60"/>
      <c r="J7327" s="60"/>
      <c r="K7327" s="19"/>
      <c r="L7327" s="20"/>
    </row>
    <row r="7328" spans="1:12" outlineLevel="2">
      <c r="A7328" s="34"/>
      <c r="B7328" s="12" t="str">
        <f>IFERROR(VLOOKUP(D7328,'[1]Перечень товаров'!$A$2:$I9525,2,0),"")</f>
        <v>м61</v>
      </c>
      <c r="C7328" s="12" t="str">
        <f>IFERROR(VLOOKUP(D7328,'[1]Перечень товаров'!$A$2:$I9525,3,0),"")</f>
        <v>Мебель</v>
      </c>
      <c r="D7328" s="35" t="s">
        <v>384</v>
      </c>
      <c r="E7328" s="88"/>
      <c r="F7328" s="88"/>
      <c r="G7328" s="59">
        <v>20</v>
      </c>
      <c r="H7328" s="59"/>
      <c r="I7328" s="60"/>
      <c r="J7328" s="60"/>
      <c r="K7328" s="19"/>
      <c r="L7328" s="20"/>
    </row>
    <row r="7329" spans="1:12" outlineLevel="2">
      <c r="A7329" s="21"/>
      <c r="B7329" s="12" t="str">
        <f>IFERROR(VLOOKUP(D7329,'[1]Перечень товаров'!$A$2:$I9525,2,0),"")</f>
        <v>м13</v>
      </c>
      <c r="C7329" s="12" t="str">
        <f>IFERROR(VLOOKUP(D7329,'[1]Перечень товаров'!$A$2:$I9525,3,0),"")</f>
        <v>Мебель</v>
      </c>
      <c r="D7329" s="22" t="s">
        <v>42</v>
      </c>
      <c r="E7329" s="58"/>
      <c r="F7329" s="58"/>
      <c r="G7329" s="24">
        <v>1</v>
      </c>
      <c r="H7329" s="24"/>
      <c r="I7329" s="25"/>
      <c r="J7329" s="25"/>
      <c r="K7329" s="19"/>
      <c r="L7329" s="20"/>
    </row>
    <row r="7330" spans="1:12" outlineLevel="2">
      <c r="A7330" s="21"/>
      <c r="B7330" s="12" t="str">
        <f>IFERROR(VLOOKUP(D7330,'[1]Перечень товаров'!$A$2:$I9525,2,0),"")</f>
        <v>м14</v>
      </c>
      <c r="C7330" s="12" t="str">
        <f>IFERROR(VLOOKUP(D7330,'[1]Перечень товаров'!$A$2:$I9525,3,0),"")</f>
        <v>Мебель</v>
      </c>
      <c r="D7330" s="22" t="s">
        <v>43</v>
      </c>
      <c r="E7330" s="58"/>
      <c r="F7330" s="58"/>
      <c r="G7330" s="24">
        <v>1</v>
      </c>
      <c r="H7330" s="24"/>
      <c r="I7330" s="25"/>
      <c r="J7330" s="25"/>
      <c r="K7330" s="19"/>
      <c r="L7330" s="20"/>
    </row>
    <row r="7331" spans="1:12" ht="31.5" outlineLevel="2">
      <c r="A7331" s="155"/>
      <c r="B7331" s="12" t="str">
        <f>IFERROR(VLOOKUP(D7331,'[1]Перечень товаров'!$A$2:$I9525,2,0),"")</f>
        <v>м21</v>
      </c>
      <c r="C7331" s="12" t="str">
        <f>IFERROR(VLOOKUP(D7331,'[1]Перечень товаров'!$A$2:$I9525,3,0),"")</f>
        <v>Мебель</v>
      </c>
      <c r="D7331" s="156" t="s">
        <v>58</v>
      </c>
      <c r="E7331" s="58"/>
      <c r="F7331" s="58"/>
      <c r="G7331" s="24">
        <v>1</v>
      </c>
      <c r="H7331" s="24"/>
      <c r="I7331" s="25"/>
      <c r="J7331" s="25"/>
      <c r="K7331" s="19"/>
      <c r="L7331" s="20"/>
    </row>
    <row r="7332" spans="1:12" ht="15" outlineLevel="2">
      <c r="A7332" s="116"/>
      <c r="B7332" s="12" t="str">
        <f>IFERROR(VLOOKUP(D7332,'[1]Перечень товаров'!$A$2:$I9525,2,0),"")</f>
        <v/>
      </c>
      <c r="C7332" s="12" t="str">
        <f>IFERROR(VLOOKUP(D7332,'[1]Перечень товаров'!$A$2:$I9525,3,0),"")</f>
        <v/>
      </c>
      <c r="D7332" s="117" t="s">
        <v>391</v>
      </c>
      <c r="E7332" s="118"/>
      <c r="F7332" s="118"/>
      <c r="G7332" s="119"/>
      <c r="H7332" s="119"/>
      <c r="I7332" s="120"/>
      <c r="J7332" s="120"/>
      <c r="K7332" s="19"/>
      <c r="L7332" s="20"/>
    </row>
    <row r="7333" spans="1:12" ht="15" outlineLevel="2">
      <c r="A7333" s="274"/>
      <c r="B7333" s="12" t="str">
        <f>IFERROR(VLOOKUP(D7333,'[1]Перечень товаров'!$A$2:$I9525,2,0),"")</f>
        <v/>
      </c>
      <c r="C7333" s="12" t="str">
        <f>IFERROR(VLOOKUP(D7333,'[1]Перечень товаров'!$A$2:$I9525,3,0),"")</f>
        <v/>
      </c>
      <c r="D7333" s="275" t="s">
        <v>1828</v>
      </c>
      <c r="E7333" s="118"/>
      <c r="F7333" s="118"/>
      <c r="G7333" s="119"/>
      <c r="H7333" s="119"/>
      <c r="I7333" s="120"/>
      <c r="J7333" s="120"/>
      <c r="K7333" s="19"/>
      <c r="L7333" s="20"/>
    </row>
    <row r="7334" spans="1:12" outlineLevel="2">
      <c r="A7334" s="28"/>
      <c r="B7334" s="12" t="str">
        <f>IFERROR(VLOOKUP(D7334,'[1]Перечень товаров'!$A$2:$I9525,2,0),"")</f>
        <v>тм87</v>
      </c>
      <c r="C7334" s="12" t="str">
        <f>IFERROR(VLOOKUP(D7334,'[1]Перечень товаров'!$A$2:$I9525,3,0),"")</f>
        <v>Техника муз</v>
      </c>
      <c r="D7334" s="29" t="s">
        <v>1829</v>
      </c>
      <c r="E7334" s="30"/>
      <c r="F7334" s="30"/>
      <c r="G7334" s="31">
        <v>2</v>
      </c>
      <c r="H7334" s="31"/>
      <c r="I7334" s="32"/>
      <c r="J7334" s="32"/>
      <c r="K7334" s="19"/>
      <c r="L7334" s="20"/>
    </row>
    <row r="7335" spans="1:12" outlineLevel="2">
      <c r="A7335" s="28"/>
      <c r="B7335" s="12" t="str">
        <f>IFERROR(VLOOKUP(D7335,'[1]Перечень товаров'!$A$2:$I9525,2,0),"")</f>
        <v>тм86</v>
      </c>
      <c r="C7335" s="12" t="str">
        <f>IFERROR(VLOOKUP(D7335,'[1]Перечень товаров'!$A$2:$I9525,3,0),"")</f>
        <v>Техника муз</v>
      </c>
      <c r="D7335" s="29" t="s">
        <v>1830</v>
      </c>
      <c r="E7335" s="30"/>
      <c r="F7335" s="30"/>
      <c r="G7335" s="31">
        <v>3</v>
      </c>
      <c r="H7335" s="31"/>
      <c r="I7335" s="32"/>
      <c r="J7335" s="32"/>
      <c r="K7335" s="19"/>
      <c r="L7335" s="20"/>
    </row>
    <row r="7336" spans="1:12" outlineLevel="2">
      <c r="A7336" s="28"/>
      <c r="B7336" s="12" t="str">
        <f>IFERROR(VLOOKUP(D7336,'[1]Перечень товаров'!$A$2:$I9525,2,0),"")</f>
        <v>тм85</v>
      </c>
      <c r="C7336" s="12" t="str">
        <f>IFERROR(VLOOKUP(D7336,'[1]Перечень товаров'!$A$2:$I9525,3,0),"")</f>
        <v>Техника муз</v>
      </c>
      <c r="D7336" s="29" t="s">
        <v>1831</v>
      </c>
      <c r="E7336" s="30"/>
      <c r="F7336" s="30"/>
      <c r="G7336" s="31">
        <v>4</v>
      </c>
      <c r="H7336" s="31"/>
      <c r="I7336" s="32"/>
      <c r="J7336" s="32"/>
      <c r="K7336" s="19"/>
      <c r="L7336" s="20"/>
    </row>
    <row r="7337" spans="1:12" outlineLevel="2">
      <c r="A7337" s="28"/>
      <c r="B7337" s="12" t="str">
        <f>IFERROR(VLOOKUP(D7337,'[1]Перечень товаров'!$A$2:$I9525,2,0),"")</f>
        <v>тм84</v>
      </c>
      <c r="C7337" s="12" t="str">
        <f>IFERROR(VLOOKUP(D7337,'[1]Перечень товаров'!$A$2:$I9525,3,0),"")</f>
        <v>Техника муз</v>
      </c>
      <c r="D7337" s="29" t="s">
        <v>1832</v>
      </c>
      <c r="E7337" s="30"/>
      <c r="F7337" s="30"/>
      <c r="G7337" s="31">
        <v>4</v>
      </c>
      <c r="H7337" s="31"/>
      <c r="I7337" s="32"/>
      <c r="J7337" s="32"/>
      <c r="K7337" s="19"/>
      <c r="L7337" s="20"/>
    </row>
    <row r="7338" spans="1:12" outlineLevel="2">
      <c r="A7338" s="28"/>
      <c r="B7338" s="12" t="str">
        <f>IFERROR(VLOOKUP(D7338,'[1]Перечень товаров'!$A$2:$I9525,2,0),"")</f>
        <v>тм83</v>
      </c>
      <c r="C7338" s="12" t="str">
        <f>IFERROR(VLOOKUP(D7338,'[1]Перечень товаров'!$A$2:$I9525,3,0),"")</f>
        <v>Техника муз</v>
      </c>
      <c r="D7338" s="29" t="s">
        <v>1833</v>
      </c>
      <c r="E7338" s="30"/>
      <c r="F7338" s="30"/>
      <c r="G7338" s="31">
        <v>5</v>
      </c>
      <c r="H7338" s="31"/>
      <c r="I7338" s="32"/>
      <c r="J7338" s="32"/>
      <c r="K7338" s="19"/>
      <c r="L7338" s="20"/>
    </row>
    <row r="7339" spans="1:12" outlineLevel="2">
      <c r="A7339" s="28"/>
      <c r="B7339" s="12" t="str">
        <f>IFERROR(VLOOKUP(D7339,'[1]Перечень товаров'!$A$2:$I9525,2,0),"")</f>
        <v>тм82</v>
      </c>
      <c r="C7339" s="12" t="str">
        <f>IFERROR(VLOOKUP(D7339,'[1]Перечень товаров'!$A$2:$I9525,3,0),"")</f>
        <v>Техника муз</v>
      </c>
      <c r="D7339" s="29" t="s">
        <v>1834</v>
      </c>
      <c r="E7339" s="30"/>
      <c r="F7339" s="30"/>
      <c r="G7339" s="31">
        <v>2</v>
      </c>
      <c r="H7339" s="31"/>
      <c r="I7339" s="32"/>
      <c r="J7339" s="32"/>
      <c r="K7339" s="19"/>
      <c r="L7339" s="20"/>
    </row>
    <row r="7340" spans="1:12" ht="31.5" outlineLevel="2">
      <c r="A7340" s="28"/>
      <c r="B7340" s="12" t="str">
        <f>IFERROR(VLOOKUP(D7340,'[1]Перечень товаров'!$A$2:$I9525,2,0),"")</f>
        <v>тм81</v>
      </c>
      <c r="C7340" s="12" t="str">
        <f>IFERROR(VLOOKUP(D7340,'[1]Перечень товаров'!$A$2:$I9525,3,0),"")</f>
        <v>Техника муз</v>
      </c>
      <c r="D7340" s="29" t="s">
        <v>1835</v>
      </c>
      <c r="E7340" s="30"/>
      <c r="F7340" s="30"/>
      <c r="G7340" s="31">
        <v>18</v>
      </c>
      <c r="H7340" s="31"/>
      <c r="I7340" s="32"/>
      <c r="J7340" s="32"/>
      <c r="K7340" s="19"/>
      <c r="L7340" s="20"/>
    </row>
    <row r="7341" spans="1:12" outlineLevel="2">
      <c r="A7341" s="28"/>
      <c r="B7341" s="12" t="str">
        <f>IFERROR(VLOOKUP(D7341,'[1]Перечень товаров'!$A$2:$I9525,2,0),"")</f>
        <v>тм54</v>
      </c>
      <c r="C7341" s="12" t="str">
        <f>IFERROR(VLOOKUP(D7341,'[1]Перечень товаров'!$A$2:$I9525,3,0),"")</f>
        <v>Техника муз</v>
      </c>
      <c r="D7341" s="29" t="s">
        <v>310</v>
      </c>
      <c r="E7341" s="30"/>
      <c r="F7341" s="30"/>
      <c r="G7341" s="31">
        <v>30</v>
      </c>
      <c r="H7341" s="31"/>
      <c r="I7341" s="32"/>
      <c r="J7341" s="32"/>
      <c r="K7341" s="19"/>
      <c r="L7341" s="20"/>
    </row>
    <row r="7342" spans="1:12" ht="31.5" outlineLevel="2">
      <c r="A7342" s="28"/>
      <c r="B7342" s="12" t="str">
        <f>IFERROR(VLOOKUP(D7342,'[1]Перечень товаров'!$A$2:$I9525,2,0),"")</f>
        <v>тм80</v>
      </c>
      <c r="C7342" s="12" t="str">
        <f>IFERROR(VLOOKUP(D7342,'[1]Перечень товаров'!$A$2:$I9525,3,0),"")</f>
        <v>Техника муз</v>
      </c>
      <c r="D7342" s="29" t="s">
        <v>1836</v>
      </c>
      <c r="E7342" s="30"/>
      <c r="F7342" s="30"/>
      <c r="G7342" s="31">
        <v>5</v>
      </c>
      <c r="H7342" s="31"/>
      <c r="I7342" s="32"/>
      <c r="J7342" s="32"/>
      <c r="K7342" s="19"/>
      <c r="L7342" s="20"/>
    </row>
    <row r="7343" spans="1:12" outlineLevel="2">
      <c r="A7343" s="28"/>
      <c r="B7343" s="12" t="str">
        <f>IFERROR(VLOOKUP(D7343,'[1]Перечень товаров'!$A$2:$I9525,2,0),"")</f>
        <v>пм211</v>
      </c>
      <c r="C7343" s="12" t="str">
        <f>IFERROR(VLOOKUP(D7343,'[1]Перечень товаров'!$A$2:$I9525,3,0),"")</f>
        <v>прочее муз</v>
      </c>
      <c r="D7343" s="29" t="s">
        <v>995</v>
      </c>
      <c r="E7343" s="30"/>
      <c r="F7343" s="30"/>
      <c r="G7343" s="31">
        <v>10</v>
      </c>
      <c r="H7343" s="31"/>
      <c r="I7343" s="32"/>
      <c r="J7343" s="32"/>
      <c r="K7343" s="19"/>
      <c r="L7343" s="20"/>
    </row>
    <row r="7344" spans="1:12" ht="31.5" outlineLevel="2">
      <c r="A7344" s="28"/>
      <c r="B7344" s="12" t="str">
        <f>IFERROR(VLOOKUP(D7344,'[1]Перечень товаров'!$A$2:$I9525,2,0),"")</f>
        <v>тм79</v>
      </c>
      <c r="C7344" s="12" t="str">
        <f>IFERROR(VLOOKUP(D7344,'[1]Перечень товаров'!$A$2:$I9525,3,0),"")</f>
        <v>Техника муз</v>
      </c>
      <c r="D7344" s="29" t="s">
        <v>1837</v>
      </c>
      <c r="E7344" s="30"/>
      <c r="F7344" s="30"/>
      <c r="G7344" s="31">
        <v>18</v>
      </c>
      <c r="H7344" s="31"/>
      <c r="I7344" s="32"/>
      <c r="J7344" s="32"/>
      <c r="K7344" s="19"/>
      <c r="L7344" s="20"/>
    </row>
    <row r="7345" spans="1:12" outlineLevel="2">
      <c r="A7345" s="28"/>
      <c r="B7345" s="12" t="str">
        <f>IFERROR(VLOOKUP(D7345,'[1]Перечень товаров'!$A$2:$I9525,2,0),"")</f>
        <v>тм78</v>
      </c>
      <c r="C7345" s="12" t="str">
        <f>IFERROR(VLOOKUP(D7345,'[1]Перечень товаров'!$A$2:$I9525,3,0),"")</f>
        <v>Техника муз</v>
      </c>
      <c r="D7345" s="29" t="s">
        <v>1838</v>
      </c>
      <c r="E7345" s="30"/>
      <c r="F7345" s="30"/>
      <c r="G7345" s="31">
        <v>1</v>
      </c>
      <c r="H7345" s="31"/>
      <c r="I7345" s="32"/>
      <c r="J7345" s="32"/>
      <c r="K7345" s="19"/>
      <c r="L7345" s="20"/>
    </row>
    <row r="7346" spans="1:12" outlineLevel="2">
      <c r="A7346" s="54"/>
      <c r="B7346" s="12" t="str">
        <f>IFERROR(VLOOKUP(D7346,'[1]Перечень товаров'!$A$2:$I9525,2,0),"")</f>
        <v/>
      </c>
      <c r="C7346" s="12" t="str">
        <f>IFERROR(VLOOKUP(D7346,'[1]Перечень товаров'!$A$2:$I9525,3,0),"")</f>
        <v/>
      </c>
      <c r="D7346" s="55" t="s">
        <v>45</v>
      </c>
      <c r="E7346" s="217"/>
      <c r="F7346" s="217"/>
      <c r="G7346" s="59"/>
      <c r="H7346" s="59"/>
      <c r="I7346" s="60"/>
      <c r="J7346" s="60"/>
      <c r="K7346" s="19"/>
      <c r="L7346" s="20"/>
    </row>
    <row r="7347" spans="1:12" outlineLevel="2">
      <c r="A7347" s="43"/>
      <c r="B7347" s="12" t="str">
        <f>IFERROR(VLOOKUP(D7347,'[1]Перечень товаров'!$A$2:$I9525,2,0),"")</f>
        <v>м7</v>
      </c>
      <c r="C7347" s="12" t="str">
        <f>IFERROR(VLOOKUP(D7347,'[1]Перечень товаров'!$A$2:$I9525,3,0),"")</f>
        <v>Мебель</v>
      </c>
      <c r="D7347" s="44" t="s">
        <v>24</v>
      </c>
      <c r="E7347" s="30"/>
      <c r="F7347" s="30"/>
      <c r="G7347" s="59">
        <v>1</v>
      </c>
      <c r="H7347" s="59"/>
      <c r="I7347" s="60"/>
      <c r="J7347" s="60"/>
      <c r="K7347" s="19"/>
      <c r="L7347" s="20"/>
    </row>
    <row r="7348" spans="1:12" outlineLevel="2">
      <c r="A7348" s="43"/>
      <c r="B7348" s="12" t="str">
        <f>IFERROR(VLOOKUP(D7348,'[1]Перечень товаров'!$A$2:$I9525,2,0),"")</f>
        <v>п1</v>
      </c>
      <c r="C7348" s="12" t="str">
        <f>IFERROR(VLOOKUP(D7348,'[1]Перечень товаров'!$A$2:$I9525,3,0),"")</f>
        <v>Прочее</v>
      </c>
      <c r="D7348" s="44" t="s">
        <v>37</v>
      </c>
      <c r="E7348" s="30"/>
      <c r="F7348" s="30"/>
      <c r="G7348" s="59">
        <v>1</v>
      </c>
      <c r="H7348" s="59"/>
      <c r="I7348" s="60"/>
      <c r="J7348" s="60"/>
      <c r="K7348" s="19"/>
      <c r="L7348" s="20"/>
    </row>
    <row r="7349" spans="1:12" outlineLevel="2">
      <c r="A7349" s="21"/>
      <c r="B7349" s="12" t="str">
        <f>IFERROR(VLOOKUP(D7349,'[1]Перечень товаров'!$A$2:$I9525,2,0),"")</f>
        <v>п2</v>
      </c>
      <c r="C7349" s="12" t="str">
        <f>IFERROR(VLOOKUP(D7349,'[1]Перечень товаров'!$A$2:$I9525,3,0),"")</f>
        <v>Прочее</v>
      </c>
      <c r="D7349" s="22" t="s">
        <v>46</v>
      </c>
      <c r="E7349" s="58"/>
      <c r="F7349" s="58"/>
      <c r="G7349" s="24">
        <v>1</v>
      </c>
      <c r="H7349" s="24"/>
      <c r="I7349" s="25"/>
      <c r="J7349" s="25"/>
      <c r="K7349" s="19"/>
      <c r="L7349" s="20"/>
    </row>
    <row r="7350" spans="1:12" ht="12.75" outlineLevel="1">
      <c r="A7350" s="11"/>
      <c r="B7350" s="12" t="str">
        <f>IFERROR(VLOOKUP(D7350,'[1]Перечень товаров'!$A$2:$I9525,2,0),"")</f>
        <v/>
      </c>
      <c r="C7350" s="12" t="str">
        <f>IFERROR(VLOOKUP(D7350,'[1]Перечень товаров'!$A$2:$I9525,3,0),"")</f>
        <v/>
      </c>
      <c r="D7350" s="27" t="s">
        <v>1827</v>
      </c>
      <c r="E7350" s="99">
        <v>46283</v>
      </c>
      <c r="F7350" s="99"/>
      <c r="G7350" s="100"/>
      <c r="H7350" s="100"/>
      <c r="I7350" s="101"/>
      <c r="J7350" s="101"/>
      <c r="K7350" s="19"/>
      <c r="L7350" s="20"/>
    </row>
    <row r="7351" spans="1:12" ht="15" outlineLevel="2">
      <c r="A7351" s="109"/>
      <c r="B7351" s="12" t="str">
        <f>IFERROR(VLOOKUP(D7351,'[1]Перечень товаров'!$A$2:$I9525,2,0),"")</f>
        <v/>
      </c>
      <c r="C7351" s="12" t="str">
        <f>IFERROR(VLOOKUP(D7351,'[1]Перечень товаров'!$A$2:$I9525,3,0),"")</f>
        <v/>
      </c>
      <c r="D7351" s="110" t="s">
        <v>27</v>
      </c>
      <c r="E7351" s="45"/>
      <c r="F7351" s="45"/>
      <c r="G7351" s="111"/>
      <c r="H7351" s="111"/>
      <c r="I7351" s="112"/>
      <c r="J7351" s="112"/>
      <c r="K7351" s="19"/>
      <c r="L7351" s="20"/>
    </row>
    <row r="7352" spans="1:12" outlineLevel="2">
      <c r="A7352" s="21"/>
      <c r="B7352" s="12" t="str">
        <f>IFERROR(VLOOKUP(D7352,'[1]Перечень товаров'!$A$2:$I9525,2,0),"")</f>
        <v>т1</v>
      </c>
      <c r="C7352" s="12" t="str">
        <f>IFERROR(VLOOKUP(D7352,'[1]Перечень товаров'!$A$2:$I9525,3,0),"")</f>
        <v xml:space="preserve">Техника </v>
      </c>
      <c r="D7352" s="22" t="s">
        <v>28</v>
      </c>
      <c r="E7352" s="58"/>
      <c r="F7352" s="58"/>
      <c r="G7352" s="48">
        <v>1</v>
      </c>
      <c r="H7352" s="48"/>
      <c r="I7352" s="49"/>
      <c r="J7352" s="49"/>
      <c r="K7352" s="19"/>
      <c r="L7352" s="20"/>
    </row>
    <row r="7353" spans="1:12" outlineLevel="2">
      <c r="A7353" s="143"/>
      <c r="B7353" s="12" t="str">
        <f>IFERROR(VLOOKUP(D7353,'[1]Перечень товаров'!$A$2:$I9525,2,0),"")</f>
        <v>т9</v>
      </c>
      <c r="C7353" s="12" t="str">
        <f>IFERROR(VLOOKUP(D7353,'[1]Перечень товаров'!$A$2:$I9525,3,0),"")</f>
        <v>Техника</v>
      </c>
      <c r="D7353" s="143" t="s">
        <v>36</v>
      </c>
      <c r="E7353" s="58"/>
      <c r="F7353" s="58"/>
      <c r="G7353" s="48">
        <v>1</v>
      </c>
      <c r="H7353" s="48"/>
      <c r="I7353" s="49"/>
      <c r="J7353" s="49"/>
      <c r="K7353" s="19"/>
      <c r="L7353" s="20"/>
    </row>
    <row r="7354" spans="1:12" outlineLevel="2">
      <c r="A7354" s="35"/>
      <c r="B7354" s="12" t="str">
        <f>IFERROR(VLOOKUP(D7354,'[1]Перечень товаров'!$A$2:$I9525,2,0),"")</f>
        <v>т2</v>
      </c>
      <c r="C7354" s="12" t="str">
        <f>IFERROR(VLOOKUP(D7354,'[1]Перечень товаров'!$A$2:$I9525,3,0),"")</f>
        <v xml:space="preserve">Техника </v>
      </c>
      <c r="D7354" s="35" t="s">
        <v>29</v>
      </c>
      <c r="E7354" s="58"/>
      <c r="F7354" s="58"/>
      <c r="G7354" s="48">
        <v>1</v>
      </c>
      <c r="H7354" s="48"/>
      <c r="I7354" s="49"/>
      <c r="J7354" s="49"/>
      <c r="K7354" s="19"/>
      <c r="L7354" s="20"/>
    </row>
    <row r="7355" spans="1:12" outlineLevel="2">
      <c r="A7355" s="35"/>
      <c r="B7355" s="12" t="str">
        <f>IFERROR(VLOOKUP(D7355,'[1]Перечень товаров'!$A$2:$I9525,2,0),"")</f>
        <v>т3</v>
      </c>
      <c r="C7355" s="12" t="str">
        <f>IFERROR(VLOOKUP(D7355,'[1]Перечень товаров'!$A$2:$I9525,3,0),"")</f>
        <v xml:space="preserve">Техника </v>
      </c>
      <c r="D7355" s="35" t="s">
        <v>30</v>
      </c>
      <c r="E7355" s="58"/>
      <c r="F7355" s="58"/>
      <c r="G7355" s="48">
        <v>1</v>
      </c>
      <c r="H7355" s="48"/>
      <c r="I7355" s="49"/>
      <c r="J7355" s="49"/>
      <c r="K7355" s="19"/>
      <c r="L7355" s="20"/>
    </row>
    <row r="7356" spans="1:12" outlineLevel="2">
      <c r="A7356" s="35"/>
      <c r="B7356" s="12" t="str">
        <f>IFERROR(VLOOKUP(D7356,'[1]Перечень товаров'!$A$2:$I9525,2,0),"")</f>
        <v>т4</v>
      </c>
      <c r="C7356" s="12" t="str">
        <f>IFERROR(VLOOKUP(D7356,'[1]Перечень товаров'!$A$2:$I9525,3,0),"")</f>
        <v xml:space="preserve">Техника </v>
      </c>
      <c r="D7356" s="35" t="s">
        <v>31</v>
      </c>
      <c r="E7356" s="58"/>
      <c r="F7356" s="58"/>
      <c r="G7356" s="48">
        <v>1</v>
      </c>
      <c r="H7356" s="48"/>
      <c r="I7356" s="49"/>
      <c r="J7356" s="49"/>
      <c r="K7356" s="19"/>
      <c r="L7356" s="20"/>
    </row>
    <row r="7357" spans="1:12" outlineLevel="2">
      <c r="A7357" s="21"/>
      <c r="B7357" s="12" t="str">
        <f>IFERROR(VLOOKUP(D7357,'[1]Перечень товаров'!$A$2:$I9525,2,0),"")</f>
        <v>тм65</v>
      </c>
      <c r="C7357" s="12" t="str">
        <f>IFERROR(VLOOKUP(D7357,'[1]Перечень товаров'!$A$2:$I9525,3,0),"")</f>
        <v>Техника муз</v>
      </c>
      <c r="D7357" s="22" t="s">
        <v>380</v>
      </c>
      <c r="E7357" s="58"/>
      <c r="F7357" s="58"/>
      <c r="G7357" s="48">
        <v>1</v>
      </c>
      <c r="H7357" s="48"/>
      <c r="I7357" s="49"/>
      <c r="J7357" s="49"/>
      <c r="K7357" s="19"/>
      <c r="L7357" s="20"/>
    </row>
    <row r="7358" spans="1:12" outlineLevel="2">
      <c r="A7358" s="21"/>
      <c r="B7358" s="12" t="str">
        <f>IFERROR(VLOOKUP(D7358,'[1]Перечень товаров'!$A$2:$I9525,2,0),"")</f>
        <v>т12</v>
      </c>
      <c r="C7358" s="12" t="str">
        <f>IFERROR(VLOOKUP(D7358,'[1]Перечень товаров'!$A$2:$I9525,3,0),"")</f>
        <v>Техника</v>
      </c>
      <c r="D7358" s="22" t="s">
        <v>49</v>
      </c>
      <c r="E7358" s="58"/>
      <c r="F7358" s="58"/>
      <c r="G7358" s="48">
        <v>1</v>
      </c>
      <c r="H7358" s="48"/>
      <c r="I7358" s="49"/>
      <c r="J7358" s="49"/>
      <c r="K7358" s="19"/>
      <c r="L7358" s="20"/>
    </row>
    <row r="7359" spans="1:12" outlineLevel="2">
      <c r="A7359" s="35"/>
      <c r="B7359" s="12" t="str">
        <f>IFERROR(VLOOKUP(D7359,'[1]Перечень товаров'!$A$2:$I9525,2,0),"")</f>
        <v>т6</v>
      </c>
      <c r="C7359" s="12" t="str">
        <f>IFERROR(VLOOKUP(D7359,'[1]Перечень товаров'!$A$2:$I9525,3,0),"")</f>
        <v xml:space="preserve">Техника </v>
      </c>
      <c r="D7359" s="35" t="s">
        <v>33</v>
      </c>
      <c r="E7359" s="58"/>
      <c r="F7359" s="58"/>
      <c r="G7359" s="48">
        <v>1</v>
      </c>
      <c r="H7359" s="48"/>
      <c r="I7359" s="49"/>
      <c r="J7359" s="49"/>
      <c r="K7359" s="19"/>
      <c r="L7359" s="20"/>
    </row>
    <row r="7360" spans="1:12" outlineLevel="2">
      <c r="A7360" s="21"/>
      <c r="B7360" s="12" t="str">
        <f>IFERROR(VLOOKUP(D7360,'[1]Перечень товаров'!$A$2:$I9525,2,0),"")</f>
        <v>т7</v>
      </c>
      <c r="C7360" s="12" t="str">
        <f>IFERROR(VLOOKUP(D7360,'[1]Перечень товаров'!$A$2:$I9525,3,0),"")</f>
        <v xml:space="preserve">Техника </v>
      </c>
      <c r="D7360" s="22" t="s">
        <v>34</v>
      </c>
      <c r="E7360" s="58"/>
      <c r="F7360" s="58"/>
      <c r="G7360" s="48">
        <v>3</v>
      </c>
      <c r="H7360" s="48"/>
      <c r="I7360" s="49"/>
      <c r="J7360" s="49"/>
      <c r="K7360" s="19"/>
      <c r="L7360" s="20"/>
    </row>
    <row r="7361" spans="1:12" outlineLevel="2">
      <c r="A7361" s="28"/>
      <c r="B7361" s="12" t="str">
        <f>IFERROR(VLOOKUP(D7361,'[1]Перечень товаров'!$A$2:$I9525,2,0),"")</f>
        <v>т161</v>
      </c>
      <c r="C7361" s="12" t="str">
        <f>IFERROR(VLOOKUP(D7361,'[1]Перечень товаров'!$A$2:$I9525,3,0),"")</f>
        <v xml:space="preserve">Техника </v>
      </c>
      <c r="D7361" s="29" t="s">
        <v>381</v>
      </c>
      <c r="E7361" s="30"/>
      <c r="F7361" s="30"/>
      <c r="G7361" s="59">
        <v>1</v>
      </c>
      <c r="H7361" s="59"/>
      <c r="I7361" s="60"/>
      <c r="J7361" s="60"/>
      <c r="K7361" s="19"/>
      <c r="L7361" s="20"/>
    </row>
    <row r="7362" spans="1:12" outlineLevel="2">
      <c r="A7362" s="113"/>
      <c r="B7362" s="12" t="str">
        <f>IFERROR(VLOOKUP(D7362,'[1]Перечень товаров'!$A$2:$I9525,2,0),"")</f>
        <v/>
      </c>
      <c r="C7362" s="12" t="str">
        <f>IFERROR(VLOOKUP(D7362,'[1]Перечень товаров'!$A$2:$I9525,3,0),"")</f>
        <v/>
      </c>
      <c r="D7362" s="114" t="s">
        <v>19</v>
      </c>
      <c r="E7362" s="115"/>
      <c r="F7362" s="115"/>
      <c r="G7362" s="59"/>
      <c r="H7362" s="59"/>
      <c r="I7362" s="60"/>
      <c r="J7362" s="60"/>
      <c r="K7362" s="19"/>
      <c r="L7362" s="20"/>
    </row>
    <row r="7363" spans="1:12" outlineLevel="2">
      <c r="A7363" s="34"/>
      <c r="B7363" s="12" t="str">
        <f>IFERROR(VLOOKUP(D7363,'[1]Перечень товаров'!$A$2:$I9525,2,0),"")</f>
        <v>м62</v>
      </c>
      <c r="C7363" s="12" t="str">
        <f>IFERROR(VLOOKUP(D7363,'[1]Перечень товаров'!$A$2:$I9525,3,0),"")</f>
        <v>Мебель</v>
      </c>
      <c r="D7363" s="35" t="s">
        <v>398</v>
      </c>
      <c r="E7363" s="88"/>
      <c r="F7363" s="88"/>
      <c r="G7363" s="59">
        <v>1</v>
      </c>
      <c r="H7363" s="59"/>
      <c r="I7363" s="60"/>
      <c r="J7363" s="60"/>
      <c r="K7363" s="19"/>
      <c r="L7363" s="20"/>
    </row>
    <row r="7364" spans="1:12" outlineLevel="2">
      <c r="A7364" s="34"/>
      <c r="B7364" s="12" t="str">
        <f>IFERROR(VLOOKUP(D7364,'[1]Перечень товаров'!$A$2:$I9525,2,0),"")</f>
        <v>м61</v>
      </c>
      <c r="C7364" s="12" t="str">
        <f>IFERROR(VLOOKUP(D7364,'[1]Перечень товаров'!$A$2:$I9525,3,0),"")</f>
        <v>Мебель</v>
      </c>
      <c r="D7364" s="35" t="s">
        <v>383</v>
      </c>
      <c r="E7364" s="88"/>
      <c r="F7364" s="88"/>
      <c r="G7364" s="59">
        <v>1</v>
      </c>
      <c r="H7364" s="59"/>
      <c r="I7364" s="60"/>
      <c r="J7364" s="60"/>
      <c r="K7364" s="19"/>
      <c r="L7364" s="20"/>
    </row>
    <row r="7365" spans="1:12" outlineLevel="2">
      <c r="A7365" s="34"/>
      <c r="B7365" s="12" t="str">
        <f>IFERROR(VLOOKUP(D7365,'[1]Перечень товаров'!$A$2:$I9525,2,0),"")</f>
        <v>м179</v>
      </c>
      <c r="C7365" s="12" t="str">
        <f>IFERROR(VLOOKUP(D7365,'[1]Перечень товаров'!$A$2:$I9525,3,0),"")</f>
        <v>Мебель</v>
      </c>
      <c r="D7365" s="35" t="s">
        <v>579</v>
      </c>
      <c r="E7365" s="88"/>
      <c r="F7365" s="88"/>
      <c r="G7365" s="59">
        <v>10</v>
      </c>
      <c r="H7365" s="59"/>
      <c r="I7365" s="60"/>
      <c r="J7365" s="60"/>
      <c r="K7365" s="19"/>
      <c r="L7365" s="20"/>
    </row>
    <row r="7366" spans="1:12" outlineLevel="2">
      <c r="A7366" s="34"/>
      <c r="B7366" s="12" t="str">
        <f>IFERROR(VLOOKUP(D7366,'[1]Перечень товаров'!$A$2:$I9525,2,0),"")</f>
        <v>м61</v>
      </c>
      <c r="C7366" s="12" t="str">
        <f>IFERROR(VLOOKUP(D7366,'[1]Перечень товаров'!$A$2:$I9525,3,0),"")</f>
        <v>Мебель</v>
      </c>
      <c r="D7366" s="35" t="s">
        <v>384</v>
      </c>
      <c r="E7366" s="88"/>
      <c r="F7366" s="88"/>
      <c r="G7366" s="59">
        <v>20</v>
      </c>
      <c r="H7366" s="59"/>
      <c r="I7366" s="60"/>
      <c r="J7366" s="60"/>
      <c r="K7366" s="19"/>
      <c r="L7366" s="20"/>
    </row>
    <row r="7367" spans="1:12" outlineLevel="2">
      <c r="A7367" s="21"/>
      <c r="B7367" s="12" t="str">
        <f>IFERROR(VLOOKUP(D7367,'[1]Перечень товаров'!$A$2:$I9525,2,0),"")</f>
        <v>м13</v>
      </c>
      <c r="C7367" s="12" t="str">
        <f>IFERROR(VLOOKUP(D7367,'[1]Перечень товаров'!$A$2:$I9525,3,0),"")</f>
        <v>Мебель</v>
      </c>
      <c r="D7367" s="22" t="s">
        <v>42</v>
      </c>
      <c r="E7367" s="58"/>
      <c r="F7367" s="58"/>
      <c r="G7367" s="24">
        <v>1</v>
      </c>
      <c r="H7367" s="24"/>
      <c r="I7367" s="25"/>
      <c r="J7367" s="25"/>
      <c r="K7367" s="19"/>
      <c r="L7367" s="20"/>
    </row>
    <row r="7368" spans="1:12" outlineLevel="2">
      <c r="A7368" s="21"/>
      <c r="B7368" s="12" t="str">
        <f>IFERROR(VLOOKUP(D7368,'[1]Перечень товаров'!$A$2:$I9525,2,0),"")</f>
        <v>м14</v>
      </c>
      <c r="C7368" s="12" t="str">
        <f>IFERROR(VLOOKUP(D7368,'[1]Перечень товаров'!$A$2:$I9525,3,0),"")</f>
        <v>Мебель</v>
      </c>
      <c r="D7368" s="22" t="s">
        <v>43</v>
      </c>
      <c r="E7368" s="58"/>
      <c r="F7368" s="58"/>
      <c r="G7368" s="24">
        <v>1</v>
      </c>
      <c r="H7368" s="24"/>
      <c r="I7368" s="25"/>
      <c r="J7368" s="25"/>
      <c r="K7368" s="19"/>
      <c r="L7368" s="20"/>
    </row>
    <row r="7369" spans="1:12" ht="31.5" outlineLevel="2">
      <c r="A7369" s="155"/>
      <c r="B7369" s="12" t="str">
        <f>IFERROR(VLOOKUP(D7369,'[1]Перечень товаров'!$A$2:$I9525,2,0),"")</f>
        <v>м21</v>
      </c>
      <c r="C7369" s="12" t="str">
        <f>IFERROR(VLOOKUP(D7369,'[1]Перечень товаров'!$A$2:$I9525,3,0),"")</f>
        <v>Мебель</v>
      </c>
      <c r="D7369" s="156" t="s">
        <v>58</v>
      </c>
      <c r="E7369" s="58"/>
      <c r="F7369" s="58"/>
      <c r="G7369" s="24">
        <v>1</v>
      </c>
      <c r="H7369" s="24"/>
      <c r="I7369" s="25"/>
      <c r="J7369" s="25"/>
      <c r="K7369" s="19"/>
      <c r="L7369" s="20"/>
    </row>
    <row r="7370" spans="1:12" ht="15" outlineLevel="2">
      <c r="A7370" s="116"/>
      <c r="B7370" s="12" t="str">
        <f>IFERROR(VLOOKUP(D7370,'[1]Перечень товаров'!$A$2:$I9525,2,0),"")</f>
        <v/>
      </c>
      <c r="C7370" s="12" t="str">
        <f>IFERROR(VLOOKUP(D7370,'[1]Перечень товаров'!$A$2:$I9525,3,0),"")</f>
        <v/>
      </c>
      <c r="D7370" s="117" t="s">
        <v>391</v>
      </c>
      <c r="E7370" s="118"/>
      <c r="F7370" s="118"/>
      <c r="G7370" s="119"/>
      <c r="H7370" s="119"/>
      <c r="I7370" s="120"/>
      <c r="J7370" s="120"/>
      <c r="K7370" s="19"/>
      <c r="L7370" s="20"/>
    </row>
    <row r="7371" spans="1:12" ht="15" outlineLevel="2">
      <c r="A7371" s="274"/>
      <c r="B7371" s="12" t="str">
        <f>IFERROR(VLOOKUP(D7371,'[1]Перечень товаров'!$A$2:$I9525,2,0),"")</f>
        <v/>
      </c>
      <c r="C7371" s="12" t="str">
        <f>IFERROR(VLOOKUP(D7371,'[1]Перечень товаров'!$A$2:$I9525,3,0),"")</f>
        <v/>
      </c>
      <c r="D7371" s="275" t="s">
        <v>1828</v>
      </c>
      <c r="E7371" s="118"/>
      <c r="F7371" s="118"/>
      <c r="G7371" s="119"/>
      <c r="H7371" s="119"/>
      <c r="I7371" s="120"/>
      <c r="J7371" s="120"/>
      <c r="K7371" s="19"/>
      <c r="L7371" s="20"/>
    </row>
    <row r="7372" spans="1:12" outlineLevel="2">
      <c r="A7372" s="28"/>
      <c r="B7372" s="12" t="str">
        <f>IFERROR(VLOOKUP(D7372,'[1]Перечень товаров'!$A$2:$I9525,2,0),"")</f>
        <v>тм87</v>
      </c>
      <c r="C7372" s="12" t="str">
        <f>IFERROR(VLOOKUP(D7372,'[1]Перечень товаров'!$A$2:$I9525,3,0),"")</f>
        <v>Техника муз</v>
      </c>
      <c r="D7372" s="29" t="s">
        <v>1829</v>
      </c>
      <c r="E7372" s="30"/>
      <c r="F7372" s="30"/>
      <c r="G7372" s="31">
        <v>2</v>
      </c>
      <c r="H7372" s="31"/>
      <c r="I7372" s="32"/>
      <c r="J7372" s="32"/>
      <c r="K7372" s="19"/>
      <c r="L7372" s="20"/>
    </row>
    <row r="7373" spans="1:12" outlineLevel="2">
      <c r="A7373" s="28"/>
      <c r="B7373" s="12" t="str">
        <f>IFERROR(VLOOKUP(D7373,'[1]Перечень товаров'!$A$2:$I9525,2,0),"")</f>
        <v>тм86</v>
      </c>
      <c r="C7373" s="12" t="str">
        <f>IFERROR(VLOOKUP(D7373,'[1]Перечень товаров'!$A$2:$I9525,3,0),"")</f>
        <v>Техника муз</v>
      </c>
      <c r="D7373" s="29" t="s">
        <v>1830</v>
      </c>
      <c r="E7373" s="30"/>
      <c r="F7373" s="30"/>
      <c r="G7373" s="31">
        <v>3</v>
      </c>
      <c r="H7373" s="31"/>
      <c r="I7373" s="32"/>
      <c r="J7373" s="32"/>
      <c r="K7373" s="19"/>
      <c r="L7373" s="20"/>
    </row>
    <row r="7374" spans="1:12" outlineLevel="2">
      <c r="A7374" s="28"/>
      <c r="B7374" s="12" t="str">
        <f>IFERROR(VLOOKUP(D7374,'[1]Перечень товаров'!$A$2:$I9525,2,0),"")</f>
        <v>тм85</v>
      </c>
      <c r="C7374" s="12" t="str">
        <f>IFERROR(VLOOKUP(D7374,'[1]Перечень товаров'!$A$2:$I9525,3,0),"")</f>
        <v>Техника муз</v>
      </c>
      <c r="D7374" s="29" t="s">
        <v>1831</v>
      </c>
      <c r="E7374" s="30"/>
      <c r="F7374" s="30"/>
      <c r="G7374" s="31">
        <v>4</v>
      </c>
      <c r="H7374" s="31"/>
      <c r="I7374" s="32"/>
      <c r="J7374" s="32"/>
      <c r="K7374" s="19"/>
      <c r="L7374" s="20"/>
    </row>
    <row r="7375" spans="1:12" outlineLevel="2">
      <c r="A7375" s="28"/>
      <c r="B7375" s="12" t="str">
        <f>IFERROR(VLOOKUP(D7375,'[1]Перечень товаров'!$A$2:$I9525,2,0),"")</f>
        <v>тм84</v>
      </c>
      <c r="C7375" s="12" t="str">
        <f>IFERROR(VLOOKUP(D7375,'[1]Перечень товаров'!$A$2:$I9525,3,0),"")</f>
        <v>Техника муз</v>
      </c>
      <c r="D7375" s="29" t="s">
        <v>1832</v>
      </c>
      <c r="E7375" s="30"/>
      <c r="F7375" s="30"/>
      <c r="G7375" s="31">
        <v>4</v>
      </c>
      <c r="H7375" s="31"/>
      <c r="I7375" s="32"/>
      <c r="J7375" s="32"/>
      <c r="K7375" s="19"/>
      <c r="L7375" s="20"/>
    </row>
    <row r="7376" spans="1:12" outlineLevel="2">
      <c r="A7376" s="28"/>
      <c r="B7376" s="12" t="str">
        <f>IFERROR(VLOOKUP(D7376,'[1]Перечень товаров'!$A$2:$I9525,2,0),"")</f>
        <v>тм83</v>
      </c>
      <c r="C7376" s="12" t="str">
        <f>IFERROR(VLOOKUP(D7376,'[1]Перечень товаров'!$A$2:$I9525,3,0),"")</f>
        <v>Техника муз</v>
      </c>
      <c r="D7376" s="29" t="s">
        <v>1833</v>
      </c>
      <c r="E7376" s="30"/>
      <c r="F7376" s="30"/>
      <c r="G7376" s="31">
        <v>5</v>
      </c>
      <c r="H7376" s="31"/>
      <c r="I7376" s="32"/>
      <c r="J7376" s="32"/>
      <c r="K7376" s="19"/>
      <c r="L7376" s="20"/>
    </row>
    <row r="7377" spans="1:12" outlineLevel="2">
      <c r="A7377" s="28"/>
      <c r="B7377" s="12" t="str">
        <f>IFERROR(VLOOKUP(D7377,'[1]Перечень товаров'!$A$2:$I9525,2,0),"")</f>
        <v>тм82</v>
      </c>
      <c r="C7377" s="12" t="str">
        <f>IFERROR(VLOOKUP(D7377,'[1]Перечень товаров'!$A$2:$I9525,3,0),"")</f>
        <v>Техника муз</v>
      </c>
      <c r="D7377" s="29" t="s">
        <v>1834</v>
      </c>
      <c r="E7377" s="30"/>
      <c r="F7377" s="30"/>
      <c r="G7377" s="31">
        <v>2</v>
      </c>
      <c r="H7377" s="31"/>
      <c r="I7377" s="32"/>
      <c r="J7377" s="32"/>
      <c r="K7377" s="19"/>
      <c r="L7377" s="20"/>
    </row>
    <row r="7378" spans="1:12" ht="31.5" outlineLevel="2">
      <c r="A7378" s="28"/>
      <c r="B7378" s="12" t="str">
        <f>IFERROR(VLOOKUP(D7378,'[1]Перечень товаров'!$A$2:$I9525,2,0),"")</f>
        <v>тм81</v>
      </c>
      <c r="C7378" s="12" t="str">
        <f>IFERROR(VLOOKUP(D7378,'[1]Перечень товаров'!$A$2:$I9525,3,0),"")</f>
        <v>Техника муз</v>
      </c>
      <c r="D7378" s="29" t="s">
        <v>1835</v>
      </c>
      <c r="E7378" s="30"/>
      <c r="F7378" s="30"/>
      <c r="G7378" s="31">
        <v>18</v>
      </c>
      <c r="H7378" s="31"/>
      <c r="I7378" s="32"/>
      <c r="J7378" s="32"/>
      <c r="K7378" s="19"/>
      <c r="L7378" s="20"/>
    </row>
    <row r="7379" spans="1:12" outlineLevel="2">
      <c r="A7379" s="28"/>
      <c r="B7379" s="12" t="str">
        <f>IFERROR(VLOOKUP(D7379,'[1]Перечень товаров'!$A$2:$I9525,2,0),"")</f>
        <v>тм54</v>
      </c>
      <c r="C7379" s="12" t="str">
        <f>IFERROR(VLOOKUP(D7379,'[1]Перечень товаров'!$A$2:$I9525,3,0),"")</f>
        <v>Техника муз</v>
      </c>
      <c r="D7379" s="29" t="s">
        <v>310</v>
      </c>
      <c r="E7379" s="30"/>
      <c r="F7379" s="30"/>
      <c r="G7379" s="31">
        <v>30</v>
      </c>
      <c r="H7379" s="31"/>
      <c r="I7379" s="32"/>
      <c r="J7379" s="32"/>
      <c r="K7379" s="19"/>
      <c r="L7379" s="20"/>
    </row>
    <row r="7380" spans="1:12" ht="31.5" outlineLevel="2">
      <c r="A7380" s="28"/>
      <c r="B7380" s="12" t="str">
        <f>IFERROR(VLOOKUP(D7380,'[1]Перечень товаров'!$A$2:$I9525,2,0),"")</f>
        <v>тм80</v>
      </c>
      <c r="C7380" s="12" t="str">
        <f>IFERROR(VLOOKUP(D7380,'[1]Перечень товаров'!$A$2:$I9525,3,0),"")</f>
        <v>Техника муз</v>
      </c>
      <c r="D7380" s="29" t="s">
        <v>1836</v>
      </c>
      <c r="E7380" s="30"/>
      <c r="F7380" s="30"/>
      <c r="G7380" s="31">
        <v>5</v>
      </c>
      <c r="H7380" s="31"/>
      <c r="I7380" s="32"/>
      <c r="J7380" s="32"/>
      <c r="K7380" s="19"/>
      <c r="L7380" s="20"/>
    </row>
    <row r="7381" spans="1:12" outlineLevel="2">
      <c r="A7381" s="28"/>
      <c r="B7381" s="12" t="str">
        <f>IFERROR(VLOOKUP(D7381,'[1]Перечень товаров'!$A$2:$I9525,2,0),"")</f>
        <v>пм211</v>
      </c>
      <c r="C7381" s="12" t="str">
        <f>IFERROR(VLOOKUP(D7381,'[1]Перечень товаров'!$A$2:$I9525,3,0),"")</f>
        <v>прочее муз</v>
      </c>
      <c r="D7381" s="29" t="s">
        <v>995</v>
      </c>
      <c r="E7381" s="30"/>
      <c r="F7381" s="30"/>
      <c r="G7381" s="31">
        <v>10</v>
      </c>
      <c r="H7381" s="31"/>
      <c r="I7381" s="32"/>
      <c r="J7381" s="32"/>
      <c r="K7381" s="19"/>
      <c r="L7381" s="20"/>
    </row>
    <row r="7382" spans="1:12" ht="31.5" outlineLevel="2">
      <c r="A7382" s="28"/>
      <c r="B7382" s="12" t="str">
        <f>IFERROR(VLOOKUP(D7382,'[1]Перечень товаров'!$A$2:$I9525,2,0),"")</f>
        <v>тм79</v>
      </c>
      <c r="C7382" s="12" t="str">
        <f>IFERROR(VLOOKUP(D7382,'[1]Перечень товаров'!$A$2:$I9525,3,0),"")</f>
        <v>Техника муз</v>
      </c>
      <c r="D7382" s="29" t="s">
        <v>1837</v>
      </c>
      <c r="E7382" s="30"/>
      <c r="F7382" s="30"/>
      <c r="G7382" s="31">
        <v>18</v>
      </c>
      <c r="H7382" s="31"/>
      <c r="I7382" s="32"/>
      <c r="J7382" s="32"/>
      <c r="K7382" s="19"/>
      <c r="L7382" s="20"/>
    </row>
    <row r="7383" spans="1:12" outlineLevel="2">
      <c r="A7383" s="28"/>
      <c r="B7383" s="12" t="str">
        <f>IFERROR(VLOOKUP(D7383,'[1]Перечень товаров'!$A$2:$I9525,2,0),"")</f>
        <v>тм78</v>
      </c>
      <c r="C7383" s="12" t="str">
        <f>IFERROR(VLOOKUP(D7383,'[1]Перечень товаров'!$A$2:$I9525,3,0),"")</f>
        <v>Техника муз</v>
      </c>
      <c r="D7383" s="29" t="s">
        <v>1838</v>
      </c>
      <c r="E7383" s="30"/>
      <c r="F7383" s="30"/>
      <c r="G7383" s="31">
        <v>1</v>
      </c>
      <c r="H7383" s="31"/>
      <c r="I7383" s="32"/>
      <c r="J7383" s="32"/>
      <c r="K7383" s="19"/>
      <c r="L7383" s="20"/>
    </row>
    <row r="7384" spans="1:12" outlineLevel="2">
      <c r="A7384" s="54"/>
      <c r="B7384" s="12" t="str">
        <f>IFERROR(VLOOKUP(D7384,'[1]Перечень товаров'!$A$2:$I9525,2,0),"")</f>
        <v/>
      </c>
      <c r="C7384" s="12" t="str">
        <f>IFERROR(VLOOKUP(D7384,'[1]Перечень товаров'!$A$2:$I9525,3,0),"")</f>
        <v/>
      </c>
      <c r="D7384" s="55" t="s">
        <v>45</v>
      </c>
      <c r="E7384" s="217"/>
      <c r="F7384" s="217"/>
      <c r="G7384" s="59"/>
      <c r="H7384" s="59"/>
      <c r="I7384" s="60"/>
      <c r="J7384" s="60"/>
      <c r="K7384" s="19"/>
      <c r="L7384" s="20"/>
    </row>
    <row r="7385" spans="1:12" outlineLevel="2">
      <c r="A7385" s="43"/>
      <c r="B7385" s="12" t="str">
        <f>IFERROR(VLOOKUP(D7385,'[1]Перечень товаров'!$A$2:$I9525,2,0),"")</f>
        <v>м7</v>
      </c>
      <c r="C7385" s="12" t="str">
        <f>IFERROR(VLOOKUP(D7385,'[1]Перечень товаров'!$A$2:$I9525,3,0),"")</f>
        <v>Мебель</v>
      </c>
      <c r="D7385" s="44" t="s">
        <v>24</v>
      </c>
      <c r="E7385" s="30"/>
      <c r="F7385" s="30"/>
      <c r="G7385" s="59">
        <v>1</v>
      </c>
      <c r="H7385" s="59"/>
      <c r="I7385" s="60"/>
      <c r="J7385" s="60"/>
      <c r="K7385" s="19"/>
      <c r="L7385" s="20"/>
    </row>
    <row r="7386" spans="1:12" outlineLevel="2">
      <c r="A7386" s="43"/>
      <c r="B7386" s="12" t="str">
        <f>IFERROR(VLOOKUP(D7386,'[1]Перечень товаров'!$A$2:$I9525,2,0),"")</f>
        <v>п1</v>
      </c>
      <c r="C7386" s="12" t="str">
        <f>IFERROR(VLOOKUP(D7386,'[1]Перечень товаров'!$A$2:$I9525,3,0),"")</f>
        <v>Прочее</v>
      </c>
      <c r="D7386" s="44" t="s">
        <v>37</v>
      </c>
      <c r="E7386" s="30"/>
      <c r="F7386" s="30"/>
      <c r="G7386" s="59">
        <v>1</v>
      </c>
      <c r="H7386" s="59"/>
      <c r="I7386" s="60"/>
      <c r="J7386" s="60"/>
      <c r="K7386" s="19"/>
      <c r="L7386" s="20"/>
    </row>
    <row r="7387" spans="1:12" outlineLevel="2">
      <c r="A7387" s="21"/>
      <c r="B7387" s="12" t="str">
        <f>IFERROR(VLOOKUP(D7387,'[1]Перечень товаров'!$A$2:$I9525,2,0),"")</f>
        <v>п2</v>
      </c>
      <c r="C7387" s="12" t="str">
        <f>IFERROR(VLOOKUP(D7387,'[1]Перечень товаров'!$A$2:$I9525,3,0),"")</f>
        <v>Прочее</v>
      </c>
      <c r="D7387" s="22" t="s">
        <v>46</v>
      </c>
      <c r="E7387" s="58"/>
      <c r="F7387" s="58"/>
      <c r="G7387" s="24">
        <v>1</v>
      </c>
      <c r="H7387" s="24"/>
      <c r="I7387" s="25"/>
      <c r="J7387" s="25"/>
      <c r="K7387" s="19"/>
      <c r="L7387" s="20"/>
    </row>
    <row r="7388" spans="1:12" ht="12.75" outlineLevel="1">
      <c r="A7388" s="11"/>
      <c r="B7388" s="12" t="str">
        <f>IFERROR(VLOOKUP(D7388,'[1]Перечень товаров'!$A$2:$I9525,2,0),"")</f>
        <v/>
      </c>
      <c r="C7388" s="12" t="str">
        <f>IFERROR(VLOOKUP(D7388,'[1]Перечень товаров'!$A$2:$I9525,3,0),"")</f>
        <v/>
      </c>
      <c r="D7388" s="27" t="s">
        <v>1827</v>
      </c>
      <c r="E7388" s="99">
        <v>46192</v>
      </c>
      <c r="F7388" s="99"/>
      <c r="G7388" s="100"/>
      <c r="H7388" s="100"/>
      <c r="I7388" s="101"/>
      <c r="J7388" s="101"/>
      <c r="K7388" s="19"/>
      <c r="L7388" s="20"/>
    </row>
    <row r="7389" spans="1:12" ht="15" outlineLevel="2">
      <c r="A7389" s="109"/>
      <c r="B7389" s="12" t="str">
        <f>IFERROR(VLOOKUP(D7389,'[1]Перечень товаров'!$A$2:$I9525,2,0),"")</f>
        <v/>
      </c>
      <c r="C7389" s="12" t="str">
        <f>IFERROR(VLOOKUP(D7389,'[1]Перечень товаров'!$A$2:$I9525,3,0),"")</f>
        <v/>
      </c>
      <c r="D7389" s="110" t="s">
        <v>27</v>
      </c>
      <c r="E7389" s="45"/>
      <c r="F7389" s="45"/>
      <c r="G7389" s="111"/>
      <c r="H7389" s="111"/>
      <c r="I7389" s="112"/>
      <c r="J7389" s="112"/>
      <c r="K7389" s="19"/>
      <c r="L7389" s="20"/>
    </row>
    <row r="7390" spans="1:12" outlineLevel="2">
      <c r="A7390" s="21"/>
      <c r="B7390" s="12" t="str">
        <f>IFERROR(VLOOKUP(D7390,'[1]Перечень товаров'!$A$2:$I9525,2,0),"")</f>
        <v>т1</v>
      </c>
      <c r="C7390" s="12" t="str">
        <f>IFERROR(VLOOKUP(D7390,'[1]Перечень товаров'!$A$2:$I9525,3,0),"")</f>
        <v xml:space="preserve">Техника </v>
      </c>
      <c r="D7390" s="22" t="s">
        <v>28</v>
      </c>
      <c r="E7390" s="58"/>
      <c r="F7390" s="58"/>
      <c r="G7390" s="48">
        <v>1</v>
      </c>
      <c r="H7390" s="48"/>
      <c r="I7390" s="49"/>
      <c r="J7390" s="49"/>
      <c r="K7390" s="19"/>
      <c r="L7390" s="20"/>
    </row>
    <row r="7391" spans="1:12" outlineLevel="2">
      <c r="A7391" s="143"/>
      <c r="B7391" s="12" t="str">
        <f>IFERROR(VLOOKUP(D7391,'[1]Перечень товаров'!$A$2:$I9525,2,0),"")</f>
        <v>т9</v>
      </c>
      <c r="C7391" s="12" t="str">
        <f>IFERROR(VLOOKUP(D7391,'[1]Перечень товаров'!$A$2:$I9525,3,0),"")</f>
        <v>Техника</v>
      </c>
      <c r="D7391" s="143" t="s">
        <v>36</v>
      </c>
      <c r="E7391" s="58"/>
      <c r="F7391" s="58"/>
      <c r="G7391" s="48">
        <v>1</v>
      </c>
      <c r="H7391" s="48"/>
      <c r="I7391" s="49"/>
      <c r="J7391" s="49"/>
      <c r="K7391" s="19"/>
      <c r="L7391" s="20"/>
    </row>
    <row r="7392" spans="1:12" outlineLevel="2">
      <c r="A7392" s="35"/>
      <c r="B7392" s="12" t="str">
        <f>IFERROR(VLOOKUP(D7392,'[1]Перечень товаров'!$A$2:$I9525,2,0),"")</f>
        <v>т2</v>
      </c>
      <c r="C7392" s="12" t="str">
        <f>IFERROR(VLOOKUP(D7392,'[1]Перечень товаров'!$A$2:$I9525,3,0),"")</f>
        <v xml:space="preserve">Техника </v>
      </c>
      <c r="D7392" s="35" t="s">
        <v>29</v>
      </c>
      <c r="E7392" s="58"/>
      <c r="F7392" s="58"/>
      <c r="G7392" s="48">
        <v>1</v>
      </c>
      <c r="H7392" s="48"/>
      <c r="I7392" s="49"/>
      <c r="J7392" s="49"/>
      <c r="K7392" s="19"/>
      <c r="L7392" s="20"/>
    </row>
    <row r="7393" spans="1:12" outlineLevel="2">
      <c r="A7393" s="35"/>
      <c r="B7393" s="12" t="str">
        <f>IFERROR(VLOOKUP(D7393,'[1]Перечень товаров'!$A$2:$I9525,2,0),"")</f>
        <v>т3</v>
      </c>
      <c r="C7393" s="12" t="str">
        <f>IFERROR(VLOOKUP(D7393,'[1]Перечень товаров'!$A$2:$I9525,3,0),"")</f>
        <v xml:space="preserve">Техника </v>
      </c>
      <c r="D7393" s="35" t="s">
        <v>30</v>
      </c>
      <c r="E7393" s="58"/>
      <c r="F7393" s="58"/>
      <c r="G7393" s="48">
        <v>1</v>
      </c>
      <c r="H7393" s="48"/>
      <c r="I7393" s="49"/>
      <c r="J7393" s="49"/>
      <c r="K7393" s="19"/>
      <c r="L7393" s="20"/>
    </row>
    <row r="7394" spans="1:12" outlineLevel="2">
      <c r="A7394" s="35"/>
      <c r="B7394" s="12" t="str">
        <f>IFERROR(VLOOKUP(D7394,'[1]Перечень товаров'!$A$2:$I9525,2,0),"")</f>
        <v>т4</v>
      </c>
      <c r="C7394" s="12" t="str">
        <f>IFERROR(VLOOKUP(D7394,'[1]Перечень товаров'!$A$2:$I9525,3,0),"")</f>
        <v xml:space="preserve">Техника </v>
      </c>
      <c r="D7394" s="35" t="s">
        <v>31</v>
      </c>
      <c r="E7394" s="58"/>
      <c r="F7394" s="58"/>
      <c r="G7394" s="48">
        <v>1</v>
      </c>
      <c r="H7394" s="48"/>
      <c r="I7394" s="49"/>
      <c r="J7394" s="49"/>
      <c r="K7394" s="19"/>
      <c r="L7394" s="20"/>
    </row>
    <row r="7395" spans="1:12" outlineLevel="2">
      <c r="A7395" s="21"/>
      <c r="B7395" s="12" t="str">
        <f>IFERROR(VLOOKUP(D7395,'[1]Перечень товаров'!$A$2:$I9525,2,0),"")</f>
        <v>тм65</v>
      </c>
      <c r="C7395" s="12" t="str">
        <f>IFERROR(VLOOKUP(D7395,'[1]Перечень товаров'!$A$2:$I9525,3,0),"")</f>
        <v>Техника муз</v>
      </c>
      <c r="D7395" s="22" t="s">
        <v>380</v>
      </c>
      <c r="E7395" s="58"/>
      <c r="F7395" s="58"/>
      <c r="G7395" s="48">
        <v>1</v>
      </c>
      <c r="H7395" s="48"/>
      <c r="I7395" s="49"/>
      <c r="J7395" s="49"/>
      <c r="K7395" s="19"/>
      <c r="L7395" s="20"/>
    </row>
    <row r="7396" spans="1:12" outlineLevel="2">
      <c r="A7396" s="21"/>
      <c r="B7396" s="12" t="str">
        <f>IFERROR(VLOOKUP(D7396,'[1]Перечень товаров'!$A$2:$I9525,2,0),"")</f>
        <v>т12</v>
      </c>
      <c r="C7396" s="12" t="str">
        <f>IFERROR(VLOOKUP(D7396,'[1]Перечень товаров'!$A$2:$I9525,3,0),"")</f>
        <v>Техника</v>
      </c>
      <c r="D7396" s="22" t="s">
        <v>49</v>
      </c>
      <c r="E7396" s="58"/>
      <c r="F7396" s="58"/>
      <c r="G7396" s="48">
        <v>1</v>
      </c>
      <c r="H7396" s="48"/>
      <c r="I7396" s="49"/>
      <c r="J7396" s="49"/>
      <c r="K7396" s="19"/>
      <c r="L7396" s="20"/>
    </row>
    <row r="7397" spans="1:12" outlineLevel="2">
      <c r="A7397" s="35"/>
      <c r="B7397" s="12" t="str">
        <f>IFERROR(VLOOKUP(D7397,'[1]Перечень товаров'!$A$2:$I9525,2,0),"")</f>
        <v>т6</v>
      </c>
      <c r="C7397" s="12" t="str">
        <f>IFERROR(VLOOKUP(D7397,'[1]Перечень товаров'!$A$2:$I9525,3,0),"")</f>
        <v xml:space="preserve">Техника </v>
      </c>
      <c r="D7397" s="35" t="s">
        <v>33</v>
      </c>
      <c r="E7397" s="58"/>
      <c r="F7397" s="58"/>
      <c r="G7397" s="48">
        <v>1</v>
      </c>
      <c r="H7397" s="48"/>
      <c r="I7397" s="49"/>
      <c r="J7397" s="49"/>
      <c r="K7397" s="19"/>
      <c r="L7397" s="20"/>
    </row>
    <row r="7398" spans="1:12" outlineLevel="2">
      <c r="A7398" s="21"/>
      <c r="B7398" s="12" t="str">
        <f>IFERROR(VLOOKUP(D7398,'[1]Перечень товаров'!$A$2:$I9525,2,0),"")</f>
        <v>т7</v>
      </c>
      <c r="C7398" s="12" t="str">
        <f>IFERROR(VLOOKUP(D7398,'[1]Перечень товаров'!$A$2:$I9525,3,0),"")</f>
        <v xml:space="preserve">Техника </v>
      </c>
      <c r="D7398" s="22" t="s">
        <v>34</v>
      </c>
      <c r="E7398" s="58"/>
      <c r="F7398" s="58"/>
      <c r="G7398" s="48">
        <v>3</v>
      </c>
      <c r="H7398" s="48"/>
      <c r="I7398" s="49"/>
      <c r="J7398" s="49"/>
      <c r="K7398" s="19"/>
      <c r="L7398" s="20"/>
    </row>
    <row r="7399" spans="1:12" outlineLevel="2">
      <c r="A7399" s="28"/>
      <c r="B7399" s="12" t="str">
        <f>IFERROR(VLOOKUP(D7399,'[1]Перечень товаров'!$A$2:$I9525,2,0),"")</f>
        <v>т161</v>
      </c>
      <c r="C7399" s="12" t="str">
        <f>IFERROR(VLOOKUP(D7399,'[1]Перечень товаров'!$A$2:$I9525,3,0),"")</f>
        <v xml:space="preserve">Техника </v>
      </c>
      <c r="D7399" s="29" t="s">
        <v>381</v>
      </c>
      <c r="E7399" s="30"/>
      <c r="F7399" s="30"/>
      <c r="G7399" s="59">
        <v>1</v>
      </c>
      <c r="H7399" s="59"/>
      <c r="I7399" s="60"/>
      <c r="J7399" s="60"/>
      <c r="K7399" s="19"/>
      <c r="L7399" s="20"/>
    </row>
    <row r="7400" spans="1:12" outlineLevel="2">
      <c r="A7400" s="113"/>
      <c r="B7400" s="12" t="str">
        <f>IFERROR(VLOOKUP(D7400,'[1]Перечень товаров'!$A$2:$I9525,2,0),"")</f>
        <v/>
      </c>
      <c r="C7400" s="12" t="str">
        <f>IFERROR(VLOOKUP(D7400,'[1]Перечень товаров'!$A$2:$I9525,3,0),"")</f>
        <v/>
      </c>
      <c r="D7400" s="114" t="s">
        <v>19</v>
      </c>
      <c r="E7400" s="115"/>
      <c r="F7400" s="115"/>
      <c r="G7400" s="59"/>
      <c r="H7400" s="59"/>
      <c r="I7400" s="60"/>
      <c r="J7400" s="60"/>
      <c r="K7400" s="19"/>
      <c r="L7400" s="20"/>
    </row>
    <row r="7401" spans="1:12" outlineLevel="2">
      <c r="A7401" s="34"/>
      <c r="B7401" s="12" t="str">
        <f>IFERROR(VLOOKUP(D7401,'[1]Перечень товаров'!$A$2:$I9525,2,0),"")</f>
        <v>м62</v>
      </c>
      <c r="C7401" s="12" t="str">
        <f>IFERROR(VLOOKUP(D7401,'[1]Перечень товаров'!$A$2:$I9525,3,0),"")</f>
        <v>Мебель</v>
      </c>
      <c r="D7401" s="35" t="s">
        <v>398</v>
      </c>
      <c r="E7401" s="88"/>
      <c r="F7401" s="88"/>
      <c r="G7401" s="59">
        <v>1</v>
      </c>
      <c r="H7401" s="59"/>
      <c r="I7401" s="60"/>
      <c r="J7401" s="60"/>
      <c r="K7401" s="19"/>
      <c r="L7401" s="20"/>
    </row>
    <row r="7402" spans="1:12" outlineLevel="2">
      <c r="A7402" s="34"/>
      <c r="B7402" s="12" t="str">
        <f>IFERROR(VLOOKUP(D7402,'[1]Перечень товаров'!$A$2:$I9525,2,0),"")</f>
        <v>м61</v>
      </c>
      <c r="C7402" s="12" t="str">
        <f>IFERROR(VLOOKUP(D7402,'[1]Перечень товаров'!$A$2:$I9525,3,0),"")</f>
        <v>Мебель</v>
      </c>
      <c r="D7402" s="35" t="s">
        <v>383</v>
      </c>
      <c r="E7402" s="88"/>
      <c r="F7402" s="88"/>
      <c r="G7402" s="59">
        <v>1</v>
      </c>
      <c r="H7402" s="59"/>
      <c r="I7402" s="60"/>
      <c r="J7402" s="60"/>
      <c r="K7402" s="19"/>
      <c r="L7402" s="20"/>
    </row>
    <row r="7403" spans="1:12" outlineLevel="2">
      <c r="A7403" s="34"/>
      <c r="B7403" s="12" t="str">
        <f>IFERROR(VLOOKUP(D7403,'[1]Перечень товаров'!$A$2:$I9525,2,0),"")</f>
        <v>м179</v>
      </c>
      <c r="C7403" s="12" t="str">
        <f>IFERROR(VLOOKUP(D7403,'[1]Перечень товаров'!$A$2:$I9525,3,0),"")</f>
        <v>Мебель</v>
      </c>
      <c r="D7403" s="35" t="s">
        <v>579</v>
      </c>
      <c r="E7403" s="88"/>
      <c r="F7403" s="88"/>
      <c r="G7403" s="59">
        <v>10</v>
      </c>
      <c r="H7403" s="59"/>
      <c r="I7403" s="60"/>
      <c r="J7403" s="60"/>
      <c r="K7403" s="19"/>
      <c r="L7403" s="20"/>
    </row>
    <row r="7404" spans="1:12" outlineLevel="2">
      <c r="A7404" s="34"/>
      <c r="B7404" s="12" t="str">
        <f>IFERROR(VLOOKUP(D7404,'[1]Перечень товаров'!$A$2:$I9525,2,0),"")</f>
        <v>м61</v>
      </c>
      <c r="C7404" s="12" t="str">
        <f>IFERROR(VLOOKUP(D7404,'[1]Перечень товаров'!$A$2:$I9525,3,0),"")</f>
        <v>Мебель</v>
      </c>
      <c r="D7404" s="35" t="s">
        <v>384</v>
      </c>
      <c r="E7404" s="88"/>
      <c r="F7404" s="88"/>
      <c r="G7404" s="59">
        <v>20</v>
      </c>
      <c r="H7404" s="59"/>
      <c r="I7404" s="60"/>
      <c r="J7404" s="60"/>
      <c r="K7404" s="19"/>
      <c r="L7404" s="20"/>
    </row>
    <row r="7405" spans="1:12" outlineLevel="2">
      <c r="A7405" s="21"/>
      <c r="B7405" s="12" t="str">
        <f>IFERROR(VLOOKUP(D7405,'[1]Перечень товаров'!$A$2:$I9525,2,0),"")</f>
        <v>м13</v>
      </c>
      <c r="C7405" s="12" t="str">
        <f>IFERROR(VLOOKUP(D7405,'[1]Перечень товаров'!$A$2:$I9525,3,0),"")</f>
        <v>Мебель</v>
      </c>
      <c r="D7405" s="22" t="s">
        <v>42</v>
      </c>
      <c r="E7405" s="58"/>
      <c r="F7405" s="58"/>
      <c r="G7405" s="24">
        <v>1</v>
      </c>
      <c r="H7405" s="24"/>
      <c r="I7405" s="25"/>
      <c r="J7405" s="25"/>
      <c r="K7405" s="19"/>
      <c r="L7405" s="20"/>
    </row>
    <row r="7406" spans="1:12" outlineLevel="2">
      <c r="A7406" s="21"/>
      <c r="B7406" s="12" t="str">
        <f>IFERROR(VLOOKUP(D7406,'[1]Перечень товаров'!$A$2:$I9525,2,0),"")</f>
        <v>м14</v>
      </c>
      <c r="C7406" s="12" t="str">
        <f>IFERROR(VLOOKUP(D7406,'[1]Перечень товаров'!$A$2:$I9525,3,0),"")</f>
        <v>Мебель</v>
      </c>
      <c r="D7406" s="22" t="s">
        <v>43</v>
      </c>
      <c r="E7406" s="58"/>
      <c r="F7406" s="58"/>
      <c r="G7406" s="24">
        <v>1</v>
      </c>
      <c r="H7406" s="24"/>
      <c r="I7406" s="25"/>
      <c r="J7406" s="25"/>
      <c r="K7406" s="19"/>
      <c r="L7406" s="20"/>
    </row>
    <row r="7407" spans="1:12" ht="31.5" outlineLevel="2">
      <c r="A7407" s="155"/>
      <c r="B7407" s="12" t="str">
        <f>IFERROR(VLOOKUP(D7407,'[1]Перечень товаров'!$A$2:$I9525,2,0),"")</f>
        <v>м21</v>
      </c>
      <c r="C7407" s="12" t="str">
        <f>IFERROR(VLOOKUP(D7407,'[1]Перечень товаров'!$A$2:$I9525,3,0),"")</f>
        <v>Мебель</v>
      </c>
      <c r="D7407" s="156" t="s">
        <v>58</v>
      </c>
      <c r="E7407" s="58"/>
      <c r="F7407" s="58"/>
      <c r="G7407" s="24">
        <v>1</v>
      </c>
      <c r="H7407" s="24"/>
      <c r="I7407" s="25"/>
      <c r="J7407" s="25"/>
      <c r="K7407" s="19"/>
      <c r="L7407" s="20"/>
    </row>
    <row r="7408" spans="1:12" ht="15" outlineLevel="2">
      <c r="A7408" s="116"/>
      <c r="B7408" s="12" t="str">
        <f>IFERROR(VLOOKUP(D7408,'[1]Перечень товаров'!$A$2:$I9525,2,0),"")</f>
        <v/>
      </c>
      <c r="C7408" s="12" t="str">
        <f>IFERROR(VLOOKUP(D7408,'[1]Перечень товаров'!$A$2:$I9525,3,0),"")</f>
        <v/>
      </c>
      <c r="D7408" s="117" t="s">
        <v>391</v>
      </c>
      <c r="E7408" s="118"/>
      <c r="F7408" s="118"/>
      <c r="G7408" s="119"/>
      <c r="H7408" s="119"/>
      <c r="I7408" s="120"/>
      <c r="J7408" s="120"/>
      <c r="K7408" s="19"/>
      <c r="L7408" s="20"/>
    </row>
    <row r="7409" spans="1:12" ht="15" outlineLevel="2">
      <c r="A7409" s="274"/>
      <c r="B7409" s="12" t="str">
        <f>IFERROR(VLOOKUP(D7409,'[1]Перечень товаров'!$A$2:$I9525,2,0),"")</f>
        <v/>
      </c>
      <c r="C7409" s="12" t="str">
        <f>IFERROR(VLOOKUP(D7409,'[1]Перечень товаров'!$A$2:$I9525,3,0),"")</f>
        <v/>
      </c>
      <c r="D7409" s="275" t="s">
        <v>1828</v>
      </c>
      <c r="E7409" s="118"/>
      <c r="F7409" s="118"/>
      <c r="G7409" s="119"/>
      <c r="H7409" s="119"/>
      <c r="I7409" s="120"/>
      <c r="J7409" s="120"/>
      <c r="K7409" s="19"/>
      <c r="L7409" s="20"/>
    </row>
    <row r="7410" spans="1:12" outlineLevel="2">
      <c r="A7410" s="28"/>
      <c r="B7410" s="12" t="str">
        <f>IFERROR(VLOOKUP(D7410,'[1]Перечень товаров'!$A$2:$I9525,2,0),"")</f>
        <v>тм87</v>
      </c>
      <c r="C7410" s="12" t="str">
        <f>IFERROR(VLOOKUP(D7410,'[1]Перечень товаров'!$A$2:$I9525,3,0),"")</f>
        <v>Техника муз</v>
      </c>
      <c r="D7410" s="29" t="s">
        <v>1829</v>
      </c>
      <c r="E7410" s="30"/>
      <c r="F7410" s="30"/>
      <c r="G7410" s="31">
        <v>2</v>
      </c>
      <c r="H7410" s="31"/>
      <c r="I7410" s="32"/>
      <c r="J7410" s="32"/>
      <c r="K7410" s="19"/>
      <c r="L7410" s="20"/>
    </row>
    <row r="7411" spans="1:12" outlineLevel="2">
      <c r="A7411" s="28"/>
      <c r="B7411" s="12" t="str">
        <f>IFERROR(VLOOKUP(D7411,'[1]Перечень товаров'!$A$2:$I9525,2,0),"")</f>
        <v>тм86</v>
      </c>
      <c r="C7411" s="12" t="str">
        <f>IFERROR(VLOOKUP(D7411,'[1]Перечень товаров'!$A$2:$I9525,3,0),"")</f>
        <v>Техника муз</v>
      </c>
      <c r="D7411" s="29" t="s">
        <v>1830</v>
      </c>
      <c r="E7411" s="30"/>
      <c r="F7411" s="30"/>
      <c r="G7411" s="31">
        <v>3</v>
      </c>
      <c r="H7411" s="31"/>
      <c r="I7411" s="32"/>
      <c r="J7411" s="32"/>
      <c r="K7411" s="19"/>
      <c r="L7411" s="20"/>
    </row>
    <row r="7412" spans="1:12" outlineLevel="2">
      <c r="A7412" s="28"/>
      <c r="B7412" s="12" t="str">
        <f>IFERROR(VLOOKUP(D7412,'[1]Перечень товаров'!$A$2:$I9525,2,0),"")</f>
        <v>тм85</v>
      </c>
      <c r="C7412" s="12" t="str">
        <f>IFERROR(VLOOKUP(D7412,'[1]Перечень товаров'!$A$2:$I9525,3,0),"")</f>
        <v>Техника муз</v>
      </c>
      <c r="D7412" s="29" t="s">
        <v>1831</v>
      </c>
      <c r="E7412" s="30"/>
      <c r="F7412" s="30"/>
      <c r="G7412" s="31">
        <v>4</v>
      </c>
      <c r="H7412" s="31"/>
      <c r="I7412" s="32"/>
      <c r="J7412" s="32"/>
      <c r="K7412" s="19"/>
      <c r="L7412" s="20"/>
    </row>
    <row r="7413" spans="1:12" outlineLevel="2">
      <c r="A7413" s="28"/>
      <c r="B7413" s="12" t="str">
        <f>IFERROR(VLOOKUP(D7413,'[1]Перечень товаров'!$A$2:$I9525,2,0),"")</f>
        <v>тм84</v>
      </c>
      <c r="C7413" s="12" t="str">
        <f>IFERROR(VLOOKUP(D7413,'[1]Перечень товаров'!$A$2:$I9525,3,0),"")</f>
        <v>Техника муз</v>
      </c>
      <c r="D7413" s="29" t="s">
        <v>1832</v>
      </c>
      <c r="E7413" s="30"/>
      <c r="F7413" s="30"/>
      <c r="G7413" s="31">
        <v>4</v>
      </c>
      <c r="H7413" s="31"/>
      <c r="I7413" s="32"/>
      <c r="J7413" s="32"/>
      <c r="K7413" s="19"/>
      <c r="L7413" s="20"/>
    </row>
    <row r="7414" spans="1:12" outlineLevel="2">
      <c r="A7414" s="28"/>
      <c r="B7414" s="12" t="str">
        <f>IFERROR(VLOOKUP(D7414,'[1]Перечень товаров'!$A$2:$I9525,2,0),"")</f>
        <v>тм83</v>
      </c>
      <c r="C7414" s="12" t="str">
        <f>IFERROR(VLOOKUP(D7414,'[1]Перечень товаров'!$A$2:$I9525,3,0),"")</f>
        <v>Техника муз</v>
      </c>
      <c r="D7414" s="29" t="s">
        <v>1833</v>
      </c>
      <c r="E7414" s="30"/>
      <c r="F7414" s="30"/>
      <c r="G7414" s="31">
        <v>5</v>
      </c>
      <c r="H7414" s="31"/>
      <c r="I7414" s="32"/>
      <c r="J7414" s="32"/>
      <c r="K7414" s="19"/>
      <c r="L7414" s="20"/>
    </row>
    <row r="7415" spans="1:12" outlineLevel="2">
      <c r="A7415" s="28"/>
      <c r="B7415" s="12" t="str">
        <f>IFERROR(VLOOKUP(D7415,'[1]Перечень товаров'!$A$2:$I9525,2,0),"")</f>
        <v>тм82</v>
      </c>
      <c r="C7415" s="12" t="str">
        <f>IFERROR(VLOOKUP(D7415,'[1]Перечень товаров'!$A$2:$I9525,3,0),"")</f>
        <v>Техника муз</v>
      </c>
      <c r="D7415" s="29" t="s">
        <v>1834</v>
      </c>
      <c r="E7415" s="30"/>
      <c r="F7415" s="30"/>
      <c r="G7415" s="31">
        <v>2</v>
      </c>
      <c r="H7415" s="31"/>
      <c r="I7415" s="32"/>
      <c r="J7415" s="32"/>
      <c r="K7415" s="19"/>
      <c r="L7415" s="20"/>
    </row>
    <row r="7416" spans="1:12" ht="31.5" outlineLevel="2">
      <c r="A7416" s="28"/>
      <c r="B7416" s="12" t="str">
        <f>IFERROR(VLOOKUP(D7416,'[1]Перечень товаров'!$A$2:$I9525,2,0),"")</f>
        <v>тм81</v>
      </c>
      <c r="C7416" s="12" t="str">
        <f>IFERROR(VLOOKUP(D7416,'[1]Перечень товаров'!$A$2:$I9525,3,0),"")</f>
        <v>Техника муз</v>
      </c>
      <c r="D7416" s="29" t="s">
        <v>1835</v>
      </c>
      <c r="E7416" s="30"/>
      <c r="F7416" s="30"/>
      <c r="G7416" s="31">
        <v>18</v>
      </c>
      <c r="H7416" s="31"/>
      <c r="I7416" s="32"/>
      <c r="J7416" s="32"/>
      <c r="K7416" s="19"/>
      <c r="L7416" s="20"/>
    </row>
    <row r="7417" spans="1:12" outlineLevel="2">
      <c r="A7417" s="28"/>
      <c r="B7417" s="12" t="str">
        <f>IFERROR(VLOOKUP(D7417,'[1]Перечень товаров'!$A$2:$I9525,2,0),"")</f>
        <v>тм54</v>
      </c>
      <c r="C7417" s="12" t="str">
        <f>IFERROR(VLOOKUP(D7417,'[1]Перечень товаров'!$A$2:$I9525,3,0),"")</f>
        <v>Техника муз</v>
      </c>
      <c r="D7417" s="29" t="s">
        <v>310</v>
      </c>
      <c r="E7417" s="30"/>
      <c r="F7417" s="30"/>
      <c r="G7417" s="31">
        <v>30</v>
      </c>
      <c r="H7417" s="31"/>
      <c r="I7417" s="32"/>
      <c r="J7417" s="32"/>
      <c r="K7417" s="19"/>
      <c r="L7417" s="20"/>
    </row>
    <row r="7418" spans="1:12" ht="31.5" outlineLevel="2">
      <c r="A7418" s="28"/>
      <c r="B7418" s="12" t="str">
        <f>IFERROR(VLOOKUP(D7418,'[1]Перечень товаров'!$A$2:$I9525,2,0),"")</f>
        <v>тм80</v>
      </c>
      <c r="C7418" s="12" t="str">
        <f>IFERROR(VLOOKUP(D7418,'[1]Перечень товаров'!$A$2:$I9525,3,0),"")</f>
        <v>Техника муз</v>
      </c>
      <c r="D7418" s="29" t="s">
        <v>1836</v>
      </c>
      <c r="E7418" s="30"/>
      <c r="F7418" s="30"/>
      <c r="G7418" s="31">
        <v>5</v>
      </c>
      <c r="H7418" s="31"/>
      <c r="I7418" s="32"/>
      <c r="J7418" s="32"/>
      <c r="K7418" s="19"/>
      <c r="L7418" s="20"/>
    </row>
    <row r="7419" spans="1:12" outlineLevel="2">
      <c r="A7419" s="28"/>
      <c r="B7419" s="12" t="str">
        <f>IFERROR(VLOOKUP(D7419,'[1]Перечень товаров'!$A$2:$I9525,2,0),"")</f>
        <v>пм211</v>
      </c>
      <c r="C7419" s="12" t="str">
        <f>IFERROR(VLOOKUP(D7419,'[1]Перечень товаров'!$A$2:$I9525,3,0),"")</f>
        <v>прочее муз</v>
      </c>
      <c r="D7419" s="29" t="s">
        <v>995</v>
      </c>
      <c r="E7419" s="30"/>
      <c r="F7419" s="30"/>
      <c r="G7419" s="31">
        <v>10</v>
      </c>
      <c r="H7419" s="31"/>
      <c r="I7419" s="32"/>
      <c r="J7419" s="32"/>
      <c r="K7419" s="19"/>
      <c r="L7419" s="20"/>
    </row>
    <row r="7420" spans="1:12" ht="31.5" outlineLevel="2">
      <c r="A7420" s="28"/>
      <c r="B7420" s="12" t="str">
        <f>IFERROR(VLOOKUP(D7420,'[1]Перечень товаров'!$A$2:$I9525,2,0),"")</f>
        <v>тм79</v>
      </c>
      <c r="C7420" s="12" t="str">
        <f>IFERROR(VLOOKUP(D7420,'[1]Перечень товаров'!$A$2:$I9525,3,0),"")</f>
        <v>Техника муз</v>
      </c>
      <c r="D7420" s="29" t="s">
        <v>1837</v>
      </c>
      <c r="E7420" s="30"/>
      <c r="F7420" s="30"/>
      <c r="G7420" s="31">
        <v>18</v>
      </c>
      <c r="H7420" s="31"/>
      <c r="I7420" s="32"/>
      <c r="J7420" s="32"/>
      <c r="K7420" s="19"/>
      <c r="L7420" s="20"/>
    </row>
    <row r="7421" spans="1:12" outlineLevel="2">
      <c r="A7421" s="28"/>
      <c r="B7421" s="12" t="str">
        <f>IFERROR(VLOOKUP(D7421,'[1]Перечень товаров'!$A$2:$I9525,2,0),"")</f>
        <v>тм78</v>
      </c>
      <c r="C7421" s="12" t="str">
        <f>IFERROR(VLOOKUP(D7421,'[1]Перечень товаров'!$A$2:$I9525,3,0),"")</f>
        <v>Техника муз</v>
      </c>
      <c r="D7421" s="29" t="s">
        <v>1838</v>
      </c>
      <c r="E7421" s="30"/>
      <c r="F7421" s="30"/>
      <c r="G7421" s="31">
        <v>1</v>
      </c>
      <c r="H7421" s="31"/>
      <c r="I7421" s="32"/>
      <c r="J7421" s="32"/>
      <c r="K7421" s="19"/>
      <c r="L7421" s="20"/>
    </row>
    <row r="7422" spans="1:12" outlineLevel="2">
      <c r="A7422" s="54"/>
      <c r="B7422" s="12" t="str">
        <f>IFERROR(VLOOKUP(D7422,'[1]Перечень товаров'!$A$2:$I9525,2,0),"")</f>
        <v/>
      </c>
      <c r="C7422" s="12" t="str">
        <f>IFERROR(VLOOKUP(D7422,'[1]Перечень товаров'!$A$2:$I9525,3,0),"")</f>
        <v/>
      </c>
      <c r="D7422" s="55" t="s">
        <v>45</v>
      </c>
      <c r="E7422" s="217"/>
      <c r="F7422" s="217"/>
      <c r="G7422" s="59"/>
      <c r="H7422" s="59"/>
      <c r="I7422" s="60"/>
      <c r="J7422" s="60"/>
      <c r="K7422" s="19"/>
      <c r="L7422" s="20"/>
    </row>
    <row r="7423" spans="1:12" outlineLevel="2">
      <c r="A7423" s="43"/>
      <c r="B7423" s="12" t="str">
        <f>IFERROR(VLOOKUP(D7423,'[1]Перечень товаров'!$A$2:$I9525,2,0),"")</f>
        <v>м7</v>
      </c>
      <c r="C7423" s="12" t="str">
        <f>IFERROR(VLOOKUP(D7423,'[1]Перечень товаров'!$A$2:$I9525,3,0),"")</f>
        <v>Мебель</v>
      </c>
      <c r="D7423" s="44" t="s">
        <v>24</v>
      </c>
      <c r="E7423" s="30"/>
      <c r="F7423" s="30"/>
      <c r="G7423" s="59">
        <v>1</v>
      </c>
      <c r="H7423" s="59"/>
      <c r="I7423" s="60"/>
      <c r="J7423" s="60"/>
      <c r="K7423" s="19"/>
      <c r="L7423" s="20"/>
    </row>
    <row r="7424" spans="1:12" outlineLevel="2">
      <c r="A7424" s="43"/>
      <c r="B7424" s="12" t="str">
        <f>IFERROR(VLOOKUP(D7424,'[1]Перечень товаров'!$A$2:$I9525,2,0),"")</f>
        <v>п1</v>
      </c>
      <c r="C7424" s="12" t="str">
        <f>IFERROR(VLOOKUP(D7424,'[1]Перечень товаров'!$A$2:$I9525,3,0),"")</f>
        <v>Прочее</v>
      </c>
      <c r="D7424" s="44" t="s">
        <v>37</v>
      </c>
      <c r="E7424" s="30"/>
      <c r="F7424" s="30"/>
      <c r="G7424" s="59">
        <v>1</v>
      </c>
      <c r="H7424" s="59"/>
      <c r="I7424" s="60"/>
      <c r="J7424" s="60"/>
      <c r="K7424" s="19"/>
      <c r="L7424" s="20"/>
    </row>
    <row r="7425" spans="1:12" outlineLevel="2">
      <c r="A7425" s="21"/>
      <c r="B7425" s="12" t="str">
        <f>IFERROR(VLOOKUP(D7425,'[1]Перечень товаров'!$A$2:$I9525,2,0),"")</f>
        <v>п2</v>
      </c>
      <c r="C7425" s="12" t="str">
        <f>IFERROR(VLOOKUP(D7425,'[1]Перечень товаров'!$A$2:$I9525,3,0),"")</f>
        <v>Прочее</v>
      </c>
      <c r="D7425" s="22" t="s">
        <v>46</v>
      </c>
      <c r="E7425" s="58"/>
      <c r="F7425" s="58"/>
      <c r="G7425" s="24">
        <v>1</v>
      </c>
      <c r="H7425" s="24"/>
      <c r="I7425" s="25"/>
      <c r="J7425" s="25"/>
      <c r="K7425" s="19"/>
      <c r="L7425" s="20"/>
    </row>
    <row r="7426" spans="1:12" ht="12.75" outlineLevel="1">
      <c r="A7426" s="11"/>
      <c r="B7426" s="12" t="str">
        <f>IFERROR(VLOOKUP(D7426,'[1]Перечень товаров'!$A$2:$I9525,2,0),"")</f>
        <v/>
      </c>
      <c r="C7426" s="12" t="str">
        <f>IFERROR(VLOOKUP(D7426,'[1]Перечень товаров'!$A$2:$I9525,3,0),"")</f>
        <v/>
      </c>
      <c r="D7426" s="27" t="s">
        <v>1827</v>
      </c>
      <c r="E7426" s="99">
        <v>46072</v>
      </c>
      <c r="F7426" s="99"/>
      <c r="G7426" s="100"/>
      <c r="H7426" s="100"/>
      <c r="I7426" s="101"/>
      <c r="J7426" s="101"/>
      <c r="K7426" s="19"/>
      <c r="L7426" s="20"/>
    </row>
    <row r="7427" spans="1:12" ht="15" outlineLevel="2">
      <c r="A7427" s="109"/>
      <c r="B7427" s="12" t="str">
        <f>IFERROR(VLOOKUP(D7427,'[1]Перечень товаров'!$A$2:$I9525,2,0),"")</f>
        <v/>
      </c>
      <c r="C7427" s="12" t="str">
        <f>IFERROR(VLOOKUP(D7427,'[1]Перечень товаров'!$A$2:$I9525,3,0),"")</f>
        <v/>
      </c>
      <c r="D7427" s="110" t="s">
        <v>27</v>
      </c>
      <c r="E7427" s="45"/>
      <c r="F7427" s="45"/>
      <c r="G7427" s="111"/>
      <c r="H7427" s="111"/>
      <c r="I7427" s="112"/>
      <c r="J7427" s="112"/>
      <c r="K7427" s="19"/>
      <c r="L7427" s="20"/>
    </row>
    <row r="7428" spans="1:12" outlineLevel="2">
      <c r="A7428" s="21"/>
      <c r="B7428" s="12" t="str">
        <f>IFERROR(VLOOKUP(D7428,'[1]Перечень товаров'!$A$2:$I9525,2,0),"")</f>
        <v>т1</v>
      </c>
      <c r="C7428" s="12" t="str">
        <f>IFERROR(VLOOKUP(D7428,'[1]Перечень товаров'!$A$2:$I9525,3,0),"")</f>
        <v xml:space="preserve">Техника </v>
      </c>
      <c r="D7428" s="22" t="s">
        <v>28</v>
      </c>
      <c r="E7428" s="58"/>
      <c r="F7428" s="58"/>
      <c r="G7428" s="48">
        <v>1</v>
      </c>
      <c r="H7428" s="48"/>
      <c r="I7428" s="49"/>
      <c r="J7428" s="49"/>
      <c r="K7428" s="19"/>
      <c r="L7428" s="20"/>
    </row>
    <row r="7429" spans="1:12" outlineLevel="2">
      <c r="A7429" s="143"/>
      <c r="B7429" s="12" t="str">
        <f>IFERROR(VLOOKUP(D7429,'[1]Перечень товаров'!$A$2:$I9525,2,0),"")</f>
        <v>т9</v>
      </c>
      <c r="C7429" s="12" t="str">
        <f>IFERROR(VLOOKUP(D7429,'[1]Перечень товаров'!$A$2:$I9525,3,0),"")</f>
        <v>Техника</v>
      </c>
      <c r="D7429" s="143" t="s">
        <v>36</v>
      </c>
      <c r="E7429" s="58"/>
      <c r="F7429" s="58"/>
      <c r="G7429" s="48">
        <v>1</v>
      </c>
      <c r="H7429" s="48"/>
      <c r="I7429" s="49"/>
      <c r="J7429" s="49"/>
      <c r="K7429" s="19"/>
      <c r="L7429" s="20"/>
    </row>
    <row r="7430" spans="1:12" outlineLevel="2">
      <c r="A7430" s="35"/>
      <c r="B7430" s="12" t="str">
        <f>IFERROR(VLOOKUP(D7430,'[1]Перечень товаров'!$A$2:$I9525,2,0),"")</f>
        <v>т2</v>
      </c>
      <c r="C7430" s="12" t="str">
        <f>IFERROR(VLOOKUP(D7430,'[1]Перечень товаров'!$A$2:$I9525,3,0),"")</f>
        <v xml:space="preserve">Техника </v>
      </c>
      <c r="D7430" s="35" t="s">
        <v>29</v>
      </c>
      <c r="E7430" s="58"/>
      <c r="F7430" s="58"/>
      <c r="G7430" s="48">
        <v>1</v>
      </c>
      <c r="H7430" s="48"/>
      <c r="I7430" s="49"/>
      <c r="J7430" s="49"/>
      <c r="K7430" s="19"/>
      <c r="L7430" s="20"/>
    </row>
    <row r="7431" spans="1:12" outlineLevel="2">
      <c r="A7431" s="35"/>
      <c r="B7431" s="12" t="str">
        <f>IFERROR(VLOOKUP(D7431,'[1]Перечень товаров'!$A$2:$I9525,2,0),"")</f>
        <v>т3</v>
      </c>
      <c r="C7431" s="12" t="str">
        <f>IFERROR(VLOOKUP(D7431,'[1]Перечень товаров'!$A$2:$I9525,3,0),"")</f>
        <v xml:space="preserve">Техника </v>
      </c>
      <c r="D7431" s="35" t="s">
        <v>30</v>
      </c>
      <c r="E7431" s="58"/>
      <c r="F7431" s="58"/>
      <c r="G7431" s="48">
        <v>1</v>
      </c>
      <c r="H7431" s="48"/>
      <c r="I7431" s="49"/>
      <c r="J7431" s="49"/>
      <c r="K7431" s="19"/>
      <c r="L7431" s="20"/>
    </row>
    <row r="7432" spans="1:12" outlineLevel="2">
      <c r="A7432" s="35"/>
      <c r="B7432" s="12" t="str">
        <f>IFERROR(VLOOKUP(D7432,'[1]Перечень товаров'!$A$2:$I9525,2,0),"")</f>
        <v>т4</v>
      </c>
      <c r="C7432" s="12" t="str">
        <f>IFERROR(VLOOKUP(D7432,'[1]Перечень товаров'!$A$2:$I9525,3,0),"")</f>
        <v xml:space="preserve">Техника </v>
      </c>
      <c r="D7432" s="35" t="s">
        <v>31</v>
      </c>
      <c r="E7432" s="58"/>
      <c r="F7432" s="58"/>
      <c r="G7432" s="48">
        <v>1</v>
      </c>
      <c r="H7432" s="48"/>
      <c r="I7432" s="49"/>
      <c r="J7432" s="49"/>
      <c r="K7432" s="19"/>
      <c r="L7432" s="20"/>
    </row>
    <row r="7433" spans="1:12" outlineLevel="2">
      <c r="A7433" s="21"/>
      <c r="B7433" s="12" t="str">
        <f>IFERROR(VLOOKUP(D7433,'[1]Перечень товаров'!$A$2:$I9525,2,0),"")</f>
        <v>тм65</v>
      </c>
      <c r="C7433" s="12" t="str">
        <f>IFERROR(VLOOKUP(D7433,'[1]Перечень товаров'!$A$2:$I9525,3,0),"")</f>
        <v>Техника муз</v>
      </c>
      <c r="D7433" s="22" t="s">
        <v>380</v>
      </c>
      <c r="E7433" s="58"/>
      <c r="F7433" s="58"/>
      <c r="G7433" s="48">
        <v>1</v>
      </c>
      <c r="H7433" s="48"/>
      <c r="I7433" s="49"/>
      <c r="J7433" s="49"/>
      <c r="K7433" s="19"/>
      <c r="L7433" s="20"/>
    </row>
    <row r="7434" spans="1:12" outlineLevel="2">
      <c r="A7434" s="21"/>
      <c r="B7434" s="12" t="str">
        <f>IFERROR(VLOOKUP(D7434,'[1]Перечень товаров'!$A$2:$I9525,2,0),"")</f>
        <v>т12</v>
      </c>
      <c r="C7434" s="12" t="str">
        <f>IFERROR(VLOOKUP(D7434,'[1]Перечень товаров'!$A$2:$I9525,3,0),"")</f>
        <v>Техника</v>
      </c>
      <c r="D7434" s="22" t="s">
        <v>49</v>
      </c>
      <c r="E7434" s="58"/>
      <c r="F7434" s="58"/>
      <c r="G7434" s="48">
        <v>1</v>
      </c>
      <c r="H7434" s="48"/>
      <c r="I7434" s="49"/>
      <c r="J7434" s="49"/>
      <c r="K7434" s="19"/>
      <c r="L7434" s="20"/>
    </row>
    <row r="7435" spans="1:12" outlineLevel="2">
      <c r="A7435" s="35"/>
      <c r="B7435" s="12" t="str">
        <f>IFERROR(VLOOKUP(D7435,'[1]Перечень товаров'!$A$2:$I9525,2,0),"")</f>
        <v>т6</v>
      </c>
      <c r="C7435" s="12" t="str">
        <f>IFERROR(VLOOKUP(D7435,'[1]Перечень товаров'!$A$2:$I9525,3,0),"")</f>
        <v xml:space="preserve">Техника </v>
      </c>
      <c r="D7435" s="35" t="s">
        <v>33</v>
      </c>
      <c r="E7435" s="58"/>
      <c r="F7435" s="58"/>
      <c r="G7435" s="48">
        <v>1</v>
      </c>
      <c r="H7435" s="48"/>
      <c r="I7435" s="49"/>
      <c r="J7435" s="49"/>
      <c r="K7435" s="19"/>
      <c r="L7435" s="20"/>
    </row>
    <row r="7436" spans="1:12" outlineLevel="2">
      <c r="A7436" s="21"/>
      <c r="B7436" s="12" t="str">
        <f>IFERROR(VLOOKUP(D7436,'[1]Перечень товаров'!$A$2:$I9525,2,0),"")</f>
        <v>т7</v>
      </c>
      <c r="C7436" s="12" t="str">
        <f>IFERROR(VLOOKUP(D7436,'[1]Перечень товаров'!$A$2:$I9525,3,0),"")</f>
        <v xml:space="preserve">Техника </v>
      </c>
      <c r="D7436" s="22" t="s">
        <v>34</v>
      </c>
      <c r="E7436" s="58"/>
      <c r="F7436" s="58"/>
      <c r="G7436" s="48">
        <v>3</v>
      </c>
      <c r="H7436" s="48"/>
      <c r="I7436" s="49"/>
      <c r="J7436" s="49"/>
      <c r="K7436" s="19"/>
      <c r="L7436" s="20"/>
    </row>
    <row r="7437" spans="1:12" outlineLevel="2">
      <c r="A7437" s="28"/>
      <c r="B7437" s="12" t="str">
        <f>IFERROR(VLOOKUP(D7437,'[1]Перечень товаров'!$A$2:$I9525,2,0),"")</f>
        <v>т161</v>
      </c>
      <c r="C7437" s="12" t="str">
        <f>IFERROR(VLOOKUP(D7437,'[1]Перечень товаров'!$A$2:$I9525,3,0),"")</f>
        <v xml:space="preserve">Техника </v>
      </c>
      <c r="D7437" s="29" t="s">
        <v>381</v>
      </c>
      <c r="E7437" s="30"/>
      <c r="F7437" s="30"/>
      <c r="G7437" s="59">
        <v>1</v>
      </c>
      <c r="H7437" s="59"/>
      <c r="I7437" s="60"/>
      <c r="J7437" s="60"/>
      <c r="K7437" s="19"/>
      <c r="L7437" s="20"/>
    </row>
    <row r="7438" spans="1:12" outlineLevel="2">
      <c r="A7438" s="113"/>
      <c r="B7438" s="12" t="str">
        <f>IFERROR(VLOOKUP(D7438,'[1]Перечень товаров'!$A$2:$I9525,2,0),"")</f>
        <v/>
      </c>
      <c r="C7438" s="12" t="str">
        <f>IFERROR(VLOOKUP(D7438,'[1]Перечень товаров'!$A$2:$I9525,3,0),"")</f>
        <v/>
      </c>
      <c r="D7438" s="114" t="s">
        <v>19</v>
      </c>
      <c r="E7438" s="115"/>
      <c r="F7438" s="115"/>
      <c r="G7438" s="59"/>
      <c r="H7438" s="59"/>
      <c r="I7438" s="60"/>
      <c r="J7438" s="60"/>
      <c r="K7438" s="19"/>
      <c r="L7438" s="20"/>
    </row>
    <row r="7439" spans="1:12" outlineLevel="2">
      <c r="A7439" s="34"/>
      <c r="B7439" s="12" t="str">
        <f>IFERROR(VLOOKUP(D7439,'[1]Перечень товаров'!$A$2:$I9525,2,0),"")</f>
        <v>м62</v>
      </c>
      <c r="C7439" s="12" t="str">
        <f>IFERROR(VLOOKUP(D7439,'[1]Перечень товаров'!$A$2:$I9525,3,0),"")</f>
        <v>Мебель</v>
      </c>
      <c r="D7439" s="35" t="s">
        <v>398</v>
      </c>
      <c r="E7439" s="88"/>
      <c r="F7439" s="88"/>
      <c r="G7439" s="59">
        <v>1</v>
      </c>
      <c r="H7439" s="59"/>
      <c r="I7439" s="60"/>
      <c r="J7439" s="60"/>
      <c r="K7439" s="19"/>
      <c r="L7439" s="20"/>
    </row>
    <row r="7440" spans="1:12" outlineLevel="2">
      <c r="A7440" s="34"/>
      <c r="B7440" s="12" t="str">
        <f>IFERROR(VLOOKUP(D7440,'[1]Перечень товаров'!$A$2:$I9525,2,0),"")</f>
        <v>м61</v>
      </c>
      <c r="C7440" s="12" t="str">
        <f>IFERROR(VLOOKUP(D7440,'[1]Перечень товаров'!$A$2:$I9525,3,0),"")</f>
        <v>Мебель</v>
      </c>
      <c r="D7440" s="35" t="s">
        <v>383</v>
      </c>
      <c r="E7440" s="88"/>
      <c r="F7440" s="88"/>
      <c r="G7440" s="59">
        <v>1</v>
      </c>
      <c r="H7440" s="59"/>
      <c r="I7440" s="60"/>
      <c r="J7440" s="60"/>
      <c r="K7440" s="19"/>
      <c r="L7440" s="20"/>
    </row>
    <row r="7441" spans="1:12" outlineLevel="2">
      <c r="A7441" s="34"/>
      <c r="B7441" s="12" t="str">
        <f>IFERROR(VLOOKUP(D7441,'[1]Перечень товаров'!$A$2:$I9525,2,0),"")</f>
        <v>м179</v>
      </c>
      <c r="C7441" s="12" t="str">
        <f>IFERROR(VLOOKUP(D7441,'[1]Перечень товаров'!$A$2:$I9525,3,0),"")</f>
        <v>Мебель</v>
      </c>
      <c r="D7441" s="35" t="s">
        <v>579</v>
      </c>
      <c r="E7441" s="88"/>
      <c r="F7441" s="88"/>
      <c r="G7441" s="59">
        <v>10</v>
      </c>
      <c r="H7441" s="59"/>
      <c r="I7441" s="60"/>
      <c r="J7441" s="60"/>
      <c r="K7441" s="19"/>
      <c r="L7441" s="20"/>
    </row>
    <row r="7442" spans="1:12" outlineLevel="2">
      <c r="A7442" s="34"/>
      <c r="B7442" s="12" t="str">
        <f>IFERROR(VLOOKUP(D7442,'[1]Перечень товаров'!$A$2:$I9525,2,0),"")</f>
        <v>м61</v>
      </c>
      <c r="C7442" s="12" t="str">
        <f>IFERROR(VLOOKUP(D7442,'[1]Перечень товаров'!$A$2:$I9525,3,0),"")</f>
        <v>Мебель</v>
      </c>
      <c r="D7442" s="35" t="s">
        <v>384</v>
      </c>
      <c r="E7442" s="88"/>
      <c r="F7442" s="88"/>
      <c r="G7442" s="59">
        <v>20</v>
      </c>
      <c r="H7442" s="59"/>
      <c r="I7442" s="60"/>
      <c r="J7442" s="60"/>
      <c r="K7442" s="19"/>
      <c r="L7442" s="20"/>
    </row>
    <row r="7443" spans="1:12" outlineLevel="2">
      <c r="A7443" s="21"/>
      <c r="B7443" s="12" t="str">
        <f>IFERROR(VLOOKUP(D7443,'[1]Перечень товаров'!$A$2:$I9525,2,0),"")</f>
        <v>м13</v>
      </c>
      <c r="C7443" s="12" t="str">
        <f>IFERROR(VLOOKUP(D7443,'[1]Перечень товаров'!$A$2:$I9525,3,0),"")</f>
        <v>Мебель</v>
      </c>
      <c r="D7443" s="22" t="s">
        <v>42</v>
      </c>
      <c r="E7443" s="58"/>
      <c r="F7443" s="58"/>
      <c r="G7443" s="24">
        <v>1</v>
      </c>
      <c r="H7443" s="24"/>
      <c r="I7443" s="25"/>
      <c r="J7443" s="25"/>
      <c r="K7443" s="19"/>
      <c r="L7443" s="20"/>
    </row>
    <row r="7444" spans="1:12" outlineLevel="2">
      <c r="A7444" s="21"/>
      <c r="B7444" s="12" t="str">
        <f>IFERROR(VLOOKUP(D7444,'[1]Перечень товаров'!$A$2:$I9525,2,0),"")</f>
        <v>м14</v>
      </c>
      <c r="C7444" s="12" t="str">
        <f>IFERROR(VLOOKUP(D7444,'[1]Перечень товаров'!$A$2:$I9525,3,0),"")</f>
        <v>Мебель</v>
      </c>
      <c r="D7444" s="22" t="s">
        <v>43</v>
      </c>
      <c r="E7444" s="58"/>
      <c r="F7444" s="58"/>
      <c r="G7444" s="24">
        <v>1</v>
      </c>
      <c r="H7444" s="24"/>
      <c r="I7444" s="25"/>
      <c r="J7444" s="25"/>
      <c r="K7444" s="19"/>
      <c r="L7444" s="20"/>
    </row>
    <row r="7445" spans="1:12" ht="31.5" outlineLevel="2">
      <c r="A7445" s="155"/>
      <c r="B7445" s="12" t="str">
        <f>IFERROR(VLOOKUP(D7445,'[1]Перечень товаров'!$A$2:$I9525,2,0),"")</f>
        <v>м21</v>
      </c>
      <c r="C7445" s="12" t="str">
        <f>IFERROR(VLOOKUP(D7445,'[1]Перечень товаров'!$A$2:$I9525,3,0),"")</f>
        <v>Мебель</v>
      </c>
      <c r="D7445" s="156" t="s">
        <v>58</v>
      </c>
      <c r="E7445" s="58"/>
      <c r="F7445" s="58"/>
      <c r="G7445" s="24">
        <v>1</v>
      </c>
      <c r="H7445" s="24"/>
      <c r="I7445" s="25"/>
      <c r="J7445" s="25"/>
      <c r="K7445" s="19"/>
      <c r="L7445" s="20"/>
    </row>
    <row r="7446" spans="1:12" ht="15" outlineLevel="2">
      <c r="A7446" s="116"/>
      <c r="B7446" s="12" t="str">
        <f>IFERROR(VLOOKUP(D7446,'[1]Перечень товаров'!$A$2:$I9525,2,0),"")</f>
        <v/>
      </c>
      <c r="C7446" s="12" t="str">
        <f>IFERROR(VLOOKUP(D7446,'[1]Перечень товаров'!$A$2:$I9525,3,0),"")</f>
        <v/>
      </c>
      <c r="D7446" s="117" t="s">
        <v>391</v>
      </c>
      <c r="E7446" s="118"/>
      <c r="F7446" s="118"/>
      <c r="G7446" s="119"/>
      <c r="H7446" s="119"/>
      <c r="I7446" s="120"/>
      <c r="J7446" s="120"/>
      <c r="K7446" s="19"/>
      <c r="L7446" s="20"/>
    </row>
    <row r="7447" spans="1:12" ht="15" outlineLevel="2">
      <c r="A7447" s="274"/>
      <c r="B7447" s="12" t="str">
        <f>IFERROR(VLOOKUP(D7447,'[1]Перечень товаров'!$A$2:$I9525,2,0),"")</f>
        <v/>
      </c>
      <c r="C7447" s="12" t="str">
        <f>IFERROR(VLOOKUP(D7447,'[1]Перечень товаров'!$A$2:$I9525,3,0),"")</f>
        <v/>
      </c>
      <c r="D7447" s="275" t="s">
        <v>1828</v>
      </c>
      <c r="E7447" s="118"/>
      <c r="F7447" s="118"/>
      <c r="G7447" s="119"/>
      <c r="H7447" s="119"/>
      <c r="I7447" s="120"/>
      <c r="J7447" s="120"/>
      <c r="K7447" s="19"/>
      <c r="L7447" s="20"/>
    </row>
    <row r="7448" spans="1:12" outlineLevel="2">
      <c r="A7448" s="28"/>
      <c r="B7448" s="12" t="str">
        <f>IFERROR(VLOOKUP(D7448,'[1]Перечень товаров'!$A$2:$I9525,2,0),"")</f>
        <v>тм87</v>
      </c>
      <c r="C7448" s="12" t="str">
        <f>IFERROR(VLOOKUP(D7448,'[1]Перечень товаров'!$A$2:$I9525,3,0),"")</f>
        <v>Техника муз</v>
      </c>
      <c r="D7448" s="29" t="s">
        <v>1829</v>
      </c>
      <c r="E7448" s="30"/>
      <c r="F7448" s="30"/>
      <c r="G7448" s="31">
        <v>2</v>
      </c>
      <c r="H7448" s="31"/>
      <c r="I7448" s="32"/>
      <c r="J7448" s="32"/>
      <c r="K7448" s="19"/>
      <c r="L7448" s="20"/>
    </row>
    <row r="7449" spans="1:12" outlineLevel="2">
      <c r="A7449" s="28"/>
      <c r="B7449" s="12" t="str">
        <f>IFERROR(VLOOKUP(D7449,'[1]Перечень товаров'!$A$2:$I9525,2,0),"")</f>
        <v>тм86</v>
      </c>
      <c r="C7449" s="12" t="str">
        <f>IFERROR(VLOOKUP(D7449,'[1]Перечень товаров'!$A$2:$I9525,3,0),"")</f>
        <v>Техника муз</v>
      </c>
      <c r="D7449" s="29" t="s">
        <v>1830</v>
      </c>
      <c r="E7449" s="30"/>
      <c r="F7449" s="30"/>
      <c r="G7449" s="31">
        <v>3</v>
      </c>
      <c r="H7449" s="31"/>
      <c r="I7449" s="32"/>
      <c r="J7449" s="32"/>
      <c r="K7449" s="19"/>
      <c r="L7449" s="20"/>
    </row>
    <row r="7450" spans="1:12" outlineLevel="2">
      <c r="A7450" s="28"/>
      <c r="B7450" s="12" t="str">
        <f>IFERROR(VLOOKUP(D7450,'[1]Перечень товаров'!$A$2:$I9525,2,0),"")</f>
        <v>тм85</v>
      </c>
      <c r="C7450" s="12" t="str">
        <f>IFERROR(VLOOKUP(D7450,'[1]Перечень товаров'!$A$2:$I9525,3,0),"")</f>
        <v>Техника муз</v>
      </c>
      <c r="D7450" s="29" t="s">
        <v>1831</v>
      </c>
      <c r="E7450" s="30"/>
      <c r="F7450" s="30"/>
      <c r="G7450" s="31">
        <v>4</v>
      </c>
      <c r="H7450" s="31"/>
      <c r="I7450" s="32"/>
      <c r="J7450" s="32"/>
      <c r="K7450" s="19"/>
      <c r="L7450" s="20"/>
    </row>
    <row r="7451" spans="1:12" outlineLevel="2">
      <c r="A7451" s="28"/>
      <c r="B7451" s="12" t="str">
        <f>IFERROR(VLOOKUP(D7451,'[1]Перечень товаров'!$A$2:$I9525,2,0),"")</f>
        <v>тм84</v>
      </c>
      <c r="C7451" s="12" t="str">
        <f>IFERROR(VLOOKUP(D7451,'[1]Перечень товаров'!$A$2:$I9525,3,0),"")</f>
        <v>Техника муз</v>
      </c>
      <c r="D7451" s="29" t="s">
        <v>1832</v>
      </c>
      <c r="E7451" s="30"/>
      <c r="F7451" s="30"/>
      <c r="G7451" s="31">
        <v>4</v>
      </c>
      <c r="H7451" s="31"/>
      <c r="I7451" s="32"/>
      <c r="J7451" s="32"/>
      <c r="K7451" s="19"/>
      <c r="L7451" s="20"/>
    </row>
    <row r="7452" spans="1:12" outlineLevel="2">
      <c r="A7452" s="28"/>
      <c r="B7452" s="12" t="str">
        <f>IFERROR(VLOOKUP(D7452,'[1]Перечень товаров'!$A$2:$I9525,2,0),"")</f>
        <v>тм83</v>
      </c>
      <c r="C7452" s="12" t="str">
        <f>IFERROR(VLOOKUP(D7452,'[1]Перечень товаров'!$A$2:$I9525,3,0),"")</f>
        <v>Техника муз</v>
      </c>
      <c r="D7452" s="29" t="s">
        <v>1833</v>
      </c>
      <c r="E7452" s="30"/>
      <c r="F7452" s="30"/>
      <c r="G7452" s="31">
        <v>5</v>
      </c>
      <c r="H7452" s="31"/>
      <c r="I7452" s="32"/>
      <c r="J7452" s="32"/>
      <c r="K7452" s="19"/>
      <c r="L7452" s="20"/>
    </row>
    <row r="7453" spans="1:12" outlineLevel="2">
      <c r="A7453" s="28"/>
      <c r="B7453" s="12" t="str">
        <f>IFERROR(VLOOKUP(D7453,'[1]Перечень товаров'!$A$2:$I9525,2,0),"")</f>
        <v>тм82</v>
      </c>
      <c r="C7453" s="12" t="str">
        <f>IFERROR(VLOOKUP(D7453,'[1]Перечень товаров'!$A$2:$I9525,3,0),"")</f>
        <v>Техника муз</v>
      </c>
      <c r="D7453" s="29" t="s">
        <v>1834</v>
      </c>
      <c r="E7453" s="30"/>
      <c r="F7453" s="30"/>
      <c r="G7453" s="31">
        <v>2</v>
      </c>
      <c r="H7453" s="31"/>
      <c r="I7453" s="32"/>
      <c r="J7453" s="32"/>
      <c r="K7453" s="19"/>
      <c r="L7453" s="20"/>
    </row>
    <row r="7454" spans="1:12" ht="31.5" outlineLevel="2">
      <c r="A7454" s="28"/>
      <c r="B7454" s="12" t="str">
        <f>IFERROR(VLOOKUP(D7454,'[1]Перечень товаров'!$A$2:$I9525,2,0),"")</f>
        <v>тм81</v>
      </c>
      <c r="C7454" s="12" t="str">
        <f>IFERROR(VLOOKUP(D7454,'[1]Перечень товаров'!$A$2:$I9525,3,0),"")</f>
        <v>Техника муз</v>
      </c>
      <c r="D7454" s="29" t="s">
        <v>1835</v>
      </c>
      <c r="E7454" s="30"/>
      <c r="F7454" s="30"/>
      <c r="G7454" s="31">
        <v>18</v>
      </c>
      <c r="H7454" s="31"/>
      <c r="I7454" s="32"/>
      <c r="J7454" s="32"/>
      <c r="K7454" s="19"/>
      <c r="L7454" s="20"/>
    </row>
    <row r="7455" spans="1:12" outlineLevel="2">
      <c r="A7455" s="28"/>
      <c r="B7455" s="12" t="str">
        <f>IFERROR(VLOOKUP(D7455,'[1]Перечень товаров'!$A$2:$I9525,2,0),"")</f>
        <v>тм54</v>
      </c>
      <c r="C7455" s="12" t="str">
        <f>IFERROR(VLOOKUP(D7455,'[1]Перечень товаров'!$A$2:$I9525,3,0),"")</f>
        <v>Техника муз</v>
      </c>
      <c r="D7455" s="29" t="s">
        <v>310</v>
      </c>
      <c r="E7455" s="30"/>
      <c r="F7455" s="30"/>
      <c r="G7455" s="31">
        <v>30</v>
      </c>
      <c r="H7455" s="31"/>
      <c r="I7455" s="32"/>
      <c r="J7455" s="32"/>
      <c r="K7455" s="19"/>
      <c r="L7455" s="20"/>
    </row>
    <row r="7456" spans="1:12" ht="31.5" outlineLevel="2">
      <c r="A7456" s="28"/>
      <c r="B7456" s="12" t="str">
        <f>IFERROR(VLOOKUP(D7456,'[1]Перечень товаров'!$A$2:$I9525,2,0),"")</f>
        <v>тм80</v>
      </c>
      <c r="C7456" s="12" t="str">
        <f>IFERROR(VLOOKUP(D7456,'[1]Перечень товаров'!$A$2:$I9525,3,0),"")</f>
        <v>Техника муз</v>
      </c>
      <c r="D7456" s="29" t="s">
        <v>1836</v>
      </c>
      <c r="E7456" s="30"/>
      <c r="F7456" s="30"/>
      <c r="G7456" s="31">
        <v>5</v>
      </c>
      <c r="H7456" s="31"/>
      <c r="I7456" s="32"/>
      <c r="J7456" s="32"/>
      <c r="K7456" s="19"/>
      <c r="L7456" s="20"/>
    </row>
    <row r="7457" spans="1:12" outlineLevel="2">
      <c r="A7457" s="28"/>
      <c r="B7457" s="12" t="str">
        <f>IFERROR(VLOOKUP(D7457,'[1]Перечень товаров'!$A$2:$I9525,2,0),"")</f>
        <v>пм211</v>
      </c>
      <c r="C7457" s="12" t="str">
        <f>IFERROR(VLOOKUP(D7457,'[1]Перечень товаров'!$A$2:$I9525,3,0),"")</f>
        <v>прочее муз</v>
      </c>
      <c r="D7457" s="29" t="s">
        <v>995</v>
      </c>
      <c r="E7457" s="30"/>
      <c r="F7457" s="30"/>
      <c r="G7457" s="31">
        <v>10</v>
      </c>
      <c r="H7457" s="31"/>
      <c r="I7457" s="32"/>
      <c r="J7457" s="32"/>
      <c r="K7457" s="19"/>
      <c r="L7457" s="20"/>
    </row>
    <row r="7458" spans="1:12" ht="31.5" outlineLevel="2">
      <c r="A7458" s="28"/>
      <c r="B7458" s="12" t="str">
        <f>IFERROR(VLOOKUP(D7458,'[1]Перечень товаров'!$A$2:$I9525,2,0),"")</f>
        <v>тм79</v>
      </c>
      <c r="C7458" s="12" t="str">
        <f>IFERROR(VLOOKUP(D7458,'[1]Перечень товаров'!$A$2:$I9525,3,0),"")</f>
        <v>Техника муз</v>
      </c>
      <c r="D7458" s="29" t="s">
        <v>1837</v>
      </c>
      <c r="E7458" s="30"/>
      <c r="F7458" s="30"/>
      <c r="G7458" s="31">
        <v>18</v>
      </c>
      <c r="H7458" s="31"/>
      <c r="I7458" s="32"/>
      <c r="J7458" s="32"/>
      <c r="K7458" s="19"/>
      <c r="L7458" s="20"/>
    </row>
    <row r="7459" spans="1:12" outlineLevel="2">
      <c r="A7459" s="28"/>
      <c r="B7459" s="12" t="str">
        <f>IFERROR(VLOOKUP(D7459,'[1]Перечень товаров'!$A$2:$I9525,2,0),"")</f>
        <v>тм78</v>
      </c>
      <c r="C7459" s="12" t="str">
        <f>IFERROR(VLOOKUP(D7459,'[1]Перечень товаров'!$A$2:$I9525,3,0),"")</f>
        <v>Техника муз</v>
      </c>
      <c r="D7459" s="29" t="s">
        <v>1838</v>
      </c>
      <c r="E7459" s="30"/>
      <c r="F7459" s="30"/>
      <c r="G7459" s="31">
        <v>1</v>
      </c>
      <c r="H7459" s="31"/>
      <c r="I7459" s="32"/>
      <c r="J7459" s="32"/>
      <c r="K7459" s="19"/>
      <c r="L7459" s="20"/>
    </row>
    <row r="7460" spans="1:12" outlineLevel="2">
      <c r="A7460" s="54"/>
      <c r="B7460" s="12" t="str">
        <f>IFERROR(VLOOKUP(D7460,'[1]Перечень товаров'!$A$2:$I9525,2,0),"")</f>
        <v/>
      </c>
      <c r="C7460" s="12" t="str">
        <f>IFERROR(VLOOKUP(D7460,'[1]Перечень товаров'!$A$2:$I9525,3,0),"")</f>
        <v/>
      </c>
      <c r="D7460" s="55" t="s">
        <v>45</v>
      </c>
      <c r="E7460" s="217"/>
      <c r="F7460" s="217"/>
      <c r="G7460" s="59"/>
      <c r="H7460" s="59"/>
      <c r="I7460" s="60"/>
      <c r="J7460" s="60"/>
      <c r="K7460" s="19"/>
      <c r="L7460" s="20"/>
    </row>
    <row r="7461" spans="1:12" outlineLevel="2">
      <c r="A7461" s="43"/>
      <c r="B7461" s="12" t="str">
        <f>IFERROR(VLOOKUP(D7461,'[1]Перечень товаров'!$A$2:$I9525,2,0),"")</f>
        <v>м7</v>
      </c>
      <c r="C7461" s="12" t="str">
        <f>IFERROR(VLOOKUP(D7461,'[1]Перечень товаров'!$A$2:$I9525,3,0),"")</f>
        <v>Мебель</v>
      </c>
      <c r="D7461" s="44" t="s">
        <v>24</v>
      </c>
      <c r="E7461" s="30"/>
      <c r="F7461" s="30"/>
      <c r="G7461" s="59">
        <v>1</v>
      </c>
      <c r="H7461" s="59"/>
      <c r="I7461" s="60"/>
      <c r="J7461" s="60"/>
      <c r="K7461" s="19"/>
      <c r="L7461" s="20"/>
    </row>
    <row r="7462" spans="1:12" outlineLevel="2">
      <c r="A7462" s="43"/>
      <c r="B7462" s="12" t="str">
        <f>IFERROR(VLOOKUP(D7462,'[1]Перечень товаров'!$A$2:$I9525,2,0),"")</f>
        <v>п1</v>
      </c>
      <c r="C7462" s="12" t="str">
        <f>IFERROR(VLOOKUP(D7462,'[1]Перечень товаров'!$A$2:$I9525,3,0),"")</f>
        <v>Прочее</v>
      </c>
      <c r="D7462" s="44" t="s">
        <v>37</v>
      </c>
      <c r="E7462" s="30"/>
      <c r="F7462" s="30"/>
      <c r="G7462" s="59">
        <v>1</v>
      </c>
      <c r="H7462" s="59"/>
      <c r="I7462" s="60"/>
      <c r="J7462" s="60"/>
      <c r="K7462" s="19"/>
      <c r="L7462" s="20"/>
    </row>
    <row r="7463" spans="1:12" outlineLevel="2">
      <c r="A7463" s="21"/>
      <c r="B7463" s="12" t="str">
        <f>IFERROR(VLOOKUP(D7463,'[1]Перечень товаров'!$A$2:$I9525,2,0),"")</f>
        <v>п2</v>
      </c>
      <c r="C7463" s="12" t="str">
        <f>IFERROR(VLOOKUP(D7463,'[1]Перечень товаров'!$A$2:$I9525,3,0),"")</f>
        <v>Прочее</v>
      </c>
      <c r="D7463" s="22" t="s">
        <v>46</v>
      </c>
      <c r="E7463" s="58"/>
      <c r="F7463" s="58"/>
      <c r="G7463" s="24">
        <v>1</v>
      </c>
      <c r="H7463" s="24"/>
      <c r="I7463" s="25"/>
      <c r="J7463" s="25"/>
      <c r="K7463" s="19"/>
      <c r="L7463" s="20"/>
    </row>
    <row r="7464" spans="1:12" ht="12.75" outlineLevel="1">
      <c r="A7464" s="11"/>
      <c r="B7464" s="12" t="str">
        <f>IFERROR(VLOOKUP(D7464,'[1]Перечень товаров'!$A$2:$I9525,2,0),"")</f>
        <v/>
      </c>
      <c r="C7464" s="12" t="str">
        <f>IFERROR(VLOOKUP(D7464,'[1]Перечень товаров'!$A$2:$I9525,3,0),"")</f>
        <v/>
      </c>
      <c r="D7464" s="27" t="s">
        <v>1827</v>
      </c>
      <c r="E7464" s="14" t="s">
        <v>170</v>
      </c>
      <c r="F7464" s="14"/>
      <c r="G7464" s="17"/>
      <c r="H7464" s="17"/>
      <c r="I7464" s="57"/>
      <c r="J7464" s="57"/>
      <c r="K7464" s="19"/>
      <c r="L7464" s="20"/>
    </row>
    <row r="7465" spans="1:12" ht="15" outlineLevel="2">
      <c r="A7465" s="109"/>
      <c r="B7465" s="12" t="str">
        <f>IFERROR(VLOOKUP(D7465,'[1]Перечень товаров'!$A$2:$I9525,2,0),"")</f>
        <v/>
      </c>
      <c r="C7465" s="12" t="str">
        <f>IFERROR(VLOOKUP(D7465,'[1]Перечень товаров'!$A$2:$I9525,3,0),"")</f>
        <v/>
      </c>
      <c r="D7465" s="110" t="s">
        <v>27</v>
      </c>
      <c r="E7465" s="45"/>
      <c r="F7465" s="45"/>
      <c r="G7465" s="111"/>
      <c r="H7465" s="111"/>
      <c r="I7465" s="112"/>
      <c r="J7465" s="112"/>
      <c r="K7465" s="19"/>
      <c r="L7465" s="20"/>
    </row>
    <row r="7466" spans="1:12" outlineLevel="2">
      <c r="A7466" s="21"/>
      <c r="B7466" s="12" t="str">
        <f>IFERROR(VLOOKUP(D7466,'[1]Перечень товаров'!$A$2:$I9525,2,0),"")</f>
        <v>т1</v>
      </c>
      <c r="C7466" s="12" t="str">
        <f>IFERROR(VLOOKUP(D7466,'[1]Перечень товаров'!$A$2:$I9525,3,0),"")</f>
        <v xml:space="preserve">Техника </v>
      </c>
      <c r="D7466" s="22" t="s">
        <v>28</v>
      </c>
      <c r="E7466" s="58"/>
      <c r="F7466" s="58"/>
      <c r="G7466" s="48">
        <v>1</v>
      </c>
      <c r="H7466" s="48"/>
      <c r="I7466" s="49"/>
      <c r="J7466" s="49"/>
      <c r="K7466" s="19"/>
      <c r="L7466" s="20"/>
    </row>
    <row r="7467" spans="1:12" outlineLevel="2">
      <c r="A7467" s="143"/>
      <c r="B7467" s="12" t="str">
        <f>IFERROR(VLOOKUP(D7467,'[1]Перечень товаров'!$A$2:$I9525,2,0),"")</f>
        <v>т9</v>
      </c>
      <c r="C7467" s="12" t="str">
        <f>IFERROR(VLOOKUP(D7467,'[1]Перечень товаров'!$A$2:$I9525,3,0),"")</f>
        <v>Техника</v>
      </c>
      <c r="D7467" s="143" t="s">
        <v>36</v>
      </c>
      <c r="E7467" s="58"/>
      <c r="F7467" s="58"/>
      <c r="G7467" s="48">
        <v>1</v>
      </c>
      <c r="H7467" s="48"/>
      <c r="I7467" s="49"/>
      <c r="J7467" s="49"/>
      <c r="K7467" s="19"/>
      <c r="L7467" s="20"/>
    </row>
    <row r="7468" spans="1:12" outlineLevel="2">
      <c r="A7468" s="35"/>
      <c r="B7468" s="12" t="str">
        <f>IFERROR(VLOOKUP(D7468,'[1]Перечень товаров'!$A$2:$I9525,2,0),"")</f>
        <v>т2</v>
      </c>
      <c r="C7468" s="12" t="str">
        <f>IFERROR(VLOOKUP(D7468,'[1]Перечень товаров'!$A$2:$I9525,3,0),"")</f>
        <v xml:space="preserve">Техника </v>
      </c>
      <c r="D7468" s="35" t="s">
        <v>29</v>
      </c>
      <c r="E7468" s="58"/>
      <c r="F7468" s="58"/>
      <c r="G7468" s="48">
        <v>1</v>
      </c>
      <c r="H7468" s="48"/>
      <c r="I7468" s="49"/>
      <c r="J7468" s="49"/>
      <c r="K7468" s="19"/>
      <c r="L7468" s="20"/>
    </row>
    <row r="7469" spans="1:12" outlineLevel="2">
      <c r="A7469" s="35"/>
      <c r="B7469" s="12" t="str">
        <f>IFERROR(VLOOKUP(D7469,'[1]Перечень товаров'!$A$2:$I9525,2,0),"")</f>
        <v>т3</v>
      </c>
      <c r="C7469" s="12" t="str">
        <f>IFERROR(VLOOKUP(D7469,'[1]Перечень товаров'!$A$2:$I9525,3,0),"")</f>
        <v xml:space="preserve">Техника </v>
      </c>
      <c r="D7469" s="35" t="s">
        <v>30</v>
      </c>
      <c r="E7469" s="58"/>
      <c r="F7469" s="58"/>
      <c r="G7469" s="48">
        <v>1</v>
      </c>
      <c r="H7469" s="48"/>
      <c r="I7469" s="49"/>
      <c r="J7469" s="49"/>
      <c r="K7469" s="19"/>
      <c r="L7469" s="20"/>
    </row>
    <row r="7470" spans="1:12" outlineLevel="2">
      <c r="A7470" s="35"/>
      <c r="B7470" s="12" t="str">
        <f>IFERROR(VLOOKUP(D7470,'[1]Перечень товаров'!$A$2:$I9525,2,0),"")</f>
        <v>т4</v>
      </c>
      <c r="C7470" s="12" t="str">
        <f>IFERROR(VLOOKUP(D7470,'[1]Перечень товаров'!$A$2:$I9525,3,0),"")</f>
        <v xml:space="preserve">Техника </v>
      </c>
      <c r="D7470" s="35" t="s">
        <v>31</v>
      </c>
      <c r="E7470" s="58"/>
      <c r="F7470" s="58"/>
      <c r="G7470" s="48">
        <v>1</v>
      </c>
      <c r="H7470" s="48"/>
      <c r="I7470" s="49"/>
      <c r="J7470" s="49"/>
      <c r="K7470" s="19"/>
      <c r="L7470" s="20"/>
    </row>
    <row r="7471" spans="1:12" outlineLevel="2">
      <c r="A7471" s="21"/>
      <c r="B7471" s="12" t="str">
        <f>IFERROR(VLOOKUP(D7471,'[1]Перечень товаров'!$A$2:$I9525,2,0),"")</f>
        <v>тм65</v>
      </c>
      <c r="C7471" s="12" t="str">
        <f>IFERROR(VLOOKUP(D7471,'[1]Перечень товаров'!$A$2:$I9525,3,0),"")</f>
        <v>Техника муз</v>
      </c>
      <c r="D7471" s="22" t="s">
        <v>380</v>
      </c>
      <c r="E7471" s="58"/>
      <c r="F7471" s="58"/>
      <c r="G7471" s="48">
        <v>1</v>
      </c>
      <c r="H7471" s="48"/>
      <c r="I7471" s="49"/>
      <c r="J7471" s="49"/>
      <c r="K7471" s="19"/>
      <c r="L7471" s="20"/>
    </row>
    <row r="7472" spans="1:12" outlineLevel="2">
      <c r="A7472" s="21"/>
      <c r="B7472" s="12" t="str">
        <f>IFERROR(VLOOKUP(D7472,'[1]Перечень товаров'!$A$2:$I9525,2,0),"")</f>
        <v>т12</v>
      </c>
      <c r="C7472" s="12" t="str">
        <f>IFERROR(VLOOKUP(D7472,'[1]Перечень товаров'!$A$2:$I9525,3,0),"")</f>
        <v>Техника</v>
      </c>
      <c r="D7472" s="22" t="s">
        <v>49</v>
      </c>
      <c r="E7472" s="58"/>
      <c r="F7472" s="58"/>
      <c r="G7472" s="48">
        <v>1</v>
      </c>
      <c r="H7472" s="48"/>
      <c r="I7472" s="49"/>
      <c r="J7472" s="49"/>
      <c r="K7472" s="19"/>
      <c r="L7472" s="20"/>
    </row>
    <row r="7473" spans="1:12" outlineLevel="2">
      <c r="A7473" s="35"/>
      <c r="B7473" s="12" t="str">
        <f>IFERROR(VLOOKUP(D7473,'[1]Перечень товаров'!$A$2:$I9525,2,0),"")</f>
        <v>т6</v>
      </c>
      <c r="C7473" s="12" t="str">
        <f>IFERROR(VLOOKUP(D7473,'[1]Перечень товаров'!$A$2:$I9525,3,0),"")</f>
        <v xml:space="preserve">Техника </v>
      </c>
      <c r="D7473" s="35" t="s">
        <v>33</v>
      </c>
      <c r="E7473" s="58"/>
      <c r="F7473" s="58"/>
      <c r="G7473" s="48">
        <v>1</v>
      </c>
      <c r="H7473" s="48"/>
      <c r="I7473" s="49"/>
      <c r="J7473" s="49"/>
      <c r="K7473" s="19"/>
      <c r="L7473" s="20"/>
    </row>
    <row r="7474" spans="1:12" outlineLevel="2">
      <c r="A7474" s="21"/>
      <c r="B7474" s="12" t="str">
        <f>IFERROR(VLOOKUP(D7474,'[1]Перечень товаров'!$A$2:$I9525,2,0),"")</f>
        <v>т7</v>
      </c>
      <c r="C7474" s="12" t="str">
        <f>IFERROR(VLOOKUP(D7474,'[1]Перечень товаров'!$A$2:$I9525,3,0),"")</f>
        <v xml:space="preserve">Техника </v>
      </c>
      <c r="D7474" s="22" t="s">
        <v>34</v>
      </c>
      <c r="E7474" s="58"/>
      <c r="F7474" s="58"/>
      <c r="G7474" s="48">
        <v>3</v>
      </c>
      <c r="H7474" s="48"/>
      <c r="I7474" s="49"/>
      <c r="J7474" s="49"/>
      <c r="K7474" s="19"/>
      <c r="L7474" s="20"/>
    </row>
    <row r="7475" spans="1:12" outlineLevel="2">
      <c r="A7475" s="28"/>
      <c r="B7475" s="12" t="str">
        <f>IFERROR(VLOOKUP(D7475,'[1]Перечень товаров'!$A$2:$I9525,2,0),"")</f>
        <v>т161</v>
      </c>
      <c r="C7475" s="12" t="str">
        <f>IFERROR(VLOOKUP(D7475,'[1]Перечень товаров'!$A$2:$I9525,3,0),"")</f>
        <v xml:space="preserve">Техника </v>
      </c>
      <c r="D7475" s="29" t="s">
        <v>381</v>
      </c>
      <c r="E7475" s="30"/>
      <c r="F7475" s="30"/>
      <c r="G7475" s="59">
        <v>1</v>
      </c>
      <c r="H7475" s="59"/>
      <c r="I7475" s="60"/>
      <c r="J7475" s="60"/>
      <c r="K7475" s="19"/>
      <c r="L7475" s="20"/>
    </row>
    <row r="7476" spans="1:12" outlineLevel="2">
      <c r="A7476" s="113"/>
      <c r="B7476" s="12" t="str">
        <f>IFERROR(VLOOKUP(D7476,'[1]Перечень товаров'!$A$2:$I9525,2,0),"")</f>
        <v/>
      </c>
      <c r="C7476" s="12" t="str">
        <f>IFERROR(VLOOKUP(D7476,'[1]Перечень товаров'!$A$2:$I9525,3,0),"")</f>
        <v/>
      </c>
      <c r="D7476" s="114" t="s">
        <v>19</v>
      </c>
      <c r="E7476" s="115"/>
      <c r="F7476" s="115"/>
      <c r="G7476" s="59"/>
      <c r="H7476" s="59"/>
      <c r="I7476" s="60"/>
      <c r="J7476" s="60"/>
      <c r="K7476" s="19"/>
      <c r="L7476" s="20"/>
    </row>
    <row r="7477" spans="1:12" outlineLevel="2">
      <c r="A7477" s="34"/>
      <c r="B7477" s="12" t="str">
        <f>IFERROR(VLOOKUP(D7477,'[1]Перечень товаров'!$A$2:$I9525,2,0),"")</f>
        <v>м62</v>
      </c>
      <c r="C7477" s="12" t="str">
        <f>IFERROR(VLOOKUP(D7477,'[1]Перечень товаров'!$A$2:$I9525,3,0),"")</f>
        <v>Мебель</v>
      </c>
      <c r="D7477" s="35" t="s">
        <v>398</v>
      </c>
      <c r="E7477" s="88"/>
      <c r="F7477" s="88"/>
      <c r="G7477" s="59">
        <v>1</v>
      </c>
      <c r="H7477" s="59"/>
      <c r="I7477" s="60"/>
      <c r="J7477" s="60"/>
      <c r="K7477" s="19"/>
      <c r="L7477" s="20"/>
    </row>
    <row r="7478" spans="1:12" outlineLevel="2">
      <c r="A7478" s="34"/>
      <c r="B7478" s="12" t="str">
        <f>IFERROR(VLOOKUP(D7478,'[1]Перечень товаров'!$A$2:$I9525,2,0),"")</f>
        <v>м61</v>
      </c>
      <c r="C7478" s="12" t="str">
        <f>IFERROR(VLOOKUP(D7478,'[1]Перечень товаров'!$A$2:$I9525,3,0),"")</f>
        <v>Мебель</v>
      </c>
      <c r="D7478" s="35" t="s">
        <v>383</v>
      </c>
      <c r="E7478" s="88"/>
      <c r="F7478" s="88"/>
      <c r="G7478" s="59">
        <v>1</v>
      </c>
      <c r="H7478" s="59"/>
      <c r="I7478" s="60"/>
      <c r="J7478" s="60"/>
      <c r="K7478" s="19"/>
      <c r="L7478" s="20"/>
    </row>
    <row r="7479" spans="1:12" outlineLevel="2">
      <c r="A7479" s="34"/>
      <c r="B7479" s="12" t="str">
        <f>IFERROR(VLOOKUP(D7479,'[1]Перечень товаров'!$A$2:$I9525,2,0),"")</f>
        <v>м179</v>
      </c>
      <c r="C7479" s="12" t="str">
        <f>IFERROR(VLOOKUP(D7479,'[1]Перечень товаров'!$A$2:$I9525,3,0),"")</f>
        <v>Мебель</v>
      </c>
      <c r="D7479" s="35" t="s">
        <v>579</v>
      </c>
      <c r="E7479" s="88"/>
      <c r="F7479" s="88"/>
      <c r="G7479" s="59">
        <v>10</v>
      </c>
      <c r="H7479" s="59"/>
      <c r="I7479" s="60"/>
      <c r="J7479" s="60"/>
      <c r="K7479" s="19"/>
      <c r="L7479" s="20"/>
    </row>
    <row r="7480" spans="1:12" outlineLevel="2">
      <c r="A7480" s="34"/>
      <c r="B7480" s="12" t="str">
        <f>IFERROR(VLOOKUP(D7480,'[1]Перечень товаров'!$A$2:$I9525,2,0),"")</f>
        <v>м61</v>
      </c>
      <c r="C7480" s="12" t="str">
        <f>IFERROR(VLOOKUP(D7480,'[1]Перечень товаров'!$A$2:$I9525,3,0),"")</f>
        <v>Мебель</v>
      </c>
      <c r="D7480" s="35" t="s">
        <v>384</v>
      </c>
      <c r="E7480" s="88"/>
      <c r="F7480" s="88"/>
      <c r="G7480" s="59">
        <v>20</v>
      </c>
      <c r="H7480" s="59"/>
      <c r="I7480" s="60"/>
      <c r="J7480" s="60"/>
      <c r="K7480" s="19"/>
      <c r="L7480" s="20"/>
    </row>
    <row r="7481" spans="1:12" outlineLevel="2">
      <c r="A7481" s="21"/>
      <c r="B7481" s="12" t="str">
        <f>IFERROR(VLOOKUP(D7481,'[1]Перечень товаров'!$A$2:$I9525,2,0),"")</f>
        <v>м13</v>
      </c>
      <c r="C7481" s="12" t="str">
        <f>IFERROR(VLOOKUP(D7481,'[1]Перечень товаров'!$A$2:$I9525,3,0),"")</f>
        <v>Мебель</v>
      </c>
      <c r="D7481" s="22" t="s">
        <v>42</v>
      </c>
      <c r="E7481" s="58"/>
      <c r="F7481" s="58"/>
      <c r="G7481" s="24">
        <v>1</v>
      </c>
      <c r="H7481" s="24"/>
      <c r="I7481" s="25"/>
      <c r="J7481" s="25"/>
      <c r="K7481" s="19"/>
      <c r="L7481" s="20"/>
    </row>
    <row r="7482" spans="1:12" outlineLevel="2">
      <c r="A7482" s="21"/>
      <c r="B7482" s="12" t="str">
        <f>IFERROR(VLOOKUP(D7482,'[1]Перечень товаров'!$A$2:$I9525,2,0),"")</f>
        <v>м14</v>
      </c>
      <c r="C7482" s="12" t="str">
        <f>IFERROR(VLOOKUP(D7482,'[1]Перечень товаров'!$A$2:$I9525,3,0),"")</f>
        <v>Мебель</v>
      </c>
      <c r="D7482" s="22" t="s">
        <v>43</v>
      </c>
      <c r="E7482" s="58"/>
      <c r="F7482" s="58"/>
      <c r="G7482" s="24">
        <v>1</v>
      </c>
      <c r="H7482" s="24"/>
      <c r="I7482" s="25"/>
      <c r="J7482" s="25"/>
      <c r="K7482" s="19"/>
      <c r="L7482" s="20"/>
    </row>
    <row r="7483" spans="1:12" ht="31.5" outlineLevel="2">
      <c r="A7483" s="155"/>
      <c r="B7483" s="12" t="str">
        <f>IFERROR(VLOOKUP(D7483,'[1]Перечень товаров'!$A$2:$I9525,2,0),"")</f>
        <v>м21</v>
      </c>
      <c r="C7483" s="12" t="str">
        <f>IFERROR(VLOOKUP(D7483,'[1]Перечень товаров'!$A$2:$I9525,3,0),"")</f>
        <v>Мебель</v>
      </c>
      <c r="D7483" s="156" t="s">
        <v>58</v>
      </c>
      <c r="E7483" s="58"/>
      <c r="F7483" s="58"/>
      <c r="G7483" s="24">
        <v>1</v>
      </c>
      <c r="H7483" s="24"/>
      <c r="I7483" s="25"/>
      <c r="J7483" s="25"/>
      <c r="K7483" s="19"/>
      <c r="L7483" s="20"/>
    </row>
    <row r="7484" spans="1:12" ht="15" outlineLevel="2">
      <c r="A7484" s="116"/>
      <c r="B7484" s="12" t="str">
        <f>IFERROR(VLOOKUP(D7484,'[1]Перечень товаров'!$A$2:$I9525,2,0),"")</f>
        <v/>
      </c>
      <c r="C7484" s="12" t="str">
        <f>IFERROR(VLOOKUP(D7484,'[1]Перечень товаров'!$A$2:$I9525,3,0),"")</f>
        <v/>
      </c>
      <c r="D7484" s="117" t="s">
        <v>391</v>
      </c>
      <c r="E7484" s="118"/>
      <c r="F7484" s="118"/>
      <c r="G7484" s="119"/>
      <c r="H7484" s="119"/>
      <c r="I7484" s="120"/>
      <c r="J7484" s="120"/>
      <c r="K7484" s="19"/>
      <c r="L7484" s="20"/>
    </row>
    <row r="7485" spans="1:12" ht="15" outlineLevel="2">
      <c r="A7485" s="274"/>
      <c r="B7485" s="12" t="str">
        <f>IFERROR(VLOOKUP(D7485,'[1]Перечень товаров'!$A$2:$I9525,2,0),"")</f>
        <v/>
      </c>
      <c r="C7485" s="12" t="str">
        <f>IFERROR(VLOOKUP(D7485,'[1]Перечень товаров'!$A$2:$I9525,3,0),"")</f>
        <v/>
      </c>
      <c r="D7485" s="275" t="s">
        <v>1828</v>
      </c>
      <c r="E7485" s="118"/>
      <c r="F7485" s="118"/>
      <c r="G7485" s="119"/>
      <c r="H7485" s="119"/>
      <c r="I7485" s="120"/>
      <c r="J7485" s="120"/>
      <c r="K7485" s="19"/>
      <c r="L7485" s="20"/>
    </row>
    <row r="7486" spans="1:12" outlineLevel="2">
      <c r="A7486" s="28"/>
      <c r="B7486" s="12" t="str">
        <f>IFERROR(VLOOKUP(D7486,'[1]Перечень товаров'!$A$2:$I9525,2,0),"")</f>
        <v>тм87</v>
      </c>
      <c r="C7486" s="12" t="str">
        <f>IFERROR(VLOOKUP(D7486,'[1]Перечень товаров'!$A$2:$I9525,3,0),"")</f>
        <v>Техника муз</v>
      </c>
      <c r="D7486" s="29" t="s">
        <v>1829</v>
      </c>
      <c r="E7486" s="30"/>
      <c r="F7486" s="30"/>
      <c r="G7486" s="31">
        <v>2</v>
      </c>
      <c r="H7486" s="31"/>
      <c r="I7486" s="32"/>
      <c r="J7486" s="32"/>
      <c r="K7486" s="19"/>
      <c r="L7486" s="20"/>
    </row>
    <row r="7487" spans="1:12" outlineLevel="2">
      <c r="A7487" s="28"/>
      <c r="B7487" s="12" t="str">
        <f>IFERROR(VLOOKUP(D7487,'[1]Перечень товаров'!$A$2:$I9525,2,0),"")</f>
        <v>тм86</v>
      </c>
      <c r="C7487" s="12" t="str">
        <f>IFERROR(VLOOKUP(D7487,'[1]Перечень товаров'!$A$2:$I9525,3,0),"")</f>
        <v>Техника муз</v>
      </c>
      <c r="D7487" s="29" t="s">
        <v>1830</v>
      </c>
      <c r="E7487" s="30"/>
      <c r="F7487" s="30"/>
      <c r="G7487" s="31">
        <v>3</v>
      </c>
      <c r="H7487" s="31"/>
      <c r="I7487" s="32"/>
      <c r="J7487" s="32"/>
      <c r="K7487" s="19"/>
      <c r="L7487" s="20"/>
    </row>
    <row r="7488" spans="1:12" outlineLevel="2">
      <c r="A7488" s="28"/>
      <c r="B7488" s="12" t="str">
        <f>IFERROR(VLOOKUP(D7488,'[1]Перечень товаров'!$A$2:$I9525,2,0),"")</f>
        <v>тм85</v>
      </c>
      <c r="C7488" s="12" t="str">
        <f>IFERROR(VLOOKUP(D7488,'[1]Перечень товаров'!$A$2:$I9525,3,0),"")</f>
        <v>Техника муз</v>
      </c>
      <c r="D7488" s="29" t="s">
        <v>1831</v>
      </c>
      <c r="E7488" s="30"/>
      <c r="F7488" s="30"/>
      <c r="G7488" s="31">
        <v>4</v>
      </c>
      <c r="H7488" s="31"/>
      <c r="I7488" s="32"/>
      <c r="J7488" s="32"/>
      <c r="K7488" s="19"/>
      <c r="L7488" s="20"/>
    </row>
    <row r="7489" spans="1:12" outlineLevel="2">
      <c r="A7489" s="28"/>
      <c r="B7489" s="12" t="str">
        <f>IFERROR(VLOOKUP(D7489,'[1]Перечень товаров'!$A$2:$I9525,2,0),"")</f>
        <v>тм84</v>
      </c>
      <c r="C7489" s="12" t="str">
        <f>IFERROR(VLOOKUP(D7489,'[1]Перечень товаров'!$A$2:$I9525,3,0),"")</f>
        <v>Техника муз</v>
      </c>
      <c r="D7489" s="29" t="s">
        <v>1832</v>
      </c>
      <c r="E7489" s="30"/>
      <c r="F7489" s="30"/>
      <c r="G7489" s="31">
        <v>4</v>
      </c>
      <c r="H7489" s="31"/>
      <c r="I7489" s="32"/>
      <c r="J7489" s="32"/>
      <c r="K7489" s="19"/>
      <c r="L7489" s="20"/>
    </row>
    <row r="7490" spans="1:12" outlineLevel="2">
      <c r="A7490" s="28"/>
      <c r="B7490" s="12" t="str">
        <f>IFERROR(VLOOKUP(D7490,'[1]Перечень товаров'!$A$2:$I9525,2,0),"")</f>
        <v>тм83</v>
      </c>
      <c r="C7490" s="12" t="str">
        <f>IFERROR(VLOOKUP(D7490,'[1]Перечень товаров'!$A$2:$I9525,3,0),"")</f>
        <v>Техника муз</v>
      </c>
      <c r="D7490" s="29" t="s">
        <v>1833</v>
      </c>
      <c r="E7490" s="30"/>
      <c r="F7490" s="30"/>
      <c r="G7490" s="31">
        <v>5</v>
      </c>
      <c r="H7490" s="31"/>
      <c r="I7490" s="32"/>
      <c r="J7490" s="32"/>
      <c r="K7490" s="19"/>
      <c r="L7490" s="20"/>
    </row>
    <row r="7491" spans="1:12" outlineLevel="2">
      <c r="A7491" s="28"/>
      <c r="B7491" s="12" t="str">
        <f>IFERROR(VLOOKUP(D7491,'[1]Перечень товаров'!$A$2:$I9525,2,0),"")</f>
        <v>тм82</v>
      </c>
      <c r="C7491" s="12" t="str">
        <f>IFERROR(VLOOKUP(D7491,'[1]Перечень товаров'!$A$2:$I9525,3,0),"")</f>
        <v>Техника муз</v>
      </c>
      <c r="D7491" s="29" t="s">
        <v>1834</v>
      </c>
      <c r="E7491" s="30"/>
      <c r="F7491" s="30"/>
      <c r="G7491" s="31">
        <v>2</v>
      </c>
      <c r="H7491" s="31"/>
      <c r="I7491" s="32"/>
      <c r="J7491" s="32"/>
      <c r="K7491" s="19"/>
      <c r="L7491" s="20"/>
    </row>
    <row r="7492" spans="1:12" ht="31.5" outlineLevel="2">
      <c r="A7492" s="28"/>
      <c r="B7492" s="12" t="str">
        <f>IFERROR(VLOOKUP(D7492,'[1]Перечень товаров'!$A$2:$I9525,2,0),"")</f>
        <v>тм81</v>
      </c>
      <c r="C7492" s="12" t="str">
        <f>IFERROR(VLOOKUP(D7492,'[1]Перечень товаров'!$A$2:$I9525,3,0),"")</f>
        <v>Техника муз</v>
      </c>
      <c r="D7492" s="29" t="s">
        <v>1835</v>
      </c>
      <c r="E7492" s="30"/>
      <c r="F7492" s="30"/>
      <c r="G7492" s="31">
        <v>18</v>
      </c>
      <c r="H7492" s="31"/>
      <c r="I7492" s="32"/>
      <c r="J7492" s="32"/>
      <c r="K7492" s="19"/>
      <c r="L7492" s="20"/>
    </row>
    <row r="7493" spans="1:12" outlineLevel="2">
      <c r="A7493" s="28"/>
      <c r="B7493" s="12" t="str">
        <f>IFERROR(VLOOKUP(D7493,'[1]Перечень товаров'!$A$2:$I9525,2,0),"")</f>
        <v>тм54</v>
      </c>
      <c r="C7493" s="12" t="str">
        <f>IFERROR(VLOOKUP(D7493,'[1]Перечень товаров'!$A$2:$I9525,3,0),"")</f>
        <v>Техника муз</v>
      </c>
      <c r="D7493" s="29" t="s">
        <v>310</v>
      </c>
      <c r="E7493" s="30"/>
      <c r="F7493" s="30"/>
      <c r="G7493" s="31">
        <v>30</v>
      </c>
      <c r="H7493" s="31"/>
      <c r="I7493" s="32"/>
      <c r="J7493" s="32"/>
      <c r="K7493" s="19"/>
      <c r="L7493" s="20"/>
    </row>
    <row r="7494" spans="1:12" ht="31.5" outlineLevel="2">
      <c r="A7494" s="28"/>
      <c r="B7494" s="12" t="str">
        <f>IFERROR(VLOOKUP(D7494,'[1]Перечень товаров'!$A$2:$I9525,2,0),"")</f>
        <v>тм80</v>
      </c>
      <c r="C7494" s="12" t="str">
        <f>IFERROR(VLOOKUP(D7494,'[1]Перечень товаров'!$A$2:$I9525,3,0),"")</f>
        <v>Техника муз</v>
      </c>
      <c r="D7494" s="29" t="s">
        <v>1836</v>
      </c>
      <c r="E7494" s="30"/>
      <c r="F7494" s="30"/>
      <c r="G7494" s="31">
        <v>5</v>
      </c>
      <c r="H7494" s="31"/>
      <c r="I7494" s="32"/>
      <c r="J7494" s="32"/>
      <c r="K7494" s="19"/>
      <c r="L7494" s="20"/>
    </row>
    <row r="7495" spans="1:12" outlineLevel="2">
      <c r="A7495" s="28"/>
      <c r="B7495" s="12" t="str">
        <f>IFERROR(VLOOKUP(D7495,'[1]Перечень товаров'!$A$2:$I9525,2,0),"")</f>
        <v>пм211</v>
      </c>
      <c r="C7495" s="12" t="str">
        <f>IFERROR(VLOOKUP(D7495,'[1]Перечень товаров'!$A$2:$I9525,3,0),"")</f>
        <v>прочее муз</v>
      </c>
      <c r="D7495" s="29" t="s">
        <v>995</v>
      </c>
      <c r="E7495" s="30"/>
      <c r="F7495" s="30"/>
      <c r="G7495" s="31">
        <v>10</v>
      </c>
      <c r="H7495" s="31"/>
      <c r="I7495" s="32"/>
      <c r="J7495" s="32"/>
      <c r="K7495" s="19"/>
      <c r="L7495" s="20"/>
    </row>
    <row r="7496" spans="1:12" ht="31.5" outlineLevel="2">
      <c r="A7496" s="28"/>
      <c r="B7496" s="12" t="str">
        <f>IFERROR(VLOOKUP(D7496,'[1]Перечень товаров'!$A$2:$I9525,2,0),"")</f>
        <v>тм79</v>
      </c>
      <c r="C7496" s="12" t="str">
        <f>IFERROR(VLOOKUP(D7496,'[1]Перечень товаров'!$A$2:$I9525,3,0),"")</f>
        <v>Техника муз</v>
      </c>
      <c r="D7496" s="29" t="s">
        <v>1837</v>
      </c>
      <c r="E7496" s="30"/>
      <c r="F7496" s="30"/>
      <c r="G7496" s="31">
        <v>18</v>
      </c>
      <c r="H7496" s="31"/>
      <c r="I7496" s="32"/>
      <c r="J7496" s="32"/>
      <c r="K7496" s="19"/>
      <c r="L7496" s="20"/>
    </row>
    <row r="7497" spans="1:12" outlineLevel="2">
      <c r="A7497" s="28"/>
      <c r="B7497" s="12" t="str">
        <f>IFERROR(VLOOKUP(D7497,'[1]Перечень товаров'!$A$2:$I9525,2,0),"")</f>
        <v>тм78</v>
      </c>
      <c r="C7497" s="12" t="str">
        <f>IFERROR(VLOOKUP(D7497,'[1]Перечень товаров'!$A$2:$I9525,3,0),"")</f>
        <v>Техника муз</v>
      </c>
      <c r="D7497" s="29" t="s">
        <v>1838</v>
      </c>
      <c r="E7497" s="30"/>
      <c r="F7497" s="30"/>
      <c r="G7497" s="31">
        <v>1</v>
      </c>
      <c r="H7497" s="31"/>
      <c r="I7497" s="32"/>
      <c r="J7497" s="32"/>
      <c r="K7497" s="19"/>
      <c r="L7497" s="20"/>
    </row>
    <row r="7498" spans="1:12" outlineLevel="2">
      <c r="A7498" s="54"/>
      <c r="B7498" s="12" t="str">
        <f>IFERROR(VLOOKUP(D7498,'[1]Перечень товаров'!$A$2:$I9525,2,0),"")</f>
        <v/>
      </c>
      <c r="C7498" s="12" t="str">
        <f>IFERROR(VLOOKUP(D7498,'[1]Перечень товаров'!$A$2:$I9525,3,0),"")</f>
        <v/>
      </c>
      <c r="D7498" s="55" t="s">
        <v>45</v>
      </c>
      <c r="E7498" s="217"/>
      <c r="F7498" s="217"/>
      <c r="G7498" s="59"/>
      <c r="H7498" s="59"/>
      <c r="I7498" s="60"/>
      <c r="J7498" s="60"/>
      <c r="K7498" s="19"/>
      <c r="L7498" s="20"/>
    </row>
    <row r="7499" spans="1:12" outlineLevel="2">
      <c r="A7499" s="43"/>
      <c r="B7499" s="12" t="str">
        <f>IFERROR(VLOOKUP(D7499,'[1]Перечень товаров'!$A$2:$I9525,2,0),"")</f>
        <v>м7</v>
      </c>
      <c r="C7499" s="12" t="str">
        <f>IFERROR(VLOOKUP(D7499,'[1]Перечень товаров'!$A$2:$I9525,3,0),"")</f>
        <v>Мебель</v>
      </c>
      <c r="D7499" s="44" t="s">
        <v>24</v>
      </c>
      <c r="E7499" s="30"/>
      <c r="F7499" s="30"/>
      <c r="G7499" s="59">
        <v>1</v>
      </c>
      <c r="H7499" s="59"/>
      <c r="I7499" s="60"/>
      <c r="J7499" s="60"/>
      <c r="K7499" s="19"/>
      <c r="L7499" s="20"/>
    </row>
    <row r="7500" spans="1:12" outlineLevel="2">
      <c r="A7500" s="43"/>
      <c r="B7500" s="12" t="str">
        <f>IFERROR(VLOOKUP(D7500,'[1]Перечень товаров'!$A$2:$I9525,2,0),"")</f>
        <v>п1</v>
      </c>
      <c r="C7500" s="12" t="str">
        <f>IFERROR(VLOOKUP(D7500,'[1]Перечень товаров'!$A$2:$I9525,3,0),"")</f>
        <v>Прочее</v>
      </c>
      <c r="D7500" s="44" t="s">
        <v>37</v>
      </c>
      <c r="E7500" s="30"/>
      <c r="F7500" s="30"/>
      <c r="G7500" s="59">
        <v>1</v>
      </c>
      <c r="H7500" s="59"/>
      <c r="I7500" s="60"/>
      <c r="J7500" s="60"/>
      <c r="K7500" s="19"/>
      <c r="L7500" s="20"/>
    </row>
    <row r="7501" spans="1:12" outlineLevel="2">
      <c r="A7501" s="21"/>
      <c r="B7501" s="12" t="str">
        <f>IFERROR(VLOOKUP(D7501,'[1]Перечень товаров'!$A$2:$I9525,2,0),"")</f>
        <v>п2</v>
      </c>
      <c r="C7501" s="12" t="str">
        <f>IFERROR(VLOOKUP(D7501,'[1]Перечень товаров'!$A$2:$I9525,3,0),"")</f>
        <v>Прочее</v>
      </c>
      <c r="D7501" s="22" t="s">
        <v>46</v>
      </c>
      <c r="E7501" s="58"/>
      <c r="F7501" s="58"/>
      <c r="G7501" s="24">
        <v>1</v>
      </c>
      <c r="H7501" s="24"/>
      <c r="I7501" s="25"/>
      <c r="J7501" s="25"/>
      <c r="K7501" s="19"/>
      <c r="L7501" s="20"/>
    </row>
    <row r="7502" spans="1:12" ht="12.75" outlineLevel="1">
      <c r="A7502" s="11"/>
      <c r="B7502" s="12" t="str">
        <f>IFERROR(VLOOKUP(D7502,'[1]Перечень товаров'!$A$2:$I9525,2,0),"")</f>
        <v/>
      </c>
      <c r="C7502" s="12" t="str">
        <f>IFERROR(VLOOKUP(D7502,'[1]Перечень товаров'!$A$2:$I9525,3,0),"")</f>
        <v/>
      </c>
      <c r="D7502" s="27" t="s">
        <v>1827</v>
      </c>
      <c r="E7502" s="99">
        <v>46192</v>
      </c>
      <c r="F7502" s="99"/>
      <c r="G7502" s="100"/>
      <c r="H7502" s="100"/>
      <c r="I7502" s="101"/>
      <c r="J7502" s="101"/>
      <c r="K7502" s="19"/>
      <c r="L7502" s="20"/>
    </row>
    <row r="7503" spans="1:12" ht="15" outlineLevel="2">
      <c r="A7503" s="109"/>
      <c r="B7503" s="12" t="str">
        <f>IFERROR(VLOOKUP(D7503,'[1]Перечень товаров'!$A$2:$I9525,2,0),"")</f>
        <v/>
      </c>
      <c r="C7503" s="12" t="str">
        <f>IFERROR(VLOOKUP(D7503,'[1]Перечень товаров'!$A$2:$I9525,3,0),"")</f>
        <v/>
      </c>
      <c r="D7503" s="110" t="s">
        <v>27</v>
      </c>
      <c r="E7503" s="45"/>
      <c r="F7503" s="45"/>
      <c r="G7503" s="111"/>
      <c r="H7503" s="111"/>
      <c r="I7503" s="112"/>
      <c r="J7503" s="112"/>
      <c r="K7503" s="19"/>
      <c r="L7503" s="20"/>
    </row>
    <row r="7504" spans="1:12" outlineLevel="2">
      <c r="A7504" s="21"/>
      <c r="B7504" s="12" t="str">
        <f>IFERROR(VLOOKUP(D7504,'[1]Перечень товаров'!$A$2:$I9525,2,0),"")</f>
        <v>т1</v>
      </c>
      <c r="C7504" s="12" t="str">
        <f>IFERROR(VLOOKUP(D7504,'[1]Перечень товаров'!$A$2:$I9525,3,0),"")</f>
        <v xml:space="preserve">Техника </v>
      </c>
      <c r="D7504" s="22" t="s">
        <v>28</v>
      </c>
      <c r="E7504" s="58"/>
      <c r="F7504" s="58"/>
      <c r="G7504" s="48">
        <v>1</v>
      </c>
      <c r="H7504" s="48"/>
      <c r="I7504" s="49"/>
      <c r="J7504" s="49"/>
      <c r="K7504" s="19"/>
      <c r="L7504" s="20"/>
    </row>
    <row r="7505" spans="1:12" outlineLevel="2">
      <c r="A7505" s="143"/>
      <c r="B7505" s="12" t="str">
        <f>IFERROR(VLOOKUP(D7505,'[1]Перечень товаров'!$A$2:$I9525,2,0),"")</f>
        <v>т9</v>
      </c>
      <c r="C7505" s="12" t="str">
        <f>IFERROR(VLOOKUP(D7505,'[1]Перечень товаров'!$A$2:$I9525,3,0),"")</f>
        <v>Техника</v>
      </c>
      <c r="D7505" s="143" t="s">
        <v>36</v>
      </c>
      <c r="E7505" s="58"/>
      <c r="F7505" s="58"/>
      <c r="G7505" s="48">
        <v>1</v>
      </c>
      <c r="H7505" s="48"/>
      <c r="I7505" s="49"/>
      <c r="J7505" s="49"/>
      <c r="K7505" s="19"/>
      <c r="L7505" s="20"/>
    </row>
    <row r="7506" spans="1:12" outlineLevel="2">
      <c r="A7506" s="35"/>
      <c r="B7506" s="12" t="str">
        <f>IFERROR(VLOOKUP(D7506,'[1]Перечень товаров'!$A$2:$I9525,2,0),"")</f>
        <v>т2</v>
      </c>
      <c r="C7506" s="12" t="str">
        <f>IFERROR(VLOOKUP(D7506,'[1]Перечень товаров'!$A$2:$I9525,3,0),"")</f>
        <v xml:space="preserve">Техника </v>
      </c>
      <c r="D7506" s="35" t="s">
        <v>29</v>
      </c>
      <c r="E7506" s="58"/>
      <c r="F7506" s="58"/>
      <c r="G7506" s="48">
        <v>1</v>
      </c>
      <c r="H7506" s="48"/>
      <c r="I7506" s="49"/>
      <c r="J7506" s="49"/>
      <c r="K7506" s="19"/>
      <c r="L7506" s="20"/>
    </row>
    <row r="7507" spans="1:12" outlineLevel="2">
      <c r="A7507" s="35"/>
      <c r="B7507" s="12" t="str">
        <f>IFERROR(VLOOKUP(D7507,'[1]Перечень товаров'!$A$2:$I9525,2,0),"")</f>
        <v>т3</v>
      </c>
      <c r="C7507" s="12" t="str">
        <f>IFERROR(VLOOKUP(D7507,'[1]Перечень товаров'!$A$2:$I9525,3,0),"")</f>
        <v xml:space="preserve">Техника </v>
      </c>
      <c r="D7507" s="35" t="s">
        <v>30</v>
      </c>
      <c r="E7507" s="58"/>
      <c r="F7507" s="58"/>
      <c r="G7507" s="48">
        <v>1</v>
      </c>
      <c r="H7507" s="48"/>
      <c r="I7507" s="49"/>
      <c r="J7507" s="49"/>
      <c r="K7507" s="19"/>
      <c r="L7507" s="20"/>
    </row>
    <row r="7508" spans="1:12" outlineLevel="2">
      <c r="A7508" s="35"/>
      <c r="B7508" s="12" t="str">
        <f>IFERROR(VLOOKUP(D7508,'[1]Перечень товаров'!$A$2:$I9525,2,0),"")</f>
        <v>т4</v>
      </c>
      <c r="C7508" s="12" t="str">
        <f>IFERROR(VLOOKUP(D7508,'[1]Перечень товаров'!$A$2:$I9525,3,0),"")</f>
        <v xml:space="preserve">Техника </v>
      </c>
      <c r="D7508" s="35" t="s">
        <v>31</v>
      </c>
      <c r="E7508" s="58"/>
      <c r="F7508" s="58"/>
      <c r="G7508" s="48">
        <v>1</v>
      </c>
      <c r="H7508" s="48"/>
      <c r="I7508" s="49"/>
      <c r="J7508" s="49"/>
      <c r="K7508" s="19"/>
      <c r="L7508" s="20"/>
    </row>
    <row r="7509" spans="1:12" outlineLevel="2">
      <c r="A7509" s="21"/>
      <c r="B7509" s="12" t="str">
        <f>IFERROR(VLOOKUP(D7509,'[1]Перечень товаров'!$A$2:$I9525,2,0),"")</f>
        <v>тм65</v>
      </c>
      <c r="C7509" s="12" t="str">
        <f>IFERROR(VLOOKUP(D7509,'[1]Перечень товаров'!$A$2:$I9525,3,0),"")</f>
        <v>Техника муз</v>
      </c>
      <c r="D7509" s="22" t="s">
        <v>380</v>
      </c>
      <c r="E7509" s="58"/>
      <c r="F7509" s="58"/>
      <c r="G7509" s="48">
        <v>1</v>
      </c>
      <c r="H7509" s="48"/>
      <c r="I7509" s="49"/>
      <c r="J7509" s="49"/>
      <c r="K7509" s="19"/>
      <c r="L7509" s="20"/>
    </row>
    <row r="7510" spans="1:12" outlineLevel="2">
      <c r="A7510" s="21"/>
      <c r="B7510" s="12" t="str">
        <f>IFERROR(VLOOKUP(D7510,'[1]Перечень товаров'!$A$2:$I9525,2,0),"")</f>
        <v>т12</v>
      </c>
      <c r="C7510" s="12" t="str">
        <f>IFERROR(VLOOKUP(D7510,'[1]Перечень товаров'!$A$2:$I9525,3,0),"")</f>
        <v>Техника</v>
      </c>
      <c r="D7510" s="22" t="s">
        <v>49</v>
      </c>
      <c r="E7510" s="58"/>
      <c r="F7510" s="58"/>
      <c r="G7510" s="48">
        <v>1</v>
      </c>
      <c r="H7510" s="48"/>
      <c r="I7510" s="49"/>
      <c r="J7510" s="49"/>
      <c r="K7510" s="19"/>
      <c r="L7510" s="20"/>
    </row>
    <row r="7511" spans="1:12" outlineLevel="2">
      <c r="A7511" s="35"/>
      <c r="B7511" s="12" t="str">
        <f>IFERROR(VLOOKUP(D7511,'[1]Перечень товаров'!$A$2:$I9525,2,0),"")</f>
        <v>т6</v>
      </c>
      <c r="C7511" s="12" t="str">
        <f>IFERROR(VLOOKUP(D7511,'[1]Перечень товаров'!$A$2:$I9525,3,0),"")</f>
        <v xml:space="preserve">Техника </v>
      </c>
      <c r="D7511" s="35" t="s">
        <v>33</v>
      </c>
      <c r="E7511" s="58"/>
      <c r="F7511" s="58"/>
      <c r="G7511" s="48">
        <v>1</v>
      </c>
      <c r="H7511" s="48"/>
      <c r="I7511" s="49"/>
      <c r="J7511" s="49"/>
      <c r="K7511" s="19"/>
      <c r="L7511" s="20"/>
    </row>
    <row r="7512" spans="1:12" outlineLevel="2">
      <c r="A7512" s="21"/>
      <c r="B7512" s="12" t="str">
        <f>IFERROR(VLOOKUP(D7512,'[1]Перечень товаров'!$A$2:$I9525,2,0),"")</f>
        <v>т7</v>
      </c>
      <c r="C7512" s="12" t="str">
        <f>IFERROR(VLOOKUP(D7512,'[1]Перечень товаров'!$A$2:$I9525,3,0),"")</f>
        <v xml:space="preserve">Техника </v>
      </c>
      <c r="D7512" s="22" t="s">
        <v>34</v>
      </c>
      <c r="E7512" s="58"/>
      <c r="F7512" s="58"/>
      <c r="G7512" s="48">
        <v>3</v>
      </c>
      <c r="H7512" s="48"/>
      <c r="I7512" s="49"/>
      <c r="J7512" s="49"/>
      <c r="K7512" s="19"/>
      <c r="L7512" s="20"/>
    </row>
    <row r="7513" spans="1:12" outlineLevel="2">
      <c r="A7513" s="28"/>
      <c r="B7513" s="12" t="str">
        <f>IFERROR(VLOOKUP(D7513,'[1]Перечень товаров'!$A$2:$I9525,2,0),"")</f>
        <v>т161</v>
      </c>
      <c r="C7513" s="12" t="str">
        <f>IFERROR(VLOOKUP(D7513,'[1]Перечень товаров'!$A$2:$I9525,3,0),"")</f>
        <v xml:space="preserve">Техника </v>
      </c>
      <c r="D7513" s="29" t="s">
        <v>381</v>
      </c>
      <c r="E7513" s="30"/>
      <c r="F7513" s="30"/>
      <c r="G7513" s="59">
        <v>1</v>
      </c>
      <c r="H7513" s="59"/>
      <c r="I7513" s="60"/>
      <c r="J7513" s="60"/>
      <c r="K7513" s="19"/>
      <c r="L7513" s="20"/>
    </row>
    <row r="7514" spans="1:12" outlineLevel="2">
      <c r="A7514" s="113"/>
      <c r="B7514" s="12" t="str">
        <f>IFERROR(VLOOKUP(D7514,'[1]Перечень товаров'!$A$2:$I9525,2,0),"")</f>
        <v/>
      </c>
      <c r="C7514" s="12" t="str">
        <f>IFERROR(VLOOKUP(D7514,'[1]Перечень товаров'!$A$2:$I9525,3,0),"")</f>
        <v/>
      </c>
      <c r="D7514" s="114" t="s">
        <v>19</v>
      </c>
      <c r="E7514" s="115"/>
      <c r="F7514" s="115"/>
      <c r="G7514" s="59"/>
      <c r="H7514" s="59"/>
      <c r="I7514" s="60"/>
      <c r="J7514" s="60"/>
      <c r="K7514" s="19"/>
      <c r="L7514" s="20"/>
    </row>
    <row r="7515" spans="1:12" outlineLevel="2">
      <c r="A7515" s="34"/>
      <c r="B7515" s="12" t="str">
        <f>IFERROR(VLOOKUP(D7515,'[1]Перечень товаров'!$A$2:$I9525,2,0),"")</f>
        <v>м62</v>
      </c>
      <c r="C7515" s="12" t="str">
        <f>IFERROR(VLOOKUP(D7515,'[1]Перечень товаров'!$A$2:$I9525,3,0),"")</f>
        <v>Мебель</v>
      </c>
      <c r="D7515" s="35" t="s">
        <v>398</v>
      </c>
      <c r="E7515" s="88"/>
      <c r="F7515" s="88"/>
      <c r="G7515" s="59">
        <v>1</v>
      </c>
      <c r="H7515" s="59"/>
      <c r="I7515" s="60"/>
      <c r="J7515" s="60"/>
      <c r="K7515" s="19"/>
      <c r="L7515" s="20"/>
    </row>
    <row r="7516" spans="1:12" outlineLevel="2">
      <c r="A7516" s="34"/>
      <c r="B7516" s="12" t="str">
        <f>IFERROR(VLOOKUP(D7516,'[1]Перечень товаров'!$A$2:$I9525,2,0),"")</f>
        <v>м61</v>
      </c>
      <c r="C7516" s="12" t="str">
        <f>IFERROR(VLOOKUP(D7516,'[1]Перечень товаров'!$A$2:$I9525,3,0),"")</f>
        <v>Мебель</v>
      </c>
      <c r="D7516" s="35" t="s">
        <v>383</v>
      </c>
      <c r="E7516" s="88"/>
      <c r="F7516" s="88"/>
      <c r="G7516" s="59">
        <v>1</v>
      </c>
      <c r="H7516" s="59"/>
      <c r="I7516" s="60"/>
      <c r="J7516" s="60"/>
      <c r="K7516" s="19"/>
      <c r="L7516" s="20"/>
    </row>
    <row r="7517" spans="1:12" outlineLevel="2">
      <c r="A7517" s="34"/>
      <c r="B7517" s="12" t="str">
        <f>IFERROR(VLOOKUP(D7517,'[1]Перечень товаров'!$A$2:$I9525,2,0),"")</f>
        <v>м179</v>
      </c>
      <c r="C7517" s="12" t="str">
        <f>IFERROR(VLOOKUP(D7517,'[1]Перечень товаров'!$A$2:$I9525,3,0),"")</f>
        <v>Мебель</v>
      </c>
      <c r="D7517" s="35" t="s">
        <v>579</v>
      </c>
      <c r="E7517" s="88"/>
      <c r="F7517" s="88"/>
      <c r="G7517" s="59">
        <v>10</v>
      </c>
      <c r="H7517" s="59"/>
      <c r="I7517" s="60"/>
      <c r="J7517" s="60"/>
      <c r="K7517" s="19"/>
      <c r="L7517" s="20"/>
    </row>
    <row r="7518" spans="1:12" outlineLevel="2">
      <c r="A7518" s="34"/>
      <c r="B7518" s="12" t="str">
        <f>IFERROR(VLOOKUP(D7518,'[1]Перечень товаров'!$A$2:$I9525,2,0),"")</f>
        <v>м61</v>
      </c>
      <c r="C7518" s="12" t="str">
        <f>IFERROR(VLOOKUP(D7518,'[1]Перечень товаров'!$A$2:$I9525,3,0),"")</f>
        <v>Мебель</v>
      </c>
      <c r="D7518" s="35" t="s">
        <v>384</v>
      </c>
      <c r="E7518" s="88"/>
      <c r="F7518" s="88"/>
      <c r="G7518" s="59">
        <v>20</v>
      </c>
      <c r="H7518" s="59"/>
      <c r="I7518" s="60"/>
      <c r="J7518" s="60"/>
      <c r="K7518" s="19"/>
      <c r="L7518" s="20"/>
    </row>
    <row r="7519" spans="1:12" outlineLevel="2">
      <c r="A7519" s="21"/>
      <c r="B7519" s="12" t="str">
        <f>IFERROR(VLOOKUP(D7519,'[1]Перечень товаров'!$A$2:$I9525,2,0),"")</f>
        <v>м13</v>
      </c>
      <c r="C7519" s="12" t="str">
        <f>IFERROR(VLOOKUP(D7519,'[1]Перечень товаров'!$A$2:$I9525,3,0),"")</f>
        <v>Мебель</v>
      </c>
      <c r="D7519" s="22" t="s">
        <v>42</v>
      </c>
      <c r="E7519" s="58"/>
      <c r="F7519" s="58"/>
      <c r="G7519" s="24">
        <v>1</v>
      </c>
      <c r="H7519" s="24"/>
      <c r="I7519" s="25"/>
      <c r="J7519" s="25"/>
      <c r="K7519" s="19"/>
      <c r="L7519" s="20"/>
    </row>
    <row r="7520" spans="1:12" outlineLevel="2">
      <c r="A7520" s="21"/>
      <c r="B7520" s="12" t="str">
        <f>IFERROR(VLOOKUP(D7520,'[1]Перечень товаров'!$A$2:$I9525,2,0),"")</f>
        <v>м14</v>
      </c>
      <c r="C7520" s="12" t="str">
        <f>IFERROR(VLOOKUP(D7520,'[1]Перечень товаров'!$A$2:$I9525,3,0),"")</f>
        <v>Мебель</v>
      </c>
      <c r="D7520" s="22" t="s">
        <v>43</v>
      </c>
      <c r="E7520" s="58"/>
      <c r="F7520" s="58"/>
      <c r="G7520" s="24">
        <v>1</v>
      </c>
      <c r="H7520" s="24"/>
      <c r="I7520" s="25"/>
      <c r="J7520" s="25"/>
      <c r="K7520" s="19"/>
      <c r="L7520" s="20"/>
    </row>
    <row r="7521" spans="1:12" ht="31.5" outlineLevel="2">
      <c r="A7521" s="155"/>
      <c r="B7521" s="12" t="str">
        <f>IFERROR(VLOOKUP(D7521,'[1]Перечень товаров'!$A$2:$I9525,2,0),"")</f>
        <v>м21</v>
      </c>
      <c r="C7521" s="12" t="str">
        <f>IFERROR(VLOOKUP(D7521,'[1]Перечень товаров'!$A$2:$I9525,3,0),"")</f>
        <v>Мебель</v>
      </c>
      <c r="D7521" s="156" t="s">
        <v>58</v>
      </c>
      <c r="E7521" s="58"/>
      <c r="F7521" s="58"/>
      <c r="G7521" s="24">
        <v>1</v>
      </c>
      <c r="H7521" s="24"/>
      <c r="I7521" s="25"/>
      <c r="J7521" s="25"/>
      <c r="K7521" s="19"/>
      <c r="L7521" s="20"/>
    </row>
    <row r="7522" spans="1:12" ht="15" outlineLevel="2">
      <c r="A7522" s="116"/>
      <c r="B7522" s="12" t="str">
        <f>IFERROR(VLOOKUP(D7522,'[1]Перечень товаров'!$A$2:$I9525,2,0),"")</f>
        <v/>
      </c>
      <c r="C7522" s="12" t="str">
        <f>IFERROR(VLOOKUP(D7522,'[1]Перечень товаров'!$A$2:$I9525,3,0),"")</f>
        <v/>
      </c>
      <c r="D7522" s="117" t="s">
        <v>391</v>
      </c>
      <c r="E7522" s="118"/>
      <c r="F7522" s="118"/>
      <c r="G7522" s="119"/>
      <c r="H7522" s="119"/>
      <c r="I7522" s="120"/>
      <c r="J7522" s="120"/>
      <c r="K7522" s="19"/>
      <c r="L7522" s="20"/>
    </row>
    <row r="7523" spans="1:12" ht="15" outlineLevel="2">
      <c r="A7523" s="274"/>
      <c r="B7523" s="12" t="str">
        <f>IFERROR(VLOOKUP(D7523,'[1]Перечень товаров'!$A$2:$I9525,2,0),"")</f>
        <v/>
      </c>
      <c r="C7523" s="12" t="str">
        <f>IFERROR(VLOOKUP(D7523,'[1]Перечень товаров'!$A$2:$I9525,3,0),"")</f>
        <v/>
      </c>
      <c r="D7523" s="275" t="s">
        <v>1828</v>
      </c>
      <c r="E7523" s="118"/>
      <c r="F7523" s="118"/>
      <c r="G7523" s="119"/>
      <c r="H7523" s="119"/>
      <c r="I7523" s="120"/>
      <c r="J7523" s="120"/>
      <c r="K7523" s="19"/>
      <c r="L7523" s="20"/>
    </row>
    <row r="7524" spans="1:12" outlineLevel="2">
      <c r="A7524" s="28"/>
      <c r="B7524" s="12" t="str">
        <f>IFERROR(VLOOKUP(D7524,'[1]Перечень товаров'!$A$2:$I9525,2,0),"")</f>
        <v>тм87</v>
      </c>
      <c r="C7524" s="12" t="str">
        <f>IFERROR(VLOOKUP(D7524,'[1]Перечень товаров'!$A$2:$I9525,3,0),"")</f>
        <v>Техника муз</v>
      </c>
      <c r="D7524" s="29" t="s">
        <v>1829</v>
      </c>
      <c r="E7524" s="30"/>
      <c r="F7524" s="30"/>
      <c r="G7524" s="31">
        <v>2</v>
      </c>
      <c r="H7524" s="31"/>
      <c r="I7524" s="32"/>
      <c r="J7524" s="32"/>
      <c r="K7524" s="19"/>
      <c r="L7524" s="20"/>
    </row>
    <row r="7525" spans="1:12" outlineLevel="2">
      <c r="A7525" s="28"/>
      <c r="B7525" s="12" t="str">
        <f>IFERROR(VLOOKUP(D7525,'[1]Перечень товаров'!$A$2:$I9525,2,0),"")</f>
        <v>тм86</v>
      </c>
      <c r="C7525" s="12" t="str">
        <f>IFERROR(VLOOKUP(D7525,'[1]Перечень товаров'!$A$2:$I9525,3,0),"")</f>
        <v>Техника муз</v>
      </c>
      <c r="D7525" s="29" t="s">
        <v>1830</v>
      </c>
      <c r="E7525" s="30"/>
      <c r="F7525" s="30"/>
      <c r="G7525" s="31">
        <v>3</v>
      </c>
      <c r="H7525" s="31"/>
      <c r="I7525" s="32"/>
      <c r="J7525" s="32"/>
      <c r="K7525" s="19"/>
      <c r="L7525" s="20"/>
    </row>
    <row r="7526" spans="1:12" outlineLevel="2">
      <c r="A7526" s="28"/>
      <c r="B7526" s="12" t="str">
        <f>IFERROR(VLOOKUP(D7526,'[1]Перечень товаров'!$A$2:$I9525,2,0),"")</f>
        <v>тм85</v>
      </c>
      <c r="C7526" s="12" t="str">
        <f>IFERROR(VLOOKUP(D7526,'[1]Перечень товаров'!$A$2:$I9525,3,0),"")</f>
        <v>Техника муз</v>
      </c>
      <c r="D7526" s="29" t="s">
        <v>1831</v>
      </c>
      <c r="E7526" s="30"/>
      <c r="F7526" s="30"/>
      <c r="G7526" s="31">
        <v>4</v>
      </c>
      <c r="H7526" s="31"/>
      <c r="I7526" s="32"/>
      <c r="J7526" s="32"/>
      <c r="K7526" s="19"/>
      <c r="L7526" s="20"/>
    </row>
    <row r="7527" spans="1:12" outlineLevel="2">
      <c r="A7527" s="28"/>
      <c r="B7527" s="12" t="str">
        <f>IFERROR(VLOOKUP(D7527,'[1]Перечень товаров'!$A$2:$I9525,2,0),"")</f>
        <v>тм84</v>
      </c>
      <c r="C7527" s="12" t="str">
        <f>IFERROR(VLOOKUP(D7527,'[1]Перечень товаров'!$A$2:$I9525,3,0),"")</f>
        <v>Техника муз</v>
      </c>
      <c r="D7527" s="29" t="s">
        <v>1832</v>
      </c>
      <c r="E7527" s="30"/>
      <c r="F7527" s="30"/>
      <c r="G7527" s="31">
        <v>4</v>
      </c>
      <c r="H7527" s="31"/>
      <c r="I7527" s="32"/>
      <c r="J7527" s="32"/>
      <c r="K7527" s="19"/>
      <c r="L7527" s="20"/>
    </row>
    <row r="7528" spans="1:12" outlineLevel="2">
      <c r="A7528" s="28"/>
      <c r="B7528" s="12" t="str">
        <f>IFERROR(VLOOKUP(D7528,'[1]Перечень товаров'!$A$2:$I9525,2,0),"")</f>
        <v>тм83</v>
      </c>
      <c r="C7528" s="12" t="str">
        <f>IFERROR(VLOOKUP(D7528,'[1]Перечень товаров'!$A$2:$I9525,3,0),"")</f>
        <v>Техника муз</v>
      </c>
      <c r="D7528" s="29" t="s">
        <v>1833</v>
      </c>
      <c r="E7528" s="30"/>
      <c r="F7528" s="30"/>
      <c r="G7528" s="31">
        <v>5</v>
      </c>
      <c r="H7528" s="31"/>
      <c r="I7528" s="32"/>
      <c r="J7528" s="32"/>
      <c r="K7528" s="19"/>
      <c r="L7528" s="20"/>
    </row>
    <row r="7529" spans="1:12" outlineLevel="2">
      <c r="A7529" s="28"/>
      <c r="B7529" s="12" t="str">
        <f>IFERROR(VLOOKUP(D7529,'[1]Перечень товаров'!$A$2:$I9525,2,0),"")</f>
        <v>тм82</v>
      </c>
      <c r="C7529" s="12" t="str">
        <f>IFERROR(VLOOKUP(D7529,'[1]Перечень товаров'!$A$2:$I9525,3,0),"")</f>
        <v>Техника муз</v>
      </c>
      <c r="D7529" s="29" t="s">
        <v>1834</v>
      </c>
      <c r="E7529" s="30"/>
      <c r="F7529" s="30"/>
      <c r="G7529" s="31">
        <v>2</v>
      </c>
      <c r="H7529" s="31"/>
      <c r="I7529" s="32"/>
      <c r="J7529" s="32"/>
      <c r="K7529" s="19"/>
      <c r="L7529" s="20"/>
    </row>
    <row r="7530" spans="1:12" ht="31.5" outlineLevel="2">
      <c r="A7530" s="28"/>
      <c r="B7530" s="12" t="str">
        <f>IFERROR(VLOOKUP(D7530,'[1]Перечень товаров'!$A$2:$I9525,2,0),"")</f>
        <v>тм81</v>
      </c>
      <c r="C7530" s="12" t="str">
        <f>IFERROR(VLOOKUP(D7530,'[1]Перечень товаров'!$A$2:$I9525,3,0),"")</f>
        <v>Техника муз</v>
      </c>
      <c r="D7530" s="29" t="s">
        <v>1835</v>
      </c>
      <c r="E7530" s="30"/>
      <c r="F7530" s="30"/>
      <c r="G7530" s="31">
        <v>18</v>
      </c>
      <c r="H7530" s="31"/>
      <c r="I7530" s="32"/>
      <c r="J7530" s="32"/>
      <c r="K7530" s="19"/>
      <c r="L7530" s="20"/>
    </row>
    <row r="7531" spans="1:12" outlineLevel="2">
      <c r="A7531" s="28"/>
      <c r="B7531" s="12" t="str">
        <f>IFERROR(VLOOKUP(D7531,'[1]Перечень товаров'!$A$2:$I9525,2,0),"")</f>
        <v>тм54</v>
      </c>
      <c r="C7531" s="12" t="str">
        <f>IFERROR(VLOOKUP(D7531,'[1]Перечень товаров'!$A$2:$I9525,3,0),"")</f>
        <v>Техника муз</v>
      </c>
      <c r="D7531" s="29" t="s">
        <v>310</v>
      </c>
      <c r="E7531" s="30"/>
      <c r="F7531" s="30"/>
      <c r="G7531" s="31">
        <v>30</v>
      </c>
      <c r="H7531" s="31"/>
      <c r="I7531" s="32"/>
      <c r="J7531" s="32"/>
      <c r="K7531" s="19"/>
      <c r="L7531" s="20"/>
    </row>
    <row r="7532" spans="1:12" ht="31.5" outlineLevel="2">
      <c r="A7532" s="28"/>
      <c r="B7532" s="12" t="str">
        <f>IFERROR(VLOOKUP(D7532,'[1]Перечень товаров'!$A$2:$I9525,2,0),"")</f>
        <v>тм80</v>
      </c>
      <c r="C7532" s="12" t="str">
        <f>IFERROR(VLOOKUP(D7532,'[1]Перечень товаров'!$A$2:$I9525,3,0),"")</f>
        <v>Техника муз</v>
      </c>
      <c r="D7532" s="29" t="s">
        <v>1836</v>
      </c>
      <c r="E7532" s="30"/>
      <c r="F7532" s="30"/>
      <c r="G7532" s="31">
        <v>5</v>
      </c>
      <c r="H7532" s="31"/>
      <c r="I7532" s="32"/>
      <c r="J7532" s="32"/>
      <c r="K7532" s="19"/>
      <c r="L7532" s="20"/>
    </row>
    <row r="7533" spans="1:12" outlineLevel="2">
      <c r="A7533" s="28"/>
      <c r="B7533" s="12" t="str">
        <f>IFERROR(VLOOKUP(D7533,'[1]Перечень товаров'!$A$2:$I9525,2,0),"")</f>
        <v>пм211</v>
      </c>
      <c r="C7533" s="12" t="str">
        <f>IFERROR(VLOOKUP(D7533,'[1]Перечень товаров'!$A$2:$I9525,3,0),"")</f>
        <v>прочее муз</v>
      </c>
      <c r="D7533" s="29" t="s">
        <v>995</v>
      </c>
      <c r="E7533" s="30"/>
      <c r="F7533" s="30"/>
      <c r="G7533" s="31">
        <v>10</v>
      </c>
      <c r="H7533" s="31"/>
      <c r="I7533" s="32"/>
      <c r="J7533" s="32"/>
      <c r="K7533" s="19"/>
      <c r="L7533" s="20"/>
    </row>
    <row r="7534" spans="1:12" ht="31.5" outlineLevel="2">
      <c r="A7534" s="28"/>
      <c r="B7534" s="12" t="str">
        <f>IFERROR(VLOOKUP(D7534,'[1]Перечень товаров'!$A$2:$I9525,2,0),"")</f>
        <v>тм79</v>
      </c>
      <c r="C7534" s="12" t="str">
        <f>IFERROR(VLOOKUP(D7534,'[1]Перечень товаров'!$A$2:$I9525,3,0),"")</f>
        <v>Техника муз</v>
      </c>
      <c r="D7534" s="29" t="s">
        <v>1837</v>
      </c>
      <c r="E7534" s="30"/>
      <c r="F7534" s="30"/>
      <c r="G7534" s="31">
        <v>18</v>
      </c>
      <c r="H7534" s="31"/>
      <c r="I7534" s="32"/>
      <c r="J7534" s="32"/>
      <c r="K7534" s="19"/>
      <c r="L7534" s="20"/>
    </row>
    <row r="7535" spans="1:12" outlineLevel="2">
      <c r="A7535" s="28"/>
      <c r="B7535" s="12" t="str">
        <f>IFERROR(VLOOKUP(D7535,'[1]Перечень товаров'!$A$2:$I9525,2,0),"")</f>
        <v>тм78</v>
      </c>
      <c r="C7535" s="12" t="str">
        <f>IFERROR(VLOOKUP(D7535,'[1]Перечень товаров'!$A$2:$I9525,3,0),"")</f>
        <v>Техника муз</v>
      </c>
      <c r="D7535" s="29" t="s">
        <v>1838</v>
      </c>
      <c r="E7535" s="30"/>
      <c r="F7535" s="30"/>
      <c r="G7535" s="31">
        <v>1</v>
      </c>
      <c r="H7535" s="31"/>
      <c r="I7535" s="32"/>
      <c r="J7535" s="32"/>
      <c r="K7535" s="19"/>
      <c r="L7535" s="20"/>
    </row>
    <row r="7536" spans="1:12" outlineLevel="2">
      <c r="A7536" s="54"/>
      <c r="B7536" s="12" t="str">
        <f>IFERROR(VLOOKUP(D7536,'[1]Перечень товаров'!$A$2:$I9525,2,0),"")</f>
        <v/>
      </c>
      <c r="C7536" s="12" t="str">
        <f>IFERROR(VLOOKUP(D7536,'[1]Перечень товаров'!$A$2:$I9525,3,0),"")</f>
        <v/>
      </c>
      <c r="D7536" s="55" t="s">
        <v>45</v>
      </c>
      <c r="E7536" s="217"/>
      <c r="F7536" s="217"/>
      <c r="G7536" s="59"/>
      <c r="H7536" s="59"/>
      <c r="I7536" s="60"/>
      <c r="J7536" s="60"/>
      <c r="K7536" s="19"/>
      <c r="L7536" s="20"/>
    </row>
    <row r="7537" spans="1:12" outlineLevel="2">
      <c r="A7537" s="43"/>
      <c r="B7537" s="12" t="str">
        <f>IFERROR(VLOOKUP(D7537,'[1]Перечень товаров'!$A$2:$I9525,2,0),"")</f>
        <v>м7</v>
      </c>
      <c r="C7537" s="12" t="str">
        <f>IFERROR(VLOOKUP(D7537,'[1]Перечень товаров'!$A$2:$I9525,3,0),"")</f>
        <v>Мебель</v>
      </c>
      <c r="D7537" s="44" t="s">
        <v>24</v>
      </c>
      <c r="E7537" s="30"/>
      <c r="F7537" s="30"/>
      <c r="G7537" s="59">
        <v>1</v>
      </c>
      <c r="H7537" s="59"/>
      <c r="I7537" s="60"/>
      <c r="J7537" s="60"/>
      <c r="K7537" s="19"/>
      <c r="L7537" s="20"/>
    </row>
    <row r="7538" spans="1:12" outlineLevel="2">
      <c r="A7538" s="43"/>
      <c r="B7538" s="12" t="str">
        <f>IFERROR(VLOOKUP(D7538,'[1]Перечень товаров'!$A$2:$I9525,2,0),"")</f>
        <v>п1</v>
      </c>
      <c r="C7538" s="12" t="str">
        <f>IFERROR(VLOOKUP(D7538,'[1]Перечень товаров'!$A$2:$I9525,3,0),"")</f>
        <v>Прочее</v>
      </c>
      <c r="D7538" s="44" t="s">
        <v>37</v>
      </c>
      <c r="E7538" s="30"/>
      <c r="F7538" s="30"/>
      <c r="G7538" s="59">
        <v>1</v>
      </c>
      <c r="H7538" s="59"/>
      <c r="I7538" s="60"/>
      <c r="J7538" s="60"/>
      <c r="K7538" s="19"/>
      <c r="L7538" s="20"/>
    </row>
    <row r="7539" spans="1:12" outlineLevel="2">
      <c r="A7539" s="21"/>
      <c r="B7539" s="12" t="str">
        <f>IFERROR(VLOOKUP(D7539,'[1]Перечень товаров'!$A$2:$I9525,2,0),"")</f>
        <v>п2</v>
      </c>
      <c r="C7539" s="12" t="str">
        <f>IFERROR(VLOOKUP(D7539,'[1]Перечень товаров'!$A$2:$I9525,3,0),"")</f>
        <v>Прочее</v>
      </c>
      <c r="D7539" s="22" t="s">
        <v>46</v>
      </c>
      <c r="E7539" s="58"/>
      <c r="F7539" s="58"/>
      <c r="G7539" s="24">
        <v>1</v>
      </c>
      <c r="H7539" s="24"/>
      <c r="I7539" s="25"/>
      <c r="J7539" s="25"/>
      <c r="K7539" s="19"/>
      <c r="L7539" s="20"/>
    </row>
    <row r="7540" spans="1:12" ht="12.75" outlineLevel="1">
      <c r="A7540" s="11"/>
      <c r="B7540" s="12" t="str">
        <f>IFERROR(VLOOKUP(D7540,'[1]Перечень товаров'!$A$2:$I9525,2,0),"")</f>
        <v/>
      </c>
      <c r="C7540" s="12" t="str">
        <f>IFERROR(VLOOKUP(D7540,'[1]Перечень товаров'!$A$2:$I9525,3,0),"")</f>
        <v/>
      </c>
      <c r="D7540" s="27" t="s">
        <v>1827</v>
      </c>
      <c r="E7540" s="99">
        <v>46072</v>
      </c>
      <c r="F7540" s="99"/>
      <c r="G7540" s="100"/>
      <c r="H7540" s="100"/>
      <c r="I7540" s="101"/>
      <c r="J7540" s="101"/>
      <c r="K7540" s="19"/>
      <c r="L7540" s="20"/>
    </row>
    <row r="7541" spans="1:12" ht="15" outlineLevel="2">
      <c r="A7541" s="109"/>
      <c r="B7541" s="12" t="str">
        <f>IFERROR(VLOOKUP(D7541,'[1]Перечень товаров'!$A$2:$I9525,2,0),"")</f>
        <v/>
      </c>
      <c r="C7541" s="12" t="str">
        <f>IFERROR(VLOOKUP(D7541,'[1]Перечень товаров'!$A$2:$I9525,3,0),"")</f>
        <v/>
      </c>
      <c r="D7541" s="110" t="s">
        <v>27</v>
      </c>
      <c r="E7541" s="45"/>
      <c r="F7541" s="45"/>
      <c r="G7541" s="111"/>
      <c r="H7541" s="111"/>
      <c r="I7541" s="112"/>
      <c r="J7541" s="112"/>
      <c r="K7541" s="19"/>
      <c r="L7541" s="20"/>
    </row>
    <row r="7542" spans="1:12" outlineLevel="2">
      <c r="A7542" s="21"/>
      <c r="B7542" s="12" t="str">
        <f>IFERROR(VLOOKUP(D7542,'[1]Перечень товаров'!$A$2:$I9525,2,0),"")</f>
        <v>т1</v>
      </c>
      <c r="C7542" s="12" t="str">
        <f>IFERROR(VLOOKUP(D7542,'[1]Перечень товаров'!$A$2:$I9525,3,0),"")</f>
        <v xml:space="preserve">Техника </v>
      </c>
      <c r="D7542" s="22" t="s">
        <v>28</v>
      </c>
      <c r="E7542" s="58"/>
      <c r="F7542" s="58"/>
      <c r="G7542" s="48">
        <v>1</v>
      </c>
      <c r="H7542" s="48"/>
      <c r="I7542" s="49"/>
      <c r="J7542" s="49"/>
      <c r="K7542" s="19"/>
      <c r="L7542" s="20"/>
    </row>
    <row r="7543" spans="1:12" outlineLevel="2">
      <c r="A7543" s="143"/>
      <c r="B7543" s="12" t="str">
        <f>IFERROR(VLOOKUP(D7543,'[1]Перечень товаров'!$A$2:$I9525,2,0),"")</f>
        <v>т9</v>
      </c>
      <c r="C7543" s="12" t="str">
        <f>IFERROR(VLOOKUP(D7543,'[1]Перечень товаров'!$A$2:$I9525,3,0),"")</f>
        <v>Техника</v>
      </c>
      <c r="D7543" s="143" t="s">
        <v>36</v>
      </c>
      <c r="E7543" s="58"/>
      <c r="F7543" s="58"/>
      <c r="G7543" s="48">
        <v>1</v>
      </c>
      <c r="H7543" s="48"/>
      <c r="I7543" s="49"/>
      <c r="J7543" s="49"/>
      <c r="K7543" s="19"/>
      <c r="L7543" s="20"/>
    </row>
    <row r="7544" spans="1:12" outlineLevel="2">
      <c r="A7544" s="35"/>
      <c r="B7544" s="12" t="str">
        <f>IFERROR(VLOOKUP(D7544,'[1]Перечень товаров'!$A$2:$I9525,2,0),"")</f>
        <v>т2</v>
      </c>
      <c r="C7544" s="12" t="str">
        <f>IFERROR(VLOOKUP(D7544,'[1]Перечень товаров'!$A$2:$I9525,3,0),"")</f>
        <v xml:space="preserve">Техника </v>
      </c>
      <c r="D7544" s="35" t="s">
        <v>29</v>
      </c>
      <c r="E7544" s="58"/>
      <c r="F7544" s="58"/>
      <c r="G7544" s="48">
        <v>1</v>
      </c>
      <c r="H7544" s="48"/>
      <c r="I7544" s="49"/>
      <c r="J7544" s="49"/>
      <c r="K7544" s="19"/>
      <c r="L7544" s="20"/>
    </row>
    <row r="7545" spans="1:12" outlineLevel="2">
      <c r="A7545" s="35"/>
      <c r="B7545" s="12" t="str">
        <f>IFERROR(VLOOKUP(D7545,'[1]Перечень товаров'!$A$2:$I9525,2,0),"")</f>
        <v>т3</v>
      </c>
      <c r="C7545" s="12" t="str">
        <f>IFERROR(VLOOKUP(D7545,'[1]Перечень товаров'!$A$2:$I9525,3,0),"")</f>
        <v xml:space="preserve">Техника </v>
      </c>
      <c r="D7545" s="35" t="s">
        <v>30</v>
      </c>
      <c r="E7545" s="58"/>
      <c r="F7545" s="58"/>
      <c r="G7545" s="48">
        <v>1</v>
      </c>
      <c r="H7545" s="48"/>
      <c r="I7545" s="49"/>
      <c r="J7545" s="49"/>
      <c r="K7545" s="19"/>
      <c r="L7545" s="20"/>
    </row>
    <row r="7546" spans="1:12" outlineLevel="2">
      <c r="A7546" s="35"/>
      <c r="B7546" s="12" t="str">
        <f>IFERROR(VLOOKUP(D7546,'[1]Перечень товаров'!$A$2:$I9525,2,0),"")</f>
        <v>т4</v>
      </c>
      <c r="C7546" s="12" t="str">
        <f>IFERROR(VLOOKUP(D7546,'[1]Перечень товаров'!$A$2:$I9525,3,0),"")</f>
        <v xml:space="preserve">Техника </v>
      </c>
      <c r="D7546" s="35" t="s">
        <v>31</v>
      </c>
      <c r="E7546" s="58"/>
      <c r="F7546" s="58"/>
      <c r="G7546" s="48">
        <v>1</v>
      </c>
      <c r="H7546" s="48"/>
      <c r="I7546" s="49"/>
      <c r="J7546" s="49"/>
      <c r="K7546" s="19"/>
      <c r="L7546" s="20"/>
    </row>
    <row r="7547" spans="1:12" outlineLevel="2">
      <c r="A7547" s="21"/>
      <c r="B7547" s="12" t="str">
        <f>IFERROR(VLOOKUP(D7547,'[1]Перечень товаров'!$A$2:$I9525,2,0),"")</f>
        <v>тм65</v>
      </c>
      <c r="C7547" s="12" t="str">
        <f>IFERROR(VLOOKUP(D7547,'[1]Перечень товаров'!$A$2:$I9525,3,0),"")</f>
        <v>Техника муз</v>
      </c>
      <c r="D7547" s="22" t="s">
        <v>380</v>
      </c>
      <c r="E7547" s="58"/>
      <c r="F7547" s="58"/>
      <c r="G7547" s="48">
        <v>1</v>
      </c>
      <c r="H7547" s="48"/>
      <c r="I7547" s="49"/>
      <c r="J7547" s="49"/>
      <c r="K7547" s="19"/>
      <c r="L7547" s="20"/>
    </row>
    <row r="7548" spans="1:12" outlineLevel="2">
      <c r="A7548" s="21"/>
      <c r="B7548" s="12" t="str">
        <f>IFERROR(VLOOKUP(D7548,'[1]Перечень товаров'!$A$2:$I9525,2,0),"")</f>
        <v>т12</v>
      </c>
      <c r="C7548" s="12" t="str">
        <f>IFERROR(VLOOKUP(D7548,'[1]Перечень товаров'!$A$2:$I9525,3,0),"")</f>
        <v>Техника</v>
      </c>
      <c r="D7548" s="22" t="s">
        <v>49</v>
      </c>
      <c r="E7548" s="58"/>
      <c r="F7548" s="58"/>
      <c r="G7548" s="48">
        <v>1</v>
      </c>
      <c r="H7548" s="48"/>
      <c r="I7548" s="49"/>
      <c r="J7548" s="49"/>
      <c r="K7548" s="19"/>
      <c r="L7548" s="20"/>
    </row>
    <row r="7549" spans="1:12" outlineLevel="2">
      <c r="A7549" s="35"/>
      <c r="B7549" s="12" t="str">
        <f>IFERROR(VLOOKUP(D7549,'[1]Перечень товаров'!$A$2:$I9525,2,0),"")</f>
        <v>т6</v>
      </c>
      <c r="C7549" s="12" t="str">
        <f>IFERROR(VLOOKUP(D7549,'[1]Перечень товаров'!$A$2:$I9525,3,0),"")</f>
        <v xml:space="preserve">Техника </v>
      </c>
      <c r="D7549" s="35" t="s">
        <v>33</v>
      </c>
      <c r="E7549" s="58"/>
      <c r="F7549" s="58"/>
      <c r="G7549" s="48">
        <v>1</v>
      </c>
      <c r="H7549" s="48"/>
      <c r="I7549" s="49"/>
      <c r="J7549" s="49"/>
      <c r="K7549" s="19"/>
      <c r="L7549" s="20"/>
    </row>
    <row r="7550" spans="1:12" outlineLevel="2">
      <c r="A7550" s="21"/>
      <c r="B7550" s="12" t="str">
        <f>IFERROR(VLOOKUP(D7550,'[1]Перечень товаров'!$A$2:$I9525,2,0),"")</f>
        <v>т7</v>
      </c>
      <c r="C7550" s="12" t="str">
        <f>IFERROR(VLOOKUP(D7550,'[1]Перечень товаров'!$A$2:$I9525,3,0),"")</f>
        <v xml:space="preserve">Техника </v>
      </c>
      <c r="D7550" s="22" t="s">
        <v>34</v>
      </c>
      <c r="E7550" s="58"/>
      <c r="F7550" s="58"/>
      <c r="G7550" s="48">
        <v>3</v>
      </c>
      <c r="H7550" s="48"/>
      <c r="I7550" s="49"/>
      <c r="J7550" s="49"/>
      <c r="K7550" s="19"/>
      <c r="L7550" s="20"/>
    </row>
    <row r="7551" spans="1:12" outlineLevel="2">
      <c r="A7551" s="28"/>
      <c r="B7551" s="12" t="str">
        <f>IFERROR(VLOOKUP(D7551,'[1]Перечень товаров'!$A$2:$I9525,2,0),"")</f>
        <v>т161</v>
      </c>
      <c r="C7551" s="12" t="str">
        <f>IFERROR(VLOOKUP(D7551,'[1]Перечень товаров'!$A$2:$I9525,3,0),"")</f>
        <v xml:space="preserve">Техника </v>
      </c>
      <c r="D7551" s="29" t="s">
        <v>381</v>
      </c>
      <c r="E7551" s="30"/>
      <c r="F7551" s="30"/>
      <c r="G7551" s="59">
        <v>1</v>
      </c>
      <c r="H7551" s="59"/>
      <c r="I7551" s="60"/>
      <c r="J7551" s="60"/>
      <c r="K7551" s="19"/>
      <c r="L7551" s="20"/>
    </row>
    <row r="7552" spans="1:12" outlineLevel="2">
      <c r="A7552" s="113"/>
      <c r="B7552" s="12" t="str">
        <f>IFERROR(VLOOKUP(D7552,'[1]Перечень товаров'!$A$2:$I9525,2,0),"")</f>
        <v/>
      </c>
      <c r="C7552" s="12" t="str">
        <f>IFERROR(VLOOKUP(D7552,'[1]Перечень товаров'!$A$2:$I9525,3,0),"")</f>
        <v/>
      </c>
      <c r="D7552" s="114" t="s">
        <v>19</v>
      </c>
      <c r="E7552" s="115"/>
      <c r="F7552" s="115"/>
      <c r="G7552" s="59"/>
      <c r="H7552" s="59"/>
      <c r="I7552" s="60"/>
      <c r="J7552" s="60"/>
      <c r="K7552" s="19"/>
      <c r="L7552" s="20"/>
    </row>
    <row r="7553" spans="1:12" outlineLevel="2">
      <c r="A7553" s="34"/>
      <c r="B7553" s="12" t="str">
        <f>IFERROR(VLOOKUP(D7553,'[1]Перечень товаров'!$A$2:$I9525,2,0),"")</f>
        <v>м62</v>
      </c>
      <c r="C7553" s="12" t="str">
        <f>IFERROR(VLOOKUP(D7553,'[1]Перечень товаров'!$A$2:$I9525,3,0),"")</f>
        <v>Мебель</v>
      </c>
      <c r="D7553" s="35" t="s">
        <v>398</v>
      </c>
      <c r="E7553" s="88"/>
      <c r="F7553" s="88"/>
      <c r="G7553" s="59">
        <v>1</v>
      </c>
      <c r="H7553" s="59"/>
      <c r="I7553" s="60"/>
      <c r="J7553" s="60"/>
      <c r="K7553" s="19"/>
      <c r="L7553" s="20"/>
    </row>
    <row r="7554" spans="1:12" outlineLevel="2">
      <c r="A7554" s="34"/>
      <c r="B7554" s="12" t="str">
        <f>IFERROR(VLOOKUP(D7554,'[1]Перечень товаров'!$A$2:$I9525,2,0),"")</f>
        <v>м61</v>
      </c>
      <c r="C7554" s="12" t="str">
        <f>IFERROR(VLOOKUP(D7554,'[1]Перечень товаров'!$A$2:$I9525,3,0),"")</f>
        <v>Мебель</v>
      </c>
      <c r="D7554" s="35" t="s">
        <v>383</v>
      </c>
      <c r="E7554" s="88"/>
      <c r="F7554" s="88"/>
      <c r="G7554" s="59">
        <v>1</v>
      </c>
      <c r="H7554" s="59"/>
      <c r="I7554" s="60"/>
      <c r="J7554" s="60"/>
      <c r="K7554" s="19"/>
      <c r="L7554" s="20"/>
    </row>
    <row r="7555" spans="1:12" outlineLevel="2">
      <c r="A7555" s="34"/>
      <c r="B7555" s="12" t="str">
        <f>IFERROR(VLOOKUP(D7555,'[1]Перечень товаров'!$A$2:$I9525,2,0),"")</f>
        <v>м179</v>
      </c>
      <c r="C7555" s="12" t="str">
        <f>IFERROR(VLOOKUP(D7555,'[1]Перечень товаров'!$A$2:$I9525,3,0),"")</f>
        <v>Мебель</v>
      </c>
      <c r="D7555" s="35" t="s">
        <v>579</v>
      </c>
      <c r="E7555" s="88"/>
      <c r="F7555" s="88"/>
      <c r="G7555" s="59">
        <v>10</v>
      </c>
      <c r="H7555" s="59"/>
      <c r="I7555" s="60"/>
      <c r="J7555" s="60"/>
      <c r="K7555" s="19"/>
      <c r="L7555" s="20"/>
    </row>
    <row r="7556" spans="1:12" outlineLevel="2">
      <c r="A7556" s="34"/>
      <c r="B7556" s="12" t="str">
        <f>IFERROR(VLOOKUP(D7556,'[1]Перечень товаров'!$A$2:$I9525,2,0),"")</f>
        <v>м61</v>
      </c>
      <c r="C7556" s="12" t="str">
        <f>IFERROR(VLOOKUP(D7556,'[1]Перечень товаров'!$A$2:$I9525,3,0),"")</f>
        <v>Мебель</v>
      </c>
      <c r="D7556" s="35" t="s">
        <v>384</v>
      </c>
      <c r="E7556" s="88"/>
      <c r="F7556" s="88"/>
      <c r="G7556" s="59">
        <v>20</v>
      </c>
      <c r="H7556" s="59"/>
      <c r="I7556" s="60"/>
      <c r="J7556" s="60"/>
      <c r="K7556" s="19"/>
      <c r="L7556" s="20"/>
    </row>
    <row r="7557" spans="1:12" outlineLevel="2">
      <c r="A7557" s="21"/>
      <c r="B7557" s="12" t="str">
        <f>IFERROR(VLOOKUP(D7557,'[1]Перечень товаров'!$A$2:$I9525,2,0),"")</f>
        <v>м13</v>
      </c>
      <c r="C7557" s="12" t="str">
        <f>IFERROR(VLOOKUP(D7557,'[1]Перечень товаров'!$A$2:$I9525,3,0),"")</f>
        <v>Мебель</v>
      </c>
      <c r="D7557" s="22" t="s">
        <v>42</v>
      </c>
      <c r="E7557" s="58"/>
      <c r="F7557" s="58"/>
      <c r="G7557" s="24">
        <v>1</v>
      </c>
      <c r="H7557" s="24"/>
      <c r="I7557" s="25"/>
      <c r="J7557" s="25"/>
      <c r="K7557" s="19"/>
      <c r="L7557" s="20"/>
    </row>
    <row r="7558" spans="1:12" outlineLevel="2">
      <c r="A7558" s="21"/>
      <c r="B7558" s="12" t="str">
        <f>IFERROR(VLOOKUP(D7558,'[1]Перечень товаров'!$A$2:$I9525,2,0),"")</f>
        <v>м14</v>
      </c>
      <c r="C7558" s="12" t="str">
        <f>IFERROR(VLOOKUP(D7558,'[1]Перечень товаров'!$A$2:$I9525,3,0),"")</f>
        <v>Мебель</v>
      </c>
      <c r="D7558" s="22" t="s">
        <v>43</v>
      </c>
      <c r="E7558" s="58"/>
      <c r="F7558" s="58"/>
      <c r="G7558" s="24">
        <v>1</v>
      </c>
      <c r="H7558" s="24"/>
      <c r="I7558" s="25"/>
      <c r="J7558" s="25"/>
      <c r="K7558" s="19"/>
      <c r="L7558" s="20"/>
    </row>
    <row r="7559" spans="1:12" ht="31.5" outlineLevel="2">
      <c r="A7559" s="155"/>
      <c r="B7559" s="12" t="str">
        <f>IFERROR(VLOOKUP(D7559,'[1]Перечень товаров'!$A$2:$I9525,2,0),"")</f>
        <v>м21</v>
      </c>
      <c r="C7559" s="12" t="str">
        <f>IFERROR(VLOOKUP(D7559,'[1]Перечень товаров'!$A$2:$I9525,3,0),"")</f>
        <v>Мебель</v>
      </c>
      <c r="D7559" s="156" t="s">
        <v>58</v>
      </c>
      <c r="E7559" s="58"/>
      <c r="F7559" s="58"/>
      <c r="G7559" s="24">
        <v>1</v>
      </c>
      <c r="H7559" s="24"/>
      <c r="I7559" s="25"/>
      <c r="J7559" s="25"/>
      <c r="K7559" s="19"/>
      <c r="L7559" s="20"/>
    </row>
    <row r="7560" spans="1:12" ht="15" outlineLevel="2">
      <c r="A7560" s="116"/>
      <c r="B7560" s="12" t="str">
        <f>IFERROR(VLOOKUP(D7560,'[1]Перечень товаров'!$A$2:$I9525,2,0),"")</f>
        <v/>
      </c>
      <c r="C7560" s="12" t="str">
        <f>IFERROR(VLOOKUP(D7560,'[1]Перечень товаров'!$A$2:$I9525,3,0),"")</f>
        <v/>
      </c>
      <c r="D7560" s="117" t="s">
        <v>391</v>
      </c>
      <c r="E7560" s="118"/>
      <c r="F7560" s="118"/>
      <c r="G7560" s="119"/>
      <c r="H7560" s="119"/>
      <c r="I7560" s="120"/>
      <c r="J7560" s="120"/>
      <c r="K7560" s="19"/>
      <c r="L7560" s="20"/>
    </row>
    <row r="7561" spans="1:12" ht="15" outlineLevel="2">
      <c r="A7561" s="274"/>
      <c r="B7561" s="12" t="str">
        <f>IFERROR(VLOOKUP(D7561,'[1]Перечень товаров'!$A$2:$I9525,2,0),"")</f>
        <v/>
      </c>
      <c r="C7561" s="12" t="str">
        <f>IFERROR(VLOOKUP(D7561,'[1]Перечень товаров'!$A$2:$I9525,3,0),"")</f>
        <v/>
      </c>
      <c r="D7561" s="275" t="s">
        <v>1828</v>
      </c>
      <c r="E7561" s="118"/>
      <c r="F7561" s="118"/>
      <c r="G7561" s="119"/>
      <c r="H7561" s="119"/>
      <c r="I7561" s="120"/>
      <c r="J7561" s="120"/>
      <c r="K7561" s="19"/>
      <c r="L7561" s="20"/>
    </row>
    <row r="7562" spans="1:12" outlineLevel="2">
      <c r="A7562" s="28"/>
      <c r="B7562" s="12" t="str">
        <f>IFERROR(VLOOKUP(D7562,'[1]Перечень товаров'!$A$2:$I9525,2,0),"")</f>
        <v>тм87</v>
      </c>
      <c r="C7562" s="12" t="str">
        <f>IFERROR(VLOOKUP(D7562,'[1]Перечень товаров'!$A$2:$I9525,3,0),"")</f>
        <v>Техника муз</v>
      </c>
      <c r="D7562" s="29" t="s">
        <v>1829</v>
      </c>
      <c r="E7562" s="30"/>
      <c r="F7562" s="30"/>
      <c r="G7562" s="31">
        <v>2</v>
      </c>
      <c r="H7562" s="31"/>
      <c r="I7562" s="32"/>
      <c r="J7562" s="32"/>
      <c r="K7562" s="19"/>
      <c r="L7562" s="20"/>
    </row>
    <row r="7563" spans="1:12" outlineLevel="2">
      <c r="A7563" s="28"/>
      <c r="B7563" s="12" t="str">
        <f>IFERROR(VLOOKUP(D7563,'[1]Перечень товаров'!$A$2:$I9525,2,0),"")</f>
        <v>тм86</v>
      </c>
      <c r="C7563" s="12" t="str">
        <f>IFERROR(VLOOKUP(D7563,'[1]Перечень товаров'!$A$2:$I9525,3,0),"")</f>
        <v>Техника муз</v>
      </c>
      <c r="D7563" s="29" t="s">
        <v>1830</v>
      </c>
      <c r="E7563" s="30"/>
      <c r="F7563" s="30"/>
      <c r="G7563" s="31">
        <v>3</v>
      </c>
      <c r="H7563" s="31"/>
      <c r="I7563" s="32"/>
      <c r="J7563" s="32"/>
      <c r="K7563" s="19"/>
      <c r="L7563" s="20"/>
    </row>
    <row r="7564" spans="1:12" outlineLevel="2">
      <c r="A7564" s="28"/>
      <c r="B7564" s="12" t="str">
        <f>IFERROR(VLOOKUP(D7564,'[1]Перечень товаров'!$A$2:$I9525,2,0),"")</f>
        <v>тм85</v>
      </c>
      <c r="C7564" s="12" t="str">
        <f>IFERROR(VLOOKUP(D7564,'[1]Перечень товаров'!$A$2:$I9525,3,0),"")</f>
        <v>Техника муз</v>
      </c>
      <c r="D7564" s="29" t="s">
        <v>1831</v>
      </c>
      <c r="E7564" s="30"/>
      <c r="F7564" s="30"/>
      <c r="G7564" s="31">
        <v>4</v>
      </c>
      <c r="H7564" s="31"/>
      <c r="I7564" s="32"/>
      <c r="J7564" s="32"/>
      <c r="K7564" s="19"/>
      <c r="L7564" s="20"/>
    </row>
    <row r="7565" spans="1:12" outlineLevel="2">
      <c r="A7565" s="28"/>
      <c r="B7565" s="12" t="str">
        <f>IFERROR(VLOOKUP(D7565,'[1]Перечень товаров'!$A$2:$I9525,2,0),"")</f>
        <v>тм84</v>
      </c>
      <c r="C7565" s="12" t="str">
        <f>IFERROR(VLOOKUP(D7565,'[1]Перечень товаров'!$A$2:$I9525,3,0),"")</f>
        <v>Техника муз</v>
      </c>
      <c r="D7565" s="29" t="s">
        <v>1832</v>
      </c>
      <c r="E7565" s="30"/>
      <c r="F7565" s="30"/>
      <c r="G7565" s="31">
        <v>4</v>
      </c>
      <c r="H7565" s="31"/>
      <c r="I7565" s="32"/>
      <c r="J7565" s="32"/>
      <c r="K7565" s="19"/>
      <c r="L7565" s="20"/>
    </row>
    <row r="7566" spans="1:12" outlineLevel="2">
      <c r="A7566" s="28"/>
      <c r="B7566" s="12" t="str">
        <f>IFERROR(VLOOKUP(D7566,'[1]Перечень товаров'!$A$2:$I9525,2,0),"")</f>
        <v>тм83</v>
      </c>
      <c r="C7566" s="12" t="str">
        <f>IFERROR(VLOOKUP(D7566,'[1]Перечень товаров'!$A$2:$I9525,3,0),"")</f>
        <v>Техника муз</v>
      </c>
      <c r="D7566" s="29" t="s">
        <v>1833</v>
      </c>
      <c r="E7566" s="30"/>
      <c r="F7566" s="30"/>
      <c r="G7566" s="31">
        <v>5</v>
      </c>
      <c r="H7566" s="31"/>
      <c r="I7566" s="32"/>
      <c r="J7566" s="32"/>
      <c r="K7566" s="19"/>
      <c r="L7566" s="20"/>
    </row>
    <row r="7567" spans="1:12" outlineLevel="2">
      <c r="A7567" s="28"/>
      <c r="B7567" s="12" t="str">
        <f>IFERROR(VLOOKUP(D7567,'[1]Перечень товаров'!$A$2:$I9525,2,0),"")</f>
        <v>тм82</v>
      </c>
      <c r="C7567" s="12" t="str">
        <f>IFERROR(VLOOKUP(D7567,'[1]Перечень товаров'!$A$2:$I9525,3,0),"")</f>
        <v>Техника муз</v>
      </c>
      <c r="D7567" s="29" t="s">
        <v>1834</v>
      </c>
      <c r="E7567" s="30"/>
      <c r="F7567" s="30"/>
      <c r="G7567" s="31">
        <v>2</v>
      </c>
      <c r="H7567" s="31"/>
      <c r="I7567" s="32"/>
      <c r="J7567" s="32"/>
      <c r="K7567" s="19"/>
      <c r="L7567" s="20"/>
    </row>
    <row r="7568" spans="1:12" ht="31.5" outlineLevel="2">
      <c r="A7568" s="28"/>
      <c r="B7568" s="12" t="str">
        <f>IFERROR(VLOOKUP(D7568,'[1]Перечень товаров'!$A$2:$I9525,2,0),"")</f>
        <v>тм81</v>
      </c>
      <c r="C7568" s="12" t="str">
        <f>IFERROR(VLOOKUP(D7568,'[1]Перечень товаров'!$A$2:$I9525,3,0),"")</f>
        <v>Техника муз</v>
      </c>
      <c r="D7568" s="29" t="s">
        <v>1835</v>
      </c>
      <c r="E7568" s="30"/>
      <c r="F7568" s="30"/>
      <c r="G7568" s="31">
        <v>18</v>
      </c>
      <c r="H7568" s="31"/>
      <c r="I7568" s="32"/>
      <c r="J7568" s="32"/>
      <c r="K7568" s="19"/>
      <c r="L7568" s="20"/>
    </row>
    <row r="7569" spans="1:12" outlineLevel="2">
      <c r="A7569" s="28"/>
      <c r="B7569" s="12" t="str">
        <f>IFERROR(VLOOKUP(D7569,'[1]Перечень товаров'!$A$2:$I9525,2,0),"")</f>
        <v>тм54</v>
      </c>
      <c r="C7569" s="12" t="str">
        <f>IFERROR(VLOOKUP(D7569,'[1]Перечень товаров'!$A$2:$I9525,3,0),"")</f>
        <v>Техника муз</v>
      </c>
      <c r="D7569" s="29" t="s">
        <v>310</v>
      </c>
      <c r="E7569" s="30"/>
      <c r="F7569" s="30"/>
      <c r="G7569" s="31">
        <v>30</v>
      </c>
      <c r="H7569" s="31"/>
      <c r="I7569" s="32"/>
      <c r="J7569" s="32"/>
      <c r="K7569" s="19"/>
      <c r="L7569" s="20"/>
    </row>
    <row r="7570" spans="1:12" ht="31.5" outlineLevel="2">
      <c r="A7570" s="28"/>
      <c r="B7570" s="12" t="str">
        <f>IFERROR(VLOOKUP(D7570,'[1]Перечень товаров'!$A$2:$I9525,2,0),"")</f>
        <v>тм80</v>
      </c>
      <c r="C7570" s="12" t="str">
        <f>IFERROR(VLOOKUP(D7570,'[1]Перечень товаров'!$A$2:$I9525,3,0),"")</f>
        <v>Техника муз</v>
      </c>
      <c r="D7570" s="29" t="s">
        <v>1836</v>
      </c>
      <c r="E7570" s="30"/>
      <c r="F7570" s="30"/>
      <c r="G7570" s="31">
        <v>5</v>
      </c>
      <c r="H7570" s="31"/>
      <c r="I7570" s="32"/>
      <c r="J7570" s="32"/>
      <c r="K7570" s="19"/>
      <c r="L7570" s="20"/>
    </row>
    <row r="7571" spans="1:12" outlineLevel="2">
      <c r="A7571" s="28"/>
      <c r="B7571" s="12" t="str">
        <f>IFERROR(VLOOKUP(D7571,'[1]Перечень товаров'!$A$2:$I9525,2,0),"")</f>
        <v>пм211</v>
      </c>
      <c r="C7571" s="12" t="str">
        <f>IFERROR(VLOOKUP(D7571,'[1]Перечень товаров'!$A$2:$I9525,3,0),"")</f>
        <v>прочее муз</v>
      </c>
      <c r="D7571" s="29" t="s">
        <v>995</v>
      </c>
      <c r="E7571" s="30"/>
      <c r="F7571" s="30"/>
      <c r="G7571" s="31">
        <v>10</v>
      </c>
      <c r="H7571" s="31"/>
      <c r="I7571" s="32"/>
      <c r="J7571" s="32"/>
      <c r="K7571" s="19"/>
      <c r="L7571" s="20"/>
    </row>
    <row r="7572" spans="1:12" ht="31.5" outlineLevel="2">
      <c r="A7572" s="28"/>
      <c r="B7572" s="12" t="str">
        <f>IFERROR(VLOOKUP(D7572,'[1]Перечень товаров'!$A$2:$I9525,2,0),"")</f>
        <v>тм79</v>
      </c>
      <c r="C7572" s="12" t="str">
        <f>IFERROR(VLOOKUP(D7572,'[1]Перечень товаров'!$A$2:$I9525,3,0),"")</f>
        <v>Техника муз</v>
      </c>
      <c r="D7572" s="29" t="s">
        <v>1837</v>
      </c>
      <c r="E7572" s="30"/>
      <c r="F7572" s="30"/>
      <c r="G7572" s="31">
        <v>18</v>
      </c>
      <c r="H7572" s="31"/>
      <c r="I7572" s="32"/>
      <c r="J7572" s="32"/>
      <c r="K7572" s="19"/>
      <c r="L7572" s="20"/>
    </row>
    <row r="7573" spans="1:12" outlineLevel="2">
      <c r="A7573" s="28"/>
      <c r="B7573" s="12" t="str">
        <f>IFERROR(VLOOKUP(D7573,'[1]Перечень товаров'!$A$2:$I9525,2,0),"")</f>
        <v>тм78</v>
      </c>
      <c r="C7573" s="12" t="str">
        <f>IFERROR(VLOOKUP(D7573,'[1]Перечень товаров'!$A$2:$I9525,3,0),"")</f>
        <v>Техника муз</v>
      </c>
      <c r="D7573" s="29" t="s">
        <v>1838</v>
      </c>
      <c r="E7573" s="30"/>
      <c r="F7573" s="30"/>
      <c r="G7573" s="31">
        <v>1</v>
      </c>
      <c r="H7573" s="31"/>
      <c r="I7573" s="32"/>
      <c r="J7573" s="32"/>
      <c r="K7573" s="19"/>
      <c r="L7573" s="20"/>
    </row>
    <row r="7574" spans="1:12" outlineLevel="2">
      <c r="A7574" s="54"/>
      <c r="B7574" s="12" t="str">
        <f>IFERROR(VLOOKUP(D7574,'[1]Перечень товаров'!$A$2:$I9525,2,0),"")</f>
        <v/>
      </c>
      <c r="C7574" s="12" t="str">
        <f>IFERROR(VLOOKUP(D7574,'[1]Перечень товаров'!$A$2:$I9525,3,0),"")</f>
        <v/>
      </c>
      <c r="D7574" s="55" t="s">
        <v>45</v>
      </c>
      <c r="E7574" s="217"/>
      <c r="F7574" s="217"/>
      <c r="G7574" s="59"/>
      <c r="H7574" s="59"/>
      <c r="I7574" s="60"/>
      <c r="J7574" s="60"/>
      <c r="K7574" s="19"/>
      <c r="L7574" s="20"/>
    </row>
    <row r="7575" spans="1:12" outlineLevel="2">
      <c r="A7575" s="43"/>
      <c r="B7575" s="12" t="str">
        <f>IFERROR(VLOOKUP(D7575,'[1]Перечень товаров'!$A$2:$I9525,2,0),"")</f>
        <v>м7</v>
      </c>
      <c r="C7575" s="12" t="str">
        <f>IFERROR(VLOOKUP(D7575,'[1]Перечень товаров'!$A$2:$I9525,3,0),"")</f>
        <v>Мебель</v>
      </c>
      <c r="D7575" s="44" t="s">
        <v>24</v>
      </c>
      <c r="E7575" s="30"/>
      <c r="F7575" s="30"/>
      <c r="G7575" s="59">
        <v>1</v>
      </c>
      <c r="H7575" s="59"/>
      <c r="I7575" s="60"/>
      <c r="J7575" s="60"/>
      <c r="K7575" s="19"/>
      <c r="L7575" s="20"/>
    </row>
    <row r="7576" spans="1:12" outlineLevel="2">
      <c r="A7576" s="43"/>
      <c r="B7576" s="12" t="str">
        <f>IFERROR(VLOOKUP(D7576,'[1]Перечень товаров'!$A$2:$I9525,2,0),"")</f>
        <v>п1</v>
      </c>
      <c r="C7576" s="12" t="str">
        <f>IFERROR(VLOOKUP(D7576,'[1]Перечень товаров'!$A$2:$I9525,3,0),"")</f>
        <v>Прочее</v>
      </c>
      <c r="D7576" s="44" t="s">
        <v>37</v>
      </c>
      <c r="E7576" s="30"/>
      <c r="F7576" s="30"/>
      <c r="G7576" s="59">
        <v>1</v>
      </c>
      <c r="H7576" s="59"/>
      <c r="I7576" s="60"/>
      <c r="J7576" s="60"/>
      <c r="K7576" s="19"/>
      <c r="L7576" s="20"/>
    </row>
    <row r="7577" spans="1:12" outlineLevel="2">
      <c r="A7577" s="21"/>
      <c r="B7577" s="12" t="str">
        <f>IFERROR(VLOOKUP(D7577,'[1]Перечень товаров'!$A$2:$I9525,2,0),"")</f>
        <v>п2</v>
      </c>
      <c r="C7577" s="12" t="str">
        <f>IFERROR(VLOOKUP(D7577,'[1]Перечень товаров'!$A$2:$I9525,3,0),"")</f>
        <v>Прочее</v>
      </c>
      <c r="D7577" s="22" t="s">
        <v>46</v>
      </c>
      <c r="E7577" s="58"/>
      <c r="F7577" s="58"/>
      <c r="G7577" s="24">
        <v>1</v>
      </c>
      <c r="H7577" s="24"/>
      <c r="I7577" s="25"/>
      <c r="J7577" s="25"/>
      <c r="K7577" s="19"/>
      <c r="L7577" s="20"/>
    </row>
    <row r="7578" spans="1:12" ht="12.75" outlineLevel="1">
      <c r="A7578" s="11"/>
      <c r="B7578" s="12" t="str">
        <f>IFERROR(VLOOKUP(D7578,'[1]Перечень товаров'!$A$2:$I9525,2,0),"")</f>
        <v/>
      </c>
      <c r="C7578" s="12" t="str">
        <f>IFERROR(VLOOKUP(D7578,'[1]Перечень товаров'!$A$2:$I9525,3,0),"")</f>
        <v/>
      </c>
      <c r="D7578" s="27" t="s">
        <v>1827</v>
      </c>
      <c r="E7578" s="99">
        <v>46192</v>
      </c>
      <c r="F7578" s="99"/>
      <c r="G7578" s="100"/>
      <c r="H7578" s="100"/>
      <c r="I7578" s="101"/>
      <c r="J7578" s="101"/>
      <c r="K7578" s="19"/>
      <c r="L7578" s="20"/>
    </row>
    <row r="7579" spans="1:12" ht="15" outlineLevel="2">
      <c r="A7579" s="109"/>
      <c r="B7579" s="12" t="str">
        <f>IFERROR(VLOOKUP(D7579,'[1]Перечень товаров'!$A$2:$I9525,2,0),"")</f>
        <v/>
      </c>
      <c r="C7579" s="12" t="str">
        <f>IFERROR(VLOOKUP(D7579,'[1]Перечень товаров'!$A$2:$I9525,3,0),"")</f>
        <v/>
      </c>
      <c r="D7579" s="110" t="s">
        <v>27</v>
      </c>
      <c r="E7579" s="45"/>
      <c r="F7579" s="45"/>
      <c r="G7579" s="111"/>
      <c r="H7579" s="111"/>
      <c r="I7579" s="112"/>
      <c r="J7579" s="112"/>
      <c r="K7579" s="19"/>
      <c r="L7579" s="20"/>
    </row>
    <row r="7580" spans="1:12" outlineLevel="2">
      <c r="A7580" s="21"/>
      <c r="B7580" s="12" t="str">
        <f>IFERROR(VLOOKUP(D7580,'[1]Перечень товаров'!$A$2:$I9525,2,0),"")</f>
        <v>т1</v>
      </c>
      <c r="C7580" s="12" t="str">
        <f>IFERROR(VLOOKUP(D7580,'[1]Перечень товаров'!$A$2:$I9525,3,0),"")</f>
        <v xml:space="preserve">Техника </v>
      </c>
      <c r="D7580" s="22" t="s">
        <v>28</v>
      </c>
      <c r="E7580" s="58"/>
      <c r="F7580" s="58"/>
      <c r="G7580" s="48">
        <v>1</v>
      </c>
      <c r="H7580" s="48"/>
      <c r="I7580" s="49"/>
      <c r="J7580" s="49"/>
      <c r="K7580" s="19"/>
      <c r="L7580" s="20"/>
    </row>
    <row r="7581" spans="1:12" outlineLevel="2">
      <c r="A7581" s="143"/>
      <c r="B7581" s="12" t="str">
        <f>IFERROR(VLOOKUP(D7581,'[1]Перечень товаров'!$A$2:$I9525,2,0),"")</f>
        <v>т9</v>
      </c>
      <c r="C7581" s="12" t="str">
        <f>IFERROR(VLOOKUP(D7581,'[1]Перечень товаров'!$A$2:$I9525,3,0),"")</f>
        <v>Техника</v>
      </c>
      <c r="D7581" s="143" t="s">
        <v>36</v>
      </c>
      <c r="E7581" s="58"/>
      <c r="F7581" s="58"/>
      <c r="G7581" s="48">
        <v>1</v>
      </c>
      <c r="H7581" s="48"/>
      <c r="I7581" s="49"/>
      <c r="J7581" s="49"/>
      <c r="K7581" s="19"/>
      <c r="L7581" s="20"/>
    </row>
    <row r="7582" spans="1:12" outlineLevel="2">
      <c r="A7582" s="35"/>
      <c r="B7582" s="12" t="str">
        <f>IFERROR(VLOOKUP(D7582,'[1]Перечень товаров'!$A$2:$I9525,2,0),"")</f>
        <v>т2</v>
      </c>
      <c r="C7582" s="12" t="str">
        <f>IFERROR(VLOOKUP(D7582,'[1]Перечень товаров'!$A$2:$I9525,3,0),"")</f>
        <v xml:space="preserve">Техника </v>
      </c>
      <c r="D7582" s="35" t="s">
        <v>29</v>
      </c>
      <c r="E7582" s="58"/>
      <c r="F7582" s="58"/>
      <c r="G7582" s="48">
        <v>1</v>
      </c>
      <c r="H7582" s="48"/>
      <c r="I7582" s="49"/>
      <c r="J7582" s="49"/>
      <c r="K7582" s="19"/>
      <c r="L7582" s="20"/>
    </row>
    <row r="7583" spans="1:12" outlineLevel="2">
      <c r="A7583" s="35"/>
      <c r="B7583" s="12" t="str">
        <f>IFERROR(VLOOKUP(D7583,'[1]Перечень товаров'!$A$2:$I9525,2,0),"")</f>
        <v>т3</v>
      </c>
      <c r="C7583" s="12" t="str">
        <f>IFERROR(VLOOKUP(D7583,'[1]Перечень товаров'!$A$2:$I9525,3,0),"")</f>
        <v xml:space="preserve">Техника </v>
      </c>
      <c r="D7583" s="35" t="s">
        <v>30</v>
      </c>
      <c r="E7583" s="58"/>
      <c r="F7583" s="58"/>
      <c r="G7583" s="48">
        <v>1</v>
      </c>
      <c r="H7583" s="48"/>
      <c r="I7583" s="49"/>
      <c r="J7583" s="49"/>
      <c r="K7583" s="19"/>
      <c r="L7583" s="20"/>
    </row>
    <row r="7584" spans="1:12" outlineLevel="2">
      <c r="A7584" s="35"/>
      <c r="B7584" s="12" t="str">
        <f>IFERROR(VLOOKUP(D7584,'[1]Перечень товаров'!$A$2:$I9525,2,0),"")</f>
        <v>т4</v>
      </c>
      <c r="C7584" s="12" t="str">
        <f>IFERROR(VLOOKUP(D7584,'[1]Перечень товаров'!$A$2:$I9525,3,0),"")</f>
        <v xml:space="preserve">Техника </v>
      </c>
      <c r="D7584" s="35" t="s">
        <v>31</v>
      </c>
      <c r="E7584" s="58"/>
      <c r="F7584" s="58"/>
      <c r="G7584" s="48">
        <v>1</v>
      </c>
      <c r="H7584" s="48"/>
      <c r="I7584" s="49"/>
      <c r="J7584" s="49"/>
      <c r="K7584" s="19"/>
      <c r="L7584" s="20"/>
    </row>
    <row r="7585" spans="1:12" outlineLevel="2">
      <c r="A7585" s="21"/>
      <c r="B7585" s="12" t="str">
        <f>IFERROR(VLOOKUP(D7585,'[1]Перечень товаров'!$A$2:$I9525,2,0),"")</f>
        <v>тм65</v>
      </c>
      <c r="C7585" s="12" t="str">
        <f>IFERROR(VLOOKUP(D7585,'[1]Перечень товаров'!$A$2:$I9525,3,0),"")</f>
        <v>Техника муз</v>
      </c>
      <c r="D7585" s="22" t="s">
        <v>380</v>
      </c>
      <c r="E7585" s="58"/>
      <c r="F7585" s="58"/>
      <c r="G7585" s="48">
        <v>1</v>
      </c>
      <c r="H7585" s="48"/>
      <c r="I7585" s="49"/>
      <c r="J7585" s="49"/>
      <c r="K7585" s="19"/>
      <c r="L7585" s="20"/>
    </row>
    <row r="7586" spans="1:12" outlineLevel="2">
      <c r="A7586" s="21"/>
      <c r="B7586" s="12" t="str">
        <f>IFERROR(VLOOKUP(D7586,'[1]Перечень товаров'!$A$2:$I9525,2,0),"")</f>
        <v>т12</v>
      </c>
      <c r="C7586" s="12" t="str">
        <f>IFERROR(VLOOKUP(D7586,'[1]Перечень товаров'!$A$2:$I9525,3,0),"")</f>
        <v>Техника</v>
      </c>
      <c r="D7586" s="22" t="s">
        <v>49</v>
      </c>
      <c r="E7586" s="58"/>
      <c r="F7586" s="58"/>
      <c r="G7586" s="48">
        <v>1</v>
      </c>
      <c r="H7586" s="48"/>
      <c r="I7586" s="49"/>
      <c r="J7586" s="49"/>
      <c r="K7586" s="19"/>
      <c r="L7586" s="20"/>
    </row>
    <row r="7587" spans="1:12" outlineLevel="2">
      <c r="A7587" s="35"/>
      <c r="B7587" s="12" t="str">
        <f>IFERROR(VLOOKUP(D7587,'[1]Перечень товаров'!$A$2:$I9525,2,0),"")</f>
        <v>т6</v>
      </c>
      <c r="C7587" s="12" t="str">
        <f>IFERROR(VLOOKUP(D7587,'[1]Перечень товаров'!$A$2:$I9525,3,0),"")</f>
        <v xml:space="preserve">Техника </v>
      </c>
      <c r="D7587" s="35" t="s">
        <v>33</v>
      </c>
      <c r="E7587" s="58"/>
      <c r="F7587" s="58"/>
      <c r="G7587" s="48">
        <v>1</v>
      </c>
      <c r="H7587" s="48"/>
      <c r="I7587" s="49"/>
      <c r="J7587" s="49"/>
      <c r="K7587" s="19"/>
      <c r="L7587" s="20"/>
    </row>
    <row r="7588" spans="1:12" outlineLevel="2">
      <c r="A7588" s="21"/>
      <c r="B7588" s="12" t="str">
        <f>IFERROR(VLOOKUP(D7588,'[1]Перечень товаров'!$A$2:$I9525,2,0),"")</f>
        <v>т7</v>
      </c>
      <c r="C7588" s="12" t="str">
        <f>IFERROR(VLOOKUP(D7588,'[1]Перечень товаров'!$A$2:$I9525,3,0),"")</f>
        <v xml:space="preserve">Техника </v>
      </c>
      <c r="D7588" s="22" t="s">
        <v>34</v>
      </c>
      <c r="E7588" s="58"/>
      <c r="F7588" s="58"/>
      <c r="G7588" s="48">
        <v>3</v>
      </c>
      <c r="H7588" s="48"/>
      <c r="I7588" s="49"/>
      <c r="J7588" s="49"/>
      <c r="K7588" s="19"/>
      <c r="L7588" s="20"/>
    </row>
    <row r="7589" spans="1:12" outlineLevel="2">
      <c r="A7589" s="28"/>
      <c r="B7589" s="12" t="str">
        <f>IFERROR(VLOOKUP(D7589,'[1]Перечень товаров'!$A$2:$I9525,2,0),"")</f>
        <v>т161</v>
      </c>
      <c r="C7589" s="12" t="str">
        <f>IFERROR(VLOOKUP(D7589,'[1]Перечень товаров'!$A$2:$I9525,3,0),"")</f>
        <v xml:space="preserve">Техника </v>
      </c>
      <c r="D7589" s="29" t="s">
        <v>381</v>
      </c>
      <c r="E7589" s="30"/>
      <c r="F7589" s="30"/>
      <c r="G7589" s="59">
        <v>1</v>
      </c>
      <c r="H7589" s="59"/>
      <c r="I7589" s="60"/>
      <c r="J7589" s="60"/>
      <c r="K7589" s="19"/>
      <c r="L7589" s="20"/>
    </row>
    <row r="7590" spans="1:12" outlineLevel="2">
      <c r="A7590" s="113"/>
      <c r="B7590" s="12" t="str">
        <f>IFERROR(VLOOKUP(D7590,'[1]Перечень товаров'!$A$2:$I9525,2,0),"")</f>
        <v/>
      </c>
      <c r="C7590" s="12" t="str">
        <f>IFERROR(VLOOKUP(D7590,'[1]Перечень товаров'!$A$2:$I9525,3,0),"")</f>
        <v/>
      </c>
      <c r="D7590" s="114" t="s">
        <v>19</v>
      </c>
      <c r="E7590" s="115"/>
      <c r="F7590" s="115"/>
      <c r="G7590" s="59"/>
      <c r="H7590" s="59"/>
      <c r="I7590" s="60"/>
      <c r="J7590" s="60"/>
      <c r="K7590" s="19"/>
      <c r="L7590" s="20"/>
    </row>
    <row r="7591" spans="1:12" outlineLevel="2">
      <c r="A7591" s="34"/>
      <c r="B7591" s="12" t="str">
        <f>IFERROR(VLOOKUP(D7591,'[1]Перечень товаров'!$A$2:$I9525,2,0),"")</f>
        <v>м62</v>
      </c>
      <c r="C7591" s="12" t="str">
        <f>IFERROR(VLOOKUP(D7591,'[1]Перечень товаров'!$A$2:$I9525,3,0),"")</f>
        <v>Мебель</v>
      </c>
      <c r="D7591" s="35" t="s">
        <v>398</v>
      </c>
      <c r="E7591" s="88"/>
      <c r="F7591" s="88"/>
      <c r="G7591" s="59">
        <v>1</v>
      </c>
      <c r="H7591" s="59"/>
      <c r="I7591" s="60"/>
      <c r="J7591" s="60"/>
      <c r="K7591" s="19"/>
      <c r="L7591" s="20"/>
    </row>
    <row r="7592" spans="1:12" outlineLevel="2">
      <c r="A7592" s="34"/>
      <c r="B7592" s="12" t="str">
        <f>IFERROR(VLOOKUP(D7592,'[1]Перечень товаров'!$A$2:$I9525,2,0),"")</f>
        <v>м61</v>
      </c>
      <c r="C7592" s="12" t="str">
        <f>IFERROR(VLOOKUP(D7592,'[1]Перечень товаров'!$A$2:$I9525,3,0),"")</f>
        <v>Мебель</v>
      </c>
      <c r="D7592" s="35" t="s">
        <v>383</v>
      </c>
      <c r="E7592" s="88"/>
      <c r="F7592" s="88"/>
      <c r="G7592" s="59">
        <v>1</v>
      </c>
      <c r="H7592" s="59"/>
      <c r="I7592" s="60"/>
      <c r="J7592" s="60"/>
      <c r="K7592" s="19"/>
      <c r="L7592" s="20"/>
    </row>
    <row r="7593" spans="1:12" outlineLevel="2">
      <c r="A7593" s="34"/>
      <c r="B7593" s="12" t="str">
        <f>IFERROR(VLOOKUP(D7593,'[1]Перечень товаров'!$A$2:$I9525,2,0),"")</f>
        <v>м179</v>
      </c>
      <c r="C7593" s="12" t="str">
        <f>IFERROR(VLOOKUP(D7593,'[1]Перечень товаров'!$A$2:$I9525,3,0),"")</f>
        <v>Мебель</v>
      </c>
      <c r="D7593" s="35" t="s">
        <v>579</v>
      </c>
      <c r="E7593" s="88"/>
      <c r="F7593" s="88"/>
      <c r="G7593" s="59">
        <v>10</v>
      </c>
      <c r="H7593" s="59"/>
      <c r="I7593" s="60"/>
      <c r="J7593" s="60"/>
      <c r="K7593" s="19"/>
      <c r="L7593" s="20"/>
    </row>
    <row r="7594" spans="1:12" outlineLevel="2">
      <c r="A7594" s="34"/>
      <c r="B7594" s="12" t="str">
        <f>IFERROR(VLOOKUP(D7594,'[1]Перечень товаров'!$A$2:$I9525,2,0),"")</f>
        <v>м61</v>
      </c>
      <c r="C7594" s="12" t="str">
        <f>IFERROR(VLOOKUP(D7594,'[1]Перечень товаров'!$A$2:$I9525,3,0),"")</f>
        <v>Мебель</v>
      </c>
      <c r="D7594" s="35" t="s">
        <v>384</v>
      </c>
      <c r="E7594" s="88"/>
      <c r="F7594" s="88"/>
      <c r="G7594" s="59">
        <v>20</v>
      </c>
      <c r="H7594" s="59"/>
      <c r="I7594" s="60"/>
      <c r="J7594" s="60"/>
      <c r="K7594" s="19"/>
      <c r="L7594" s="20"/>
    </row>
    <row r="7595" spans="1:12" outlineLevel="2">
      <c r="A7595" s="21"/>
      <c r="B7595" s="12" t="str">
        <f>IFERROR(VLOOKUP(D7595,'[1]Перечень товаров'!$A$2:$I9525,2,0),"")</f>
        <v>м13</v>
      </c>
      <c r="C7595" s="12" t="str">
        <f>IFERROR(VLOOKUP(D7595,'[1]Перечень товаров'!$A$2:$I9525,3,0),"")</f>
        <v>Мебель</v>
      </c>
      <c r="D7595" s="22" t="s">
        <v>42</v>
      </c>
      <c r="E7595" s="58"/>
      <c r="F7595" s="58"/>
      <c r="G7595" s="24">
        <v>1</v>
      </c>
      <c r="H7595" s="24"/>
      <c r="I7595" s="25"/>
      <c r="J7595" s="25"/>
      <c r="K7595" s="19"/>
      <c r="L7595" s="20"/>
    </row>
    <row r="7596" spans="1:12" outlineLevel="2">
      <c r="A7596" s="21"/>
      <c r="B7596" s="12" t="str">
        <f>IFERROR(VLOOKUP(D7596,'[1]Перечень товаров'!$A$2:$I9525,2,0),"")</f>
        <v>м14</v>
      </c>
      <c r="C7596" s="12" t="str">
        <f>IFERROR(VLOOKUP(D7596,'[1]Перечень товаров'!$A$2:$I9525,3,0),"")</f>
        <v>Мебель</v>
      </c>
      <c r="D7596" s="22" t="s">
        <v>43</v>
      </c>
      <c r="E7596" s="58"/>
      <c r="F7596" s="58"/>
      <c r="G7596" s="24">
        <v>1</v>
      </c>
      <c r="H7596" s="24"/>
      <c r="I7596" s="25"/>
      <c r="J7596" s="25"/>
      <c r="K7596" s="19"/>
      <c r="L7596" s="20"/>
    </row>
    <row r="7597" spans="1:12" ht="31.5" outlineLevel="2">
      <c r="A7597" s="155"/>
      <c r="B7597" s="12" t="str">
        <f>IFERROR(VLOOKUP(D7597,'[1]Перечень товаров'!$A$2:$I9525,2,0),"")</f>
        <v>м21</v>
      </c>
      <c r="C7597" s="12" t="str">
        <f>IFERROR(VLOOKUP(D7597,'[1]Перечень товаров'!$A$2:$I9525,3,0),"")</f>
        <v>Мебель</v>
      </c>
      <c r="D7597" s="156" t="s">
        <v>58</v>
      </c>
      <c r="E7597" s="58"/>
      <c r="F7597" s="58"/>
      <c r="G7597" s="24">
        <v>1</v>
      </c>
      <c r="H7597" s="24"/>
      <c r="I7597" s="25"/>
      <c r="J7597" s="25"/>
      <c r="K7597" s="19"/>
      <c r="L7597" s="20"/>
    </row>
    <row r="7598" spans="1:12" ht="15" outlineLevel="2">
      <c r="A7598" s="116"/>
      <c r="B7598" s="12" t="str">
        <f>IFERROR(VLOOKUP(D7598,'[1]Перечень товаров'!$A$2:$I9525,2,0),"")</f>
        <v/>
      </c>
      <c r="C7598" s="12" t="str">
        <f>IFERROR(VLOOKUP(D7598,'[1]Перечень товаров'!$A$2:$I9525,3,0),"")</f>
        <v/>
      </c>
      <c r="D7598" s="117" t="s">
        <v>391</v>
      </c>
      <c r="E7598" s="118"/>
      <c r="F7598" s="118"/>
      <c r="G7598" s="119"/>
      <c r="H7598" s="119"/>
      <c r="I7598" s="120"/>
      <c r="J7598" s="120"/>
      <c r="K7598" s="19"/>
      <c r="L7598" s="20"/>
    </row>
    <row r="7599" spans="1:12" ht="15" outlineLevel="2">
      <c r="A7599" s="274"/>
      <c r="B7599" s="12" t="str">
        <f>IFERROR(VLOOKUP(D7599,'[1]Перечень товаров'!$A$2:$I9525,2,0),"")</f>
        <v/>
      </c>
      <c r="C7599" s="12" t="str">
        <f>IFERROR(VLOOKUP(D7599,'[1]Перечень товаров'!$A$2:$I9525,3,0),"")</f>
        <v/>
      </c>
      <c r="D7599" s="275" t="s">
        <v>1828</v>
      </c>
      <c r="E7599" s="118"/>
      <c r="F7599" s="118"/>
      <c r="G7599" s="119"/>
      <c r="H7599" s="119"/>
      <c r="I7599" s="120"/>
      <c r="J7599" s="120"/>
      <c r="K7599" s="19"/>
      <c r="L7599" s="20"/>
    </row>
    <row r="7600" spans="1:12" outlineLevel="2">
      <c r="A7600" s="28"/>
      <c r="B7600" s="12" t="str">
        <f>IFERROR(VLOOKUP(D7600,'[1]Перечень товаров'!$A$2:$I9525,2,0),"")</f>
        <v>тм87</v>
      </c>
      <c r="C7600" s="12" t="str">
        <f>IFERROR(VLOOKUP(D7600,'[1]Перечень товаров'!$A$2:$I9525,3,0),"")</f>
        <v>Техника муз</v>
      </c>
      <c r="D7600" s="29" t="s">
        <v>1829</v>
      </c>
      <c r="E7600" s="30"/>
      <c r="F7600" s="30"/>
      <c r="G7600" s="31">
        <v>2</v>
      </c>
      <c r="H7600" s="31"/>
      <c r="I7600" s="32"/>
      <c r="J7600" s="32"/>
      <c r="K7600" s="19"/>
      <c r="L7600" s="20"/>
    </row>
    <row r="7601" spans="1:12" outlineLevel="2">
      <c r="A7601" s="28"/>
      <c r="B7601" s="12" t="str">
        <f>IFERROR(VLOOKUP(D7601,'[1]Перечень товаров'!$A$2:$I9525,2,0),"")</f>
        <v>тм86</v>
      </c>
      <c r="C7601" s="12" t="str">
        <f>IFERROR(VLOOKUP(D7601,'[1]Перечень товаров'!$A$2:$I9525,3,0),"")</f>
        <v>Техника муз</v>
      </c>
      <c r="D7601" s="29" t="s">
        <v>1830</v>
      </c>
      <c r="E7601" s="30"/>
      <c r="F7601" s="30"/>
      <c r="G7601" s="31">
        <v>3</v>
      </c>
      <c r="H7601" s="31"/>
      <c r="I7601" s="32"/>
      <c r="J7601" s="32"/>
      <c r="K7601" s="19"/>
      <c r="L7601" s="20"/>
    </row>
    <row r="7602" spans="1:12" outlineLevel="2">
      <c r="A7602" s="28"/>
      <c r="B7602" s="12" t="str">
        <f>IFERROR(VLOOKUP(D7602,'[1]Перечень товаров'!$A$2:$I9525,2,0),"")</f>
        <v>тм85</v>
      </c>
      <c r="C7602" s="12" t="str">
        <f>IFERROR(VLOOKUP(D7602,'[1]Перечень товаров'!$A$2:$I9525,3,0),"")</f>
        <v>Техника муз</v>
      </c>
      <c r="D7602" s="29" t="s">
        <v>1831</v>
      </c>
      <c r="E7602" s="30"/>
      <c r="F7602" s="30"/>
      <c r="G7602" s="31">
        <v>4</v>
      </c>
      <c r="H7602" s="31"/>
      <c r="I7602" s="32"/>
      <c r="J7602" s="32"/>
      <c r="K7602" s="19"/>
      <c r="L7602" s="20"/>
    </row>
    <row r="7603" spans="1:12" outlineLevel="2">
      <c r="A7603" s="28"/>
      <c r="B7603" s="12" t="str">
        <f>IFERROR(VLOOKUP(D7603,'[1]Перечень товаров'!$A$2:$I9525,2,0),"")</f>
        <v>тм84</v>
      </c>
      <c r="C7603" s="12" t="str">
        <f>IFERROR(VLOOKUP(D7603,'[1]Перечень товаров'!$A$2:$I9525,3,0),"")</f>
        <v>Техника муз</v>
      </c>
      <c r="D7603" s="29" t="s">
        <v>1832</v>
      </c>
      <c r="E7603" s="30"/>
      <c r="F7603" s="30"/>
      <c r="G7603" s="31">
        <v>4</v>
      </c>
      <c r="H7603" s="31"/>
      <c r="I7603" s="32"/>
      <c r="J7603" s="32"/>
      <c r="K7603" s="19"/>
      <c r="L7603" s="20"/>
    </row>
    <row r="7604" spans="1:12" outlineLevel="2">
      <c r="A7604" s="28"/>
      <c r="B7604" s="12" t="str">
        <f>IFERROR(VLOOKUP(D7604,'[1]Перечень товаров'!$A$2:$I9525,2,0),"")</f>
        <v>тм83</v>
      </c>
      <c r="C7604" s="12" t="str">
        <f>IFERROR(VLOOKUP(D7604,'[1]Перечень товаров'!$A$2:$I9525,3,0),"")</f>
        <v>Техника муз</v>
      </c>
      <c r="D7604" s="29" t="s">
        <v>1833</v>
      </c>
      <c r="E7604" s="30"/>
      <c r="F7604" s="30"/>
      <c r="G7604" s="31">
        <v>5</v>
      </c>
      <c r="H7604" s="31"/>
      <c r="I7604" s="32"/>
      <c r="J7604" s="32"/>
      <c r="K7604" s="19"/>
      <c r="L7604" s="20"/>
    </row>
    <row r="7605" spans="1:12" outlineLevel="2">
      <c r="A7605" s="28"/>
      <c r="B7605" s="12" t="str">
        <f>IFERROR(VLOOKUP(D7605,'[1]Перечень товаров'!$A$2:$I9525,2,0),"")</f>
        <v>тм82</v>
      </c>
      <c r="C7605" s="12" t="str">
        <f>IFERROR(VLOOKUP(D7605,'[1]Перечень товаров'!$A$2:$I9525,3,0),"")</f>
        <v>Техника муз</v>
      </c>
      <c r="D7605" s="29" t="s">
        <v>1834</v>
      </c>
      <c r="E7605" s="30"/>
      <c r="F7605" s="30"/>
      <c r="G7605" s="31">
        <v>2</v>
      </c>
      <c r="H7605" s="31"/>
      <c r="I7605" s="32"/>
      <c r="J7605" s="32"/>
      <c r="K7605" s="19"/>
      <c r="L7605" s="20"/>
    </row>
    <row r="7606" spans="1:12" ht="31.5" outlineLevel="2">
      <c r="A7606" s="28"/>
      <c r="B7606" s="12" t="str">
        <f>IFERROR(VLOOKUP(D7606,'[1]Перечень товаров'!$A$2:$I9525,2,0),"")</f>
        <v>тм81</v>
      </c>
      <c r="C7606" s="12" t="str">
        <f>IFERROR(VLOOKUP(D7606,'[1]Перечень товаров'!$A$2:$I9525,3,0),"")</f>
        <v>Техника муз</v>
      </c>
      <c r="D7606" s="29" t="s">
        <v>1835</v>
      </c>
      <c r="E7606" s="30"/>
      <c r="F7606" s="30"/>
      <c r="G7606" s="31">
        <v>18</v>
      </c>
      <c r="H7606" s="31"/>
      <c r="I7606" s="32"/>
      <c r="J7606" s="32"/>
      <c r="K7606" s="19"/>
      <c r="L7606" s="20"/>
    </row>
    <row r="7607" spans="1:12" outlineLevel="2">
      <c r="A7607" s="28"/>
      <c r="B7607" s="12" t="str">
        <f>IFERROR(VLOOKUP(D7607,'[1]Перечень товаров'!$A$2:$I9525,2,0),"")</f>
        <v>тм54</v>
      </c>
      <c r="C7607" s="12" t="str">
        <f>IFERROR(VLOOKUP(D7607,'[1]Перечень товаров'!$A$2:$I9525,3,0),"")</f>
        <v>Техника муз</v>
      </c>
      <c r="D7607" s="29" t="s">
        <v>310</v>
      </c>
      <c r="E7607" s="30"/>
      <c r="F7607" s="30"/>
      <c r="G7607" s="31">
        <v>30</v>
      </c>
      <c r="H7607" s="31"/>
      <c r="I7607" s="32"/>
      <c r="J7607" s="32"/>
      <c r="K7607" s="19"/>
      <c r="L7607" s="20"/>
    </row>
    <row r="7608" spans="1:12" ht="31.5" outlineLevel="2">
      <c r="A7608" s="28"/>
      <c r="B7608" s="12" t="str">
        <f>IFERROR(VLOOKUP(D7608,'[1]Перечень товаров'!$A$2:$I9525,2,0),"")</f>
        <v>тм80</v>
      </c>
      <c r="C7608" s="12" t="str">
        <f>IFERROR(VLOOKUP(D7608,'[1]Перечень товаров'!$A$2:$I9525,3,0),"")</f>
        <v>Техника муз</v>
      </c>
      <c r="D7608" s="29" t="s">
        <v>1836</v>
      </c>
      <c r="E7608" s="30"/>
      <c r="F7608" s="30"/>
      <c r="G7608" s="31">
        <v>5</v>
      </c>
      <c r="H7608" s="31"/>
      <c r="I7608" s="32"/>
      <c r="J7608" s="32"/>
      <c r="K7608" s="19"/>
      <c r="L7608" s="20"/>
    </row>
    <row r="7609" spans="1:12" outlineLevel="2">
      <c r="A7609" s="28"/>
      <c r="B7609" s="12" t="str">
        <f>IFERROR(VLOOKUP(D7609,'[1]Перечень товаров'!$A$2:$I9525,2,0),"")</f>
        <v>пм211</v>
      </c>
      <c r="C7609" s="12" t="str">
        <f>IFERROR(VLOOKUP(D7609,'[1]Перечень товаров'!$A$2:$I9525,3,0),"")</f>
        <v>прочее муз</v>
      </c>
      <c r="D7609" s="29" t="s">
        <v>995</v>
      </c>
      <c r="E7609" s="30"/>
      <c r="F7609" s="30"/>
      <c r="G7609" s="31">
        <v>10</v>
      </c>
      <c r="H7609" s="31"/>
      <c r="I7609" s="32"/>
      <c r="J7609" s="32"/>
      <c r="K7609" s="19"/>
      <c r="L7609" s="20"/>
    </row>
    <row r="7610" spans="1:12" ht="31.5" outlineLevel="2">
      <c r="A7610" s="28"/>
      <c r="B7610" s="12" t="str">
        <f>IFERROR(VLOOKUP(D7610,'[1]Перечень товаров'!$A$2:$I9525,2,0),"")</f>
        <v>тм79</v>
      </c>
      <c r="C7610" s="12" t="str">
        <f>IFERROR(VLOOKUP(D7610,'[1]Перечень товаров'!$A$2:$I9525,3,0),"")</f>
        <v>Техника муз</v>
      </c>
      <c r="D7610" s="29" t="s">
        <v>1837</v>
      </c>
      <c r="E7610" s="30"/>
      <c r="F7610" s="30"/>
      <c r="G7610" s="31">
        <v>18</v>
      </c>
      <c r="H7610" s="31"/>
      <c r="I7610" s="32"/>
      <c r="J7610" s="32"/>
      <c r="K7610" s="19"/>
      <c r="L7610" s="20"/>
    </row>
    <row r="7611" spans="1:12" outlineLevel="2">
      <c r="A7611" s="28"/>
      <c r="B7611" s="12" t="str">
        <f>IFERROR(VLOOKUP(D7611,'[1]Перечень товаров'!$A$2:$I9525,2,0),"")</f>
        <v>тм78</v>
      </c>
      <c r="C7611" s="12" t="str">
        <f>IFERROR(VLOOKUP(D7611,'[1]Перечень товаров'!$A$2:$I9525,3,0),"")</f>
        <v>Техника муз</v>
      </c>
      <c r="D7611" s="29" t="s">
        <v>1838</v>
      </c>
      <c r="E7611" s="30"/>
      <c r="F7611" s="30"/>
      <c r="G7611" s="31">
        <v>1</v>
      </c>
      <c r="H7611" s="31"/>
      <c r="I7611" s="32"/>
      <c r="J7611" s="32"/>
      <c r="K7611" s="19"/>
      <c r="L7611" s="20"/>
    </row>
    <row r="7612" spans="1:12" outlineLevel="2">
      <c r="A7612" s="54"/>
      <c r="B7612" s="12" t="str">
        <f>IFERROR(VLOOKUP(D7612,'[1]Перечень товаров'!$A$2:$I9525,2,0),"")</f>
        <v/>
      </c>
      <c r="C7612" s="12" t="str">
        <f>IFERROR(VLOOKUP(D7612,'[1]Перечень товаров'!$A$2:$I9525,3,0),"")</f>
        <v/>
      </c>
      <c r="D7612" s="55" t="s">
        <v>45</v>
      </c>
      <c r="E7612" s="217"/>
      <c r="F7612" s="217"/>
      <c r="G7612" s="59"/>
      <c r="H7612" s="59"/>
      <c r="I7612" s="60"/>
      <c r="J7612" s="60"/>
      <c r="K7612" s="19"/>
      <c r="L7612" s="20"/>
    </row>
    <row r="7613" spans="1:12" outlineLevel="2">
      <c r="A7613" s="43"/>
      <c r="B7613" s="12" t="str">
        <f>IFERROR(VLOOKUP(D7613,'[1]Перечень товаров'!$A$2:$I9525,2,0),"")</f>
        <v>м7</v>
      </c>
      <c r="C7613" s="12" t="str">
        <f>IFERROR(VLOOKUP(D7613,'[1]Перечень товаров'!$A$2:$I9525,3,0),"")</f>
        <v>Мебель</v>
      </c>
      <c r="D7613" s="44" t="s">
        <v>24</v>
      </c>
      <c r="E7613" s="30"/>
      <c r="F7613" s="30"/>
      <c r="G7613" s="59">
        <v>1</v>
      </c>
      <c r="H7613" s="59"/>
      <c r="I7613" s="60"/>
      <c r="J7613" s="60"/>
      <c r="K7613" s="19"/>
      <c r="L7613" s="20"/>
    </row>
    <row r="7614" spans="1:12" outlineLevel="2">
      <c r="A7614" s="43"/>
      <c r="B7614" s="12" t="str">
        <f>IFERROR(VLOOKUP(D7614,'[1]Перечень товаров'!$A$2:$I9525,2,0),"")</f>
        <v>п1</v>
      </c>
      <c r="C7614" s="12" t="str">
        <f>IFERROR(VLOOKUP(D7614,'[1]Перечень товаров'!$A$2:$I9525,3,0),"")</f>
        <v>Прочее</v>
      </c>
      <c r="D7614" s="44" t="s">
        <v>37</v>
      </c>
      <c r="E7614" s="30"/>
      <c r="F7614" s="30"/>
      <c r="G7614" s="59">
        <v>1</v>
      </c>
      <c r="H7614" s="59"/>
      <c r="I7614" s="60"/>
      <c r="J7614" s="60"/>
      <c r="K7614" s="19"/>
      <c r="L7614" s="20"/>
    </row>
    <row r="7615" spans="1:12" outlineLevel="2">
      <c r="A7615" s="21"/>
      <c r="B7615" s="12" t="str">
        <f>IFERROR(VLOOKUP(D7615,'[1]Перечень товаров'!$A$2:$I9525,2,0),"")</f>
        <v>п2</v>
      </c>
      <c r="C7615" s="12" t="str">
        <f>IFERROR(VLOOKUP(D7615,'[1]Перечень товаров'!$A$2:$I9525,3,0),"")</f>
        <v>Прочее</v>
      </c>
      <c r="D7615" s="22" t="s">
        <v>46</v>
      </c>
      <c r="E7615" s="58"/>
      <c r="F7615" s="58"/>
      <c r="G7615" s="24">
        <v>1</v>
      </c>
      <c r="H7615" s="24"/>
      <c r="I7615" s="25"/>
      <c r="J7615" s="25"/>
      <c r="K7615" s="19"/>
      <c r="L7615" s="20"/>
    </row>
    <row r="7616" spans="1:12" ht="12.75" outlineLevel="1">
      <c r="A7616" s="11"/>
      <c r="B7616" s="12" t="str">
        <f>IFERROR(VLOOKUP(D7616,'[1]Перечень товаров'!$A$2:$I9525,2,0),"")</f>
        <v/>
      </c>
      <c r="C7616" s="12" t="str">
        <f>IFERROR(VLOOKUP(D7616,'[1]Перечень товаров'!$A$2:$I9525,3,0),"")</f>
        <v/>
      </c>
      <c r="D7616" s="27" t="s">
        <v>1827</v>
      </c>
      <c r="E7616" s="99">
        <v>46072</v>
      </c>
      <c r="F7616" s="99"/>
      <c r="G7616" s="100"/>
      <c r="H7616" s="100"/>
      <c r="I7616" s="101"/>
      <c r="J7616" s="101"/>
      <c r="K7616" s="19"/>
      <c r="L7616" s="20"/>
    </row>
    <row r="7617" spans="1:12" ht="15" outlineLevel="2">
      <c r="A7617" s="109"/>
      <c r="B7617" s="12" t="str">
        <f>IFERROR(VLOOKUP(D7617,'[1]Перечень товаров'!$A$2:$I9525,2,0),"")</f>
        <v/>
      </c>
      <c r="C7617" s="12" t="str">
        <f>IFERROR(VLOOKUP(D7617,'[1]Перечень товаров'!$A$2:$I9525,3,0),"")</f>
        <v/>
      </c>
      <c r="D7617" s="110" t="s">
        <v>27</v>
      </c>
      <c r="E7617" s="45"/>
      <c r="F7617" s="45"/>
      <c r="G7617" s="111"/>
      <c r="H7617" s="111"/>
      <c r="I7617" s="112"/>
      <c r="J7617" s="112"/>
      <c r="K7617" s="19"/>
      <c r="L7617" s="20"/>
    </row>
    <row r="7618" spans="1:12" outlineLevel="2">
      <c r="A7618" s="21"/>
      <c r="B7618" s="12" t="str">
        <f>IFERROR(VLOOKUP(D7618,'[1]Перечень товаров'!$A$2:$I9525,2,0),"")</f>
        <v>т1</v>
      </c>
      <c r="C7618" s="12" t="str">
        <f>IFERROR(VLOOKUP(D7618,'[1]Перечень товаров'!$A$2:$I9525,3,0),"")</f>
        <v xml:space="preserve">Техника </v>
      </c>
      <c r="D7618" s="22" t="s">
        <v>28</v>
      </c>
      <c r="E7618" s="58"/>
      <c r="F7618" s="58"/>
      <c r="G7618" s="48">
        <v>1</v>
      </c>
      <c r="H7618" s="48"/>
      <c r="I7618" s="49"/>
      <c r="J7618" s="49"/>
      <c r="K7618" s="19"/>
      <c r="L7618" s="20"/>
    </row>
    <row r="7619" spans="1:12" outlineLevel="2">
      <c r="A7619" s="143"/>
      <c r="B7619" s="12" t="str">
        <f>IFERROR(VLOOKUP(D7619,'[1]Перечень товаров'!$A$2:$I9525,2,0),"")</f>
        <v>т9</v>
      </c>
      <c r="C7619" s="12" t="str">
        <f>IFERROR(VLOOKUP(D7619,'[1]Перечень товаров'!$A$2:$I9525,3,0),"")</f>
        <v>Техника</v>
      </c>
      <c r="D7619" s="143" t="s">
        <v>36</v>
      </c>
      <c r="E7619" s="58"/>
      <c r="F7619" s="58"/>
      <c r="G7619" s="48">
        <v>1</v>
      </c>
      <c r="H7619" s="48"/>
      <c r="I7619" s="49"/>
      <c r="J7619" s="49"/>
      <c r="K7619" s="19"/>
      <c r="L7619" s="20"/>
    </row>
    <row r="7620" spans="1:12" outlineLevel="2">
      <c r="A7620" s="35"/>
      <c r="B7620" s="12" t="str">
        <f>IFERROR(VLOOKUP(D7620,'[1]Перечень товаров'!$A$2:$I9525,2,0),"")</f>
        <v>т2</v>
      </c>
      <c r="C7620" s="12" t="str">
        <f>IFERROR(VLOOKUP(D7620,'[1]Перечень товаров'!$A$2:$I9525,3,0),"")</f>
        <v xml:space="preserve">Техника </v>
      </c>
      <c r="D7620" s="35" t="s">
        <v>29</v>
      </c>
      <c r="E7620" s="58"/>
      <c r="F7620" s="58"/>
      <c r="G7620" s="48">
        <v>1</v>
      </c>
      <c r="H7620" s="48"/>
      <c r="I7620" s="49"/>
      <c r="J7620" s="49"/>
      <c r="K7620" s="19"/>
      <c r="L7620" s="20"/>
    </row>
    <row r="7621" spans="1:12" outlineLevel="2">
      <c r="A7621" s="35"/>
      <c r="B7621" s="12" t="str">
        <f>IFERROR(VLOOKUP(D7621,'[1]Перечень товаров'!$A$2:$I9525,2,0),"")</f>
        <v>т3</v>
      </c>
      <c r="C7621" s="12" t="str">
        <f>IFERROR(VLOOKUP(D7621,'[1]Перечень товаров'!$A$2:$I9525,3,0),"")</f>
        <v xml:space="preserve">Техника </v>
      </c>
      <c r="D7621" s="35" t="s">
        <v>30</v>
      </c>
      <c r="E7621" s="58"/>
      <c r="F7621" s="58"/>
      <c r="G7621" s="48">
        <v>1</v>
      </c>
      <c r="H7621" s="48"/>
      <c r="I7621" s="49"/>
      <c r="J7621" s="49"/>
      <c r="K7621" s="19"/>
      <c r="L7621" s="20"/>
    </row>
    <row r="7622" spans="1:12" outlineLevel="2">
      <c r="A7622" s="35"/>
      <c r="B7622" s="12" t="str">
        <f>IFERROR(VLOOKUP(D7622,'[1]Перечень товаров'!$A$2:$I9525,2,0),"")</f>
        <v>т4</v>
      </c>
      <c r="C7622" s="12" t="str">
        <f>IFERROR(VLOOKUP(D7622,'[1]Перечень товаров'!$A$2:$I9525,3,0),"")</f>
        <v xml:space="preserve">Техника </v>
      </c>
      <c r="D7622" s="35" t="s">
        <v>31</v>
      </c>
      <c r="E7622" s="58"/>
      <c r="F7622" s="58"/>
      <c r="G7622" s="48">
        <v>1</v>
      </c>
      <c r="H7622" s="48"/>
      <c r="I7622" s="49"/>
      <c r="J7622" s="49"/>
      <c r="K7622" s="19"/>
      <c r="L7622" s="20"/>
    </row>
    <row r="7623" spans="1:12" outlineLevel="2">
      <c r="A7623" s="21"/>
      <c r="B7623" s="12" t="str">
        <f>IFERROR(VLOOKUP(D7623,'[1]Перечень товаров'!$A$2:$I9525,2,0),"")</f>
        <v>тм65</v>
      </c>
      <c r="C7623" s="12" t="str">
        <f>IFERROR(VLOOKUP(D7623,'[1]Перечень товаров'!$A$2:$I9525,3,0),"")</f>
        <v>Техника муз</v>
      </c>
      <c r="D7623" s="22" t="s">
        <v>380</v>
      </c>
      <c r="E7623" s="58"/>
      <c r="F7623" s="58"/>
      <c r="G7623" s="48">
        <v>1</v>
      </c>
      <c r="H7623" s="48"/>
      <c r="I7623" s="49"/>
      <c r="J7623" s="49"/>
      <c r="K7623" s="19"/>
      <c r="L7623" s="20"/>
    </row>
    <row r="7624" spans="1:12" outlineLevel="2">
      <c r="A7624" s="21"/>
      <c r="B7624" s="12" t="str">
        <f>IFERROR(VLOOKUP(D7624,'[1]Перечень товаров'!$A$2:$I9525,2,0),"")</f>
        <v>т12</v>
      </c>
      <c r="C7624" s="12" t="str">
        <f>IFERROR(VLOOKUP(D7624,'[1]Перечень товаров'!$A$2:$I9525,3,0),"")</f>
        <v>Техника</v>
      </c>
      <c r="D7624" s="22" t="s">
        <v>49</v>
      </c>
      <c r="E7624" s="58"/>
      <c r="F7624" s="58"/>
      <c r="G7624" s="48">
        <v>1</v>
      </c>
      <c r="H7624" s="48"/>
      <c r="I7624" s="49"/>
      <c r="J7624" s="49"/>
      <c r="K7624" s="19"/>
      <c r="L7624" s="20"/>
    </row>
    <row r="7625" spans="1:12" outlineLevel="2">
      <c r="A7625" s="35"/>
      <c r="B7625" s="12" t="str">
        <f>IFERROR(VLOOKUP(D7625,'[1]Перечень товаров'!$A$2:$I9525,2,0),"")</f>
        <v>т6</v>
      </c>
      <c r="C7625" s="12" t="str">
        <f>IFERROR(VLOOKUP(D7625,'[1]Перечень товаров'!$A$2:$I9525,3,0),"")</f>
        <v xml:space="preserve">Техника </v>
      </c>
      <c r="D7625" s="35" t="s">
        <v>33</v>
      </c>
      <c r="E7625" s="58"/>
      <c r="F7625" s="58"/>
      <c r="G7625" s="48">
        <v>1</v>
      </c>
      <c r="H7625" s="48"/>
      <c r="I7625" s="49"/>
      <c r="J7625" s="49"/>
      <c r="K7625" s="19"/>
      <c r="L7625" s="20"/>
    </row>
    <row r="7626" spans="1:12" outlineLevel="2">
      <c r="A7626" s="21"/>
      <c r="B7626" s="12" t="str">
        <f>IFERROR(VLOOKUP(D7626,'[1]Перечень товаров'!$A$2:$I9525,2,0),"")</f>
        <v>т7</v>
      </c>
      <c r="C7626" s="12" t="str">
        <f>IFERROR(VLOOKUP(D7626,'[1]Перечень товаров'!$A$2:$I9525,3,0),"")</f>
        <v xml:space="preserve">Техника </v>
      </c>
      <c r="D7626" s="22" t="s">
        <v>34</v>
      </c>
      <c r="E7626" s="58"/>
      <c r="F7626" s="58"/>
      <c r="G7626" s="48">
        <v>3</v>
      </c>
      <c r="H7626" s="48"/>
      <c r="I7626" s="49"/>
      <c r="J7626" s="49"/>
      <c r="K7626" s="19"/>
      <c r="L7626" s="20"/>
    </row>
    <row r="7627" spans="1:12" outlineLevel="2">
      <c r="A7627" s="28"/>
      <c r="B7627" s="12" t="str">
        <f>IFERROR(VLOOKUP(D7627,'[1]Перечень товаров'!$A$2:$I9525,2,0),"")</f>
        <v>т161</v>
      </c>
      <c r="C7627" s="12" t="str">
        <f>IFERROR(VLOOKUP(D7627,'[1]Перечень товаров'!$A$2:$I9525,3,0),"")</f>
        <v xml:space="preserve">Техника </v>
      </c>
      <c r="D7627" s="29" t="s">
        <v>381</v>
      </c>
      <c r="E7627" s="30"/>
      <c r="F7627" s="30"/>
      <c r="G7627" s="59">
        <v>1</v>
      </c>
      <c r="H7627" s="59"/>
      <c r="I7627" s="60"/>
      <c r="J7627" s="60"/>
      <c r="K7627" s="19"/>
      <c r="L7627" s="20"/>
    </row>
    <row r="7628" spans="1:12" outlineLevel="2">
      <c r="A7628" s="113"/>
      <c r="B7628" s="12" t="str">
        <f>IFERROR(VLOOKUP(D7628,'[1]Перечень товаров'!$A$2:$I9525,2,0),"")</f>
        <v/>
      </c>
      <c r="C7628" s="12" t="str">
        <f>IFERROR(VLOOKUP(D7628,'[1]Перечень товаров'!$A$2:$I9525,3,0),"")</f>
        <v/>
      </c>
      <c r="D7628" s="114" t="s">
        <v>19</v>
      </c>
      <c r="E7628" s="115"/>
      <c r="F7628" s="115"/>
      <c r="G7628" s="59"/>
      <c r="H7628" s="59"/>
      <c r="I7628" s="60"/>
      <c r="J7628" s="60"/>
      <c r="K7628" s="19"/>
      <c r="L7628" s="20"/>
    </row>
    <row r="7629" spans="1:12" outlineLevel="2">
      <c r="A7629" s="34"/>
      <c r="B7629" s="12" t="str">
        <f>IFERROR(VLOOKUP(D7629,'[1]Перечень товаров'!$A$2:$I9525,2,0),"")</f>
        <v>м62</v>
      </c>
      <c r="C7629" s="12" t="str">
        <f>IFERROR(VLOOKUP(D7629,'[1]Перечень товаров'!$A$2:$I9525,3,0),"")</f>
        <v>Мебель</v>
      </c>
      <c r="D7629" s="35" t="s">
        <v>398</v>
      </c>
      <c r="E7629" s="88"/>
      <c r="F7629" s="88"/>
      <c r="G7629" s="59">
        <v>1</v>
      </c>
      <c r="H7629" s="59"/>
      <c r="I7629" s="60"/>
      <c r="J7629" s="60"/>
      <c r="K7629" s="19"/>
      <c r="L7629" s="20"/>
    </row>
    <row r="7630" spans="1:12" outlineLevel="2">
      <c r="A7630" s="34"/>
      <c r="B7630" s="12" t="str">
        <f>IFERROR(VLOOKUP(D7630,'[1]Перечень товаров'!$A$2:$I9525,2,0),"")</f>
        <v>м61</v>
      </c>
      <c r="C7630" s="12" t="str">
        <f>IFERROR(VLOOKUP(D7630,'[1]Перечень товаров'!$A$2:$I9525,3,0),"")</f>
        <v>Мебель</v>
      </c>
      <c r="D7630" s="35" t="s">
        <v>383</v>
      </c>
      <c r="E7630" s="88"/>
      <c r="F7630" s="88"/>
      <c r="G7630" s="59">
        <v>1</v>
      </c>
      <c r="H7630" s="59"/>
      <c r="I7630" s="60"/>
      <c r="J7630" s="60"/>
      <c r="K7630" s="19"/>
      <c r="L7630" s="20"/>
    </row>
    <row r="7631" spans="1:12" outlineLevel="2">
      <c r="A7631" s="34"/>
      <c r="B7631" s="12" t="str">
        <f>IFERROR(VLOOKUP(D7631,'[1]Перечень товаров'!$A$2:$I9525,2,0),"")</f>
        <v>м179</v>
      </c>
      <c r="C7631" s="12" t="str">
        <f>IFERROR(VLOOKUP(D7631,'[1]Перечень товаров'!$A$2:$I9525,3,0),"")</f>
        <v>Мебель</v>
      </c>
      <c r="D7631" s="35" t="s">
        <v>579</v>
      </c>
      <c r="E7631" s="88"/>
      <c r="F7631" s="88"/>
      <c r="G7631" s="59">
        <v>10</v>
      </c>
      <c r="H7631" s="59"/>
      <c r="I7631" s="60"/>
      <c r="J7631" s="60"/>
      <c r="K7631" s="19"/>
      <c r="L7631" s="20"/>
    </row>
    <row r="7632" spans="1:12" outlineLevel="2">
      <c r="A7632" s="34"/>
      <c r="B7632" s="12" t="str">
        <f>IFERROR(VLOOKUP(D7632,'[1]Перечень товаров'!$A$2:$I9525,2,0),"")</f>
        <v>м61</v>
      </c>
      <c r="C7632" s="12" t="str">
        <f>IFERROR(VLOOKUP(D7632,'[1]Перечень товаров'!$A$2:$I9525,3,0),"")</f>
        <v>Мебель</v>
      </c>
      <c r="D7632" s="35" t="s">
        <v>384</v>
      </c>
      <c r="E7632" s="88"/>
      <c r="F7632" s="88"/>
      <c r="G7632" s="59">
        <v>20</v>
      </c>
      <c r="H7632" s="59"/>
      <c r="I7632" s="60"/>
      <c r="J7632" s="60"/>
      <c r="K7632" s="19"/>
      <c r="L7632" s="20"/>
    </row>
    <row r="7633" spans="1:12" outlineLevel="2">
      <c r="A7633" s="21"/>
      <c r="B7633" s="12" t="str">
        <f>IFERROR(VLOOKUP(D7633,'[1]Перечень товаров'!$A$2:$I9525,2,0),"")</f>
        <v>м13</v>
      </c>
      <c r="C7633" s="12" t="str">
        <f>IFERROR(VLOOKUP(D7633,'[1]Перечень товаров'!$A$2:$I9525,3,0),"")</f>
        <v>Мебель</v>
      </c>
      <c r="D7633" s="22" t="s">
        <v>42</v>
      </c>
      <c r="E7633" s="58"/>
      <c r="F7633" s="58"/>
      <c r="G7633" s="24">
        <v>1</v>
      </c>
      <c r="H7633" s="24"/>
      <c r="I7633" s="25"/>
      <c r="J7633" s="25"/>
      <c r="K7633" s="19"/>
      <c r="L7633" s="20"/>
    </row>
    <row r="7634" spans="1:12" outlineLevel="2">
      <c r="A7634" s="21"/>
      <c r="B7634" s="12" t="str">
        <f>IFERROR(VLOOKUP(D7634,'[1]Перечень товаров'!$A$2:$I9525,2,0),"")</f>
        <v>м14</v>
      </c>
      <c r="C7634" s="12" t="str">
        <f>IFERROR(VLOOKUP(D7634,'[1]Перечень товаров'!$A$2:$I9525,3,0),"")</f>
        <v>Мебель</v>
      </c>
      <c r="D7634" s="22" t="s">
        <v>43</v>
      </c>
      <c r="E7634" s="58"/>
      <c r="F7634" s="58"/>
      <c r="G7634" s="24">
        <v>1</v>
      </c>
      <c r="H7634" s="24"/>
      <c r="I7634" s="25"/>
      <c r="J7634" s="25"/>
      <c r="K7634" s="19"/>
      <c r="L7634" s="20"/>
    </row>
    <row r="7635" spans="1:12" ht="31.5" outlineLevel="2">
      <c r="A7635" s="155"/>
      <c r="B7635" s="12" t="str">
        <f>IFERROR(VLOOKUP(D7635,'[1]Перечень товаров'!$A$2:$I9525,2,0),"")</f>
        <v>м21</v>
      </c>
      <c r="C7635" s="12" t="str">
        <f>IFERROR(VLOOKUP(D7635,'[1]Перечень товаров'!$A$2:$I9525,3,0),"")</f>
        <v>Мебель</v>
      </c>
      <c r="D7635" s="156" t="s">
        <v>58</v>
      </c>
      <c r="E7635" s="58"/>
      <c r="F7635" s="58"/>
      <c r="G7635" s="24">
        <v>1</v>
      </c>
      <c r="H7635" s="24"/>
      <c r="I7635" s="25"/>
      <c r="J7635" s="25"/>
      <c r="K7635" s="19"/>
      <c r="L7635" s="20"/>
    </row>
    <row r="7636" spans="1:12" ht="15" outlineLevel="2">
      <c r="A7636" s="116"/>
      <c r="B7636" s="12" t="str">
        <f>IFERROR(VLOOKUP(D7636,'[1]Перечень товаров'!$A$2:$I9525,2,0),"")</f>
        <v/>
      </c>
      <c r="C7636" s="12" t="str">
        <f>IFERROR(VLOOKUP(D7636,'[1]Перечень товаров'!$A$2:$I9525,3,0),"")</f>
        <v/>
      </c>
      <c r="D7636" s="117" t="s">
        <v>391</v>
      </c>
      <c r="E7636" s="118"/>
      <c r="F7636" s="118"/>
      <c r="G7636" s="119"/>
      <c r="H7636" s="119"/>
      <c r="I7636" s="120"/>
      <c r="J7636" s="120"/>
      <c r="K7636" s="19"/>
      <c r="L7636" s="20"/>
    </row>
    <row r="7637" spans="1:12" ht="15" outlineLevel="2">
      <c r="A7637" s="274"/>
      <c r="B7637" s="12" t="str">
        <f>IFERROR(VLOOKUP(D7637,'[1]Перечень товаров'!$A$2:$I9525,2,0),"")</f>
        <v/>
      </c>
      <c r="C7637" s="12" t="str">
        <f>IFERROR(VLOOKUP(D7637,'[1]Перечень товаров'!$A$2:$I9525,3,0),"")</f>
        <v/>
      </c>
      <c r="D7637" s="275" t="s">
        <v>1828</v>
      </c>
      <c r="E7637" s="118"/>
      <c r="F7637" s="118"/>
      <c r="G7637" s="119"/>
      <c r="H7637" s="119"/>
      <c r="I7637" s="120"/>
      <c r="J7637" s="120"/>
      <c r="K7637" s="19"/>
      <c r="L7637" s="20"/>
    </row>
    <row r="7638" spans="1:12" outlineLevel="2">
      <c r="A7638" s="28"/>
      <c r="B7638" s="12" t="str">
        <f>IFERROR(VLOOKUP(D7638,'[1]Перечень товаров'!$A$2:$I9525,2,0),"")</f>
        <v>тм87</v>
      </c>
      <c r="C7638" s="12" t="str">
        <f>IFERROR(VLOOKUP(D7638,'[1]Перечень товаров'!$A$2:$I9525,3,0),"")</f>
        <v>Техника муз</v>
      </c>
      <c r="D7638" s="29" t="s">
        <v>1829</v>
      </c>
      <c r="E7638" s="30"/>
      <c r="F7638" s="30"/>
      <c r="G7638" s="31">
        <v>2</v>
      </c>
      <c r="H7638" s="31"/>
      <c r="I7638" s="32"/>
      <c r="J7638" s="32"/>
      <c r="K7638" s="19"/>
      <c r="L7638" s="20"/>
    </row>
    <row r="7639" spans="1:12" outlineLevel="2">
      <c r="A7639" s="28"/>
      <c r="B7639" s="12" t="str">
        <f>IFERROR(VLOOKUP(D7639,'[1]Перечень товаров'!$A$2:$I9525,2,0),"")</f>
        <v>тм86</v>
      </c>
      <c r="C7639" s="12" t="str">
        <f>IFERROR(VLOOKUP(D7639,'[1]Перечень товаров'!$A$2:$I9525,3,0),"")</f>
        <v>Техника муз</v>
      </c>
      <c r="D7639" s="29" t="s">
        <v>1830</v>
      </c>
      <c r="E7639" s="30"/>
      <c r="F7639" s="30"/>
      <c r="G7639" s="31">
        <v>3</v>
      </c>
      <c r="H7639" s="31"/>
      <c r="I7639" s="32"/>
      <c r="J7639" s="32"/>
      <c r="K7639" s="19"/>
      <c r="L7639" s="20"/>
    </row>
    <row r="7640" spans="1:12" outlineLevel="2">
      <c r="A7640" s="28"/>
      <c r="B7640" s="12" t="str">
        <f>IFERROR(VLOOKUP(D7640,'[1]Перечень товаров'!$A$2:$I9525,2,0),"")</f>
        <v>тм85</v>
      </c>
      <c r="C7640" s="12" t="str">
        <f>IFERROR(VLOOKUP(D7640,'[1]Перечень товаров'!$A$2:$I9525,3,0),"")</f>
        <v>Техника муз</v>
      </c>
      <c r="D7640" s="29" t="s">
        <v>1831</v>
      </c>
      <c r="E7640" s="30"/>
      <c r="F7640" s="30"/>
      <c r="G7640" s="31">
        <v>4</v>
      </c>
      <c r="H7640" s="31"/>
      <c r="I7640" s="32"/>
      <c r="J7640" s="32"/>
      <c r="K7640" s="19"/>
      <c r="L7640" s="20"/>
    </row>
    <row r="7641" spans="1:12" outlineLevel="2">
      <c r="A7641" s="28"/>
      <c r="B7641" s="12" t="str">
        <f>IFERROR(VLOOKUP(D7641,'[1]Перечень товаров'!$A$2:$I9525,2,0),"")</f>
        <v>тм84</v>
      </c>
      <c r="C7641" s="12" t="str">
        <f>IFERROR(VLOOKUP(D7641,'[1]Перечень товаров'!$A$2:$I9525,3,0),"")</f>
        <v>Техника муз</v>
      </c>
      <c r="D7641" s="29" t="s">
        <v>1832</v>
      </c>
      <c r="E7641" s="30"/>
      <c r="F7641" s="30"/>
      <c r="G7641" s="31">
        <v>4</v>
      </c>
      <c r="H7641" s="31"/>
      <c r="I7641" s="32"/>
      <c r="J7641" s="32"/>
      <c r="K7641" s="19"/>
      <c r="L7641" s="20"/>
    </row>
    <row r="7642" spans="1:12" outlineLevel="2">
      <c r="A7642" s="28"/>
      <c r="B7642" s="12" t="str">
        <f>IFERROR(VLOOKUP(D7642,'[1]Перечень товаров'!$A$2:$I9525,2,0),"")</f>
        <v>тм83</v>
      </c>
      <c r="C7642" s="12" t="str">
        <f>IFERROR(VLOOKUP(D7642,'[1]Перечень товаров'!$A$2:$I9525,3,0),"")</f>
        <v>Техника муз</v>
      </c>
      <c r="D7642" s="29" t="s">
        <v>1833</v>
      </c>
      <c r="E7642" s="30"/>
      <c r="F7642" s="30"/>
      <c r="G7642" s="31">
        <v>5</v>
      </c>
      <c r="H7642" s="31"/>
      <c r="I7642" s="32"/>
      <c r="J7642" s="32"/>
      <c r="K7642" s="19"/>
      <c r="L7642" s="20"/>
    </row>
    <row r="7643" spans="1:12" outlineLevel="2">
      <c r="A7643" s="28"/>
      <c r="B7643" s="12" t="str">
        <f>IFERROR(VLOOKUP(D7643,'[1]Перечень товаров'!$A$2:$I9525,2,0),"")</f>
        <v>тм82</v>
      </c>
      <c r="C7643" s="12" t="str">
        <f>IFERROR(VLOOKUP(D7643,'[1]Перечень товаров'!$A$2:$I9525,3,0),"")</f>
        <v>Техника муз</v>
      </c>
      <c r="D7643" s="29" t="s">
        <v>1834</v>
      </c>
      <c r="E7643" s="30"/>
      <c r="F7643" s="30"/>
      <c r="G7643" s="31">
        <v>2</v>
      </c>
      <c r="H7643" s="31"/>
      <c r="I7643" s="32"/>
      <c r="J7643" s="32"/>
      <c r="K7643" s="19"/>
      <c r="L7643" s="20"/>
    </row>
    <row r="7644" spans="1:12" ht="31.5" outlineLevel="2">
      <c r="A7644" s="28"/>
      <c r="B7644" s="12" t="str">
        <f>IFERROR(VLOOKUP(D7644,'[1]Перечень товаров'!$A$2:$I9525,2,0),"")</f>
        <v>тм81</v>
      </c>
      <c r="C7644" s="12" t="str">
        <f>IFERROR(VLOOKUP(D7644,'[1]Перечень товаров'!$A$2:$I9525,3,0),"")</f>
        <v>Техника муз</v>
      </c>
      <c r="D7644" s="29" t="s">
        <v>1835</v>
      </c>
      <c r="E7644" s="30"/>
      <c r="F7644" s="30"/>
      <c r="G7644" s="31">
        <v>18</v>
      </c>
      <c r="H7644" s="31"/>
      <c r="I7644" s="32"/>
      <c r="J7644" s="32"/>
      <c r="K7644" s="19"/>
      <c r="L7644" s="20"/>
    </row>
    <row r="7645" spans="1:12" outlineLevel="2">
      <c r="A7645" s="28"/>
      <c r="B7645" s="12" t="str">
        <f>IFERROR(VLOOKUP(D7645,'[1]Перечень товаров'!$A$2:$I9525,2,0),"")</f>
        <v>тм54</v>
      </c>
      <c r="C7645" s="12" t="str">
        <f>IFERROR(VLOOKUP(D7645,'[1]Перечень товаров'!$A$2:$I9525,3,0),"")</f>
        <v>Техника муз</v>
      </c>
      <c r="D7645" s="29" t="s">
        <v>310</v>
      </c>
      <c r="E7645" s="30"/>
      <c r="F7645" s="30"/>
      <c r="G7645" s="31">
        <v>30</v>
      </c>
      <c r="H7645" s="31"/>
      <c r="I7645" s="32"/>
      <c r="J7645" s="32"/>
      <c r="K7645" s="19"/>
      <c r="L7645" s="20"/>
    </row>
    <row r="7646" spans="1:12" ht="31.5" outlineLevel="2">
      <c r="A7646" s="28"/>
      <c r="B7646" s="12" t="str">
        <f>IFERROR(VLOOKUP(D7646,'[1]Перечень товаров'!$A$2:$I9525,2,0),"")</f>
        <v>тм80</v>
      </c>
      <c r="C7646" s="12" t="str">
        <f>IFERROR(VLOOKUP(D7646,'[1]Перечень товаров'!$A$2:$I9525,3,0),"")</f>
        <v>Техника муз</v>
      </c>
      <c r="D7646" s="29" t="s">
        <v>1836</v>
      </c>
      <c r="E7646" s="30"/>
      <c r="F7646" s="30"/>
      <c r="G7646" s="31">
        <v>5</v>
      </c>
      <c r="H7646" s="31"/>
      <c r="I7646" s="32"/>
      <c r="J7646" s="32"/>
      <c r="K7646" s="19"/>
      <c r="L7646" s="20"/>
    </row>
    <row r="7647" spans="1:12" outlineLevel="2">
      <c r="A7647" s="28"/>
      <c r="B7647" s="12" t="str">
        <f>IFERROR(VLOOKUP(D7647,'[1]Перечень товаров'!$A$2:$I9525,2,0),"")</f>
        <v>пм211</v>
      </c>
      <c r="C7647" s="12" t="str">
        <f>IFERROR(VLOOKUP(D7647,'[1]Перечень товаров'!$A$2:$I9525,3,0),"")</f>
        <v>прочее муз</v>
      </c>
      <c r="D7647" s="29" t="s">
        <v>995</v>
      </c>
      <c r="E7647" s="30"/>
      <c r="F7647" s="30"/>
      <c r="G7647" s="31">
        <v>10</v>
      </c>
      <c r="H7647" s="31"/>
      <c r="I7647" s="32"/>
      <c r="J7647" s="32"/>
      <c r="K7647" s="19"/>
      <c r="L7647" s="20"/>
    </row>
    <row r="7648" spans="1:12" ht="31.5" outlineLevel="2">
      <c r="A7648" s="28"/>
      <c r="B7648" s="12" t="str">
        <f>IFERROR(VLOOKUP(D7648,'[1]Перечень товаров'!$A$2:$I9525,2,0),"")</f>
        <v>тм79</v>
      </c>
      <c r="C7648" s="12" t="str">
        <f>IFERROR(VLOOKUP(D7648,'[1]Перечень товаров'!$A$2:$I9525,3,0),"")</f>
        <v>Техника муз</v>
      </c>
      <c r="D7648" s="29" t="s">
        <v>1837</v>
      </c>
      <c r="E7648" s="30"/>
      <c r="F7648" s="30"/>
      <c r="G7648" s="31">
        <v>18</v>
      </c>
      <c r="H7648" s="31"/>
      <c r="I7648" s="32"/>
      <c r="J7648" s="32"/>
      <c r="K7648" s="19"/>
      <c r="L7648" s="20"/>
    </row>
    <row r="7649" spans="1:12" outlineLevel="2">
      <c r="A7649" s="28"/>
      <c r="B7649" s="12" t="str">
        <f>IFERROR(VLOOKUP(D7649,'[1]Перечень товаров'!$A$2:$I9525,2,0),"")</f>
        <v>тм78</v>
      </c>
      <c r="C7649" s="12" t="str">
        <f>IFERROR(VLOOKUP(D7649,'[1]Перечень товаров'!$A$2:$I9525,3,0),"")</f>
        <v>Техника муз</v>
      </c>
      <c r="D7649" s="29" t="s">
        <v>1838</v>
      </c>
      <c r="E7649" s="30"/>
      <c r="F7649" s="30"/>
      <c r="G7649" s="31">
        <v>1</v>
      </c>
      <c r="H7649" s="31"/>
      <c r="I7649" s="32"/>
      <c r="J7649" s="32"/>
      <c r="K7649" s="19"/>
      <c r="L7649" s="20"/>
    </row>
    <row r="7650" spans="1:12" outlineLevel="2">
      <c r="A7650" s="54"/>
      <c r="B7650" s="12" t="str">
        <f>IFERROR(VLOOKUP(D7650,'[1]Перечень товаров'!$A$2:$I9525,2,0),"")</f>
        <v/>
      </c>
      <c r="C7650" s="12" t="str">
        <f>IFERROR(VLOOKUP(D7650,'[1]Перечень товаров'!$A$2:$I9525,3,0),"")</f>
        <v/>
      </c>
      <c r="D7650" s="55" t="s">
        <v>45</v>
      </c>
      <c r="E7650" s="217"/>
      <c r="F7650" s="217"/>
      <c r="G7650" s="59"/>
      <c r="H7650" s="59"/>
      <c r="I7650" s="60"/>
      <c r="J7650" s="60"/>
      <c r="K7650" s="19"/>
      <c r="L7650" s="20"/>
    </row>
    <row r="7651" spans="1:12" outlineLevel="2">
      <c r="A7651" s="43"/>
      <c r="B7651" s="12" t="str">
        <f>IFERROR(VLOOKUP(D7651,'[1]Перечень товаров'!$A$2:$I9525,2,0),"")</f>
        <v>м7</v>
      </c>
      <c r="C7651" s="12" t="str">
        <f>IFERROR(VLOOKUP(D7651,'[1]Перечень товаров'!$A$2:$I9525,3,0),"")</f>
        <v>Мебель</v>
      </c>
      <c r="D7651" s="44" t="s">
        <v>24</v>
      </c>
      <c r="E7651" s="30"/>
      <c r="F7651" s="30"/>
      <c r="G7651" s="59">
        <v>1</v>
      </c>
      <c r="H7651" s="59"/>
      <c r="I7651" s="60"/>
      <c r="J7651" s="60"/>
      <c r="K7651" s="19"/>
      <c r="L7651" s="20"/>
    </row>
    <row r="7652" spans="1:12" outlineLevel="2">
      <c r="A7652" s="43"/>
      <c r="B7652" s="12" t="str">
        <f>IFERROR(VLOOKUP(D7652,'[1]Перечень товаров'!$A$2:$I9525,2,0),"")</f>
        <v>п1</v>
      </c>
      <c r="C7652" s="12" t="str">
        <f>IFERROR(VLOOKUP(D7652,'[1]Перечень товаров'!$A$2:$I9525,3,0),"")</f>
        <v>Прочее</v>
      </c>
      <c r="D7652" s="44" t="s">
        <v>37</v>
      </c>
      <c r="E7652" s="30"/>
      <c r="F7652" s="30"/>
      <c r="G7652" s="59">
        <v>1</v>
      </c>
      <c r="H7652" s="59"/>
      <c r="I7652" s="60"/>
      <c r="J7652" s="60"/>
      <c r="K7652" s="19"/>
      <c r="L7652" s="20"/>
    </row>
    <row r="7653" spans="1:12" outlineLevel="2">
      <c r="A7653" s="21"/>
      <c r="B7653" s="12" t="str">
        <f>IFERROR(VLOOKUP(D7653,'[1]Перечень товаров'!$A$2:$I9525,2,0),"")</f>
        <v>п2</v>
      </c>
      <c r="C7653" s="12" t="str">
        <f>IFERROR(VLOOKUP(D7653,'[1]Перечень товаров'!$A$2:$I9525,3,0),"")</f>
        <v>Прочее</v>
      </c>
      <c r="D7653" s="22" t="s">
        <v>46</v>
      </c>
      <c r="E7653" s="58"/>
      <c r="F7653" s="58"/>
      <c r="G7653" s="24">
        <v>1</v>
      </c>
      <c r="H7653" s="24"/>
      <c r="I7653" s="25"/>
      <c r="J7653" s="25"/>
      <c r="K7653" s="19"/>
      <c r="L7653" s="20"/>
    </row>
    <row r="7654" spans="1:12" ht="12.75" outlineLevel="1">
      <c r="A7654" s="11"/>
      <c r="B7654" s="12" t="str">
        <f>IFERROR(VLOOKUP(D7654,'[1]Перечень товаров'!$A$2:$I9525,2,0),"")</f>
        <v/>
      </c>
      <c r="C7654" s="12" t="str">
        <f>IFERROR(VLOOKUP(D7654,'[1]Перечень товаров'!$A$2:$I9525,3,0),"")</f>
        <v/>
      </c>
      <c r="D7654" s="27" t="s">
        <v>1827</v>
      </c>
      <c r="E7654" s="99">
        <v>46192</v>
      </c>
      <c r="F7654" s="99"/>
      <c r="G7654" s="100"/>
      <c r="H7654" s="100"/>
      <c r="I7654" s="101"/>
      <c r="J7654" s="101"/>
      <c r="K7654" s="19"/>
      <c r="L7654" s="20"/>
    </row>
    <row r="7655" spans="1:12" ht="15" outlineLevel="2">
      <c r="A7655" s="109"/>
      <c r="B7655" s="12" t="str">
        <f>IFERROR(VLOOKUP(D7655,'[1]Перечень товаров'!$A$2:$I9525,2,0),"")</f>
        <v/>
      </c>
      <c r="C7655" s="12" t="str">
        <f>IFERROR(VLOOKUP(D7655,'[1]Перечень товаров'!$A$2:$I9525,3,0),"")</f>
        <v/>
      </c>
      <c r="D7655" s="110" t="s">
        <v>27</v>
      </c>
      <c r="E7655" s="45"/>
      <c r="F7655" s="45"/>
      <c r="G7655" s="111"/>
      <c r="H7655" s="111"/>
      <c r="I7655" s="112"/>
      <c r="J7655" s="112"/>
      <c r="K7655" s="19"/>
      <c r="L7655" s="20"/>
    </row>
    <row r="7656" spans="1:12" outlineLevel="2">
      <c r="A7656" s="21"/>
      <c r="B7656" s="12" t="str">
        <f>IFERROR(VLOOKUP(D7656,'[1]Перечень товаров'!$A$2:$I9525,2,0),"")</f>
        <v>т1</v>
      </c>
      <c r="C7656" s="12" t="str">
        <f>IFERROR(VLOOKUP(D7656,'[1]Перечень товаров'!$A$2:$I9525,3,0),"")</f>
        <v xml:space="preserve">Техника </v>
      </c>
      <c r="D7656" s="22" t="s">
        <v>28</v>
      </c>
      <c r="E7656" s="58"/>
      <c r="F7656" s="58"/>
      <c r="G7656" s="48">
        <v>1</v>
      </c>
      <c r="H7656" s="48"/>
      <c r="I7656" s="49"/>
      <c r="J7656" s="49"/>
      <c r="K7656" s="19"/>
      <c r="L7656" s="20"/>
    </row>
    <row r="7657" spans="1:12" outlineLevel="2">
      <c r="A7657" s="143"/>
      <c r="B7657" s="12" t="str">
        <f>IFERROR(VLOOKUP(D7657,'[1]Перечень товаров'!$A$2:$I9525,2,0),"")</f>
        <v>т9</v>
      </c>
      <c r="C7657" s="12" t="str">
        <f>IFERROR(VLOOKUP(D7657,'[1]Перечень товаров'!$A$2:$I9525,3,0),"")</f>
        <v>Техника</v>
      </c>
      <c r="D7657" s="143" t="s">
        <v>36</v>
      </c>
      <c r="E7657" s="58"/>
      <c r="F7657" s="58"/>
      <c r="G7657" s="48">
        <v>1</v>
      </c>
      <c r="H7657" s="48"/>
      <c r="I7657" s="49"/>
      <c r="J7657" s="49"/>
      <c r="K7657" s="19"/>
      <c r="L7657" s="20"/>
    </row>
    <row r="7658" spans="1:12" outlineLevel="2">
      <c r="A7658" s="35"/>
      <c r="B7658" s="12" t="str">
        <f>IFERROR(VLOOKUP(D7658,'[1]Перечень товаров'!$A$2:$I9525,2,0),"")</f>
        <v>т2</v>
      </c>
      <c r="C7658" s="12" t="str">
        <f>IFERROR(VLOOKUP(D7658,'[1]Перечень товаров'!$A$2:$I9525,3,0),"")</f>
        <v xml:space="preserve">Техника </v>
      </c>
      <c r="D7658" s="35" t="s">
        <v>29</v>
      </c>
      <c r="E7658" s="58"/>
      <c r="F7658" s="58"/>
      <c r="G7658" s="48">
        <v>1</v>
      </c>
      <c r="H7658" s="48"/>
      <c r="I7658" s="49"/>
      <c r="J7658" s="49"/>
      <c r="K7658" s="19"/>
      <c r="L7658" s="20"/>
    </row>
    <row r="7659" spans="1:12" outlineLevel="2">
      <c r="A7659" s="35"/>
      <c r="B7659" s="12" t="str">
        <f>IFERROR(VLOOKUP(D7659,'[1]Перечень товаров'!$A$2:$I9525,2,0),"")</f>
        <v>т3</v>
      </c>
      <c r="C7659" s="12" t="str">
        <f>IFERROR(VLOOKUP(D7659,'[1]Перечень товаров'!$A$2:$I9525,3,0),"")</f>
        <v xml:space="preserve">Техника </v>
      </c>
      <c r="D7659" s="35" t="s">
        <v>30</v>
      </c>
      <c r="E7659" s="58"/>
      <c r="F7659" s="58"/>
      <c r="G7659" s="48">
        <v>1</v>
      </c>
      <c r="H7659" s="48"/>
      <c r="I7659" s="49"/>
      <c r="J7659" s="49"/>
      <c r="K7659" s="19"/>
      <c r="L7659" s="20"/>
    </row>
    <row r="7660" spans="1:12" outlineLevel="2">
      <c r="A7660" s="35"/>
      <c r="B7660" s="12" t="str">
        <f>IFERROR(VLOOKUP(D7660,'[1]Перечень товаров'!$A$2:$I9525,2,0),"")</f>
        <v>т4</v>
      </c>
      <c r="C7660" s="12" t="str">
        <f>IFERROR(VLOOKUP(D7660,'[1]Перечень товаров'!$A$2:$I9525,3,0),"")</f>
        <v xml:space="preserve">Техника </v>
      </c>
      <c r="D7660" s="35" t="s">
        <v>31</v>
      </c>
      <c r="E7660" s="58"/>
      <c r="F7660" s="58"/>
      <c r="G7660" s="48">
        <v>1</v>
      </c>
      <c r="H7660" s="48"/>
      <c r="I7660" s="49"/>
      <c r="J7660" s="49"/>
      <c r="K7660" s="19"/>
      <c r="L7660" s="20"/>
    </row>
    <row r="7661" spans="1:12" outlineLevel="2">
      <c r="A7661" s="21"/>
      <c r="B7661" s="12" t="str">
        <f>IFERROR(VLOOKUP(D7661,'[1]Перечень товаров'!$A$2:$I9525,2,0),"")</f>
        <v>тм65</v>
      </c>
      <c r="C7661" s="12" t="str">
        <f>IFERROR(VLOOKUP(D7661,'[1]Перечень товаров'!$A$2:$I9525,3,0),"")</f>
        <v>Техника муз</v>
      </c>
      <c r="D7661" s="22" t="s">
        <v>380</v>
      </c>
      <c r="E7661" s="58"/>
      <c r="F7661" s="58"/>
      <c r="G7661" s="48">
        <v>1</v>
      </c>
      <c r="H7661" s="48"/>
      <c r="I7661" s="49"/>
      <c r="J7661" s="49"/>
      <c r="K7661" s="19"/>
      <c r="L7661" s="20"/>
    </row>
    <row r="7662" spans="1:12" outlineLevel="2">
      <c r="A7662" s="21"/>
      <c r="B7662" s="12" t="str">
        <f>IFERROR(VLOOKUP(D7662,'[1]Перечень товаров'!$A$2:$I9525,2,0),"")</f>
        <v>т12</v>
      </c>
      <c r="C7662" s="12" t="str">
        <f>IFERROR(VLOOKUP(D7662,'[1]Перечень товаров'!$A$2:$I9525,3,0),"")</f>
        <v>Техника</v>
      </c>
      <c r="D7662" s="22" t="s">
        <v>49</v>
      </c>
      <c r="E7662" s="58"/>
      <c r="F7662" s="58"/>
      <c r="G7662" s="48">
        <v>1</v>
      </c>
      <c r="H7662" s="48"/>
      <c r="I7662" s="49"/>
      <c r="J7662" s="49"/>
      <c r="K7662" s="19"/>
      <c r="L7662" s="20"/>
    </row>
    <row r="7663" spans="1:12" outlineLevel="2">
      <c r="A7663" s="35"/>
      <c r="B7663" s="12" t="str">
        <f>IFERROR(VLOOKUP(D7663,'[1]Перечень товаров'!$A$2:$I9525,2,0),"")</f>
        <v>т6</v>
      </c>
      <c r="C7663" s="12" t="str">
        <f>IFERROR(VLOOKUP(D7663,'[1]Перечень товаров'!$A$2:$I9525,3,0),"")</f>
        <v xml:space="preserve">Техника </v>
      </c>
      <c r="D7663" s="35" t="s">
        <v>33</v>
      </c>
      <c r="E7663" s="58"/>
      <c r="F7663" s="58"/>
      <c r="G7663" s="48">
        <v>1</v>
      </c>
      <c r="H7663" s="48"/>
      <c r="I7663" s="49"/>
      <c r="J7663" s="49"/>
      <c r="K7663" s="19"/>
      <c r="L7663" s="20"/>
    </row>
    <row r="7664" spans="1:12" outlineLevel="2">
      <c r="A7664" s="21"/>
      <c r="B7664" s="12" t="str">
        <f>IFERROR(VLOOKUP(D7664,'[1]Перечень товаров'!$A$2:$I9525,2,0),"")</f>
        <v>т7</v>
      </c>
      <c r="C7664" s="12" t="str">
        <f>IFERROR(VLOOKUP(D7664,'[1]Перечень товаров'!$A$2:$I9525,3,0),"")</f>
        <v xml:space="preserve">Техника </v>
      </c>
      <c r="D7664" s="22" t="s">
        <v>34</v>
      </c>
      <c r="E7664" s="58"/>
      <c r="F7664" s="58"/>
      <c r="G7664" s="48">
        <v>3</v>
      </c>
      <c r="H7664" s="48"/>
      <c r="I7664" s="49"/>
      <c r="J7664" s="49"/>
      <c r="K7664" s="19"/>
      <c r="L7664" s="20"/>
    </row>
    <row r="7665" spans="1:12" outlineLevel="2">
      <c r="A7665" s="28"/>
      <c r="B7665" s="12" t="str">
        <f>IFERROR(VLOOKUP(D7665,'[1]Перечень товаров'!$A$2:$I9525,2,0),"")</f>
        <v>т161</v>
      </c>
      <c r="C7665" s="12" t="str">
        <f>IFERROR(VLOOKUP(D7665,'[1]Перечень товаров'!$A$2:$I9525,3,0),"")</f>
        <v xml:space="preserve">Техника </v>
      </c>
      <c r="D7665" s="29" t="s">
        <v>381</v>
      </c>
      <c r="E7665" s="30"/>
      <c r="F7665" s="30"/>
      <c r="G7665" s="59">
        <v>1</v>
      </c>
      <c r="H7665" s="59"/>
      <c r="I7665" s="60"/>
      <c r="J7665" s="60"/>
      <c r="K7665" s="19"/>
      <c r="L7665" s="20"/>
    </row>
    <row r="7666" spans="1:12" outlineLevel="2">
      <c r="A7666" s="113"/>
      <c r="B7666" s="12" t="str">
        <f>IFERROR(VLOOKUP(D7666,'[1]Перечень товаров'!$A$2:$I9525,2,0),"")</f>
        <v/>
      </c>
      <c r="C7666" s="12" t="str">
        <f>IFERROR(VLOOKUP(D7666,'[1]Перечень товаров'!$A$2:$I9525,3,0),"")</f>
        <v/>
      </c>
      <c r="D7666" s="114" t="s">
        <v>19</v>
      </c>
      <c r="E7666" s="115"/>
      <c r="F7666" s="115"/>
      <c r="G7666" s="59"/>
      <c r="H7666" s="59"/>
      <c r="I7666" s="60"/>
      <c r="J7666" s="60"/>
      <c r="K7666" s="19"/>
      <c r="L7666" s="20"/>
    </row>
    <row r="7667" spans="1:12" outlineLevel="2">
      <c r="A7667" s="34"/>
      <c r="B7667" s="12" t="str">
        <f>IFERROR(VLOOKUP(D7667,'[1]Перечень товаров'!$A$2:$I9525,2,0),"")</f>
        <v>м62</v>
      </c>
      <c r="C7667" s="12" t="str">
        <f>IFERROR(VLOOKUP(D7667,'[1]Перечень товаров'!$A$2:$I9525,3,0),"")</f>
        <v>Мебель</v>
      </c>
      <c r="D7667" s="35" t="s">
        <v>398</v>
      </c>
      <c r="E7667" s="88"/>
      <c r="F7667" s="88"/>
      <c r="G7667" s="59">
        <v>1</v>
      </c>
      <c r="H7667" s="59"/>
      <c r="I7667" s="60"/>
      <c r="J7667" s="60"/>
      <c r="K7667" s="19"/>
      <c r="L7667" s="20"/>
    </row>
    <row r="7668" spans="1:12" outlineLevel="2">
      <c r="A7668" s="34"/>
      <c r="B7668" s="12" t="str">
        <f>IFERROR(VLOOKUP(D7668,'[1]Перечень товаров'!$A$2:$I9525,2,0),"")</f>
        <v>м61</v>
      </c>
      <c r="C7668" s="12" t="str">
        <f>IFERROR(VLOOKUP(D7668,'[1]Перечень товаров'!$A$2:$I9525,3,0),"")</f>
        <v>Мебель</v>
      </c>
      <c r="D7668" s="35" t="s">
        <v>383</v>
      </c>
      <c r="E7668" s="88"/>
      <c r="F7668" s="88"/>
      <c r="G7668" s="59">
        <v>1</v>
      </c>
      <c r="H7668" s="59"/>
      <c r="I7668" s="60"/>
      <c r="J7668" s="60"/>
      <c r="K7668" s="19"/>
      <c r="L7668" s="20"/>
    </row>
    <row r="7669" spans="1:12" outlineLevel="2">
      <c r="A7669" s="34"/>
      <c r="B7669" s="12" t="str">
        <f>IFERROR(VLOOKUP(D7669,'[1]Перечень товаров'!$A$2:$I9525,2,0),"")</f>
        <v>м179</v>
      </c>
      <c r="C7669" s="12" t="str">
        <f>IFERROR(VLOOKUP(D7669,'[1]Перечень товаров'!$A$2:$I9525,3,0),"")</f>
        <v>Мебель</v>
      </c>
      <c r="D7669" s="35" t="s">
        <v>579</v>
      </c>
      <c r="E7669" s="88"/>
      <c r="F7669" s="88"/>
      <c r="G7669" s="59">
        <v>10</v>
      </c>
      <c r="H7669" s="59"/>
      <c r="I7669" s="60"/>
      <c r="J7669" s="60"/>
      <c r="K7669" s="19"/>
      <c r="L7669" s="20"/>
    </row>
    <row r="7670" spans="1:12" outlineLevel="2">
      <c r="A7670" s="34"/>
      <c r="B7670" s="12" t="str">
        <f>IFERROR(VLOOKUP(D7670,'[1]Перечень товаров'!$A$2:$I9525,2,0),"")</f>
        <v>м61</v>
      </c>
      <c r="C7670" s="12" t="str">
        <f>IFERROR(VLOOKUP(D7670,'[1]Перечень товаров'!$A$2:$I9525,3,0),"")</f>
        <v>Мебель</v>
      </c>
      <c r="D7670" s="35" t="s">
        <v>384</v>
      </c>
      <c r="E7670" s="88"/>
      <c r="F7670" s="88"/>
      <c r="G7670" s="59">
        <v>20</v>
      </c>
      <c r="H7670" s="59"/>
      <c r="I7670" s="60"/>
      <c r="J7670" s="60"/>
      <c r="K7670" s="19"/>
      <c r="L7670" s="20"/>
    </row>
    <row r="7671" spans="1:12" outlineLevel="2">
      <c r="A7671" s="21"/>
      <c r="B7671" s="12" t="str">
        <f>IFERROR(VLOOKUP(D7671,'[1]Перечень товаров'!$A$2:$I9525,2,0),"")</f>
        <v>м13</v>
      </c>
      <c r="C7671" s="12" t="str">
        <f>IFERROR(VLOOKUP(D7671,'[1]Перечень товаров'!$A$2:$I9525,3,0),"")</f>
        <v>Мебель</v>
      </c>
      <c r="D7671" s="22" t="s">
        <v>42</v>
      </c>
      <c r="E7671" s="58"/>
      <c r="F7671" s="58"/>
      <c r="G7671" s="24">
        <v>1</v>
      </c>
      <c r="H7671" s="24"/>
      <c r="I7671" s="25"/>
      <c r="J7671" s="25"/>
      <c r="K7671" s="19"/>
      <c r="L7671" s="20"/>
    </row>
    <row r="7672" spans="1:12" outlineLevel="2">
      <c r="A7672" s="21"/>
      <c r="B7672" s="12" t="str">
        <f>IFERROR(VLOOKUP(D7672,'[1]Перечень товаров'!$A$2:$I9525,2,0),"")</f>
        <v>м14</v>
      </c>
      <c r="C7672" s="12" t="str">
        <f>IFERROR(VLOOKUP(D7672,'[1]Перечень товаров'!$A$2:$I9525,3,0),"")</f>
        <v>Мебель</v>
      </c>
      <c r="D7672" s="22" t="s">
        <v>43</v>
      </c>
      <c r="E7672" s="58"/>
      <c r="F7672" s="58"/>
      <c r="G7672" s="24">
        <v>1</v>
      </c>
      <c r="H7672" s="24"/>
      <c r="I7672" s="25"/>
      <c r="J7672" s="25"/>
      <c r="K7672" s="19"/>
      <c r="L7672" s="20"/>
    </row>
    <row r="7673" spans="1:12" ht="31.5" outlineLevel="2">
      <c r="A7673" s="155"/>
      <c r="B7673" s="12" t="str">
        <f>IFERROR(VLOOKUP(D7673,'[1]Перечень товаров'!$A$2:$I9525,2,0),"")</f>
        <v>м21</v>
      </c>
      <c r="C7673" s="12" t="str">
        <f>IFERROR(VLOOKUP(D7673,'[1]Перечень товаров'!$A$2:$I9525,3,0),"")</f>
        <v>Мебель</v>
      </c>
      <c r="D7673" s="156" t="s">
        <v>58</v>
      </c>
      <c r="E7673" s="58"/>
      <c r="F7673" s="58"/>
      <c r="G7673" s="24">
        <v>1</v>
      </c>
      <c r="H7673" s="24"/>
      <c r="I7673" s="25"/>
      <c r="J7673" s="25"/>
      <c r="K7673" s="19"/>
      <c r="L7673" s="20"/>
    </row>
    <row r="7674" spans="1:12" ht="15" outlineLevel="2">
      <c r="A7674" s="116"/>
      <c r="B7674" s="12" t="str">
        <f>IFERROR(VLOOKUP(D7674,'[1]Перечень товаров'!$A$2:$I9525,2,0),"")</f>
        <v/>
      </c>
      <c r="C7674" s="12" t="str">
        <f>IFERROR(VLOOKUP(D7674,'[1]Перечень товаров'!$A$2:$I9525,3,0),"")</f>
        <v/>
      </c>
      <c r="D7674" s="117" t="s">
        <v>391</v>
      </c>
      <c r="E7674" s="118"/>
      <c r="F7674" s="118"/>
      <c r="G7674" s="119"/>
      <c r="H7674" s="119"/>
      <c r="I7674" s="120"/>
      <c r="J7674" s="120"/>
      <c r="K7674" s="19"/>
      <c r="L7674" s="20"/>
    </row>
    <row r="7675" spans="1:12" ht="15" outlineLevel="2">
      <c r="A7675" s="274"/>
      <c r="B7675" s="12" t="str">
        <f>IFERROR(VLOOKUP(D7675,'[1]Перечень товаров'!$A$2:$I9525,2,0),"")</f>
        <v/>
      </c>
      <c r="C7675" s="12" t="str">
        <f>IFERROR(VLOOKUP(D7675,'[1]Перечень товаров'!$A$2:$I9525,3,0),"")</f>
        <v/>
      </c>
      <c r="D7675" s="275" t="s">
        <v>1828</v>
      </c>
      <c r="E7675" s="118"/>
      <c r="F7675" s="118"/>
      <c r="G7675" s="119"/>
      <c r="H7675" s="119"/>
      <c r="I7675" s="120"/>
      <c r="J7675" s="120"/>
      <c r="K7675" s="19"/>
      <c r="L7675" s="20"/>
    </row>
    <row r="7676" spans="1:12" outlineLevel="2">
      <c r="A7676" s="28"/>
      <c r="B7676" s="12" t="str">
        <f>IFERROR(VLOOKUP(D7676,'[1]Перечень товаров'!$A$2:$I9525,2,0),"")</f>
        <v>тм87</v>
      </c>
      <c r="C7676" s="12" t="str">
        <f>IFERROR(VLOOKUP(D7676,'[1]Перечень товаров'!$A$2:$I9525,3,0),"")</f>
        <v>Техника муз</v>
      </c>
      <c r="D7676" s="29" t="s">
        <v>1829</v>
      </c>
      <c r="E7676" s="30"/>
      <c r="F7676" s="30"/>
      <c r="G7676" s="31">
        <v>2</v>
      </c>
      <c r="H7676" s="31"/>
      <c r="I7676" s="32"/>
      <c r="J7676" s="32"/>
      <c r="K7676" s="19"/>
      <c r="L7676" s="20"/>
    </row>
    <row r="7677" spans="1:12" outlineLevel="2">
      <c r="A7677" s="28"/>
      <c r="B7677" s="12" t="str">
        <f>IFERROR(VLOOKUP(D7677,'[1]Перечень товаров'!$A$2:$I9525,2,0),"")</f>
        <v>тм86</v>
      </c>
      <c r="C7677" s="12" t="str">
        <f>IFERROR(VLOOKUP(D7677,'[1]Перечень товаров'!$A$2:$I9525,3,0),"")</f>
        <v>Техника муз</v>
      </c>
      <c r="D7677" s="29" t="s">
        <v>1830</v>
      </c>
      <c r="E7677" s="30"/>
      <c r="F7677" s="30"/>
      <c r="G7677" s="31">
        <v>3</v>
      </c>
      <c r="H7677" s="31"/>
      <c r="I7677" s="32"/>
      <c r="J7677" s="32"/>
      <c r="K7677" s="19"/>
      <c r="L7677" s="20"/>
    </row>
    <row r="7678" spans="1:12" outlineLevel="2">
      <c r="A7678" s="28"/>
      <c r="B7678" s="12" t="str">
        <f>IFERROR(VLOOKUP(D7678,'[1]Перечень товаров'!$A$2:$I9525,2,0),"")</f>
        <v>тм85</v>
      </c>
      <c r="C7678" s="12" t="str">
        <f>IFERROR(VLOOKUP(D7678,'[1]Перечень товаров'!$A$2:$I9525,3,0),"")</f>
        <v>Техника муз</v>
      </c>
      <c r="D7678" s="29" t="s">
        <v>1831</v>
      </c>
      <c r="E7678" s="30"/>
      <c r="F7678" s="30"/>
      <c r="G7678" s="31">
        <v>4</v>
      </c>
      <c r="H7678" s="31"/>
      <c r="I7678" s="32"/>
      <c r="J7678" s="32"/>
      <c r="K7678" s="19"/>
      <c r="L7678" s="20"/>
    </row>
    <row r="7679" spans="1:12" outlineLevel="2">
      <c r="A7679" s="28"/>
      <c r="B7679" s="12" t="str">
        <f>IFERROR(VLOOKUP(D7679,'[1]Перечень товаров'!$A$2:$I9525,2,0),"")</f>
        <v>тм84</v>
      </c>
      <c r="C7679" s="12" t="str">
        <f>IFERROR(VLOOKUP(D7679,'[1]Перечень товаров'!$A$2:$I9525,3,0),"")</f>
        <v>Техника муз</v>
      </c>
      <c r="D7679" s="29" t="s">
        <v>1832</v>
      </c>
      <c r="E7679" s="30"/>
      <c r="F7679" s="30"/>
      <c r="G7679" s="31">
        <v>4</v>
      </c>
      <c r="H7679" s="31"/>
      <c r="I7679" s="32"/>
      <c r="J7679" s="32"/>
      <c r="K7679" s="19"/>
      <c r="L7679" s="20"/>
    </row>
    <row r="7680" spans="1:12" outlineLevel="2">
      <c r="A7680" s="28"/>
      <c r="B7680" s="12" t="str">
        <f>IFERROR(VLOOKUP(D7680,'[1]Перечень товаров'!$A$2:$I9525,2,0),"")</f>
        <v>тм83</v>
      </c>
      <c r="C7680" s="12" t="str">
        <f>IFERROR(VLOOKUP(D7680,'[1]Перечень товаров'!$A$2:$I9525,3,0),"")</f>
        <v>Техника муз</v>
      </c>
      <c r="D7680" s="29" t="s">
        <v>1833</v>
      </c>
      <c r="E7680" s="30"/>
      <c r="F7680" s="30"/>
      <c r="G7680" s="31">
        <v>5</v>
      </c>
      <c r="H7680" s="31"/>
      <c r="I7680" s="32"/>
      <c r="J7680" s="32"/>
      <c r="K7680" s="19"/>
      <c r="L7680" s="20"/>
    </row>
    <row r="7681" spans="1:12" outlineLevel="2">
      <c r="A7681" s="28"/>
      <c r="B7681" s="12" t="str">
        <f>IFERROR(VLOOKUP(D7681,'[1]Перечень товаров'!$A$2:$I9525,2,0),"")</f>
        <v>тм82</v>
      </c>
      <c r="C7681" s="12" t="str">
        <f>IFERROR(VLOOKUP(D7681,'[1]Перечень товаров'!$A$2:$I9525,3,0),"")</f>
        <v>Техника муз</v>
      </c>
      <c r="D7681" s="29" t="s">
        <v>1834</v>
      </c>
      <c r="E7681" s="30"/>
      <c r="F7681" s="30"/>
      <c r="G7681" s="31">
        <v>2</v>
      </c>
      <c r="H7681" s="31"/>
      <c r="I7681" s="32"/>
      <c r="J7681" s="32"/>
      <c r="K7681" s="19"/>
      <c r="L7681" s="20"/>
    </row>
    <row r="7682" spans="1:12" ht="31.5" outlineLevel="2">
      <c r="A7682" s="28"/>
      <c r="B7682" s="12" t="str">
        <f>IFERROR(VLOOKUP(D7682,'[1]Перечень товаров'!$A$2:$I9525,2,0),"")</f>
        <v>тм81</v>
      </c>
      <c r="C7682" s="12" t="str">
        <f>IFERROR(VLOOKUP(D7682,'[1]Перечень товаров'!$A$2:$I9525,3,0),"")</f>
        <v>Техника муз</v>
      </c>
      <c r="D7682" s="29" t="s">
        <v>1835</v>
      </c>
      <c r="E7682" s="30"/>
      <c r="F7682" s="30"/>
      <c r="G7682" s="31">
        <v>18</v>
      </c>
      <c r="H7682" s="31"/>
      <c r="I7682" s="32"/>
      <c r="J7682" s="32"/>
      <c r="K7682" s="19"/>
      <c r="L7682" s="20"/>
    </row>
    <row r="7683" spans="1:12" outlineLevel="2">
      <c r="A7683" s="28"/>
      <c r="B7683" s="12" t="str">
        <f>IFERROR(VLOOKUP(D7683,'[1]Перечень товаров'!$A$2:$I9525,2,0),"")</f>
        <v>тм54</v>
      </c>
      <c r="C7683" s="12" t="str">
        <f>IFERROR(VLOOKUP(D7683,'[1]Перечень товаров'!$A$2:$I9525,3,0),"")</f>
        <v>Техника муз</v>
      </c>
      <c r="D7683" s="29" t="s">
        <v>310</v>
      </c>
      <c r="E7683" s="30"/>
      <c r="F7683" s="30"/>
      <c r="G7683" s="31">
        <v>30</v>
      </c>
      <c r="H7683" s="31"/>
      <c r="I7683" s="32"/>
      <c r="J7683" s="32"/>
      <c r="K7683" s="19"/>
      <c r="L7683" s="20"/>
    </row>
    <row r="7684" spans="1:12" ht="31.5" outlineLevel="2">
      <c r="A7684" s="28"/>
      <c r="B7684" s="12" t="str">
        <f>IFERROR(VLOOKUP(D7684,'[1]Перечень товаров'!$A$2:$I9525,2,0),"")</f>
        <v>тм80</v>
      </c>
      <c r="C7684" s="12" t="str">
        <f>IFERROR(VLOOKUP(D7684,'[1]Перечень товаров'!$A$2:$I9525,3,0),"")</f>
        <v>Техника муз</v>
      </c>
      <c r="D7684" s="29" t="s">
        <v>1836</v>
      </c>
      <c r="E7684" s="30"/>
      <c r="F7684" s="30"/>
      <c r="G7684" s="31">
        <v>5</v>
      </c>
      <c r="H7684" s="31"/>
      <c r="I7684" s="32"/>
      <c r="J7684" s="32"/>
      <c r="K7684" s="19"/>
      <c r="L7684" s="20"/>
    </row>
    <row r="7685" spans="1:12" outlineLevel="2">
      <c r="A7685" s="28"/>
      <c r="B7685" s="12" t="str">
        <f>IFERROR(VLOOKUP(D7685,'[1]Перечень товаров'!$A$2:$I9525,2,0),"")</f>
        <v>пм211</v>
      </c>
      <c r="C7685" s="12" t="str">
        <f>IFERROR(VLOOKUP(D7685,'[1]Перечень товаров'!$A$2:$I9525,3,0),"")</f>
        <v>прочее муз</v>
      </c>
      <c r="D7685" s="29" t="s">
        <v>995</v>
      </c>
      <c r="E7685" s="30"/>
      <c r="F7685" s="30"/>
      <c r="G7685" s="31">
        <v>10</v>
      </c>
      <c r="H7685" s="31"/>
      <c r="I7685" s="32"/>
      <c r="J7685" s="32"/>
      <c r="K7685" s="19"/>
      <c r="L7685" s="20"/>
    </row>
    <row r="7686" spans="1:12" ht="31.5" outlineLevel="2">
      <c r="A7686" s="28"/>
      <c r="B7686" s="12" t="str">
        <f>IFERROR(VLOOKUP(D7686,'[1]Перечень товаров'!$A$2:$I9525,2,0),"")</f>
        <v>тм79</v>
      </c>
      <c r="C7686" s="12" t="str">
        <f>IFERROR(VLOOKUP(D7686,'[1]Перечень товаров'!$A$2:$I9525,3,0),"")</f>
        <v>Техника муз</v>
      </c>
      <c r="D7686" s="29" t="s">
        <v>1837</v>
      </c>
      <c r="E7686" s="30"/>
      <c r="F7686" s="30"/>
      <c r="G7686" s="31">
        <v>18</v>
      </c>
      <c r="H7686" s="31"/>
      <c r="I7686" s="32"/>
      <c r="J7686" s="32"/>
      <c r="K7686" s="19"/>
      <c r="L7686" s="20"/>
    </row>
    <row r="7687" spans="1:12" outlineLevel="2">
      <c r="A7687" s="28"/>
      <c r="B7687" s="12" t="str">
        <f>IFERROR(VLOOKUP(D7687,'[1]Перечень товаров'!$A$2:$I9525,2,0),"")</f>
        <v>тм78</v>
      </c>
      <c r="C7687" s="12" t="str">
        <f>IFERROR(VLOOKUP(D7687,'[1]Перечень товаров'!$A$2:$I9525,3,0),"")</f>
        <v>Техника муз</v>
      </c>
      <c r="D7687" s="29" t="s">
        <v>1838</v>
      </c>
      <c r="E7687" s="30"/>
      <c r="F7687" s="30"/>
      <c r="G7687" s="31">
        <v>1</v>
      </c>
      <c r="H7687" s="31"/>
      <c r="I7687" s="32"/>
      <c r="J7687" s="32"/>
      <c r="K7687" s="19"/>
      <c r="L7687" s="20"/>
    </row>
    <row r="7688" spans="1:12" outlineLevel="2">
      <c r="A7688" s="54"/>
      <c r="B7688" s="12" t="str">
        <f>IFERROR(VLOOKUP(D7688,'[1]Перечень товаров'!$A$2:$I9525,2,0),"")</f>
        <v/>
      </c>
      <c r="C7688" s="12" t="str">
        <f>IFERROR(VLOOKUP(D7688,'[1]Перечень товаров'!$A$2:$I9525,3,0),"")</f>
        <v/>
      </c>
      <c r="D7688" s="55" t="s">
        <v>45</v>
      </c>
      <c r="E7688" s="217"/>
      <c r="F7688" s="217"/>
      <c r="G7688" s="59"/>
      <c r="H7688" s="59"/>
      <c r="I7688" s="60"/>
      <c r="J7688" s="60"/>
      <c r="K7688" s="19"/>
      <c r="L7688" s="20"/>
    </row>
    <row r="7689" spans="1:12" outlineLevel="2">
      <c r="A7689" s="43"/>
      <c r="B7689" s="12" t="str">
        <f>IFERROR(VLOOKUP(D7689,'[1]Перечень товаров'!$A$2:$I9525,2,0),"")</f>
        <v>м7</v>
      </c>
      <c r="C7689" s="12" t="str">
        <f>IFERROR(VLOOKUP(D7689,'[1]Перечень товаров'!$A$2:$I9525,3,0),"")</f>
        <v>Мебель</v>
      </c>
      <c r="D7689" s="44" t="s">
        <v>24</v>
      </c>
      <c r="E7689" s="30"/>
      <c r="F7689" s="30"/>
      <c r="G7689" s="59">
        <v>1</v>
      </c>
      <c r="H7689" s="59"/>
      <c r="I7689" s="60"/>
      <c r="J7689" s="60"/>
      <c r="K7689" s="19"/>
      <c r="L7689" s="20"/>
    </row>
    <row r="7690" spans="1:12" outlineLevel="2">
      <c r="A7690" s="43"/>
      <c r="B7690" s="12" t="str">
        <f>IFERROR(VLOOKUP(D7690,'[1]Перечень товаров'!$A$2:$I9525,2,0),"")</f>
        <v>п1</v>
      </c>
      <c r="C7690" s="12" t="str">
        <f>IFERROR(VLOOKUP(D7690,'[1]Перечень товаров'!$A$2:$I9525,3,0),"")</f>
        <v>Прочее</v>
      </c>
      <c r="D7690" s="44" t="s">
        <v>37</v>
      </c>
      <c r="E7690" s="30"/>
      <c r="F7690" s="30"/>
      <c r="G7690" s="59">
        <v>1</v>
      </c>
      <c r="H7690" s="59"/>
      <c r="I7690" s="60"/>
      <c r="J7690" s="60"/>
      <c r="K7690" s="19"/>
      <c r="L7690" s="20"/>
    </row>
    <row r="7691" spans="1:12" outlineLevel="2">
      <c r="A7691" s="21"/>
      <c r="B7691" s="12" t="str">
        <f>IFERROR(VLOOKUP(D7691,'[1]Перечень товаров'!$A$2:$I9525,2,0),"")</f>
        <v>п2</v>
      </c>
      <c r="C7691" s="12" t="str">
        <f>IFERROR(VLOOKUP(D7691,'[1]Перечень товаров'!$A$2:$I9525,3,0),"")</f>
        <v>Прочее</v>
      </c>
      <c r="D7691" s="22" t="s">
        <v>46</v>
      </c>
      <c r="E7691" s="58"/>
      <c r="F7691" s="58"/>
      <c r="G7691" s="24">
        <v>1</v>
      </c>
      <c r="H7691" s="24"/>
      <c r="I7691" s="25"/>
      <c r="J7691" s="25"/>
      <c r="K7691" s="19"/>
      <c r="L7691" s="20"/>
    </row>
    <row r="7692" spans="1:12" ht="12.75" outlineLevel="1">
      <c r="A7692" s="11"/>
      <c r="B7692" s="12" t="str">
        <f>IFERROR(VLOOKUP(D7692,'[1]Перечень товаров'!$A$2:$I9525,2,0),"")</f>
        <v/>
      </c>
      <c r="C7692" s="12" t="str">
        <f>IFERROR(VLOOKUP(D7692,'[1]Перечень товаров'!$A$2:$I9525,3,0),"")</f>
        <v/>
      </c>
      <c r="D7692" s="27" t="s">
        <v>1827</v>
      </c>
      <c r="E7692" s="99">
        <v>46072</v>
      </c>
      <c r="F7692" s="99"/>
      <c r="G7692" s="100"/>
      <c r="H7692" s="100"/>
      <c r="I7692" s="101"/>
      <c r="J7692" s="101"/>
      <c r="K7692" s="19"/>
      <c r="L7692" s="20"/>
    </row>
    <row r="7693" spans="1:12" ht="15" outlineLevel="2">
      <c r="A7693" s="109"/>
      <c r="B7693" s="12" t="str">
        <f>IFERROR(VLOOKUP(D7693,'[1]Перечень товаров'!$A$2:$I9525,2,0),"")</f>
        <v/>
      </c>
      <c r="C7693" s="12" t="str">
        <f>IFERROR(VLOOKUP(D7693,'[1]Перечень товаров'!$A$2:$I9525,3,0),"")</f>
        <v/>
      </c>
      <c r="D7693" s="110" t="s">
        <v>27</v>
      </c>
      <c r="E7693" s="45"/>
      <c r="F7693" s="45"/>
      <c r="G7693" s="111"/>
      <c r="H7693" s="111"/>
      <c r="I7693" s="112"/>
      <c r="J7693" s="112"/>
      <c r="K7693" s="19"/>
      <c r="L7693" s="20"/>
    </row>
    <row r="7694" spans="1:12" outlineLevel="2">
      <c r="A7694" s="21"/>
      <c r="B7694" s="12" t="str">
        <f>IFERROR(VLOOKUP(D7694,'[1]Перечень товаров'!$A$2:$I9525,2,0),"")</f>
        <v>т1</v>
      </c>
      <c r="C7694" s="12" t="str">
        <f>IFERROR(VLOOKUP(D7694,'[1]Перечень товаров'!$A$2:$I9525,3,0),"")</f>
        <v xml:space="preserve">Техника </v>
      </c>
      <c r="D7694" s="22" t="s">
        <v>28</v>
      </c>
      <c r="E7694" s="58"/>
      <c r="F7694" s="58"/>
      <c r="G7694" s="48">
        <v>1</v>
      </c>
      <c r="H7694" s="48"/>
      <c r="I7694" s="49"/>
      <c r="J7694" s="49"/>
      <c r="K7694" s="19"/>
      <c r="L7694" s="20"/>
    </row>
    <row r="7695" spans="1:12" outlineLevel="2">
      <c r="A7695" s="143"/>
      <c r="B7695" s="12" t="str">
        <f>IFERROR(VLOOKUP(D7695,'[1]Перечень товаров'!$A$2:$I9525,2,0),"")</f>
        <v>т9</v>
      </c>
      <c r="C7695" s="12" t="str">
        <f>IFERROR(VLOOKUP(D7695,'[1]Перечень товаров'!$A$2:$I9525,3,0),"")</f>
        <v>Техника</v>
      </c>
      <c r="D7695" s="143" t="s">
        <v>36</v>
      </c>
      <c r="E7695" s="58"/>
      <c r="F7695" s="58"/>
      <c r="G7695" s="48">
        <v>1</v>
      </c>
      <c r="H7695" s="48"/>
      <c r="I7695" s="49"/>
      <c r="J7695" s="49"/>
      <c r="K7695" s="19"/>
      <c r="L7695" s="20"/>
    </row>
    <row r="7696" spans="1:12" outlineLevel="2">
      <c r="A7696" s="35"/>
      <c r="B7696" s="12" t="str">
        <f>IFERROR(VLOOKUP(D7696,'[1]Перечень товаров'!$A$2:$I9525,2,0),"")</f>
        <v>т2</v>
      </c>
      <c r="C7696" s="12" t="str">
        <f>IFERROR(VLOOKUP(D7696,'[1]Перечень товаров'!$A$2:$I9525,3,0),"")</f>
        <v xml:space="preserve">Техника </v>
      </c>
      <c r="D7696" s="35" t="s">
        <v>29</v>
      </c>
      <c r="E7696" s="58"/>
      <c r="F7696" s="58"/>
      <c r="G7696" s="48">
        <v>1</v>
      </c>
      <c r="H7696" s="48"/>
      <c r="I7696" s="49"/>
      <c r="J7696" s="49"/>
      <c r="K7696" s="19"/>
      <c r="L7696" s="20"/>
    </row>
    <row r="7697" spans="1:12" outlineLevel="2">
      <c r="A7697" s="35"/>
      <c r="B7697" s="12" t="str">
        <f>IFERROR(VLOOKUP(D7697,'[1]Перечень товаров'!$A$2:$I9525,2,0),"")</f>
        <v>т3</v>
      </c>
      <c r="C7697" s="12" t="str">
        <f>IFERROR(VLOOKUP(D7697,'[1]Перечень товаров'!$A$2:$I9525,3,0),"")</f>
        <v xml:space="preserve">Техника </v>
      </c>
      <c r="D7697" s="35" t="s">
        <v>30</v>
      </c>
      <c r="E7697" s="58"/>
      <c r="F7697" s="58"/>
      <c r="G7697" s="48">
        <v>1</v>
      </c>
      <c r="H7697" s="48"/>
      <c r="I7697" s="49"/>
      <c r="J7697" s="49"/>
      <c r="K7697" s="19"/>
      <c r="L7697" s="20"/>
    </row>
    <row r="7698" spans="1:12" outlineLevel="2">
      <c r="A7698" s="35"/>
      <c r="B7698" s="12" t="str">
        <f>IFERROR(VLOOKUP(D7698,'[1]Перечень товаров'!$A$2:$I9525,2,0),"")</f>
        <v>т4</v>
      </c>
      <c r="C7698" s="12" t="str">
        <f>IFERROR(VLOOKUP(D7698,'[1]Перечень товаров'!$A$2:$I9525,3,0),"")</f>
        <v xml:space="preserve">Техника </v>
      </c>
      <c r="D7698" s="35" t="s">
        <v>31</v>
      </c>
      <c r="E7698" s="58"/>
      <c r="F7698" s="58"/>
      <c r="G7698" s="48">
        <v>1</v>
      </c>
      <c r="H7698" s="48"/>
      <c r="I7698" s="49"/>
      <c r="J7698" s="49"/>
      <c r="K7698" s="19"/>
      <c r="L7698" s="20"/>
    </row>
    <row r="7699" spans="1:12" outlineLevel="2">
      <c r="A7699" s="21"/>
      <c r="B7699" s="12" t="str">
        <f>IFERROR(VLOOKUP(D7699,'[1]Перечень товаров'!$A$2:$I9525,2,0),"")</f>
        <v>тм65</v>
      </c>
      <c r="C7699" s="12" t="str">
        <f>IFERROR(VLOOKUP(D7699,'[1]Перечень товаров'!$A$2:$I9525,3,0),"")</f>
        <v>Техника муз</v>
      </c>
      <c r="D7699" s="22" t="s">
        <v>380</v>
      </c>
      <c r="E7699" s="58"/>
      <c r="F7699" s="58"/>
      <c r="G7699" s="48">
        <v>1</v>
      </c>
      <c r="H7699" s="48"/>
      <c r="I7699" s="49"/>
      <c r="J7699" s="49"/>
      <c r="K7699" s="19"/>
      <c r="L7699" s="20"/>
    </row>
    <row r="7700" spans="1:12" outlineLevel="2">
      <c r="A7700" s="21"/>
      <c r="B7700" s="12" t="str">
        <f>IFERROR(VLOOKUP(D7700,'[1]Перечень товаров'!$A$2:$I9525,2,0),"")</f>
        <v>т12</v>
      </c>
      <c r="C7700" s="12" t="str">
        <f>IFERROR(VLOOKUP(D7700,'[1]Перечень товаров'!$A$2:$I9525,3,0),"")</f>
        <v>Техника</v>
      </c>
      <c r="D7700" s="22" t="s">
        <v>49</v>
      </c>
      <c r="E7700" s="58"/>
      <c r="F7700" s="58"/>
      <c r="G7700" s="48">
        <v>1</v>
      </c>
      <c r="H7700" s="48"/>
      <c r="I7700" s="49"/>
      <c r="J7700" s="49"/>
      <c r="K7700" s="19"/>
      <c r="L7700" s="20"/>
    </row>
    <row r="7701" spans="1:12" outlineLevel="2">
      <c r="A7701" s="35"/>
      <c r="B7701" s="12" t="str">
        <f>IFERROR(VLOOKUP(D7701,'[1]Перечень товаров'!$A$2:$I9525,2,0),"")</f>
        <v>т6</v>
      </c>
      <c r="C7701" s="12" t="str">
        <f>IFERROR(VLOOKUP(D7701,'[1]Перечень товаров'!$A$2:$I9525,3,0),"")</f>
        <v xml:space="preserve">Техника </v>
      </c>
      <c r="D7701" s="35" t="s">
        <v>33</v>
      </c>
      <c r="E7701" s="58"/>
      <c r="F7701" s="58"/>
      <c r="G7701" s="48">
        <v>1</v>
      </c>
      <c r="H7701" s="48"/>
      <c r="I7701" s="49"/>
      <c r="J7701" s="49"/>
      <c r="K7701" s="19"/>
      <c r="L7701" s="20"/>
    </row>
    <row r="7702" spans="1:12" outlineLevel="2">
      <c r="A7702" s="21"/>
      <c r="B7702" s="12" t="str">
        <f>IFERROR(VLOOKUP(D7702,'[1]Перечень товаров'!$A$2:$I9525,2,0),"")</f>
        <v>т7</v>
      </c>
      <c r="C7702" s="12" t="str">
        <f>IFERROR(VLOOKUP(D7702,'[1]Перечень товаров'!$A$2:$I9525,3,0),"")</f>
        <v xml:space="preserve">Техника </v>
      </c>
      <c r="D7702" s="22" t="s">
        <v>34</v>
      </c>
      <c r="E7702" s="58"/>
      <c r="F7702" s="58"/>
      <c r="G7702" s="48">
        <v>3</v>
      </c>
      <c r="H7702" s="48"/>
      <c r="I7702" s="49"/>
      <c r="J7702" s="49"/>
      <c r="K7702" s="19"/>
      <c r="L7702" s="20"/>
    </row>
    <row r="7703" spans="1:12" outlineLevel="2">
      <c r="A7703" s="28"/>
      <c r="B7703" s="12" t="str">
        <f>IFERROR(VLOOKUP(D7703,'[1]Перечень товаров'!$A$2:$I9525,2,0),"")</f>
        <v>т161</v>
      </c>
      <c r="C7703" s="12" t="str">
        <f>IFERROR(VLOOKUP(D7703,'[1]Перечень товаров'!$A$2:$I9525,3,0),"")</f>
        <v xml:space="preserve">Техника </v>
      </c>
      <c r="D7703" s="29" t="s">
        <v>381</v>
      </c>
      <c r="E7703" s="30"/>
      <c r="F7703" s="30"/>
      <c r="G7703" s="59">
        <v>1</v>
      </c>
      <c r="H7703" s="59"/>
      <c r="I7703" s="60"/>
      <c r="J7703" s="60"/>
      <c r="K7703" s="19"/>
      <c r="L7703" s="20"/>
    </row>
    <row r="7704" spans="1:12" outlineLevel="2">
      <c r="A7704" s="113"/>
      <c r="B7704" s="12" t="str">
        <f>IFERROR(VLOOKUP(D7704,'[1]Перечень товаров'!$A$2:$I9525,2,0),"")</f>
        <v/>
      </c>
      <c r="C7704" s="12" t="str">
        <f>IFERROR(VLOOKUP(D7704,'[1]Перечень товаров'!$A$2:$I9525,3,0),"")</f>
        <v/>
      </c>
      <c r="D7704" s="114" t="s">
        <v>19</v>
      </c>
      <c r="E7704" s="115"/>
      <c r="F7704" s="115"/>
      <c r="G7704" s="59"/>
      <c r="H7704" s="59"/>
      <c r="I7704" s="60"/>
      <c r="J7704" s="60"/>
      <c r="K7704" s="19"/>
      <c r="L7704" s="20"/>
    </row>
    <row r="7705" spans="1:12" outlineLevel="2">
      <c r="A7705" s="34"/>
      <c r="B7705" s="12" t="str">
        <f>IFERROR(VLOOKUP(D7705,'[1]Перечень товаров'!$A$2:$I9525,2,0),"")</f>
        <v>м62</v>
      </c>
      <c r="C7705" s="12" t="str">
        <f>IFERROR(VLOOKUP(D7705,'[1]Перечень товаров'!$A$2:$I9525,3,0),"")</f>
        <v>Мебель</v>
      </c>
      <c r="D7705" s="35" t="s">
        <v>398</v>
      </c>
      <c r="E7705" s="88"/>
      <c r="F7705" s="88"/>
      <c r="G7705" s="59">
        <v>1</v>
      </c>
      <c r="H7705" s="59"/>
      <c r="I7705" s="60"/>
      <c r="J7705" s="60"/>
      <c r="K7705" s="19"/>
      <c r="L7705" s="20"/>
    </row>
    <row r="7706" spans="1:12" outlineLevel="2">
      <c r="A7706" s="34"/>
      <c r="B7706" s="12" t="str">
        <f>IFERROR(VLOOKUP(D7706,'[1]Перечень товаров'!$A$2:$I9525,2,0),"")</f>
        <v>м61</v>
      </c>
      <c r="C7706" s="12" t="str">
        <f>IFERROR(VLOOKUP(D7706,'[1]Перечень товаров'!$A$2:$I9525,3,0),"")</f>
        <v>Мебель</v>
      </c>
      <c r="D7706" s="35" t="s">
        <v>383</v>
      </c>
      <c r="E7706" s="88"/>
      <c r="F7706" s="88"/>
      <c r="G7706" s="59">
        <v>1</v>
      </c>
      <c r="H7706" s="59"/>
      <c r="I7706" s="60"/>
      <c r="J7706" s="60"/>
      <c r="K7706" s="19"/>
      <c r="L7706" s="20"/>
    </row>
    <row r="7707" spans="1:12" outlineLevel="2">
      <c r="A7707" s="34"/>
      <c r="B7707" s="12" t="str">
        <f>IFERROR(VLOOKUP(D7707,'[1]Перечень товаров'!$A$2:$I9525,2,0),"")</f>
        <v>м179</v>
      </c>
      <c r="C7707" s="12" t="str">
        <f>IFERROR(VLOOKUP(D7707,'[1]Перечень товаров'!$A$2:$I9525,3,0),"")</f>
        <v>Мебель</v>
      </c>
      <c r="D7707" s="35" t="s">
        <v>579</v>
      </c>
      <c r="E7707" s="88"/>
      <c r="F7707" s="88"/>
      <c r="G7707" s="59">
        <v>10</v>
      </c>
      <c r="H7707" s="59"/>
      <c r="I7707" s="60"/>
      <c r="J7707" s="60"/>
      <c r="K7707" s="19"/>
      <c r="L7707" s="20"/>
    </row>
    <row r="7708" spans="1:12" outlineLevel="2">
      <c r="A7708" s="34"/>
      <c r="B7708" s="12" t="str">
        <f>IFERROR(VLOOKUP(D7708,'[1]Перечень товаров'!$A$2:$I9525,2,0),"")</f>
        <v>м61</v>
      </c>
      <c r="C7708" s="12" t="str">
        <f>IFERROR(VLOOKUP(D7708,'[1]Перечень товаров'!$A$2:$I9525,3,0),"")</f>
        <v>Мебель</v>
      </c>
      <c r="D7708" s="35" t="s">
        <v>384</v>
      </c>
      <c r="E7708" s="88"/>
      <c r="F7708" s="88"/>
      <c r="G7708" s="59">
        <v>20</v>
      </c>
      <c r="H7708" s="59"/>
      <c r="I7708" s="60"/>
      <c r="J7708" s="60"/>
      <c r="K7708" s="19"/>
      <c r="L7708" s="20"/>
    </row>
    <row r="7709" spans="1:12" outlineLevel="2">
      <c r="A7709" s="21"/>
      <c r="B7709" s="12" t="str">
        <f>IFERROR(VLOOKUP(D7709,'[1]Перечень товаров'!$A$2:$I9525,2,0),"")</f>
        <v>м13</v>
      </c>
      <c r="C7709" s="12" t="str">
        <f>IFERROR(VLOOKUP(D7709,'[1]Перечень товаров'!$A$2:$I9525,3,0),"")</f>
        <v>Мебель</v>
      </c>
      <c r="D7709" s="22" t="s">
        <v>42</v>
      </c>
      <c r="E7709" s="58"/>
      <c r="F7709" s="58"/>
      <c r="G7709" s="24">
        <v>1</v>
      </c>
      <c r="H7709" s="24"/>
      <c r="I7709" s="25"/>
      <c r="J7709" s="25"/>
      <c r="K7709" s="19"/>
      <c r="L7709" s="20"/>
    </row>
    <row r="7710" spans="1:12" outlineLevel="2">
      <c r="A7710" s="21"/>
      <c r="B7710" s="12" t="str">
        <f>IFERROR(VLOOKUP(D7710,'[1]Перечень товаров'!$A$2:$I9525,2,0),"")</f>
        <v>м14</v>
      </c>
      <c r="C7710" s="12" t="str">
        <f>IFERROR(VLOOKUP(D7710,'[1]Перечень товаров'!$A$2:$I9525,3,0),"")</f>
        <v>Мебель</v>
      </c>
      <c r="D7710" s="22" t="s">
        <v>43</v>
      </c>
      <c r="E7710" s="58"/>
      <c r="F7710" s="58"/>
      <c r="G7710" s="24">
        <v>1</v>
      </c>
      <c r="H7710" s="24"/>
      <c r="I7710" s="25"/>
      <c r="J7710" s="25"/>
      <c r="K7710" s="19"/>
      <c r="L7710" s="20"/>
    </row>
    <row r="7711" spans="1:12" ht="31.5" outlineLevel="2">
      <c r="A7711" s="155"/>
      <c r="B7711" s="12" t="str">
        <f>IFERROR(VLOOKUP(D7711,'[1]Перечень товаров'!$A$2:$I9525,2,0),"")</f>
        <v>м21</v>
      </c>
      <c r="C7711" s="12" t="str">
        <f>IFERROR(VLOOKUP(D7711,'[1]Перечень товаров'!$A$2:$I9525,3,0),"")</f>
        <v>Мебель</v>
      </c>
      <c r="D7711" s="156" t="s">
        <v>58</v>
      </c>
      <c r="E7711" s="58"/>
      <c r="F7711" s="58"/>
      <c r="G7711" s="24">
        <v>1</v>
      </c>
      <c r="H7711" s="24"/>
      <c r="I7711" s="25"/>
      <c r="J7711" s="25"/>
      <c r="K7711" s="19"/>
      <c r="L7711" s="20"/>
    </row>
    <row r="7712" spans="1:12" ht="15" outlineLevel="2">
      <c r="A7712" s="116"/>
      <c r="B7712" s="12" t="str">
        <f>IFERROR(VLOOKUP(D7712,'[1]Перечень товаров'!$A$2:$I9525,2,0),"")</f>
        <v/>
      </c>
      <c r="C7712" s="12" t="str">
        <f>IFERROR(VLOOKUP(D7712,'[1]Перечень товаров'!$A$2:$I9525,3,0),"")</f>
        <v/>
      </c>
      <c r="D7712" s="117" t="s">
        <v>391</v>
      </c>
      <c r="E7712" s="118"/>
      <c r="F7712" s="118"/>
      <c r="G7712" s="119"/>
      <c r="H7712" s="119"/>
      <c r="I7712" s="120"/>
      <c r="J7712" s="120"/>
      <c r="K7712" s="19"/>
      <c r="L7712" s="20"/>
    </row>
    <row r="7713" spans="1:12" ht="15" outlineLevel="2">
      <c r="A7713" s="274"/>
      <c r="B7713" s="12" t="str">
        <f>IFERROR(VLOOKUP(D7713,'[1]Перечень товаров'!$A$2:$I9525,2,0),"")</f>
        <v/>
      </c>
      <c r="C7713" s="12" t="str">
        <f>IFERROR(VLOOKUP(D7713,'[1]Перечень товаров'!$A$2:$I9525,3,0),"")</f>
        <v/>
      </c>
      <c r="D7713" s="275" t="s">
        <v>1828</v>
      </c>
      <c r="E7713" s="118"/>
      <c r="F7713" s="118"/>
      <c r="G7713" s="119"/>
      <c r="H7713" s="119"/>
      <c r="I7713" s="120"/>
      <c r="J7713" s="120"/>
      <c r="K7713" s="19"/>
      <c r="L7713" s="20"/>
    </row>
    <row r="7714" spans="1:12" outlineLevel="2">
      <c r="A7714" s="28"/>
      <c r="B7714" s="12" t="str">
        <f>IFERROR(VLOOKUP(D7714,'[1]Перечень товаров'!$A$2:$I9525,2,0),"")</f>
        <v>тм87</v>
      </c>
      <c r="C7714" s="12" t="str">
        <f>IFERROR(VLOOKUP(D7714,'[1]Перечень товаров'!$A$2:$I9525,3,0),"")</f>
        <v>Техника муз</v>
      </c>
      <c r="D7714" s="29" t="s">
        <v>1829</v>
      </c>
      <c r="E7714" s="30"/>
      <c r="F7714" s="30"/>
      <c r="G7714" s="31">
        <v>2</v>
      </c>
      <c r="H7714" s="31"/>
      <c r="I7714" s="32"/>
      <c r="J7714" s="32"/>
      <c r="K7714" s="19"/>
      <c r="L7714" s="20"/>
    </row>
    <row r="7715" spans="1:12" outlineLevel="2">
      <c r="A7715" s="28"/>
      <c r="B7715" s="12" t="str">
        <f>IFERROR(VLOOKUP(D7715,'[1]Перечень товаров'!$A$2:$I9525,2,0),"")</f>
        <v>тм86</v>
      </c>
      <c r="C7715" s="12" t="str">
        <f>IFERROR(VLOOKUP(D7715,'[1]Перечень товаров'!$A$2:$I9525,3,0),"")</f>
        <v>Техника муз</v>
      </c>
      <c r="D7715" s="29" t="s">
        <v>1830</v>
      </c>
      <c r="E7715" s="30"/>
      <c r="F7715" s="30"/>
      <c r="G7715" s="31">
        <v>3</v>
      </c>
      <c r="H7715" s="31"/>
      <c r="I7715" s="32"/>
      <c r="J7715" s="32"/>
      <c r="K7715" s="19"/>
      <c r="L7715" s="20"/>
    </row>
    <row r="7716" spans="1:12" outlineLevel="2">
      <c r="A7716" s="28"/>
      <c r="B7716" s="12" t="str">
        <f>IFERROR(VLOOKUP(D7716,'[1]Перечень товаров'!$A$2:$I9525,2,0),"")</f>
        <v>тм85</v>
      </c>
      <c r="C7716" s="12" t="str">
        <f>IFERROR(VLOOKUP(D7716,'[1]Перечень товаров'!$A$2:$I9525,3,0),"")</f>
        <v>Техника муз</v>
      </c>
      <c r="D7716" s="29" t="s">
        <v>1831</v>
      </c>
      <c r="E7716" s="30"/>
      <c r="F7716" s="30"/>
      <c r="G7716" s="31">
        <v>4</v>
      </c>
      <c r="H7716" s="31"/>
      <c r="I7716" s="32"/>
      <c r="J7716" s="32"/>
      <c r="K7716" s="19"/>
      <c r="L7716" s="20"/>
    </row>
    <row r="7717" spans="1:12" outlineLevel="2">
      <c r="A7717" s="28"/>
      <c r="B7717" s="12" t="str">
        <f>IFERROR(VLOOKUP(D7717,'[1]Перечень товаров'!$A$2:$I9525,2,0),"")</f>
        <v>тм84</v>
      </c>
      <c r="C7717" s="12" t="str">
        <f>IFERROR(VLOOKUP(D7717,'[1]Перечень товаров'!$A$2:$I9525,3,0),"")</f>
        <v>Техника муз</v>
      </c>
      <c r="D7717" s="29" t="s">
        <v>1832</v>
      </c>
      <c r="E7717" s="30"/>
      <c r="F7717" s="30"/>
      <c r="G7717" s="31">
        <v>4</v>
      </c>
      <c r="H7717" s="31"/>
      <c r="I7717" s="32"/>
      <c r="J7717" s="32"/>
      <c r="K7717" s="19"/>
      <c r="L7717" s="20"/>
    </row>
    <row r="7718" spans="1:12" outlineLevel="2">
      <c r="A7718" s="28"/>
      <c r="B7718" s="12" t="str">
        <f>IFERROR(VLOOKUP(D7718,'[1]Перечень товаров'!$A$2:$I9525,2,0),"")</f>
        <v>тм83</v>
      </c>
      <c r="C7718" s="12" t="str">
        <f>IFERROR(VLOOKUP(D7718,'[1]Перечень товаров'!$A$2:$I9525,3,0),"")</f>
        <v>Техника муз</v>
      </c>
      <c r="D7718" s="29" t="s">
        <v>1833</v>
      </c>
      <c r="E7718" s="30"/>
      <c r="F7718" s="30"/>
      <c r="G7718" s="31">
        <v>5</v>
      </c>
      <c r="H7718" s="31"/>
      <c r="I7718" s="32"/>
      <c r="J7718" s="32"/>
      <c r="K7718" s="19"/>
      <c r="L7718" s="20"/>
    </row>
    <row r="7719" spans="1:12" outlineLevel="2">
      <c r="A7719" s="28"/>
      <c r="B7719" s="12" t="str">
        <f>IFERROR(VLOOKUP(D7719,'[1]Перечень товаров'!$A$2:$I9525,2,0),"")</f>
        <v>тм82</v>
      </c>
      <c r="C7719" s="12" t="str">
        <f>IFERROR(VLOOKUP(D7719,'[1]Перечень товаров'!$A$2:$I9525,3,0),"")</f>
        <v>Техника муз</v>
      </c>
      <c r="D7719" s="29" t="s">
        <v>1834</v>
      </c>
      <c r="E7719" s="30"/>
      <c r="F7719" s="30"/>
      <c r="G7719" s="31">
        <v>2</v>
      </c>
      <c r="H7719" s="31"/>
      <c r="I7719" s="32"/>
      <c r="J7719" s="32"/>
      <c r="K7719" s="19"/>
      <c r="L7719" s="20"/>
    </row>
    <row r="7720" spans="1:12" ht="31.5" outlineLevel="2">
      <c r="A7720" s="28"/>
      <c r="B7720" s="12" t="str">
        <f>IFERROR(VLOOKUP(D7720,'[1]Перечень товаров'!$A$2:$I9525,2,0),"")</f>
        <v>тм81</v>
      </c>
      <c r="C7720" s="12" t="str">
        <f>IFERROR(VLOOKUP(D7720,'[1]Перечень товаров'!$A$2:$I9525,3,0),"")</f>
        <v>Техника муз</v>
      </c>
      <c r="D7720" s="29" t="s">
        <v>1835</v>
      </c>
      <c r="E7720" s="30"/>
      <c r="F7720" s="30"/>
      <c r="G7720" s="31">
        <v>18</v>
      </c>
      <c r="H7720" s="31"/>
      <c r="I7720" s="32"/>
      <c r="J7720" s="32"/>
      <c r="K7720" s="19"/>
      <c r="L7720" s="20"/>
    </row>
    <row r="7721" spans="1:12" outlineLevel="2">
      <c r="A7721" s="28"/>
      <c r="B7721" s="12" t="str">
        <f>IFERROR(VLOOKUP(D7721,'[1]Перечень товаров'!$A$2:$I9525,2,0),"")</f>
        <v>тм54</v>
      </c>
      <c r="C7721" s="12" t="str">
        <f>IFERROR(VLOOKUP(D7721,'[1]Перечень товаров'!$A$2:$I9525,3,0),"")</f>
        <v>Техника муз</v>
      </c>
      <c r="D7721" s="29" t="s">
        <v>310</v>
      </c>
      <c r="E7721" s="30"/>
      <c r="F7721" s="30"/>
      <c r="G7721" s="31">
        <v>30</v>
      </c>
      <c r="H7721" s="31"/>
      <c r="I7721" s="32"/>
      <c r="J7721" s="32"/>
      <c r="K7721" s="19"/>
      <c r="L7721" s="20"/>
    </row>
    <row r="7722" spans="1:12" ht="31.5" outlineLevel="2">
      <c r="A7722" s="28"/>
      <c r="B7722" s="12" t="str">
        <f>IFERROR(VLOOKUP(D7722,'[1]Перечень товаров'!$A$2:$I9525,2,0),"")</f>
        <v>тм80</v>
      </c>
      <c r="C7722" s="12" t="str">
        <f>IFERROR(VLOOKUP(D7722,'[1]Перечень товаров'!$A$2:$I9525,3,0),"")</f>
        <v>Техника муз</v>
      </c>
      <c r="D7722" s="29" t="s">
        <v>1836</v>
      </c>
      <c r="E7722" s="30"/>
      <c r="F7722" s="30"/>
      <c r="G7722" s="31">
        <v>5</v>
      </c>
      <c r="H7722" s="31"/>
      <c r="I7722" s="32"/>
      <c r="J7722" s="32"/>
      <c r="K7722" s="19"/>
      <c r="L7722" s="20"/>
    </row>
    <row r="7723" spans="1:12" outlineLevel="2">
      <c r="A7723" s="28"/>
      <c r="B7723" s="12" t="str">
        <f>IFERROR(VLOOKUP(D7723,'[1]Перечень товаров'!$A$2:$I9525,2,0),"")</f>
        <v>пм211</v>
      </c>
      <c r="C7723" s="12" t="str">
        <f>IFERROR(VLOOKUP(D7723,'[1]Перечень товаров'!$A$2:$I9525,3,0),"")</f>
        <v>прочее муз</v>
      </c>
      <c r="D7723" s="29" t="s">
        <v>995</v>
      </c>
      <c r="E7723" s="30"/>
      <c r="F7723" s="30"/>
      <c r="G7723" s="31">
        <v>10</v>
      </c>
      <c r="H7723" s="31"/>
      <c r="I7723" s="32"/>
      <c r="J7723" s="32"/>
      <c r="K7723" s="19"/>
      <c r="L7723" s="20"/>
    </row>
    <row r="7724" spans="1:12" ht="31.5" outlineLevel="2">
      <c r="A7724" s="28"/>
      <c r="B7724" s="12" t="str">
        <f>IFERROR(VLOOKUP(D7724,'[1]Перечень товаров'!$A$2:$I9525,2,0),"")</f>
        <v>тм79</v>
      </c>
      <c r="C7724" s="12" t="str">
        <f>IFERROR(VLOOKUP(D7724,'[1]Перечень товаров'!$A$2:$I9525,3,0),"")</f>
        <v>Техника муз</v>
      </c>
      <c r="D7724" s="29" t="s">
        <v>1837</v>
      </c>
      <c r="E7724" s="30"/>
      <c r="F7724" s="30"/>
      <c r="G7724" s="31">
        <v>18</v>
      </c>
      <c r="H7724" s="31"/>
      <c r="I7724" s="32"/>
      <c r="J7724" s="32"/>
      <c r="K7724" s="19"/>
      <c r="L7724" s="20"/>
    </row>
    <row r="7725" spans="1:12" outlineLevel="2">
      <c r="A7725" s="28"/>
      <c r="B7725" s="12" t="str">
        <f>IFERROR(VLOOKUP(D7725,'[1]Перечень товаров'!$A$2:$I9525,2,0),"")</f>
        <v>тм78</v>
      </c>
      <c r="C7725" s="12" t="str">
        <f>IFERROR(VLOOKUP(D7725,'[1]Перечень товаров'!$A$2:$I9525,3,0),"")</f>
        <v>Техника муз</v>
      </c>
      <c r="D7725" s="29" t="s">
        <v>1838</v>
      </c>
      <c r="E7725" s="30"/>
      <c r="F7725" s="30"/>
      <c r="G7725" s="31">
        <v>1</v>
      </c>
      <c r="H7725" s="31"/>
      <c r="I7725" s="32"/>
      <c r="J7725" s="32"/>
      <c r="K7725" s="19"/>
      <c r="L7725" s="20"/>
    </row>
    <row r="7726" spans="1:12" outlineLevel="2">
      <c r="A7726" s="54"/>
      <c r="B7726" s="12" t="str">
        <f>IFERROR(VLOOKUP(D7726,'[1]Перечень товаров'!$A$2:$I9525,2,0),"")</f>
        <v/>
      </c>
      <c r="C7726" s="12" t="str">
        <f>IFERROR(VLOOKUP(D7726,'[1]Перечень товаров'!$A$2:$I9525,3,0),"")</f>
        <v/>
      </c>
      <c r="D7726" s="55" t="s">
        <v>45</v>
      </c>
      <c r="E7726" s="217"/>
      <c r="F7726" s="217"/>
      <c r="G7726" s="59"/>
      <c r="H7726" s="59"/>
      <c r="I7726" s="60"/>
      <c r="J7726" s="60"/>
      <c r="K7726" s="19"/>
      <c r="L7726" s="20"/>
    </row>
    <row r="7727" spans="1:12" outlineLevel="2">
      <c r="A7727" s="43"/>
      <c r="B7727" s="12" t="str">
        <f>IFERROR(VLOOKUP(D7727,'[1]Перечень товаров'!$A$2:$I9525,2,0),"")</f>
        <v>м7</v>
      </c>
      <c r="C7727" s="12" t="str">
        <f>IFERROR(VLOOKUP(D7727,'[1]Перечень товаров'!$A$2:$I9525,3,0),"")</f>
        <v>Мебель</v>
      </c>
      <c r="D7727" s="44" t="s">
        <v>24</v>
      </c>
      <c r="E7727" s="30"/>
      <c r="F7727" s="30"/>
      <c r="G7727" s="59">
        <v>1</v>
      </c>
      <c r="H7727" s="59"/>
      <c r="I7727" s="60"/>
      <c r="J7727" s="60"/>
      <c r="K7727" s="19"/>
      <c r="L7727" s="20"/>
    </row>
    <row r="7728" spans="1:12" outlineLevel="2">
      <c r="A7728" s="43"/>
      <c r="B7728" s="12" t="str">
        <f>IFERROR(VLOOKUP(D7728,'[1]Перечень товаров'!$A$2:$I9525,2,0),"")</f>
        <v>п1</v>
      </c>
      <c r="C7728" s="12" t="str">
        <f>IFERROR(VLOOKUP(D7728,'[1]Перечень товаров'!$A$2:$I9525,3,0),"")</f>
        <v>Прочее</v>
      </c>
      <c r="D7728" s="44" t="s">
        <v>37</v>
      </c>
      <c r="E7728" s="30"/>
      <c r="F7728" s="30"/>
      <c r="G7728" s="59">
        <v>1</v>
      </c>
      <c r="H7728" s="59"/>
      <c r="I7728" s="60"/>
      <c r="J7728" s="60"/>
      <c r="K7728" s="19"/>
      <c r="L7728" s="20"/>
    </row>
    <row r="7729" spans="1:12" outlineLevel="2">
      <c r="A7729" s="21"/>
      <c r="B7729" s="12" t="str">
        <f>IFERROR(VLOOKUP(D7729,'[1]Перечень товаров'!$A$2:$I9525,2,0),"")</f>
        <v>п2</v>
      </c>
      <c r="C7729" s="12" t="str">
        <f>IFERROR(VLOOKUP(D7729,'[1]Перечень товаров'!$A$2:$I9525,3,0),"")</f>
        <v>Прочее</v>
      </c>
      <c r="D7729" s="22" t="s">
        <v>46</v>
      </c>
      <c r="E7729" s="58"/>
      <c r="F7729" s="58"/>
      <c r="G7729" s="24">
        <v>1</v>
      </c>
      <c r="H7729" s="24"/>
      <c r="I7729" s="25"/>
      <c r="J7729" s="25"/>
      <c r="K7729" s="19"/>
      <c r="L7729" s="20"/>
    </row>
    <row r="7730" spans="1:12" ht="12.75" outlineLevel="1">
      <c r="A7730" s="89"/>
      <c r="B7730" s="12" t="str">
        <f>IFERROR(VLOOKUP(D7730,'[1]Перечень товаров'!$A$2:$I9525,2,0),"")</f>
        <v/>
      </c>
      <c r="C7730" s="12" t="str">
        <f>IFERROR(VLOOKUP(D7730,'[1]Перечень товаров'!$A$2:$I9525,3,0),"")</f>
        <v/>
      </c>
      <c r="D7730" s="90" t="s">
        <v>1676</v>
      </c>
      <c r="E7730" s="108">
        <v>46264</v>
      </c>
      <c r="F7730" s="108"/>
      <c r="G7730" s="100"/>
      <c r="H7730" s="100"/>
      <c r="I7730" s="101"/>
      <c r="J7730" s="101"/>
      <c r="K7730" s="19"/>
      <c r="L7730" s="20"/>
    </row>
    <row r="7731" spans="1:12" ht="15" outlineLevel="2">
      <c r="A7731" s="109"/>
      <c r="B7731" s="12" t="str">
        <f>IFERROR(VLOOKUP(D7731,'[1]Перечень товаров'!$A$2:$I9525,2,0),"")</f>
        <v/>
      </c>
      <c r="C7731" s="12" t="str">
        <f>IFERROR(VLOOKUP(D7731,'[1]Перечень товаров'!$A$2:$I9525,3,0),"")</f>
        <v/>
      </c>
      <c r="D7731" s="110" t="s">
        <v>27</v>
      </c>
      <c r="E7731" s="45"/>
      <c r="F7731" s="45"/>
      <c r="G7731" s="111"/>
      <c r="H7731" s="111"/>
      <c r="I7731" s="112"/>
      <c r="J7731" s="112"/>
      <c r="K7731" s="19"/>
      <c r="L7731" s="20"/>
    </row>
    <row r="7732" spans="1:12" outlineLevel="2">
      <c r="A7732" s="21"/>
      <c r="B7732" s="12" t="str">
        <f>IFERROR(VLOOKUP(D7732,'[1]Перечень товаров'!$A$2:$I9525,2,0),"")</f>
        <v>т1</v>
      </c>
      <c r="C7732" s="12" t="str">
        <f>IFERROR(VLOOKUP(D7732,'[1]Перечень товаров'!$A$2:$I9525,3,0),"")</f>
        <v xml:space="preserve">Техника </v>
      </c>
      <c r="D7732" s="22" t="s">
        <v>28</v>
      </c>
      <c r="E7732" s="58"/>
      <c r="F7732" s="58"/>
      <c r="G7732" s="48">
        <v>1</v>
      </c>
      <c r="H7732" s="48"/>
      <c r="I7732" s="49"/>
      <c r="J7732" s="49"/>
      <c r="K7732" s="19"/>
      <c r="L7732" s="20"/>
    </row>
    <row r="7733" spans="1:12" outlineLevel="2">
      <c r="A7733" s="143"/>
      <c r="B7733" s="12" t="str">
        <f>IFERROR(VLOOKUP(D7733,'[1]Перечень товаров'!$A$2:$I9525,2,0),"")</f>
        <v>т9</v>
      </c>
      <c r="C7733" s="12" t="str">
        <f>IFERROR(VLOOKUP(D7733,'[1]Перечень товаров'!$A$2:$I9525,3,0),"")</f>
        <v>Техника</v>
      </c>
      <c r="D7733" s="143" t="s">
        <v>36</v>
      </c>
      <c r="E7733" s="58"/>
      <c r="F7733" s="58"/>
      <c r="G7733" s="48">
        <v>1</v>
      </c>
      <c r="H7733" s="48"/>
      <c r="I7733" s="49"/>
      <c r="J7733" s="49"/>
      <c r="K7733" s="19"/>
      <c r="L7733" s="20"/>
    </row>
    <row r="7734" spans="1:12" outlineLevel="2">
      <c r="A7734" s="35"/>
      <c r="B7734" s="12" t="str">
        <f>IFERROR(VLOOKUP(D7734,'[1]Перечень товаров'!$A$2:$I9525,2,0),"")</f>
        <v>т2</v>
      </c>
      <c r="C7734" s="12" t="str">
        <f>IFERROR(VLOOKUP(D7734,'[1]Перечень товаров'!$A$2:$I9525,3,0),"")</f>
        <v xml:space="preserve">Техника </v>
      </c>
      <c r="D7734" s="35" t="s">
        <v>29</v>
      </c>
      <c r="E7734" s="58"/>
      <c r="F7734" s="58"/>
      <c r="G7734" s="48">
        <v>1</v>
      </c>
      <c r="H7734" s="48"/>
      <c r="I7734" s="49"/>
      <c r="J7734" s="49"/>
      <c r="K7734" s="19"/>
      <c r="L7734" s="20"/>
    </row>
    <row r="7735" spans="1:12" outlineLevel="2">
      <c r="A7735" s="35"/>
      <c r="B7735" s="12" t="str">
        <f>IFERROR(VLOOKUP(D7735,'[1]Перечень товаров'!$A$2:$I9525,2,0),"")</f>
        <v>т3</v>
      </c>
      <c r="C7735" s="12" t="str">
        <f>IFERROR(VLOOKUP(D7735,'[1]Перечень товаров'!$A$2:$I9525,3,0),"")</f>
        <v xml:space="preserve">Техника </v>
      </c>
      <c r="D7735" s="35" t="s">
        <v>30</v>
      </c>
      <c r="E7735" s="58"/>
      <c r="F7735" s="58"/>
      <c r="G7735" s="48">
        <v>1</v>
      </c>
      <c r="H7735" s="48"/>
      <c r="I7735" s="49"/>
      <c r="J7735" s="49"/>
      <c r="K7735" s="19"/>
      <c r="L7735" s="20"/>
    </row>
    <row r="7736" spans="1:12" outlineLevel="2">
      <c r="A7736" s="35"/>
      <c r="B7736" s="12" t="str">
        <f>IFERROR(VLOOKUP(D7736,'[1]Перечень товаров'!$A$2:$I9525,2,0),"")</f>
        <v>т4</v>
      </c>
      <c r="C7736" s="12" t="str">
        <f>IFERROR(VLOOKUP(D7736,'[1]Перечень товаров'!$A$2:$I9525,3,0),"")</f>
        <v xml:space="preserve">Техника </v>
      </c>
      <c r="D7736" s="35" t="s">
        <v>31</v>
      </c>
      <c r="E7736" s="58"/>
      <c r="F7736" s="58"/>
      <c r="G7736" s="48">
        <v>1</v>
      </c>
      <c r="H7736" s="48"/>
      <c r="I7736" s="49"/>
      <c r="J7736" s="49"/>
      <c r="K7736" s="19"/>
      <c r="L7736" s="20"/>
    </row>
    <row r="7737" spans="1:12" outlineLevel="2">
      <c r="A7737" s="21"/>
      <c r="B7737" s="12" t="str">
        <f>IFERROR(VLOOKUP(D7737,'[1]Перечень товаров'!$A$2:$I9525,2,0),"")</f>
        <v>тм65</v>
      </c>
      <c r="C7737" s="12" t="str">
        <f>IFERROR(VLOOKUP(D7737,'[1]Перечень товаров'!$A$2:$I9525,3,0),"")</f>
        <v>Техника муз</v>
      </c>
      <c r="D7737" s="22" t="s">
        <v>380</v>
      </c>
      <c r="E7737" s="58"/>
      <c r="F7737" s="58"/>
      <c r="G7737" s="48">
        <v>1</v>
      </c>
      <c r="H7737" s="48"/>
      <c r="I7737" s="49"/>
      <c r="J7737" s="49"/>
      <c r="K7737" s="19"/>
      <c r="L7737" s="20"/>
    </row>
    <row r="7738" spans="1:12" outlineLevel="2">
      <c r="A7738" s="21"/>
      <c r="B7738" s="12" t="str">
        <f>IFERROR(VLOOKUP(D7738,'[1]Перечень товаров'!$A$2:$I9525,2,0),"")</f>
        <v>т12</v>
      </c>
      <c r="C7738" s="12" t="str">
        <f>IFERROR(VLOOKUP(D7738,'[1]Перечень товаров'!$A$2:$I9525,3,0),"")</f>
        <v>Техника</v>
      </c>
      <c r="D7738" s="22" t="s">
        <v>49</v>
      </c>
      <c r="E7738" s="58"/>
      <c r="F7738" s="58"/>
      <c r="G7738" s="48">
        <v>1</v>
      </c>
      <c r="H7738" s="48"/>
      <c r="I7738" s="49"/>
      <c r="J7738" s="49"/>
      <c r="K7738" s="19"/>
      <c r="L7738" s="20"/>
    </row>
    <row r="7739" spans="1:12" outlineLevel="2">
      <c r="A7739" s="35"/>
      <c r="B7739" s="12" t="str">
        <f>IFERROR(VLOOKUP(D7739,'[1]Перечень товаров'!$A$2:$I9525,2,0),"")</f>
        <v>т6</v>
      </c>
      <c r="C7739" s="12" t="str">
        <f>IFERROR(VLOOKUP(D7739,'[1]Перечень товаров'!$A$2:$I9525,3,0),"")</f>
        <v xml:space="preserve">Техника </v>
      </c>
      <c r="D7739" s="35" t="s">
        <v>33</v>
      </c>
      <c r="E7739" s="58"/>
      <c r="F7739" s="58"/>
      <c r="G7739" s="48">
        <v>1</v>
      </c>
      <c r="H7739" s="48"/>
      <c r="I7739" s="49"/>
      <c r="J7739" s="49"/>
      <c r="K7739" s="19"/>
      <c r="L7739" s="20"/>
    </row>
    <row r="7740" spans="1:12" outlineLevel="2">
      <c r="A7740" s="21"/>
      <c r="B7740" s="12" t="str">
        <f>IFERROR(VLOOKUP(D7740,'[1]Перечень товаров'!$A$2:$I9525,2,0),"")</f>
        <v>т7</v>
      </c>
      <c r="C7740" s="12" t="str">
        <f>IFERROR(VLOOKUP(D7740,'[1]Перечень товаров'!$A$2:$I9525,3,0),"")</f>
        <v xml:space="preserve">Техника </v>
      </c>
      <c r="D7740" s="22" t="s">
        <v>34</v>
      </c>
      <c r="E7740" s="58"/>
      <c r="F7740" s="58"/>
      <c r="G7740" s="48">
        <v>3</v>
      </c>
      <c r="H7740" s="48"/>
      <c r="I7740" s="49"/>
      <c r="J7740" s="49"/>
      <c r="K7740" s="19"/>
      <c r="L7740" s="20"/>
    </row>
    <row r="7741" spans="1:12" outlineLevel="2">
      <c r="A7741" s="28"/>
      <c r="B7741" s="12" t="str">
        <f>IFERROR(VLOOKUP(D7741,'[1]Перечень товаров'!$A$2:$I9525,2,0),"")</f>
        <v>т161</v>
      </c>
      <c r="C7741" s="12" t="str">
        <f>IFERROR(VLOOKUP(D7741,'[1]Перечень товаров'!$A$2:$I9525,3,0),"")</f>
        <v xml:space="preserve">Техника </v>
      </c>
      <c r="D7741" s="29" t="s">
        <v>381</v>
      </c>
      <c r="E7741" s="30"/>
      <c r="F7741" s="30"/>
      <c r="G7741" s="59">
        <v>1</v>
      </c>
      <c r="H7741" s="59"/>
      <c r="I7741" s="60"/>
      <c r="J7741" s="60"/>
      <c r="K7741" s="19"/>
      <c r="L7741" s="20"/>
    </row>
    <row r="7742" spans="1:12" outlineLevel="2">
      <c r="A7742" s="113"/>
      <c r="B7742" s="12" t="str">
        <f>IFERROR(VLOOKUP(D7742,'[1]Перечень товаров'!$A$2:$I9525,2,0),"")</f>
        <v/>
      </c>
      <c r="C7742" s="12" t="str">
        <f>IFERROR(VLOOKUP(D7742,'[1]Перечень товаров'!$A$2:$I9525,3,0),"")</f>
        <v/>
      </c>
      <c r="D7742" s="114" t="s">
        <v>19</v>
      </c>
      <c r="E7742" s="115"/>
      <c r="F7742" s="115"/>
      <c r="G7742" s="59"/>
      <c r="H7742" s="59"/>
      <c r="I7742" s="60"/>
      <c r="J7742" s="60"/>
      <c r="K7742" s="19"/>
      <c r="L7742" s="20"/>
    </row>
    <row r="7743" spans="1:12" outlineLevel="2">
      <c r="A7743" s="34"/>
      <c r="B7743" s="12" t="str">
        <f>IFERROR(VLOOKUP(D7743,'[1]Перечень товаров'!$A$2:$I9525,2,0),"")</f>
        <v>м62</v>
      </c>
      <c r="C7743" s="12" t="str">
        <f>IFERROR(VLOOKUP(D7743,'[1]Перечень товаров'!$A$2:$I9525,3,0),"")</f>
        <v>Мебель</v>
      </c>
      <c r="D7743" s="35" t="s">
        <v>398</v>
      </c>
      <c r="E7743" s="88"/>
      <c r="F7743" s="88"/>
      <c r="G7743" s="59">
        <v>1</v>
      </c>
      <c r="H7743" s="59"/>
      <c r="I7743" s="60"/>
      <c r="J7743" s="60"/>
      <c r="K7743" s="19"/>
      <c r="L7743" s="20"/>
    </row>
    <row r="7744" spans="1:12" outlineLevel="2">
      <c r="A7744" s="34"/>
      <c r="B7744" s="12" t="str">
        <f>IFERROR(VLOOKUP(D7744,'[1]Перечень товаров'!$A$2:$I9525,2,0),"")</f>
        <v>м61</v>
      </c>
      <c r="C7744" s="12" t="str">
        <f>IFERROR(VLOOKUP(D7744,'[1]Перечень товаров'!$A$2:$I9525,3,0),"")</f>
        <v>Мебель</v>
      </c>
      <c r="D7744" s="35" t="s">
        <v>383</v>
      </c>
      <c r="E7744" s="88"/>
      <c r="F7744" s="88"/>
      <c r="G7744" s="59">
        <v>1</v>
      </c>
      <c r="H7744" s="59"/>
      <c r="I7744" s="60"/>
      <c r="J7744" s="60"/>
      <c r="K7744" s="19"/>
      <c r="L7744" s="20"/>
    </row>
    <row r="7745" spans="1:12" outlineLevel="2">
      <c r="A7745" s="34"/>
      <c r="B7745" s="12" t="str">
        <f>IFERROR(VLOOKUP(D7745,'[1]Перечень товаров'!$A$2:$I9525,2,0),"")</f>
        <v>м179</v>
      </c>
      <c r="C7745" s="12" t="str">
        <f>IFERROR(VLOOKUP(D7745,'[1]Перечень товаров'!$A$2:$I9525,3,0),"")</f>
        <v>Мебель</v>
      </c>
      <c r="D7745" s="35" t="s">
        <v>579</v>
      </c>
      <c r="E7745" s="88"/>
      <c r="F7745" s="88"/>
      <c r="G7745" s="59">
        <v>10</v>
      </c>
      <c r="H7745" s="59"/>
      <c r="I7745" s="60"/>
      <c r="J7745" s="60"/>
      <c r="K7745" s="19"/>
      <c r="L7745" s="20"/>
    </row>
    <row r="7746" spans="1:12" outlineLevel="2">
      <c r="A7746" s="34"/>
      <c r="B7746" s="12" t="str">
        <f>IFERROR(VLOOKUP(D7746,'[1]Перечень товаров'!$A$2:$I9525,2,0),"")</f>
        <v>м61</v>
      </c>
      <c r="C7746" s="12" t="str">
        <f>IFERROR(VLOOKUP(D7746,'[1]Перечень товаров'!$A$2:$I9525,3,0),"")</f>
        <v>Мебель</v>
      </c>
      <c r="D7746" s="35" t="s">
        <v>384</v>
      </c>
      <c r="E7746" s="88"/>
      <c r="F7746" s="88"/>
      <c r="G7746" s="59">
        <v>20</v>
      </c>
      <c r="H7746" s="59"/>
      <c r="I7746" s="60"/>
      <c r="J7746" s="60"/>
      <c r="K7746" s="19"/>
      <c r="L7746" s="20"/>
    </row>
    <row r="7747" spans="1:12" outlineLevel="2">
      <c r="A7747" s="21"/>
      <c r="B7747" s="12" t="str">
        <f>IFERROR(VLOOKUP(D7747,'[1]Перечень товаров'!$A$2:$I9525,2,0),"")</f>
        <v>м13</v>
      </c>
      <c r="C7747" s="12" t="str">
        <f>IFERROR(VLOOKUP(D7747,'[1]Перечень товаров'!$A$2:$I9525,3,0),"")</f>
        <v>Мебель</v>
      </c>
      <c r="D7747" s="22" t="s">
        <v>42</v>
      </c>
      <c r="E7747" s="58"/>
      <c r="F7747" s="58"/>
      <c r="G7747" s="24">
        <v>1</v>
      </c>
      <c r="H7747" s="24"/>
      <c r="I7747" s="25"/>
      <c r="J7747" s="25"/>
      <c r="K7747" s="19"/>
      <c r="L7747" s="20"/>
    </row>
    <row r="7748" spans="1:12" outlineLevel="2">
      <c r="A7748" s="21"/>
      <c r="B7748" s="12" t="str">
        <f>IFERROR(VLOOKUP(D7748,'[1]Перечень товаров'!$A$2:$I9525,2,0),"")</f>
        <v>м14</v>
      </c>
      <c r="C7748" s="12" t="str">
        <f>IFERROR(VLOOKUP(D7748,'[1]Перечень товаров'!$A$2:$I9525,3,0),"")</f>
        <v>Мебель</v>
      </c>
      <c r="D7748" s="22" t="s">
        <v>43</v>
      </c>
      <c r="E7748" s="58"/>
      <c r="F7748" s="58"/>
      <c r="G7748" s="24">
        <v>1</v>
      </c>
      <c r="H7748" s="24"/>
      <c r="I7748" s="25"/>
      <c r="J7748" s="25"/>
      <c r="K7748" s="19"/>
      <c r="L7748" s="20"/>
    </row>
    <row r="7749" spans="1:12" outlineLevel="2">
      <c r="A7749" s="21"/>
      <c r="B7749" s="12" t="str">
        <f>IFERROR(VLOOKUP(D7749,'[1]Перечень товаров'!$A$2:$I9525,2,0),"")</f>
        <v>п2</v>
      </c>
      <c r="C7749" s="12" t="str">
        <f>IFERROR(VLOOKUP(D7749,'[1]Перечень товаров'!$A$2:$I9525,3,0),"")</f>
        <v>Прочее</v>
      </c>
      <c r="D7749" s="22" t="s">
        <v>46</v>
      </c>
      <c r="E7749" s="58"/>
      <c r="F7749" s="58"/>
      <c r="G7749" s="24">
        <v>1</v>
      </c>
      <c r="H7749" s="24"/>
      <c r="I7749" s="25"/>
      <c r="J7749" s="25"/>
      <c r="K7749" s="19"/>
      <c r="L7749" s="20"/>
    </row>
    <row r="7750" spans="1:12" ht="31.5" outlineLevel="2">
      <c r="A7750" s="155"/>
      <c r="B7750" s="12" t="str">
        <f>IFERROR(VLOOKUP(D7750,'[1]Перечень товаров'!$A$2:$I9525,2,0),"")</f>
        <v>м21</v>
      </c>
      <c r="C7750" s="12" t="str">
        <f>IFERROR(VLOOKUP(D7750,'[1]Перечень товаров'!$A$2:$I9525,3,0),"")</f>
        <v>Мебель</v>
      </c>
      <c r="D7750" s="156" t="s">
        <v>58</v>
      </c>
      <c r="E7750" s="58"/>
      <c r="F7750" s="58"/>
      <c r="G7750" s="24">
        <v>1</v>
      </c>
      <c r="H7750" s="24"/>
      <c r="I7750" s="25"/>
      <c r="J7750" s="25"/>
      <c r="K7750" s="19"/>
      <c r="L7750" s="20"/>
    </row>
    <row r="7751" spans="1:12" outlineLevel="2">
      <c r="A7751" s="116"/>
      <c r="B7751" s="12" t="str">
        <f>IFERROR(VLOOKUP(D7751,'[1]Перечень товаров'!$A$2:$I9525,2,0),"")</f>
        <v/>
      </c>
      <c r="C7751" s="12" t="str">
        <f>IFERROR(VLOOKUP(D7751,'[1]Перечень товаров'!$A$2:$I9525,3,0),"")</f>
        <v/>
      </c>
      <c r="D7751" s="117" t="s">
        <v>391</v>
      </c>
      <c r="E7751" s="217"/>
      <c r="F7751" s="217"/>
      <c r="G7751" s="59"/>
      <c r="H7751" s="59"/>
      <c r="I7751" s="60"/>
      <c r="J7751" s="60"/>
      <c r="K7751" s="19"/>
      <c r="L7751" s="20"/>
    </row>
    <row r="7752" spans="1:12" outlineLevel="2">
      <c r="A7752" s="28"/>
      <c r="B7752" s="12" t="str">
        <f>IFERROR(VLOOKUP(D7752,'[1]Перечень товаров'!$A$2:$I9525,2,0),"")</f>
        <v>мм1</v>
      </c>
      <c r="C7752" s="12" t="str">
        <f>IFERROR(VLOOKUP(D7752,'[1]Перечень товаров'!$A$2:$I9525,3,0),"")</f>
        <v>Мебель муз</v>
      </c>
      <c r="D7752" s="29" t="s">
        <v>1134</v>
      </c>
      <c r="E7752" s="30"/>
      <c r="F7752" s="30"/>
      <c r="G7752" s="59">
        <v>1</v>
      </c>
      <c r="H7752" s="59"/>
      <c r="I7752" s="60"/>
      <c r="J7752" s="60"/>
      <c r="K7752" s="19"/>
      <c r="L7752" s="20"/>
    </row>
    <row r="7753" spans="1:12" ht="47.25" outlineLevel="2">
      <c r="A7753" s="28"/>
      <c r="B7753" s="12" t="str">
        <f>IFERROR(VLOOKUP(D7753,'[1]Перечень товаров'!$A$2:$I9525,2,0),"")</f>
        <v>пм168</v>
      </c>
      <c r="C7753" s="12" t="str">
        <f>IFERROR(VLOOKUP(D7753,'[1]Перечень товаров'!$A$2:$I9525,3,0),"")</f>
        <v>прочее муз</v>
      </c>
      <c r="D7753" s="29" t="s">
        <v>1135</v>
      </c>
      <c r="E7753" s="30"/>
      <c r="F7753" s="30"/>
      <c r="G7753" s="59">
        <v>4</v>
      </c>
      <c r="H7753" s="59"/>
      <c r="I7753" s="60"/>
      <c r="J7753" s="60"/>
      <c r="K7753" s="19"/>
      <c r="L7753" s="20"/>
    </row>
    <row r="7754" spans="1:12" outlineLevel="2">
      <c r="A7754" s="28"/>
      <c r="B7754" s="12" t="str">
        <f>IFERROR(VLOOKUP(D7754,'[1]Перечень товаров'!$A$2:$I9525,2,0),"")</f>
        <v>пм167</v>
      </c>
      <c r="C7754" s="12" t="str">
        <f>IFERROR(VLOOKUP(D7754,'[1]Перечень товаров'!$A$2:$I9525,3,0),"")</f>
        <v>прочее муз</v>
      </c>
      <c r="D7754" s="29" t="s">
        <v>1136</v>
      </c>
      <c r="E7754" s="30"/>
      <c r="F7754" s="30"/>
      <c r="G7754" s="59">
        <v>1</v>
      </c>
      <c r="H7754" s="59"/>
      <c r="I7754" s="60"/>
      <c r="J7754" s="60"/>
      <c r="K7754" s="19"/>
      <c r="L7754" s="20"/>
    </row>
    <row r="7755" spans="1:12" ht="31.5" outlineLevel="2">
      <c r="A7755" s="28"/>
      <c r="B7755" s="12" t="str">
        <f>IFERROR(VLOOKUP(D7755,'[1]Перечень товаров'!$A$2:$I9525,2,0),"")</f>
        <v>пм166</v>
      </c>
      <c r="C7755" s="12" t="str">
        <f>IFERROR(VLOOKUP(D7755,'[1]Перечень товаров'!$A$2:$I9525,3,0),"")</f>
        <v>прочее муз</v>
      </c>
      <c r="D7755" s="29" t="s">
        <v>1137</v>
      </c>
      <c r="E7755" s="30"/>
      <c r="F7755" s="30"/>
      <c r="G7755" s="59">
        <v>1</v>
      </c>
      <c r="H7755" s="59"/>
      <c r="I7755" s="60"/>
      <c r="J7755" s="60"/>
      <c r="K7755" s="19"/>
      <c r="L7755" s="20"/>
    </row>
    <row r="7756" spans="1:12" ht="31.5" outlineLevel="2">
      <c r="A7756" s="28"/>
      <c r="B7756" s="12" t="str">
        <f>IFERROR(VLOOKUP(D7756,'[1]Перечень товаров'!$A$2:$I9525,2,0),"")</f>
        <v>т130</v>
      </c>
      <c r="C7756" s="12" t="str">
        <f>IFERROR(VLOOKUP(D7756,'[1]Перечень товаров'!$A$2:$I9525,3,0),"")</f>
        <v>Техника</v>
      </c>
      <c r="D7756" s="29" t="s">
        <v>1138</v>
      </c>
      <c r="E7756" s="30"/>
      <c r="F7756" s="30"/>
      <c r="G7756" s="59">
        <v>1</v>
      </c>
      <c r="H7756" s="59"/>
      <c r="I7756" s="60"/>
      <c r="J7756" s="60"/>
      <c r="K7756" s="19"/>
      <c r="L7756" s="20"/>
    </row>
    <row r="7757" spans="1:12" outlineLevel="2">
      <c r="A7757" s="54"/>
      <c r="B7757" s="12" t="str">
        <f>IFERROR(VLOOKUP(D7757,'[1]Перечень товаров'!$A$2:$I9525,2,0),"")</f>
        <v/>
      </c>
      <c r="C7757" s="12" t="str">
        <f>IFERROR(VLOOKUP(D7757,'[1]Перечень товаров'!$A$2:$I9525,3,0),"")</f>
        <v/>
      </c>
      <c r="D7757" s="55" t="s">
        <v>45</v>
      </c>
      <c r="E7757" s="217"/>
      <c r="F7757" s="217"/>
      <c r="G7757" s="59"/>
      <c r="H7757" s="59"/>
      <c r="I7757" s="60"/>
      <c r="J7757" s="60"/>
      <c r="K7757" s="19"/>
      <c r="L7757" s="20"/>
    </row>
    <row r="7758" spans="1:12" outlineLevel="2">
      <c r="A7758" s="43"/>
      <c r="B7758" s="12" t="str">
        <f>IFERROR(VLOOKUP(D7758,'[1]Перечень товаров'!$A$2:$I9525,2,0),"")</f>
        <v>м7</v>
      </c>
      <c r="C7758" s="12" t="str">
        <f>IFERROR(VLOOKUP(D7758,'[1]Перечень товаров'!$A$2:$I9525,3,0),"")</f>
        <v>Мебель</v>
      </c>
      <c r="D7758" s="44" t="s">
        <v>24</v>
      </c>
      <c r="E7758" s="30"/>
      <c r="F7758" s="30"/>
      <c r="G7758" s="59">
        <v>1</v>
      </c>
      <c r="H7758" s="59"/>
      <c r="I7758" s="60"/>
      <c r="J7758" s="60"/>
      <c r="K7758" s="19"/>
      <c r="L7758" s="20"/>
    </row>
    <row r="7759" spans="1:12" outlineLevel="2">
      <c r="A7759" s="43"/>
      <c r="B7759" s="12" t="str">
        <f>IFERROR(VLOOKUP(D7759,'[1]Перечень товаров'!$A$2:$I9525,2,0),"")</f>
        <v>п1</v>
      </c>
      <c r="C7759" s="12" t="str">
        <f>IFERROR(VLOOKUP(D7759,'[1]Перечень товаров'!$A$2:$I9525,3,0),"")</f>
        <v>Прочее</v>
      </c>
      <c r="D7759" s="44" t="s">
        <v>37</v>
      </c>
      <c r="E7759" s="30"/>
      <c r="F7759" s="30"/>
      <c r="G7759" s="59">
        <v>1</v>
      </c>
      <c r="H7759" s="59"/>
      <c r="I7759" s="60"/>
      <c r="J7759" s="60"/>
      <c r="K7759" s="19"/>
      <c r="L7759" s="20"/>
    </row>
    <row r="7760" spans="1:12" ht="12.75" outlineLevel="1">
      <c r="A7760" s="89"/>
      <c r="B7760" s="12" t="str">
        <f>IFERROR(VLOOKUP(D7760,'[1]Перечень товаров'!$A$2:$I9525,2,0),"")</f>
        <v/>
      </c>
      <c r="C7760" s="12" t="str">
        <f>IFERROR(VLOOKUP(D7760,'[1]Перечень товаров'!$A$2:$I9525,3,0),"")</f>
        <v/>
      </c>
      <c r="D7760" s="90" t="s">
        <v>1676</v>
      </c>
      <c r="E7760" s="91" t="s">
        <v>650</v>
      </c>
      <c r="F7760" s="91"/>
      <c r="G7760" s="17"/>
      <c r="H7760" s="17"/>
      <c r="I7760" s="57"/>
      <c r="J7760" s="57"/>
      <c r="K7760" s="19"/>
      <c r="L7760" s="20"/>
    </row>
    <row r="7761" spans="1:12" ht="15" outlineLevel="2">
      <c r="A7761" s="109"/>
      <c r="B7761" s="12" t="str">
        <f>IFERROR(VLOOKUP(D7761,'[1]Перечень товаров'!$A$2:$I9525,2,0),"")</f>
        <v/>
      </c>
      <c r="C7761" s="12" t="str">
        <f>IFERROR(VLOOKUP(D7761,'[1]Перечень товаров'!$A$2:$I9525,3,0),"")</f>
        <v/>
      </c>
      <c r="D7761" s="110" t="s">
        <v>27</v>
      </c>
      <c r="E7761" s="45"/>
      <c r="F7761" s="45"/>
      <c r="G7761" s="111"/>
      <c r="H7761" s="111"/>
      <c r="I7761" s="112"/>
      <c r="J7761" s="112"/>
      <c r="K7761" s="19"/>
      <c r="L7761" s="20"/>
    </row>
    <row r="7762" spans="1:12" outlineLevel="2">
      <c r="A7762" s="21"/>
      <c r="B7762" s="12" t="str">
        <f>IFERROR(VLOOKUP(D7762,'[1]Перечень товаров'!$A$2:$I9525,2,0),"")</f>
        <v>т1</v>
      </c>
      <c r="C7762" s="12" t="str">
        <f>IFERROR(VLOOKUP(D7762,'[1]Перечень товаров'!$A$2:$I9525,3,0),"")</f>
        <v xml:space="preserve">Техника </v>
      </c>
      <c r="D7762" s="22" t="s">
        <v>28</v>
      </c>
      <c r="E7762" s="58"/>
      <c r="F7762" s="58"/>
      <c r="G7762" s="48">
        <v>1</v>
      </c>
      <c r="H7762" s="48"/>
      <c r="I7762" s="49"/>
      <c r="J7762" s="49"/>
      <c r="K7762" s="19"/>
      <c r="L7762" s="20"/>
    </row>
    <row r="7763" spans="1:12" outlineLevel="2">
      <c r="A7763" s="143"/>
      <c r="B7763" s="12" t="str">
        <f>IFERROR(VLOOKUP(D7763,'[1]Перечень товаров'!$A$2:$I9525,2,0),"")</f>
        <v>т9</v>
      </c>
      <c r="C7763" s="12" t="str">
        <f>IFERROR(VLOOKUP(D7763,'[1]Перечень товаров'!$A$2:$I9525,3,0),"")</f>
        <v>Техника</v>
      </c>
      <c r="D7763" s="143" t="s">
        <v>36</v>
      </c>
      <c r="E7763" s="58"/>
      <c r="F7763" s="58"/>
      <c r="G7763" s="48">
        <v>1</v>
      </c>
      <c r="H7763" s="48"/>
      <c r="I7763" s="49"/>
      <c r="J7763" s="49"/>
      <c r="K7763" s="19"/>
      <c r="L7763" s="20"/>
    </row>
    <row r="7764" spans="1:12" outlineLevel="2">
      <c r="A7764" s="35"/>
      <c r="B7764" s="12" t="str">
        <f>IFERROR(VLOOKUP(D7764,'[1]Перечень товаров'!$A$2:$I9525,2,0),"")</f>
        <v>т2</v>
      </c>
      <c r="C7764" s="12" t="str">
        <f>IFERROR(VLOOKUP(D7764,'[1]Перечень товаров'!$A$2:$I9525,3,0),"")</f>
        <v xml:space="preserve">Техника </v>
      </c>
      <c r="D7764" s="35" t="s">
        <v>29</v>
      </c>
      <c r="E7764" s="58"/>
      <c r="F7764" s="58"/>
      <c r="G7764" s="48">
        <v>1</v>
      </c>
      <c r="H7764" s="48"/>
      <c r="I7764" s="49"/>
      <c r="J7764" s="49"/>
      <c r="K7764" s="19"/>
      <c r="L7764" s="20"/>
    </row>
    <row r="7765" spans="1:12" outlineLevel="2">
      <c r="A7765" s="35"/>
      <c r="B7765" s="12" t="str">
        <f>IFERROR(VLOOKUP(D7765,'[1]Перечень товаров'!$A$2:$I9525,2,0),"")</f>
        <v>т3</v>
      </c>
      <c r="C7765" s="12" t="str">
        <f>IFERROR(VLOOKUP(D7765,'[1]Перечень товаров'!$A$2:$I9525,3,0),"")</f>
        <v xml:space="preserve">Техника </v>
      </c>
      <c r="D7765" s="35" t="s">
        <v>30</v>
      </c>
      <c r="E7765" s="58"/>
      <c r="F7765" s="58"/>
      <c r="G7765" s="48">
        <v>1</v>
      </c>
      <c r="H7765" s="48"/>
      <c r="I7765" s="49"/>
      <c r="J7765" s="49"/>
      <c r="K7765" s="19"/>
      <c r="L7765" s="20"/>
    </row>
    <row r="7766" spans="1:12" outlineLevel="2">
      <c r="A7766" s="35"/>
      <c r="B7766" s="12" t="str">
        <f>IFERROR(VLOOKUP(D7766,'[1]Перечень товаров'!$A$2:$I9525,2,0),"")</f>
        <v>т4</v>
      </c>
      <c r="C7766" s="12" t="str">
        <f>IFERROR(VLOOKUP(D7766,'[1]Перечень товаров'!$A$2:$I9525,3,0),"")</f>
        <v xml:space="preserve">Техника </v>
      </c>
      <c r="D7766" s="35" t="s">
        <v>31</v>
      </c>
      <c r="E7766" s="58"/>
      <c r="F7766" s="58"/>
      <c r="G7766" s="48">
        <v>1</v>
      </c>
      <c r="H7766" s="48"/>
      <c r="I7766" s="49"/>
      <c r="J7766" s="49"/>
      <c r="K7766" s="19"/>
      <c r="L7766" s="20"/>
    </row>
    <row r="7767" spans="1:12" outlineLevel="2">
      <c r="A7767" s="21"/>
      <c r="B7767" s="12" t="str">
        <f>IFERROR(VLOOKUP(D7767,'[1]Перечень товаров'!$A$2:$I9525,2,0),"")</f>
        <v>тм65</v>
      </c>
      <c r="C7767" s="12" t="str">
        <f>IFERROR(VLOOKUP(D7767,'[1]Перечень товаров'!$A$2:$I9525,3,0),"")</f>
        <v>Техника муз</v>
      </c>
      <c r="D7767" s="22" t="s">
        <v>380</v>
      </c>
      <c r="E7767" s="58"/>
      <c r="F7767" s="58"/>
      <c r="G7767" s="48">
        <v>1</v>
      </c>
      <c r="H7767" s="48"/>
      <c r="I7767" s="49"/>
      <c r="J7767" s="49"/>
      <c r="K7767" s="19"/>
      <c r="L7767" s="20"/>
    </row>
    <row r="7768" spans="1:12" outlineLevel="2">
      <c r="A7768" s="21"/>
      <c r="B7768" s="12" t="str">
        <f>IFERROR(VLOOKUP(D7768,'[1]Перечень товаров'!$A$2:$I9525,2,0),"")</f>
        <v>т12</v>
      </c>
      <c r="C7768" s="12" t="str">
        <f>IFERROR(VLOOKUP(D7768,'[1]Перечень товаров'!$A$2:$I9525,3,0),"")</f>
        <v>Техника</v>
      </c>
      <c r="D7768" s="22" t="s">
        <v>49</v>
      </c>
      <c r="E7768" s="58"/>
      <c r="F7768" s="58"/>
      <c r="G7768" s="48">
        <v>1</v>
      </c>
      <c r="H7768" s="48"/>
      <c r="I7768" s="49"/>
      <c r="J7768" s="49"/>
      <c r="K7768" s="19"/>
      <c r="L7768" s="20"/>
    </row>
    <row r="7769" spans="1:12" outlineLevel="2">
      <c r="A7769" s="35"/>
      <c r="B7769" s="12" t="str">
        <f>IFERROR(VLOOKUP(D7769,'[1]Перечень товаров'!$A$2:$I9525,2,0),"")</f>
        <v>т6</v>
      </c>
      <c r="C7769" s="12" t="str">
        <f>IFERROR(VLOOKUP(D7769,'[1]Перечень товаров'!$A$2:$I9525,3,0),"")</f>
        <v xml:space="preserve">Техника </v>
      </c>
      <c r="D7769" s="35" t="s">
        <v>33</v>
      </c>
      <c r="E7769" s="58"/>
      <c r="F7769" s="58"/>
      <c r="G7769" s="48">
        <v>1</v>
      </c>
      <c r="H7769" s="48"/>
      <c r="I7769" s="49"/>
      <c r="J7769" s="49"/>
      <c r="K7769" s="19"/>
      <c r="L7769" s="20"/>
    </row>
    <row r="7770" spans="1:12" outlineLevel="2">
      <c r="A7770" s="21"/>
      <c r="B7770" s="12" t="str">
        <f>IFERROR(VLOOKUP(D7770,'[1]Перечень товаров'!$A$2:$I9525,2,0),"")</f>
        <v>т7</v>
      </c>
      <c r="C7770" s="12" t="str">
        <f>IFERROR(VLOOKUP(D7770,'[1]Перечень товаров'!$A$2:$I9525,3,0),"")</f>
        <v xml:space="preserve">Техника </v>
      </c>
      <c r="D7770" s="22" t="s">
        <v>34</v>
      </c>
      <c r="E7770" s="58"/>
      <c r="F7770" s="58"/>
      <c r="G7770" s="48">
        <v>3</v>
      </c>
      <c r="H7770" s="48"/>
      <c r="I7770" s="49"/>
      <c r="J7770" s="49"/>
      <c r="K7770" s="19"/>
      <c r="L7770" s="20"/>
    </row>
    <row r="7771" spans="1:12" outlineLevel="2">
      <c r="A7771" s="28"/>
      <c r="B7771" s="12" t="str">
        <f>IFERROR(VLOOKUP(D7771,'[1]Перечень товаров'!$A$2:$I9525,2,0),"")</f>
        <v>т161</v>
      </c>
      <c r="C7771" s="12" t="str">
        <f>IFERROR(VLOOKUP(D7771,'[1]Перечень товаров'!$A$2:$I9525,3,0),"")</f>
        <v xml:space="preserve">Техника </v>
      </c>
      <c r="D7771" s="29" t="s">
        <v>381</v>
      </c>
      <c r="E7771" s="30"/>
      <c r="F7771" s="30"/>
      <c r="G7771" s="59">
        <v>1</v>
      </c>
      <c r="H7771" s="59"/>
      <c r="I7771" s="60"/>
      <c r="J7771" s="60"/>
      <c r="K7771" s="19"/>
      <c r="L7771" s="20"/>
    </row>
    <row r="7772" spans="1:12" outlineLevel="2">
      <c r="A7772" s="113"/>
      <c r="B7772" s="12" t="str">
        <f>IFERROR(VLOOKUP(D7772,'[1]Перечень товаров'!$A$2:$I9525,2,0),"")</f>
        <v/>
      </c>
      <c r="C7772" s="12" t="str">
        <f>IFERROR(VLOOKUP(D7772,'[1]Перечень товаров'!$A$2:$I9525,3,0),"")</f>
        <v/>
      </c>
      <c r="D7772" s="114" t="s">
        <v>19</v>
      </c>
      <c r="E7772" s="115"/>
      <c r="F7772" s="115"/>
      <c r="G7772" s="59"/>
      <c r="H7772" s="59"/>
      <c r="I7772" s="60"/>
      <c r="J7772" s="60"/>
      <c r="K7772" s="19"/>
      <c r="L7772" s="20"/>
    </row>
    <row r="7773" spans="1:12" outlineLevel="2">
      <c r="A7773" s="34"/>
      <c r="B7773" s="12" t="str">
        <f>IFERROR(VLOOKUP(D7773,'[1]Перечень товаров'!$A$2:$I9525,2,0),"")</f>
        <v>м62</v>
      </c>
      <c r="C7773" s="12" t="str">
        <f>IFERROR(VLOOKUP(D7773,'[1]Перечень товаров'!$A$2:$I9525,3,0),"")</f>
        <v>Мебель</v>
      </c>
      <c r="D7773" s="35" t="s">
        <v>398</v>
      </c>
      <c r="E7773" s="88"/>
      <c r="F7773" s="88"/>
      <c r="G7773" s="59">
        <v>1</v>
      </c>
      <c r="H7773" s="59"/>
      <c r="I7773" s="60"/>
      <c r="J7773" s="60"/>
      <c r="K7773" s="19"/>
      <c r="L7773" s="20"/>
    </row>
    <row r="7774" spans="1:12" outlineLevel="2">
      <c r="A7774" s="34"/>
      <c r="B7774" s="12" t="str">
        <f>IFERROR(VLOOKUP(D7774,'[1]Перечень товаров'!$A$2:$I9525,2,0),"")</f>
        <v>м61</v>
      </c>
      <c r="C7774" s="12" t="str">
        <f>IFERROR(VLOOKUP(D7774,'[1]Перечень товаров'!$A$2:$I9525,3,0),"")</f>
        <v>Мебель</v>
      </c>
      <c r="D7774" s="35" t="s">
        <v>383</v>
      </c>
      <c r="E7774" s="88"/>
      <c r="F7774" s="88"/>
      <c r="G7774" s="59">
        <v>1</v>
      </c>
      <c r="H7774" s="59"/>
      <c r="I7774" s="60"/>
      <c r="J7774" s="60"/>
      <c r="K7774" s="19"/>
      <c r="L7774" s="20"/>
    </row>
    <row r="7775" spans="1:12" outlineLevel="2">
      <c r="A7775" s="34"/>
      <c r="B7775" s="12" t="str">
        <f>IFERROR(VLOOKUP(D7775,'[1]Перечень товаров'!$A$2:$I9525,2,0),"")</f>
        <v>м179</v>
      </c>
      <c r="C7775" s="12" t="str">
        <f>IFERROR(VLOOKUP(D7775,'[1]Перечень товаров'!$A$2:$I9525,3,0),"")</f>
        <v>Мебель</v>
      </c>
      <c r="D7775" s="35" t="s">
        <v>579</v>
      </c>
      <c r="E7775" s="88"/>
      <c r="F7775" s="88"/>
      <c r="G7775" s="59">
        <v>10</v>
      </c>
      <c r="H7775" s="59"/>
      <c r="I7775" s="60"/>
      <c r="J7775" s="60"/>
      <c r="K7775" s="19"/>
      <c r="L7775" s="20"/>
    </row>
    <row r="7776" spans="1:12" outlineLevel="2">
      <c r="A7776" s="34"/>
      <c r="B7776" s="12" t="str">
        <f>IFERROR(VLOOKUP(D7776,'[1]Перечень товаров'!$A$2:$I9525,2,0),"")</f>
        <v>м61</v>
      </c>
      <c r="C7776" s="12" t="str">
        <f>IFERROR(VLOOKUP(D7776,'[1]Перечень товаров'!$A$2:$I9525,3,0),"")</f>
        <v>Мебель</v>
      </c>
      <c r="D7776" s="35" t="s">
        <v>384</v>
      </c>
      <c r="E7776" s="88"/>
      <c r="F7776" s="88"/>
      <c r="G7776" s="59">
        <v>20</v>
      </c>
      <c r="H7776" s="59"/>
      <c r="I7776" s="60"/>
      <c r="J7776" s="60"/>
      <c r="K7776" s="19"/>
      <c r="L7776" s="20"/>
    </row>
    <row r="7777" spans="1:12" outlineLevel="2">
      <c r="A7777" s="21"/>
      <c r="B7777" s="12" t="str">
        <f>IFERROR(VLOOKUP(D7777,'[1]Перечень товаров'!$A$2:$I9525,2,0),"")</f>
        <v>м13</v>
      </c>
      <c r="C7777" s="12" t="str">
        <f>IFERROR(VLOOKUP(D7777,'[1]Перечень товаров'!$A$2:$I9525,3,0),"")</f>
        <v>Мебель</v>
      </c>
      <c r="D7777" s="22" t="s">
        <v>42</v>
      </c>
      <c r="E7777" s="58"/>
      <c r="F7777" s="58"/>
      <c r="G7777" s="24">
        <v>1</v>
      </c>
      <c r="H7777" s="24"/>
      <c r="I7777" s="25"/>
      <c r="J7777" s="25"/>
      <c r="K7777" s="19"/>
      <c r="L7777" s="20"/>
    </row>
    <row r="7778" spans="1:12" outlineLevel="2">
      <c r="A7778" s="21"/>
      <c r="B7778" s="12" t="str">
        <f>IFERROR(VLOOKUP(D7778,'[1]Перечень товаров'!$A$2:$I9525,2,0),"")</f>
        <v>м14</v>
      </c>
      <c r="C7778" s="12" t="str">
        <f>IFERROR(VLOOKUP(D7778,'[1]Перечень товаров'!$A$2:$I9525,3,0),"")</f>
        <v>Мебель</v>
      </c>
      <c r="D7778" s="22" t="s">
        <v>43</v>
      </c>
      <c r="E7778" s="58"/>
      <c r="F7778" s="58"/>
      <c r="G7778" s="24">
        <v>1</v>
      </c>
      <c r="H7778" s="24"/>
      <c r="I7778" s="25"/>
      <c r="J7778" s="25"/>
      <c r="K7778" s="19"/>
      <c r="L7778" s="20"/>
    </row>
    <row r="7779" spans="1:12" outlineLevel="2">
      <c r="A7779" s="21"/>
      <c r="B7779" s="12" t="str">
        <f>IFERROR(VLOOKUP(D7779,'[1]Перечень товаров'!$A$2:$I9525,2,0),"")</f>
        <v>п2</v>
      </c>
      <c r="C7779" s="12" t="str">
        <f>IFERROR(VLOOKUP(D7779,'[1]Перечень товаров'!$A$2:$I9525,3,0),"")</f>
        <v>Прочее</v>
      </c>
      <c r="D7779" s="22" t="s">
        <v>46</v>
      </c>
      <c r="E7779" s="58"/>
      <c r="F7779" s="58"/>
      <c r="G7779" s="24">
        <v>1</v>
      </c>
      <c r="H7779" s="24"/>
      <c r="I7779" s="25"/>
      <c r="J7779" s="25"/>
      <c r="K7779" s="19"/>
      <c r="L7779" s="20"/>
    </row>
    <row r="7780" spans="1:12" ht="31.5" outlineLevel="2">
      <c r="A7780" s="155"/>
      <c r="B7780" s="12" t="str">
        <f>IFERROR(VLOOKUP(D7780,'[1]Перечень товаров'!$A$2:$I9525,2,0),"")</f>
        <v>м21</v>
      </c>
      <c r="C7780" s="12" t="str">
        <f>IFERROR(VLOOKUP(D7780,'[1]Перечень товаров'!$A$2:$I9525,3,0),"")</f>
        <v>Мебель</v>
      </c>
      <c r="D7780" s="156" t="s">
        <v>58</v>
      </c>
      <c r="E7780" s="58"/>
      <c r="F7780" s="58"/>
      <c r="G7780" s="24">
        <v>1</v>
      </c>
      <c r="H7780" s="24"/>
      <c r="I7780" s="25"/>
      <c r="J7780" s="25"/>
      <c r="K7780" s="19"/>
      <c r="L7780" s="20"/>
    </row>
    <row r="7781" spans="1:12" outlineLevel="2">
      <c r="A7781" s="116"/>
      <c r="B7781" s="12" t="str">
        <f>IFERROR(VLOOKUP(D7781,'[1]Перечень товаров'!$A$2:$I9525,2,0),"")</f>
        <v/>
      </c>
      <c r="C7781" s="12" t="str">
        <f>IFERROR(VLOOKUP(D7781,'[1]Перечень товаров'!$A$2:$I9525,3,0),"")</f>
        <v/>
      </c>
      <c r="D7781" s="117" t="s">
        <v>391</v>
      </c>
      <c r="E7781" s="217"/>
      <c r="F7781" s="217"/>
      <c r="G7781" s="59"/>
      <c r="H7781" s="59"/>
      <c r="I7781" s="60"/>
      <c r="J7781" s="60"/>
      <c r="K7781" s="19"/>
      <c r="L7781" s="20"/>
    </row>
    <row r="7782" spans="1:12" outlineLevel="2">
      <c r="A7782" s="28"/>
      <c r="B7782" s="12" t="str">
        <f>IFERROR(VLOOKUP(D7782,'[1]Перечень товаров'!$A$2:$I9525,2,0),"")</f>
        <v>мм1</v>
      </c>
      <c r="C7782" s="12" t="str">
        <f>IFERROR(VLOOKUP(D7782,'[1]Перечень товаров'!$A$2:$I9525,3,0),"")</f>
        <v>Мебель муз</v>
      </c>
      <c r="D7782" s="29" t="s">
        <v>1134</v>
      </c>
      <c r="E7782" s="30"/>
      <c r="F7782" s="30"/>
      <c r="G7782" s="59">
        <v>1</v>
      </c>
      <c r="H7782" s="59"/>
      <c r="I7782" s="60"/>
      <c r="J7782" s="60"/>
      <c r="K7782" s="19"/>
      <c r="L7782" s="20"/>
    </row>
    <row r="7783" spans="1:12" ht="47.25" outlineLevel="2">
      <c r="A7783" s="28"/>
      <c r="B7783" s="12" t="str">
        <f>IFERROR(VLOOKUP(D7783,'[1]Перечень товаров'!$A$2:$I9525,2,0),"")</f>
        <v>пм168</v>
      </c>
      <c r="C7783" s="12" t="str">
        <f>IFERROR(VLOOKUP(D7783,'[1]Перечень товаров'!$A$2:$I9525,3,0),"")</f>
        <v>прочее муз</v>
      </c>
      <c r="D7783" s="29" t="s">
        <v>1135</v>
      </c>
      <c r="E7783" s="30"/>
      <c r="F7783" s="30"/>
      <c r="G7783" s="59">
        <v>4</v>
      </c>
      <c r="H7783" s="59"/>
      <c r="I7783" s="60"/>
      <c r="J7783" s="60"/>
      <c r="K7783" s="19"/>
      <c r="L7783" s="20"/>
    </row>
    <row r="7784" spans="1:12" outlineLevel="2">
      <c r="A7784" s="28"/>
      <c r="B7784" s="12" t="str">
        <f>IFERROR(VLOOKUP(D7784,'[1]Перечень товаров'!$A$2:$I9525,2,0),"")</f>
        <v>пм167</v>
      </c>
      <c r="C7784" s="12" t="str">
        <f>IFERROR(VLOOKUP(D7784,'[1]Перечень товаров'!$A$2:$I9525,3,0),"")</f>
        <v>прочее муз</v>
      </c>
      <c r="D7784" s="29" t="s">
        <v>1136</v>
      </c>
      <c r="E7784" s="30"/>
      <c r="F7784" s="30"/>
      <c r="G7784" s="59">
        <v>1</v>
      </c>
      <c r="H7784" s="59"/>
      <c r="I7784" s="60"/>
      <c r="J7784" s="60"/>
      <c r="K7784" s="19"/>
      <c r="L7784" s="20"/>
    </row>
    <row r="7785" spans="1:12" ht="31.5" outlineLevel="2">
      <c r="A7785" s="28"/>
      <c r="B7785" s="12" t="str">
        <f>IFERROR(VLOOKUP(D7785,'[1]Перечень товаров'!$A$2:$I9525,2,0),"")</f>
        <v>пм166</v>
      </c>
      <c r="C7785" s="12" t="str">
        <f>IFERROR(VLOOKUP(D7785,'[1]Перечень товаров'!$A$2:$I9525,3,0),"")</f>
        <v>прочее муз</v>
      </c>
      <c r="D7785" s="29" t="s">
        <v>1137</v>
      </c>
      <c r="E7785" s="30"/>
      <c r="F7785" s="30"/>
      <c r="G7785" s="59">
        <v>1</v>
      </c>
      <c r="H7785" s="59"/>
      <c r="I7785" s="60"/>
      <c r="J7785" s="60"/>
      <c r="K7785" s="19"/>
      <c r="L7785" s="20"/>
    </row>
    <row r="7786" spans="1:12" ht="31.5" outlineLevel="2">
      <c r="A7786" s="28"/>
      <c r="B7786" s="12" t="str">
        <f>IFERROR(VLOOKUP(D7786,'[1]Перечень товаров'!$A$2:$I9525,2,0),"")</f>
        <v>т130</v>
      </c>
      <c r="C7786" s="12" t="str">
        <f>IFERROR(VLOOKUP(D7786,'[1]Перечень товаров'!$A$2:$I9525,3,0),"")</f>
        <v>Техника</v>
      </c>
      <c r="D7786" s="29" t="s">
        <v>1138</v>
      </c>
      <c r="E7786" s="30"/>
      <c r="F7786" s="30"/>
      <c r="G7786" s="59">
        <v>1</v>
      </c>
      <c r="H7786" s="59"/>
      <c r="I7786" s="60"/>
      <c r="J7786" s="60"/>
      <c r="K7786" s="19"/>
      <c r="L7786" s="20"/>
    </row>
    <row r="7787" spans="1:12" outlineLevel="2">
      <c r="A7787" s="54"/>
      <c r="B7787" s="12" t="str">
        <f>IFERROR(VLOOKUP(D7787,'[1]Перечень товаров'!$A$2:$I9525,2,0),"")</f>
        <v/>
      </c>
      <c r="C7787" s="12" t="str">
        <f>IFERROR(VLOOKUP(D7787,'[1]Перечень товаров'!$A$2:$I9525,3,0),"")</f>
        <v/>
      </c>
      <c r="D7787" s="55" t="s">
        <v>45</v>
      </c>
      <c r="E7787" s="217"/>
      <c r="F7787" s="217"/>
      <c r="G7787" s="59"/>
      <c r="H7787" s="59"/>
      <c r="I7787" s="60"/>
      <c r="J7787" s="60"/>
      <c r="K7787" s="19"/>
      <c r="L7787" s="20"/>
    </row>
    <row r="7788" spans="1:12" outlineLevel="2">
      <c r="A7788" s="43"/>
      <c r="B7788" s="12" t="str">
        <f>IFERROR(VLOOKUP(D7788,'[1]Перечень товаров'!$A$2:$I9525,2,0),"")</f>
        <v>м7</v>
      </c>
      <c r="C7788" s="12" t="str">
        <f>IFERROR(VLOOKUP(D7788,'[1]Перечень товаров'!$A$2:$I9525,3,0),"")</f>
        <v>Мебель</v>
      </c>
      <c r="D7788" s="44" t="s">
        <v>24</v>
      </c>
      <c r="E7788" s="30"/>
      <c r="F7788" s="30"/>
      <c r="G7788" s="59">
        <v>1</v>
      </c>
      <c r="H7788" s="59"/>
      <c r="I7788" s="60"/>
      <c r="J7788" s="60"/>
      <c r="K7788" s="19"/>
      <c r="L7788" s="20"/>
    </row>
    <row r="7789" spans="1:12" outlineLevel="2">
      <c r="A7789" s="43"/>
      <c r="B7789" s="12" t="str">
        <f>IFERROR(VLOOKUP(D7789,'[1]Перечень товаров'!$A$2:$I9525,2,0),"")</f>
        <v>п1</v>
      </c>
      <c r="C7789" s="12" t="str">
        <f>IFERROR(VLOOKUP(D7789,'[1]Перечень товаров'!$A$2:$I9525,3,0),"")</f>
        <v>Прочее</v>
      </c>
      <c r="D7789" s="44" t="s">
        <v>37</v>
      </c>
      <c r="E7789" s="30"/>
      <c r="F7789" s="30"/>
      <c r="G7789" s="59">
        <v>1</v>
      </c>
      <c r="H7789" s="59"/>
      <c r="I7789" s="60"/>
      <c r="J7789" s="60"/>
      <c r="K7789" s="19"/>
      <c r="L7789" s="20"/>
    </row>
    <row r="7790" spans="1:12" outlineLevel="1">
      <c r="A7790" s="21"/>
      <c r="B7790" s="12" t="str">
        <f>IFERROR(VLOOKUP(D7790,'[1]Перечень товаров'!$A$2:$I9525,2,0),"")</f>
        <v/>
      </c>
      <c r="C7790" s="12" t="str">
        <f>IFERROR(VLOOKUP(D7790,'[1]Перечень товаров'!$A$2:$I9525,3,0),"")</f>
        <v/>
      </c>
      <c r="D7790" s="22" t="s">
        <v>311</v>
      </c>
      <c r="E7790" s="23" t="s">
        <v>1840</v>
      </c>
      <c r="F7790" s="23"/>
      <c r="G7790" s="24"/>
      <c r="H7790" s="24"/>
      <c r="I7790" s="25"/>
      <c r="J7790" s="25"/>
      <c r="K7790" s="19"/>
      <c r="L7790" s="20"/>
    </row>
    <row r="7791" spans="1:12" ht="12.75" outlineLevel="1">
      <c r="A7791" s="11"/>
      <c r="B7791" s="12" t="str">
        <f>IFERROR(VLOOKUP(D7791,'[1]Перечень товаров'!$A$2:$I9525,2,0),"")</f>
        <v/>
      </c>
      <c r="C7791" s="12" t="str">
        <f>IFERROR(VLOOKUP(D7791,'[1]Перечень товаров'!$A$2:$I9525,3,0),"")</f>
        <v/>
      </c>
      <c r="D7791" s="27" t="s">
        <v>371</v>
      </c>
      <c r="E7791" s="99">
        <v>46148</v>
      </c>
      <c r="F7791" s="99"/>
      <c r="G7791" s="100"/>
      <c r="H7791" s="100"/>
      <c r="I7791" s="101"/>
      <c r="J7791" s="101"/>
      <c r="K7791" s="19"/>
      <c r="L7791" s="20"/>
    </row>
    <row r="7792" spans="1:12" outlineLevel="2">
      <c r="A7792" s="22"/>
      <c r="B7792" s="12" t="str">
        <f>IFERROR(VLOOKUP(D7792,'[1]Перечень товаров'!$A$2:$I9525,2,0),"")</f>
        <v>п25</v>
      </c>
      <c r="C7792" s="12" t="str">
        <f>IFERROR(VLOOKUP(D7792,'[1]Перечень товаров'!$A$2:$I9525,3,0),"")</f>
        <v>Прочее</v>
      </c>
      <c r="D7792" s="22" t="s">
        <v>360</v>
      </c>
      <c r="E7792" s="102"/>
      <c r="F7792" s="102"/>
      <c r="G7792" s="48">
        <v>3</v>
      </c>
      <c r="H7792" s="48"/>
      <c r="I7792" s="49"/>
      <c r="J7792" s="49"/>
      <c r="K7792" s="33"/>
      <c r="L7792" s="20"/>
    </row>
    <row r="7793" spans="1:12" outlineLevel="2">
      <c r="A7793" s="21"/>
      <c r="B7793" s="12" t="str">
        <f>IFERROR(VLOOKUP(D7793,'[1]Перечень товаров'!$A$2:$I9525,2,0),"")</f>
        <v>п26</v>
      </c>
      <c r="C7793" s="12" t="str">
        <f>IFERROR(VLOOKUP(D7793,'[1]Перечень товаров'!$A$2:$I9525,3,0),"")</f>
        <v>Прочее</v>
      </c>
      <c r="D7793" s="22" t="s">
        <v>361</v>
      </c>
      <c r="E7793" s="102"/>
      <c r="F7793" s="102"/>
      <c r="G7793" s="48">
        <v>2</v>
      </c>
      <c r="H7793" s="48"/>
      <c r="I7793" s="49"/>
      <c r="J7793" s="49"/>
      <c r="K7793" s="33"/>
      <c r="L7793" s="20"/>
    </row>
    <row r="7794" spans="1:12" outlineLevel="2">
      <c r="A7794" s="21"/>
      <c r="B7794" s="12" t="str">
        <f>IFERROR(VLOOKUP(D7794,'[1]Перечень товаров'!$A$2:$I9525,2,0),"")</f>
        <v>п27</v>
      </c>
      <c r="C7794" s="12" t="str">
        <f>IFERROR(VLOOKUP(D7794,'[1]Перечень товаров'!$A$2:$I9525,3,0),"")</f>
        <v>Прочее</v>
      </c>
      <c r="D7794" s="22" t="s">
        <v>362</v>
      </c>
      <c r="E7794" s="102"/>
      <c r="F7794" s="102"/>
      <c r="G7794" s="48">
        <v>2</v>
      </c>
      <c r="H7794" s="48"/>
      <c r="I7794" s="49"/>
      <c r="J7794" s="49"/>
      <c r="K7794" s="33"/>
      <c r="L7794" s="20"/>
    </row>
    <row r="7795" spans="1:12" outlineLevel="2">
      <c r="A7795" s="21"/>
      <c r="B7795" s="12" t="str">
        <f>IFERROR(VLOOKUP(D7795,'[1]Перечень товаров'!$A$2:$I9525,2,0),"")</f>
        <v>п28</v>
      </c>
      <c r="C7795" s="12" t="str">
        <f>IFERROR(VLOOKUP(D7795,'[1]Перечень товаров'!$A$2:$I9525,3,0),"")</f>
        <v>Прочее</v>
      </c>
      <c r="D7795" s="22" t="s">
        <v>363</v>
      </c>
      <c r="E7795" s="102"/>
      <c r="F7795" s="102"/>
      <c r="G7795" s="48">
        <v>1</v>
      </c>
      <c r="H7795" s="48"/>
      <c r="I7795" s="49"/>
      <c r="J7795" s="49"/>
      <c r="K7795" s="33"/>
      <c r="L7795" s="20"/>
    </row>
    <row r="7796" spans="1:12" outlineLevel="2">
      <c r="A7796" s="21"/>
      <c r="B7796" s="12" t="str">
        <f>IFERROR(VLOOKUP(D7796,'[1]Перечень товаров'!$A$2:$I9525,2,0),"")</f>
        <v>п29</v>
      </c>
      <c r="C7796" s="12" t="str">
        <f>IFERROR(VLOOKUP(D7796,'[1]Перечень товаров'!$A$2:$I9525,3,0),"")</f>
        <v>Прочее</v>
      </c>
      <c r="D7796" s="22" t="s">
        <v>364</v>
      </c>
      <c r="E7796" s="102"/>
      <c r="F7796" s="102"/>
      <c r="G7796" s="48">
        <v>6</v>
      </c>
      <c r="H7796" s="48"/>
      <c r="I7796" s="49"/>
      <c r="J7796" s="49"/>
      <c r="K7796" s="33"/>
      <c r="L7796" s="20"/>
    </row>
    <row r="7797" spans="1:12" outlineLevel="2">
      <c r="A7797" s="21"/>
      <c r="B7797" s="12" t="str">
        <f>IFERROR(VLOOKUP(D7797,'[1]Перечень товаров'!$A$2:$I9525,2,0),"")</f>
        <v>п30</v>
      </c>
      <c r="C7797" s="12" t="str">
        <f>IFERROR(VLOOKUP(D7797,'[1]Перечень товаров'!$A$2:$I9525,3,0),"")</f>
        <v>Прочее</v>
      </c>
      <c r="D7797" s="22" t="s">
        <v>365</v>
      </c>
      <c r="E7797" s="102"/>
      <c r="F7797" s="102"/>
      <c r="G7797" s="48">
        <v>2</v>
      </c>
      <c r="H7797" s="48"/>
      <c r="I7797" s="49"/>
      <c r="J7797" s="49"/>
      <c r="K7797" s="33"/>
      <c r="L7797" s="20"/>
    </row>
    <row r="7798" spans="1:12" ht="31.5" outlineLevel="2">
      <c r="A7798" s="21"/>
      <c r="B7798" s="12" t="str">
        <f>IFERROR(VLOOKUP(D7798,'[1]Перечень товаров'!$A$2:$I9525,2,0),"")</f>
        <v>п31</v>
      </c>
      <c r="C7798" s="12" t="str">
        <f>IFERROR(VLOOKUP(D7798,'[1]Перечень товаров'!$A$2:$I9525,3,0),"")</f>
        <v>Прочее</v>
      </c>
      <c r="D7798" s="22" t="s">
        <v>366</v>
      </c>
      <c r="E7798" s="102"/>
      <c r="F7798" s="102"/>
      <c r="G7798" s="48">
        <v>1</v>
      </c>
      <c r="H7798" s="48"/>
      <c r="I7798" s="49"/>
      <c r="J7798" s="49"/>
      <c r="K7798" s="33"/>
      <c r="L7798" s="20"/>
    </row>
    <row r="7799" spans="1:12" ht="31.5" outlineLevel="2">
      <c r="A7799" s="21"/>
      <c r="B7799" s="12" t="str">
        <f>IFERROR(VLOOKUP(D7799,'[1]Перечень товаров'!$A$2:$I9525,2,0),"")</f>
        <v>п32</v>
      </c>
      <c r="C7799" s="12" t="str">
        <f>IFERROR(VLOOKUP(D7799,'[1]Перечень товаров'!$A$2:$I9525,3,0),"")</f>
        <v>Прочее</v>
      </c>
      <c r="D7799" s="22" t="s">
        <v>367</v>
      </c>
      <c r="E7799" s="102"/>
      <c r="F7799" s="102"/>
      <c r="G7799" s="48">
        <v>2</v>
      </c>
      <c r="H7799" s="48"/>
      <c r="I7799" s="49"/>
      <c r="J7799" s="49"/>
      <c r="K7799" s="33"/>
      <c r="L7799" s="20"/>
    </row>
    <row r="7800" spans="1:12" ht="12.75" outlineLevel="1">
      <c r="A7800" s="11"/>
      <c r="B7800" s="12" t="str">
        <f>IFERROR(VLOOKUP(D7800,'[1]Перечень товаров'!$A$2:$I9525,2,0),"")</f>
        <v/>
      </c>
      <c r="C7800" s="12" t="str">
        <f>IFERROR(VLOOKUP(D7800,'[1]Перечень товаров'!$A$2:$I9525,3,0),"")</f>
        <v/>
      </c>
      <c r="D7800" s="27" t="s">
        <v>374</v>
      </c>
      <c r="E7800" s="99">
        <v>46206</v>
      </c>
      <c r="F7800" s="99"/>
      <c r="G7800" s="100"/>
      <c r="H7800" s="100"/>
      <c r="I7800" s="101"/>
      <c r="J7800" s="101"/>
      <c r="K7800" s="19"/>
      <c r="L7800" s="20"/>
    </row>
    <row r="7801" spans="1:12" outlineLevel="2">
      <c r="A7801" s="22"/>
      <c r="B7801" s="12" t="str">
        <f>IFERROR(VLOOKUP(D7801,'[1]Перечень товаров'!$A$2:$I9525,2,0),"")</f>
        <v>п25</v>
      </c>
      <c r="C7801" s="12" t="str">
        <f>IFERROR(VLOOKUP(D7801,'[1]Перечень товаров'!$A$2:$I9525,3,0),"")</f>
        <v>Прочее</v>
      </c>
      <c r="D7801" s="22" t="s">
        <v>360</v>
      </c>
      <c r="E7801" s="102"/>
      <c r="F7801" s="102"/>
      <c r="G7801" s="48">
        <v>3</v>
      </c>
      <c r="H7801" s="48"/>
      <c r="I7801" s="49"/>
      <c r="J7801" s="49"/>
      <c r="K7801" s="19"/>
      <c r="L7801" s="20"/>
    </row>
    <row r="7802" spans="1:12" outlineLevel="2">
      <c r="A7802" s="21"/>
      <c r="B7802" s="12" t="str">
        <f>IFERROR(VLOOKUP(D7802,'[1]Перечень товаров'!$A$2:$I9525,2,0),"")</f>
        <v>п26</v>
      </c>
      <c r="C7802" s="12" t="str">
        <f>IFERROR(VLOOKUP(D7802,'[1]Перечень товаров'!$A$2:$I9525,3,0),"")</f>
        <v>Прочее</v>
      </c>
      <c r="D7802" s="22" t="s">
        <v>361</v>
      </c>
      <c r="E7802" s="102"/>
      <c r="F7802" s="102"/>
      <c r="G7802" s="48">
        <v>2</v>
      </c>
      <c r="H7802" s="48"/>
      <c r="I7802" s="49"/>
      <c r="J7802" s="49"/>
      <c r="K7802" s="19"/>
      <c r="L7802" s="20"/>
    </row>
    <row r="7803" spans="1:12" outlineLevel="2">
      <c r="A7803" s="21"/>
      <c r="B7803" s="12" t="str">
        <f>IFERROR(VLOOKUP(D7803,'[1]Перечень товаров'!$A$2:$I9525,2,0),"")</f>
        <v>п27</v>
      </c>
      <c r="C7803" s="12" t="str">
        <f>IFERROR(VLOOKUP(D7803,'[1]Перечень товаров'!$A$2:$I9525,3,0),"")</f>
        <v>Прочее</v>
      </c>
      <c r="D7803" s="22" t="s">
        <v>362</v>
      </c>
      <c r="E7803" s="102"/>
      <c r="F7803" s="102"/>
      <c r="G7803" s="48">
        <v>2</v>
      </c>
      <c r="H7803" s="48"/>
      <c r="I7803" s="49"/>
      <c r="J7803" s="49"/>
      <c r="K7803" s="19"/>
      <c r="L7803" s="20"/>
    </row>
    <row r="7804" spans="1:12" outlineLevel="2">
      <c r="A7804" s="21"/>
      <c r="B7804" s="12" t="str">
        <f>IFERROR(VLOOKUP(D7804,'[1]Перечень товаров'!$A$2:$I9525,2,0),"")</f>
        <v>п28</v>
      </c>
      <c r="C7804" s="12" t="str">
        <f>IFERROR(VLOOKUP(D7804,'[1]Перечень товаров'!$A$2:$I9525,3,0),"")</f>
        <v>Прочее</v>
      </c>
      <c r="D7804" s="22" t="s">
        <v>363</v>
      </c>
      <c r="E7804" s="102"/>
      <c r="F7804" s="102"/>
      <c r="G7804" s="48">
        <v>1</v>
      </c>
      <c r="H7804" s="48"/>
      <c r="I7804" s="49"/>
      <c r="J7804" s="49"/>
      <c r="K7804" s="19"/>
      <c r="L7804" s="20"/>
    </row>
    <row r="7805" spans="1:12" outlineLevel="2">
      <c r="A7805" s="21"/>
      <c r="B7805" s="12" t="str">
        <f>IFERROR(VLOOKUP(D7805,'[1]Перечень товаров'!$A$2:$I9525,2,0),"")</f>
        <v>п29</v>
      </c>
      <c r="C7805" s="12" t="str">
        <f>IFERROR(VLOOKUP(D7805,'[1]Перечень товаров'!$A$2:$I9525,3,0),"")</f>
        <v>Прочее</v>
      </c>
      <c r="D7805" s="22" t="s">
        <v>364</v>
      </c>
      <c r="E7805" s="102"/>
      <c r="F7805" s="102"/>
      <c r="G7805" s="48">
        <v>6</v>
      </c>
      <c r="H7805" s="48"/>
      <c r="I7805" s="49"/>
      <c r="J7805" s="49"/>
      <c r="K7805" s="19"/>
      <c r="L7805" s="20"/>
    </row>
    <row r="7806" spans="1:12" outlineLevel="2">
      <c r="A7806" s="21"/>
      <c r="B7806" s="12" t="str">
        <f>IFERROR(VLOOKUP(D7806,'[1]Перечень товаров'!$A$2:$I9525,2,0),"")</f>
        <v>п30</v>
      </c>
      <c r="C7806" s="12" t="str">
        <f>IFERROR(VLOOKUP(D7806,'[1]Перечень товаров'!$A$2:$I9525,3,0),"")</f>
        <v>Прочее</v>
      </c>
      <c r="D7806" s="22" t="s">
        <v>365</v>
      </c>
      <c r="E7806" s="102"/>
      <c r="F7806" s="102"/>
      <c r="G7806" s="48">
        <v>2</v>
      </c>
      <c r="H7806" s="48"/>
      <c r="I7806" s="49"/>
      <c r="J7806" s="49"/>
      <c r="K7806" s="19"/>
      <c r="L7806" s="20"/>
    </row>
    <row r="7807" spans="1:12" ht="31.5" outlineLevel="2">
      <c r="A7807" s="21"/>
      <c r="B7807" s="12" t="str">
        <f>IFERROR(VLOOKUP(D7807,'[1]Перечень товаров'!$A$2:$I9525,2,0),"")</f>
        <v>п31</v>
      </c>
      <c r="C7807" s="12" t="str">
        <f>IFERROR(VLOOKUP(D7807,'[1]Перечень товаров'!$A$2:$I9525,3,0),"")</f>
        <v>Прочее</v>
      </c>
      <c r="D7807" s="22" t="s">
        <v>366</v>
      </c>
      <c r="E7807" s="102"/>
      <c r="F7807" s="102"/>
      <c r="G7807" s="48">
        <v>1</v>
      </c>
      <c r="H7807" s="48"/>
      <c r="I7807" s="49"/>
      <c r="J7807" s="49"/>
      <c r="K7807" s="19"/>
      <c r="L7807" s="20"/>
    </row>
    <row r="7808" spans="1:12" ht="31.5" outlineLevel="2">
      <c r="A7808" s="21"/>
      <c r="B7808" s="12" t="str">
        <f>IFERROR(VLOOKUP(D7808,'[1]Перечень товаров'!$A$2:$I9525,2,0),"")</f>
        <v>п32</v>
      </c>
      <c r="C7808" s="12" t="str">
        <f>IFERROR(VLOOKUP(D7808,'[1]Перечень товаров'!$A$2:$I9525,3,0),"")</f>
        <v>Прочее</v>
      </c>
      <c r="D7808" s="22" t="s">
        <v>367</v>
      </c>
      <c r="E7808" s="102"/>
      <c r="F7808" s="102"/>
      <c r="G7808" s="48">
        <v>2</v>
      </c>
      <c r="H7808" s="48"/>
      <c r="I7808" s="49"/>
      <c r="J7808" s="49"/>
      <c r="K7808" s="19"/>
      <c r="L7808" s="20"/>
    </row>
    <row r="7809" spans="1:12" ht="12.75" outlineLevel="1">
      <c r="A7809" s="11"/>
      <c r="B7809" s="12" t="str">
        <f>IFERROR(VLOOKUP(D7809,'[1]Перечень товаров'!$A$2:$I9525,2,0),"")</f>
        <v/>
      </c>
      <c r="C7809" s="12" t="str">
        <f>IFERROR(VLOOKUP(D7809,'[1]Перечень товаров'!$A$2:$I9525,3,0),"")</f>
        <v/>
      </c>
      <c r="D7809" s="27" t="s">
        <v>372</v>
      </c>
      <c r="E7809" s="99">
        <v>46240</v>
      </c>
      <c r="F7809" s="99"/>
      <c r="G7809" s="100"/>
      <c r="H7809" s="100"/>
      <c r="I7809" s="101"/>
      <c r="J7809" s="101"/>
      <c r="K7809" s="19"/>
      <c r="L7809" s="20"/>
    </row>
    <row r="7810" spans="1:12" outlineLevel="2">
      <c r="A7810" s="22"/>
      <c r="B7810" s="12" t="str">
        <f>IFERROR(VLOOKUP(D7810,'[1]Перечень товаров'!$A$2:$I9525,2,0),"")</f>
        <v>п25</v>
      </c>
      <c r="C7810" s="12" t="str">
        <f>IFERROR(VLOOKUP(D7810,'[1]Перечень товаров'!$A$2:$I9525,3,0),"")</f>
        <v>Прочее</v>
      </c>
      <c r="D7810" s="22" t="s">
        <v>360</v>
      </c>
      <c r="E7810" s="102"/>
      <c r="F7810" s="102"/>
      <c r="G7810" s="48">
        <v>3</v>
      </c>
      <c r="H7810" s="48"/>
      <c r="I7810" s="49"/>
      <c r="J7810" s="49"/>
      <c r="K7810" s="33"/>
      <c r="L7810" s="20"/>
    </row>
    <row r="7811" spans="1:12" outlineLevel="2">
      <c r="A7811" s="21"/>
      <c r="B7811" s="12" t="str">
        <f>IFERROR(VLOOKUP(D7811,'[1]Перечень товаров'!$A$2:$I9525,2,0),"")</f>
        <v>п26</v>
      </c>
      <c r="C7811" s="12" t="str">
        <f>IFERROR(VLOOKUP(D7811,'[1]Перечень товаров'!$A$2:$I9525,3,0),"")</f>
        <v>Прочее</v>
      </c>
      <c r="D7811" s="22" t="s">
        <v>361</v>
      </c>
      <c r="E7811" s="102"/>
      <c r="F7811" s="102"/>
      <c r="G7811" s="48">
        <v>2</v>
      </c>
      <c r="H7811" s="48"/>
      <c r="I7811" s="49"/>
      <c r="J7811" s="49"/>
      <c r="K7811" s="33"/>
      <c r="L7811" s="20"/>
    </row>
    <row r="7812" spans="1:12" outlineLevel="2">
      <c r="A7812" s="21"/>
      <c r="B7812" s="12" t="str">
        <f>IFERROR(VLOOKUP(D7812,'[1]Перечень товаров'!$A$2:$I9525,2,0),"")</f>
        <v>п27</v>
      </c>
      <c r="C7812" s="12" t="str">
        <f>IFERROR(VLOOKUP(D7812,'[1]Перечень товаров'!$A$2:$I9525,3,0),"")</f>
        <v>Прочее</v>
      </c>
      <c r="D7812" s="22" t="s">
        <v>362</v>
      </c>
      <c r="E7812" s="102"/>
      <c r="F7812" s="102"/>
      <c r="G7812" s="48">
        <v>2</v>
      </c>
      <c r="H7812" s="48"/>
      <c r="I7812" s="49"/>
      <c r="J7812" s="49"/>
      <c r="K7812" s="33"/>
      <c r="L7812" s="20"/>
    </row>
    <row r="7813" spans="1:12" outlineLevel="2">
      <c r="A7813" s="21"/>
      <c r="B7813" s="12" t="str">
        <f>IFERROR(VLOOKUP(D7813,'[1]Перечень товаров'!$A$2:$I9525,2,0),"")</f>
        <v>п28</v>
      </c>
      <c r="C7813" s="12" t="str">
        <f>IFERROR(VLOOKUP(D7813,'[1]Перечень товаров'!$A$2:$I9525,3,0),"")</f>
        <v>Прочее</v>
      </c>
      <c r="D7813" s="22" t="s">
        <v>363</v>
      </c>
      <c r="E7813" s="102"/>
      <c r="F7813" s="102"/>
      <c r="G7813" s="48">
        <v>1</v>
      </c>
      <c r="H7813" s="48"/>
      <c r="I7813" s="49"/>
      <c r="J7813" s="49"/>
      <c r="K7813" s="33"/>
      <c r="L7813" s="20"/>
    </row>
    <row r="7814" spans="1:12" outlineLevel="2">
      <c r="A7814" s="21"/>
      <c r="B7814" s="12" t="str">
        <f>IFERROR(VLOOKUP(D7814,'[1]Перечень товаров'!$A$2:$I9525,2,0),"")</f>
        <v>п29</v>
      </c>
      <c r="C7814" s="12" t="str">
        <f>IFERROR(VLOOKUP(D7814,'[1]Перечень товаров'!$A$2:$I9525,3,0),"")</f>
        <v>Прочее</v>
      </c>
      <c r="D7814" s="22" t="s">
        <v>364</v>
      </c>
      <c r="E7814" s="102"/>
      <c r="F7814" s="102"/>
      <c r="G7814" s="48">
        <v>6</v>
      </c>
      <c r="H7814" s="48"/>
      <c r="I7814" s="49"/>
      <c r="J7814" s="49"/>
      <c r="K7814" s="33"/>
      <c r="L7814" s="20"/>
    </row>
    <row r="7815" spans="1:12" outlineLevel="2">
      <c r="A7815" s="21"/>
      <c r="B7815" s="12" t="str">
        <f>IFERROR(VLOOKUP(D7815,'[1]Перечень товаров'!$A$2:$I9525,2,0),"")</f>
        <v>п30</v>
      </c>
      <c r="C7815" s="12" t="str">
        <f>IFERROR(VLOOKUP(D7815,'[1]Перечень товаров'!$A$2:$I9525,3,0),"")</f>
        <v>Прочее</v>
      </c>
      <c r="D7815" s="22" t="s">
        <v>365</v>
      </c>
      <c r="E7815" s="102"/>
      <c r="F7815" s="102"/>
      <c r="G7815" s="48">
        <v>2</v>
      </c>
      <c r="H7815" s="48"/>
      <c r="I7815" s="49"/>
      <c r="J7815" s="49"/>
      <c r="K7815" s="33"/>
      <c r="L7815" s="20"/>
    </row>
    <row r="7816" spans="1:12" ht="31.5" outlineLevel="2">
      <c r="A7816" s="21"/>
      <c r="B7816" s="12" t="str">
        <f>IFERROR(VLOOKUP(D7816,'[1]Перечень товаров'!$A$2:$I9525,2,0),"")</f>
        <v>п31</v>
      </c>
      <c r="C7816" s="12" t="str">
        <f>IFERROR(VLOOKUP(D7816,'[1]Перечень товаров'!$A$2:$I9525,3,0),"")</f>
        <v>Прочее</v>
      </c>
      <c r="D7816" s="22" t="s">
        <v>366</v>
      </c>
      <c r="E7816" s="102"/>
      <c r="F7816" s="102"/>
      <c r="G7816" s="48">
        <v>1</v>
      </c>
      <c r="H7816" s="48"/>
      <c r="I7816" s="49"/>
      <c r="J7816" s="49"/>
      <c r="K7816" s="33"/>
      <c r="L7816" s="20"/>
    </row>
    <row r="7817" spans="1:12" ht="31.5" outlineLevel="2">
      <c r="A7817" s="21"/>
      <c r="B7817" s="12" t="str">
        <f>IFERROR(VLOOKUP(D7817,'[1]Перечень товаров'!$A$2:$I9525,2,0),"")</f>
        <v>п32</v>
      </c>
      <c r="C7817" s="12" t="str">
        <f>IFERROR(VLOOKUP(D7817,'[1]Перечень товаров'!$A$2:$I9525,3,0),"")</f>
        <v>Прочее</v>
      </c>
      <c r="D7817" s="22" t="s">
        <v>367</v>
      </c>
      <c r="E7817" s="102"/>
      <c r="F7817" s="102"/>
      <c r="G7817" s="48">
        <v>2</v>
      </c>
      <c r="H7817" s="48"/>
      <c r="I7817" s="49"/>
      <c r="J7817" s="49"/>
      <c r="K7817" s="33"/>
      <c r="L7817" s="20"/>
    </row>
    <row r="7818" spans="1:12" outlineLevel="1">
      <c r="A7818" s="21"/>
      <c r="B7818" s="12" t="str">
        <f>IFERROR(VLOOKUP(D7818,'[1]Перечень товаров'!$A$2:$I9525,2,0),"")</f>
        <v/>
      </c>
      <c r="C7818" s="12" t="str">
        <f>IFERROR(VLOOKUP(D7818,'[1]Перечень товаров'!$A$2:$I9525,3,0),"")</f>
        <v/>
      </c>
      <c r="D7818" s="22" t="s">
        <v>311</v>
      </c>
      <c r="E7818" s="102">
        <v>46149</v>
      </c>
      <c r="F7818" s="102"/>
      <c r="G7818" s="103"/>
      <c r="H7818" s="103"/>
      <c r="I7818" s="104"/>
      <c r="J7818" s="104"/>
      <c r="K7818" s="19"/>
      <c r="L7818" s="20"/>
    </row>
    <row r="7819" spans="1:12" ht="12.75" outlineLevel="1">
      <c r="A7819" s="11"/>
      <c r="B7819" s="12" t="str">
        <f>IFERROR(VLOOKUP(D7819,'[1]Перечень товаров'!$A$2:$I9525,2,0),"")</f>
        <v/>
      </c>
      <c r="C7819" s="12" t="str">
        <f>IFERROR(VLOOKUP(D7819,'[1]Перечень товаров'!$A$2:$I9525,3,0),"")</f>
        <v/>
      </c>
      <c r="D7819" s="27" t="s">
        <v>371</v>
      </c>
      <c r="E7819" s="99">
        <v>46087</v>
      </c>
      <c r="F7819" s="99"/>
      <c r="G7819" s="100"/>
      <c r="H7819" s="100"/>
      <c r="I7819" s="101"/>
      <c r="J7819" s="101"/>
      <c r="K7819" s="19"/>
      <c r="L7819" s="20"/>
    </row>
    <row r="7820" spans="1:12" outlineLevel="2">
      <c r="A7820" s="22"/>
      <c r="B7820" s="12" t="str">
        <f>IFERROR(VLOOKUP(D7820,'[1]Перечень товаров'!$A$2:$I9525,2,0),"")</f>
        <v>п25</v>
      </c>
      <c r="C7820" s="12" t="str">
        <f>IFERROR(VLOOKUP(D7820,'[1]Перечень товаров'!$A$2:$I9525,3,0),"")</f>
        <v>Прочее</v>
      </c>
      <c r="D7820" s="22" t="s">
        <v>360</v>
      </c>
      <c r="E7820" s="102"/>
      <c r="F7820" s="102"/>
      <c r="G7820" s="48">
        <v>3</v>
      </c>
      <c r="H7820" s="48"/>
      <c r="I7820" s="49"/>
      <c r="J7820" s="49"/>
      <c r="K7820" s="33"/>
      <c r="L7820" s="20"/>
    </row>
    <row r="7821" spans="1:12" outlineLevel="2">
      <c r="A7821" s="21"/>
      <c r="B7821" s="12" t="str">
        <f>IFERROR(VLOOKUP(D7821,'[1]Перечень товаров'!$A$2:$I9525,2,0),"")</f>
        <v>п26</v>
      </c>
      <c r="C7821" s="12" t="str">
        <f>IFERROR(VLOOKUP(D7821,'[1]Перечень товаров'!$A$2:$I9525,3,0),"")</f>
        <v>Прочее</v>
      </c>
      <c r="D7821" s="22" t="s">
        <v>361</v>
      </c>
      <c r="E7821" s="102"/>
      <c r="F7821" s="102"/>
      <c r="G7821" s="48">
        <v>2</v>
      </c>
      <c r="H7821" s="48"/>
      <c r="I7821" s="49"/>
      <c r="J7821" s="49"/>
      <c r="K7821" s="33"/>
      <c r="L7821" s="20"/>
    </row>
    <row r="7822" spans="1:12" outlineLevel="2">
      <c r="A7822" s="21"/>
      <c r="B7822" s="12" t="str">
        <f>IFERROR(VLOOKUP(D7822,'[1]Перечень товаров'!$A$2:$I9525,2,0),"")</f>
        <v>п27</v>
      </c>
      <c r="C7822" s="12" t="str">
        <f>IFERROR(VLOOKUP(D7822,'[1]Перечень товаров'!$A$2:$I9525,3,0),"")</f>
        <v>Прочее</v>
      </c>
      <c r="D7822" s="22" t="s">
        <v>362</v>
      </c>
      <c r="E7822" s="102"/>
      <c r="F7822" s="102"/>
      <c r="G7822" s="48">
        <v>2</v>
      </c>
      <c r="H7822" s="48"/>
      <c r="I7822" s="49"/>
      <c r="J7822" s="49"/>
      <c r="K7822" s="33"/>
      <c r="L7822" s="20"/>
    </row>
    <row r="7823" spans="1:12" outlineLevel="2">
      <c r="A7823" s="21"/>
      <c r="B7823" s="12" t="str">
        <f>IFERROR(VLOOKUP(D7823,'[1]Перечень товаров'!$A$2:$I9525,2,0),"")</f>
        <v>п28</v>
      </c>
      <c r="C7823" s="12" t="str">
        <f>IFERROR(VLOOKUP(D7823,'[1]Перечень товаров'!$A$2:$I9525,3,0),"")</f>
        <v>Прочее</v>
      </c>
      <c r="D7823" s="22" t="s">
        <v>363</v>
      </c>
      <c r="E7823" s="102"/>
      <c r="F7823" s="102"/>
      <c r="G7823" s="48">
        <v>1</v>
      </c>
      <c r="H7823" s="48"/>
      <c r="I7823" s="49"/>
      <c r="J7823" s="49"/>
      <c r="K7823" s="33"/>
      <c r="L7823" s="20"/>
    </row>
    <row r="7824" spans="1:12" outlineLevel="2">
      <c r="A7824" s="21"/>
      <c r="B7824" s="12" t="str">
        <f>IFERROR(VLOOKUP(D7824,'[1]Перечень товаров'!$A$2:$I9525,2,0),"")</f>
        <v>п29</v>
      </c>
      <c r="C7824" s="12" t="str">
        <f>IFERROR(VLOOKUP(D7824,'[1]Перечень товаров'!$A$2:$I9525,3,0),"")</f>
        <v>Прочее</v>
      </c>
      <c r="D7824" s="22" t="s">
        <v>364</v>
      </c>
      <c r="E7824" s="102"/>
      <c r="F7824" s="102"/>
      <c r="G7824" s="48">
        <v>6</v>
      </c>
      <c r="H7824" s="48"/>
      <c r="I7824" s="49"/>
      <c r="J7824" s="49"/>
      <c r="K7824" s="33"/>
      <c r="L7824" s="20"/>
    </row>
    <row r="7825" spans="1:12" outlineLevel="2">
      <c r="A7825" s="21"/>
      <c r="B7825" s="12" t="str">
        <f>IFERROR(VLOOKUP(D7825,'[1]Перечень товаров'!$A$2:$I9525,2,0),"")</f>
        <v>п30</v>
      </c>
      <c r="C7825" s="12" t="str">
        <f>IFERROR(VLOOKUP(D7825,'[1]Перечень товаров'!$A$2:$I9525,3,0),"")</f>
        <v>Прочее</v>
      </c>
      <c r="D7825" s="22" t="s">
        <v>365</v>
      </c>
      <c r="E7825" s="102"/>
      <c r="F7825" s="102"/>
      <c r="G7825" s="48">
        <v>2</v>
      </c>
      <c r="H7825" s="48"/>
      <c r="I7825" s="49"/>
      <c r="J7825" s="49"/>
      <c r="K7825" s="33"/>
      <c r="L7825" s="20"/>
    </row>
    <row r="7826" spans="1:12" ht="31.5" outlineLevel="2">
      <c r="A7826" s="21"/>
      <c r="B7826" s="12" t="str">
        <f>IFERROR(VLOOKUP(D7826,'[1]Перечень товаров'!$A$2:$I9525,2,0),"")</f>
        <v>п31</v>
      </c>
      <c r="C7826" s="12" t="str">
        <f>IFERROR(VLOOKUP(D7826,'[1]Перечень товаров'!$A$2:$I9525,3,0),"")</f>
        <v>Прочее</v>
      </c>
      <c r="D7826" s="22" t="s">
        <v>366</v>
      </c>
      <c r="E7826" s="102"/>
      <c r="F7826" s="102"/>
      <c r="G7826" s="48">
        <v>1</v>
      </c>
      <c r="H7826" s="48"/>
      <c r="I7826" s="49"/>
      <c r="J7826" s="49"/>
      <c r="K7826" s="33"/>
      <c r="L7826" s="20"/>
    </row>
    <row r="7827" spans="1:12" ht="31.5" outlineLevel="2">
      <c r="A7827" s="21"/>
      <c r="B7827" s="12" t="str">
        <f>IFERROR(VLOOKUP(D7827,'[1]Перечень товаров'!$A$2:$I9525,2,0),"")</f>
        <v>п32</v>
      </c>
      <c r="C7827" s="12" t="str">
        <f>IFERROR(VLOOKUP(D7827,'[1]Перечень товаров'!$A$2:$I9525,3,0),"")</f>
        <v>Прочее</v>
      </c>
      <c r="D7827" s="22" t="s">
        <v>367</v>
      </c>
      <c r="E7827" s="102"/>
      <c r="F7827" s="102"/>
      <c r="G7827" s="48">
        <v>2</v>
      </c>
      <c r="H7827" s="48"/>
      <c r="I7827" s="49"/>
      <c r="J7827" s="49"/>
      <c r="K7827" s="33"/>
      <c r="L7827" s="20"/>
    </row>
    <row r="7828" spans="1:12" ht="12.75" outlineLevel="1">
      <c r="A7828" s="11"/>
      <c r="B7828" s="12" t="str">
        <f>IFERROR(VLOOKUP(D7828,'[1]Перечень товаров'!$A$2:$I9525,2,0),"")</f>
        <v/>
      </c>
      <c r="C7828" s="12" t="str">
        <f>IFERROR(VLOOKUP(D7828,'[1]Перечень товаров'!$A$2:$I9525,3,0),"")</f>
        <v/>
      </c>
      <c r="D7828" s="27" t="s">
        <v>373</v>
      </c>
      <c r="E7828" s="99">
        <v>46055</v>
      </c>
      <c r="F7828" s="99"/>
      <c r="G7828" s="100"/>
      <c r="H7828" s="100"/>
      <c r="I7828" s="101"/>
      <c r="J7828" s="101"/>
      <c r="K7828" s="19"/>
      <c r="L7828" s="20"/>
    </row>
    <row r="7829" spans="1:12" outlineLevel="2">
      <c r="A7829" s="22"/>
      <c r="B7829" s="12" t="str">
        <f>IFERROR(VLOOKUP(D7829,'[1]Перечень товаров'!$A$2:$I9525,2,0),"")</f>
        <v>п25</v>
      </c>
      <c r="C7829" s="12" t="str">
        <f>IFERROR(VLOOKUP(D7829,'[1]Перечень товаров'!$A$2:$I9525,3,0),"")</f>
        <v>Прочее</v>
      </c>
      <c r="D7829" s="22" t="s">
        <v>360</v>
      </c>
      <c r="E7829" s="102"/>
      <c r="F7829" s="102"/>
      <c r="G7829" s="48">
        <v>3</v>
      </c>
      <c r="H7829" s="48"/>
      <c r="I7829" s="49"/>
      <c r="J7829" s="49"/>
      <c r="K7829" s="19"/>
      <c r="L7829" s="20"/>
    </row>
    <row r="7830" spans="1:12" outlineLevel="2">
      <c r="A7830" s="21"/>
      <c r="B7830" s="12" t="str">
        <f>IFERROR(VLOOKUP(D7830,'[1]Перечень товаров'!$A$2:$I9525,2,0),"")</f>
        <v>п26</v>
      </c>
      <c r="C7830" s="12" t="str">
        <f>IFERROR(VLOOKUP(D7830,'[1]Перечень товаров'!$A$2:$I9525,3,0),"")</f>
        <v>Прочее</v>
      </c>
      <c r="D7830" s="22" t="s">
        <v>361</v>
      </c>
      <c r="E7830" s="102"/>
      <c r="F7830" s="102"/>
      <c r="G7830" s="48">
        <v>2</v>
      </c>
      <c r="H7830" s="48"/>
      <c r="I7830" s="49"/>
      <c r="J7830" s="49"/>
      <c r="K7830" s="19"/>
      <c r="L7830" s="20"/>
    </row>
    <row r="7831" spans="1:12" outlineLevel="2">
      <c r="A7831" s="21"/>
      <c r="B7831" s="12" t="str">
        <f>IFERROR(VLOOKUP(D7831,'[1]Перечень товаров'!$A$2:$I9525,2,0),"")</f>
        <v>п27</v>
      </c>
      <c r="C7831" s="12" t="str">
        <f>IFERROR(VLOOKUP(D7831,'[1]Перечень товаров'!$A$2:$I9525,3,0),"")</f>
        <v>Прочее</v>
      </c>
      <c r="D7831" s="22" t="s">
        <v>362</v>
      </c>
      <c r="E7831" s="102"/>
      <c r="F7831" s="102"/>
      <c r="G7831" s="48">
        <v>2</v>
      </c>
      <c r="H7831" s="48"/>
      <c r="I7831" s="49"/>
      <c r="J7831" s="49"/>
      <c r="K7831" s="19"/>
      <c r="L7831" s="20"/>
    </row>
    <row r="7832" spans="1:12" outlineLevel="2">
      <c r="A7832" s="21"/>
      <c r="B7832" s="12" t="str">
        <f>IFERROR(VLOOKUP(D7832,'[1]Перечень товаров'!$A$2:$I9525,2,0),"")</f>
        <v>п28</v>
      </c>
      <c r="C7832" s="12" t="str">
        <f>IFERROR(VLOOKUP(D7832,'[1]Перечень товаров'!$A$2:$I9525,3,0),"")</f>
        <v>Прочее</v>
      </c>
      <c r="D7832" s="22" t="s">
        <v>363</v>
      </c>
      <c r="E7832" s="102"/>
      <c r="F7832" s="102"/>
      <c r="G7832" s="48">
        <v>1</v>
      </c>
      <c r="H7832" s="48"/>
      <c r="I7832" s="49"/>
      <c r="J7832" s="49"/>
      <c r="K7832" s="19"/>
      <c r="L7832" s="20"/>
    </row>
    <row r="7833" spans="1:12" outlineLevel="2">
      <c r="A7833" s="21"/>
      <c r="B7833" s="12" t="str">
        <f>IFERROR(VLOOKUP(D7833,'[1]Перечень товаров'!$A$2:$I9525,2,0),"")</f>
        <v>п29</v>
      </c>
      <c r="C7833" s="12" t="str">
        <f>IFERROR(VLOOKUP(D7833,'[1]Перечень товаров'!$A$2:$I9525,3,0),"")</f>
        <v>Прочее</v>
      </c>
      <c r="D7833" s="22" t="s">
        <v>364</v>
      </c>
      <c r="E7833" s="102"/>
      <c r="F7833" s="102"/>
      <c r="G7833" s="48">
        <v>6</v>
      </c>
      <c r="H7833" s="48"/>
      <c r="I7833" s="49"/>
      <c r="J7833" s="49"/>
      <c r="K7833" s="19"/>
      <c r="L7833" s="20"/>
    </row>
    <row r="7834" spans="1:12" outlineLevel="2">
      <c r="A7834" s="21"/>
      <c r="B7834" s="12" t="str">
        <f>IFERROR(VLOOKUP(D7834,'[1]Перечень товаров'!$A$2:$I9525,2,0),"")</f>
        <v>п30</v>
      </c>
      <c r="C7834" s="12" t="str">
        <f>IFERROR(VLOOKUP(D7834,'[1]Перечень товаров'!$A$2:$I9525,3,0),"")</f>
        <v>Прочее</v>
      </c>
      <c r="D7834" s="22" t="s">
        <v>365</v>
      </c>
      <c r="E7834" s="102"/>
      <c r="F7834" s="102"/>
      <c r="G7834" s="48">
        <v>2</v>
      </c>
      <c r="H7834" s="48"/>
      <c r="I7834" s="49"/>
      <c r="J7834" s="49"/>
      <c r="K7834" s="19"/>
      <c r="L7834" s="20"/>
    </row>
    <row r="7835" spans="1:12" ht="31.5" outlineLevel="2">
      <c r="A7835" s="21"/>
      <c r="B7835" s="12" t="str">
        <f>IFERROR(VLOOKUP(D7835,'[1]Перечень товаров'!$A$2:$I9525,2,0),"")</f>
        <v>п31</v>
      </c>
      <c r="C7835" s="12" t="str">
        <f>IFERROR(VLOOKUP(D7835,'[1]Перечень товаров'!$A$2:$I9525,3,0),"")</f>
        <v>Прочее</v>
      </c>
      <c r="D7835" s="22" t="s">
        <v>366</v>
      </c>
      <c r="E7835" s="102"/>
      <c r="F7835" s="102"/>
      <c r="G7835" s="48">
        <v>1</v>
      </c>
      <c r="H7835" s="48"/>
      <c r="I7835" s="49"/>
      <c r="J7835" s="49"/>
      <c r="K7835" s="19"/>
      <c r="L7835" s="20"/>
    </row>
    <row r="7836" spans="1:12" ht="31.5" outlineLevel="2">
      <c r="A7836" s="21"/>
      <c r="B7836" s="12" t="str">
        <f>IFERROR(VLOOKUP(D7836,'[1]Перечень товаров'!$A$2:$I9525,2,0),"")</f>
        <v>п32</v>
      </c>
      <c r="C7836" s="12" t="str">
        <f>IFERROR(VLOOKUP(D7836,'[1]Перечень товаров'!$A$2:$I9525,3,0),"")</f>
        <v>Прочее</v>
      </c>
      <c r="D7836" s="22" t="s">
        <v>367</v>
      </c>
      <c r="E7836" s="102"/>
      <c r="F7836" s="102"/>
      <c r="G7836" s="48">
        <v>2</v>
      </c>
      <c r="H7836" s="48"/>
      <c r="I7836" s="49"/>
      <c r="J7836" s="49"/>
      <c r="K7836" s="19"/>
      <c r="L7836" s="20"/>
    </row>
    <row r="7837" spans="1:12" ht="12.75" outlineLevel="1">
      <c r="A7837" s="11"/>
      <c r="B7837" s="12" t="str">
        <f>IFERROR(VLOOKUP(D7837,'[1]Перечень товаров'!$A$2:$I9525,2,0),"")</f>
        <v/>
      </c>
      <c r="C7837" s="12" t="str">
        <f>IFERROR(VLOOKUP(D7837,'[1]Перечень товаров'!$A$2:$I9525,3,0),"")</f>
        <v/>
      </c>
      <c r="D7837" s="27" t="s">
        <v>372</v>
      </c>
      <c r="E7837" s="99">
        <v>46029</v>
      </c>
      <c r="F7837" s="99"/>
      <c r="G7837" s="100"/>
      <c r="H7837" s="100"/>
      <c r="I7837" s="101"/>
      <c r="J7837" s="101"/>
      <c r="K7837" s="19"/>
      <c r="L7837" s="20"/>
    </row>
    <row r="7838" spans="1:12" outlineLevel="2">
      <c r="A7838" s="22"/>
      <c r="B7838" s="12" t="str">
        <f>IFERROR(VLOOKUP(D7838,'[1]Перечень товаров'!$A$2:$I9525,2,0),"")</f>
        <v>п25</v>
      </c>
      <c r="C7838" s="12" t="str">
        <f>IFERROR(VLOOKUP(D7838,'[1]Перечень товаров'!$A$2:$I9525,3,0),"")</f>
        <v>Прочее</v>
      </c>
      <c r="D7838" s="22" t="s">
        <v>360</v>
      </c>
      <c r="E7838" s="102"/>
      <c r="F7838" s="102"/>
      <c r="G7838" s="48">
        <v>3</v>
      </c>
      <c r="H7838" s="48"/>
      <c r="I7838" s="49"/>
      <c r="J7838" s="49"/>
      <c r="K7838" s="33"/>
      <c r="L7838" s="20"/>
    </row>
    <row r="7839" spans="1:12" outlineLevel="2">
      <c r="A7839" s="21"/>
      <c r="B7839" s="12" t="str">
        <f>IFERROR(VLOOKUP(D7839,'[1]Перечень товаров'!$A$2:$I9525,2,0),"")</f>
        <v>п26</v>
      </c>
      <c r="C7839" s="12" t="str">
        <f>IFERROR(VLOOKUP(D7839,'[1]Перечень товаров'!$A$2:$I9525,3,0),"")</f>
        <v>Прочее</v>
      </c>
      <c r="D7839" s="22" t="s">
        <v>361</v>
      </c>
      <c r="E7839" s="102"/>
      <c r="F7839" s="102"/>
      <c r="G7839" s="48">
        <v>2</v>
      </c>
      <c r="H7839" s="48"/>
      <c r="I7839" s="49"/>
      <c r="J7839" s="49"/>
      <c r="K7839" s="33"/>
      <c r="L7839" s="20"/>
    </row>
    <row r="7840" spans="1:12" outlineLevel="2">
      <c r="A7840" s="21"/>
      <c r="B7840" s="12" t="str">
        <f>IFERROR(VLOOKUP(D7840,'[1]Перечень товаров'!$A$2:$I9525,2,0),"")</f>
        <v>п27</v>
      </c>
      <c r="C7840" s="12" t="str">
        <f>IFERROR(VLOOKUP(D7840,'[1]Перечень товаров'!$A$2:$I9525,3,0),"")</f>
        <v>Прочее</v>
      </c>
      <c r="D7840" s="22" t="s">
        <v>362</v>
      </c>
      <c r="E7840" s="102"/>
      <c r="F7840" s="102"/>
      <c r="G7840" s="48">
        <v>2</v>
      </c>
      <c r="H7840" s="48"/>
      <c r="I7840" s="49"/>
      <c r="J7840" s="49"/>
      <c r="K7840" s="33"/>
      <c r="L7840" s="20"/>
    </row>
    <row r="7841" spans="1:12" outlineLevel="2">
      <c r="A7841" s="21"/>
      <c r="B7841" s="12" t="str">
        <f>IFERROR(VLOOKUP(D7841,'[1]Перечень товаров'!$A$2:$I9525,2,0),"")</f>
        <v>п28</v>
      </c>
      <c r="C7841" s="12" t="str">
        <f>IFERROR(VLOOKUP(D7841,'[1]Перечень товаров'!$A$2:$I9525,3,0),"")</f>
        <v>Прочее</v>
      </c>
      <c r="D7841" s="22" t="s">
        <v>363</v>
      </c>
      <c r="E7841" s="102"/>
      <c r="F7841" s="102"/>
      <c r="G7841" s="48">
        <v>1</v>
      </c>
      <c r="H7841" s="48"/>
      <c r="I7841" s="49"/>
      <c r="J7841" s="49"/>
      <c r="K7841" s="33"/>
      <c r="L7841" s="20"/>
    </row>
    <row r="7842" spans="1:12" outlineLevel="2">
      <c r="A7842" s="21"/>
      <c r="B7842" s="12" t="str">
        <f>IFERROR(VLOOKUP(D7842,'[1]Перечень товаров'!$A$2:$I9525,2,0),"")</f>
        <v>п29</v>
      </c>
      <c r="C7842" s="12" t="str">
        <f>IFERROR(VLOOKUP(D7842,'[1]Перечень товаров'!$A$2:$I9525,3,0),"")</f>
        <v>Прочее</v>
      </c>
      <c r="D7842" s="22" t="s">
        <v>364</v>
      </c>
      <c r="E7842" s="102"/>
      <c r="F7842" s="102"/>
      <c r="G7842" s="48">
        <v>6</v>
      </c>
      <c r="H7842" s="48"/>
      <c r="I7842" s="49"/>
      <c r="J7842" s="49"/>
      <c r="K7842" s="33"/>
      <c r="L7842" s="20"/>
    </row>
    <row r="7843" spans="1:12" outlineLevel="2">
      <c r="A7843" s="21"/>
      <c r="B7843" s="12" t="str">
        <f>IFERROR(VLOOKUP(D7843,'[1]Перечень товаров'!$A$2:$I9525,2,0),"")</f>
        <v>п30</v>
      </c>
      <c r="C7843" s="12" t="str">
        <f>IFERROR(VLOOKUP(D7843,'[1]Перечень товаров'!$A$2:$I9525,3,0),"")</f>
        <v>Прочее</v>
      </c>
      <c r="D7843" s="22" t="s">
        <v>365</v>
      </c>
      <c r="E7843" s="102"/>
      <c r="F7843" s="102"/>
      <c r="G7843" s="48">
        <v>2</v>
      </c>
      <c r="H7843" s="48"/>
      <c r="I7843" s="49"/>
      <c r="J7843" s="49"/>
      <c r="K7843" s="33"/>
      <c r="L7843" s="20"/>
    </row>
    <row r="7844" spans="1:12" ht="31.5" outlineLevel="2">
      <c r="A7844" s="21"/>
      <c r="B7844" s="12" t="str">
        <f>IFERROR(VLOOKUP(D7844,'[1]Перечень товаров'!$A$2:$I9525,2,0),"")</f>
        <v>п31</v>
      </c>
      <c r="C7844" s="12" t="str">
        <f>IFERROR(VLOOKUP(D7844,'[1]Перечень товаров'!$A$2:$I9525,3,0),"")</f>
        <v>Прочее</v>
      </c>
      <c r="D7844" s="22" t="s">
        <v>366</v>
      </c>
      <c r="E7844" s="102"/>
      <c r="F7844" s="102"/>
      <c r="G7844" s="48">
        <v>1</v>
      </c>
      <c r="H7844" s="48"/>
      <c r="I7844" s="49"/>
      <c r="J7844" s="49"/>
      <c r="K7844" s="33"/>
      <c r="L7844" s="20"/>
    </row>
    <row r="7845" spans="1:12" ht="31.5" outlineLevel="2">
      <c r="A7845" s="21"/>
      <c r="B7845" s="12" t="str">
        <f>IFERROR(VLOOKUP(D7845,'[1]Перечень товаров'!$A$2:$I9525,2,0),"")</f>
        <v>п32</v>
      </c>
      <c r="C7845" s="12" t="str">
        <f>IFERROR(VLOOKUP(D7845,'[1]Перечень товаров'!$A$2:$I9525,3,0),"")</f>
        <v>Прочее</v>
      </c>
      <c r="D7845" s="22" t="s">
        <v>367</v>
      </c>
      <c r="E7845" s="102"/>
      <c r="F7845" s="102"/>
      <c r="G7845" s="48">
        <v>2</v>
      </c>
      <c r="H7845" s="48"/>
      <c r="I7845" s="49"/>
      <c r="J7845" s="49"/>
      <c r="K7845" s="33"/>
      <c r="L7845" s="20"/>
    </row>
    <row r="7846" spans="1:12" ht="12.75" outlineLevel="1">
      <c r="A7846" s="11"/>
      <c r="B7846" s="12" t="str">
        <f>IFERROR(VLOOKUP(D7846,'[1]Перечень товаров'!$A$2:$I9525,2,0),"")</f>
        <v/>
      </c>
      <c r="C7846" s="12" t="str">
        <f>IFERROR(VLOOKUP(D7846,'[1]Перечень товаров'!$A$2:$I9525,3,0),"")</f>
        <v/>
      </c>
      <c r="D7846" s="27" t="s">
        <v>1841</v>
      </c>
      <c r="E7846" s="99">
        <v>46103</v>
      </c>
      <c r="F7846" s="99"/>
      <c r="G7846" s="100"/>
      <c r="H7846" s="100"/>
      <c r="I7846" s="101"/>
      <c r="J7846" s="101"/>
      <c r="K7846" s="19"/>
      <c r="L7846" s="20"/>
    </row>
    <row r="7847" spans="1:12" outlineLevel="2">
      <c r="A7847" s="276"/>
      <c r="B7847" s="12" t="str">
        <f>IFERROR(VLOOKUP(D7847,'[1]Перечень товаров'!$A$2:$I9525,2,0),"")</f>
        <v>пм213</v>
      </c>
      <c r="C7847" s="12" t="str">
        <f>IFERROR(VLOOKUP(D7847,'[1]Перечень товаров'!$A$2:$I9525,3,0),"")</f>
        <v>прочее муз</v>
      </c>
      <c r="D7847" s="277" t="s">
        <v>1842</v>
      </c>
      <c r="E7847" s="23">
        <v>20</v>
      </c>
      <c r="F7847" s="23"/>
      <c r="G7847" s="103"/>
      <c r="H7847" s="103"/>
      <c r="I7847" s="104"/>
      <c r="J7847" s="104"/>
      <c r="K7847" s="19"/>
      <c r="L7847" s="20"/>
    </row>
    <row r="7848" spans="1:12" ht="12.75" outlineLevel="1">
      <c r="A7848" s="11"/>
      <c r="B7848" s="12" t="str">
        <f>IFERROR(VLOOKUP(D7848,'[1]Перечень товаров'!$A$2:$I9525,2,0),"")</f>
        <v/>
      </c>
      <c r="C7848" s="12" t="str">
        <f>IFERROR(VLOOKUP(D7848,'[1]Перечень товаров'!$A$2:$I9525,3,0),"")</f>
        <v/>
      </c>
      <c r="D7848" s="27" t="s">
        <v>359</v>
      </c>
      <c r="E7848" s="99">
        <v>46086</v>
      </c>
      <c r="F7848" s="99"/>
      <c r="G7848" s="100"/>
      <c r="H7848" s="100"/>
      <c r="I7848" s="101"/>
      <c r="J7848" s="101"/>
      <c r="K7848" s="19"/>
      <c r="L7848" s="20"/>
    </row>
    <row r="7849" spans="1:12" outlineLevel="2">
      <c r="A7849" s="22"/>
      <c r="B7849" s="12" t="str">
        <f>IFERROR(VLOOKUP(D7849,'[1]Перечень товаров'!$A$2:$I9525,2,0),"")</f>
        <v>п25</v>
      </c>
      <c r="C7849" s="12" t="str">
        <f>IFERROR(VLOOKUP(D7849,'[1]Перечень товаров'!$A$2:$I9525,3,0),"")</f>
        <v>Прочее</v>
      </c>
      <c r="D7849" s="22" t="s">
        <v>360</v>
      </c>
      <c r="E7849" s="102"/>
      <c r="F7849" s="102"/>
      <c r="G7849" s="48">
        <v>3</v>
      </c>
      <c r="H7849" s="48"/>
      <c r="I7849" s="49"/>
      <c r="J7849" s="49"/>
      <c r="K7849" s="33"/>
      <c r="L7849" s="20"/>
    </row>
    <row r="7850" spans="1:12" outlineLevel="2">
      <c r="A7850" s="21"/>
      <c r="B7850" s="12" t="str">
        <f>IFERROR(VLOOKUP(D7850,'[1]Перечень товаров'!$A$2:$I9525,2,0),"")</f>
        <v>п26</v>
      </c>
      <c r="C7850" s="12" t="str">
        <f>IFERROR(VLOOKUP(D7850,'[1]Перечень товаров'!$A$2:$I9525,3,0),"")</f>
        <v>Прочее</v>
      </c>
      <c r="D7850" s="22" t="s">
        <v>361</v>
      </c>
      <c r="E7850" s="102"/>
      <c r="F7850" s="102"/>
      <c r="G7850" s="48">
        <v>2</v>
      </c>
      <c r="H7850" s="48"/>
      <c r="I7850" s="49"/>
      <c r="J7850" s="49"/>
      <c r="K7850" s="33"/>
      <c r="L7850" s="20"/>
    </row>
    <row r="7851" spans="1:12" outlineLevel="2">
      <c r="A7851" s="21"/>
      <c r="B7851" s="12" t="str">
        <f>IFERROR(VLOOKUP(D7851,'[1]Перечень товаров'!$A$2:$I9525,2,0),"")</f>
        <v>п27</v>
      </c>
      <c r="C7851" s="12" t="str">
        <f>IFERROR(VLOOKUP(D7851,'[1]Перечень товаров'!$A$2:$I9525,3,0),"")</f>
        <v>Прочее</v>
      </c>
      <c r="D7851" s="22" t="s">
        <v>362</v>
      </c>
      <c r="E7851" s="102"/>
      <c r="F7851" s="102"/>
      <c r="G7851" s="48">
        <v>2</v>
      </c>
      <c r="H7851" s="48"/>
      <c r="I7851" s="49"/>
      <c r="J7851" s="49"/>
      <c r="K7851" s="33"/>
      <c r="L7851" s="20"/>
    </row>
    <row r="7852" spans="1:12" outlineLevel="2">
      <c r="A7852" s="21"/>
      <c r="B7852" s="12" t="str">
        <f>IFERROR(VLOOKUP(D7852,'[1]Перечень товаров'!$A$2:$I9525,2,0),"")</f>
        <v>п28</v>
      </c>
      <c r="C7852" s="12" t="str">
        <f>IFERROR(VLOOKUP(D7852,'[1]Перечень товаров'!$A$2:$I9525,3,0),"")</f>
        <v>Прочее</v>
      </c>
      <c r="D7852" s="22" t="s">
        <v>363</v>
      </c>
      <c r="E7852" s="102"/>
      <c r="F7852" s="102"/>
      <c r="G7852" s="48">
        <v>1</v>
      </c>
      <c r="H7852" s="48"/>
      <c r="I7852" s="49"/>
      <c r="J7852" s="49"/>
      <c r="K7852" s="33"/>
      <c r="L7852" s="20"/>
    </row>
    <row r="7853" spans="1:12" outlineLevel="2">
      <c r="A7853" s="21"/>
      <c r="B7853" s="12" t="str">
        <f>IFERROR(VLOOKUP(D7853,'[1]Перечень товаров'!$A$2:$I9525,2,0),"")</f>
        <v>п29</v>
      </c>
      <c r="C7853" s="12" t="str">
        <f>IFERROR(VLOOKUP(D7853,'[1]Перечень товаров'!$A$2:$I9525,3,0),"")</f>
        <v>Прочее</v>
      </c>
      <c r="D7853" s="22" t="s">
        <v>364</v>
      </c>
      <c r="E7853" s="102"/>
      <c r="F7853" s="102"/>
      <c r="G7853" s="48">
        <v>6</v>
      </c>
      <c r="H7853" s="48"/>
      <c r="I7853" s="49"/>
      <c r="J7853" s="49"/>
      <c r="K7853" s="33"/>
      <c r="L7853" s="20"/>
    </row>
    <row r="7854" spans="1:12" outlineLevel="2">
      <c r="A7854" s="21"/>
      <c r="B7854" s="12" t="str">
        <f>IFERROR(VLOOKUP(D7854,'[1]Перечень товаров'!$A$2:$I9525,2,0),"")</f>
        <v>п30</v>
      </c>
      <c r="C7854" s="12" t="str">
        <f>IFERROR(VLOOKUP(D7854,'[1]Перечень товаров'!$A$2:$I9525,3,0),"")</f>
        <v>Прочее</v>
      </c>
      <c r="D7854" s="22" t="s">
        <v>365</v>
      </c>
      <c r="E7854" s="102"/>
      <c r="F7854" s="102"/>
      <c r="G7854" s="48">
        <v>2</v>
      </c>
      <c r="H7854" s="48"/>
      <c r="I7854" s="49"/>
      <c r="J7854" s="49"/>
      <c r="K7854" s="33"/>
      <c r="L7854" s="20"/>
    </row>
    <row r="7855" spans="1:12" ht="31.5" outlineLevel="2">
      <c r="A7855" s="21"/>
      <c r="B7855" s="12" t="str">
        <f>IFERROR(VLOOKUP(D7855,'[1]Перечень товаров'!$A$2:$I9525,2,0),"")</f>
        <v>п31</v>
      </c>
      <c r="C7855" s="12" t="str">
        <f>IFERROR(VLOOKUP(D7855,'[1]Перечень товаров'!$A$2:$I9525,3,0),"")</f>
        <v>Прочее</v>
      </c>
      <c r="D7855" s="22" t="s">
        <v>366</v>
      </c>
      <c r="E7855" s="102"/>
      <c r="F7855" s="102"/>
      <c r="G7855" s="48">
        <v>1</v>
      </c>
      <c r="H7855" s="48"/>
      <c r="I7855" s="49"/>
      <c r="J7855" s="49"/>
      <c r="K7855" s="33"/>
      <c r="L7855" s="20"/>
    </row>
    <row r="7856" spans="1:12" ht="31.5" outlineLevel="2">
      <c r="A7856" s="21"/>
      <c r="B7856" s="12" t="str">
        <f>IFERROR(VLOOKUP(D7856,'[1]Перечень товаров'!$A$2:$I9525,2,0),"")</f>
        <v>п32</v>
      </c>
      <c r="C7856" s="12" t="str">
        <f>IFERROR(VLOOKUP(D7856,'[1]Перечень товаров'!$A$2:$I9525,3,0),"")</f>
        <v>Прочее</v>
      </c>
      <c r="D7856" s="22" t="s">
        <v>367</v>
      </c>
      <c r="E7856" s="102"/>
      <c r="F7856" s="102"/>
      <c r="G7856" s="48">
        <v>2</v>
      </c>
      <c r="H7856" s="48"/>
      <c r="I7856" s="49"/>
      <c r="J7856" s="49"/>
      <c r="K7856" s="33"/>
      <c r="L7856" s="20"/>
    </row>
    <row r="7857" spans="1:12" outlineLevel="1">
      <c r="A7857" s="21"/>
      <c r="B7857" s="12" t="str">
        <f>IFERROR(VLOOKUP(D7857,'[1]Перечень товаров'!$A$2:$I9525,2,0),"")</f>
        <v/>
      </c>
      <c r="C7857" s="12" t="str">
        <f>IFERROR(VLOOKUP(D7857,'[1]Перечень товаров'!$A$2:$I9525,3,0),"")</f>
        <v/>
      </c>
      <c r="D7857" s="22" t="s">
        <v>1843</v>
      </c>
      <c r="E7857" s="102">
        <v>46215</v>
      </c>
      <c r="F7857" s="102"/>
      <c r="G7857" s="103"/>
      <c r="H7857" s="103"/>
      <c r="I7857" s="104"/>
      <c r="J7857" s="104"/>
      <c r="K7857" s="19"/>
      <c r="L7857" s="20"/>
    </row>
    <row r="7858" spans="1:12" ht="12.75" outlineLevel="1">
      <c r="A7858" s="11"/>
      <c r="B7858" s="12" t="str">
        <f>IFERROR(VLOOKUP(D7858,'[1]Перечень товаров'!$A$2:$I9525,2,0),"")</f>
        <v/>
      </c>
      <c r="C7858" s="12" t="str">
        <f>IFERROR(VLOOKUP(D7858,'[1]Перечень товаров'!$A$2:$I9525,3,0),"")</f>
        <v/>
      </c>
      <c r="D7858" s="27" t="s">
        <v>1844</v>
      </c>
      <c r="E7858" s="99">
        <v>46024</v>
      </c>
      <c r="F7858" s="99"/>
      <c r="G7858" s="100"/>
      <c r="H7858" s="100"/>
      <c r="I7858" s="101"/>
      <c r="J7858" s="101"/>
      <c r="K7858" s="19"/>
      <c r="L7858" s="20"/>
    </row>
    <row r="7859" spans="1:12" outlineLevel="2">
      <c r="A7859" s="22"/>
      <c r="B7859" s="12" t="str">
        <f>IFERROR(VLOOKUP(D7859,'[1]Перечень товаров'!$A$2:$I9525,2,0),"")</f>
        <v>п25</v>
      </c>
      <c r="C7859" s="12" t="str">
        <f>IFERROR(VLOOKUP(D7859,'[1]Перечень товаров'!$A$2:$I9525,3,0),"")</f>
        <v>Прочее</v>
      </c>
      <c r="D7859" s="22" t="s">
        <v>360</v>
      </c>
      <c r="E7859" s="102"/>
      <c r="F7859" s="102"/>
      <c r="G7859" s="48">
        <v>3</v>
      </c>
      <c r="H7859" s="48"/>
      <c r="I7859" s="49"/>
      <c r="J7859" s="49"/>
      <c r="K7859" s="19"/>
      <c r="L7859" s="20"/>
    </row>
    <row r="7860" spans="1:12" outlineLevel="2">
      <c r="A7860" s="21"/>
      <c r="B7860" s="12" t="str">
        <f>IFERROR(VLOOKUP(D7860,'[1]Перечень товаров'!$A$2:$I9525,2,0),"")</f>
        <v>п26</v>
      </c>
      <c r="C7860" s="12" t="str">
        <f>IFERROR(VLOOKUP(D7860,'[1]Перечень товаров'!$A$2:$I9525,3,0),"")</f>
        <v>Прочее</v>
      </c>
      <c r="D7860" s="22" t="s">
        <v>361</v>
      </c>
      <c r="E7860" s="102"/>
      <c r="F7860" s="102"/>
      <c r="G7860" s="48">
        <v>2</v>
      </c>
      <c r="H7860" s="48"/>
      <c r="I7860" s="49"/>
      <c r="J7860" s="49"/>
      <c r="K7860" s="19"/>
      <c r="L7860" s="20"/>
    </row>
    <row r="7861" spans="1:12" outlineLevel="2">
      <c r="A7861" s="21"/>
      <c r="B7861" s="12" t="str">
        <f>IFERROR(VLOOKUP(D7861,'[1]Перечень товаров'!$A$2:$I9525,2,0),"")</f>
        <v>п27</v>
      </c>
      <c r="C7861" s="12" t="str">
        <f>IFERROR(VLOOKUP(D7861,'[1]Перечень товаров'!$A$2:$I9525,3,0),"")</f>
        <v>Прочее</v>
      </c>
      <c r="D7861" s="22" t="s">
        <v>362</v>
      </c>
      <c r="E7861" s="102"/>
      <c r="F7861" s="102"/>
      <c r="G7861" s="48">
        <v>2</v>
      </c>
      <c r="H7861" s="48"/>
      <c r="I7861" s="49"/>
      <c r="J7861" s="49"/>
      <c r="K7861" s="19"/>
      <c r="L7861" s="20"/>
    </row>
    <row r="7862" spans="1:12" outlineLevel="2">
      <c r="A7862" s="21"/>
      <c r="B7862" s="12" t="str">
        <f>IFERROR(VLOOKUP(D7862,'[1]Перечень товаров'!$A$2:$I9525,2,0),"")</f>
        <v>п28</v>
      </c>
      <c r="C7862" s="12" t="str">
        <f>IFERROR(VLOOKUP(D7862,'[1]Перечень товаров'!$A$2:$I9525,3,0),"")</f>
        <v>Прочее</v>
      </c>
      <c r="D7862" s="22" t="s">
        <v>363</v>
      </c>
      <c r="E7862" s="102"/>
      <c r="F7862" s="102"/>
      <c r="G7862" s="48">
        <v>1</v>
      </c>
      <c r="H7862" s="48"/>
      <c r="I7862" s="49"/>
      <c r="J7862" s="49"/>
      <c r="K7862" s="19"/>
      <c r="L7862" s="20"/>
    </row>
    <row r="7863" spans="1:12" outlineLevel="2">
      <c r="A7863" s="21"/>
      <c r="B7863" s="12" t="str">
        <f>IFERROR(VLOOKUP(D7863,'[1]Перечень товаров'!$A$2:$I9525,2,0),"")</f>
        <v>п29</v>
      </c>
      <c r="C7863" s="12" t="str">
        <f>IFERROR(VLOOKUP(D7863,'[1]Перечень товаров'!$A$2:$I9525,3,0),"")</f>
        <v>Прочее</v>
      </c>
      <c r="D7863" s="22" t="s">
        <v>364</v>
      </c>
      <c r="E7863" s="102"/>
      <c r="F7863" s="102"/>
      <c r="G7863" s="48">
        <v>6</v>
      </c>
      <c r="H7863" s="48"/>
      <c r="I7863" s="49"/>
      <c r="J7863" s="49"/>
      <c r="K7863" s="19"/>
      <c r="L7863" s="20"/>
    </row>
    <row r="7864" spans="1:12" outlineLevel="2">
      <c r="A7864" s="21"/>
      <c r="B7864" s="12" t="str">
        <f>IFERROR(VLOOKUP(D7864,'[1]Перечень товаров'!$A$2:$I9525,2,0),"")</f>
        <v>п30</v>
      </c>
      <c r="C7864" s="12" t="str">
        <f>IFERROR(VLOOKUP(D7864,'[1]Перечень товаров'!$A$2:$I9525,3,0),"")</f>
        <v>Прочее</v>
      </c>
      <c r="D7864" s="22" t="s">
        <v>365</v>
      </c>
      <c r="E7864" s="102"/>
      <c r="F7864" s="102"/>
      <c r="G7864" s="48">
        <v>2</v>
      </c>
      <c r="H7864" s="48"/>
      <c r="I7864" s="49"/>
      <c r="J7864" s="49"/>
      <c r="K7864" s="19"/>
      <c r="L7864" s="20"/>
    </row>
    <row r="7865" spans="1:12" ht="31.5" outlineLevel="2">
      <c r="A7865" s="21"/>
      <c r="B7865" s="12" t="str">
        <f>IFERROR(VLOOKUP(D7865,'[1]Перечень товаров'!$A$2:$I9525,2,0),"")</f>
        <v>п31</v>
      </c>
      <c r="C7865" s="12" t="str">
        <f>IFERROR(VLOOKUP(D7865,'[1]Перечень товаров'!$A$2:$I9525,3,0),"")</f>
        <v>Прочее</v>
      </c>
      <c r="D7865" s="22" t="s">
        <v>366</v>
      </c>
      <c r="E7865" s="102"/>
      <c r="F7865" s="102"/>
      <c r="G7865" s="48">
        <v>1</v>
      </c>
      <c r="H7865" s="48"/>
      <c r="I7865" s="49"/>
      <c r="J7865" s="49"/>
      <c r="K7865" s="19"/>
      <c r="L7865" s="20"/>
    </row>
    <row r="7866" spans="1:12" ht="31.5" outlineLevel="2">
      <c r="A7866" s="21"/>
      <c r="B7866" s="12" t="str">
        <f>IFERROR(VLOOKUP(D7866,'[1]Перечень товаров'!$A$2:$I9525,2,0),"")</f>
        <v>п32</v>
      </c>
      <c r="C7866" s="12" t="str">
        <f>IFERROR(VLOOKUP(D7866,'[1]Перечень товаров'!$A$2:$I9525,3,0),"")</f>
        <v>Прочее</v>
      </c>
      <c r="D7866" s="22" t="s">
        <v>367</v>
      </c>
      <c r="E7866" s="102"/>
      <c r="F7866" s="102"/>
      <c r="G7866" s="48">
        <v>2</v>
      </c>
      <c r="H7866" s="48"/>
      <c r="I7866" s="49"/>
      <c r="J7866" s="49"/>
      <c r="K7866" s="19"/>
      <c r="L7866" s="20"/>
    </row>
    <row r="7867" spans="1:12" outlineLevel="1">
      <c r="A7867" s="21"/>
      <c r="B7867" s="12" t="str">
        <f>IFERROR(VLOOKUP(D7867,'[1]Перечень товаров'!$A$2:$I9525,2,0),"")</f>
        <v/>
      </c>
      <c r="C7867" s="12" t="str">
        <f>IFERROR(VLOOKUP(D7867,'[1]Перечень товаров'!$A$2:$I9525,3,0),"")</f>
        <v/>
      </c>
      <c r="D7867" s="22" t="s">
        <v>1609</v>
      </c>
      <c r="E7867" s="102">
        <v>46254</v>
      </c>
      <c r="F7867" s="102"/>
      <c r="G7867" s="103"/>
      <c r="H7867" s="103"/>
      <c r="I7867" s="104"/>
      <c r="J7867" s="104"/>
      <c r="K7867" s="19"/>
      <c r="L7867" s="20"/>
    </row>
    <row r="7868" spans="1:12" ht="12.75" outlineLevel="1">
      <c r="A7868" s="11"/>
      <c r="B7868" s="12" t="str">
        <f>IFERROR(VLOOKUP(D7868,'[1]Перечень товаров'!$A$2:$I9525,2,0),"")</f>
        <v/>
      </c>
      <c r="C7868" s="12" t="str">
        <f>IFERROR(VLOOKUP(D7868,'[1]Перечень товаров'!$A$2:$I9525,3,0),"")</f>
        <v/>
      </c>
      <c r="D7868" s="27" t="s">
        <v>1845</v>
      </c>
      <c r="E7868" s="14" t="s">
        <v>1846</v>
      </c>
      <c r="F7868" s="14"/>
      <c r="G7868" s="17"/>
      <c r="H7868" s="17"/>
      <c r="I7868" s="57"/>
      <c r="J7868" s="57"/>
      <c r="K7868" s="19"/>
      <c r="L7868" s="20"/>
    </row>
    <row r="7869" spans="1:12" ht="12.75" outlineLevel="2">
      <c r="A7869" s="197"/>
      <c r="B7869" s="12" t="str">
        <f>IFERROR(VLOOKUP(D7869,'[1]Перечень товаров'!$A$2:$I9525,2,0),"")</f>
        <v/>
      </c>
      <c r="C7869" s="12" t="str">
        <f>IFERROR(VLOOKUP(D7869,'[1]Перечень товаров'!$A$2:$I9525,3,0),"")</f>
        <v/>
      </c>
      <c r="D7869" s="198" t="s">
        <v>668</v>
      </c>
      <c r="E7869" s="278"/>
      <c r="F7869" s="278"/>
      <c r="G7869" s="279"/>
      <c r="H7869" s="279"/>
      <c r="I7869" s="280"/>
      <c r="J7869" s="280"/>
      <c r="K7869" s="19"/>
      <c r="L7869" s="20"/>
    </row>
    <row r="7870" spans="1:12" outlineLevel="2">
      <c r="A7870" s="34"/>
      <c r="B7870" s="12" t="str">
        <f>IFERROR(VLOOKUP(D7870,'[1]Перечень товаров'!$A$2:$I9525,2,0),"")</f>
        <v>т129</v>
      </c>
      <c r="C7870" s="12" t="str">
        <f>IFERROR(VLOOKUP(D7870,'[1]Перечень товаров'!$A$2:$I9525,3,0),"")</f>
        <v>Техника</v>
      </c>
      <c r="D7870" s="35" t="s">
        <v>1204</v>
      </c>
      <c r="E7870" s="43"/>
      <c r="F7870" s="43"/>
      <c r="G7870" s="24">
        <v>1</v>
      </c>
      <c r="H7870" s="24"/>
      <c r="I7870" s="25"/>
      <c r="J7870" s="25"/>
      <c r="K7870" s="19"/>
      <c r="L7870" s="20"/>
    </row>
    <row r="7871" spans="1:12" outlineLevel="2">
      <c r="A7871" s="34"/>
      <c r="B7871" s="12" t="str">
        <f>IFERROR(VLOOKUP(D7871,'[1]Перечень товаров'!$A$2:$I9525,2,0),"")</f>
        <v>т128</v>
      </c>
      <c r="C7871" s="12" t="str">
        <f>IFERROR(VLOOKUP(D7871,'[1]Перечень товаров'!$A$2:$I9525,3,0),"")</f>
        <v>Техника</v>
      </c>
      <c r="D7871" s="35" t="s">
        <v>1205</v>
      </c>
      <c r="E7871" s="43"/>
      <c r="F7871" s="43"/>
      <c r="G7871" s="24">
        <v>1</v>
      </c>
      <c r="H7871" s="24"/>
      <c r="I7871" s="25"/>
      <c r="J7871" s="25"/>
      <c r="K7871" s="19"/>
      <c r="L7871" s="20"/>
    </row>
    <row r="7872" spans="1:12" outlineLevel="2">
      <c r="A7872" s="34"/>
      <c r="B7872" s="12" t="str">
        <f>IFERROR(VLOOKUP(D7872,'[1]Перечень товаров'!$A$2:$I9525,2,0),"")</f>
        <v>т1</v>
      </c>
      <c r="C7872" s="12" t="str">
        <f>IFERROR(VLOOKUP(D7872,'[1]Перечень товаров'!$A$2:$I9525,3,0),"")</f>
        <v xml:space="preserve">Техника </v>
      </c>
      <c r="D7872" s="22" t="s">
        <v>28</v>
      </c>
      <c r="E7872" s="43"/>
      <c r="F7872" s="43"/>
      <c r="G7872" s="24">
        <v>1</v>
      </c>
      <c r="H7872" s="24"/>
      <c r="I7872" s="25"/>
      <c r="J7872" s="25"/>
      <c r="K7872" s="19"/>
      <c r="L7872" s="20"/>
    </row>
    <row r="7873" spans="1:12" outlineLevel="2">
      <c r="A7873" s="34"/>
      <c r="B7873" s="12" t="str">
        <f>IFERROR(VLOOKUP(D7873,'[1]Перечень товаров'!$A$2:$I9525,2,0),"")</f>
        <v>т235</v>
      </c>
      <c r="C7873" s="12" t="str">
        <f>IFERROR(VLOOKUP(D7873,'[1]Перечень товаров'!$A$2:$I9525,3,0),"")</f>
        <v>Техника</v>
      </c>
      <c r="D7873" s="35" t="s">
        <v>742</v>
      </c>
      <c r="E7873" s="43"/>
      <c r="F7873" s="43"/>
      <c r="G7873" s="24">
        <v>1</v>
      </c>
      <c r="H7873" s="24"/>
      <c r="I7873" s="25"/>
      <c r="J7873" s="25"/>
      <c r="K7873" s="19"/>
      <c r="L7873" s="20"/>
    </row>
    <row r="7874" spans="1:12" outlineLevel="2">
      <c r="A7874" s="34"/>
      <c r="B7874" s="12" t="str">
        <f>IFERROR(VLOOKUP(D7874,'[1]Перечень товаров'!$A$2:$I9525,2,0),"")</f>
        <v>т8</v>
      </c>
      <c r="C7874" s="12" t="str">
        <f>IFERROR(VLOOKUP(D7874,'[1]Перечень товаров'!$A$2:$I9525,3,0),"")</f>
        <v xml:space="preserve">Техника </v>
      </c>
      <c r="D7874" s="35" t="s">
        <v>35</v>
      </c>
      <c r="E7874" s="43"/>
      <c r="F7874" s="43"/>
      <c r="G7874" s="24">
        <v>1</v>
      </c>
      <c r="H7874" s="24"/>
      <c r="I7874" s="25"/>
      <c r="J7874" s="25"/>
      <c r="K7874" s="19"/>
      <c r="L7874" s="20"/>
    </row>
    <row r="7875" spans="1:12" outlineLevel="2">
      <c r="A7875" s="34"/>
      <c r="B7875" s="12" t="str">
        <f>IFERROR(VLOOKUP(D7875,'[1]Перечень товаров'!$A$2:$I9525,2,0),"")</f>
        <v>т4</v>
      </c>
      <c r="C7875" s="12" t="str">
        <f>IFERROR(VLOOKUP(D7875,'[1]Перечень товаров'!$A$2:$I9525,3,0),"")</f>
        <v xml:space="preserve">Техника </v>
      </c>
      <c r="D7875" s="35" t="s">
        <v>31</v>
      </c>
      <c r="E7875" s="43"/>
      <c r="F7875" s="43"/>
      <c r="G7875" s="24">
        <v>1</v>
      </c>
      <c r="H7875" s="24"/>
      <c r="I7875" s="25"/>
      <c r="J7875" s="25"/>
      <c r="K7875" s="19"/>
      <c r="L7875" s="20"/>
    </row>
    <row r="7876" spans="1:12" outlineLevel="2">
      <c r="A7876" s="34"/>
      <c r="B7876" s="12" t="str">
        <f>IFERROR(VLOOKUP(D7876,'[1]Перечень товаров'!$A$2:$I9525,2,0),"")</f>
        <v>т236</v>
      </c>
      <c r="C7876" s="12" t="str">
        <f>IFERROR(VLOOKUP(D7876,'[1]Перечень товаров'!$A$2:$I9525,3,0),"")</f>
        <v>Техника</v>
      </c>
      <c r="D7876" s="35" t="s">
        <v>743</v>
      </c>
      <c r="E7876" s="43"/>
      <c r="F7876" s="43"/>
      <c r="G7876" s="24">
        <v>1</v>
      </c>
      <c r="H7876" s="24"/>
      <c r="I7876" s="25"/>
      <c r="J7876" s="25"/>
      <c r="K7876" s="19"/>
      <c r="L7876" s="20"/>
    </row>
    <row r="7877" spans="1:12" outlineLevel="2">
      <c r="A7877" s="34"/>
      <c r="B7877" s="12" t="str">
        <f>IFERROR(VLOOKUP(D7877,'[1]Перечень товаров'!$A$2:$I9525,2,0),"")</f>
        <v>т237</v>
      </c>
      <c r="C7877" s="12" t="str">
        <f>IFERROR(VLOOKUP(D7877,'[1]Перечень товаров'!$A$2:$I9525,3,0),"")</f>
        <v>Техника</v>
      </c>
      <c r="D7877" s="35" t="s">
        <v>744</v>
      </c>
      <c r="E7877" s="43"/>
      <c r="F7877" s="43"/>
      <c r="G7877" s="24">
        <v>2</v>
      </c>
      <c r="H7877" s="24"/>
      <c r="I7877" s="25"/>
      <c r="J7877" s="25"/>
      <c r="K7877" s="19"/>
      <c r="L7877" s="20"/>
    </row>
    <row r="7878" spans="1:12" ht="12.75" outlineLevel="2">
      <c r="A7878" s="197"/>
      <c r="B7878" s="12" t="str">
        <f>IFERROR(VLOOKUP(D7878,'[1]Перечень товаров'!$A$2:$I9525,2,0),"")</f>
        <v/>
      </c>
      <c r="C7878" s="12" t="str">
        <f>IFERROR(VLOOKUP(D7878,'[1]Перечень товаров'!$A$2:$I9525,3,0),"")</f>
        <v/>
      </c>
      <c r="D7878" s="198" t="s">
        <v>19</v>
      </c>
      <c r="E7878" s="278"/>
      <c r="F7878" s="278"/>
      <c r="G7878" s="279"/>
      <c r="H7878" s="279"/>
      <c r="I7878" s="280"/>
      <c r="J7878" s="280"/>
      <c r="K7878" s="19"/>
      <c r="L7878" s="20"/>
    </row>
    <row r="7879" spans="1:12" outlineLevel="2">
      <c r="A7879" s="34"/>
      <c r="B7879" s="12" t="str">
        <f>IFERROR(VLOOKUP(D7879,'[1]Перечень товаров'!$A$2:$I9525,2,0),"")</f>
        <v>м62</v>
      </c>
      <c r="C7879" s="12" t="str">
        <f>IFERROR(VLOOKUP(D7879,'[1]Перечень товаров'!$A$2:$I9525,3,0),"")</f>
        <v>Мебель</v>
      </c>
      <c r="D7879" s="35" t="s">
        <v>398</v>
      </c>
      <c r="E7879" s="43"/>
      <c r="F7879" s="43"/>
      <c r="G7879" s="24">
        <v>1</v>
      </c>
      <c r="H7879" s="24"/>
      <c r="I7879" s="25"/>
      <c r="J7879" s="25"/>
      <c r="K7879" s="19"/>
      <c r="L7879" s="20"/>
    </row>
    <row r="7880" spans="1:12" outlineLevel="2">
      <c r="A7880" s="34"/>
      <c r="B7880" s="12" t="str">
        <f>IFERROR(VLOOKUP(D7880,'[1]Перечень товаров'!$A$2:$I9525,2,0),"")</f>
        <v>м61</v>
      </c>
      <c r="C7880" s="12" t="str">
        <f>IFERROR(VLOOKUP(D7880,'[1]Перечень товаров'!$A$2:$I9525,3,0),"")</f>
        <v>Мебель</v>
      </c>
      <c r="D7880" s="35" t="s">
        <v>383</v>
      </c>
      <c r="E7880" s="43"/>
      <c r="F7880" s="43"/>
      <c r="G7880" s="24">
        <v>1</v>
      </c>
      <c r="H7880" s="24"/>
      <c r="I7880" s="25"/>
      <c r="J7880" s="25"/>
      <c r="K7880" s="19"/>
      <c r="L7880" s="20"/>
    </row>
    <row r="7881" spans="1:12" outlineLevel="2">
      <c r="A7881" s="34"/>
      <c r="B7881" s="12" t="str">
        <f>IFERROR(VLOOKUP(D7881,'[1]Перечень товаров'!$A$2:$I9525,2,0),"")</f>
        <v>м147</v>
      </c>
      <c r="C7881" s="12" t="str">
        <f>IFERROR(VLOOKUP(D7881,'[1]Перечень товаров'!$A$2:$I9525,3,0),"")</f>
        <v>мебель</v>
      </c>
      <c r="D7881" s="35" t="s">
        <v>1294</v>
      </c>
      <c r="E7881" s="43"/>
      <c r="F7881" s="43"/>
      <c r="G7881" s="24">
        <v>13</v>
      </c>
      <c r="H7881" s="24"/>
      <c r="I7881" s="25"/>
      <c r="J7881" s="25"/>
      <c r="K7881" s="19"/>
      <c r="L7881" s="20"/>
    </row>
    <row r="7882" spans="1:12" outlineLevel="2">
      <c r="A7882" s="34"/>
      <c r="B7882" s="12" t="str">
        <f>IFERROR(VLOOKUP(D7882,'[1]Перечень товаров'!$A$2:$I9525,2,0),"")</f>
        <v>м151</v>
      </c>
      <c r="C7882" s="12" t="str">
        <f>IFERROR(VLOOKUP(D7882,'[1]Перечень товаров'!$A$2:$I9525,3,0),"")</f>
        <v>мебель</v>
      </c>
      <c r="D7882" s="35" t="s">
        <v>1207</v>
      </c>
      <c r="E7882" s="43"/>
      <c r="F7882" s="43"/>
      <c r="G7882" s="24">
        <v>26</v>
      </c>
      <c r="H7882" s="24"/>
      <c r="I7882" s="25"/>
      <c r="J7882" s="25"/>
      <c r="K7882" s="19"/>
      <c r="L7882" s="20"/>
    </row>
    <row r="7883" spans="1:12" outlineLevel="2">
      <c r="A7883" s="34"/>
      <c r="B7883" s="12" t="str">
        <f>IFERROR(VLOOKUP(D7883,'[1]Перечень товаров'!$A$2:$I9525,2,0),"")</f>
        <v>м216</v>
      </c>
      <c r="C7883" s="12" t="str">
        <f>IFERROR(VLOOKUP(D7883,'[1]Перечень товаров'!$A$2:$I9525,3,0),"")</f>
        <v>Мебель</v>
      </c>
      <c r="D7883" s="35" t="s">
        <v>854</v>
      </c>
      <c r="E7883" s="43"/>
      <c r="F7883" s="43"/>
      <c r="G7883" s="24">
        <v>2</v>
      </c>
      <c r="H7883" s="24"/>
      <c r="I7883" s="25"/>
      <c r="J7883" s="25"/>
      <c r="K7883" s="19"/>
      <c r="L7883" s="20"/>
    </row>
    <row r="7884" spans="1:12" ht="31.5" outlineLevel="2">
      <c r="A7884" s="34"/>
      <c r="B7884" s="12" t="str">
        <f>IFERROR(VLOOKUP(D7884,'[1]Перечень товаров'!$A$2:$I9525,2,0),"")</f>
        <v>д524</v>
      </c>
      <c r="C7884" s="12" t="str">
        <f>IFERROR(VLOOKUP(D7884,'[1]Перечень товаров'!$A$2:$I9525,3,0),"")</f>
        <v>дидактика</v>
      </c>
      <c r="D7884" s="35" t="s">
        <v>1231</v>
      </c>
      <c r="E7884" s="43"/>
      <c r="F7884" s="43"/>
      <c r="G7884" s="24">
        <v>1</v>
      </c>
      <c r="H7884" s="24"/>
      <c r="I7884" s="25"/>
      <c r="J7884" s="25"/>
      <c r="K7884" s="19"/>
      <c r="L7884" s="20"/>
    </row>
    <row r="7885" spans="1:12" outlineLevel="2">
      <c r="A7885" s="34"/>
      <c r="B7885" s="12" t="str">
        <f>IFERROR(VLOOKUP(D7885,'[1]Перечень товаров'!$A$2:$I9525,2,0),"")</f>
        <v>м150</v>
      </c>
      <c r="C7885" s="12" t="str">
        <f>IFERROR(VLOOKUP(D7885,'[1]Перечень товаров'!$A$2:$I9525,3,0),"")</f>
        <v>мебель</v>
      </c>
      <c r="D7885" s="35" t="s">
        <v>1232</v>
      </c>
      <c r="E7885" s="43"/>
      <c r="F7885" s="43"/>
      <c r="G7885" s="24">
        <v>1</v>
      </c>
      <c r="H7885" s="24"/>
      <c r="I7885" s="25"/>
      <c r="J7885" s="25"/>
      <c r="K7885" s="19"/>
      <c r="L7885" s="20"/>
    </row>
    <row r="7886" spans="1:12" ht="12.75" outlineLevel="2">
      <c r="A7886" s="197"/>
      <c r="B7886" s="12" t="str">
        <f>IFERROR(VLOOKUP(D7886,'[1]Перечень товаров'!$A$2:$I9525,2,0),"")</f>
        <v/>
      </c>
      <c r="C7886" s="12" t="str">
        <f>IFERROR(VLOOKUP(D7886,'[1]Перечень товаров'!$A$2:$I9525,3,0),"")</f>
        <v/>
      </c>
      <c r="D7886" s="198" t="s">
        <v>1415</v>
      </c>
      <c r="E7886" s="278"/>
      <c r="F7886" s="278"/>
      <c r="G7886" s="279"/>
      <c r="H7886" s="279"/>
      <c r="I7886" s="280"/>
      <c r="J7886" s="280"/>
      <c r="K7886" s="19"/>
      <c r="L7886" s="20"/>
    </row>
    <row r="7887" spans="1:12" ht="31.5" outlineLevel="2">
      <c r="A7887" s="21"/>
      <c r="B7887" s="12" t="str">
        <f>IFERROR(VLOOKUP(D7887,'[1]Перечень товаров'!$A$2:$I9525,2,0),"")</f>
        <v>д231</v>
      </c>
      <c r="C7887" s="12" t="str">
        <f>IFERROR(VLOOKUP(D7887,'[1]Перечень товаров'!$A$2:$I9525,3,0),"")</f>
        <v>Дидактика</v>
      </c>
      <c r="D7887" s="22" t="s">
        <v>1847</v>
      </c>
      <c r="E7887" s="43"/>
      <c r="F7887" s="43"/>
      <c r="G7887" s="24">
        <v>5</v>
      </c>
      <c r="H7887" s="24"/>
      <c r="I7887" s="25"/>
      <c r="J7887" s="25"/>
      <c r="K7887" s="19"/>
      <c r="L7887" s="20"/>
    </row>
    <row r="7888" spans="1:12" ht="31.5" outlineLevel="2">
      <c r="A7888" s="21"/>
      <c r="B7888" s="12" t="str">
        <f>IFERROR(VLOOKUP(D7888,'[1]Перечень товаров'!$A$2:$I9525,2,0),"")</f>
        <v>д481</v>
      </c>
      <c r="C7888" s="12" t="str">
        <f>IFERROR(VLOOKUP(D7888,'[1]Перечень товаров'!$A$2:$I9525,3,0),"")</f>
        <v>дидактика</v>
      </c>
      <c r="D7888" s="22" t="s">
        <v>1282</v>
      </c>
      <c r="E7888" s="43"/>
      <c r="F7888" s="43"/>
      <c r="G7888" s="24">
        <v>1</v>
      </c>
      <c r="H7888" s="24"/>
      <c r="I7888" s="25"/>
      <c r="J7888" s="25"/>
      <c r="K7888" s="19"/>
      <c r="L7888" s="20"/>
    </row>
    <row r="7889" spans="1:12" ht="12.75" outlineLevel="2">
      <c r="A7889" s="197"/>
      <c r="B7889" s="12" t="str">
        <f>IFERROR(VLOOKUP(D7889,'[1]Перечень товаров'!$A$2:$I9525,2,0),"")</f>
        <v/>
      </c>
      <c r="C7889" s="12" t="str">
        <f>IFERROR(VLOOKUP(D7889,'[1]Перечень товаров'!$A$2:$I9525,3,0),"")</f>
        <v/>
      </c>
      <c r="D7889" s="198" t="s">
        <v>1439</v>
      </c>
      <c r="E7889" s="278"/>
      <c r="F7889" s="278"/>
      <c r="G7889" s="279"/>
      <c r="H7889" s="279"/>
      <c r="I7889" s="280"/>
      <c r="J7889" s="280"/>
      <c r="K7889" s="19"/>
      <c r="L7889" s="20"/>
    </row>
    <row r="7890" spans="1:12" outlineLevel="2">
      <c r="A7890" s="21"/>
      <c r="B7890" s="12" t="str">
        <f>IFERROR(VLOOKUP(D7890,'[1]Перечень товаров'!$A$2:$I9525,2,0),"")</f>
        <v>д230</v>
      </c>
      <c r="C7890" s="12" t="str">
        <f>IFERROR(VLOOKUP(D7890,'[1]Перечень товаров'!$A$2:$I9525,3,0),"")</f>
        <v>Дидактика</v>
      </c>
      <c r="D7890" s="22" t="s">
        <v>1848</v>
      </c>
      <c r="E7890" s="43"/>
      <c r="F7890" s="43"/>
      <c r="G7890" s="24">
        <v>1</v>
      </c>
      <c r="H7890" s="24"/>
      <c r="I7890" s="25"/>
      <c r="J7890" s="25"/>
      <c r="K7890" s="19"/>
      <c r="L7890" s="20"/>
    </row>
    <row r="7891" spans="1:12" outlineLevel="2">
      <c r="A7891" s="21"/>
      <c r="B7891" s="12" t="str">
        <f>IFERROR(VLOOKUP(D7891,'[1]Перечень товаров'!$A$2:$I9525,2,0),"")</f>
        <v>д377</v>
      </c>
      <c r="C7891" s="12" t="str">
        <f>IFERROR(VLOOKUP(D7891,'[1]Перечень товаров'!$A$2:$I9525,3,0),"")</f>
        <v>дидактика</v>
      </c>
      <c r="D7891" s="22" t="s">
        <v>1440</v>
      </c>
      <c r="E7891" s="43"/>
      <c r="F7891" s="43"/>
      <c r="G7891" s="24">
        <v>1</v>
      </c>
      <c r="H7891" s="24"/>
      <c r="I7891" s="25"/>
      <c r="J7891" s="25"/>
      <c r="K7891" s="19"/>
      <c r="L7891" s="20"/>
    </row>
    <row r="7892" spans="1:12" ht="12.75" outlineLevel="2">
      <c r="A7892" s="197"/>
      <c r="B7892" s="12" t="str">
        <f>IFERROR(VLOOKUP(D7892,'[1]Перечень товаров'!$A$2:$I9525,2,0),"")</f>
        <v/>
      </c>
      <c r="C7892" s="12" t="str">
        <f>IFERROR(VLOOKUP(D7892,'[1]Перечень товаров'!$A$2:$I9525,3,0),"")</f>
        <v/>
      </c>
      <c r="D7892" s="198" t="s">
        <v>809</v>
      </c>
      <c r="E7892" s="278"/>
      <c r="F7892" s="278"/>
      <c r="G7892" s="279"/>
      <c r="H7892" s="279"/>
      <c r="I7892" s="280"/>
      <c r="J7892" s="280"/>
      <c r="K7892" s="19"/>
      <c r="L7892" s="20"/>
    </row>
    <row r="7893" spans="1:12" outlineLevel="2">
      <c r="A7893" s="34"/>
      <c r="B7893" s="12" t="str">
        <f>IFERROR(VLOOKUP(D7893,'[1]Перечень товаров'!$A$2:$I9525,2,0),"")</f>
        <v>д65</v>
      </c>
      <c r="C7893" s="12" t="str">
        <f>IFERROR(VLOOKUP(D7893,'[1]Перечень товаров'!$A$2:$I9525,3,0),"")</f>
        <v>Дидактика</v>
      </c>
      <c r="D7893" s="35" t="s">
        <v>811</v>
      </c>
      <c r="E7893" s="43"/>
      <c r="F7893" s="43"/>
      <c r="G7893" s="24">
        <v>1</v>
      </c>
      <c r="H7893" s="24"/>
      <c r="I7893" s="25"/>
      <c r="J7893" s="25"/>
      <c r="K7893" s="19"/>
      <c r="L7893" s="20"/>
    </row>
    <row r="7894" spans="1:12" outlineLevel="2">
      <c r="A7894" s="34"/>
      <c r="B7894" s="12" t="str">
        <f>IFERROR(VLOOKUP(D7894,'[1]Перечень товаров'!$A$2:$I9525,2,0),"")</f>
        <v>д66</v>
      </c>
      <c r="C7894" s="12" t="str">
        <f>IFERROR(VLOOKUP(D7894,'[1]Перечень товаров'!$A$2:$I9525,3,0),"")</f>
        <v>Дидактика</v>
      </c>
      <c r="D7894" s="35" t="s">
        <v>812</v>
      </c>
      <c r="E7894" s="43"/>
      <c r="F7894" s="43"/>
      <c r="G7894" s="24">
        <v>1</v>
      </c>
      <c r="H7894" s="24"/>
      <c r="I7894" s="25"/>
      <c r="J7894" s="25"/>
      <c r="K7894" s="19"/>
      <c r="L7894" s="20"/>
    </row>
    <row r="7895" spans="1:12" outlineLevel="2">
      <c r="A7895" s="34"/>
      <c r="B7895" s="12" t="str">
        <f>IFERROR(VLOOKUP(D7895,'[1]Перечень товаров'!$A$2:$I9525,2,0),"")</f>
        <v>д67</v>
      </c>
      <c r="C7895" s="12" t="str">
        <f>IFERROR(VLOOKUP(D7895,'[1]Перечень товаров'!$A$2:$I9525,3,0),"")</f>
        <v>Дидактика</v>
      </c>
      <c r="D7895" s="35" t="s">
        <v>813</v>
      </c>
      <c r="E7895" s="43"/>
      <c r="F7895" s="43"/>
      <c r="G7895" s="24">
        <v>1</v>
      </c>
      <c r="H7895" s="24"/>
      <c r="I7895" s="25"/>
      <c r="J7895" s="25"/>
      <c r="K7895" s="19"/>
      <c r="L7895" s="20"/>
    </row>
    <row r="7896" spans="1:12" outlineLevel="2">
      <c r="A7896" s="34"/>
      <c r="B7896" s="12" t="str">
        <f>IFERROR(VLOOKUP(D7896,'[1]Перечень товаров'!$A$2:$I9525,2,0),"")</f>
        <v>п90</v>
      </c>
      <c r="C7896" s="12" t="str">
        <f>IFERROR(VLOOKUP(D7896,'[1]Перечень товаров'!$A$2:$I9525,3,0),"")</f>
        <v>Прочее</v>
      </c>
      <c r="D7896" s="35" t="s">
        <v>723</v>
      </c>
      <c r="E7896" s="43"/>
      <c r="F7896" s="43"/>
      <c r="G7896" s="24">
        <v>1</v>
      </c>
      <c r="H7896" s="24"/>
      <c r="I7896" s="25"/>
      <c r="J7896" s="25"/>
      <c r="K7896" s="19"/>
      <c r="L7896" s="20"/>
    </row>
    <row r="7897" spans="1:12" outlineLevel="2">
      <c r="A7897" s="34"/>
      <c r="B7897" s="12" t="str">
        <f>IFERROR(VLOOKUP(D7897,'[1]Перечень товаров'!$A$2:$I9525,2,0),"")</f>
        <v>д68</v>
      </c>
      <c r="C7897" s="12" t="str">
        <f>IFERROR(VLOOKUP(D7897,'[1]Перечень товаров'!$A$2:$I9525,3,0),"")</f>
        <v>Дидактика</v>
      </c>
      <c r="D7897" s="35" t="s">
        <v>814</v>
      </c>
      <c r="E7897" s="43"/>
      <c r="F7897" s="43"/>
      <c r="G7897" s="24">
        <v>4</v>
      </c>
      <c r="H7897" s="24"/>
      <c r="I7897" s="25"/>
      <c r="J7897" s="25"/>
      <c r="K7897" s="19"/>
      <c r="L7897" s="20"/>
    </row>
    <row r="7898" spans="1:12" outlineLevel="2">
      <c r="A7898" s="34"/>
      <c r="B7898" s="12" t="str">
        <f>IFERROR(VLOOKUP(D7898,'[1]Перечень товаров'!$A$2:$I9525,2,0),"")</f>
        <v>д69</v>
      </c>
      <c r="C7898" s="12" t="str">
        <f>IFERROR(VLOOKUP(D7898,'[1]Перечень товаров'!$A$2:$I9525,3,0),"")</f>
        <v>Дидактика</v>
      </c>
      <c r="D7898" s="35" t="s">
        <v>815</v>
      </c>
      <c r="E7898" s="43"/>
      <c r="F7898" s="43"/>
      <c r="G7898" s="24">
        <v>4</v>
      </c>
      <c r="H7898" s="24"/>
      <c r="I7898" s="25"/>
      <c r="J7898" s="25"/>
      <c r="K7898" s="19"/>
      <c r="L7898" s="20"/>
    </row>
    <row r="7899" spans="1:12" outlineLevel="2">
      <c r="A7899" s="34"/>
      <c r="B7899" s="12" t="str">
        <f>IFERROR(VLOOKUP(D7899,'[1]Перечень товаров'!$A$2:$I9525,2,0),"")</f>
        <v>д70</v>
      </c>
      <c r="C7899" s="12" t="str">
        <f>IFERROR(VLOOKUP(D7899,'[1]Перечень товаров'!$A$2:$I9525,3,0),"")</f>
        <v>Дидактика</v>
      </c>
      <c r="D7899" s="35" t="s">
        <v>816</v>
      </c>
      <c r="E7899" s="43"/>
      <c r="F7899" s="43"/>
      <c r="G7899" s="24">
        <v>1</v>
      </c>
      <c r="H7899" s="24"/>
      <c r="I7899" s="25"/>
      <c r="J7899" s="25"/>
      <c r="K7899" s="19"/>
      <c r="L7899" s="20"/>
    </row>
    <row r="7900" spans="1:12" ht="12.75" outlineLevel="1">
      <c r="A7900" s="11"/>
      <c r="B7900" s="12" t="str">
        <f>IFERROR(VLOOKUP(D7900,'[1]Перечень товаров'!$A$2:$I9525,2,0),"")</f>
        <v/>
      </c>
      <c r="C7900" s="12" t="str">
        <f>IFERROR(VLOOKUP(D7900,'[1]Перечень товаров'!$A$2:$I9525,3,0),"")</f>
        <v/>
      </c>
      <c r="D7900" s="27" t="s">
        <v>1849</v>
      </c>
      <c r="E7900" s="14" t="s">
        <v>1850</v>
      </c>
      <c r="F7900" s="14"/>
      <c r="G7900" s="17"/>
      <c r="H7900" s="17"/>
      <c r="I7900" s="57"/>
      <c r="J7900" s="57"/>
      <c r="K7900" s="19"/>
      <c r="L7900" s="20"/>
    </row>
    <row r="7901" spans="1:12" ht="12.75" outlineLevel="2">
      <c r="A7901" s="197"/>
      <c r="B7901" s="12" t="str">
        <f>IFERROR(VLOOKUP(D7901,'[1]Перечень товаров'!$A$2:$I9525,2,0),"")</f>
        <v/>
      </c>
      <c r="C7901" s="12" t="str">
        <f>IFERROR(VLOOKUP(D7901,'[1]Перечень товаров'!$A$2:$I9525,3,0),"")</f>
        <v/>
      </c>
      <c r="D7901" s="198" t="s">
        <v>668</v>
      </c>
      <c r="E7901" s="15"/>
      <c r="F7901" s="15"/>
      <c r="G7901" s="17"/>
      <c r="H7901" s="17"/>
      <c r="I7901" s="57"/>
      <c r="J7901" s="57"/>
      <c r="K7901" s="19"/>
      <c r="L7901" s="20"/>
    </row>
    <row r="7902" spans="1:12" outlineLevel="2">
      <c r="A7902" s="34"/>
      <c r="B7902" s="12" t="str">
        <f>IFERROR(VLOOKUP(D7902,'[1]Перечень товаров'!$A$2:$I9525,2,0),"")</f>
        <v>т129</v>
      </c>
      <c r="C7902" s="12" t="str">
        <f>IFERROR(VLOOKUP(D7902,'[1]Перечень товаров'!$A$2:$I9525,3,0),"")</f>
        <v>Техника</v>
      </c>
      <c r="D7902" s="35" t="s">
        <v>1204</v>
      </c>
      <c r="E7902" s="23"/>
      <c r="F7902" s="23"/>
      <c r="G7902" s="24">
        <v>1</v>
      </c>
      <c r="H7902" s="24"/>
      <c r="I7902" s="25"/>
      <c r="J7902" s="25"/>
      <c r="K7902" s="19"/>
      <c r="L7902" s="20"/>
    </row>
    <row r="7903" spans="1:12" outlineLevel="2">
      <c r="A7903" s="34"/>
      <c r="B7903" s="12" t="str">
        <f>IFERROR(VLOOKUP(D7903,'[1]Перечень товаров'!$A$2:$I9525,2,0),"")</f>
        <v>т128</v>
      </c>
      <c r="C7903" s="12" t="str">
        <f>IFERROR(VLOOKUP(D7903,'[1]Перечень товаров'!$A$2:$I9525,3,0),"")</f>
        <v>Техника</v>
      </c>
      <c r="D7903" s="35" t="s">
        <v>1205</v>
      </c>
      <c r="E7903" s="23"/>
      <c r="F7903" s="23"/>
      <c r="G7903" s="24">
        <v>1</v>
      </c>
      <c r="H7903" s="24"/>
      <c r="I7903" s="25"/>
      <c r="J7903" s="25"/>
      <c r="K7903" s="19"/>
      <c r="L7903" s="20"/>
    </row>
    <row r="7904" spans="1:12" outlineLevel="2">
      <c r="A7904" s="34"/>
      <c r="B7904" s="12" t="str">
        <f>IFERROR(VLOOKUP(D7904,'[1]Перечень товаров'!$A$2:$I9525,2,0),"")</f>
        <v>т1</v>
      </c>
      <c r="C7904" s="12" t="str">
        <f>IFERROR(VLOOKUP(D7904,'[1]Перечень товаров'!$A$2:$I9525,3,0),"")</f>
        <v xml:space="preserve">Техника </v>
      </c>
      <c r="D7904" s="22" t="s">
        <v>28</v>
      </c>
      <c r="E7904" s="23"/>
      <c r="F7904" s="23"/>
      <c r="G7904" s="24">
        <v>1</v>
      </c>
      <c r="H7904" s="24"/>
      <c r="I7904" s="25"/>
      <c r="J7904" s="25"/>
      <c r="K7904" s="19"/>
      <c r="L7904" s="20"/>
    </row>
    <row r="7905" spans="1:12" outlineLevel="2">
      <c r="A7905" s="34"/>
      <c r="B7905" s="12" t="str">
        <f>IFERROR(VLOOKUP(D7905,'[1]Перечень товаров'!$A$2:$I9525,2,0),"")</f>
        <v>т235</v>
      </c>
      <c r="C7905" s="12" t="str">
        <f>IFERROR(VLOOKUP(D7905,'[1]Перечень товаров'!$A$2:$I9525,3,0),"")</f>
        <v>Техника</v>
      </c>
      <c r="D7905" s="35" t="s">
        <v>742</v>
      </c>
      <c r="E7905" s="23"/>
      <c r="F7905" s="23"/>
      <c r="G7905" s="24">
        <v>1</v>
      </c>
      <c r="H7905" s="24"/>
      <c r="I7905" s="25"/>
      <c r="J7905" s="25"/>
      <c r="K7905" s="19"/>
      <c r="L7905" s="20"/>
    </row>
    <row r="7906" spans="1:12" outlineLevel="2">
      <c r="A7906" s="34"/>
      <c r="B7906" s="12" t="str">
        <f>IFERROR(VLOOKUP(D7906,'[1]Перечень товаров'!$A$2:$I9525,2,0),"")</f>
        <v>т8</v>
      </c>
      <c r="C7906" s="12" t="str">
        <f>IFERROR(VLOOKUP(D7906,'[1]Перечень товаров'!$A$2:$I9525,3,0),"")</f>
        <v xml:space="preserve">Техника </v>
      </c>
      <c r="D7906" s="35" t="s">
        <v>35</v>
      </c>
      <c r="E7906" s="23"/>
      <c r="F7906" s="23"/>
      <c r="G7906" s="24">
        <v>1</v>
      </c>
      <c r="H7906" s="24"/>
      <c r="I7906" s="25"/>
      <c r="J7906" s="25"/>
      <c r="K7906" s="19"/>
      <c r="L7906" s="20"/>
    </row>
    <row r="7907" spans="1:12" outlineLevel="2">
      <c r="A7907" s="34"/>
      <c r="B7907" s="12" t="str">
        <f>IFERROR(VLOOKUP(D7907,'[1]Перечень товаров'!$A$2:$I9525,2,0),"")</f>
        <v>т4</v>
      </c>
      <c r="C7907" s="12" t="str">
        <f>IFERROR(VLOOKUP(D7907,'[1]Перечень товаров'!$A$2:$I9525,3,0),"")</f>
        <v xml:space="preserve">Техника </v>
      </c>
      <c r="D7907" s="35" t="s">
        <v>31</v>
      </c>
      <c r="E7907" s="23"/>
      <c r="F7907" s="23"/>
      <c r="G7907" s="24">
        <v>1</v>
      </c>
      <c r="H7907" s="24"/>
      <c r="I7907" s="25"/>
      <c r="J7907" s="25"/>
      <c r="K7907" s="19"/>
      <c r="L7907" s="20"/>
    </row>
    <row r="7908" spans="1:12" outlineLevel="2">
      <c r="A7908" s="34"/>
      <c r="B7908" s="12" t="str">
        <f>IFERROR(VLOOKUP(D7908,'[1]Перечень товаров'!$A$2:$I9525,2,0),"")</f>
        <v>т236</v>
      </c>
      <c r="C7908" s="12" t="str">
        <f>IFERROR(VLOOKUP(D7908,'[1]Перечень товаров'!$A$2:$I9525,3,0),"")</f>
        <v>Техника</v>
      </c>
      <c r="D7908" s="35" t="s">
        <v>743</v>
      </c>
      <c r="E7908" s="23"/>
      <c r="F7908" s="23"/>
      <c r="G7908" s="24">
        <v>1</v>
      </c>
      <c r="H7908" s="24"/>
      <c r="I7908" s="25"/>
      <c r="J7908" s="25"/>
      <c r="K7908" s="19"/>
      <c r="L7908" s="20"/>
    </row>
    <row r="7909" spans="1:12" outlineLevel="2">
      <c r="A7909" s="34"/>
      <c r="B7909" s="12" t="str">
        <f>IFERROR(VLOOKUP(D7909,'[1]Перечень товаров'!$A$2:$I9525,2,0),"")</f>
        <v>т237</v>
      </c>
      <c r="C7909" s="12" t="str">
        <f>IFERROR(VLOOKUP(D7909,'[1]Перечень товаров'!$A$2:$I9525,3,0),"")</f>
        <v>Техника</v>
      </c>
      <c r="D7909" s="35" t="s">
        <v>744</v>
      </c>
      <c r="E7909" s="23"/>
      <c r="F7909" s="23"/>
      <c r="G7909" s="24">
        <v>2</v>
      </c>
      <c r="H7909" s="24"/>
      <c r="I7909" s="25"/>
      <c r="J7909" s="25"/>
      <c r="K7909" s="19"/>
      <c r="L7909" s="20"/>
    </row>
    <row r="7910" spans="1:12" ht="12.75" outlineLevel="2">
      <c r="A7910" s="197"/>
      <c r="B7910" s="12" t="str">
        <f>IFERROR(VLOOKUP(D7910,'[1]Перечень товаров'!$A$2:$I9525,2,0),"")</f>
        <v/>
      </c>
      <c r="C7910" s="12" t="str">
        <f>IFERROR(VLOOKUP(D7910,'[1]Перечень товаров'!$A$2:$I9525,3,0),"")</f>
        <v/>
      </c>
      <c r="D7910" s="198" t="s">
        <v>19</v>
      </c>
      <c r="E7910" s="15"/>
      <c r="F7910" s="15"/>
      <c r="G7910" s="17"/>
      <c r="H7910" s="17"/>
      <c r="I7910" s="57"/>
      <c r="J7910" s="57"/>
      <c r="K7910" s="19"/>
      <c r="L7910" s="20"/>
    </row>
    <row r="7911" spans="1:12" outlineLevel="2">
      <c r="A7911" s="34"/>
      <c r="B7911" s="12" t="str">
        <f>IFERROR(VLOOKUP(D7911,'[1]Перечень товаров'!$A$2:$I9525,2,0),"")</f>
        <v>м62</v>
      </c>
      <c r="C7911" s="12" t="str">
        <f>IFERROR(VLOOKUP(D7911,'[1]Перечень товаров'!$A$2:$I9525,3,0),"")</f>
        <v>Мебель</v>
      </c>
      <c r="D7911" s="35" t="s">
        <v>398</v>
      </c>
      <c r="E7911" s="23"/>
      <c r="F7911" s="23"/>
      <c r="G7911" s="24">
        <v>1</v>
      </c>
      <c r="H7911" s="24"/>
      <c r="I7911" s="25"/>
      <c r="J7911" s="25"/>
      <c r="K7911" s="19"/>
      <c r="L7911" s="20"/>
    </row>
    <row r="7912" spans="1:12" outlineLevel="2">
      <c r="A7912" s="34"/>
      <c r="B7912" s="12" t="str">
        <f>IFERROR(VLOOKUP(D7912,'[1]Перечень товаров'!$A$2:$I9525,2,0),"")</f>
        <v>м61</v>
      </c>
      <c r="C7912" s="12" t="str">
        <f>IFERROR(VLOOKUP(D7912,'[1]Перечень товаров'!$A$2:$I9525,3,0),"")</f>
        <v>Мебель</v>
      </c>
      <c r="D7912" s="35" t="s">
        <v>383</v>
      </c>
      <c r="E7912" s="23"/>
      <c r="F7912" s="23"/>
      <c r="G7912" s="24">
        <v>1</v>
      </c>
      <c r="H7912" s="24"/>
      <c r="I7912" s="25"/>
      <c r="J7912" s="25"/>
      <c r="K7912" s="19"/>
      <c r="L7912" s="20"/>
    </row>
    <row r="7913" spans="1:12" outlineLevel="2">
      <c r="A7913" s="34"/>
      <c r="B7913" s="12" t="str">
        <f>IFERROR(VLOOKUP(D7913,'[1]Перечень товаров'!$A$2:$I9525,2,0),"")</f>
        <v>м147</v>
      </c>
      <c r="C7913" s="12" t="str">
        <f>IFERROR(VLOOKUP(D7913,'[1]Перечень товаров'!$A$2:$I9525,3,0),"")</f>
        <v>мебель</v>
      </c>
      <c r="D7913" s="35" t="s">
        <v>1294</v>
      </c>
      <c r="E7913" s="23"/>
      <c r="F7913" s="23"/>
      <c r="G7913" s="24">
        <v>13</v>
      </c>
      <c r="H7913" s="24"/>
      <c r="I7913" s="25"/>
      <c r="J7913" s="25"/>
      <c r="K7913" s="19"/>
      <c r="L7913" s="20"/>
    </row>
    <row r="7914" spans="1:12" outlineLevel="2">
      <c r="A7914" s="34"/>
      <c r="B7914" s="12" t="str">
        <f>IFERROR(VLOOKUP(D7914,'[1]Перечень товаров'!$A$2:$I9525,2,0),"")</f>
        <v>м151</v>
      </c>
      <c r="C7914" s="12" t="str">
        <f>IFERROR(VLOOKUP(D7914,'[1]Перечень товаров'!$A$2:$I9525,3,0),"")</f>
        <v>мебель</v>
      </c>
      <c r="D7914" s="35" t="s">
        <v>1207</v>
      </c>
      <c r="E7914" s="23"/>
      <c r="F7914" s="23"/>
      <c r="G7914" s="24">
        <v>26</v>
      </c>
      <c r="H7914" s="24"/>
      <c r="I7914" s="25"/>
      <c r="J7914" s="25"/>
      <c r="K7914" s="19"/>
      <c r="L7914" s="20"/>
    </row>
    <row r="7915" spans="1:12" outlineLevel="2">
      <c r="A7915" s="34"/>
      <c r="B7915" s="12" t="str">
        <f>IFERROR(VLOOKUP(D7915,'[1]Перечень товаров'!$A$2:$I9525,2,0),"")</f>
        <v>м216</v>
      </c>
      <c r="C7915" s="12" t="str">
        <f>IFERROR(VLOOKUP(D7915,'[1]Перечень товаров'!$A$2:$I9525,3,0),"")</f>
        <v>Мебель</v>
      </c>
      <c r="D7915" s="35" t="s">
        <v>854</v>
      </c>
      <c r="E7915" s="23"/>
      <c r="F7915" s="23"/>
      <c r="G7915" s="24">
        <v>2</v>
      </c>
      <c r="H7915" s="24"/>
      <c r="I7915" s="25"/>
      <c r="J7915" s="25"/>
      <c r="K7915" s="19"/>
      <c r="L7915" s="20"/>
    </row>
    <row r="7916" spans="1:12" ht="31.5" outlineLevel="2">
      <c r="A7916" s="34"/>
      <c r="B7916" s="12" t="str">
        <f>IFERROR(VLOOKUP(D7916,'[1]Перечень товаров'!$A$2:$I9525,2,0),"")</f>
        <v>д524</v>
      </c>
      <c r="C7916" s="12" t="str">
        <f>IFERROR(VLOOKUP(D7916,'[1]Перечень товаров'!$A$2:$I9525,3,0),"")</f>
        <v>дидактика</v>
      </c>
      <c r="D7916" s="35" t="s">
        <v>1231</v>
      </c>
      <c r="E7916" s="23"/>
      <c r="F7916" s="23"/>
      <c r="G7916" s="24">
        <v>1</v>
      </c>
      <c r="H7916" s="24"/>
      <c r="I7916" s="25"/>
      <c r="J7916" s="25"/>
      <c r="K7916" s="19"/>
      <c r="L7916" s="20"/>
    </row>
    <row r="7917" spans="1:12" outlineLevel="2">
      <c r="A7917" s="34"/>
      <c r="B7917" s="12" t="str">
        <f>IFERROR(VLOOKUP(D7917,'[1]Перечень товаров'!$A$2:$I9525,2,0),"")</f>
        <v>м150</v>
      </c>
      <c r="C7917" s="12" t="str">
        <f>IFERROR(VLOOKUP(D7917,'[1]Перечень товаров'!$A$2:$I9525,3,0),"")</f>
        <v>мебель</v>
      </c>
      <c r="D7917" s="35" t="s">
        <v>1232</v>
      </c>
      <c r="E7917" s="23"/>
      <c r="F7917" s="23"/>
      <c r="G7917" s="24">
        <v>1</v>
      </c>
      <c r="H7917" s="24"/>
      <c r="I7917" s="25"/>
      <c r="J7917" s="25"/>
      <c r="K7917" s="19"/>
      <c r="L7917" s="20"/>
    </row>
    <row r="7918" spans="1:12" ht="12.75" outlineLevel="2">
      <c r="A7918" s="197"/>
      <c r="B7918" s="12" t="str">
        <f>IFERROR(VLOOKUP(D7918,'[1]Перечень товаров'!$A$2:$I9525,2,0),"")</f>
        <v/>
      </c>
      <c r="C7918" s="12" t="str">
        <f>IFERROR(VLOOKUP(D7918,'[1]Перечень товаров'!$A$2:$I9525,3,0),"")</f>
        <v/>
      </c>
      <c r="D7918" s="198" t="s">
        <v>1415</v>
      </c>
      <c r="E7918" s="15"/>
      <c r="F7918" s="15"/>
      <c r="G7918" s="17"/>
      <c r="H7918" s="17"/>
      <c r="I7918" s="57"/>
      <c r="J7918" s="57"/>
      <c r="K7918" s="19"/>
      <c r="L7918" s="20"/>
    </row>
    <row r="7919" spans="1:12" ht="31.5" outlineLevel="2">
      <c r="A7919" s="21"/>
      <c r="B7919" s="12" t="str">
        <f>IFERROR(VLOOKUP(D7919,'[1]Перечень товаров'!$A$2:$I9525,2,0),"")</f>
        <v>д231</v>
      </c>
      <c r="C7919" s="12" t="str">
        <f>IFERROR(VLOOKUP(D7919,'[1]Перечень товаров'!$A$2:$I9525,3,0),"")</f>
        <v>Дидактика</v>
      </c>
      <c r="D7919" s="22" t="s">
        <v>1847</v>
      </c>
      <c r="E7919" s="23"/>
      <c r="F7919" s="23"/>
      <c r="G7919" s="24">
        <v>5</v>
      </c>
      <c r="H7919" s="24"/>
      <c r="I7919" s="25"/>
      <c r="J7919" s="25"/>
      <c r="K7919" s="19"/>
      <c r="L7919" s="20"/>
    </row>
    <row r="7920" spans="1:12" ht="31.5" outlineLevel="2">
      <c r="A7920" s="21"/>
      <c r="B7920" s="12" t="str">
        <f>IFERROR(VLOOKUP(D7920,'[1]Перечень товаров'!$A$2:$I9525,2,0),"")</f>
        <v>д481</v>
      </c>
      <c r="C7920" s="12" t="str">
        <f>IFERROR(VLOOKUP(D7920,'[1]Перечень товаров'!$A$2:$I9525,3,0),"")</f>
        <v>дидактика</v>
      </c>
      <c r="D7920" s="22" t="s">
        <v>1282</v>
      </c>
      <c r="E7920" s="23"/>
      <c r="F7920" s="23"/>
      <c r="G7920" s="24">
        <v>1</v>
      </c>
      <c r="H7920" s="24"/>
      <c r="I7920" s="25"/>
      <c r="J7920" s="25"/>
      <c r="K7920" s="19"/>
      <c r="L7920" s="20"/>
    </row>
    <row r="7921" spans="1:12" ht="12.75" outlineLevel="2">
      <c r="A7921" s="197"/>
      <c r="B7921" s="12" t="str">
        <f>IFERROR(VLOOKUP(D7921,'[1]Перечень товаров'!$A$2:$I9525,2,0),"")</f>
        <v/>
      </c>
      <c r="C7921" s="12" t="str">
        <f>IFERROR(VLOOKUP(D7921,'[1]Перечень товаров'!$A$2:$I9525,3,0),"")</f>
        <v/>
      </c>
      <c r="D7921" s="198" t="s">
        <v>1439</v>
      </c>
      <c r="E7921" s="15"/>
      <c r="F7921" s="15"/>
      <c r="G7921" s="17"/>
      <c r="H7921" s="17"/>
      <c r="I7921" s="57"/>
      <c r="J7921" s="57"/>
      <c r="K7921" s="19"/>
      <c r="L7921" s="20"/>
    </row>
    <row r="7922" spans="1:12" outlineLevel="2">
      <c r="A7922" s="21"/>
      <c r="B7922" s="12" t="str">
        <f>IFERROR(VLOOKUP(D7922,'[1]Перечень товаров'!$A$2:$I9525,2,0),"")</f>
        <v>д230</v>
      </c>
      <c r="C7922" s="12" t="str">
        <f>IFERROR(VLOOKUP(D7922,'[1]Перечень товаров'!$A$2:$I9525,3,0),"")</f>
        <v>Дидактика</v>
      </c>
      <c r="D7922" s="22" t="s">
        <v>1848</v>
      </c>
      <c r="E7922" s="23"/>
      <c r="F7922" s="23"/>
      <c r="G7922" s="24">
        <v>1</v>
      </c>
      <c r="H7922" s="24"/>
      <c r="I7922" s="25"/>
      <c r="J7922" s="25"/>
      <c r="K7922" s="19"/>
      <c r="L7922" s="20"/>
    </row>
    <row r="7923" spans="1:12" outlineLevel="2">
      <c r="A7923" s="21"/>
      <c r="B7923" s="12" t="str">
        <f>IFERROR(VLOOKUP(D7923,'[1]Перечень товаров'!$A$2:$I9525,2,0),"")</f>
        <v>д377</v>
      </c>
      <c r="C7923" s="12" t="str">
        <f>IFERROR(VLOOKUP(D7923,'[1]Перечень товаров'!$A$2:$I9525,3,0),"")</f>
        <v>дидактика</v>
      </c>
      <c r="D7923" s="22" t="s">
        <v>1440</v>
      </c>
      <c r="E7923" s="23"/>
      <c r="F7923" s="23"/>
      <c r="G7923" s="24">
        <v>1</v>
      </c>
      <c r="H7923" s="24"/>
      <c r="I7923" s="25"/>
      <c r="J7923" s="25"/>
      <c r="K7923" s="19"/>
      <c r="L7923" s="20"/>
    </row>
    <row r="7924" spans="1:12" ht="12.75" outlineLevel="2">
      <c r="A7924" s="197"/>
      <c r="B7924" s="12" t="str">
        <f>IFERROR(VLOOKUP(D7924,'[1]Перечень товаров'!$A$2:$I9525,2,0),"")</f>
        <v/>
      </c>
      <c r="C7924" s="12" t="str">
        <f>IFERROR(VLOOKUP(D7924,'[1]Перечень товаров'!$A$2:$I9525,3,0),"")</f>
        <v/>
      </c>
      <c r="D7924" s="198" t="s">
        <v>809</v>
      </c>
      <c r="E7924" s="15"/>
      <c r="F7924" s="15"/>
      <c r="G7924" s="17"/>
      <c r="H7924" s="17"/>
      <c r="I7924" s="57"/>
      <c r="J7924" s="57"/>
      <c r="K7924" s="19"/>
      <c r="L7924" s="20"/>
    </row>
    <row r="7925" spans="1:12" outlineLevel="2">
      <c r="A7925" s="34"/>
      <c r="B7925" s="12" t="str">
        <f>IFERROR(VLOOKUP(D7925,'[1]Перечень товаров'!$A$2:$I9525,2,0),"")</f>
        <v>д65</v>
      </c>
      <c r="C7925" s="12" t="str">
        <f>IFERROR(VLOOKUP(D7925,'[1]Перечень товаров'!$A$2:$I9525,3,0),"")</f>
        <v>Дидактика</v>
      </c>
      <c r="D7925" s="35" t="s">
        <v>811</v>
      </c>
      <c r="E7925" s="23"/>
      <c r="F7925" s="23"/>
      <c r="G7925" s="24">
        <v>1</v>
      </c>
      <c r="H7925" s="24"/>
      <c r="I7925" s="25"/>
      <c r="J7925" s="25"/>
      <c r="K7925" s="19"/>
      <c r="L7925" s="20"/>
    </row>
    <row r="7926" spans="1:12" outlineLevel="2">
      <c r="A7926" s="34"/>
      <c r="B7926" s="12" t="str">
        <f>IFERROR(VLOOKUP(D7926,'[1]Перечень товаров'!$A$2:$I9525,2,0),"")</f>
        <v>д66</v>
      </c>
      <c r="C7926" s="12" t="str">
        <f>IFERROR(VLOOKUP(D7926,'[1]Перечень товаров'!$A$2:$I9525,3,0),"")</f>
        <v>Дидактика</v>
      </c>
      <c r="D7926" s="35" t="s">
        <v>812</v>
      </c>
      <c r="E7926" s="23"/>
      <c r="F7926" s="23"/>
      <c r="G7926" s="24">
        <v>1</v>
      </c>
      <c r="H7926" s="24"/>
      <c r="I7926" s="25"/>
      <c r="J7926" s="25"/>
      <c r="K7926" s="19"/>
      <c r="L7926" s="20"/>
    </row>
    <row r="7927" spans="1:12" outlineLevel="2">
      <c r="A7927" s="34"/>
      <c r="B7927" s="12" t="str">
        <f>IFERROR(VLOOKUP(D7927,'[1]Перечень товаров'!$A$2:$I9525,2,0),"")</f>
        <v>д67</v>
      </c>
      <c r="C7927" s="12" t="str">
        <f>IFERROR(VLOOKUP(D7927,'[1]Перечень товаров'!$A$2:$I9525,3,0),"")</f>
        <v>Дидактика</v>
      </c>
      <c r="D7927" s="35" t="s">
        <v>813</v>
      </c>
      <c r="E7927" s="23"/>
      <c r="F7927" s="23"/>
      <c r="G7927" s="24">
        <v>1</v>
      </c>
      <c r="H7927" s="24"/>
      <c r="I7927" s="25"/>
      <c r="J7927" s="25"/>
      <c r="K7927" s="19"/>
      <c r="L7927" s="20"/>
    </row>
    <row r="7928" spans="1:12" outlineLevel="2">
      <c r="A7928" s="34"/>
      <c r="B7928" s="12" t="str">
        <f>IFERROR(VLOOKUP(D7928,'[1]Перечень товаров'!$A$2:$I9525,2,0),"")</f>
        <v>п90</v>
      </c>
      <c r="C7928" s="12" t="str">
        <f>IFERROR(VLOOKUP(D7928,'[1]Перечень товаров'!$A$2:$I9525,3,0),"")</f>
        <v>Прочее</v>
      </c>
      <c r="D7928" s="35" t="s">
        <v>723</v>
      </c>
      <c r="E7928" s="23"/>
      <c r="F7928" s="23"/>
      <c r="G7928" s="24">
        <v>1</v>
      </c>
      <c r="H7928" s="24"/>
      <c r="I7928" s="25"/>
      <c r="J7928" s="25"/>
      <c r="K7928" s="19"/>
      <c r="L7928" s="20"/>
    </row>
    <row r="7929" spans="1:12" outlineLevel="2">
      <c r="A7929" s="34"/>
      <c r="B7929" s="12" t="str">
        <f>IFERROR(VLOOKUP(D7929,'[1]Перечень товаров'!$A$2:$I9525,2,0),"")</f>
        <v>д68</v>
      </c>
      <c r="C7929" s="12" t="str">
        <f>IFERROR(VLOOKUP(D7929,'[1]Перечень товаров'!$A$2:$I9525,3,0),"")</f>
        <v>Дидактика</v>
      </c>
      <c r="D7929" s="35" t="s">
        <v>814</v>
      </c>
      <c r="E7929" s="23"/>
      <c r="F7929" s="23"/>
      <c r="G7929" s="24">
        <v>4</v>
      </c>
      <c r="H7929" s="24"/>
      <c r="I7929" s="25"/>
      <c r="J7929" s="25"/>
      <c r="K7929" s="19"/>
      <c r="L7929" s="20"/>
    </row>
    <row r="7930" spans="1:12" outlineLevel="2">
      <c r="A7930" s="34"/>
      <c r="B7930" s="12" t="str">
        <f>IFERROR(VLOOKUP(D7930,'[1]Перечень товаров'!$A$2:$I9525,2,0),"")</f>
        <v>д69</v>
      </c>
      <c r="C7930" s="12" t="str">
        <f>IFERROR(VLOOKUP(D7930,'[1]Перечень товаров'!$A$2:$I9525,3,0),"")</f>
        <v>Дидактика</v>
      </c>
      <c r="D7930" s="35" t="s">
        <v>815</v>
      </c>
      <c r="E7930" s="23"/>
      <c r="F7930" s="23"/>
      <c r="G7930" s="24">
        <v>4</v>
      </c>
      <c r="H7930" s="24"/>
      <c r="I7930" s="25"/>
      <c r="J7930" s="25"/>
      <c r="K7930" s="19"/>
      <c r="L7930" s="20"/>
    </row>
    <row r="7931" spans="1:12" outlineLevel="2">
      <c r="A7931" s="34"/>
      <c r="B7931" s="12" t="str">
        <f>IFERROR(VLOOKUP(D7931,'[1]Перечень товаров'!$A$2:$I9525,2,0),"")</f>
        <v>д70</v>
      </c>
      <c r="C7931" s="12" t="str">
        <f>IFERROR(VLOOKUP(D7931,'[1]Перечень товаров'!$A$2:$I9525,3,0),"")</f>
        <v>Дидактика</v>
      </c>
      <c r="D7931" s="35" t="s">
        <v>816</v>
      </c>
      <c r="E7931" s="23"/>
      <c r="F7931" s="23"/>
      <c r="G7931" s="24">
        <v>1</v>
      </c>
      <c r="H7931" s="24"/>
      <c r="I7931" s="25"/>
      <c r="J7931" s="25"/>
      <c r="K7931" s="19"/>
      <c r="L7931" s="20"/>
    </row>
    <row r="7932" spans="1:12" outlineLevel="1">
      <c r="A7932" s="21"/>
      <c r="B7932" s="12" t="str">
        <f>IFERROR(VLOOKUP(D7932,'[1]Перечень товаров'!$A$2:$I9525,2,0),"")</f>
        <v/>
      </c>
      <c r="C7932" s="12" t="str">
        <f>IFERROR(VLOOKUP(D7932,'[1]Перечень товаров'!$A$2:$I9525,3,0),"")</f>
        <v/>
      </c>
      <c r="D7932" s="22" t="s">
        <v>1851</v>
      </c>
      <c r="E7932" s="102">
        <v>46065</v>
      </c>
      <c r="F7932" s="102"/>
      <c r="G7932" s="103"/>
      <c r="H7932" s="103"/>
      <c r="I7932" s="104"/>
      <c r="J7932" s="104"/>
      <c r="K7932" s="19"/>
      <c r="L7932" s="20"/>
    </row>
    <row r="7933" spans="1:12" ht="12.75" outlineLevel="1">
      <c r="A7933" s="11"/>
      <c r="B7933" s="12" t="str">
        <f>IFERROR(VLOOKUP(D7933,'[1]Перечень товаров'!$A$2:$I9525,2,0),"")</f>
        <v/>
      </c>
      <c r="C7933" s="12" t="str">
        <f>IFERROR(VLOOKUP(D7933,'[1]Перечень товаров'!$A$2:$I9525,3,0),"")</f>
        <v/>
      </c>
      <c r="D7933" s="27" t="s">
        <v>1845</v>
      </c>
      <c r="E7933" s="14" t="s">
        <v>1852</v>
      </c>
      <c r="F7933" s="14"/>
      <c r="G7933" s="17"/>
      <c r="H7933" s="17"/>
      <c r="I7933" s="57"/>
      <c r="J7933" s="57"/>
      <c r="K7933" s="19"/>
      <c r="L7933" s="20"/>
    </row>
    <row r="7934" spans="1:12" ht="12.75" outlineLevel="2">
      <c r="A7934" s="197"/>
      <c r="B7934" s="12" t="str">
        <f>IFERROR(VLOOKUP(D7934,'[1]Перечень товаров'!$A$2:$I9525,2,0),"")</f>
        <v/>
      </c>
      <c r="C7934" s="12" t="str">
        <f>IFERROR(VLOOKUP(D7934,'[1]Перечень товаров'!$A$2:$I9525,3,0),"")</f>
        <v/>
      </c>
      <c r="D7934" s="198" t="s">
        <v>668</v>
      </c>
      <c r="E7934" s="15"/>
      <c r="F7934" s="15"/>
      <c r="G7934" s="17"/>
      <c r="H7934" s="17"/>
      <c r="I7934" s="57"/>
      <c r="J7934" s="57"/>
      <c r="K7934" s="19"/>
      <c r="L7934" s="20"/>
    </row>
    <row r="7935" spans="1:12" outlineLevel="2">
      <c r="A7935" s="34"/>
      <c r="B7935" s="12" t="str">
        <f>IFERROR(VLOOKUP(D7935,'[1]Перечень товаров'!$A$2:$I9525,2,0),"")</f>
        <v>т129</v>
      </c>
      <c r="C7935" s="12" t="str">
        <f>IFERROR(VLOOKUP(D7935,'[1]Перечень товаров'!$A$2:$I9525,3,0),"")</f>
        <v>Техника</v>
      </c>
      <c r="D7935" s="35" t="s">
        <v>1204</v>
      </c>
      <c r="E7935" s="23"/>
      <c r="F7935" s="23"/>
      <c r="G7935" s="24">
        <v>1</v>
      </c>
      <c r="H7935" s="24"/>
      <c r="I7935" s="25"/>
      <c r="J7935" s="25"/>
      <c r="K7935" s="19"/>
      <c r="L7935" s="20"/>
    </row>
    <row r="7936" spans="1:12" outlineLevel="2">
      <c r="A7936" s="34"/>
      <c r="B7936" s="12" t="str">
        <f>IFERROR(VLOOKUP(D7936,'[1]Перечень товаров'!$A$2:$I9525,2,0),"")</f>
        <v>т128</v>
      </c>
      <c r="C7936" s="12" t="str">
        <f>IFERROR(VLOOKUP(D7936,'[1]Перечень товаров'!$A$2:$I9525,3,0),"")</f>
        <v>Техника</v>
      </c>
      <c r="D7936" s="35" t="s">
        <v>1205</v>
      </c>
      <c r="E7936" s="23"/>
      <c r="F7936" s="23"/>
      <c r="G7936" s="24">
        <v>1</v>
      </c>
      <c r="H7936" s="24"/>
      <c r="I7936" s="25"/>
      <c r="J7936" s="25"/>
      <c r="K7936" s="19"/>
      <c r="L7936" s="20"/>
    </row>
    <row r="7937" spans="1:12" outlineLevel="2">
      <c r="A7937" s="34"/>
      <c r="B7937" s="12" t="str">
        <f>IFERROR(VLOOKUP(D7937,'[1]Перечень товаров'!$A$2:$I9525,2,0),"")</f>
        <v>т1</v>
      </c>
      <c r="C7937" s="12" t="str">
        <f>IFERROR(VLOOKUP(D7937,'[1]Перечень товаров'!$A$2:$I9525,3,0),"")</f>
        <v xml:space="preserve">Техника </v>
      </c>
      <c r="D7937" s="22" t="s">
        <v>28</v>
      </c>
      <c r="E7937" s="23"/>
      <c r="F7937" s="23"/>
      <c r="G7937" s="24">
        <v>1</v>
      </c>
      <c r="H7937" s="24"/>
      <c r="I7937" s="25"/>
      <c r="J7937" s="25"/>
      <c r="K7937" s="19"/>
      <c r="L7937" s="20"/>
    </row>
    <row r="7938" spans="1:12" outlineLevel="2">
      <c r="A7938" s="34"/>
      <c r="B7938" s="12" t="str">
        <f>IFERROR(VLOOKUP(D7938,'[1]Перечень товаров'!$A$2:$I9525,2,0),"")</f>
        <v>т235</v>
      </c>
      <c r="C7938" s="12" t="str">
        <f>IFERROR(VLOOKUP(D7938,'[1]Перечень товаров'!$A$2:$I9525,3,0),"")</f>
        <v>Техника</v>
      </c>
      <c r="D7938" s="35" t="s">
        <v>742</v>
      </c>
      <c r="E7938" s="23"/>
      <c r="F7938" s="23"/>
      <c r="G7938" s="24">
        <v>1</v>
      </c>
      <c r="H7938" s="24"/>
      <c r="I7938" s="25"/>
      <c r="J7938" s="25"/>
      <c r="K7938" s="19"/>
      <c r="L7938" s="20"/>
    </row>
    <row r="7939" spans="1:12" outlineLevel="2">
      <c r="A7939" s="34"/>
      <c r="B7939" s="12" t="str">
        <f>IFERROR(VLOOKUP(D7939,'[1]Перечень товаров'!$A$2:$I9525,2,0),"")</f>
        <v>т8</v>
      </c>
      <c r="C7939" s="12" t="str">
        <f>IFERROR(VLOOKUP(D7939,'[1]Перечень товаров'!$A$2:$I9525,3,0),"")</f>
        <v xml:space="preserve">Техника </v>
      </c>
      <c r="D7939" s="35" t="s">
        <v>35</v>
      </c>
      <c r="E7939" s="23"/>
      <c r="F7939" s="23"/>
      <c r="G7939" s="24">
        <v>1</v>
      </c>
      <c r="H7939" s="24"/>
      <c r="I7939" s="25"/>
      <c r="J7939" s="25"/>
      <c r="K7939" s="19"/>
      <c r="L7939" s="20"/>
    </row>
    <row r="7940" spans="1:12" outlineLevel="2">
      <c r="A7940" s="34"/>
      <c r="B7940" s="12" t="str">
        <f>IFERROR(VLOOKUP(D7940,'[1]Перечень товаров'!$A$2:$I9525,2,0),"")</f>
        <v>т4</v>
      </c>
      <c r="C7940" s="12" t="str">
        <f>IFERROR(VLOOKUP(D7940,'[1]Перечень товаров'!$A$2:$I9525,3,0),"")</f>
        <v xml:space="preserve">Техника </v>
      </c>
      <c r="D7940" s="35" t="s">
        <v>31</v>
      </c>
      <c r="E7940" s="23"/>
      <c r="F7940" s="23"/>
      <c r="G7940" s="24">
        <v>1</v>
      </c>
      <c r="H7940" s="24"/>
      <c r="I7940" s="25"/>
      <c r="J7940" s="25"/>
      <c r="K7940" s="19"/>
      <c r="L7940" s="20"/>
    </row>
    <row r="7941" spans="1:12" outlineLevel="2">
      <c r="A7941" s="34"/>
      <c r="B7941" s="12" t="str">
        <f>IFERROR(VLOOKUP(D7941,'[1]Перечень товаров'!$A$2:$I9525,2,0),"")</f>
        <v>т236</v>
      </c>
      <c r="C7941" s="12" t="str">
        <f>IFERROR(VLOOKUP(D7941,'[1]Перечень товаров'!$A$2:$I9525,3,0),"")</f>
        <v>Техника</v>
      </c>
      <c r="D7941" s="35" t="s">
        <v>743</v>
      </c>
      <c r="E7941" s="23"/>
      <c r="F7941" s="23"/>
      <c r="G7941" s="24">
        <v>1</v>
      </c>
      <c r="H7941" s="24"/>
      <c r="I7941" s="25"/>
      <c r="J7941" s="25"/>
      <c r="K7941" s="19"/>
      <c r="L7941" s="20"/>
    </row>
    <row r="7942" spans="1:12" outlineLevel="2">
      <c r="A7942" s="34"/>
      <c r="B7942" s="12" t="str">
        <f>IFERROR(VLOOKUP(D7942,'[1]Перечень товаров'!$A$2:$I9525,2,0),"")</f>
        <v>т237</v>
      </c>
      <c r="C7942" s="12" t="str">
        <f>IFERROR(VLOOKUP(D7942,'[1]Перечень товаров'!$A$2:$I9525,3,0),"")</f>
        <v>Техника</v>
      </c>
      <c r="D7942" s="35" t="s">
        <v>744</v>
      </c>
      <c r="E7942" s="23"/>
      <c r="F7942" s="23"/>
      <c r="G7942" s="24">
        <v>2</v>
      </c>
      <c r="H7942" s="24"/>
      <c r="I7942" s="25"/>
      <c r="J7942" s="25"/>
      <c r="K7942" s="19"/>
      <c r="L7942" s="20"/>
    </row>
    <row r="7943" spans="1:12" ht="12.75" outlineLevel="2">
      <c r="A7943" s="197"/>
      <c r="B7943" s="12" t="str">
        <f>IFERROR(VLOOKUP(D7943,'[1]Перечень товаров'!$A$2:$I9525,2,0),"")</f>
        <v/>
      </c>
      <c r="C7943" s="12" t="str">
        <f>IFERROR(VLOOKUP(D7943,'[1]Перечень товаров'!$A$2:$I9525,3,0),"")</f>
        <v/>
      </c>
      <c r="D7943" s="198" t="s">
        <v>19</v>
      </c>
      <c r="E7943" s="15"/>
      <c r="F7943" s="15"/>
      <c r="G7943" s="17"/>
      <c r="H7943" s="17"/>
      <c r="I7943" s="57"/>
      <c r="J7943" s="57"/>
      <c r="K7943" s="19"/>
      <c r="L7943" s="20"/>
    </row>
    <row r="7944" spans="1:12" outlineLevel="2">
      <c r="A7944" s="34"/>
      <c r="B7944" s="12" t="str">
        <f>IFERROR(VLOOKUP(D7944,'[1]Перечень товаров'!$A$2:$I9525,2,0),"")</f>
        <v>м62</v>
      </c>
      <c r="C7944" s="12" t="str">
        <f>IFERROR(VLOOKUP(D7944,'[1]Перечень товаров'!$A$2:$I9525,3,0),"")</f>
        <v>Мебель</v>
      </c>
      <c r="D7944" s="35" t="s">
        <v>398</v>
      </c>
      <c r="E7944" s="23"/>
      <c r="F7944" s="23"/>
      <c r="G7944" s="24">
        <v>1</v>
      </c>
      <c r="H7944" s="24"/>
      <c r="I7944" s="25"/>
      <c r="J7944" s="25"/>
      <c r="K7944" s="19"/>
      <c r="L7944" s="20"/>
    </row>
    <row r="7945" spans="1:12" outlineLevel="2">
      <c r="A7945" s="34"/>
      <c r="B7945" s="12" t="str">
        <f>IFERROR(VLOOKUP(D7945,'[1]Перечень товаров'!$A$2:$I9525,2,0),"")</f>
        <v>м61</v>
      </c>
      <c r="C7945" s="12" t="str">
        <f>IFERROR(VLOOKUP(D7945,'[1]Перечень товаров'!$A$2:$I9525,3,0),"")</f>
        <v>Мебель</v>
      </c>
      <c r="D7945" s="35" t="s">
        <v>383</v>
      </c>
      <c r="E7945" s="23"/>
      <c r="F7945" s="23"/>
      <c r="G7945" s="24">
        <v>1</v>
      </c>
      <c r="H7945" s="24"/>
      <c r="I7945" s="25"/>
      <c r="J7945" s="25"/>
      <c r="K7945" s="19"/>
      <c r="L7945" s="20"/>
    </row>
    <row r="7946" spans="1:12" outlineLevel="2">
      <c r="A7946" s="34"/>
      <c r="B7946" s="12" t="str">
        <f>IFERROR(VLOOKUP(D7946,'[1]Перечень товаров'!$A$2:$I9525,2,0),"")</f>
        <v>м147</v>
      </c>
      <c r="C7946" s="12" t="str">
        <f>IFERROR(VLOOKUP(D7946,'[1]Перечень товаров'!$A$2:$I9525,3,0),"")</f>
        <v>мебель</v>
      </c>
      <c r="D7946" s="35" t="s">
        <v>1294</v>
      </c>
      <c r="E7946" s="23"/>
      <c r="F7946" s="23"/>
      <c r="G7946" s="24">
        <v>13</v>
      </c>
      <c r="H7946" s="24"/>
      <c r="I7946" s="25"/>
      <c r="J7946" s="25"/>
      <c r="K7946" s="19"/>
      <c r="L7946" s="20"/>
    </row>
    <row r="7947" spans="1:12" outlineLevel="2">
      <c r="A7947" s="34"/>
      <c r="B7947" s="12" t="str">
        <f>IFERROR(VLOOKUP(D7947,'[1]Перечень товаров'!$A$2:$I9525,2,0),"")</f>
        <v>м151</v>
      </c>
      <c r="C7947" s="12" t="str">
        <f>IFERROR(VLOOKUP(D7947,'[1]Перечень товаров'!$A$2:$I9525,3,0),"")</f>
        <v>мебель</v>
      </c>
      <c r="D7947" s="35" t="s">
        <v>1207</v>
      </c>
      <c r="E7947" s="23"/>
      <c r="F7947" s="23"/>
      <c r="G7947" s="24">
        <v>26</v>
      </c>
      <c r="H7947" s="24"/>
      <c r="I7947" s="25"/>
      <c r="J7947" s="25"/>
      <c r="K7947" s="19"/>
      <c r="L7947" s="20"/>
    </row>
    <row r="7948" spans="1:12" outlineLevel="2">
      <c r="A7948" s="34"/>
      <c r="B7948" s="12" t="str">
        <f>IFERROR(VLOOKUP(D7948,'[1]Перечень товаров'!$A$2:$I9525,2,0),"")</f>
        <v>м216</v>
      </c>
      <c r="C7948" s="12" t="str">
        <f>IFERROR(VLOOKUP(D7948,'[1]Перечень товаров'!$A$2:$I9525,3,0),"")</f>
        <v>Мебель</v>
      </c>
      <c r="D7948" s="35" t="s">
        <v>854</v>
      </c>
      <c r="E7948" s="23"/>
      <c r="F7948" s="23"/>
      <c r="G7948" s="24">
        <v>2</v>
      </c>
      <c r="H7948" s="24"/>
      <c r="I7948" s="25"/>
      <c r="J7948" s="25"/>
      <c r="K7948" s="19"/>
      <c r="L7948" s="20"/>
    </row>
    <row r="7949" spans="1:12" ht="31.5" outlineLevel="2">
      <c r="A7949" s="34"/>
      <c r="B7949" s="12" t="str">
        <f>IFERROR(VLOOKUP(D7949,'[1]Перечень товаров'!$A$2:$I9525,2,0),"")</f>
        <v>д524</v>
      </c>
      <c r="C7949" s="12" t="str">
        <f>IFERROR(VLOOKUP(D7949,'[1]Перечень товаров'!$A$2:$I9525,3,0),"")</f>
        <v>дидактика</v>
      </c>
      <c r="D7949" s="35" t="s">
        <v>1231</v>
      </c>
      <c r="E7949" s="23"/>
      <c r="F7949" s="23"/>
      <c r="G7949" s="24">
        <v>1</v>
      </c>
      <c r="H7949" s="24"/>
      <c r="I7949" s="25"/>
      <c r="J7949" s="25"/>
      <c r="K7949" s="19"/>
      <c r="L7949" s="20"/>
    </row>
    <row r="7950" spans="1:12" outlineLevel="2">
      <c r="A7950" s="34"/>
      <c r="B7950" s="12" t="str">
        <f>IFERROR(VLOOKUP(D7950,'[1]Перечень товаров'!$A$2:$I9525,2,0),"")</f>
        <v>м150</v>
      </c>
      <c r="C7950" s="12" t="str">
        <f>IFERROR(VLOOKUP(D7950,'[1]Перечень товаров'!$A$2:$I9525,3,0),"")</f>
        <v>мебель</v>
      </c>
      <c r="D7950" s="35" t="s">
        <v>1232</v>
      </c>
      <c r="E7950" s="23"/>
      <c r="F7950" s="23"/>
      <c r="G7950" s="24">
        <v>1</v>
      </c>
      <c r="H7950" s="24"/>
      <c r="I7950" s="25"/>
      <c r="J7950" s="25"/>
      <c r="K7950" s="19"/>
      <c r="L7950" s="20"/>
    </row>
    <row r="7951" spans="1:12" ht="12.75" outlineLevel="2">
      <c r="A7951" s="197"/>
      <c r="B7951" s="12" t="str">
        <f>IFERROR(VLOOKUP(D7951,'[1]Перечень товаров'!$A$2:$I9525,2,0),"")</f>
        <v/>
      </c>
      <c r="C7951" s="12" t="str">
        <f>IFERROR(VLOOKUP(D7951,'[1]Перечень товаров'!$A$2:$I9525,3,0),"")</f>
        <v/>
      </c>
      <c r="D7951" s="198" t="s">
        <v>1415</v>
      </c>
      <c r="E7951" s="15"/>
      <c r="F7951" s="15"/>
      <c r="G7951" s="17"/>
      <c r="H7951" s="17"/>
      <c r="I7951" s="57"/>
      <c r="J7951" s="57"/>
      <c r="K7951" s="19"/>
      <c r="L7951" s="20"/>
    </row>
    <row r="7952" spans="1:12" ht="31.5" outlineLevel="2">
      <c r="A7952" s="21"/>
      <c r="B7952" s="12" t="str">
        <f>IFERROR(VLOOKUP(D7952,'[1]Перечень товаров'!$A$2:$I9525,2,0),"")</f>
        <v>д231</v>
      </c>
      <c r="C7952" s="12" t="str">
        <f>IFERROR(VLOOKUP(D7952,'[1]Перечень товаров'!$A$2:$I9525,3,0),"")</f>
        <v>Дидактика</v>
      </c>
      <c r="D7952" s="22" t="s">
        <v>1847</v>
      </c>
      <c r="E7952" s="23"/>
      <c r="F7952" s="23"/>
      <c r="G7952" s="24">
        <v>5</v>
      </c>
      <c r="H7952" s="24"/>
      <c r="I7952" s="25"/>
      <c r="J7952" s="25"/>
      <c r="K7952" s="19"/>
      <c r="L7952" s="20"/>
    </row>
    <row r="7953" spans="1:34" ht="31.5" outlineLevel="2">
      <c r="A7953" s="21"/>
      <c r="B7953" s="12" t="str">
        <f>IFERROR(VLOOKUP(D7953,'[1]Перечень товаров'!$A$2:$I9525,2,0),"")</f>
        <v>д481</v>
      </c>
      <c r="C7953" s="12" t="str">
        <f>IFERROR(VLOOKUP(D7953,'[1]Перечень товаров'!$A$2:$I9525,3,0),"")</f>
        <v>дидактика</v>
      </c>
      <c r="D7953" s="22" t="s">
        <v>1282</v>
      </c>
      <c r="E7953" s="23"/>
      <c r="F7953" s="23"/>
      <c r="G7953" s="24">
        <v>1</v>
      </c>
      <c r="H7953" s="24"/>
      <c r="I7953" s="25"/>
      <c r="J7953" s="25"/>
      <c r="K7953" s="19"/>
      <c r="L7953" s="20"/>
    </row>
    <row r="7954" spans="1:34" ht="12.75" outlineLevel="2">
      <c r="A7954" s="197"/>
      <c r="B7954" s="12" t="str">
        <f>IFERROR(VLOOKUP(D7954,'[1]Перечень товаров'!$A$2:$I9525,2,0),"")</f>
        <v/>
      </c>
      <c r="C7954" s="12" t="str">
        <f>IFERROR(VLOOKUP(D7954,'[1]Перечень товаров'!$A$2:$I9525,3,0),"")</f>
        <v/>
      </c>
      <c r="D7954" s="198" t="s">
        <v>1439</v>
      </c>
      <c r="E7954" s="15"/>
      <c r="F7954" s="15"/>
      <c r="G7954" s="17"/>
      <c r="H7954" s="17"/>
      <c r="I7954" s="57"/>
      <c r="J7954" s="57"/>
      <c r="K7954" s="19"/>
      <c r="L7954" s="20"/>
    </row>
    <row r="7955" spans="1:34" outlineLevel="2">
      <c r="A7955" s="21"/>
      <c r="B7955" s="12" t="str">
        <f>IFERROR(VLOOKUP(D7955,'[1]Перечень товаров'!$A$2:$I9525,2,0),"")</f>
        <v>д230</v>
      </c>
      <c r="C7955" s="12" t="str">
        <f>IFERROR(VLOOKUP(D7955,'[1]Перечень товаров'!$A$2:$I9525,3,0),"")</f>
        <v>Дидактика</v>
      </c>
      <c r="D7955" s="22" t="s">
        <v>1848</v>
      </c>
      <c r="E7955" s="23"/>
      <c r="F7955" s="23"/>
      <c r="G7955" s="24">
        <v>1</v>
      </c>
      <c r="H7955" s="24"/>
      <c r="I7955" s="25"/>
      <c r="J7955" s="25"/>
      <c r="K7955" s="19"/>
      <c r="L7955" s="20"/>
    </row>
    <row r="7956" spans="1:34" outlineLevel="2">
      <c r="A7956" s="21"/>
      <c r="B7956" s="12" t="str">
        <f>IFERROR(VLOOKUP(D7956,'[1]Перечень товаров'!$A$2:$I9525,2,0),"")</f>
        <v>д377</v>
      </c>
      <c r="C7956" s="12" t="str">
        <f>IFERROR(VLOOKUP(D7956,'[1]Перечень товаров'!$A$2:$I9525,3,0),"")</f>
        <v>дидактика</v>
      </c>
      <c r="D7956" s="22" t="s">
        <v>1440</v>
      </c>
      <c r="E7956" s="23"/>
      <c r="F7956" s="23"/>
      <c r="G7956" s="24">
        <v>1</v>
      </c>
      <c r="H7956" s="24"/>
      <c r="I7956" s="25"/>
      <c r="J7956" s="25"/>
      <c r="K7956" s="19"/>
      <c r="L7956" s="20"/>
    </row>
    <row r="7957" spans="1:34" ht="12.75" outlineLevel="2">
      <c r="A7957" s="197"/>
      <c r="B7957" s="12" t="str">
        <f>IFERROR(VLOOKUP(D7957,'[1]Перечень товаров'!$A$2:$I9525,2,0),"")</f>
        <v/>
      </c>
      <c r="C7957" s="12" t="str">
        <f>IFERROR(VLOOKUP(D7957,'[1]Перечень товаров'!$A$2:$I9525,3,0),"")</f>
        <v/>
      </c>
      <c r="D7957" s="198" t="s">
        <v>809</v>
      </c>
      <c r="E7957" s="15"/>
      <c r="F7957" s="15"/>
      <c r="G7957" s="17"/>
      <c r="H7957" s="17"/>
      <c r="I7957" s="57"/>
      <c r="J7957" s="57"/>
      <c r="K7957" s="19"/>
      <c r="L7957" s="20"/>
    </row>
    <row r="7958" spans="1:34" outlineLevel="2">
      <c r="A7958" s="34"/>
      <c r="B7958" s="12" t="str">
        <f>IFERROR(VLOOKUP(D7958,'[1]Перечень товаров'!$A$2:$I9525,2,0),"")</f>
        <v>д65</v>
      </c>
      <c r="C7958" s="12" t="str">
        <f>IFERROR(VLOOKUP(D7958,'[1]Перечень товаров'!$A$2:$I9525,3,0),"")</f>
        <v>Дидактика</v>
      </c>
      <c r="D7958" s="35" t="s">
        <v>811</v>
      </c>
      <c r="E7958" s="23"/>
      <c r="F7958" s="23"/>
      <c r="G7958" s="24">
        <v>1</v>
      </c>
      <c r="H7958" s="24"/>
      <c r="I7958" s="25"/>
      <c r="J7958" s="25"/>
      <c r="K7958" s="19"/>
      <c r="L7958" s="20"/>
    </row>
    <row r="7959" spans="1:34" outlineLevel="2">
      <c r="A7959" s="34"/>
      <c r="B7959" s="12" t="str">
        <f>IFERROR(VLOOKUP(D7959,'[1]Перечень товаров'!$A$2:$I9525,2,0),"")</f>
        <v>д66</v>
      </c>
      <c r="C7959" s="12" t="str">
        <f>IFERROR(VLOOKUP(D7959,'[1]Перечень товаров'!$A$2:$I9525,3,0),"")</f>
        <v>Дидактика</v>
      </c>
      <c r="D7959" s="35" t="s">
        <v>812</v>
      </c>
      <c r="E7959" s="23"/>
      <c r="F7959" s="23"/>
      <c r="G7959" s="24">
        <v>1</v>
      </c>
      <c r="H7959" s="24"/>
      <c r="I7959" s="25"/>
      <c r="J7959" s="25"/>
      <c r="K7959" s="19"/>
      <c r="L7959" s="20"/>
    </row>
    <row r="7960" spans="1:34" outlineLevel="2">
      <c r="A7960" s="34"/>
      <c r="B7960" s="12" t="str">
        <f>IFERROR(VLOOKUP(D7960,'[1]Перечень товаров'!$A$2:$I9525,2,0),"")</f>
        <v>д67</v>
      </c>
      <c r="C7960" s="12" t="str">
        <f>IFERROR(VLOOKUP(D7960,'[1]Перечень товаров'!$A$2:$I9525,3,0),"")</f>
        <v>Дидактика</v>
      </c>
      <c r="D7960" s="35" t="s">
        <v>813</v>
      </c>
      <c r="E7960" s="23"/>
      <c r="F7960" s="23"/>
      <c r="G7960" s="24">
        <v>1</v>
      </c>
      <c r="H7960" s="24"/>
      <c r="I7960" s="25"/>
      <c r="J7960" s="25"/>
      <c r="K7960" s="19"/>
      <c r="L7960" s="20"/>
    </row>
    <row r="7961" spans="1:34" outlineLevel="2">
      <c r="A7961" s="34"/>
      <c r="B7961" s="12" t="str">
        <f>IFERROR(VLOOKUP(D7961,'[1]Перечень товаров'!$A$2:$I9525,2,0),"")</f>
        <v>п90</v>
      </c>
      <c r="C7961" s="12" t="str">
        <f>IFERROR(VLOOKUP(D7961,'[1]Перечень товаров'!$A$2:$I9525,3,0),"")</f>
        <v>Прочее</v>
      </c>
      <c r="D7961" s="35" t="s">
        <v>723</v>
      </c>
      <c r="E7961" s="23"/>
      <c r="F7961" s="23"/>
      <c r="G7961" s="24">
        <v>1</v>
      </c>
      <c r="H7961" s="24"/>
      <c r="I7961" s="25"/>
      <c r="J7961" s="25"/>
      <c r="K7961" s="19"/>
      <c r="L7961" s="20"/>
    </row>
    <row r="7962" spans="1:34" outlineLevel="2">
      <c r="A7962" s="34"/>
      <c r="B7962" s="12" t="str">
        <f>IFERROR(VLOOKUP(D7962,'[1]Перечень товаров'!$A$2:$I9525,2,0),"")</f>
        <v>д68</v>
      </c>
      <c r="C7962" s="12" t="str">
        <f>IFERROR(VLOOKUP(D7962,'[1]Перечень товаров'!$A$2:$I9525,3,0),"")</f>
        <v>Дидактика</v>
      </c>
      <c r="D7962" s="35" t="s">
        <v>814</v>
      </c>
      <c r="E7962" s="23"/>
      <c r="F7962" s="23"/>
      <c r="G7962" s="24">
        <v>4</v>
      </c>
      <c r="H7962" s="24"/>
      <c r="I7962" s="25"/>
      <c r="J7962" s="25"/>
      <c r="K7962" s="19"/>
      <c r="L7962" s="20"/>
    </row>
    <row r="7963" spans="1:34" outlineLevel="2">
      <c r="A7963" s="34"/>
      <c r="B7963" s="12" t="str">
        <f>IFERROR(VLOOKUP(D7963,'[1]Перечень товаров'!$A$2:$I9525,2,0),"")</f>
        <v>д69</v>
      </c>
      <c r="C7963" s="12" t="str">
        <f>IFERROR(VLOOKUP(D7963,'[1]Перечень товаров'!$A$2:$I9525,3,0),"")</f>
        <v>Дидактика</v>
      </c>
      <c r="D7963" s="35" t="s">
        <v>815</v>
      </c>
      <c r="E7963" s="23"/>
      <c r="F7963" s="23"/>
      <c r="G7963" s="24">
        <v>4</v>
      </c>
      <c r="H7963" s="24"/>
      <c r="I7963" s="25"/>
      <c r="J7963" s="25"/>
      <c r="K7963" s="19"/>
      <c r="L7963" s="20"/>
    </row>
    <row r="7964" spans="1:34" outlineLevel="2">
      <c r="A7964" s="34"/>
      <c r="B7964" s="12" t="str">
        <f>IFERROR(VLOOKUP(D7964,'[1]Перечень товаров'!$A$2:$I9525,2,0),"")</f>
        <v>д70</v>
      </c>
      <c r="C7964" s="12" t="str">
        <f>IFERROR(VLOOKUP(D7964,'[1]Перечень товаров'!$A$2:$I9525,3,0),"")</f>
        <v>Дидактика</v>
      </c>
      <c r="D7964" s="35" t="s">
        <v>816</v>
      </c>
      <c r="E7964" s="23"/>
      <c r="F7964" s="23"/>
      <c r="G7964" s="24">
        <v>1</v>
      </c>
      <c r="H7964" s="24"/>
      <c r="I7964" s="25"/>
      <c r="J7964" s="25"/>
      <c r="K7964" s="19"/>
      <c r="L7964" s="20"/>
    </row>
    <row r="7965" spans="1:34" ht="12.75" outlineLevel="1">
      <c r="A7965" s="11"/>
      <c r="B7965" s="12" t="str">
        <f>IFERROR(VLOOKUP(D7965,'[1]Перечень товаров'!$A$2:$I9525,2,0),"")</f>
        <v/>
      </c>
      <c r="C7965" s="12" t="str">
        <f>IFERROR(VLOOKUP(D7965,'[1]Перечень товаров'!$A$2:$I9525,3,0),"")</f>
        <v/>
      </c>
      <c r="D7965" s="27" t="s">
        <v>1849</v>
      </c>
      <c r="E7965" s="14" t="s">
        <v>347</v>
      </c>
      <c r="F7965" s="14"/>
      <c r="G7965" s="17"/>
      <c r="H7965" s="17"/>
      <c r="I7965" s="57"/>
      <c r="J7965" s="57"/>
      <c r="K7965" s="19"/>
      <c r="L7965" s="20"/>
    </row>
    <row r="7966" spans="1:34" ht="12.75" outlineLevel="2">
      <c r="A7966" s="197"/>
      <c r="B7966" s="12" t="str">
        <f>IFERROR(VLOOKUP(D7966,'[1]Перечень товаров'!$A$2:$I9525,2,0),"")</f>
        <v/>
      </c>
      <c r="C7966" s="12" t="str">
        <f>IFERROR(VLOOKUP(D7966,'[1]Перечень товаров'!$A$2:$I9525,3,0),"")</f>
        <v/>
      </c>
      <c r="D7966" s="198" t="s">
        <v>668</v>
      </c>
      <c r="E7966" s="56"/>
      <c r="F7966" s="56"/>
      <c r="G7966" s="281"/>
      <c r="H7966" s="281"/>
      <c r="I7966" s="282"/>
      <c r="J7966" s="282"/>
      <c r="K7966" s="19"/>
      <c r="L7966" s="20"/>
      <c r="M7966" s="10"/>
      <c r="N7966" s="10"/>
      <c r="O7966" s="10"/>
      <c r="P7966" s="10"/>
      <c r="Q7966" s="10"/>
      <c r="R7966" s="10"/>
      <c r="S7966" s="10"/>
      <c r="T7966" s="10"/>
      <c r="U7966" s="10"/>
      <c r="V7966" s="10"/>
      <c r="W7966" s="10"/>
      <c r="X7966" s="10"/>
      <c r="Y7966" s="10"/>
      <c r="Z7966" s="10"/>
      <c r="AA7966" s="10"/>
      <c r="AB7966" s="10"/>
      <c r="AC7966" s="10"/>
      <c r="AD7966" s="10"/>
      <c r="AE7966" s="10"/>
      <c r="AF7966" s="10"/>
      <c r="AG7966" s="10"/>
      <c r="AH7966" s="10"/>
    </row>
    <row r="7967" spans="1:34" outlineLevel="2">
      <c r="A7967" s="34"/>
      <c r="B7967" s="12" t="str">
        <f>IFERROR(VLOOKUP(D7967,'[1]Перечень товаров'!$A$2:$I9525,2,0),"")</f>
        <v>т129</v>
      </c>
      <c r="C7967" s="12" t="str">
        <f>IFERROR(VLOOKUP(D7967,'[1]Перечень товаров'!$A$2:$I9525,3,0),"")</f>
        <v>Техника</v>
      </c>
      <c r="D7967" s="35" t="s">
        <v>1204</v>
      </c>
      <c r="E7967" s="58"/>
      <c r="F7967" s="58"/>
      <c r="G7967" s="232">
        <v>1</v>
      </c>
      <c r="H7967" s="232"/>
      <c r="I7967" s="233"/>
      <c r="J7967" s="233"/>
      <c r="K7967" s="19"/>
      <c r="L7967" s="20"/>
      <c r="M7967" s="10"/>
      <c r="N7967" s="10"/>
      <c r="O7967" s="10"/>
      <c r="P7967" s="10"/>
      <c r="Q7967" s="10"/>
      <c r="R7967" s="10"/>
      <c r="S7967" s="10"/>
      <c r="T7967" s="10"/>
      <c r="U7967" s="10"/>
      <c r="V7967" s="10"/>
      <c r="W7967" s="10"/>
      <c r="X7967" s="10"/>
      <c r="Y7967" s="10"/>
      <c r="Z7967" s="10"/>
      <c r="AA7967" s="10"/>
      <c r="AB7967" s="10"/>
      <c r="AC7967" s="10"/>
      <c r="AD7967" s="10"/>
      <c r="AE7967" s="10"/>
      <c r="AF7967" s="10"/>
      <c r="AG7967" s="10"/>
      <c r="AH7967" s="10"/>
    </row>
    <row r="7968" spans="1:34" outlineLevel="2">
      <c r="A7968" s="34"/>
      <c r="B7968" s="12" t="str">
        <f>IFERROR(VLOOKUP(D7968,'[1]Перечень товаров'!$A$2:$I9525,2,0),"")</f>
        <v>т128</v>
      </c>
      <c r="C7968" s="12" t="str">
        <f>IFERROR(VLOOKUP(D7968,'[1]Перечень товаров'!$A$2:$I9525,3,0),"")</f>
        <v>Техника</v>
      </c>
      <c r="D7968" s="35" t="s">
        <v>1205</v>
      </c>
      <c r="E7968" s="58"/>
      <c r="F7968" s="58"/>
      <c r="G7968" s="232">
        <v>1</v>
      </c>
      <c r="H7968" s="232"/>
      <c r="I7968" s="233"/>
      <c r="J7968" s="233"/>
      <c r="K7968" s="19"/>
      <c r="L7968" s="20"/>
      <c r="M7968" s="10"/>
      <c r="N7968" s="10"/>
      <c r="O7968" s="10"/>
      <c r="P7968" s="10"/>
      <c r="Q7968" s="10"/>
      <c r="R7968" s="10"/>
      <c r="S7968" s="10"/>
      <c r="T7968" s="10"/>
      <c r="U7968" s="10"/>
      <c r="V7968" s="10"/>
      <c r="W7968" s="10"/>
      <c r="X7968" s="10"/>
      <c r="Y7968" s="10"/>
      <c r="Z7968" s="10"/>
      <c r="AA7968" s="10"/>
      <c r="AB7968" s="10"/>
      <c r="AC7968" s="10"/>
      <c r="AD7968" s="10"/>
      <c r="AE7968" s="10"/>
      <c r="AF7968" s="10"/>
      <c r="AG7968" s="10"/>
      <c r="AH7968" s="10"/>
    </row>
    <row r="7969" spans="1:34" outlineLevel="2">
      <c r="A7969" s="34"/>
      <c r="B7969" s="12" t="str">
        <f>IFERROR(VLOOKUP(D7969,'[1]Перечень товаров'!$A$2:$I9525,2,0),"")</f>
        <v>т1</v>
      </c>
      <c r="C7969" s="12" t="str">
        <f>IFERROR(VLOOKUP(D7969,'[1]Перечень товаров'!$A$2:$I9525,3,0),"")</f>
        <v xml:space="preserve">Техника </v>
      </c>
      <c r="D7969" s="22" t="s">
        <v>28</v>
      </c>
      <c r="E7969" s="58"/>
      <c r="F7969" s="58"/>
      <c r="G7969" s="232">
        <v>1</v>
      </c>
      <c r="H7969" s="232"/>
      <c r="I7969" s="233"/>
      <c r="J7969" s="233"/>
      <c r="K7969" s="19"/>
      <c r="L7969" s="20"/>
      <c r="M7969" s="10"/>
      <c r="N7969" s="10"/>
      <c r="O7969" s="10"/>
      <c r="P7969" s="10"/>
      <c r="Q7969" s="10"/>
      <c r="R7969" s="10"/>
      <c r="S7969" s="10"/>
      <c r="T7969" s="10"/>
      <c r="U7969" s="10"/>
      <c r="V7969" s="10"/>
      <c r="W7969" s="10"/>
      <c r="X7969" s="10"/>
      <c r="Y7969" s="10"/>
      <c r="Z7969" s="10"/>
      <c r="AA7969" s="10"/>
      <c r="AB7969" s="10"/>
      <c r="AC7969" s="10"/>
      <c r="AD7969" s="10"/>
      <c r="AE7969" s="10"/>
      <c r="AF7969" s="10"/>
      <c r="AG7969" s="10"/>
      <c r="AH7969" s="10"/>
    </row>
    <row r="7970" spans="1:34" outlineLevel="2">
      <c r="A7970" s="34"/>
      <c r="B7970" s="12" t="str">
        <f>IFERROR(VLOOKUP(D7970,'[1]Перечень товаров'!$A$2:$I9525,2,0),"")</f>
        <v>т235</v>
      </c>
      <c r="C7970" s="12" t="str">
        <f>IFERROR(VLOOKUP(D7970,'[1]Перечень товаров'!$A$2:$I9525,3,0),"")</f>
        <v>Техника</v>
      </c>
      <c r="D7970" s="35" t="s">
        <v>742</v>
      </c>
      <c r="E7970" s="58"/>
      <c r="F7970" s="58"/>
      <c r="G7970" s="232">
        <v>1</v>
      </c>
      <c r="H7970" s="232"/>
      <c r="I7970" s="233"/>
      <c r="J7970" s="233"/>
      <c r="K7970" s="19"/>
      <c r="L7970" s="20"/>
      <c r="M7970" s="10"/>
      <c r="N7970" s="10"/>
      <c r="O7970" s="10"/>
      <c r="P7970" s="10"/>
      <c r="Q7970" s="10"/>
      <c r="R7970" s="10"/>
      <c r="S7970" s="10"/>
      <c r="T7970" s="10"/>
      <c r="U7970" s="10"/>
      <c r="V7970" s="10"/>
      <c r="W7970" s="10"/>
      <c r="X7970" s="10"/>
      <c r="Y7970" s="10"/>
      <c r="Z7970" s="10"/>
      <c r="AA7970" s="10"/>
      <c r="AB7970" s="10"/>
      <c r="AC7970" s="10"/>
      <c r="AD7970" s="10"/>
      <c r="AE7970" s="10"/>
      <c r="AF7970" s="10"/>
      <c r="AG7970" s="10"/>
      <c r="AH7970" s="10"/>
    </row>
    <row r="7971" spans="1:34" outlineLevel="2">
      <c r="A7971" s="34"/>
      <c r="B7971" s="12" t="str">
        <f>IFERROR(VLOOKUP(D7971,'[1]Перечень товаров'!$A$2:$I9525,2,0),"")</f>
        <v>т8</v>
      </c>
      <c r="C7971" s="12" t="str">
        <f>IFERROR(VLOOKUP(D7971,'[1]Перечень товаров'!$A$2:$I9525,3,0),"")</f>
        <v xml:space="preserve">Техника </v>
      </c>
      <c r="D7971" s="35" t="s">
        <v>35</v>
      </c>
      <c r="E7971" s="58"/>
      <c r="F7971" s="58"/>
      <c r="G7971" s="232">
        <v>1</v>
      </c>
      <c r="H7971" s="232"/>
      <c r="I7971" s="233"/>
      <c r="J7971" s="233"/>
      <c r="K7971" s="19"/>
      <c r="L7971" s="20"/>
      <c r="M7971" s="10"/>
      <c r="N7971" s="10"/>
      <c r="O7971" s="10"/>
      <c r="P7971" s="10"/>
      <c r="Q7971" s="10"/>
      <c r="R7971" s="10"/>
      <c r="S7971" s="10"/>
      <c r="T7971" s="10"/>
      <c r="U7971" s="10"/>
      <c r="V7971" s="10"/>
      <c r="W7971" s="10"/>
      <c r="X7971" s="10"/>
      <c r="Y7971" s="10"/>
      <c r="Z7971" s="10"/>
      <c r="AA7971" s="10"/>
      <c r="AB7971" s="10"/>
      <c r="AC7971" s="10"/>
      <c r="AD7971" s="10"/>
      <c r="AE7971" s="10"/>
      <c r="AF7971" s="10"/>
      <c r="AG7971" s="10"/>
      <c r="AH7971" s="10"/>
    </row>
    <row r="7972" spans="1:34" outlineLevel="2">
      <c r="A7972" s="34"/>
      <c r="B7972" s="12" t="str">
        <f>IFERROR(VLOOKUP(D7972,'[1]Перечень товаров'!$A$2:$I9525,2,0),"")</f>
        <v>т4</v>
      </c>
      <c r="C7972" s="12" t="str">
        <f>IFERROR(VLOOKUP(D7972,'[1]Перечень товаров'!$A$2:$I9525,3,0),"")</f>
        <v xml:space="preserve">Техника </v>
      </c>
      <c r="D7972" s="35" t="s">
        <v>31</v>
      </c>
      <c r="E7972" s="58"/>
      <c r="F7972" s="58"/>
      <c r="G7972" s="232">
        <v>1</v>
      </c>
      <c r="H7972" s="232"/>
      <c r="I7972" s="233"/>
      <c r="J7972" s="233"/>
      <c r="K7972" s="19"/>
      <c r="L7972" s="20"/>
      <c r="M7972" s="10"/>
      <c r="N7972" s="10"/>
      <c r="O7972" s="10"/>
      <c r="P7972" s="10"/>
      <c r="Q7972" s="10"/>
      <c r="R7972" s="10"/>
      <c r="S7972" s="10"/>
      <c r="T7972" s="10"/>
      <c r="U7972" s="10"/>
      <c r="V7972" s="10"/>
      <c r="W7972" s="10"/>
      <c r="X7972" s="10"/>
      <c r="Y7972" s="10"/>
      <c r="Z7972" s="10"/>
      <c r="AA7972" s="10"/>
      <c r="AB7972" s="10"/>
      <c r="AC7972" s="10"/>
      <c r="AD7972" s="10"/>
      <c r="AE7972" s="10"/>
      <c r="AF7972" s="10"/>
      <c r="AG7972" s="10"/>
      <c r="AH7972" s="10"/>
    </row>
    <row r="7973" spans="1:34" outlineLevel="2">
      <c r="A7973" s="34"/>
      <c r="B7973" s="12" t="str">
        <f>IFERROR(VLOOKUP(D7973,'[1]Перечень товаров'!$A$2:$I9525,2,0),"")</f>
        <v>т236</v>
      </c>
      <c r="C7973" s="12" t="str">
        <f>IFERROR(VLOOKUP(D7973,'[1]Перечень товаров'!$A$2:$I9525,3,0),"")</f>
        <v>Техника</v>
      </c>
      <c r="D7973" s="35" t="s">
        <v>743</v>
      </c>
      <c r="E7973" s="58"/>
      <c r="F7973" s="58"/>
      <c r="G7973" s="232">
        <v>1</v>
      </c>
      <c r="H7973" s="232"/>
      <c r="I7973" s="233"/>
      <c r="J7973" s="233"/>
      <c r="K7973" s="19"/>
      <c r="L7973" s="20"/>
      <c r="M7973" s="10"/>
      <c r="N7973" s="10"/>
      <c r="O7973" s="10"/>
      <c r="P7973" s="10"/>
      <c r="Q7973" s="10"/>
      <c r="R7973" s="10"/>
      <c r="S7973" s="10"/>
      <c r="T7973" s="10"/>
      <c r="U7973" s="10"/>
      <c r="V7973" s="10"/>
      <c r="W7973" s="10"/>
      <c r="X7973" s="10"/>
      <c r="Y7973" s="10"/>
      <c r="Z7973" s="10"/>
      <c r="AA7973" s="10"/>
      <c r="AB7973" s="10"/>
      <c r="AC7973" s="10"/>
      <c r="AD7973" s="10"/>
      <c r="AE7973" s="10"/>
      <c r="AF7973" s="10"/>
      <c r="AG7973" s="10"/>
      <c r="AH7973" s="10"/>
    </row>
    <row r="7974" spans="1:34" outlineLevel="2">
      <c r="A7974" s="34"/>
      <c r="B7974" s="12" t="str">
        <f>IFERROR(VLOOKUP(D7974,'[1]Перечень товаров'!$A$2:$I9525,2,0),"")</f>
        <v>т237</v>
      </c>
      <c r="C7974" s="12" t="str">
        <f>IFERROR(VLOOKUP(D7974,'[1]Перечень товаров'!$A$2:$I9525,3,0),"")</f>
        <v>Техника</v>
      </c>
      <c r="D7974" s="35" t="s">
        <v>744</v>
      </c>
      <c r="E7974" s="58"/>
      <c r="F7974" s="58"/>
      <c r="G7974" s="232">
        <v>2</v>
      </c>
      <c r="H7974" s="232"/>
      <c r="I7974" s="233"/>
      <c r="J7974" s="233"/>
      <c r="K7974" s="19"/>
      <c r="L7974" s="20"/>
      <c r="M7974" s="10"/>
      <c r="N7974" s="10"/>
      <c r="O7974" s="10"/>
      <c r="P7974" s="10"/>
      <c r="Q7974" s="10"/>
      <c r="R7974" s="10"/>
      <c r="S7974" s="10"/>
      <c r="T7974" s="10"/>
      <c r="U7974" s="10"/>
      <c r="V7974" s="10"/>
      <c r="W7974" s="10"/>
      <c r="X7974" s="10"/>
      <c r="Y7974" s="10"/>
      <c r="Z7974" s="10"/>
      <c r="AA7974" s="10"/>
      <c r="AB7974" s="10"/>
      <c r="AC7974" s="10"/>
      <c r="AD7974" s="10"/>
      <c r="AE7974" s="10"/>
      <c r="AF7974" s="10"/>
      <c r="AG7974" s="10"/>
      <c r="AH7974" s="10"/>
    </row>
    <row r="7975" spans="1:34" ht="31.5" outlineLevel="2">
      <c r="A7975" s="34"/>
      <c r="B7975" s="12" t="str">
        <f>IFERROR(VLOOKUP(D7975,'[1]Перечень товаров'!$A$2:$I9525,2,0),"")</f>
        <v>т117</v>
      </c>
      <c r="C7975" s="12" t="str">
        <f>IFERROR(VLOOKUP(D7975,'[1]Перечень товаров'!$A$2:$I9525,3,0),"")</f>
        <v>Техника</v>
      </c>
      <c r="D7975" s="35" t="s">
        <v>1412</v>
      </c>
      <c r="E7975" s="58"/>
      <c r="F7975" s="58"/>
      <c r="G7975" s="232">
        <v>1</v>
      </c>
      <c r="H7975" s="232"/>
      <c r="I7975" s="233"/>
      <c r="J7975" s="233"/>
      <c r="K7975" s="19"/>
      <c r="L7975" s="20"/>
      <c r="M7975" s="10"/>
      <c r="N7975" s="10"/>
      <c r="O7975" s="10"/>
      <c r="P7975" s="10"/>
      <c r="Q7975" s="10"/>
      <c r="R7975" s="10"/>
      <c r="S7975" s="10"/>
      <c r="T7975" s="10"/>
      <c r="U7975" s="10"/>
      <c r="V7975" s="10"/>
      <c r="W7975" s="10"/>
      <c r="X7975" s="10"/>
      <c r="Y7975" s="10"/>
      <c r="Z7975" s="10"/>
      <c r="AA7975" s="10"/>
      <c r="AB7975" s="10"/>
      <c r="AC7975" s="10"/>
      <c r="AD7975" s="10"/>
      <c r="AE7975" s="10"/>
      <c r="AF7975" s="10"/>
      <c r="AG7975" s="10"/>
      <c r="AH7975" s="10"/>
    </row>
    <row r="7976" spans="1:34" ht="12.75" outlineLevel="2">
      <c r="A7976" s="197"/>
      <c r="B7976" s="12" t="str">
        <f>IFERROR(VLOOKUP(D7976,'[1]Перечень товаров'!$A$2:$I9525,2,0),"")</f>
        <v/>
      </c>
      <c r="C7976" s="12" t="str">
        <f>IFERROR(VLOOKUP(D7976,'[1]Перечень товаров'!$A$2:$I9525,3,0),"")</f>
        <v/>
      </c>
      <c r="D7976" s="198" t="s">
        <v>19</v>
      </c>
      <c r="E7976" s="56"/>
      <c r="F7976" s="56"/>
      <c r="G7976" s="281"/>
      <c r="H7976" s="281"/>
      <c r="I7976" s="282"/>
      <c r="J7976" s="282"/>
      <c r="K7976" s="19"/>
      <c r="L7976" s="20"/>
      <c r="M7976" s="10"/>
      <c r="N7976" s="10"/>
      <c r="O7976" s="10"/>
      <c r="P7976" s="10"/>
      <c r="Q7976" s="10"/>
      <c r="R7976" s="10"/>
      <c r="S7976" s="10"/>
      <c r="T7976" s="10"/>
      <c r="U7976" s="10"/>
      <c r="V7976" s="10"/>
      <c r="W7976" s="10"/>
      <c r="X7976" s="10"/>
      <c r="Y7976" s="10"/>
      <c r="Z7976" s="10"/>
      <c r="AA7976" s="10"/>
      <c r="AB7976" s="10"/>
      <c r="AC7976" s="10"/>
      <c r="AD7976" s="10"/>
      <c r="AE7976" s="10"/>
      <c r="AF7976" s="10"/>
      <c r="AG7976" s="10"/>
      <c r="AH7976" s="10"/>
    </row>
    <row r="7977" spans="1:34" outlineLevel="2">
      <c r="A7977" s="34"/>
      <c r="B7977" s="12" t="str">
        <f>IFERROR(VLOOKUP(D7977,'[1]Перечень товаров'!$A$2:$I9525,2,0),"")</f>
        <v>м62</v>
      </c>
      <c r="C7977" s="12" t="str">
        <f>IFERROR(VLOOKUP(D7977,'[1]Перечень товаров'!$A$2:$I9525,3,0),"")</f>
        <v>Мебель</v>
      </c>
      <c r="D7977" s="35" t="s">
        <v>398</v>
      </c>
      <c r="E7977" s="58"/>
      <c r="F7977" s="58"/>
      <c r="G7977" s="232">
        <v>1</v>
      </c>
      <c r="H7977" s="232"/>
      <c r="I7977" s="233"/>
      <c r="J7977" s="233"/>
      <c r="K7977" s="19"/>
      <c r="L7977" s="20"/>
      <c r="M7977" s="10"/>
      <c r="N7977" s="10"/>
      <c r="O7977" s="10"/>
      <c r="P7977" s="10"/>
      <c r="Q7977" s="10"/>
      <c r="R7977" s="10"/>
      <c r="S7977" s="10"/>
      <c r="T7977" s="10"/>
      <c r="U7977" s="10"/>
      <c r="V7977" s="10"/>
      <c r="W7977" s="10"/>
      <c r="X7977" s="10"/>
      <c r="Y7977" s="10"/>
      <c r="Z7977" s="10"/>
      <c r="AA7977" s="10"/>
      <c r="AB7977" s="10"/>
      <c r="AC7977" s="10"/>
      <c r="AD7977" s="10"/>
      <c r="AE7977" s="10"/>
      <c r="AF7977" s="10"/>
      <c r="AG7977" s="10"/>
      <c r="AH7977" s="10"/>
    </row>
    <row r="7978" spans="1:34" outlineLevel="2">
      <c r="A7978" s="34"/>
      <c r="B7978" s="12" t="str">
        <f>IFERROR(VLOOKUP(D7978,'[1]Перечень товаров'!$A$2:$I9525,2,0),"")</f>
        <v>м61</v>
      </c>
      <c r="C7978" s="12" t="str">
        <f>IFERROR(VLOOKUP(D7978,'[1]Перечень товаров'!$A$2:$I9525,3,0),"")</f>
        <v>Мебель</v>
      </c>
      <c r="D7978" s="35" t="s">
        <v>383</v>
      </c>
      <c r="E7978" s="58"/>
      <c r="F7978" s="58"/>
      <c r="G7978" s="232">
        <v>1</v>
      </c>
      <c r="H7978" s="232"/>
      <c r="I7978" s="233"/>
      <c r="J7978" s="233"/>
      <c r="K7978" s="19"/>
      <c r="L7978" s="20"/>
      <c r="M7978" s="10"/>
      <c r="N7978" s="10"/>
      <c r="O7978" s="10"/>
      <c r="P7978" s="10"/>
      <c r="Q7978" s="10"/>
      <c r="R7978" s="10"/>
      <c r="S7978" s="10"/>
      <c r="T7978" s="10"/>
      <c r="U7978" s="10"/>
      <c r="V7978" s="10"/>
      <c r="W7978" s="10"/>
      <c r="X7978" s="10"/>
      <c r="Y7978" s="10"/>
      <c r="Z7978" s="10"/>
      <c r="AA7978" s="10"/>
      <c r="AB7978" s="10"/>
      <c r="AC7978" s="10"/>
      <c r="AD7978" s="10"/>
      <c r="AE7978" s="10"/>
      <c r="AF7978" s="10"/>
      <c r="AG7978" s="10"/>
      <c r="AH7978" s="10"/>
    </row>
    <row r="7979" spans="1:34" ht="31.5" outlineLevel="2">
      <c r="A7979" s="34"/>
      <c r="B7979" s="12" t="str">
        <f>IFERROR(VLOOKUP(D7979,'[1]Перечень товаров'!$A$2:$I9525,2,0),"")</f>
        <v>д525</v>
      </c>
      <c r="C7979" s="12" t="str">
        <f>IFERROR(VLOOKUP(D7979,'[1]Перечень товаров'!$A$2:$I9525,3,0),"")</f>
        <v>дидактика</v>
      </c>
      <c r="D7979" s="35" t="s">
        <v>1230</v>
      </c>
      <c r="E7979" s="58"/>
      <c r="F7979" s="58"/>
      <c r="G7979" s="232">
        <v>13</v>
      </c>
      <c r="H7979" s="232"/>
      <c r="I7979" s="233"/>
      <c r="J7979" s="233"/>
      <c r="K7979" s="19"/>
      <c r="L7979" s="20"/>
      <c r="M7979" s="10"/>
      <c r="N7979" s="10"/>
      <c r="O7979" s="10"/>
      <c r="P7979" s="10"/>
      <c r="Q7979" s="10"/>
      <c r="R7979" s="10"/>
      <c r="S7979" s="10"/>
      <c r="T7979" s="10"/>
      <c r="U7979" s="10"/>
      <c r="V7979" s="10"/>
      <c r="W7979" s="10"/>
      <c r="X7979" s="10"/>
      <c r="Y7979" s="10"/>
      <c r="Z7979" s="10"/>
      <c r="AA7979" s="10"/>
      <c r="AB7979" s="10"/>
      <c r="AC7979" s="10"/>
      <c r="AD7979" s="10"/>
      <c r="AE7979" s="10"/>
      <c r="AF7979" s="10"/>
      <c r="AG7979" s="10"/>
      <c r="AH7979" s="10"/>
    </row>
    <row r="7980" spans="1:34" outlineLevel="2">
      <c r="A7980" s="34"/>
      <c r="B7980" s="12" t="str">
        <f>IFERROR(VLOOKUP(D7980,'[1]Перечень товаров'!$A$2:$I9525,2,0),"")</f>
        <v>м216</v>
      </c>
      <c r="C7980" s="12" t="str">
        <f>IFERROR(VLOOKUP(D7980,'[1]Перечень товаров'!$A$2:$I9525,3,0),"")</f>
        <v>Мебель</v>
      </c>
      <c r="D7980" s="35" t="s">
        <v>854</v>
      </c>
      <c r="E7980" s="58"/>
      <c r="F7980" s="58"/>
      <c r="G7980" s="232">
        <v>1</v>
      </c>
      <c r="H7980" s="232"/>
      <c r="I7980" s="233"/>
      <c r="J7980" s="233"/>
      <c r="K7980" s="19"/>
      <c r="L7980" s="20"/>
      <c r="M7980" s="10"/>
      <c r="N7980" s="10"/>
      <c r="O7980" s="10"/>
      <c r="P7980" s="10"/>
      <c r="Q7980" s="10"/>
      <c r="R7980" s="10"/>
      <c r="S7980" s="10"/>
      <c r="T7980" s="10"/>
      <c r="U7980" s="10"/>
      <c r="V7980" s="10"/>
      <c r="W7980" s="10"/>
      <c r="X7980" s="10"/>
      <c r="Y7980" s="10"/>
      <c r="Z7980" s="10"/>
      <c r="AA7980" s="10"/>
      <c r="AB7980" s="10"/>
      <c r="AC7980" s="10"/>
      <c r="AD7980" s="10"/>
      <c r="AE7980" s="10"/>
      <c r="AF7980" s="10"/>
      <c r="AG7980" s="10"/>
      <c r="AH7980" s="10"/>
    </row>
    <row r="7981" spans="1:34" ht="31.5" outlineLevel="2">
      <c r="A7981" s="34"/>
      <c r="B7981" s="12" t="str">
        <f>IFERROR(VLOOKUP(D7981,'[1]Перечень товаров'!$A$2:$I9525,2,0),"")</f>
        <v>д401</v>
      </c>
      <c r="C7981" s="12" t="str">
        <f>IFERROR(VLOOKUP(D7981,'[1]Перечень товаров'!$A$2:$I9525,3,0),"")</f>
        <v>дидактика</v>
      </c>
      <c r="D7981" s="35" t="s">
        <v>1413</v>
      </c>
      <c r="E7981" s="58"/>
      <c r="F7981" s="58"/>
      <c r="G7981" s="232">
        <v>1</v>
      </c>
      <c r="H7981" s="232"/>
      <c r="I7981" s="233"/>
      <c r="J7981" s="233"/>
      <c r="K7981" s="19"/>
      <c r="L7981" s="20"/>
      <c r="M7981" s="10"/>
      <c r="N7981" s="10"/>
      <c r="O7981" s="10"/>
      <c r="P7981" s="10"/>
      <c r="Q7981" s="10"/>
      <c r="R7981" s="10"/>
      <c r="S7981" s="10"/>
      <c r="T7981" s="10"/>
      <c r="U7981" s="10"/>
      <c r="V7981" s="10"/>
      <c r="W7981" s="10"/>
      <c r="X7981" s="10"/>
      <c r="Y7981" s="10"/>
      <c r="Z7981" s="10"/>
      <c r="AA7981" s="10"/>
      <c r="AB7981" s="10"/>
      <c r="AC7981" s="10"/>
      <c r="AD7981" s="10"/>
      <c r="AE7981" s="10"/>
      <c r="AF7981" s="10"/>
      <c r="AG7981" s="10"/>
      <c r="AH7981" s="10"/>
    </row>
    <row r="7982" spans="1:34" outlineLevel="2">
      <c r="A7982" s="34"/>
      <c r="B7982" s="12" t="str">
        <f>IFERROR(VLOOKUP(D7982,'[1]Перечень товаров'!$A$2:$I9525,2,0),"")</f>
        <v>м141</v>
      </c>
      <c r="C7982" s="12" t="str">
        <f>IFERROR(VLOOKUP(D7982,'[1]Перечень товаров'!$A$2:$I9525,3,0),"")</f>
        <v>мебель</v>
      </c>
      <c r="D7982" s="35" t="s">
        <v>1414</v>
      </c>
      <c r="E7982" s="58"/>
      <c r="F7982" s="58"/>
      <c r="G7982" s="232">
        <v>1</v>
      </c>
      <c r="H7982" s="232"/>
      <c r="I7982" s="233"/>
      <c r="J7982" s="233"/>
      <c r="K7982" s="19"/>
      <c r="L7982" s="20"/>
      <c r="M7982" s="10"/>
      <c r="N7982" s="10"/>
      <c r="O7982" s="10"/>
      <c r="P7982" s="10"/>
      <c r="Q7982" s="10"/>
      <c r="R7982" s="10"/>
      <c r="S7982" s="10"/>
      <c r="T7982" s="10"/>
      <c r="U7982" s="10"/>
      <c r="V7982" s="10"/>
      <c r="W7982" s="10"/>
      <c r="X7982" s="10"/>
      <c r="Y7982" s="10"/>
      <c r="Z7982" s="10"/>
      <c r="AA7982" s="10"/>
      <c r="AB7982" s="10"/>
      <c r="AC7982" s="10"/>
      <c r="AD7982" s="10"/>
      <c r="AE7982" s="10"/>
      <c r="AF7982" s="10"/>
      <c r="AG7982" s="10"/>
      <c r="AH7982" s="10"/>
    </row>
    <row r="7983" spans="1:34" outlineLevel="2">
      <c r="A7983" s="34"/>
      <c r="B7983" s="12" t="str">
        <f>IFERROR(VLOOKUP(D7983,'[1]Перечень товаров'!$A$2:$I9525,2,0),"")</f>
        <v>м150</v>
      </c>
      <c r="C7983" s="12" t="str">
        <f>IFERROR(VLOOKUP(D7983,'[1]Перечень товаров'!$A$2:$I9525,3,0),"")</f>
        <v>мебель</v>
      </c>
      <c r="D7983" s="35" t="s">
        <v>1232</v>
      </c>
      <c r="E7983" s="58"/>
      <c r="F7983" s="58"/>
      <c r="G7983" s="232">
        <v>1</v>
      </c>
      <c r="H7983" s="232"/>
      <c r="I7983" s="233"/>
      <c r="J7983" s="233"/>
      <c r="K7983" s="19"/>
      <c r="L7983" s="20"/>
      <c r="M7983" s="10"/>
      <c r="N7983" s="10"/>
      <c r="O7983" s="10"/>
      <c r="P7983" s="10"/>
      <c r="Q7983" s="10"/>
      <c r="R7983" s="10"/>
      <c r="S7983" s="10"/>
      <c r="T7983" s="10"/>
      <c r="U7983" s="10"/>
      <c r="V7983" s="10"/>
      <c r="W7983" s="10"/>
      <c r="X7983" s="10"/>
      <c r="Y7983" s="10"/>
      <c r="Z7983" s="10"/>
      <c r="AA7983" s="10"/>
      <c r="AB7983" s="10"/>
      <c r="AC7983" s="10"/>
      <c r="AD7983" s="10"/>
      <c r="AE7983" s="10"/>
      <c r="AF7983" s="10"/>
      <c r="AG7983" s="10"/>
      <c r="AH7983" s="10"/>
    </row>
    <row r="7984" spans="1:34" ht="12.75" outlineLevel="2">
      <c r="A7984" s="245"/>
      <c r="B7984" s="12" t="str">
        <f>IFERROR(VLOOKUP(D7984,'[1]Перечень товаров'!$A$2:$I9525,2,0),"")</f>
        <v/>
      </c>
      <c r="C7984" s="12" t="str">
        <f>IFERROR(VLOOKUP(D7984,'[1]Перечень товаров'!$A$2:$I9525,3,0),"")</f>
        <v/>
      </c>
      <c r="D7984" s="246" t="s">
        <v>1415</v>
      </c>
      <c r="E7984" s="56"/>
      <c r="F7984" s="56"/>
      <c r="G7984" s="281"/>
      <c r="H7984" s="281"/>
      <c r="I7984" s="282"/>
      <c r="J7984" s="282"/>
      <c r="K7984" s="19"/>
      <c r="L7984" s="20"/>
      <c r="M7984" s="10"/>
      <c r="N7984" s="10"/>
      <c r="O7984" s="10"/>
      <c r="P7984" s="10"/>
      <c r="Q7984" s="10"/>
      <c r="R7984" s="10"/>
      <c r="S7984" s="10"/>
      <c r="T7984" s="10"/>
      <c r="U7984" s="10"/>
      <c r="V7984" s="10"/>
      <c r="W7984" s="10"/>
      <c r="X7984" s="10"/>
      <c r="Y7984" s="10"/>
      <c r="Z7984" s="10"/>
      <c r="AA7984" s="10"/>
      <c r="AB7984" s="10"/>
      <c r="AC7984" s="10"/>
      <c r="AD7984" s="10"/>
      <c r="AE7984" s="10"/>
      <c r="AF7984" s="10"/>
      <c r="AG7984" s="10"/>
      <c r="AH7984" s="10"/>
    </row>
    <row r="7985" spans="1:34" ht="31.5" outlineLevel="2">
      <c r="A7985" s="21"/>
      <c r="B7985" s="12" t="str">
        <f>IFERROR(VLOOKUP(D7985,'[1]Перечень товаров'!$A$2:$I9525,2,0),"")</f>
        <v>д400</v>
      </c>
      <c r="C7985" s="12" t="str">
        <f>IFERROR(VLOOKUP(D7985,'[1]Перечень товаров'!$A$2:$I9525,3,0),"")</f>
        <v>дидактика</v>
      </c>
      <c r="D7985" s="22" t="s">
        <v>1416</v>
      </c>
      <c r="E7985" s="58"/>
      <c r="F7985" s="58"/>
      <c r="G7985" s="232">
        <v>1</v>
      </c>
      <c r="H7985" s="232"/>
      <c r="I7985" s="233"/>
      <c r="J7985" s="233"/>
      <c r="K7985" s="19"/>
      <c r="L7985" s="20"/>
      <c r="M7985" s="10"/>
      <c r="N7985" s="10"/>
      <c r="O7985" s="10"/>
      <c r="P7985" s="10"/>
      <c r="Q7985" s="10"/>
      <c r="R7985" s="10"/>
      <c r="S7985" s="10"/>
      <c r="T7985" s="10"/>
      <c r="U7985" s="10"/>
      <c r="V7985" s="10"/>
      <c r="W7985" s="10"/>
      <c r="X7985" s="10"/>
      <c r="Y7985" s="10"/>
      <c r="Z7985" s="10"/>
      <c r="AA7985" s="10"/>
      <c r="AB7985" s="10"/>
      <c r="AC7985" s="10"/>
      <c r="AD7985" s="10"/>
      <c r="AE7985" s="10"/>
      <c r="AF7985" s="10"/>
      <c r="AG7985" s="10"/>
      <c r="AH7985" s="10"/>
    </row>
    <row r="7986" spans="1:34" ht="31.5" outlineLevel="2">
      <c r="A7986" s="21"/>
      <c r="B7986" s="12" t="str">
        <f>IFERROR(VLOOKUP(D7986,'[1]Перечень товаров'!$A$2:$I9525,2,0),"")</f>
        <v>д399</v>
      </c>
      <c r="C7986" s="12" t="str">
        <f>IFERROR(VLOOKUP(D7986,'[1]Перечень товаров'!$A$2:$I9525,3,0),"")</f>
        <v>дидактика</v>
      </c>
      <c r="D7986" s="22" t="s">
        <v>1417</v>
      </c>
      <c r="E7986" s="58"/>
      <c r="F7986" s="58"/>
      <c r="G7986" s="232">
        <v>1</v>
      </c>
      <c r="H7986" s="232"/>
      <c r="I7986" s="233"/>
      <c r="J7986" s="233"/>
      <c r="K7986" s="19"/>
      <c r="L7986" s="20"/>
      <c r="M7986" s="10"/>
      <c r="N7986" s="10"/>
      <c r="O7986" s="10"/>
      <c r="P7986" s="10"/>
      <c r="Q7986" s="10"/>
      <c r="R7986" s="10"/>
      <c r="S7986" s="10"/>
      <c r="T7986" s="10"/>
      <c r="U7986" s="10"/>
      <c r="V7986" s="10"/>
      <c r="W7986" s="10"/>
      <c r="X7986" s="10"/>
      <c r="Y7986" s="10"/>
      <c r="Z7986" s="10"/>
      <c r="AA7986" s="10"/>
      <c r="AB7986" s="10"/>
      <c r="AC7986" s="10"/>
      <c r="AD7986" s="10"/>
      <c r="AE7986" s="10"/>
      <c r="AF7986" s="10"/>
      <c r="AG7986" s="10"/>
      <c r="AH7986" s="10"/>
    </row>
    <row r="7987" spans="1:34" ht="31.5" outlineLevel="2">
      <c r="A7987" s="21"/>
      <c r="B7987" s="12" t="str">
        <f>IFERROR(VLOOKUP(D7987,'[1]Перечень товаров'!$A$2:$I9525,2,0),"")</f>
        <v>д398</v>
      </c>
      <c r="C7987" s="12" t="str">
        <f>IFERROR(VLOOKUP(D7987,'[1]Перечень товаров'!$A$2:$I9525,3,0),"")</f>
        <v>дидактика</v>
      </c>
      <c r="D7987" s="22" t="s">
        <v>1418</v>
      </c>
      <c r="E7987" s="58"/>
      <c r="F7987" s="58"/>
      <c r="G7987" s="232">
        <v>1</v>
      </c>
      <c r="H7987" s="232"/>
      <c r="I7987" s="233"/>
      <c r="J7987" s="233"/>
      <c r="K7987" s="19"/>
      <c r="L7987" s="20"/>
      <c r="M7987" s="10"/>
      <c r="N7987" s="10"/>
      <c r="O7987" s="10"/>
      <c r="P7987" s="10"/>
      <c r="Q7987" s="10"/>
      <c r="R7987" s="10"/>
      <c r="S7987" s="10"/>
      <c r="T7987" s="10"/>
      <c r="U7987" s="10"/>
      <c r="V7987" s="10"/>
      <c r="W7987" s="10"/>
      <c r="X7987" s="10"/>
      <c r="Y7987" s="10"/>
      <c r="Z7987" s="10"/>
      <c r="AA7987" s="10"/>
      <c r="AB7987" s="10"/>
      <c r="AC7987" s="10"/>
      <c r="AD7987" s="10"/>
      <c r="AE7987" s="10"/>
      <c r="AF7987" s="10"/>
      <c r="AG7987" s="10"/>
      <c r="AH7987" s="10"/>
    </row>
    <row r="7988" spans="1:34" ht="31.5" outlineLevel="2">
      <c r="A7988" s="21"/>
      <c r="B7988" s="12" t="str">
        <f>IFERROR(VLOOKUP(D7988,'[1]Перечень товаров'!$A$2:$I9525,2,0),"")</f>
        <v>д481</v>
      </c>
      <c r="C7988" s="12" t="str">
        <f>IFERROR(VLOOKUP(D7988,'[1]Перечень товаров'!$A$2:$I9525,3,0),"")</f>
        <v>дидактика</v>
      </c>
      <c r="D7988" s="22" t="s">
        <v>1282</v>
      </c>
      <c r="E7988" s="58"/>
      <c r="F7988" s="58"/>
      <c r="G7988" s="232">
        <v>1</v>
      </c>
      <c r="H7988" s="232"/>
      <c r="I7988" s="233"/>
      <c r="J7988" s="233"/>
      <c r="K7988" s="19"/>
      <c r="L7988" s="20"/>
      <c r="M7988" s="10"/>
      <c r="N7988" s="10"/>
      <c r="O7988" s="10"/>
      <c r="P7988" s="10"/>
      <c r="Q7988" s="10"/>
      <c r="R7988" s="10"/>
      <c r="S7988" s="10"/>
      <c r="T7988" s="10"/>
      <c r="U7988" s="10"/>
      <c r="V7988" s="10"/>
      <c r="W7988" s="10"/>
      <c r="X7988" s="10"/>
      <c r="Y7988" s="10"/>
      <c r="Z7988" s="10"/>
      <c r="AA7988" s="10"/>
      <c r="AB7988" s="10"/>
      <c r="AC7988" s="10"/>
      <c r="AD7988" s="10"/>
      <c r="AE7988" s="10"/>
      <c r="AF7988" s="10"/>
      <c r="AG7988" s="10"/>
      <c r="AH7988" s="10"/>
    </row>
    <row r="7989" spans="1:34" ht="31.5" outlineLevel="2">
      <c r="A7989" s="21"/>
      <c r="B7989" s="12" t="str">
        <f>IFERROR(VLOOKUP(D7989,'[1]Перечень товаров'!$A$2:$I9525,2,0),"")</f>
        <v>д397</v>
      </c>
      <c r="C7989" s="12" t="str">
        <f>IFERROR(VLOOKUP(D7989,'[1]Перечень товаров'!$A$2:$I9525,3,0),"")</f>
        <v>дидактика</v>
      </c>
      <c r="D7989" s="22" t="s">
        <v>1419</v>
      </c>
      <c r="E7989" s="58"/>
      <c r="F7989" s="58"/>
      <c r="G7989" s="232">
        <v>1</v>
      </c>
      <c r="H7989" s="232"/>
      <c r="I7989" s="233"/>
      <c r="J7989" s="233"/>
      <c r="K7989" s="19"/>
      <c r="L7989" s="20"/>
      <c r="M7989" s="10"/>
      <c r="N7989" s="10"/>
      <c r="O7989" s="10"/>
      <c r="P7989" s="10"/>
      <c r="Q7989" s="10"/>
      <c r="R7989" s="10"/>
      <c r="S7989" s="10"/>
      <c r="T7989" s="10"/>
      <c r="U7989" s="10"/>
      <c r="V7989" s="10"/>
      <c r="W7989" s="10"/>
      <c r="X7989" s="10"/>
      <c r="Y7989" s="10"/>
      <c r="Z7989" s="10"/>
      <c r="AA7989" s="10"/>
      <c r="AB7989" s="10"/>
      <c r="AC7989" s="10"/>
      <c r="AD7989" s="10"/>
      <c r="AE7989" s="10"/>
      <c r="AF7989" s="10"/>
      <c r="AG7989" s="10"/>
      <c r="AH7989" s="10"/>
    </row>
    <row r="7990" spans="1:34" ht="47.25" outlineLevel="2">
      <c r="A7990" s="21"/>
      <c r="B7990" s="12" t="str">
        <f>IFERROR(VLOOKUP(D7990,'[1]Перечень товаров'!$A$2:$I9525,2,0),"")</f>
        <v>д396</v>
      </c>
      <c r="C7990" s="12" t="str">
        <f>IFERROR(VLOOKUP(D7990,'[1]Перечень товаров'!$A$2:$I9525,3,0),"")</f>
        <v>дидактика</v>
      </c>
      <c r="D7990" s="22" t="s">
        <v>1420</v>
      </c>
      <c r="E7990" s="58"/>
      <c r="F7990" s="58"/>
      <c r="G7990" s="232">
        <v>1</v>
      </c>
      <c r="H7990" s="232"/>
      <c r="I7990" s="233"/>
      <c r="J7990" s="233"/>
      <c r="K7990" s="19"/>
      <c r="L7990" s="20"/>
      <c r="M7990" s="10"/>
      <c r="N7990" s="10"/>
      <c r="O7990" s="10"/>
      <c r="P7990" s="10"/>
      <c r="Q7990" s="10"/>
      <c r="R7990" s="10"/>
      <c r="S7990" s="10"/>
      <c r="T7990" s="10"/>
      <c r="U7990" s="10"/>
      <c r="V7990" s="10"/>
      <c r="W7990" s="10"/>
      <c r="X7990" s="10"/>
      <c r="Y7990" s="10"/>
      <c r="Z7990" s="10"/>
      <c r="AA7990" s="10"/>
      <c r="AB7990" s="10"/>
      <c r="AC7990" s="10"/>
      <c r="AD7990" s="10"/>
      <c r="AE7990" s="10"/>
      <c r="AF7990" s="10"/>
      <c r="AG7990" s="10"/>
      <c r="AH7990" s="10"/>
    </row>
    <row r="7991" spans="1:34" outlineLevel="2">
      <c r="A7991" s="21"/>
      <c r="B7991" s="12" t="str">
        <f>IFERROR(VLOOKUP(D7991,'[1]Перечень товаров'!$A$2:$I9525,2,0),"")</f>
        <v>д395</v>
      </c>
      <c r="C7991" s="12" t="str">
        <f>IFERROR(VLOOKUP(D7991,'[1]Перечень товаров'!$A$2:$I9525,3,0),"")</f>
        <v>дидактика</v>
      </c>
      <c r="D7991" s="22" t="s">
        <v>1421</v>
      </c>
      <c r="E7991" s="58"/>
      <c r="F7991" s="58"/>
      <c r="G7991" s="232">
        <v>1</v>
      </c>
      <c r="H7991" s="232"/>
      <c r="I7991" s="233"/>
      <c r="J7991" s="233"/>
      <c r="K7991" s="19"/>
      <c r="L7991" s="20"/>
      <c r="M7991" s="10"/>
      <c r="N7991" s="10"/>
      <c r="O7991" s="10"/>
      <c r="P7991" s="10"/>
      <c r="Q7991" s="10"/>
      <c r="R7991" s="10"/>
      <c r="S7991" s="10"/>
      <c r="T7991" s="10"/>
      <c r="U7991" s="10"/>
      <c r="V7991" s="10"/>
      <c r="W7991" s="10"/>
      <c r="X7991" s="10"/>
      <c r="Y7991" s="10"/>
      <c r="Z7991" s="10"/>
      <c r="AA7991" s="10"/>
      <c r="AB7991" s="10"/>
      <c r="AC7991" s="10"/>
      <c r="AD7991" s="10"/>
      <c r="AE7991" s="10"/>
      <c r="AF7991" s="10"/>
      <c r="AG7991" s="10"/>
      <c r="AH7991" s="10"/>
    </row>
    <row r="7992" spans="1:34" ht="31.5" outlineLevel="2">
      <c r="A7992" s="21"/>
      <c r="B7992" s="12" t="str">
        <f>IFERROR(VLOOKUP(D7992,'[1]Перечень товаров'!$A$2:$I9525,2,0),"")</f>
        <v>д394</v>
      </c>
      <c r="C7992" s="12" t="str">
        <f>IFERROR(VLOOKUP(D7992,'[1]Перечень товаров'!$A$2:$I9525,3,0),"")</f>
        <v>дидактика</v>
      </c>
      <c r="D7992" s="22" t="s">
        <v>1422</v>
      </c>
      <c r="E7992" s="58"/>
      <c r="F7992" s="58"/>
      <c r="G7992" s="232">
        <v>1</v>
      </c>
      <c r="H7992" s="232"/>
      <c r="I7992" s="233"/>
      <c r="J7992" s="233"/>
      <c r="K7992" s="19"/>
      <c r="L7992" s="20"/>
      <c r="M7992" s="10"/>
      <c r="N7992" s="10"/>
      <c r="O7992" s="10"/>
      <c r="P7992" s="10"/>
      <c r="Q7992" s="10"/>
      <c r="R7992" s="10"/>
      <c r="S7992" s="10"/>
      <c r="T7992" s="10"/>
      <c r="U7992" s="10"/>
      <c r="V7992" s="10"/>
      <c r="W7992" s="10"/>
      <c r="X7992" s="10"/>
      <c r="Y7992" s="10"/>
      <c r="Z7992" s="10"/>
      <c r="AA7992" s="10"/>
      <c r="AB7992" s="10"/>
      <c r="AC7992" s="10"/>
      <c r="AD7992" s="10"/>
      <c r="AE7992" s="10"/>
      <c r="AF7992" s="10"/>
      <c r="AG7992" s="10"/>
      <c r="AH7992" s="10"/>
    </row>
    <row r="7993" spans="1:34" ht="31.5" outlineLevel="2">
      <c r="A7993" s="21"/>
      <c r="B7993" s="12" t="str">
        <f>IFERROR(VLOOKUP(D7993,'[1]Перечень товаров'!$A$2:$I9525,2,0),"")</f>
        <v>д393</v>
      </c>
      <c r="C7993" s="12" t="str">
        <f>IFERROR(VLOOKUP(D7993,'[1]Перечень товаров'!$A$2:$I9525,3,0),"")</f>
        <v>дидактика</v>
      </c>
      <c r="D7993" s="22" t="s">
        <v>1423</v>
      </c>
      <c r="E7993" s="58"/>
      <c r="F7993" s="58"/>
      <c r="G7993" s="232">
        <v>1</v>
      </c>
      <c r="H7993" s="232"/>
      <c r="I7993" s="233"/>
      <c r="J7993" s="233"/>
      <c r="K7993" s="19"/>
      <c r="L7993" s="20"/>
      <c r="M7993" s="10"/>
      <c r="N7993" s="10"/>
      <c r="O7993" s="10"/>
      <c r="P7993" s="10"/>
      <c r="Q7993" s="10"/>
      <c r="R7993" s="10"/>
      <c r="S7993" s="10"/>
      <c r="T7993" s="10"/>
      <c r="U7993" s="10"/>
      <c r="V7993" s="10"/>
      <c r="W7993" s="10"/>
      <c r="X7993" s="10"/>
      <c r="Y7993" s="10"/>
      <c r="Z7993" s="10"/>
      <c r="AA7993" s="10"/>
      <c r="AB7993" s="10"/>
      <c r="AC7993" s="10"/>
      <c r="AD7993" s="10"/>
      <c r="AE7993" s="10"/>
      <c r="AF7993" s="10"/>
      <c r="AG7993" s="10"/>
      <c r="AH7993" s="10"/>
    </row>
    <row r="7994" spans="1:34" ht="31.5" outlineLevel="2">
      <c r="A7994" s="21"/>
      <c r="B7994" s="12" t="str">
        <f>IFERROR(VLOOKUP(D7994,'[1]Перечень товаров'!$A$2:$I9525,2,0),"")</f>
        <v>д392</v>
      </c>
      <c r="C7994" s="12" t="str">
        <f>IFERROR(VLOOKUP(D7994,'[1]Перечень товаров'!$A$2:$I9525,3,0),"")</f>
        <v>дидактика</v>
      </c>
      <c r="D7994" s="22" t="s">
        <v>1424</v>
      </c>
      <c r="E7994" s="58"/>
      <c r="F7994" s="58"/>
      <c r="G7994" s="232">
        <v>1</v>
      </c>
      <c r="H7994" s="232"/>
      <c r="I7994" s="233"/>
      <c r="J7994" s="233"/>
      <c r="K7994" s="19"/>
      <c r="L7994" s="20"/>
      <c r="M7994" s="10"/>
      <c r="N7994" s="10"/>
      <c r="O7994" s="10"/>
      <c r="P7994" s="10"/>
      <c r="Q7994" s="10"/>
      <c r="R7994" s="10"/>
      <c r="S7994" s="10"/>
      <c r="T7994" s="10"/>
      <c r="U7994" s="10"/>
      <c r="V7994" s="10"/>
      <c r="W7994" s="10"/>
      <c r="X7994" s="10"/>
      <c r="Y7994" s="10"/>
      <c r="Z7994" s="10"/>
      <c r="AA7994" s="10"/>
      <c r="AB7994" s="10"/>
      <c r="AC7994" s="10"/>
      <c r="AD7994" s="10"/>
      <c r="AE7994" s="10"/>
      <c r="AF7994" s="10"/>
      <c r="AG7994" s="10"/>
      <c r="AH7994" s="10"/>
    </row>
    <row r="7995" spans="1:34" ht="31.5" outlineLevel="2">
      <c r="A7995" s="21"/>
      <c r="B7995" s="12" t="str">
        <f>IFERROR(VLOOKUP(D7995,'[1]Перечень товаров'!$A$2:$I9525,2,0),"")</f>
        <v>д391</v>
      </c>
      <c r="C7995" s="12" t="str">
        <f>IFERROR(VLOOKUP(D7995,'[1]Перечень товаров'!$A$2:$I9525,3,0),"")</f>
        <v>дидактика</v>
      </c>
      <c r="D7995" s="22" t="s">
        <v>1425</v>
      </c>
      <c r="E7995" s="58"/>
      <c r="F7995" s="58"/>
      <c r="G7995" s="232">
        <v>1</v>
      </c>
      <c r="H7995" s="232"/>
      <c r="I7995" s="233"/>
      <c r="J7995" s="233"/>
      <c r="K7995" s="19"/>
      <c r="L7995" s="20"/>
      <c r="M7995" s="10"/>
      <c r="N7995" s="10"/>
      <c r="O7995" s="10"/>
      <c r="P7995" s="10"/>
      <c r="Q7995" s="10"/>
      <c r="R7995" s="10"/>
      <c r="S7995" s="10"/>
      <c r="T7995" s="10"/>
      <c r="U7995" s="10"/>
      <c r="V7995" s="10"/>
      <c r="W7995" s="10"/>
      <c r="X7995" s="10"/>
      <c r="Y7995" s="10"/>
      <c r="Z7995" s="10"/>
      <c r="AA7995" s="10"/>
      <c r="AB7995" s="10"/>
      <c r="AC7995" s="10"/>
      <c r="AD7995" s="10"/>
      <c r="AE7995" s="10"/>
      <c r="AF7995" s="10"/>
      <c r="AG7995" s="10"/>
      <c r="AH7995" s="10"/>
    </row>
    <row r="7996" spans="1:34" ht="78.75" outlineLevel="2">
      <c r="A7996" s="21"/>
      <c r="B7996" s="12" t="str">
        <f>IFERROR(VLOOKUP(D7996,'[1]Перечень товаров'!$A$2:$I9525,2,0),"")</f>
        <v>д390</v>
      </c>
      <c r="C7996" s="12" t="str">
        <f>IFERROR(VLOOKUP(D7996,'[1]Перечень товаров'!$A$2:$I9525,3,0),"")</f>
        <v>дидактика</v>
      </c>
      <c r="D7996" s="22" t="s">
        <v>1426</v>
      </c>
      <c r="E7996" s="58"/>
      <c r="F7996" s="58"/>
      <c r="G7996" s="232">
        <v>1</v>
      </c>
      <c r="H7996" s="232"/>
      <c r="I7996" s="233"/>
      <c r="J7996" s="233"/>
      <c r="K7996" s="19"/>
      <c r="L7996" s="20"/>
      <c r="M7996" s="10"/>
      <c r="N7996" s="10"/>
      <c r="O7996" s="10"/>
      <c r="P7996" s="10"/>
      <c r="Q7996" s="10"/>
      <c r="R7996" s="10"/>
      <c r="S7996" s="10"/>
      <c r="T7996" s="10"/>
      <c r="U7996" s="10"/>
      <c r="V7996" s="10"/>
      <c r="W7996" s="10"/>
      <c r="X7996" s="10"/>
      <c r="Y7996" s="10"/>
      <c r="Z7996" s="10"/>
      <c r="AA7996" s="10"/>
      <c r="AB7996" s="10"/>
      <c r="AC7996" s="10"/>
      <c r="AD7996" s="10"/>
      <c r="AE7996" s="10"/>
      <c r="AF7996" s="10"/>
      <c r="AG7996" s="10"/>
      <c r="AH7996" s="10"/>
    </row>
    <row r="7997" spans="1:34" ht="31.5" outlineLevel="2">
      <c r="A7997" s="21"/>
      <c r="B7997" s="12" t="str">
        <f>IFERROR(VLOOKUP(D7997,'[1]Перечень товаров'!$A$2:$I9525,2,0),"")</f>
        <v>д389</v>
      </c>
      <c r="C7997" s="12" t="str">
        <f>IFERROR(VLOOKUP(D7997,'[1]Перечень товаров'!$A$2:$I9525,3,0),"")</f>
        <v>дидактика</v>
      </c>
      <c r="D7997" s="22" t="s">
        <v>1427</v>
      </c>
      <c r="E7997" s="58"/>
      <c r="F7997" s="58"/>
      <c r="G7997" s="232">
        <v>1</v>
      </c>
      <c r="H7997" s="232"/>
      <c r="I7997" s="233"/>
      <c r="J7997" s="233"/>
      <c r="K7997" s="19"/>
      <c r="L7997" s="20"/>
      <c r="M7997" s="10"/>
      <c r="N7997" s="10"/>
      <c r="O7997" s="10"/>
      <c r="P7997" s="10"/>
      <c r="Q7997" s="10"/>
      <c r="R7997" s="10"/>
      <c r="S7997" s="10"/>
      <c r="T7997" s="10"/>
      <c r="U7997" s="10"/>
      <c r="V7997" s="10"/>
      <c r="W7997" s="10"/>
      <c r="X7997" s="10"/>
      <c r="Y7997" s="10"/>
      <c r="Z7997" s="10"/>
      <c r="AA7997" s="10"/>
      <c r="AB7997" s="10"/>
      <c r="AC7997" s="10"/>
      <c r="AD7997" s="10"/>
      <c r="AE7997" s="10"/>
      <c r="AF7997" s="10"/>
      <c r="AG7997" s="10"/>
      <c r="AH7997" s="10"/>
    </row>
    <row r="7998" spans="1:34" ht="31.5" outlineLevel="2">
      <c r="A7998" s="21"/>
      <c r="B7998" s="12" t="str">
        <f>IFERROR(VLOOKUP(D7998,'[1]Перечень товаров'!$A$2:$I9525,2,0),"")</f>
        <v>д388</v>
      </c>
      <c r="C7998" s="12" t="str">
        <f>IFERROR(VLOOKUP(D7998,'[1]Перечень товаров'!$A$2:$I9525,3,0),"")</f>
        <v>дидактика</v>
      </c>
      <c r="D7998" s="22" t="s">
        <v>1428</v>
      </c>
      <c r="E7998" s="58"/>
      <c r="F7998" s="58"/>
      <c r="G7998" s="232">
        <v>1</v>
      </c>
      <c r="H7998" s="232"/>
      <c r="I7998" s="233"/>
      <c r="J7998" s="233"/>
      <c r="K7998" s="19"/>
      <c r="L7998" s="20"/>
      <c r="M7998" s="10"/>
      <c r="N7998" s="10"/>
      <c r="O7998" s="10"/>
      <c r="P7998" s="10"/>
      <c r="Q7998" s="10"/>
      <c r="R7998" s="10"/>
      <c r="S7998" s="10"/>
      <c r="T7998" s="10"/>
      <c r="U7998" s="10"/>
      <c r="V7998" s="10"/>
      <c r="W7998" s="10"/>
      <c r="X7998" s="10"/>
      <c r="Y7998" s="10"/>
      <c r="Z7998" s="10"/>
      <c r="AA7998" s="10"/>
      <c r="AB7998" s="10"/>
      <c r="AC7998" s="10"/>
      <c r="AD7998" s="10"/>
      <c r="AE7998" s="10"/>
      <c r="AF7998" s="10"/>
      <c r="AG7998" s="10"/>
      <c r="AH7998" s="10"/>
    </row>
    <row r="7999" spans="1:34" ht="31.5" outlineLevel="2">
      <c r="A7999" s="21"/>
      <c r="B7999" s="12" t="str">
        <f>IFERROR(VLOOKUP(D7999,'[1]Перечень товаров'!$A$2:$I9525,2,0),"")</f>
        <v>д387</v>
      </c>
      <c r="C7999" s="12" t="str">
        <f>IFERROR(VLOOKUP(D7999,'[1]Перечень товаров'!$A$2:$I9525,3,0),"")</f>
        <v>дидактика</v>
      </c>
      <c r="D7999" s="22" t="s">
        <v>1429</v>
      </c>
      <c r="E7999" s="58"/>
      <c r="F7999" s="58"/>
      <c r="G7999" s="232">
        <v>1</v>
      </c>
      <c r="H7999" s="232"/>
      <c r="I7999" s="233"/>
      <c r="J7999" s="233"/>
      <c r="K7999" s="19"/>
      <c r="L7999" s="20"/>
      <c r="M7999" s="10"/>
      <c r="N7999" s="10"/>
      <c r="O7999" s="10"/>
      <c r="P7999" s="10"/>
      <c r="Q7999" s="10"/>
      <c r="R7999" s="10"/>
      <c r="S7999" s="10"/>
      <c r="T7999" s="10"/>
      <c r="U7999" s="10"/>
      <c r="V7999" s="10"/>
      <c r="W7999" s="10"/>
      <c r="X7999" s="10"/>
      <c r="Y7999" s="10"/>
      <c r="Z7999" s="10"/>
      <c r="AA7999" s="10"/>
      <c r="AB7999" s="10"/>
      <c r="AC7999" s="10"/>
      <c r="AD7999" s="10"/>
      <c r="AE7999" s="10"/>
      <c r="AF7999" s="10"/>
      <c r="AG7999" s="10"/>
      <c r="AH7999" s="10"/>
    </row>
    <row r="8000" spans="1:34" ht="31.5" outlineLevel="2">
      <c r="A8000" s="21"/>
      <c r="B8000" s="12" t="str">
        <f>IFERROR(VLOOKUP(D8000,'[1]Перечень товаров'!$A$2:$I9525,2,0),"")</f>
        <v>д386</v>
      </c>
      <c r="C8000" s="12" t="str">
        <f>IFERROR(VLOOKUP(D8000,'[1]Перечень товаров'!$A$2:$I9525,3,0),"")</f>
        <v>дидактика</v>
      </c>
      <c r="D8000" s="22" t="s">
        <v>1430</v>
      </c>
      <c r="E8000" s="58"/>
      <c r="F8000" s="58"/>
      <c r="G8000" s="232">
        <v>1</v>
      </c>
      <c r="H8000" s="232"/>
      <c r="I8000" s="233"/>
      <c r="J8000" s="233"/>
      <c r="K8000" s="19"/>
      <c r="L8000" s="20"/>
      <c r="M8000" s="10"/>
      <c r="N8000" s="10"/>
      <c r="O8000" s="10"/>
      <c r="P8000" s="10"/>
      <c r="Q8000" s="10"/>
      <c r="R8000" s="10"/>
      <c r="S8000" s="10"/>
      <c r="T8000" s="10"/>
      <c r="U8000" s="10"/>
      <c r="V8000" s="10"/>
      <c r="W8000" s="10"/>
      <c r="X8000" s="10"/>
      <c r="Y8000" s="10"/>
      <c r="Z8000" s="10"/>
      <c r="AA8000" s="10"/>
      <c r="AB8000" s="10"/>
      <c r="AC8000" s="10"/>
      <c r="AD8000" s="10"/>
      <c r="AE8000" s="10"/>
      <c r="AF8000" s="10"/>
      <c r="AG8000" s="10"/>
      <c r="AH8000" s="10"/>
    </row>
    <row r="8001" spans="1:34" ht="47.25" outlineLevel="2">
      <c r="A8001" s="21"/>
      <c r="B8001" s="12" t="str">
        <f>IFERROR(VLOOKUP(D8001,'[1]Перечень товаров'!$A$2:$I9525,2,0),"")</f>
        <v>д385</v>
      </c>
      <c r="C8001" s="12" t="str">
        <f>IFERROR(VLOOKUP(D8001,'[1]Перечень товаров'!$A$2:$I9525,3,0),"")</f>
        <v>дидактика</v>
      </c>
      <c r="D8001" s="22" t="s">
        <v>1431</v>
      </c>
      <c r="E8001" s="58"/>
      <c r="F8001" s="58"/>
      <c r="G8001" s="232">
        <v>1</v>
      </c>
      <c r="H8001" s="232"/>
      <c r="I8001" s="233"/>
      <c r="J8001" s="233"/>
      <c r="K8001" s="19"/>
      <c r="L8001" s="20"/>
      <c r="M8001" s="10"/>
      <c r="N8001" s="10"/>
      <c r="O8001" s="10"/>
      <c r="P8001" s="10"/>
      <c r="Q8001" s="10"/>
      <c r="R8001" s="10"/>
      <c r="S8001" s="10"/>
      <c r="T8001" s="10"/>
      <c r="U8001" s="10"/>
      <c r="V8001" s="10"/>
      <c r="W8001" s="10"/>
      <c r="X8001" s="10"/>
      <c r="Y8001" s="10"/>
      <c r="Z8001" s="10"/>
      <c r="AA8001" s="10"/>
      <c r="AB8001" s="10"/>
      <c r="AC8001" s="10"/>
      <c r="AD8001" s="10"/>
      <c r="AE8001" s="10"/>
      <c r="AF8001" s="10"/>
      <c r="AG8001" s="10"/>
      <c r="AH8001" s="10"/>
    </row>
    <row r="8002" spans="1:34" ht="31.5" outlineLevel="2">
      <c r="A8002" s="21"/>
      <c r="B8002" s="12" t="str">
        <f>IFERROR(VLOOKUP(D8002,'[1]Перечень товаров'!$A$2:$I9525,2,0),"")</f>
        <v>д384</v>
      </c>
      <c r="C8002" s="12" t="str">
        <f>IFERROR(VLOOKUP(D8002,'[1]Перечень товаров'!$A$2:$I9525,3,0),"")</f>
        <v>дидактика</v>
      </c>
      <c r="D8002" s="22" t="s">
        <v>1432</v>
      </c>
      <c r="E8002" s="58"/>
      <c r="F8002" s="58"/>
      <c r="G8002" s="232">
        <v>1</v>
      </c>
      <c r="H8002" s="232"/>
      <c r="I8002" s="233"/>
      <c r="J8002" s="233"/>
      <c r="K8002" s="19"/>
      <c r="L8002" s="20"/>
      <c r="M8002" s="10"/>
      <c r="N8002" s="10"/>
      <c r="O8002" s="10"/>
      <c r="P8002" s="10"/>
      <c r="Q8002" s="10"/>
      <c r="R8002" s="10"/>
      <c r="S8002" s="10"/>
      <c r="T8002" s="10"/>
      <c r="U8002" s="10"/>
      <c r="V8002" s="10"/>
      <c r="W8002" s="10"/>
      <c r="X8002" s="10"/>
      <c r="Y8002" s="10"/>
      <c r="Z8002" s="10"/>
      <c r="AA8002" s="10"/>
      <c r="AB8002" s="10"/>
      <c r="AC8002" s="10"/>
      <c r="AD8002" s="10"/>
      <c r="AE8002" s="10"/>
      <c r="AF8002" s="10"/>
      <c r="AG8002" s="10"/>
      <c r="AH8002" s="10"/>
    </row>
    <row r="8003" spans="1:34" ht="31.5" outlineLevel="2">
      <c r="A8003" s="21"/>
      <c r="B8003" s="12" t="str">
        <f>IFERROR(VLOOKUP(D8003,'[1]Перечень товаров'!$A$2:$I9525,2,0),"")</f>
        <v>д383</v>
      </c>
      <c r="C8003" s="12" t="str">
        <f>IFERROR(VLOOKUP(D8003,'[1]Перечень товаров'!$A$2:$I9525,3,0),"")</f>
        <v>дидактика</v>
      </c>
      <c r="D8003" s="22" t="s">
        <v>1433</v>
      </c>
      <c r="E8003" s="58"/>
      <c r="F8003" s="58"/>
      <c r="G8003" s="232">
        <v>1</v>
      </c>
      <c r="H8003" s="232"/>
      <c r="I8003" s="233"/>
      <c r="J8003" s="233"/>
      <c r="K8003" s="19"/>
      <c r="L8003" s="20"/>
      <c r="M8003" s="10"/>
      <c r="N8003" s="10"/>
      <c r="O8003" s="10"/>
      <c r="P8003" s="10"/>
      <c r="Q8003" s="10"/>
      <c r="R8003" s="10"/>
      <c r="S8003" s="10"/>
      <c r="T8003" s="10"/>
      <c r="U8003" s="10"/>
      <c r="V8003" s="10"/>
      <c r="W8003" s="10"/>
      <c r="X8003" s="10"/>
      <c r="Y8003" s="10"/>
      <c r="Z8003" s="10"/>
      <c r="AA8003" s="10"/>
      <c r="AB8003" s="10"/>
      <c r="AC8003" s="10"/>
      <c r="AD8003" s="10"/>
      <c r="AE8003" s="10"/>
      <c r="AF8003" s="10"/>
      <c r="AG8003" s="10"/>
      <c r="AH8003" s="10"/>
    </row>
    <row r="8004" spans="1:34" ht="63" outlineLevel="2">
      <c r="A8004" s="21"/>
      <c r="B8004" s="12" t="str">
        <f>IFERROR(VLOOKUP(D8004,'[1]Перечень товаров'!$A$2:$I9525,2,0),"")</f>
        <v>д382</v>
      </c>
      <c r="C8004" s="12" t="str">
        <f>IFERROR(VLOOKUP(D8004,'[1]Перечень товаров'!$A$2:$I9525,3,0),"")</f>
        <v>дидактика</v>
      </c>
      <c r="D8004" s="22" t="s">
        <v>1434</v>
      </c>
      <c r="E8004" s="58"/>
      <c r="F8004" s="58"/>
      <c r="G8004" s="232">
        <v>1</v>
      </c>
      <c r="H8004" s="232"/>
      <c r="I8004" s="233"/>
      <c r="J8004" s="233"/>
      <c r="K8004" s="19"/>
      <c r="L8004" s="20"/>
      <c r="M8004" s="10"/>
      <c r="N8004" s="10"/>
      <c r="O8004" s="10"/>
      <c r="P8004" s="10"/>
      <c r="Q8004" s="10"/>
      <c r="R8004" s="10"/>
      <c r="S8004" s="10"/>
      <c r="T8004" s="10"/>
      <c r="U8004" s="10"/>
      <c r="V8004" s="10"/>
      <c r="W8004" s="10"/>
      <c r="X8004" s="10"/>
      <c r="Y8004" s="10"/>
      <c r="Z8004" s="10"/>
      <c r="AA8004" s="10"/>
      <c r="AB8004" s="10"/>
      <c r="AC8004" s="10"/>
      <c r="AD8004" s="10"/>
      <c r="AE8004" s="10"/>
      <c r="AF8004" s="10"/>
      <c r="AG8004" s="10"/>
      <c r="AH8004" s="10"/>
    </row>
    <row r="8005" spans="1:34" ht="31.5" outlineLevel="2">
      <c r="A8005" s="21"/>
      <c r="B8005" s="12" t="str">
        <f>IFERROR(VLOOKUP(D8005,'[1]Перечень товаров'!$A$2:$I9525,2,0),"")</f>
        <v>д381</v>
      </c>
      <c r="C8005" s="12" t="str">
        <f>IFERROR(VLOOKUP(D8005,'[1]Перечень товаров'!$A$2:$I9525,3,0),"")</f>
        <v>дидактика</v>
      </c>
      <c r="D8005" s="22" t="s">
        <v>1435</v>
      </c>
      <c r="E8005" s="58"/>
      <c r="F8005" s="58"/>
      <c r="G8005" s="232">
        <v>1</v>
      </c>
      <c r="H8005" s="232"/>
      <c r="I8005" s="233"/>
      <c r="J8005" s="233"/>
      <c r="K8005" s="19"/>
      <c r="L8005" s="20"/>
      <c r="M8005" s="10"/>
      <c r="N8005" s="10"/>
      <c r="O8005" s="10"/>
      <c r="P8005" s="10"/>
      <c r="Q8005" s="10"/>
      <c r="R8005" s="10"/>
      <c r="S8005" s="10"/>
      <c r="T8005" s="10"/>
      <c r="U8005" s="10"/>
      <c r="V8005" s="10"/>
      <c r="W8005" s="10"/>
      <c r="X8005" s="10"/>
      <c r="Y8005" s="10"/>
      <c r="Z8005" s="10"/>
      <c r="AA8005" s="10"/>
      <c r="AB8005" s="10"/>
      <c r="AC8005" s="10"/>
      <c r="AD8005" s="10"/>
      <c r="AE8005" s="10"/>
      <c r="AF8005" s="10"/>
      <c r="AG8005" s="10"/>
      <c r="AH8005" s="10"/>
    </row>
    <row r="8006" spans="1:34" ht="31.5" outlineLevel="2">
      <c r="A8006" s="21"/>
      <c r="B8006" s="12" t="str">
        <f>IFERROR(VLOOKUP(D8006,'[1]Перечень товаров'!$A$2:$I9525,2,0),"")</f>
        <v>д380</v>
      </c>
      <c r="C8006" s="12" t="str">
        <f>IFERROR(VLOOKUP(D8006,'[1]Перечень товаров'!$A$2:$I9525,3,0),"")</f>
        <v>дидактика</v>
      </c>
      <c r="D8006" s="22" t="s">
        <v>1436</v>
      </c>
      <c r="E8006" s="58"/>
      <c r="F8006" s="58"/>
      <c r="G8006" s="232">
        <v>1</v>
      </c>
      <c r="H8006" s="232"/>
      <c r="I8006" s="233"/>
      <c r="J8006" s="233"/>
      <c r="K8006" s="19"/>
      <c r="L8006" s="20"/>
      <c r="M8006" s="10"/>
      <c r="N8006" s="10"/>
      <c r="O8006" s="10"/>
      <c r="P8006" s="10"/>
      <c r="Q8006" s="10"/>
      <c r="R8006" s="10"/>
      <c r="S8006" s="10"/>
      <c r="T8006" s="10"/>
      <c r="U8006" s="10"/>
      <c r="V8006" s="10"/>
      <c r="W8006" s="10"/>
      <c r="X8006" s="10"/>
      <c r="Y8006" s="10"/>
      <c r="Z8006" s="10"/>
      <c r="AA8006" s="10"/>
      <c r="AB8006" s="10"/>
      <c r="AC8006" s="10"/>
      <c r="AD8006" s="10"/>
      <c r="AE8006" s="10"/>
      <c r="AF8006" s="10"/>
      <c r="AG8006" s="10"/>
      <c r="AH8006" s="10"/>
    </row>
    <row r="8007" spans="1:34" ht="31.5" outlineLevel="2">
      <c r="A8007" s="21"/>
      <c r="B8007" s="12" t="str">
        <f>IFERROR(VLOOKUP(D8007,'[1]Перечень товаров'!$A$2:$I9525,2,0),"")</f>
        <v>д379</v>
      </c>
      <c r="C8007" s="12" t="str">
        <f>IFERROR(VLOOKUP(D8007,'[1]Перечень товаров'!$A$2:$I9525,3,0),"")</f>
        <v>дидактика</v>
      </c>
      <c r="D8007" s="22" t="s">
        <v>1437</v>
      </c>
      <c r="E8007" s="58"/>
      <c r="F8007" s="58"/>
      <c r="G8007" s="232">
        <v>1</v>
      </c>
      <c r="H8007" s="232"/>
      <c r="I8007" s="233"/>
      <c r="J8007" s="233"/>
      <c r="K8007" s="19"/>
      <c r="L8007" s="20"/>
      <c r="M8007" s="10"/>
      <c r="N8007" s="10"/>
      <c r="O8007" s="10"/>
      <c r="P8007" s="10"/>
      <c r="Q8007" s="10"/>
      <c r="R8007" s="10"/>
      <c r="S8007" s="10"/>
      <c r="T8007" s="10"/>
      <c r="U8007" s="10"/>
      <c r="V8007" s="10"/>
      <c r="W8007" s="10"/>
      <c r="X8007" s="10"/>
      <c r="Y8007" s="10"/>
      <c r="Z8007" s="10"/>
      <c r="AA8007" s="10"/>
      <c r="AB8007" s="10"/>
      <c r="AC8007" s="10"/>
      <c r="AD8007" s="10"/>
      <c r="AE8007" s="10"/>
      <c r="AF8007" s="10"/>
      <c r="AG8007" s="10"/>
      <c r="AH8007" s="10"/>
    </row>
    <row r="8008" spans="1:34" ht="31.5" outlineLevel="2">
      <c r="A8008" s="21"/>
      <c r="B8008" s="12" t="str">
        <f>IFERROR(VLOOKUP(D8008,'[1]Перечень товаров'!$A$2:$I9525,2,0),"")</f>
        <v>д378</v>
      </c>
      <c r="C8008" s="12" t="str">
        <f>IFERROR(VLOOKUP(D8008,'[1]Перечень товаров'!$A$2:$I9525,3,0),"")</f>
        <v>дидактика</v>
      </c>
      <c r="D8008" s="22" t="s">
        <v>1438</v>
      </c>
      <c r="E8008" s="58"/>
      <c r="F8008" s="58"/>
      <c r="G8008" s="232">
        <v>1</v>
      </c>
      <c r="H8008" s="232"/>
      <c r="I8008" s="233"/>
      <c r="J8008" s="233"/>
      <c r="K8008" s="19"/>
      <c r="L8008" s="20"/>
      <c r="M8008" s="10"/>
      <c r="N8008" s="10"/>
      <c r="O8008" s="10"/>
      <c r="P8008" s="10"/>
      <c r="Q8008" s="10"/>
      <c r="R8008" s="10"/>
      <c r="S8008" s="10"/>
      <c r="T8008" s="10"/>
      <c r="U8008" s="10"/>
      <c r="V8008" s="10"/>
      <c r="W8008" s="10"/>
      <c r="X8008" s="10"/>
      <c r="Y8008" s="10"/>
      <c r="Z8008" s="10"/>
      <c r="AA8008" s="10"/>
      <c r="AB8008" s="10"/>
      <c r="AC8008" s="10"/>
      <c r="AD8008" s="10"/>
      <c r="AE8008" s="10"/>
      <c r="AF8008" s="10"/>
      <c r="AG8008" s="10"/>
      <c r="AH8008" s="10"/>
    </row>
    <row r="8009" spans="1:34" ht="12.75" outlineLevel="2">
      <c r="A8009" s="245"/>
      <c r="B8009" s="12" t="str">
        <f>IFERROR(VLOOKUP(D8009,'[1]Перечень товаров'!$A$2:$I9525,2,0),"")</f>
        <v/>
      </c>
      <c r="C8009" s="12" t="str">
        <f>IFERROR(VLOOKUP(D8009,'[1]Перечень товаров'!$A$2:$I9525,3,0),"")</f>
        <v/>
      </c>
      <c r="D8009" s="246" t="s">
        <v>1439</v>
      </c>
      <c r="E8009" s="56"/>
      <c r="F8009" s="56"/>
      <c r="G8009" s="281"/>
      <c r="H8009" s="281"/>
      <c r="I8009" s="282"/>
      <c r="J8009" s="282"/>
      <c r="K8009" s="19"/>
      <c r="L8009" s="20"/>
      <c r="M8009" s="10"/>
      <c r="N8009" s="10"/>
      <c r="O8009" s="10"/>
      <c r="P8009" s="10"/>
      <c r="Q8009" s="10"/>
      <c r="R8009" s="10"/>
      <c r="S8009" s="10"/>
      <c r="T8009" s="10"/>
      <c r="U8009" s="10"/>
      <c r="V8009" s="10"/>
      <c r="W8009" s="10"/>
      <c r="X8009" s="10"/>
      <c r="Y8009" s="10"/>
      <c r="Z8009" s="10"/>
      <c r="AA8009" s="10"/>
      <c r="AB8009" s="10"/>
      <c r="AC8009" s="10"/>
      <c r="AD8009" s="10"/>
      <c r="AE8009" s="10"/>
      <c r="AF8009" s="10"/>
      <c r="AG8009" s="10"/>
      <c r="AH8009" s="10"/>
    </row>
    <row r="8010" spans="1:34" outlineLevel="2">
      <c r="A8010" s="21"/>
      <c r="B8010" s="12" t="str">
        <f>IFERROR(VLOOKUP(D8010,'[1]Перечень товаров'!$A$2:$I9525,2,0),"")</f>
        <v>д377</v>
      </c>
      <c r="C8010" s="12" t="str">
        <f>IFERROR(VLOOKUP(D8010,'[1]Перечень товаров'!$A$2:$I9525,3,0),"")</f>
        <v>дидактика</v>
      </c>
      <c r="D8010" s="22" t="s">
        <v>1440</v>
      </c>
      <c r="E8010" s="58"/>
      <c r="F8010" s="58"/>
      <c r="G8010" s="232">
        <v>1</v>
      </c>
      <c r="H8010" s="232"/>
      <c r="I8010" s="233"/>
      <c r="J8010" s="233"/>
      <c r="K8010" s="19"/>
      <c r="L8010" s="20"/>
      <c r="M8010" s="10"/>
      <c r="N8010" s="10"/>
      <c r="O8010" s="10"/>
      <c r="P8010" s="10"/>
      <c r="Q8010" s="10"/>
      <c r="R8010" s="10"/>
      <c r="S8010" s="10"/>
      <c r="T8010" s="10"/>
      <c r="U8010" s="10"/>
      <c r="V8010" s="10"/>
      <c r="W8010" s="10"/>
      <c r="X8010" s="10"/>
      <c r="Y8010" s="10"/>
      <c r="Z8010" s="10"/>
      <c r="AA8010" s="10"/>
      <c r="AB8010" s="10"/>
      <c r="AC8010" s="10"/>
      <c r="AD8010" s="10"/>
      <c r="AE8010" s="10"/>
      <c r="AF8010" s="10"/>
      <c r="AG8010" s="10"/>
      <c r="AH8010" s="10"/>
    </row>
    <row r="8011" spans="1:34" ht="12.75" outlineLevel="2">
      <c r="A8011" s="197"/>
      <c r="B8011" s="12" t="str">
        <f>IFERROR(VLOOKUP(D8011,'[1]Перечень товаров'!$A$2:$I9525,2,0),"")</f>
        <v/>
      </c>
      <c r="C8011" s="12" t="str">
        <f>IFERROR(VLOOKUP(D8011,'[1]Перечень товаров'!$A$2:$I9525,3,0),"")</f>
        <v/>
      </c>
      <c r="D8011" s="198" t="s">
        <v>809</v>
      </c>
      <c r="E8011" s="56"/>
      <c r="F8011" s="56"/>
      <c r="G8011" s="281"/>
      <c r="H8011" s="281"/>
      <c r="I8011" s="282"/>
      <c r="J8011" s="282"/>
      <c r="K8011" s="19"/>
      <c r="L8011" s="20"/>
      <c r="M8011" s="10"/>
      <c r="N8011" s="10"/>
      <c r="O8011" s="10"/>
      <c r="P8011" s="10"/>
      <c r="Q8011" s="10"/>
      <c r="R8011" s="10"/>
      <c r="S8011" s="10"/>
      <c r="T8011" s="10"/>
      <c r="U8011" s="10"/>
      <c r="V8011" s="10"/>
      <c r="W8011" s="10"/>
      <c r="X8011" s="10"/>
      <c r="Y8011" s="10"/>
      <c r="Z8011" s="10"/>
      <c r="AA8011" s="10"/>
      <c r="AB8011" s="10"/>
      <c r="AC8011" s="10"/>
      <c r="AD8011" s="10"/>
      <c r="AE8011" s="10"/>
      <c r="AF8011" s="10"/>
      <c r="AG8011" s="10"/>
      <c r="AH8011" s="10"/>
    </row>
    <row r="8012" spans="1:34" outlineLevel="2">
      <c r="A8012" s="34"/>
      <c r="B8012" s="12" t="str">
        <f>IFERROR(VLOOKUP(D8012,'[1]Перечень товаров'!$A$2:$I9525,2,0),"")</f>
        <v>д65</v>
      </c>
      <c r="C8012" s="12" t="str">
        <f>IFERROR(VLOOKUP(D8012,'[1]Перечень товаров'!$A$2:$I9525,3,0),"")</f>
        <v>Дидактика</v>
      </c>
      <c r="D8012" s="35" t="s">
        <v>811</v>
      </c>
      <c r="E8012" s="58"/>
      <c r="F8012" s="58"/>
      <c r="G8012" s="232">
        <v>1</v>
      </c>
      <c r="H8012" s="232"/>
      <c r="I8012" s="233"/>
      <c r="J8012" s="233"/>
      <c r="K8012" s="19"/>
      <c r="L8012" s="20"/>
      <c r="M8012" s="10"/>
      <c r="N8012" s="10"/>
      <c r="O8012" s="10"/>
      <c r="P8012" s="10"/>
      <c r="Q8012" s="10"/>
      <c r="R8012" s="10"/>
      <c r="S8012" s="10"/>
      <c r="T8012" s="10"/>
      <c r="U8012" s="10"/>
      <c r="V8012" s="10"/>
      <c r="W8012" s="10"/>
      <c r="X8012" s="10"/>
      <c r="Y8012" s="10"/>
      <c r="Z8012" s="10"/>
      <c r="AA8012" s="10"/>
      <c r="AB8012" s="10"/>
      <c r="AC8012" s="10"/>
      <c r="AD8012" s="10"/>
      <c r="AE8012" s="10"/>
      <c r="AF8012" s="10"/>
      <c r="AG8012" s="10"/>
      <c r="AH8012" s="10"/>
    </row>
    <row r="8013" spans="1:34" outlineLevel="2">
      <c r="A8013" s="34"/>
      <c r="B8013" s="12" t="str">
        <f>IFERROR(VLOOKUP(D8013,'[1]Перечень товаров'!$A$2:$I9525,2,0),"")</f>
        <v>д66</v>
      </c>
      <c r="C8013" s="12" t="str">
        <f>IFERROR(VLOOKUP(D8013,'[1]Перечень товаров'!$A$2:$I9525,3,0),"")</f>
        <v>Дидактика</v>
      </c>
      <c r="D8013" s="35" t="s">
        <v>812</v>
      </c>
      <c r="E8013" s="58"/>
      <c r="F8013" s="58"/>
      <c r="G8013" s="232">
        <v>1</v>
      </c>
      <c r="H8013" s="232"/>
      <c r="I8013" s="233"/>
      <c r="J8013" s="233"/>
      <c r="K8013" s="19"/>
      <c r="L8013" s="20"/>
      <c r="M8013" s="10"/>
      <c r="N8013" s="10"/>
      <c r="O8013" s="10"/>
      <c r="P8013" s="10"/>
      <c r="Q8013" s="10"/>
      <c r="R8013" s="10"/>
      <c r="S8013" s="10"/>
      <c r="T8013" s="10"/>
      <c r="U8013" s="10"/>
      <c r="V8013" s="10"/>
      <c r="W8013" s="10"/>
      <c r="X8013" s="10"/>
      <c r="Y8013" s="10"/>
      <c r="Z8013" s="10"/>
      <c r="AA8013" s="10"/>
      <c r="AB8013" s="10"/>
      <c r="AC8013" s="10"/>
      <c r="AD8013" s="10"/>
      <c r="AE8013" s="10"/>
      <c r="AF8013" s="10"/>
      <c r="AG8013" s="10"/>
      <c r="AH8013" s="10"/>
    </row>
    <row r="8014" spans="1:34" outlineLevel="2">
      <c r="A8014" s="34"/>
      <c r="B8014" s="12" t="str">
        <f>IFERROR(VLOOKUP(D8014,'[1]Перечень товаров'!$A$2:$I9525,2,0),"")</f>
        <v>д67</v>
      </c>
      <c r="C8014" s="12" t="str">
        <f>IFERROR(VLOOKUP(D8014,'[1]Перечень товаров'!$A$2:$I9525,3,0),"")</f>
        <v>Дидактика</v>
      </c>
      <c r="D8014" s="35" t="s">
        <v>813</v>
      </c>
      <c r="E8014" s="58"/>
      <c r="F8014" s="58"/>
      <c r="G8014" s="232">
        <v>1</v>
      </c>
      <c r="H8014" s="232"/>
      <c r="I8014" s="233"/>
      <c r="J8014" s="233"/>
      <c r="K8014" s="19"/>
      <c r="L8014" s="20"/>
      <c r="M8014" s="10"/>
      <c r="N8014" s="10"/>
      <c r="O8014" s="10"/>
      <c r="P8014" s="10"/>
      <c r="Q8014" s="10"/>
      <c r="R8014" s="10"/>
      <c r="S8014" s="10"/>
      <c r="T8014" s="10"/>
      <c r="U8014" s="10"/>
      <c r="V8014" s="10"/>
      <c r="W8014" s="10"/>
      <c r="X8014" s="10"/>
      <c r="Y8014" s="10"/>
      <c r="Z8014" s="10"/>
      <c r="AA8014" s="10"/>
      <c r="AB8014" s="10"/>
      <c r="AC8014" s="10"/>
      <c r="AD8014" s="10"/>
      <c r="AE8014" s="10"/>
      <c r="AF8014" s="10"/>
      <c r="AG8014" s="10"/>
      <c r="AH8014" s="10"/>
    </row>
    <row r="8015" spans="1:34" outlineLevel="2">
      <c r="A8015" s="34"/>
      <c r="B8015" s="12" t="str">
        <f>IFERROR(VLOOKUP(D8015,'[1]Перечень товаров'!$A$2:$I9525,2,0),"")</f>
        <v>п90</v>
      </c>
      <c r="C8015" s="12" t="str">
        <f>IFERROR(VLOOKUP(D8015,'[1]Перечень товаров'!$A$2:$I9525,3,0),"")</f>
        <v>Прочее</v>
      </c>
      <c r="D8015" s="35" t="s">
        <v>723</v>
      </c>
      <c r="E8015" s="58"/>
      <c r="F8015" s="58"/>
      <c r="G8015" s="232">
        <v>1</v>
      </c>
      <c r="H8015" s="232"/>
      <c r="I8015" s="233"/>
      <c r="J8015" s="233"/>
      <c r="K8015" s="19"/>
      <c r="L8015" s="20"/>
      <c r="M8015" s="10"/>
      <c r="N8015" s="10"/>
      <c r="O8015" s="10"/>
      <c r="P8015" s="10"/>
      <c r="Q8015" s="10"/>
      <c r="R8015" s="10"/>
      <c r="S8015" s="10"/>
      <c r="T8015" s="10"/>
      <c r="U8015" s="10"/>
      <c r="V8015" s="10"/>
      <c r="W8015" s="10"/>
      <c r="X8015" s="10"/>
      <c r="Y8015" s="10"/>
      <c r="Z8015" s="10"/>
      <c r="AA8015" s="10"/>
      <c r="AB8015" s="10"/>
      <c r="AC8015" s="10"/>
      <c r="AD8015" s="10"/>
      <c r="AE8015" s="10"/>
      <c r="AF8015" s="10"/>
      <c r="AG8015" s="10"/>
      <c r="AH8015" s="10"/>
    </row>
    <row r="8016" spans="1:34" outlineLevel="2">
      <c r="A8016" s="34"/>
      <c r="B8016" s="12" t="str">
        <f>IFERROR(VLOOKUP(D8016,'[1]Перечень товаров'!$A$2:$I9525,2,0),"")</f>
        <v>д68</v>
      </c>
      <c r="C8016" s="12" t="str">
        <f>IFERROR(VLOOKUP(D8016,'[1]Перечень товаров'!$A$2:$I9525,3,0),"")</f>
        <v>Дидактика</v>
      </c>
      <c r="D8016" s="35" t="s">
        <v>814</v>
      </c>
      <c r="E8016" s="58"/>
      <c r="F8016" s="58"/>
      <c r="G8016" s="232">
        <v>4</v>
      </c>
      <c r="H8016" s="232"/>
      <c r="I8016" s="233"/>
      <c r="J8016" s="233"/>
      <c r="K8016" s="19"/>
      <c r="L8016" s="20"/>
      <c r="M8016" s="10"/>
      <c r="N8016" s="10"/>
      <c r="O8016" s="10"/>
      <c r="P8016" s="10"/>
      <c r="Q8016" s="10"/>
      <c r="R8016" s="10"/>
      <c r="S8016" s="10"/>
      <c r="T8016" s="10"/>
      <c r="U8016" s="10"/>
      <c r="V8016" s="10"/>
      <c r="W8016" s="10"/>
      <c r="X8016" s="10"/>
      <c r="Y8016" s="10"/>
      <c r="Z8016" s="10"/>
      <c r="AA8016" s="10"/>
      <c r="AB8016" s="10"/>
      <c r="AC8016" s="10"/>
      <c r="AD8016" s="10"/>
      <c r="AE8016" s="10"/>
      <c r="AF8016" s="10"/>
      <c r="AG8016" s="10"/>
      <c r="AH8016" s="10"/>
    </row>
    <row r="8017" spans="1:34" outlineLevel="2">
      <c r="A8017" s="34"/>
      <c r="B8017" s="12" t="str">
        <f>IFERROR(VLOOKUP(D8017,'[1]Перечень товаров'!$A$2:$I9525,2,0),"")</f>
        <v>д69</v>
      </c>
      <c r="C8017" s="12" t="str">
        <f>IFERROR(VLOOKUP(D8017,'[1]Перечень товаров'!$A$2:$I9525,3,0),"")</f>
        <v>Дидактика</v>
      </c>
      <c r="D8017" s="35" t="s">
        <v>815</v>
      </c>
      <c r="E8017" s="58"/>
      <c r="F8017" s="58"/>
      <c r="G8017" s="232">
        <v>4</v>
      </c>
      <c r="H8017" s="232"/>
      <c r="I8017" s="233"/>
      <c r="J8017" s="233"/>
      <c r="K8017" s="19"/>
      <c r="L8017" s="20"/>
      <c r="M8017" s="10"/>
      <c r="N8017" s="10"/>
      <c r="O8017" s="10"/>
      <c r="P8017" s="10"/>
      <c r="Q8017" s="10"/>
      <c r="R8017" s="10"/>
      <c r="S8017" s="10"/>
      <c r="T8017" s="10"/>
      <c r="U8017" s="10"/>
      <c r="V8017" s="10"/>
      <c r="W8017" s="10"/>
      <c r="X8017" s="10"/>
      <c r="Y8017" s="10"/>
      <c r="Z8017" s="10"/>
      <c r="AA8017" s="10"/>
      <c r="AB8017" s="10"/>
      <c r="AC8017" s="10"/>
      <c r="AD8017" s="10"/>
      <c r="AE8017" s="10"/>
      <c r="AF8017" s="10"/>
      <c r="AG8017" s="10"/>
      <c r="AH8017" s="10"/>
    </row>
    <row r="8018" spans="1:34" outlineLevel="2">
      <c r="A8018" s="34"/>
      <c r="B8018" s="12" t="str">
        <f>IFERROR(VLOOKUP(D8018,'[1]Перечень товаров'!$A$2:$I9525,2,0),"")</f>
        <v>д70</v>
      </c>
      <c r="C8018" s="12" t="str">
        <f>IFERROR(VLOOKUP(D8018,'[1]Перечень товаров'!$A$2:$I9525,3,0),"")</f>
        <v>Дидактика</v>
      </c>
      <c r="D8018" s="35" t="s">
        <v>816</v>
      </c>
      <c r="E8018" s="58"/>
      <c r="F8018" s="58"/>
      <c r="G8018" s="232">
        <v>1</v>
      </c>
      <c r="H8018" s="232"/>
      <c r="I8018" s="233"/>
      <c r="J8018" s="233"/>
      <c r="K8018" s="19"/>
      <c r="L8018" s="20"/>
      <c r="M8018" s="10"/>
      <c r="N8018" s="10"/>
      <c r="O8018" s="10"/>
      <c r="P8018" s="10"/>
      <c r="Q8018" s="10"/>
      <c r="R8018" s="10"/>
      <c r="S8018" s="10"/>
      <c r="T8018" s="10"/>
      <c r="U8018" s="10"/>
      <c r="V8018" s="10"/>
      <c r="W8018" s="10"/>
      <c r="X8018" s="10"/>
      <c r="Y8018" s="10"/>
      <c r="Z8018" s="10"/>
      <c r="AA8018" s="10"/>
      <c r="AB8018" s="10"/>
      <c r="AC8018" s="10"/>
      <c r="AD8018" s="10"/>
      <c r="AE8018" s="10"/>
      <c r="AF8018" s="10"/>
      <c r="AG8018" s="10"/>
      <c r="AH8018" s="10"/>
    </row>
    <row r="8019" spans="1:34" ht="12.75" outlineLevel="1">
      <c r="A8019" s="11"/>
      <c r="B8019" s="12" t="str">
        <f>IFERROR(VLOOKUP(D8019,'[1]Перечень товаров'!$A$2:$I9525,2,0),"")</f>
        <v/>
      </c>
      <c r="C8019" s="12" t="str">
        <f>IFERROR(VLOOKUP(D8019,'[1]Перечень товаров'!$A$2:$I9525,3,0),"")</f>
        <v/>
      </c>
      <c r="D8019" s="27" t="s">
        <v>1853</v>
      </c>
      <c r="E8019" s="14" t="s">
        <v>1854</v>
      </c>
      <c r="F8019" s="14"/>
      <c r="G8019" s="17"/>
      <c r="H8019" s="17"/>
      <c r="I8019" s="57"/>
      <c r="J8019" s="57"/>
      <c r="K8019" s="19"/>
      <c r="L8019" s="20"/>
    </row>
    <row r="8020" spans="1:34" ht="25.5" outlineLevel="2">
      <c r="A8020" s="197"/>
      <c r="B8020" s="12" t="str">
        <f>IFERROR(VLOOKUP(D8020,'[1]Перечень товаров'!$A$2:$I9525,2,0),"")</f>
        <v/>
      </c>
      <c r="C8020" s="12" t="str">
        <f>IFERROR(VLOOKUP(D8020,'[1]Перечень товаров'!$A$2:$I9525,3,0),"")</f>
        <v/>
      </c>
      <c r="D8020" s="198" t="s">
        <v>1855</v>
      </c>
      <c r="E8020" s="56"/>
      <c r="F8020" s="56"/>
      <c r="G8020" s="17"/>
      <c r="H8020" s="17"/>
      <c r="I8020" s="57"/>
      <c r="J8020" s="57"/>
      <c r="K8020" s="19"/>
      <c r="L8020" s="20"/>
    </row>
    <row r="8021" spans="1:34" ht="12.75" outlineLevel="2">
      <c r="A8021" s="197"/>
      <c r="B8021" s="12" t="str">
        <f>IFERROR(VLOOKUP(D8021,'[1]Перечень товаров'!$A$2:$I9525,2,0),"")</f>
        <v/>
      </c>
      <c r="C8021" s="12" t="str">
        <f>IFERROR(VLOOKUP(D8021,'[1]Перечень товаров'!$A$2:$I9525,3,0),"")</f>
        <v/>
      </c>
      <c r="D8021" s="198" t="s">
        <v>1856</v>
      </c>
      <c r="E8021" s="56"/>
      <c r="F8021" s="56"/>
      <c r="G8021" s="17"/>
      <c r="H8021" s="17"/>
      <c r="I8021" s="57"/>
      <c r="J8021" s="57"/>
      <c r="K8021" s="19"/>
      <c r="L8021" s="20"/>
    </row>
    <row r="8022" spans="1:34" ht="31.5" outlineLevel="2">
      <c r="A8022" s="34"/>
      <c r="B8022" s="12" t="str">
        <f>IFERROR(VLOOKUP(D8022,'[1]Перечень товаров'!$A$2:$I9525,2,0),"")</f>
        <v>д229</v>
      </c>
      <c r="C8022" s="12" t="str">
        <f>IFERROR(VLOOKUP(D8022,'[1]Перечень товаров'!$A$2:$I9525,3,0),"")</f>
        <v>Дидактика</v>
      </c>
      <c r="D8022" s="35" t="s">
        <v>1857</v>
      </c>
      <c r="E8022" s="58"/>
      <c r="F8022" s="58"/>
      <c r="G8022" s="137">
        <v>1</v>
      </c>
      <c r="H8022" s="137"/>
      <c r="I8022" s="138"/>
      <c r="J8022" s="138"/>
      <c r="K8022" s="19"/>
      <c r="L8022" s="20"/>
    </row>
    <row r="8023" spans="1:34" outlineLevel="2">
      <c r="A8023" s="34"/>
      <c r="B8023" s="12" t="str">
        <f>IFERROR(VLOOKUP(D8023,'[1]Перечень товаров'!$A$2:$I9525,2,0),"")</f>
        <v>д228</v>
      </c>
      <c r="C8023" s="12" t="str">
        <f>IFERROR(VLOOKUP(D8023,'[1]Перечень товаров'!$A$2:$I9525,3,0),"")</f>
        <v>Дидактика</v>
      </c>
      <c r="D8023" s="35" t="s">
        <v>1858</v>
      </c>
      <c r="E8023" s="58"/>
      <c r="F8023" s="58"/>
      <c r="G8023" s="137">
        <v>1</v>
      </c>
      <c r="H8023" s="137"/>
      <c r="I8023" s="138"/>
      <c r="J8023" s="138"/>
      <c r="K8023" s="19"/>
      <c r="L8023" s="20"/>
    </row>
    <row r="8024" spans="1:34" ht="31.5" outlineLevel="2">
      <c r="A8024" s="34"/>
      <c r="B8024" s="12" t="str">
        <f>IFERROR(VLOOKUP(D8024,'[1]Перечень товаров'!$A$2:$I9525,2,0),"")</f>
        <v>д492</v>
      </c>
      <c r="C8024" s="12" t="str">
        <f>IFERROR(VLOOKUP(D8024,'[1]Перечень товаров'!$A$2:$I9525,3,0),"")</f>
        <v>дидактика</v>
      </c>
      <c r="D8024" s="35" t="s">
        <v>1269</v>
      </c>
      <c r="E8024" s="58"/>
      <c r="F8024" s="58"/>
      <c r="G8024" s="137">
        <v>1</v>
      </c>
      <c r="H8024" s="137"/>
      <c r="I8024" s="138"/>
      <c r="J8024" s="138"/>
      <c r="K8024" s="19"/>
      <c r="L8024" s="20"/>
    </row>
    <row r="8025" spans="1:34" ht="31.5" outlineLevel="2">
      <c r="A8025" s="34"/>
      <c r="B8025" s="12" t="str">
        <f>IFERROR(VLOOKUP(D8025,'[1]Перечень товаров'!$A$2:$I9525,2,0),"")</f>
        <v>д227</v>
      </c>
      <c r="C8025" s="12" t="str">
        <f>IFERROR(VLOOKUP(D8025,'[1]Перечень товаров'!$A$2:$I9525,3,0),"")</f>
        <v>Дидактика</v>
      </c>
      <c r="D8025" s="35" t="s">
        <v>1859</v>
      </c>
      <c r="E8025" s="58"/>
      <c r="F8025" s="58"/>
      <c r="G8025" s="137">
        <v>1</v>
      </c>
      <c r="H8025" s="137"/>
      <c r="I8025" s="138"/>
      <c r="J8025" s="138"/>
      <c r="K8025" s="19"/>
      <c r="L8025" s="20"/>
    </row>
    <row r="8026" spans="1:34" outlineLevel="2">
      <c r="A8026" s="34"/>
      <c r="B8026" s="12" t="str">
        <f>IFERROR(VLOOKUP(D8026,'[1]Перечень товаров'!$A$2:$I9525,2,0),"")</f>
        <v>д226</v>
      </c>
      <c r="C8026" s="12" t="str">
        <f>IFERROR(VLOOKUP(D8026,'[1]Перечень товаров'!$A$2:$I9525,3,0),"")</f>
        <v>Дидактика</v>
      </c>
      <c r="D8026" s="35" t="s">
        <v>1860</v>
      </c>
      <c r="E8026" s="58"/>
      <c r="F8026" s="58"/>
      <c r="G8026" s="137">
        <v>1</v>
      </c>
      <c r="H8026" s="137"/>
      <c r="I8026" s="138"/>
      <c r="J8026" s="138"/>
      <c r="K8026" s="19"/>
      <c r="L8026" s="20"/>
    </row>
    <row r="8027" spans="1:34" outlineLevel="2">
      <c r="A8027" s="34"/>
      <c r="B8027" s="12" t="str">
        <f>IFERROR(VLOOKUP(D8027,'[1]Перечень товаров'!$A$2:$I9525,2,0),"")</f>
        <v>д225</v>
      </c>
      <c r="C8027" s="12" t="str">
        <f>IFERROR(VLOOKUP(D8027,'[1]Перечень товаров'!$A$2:$I9525,3,0),"")</f>
        <v>Дидактика</v>
      </c>
      <c r="D8027" s="35" t="s">
        <v>1861</v>
      </c>
      <c r="E8027" s="58"/>
      <c r="F8027" s="58"/>
      <c r="G8027" s="137">
        <v>1</v>
      </c>
      <c r="H8027" s="137"/>
      <c r="I8027" s="138"/>
      <c r="J8027" s="138"/>
      <c r="K8027" s="19"/>
      <c r="L8027" s="20"/>
    </row>
    <row r="8028" spans="1:34" outlineLevel="2">
      <c r="A8028" s="34"/>
      <c r="B8028" s="12" t="str">
        <f>IFERROR(VLOOKUP(D8028,'[1]Перечень товаров'!$A$2:$I9525,2,0),"")</f>
        <v>д224</v>
      </c>
      <c r="C8028" s="12" t="str">
        <f>IFERROR(VLOOKUP(D8028,'[1]Перечень товаров'!$A$2:$I9525,3,0),"")</f>
        <v>Дидактика</v>
      </c>
      <c r="D8028" s="35" t="s">
        <v>1862</v>
      </c>
      <c r="E8028" s="58"/>
      <c r="F8028" s="58"/>
      <c r="G8028" s="137">
        <v>1</v>
      </c>
      <c r="H8028" s="137"/>
      <c r="I8028" s="138"/>
      <c r="J8028" s="138"/>
      <c r="K8028" s="19"/>
      <c r="L8028" s="20"/>
    </row>
    <row r="8029" spans="1:34" ht="31.5" outlineLevel="2">
      <c r="A8029" s="34"/>
      <c r="B8029" s="12" t="str">
        <f>IFERROR(VLOOKUP(D8029,'[1]Перечень товаров'!$A$2:$I9525,2,0),"")</f>
        <v>д223</v>
      </c>
      <c r="C8029" s="12" t="str">
        <f>IFERROR(VLOOKUP(D8029,'[1]Перечень товаров'!$A$2:$I9525,3,0),"")</f>
        <v>Дидактика</v>
      </c>
      <c r="D8029" s="35" t="s">
        <v>1863</v>
      </c>
      <c r="E8029" s="58"/>
      <c r="F8029" s="58"/>
      <c r="G8029" s="137">
        <v>1</v>
      </c>
      <c r="H8029" s="137"/>
      <c r="I8029" s="138"/>
      <c r="J8029" s="138"/>
      <c r="K8029" s="19"/>
      <c r="L8029" s="20"/>
    </row>
    <row r="8030" spans="1:34" ht="31.5" outlineLevel="2">
      <c r="A8030" s="34"/>
      <c r="B8030" s="12" t="str">
        <f>IFERROR(VLOOKUP(D8030,'[1]Перечень товаров'!$A$2:$I9525,2,0),"")</f>
        <v>д222</v>
      </c>
      <c r="C8030" s="12" t="str">
        <f>IFERROR(VLOOKUP(D8030,'[1]Перечень товаров'!$A$2:$I9525,3,0),"")</f>
        <v>Дидактика</v>
      </c>
      <c r="D8030" s="35" t="s">
        <v>1864</v>
      </c>
      <c r="E8030" s="58"/>
      <c r="F8030" s="58"/>
      <c r="G8030" s="137">
        <v>1</v>
      </c>
      <c r="H8030" s="137"/>
      <c r="I8030" s="138"/>
      <c r="J8030" s="138"/>
      <c r="K8030" s="19"/>
      <c r="L8030" s="20"/>
    </row>
    <row r="8031" spans="1:34" ht="12.75" outlineLevel="2">
      <c r="A8031" s="197"/>
      <c r="B8031" s="12" t="str">
        <f>IFERROR(VLOOKUP(D8031,'[1]Перечень товаров'!$A$2:$I9525,2,0),"")</f>
        <v/>
      </c>
      <c r="C8031" s="12" t="str">
        <f>IFERROR(VLOOKUP(D8031,'[1]Перечень товаров'!$A$2:$I9525,3,0),"")</f>
        <v/>
      </c>
      <c r="D8031" s="198" t="s">
        <v>1865</v>
      </c>
      <c r="E8031" s="56"/>
      <c r="F8031" s="56"/>
      <c r="G8031" s="238"/>
      <c r="H8031" s="238"/>
      <c r="I8031" s="239"/>
      <c r="J8031" s="239"/>
      <c r="K8031" s="19"/>
      <c r="L8031" s="20"/>
    </row>
    <row r="8032" spans="1:34" ht="31.5" outlineLevel="2">
      <c r="A8032" s="34"/>
      <c r="B8032" s="12" t="str">
        <f>IFERROR(VLOOKUP(D8032,'[1]Перечень товаров'!$A$2:$I9525,2,0),"")</f>
        <v>д221</v>
      </c>
      <c r="C8032" s="12" t="str">
        <f>IFERROR(VLOOKUP(D8032,'[1]Перечень товаров'!$A$2:$I9525,3,0),"")</f>
        <v>Дидактика</v>
      </c>
      <c r="D8032" s="35" t="s">
        <v>1866</v>
      </c>
      <c r="E8032" s="58"/>
      <c r="F8032" s="58"/>
      <c r="G8032" s="137">
        <v>1</v>
      </c>
      <c r="H8032" s="137"/>
      <c r="I8032" s="138"/>
      <c r="J8032" s="138"/>
      <c r="K8032" s="19"/>
      <c r="L8032" s="20"/>
    </row>
    <row r="8033" spans="1:12" ht="47.25" outlineLevel="2">
      <c r="A8033" s="34"/>
      <c r="B8033" s="12" t="str">
        <f>IFERROR(VLOOKUP(D8033,'[1]Перечень товаров'!$A$2:$I9525,2,0),"")</f>
        <v>д220</v>
      </c>
      <c r="C8033" s="12" t="str">
        <f>IFERROR(VLOOKUP(D8033,'[1]Перечень товаров'!$A$2:$I9525,3,0),"")</f>
        <v>Дидактика</v>
      </c>
      <c r="D8033" s="35" t="s">
        <v>1867</v>
      </c>
      <c r="E8033" s="58"/>
      <c r="F8033" s="58"/>
      <c r="G8033" s="137">
        <v>14</v>
      </c>
      <c r="H8033" s="137"/>
      <c r="I8033" s="138"/>
      <c r="J8033" s="138"/>
      <c r="K8033" s="19"/>
      <c r="L8033" s="20"/>
    </row>
    <row r="8034" spans="1:12" outlineLevel="2">
      <c r="A8034" s="88"/>
      <c r="B8034" s="12" t="str">
        <f>IFERROR(VLOOKUP(D8034,'[1]Перечень товаров'!$A$2:$I9525,2,0),"")</f>
        <v>д219</v>
      </c>
      <c r="C8034" s="12" t="str">
        <f>IFERROR(VLOOKUP(D8034,'[1]Перечень товаров'!$A$2:$I9525,3,0),"")</f>
        <v>Дидактика</v>
      </c>
      <c r="D8034" s="223" t="s">
        <v>1868</v>
      </c>
      <c r="E8034" s="58"/>
      <c r="F8034" s="58"/>
      <c r="G8034" s="137">
        <v>1</v>
      </c>
      <c r="H8034" s="137"/>
      <c r="I8034" s="138"/>
      <c r="J8034" s="138"/>
      <c r="K8034" s="19"/>
      <c r="L8034" s="20"/>
    </row>
    <row r="8035" spans="1:12" outlineLevel="2">
      <c r="A8035" s="88"/>
      <c r="B8035" s="12" t="str">
        <f>IFERROR(VLOOKUP(D8035,'[1]Перечень товаров'!$A$2:$I9525,2,0),"")</f>
        <v>д218</v>
      </c>
      <c r="C8035" s="12" t="str">
        <f>IFERROR(VLOOKUP(D8035,'[1]Перечень товаров'!$A$2:$I9525,3,0),"")</f>
        <v>Дидактика</v>
      </c>
      <c r="D8035" s="223" t="s">
        <v>1869</v>
      </c>
      <c r="E8035" s="58"/>
      <c r="F8035" s="58"/>
      <c r="G8035" s="137">
        <v>1</v>
      </c>
      <c r="H8035" s="137"/>
      <c r="I8035" s="138"/>
      <c r="J8035" s="138"/>
      <c r="K8035" s="19"/>
      <c r="L8035" s="20"/>
    </row>
    <row r="8036" spans="1:12" outlineLevel="2">
      <c r="A8036" s="88"/>
      <c r="B8036" s="12" t="str">
        <f>IFERROR(VLOOKUP(D8036,'[1]Перечень товаров'!$A$2:$I9525,2,0),"")</f>
        <v>д217</v>
      </c>
      <c r="C8036" s="12" t="str">
        <f>IFERROR(VLOOKUP(D8036,'[1]Перечень товаров'!$A$2:$I9525,3,0),"")</f>
        <v>Дидактика</v>
      </c>
      <c r="D8036" s="223" t="s">
        <v>1870</v>
      </c>
      <c r="E8036" s="58"/>
      <c r="F8036" s="58"/>
      <c r="G8036" s="137">
        <v>1</v>
      </c>
      <c r="H8036" s="137"/>
      <c r="I8036" s="138"/>
      <c r="J8036" s="138"/>
      <c r="K8036" s="19"/>
      <c r="L8036" s="20"/>
    </row>
    <row r="8037" spans="1:12" outlineLevel="2">
      <c r="A8037" s="88"/>
      <c r="B8037" s="12" t="str">
        <f>IFERROR(VLOOKUP(D8037,'[1]Перечень товаров'!$A$2:$I9525,2,0),"")</f>
        <v>д216</v>
      </c>
      <c r="C8037" s="12" t="str">
        <f>IFERROR(VLOOKUP(D8037,'[1]Перечень товаров'!$A$2:$I9525,3,0),"")</f>
        <v>Дидактика</v>
      </c>
      <c r="D8037" s="223" t="s">
        <v>1871</v>
      </c>
      <c r="E8037" s="58"/>
      <c r="F8037" s="58"/>
      <c r="G8037" s="137">
        <v>1</v>
      </c>
      <c r="H8037" s="137"/>
      <c r="I8037" s="138"/>
      <c r="J8037" s="138"/>
      <c r="K8037" s="19"/>
      <c r="L8037" s="20"/>
    </row>
    <row r="8038" spans="1:12" outlineLevel="2">
      <c r="A8038" s="88"/>
      <c r="B8038" s="12" t="str">
        <f>IFERROR(VLOOKUP(D8038,'[1]Перечень товаров'!$A$2:$I9525,2,0),"")</f>
        <v>д215</v>
      </c>
      <c r="C8038" s="12" t="str">
        <f>IFERROR(VLOOKUP(D8038,'[1]Перечень товаров'!$A$2:$I9525,3,0),"")</f>
        <v>Дидактика</v>
      </c>
      <c r="D8038" s="223" t="s">
        <v>1872</v>
      </c>
      <c r="E8038" s="58"/>
      <c r="F8038" s="58"/>
      <c r="G8038" s="137">
        <v>1</v>
      </c>
      <c r="H8038" s="137"/>
      <c r="I8038" s="138"/>
      <c r="J8038" s="138"/>
      <c r="K8038" s="19"/>
      <c r="L8038" s="20"/>
    </row>
    <row r="8039" spans="1:12" ht="25.5" outlineLevel="2">
      <c r="A8039" s="197"/>
      <c r="B8039" s="12" t="str">
        <f>IFERROR(VLOOKUP(D8039,'[1]Перечень товаров'!$A$2:$I9525,2,0),"")</f>
        <v/>
      </c>
      <c r="C8039" s="12" t="str">
        <f>IFERROR(VLOOKUP(D8039,'[1]Перечень товаров'!$A$2:$I9525,3,0),"")</f>
        <v/>
      </c>
      <c r="D8039" s="198" t="s">
        <v>1873</v>
      </c>
      <c r="E8039" s="56"/>
      <c r="F8039" s="56"/>
      <c r="G8039" s="238"/>
      <c r="H8039" s="238"/>
      <c r="I8039" s="239"/>
      <c r="J8039" s="239"/>
      <c r="K8039" s="19"/>
      <c r="L8039" s="20"/>
    </row>
    <row r="8040" spans="1:12" outlineLevel="2">
      <c r="A8040" s="34"/>
      <c r="B8040" s="12" t="str">
        <f>IFERROR(VLOOKUP(D8040,'[1]Перечень товаров'!$A$2:$I9525,2,0),"")</f>
        <v>д214</v>
      </c>
      <c r="C8040" s="12" t="str">
        <f>IFERROR(VLOOKUP(D8040,'[1]Перечень товаров'!$A$2:$I9525,3,0),"")</f>
        <v>Дидактика</v>
      </c>
      <c r="D8040" s="35" t="s">
        <v>1874</v>
      </c>
      <c r="E8040" s="58"/>
      <c r="F8040" s="58"/>
      <c r="G8040" s="137">
        <v>1</v>
      </c>
      <c r="H8040" s="137"/>
      <c r="I8040" s="138"/>
      <c r="J8040" s="138"/>
      <c r="K8040" s="19"/>
      <c r="L8040" s="20"/>
    </row>
    <row r="8041" spans="1:12" ht="31.5" outlineLevel="2">
      <c r="A8041" s="34"/>
      <c r="B8041" s="12" t="str">
        <f>IFERROR(VLOOKUP(D8041,'[1]Перечень товаров'!$A$2:$I9525,2,0),"")</f>
        <v>д213</v>
      </c>
      <c r="C8041" s="12" t="str">
        <f>IFERROR(VLOOKUP(D8041,'[1]Перечень товаров'!$A$2:$I9525,3,0),"")</f>
        <v>Дидактика</v>
      </c>
      <c r="D8041" s="35" t="s">
        <v>1875</v>
      </c>
      <c r="E8041" s="58"/>
      <c r="F8041" s="58"/>
      <c r="G8041" s="137">
        <v>1</v>
      </c>
      <c r="H8041" s="137"/>
      <c r="I8041" s="138"/>
      <c r="J8041" s="138"/>
      <c r="K8041" s="19"/>
      <c r="L8041" s="20"/>
    </row>
    <row r="8042" spans="1:12" ht="31.5" outlineLevel="2">
      <c r="A8042" s="34"/>
      <c r="B8042" s="12" t="str">
        <f>IFERROR(VLOOKUP(D8042,'[1]Перечень товаров'!$A$2:$I9525,2,0),"")</f>
        <v>д212</v>
      </c>
      <c r="C8042" s="12" t="str">
        <f>IFERROR(VLOOKUP(D8042,'[1]Перечень товаров'!$A$2:$I9525,3,0),"")</f>
        <v>Дидактика</v>
      </c>
      <c r="D8042" s="35" t="s">
        <v>1876</v>
      </c>
      <c r="E8042" s="58"/>
      <c r="F8042" s="58"/>
      <c r="G8042" s="137">
        <v>1</v>
      </c>
      <c r="H8042" s="137"/>
      <c r="I8042" s="138"/>
      <c r="J8042" s="138"/>
      <c r="K8042" s="19"/>
      <c r="L8042" s="20"/>
    </row>
    <row r="8043" spans="1:12" outlineLevel="2">
      <c r="A8043" s="34"/>
      <c r="B8043" s="12" t="str">
        <f>IFERROR(VLOOKUP(D8043,'[1]Перечень товаров'!$A$2:$I9525,2,0),"")</f>
        <v>д211</v>
      </c>
      <c r="C8043" s="12" t="str">
        <f>IFERROR(VLOOKUP(D8043,'[1]Перечень товаров'!$A$2:$I9525,3,0),"")</f>
        <v>Дидактика</v>
      </c>
      <c r="D8043" s="35" t="s">
        <v>1877</v>
      </c>
      <c r="E8043" s="58"/>
      <c r="F8043" s="58"/>
      <c r="G8043" s="137">
        <v>1</v>
      </c>
      <c r="H8043" s="137"/>
      <c r="I8043" s="138"/>
      <c r="J8043" s="138"/>
      <c r="K8043" s="19"/>
      <c r="L8043" s="20"/>
    </row>
    <row r="8044" spans="1:12" outlineLevel="2">
      <c r="A8044" s="34"/>
      <c r="B8044" s="12" t="str">
        <f>IFERROR(VLOOKUP(D8044,'[1]Перечень товаров'!$A$2:$I9525,2,0),"")</f>
        <v>д210</v>
      </c>
      <c r="C8044" s="12" t="str">
        <f>IFERROR(VLOOKUP(D8044,'[1]Перечень товаров'!$A$2:$I9525,3,0),"")</f>
        <v>Дидактика</v>
      </c>
      <c r="D8044" s="35" t="s">
        <v>1878</v>
      </c>
      <c r="E8044" s="58"/>
      <c r="F8044" s="58"/>
      <c r="G8044" s="137">
        <v>1</v>
      </c>
      <c r="H8044" s="137"/>
      <c r="I8044" s="138"/>
      <c r="J8044" s="138"/>
      <c r="K8044" s="19"/>
      <c r="L8044" s="20"/>
    </row>
    <row r="8045" spans="1:12" ht="25.5" outlineLevel="2">
      <c r="A8045" s="197"/>
      <c r="B8045" s="12" t="str">
        <f>IFERROR(VLOOKUP(D8045,'[1]Перечень товаров'!$A$2:$I9525,2,0),"")</f>
        <v/>
      </c>
      <c r="C8045" s="12" t="str">
        <f>IFERROR(VLOOKUP(D8045,'[1]Перечень товаров'!$A$2:$I9525,3,0),"")</f>
        <v/>
      </c>
      <c r="D8045" s="198" t="s">
        <v>1879</v>
      </c>
      <c r="E8045" s="56"/>
      <c r="F8045" s="56"/>
      <c r="G8045" s="238"/>
      <c r="H8045" s="238"/>
      <c r="I8045" s="239"/>
      <c r="J8045" s="239"/>
      <c r="K8045" s="19"/>
      <c r="L8045" s="20"/>
    </row>
    <row r="8046" spans="1:12" outlineLevel="2">
      <c r="A8046" s="34"/>
      <c r="B8046" s="12" t="str">
        <f>IFERROR(VLOOKUP(D8046,'[1]Перечень товаров'!$A$2:$I9525,2,0),"")</f>
        <v>д209</v>
      </c>
      <c r="C8046" s="12" t="str">
        <f>IFERROR(VLOOKUP(D8046,'[1]Перечень товаров'!$A$2:$I9525,3,0),"")</f>
        <v>Дидактика</v>
      </c>
      <c r="D8046" s="35" t="s">
        <v>1880</v>
      </c>
      <c r="E8046" s="58"/>
      <c r="F8046" s="58"/>
      <c r="G8046" s="137">
        <v>1</v>
      </c>
      <c r="H8046" s="137"/>
      <c r="I8046" s="138"/>
      <c r="J8046" s="138"/>
      <c r="K8046" s="19"/>
      <c r="L8046" s="20"/>
    </row>
    <row r="8047" spans="1:12" ht="12.75" outlineLevel="2">
      <c r="A8047" s="197"/>
      <c r="B8047" s="12" t="str">
        <f>IFERROR(VLOOKUP(D8047,'[1]Перечень товаров'!$A$2:$I9525,2,0),"")</f>
        <v/>
      </c>
      <c r="C8047" s="12" t="str">
        <f>IFERROR(VLOOKUP(D8047,'[1]Перечень товаров'!$A$2:$I9525,3,0),"")</f>
        <v/>
      </c>
      <c r="D8047" s="198" t="s">
        <v>1881</v>
      </c>
      <c r="E8047" s="56"/>
      <c r="F8047" s="56"/>
      <c r="G8047" s="238"/>
      <c r="H8047" s="238"/>
      <c r="I8047" s="239"/>
      <c r="J8047" s="239"/>
      <c r="K8047" s="19"/>
      <c r="L8047" s="20"/>
    </row>
    <row r="8048" spans="1:12" outlineLevel="2">
      <c r="A8048" s="34"/>
      <c r="B8048" s="12" t="str">
        <f>IFERROR(VLOOKUP(D8048,'[1]Перечень товаров'!$A$2:$I9525,2,0),"")</f>
        <v>д208</v>
      </c>
      <c r="C8048" s="12" t="str">
        <f>IFERROR(VLOOKUP(D8048,'[1]Перечень товаров'!$A$2:$I9525,3,0),"")</f>
        <v>Дидактика</v>
      </c>
      <c r="D8048" s="35" t="s">
        <v>1882</v>
      </c>
      <c r="E8048" s="58"/>
      <c r="F8048" s="58"/>
      <c r="G8048" s="137">
        <v>1</v>
      </c>
      <c r="H8048" s="137"/>
      <c r="I8048" s="138"/>
      <c r="J8048" s="138"/>
      <c r="K8048" s="19"/>
      <c r="L8048" s="20"/>
    </row>
    <row r="8049" spans="1:12" ht="25.5" outlineLevel="2">
      <c r="A8049" s="197"/>
      <c r="B8049" s="12" t="str">
        <f>IFERROR(VLOOKUP(D8049,'[1]Перечень товаров'!$A$2:$I9525,2,0),"")</f>
        <v/>
      </c>
      <c r="C8049" s="12" t="str">
        <f>IFERROR(VLOOKUP(D8049,'[1]Перечень товаров'!$A$2:$I9525,3,0),"")</f>
        <v/>
      </c>
      <c r="D8049" s="198" t="s">
        <v>1883</v>
      </c>
      <c r="E8049" s="56"/>
      <c r="F8049" s="56"/>
      <c r="G8049" s="234"/>
      <c r="H8049" s="234"/>
      <c r="I8049" s="235"/>
      <c r="J8049" s="235"/>
      <c r="K8049" s="19"/>
      <c r="L8049" s="20"/>
    </row>
    <row r="8050" spans="1:12" ht="31.5" outlineLevel="2">
      <c r="A8050" s="34"/>
      <c r="B8050" s="12" t="str">
        <f>IFERROR(VLOOKUP(D8050,'[1]Перечень товаров'!$A$2:$I9525,2,0),"")</f>
        <v>д207</v>
      </c>
      <c r="C8050" s="12" t="str">
        <f>IFERROR(VLOOKUP(D8050,'[1]Перечень товаров'!$A$2:$I9525,3,0),"")</f>
        <v>Дидактика</v>
      </c>
      <c r="D8050" s="35" t="s">
        <v>1884</v>
      </c>
      <c r="E8050" s="58"/>
      <c r="F8050" s="58"/>
      <c r="G8050" s="137">
        <v>1</v>
      </c>
      <c r="H8050" s="137"/>
      <c r="I8050" s="138"/>
      <c r="J8050" s="138"/>
      <c r="K8050" s="19"/>
      <c r="L8050" s="20"/>
    </row>
    <row r="8051" spans="1:12" ht="31.5" outlineLevel="2">
      <c r="A8051" s="34"/>
      <c r="B8051" s="12" t="str">
        <f>IFERROR(VLOOKUP(D8051,'[1]Перечень товаров'!$A$2:$I9525,2,0),"")</f>
        <v>д206</v>
      </c>
      <c r="C8051" s="12" t="str">
        <f>IFERROR(VLOOKUP(D8051,'[1]Перечень товаров'!$A$2:$I9525,3,0),"")</f>
        <v>Дидактика</v>
      </c>
      <c r="D8051" s="35" t="s">
        <v>1885</v>
      </c>
      <c r="E8051" s="58"/>
      <c r="F8051" s="58"/>
      <c r="G8051" s="137">
        <v>5</v>
      </c>
      <c r="H8051" s="137"/>
      <c r="I8051" s="138"/>
      <c r="J8051" s="138"/>
      <c r="K8051" s="19"/>
      <c r="L8051" s="20"/>
    </row>
    <row r="8052" spans="1:12" ht="47.25" outlineLevel="2">
      <c r="A8052" s="34"/>
      <c r="B8052" s="12" t="str">
        <f>IFERROR(VLOOKUP(D8052,'[1]Перечень товаров'!$A$2:$I9525,2,0),"")</f>
        <v>д205</v>
      </c>
      <c r="C8052" s="12" t="str">
        <f>IFERROR(VLOOKUP(D8052,'[1]Перечень товаров'!$A$2:$I9525,3,0),"")</f>
        <v>Дидактика</v>
      </c>
      <c r="D8052" s="35" t="s">
        <v>1886</v>
      </c>
      <c r="E8052" s="58"/>
      <c r="F8052" s="58"/>
      <c r="G8052" s="137">
        <v>1</v>
      </c>
      <c r="H8052" s="137"/>
      <c r="I8052" s="138"/>
      <c r="J8052" s="138"/>
      <c r="K8052" s="19"/>
      <c r="L8052" s="20"/>
    </row>
    <row r="8053" spans="1:12" outlineLevel="2">
      <c r="A8053" s="88"/>
      <c r="B8053" s="12" t="str">
        <f>IFERROR(VLOOKUP(D8053,'[1]Перечень товаров'!$A$2:$I9525,2,0),"")</f>
        <v>д204</v>
      </c>
      <c r="C8053" s="12" t="str">
        <f>IFERROR(VLOOKUP(D8053,'[1]Перечень товаров'!$A$2:$I9525,3,0),"")</f>
        <v>Дидактика</v>
      </c>
      <c r="D8053" s="223" t="s">
        <v>1887</v>
      </c>
      <c r="E8053" s="58"/>
      <c r="F8053" s="58"/>
      <c r="G8053" s="137">
        <v>1</v>
      </c>
      <c r="H8053" s="137"/>
      <c r="I8053" s="138"/>
      <c r="J8053" s="138"/>
      <c r="K8053" s="19"/>
      <c r="L8053" s="20"/>
    </row>
    <row r="8054" spans="1:12" ht="12.75" outlineLevel="2">
      <c r="A8054" s="197"/>
      <c r="B8054" s="12" t="str">
        <f>IFERROR(VLOOKUP(D8054,'[1]Перечень товаров'!$A$2:$I9525,2,0),"")</f>
        <v/>
      </c>
      <c r="C8054" s="12" t="str">
        <f>IFERROR(VLOOKUP(D8054,'[1]Перечень товаров'!$A$2:$I9525,3,0),"")</f>
        <v/>
      </c>
      <c r="D8054" s="198" t="s">
        <v>19</v>
      </c>
      <c r="E8054" s="107"/>
      <c r="F8054" s="107"/>
      <c r="G8054" s="100"/>
      <c r="H8054" s="100"/>
      <c r="I8054" s="101"/>
      <c r="J8054" s="101"/>
      <c r="K8054" s="19"/>
      <c r="L8054" s="20"/>
    </row>
    <row r="8055" spans="1:12" outlineLevel="2">
      <c r="A8055" s="283"/>
      <c r="B8055" s="12" t="str">
        <f>IFERROR(VLOOKUP(D8055,'[1]Перечень товаров'!$A$2:$I9525,2,0),"")</f>
        <v>м98</v>
      </c>
      <c r="C8055" s="12" t="str">
        <f>IFERROR(VLOOKUP(D8055,'[1]Перечень товаров'!$A$2:$I9525,3,0),"")</f>
        <v>мебель</v>
      </c>
      <c r="D8055" s="284" t="s">
        <v>1888</v>
      </c>
      <c r="E8055" s="102"/>
      <c r="F8055" s="102"/>
      <c r="G8055" s="24">
        <v>1</v>
      </c>
      <c r="H8055" s="24"/>
      <c r="I8055" s="25"/>
      <c r="J8055" s="25"/>
      <c r="K8055" s="19"/>
      <c r="L8055" s="20"/>
    </row>
    <row r="8056" spans="1:12" outlineLevel="2">
      <c r="A8056" s="43"/>
      <c r="B8056" s="12" t="str">
        <f>IFERROR(VLOOKUP(D8056,'[1]Перечень товаров'!$A$2:$I9525,2,0),"")</f>
        <v>м97</v>
      </c>
      <c r="C8056" s="12" t="str">
        <f>IFERROR(VLOOKUP(D8056,'[1]Перечень товаров'!$A$2:$I9525,3,0),"")</f>
        <v>мебель</v>
      </c>
      <c r="D8056" s="44" t="s">
        <v>1889</v>
      </c>
      <c r="E8056" s="102"/>
      <c r="F8056" s="102"/>
      <c r="G8056" s="24">
        <v>1</v>
      </c>
      <c r="H8056" s="24"/>
      <c r="I8056" s="25"/>
      <c r="J8056" s="25"/>
      <c r="K8056" s="19"/>
      <c r="L8056" s="20"/>
    </row>
    <row r="8057" spans="1:12" outlineLevel="2">
      <c r="A8057" s="43"/>
      <c r="B8057" s="12" t="str">
        <f>IFERROR(VLOOKUP(D8057,'[1]Перечень товаров'!$A$2:$I9525,2,0),"")</f>
        <v>м96</v>
      </c>
      <c r="C8057" s="12" t="str">
        <f>IFERROR(VLOOKUP(D8057,'[1]Перечень товаров'!$A$2:$I9525,3,0),"")</f>
        <v>мебель</v>
      </c>
      <c r="D8057" s="44" t="s">
        <v>1890</v>
      </c>
      <c r="E8057" s="102"/>
      <c r="F8057" s="102"/>
      <c r="G8057" s="24">
        <v>1</v>
      </c>
      <c r="H8057" s="24"/>
      <c r="I8057" s="25"/>
      <c r="J8057" s="25"/>
      <c r="K8057" s="19"/>
      <c r="L8057" s="20"/>
    </row>
    <row r="8058" spans="1:12" outlineLevel="2">
      <c r="A8058" s="43"/>
      <c r="B8058" s="12" t="str">
        <f>IFERROR(VLOOKUP(D8058,'[1]Перечень товаров'!$A$2:$I9525,2,0),"")</f>
        <v>м61</v>
      </c>
      <c r="C8058" s="12" t="str">
        <f>IFERROR(VLOOKUP(D8058,'[1]Перечень товаров'!$A$2:$I9525,3,0),"")</f>
        <v>Мебель</v>
      </c>
      <c r="D8058" s="35" t="s">
        <v>383</v>
      </c>
      <c r="E8058" s="102"/>
      <c r="F8058" s="102"/>
      <c r="G8058" s="24">
        <v>1</v>
      </c>
      <c r="H8058" s="24"/>
      <c r="I8058" s="25"/>
      <c r="J8058" s="25"/>
      <c r="K8058" s="19"/>
      <c r="L8058" s="20"/>
    </row>
    <row r="8059" spans="1:12" ht="12.75" outlineLevel="1">
      <c r="A8059" s="11"/>
      <c r="B8059" s="12" t="str">
        <f>IFERROR(VLOOKUP(D8059,'[1]Перечень товаров'!$A$2:$I9525,2,0),"")</f>
        <v/>
      </c>
      <c r="C8059" s="12" t="str">
        <f>IFERROR(VLOOKUP(D8059,'[1]Перечень товаров'!$A$2:$I9525,3,0),"")</f>
        <v/>
      </c>
      <c r="D8059" s="27" t="s">
        <v>1891</v>
      </c>
      <c r="E8059" s="14" t="s">
        <v>1892</v>
      </c>
      <c r="F8059" s="14"/>
      <c r="G8059" s="17"/>
      <c r="H8059" s="17"/>
      <c r="I8059" s="57"/>
      <c r="J8059" s="57"/>
      <c r="K8059" s="19"/>
      <c r="L8059" s="20"/>
    </row>
    <row r="8060" spans="1:12" ht="12.75" outlineLevel="2">
      <c r="A8060" s="285"/>
      <c r="B8060" s="12" t="str">
        <f>IFERROR(VLOOKUP(D8060,'[1]Перечень товаров'!$A$2:$I9525,2,0),"")</f>
        <v/>
      </c>
      <c r="C8060" s="12" t="str">
        <f>IFERROR(VLOOKUP(D8060,'[1]Перечень товаров'!$A$2:$I9525,3,0),"")</f>
        <v/>
      </c>
      <c r="D8060" s="286" t="s">
        <v>668</v>
      </c>
      <c r="E8060" s="15"/>
      <c r="F8060" s="15"/>
      <c r="G8060" s="287"/>
      <c r="H8060" s="287"/>
      <c r="I8060" s="288"/>
      <c r="J8060" s="288"/>
      <c r="K8060" s="19"/>
      <c r="L8060" s="20"/>
    </row>
    <row r="8061" spans="1:12" outlineLevel="2">
      <c r="A8061" s="34"/>
      <c r="B8061" s="12" t="str">
        <f>IFERROR(VLOOKUP(D8061,'[1]Перечень товаров'!$A$2:$I9525,2,0),"")</f>
        <v>т129</v>
      </c>
      <c r="C8061" s="12" t="str">
        <f>IFERROR(VLOOKUP(D8061,'[1]Перечень товаров'!$A$2:$I9525,3,0),"")</f>
        <v>Техника</v>
      </c>
      <c r="D8061" s="35" t="s">
        <v>1204</v>
      </c>
      <c r="E8061" s="23"/>
      <c r="F8061" s="23"/>
      <c r="G8061" s="232">
        <v>1</v>
      </c>
      <c r="H8061" s="232"/>
      <c r="I8061" s="233"/>
      <c r="J8061" s="233"/>
      <c r="K8061" s="19"/>
      <c r="L8061" s="20"/>
    </row>
    <row r="8062" spans="1:12" outlineLevel="2">
      <c r="A8062" s="34"/>
      <c r="B8062" s="12" t="str">
        <f>IFERROR(VLOOKUP(D8062,'[1]Перечень товаров'!$A$2:$I9525,2,0),"")</f>
        <v>т128</v>
      </c>
      <c r="C8062" s="12" t="str">
        <f>IFERROR(VLOOKUP(D8062,'[1]Перечень товаров'!$A$2:$I9525,3,0),"")</f>
        <v>Техника</v>
      </c>
      <c r="D8062" s="35" t="s">
        <v>1205</v>
      </c>
      <c r="E8062" s="23"/>
      <c r="F8062" s="23"/>
      <c r="G8062" s="232">
        <v>1</v>
      </c>
      <c r="H8062" s="232"/>
      <c r="I8062" s="233"/>
      <c r="J8062" s="233"/>
      <c r="K8062" s="19"/>
      <c r="L8062" s="20"/>
    </row>
    <row r="8063" spans="1:12" outlineLevel="2">
      <c r="A8063" s="34"/>
      <c r="B8063" s="12" t="str">
        <f>IFERROR(VLOOKUP(D8063,'[1]Перечень товаров'!$A$2:$I9525,2,0),"")</f>
        <v>т1</v>
      </c>
      <c r="C8063" s="12" t="str">
        <f>IFERROR(VLOOKUP(D8063,'[1]Перечень товаров'!$A$2:$I9525,3,0),"")</f>
        <v xml:space="preserve">Техника </v>
      </c>
      <c r="D8063" s="22" t="s">
        <v>28</v>
      </c>
      <c r="E8063" s="23"/>
      <c r="F8063" s="23"/>
      <c r="G8063" s="232">
        <v>1</v>
      </c>
      <c r="H8063" s="232"/>
      <c r="I8063" s="233"/>
      <c r="J8063" s="233"/>
      <c r="K8063" s="19"/>
      <c r="L8063" s="20"/>
    </row>
    <row r="8064" spans="1:12" outlineLevel="2">
      <c r="A8064" s="34"/>
      <c r="B8064" s="12" t="str">
        <f>IFERROR(VLOOKUP(D8064,'[1]Перечень товаров'!$A$2:$I9525,2,0),"")</f>
        <v>т235</v>
      </c>
      <c r="C8064" s="12" t="str">
        <f>IFERROR(VLOOKUP(D8064,'[1]Перечень товаров'!$A$2:$I9525,3,0),"")</f>
        <v>Техника</v>
      </c>
      <c r="D8064" s="35" t="s">
        <v>742</v>
      </c>
      <c r="E8064" s="23"/>
      <c r="F8064" s="23"/>
      <c r="G8064" s="232">
        <v>1</v>
      </c>
      <c r="H8064" s="232"/>
      <c r="I8064" s="233"/>
      <c r="J8064" s="233"/>
      <c r="K8064" s="19"/>
      <c r="L8064" s="20"/>
    </row>
    <row r="8065" spans="1:12" outlineLevel="2">
      <c r="A8065" s="34"/>
      <c r="B8065" s="12" t="str">
        <f>IFERROR(VLOOKUP(D8065,'[1]Перечень товаров'!$A$2:$I9525,2,0),"")</f>
        <v>т8</v>
      </c>
      <c r="C8065" s="12" t="str">
        <f>IFERROR(VLOOKUP(D8065,'[1]Перечень товаров'!$A$2:$I9525,3,0),"")</f>
        <v xml:space="preserve">Техника </v>
      </c>
      <c r="D8065" s="35" t="s">
        <v>35</v>
      </c>
      <c r="E8065" s="23"/>
      <c r="F8065" s="23"/>
      <c r="G8065" s="232">
        <v>1</v>
      </c>
      <c r="H8065" s="232"/>
      <c r="I8065" s="233"/>
      <c r="J8065" s="233"/>
      <c r="K8065" s="19"/>
      <c r="L8065" s="20"/>
    </row>
    <row r="8066" spans="1:12" outlineLevel="2">
      <c r="A8066" s="34"/>
      <c r="B8066" s="12" t="str">
        <f>IFERROR(VLOOKUP(D8066,'[1]Перечень товаров'!$A$2:$I9525,2,0),"")</f>
        <v>т4</v>
      </c>
      <c r="C8066" s="12" t="str">
        <f>IFERROR(VLOOKUP(D8066,'[1]Перечень товаров'!$A$2:$I9525,3,0),"")</f>
        <v xml:space="preserve">Техника </v>
      </c>
      <c r="D8066" s="35" t="s">
        <v>31</v>
      </c>
      <c r="E8066" s="23"/>
      <c r="F8066" s="23"/>
      <c r="G8066" s="232">
        <v>1</v>
      </c>
      <c r="H8066" s="232"/>
      <c r="I8066" s="233"/>
      <c r="J8066" s="233"/>
      <c r="K8066" s="19"/>
      <c r="L8066" s="20"/>
    </row>
    <row r="8067" spans="1:12" outlineLevel="2">
      <c r="A8067" s="34"/>
      <c r="B8067" s="12" t="str">
        <f>IFERROR(VLOOKUP(D8067,'[1]Перечень товаров'!$A$2:$I9525,2,0),"")</f>
        <v>т236</v>
      </c>
      <c r="C8067" s="12" t="str">
        <f>IFERROR(VLOOKUP(D8067,'[1]Перечень товаров'!$A$2:$I9525,3,0),"")</f>
        <v>Техника</v>
      </c>
      <c r="D8067" s="35" t="s">
        <v>743</v>
      </c>
      <c r="E8067" s="23"/>
      <c r="F8067" s="23"/>
      <c r="G8067" s="232">
        <v>1</v>
      </c>
      <c r="H8067" s="232"/>
      <c r="I8067" s="233"/>
      <c r="J8067" s="233"/>
      <c r="K8067" s="19"/>
      <c r="L8067" s="20"/>
    </row>
    <row r="8068" spans="1:12" outlineLevel="2">
      <c r="A8068" s="34"/>
      <c r="B8068" s="12" t="str">
        <f>IFERROR(VLOOKUP(D8068,'[1]Перечень товаров'!$A$2:$I9525,2,0),"")</f>
        <v>т237</v>
      </c>
      <c r="C8068" s="12" t="str">
        <f>IFERROR(VLOOKUP(D8068,'[1]Перечень товаров'!$A$2:$I9525,3,0),"")</f>
        <v>Техника</v>
      </c>
      <c r="D8068" s="35" t="s">
        <v>744</v>
      </c>
      <c r="E8068" s="23"/>
      <c r="F8068" s="23"/>
      <c r="G8068" s="232">
        <v>2</v>
      </c>
      <c r="H8068" s="232"/>
      <c r="I8068" s="233"/>
      <c r="J8068" s="233"/>
      <c r="K8068" s="19"/>
      <c r="L8068" s="20"/>
    </row>
    <row r="8069" spans="1:12" ht="31.5" outlineLevel="2">
      <c r="A8069" s="34"/>
      <c r="B8069" s="12" t="str">
        <f>IFERROR(VLOOKUP(D8069,'[1]Перечень товаров'!$A$2:$I9525,2,0),"")</f>
        <v>т117</v>
      </c>
      <c r="C8069" s="12" t="str">
        <f>IFERROR(VLOOKUP(D8069,'[1]Перечень товаров'!$A$2:$I9525,3,0),"")</f>
        <v>Техника</v>
      </c>
      <c r="D8069" s="35" t="s">
        <v>1412</v>
      </c>
      <c r="E8069" s="23"/>
      <c r="F8069" s="23"/>
      <c r="G8069" s="232">
        <v>1</v>
      </c>
      <c r="H8069" s="232"/>
      <c r="I8069" s="233"/>
      <c r="J8069" s="233"/>
      <c r="K8069" s="19"/>
      <c r="L8069" s="20"/>
    </row>
    <row r="8070" spans="1:12" ht="12.75" outlineLevel="2">
      <c r="A8070" s="245"/>
      <c r="B8070" s="12" t="str">
        <f>IFERROR(VLOOKUP(D8070,'[1]Перечень товаров'!$A$2:$I9525,2,0),"")</f>
        <v/>
      </c>
      <c r="C8070" s="12" t="str">
        <f>IFERROR(VLOOKUP(D8070,'[1]Перечень товаров'!$A$2:$I9525,3,0),"")</f>
        <v/>
      </c>
      <c r="D8070" s="246" t="s">
        <v>1222</v>
      </c>
      <c r="E8070" s="15"/>
      <c r="F8070" s="15"/>
      <c r="G8070" s="234"/>
      <c r="H8070" s="234"/>
      <c r="I8070" s="235"/>
      <c r="J8070" s="235"/>
      <c r="K8070" s="19"/>
      <c r="L8070" s="20"/>
    </row>
    <row r="8071" spans="1:12" ht="31.5" outlineLevel="2">
      <c r="A8071" s="34"/>
      <c r="B8071" s="12" t="str">
        <f>IFERROR(VLOOKUP(D8071,'[1]Перечень товаров'!$A$2:$I9525,2,0),"")</f>
        <v>д527</v>
      </c>
      <c r="C8071" s="12" t="str">
        <f>IFERROR(VLOOKUP(D8071,'[1]Перечень товаров'!$A$2:$I9525,3,0),"")</f>
        <v>дидактика</v>
      </c>
      <c r="D8071" s="35" t="s">
        <v>1227</v>
      </c>
      <c r="E8071" s="58"/>
      <c r="F8071" s="58"/>
      <c r="G8071" s="232">
        <v>1</v>
      </c>
      <c r="H8071" s="232"/>
      <c r="I8071" s="233"/>
      <c r="J8071" s="233"/>
      <c r="K8071" s="19"/>
      <c r="L8071" s="20"/>
    </row>
    <row r="8072" spans="1:12" ht="31.5" outlineLevel="2">
      <c r="A8072" s="34"/>
      <c r="B8072" s="12" t="str">
        <f>IFERROR(VLOOKUP(D8072,'[1]Перечень товаров'!$A$2:$I9525,2,0),"")</f>
        <v>д203</v>
      </c>
      <c r="C8072" s="12" t="str">
        <f>IFERROR(VLOOKUP(D8072,'[1]Перечень товаров'!$A$2:$I9525,3,0),"")</f>
        <v>Дидактика</v>
      </c>
      <c r="D8072" s="35" t="s">
        <v>1893</v>
      </c>
      <c r="E8072" s="58"/>
      <c r="F8072" s="58"/>
      <c r="G8072" s="232">
        <v>1</v>
      </c>
      <c r="H8072" s="232"/>
      <c r="I8072" s="233"/>
      <c r="J8072" s="233"/>
      <c r="K8072" s="19"/>
      <c r="L8072" s="20"/>
    </row>
    <row r="8073" spans="1:12" ht="31.5" outlineLevel="2">
      <c r="A8073" s="34"/>
      <c r="B8073" s="12" t="str">
        <f>IFERROR(VLOOKUP(D8073,'[1]Перечень товаров'!$A$2:$I9525,2,0),"")</f>
        <v>д526</v>
      </c>
      <c r="C8073" s="12" t="str">
        <f>IFERROR(VLOOKUP(D8073,'[1]Перечень товаров'!$A$2:$I9525,3,0),"")</f>
        <v>дидактика</v>
      </c>
      <c r="D8073" s="35" t="s">
        <v>1228</v>
      </c>
      <c r="E8073" s="58"/>
      <c r="F8073" s="58"/>
      <c r="G8073" s="232">
        <v>1</v>
      </c>
      <c r="H8073" s="232"/>
      <c r="I8073" s="233"/>
      <c r="J8073" s="233"/>
      <c r="K8073" s="19"/>
      <c r="L8073" s="20"/>
    </row>
    <row r="8074" spans="1:12" ht="31.5" outlineLevel="2">
      <c r="A8074" s="34"/>
      <c r="B8074" s="12" t="str">
        <f>IFERROR(VLOOKUP(D8074,'[1]Перечень товаров'!$A$2:$I9525,2,0),"")</f>
        <v>д202</v>
      </c>
      <c r="C8074" s="12" t="str">
        <f>IFERROR(VLOOKUP(D8074,'[1]Перечень товаров'!$A$2:$I9525,3,0),"")</f>
        <v>Дидактика</v>
      </c>
      <c r="D8074" s="35" t="s">
        <v>1894</v>
      </c>
      <c r="E8074" s="58"/>
      <c r="F8074" s="58"/>
      <c r="G8074" s="232">
        <v>1</v>
      </c>
      <c r="H8074" s="232"/>
      <c r="I8074" s="233"/>
      <c r="J8074" s="233"/>
      <c r="K8074" s="19"/>
      <c r="L8074" s="20"/>
    </row>
    <row r="8075" spans="1:12" ht="31.5" outlineLevel="2">
      <c r="A8075" s="34"/>
      <c r="B8075" s="12" t="str">
        <f>IFERROR(VLOOKUP(D8075,'[1]Перечень товаров'!$A$2:$I9525,2,0),"")</f>
        <v>д201</v>
      </c>
      <c r="C8075" s="12" t="str">
        <f>IFERROR(VLOOKUP(D8075,'[1]Перечень товаров'!$A$2:$I9525,3,0),"")</f>
        <v>Дидактика</v>
      </c>
      <c r="D8075" s="35" t="s">
        <v>1895</v>
      </c>
      <c r="E8075" s="58"/>
      <c r="F8075" s="58"/>
      <c r="G8075" s="232">
        <v>1</v>
      </c>
      <c r="H8075" s="232"/>
      <c r="I8075" s="233"/>
      <c r="J8075" s="233"/>
      <c r="K8075" s="19"/>
      <c r="L8075" s="20"/>
    </row>
    <row r="8076" spans="1:12" ht="31.5" outlineLevel="2">
      <c r="A8076" s="34"/>
      <c r="B8076" s="12" t="str">
        <f>IFERROR(VLOOKUP(D8076,'[1]Перечень товаров'!$A$2:$I9525,2,0),"")</f>
        <v>т126</v>
      </c>
      <c r="C8076" s="12" t="str">
        <f>IFERROR(VLOOKUP(D8076,'[1]Перечень товаров'!$A$2:$I9525,3,0),"")</f>
        <v>Техника</v>
      </c>
      <c r="D8076" s="35" t="s">
        <v>1229</v>
      </c>
      <c r="E8076" s="58"/>
      <c r="F8076" s="58"/>
      <c r="G8076" s="232">
        <v>1</v>
      </c>
      <c r="H8076" s="232"/>
      <c r="I8076" s="233"/>
      <c r="J8076" s="233"/>
      <c r="K8076" s="19"/>
      <c r="L8076" s="20"/>
    </row>
    <row r="8077" spans="1:12" ht="12.75" outlineLevel="2">
      <c r="A8077" s="245"/>
      <c r="B8077" s="12" t="str">
        <f>IFERROR(VLOOKUP(D8077,'[1]Перечень товаров'!$A$2:$I9525,2,0),"")</f>
        <v/>
      </c>
      <c r="C8077" s="12" t="str">
        <f>IFERROR(VLOOKUP(D8077,'[1]Перечень товаров'!$A$2:$I9525,3,0),"")</f>
        <v/>
      </c>
      <c r="D8077" s="246" t="s">
        <v>19</v>
      </c>
      <c r="E8077" s="15"/>
      <c r="F8077" s="15"/>
      <c r="G8077" s="234"/>
      <c r="H8077" s="234"/>
      <c r="I8077" s="235"/>
      <c r="J8077" s="235"/>
      <c r="K8077" s="19"/>
      <c r="L8077" s="20"/>
    </row>
    <row r="8078" spans="1:12" outlineLevel="2">
      <c r="A8078" s="34"/>
      <c r="B8078" s="12" t="str">
        <f>IFERROR(VLOOKUP(D8078,'[1]Перечень товаров'!$A$2:$I9525,2,0),"")</f>
        <v>м62</v>
      </c>
      <c r="C8078" s="12" t="str">
        <f>IFERROR(VLOOKUP(D8078,'[1]Перечень товаров'!$A$2:$I9525,3,0),"")</f>
        <v>Мебель</v>
      </c>
      <c r="D8078" s="35" t="s">
        <v>398</v>
      </c>
      <c r="E8078" s="23"/>
      <c r="F8078" s="23"/>
      <c r="G8078" s="232">
        <v>1</v>
      </c>
      <c r="H8078" s="232"/>
      <c r="I8078" s="233"/>
      <c r="J8078" s="233"/>
      <c r="K8078" s="19"/>
      <c r="L8078" s="20"/>
    </row>
    <row r="8079" spans="1:12" outlineLevel="2">
      <c r="A8079" s="34"/>
      <c r="B8079" s="12" t="str">
        <f>IFERROR(VLOOKUP(D8079,'[1]Перечень товаров'!$A$2:$I9525,2,0),"")</f>
        <v>м61</v>
      </c>
      <c r="C8079" s="12" t="str">
        <f>IFERROR(VLOOKUP(D8079,'[1]Перечень товаров'!$A$2:$I9525,3,0),"")</f>
        <v>Мебель</v>
      </c>
      <c r="D8079" s="35" t="s">
        <v>383</v>
      </c>
      <c r="E8079" s="23"/>
      <c r="F8079" s="23"/>
      <c r="G8079" s="232">
        <v>1</v>
      </c>
      <c r="H8079" s="232"/>
      <c r="I8079" s="233"/>
      <c r="J8079" s="233"/>
      <c r="K8079" s="19"/>
      <c r="L8079" s="20"/>
    </row>
    <row r="8080" spans="1:12" ht="31.5" outlineLevel="2">
      <c r="A8080" s="34"/>
      <c r="B8080" s="12" t="str">
        <f>IFERROR(VLOOKUP(D8080,'[1]Перечень товаров'!$A$2:$I9525,2,0),"")</f>
        <v>д525</v>
      </c>
      <c r="C8080" s="12" t="str">
        <f>IFERROR(VLOOKUP(D8080,'[1]Перечень товаров'!$A$2:$I9525,3,0),"")</f>
        <v>дидактика</v>
      </c>
      <c r="D8080" s="35" t="s">
        <v>1230</v>
      </c>
      <c r="E8080" s="23"/>
      <c r="F8080" s="23"/>
      <c r="G8080" s="232">
        <v>13</v>
      </c>
      <c r="H8080" s="232"/>
      <c r="I8080" s="233"/>
      <c r="J8080" s="233"/>
      <c r="K8080" s="19"/>
      <c r="L8080" s="20"/>
    </row>
    <row r="8081" spans="1:12" outlineLevel="2">
      <c r="A8081" s="34"/>
      <c r="B8081" s="12" t="str">
        <f>IFERROR(VLOOKUP(D8081,'[1]Перечень товаров'!$A$2:$I9525,2,0),"")</f>
        <v>м209</v>
      </c>
      <c r="C8081" s="12" t="str">
        <f>IFERROR(VLOOKUP(D8081,'[1]Перечень товаров'!$A$2:$I9525,3,0),"")</f>
        <v>Мебель</v>
      </c>
      <c r="D8081" s="35" t="s">
        <v>749</v>
      </c>
      <c r="E8081" s="23"/>
      <c r="F8081" s="23"/>
      <c r="G8081" s="232">
        <v>1</v>
      </c>
      <c r="H8081" s="232"/>
      <c r="I8081" s="233"/>
      <c r="J8081" s="233"/>
      <c r="K8081" s="19"/>
      <c r="L8081" s="20"/>
    </row>
    <row r="8082" spans="1:12" outlineLevel="2">
      <c r="A8082" s="34"/>
      <c r="B8082" s="12" t="str">
        <f>IFERROR(VLOOKUP(D8082,'[1]Перечень товаров'!$A$2:$I9525,2,0),"")</f>
        <v>м216</v>
      </c>
      <c r="C8082" s="12" t="str">
        <f>IFERROR(VLOOKUP(D8082,'[1]Перечень товаров'!$A$2:$I9525,3,0),"")</f>
        <v>Мебель</v>
      </c>
      <c r="D8082" s="35" t="s">
        <v>854</v>
      </c>
      <c r="E8082" s="23"/>
      <c r="F8082" s="23"/>
      <c r="G8082" s="232">
        <v>1</v>
      </c>
      <c r="H8082" s="232"/>
      <c r="I8082" s="233"/>
      <c r="J8082" s="233"/>
      <c r="K8082" s="19"/>
      <c r="L8082" s="20"/>
    </row>
    <row r="8083" spans="1:12" ht="31.5" outlineLevel="2">
      <c r="A8083" s="34"/>
      <c r="B8083" s="12" t="str">
        <f>IFERROR(VLOOKUP(D8083,'[1]Перечень товаров'!$A$2:$I9525,2,0),"")</f>
        <v>д524</v>
      </c>
      <c r="C8083" s="12" t="str">
        <f>IFERROR(VLOOKUP(D8083,'[1]Перечень товаров'!$A$2:$I9525,3,0),"")</f>
        <v>дидактика</v>
      </c>
      <c r="D8083" s="35" t="s">
        <v>1231</v>
      </c>
      <c r="E8083" s="23"/>
      <c r="F8083" s="23"/>
      <c r="G8083" s="232">
        <v>1</v>
      </c>
      <c r="H8083" s="232"/>
      <c r="I8083" s="233"/>
      <c r="J8083" s="233"/>
      <c r="K8083" s="19"/>
      <c r="L8083" s="20"/>
    </row>
    <row r="8084" spans="1:12" outlineLevel="2">
      <c r="A8084" s="34"/>
      <c r="B8084" s="12" t="str">
        <f>IFERROR(VLOOKUP(D8084,'[1]Перечень товаров'!$A$2:$I9525,2,0),"")</f>
        <v>м132</v>
      </c>
      <c r="C8084" s="12" t="str">
        <f>IFERROR(VLOOKUP(D8084,'[1]Перечень товаров'!$A$2:$I9525,3,0),"")</f>
        <v>мебель</v>
      </c>
      <c r="D8084" s="35" t="s">
        <v>1586</v>
      </c>
      <c r="E8084" s="23"/>
      <c r="F8084" s="23"/>
      <c r="G8084" s="232">
        <v>1</v>
      </c>
      <c r="H8084" s="232"/>
      <c r="I8084" s="233"/>
      <c r="J8084" s="233"/>
      <c r="K8084" s="19"/>
      <c r="L8084" s="20"/>
    </row>
    <row r="8085" spans="1:12" ht="25.5" outlineLevel="2">
      <c r="A8085" s="197"/>
      <c r="B8085" s="12" t="str">
        <f>IFERROR(VLOOKUP(D8085,'[1]Перечень товаров'!$A$2:$I9525,2,0),"")</f>
        <v/>
      </c>
      <c r="C8085" s="12" t="str">
        <f>IFERROR(VLOOKUP(D8085,'[1]Перечень товаров'!$A$2:$I9525,3,0),"")</f>
        <v/>
      </c>
      <c r="D8085" s="198" t="s">
        <v>1896</v>
      </c>
      <c r="E8085" s="15"/>
      <c r="F8085" s="15"/>
      <c r="G8085" s="234"/>
      <c r="H8085" s="234"/>
      <c r="I8085" s="235"/>
      <c r="J8085" s="235"/>
      <c r="K8085" s="19"/>
      <c r="L8085" s="20"/>
    </row>
    <row r="8086" spans="1:12" ht="25.5" outlineLevel="2">
      <c r="A8086" s="197"/>
      <c r="B8086" s="12" t="str">
        <f>IFERROR(VLOOKUP(D8086,'[1]Перечень товаров'!$A$2:$I9525,2,0),"")</f>
        <v/>
      </c>
      <c r="C8086" s="12" t="str">
        <f>IFERROR(VLOOKUP(D8086,'[1]Перечень товаров'!$A$2:$I9525,3,0),"")</f>
        <v/>
      </c>
      <c r="D8086" s="198" t="s">
        <v>1873</v>
      </c>
      <c r="E8086" s="15"/>
      <c r="F8086" s="15"/>
      <c r="G8086" s="234"/>
      <c r="H8086" s="234"/>
      <c r="I8086" s="235"/>
      <c r="J8086" s="235"/>
      <c r="K8086" s="19"/>
      <c r="L8086" s="20"/>
    </row>
    <row r="8087" spans="1:12" ht="31.5" outlineLevel="2">
      <c r="A8087" s="34"/>
      <c r="B8087" s="12" t="str">
        <f>IFERROR(VLOOKUP(D8087,'[1]Перечень товаров'!$A$2:$I9525,2,0),"")</f>
        <v>д212</v>
      </c>
      <c r="C8087" s="12" t="str">
        <f>IFERROR(VLOOKUP(D8087,'[1]Перечень товаров'!$A$2:$I9525,3,0),"")</f>
        <v>Дидактика</v>
      </c>
      <c r="D8087" s="35" t="s">
        <v>1876</v>
      </c>
      <c r="E8087" s="23"/>
      <c r="F8087" s="23"/>
      <c r="G8087" s="137">
        <v>4</v>
      </c>
      <c r="H8087" s="137"/>
      <c r="I8087" s="138"/>
      <c r="J8087" s="138"/>
      <c r="K8087" s="19"/>
      <c r="L8087" s="20"/>
    </row>
    <row r="8088" spans="1:12" outlineLevel="2">
      <c r="A8088" s="34"/>
      <c r="B8088" s="12" t="str">
        <f>IFERROR(VLOOKUP(D8088,'[1]Перечень товаров'!$A$2:$I9525,2,0),"")</f>
        <v>д214</v>
      </c>
      <c r="C8088" s="12" t="str">
        <f>IFERROR(VLOOKUP(D8088,'[1]Перечень товаров'!$A$2:$I9525,3,0),"")</f>
        <v>Дидактика</v>
      </c>
      <c r="D8088" s="35" t="s">
        <v>1874</v>
      </c>
      <c r="E8088" s="23"/>
      <c r="F8088" s="23"/>
      <c r="G8088" s="137">
        <v>1</v>
      </c>
      <c r="H8088" s="137"/>
      <c r="I8088" s="138"/>
      <c r="J8088" s="138"/>
      <c r="K8088" s="19"/>
      <c r="L8088" s="20"/>
    </row>
    <row r="8089" spans="1:12" ht="31.5" outlineLevel="2">
      <c r="A8089" s="34"/>
      <c r="B8089" s="12" t="str">
        <f>IFERROR(VLOOKUP(D8089,'[1]Перечень товаров'!$A$2:$I9525,2,0),"")</f>
        <v>д200</v>
      </c>
      <c r="C8089" s="12" t="str">
        <f>IFERROR(VLOOKUP(D8089,'[1]Перечень товаров'!$A$2:$I9525,3,0),"")</f>
        <v>Дидактика</v>
      </c>
      <c r="D8089" s="35" t="s">
        <v>1897</v>
      </c>
      <c r="E8089" s="23"/>
      <c r="F8089" s="23"/>
      <c r="G8089" s="137">
        <v>1</v>
      </c>
      <c r="H8089" s="137"/>
      <c r="I8089" s="138"/>
      <c r="J8089" s="138"/>
      <c r="K8089" s="19"/>
      <c r="L8089" s="20"/>
    </row>
    <row r="8090" spans="1:12" ht="47.25" outlineLevel="2">
      <c r="A8090" s="34"/>
      <c r="B8090" s="12" t="str">
        <f>IFERROR(VLOOKUP(D8090,'[1]Перечень товаров'!$A$2:$I9525,2,0),"")</f>
        <v>д199</v>
      </c>
      <c r="C8090" s="12" t="str">
        <f>IFERROR(VLOOKUP(D8090,'[1]Перечень товаров'!$A$2:$I9525,3,0),"")</f>
        <v>Дидактика</v>
      </c>
      <c r="D8090" s="35" t="s">
        <v>1898</v>
      </c>
      <c r="E8090" s="23"/>
      <c r="F8090" s="23"/>
      <c r="G8090" s="137">
        <v>1</v>
      </c>
      <c r="H8090" s="137"/>
      <c r="I8090" s="138"/>
      <c r="J8090" s="138"/>
      <c r="K8090" s="19"/>
      <c r="L8090" s="20"/>
    </row>
    <row r="8091" spans="1:12" outlineLevel="2">
      <c r="A8091" s="88"/>
      <c r="B8091" s="12" t="str">
        <f>IFERROR(VLOOKUP(D8091,'[1]Перечень товаров'!$A$2:$I9525,2,0),"")</f>
        <v>д198</v>
      </c>
      <c r="C8091" s="12" t="str">
        <f>IFERROR(VLOOKUP(D8091,'[1]Перечень товаров'!$A$2:$I9525,3,0),"")</f>
        <v>Дидактика</v>
      </c>
      <c r="D8091" s="223" t="s">
        <v>1899</v>
      </c>
      <c r="E8091" s="23"/>
      <c r="F8091" s="23"/>
      <c r="G8091" s="137">
        <v>1</v>
      </c>
      <c r="H8091" s="137"/>
      <c r="I8091" s="138"/>
      <c r="J8091" s="138"/>
      <c r="K8091" s="19"/>
      <c r="L8091" s="20"/>
    </row>
    <row r="8092" spans="1:12" ht="12.75" outlineLevel="2">
      <c r="A8092" s="197"/>
      <c r="B8092" s="12" t="str">
        <f>IFERROR(VLOOKUP(D8092,'[1]Перечень товаров'!$A$2:$I9525,2,0),"")</f>
        <v/>
      </c>
      <c r="C8092" s="12" t="str">
        <f>IFERROR(VLOOKUP(D8092,'[1]Перечень товаров'!$A$2:$I9525,3,0),"")</f>
        <v/>
      </c>
      <c r="D8092" s="198" t="s">
        <v>1900</v>
      </c>
      <c r="E8092" s="15"/>
      <c r="F8092" s="15"/>
      <c r="G8092" s="234"/>
      <c r="H8092" s="234"/>
      <c r="I8092" s="235"/>
      <c r="J8092" s="235"/>
      <c r="K8092" s="19"/>
      <c r="L8092" s="20"/>
    </row>
    <row r="8093" spans="1:12" ht="31.5" outlineLevel="2">
      <c r="A8093" s="34"/>
      <c r="B8093" s="12" t="str">
        <f>IFERROR(VLOOKUP(D8093,'[1]Перечень товаров'!$A$2:$I9525,2,0),"")</f>
        <v>д197</v>
      </c>
      <c r="C8093" s="12" t="str">
        <f>IFERROR(VLOOKUP(D8093,'[1]Перечень товаров'!$A$2:$I9525,3,0),"")</f>
        <v>Дидактика</v>
      </c>
      <c r="D8093" s="35" t="s">
        <v>1901</v>
      </c>
      <c r="E8093" s="23"/>
      <c r="F8093" s="23"/>
      <c r="G8093" s="137">
        <v>1</v>
      </c>
      <c r="H8093" s="137"/>
      <c r="I8093" s="138"/>
      <c r="J8093" s="138"/>
      <c r="K8093" s="19"/>
      <c r="L8093" s="20"/>
    </row>
    <row r="8094" spans="1:12" outlineLevel="2">
      <c r="A8094" s="34"/>
      <c r="B8094" s="12" t="str">
        <f>IFERROR(VLOOKUP(D8094,'[1]Перечень товаров'!$A$2:$I9525,2,0),"")</f>
        <v>д196</v>
      </c>
      <c r="C8094" s="12" t="str">
        <f>IFERROR(VLOOKUP(D8094,'[1]Перечень товаров'!$A$2:$I9525,3,0),"")</f>
        <v>Дидактика</v>
      </c>
      <c r="D8094" s="35" t="s">
        <v>1902</v>
      </c>
      <c r="E8094" s="23"/>
      <c r="F8094" s="23"/>
      <c r="G8094" s="137">
        <v>1</v>
      </c>
      <c r="H8094" s="137"/>
      <c r="I8094" s="138"/>
      <c r="J8094" s="138"/>
      <c r="K8094" s="19"/>
      <c r="L8094" s="20"/>
    </row>
    <row r="8095" spans="1:12" ht="47.25" outlineLevel="2">
      <c r="A8095" s="34"/>
      <c r="B8095" s="12" t="str">
        <f>IFERROR(VLOOKUP(D8095,'[1]Перечень товаров'!$A$2:$I9525,2,0),"")</f>
        <v>д195</v>
      </c>
      <c r="C8095" s="12" t="str">
        <f>IFERROR(VLOOKUP(D8095,'[1]Перечень товаров'!$A$2:$I9525,3,0),"")</f>
        <v>Дидактика</v>
      </c>
      <c r="D8095" s="35" t="s">
        <v>1903</v>
      </c>
      <c r="E8095" s="23"/>
      <c r="F8095" s="23"/>
      <c r="G8095" s="137">
        <v>1</v>
      </c>
      <c r="H8095" s="137"/>
      <c r="I8095" s="138"/>
      <c r="J8095" s="138"/>
      <c r="K8095" s="19"/>
      <c r="L8095" s="20"/>
    </row>
    <row r="8096" spans="1:12" outlineLevel="2">
      <c r="A8096" s="34"/>
      <c r="B8096" s="12" t="str">
        <f>IFERROR(VLOOKUP(D8096,'[1]Перечень товаров'!$A$2:$I9525,2,0),"")</f>
        <v>д194</v>
      </c>
      <c r="C8096" s="12" t="str">
        <f>IFERROR(VLOOKUP(D8096,'[1]Перечень товаров'!$A$2:$I9525,3,0),"")</f>
        <v>Дидактика</v>
      </c>
      <c r="D8096" s="35" t="s">
        <v>1904</v>
      </c>
      <c r="E8096" s="23"/>
      <c r="F8096" s="23"/>
      <c r="G8096" s="137">
        <v>1</v>
      </c>
      <c r="H8096" s="137"/>
      <c r="I8096" s="138"/>
      <c r="J8096" s="138"/>
      <c r="K8096" s="19"/>
      <c r="L8096" s="20"/>
    </row>
    <row r="8097" spans="1:12" outlineLevel="2">
      <c r="A8097" s="34"/>
      <c r="B8097" s="12" t="str">
        <f>IFERROR(VLOOKUP(D8097,'[1]Перечень товаров'!$A$2:$I9525,2,0),"")</f>
        <v>д193</v>
      </c>
      <c r="C8097" s="12" t="str">
        <f>IFERROR(VLOOKUP(D8097,'[1]Перечень товаров'!$A$2:$I9525,3,0),"")</f>
        <v>Дидактика</v>
      </c>
      <c r="D8097" s="35" t="s">
        <v>1905</v>
      </c>
      <c r="E8097" s="23"/>
      <c r="F8097" s="23"/>
      <c r="G8097" s="137">
        <v>1</v>
      </c>
      <c r="H8097" s="137"/>
      <c r="I8097" s="138"/>
      <c r="J8097" s="138"/>
      <c r="K8097" s="19"/>
      <c r="L8097" s="20"/>
    </row>
    <row r="8098" spans="1:12" outlineLevel="2">
      <c r="A8098" s="34"/>
      <c r="B8098" s="12" t="str">
        <f>IFERROR(VLOOKUP(D8098,'[1]Перечень товаров'!$A$2:$I9525,2,0),"")</f>
        <v>д192</v>
      </c>
      <c r="C8098" s="12" t="str">
        <f>IFERROR(VLOOKUP(D8098,'[1]Перечень товаров'!$A$2:$I9525,3,0),"")</f>
        <v>Дидактика</v>
      </c>
      <c r="D8098" s="35" t="s">
        <v>1906</v>
      </c>
      <c r="E8098" s="23"/>
      <c r="F8098" s="23"/>
      <c r="G8098" s="137">
        <v>1</v>
      </c>
      <c r="H8098" s="137"/>
      <c r="I8098" s="138"/>
      <c r="J8098" s="138"/>
      <c r="K8098" s="19"/>
      <c r="L8098" s="20"/>
    </row>
    <row r="8099" spans="1:12" outlineLevel="2">
      <c r="A8099" s="34"/>
      <c r="B8099" s="12" t="str">
        <f>IFERROR(VLOOKUP(D8099,'[1]Перечень товаров'!$A$2:$I9525,2,0),"")</f>
        <v>д191</v>
      </c>
      <c r="C8099" s="12" t="str">
        <f>IFERROR(VLOOKUP(D8099,'[1]Перечень товаров'!$A$2:$I9525,3,0),"")</f>
        <v>Дидактика</v>
      </c>
      <c r="D8099" s="35" t="s">
        <v>1907</v>
      </c>
      <c r="E8099" s="23"/>
      <c r="F8099" s="23"/>
      <c r="G8099" s="137">
        <v>1</v>
      </c>
      <c r="H8099" s="137"/>
      <c r="I8099" s="138"/>
      <c r="J8099" s="138"/>
      <c r="K8099" s="19"/>
      <c r="L8099" s="20"/>
    </row>
    <row r="8100" spans="1:12" outlineLevel="2">
      <c r="A8100" s="34"/>
      <c r="B8100" s="12" t="str">
        <f>IFERROR(VLOOKUP(D8100,'[1]Перечень товаров'!$A$2:$I9525,2,0),"")</f>
        <v>д190</v>
      </c>
      <c r="C8100" s="12" t="str">
        <f>IFERROR(VLOOKUP(D8100,'[1]Перечень товаров'!$A$2:$I9525,3,0),"")</f>
        <v>Дидактика</v>
      </c>
      <c r="D8100" s="35" t="s">
        <v>1908</v>
      </c>
      <c r="E8100" s="23"/>
      <c r="F8100" s="23"/>
      <c r="G8100" s="137">
        <v>1</v>
      </c>
      <c r="H8100" s="137"/>
      <c r="I8100" s="138"/>
      <c r="J8100" s="138"/>
      <c r="K8100" s="19"/>
      <c r="L8100" s="20"/>
    </row>
    <row r="8101" spans="1:12" outlineLevel="2">
      <c r="A8101" s="34"/>
      <c r="B8101" s="12" t="str">
        <f>IFERROR(VLOOKUP(D8101,'[1]Перечень товаров'!$A$2:$I9525,2,0),"")</f>
        <v>д189</v>
      </c>
      <c r="C8101" s="12" t="str">
        <f>IFERROR(VLOOKUP(D8101,'[1]Перечень товаров'!$A$2:$I9525,3,0),"")</f>
        <v>Дидактика</v>
      </c>
      <c r="D8101" s="35" t="s">
        <v>1909</v>
      </c>
      <c r="E8101" s="23"/>
      <c r="F8101" s="23"/>
      <c r="G8101" s="137">
        <v>1</v>
      </c>
      <c r="H8101" s="137"/>
      <c r="I8101" s="138"/>
      <c r="J8101" s="138"/>
      <c r="K8101" s="19"/>
      <c r="L8101" s="20"/>
    </row>
    <row r="8102" spans="1:12" outlineLevel="2">
      <c r="A8102" s="34"/>
      <c r="B8102" s="12" t="str">
        <f>IFERROR(VLOOKUP(D8102,'[1]Перечень товаров'!$A$2:$I9525,2,0),"")</f>
        <v>д188</v>
      </c>
      <c r="C8102" s="12" t="str">
        <f>IFERROR(VLOOKUP(D8102,'[1]Перечень товаров'!$A$2:$I9525,3,0),"")</f>
        <v>Дидактика</v>
      </c>
      <c r="D8102" s="35" t="s">
        <v>1910</v>
      </c>
      <c r="E8102" s="23"/>
      <c r="F8102" s="23"/>
      <c r="G8102" s="137">
        <v>1</v>
      </c>
      <c r="H8102" s="137"/>
      <c r="I8102" s="138"/>
      <c r="J8102" s="138"/>
      <c r="K8102" s="19"/>
      <c r="L8102" s="20"/>
    </row>
    <row r="8103" spans="1:12" outlineLevel="2">
      <c r="A8103" s="34"/>
      <c r="B8103" s="12" t="str">
        <f>IFERROR(VLOOKUP(D8103,'[1]Перечень товаров'!$A$2:$I9525,2,0),"")</f>
        <v>д187</v>
      </c>
      <c r="C8103" s="12" t="str">
        <f>IFERROR(VLOOKUP(D8103,'[1]Перечень товаров'!$A$2:$I9525,3,0),"")</f>
        <v>Дидактика</v>
      </c>
      <c r="D8103" s="35" t="s">
        <v>1911</v>
      </c>
      <c r="E8103" s="23"/>
      <c r="F8103" s="23"/>
      <c r="G8103" s="137">
        <v>1</v>
      </c>
      <c r="H8103" s="137"/>
      <c r="I8103" s="138"/>
      <c r="J8103" s="138"/>
      <c r="K8103" s="19"/>
      <c r="L8103" s="20"/>
    </row>
    <row r="8104" spans="1:12" outlineLevel="2">
      <c r="A8104" s="34"/>
      <c r="B8104" s="12" t="str">
        <f>IFERROR(VLOOKUP(D8104,'[1]Перечень товаров'!$A$2:$I9525,2,0),"")</f>
        <v>д186</v>
      </c>
      <c r="C8104" s="12" t="str">
        <f>IFERROR(VLOOKUP(D8104,'[1]Перечень товаров'!$A$2:$I9525,3,0),"")</f>
        <v>Дидактика</v>
      </c>
      <c r="D8104" s="35" t="s">
        <v>1912</v>
      </c>
      <c r="E8104" s="23"/>
      <c r="F8104" s="23"/>
      <c r="G8104" s="137">
        <v>1</v>
      </c>
      <c r="H8104" s="137"/>
      <c r="I8104" s="138"/>
      <c r="J8104" s="138"/>
      <c r="K8104" s="19"/>
      <c r="L8104" s="20"/>
    </row>
    <row r="8105" spans="1:12" outlineLevel="2">
      <c r="A8105" s="34"/>
      <c r="B8105" s="12" t="str">
        <f>IFERROR(VLOOKUP(D8105,'[1]Перечень товаров'!$A$2:$I9525,2,0),"")</f>
        <v>д185</v>
      </c>
      <c r="C8105" s="12" t="str">
        <f>IFERROR(VLOOKUP(D8105,'[1]Перечень товаров'!$A$2:$I9525,3,0),"")</f>
        <v>Дидактика</v>
      </c>
      <c r="D8105" s="35" t="s">
        <v>1913</v>
      </c>
      <c r="E8105" s="23"/>
      <c r="F8105" s="23"/>
      <c r="G8105" s="137">
        <v>1</v>
      </c>
      <c r="H8105" s="137"/>
      <c r="I8105" s="138"/>
      <c r="J8105" s="138"/>
      <c r="K8105" s="19"/>
      <c r="L8105" s="20"/>
    </row>
    <row r="8106" spans="1:12" ht="12.75" outlineLevel="2">
      <c r="A8106" s="197"/>
      <c r="B8106" s="12" t="str">
        <f>IFERROR(VLOOKUP(D8106,'[1]Перечень товаров'!$A$2:$I9525,2,0),"")</f>
        <v/>
      </c>
      <c r="C8106" s="12" t="str">
        <f>IFERROR(VLOOKUP(D8106,'[1]Перечень товаров'!$A$2:$I9525,3,0),"")</f>
        <v/>
      </c>
      <c r="D8106" s="198" t="s">
        <v>1856</v>
      </c>
      <c r="E8106" s="15"/>
      <c r="F8106" s="15"/>
      <c r="G8106" s="234"/>
      <c r="H8106" s="234"/>
      <c r="I8106" s="235"/>
      <c r="J8106" s="235"/>
      <c r="K8106" s="19"/>
      <c r="L8106" s="20"/>
    </row>
    <row r="8107" spans="1:12" outlineLevel="2">
      <c r="A8107" s="34"/>
      <c r="B8107" s="12" t="str">
        <f>IFERROR(VLOOKUP(D8107,'[1]Перечень товаров'!$A$2:$I9525,2,0),"")</f>
        <v>д184</v>
      </c>
      <c r="C8107" s="12" t="str">
        <f>IFERROR(VLOOKUP(D8107,'[1]Перечень товаров'!$A$2:$I9525,3,0),"")</f>
        <v>Дидактика</v>
      </c>
      <c r="D8107" s="35" t="s">
        <v>1914</v>
      </c>
      <c r="E8107" s="23"/>
      <c r="F8107" s="23"/>
      <c r="G8107" s="137">
        <v>1</v>
      </c>
      <c r="H8107" s="137"/>
      <c r="I8107" s="138"/>
      <c r="J8107" s="138"/>
      <c r="K8107" s="19"/>
      <c r="L8107" s="20"/>
    </row>
    <row r="8108" spans="1:12" ht="31.5" outlineLevel="2">
      <c r="A8108" s="34"/>
      <c r="B8108" s="12" t="str">
        <f>IFERROR(VLOOKUP(D8108,'[1]Перечень товаров'!$A$2:$I9525,2,0),"")</f>
        <v>д183</v>
      </c>
      <c r="C8108" s="12" t="str">
        <f>IFERROR(VLOOKUP(D8108,'[1]Перечень товаров'!$A$2:$I9525,3,0),"")</f>
        <v>Дидактика</v>
      </c>
      <c r="D8108" s="35" t="s">
        <v>1915</v>
      </c>
      <c r="E8108" s="23"/>
      <c r="F8108" s="23"/>
      <c r="G8108" s="137">
        <v>1</v>
      </c>
      <c r="H8108" s="137"/>
      <c r="I8108" s="138"/>
      <c r="J8108" s="138"/>
      <c r="K8108" s="19"/>
      <c r="L8108" s="20"/>
    </row>
    <row r="8109" spans="1:12" ht="31.5" outlineLevel="2">
      <c r="A8109" s="34"/>
      <c r="B8109" s="12" t="str">
        <f>IFERROR(VLOOKUP(D8109,'[1]Перечень товаров'!$A$2:$I9525,2,0),"")</f>
        <v>д182</v>
      </c>
      <c r="C8109" s="12" t="str">
        <f>IFERROR(VLOOKUP(D8109,'[1]Перечень товаров'!$A$2:$I9525,3,0),"")</f>
        <v>Дидактика</v>
      </c>
      <c r="D8109" s="35" t="s">
        <v>1916</v>
      </c>
      <c r="E8109" s="23"/>
      <c r="F8109" s="23"/>
      <c r="G8109" s="137">
        <v>1</v>
      </c>
      <c r="H8109" s="137"/>
      <c r="I8109" s="138"/>
      <c r="J8109" s="138"/>
      <c r="K8109" s="19"/>
      <c r="L8109" s="20"/>
    </row>
    <row r="8110" spans="1:12" outlineLevel="2">
      <c r="A8110" s="34"/>
      <c r="B8110" s="12" t="str">
        <f>IFERROR(VLOOKUP(D8110,'[1]Перечень товаров'!$A$2:$I9525,2,0),"")</f>
        <v>д181</v>
      </c>
      <c r="C8110" s="12" t="str">
        <f>IFERROR(VLOOKUP(D8110,'[1]Перечень товаров'!$A$2:$I9525,3,0),"")</f>
        <v>Дидактика</v>
      </c>
      <c r="D8110" s="35" t="s">
        <v>1917</v>
      </c>
      <c r="E8110" s="23"/>
      <c r="F8110" s="23"/>
      <c r="G8110" s="137">
        <v>1</v>
      </c>
      <c r="H8110" s="137"/>
      <c r="I8110" s="138"/>
      <c r="J8110" s="138"/>
      <c r="K8110" s="19"/>
      <c r="L8110" s="20"/>
    </row>
    <row r="8111" spans="1:12" ht="31.5" outlineLevel="2">
      <c r="A8111" s="34"/>
      <c r="B8111" s="12" t="str">
        <f>IFERROR(VLOOKUP(D8111,'[1]Перечень товаров'!$A$2:$I9525,2,0),"")</f>
        <v>д180</v>
      </c>
      <c r="C8111" s="12" t="str">
        <f>IFERROR(VLOOKUP(D8111,'[1]Перечень товаров'!$A$2:$I9525,3,0),"")</f>
        <v>Дидактика</v>
      </c>
      <c r="D8111" s="35" t="s">
        <v>1918</v>
      </c>
      <c r="E8111" s="23"/>
      <c r="F8111" s="23"/>
      <c r="G8111" s="137">
        <v>1</v>
      </c>
      <c r="H8111" s="137"/>
      <c r="I8111" s="138"/>
      <c r="J8111" s="138"/>
      <c r="K8111" s="19"/>
      <c r="L8111" s="20"/>
    </row>
    <row r="8112" spans="1:12" ht="47.25" outlineLevel="2">
      <c r="A8112" s="34"/>
      <c r="B8112" s="12" t="str">
        <f>IFERROR(VLOOKUP(D8112,'[1]Перечень товаров'!$A$2:$I9525,2,0),"")</f>
        <v>д179</v>
      </c>
      <c r="C8112" s="12" t="str">
        <f>IFERROR(VLOOKUP(D8112,'[1]Перечень товаров'!$A$2:$I9525,3,0),"")</f>
        <v>Дидактика</v>
      </c>
      <c r="D8112" s="35" t="s">
        <v>1919</v>
      </c>
      <c r="E8112" s="23"/>
      <c r="F8112" s="23"/>
      <c r="G8112" s="137">
        <v>1</v>
      </c>
      <c r="H8112" s="137"/>
      <c r="I8112" s="138"/>
      <c r="J8112" s="138"/>
      <c r="K8112" s="19"/>
      <c r="L8112" s="20"/>
    </row>
    <row r="8113" spans="1:12" outlineLevel="2">
      <c r="A8113" s="34"/>
      <c r="B8113" s="12" t="str">
        <f>IFERROR(VLOOKUP(D8113,'[1]Перечень товаров'!$A$2:$I9525,2,0),"")</f>
        <v>д178</v>
      </c>
      <c r="C8113" s="12" t="str">
        <f>IFERROR(VLOOKUP(D8113,'[1]Перечень товаров'!$A$2:$I9525,3,0),"")</f>
        <v>Дидактика</v>
      </c>
      <c r="D8113" s="35" t="s">
        <v>1920</v>
      </c>
      <c r="E8113" s="23"/>
      <c r="F8113" s="23"/>
      <c r="G8113" s="137">
        <v>1</v>
      </c>
      <c r="H8113" s="137"/>
      <c r="I8113" s="138"/>
      <c r="J8113" s="138"/>
      <c r="K8113" s="19"/>
      <c r="L8113" s="20"/>
    </row>
    <row r="8114" spans="1:12" ht="12.75" outlineLevel="2">
      <c r="A8114" s="197"/>
      <c r="B8114" s="12" t="str">
        <f>IFERROR(VLOOKUP(D8114,'[1]Перечень товаров'!$A$2:$I9525,2,0),"")</f>
        <v/>
      </c>
      <c r="C8114" s="12" t="str">
        <f>IFERROR(VLOOKUP(D8114,'[1]Перечень товаров'!$A$2:$I9525,3,0),"")</f>
        <v/>
      </c>
      <c r="D8114" s="198" t="s">
        <v>1921</v>
      </c>
      <c r="E8114" s="15"/>
      <c r="F8114" s="15"/>
      <c r="G8114" s="234"/>
      <c r="H8114" s="234"/>
      <c r="I8114" s="235"/>
      <c r="J8114" s="235"/>
      <c r="K8114" s="19"/>
      <c r="L8114" s="20"/>
    </row>
    <row r="8115" spans="1:12" ht="31.5" outlineLevel="2">
      <c r="A8115" s="34"/>
      <c r="B8115" s="12" t="str">
        <f>IFERROR(VLOOKUP(D8115,'[1]Перечень товаров'!$A$2:$I9525,2,0),"")</f>
        <v>д177</v>
      </c>
      <c r="C8115" s="12" t="str">
        <f>IFERROR(VLOOKUP(D8115,'[1]Перечень товаров'!$A$2:$I9525,3,0),"")</f>
        <v>Дидактика</v>
      </c>
      <c r="D8115" s="35" t="s">
        <v>1922</v>
      </c>
      <c r="E8115" s="23"/>
      <c r="F8115" s="23"/>
      <c r="G8115" s="137">
        <v>1</v>
      </c>
      <c r="H8115" s="137"/>
      <c r="I8115" s="138"/>
      <c r="J8115" s="138"/>
      <c r="K8115" s="19"/>
      <c r="L8115" s="20"/>
    </row>
    <row r="8116" spans="1:12" ht="31.5" outlineLevel="2">
      <c r="A8116" s="34"/>
      <c r="B8116" s="12" t="str">
        <f>IFERROR(VLOOKUP(D8116,'[1]Перечень товаров'!$A$2:$I9525,2,0),"")</f>
        <v>д176</v>
      </c>
      <c r="C8116" s="12" t="str">
        <f>IFERROR(VLOOKUP(D8116,'[1]Перечень товаров'!$A$2:$I9525,3,0),"")</f>
        <v>Дидактика</v>
      </c>
      <c r="D8116" s="35" t="s">
        <v>1923</v>
      </c>
      <c r="E8116" s="23"/>
      <c r="F8116" s="23"/>
      <c r="G8116" s="137">
        <v>1</v>
      </c>
      <c r="H8116" s="137"/>
      <c r="I8116" s="138"/>
      <c r="J8116" s="138"/>
      <c r="K8116" s="19"/>
      <c r="L8116" s="20"/>
    </row>
    <row r="8117" spans="1:12" ht="31.5" outlineLevel="2">
      <c r="A8117" s="34"/>
      <c r="B8117" s="12" t="str">
        <f>IFERROR(VLOOKUP(D8117,'[1]Перечень товаров'!$A$2:$I9525,2,0),"")</f>
        <v>д175</v>
      </c>
      <c r="C8117" s="12" t="str">
        <f>IFERROR(VLOOKUP(D8117,'[1]Перечень товаров'!$A$2:$I9525,3,0),"")</f>
        <v>Дидактика</v>
      </c>
      <c r="D8117" s="35" t="s">
        <v>1924</v>
      </c>
      <c r="E8117" s="23"/>
      <c r="F8117" s="23"/>
      <c r="G8117" s="137">
        <v>1</v>
      </c>
      <c r="H8117" s="137"/>
      <c r="I8117" s="138"/>
      <c r="J8117" s="138"/>
      <c r="K8117" s="19"/>
      <c r="L8117" s="20"/>
    </row>
    <row r="8118" spans="1:12" ht="31.5" outlineLevel="2">
      <c r="A8118" s="34"/>
      <c r="B8118" s="12" t="str">
        <f>IFERROR(VLOOKUP(D8118,'[1]Перечень товаров'!$A$2:$I9525,2,0),"")</f>
        <v>д174</v>
      </c>
      <c r="C8118" s="12" t="str">
        <f>IFERROR(VLOOKUP(D8118,'[1]Перечень товаров'!$A$2:$I9525,3,0),"")</f>
        <v>Дидактика</v>
      </c>
      <c r="D8118" s="35" t="s">
        <v>1925</v>
      </c>
      <c r="E8118" s="23"/>
      <c r="F8118" s="23"/>
      <c r="G8118" s="137">
        <v>1</v>
      </c>
      <c r="H8118" s="137"/>
      <c r="I8118" s="138"/>
      <c r="J8118" s="138"/>
      <c r="K8118" s="19"/>
      <c r="L8118" s="20"/>
    </row>
    <row r="8119" spans="1:12" outlineLevel="2">
      <c r="A8119" s="88"/>
      <c r="B8119" s="12" t="str">
        <f>IFERROR(VLOOKUP(D8119,'[1]Перечень товаров'!$A$2:$I9525,2,0),"")</f>
        <v>д173</v>
      </c>
      <c r="C8119" s="12" t="str">
        <f>IFERROR(VLOOKUP(D8119,'[1]Перечень товаров'!$A$2:$I9525,3,0),"")</f>
        <v>Дидактика</v>
      </c>
      <c r="D8119" s="223" t="s">
        <v>1926</v>
      </c>
      <c r="E8119" s="23"/>
      <c r="F8119" s="23"/>
      <c r="G8119" s="137">
        <v>1</v>
      </c>
      <c r="H8119" s="137"/>
      <c r="I8119" s="138"/>
      <c r="J8119" s="138"/>
      <c r="K8119" s="19"/>
      <c r="L8119" s="20"/>
    </row>
    <row r="8120" spans="1:12" ht="12.75" outlineLevel="2">
      <c r="A8120" s="197"/>
      <c r="B8120" s="12" t="str">
        <f>IFERROR(VLOOKUP(D8120,'[1]Перечень товаров'!$A$2:$I9525,2,0),"")</f>
        <v/>
      </c>
      <c r="C8120" s="12" t="str">
        <f>IFERROR(VLOOKUP(D8120,'[1]Перечень товаров'!$A$2:$I9525,3,0),"")</f>
        <v/>
      </c>
      <c r="D8120" s="198" t="s">
        <v>1927</v>
      </c>
      <c r="E8120" s="15"/>
      <c r="F8120" s="15"/>
      <c r="G8120" s="234"/>
      <c r="H8120" s="234"/>
      <c r="I8120" s="235"/>
      <c r="J8120" s="235"/>
      <c r="K8120" s="19"/>
      <c r="L8120" s="20"/>
    </row>
    <row r="8121" spans="1:12" outlineLevel="2">
      <c r="A8121" s="34"/>
      <c r="B8121" s="12" t="str">
        <f>IFERROR(VLOOKUP(D8121,'[1]Перечень товаров'!$A$2:$I9525,2,0),"")</f>
        <v>д172</v>
      </c>
      <c r="C8121" s="12" t="str">
        <f>IFERROR(VLOOKUP(D8121,'[1]Перечень товаров'!$A$2:$I9525,3,0),"")</f>
        <v>Дидактика</v>
      </c>
      <c r="D8121" s="35" t="s">
        <v>1928</v>
      </c>
      <c r="E8121" s="23"/>
      <c r="F8121" s="23"/>
      <c r="G8121" s="137">
        <v>1</v>
      </c>
      <c r="H8121" s="137"/>
      <c r="I8121" s="138"/>
      <c r="J8121" s="138"/>
      <c r="K8121" s="19"/>
      <c r="L8121" s="20"/>
    </row>
    <row r="8122" spans="1:12" outlineLevel="2">
      <c r="A8122" s="34"/>
      <c r="B8122" s="12" t="str">
        <f>IFERROR(VLOOKUP(D8122,'[1]Перечень товаров'!$A$2:$I9525,2,0),"")</f>
        <v>д171</v>
      </c>
      <c r="C8122" s="12" t="str">
        <f>IFERROR(VLOOKUP(D8122,'[1]Перечень товаров'!$A$2:$I9525,3,0),"")</f>
        <v>Дидактика</v>
      </c>
      <c r="D8122" s="35" t="s">
        <v>1929</v>
      </c>
      <c r="E8122" s="23"/>
      <c r="F8122" s="23"/>
      <c r="G8122" s="137">
        <v>1</v>
      </c>
      <c r="H8122" s="137"/>
      <c r="I8122" s="138"/>
      <c r="J8122" s="138"/>
      <c r="K8122" s="19"/>
      <c r="L8122" s="20"/>
    </row>
    <row r="8123" spans="1:12" outlineLevel="2">
      <c r="A8123" s="34"/>
      <c r="B8123" s="12" t="str">
        <f>IFERROR(VLOOKUP(D8123,'[1]Перечень товаров'!$A$2:$I9525,2,0),"")</f>
        <v>д170</v>
      </c>
      <c r="C8123" s="12" t="str">
        <f>IFERROR(VLOOKUP(D8123,'[1]Перечень товаров'!$A$2:$I9525,3,0),"")</f>
        <v>Дидактика</v>
      </c>
      <c r="D8123" s="35" t="s">
        <v>1930</v>
      </c>
      <c r="E8123" s="23"/>
      <c r="F8123" s="23"/>
      <c r="G8123" s="137">
        <v>1</v>
      </c>
      <c r="H8123" s="137"/>
      <c r="I8123" s="138"/>
      <c r="J8123" s="138"/>
      <c r="K8123" s="19"/>
      <c r="L8123" s="20"/>
    </row>
    <row r="8124" spans="1:12" ht="31.5" outlineLevel="2">
      <c r="A8124" s="34"/>
      <c r="B8124" s="12" t="str">
        <f>IFERROR(VLOOKUP(D8124,'[1]Перечень товаров'!$A$2:$I9525,2,0),"")</f>
        <v>д169</v>
      </c>
      <c r="C8124" s="12" t="str">
        <f>IFERROR(VLOOKUP(D8124,'[1]Перечень товаров'!$A$2:$I9525,3,0),"")</f>
        <v>Дидактика</v>
      </c>
      <c r="D8124" s="35" t="s">
        <v>1931</v>
      </c>
      <c r="E8124" s="23"/>
      <c r="F8124" s="23"/>
      <c r="G8124" s="137">
        <v>1</v>
      </c>
      <c r="H8124" s="137"/>
      <c r="I8124" s="138"/>
      <c r="J8124" s="138"/>
      <c r="K8124" s="19"/>
      <c r="L8124" s="20"/>
    </row>
    <row r="8125" spans="1:12" outlineLevel="2">
      <c r="A8125" s="34"/>
      <c r="B8125" s="12" t="str">
        <f>IFERROR(VLOOKUP(D8125,'[1]Перечень товаров'!$A$2:$I9525,2,0),"")</f>
        <v>д168</v>
      </c>
      <c r="C8125" s="12" t="str">
        <f>IFERROR(VLOOKUP(D8125,'[1]Перечень товаров'!$A$2:$I9525,3,0),"")</f>
        <v>Дидактика</v>
      </c>
      <c r="D8125" s="35" t="s">
        <v>1932</v>
      </c>
      <c r="E8125" s="23"/>
      <c r="F8125" s="23"/>
      <c r="G8125" s="137">
        <v>1</v>
      </c>
      <c r="H8125" s="137"/>
      <c r="I8125" s="138"/>
      <c r="J8125" s="138"/>
      <c r="K8125" s="19"/>
      <c r="L8125" s="20"/>
    </row>
    <row r="8126" spans="1:12" outlineLevel="2">
      <c r="A8126" s="34"/>
      <c r="B8126" s="12" t="str">
        <f>IFERROR(VLOOKUP(D8126,'[1]Перечень товаров'!$A$2:$I9525,2,0),"")</f>
        <v>д167</v>
      </c>
      <c r="C8126" s="12" t="str">
        <f>IFERROR(VLOOKUP(D8126,'[1]Перечень товаров'!$A$2:$I9525,3,0),"")</f>
        <v>Дидактика</v>
      </c>
      <c r="D8126" s="35" t="s">
        <v>1933</v>
      </c>
      <c r="E8126" s="23"/>
      <c r="F8126" s="23"/>
      <c r="G8126" s="137">
        <v>1</v>
      </c>
      <c r="H8126" s="137"/>
      <c r="I8126" s="138"/>
      <c r="J8126" s="138"/>
      <c r="K8126" s="19"/>
      <c r="L8126" s="20"/>
    </row>
    <row r="8127" spans="1:12" outlineLevel="2">
      <c r="A8127" s="34"/>
      <c r="B8127" s="12" t="str">
        <f>IFERROR(VLOOKUP(D8127,'[1]Перечень товаров'!$A$2:$I9525,2,0),"")</f>
        <v>д166</v>
      </c>
      <c r="C8127" s="12" t="str">
        <f>IFERROR(VLOOKUP(D8127,'[1]Перечень товаров'!$A$2:$I9525,3,0),"")</f>
        <v>Дидактика</v>
      </c>
      <c r="D8127" s="35" t="s">
        <v>1934</v>
      </c>
      <c r="E8127" s="23"/>
      <c r="F8127" s="23"/>
      <c r="G8127" s="137">
        <v>1</v>
      </c>
      <c r="H8127" s="137"/>
      <c r="I8127" s="138"/>
      <c r="J8127" s="138"/>
      <c r="K8127" s="19"/>
      <c r="L8127" s="20"/>
    </row>
    <row r="8128" spans="1:12" outlineLevel="2">
      <c r="A8128" s="34"/>
      <c r="B8128" s="12" t="str">
        <f>IFERROR(VLOOKUP(D8128,'[1]Перечень товаров'!$A$2:$I9525,2,0),"")</f>
        <v>д165</v>
      </c>
      <c r="C8128" s="12" t="str">
        <f>IFERROR(VLOOKUP(D8128,'[1]Перечень товаров'!$A$2:$I9525,3,0),"")</f>
        <v>Дидактика</v>
      </c>
      <c r="D8128" s="35" t="s">
        <v>1935</v>
      </c>
      <c r="E8128" s="23"/>
      <c r="F8128" s="23"/>
      <c r="G8128" s="137">
        <v>1</v>
      </c>
      <c r="H8128" s="137"/>
      <c r="I8128" s="138"/>
      <c r="J8128" s="138"/>
      <c r="K8128" s="19"/>
      <c r="L8128" s="20"/>
    </row>
    <row r="8129" spans="1:12" outlineLevel="2">
      <c r="A8129" s="34"/>
      <c r="B8129" s="12" t="str">
        <f>IFERROR(VLOOKUP(D8129,'[1]Перечень товаров'!$A$2:$I9525,2,0),"")</f>
        <v>д164</v>
      </c>
      <c r="C8129" s="12" t="str">
        <f>IFERROR(VLOOKUP(D8129,'[1]Перечень товаров'!$A$2:$I9525,3,0),"")</f>
        <v>Дидактика</v>
      </c>
      <c r="D8129" s="35" t="s">
        <v>1936</v>
      </c>
      <c r="E8129" s="23"/>
      <c r="F8129" s="23"/>
      <c r="G8129" s="137">
        <v>1</v>
      </c>
      <c r="H8129" s="137"/>
      <c r="I8129" s="138"/>
      <c r="J8129" s="138"/>
      <c r="K8129" s="19"/>
      <c r="L8129" s="20"/>
    </row>
    <row r="8130" spans="1:12" outlineLevel="2">
      <c r="A8130" s="34"/>
      <c r="B8130" s="12" t="str">
        <f>IFERROR(VLOOKUP(D8130,'[1]Перечень товаров'!$A$2:$I9525,2,0),"")</f>
        <v>д163</v>
      </c>
      <c r="C8130" s="12" t="str">
        <f>IFERROR(VLOOKUP(D8130,'[1]Перечень товаров'!$A$2:$I9525,3,0),"")</f>
        <v>Дидактика</v>
      </c>
      <c r="D8130" s="35" t="s">
        <v>1937</v>
      </c>
      <c r="E8130" s="23"/>
      <c r="F8130" s="23"/>
      <c r="G8130" s="137">
        <v>1</v>
      </c>
      <c r="H8130" s="137"/>
      <c r="I8130" s="138"/>
      <c r="J8130" s="138"/>
      <c r="K8130" s="19"/>
      <c r="L8130" s="20"/>
    </row>
    <row r="8131" spans="1:12" outlineLevel="2">
      <c r="A8131" s="34"/>
      <c r="B8131" s="12" t="str">
        <f>IFERROR(VLOOKUP(D8131,'[1]Перечень товаров'!$A$2:$I9525,2,0),"")</f>
        <v>д162</v>
      </c>
      <c r="C8131" s="12" t="str">
        <f>IFERROR(VLOOKUP(D8131,'[1]Перечень товаров'!$A$2:$I9525,3,0),"")</f>
        <v>Дидактика</v>
      </c>
      <c r="D8131" s="35" t="s">
        <v>1938</v>
      </c>
      <c r="E8131" s="23"/>
      <c r="F8131" s="23"/>
      <c r="G8131" s="137">
        <v>1</v>
      </c>
      <c r="H8131" s="137"/>
      <c r="I8131" s="138"/>
      <c r="J8131" s="138"/>
      <c r="K8131" s="19"/>
      <c r="L8131" s="20"/>
    </row>
    <row r="8132" spans="1:12" ht="31.5" outlineLevel="2">
      <c r="A8132" s="34"/>
      <c r="B8132" s="12" t="str">
        <f>IFERROR(VLOOKUP(D8132,'[1]Перечень товаров'!$A$2:$I9525,2,0),"")</f>
        <v>д161</v>
      </c>
      <c r="C8132" s="12" t="str">
        <f>IFERROR(VLOOKUP(D8132,'[1]Перечень товаров'!$A$2:$I9525,3,0),"")</f>
        <v>Дидактика</v>
      </c>
      <c r="D8132" s="35" t="s">
        <v>1939</v>
      </c>
      <c r="E8132" s="23"/>
      <c r="F8132" s="23"/>
      <c r="G8132" s="137">
        <v>1</v>
      </c>
      <c r="H8132" s="137"/>
      <c r="I8132" s="138"/>
      <c r="J8132" s="138"/>
      <c r="K8132" s="19"/>
      <c r="L8132" s="20"/>
    </row>
    <row r="8133" spans="1:12" ht="12.75" outlineLevel="2">
      <c r="A8133" s="197"/>
      <c r="B8133" s="12" t="str">
        <f>IFERROR(VLOOKUP(D8133,'[1]Перечень товаров'!$A$2:$I9525,2,0),"")</f>
        <v/>
      </c>
      <c r="C8133" s="12" t="str">
        <f>IFERROR(VLOOKUP(D8133,'[1]Перечень товаров'!$A$2:$I9525,3,0),"")</f>
        <v/>
      </c>
      <c r="D8133" s="198" t="s">
        <v>1940</v>
      </c>
      <c r="E8133" s="15"/>
      <c r="F8133" s="15"/>
      <c r="G8133" s="234"/>
      <c r="H8133" s="234"/>
      <c r="I8133" s="235"/>
      <c r="J8133" s="235"/>
      <c r="K8133" s="19"/>
      <c r="L8133" s="20"/>
    </row>
    <row r="8134" spans="1:12" ht="31.5" outlineLevel="2">
      <c r="A8134" s="34"/>
      <c r="B8134" s="12" t="str">
        <f>IFERROR(VLOOKUP(D8134,'[1]Перечень товаров'!$A$2:$I9525,2,0),"")</f>
        <v>д160</v>
      </c>
      <c r="C8134" s="12" t="str">
        <f>IFERROR(VLOOKUP(D8134,'[1]Перечень товаров'!$A$2:$I9525,3,0),"")</f>
        <v>Дидактика</v>
      </c>
      <c r="D8134" s="35" t="s">
        <v>1941</v>
      </c>
      <c r="E8134" s="23"/>
      <c r="F8134" s="23"/>
      <c r="G8134" s="137">
        <v>1</v>
      </c>
      <c r="H8134" s="137"/>
      <c r="I8134" s="138"/>
      <c r="J8134" s="138"/>
      <c r="K8134" s="19"/>
      <c r="L8134" s="20"/>
    </row>
    <row r="8135" spans="1:12" ht="12.75" outlineLevel="2">
      <c r="A8135" s="197"/>
      <c r="B8135" s="12" t="str">
        <f>IFERROR(VLOOKUP(D8135,'[1]Перечень товаров'!$A$2:$I9525,2,0),"")</f>
        <v/>
      </c>
      <c r="C8135" s="12" t="str">
        <f>IFERROR(VLOOKUP(D8135,'[1]Перечень товаров'!$A$2:$I9525,3,0),"")</f>
        <v/>
      </c>
      <c r="D8135" s="198" t="s">
        <v>1942</v>
      </c>
      <c r="E8135" s="15"/>
      <c r="F8135" s="15"/>
      <c r="G8135" s="234"/>
      <c r="H8135" s="234"/>
      <c r="I8135" s="235"/>
      <c r="J8135" s="235"/>
      <c r="K8135" s="19"/>
      <c r="L8135" s="20"/>
    </row>
    <row r="8136" spans="1:12" outlineLevel="2">
      <c r="A8136" s="34"/>
      <c r="B8136" s="12" t="str">
        <f>IFERROR(VLOOKUP(D8136,'[1]Перечень товаров'!$A$2:$I9525,2,0),"")</f>
        <v>д159</v>
      </c>
      <c r="C8136" s="12" t="str">
        <f>IFERROR(VLOOKUP(D8136,'[1]Перечень товаров'!$A$2:$I9525,3,0),"")</f>
        <v>Дидактика</v>
      </c>
      <c r="D8136" s="35" t="s">
        <v>1943</v>
      </c>
      <c r="E8136" s="23"/>
      <c r="F8136" s="23"/>
      <c r="G8136" s="137">
        <v>15</v>
      </c>
      <c r="H8136" s="137"/>
      <c r="I8136" s="138"/>
      <c r="J8136" s="138"/>
      <c r="K8136" s="19"/>
      <c r="L8136" s="20"/>
    </row>
    <row r="8137" spans="1:12" outlineLevel="2">
      <c r="A8137" s="34"/>
      <c r="B8137" s="12" t="str">
        <f>IFERROR(VLOOKUP(D8137,'[1]Перечень товаров'!$A$2:$I9525,2,0),"")</f>
        <v>д158</v>
      </c>
      <c r="C8137" s="12" t="str">
        <f>IFERROR(VLOOKUP(D8137,'[1]Перечень товаров'!$A$2:$I9525,3,0),"")</f>
        <v>Дидактика</v>
      </c>
      <c r="D8137" s="35" t="s">
        <v>1944</v>
      </c>
      <c r="E8137" s="23"/>
      <c r="F8137" s="23"/>
      <c r="G8137" s="137">
        <v>7</v>
      </c>
      <c r="H8137" s="137"/>
      <c r="I8137" s="138"/>
      <c r="J8137" s="138"/>
      <c r="K8137" s="19"/>
      <c r="L8137" s="20"/>
    </row>
    <row r="8138" spans="1:12" outlineLevel="2">
      <c r="A8138" s="21"/>
      <c r="B8138" s="12" t="str">
        <f>IFERROR(VLOOKUP(D8138,'[1]Перечень товаров'!$A$2:$I9525,2,0),"")</f>
        <v>д157</v>
      </c>
      <c r="C8138" s="12" t="str">
        <f>IFERROR(VLOOKUP(D8138,'[1]Перечень товаров'!$A$2:$I9525,3,0),"")</f>
        <v>Дидактика</v>
      </c>
      <c r="D8138" s="22" t="s">
        <v>1945</v>
      </c>
      <c r="E8138" s="23"/>
      <c r="F8138" s="23"/>
      <c r="G8138" s="137">
        <v>1</v>
      </c>
      <c r="H8138" s="137"/>
      <c r="I8138" s="138"/>
      <c r="J8138" s="138"/>
      <c r="K8138" s="19"/>
      <c r="L8138" s="20"/>
    </row>
    <row r="8139" spans="1:12" ht="12.75" outlineLevel="2">
      <c r="A8139" s="197"/>
      <c r="B8139" s="12" t="str">
        <f>IFERROR(VLOOKUP(D8139,'[1]Перечень товаров'!$A$2:$I9525,2,0),"")</f>
        <v/>
      </c>
      <c r="C8139" s="12" t="str">
        <f>IFERROR(VLOOKUP(D8139,'[1]Перечень товаров'!$A$2:$I9525,3,0),"")</f>
        <v/>
      </c>
      <c r="D8139" s="198" t="s">
        <v>1209</v>
      </c>
      <c r="E8139" s="15"/>
      <c r="F8139" s="15"/>
      <c r="G8139" s="238"/>
      <c r="H8139" s="238"/>
      <c r="I8139" s="239"/>
      <c r="J8139" s="239"/>
      <c r="K8139" s="19"/>
      <c r="L8139" s="20"/>
    </row>
    <row r="8140" spans="1:12" ht="12.75" outlineLevel="2">
      <c r="A8140" s="245"/>
      <c r="B8140" s="12" t="str">
        <f>IFERROR(VLOOKUP(D8140,'[1]Перечень товаров'!$A$2:$I9525,2,0),"")</f>
        <v/>
      </c>
      <c r="C8140" s="12" t="str">
        <f>IFERROR(VLOOKUP(D8140,'[1]Перечень товаров'!$A$2:$I9525,3,0),"")</f>
        <v/>
      </c>
      <c r="D8140" s="246" t="s">
        <v>809</v>
      </c>
      <c r="E8140" s="15"/>
      <c r="F8140" s="15"/>
      <c r="G8140" s="234"/>
      <c r="H8140" s="234"/>
      <c r="I8140" s="235"/>
      <c r="J8140" s="235"/>
      <c r="K8140" s="19"/>
      <c r="L8140" s="20"/>
    </row>
    <row r="8141" spans="1:12" ht="31.5" outlineLevel="2">
      <c r="A8141" s="34"/>
      <c r="B8141" s="12" t="str">
        <f>IFERROR(VLOOKUP(D8141,'[1]Перечень товаров'!$A$2:$I9525,2,0),"")</f>
        <v>д64</v>
      </c>
      <c r="C8141" s="12" t="str">
        <f>IFERROR(VLOOKUP(D8141,'[1]Перечень товаров'!$A$2:$I9525,3,0),"")</f>
        <v>Дидактика</v>
      </c>
      <c r="D8141" s="35" t="s">
        <v>810</v>
      </c>
      <c r="E8141" s="23"/>
      <c r="F8141" s="23"/>
      <c r="G8141" s="232">
        <v>1</v>
      </c>
      <c r="H8141" s="232"/>
      <c r="I8141" s="233"/>
      <c r="J8141" s="233"/>
      <c r="K8141" s="19"/>
      <c r="L8141" s="20"/>
    </row>
    <row r="8142" spans="1:12" outlineLevel="2">
      <c r="A8142" s="88"/>
      <c r="B8142" s="12" t="str">
        <f>IFERROR(VLOOKUP(D8142,'[1]Перечень товаров'!$A$2:$I9525,2,0),"")</f>
        <v>д65</v>
      </c>
      <c r="C8142" s="12" t="str">
        <f>IFERROR(VLOOKUP(D8142,'[1]Перечень товаров'!$A$2:$I9525,3,0),"")</f>
        <v>Дидактика</v>
      </c>
      <c r="D8142" s="223" t="s">
        <v>811</v>
      </c>
      <c r="E8142" s="23"/>
      <c r="F8142" s="23"/>
      <c r="G8142" s="232">
        <v>1</v>
      </c>
      <c r="H8142" s="232"/>
      <c r="I8142" s="233"/>
      <c r="J8142" s="233"/>
      <c r="K8142" s="19"/>
      <c r="L8142" s="20"/>
    </row>
    <row r="8143" spans="1:12" outlineLevel="2">
      <c r="A8143" s="88"/>
      <c r="B8143" s="12" t="str">
        <f>IFERROR(VLOOKUP(D8143,'[1]Перечень товаров'!$A$2:$I9525,2,0),"")</f>
        <v>д66</v>
      </c>
      <c r="C8143" s="12" t="str">
        <f>IFERROR(VLOOKUP(D8143,'[1]Перечень товаров'!$A$2:$I9525,3,0),"")</f>
        <v>Дидактика</v>
      </c>
      <c r="D8143" s="223" t="s">
        <v>812</v>
      </c>
      <c r="E8143" s="23"/>
      <c r="F8143" s="23"/>
      <c r="G8143" s="232">
        <v>1</v>
      </c>
      <c r="H8143" s="232"/>
      <c r="I8143" s="233"/>
      <c r="J8143" s="233"/>
      <c r="K8143" s="19"/>
      <c r="L8143" s="20"/>
    </row>
    <row r="8144" spans="1:12" outlineLevel="2">
      <c r="A8144" s="88"/>
      <c r="B8144" s="12" t="str">
        <f>IFERROR(VLOOKUP(D8144,'[1]Перечень товаров'!$A$2:$I9525,2,0),"")</f>
        <v>д67</v>
      </c>
      <c r="C8144" s="12" t="str">
        <f>IFERROR(VLOOKUP(D8144,'[1]Перечень товаров'!$A$2:$I9525,3,0),"")</f>
        <v>Дидактика</v>
      </c>
      <c r="D8144" s="223" t="s">
        <v>813</v>
      </c>
      <c r="E8144" s="23"/>
      <c r="F8144" s="23"/>
      <c r="G8144" s="232">
        <v>1</v>
      </c>
      <c r="H8144" s="232"/>
      <c r="I8144" s="233"/>
      <c r="J8144" s="233"/>
      <c r="K8144" s="19"/>
      <c r="L8144" s="20"/>
    </row>
    <row r="8145" spans="1:12" outlineLevel="2">
      <c r="A8145" s="88"/>
      <c r="B8145" s="12" t="str">
        <f>IFERROR(VLOOKUP(D8145,'[1]Перечень товаров'!$A$2:$I9525,2,0),"")</f>
        <v>п90</v>
      </c>
      <c r="C8145" s="12" t="str">
        <f>IFERROR(VLOOKUP(D8145,'[1]Перечень товаров'!$A$2:$I9525,3,0),"")</f>
        <v>Прочее</v>
      </c>
      <c r="D8145" s="223" t="s">
        <v>723</v>
      </c>
      <c r="E8145" s="23"/>
      <c r="F8145" s="23"/>
      <c r="G8145" s="232">
        <v>1</v>
      </c>
      <c r="H8145" s="232"/>
      <c r="I8145" s="233"/>
      <c r="J8145" s="233"/>
      <c r="K8145" s="19"/>
      <c r="L8145" s="20"/>
    </row>
    <row r="8146" spans="1:12" outlineLevel="2">
      <c r="A8146" s="88"/>
      <c r="B8146" s="12" t="str">
        <f>IFERROR(VLOOKUP(D8146,'[1]Перечень товаров'!$A$2:$I9525,2,0),"")</f>
        <v>д68</v>
      </c>
      <c r="C8146" s="12" t="str">
        <f>IFERROR(VLOOKUP(D8146,'[1]Перечень товаров'!$A$2:$I9525,3,0),"")</f>
        <v>Дидактика</v>
      </c>
      <c r="D8146" s="223" t="s">
        <v>814</v>
      </c>
      <c r="E8146" s="23"/>
      <c r="F8146" s="23"/>
      <c r="G8146" s="232">
        <v>3</v>
      </c>
      <c r="H8146" s="232"/>
      <c r="I8146" s="233"/>
      <c r="J8146" s="233"/>
      <c r="K8146" s="19"/>
      <c r="L8146" s="20"/>
    </row>
    <row r="8147" spans="1:12" outlineLevel="2">
      <c r="A8147" s="88"/>
      <c r="B8147" s="12" t="str">
        <f>IFERROR(VLOOKUP(D8147,'[1]Перечень товаров'!$A$2:$I9525,2,0),"")</f>
        <v>д69</v>
      </c>
      <c r="C8147" s="12" t="str">
        <f>IFERROR(VLOOKUP(D8147,'[1]Перечень товаров'!$A$2:$I9525,3,0),"")</f>
        <v>Дидактика</v>
      </c>
      <c r="D8147" s="223" t="s">
        <v>815</v>
      </c>
      <c r="E8147" s="23"/>
      <c r="F8147" s="23"/>
      <c r="G8147" s="232">
        <v>8</v>
      </c>
      <c r="H8147" s="232"/>
      <c r="I8147" s="233"/>
      <c r="J8147" s="233"/>
      <c r="K8147" s="19"/>
      <c r="L8147" s="20"/>
    </row>
    <row r="8148" spans="1:12" outlineLevel="2">
      <c r="A8148" s="88"/>
      <c r="B8148" s="12" t="str">
        <f>IFERROR(VLOOKUP(D8148,'[1]Перечень товаров'!$A$2:$I9525,2,0),"")</f>
        <v>д70</v>
      </c>
      <c r="C8148" s="12" t="str">
        <f>IFERROR(VLOOKUP(D8148,'[1]Перечень товаров'!$A$2:$I9525,3,0),"")</f>
        <v>Дидактика</v>
      </c>
      <c r="D8148" s="223" t="s">
        <v>816</v>
      </c>
      <c r="E8148" s="23"/>
      <c r="F8148" s="23"/>
      <c r="G8148" s="232">
        <v>100</v>
      </c>
      <c r="H8148" s="232"/>
      <c r="I8148" s="233"/>
      <c r="J8148" s="233"/>
      <c r="K8148" s="19"/>
      <c r="L8148" s="20"/>
    </row>
    <row r="8149" spans="1:12" ht="12.75" outlineLevel="1">
      <c r="A8149" s="11"/>
      <c r="B8149" s="12" t="str">
        <f>IFERROR(VLOOKUP(D8149,'[1]Перечень товаров'!$A$2:$I9525,2,0),"")</f>
        <v/>
      </c>
      <c r="C8149" s="12" t="str">
        <f>IFERROR(VLOOKUP(D8149,'[1]Перечень товаров'!$A$2:$I9525,3,0),"")</f>
        <v/>
      </c>
      <c r="D8149" s="27" t="s">
        <v>1853</v>
      </c>
      <c r="E8149" s="99">
        <v>46158</v>
      </c>
      <c r="F8149" s="99"/>
      <c r="G8149" s="100"/>
      <c r="H8149" s="100"/>
      <c r="I8149" s="101"/>
      <c r="J8149" s="101"/>
      <c r="K8149" s="19"/>
      <c r="L8149" s="20"/>
    </row>
    <row r="8150" spans="1:12" ht="12.75" outlineLevel="2">
      <c r="A8150" s="197"/>
      <c r="B8150" s="12" t="str">
        <f>IFERROR(VLOOKUP(D8150,'[1]Перечень товаров'!$A$2:$I9525,2,0),"")</f>
        <v/>
      </c>
      <c r="C8150" s="12" t="str">
        <f>IFERROR(VLOOKUP(D8150,'[1]Перечень товаров'!$A$2:$I9525,3,0),"")</f>
        <v/>
      </c>
      <c r="D8150" s="198" t="s">
        <v>19</v>
      </c>
      <c r="E8150" s="107"/>
      <c r="F8150" s="107"/>
      <c r="G8150" s="100"/>
      <c r="H8150" s="100"/>
      <c r="I8150" s="101"/>
      <c r="J8150" s="101"/>
      <c r="K8150" s="19"/>
      <c r="L8150" s="20"/>
    </row>
    <row r="8151" spans="1:12" outlineLevel="2">
      <c r="A8151" s="43"/>
      <c r="B8151" s="12" t="str">
        <f>IFERROR(VLOOKUP(D8151,'[1]Перечень товаров'!$A$2:$I9525,2,0),"")</f>
        <v>д156</v>
      </c>
      <c r="C8151" s="12" t="str">
        <f>IFERROR(VLOOKUP(D8151,'[1]Перечень товаров'!$A$2:$I9525,3,0),"")</f>
        <v>Дидактика</v>
      </c>
      <c r="D8151" s="44" t="s">
        <v>1946</v>
      </c>
      <c r="E8151" s="102"/>
      <c r="F8151" s="102"/>
      <c r="G8151" s="24">
        <v>1</v>
      </c>
      <c r="H8151" s="24"/>
      <c r="I8151" s="25"/>
      <c r="J8151" s="25"/>
      <c r="K8151" s="19"/>
      <c r="L8151" s="20"/>
    </row>
    <row r="8152" spans="1:12" outlineLevel="2">
      <c r="A8152" s="43"/>
      <c r="B8152" s="12" t="str">
        <f>IFERROR(VLOOKUP(D8152,'[1]Перечень товаров'!$A$2:$I9525,2,0),"")</f>
        <v>м97</v>
      </c>
      <c r="C8152" s="12" t="str">
        <f>IFERROR(VLOOKUP(D8152,'[1]Перечень товаров'!$A$2:$I9525,3,0),"")</f>
        <v>мебель</v>
      </c>
      <c r="D8152" s="44" t="s">
        <v>1889</v>
      </c>
      <c r="E8152" s="102"/>
      <c r="F8152" s="102"/>
      <c r="G8152" s="24">
        <v>1</v>
      </c>
      <c r="H8152" s="24"/>
      <c r="I8152" s="25"/>
      <c r="J8152" s="25"/>
      <c r="K8152" s="19"/>
      <c r="L8152" s="20"/>
    </row>
    <row r="8153" spans="1:12" outlineLevel="2">
      <c r="A8153" s="43"/>
      <c r="B8153" s="12" t="str">
        <f>IFERROR(VLOOKUP(D8153,'[1]Перечень товаров'!$A$2:$I9525,2,0),"")</f>
        <v>д155</v>
      </c>
      <c r="C8153" s="12" t="str">
        <f>IFERROR(VLOOKUP(D8153,'[1]Перечень товаров'!$A$2:$I9525,3,0),"")</f>
        <v>Дидактика</v>
      </c>
      <c r="D8153" s="44" t="s">
        <v>1947</v>
      </c>
      <c r="E8153" s="102"/>
      <c r="F8153" s="102"/>
      <c r="G8153" s="24">
        <v>1</v>
      </c>
      <c r="H8153" s="24"/>
      <c r="I8153" s="25"/>
      <c r="J8153" s="25"/>
      <c r="K8153" s="19"/>
      <c r="L8153" s="20"/>
    </row>
    <row r="8154" spans="1:12" outlineLevel="2">
      <c r="A8154" s="43"/>
      <c r="B8154" s="12" t="str">
        <f>IFERROR(VLOOKUP(D8154,'[1]Перечень товаров'!$A$2:$I9525,2,0),"")</f>
        <v>м96</v>
      </c>
      <c r="C8154" s="12" t="str">
        <f>IFERROR(VLOOKUP(D8154,'[1]Перечень товаров'!$A$2:$I9525,3,0),"")</f>
        <v>мебель</v>
      </c>
      <c r="D8154" s="44" t="s">
        <v>1890</v>
      </c>
      <c r="E8154" s="102"/>
      <c r="F8154" s="102"/>
      <c r="G8154" s="24">
        <v>1</v>
      </c>
      <c r="H8154" s="24"/>
      <c r="I8154" s="25"/>
      <c r="J8154" s="25"/>
      <c r="K8154" s="19"/>
      <c r="L8154" s="20"/>
    </row>
    <row r="8155" spans="1:12" outlineLevel="2">
      <c r="A8155" s="43"/>
      <c r="B8155" s="12" t="str">
        <f>IFERROR(VLOOKUP(D8155,'[1]Перечень товаров'!$A$2:$I9525,2,0),"")</f>
        <v>м61</v>
      </c>
      <c r="C8155" s="12" t="str">
        <f>IFERROR(VLOOKUP(D8155,'[1]Перечень товаров'!$A$2:$I9525,3,0),"")</f>
        <v>Мебель</v>
      </c>
      <c r="D8155" s="35" t="s">
        <v>383</v>
      </c>
      <c r="E8155" s="102"/>
      <c r="F8155" s="102"/>
      <c r="G8155" s="24">
        <v>1</v>
      </c>
      <c r="H8155" s="24"/>
      <c r="I8155" s="25"/>
      <c r="J8155" s="25"/>
      <c r="K8155" s="19"/>
      <c r="L8155" s="20"/>
    </row>
    <row r="8156" spans="1:12" ht="25.5" outlineLevel="2">
      <c r="A8156" s="197"/>
      <c r="B8156" s="12" t="str">
        <f>IFERROR(VLOOKUP(D8156,'[1]Перечень товаров'!$A$2:$I9525,2,0),"")</f>
        <v/>
      </c>
      <c r="C8156" s="12" t="str">
        <f>IFERROR(VLOOKUP(D8156,'[1]Перечень товаров'!$A$2:$I9525,3,0),"")</f>
        <v/>
      </c>
      <c r="D8156" s="198" t="s">
        <v>1948</v>
      </c>
      <c r="E8156" s="107"/>
      <c r="F8156" s="107"/>
      <c r="G8156" s="100"/>
      <c r="H8156" s="100"/>
      <c r="I8156" s="101"/>
      <c r="J8156" s="101"/>
      <c r="K8156" s="19"/>
      <c r="L8156" s="20"/>
    </row>
    <row r="8157" spans="1:12" ht="12.75" outlineLevel="2">
      <c r="A8157" s="197"/>
      <c r="B8157" s="12" t="str">
        <f>IFERROR(VLOOKUP(D8157,'[1]Перечень товаров'!$A$2:$I9525,2,0),"")</f>
        <v/>
      </c>
      <c r="C8157" s="12" t="str">
        <f>IFERROR(VLOOKUP(D8157,'[1]Перечень товаров'!$A$2:$I9525,3,0),"")</f>
        <v/>
      </c>
      <c r="D8157" s="198" t="s">
        <v>752</v>
      </c>
      <c r="E8157" s="107"/>
      <c r="F8157" s="107"/>
      <c r="G8157" s="100"/>
      <c r="H8157" s="100"/>
      <c r="I8157" s="101"/>
      <c r="J8157" s="101"/>
      <c r="K8157" s="19"/>
      <c r="L8157" s="20"/>
    </row>
    <row r="8158" spans="1:12" ht="31.5" outlineLevel="2">
      <c r="A8158" s="34"/>
      <c r="B8158" s="12" t="str">
        <f>IFERROR(VLOOKUP(D8158,'[1]Перечень товаров'!$A$2:$I9525,2,0),"")</f>
        <v>д154</v>
      </c>
      <c r="C8158" s="12" t="str">
        <f>IFERROR(VLOOKUP(D8158,'[1]Перечень товаров'!$A$2:$I9525,3,0),"")</f>
        <v>Дидактика</v>
      </c>
      <c r="D8158" s="35" t="s">
        <v>1949</v>
      </c>
      <c r="E8158" s="102"/>
      <c r="F8158" s="102"/>
      <c r="G8158" s="159">
        <v>13</v>
      </c>
      <c r="H8158" s="159"/>
      <c r="I8158" s="160"/>
      <c r="J8158" s="160"/>
      <c r="K8158" s="19"/>
      <c r="L8158" s="20"/>
    </row>
    <row r="8159" spans="1:12" outlineLevel="2">
      <c r="A8159" s="34"/>
      <c r="B8159" s="12" t="str">
        <f>IFERROR(VLOOKUP(D8159,'[1]Перечень товаров'!$A$2:$I9525,2,0),"")</f>
        <v>д209</v>
      </c>
      <c r="C8159" s="12" t="str">
        <f>IFERROR(VLOOKUP(D8159,'[1]Перечень товаров'!$A$2:$I9525,3,0),"")</f>
        <v>Дидактика</v>
      </c>
      <c r="D8159" s="35" t="s">
        <v>1880</v>
      </c>
      <c r="E8159" s="102"/>
      <c r="F8159" s="102"/>
      <c r="G8159" s="159">
        <v>1</v>
      </c>
      <c r="H8159" s="159"/>
      <c r="I8159" s="160"/>
      <c r="J8159" s="160"/>
      <c r="K8159" s="19"/>
      <c r="L8159" s="20"/>
    </row>
    <row r="8160" spans="1:12" ht="31.5" outlineLevel="2">
      <c r="A8160" s="34"/>
      <c r="B8160" s="12" t="str">
        <f>IFERROR(VLOOKUP(D8160,'[1]Перечень товаров'!$A$2:$I9525,2,0),"")</f>
        <v>д212</v>
      </c>
      <c r="C8160" s="12" t="str">
        <f>IFERROR(VLOOKUP(D8160,'[1]Перечень товаров'!$A$2:$I9525,3,0),"")</f>
        <v>Дидактика</v>
      </c>
      <c r="D8160" s="35" t="s">
        <v>1876</v>
      </c>
      <c r="E8160" s="102"/>
      <c r="F8160" s="102"/>
      <c r="G8160" s="159">
        <v>1</v>
      </c>
      <c r="H8160" s="159"/>
      <c r="I8160" s="160"/>
      <c r="J8160" s="160"/>
      <c r="K8160" s="19"/>
      <c r="L8160" s="20"/>
    </row>
    <row r="8161" spans="1:12" outlineLevel="2">
      <c r="A8161" s="34"/>
      <c r="B8161" s="12" t="str">
        <f>IFERROR(VLOOKUP(D8161,'[1]Перечень товаров'!$A$2:$I9525,2,0),"")</f>
        <v>д153</v>
      </c>
      <c r="C8161" s="12" t="str">
        <f>IFERROR(VLOOKUP(D8161,'[1]Перечень товаров'!$A$2:$I9525,3,0),"")</f>
        <v>Дидактика</v>
      </c>
      <c r="D8161" s="35" t="s">
        <v>1950</v>
      </c>
      <c r="E8161" s="102"/>
      <c r="F8161" s="102"/>
      <c r="G8161" s="159">
        <v>1</v>
      </c>
      <c r="H8161" s="159"/>
      <c r="I8161" s="160"/>
      <c r="J8161" s="160"/>
      <c r="K8161" s="19"/>
      <c r="L8161" s="20"/>
    </row>
    <row r="8162" spans="1:12" ht="31.5" outlineLevel="2">
      <c r="A8162" s="34"/>
      <c r="B8162" s="12" t="str">
        <f>IFERROR(VLOOKUP(D8162,'[1]Перечень товаров'!$A$2:$I9525,2,0),"")</f>
        <v>д19</v>
      </c>
      <c r="C8162" s="12" t="str">
        <f>IFERROR(VLOOKUP(D8162,'[1]Перечень товаров'!$A$2:$I9525,3,0),"")</f>
        <v>Дидактика</v>
      </c>
      <c r="D8162" s="35" t="s">
        <v>762</v>
      </c>
      <c r="E8162" s="102"/>
      <c r="F8162" s="102"/>
      <c r="G8162" s="159">
        <v>1</v>
      </c>
      <c r="H8162" s="159"/>
      <c r="I8162" s="160"/>
      <c r="J8162" s="160"/>
      <c r="K8162" s="19"/>
      <c r="L8162" s="20"/>
    </row>
    <row r="8163" spans="1:12" ht="47.25" outlineLevel="2">
      <c r="A8163" s="34"/>
      <c r="B8163" s="12" t="str">
        <f>IFERROR(VLOOKUP(D8163,'[1]Перечень товаров'!$A$2:$I9525,2,0),"")</f>
        <v>д152</v>
      </c>
      <c r="C8163" s="12" t="str">
        <f>IFERROR(VLOOKUP(D8163,'[1]Перечень товаров'!$A$2:$I9525,3,0),"")</f>
        <v>Дидактика</v>
      </c>
      <c r="D8163" s="35" t="s">
        <v>1951</v>
      </c>
      <c r="E8163" s="102"/>
      <c r="F8163" s="102"/>
      <c r="G8163" s="159">
        <v>1</v>
      </c>
      <c r="H8163" s="159"/>
      <c r="I8163" s="160"/>
      <c r="J8163" s="160"/>
      <c r="K8163" s="19"/>
      <c r="L8163" s="20"/>
    </row>
    <row r="8164" spans="1:12" outlineLevel="2">
      <c r="A8164" s="88"/>
      <c r="B8164" s="12" t="str">
        <f>IFERROR(VLOOKUP(D8164,'[1]Перечень товаров'!$A$2:$I9525,2,0),"")</f>
        <v>д151</v>
      </c>
      <c r="C8164" s="12" t="str">
        <f>IFERROR(VLOOKUP(D8164,'[1]Перечень товаров'!$A$2:$I9525,3,0),"")</f>
        <v>Дидактика</v>
      </c>
      <c r="D8164" s="223" t="s">
        <v>1952</v>
      </c>
      <c r="E8164" s="102"/>
      <c r="F8164" s="102"/>
      <c r="G8164" s="159">
        <v>1</v>
      </c>
      <c r="H8164" s="159"/>
      <c r="I8164" s="160"/>
      <c r="J8164" s="160"/>
      <c r="K8164" s="19"/>
      <c r="L8164" s="20"/>
    </row>
    <row r="8165" spans="1:12" ht="12.75" outlineLevel="2">
      <c r="A8165" s="197"/>
      <c r="B8165" s="12" t="str">
        <f>IFERROR(VLOOKUP(D8165,'[1]Перечень товаров'!$A$2:$I9525,2,0),"")</f>
        <v/>
      </c>
      <c r="C8165" s="12" t="str">
        <f>IFERROR(VLOOKUP(D8165,'[1]Перечень товаров'!$A$2:$I9525,3,0),"")</f>
        <v/>
      </c>
      <c r="D8165" s="198" t="s">
        <v>1953</v>
      </c>
      <c r="E8165" s="107"/>
      <c r="F8165" s="107"/>
      <c r="G8165" s="289"/>
      <c r="H8165" s="289"/>
      <c r="I8165" s="290"/>
      <c r="J8165" s="290"/>
      <c r="K8165" s="19"/>
      <c r="L8165" s="20"/>
    </row>
    <row r="8166" spans="1:12" outlineLevel="2">
      <c r="A8166" s="34"/>
      <c r="B8166" s="12" t="str">
        <f>IFERROR(VLOOKUP(D8166,'[1]Перечень товаров'!$A$2:$I9525,2,0),"")</f>
        <v>д150</v>
      </c>
      <c r="C8166" s="12" t="str">
        <f>IFERROR(VLOOKUP(D8166,'[1]Перечень товаров'!$A$2:$I9525,3,0),"")</f>
        <v>Дидактика</v>
      </c>
      <c r="D8166" s="35" t="s">
        <v>1954</v>
      </c>
      <c r="E8166" s="102"/>
      <c r="F8166" s="102"/>
      <c r="G8166" s="159">
        <v>1</v>
      </c>
      <c r="H8166" s="159"/>
      <c r="I8166" s="160"/>
      <c r="J8166" s="160"/>
      <c r="K8166" s="19"/>
      <c r="L8166" s="20"/>
    </row>
    <row r="8167" spans="1:12" outlineLevel="2">
      <c r="A8167" s="34"/>
      <c r="B8167" s="12" t="str">
        <f>IFERROR(VLOOKUP(D8167,'[1]Перечень товаров'!$A$2:$I9525,2,0),"")</f>
        <v>д149</v>
      </c>
      <c r="C8167" s="12" t="str">
        <f>IFERROR(VLOOKUP(D8167,'[1]Перечень товаров'!$A$2:$I9525,3,0),"")</f>
        <v>Дидактика</v>
      </c>
      <c r="D8167" s="35" t="s">
        <v>1955</v>
      </c>
      <c r="E8167" s="102"/>
      <c r="F8167" s="102"/>
      <c r="G8167" s="159">
        <v>1</v>
      </c>
      <c r="H8167" s="159"/>
      <c r="I8167" s="160"/>
      <c r="J8167" s="160"/>
      <c r="K8167" s="19"/>
      <c r="L8167" s="20"/>
    </row>
    <row r="8168" spans="1:12" ht="31.5" outlineLevel="2">
      <c r="A8168" s="291"/>
      <c r="B8168" s="12" t="str">
        <f>IFERROR(VLOOKUP(D8168,'[1]Перечень товаров'!$A$2:$I9525,2,0),"")</f>
        <v>д148</v>
      </c>
      <c r="C8168" s="12" t="str">
        <f>IFERROR(VLOOKUP(D8168,'[1]Перечень товаров'!$A$2:$I9525,3,0),"")</f>
        <v>Дидактика</v>
      </c>
      <c r="D8168" s="292" t="s">
        <v>1956</v>
      </c>
      <c r="E8168" s="102"/>
      <c r="F8168" s="102"/>
      <c r="G8168" s="159">
        <v>13</v>
      </c>
      <c r="H8168" s="159"/>
      <c r="I8168" s="160"/>
      <c r="J8168" s="160"/>
      <c r="K8168" s="19"/>
      <c r="L8168" s="20"/>
    </row>
    <row r="8169" spans="1:12" ht="31.5" outlineLevel="2">
      <c r="A8169" s="34"/>
      <c r="B8169" s="12" t="str">
        <f>IFERROR(VLOOKUP(D8169,'[1]Перечень товаров'!$A$2:$I9525,2,0),"")</f>
        <v>д147</v>
      </c>
      <c r="C8169" s="12" t="str">
        <f>IFERROR(VLOOKUP(D8169,'[1]Перечень товаров'!$A$2:$I9525,3,0),"")</f>
        <v>Дидактика</v>
      </c>
      <c r="D8169" s="35" t="s">
        <v>1957</v>
      </c>
      <c r="E8169" s="102"/>
      <c r="F8169" s="102"/>
      <c r="G8169" s="159">
        <v>1</v>
      </c>
      <c r="H8169" s="159"/>
      <c r="I8169" s="160"/>
      <c r="J8169" s="160"/>
      <c r="K8169" s="19"/>
      <c r="L8169" s="20"/>
    </row>
    <row r="8170" spans="1:12" outlineLevel="2">
      <c r="A8170" s="34"/>
      <c r="B8170" s="12" t="str">
        <f>IFERROR(VLOOKUP(D8170,'[1]Перечень товаров'!$A$2:$I9525,2,0),"")</f>
        <v>д146</v>
      </c>
      <c r="C8170" s="12" t="str">
        <f>IFERROR(VLOOKUP(D8170,'[1]Перечень товаров'!$A$2:$I9525,3,0),"")</f>
        <v>Дидактика</v>
      </c>
      <c r="D8170" s="35" t="s">
        <v>1958</v>
      </c>
      <c r="E8170" s="102"/>
      <c r="F8170" s="102"/>
      <c r="G8170" s="159">
        <v>1</v>
      </c>
      <c r="H8170" s="159"/>
      <c r="I8170" s="160"/>
      <c r="J8170" s="160"/>
      <c r="K8170" s="19"/>
      <c r="L8170" s="20"/>
    </row>
    <row r="8171" spans="1:12" outlineLevel="2">
      <c r="A8171" s="88"/>
      <c r="B8171" s="12" t="str">
        <f>IFERROR(VLOOKUP(D8171,'[1]Перечень товаров'!$A$2:$I9525,2,0),"")</f>
        <v>д145</v>
      </c>
      <c r="C8171" s="12" t="str">
        <f>IFERROR(VLOOKUP(D8171,'[1]Перечень товаров'!$A$2:$I9525,3,0),"")</f>
        <v>Дидактика</v>
      </c>
      <c r="D8171" s="223" t="s">
        <v>1959</v>
      </c>
      <c r="E8171" s="102"/>
      <c r="F8171" s="102"/>
      <c r="G8171" s="159">
        <v>1</v>
      </c>
      <c r="H8171" s="159"/>
      <c r="I8171" s="160"/>
      <c r="J8171" s="160"/>
      <c r="K8171" s="19"/>
      <c r="L8171" s="20"/>
    </row>
    <row r="8172" spans="1:12" ht="31.5" outlineLevel="2">
      <c r="A8172" s="34"/>
      <c r="B8172" s="12" t="str">
        <f>IFERROR(VLOOKUP(D8172,'[1]Перечень товаров'!$A$2:$I9525,2,0),"")</f>
        <v>д144</v>
      </c>
      <c r="C8172" s="12" t="str">
        <f>IFERROR(VLOOKUP(D8172,'[1]Перечень товаров'!$A$2:$I9525,3,0),"")</f>
        <v>Дидактика</v>
      </c>
      <c r="D8172" s="35" t="s">
        <v>1960</v>
      </c>
      <c r="E8172" s="102"/>
      <c r="F8172" s="102"/>
      <c r="G8172" s="159">
        <v>1</v>
      </c>
      <c r="H8172" s="159"/>
      <c r="I8172" s="160"/>
      <c r="J8172" s="160"/>
      <c r="K8172" s="19"/>
      <c r="L8172" s="20"/>
    </row>
    <row r="8173" spans="1:12" ht="25.5" outlineLevel="2">
      <c r="A8173" s="197"/>
      <c r="B8173" s="12" t="str">
        <f>IFERROR(VLOOKUP(D8173,'[1]Перечень товаров'!$A$2:$I9525,2,0),"")</f>
        <v/>
      </c>
      <c r="C8173" s="12" t="str">
        <f>IFERROR(VLOOKUP(D8173,'[1]Перечень товаров'!$A$2:$I9525,3,0),"")</f>
        <v/>
      </c>
      <c r="D8173" s="198" t="s">
        <v>1961</v>
      </c>
      <c r="E8173" s="107"/>
      <c r="F8173" s="107"/>
      <c r="G8173" s="289"/>
      <c r="H8173" s="289"/>
      <c r="I8173" s="290"/>
      <c r="J8173" s="290"/>
      <c r="K8173" s="19"/>
      <c r="L8173" s="20"/>
    </row>
    <row r="8174" spans="1:12" outlineLevel="2">
      <c r="A8174" s="34"/>
      <c r="B8174" s="12" t="str">
        <f>IFERROR(VLOOKUP(D8174,'[1]Перечень товаров'!$A$2:$I9525,2,0),"")</f>
        <v>д143</v>
      </c>
      <c r="C8174" s="12" t="str">
        <f>IFERROR(VLOOKUP(D8174,'[1]Перечень товаров'!$A$2:$I9525,3,0),"")</f>
        <v>Дидактика</v>
      </c>
      <c r="D8174" s="35" t="s">
        <v>1962</v>
      </c>
      <c r="E8174" s="102"/>
      <c r="F8174" s="102"/>
      <c r="G8174" s="159">
        <v>1</v>
      </c>
      <c r="H8174" s="159"/>
      <c r="I8174" s="160"/>
      <c r="J8174" s="160"/>
      <c r="K8174" s="19"/>
      <c r="L8174" s="20"/>
    </row>
    <row r="8175" spans="1:12" ht="31.5" outlineLevel="2">
      <c r="A8175" s="34"/>
      <c r="B8175" s="12" t="str">
        <f>IFERROR(VLOOKUP(D8175,'[1]Перечень товаров'!$A$2:$I9525,2,0),"")</f>
        <v>д142</v>
      </c>
      <c r="C8175" s="12" t="str">
        <f>IFERROR(VLOOKUP(D8175,'[1]Перечень товаров'!$A$2:$I9525,3,0),"")</f>
        <v>Дидактика</v>
      </c>
      <c r="D8175" s="35" t="s">
        <v>1963</v>
      </c>
      <c r="E8175" s="102"/>
      <c r="F8175" s="102"/>
      <c r="G8175" s="159">
        <v>13</v>
      </c>
      <c r="H8175" s="159"/>
      <c r="I8175" s="160"/>
      <c r="J8175" s="160"/>
      <c r="K8175" s="19"/>
      <c r="L8175" s="20"/>
    </row>
    <row r="8176" spans="1:12" outlineLevel="2">
      <c r="A8176" s="34"/>
      <c r="B8176" s="12" t="str">
        <f>IFERROR(VLOOKUP(D8176,'[1]Перечень товаров'!$A$2:$I9525,2,0),"")</f>
        <v>д141</v>
      </c>
      <c r="C8176" s="12" t="str">
        <f>IFERROR(VLOOKUP(D8176,'[1]Перечень товаров'!$A$2:$I9525,3,0),"")</f>
        <v>Дидактика</v>
      </c>
      <c r="D8176" s="35" t="s">
        <v>1964</v>
      </c>
      <c r="E8176" s="102"/>
      <c r="F8176" s="102"/>
      <c r="G8176" s="159">
        <v>1</v>
      </c>
      <c r="H8176" s="159"/>
      <c r="I8176" s="160"/>
      <c r="J8176" s="160"/>
      <c r="K8176" s="19"/>
      <c r="L8176" s="20"/>
    </row>
    <row r="8177" spans="1:12" outlineLevel="2">
      <c r="A8177" s="34"/>
      <c r="B8177" s="12" t="str">
        <f>IFERROR(VLOOKUP(D8177,'[1]Перечень товаров'!$A$2:$I9525,2,0),"")</f>
        <v>д140</v>
      </c>
      <c r="C8177" s="12" t="str">
        <f>IFERROR(VLOOKUP(D8177,'[1]Перечень товаров'!$A$2:$I9525,3,0),"")</f>
        <v>Дидактика</v>
      </c>
      <c r="D8177" s="35" t="s">
        <v>1965</v>
      </c>
      <c r="E8177" s="102"/>
      <c r="F8177" s="102"/>
      <c r="G8177" s="159">
        <v>1</v>
      </c>
      <c r="H8177" s="159"/>
      <c r="I8177" s="160"/>
      <c r="J8177" s="160"/>
      <c r="K8177" s="19"/>
      <c r="L8177" s="20"/>
    </row>
    <row r="8178" spans="1:12" ht="31.5" outlineLevel="2">
      <c r="A8178" s="34"/>
      <c r="B8178" s="12" t="str">
        <f>IFERROR(VLOOKUP(D8178,'[1]Перечень товаров'!$A$2:$I9525,2,0),"")</f>
        <v>д139</v>
      </c>
      <c r="C8178" s="12" t="str">
        <f>IFERROR(VLOOKUP(D8178,'[1]Перечень товаров'!$A$2:$I9525,3,0),"")</f>
        <v>Дидактика</v>
      </c>
      <c r="D8178" s="35" t="s">
        <v>1966</v>
      </c>
      <c r="E8178" s="102"/>
      <c r="F8178" s="102"/>
      <c r="G8178" s="159">
        <v>1</v>
      </c>
      <c r="H8178" s="159"/>
      <c r="I8178" s="160"/>
      <c r="J8178" s="160"/>
      <c r="K8178" s="19"/>
      <c r="L8178" s="20"/>
    </row>
    <row r="8179" spans="1:12" ht="31.5" outlineLevel="2">
      <c r="A8179" s="34"/>
      <c r="B8179" s="12" t="str">
        <f>IFERROR(VLOOKUP(D8179,'[1]Перечень товаров'!$A$2:$I9525,2,0),"")</f>
        <v>д138</v>
      </c>
      <c r="C8179" s="12" t="str">
        <f>IFERROR(VLOOKUP(D8179,'[1]Перечень товаров'!$A$2:$I9525,3,0),"")</f>
        <v>Дидактика</v>
      </c>
      <c r="D8179" s="35" t="s">
        <v>1967</v>
      </c>
      <c r="E8179" s="102"/>
      <c r="F8179" s="102"/>
      <c r="G8179" s="159">
        <v>1</v>
      </c>
      <c r="H8179" s="159"/>
      <c r="I8179" s="160"/>
      <c r="J8179" s="160"/>
      <c r="K8179" s="19"/>
      <c r="L8179" s="20"/>
    </row>
    <row r="8180" spans="1:12" outlineLevel="2">
      <c r="A8180" s="34"/>
      <c r="B8180" s="12" t="str">
        <f>IFERROR(VLOOKUP(D8180,'[1]Перечень товаров'!$A$2:$I9525,2,0),"")</f>
        <v>д489</v>
      </c>
      <c r="C8180" s="12" t="str">
        <f>IFERROR(VLOOKUP(D8180,'[1]Перечень товаров'!$A$2:$I9525,3,0),"")</f>
        <v>дидактика</v>
      </c>
      <c r="D8180" s="35" t="s">
        <v>1273</v>
      </c>
      <c r="E8180" s="102"/>
      <c r="F8180" s="102"/>
      <c r="G8180" s="159">
        <v>1</v>
      </c>
      <c r="H8180" s="159"/>
      <c r="I8180" s="160"/>
      <c r="J8180" s="160"/>
      <c r="K8180" s="19"/>
      <c r="L8180" s="20"/>
    </row>
    <row r="8181" spans="1:12" ht="31.5" outlineLevel="2">
      <c r="A8181" s="34"/>
      <c r="B8181" s="12" t="str">
        <f>IFERROR(VLOOKUP(D8181,'[1]Перечень товаров'!$A$2:$I9525,2,0),"")</f>
        <v>д137</v>
      </c>
      <c r="C8181" s="12" t="str">
        <f>IFERROR(VLOOKUP(D8181,'[1]Перечень товаров'!$A$2:$I9525,3,0),"")</f>
        <v>Дидактика</v>
      </c>
      <c r="D8181" s="35" t="s">
        <v>1968</v>
      </c>
      <c r="E8181" s="102"/>
      <c r="F8181" s="102"/>
      <c r="G8181" s="159">
        <v>1</v>
      </c>
      <c r="H8181" s="159"/>
      <c r="I8181" s="160"/>
      <c r="J8181" s="160"/>
      <c r="K8181" s="19"/>
      <c r="L8181" s="20"/>
    </row>
    <row r="8182" spans="1:12" ht="31.5" outlineLevel="2">
      <c r="A8182" s="34"/>
      <c r="B8182" s="12" t="str">
        <f>IFERROR(VLOOKUP(D8182,'[1]Перечень товаров'!$A$2:$I9525,2,0),"")</f>
        <v>д136</v>
      </c>
      <c r="C8182" s="12" t="str">
        <f>IFERROR(VLOOKUP(D8182,'[1]Перечень товаров'!$A$2:$I9525,3,0),"")</f>
        <v>Дидактика</v>
      </c>
      <c r="D8182" s="35" t="s">
        <v>1969</v>
      </c>
      <c r="E8182" s="102"/>
      <c r="F8182" s="102"/>
      <c r="G8182" s="159">
        <v>1</v>
      </c>
      <c r="H8182" s="159"/>
      <c r="I8182" s="160"/>
      <c r="J8182" s="160"/>
      <c r="K8182" s="19"/>
      <c r="L8182" s="20"/>
    </row>
    <row r="8183" spans="1:12" outlineLevel="2">
      <c r="A8183" s="34"/>
      <c r="B8183" s="12" t="str">
        <f>IFERROR(VLOOKUP(D8183,'[1]Перечень товаров'!$A$2:$I9525,2,0),"")</f>
        <v>д135</v>
      </c>
      <c r="C8183" s="12" t="str">
        <f>IFERROR(VLOOKUP(D8183,'[1]Перечень товаров'!$A$2:$I9525,3,0),"")</f>
        <v>Дидактика</v>
      </c>
      <c r="D8183" s="35" t="s">
        <v>1970</v>
      </c>
      <c r="E8183" s="102"/>
      <c r="F8183" s="102"/>
      <c r="G8183" s="159">
        <v>13</v>
      </c>
      <c r="H8183" s="159"/>
      <c r="I8183" s="160"/>
      <c r="J8183" s="160"/>
      <c r="K8183" s="19"/>
      <c r="L8183" s="20"/>
    </row>
    <row r="8184" spans="1:12" ht="25.5" outlineLevel="2">
      <c r="A8184" s="197"/>
      <c r="B8184" s="12" t="str">
        <f>IFERROR(VLOOKUP(D8184,'[1]Перечень товаров'!$A$2:$I9525,2,0),"")</f>
        <v/>
      </c>
      <c r="C8184" s="12" t="str">
        <f>IFERROR(VLOOKUP(D8184,'[1]Перечень товаров'!$A$2:$I9525,3,0),"")</f>
        <v/>
      </c>
      <c r="D8184" s="198" t="s">
        <v>1971</v>
      </c>
      <c r="E8184" s="107"/>
      <c r="F8184" s="107"/>
      <c r="G8184" s="289"/>
      <c r="H8184" s="289"/>
      <c r="I8184" s="290"/>
      <c r="J8184" s="290"/>
      <c r="K8184" s="19"/>
      <c r="L8184" s="20"/>
    </row>
    <row r="8185" spans="1:12" ht="31.5" outlineLevel="2">
      <c r="A8185" s="34"/>
      <c r="B8185" s="12" t="str">
        <f>IFERROR(VLOOKUP(D8185,'[1]Перечень товаров'!$A$2:$I9525,2,0),"")</f>
        <v>д134</v>
      </c>
      <c r="C8185" s="12" t="str">
        <f>IFERROR(VLOOKUP(D8185,'[1]Перечень товаров'!$A$2:$I9525,3,0),"")</f>
        <v>Дидактика</v>
      </c>
      <c r="D8185" s="35" t="s">
        <v>1972</v>
      </c>
      <c r="E8185" s="102"/>
      <c r="F8185" s="102"/>
      <c r="G8185" s="159">
        <v>1</v>
      </c>
      <c r="H8185" s="159"/>
      <c r="I8185" s="160"/>
      <c r="J8185" s="160"/>
      <c r="K8185" s="19"/>
      <c r="L8185" s="20"/>
    </row>
    <row r="8186" spans="1:12" outlineLevel="2">
      <c r="A8186" s="34"/>
      <c r="B8186" s="12" t="str">
        <f>IFERROR(VLOOKUP(D8186,'[1]Перечень товаров'!$A$2:$I9525,2,0),"")</f>
        <v>д133</v>
      </c>
      <c r="C8186" s="12" t="str">
        <f>IFERROR(VLOOKUP(D8186,'[1]Перечень товаров'!$A$2:$I9525,3,0),"")</f>
        <v>Дидактика</v>
      </c>
      <c r="D8186" s="35" t="s">
        <v>1973</v>
      </c>
      <c r="E8186" s="102"/>
      <c r="F8186" s="102"/>
      <c r="G8186" s="159">
        <v>1</v>
      </c>
      <c r="H8186" s="159"/>
      <c r="I8186" s="160"/>
      <c r="J8186" s="160"/>
      <c r="K8186" s="19"/>
      <c r="L8186" s="20"/>
    </row>
    <row r="8187" spans="1:12" ht="63" outlineLevel="2">
      <c r="A8187" s="34"/>
      <c r="B8187" s="12" t="str">
        <f>IFERROR(VLOOKUP(D8187,'[1]Перечень товаров'!$A$2:$I9525,2,0),"")</f>
        <v>д132</v>
      </c>
      <c r="C8187" s="12" t="str">
        <f>IFERROR(VLOOKUP(D8187,'[1]Перечень товаров'!$A$2:$I9525,3,0),"")</f>
        <v>Дидактика</v>
      </c>
      <c r="D8187" s="35" t="s">
        <v>1974</v>
      </c>
      <c r="E8187" s="102"/>
      <c r="F8187" s="102"/>
      <c r="G8187" s="159">
        <v>1</v>
      </c>
      <c r="H8187" s="159"/>
      <c r="I8187" s="160"/>
      <c r="J8187" s="160"/>
      <c r="K8187" s="19"/>
      <c r="L8187" s="20"/>
    </row>
    <row r="8188" spans="1:12" outlineLevel="2">
      <c r="A8188" s="34"/>
      <c r="B8188" s="12" t="str">
        <f>IFERROR(VLOOKUP(D8188,'[1]Перечень товаров'!$A$2:$I9525,2,0),"")</f>
        <v>д131</v>
      </c>
      <c r="C8188" s="12" t="str">
        <f>IFERROR(VLOOKUP(D8188,'[1]Перечень товаров'!$A$2:$I9525,3,0),"")</f>
        <v>Дидактика</v>
      </c>
      <c r="D8188" s="35" t="s">
        <v>1975</v>
      </c>
      <c r="E8188" s="102"/>
      <c r="F8188" s="102"/>
      <c r="G8188" s="159">
        <v>1</v>
      </c>
      <c r="H8188" s="159"/>
      <c r="I8188" s="160"/>
      <c r="J8188" s="160"/>
      <c r="K8188" s="19"/>
      <c r="L8188" s="20"/>
    </row>
    <row r="8189" spans="1:12" ht="31.5" outlineLevel="2">
      <c r="A8189" s="34"/>
      <c r="B8189" s="12" t="str">
        <f>IFERROR(VLOOKUP(D8189,'[1]Перечень товаров'!$A$2:$I9525,2,0),"")</f>
        <v>д130</v>
      </c>
      <c r="C8189" s="12" t="str">
        <f>IFERROR(VLOOKUP(D8189,'[1]Перечень товаров'!$A$2:$I9525,3,0),"")</f>
        <v>Дидактика</v>
      </c>
      <c r="D8189" s="35" t="s">
        <v>1976</v>
      </c>
      <c r="E8189" s="102"/>
      <c r="F8189" s="102"/>
      <c r="G8189" s="159">
        <v>1</v>
      </c>
      <c r="H8189" s="159"/>
      <c r="I8189" s="160"/>
      <c r="J8189" s="160"/>
      <c r="K8189" s="19"/>
      <c r="L8189" s="20"/>
    </row>
    <row r="8190" spans="1:12" ht="25.5" outlineLevel="2">
      <c r="A8190" s="197"/>
      <c r="B8190" s="12" t="str">
        <f>IFERROR(VLOOKUP(D8190,'[1]Перечень товаров'!$A$2:$I9525,2,0),"")</f>
        <v/>
      </c>
      <c r="C8190" s="12" t="str">
        <f>IFERROR(VLOOKUP(D8190,'[1]Перечень товаров'!$A$2:$I9525,3,0),"")</f>
        <v/>
      </c>
      <c r="D8190" s="198" t="s">
        <v>1977</v>
      </c>
      <c r="E8190" s="107"/>
      <c r="F8190" s="107"/>
      <c r="G8190" s="289"/>
      <c r="H8190" s="289"/>
      <c r="I8190" s="290"/>
      <c r="J8190" s="290"/>
      <c r="K8190" s="19"/>
      <c r="L8190" s="20"/>
    </row>
    <row r="8191" spans="1:12" outlineLevel="2">
      <c r="A8191" s="34"/>
      <c r="B8191" s="12" t="str">
        <f>IFERROR(VLOOKUP(D8191,'[1]Перечень товаров'!$A$2:$I9525,2,0),"")</f>
        <v>д129</v>
      </c>
      <c r="C8191" s="12" t="str">
        <f>IFERROR(VLOOKUP(D8191,'[1]Перечень товаров'!$A$2:$I9525,3,0),"")</f>
        <v>Дидактика</v>
      </c>
      <c r="D8191" s="35" t="s">
        <v>1978</v>
      </c>
      <c r="E8191" s="102"/>
      <c r="F8191" s="102"/>
      <c r="G8191" s="159">
        <v>13</v>
      </c>
      <c r="H8191" s="159"/>
      <c r="I8191" s="160"/>
      <c r="J8191" s="160"/>
      <c r="K8191" s="19"/>
      <c r="L8191" s="20"/>
    </row>
    <row r="8192" spans="1:12" outlineLevel="2">
      <c r="A8192" s="88"/>
      <c r="B8192" s="12" t="str">
        <f>IFERROR(VLOOKUP(D8192,'[1]Перечень товаров'!$A$2:$I9525,2,0),"")</f>
        <v>д128</v>
      </c>
      <c r="C8192" s="12" t="str">
        <f>IFERROR(VLOOKUP(D8192,'[1]Перечень товаров'!$A$2:$I9525,3,0),"")</f>
        <v>Дидактика</v>
      </c>
      <c r="D8192" s="223" t="s">
        <v>1979</v>
      </c>
      <c r="E8192" s="102"/>
      <c r="F8192" s="102"/>
      <c r="G8192" s="159">
        <v>1</v>
      </c>
      <c r="H8192" s="159"/>
      <c r="I8192" s="160"/>
      <c r="J8192" s="160"/>
      <c r="K8192" s="19"/>
      <c r="L8192" s="20"/>
    </row>
    <row r="8193" spans="1:12" outlineLevel="2">
      <c r="A8193" s="34"/>
      <c r="B8193" s="12" t="str">
        <f>IFERROR(VLOOKUP(D8193,'[1]Перечень товаров'!$A$2:$I9525,2,0),"")</f>
        <v>д127</v>
      </c>
      <c r="C8193" s="12" t="str">
        <f>IFERROR(VLOOKUP(D8193,'[1]Перечень товаров'!$A$2:$I9525,3,0),"")</f>
        <v>Дидактика</v>
      </c>
      <c r="D8193" s="35" t="s">
        <v>1980</v>
      </c>
      <c r="E8193" s="102"/>
      <c r="F8193" s="102"/>
      <c r="G8193" s="159">
        <v>13</v>
      </c>
      <c r="H8193" s="159"/>
      <c r="I8193" s="160"/>
      <c r="J8193" s="160"/>
      <c r="K8193" s="19"/>
      <c r="L8193" s="20"/>
    </row>
    <row r="8194" spans="1:12" ht="25.5" outlineLevel="2">
      <c r="A8194" s="197"/>
      <c r="B8194" s="12" t="str">
        <f>IFERROR(VLOOKUP(D8194,'[1]Перечень товаров'!$A$2:$I9525,2,0),"")</f>
        <v/>
      </c>
      <c r="C8194" s="12" t="str">
        <f>IFERROR(VLOOKUP(D8194,'[1]Перечень товаров'!$A$2:$I9525,3,0),"")</f>
        <v/>
      </c>
      <c r="D8194" s="198" t="s">
        <v>1981</v>
      </c>
      <c r="E8194" s="107"/>
      <c r="F8194" s="107"/>
      <c r="G8194" s="289"/>
      <c r="H8194" s="289"/>
      <c r="I8194" s="290"/>
      <c r="J8194" s="290"/>
      <c r="K8194" s="19"/>
      <c r="L8194" s="20"/>
    </row>
    <row r="8195" spans="1:12" ht="31.5" outlineLevel="2">
      <c r="A8195" s="34"/>
      <c r="B8195" s="12" t="str">
        <f>IFERROR(VLOOKUP(D8195,'[1]Перечень товаров'!$A$2:$I9525,2,0),"")</f>
        <v>д212</v>
      </c>
      <c r="C8195" s="12" t="str">
        <f>IFERROR(VLOOKUP(D8195,'[1]Перечень товаров'!$A$2:$I9525,3,0),"")</f>
        <v>Дидактика</v>
      </c>
      <c r="D8195" s="35" t="s">
        <v>1876</v>
      </c>
      <c r="E8195" s="102"/>
      <c r="F8195" s="102"/>
      <c r="G8195" s="159">
        <v>13</v>
      </c>
      <c r="H8195" s="159"/>
      <c r="I8195" s="160"/>
      <c r="J8195" s="160"/>
      <c r="K8195" s="19"/>
      <c r="L8195" s="20"/>
    </row>
    <row r="8196" spans="1:12" outlineLevel="2">
      <c r="A8196" s="34"/>
      <c r="B8196" s="12" t="str">
        <f>IFERROR(VLOOKUP(D8196,'[1]Перечень товаров'!$A$2:$I9525,2,0),"")</f>
        <v>д126</v>
      </c>
      <c r="C8196" s="12" t="str">
        <f>IFERROR(VLOOKUP(D8196,'[1]Перечень товаров'!$A$2:$I9525,3,0),"")</f>
        <v>Дидактика</v>
      </c>
      <c r="D8196" s="35" t="s">
        <v>1982</v>
      </c>
      <c r="E8196" s="102"/>
      <c r="F8196" s="102"/>
      <c r="G8196" s="159">
        <v>1</v>
      </c>
      <c r="H8196" s="159"/>
      <c r="I8196" s="160"/>
      <c r="J8196" s="160"/>
      <c r="K8196" s="19"/>
      <c r="L8196" s="20"/>
    </row>
    <row r="8197" spans="1:12" outlineLevel="2">
      <c r="A8197" s="34"/>
      <c r="B8197" s="12" t="str">
        <f>IFERROR(VLOOKUP(D8197,'[1]Перечень товаров'!$A$2:$I9525,2,0),"")</f>
        <v>д125</v>
      </c>
      <c r="C8197" s="12" t="str">
        <f>IFERROR(VLOOKUP(D8197,'[1]Перечень товаров'!$A$2:$I9525,3,0),"")</f>
        <v>Дидактика</v>
      </c>
      <c r="D8197" s="35" t="s">
        <v>1983</v>
      </c>
      <c r="E8197" s="102"/>
      <c r="F8197" s="102"/>
      <c r="G8197" s="159">
        <v>13</v>
      </c>
      <c r="H8197" s="159"/>
      <c r="I8197" s="160"/>
      <c r="J8197" s="160"/>
      <c r="K8197" s="19"/>
      <c r="L8197" s="20"/>
    </row>
    <row r="8198" spans="1:12" ht="31.5" outlineLevel="2">
      <c r="A8198" s="34"/>
      <c r="B8198" s="12" t="str">
        <f>IFERROR(VLOOKUP(D8198,'[1]Перечень товаров'!$A$2:$I9525,2,0),"")</f>
        <v>д124</v>
      </c>
      <c r="C8198" s="12" t="str">
        <f>IFERROR(VLOOKUP(D8198,'[1]Перечень товаров'!$A$2:$I9525,3,0),"")</f>
        <v>Дидактика</v>
      </c>
      <c r="D8198" s="35" t="s">
        <v>1984</v>
      </c>
      <c r="E8198" s="102"/>
      <c r="F8198" s="102"/>
      <c r="G8198" s="159">
        <v>13</v>
      </c>
      <c r="H8198" s="159"/>
      <c r="I8198" s="160"/>
      <c r="J8198" s="160"/>
      <c r="K8198" s="19"/>
      <c r="L8198" s="20"/>
    </row>
    <row r="8199" spans="1:12" ht="31.5" outlineLevel="2">
      <c r="A8199" s="34"/>
      <c r="B8199" s="12" t="str">
        <f>IFERROR(VLOOKUP(D8199,'[1]Перечень товаров'!$A$2:$I9525,2,0),"")</f>
        <v>д123</v>
      </c>
      <c r="C8199" s="12" t="str">
        <f>IFERROR(VLOOKUP(D8199,'[1]Перечень товаров'!$A$2:$I9525,3,0),"")</f>
        <v>Дидактика</v>
      </c>
      <c r="D8199" s="35" t="s">
        <v>1985</v>
      </c>
      <c r="E8199" s="102"/>
      <c r="F8199" s="102"/>
      <c r="G8199" s="159">
        <v>13</v>
      </c>
      <c r="H8199" s="159"/>
      <c r="I8199" s="160"/>
      <c r="J8199" s="160"/>
      <c r="K8199" s="19"/>
      <c r="L8199" s="20"/>
    </row>
    <row r="8200" spans="1:12" ht="31.5" outlineLevel="2">
      <c r="A8200" s="34"/>
      <c r="B8200" s="12" t="str">
        <f>IFERROR(VLOOKUP(D8200,'[1]Перечень товаров'!$A$2:$I9525,2,0),"")</f>
        <v>д200</v>
      </c>
      <c r="C8200" s="12" t="str">
        <f>IFERROR(VLOOKUP(D8200,'[1]Перечень товаров'!$A$2:$I9525,3,0),"")</f>
        <v>Дидактика</v>
      </c>
      <c r="D8200" s="35" t="s">
        <v>1897</v>
      </c>
      <c r="E8200" s="102"/>
      <c r="F8200" s="102"/>
      <c r="G8200" s="159">
        <v>13</v>
      </c>
      <c r="H8200" s="159"/>
      <c r="I8200" s="160"/>
      <c r="J8200" s="160"/>
      <c r="K8200" s="19"/>
      <c r="L8200" s="20"/>
    </row>
    <row r="8201" spans="1:12" ht="12.75" outlineLevel="2">
      <c r="A8201" s="197"/>
      <c r="B8201" s="12" t="str">
        <f>IFERROR(VLOOKUP(D8201,'[1]Перечень товаров'!$A$2:$I9525,2,0),"")</f>
        <v/>
      </c>
      <c r="C8201" s="12" t="str">
        <f>IFERROR(VLOOKUP(D8201,'[1]Перечень товаров'!$A$2:$I9525,3,0),"")</f>
        <v/>
      </c>
      <c r="D8201" s="198" t="s">
        <v>1986</v>
      </c>
      <c r="E8201" s="107"/>
      <c r="F8201" s="107"/>
      <c r="G8201" s="289"/>
      <c r="H8201" s="289"/>
      <c r="I8201" s="290"/>
      <c r="J8201" s="290"/>
      <c r="K8201" s="19"/>
      <c r="L8201" s="20"/>
    </row>
    <row r="8202" spans="1:12" outlineLevel="2">
      <c r="A8202" s="34"/>
      <c r="B8202" s="12" t="str">
        <f>IFERROR(VLOOKUP(D8202,'[1]Перечень товаров'!$A$2:$I9525,2,0),"")</f>
        <v>д122</v>
      </c>
      <c r="C8202" s="12" t="str">
        <f>IFERROR(VLOOKUP(D8202,'[1]Перечень товаров'!$A$2:$I9525,3,0),"")</f>
        <v>Дидактика</v>
      </c>
      <c r="D8202" s="35" t="s">
        <v>1987</v>
      </c>
      <c r="E8202" s="102"/>
      <c r="F8202" s="102"/>
      <c r="G8202" s="159">
        <v>13</v>
      </c>
      <c r="H8202" s="159"/>
      <c r="I8202" s="160"/>
      <c r="J8202" s="160"/>
      <c r="K8202" s="19"/>
      <c r="L8202" s="20"/>
    </row>
    <row r="8203" spans="1:12" outlineLevel="2">
      <c r="A8203" s="34"/>
      <c r="B8203" s="12" t="str">
        <f>IFERROR(VLOOKUP(D8203,'[1]Перечень товаров'!$A$2:$I9525,2,0),"")</f>
        <v>д121</v>
      </c>
      <c r="C8203" s="12" t="str">
        <f>IFERROR(VLOOKUP(D8203,'[1]Перечень товаров'!$A$2:$I9525,3,0),"")</f>
        <v>Дидактика</v>
      </c>
      <c r="D8203" s="35" t="s">
        <v>1988</v>
      </c>
      <c r="E8203" s="102"/>
      <c r="F8203" s="102"/>
      <c r="G8203" s="159">
        <v>13</v>
      </c>
      <c r="H8203" s="159"/>
      <c r="I8203" s="160"/>
      <c r="J8203" s="160"/>
      <c r="K8203" s="19"/>
      <c r="L8203" s="20"/>
    </row>
    <row r="8204" spans="1:12" outlineLevel="2">
      <c r="A8204" s="34"/>
      <c r="B8204" s="12" t="str">
        <f>IFERROR(VLOOKUP(D8204,'[1]Перечень товаров'!$A$2:$I9525,2,0),"")</f>
        <v>д120</v>
      </c>
      <c r="C8204" s="12" t="str">
        <f>IFERROR(VLOOKUP(D8204,'[1]Перечень товаров'!$A$2:$I9525,3,0),"")</f>
        <v>Дидактика</v>
      </c>
      <c r="D8204" s="35" t="s">
        <v>1989</v>
      </c>
      <c r="E8204" s="102"/>
      <c r="F8204" s="102"/>
      <c r="G8204" s="159">
        <v>13</v>
      </c>
      <c r="H8204" s="159"/>
      <c r="I8204" s="160"/>
      <c r="J8204" s="160"/>
      <c r="K8204" s="19"/>
      <c r="L8204" s="20"/>
    </row>
    <row r="8205" spans="1:12" outlineLevel="2">
      <c r="A8205" s="88"/>
      <c r="B8205" s="12" t="str">
        <f>IFERROR(VLOOKUP(D8205,'[1]Перечень товаров'!$A$2:$I9525,2,0),"")</f>
        <v>д119</v>
      </c>
      <c r="C8205" s="12" t="str">
        <f>IFERROR(VLOOKUP(D8205,'[1]Перечень товаров'!$A$2:$I9525,3,0),"")</f>
        <v>Дидактика</v>
      </c>
      <c r="D8205" s="223" t="s">
        <v>1990</v>
      </c>
      <c r="E8205" s="102"/>
      <c r="F8205" s="102"/>
      <c r="G8205" s="159">
        <v>13</v>
      </c>
      <c r="H8205" s="159"/>
      <c r="I8205" s="160"/>
      <c r="J8205" s="160"/>
      <c r="K8205" s="19"/>
      <c r="L8205" s="20"/>
    </row>
    <row r="8206" spans="1:12" ht="25.5" outlineLevel="2">
      <c r="A8206" s="197"/>
      <c r="B8206" s="12" t="str">
        <f>IFERROR(VLOOKUP(D8206,'[1]Перечень товаров'!$A$2:$I9525,2,0),"")</f>
        <v/>
      </c>
      <c r="C8206" s="12" t="str">
        <f>IFERROR(VLOOKUP(D8206,'[1]Перечень товаров'!$A$2:$I9525,3,0),"")</f>
        <v/>
      </c>
      <c r="D8206" s="198" t="s">
        <v>1991</v>
      </c>
      <c r="E8206" s="107"/>
      <c r="F8206" s="107"/>
      <c r="G8206" s="289"/>
      <c r="H8206" s="289"/>
      <c r="I8206" s="290"/>
      <c r="J8206" s="290"/>
      <c r="K8206" s="19"/>
      <c r="L8206" s="20"/>
    </row>
    <row r="8207" spans="1:12" outlineLevel="2">
      <c r="A8207" s="34"/>
      <c r="B8207" s="12" t="str">
        <f>IFERROR(VLOOKUP(D8207,'[1]Перечень товаров'!$A$2:$I9525,2,0),"")</f>
        <v>д118</v>
      </c>
      <c r="C8207" s="12" t="str">
        <f>IFERROR(VLOOKUP(D8207,'[1]Перечень товаров'!$A$2:$I9525,3,0),"")</f>
        <v>Дидактика</v>
      </c>
      <c r="D8207" s="35" t="s">
        <v>1992</v>
      </c>
      <c r="E8207" s="102"/>
      <c r="F8207" s="102"/>
      <c r="G8207" s="159">
        <v>13</v>
      </c>
      <c r="H8207" s="159"/>
      <c r="I8207" s="160"/>
      <c r="J8207" s="160"/>
      <c r="K8207" s="19"/>
      <c r="L8207" s="20"/>
    </row>
    <row r="8208" spans="1:12" outlineLevel="2">
      <c r="A8208" s="34"/>
      <c r="B8208" s="12" t="str">
        <f>IFERROR(VLOOKUP(D8208,'[1]Перечень товаров'!$A$2:$I9525,2,0),"")</f>
        <v>д117</v>
      </c>
      <c r="C8208" s="12" t="str">
        <f>IFERROR(VLOOKUP(D8208,'[1]Перечень товаров'!$A$2:$I9525,3,0),"")</f>
        <v>Дидактика</v>
      </c>
      <c r="D8208" s="35" t="s">
        <v>1993</v>
      </c>
      <c r="E8208" s="102"/>
      <c r="F8208" s="102"/>
      <c r="G8208" s="159">
        <v>13</v>
      </c>
      <c r="H8208" s="159"/>
      <c r="I8208" s="160"/>
      <c r="J8208" s="160"/>
      <c r="K8208" s="19"/>
      <c r="L8208" s="20"/>
    </row>
    <row r="8209" spans="1:12" ht="25.5" outlineLevel="2">
      <c r="A8209" s="197"/>
      <c r="B8209" s="12" t="str">
        <f>IFERROR(VLOOKUP(D8209,'[1]Перечень товаров'!$A$2:$I9525,2,0),"")</f>
        <v/>
      </c>
      <c r="C8209" s="12" t="str">
        <f>IFERROR(VLOOKUP(D8209,'[1]Перечень товаров'!$A$2:$I9525,3,0),"")</f>
        <v/>
      </c>
      <c r="D8209" s="198" t="s">
        <v>1994</v>
      </c>
      <c r="E8209" s="107"/>
      <c r="F8209" s="107"/>
      <c r="G8209" s="289"/>
      <c r="H8209" s="289"/>
      <c r="I8209" s="290"/>
      <c r="J8209" s="290"/>
      <c r="K8209" s="19"/>
      <c r="L8209" s="20"/>
    </row>
    <row r="8210" spans="1:12" ht="31.5" outlineLevel="2">
      <c r="A8210" s="34"/>
      <c r="B8210" s="12" t="str">
        <f>IFERROR(VLOOKUP(D8210,'[1]Перечень товаров'!$A$2:$I9525,2,0),"")</f>
        <v>д116</v>
      </c>
      <c r="C8210" s="12" t="str">
        <f>IFERROR(VLOOKUP(D8210,'[1]Перечень товаров'!$A$2:$I9525,3,0),"")</f>
        <v>Дидактика</v>
      </c>
      <c r="D8210" s="35" t="s">
        <v>1995</v>
      </c>
      <c r="E8210" s="106"/>
      <c r="F8210" s="106"/>
      <c r="G8210" s="159">
        <v>13</v>
      </c>
      <c r="H8210" s="159"/>
      <c r="I8210" s="160"/>
      <c r="J8210" s="160"/>
      <c r="K8210" s="19"/>
      <c r="L8210" s="20"/>
    </row>
    <row r="8211" spans="1:12" ht="31.5" outlineLevel="2">
      <c r="A8211" s="34"/>
      <c r="B8211" s="12" t="str">
        <f>IFERROR(VLOOKUP(D8211,'[1]Перечень товаров'!$A$2:$I9525,2,0),"")</f>
        <v>д115</v>
      </c>
      <c r="C8211" s="12" t="str">
        <f>IFERROR(VLOOKUP(D8211,'[1]Перечень товаров'!$A$2:$I9525,3,0),"")</f>
        <v>Дидактика</v>
      </c>
      <c r="D8211" s="35" t="s">
        <v>1996</v>
      </c>
      <c r="E8211" s="106"/>
      <c r="F8211" s="106"/>
      <c r="G8211" s="159">
        <v>13</v>
      </c>
      <c r="H8211" s="159"/>
      <c r="I8211" s="160"/>
      <c r="J8211" s="160"/>
      <c r="K8211" s="19"/>
      <c r="L8211" s="20"/>
    </row>
    <row r="8212" spans="1:12" ht="31.5" outlineLevel="2">
      <c r="A8212" s="34"/>
      <c r="B8212" s="12" t="str">
        <f>IFERROR(VLOOKUP(D8212,'[1]Перечень товаров'!$A$2:$I9525,2,0),"")</f>
        <v>д114</v>
      </c>
      <c r="C8212" s="12" t="str">
        <f>IFERROR(VLOOKUP(D8212,'[1]Перечень товаров'!$A$2:$I9525,3,0),"")</f>
        <v>Дидактика</v>
      </c>
      <c r="D8212" s="35" t="s">
        <v>1997</v>
      </c>
      <c r="E8212" s="106"/>
      <c r="F8212" s="106"/>
      <c r="G8212" s="159">
        <v>13</v>
      </c>
      <c r="H8212" s="159"/>
      <c r="I8212" s="160"/>
      <c r="J8212" s="160"/>
      <c r="K8212" s="19"/>
      <c r="L8212" s="20"/>
    </row>
    <row r="8213" spans="1:12" outlineLevel="2">
      <c r="A8213" s="34"/>
      <c r="B8213" s="12" t="str">
        <f>IFERROR(VLOOKUP(D8213,'[1]Перечень товаров'!$A$2:$I9525,2,0),"")</f>
        <v>д113</v>
      </c>
      <c r="C8213" s="12" t="str">
        <f>IFERROR(VLOOKUP(D8213,'[1]Перечень товаров'!$A$2:$I9525,3,0),"")</f>
        <v>Дидактика</v>
      </c>
      <c r="D8213" s="35" t="s">
        <v>1998</v>
      </c>
      <c r="E8213" s="106"/>
      <c r="F8213" s="106"/>
      <c r="G8213" s="159">
        <v>13</v>
      </c>
      <c r="H8213" s="159"/>
      <c r="I8213" s="160"/>
      <c r="J8213" s="160"/>
      <c r="K8213" s="19"/>
      <c r="L8213" s="20"/>
    </row>
    <row r="8214" spans="1:12" ht="31.5" outlineLevel="2">
      <c r="A8214" s="34"/>
      <c r="B8214" s="12" t="str">
        <f>IFERROR(VLOOKUP(D8214,'[1]Перечень товаров'!$A$2:$I9525,2,0),"")</f>
        <v>д112</v>
      </c>
      <c r="C8214" s="12" t="str">
        <f>IFERROR(VLOOKUP(D8214,'[1]Перечень товаров'!$A$2:$I9525,3,0),"")</f>
        <v>Дидактика</v>
      </c>
      <c r="D8214" s="35" t="s">
        <v>1999</v>
      </c>
      <c r="E8214" s="106"/>
      <c r="F8214" s="106"/>
      <c r="G8214" s="159">
        <v>13</v>
      </c>
      <c r="H8214" s="159"/>
      <c r="I8214" s="160"/>
      <c r="J8214" s="160"/>
      <c r="K8214" s="19"/>
      <c r="L8214" s="20"/>
    </row>
    <row r="8215" spans="1:12" outlineLevel="2">
      <c r="A8215" s="34"/>
      <c r="B8215" s="12" t="str">
        <f>IFERROR(VLOOKUP(D8215,'[1]Перечень товаров'!$A$2:$I9525,2,0),"")</f>
        <v>д111</v>
      </c>
      <c r="C8215" s="12" t="str">
        <f>IFERROR(VLOOKUP(D8215,'[1]Перечень товаров'!$A$2:$I9525,3,0),"")</f>
        <v>Дидактика</v>
      </c>
      <c r="D8215" s="35" t="s">
        <v>2000</v>
      </c>
      <c r="E8215" s="106"/>
      <c r="F8215" s="106"/>
      <c r="G8215" s="159">
        <v>13</v>
      </c>
      <c r="H8215" s="159"/>
      <c r="I8215" s="160"/>
      <c r="J8215" s="160"/>
      <c r="K8215" s="19"/>
      <c r="L8215" s="20"/>
    </row>
    <row r="8216" spans="1:12" outlineLevel="2">
      <c r="A8216" s="34"/>
      <c r="B8216" s="12" t="str">
        <f>IFERROR(VLOOKUP(D8216,'[1]Перечень товаров'!$A$2:$I9525,2,0),"")</f>
        <v>д110</v>
      </c>
      <c r="C8216" s="12" t="str">
        <f>IFERROR(VLOOKUP(D8216,'[1]Перечень товаров'!$A$2:$I9525,3,0),"")</f>
        <v>Дидактика</v>
      </c>
      <c r="D8216" s="35" t="s">
        <v>2001</v>
      </c>
      <c r="E8216" s="106"/>
      <c r="F8216" s="106"/>
      <c r="G8216" s="159">
        <v>2</v>
      </c>
      <c r="H8216" s="159"/>
      <c r="I8216" s="160"/>
      <c r="J8216" s="160"/>
      <c r="K8216" s="19"/>
      <c r="L8216" s="20"/>
    </row>
    <row r="8217" spans="1:12" ht="31.5" outlineLevel="2">
      <c r="A8217" s="34"/>
      <c r="B8217" s="12" t="str">
        <f>IFERROR(VLOOKUP(D8217,'[1]Перечень товаров'!$A$2:$I9525,2,0),"")</f>
        <v>д109</v>
      </c>
      <c r="C8217" s="12" t="str">
        <f>IFERROR(VLOOKUP(D8217,'[1]Перечень товаров'!$A$2:$I9525,3,0),"")</f>
        <v>Дидактика</v>
      </c>
      <c r="D8217" s="35" t="s">
        <v>2002</v>
      </c>
      <c r="E8217" s="106"/>
      <c r="F8217" s="106"/>
      <c r="G8217" s="159">
        <v>13</v>
      </c>
      <c r="H8217" s="159"/>
      <c r="I8217" s="160"/>
      <c r="J8217" s="160"/>
      <c r="K8217" s="19"/>
      <c r="L8217" s="20"/>
    </row>
    <row r="8218" spans="1:12" ht="31.5" outlineLevel="2">
      <c r="A8218" s="34"/>
      <c r="B8218" s="12" t="str">
        <f>IFERROR(VLOOKUP(D8218,'[1]Перечень товаров'!$A$2:$I9525,2,0),"")</f>
        <v>д108</v>
      </c>
      <c r="C8218" s="12" t="str">
        <f>IFERROR(VLOOKUP(D8218,'[1]Перечень товаров'!$A$2:$I9525,3,0),"")</f>
        <v>Дидактика</v>
      </c>
      <c r="D8218" s="35" t="s">
        <v>2003</v>
      </c>
      <c r="E8218" s="106"/>
      <c r="F8218" s="106"/>
      <c r="G8218" s="159">
        <v>1</v>
      </c>
      <c r="H8218" s="159"/>
      <c r="I8218" s="160"/>
      <c r="J8218" s="160"/>
      <c r="K8218" s="19"/>
      <c r="L8218" s="20"/>
    </row>
    <row r="8219" spans="1:12" ht="31.5" outlineLevel="2">
      <c r="A8219" s="34"/>
      <c r="B8219" s="12" t="str">
        <f>IFERROR(VLOOKUP(D8219,'[1]Перечень товаров'!$A$2:$I9525,2,0),"")</f>
        <v>д107</v>
      </c>
      <c r="C8219" s="12" t="str">
        <f>IFERROR(VLOOKUP(D8219,'[1]Перечень товаров'!$A$2:$I9525,3,0),"")</f>
        <v>Дидактика</v>
      </c>
      <c r="D8219" s="35" t="s">
        <v>2004</v>
      </c>
      <c r="E8219" s="106"/>
      <c r="F8219" s="106"/>
      <c r="G8219" s="159">
        <v>1</v>
      </c>
      <c r="H8219" s="159"/>
      <c r="I8219" s="160"/>
      <c r="J8219" s="160"/>
      <c r="K8219" s="19"/>
      <c r="L8219" s="20"/>
    </row>
    <row r="8220" spans="1:12" outlineLevel="2">
      <c r="A8220" s="88"/>
      <c r="B8220" s="12" t="str">
        <f>IFERROR(VLOOKUP(D8220,'[1]Перечень товаров'!$A$2:$I9525,2,0),"")</f>
        <v>д106</v>
      </c>
      <c r="C8220" s="12" t="str">
        <f>IFERROR(VLOOKUP(D8220,'[1]Перечень товаров'!$A$2:$I9525,3,0),"")</f>
        <v>Дидактика</v>
      </c>
      <c r="D8220" s="223" t="s">
        <v>2005</v>
      </c>
      <c r="E8220" s="106"/>
      <c r="F8220" s="106"/>
      <c r="G8220" s="159">
        <v>13</v>
      </c>
      <c r="H8220" s="159"/>
      <c r="I8220" s="160"/>
      <c r="J8220" s="160"/>
      <c r="K8220" s="19"/>
      <c r="L8220" s="20"/>
    </row>
    <row r="8221" spans="1:12" outlineLevel="2">
      <c r="A8221" s="34"/>
      <c r="B8221" s="12" t="str">
        <f>IFERROR(VLOOKUP(D8221,'[1]Перечень товаров'!$A$2:$I9525,2,0),"")</f>
        <v>д490</v>
      </c>
      <c r="C8221" s="12" t="str">
        <f>IFERROR(VLOOKUP(D8221,'[1]Перечень товаров'!$A$2:$I9525,3,0),"")</f>
        <v>дидактика</v>
      </c>
      <c r="D8221" s="35" t="s">
        <v>2006</v>
      </c>
      <c r="E8221" s="106"/>
      <c r="F8221" s="106"/>
      <c r="G8221" s="159">
        <v>1</v>
      </c>
      <c r="H8221" s="159"/>
      <c r="I8221" s="160"/>
      <c r="J8221" s="160"/>
      <c r="K8221" s="19"/>
      <c r="L8221" s="20"/>
    </row>
    <row r="8222" spans="1:12" ht="31.5" outlineLevel="2">
      <c r="A8222" s="34"/>
      <c r="B8222" s="12" t="str">
        <f>IFERROR(VLOOKUP(D8222,'[1]Перечень товаров'!$A$2:$I9525,2,0),"")</f>
        <v>д105</v>
      </c>
      <c r="C8222" s="12" t="str">
        <f>IFERROR(VLOOKUP(D8222,'[1]Перечень товаров'!$A$2:$I9525,3,0),"")</f>
        <v>Дидактика</v>
      </c>
      <c r="D8222" s="35" t="s">
        <v>2007</v>
      </c>
      <c r="E8222" s="106"/>
      <c r="F8222" s="106"/>
      <c r="G8222" s="159">
        <v>13</v>
      </c>
      <c r="H8222" s="159"/>
      <c r="I8222" s="160"/>
      <c r="J8222" s="160"/>
      <c r="K8222" s="19"/>
      <c r="L8222" s="20"/>
    </row>
    <row r="8223" spans="1:12" ht="47.25" outlineLevel="2">
      <c r="A8223" s="34"/>
      <c r="B8223" s="12" t="str">
        <f>IFERROR(VLOOKUP(D8223,'[1]Перечень товаров'!$A$2:$I9525,2,0),"")</f>
        <v>д104</v>
      </c>
      <c r="C8223" s="12" t="str">
        <f>IFERROR(VLOOKUP(D8223,'[1]Перечень товаров'!$A$2:$I9525,3,0),"")</f>
        <v>Дидактика</v>
      </c>
      <c r="D8223" s="35" t="s">
        <v>2008</v>
      </c>
      <c r="E8223" s="106"/>
      <c r="F8223" s="106"/>
      <c r="G8223" s="159">
        <v>13</v>
      </c>
      <c r="H8223" s="159"/>
      <c r="I8223" s="160"/>
      <c r="J8223" s="160"/>
      <c r="K8223" s="19"/>
      <c r="L8223" s="20"/>
    </row>
    <row r="8224" spans="1:12" outlineLevel="2">
      <c r="A8224" s="34"/>
      <c r="B8224" s="12" t="str">
        <f>IFERROR(VLOOKUP(D8224,'[1]Перечень товаров'!$A$2:$I9525,2,0),"")</f>
        <v>д198</v>
      </c>
      <c r="C8224" s="12" t="str">
        <f>IFERROR(VLOOKUP(D8224,'[1]Перечень товаров'!$A$2:$I9525,3,0),"")</f>
        <v>Дидактика</v>
      </c>
      <c r="D8224" s="35" t="s">
        <v>1899</v>
      </c>
      <c r="E8224" s="106"/>
      <c r="F8224" s="106"/>
      <c r="G8224" s="159">
        <v>13</v>
      </c>
      <c r="H8224" s="159"/>
      <c r="I8224" s="160"/>
      <c r="J8224" s="160"/>
      <c r="K8224" s="19"/>
      <c r="L8224" s="20"/>
    </row>
    <row r="8225" spans="1:12" outlineLevel="2">
      <c r="A8225" s="88"/>
      <c r="B8225" s="12" t="str">
        <f>IFERROR(VLOOKUP(D8225,'[1]Перечень товаров'!$A$2:$I9525,2,0),"")</f>
        <v>д103</v>
      </c>
      <c r="C8225" s="12" t="str">
        <f>IFERROR(VLOOKUP(D8225,'[1]Перечень товаров'!$A$2:$I9525,3,0),"")</f>
        <v>Дидактика</v>
      </c>
      <c r="D8225" s="223" t="s">
        <v>2009</v>
      </c>
      <c r="E8225" s="106"/>
      <c r="F8225" s="106"/>
      <c r="G8225" s="159">
        <v>13</v>
      </c>
      <c r="H8225" s="159"/>
      <c r="I8225" s="160"/>
      <c r="J8225" s="160"/>
      <c r="K8225" s="19"/>
      <c r="L8225" s="20"/>
    </row>
    <row r="8226" spans="1:12" outlineLevel="2">
      <c r="A8226" s="88"/>
      <c r="B8226" s="12" t="str">
        <f>IFERROR(VLOOKUP(D8226,'[1]Перечень товаров'!$A$2:$I9525,2,0),"")</f>
        <v>д102</v>
      </c>
      <c r="C8226" s="12" t="str">
        <f>IFERROR(VLOOKUP(D8226,'[1]Перечень товаров'!$A$2:$I9525,3,0),"")</f>
        <v>Дидактика</v>
      </c>
      <c r="D8226" s="223" t="s">
        <v>2010</v>
      </c>
      <c r="E8226" s="106"/>
      <c r="F8226" s="106"/>
      <c r="G8226" s="159">
        <v>13</v>
      </c>
      <c r="H8226" s="159"/>
      <c r="I8226" s="160"/>
      <c r="J8226" s="160"/>
      <c r="K8226" s="19"/>
      <c r="L8226" s="20"/>
    </row>
    <row r="8227" spans="1:12" outlineLevel="2">
      <c r="A8227" s="88"/>
      <c r="B8227" s="12" t="str">
        <f>IFERROR(VLOOKUP(D8227,'[1]Перечень товаров'!$A$2:$I9525,2,0),"")</f>
        <v>д198</v>
      </c>
      <c r="C8227" s="12" t="str">
        <f>IFERROR(VLOOKUP(D8227,'[1]Перечень товаров'!$A$2:$I9525,3,0),"")</f>
        <v>Дидактика</v>
      </c>
      <c r="D8227" s="223" t="s">
        <v>1899</v>
      </c>
      <c r="E8227" s="106"/>
      <c r="F8227" s="106"/>
      <c r="G8227" s="159">
        <v>1</v>
      </c>
      <c r="H8227" s="159"/>
      <c r="I8227" s="160"/>
      <c r="J8227" s="160"/>
      <c r="K8227" s="19"/>
      <c r="L8227" s="20"/>
    </row>
    <row r="8228" spans="1:12" outlineLevel="2">
      <c r="A8228" s="88"/>
      <c r="B8228" s="12" t="str">
        <f>IFERROR(VLOOKUP(D8228,'[1]Перечень товаров'!$A$2:$I9525,2,0),"")</f>
        <v>д101</v>
      </c>
      <c r="C8228" s="12" t="str">
        <f>IFERROR(VLOOKUP(D8228,'[1]Перечень товаров'!$A$2:$I9525,3,0),"")</f>
        <v>Дидактика</v>
      </c>
      <c r="D8228" s="223" t="s">
        <v>2011</v>
      </c>
      <c r="E8228" s="106"/>
      <c r="F8228" s="106"/>
      <c r="G8228" s="159">
        <v>1</v>
      </c>
      <c r="H8228" s="159"/>
      <c r="I8228" s="160"/>
      <c r="J8228" s="160"/>
      <c r="K8228" s="19"/>
      <c r="L8228" s="20"/>
    </row>
    <row r="8229" spans="1:12" outlineLevel="2">
      <c r="A8229" s="88"/>
      <c r="B8229" s="12" t="str">
        <f>IFERROR(VLOOKUP(D8229,'[1]Перечень товаров'!$A$2:$I9525,2,0),"")</f>
        <v>д100</v>
      </c>
      <c r="C8229" s="12" t="str">
        <f>IFERROR(VLOOKUP(D8229,'[1]Перечень товаров'!$A$2:$I9525,3,0),"")</f>
        <v>Дидактика</v>
      </c>
      <c r="D8229" s="223" t="s">
        <v>2012</v>
      </c>
      <c r="E8229" s="106"/>
      <c r="F8229" s="106"/>
      <c r="G8229" s="159">
        <v>1</v>
      </c>
      <c r="H8229" s="159"/>
      <c r="I8229" s="160"/>
      <c r="J8229" s="160"/>
      <c r="K8229" s="19"/>
      <c r="L8229" s="20"/>
    </row>
    <row r="8230" spans="1:12" ht="31.5" outlineLevel="2">
      <c r="A8230" s="34"/>
      <c r="B8230" s="12" t="str">
        <f>IFERROR(VLOOKUP(D8230,'[1]Перечень товаров'!$A$2:$I9525,2,0),"")</f>
        <v>д99</v>
      </c>
      <c r="C8230" s="12" t="str">
        <f>IFERROR(VLOOKUP(D8230,'[1]Перечень товаров'!$A$2:$I9525,3,0),"")</f>
        <v>Дидактика</v>
      </c>
      <c r="D8230" s="35" t="s">
        <v>2013</v>
      </c>
      <c r="E8230" s="106"/>
      <c r="F8230" s="106"/>
      <c r="G8230" s="159">
        <v>1</v>
      </c>
      <c r="H8230" s="159"/>
      <c r="I8230" s="160"/>
      <c r="J8230" s="160"/>
      <c r="K8230" s="19"/>
      <c r="L8230" s="20"/>
    </row>
    <row r="8231" spans="1:12" outlineLevel="2">
      <c r="A8231" s="88"/>
      <c r="B8231" s="12" t="str">
        <f>IFERROR(VLOOKUP(D8231,'[1]Перечень товаров'!$A$2:$I9525,2,0),"")</f>
        <v>д98</v>
      </c>
      <c r="C8231" s="12" t="str">
        <f>IFERROR(VLOOKUP(D8231,'[1]Перечень товаров'!$A$2:$I9525,3,0),"")</f>
        <v>Дидактика</v>
      </c>
      <c r="D8231" s="223" t="s">
        <v>2014</v>
      </c>
      <c r="E8231" s="106"/>
      <c r="F8231" s="106"/>
      <c r="G8231" s="159">
        <v>13</v>
      </c>
      <c r="H8231" s="159"/>
      <c r="I8231" s="160"/>
      <c r="J8231" s="160"/>
      <c r="K8231" s="19"/>
      <c r="L8231" s="20"/>
    </row>
    <row r="8232" spans="1:12" outlineLevel="2">
      <c r="A8232" s="88"/>
      <c r="B8232" s="12" t="str">
        <f>IFERROR(VLOOKUP(D8232,'[1]Перечень товаров'!$A$2:$I9525,2,0),"")</f>
        <v>д97</v>
      </c>
      <c r="C8232" s="12" t="str">
        <f>IFERROR(VLOOKUP(D8232,'[1]Перечень товаров'!$A$2:$I9525,3,0),"")</f>
        <v>Дидактика</v>
      </c>
      <c r="D8232" s="223" t="s">
        <v>2015</v>
      </c>
      <c r="E8232" s="106"/>
      <c r="F8232" s="106"/>
      <c r="G8232" s="159">
        <v>6</v>
      </c>
      <c r="H8232" s="159"/>
      <c r="I8232" s="160"/>
      <c r="J8232" s="160"/>
      <c r="K8232" s="19"/>
      <c r="L8232" s="20"/>
    </row>
    <row r="8233" spans="1:12" outlineLevel="2">
      <c r="A8233" s="88"/>
      <c r="B8233" s="12" t="str">
        <f>IFERROR(VLOOKUP(D8233,'[1]Перечень товаров'!$A$2:$I9525,2,0),"")</f>
        <v>д96</v>
      </c>
      <c r="C8233" s="12" t="str">
        <f>IFERROR(VLOOKUP(D8233,'[1]Перечень товаров'!$A$2:$I9525,3,0),"")</f>
        <v>Дидактика</v>
      </c>
      <c r="D8233" s="223" t="s">
        <v>2016</v>
      </c>
      <c r="E8233" s="106"/>
      <c r="F8233" s="106"/>
      <c r="G8233" s="159">
        <v>13</v>
      </c>
      <c r="H8233" s="159"/>
      <c r="I8233" s="160"/>
      <c r="J8233" s="160"/>
      <c r="K8233" s="19"/>
      <c r="L8233" s="20"/>
    </row>
    <row r="8234" spans="1:12" ht="12.75" outlineLevel="1">
      <c r="A8234" s="11"/>
      <c r="B8234" s="12" t="str">
        <f>IFERROR(VLOOKUP(D8234,'[1]Перечень товаров'!$A$2:$I9525,2,0),"")</f>
        <v/>
      </c>
      <c r="C8234" s="12" t="str">
        <f>IFERROR(VLOOKUP(D8234,'[1]Перечень товаров'!$A$2:$I9525,3,0),"")</f>
        <v/>
      </c>
      <c r="D8234" s="27" t="s">
        <v>2017</v>
      </c>
      <c r="E8234" s="14" t="s">
        <v>1892</v>
      </c>
      <c r="F8234" s="14"/>
      <c r="G8234" s="17"/>
      <c r="H8234" s="17"/>
      <c r="I8234" s="57"/>
      <c r="J8234" s="57"/>
      <c r="K8234" s="19"/>
      <c r="L8234" s="20"/>
    </row>
    <row r="8235" spans="1:12" ht="12.75" outlineLevel="2">
      <c r="A8235" s="285"/>
      <c r="B8235" s="12" t="str">
        <f>IFERROR(VLOOKUP(D8235,'[1]Перечень товаров'!$A$2:$I9525,2,0),"")</f>
        <v/>
      </c>
      <c r="C8235" s="12" t="str">
        <f>IFERROR(VLOOKUP(D8235,'[1]Перечень товаров'!$A$2:$I9525,3,0),"")</f>
        <v/>
      </c>
      <c r="D8235" s="286" t="s">
        <v>668</v>
      </c>
      <c r="E8235" s="15"/>
      <c r="F8235" s="15"/>
      <c r="G8235" s="17"/>
      <c r="H8235" s="17"/>
      <c r="I8235" s="57"/>
      <c r="J8235" s="57"/>
      <c r="K8235" s="19"/>
      <c r="L8235" s="20"/>
    </row>
    <row r="8236" spans="1:12" outlineLevel="2">
      <c r="A8236" s="34"/>
      <c r="B8236" s="12" t="str">
        <f>IFERROR(VLOOKUP(D8236,'[1]Перечень товаров'!$A$2:$I9525,2,0),"")</f>
        <v>т129</v>
      </c>
      <c r="C8236" s="12" t="str">
        <f>IFERROR(VLOOKUP(D8236,'[1]Перечень товаров'!$A$2:$I9525,3,0),"")</f>
        <v>Техника</v>
      </c>
      <c r="D8236" s="35" t="s">
        <v>1204</v>
      </c>
      <c r="E8236" s="228"/>
      <c r="F8236" s="228"/>
      <c r="G8236" s="59">
        <v>1</v>
      </c>
      <c r="H8236" s="59"/>
      <c r="I8236" s="60"/>
      <c r="J8236" s="60"/>
      <c r="K8236" s="19"/>
      <c r="L8236" s="20"/>
    </row>
    <row r="8237" spans="1:12" outlineLevel="2">
      <c r="A8237" s="34"/>
      <c r="B8237" s="12" t="str">
        <f>IFERROR(VLOOKUP(D8237,'[1]Перечень товаров'!$A$2:$I9525,2,0),"")</f>
        <v>т1</v>
      </c>
      <c r="C8237" s="12" t="str">
        <f>IFERROR(VLOOKUP(D8237,'[1]Перечень товаров'!$A$2:$I9525,3,0),"")</f>
        <v xml:space="preserve">Техника </v>
      </c>
      <c r="D8237" s="22" t="s">
        <v>28</v>
      </c>
      <c r="E8237" s="228"/>
      <c r="F8237" s="228"/>
      <c r="G8237" s="59">
        <v>1</v>
      </c>
      <c r="H8237" s="59"/>
      <c r="I8237" s="60"/>
      <c r="J8237" s="60"/>
      <c r="K8237" s="19"/>
      <c r="L8237" s="20"/>
    </row>
    <row r="8238" spans="1:12" outlineLevel="2">
      <c r="A8238" s="34"/>
      <c r="B8238" s="12" t="str">
        <f>IFERROR(VLOOKUP(D8238,'[1]Перечень товаров'!$A$2:$I9525,2,0),"")</f>
        <v>т235</v>
      </c>
      <c r="C8238" s="12" t="str">
        <f>IFERROR(VLOOKUP(D8238,'[1]Перечень товаров'!$A$2:$I9525,3,0),"")</f>
        <v>Техника</v>
      </c>
      <c r="D8238" s="35" t="s">
        <v>742</v>
      </c>
      <c r="E8238" s="228"/>
      <c r="F8238" s="228"/>
      <c r="G8238" s="59">
        <v>1</v>
      </c>
      <c r="H8238" s="59"/>
      <c r="I8238" s="60"/>
      <c r="J8238" s="60"/>
      <c r="K8238" s="19"/>
      <c r="L8238" s="20"/>
    </row>
    <row r="8239" spans="1:12" outlineLevel="2">
      <c r="A8239" s="34"/>
      <c r="B8239" s="12" t="str">
        <f>IFERROR(VLOOKUP(D8239,'[1]Перечень товаров'!$A$2:$I9525,2,0),"")</f>
        <v>т8</v>
      </c>
      <c r="C8239" s="12" t="str">
        <f>IFERROR(VLOOKUP(D8239,'[1]Перечень товаров'!$A$2:$I9525,3,0),"")</f>
        <v xml:space="preserve">Техника </v>
      </c>
      <c r="D8239" s="35" t="s">
        <v>35</v>
      </c>
      <c r="E8239" s="228"/>
      <c r="F8239" s="228"/>
      <c r="G8239" s="59">
        <v>1</v>
      </c>
      <c r="H8239" s="59"/>
      <c r="I8239" s="60"/>
      <c r="J8239" s="60"/>
      <c r="K8239" s="19"/>
      <c r="L8239" s="20"/>
    </row>
    <row r="8240" spans="1:12" outlineLevel="2">
      <c r="A8240" s="34"/>
      <c r="B8240" s="12" t="str">
        <f>IFERROR(VLOOKUP(D8240,'[1]Перечень товаров'!$A$2:$I9525,2,0),"")</f>
        <v>т4</v>
      </c>
      <c r="C8240" s="12" t="str">
        <f>IFERROR(VLOOKUP(D8240,'[1]Перечень товаров'!$A$2:$I9525,3,0),"")</f>
        <v xml:space="preserve">Техника </v>
      </c>
      <c r="D8240" s="35" t="s">
        <v>31</v>
      </c>
      <c r="E8240" s="228"/>
      <c r="F8240" s="228"/>
      <c r="G8240" s="59">
        <v>1</v>
      </c>
      <c r="H8240" s="59"/>
      <c r="I8240" s="60"/>
      <c r="J8240" s="60"/>
      <c r="K8240" s="19"/>
      <c r="L8240" s="20"/>
    </row>
    <row r="8241" spans="1:12" outlineLevel="2">
      <c r="A8241" s="34"/>
      <c r="B8241" s="12" t="str">
        <f>IFERROR(VLOOKUP(D8241,'[1]Перечень товаров'!$A$2:$I9525,2,0),"")</f>
        <v>т236</v>
      </c>
      <c r="C8241" s="12" t="str">
        <f>IFERROR(VLOOKUP(D8241,'[1]Перечень товаров'!$A$2:$I9525,3,0),"")</f>
        <v>Техника</v>
      </c>
      <c r="D8241" s="35" t="s">
        <v>743</v>
      </c>
      <c r="E8241" s="228"/>
      <c r="F8241" s="228"/>
      <c r="G8241" s="59">
        <v>1</v>
      </c>
      <c r="H8241" s="59"/>
      <c r="I8241" s="60"/>
      <c r="J8241" s="60"/>
      <c r="K8241" s="19"/>
      <c r="L8241" s="20"/>
    </row>
    <row r="8242" spans="1:12" outlineLevel="2">
      <c r="A8242" s="34"/>
      <c r="B8242" s="12" t="str">
        <f>IFERROR(VLOOKUP(D8242,'[1]Перечень товаров'!$A$2:$I9525,2,0),"")</f>
        <v>т237</v>
      </c>
      <c r="C8242" s="12" t="str">
        <f>IFERROR(VLOOKUP(D8242,'[1]Перечень товаров'!$A$2:$I9525,3,0),"")</f>
        <v>Техника</v>
      </c>
      <c r="D8242" s="35" t="s">
        <v>744</v>
      </c>
      <c r="E8242" s="228"/>
      <c r="F8242" s="228"/>
      <c r="G8242" s="59">
        <v>2</v>
      </c>
      <c r="H8242" s="59"/>
      <c r="I8242" s="60"/>
      <c r="J8242" s="60"/>
      <c r="K8242" s="19"/>
      <c r="L8242" s="20"/>
    </row>
    <row r="8243" spans="1:12" ht="31.5" outlineLevel="2">
      <c r="A8243" s="34"/>
      <c r="B8243" s="12" t="str">
        <f>IFERROR(VLOOKUP(D8243,'[1]Перечень товаров'!$A$2:$I9525,2,0),"")</f>
        <v>т117</v>
      </c>
      <c r="C8243" s="12" t="str">
        <f>IFERROR(VLOOKUP(D8243,'[1]Перечень товаров'!$A$2:$I9525,3,0),"")</f>
        <v>Техника</v>
      </c>
      <c r="D8243" s="35" t="s">
        <v>1412</v>
      </c>
      <c r="E8243" s="228"/>
      <c r="F8243" s="228"/>
      <c r="G8243" s="59">
        <v>1</v>
      </c>
      <c r="H8243" s="59"/>
      <c r="I8243" s="60"/>
      <c r="J8243" s="60"/>
      <c r="K8243" s="19"/>
      <c r="L8243" s="20"/>
    </row>
    <row r="8244" spans="1:12" ht="12.75" outlineLevel="2">
      <c r="A8244" s="245"/>
      <c r="B8244" s="12" t="str">
        <f>IFERROR(VLOOKUP(D8244,'[1]Перечень товаров'!$A$2:$I9525,2,0),"")</f>
        <v/>
      </c>
      <c r="C8244" s="12" t="str">
        <f>IFERROR(VLOOKUP(D8244,'[1]Перечень товаров'!$A$2:$I9525,3,0),"")</f>
        <v/>
      </c>
      <c r="D8244" s="246" t="s">
        <v>1222</v>
      </c>
      <c r="E8244" s="293"/>
      <c r="F8244" s="293"/>
      <c r="G8244" s="294"/>
      <c r="H8244" s="294"/>
      <c r="I8244" s="295"/>
      <c r="J8244" s="295"/>
      <c r="K8244" s="19"/>
      <c r="L8244" s="20"/>
    </row>
    <row r="8245" spans="1:12" ht="31.5" outlineLevel="2">
      <c r="A8245" s="34"/>
      <c r="B8245" s="12" t="str">
        <f>IFERROR(VLOOKUP(D8245,'[1]Перечень товаров'!$A$2:$I9525,2,0),"")</f>
        <v>д527</v>
      </c>
      <c r="C8245" s="12" t="str">
        <f>IFERROR(VLOOKUP(D8245,'[1]Перечень товаров'!$A$2:$I9525,3,0),"")</f>
        <v>дидактика</v>
      </c>
      <c r="D8245" s="35" t="s">
        <v>1227</v>
      </c>
      <c r="E8245" s="228"/>
      <c r="F8245" s="228"/>
      <c r="G8245" s="59">
        <v>3</v>
      </c>
      <c r="H8245" s="59"/>
      <c r="I8245" s="60"/>
      <c r="J8245" s="60"/>
      <c r="K8245" s="19"/>
      <c r="L8245" s="20"/>
    </row>
    <row r="8246" spans="1:12" ht="31.5" outlineLevel="2">
      <c r="A8246" s="34"/>
      <c r="B8246" s="12" t="str">
        <f>IFERROR(VLOOKUP(D8246,'[1]Перечень товаров'!$A$2:$I9525,2,0),"")</f>
        <v>д95</v>
      </c>
      <c r="C8246" s="12" t="str">
        <f>IFERROR(VLOOKUP(D8246,'[1]Перечень товаров'!$A$2:$I9525,3,0),"")</f>
        <v>Дидактика</v>
      </c>
      <c r="D8246" s="35" t="s">
        <v>2018</v>
      </c>
      <c r="E8246" s="228"/>
      <c r="F8246" s="228"/>
      <c r="G8246" s="59">
        <v>3</v>
      </c>
      <c r="H8246" s="59"/>
      <c r="I8246" s="60"/>
      <c r="J8246" s="60"/>
      <c r="K8246" s="19"/>
      <c r="L8246" s="20"/>
    </row>
    <row r="8247" spans="1:12" ht="31.5" outlineLevel="2">
      <c r="A8247" s="34"/>
      <c r="B8247" s="12" t="str">
        <f>IFERROR(VLOOKUP(D8247,'[1]Перечень товаров'!$A$2:$I9525,2,0),"")</f>
        <v>д94</v>
      </c>
      <c r="C8247" s="12" t="str">
        <f>IFERROR(VLOOKUP(D8247,'[1]Перечень товаров'!$A$2:$I9525,3,0),"")</f>
        <v>Дидактика</v>
      </c>
      <c r="D8247" s="35" t="s">
        <v>2019</v>
      </c>
      <c r="E8247" s="228"/>
      <c r="F8247" s="228"/>
      <c r="G8247" s="59">
        <v>3</v>
      </c>
      <c r="H8247" s="59"/>
      <c r="I8247" s="60"/>
      <c r="J8247" s="60"/>
      <c r="K8247" s="19"/>
      <c r="L8247" s="20"/>
    </row>
    <row r="8248" spans="1:12" ht="31.5" outlineLevel="2">
      <c r="A8248" s="34"/>
      <c r="B8248" s="12" t="str">
        <f>IFERROR(VLOOKUP(D8248,'[1]Перечень товаров'!$A$2:$I9525,2,0),"")</f>
        <v>д93</v>
      </c>
      <c r="C8248" s="12" t="str">
        <f>IFERROR(VLOOKUP(D8248,'[1]Перечень товаров'!$A$2:$I9525,3,0),"")</f>
        <v>Дидактика</v>
      </c>
      <c r="D8248" s="35" t="s">
        <v>2020</v>
      </c>
      <c r="E8248" s="228"/>
      <c r="F8248" s="228"/>
      <c r="G8248" s="59">
        <v>3</v>
      </c>
      <c r="H8248" s="59"/>
      <c r="I8248" s="60"/>
      <c r="J8248" s="60"/>
      <c r="K8248" s="19"/>
      <c r="L8248" s="20"/>
    </row>
    <row r="8249" spans="1:12" ht="31.5" outlineLevel="2">
      <c r="A8249" s="34"/>
      <c r="B8249" s="12" t="str">
        <f>IFERROR(VLOOKUP(D8249,'[1]Перечень товаров'!$A$2:$I9525,2,0),"")</f>
        <v>д92</v>
      </c>
      <c r="C8249" s="12" t="str">
        <f>IFERROR(VLOOKUP(D8249,'[1]Перечень товаров'!$A$2:$I9525,3,0),"")</f>
        <v>Дидактика</v>
      </c>
      <c r="D8249" s="35" t="s">
        <v>2021</v>
      </c>
      <c r="E8249" s="228"/>
      <c r="F8249" s="228"/>
      <c r="G8249" s="59">
        <v>3</v>
      </c>
      <c r="H8249" s="59"/>
      <c r="I8249" s="60"/>
      <c r="J8249" s="60"/>
      <c r="K8249" s="19"/>
      <c r="L8249" s="20"/>
    </row>
    <row r="8250" spans="1:12" ht="31.5" outlineLevel="2">
      <c r="A8250" s="34"/>
      <c r="B8250" s="12" t="str">
        <f>IFERROR(VLOOKUP(D8250,'[1]Перечень товаров'!$A$2:$I9525,2,0),"")</f>
        <v>д91</v>
      </c>
      <c r="C8250" s="12" t="str">
        <f>IFERROR(VLOOKUP(D8250,'[1]Перечень товаров'!$A$2:$I9525,3,0),"")</f>
        <v>Дидактика</v>
      </c>
      <c r="D8250" s="35" t="s">
        <v>2022</v>
      </c>
      <c r="E8250" s="228"/>
      <c r="F8250" s="228"/>
      <c r="G8250" s="59">
        <v>3</v>
      </c>
      <c r="H8250" s="59"/>
      <c r="I8250" s="60"/>
      <c r="J8250" s="60"/>
      <c r="K8250" s="19"/>
      <c r="L8250" s="20"/>
    </row>
    <row r="8251" spans="1:12" outlineLevel="2">
      <c r="A8251" s="34"/>
      <c r="B8251" s="12" t="str">
        <f>IFERROR(VLOOKUP(D8251,'[1]Перечень товаров'!$A$2:$I9525,2,0),"")</f>
        <v>д90</v>
      </c>
      <c r="C8251" s="12" t="str">
        <f>IFERROR(VLOOKUP(D8251,'[1]Перечень товаров'!$A$2:$I9525,3,0),"")</f>
        <v>Дидактика</v>
      </c>
      <c r="D8251" s="35" t="s">
        <v>2023</v>
      </c>
      <c r="E8251" s="228"/>
      <c r="F8251" s="228"/>
      <c r="G8251" s="59">
        <v>3</v>
      </c>
      <c r="H8251" s="59"/>
      <c r="I8251" s="60"/>
      <c r="J8251" s="60"/>
      <c r="K8251" s="19"/>
      <c r="L8251" s="20"/>
    </row>
    <row r="8252" spans="1:12" ht="47.25" outlineLevel="2">
      <c r="A8252" s="34"/>
      <c r="B8252" s="12" t="str">
        <f>IFERROR(VLOOKUP(D8252,'[1]Перечень товаров'!$A$2:$I9525,2,0),"")</f>
        <v>т80</v>
      </c>
      <c r="C8252" s="12" t="str">
        <f>IFERROR(VLOOKUP(D8252,'[1]Перечень товаров'!$A$2:$I9525,3,0),"")</f>
        <v xml:space="preserve">Техника </v>
      </c>
      <c r="D8252" s="35" t="s">
        <v>2024</v>
      </c>
      <c r="E8252" s="228"/>
      <c r="F8252" s="228"/>
      <c r="G8252" s="59">
        <v>1</v>
      </c>
      <c r="H8252" s="59"/>
      <c r="I8252" s="60"/>
      <c r="J8252" s="60"/>
      <c r="K8252" s="19"/>
      <c r="L8252" s="20"/>
    </row>
    <row r="8253" spans="1:12" ht="12.75" outlineLevel="2">
      <c r="A8253" s="245"/>
      <c r="B8253" s="12" t="str">
        <f>IFERROR(VLOOKUP(D8253,'[1]Перечень товаров'!$A$2:$I9525,2,0),"")</f>
        <v/>
      </c>
      <c r="C8253" s="12" t="str">
        <f>IFERROR(VLOOKUP(D8253,'[1]Перечень товаров'!$A$2:$I9525,3,0),"")</f>
        <v/>
      </c>
      <c r="D8253" s="246" t="s">
        <v>19</v>
      </c>
      <c r="E8253" s="293"/>
      <c r="F8253" s="293"/>
      <c r="G8253" s="294"/>
      <c r="H8253" s="294"/>
      <c r="I8253" s="295"/>
      <c r="J8253" s="295"/>
      <c r="K8253" s="19"/>
      <c r="L8253" s="20"/>
    </row>
    <row r="8254" spans="1:12" outlineLevel="2">
      <c r="A8254" s="34"/>
      <c r="B8254" s="12" t="str">
        <f>IFERROR(VLOOKUP(D8254,'[1]Перечень товаров'!$A$2:$I9525,2,0),"")</f>
        <v>м62</v>
      </c>
      <c r="C8254" s="12" t="str">
        <f>IFERROR(VLOOKUP(D8254,'[1]Перечень товаров'!$A$2:$I9525,3,0),"")</f>
        <v>Мебель</v>
      </c>
      <c r="D8254" s="35" t="s">
        <v>398</v>
      </c>
      <c r="E8254" s="228"/>
      <c r="F8254" s="228"/>
      <c r="G8254" s="59">
        <v>1</v>
      </c>
      <c r="H8254" s="59"/>
      <c r="I8254" s="60"/>
      <c r="J8254" s="60"/>
      <c r="K8254" s="19"/>
      <c r="L8254" s="20"/>
    </row>
    <row r="8255" spans="1:12" outlineLevel="2">
      <c r="A8255" s="34"/>
      <c r="B8255" s="12" t="str">
        <f>IFERROR(VLOOKUP(D8255,'[1]Перечень товаров'!$A$2:$I9525,2,0),"")</f>
        <v>м61</v>
      </c>
      <c r="C8255" s="12" t="str">
        <f>IFERROR(VLOOKUP(D8255,'[1]Перечень товаров'!$A$2:$I9525,3,0),"")</f>
        <v>Мебель</v>
      </c>
      <c r="D8255" s="35" t="s">
        <v>383</v>
      </c>
      <c r="E8255" s="228"/>
      <c r="F8255" s="228"/>
      <c r="G8255" s="59">
        <v>1</v>
      </c>
      <c r="H8255" s="59"/>
      <c r="I8255" s="60"/>
      <c r="J8255" s="60"/>
      <c r="K8255" s="19"/>
      <c r="L8255" s="20"/>
    </row>
    <row r="8256" spans="1:12" outlineLevel="2">
      <c r="A8256" s="34"/>
      <c r="B8256" s="12" t="str">
        <f>IFERROR(VLOOKUP(D8256,'[1]Перечень товаров'!$A$2:$I9525,2,0),"")</f>
        <v>м147</v>
      </c>
      <c r="C8256" s="12" t="str">
        <f>IFERROR(VLOOKUP(D8256,'[1]Перечень товаров'!$A$2:$I9525,3,0),"")</f>
        <v>мебель</v>
      </c>
      <c r="D8256" s="35" t="s">
        <v>1294</v>
      </c>
      <c r="E8256" s="228"/>
      <c r="F8256" s="228"/>
      <c r="G8256" s="59">
        <v>13</v>
      </c>
      <c r="H8256" s="59"/>
      <c r="I8256" s="60"/>
      <c r="J8256" s="60"/>
      <c r="K8256" s="19"/>
      <c r="L8256" s="20"/>
    </row>
    <row r="8257" spans="1:12" outlineLevel="2">
      <c r="A8257" s="34"/>
      <c r="B8257" s="12" t="str">
        <f>IFERROR(VLOOKUP(D8257,'[1]Перечень товаров'!$A$2:$I9525,2,0),"")</f>
        <v>м209</v>
      </c>
      <c r="C8257" s="12" t="str">
        <f>IFERROR(VLOOKUP(D8257,'[1]Перечень товаров'!$A$2:$I9525,3,0),"")</f>
        <v>Мебель</v>
      </c>
      <c r="D8257" s="35" t="s">
        <v>749</v>
      </c>
      <c r="E8257" s="228"/>
      <c r="F8257" s="228"/>
      <c r="G8257" s="59">
        <v>1</v>
      </c>
      <c r="H8257" s="59"/>
      <c r="I8257" s="60"/>
      <c r="J8257" s="60"/>
      <c r="K8257" s="19"/>
      <c r="L8257" s="20"/>
    </row>
    <row r="8258" spans="1:12" outlineLevel="2">
      <c r="A8258" s="34"/>
      <c r="B8258" s="12" t="str">
        <f>IFERROR(VLOOKUP(D8258,'[1]Перечень товаров'!$A$2:$I9525,2,0),"")</f>
        <v>м151</v>
      </c>
      <c r="C8258" s="12" t="str">
        <f>IFERROR(VLOOKUP(D8258,'[1]Перечень товаров'!$A$2:$I9525,3,0),"")</f>
        <v>мебель</v>
      </c>
      <c r="D8258" s="35" t="s">
        <v>1207</v>
      </c>
      <c r="E8258" s="228"/>
      <c r="F8258" s="228"/>
      <c r="G8258" s="59">
        <v>25</v>
      </c>
      <c r="H8258" s="59"/>
      <c r="I8258" s="60"/>
      <c r="J8258" s="60"/>
      <c r="K8258" s="19"/>
      <c r="L8258" s="20"/>
    </row>
    <row r="8259" spans="1:12" outlineLevel="2">
      <c r="A8259" s="34"/>
      <c r="B8259" s="12" t="str">
        <f>IFERROR(VLOOKUP(D8259,'[1]Перечень товаров'!$A$2:$I9525,2,0),"")</f>
        <v>м216</v>
      </c>
      <c r="C8259" s="12" t="str">
        <f>IFERROR(VLOOKUP(D8259,'[1]Перечень товаров'!$A$2:$I9525,3,0),"")</f>
        <v>Мебель</v>
      </c>
      <c r="D8259" s="35" t="s">
        <v>854</v>
      </c>
      <c r="E8259" s="228"/>
      <c r="F8259" s="228"/>
      <c r="G8259" s="59">
        <v>2</v>
      </c>
      <c r="H8259" s="59"/>
      <c r="I8259" s="60"/>
      <c r="J8259" s="60"/>
      <c r="K8259" s="19"/>
      <c r="L8259" s="20"/>
    </row>
    <row r="8260" spans="1:12" ht="31.5" outlineLevel="2">
      <c r="A8260" s="34"/>
      <c r="B8260" s="12" t="str">
        <f>IFERROR(VLOOKUP(D8260,'[1]Перечень товаров'!$A$2:$I9525,2,0),"")</f>
        <v>д524</v>
      </c>
      <c r="C8260" s="12" t="str">
        <f>IFERROR(VLOOKUP(D8260,'[1]Перечень товаров'!$A$2:$I9525,3,0),"")</f>
        <v>дидактика</v>
      </c>
      <c r="D8260" s="35" t="s">
        <v>1231</v>
      </c>
      <c r="E8260" s="228"/>
      <c r="F8260" s="228"/>
      <c r="G8260" s="59">
        <v>1</v>
      </c>
      <c r="H8260" s="59"/>
      <c r="I8260" s="60"/>
      <c r="J8260" s="60"/>
      <c r="K8260" s="19"/>
      <c r="L8260" s="20"/>
    </row>
    <row r="8261" spans="1:12" outlineLevel="2">
      <c r="A8261" s="34"/>
      <c r="B8261" s="12" t="str">
        <f>IFERROR(VLOOKUP(D8261,'[1]Перечень товаров'!$A$2:$I9525,2,0),"")</f>
        <v>м95</v>
      </c>
      <c r="C8261" s="12" t="str">
        <f>IFERROR(VLOOKUP(D8261,'[1]Перечень товаров'!$A$2:$I9525,3,0),"")</f>
        <v>мебель</v>
      </c>
      <c r="D8261" s="35" t="s">
        <v>2025</v>
      </c>
      <c r="E8261" s="228"/>
      <c r="F8261" s="228"/>
      <c r="G8261" s="59">
        <v>1</v>
      </c>
      <c r="H8261" s="59"/>
      <c r="I8261" s="60"/>
      <c r="J8261" s="60"/>
      <c r="K8261" s="19"/>
      <c r="L8261" s="20"/>
    </row>
    <row r="8262" spans="1:12" outlineLevel="2">
      <c r="A8262" s="34"/>
      <c r="B8262" s="12" t="str">
        <f>IFERROR(VLOOKUP(D8262,'[1]Перечень товаров'!$A$2:$I9525,2,0),"")</f>
        <v>м94</v>
      </c>
      <c r="C8262" s="12" t="str">
        <f>IFERROR(VLOOKUP(D8262,'[1]Перечень товаров'!$A$2:$I9525,3,0),"")</f>
        <v>мебель</v>
      </c>
      <c r="D8262" s="35" t="s">
        <v>2026</v>
      </c>
      <c r="E8262" s="228"/>
      <c r="F8262" s="228"/>
      <c r="G8262" s="59">
        <v>2</v>
      </c>
      <c r="H8262" s="59"/>
      <c r="I8262" s="60"/>
      <c r="J8262" s="60"/>
      <c r="K8262" s="19"/>
      <c r="L8262" s="20"/>
    </row>
    <row r="8263" spans="1:12" outlineLevel="2">
      <c r="A8263" s="34"/>
      <c r="B8263" s="12" t="str">
        <f>IFERROR(VLOOKUP(D8263,'[1]Перечень товаров'!$A$2:$I9525,2,0),"")</f>
        <v>м14</v>
      </c>
      <c r="C8263" s="12" t="str">
        <f>IFERROR(VLOOKUP(D8263,'[1]Перечень товаров'!$A$2:$I9525,3,0),"")</f>
        <v>Мебель</v>
      </c>
      <c r="D8263" s="35" t="s">
        <v>43</v>
      </c>
      <c r="E8263" s="228"/>
      <c r="F8263" s="228"/>
      <c r="G8263" s="59">
        <v>1</v>
      </c>
      <c r="H8263" s="59"/>
      <c r="I8263" s="60"/>
      <c r="J8263" s="60"/>
      <c r="K8263" s="19"/>
      <c r="L8263" s="20"/>
    </row>
    <row r="8264" spans="1:12" outlineLevel="2">
      <c r="A8264" s="34"/>
      <c r="B8264" s="12" t="str">
        <f>IFERROR(VLOOKUP(D8264,'[1]Перечень товаров'!$A$2:$I9525,2,0),"")</f>
        <v>м132</v>
      </c>
      <c r="C8264" s="12" t="str">
        <f>IFERROR(VLOOKUP(D8264,'[1]Перечень товаров'!$A$2:$I9525,3,0),"")</f>
        <v>мебель</v>
      </c>
      <c r="D8264" s="35" t="s">
        <v>1586</v>
      </c>
      <c r="E8264" s="228"/>
      <c r="F8264" s="228"/>
      <c r="G8264" s="59">
        <v>2</v>
      </c>
      <c r="H8264" s="59"/>
      <c r="I8264" s="60"/>
      <c r="J8264" s="60"/>
      <c r="K8264" s="19"/>
      <c r="L8264" s="20"/>
    </row>
    <row r="8265" spans="1:12" outlineLevel="2">
      <c r="A8265" s="34"/>
      <c r="B8265" s="12" t="str">
        <f>IFERROR(VLOOKUP(D8265,'[1]Перечень товаров'!$A$2:$I9525,2,0),"")</f>
        <v>м201</v>
      </c>
      <c r="C8265" s="12" t="str">
        <f>IFERROR(VLOOKUP(D8265,'[1]Перечень товаров'!$A$2:$I9525,3,0),"")</f>
        <v>Мебель</v>
      </c>
      <c r="D8265" s="35" t="s">
        <v>674</v>
      </c>
      <c r="E8265" s="228"/>
      <c r="F8265" s="228"/>
      <c r="G8265" s="59">
        <v>2</v>
      </c>
      <c r="H8265" s="59"/>
      <c r="I8265" s="60"/>
      <c r="J8265" s="60"/>
      <c r="K8265" s="19"/>
      <c r="L8265" s="20"/>
    </row>
    <row r="8266" spans="1:12" ht="12.75" outlineLevel="2">
      <c r="A8266" s="285"/>
      <c r="B8266" s="12" t="str">
        <f>IFERROR(VLOOKUP(D8266,'[1]Перечень товаров'!$A$2:$I9525,2,0),"")</f>
        <v/>
      </c>
      <c r="C8266" s="12" t="str">
        <f>IFERROR(VLOOKUP(D8266,'[1]Перечень товаров'!$A$2:$I9525,3,0),"")</f>
        <v/>
      </c>
      <c r="D8266" s="286" t="s">
        <v>809</v>
      </c>
      <c r="E8266" s="296"/>
      <c r="F8266" s="296"/>
      <c r="G8266" s="297"/>
      <c r="H8266" s="297"/>
      <c r="I8266" s="298"/>
      <c r="J8266" s="298"/>
      <c r="K8266" s="19"/>
      <c r="L8266" s="20"/>
    </row>
    <row r="8267" spans="1:12" ht="31.5" outlineLevel="2">
      <c r="A8267" s="34"/>
      <c r="B8267" s="12" t="str">
        <f>IFERROR(VLOOKUP(D8267,'[1]Перечень товаров'!$A$2:$I9525,2,0),"")</f>
        <v>д64</v>
      </c>
      <c r="C8267" s="12" t="str">
        <f>IFERROR(VLOOKUP(D8267,'[1]Перечень товаров'!$A$2:$I9525,3,0),"")</f>
        <v>Дидактика</v>
      </c>
      <c r="D8267" s="35" t="s">
        <v>810</v>
      </c>
      <c r="E8267" s="228"/>
      <c r="F8267" s="228"/>
      <c r="G8267" s="159">
        <v>1</v>
      </c>
      <c r="H8267" s="159"/>
      <c r="I8267" s="160"/>
      <c r="J8267" s="160"/>
      <c r="K8267" s="19"/>
      <c r="L8267" s="20"/>
    </row>
    <row r="8268" spans="1:12" outlineLevel="2">
      <c r="A8268" s="88"/>
      <c r="B8268" s="12" t="str">
        <f>IFERROR(VLOOKUP(D8268,'[1]Перечень товаров'!$A$2:$I9525,2,0),"")</f>
        <v>д65</v>
      </c>
      <c r="C8268" s="12" t="str">
        <f>IFERROR(VLOOKUP(D8268,'[1]Перечень товаров'!$A$2:$I9525,3,0),"")</f>
        <v>Дидактика</v>
      </c>
      <c r="D8268" s="223" t="s">
        <v>811</v>
      </c>
      <c r="E8268" s="228"/>
      <c r="F8268" s="228"/>
      <c r="G8268" s="159">
        <v>1</v>
      </c>
      <c r="H8268" s="159"/>
      <c r="I8268" s="160"/>
      <c r="J8268" s="160"/>
      <c r="K8268" s="19"/>
      <c r="L8268" s="20"/>
    </row>
    <row r="8269" spans="1:12" outlineLevel="2">
      <c r="A8269" s="88"/>
      <c r="B8269" s="12" t="str">
        <f>IFERROR(VLOOKUP(D8269,'[1]Перечень товаров'!$A$2:$I9525,2,0),"")</f>
        <v>д66</v>
      </c>
      <c r="C8269" s="12" t="str">
        <f>IFERROR(VLOOKUP(D8269,'[1]Перечень товаров'!$A$2:$I9525,3,0),"")</f>
        <v>Дидактика</v>
      </c>
      <c r="D8269" s="223" t="s">
        <v>812</v>
      </c>
      <c r="E8269" s="228"/>
      <c r="F8269" s="228"/>
      <c r="G8269" s="159">
        <v>1</v>
      </c>
      <c r="H8269" s="159"/>
      <c r="I8269" s="160"/>
      <c r="J8269" s="160"/>
      <c r="K8269" s="19"/>
      <c r="L8269" s="20"/>
    </row>
    <row r="8270" spans="1:12" outlineLevel="2">
      <c r="A8270" s="88"/>
      <c r="B8270" s="12" t="str">
        <f>IFERROR(VLOOKUP(D8270,'[1]Перечень товаров'!$A$2:$I9525,2,0),"")</f>
        <v>д67</v>
      </c>
      <c r="C8270" s="12" t="str">
        <f>IFERROR(VLOOKUP(D8270,'[1]Перечень товаров'!$A$2:$I9525,3,0),"")</f>
        <v>Дидактика</v>
      </c>
      <c r="D8270" s="223" t="s">
        <v>813</v>
      </c>
      <c r="E8270" s="228"/>
      <c r="F8270" s="228"/>
      <c r="G8270" s="159">
        <v>1</v>
      </c>
      <c r="H8270" s="159"/>
      <c r="I8270" s="160"/>
      <c r="J8270" s="160"/>
      <c r="K8270" s="19"/>
      <c r="L8270" s="20"/>
    </row>
    <row r="8271" spans="1:12" outlineLevel="2">
      <c r="A8271" s="88"/>
      <c r="B8271" s="12" t="str">
        <f>IFERROR(VLOOKUP(D8271,'[1]Перечень товаров'!$A$2:$I9525,2,0),"")</f>
        <v>п90</v>
      </c>
      <c r="C8271" s="12" t="str">
        <f>IFERROR(VLOOKUP(D8271,'[1]Перечень товаров'!$A$2:$I9525,3,0),"")</f>
        <v>Прочее</v>
      </c>
      <c r="D8271" s="223" t="s">
        <v>723</v>
      </c>
      <c r="E8271" s="228"/>
      <c r="F8271" s="228"/>
      <c r="G8271" s="159">
        <v>1</v>
      </c>
      <c r="H8271" s="159"/>
      <c r="I8271" s="160"/>
      <c r="J8271" s="160"/>
      <c r="K8271" s="19"/>
      <c r="L8271" s="20"/>
    </row>
    <row r="8272" spans="1:12" outlineLevel="2">
      <c r="A8272" s="88"/>
      <c r="B8272" s="12" t="str">
        <f>IFERROR(VLOOKUP(D8272,'[1]Перечень товаров'!$A$2:$I9525,2,0),"")</f>
        <v>д68</v>
      </c>
      <c r="C8272" s="12" t="str">
        <f>IFERROR(VLOOKUP(D8272,'[1]Перечень товаров'!$A$2:$I9525,3,0),"")</f>
        <v>Дидактика</v>
      </c>
      <c r="D8272" s="223" t="s">
        <v>814</v>
      </c>
      <c r="E8272" s="228"/>
      <c r="F8272" s="228"/>
      <c r="G8272" s="159">
        <v>3</v>
      </c>
      <c r="H8272" s="159"/>
      <c r="I8272" s="160"/>
      <c r="J8272" s="160"/>
      <c r="K8272" s="19"/>
      <c r="L8272" s="20"/>
    </row>
    <row r="8273" spans="1:12" outlineLevel="2">
      <c r="A8273" s="88"/>
      <c r="B8273" s="12" t="str">
        <f>IFERROR(VLOOKUP(D8273,'[1]Перечень товаров'!$A$2:$I9525,2,0),"")</f>
        <v>д69</v>
      </c>
      <c r="C8273" s="12" t="str">
        <f>IFERROR(VLOOKUP(D8273,'[1]Перечень товаров'!$A$2:$I9525,3,0),"")</f>
        <v>Дидактика</v>
      </c>
      <c r="D8273" s="223" t="s">
        <v>815</v>
      </c>
      <c r="E8273" s="228"/>
      <c r="F8273" s="228"/>
      <c r="G8273" s="159">
        <v>8</v>
      </c>
      <c r="H8273" s="159"/>
      <c r="I8273" s="160"/>
      <c r="J8273" s="160"/>
      <c r="K8273" s="19"/>
      <c r="L8273" s="20"/>
    </row>
    <row r="8274" spans="1:12" outlineLevel="2">
      <c r="A8274" s="88"/>
      <c r="B8274" s="12" t="str">
        <f>IFERROR(VLOOKUP(D8274,'[1]Перечень товаров'!$A$2:$I9525,2,0),"")</f>
        <v>д70</v>
      </c>
      <c r="C8274" s="12" t="str">
        <f>IFERROR(VLOOKUP(D8274,'[1]Перечень товаров'!$A$2:$I9525,3,0),"")</f>
        <v>Дидактика</v>
      </c>
      <c r="D8274" s="223" t="s">
        <v>816</v>
      </c>
      <c r="E8274" s="228"/>
      <c r="F8274" s="228"/>
      <c r="G8274" s="159">
        <v>100</v>
      </c>
      <c r="H8274" s="159"/>
      <c r="I8274" s="160"/>
      <c r="J8274" s="160"/>
      <c r="K8274" s="19"/>
      <c r="L8274" s="20"/>
    </row>
    <row r="8275" spans="1:12" ht="12.75" outlineLevel="1">
      <c r="A8275" s="11"/>
      <c r="B8275" s="12" t="str">
        <f>IFERROR(VLOOKUP(D8275,'[1]Перечень товаров'!$A$2:$I9525,2,0),"")</f>
        <v/>
      </c>
      <c r="C8275" s="12" t="str">
        <f>IFERROR(VLOOKUP(D8275,'[1]Перечень товаров'!$A$2:$I9525,3,0),"")</f>
        <v/>
      </c>
      <c r="D8275" s="27" t="s">
        <v>2027</v>
      </c>
      <c r="E8275" s="14" t="s">
        <v>2028</v>
      </c>
      <c r="F8275" s="14"/>
      <c r="G8275" s="17"/>
      <c r="H8275" s="17"/>
      <c r="I8275" s="57"/>
      <c r="J8275" s="57"/>
      <c r="K8275" s="19"/>
      <c r="L8275" s="20"/>
    </row>
    <row r="8276" spans="1:12" ht="12.75" outlineLevel="2">
      <c r="A8276" s="197"/>
      <c r="B8276" s="12" t="str">
        <f>IFERROR(VLOOKUP(D8276,'[1]Перечень товаров'!$A$2:$I9525,2,0),"")</f>
        <v/>
      </c>
      <c r="C8276" s="12" t="str">
        <f>IFERROR(VLOOKUP(D8276,'[1]Перечень товаров'!$A$2:$I9525,3,0),"")</f>
        <v/>
      </c>
      <c r="D8276" s="198" t="s">
        <v>668</v>
      </c>
      <c r="E8276" s="293"/>
      <c r="F8276" s="293"/>
      <c r="G8276" s="234"/>
      <c r="H8276" s="234"/>
      <c r="I8276" s="235"/>
      <c r="J8276" s="235"/>
      <c r="K8276" s="19"/>
      <c r="L8276" s="20"/>
    </row>
    <row r="8277" spans="1:12" outlineLevel="2">
      <c r="A8277" s="34"/>
      <c r="B8277" s="12" t="str">
        <f>IFERROR(VLOOKUP(D8277,'[1]Перечень товаров'!$A$2:$I9525,2,0),"")</f>
        <v>т129</v>
      </c>
      <c r="C8277" s="12" t="str">
        <f>IFERROR(VLOOKUP(D8277,'[1]Перечень товаров'!$A$2:$I9525,3,0),"")</f>
        <v>Техника</v>
      </c>
      <c r="D8277" s="35" t="s">
        <v>1204</v>
      </c>
      <c r="E8277" s="299" t="s">
        <v>534</v>
      </c>
      <c r="F8277" s="299"/>
      <c r="G8277" s="232">
        <v>1</v>
      </c>
      <c r="H8277" s="232"/>
      <c r="I8277" s="233"/>
      <c r="J8277" s="233"/>
      <c r="K8277" s="19"/>
      <c r="L8277" s="20"/>
    </row>
    <row r="8278" spans="1:12" outlineLevel="2">
      <c r="A8278" s="34"/>
      <c r="B8278" s="12" t="str">
        <f>IFERROR(VLOOKUP(D8278,'[1]Перечень товаров'!$A$2:$I9525,2,0),"")</f>
        <v>т128</v>
      </c>
      <c r="C8278" s="12" t="str">
        <f>IFERROR(VLOOKUP(D8278,'[1]Перечень товаров'!$A$2:$I9525,3,0),"")</f>
        <v>Техника</v>
      </c>
      <c r="D8278" s="35" t="s">
        <v>1205</v>
      </c>
      <c r="E8278" s="299" t="s">
        <v>534</v>
      </c>
      <c r="F8278" s="299"/>
      <c r="G8278" s="232">
        <v>1</v>
      </c>
      <c r="H8278" s="232"/>
      <c r="I8278" s="233"/>
      <c r="J8278" s="233"/>
      <c r="K8278" s="19"/>
      <c r="L8278" s="20"/>
    </row>
    <row r="8279" spans="1:12" outlineLevel="2">
      <c r="A8279" s="34"/>
      <c r="B8279" s="12" t="str">
        <f>IFERROR(VLOOKUP(D8279,'[1]Перечень товаров'!$A$2:$I9525,2,0),"")</f>
        <v>т1</v>
      </c>
      <c r="C8279" s="12" t="str">
        <f>IFERROR(VLOOKUP(D8279,'[1]Перечень товаров'!$A$2:$I9525,3,0),"")</f>
        <v xml:space="preserve">Техника </v>
      </c>
      <c r="D8279" s="22" t="s">
        <v>28</v>
      </c>
      <c r="E8279" s="299" t="s">
        <v>534</v>
      </c>
      <c r="F8279" s="299"/>
      <c r="G8279" s="232">
        <v>1</v>
      </c>
      <c r="H8279" s="232"/>
      <c r="I8279" s="233"/>
      <c r="J8279" s="233"/>
      <c r="K8279" s="19"/>
      <c r="L8279" s="20"/>
    </row>
    <row r="8280" spans="1:12" outlineLevel="2">
      <c r="A8280" s="34"/>
      <c r="B8280" s="12" t="str">
        <f>IFERROR(VLOOKUP(D8280,'[1]Перечень товаров'!$A$2:$I9525,2,0),"")</f>
        <v>т235</v>
      </c>
      <c r="C8280" s="12" t="str">
        <f>IFERROR(VLOOKUP(D8280,'[1]Перечень товаров'!$A$2:$I9525,3,0),"")</f>
        <v>Техника</v>
      </c>
      <c r="D8280" s="35" t="s">
        <v>742</v>
      </c>
      <c r="E8280" s="299" t="s">
        <v>534</v>
      </c>
      <c r="F8280" s="299"/>
      <c r="G8280" s="232">
        <v>1</v>
      </c>
      <c r="H8280" s="232"/>
      <c r="I8280" s="233"/>
      <c r="J8280" s="233"/>
      <c r="K8280" s="19"/>
      <c r="L8280" s="20"/>
    </row>
    <row r="8281" spans="1:12" outlineLevel="2">
      <c r="A8281" s="34"/>
      <c r="B8281" s="12" t="str">
        <f>IFERROR(VLOOKUP(D8281,'[1]Перечень товаров'!$A$2:$I9525,2,0),"")</f>
        <v>т8</v>
      </c>
      <c r="C8281" s="12" t="str">
        <f>IFERROR(VLOOKUP(D8281,'[1]Перечень товаров'!$A$2:$I9525,3,0),"")</f>
        <v xml:space="preserve">Техника </v>
      </c>
      <c r="D8281" s="35" t="s">
        <v>35</v>
      </c>
      <c r="E8281" s="299" t="s">
        <v>534</v>
      </c>
      <c r="F8281" s="299"/>
      <c r="G8281" s="232">
        <v>1</v>
      </c>
      <c r="H8281" s="232"/>
      <c r="I8281" s="233"/>
      <c r="J8281" s="233"/>
      <c r="K8281" s="19"/>
      <c r="L8281" s="20"/>
    </row>
    <row r="8282" spans="1:12" outlineLevel="2">
      <c r="A8282" s="34"/>
      <c r="B8282" s="12" t="str">
        <f>IFERROR(VLOOKUP(D8282,'[1]Перечень товаров'!$A$2:$I9525,2,0),"")</f>
        <v>т4</v>
      </c>
      <c r="C8282" s="12" t="str">
        <f>IFERROR(VLOOKUP(D8282,'[1]Перечень товаров'!$A$2:$I9525,3,0),"")</f>
        <v xml:space="preserve">Техника </v>
      </c>
      <c r="D8282" s="35" t="s">
        <v>31</v>
      </c>
      <c r="E8282" s="299" t="s">
        <v>534</v>
      </c>
      <c r="F8282" s="299"/>
      <c r="G8282" s="232">
        <v>1</v>
      </c>
      <c r="H8282" s="232"/>
      <c r="I8282" s="233"/>
      <c r="J8282" s="233"/>
      <c r="K8282" s="19"/>
      <c r="L8282" s="20"/>
    </row>
    <row r="8283" spans="1:12" outlineLevel="2">
      <c r="A8283" s="34"/>
      <c r="B8283" s="12" t="str">
        <f>IFERROR(VLOOKUP(D8283,'[1]Перечень товаров'!$A$2:$I9525,2,0),"")</f>
        <v>т236</v>
      </c>
      <c r="C8283" s="12" t="str">
        <f>IFERROR(VLOOKUP(D8283,'[1]Перечень товаров'!$A$2:$I9525,3,0),"")</f>
        <v>Техника</v>
      </c>
      <c r="D8283" s="35" t="s">
        <v>743</v>
      </c>
      <c r="E8283" s="299" t="s">
        <v>534</v>
      </c>
      <c r="F8283" s="299"/>
      <c r="G8283" s="232">
        <v>1</v>
      </c>
      <c r="H8283" s="232"/>
      <c r="I8283" s="233"/>
      <c r="J8283" s="233"/>
      <c r="K8283" s="19"/>
      <c r="L8283" s="20"/>
    </row>
    <row r="8284" spans="1:12" outlineLevel="2">
      <c r="A8284" s="34"/>
      <c r="B8284" s="12" t="str">
        <f>IFERROR(VLOOKUP(D8284,'[1]Перечень товаров'!$A$2:$I9525,2,0),"")</f>
        <v>т237</v>
      </c>
      <c r="C8284" s="12" t="str">
        <f>IFERROR(VLOOKUP(D8284,'[1]Перечень товаров'!$A$2:$I9525,3,0),"")</f>
        <v>Техника</v>
      </c>
      <c r="D8284" s="35" t="s">
        <v>744</v>
      </c>
      <c r="E8284" s="299" t="s">
        <v>534</v>
      </c>
      <c r="F8284" s="299"/>
      <c r="G8284" s="232">
        <v>2</v>
      </c>
      <c r="H8284" s="232"/>
      <c r="I8284" s="233"/>
      <c r="J8284" s="233"/>
      <c r="K8284" s="19"/>
      <c r="L8284" s="20"/>
    </row>
    <row r="8285" spans="1:12" ht="12.75" outlineLevel="2">
      <c r="A8285" s="197"/>
      <c r="B8285" s="12" t="str">
        <f>IFERROR(VLOOKUP(D8285,'[1]Перечень товаров'!$A$2:$I9525,2,0),"")</f>
        <v/>
      </c>
      <c r="C8285" s="12" t="str">
        <f>IFERROR(VLOOKUP(D8285,'[1]Перечень товаров'!$A$2:$I9525,3,0),"")</f>
        <v/>
      </c>
      <c r="D8285" s="198" t="s">
        <v>19</v>
      </c>
      <c r="E8285" s="300"/>
      <c r="F8285" s="300"/>
      <c r="G8285" s="234"/>
      <c r="H8285" s="234"/>
      <c r="I8285" s="235"/>
      <c r="J8285" s="235"/>
      <c r="K8285" s="19"/>
      <c r="L8285" s="20"/>
    </row>
    <row r="8286" spans="1:12" outlineLevel="2">
      <c r="A8286" s="34"/>
      <c r="B8286" s="12" t="str">
        <f>IFERROR(VLOOKUP(D8286,'[1]Перечень товаров'!$A$2:$I9525,2,0),"")</f>
        <v>м62</v>
      </c>
      <c r="C8286" s="12" t="str">
        <f>IFERROR(VLOOKUP(D8286,'[1]Перечень товаров'!$A$2:$I9525,3,0),"")</f>
        <v>Мебель</v>
      </c>
      <c r="D8286" s="35" t="s">
        <v>398</v>
      </c>
      <c r="E8286" s="299" t="s">
        <v>534</v>
      </c>
      <c r="F8286" s="299"/>
      <c r="G8286" s="232">
        <v>1</v>
      </c>
      <c r="H8286" s="232"/>
      <c r="I8286" s="233"/>
      <c r="J8286" s="233"/>
      <c r="K8286" s="19"/>
      <c r="L8286" s="20"/>
    </row>
    <row r="8287" spans="1:12" outlineLevel="2">
      <c r="A8287" s="34"/>
      <c r="B8287" s="12" t="str">
        <f>IFERROR(VLOOKUP(D8287,'[1]Перечень товаров'!$A$2:$I9525,2,0),"")</f>
        <v>м61</v>
      </c>
      <c r="C8287" s="12" t="str">
        <f>IFERROR(VLOOKUP(D8287,'[1]Перечень товаров'!$A$2:$I9525,3,0),"")</f>
        <v>Мебель</v>
      </c>
      <c r="D8287" s="35" t="s">
        <v>383</v>
      </c>
      <c r="E8287" s="299" t="s">
        <v>534</v>
      </c>
      <c r="F8287" s="299"/>
      <c r="G8287" s="232">
        <v>1</v>
      </c>
      <c r="H8287" s="232"/>
      <c r="I8287" s="233"/>
      <c r="J8287" s="233"/>
      <c r="K8287" s="19"/>
      <c r="L8287" s="20"/>
    </row>
    <row r="8288" spans="1:12" ht="31.5" outlineLevel="2">
      <c r="A8288" s="34"/>
      <c r="B8288" s="12" t="str">
        <f>IFERROR(VLOOKUP(D8288,'[1]Перечень товаров'!$A$2:$I9525,2,0),"")</f>
        <v>д525</v>
      </c>
      <c r="C8288" s="12" t="str">
        <f>IFERROR(VLOOKUP(D8288,'[1]Перечень товаров'!$A$2:$I9525,3,0),"")</f>
        <v>дидактика</v>
      </c>
      <c r="D8288" s="35" t="s">
        <v>1230</v>
      </c>
      <c r="E8288" s="299" t="s">
        <v>534</v>
      </c>
      <c r="F8288" s="299"/>
      <c r="G8288" s="232">
        <v>13</v>
      </c>
      <c r="H8288" s="232"/>
      <c r="I8288" s="233"/>
      <c r="J8288" s="233"/>
      <c r="K8288" s="19"/>
      <c r="L8288" s="20"/>
    </row>
    <row r="8289" spans="1:12" outlineLevel="2">
      <c r="A8289" s="34"/>
      <c r="B8289" s="12" t="str">
        <f>IFERROR(VLOOKUP(D8289,'[1]Перечень товаров'!$A$2:$I9525,2,0),"")</f>
        <v>м216</v>
      </c>
      <c r="C8289" s="12" t="str">
        <f>IFERROR(VLOOKUP(D8289,'[1]Перечень товаров'!$A$2:$I9525,3,0),"")</f>
        <v>Мебель</v>
      </c>
      <c r="D8289" s="35" t="s">
        <v>854</v>
      </c>
      <c r="E8289" s="299" t="s">
        <v>855</v>
      </c>
      <c r="F8289" s="299"/>
      <c r="G8289" s="232">
        <v>1</v>
      </c>
      <c r="H8289" s="232"/>
      <c r="I8289" s="233"/>
      <c r="J8289" s="233"/>
      <c r="K8289" s="19"/>
      <c r="L8289" s="20"/>
    </row>
    <row r="8290" spans="1:12" ht="31.5" outlineLevel="2">
      <c r="A8290" s="34"/>
      <c r="B8290" s="12" t="str">
        <f>IFERROR(VLOOKUP(D8290,'[1]Перечень товаров'!$A$2:$I9525,2,0),"")</f>
        <v>д524</v>
      </c>
      <c r="C8290" s="12" t="str">
        <f>IFERROR(VLOOKUP(D8290,'[1]Перечень товаров'!$A$2:$I9525,3,0),"")</f>
        <v>дидактика</v>
      </c>
      <c r="D8290" s="35" t="s">
        <v>1231</v>
      </c>
      <c r="E8290" s="299" t="s">
        <v>534</v>
      </c>
      <c r="F8290" s="299"/>
      <c r="G8290" s="232">
        <v>1</v>
      </c>
      <c r="H8290" s="232"/>
      <c r="I8290" s="233"/>
      <c r="J8290" s="233"/>
      <c r="K8290" s="19"/>
      <c r="L8290" s="20"/>
    </row>
    <row r="8291" spans="1:12" outlineLevel="2">
      <c r="A8291" s="34"/>
      <c r="B8291" s="12" t="str">
        <f>IFERROR(VLOOKUP(D8291,'[1]Перечень товаров'!$A$2:$I9525,2,0),"")</f>
        <v>м150</v>
      </c>
      <c r="C8291" s="12" t="str">
        <f>IFERROR(VLOOKUP(D8291,'[1]Перечень товаров'!$A$2:$I9525,3,0),"")</f>
        <v>мебель</v>
      </c>
      <c r="D8291" s="35" t="s">
        <v>1232</v>
      </c>
      <c r="E8291" s="299" t="s">
        <v>534</v>
      </c>
      <c r="F8291" s="299"/>
      <c r="G8291" s="232">
        <v>1</v>
      </c>
      <c r="H8291" s="232"/>
      <c r="I8291" s="233"/>
      <c r="J8291" s="233"/>
      <c r="K8291" s="19"/>
      <c r="L8291" s="20"/>
    </row>
    <row r="8292" spans="1:12" ht="12.75" outlineLevel="2">
      <c r="A8292" s="197"/>
      <c r="B8292" s="12" t="str">
        <f>IFERROR(VLOOKUP(D8292,'[1]Перечень товаров'!$A$2:$I9525,2,0),"")</f>
        <v/>
      </c>
      <c r="C8292" s="12" t="str">
        <f>IFERROR(VLOOKUP(D8292,'[1]Перечень товаров'!$A$2:$I9525,3,0),"")</f>
        <v/>
      </c>
      <c r="D8292" s="198" t="s">
        <v>1415</v>
      </c>
      <c r="E8292" s="300"/>
      <c r="F8292" s="300"/>
      <c r="G8292" s="234"/>
      <c r="H8292" s="234"/>
      <c r="I8292" s="235"/>
      <c r="J8292" s="235"/>
      <c r="K8292" s="19"/>
      <c r="L8292" s="20"/>
    </row>
    <row r="8293" spans="1:12" ht="31.5" outlineLevel="2">
      <c r="A8293" s="21"/>
      <c r="B8293" s="12" t="str">
        <f>IFERROR(VLOOKUP(D8293,'[1]Перечень товаров'!$A$2:$I9525,2,0),"")</f>
        <v>д481</v>
      </c>
      <c r="C8293" s="12" t="str">
        <f>IFERROR(VLOOKUP(D8293,'[1]Перечень товаров'!$A$2:$I9525,3,0),"")</f>
        <v>дидактика</v>
      </c>
      <c r="D8293" s="22" t="s">
        <v>1282</v>
      </c>
      <c r="E8293" s="301" t="s">
        <v>863</v>
      </c>
      <c r="F8293" s="301"/>
      <c r="G8293" s="242">
        <v>1</v>
      </c>
      <c r="H8293" s="242"/>
      <c r="I8293" s="243"/>
      <c r="J8293" s="243"/>
      <c r="K8293" s="19"/>
      <c r="L8293" s="20"/>
    </row>
    <row r="8294" spans="1:12" ht="12.75" outlineLevel="2">
      <c r="A8294" s="197"/>
      <c r="B8294" s="12" t="str">
        <f>IFERROR(VLOOKUP(D8294,'[1]Перечень товаров'!$A$2:$I9525,2,0),"")</f>
        <v/>
      </c>
      <c r="C8294" s="12" t="str">
        <f>IFERROR(VLOOKUP(D8294,'[1]Перечень товаров'!$A$2:$I9525,3,0),"")</f>
        <v/>
      </c>
      <c r="D8294" s="198" t="s">
        <v>1439</v>
      </c>
      <c r="E8294" s="300"/>
      <c r="F8294" s="300"/>
      <c r="G8294" s="234"/>
      <c r="H8294" s="234"/>
      <c r="I8294" s="235"/>
      <c r="J8294" s="235"/>
      <c r="K8294" s="19"/>
      <c r="L8294" s="20"/>
    </row>
    <row r="8295" spans="1:12" outlineLevel="2">
      <c r="A8295" s="21"/>
      <c r="B8295" s="12" t="str">
        <f>IFERROR(VLOOKUP(D8295,'[1]Перечень товаров'!$A$2:$I9525,2,0),"")</f>
        <v>д377</v>
      </c>
      <c r="C8295" s="12" t="str">
        <f>IFERROR(VLOOKUP(D8295,'[1]Перечень товаров'!$A$2:$I9525,3,0),"")</f>
        <v>дидактика</v>
      </c>
      <c r="D8295" s="22" t="s">
        <v>1440</v>
      </c>
      <c r="E8295" s="301" t="s">
        <v>863</v>
      </c>
      <c r="F8295" s="301"/>
      <c r="G8295" s="242">
        <v>1</v>
      </c>
      <c r="H8295" s="242"/>
      <c r="I8295" s="243"/>
      <c r="J8295" s="243"/>
      <c r="K8295" s="19"/>
      <c r="L8295" s="20"/>
    </row>
    <row r="8296" spans="1:12" ht="31.5" outlineLevel="2">
      <c r="A8296" s="21"/>
      <c r="B8296" s="12" t="str">
        <f>IFERROR(VLOOKUP(D8296,'[1]Перечень товаров'!$A$2:$I9525,2,0),"")</f>
        <v>д89</v>
      </c>
      <c r="C8296" s="12" t="str">
        <f>IFERROR(VLOOKUP(D8296,'[1]Перечень товаров'!$A$2:$I9525,3,0),"")</f>
        <v>Дидактика</v>
      </c>
      <c r="D8296" s="22" t="s">
        <v>2029</v>
      </c>
      <c r="E8296" s="301" t="s">
        <v>863</v>
      </c>
      <c r="F8296" s="301"/>
      <c r="G8296" s="242">
        <v>1</v>
      </c>
      <c r="H8296" s="242"/>
      <c r="I8296" s="243"/>
      <c r="J8296" s="243"/>
      <c r="K8296" s="19"/>
      <c r="L8296" s="20"/>
    </row>
    <row r="8297" spans="1:12" outlineLevel="2">
      <c r="A8297" s="21"/>
      <c r="B8297" s="12" t="str">
        <f>IFERROR(VLOOKUP(D8297,'[1]Перечень товаров'!$A$2:$I9525,2,0),"")</f>
        <v>д88</v>
      </c>
      <c r="C8297" s="12" t="str">
        <f>IFERROR(VLOOKUP(D8297,'[1]Перечень товаров'!$A$2:$I9525,3,0),"")</f>
        <v>Дидактика</v>
      </c>
      <c r="D8297" s="22" t="s">
        <v>2030</v>
      </c>
      <c r="E8297" s="301" t="s">
        <v>534</v>
      </c>
      <c r="F8297" s="301"/>
      <c r="G8297" s="242">
        <v>1</v>
      </c>
      <c r="H8297" s="242"/>
      <c r="I8297" s="243"/>
      <c r="J8297" s="243"/>
      <c r="K8297" s="19"/>
      <c r="L8297" s="20"/>
    </row>
    <row r="8298" spans="1:12" ht="12.75" outlineLevel="2">
      <c r="A8298" s="197"/>
      <c r="B8298" s="12" t="str">
        <f>IFERROR(VLOOKUP(D8298,'[1]Перечень товаров'!$A$2:$I9525,2,0),"")</f>
        <v/>
      </c>
      <c r="C8298" s="12" t="str">
        <f>IFERROR(VLOOKUP(D8298,'[1]Перечень товаров'!$A$2:$I9525,3,0),"")</f>
        <v/>
      </c>
      <c r="D8298" s="198" t="s">
        <v>809</v>
      </c>
      <c r="E8298" s="300"/>
      <c r="F8298" s="300"/>
      <c r="G8298" s="234"/>
      <c r="H8298" s="234"/>
      <c r="I8298" s="235"/>
      <c r="J8298" s="235"/>
      <c r="K8298" s="19"/>
      <c r="L8298" s="20"/>
    </row>
    <row r="8299" spans="1:12" outlineLevel="2">
      <c r="A8299" s="34"/>
      <c r="B8299" s="12" t="str">
        <f>IFERROR(VLOOKUP(D8299,'[1]Перечень товаров'!$A$2:$I9525,2,0),"")</f>
        <v>д65</v>
      </c>
      <c r="C8299" s="12" t="str">
        <f>IFERROR(VLOOKUP(D8299,'[1]Перечень товаров'!$A$2:$I9525,3,0),"")</f>
        <v>Дидактика</v>
      </c>
      <c r="D8299" s="35" t="s">
        <v>811</v>
      </c>
      <c r="E8299" s="299" t="s">
        <v>534</v>
      </c>
      <c r="F8299" s="299"/>
      <c r="G8299" s="232">
        <v>1</v>
      </c>
      <c r="H8299" s="232"/>
      <c r="I8299" s="233"/>
      <c r="J8299" s="233"/>
      <c r="K8299" s="19"/>
      <c r="L8299" s="20"/>
    </row>
    <row r="8300" spans="1:12" outlineLevel="2">
      <c r="A8300" s="34"/>
      <c r="B8300" s="12" t="str">
        <f>IFERROR(VLOOKUP(D8300,'[1]Перечень товаров'!$A$2:$I9525,2,0),"")</f>
        <v>д66</v>
      </c>
      <c r="C8300" s="12" t="str">
        <f>IFERROR(VLOOKUP(D8300,'[1]Перечень товаров'!$A$2:$I9525,3,0),"")</f>
        <v>Дидактика</v>
      </c>
      <c r="D8300" s="35" t="s">
        <v>812</v>
      </c>
      <c r="E8300" s="299" t="s">
        <v>2031</v>
      </c>
      <c r="F8300" s="299"/>
      <c r="G8300" s="232">
        <v>1</v>
      </c>
      <c r="H8300" s="232"/>
      <c r="I8300" s="233"/>
      <c r="J8300" s="233"/>
      <c r="K8300" s="19"/>
      <c r="L8300" s="20"/>
    </row>
    <row r="8301" spans="1:12" outlineLevel="2">
      <c r="A8301" s="34"/>
      <c r="B8301" s="12" t="str">
        <f>IFERROR(VLOOKUP(D8301,'[1]Перечень товаров'!$A$2:$I9525,2,0),"")</f>
        <v>д67</v>
      </c>
      <c r="C8301" s="12" t="str">
        <f>IFERROR(VLOOKUP(D8301,'[1]Перечень товаров'!$A$2:$I9525,3,0),"")</f>
        <v>Дидактика</v>
      </c>
      <c r="D8301" s="35" t="s">
        <v>813</v>
      </c>
      <c r="E8301" s="299" t="s">
        <v>534</v>
      </c>
      <c r="F8301" s="299"/>
      <c r="G8301" s="232">
        <v>1</v>
      </c>
      <c r="H8301" s="232"/>
      <c r="I8301" s="233"/>
      <c r="J8301" s="233"/>
      <c r="K8301" s="19"/>
      <c r="L8301" s="20"/>
    </row>
    <row r="8302" spans="1:12" outlineLevel="2">
      <c r="A8302" s="34"/>
      <c r="B8302" s="12" t="str">
        <f>IFERROR(VLOOKUP(D8302,'[1]Перечень товаров'!$A$2:$I9525,2,0),"")</f>
        <v>п90</v>
      </c>
      <c r="C8302" s="12" t="str">
        <f>IFERROR(VLOOKUP(D8302,'[1]Перечень товаров'!$A$2:$I9525,3,0),"")</f>
        <v>Прочее</v>
      </c>
      <c r="D8302" s="35" t="s">
        <v>723</v>
      </c>
      <c r="E8302" s="299" t="s">
        <v>534</v>
      </c>
      <c r="F8302" s="299"/>
      <c r="G8302" s="232">
        <v>1</v>
      </c>
      <c r="H8302" s="232"/>
      <c r="I8302" s="233"/>
      <c r="J8302" s="233"/>
      <c r="K8302" s="19"/>
      <c r="L8302" s="20"/>
    </row>
    <row r="8303" spans="1:12" outlineLevel="2">
      <c r="A8303" s="34"/>
      <c r="B8303" s="12" t="str">
        <f>IFERROR(VLOOKUP(D8303,'[1]Перечень товаров'!$A$2:$I9525,2,0),"")</f>
        <v>д68</v>
      </c>
      <c r="C8303" s="12" t="str">
        <f>IFERROR(VLOOKUP(D8303,'[1]Перечень товаров'!$A$2:$I9525,3,0),"")</f>
        <v>Дидактика</v>
      </c>
      <c r="D8303" s="35" t="s">
        <v>814</v>
      </c>
      <c r="E8303" s="299" t="s">
        <v>1550</v>
      </c>
      <c r="F8303" s="299"/>
      <c r="G8303" s="232">
        <v>3</v>
      </c>
      <c r="H8303" s="232"/>
      <c r="I8303" s="233"/>
      <c r="J8303" s="233"/>
      <c r="K8303" s="19"/>
      <c r="L8303" s="20"/>
    </row>
    <row r="8304" spans="1:12" outlineLevel="2">
      <c r="A8304" s="34"/>
      <c r="B8304" s="12" t="str">
        <f>IFERROR(VLOOKUP(D8304,'[1]Перечень товаров'!$A$2:$I9525,2,0),"")</f>
        <v>д69</v>
      </c>
      <c r="C8304" s="12" t="str">
        <f>IFERROR(VLOOKUP(D8304,'[1]Перечень товаров'!$A$2:$I9525,3,0),"")</f>
        <v>Дидактика</v>
      </c>
      <c r="D8304" s="35" t="s">
        <v>815</v>
      </c>
      <c r="E8304" s="299" t="s">
        <v>534</v>
      </c>
      <c r="F8304" s="299"/>
      <c r="G8304" s="232">
        <v>8</v>
      </c>
      <c r="H8304" s="232"/>
      <c r="I8304" s="233"/>
      <c r="J8304" s="233"/>
      <c r="K8304" s="19"/>
      <c r="L8304" s="20"/>
    </row>
    <row r="8305" spans="1:12" outlineLevel="2">
      <c r="A8305" s="34"/>
      <c r="B8305" s="12" t="str">
        <f>IFERROR(VLOOKUP(D8305,'[1]Перечень товаров'!$A$2:$I9525,2,0),"")</f>
        <v>д70</v>
      </c>
      <c r="C8305" s="12" t="str">
        <f>IFERROR(VLOOKUP(D8305,'[1]Перечень товаров'!$A$2:$I9525,3,0),"")</f>
        <v>Дидактика</v>
      </c>
      <c r="D8305" s="35" t="s">
        <v>816</v>
      </c>
      <c r="E8305" s="299" t="s">
        <v>534</v>
      </c>
      <c r="F8305" s="299"/>
      <c r="G8305" s="232">
        <v>100</v>
      </c>
      <c r="H8305" s="232"/>
      <c r="I8305" s="233"/>
      <c r="J8305" s="233"/>
      <c r="K8305" s="19"/>
      <c r="L8305" s="20"/>
    </row>
    <row r="8306" spans="1:12" ht="12.75" outlineLevel="1">
      <c r="A8306" s="11"/>
      <c r="B8306" s="12" t="str">
        <f>IFERROR(VLOOKUP(D8306,'[1]Перечень товаров'!$A$2:$I9525,2,0),"")</f>
        <v/>
      </c>
      <c r="C8306" s="12" t="str">
        <f>IFERROR(VLOOKUP(D8306,'[1]Перечень товаров'!$A$2:$I9525,3,0),"")</f>
        <v/>
      </c>
      <c r="D8306" s="27" t="s">
        <v>2027</v>
      </c>
      <c r="E8306" s="14" t="s">
        <v>2032</v>
      </c>
      <c r="F8306" s="14"/>
      <c r="G8306" s="17"/>
      <c r="H8306" s="17"/>
      <c r="I8306" s="57"/>
      <c r="J8306" s="57"/>
      <c r="K8306" s="19"/>
      <c r="L8306" s="20"/>
    </row>
    <row r="8307" spans="1:12" ht="12.75" outlineLevel="2">
      <c r="A8307" s="197"/>
      <c r="B8307" s="12" t="str">
        <f>IFERROR(VLOOKUP(D8307,'[1]Перечень товаров'!$A$2:$I9525,2,0),"")</f>
        <v/>
      </c>
      <c r="C8307" s="12" t="str">
        <f>IFERROR(VLOOKUP(D8307,'[1]Перечень товаров'!$A$2:$I9525,3,0),"")</f>
        <v/>
      </c>
      <c r="D8307" s="198" t="s">
        <v>668</v>
      </c>
      <c r="E8307" s="293"/>
      <c r="F8307" s="293"/>
      <c r="G8307" s="234"/>
      <c r="H8307" s="234"/>
      <c r="I8307" s="235"/>
      <c r="J8307" s="235"/>
      <c r="K8307" s="19"/>
      <c r="L8307" s="20"/>
    </row>
    <row r="8308" spans="1:12" outlineLevel="2">
      <c r="A8308" s="34"/>
      <c r="B8308" s="12" t="str">
        <f>IFERROR(VLOOKUP(D8308,'[1]Перечень товаров'!$A$2:$I9525,2,0),"")</f>
        <v>т129</v>
      </c>
      <c r="C8308" s="12" t="str">
        <f>IFERROR(VLOOKUP(D8308,'[1]Перечень товаров'!$A$2:$I9525,3,0),"")</f>
        <v>Техника</v>
      </c>
      <c r="D8308" s="35" t="s">
        <v>1204</v>
      </c>
      <c r="E8308" s="299" t="s">
        <v>534</v>
      </c>
      <c r="F8308" s="299"/>
      <c r="G8308" s="232">
        <v>1</v>
      </c>
      <c r="H8308" s="232"/>
      <c r="I8308" s="233"/>
      <c r="J8308" s="233"/>
      <c r="K8308" s="19"/>
      <c r="L8308" s="20"/>
    </row>
    <row r="8309" spans="1:12" outlineLevel="2">
      <c r="A8309" s="34"/>
      <c r="B8309" s="12" t="str">
        <f>IFERROR(VLOOKUP(D8309,'[1]Перечень товаров'!$A$2:$I9525,2,0),"")</f>
        <v>т128</v>
      </c>
      <c r="C8309" s="12" t="str">
        <f>IFERROR(VLOOKUP(D8309,'[1]Перечень товаров'!$A$2:$I9525,3,0),"")</f>
        <v>Техника</v>
      </c>
      <c r="D8309" s="35" t="s">
        <v>1205</v>
      </c>
      <c r="E8309" s="299" t="s">
        <v>534</v>
      </c>
      <c r="F8309" s="299"/>
      <c r="G8309" s="232">
        <v>1</v>
      </c>
      <c r="H8309" s="232"/>
      <c r="I8309" s="233"/>
      <c r="J8309" s="233"/>
      <c r="K8309" s="19"/>
      <c r="L8309" s="20"/>
    </row>
    <row r="8310" spans="1:12" outlineLevel="2">
      <c r="A8310" s="34"/>
      <c r="B8310" s="12" t="str">
        <f>IFERROR(VLOOKUP(D8310,'[1]Перечень товаров'!$A$2:$I9525,2,0),"")</f>
        <v>т1</v>
      </c>
      <c r="C8310" s="12" t="str">
        <f>IFERROR(VLOOKUP(D8310,'[1]Перечень товаров'!$A$2:$I9525,3,0),"")</f>
        <v xml:space="preserve">Техника </v>
      </c>
      <c r="D8310" s="22" t="s">
        <v>28</v>
      </c>
      <c r="E8310" s="299" t="s">
        <v>534</v>
      </c>
      <c r="F8310" s="299"/>
      <c r="G8310" s="232">
        <v>1</v>
      </c>
      <c r="H8310" s="232"/>
      <c r="I8310" s="233"/>
      <c r="J8310" s="233"/>
      <c r="K8310" s="19"/>
      <c r="L8310" s="20"/>
    </row>
    <row r="8311" spans="1:12" outlineLevel="2">
      <c r="A8311" s="34"/>
      <c r="B8311" s="12" t="str">
        <f>IFERROR(VLOOKUP(D8311,'[1]Перечень товаров'!$A$2:$I9525,2,0),"")</f>
        <v>т235</v>
      </c>
      <c r="C8311" s="12" t="str">
        <f>IFERROR(VLOOKUP(D8311,'[1]Перечень товаров'!$A$2:$I9525,3,0),"")</f>
        <v>Техника</v>
      </c>
      <c r="D8311" s="35" t="s">
        <v>742</v>
      </c>
      <c r="E8311" s="299" t="s">
        <v>534</v>
      </c>
      <c r="F8311" s="299"/>
      <c r="G8311" s="232">
        <v>1</v>
      </c>
      <c r="H8311" s="232"/>
      <c r="I8311" s="233"/>
      <c r="J8311" s="233"/>
      <c r="K8311" s="19"/>
      <c r="L8311" s="20"/>
    </row>
    <row r="8312" spans="1:12" outlineLevel="2">
      <c r="A8312" s="34"/>
      <c r="B8312" s="12" t="str">
        <f>IFERROR(VLOOKUP(D8312,'[1]Перечень товаров'!$A$2:$I9525,2,0),"")</f>
        <v>т8</v>
      </c>
      <c r="C8312" s="12" t="str">
        <f>IFERROR(VLOOKUP(D8312,'[1]Перечень товаров'!$A$2:$I9525,3,0),"")</f>
        <v xml:space="preserve">Техника </v>
      </c>
      <c r="D8312" s="35" t="s">
        <v>35</v>
      </c>
      <c r="E8312" s="299" t="s">
        <v>534</v>
      </c>
      <c r="F8312" s="299"/>
      <c r="G8312" s="232">
        <v>1</v>
      </c>
      <c r="H8312" s="232"/>
      <c r="I8312" s="233"/>
      <c r="J8312" s="233"/>
      <c r="K8312" s="19"/>
      <c r="L8312" s="20"/>
    </row>
    <row r="8313" spans="1:12" outlineLevel="2">
      <c r="A8313" s="34"/>
      <c r="B8313" s="12" t="str">
        <f>IFERROR(VLOOKUP(D8313,'[1]Перечень товаров'!$A$2:$I9525,2,0),"")</f>
        <v>т4</v>
      </c>
      <c r="C8313" s="12" t="str">
        <f>IFERROR(VLOOKUP(D8313,'[1]Перечень товаров'!$A$2:$I9525,3,0),"")</f>
        <v xml:space="preserve">Техника </v>
      </c>
      <c r="D8313" s="35" t="s">
        <v>31</v>
      </c>
      <c r="E8313" s="299" t="s">
        <v>534</v>
      </c>
      <c r="F8313" s="299"/>
      <c r="G8313" s="232">
        <v>1</v>
      </c>
      <c r="H8313" s="232"/>
      <c r="I8313" s="233"/>
      <c r="J8313" s="233"/>
      <c r="K8313" s="19"/>
      <c r="L8313" s="20"/>
    </row>
    <row r="8314" spans="1:12" outlineLevel="2">
      <c r="A8314" s="34"/>
      <c r="B8314" s="12" t="str">
        <f>IFERROR(VLOOKUP(D8314,'[1]Перечень товаров'!$A$2:$I9525,2,0),"")</f>
        <v>т236</v>
      </c>
      <c r="C8314" s="12" t="str">
        <f>IFERROR(VLOOKUP(D8314,'[1]Перечень товаров'!$A$2:$I9525,3,0),"")</f>
        <v>Техника</v>
      </c>
      <c r="D8314" s="35" t="s">
        <v>743</v>
      </c>
      <c r="E8314" s="299" t="s">
        <v>534</v>
      </c>
      <c r="F8314" s="299"/>
      <c r="G8314" s="232">
        <v>1</v>
      </c>
      <c r="H8314" s="232"/>
      <c r="I8314" s="233"/>
      <c r="J8314" s="233"/>
      <c r="K8314" s="19"/>
      <c r="L8314" s="20"/>
    </row>
    <row r="8315" spans="1:12" outlineLevel="2">
      <c r="A8315" s="34"/>
      <c r="B8315" s="12" t="str">
        <f>IFERROR(VLOOKUP(D8315,'[1]Перечень товаров'!$A$2:$I9525,2,0),"")</f>
        <v>т237</v>
      </c>
      <c r="C8315" s="12" t="str">
        <f>IFERROR(VLOOKUP(D8315,'[1]Перечень товаров'!$A$2:$I9525,3,0),"")</f>
        <v>Техника</v>
      </c>
      <c r="D8315" s="35" t="s">
        <v>744</v>
      </c>
      <c r="E8315" s="299" t="s">
        <v>534</v>
      </c>
      <c r="F8315" s="299"/>
      <c r="G8315" s="232">
        <v>2</v>
      </c>
      <c r="H8315" s="232"/>
      <c r="I8315" s="233"/>
      <c r="J8315" s="233"/>
      <c r="K8315" s="19"/>
      <c r="L8315" s="20"/>
    </row>
    <row r="8316" spans="1:12" ht="12.75" outlineLevel="2">
      <c r="A8316" s="197"/>
      <c r="B8316" s="12" t="str">
        <f>IFERROR(VLOOKUP(D8316,'[1]Перечень товаров'!$A$2:$I9525,2,0),"")</f>
        <v/>
      </c>
      <c r="C8316" s="12" t="str">
        <f>IFERROR(VLOOKUP(D8316,'[1]Перечень товаров'!$A$2:$I9525,3,0),"")</f>
        <v/>
      </c>
      <c r="D8316" s="198" t="s">
        <v>19</v>
      </c>
      <c r="E8316" s="300"/>
      <c r="F8316" s="300"/>
      <c r="G8316" s="234"/>
      <c r="H8316" s="234"/>
      <c r="I8316" s="235"/>
      <c r="J8316" s="235"/>
      <c r="K8316" s="19"/>
      <c r="L8316" s="20"/>
    </row>
    <row r="8317" spans="1:12" outlineLevel="2">
      <c r="A8317" s="34"/>
      <c r="B8317" s="12" t="str">
        <f>IFERROR(VLOOKUP(D8317,'[1]Перечень товаров'!$A$2:$I9525,2,0),"")</f>
        <v>м62</v>
      </c>
      <c r="C8317" s="12" t="str">
        <f>IFERROR(VLOOKUP(D8317,'[1]Перечень товаров'!$A$2:$I9525,3,0),"")</f>
        <v>Мебель</v>
      </c>
      <c r="D8317" s="35" t="s">
        <v>398</v>
      </c>
      <c r="E8317" s="299" t="s">
        <v>534</v>
      </c>
      <c r="F8317" s="299"/>
      <c r="G8317" s="232">
        <v>1</v>
      </c>
      <c r="H8317" s="232"/>
      <c r="I8317" s="233"/>
      <c r="J8317" s="233"/>
      <c r="K8317" s="19"/>
      <c r="L8317" s="20"/>
    </row>
    <row r="8318" spans="1:12" outlineLevel="2">
      <c r="A8318" s="34"/>
      <c r="B8318" s="12" t="str">
        <f>IFERROR(VLOOKUP(D8318,'[1]Перечень товаров'!$A$2:$I9525,2,0),"")</f>
        <v>м61</v>
      </c>
      <c r="C8318" s="12" t="str">
        <f>IFERROR(VLOOKUP(D8318,'[1]Перечень товаров'!$A$2:$I9525,3,0),"")</f>
        <v>Мебель</v>
      </c>
      <c r="D8318" s="35" t="s">
        <v>383</v>
      </c>
      <c r="E8318" s="299" t="s">
        <v>534</v>
      </c>
      <c r="F8318" s="299"/>
      <c r="G8318" s="232">
        <v>1</v>
      </c>
      <c r="H8318" s="232"/>
      <c r="I8318" s="233"/>
      <c r="J8318" s="233"/>
      <c r="K8318" s="19"/>
      <c r="L8318" s="20"/>
    </row>
    <row r="8319" spans="1:12" ht="31.5" outlineLevel="2">
      <c r="A8319" s="34"/>
      <c r="B8319" s="12" t="str">
        <f>IFERROR(VLOOKUP(D8319,'[1]Перечень товаров'!$A$2:$I9525,2,0),"")</f>
        <v>д525</v>
      </c>
      <c r="C8319" s="12" t="str">
        <f>IFERROR(VLOOKUP(D8319,'[1]Перечень товаров'!$A$2:$I9525,3,0),"")</f>
        <v>дидактика</v>
      </c>
      <c r="D8319" s="35" t="s">
        <v>1230</v>
      </c>
      <c r="E8319" s="299" t="s">
        <v>534</v>
      </c>
      <c r="F8319" s="299"/>
      <c r="G8319" s="232">
        <v>13</v>
      </c>
      <c r="H8319" s="232"/>
      <c r="I8319" s="233"/>
      <c r="J8319" s="233"/>
      <c r="K8319" s="19"/>
      <c r="L8319" s="20"/>
    </row>
    <row r="8320" spans="1:12" outlineLevel="2">
      <c r="A8320" s="34"/>
      <c r="B8320" s="12" t="str">
        <f>IFERROR(VLOOKUP(D8320,'[1]Перечень товаров'!$A$2:$I9525,2,0),"")</f>
        <v>м216</v>
      </c>
      <c r="C8320" s="12" t="str">
        <f>IFERROR(VLOOKUP(D8320,'[1]Перечень товаров'!$A$2:$I9525,3,0),"")</f>
        <v>Мебель</v>
      </c>
      <c r="D8320" s="35" t="s">
        <v>854</v>
      </c>
      <c r="E8320" s="299" t="s">
        <v>855</v>
      </c>
      <c r="F8320" s="299"/>
      <c r="G8320" s="232">
        <v>1</v>
      </c>
      <c r="H8320" s="232"/>
      <c r="I8320" s="233"/>
      <c r="J8320" s="233"/>
      <c r="K8320" s="19"/>
      <c r="L8320" s="20"/>
    </row>
    <row r="8321" spans="1:12" ht="31.5" outlineLevel="2">
      <c r="A8321" s="34"/>
      <c r="B8321" s="12" t="str">
        <f>IFERROR(VLOOKUP(D8321,'[1]Перечень товаров'!$A$2:$I9525,2,0),"")</f>
        <v>д524</v>
      </c>
      <c r="C8321" s="12" t="str">
        <f>IFERROR(VLOOKUP(D8321,'[1]Перечень товаров'!$A$2:$I9525,3,0),"")</f>
        <v>дидактика</v>
      </c>
      <c r="D8321" s="35" t="s">
        <v>1231</v>
      </c>
      <c r="E8321" s="299" t="s">
        <v>534</v>
      </c>
      <c r="F8321" s="299"/>
      <c r="G8321" s="232">
        <v>1</v>
      </c>
      <c r="H8321" s="232"/>
      <c r="I8321" s="233"/>
      <c r="J8321" s="233"/>
      <c r="K8321" s="19"/>
      <c r="L8321" s="20"/>
    </row>
    <row r="8322" spans="1:12" outlineLevel="2">
      <c r="A8322" s="34"/>
      <c r="B8322" s="12" t="str">
        <f>IFERROR(VLOOKUP(D8322,'[1]Перечень товаров'!$A$2:$I9525,2,0),"")</f>
        <v>м150</v>
      </c>
      <c r="C8322" s="12" t="str">
        <f>IFERROR(VLOOKUP(D8322,'[1]Перечень товаров'!$A$2:$I9525,3,0),"")</f>
        <v>мебель</v>
      </c>
      <c r="D8322" s="35" t="s">
        <v>1232</v>
      </c>
      <c r="E8322" s="299" t="s">
        <v>534</v>
      </c>
      <c r="F8322" s="299"/>
      <c r="G8322" s="232">
        <v>1</v>
      </c>
      <c r="H8322" s="232"/>
      <c r="I8322" s="233"/>
      <c r="J8322" s="233"/>
      <c r="K8322" s="19"/>
      <c r="L8322" s="20"/>
    </row>
    <row r="8323" spans="1:12" ht="12.75" outlineLevel="2">
      <c r="A8323" s="197"/>
      <c r="B8323" s="12" t="str">
        <f>IFERROR(VLOOKUP(D8323,'[1]Перечень товаров'!$A$2:$I9525,2,0),"")</f>
        <v/>
      </c>
      <c r="C8323" s="12" t="str">
        <f>IFERROR(VLOOKUP(D8323,'[1]Перечень товаров'!$A$2:$I9525,3,0),"")</f>
        <v/>
      </c>
      <c r="D8323" s="198" t="s">
        <v>1415</v>
      </c>
      <c r="E8323" s="300"/>
      <c r="F8323" s="300"/>
      <c r="G8323" s="234"/>
      <c r="H8323" s="234"/>
      <c r="I8323" s="235"/>
      <c r="J8323" s="235"/>
      <c r="K8323" s="19"/>
      <c r="L8323" s="20"/>
    </row>
    <row r="8324" spans="1:12" ht="31.5" outlineLevel="2">
      <c r="A8324" s="21"/>
      <c r="B8324" s="12" t="str">
        <f>IFERROR(VLOOKUP(D8324,'[1]Перечень товаров'!$A$2:$I9525,2,0),"")</f>
        <v>д481</v>
      </c>
      <c r="C8324" s="12" t="str">
        <f>IFERROR(VLOOKUP(D8324,'[1]Перечень товаров'!$A$2:$I9525,3,0),"")</f>
        <v>дидактика</v>
      </c>
      <c r="D8324" s="22" t="s">
        <v>1282</v>
      </c>
      <c r="E8324" s="301" t="s">
        <v>863</v>
      </c>
      <c r="F8324" s="301"/>
      <c r="G8324" s="242">
        <v>1</v>
      </c>
      <c r="H8324" s="242"/>
      <c r="I8324" s="243"/>
      <c r="J8324" s="243"/>
      <c r="K8324" s="19"/>
      <c r="L8324" s="20"/>
    </row>
    <row r="8325" spans="1:12" ht="12.75" outlineLevel="2">
      <c r="A8325" s="197"/>
      <c r="B8325" s="12" t="str">
        <f>IFERROR(VLOOKUP(D8325,'[1]Перечень товаров'!$A$2:$I9525,2,0),"")</f>
        <v/>
      </c>
      <c r="C8325" s="12" t="str">
        <f>IFERROR(VLOOKUP(D8325,'[1]Перечень товаров'!$A$2:$I9525,3,0),"")</f>
        <v/>
      </c>
      <c r="D8325" s="198" t="s">
        <v>1439</v>
      </c>
      <c r="E8325" s="300"/>
      <c r="F8325" s="300"/>
      <c r="G8325" s="234"/>
      <c r="H8325" s="234"/>
      <c r="I8325" s="235"/>
      <c r="J8325" s="235"/>
      <c r="K8325" s="19"/>
      <c r="L8325" s="20"/>
    </row>
    <row r="8326" spans="1:12" outlineLevel="2">
      <c r="A8326" s="21"/>
      <c r="B8326" s="12" t="str">
        <f>IFERROR(VLOOKUP(D8326,'[1]Перечень товаров'!$A$2:$I9525,2,0),"")</f>
        <v>д377</v>
      </c>
      <c r="C8326" s="12" t="str">
        <f>IFERROR(VLOOKUP(D8326,'[1]Перечень товаров'!$A$2:$I9525,3,0),"")</f>
        <v>дидактика</v>
      </c>
      <c r="D8326" s="22" t="s">
        <v>1440</v>
      </c>
      <c r="E8326" s="301" t="s">
        <v>863</v>
      </c>
      <c r="F8326" s="301"/>
      <c r="G8326" s="242">
        <v>1</v>
      </c>
      <c r="H8326" s="242"/>
      <c r="I8326" s="243"/>
      <c r="J8326" s="243"/>
      <c r="K8326" s="19"/>
      <c r="L8326" s="20"/>
    </row>
    <row r="8327" spans="1:12" ht="31.5" outlineLevel="2">
      <c r="A8327" s="21"/>
      <c r="B8327" s="12" t="str">
        <f>IFERROR(VLOOKUP(D8327,'[1]Перечень товаров'!$A$2:$I9525,2,0),"")</f>
        <v>д89</v>
      </c>
      <c r="C8327" s="12" t="str">
        <f>IFERROR(VLOOKUP(D8327,'[1]Перечень товаров'!$A$2:$I9525,3,0),"")</f>
        <v>Дидактика</v>
      </c>
      <c r="D8327" s="22" t="s">
        <v>2029</v>
      </c>
      <c r="E8327" s="301" t="s">
        <v>863</v>
      </c>
      <c r="F8327" s="301"/>
      <c r="G8327" s="242">
        <v>1</v>
      </c>
      <c r="H8327" s="242"/>
      <c r="I8327" s="243"/>
      <c r="J8327" s="243"/>
      <c r="K8327" s="19"/>
      <c r="L8327" s="20"/>
    </row>
    <row r="8328" spans="1:12" outlineLevel="2">
      <c r="A8328" s="21"/>
      <c r="B8328" s="12" t="str">
        <f>IFERROR(VLOOKUP(D8328,'[1]Перечень товаров'!$A$2:$I9525,2,0),"")</f>
        <v>д88</v>
      </c>
      <c r="C8328" s="12" t="str">
        <f>IFERROR(VLOOKUP(D8328,'[1]Перечень товаров'!$A$2:$I9525,3,0),"")</f>
        <v>Дидактика</v>
      </c>
      <c r="D8328" s="22" t="s">
        <v>2030</v>
      </c>
      <c r="E8328" s="301" t="s">
        <v>534</v>
      </c>
      <c r="F8328" s="301"/>
      <c r="G8328" s="242">
        <v>1</v>
      </c>
      <c r="H8328" s="242"/>
      <c r="I8328" s="243"/>
      <c r="J8328" s="243"/>
      <c r="K8328" s="19"/>
      <c r="L8328" s="20"/>
    </row>
    <row r="8329" spans="1:12" ht="12.75" outlineLevel="2">
      <c r="A8329" s="197"/>
      <c r="B8329" s="12" t="str">
        <f>IFERROR(VLOOKUP(D8329,'[1]Перечень товаров'!$A$2:$I9525,2,0),"")</f>
        <v/>
      </c>
      <c r="C8329" s="12" t="str">
        <f>IFERROR(VLOOKUP(D8329,'[1]Перечень товаров'!$A$2:$I9525,3,0),"")</f>
        <v/>
      </c>
      <c r="D8329" s="198" t="s">
        <v>809</v>
      </c>
      <c r="E8329" s="300"/>
      <c r="F8329" s="300"/>
      <c r="G8329" s="234"/>
      <c r="H8329" s="234"/>
      <c r="I8329" s="235"/>
      <c r="J8329" s="235"/>
      <c r="K8329" s="19"/>
      <c r="L8329" s="20"/>
    </row>
    <row r="8330" spans="1:12" outlineLevel="2">
      <c r="A8330" s="34"/>
      <c r="B8330" s="12" t="str">
        <f>IFERROR(VLOOKUP(D8330,'[1]Перечень товаров'!$A$2:$I9525,2,0),"")</f>
        <v>д65</v>
      </c>
      <c r="C8330" s="12" t="str">
        <f>IFERROR(VLOOKUP(D8330,'[1]Перечень товаров'!$A$2:$I9525,3,0),"")</f>
        <v>Дидактика</v>
      </c>
      <c r="D8330" s="35" t="s">
        <v>811</v>
      </c>
      <c r="E8330" s="299" t="s">
        <v>534</v>
      </c>
      <c r="F8330" s="299"/>
      <c r="G8330" s="232">
        <v>1</v>
      </c>
      <c r="H8330" s="232"/>
      <c r="I8330" s="233"/>
      <c r="J8330" s="233"/>
      <c r="K8330" s="19"/>
      <c r="L8330" s="20"/>
    </row>
    <row r="8331" spans="1:12" outlineLevel="2">
      <c r="A8331" s="34"/>
      <c r="B8331" s="12" t="str">
        <f>IFERROR(VLOOKUP(D8331,'[1]Перечень товаров'!$A$2:$I9525,2,0),"")</f>
        <v>д66</v>
      </c>
      <c r="C8331" s="12" t="str">
        <f>IFERROR(VLOOKUP(D8331,'[1]Перечень товаров'!$A$2:$I9525,3,0),"")</f>
        <v>Дидактика</v>
      </c>
      <c r="D8331" s="35" t="s">
        <v>812</v>
      </c>
      <c r="E8331" s="299" t="s">
        <v>2031</v>
      </c>
      <c r="F8331" s="299"/>
      <c r="G8331" s="232">
        <v>1</v>
      </c>
      <c r="H8331" s="232"/>
      <c r="I8331" s="233"/>
      <c r="J8331" s="233"/>
      <c r="K8331" s="19"/>
      <c r="L8331" s="20"/>
    </row>
    <row r="8332" spans="1:12" outlineLevel="2">
      <c r="A8332" s="34"/>
      <c r="B8332" s="12" t="str">
        <f>IFERROR(VLOOKUP(D8332,'[1]Перечень товаров'!$A$2:$I9525,2,0),"")</f>
        <v>д67</v>
      </c>
      <c r="C8332" s="12" t="str">
        <f>IFERROR(VLOOKUP(D8332,'[1]Перечень товаров'!$A$2:$I9525,3,0),"")</f>
        <v>Дидактика</v>
      </c>
      <c r="D8332" s="35" t="s">
        <v>813</v>
      </c>
      <c r="E8332" s="299" t="s">
        <v>534</v>
      </c>
      <c r="F8332" s="299"/>
      <c r="G8332" s="232">
        <v>1</v>
      </c>
      <c r="H8332" s="232"/>
      <c r="I8332" s="233"/>
      <c r="J8332" s="233"/>
      <c r="K8332" s="19"/>
      <c r="L8332" s="20"/>
    </row>
    <row r="8333" spans="1:12" outlineLevel="2">
      <c r="A8333" s="34"/>
      <c r="B8333" s="12" t="str">
        <f>IFERROR(VLOOKUP(D8333,'[1]Перечень товаров'!$A$2:$I9525,2,0),"")</f>
        <v>п90</v>
      </c>
      <c r="C8333" s="12" t="str">
        <f>IFERROR(VLOOKUP(D8333,'[1]Перечень товаров'!$A$2:$I9525,3,0),"")</f>
        <v>Прочее</v>
      </c>
      <c r="D8333" s="35" t="s">
        <v>723</v>
      </c>
      <c r="E8333" s="299" t="s">
        <v>534</v>
      </c>
      <c r="F8333" s="299"/>
      <c r="G8333" s="232">
        <v>1</v>
      </c>
      <c r="H8333" s="232"/>
      <c r="I8333" s="233"/>
      <c r="J8333" s="233"/>
      <c r="K8333" s="19"/>
      <c r="L8333" s="20"/>
    </row>
    <row r="8334" spans="1:12" outlineLevel="2">
      <c r="A8334" s="34"/>
      <c r="B8334" s="12" t="str">
        <f>IFERROR(VLOOKUP(D8334,'[1]Перечень товаров'!$A$2:$I9525,2,0),"")</f>
        <v>д68</v>
      </c>
      <c r="C8334" s="12" t="str">
        <f>IFERROR(VLOOKUP(D8334,'[1]Перечень товаров'!$A$2:$I9525,3,0),"")</f>
        <v>Дидактика</v>
      </c>
      <c r="D8334" s="35" t="s">
        <v>814</v>
      </c>
      <c r="E8334" s="299" t="s">
        <v>1550</v>
      </c>
      <c r="F8334" s="299"/>
      <c r="G8334" s="232">
        <v>3</v>
      </c>
      <c r="H8334" s="232"/>
      <c r="I8334" s="233"/>
      <c r="J8334" s="233"/>
      <c r="K8334" s="19"/>
      <c r="L8334" s="20"/>
    </row>
    <row r="8335" spans="1:12" outlineLevel="2">
      <c r="A8335" s="34"/>
      <c r="B8335" s="12" t="str">
        <f>IFERROR(VLOOKUP(D8335,'[1]Перечень товаров'!$A$2:$I9525,2,0),"")</f>
        <v>д69</v>
      </c>
      <c r="C8335" s="12" t="str">
        <f>IFERROR(VLOOKUP(D8335,'[1]Перечень товаров'!$A$2:$I9525,3,0),"")</f>
        <v>Дидактика</v>
      </c>
      <c r="D8335" s="35" t="s">
        <v>815</v>
      </c>
      <c r="E8335" s="299" t="s">
        <v>534</v>
      </c>
      <c r="F8335" s="299"/>
      <c r="G8335" s="232">
        <v>8</v>
      </c>
      <c r="H8335" s="232"/>
      <c r="I8335" s="233"/>
      <c r="J8335" s="233"/>
      <c r="K8335" s="19"/>
      <c r="L8335" s="20"/>
    </row>
    <row r="8336" spans="1:12" outlineLevel="2">
      <c r="A8336" s="34"/>
      <c r="B8336" s="12" t="str">
        <f>IFERROR(VLOOKUP(D8336,'[1]Перечень товаров'!$A$2:$I9525,2,0),"")</f>
        <v>д70</v>
      </c>
      <c r="C8336" s="12" t="str">
        <f>IFERROR(VLOOKUP(D8336,'[1]Перечень товаров'!$A$2:$I9525,3,0),"")</f>
        <v>Дидактика</v>
      </c>
      <c r="D8336" s="35" t="s">
        <v>816</v>
      </c>
      <c r="E8336" s="299" t="s">
        <v>534</v>
      </c>
      <c r="F8336" s="299"/>
      <c r="G8336" s="232">
        <v>100</v>
      </c>
      <c r="H8336" s="232"/>
      <c r="I8336" s="233"/>
      <c r="J8336" s="233"/>
      <c r="K8336" s="19"/>
      <c r="L8336" s="20"/>
    </row>
    <row r="8337" spans="1:12" ht="12.75" outlineLevel="1">
      <c r="A8337" s="11"/>
      <c r="B8337" s="12" t="str">
        <f>IFERROR(VLOOKUP(D8337,'[1]Перечень товаров'!$A$2:$I9525,2,0),"")</f>
        <v/>
      </c>
      <c r="C8337" s="12" t="str">
        <f>IFERROR(VLOOKUP(D8337,'[1]Перечень товаров'!$A$2:$I9525,3,0),"")</f>
        <v/>
      </c>
      <c r="D8337" s="27" t="s">
        <v>1853</v>
      </c>
      <c r="E8337" s="99">
        <v>46189</v>
      </c>
      <c r="F8337" s="99"/>
      <c r="G8337" s="100"/>
      <c r="H8337" s="100"/>
      <c r="I8337" s="101"/>
      <c r="J8337" s="101"/>
      <c r="K8337" s="19"/>
      <c r="L8337" s="20"/>
    </row>
    <row r="8338" spans="1:12" ht="12.75" outlineLevel="2">
      <c r="A8338" s="197"/>
      <c r="B8338" s="12" t="str">
        <f>IFERROR(VLOOKUP(D8338,'[1]Перечень товаров'!$A$2:$I9525,2,0),"")</f>
        <v/>
      </c>
      <c r="C8338" s="12" t="str">
        <f>IFERROR(VLOOKUP(D8338,'[1]Перечень товаров'!$A$2:$I9525,3,0),"")</f>
        <v/>
      </c>
      <c r="D8338" s="198" t="s">
        <v>2033</v>
      </c>
      <c r="E8338" s="107"/>
      <c r="F8338" s="107"/>
      <c r="G8338" s="100"/>
      <c r="H8338" s="100"/>
      <c r="I8338" s="101"/>
      <c r="J8338" s="101"/>
      <c r="K8338" s="19"/>
      <c r="L8338" s="20"/>
    </row>
    <row r="8339" spans="1:12" ht="31.5" outlineLevel="2">
      <c r="A8339" s="21"/>
      <c r="B8339" s="12" t="str">
        <f>IFERROR(VLOOKUP(D8339,'[1]Перечень товаров'!$A$2:$I9525,2,0),"")</f>
        <v>м93</v>
      </c>
      <c r="C8339" s="12" t="str">
        <f>IFERROR(VLOOKUP(D8339,'[1]Перечень товаров'!$A$2:$I9525,3,0),"")</f>
        <v>мебель</v>
      </c>
      <c r="D8339" s="22" t="s">
        <v>2034</v>
      </c>
      <c r="E8339" s="102"/>
      <c r="F8339" s="102"/>
      <c r="G8339" s="232">
        <v>1</v>
      </c>
      <c r="H8339" s="232"/>
      <c r="I8339" s="233"/>
      <c r="J8339" s="233"/>
      <c r="K8339" s="19"/>
      <c r="L8339" s="20"/>
    </row>
    <row r="8340" spans="1:12" ht="31.5" outlineLevel="2">
      <c r="A8340" s="21"/>
      <c r="B8340" s="12" t="str">
        <f>IFERROR(VLOOKUP(D8340,'[1]Перечень товаров'!$A$2:$I9525,2,0),"")</f>
        <v>м92</v>
      </c>
      <c r="C8340" s="12" t="str">
        <f>IFERROR(VLOOKUP(D8340,'[1]Перечень товаров'!$A$2:$I9525,3,0),"")</f>
        <v>мебель</v>
      </c>
      <c r="D8340" s="22" t="s">
        <v>2035</v>
      </c>
      <c r="E8340" s="102"/>
      <c r="F8340" s="102"/>
      <c r="G8340" s="232">
        <v>1</v>
      </c>
      <c r="H8340" s="232"/>
      <c r="I8340" s="233"/>
      <c r="J8340" s="233"/>
      <c r="K8340" s="19"/>
      <c r="L8340" s="20"/>
    </row>
    <row r="8341" spans="1:12" ht="12.75" outlineLevel="2">
      <c r="A8341" s="197"/>
      <c r="B8341" s="12" t="str">
        <f>IFERROR(VLOOKUP(D8341,'[1]Перечень товаров'!$A$2:$I9525,2,0),"")</f>
        <v/>
      </c>
      <c r="C8341" s="12" t="str">
        <f>IFERROR(VLOOKUP(D8341,'[1]Перечень товаров'!$A$2:$I9525,3,0),"")</f>
        <v/>
      </c>
      <c r="D8341" s="198" t="s">
        <v>2036</v>
      </c>
      <c r="E8341" s="107"/>
      <c r="F8341" s="107"/>
      <c r="G8341" s="100"/>
      <c r="H8341" s="100"/>
      <c r="I8341" s="101"/>
      <c r="J8341" s="101"/>
      <c r="K8341" s="19"/>
      <c r="L8341" s="20"/>
    </row>
    <row r="8342" spans="1:12" ht="31.5" outlineLevel="2">
      <c r="A8342" s="21"/>
      <c r="B8342" s="12" t="str">
        <f>IFERROR(VLOOKUP(D8342,'[1]Перечень товаров'!$A$2:$I9525,2,0),"")</f>
        <v>д87</v>
      </c>
      <c r="C8342" s="12" t="str">
        <f>IFERROR(VLOOKUP(D8342,'[1]Перечень товаров'!$A$2:$I9525,3,0),"")</f>
        <v>Дидактика</v>
      </c>
      <c r="D8342" s="22" t="s">
        <v>2037</v>
      </c>
      <c r="E8342" s="102"/>
      <c r="F8342" s="102"/>
      <c r="G8342" s="242">
        <v>1</v>
      </c>
      <c r="H8342" s="242"/>
      <c r="I8342" s="243"/>
      <c r="J8342" s="243"/>
      <c r="K8342" s="19"/>
      <c r="L8342" s="20"/>
    </row>
    <row r="8343" spans="1:12" outlineLevel="2">
      <c r="A8343" s="21"/>
      <c r="B8343" s="12" t="str">
        <f>IFERROR(VLOOKUP(D8343,'[1]Перечень товаров'!$A$2:$I9525,2,0),"")</f>
        <v>д86</v>
      </c>
      <c r="C8343" s="12" t="str">
        <f>IFERROR(VLOOKUP(D8343,'[1]Перечень товаров'!$A$2:$I9525,3,0),"")</f>
        <v>Дидактика</v>
      </c>
      <c r="D8343" s="22" t="s">
        <v>2038</v>
      </c>
      <c r="E8343" s="102"/>
      <c r="F8343" s="102"/>
      <c r="G8343" s="242">
        <v>1</v>
      </c>
      <c r="H8343" s="242"/>
      <c r="I8343" s="243"/>
      <c r="J8343" s="243"/>
      <c r="K8343" s="19"/>
      <c r="L8343" s="20"/>
    </row>
    <row r="8344" spans="1:12" ht="31.5" outlineLevel="2">
      <c r="A8344" s="21"/>
      <c r="B8344" s="12" t="str">
        <f>IFERROR(VLOOKUP(D8344,'[1]Перечень товаров'!$A$2:$I9525,2,0),"")</f>
        <v>д85</v>
      </c>
      <c r="C8344" s="12" t="str">
        <f>IFERROR(VLOOKUP(D8344,'[1]Перечень товаров'!$A$2:$I9525,3,0),"")</f>
        <v>Дидактика</v>
      </c>
      <c r="D8344" s="22" t="s">
        <v>2039</v>
      </c>
      <c r="E8344" s="102"/>
      <c r="F8344" s="102"/>
      <c r="G8344" s="242">
        <v>13</v>
      </c>
      <c r="H8344" s="242"/>
      <c r="I8344" s="243"/>
      <c r="J8344" s="243"/>
      <c r="K8344" s="19"/>
      <c r="L8344" s="20"/>
    </row>
    <row r="8345" spans="1:12" ht="31.5" outlineLevel="2">
      <c r="A8345" s="21"/>
      <c r="B8345" s="12" t="str">
        <f>IFERROR(VLOOKUP(D8345,'[1]Перечень товаров'!$A$2:$I9525,2,0),"")</f>
        <v>д84</v>
      </c>
      <c r="C8345" s="12" t="str">
        <f>IFERROR(VLOOKUP(D8345,'[1]Перечень товаров'!$A$2:$I9525,3,0),"")</f>
        <v>Дидактика</v>
      </c>
      <c r="D8345" s="22" t="s">
        <v>2040</v>
      </c>
      <c r="E8345" s="102"/>
      <c r="F8345" s="102"/>
      <c r="G8345" s="242">
        <v>3</v>
      </c>
      <c r="H8345" s="242"/>
      <c r="I8345" s="243"/>
      <c r="J8345" s="243"/>
      <c r="K8345" s="19"/>
      <c r="L8345" s="20"/>
    </row>
    <row r="8346" spans="1:12" outlineLevel="2">
      <c r="A8346" s="21"/>
      <c r="B8346" s="12" t="str">
        <f>IFERROR(VLOOKUP(D8346,'[1]Перечень товаров'!$A$2:$I9525,2,0),"")</f>
        <v>д83</v>
      </c>
      <c r="C8346" s="12" t="str">
        <f>IFERROR(VLOOKUP(D8346,'[1]Перечень товаров'!$A$2:$I9525,3,0),"")</f>
        <v>Дидактика</v>
      </c>
      <c r="D8346" s="22" t="s">
        <v>2041</v>
      </c>
      <c r="E8346" s="102"/>
      <c r="F8346" s="102"/>
      <c r="G8346" s="242">
        <v>13</v>
      </c>
      <c r="H8346" s="242"/>
      <c r="I8346" s="243"/>
      <c r="J8346" s="243"/>
      <c r="K8346" s="19"/>
      <c r="L8346" s="20"/>
    </row>
    <row r="8347" spans="1:12" outlineLevel="2">
      <c r="A8347" s="21"/>
      <c r="B8347" s="12" t="str">
        <f>IFERROR(VLOOKUP(D8347,'[1]Перечень товаров'!$A$2:$I9525,2,0),"")</f>
        <v>д82</v>
      </c>
      <c r="C8347" s="12" t="str">
        <f>IFERROR(VLOOKUP(D8347,'[1]Перечень товаров'!$A$2:$I9525,3,0),"")</f>
        <v>Дидактика</v>
      </c>
      <c r="D8347" s="22" t="s">
        <v>2042</v>
      </c>
      <c r="E8347" s="102"/>
      <c r="F8347" s="102"/>
      <c r="G8347" s="242">
        <v>2</v>
      </c>
      <c r="H8347" s="242"/>
      <c r="I8347" s="243"/>
      <c r="J8347" s="243"/>
      <c r="K8347" s="19"/>
      <c r="L8347" s="20"/>
    </row>
    <row r="8348" spans="1:12" outlineLevel="2">
      <c r="A8348" s="21"/>
      <c r="B8348" s="12" t="str">
        <f>IFERROR(VLOOKUP(D8348,'[1]Перечень товаров'!$A$2:$I9525,2,0),"")</f>
        <v>д82</v>
      </c>
      <c r="C8348" s="12" t="str">
        <f>IFERROR(VLOOKUP(D8348,'[1]Перечень товаров'!$A$2:$I9525,3,0),"")</f>
        <v>Дидактика</v>
      </c>
      <c r="D8348" s="22" t="s">
        <v>2043</v>
      </c>
      <c r="E8348" s="102"/>
      <c r="F8348" s="102"/>
      <c r="G8348" s="242">
        <v>13</v>
      </c>
      <c r="H8348" s="242"/>
      <c r="I8348" s="243"/>
      <c r="J8348" s="243"/>
      <c r="K8348" s="19"/>
      <c r="L8348" s="20"/>
    </row>
    <row r="8349" spans="1:12" outlineLevel="2">
      <c r="A8349" s="21"/>
      <c r="B8349" s="12" t="str">
        <f>IFERROR(VLOOKUP(D8349,'[1]Перечень товаров'!$A$2:$I9525,2,0),"")</f>
        <v>д81</v>
      </c>
      <c r="C8349" s="12" t="str">
        <f>IFERROR(VLOOKUP(D8349,'[1]Перечень товаров'!$A$2:$I9525,3,0),"")</f>
        <v>Дидактика</v>
      </c>
      <c r="D8349" s="22" t="s">
        <v>2044</v>
      </c>
      <c r="E8349" s="102"/>
      <c r="F8349" s="102"/>
      <c r="G8349" s="242">
        <v>13</v>
      </c>
      <c r="H8349" s="242"/>
      <c r="I8349" s="243"/>
      <c r="J8349" s="243"/>
      <c r="K8349" s="19"/>
      <c r="L8349" s="20"/>
    </row>
    <row r="8350" spans="1:12" outlineLevel="2">
      <c r="A8350" s="21"/>
      <c r="B8350" s="12" t="str">
        <f>IFERROR(VLOOKUP(D8350,'[1]Перечень товаров'!$A$2:$I9525,2,0),"")</f>
        <v>д80</v>
      </c>
      <c r="C8350" s="12" t="str">
        <f>IFERROR(VLOOKUP(D8350,'[1]Перечень товаров'!$A$2:$I9525,3,0),"")</f>
        <v>Дидактика</v>
      </c>
      <c r="D8350" s="22" t="s">
        <v>2045</v>
      </c>
      <c r="E8350" s="102"/>
      <c r="F8350" s="102"/>
      <c r="G8350" s="242">
        <v>3</v>
      </c>
      <c r="H8350" s="242"/>
      <c r="I8350" s="243"/>
      <c r="J8350" s="243"/>
      <c r="K8350" s="19"/>
      <c r="L8350" s="20"/>
    </row>
    <row r="8351" spans="1:12" ht="31.5" outlineLevel="2">
      <c r="A8351" s="21"/>
      <c r="B8351" s="12" t="str">
        <f>IFERROR(VLOOKUP(D8351,'[1]Перечень товаров'!$A$2:$I9525,2,0),"")</f>
        <v>д79</v>
      </c>
      <c r="C8351" s="12" t="str">
        <f>IFERROR(VLOOKUP(D8351,'[1]Перечень товаров'!$A$2:$I9525,3,0),"")</f>
        <v>Дидактика</v>
      </c>
      <c r="D8351" s="22" t="s">
        <v>2046</v>
      </c>
      <c r="E8351" s="102"/>
      <c r="F8351" s="102"/>
      <c r="G8351" s="242">
        <v>7</v>
      </c>
      <c r="H8351" s="242"/>
      <c r="I8351" s="243"/>
      <c r="J8351" s="243"/>
      <c r="K8351" s="19"/>
      <c r="L8351" s="20"/>
    </row>
    <row r="8352" spans="1:12" outlineLevel="2">
      <c r="A8352" s="21"/>
      <c r="B8352" s="12" t="str">
        <f>IFERROR(VLOOKUP(D8352,'[1]Перечень товаров'!$A$2:$I9525,2,0),"")</f>
        <v>д78</v>
      </c>
      <c r="C8352" s="12" t="str">
        <f>IFERROR(VLOOKUP(D8352,'[1]Перечень товаров'!$A$2:$I9525,3,0),"")</f>
        <v>Дидактика</v>
      </c>
      <c r="D8352" s="22" t="s">
        <v>2047</v>
      </c>
      <c r="E8352" s="102"/>
      <c r="F8352" s="102"/>
      <c r="G8352" s="242">
        <v>3</v>
      </c>
      <c r="H8352" s="242"/>
      <c r="I8352" s="243"/>
      <c r="J8352" s="243"/>
      <c r="K8352" s="19"/>
      <c r="L8352" s="20"/>
    </row>
    <row r="8353" spans="1:12" outlineLevel="2">
      <c r="A8353" s="21"/>
      <c r="B8353" s="12" t="str">
        <f>IFERROR(VLOOKUP(D8353,'[1]Перечень товаров'!$A$2:$I9525,2,0),"")</f>
        <v>д77</v>
      </c>
      <c r="C8353" s="12" t="str">
        <f>IFERROR(VLOOKUP(D8353,'[1]Перечень товаров'!$A$2:$I9525,3,0),"")</f>
        <v>Дидактика</v>
      </c>
      <c r="D8353" s="22" t="s">
        <v>2048</v>
      </c>
      <c r="E8353" s="102"/>
      <c r="F8353" s="102"/>
      <c r="G8353" s="242">
        <v>13</v>
      </c>
      <c r="H8353" s="242"/>
      <c r="I8353" s="243"/>
      <c r="J8353" s="243"/>
      <c r="K8353" s="19"/>
      <c r="L8353" s="20"/>
    </row>
    <row r="8354" spans="1:12" outlineLevel="2">
      <c r="A8354" s="21"/>
      <c r="B8354" s="12" t="str">
        <f>IFERROR(VLOOKUP(D8354,'[1]Перечень товаров'!$A$2:$I9525,2,0),"")</f>
        <v>д76</v>
      </c>
      <c r="C8354" s="12" t="str">
        <f>IFERROR(VLOOKUP(D8354,'[1]Перечень товаров'!$A$2:$I9525,3,0),"")</f>
        <v>Дидактика</v>
      </c>
      <c r="D8354" s="22" t="s">
        <v>2049</v>
      </c>
      <c r="E8354" s="102"/>
      <c r="F8354" s="102"/>
      <c r="G8354" s="242">
        <v>6</v>
      </c>
      <c r="H8354" s="242"/>
      <c r="I8354" s="243"/>
      <c r="J8354" s="243"/>
      <c r="K8354" s="19"/>
      <c r="L8354" s="20"/>
    </row>
    <row r="8355" spans="1:12" outlineLevel="2">
      <c r="A8355" s="21"/>
      <c r="B8355" s="12" t="str">
        <f>IFERROR(VLOOKUP(D8355,'[1]Перечень товаров'!$A$2:$I9525,2,0),"")</f>
        <v>д75</v>
      </c>
      <c r="C8355" s="12" t="str">
        <f>IFERROR(VLOOKUP(D8355,'[1]Перечень товаров'!$A$2:$I9525,3,0),"")</f>
        <v>Дидактика</v>
      </c>
      <c r="D8355" s="22" t="s">
        <v>2050</v>
      </c>
      <c r="E8355" s="102"/>
      <c r="F8355" s="102"/>
      <c r="G8355" s="242">
        <v>13</v>
      </c>
      <c r="H8355" s="242"/>
      <c r="I8355" s="243"/>
      <c r="J8355" s="243"/>
      <c r="K8355" s="19"/>
      <c r="L8355" s="20"/>
    </row>
    <row r="8356" spans="1:12" outlineLevel="2">
      <c r="A8356" s="21"/>
      <c r="B8356" s="12" t="str">
        <f>IFERROR(VLOOKUP(D8356,'[1]Перечень товаров'!$A$2:$I9525,2,0),"")</f>
        <v>д74</v>
      </c>
      <c r="C8356" s="12" t="str">
        <f>IFERROR(VLOOKUP(D8356,'[1]Перечень товаров'!$A$2:$I9525,3,0),"")</f>
        <v>Дидактика</v>
      </c>
      <c r="D8356" s="22" t="s">
        <v>2051</v>
      </c>
      <c r="E8356" s="102"/>
      <c r="F8356" s="102"/>
      <c r="G8356" s="242">
        <v>3</v>
      </c>
      <c r="H8356" s="242"/>
      <c r="I8356" s="243"/>
      <c r="J8356" s="243"/>
      <c r="K8356" s="19"/>
      <c r="L8356" s="20"/>
    </row>
    <row r="8357" spans="1:12" ht="31.5" outlineLevel="2">
      <c r="A8357" s="21"/>
      <c r="B8357" s="12" t="str">
        <f>IFERROR(VLOOKUP(D8357,'[1]Перечень товаров'!$A$2:$I9525,2,0),"")</f>
        <v>д73</v>
      </c>
      <c r="C8357" s="12" t="str">
        <f>IFERROR(VLOOKUP(D8357,'[1]Перечень товаров'!$A$2:$I9525,3,0),"")</f>
        <v>Дидактика</v>
      </c>
      <c r="D8357" s="22" t="s">
        <v>2052</v>
      </c>
      <c r="E8357" s="102"/>
      <c r="F8357" s="102"/>
      <c r="G8357" s="242">
        <v>1</v>
      </c>
      <c r="H8357" s="242"/>
      <c r="I8357" s="243"/>
      <c r="J8357" s="243"/>
      <c r="K8357" s="19"/>
      <c r="L8357" s="20"/>
    </row>
    <row r="8358" spans="1:12" outlineLevel="2">
      <c r="A8358" s="21"/>
      <c r="B8358" s="12" t="str">
        <f>IFERROR(VLOOKUP(D8358,'[1]Перечень товаров'!$A$2:$I9525,2,0),"")</f>
        <v>д72</v>
      </c>
      <c r="C8358" s="12" t="str">
        <f>IFERROR(VLOOKUP(D8358,'[1]Перечень товаров'!$A$2:$I9525,3,0),"")</f>
        <v>Дидактика</v>
      </c>
      <c r="D8358" s="22" t="s">
        <v>2053</v>
      </c>
      <c r="E8358" s="102"/>
      <c r="F8358" s="102"/>
      <c r="G8358" s="242">
        <v>2</v>
      </c>
      <c r="H8358" s="242"/>
      <c r="I8358" s="243"/>
      <c r="J8358" s="243"/>
      <c r="K8358" s="19"/>
      <c r="L8358" s="20"/>
    </row>
    <row r="8359" spans="1:12" outlineLevel="2">
      <c r="A8359" s="21"/>
      <c r="B8359" s="12" t="str">
        <f>IFERROR(VLOOKUP(D8359,'[1]Перечень товаров'!$A$2:$I9525,2,0),"")</f>
        <v>д71</v>
      </c>
      <c r="C8359" s="12" t="str">
        <f>IFERROR(VLOOKUP(D8359,'[1]Перечень товаров'!$A$2:$I9525,3,0),"")</f>
        <v>Дидактика</v>
      </c>
      <c r="D8359" s="22" t="s">
        <v>2054</v>
      </c>
      <c r="E8359" s="102"/>
      <c r="F8359" s="102"/>
      <c r="G8359" s="242">
        <v>6</v>
      </c>
      <c r="H8359" s="242"/>
      <c r="I8359" s="243"/>
      <c r="J8359" s="243"/>
      <c r="K8359" s="19"/>
      <c r="L8359" s="20"/>
    </row>
    <row r="8360" spans="1:12" outlineLevel="2">
      <c r="A8360" s="21"/>
      <c r="B8360" s="12" t="str">
        <f>IFERROR(VLOOKUP(D8360,'[1]Перечень товаров'!$A$2:$I9525,2,0),"")</f>
        <v>д70</v>
      </c>
      <c r="C8360" s="12" t="str">
        <f>IFERROR(VLOOKUP(D8360,'[1]Перечень товаров'!$A$2:$I9525,3,0),"")</f>
        <v>Дидактика</v>
      </c>
      <c r="D8360" s="22" t="s">
        <v>2055</v>
      </c>
      <c r="E8360" s="102"/>
      <c r="F8360" s="102"/>
      <c r="G8360" s="242">
        <v>5</v>
      </c>
      <c r="H8360" s="242"/>
      <c r="I8360" s="243"/>
      <c r="J8360" s="243"/>
      <c r="K8360" s="19"/>
      <c r="L8360" s="20"/>
    </row>
    <row r="8361" spans="1:12" ht="12.75" outlineLevel="1">
      <c r="A8361" s="11"/>
      <c r="B8361" s="12" t="str">
        <f>IFERROR(VLOOKUP(D8361,'[1]Перечень товаров'!$A$2:$I9525,2,0),"")</f>
        <v/>
      </c>
      <c r="C8361" s="12" t="str">
        <f>IFERROR(VLOOKUP(D8361,'[1]Перечень товаров'!$A$2:$I9525,3,0),"")</f>
        <v/>
      </c>
      <c r="D8361" s="27" t="s">
        <v>2056</v>
      </c>
      <c r="E8361" s="14" t="s">
        <v>525</v>
      </c>
      <c r="F8361" s="14"/>
      <c r="G8361" s="17"/>
      <c r="H8361" s="17"/>
      <c r="I8361" s="57"/>
      <c r="J8361" s="57"/>
      <c r="K8361" s="19"/>
      <c r="L8361" s="20"/>
    </row>
    <row r="8362" spans="1:12" outlineLevel="2">
      <c r="A8362" s="34"/>
      <c r="B8362" s="12" t="str">
        <f>IFERROR(VLOOKUP(D8362,'[1]Перечень товаров'!$A$2:$I9525,2,0),"")</f>
        <v>т129</v>
      </c>
      <c r="C8362" s="12" t="str">
        <f>IFERROR(VLOOKUP(D8362,'[1]Перечень товаров'!$A$2:$I9525,3,0),"")</f>
        <v>Техника</v>
      </c>
      <c r="D8362" s="35" t="s">
        <v>1204</v>
      </c>
      <c r="E8362" s="23"/>
      <c r="F8362" s="23"/>
      <c r="G8362" s="232">
        <v>1</v>
      </c>
      <c r="H8362" s="232"/>
      <c r="I8362" s="233"/>
      <c r="J8362" s="233"/>
      <c r="K8362" s="19"/>
      <c r="L8362" s="20"/>
    </row>
    <row r="8363" spans="1:12" outlineLevel="2">
      <c r="A8363" s="34"/>
      <c r="B8363" s="12" t="str">
        <f>IFERROR(VLOOKUP(D8363,'[1]Перечень товаров'!$A$2:$I9525,2,0),"")</f>
        <v>т128</v>
      </c>
      <c r="C8363" s="12" t="str">
        <f>IFERROR(VLOOKUP(D8363,'[1]Перечень товаров'!$A$2:$I9525,3,0),"")</f>
        <v>Техника</v>
      </c>
      <c r="D8363" s="35" t="s">
        <v>1205</v>
      </c>
      <c r="E8363" s="23"/>
      <c r="F8363" s="23"/>
      <c r="G8363" s="232">
        <v>1</v>
      </c>
      <c r="H8363" s="232"/>
      <c r="I8363" s="233"/>
      <c r="J8363" s="233"/>
      <c r="K8363" s="19"/>
      <c r="L8363" s="20"/>
    </row>
    <row r="8364" spans="1:12" outlineLevel="2">
      <c r="A8364" s="34"/>
      <c r="B8364" s="12" t="str">
        <f>IFERROR(VLOOKUP(D8364,'[1]Перечень товаров'!$A$2:$I9525,2,0),"")</f>
        <v>т1</v>
      </c>
      <c r="C8364" s="12" t="str">
        <f>IFERROR(VLOOKUP(D8364,'[1]Перечень товаров'!$A$2:$I9525,3,0),"")</f>
        <v xml:space="preserve">Техника </v>
      </c>
      <c r="D8364" s="22" t="s">
        <v>28</v>
      </c>
      <c r="E8364" s="23"/>
      <c r="F8364" s="23"/>
      <c r="G8364" s="232">
        <v>1</v>
      </c>
      <c r="H8364" s="232"/>
      <c r="I8364" s="233"/>
      <c r="J8364" s="233"/>
      <c r="K8364" s="19"/>
      <c r="L8364" s="20"/>
    </row>
    <row r="8365" spans="1:12" outlineLevel="2">
      <c r="A8365" s="34"/>
      <c r="B8365" s="12" t="str">
        <f>IFERROR(VLOOKUP(D8365,'[1]Перечень товаров'!$A$2:$I9525,2,0),"")</f>
        <v>т235</v>
      </c>
      <c r="C8365" s="12" t="str">
        <f>IFERROR(VLOOKUP(D8365,'[1]Перечень товаров'!$A$2:$I9525,3,0),"")</f>
        <v>Техника</v>
      </c>
      <c r="D8365" s="35" t="s">
        <v>742</v>
      </c>
      <c r="E8365" s="23"/>
      <c r="F8365" s="23"/>
      <c r="G8365" s="232">
        <v>1</v>
      </c>
      <c r="H8365" s="232"/>
      <c r="I8365" s="233"/>
      <c r="J8365" s="233"/>
      <c r="K8365" s="19"/>
      <c r="L8365" s="20"/>
    </row>
    <row r="8366" spans="1:12" outlineLevel="2">
      <c r="A8366" s="34"/>
      <c r="B8366" s="12" t="str">
        <f>IFERROR(VLOOKUP(D8366,'[1]Перечень товаров'!$A$2:$I9525,2,0),"")</f>
        <v>т8</v>
      </c>
      <c r="C8366" s="12" t="str">
        <f>IFERROR(VLOOKUP(D8366,'[1]Перечень товаров'!$A$2:$I9525,3,0),"")</f>
        <v xml:space="preserve">Техника </v>
      </c>
      <c r="D8366" s="35" t="s">
        <v>35</v>
      </c>
      <c r="E8366" s="23"/>
      <c r="F8366" s="23"/>
      <c r="G8366" s="232">
        <v>1</v>
      </c>
      <c r="H8366" s="232"/>
      <c r="I8366" s="233"/>
      <c r="J8366" s="233"/>
      <c r="K8366" s="19"/>
      <c r="L8366" s="20"/>
    </row>
    <row r="8367" spans="1:12" outlineLevel="2">
      <c r="A8367" s="34"/>
      <c r="B8367" s="12" t="str">
        <f>IFERROR(VLOOKUP(D8367,'[1]Перечень товаров'!$A$2:$I9525,2,0),"")</f>
        <v>т236</v>
      </c>
      <c r="C8367" s="12" t="str">
        <f>IFERROR(VLOOKUP(D8367,'[1]Перечень товаров'!$A$2:$I9525,3,0),"")</f>
        <v>Техника</v>
      </c>
      <c r="D8367" s="35" t="s">
        <v>743</v>
      </c>
      <c r="E8367" s="23"/>
      <c r="F8367" s="23"/>
      <c r="G8367" s="232">
        <v>1</v>
      </c>
      <c r="H8367" s="232"/>
      <c r="I8367" s="233"/>
      <c r="J8367" s="233"/>
      <c r="K8367" s="19"/>
      <c r="L8367" s="20"/>
    </row>
    <row r="8368" spans="1:12" outlineLevel="2">
      <c r="A8368" s="34"/>
      <c r="B8368" s="12" t="str">
        <f>IFERROR(VLOOKUP(D8368,'[1]Перечень товаров'!$A$2:$I9525,2,0),"")</f>
        <v>т237</v>
      </c>
      <c r="C8368" s="12" t="str">
        <f>IFERROR(VLOOKUP(D8368,'[1]Перечень товаров'!$A$2:$I9525,3,0),"")</f>
        <v>Техника</v>
      </c>
      <c r="D8368" s="35" t="s">
        <v>744</v>
      </c>
      <c r="E8368" s="23"/>
      <c r="F8368" s="23"/>
      <c r="G8368" s="232">
        <v>2</v>
      </c>
      <c r="H8368" s="232"/>
      <c r="I8368" s="233"/>
      <c r="J8368" s="233"/>
      <c r="K8368" s="19"/>
      <c r="L8368" s="20"/>
    </row>
    <row r="8369" spans="1:12" ht="31.5" outlineLevel="2">
      <c r="A8369" s="34"/>
      <c r="B8369" s="12" t="str">
        <f>IFERROR(VLOOKUP(D8369,'[1]Перечень товаров'!$A$2:$I9525,2,0),"")</f>
        <v>т117</v>
      </c>
      <c r="C8369" s="12" t="str">
        <f>IFERROR(VLOOKUP(D8369,'[1]Перечень товаров'!$A$2:$I9525,3,0),"")</f>
        <v>Техника</v>
      </c>
      <c r="D8369" s="35" t="s">
        <v>1412</v>
      </c>
      <c r="E8369" s="23"/>
      <c r="F8369" s="23"/>
      <c r="G8369" s="232">
        <v>1</v>
      </c>
      <c r="H8369" s="232"/>
      <c r="I8369" s="233"/>
      <c r="J8369" s="233"/>
      <c r="K8369" s="19"/>
      <c r="L8369" s="20"/>
    </row>
    <row r="8370" spans="1:12" ht="12.75" outlineLevel="2">
      <c r="A8370" s="245"/>
      <c r="B8370" s="12" t="str">
        <f>IFERROR(VLOOKUP(D8370,'[1]Перечень товаров'!$A$2:$I9525,2,0),"")</f>
        <v/>
      </c>
      <c r="C8370" s="12" t="str">
        <f>IFERROR(VLOOKUP(D8370,'[1]Перечень товаров'!$A$2:$I9525,3,0),"")</f>
        <v/>
      </c>
      <c r="D8370" s="246" t="s">
        <v>19</v>
      </c>
      <c r="E8370" s="15"/>
      <c r="F8370" s="15"/>
      <c r="G8370" s="234"/>
      <c r="H8370" s="234"/>
      <c r="I8370" s="235"/>
      <c r="J8370" s="235"/>
      <c r="K8370" s="19"/>
      <c r="L8370" s="20"/>
    </row>
    <row r="8371" spans="1:12" outlineLevel="2">
      <c r="A8371" s="34"/>
      <c r="B8371" s="12" t="str">
        <f>IFERROR(VLOOKUP(D8371,'[1]Перечень товаров'!$A$2:$I9525,2,0),"")</f>
        <v>м62</v>
      </c>
      <c r="C8371" s="12" t="str">
        <f>IFERROR(VLOOKUP(D8371,'[1]Перечень товаров'!$A$2:$I9525,3,0),"")</f>
        <v>Мебель</v>
      </c>
      <c r="D8371" s="35" t="s">
        <v>398</v>
      </c>
      <c r="E8371" s="23"/>
      <c r="F8371" s="23"/>
      <c r="G8371" s="232">
        <v>1</v>
      </c>
      <c r="H8371" s="232"/>
      <c r="I8371" s="233"/>
      <c r="J8371" s="233"/>
      <c r="K8371" s="19"/>
      <c r="L8371" s="20"/>
    </row>
    <row r="8372" spans="1:12" outlineLevel="2">
      <c r="A8372" s="34"/>
      <c r="B8372" s="12" t="str">
        <f>IFERROR(VLOOKUP(D8372,'[1]Перечень товаров'!$A$2:$I9525,2,0),"")</f>
        <v>м61</v>
      </c>
      <c r="C8372" s="12" t="str">
        <f>IFERROR(VLOOKUP(D8372,'[1]Перечень товаров'!$A$2:$I9525,3,0),"")</f>
        <v>Мебель</v>
      </c>
      <c r="D8372" s="35" t="s">
        <v>383</v>
      </c>
      <c r="E8372" s="23"/>
      <c r="F8372" s="23"/>
      <c r="G8372" s="232">
        <v>1</v>
      </c>
      <c r="H8372" s="232"/>
      <c r="I8372" s="233"/>
      <c r="J8372" s="233"/>
      <c r="K8372" s="19"/>
      <c r="L8372" s="20"/>
    </row>
    <row r="8373" spans="1:12" ht="31.5" outlineLevel="2">
      <c r="A8373" s="34"/>
      <c r="B8373" s="12" t="str">
        <f>IFERROR(VLOOKUP(D8373,'[1]Перечень товаров'!$A$2:$I9525,2,0),"")</f>
        <v>д525</v>
      </c>
      <c r="C8373" s="12" t="str">
        <f>IFERROR(VLOOKUP(D8373,'[1]Перечень товаров'!$A$2:$I9525,3,0),"")</f>
        <v>дидактика</v>
      </c>
      <c r="D8373" s="35" t="s">
        <v>1230</v>
      </c>
      <c r="E8373" s="23"/>
      <c r="F8373" s="23"/>
      <c r="G8373" s="232">
        <v>13</v>
      </c>
      <c r="H8373" s="232"/>
      <c r="I8373" s="233"/>
      <c r="J8373" s="233"/>
      <c r="K8373" s="19"/>
      <c r="L8373" s="20"/>
    </row>
    <row r="8374" spans="1:12" outlineLevel="2">
      <c r="A8374" s="34"/>
      <c r="B8374" s="12" t="str">
        <f>IFERROR(VLOOKUP(D8374,'[1]Перечень товаров'!$A$2:$I9525,2,0),"")</f>
        <v>м209</v>
      </c>
      <c r="C8374" s="12" t="str">
        <f>IFERROR(VLOOKUP(D8374,'[1]Перечень товаров'!$A$2:$I9525,3,0),"")</f>
        <v>Мебель</v>
      </c>
      <c r="D8374" s="35" t="s">
        <v>749</v>
      </c>
      <c r="E8374" s="23"/>
      <c r="F8374" s="23"/>
      <c r="G8374" s="232">
        <v>1</v>
      </c>
      <c r="H8374" s="232"/>
      <c r="I8374" s="233"/>
      <c r="J8374" s="233"/>
      <c r="K8374" s="19"/>
      <c r="L8374" s="20"/>
    </row>
    <row r="8375" spans="1:12" ht="31.5" outlineLevel="2">
      <c r="A8375" s="34"/>
      <c r="B8375" s="12" t="str">
        <f>IFERROR(VLOOKUP(D8375,'[1]Перечень товаров'!$A$2:$I9525,2,0),"")</f>
        <v>д524</v>
      </c>
      <c r="C8375" s="12" t="str">
        <f>IFERROR(VLOOKUP(D8375,'[1]Перечень товаров'!$A$2:$I9525,3,0),"")</f>
        <v>дидактика</v>
      </c>
      <c r="D8375" s="35" t="s">
        <v>1231</v>
      </c>
      <c r="E8375" s="23"/>
      <c r="F8375" s="23"/>
      <c r="G8375" s="232">
        <v>1</v>
      </c>
      <c r="H8375" s="232"/>
      <c r="I8375" s="233"/>
      <c r="J8375" s="233"/>
      <c r="K8375" s="19"/>
      <c r="L8375" s="20"/>
    </row>
    <row r="8376" spans="1:12" ht="31.5" outlineLevel="2">
      <c r="A8376" s="21"/>
      <c r="B8376" s="12" t="str">
        <f>IFERROR(VLOOKUP(D8376,'[1]Перечень товаров'!$A$2:$I9525,2,0),"")</f>
        <v>м91</v>
      </c>
      <c r="C8376" s="12" t="str">
        <f>IFERROR(VLOOKUP(D8376,'[1]Перечень товаров'!$A$2:$I9525,3,0),"")</f>
        <v>мебель</v>
      </c>
      <c r="D8376" s="22" t="s">
        <v>2057</v>
      </c>
      <c r="E8376" s="23"/>
      <c r="F8376" s="23"/>
      <c r="G8376" s="232">
        <v>1</v>
      </c>
      <c r="H8376" s="232"/>
      <c r="I8376" s="233"/>
      <c r="J8376" s="233"/>
      <c r="K8376" s="19"/>
      <c r="L8376" s="20"/>
    </row>
    <row r="8377" spans="1:12" ht="12.75" outlineLevel="2">
      <c r="A8377" s="197"/>
      <c r="B8377" s="12" t="str">
        <f>IFERROR(VLOOKUP(D8377,'[1]Перечень товаров'!$A$2:$I9525,2,0),"")</f>
        <v/>
      </c>
      <c r="C8377" s="12" t="str">
        <f>IFERROR(VLOOKUP(D8377,'[1]Перечень товаров'!$A$2:$I9525,3,0),"")</f>
        <v/>
      </c>
      <c r="D8377" s="198" t="s">
        <v>2058</v>
      </c>
      <c r="E8377" s="15"/>
      <c r="F8377" s="15"/>
      <c r="G8377" s="17"/>
      <c r="H8377" s="17"/>
      <c r="I8377" s="57"/>
      <c r="J8377" s="57"/>
      <c r="K8377" s="19"/>
      <c r="L8377" s="20"/>
    </row>
    <row r="8378" spans="1:12" ht="31.5" outlineLevel="2">
      <c r="A8378" s="21"/>
      <c r="B8378" s="12" t="str">
        <f>IFERROR(VLOOKUP(D8378,'[1]Перечень товаров'!$A$2:$I9525,2,0),"")</f>
        <v>д69</v>
      </c>
      <c r="C8378" s="12" t="str">
        <f>IFERROR(VLOOKUP(D8378,'[1]Перечень товаров'!$A$2:$I9525,3,0),"")</f>
        <v>Дидактика</v>
      </c>
      <c r="D8378" s="22" t="s">
        <v>2059</v>
      </c>
      <c r="E8378" s="23"/>
      <c r="F8378" s="23"/>
      <c r="G8378" s="242">
        <v>1</v>
      </c>
      <c r="H8378" s="242"/>
      <c r="I8378" s="243"/>
      <c r="J8378" s="243"/>
      <c r="K8378" s="19"/>
      <c r="L8378" s="20"/>
    </row>
    <row r="8379" spans="1:12" ht="63" outlineLevel="2">
      <c r="A8379" s="21"/>
      <c r="B8379" s="12" t="str">
        <f>IFERROR(VLOOKUP(D8379,'[1]Перечень товаров'!$A$2:$I9525,2,0),"")</f>
        <v>д68</v>
      </c>
      <c r="C8379" s="12" t="str">
        <f>IFERROR(VLOOKUP(D8379,'[1]Перечень товаров'!$A$2:$I9525,3,0),"")</f>
        <v>Дидактика</v>
      </c>
      <c r="D8379" s="22" t="s">
        <v>2060</v>
      </c>
      <c r="E8379" s="23"/>
      <c r="F8379" s="23"/>
      <c r="G8379" s="242">
        <v>1</v>
      </c>
      <c r="H8379" s="242"/>
      <c r="I8379" s="243"/>
      <c r="J8379" s="243"/>
      <c r="K8379" s="19"/>
      <c r="L8379" s="20"/>
    </row>
    <row r="8380" spans="1:12" ht="31.5" outlineLevel="2">
      <c r="A8380" s="21"/>
      <c r="B8380" s="12" t="str">
        <f>IFERROR(VLOOKUP(D8380,'[1]Перечень товаров'!$A$2:$I9525,2,0),"")</f>
        <v>д67</v>
      </c>
      <c r="C8380" s="12" t="str">
        <f>IFERROR(VLOOKUP(D8380,'[1]Перечень товаров'!$A$2:$I9525,3,0),"")</f>
        <v>Дидактика</v>
      </c>
      <c r="D8380" s="22" t="s">
        <v>2061</v>
      </c>
      <c r="E8380" s="23"/>
      <c r="F8380" s="23"/>
      <c r="G8380" s="242">
        <v>1</v>
      </c>
      <c r="H8380" s="242"/>
      <c r="I8380" s="243"/>
      <c r="J8380" s="243"/>
      <c r="K8380" s="19"/>
      <c r="L8380" s="20"/>
    </row>
    <row r="8381" spans="1:12" ht="31.5" outlineLevel="2">
      <c r="A8381" s="21"/>
      <c r="B8381" s="12" t="str">
        <f>IFERROR(VLOOKUP(D8381,'[1]Перечень товаров'!$A$2:$I9525,2,0),"")</f>
        <v>д66</v>
      </c>
      <c r="C8381" s="12" t="str">
        <f>IFERROR(VLOOKUP(D8381,'[1]Перечень товаров'!$A$2:$I9525,3,0),"")</f>
        <v>Дидактика</v>
      </c>
      <c r="D8381" s="22" t="s">
        <v>2062</v>
      </c>
      <c r="E8381" s="23"/>
      <c r="F8381" s="23"/>
      <c r="G8381" s="242">
        <v>1</v>
      </c>
      <c r="H8381" s="242"/>
      <c r="I8381" s="243"/>
      <c r="J8381" s="243"/>
      <c r="K8381" s="19"/>
      <c r="L8381" s="20"/>
    </row>
    <row r="8382" spans="1:12" ht="31.5" outlineLevel="2">
      <c r="A8382" s="21"/>
      <c r="B8382" s="12" t="str">
        <f>IFERROR(VLOOKUP(D8382,'[1]Перечень товаров'!$A$2:$I9525,2,0),"")</f>
        <v>д65</v>
      </c>
      <c r="C8382" s="12" t="str">
        <f>IFERROR(VLOOKUP(D8382,'[1]Перечень товаров'!$A$2:$I9525,3,0),"")</f>
        <v>Дидактика</v>
      </c>
      <c r="D8382" s="22" t="s">
        <v>2063</v>
      </c>
      <c r="E8382" s="23"/>
      <c r="F8382" s="23"/>
      <c r="G8382" s="242">
        <v>1</v>
      </c>
      <c r="H8382" s="242"/>
      <c r="I8382" s="243"/>
      <c r="J8382" s="243"/>
      <c r="K8382" s="19"/>
      <c r="L8382" s="20"/>
    </row>
    <row r="8383" spans="1:12" ht="12.75" outlineLevel="2">
      <c r="A8383" s="197"/>
      <c r="B8383" s="12" t="str">
        <f>IFERROR(VLOOKUP(D8383,'[1]Перечень товаров'!$A$2:$I9525,2,0),"")</f>
        <v/>
      </c>
      <c r="C8383" s="12" t="str">
        <f>IFERROR(VLOOKUP(D8383,'[1]Перечень товаров'!$A$2:$I9525,3,0),"")</f>
        <v/>
      </c>
      <c r="D8383" s="198" t="s">
        <v>1439</v>
      </c>
      <c r="E8383" s="15"/>
      <c r="F8383" s="15"/>
      <c r="G8383" s="17"/>
      <c r="H8383" s="17"/>
      <c r="I8383" s="57"/>
      <c r="J8383" s="57"/>
      <c r="K8383" s="19"/>
      <c r="L8383" s="20"/>
    </row>
    <row r="8384" spans="1:12" ht="47.25" outlineLevel="2">
      <c r="A8384" s="21"/>
      <c r="B8384" s="12" t="str">
        <f>IFERROR(VLOOKUP(D8384,'[1]Перечень товаров'!$A$2:$I9525,2,0),"")</f>
        <v>д64</v>
      </c>
      <c r="C8384" s="12" t="str">
        <f>IFERROR(VLOOKUP(D8384,'[1]Перечень товаров'!$A$2:$I9525,3,0),"")</f>
        <v>Дидактика</v>
      </c>
      <c r="D8384" s="22" t="s">
        <v>2064</v>
      </c>
      <c r="E8384" s="23"/>
      <c r="F8384" s="23"/>
      <c r="G8384" s="232">
        <v>1</v>
      </c>
      <c r="H8384" s="232"/>
      <c r="I8384" s="233"/>
      <c r="J8384" s="233"/>
      <c r="K8384" s="19"/>
      <c r="L8384" s="20"/>
    </row>
    <row r="8385" spans="1:12" ht="12.75" outlineLevel="2">
      <c r="A8385" s="245"/>
      <c r="B8385" s="12" t="str">
        <f>IFERROR(VLOOKUP(D8385,'[1]Перечень товаров'!$A$2:$I9525,2,0),"")</f>
        <v/>
      </c>
      <c r="C8385" s="12" t="str">
        <f>IFERROR(VLOOKUP(D8385,'[1]Перечень товаров'!$A$2:$I9525,3,0),"")</f>
        <v/>
      </c>
      <c r="D8385" s="246" t="s">
        <v>809</v>
      </c>
      <c r="E8385" s="15"/>
      <c r="F8385" s="15"/>
      <c r="G8385" s="234"/>
      <c r="H8385" s="234"/>
      <c r="I8385" s="235"/>
      <c r="J8385" s="235"/>
      <c r="K8385" s="19"/>
      <c r="L8385" s="20"/>
    </row>
    <row r="8386" spans="1:12" outlineLevel="2">
      <c r="A8386" s="88"/>
      <c r="B8386" s="12" t="str">
        <f>IFERROR(VLOOKUP(D8386,'[1]Перечень товаров'!$A$2:$I9525,2,0),"")</f>
        <v>д65</v>
      </c>
      <c r="C8386" s="12" t="str">
        <f>IFERROR(VLOOKUP(D8386,'[1]Перечень товаров'!$A$2:$I9525,3,0),"")</f>
        <v>Дидактика</v>
      </c>
      <c r="D8386" s="223" t="s">
        <v>811</v>
      </c>
      <c r="E8386" s="23"/>
      <c r="F8386" s="23"/>
      <c r="G8386" s="232">
        <v>1</v>
      </c>
      <c r="H8386" s="232"/>
      <c r="I8386" s="233"/>
      <c r="J8386" s="233"/>
      <c r="K8386" s="19"/>
      <c r="L8386" s="20"/>
    </row>
    <row r="8387" spans="1:12" outlineLevel="2">
      <c r="A8387" s="88"/>
      <c r="B8387" s="12" t="str">
        <f>IFERROR(VLOOKUP(D8387,'[1]Перечень товаров'!$A$2:$I9525,2,0),"")</f>
        <v>д66</v>
      </c>
      <c r="C8387" s="12" t="str">
        <f>IFERROR(VLOOKUP(D8387,'[1]Перечень товаров'!$A$2:$I9525,3,0),"")</f>
        <v>Дидактика</v>
      </c>
      <c r="D8387" s="223" t="s">
        <v>812</v>
      </c>
      <c r="E8387" s="23"/>
      <c r="F8387" s="23"/>
      <c r="G8387" s="232">
        <v>1</v>
      </c>
      <c r="H8387" s="232"/>
      <c r="I8387" s="233"/>
      <c r="J8387" s="233"/>
      <c r="K8387" s="19"/>
      <c r="L8387" s="20"/>
    </row>
    <row r="8388" spans="1:12" outlineLevel="2">
      <c r="A8388" s="88"/>
      <c r="B8388" s="12" t="str">
        <f>IFERROR(VLOOKUP(D8388,'[1]Перечень товаров'!$A$2:$I9525,2,0),"")</f>
        <v>д67</v>
      </c>
      <c r="C8388" s="12" t="str">
        <f>IFERROR(VLOOKUP(D8388,'[1]Перечень товаров'!$A$2:$I9525,3,0),"")</f>
        <v>Дидактика</v>
      </c>
      <c r="D8388" s="223" t="s">
        <v>813</v>
      </c>
      <c r="E8388" s="23"/>
      <c r="F8388" s="23"/>
      <c r="G8388" s="232">
        <v>1</v>
      </c>
      <c r="H8388" s="232"/>
      <c r="I8388" s="233"/>
      <c r="J8388" s="233"/>
      <c r="K8388" s="19"/>
      <c r="L8388" s="20"/>
    </row>
    <row r="8389" spans="1:12" outlineLevel="2">
      <c r="A8389" s="88"/>
      <c r="B8389" s="12" t="str">
        <f>IFERROR(VLOOKUP(D8389,'[1]Перечень товаров'!$A$2:$I9525,2,0),"")</f>
        <v>п90</v>
      </c>
      <c r="C8389" s="12" t="str">
        <f>IFERROR(VLOOKUP(D8389,'[1]Перечень товаров'!$A$2:$I9525,3,0),"")</f>
        <v>Прочее</v>
      </c>
      <c r="D8389" s="223" t="s">
        <v>723</v>
      </c>
      <c r="E8389" s="23"/>
      <c r="F8389" s="23"/>
      <c r="G8389" s="232">
        <v>1</v>
      </c>
      <c r="H8389" s="232"/>
      <c r="I8389" s="233"/>
      <c r="J8389" s="233"/>
      <c r="K8389" s="19"/>
      <c r="L8389" s="20"/>
    </row>
    <row r="8390" spans="1:12" outlineLevel="2">
      <c r="A8390" s="88"/>
      <c r="B8390" s="12" t="str">
        <f>IFERROR(VLOOKUP(D8390,'[1]Перечень товаров'!$A$2:$I9525,2,0),"")</f>
        <v>д68</v>
      </c>
      <c r="C8390" s="12" t="str">
        <f>IFERROR(VLOOKUP(D8390,'[1]Перечень товаров'!$A$2:$I9525,3,0),"")</f>
        <v>Дидактика</v>
      </c>
      <c r="D8390" s="223" t="s">
        <v>814</v>
      </c>
      <c r="E8390" s="23"/>
      <c r="F8390" s="23"/>
      <c r="G8390" s="232">
        <v>3</v>
      </c>
      <c r="H8390" s="232"/>
      <c r="I8390" s="233"/>
      <c r="J8390" s="233"/>
      <c r="K8390" s="19"/>
      <c r="L8390" s="20"/>
    </row>
    <row r="8391" spans="1:12" outlineLevel="2">
      <c r="A8391" s="88"/>
      <c r="B8391" s="12" t="str">
        <f>IFERROR(VLOOKUP(D8391,'[1]Перечень товаров'!$A$2:$I9525,2,0),"")</f>
        <v>д69</v>
      </c>
      <c r="C8391" s="12" t="str">
        <f>IFERROR(VLOOKUP(D8391,'[1]Перечень товаров'!$A$2:$I9525,3,0),"")</f>
        <v>Дидактика</v>
      </c>
      <c r="D8391" s="223" t="s">
        <v>815</v>
      </c>
      <c r="E8391" s="23"/>
      <c r="F8391" s="23"/>
      <c r="G8391" s="232">
        <v>8</v>
      </c>
      <c r="H8391" s="232"/>
      <c r="I8391" s="233"/>
      <c r="J8391" s="233"/>
      <c r="K8391" s="19"/>
      <c r="L8391" s="20"/>
    </row>
    <row r="8392" spans="1:12" outlineLevel="2">
      <c r="A8392" s="88"/>
      <c r="B8392" s="12" t="str">
        <f>IFERROR(VLOOKUP(D8392,'[1]Перечень товаров'!$A$2:$I9525,2,0),"")</f>
        <v>д70</v>
      </c>
      <c r="C8392" s="12" t="str">
        <f>IFERROR(VLOOKUP(D8392,'[1]Перечень товаров'!$A$2:$I9525,3,0),"")</f>
        <v>Дидактика</v>
      </c>
      <c r="D8392" s="223" t="s">
        <v>816</v>
      </c>
      <c r="E8392" s="23"/>
      <c r="F8392" s="23"/>
      <c r="G8392" s="232">
        <v>100</v>
      </c>
      <c r="H8392" s="232"/>
      <c r="I8392" s="233"/>
      <c r="J8392" s="233"/>
      <c r="K8392" s="19"/>
      <c r="L8392" s="20"/>
    </row>
    <row r="8393" spans="1:12" ht="12.75" outlineLevel="1">
      <c r="A8393" s="11"/>
      <c r="B8393" s="12" t="str">
        <f>IFERROR(VLOOKUP(D8393,'[1]Перечень товаров'!$A$2:$I9525,2,0),"")</f>
        <v/>
      </c>
      <c r="C8393" s="12" t="str">
        <f>IFERROR(VLOOKUP(D8393,'[1]Перечень товаров'!$A$2:$I9525,3,0),"")</f>
        <v/>
      </c>
      <c r="D8393" s="27" t="s">
        <v>2065</v>
      </c>
      <c r="E8393" s="14" t="s">
        <v>2066</v>
      </c>
      <c r="F8393" s="14"/>
      <c r="G8393" s="17"/>
      <c r="H8393" s="17"/>
      <c r="I8393" s="57"/>
      <c r="J8393" s="57"/>
      <c r="K8393" s="19"/>
      <c r="L8393" s="20"/>
    </row>
    <row r="8394" spans="1:12" ht="12.75" outlineLevel="2">
      <c r="A8394" s="245"/>
      <c r="B8394" s="12" t="str">
        <f>IFERROR(VLOOKUP(D8394,'[1]Перечень товаров'!$A$2:$I9525,2,0),"")</f>
        <v/>
      </c>
      <c r="C8394" s="12" t="str">
        <f>IFERROR(VLOOKUP(D8394,'[1]Перечень товаров'!$A$2:$I9525,3,0),"")</f>
        <v/>
      </c>
      <c r="D8394" s="246" t="s">
        <v>668</v>
      </c>
      <c r="E8394" s="15"/>
      <c r="F8394" s="15"/>
      <c r="G8394" s="17"/>
      <c r="H8394" s="17"/>
      <c r="I8394" s="57"/>
      <c r="J8394" s="57"/>
      <c r="K8394" s="19"/>
      <c r="L8394" s="20"/>
    </row>
    <row r="8395" spans="1:12" outlineLevel="2">
      <c r="A8395" s="34"/>
      <c r="B8395" s="12" t="str">
        <f>IFERROR(VLOOKUP(D8395,'[1]Перечень товаров'!$A$2:$I9525,2,0),"")</f>
        <v>т129</v>
      </c>
      <c r="C8395" s="12" t="str">
        <f>IFERROR(VLOOKUP(D8395,'[1]Перечень товаров'!$A$2:$I9525,3,0),"")</f>
        <v>Техника</v>
      </c>
      <c r="D8395" s="35" t="s">
        <v>1204</v>
      </c>
      <c r="E8395" s="23"/>
      <c r="F8395" s="23"/>
      <c r="G8395" s="232">
        <v>1</v>
      </c>
      <c r="H8395" s="232"/>
      <c r="I8395" s="233"/>
      <c r="J8395" s="233"/>
      <c r="K8395" s="19"/>
      <c r="L8395" s="20"/>
    </row>
    <row r="8396" spans="1:12" outlineLevel="2">
      <c r="A8396" s="34"/>
      <c r="B8396" s="12" t="str">
        <f>IFERROR(VLOOKUP(D8396,'[1]Перечень товаров'!$A$2:$I9525,2,0),"")</f>
        <v>т128</v>
      </c>
      <c r="C8396" s="12" t="str">
        <f>IFERROR(VLOOKUP(D8396,'[1]Перечень товаров'!$A$2:$I9525,3,0),"")</f>
        <v>Техника</v>
      </c>
      <c r="D8396" s="35" t="s">
        <v>1205</v>
      </c>
      <c r="E8396" s="23"/>
      <c r="F8396" s="23"/>
      <c r="G8396" s="232">
        <v>1</v>
      </c>
      <c r="H8396" s="232"/>
      <c r="I8396" s="233"/>
      <c r="J8396" s="233"/>
      <c r="K8396" s="19"/>
      <c r="L8396" s="20"/>
    </row>
    <row r="8397" spans="1:12" outlineLevel="2">
      <c r="A8397" s="34"/>
      <c r="B8397" s="12" t="str">
        <f>IFERROR(VLOOKUP(D8397,'[1]Перечень товаров'!$A$2:$I9525,2,0),"")</f>
        <v>т1</v>
      </c>
      <c r="C8397" s="12" t="str">
        <f>IFERROR(VLOOKUP(D8397,'[1]Перечень товаров'!$A$2:$I9525,3,0),"")</f>
        <v xml:space="preserve">Техника </v>
      </c>
      <c r="D8397" s="22" t="s">
        <v>28</v>
      </c>
      <c r="E8397" s="23"/>
      <c r="F8397" s="23"/>
      <c r="G8397" s="232">
        <v>1</v>
      </c>
      <c r="H8397" s="232"/>
      <c r="I8397" s="233"/>
      <c r="J8397" s="233"/>
      <c r="K8397" s="19"/>
      <c r="L8397" s="20"/>
    </row>
    <row r="8398" spans="1:12" outlineLevel="2">
      <c r="A8398" s="34"/>
      <c r="B8398" s="12" t="str">
        <f>IFERROR(VLOOKUP(D8398,'[1]Перечень товаров'!$A$2:$I9525,2,0),"")</f>
        <v>т235</v>
      </c>
      <c r="C8398" s="12" t="str">
        <f>IFERROR(VLOOKUP(D8398,'[1]Перечень товаров'!$A$2:$I9525,3,0),"")</f>
        <v>Техника</v>
      </c>
      <c r="D8398" s="35" t="s">
        <v>742</v>
      </c>
      <c r="E8398" s="23"/>
      <c r="F8398" s="23"/>
      <c r="G8398" s="232">
        <v>1</v>
      </c>
      <c r="H8398" s="232"/>
      <c r="I8398" s="233"/>
      <c r="J8398" s="233"/>
      <c r="K8398" s="19"/>
      <c r="L8398" s="20"/>
    </row>
    <row r="8399" spans="1:12" outlineLevel="2">
      <c r="A8399" s="34"/>
      <c r="B8399" s="12" t="str">
        <f>IFERROR(VLOOKUP(D8399,'[1]Перечень товаров'!$A$2:$I9525,2,0),"")</f>
        <v>т8</v>
      </c>
      <c r="C8399" s="12" t="str">
        <f>IFERROR(VLOOKUP(D8399,'[1]Перечень товаров'!$A$2:$I9525,3,0),"")</f>
        <v xml:space="preserve">Техника </v>
      </c>
      <c r="D8399" s="35" t="s">
        <v>35</v>
      </c>
      <c r="E8399" s="23"/>
      <c r="F8399" s="23"/>
      <c r="G8399" s="232">
        <v>1</v>
      </c>
      <c r="H8399" s="232"/>
      <c r="I8399" s="233"/>
      <c r="J8399" s="233"/>
      <c r="K8399" s="19"/>
      <c r="L8399" s="20"/>
    </row>
    <row r="8400" spans="1:12" outlineLevel="2">
      <c r="A8400" s="34"/>
      <c r="B8400" s="12" t="str">
        <f>IFERROR(VLOOKUP(D8400,'[1]Перечень товаров'!$A$2:$I9525,2,0),"")</f>
        <v>т236</v>
      </c>
      <c r="C8400" s="12" t="str">
        <f>IFERROR(VLOOKUP(D8400,'[1]Перечень товаров'!$A$2:$I9525,3,0),"")</f>
        <v>Техника</v>
      </c>
      <c r="D8400" s="35" t="s">
        <v>743</v>
      </c>
      <c r="E8400" s="23"/>
      <c r="F8400" s="23"/>
      <c r="G8400" s="232">
        <v>1</v>
      </c>
      <c r="H8400" s="232"/>
      <c r="I8400" s="233"/>
      <c r="J8400" s="233"/>
      <c r="K8400" s="19"/>
      <c r="L8400" s="20"/>
    </row>
    <row r="8401" spans="1:12" outlineLevel="2">
      <c r="A8401" s="34"/>
      <c r="B8401" s="12" t="str">
        <f>IFERROR(VLOOKUP(D8401,'[1]Перечень товаров'!$A$2:$I9525,2,0),"")</f>
        <v>т237</v>
      </c>
      <c r="C8401" s="12" t="str">
        <f>IFERROR(VLOOKUP(D8401,'[1]Перечень товаров'!$A$2:$I9525,3,0),"")</f>
        <v>Техника</v>
      </c>
      <c r="D8401" s="35" t="s">
        <v>744</v>
      </c>
      <c r="E8401" s="23"/>
      <c r="F8401" s="23"/>
      <c r="G8401" s="232">
        <v>1</v>
      </c>
      <c r="H8401" s="232"/>
      <c r="I8401" s="233"/>
      <c r="J8401" s="233"/>
      <c r="K8401" s="19"/>
      <c r="L8401" s="20"/>
    </row>
    <row r="8402" spans="1:12" ht="12.75" outlineLevel="2">
      <c r="A8402" s="245"/>
      <c r="B8402" s="12" t="str">
        <f>IFERROR(VLOOKUP(D8402,'[1]Перечень товаров'!$A$2:$I9525,2,0),"")</f>
        <v/>
      </c>
      <c r="C8402" s="12" t="str">
        <f>IFERROR(VLOOKUP(D8402,'[1]Перечень товаров'!$A$2:$I9525,3,0),"")</f>
        <v/>
      </c>
      <c r="D8402" s="246" t="s">
        <v>19</v>
      </c>
      <c r="E8402" s="15"/>
      <c r="F8402" s="15"/>
      <c r="G8402" s="234"/>
      <c r="H8402" s="234"/>
      <c r="I8402" s="235"/>
      <c r="J8402" s="235"/>
      <c r="K8402" s="19"/>
      <c r="L8402" s="20"/>
    </row>
    <row r="8403" spans="1:12" outlineLevel="2">
      <c r="A8403" s="34"/>
      <c r="B8403" s="12" t="str">
        <f>IFERROR(VLOOKUP(D8403,'[1]Перечень товаров'!$A$2:$I9525,2,0),"")</f>
        <v>м62</v>
      </c>
      <c r="C8403" s="12" t="str">
        <f>IFERROR(VLOOKUP(D8403,'[1]Перечень товаров'!$A$2:$I9525,3,0),"")</f>
        <v>Мебель</v>
      </c>
      <c r="D8403" s="35" t="s">
        <v>398</v>
      </c>
      <c r="E8403" s="23"/>
      <c r="F8403" s="23"/>
      <c r="G8403" s="232">
        <v>1</v>
      </c>
      <c r="H8403" s="232"/>
      <c r="I8403" s="233"/>
      <c r="J8403" s="233"/>
      <c r="K8403" s="19"/>
      <c r="L8403" s="20"/>
    </row>
    <row r="8404" spans="1:12" outlineLevel="2">
      <c r="A8404" s="34"/>
      <c r="B8404" s="12" t="str">
        <f>IFERROR(VLOOKUP(D8404,'[1]Перечень товаров'!$A$2:$I9525,2,0),"")</f>
        <v>м61</v>
      </c>
      <c r="C8404" s="12" t="str">
        <f>IFERROR(VLOOKUP(D8404,'[1]Перечень товаров'!$A$2:$I9525,3,0),"")</f>
        <v>Мебель</v>
      </c>
      <c r="D8404" s="35" t="s">
        <v>383</v>
      </c>
      <c r="E8404" s="23"/>
      <c r="F8404" s="23"/>
      <c r="G8404" s="232">
        <v>1</v>
      </c>
      <c r="H8404" s="232"/>
      <c r="I8404" s="233"/>
      <c r="J8404" s="233"/>
      <c r="K8404" s="19"/>
      <c r="L8404" s="20"/>
    </row>
    <row r="8405" spans="1:12" ht="31.5" outlineLevel="2">
      <c r="A8405" s="34"/>
      <c r="B8405" s="12" t="str">
        <f>IFERROR(VLOOKUP(D8405,'[1]Перечень товаров'!$A$2:$I9525,2,0),"")</f>
        <v>д525</v>
      </c>
      <c r="C8405" s="12" t="str">
        <f>IFERROR(VLOOKUP(D8405,'[1]Перечень товаров'!$A$2:$I9525,3,0),"")</f>
        <v>дидактика</v>
      </c>
      <c r="D8405" s="35" t="s">
        <v>1230</v>
      </c>
      <c r="E8405" s="23"/>
      <c r="F8405" s="23"/>
      <c r="G8405" s="232">
        <v>13</v>
      </c>
      <c r="H8405" s="232"/>
      <c r="I8405" s="233"/>
      <c r="J8405" s="233"/>
      <c r="K8405" s="19"/>
      <c r="L8405" s="20"/>
    </row>
    <row r="8406" spans="1:12" outlineLevel="2">
      <c r="A8406" s="34"/>
      <c r="B8406" s="12" t="str">
        <f>IFERROR(VLOOKUP(D8406,'[1]Перечень товаров'!$A$2:$I9525,2,0),"")</f>
        <v>м216</v>
      </c>
      <c r="C8406" s="12" t="str">
        <f>IFERROR(VLOOKUP(D8406,'[1]Перечень товаров'!$A$2:$I9525,3,0),"")</f>
        <v>Мебель</v>
      </c>
      <c r="D8406" s="35" t="s">
        <v>854</v>
      </c>
      <c r="E8406" s="23"/>
      <c r="F8406" s="23"/>
      <c r="G8406" s="232">
        <v>1</v>
      </c>
      <c r="H8406" s="232"/>
      <c r="I8406" s="233"/>
      <c r="J8406" s="233"/>
      <c r="K8406" s="19"/>
      <c r="L8406" s="20"/>
    </row>
    <row r="8407" spans="1:12" ht="31.5" outlineLevel="2">
      <c r="A8407" s="34"/>
      <c r="B8407" s="12" t="str">
        <f>IFERROR(VLOOKUP(D8407,'[1]Перечень товаров'!$A$2:$I9525,2,0),"")</f>
        <v>д524</v>
      </c>
      <c r="C8407" s="12" t="str">
        <f>IFERROR(VLOOKUP(D8407,'[1]Перечень товаров'!$A$2:$I9525,3,0),"")</f>
        <v>дидактика</v>
      </c>
      <c r="D8407" s="35" t="s">
        <v>1231</v>
      </c>
      <c r="E8407" s="23"/>
      <c r="F8407" s="23"/>
      <c r="G8407" s="232">
        <v>1</v>
      </c>
      <c r="H8407" s="232"/>
      <c r="I8407" s="233"/>
      <c r="J8407" s="233"/>
      <c r="K8407" s="19"/>
      <c r="L8407" s="20"/>
    </row>
    <row r="8408" spans="1:12" ht="12.75" outlineLevel="2">
      <c r="A8408" s="197"/>
      <c r="B8408" s="12" t="str">
        <f>IFERROR(VLOOKUP(D8408,'[1]Перечень товаров'!$A$2:$I9525,2,0),"")</f>
        <v/>
      </c>
      <c r="C8408" s="12" t="str">
        <f>IFERROR(VLOOKUP(D8408,'[1]Перечень товаров'!$A$2:$I9525,3,0),"")</f>
        <v/>
      </c>
      <c r="D8408" s="198" t="s">
        <v>2067</v>
      </c>
      <c r="E8408" s="15"/>
      <c r="F8408" s="15"/>
      <c r="G8408" s="238"/>
      <c r="H8408" s="238"/>
      <c r="I8408" s="239"/>
      <c r="J8408" s="239"/>
      <c r="K8408" s="19"/>
      <c r="L8408" s="20"/>
    </row>
    <row r="8409" spans="1:12" ht="31.5" outlineLevel="2">
      <c r="A8409" s="34"/>
      <c r="B8409" s="12" t="str">
        <f>IFERROR(VLOOKUP(D8409,'[1]Перечень товаров'!$A$2:$I9525,2,0),"")</f>
        <v>д19</v>
      </c>
      <c r="C8409" s="12" t="str">
        <f>IFERROR(VLOOKUP(D8409,'[1]Перечень товаров'!$A$2:$I9525,3,0),"")</f>
        <v>Дидактика</v>
      </c>
      <c r="D8409" s="35" t="s">
        <v>762</v>
      </c>
      <c r="E8409" s="23"/>
      <c r="F8409" s="23"/>
      <c r="G8409" s="205">
        <v>1</v>
      </c>
      <c r="H8409" s="205"/>
      <c r="I8409" s="206"/>
      <c r="J8409" s="206"/>
      <c r="K8409" s="19"/>
      <c r="L8409" s="20"/>
    </row>
    <row r="8410" spans="1:12" ht="12.75" outlineLevel="2">
      <c r="A8410" s="197"/>
      <c r="B8410" s="12" t="str">
        <f>IFERROR(VLOOKUP(D8410,'[1]Перечень товаров'!$A$2:$I9525,2,0),"")</f>
        <v/>
      </c>
      <c r="C8410" s="12" t="str">
        <f>IFERROR(VLOOKUP(D8410,'[1]Перечень товаров'!$A$2:$I9525,3,0),"")</f>
        <v/>
      </c>
      <c r="D8410" s="198" t="s">
        <v>2068</v>
      </c>
      <c r="E8410" s="15"/>
      <c r="F8410" s="15"/>
      <c r="G8410" s="238"/>
      <c r="H8410" s="238"/>
      <c r="I8410" s="239"/>
      <c r="J8410" s="239"/>
      <c r="K8410" s="19"/>
      <c r="L8410" s="20"/>
    </row>
    <row r="8411" spans="1:12" ht="31.5" outlineLevel="2">
      <c r="A8411" s="34"/>
      <c r="B8411" s="12" t="str">
        <f>IFERROR(VLOOKUP(D8411,'[1]Перечень товаров'!$A$2:$I9525,2,0),"")</f>
        <v>д63</v>
      </c>
      <c r="C8411" s="12" t="str">
        <f>IFERROR(VLOOKUP(D8411,'[1]Перечень товаров'!$A$2:$I9525,3,0),"")</f>
        <v>Дидактика</v>
      </c>
      <c r="D8411" s="35" t="s">
        <v>2069</v>
      </c>
      <c r="E8411" s="23"/>
      <c r="F8411" s="23"/>
      <c r="G8411" s="205">
        <v>1</v>
      </c>
      <c r="H8411" s="205"/>
      <c r="I8411" s="206"/>
      <c r="J8411" s="206"/>
      <c r="K8411" s="19"/>
      <c r="L8411" s="20"/>
    </row>
    <row r="8412" spans="1:12" ht="31.5" outlineLevel="2">
      <c r="A8412" s="34"/>
      <c r="B8412" s="12" t="str">
        <f>IFERROR(VLOOKUP(D8412,'[1]Перечень товаров'!$A$2:$I9525,2,0),"")</f>
        <v>д62</v>
      </c>
      <c r="C8412" s="12" t="str">
        <f>IFERROR(VLOOKUP(D8412,'[1]Перечень товаров'!$A$2:$I9525,3,0),"")</f>
        <v>Дидактика</v>
      </c>
      <c r="D8412" s="35" t="s">
        <v>2070</v>
      </c>
      <c r="E8412" s="23"/>
      <c r="F8412" s="23"/>
      <c r="G8412" s="205">
        <v>1</v>
      </c>
      <c r="H8412" s="205"/>
      <c r="I8412" s="206"/>
      <c r="J8412" s="206"/>
      <c r="K8412" s="19"/>
      <c r="L8412" s="20"/>
    </row>
    <row r="8413" spans="1:12" ht="31.5" outlineLevel="2">
      <c r="A8413" s="34"/>
      <c r="B8413" s="12" t="str">
        <f>IFERROR(VLOOKUP(D8413,'[1]Перечень товаров'!$A$2:$I9525,2,0),"")</f>
        <v>д61</v>
      </c>
      <c r="C8413" s="12" t="str">
        <f>IFERROR(VLOOKUP(D8413,'[1]Перечень товаров'!$A$2:$I9525,3,0),"")</f>
        <v>Дидактика</v>
      </c>
      <c r="D8413" s="35" t="s">
        <v>2071</v>
      </c>
      <c r="E8413" s="23"/>
      <c r="F8413" s="23"/>
      <c r="G8413" s="205">
        <v>1</v>
      </c>
      <c r="H8413" s="205"/>
      <c r="I8413" s="206"/>
      <c r="J8413" s="206"/>
      <c r="K8413" s="19"/>
      <c r="L8413" s="20"/>
    </row>
    <row r="8414" spans="1:12" ht="31.5" outlineLevel="2">
      <c r="A8414" s="34"/>
      <c r="B8414" s="12" t="str">
        <f>IFERROR(VLOOKUP(D8414,'[1]Перечень товаров'!$A$2:$I9525,2,0),"")</f>
        <v>д60</v>
      </c>
      <c r="C8414" s="12" t="str">
        <f>IFERROR(VLOOKUP(D8414,'[1]Перечень товаров'!$A$2:$I9525,3,0),"")</f>
        <v>Дидактика</v>
      </c>
      <c r="D8414" s="35" t="s">
        <v>2072</v>
      </c>
      <c r="E8414" s="23"/>
      <c r="F8414" s="23"/>
      <c r="G8414" s="205">
        <v>1</v>
      </c>
      <c r="H8414" s="205"/>
      <c r="I8414" s="206"/>
      <c r="J8414" s="206"/>
      <c r="K8414" s="19"/>
      <c r="L8414" s="20"/>
    </row>
    <row r="8415" spans="1:12" outlineLevel="2">
      <c r="A8415" s="34"/>
      <c r="B8415" s="12" t="str">
        <f>IFERROR(VLOOKUP(D8415,'[1]Перечень товаров'!$A$2:$I9525,2,0),"")</f>
        <v>д59</v>
      </c>
      <c r="C8415" s="12" t="str">
        <f>IFERROR(VLOOKUP(D8415,'[1]Перечень товаров'!$A$2:$I9525,3,0),"")</f>
        <v>Дидактика</v>
      </c>
      <c r="D8415" s="35" t="s">
        <v>2073</v>
      </c>
      <c r="E8415" s="23"/>
      <c r="F8415" s="23"/>
      <c r="G8415" s="205">
        <v>1</v>
      </c>
      <c r="H8415" s="205"/>
      <c r="I8415" s="206"/>
      <c r="J8415" s="206"/>
      <c r="K8415" s="19"/>
      <c r="L8415" s="20"/>
    </row>
    <row r="8416" spans="1:12" ht="31.5" outlineLevel="2">
      <c r="A8416" s="34"/>
      <c r="B8416" s="12" t="str">
        <f>IFERROR(VLOOKUP(D8416,'[1]Перечень товаров'!$A$2:$I9525,2,0),"")</f>
        <v>д58</v>
      </c>
      <c r="C8416" s="12" t="str">
        <f>IFERROR(VLOOKUP(D8416,'[1]Перечень товаров'!$A$2:$I9525,3,0),"")</f>
        <v>Дидактика</v>
      </c>
      <c r="D8416" s="35" t="s">
        <v>2074</v>
      </c>
      <c r="E8416" s="23"/>
      <c r="F8416" s="23"/>
      <c r="G8416" s="205">
        <v>1</v>
      </c>
      <c r="H8416" s="205"/>
      <c r="I8416" s="206"/>
      <c r="J8416" s="206"/>
      <c r="K8416" s="19"/>
      <c r="L8416" s="20"/>
    </row>
    <row r="8417" spans="1:12" ht="31.5" outlineLevel="2">
      <c r="A8417" s="34"/>
      <c r="B8417" s="12" t="str">
        <f>IFERROR(VLOOKUP(D8417,'[1]Перечень товаров'!$A$2:$I9525,2,0),"")</f>
        <v>д57</v>
      </c>
      <c r="C8417" s="12" t="str">
        <f>IFERROR(VLOOKUP(D8417,'[1]Перечень товаров'!$A$2:$I9525,3,0),"")</f>
        <v>Дидактика</v>
      </c>
      <c r="D8417" s="35" t="s">
        <v>2075</v>
      </c>
      <c r="E8417" s="23"/>
      <c r="F8417" s="23"/>
      <c r="G8417" s="205">
        <v>2</v>
      </c>
      <c r="H8417" s="205"/>
      <c r="I8417" s="206"/>
      <c r="J8417" s="206"/>
      <c r="K8417" s="19"/>
      <c r="L8417" s="20"/>
    </row>
    <row r="8418" spans="1:12" ht="31.5" outlineLevel="2">
      <c r="A8418" s="34"/>
      <c r="B8418" s="12" t="str">
        <f>IFERROR(VLOOKUP(D8418,'[1]Перечень товаров'!$A$2:$I9525,2,0),"")</f>
        <v>д56</v>
      </c>
      <c r="C8418" s="12" t="str">
        <f>IFERROR(VLOOKUP(D8418,'[1]Перечень товаров'!$A$2:$I9525,3,0),"")</f>
        <v>Дидактика</v>
      </c>
      <c r="D8418" s="35" t="s">
        <v>2076</v>
      </c>
      <c r="E8418" s="23"/>
      <c r="F8418" s="23"/>
      <c r="G8418" s="205">
        <v>1</v>
      </c>
      <c r="H8418" s="205"/>
      <c r="I8418" s="206"/>
      <c r="J8418" s="206"/>
      <c r="K8418" s="19"/>
      <c r="L8418" s="20"/>
    </row>
    <row r="8419" spans="1:12" outlineLevel="2">
      <c r="A8419" s="34"/>
      <c r="B8419" s="12" t="str">
        <f>IFERROR(VLOOKUP(D8419,'[1]Перечень товаров'!$A$2:$I9525,2,0),"")</f>
        <v>д55</v>
      </c>
      <c r="C8419" s="12" t="str">
        <f>IFERROR(VLOOKUP(D8419,'[1]Перечень товаров'!$A$2:$I9525,3,0),"")</f>
        <v>Дидактика</v>
      </c>
      <c r="D8419" s="35" t="s">
        <v>2077</v>
      </c>
      <c r="E8419" s="23"/>
      <c r="F8419" s="23"/>
      <c r="G8419" s="205">
        <v>1</v>
      </c>
      <c r="H8419" s="205"/>
      <c r="I8419" s="206"/>
      <c r="J8419" s="206"/>
      <c r="K8419" s="19"/>
      <c r="L8419" s="20"/>
    </row>
    <row r="8420" spans="1:12" ht="12.75" outlineLevel="2">
      <c r="A8420" s="197"/>
      <c r="B8420" s="12" t="str">
        <f>IFERROR(VLOOKUP(D8420,'[1]Перечень товаров'!$A$2:$I9525,2,0),"")</f>
        <v/>
      </c>
      <c r="C8420" s="12" t="str">
        <f>IFERROR(VLOOKUP(D8420,'[1]Перечень товаров'!$A$2:$I9525,3,0),"")</f>
        <v/>
      </c>
      <c r="D8420" s="198" t="s">
        <v>2078</v>
      </c>
      <c r="E8420" s="15"/>
      <c r="F8420" s="15"/>
      <c r="G8420" s="238"/>
      <c r="H8420" s="238"/>
      <c r="I8420" s="239"/>
      <c r="J8420" s="239"/>
      <c r="K8420" s="19"/>
      <c r="L8420" s="20"/>
    </row>
    <row r="8421" spans="1:12" ht="31.5" outlineLevel="2">
      <c r="A8421" s="34"/>
      <c r="B8421" s="12" t="str">
        <f>IFERROR(VLOOKUP(D8421,'[1]Перечень товаров'!$A$2:$I9525,2,0),"")</f>
        <v>д54</v>
      </c>
      <c r="C8421" s="12" t="str">
        <f>IFERROR(VLOOKUP(D8421,'[1]Перечень товаров'!$A$2:$I9525,3,0),"")</f>
        <v>Дидактика</v>
      </c>
      <c r="D8421" s="35" t="s">
        <v>2079</v>
      </c>
      <c r="E8421" s="23"/>
      <c r="F8421" s="23"/>
      <c r="G8421" s="205">
        <v>3</v>
      </c>
      <c r="H8421" s="205"/>
      <c r="I8421" s="206"/>
      <c r="J8421" s="206"/>
      <c r="K8421" s="19"/>
      <c r="L8421" s="20"/>
    </row>
    <row r="8422" spans="1:12" ht="31.5" outlineLevel="2">
      <c r="A8422" s="34"/>
      <c r="B8422" s="12" t="str">
        <f>IFERROR(VLOOKUP(D8422,'[1]Перечень товаров'!$A$2:$I9525,2,0),"")</f>
        <v>д53</v>
      </c>
      <c r="C8422" s="12" t="str">
        <f>IFERROR(VLOOKUP(D8422,'[1]Перечень товаров'!$A$2:$I9525,3,0),"")</f>
        <v>Дидактика</v>
      </c>
      <c r="D8422" s="35" t="s">
        <v>2080</v>
      </c>
      <c r="E8422" s="23"/>
      <c r="F8422" s="23"/>
      <c r="G8422" s="205">
        <v>1</v>
      </c>
      <c r="H8422" s="205"/>
      <c r="I8422" s="206"/>
      <c r="J8422" s="206"/>
      <c r="K8422" s="19"/>
      <c r="L8422" s="20"/>
    </row>
    <row r="8423" spans="1:12" ht="12.75" outlineLevel="2">
      <c r="A8423" s="197"/>
      <c r="B8423" s="12" t="str">
        <f>IFERROR(VLOOKUP(D8423,'[1]Перечень товаров'!$A$2:$I9525,2,0),"")</f>
        <v/>
      </c>
      <c r="C8423" s="12" t="str">
        <f>IFERROR(VLOOKUP(D8423,'[1]Перечень товаров'!$A$2:$I9525,3,0),"")</f>
        <v/>
      </c>
      <c r="D8423" s="198" t="s">
        <v>2081</v>
      </c>
      <c r="E8423" s="15"/>
      <c r="F8423" s="15"/>
      <c r="G8423" s="234"/>
      <c r="H8423" s="234"/>
      <c r="I8423" s="235"/>
      <c r="J8423" s="235"/>
      <c r="K8423" s="19"/>
      <c r="L8423" s="20"/>
    </row>
    <row r="8424" spans="1:12" outlineLevel="2">
      <c r="A8424" s="34"/>
      <c r="B8424" s="12" t="str">
        <f>IFERROR(VLOOKUP(D8424,'[1]Перечень товаров'!$A$2:$I9525,2,0),"")</f>
        <v>д377</v>
      </c>
      <c r="C8424" s="12" t="str">
        <f>IFERROR(VLOOKUP(D8424,'[1]Перечень товаров'!$A$2:$I9525,3,0),"")</f>
        <v>дидактика</v>
      </c>
      <c r="D8424" s="35" t="s">
        <v>1440</v>
      </c>
      <c r="E8424" s="23"/>
      <c r="F8424" s="23"/>
      <c r="G8424" s="205">
        <v>1</v>
      </c>
      <c r="H8424" s="205"/>
      <c r="I8424" s="206"/>
      <c r="J8424" s="206"/>
      <c r="K8424" s="19"/>
      <c r="L8424" s="20"/>
    </row>
    <row r="8425" spans="1:12" ht="31.5" outlineLevel="2">
      <c r="A8425" s="21"/>
      <c r="B8425" s="12" t="str">
        <f>IFERROR(VLOOKUP(D8425,'[1]Перечень товаров'!$A$2:$I9525,2,0),"")</f>
        <v>д481</v>
      </c>
      <c r="C8425" s="12" t="str">
        <f>IFERROR(VLOOKUP(D8425,'[1]Перечень товаров'!$A$2:$I9525,3,0),"")</f>
        <v>дидактика</v>
      </c>
      <c r="D8425" s="22" t="s">
        <v>1282</v>
      </c>
      <c r="E8425" s="23"/>
      <c r="F8425" s="23"/>
      <c r="G8425" s="242">
        <v>1</v>
      </c>
      <c r="H8425" s="242"/>
      <c r="I8425" s="243"/>
      <c r="J8425" s="243"/>
      <c r="K8425" s="19"/>
      <c r="L8425" s="20"/>
    </row>
    <row r="8426" spans="1:12" ht="12.75" outlineLevel="2">
      <c r="A8426" s="245"/>
      <c r="B8426" s="12" t="str">
        <f>IFERROR(VLOOKUP(D8426,'[1]Перечень товаров'!$A$2:$I9525,2,0),"")</f>
        <v/>
      </c>
      <c r="C8426" s="12" t="str">
        <f>IFERROR(VLOOKUP(D8426,'[1]Перечень товаров'!$A$2:$I9525,3,0),"")</f>
        <v/>
      </c>
      <c r="D8426" s="246" t="s">
        <v>809</v>
      </c>
      <c r="E8426" s="15"/>
      <c r="F8426" s="15"/>
      <c r="G8426" s="234"/>
      <c r="H8426" s="234"/>
      <c r="I8426" s="235"/>
      <c r="J8426" s="235"/>
      <c r="K8426" s="19"/>
      <c r="L8426" s="20"/>
    </row>
    <row r="8427" spans="1:12" outlineLevel="2">
      <c r="A8427" s="88"/>
      <c r="B8427" s="12" t="str">
        <f>IFERROR(VLOOKUP(D8427,'[1]Перечень товаров'!$A$2:$I9525,2,0),"")</f>
        <v>д65</v>
      </c>
      <c r="C8427" s="12" t="str">
        <f>IFERROR(VLOOKUP(D8427,'[1]Перечень товаров'!$A$2:$I9525,3,0),"")</f>
        <v>Дидактика</v>
      </c>
      <c r="D8427" s="223" t="s">
        <v>811</v>
      </c>
      <c r="E8427" s="23"/>
      <c r="F8427" s="23"/>
      <c r="G8427" s="232">
        <v>1</v>
      </c>
      <c r="H8427" s="232"/>
      <c r="I8427" s="233"/>
      <c r="J8427" s="233"/>
      <c r="K8427" s="19"/>
      <c r="L8427" s="20"/>
    </row>
    <row r="8428" spans="1:12" outlineLevel="2">
      <c r="A8428" s="88"/>
      <c r="B8428" s="12" t="str">
        <f>IFERROR(VLOOKUP(D8428,'[1]Перечень товаров'!$A$2:$I9525,2,0),"")</f>
        <v>д66</v>
      </c>
      <c r="C8428" s="12" t="str">
        <f>IFERROR(VLOOKUP(D8428,'[1]Перечень товаров'!$A$2:$I9525,3,0),"")</f>
        <v>Дидактика</v>
      </c>
      <c r="D8428" s="223" t="s">
        <v>812</v>
      </c>
      <c r="E8428" s="23"/>
      <c r="F8428" s="23"/>
      <c r="G8428" s="232">
        <v>1</v>
      </c>
      <c r="H8428" s="232"/>
      <c r="I8428" s="233"/>
      <c r="J8428" s="233"/>
      <c r="K8428" s="19"/>
      <c r="L8428" s="20"/>
    </row>
    <row r="8429" spans="1:12" outlineLevel="2">
      <c r="A8429" s="88"/>
      <c r="B8429" s="12" t="str">
        <f>IFERROR(VLOOKUP(D8429,'[1]Перечень товаров'!$A$2:$I9525,2,0),"")</f>
        <v>д67</v>
      </c>
      <c r="C8429" s="12" t="str">
        <f>IFERROR(VLOOKUP(D8429,'[1]Перечень товаров'!$A$2:$I9525,3,0),"")</f>
        <v>Дидактика</v>
      </c>
      <c r="D8429" s="223" t="s">
        <v>813</v>
      </c>
      <c r="E8429" s="23"/>
      <c r="F8429" s="23"/>
      <c r="G8429" s="232">
        <v>1</v>
      </c>
      <c r="H8429" s="232"/>
      <c r="I8429" s="233"/>
      <c r="J8429" s="233"/>
      <c r="K8429" s="19"/>
      <c r="L8429" s="20"/>
    </row>
    <row r="8430" spans="1:12" outlineLevel="2">
      <c r="A8430" s="88"/>
      <c r="B8430" s="12" t="str">
        <f>IFERROR(VLOOKUP(D8430,'[1]Перечень товаров'!$A$2:$I9525,2,0),"")</f>
        <v>п90</v>
      </c>
      <c r="C8430" s="12" t="str">
        <f>IFERROR(VLOOKUP(D8430,'[1]Перечень товаров'!$A$2:$I9525,3,0),"")</f>
        <v>Прочее</v>
      </c>
      <c r="D8430" s="223" t="s">
        <v>723</v>
      </c>
      <c r="E8430" s="23"/>
      <c r="F8430" s="23"/>
      <c r="G8430" s="232">
        <v>1</v>
      </c>
      <c r="H8430" s="232"/>
      <c r="I8430" s="233"/>
      <c r="J8430" s="233"/>
      <c r="K8430" s="19"/>
      <c r="L8430" s="20"/>
    </row>
    <row r="8431" spans="1:12" outlineLevel="2">
      <c r="A8431" s="88"/>
      <c r="B8431" s="12" t="str">
        <f>IFERROR(VLOOKUP(D8431,'[1]Перечень товаров'!$A$2:$I9525,2,0),"")</f>
        <v>д68</v>
      </c>
      <c r="C8431" s="12" t="str">
        <f>IFERROR(VLOOKUP(D8431,'[1]Перечень товаров'!$A$2:$I9525,3,0),"")</f>
        <v>Дидактика</v>
      </c>
      <c r="D8431" s="223" t="s">
        <v>814</v>
      </c>
      <c r="E8431" s="23"/>
      <c r="F8431" s="23"/>
      <c r="G8431" s="232">
        <v>3</v>
      </c>
      <c r="H8431" s="232"/>
      <c r="I8431" s="233"/>
      <c r="J8431" s="233"/>
      <c r="K8431" s="19"/>
      <c r="L8431" s="20"/>
    </row>
    <row r="8432" spans="1:12" outlineLevel="2">
      <c r="A8432" s="88"/>
      <c r="B8432" s="12" t="str">
        <f>IFERROR(VLOOKUP(D8432,'[1]Перечень товаров'!$A$2:$I9525,2,0),"")</f>
        <v>д69</v>
      </c>
      <c r="C8432" s="12" t="str">
        <f>IFERROR(VLOOKUP(D8432,'[1]Перечень товаров'!$A$2:$I9525,3,0),"")</f>
        <v>Дидактика</v>
      </c>
      <c r="D8432" s="223" t="s">
        <v>815</v>
      </c>
      <c r="E8432" s="23"/>
      <c r="F8432" s="23"/>
      <c r="G8432" s="232">
        <v>8</v>
      </c>
      <c r="H8432" s="232"/>
      <c r="I8432" s="233"/>
      <c r="J8432" s="233"/>
      <c r="K8432" s="19"/>
      <c r="L8432" s="20"/>
    </row>
    <row r="8433" spans="1:12" outlineLevel="2">
      <c r="A8433" s="88"/>
      <c r="B8433" s="12" t="str">
        <f>IFERROR(VLOOKUP(D8433,'[1]Перечень товаров'!$A$2:$I9525,2,0),"")</f>
        <v>д70</v>
      </c>
      <c r="C8433" s="12" t="str">
        <f>IFERROR(VLOOKUP(D8433,'[1]Перечень товаров'!$A$2:$I9525,3,0),"")</f>
        <v>Дидактика</v>
      </c>
      <c r="D8433" s="223" t="s">
        <v>816</v>
      </c>
      <c r="E8433" s="23"/>
      <c r="F8433" s="23"/>
      <c r="G8433" s="232">
        <v>100</v>
      </c>
      <c r="H8433" s="232"/>
      <c r="I8433" s="233"/>
      <c r="J8433" s="233"/>
      <c r="K8433" s="19"/>
      <c r="L8433" s="20"/>
    </row>
    <row r="8434" spans="1:12" ht="12.75" outlineLevel="1">
      <c r="A8434" s="11"/>
      <c r="B8434" s="12" t="str">
        <f>IFERROR(VLOOKUP(D8434,'[1]Перечень товаров'!$A$2:$I9525,2,0),"")</f>
        <v/>
      </c>
      <c r="C8434" s="12" t="str">
        <f>IFERROR(VLOOKUP(D8434,'[1]Перечень товаров'!$A$2:$I9525,3,0),"")</f>
        <v/>
      </c>
      <c r="D8434" s="27" t="s">
        <v>2065</v>
      </c>
      <c r="E8434" s="14" t="s">
        <v>525</v>
      </c>
      <c r="F8434" s="14"/>
      <c r="G8434" s="17"/>
      <c r="H8434" s="17"/>
      <c r="I8434" s="57"/>
      <c r="J8434" s="57"/>
      <c r="K8434" s="19"/>
      <c r="L8434" s="20"/>
    </row>
    <row r="8435" spans="1:12" ht="12.75" outlineLevel="2">
      <c r="A8435" s="245"/>
      <c r="B8435" s="12" t="str">
        <f>IFERROR(VLOOKUP(D8435,'[1]Перечень товаров'!$A$2:$I9525,2,0),"")</f>
        <v/>
      </c>
      <c r="C8435" s="12" t="str">
        <f>IFERROR(VLOOKUP(D8435,'[1]Перечень товаров'!$A$2:$I9525,3,0),"")</f>
        <v/>
      </c>
      <c r="D8435" s="246" t="s">
        <v>668</v>
      </c>
      <c r="E8435" s="15"/>
      <c r="F8435" s="15"/>
      <c r="G8435" s="17"/>
      <c r="H8435" s="17"/>
      <c r="I8435" s="57"/>
      <c r="J8435" s="57"/>
      <c r="K8435" s="19"/>
      <c r="L8435" s="20"/>
    </row>
    <row r="8436" spans="1:12" outlineLevel="2">
      <c r="A8436" s="34"/>
      <c r="B8436" s="12" t="str">
        <f>IFERROR(VLOOKUP(D8436,'[1]Перечень товаров'!$A$2:$I9525,2,0),"")</f>
        <v>т129</v>
      </c>
      <c r="C8436" s="12" t="str">
        <f>IFERROR(VLOOKUP(D8436,'[1]Перечень товаров'!$A$2:$I9525,3,0),"")</f>
        <v>Техника</v>
      </c>
      <c r="D8436" s="35" t="s">
        <v>1204</v>
      </c>
      <c r="E8436" s="23"/>
      <c r="F8436" s="23"/>
      <c r="G8436" s="232">
        <v>1</v>
      </c>
      <c r="H8436" s="232"/>
      <c r="I8436" s="233"/>
      <c r="J8436" s="233"/>
      <c r="K8436" s="19"/>
      <c r="L8436" s="20"/>
    </row>
    <row r="8437" spans="1:12" outlineLevel="2">
      <c r="A8437" s="34"/>
      <c r="B8437" s="12" t="str">
        <f>IFERROR(VLOOKUP(D8437,'[1]Перечень товаров'!$A$2:$I9525,2,0),"")</f>
        <v>т128</v>
      </c>
      <c r="C8437" s="12" t="str">
        <f>IFERROR(VLOOKUP(D8437,'[1]Перечень товаров'!$A$2:$I9525,3,0),"")</f>
        <v>Техника</v>
      </c>
      <c r="D8437" s="35" t="s">
        <v>1205</v>
      </c>
      <c r="E8437" s="23"/>
      <c r="F8437" s="23"/>
      <c r="G8437" s="232">
        <v>1</v>
      </c>
      <c r="H8437" s="232"/>
      <c r="I8437" s="233"/>
      <c r="J8437" s="233"/>
      <c r="K8437" s="19"/>
      <c r="L8437" s="20"/>
    </row>
    <row r="8438" spans="1:12" outlineLevel="2">
      <c r="A8438" s="34"/>
      <c r="B8438" s="12" t="str">
        <f>IFERROR(VLOOKUP(D8438,'[1]Перечень товаров'!$A$2:$I9525,2,0),"")</f>
        <v>т1</v>
      </c>
      <c r="C8438" s="12" t="str">
        <f>IFERROR(VLOOKUP(D8438,'[1]Перечень товаров'!$A$2:$I9525,3,0),"")</f>
        <v xml:space="preserve">Техника </v>
      </c>
      <c r="D8438" s="22" t="s">
        <v>28</v>
      </c>
      <c r="E8438" s="23"/>
      <c r="F8438" s="23"/>
      <c r="G8438" s="232">
        <v>1</v>
      </c>
      <c r="H8438" s="232"/>
      <c r="I8438" s="233"/>
      <c r="J8438" s="233"/>
      <c r="K8438" s="19"/>
      <c r="L8438" s="20"/>
    </row>
    <row r="8439" spans="1:12" outlineLevel="2">
      <c r="A8439" s="34"/>
      <c r="B8439" s="12" t="str">
        <f>IFERROR(VLOOKUP(D8439,'[1]Перечень товаров'!$A$2:$I9525,2,0),"")</f>
        <v>т235</v>
      </c>
      <c r="C8439" s="12" t="str">
        <f>IFERROR(VLOOKUP(D8439,'[1]Перечень товаров'!$A$2:$I9525,3,0),"")</f>
        <v>Техника</v>
      </c>
      <c r="D8439" s="35" t="s">
        <v>742</v>
      </c>
      <c r="E8439" s="23"/>
      <c r="F8439" s="23"/>
      <c r="G8439" s="232">
        <v>1</v>
      </c>
      <c r="H8439" s="232"/>
      <c r="I8439" s="233"/>
      <c r="J8439" s="233"/>
      <c r="K8439" s="19"/>
      <c r="L8439" s="20"/>
    </row>
    <row r="8440" spans="1:12" outlineLevel="2">
      <c r="A8440" s="34"/>
      <c r="B8440" s="12" t="str">
        <f>IFERROR(VLOOKUP(D8440,'[1]Перечень товаров'!$A$2:$I9525,2,0),"")</f>
        <v>т8</v>
      </c>
      <c r="C8440" s="12" t="str">
        <f>IFERROR(VLOOKUP(D8440,'[1]Перечень товаров'!$A$2:$I9525,3,0),"")</f>
        <v xml:space="preserve">Техника </v>
      </c>
      <c r="D8440" s="35" t="s">
        <v>35</v>
      </c>
      <c r="E8440" s="23"/>
      <c r="F8440" s="23"/>
      <c r="G8440" s="232">
        <v>1</v>
      </c>
      <c r="H8440" s="232"/>
      <c r="I8440" s="233"/>
      <c r="J8440" s="233"/>
      <c r="K8440" s="19"/>
      <c r="L8440" s="20"/>
    </row>
    <row r="8441" spans="1:12" outlineLevel="2">
      <c r="A8441" s="34"/>
      <c r="B8441" s="12" t="str">
        <f>IFERROR(VLOOKUP(D8441,'[1]Перечень товаров'!$A$2:$I9525,2,0),"")</f>
        <v>т236</v>
      </c>
      <c r="C8441" s="12" t="str">
        <f>IFERROR(VLOOKUP(D8441,'[1]Перечень товаров'!$A$2:$I9525,3,0),"")</f>
        <v>Техника</v>
      </c>
      <c r="D8441" s="35" t="s">
        <v>743</v>
      </c>
      <c r="E8441" s="23"/>
      <c r="F8441" s="23"/>
      <c r="G8441" s="232">
        <v>1</v>
      </c>
      <c r="H8441" s="232"/>
      <c r="I8441" s="233"/>
      <c r="J8441" s="233"/>
      <c r="K8441" s="19"/>
      <c r="L8441" s="20"/>
    </row>
    <row r="8442" spans="1:12" outlineLevel="2">
      <c r="A8442" s="34"/>
      <c r="B8442" s="12" t="str">
        <f>IFERROR(VLOOKUP(D8442,'[1]Перечень товаров'!$A$2:$I9525,2,0),"")</f>
        <v>т237</v>
      </c>
      <c r="C8442" s="12" t="str">
        <f>IFERROR(VLOOKUP(D8442,'[1]Перечень товаров'!$A$2:$I9525,3,0),"")</f>
        <v>Техника</v>
      </c>
      <c r="D8442" s="35" t="s">
        <v>744</v>
      </c>
      <c r="E8442" s="23"/>
      <c r="F8442" s="23"/>
      <c r="G8442" s="232">
        <v>1</v>
      </c>
      <c r="H8442" s="232"/>
      <c r="I8442" s="233"/>
      <c r="J8442" s="233"/>
      <c r="K8442" s="19"/>
      <c r="L8442" s="20"/>
    </row>
    <row r="8443" spans="1:12" ht="12.75" outlineLevel="2">
      <c r="A8443" s="245"/>
      <c r="B8443" s="12" t="str">
        <f>IFERROR(VLOOKUP(D8443,'[1]Перечень товаров'!$A$2:$I9525,2,0),"")</f>
        <v/>
      </c>
      <c r="C8443" s="12" t="str">
        <f>IFERROR(VLOOKUP(D8443,'[1]Перечень товаров'!$A$2:$I9525,3,0),"")</f>
        <v/>
      </c>
      <c r="D8443" s="246" t="s">
        <v>19</v>
      </c>
      <c r="E8443" s="15"/>
      <c r="F8443" s="15"/>
      <c r="G8443" s="234"/>
      <c r="H8443" s="234"/>
      <c r="I8443" s="235"/>
      <c r="J8443" s="235"/>
      <c r="K8443" s="19"/>
      <c r="L8443" s="20"/>
    </row>
    <row r="8444" spans="1:12" outlineLevel="2">
      <c r="A8444" s="34"/>
      <c r="B8444" s="12" t="str">
        <f>IFERROR(VLOOKUP(D8444,'[1]Перечень товаров'!$A$2:$I9525,2,0),"")</f>
        <v>м62</v>
      </c>
      <c r="C8444" s="12" t="str">
        <f>IFERROR(VLOOKUP(D8444,'[1]Перечень товаров'!$A$2:$I9525,3,0),"")</f>
        <v>Мебель</v>
      </c>
      <c r="D8444" s="35" t="s">
        <v>398</v>
      </c>
      <c r="E8444" s="23"/>
      <c r="F8444" s="23"/>
      <c r="G8444" s="232">
        <v>1</v>
      </c>
      <c r="H8444" s="232"/>
      <c r="I8444" s="233"/>
      <c r="J8444" s="233"/>
      <c r="K8444" s="19"/>
      <c r="L8444" s="20"/>
    </row>
    <row r="8445" spans="1:12" outlineLevel="2">
      <c r="A8445" s="34"/>
      <c r="B8445" s="12" t="str">
        <f>IFERROR(VLOOKUP(D8445,'[1]Перечень товаров'!$A$2:$I9525,2,0),"")</f>
        <v>м61</v>
      </c>
      <c r="C8445" s="12" t="str">
        <f>IFERROR(VLOOKUP(D8445,'[1]Перечень товаров'!$A$2:$I9525,3,0),"")</f>
        <v>Мебель</v>
      </c>
      <c r="D8445" s="35" t="s">
        <v>383</v>
      </c>
      <c r="E8445" s="23"/>
      <c r="F8445" s="23"/>
      <c r="G8445" s="232">
        <v>1</v>
      </c>
      <c r="H8445" s="232"/>
      <c r="I8445" s="233"/>
      <c r="J8445" s="233"/>
      <c r="K8445" s="19"/>
      <c r="L8445" s="20"/>
    </row>
    <row r="8446" spans="1:12" ht="31.5" outlineLevel="2">
      <c r="A8446" s="34"/>
      <c r="B8446" s="12" t="str">
        <f>IFERROR(VLOOKUP(D8446,'[1]Перечень товаров'!$A$2:$I9525,2,0),"")</f>
        <v>д525</v>
      </c>
      <c r="C8446" s="12" t="str">
        <f>IFERROR(VLOOKUP(D8446,'[1]Перечень товаров'!$A$2:$I9525,3,0),"")</f>
        <v>дидактика</v>
      </c>
      <c r="D8446" s="35" t="s">
        <v>1230</v>
      </c>
      <c r="E8446" s="23"/>
      <c r="F8446" s="23"/>
      <c r="G8446" s="232">
        <v>13</v>
      </c>
      <c r="H8446" s="232"/>
      <c r="I8446" s="233"/>
      <c r="J8446" s="233"/>
      <c r="K8446" s="19"/>
      <c r="L8446" s="20"/>
    </row>
    <row r="8447" spans="1:12" outlineLevel="2">
      <c r="A8447" s="34"/>
      <c r="B8447" s="12" t="str">
        <f>IFERROR(VLOOKUP(D8447,'[1]Перечень товаров'!$A$2:$I9525,2,0),"")</f>
        <v>м216</v>
      </c>
      <c r="C8447" s="12" t="str">
        <f>IFERROR(VLOOKUP(D8447,'[1]Перечень товаров'!$A$2:$I9525,3,0),"")</f>
        <v>Мебель</v>
      </c>
      <c r="D8447" s="35" t="s">
        <v>854</v>
      </c>
      <c r="E8447" s="23"/>
      <c r="F8447" s="23"/>
      <c r="G8447" s="232">
        <v>1</v>
      </c>
      <c r="H8447" s="232"/>
      <c r="I8447" s="233"/>
      <c r="J8447" s="233"/>
      <c r="K8447" s="19"/>
      <c r="L8447" s="20"/>
    </row>
    <row r="8448" spans="1:12" ht="31.5" outlineLevel="2">
      <c r="A8448" s="34"/>
      <c r="B8448" s="12" t="str">
        <f>IFERROR(VLOOKUP(D8448,'[1]Перечень товаров'!$A$2:$I9525,2,0),"")</f>
        <v>д524</v>
      </c>
      <c r="C8448" s="12" t="str">
        <f>IFERROR(VLOOKUP(D8448,'[1]Перечень товаров'!$A$2:$I9525,3,0),"")</f>
        <v>дидактика</v>
      </c>
      <c r="D8448" s="35" t="s">
        <v>1231</v>
      </c>
      <c r="E8448" s="23"/>
      <c r="F8448" s="23"/>
      <c r="G8448" s="232">
        <v>1</v>
      </c>
      <c r="H8448" s="232"/>
      <c r="I8448" s="233"/>
      <c r="J8448" s="233"/>
      <c r="K8448" s="19"/>
      <c r="L8448" s="20"/>
    </row>
    <row r="8449" spans="1:12" ht="12.75" outlineLevel="2">
      <c r="A8449" s="197"/>
      <c r="B8449" s="12" t="str">
        <f>IFERROR(VLOOKUP(D8449,'[1]Перечень товаров'!$A$2:$I9525,2,0),"")</f>
        <v/>
      </c>
      <c r="C8449" s="12" t="str">
        <f>IFERROR(VLOOKUP(D8449,'[1]Перечень товаров'!$A$2:$I9525,3,0),"")</f>
        <v/>
      </c>
      <c r="D8449" s="198" t="s">
        <v>2067</v>
      </c>
      <c r="E8449" s="15"/>
      <c r="F8449" s="15"/>
      <c r="G8449" s="238"/>
      <c r="H8449" s="238"/>
      <c r="I8449" s="239"/>
      <c r="J8449" s="239"/>
      <c r="K8449" s="19"/>
      <c r="L8449" s="20"/>
    </row>
    <row r="8450" spans="1:12" ht="31.5" outlineLevel="2">
      <c r="A8450" s="34"/>
      <c r="B8450" s="12" t="str">
        <f>IFERROR(VLOOKUP(D8450,'[1]Перечень товаров'!$A$2:$I9525,2,0),"")</f>
        <v>д19</v>
      </c>
      <c r="C8450" s="12" t="str">
        <f>IFERROR(VLOOKUP(D8450,'[1]Перечень товаров'!$A$2:$I9525,3,0),"")</f>
        <v>Дидактика</v>
      </c>
      <c r="D8450" s="35" t="s">
        <v>762</v>
      </c>
      <c r="E8450" s="23"/>
      <c r="F8450" s="23"/>
      <c r="G8450" s="205">
        <v>1</v>
      </c>
      <c r="H8450" s="205"/>
      <c r="I8450" s="206"/>
      <c r="J8450" s="206"/>
      <c r="K8450" s="19"/>
      <c r="L8450" s="20"/>
    </row>
    <row r="8451" spans="1:12" ht="12.75" outlineLevel="2">
      <c r="A8451" s="197"/>
      <c r="B8451" s="12" t="str">
        <f>IFERROR(VLOOKUP(D8451,'[1]Перечень товаров'!$A$2:$I9525,2,0),"")</f>
        <v/>
      </c>
      <c r="C8451" s="12" t="str">
        <f>IFERROR(VLOOKUP(D8451,'[1]Перечень товаров'!$A$2:$I9525,3,0),"")</f>
        <v/>
      </c>
      <c r="D8451" s="198" t="s">
        <v>2068</v>
      </c>
      <c r="E8451" s="15"/>
      <c r="F8451" s="15"/>
      <c r="G8451" s="238"/>
      <c r="H8451" s="238"/>
      <c r="I8451" s="239"/>
      <c r="J8451" s="239"/>
      <c r="K8451" s="19"/>
      <c r="L8451" s="20"/>
    </row>
    <row r="8452" spans="1:12" ht="31.5" outlineLevel="2">
      <c r="A8452" s="34"/>
      <c r="B8452" s="12" t="str">
        <f>IFERROR(VLOOKUP(D8452,'[1]Перечень товаров'!$A$2:$I9525,2,0),"")</f>
        <v>д63</v>
      </c>
      <c r="C8452" s="12" t="str">
        <f>IFERROR(VLOOKUP(D8452,'[1]Перечень товаров'!$A$2:$I9525,3,0),"")</f>
        <v>Дидактика</v>
      </c>
      <c r="D8452" s="35" t="s">
        <v>2069</v>
      </c>
      <c r="E8452" s="23"/>
      <c r="F8452" s="23"/>
      <c r="G8452" s="205">
        <v>1</v>
      </c>
      <c r="H8452" s="205"/>
      <c r="I8452" s="206"/>
      <c r="J8452" s="206"/>
      <c r="K8452" s="19"/>
      <c r="L8452" s="20"/>
    </row>
    <row r="8453" spans="1:12" ht="31.5" outlineLevel="2">
      <c r="A8453" s="34"/>
      <c r="B8453" s="12" t="str">
        <f>IFERROR(VLOOKUP(D8453,'[1]Перечень товаров'!$A$2:$I9525,2,0),"")</f>
        <v>д62</v>
      </c>
      <c r="C8453" s="12" t="str">
        <f>IFERROR(VLOOKUP(D8453,'[1]Перечень товаров'!$A$2:$I9525,3,0),"")</f>
        <v>Дидактика</v>
      </c>
      <c r="D8453" s="35" t="s">
        <v>2070</v>
      </c>
      <c r="E8453" s="23"/>
      <c r="F8453" s="23"/>
      <c r="G8453" s="205">
        <v>1</v>
      </c>
      <c r="H8453" s="205"/>
      <c r="I8453" s="206"/>
      <c r="J8453" s="206"/>
      <c r="K8453" s="19"/>
      <c r="L8453" s="20"/>
    </row>
    <row r="8454" spans="1:12" ht="31.5" outlineLevel="2">
      <c r="A8454" s="34"/>
      <c r="B8454" s="12" t="str">
        <f>IFERROR(VLOOKUP(D8454,'[1]Перечень товаров'!$A$2:$I9525,2,0),"")</f>
        <v>д61</v>
      </c>
      <c r="C8454" s="12" t="str">
        <f>IFERROR(VLOOKUP(D8454,'[1]Перечень товаров'!$A$2:$I9525,3,0),"")</f>
        <v>Дидактика</v>
      </c>
      <c r="D8454" s="35" t="s">
        <v>2071</v>
      </c>
      <c r="E8454" s="23"/>
      <c r="F8454" s="23"/>
      <c r="G8454" s="205">
        <v>1</v>
      </c>
      <c r="H8454" s="205"/>
      <c r="I8454" s="206"/>
      <c r="J8454" s="206"/>
      <c r="K8454" s="19"/>
      <c r="L8454" s="20"/>
    </row>
    <row r="8455" spans="1:12" ht="31.5" outlineLevel="2">
      <c r="A8455" s="34"/>
      <c r="B8455" s="12" t="str">
        <f>IFERROR(VLOOKUP(D8455,'[1]Перечень товаров'!$A$2:$I9525,2,0),"")</f>
        <v>д60</v>
      </c>
      <c r="C8455" s="12" t="str">
        <f>IFERROR(VLOOKUP(D8455,'[1]Перечень товаров'!$A$2:$I9525,3,0),"")</f>
        <v>Дидактика</v>
      </c>
      <c r="D8455" s="35" t="s">
        <v>2072</v>
      </c>
      <c r="E8455" s="23"/>
      <c r="F8455" s="23"/>
      <c r="G8455" s="205">
        <v>1</v>
      </c>
      <c r="H8455" s="205"/>
      <c r="I8455" s="206"/>
      <c r="J8455" s="206"/>
      <c r="K8455" s="19"/>
      <c r="L8455" s="20"/>
    </row>
    <row r="8456" spans="1:12" outlineLevel="2">
      <c r="A8456" s="34"/>
      <c r="B8456" s="12" t="str">
        <f>IFERROR(VLOOKUP(D8456,'[1]Перечень товаров'!$A$2:$I9525,2,0),"")</f>
        <v>д59</v>
      </c>
      <c r="C8456" s="12" t="str">
        <f>IFERROR(VLOOKUP(D8456,'[1]Перечень товаров'!$A$2:$I9525,3,0),"")</f>
        <v>Дидактика</v>
      </c>
      <c r="D8456" s="35" t="s">
        <v>2073</v>
      </c>
      <c r="E8456" s="23"/>
      <c r="F8456" s="23"/>
      <c r="G8456" s="205">
        <v>1</v>
      </c>
      <c r="H8456" s="205"/>
      <c r="I8456" s="206"/>
      <c r="J8456" s="206"/>
      <c r="K8456" s="19"/>
      <c r="L8456" s="20"/>
    </row>
    <row r="8457" spans="1:12" ht="31.5" outlineLevel="2">
      <c r="A8457" s="34"/>
      <c r="B8457" s="12" t="str">
        <f>IFERROR(VLOOKUP(D8457,'[1]Перечень товаров'!$A$2:$I9525,2,0),"")</f>
        <v>д58</v>
      </c>
      <c r="C8457" s="12" t="str">
        <f>IFERROR(VLOOKUP(D8457,'[1]Перечень товаров'!$A$2:$I9525,3,0),"")</f>
        <v>Дидактика</v>
      </c>
      <c r="D8457" s="35" t="s">
        <v>2074</v>
      </c>
      <c r="E8457" s="23"/>
      <c r="F8457" s="23"/>
      <c r="G8457" s="205">
        <v>1</v>
      </c>
      <c r="H8457" s="205"/>
      <c r="I8457" s="206"/>
      <c r="J8457" s="206"/>
      <c r="K8457" s="19"/>
      <c r="L8457" s="20"/>
    </row>
    <row r="8458" spans="1:12" ht="31.5" outlineLevel="2">
      <c r="A8458" s="34"/>
      <c r="B8458" s="12" t="str">
        <f>IFERROR(VLOOKUP(D8458,'[1]Перечень товаров'!$A$2:$I9525,2,0),"")</f>
        <v>д57</v>
      </c>
      <c r="C8458" s="12" t="str">
        <f>IFERROR(VLOOKUP(D8458,'[1]Перечень товаров'!$A$2:$I9525,3,0),"")</f>
        <v>Дидактика</v>
      </c>
      <c r="D8458" s="35" t="s">
        <v>2075</v>
      </c>
      <c r="E8458" s="23"/>
      <c r="F8458" s="23"/>
      <c r="G8458" s="205">
        <v>2</v>
      </c>
      <c r="H8458" s="205"/>
      <c r="I8458" s="206"/>
      <c r="J8458" s="206"/>
      <c r="K8458" s="19"/>
      <c r="L8458" s="20"/>
    </row>
    <row r="8459" spans="1:12" ht="31.5" outlineLevel="2">
      <c r="A8459" s="34"/>
      <c r="B8459" s="12" t="str">
        <f>IFERROR(VLOOKUP(D8459,'[1]Перечень товаров'!$A$2:$I9525,2,0),"")</f>
        <v>д56</v>
      </c>
      <c r="C8459" s="12" t="str">
        <f>IFERROR(VLOOKUP(D8459,'[1]Перечень товаров'!$A$2:$I9525,3,0),"")</f>
        <v>Дидактика</v>
      </c>
      <c r="D8459" s="35" t="s">
        <v>2076</v>
      </c>
      <c r="E8459" s="23"/>
      <c r="F8459" s="23"/>
      <c r="G8459" s="205">
        <v>1</v>
      </c>
      <c r="H8459" s="205"/>
      <c r="I8459" s="206"/>
      <c r="J8459" s="206"/>
      <c r="K8459" s="19"/>
      <c r="L8459" s="20"/>
    </row>
    <row r="8460" spans="1:12" outlineLevel="2">
      <c r="A8460" s="34"/>
      <c r="B8460" s="12" t="str">
        <f>IFERROR(VLOOKUP(D8460,'[1]Перечень товаров'!$A$2:$I9525,2,0),"")</f>
        <v>д55</v>
      </c>
      <c r="C8460" s="12" t="str">
        <f>IFERROR(VLOOKUP(D8460,'[1]Перечень товаров'!$A$2:$I9525,3,0),"")</f>
        <v>Дидактика</v>
      </c>
      <c r="D8460" s="35" t="s">
        <v>2077</v>
      </c>
      <c r="E8460" s="23"/>
      <c r="F8460" s="23"/>
      <c r="G8460" s="205">
        <v>1</v>
      </c>
      <c r="H8460" s="205"/>
      <c r="I8460" s="206"/>
      <c r="J8460" s="206"/>
      <c r="K8460" s="19"/>
      <c r="L8460" s="20"/>
    </row>
    <row r="8461" spans="1:12" ht="12.75" outlineLevel="2">
      <c r="A8461" s="197"/>
      <c r="B8461" s="12" t="str">
        <f>IFERROR(VLOOKUP(D8461,'[1]Перечень товаров'!$A$2:$I9525,2,0),"")</f>
        <v/>
      </c>
      <c r="C8461" s="12" t="str">
        <f>IFERROR(VLOOKUP(D8461,'[1]Перечень товаров'!$A$2:$I9525,3,0),"")</f>
        <v/>
      </c>
      <c r="D8461" s="198" t="s">
        <v>2078</v>
      </c>
      <c r="E8461" s="15"/>
      <c r="F8461" s="15"/>
      <c r="G8461" s="238"/>
      <c r="H8461" s="238"/>
      <c r="I8461" s="239"/>
      <c r="J8461" s="239"/>
      <c r="K8461" s="19"/>
      <c r="L8461" s="20"/>
    </row>
    <row r="8462" spans="1:12" ht="31.5" outlineLevel="2">
      <c r="A8462" s="34"/>
      <c r="B8462" s="12" t="str">
        <f>IFERROR(VLOOKUP(D8462,'[1]Перечень товаров'!$A$2:$I9525,2,0),"")</f>
        <v>д54</v>
      </c>
      <c r="C8462" s="12" t="str">
        <f>IFERROR(VLOOKUP(D8462,'[1]Перечень товаров'!$A$2:$I9525,3,0),"")</f>
        <v>Дидактика</v>
      </c>
      <c r="D8462" s="35" t="s">
        <v>2079</v>
      </c>
      <c r="E8462" s="23"/>
      <c r="F8462" s="23"/>
      <c r="G8462" s="205">
        <v>3</v>
      </c>
      <c r="H8462" s="205"/>
      <c r="I8462" s="206"/>
      <c r="J8462" s="206"/>
      <c r="K8462" s="19"/>
      <c r="L8462" s="20"/>
    </row>
    <row r="8463" spans="1:12" ht="31.5" outlineLevel="2">
      <c r="A8463" s="34"/>
      <c r="B8463" s="12" t="str">
        <f>IFERROR(VLOOKUP(D8463,'[1]Перечень товаров'!$A$2:$I9525,2,0),"")</f>
        <v>д53</v>
      </c>
      <c r="C8463" s="12" t="str">
        <f>IFERROR(VLOOKUP(D8463,'[1]Перечень товаров'!$A$2:$I9525,3,0),"")</f>
        <v>Дидактика</v>
      </c>
      <c r="D8463" s="35" t="s">
        <v>2080</v>
      </c>
      <c r="E8463" s="23"/>
      <c r="F8463" s="23"/>
      <c r="G8463" s="205">
        <v>1</v>
      </c>
      <c r="H8463" s="205"/>
      <c r="I8463" s="206"/>
      <c r="J8463" s="206"/>
      <c r="K8463" s="19"/>
      <c r="L8463" s="20"/>
    </row>
    <row r="8464" spans="1:12" ht="12.75" outlineLevel="2">
      <c r="A8464" s="197"/>
      <c r="B8464" s="12" t="str">
        <f>IFERROR(VLOOKUP(D8464,'[1]Перечень товаров'!$A$2:$I9525,2,0),"")</f>
        <v/>
      </c>
      <c r="C8464" s="12" t="str">
        <f>IFERROR(VLOOKUP(D8464,'[1]Перечень товаров'!$A$2:$I9525,3,0),"")</f>
        <v/>
      </c>
      <c r="D8464" s="198" t="s">
        <v>2081</v>
      </c>
      <c r="E8464" s="15"/>
      <c r="F8464" s="15"/>
      <c r="G8464" s="234"/>
      <c r="H8464" s="234"/>
      <c r="I8464" s="235"/>
      <c r="J8464" s="235"/>
      <c r="K8464" s="19"/>
      <c r="L8464" s="20"/>
    </row>
    <row r="8465" spans="1:12" outlineLevel="2">
      <c r="A8465" s="34"/>
      <c r="B8465" s="12" t="str">
        <f>IFERROR(VLOOKUP(D8465,'[1]Перечень товаров'!$A$2:$I9525,2,0),"")</f>
        <v>д377</v>
      </c>
      <c r="C8465" s="12" t="str">
        <f>IFERROR(VLOOKUP(D8465,'[1]Перечень товаров'!$A$2:$I9525,3,0),"")</f>
        <v>дидактика</v>
      </c>
      <c r="D8465" s="35" t="s">
        <v>1440</v>
      </c>
      <c r="E8465" s="23"/>
      <c r="F8465" s="23"/>
      <c r="G8465" s="205">
        <v>1</v>
      </c>
      <c r="H8465" s="205"/>
      <c r="I8465" s="206"/>
      <c r="J8465" s="206"/>
      <c r="K8465" s="19"/>
      <c r="L8465" s="20"/>
    </row>
    <row r="8466" spans="1:12" ht="31.5" outlineLevel="2">
      <c r="A8466" s="21"/>
      <c r="B8466" s="12" t="str">
        <f>IFERROR(VLOOKUP(D8466,'[1]Перечень товаров'!$A$2:$I9525,2,0),"")</f>
        <v>д481</v>
      </c>
      <c r="C8466" s="12" t="str">
        <f>IFERROR(VLOOKUP(D8466,'[1]Перечень товаров'!$A$2:$I9525,3,0),"")</f>
        <v>дидактика</v>
      </c>
      <c r="D8466" s="22" t="s">
        <v>1282</v>
      </c>
      <c r="E8466" s="23"/>
      <c r="F8466" s="23"/>
      <c r="G8466" s="242">
        <v>1</v>
      </c>
      <c r="H8466" s="242"/>
      <c r="I8466" s="243"/>
      <c r="J8466" s="243"/>
      <c r="K8466" s="19"/>
      <c r="L8466" s="20"/>
    </row>
    <row r="8467" spans="1:12" ht="12.75" outlineLevel="2">
      <c r="A8467" s="245"/>
      <c r="B8467" s="12" t="str">
        <f>IFERROR(VLOOKUP(D8467,'[1]Перечень товаров'!$A$2:$I9525,2,0),"")</f>
        <v/>
      </c>
      <c r="C8467" s="12" t="str">
        <f>IFERROR(VLOOKUP(D8467,'[1]Перечень товаров'!$A$2:$I9525,3,0),"")</f>
        <v/>
      </c>
      <c r="D8467" s="246" t="s">
        <v>809</v>
      </c>
      <c r="E8467" s="15"/>
      <c r="F8467" s="15"/>
      <c r="G8467" s="234"/>
      <c r="H8467" s="234"/>
      <c r="I8467" s="235"/>
      <c r="J8467" s="235"/>
      <c r="K8467" s="19"/>
      <c r="L8467" s="20"/>
    </row>
    <row r="8468" spans="1:12" outlineLevel="2">
      <c r="A8468" s="88"/>
      <c r="B8468" s="12" t="str">
        <f>IFERROR(VLOOKUP(D8468,'[1]Перечень товаров'!$A$2:$I9525,2,0),"")</f>
        <v>д65</v>
      </c>
      <c r="C8468" s="12" t="str">
        <f>IFERROR(VLOOKUP(D8468,'[1]Перечень товаров'!$A$2:$I9525,3,0),"")</f>
        <v>Дидактика</v>
      </c>
      <c r="D8468" s="223" t="s">
        <v>811</v>
      </c>
      <c r="E8468" s="23"/>
      <c r="F8468" s="23"/>
      <c r="G8468" s="232">
        <v>1</v>
      </c>
      <c r="H8468" s="232"/>
      <c r="I8468" s="233"/>
      <c r="J8468" s="233"/>
      <c r="K8468" s="19"/>
      <c r="L8468" s="20"/>
    </row>
    <row r="8469" spans="1:12" outlineLevel="2">
      <c r="A8469" s="88"/>
      <c r="B8469" s="12" t="str">
        <f>IFERROR(VLOOKUP(D8469,'[1]Перечень товаров'!$A$2:$I9525,2,0),"")</f>
        <v>д66</v>
      </c>
      <c r="C8469" s="12" t="str">
        <f>IFERROR(VLOOKUP(D8469,'[1]Перечень товаров'!$A$2:$I9525,3,0),"")</f>
        <v>Дидактика</v>
      </c>
      <c r="D8469" s="223" t="s">
        <v>812</v>
      </c>
      <c r="E8469" s="23"/>
      <c r="F8469" s="23"/>
      <c r="G8469" s="232">
        <v>1</v>
      </c>
      <c r="H8469" s="232"/>
      <c r="I8469" s="233"/>
      <c r="J8469" s="233"/>
      <c r="K8469" s="19"/>
      <c r="L8469" s="20"/>
    </row>
    <row r="8470" spans="1:12" outlineLevel="2">
      <c r="A8470" s="88"/>
      <c r="B8470" s="12" t="str">
        <f>IFERROR(VLOOKUP(D8470,'[1]Перечень товаров'!$A$2:$I9525,2,0),"")</f>
        <v>д67</v>
      </c>
      <c r="C8470" s="12" t="str">
        <f>IFERROR(VLOOKUP(D8470,'[1]Перечень товаров'!$A$2:$I9525,3,0),"")</f>
        <v>Дидактика</v>
      </c>
      <c r="D8470" s="223" t="s">
        <v>813</v>
      </c>
      <c r="E8470" s="23"/>
      <c r="F8470" s="23"/>
      <c r="G8470" s="232">
        <v>1</v>
      </c>
      <c r="H8470" s="232"/>
      <c r="I8470" s="233"/>
      <c r="J8470" s="233"/>
      <c r="K8470" s="19"/>
      <c r="L8470" s="20"/>
    </row>
    <row r="8471" spans="1:12" outlineLevel="2">
      <c r="A8471" s="88"/>
      <c r="B8471" s="12" t="str">
        <f>IFERROR(VLOOKUP(D8471,'[1]Перечень товаров'!$A$2:$I9525,2,0),"")</f>
        <v>п90</v>
      </c>
      <c r="C8471" s="12" t="str">
        <f>IFERROR(VLOOKUP(D8471,'[1]Перечень товаров'!$A$2:$I9525,3,0),"")</f>
        <v>Прочее</v>
      </c>
      <c r="D8471" s="223" t="s">
        <v>723</v>
      </c>
      <c r="E8471" s="23"/>
      <c r="F8471" s="23"/>
      <c r="G8471" s="232">
        <v>1</v>
      </c>
      <c r="H8471" s="232"/>
      <c r="I8471" s="233"/>
      <c r="J8471" s="233"/>
      <c r="K8471" s="19"/>
      <c r="L8471" s="20"/>
    </row>
    <row r="8472" spans="1:12" outlineLevel="2">
      <c r="A8472" s="88"/>
      <c r="B8472" s="12" t="str">
        <f>IFERROR(VLOOKUP(D8472,'[1]Перечень товаров'!$A$2:$I9525,2,0),"")</f>
        <v>д68</v>
      </c>
      <c r="C8472" s="12" t="str">
        <f>IFERROR(VLOOKUP(D8472,'[1]Перечень товаров'!$A$2:$I9525,3,0),"")</f>
        <v>Дидактика</v>
      </c>
      <c r="D8472" s="223" t="s">
        <v>814</v>
      </c>
      <c r="E8472" s="23"/>
      <c r="F8472" s="23"/>
      <c r="G8472" s="232">
        <v>3</v>
      </c>
      <c r="H8472" s="232"/>
      <c r="I8472" s="233"/>
      <c r="J8472" s="233"/>
      <c r="K8472" s="19"/>
      <c r="L8472" s="20"/>
    </row>
    <row r="8473" spans="1:12" outlineLevel="2">
      <c r="A8473" s="88"/>
      <c r="B8473" s="12" t="str">
        <f>IFERROR(VLOOKUP(D8473,'[1]Перечень товаров'!$A$2:$I9525,2,0),"")</f>
        <v>д69</v>
      </c>
      <c r="C8473" s="12" t="str">
        <f>IFERROR(VLOOKUP(D8473,'[1]Перечень товаров'!$A$2:$I9525,3,0),"")</f>
        <v>Дидактика</v>
      </c>
      <c r="D8473" s="223" t="s">
        <v>815</v>
      </c>
      <c r="E8473" s="23"/>
      <c r="F8473" s="23"/>
      <c r="G8473" s="232">
        <v>8</v>
      </c>
      <c r="H8473" s="232"/>
      <c r="I8473" s="233"/>
      <c r="J8473" s="233"/>
      <c r="K8473" s="19"/>
      <c r="L8473" s="20"/>
    </row>
    <row r="8474" spans="1:12" outlineLevel="2">
      <c r="A8474" s="88"/>
      <c r="B8474" s="12" t="str">
        <f>IFERROR(VLOOKUP(D8474,'[1]Перечень товаров'!$A$2:$I9525,2,0),"")</f>
        <v>д70</v>
      </c>
      <c r="C8474" s="12" t="str">
        <f>IFERROR(VLOOKUP(D8474,'[1]Перечень товаров'!$A$2:$I9525,3,0),"")</f>
        <v>Дидактика</v>
      </c>
      <c r="D8474" s="223" t="s">
        <v>816</v>
      </c>
      <c r="E8474" s="23"/>
      <c r="F8474" s="23"/>
      <c r="G8474" s="232">
        <v>100</v>
      </c>
      <c r="H8474" s="232"/>
      <c r="I8474" s="233"/>
      <c r="J8474" s="233"/>
      <c r="K8474" s="19"/>
      <c r="L8474" s="20"/>
    </row>
    <row r="8475" spans="1:12" ht="12.75" outlineLevel="1">
      <c r="A8475" s="11"/>
      <c r="B8475" s="12" t="str">
        <f>IFERROR(VLOOKUP(D8475,'[1]Перечень товаров'!$A$2:$I9525,2,0),"")</f>
        <v/>
      </c>
      <c r="C8475" s="12" t="str">
        <f>IFERROR(VLOOKUP(D8475,'[1]Перечень товаров'!$A$2:$I9525,3,0),"")</f>
        <v/>
      </c>
      <c r="D8475" s="27" t="s">
        <v>2027</v>
      </c>
      <c r="E8475" s="14" t="s">
        <v>2082</v>
      </c>
      <c r="F8475" s="14"/>
      <c r="G8475" s="17"/>
      <c r="H8475" s="17"/>
      <c r="I8475" s="57"/>
      <c r="J8475" s="57"/>
      <c r="K8475" s="19"/>
      <c r="L8475" s="20"/>
    </row>
    <row r="8476" spans="1:12" ht="12.75" outlineLevel="2">
      <c r="A8476" s="197"/>
      <c r="B8476" s="12" t="str">
        <f>IFERROR(VLOOKUP(D8476,'[1]Перечень товаров'!$A$2:$I9525,2,0),"")</f>
        <v/>
      </c>
      <c r="C8476" s="12" t="str">
        <f>IFERROR(VLOOKUP(D8476,'[1]Перечень товаров'!$A$2:$I9525,3,0),"")</f>
        <v/>
      </c>
      <c r="D8476" s="198" t="s">
        <v>668</v>
      </c>
      <c r="E8476" s="293"/>
      <c r="F8476" s="293"/>
      <c r="G8476" s="234"/>
      <c r="H8476" s="234"/>
      <c r="I8476" s="235"/>
      <c r="J8476" s="235"/>
      <c r="K8476" s="19"/>
      <c r="L8476" s="20"/>
    </row>
    <row r="8477" spans="1:12" outlineLevel="2">
      <c r="A8477" s="34"/>
      <c r="B8477" s="12" t="str">
        <f>IFERROR(VLOOKUP(D8477,'[1]Перечень товаров'!$A$2:$I9525,2,0),"")</f>
        <v>т129</v>
      </c>
      <c r="C8477" s="12" t="str">
        <f>IFERROR(VLOOKUP(D8477,'[1]Перечень товаров'!$A$2:$I9525,3,0),"")</f>
        <v>Техника</v>
      </c>
      <c r="D8477" s="35" t="s">
        <v>1204</v>
      </c>
      <c r="E8477" s="299" t="s">
        <v>534</v>
      </c>
      <c r="F8477" s="299"/>
      <c r="G8477" s="232">
        <v>1</v>
      </c>
      <c r="H8477" s="232"/>
      <c r="I8477" s="233"/>
      <c r="J8477" s="233"/>
      <c r="K8477" s="19"/>
      <c r="L8477" s="20"/>
    </row>
    <row r="8478" spans="1:12" outlineLevel="2">
      <c r="A8478" s="34"/>
      <c r="B8478" s="12" t="str">
        <f>IFERROR(VLOOKUP(D8478,'[1]Перечень товаров'!$A$2:$I9525,2,0),"")</f>
        <v>т128</v>
      </c>
      <c r="C8478" s="12" t="str">
        <f>IFERROR(VLOOKUP(D8478,'[1]Перечень товаров'!$A$2:$I9525,3,0),"")</f>
        <v>Техника</v>
      </c>
      <c r="D8478" s="35" t="s">
        <v>1205</v>
      </c>
      <c r="E8478" s="299" t="s">
        <v>534</v>
      </c>
      <c r="F8478" s="299"/>
      <c r="G8478" s="232">
        <v>1</v>
      </c>
      <c r="H8478" s="232"/>
      <c r="I8478" s="233"/>
      <c r="J8478" s="233"/>
      <c r="K8478" s="19"/>
      <c r="L8478" s="20"/>
    </row>
    <row r="8479" spans="1:12" outlineLevel="2">
      <c r="A8479" s="34"/>
      <c r="B8479" s="12" t="str">
        <f>IFERROR(VLOOKUP(D8479,'[1]Перечень товаров'!$A$2:$I9525,2,0),"")</f>
        <v>т1</v>
      </c>
      <c r="C8479" s="12" t="str">
        <f>IFERROR(VLOOKUP(D8479,'[1]Перечень товаров'!$A$2:$I9525,3,0),"")</f>
        <v xml:space="preserve">Техника </v>
      </c>
      <c r="D8479" s="22" t="s">
        <v>28</v>
      </c>
      <c r="E8479" s="299" t="s">
        <v>534</v>
      </c>
      <c r="F8479" s="299"/>
      <c r="G8479" s="232">
        <v>1</v>
      </c>
      <c r="H8479" s="232"/>
      <c r="I8479" s="233"/>
      <c r="J8479" s="233"/>
      <c r="K8479" s="19"/>
      <c r="L8479" s="20"/>
    </row>
    <row r="8480" spans="1:12" outlineLevel="2">
      <c r="A8480" s="34"/>
      <c r="B8480" s="12" t="str">
        <f>IFERROR(VLOOKUP(D8480,'[1]Перечень товаров'!$A$2:$I9525,2,0),"")</f>
        <v>т235</v>
      </c>
      <c r="C8480" s="12" t="str">
        <f>IFERROR(VLOOKUP(D8480,'[1]Перечень товаров'!$A$2:$I9525,3,0),"")</f>
        <v>Техника</v>
      </c>
      <c r="D8480" s="35" t="s">
        <v>742</v>
      </c>
      <c r="E8480" s="299" t="s">
        <v>534</v>
      </c>
      <c r="F8480" s="299"/>
      <c r="G8480" s="232">
        <v>1</v>
      </c>
      <c r="H8480" s="232"/>
      <c r="I8480" s="233"/>
      <c r="J8480" s="233"/>
      <c r="K8480" s="19"/>
      <c r="L8480" s="20"/>
    </row>
    <row r="8481" spans="1:12" outlineLevel="2">
      <c r="A8481" s="34"/>
      <c r="B8481" s="12" t="str">
        <f>IFERROR(VLOOKUP(D8481,'[1]Перечень товаров'!$A$2:$I9525,2,0),"")</f>
        <v>т8</v>
      </c>
      <c r="C8481" s="12" t="str">
        <f>IFERROR(VLOOKUP(D8481,'[1]Перечень товаров'!$A$2:$I9525,3,0),"")</f>
        <v xml:space="preserve">Техника </v>
      </c>
      <c r="D8481" s="35" t="s">
        <v>35</v>
      </c>
      <c r="E8481" s="299" t="s">
        <v>534</v>
      </c>
      <c r="F8481" s="299"/>
      <c r="G8481" s="232">
        <v>1</v>
      </c>
      <c r="H8481" s="232"/>
      <c r="I8481" s="233"/>
      <c r="J8481" s="233"/>
      <c r="K8481" s="19"/>
      <c r="L8481" s="20"/>
    </row>
    <row r="8482" spans="1:12" outlineLevel="2">
      <c r="A8482" s="34"/>
      <c r="B8482" s="12" t="str">
        <f>IFERROR(VLOOKUP(D8482,'[1]Перечень товаров'!$A$2:$I9525,2,0),"")</f>
        <v>т4</v>
      </c>
      <c r="C8482" s="12" t="str">
        <f>IFERROR(VLOOKUP(D8482,'[1]Перечень товаров'!$A$2:$I9525,3,0),"")</f>
        <v xml:space="preserve">Техника </v>
      </c>
      <c r="D8482" s="35" t="s">
        <v>31</v>
      </c>
      <c r="E8482" s="299" t="s">
        <v>534</v>
      </c>
      <c r="F8482" s="299"/>
      <c r="G8482" s="232">
        <v>1</v>
      </c>
      <c r="H8482" s="232"/>
      <c r="I8482" s="233"/>
      <c r="J8482" s="233"/>
      <c r="K8482" s="19"/>
      <c r="L8482" s="20"/>
    </row>
    <row r="8483" spans="1:12" outlineLevel="2">
      <c r="A8483" s="34"/>
      <c r="B8483" s="12" t="str">
        <f>IFERROR(VLOOKUP(D8483,'[1]Перечень товаров'!$A$2:$I9525,2,0),"")</f>
        <v>т236</v>
      </c>
      <c r="C8483" s="12" t="str">
        <f>IFERROR(VLOOKUP(D8483,'[1]Перечень товаров'!$A$2:$I9525,3,0),"")</f>
        <v>Техника</v>
      </c>
      <c r="D8483" s="35" t="s">
        <v>743</v>
      </c>
      <c r="E8483" s="299" t="s">
        <v>534</v>
      </c>
      <c r="F8483" s="299"/>
      <c r="G8483" s="232">
        <v>1</v>
      </c>
      <c r="H8483" s="232"/>
      <c r="I8483" s="233"/>
      <c r="J8483" s="233"/>
      <c r="K8483" s="19"/>
      <c r="L8483" s="20"/>
    </row>
    <row r="8484" spans="1:12" outlineLevel="2">
      <c r="A8484" s="34"/>
      <c r="B8484" s="12" t="str">
        <f>IFERROR(VLOOKUP(D8484,'[1]Перечень товаров'!$A$2:$I9525,2,0),"")</f>
        <v>т237</v>
      </c>
      <c r="C8484" s="12" t="str">
        <f>IFERROR(VLOOKUP(D8484,'[1]Перечень товаров'!$A$2:$I9525,3,0),"")</f>
        <v>Техника</v>
      </c>
      <c r="D8484" s="35" t="s">
        <v>744</v>
      </c>
      <c r="E8484" s="299" t="s">
        <v>534</v>
      </c>
      <c r="F8484" s="299"/>
      <c r="G8484" s="232">
        <v>2</v>
      </c>
      <c r="H8484" s="232"/>
      <c r="I8484" s="233"/>
      <c r="J8484" s="233"/>
      <c r="K8484" s="19"/>
      <c r="L8484" s="20"/>
    </row>
    <row r="8485" spans="1:12" ht="12.75" outlineLevel="2">
      <c r="A8485" s="197"/>
      <c r="B8485" s="12" t="str">
        <f>IFERROR(VLOOKUP(D8485,'[1]Перечень товаров'!$A$2:$I9525,2,0),"")</f>
        <v/>
      </c>
      <c r="C8485" s="12" t="str">
        <f>IFERROR(VLOOKUP(D8485,'[1]Перечень товаров'!$A$2:$I9525,3,0),"")</f>
        <v/>
      </c>
      <c r="D8485" s="198" t="s">
        <v>19</v>
      </c>
      <c r="E8485" s="300"/>
      <c r="F8485" s="300"/>
      <c r="G8485" s="234"/>
      <c r="H8485" s="234"/>
      <c r="I8485" s="235"/>
      <c r="J8485" s="235"/>
      <c r="K8485" s="19"/>
      <c r="L8485" s="20"/>
    </row>
    <row r="8486" spans="1:12" outlineLevel="2">
      <c r="A8486" s="34"/>
      <c r="B8486" s="12" t="str">
        <f>IFERROR(VLOOKUP(D8486,'[1]Перечень товаров'!$A$2:$I9525,2,0),"")</f>
        <v>м62</v>
      </c>
      <c r="C8486" s="12" t="str">
        <f>IFERROR(VLOOKUP(D8486,'[1]Перечень товаров'!$A$2:$I9525,3,0),"")</f>
        <v>Мебель</v>
      </c>
      <c r="D8486" s="35" t="s">
        <v>398</v>
      </c>
      <c r="E8486" s="299" t="s">
        <v>534</v>
      </c>
      <c r="F8486" s="299"/>
      <c r="G8486" s="232">
        <v>1</v>
      </c>
      <c r="H8486" s="232"/>
      <c r="I8486" s="233"/>
      <c r="J8486" s="233"/>
      <c r="K8486" s="19"/>
      <c r="L8486" s="20"/>
    </row>
    <row r="8487" spans="1:12" outlineLevel="2">
      <c r="A8487" s="34"/>
      <c r="B8487" s="12" t="str">
        <f>IFERROR(VLOOKUP(D8487,'[1]Перечень товаров'!$A$2:$I9525,2,0),"")</f>
        <v>м61</v>
      </c>
      <c r="C8487" s="12" t="str">
        <f>IFERROR(VLOOKUP(D8487,'[1]Перечень товаров'!$A$2:$I9525,3,0),"")</f>
        <v>Мебель</v>
      </c>
      <c r="D8487" s="35" t="s">
        <v>383</v>
      </c>
      <c r="E8487" s="299" t="s">
        <v>534</v>
      </c>
      <c r="F8487" s="299"/>
      <c r="G8487" s="232">
        <v>1</v>
      </c>
      <c r="H8487" s="232"/>
      <c r="I8487" s="233"/>
      <c r="J8487" s="233"/>
      <c r="K8487" s="19"/>
      <c r="L8487" s="20"/>
    </row>
    <row r="8488" spans="1:12" ht="31.5" outlineLevel="2">
      <c r="A8488" s="34"/>
      <c r="B8488" s="12" t="str">
        <f>IFERROR(VLOOKUP(D8488,'[1]Перечень товаров'!$A$2:$I9525,2,0),"")</f>
        <v>д525</v>
      </c>
      <c r="C8488" s="12" t="str">
        <f>IFERROR(VLOOKUP(D8488,'[1]Перечень товаров'!$A$2:$I9525,3,0),"")</f>
        <v>дидактика</v>
      </c>
      <c r="D8488" s="35" t="s">
        <v>1230</v>
      </c>
      <c r="E8488" s="299" t="s">
        <v>534</v>
      </c>
      <c r="F8488" s="299"/>
      <c r="G8488" s="232">
        <v>13</v>
      </c>
      <c r="H8488" s="232"/>
      <c r="I8488" s="233"/>
      <c r="J8488" s="233"/>
      <c r="K8488" s="19"/>
      <c r="L8488" s="20"/>
    </row>
    <row r="8489" spans="1:12" outlineLevel="2">
      <c r="A8489" s="34"/>
      <c r="B8489" s="12" t="str">
        <f>IFERROR(VLOOKUP(D8489,'[1]Перечень товаров'!$A$2:$I9525,2,0),"")</f>
        <v>м216</v>
      </c>
      <c r="C8489" s="12" t="str">
        <f>IFERROR(VLOOKUP(D8489,'[1]Перечень товаров'!$A$2:$I9525,3,0),"")</f>
        <v>Мебель</v>
      </c>
      <c r="D8489" s="35" t="s">
        <v>854</v>
      </c>
      <c r="E8489" s="299" t="s">
        <v>855</v>
      </c>
      <c r="F8489" s="299"/>
      <c r="G8489" s="232">
        <v>1</v>
      </c>
      <c r="H8489" s="232"/>
      <c r="I8489" s="233"/>
      <c r="J8489" s="233"/>
      <c r="K8489" s="19"/>
      <c r="L8489" s="20"/>
    </row>
    <row r="8490" spans="1:12" ht="31.5" outlineLevel="2">
      <c r="A8490" s="34"/>
      <c r="B8490" s="12" t="str">
        <f>IFERROR(VLOOKUP(D8490,'[1]Перечень товаров'!$A$2:$I9525,2,0),"")</f>
        <v>д524</v>
      </c>
      <c r="C8490" s="12" t="str">
        <f>IFERROR(VLOOKUP(D8490,'[1]Перечень товаров'!$A$2:$I9525,3,0),"")</f>
        <v>дидактика</v>
      </c>
      <c r="D8490" s="35" t="s">
        <v>1231</v>
      </c>
      <c r="E8490" s="299" t="s">
        <v>534</v>
      </c>
      <c r="F8490" s="299"/>
      <c r="G8490" s="232">
        <v>1</v>
      </c>
      <c r="H8490" s="232"/>
      <c r="I8490" s="233"/>
      <c r="J8490" s="233"/>
      <c r="K8490" s="19"/>
      <c r="L8490" s="20"/>
    </row>
    <row r="8491" spans="1:12" outlineLevel="2">
      <c r="A8491" s="34"/>
      <c r="B8491" s="12" t="str">
        <f>IFERROR(VLOOKUP(D8491,'[1]Перечень товаров'!$A$2:$I9525,2,0),"")</f>
        <v>м150</v>
      </c>
      <c r="C8491" s="12" t="str">
        <f>IFERROR(VLOOKUP(D8491,'[1]Перечень товаров'!$A$2:$I9525,3,0),"")</f>
        <v>мебель</v>
      </c>
      <c r="D8491" s="35" t="s">
        <v>1232</v>
      </c>
      <c r="E8491" s="299" t="s">
        <v>534</v>
      </c>
      <c r="F8491" s="299"/>
      <c r="G8491" s="232">
        <v>1</v>
      </c>
      <c r="H8491" s="232"/>
      <c r="I8491" s="233"/>
      <c r="J8491" s="233"/>
      <c r="K8491" s="19"/>
      <c r="L8491" s="20"/>
    </row>
    <row r="8492" spans="1:12" ht="12.75" outlineLevel="2">
      <c r="A8492" s="197"/>
      <c r="B8492" s="12" t="str">
        <f>IFERROR(VLOOKUP(D8492,'[1]Перечень товаров'!$A$2:$I9525,2,0),"")</f>
        <v/>
      </c>
      <c r="C8492" s="12" t="str">
        <f>IFERROR(VLOOKUP(D8492,'[1]Перечень товаров'!$A$2:$I9525,3,0),"")</f>
        <v/>
      </c>
      <c r="D8492" s="198" t="s">
        <v>1415</v>
      </c>
      <c r="E8492" s="300"/>
      <c r="F8492" s="300"/>
      <c r="G8492" s="234"/>
      <c r="H8492" s="234"/>
      <c r="I8492" s="235"/>
      <c r="J8492" s="235"/>
      <c r="K8492" s="19"/>
      <c r="L8492" s="20"/>
    </row>
    <row r="8493" spans="1:12" ht="31.5" outlineLevel="2">
      <c r="A8493" s="21"/>
      <c r="B8493" s="12" t="str">
        <f>IFERROR(VLOOKUP(D8493,'[1]Перечень товаров'!$A$2:$I9525,2,0),"")</f>
        <v>д481</v>
      </c>
      <c r="C8493" s="12" t="str">
        <f>IFERROR(VLOOKUP(D8493,'[1]Перечень товаров'!$A$2:$I9525,3,0),"")</f>
        <v>дидактика</v>
      </c>
      <c r="D8493" s="22" t="s">
        <v>1282</v>
      </c>
      <c r="E8493" s="301" t="s">
        <v>863</v>
      </c>
      <c r="F8493" s="301"/>
      <c r="G8493" s="242">
        <v>1</v>
      </c>
      <c r="H8493" s="242"/>
      <c r="I8493" s="243"/>
      <c r="J8493" s="243"/>
      <c r="K8493" s="19"/>
      <c r="L8493" s="20"/>
    </row>
    <row r="8494" spans="1:12" ht="12.75" outlineLevel="2">
      <c r="A8494" s="197"/>
      <c r="B8494" s="12" t="str">
        <f>IFERROR(VLOOKUP(D8494,'[1]Перечень товаров'!$A$2:$I9525,2,0),"")</f>
        <v/>
      </c>
      <c r="C8494" s="12" t="str">
        <f>IFERROR(VLOOKUP(D8494,'[1]Перечень товаров'!$A$2:$I9525,3,0),"")</f>
        <v/>
      </c>
      <c r="D8494" s="198" t="s">
        <v>1439</v>
      </c>
      <c r="E8494" s="300"/>
      <c r="F8494" s="300"/>
      <c r="G8494" s="234"/>
      <c r="H8494" s="234"/>
      <c r="I8494" s="235"/>
      <c r="J8494" s="235"/>
      <c r="K8494" s="19"/>
      <c r="L8494" s="20"/>
    </row>
    <row r="8495" spans="1:12" outlineLevel="2">
      <c r="A8495" s="21"/>
      <c r="B8495" s="12" t="str">
        <f>IFERROR(VLOOKUP(D8495,'[1]Перечень товаров'!$A$2:$I9525,2,0),"")</f>
        <v>д377</v>
      </c>
      <c r="C8495" s="12" t="str">
        <f>IFERROR(VLOOKUP(D8495,'[1]Перечень товаров'!$A$2:$I9525,3,0),"")</f>
        <v>дидактика</v>
      </c>
      <c r="D8495" s="22" t="s">
        <v>1440</v>
      </c>
      <c r="E8495" s="301" t="s">
        <v>863</v>
      </c>
      <c r="F8495" s="301"/>
      <c r="G8495" s="242">
        <v>1</v>
      </c>
      <c r="H8495" s="242"/>
      <c r="I8495" s="243"/>
      <c r="J8495" s="243"/>
      <c r="K8495" s="19"/>
      <c r="L8495" s="20"/>
    </row>
    <row r="8496" spans="1:12" ht="31.5" outlineLevel="2">
      <c r="A8496" s="21"/>
      <c r="B8496" s="12" t="str">
        <f>IFERROR(VLOOKUP(D8496,'[1]Перечень товаров'!$A$2:$I9525,2,0),"")</f>
        <v>д89</v>
      </c>
      <c r="C8496" s="12" t="str">
        <f>IFERROR(VLOOKUP(D8496,'[1]Перечень товаров'!$A$2:$I9525,3,0),"")</f>
        <v>Дидактика</v>
      </c>
      <c r="D8496" s="22" t="s">
        <v>2029</v>
      </c>
      <c r="E8496" s="301" t="s">
        <v>863</v>
      </c>
      <c r="F8496" s="301"/>
      <c r="G8496" s="242">
        <v>1</v>
      </c>
      <c r="H8496" s="242"/>
      <c r="I8496" s="243"/>
      <c r="J8496" s="243"/>
      <c r="K8496" s="19"/>
      <c r="L8496" s="20"/>
    </row>
    <row r="8497" spans="1:13" outlineLevel="2">
      <c r="A8497" s="21"/>
      <c r="B8497" s="12" t="str">
        <f>IFERROR(VLOOKUP(D8497,'[1]Перечень товаров'!$A$2:$I9525,2,0),"")</f>
        <v>д88</v>
      </c>
      <c r="C8497" s="12" t="str">
        <f>IFERROR(VLOOKUP(D8497,'[1]Перечень товаров'!$A$2:$I9525,3,0),"")</f>
        <v>Дидактика</v>
      </c>
      <c r="D8497" s="22" t="s">
        <v>2030</v>
      </c>
      <c r="E8497" s="301" t="s">
        <v>534</v>
      </c>
      <c r="F8497" s="301"/>
      <c r="G8497" s="242">
        <v>1</v>
      </c>
      <c r="H8497" s="242"/>
      <c r="I8497" s="243"/>
      <c r="J8497" s="243"/>
      <c r="K8497" s="19"/>
      <c r="L8497" s="20"/>
    </row>
    <row r="8498" spans="1:13" ht="12.75" outlineLevel="2">
      <c r="A8498" s="197"/>
      <c r="B8498" s="12" t="str">
        <f>IFERROR(VLOOKUP(D8498,'[1]Перечень товаров'!$A$2:$I9525,2,0),"")</f>
        <v/>
      </c>
      <c r="C8498" s="12" t="str">
        <f>IFERROR(VLOOKUP(D8498,'[1]Перечень товаров'!$A$2:$I9525,3,0),"")</f>
        <v/>
      </c>
      <c r="D8498" s="198" t="s">
        <v>809</v>
      </c>
      <c r="E8498" s="300"/>
      <c r="F8498" s="300"/>
      <c r="G8498" s="234"/>
      <c r="H8498" s="234"/>
      <c r="I8498" s="235"/>
      <c r="J8498" s="235"/>
      <c r="K8498" s="19"/>
      <c r="L8498" s="20"/>
    </row>
    <row r="8499" spans="1:13" outlineLevel="2">
      <c r="A8499" s="34"/>
      <c r="B8499" s="12" t="str">
        <f>IFERROR(VLOOKUP(D8499,'[1]Перечень товаров'!$A$2:$I9525,2,0),"")</f>
        <v>д65</v>
      </c>
      <c r="C8499" s="12" t="str">
        <f>IFERROR(VLOOKUP(D8499,'[1]Перечень товаров'!$A$2:$I9525,3,0),"")</f>
        <v>Дидактика</v>
      </c>
      <c r="D8499" s="35" t="s">
        <v>811</v>
      </c>
      <c r="E8499" s="299" t="s">
        <v>534</v>
      </c>
      <c r="F8499" s="299"/>
      <c r="G8499" s="232">
        <v>1</v>
      </c>
      <c r="H8499" s="232"/>
      <c r="I8499" s="233"/>
      <c r="J8499" s="233"/>
      <c r="K8499" s="19"/>
      <c r="L8499" s="20"/>
    </row>
    <row r="8500" spans="1:13" outlineLevel="2">
      <c r="A8500" s="34"/>
      <c r="B8500" s="12" t="str">
        <f>IFERROR(VLOOKUP(D8500,'[1]Перечень товаров'!$A$2:$I9525,2,0),"")</f>
        <v>д66</v>
      </c>
      <c r="C8500" s="12" t="str">
        <f>IFERROR(VLOOKUP(D8500,'[1]Перечень товаров'!$A$2:$I9525,3,0),"")</f>
        <v>Дидактика</v>
      </c>
      <c r="D8500" s="35" t="s">
        <v>812</v>
      </c>
      <c r="E8500" s="299" t="s">
        <v>2031</v>
      </c>
      <c r="F8500" s="299"/>
      <c r="G8500" s="232">
        <v>1</v>
      </c>
      <c r="H8500" s="232"/>
      <c r="I8500" s="233"/>
      <c r="J8500" s="233"/>
      <c r="K8500" s="19"/>
      <c r="L8500" s="20"/>
    </row>
    <row r="8501" spans="1:13" outlineLevel="2">
      <c r="A8501" s="34"/>
      <c r="B8501" s="12" t="str">
        <f>IFERROR(VLOOKUP(D8501,'[1]Перечень товаров'!$A$2:$I9525,2,0),"")</f>
        <v>д67</v>
      </c>
      <c r="C8501" s="12" t="str">
        <f>IFERROR(VLOOKUP(D8501,'[1]Перечень товаров'!$A$2:$I9525,3,0),"")</f>
        <v>Дидактика</v>
      </c>
      <c r="D8501" s="35" t="s">
        <v>813</v>
      </c>
      <c r="E8501" s="299" t="s">
        <v>534</v>
      </c>
      <c r="F8501" s="299"/>
      <c r="G8501" s="232">
        <v>1</v>
      </c>
      <c r="H8501" s="232"/>
      <c r="I8501" s="233"/>
      <c r="J8501" s="233"/>
      <c r="K8501" s="19"/>
      <c r="L8501" s="20"/>
    </row>
    <row r="8502" spans="1:13" outlineLevel="2">
      <c r="A8502" s="34"/>
      <c r="B8502" s="12" t="str">
        <f>IFERROR(VLOOKUP(D8502,'[1]Перечень товаров'!$A$2:$I9525,2,0),"")</f>
        <v>п90</v>
      </c>
      <c r="C8502" s="12" t="str">
        <f>IFERROR(VLOOKUP(D8502,'[1]Перечень товаров'!$A$2:$I9525,3,0),"")</f>
        <v>Прочее</v>
      </c>
      <c r="D8502" s="35" t="s">
        <v>723</v>
      </c>
      <c r="E8502" s="299" t="s">
        <v>534</v>
      </c>
      <c r="F8502" s="299"/>
      <c r="G8502" s="232">
        <v>1</v>
      </c>
      <c r="H8502" s="232"/>
      <c r="I8502" s="233"/>
      <c r="J8502" s="233"/>
      <c r="K8502" s="19"/>
      <c r="L8502" s="20"/>
    </row>
    <row r="8503" spans="1:13" outlineLevel="2">
      <c r="A8503" s="34"/>
      <c r="B8503" s="12" t="str">
        <f>IFERROR(VLOOKUP(D8503,'[1]Перечень товаров'!$A$2:$I9525,2,0),"")</f>
        <v>д68</v>
      </c>
      <c r="C8503" s="12" t="str">
        <f>IFERROR(VLOOKUP(D8503,'[1]Перечень товаров'!$A$2:$I9525,3,0),"")</f>
        <v>Дидактика</v>
      </c>
      <c r="D8503" s="35" t="s">
        <v>814</v>
      </c>
      <c r="E8503" s="299" t="s">
        <v>1550</v>
      </c>
      <c r="F8503" s="299"/>
      <c r="G8503" s="232">
        <v>3</v>
      </c>
      <c r="H8503" s="232"/>
      <c r="I8503" s="233"/>
      <c r="J8503" s="233"/>
      <c r="K8503" s="19"/>
      <c r="L8503" s="20"/>
    </row>
    <row r="8504" spans="1:13" outlineLevel="2">
      <c r="A8504" s="34"/>
      <c r="B8504" s="12" t="str">
        <f>IFERROR(VLOOKUP(D8504,'[1]Перечень товаров'!$A$2:$I9525,2,0),"")</f>
        <v>д69</v>
      </c>
      <c r="C8504" s="12" t="str">
        <f>IFERROR(VLOOKUP(D8504,'[1]Перечень товаров'!$A$2:$I9525,3,0),"")</f>
        <v>Дидактика</v>
      </c>
      <c r="D8504" s="35" t="s">
        <v>815</v>
      </c>
      <c r="E8504" s="299" t="s">
        <v>534</v>
      </c>
      <c r="F8504" s="299"/>
      <c r="G8504" s="232">
        <v>8</v>
      </c>
      <c r="H8504" s="232"/>
      <c r="I8504" s="233"/>
      <c r="J8504" s="233"/>
      <c r="K8504" s="19"/>
      <c r="L8504" s="20"/>
    </row>
    <row r="8505" spans="1:13" outlineLevel="2">
      <c r="A8505" s="34"/>
      <c r="B8505" s="12" t="str">
        <f>IFERROR(VLOOKUP(D8505,'[1]Перечень товаров'!$A$2:$I9525,2,0),"")</f>
        <v>д70</v>
      </c>
      <c r="C8505" s="12" t="str">
        <f>IFERROR(VLOOKUP(D8505,'[1]Перечень товаров'!$A$2:$I9525,3,0),"")</f>
        <v>Дидактика</v>
      </c>
      <c r="D8505" s="35" t="s">
        <v>816</v>
      </c>
      <c r="E8505" s="299" t="s">
        <v>534</v>
      </c>
      <c r="F8505" s="299"/>
      <c r="G8505" s="232">
        <v>100</v>
      </c>
      <c r="H8505" s="232"/>
      <c r="I8505" s="233"/>
      <c r="J8505" s="233"/>
      <c r="K8505" s="19"/>
      <c r="L8505" s="20"/>
    </row>
    <row r="8506" spans="1:13" ht="12.75" outlineLevel="1">
      <c r="A8506" s="11"/>
      <c r="B8506" s="12" t="str">
        <f>IFERROR(VLOOKUP(D8506,'[1]Перечень товаров'!$A$2:$I9525,2,0),"")</f>
        <v/>
      </c>
      <c r="C8506" s="12" t="str">
        <f>IFERROR(VLOOKUP(D8506,'[1]Перечень товаров'!$A$2:$I9525,3,0),"")</f>
        <v/>
      </c>
      <c r="D8506" s="27" t="s">
        <v>2027</v>
      </c>
      <c r="E8506" s="14" t="s">
        <v>2083</v>
      </c>
      <c r="F8506" s="14"/>
      <c r="G8506" s="17"/>
      <c r="H8506" s="17"/>
      <c r="I8506" s="57"/>
      <c r="J8506" s="57"/>
      <c r="K8506" s="19"/>
      <c r="L8506" s="20"/>
    </row>
    <row r="8507" spans="1:13" ht="12.75" outlineLevel="2">
      <c r="A8507" s="197"/>
      <c r="B8507" s="12" t="str">
        <f>IFERROR(VLOOKUP(D8507,'[1]Перечень товаров'!$A$2:$I9525,2,0),"")</f>
        <v/>
      </c>
      <c r="C8507" s="12" t="str">
        <f>IFERROR(VLOOKUP(D8507,'[1]Перечень товаров'!$A$2:$I9525,3,0),"")</f>
        <v/>
      </c>
      <c r="D8507" s="198" t="s">
        <v>668</v>
      </c>
      <c r="E8507" s="293"/>
      <c r="F8507" s="293"/>
      <c r="G8507" s="234"/>
      <c r="H8507" s="234"/>
      <c r="I8507" s="235"/>
      <c r="J8507" s="235"/>
      <c r="K8507" s="302"/>
      <c r="L8507" s="303"/>
      <c r="M8507" s="304"/>
    </row>
    <row r="8508" spans="1:13" outlineLevel="2">
      <c r="A8508" s="34"/>
      <c r="B8508" s="12" t="str">
        <f>IFERROR(VLOOKUP(D8508,'[1]Перечень товаров'!$A$2:$I9525,2,0),"")</f>
        <v>т129</v>
      </c>
      <c r="C8508" s="12" t="str">
        <f>IFERROR(VLOOKUP(D8508,'[1]Перечень товаров'!$A$2:$I9525,3,0),"")</f>
        <v>Техника</v>
      </c>
      <c r="D8508" s="35" t="s">
        <v>1204</v>
      </c>
      <c r="E8508" s="299" t="s">
        <v>534</v>
      </c>
      <c r="F8508" s="299"/>
      <c r="G8508" s="232">
        <v>1</v>
      </c>
      <c r="H8508" s="232"/>
      <c r="I8508" s="233"/>
      <c r="J8508" s="233"/>
      <c r="K8508" s="305"/>
      <c r="L8508" s="306"/>
      <c r="M8508" s="307"/>
    </row>
    <row r="8509" spans="1:13" outlineLevel="2">
      <c r="A8509" s="34"/>
      <c r="B8509" s="12" t="str">
        <f>IFERROR(VLOOKUP(D8509,'[1]Перечень товаров'!$A$2:$I9525,2,0),"")</f>
        <v>т128</v>
      </c>
      <c r="C8509" s="12" t="str">
        <f>IFERROR(VLOOKUP(D8509,'[1]Перечень товаров'!$A$2:$I9525,3,0),"")</f>
        <v>Техника</v>
      </c>
      <c r="D8509" s="35" t="s">
        <v>1205</v>
      </c>
      <c r="E8509" s="299" t="s">
        <v>534</v>
      </c>
      <c r="F8509" s="299"/>
      <c r="G8509" s="232">
        <v>1</v>
      </c>
      <c r="H8509" s="232"/>
      <c r="I8509" s="233"/>
      <c r="J8509" s="233"/>
      <c r="K8509" s="305"/>
      <c r="L8509" s="306"/>
      <c r="M8509" s="307"/>
    </row>
    <row r="8510" spans="1:13" outlineLevel="2">
      <c r="A8510" s="34"/>
      <c r="B8510" s="12" t="str">
        <f>IFERROR(VLOOKUP(D8510,'[1]Перечень товаров'!$A$2:$I9525,2,0),"")</f>
        <v>т1</v>
      </c>
      <c r="C8510" s="12" t="str">
        <f>IFERROR(VLOOKUP(D8510,'[1]Перечень товаров'!$A$2:$I9525,3,0),"")</f>
        <v xml:space="preserve">Техника </v>
      </c>
      <c r="D8510" s="22" t="s">
        <v>28</v>
      </c>
      <c r="E8510" s="299" t="s">
        <v>534</v>
      </c>
      <c r="F8510" s="299"/>
      <c r="G8510" s="232">
        <v>1</v>
      </c>
      <c r="H8510" s="232"/>
      <c r="I8510" s="233"/>
      <c r="J8510" s="233"/>
      <c r="K8510" s="305"/>
      <c r="L8510" s="306"/>
      <c r="M8510" s="307"/>
    </row>
    <row r="8511" spans="1:13" outlineLevel="2">
      <c r="A8511" s="34"/>
      <c r="B8511" s="12" t="str">
        <f>IFERROR(VLOOKUP(D8511,'[1]Перечень товаров'!$A$2:$I9525,2,0),"")</f>
        <v>т235</v>
      </c>
      <c r="C8511" s="12" t="str">
        <f>IFERROR(VLOOKUP(D8511,'[1]Перечень товаров'!$A$2:$I9525,3,0),"")</f>
        <v>Техника</v>
      </c>
      <c r="D8511" s="35" t="s">
        <v>742</v>
      </c>
      <c r="E8511" s="299" t="s">
        <v>534</v>
      </c>
      <c r="F8511" s="299"/>
      <c r="G8511" s="232">
        <v>1</v>
      </c>
      <c r="H8511" s="232"/>
      <c r="I8511" s="233"/>
      <c r="J8511" s="233"/>
      <c r="K8511" s="305"/>
      <c r="L8511" s="306"/>
      <c r="M8511" s="307"/>
    </row>
    <row r="8512" spans="1:13" outlineLevel="2">
      <c r="A8512" s="34"/>
      <c r="B8512" s="12" t="str">
        <f>IFERROR(VLOOKUP(D8512,'[1]Перечень товаров'!$A$2:$I9525,2,0),"")</f>
        <v>т8</v>
      </c>
      <c r="C8512" s="12" t="str">
        <f>IFERROR(VLOOKUP(D8512,'[1]Перечень товаров'!$A$2:$I9525,3,0),"")</f>
        <v xml:space="preserve">Техника </v>
      </c>
      <c r="D8512" s="35" t="s">
        <v>35</v>
      </c>
      <c r="E8512" s="299" t="s">
        <v>534</v>
      </c>
      <c r="F8512" s="299"/>
      <c r="G8512" s="232">
        <v>1</v>
      </c>
      <c r="H8512" s="232"/>
      <c r="I8512" s="233"/>
      <c r="J8512" s="233"/>
      <c r="K8512" s="305"/>
      <c r="L8512" s="306"/>
      <c r="M8512" s="307"/>
    </row>
    <row r="8513" spans="1:13" outlineLevel="2">
      <c r="A8513" s="34"/>
      <c r="B8513" s="12" t="str">
        <f>IFERROR(VLOOKUP(D8513,'[1]Перечень товаров'!$A$2:$I9525,2,0),"")</f>
        <v>т4</v>
      </c>
      <c r="C8513" s="12" t="str">
        <f>IFERROR(VLOOKUP(D8513,'[1]Перечень товаров'!$A$2:$I9525,3,0),"")</f>
        <v xml:space="preserve">Техника </v>
      </c>
      <c r="D8513" s="35" t="s">
        <v>31</v>
      </c>
      <c r="E8513" s="299" t="s">
        <v>534</v>
      </c>
      <c r="F8513" s="299"/>
      <c r="G8513" s="232">
        <v>1</v>
      </c>
      <c r="H8513" s="232"/>
      <c r="I8513" s="233"/>
      <c r="J8513" s="233"/>
      <c r="K8513" s="305"/>
      <c r="L8513" s="306"/>
      <c r="M8513" s="307"/>
    </row>
    <row r="8514" spans="1:13" outlineLevel="2">
      <c r="A8514" s="34"/>
      <c r="B8514" s="12" t="str">
        <f>IFERROR(VLOOKUP(D8514,'[1]Перечень товаров'!$A$2:$I9525,2,0),"")</f>
        <v>т236</v>
      </c>
      <c r="C8514" s="12" t="str">
        <f>IFERROR(VLOOKUP(D8514,'[1]Перечень товаров'!$A$2:$I9525,3,0),"")</f>
        <v>Техника</v>
      </c>
      <c r="D8514" s="35" t="s">
        <v>743</v>
      </c>
      <c r="E8514" s="299" t="s">
        <v>534</v>
      </c>
      <c r="F8514" s="299"/>
      <c r="G8514" s="232">
        <v>1</v>
      </c>
      <c r="H8514" s="232"/>
      <c r="I8514" s="233"/>
      <c r="J8514" s="233"/>
      <c r="K8514" s="305"/>
      <c r="L8514" s="306"/>
      <c r="M8514" s="307"/>
    </row>
    <row r="8515" spans="1:13" outlineLevel="2">
      <c r="A8515" s="34"/>
      <c r="B8515" s="12" t="str">
        <f>IFERROR(VLOOKUP(D8515,'[1]Перечень товаров'!$A$2:$I9525,2,0),"")</f>
        <v>т237</v>
      </c>
      <c r="C8515" s="12" t="str">
        <f>IFERROR(VLOOKUP(D8515,'[1]Перечень товаров'!$A$2:$I9525,3,0),"")</f>
        <v>Техника</v>
      </c>
      <c r="D8515" s="35" t="s">
        <v>744</v>
      </c>
      <c r="E8515" s="299" t="s">
        <v>534</v>
      </c>
      <c r="F8515" s="299"/>
      <c r="G8515" s="232">
        <v>2</v>
      </c>
      <c r="H8515" s="232"/>
      <c r="I8515" s="233"/>
      <c r="J8515" s="233"/>
      <c r="K8515" s="305"/>
      <c r="L8515" s="306"/>
      <c r="M8515" s="307"/>
    </row>
    <row r="8516" spans="1:13" ht="12.75" outlineLevel="2">
      <c r="A8516" s="197"/>
      <c r="B8516" s="12" t="str">
        <f>IFERROR(VLOOKUP(D8516,'[1]Перечень товаров'!$A$2:$I9525,2,0),"")</f>
        <v/>
      </c>
      <c r="C8516" s="12" t="str">
        <f>IFERROR(VLOOKUP(D8516,'[1]Перечень товаров'!$A$2:$I9525,3,0),"")</f>
        <v/>
      </c>
      <c r="D8516" s="198" t="s">
        <v>19</v>
      </c>
      <c r="E8516" s="300"/>
      <c r="F8516" s="300"/>
      <c r="G8516" s="234"/>
      <c r="H8516" s="234"/>
      <c r="I8516" s="235"/>
      <c r="J8516" s="235"/>
      <c r="K8516" s="302"/>
      <c r="L8516" s="303"/>
      <c r="M8516" s="304"/>
    </row>
    <row r="8517" spans="1:13" outlineLevel="2">
      <c r="A8517" s="34"/>
      <c r="B8517" s="12" t="str">
        <f>IFERROR(VLOOKUP(D8517,'[1]Перечень товаров'!$A$2:$I9525,2,0),"")</f>
        <v>м62</v>
      </c>
      <c r="C8517" s="12" t="str">
        <f>IFERROR(VLOOKUP(D8517,'[1]Перечень товаров'!$A$2:$I9525,3,0),"")</f>
        <v>Мебель</v>
      </c>
      <c r="D8517" s="35" t="s">
        <v>398</v>
      </c>
      <c r="E8517" s="299" t="s">
        <v>534</v>
      </c>
      <c r="F8517" s="299"/>
      <c r="G8517" s="232">
        <v>1</v>
      </c>
      <c r="H8517" s="232"/>
      <c r="I8517" s="233"/>
      <c r="J8517" s="233"/>
      <c r="K8517" s="305"/>
      <c r="L8517" s="306"/>
      <c r="M8517" s="307"/>
    </row>
    <row r="8518" spans="1:13" outlineLevel="2">
      <c r="A8518" s="34"/>
      <c r="B8518" s="12" t="str">
        <f>IFERROR(VLOOKUP(D8518,'[1]Перечень товаров'!$A$2:$I9525,2,0),"")</f>
        <v>м61</v>
      </c>
      <c r="C8518" s="12" t="str">
        <f>IFERROR(VLOOKUP(D8518,'[1]Перечень товаров'!$A$2:$I9525,3,0),"")</f>
        <v>Мебель</v>
      </c>
      <c r="D8518" s="35" t="s">
        <v>383</v>
      </c>
      <c r="E8518" s="299" t="s">
        <v>534</v>
      </c>
      <c r="F8518" s="299"/>
      <c r="G8518" s="232">
        <v>1</v>
      </c>
      <c r="H8518" s="232"/>
      <c r="I8518" s="233"/>
      <c r="J8518" s="233"/>
      <c r="K8518" s="305"/>
      <c r="L8518" s="306"/>
      <c r="M8518" s="307"/>
    </row>
    <row r="8519" spans="1:13" ht="31.5" outlineLevel="2">
      <c r="A8519" s="34"/>
      <c r="B8519" s="12" t="str">
        <f>IFERROR(VLOOKUP(D8519,'[1]Перечень товаров'!$A$2:$I9525,2,0),"")</f>
        <v>д525</v>
      </c>
      <c r="C8519" s="12" t="str">
        <f>IFERROR(VLOOKUP(D8519,'[1]Перечень товаров'!$A$2:$I9525,3,0),"")</f>
        <v>дидактика</v>
      </c>
      <c r="D8519" s="35" t="s">
        <v>1230</v>
      </c>
      <c r="E8519" s="299" t="s">
        <v>534</v>
      </c>
      <c r="F8519" s="299"/>
      <c r="G8519" s="232">
        <v>13</v>
      </c>
      <c r="H8519" s="232"/>
      <c r="I8519" s="233"/>
      <c r="J8519" s="233"/>
      <c r="K8519" s="305"/>
      <c r="L8519" s="306"/>
      <c r="M8519" s="307"/>
    </row>
    <row r="8520" spans="1:13" outlineLevel="2">
      <c r="A8520" s="34"/>
      <c r="B8520" s="12" t="str">
        <f>IFERROR(VLOOKUP(D8520,'[1]Перечень товаров'!$A$2:$I9525,2,0),"")</f>
        <v>м216</v>
      </c>
      <c r="C8520" s="12" t="str">
        <f>IFERROR(VLOOKUP(D8520,'[1]Перечень товаров'!$A$2:$I9525,3,0),"")</f>
        <v>Мебель</v>
      </c>
      <c r="D8520" s="35" t="s">
        <v>854</v>
      </c>
      <c r="E8520" s="299" t="s">
        <v>855</v>
      </c>
      <c r="F8520" s="299"/>
      <c r="G8520" s="232">
        <v>1</v>
      </c>
      <c r="H8520" s="232"/>
      <c r="I8520" s="233"/>
      <c r="J8520" s="233"/>
      <c r="K8520" s="305"/>
      <c r="L8520" s="306"/>
      <c r="M8520" s="307"/>
    </row>
    <row r="8521" spans="1:13" ht="31.5" outlineLevel="2">
      <c r="A8521" s="34"/>
      <c r="B8521" s="12" t="str">
        <f>IFERROR(VLOOKUP(D8521,'[1]Перечень товаров'!$A$2:$I9525,2,0),"")</f>
        <v>д524</v>
      </c>
      <c r="C8521" s="12" t="str">
        <f>IFERROR(VLOOKUP(D8521,'[1]Перечень товаров'!$A$2:$I9525,3,0),"")</f>
        <v>дидактика</v>
      </c>
      <c r="D8521" s="35" t="s">
        <v>1231</v>
      </c>
      <c r="E8521" s="299" t="s">
        <v>534</v>
      </c>
      <c r="F8521" s="299"/>
      <c r="G8521" s="232">
        <v>1</v>
      </c>
      <c r="H8521" s="232"/>
      <c r="I8521" s="233"/>
      <c r="J8521" s="233"/>
      <c r="K8521" s="305"/>
      <c r="L8521" s="306"/>
      <c r="M8521" s="307"/>
    </row>
    <row r="8522" spans="1:13" outlineLevel="2">
      <c r="A8522" s="34"/>
      <c r="B8522" s="12" t="str">
        <f>IFERROR(VLOOKUP(D8522,'[1]Перечень товаров'!$A$2:$I9525,2,0),"")</f>
        <v>м150</v>
      </c>
      <c r="C8522" s="12" t="str">
        <f>IFERROR(VLOOKUP(D8522,'[1]Перечень товаров'!$A$2:$I9525,3,0),"")</f>
        <v>мебель</v>
      </c>
      <c r="D8522" s="35" t="s">
        <v>1232</v>
      </c>
      <c r="E8522" s="299" t="s">
        <v>534</v>
      </c>
      <c r="F8522" s="299"/>
      <c r="G8522" s="232">
        <v>1</v>
      </c>
      <c r="H8522" s="232"/>
      <c r="I8522" s="233"/>
      <c r="J8522" s="233"/>
      <c r="K8522" s="305"/>
      <c r="L8522" s="306"/>
      <c r="M8522" s="307"/>
    </row>
    <row r="8523" spans="1:13" ht="12.75" outlineLevel="2">
      <c r="A8523" s="197"/>
      <c r="B8523" s="12" t="str">
        <f>IFERROR(VLOOKUP(D8523,'[1]Перечень товаров'!$A$2:$I9525,2,0),"")</f>
        <v/>
      </c>
      <c r="C8523" s="12" t="str">
        <f>IFERROR(VLOOKUP(D8523,'[1]Перечень товаров'!$A$2:$I9525,3,0),"")</f>
        <v/>
      </c>
      <c r="D8523" s="198" t="s">
        <v>1415</v>
      </c>
      <c r="E8523" s="300"/>
      <c r="F8523" s="300"/>
      <c r="G8523" s="234"/>
      <c r="H8523" s="234"/>
      <c r="I8523" s="235"/>
      <c r="J8523" s="235"/>
      <c r="K8523" s="302"/>
      <c r="L8523" s="303"/>
      <c r="M8523" s="304"/>
    </row>
    <row r="8524" spans="1:13" ht="31.5" outlineLevel="2">
      <c r="A8524" s="21"/>
      <c r="B8524" s="12" t="str">
        <f>IFERROR(VLOOKUP(D8524,'[1]Перечень товаров'!$A$2:$I9525,2,0),"")</f>
        <v>д481</v>
      </c>
      <c r="C8524" s="12" t="str">
        <f>IFERROR(VLOOKUP(D8524,'[1]Перечень товаров'!$A$2:$I9525,3,0),"")</f>
        <v>дидактика</v>
      </c>
      <c r="D8524" s="22" t="s">
        <v>1282</v>
      </c>
      <c r="E8524" s="301" t="s">
        <v>863</v>
      </c>
      <c r="F8524" s="301"/>
      <c r="G8524" s="242">
        <v>1</v>
      </c>
      <c r="H8524" s="242"/>
      <c r="I8524" s="243"/>
      <c r="J8524" s="243"/>
      <c r="K8524" s="305"/>
      <c r="L8524" s="306"/>
      <c r="M8524" s="308"/>
    </row>
    <row r="8525" spans="1:13" ht="12.75" outlineLevel="2">
      <c r="A8525" s="197"/>
      <c r="B8525" s="12" t="str">
        <f>IFERROR(VLOOKUP(D8525,'[1]Перечень товаров'!$A$2:$I9525,2,0),"")</f>
        <v/>
      </c>
      <c r="C8525" s="12" t="str">
        <f>IFERROR(VLOOKUP(D8525,'[1]Перечень товаров'!$A$2:$I9525,3,0),"")</f>
        <v/>
      </c>
      <c r="D8525" s="198" t="s">
        <v>1439</v>
      </c>
      <c r="E8525" s="300"/>
      <c r="F8525" s="300"/>
      <c r="G8525" s="234"/>
      <c r="H8525" s="234"/>
      <c r="I8525" s="235"/>
      <c r="J8525" s="235"/>
      <c r="K8525" s="302"/>
      <c r="L8525" s="303"/>
      <c r="M8525" s="304"/>
    </row>
    <row r="8526" spans="1:13" outlineLevel="2">
      <c r="A8526" s="21"/>
      <c r="B8526" s="12" t="str">
        <f>IFERROR(VLOOKUP(D8526,'[1]Перечень товаров'!$A$2:$I9525,2,0),"")</f>
        <v>д377</v>
      </c>
      <c r="C8526" s="12" t="str">
        <f>IFERROR(VLOOKUP(D8526,'[1]Перечень товаров'!$A$2:$I9525,3,0),"")</f>
        <v>дидактика</v>
      </c>
      <c r="D8526" s="22" t="s">
        <v>1440</v>
      </c>
      <c r="E8526" s="301" t="s">
        <v>863</v>
      </c>
      <c r="F8526" s="301"/>
      <c r="G8526" s="242">
        <v>1</v>
      </c>
      <c r="H8526" s="242"/>
      <c r="I8526" s="243"/>
      <c r="J8526" s="243"/>
      <c r="K8526" s="305"/>
      <c r="L8526" s="306"/>
      <c r="M8526" s="308"/>
    </row>
    <row r="8527" spans="1:13" ht="31.5" outlineLevel="2">
      <c r="A8527" s="21"/>
      <c r="B8527" s="12" t="str">
        <f>IFERROR(VLOOKUP(D8527,'[1]Перечень товаров'!$A$2:$I9525,2,0),"")</f>
        <v>д89</v>
      </c>
      <c r="C8527" s="12" t="str">
        <f>IFERROR(VLOOKUP(D8527,'[1]Перечень товаров'!$A$2:$I9525,3,0),"")</f>
        <v>Дидактика</v>
      </c>
      <c r="D8527" s="22" t="s">
        <v>2029</v>
      </c>
      <c r="E8527" s="301" t="s">
        <v>863</v>
      </c>
      <c r="F8527" s="301"/>
      <c r="G8527" s="242">
        <v>1</v>
      </c>
      <c r="H8527" s="242"/>
      <c r="I8527" s="243"/>
      <c r="J8527" s="243"/>
      <c r="K8527" s="305"/>
      <c r="L8527" s="306"/>
      <c r="M8527" s="308"/>
    </row>
    <row r="8528" spans="1:13" outlineLevel="2">
      <c r="A8528" s="21"/>
      <c r="B8528" s="12" t="str">
        <f>IFERROR(VLOOKUP(D8528,'[1]Перечень товаров'!$A$2:$I9525,2,0),"")</f>
        <v>д88</v>
      </c>
      <c r="C8528" s="12" t="str">
        <f>IFERROR(VLOOKUP(D8528,'[1]Перечень товаров'!$A$2:$I9525,3,0),"")</f>
        <v>Дидактика</v>
      </c>
      <c r="D8528" s="22" t="s">
        <v>2030</v>
      </c>
      <c r="E8528" s="301" t="s">
        <v>534</v>
      </c>
      <c r="F8528" s="301"/>
      <c r="G8528" s="242">
        <v>1</v>
      </c>
      <c r="H8528" s="242"/>
      <c r="I8528" s="243"/>
      <c r="J8528" s="243"/>
      <c r="K8528" s="305"/>
      <c r="L8528" s="306"/>
      <c r="M8528" s="308"/>
    </row>
    <row r="8529" spans="1:13" ht="12.75" outlineLevel="2">
      <c r="A8529" s="197"/>
      <c r="B8529" s="12" t="str">
        <f>IFERROR(VLOOKUP(D8529,'[1]Перечень товаров'!$A$2:$I9525,2,0),"")</f>
        <v/>
      </c>
      <c r="C8529" s="12" t="str">
        <f>IFERROR(VLOOKUP(D8529,'[1]Перечень товаров'!$A$2:$I9525,3,0),"")</f>
        <v/>
      </c>
      <c r="D8529" s="198" t="s">
        <v>809</v>
      </c>
      <c r="E8529" s="300"/>
      <c r="F8529" s="300"/>
      <c r="G8529" s="234"/>
      <c r="H8529" s="234"/>
      <c r="I8529" s="235"/>
      <c r="J8529" s="235"/>
      <c r="K8529" s="302"/>
      <c r="L8529" s="303"/>
      <c r="M8529" s="304"/>
    </row>
    <row r="8530" spans="1:13" outlineLevel="2">
      <c r="A8530" s="34"/>
      <c r="B8530" s="12" t="str">
        <f>IFERROR(VLOOKUP(D8530,'[1]Перечень товаров'!$A$2:$I9525,2,0),"")</f>
        <v>д65</v>
      </c>
      <c r="C8530" s="12" t="str">
        <f>IFERROR(VLOOKUP(D8530,'[1]Перечень товаров'!$A$2:$I9525,3,0),"")</f>
        <v>Дидактика</v>
      </c>
      <c r="D8530" s="35" t="s">
        <v>811</v>
      </c>
      <c r="E8530" s="299" t="s">
        <v>534</v>
      </c>
      <c r="F8530" s="299"/>
      <c r="G8530" s="232">
        <v>1</v>
      </c>
      <c r="H8530" s="232"/>
      <c r="I8530" s="233"/>
      <c r="J8530" s="233"/>
      <c r="K8530" s="305"/>
      <c r="L8530" s="306"/>
      <c r="M8530" s="307"/>
    </row>
    <row r="8531" spans="1:13" outlineLevel="2">
      <c r="A8531" s="34"/>
      <c r="B8531" s="12" t="str">
        <f>IFERROR(VLOOKUP(D8531,'[1]Перечень товаров'!$A$2:$I9525,2,0),"")</f>
        <v>д66</v>
      </c>
      <c r="C8531" s="12" t="str">
        <f>IFERROR(VLOOKUP(D8531,'[1]Перечень товаров'!$A$2:$I9525,3,0),"")</f>
        <v>Дидактика</v>
      </c>
      <c r="D8531" s="35" t="s">
        <v>812</v>
      </c>
      <c r="E8531" s="299" t="s">
        <v>2031</v>
      </c>
      <c r="F8531" s="299"/>
      <c r="G8531" s="232">
        <v>1</v>
      </c>
      <c r="H8531" s="232"/>
      <c r="I8531" s="233"/>
      <c r="J8531" s="233"/>
      <c r="K8531" s="305"/>
      <c r="L8531" s="306"/>
      <c r="M8531" s="307"/>
    </row>
    <row r="8532" spans="1:13" outlineLevel="2">
      <c r="A8532" s="34"/>
      <c r="B8532" s="12" t="str">
        <f>IFERROR(VLOOKUP(D8532,'[1]Перечень товаров'!$A$2:$I9525,2,0),"")</f>
        <v>д67</v>
      </c>
      <c r="C8532" s="12" t="str">
        <f>IFERROR(VLOOKUP(D8532,'[1]Перечень товаров'!$A$2:$I9525,3,0),"")</f>
        <v>Дидактика</v>
      </c>
      <c r="D8532" s="35" t="s">
        <v>813</v>
      </c>
      <c r="E8532" s="299" t="s">
        <v>534</v>
      </c>
      <c r="F8532" s="299"/>
      <c r="G8532" s="232">
        <v>1</v>
      </c>
      <c r="H8532" s="232"/>
      <c r="I8532" s="233"/>
      <c r="J8532" s="233"/>
      <c r="K8532" s="305"/>
      <c r="L8532" s="306"/>
      <c r="M8532" s="307"/>
    </row>
    <row r="8533" spans="1:13" outlineLevel="2">
      <c r="A8533" s="34"/>
      <c r="B8533" s="12" t="str">
        <f>IFERROR(VLOOKUP(D8533,'[1]Перечень товаров'!$A$2:$I9525,2,0),"")</f>
        <v>п90</v>
      </c>
      <c r="C8533" s="12" t="str">
        <f>IFERROR(VLOOKUP(D8533,'[1]Перечень товаров'!$A$2:$I9525,3,0),"")</f>
        <v>Прочее</v>
      </c>
      <c r="D8533" s="35" t="s">
        <v>723</v>
      </c>
      <c r="E8533" s="299" t="s">
        <v>534</v>
      </c>
      <c r="F8533" s="299"/>
      <c r="G8533" s="232">
        <v>1</v>
      </c>
      <c r="H8533" s="232"/>
      <c r="I8533" s="233"/>
      <c r="J8533" s="233"/>
      <c r="K8533" s="305"/>
      <c r="L8533" s="306"/>
      <c r="M8533" s="307"/>
    </row>
    <row r="8534" spans="1:13" outlineLevel="2">
      <c r="A8534" s="34"/>
      <c r="B8534" s="12" t="str">
        <f>IFERROR(VLOOKUP(D8534,'[1]Перечень товаров'!$A$2:$I9525,2,0),"")</f>
        <v>д68</v>
      </c>
      <c r="C8534" s="12" t="str">
        <f>IFERROR(VLOOKUP(D8534,'[1]Перечень товаров'!$A$2:$I9525,3,0),"")</f>
        <v>Дидактика</v>
      </c>
      <c r="D8534" s="35" t="s">
        <v>814</v>
      </c>
      <c r="E8534" s="299" t="s">
        <v>1550</v>
      </c>
      <c r="F8534" s="299"/>
      <c r="G8534" s="232">
        <v>3</v>
      </c>
      <c r="H8534" s="232"/>
      <c r="I8534" s="233"/>
      <c r="J8534" s="233"/>
      <c r="K8534" s="305"/>
      <c r="L8534" s="306"/>
      <c r="M8534" s="307"/>
    </row>
    <row r="8535" spans="1:13" outlineLevel="2">
      <c r="A8535" s="34"/>
      <c r="B8535" s="12" t="str">
        <f>IFERROR(VLOOKUP(D8535,'[1]Перечень товаров'!$A$2:$I9525,2,0),"")</f>
        <v>д69</v>
      </c>
      <c r="C8535" s="12" t="str">
        <f>IFERROR(VLOOKUP(D8535,'[1]Перечень товаров'!$A$2:$I9525,3,0),"")</f>
        <v>Дидактика</v>
      </c>
      <c r="D8535" s="35" t="s">
        <v>815</v>
      </c>
      <c r="E8535" s="299" t="s">
        <v>534</v>
      </c>
      <c r="F8535" s="299"/>
      <c r="G8535" s="232">
        <v>8</v>
      </c>
      <c r="H8535" s="232"/>
      <c r="I8535" s="233"/>
      <c r="J8535" s="233"/>
      <c r="K8535" s="305"/>
      <c r="L8535" s="306"/>
      <c r="M8535" s="307"/>
    </row>
    <row r="8536" spans="1:13" outlineLevel="2">
      <c r="A8536" s="34"/>
      <c r="B8536" s="12" t="str">
        <f>IFERROR(VLOOKUP(D8536,'[1]Перечень товаров'!$A$2:$I9525,2,0),"")</f>
        <v>д70</v>
      </c>
      <c r="C8536" s="12" t="str">
        <f>IFERROR(VLOOKUP(D8536,'[1]Перечень товаров'!$A$2:$I9525,3,0),"")</f>
        <v>Дидактика</v>
      </c>
      <c r="D8536" s="35" t="s">
        <v>816</v>
      </c>
      <c r="E8536" s="299" t="s">
        <v>534</v>
      </c>
      <c r="F8536" s="299"/>
      <c r="G8536" s="232">
        <v>100</v>
      </c>
      <c r="H8536" s="232"/>
      <c r="I8536" s="233"/>
      <c r="J8536" s="233"/>
      <c r="K8536" s="305"/>
      <c r="L8536" s="306"/>
      <c r="M8536" s="307"/>
    </row>
    <row r="8537" spans="1:13" outlineLevel="1">
      <c r="A8537" s="21"/>
      <c r="B8537" s="12" t="str">
        <f>IFERROR(VLOOKUP(D8537,'[1]Перечень товаров'!$A$2:$I9525,2,0),"")</f>
        <v/>
      </c>
      <c r="C8537" s="12" t="str">
        <f>IFERROR(VLOOKUP(D8537,'[1]Перечень товаров'!$A$2:$I9525,3,0),"")</f>
        <v/>
      </c>
      <c r="D8537" s="22" t="s">
        <v>311</v>
      </c>
      <c r="E8537" s="23" t="s">
        <v>2084</v>
      </c>
      <c r="F8537" s="23"/>
      <c r="G8537" s="24"/>
      <c r="H8537" s="24"/>
      <c r="I8537" s="25"/>
      <c r="J8537" s="25"/>
      <c r="K8537" s="19"/>
      <c r="L8537" s="20"/>
    </row>
    <row r="8538" spans="1:13" ht="12.75" outlineLevel="1">
      <c r="A8538" s="11"/>
      <c r="B8538" s="12" t="str">
        <f>IFERROR(VLOOKUP(D8538,'[1]Перечень товаров'!$A$2:$I9525,2,0),"")</f>
        <v/>
      </c>
      <c r="C8538" s="12" t="str">
        <f>IFERROR(VLOOKUP(D8538,'[1]Перечень товаров'!$A$2:$I9525,3,0),"")</f>
        <v/>
      </c>
      <c r="D8538" s="27" t="s">
        <v>2085</v>
      </c>
      <c r="E8538" s="14" t="s">
        <v>2086</v>
      </c>
      <c r="F8538" s="14"/>
      <c r="G8538" s="17"/>
      <c r="H8538" s="17"/>
      <c r="I8538" s="57"/>
      <c r="J8538" s="57"/>
      <c r="K8538" s="19"/>
      <c r="L8538" s="20"/>
    </row>
    <row r="8539" spans="1:13" outlineLevel="2">
      <c r="A8539" s="21"/>
      <c r="B8539" s="12" t="str">
        <f>IFERROR(VLOOKUP(D8539,'[1]Перечень товаров'!$A$2:$I9525,2,0),"")</f>
        <v>т129</v>
      </c>
      <c r="C8539" s="12" t="str">
        <f>IFERROR(VLOOKUP(D8539,'[1]Перечень товаров'!$A$2:$I9525,3,0),"")</f>
        <v>Техника</v>
      </c>
      <c r="D8539" s="22" t="s">
        <v>1204</v>
      </c>
      <c r="E8539" s="23"/>
      <c r="F8539" s="23"/>
      <c r="G8539" s="24">
        <v>1</v>
      </c>
      <c r="H8539" s="24"/>
      <c r="I8539" s="25"/>
      <c r="J8539" s="25"/>
      <c r="K8539" s="19"/>
      <c r="L8539" s="20"/>
    </row>
    <row r="8540" spans="1:13" outlineLevel="2">
      <c r="A8540" s="21"/>
      <c r="B8540" s="12" t="str">
        <f>IFERROR(VLOOKUP(D8540,'[1]Перечень товаров'!$A$2:$I9525,2,0),"")</f>
        <v>т8</v>
      </c>
      <c r="C8540" s="12" t="str">
        <f>IFERROR(VLOOKUP(D8540,'[1]Перечень товаров'!$A$2:$I9525,3,0),"")</f>
        <v xml:space="preserve">Техника </v>
      </c>
      <c r="D8540" s="35" t="s">
        <v>35</v>
      </c>
      <c r="E8540" s="23"/>
      <c r="F8540" s="23"/>
      <c r="G8540" s="24">
        <v>1</v>
      </c>
      <c r="H8540" s="24"/>
      <c r="I8540" s="25"/>
      <c r="J8540" s="25"/>
      <c r="K8540" s="19"/>
      <c r="L8540" s="20"/>
    </row>
    <row r="8541" spans="1:13" outlineLevel="2">
      <c r="A8541" s="21"/>
      <c r="B8541" s="12" t="str">
        <f>IFERROR(VLOOKUP(D8541,'[1]Перечень товаров'!$A$2:$I9525,2,0),"")</f>
        <v>т236</v>
      </c>
      <c r="C8541" s="12" t="str">
        <f>IFERROR(VLOOKUP(D8541,'[1]Перечень товаров'!$A$2:$I9525,3,0),"")</f>
        <v>Техника</v>
      </c>
      <c r="D8541" s="35" t="s">
        <v>743</v>
      </c>
      <c r="E8541" s="23"/>
      <c r="F8541" s="23"/>
      <c r="G8541" s="24">
        <v>1</v>
      </c>
      <c r="H8541" s="24"/>
      <c r="I8541" s="25"/>
      <c r="J8541" s="25"/>
      <c r="K8541" s="19"/>
      <c r="L8541" s="20"/>
    </row>
    <row r="8542" spans="1:13" outlineLevel="2">
      <c r="A8542" s="21"/>
      <c r="B8542" s="12" t="str">
        <f>IFERROR(VLOOKUP(D8542,'[1]Перечень товаров'!$A$2:$I9525,2,0),"")</f>
        <v>т237</v>
      </c>
      <c r="C8542" s="12" t="str">
        <f>IFERROR(VLOOKUP(D8542,'[1]Перечень товаров'!$A$2:$I9525,3,0),"")</f>
        <v>Техника</v>
      </c>
      <c r="D8542" s="35" t="s">
        <v>744</v>
      </c>
      <c r="E8542" s="23"/>
      <c r="F8542" s="23"/>
      <c r="G8542" s="24">
        <v>2</v>
      </c>
      <c r="H8542" s="24"/>
      <c r="I8542" s="25"/>
      <c r="J8542" s="25"/>
      <c r="K8542" s="19"/>
      <c r="L8542" s="20"/>
    </row>
    <row r="8543" spans="1:13" outlineLevel="2">
      <c r="A8543" s="21"/>
      <c r="B8543" s="12" t="str">
        <f>IFERROR(VLOOKUP(D8543,'[1]Перечень товаров'!$A$2:$I9525,2,0),"")</f>
        <v>д52</v>
      </c>
      <c r="C8543" s="12" t="str">
        <f>IFERROR(VLOOKUP(D8543,'[1]Перечень товаров'!$A$2:$I9525,3,0),"")</f>
        <v>Дидактика</v>
      </c>
      <c r="D8543" s="22" t="s">
        <v>2087</v>
      </c>
      <c r="E8543" s="23"/>
      <c r="F8543" s="23"/>
      <c r="G8543" s="24">
        <v>1</v>
      </c>
      <c r="H8543" s="24"/>
      <c r="I8543" s="25"/>
      <c r="J8543" s="25"/>
      <c r="K8543" s="19"/>
      <c r="L8543" s="20"/>
    </row>
    <row r="8544" spans="1:13" outlineLevel="2">
      <c r="A8544" s="21"/>
      <c r="B8544" s="12" t="str">
        <f>IFERROR(VLOOKUP(D8544,'[1]Перечень товаров'!$A$2:$I9525,2,0),"")</f>
        <v>м141</v>
      </c>
      <c r="C8544" s="12" t="str">
        <f>IFERROR(VLOOKUP(D8544,'[1]Перечень товаров'!$A$2:$I9525,3,0),"")</f>
        <v>мебель</v>
      </c>
      <c r="D8544" s="22" t="s">
        <v>1414</v>
      </c>
      <c r="E8544" s="23"/>
      <c r="F8544" s="23"/>
      <c r="G8544" s="24">
        <v>15</v>
      </c>
      <c r="H8544" s="24"/>
      <c r="I8544" s="25"/>
      <c r="J8544" s="25"/>
      <c r="K8544" s="19"/>
      <c r="L8544" s="20"/>
    </row>
    <row r="8545" spans="1:12" outlineLevel="2">
      <c r="A8545" s="21"/>
      <c r="B8545" s="12" t="str">
        <f>IFERROR(VLOOKUP(D8545,'[1]Перечень товаров'!$A$2:$I9525,2,0),"")</f>
        <v>м189</v>
      </c>
      <c r="C8545" s="12" t="str">
        <f>IFERROR(VLOOKUP(D8545,'[1]Перечень товаров'!$A$2:$I9525,3,0),"")</f>
        <v>мебель</v>
      </c>
      <c r="D8545" s="22" t="s">
        <v>2088</v>
      </c>
      <c r="E8545" s="23"/>
      <c r="F8545" s="23"/>
      <c r="G8545" s="24">
        <v>15</v>
      </c>
      <c r="H8545" s="24"/>
      <c r="I8545" s="25"/>
      <c r="J8545" s="25"/>
      <c r="K8545" s="19"/>
      <c r="L8545" s="20"/>
    </row>
    <row r="8546" spans="1:12" ht="12.75" outlineLevel="1">
      <c r="A8546" s="11"/>
      <c r="B8546" s="12" t="str">
        <f>IFERROR(VLOOKUP(D8546,'[1]Перечень товаров'!$A$2:$I9525,2,0),"")</f>
        <v/>
      </c>
      <c r="C8546" s="12" t="str">
        <f>IFERROR(VLOOKUP(D8546,'[1]Перечень товаров'!$A$2:$I9525,3,0),"")</f>
        <v/>
      </c>
      <c r="D8546" s="27" t="s">
        <v>2089</v>
      </c>
      <c r="E8546" s="14" t="s">
        <v>519</v>
      </c>
      <c r="F8546" s="14"/>
      <c r="G8546" s="17"/>
      <c r="H8546" s="17"/>
      <c r="I8546" s="57"/>
      <c r="J8546" s="57"/>
      <c r="K8546" s="19"/>
      <c r="L8546" s="20"/>
    </row>
    <row r="8547" spans="1:12" outlineLevel="2">
      <c r="A8547" s="43"/>
      <c r="B8547" s="12" t="str">
        <f>IFERROR(VLOOKUP(D8547,'[1]Перечень товаров'!$A$2:$I9525,2,0),"")</f>
        <v>м90</v>
      </c>
      <c r="C8547" s="12" t="str">
        <f>IFERROR(VLOOKUP(D8547,'[1]Перечень товаров'!$A$2:$I9525,3,0),"")</f>
        <v>мебель</v>
      </c>
      <c r="D8547" s="44" t="s">
        <v>2090</v>
      </c>
      <c r="E8547" s="58"/>
      <c r="F8547" s="58"/>
      <c r="G8547" s="24">
        <v>10</v>
      </c>
      <c r="H8547" s="24"/>
      <c r="I8547" s="25"/>
      <c r="J8547" s="25"/>
      <c r="K8547" s="19"/>
      <c r="L8547" s="20"/>
    </row>
    <row r="8548" spans="1:12" outlineLevel="2">
      <c r="A8548" s="43"/>
      <c r="B8548" s="12" t="str">
        <f>IFERROR(VLOOKUP(D8548,'[1]Перечень товаров'!$A$2:$I9525,2,0),"")</f>
        <v>м89</v>
      </c>
      <c r="C8548" s="12" t="str">
        <f>IFERROR(VLOOKUP(D8548,'[1]Перечень товаров'!$A$2:$I9525,3,0),"")</f>
        <v>мебель</v>
      </c>
      <c r="D8548" s="44" t="s">
        <v>2091</v>
      </c>
      <c r="E8548" s="58"/>
      <c r="F8548" s="58"/>
      <c r="G8548" s="24">
        <v>10</v>
      </c>
      <c r="H8548" s="24"/>
      <c r="I8548" s="25"/>
      <c r="J8548" s="25"/>
      <c r="K8548" s="19"/>
      <c r="L8548" s="20"/>
    </row>
    <row r="8549" spans="1:12" outlineLevel="2">
      <c r="A8549" s="43"/>
      <c r="B8549" s="12" t="str">
        <f>IFERROR(VLOOKUP(D8549,'[1]Перечень товаров'!$A$2:$I9525,2,0),"")</f>
        <v>м88</v>
      </c>
      <c r="C8549" s="12" t="str">
        <f>IFERROR(VLOOKUP(D8549,'[1]Перечень товаров'!$A$2:$I9525,3,0),"")</f>
        <v>мебель</v>
      </c>
      <c r="D8549" s="44" t="s">
        <v>2092</v>
      </c>
      <c r="E8549" s="58"/>
      <c r="F8549" s="58"/>
      <c r="G8549" s="24">
        <v>5</v>
      </c>
      <c r="H8549" s="24"/>
      <c r="I8549" s="25"/>
      <c r="J8549" s="25"/>
      <c r="K8549" s="19"/>
      <c r="L8549" s="20"/>
    </row>
    <row r="8550" spans="1:12" outlineLevel="2">
      <c r="A8550" s="43"/>
      <c r="B8550" s="12" t="str">
        <f>IFERROR(VLOOKUP(D8550,'[1]Перечень товаров'!$A$2:$I9525,2,0),"")</f>
        <v>м87</v>
      </c>
      <c r="C8550" s="12" t="str">
        <f>IFERROR(VLOOKUP(D8550,'[1]Перечень товаров'!$A$2:$I9525,3,0),"")</f>
        <v>мебель</v>
      </c>
      <c r="D8550" s="44" t="s">
        <v>2093</v>
      </c>
      <c r="E8550" s="58"/>
      <c r="F8550" s="58"/>
      <c r="G8550" s="24">
        <v>5</v>
      </c>
      <c r="H8550" s="24"/>
      <c r="I8550" s="25"/>
      <c r="J8550" s="25"/>
      <c r="K8550" s="19"/>
      <c r="L8550" s="20"/>
    </row>
    <row r="8551" spans="1:12" outlineLevel="2">
      <c r="A8551" s="43"/>
      <c r="B8551" s="12" t="str">
        <f>IFERROR(VLOOKUP(D8551,'[1]Перечень товаров'!$A$2:$I9525,2,0),"")</f>
        <v>м86</v>
      </c>
      <c r="C8551" s="12" t="str">
        <f>IFERROR(VLOOKUP(D8551,'[1]Перечень товаров'!$A$2:$I9525,3,0),"")</f>
        <v>мебель</v>
      </c>
      <c r="D8551" s="44" t="s">
        <v>2094</v>
      </c>
      <c r="E8551" s="58"/>
      <c r="F8551" s="58"/>
      <c r="G8551" s="24">
        <v>5</v>
      </c>
      <c r="H8551" s="24"/>
      <c r="I8551" s="25"/>
      <c r="J8551" s="25"/>
      <c r="K8551" s="19"/>
      <c r="L8551" s="20"/>
    </row>
    <row r="8552" spans="1:12" outlineLevel="2">
      <c r="A8552" s="43"/>
      <c r="B8552" s="12" t="str">
        <f>IFERROR(VLOOKUP(D8552,'[1]Перечень товаров'!$A$2:$I9525,2,0),"")</f>
        <v>м85</v>
      </c>
      <c r="C8552" s="12" t="str">
        <f>IFERROR(VLOOKUP(D8552,'[1]Перечень товаров'!$A$2:$I9525,3,0),"")</f>
        <v>мебель</v>
      </c>
      <c r="D8552" s="44" t="s">
        <v>2095</v>
      </c>
      <c r="E8552" s="58"/>
      <c r="F8552" s="58"/>
      <c r="G8552" s="24">
        <v>1</v>
      </c>
      <c r="H8552" s="24"/>
      <c r="I8552" s="25"/>
      <c r="J8552" s="25"/>
      <c r="K8552" s="19"/>
      <c r="L8552" s="20"/>
    </row>
    <row r="8553" spans="1:12" outlineLevel="2">
      <c r="A8553" s="34"/>
      <c r="B8553" s="12" t="str">
        <f>IFERROR(VLOOKUP(D8553,'[1]Перечень товаров'!$A$2:$I9525,2,0),"")</f>
        <v/>
      </c>
      <c r="C8553" s="12" t="str">
        <f>IFERROR(VLOOKUP(D8553,'[1]Перечень товаров'!$A$2:$I9525,3,0),"")</f>
        <v/>
      </c>
      <c r="D8553" s="35" t="s">
        <v>2096</v>
      </c>
      <c r="E8553" s="58"/>
      <c r="F8553" s="58"/>
      <c r="G8553" s="24">
        <v>1</v>
      </c>
      <c r="H8553" s="24"/>
      <c r="I8553" s="25"/>
      <c r="J8553" s="25"/>
      <c r="K8553" s="19"/>
      <c r="L8553" s="20"/>
    </row>
    <row r="8554" spans="1:12" outlineLevel="2">
      <c r="A8554" s="43"/>
      <c r="B8554" s="12" t="str">
        <f>IFERROR(VLOOKUP(D8554,'[1]Перечень товаров'!$A$2:$I9525,2,0),"")</f>
        <v>м84</v>
      </c>
      <c r="C8554" s="12" t="str">
        <f>IFERROR(VLOOKUP(D8554,'[1]Перечень товаров'!$A$2:$I9525,3,0),"")</f>
        <v>мебель</v>
      </c>
      <c r="D8554" s="44" t="s">
        <v>2097</v>
      </c>
      <c r="E8554" s="58"/>
      <c r="F8554" s="58"/>
      <c r="G8554" s="24">
        <v>3</v>
      </c>
      <c r="H8554" s="24"/>
      <c r="I8554" s="25"/>
      <c r="J8554" s="25"/>
      <c r="K8554" s="19"/>
      <c r="L8554" s="20"/>
    </row>
    <row r="8555" spans="1:12" outlineLevel="2">
      <c r="A8555" s="43"/>
      <c r="B8555" s="12" t="str">
        <f>IFERROR(VLOOKUP(D8555,'[1]Перечень товаров'!$A$2:$I9525,2,0),"")</f>
        <v>д51</v>
      </c>
      <c r="C8555" s="12" t="str">
        <f>IFERROR(VLOOKUP(D8555,'[1]Перечень товаров'!$A$2:$I9525,3,0),"")</f>
        <v>Дидактика</v>
      </c>
      <c r="D8555" s="44" t="s">
        <v>2098</v>
      </c>
      <c r="E8555" s="58"/>
      <c r="F8555" s="58"/>
      <c r="G8555" s="24">
        <v>1</v>
      </c>
      <c r="H8555" s="24"/>
      <c r="I8555" s="25"/>
      <c r="J8555" s="25"/>
      <c r="K8555" s="19"/>
      <c r="L8555" s="20"/>
    </row>
    <row r="8556" spans="1:12" outlineLevel="2">
      <c r="A8556" s="43"/>
      <c r="B8556" s="12" t="str">
        <f>IFERROR(VLOOKUP(D8556,'[1]Перечень товаров'!$A$2:$I9525,2,0),"")</f>
        <v>д50</v>
      </c>
      <c r="C8556" s="12" t="str">
        <f>IFERROR(VLOOKUP(D8556,'[1]Перечень товаров'!$A$2:$I9525,3,0),"")</f>
        <v>Дидактика</v>
      </c>
      <c r="D8556" s="44" t="s">
        <v>2099</v>
      </c>
      <c r="E8556" s="58"/>
      <c r="F8556" s="58"/>
      <c r="G8556" s="24">
        <v>1</v>
      </c>
      <c r="H8556" s="24"/>
      <c r="I8556" s="25"/>
      <c r="J8556" s="25"/>
      <c r="K8556" s="19"/>
      <c r="L8556" s="20"/>
    </row>
    <row r="8557" spans="1:12" outlineLevel="1">
      <c r="A8557" s="21"/>
      <c r="B8557" s="12" t="str">
        <f>IFERROR(VLOOKUP(D8557,'[1]Перечень товаров'!$A$2:$I9525,2,0),"")</f>
        <v/>
      </c>
      <c r="C8557" s="12" t="str">
        <f>IFERROR(VLOOKUP(D8557,'[1]Перечень товаров'!$A$2:$I9525,3,0),"")</f>
        <v/>
      </c>
      <c r="D8557" s="22" t="s">
        <v>2100</v>
      </c>
      <c r="E8557" s="102">
        <v>46052</v>
      </c>
      <c r="F8557" s="102"/>
      <c r="G8557" s="103"/>
      <c r="H8557" s="103"/>
      <c r="I8557" s="104"/>
      <c r="J8557" s="104"/>
      <c r="K8557" s="19"/>
      <c r="L8557" s="20"/>
    </row>
    <row r="8558" spans="1:12" ht="12.75" outlineLevel="1">
      <c r="A8558" s="11"/>
      <c r="B8558" s="12" t="str">
        <f>IFERROR(VLOOKUP(D8558,'[1]Перечень товаров'!$A$2:$I9525,2,0),"")</f>
        <v/>
      </c>
      <c r="C8558" s="12" t="str">
        <f>IFERROR(VLOOKUP(D8558,'[1]Перечень товаров'!$A$2:$I9525,3,0),"")</f>
        <v/>
      </c>
      <c r="D8558" s="27" t="s">
        <v>2101</v>
      </c>
      <c r="E8558" s="99">
        <v>46247</v>
      </c>
      <c r="F8558" s="99"/>
      <c r="G8558" s="100"/>
      <c r="H8558" s="100"/>
      <c r="I8558" s="101"/>
      <c r="J8558" s="101"/>
      <c r="K8558" s="19"/>
      <c r="L8558" s="20"/>
    </row>
    <row r="8559" spans="1:12" outlineLevel="2">
      <c r="A8559" s="114"/>
      <c r="B8559" s="12" t="str">
        <f>IFERROR(VLOOKUP(D8559,'[1]Перечень товаров'!$A$2:$I9525,2,0),"")</f>
        <v/>
      </c>
      <c r="C8559" s="12" t="str">
        <f>IFERROR(VLOOKUP(D8559,'[1]Перечень товаров'!$A$2:$I9525,3,0),"")</f>
        <v/>
      </c>
      <c r="D8559" s="114" t="s">
        <v>19</v>
      </c>
      <c r="E8559" s="122"/>
      <c r="F8559" s="122"/>
      <c r="G8559" s="123"/>
      <c r="H8559" s="123"/>
      <c r="I8559" s="124"/>
      <c r="J8559" s="124"/>
      <c r="K8559" s="19"/>
      <c r="L8559" s="20"/>
    </row>
    <row r="8560" spans="1:12" outlineLevel="2">
      <c r="A8560" s="34"/>
      <c r="B8560" s="12" t="str">
        <f>IFERROR(VLOOKUP(D8560,'[1]Перечень товаров'!$A$2:$I9525,2,0),"")</f>
        <v>м62</v>
      </c>
      <c r="C8560" s="12" t="str">
        <f>IFERROR(VLOOKUP(D8560,'[1]Перечень товаров'!$A$2:$I9525,3,0),"")</f>
        <v>Мебель</v>
      </c>
      <c r="D8560" s="35" t="s">
        <v>398</v>
      </c>
      <c r="E8560" s="88"/>
      <c r="F8560" s="88"/>
      <c r="G8560" s="59">
        <v>1</v>
      </c>
      <c r="H8560" s="59"/>
      <c r="I8560" s="60"/>
      <c r="J8560" s="60"/>
      <c r="K8560" s="19"/>
      <c r="L8560" s="20"/>
    </row>
    <row r="8561" spans="1:12" outlineLevel="2">
      <c r="A8561" s="34"/>
      <c r="B8561" s="12" t="str">
        <f>IFERROR(VLOOKUP(D8561,'[1]Перечень товаров'!$A$2:$I9525,2,0),"")</f>
        <v>м61</v>
      </c>
      <c r="C8561" s="12" t="str">
        <f>IFERROR(VLOOKUP(D8561,'[1]Перечень товаров'!$A$2:$I9525,3,0),"")</f>
        <v>Мебель</v>
      </c>
      <c r="D8561" s="35" t="s">
        <v>383</v>
      </c>
      <c r="E8561" s="88"/>
      <c r="F8561" s="88"/>
      <c r="G8561" s="59">
        <v>1</v>
      </c>
      <c r="H8561" s="59"/>
      <c r="I8561" s="60"/>
      <c r="J8561" s="60"/>
      <c r="K8561" s="19"/>
      <c r="L8561" s="20"/>
    </row>
    <row r="8562" spans="1:12" outlineLevel="2">
      <c r="A8562" s="34"/>
      <c r="B8562" s="12" t="str">
        <f>IFERROR(VLOOKUP(D8562,'[1]Перечень товаров'!$A$2:$I9525,2,0),"")</f>
        <v>м179</v>
      </c>
      <c r="C8562" s="12" t="str">
        <f>IFERROR(VLOOKUP(D8562,'[1]Перечень товаров'!$A$2:$I9525,3,0),"")</f>
        <v>Мебель</v>
      </c>
      <c r="D8562" s="35" t="s">
        <v>579</v>
      </c>
      <c r="E8562" s="88"/>
      <c r="F8562" s="88"/>
      <c r="G8562" s="159">
        <v>10</v>
      </c>
      <c r="H8562" s="159"/>
      <c r="I8562" s="160"/>
      <c r="J8562" s="160"/>
      <c r="K8562" s="19"/>
      <c r="L8562" s="20"/>
    </row>
    <row r="8563" spans="1:12" outlineLevel="2">
      <c r="A8563" s="34"/>
      <c r="B8563" s="12" t="str">
        <f>IFERROR(VLOOKUP(D8563,'[1]Перечень товаров'!$A$2:$I9525,2,0),"")</f>
        <v>м61</v>
      </c>
      <c r="C8563" s="12" t="str">
        <f>IFERROR(VLOOKUP(D8563,'[1]Перечень товаров'!$A$2:$I9525,3,0),"")</f>
        <v>Мебель</v>
      </c>
      <c r="D8563" s="35" t="s">
        <v>384</v>
      </c>
      <c r="E8563" s="88"/>
      <c r="F8563" s="88"/>
      <c r="G8563" s="159">
        <v>20</v>
      </c>
      <c r="H8563" s="159"/>
      <c r="I8563" s="160"/>
      <c r="J8563" s="160"/>
      <c r="K8563" s="19"/>
      <c r="L8563" s="20"/>
    </row>
    <row r="8564" spans="1:12" outlineLevel="2">
      <c r="A8564" s="22"/>
      <c r="B8564" s="12" t="str">
        <f>IFERROR(VLOOKUP(D8564,'[1]Перечень товаров'!$A$2:$I9525,2,0),"")</f>
        <v>м13</v>
      </c>
      <c r="C8564" s="12" t="str">
        <f>IFERROR(VLOOKUP(D8564,'[1]Перечень товаров'!$A$2:$I9525,3,0),"")</f>
        <v>Мебель</v>
      </c>
      <c r="D8564" s="22" t="s">
        <v>42</v>
      </c>
      <c r="E8564" s="88"/>
      <c r="F8564" s="88"/>
      <c r="G8564" s="48">
        <v>1</v>
      </c>
      <c r="H8564" s="48"/>
      <c r="I8564" s="49"/>
      <c r="J8564" s="49"/>
      <c r="K8564" s="19"/>
      <c r="L8564" s="20"/>
    </row>
    <row r="8565" spans="1:12" outlineLevel="2">
      <c r="A8565" s="21"/>
      <c r="B8565" s="12" t="str">
        <f>IFERROR(VLOOKUP(D8565,'[1]Перечень товаров'!$A$2:$I9525,2,0),"")</f>
        <v>м14</v>
      </c>
      <c r="C8565" s="12" t="str">
        <f>IFERROR(VLOOKUP(D8565,'[1]Перечень товаров'!$A$2:$I9525,3,0),"")</f>
        <v>Мебель</v>
      </c>
      <c r="D8565" s="22" t="s">
        <v>43</v>
      </c>
      <c r="E8565" s="88"/>
      <c r="F8565" s="88"/>
      <c r="G8565" s="48">
        <v>1</v>
      </c>
      <c r="H8565" s="48"/>
      <c r="I8565" s="49"/>
      <c r="J8565" s="49"/>
      <c r="K8565" s="19"/>
      <c r="L8565" s="20"/>
    </row>
    <row r="8566" spans="1:12" outlineLevel="2">
      <c r="A8566" s="21"/>
      <c r="B8566" s="12" t="str">
        <f>IFERROR(VLOOKUP(D8566,'[1]Перечень товаров'!$A$2:$I9525,2,0),"")</f>
        <v>п2</v>
      </c>
      <c r="C8566" s="12" t="str">
        <f>IFERROR(VLOOKUP(D8566,'[1]Перечень товаров'!$A$2:$I9525,3,0),"")</f>
        <v>Прочее</v>
      </c>
      <c r="D8566" s="22" t="s">
        <v>46</v>
      </c>
      <c r="E8566" s="88"/>
      <c r="F8566" s="88"/>
      <c r="G8566" s="24">
        <v>1</v>
      </c>
      <c r="H8566" s="24"/>
      <c r="I8566" s="25"/>
      <c r="J8566" s="25"/>
      <c r="K8566" s="19"/>
      <c r="L8566" s="20"/>
    </row>
    <row r="8567" spans="1:12" ht="31.5" outlineLevel="2">
      <c r="A8567" s="21"/>
      <c r="B8567" s="12" t="str">
        <f>IFERROR(VLOOKUP(D8567,'[1]Перечень товаров'!$A$2:$I9525,2,0),"")</f>
        <v>м21</v>
      </c>
      <c r="C8567" s="12" t="str">
        <f>IFERROR(VLOOKUP(D8567,'[1]Перечень товаров'!$A$2:$I9525,3,0),"")</f>
        <v>Мебель</v>
      </c>
      <c r="D8567" s="22" t="s">
        <v>58</v>
      </c>
      <c r="E8567" s="88"/>
      <c r="F8567" s="88"/>
      <c r="G8567" s="24">
        <v>1</v>
      </c>
      <c r="H8567" s="24"/>
      <c r="I8567" s="25"/>
      <c r="J8567" s="25"/>
      <c r="K8567" s="19"/>
      <c r="L8567" s="20"/>
    </row>
    <row r="8568" spans="1:12" outlineLevel="2">
      <c r="A8568" s="113"/>
      <c r="B8568" s="12" t="str">
        <f>IFERROR(VLOOKUP(D8568,'[1]Перечень товаров'!$A$2:$I9525,2,0),"")</f>
        <v/>
      </c>
      <c r="C8568" s="12" t="str">
        <f>IFERROR(VLOOKUP(D8568,'[1]Перечень товаров'!$A$2:$I9525,3,0),"")</f>
        <v/>
      </c>
      <c r="D8568" s="114" t="s">
        <v>391</v>
      </c>
      <c r="E8568" s="122"/>
      <c r="F8568" s="122"/>
      <c r="G8568" s="123"/>
      <c r="H8568" s="123"/>
      <c r="I8568" s="124"/>
      <c r="J8568" s="124"/>
      <c r="K8568" s="19"/>
      <c r="L8568" s="20"/>
    </row>
    <row r="8569" spans="1:12" outlineLevel="2">
      <c r="A8569" s="28"/>
      <c r="B8569" s="12" t="str">
        <f>IFERROR(VLOOKUP(D8569,'[1]Перечень товаров'!$A$2:$I9525,2,0),"")</f>
        <v>тм1</v>
      </c>
      <c r="C8569" s="12" t="str">
        <f>IFERROR(VLOOKUP(D8569,'[1]Перечень товаров'!$A$2:$I9525,3,0),"")</f>
        <v>Техника муз</v>
      </c>
      <c r="D8569" s="29" t="s">
        <v>14</v>
      </c>
      <c r="E8569" s="30"/>
      <c r="F8569" s="30"/>
      <c r="G8569" s="31">
        <v>1</v>
      </c>
      <c r="H8569" s="31"/>
      <c r="I8569" s="32"/>
      <c r="J8569" s="32"/>
      <c r="K8569" s="19"/>
      <c r="L8569" s="20"/>
    </row>
    <row r="8570" spans="1:12" outlineLevel="2">
      <c r="A8570" s="28"/>
      <c r="B8570" s="12" t="str">
        <f>IFERROR(VLOOKUP(D8570,'[1]Перечень товаров'!$A$2:$I9525,2,0),"")</f>
        <v>м66</v>
      </c>
      <c r="C8570" s="12" t="str">
        <f>IFERROR(VLOOKUP(D8570,'[1]Перечень товаров'!$A$2:$I9525,3,0),"")</f>
        <v>Мебель</v>
      </c>
      <c r="D8570" s="29" t="s">
        <v>401</v>
      </c>
      <c r="E8570" s="30"/>
      <c r="F8570" s="30"/>
      <c r="G8570" s="31">
        <v>10</v>
      </c>
      <c r="H8570" s="31"/>
      <c r="I8570" s="32"/>
      <c r="J8570" s="32"/>
      <c r="K8570" s="19"/>
      <c r="L8570" s="20"/>
    </row>
    <row r="8571" spans="1:12" outlineLevel="2">
      <c r="A8571" s="28"/>
      <c r="B8571" s="12" t="str">
        <f>IFERROR(VLOOKUP(D8571,'[1]Перечень товаров'!$A$2:$I9525,2,0),"")</f>
        <v>м51</v>
      </c>
      <c r="C8571" s="12" t="str">
        <f>IFERROR(VLOOKUP(D8571,'[1]Перечень товаров'!$A$2:$I9525,3,0),"")</f>
        <v>Мебель</v>
      </c>
      <c r="D8571" s="29" t="s">
        <v>318</v>
      </c>
      <c r="E8571" s="30"/>
      <c r="F8571" s="30"/>
      <c r="G8571" s="31">
        <v>6</v>
      </c>
      <c r="H8571" s="31"/>
      <c r="I8571" s="32"/>
      <c r="J8571" s="32"/>
      <c r="K8571" s="19"/>
      <c r="L8571" s="20"/>
    </row>
    <row r="8572" spans="1:12" outlineLevel="2">
      <c r="A8572" s="28"/>
      <c r="B8572" s="12" t="str">
        <f>IFERROR(VLOOKUP(D8572,'[1]Перечень товаров'!$A$2:$I9525,2,0),"")</f>
        <v>м67</v>
      </c>
      <c r="C8572" s="12" t="str">
        <f>IFERROR(VLOOKUP(D8572,'[1]Перечень товаров'!$A$2:$I9525,3,0),"")</f>
        <v>Мебель</v>
      </c>
      <c r="D8572" s="29" t="s">
        <v>402</v>
      </c>
      <c r="E8572" s="30"/>
      <c r="F8572" s="30"/>
      <c r="G8572" s="31">
        <v>2</v>
      </c>
      <c r="H8572" s="31"/>
      <c r="I8572" s="32"/>
      <c r="J8572" s="32"/>
      <c r="K8572" s="19"/>
      <c r="L8572" s="20"/>
    </row>
    <row r="8573" spans="1:12" ht="31.5" outlineLevel="2">
      <c r="A8573" s="28"/>
      <c r="B8573" s="12" t="str">
        <f>IFERROR(VLOOKUP(D8573,'[1]Перечень товаров'!$A$2:$I9525,2,0),"")</f>
        <v>м68</v>
      </c>
      <c r="C8573" s="12" t="str">
        <f>IFERROR(VLOOKUP(D8573,'[1]Перечень товаров'!$A$2:$I9525,3,0),"")</f>
        <v>Мебель</v>
      </c>
      <c r="D8573" s="29" t="s">
        <v>403</v>
      </c>
      <c r="E8573" s="30"/>
      <c r="F8573" s="30"/>
      <c r="G8573" s="31">
        <v>2</v>
      </c>
      <c r="H8573" s="31"/>
      <c r="I8573" s="32"/>
      <c r="J8573" s="32"/>
      <c r="K8573" s="19"/>
      <c r="L8573" s="20"/>
    </row>
    <row r="8574" spans="1:12" ht="31.5" outlineLevel="2">
      <c r="A8574" s="28"/>
      <c r="B8574" s="12" t="str">
        <f>IFERROR(VLOOKUP(D8574,'[1]Перечень товаров'!$A$2:$I9525,2,0),"")</f>
        <v>м69</v>
      </c>
      <c r="C8574" s="12" t="str">
        <f>IFERROR(VLOOKUP(D8574,'[1]Перечень товаров'!$A$2:$I9525,3,0),"")</f>
        <v>Мебель</v>
      </c>
      <c r="D8574" s="29" t="s">
        <v>404</v>
      </c>
      <c r="E8574" s="30"/>
      <c r="F8574" s="30"/>
      <c r="G8574" s="31">
        <v>2</v>
      </c>
      <c r="H8574" s="31"/>
      <c r="I8574" s="32"/>
      <c r="J8574" s="32"/>
      <c r="K8574" s="19"/>
      <c r="L8574" s="20"/>
    </row>
    <row r="8575" spans="1:12" ht="12.75" outlineLevel="1">
      <c r="A8575" s="11"/>
      <c r="B8575" s="12" t="str">
        <f>IFERROR(VLOOKUP(D8575,'[1]Перечень товаров'!$A$2:$I9525,2,0),"")</f>
        <v/>
      </c>
      <c r="C8575" s="12" t="str">
        <f>IFERROR(VLOOKUP(D8575,'[1]Перечень товаров'!$A$2:$I9525,3,0),"")</f>
        <v/>
      </c>
      <c r="D8575" s="27" t="s">
        <v>2101</v>
      </c>
      <c r="E8575" s="99">
        <v>46159</v>
      </c>
      <c r="F8575" s="99"/>
      <c r="G8575" s="100"/>
      <c r="H8575" s="100"/>
      <c r="I8575" s="101"/>
      <c r="J8575" s="101"/>
      <c r="K8575" s="19"/>
      <c r="L8575" s="20"/>
    </row>
    <row r="8576" spans="1:12" outlineLevel="2">
      <c r="A8576" s="114"/>
      <c r="B8576" s="12" t="str">
        <f>IFERROR(VLOOKUP(D8576,'[1]Перечень товаров'!$A$2:$I9525,2,0),"")</f>
        <v/>
      </c>
      <c r="C8576" s="12" t="str">
        <f>IFERROR(VLOOKUP(D8576,'[1]Перечень товаров'!$A$2:$I9525,3,0),"")</f>
        <v/>
      </c>
      <c r="D8576" s="114" t="s">
        <v>19</v>
      </c>
      <c r="E8576" s="122"/>
      <c r="F8576" s="122"/>
      <c r="G8576" s="123"/>
      <c r="H8576" s="123"/>
      <c r="I8576" s="124"/>
      <c r="J8576" s="124"/>
      <c r="K8576" s="19"/>
      <c r="L8576" s="20"/>
    </row>
    <row r="8577" spans="1:12" outlineLevel="2">
      <c r="A8577" s="34"/>
      <c r="B8577" s="12" t="str">
        <f>IFERROR(VLOOKUP(D8577,'[1]Перечень товаров'!$A$2:$I9525,2,0),"")</f>
        <v>м62</v>
      </c>
      <c r="C8577" s="12" t="str">
        <f>IFERROR(VLOOKUP(D8577,'[1]Перечень товаров'!$A$2:$I9525,3,0),"")</f>
        <v>Мебель</v>
      </c>
      <c r="D8577" s="35" t="s">
        <v>398</v>
      </c>
      <c r="E8577" s="88"/>
      <c r="F8577" s="88"/>
      <c r="G8577" s="59">
        <v>1</v>
      </c>
      <c r="H8577" s="59"/>
      <c r="I8577" s="60"/>
      <c r="J8577" s="60"/>
      <c r="K8577" s="19"/>
      <c r="L8577" s="20"/>
    </row>
    <row r="8578" spans="1:12" outlineLevel="2">
      <c r="A8578" s="34"/>
      <c r="B8578" s="12" t="str">
        <f>IFERROR(VLOOKUP(D8578,'[1]Перечень товаров'!$A$2:$I9525,2,0),"")</f>
        <v>м61</v>
      </c>
      <c r="C8578" s="12" t="str">
        <f>IFERROR(VLOOKUP(D8578,'[1]Перечень товаров'!$A$2:$I9525,3,0),"")</f>
        <v>Мебель</v>
      </c>
      <c r="D8578" s="35" t="s">
        <v>383</v>
      </c>
      <c r="E8578" s="88"/>
      <c r="F8578" s="88"/>
      <c r="G8578" s="59">
        <v>1</v>
      </c>
      <c r="H8578" s="59"/>
      <c r="I8578" s="60"/>
      <c r="J8578" s="60"/>
      <c r="K8578" s="19"/>
      <c r="L8578" s="20"/>
    </row>
    <row r="8579" spans="1:12" outlineLevel="2">
      <c r="A8579" s="34"/>
      <c r="B8579" s="12" t="str">
        <f>IFERROR(VLOOKUP(D8579,'[1]Перечень товаров'!$A$2:$I9525,2,0),"")</f>
        <v>м179</v>
      </c>
      <c r="C8579" s="12" t="str">
        <f>IFERROR(VLOOKUP(D8579,'[1]Перечень товаров'!$A$2:$I9525,3,0),"")</f>
        <v>Мебель</v>
      </c>
      <c r="D8579" s="35" t="s">
        <v>579</v>
      </c>
      <c r="E8579" s="88"/>
      <c r="F8579" s="88"/>
      <c r="G8579" s="159">
        <v>10</v>
      </c>
      <c r="H8579" s="159"/>
      <c r="I8579" s="160"/>
      <c r="J8579" s="160"/>
      <c r="K8579" s="19"/>
      <c r="L8579" s="20"/>
    </row>
    <row r="8580" spans="1:12" outlineLevel="2">
      <c r="A8580" s="34"/>
      <c r="B8580" s="12" t="str">
        <f>IFERROR(VLOOKUP(D8580,'[1]Перечень товаров'!$A$2:$I9525,2,0),"")</f>
        <v>м61</v>
      </c>
      <c r="C8580" s="12" t="str">
        <f>IFERROR(VLOOKUP(D8580,'[1]Перечень товаров'!$A$2:$I9525,3,0),"")</f>
        <v>Мебель</v>
      </c>
      <c r="D8580" s="35" t="s">
        <v>384</v>
      </c>
      <c r="E8580" s="88"/>
      <c r="F8580" s="88"/>
      <c r="G8580" s="159">
        <v>20</v>
      </c>
      <c r="H8580" s="159"/>
      <c r="I8580" s="160"/>
      <c r="J8580" s="160"/>
      <c r="K8580" s="19"/>
      <c r="L8580" s="20"/>
    </row>
    <row r="8581" spans="1:12" outlineLevel="2">
      <c r="A8581" s="22"/>
      <c r="B8581" s="12" t="str">
        <f>IFERROR(VLOOKUP(D8581,'[1]Перечень товаров'!$A$2:$I9525,2,0),"")</f>
        <v>м13</v>
      </c>
      <c r="C8581" s="12" t="str">
        <f>IFERROR(VLOOKUP(D8581,'[1]Перечень товаров'!$A$2:$I9525,3,0),"")</f>
        <v>Мебель</v>
      </c>
      <c r="D8581" s="22" t="s">
        <v>42</v>
      </c>
      <c r="E8581" s="88"/>
      <c r="F8581" s="88"/>
      <c r="G8581" s="48">
        <v>1</v>
      </c>
      <c r="H8581" s="48"/>
      <c r="I8581" s="49"/>
      <c r="J8581" s="49"/>
      <c r="K8581" s="19"/>
      <c r="L8581" s="20"/>
    </row>
    <row r="8582" spans="1:12" outlineLevel="2">
      <c r="A8582" s="21"/>
      <c r="B8582" s="12" t="str">
        <f>IFERROR(VLOOKUP(D8582,'[1]Перечень товаров'!$A$2:$I9525,2,0),"")</f>
        <v>м14</v>
      </c>
      <c r="C8582" s="12" t="str">
        <f>IFERROR(VLOOKUP(D8582,'[1]Перечень товаров'!$A$2:$I9525,3,0),"")</f>
        <v>Мебель</v>
      </c>
      <c r="D8582" s="22" t="s">
        <v>43</v>
      </c>
      <c r="E8582" s="88"/>
      <c r="F8582" s="88"/>
      <c r="G8582" s="48">
        <v>1</v>
      </c>
      <c r="H8582" s="48"/>
      <c r="I8582" s="49"/>
      <c r="J8582" s="49"/>
      <c r="K8582" s="19"/>
      <c r="L8582" s="20"/>
    </row>
    <row r="8583" spans="1:12" outlineLevel="2">
      <c r="A8583" s="21"/>
      <c r="B8583" s="12" t="str">
        <f>IFERROR(VLOOKUP(D8583,'[1]Перечень товаров'!$A$2:$I9525,2,0),"")</f>
        <v>п2</v>
      </c>
      <c r="C8583" s="12" t="str">
        <f>IFERROR(VLOOKUP(D8583,'[1]Перечень товаров'!$A$2:$I9525,3,0),"")</f>
        <v>Прочее</v>
      </c>
      <c r="D8583" s="22" t="s">
        <v>46</v>
      </c>
      <c r="E8583" s="88"/>
      <c r="F8583" s="88"/>
      <c r="G8583" s="24">
        <v>1</v>
      </c>
      <c r="H8583" s="24"/>
      <c r="I8583" s="25"/>
      <c r="J8583" s="25"/>
      <c r="K8583" s="19"/>
      <c r="L8583" s="20"/>
    </row>
    <row r="8584" spans="1:12" ht="31.5" outlineLevel="2">
      <c r="A8584" s="21"/>
      <c r="B8584" s="12" t="str">
        <f>IFERROR(VLOOKUP(D8584,'[1]Перечень товаров'!$A$2:$I9525,2,0),"")</f>
        <v>м21</v>
      </c>
      <c r="C8584" s="12" t="str">
        <f>IFERROR(VLOOKUP(D8584,'[1]Перечень товаров'!$A$2:$I9525,3,0),"")</f>
        <v>Мебель</v>
      </c>
      <c r="D8584" s="22" t="s">
        <v>58</v>
      </c>
      <c r="E8584" s="88"/>
      <c r="F8584" s="88"/>
      <c r="G8584" s="24">
        <v>1</v>
      </c>
      <c r="H8584" s="24"/>
      <c r="I8584" s="25"/>
      <c r="J8584" s="25"/>
      <c r="K8584" s="19"/>
      <c r="L8584" s="20"/>
    </row>
    <row r="8585" spans="1:12" outlineLevel="2">
      <c r="A8585" s="113"/>
      <c r="B8585" s="12" t="str">
        <f>IFERROR(VLOOKUP(D8585,'[1]Перечень товаров'!$A$2:$I9525,2,0),"")</f>
        <v/>
      </c>
      <c r="C8585" s="12" t="str">
        <f>IFERROR(VLOOKUP(D8585,'[1]Перечень товаров'!$A$2:$I9525,3,0),"")</f>
        <v/>
      </c>
      <c r="D8585" s="114" t="s">
        <v>391</v>
      </c>
      <c r="E8585" s="122"/>
      <c r="F8585" s="122"/>
      <c r="G8585" s="123"/>
      <c r="H8585" s="123"/>
      <c r="I8585" s="124"/>
      <c r="J8585" s="124"/>
      <c r="K8585" s="19"/>
      <c r="L8585" s="20"/>
    </row>
    <row r="8586" spans="1:12" outlineLevel="2">
      <c r="A8586" s="28"/>
      <c r="B8586" s="12" t="str">
        <f>IFERROR(VLOOKUP(D8586,'[1]Перечень товаров'!$A$2:$I9525,2,0),"")</f>
        <v>тм1</v>
      </c>
      <c r="C8586" s="12" t="str">
        <f>IFERROR(VLOOKUP(D8586,'[1]Перечень товаров'!$A$2:$I9525,3,0),"")</f>
        <v>Техника муз</v>
      </c>
      <c r="D8586" s="29" t="s">
        <v>14</v>
      </c>
      <c r="E8586" s="30"/>
      <c r="F8586" s="30"/>
      <c r="G8586" s="31">
        <v>1</v>
      </c>
      <c r="H8586" s="31"/>
      <c r="I8586" s="32"/>
      <c r="J8586" s="32"/>
      <c r="K8586" s="19"/>
      <c r="L8586" s="20"/>
    </row>
    <row r="8587" spans="1:12" outlineLevel="2">
      <c r="A8587" s="28"/>
      <c r="B8587" s="12" t="str">
        <f>IFERROR(VLOOKUP(D8587,'[1]Перечень товаров'!$A$2:$I9525,2,0),"")</f>
        <v>м66</v>
      </c>
      <c r="C8587" s="12" t="str">
        <f>IFERROR(VLOOKUP(D8587,'[1]Перечень товаров'!$A$2:$I9525,3,0),"")</f>
        <v>Мебель</v>
      </c>
      <c r="D8587" s="29" t="s">
        <v>401</v>
      </c>
      <c r="E8587" s="30"/>
      <c r="F8587" s="30"/>
      <c r="G8587" s="31">
        <v>10</v>
      </c>
      <c r="H8587" s="31"/>
      <c r="I8587" s="32"/>
      <c r="J8587" s="32"/>
      <c r="K8587" s="19"/>
      <c r="L8587" s="20"/>
    </row>
    <row r="8588" spans="1:12" outlineLevel="2">
      <c r="A8588" s="28"/>
      <c r="B8588" s="12" t="str">
        <f>IFERROR(VLOOKUP(D8588,'[1]Перечень товаров'!$A$2:$I9525,2,0),"")</f>
        <v>м51</v>
      </c>
      <c r="C8588" s="12" t="str">
        <f>IFERROR(VLOOKUP(D8588,'[1]Перечень товаров'!$A$2:$I9525,3,0),"")</f>
        <v>Мебель</v>
      </c>
      <c r="D8588" s="29" t="s">
        <v>318</v>
      </c>
      <c r="E8588" s="30"/>
      <c r="F8588" s="30"/>
      <c r="G8588" s="31">
        <v>6</v>
      </c>
      <c r="H8588" s="31"/>
      <c r="I8588" s="32"/>
      <c r="J8588" s="32"/>
      <c r="K8588" s="19"/>
      <c r="L8588" s="20"/>
    </row>
    <row r="8589" spans="1:12" outlineLevel="2">
      <c r="A8589" s="28"/>
      <c r="B8589" s="12" t="str">
        <f>IFERROR(VLOOKUP(D8589,'[1]Перечень товаров'!$A$2:$I9525,2,0),"")</f>
        <v>м67</v>
      </c>
      <c r="C8589" s="12" t="str">
        <f>IFERROR(VLOOKUP(D8589,'[1]Перечень товаров'!$A$2:$I9525,3,0),"")</f>
        <v>Мебель</v>
      </c>
      <c r="D8589" s="29" t="s">
        <v>402</v>
      </c>
      <c r="E8589" s="30"/>
      <c r="F8589" s="30"/>
      <c r="G8589" s="31">
        <v>2</v>
      </c>
      <c r="H8589" s="31"/>
      <c r="I8589" s="32"/>
      <c r="J8589" s="32"/>
      <c r="K8589" s="19"/>
      <c r="L8589" s="20"/>
    </row>
    <row r="8590" spans="1:12" ht="31.5" outlineLevel="2">
      <c r="A8590" s="28"/>
      <c r="B8590" s="12" t="str">
        <f>IFERROR(VLOOKUP(D8590,'[1]Перечень товаров'!$A$2:$I9525,2,0),"")</f>
        <v>м68</v>
      </c>
      <c r="C8590" s="12" t="str">
        <f>IFERROR(VLOOKUP(D8590,'[1]Перечень товаров'!$A$2:$I9525,3,0),"")</f>
        <v>Мебель</v>
      </c>
      <c r="D8590" s="29" t="s">
        <v>403</v>
      </c>
      <c r="E8590" s="30"/>
      <c r="F8590" s="30"/>
      <c r="G8590" s="31">
        <v>2</v>
      </c>
      <c r="H8590" s="31"/>
      <c r="I8590" s="32"/>
      <c r="J8590" s="32"/>
      <c r="K8590" s="19"/>
      <c r="L8590" s="20"/>
    </row>
    <row r="8591" spans="1:12" ht="31.5" outlineLevel="2">
      <c r="A8591" s="28"/>
      <c r="B8591" s="12" t="str">
        <f>IFERROR(VLOOKUP(D8591,'[1]Перечень товаров'!$A$2:$I9525,2,0),"")</f>
        <v>м69</v>
      </c>
      <c r="C8591" s="12" t="str">
        <f>IFERROR(VLOOKUP(D8591,'[1]Перечень товаров'!$A$2:$I9525,3,0),"")</f>
        <v>Мебель</v>
      </c>
      <c r="D8591" s="29" t="s">
        <v>404</v>
      </c>
      <c r="E8591" s="30"/>
      <c r="F8591" s="30"/>
      <c r="G8591" s="31">
        <v>2</v>
      </c>
      <c r="H8591" s="31"/>
      <c r="I8591" s="32"/>
      <c r="J8591" s="32"/>
      <c r="K8591" s="19"/>
      <c r="L8591" s="20"/>
    </row>
    <row r="8592" spans="1:12" outlineLevel="1">
      <c r="A8592" s="21"/>
      <c r="B8592" s="12" t="str">
        <f>IFERROR(VLOOKUP(D8592,'[1]Перечень товаров'!$A$2:$I9525,2,0),"")</f>
        <v/>
      </c>
      <c r="C8592" s="12" t="str">
        <f>IFERROR(VLOOKUP(D8592,'[1]Перечень товаров'!$A$2:$I9525,3,0),"")</f>
        <v/>
      </c>
      <c r="D8592" s="22" t="s">
        <v>368</v>
      </c>
      <c r="E8592" s="102">
        <v>46238</v>
      </c>
      <c r="F8592" s="102"/>
      <c r="G8592" s="103"/>
      <c r="H8592" s="103"/>
      <c r="I8592" s="104"/>
      <c r="J8592" s="104"/>
      <c r="K8592" s="19"/>
      <c r="L8592" s="20"/>
    </row>
    <row r="8593" spans="1:12" outlineLevel="1">
      <c r="A8593" s="21"/>
      <c r="B8593" s="12" t="str">
        <f>IFERROR(VLOOKUP(D8593,'[1]Перечень товаров'!$A$2:$I9525,2,0),"")</f>
        <v/>
      </c>
      <c r="C8593" s="12" t="str">
        <f>IFERROR(VLOOKUP(D8593,'[1]Перечень товаров'!$A$2:$I9525,3,0),"")</f>
        <v/>
      </c>
      <c r="D8593" s="22" t="s">
        <v>311</v>
      </c>
      <c r="E8593" s="102">
        <v>46108</v>
      </c>
      <c r="F8593" s="102"/>
      <c r="G8593" s="103"/>
      <c r="H8593" s="103"/>
      <c r="I8593" s="104"/>
      <c r="J8593" s="104"/>
      <c r="K8593" s="19"/>
      <c r="L8593" s="20"/>
    </row>
    <row r="8594" spans="1:12" ht="12.75" outlineLevel="1">
      <c r="A8594" s="11"/>
      <c r="B8594" s="12" t="str">
        <f>IFERROR(VLOOKUP(D8594,'[1]Перечень товаров'!$A$2:$I9525,2,0),"")</f>
        <v/>
      </c>
      <c r="C8594" s="12" t="str">
        <f>IFERROR(VLOOKUP(D8594,'[1]Перечень товаров'!$A$2:$I9525,3,0),"")</f>
        <v/>
      </c>
      <c r="D8594" s="27" t="s">
        <v>2102</v>
      </c>
      <c r="E8594" s="99">
        <v>46093</v>
      </c>
      <c r="F8594" s="99"/>
      <c r="G8594" s="100"/>
      <c r="H8594" s="100"/>
      <c r="I8594" s="101"/>
      <c r="J8594" s="101"/>
      <c r="K8594" s="19"/>
      <c r="L8594" s="20"/>
    </row>
    <row r="8595" spans="1:12" outlineLevel="2">
      <c r="A8595" s="43"/>
      <c r="B8595" s="12" t="str">
        <f>IFERROR(VLOOKUP(D8595,'[1]Перечень товаров'!$A$2:$I9525,2,0),"")</f>
        <v>м83</v>
      </c>
      <c r="C8595" s="12" t="str">
        <f>IFERROR(VLOOKUP(D8595,'[1]Перечень товаров'!$A$2:$I9525,3,0),"")</f>
        <v>мебель</v>
      </c>
      <c r="D8595" s="44" t="s">
        <v>2103</v>
      </c>
      <c r="E8595" s="102"/>
      <c r="F8595" s="102"/>
      <c r="G8595" s="24">
        <v>10</v>
      </c>
      <c r="H8595" s="24"/>
      <c r="I8595" s="25"/>
      <c r="J8595" s="25"/>
      <c r="K8595" s="19"/>
      <c r="L8595" s="20"/>
    </row>
    <row r="8596" spans="1:12" outlineLevel="2">
      <c r="A8596" s="43"/>
      <c r="B8596" s="12" t="str">
        <f>IFERROR(VLOOKUP(D8596,'[1]Перечень товаров'!$A$2:$I9525,2,0),"")</f>
        <v>м82</v>
      </c>
      <c r="C8596" s="12" t="str">
        <f>IFERROR(VLOOKUP(D8596,'[1]Перечень товаров'!$A$2:$I9525,3,0),"")</f>
        <v>мебель</v>
      </c>
      <c r="D8596" s="44" t="s">
        <v>2104</v>
      </c>
      <c r="E8596" s="102"/>
      <c r="F8596" s="102"/>
      <c r="G8596" s="24">
        <v>5</v>
      </c>
      <c r="H8596" s="24"/>
      <c r="I8596" s="25"/>
      <c r="J8596" s="25"/>
      <c r="K8596" s="19"/>
      <c r="L8596" s="20"/>
    </row>
    <row r="8597" spans="1:12" outlineLevel="2">
      <c r="A8597" s="43"/>
      <c r="B8597" s="12" t="str">
        <f>IFERROR(VLOOKUP(D8597,'[1]Перечень товаров'!$A$2:$I9525,2,0),"")</f>
        <v>м81</v>
      </c>
      <c r="C8597" s="12" t="str">
        <f>IFERROR(VLOOKUP(D8597,'[1]Перечень товаров'!$A$2:$I9525,3,0),"")</f>
        <v>мебель</v>
      </c>
      <c r="D8597" s="44" t="s">
        <v>2105</v>
      </c>
      <c r="E8597" s="102"/>
      <c r="F8597" s="102"/>
      <c r="G8597" s="24">
        <v>5</v>
      </c>
      <c r="H8597" s="24"/>
      <c r="I8597" s="25"/>
      <c r="J8597" s="25"/>
      <c r="K8597" s="19"/>
      <c r="L8597" s="20"/>
    </row>
    <row r="8598" spans="1:12" ht="12.75" outlineLevel="1">
      <c r="A8598" s="11"/>
      <c r="B8598" s="12" t="str">
        <f>IFERROR(VLOOKUP(D8598,'[1]Перечень товаров'!$A$2:$I9525,2,0),"")</f>
        <v/>
      </c>
      <c r="C8598" s="12" t="str">
        <f>IFERROR(VLOOKUP(D8598,'[1]Перечень товаров'!$A$2:$I9525,3,0),"")</f>
        <v/>
      </c>
      <c r="D8598" s="27" t="s">
        <v>2106</v>
      </c>
      <c r="E8598" s="99">
        <v>46209</v>
      </c>
      <c r="F8598" s="99"/>
      <c r="G8598" s="100"/>
      <c r="H8598" s="100"/>
      <c r="I8598" s="101"/>
      <c r="J8598" s="101"/>
      <c r="K8598" s="19"/>
      <c r="L8598" s="20"/>
    </row>
    <row r="8599" spans="1:12" outlineLevel="2">
      <c r="A8599" s="43"/>
      <c r="B8599" s="12" t="str">
        <f>IFERROR(VLOOKUP(D8599,'[1]Перечень товаров'!$A$2:$I9525,2,0),"")</f>
        <v>м83</v>
      </c>
      <c r="C8599" s="12" t="str">
        <f>IFERROR(VLOOKUP(D8599,'[1]Перечень товаров'!$A$2:$I9525,3,0),"")</f>
        <v>мебель</v>
      </c>
      <c r="D8599" s="44" t="s">
        <v>2103</v>
      </c>
      <c r="E8599" s="102"/>
      <c r="F8599" s="102"/>
      <c r="G8599" s="24">
        <v>5</v>
      </c>
      <c r="H8599" s="24"/>
      <c r="I8599" s="25"/>
      <c r="J8599" s="25"/>
      <c r="K8599" s="19"/>
      <c r="L8599" s="20"/>
    </row>
    <row r="8600" spans="1:12" outlineLevel="2">
      <c r="A8600" s="43"/>
      <c r="B8600" s="12" t="str">
        <f>IFERROR(VLOOKUP(D8600,'[1]Перечень товаров'!$A$2:$I9525,2,0),"")</f>
        <v>м82</v>
      </c>
      <c r="C8600" s="12" t="str">
        <f>IFERROR(VLOOKUP(D8600,'[1]Перечень товаров'!$A$2:$I9525,3,0),"")</f>
        <v>мебель</v>
      </c>
      <c r="D8600" s="44" t="s">
        <v>2104</v>
      </c>
      <c r="E8600" s="102"/>
      <c r="F8600" s="102"/>
      <c r="G8600" s="24">
        <v>2</v>
      </c>
      <c r="H8600" s="24"/>
      <c r="I8600" s="25"/>
      <c r="J8600" s="25"/>
      <c r="K8600" s="19"/>
      <c r="L8600" s="20"/>
    </row>
    <row r="8601" spans="1:12" outlineLevel="2">
      <c r="A8601" s="43"/>
      <c r="B8601" s="12" t="str">
        <f>IFERROR(VLOOKUP(D8601,'[1]Перечень товаров'!$A$2:$I9525,2,0),"")</f>
        <v>м81</v>
      </c>
      <c r="C8601" s="12" t="str">
        <f>IFERROR(VLOOKUP(D8601,'[1]Перечень товаров'!$A$2:$I9525,3,0),"")</f>
        <v>мебель</v>
      </c>
      <c r="D8601" s="44" t="s">
        <v>2105</v>
      </c>
      <c r="E8601" s="102"/>
      <c r="F8601" s="102"/>
      <c r="G8601" s="24">
        <v>2</v>
      </c>
      <c r="H8601" s="24"/>
      <c r="I8601" s="25"/>
      <c r="J8601" s="25"/>
      <c r="K8601" s="19"/>
      <c r="L8601" s="20"/>
    </row>
    <row r="8602" spans="1:12" ht="12.75" outlineLevel="1">
      <c r="A8602" s="11"/>
      <c r="B8602" s="12" t="str">
        <f>IFERROR(VLOOKUP(D8602,'[1]Перечень товаров'!$A$2:$I9525,2,0),"")</f>
        <v/>
      </c>
      <c r="C8602" s="12" t="str">
        <f>IFERROR(VLOOKUP(D8602,'[1]Перечень товаров'!$A$2:$I9525,3,0),"")</f>
        <v/>
      </c>
      <c r="D8602" s="27" t="s">
        <v>2107</v>
      </c>
      <c r="E8602" s="99">
        <v>46271</v>
      </c>
      <c r="F8602" s="99"/>
      <c r="G8602" s="100"/>
      <c r="H8602" s="100"/>
      <c r="I8602" s="101"/>
      <c r="J8602" s="101"/>
      <c r="K8602" s="19"/>
      <c r="L8602" s="20"/>
    </row>
    <row r="8603" spans="1:12" outlineLevel="2">
      <c r="A8603" s="43"/>
      <c r="B8603" s="12" t="str">
        <f>IFERROR(VLOOKUP(D8603,'[1]Перечень товаров'!$A$2:$I9525,2,0),"")</f>
        <v>м80</v>
      </c>
      <c r="C8603" s="12" t="str">
        <f>IFERROR(VLOOKUP(D8603,'[1]Перечень товаров'!$A$2:$I9525,3,0),"")</f>
        <v>мебель</v>
      </c>
      <c r="D8603" s="44" t="s">
        <v>2108</v>
      </c>
      <c r="E8603" s="23"/>
      <c r="F8603" s="23"/>
      <c r="G8603" s="23">
        <v>2</v>
      </c>
      <c r="H8603" s="103"/>
      <c r="I8603" s="104"/>
      <c r="J8603" s="104"/>
      <c r="K8603" s="19"/>
      <c r="L8603" s="20"/>
    </row>
    <row r="8604" spans="1:12" outlineLevel="2">
      <c r="A8604" s="43"/>
      <c r="B8604" s="12" t="str">
        <f>IFERROR(VLOOKUP(D8604,'[1]Перечень товаров'!$A$2:$I9525,2,0),"")</f>
        <v>м79</v>
      </c>
      <c r="C8604" s="12" t="str">
        <f>IFERROR(VLOOKUP(D8604,'[1]Перечень товаров'!$A$2:$I9525,3,0),"")</f>
        <v>мебель</v>
      </c>
      <c r="D8604" s="44" t="s">
        <v>2109</v>
      </c>
      <c r="E8604" s="23"/>
      <c r="F8604" s="23"/>
      <c r="G8604" s="23">
        <v>1</v>
      </c>
      <c r="H8604" s="103"/>
      <c r="I8604" s="104"/>
      <c r="J8604" s="104"/>
      <c r="K8604" s="19"/>
      <c r="L8604" s="20"/>
    </row>
    <row r="8605" spans="1:12" outlineLevel="2">
      <c r="A8605" s="43"/>
      <c r="B8605" s="12" t="str">
        <f>IFERROR(VLOOKUP(D8605,'[1]Перечень товаров'!$A$2:$I9525,2,0),"")</f>
        <v>м78</v>
      </c>
      <c r="C8605" s="12" t="str">
        <f>IFERROR(VLOOKUP(D8605,'[1]Перечень товаров'!$A$2:$I9525,3,0),"")</f>
        <v>мебель</v>
      </c>
      <c r="D8605" s="44" t="s">
        <v>2110</v>
      </c>
      <c r="E8605" s="23"/>
      <c r="F8605" s="23"/>
      <c r="G8605" s="23">
        <v>1</v>
      </c>
      <c r="H8605" s="103"/>
      <c r="I8605" s="104"/>
      <c r="J8605" s="104"/>
      <c r="K8605" s="19"/>
      <c r="L8605" s="20"/>
    </row>
    <row r="8606" spans="1:12" outlineLevel="2">
      <c r="A8606" s="43"/>
      <c r="B8606" s="12" t="str">
        <f>IFERROR(VLOOKUP(D8606,'[1]Перечень товаров'!$A$2:$I9525,2,0),"")</f>
        <v>м77</v>
      </c>
      <c r="C8606" s="12" t="str">
        <f>IFERROR(VLOOKUP(D8606,'[1]Перечень товаров'!$A$2:$I9525,3,0),"")</f>
        <v>мебель</v>
      </c>
      <c r="D8606" s="44" t="s">
        <v>2111</v>
      </c>
      <c r="E8606" s="23"/>
      <c r="F8606" s="23"/>
      <c r="G8606" s="23">
        <v>1</v>
      </c>
      <c r="H8606" s="103"/>
      <c r="I8606" s="104"/>
      <c r="J8606" s="104"/>
      <c r="K8606" s="19"/>
      <c r="L8606" s="20"/>
    </row>
    <row r="8607" spans="1:12" ht="12.75" outlineLevel="1">
      <c r="A8607" s="11"/>
      <c r="B8607" s="12" t="str">
        <f>IFERROR(VLOOKUP(D8607,'[1]Перечень товаров'!$A$2:$I9525,2,0),"")</f>
        <v/>
      </c>
      <c r="C8607" s="12" t="str">
        <f>IFERROR(VLOOKUP(D8607,'[1]Перечень товаров'!$A$2:$I9525,3,0),"")</f>
        <v/>
      </c>
      <c r="D8607" s="27" t="s">
        <v>886</v>
      </c>
      <c r="E8607" s="99">
        <v>46284</v>
      </c>
      <c r="F8607" s="99"/>
      <c r="G8607" s="100"/>
      <c r="H8607" s="100"/>
      <c r="I8607" s="101"/>
      <c r="J8607" s="101"/>
      <c r="K8607" s="19"/>
      <c r="L8607" s="20"/>
    </row>
    <row r="8608" spans="1:12" ht="12.75" outlineLevel="2">
      <c r="A8608" s="309"/>
      <c r="B8608" s="12" t="str">
        <f>IFERROR(VLOOKUP(D8608,'[1]Перечень товаров'!$A$2:$I9525,2,0),"")</f>
        <v/>
      </c>
      <c r="C8608" s="12" t="str">
        <f>IFERROR(VLOOKUP(D8608,'[1]Перечень товаров'!$A$2:$I9525,3,0),"")</f>
        <v/>
      </c>
      <c r="D8608" s="310" t="s">
        <v>19</v>
      </c>
      <c r="E8608" s="311"/>
      <c r="F8608" s="311"/>
      <c r="G8608" s="100"/>
      <c r="H8608" s="100"/>
      <c r="I8608" s="101"/>
      <c r="J8608" s="101"/>
      <c r="K8608" s="19"/>
      <c r="L8608" s="20"/>
    </row>
    <row r="8609" spans="1:12" outlineLevel="2">
      <c r="A8609" s="21"/>
      <c r="B8609" s="12" t="str">
        <f>IFERROR(VLOOKUP(D8609,'[1]Перечень товаров'!$A$2:$I9525,2,0),"")</f>
        <v>т116</v>
      </c>
      <c r="C8609" s="12" t="str">
        <f>IFERROR(VLOOKUP(D8609,'[1]Перечень товаров'!$A$2:$I9525,3,0),"")</f>
        <v>Техника</v>
      </c>
      <c r="D8609" s="178" t="s">
        <v>887</v>
      </c>
      <c r="E8609" s="102"/>
      <c r="F8609" s="102"/>
      <c r="G8609" s="24">
        <v>1</v>
      </c>
      <c r="H8609" s="24"/>
      <c r="I8609" s="25"/>
      <c r="J8609" s="25"/>
      <c r="K8609" s="19"/>
      <c r="L8609" s="20"/>
    </row>
    <row r="8610" spans="1:12" outlineLevel="2">
      <c r="A8610" s="21"/>
      <c r="B8610" s="12" t="str">
        <f>IFERROR(VLOOKUP(D8610,'[1]Перечень товаров'!$A$2:$I9525,2,0),"")</f>
        <v>т115</v>
      </c>
      <c r="C8610" s="12" t="str">
        <f>IFERROR(VLOOKUP(D8610,'[1]Перечень товаров'!$A$2:$I9525,3,0),"")</f>
        <v>Техника</v>
      </c>
      <c r="D8610" s="178" t="s">
        <v>888</v>
      </c>
      <c r="E8610" s="102"/>
      <c r="F8610" s="102"/>
      <c r="G8610" s="24">
        <v>1</v>
      </c>
      <c r="H8610" s="24"/>
      <c r="I8610" s="25"/>
      <c r="J8610" s="25"/>
      <c r="K8610" s="19"/>
      <c r="L8610" s="20"/>
    </row>
    <row r="8611" spans="1:12" outlineLevel="2">
      <c r="A8611" s="155"/>
      <c r="B8611" s="12" t="str">
        <f>IFERROR(VLOOKUP(D8611,'[1]Перечень товаров'!$A$2:$I9525,2,0),"")</f>
        <v>м136</v>
      </c>
      <c r="C8611" s="12" t="str">
        <f>IFERROR(VLOOKUP(D8611,'[1]Перечень товаров'!$A$2:$I9525,3,0),"")</f>
        <v>мебель</v>
      </c>
      <c r="D8611" s="178" t="s">
        <v>889</v>
      </c>
      <c r="E8611" s="102"/>
      <c r="F8611" s="102"/>
      <c r="G8611" s="24">
        <v>1</v>
      </c>
      <c r="H8611" s="24"/>
      <c r="I8611" s="25"/>
      <c r="J8611" s="25"/>
      <c r="K8611" s="19"/>
      <c r="L8611" s="20"/>
    </row>
    <row r="8612" spans="1:12" outlineLevel="2">
      <c r="A8612" s="21"/>
      <c r="B8612" s="12" t="str">
        <f>IFERROR(VLOOKUP(D8612,'[1]Перечень товаров'!$A$2:$I9525,2,0),"")</f>
        <v>м135</v>
      </c>
      <c r="C8612" s="12" t="str">
        <f>IFERROR(VLOOKUP(D8612,'[1]Перечень товаров'!$A$2:$I9525,3,0),"")</f>
        <v>мебель</v>
      </c>
      <c r="D8612" s="178" t="s">
        <v>890</v>
      </c>
      <c r="E8612" s="102"/>
      <c r="F8612" s="102"/>
      <c r="G8612" s="24">
        <v>1</v>
      </c>
      <c r="H8612" s="24"/>
      <c r="I8612" s="25"/>
      <c r="J8612" s="25"/>
      <c r="K8612" s="19"/>
      <c r="L8612" s="20"/>
    </row>
    <row r="8613" spans="1:12" outlineLevel="2">
      <c r="A8613" s="43"/>
      <c r="B8613" s="12" t="str">
        <f>IFERROR(VLOOKUP(D8613,'[1]Перечень товаров'!$A$2:$I9525,2,0),"")</f>
        <v>д256</v>
      </c>
      <c r="C8613" s="12" t="str">
        <f>IFERROR(VLOOKUP(D8613,'[1]Перечень товаров'!$A$2:$I9525,3,0),"")</f>
        <v>Дидактика</v>
      </c>
      <c r="D8613" s="178" t="s">
        <v>891</v>
      </c>
      <c r="E8613" s="102"/>
      <c r="F8613" s="102"/>
      <c r="G8613" s="24">
        <v>1</v>
      </c>
      <c r="H8613" s="24"/>
      <c r="I8613" s="25"/>
      <c r="J8613" s="25"/>
      <c r="K8613" s="19"/>
      <c r="L8613" s="20"/>
    </row>
    <row r="8614" spans="1:12" outlineLevel="2">
      <c r="A8614" s="43"/>
      <c r="B8614" s="12" t="str">
        <f>IFERROR(VLOOKUP(D8614,'[1]Перечень товаров'!$A$2:$I9525,2,0),"")</f>
        <v>д255</v>
      </c>
      <c r="C8614" s="12" t="str">
        <f>IFERROR(VLOOKUP(D8614,'[1]Перечень товаров'!$A$2:$I9525,3,0),"")</f>
        <v>Дидактика</v>
      </c>
      <c r="D8614" s="178" t="s">
        <v>892</v>
      </c>
      <c r="E8614" s="102"/>
      <c r="F8614" s="102"/>
      <c r="G8614" s="24">
        <v>1</v>
      </c>
      <c r="H8614" s="24"/>
      <c r="I8614" s="25"/>
      <c r="J8614" s="25"/>
      <c r="K8614" s="19"/>
      <c r="L8614" s="20"/>
    </row>
    <row r="8615" spans="1:12" outlineLevel="2">
      <c r="A8615" s="43"/>
      <c r="B8615" s="12" t="str">
        <f>IFERROR(VLOOKUP(D8615,'[1]Перечень товаров'!$A$2:$I9525,2,0),"")</f>
        <v>м134</v>
      </c>
      <c r="C8615" s="12" t="str">
        <f>IFERROR(VLOOKUP(D8615,'[1]Перечень товаров'!$A$2:$I9525,3,0),"")</f>
        <v>мебель</v>
      </c>
      <c r="D8615" s="178" t="s">
        <v>893</v>
      </c>
      <c r="E8615" s="102"/>
      <c r="F8615" s="102"/>
      <c r="G8615" s="24">
        <v>4</v>
      </c>
      <c r="H8615" s="24"/>
      <c r="I8615" s="25"/>
      <c r="J8615" s="25"/>
      <c r="K8615" s="19"/>
      <c r="L8615" s="20"/>
    </row>
    <row r="8616" spans="1:12" ht="12.75" outlineLevel="1">
      <c r="A8616" s="11"/>
      <c r="B8616" s="12" t="str">
        <f>IFERROR(VLOOKUP(D8616,'[1]Перечень товаров'!$A$2:$I9525,2,0),"")</f>
        <v/>
      </c>
      <c r="C8616" s="12" t="str">
        <f>IFERROR(VLOOKUP(D8616,'[1]Перечень товаров'!$A$2:$I9525,3,0),"")</f>
        <v/>
      </c>
      <c r="D8616" s="27" t="s">
        <v>871</v>
      </c>
      <c r="E8616" s="99">
        <v>46128</v>
      </c>
      <c r="F8616" s="99"/>
      <c r="G8616" s="100"/>
      <c r="H8616" s="100"/>
      <c r="I8616" s="101"/>
      <c r="J8616" s="101"/>
      <c r="K8616" s="19"/>
      <c r="L8616" s="20"/>
    </row>
    <row r="8617" spans="1:12" outlineLevel="2">
      <c r="A8617" s="22"/>
      <c r="B8617" s="12" t="str">
        <f>IFERROR(VLOOKUP(D8617,'[1]Перечень товаров'!$A$2:$I9525,2,0),"")</f>
        <v>м14</v>
      </c>
      <c r="C8617" s="12" t="str">
        <f>IFERROR(VLOOKUP(D8617,'[1]Перечень товаров'!$A$2:$I9525,3,0),"")</f>
        <v>Мебель</v>
      </c>
      <c r="D8617" s="22" t="s">
        <v>43</v>
      </c>
      <c r="E8617" s="203"/>
      <c r="F8617" s="203"/>
      <c r="G8617" s="24">
        <v>1</v>
      </c>
      <c r="H8617" s="24"/>
      <c r="I8617" s="25"/>
      <c r="J8617" s="25"/>
      <c r="K8617" s="19"/>
      <c r="L8617" s="20"/>
    </row>
    <row r="8618" spans="1:12" outlineLevel="2">
      <c r="A8618" s="21"/>
      <c r="B8618" s="12" t="str">
        <f>IFERROR(VLOOKUP(D8618,'[1]Перечень товаров'!$A$2:$I9525,2,0),"")</f>
        <v>м167</v>
      </c>
      <c r="C8618" s="12" t="str">
        <f>IFERROR(VLOOKUP(D8618,'[1]Перечень товаров'!$A$2:$I9525,3,0),"")</f>
        <v>Мебель</v>
      </c>
      <c r="D8618" s="22" t="s">
        <v>508</v>
      </c>
      <c r="E8618" s="203"/>
      <c r="F8618" s="203"/>
      <c r="G8618" s="24">
        <v>1</v>
      </c>
      <c r="H8618" s="24"/>
      <c r="I8618" s="25"/>
      <c r="J8618" s="25"/>
      <c r="K8618" s="19"/>
      <c r="L8618" s="20"/>
    </row>
    <row r="8619" spans="1:12" outlineLevel="2">
      <c r="A8619" s="21"/>
      <c r="B8619" s="12" t="str">
        <f>IFERROR(VLOOKUP(D8619,'[1]Перечень товаров'!$A$2:$I9525,2,0),"")</f>
        <v>м218</v>
      </c>
      <c r="C8619" s="12" t="str">
        <f>IFERROR(VLOOKUP(D8619,'[1]Перечень товаров'!$A$2:$I9525,3,0),"")</f>
        <v>Мебель</v>
      </c>
      <c r="D8619" s="22" t="s">
        <v>872</v>
      </c>
      <c r="E8619" s="203"/>
      <c r="F8619" s="203"/>
      <c r="G8619" s="24">
        <v>2</v>
      </c>
      <c r="H8619" s="24"/>
      <c r="I8619" s="25"/>
      <c r="J8619" s="25"/>
      <c r="K8619" s="19"/>
      <c r="L8619" s="20"/>
    </row>
    <row r="8620" spans="1:12" outlineLevel="2">
      <c r="A8620" s="21"/>
      <c r="B8620" s="12" t="str">
        <f>IFERROR(VLOOKUP(D8620,'[1]Перечень товаров'!$A$2:$I9525,2,0),"")</f>
        <v>м219</v>
      </c>
      <c r="C8620" s="12" t="str">
        <f>IFERROR(VLOOKUP(D8620,'[1]Перечень товаров'!$A$2:$I9525,3,0),"")</f>
        <v>Мебель</v>
      </c>
      <c r="D8620" s="22" t="s">
        <v>873</v>
      </c>
      <c r="E8620" s="203"/>
      <c r="F8620" s="203"/>
      <c r="G8620" s="24">
        <v>4</v>
      </c>
      <c r="H8620" s="24"/>
      <c r="I8620" s="25"/>
      <c r="J8620" s="25"/>
      <c r="K8620" s="19"/>
      <c r="L8620" s="20"/>
    </row>
    <row r="8621" spans="1:12" outlineLevel="2">
      <c r="A8621" s="21"/>
      <c r="B8621" s="12" t="str">
        <f>IFERROR(VLOOKUP(D8621,'[1]Перечень товаров'!$A$2:$I9525,2,0),"")</f>
        <v>м220</v>
      </c>
      <c r="C8621" s="12" t="str">
        <f>IFERROR(VLOOKUP(D8621,'[1]Перечень товаров'!$A$2:$I9525,3,0),"")</f>
        <v>Мебель</v>
      </c>
      <c r="D8621" s="22" t="s">
        <v>874</v>
      </c>
      <c r="E8621" s="203"/>
      <c r="F8621" s="203"/>
      <c r="G8621" s="24">
        <v>1</v>
      </c>
      <c r="H8621" s="24"/>
      <c r="I8621" s="25"/>
      <c r="J8621" s="25"/>
      <c r="K8621" s="19"/>
      <c r="L8621" s="20"/>
    </row>
    <row r="8622" spans="1:12" outlineLevel="2">
      <c r="A8622" s="21"/>
      <c r="B8622" s="12" t="str">
        <f>IFERROR(VLOOKUP(D8622,'[1]Перечень товаров'!$A$2:$I9525,2,0),"")</f>
        <v>тм77</v>
      </c>
      <c r="C8622" s="12" t="str">
        <f>IFERROR(VLOOKUP(D8622,'[1]Перечень товаров'!$A$2:$I9525,3,0),"")</f>
        <v>Техника муз</v>
      </c>
      <c r="D8622" s="22" t="s">
        <v>875</v>
      </c>
      <c r="E8622" s="203"/>
      <c r="F8622" s="203"/>
      <c r="G8622" s="24">
        <v>1</v>
      </c>
      <c r="H8622" s="24"/>
      <c r="I8622" s="25"/>
      <c r="J8622" s="25"/>
      <c r="K8622" s="19"/>
      <c r="L8622" s="20"/>
    </row>
    <row r="8623" spans="1:12" outlineLevel="2">
      <c r="A8623" s="21"/>
      <c r="B8623" s="12" t="str">
        <f>IFERROR(VLOOKUP(D8623,'[1]Перечень товаров'!$A$2:$I9525,2,0),"")</f>
        <v>м137</v>
      </c>
      <c r="C8623" s="12" t="str">
        <f>IFERROR(VLOOKUP(D8623,'[1]Перечень товаров'!$A$2:$I9525,3,0),"")</f>
        <v>мебель</v>
      </c>
      <c r="D8623" s="22" t="s">
        <v>876</v>
      </c>
      <c r="E8623" s="203"/>
      <c r="F8623" s="203"/>
      <c r="G8623" s="24">
        <v>1</v>
      </c>
      <c r="H8623" s="24"/>
      <c r="I8623" s="25"/>
      <c r="J8623" s="25"/>
      <c r="K8623" s="19"/>
      <c r="L8623" s="20"/>
    </row>
    <row r="8624" spans="1:12" outlineLevel="2">
      <c r="A8624" s="21"/>
      <c r="B8624" s="12" t="str">
        <f>IFERROR(VLOOKUP(D8624,'[1]Перечень товаров'!$A$2:$I9525,2,0),"")</f>
        <v>м187</v>
      </c>
      <c r="C8624" s="12" t="str">
        <f>IFERROR(VLOOKUP(D8624,'[1]Перечень товаров'!$A$2:$I9525,3,0),"")</f>
        <v>мебель</v>
      </c>
      <c r="D8624" s="22" t="s">
        <v>877</v>
      </c>
      <c r="E8624" s="203"/>
      <c r="F8624" s="203"/>
      <c r="G8624" s="24">
        <v>1</v>
      </c>
      <c r="H8624" s="24"/>
      <c r="I8624" s="25"/>
      <c r="J8624" s="25"/>
      <c r="K8624" s="19"/>
      <c r="L8624" s="20"/>
    </row>
    <row r="8625" spans="1:12" outlineLevel="2">
      <c r="A8625" s="21"/>
      <c r="B8625" s="12" t="str">
        <f>IFERROR(VLOOKUP(D8625,'[1]Перечень товаров'!$A$2:$I9525,2,0),"")</f>
        <v>м30</v>
      </c>
      <c r="C8625" s="12" t="str">
        <f>IFERROR(VLOOKUP(D8625,'[1]Перечень товаров'!$A$2:$I9525,3,0),"")</f>
        <v>Мебель</v>
      </c>
      <c r="D8625" s="22" t="s">
        <v>181</v>
      </c>
      <c r="E8625" s="203"/>
      <c r="F8625" s="203"/>
      <c r="G8625" s="24">
        <v>2</v>
      </c>
      <c r="H8625" s="24"/>
      <c r="I8625" s="25"/>
      <c r="J8625" s="25"/>
      <c r="K8625" s="19"/>
      <c r="L8625" s="20"/>
    </row>
    <row r="8626" spans="1:12" outlineLevel="2">
      <c r="A8626" s="21"/>
      <c r="B8626" s="12" t="str">
        <f>IFERROR(VLOOKUP(D8626,'[1]Перечень товаров'!$A$2:$I9525,2,0),"")</f>
        <v>м221</v>
      </c>
      <c r="C8626" s="12" t="str">
        <f>IFERROR(VLOOKUP(D8626,'[1]Перечень товаров'!$A$2:$I9525,3,0),"")</f>
        <v>Мебель</v>
      </c>
      <c r="D8626" s="22" t="s">
        <v>878</v>
      </c>
      <c r="E8626" s="203"/>
      <c r="F8626" s="203"/>
      <c r="G8626" s="24">
        <v>2</v>
      </c>
      <c r="H8626" s="24"/>
      <c r="I8626" s="25"/>
      <c r="J8626" s="25"/>
      <c r="K8626" s="19"/>
      <c r="L8626" s="20"/>
    </row>
    <row r="8627" spans="1:12" ht="12.75" outlineLevel="1">
      <c r="A8627" s="11"/>
      <c r="B8627" s="12" t="str">
        <f>IFERROR(VLOOKUP(D8627,'[1]Перечень товаров'!$A$2:$I9525,2,0),"")</f>
        <v/>
      </c>
      <c r="C8627" s="12" t="str">
        <f>IFERROR(VLOOKUP(D8627,'[1]Перечень товаров'!$A$2:$I9525,3,0),"")</f>
        <v/>
      </c>
      <c r="D8627" s="27" t="s">
        <v>521</v>
      </c>
      <c r="E8627" s="99">
        <v>46238</v>
      </c>
      <c r="F8627" s="99"/>
      <c r="G8627" s="100"/>
      <c r="H8627" s="100"/>
      <c r="I8627" s="101"/>
      <c r="J8627" s="101"/>
      <c r="K8627" s="19"/>
      <c r="L8627" s="20"/>
    </row>
    <row r="8628" spans="1:12" outlineLevel="2">
      <c r="A8628" s="22"/>
      <c r="B8628" s="12" t="str">
        <f>IFERROR(VLOOKUP(D8628,'[1]Перечень товаров'!$A$2:$I9525,2,0),"")</f>
        <v>п25</v>
      </c>
      <c r="C8628" s="12" t="str">
        <f>IFERROR(VLOOKUP(D8628,'[1]Перечень товаров'!$A$2:$I9525,3,0),"")</f>
        <v>Прочее</v>
      </c>
      <c r="D8628" s="22" t="s">
        <v>360</v>
      </c>
      <c r="E8628" s="102"/>
      <c r="F8628" s="102"/>
      <c r="G8628" s="48">
        <v>3</v>
      </c>
      <c r="H8628" s="48"/>
      <c r="I8628" s="49"/>
      <c r="J8628" s="49"/>
      <c r="K8628" s="33"/>
      <c r="L8628" s="20"/>
    </row>
    <row r="8629" spans="1:12" outlineLevel="2">
      <c r="A8629" s="21"/>
      <c r="B8629" s="12" t="str">
        <f>IFERROR(VLOOKUP(D8629,'[1]Перечень товаров'!$A$2:$I9525,2,0),"")</f>
        <v>п26</v>
      </c>
      <c r="C8629" s="12" t="str">
        <f>IFERROR(VLOOKUP(D8629,'[1]Перечень товаров'!$A$2:$I9525,3,0),"")</f>
        <v>Прочее</v>
      </c>
      <c r="D8629" s="22" t="s">
        <v>361</v>
      </c>
      <c r="E8629" s="102"/>
      <c r="F8629" s="102"/>
      <c r="G8629" s="48">
        <v>2</v>
      </c>
      <c r="H8629" s="48"/>
      <c r="I8629" s="49"/>
      <c r="J8629" s="49"/>
      <c r="K8629" s="33"/>
      <c r="L8629" s="20"/>
    </row>
    <row r="8630" spans="1:12" outlineLevel="2">
      <c r="A8630" s="21"/>
      <c r="B8630" s="12" t="str">
        <f>IFERROR(VLOOKUP(D8630,'[1]Перечень товаров'!$A$2:$I9525,2,0),"")</f>
        <v>п27</v>
      </c>
      <c r="C8630" s="12" t="str">
        <f>IFERROR(VLOOKUP(D8630,'[1]Перечень товаров'!$A$2:$I9525,3,0),"")</f>
        <v>Прочее</v>
      </c>
      <c r="D8630" s="22" t="s">
        <v>362</v>
      </c>
      <c r="E8630" s="102"/>
      <c r="F8630" s="102"/>
      <c r="G8630" s="48">
        <v>2</v>
      </c>
      <c r="H8630" s="48"/>
      <c r="I8630" s="49"/>
      <c r="J8630" s="49"/>
      <c r="K8630" s="33"/>
      <c r="L8630" s="20"/>
    </row>
    <row r="8631" spans="1:12" outlineLevel="2">
      <c r="A8631" s="21"/>
      <c r="B8631" s="12" t="str">
        <f>IFERROR(VLOOKUP(D8631,'[1]Перечень товаров'!$A$2:$I9525,2,0),"")</f>
        <v>п28</v>
      </c>
      <c r="C8631" s="12" t="str">
        <f>IFERROR(VLOOKUP(D8631,'[1]Перечень товаров'!$A$2:$I9525,3,0),"")</f>
        <v>Прочее</v>
      </c>
      <c r="D8631" s="22" t="s">
        <v>363</v>
      </c>
      <c r="E8631" s="102"/>
      <c r="F8631" s="102"/>
      <c r="G8631" s="48">
        <v>1</v>
      </c>
      <c r="H8631" s="48"/>
      <c r="I8631" s="49"/>
      <c r="J8631" s="49"/>
      <c r="K8631" s="33"/>
      <c r="L8631" s="20"/>
    </row>
    <row r="8632" spans="1:12" outlineLevel="2">
      <c r="A8632" s="21"/>
      <c r="B8632" s="12" t="str">
        <f>IFERROR(VLOOKUP(D8632,'[1]Перечень товаров'!$A$2:$I9525,2,0),"")</f>
        <v>п29</v>
      </c>
      <c r="C8632" s="12" t="str">
        <f>IFERROR(VLOOKUP(D8632,'[1]Перечень товаров'!$A$2:$I9525,3,0),"")</f>
        <v>Прочее</v>
      </c>
      <c r="D8632" s="22" t="s">
        <v>364</v>
      </c>
      <c r="E8632" s="102"/>
      <c r="F8632" s="102"/>
      <c r="G8632" s="48">
        <v>6</v>
      </c>
      <c r="H8632" s="48"/>
      <c r="I8632" s="49"/>
      <c r="J8632" s="49"/>
      <c r="K8632" s="33"/>
      <c r="L8632" s="20"/>
    </row>
    <row r="8633" spans="1:12" outlineLevel="2">
      <c r="A8633" s="21"/>
      <c r="B8633" s="12" t="str">
        <f>IFERROR(VLOOKUP(D8633,'[1]Перечень товаров'!$A$2:$I9525,2,0),"")</f>
        <v>п30</v>
      </c>
      <c r="C8633" s="12" t="str">
        <f>IFERROR(VLOOKUP(D8633,'[1]Перечень товаров'!$A$2:$I9525,3,0),"")</f>
        <v>Прочее</v>
      </c>
      <c r="D8633" s="22" t="s">
        <v>365</v>
      </c>
      <c r="E8633" s="102"/>
      <c r="F8633" s="102"/>
      <c r="G8633" s="48">
        <v>2</v>
      </c>
      <c r="H8633" s="48"/>
      <c r="I8633" s="49"/>
      <c r="J8633" s="49"/>
      <c r="K8633" s="33"/>
      <c r="L8633" s="20"/>
    </row>
    <row r="8634" spans="1:12" ht="31.5" outlineLevel="2">
      <c r="A8634" s="21"/>
      <c r="B8634" s="12" t="str">
        <f>IFERROR(VLOOKUP(D8634,'[1]Перечень товаров'!$A$2:$I9525,2,0),"")</f>
        <v>п31</v>
      </c>
      <c r="C8634" s="12" t="str">
        <f>IFERROR(VLOOKUP(D8634,'[1]Перечень товаров'!$A$2:$I9525,3,0),"")</f>
        <v>Прочее</v>
      </c>
      <c r="D8634" s="22" t="s">
        <v>366</v>
      </c>
      <c r="E8634" s="102"/>
      <c r="F8634" s="102"/>
      <c r="G8634" s="48">
        <v>1</v>
      </c>
      <c r="H8634" s="48"/>
      <c r="I8634" s="49"/>
      <c r="J8634" s="49"/>
      <c r="K8634" s="33"/>
      <c r="L8634" s="20"/>
    </row>
    <row r="8635" spans="1:12" ht="31.5" outlineLevel="2">
      <c r="A8635" s="21"/>
      <c r="B8635" s="12" t="str">
        <f>IFERROR(VLOOKUP(D8635,'[1]Перечень товаров'!$A$2:$I9525,2,0),"")</f>
        <v>п32</v>
      </c>
      <c r="C8635" s="12" t="str">
        <f>IFERROR(VLOOKUP(D8635,'[1]Перечень товаров'!$A$2:$I9525,3,0),"")</f>
        <v>Прочее</v>
      </c>
      <c r="D8635" s="22" t="s">
        <v>367</v>
      </c>
      <c r="E8635" s="102"/>
      <c r="F8635" s="102"/>
      <c r="G8635" s="48">
        <v>2</v>
      </c>
      <c r="H8635" s="48"/>
      <c r="I8635" s="49"/>
      <c r="J8635" s="49"/>
      <c r="K8635" s="33"/>
      <c r="L8635" s="20"/>
    </row>
    <row r="8636" spans="1:12" ht="12.75" outlineLevel="1">
      <c r="A8636" s="11"/>
      <c r="B8636" s="12" t="str">
        <f>IFERROR(VLOOKUP(D8636,'[1]Перечень товаров'!$A$2:$I9525,2,0),"")</f>
        <v/>
      </c>
      <c r="C8636" s="12" t="str">
        <f>IFERROR(VLOOKUP(D8636,'[1]Перечень товаров'!$A$2:$I9525,3,0),"")</f>
        <v/>
      </c>
      <c r="D8636" s="27" t="s">
        <v>879</v>
      </c>
      <c r="E8636" s="99">
        <v>46270</v>
      </c>
      <c r="F8636" s="99"/>
      <c r="G8636" s="100"/>
      <c r="H8636" s="100"/>
      <c r="I8636" s="101"/>
      <c r="J8636" s="101"/>
      <c r="K8636" s="19"/>
      <c r="L8636" s="20"/>
    </row>
    <row r="8637" spans="1:12" outlineLevel="2">
      <c r="A8637" s="43"/>
      <c r="B8637" s="12" t="str">
        <f>IFERROR(VLOOKUP(D8637,'[1]Перечень товаров'!$A$2:$I9525,2,0),"")</f>
        <v>м222</v>
      </c>
      <c r="C8637" s="12" t="str">
        <f>IFERROR(VLOOKUP(D8637,'[1]Перечень товаров'!$A$2:$I9525,3,0),"")</f>
        <v>Мебель</v>
      </c>
      <c r="D8637" s="44" t="s">
        <v>880</v>
      </c>
      <c r="E8637" s="102"/>
      <c r="F8637" s="102"/>
      <c r="G8637" s="24">
        <v>1</v>
      </c>
      <c r="H8637" s="24"/>
      <c r="I8637" s="25"/>
      <c r="J8637" s="25"/>
      <c r="K8637" s="19"/>
      <c r="L8637" s="20"/>
    </row>
    <row r="8638" spans="1:12" outlineLevel="2">
      <c r="A8638" s="43"/>
      <c r="B8638" s="12" t="str">
        <f>IFERROR(VLOOKUP(D8638,'[1]Перечень товаров'!$A$2:$I9525,2,0),"")</f>
        <v>м223</v>
      </c>
      <c r="C8638" s="12" t="str">
        <f>IFERROR(VLOOKUP(D8638,'[1]Перечень товаров'!$A$2:$I9525,3,0),"")</f>
        <v>Мебель</v>
      </c>
      <c r="D8638" s="44" t="s">
        <v>881</v>
      </c>
      <c r="E8638" s="102"/>
      <c r="F8638" s="102"/>
      <c r="G8638" s="24">
        <v>1</v>
      </c>
      <c r="H8638" s="24"/>
      <c r="I8638" s="25"/>
      <c r="J8638" s="25"/>
      <c r="K8638" s="19"/>
      <c r="L8638" s="20"/>
    </row>
    <row r="8639" spans="1:12" outlineLevel="2">
      <c r="A8639" s="43"/>
      <c r="B8639" s="12" t="str">
        <f>IFERROR(VLOOKUP(D8639,'[1]Перечень товаров'!$A$2:$I9525,2,0),"")</f>
        <v>м224</v>
      </c>
      <c r="C8639" s="12" t="str">
        <f>IFERROR(VLOOKUP(D8639,'[1]Перечень товаров'!$A$2:$I9525,3,0),"")</f>
        <v>Мебель</v>
      </c>
      <c r="D8639" s="44" t="s">
        <v>882</v>
      </c>
      <c r="E8639" s="102"/>
      <c r="F8639" s="102"/>
      <c r="G8639" s="24">
        <v>1</v>
      </c>
      <c r="H8639" s="24"/>
      <c r="I8639" s="25"/>
      <c r="J8639" s="25"/>
      <c r="K8639" s="19"/>
      <c r="L8639" s="20"/>
    </row>
    <row r="8640" spans="1:12" outlineLevel="2">
      <c r="A8640" s="43"/>
      <c r="B8640" s="12" t="str">
        <f>IFERROR(VLOOKUP(D8640,'[1]Перечень товаров'!$A$2:$I9525,2,0),"")</f>
        <v>м225</v>
      </c>
      <c r="C8640" s="12" t="str">
        <f>IFERROR(VLOOKUP(D8640,'[1]Перечень товаров'!$A$2:$I9525,3,0),"")</f>
        <v>Мебель</v>
      </c>
      <c r="D8640" s="44" t="s">
        <v>883</v>
      </c>
      <c r="E8640" s="102"/>
      <c r="F8640" s="102"/>
      <c r="G8640" s="24">
        <v>1</v>
      </c>
      <c r="H8640" s="24"/>
      <c r="I8640" s="25"/>
      <c r="J8640" s="25"/>
      <c r="K8640" s="19"/>
      <c r="L8640" s="20"/>
    </row>
    <row r="8641" spans="1:12" outlineLevel="2">
      <c r="A8641" s="43"/>
      <c r="B8641" s="12" t="str">
        <f>IFERROR(VLOOKUP(D8641,'[1]Перечень товаров'!$A$2:$I9525,2,0),"")</f>
        <v>п28</v>
      </c>
      <c r="C8641" s="12" t="str">
        <f>IFERROR(VLOOKUP(D8641,'[1]Перечень товаров'!$A$2:$I9525,3,0),"")</f>
        <v>Прочее</v>
      </c>
      <c r="D8641" s="44" t="s">
        <v>363</v>
      </c>
      <c r="E8641" s="102"/>
      <c r="F8641" s="102"/>
      <c r="G8641" s="24">
        <v>1</v>
      </c>
      <c r="H8641" s="24"/>
      <c r="I8641" s="25"/>
      <c r="J8641" s="25"/>
      <c r="K8641" s="19"/>
      <c r="L8641" s="20"/>
    </row>
    <row r="8642" spans="1:12" outlineLevel="2">
      <c r="A8642" s="43"/>
      <c r="B8642" s="12" t="str">
        <f>IFERROR(VLOOKUP(D8642,'[1]Перечень товаров'!$A$2:$I9525,2,0),"")</f>
        <v>м226</v>
      </c>
      <c r="C8642" s="12" t="str">
        <f>IFERROR(VLOOKUP(D8642,'[1]Перечень товаров'!$A$2:$I9525,3,0),"")</f>
        <v>Мебель</v>
      </c>
      <c r="D8642" s="44" t="s">
        <v>884</v>
      </c>
      <c r="E8642" s="102"/>
      <c r="F8642" s="102"/>
      <c r="G8642" s="24">
        <v>1</v>
      </c>
      <c r="H8642" s="24"/>
      <c r="I8642" s="25"/>
      <c r="J8642" s="25"/>
      <c r="K8642" s="19"/>
      <c r="L8642" s="20"/>
    </row>
    <row r="8643" spans="1:12" outlineLevel="1">
      <c r="A8643" s="21"/>
      <c r="B8643" s="12" t="str">
        <f>IFERROR(VLOOKUP(D8643,'[1]Перечень товаров'!$A$2:$I9525,2,0),"")</f>
        <v/>
      </c>
      <c r="C8643" s="12" t="str">
        <f>IFERROR(VLOOKUP(D8643,'[1]Перечень товаров'!$A$2:$I9525,3,0),"")</f>
        <v/>
      </c>
      <c r="D8643" s="22" t="s">
        <v>885</v>
      </c>
      <c r="E8643" s="23" t="s">
        <v>375</v>
      </c>
      <c r="F8643" s="23"/>
      <c r="G8643" s="24"/>
      <c r="H8643" s="24"/>
      <c r="I8643" s="25"/>
      <c r="J8643" s="25"/>
      <c r="K8643" s="19"/>
      <c r="L8643" s="20"/>
    </row>
    <row r="8644" spans="1:12" ht="12.75" outlineLevel="1">
      <c r="A8644" s="11"/>
      <c r="B8644" s="12" t="str">
        <f>IFERROR(VLOOKUP(D8644,'[1]Перечень товаров'!$A$2:$I9525,2,0),"")</f>
        <v/>
      </c>
      <c r="C8644" s="12" t="str">
        <f>IFERROR(VLOOKUP(D8644,'[1]Перечень товаров'!$A$2:$I9525,3,0),"")</f>
        <v/>
      </c>
      <c r="D8644" s="27" t="s">
        <v>871</v>
      </c>
      <c r="E8644" s="99">
        <v>46128</v>
      </c>
      <c r="F8644" s="99"/>
      <c r="G8644" s="100"/>
      <c r="H8644" s="100"/>
      <c r="I8644" s="101"/>
      <c r="J8644" s="101"/>
      <c r="K8644" s="19"/>
      <c r="L8644" s="20"/>
    </row>
    <row r="8645" spans="1:12" outlineLevel="2">
      <c r="A8645" s="22"/>
      <c r="B8645" s="12" t="str">
        <f>IFERROR(VLOOKUP(D8645,'[1]Перечень товаров'!$A$2:$I9525,2,0),"")</f>
        <v>м14</v>
      </c>
      <c r="C8645" s="12" t="str">
        <f>IFERROR(VLOOKUP(D8645,'[1]Перечень товаров'!$A$2:$I9525,3,0),"")</f>
        <v>Мебель</v>
      </c>
      <c r="D8645" s="22" t="s">
        <v>43</v>
      </c>
      <c r="E8645" s="203"/>
      <c r="F8645" s="203"/>
      <c r="G8645" s="24">
        <v>1</v>
      </c>
      <c r="H8645" s="24"/>
      <c r="I8645" s="25"/>
      <c r="J8645" s="25"/>
      <c r="K8645" s="19"/>
      <c r="L8645" s="20"/>
    </row>
    <row r="8646" spans="1:12" outlineLevel="2">
      <c r="A8646" s="21"/>
      <c r="B8646" s="12" t="str">
        <f>IFERROR(VLOOKUP(D8646,'[1]Перечень товаров'!$A$2:$I9525,2,0),"")</f>
        <v>м167</v>
      </c>
      <c r="C8646" s="12" t="str">
        <f>IFERROR(VLOOKUP(D8646,'[1]Перечень товаров'!$A$2:$I9525,3,0),"")</f>
        <v>Мебель</v>
      </c>
      <c r="D8646" s="22" t="s">
        <v>508</v>
      </c>
      <c r="E8646" s="203"/>
      <c r="F8646" s="203"/>
      <c r="G8646" s="24">
        <v>1</v>
      </c>
      <c r="H8646" s="24"/>
      <c r="I8646" s="25"/>
      <c r="J8646" s="25"/>
      <c r="K8646" s="19"/>
      <c r="L8646" s="20"/>
    </row>
    <row r="8647" spans="1:12" outlineLevel="2">
      <c r="A8647" s="21"/>
      <c r="B8647" s="12" t="str">
        <f>IFERROR(VLOOKUP(D8647,'[1]Перечень товаров'!$A$2:$I9525,2,0),"")</f>
        <v>м218</v>
      </c>
      <c r="C8647" s="12" t="str">
        <f>IFERROR(VLOOKUP(D8647,'[1]Перечень товаров'!$A$2:$I9525,3,0),"")</f>
        <v>Мебель</v>
      </c>
      <c r="D8647" s="22" t="s">
        <v>872</v>
      </c>
      <c r="E8647" s="203"/>
      <c r="F8647" s="203"/>
      <c r="G8647" s="24">
        <v>2</v>
      </c>
      <c r="H8647" s="24"/>
      <c r="I8647" s="25"/>
      <c r="J8647" s="25"/>
      <c r="K8647" s="19"/>
      <c r="L8647" s="20"/>
    </row>
    <row r="8648" spans="1:12" outlineLevel="2">
      <c r="A8648" s="21"/>
      <c r="B8648" s="12" t="str">
        <f>IFERROR(VLOOKUP(D8648,'[1]Перечень товаров'!$A$2:$I9525,2,0),"")</f>
        <v>м219</v>
      </c>
      <c r="C8648" s="12" t="str">
        <f>IFERROR(VLOOKUP(D8648,'[1]Перечень товаров'!$A$2:$I9525,3,0),"")</f>
        <v>Мебель</v>
      </c>
      <c r="D8648" s="22" t="s">
        <v>873</v>
      </c>
      <c r="E8648" s="203"/>
      <c r="F8648" s="203"/>
      <c r="G8648" s="24">
        <v>4</v>
      </c>
      <c r="H8648" s="24"/>
      <c r="I8648" s="25"/>
      <c r="J8648" s="25"/>
      <c r="K8648" s="19"/>
      <c r="L8648" s="20"/>
    </row>
    <row r="8649" spans="1:12" outlineLevel="2">
      <c r="A8649" s="21"/>
      <c r="B8649" s="12" t="str">
        <f>IFERROR(VLOOKUP(D8649,'[1]Перечень товаров'!$A$2:$I9525,2,0),"")</f>
        <v>м220</v>
      </c>
      <c r="C8649" s="12" t="str">
        <f>IFERROR(VLOOKUP(D8649,'[1]Перечень товаров'!$A$2:$I9525,3,0),"")</f>
        <v>Мебель</v>
      </c>
      <c r="D8649" s="22" t="s">
        <v>874</v>
      </c>
      <c r="E8649" s="203"/>
      <c r="F8649" s="203"/>
      <c r="G8649" s="24">
        <v>1</v>
      </c>
      <c r="H8649" s="24"/>
      <c r="I8649" s="25"/>
      <c r="J8649" s="25"/>
      <c r="K8649" s="19"/>
      <c r="L8649" s="20"/>
    </row>
    <row r="8650" spans="1:12" outlineLevel="2">
      <c r="A8650" s="21"/>
      <c r="B8650" s="12" t="str">
        <f>IFERROR(VLOOKUP(D8650,'[1]Перечень товаров'!$A$2:$I9525,2,0),"")</f>
        <v>м187</v>
      </c>
      <c r="C8650" s="12" t="str">
        <f>IFERROR(VLOOKUP(D8650,'[1]Перечень товаров'!$A$2:$I9525,3,0),"")</f>
        <v>мебель</v>
      </c>
      <c r="D8650" s="22" t="s">
        <v>877</v>
      </c>
      <c r="E8650" s="203"/>
      <c r="F8650" s="203"/>
      <c r="G8650" s="24">
        <v>1</v>
      </c>
      <c r="H8650" s="24"/>
      <c r="I8650" s="25"/>
      <c r="J8650" s="25"/>
      <c r="K8650" s="19"/>
      <c r="L8650" s="20"/>
    </row>
    <row r="8651" spans="1:12" outlineLevel="2">
      <c r="A8651" s="21"/>
      <c r="B8651" s="12" t="str">
        <f>IFERROR(VLOOKUP(D8651,'[1]Перечень товаров'!$A$2:$I9525,2,0),"")</f>
        <v>м30</v>
      </c>
      <c r="C8651" s="12" t="str">
        <f>IFERROR(VLOOKUP(D8651,'[1]Перечень товаров'!$A$2:$I9525,3,0),"")</f>
        <v>Мебель</v>
      </c>
      <c r="D8651" s="22" t="s">
        <v>181</v>
      </c>
      <c r="E8651" s="203"/>
      <c r="F8651" s="203"/>
      <c r="G8651" s="24">
        <v>2</v>
      </c>
      <c r="H8651" s="24"/>
      <c r="I8651" s="25"/>
      <c r="J8651" s="25"/>
      <c r="K8651" s="19"/>
      <c r="L8651" s="20"/>
    </row>
    <row r="8652" spans="1:12" outlineLevel="2">
      <c r="A8652" s="21"/>
      <c r="B8652" s="12" t="str">
        <f>IFERROR(VLOOKUP(D8652,'[1]Перечень товаров'!$A$2:$I9525,2,0),"")</f>
        <v>м221</v>
      </c>
      <c r="C8652" s="12" t="str">
        <f>IFERROR(VLOOKUP(D8652,'[1]Перечень товаров'!$A$2:$I9525,3,0),"")</f>
        <v>Мебель</v>
      </c>
      <c r="D8652" s="22" t="s">
        <v>878</v>
      </c>
      <c r="E8652" s="203"/>
      <c r="F8652" s="203"/>
      <c r="G8652" s="24">
        <v>2</v>
      </c>
      <c r="H8652" s="24"/>
      <c r="I8652" s="25"/>
      <c r="J8652" s="25"/>
      <c r="K8652" s="19"/>
      <c r="L8652" s="20"/>
    </row>
    <row r="8653" spans="1:12" ht="12.75" outlineLevel="1">
      <c r="A8653" s="11"/>
      <c r="B8653" s="12" t="str">
        <f>IFERROR(VLOOKUP(D8653,'[1]Перечень товаров'!$A$2:$I9525,2,0),"")</f>
        <v/>
      </c>
      <c r="C8653" s="12" t="str">
        <f>IFERROR(VLOOKUP(D8653,'[1]Перечень товаров'!$A$2:$I9525,3,0),"")</f>
        <v/>
      </c>
      <c r="D8653" s="27" t="s">
        <v>926</v>
      </c>
      <c r="E8653" s="99">
        <v>46126</v>
      </c>
      <c r="F8653" s="99"/>
      <c r="G8653" s="100"/>
      <c r="H8653" s="100"/>
      <c r="I8653" s="101"/>
      <c r="J8653" s="101"/>
      <c r="K8653" s="19"/>
      <c r="L8653" s="20"/>
    </row>
    <row r="8654" spans="1:12" outlineLevel="2">
      <c r="A8654" s="22"/>
      <c r="B8654" s="12" t="str">
        <f>IFERROR(VLOOKUP(D8654,'[1]Перечень товаров'!$A$2:$I9525,2,0),"")</f>
        <v>м14</v>
      </c>
      <c r="C8654" s="12" t="str">
        <f>IFERROR(VLOOKUP(D8654,'[1]Перечень товаров'!$A$2:$I9525,3,0),"")</f>
        <v>Мебель</v>
      </c>
      <c r="D8654" s="22" t="s">
        <v>43</v>
      </c>
      <c r="E8654" s="203"/>
      <c r="F8654" s="203"/>
      <c r="G8654" s="24">
        <v>1</v>
      </c>
      <c r="H8654" s="24"/>
      <c r="I8654" s="25"/>
      <c r="J8654" s="25"/>
      <c r="K8654" s="19"/>
      <c r="L8654" s="20"/>
    </row>
    <row r="8655" spans="1:12" outlineLevel="2">
      <c r="A8655" s="21"/>
      <c r="B8655" s="12" t="str">
        <f>IFERROR(VLOOKUP(D8655,'[1]Перечень товаров'!$A$2:$I9525,2,0),"")</f>
        <v>м167</v>
      </c>
      <c r="C8655" s="12" t="str">
        <f>IFERROR(VLOOKUP(D8655,'[1]Перечень товаров'!$A$2:$I9525,3,0),"")</f>
        <v>Мебель</v>
      </c>
      <c r="D8655" s="22" t="s">
        <v>508</v>
      </c>
      <c r="E8655" s="203"/>
      <c r="F8655" s="203"/>
      <c r="G8655" s="24">
        <v>1</v>
      </c>
      <c r="H8655" s="24"/>
      <c r="I8655" s="25"/>
      <c r="J8655" s="25"/>
      <c r="K8655" s="19"/>
      <c r="L8655" s="20"/>
    </row>
    <row r="8656" spans="1:12" outlineLevel="2">
      <c r="A8656" s="21"/>
      <c r="B8656" s="12" t="str">
        <f>IFERROR(VLOOKUP(D8656,'[1]Перечень товаров'!$A$2:$I9525,2,0),"")</f>
        <v>м218</v>
      </c>
      <c r="C8656" s="12" t="str">
        <f>IFERROR(VLOOKUP(D8656,'[1]Перечень товаров'!$A$2:$I9525,3,0),"")</f>
        <v>Мебель</v>
      </c>
      <c r="D8656" s="22" t="s">
        <v>872</v>
      </c>
      <c r="E8656" s="203"/>
      <c r="F8656" s="203"/>
      <c r="G8656" s="24">
        <v>2</v>
      </c>
      <c r="H8656" s="24"/>
      <c r="I8656" s="25"/>
      <c r="J8656" s="25"/>
      <c r="K8656" s="19"/>
      <c r="L8656" s="20"/>
    </row>
    <row r="8657" spans="1:12" outlineLevel="2">
      <c r="A8657" s="21"/>
      <c r="B8657" s="12" t="str">
        <f>IFERROR(VLOOKUP(D8657,'[1]Перечень товаров'!$A$2:$I9525,2,0),"")</f>
        <v>м219</v>
      </c>
      <c r="C8657" s="12" t="str">
        <f>IFERROR(VLOOKUP(D8657,'[1]Перечень товаров'!$A$2:$I9525,3,0),"")</f>
        <v>Мебель</v>
      </c>
      <c r="D8657" s="22" t="s">
        <v>873</v>
      </c>
      <c r="E8657" s="203"/>
      <c r="F8657" s="203"/>
      <c r="G8657" s="24">
        <v>4</v>
      </c>
      <c r="H8657" s="24"/>
      <c r="I8657" s="25"/>
      <c r="J8657" s="25"/>
      <c r="K8657" s="19"/>
      <c r="L8657" s="20"/>
    </row>
    <row r="8658" spans="1:12" outlineLevel="2">
      <c r="A8658" s="21"/>
      <c r="B8658" s="12" t="str">
        <f>IFERROR(VLOOKUP(D8658,'[1]Перечень товаров'!$A$2:$I9525,2,0),"")</f>
        <v>м220</v>
      </c>
      <c r="C8658" s="12" t="str">
        <f>IFERROR(VLOOKUP(D8658,'[1]Перечень товаров'!$A$2:$I9525,3,0),"")</f>
        <v>Мебель</v>
      </c>
      <c r="D8658" s="22" t="s">
        <v>874</v>
      </c>
      <c r="E8658" s="203"/>
      <c r="F8658" s="203"/>
      <c r="G8658" s="24">
        <v>1</v>
      </c>
      <c r="H8658" s="24"/>
      <c r="I8658" s="25"/>
      <c r="J8658" s="25"/>
      <c r="K8658" s="19"/>
      <c r="L8658" s="20"/>
    </row>
    <row r="8659" spans="1:12" outlineLevel="2">
      <c r="A8659" s="21"/>
      <c r="B8659" s="12" t="str">
        <f>IFERROR(VLOOKUP(D8659,'[1]Перечень товаров'!$A$2:$I9525,2,0),"")</f>
        <v>тм77</v>
      </c>
      <c r="C8659" s="12" t="str">
        <f>IFERROR(VLOOKUP(D8659,'[1]Перечень товаров'!$A$2:$I9525,3,0),"")</f>
        <v>Техника муз</v>
      </c>
      <c r="D8659" s="22" t="s">
        <v>875</v>
      </c>
      <c r="E8659" s="203"/>
      <c r="F8659" s="203"/>
      <c r="G8659" s="24">
        <v>1</v>
      </c>
      <c r="H8659" s="24"/>
      <c r="I8659" s="25"/>
      <c r="J8659" s="25"/>
      <c r="K8659" s="19"/>
      <c r="L8659" s="20"/>
    </row>
    <row r="8660" spans="1:12" outlineLevel="2">
      <c r="A8660" s="21"/>
      <c r="B8660" s="12" t="str">
        <f>IFERROR(VLOOKUP(D8660,'[1]Перечень товаров'!$A$2:$I9525,2,0),"")</f>
        <v>м137</v>
      </c>
      <c r="C8660" s="12" t="str">
        <f>IFERROR(VLOOKUP(D8660,'[1]Перечень товаров'!$A$2:$I9525,3,0),"")</f>
        <v>мебель</v>
      </c>
      <c r="D8660" s="22" t="s">
        <v>876</v>
      </c>
      <c r="E8660" s="203"/>
      <c r="F8660" s="203"/>
      <c r="G8660" s="24">
        <v>1</v>
      </c>
      <c r="H8660" s="24"/>
      <c r="I8660" s="25"/>
      <c r="J8660" s="25"/>
      <c r="K8660" s="19"/>
      <c r="L8660" s="20"/>
    </row>
    <row r="8661" spans="1:12" outlineLevel="2">
      <c r="A8661" s="21"/>
      <c r="B8661" s="12" t="str">
        <f>IFERROR(VLOOKUP(D8661,'[1]Перечень товаров'!$A$2:$I9525,2,0),"")</f>
        <v>м187</v>
      </c>
      <c r="C8661" s="12" t="str">
        <f>IFERROR(VLOOKUP(D8661,'[1]Перечень товаров'!$A$2:$I9525,3,0),"")</f>
        <v>мебель</v>
      </c>
      <c r="D8661" s="22" t="s">
        <v>877</v>
      </c>
      <c r="E8661" s="203"/>
      <c r="F8661" s="203"/>
      <c r="G8661" s="24">
        <v>1</v>
      </c>
      <c r="H8661" s="24"/>
      <c r="I8661" s="25"/>
      <c r="J8661" s="25"/>
      <c r="K8661" s="19"/>
      <c r="L8661" s="20"/>
    </row>
    <row r="8662" spans="1:12" outlineLevel="2">
      <c r="A8662" s="21"/>
      <c r="B8662" s="12" t="str">
        <f>IFERROR(VLOOKUP(D8662,'[1]Перечень товаров'!$A$2:$I9525,2,0),"")</f>
        <v>м30</v>
      </c>
      <c r="C8662" s="12" t="str">
        <f>IFERROR(VLOOKUP(D8662,'[1]Перечень товаров'!$A$2:$I9525,3,0),"")</f>
        <v>Мебель</v>
      </c>
      <c r="D8662" s="22" t="s">
        <v>181</v>
      </c>
      <c r="E8662" s="203"/>
      <c r="F8662" s="203"/>
      <c r="G8662" s="24">
        <v>2</v>
      </c>
      <c r="H8662" s="24"/>
      <c r="I8662" s="25"/>
      <c r="J8662" s="25"/>
      <c r="K8662" s="19"/>
      <c r="L8662" s="20"/>
    </row>
    <row r="8663" spans="1:12" outlineLevel="2">
      <c r="A8663" s="21"/>
      <c r="B8663" s="12" t="str">
        <f>IFERROR(VLOOKUP(D8663,'[1]Перечень товаров'!$A$2:$I9525,2,0),"")</f>
        <v>м221</v>
      </c>
      <c r="C8663" s="12" t="str">
        <f>IFERROR(VLOOKUP(D8663,'[1]Перечень товаров'!$A$2:$I9525,3,0),"")</f>
        <v>Мебель</v>
      </c>
      <c r="D8663" s="22" t="s">
        <v>878</v>
      </c>
      <c r="E8663" s="203"/>
      <c r="F8663" s="203"/>
      <c r="G8663" s="24">
        <v>2</v>
      </c>
      <c r="H8663" s="24"/>
      <c r="I8663" s="25"/>
      <c r="J8663" s="25"/>
      <c r="K8663" s="19"/>
      <c r="L8663" s="20"/>
    </row>
    <row r="8664" spans="1:12" outlineLevel="1">
      <c r="A8664" s="21"/>
      <c r="B8664" s="12" t="str">
        <f>IFERROR(VLOOKUP(D8664,'[1]Перечень товаров'!$A$2:$I9525,2,0),"")</f>
        <v/>
      </c>
      <c r="C8664" s="12" t="str">
        <f>IFERROR(VLOOKUP(D8664,'[1]Перечень товаров'!$A$2:$I9525,3,0),"")</f>
        <v/>
      </c>
      <c r="D8664" s="22" t="s">
        <v>885</v>
      </c>
      <c r="E8664" s="102">
        <v>46114</v>
      </c>
      <c r="F8664" s="102"/>
      <c r="G8664" s="103"/>
      <c r="H8664" s="103"/>
      <c r="I8664" s="104"/>
      <c r="J8664" s="104"/>
      <c r="K8664" s="19"/>
      <c r="L8664" s="20"/>
    </row>
    <row r="8665" spans="1:12" ht="12.75" outlineLevel="1">
      <c r="A8665" s="11"/>
      <c r="B8665" s="12" t="str">
        <f>IFERROR(VLOOKUP(D8665,'[1]Перечень товаров'!$A$2:$I9525,2,0),"")</f>
        <v/>
      </c>
      <c r="C8665" s="12" t="str">
        <f>IFERROR(VLOOKUP(D8665,'[1]Перечень товаров'!$A$2:$I9525,3,0),"")</f>
        <v/>
      </c>
      <c r="D8665" s="27" t="s">
        <v>879</v>
      </c>
      <c r="E8665" s="99">
        <v>46085</v>
      </c>
      <c r="F8665" s="99"/>
      <c r="G8665" s="100"/>
      <c r="H8665" s="100"/>
      <c r="I8665" s="101"/>
      <c r="J8665" s="101"/>
      <c r="K8665" s="19"/>
      <c r="L8665" s="20"/>
    </row>
    <row r="8666" spans="1:12" outlineLevel="2">
      <c r="A8666" s="43"/>
      <c r="B8666" s="12" t="str">
        <f>IFERROR(VLOOKUP(D8666,'[1]Перечень товаров'!$A$2:$I9525,2,0),"")</f>
        <v>м222</v>
      </c>
      <c r="C8666" s="12" t="str">
        <f>IFERROR(VLOOKUP(D8666,'[1]Перечень товаров'!$A$2:$I9525,3,0),"")</f>
        <v>Мебель</v>
      </c>
      <c r="D8666" s="44" t="s">
        <v>880</v>
      </c>
      <c r="E8666" s="102"/>
      <c r="F8666" s="102"/>
      <c r="G8666" s="24">
        <v>1</v>
      </c>
      <c r="H8666" s="24"/>
      <c r="I8666" s="25"/>
      <c r="J8666" s="25"/>
      <c r="K8666" s="19"/>
      <c r="L8666" s="20"/>
    </row>
    <row r="8667" spans="1:12" outlineLevel="2">
      <c r="A8667" s="43"/>
      <c r="B8667" s="12" t="str">
        <f>IFERROR(VLOOKUP(D8667,'[1]Перечень товаров'!$A$2:$I9525,2,0),"")</f>
        <v>м223</v>
      </c>
      <c r="C8667" s="12" t="str">
        <f>IFERROR(VLOOKUP(D8667,'[1]Перечень товаров'!$A$2:$I9525,3,0),"")</f>
        <v>Мебель</v>
      </c>
      <c r="D8667" s="44" t="s">
        <v>881</v>
      </c>
      <c r="E8667" s="102"/>
      <c r="F8667" s="102"/>
      <c r="G8667" s="24">
        <v>1</v>
      </c>
      <c r="H8667" s="24"/>
      <c r="I8667" s="25"/>
      <c r="J8667" s="25"/>
      <c r="K8667" s="19"/>
      <c r="L8667" s="20"/>
    </row>
    <row r="8668" spans="1:12" outlineLevel="2">
      <c r="A8668" s="43"/>
      <c r="B8668" s="12" t="str">
        <f>IFERROR(VLOOKUP(D8668,'[1]Перечень товаров'!$A$2:$I9525,2,0),"")</f>
        <v>м224</v>
      </c>
      <c r="C8668" s="12" t="str">
        <f>IFERROR(VLOOKUP(D8668,'[1]Перечень товаров'!$A$2:$I9525,3,0),"")</f>
        <v>Мебель</v>
      </c>
      <c r="D8668" s="44" t="s">
        <v>882</v>
      </c>
      <c r="E8668" s="102"/>
      <c r="F8668" s="102"/>
      <c r="G8668" s="24">
        <v>1</v>
      </c>
      <c r="H8668" s="24"/>
      <c r="I8668" s="25"/>
      <c r="J8668" s="25"/>
      <c r="K8668" s="19"/>
      <c r="L8668" s="20"/>
    </row>
    <row r="8669" spans="1:12" outlineLevel="2">
      <c r="A8669" s="43"/>
      <c r="B8669" s="12" t="str">
        <f>IFERROR(VLOOKUP(D8669,'[1]Перечень товаров'!$A$2:$I9525,2,0),"")</f>
        <v>м225</v>
      </c>
      <c r="C8669" s="12" t="str">
        <f>IFERROR(VLOOKUP(D8669,'[1]Перечень товаров'!$A$2:$I9525,3,0),"")</f>
        <v>Мебель</v>
      </c>
      <c r="D8669" s="44" t="s">
        <v>883</v>
      </c>
      <c r="E8669" s="102"/>
      <c r="F8669" s="102"/>
      <c r="G8669" s="24">
        <v>1</v>
      </c>
      <c r="H8669" s="24"/>
      <c r="I8669" s="25"/>
      <c r="J8669" s="25"/>
      <c r="K8669" s="19"/>
      <c r="L8669" s="20"/>
    </row>
    <row r="8670" spans="1:12" outlineLevel="2">
      <c r="A8670" s="43"/>
      <c r="B8670" s="12" t="str">
        <f>IFERROR(VLOOKUP(D8670,'[1]Перечень товаров'!$A$2:$I9525,2,0),"")</f>
        <v>п28</v>
      </c>
      <c r="C8670" s="12" t="str">
        <f>IFERROR(VLOOKUP(D8670,'[1]Перечень товаров'!$A$2:$I9525,3,0),"")</f>
        <v>Прочее</v>
      </c>
      <c r="D8670" s="44" t="s">
        <v>363</v>
      </c>
      <c r="E8670" s="102"/>
      <c r="F8670" s="102"/>
      <c r="G8670" s="24">
        <v>1</v>
      </c>
      <c r="H8670" s="24"/>
      <c r="I8670" s="25"/>
      <c r="J8670" s="25"/>
      <c r="K8670" s="19"/>
      <c r="L8670" s="20"/>
    </row>
    <row r="8671" spans="1:12" outlineLevel="2">
      <c r="A8671" s="43"/>
      <c r="B8671" s="12" t="str">
        <f>IFERROR(VLOOKUP(D8671,'[1]Перечень товаров'!$A$2:$I9525,2,0),"")</f>
        <v>м226</v>
      </c>
      <c r="C8671" s="12" t="str">
        <f>IFERROR(VLOOKUP(D8671,'[1]Перечень товаров'!$A$2:$I9525,3,0),"")</f>
        <v>Мебель</v>
      </c>
      <c r="D8671" s="44" t="s">
        <v>884</v>
      </c>
      <c r="E8671" s="102"/>
      <c r="F8671" s="102"/>
      <c r="G8671" s="24">
        <v>1</v>
      </c>
      <c r="H8671" s="24"/>
      <c r="I8671" s="25"/>
      <c r="J8671" s="25"/>
      <c r="K8671" s="19"/>
      <c r="L8671" s="20"/>
    </row>
    <row r="8672" spans="1:12" ht="12.75" outlineLevel="1">
      <c r="A8672" s="11"/>
      <c r="B8672" s="12" t="str">
        <f>IFERROR(VLOOKUP(D8672,'[1]Перечень товаров'!$A$2:$I9525,2,0),"")</f>
        <v/>
      </c>
      <c r="C8672" s="12" t="str">
        <f>IFERROR(VLOOKUP(D8672,'[1]Перечень товаров'!$A$2:$I9525,3,0),"")</f>
        <v/>
      </c>
      <c r="D8672" s="27" t="s">
        <v>521</v>
      </c>
      <c r="E8672" s="14" t="s">
        <v>2112</v>
      </c>
      <c r="F8672" s="14"/>
      <c r="G8672" s="17"/>
      <c r="H8672" s="17"/>
      <c r="I8672" s="57"/>
      <c r="J8672" s="57"/>
      <c r="K8672" s="19"/>
      <c r="L8672" s="20"/>
    </row>
    <row r="8673" spans="1:12" outlineLevel="2">
      <c r="A8673" s="22"/>
      <c r="B8673" s="12" t="str">
        <f>IFERROR(VLOOKUP(D8673,'[1]Перечень товаров'!$A$2:$I9525,2,0),"")</f>
        <v>п25</v>
      </c>
      <c r="C8673" s="12" t="str">
        <f>IFERROR(VLOOKUP(D8673,'[1]Перечень товаров'!$A$2:$I9525,3,0),"")</f>
        <v>Прочее</v>
      </c>
      <c r="D8673" s="22" t="s">
        <v>360</v>
      </c>
      <c r="E8673" s="102"/>
      <c r="F8673" s="102"/>
      <c r="G8673" s="48">
        <v>3</v>
      </c>
      <c r="H8673" s="48"/>
      <c r="I8673" s="49"/>
      <c r="J8673" s="49"/>
      <c r="K8673" s="33"/>
      <c r="L8673" s="20"/>
    </row>
    <row r="8674" spans="1:12" outlineLevel="2">
      <c r="A8674" s="21"/>
      <c r="B8674" s="12" t="str">
        <f>IFERROR(VLOOKUP(D8674,'[1]Перечень товаров'!$A$2:$I9525,2,0),"")</f>
        <v>п26</v>
      </c>
      <c r="C8674" s="12" t="str">
        <f>IFERROR(VLOOKUP(D8674,'[1]Перечень товаров'!$A$2:$I9525,3,0),"")</f>
        <v>Прочее</v>
      </c>
      <c r="D8674" s="22" t="s">
        <v>361</v>
      </c>
      <c r="E8674" s="102"/>
      <c r="F8674" s="102"/>
      <c r="G8674" s="48">
        <v>2</v>
      </c>
      <c r="H8674" s="48"/>
      <c r="I8674" s="49"/>
      <c r="J8674" s="49"/>
      <c r="K8674" s="33"/>
      <c r="L8674" s="20"/>
    </row>
    <row r="8675" spans="1:12" outlineLevel="2">
      <c r="A8675" s="21"/>
      <c r="B8675" s="12" t="str">
        <f>IFERROR(VLOOKUP(D8675,'[1]Перечень товаров'!$A$2:$I9525,2,0),"")</f>
        <v>п27</v>
      </c>
      <c r="C8675" s="12" t="str">
        <f>IFERROR(VLOOKUP(D8675,'[1]Перечень товаров'!$A$2:$I9525,3,0),"")</f>
        <v>Прочее</v>
      </c>
      <c r="D8675" s="22" t="s">
        <v>362</v>
      </c>
      <c r="E8675" s="102"/>
      <c r="F8675" s="102"/>
      <c r="G8675" s="48">
        <v>2</v>
      </c>
      <c r="H8675" s="48"/>
      <c r="I8675" s="49"/>
      <c r="J8675" s="49"/>
      <c r="K8675" s="33"/>
      <c r="L8675" s="20"/>
    </row>
    <row r="8676" spans="1:12" outlineLevel="2">
      <c r="A8676" s="21"/>
      <c r="B8676" s="12" t="str">
        <f>IFERROR(VLOOKUP(D8676,'[1]Перечень товаров'!$A$2:$I9525,2,0),"")</f>
        <v>п28</v>
      </c>
      <c r="C8676" s="12" t="str">
        <f>IFERROR(VLOOKUP(D8676,'[1]Перечень товаров'!$A$2:$I9525,3,0),"")</f>
        <v>Прочее</v>
      </c>
      <c r="D8676" s="22" t="s">
        <v>363</v>
      </c>
      <c r="E8676" s="102"/>
      <c r="F8676" s="102"/>
      <c r="G8676" s="48">
        <v>1</v>
      </c>
      <c r="H8676" s="48"/>
      <c r="I8676" s="49"/>
      <c r="J8676" s="49"/>
      <c r="K8676" s="33"/>
      <c r="L8676" s="20"/>
    </row>
    <row r="8677" spans="1:12" outlineLevel="2">
      <c r="A8677" s="21"/>
      <c r="B8677" s="12" t="str">
        <f>IFERROR(VLOOKUP(D8677,'[1]Перечень товаров'!$A$2:$I9525,2,0),"")</f>
        <v>п29</v>
      </c>
      <c r="C8677" s="12" t="str">
        <f>IFERROR(VLOOKUP(D8677,'[1]Перечень товаров'!$A$2:$I9525,3,0),"")</f>
        <v>Прочее</v>
      </c>
      <c r="D8677" s="22" t="s">
        <v>364</v>
      </c>
      <c r="E8677" s="102"/>
      <c r="F8677" s="102"/>
      <c r="G8677" s="48">
        <v>6</v>
      </c>
      <c r="H8677" s="48"/>
      <c r="I8677" s="49"/>
      <c r="J8677" s="49"/>
      <c r="K8677" s="33"/>
      <c r="L8677" s="20"/>
    </row>
    <row r="8678" spans="1:12" outlineLevel="2">
      <c r="A8678" s="21"/>
      <c r="B8678" s="12" t="str">
        <f>IFERROR(VLOOKUP(D8678,'[1]Перечень товаров'!$A$2:$I9525,2,0),"")</f>
        <v>п30</v>
      </c>
      <c r="C8678" s="12" t="str">
        <f>IFERROR(VLOOKUP(D8678,'[1]Перечень товаров'!$A$2:$I9525,3,0),"")</f>
        <v>Прочее</v>
      </c>
      <c r="D8678" s="22" t="s">
        <v>365</v>
      </c>
      <c r="E8678" s="102"/>
      <c r="F8678" s="102"/>
      <c r="G8678" s="48">
        <v>2</v>
      </c>
      <c r="H8678" s="48"/>
      <c r="I8678" s="49"/>
      <c r="J8678" s="49"/>
      <c r="K8678" s="33"/>
      <c r="L8678" s="20"/>
    </row>
    <row r="8679" spans="1:12" ht="31.5" outlineLevel="2">
      <c r="A8679" s="21"/>
      <c r="B8679" s="12" t="str">
        <f>IFERROR(VLOOKUP(D8679,'[1]Перечень товаров'!$A$2:$I9525,2,0),"")</f>
        <v>п31</v>
      </c>
      <c r="C8679" s="12" t="str">
        <f>IFERROR(VLOOKUP(D8679,'[1]Перечень товаров'!$A$2:$I9525,3,0),"")</f>
        <v>Прочее</v>
      </c>
      <c r="D8679" s="22" t="s">
        <v>366</v>
      </c>
      <c r="E8679" s="102"/>
      <c r="F8679" s="102"/>
      <c r="G8679" s="48">
        <v>1</v>
      </c>
      <c r="H8679" s="48"/>
      <c r="I8679" s="49"/>
      <c r="J8679" s="49"/>
      <c r="K8679" s="33"/>
      <c r="L8679" s="20"/>
    </row>
    <row r="8680" spans="1:12" ht="31.5" outlineLevel="2">
      <c r="A8680" s="21"/>
      <c r="B8680" s="12" t="str">
        <f>IFERROR(VLOOKUP(D8680,'[1]Перечень товаров'!$A$2:$I9525,2,0),"")</f>
        <v>п32</v>
      </c>
      <c r="C8680" s="12" t="str">
        <f>IFERROR(VLOOKUP(D8680,'[1]Перечень товаров'!$A$2:$I9525,3,0),"")</f>
        <v>Прочее</v>
      </c>
      <c r="D8680" s="22" t="s">
        <v>367</v>
      </c>
      <c r="E8680" s="102"/>
      <c r="F8680" s="102"/>
      <c r="G8680" s="48">
        <v>2</v>
      </c>
      <c r="H8680" s="48"/>
      <c r="I8680" s="49"/>
      <c r="J8680" s="49"/>
      <c r="K8680" s="33"/>
      <c r="L8680" s="20"/>
    </row>
    <row r="8681" spans="1:12" ht="12.75" outlineLevel="1">
      <c r="A8681" s="11"/>
      <c r="B8681" s="12" t="str">
        <f>IFERROR(VLOOKUP(D8681,'[1]Перечень товаров'!$A$2:$I9525,2,0),"")</f>
        <v/>
      </c>
      <c r="C8681" s="12" t="str">
        <f>IFERROR(VLOOKUP(D8681,'[1]Перечень товаров'!$A$2:$I9525,3,0),"")</f>
        <v/>
      </c>
      <c r="D8681" s="27" t="s">
        <v>871</v>
      </c>
      <c r="E8681" s="99">
        <v>46039</v>
      </c>
      <c r="F8681" s="99"/>
      <c r="G8681" s="100"/>
      <c r="H8681" s="100"/>
      <c r="I8681" s="101"/>
      <c r="J8681" s="101"/>
      <c r="K8681" s="19"/>
      <c r="L8681" s="20"/>
    </row>
    <row r="8682" spans="1:12" outlineLevel="2">
      <c r="A8682" s="22"/>
      <c r="B8682" s="12" t="str">
        <f>IFERROR(VLOOKUP(D8682,'[1]Перечень товаров'!$A$2:$I9525,2,0),"")</f>
        <v>м14</v>
      </c>
      <c r="C8682" s="12" t="str">
        <f>IFERROR(VLOOKUP(D8682,'[1]Перечень товаров'!$A$2:$I9525,3,0),"")</f>
        <v>Мебель</v>
      </c>
      <c r="D8682" s="22" t="s">
        <v>43</v>
      </c>
      <c r="E8682" s="203"/>
      <c r="F8682" s="203"/>
      <c r="G8682" s="24">
        <v>1</v>
      </c>
      <c r="H8682" s="24"/>
      <c r="I8682" s="25"/>
      <c r="J8682" s="25"/>
      <c r="K8682" s="19"/>
      <c r="L8682" s="20"/>
    </row>
    <row r="8683" spans="1:12" outlineLevel="2">
      <c r="A8683" s="21"/>
      <c r="B8683" s="12" t="str">
        <f>IFERROR(VLOOKUP(D8683,'[1]Перечень товаров'!$A$2:$I9525,2,0),"")</f>
        <v>м167</v>
      </c>
      <c r="C8683" s="12" t="str">
        <f>IFERROR(VLOOKUP(D8683,'[1]Перечень товаров'!$A$2:$I9525,3,0),"")</f>
        <v>Мебель</v>
      </c>
      <c r="D8683" s="22" t="s">
        <v>508</v>
      </c>
      <c r="E8683" s="203"/>
      <c r="F8683" s="203"/>
      <c r="G8683" s="24">
        <v>1</v>
      </c>
      <c r="H8683" s="24"/>
      <c r="I8683" s="25"/>
      <c r="J8683" s="25"/>
      <c r="K8683" s="19"/>
      <c r="L8683" s="20"/>
    </row>
    <row r="8684" spans="1:12" outlineLevel="2">
      <c r="A8684" s="21"/>
      <c r="B8684" s="12" t="str">
        <f>IFERROR(VLOOKUP(D8684,'[1]Перечень товаров'!$A$2:$I9525,2,0),"")</f>
        <v>м218</v>
      </c>
      <c r="C8684" s="12" t="str">
        <f>IFERROR(VLOOKUP(D8684,'[1]Перечень товаров'!$A$2:$I9525,3,0),"")</f>
        <v>Мебель</v>
      </c>
      <c r="D8684" s="22" t="s">
        <v>872</v>
      </c>
      <c r="E8684" s="203"/>
      <c r="F8684" s="203"/>
      <c r="G8684" s="24">
        <v>2</v>
      </c>
      <c r="H8684" s="24"/>
      <c r="I8684" s="25"/>
      <c r="J8684" s="25"/>
      <c r="K8684" s="19"/>
      <c r="L8684" s="20"/>
    </row>
    <row r="8685" spans="1:12" outlineLevel="2">
      <c r="A8685" s="21"/>
      <c r="B8685" s="12" t="str">
        <f>IFERROR(VLOOKUP(D8685,'[1]Перечень товаров'!$A$2:$I9525,2,0),"")</f>
        <v>м219</v>
      </c>
      <c r="C8685" s="12" t="str">
        <f>IFERROR(VLOOKUP(D8685,'[1]Перечень товаров'!$A$2:$I9525,3,0),"")</f>
        <v>Мебель</v>
      </c>
      <c r="D8685" s="22" t="s">
        <v>873</v>
      </c>
      <c r="E8685" s="203"/>
      <c r="F8685" s="203"/>
      <c r="G8685" s="24">
        <v>4</v>
      </c>
      <c r="H8685" s="24"/>
      <c r="I8685" s="25"/>
      <c r="J8685" s="25"/>
      <c r="K8685" s="19"/>
      <c r="L8685" s="20"/>
    </row>
    <row r="8686" spans="1:12" outlineLevel="2">
      <c r="A8686" s="21"/>
      <c r="B8686" s="12" t="str">
        <f>IFERROR(VLOOKUP(D8686,'[1]Перечень товаров'!$A$2:$I9525,2,0),"")</f>
        <v>м220</v>
      </c>
      <c r="C8686" s="12" t="str">
        <f>IFERROR(VLOOKUP(D8686,'[1]Перечень товаров'!$A$2:$I9525,3,0),"")</f>
        <v>Мебель</v>
      </c>
      <c r="D8686" s="22" t="s">
        <v>874</v>
      </c>
      <c r="E8686" s="203"/>
      <c r="F8686" s="203"/>
      <c r="G8686" s="24">
        <v>1</v>
      </c>
      <c r="H8686" s="24"/>
      <c r="I8686" s="25"/>
      <c r="J8686" s="25"/>
      <c r="K8686" s="19"/>
      <c r="L8686" s="20"/>
    </row>
    <row r="8687" spans="1:12" outlineLevel="2">
      <c r="A8687" s="21"/>
      <c r="B8687" s="12" t="str">
        <f>IFERROR(VLOOKUP(D8687,'[1]Перечень товаров'!$A$2:$I9525,2,0),"")</f>
        <v>тм77</v>
      </c>
      <c r="C8687" s="12" t="str">
        <f>IFERROR(VLOOKUP(D8687,'[1]Перечень товаров'!$A$2:$I9525,3,0),"")</f>
        <v>Техника муз</v>
      </c>
      <c r="D8687" s="22" t="s">
        <v>875</v>
      </c>
      <c r="E8687" s="203"/>
      <c r="F8687" s="203"/>
      <c r="G8687" s="24">
        <v>1</v>
      </c>
      <c r="H8687" s="24"/>
      <c r="I8687" s="25"/>
      <c r="J8687" s="25"/>
      <c r="K8687" s="19"/>
      <c r="L8687" s="20"/>
    </row>
    <row r="8688" spans="1:12" outlineLevel="2">
      <c r="A8688" s="21"/>
      <c r="B8688" s="12" t="str">
        <f>IFERROR(VLOOKUP(D8688,'[1]Перечень товаров'!$A$2:$I9525,2,0),"")</f>
        <v>м137</v>
      </c>
      <c r="C8688" s="12" t="str">
        <f>IFERROR(VLOOKUP(D8688,'[1]Перечень товаров'!$A$2:$I9525,3,0),"")</f>
        <v>мебель</v>
      </c>
      <c r="D8688" s="22" t="s">
        <v>876</v>
      </c>
      <c r="E8688" s="203"/>
      <c r="F8688" s="203"/>
      <c r="G8688" s="24">
        <v>1</v>
      </c>
      <c r="H8688" s="24"/>
      <c r="I8688" s="25"/>
      <c r="J8688" s="25"/>
      <c r="K8688" s="19"/>
      <c r="L8688" s="20"/>
    </row>
    <row r="8689" spans="1:12" outlineLevel="2">
      <c r="A8689" s="21"/>
      <c r="B8689" s="12" t="str">
        <f>IFERROR(VLOOKUP(D8689,'[1]Перечень товаров'!$A$2:$I9525,2,0),"")</f>
        <v>м187</v>
      </c>
      <c r="C8689" s="12" t="str">
        <f>IFERROR(VLOOKUP(D8689,'[1]Перечень товаров'!$A$2:$I9525,3,0),"")</f>
        <v>мебель</v>
      </c>
      <c r="D8689" s="22" t="s">
        <v>877</v>
      </c>
      <c r="E8689" s="203"/>
      <c r="F8689" s="203"/>
      <c r="G8689" s="24">
        <v>1</v>
      </c>
      <c r="H8689" s="24"/>
      <c r="I8689" s="25"/>
      <c r="J8689" s="25"/>
      <c r="K8689" s="19"/>
      <c r="L8689" s="20"/>
    </row>
    <row r="8690" spans="1:12" outlineLevel="2">
      <c r="A8690" s="21"/>
      <c r="B8690" s="12" t="str">
        <f>IFERROR(VLOOKUP(D8690,'[1]Перечень товаров'!$A$2:$I9525,2,0),"")</f>
        <v>м30</v>
      </c>
      <c r="C8690" s="12" t="str">
        <f>IFERROR(VLOOKUP(D8690,'[1]Перечень товаров'!$A$2:$I9525,3,0),"")</f>
        <v>Мебель</v>
      </c>
      <c r="D8690" s="22" t="s">
        <v>181</v>
      </c>
      <c r="E8690" s="203"/>
      <c r="F8690" s="203"/>
      <c r="G8690" s="24">
        <v>2</v>
      </c>
      <c r="H8690" s="24"/>
      <c r="I8690" s="25"/>
      <c r="J8690" s="25"/>
      <c r="K8690" s="19"/>
      <c r="L8690" s="20"/>
    </row>
    <row r="8691" spans="1:12" outlineLevel="2">
      <c r="A8691" s="21"/>
      <c r="B8691" s="12" t="str">
        <f>IFERROR(VLOOKUP(D8691,'[1]Перечень товаров'!$A$2:$I9525,2,0),"")</f>
        <v>м221</v>
      </c>
      <c r="C8691" s="12" t="str">
        <f>IFERROR(VLOOKUP(D8691,'[1]Перечень товаров'!$A$2:$I9525,3,0),"")</f>
        <v>Мебель</v>
      </c>
      <c r="D8691" s="22" t="s">
        <v>878</v>
      </c>
      <c r="E8691" s="203"/>
      <c r="F8691" s="203"/>
      <c r="G8691" s="24">
        <v>2</v>
      </c>
      <c r="H8691" s="24"/>
      <c r="I8691" s="25"/>
      <c r="J8691" s="25"/>
      <c r="K8691" s="19"/>
      <c r="L8691" s="20"/>
    </row>
    <row r="8692" spans="1:12" ht="12.75" outlineLevel="1">
      <c r="A8692" s="11"/>
      <c r="B8692" s="12" t="str">
        <f>IFERROR(VLOOKUP(D8692,'[1]Перечень товаров'!$A$2:$I9525,2,0),"")</f>
        <v/>
      </c>
      <c r="C8692" s="12" t="str">
        <f>IFERROR(VLOOKUP(D8692,'[1]Перечень товаров'!$A$2:$I9525,3,0),"")</f>
        <v/>
      </c>
      <c r="D8692" s="27" t="s">
        <v>926</v>
      </c>
      <c r="E8692" s="99">
        <v>46095</v>
      </c>
      <c r="F8692" s="99"/>
      <c r="G8692" s="100"/>
      <c r="H8692" s="100"/>
      <c r="I8692" s="101"/>
      <c r="J8692" s="101"/>
      <c r="K8692" s="19"/>
      <c r="L8692" s="20"/>
    </row>
    <row r="8693" spans="1:12" outlineLevel="2">
      <c r="A8693" s="22"/>
      <c r="B8693" s="12" t="str">
        <f>IFERROR(VLOOKUP(D8693,'[1]Перечень товаров'!$A$2:$I9525,2,0),"")</f>
        <v>м14</v>
      </c>
      <c r="C8693" s="12" t="str">
        <f>IFERROR(VLOOKUP(D8693,'[1]Перечень товаров'!$A$2:$I9525,3,0),"")</f>
        <v>Мебель</v>
      </c>
      <c r="D8693" s="22" t="s">
        <v>43</v>
      </c>
      <c r="E8693" s="203"/>
      <c r="F8693" s="203"/>
      <c r="G8693" s="24">
        <v>1</v>
      </c>
      <c r="H8693" s="24"/>
      <c r="I8693" s="25"/>
      <c r="J8693" s="25"/>
      <c r="K8693" s="19"/>
      <c r="L8693" s="20"/>
    </row>
    <row r="8694" spans="1:12" outlineLevel="2">
      <c r="A8694" s="21"/>
      <c r="B8694" s="12" t="str">
        <f>IFERROR(VLOOKUP(D8694,'[1]Перечень товаров'!$A$2:$I9525,2,0),"")</f>
        <v>м167</v>
      </c>
      <c r="C8694" s="12" t="str">
        <f>IFERROR(VLOOKUP(D8694,'[1]Перечень товаров'!$A$2:$I9525,3,0),"")</f>
        <v>Мебель</v>
      </c>
      <c r="D8694" s="22" t="s">
        <v>508</v>
      </c>
      <c r="E8694" s="203"/>
      <c r="F8694" s="203"/>
      <c r="G8694" s="24">
        <v>1</v>
      </c>
      <c r="H8694" s="24"/>
      <c r="I8694" s="25"/>
      <c r="J8694" s="25"/>
      <c r="K8694" s="19"/>
      <c r="L8694" s="20"/>
    </row>
    <row r="8695" spans="1:12" outlineLevel="2">
      <c r="A8695" s="21"/>
      <c r="B8695" s="12" t="str">
        <f>IFERROR(VLOOKUP(D8695,'[1]Перечень товаров'!$A$2:$I9525,2,0),"")</f>
        <v>м218</v>
      </c>
      <c r="C8695" s="12" t="str">
        <f>IFERROR(VLOOKUP(D8695,'[1]Перечень товаров'!$A$2:$I9525,3,0),"")</f>
        <v>Мебель</v>
      </c>
      <c r="D8695" s="22" t="s">
        <v>872</v>
      </c>
      <c r="E8695" s="203"/>
      <c r="F8695" s="203"/>
      <c r="G8695" s="24">
        <v>2</v>
      </c>
      <c r="H8695" s="24"/>
      <c r="I8695" s="25"/>
      <c r="J8695" s="25"/>
      <c r="K8695" s="19"/>
      <c r="L8695" s="20"/>
    </row>
    <row r="8696" spans="1:12" outlineLevel="2">
      <c r="A8696" s="21"/>
      <c r="B8696" s="12" t="str">
        <f>IFERROR(VLOOKUP(D8696,'[1]Перечень товаров'!$A$2:$I9525,2,0),"")</f>
        <v>м219</v>
      </c>
      <c r="C8696" s="12" t="str">
        <f>IFERROR(VLOOKUP(D8696,'[1]Перечень товаров'!$A$2:$I9525,3,0),"")</f>
        <v>Мебель</v>
      </c>
      <c r="D8696" s="22" t="s">
        <v>873</v>
      </c>
      <c r="E8696" s="203"/>
      <c r="F8696" s="203"/>
      <c r="G8696" s="24">
        <v>4</v>
      </c>
      <c r="H8696" s="24"/>
      <c r="I8696" s="25"/>
      <c r="J8696" s="25"/>
      <c r="K8696" s="19"/>
      <c r="L8696" s="20"/>
    </row>
    <row r="8697" spans="1:12" outlineLevel="2">
      <c r="A8697" s="21"/>
      <c r="B8697" s="12" t="str">
        <f>IFERROR(VLOOKUP(D8697,'[1]Перечень товаров'!$A$2:$I9525,2,0),"")</f>
        <v>м220</v>
      </c>
      <c r="C8697" s="12" t="str">
        <f>IFERROR(VLOOKUP(D8697,'[1]Перечень товаров'!$A$2:$I9525,3,0),"")</f>
        <v>Мебель</v>
      </c>
      <c r="D8697" s="22" t="s">
        <v>874</v>
      </c>
      <c r="E8697" s="203"/>
      <c r="F8697" s="203"/>
      <c r="G8697" s="24">
        <v>1</v>
      </c>
      <c r="H8697" s="24"/>
      <c r="I8697" s="25"/>
      <c r="J8697" s="25"/>
      <c r="K8697" s="19"/>
      <c r="L8697" s="20"/>
    </row>
    <row r="8698" spans="1:12" outlineLevel="2">
      <c r="A8698" s="21"/>
      <c r="B8698" s="12" t="str">
        <f>IFERROR(VLOOKUP(D8698,'[1]Перечень товаров'!$A$2:$I9525,2,0),"")</f>
        <v>м187</v>
      </c>
      <c r="C8698" s="12" t="str">
        <f>IFERROR(VLOOKUP(D8698,'[1]Перечень товаров'!$A$2:$I9525,3,0),"")</f>
        <v>мебель</v>
      </c>
      <c r="D8698" s="22" t="s">
        <v>877</v>
      </c>
      <c r="E8698" s="203"/>
      <c r="F8698" s="203"/>
      <c r="G8698" s="24">
        <v>1</v>
      </c>
      <c r="H8698" s="24"/>
      <c r="I8698" s="25"/>
      <c r="J8698" s="25"/>
      <c r="K8698" s="19"/>
      <c r="L8698" s="20"/>
    </row>
    <row r="8699" spans="1:12" outlineLevel="2">
      <c r="A8699" s="21"/>
      <c r="B8699" s="12" t="str">
        <f>IFERROR(VLOOKUP(D8699,'[1]Перечень товаров'!$A$2:$I9525,2,0),"")</f>
        <v>м30</v>
      </c>
      <c r="C8699" s="12" t="str">
        <f>IFERROR(VLOOKUP(D8699,'[1]Перечень товаров'!$A$2:$I9525,3,0),"")</f>
        <v>Мебель</v>
      </c>
      <c r="D8699" s="22" t="s">
        <v>181</v>
      </c>
      <c r="E8699" s="203"/>
      <c r="F8699" s="203"/>
      <c r="G8699" s="24">
        <v>2</v>
      </c>
      <c r="H8699" s="24"/>
      <c r="I8699" s="25"/>
      <c r="J8699" s="25"/>
      <c r="K8699" s="19"/>
      <c r="L8699" s="20"/>
    </row>
    <row r="8700" spans="1:12" outlineLevel="2">
      <c r="A8700" s="21"/>
      <c r="B8700" s="12" t="str">
        <f>IFERROR(VLOOKUP(D8700,'[1]Перечень товаров'!$A$2:$I9525,2,0),"")</f>
        <v>м221</v>
      </c>
      <c r="C8700" s="12" t="str">
        <f>IFERROR(VLOOKUP(D8700,'[1]Перечень товаров'!$A$2:$I9525,3,0),"")</f>
        <v>Мебель</v>
      </c>
      <c r="D8700" s="22" t="s">
        <v>878</v>
      </c>
      <c r="E8700" s="203"/>
      <c r="F8700" s="203"/>
      <c r="G8700" s="24">
        <v>2</v>
      </c>
      <c r="H8700" s="24"/>
      <c r="I8700" s="25"/>
      <c r="J8700" s="25"/>
      <c r="K8700" s="19"/>
      <c r="L8700" s="20"/>
    </row>
    <row r="8701" spans="1:12" outlineLevel="1">
      <c r="A8701" s="21"/>
      <c r="B8701" s="12" t="str">
        <f>IFERROR(VLOOKUP(D8701,'[1]Перечень товаров'!$A$2:$I9525,2,0),"")</f>
        <v/>
      </c>
      <c r="C8701" s="12" t="str">
        <f>IFERROR(VLOOKUP(D8701,'[1]Перечень товаров'!$A$2:$I9525,3,0),"")</f>
        <v/>
      </c>
      <c r="D8701" s="22" t="s">
        <v>885</v>
      </c>
      <c r="E8701" s="102">
        <v>46114</v>
      </c>
      <c r="F8701" s="102"/>
      <c r="G8701" s="103"/>
      <c r="H8701" s="103"/>
      <c r="I8701" s="104"/>
      <c r="J8701" s="104"/>
      <c r="K8701" s="19"/>
      <c r="L8701" s="20"/>
    </row>
    <row r="8702" spans="1:12" ht="12.75" outlineLevel="1">
      <c r="A8702" s="11"/>
      <c r="B8702" s="12" t="str">
        <f>IFERROR(VLOOKUP(D8702,'[1]Перечень товаров'!$A$2:$I9525,2,0),"")</f>
        <v/>
      </c>
      <c r="C8702" s="12" t="str">
        <f>IFERROR(VLOOKUP(D8702,'[1]Перечень товаров'!$A$2:$I9525,3,0),"")</f>
        <v/>
      </c>
      <c r="D8702" s="27" t="s">
        <v>879</v>
      </c>
      <c r="E8702" s="99">
        <v>46057</v>
      </c>
      <c r="F8702" s="99"/>
      <c r="G8702" s="100"/>
      <c r="H8702" s="100"/>
      <c r="I8702" s="101"/>
      <c r="J8702" s="101"/>
      <c r="K8702" s="19"/>
      <c r="L8702" s="20"/>
    </row>
    <row r="8703" spans="1:12" outlineLevel="2">
      <c r="A8703" s="43"/>
      <c r="B8703" s="12" t="str">
        <f>IFERROR(VLOOKUP(D8703,'[1]Перечень товаров'!$A$2:$I9525,2,0),"")</f>
        <v>м222</v>
      </c>
      <c r="C8703" s="12" t="str">
        <f>IFERROR(VLOOKUP(D8703,'[1]Перечень товаров'!$A$2:$I9525,3,0),"")</f>
        <v>Мебель</v>
      </c>
      <c r="D8703" s="44" t="s">
        <v>880</v>
      </c>
      <c r="E8703" s="102"/>
      <c r="F8703" s="102"/>
      <c r="G8703" s="24">
        <v>1</v>
      </c>
      <c r="H8703" s="24"/>
      <c r="I8703" s="25"/>
      <c r="J8703" s="25"/>
      <c r="K8703" s="19"/>
      <c r="L8703" s="20"/>
    </row>
    <row r="8704" spans="1:12" outlineLevel="2">
      <c r="A8704" s="43"/>
      <c r="B8704" s="12" t="str">
        <f>IFERROR(VLOOKUP(D8704,'[1]Перечень товаров'!$A$2:$I9525,2,0),"")</f>
        <v>м223</v>
      </c>
      <c r="C8704" s="12" t="str">
        <f>IFERROR(VLOOKUP(D8704,'[1]Перечень товаров'!$A$2:$I9525,3,0),"")</f>
        <v>Мебель</v>
      </c>
      <c r="D8704" s="44" t="s">
        <v>881</v>
      </c>
      <c r="E8704" s="102"/>
      <c r="F8704" s="102"/>
      <c r="G8704" s="24">
        <v>1</v>
      </c>
      <c r="H8704" s="24"/>
      <c r="I8704" s="25"/>
      <c r="J8704" s="25"/>
      <c r="K8704" s="19"/>
      <c r="L8704" s="20"/>
    </row>
    <row r="8705" spans="1:12" outlineLevel="2">
      <c r="A8705" s="43"/>
      <c r="B8705" s="12" t="str">
        <f>IFERROR(VLOOKUP(D8705,'[1]Перечень товаров'!$A$2:$I9525,2,0),"")</f>
        <v>м224</v>
      </c>
      <c r="C8705" s="12" t="str">
        <f>IFERROR(VLOOKUP(D8705,'[1]Перечень товаров'!$A$2:$I9525,3,0),"")</f>
        <v>Мебель</v>
      </c>
      <c r="D8705" s="44" t="s">
        <v>882</v>
      </c>
      <c r="E8705" s="102"/>
      <c r="F8705" s="102"/>
      <c r="G8705" s="24">
        <v>1</v>
      </c>
      <c r="H8705" s="24"/>
      <c r="I8705" s="25"/>
      <c r="J8705" s="25"/>
      <c r="K8705" s="19"/>
      <c r="L8705" s="20"/>
    </row>
    <row r="8706" spans="1:12" outlineLevel="2">
      <c r="A8706" s="43"/>
      <c r="B8706" s="12" t="str">
        <f>IFERROR(VLOOKUP(D8706,'[1]Перечень товаров'!$A$2:$I9525,2,0),"")</f>
        <v>м225</v>
      </c>
      <c r="C8706" s="12" t="str">
        <f>IFERROR(VLOOKUP(D8706,'[1]Перечень товаров'!$A$2:$I9525,3,0),"")</f>
        <v>Мебель</v>
      </c>
      <c r="D8706" s="44" t="s">
        <v>883</v>
      </c>
      <c r="E8706" s="102"/>
      <c r="F8706" s="102"/>
      <c r="G8706" s="24">
        <v>1</v>
      </c>
      <c r="H8706" s="24"/>
      <c r="I8706" s="25"/>
      <c r="J8706" s="25"/>
      <c r="K8706" s="19"/>
      <c r="L8706" s="20"/>
    </row>
    <row r="8707" spans="1:12" outlineLevel="2">
      <c r="A8707" s="43"/>
      <c r="B8707" s="12" t="str">
        <f>IFERROR(VLOOKUP(D8707,'[1]Перечень товаров'!$A$2:$I9525,2,0),"")</f>
        <v>п28</v>
      </c>
      <c r="C8707" s="12" t="str">
        <f>IFERROR(VLOOKUP(D8707,'[1]Перечень товаров'!$A$2:$I9525,3,0),"")</f>
        <v>Прочее</v>
      </c>
      <c r="D8707" s="44" t="s">
        <v>363</v>
      </c>
      <c r="E8707" s="102"/>
      <c r="F8707" s="102"/>
      <c r="G8707" s="24">
        <v>1</v>
      </c>
      <c r="H8707" s="24"/>
      <c r="I8707" s="25"/>
      <c r="J8707" s="25"/>
      <c r="K8707" s="19"/>
      <c r="L8707" s="20"/>
    </row>
    <row r="8708" spans="1:12" outlineLevel="2">
      <c r="A8708" s="43"/>
      <c r="B8708" s="12" t="str">
        <f>IFERROR(VLOOKUP(D8708,'[1]Перечень товаров'!$A$2:$I9525,2,0),"")</f>
        <v>м226</v>
      </c>
      <c r="C8708" s="12" t="str">
        <f>IFERROR(VLOOKUP(D8708,'[1]Перечень товаров'!$A$2:$I9525,3,0),"")</f>
        <v>Мебель</v>
      </c>
      <c r="D8708" s="44" t="s">
        <v>884</v>
      </c>
      <c r="E8708" s="102"/>
      <c r="F8708" s="102"/>
      <c r="G8708" s="24">
        <v>1</v>
      </c>
      <c r="H8708" s="24"/>
      <c r="I8708" s="25"/>
      <c r="J8708" s="25"/>
      <c r="K8708" s="19"/>
      <c r="L8708" s="20"/>
    </row>
    <row r="8709" spans="1:12" ht="12.75" outlineLevel="1">
      <c r="A8709" s="11"/>
      <c r="B8709" s="12" t="str">
        <f>IFERROR(VLOOKUP(D8709,'[1]Перечень товаров'!$A$2:$I9525,2,0),"")</f>
        <v/>
      </c>
      <c r="C8709" s="12" t="str">
        <f>IFERROR(VLOOKUP(D8709,'[1]Перечень товаров'!$A$2:$I9525,3,0),"")</f>
        <v/>
      </c>
      <c r="D8709" s="27" t="s">
        <v>521</v>
      </c>
      <c r="E8709" s="99">
        <v>46058</v>
      </c>
      <c r="F8709" s="99"/>
      <c r="G8709" s="100"/>
      <c r="H8709" s="100"/>
      <c r="I8709" s="101"/>
      <c r="J8709" s="101"/>
      <c r="K8709" s="19"/>
      <c r="L8709" s="20"/>
    </row>
    <row r="8710" spans="1:12" outlineLevel="2">
      <c r="A8710" s="22"/>
      <c r="B8710" s="12" t="str">
        <f>IFERROR(VLOOKUP(D8710,'[1]Перечень товаров'!$A$2:$I9525,2,0),"")</f>
        <v>п25</v>
      </c>
      <c r="C8710" s="12" t="str">
        <f>IFERROR(VLOOKUP(D8710,'[1]Перечень товаров'!$A$2:$I9525,3,0),"")</f>
        <v>Прочее</v>
      </c>
      <c r="D8710" s="22" t="s">
        <v>360</v>
      </c>
      <c r="E8710" s="102"/>
      <c r="F8710" s="102"/>
      <c r="G8710" s="48">
        <v>3</v>
      </c>
      <c r="H8710" s="48"/>
      <c r="I8710" s="49"/>
      <c r="J8710" s="49"/>
      <c r="K8710" s="33"/>
      <c r="L8710" s="20"/>
    </row>
    <row r="8711" spans="1:12" outlineLevel="2">
      <c r="A8711" s="21"/>
      <c r="B8711" s="12" t="str">
        <f>IFERROR(VLOOKUP(D8711,'[1]Перечень товаров'!$A$2:$I9525,2,0),"")</f>
        <v>п26</v>
      </c>
      <c r="C8711" s="12" t="str">
        <f>IFERROR(VLOOKUP(D8711,'[1]Перечень товаров'!$A$2:$I9525,3,0),"")</f>
        <v>Прочее</v>
      </c>
      <c r="D8711" s="22" t="s">
        <v>361</v>
      </c>
      <c r="E8711" s="102"/>
      <c r="F8711" s="102"/>
      <c r="G8711" s="48">
        <v>2</v>
      </c>
      <c r="H8711" s="48"/>
      <c r="I8711" s="49"/>
      <c r="J8711" s="49"/>
      <c r="K8711" s="33"/>
      <c r="L8711" s="20"/>
    </row>
    <row r="8712" spans="1:12" outlineLevel="2">
      <c r="A8712" s="21"/>
      <c r="B8712" s="12" t="str">
        <f>IFERROR(VLOOKUP(D8712,'[1]Перечень товаров'!$A$2:$I9525,2,0),"")</f>
        <v>п27</v>
      </c>
      <c r="C8712" s="12" t="str">
        <f>IFERROR(VLOOKUP(D8712,'[1]Перечень товаров'!$A$2:$I9525,3,0),"")</f>
        <v>Прочее</v>
      </c>
      <c r="D8712" s="22" t="s">
        <v>362</v>
      </c>
      <c r="E8712" s="102"/>
      <c r="F8712" s="102"/>
      <c r="G8712" s="48">
        <v>2</v>
      </c>
      <c r="H8712" s="48"/>
      <c r="I8712" s="49"/>
      <c r="J8712" s="49"/>
      <c r="K8712" s="33"/>
      <c r="L8712" s="20"/>
    </row>
    <row r="8713" spans="1:12" outlineLevel="2">
      <c r="A8713" s="21"/>
      <c r="B8713" s="12" t="str">
        <f>IFERROR(VLOOKUP(D8713,'[1]Перечень товаров'!$A$2:$I9525,2,0),"")</f>
        <v>п28</v>
      </c>
      <c r="C8713" s="12" t="str">
        <f>IFERROR(VLOOKUP(D8713,'[1]Перечень товаров'!$A$2:$I9525,3,0),"")</f>
        <v>Прочее</v>
      </c>
      <c r="D8713" s="22" t="s">
        <v>363</v>
      </c>
      <c r="E8713" s="102"/>
      <c r="F8713" s="102"/>
      <c r="G8713" s="48">
        <v>1</v>
      </c>
      <c r="H8713" s="48"/>
      <c r="I8713" s="49"/>
      <c r="J8713" s="49"/>
      <c r="K8713" s="33"/>
      <c r="L8713" s="20"/>
    </row>
    <row r="8714" spans="1:12" outlineLevel="2">
      <c r="A8714" s="21"/>
      <c r="B8714" s="12" t="str">
        <f>IFERROR(VLOOKUP(D8714,'[1]Перечень товаров'!$A$2:$I9525,2,0),"")</f>
        <v>п29</v>
      </c>
      <c r="C8714" s="12" t="str">
        <f>IFERROR(VLOOKUP(D8714,'[1]Перечень товаров'!$A$2:$I9525,3,0),"")</f>
        <v>Прочее</v>
      </c>
      <c r="D8714" s="22" t="s">
        <v>364</v>
      </c>
      <c r="E8714" s="102"/>
      <c r="F8714" s="102"/>
      <c r="G8714" s="48">
        <v>6</v>
      </c>
      <c r="H8714" s="48"/>
      <c r="I8714" s="49"/>
      <c r="J8714" s="49"/>
      <c r="K8714" s="33"/>
      <c r="L8714" s="20"/>
    </row>
    <row r="8715" spans="1:12" outlineLevel="2">
      <c r="A8715" s="21"/>
      <c r="B8715" s="12" t="str">
        <f>IFERROR(VLOOKUP(D8715,'[1]Перечень товаров'!$A$2:$I9525,2,0),"")</f>
        <v>п30</v>
      </c>
      <c r="C8715" s="12" t="str">
        <f>IFERROR(VLOOKUP(D8715,'[1]Перечень товаров'!$A$2:$I9525,3,0),"")</f>
        <v>Прочее</v>
      </c>
      <c r="D8715" s="22" t="s">
        <v>365</v>
      </c>
      <c r="E8715" s="102"/>
      <c r="F8715" s="102"/>
      <c r="G8715" s="48">
        <v>2</v>
      </c>
      <c r="H8715" s="48"/>
      <c r="I8715" s="49"/>
      <c r="J8715" s="49"/>
      <c r="K8715" s="33"/>
      <c r="L8715" s="20"/>
    </row>
    <row r="8716" spans="1:12" ht="31.5" outlineLevel="2">
      <c r="A8716" s="21"/>
      <c r="B8716" s="12" t="str">
        <f>IFERROR(VLOOKUP(D8716,'[1]Перечень товаров'!$A$2:$I9525,2,0),"")</f>
        <v>п31</v>
      </c>
      <c r="C8716" s="12" t="str">
        <f>IFERROR(VLOOKUP(D8716,'[1]Перечень товаров'!$A$2:$I9525,3,0),"")</f>
        <v>Прочее</v>
      </c>
      <c r="D8716" s="22" t="s">
        <v>366</v>
      </c>
      <c r="E8716" s="102"/>
      <c r="F8716" s="102"/>
      <c r="G8716" s="48">
        <v>1</v>
      </c>
      <c r="H8716" s="48"/>
      <c r="I8716" s="49"/>
      <c r="J8716" s="49"/>
      <c r="K8716" s="33"/>
      <c r="L8716" s="20"/>
    </row>
    <row r="8717" spans="1:12" ht="31.5" outlineLevel="2">
      <c r="A8717" s="21"/>
      <c r="B8717" s="12" t="str">
        <f>IFERROR(VLOOKUP(D8717,'[1]Перечень товаров'!$A$2:$I9525,2,0),"")</f>
        <v>п32</v>
      </c>
      <c r="C8717" s="12" t="str">
        <f>IFERROR(VLOOKUP(D8717,'[1]Перечень товаров'!$A$2:$I9525,3,0),"")</f>
        <v>Прочее</v>
      </c>
      <c r="D8717" s="22" t="s">
        <v>367</v>
      </c>
      <c r="E8717" s="102"/>
      <c r="F8717" s="102"/>
      <c r="G8717" s="48">
        <v>2</v>
      </c>
      <c r="H8717" s="48"/>
      <c r="I8717" s="49"/>
      <c r="J8717" s="49"/>
      <c r="K8717" s="33"/>
      <c r="L8717" s="20"/>
    </row>
    <row r="8718" spans="1:12" ht="12.75" outlineLevel="1">
      <c r="A8718" s="11"/>
      <c r="B8718" s="12" t="str">
        <f>IFERROR(VLOOKUP(D8718,'[1]Перечень товаров'!$A$2:$I9525,2,0),"")</f>
        <v/>
      </c>
      <c r="C8718" s="12" t="str">
        <f>IFERROR(VLOOKUP(D8718,'[1]Перечень товаров'!$A$2:$I9525,3,0),"")</f>
        <v/>
      </c>
      <c r="D8718" s="27" t="s">
        <v>871</v>
      </c>
      <c r="E8718" s="99">
        <v>46220</v>
      </c>
      <c r="F8718" s="99"/>
      <c r="G8718" s="100"/>
      <c r="H8718" s="100"/>
      <c r="I8718" s="101"/>
      <c r="J8718" s="101"/>
      <c r="K8718" s="19"/>
      <c r="L8718" s="20"/>
    </row>
    <row r="8719" spans="1:12" outlineLevel="2">
      <c r="A8719" s="22"/>
      <c r="B8719" s="12" t="str">
        <f>IFERROR(VLOOKUP(D8719,'[1]Перечень товаров'!$A$2:$I9525,2,0),"")</f>
        <v>м14</v>
      </c>
      <c r="C8719" s="12" t="str">
        <f>IFERROR(VLOOKUP(D8719,'[1]Перечень товаров'!$A$2:$I9525,3,0),"")</f>
        <v>Мебель</v>
      </c>
      <c r="D8719" s="22" t="s">
        <v>43</v>
      </c>
      <c r="E8719" s="203"/>
      <c r="F8719" s="203"/>
      <c r="G8719" s="24">
        <v>1</v>
      </c>
      <c r="H8719" s="24"/>
      <c r="I8719" s="25"/>
      <c r="J8719" s="25"/>
      <c r="K8719" s="19"/>
      <c r="L8719" s="20"/>
    </row>
    <row r="8720" spans="1:12" outlineLevel="2">
      <c r="A8720" s="21"/>
      <c r="B8720" s="12" t="str">
        <f>IFERROR(VLOOKUP(D8720,'[1]Перечень товаров'!$A$2:$I9525,2,0),"")</f>
        <v>м167</v>
      </c>
      <c r="C8720" s="12" t="str">
        <f>IFERROR(VLOOKUP(D8720,'[1]Перечень товаров'!$A$2:$I9525,3,0),"")</f>
        <v>Мебель</v>
      </c>
      <c r="D8720" s="22" t="s">
        <v>508</v>
      </c>
      <c r="E8720" s="203"/>
      <c r="F8720" s="203"/>
      <c r="G8720" s="24">
        <v>1</v>
      </c>
      <c r="H8720" s="24"/>
      <c r="I8720" s="25"/>
      <c r="J8720" s="25"/>
      <c r="K8720" s="19"/>
      <c r="L8720" s="20"/>
    </row>
    <row r="8721" spans="1:12" outlineLevel="2">
      <c r="A8721" s="21"/>
      <c r="B8721" s="12" t="str">
        <f>IFERROR(VLOOKUP(D8721,'[1]Перечень товаров'!$A$2:$I9525,2,0),"")</f>
        <v>м218</v>
      </c>
      <c r="C8721" s="12" t="str">
        <f>IFERROR(VLOOKUP(D8721,'[1]Перечень товаров'!$A$2:$I9525,3,0),"")</f>
        <v>Мебель</v>
      </c>
      <c r="D8721" s="22" t="s">
        <v>872</v>
      </c>
      <c r="E8721" s="203"/>
      <c r="F8721" s="203"/>
      <c r="G8721" s="24">
        <v>2</v>
      </c>
      <c r="H8721" s="24"/>
      <c r="I8721" s="25"/>
      <c r="J8721" s="25"/>
      <c r="K8721" s="19"/>
      <c r="L8721" s="20"/>
    </row>
    <row r="8722" spans="1:12" outlineLevel="2">
      <c r="A8722" s="21"/>
      <c r="B8722" s="12" t="str">
        <f>IFERROR(VLOOKUP(D8722,'[1]Перечень товаров'!$A$2:$I9525,2,0),"")</f>
        <v>м219</v>
      </c>
      <c r="C8722" s="12" t="str">
        <f>IFERROR(VLOOKUP(D8722,'[1]Перечень товаров'!$A$2:$I9525,3,0),"")</f>
        <v>Мебель</v>
      </c>
      <c r="D8722" s="22" t="s">
        <v>873</v>
      </c>
      <c r="E8722" s="203"/>
      <c r="F8722" s="203"/>
      <c r="G8722" s="24">
        <v>4</v>
      </c>
      <c r="H8722" s="24"/>
      <c r="I8722" s="25"/>
      <c r="J8722" s="25"/>
      <c r="K8722" s="19"/>
      <c r="L8722" s="20"/>
    </row>
    <row r="8723" spans="1:12" outlineLevel="2">
      <c r="A8723" s="21"/>
      <c r="B8723" s="12" t="str">
        <f>IFERROR(VLOOKUP(D8723,'[1]Перечень товаров'!$A$2:$I9525,2,0),"")</f>
        <v>м220</v>
      </c>
      <c r="C8723" s="12" t="str">
        <f>IFERROR(VLOOKUP(D8723,'[1]Перечень товаров'!$A$2:$I9525,3,0),"")</f>
        <v>Мебель</v>
      </c>
      <c r="D8723" s="22" t="s">
        <v>874</v>
      </c>
      <c r="E8723" s="203"/>
      <c r="F8723" s="203"/>
      <c r="G8723" s="24">
        <v>1</v>
      </c>
      <c r="H8723" s="24"/>
      <c r="I8723" s="25"/>
      <c r="J8723" s="25"/>
      <c r="K8723" s="19"/>
      <c r="L8723" s="20"/>
    </row>
    <row r="8724" spans="1:12" outlineLevel="2">
      <c r="A8724" s="21"/>
      <c r="B8724" s="12" t="str">
        <f>IFERROR(VLOOKUP(D8724,'[1]Перечень товаров'!$A$2:$I9525,2,0),"")</f>
        <v>тм77</v>
      </c>
      <c r="C8724" s="12" t="str">
        <f>IFERROR(VLOOKUP(D8724,'[1]Перечень товаров'!$A$2:$I9525,3,0),"")</f>
        <v>Техника муз</v>
      </c>
      <c r="D8724" s="22" t="s">
        <v>875</v>
      </c>
      <c r="E8724" s="203"/>
      <c r="F8724" s="203"/>
      <c r="G8724" s="24">
        <v>1</v>
      </c>
      <c r="H8724" s="24"/>
      <c r="I8724" s="25"/>
      <c r="J8724" s="25"/>
      <c r="K8724" s="19"/>
      <c r="L8724" s="20"/>
    </row>
    <row r="8725" spans="1:12" outlineLevel="2">
      <c r="A8725" s="21"/>
      <c r="B8725" s="12" t="str">
        <f>IFERROR(VLOOKUP(D8725,'[1]Перечень товаров'!$A$2:$I9525,2,0),"")</f>
        <v>м137</v>
      </c>
      <c r="C8725" s="12" t="str">
        <f>IFERROR(VLOOKUP(D8725,'[1]Перечень товаров'!$A$2:$I9525,3,0),"")</f>
        <v>мебель</v>
      </c>
      <c r="D8725" s="22" t="s">
        <v>876</v>
      </c>
      <c r="E8725" s="203"/>
      <c r="F8725" s="203"/>
      <c r="G8725" s="24">
        <v>1</v>
      </c>
      <c r="H8725" s="24"/>
      <c r="I8725" s="25"/>
      <c r="J8725" s="25"/>
      <c r="K8725" s="19"/>
      <c r="L8725" s="20"/>
    </row>
    <row r="8726" spans="1:12" outlineLevel="2">
      <c r="A8726" s="21"/>
      <c r="B8726" s="12" t="str">
        <f>IFERROR(VLOOKUP(D8726,'[1]Перечень товаров'!$A$2:$I9525,2,0),"")</f>
        <v>м187</v>
      </c>
      <c r="C8726" s="12" t="str">
        <f>IFERROR(VLOOKUP(D8726,'[1]Перечень товаров'!$A$2:$I9525,3,0),"")</f>
        <v>мебель</v>
      </c>
      <c r="D8726" s="22" t="s">
        <v>877</v>
      </c>
      <c r="E8726" s="203"/>
      <c r="F8726" s="203"/>
      <c r="G8726" s="24">
        <v>1</v>
      </c>
      <c r="H8726" s="24"/>
      <c r="I8726" s="25"/>
      <c r="J8726" s="25"/>
      <c r="K8726" s="19"/>
      <c r="L8726" s="20"/>
    </row>
    <row r="8727" spans="1:12" outlineLevel="2">
      <c r="A8727" s="21"/>
      <c r="B8727" s="12" t="str">
        <f>IFERROR(VLOOKUP(D8727,'[1]Перечень товаров'!$A$2:$I9525,2,0),"")</f>
        <v>м30</v>
      </c>
      <c r="C8727" s="12" t="str">
        <f>IFERROR(VLOOKUP(D8727,'[1]Перечень товаров'!$A$2:$I9525,3,0),"")</f>
        <v>Мебель</v>
      </c>
      <c r="D8727" s="22" t="s">
        <v>181</v>
      </c>
      <c r="E8727" s="203"/>
      <c r="F8727" s="203"/>
      <c r="G8727" s="24">
        <v>2</v>
      </c>
      <c r="H8727" s="24"/>
      <c r="I8727" s="25"/>
      <c r="J8727" s="25"/>
      <c r="K8727" s="19"/>
      <c r="L8727" s="20"/>
    </row>
    <row r="8728" spans="1:12" outlineLevel="2">
      <c r="A8728" s="21"/>
      <c r="B8728" s="12" t="str">
        <f>IFERROR(VLOOKUP(D8728,'[1]Перечень товаров'!$A$2:$I9525,2,0),"")</f>
        <v>м221</v>
      </c>
      <c r="C8728" s="12" t="str">
        <f>IFERROR(VLOOKUP(D8728,'[1]Перечень товаров'!$A$2:$I9525,3,0),"")</f>
        <v>Мебель</v>
      </c>
      <c r="D8728" s="22" t="s">
        <v>878</v>
      </c>
      <c r="E8728" s="203"/>
      <c r="F8728" s="203"/>
      <c r="G8728" s="24">
        <v>2</v>
      </c>
      <c r="H8728" s="24"/>
      <c r="I8728" s="25"/>
      <c r="J8728" s="25"/>
      <c r="K8728" s="19"/>
      <c r="L8728" s="20"/>
    </row>
    <row r="8729" spans="1:12" ht="12.75" outlineLevel="1">
      <c r="A8729" s="11"/>
      <c r="B8729" s="12" t="str">
        <f>IFERROR(VLOOKUP(D8729,'[1]Перечень товаров'!$A$2:$I9525,2,0),"")</f>
        <v/>
      </c>
      <c r="C8729" s="12" t="str">
        <f>IFERROR(VLOOKUP(D8729,'[1]Перечень товаров'!$A$2:$I9525,3,0),"")</f>
        <v/>
      </c>
      <c r="D8729" s="27" t="s">
        <v>926</v>
      </c>
      <c r="E8729" s="99">
        <v>46095</v>
      </c>
      <c r="F8729" s="99"/>
      <c r="G8729" s="100"/>
      <c r="H8729" s="100"/>
      <c r="I8729" s="101"/>
      <c r="J8729" s="101"/>
      <c r="K8729" s="19"/>
      <c r="L8729" s="20"/>
    </row>
    <row r="8730" spans="1:12" outlineLevel="2">
      <c r="A8730" s="22"/>
      <c r="B8730" s="12" t="str">
        <f>IFERROR(VLOOKUP(D8730,'[1]Перечень товаров'!$A$2:$I9525,2,0),"")</f>
        <v>м14</v>
      </c>
      <c r="C8730" s="12" t="str">
        <f>IFERROR(VLOOKUP(D8730,'[1]Перечень товаров'!$A$2:$I9525,3,0),"")</f>
        <v>Мебель</v>
      </c>
      <c r="D8730" s="22" t="s">
        <v>43</v>
      </c>
      <c r="E8730" s="203"/>
      <c r="F8730" s="203"/>
      <c r="G8730" s="24">
        <v>1</v>
      </c>
      <c r="H8730" s="24"/>
      <c r="I8730" s="25"/>
      <c r="J8730" s="25"/>
      <c r="K8730" s="19"/>
      <c r="L8730" s="20"/>
    </row>
    <row r="8731" spans="1:12" outlineLevel="2">
      <c r="A8731" s="21"/>
      <c r="B8731" s="12" t="str">
        <f>IFERROR(VLOOKUP(D8731,'[1]Перечень товаров'!$A$2:$I9525,2,0),"")</f>
        <v>м167</v>
      </c>
      <c r="C8731" s="12" t="str">
        <f>IFERROR(VLOOKUP(D8731,'[1]Перечень товаров'!$A$2:$I9525,3,0),"")</f>
        <v>Мебель</v>
      </c>
      <c r="D8731" s="22" t="s">
        <v>508</v>
      </c>
      <c r="E8731" s="203"/>
      <c r="F8731" s="203"/>
      <c r="G8731" s="24">
        <v>1</v>
      </c>
      <c r="H8731" s="24"/>
      <c r="I8731" s="25"/>
      <c r="J8731" s="25"/>
      <c r="K8731" s="19"/>
      <c r="L8731" s="20"/>
    </row>
    <row r="8732" spans="1:12" outlineLevel="2">
      <c r="A8732" s="21"/>
      <c r="B8732" s="12" t="str">
        <f>IFERROR(VLOOKUP(D8732,'[1]Перечень товаров'!$A$2:$I9525,2,0),"")</f>
        <v>м218</v>
      </c>
      <c r="C8732" s="12" t="str">
        <f>IFERROR(VLOOKUP(D8732,'[1]Перечень товаров'!$A$2:$I9525,3,0),"")</f>
        <v>Мебель</v>
      </c>
      <c r="D8732" s="22" t="s">
        <v>872</v>
      </c>
      <c r="E8732" s="203"/>
      <c r="F8732" s="203"/>
      <c r="G8732" s="24">
        <v>2</v>
      </c>
      <c r="H8732" s="24"/>
      <c r="I8732" s="25"/>
      <c r="J8732" s="25"/>
      <c r="K8732" s="19"/>
      <c r="L8732" s="20"/>
    </row>
    <row r="8733" spans="1:12" outlineLevel="2">
      <c r="A8733" s="21"/>
      <c r="B8733" s="12" t="str">
        <f>IFERROR(VLOOKUP(D8733,'[1]Перечень товаров'!$A$2:$I9525,2,0),"")</f>
        <v>м219</v>
      </c>
      <c r="C8733" s="12" t="str">
        <f>IFERROR(VLOOKUP(D8733,'[1]Перечень товаров'!$A$2:$I9525,3,0),"")</f>
        <v>Мебель</v>
      </c>
      <c r="D8733" s="22" t="s">
        <v>873</v>
      </c>
      <c r="E8733" s="203"/>
      <c r="F8733" s="203"/>
      <c r="G8733" s="24">
        <v>4</v>
      </c>
      <c r="H8733" s="24"/>
      <c r="I8733" s="25"/>
      <c r="J8733" s="25"/>
      <c r="K8733" s="19"/>
      <c r="L8733" s="20"/>
    </row>
    <row r="8734" spans="1:12" outlineLevel="2">
      <c r="A8734" s="21"/>
      <c r="B8734" s="12" t="str">
        <f>IFERROR(VLOOKUP(D8734,'[1]Перечень товаров'!$A$2:$I9525,2,0),"")</f>
        <v>м220</v>
      </c>
      <c r="C8734" s="12" t="str">
        <f>IFERROR(VLOOKUP(D8734,'[1]Перечень товаров'!$A$2:$I9525,3,0),"")</f>
        <v>Мебель</v>
      </c>
      <c r="D8734" s="22" t="s">
        <v>874</v>
      </c>
      <c r="E8734" s="203"/>
      <c r="F8734" s="203"/>
      <c r="G8734" s="24">
        <v>1</v>
      </c>
      <c r="H8734" s="24"/>
      <c r="I8734" s="25"/>
      <c r="J8734" s="25"/>
      <c r="K8734" s="19"/>
      <c r="L8734" s="20"/>
    </row>
    <row r="8735" spans="1:12" outlineLevel="2">
      <c r="A8735" s="21"/>
      <c r="B8735" s="12" t="str">
        <f>IFERROR(VLOOKUP(D8735,'[1]Перечень товаров'!$A$2:$I9525,2,0),"")</f>
        <v>м187</v>
      </c>
      <c r="C8735" s="12" t="str">
        <f>IFERROR(VLOOKUP(D8735,'[1]Перечень товаров'!$A$2:$I9525,3,0),"")</f>
        <v>мебель</v>
      </c>
      <c r="D8735" s="22" t="s">
        <v>877</v>
      </c>
      <c r="E8735" s="203"/>
      <c r="F8735" s="203"/>
      <c r="G8735" s="24">
        <v>1</v>
      </c>
      <c r="H8735" s="24"/>
      <c r="I8735" s="25"/>
      <c r="J8735" s="25"/>
      <c r="K8735" s="19"/>
      <c r="L8735" s="20"/>
    </row>
    <row r="8736" spans="1:12" outlineLevel="2">
      <c r="A8736" s="21"/>
      <c r="B8736" s="12" t="str">
        <f>IFERROR(VLOOKUP(D8736,'[1]Перечень товаров'!$A$2:$I9525,2,0),"")</f>
        <v>м30</v>
      </c>
      <c r="C8736" s="12" t="str">
        <f>IFERROR(VLOOKUP(D8736,'[1]Перечень товаров'!$A$2:$I9525,3,0),"")</f>
        <v>Мебель</v>
      </c>
      <c r="D8736" s="22" t="s">
        <v>181</v>
      </c>
      <c r="E8736" s="203"/>
      <c r="F8736" s="203"/>
      <c r="G8736" s="24">
        <v>2</v>
      </c>
      <c r="H8736" s="24"/>
      <c r="I8736" s="25"/>
      <c r="J8736" s="25"/>
      <c r="K8736" s="19"/>
      <c r="L8736" s="20"/>
    </row>
    <row r="8737" spans="1:12" outlineLevel="2">
      <c r="A8737" s="21"/>
      <c r="B8737" s="12" t="str">
        <f>IFERROR(VLOOKUP(D8737,'[1]Перечень товаров'!$A$2:$I9525,2,0),"")</f>
        <v>м221</v>
      </c>
      <c r="C8737" s="12" t="str">
        <f>IFERROR(VLOOKUP(D8737,'[1]Перечень товаров'!$A$2:$I9525,3,0),"")</f>
        <v>Мебель</v>
      </c>
      <c r="D8737" s="22" t="s">
        <v>878</v>
      </c>
      <c r="E8737" s="203"/>
      <c r="F8737" s="203"/>
      <c r="G8737" s="24">
        <v>2</v>
      </c>
      <c r="H8737" s="24"/>
      <c r="I8737" s="25"/>
      <c r="J8737" s="25"/>
      <c r="K8737" s="19"/>
      <c r="L8737" s="20"/>
    </row>
    <row r="8738" spans="1:12" outlineLevel="1">
      <c r="A8738" s="21"/>
      <c r="B8738" s="12" t="str">
        <f>IFERROR(VLOOKUP(D8738,'[1]Перечень товаров'!$A$2:$I9525,2,0),"")</f>
        <v/>
      </c>
      <c r="C8738" s="12" t="str">
        <f>IFERROR(VLOOKUP(D8738,'[1]Перечень товаров'!$A$2:$I9525,3,0),"")</f>
        <v/>
      </c>
      <c r="D8738" s="22" t="s">
        <v>885</v>
      </c>
      <c r="E8738" s="102">
        <v>46114</v>
      </c>
      <c r="F8738" s="102"/>
      <c r="G8738" s="103"/>
      <c r="H8738" s="103"/>
      <c r="I8738" s="104"/>
      <c r="J8738" s="104"/>
      <c r="K8738" s="19"/>
      <c r="L8738" s="20"/>
    </row>
    <row r="8739" spans="1:12" ht="12.75" outlineLevel="1">
      <c r="A8739" s="11"/>
      <c r="B8739" s="12" t="str">
        <f>IFERROR(VLOOKUP(D8739,'[1]Перечень товаров'!$A$2:$I9525,2,0),"")</f>
        <v/>
      </c>
      <c r="C8739" s="12" t="str">
        <f>IFERROR(VLOOKUP(D8739,'[1]Перечень товаров'!$A$2:$I9525,3,0),"")</f>
        <v/>
      </c>
      <c r="D8739" s="27" t="s">
        <v>879</v>
      </c>
      <c r="E8739" s="99">
        <v>46057</v>
      </c>
      <c r="F8739" s="99"/>
      <c r="G8739" s="100"/>
      <c r="H8739" s="100"/>
      <c r="I8739" s="101"/>
      <c r="J8739" s="101"/>
      <c r="K8739" s="19"/>
      <c r="L8739" s="20"/>
    </row>
    <row r="8740" spans="1:12" outlineLevel="2">
      <c r="A8740" s="43"/>
      <c r="B8740" s="12" t="str">
        <f>IFERROR(VLOOKUP(D8740,'[1]Перечень товаров'!$A$2:$I9525,2,0),"")</f>
        <v>м222</v>
      </c>
      <c r="C8740" s="12" t="str">
        <f>IFERROR(VLOOKUP(D8740,'[1]Перечень товаров'!$A$2:$I9525,3,0),"")</f>
        <v>Мебель</v>
      </c>
      <c r="D8740" s="44" t="s">
        <v>880</v>
      </c>
      <c r="E8740" s="102"/>
      <c r="F8740" s="102"/>
      <c r="G8740" s="24">
        <v>1</v>
      </c>
      <c r="H8740" s="24"/>
      <c r="I8740" s="25"/>
      <c r="J8740" s="25"/>
      <c r="K8740" s="19"/>
      <c r="L8740" s="20"/>
    </row>
    <row r="8741" spans="1:12" outlineLevel="2">
      <c r="A8741" s="43"/>
      <c r="B8741" s="12" t="str">
        <f>IFERROR(VLOOKUP(D8741,'[1]Перечень товаров'!$A$2:$I9525,2,0),"")</f>
        <v>м223</v>
      </c>
      <c r="C8741" s="12" t="str">
        <f>IFERROR(VLOOKUP(D8741,'[1]Перечень товаров'!$A$2:$I9525,3,0),"")</f>
        <v>Мебель</v>
      </c>
      <c r="D8741" s="44" t="s">
        <v>881</v>
      </c>
      <c r="E8741" s="102"/>
      <c r="F8741" s="102"/>
      <c r="G8741" s="24">
        <v>1</v>
      </c>
      <c r="H8741" s="24"/>
      <c r="I8741" s="25"/>
      <c r="J8741" s="25"/>
      <c r="K8741" s="19"/>
      <c r="L8741" s="20"/>
    </row>
    <row r="8742" spans="1:12" outlineLevel="2">
      <c r="A8742" s="43"/>
      <c r="B8742" s="12" t="str">
        <f>IFERROR(VLOOKUP(D8742,'[1]Перечень товаров'!$A$2:$I9525,2,0),"")</f>
        <v>м224</v>
      </c>
      <c r="C8742" s="12" t="str">
        <f>IFERROR(VLOOKUP(D8742,'[1]Перечень товаров'!$A$2:$I9525,3,0),"")</f>
        <v>Мебель</v>
      </c>
      <c r="D8742" s="44" t="s">
        <v>882</v>
      </c>
      <c r="E8742" s="102"/>
      <c r="F8742" s="102"/>
      <c r="G8742" s="24">
        <v>1</v>
      </c>
      <c r="H8742" s="24"/>
      <c r="I8742" s="25"/>
      <c r="J8742" s="25"/>
      <c r="K8742" s="19"/>
      <c r="L8742" s="20"/>
    </row>
    <row r="8743" spans="1:12" outlineLevel="2">
      <c r="A8743" s="43"/>
      <c r="B8743" s="12" t="str">
        <f>IFERROR(VLOOKUP(D8743,'[1]Перечень товаров'!$A$2:$I9525,2,0),"")</f>
        <v>м225</v>
      </c>
      <c r="C8743" s="12" t="str">
        <f>IFERROR(VLOOKUP(D8743,'[1]Перечень товаров'!$A$2:$I9525,3,0),"")</f>
        <v>Мебель</v>
      </c>
      <c r="D8743" s="44" t="s">
        <v>883</v>
      </c>
      <c r="E8743" s="102"/>
      <c r="F8743" s="102"/>
      <c r="G8743" s="24">
        <v>1</v>
      </c>
      <c r="H8743" s="24"/>
      <c r="I8743" s="25"/>
      <c r="J8743" s="25"/>
      <c r="K8743" s="19"/>
      <c r="L8743" s="20"/>
    </row>
    <row r="8744" spans="1:12" outlineLevel="2">
      <c r="A8744" s="43"/>
      <c r="B8744" s="12" t="str">
        <f>IFERROR(VLOOKUP(D8744,'[1]Перечень товаров'!$A$2:$I9525,2,0),"")</f>
        <v>п28</v>
      </c>
      <c r="C8744" s="12" t="str">
        <f>IFERROR(VLOOKUP(D8744,'[1]Перечень товаров'!$A$2:$I9525,3,0),"")</f>
        <v>Прочее</v>
      </c>
      <c r="D8744" s="44" t="s">
        <v>363</v>
      </c>
      <c r="E8744" s="102"/>
      <c r="F8744" s="102"/>
      <c r="G8744" s="24">
        <v>1</v>
      </c>
      <c r="H8744" s="24"/>
      <c r="I8744" s="25"/>
      <c r="J8744" s="25"/>
      <c r="K8744" s="19"/>
      <c r="L8744" s="20"/>
    </row>
    <row r="8745" spans="1:12" outlineLevel="2">
      <c r="A8745" s="43"/>
      <c r="B8745" s="12" t="str">
        <f>IFERROR(VLOOKUP(D8745,'[1]Перечень товаров'!$A$2:$I9525,2,0),"")</f>
        <v>м226</v>
      </c>
      <c r="C8745" s="12" t="str">
        <f>IFERROR(VLOOKUP(D8745,'[1]Перечень товаров'!$A$2:$I9525,3,0),"")</f>
        <v>Мебель</v>
      </c>
      <c r="D8745" s="44" t="s">
        <v>884</v>
      </c>
      <c r="E8745" s="102"/>
      <c r="F8745" s="102"/>
      <c r="G8745" s="24">
        <v>1</v>
      </c>
      <c r="H8745" s="24"/>
      <c r="I8745" s="25"/>
      <c r="J8745" s="25"/>
      <c r="K8745" s="19"/>
      <c r="L8745" s="20"/>
    </row>
    <row r="8746" spans="1:12" ht="12.75" outlineLevel="1">
      <c r="A8746" s="11"/>
      <c r="B8746" s="12" t="str">
        <f>IFERROR(VLOOKUP(D8746,'[1]Перечень товаров'!$A$2:$I9525,2,0),"")</f>
        <v/>
      </c>
      <c r="C8746" s="12" t="str">
        <f>IFERROR(VLOOKUP(D8746,'[1]Перечень товаров'!$A$2:$I9525,3,0),"")</f>
        <v/>
      </c>
      <c r="D8746" s="27" t="s">
        <v>521</v>
      </c>
      <c r="E8746" s="99">
        <v>46058</v>
      </c>
      <c r="F8746" s="99"/>
      <c r="G8746" s="100"/>
      <c r="H8746" s="100"/>
      <c r="I8746" s="101"/>
      <c r="J8746" s="101"/>
      <c r="K8746" s="19"/>
      <c r="L8746" s="20"/>
    </row>
    <row r="8747" spans="1:12" outlineLevel="2">
      <c r="A8747" s="22"/>
      <c r="B8747" s="12" t="str">
        <f>IFERROR(VLOOKUP(D8747,'[1]Перечень товаров'!$A$2:$I9525,2,0),"")</f>
        <v>п25</v>
      </c>
      <c r="C8747" s="12" t="str">
        <f>IFERROR(VLOOKUP(D8747,'[1]Перечень товаров'!$A$2:$I9525,3,0),"")</f>
        <v>Прочее</v>
      </c>
      <c r="D8747" s="22" t="s">
        <v>360</v>
      </c>
      <c r="E8747" s="102"/>
      <c r="F8747" s="102"/>
      <c r="G8747" s="48">
        <v>3</v>
      </c>
      <c r="H8747" s="48"/>
      <c r="I8747" s="49"/>
      <c r="J8747" s="49"/>
      <c r="K8747" s="33"/>
      <c r="L8747" s="20"/>
    </row>
    <row r="8748" spans="1:12" outlineLevel="2">
      <c r="A8748" s="21"/>
      <c r="B8748" s="12" t="str">
        <f>IFERROR(VLOOKUP(D8748,'[1]Перечень товаров'!$A$2:$I9525,2,0),"")</f>
        <v>п26</v>
      </c>
      <c r="C8748" s="12" t="str">
        <f>IFERROR(VLOOKUP(D8748,'[1]Перечень товаров'!$A$2:$I9525,3,0),"")</f>
        <v>Прочее</v>
      </c>
      <c r="D8748" s="22" t="s">
        <v>361</v>
      </c>
      <c r="E8748" s="102"/>
      <c r="F8748" s="102"/>
      <c r="G8748" s="48">
        <v>2</v>
      </c>
      <c r="H8748" s="48"/>
      <c r="I8748" s="49"/>
      <c r="J8748" s="49"/>
      <c r="K8748" s="33"/>
      <c r="L8748" s="20"/>
    </row>
    <row r="8749" spans="1:12" outlineLevel="2">
      <c r="A8749" s="21"/>
      <c r="B8749" s="12" t="str">
        <f>IFERROR(VLOOKUP(D8749,'[1]Перечень товаров'!$A$2:$I9525,2,0),"")</f>
        <v>п27</v>
      </c>
      <c r="C8749" s="12" t="str">
        <f>IFERROR(VLOOKUP(D8749,'[1]Перечень товаров'!$A$2:$I9525,3,0),"")</f>
        <v>Прочее</v>
      </c>
      <c r="D8749" s="22" t="s">
        <v>362</v>
      </c>
      <c r="E8749" s="102"/>
      <c r="F8749" s="102"/>
      <c r="G8749" s="48">
        <v>2</v>
      </c>
      <c r="H8749" s="48"/>
      <c r="I8749" s="49"/>
      <c r="J8749" s="49"/>
      <c r="K8749" s="33"/>
      <c r="L8749" s="20"/>
    </row>
    <row r="8750" spans="1:12" outlineLevel="2">
      <c r="A8750" s="21"/>
      <c r="B8750" s="12" t="str">
        <f>IFERROR(VLOOKUP(D8750,'[1]Перечень товаров'!$A$2:$I9525,2,0),"")</f>
        <v>п28</v>
      </c>
      <c r="C8750" s="12" t="str">
        <f>IFERROR(VLOOKUP(D8750,'[1]Перечень товаров'!$A$2:$I9525,3,0),"")</f>
        <v>Прочее</v>
      </c>
      <c r="D8750" s="22" t="s">
        <v>363</v>
      </c>
      <c r="E8750" s="102"/>
      <c r="F8750" s="102"/>
      <c r="G8750" s="48">
        <v>1</v>
      </c>
      <c r="H8750" s="48"/>
      <c r="I8750" s="49"/>
      <c r="J8750" s="49"/>
      <c r="K8750" s="33"/>
      <c r="L8750" s="20"/>
    </row>
    <row r="8751" spans="1:12" outlineLevel="2">
      <c r="A8751" s="21"/>
      <c r="B8751" s="12" t="str">
        <f>IFERROR(VLOOKUP(D8751,'[1]Перечень товаров'!$A$2:$I9525,2,0),"")</f>
        <v>п29</v>
      </c>
      <c r="C8751" s="12" t="str">
        <f>IFERROR(VLOOKUP(D8751,'[1]Перечень товаров'!$A$2:$I9525,3,0),"")</f>
        <v>Прочее</v>
      </c>
      <c r="D8751" s="22" t="s">
        <v>364</v>
      </c>
      <c r="E8751" s="102"/>
      <c r="F8751" s="102"/>
      <c r="G8751" s="48">
        <v>6</v>
      </c>
      <c r="H8751" s="48"/>
      <c r="I8751" s="49"/>
      <c r="J8751" s="49"/>
      <c r="K8751" s="33"/>
      <c r="L8751" s="20"/>
    </row>
    <row r="8752" spans="1:12" outlineLevel="2">
      <c r="A8752" s="21"/>
      <c r="B8752" s="12" t="str">
        <f>IFERROR(VLOOKUP(D8752,'[1]Перечень товаров'!$A$2:$I9525,2,0),"")</f>
        <v>п30</v>
      </c>
      <c r="C8752" s="12" t="str">
        <f>IFERROR(VLOOKUP(D8752,'[1]Перечень товаров'!$A$2:$I9525,3,0),"")</f>
        <v>Прочее</v>
      </c>
      <c r="D8752" s="22" t="s">
        <v>365</v>
      </c>
      <c r="E8752" s="102"/>
      <c r="F8752" s="102"/>
      <c r="G8752" s="48">
        <v>2</v>
      </c>
      <c r="H8752" s="48"/>
      <c r="I8752" s="49"/>
      <c r="J8752" s="49"/>
      <c r="K8752" s="33"/>
      <c r="L8752" s="20"/>
    </row>
    <row r="8753" spans="1:12" ht="31.5" outlineLevel="2">
      <c r="A8753" s="21"/>
      <c r="B8753" s="12" t="str">
        <f>IFERROR(VLOOKUP(D8753,'[1]Перечень товаров'!$A$2:$I9525,2,0),"")</f>
        <v>п31</v>
      </c>
      <c r="C8753" s="12" t="str">
        <f>IFERROR(VLOOKUP(D8753,'[1]Перечень товаров'!$A$2:$I9525,3,0),"")</f>
        <v>Прочее</v>
      </c>
      <c r="D8753" s="22" t="s">
        <v>366</v>
      </c>
      <c r="E8753" s="102"/>
      <c r="F8753" s="102"/>
      <c r="G8753" s="48">
        <v>1</v>
      </c>
      <c r="H8753" s="48"/>
      <c r="I8753" s="49"/>
      <c r="J8753" s="49"/>
      <c r="K8753" s="33"/>
      <c r="L8753" s="20"/>
    </row>
    <row r="8754" spans="1:12" ht="31.5" outlineLevel="2">
      <c r="A8754" s="21"/>
      <c r="B8754" s="12" t="str">
        <f>IFERROR(VLOOKUP(D8754,'[1]Перечень товаров'!$A$2:$I9525,2,0),"")</f>
        <v>п32</v>
      </c>
      <c r="C8754" s="12" t="str">
        <f>IFERROR(VLOOKUP(D8754,'[1]Перечень товаров'!$A$2:$I9525,3,0),"")</f>
        <v>Прочее</v>
      </c>
      <c r="D8754" s="22" t="s">
        <v>367</v>
      </c>
      <c r="E8754" s="102"/>
      <c r="F8754" s="102"/>
      <c r="G8754" s="48">
        <v>2</v>
      </c>
      <c r="H8754" s="48"/>
      <c r="I8754" s="49"/>
      <c r="J8754" s="49"/>
      <c r="K8754" s="33"/>
      <c r="L8754" s="20"/>
    </row>
    <row r="8755" spans="1:12" ht="12.75" outlineLevel="1">
      <c r="A8755" s="11"/>
      <c r="B8755" s="12" t="str">
        <f>IFERROR(VLOOKUP(D8755,'[1]Перечень товаров'!$A$2:$I9525,2,0),"")</f>
        <v/>
      </c>
      <c r="C8755" s="12" t="str">
        <f>IFERROR(VLOOKUP(D8755,'[1]Перечень товаров'!$A$2:$I9525,3,0),"")</f>
        <v/>
      </c>
      <c r="D8755" s="27" t="s">
        <v>871</v>
      </c>
      <c r="E8755" s="99">
        <v>46220</v>
      </c>
      <c r="F8755" s="99"/>
      <c r="G8755" s="100"/>
      <c r="H8755" s="100"/>
      <c r="I8755" s="101"/>
      <c r="J8755" s="101"/>
      <c r="K8755" s="19"/>
      <c r="L8755" s="20"/>
    </row>
    <row r="8756" spans="1:12" outlineLevel="2">
      <c r="A8756" s="22"/>
      <c r="B8756" s="12" t="str">
        <f>IFERROR(VLOOKUP(D8756,'[1]Перечень товаров'!$A$2:$I9525,2,0),"")</f>
        <v>м14</v>
      </c>
      <c r="C8756" s="12" t="str">
        <f>IFERROR(VLOOKUP(D8756,'[1]Перечень товаров'!$A$2:$I9525,3,0),"")</f>
        <v>Мебель</v>
      </c>
      <c r="D8756" s="22" t="s">
        <v>43</v>
      </c>
      <c r="E8756" s="203"/>
      <c r="F8756" s="203"/>
      <c r="G8756" s="24">
        <v>1</v>
      </c>
      <c r="H8756" s="24"/>
      <c r="I8756" s="25"/>
      <c r="J8756" s="25"/>
      <c r="K8756" s="19"/>
      <c r="L8756" s="20"/>
    </row>
    <row r="8757" spans="1:12" outlineLevel="2">
      <c r="A8757" s="21"/>
      <c r="B8757" s="12" t="str">
        <f>IFERROR(VLOOKUP(D8757,'[1]Перечень товаров'!$A$2:$I9525,2,0),"")</f>
        <v>м167</v>
      </c>
      <c r="C8757" s="12" t="str">
        <f>IFERROR(VLOOKUP(D8757,'[1]Перечень товаров'!$A$2:$I9525,3,0),"")</f>
        <v>Мебель</v>
      </c>
      <c r="D8757" s="22" t="s">
        <v>508</v>
      </c>
      <c r="E8757" s="203"/>
      <c r="F8757" s="203"/>
      <c r="G8757" s="24">
        <v>1</v>
      </c>
      <c r="H8757" s="24"/>
      <c r="I8757" s="25"/>
      <c r="J8757" s="25"/>
      <c r="K8757" s="19"/>
      <c r="L8757" s="20"/>
    </row>
    <row r="8758" spans="1:12" outlineLevel="2">
      <c r="A8758" s="21"/>
      <c r="B8758" s="12" t="str">
        <f>IFERROR(VLOOKUP(D8758,'[1]Перечень товаров'!$A$2:$I9525,2,0),"")</f>
        <v>м218</v>
      </c>
      <c r="C8758" s="12" t="str">
        <f>IFERROR(VLOOKUP(D8758,'[1]Перечень товаров'!$A$2:$I9525,3,0),"")</f>
        <v>Мебель</v>
      </c>
      <c r="D8758" s="22" t="s">
        <v>872</v>
      </c>
      <c r="E8758" s="203"/>
      <c r="F8758" s="203"/>
      <c r="G8758" s="24">
        <v>2</v>
      </c>
      <c r="H8758" s="24"/>
      <c r="I8758" s="25"/>
      <c r="J8758" s="25"/>
      <c r="K8758" s="19"/>
      <c r="L8758" s="20"/>
    </row>
    <row r="8759" spans="1:12" outlineLevel="2">
      <c r="A8759" s="21"/>
      <c r="B8759" s="12" t="str">
        <f>IFERROR(VLOOKUP(D8759,'[1]Перечень товаров'!$A$2:$I9525,2,0),"")</f>
        <v>м219</v>
      </c>
      <c r="C8759" s="12" t="str">
        <f>IFERROR(VLOOKUP(D8759,'[1]Перечень товаров'!$A$2:$I9525,3,0),"")</f>
        <v>Мебель</v>
      </c>
      <c r="D8759" s="22" t="s">
        <v>873</v>
      </c>
      <c r="E8759" s="203"/>
      <c r="F8759" s="203"/>
      <c r="G8759" s="24">
        <v>4</v>
      </c>
      <c r="H8759" s="24"/>
      <c r="I8759" s="25"/>
      <c r="J8759" s="25"/>
      <c r="K8759" s="19"/>
      <c r="L8759" s="20"/>
    </row>
    <row r="8760" spans="1:12" outlineLevel="2">
      <c r="A8760" s="21"/>
      <c r="B8760" s="12" t="str">
        <f>IFERROR(VLOOKUP(D8760,'[1]Перечень товаров'!$A$2:$I9525,2,0),"")</f>
        <v>м220</v>
      </c>
      <c r="C8760" s="12" t="str">
        <f>IFERROR(VLOOKUP(D8760,'[1]Перечень товаров'!$A$2:$I9525,3,0),"")</f>
        <v>Мебель</v>
      </c>
      <c r="D8760" s="22" t="s">
        <v>874</v>
      </c>
      <c r="E8760" s="203"/>
      <c r="F8760" s="203"/>
      <c r="G8760" s="24">
        <v>1</v>
      </c>
      <c r="H8760" s="24"/>
      <c r="I8760" s="25"/>
      <c r="J8760" s="25"/>
      <c r="K8760" s="19"/>
      <c r="L8760" s="20"/>
    </row>
    <row r="8761" spans="1:12" outlineLevel="2">
      <c r="A8761" s="21"/>
      <c r="B8761" s="12" t="str">
        <f>IFERROR(VLOOKUP(D8761,'[1]Перечень товаров'!$A$2:$I9525,2,0),"")</f>
        <v>тм77</v>
      </c>
      <c r="C8761" s="12" t="str">
        <f>IFERROR(VLOOKUP(D8761,'[1]Перечень товаров'!$A$2:$I9525,3,0),"")</f>
        <v>Техника муз</v>
      </c>
      <c r="D8761" s="22" t="s">
        <v>875</v>
      </c>
      <c r="E8761" s="203"/>
      <c r="F8761" s="203"/>
      <c r="G8761" s="24">
        <v>1</v>
      </c>
      <c r="H8761" s="24"/>
      <c r="I8761" s="25"/>
      <c r="J8761" s="25"/>
      <c r="K8761" s="19"/>
      <c r="L8761" s="20"/>
    </row>
    <row r="8762" spans="1:12" outlineLevel="2">
      <c r="A8762" s="21"/>
      <c r="B8762" s="12" t="str">
        <f>IFERROR(VLOOKUP(D8762,'[1]Перечень товаров'!$A$2:$I9525,2,0),"")</f>
        <v>м137</v>
      </c>
      <c r="C8762" s="12" t="str">
        <f>IFERROR(VLOOKUP(D8762,'[1]Перечень товаров'!$A$2:$I9525,3,0),"")</f>
        <v>мебель</v>
      </c>
      <c r="D8762" s="22" t="s">
        <v>876</v>
      </c>
      <c r="E8762" s="203"/>
      <c r="F8762" s="203"/>
      <c r="G8762" s="24">
        <v>1</v>
      </c>
      <c r="H8762" s="24"/>
      <c r="I8762" s="25"/>
      <c r="J8762" s="25"/>
      <c r="K8762" s="19"/>
      <c r="L8762" s="20"/>
    </row>
    <row r="8763" spans="1:12" outlineLevel="2">
      <c r="A8763" s="21"/>
      <c r="B8763" s="12" t="str">
        <f>IFERROR(VLOOKUP(D8763,'[1]Перечень товаров'!$A$2:$I9525,2,0),"")</f>
        <v>м187</v>
      </c>
      <c r="C8763" s="12" t="str">
        <f>IFERROR(VLOOKUP(D8763,'[1]Перечень товаров'!$A$2:$I9525,3,0),"")</f>
        <v>мебель</v>
      </c>
      <c r="D8763" s="22" t="s">
        <v>877</v>
      </c>
      <c r="E8763" s="203"/>
      <c r="F8763" s="203"/>
      <c r="G8763" s="24">
        <v>1</v>
      </c>
      <c r="H8763" s="24"/>
      <c r="I8763" s="25"/>
      <c r="J8763" s="25"/>
      <c r="K8763" s="19"/>
      <c r="L8763" s="20"/>
    </row>
    <row r="8764" spans="1:12" outlineLevel="2">
      <c r="A8764" s="21"/>
      <c r="B8764" s="12" t="str">
        <f>IFERROR(VLOOKUP(D8764,'[1]Перечень товаров'!$A$2:$I9525,2,0),"")</f>
        <v>м30</v>
      </c>
      <c r="C8764" s="12" t="str">
        <f>IFERROR(VLOOKUP(D8764,'[1]Перечень товаров'!$A$2:$I9525,3,0),"")</f>
        <v>Мебель</v>
      </c>
      <c r="D8764" s="22" t="s">
        <v>181</v>
      </c>
      <c r="E8764" s="203"/>
      <c r="F8764" s="203"/>
      <c r="G8764" s="24">
        <v>2</v>
      </c>
      <c r="H8764" s="24"/>
      <c r="I8764" s="25"/>
      <c r="J8764" s="25"/>
      <c r="K8764" s="19"/>
      <c r="L8764" s="20"/>
    </row>
    <row r="8765" spans="1:12" outlineLevel="2">
      <c r="A8765" s="21"/>
      <c r="B8765" s="12" t="str">
        <f>IFERROR(VLOOKUP(D8765,'[1]Перечень товаров'!$A$2:$I9525,2,0),"")</f>
        <v>м221</v>
      </c>
      <c r="C8765" s="12" t="str">
        <f>IFERROR(VLOOKUP(D8765,'[1]Перечень товаров'!$A$2:$I9525,3,0),"")</f>
        <v>Мебель</v>
      </c>
      <c r="D8765" s="22" t="s">
        <v>878</v>
      </c>
      <c r="E8765" s="203"/>
      <c r="F8765" s="203"/>
      <c r="G8765" s="24">
        <v>2</v>
      </c>
      <c r="H8765" s="24"/>
      <c r="I8765" s="25"/>
      <c r="J8765" s="25"/>
      <c r="K8765" s="19"/>
      <c r="L8765" s="20"/>
    </row>
    <row r="8766" spans="1:12" ht="12.75" outlineLevel="1">
      <c r="A8766" s="11"/>
      <c r="B8766" s="12" t="str">
        <f>IFERROR(VLOOKUP(D8766,'[1]Перечень товаров'!$A$2:$I9525,2,0),"")</f>
        <v/>
      </c>
      <c r="C8766" s="12" t="str">
        <f>IFERROR(VLOOKUP(D8766,'[1]Перечень товаров'!$A$2:$I9525,3,0),"")</f>
        <v/>
      </c>
      <c r="D8766" s="27" t="s">
        <v>871</v>
      </c>
      <c r="E8766" s="14" t="s">
        <v>2113</v>
      </c>
      <c r="F8766" s="14"/>
      <c r="G8766" s="17"/>
      <c r="H8766" s="17"/>
      <c r="I8766" s="57"/>
      <c r="J8766" s="57"/>
      <c r="K8766" s="19"/>
      <c r="L8766" s="20"/>
    </row>
    <row r="8767" spans="1:12" outlineLevel="2">
      <c r="A8767" s="22"/>
      <c r="B8767" s="12" t="str">
        <f>IFERROR(VLOOKUP(D8767,'[1]Перечень товаров'!$A$2:$I9525,2,0),"")</f>
        <v>м14</v>
      </c>
      <c r="C8767" s="12" t="str">
        <f>IFERROR(VLOOKUP(D8767,'[1]Перечень товаров'!$A$2:$I9525,3,0),"")</f>
        <v>Мебель</v>
      </c>
      <c r="D8767" s="22" t="s">
        <v>43</v>
      </c>
      <c r="E8767" s="203"/>
      <c r="F8767" s="203"/>
      <c r="G8767" s="24">
        <v>1</v>
      </c>
      <c r="H8767" s="24"/>
      <c r="I8767" s="25"/>
      <c r="J8767" s="25"/>
      <c r="K8767" s="19"/>
      <c r="L8767" s="20"/>
    </row>
    <row r="8768" spans="1:12" outlineLevel="2">
      <c r="A8768" s="21"/>
      <c r="B8768" s="12" t="str">
        <f>IFERROR(VLOOKUP(D8768,'[1]Перечень товаров'!$A$2:$I9525,2,0),"")</f>
        <v>м167</v>
      </c>
      <c r="C8768" s="12" t="str">
        <f>IFERROR(VLOOKUP(D8768,'[1]Перечень товаров'!$A$2:$I9525,3,0),"")</f>
        <v>Мебель</v>
      </c>
      <c r="D8768" s="22" t="s">
        <v>508</v>
      </c>
      <c r="E8768" s="203"/>
      <c r="F8768" s="203"/>
      <c r="G8768" s="24">
        <v>1</v>
      </c>
      <c r="H8768" s="24"/>
      <c r="I8768" s="25"/>
      <c r="J8768" s="25"/>
      <c r="K8768" s="19"/>
      <c r="L8768" s="20"/>
    </row>
    <row r="8769" spans="1:12" outlineLevel="2">
      <c r="A8769" s="21"/>
      <c r="B8769" s="12" t="str">
        <f>IFERROR(VLOOKUP(D8769,'[1]Перечень товаров'!$A$2:$I9525,2,0),"")</f>
        <v>м218</v>
      </c>
      <c r="C8769" s="12" t="str">
        <f>IFERROR(VLOOKUP(D8769,'[1]Перечень товаров'!$A$2:$I9525,3,0),"")</f>
        <v>Мебель</v>
      </c>
      <c r="D8769" s="22" t="s">
        <v>872</v>
      </c>
      <c r="E8769" s="203"/>
      <c r="F8769" s="203"/>
      <c r="G8769" s="24">
        <v>2</v>
      </c>
      <c r="H8769" s="24"/>
      <c r="I8769" s="25"/>
      <c r="J8769" s="25"/>
      <c r="K8769" s="19"/>
      <c r="L8769" s="20"/>
    </row>
    <row r="8770" spans="1:12" outlineLevel="2">
      <c r="A8770" s="21"/>
      <c r="B8770" s="12" t="str">
        <f>IFERROR(VLOOKUP(D8770,'[1]Перечень товаров'!$A$2:$I9525,2,0),"")</f>
        <v>м219</v>
      </c>
      <c r="C8770" s="12" t="str">
        <f>IFERROR(VLOOKUP(D8770,'[1]Перечень товаров'!$A$2:$I9525,3,0),"")</f>
        <v>Мебель</v>
      </c>
      <c r="D8770" s="22" t="s">
        <v>873</v>
      </c>
      <c r="E8770" s="203"/>
      <c r="F8770" s="203"/>
      <c r="G8770" s="24">
        <v>4</v>
      </c>
      <c r="H8770" s="24"/>
      <c r="I8770" s="25"/>
      <c r="J8770" s="25"/>
      <c r="K8770" s="19"/>
      <c r="L8770" s="20"/>
    </row>
    <row r="8771" spans="1:12" outlineLevel="2">
      <c r="A8771" s="21"/>
      <c r="B8771" s="12" t="str">
        <f>IFERROR(VLOOKUP(D8771,'[1]Перечень товаров'!$A$2:$I9525,2,0),"")</f>
        <v>м220</v>
      </c>
      <c r="C8771" s="12" t="str">
        <f>IFERROR(VLOOKUP(D8771,'[1]Перечень товаров'!$A$2:$I9525,3,0),"")</f>
        <v>Мебель</v>
      </c>
      <c r="D8771" s="22" t="s">
        <v>874</v>
      </c>
      <c r="E8771" s="203"/>
      <c r="F8771" s="203"/>
      <c r="G8771" s="24">
        <v>1</v>
      </c>
      <c r="H8771" s="24"/>
      <c r="I8771" s="25"/>
      <c r="J8771" s="25"/>
      <c r="K8771" s="19"/>
      <c r="L8771" s="20"/>
    </row>
    <row r="8772" spans="1:12" outlineLevel="2">
      <c r="A8772" s="21"/>
      <c r="B8772" s="12" t="str">
        <f>IFERROR(VLOOKUP(D8772,'[1]Перечень товаров'!$A$2:$I9525,2,0),"")</f>
        <v>м187</v>
      </c>
      <c r="C8772" s="12" t="str">
        <f>IFERROR(VLOOKUP(D8772,'[1]Перечень товаров'!$A$2:$I9525,3,0),"")</f>
        <v>мебель</v>
      </c>
      <c r="D8772" s="22" t="s">
        <v>877</v>
      </c>
      <c r="E8772" s="203"/>
      <c r="F8772" s="203"/>
      <c r="G8772" s="24">
        <v>1</v>
      </c>
      <c r="H8772" s="24"/>
      <c r="I8772" s="25"/>
      <c r="J8772" s="25"/>
      <c r="K8772" s="19"/>
      <c r="L8772" s="20"/>
    </row>
    <row r="8773" spans="1:12" outlineLevel="2">
      <c r="A8773" s="21"/>
      <c r="B8773" s="12" t="str">
        <f>IFERROR(VLOOKUP(D8773,'[1]Перечень товаров'!$A$2:$I9525,2,0),"")</f>
        <v>м30</v>
      </c>
      <c r="C8773" s="12" t="str">
        <f>IFERROR(VLOOKUP(D8773,'[1]Перечень товаров'!$A$2:$I9525,3,0),"")</f>
        <v>Мебель</v>
      </c>
      <c r="D8773" s="22" t="s">
        <v>181</v>
      </c>
      <c r="E8773" s="203"/>
      <c r="F8773" s="203"/>
      <c r="G8773" s="24">
        <v>2</v>
      </c>
      <c r="H8773" s="24"/>
      <c r="I8773" s="25"/>
      <c r="J8773" s="25"/>
      <c r="K8773" s="19"/>
      <c r="L8773" s="20"/>
    </row>
    <row r="8774" spans="1:12" outlineLevel="2">
      <c r="A8774" s="21"/>
      <c r="B8774" s="12" t="str">
        <f>IFERROR(VLOOKUP(D8774,'[1]Перечень товаров'!$A$2:$I9525,2,0),"")</f>
        <v>м221</v>
      </c>
      <c r="C8774" s="12" t="str">
        <f>IFERROR(VLOOKUP(D8774,'[1]Перечень товаров'!$A$2:$I9525,3,0),"")</f>
        <v>Мебель</v>
      </c>
      <c r="D8774" s="22" t="s">
        <v>878</v>
      </c>
      <c r="E8774" s="203"/>
      <c r="F8774" s="203"/>
      <c r="G8774" s="24">
        <v>2</v>
      </c>
      <c r="H8774" s="24"/>
      <c r="I8774" s="25"/>
      <c r="J8774" s="25"/>
      <c r="K8774" s="19"/>
      <c r="L8774" s="20"/>
    </row>
    <row r="8775" spans="1:12" ht="12.75" outlineLevel="1">
      <c r="A8775" s="11"/>
      <c r="B8775" s="12" t="str">
        <f>IFERROR(VLOOKUP(D8775,'[1]Перечень товаров'!$A$2:$I9525,2,0),"")</f>
        <v/>
      </c>
      <c r="C8775" s="12" t="str">
        <f>IFERROR(VLOOKUP(D8775,'[1]Перечень товаров'!$A$2:$I9525,3,0),"")</f>
        <v/>
      </c>
      <c r="D8775" s="27" t="s">
        <v>879</v>
      </c>
      <c r="E8775" s="99">
        <v>46084</v>
      </c>
      <c r="F8775" s="99"/>
      <c r="G8775" s="100"/>
      <c r="H8775" s="100"/>
      <c r="I8775" s="101"/>
      <c r="J8775" s="101"/>
      <c r="K8775" s="19"/>
      <c r="L8775" s="20"/>
    </row>
    <row r="8776" spans="1:12" outlineLevel="2">
      <c r="A8776" s="43"/>
      <c r="B8776" s="12" t="str">
        <f>IFERROR(VLOOKUP(D8776,'[1]Перечень товаров'!$A$2:$I9525,2,0),"")</f>
        <v>м222</v>
      </c>
      <c r="C8776" s="12" t="str">
        <f>IFERROR(VLOOKUP(D8776,'[1]Перечень товаров'!$A$2:$I9525,3,0),"")</f>
        <v>Мебель</v>
      </c>
      <c r="D8776" s="44" t="s">
        <v>880</v>
      </c>
      <c r="E8776" s="102"/>
      <c r="F8776" s="102"/>
      <c r="G8776" s="24">
        <v>1</v>
      </c>
      <c r="H8776" s="24"/>
      <c r="I8776" s="25"/>
      <c r="J8776" s="25"/>
      <c r="K8776" s="19"/>
      <c r="L8776" s="20"/>
    </row>
    <row r="8777" spans="1:12" outlineLevel="2">
      <c r="A8777" s="43"/>
      <c r="B8777" s="12" t="str">
        <f>IFERROR(VLOOKUP(D8777,'[1]Перечень товаров'!$A$2:$I9525,2,0),"")</f>
        <v>м223</v>
      </c>
      <c r="C8777" s="12" t="str">
        <f>IFERROR(VLOOKUP(D8777,'[1]Перечень товаров'!$A$2:$I9525,3,0),"")</f>
        <v>Мебель</v>
      </c>
      <c r="D8777" s="44" t="s">
        <v>881</v>
      </c>
      <c r="E8777" s="102"/>
      <c r="F8777" s="102"/>
      <c r="G8777" s="24">
        <v>1</v>
      </c>
      <c r="H8777" s="24"/>
      <c r="I8777" s="25"/>
      <c r="J8777" s="25"/>
      <c r="K8777" s="19"/>
      <c r="L8777" s="20"/>
    </row>
    <row r="8778" spans="1:12" outlineLevel="2">
      <c r="A8778" s="43"/>
      <c r="B8778" s="12" t="str">
        <f>IFERROR(VLOOKUP(D8778,'[1]Перечень товаров'!$A$2:$I9525,2,0),"")</f>
        <v>м224</v>
      </c>
      <c r="C8778" s="12" t="str">
        <f>IFERROR(VLOOKUP(D8778,'[1]Перечень товаров'!$A$2:$I9525,3,0),"")</f>
        <v>Мебель</v>
      </c>
      <c r="D8778" s="44" t="s">
        <v>882</v>
      </c>
      <c r="E8778" s="102"/>
      <c r="F8778" s="102"/>
      <c r="G8778" s="24">
        <v>1</v>
      </c>
      <c r="H8778" s="24"/>
      <c r="I8778" s="25"/>
      <c r="J8778" s="25"/>
      <c r="K8778" s="19"/>
      <c r="L8778" s="20"/>
    </row>
    <row r="8779" spans="1:12" outlineLevel="2">
      <c r="A8779" s="43"/>
      <c r="B8779" s="12" t="str">
        <f>IFERROR(VLOOKUP(D8779,'[1]Перечень товаров'!$A$2:$I9525,2,0),"")</f>
        <v>м225</v>
      </c>
      <c r="C8779" s="12" t="str">
        <f>IFERROR(VLOOKUP(D8779,'[1]Перечень товаров'!$A$2:$I9525,3,0),"")</f>
        <v>Мебель</v>
      </c>
      <c r="D8779" s="44" t="s">
        <v>883</v>
      </c>
      <c r="E8779" s="102"/>
      <c r="F8779" s="102"/>
      <c r="G8779" s="24">
        <v>1</v>
      </c>
      <c r="H8779" s="24"/>
      <c r="I8779" s="25"/>
      <c r="J8779" s="25"/>
      <c r="K8779" s="19"/>
      <c r="L8779" s="20"/>
    </row>
    <row r="8780" spans="1:12" outlineLevel="2">
      <c r="A8780" s="43"/>
      <c r="B8780" s="12" t="str">
        <f>IFERROR(VLOOKUP(D8780,'[1]Перечень товаров'!$A$2:$I9525,2,0),"")</f>
        <v>п28</v>
      </c>
      <c r="C8780" s="12" t="str">
        <f>IFERROR(VLOOKUP(D8780,'[1]Перечень товаров'!$A$2:$I9525,3,0),"")</f>
        <v>Прочее</v>
      </c>
      <c r="D8780" s="44" t="s">
        <v>363</v>
      </c>
      <c r="E8780" s="102"/>
      <c r="F8780" s="102"/>
      <c r="G8780" s="24">
        <v>1</v>
      </c>
      <c r="H8780" s="24"/>
      <c r="I8780" s="25"/>
      <c r="J8780" s="25"/>
      <c r="K8780" s="19"/>
      <c r="L8780" s="20"/>
    </row>
    <row r="8781" spans="1:12" outlineLevel="2">
      <c r="A8781" s="43"/>
      <c r="B8781" s="12" t="str">
        <f>IFERROR(VLOOKUP(D8781,'[1]Перечень товаров'!$A$2:$I9525,2,0),"")</f>
        <v>м226</v>
      </c>
      <c r="C8781" s="12" t="str">
        <f>IFERROR(VLOOKUP(D8781,'[1]Перечень товаров'!$A$2:$I9525,3,0),"")</f>
        <v>Мебель</v>
      </c>
      <c r="D8781" s="44" t="s">
        <v>884</v>
      </c>
      <c r="E8781" s="102"/>
      <c r="F8781" s="102"/>
      <c r="G8781" s="24">
        <v>1</v>
      </c>
      <c r="H8781" s="24"/>
      <c r="I8781" s="25"/>
      <c r="J8781" s="25"/>
      <c r="K8781" s="19"/>
      <c r="L8781" s="20"/>
    </row>
    <row r="8782" spans="1:12" ht="12.75" outlineLevel="1">
      <c r="A8782" s="11"/>
      <c r="B8782" s="12" t="str">
        <f>IFERROR(VLOOKUP(D8782,'[1]Перечень товаров'!$A$2:$I9525,2,0),"")</f>
        <v/>
      </c>
      <c r="C8782" s="12" t="str">
        <f>IFERROR(VLOOKUP(D8782,'[1]Перечень товаров'!$A$2:$I9525,3,0),"")</f>
        <v/>
      </c>
      <c r="D8782" s="27" t="s">
        <v>521</v>
      </c>
      <c r="E8782" s="99">
        <v>46083</v>
      </c>
      <c r="F8782" s="99"/>
      <c r="G8782" s="100"/>
      <c r="H8782" s="100"/>
      <c r="I8782" s="101"/>
      <c r="J8782" s="101"/>
      <c r="K8782" s="19"/>
      <c r="L8782" s="20"/>
    </row>
    <row r="8783" spans="1:12" outlineLevel="2">
      <c r="A8783" s="22"/>
      <c r="B8783" s="12" t="str">
        <f>IFERROR(VLOOKUP(D8783,'[1]Перечень товаров'!$A$2:$I9525,2,0),"")</f>
        <v>п25</v>
      </c>
      <c r="C8783" s="12" t="str">
        <f>IFERROR(VLOOKUP(D8783,'[1]Перечень товаров'!$A$2:$I9525,3,0),"")</f>
        <v>Прочее</v>
      </c>
      <c r="D8783" s="22" t="s">
        <v>360</v>
      </c>
      <c r="E8783" s="102"/>
      <c r="F8783" s="102"/>
      <c r="G8783" s="48">
        <v>3</v>
      </c>
      <c r="H8783" s="48"/>
      <c r="I8783" s="49"/>
      <c r="J8783" s="49"/>
      <c r="K8783" s="33"/>
      <c r="L8783" s="20"/>
    </row>
    <row r="8784" spans="1:12" outlineLevel="2">
      <c r="A8784" s="21"/>
      <c r="B8784" s="12" t="str">
        <f>IFERROR(VLOOKUP(D8784,'[1]Перечень товаров'!$A$2:$I9525,2,0),"")</f>
        <v>п26</v>
      </c>
      <c r="C8784" s="12" t="str">
        <f>IFERROR(VLOOKUP(D8784,'[1]Перечень товаров'!$A$2:$I9525,3,0),"")</f>
        <v>Прочее</v>
      </c>
      <c r="D8784" s="22" t="s">
        <v>361</v>
      </c>
      <c r="E8784" s="102"/>
      <c r="F8784" s="102"/>
      <c r="G8784" s="48">
        <v>2</v>
      </c>
      <c r="H8784" s="48"/>
      <c r="I8784" s="49"/>
      <c r="J8784" s="49"/>
      <c r="K8784" s="33"/>
      <c r="L8784" s="20"/>
    </row>
    <row r="8785" spans="1:12" outlineLevel="2">
      <c r="A8785" s="21"/>
      <c r="B8785" s="12" t="str">
        <f>IFERROR(VLOOKUP(D8785,'[1]Перечень товаров'!$A$2:$I9525,2,0),"")</f>
        <v>п27</v>
      </c>
      <c r="C8785" s="12" t="str">
        <f>IFERROR(VLOOKUP(D8785,'[1]Перечень товаров'!$A$2:$I9525,3,0),"")</f>
        <v>Прочее</v>
      </c>
      <c r="D8785" s="22" t="s">
        <v>362</v>
      </c>
      <c r="E8785" s="102"/>
      <c r="F8785" s="102"/>
      <c r="G8785" s="48">
        <v>2</v>
      </c>
      <c r="H8785" s="48"/>
      <c r="I8785" s="49"/>
      <c r="J8785" s="49"/>
      <c r="K8785" s="33"/>
      <c r="L8785" s="20"/>
    </row>
    <row r="8786" spans="1:12" outlineLevel="2">
      <c r="A8786" s="21"/>
      <c r="B8786" s="12" t="str">
        <f>IFERROR(VLOOKUP(D8786,'[1]Перечень товаров'!$A$2:$I9525,2,0),"")</f>
        <v>п28</v>
      </c>
      <c r="C8786" s="12" t="str">
        <f>IFERROR(VLOOKUP(D8786,'[1]Перечень товаров'!$A$2:$I9525,3,0),"")</f>
        <v>Прочее</v>
      </c>
      <c r="D8786" s="22" t="s">
        <v>363</v>
      </c>
      <c r="E8786" s="102"/>
      <c r="F8786" s="102"/>
      <c r="G8786" s="48">
        <v>1</v>
      </c>
      <c r="H8786" s="48"/>
      <c r="I8786" s="49"/>
      <c r="J8786" s="49"/>
      <c r="K8786" s="33"/>
      <c r="L8786" s="20"/>
    </row>
    <row r="8787" spans="1:12" outlineLevel="2">
      <c r="A8787" s="21"/>
      <c r="B8787" s="12" t="str">
        <f>IFERROR(VLOOKUP(D8787,'[1]Перечень товаров'!$A$2:$I9525,2,0),"")</f>
        <v>п29</v>
      </c>
      <c r="C8787" s="12" t="str">
        <f>IFERROR(VLOOKUP(D8787,'[1]Перечень товаров'!$A$2:$I9525,3,0),"")</f>
        <v>Прочее</v>
      </c>
      <c r="D8787" s="22" t="s">
        <v>364</v>
      </c>
      <c r="E8787" s="102"/>
      <c r="F8787" s="102"/>
      <c r="G8787" s="48">
        <v>6</v>
      </c>
      <c r="H8787" s="48"/>
      <c r="I8787" s="49"/>
      <c r="J8787" s="49"/>
      <c r="K8787" s="33"/>
      <c r="L8787" s="20"/>
    </row>
    <row r="8788" spans="1:12" outlineLevel="2">
      <c r="A8788" s="21"/>
      <c r="B8788" s="12" t="str">
        <f>IFERROR(VLOOKUP(D8788,'[1]Перечень товаров'!$A$2:$I9525,2,0),"")</f>
        <v>п30</v>
      </c>
      <c r="C8788" s="12" t="str">
        <f>IFERROR(VLOOKUP(D8788,'[1]Перечень товаров'!$A$2:$I9525,3,0),"")</f>
        <v>Прочее</v>
      </c>
      <c r="D8788" s="22" t="s">
        <v>365</v>
      </c>
      <c r="E8788" s="102"/>
      <c r="F8788" s="102"/>
      <c r="G8788" s="48">
        <v>2</v>
      </c>
      <c r="H8788" s="48"/>
      <c r="I8788" s="49"/>
      <c r="J8788" s="49"/>
      <c r="K8788" s="33"/>
      <c r="L8788" s="20"/>
    </row>
    <row r="8789" spans="1:12" ht="31.5" outlineLevel="2">
      <c r="A8789" s="21"/>
      <c r="B8789" s="12" t="str">
        <f>IFERROR(VLOOKUP(D8789,'[1]Перечень товаров'!$A$2:$I9525,2,0),"")</f>
        <v>п31</v>
      </c>
      <c r="C8789" s="12" t="str">
        <f>IFERROR(VLOOKUP(D8789,'[1]Перечень товаров'!$A$2:$I9525,3,0),"")</f>
        <v>Прочее</v>
      </c>
      <c r="D8789" s="22" t="s">
        <v>366</v>
      </c>
      <c r="E8789" s="102"/>
      <c r="F8789" s="102"/>
      <c r="G8789" s="48">
        <v>1</v>
      </c>
      <c r="H8789" s="48"/>
      <c r="I8789" s="49"/>
      <c r="J8789" s="49"/>
      <c r="K8789" s="33"/>
      <c r="L8789" s="20"/>
    </row>
    <row r="8790" spans="1:12" ht="31.5" outlineLevel="2">
      <c r="A8790" s="21"/>
      <c r="B8790" s="12" t="str">
        <f>IFERROR(VLOOKUP(D8790,'[1]Перечень товаров'!$A$2:$I9525,2,0),"")</f>
        <v>п32</v>
      </c>
      <c r="C8790" s="12" t="str">
        <f>IFERROR(VLOOKUP(D8790,'[1]Перечень товаров'!$A$2:$I9525,3,0),"")</f>
        <v>Прочее</v>
      </c>
      <c r="D8790" s="22" t="s">
        <v>367</v>
      </c>
      <c r="E8790" s="102"/>
      <c r="F8790" s="102"/>
      <c r="G8790" s="48">
        <v>2</v>
      </c>
      <c r="H8790" s="48"/>
      <c r="I8790" s="49"/>
      <c r="J8790" s="49"/>
      <c r="K8790" s="33"/>
      <c r="L8790" s="20"/>
    </row>
    <row r="8791" spans="1:12" outlineLevel="1">
      <c r="A8791" s="21"/>
      <c r="B8791" s="12" t="str">
        <f>IFERROR(VLOOKUP(D8791,'[1]Перечень товаров'!$A$2:$I9525,2,0),"")</f>
        <v/>
      </c>
      <c r="C8791" s="12" t="str">
        <f>IFERROR(VLOOKUP(D8791,'[1]Перечень товаров'!$A$2:$I9525,3,0),"")</f>
        <v/>
      </c>
      <c r="D8791" s="22" t="s">
        <v>885</v>
      </c>
      <c r="E8791" s="23" t="s">
        <v>375</v>
      </c>
      <c r="F8791" s="23"/>
      <c r="G8791" s="24"/>
      <c r="H8791" s="24"/>
      <c r="I8791" s="25"/>
      <c r="J8791" s="25"/>
      <c r="K8791" s="19"/>
      <c r="L8791" s="20"/>
    </row>
    <row r="8792" spans="1:12" ht="12.75" outlineLevel="1">
      <c r="A8792" s="11"/>
      <c r="B8792" s="12" t="str">
        <f>IFERROR(VLOOKUP(D8792,'[1]Перечень товаров'!$A$2:$I9525,2,0),"")</f>
        <v/>
      </c>
      <c r="C8792" s="12" t="str">
        <f>IFERROR(VLOOKUP(D8792,'[1]Перечень товаров'!$A$2:$I9525,3,0),"")</f>
        <v/>
      </c>
      <c r="D8792" s="27" t="s">
        <v>2114</v>
      </c>
      <c r="E8792" s="99">
        <v>46192</v>
      </c>
      <c r="F8792" s="99"/>
      <c r="G8792" s="100"/>
      <c r="H8792" s="100"/>
      <c r="I8792" s="101"/>
      <c r="J8792" s="101"/>
      <c r="K8792" s="19"/>
      <c r="L8792" s="20"/>
    </row>
    <row r="8793" spans="1:12" outlineLevel="2">
      <c r="A8793" s="21"/>
      <c r="B8793" s="12" t="str">
        <f>IFERROR(VLOOKUP(D8793,'[1]Перечень товаров'!$A$2:$I9525,2,0),"")</f>
        <v>тм77</v>
      </c>
      <c r="C8793" s="12" t="str">
        <f>IFERROR(VLOOKUP(D8793,'[1]Перечень товаров'!$A$2:$I9525,3,0),"")</f>
        <v>Техника муз</v>
      </c>
      <c r="D8793" s="22" t="s">
        <v>875</v>
      </c>
      <c r="E8793" s="23"/>
      <c r="F8793" s="23"/>
      <c r="G8793" s="24">
        <v>2</v>
      </c>
      <c r="H8793" s="24"/>
      <c r="I8793" s="25"/>
      <c r="J8793" s="25"/>
      <c r="K8793" s="19"/>
      <c r="L8793" s="20"/>
    </row>
    <row r="8794" spans="1:12" outlineLevel="2">
      <c r="A8794" s="21"/>
      <c r="B8794" s="12" t="str">
        <f>IFERROR(VLOOKUP(D8794,'[1]Перечень товаров'!$A$2:$I9525,2,0),"")</f>
        <v>м137</v>
      </c>
      <c r="C8794" s="12" t="str">
        <f>IFERROR(VLOOKUP(D8794,'[1]Перечень товаров'!$A$2:$I9525,3,0),"")</f>
        <v>мебель</v>
      </c>
      <c r="D8794" s="22" t="s">
        <v>876</v>
      </c>
      <c r="E8794" s="23"/>
      <c r="F8794" s="23"/>
      <c r="G8794" s="24">
        <v>2</v>
      </c>
      <c r="H8794" s="24"/>
      <c r="I8794" s="25"/>
      <c r="J8794" s="25"/>
      <c r="K8794" s="19"/>
      <c r="L8794" s="20"/>
    </row>
    <row r="8795" spans="1:12" outlineLevel="2">
      <c r="A8795" s="21"/>
      <c r="B8795" s="12" t="str">
        <f>IFERROR(VLOOKUP(D8795,'[1]Перечень товаров'!$A$2:$I9525,2,0),"")</f>
        <v>м187</v>
      </c>
      <c r="C8795" s="12" t="str">
        <f>IFERROR(VLOOKUP(D8795,'[1]Перечень товаров'!$A$2:$I9525,3,0),"")</f>
        <v>мебель</v>
      </c>
      <c r="D8795" s="22" t="s">
        <v>877</v>
      </c>
      <c r="E8795" s="23"/>
      <c r="F8795" s="23"/>
      <c r="G8795" s="24">
        <v>2</v>
      </c>
      <c r="H8795" s="24"/>
      <c r="I8795" s="25"/>
      <c r="J8795" s="25"/>
      <c r="K8795" s="19"/>
      <c r="L8795" s="20"/>
    </row>
    <row r="8796" spans="1:12" outlineLevel="2">
      <c r="A8796" s="21"/>
      <c r="B8796" s="12" t="str">
        <f>IFERROR(VLOOKUP(D8796,'[1]Перечень товаров'!$A$2:$I9525,2,0),"")</f>
        <v>м30</v>
      </c>
      <c r="C8796" s="12" t="str">
        <f>IFERROR(VLOOKUP(D8796,'[1]Перечень товаров'!$A$2:$I9525,3,0),"")</f>
        <v>Мебель</v>
      </c>
      <c r="D8796" s="22" t="s">
        <v>181</v>
      </c>
      <c r="E8796" s="23"/>
      <c r="F8796" s="23"/>
      <c r="G8796" s="24">
        <v>4</v>
      </c>
      <c r="H8796" s="24"/>
      <c r="I8796" s="25"/>
      <c r="J8796" s="25"/>
      <c r="K8796" s="19"/>
      <c r="L8796" s="20"/>
    </row>
    <row r="8797" spans="1:12" outlineLevel="2">
      <c r="A8797" s="21"/>
      <c r="B8797" s="12" t="str">
        <f>IFERROR(VLOOKUP(D8797,'[1]Перечень товаров'!$A$2:$I9525,2,0),"")</f>
        <v>м221</v>
      </c>
      <c r="C8797" s="12" t="str">
        <f>IFERROR(VLOOKUP(D8797,'[1]Перечень товаров'!$A$2:$I9525,3,0),"")</f>
        <v>Мебель</v>
      </c>
      <c r="D8797" s="22" t="s">
        <v>878</v>
      </c>
      <c r="E8797" s="23"/>
      <c r="F8797" s="23"/>
      <c r="G8797" s="24">
        <v>1</v>
      </c>
      <c r="H8797" s="24"/>
      <c r="I8797" s="25"/>
      <c r="J8797" s="25"/>
      <c r="K8797" s="19"/>
      <c r="L8797" s="20"/>
    </row>
    <row r="8798" spans="1:12" ht="31.5" outlineLevel="2">
      <c r="A8798" s="21"/>
      <c r="B8798" s="12" t="str">
        <f>IFERROR(VLOOKUP(D8798,'[1]Перечень товаров'!$A$2:$I9525,2,0),"")</f>
        <v>м138</v>
      </c>
      <c r="C8798" s="12" t="str">
        <f>IFERROR(VLOOKUP(D8798,'[1]Перечень товаров'!$A$2:$I9525,3,0),"")</f>
        <v>мебель</v>
      </c>
      <c r="D8798" s="22" t="s">
        <v>1573</v>
      </c>
      <c r="E8798" s="23"/>
      <c r="F8798" s="23"/>
      <c r="G8798" s="24">
        <v>1</v>
      </c>
      <c r="H8798" s="24"/>
      <c r="I8798" s="25"/>
      <c r="J8798" s="25"/>
      <c r="K8798" s="19"/>
      <c r="L8798" s="20"/>
    </row>
    <row r="8799" spans="1:12" ht="12.75" outlineLevel="1">
      <c r="A8799" s="11"/>
      <c r="B8799" s="12" t="str">
        <f>IFERROR(VLOOKUP(D8799,'[1]Перечень товаров'!$A$2:$I9525,2,0),"")</f>
        <v/>
      </c>
      <c r="C8799" s="12" t="str">
        <f>IFERROR(VLOOKUP(D8799,'[1]Перечень товаров'!$A$2:$I9525,3,0),"")</f>
        <v/>
      </c>
      <c r="D8799" s="27" t="s">
        <v>2101</v>
      </c>
      <c r="E8799" s="14" t="s">
        <v>2115</v>
      </c>
      <c r="F8799" s="14"/>
      <c r="G8799" s="17"/>
      <c r="H8799" s="17"/>
      <c r="I8799" s="57"/>
      <c r="J8799" s="57"/>
      <c r="K8799" s="19"/>
      <c r="L8799" s="20"/>
    </row>
    <row r="8800" spans="1:12" outlineLevel="2">
      <c r="A8800" s="21"/>
      <c r="B8800" s="12" t="str">
        <f>IFERROR(VLOOKUP(D8800,'[1]Перечень товаров'!$A$2:$I9525,2,0),"")</f>
        <v>тм77</v>
      </c>
      <c r="C8800" s="12" t="str">
        <f>IFERROR(VLOOKUP(D8800,'[1]Перечень товаров'!$A$2:$I9525,3,0),"")</f>
        <v>Техника муз</v>
      </c>
      <c r="D8800" s="22" t="s">
        <v>875</v>
      </c>
      <c r="E8800" s="23"/>
      <c r="F8800" s="23"/>
      <c r="G8800" s="24">
        <v>2</v>
      </c>
      <c r="H8800" s="24"/>
      <c r="I8800" s="25"/>
      <c r="J8800" s="25"/>
      <c r="K8800" s="19"/>
      <c r="L8800" s="20"/>
    </row>
    <row r="8801" spans="1:12" outlineLevel="2">
      <c r="A8801" s="21"/>
      <c r="B8801" s="12" t="str">
        <f>IFERROR(VLOOKUP(D8801,'[1]Перечень товаров'!$A$2:$I9525,2,0),"")</f>
        <v>м137</v>
      </c>
      <c r="C8801" s="12" t="str">
        <f>IFERROR(VLOOKUP(D8801,'[1]Перечень товаров'!$A$2:$I9525,3,0),"")</f>
        <v>мебель</v>
      </c>
      <c r="D8801" s="22" t="s">
        <v>876</v>
      </c>
      <c r="E8801" s="23"/>
      <c r="F8801" s="23"/>
      <c r="G8801" s="24">
        <v>2</v>
      </c>
      <c r="H8801" s="24"/>
      <c r="I8801" s="25"/>
      <c r="J8801" s="25"/>
      <c r="K8801" s="19"/>
      <c r="L8801" s="20"/>
    </row>
    <row r="8802" spans="1:12" outlineLevel="2">
      <c r="A8802" s="21"/>
      <c r="B8802" s="12" t="str">
        <f>IFERROR(VLOOKUP(D8802,'[1]Перечень товаров'!$A$2:$I9525,2,0),"")</f>
        <v>м187</v>
      </c>
      <c r="C8802" s="12" t="str">
        <f>IFERROR(VLOOKUP(D8802,'[1]Перечень товаров'!$A$2:$I9525,3,0),"")</f>
        <v>мебель</v>
      </c>
      <c r="D8802" s="22" t="s">
        <v>877</v>
      </c>
      <c r="E8802" s="23"/>
      <c r="F8802" s="23"/>
      <c r="G8802" s="24">
        <v>2</v>
      </c>
      <c r="H8802" s="24"/>
      <c r="I8802" s="25"/>
      <c r="J8802" s="25"/>
      <c r="K8802" s="19"/>
      <c r="L8802" s="20"/>
    </row>
    <row r="8803" spans="1:12" outlineLevel="2">
      <c r="A8803" s="21"/>
      <c r="B8803" s="12" t="str">
        <f>IFERROR(VLOOKUP(D8803,'[1]Перечень товаров'!$A$2:$I9525,2,0),"")</f>
        <v>м30</v>
      </c>
      <c r="C8803" s="12" t="str">
        <f>IFERROR(VLOOKUP(D8803,'[1]Перечень товаров'!$A$2:$I9525,3,0),"")</f>
        <v>Мебель</v>
      </c>
      <c r="D8803" s="22" t="s">
        <v>181</v>
      </c>
      <c r="E8803" s="23"/>
      <c r="F8803" s="23"/>
      <c r="G8803" s="24">
        <v>4</v>
      </c>
      <c r="H8803" s="24"/>
      <c r="I8803" s="25"/>
      <c r="J8803" s="25"/>
      <c r="K8803" s="19"/>
      <c r="L8803" s="20"/>
    </row>
    <row r="8804" spans="1:12" outlineLevel="2">
      <c r="A8804" s="21"/>
      <c r="B8804" s="12" t="str">
        <f>IFERROR(VLOOKUP(D8804,'[1]Перечень товаров'!$A$2:$I9525,2,0),"")</f>
        <v>м221</v>
      </c>
      <c r="C8804" s="12" t="str">
        <f>IFERROR(VLOOKUP(D8804,'[1]Перечень товаров'!$A$2:$I9525,3,0),"")</f>
        <v>Мебель</v>
      </c>
      <c r="D8804" s="22" t="s">
        <v>878</v>
      </c>
      <c r="E8804" s="23"/>
      <c r="F8804" s="23"/>
      <c r="G8804" s="24">
        <v>1</v>
      </c>
      <c r="H8804" s="24"/>
      <c r="I8804" s="25"/>
      <c r="J8804" s="25"/>
      <c r="K8804" s="19"/>
      <c r="L8804" s="20"/>
    </row>
    <row r="8805" spans="1:12" ht="31.5" outlineLevel="2">
      <c r="A8805" s="21"/>
      <c r="B8805" s="12" t="str">
        <f>IFERROR(VLOOKUP(D8805,'[1]Перечень товаров'!$A$2:$I9525,2,0),"")</f>
        <v>м138</v>
      </c>
      <c r="C8805" s="12" t="str">
        <f>IFERROR(VLOOKUP(D8805,'[1]Перечень товаров'!$A$2:$I9525,3,0),"")</f>
        <v>мебель</v>
      </c>
      <c r="D8805" s="22" t="s">
        <v>1573</v>
      </c>
      <c r="E8805" s="23"/>
      <c r="F8805" s="23"/>
      <c r="G8805" s="24">
        <v>1</v>
      </c>
      <c r="H8805" s="24"/>
      <c r="I8805" s="25"/>
      <c r="J8805" s="25"/>
      <c r="K8805" s="19"/>
      <c r="L8805" s="20"/>
    </row>
    <row r="8806" spans="1:12" ht="12.75" outlineLevel="1">
      <c r="A8806" s="11"/>
      <c r="B8806" s="12" t="str">
        <f>IFERROR(VLOOKUP(D8806,'[1]Перечень товаров'!$A$2:$I9525,2,0),"")</f>
        <v/>
      </c>
      <c r="C8806" s="12" t="str">
        <f>IFERROR(VLOOKUP(D8806,'[1]Перечень товаров'!$A$2:$I9525,3,0),"")</f>
        <v/>
      </c>
      <c r="D8806" s="27" t="s">
        <v>2101</v>
      </c>
      <c r="E8806" s="14" t="s">
        <v>2115</v>
      </c>
      <c r="F8806" s="14"/>
      <c r="G8806" s="17"/>
      <c r="H8806" s="17"/>
      <c r="I8806" s="57"/>
      <c r="J8806" s="57"/>
      <c r="K8806" s="19"/>
      <c r="L8806" s="20"/>
    </row>
    <row r="8807" spans="1:12" outlineLevel="2">
      <c r="A8807" s="21"/>
      <c r="B8807" s="12" t="str">
        <f>IFERROR(VLOOKUP(D8807,'[1]Перечень товаров'!$A$2:$I9525,2,0),"")</f>
        <v>тм77</v>
      </c>
      <c r="C8807" s="12" t="str">
        <f>IFERROR(VLOOKUP(D8807,'[1]Перечень товаров'!$A$2:$I9525,3,0),"")</f>
        <v>Техника муз</v>
      </c>
      <c r="D8807" s="22" t="s">
        <v>875</v>
      </c>
      <c r="E8807" s="23"/>
      <c r="F8807" s="23"/>
      <c r="G8807" s="24">
        <v>2</v>
      </c>
      <c r="H8807" s="24"/>
      <c r="I8807" s="25"/>
      <c r="J8807" s="25"/>
      <c r="K8807" s="19"/>
      <c r="L8807" s="20"/>
    </row>
    <row r="8808" spans="1:12" outlineLevel="2">
      <c r="A8808" s="21"/>
      <c r="B8808" s="12" t="str">
        <f>IFERROR(VLOOKUP(D8808,'[1]Перечень товаров'!$A$2:$I9525,2,0),"")</f>
        <v>м137</v>
      </c>
      <c r="C8808" s="12" t="str">
        <f>IFERROR(VLOOKUP(D8808,'[1]Перечень товаров'!$A$2:$I9525,3,0),"")</f>
        <v>мебель</v>
      </c>
      <c r="D8808" s="22" t="s">
        <v>876</v>
      </c>
      <c r="E8808" s="23"/>
      <c r="F8808" s="23"/>
      <c r="G8808" s="24">
        <v>2</v>
      </c>
      <c r="H8808" s="24"/>
      <c r="I8808" s="25"/>
      <c r="J8808" s="25"/>
      <c r="K8808" s="19"/>
      <c r="L8808" s="20"/>
    </row>
    <row r="8809" spans="1:12" outlineLevel="2">
      <c r="A8809" s="21"/>
      <c r="B8809" s="12" t="str">
        <f>IFERROR(VLOOKUP(D8809,'[1]Перечень товаров'!$A$2:$I9525,2,0),"")</f>
        <v>м187</v>
      </c>
      <c r="C8809" s="12" t="str">
        <f>IFERROR(VLOOKUP(D8809,'[1]Перечень товаров'!$A$2:$I9525,3,0),"")</f>
        <v>мебель</v>
      </c>
      <c r="D8809" s="22" t="s">
        <v>877</v>
      </c>
      <c r="E8809" s="23"/>
      <c r="F8809" s="23"/>
      <c r="G8809" s="24">
        <v>2</v>
      </c>
      <c r="H8809" s="24"/>
      <c r="I8809" s="25"/>
      <c r="J8809" s="25"/>
      <c r="K8809" s="19"/>
      <c r="L8809" s="20"/>
    </row>
    <row r="8810" spans="1:12" outlineLevel="2">
      <c r="A8810" s="21"/>
      <c r="B8810" s="12" t="str">
        <f>IFERROR(VLOOKUP(D8810,'[1]Перечень товаров'!$A$2:$I9525,2,0),"")</f>
        <v>м30</v>
      </c>
      <c r="C8810" s="12" t="str">
        <f>IFERROR(VLOOKUP(D8810,'[1]Перечень товаров'!$A$2:$I9525,3,0),"")</f>
        <v>Мебель</v>
      </c>
      <c r="D8810" s="22" t="s">
        <v>181</v>
      </c>
      <c r="E8810" s="23"/>
      <c r="F8810" s="23"/>
      <c r="G8810" s="24">
        <v>4</v>
      </c>
      <c r="H8810" s="24"/>
      <c r="I8810" s="25"/>
      <c r="J8810" s="25"/>
      <c r="K8810" s="19"/>
      <c r="L8810" s="20"/>
    </row>
    <row r="8811" spans="1:12" outlineLevel="2">
      <c r="A8811" s="21"/>
      <c r="B8811" s="12" t="str">
        <f>IFERROR(VLOOKUP(D8811,'[1]Перечень товаров'!$A$2:$I9525,2,0),"")</f>
        <v>м221</v>
      </c>
      <c r="C8811" s="12" t="str">
        <f>IFERROR(VLOOKUP(D8811,'[1]Перечень товаров'!$A$2:$I9525,3,0),"")</f>
        <v>Мебель</v>
      </c>
      <c r="D8811" s="22" t="s">
        <v>878</v>
      </c>
      <c r="E8811" s="23"/>
      <c r="F8811" s="23"/>
      <c r="G8811" s="24">
        <v>1</v>
      </c>
      <c r="H8811" s="24"/>
      <c r="I8811" s="25"/>
      <c r="J8811" s="25"/>
      <c r="K8811" s="19"/>
      <c r="L8811" s="20"/>
    </row>
    <row r="8812" spans="1:12" ht="31.5" outlineLevel="2">
      <c r="A8812" s="21"/>
      <c r="B8812" s="12" t="str">
        <f>IFERROR(VLOOKUP(D8812,'[1]Перечень товаров'!$A$2:$I9525,2,0),"")</f>
        <v>м138</v>
      </c>
      <c r="C8812" s="12" t="str">
        <f>IFERROR(VLOOKUP(D8812,'[1]Перечень товаров'!$A$2:$I9525,3,0),"")</f>
        <v>мебель</v>
      </c>
      <c r="D8812" s="22" t="s">
        <v>1573</v>
      </c>
      <c r="E8812" s="23"/>
      <c r="F8812" s="23"/>
      <c r="G8812" s="24">
        <v>1</v>
      </c>
      <c r="H8812" s="24"/>
      <c r="I8812" s="25"/>
      <c r="J8812" s="25"/>
      <c r="K8812" s="19"/>
      <c r="L8812" s="20"/>
    </row>
    <row r="8813" spans="1:12" ht="12.75" outlineLevel="1">
      <c r="A8813" s="11"/>
      <c r="B8813" s="12" t="str">
        <f>IFERROR(VLOOKUP(D8813,'[1]Перечень товаров'!$A$2:$I9525,2,0),"")</f>
        <v/>
      </c>
      <c r="C8813" s="12" t="str">
        <f>IFERROR(VLOOKUP(D8813,'[1]Перечень товаров'!$A$2:$I9525,3,0),"")</f>
        <v/>
      </c>
      <c r="D8813" s="27" t="s">
        <v>2101</v>
      </c>
      <c r="E8813" s="99">
        <v>46134</v>
      </c>
      <c r="F8813" s="99"/>
      <c r="G8813" s="100"/>
      <c r="H8813" s="100"/>
      <c r="I8813" s="101"/>
      <c r="J8813" s="101"/>
      <c r="K8813" s="19"/>
      <c r="L8813" s="20"/>
    </row>
    <row r="8814" spans="1:12" outlineLevel="2">
      <c r="A8814" s="21"/>
      <c r="B8814" s="12" t="str">
        <f>IFERROR(VLOOKUP(D8814,'[1]Перечень товаров'!$A$2:$I9525,2,0),"")</f>
        <v>тм77</v>
      </c>
      <c r="C8814" s="12" t="str">
        <f>IFERROR(VLOOKUP(D8814,'[1]Перечень товаров'!$A$2:$I9525,3,0),"")</f>
        <v>Техника муз</v>
      </c>
      <c r="D8814" s="22" t="s">
        <v>875</v>
      </c>
      <c r="E8814" s="23"/>
      <c r="F8814" s="23"/>
      <c r="G8814" s="24">
        <v>2</v>
      </c>
      <c r="H8814" s="24"/>
      <c r="I8814" s="25"/>
      <c r="J8814" s="25"/>
      <c r="K8814" s="19"/>
      <c r="L8814" s="20"/>
    </row>
    <row r="8815" spans="1:12" outlineLevel="2">
      <c r="A8815" s="21"/>
      <c r="B8815" s="12" t="str">
        <f>IFERROR(VLOOKUP(D8815,'[1]Перечень товаров'!$A$2:$I9525,2,0),"")</f>
        <v>м137</v>
      </c>
      <c r="C8815" s="12" t="str">
        <f>IFERROR(VLOOKUP(D8815,'[1]Перечень товаров'!$A$2:$I9525,3,0),"")</f>
        <v>мебель</v>
      </c>
      <c r="D8815" s="22" t="s">
        <v>876</v>
      </c>
      <c r="E8815" s="23"/>
      <c r="F8815" s="23"/>
      <c r="G8815" s="24">
        <v>2</v>
      </c>
      <c r="H8815" s="24"/>
      <c r="I8815" s="25"/>
      <c r="J8815" s="25"/>
      <c r="K8815" s="19"/>
      <c r="L8815" s="20"/>
    </row>
    <row r="8816" spans="1:12" outlineLevel="2">
      <c r="A8816" s="21"/>
      <c r="B8816" s="12" t="str">
        <f>IFERROR(VLOOKUP(D8816,'[1]Перечень товаров'!$A$2:$I9525,2,0),"")</f>
        <v>м187</v>
      </c>
      <c r="C8816" s="12" t="str">
        <f>IFERROR(VLOOKUP(D8816,'[1]Перечень товаров'!$A$2:$I9525,3,0),"")</f>
        <v>мебель</v>
      </c>
      <c r="D8816" s="22" t="s">
        <v>877</v>
      </c>
      <c r="E8816" s="23"/>
      <c r="F8816" s="23"/>
      <c r="G8816" s="24">
        <v>2</v>
      </c>
      <c r="H8816" s="24"/>
      <c r="I8816" s="25"/>
      <c r="J8816" s="25"/>
      <c r="K8816" s="19"/>
      <c r="L8816" s="20"/>
    </row>
    <row r="8817" spans="1:12" outlineLevel="2">
      <c r="A8817" s="21"/>
      <c r="B8817" s="12" t="str">
        <f>IFERROR(VLOOKUP(D8817,'[1]Перечень товаров'!$A$2:$I9525,2,0),"")</f>
        <v>м30</v>
      </c>
      <c r="C8817" s="12" t="str">
        <f>IFERROR(VLOOKUP(D8817,'[1]Перечень товаров'!$A$2:$I9525,3,0),"")</f>
        <v>Мебель</v>
      </c>
      <c r="D8817" s="22" t="s">
        <v>181</v>
      </c>
      <c r="E8817" s="23"/>
      <c r="F8817" s="23"/>
      <c r="G8817" s="24">
        <v>4</v>
      </c>
      <c r="H8817" s="24"/>
      <c r="I8817" s="25"/>
      <c r="J8817" s="25"/>
      <c r="K8817" s="19"/>
      <c r="L8817" s="20"/>
    </row>
    <row r="8818" spans="1:12" outlineLevel="2">
      <c r="A8818" s="21"/>
      <c r="B8818" s="12" t="str">
        <f>IFERROR(VLOOKUP(D8818,'[1]Перечень товаров'!$A$2:$I9525,2,0),"")</f>
        <v>м221</v>
      </c>
      <c r="C8818" s="12" t="str">
        <f>IFERROR(VLOOKUP(D8818,'[1]Перечень товаров'!$A$2:$I9525,3,0),"")</f>
        <v>Мебель</v>
      </c>
      <c r="D8818" s="22" t="s">
        <v>878</v>
      </c>
      <c r="E8818" s="23"/>
      <c r="F8818" s="23"/>
      <c r="G8818" s="24">
        <v>1</v>
      </c>
      <c r="H8818" s="24"/>
      <c r="I8818" s="25"/>
      <c r="J8818" s="25"/>
      <c r="K8818" s="19"/>
      <c r="L8818" s="20"/>
    </row>
    <row r="8819" spans="1:12" ht="31.5" outlineLevel="2">
      <c r="A8819" s="21"/>
      <c r="B8819" s="12" t="str">
        <f>IFERROR(VLOOKUP(D8819,'[1]Перечень товаров'!$A$2:$I9525,2,0),"")</f>
        <v>м138</v>
      </c>
      <c r="C8819" s="12" t="str">
        <f>IFERROR(VLOOKUP(D8819,'[1]Перечень товаров'!$A$2:$I9525,3,0),"")</f>
        <v>мебель</v>
      </c>
      <c r="D8819" s="22" t="s">
        <v>1573</v>
      </c>
      <c r="E8819" s="23"/>
      <c r="F8819" s="23"/>
      <c r="G8819" s="24">
        <v>1</v>
      </c>
      <c r="H8819" s="24"/>
      <c r="I8819" s="25"/>
      <c r="J8819" s="25"/>
      <c r="K8819" s="19"/>
      <c r="L8819" s="20"/>
    </row>
    <row r="8820" spans="1:12" outlineLevel="1">
      <c r="A8820" s="21"/>
      <c r="B8820" s="12" t="str">
        <f>IFERROR(VLOOKUP(D8820,'[1]Перечень товаров'!$A$2:$I9525,2,0),"")</f>
        <v/>
      </c>
      <c r="C8820" s="12" t="str">
        <f>IFERROR(VLOOKUP(D8820,'[1]Перечень товаров'!$A$2:$I9525,3,0),"")</f>
        <v/>
      </c>
      <c r="D8820" s="22" t="s">
        <v>169</v>
      </c>
      <c r="E8820" s="23">
        <v>0</v>
      </c>
      <c r="F8820" s="23"/>
      <c r="G8820" s="24"/>
      <c r="H8820" s="24"/>
      <c r="I8820" s="25"/>
      <c r="J8820" s="25"/>
      <c r="K8820" s="19"/>
      <c r="L8820" s="20"/>
    </row>
    <row r="8821" spans="1:12" ht="12.75" outlineLevel="1">
      <c r="A8821" s="11"/>
      <c r="B8821" s="12" t="str">
        <f>IFERROR(VLOOKUP(D8821,'[1]Перечень товаров'!$A$2:$I9525,2,0),"")</f>
        <v/>
      </c>
      <c r="C8821" s="12" t="str">
        <f>IFERROR(VLOOKUP(D8821,'[1]Перечень товаров'!$A$2:$I9525,3,0),"")</f>
        <v/>
      </c>
      <c r="D8821" s="27" t="s">
        <v>871</v>
      </c>
      <c r="E8821" s="99">
        <v>46252</v>
      </c>
      <c r="F8821" s="99"/>
      <c r="G8821" s="100"/>
      <c r="H8821" s="100"/>
      <c r="I8821" s="101"/>
      <c r="J8821" s="101"/>
      <c r="K8821" s="19"/>
      <c r="L8821" s="20"/>
    </row>
    <row r="8822" spans="1:12" outlineLevel="2">
      <c r="A8822" s="22"/>
      <c r="B8822" s="12" t="str">
        <f>IFERROR(VLOOKUP(D8822,'[1]Перечень товаров'!$A$2:$I9525,2,0),"")</f>
        <v>м14</v>
      </c>
      <c r="C8822" s="12" t="str">
        <f>IFERROR(VLOOKUP(D8822,'[1]Перечень товаров'!$A$2:$I9525,3,0),"")</f>
        <v>Мебель</v>
      </c>
      <c r="D8822" s="22" t="s">
        <v>43</v>
      </c>
      <c r="E8822" s="203"/>
      <c r="F8822" s="203"/>
      <c r="G8822" s="24">
        <v>1</v>
      </c>
      <c r="H8822" s="24"/>
      <c r="I8822" s="25"/>
      <c r="J8822" s="25"/>
      <c r="K8822" s="19"/>
      <c r="L8822" s="20"/>
    </row>
    <row r="8823" spans="1:12" outlineLevel="2">
      <c r="A8823" s="21"/>
      <c r="B8823" s="12" t="str">
        <f>IFERROR(VLOOKUP(D8823,'[1]Перечень товаров'!$A$2:$I9525,2,0),"")</f>
        <v>м167</v>
      </c>
      <c r="C8823" s="12" t="str">
        <f>IFERROR(VLOOKUP(D8823,'[1]Перечень товаров'!$A$2:$I9525,3,0),"")</f>
        <v>Мебель</v>
      </c>
      <c r="D8823" s="22" t="s">
        <v>508</v>
      </c>
      <c r="E8823" s="203"/>
      <c r="F8823" s="203"/>
      <c r="G8823" s="24">
        <v>1</v>
      </c>
      <c r="H8823" s="24"/>
      <c r="I8823" s="25"/>
      <c r="J8823" s="25"/>
      <c r="K8823" s="19"/>
      <c r="L8823" s="20"/>
    </row>
    <row r="8824" spans="1:12" outlineLevel="2">
      <c r="A8824" s="21"/>
      <c r="B8824" s="12" t="str">
        <f>IFERROR(VLOOKUP(D8824,'[1]Перечень товаров'!$A$2:$I9525,2,0),"")</f>
        <v>м218</v>
      </c>
      <c r="C8824" s="12" t="str">
        <f>IFERROR(VLOOKUP(D8824,'[1]Перечень товаров'!$A$2:$I9525,3,0),"")</f>
        <v>Мебель</v>
      </c>
      <c r="D8824" s="22" t="s">
        <v>872</v>
      </c>
      <c r="E8824" s="203"/>
      <c r="F8824" s="203"/>
      <c r="G8824" s="24">
        <v>2</v>
      </c>
      <c r="H8824" s="24"/>
      <c r="I8824" s="25"/>
      <c r="J8824" s="25"/>
      <c r="K8824" s="19"/>
      <c r="L8824" s="20"/>
    </row>
    <row r="8825" spans="1:12" outlineLevel="2">
      <c r="A8825" s="21"/>
      <c r="B8825" s="12" t="str">
        <f>IFERROR(VLOOKUP(D8825,'[1]Перечень товаров'!$A$2:$I9525,2,0),"")</f>
        <v>м219</v>
      </c>
      <c r="C8825" s="12" t="str">
        <f>IFERROR(VLOOKUP(D8825,'[1]Перечень товаров'!$A$2:$I9525,3,0),"")</f>
        <v>Мебель</v>
      </c>
      <c r="D8825" s="22" t="s">
        <v>873</v>
      </c>
      <c r="E8825" s="203"/>
      <c r="F8825" s="203"/>
      <c r="G8825" s="24">
        <v>4</v>
      </c>
      <c r="H8825" s="24"/>
      <c r="I8825" s="25"/>
      <c r="J8825" s="25"/>
      <c r="K8825" s="19"/>
      <c r="L8825" s="20"/>
    </row>
    <row r="8826" spans="1:12" outlineLevel="2">
      <c r="A8826" s="21"/>
      <c r="B8826" s="12" t="str">
        <f>IFERROR(VLOOKUP(D8826,'[1]Перечень товаров'!$A$2:$I9525,2,0),"")</f>
        <v>м220</v>
      </c>
      <c r="C8826" s="12" t="str">
        <f>IFERROR(VLOOKUP(D8826,'[1]Перечень товаров'!$A$2:$I9525,3,0),"")</f>
        <v>Мебель</v>
      </c>
      <c r="D8826" s="22" t="s">
        <v>874</v>
      </c>
      <c r="E8826" s="203"/>
      <c r="F8826" s="203"/>
      <c r="G8826" s="24">
        <v>1</v>
      </c>
      <c r="H8826" s="24"/>
      <c r="I8826" s="25"/>
      <c r="J8826" s="25"/>
      <c r="K8826" s="19"/>
      <c r="L8826" s="20"/>
    </row>
    <row r="8827" spans="1:12" outlineLevel="2">
      <c r="A8827" s="21"/>
      <c r="B8827" s="12" t="str">
        <f>IFERROR(VLOOKUP(D8827,'[1]Перечень товаров'!$A$2:$I9525,2,0),"")</f>
        <v>тм77</v>
      </c>
      <c r="C8827" s="12" t="str">
        <f>IFERROR(VLOOKUP(D8827,'[1]Перечень товаров'!$A$2:$I9525,3,0),"")</f>
        <v>Техника муз</v>
      </c>
      <c r="D8827" s="22" t="s">
        <v>875</v>
      </c>
      <c r="E8827" s="203"/>
      <c r="F8827" s="203"/>
      <c r="G8827" s="24">
        <v>1</v>
      </c>
      <c r="H8827" s="24"/>
      <c r="I8827" s="25"/>
      <c r="J8827" s="25"/>
      <c r="K8827" s="19"/>
      <c r="L8827" s="20"/>
    </row>
    <row r="8828" spans="1:12" outlineLevel="2">
      <c r="A8828" s="21"/>
      <c r="B8828" s="12" t="str">
        <f>IFERROR(VLOOKUP(D8828,'[1]Перечень товаров'!$A$2:$I9525,2,0),"")</f>
        <v>м137</v>
      </c>
      <c r="C8828" s="12" t="str">
        <f>IFERROR(VLOOKUP(D8828,'[1]Перечень товаров'!$A$2:$I9525,3,0),"")</f>
        <v>мебель</v>
      </c>
      <c r="D8828" s="22" t="s">
        <v>876</v>
      </c>
      <c r="E8828" s="203"/>
      <c r="F8828" s="203"/>
      <c r="G8828" s="24">
        <v>1</v>
      </c>
      <c r="H8828" s="24"/>
      <c r="I8828" s="25"/>
      <c r="J8828" s="25"/>
      <c r="K8828" s="19"/>
      <c r="L8828" s="20"/>
    </row>
    <row r="8829" spans="1:12" outlineLevel="2">
      <c r="A8829" s="21"/>
      <c r="B8829" s="12" t="str">
        <f>IFERROR(VLOOKUP(D8829,'[1]Перечень товаров'!$A$2:$I9525,2,0),"")</f>
        <v>м187</v>
      </c>
      <c r="C8829" s="12" t="str">
        <f>IFERROR(VLOOKUP(D8829,'[1]Перечень товаров'!$A$2:$I9525,3,0),"")</f>
        <v>мебель</v>
      </c>
      <c r="D8829" s="22" t="s">
        <v>877</v>
      </c>
      <c r="E8829" s="203"/>
      <c r="F8829" s="203"/>
      <c r="G8829" s="24">
        <v>1</v>
      </c>
      <c r="H8829" s="24"/>
      <c r="I8829" s="25"/>
      <c r="J8829" s="25"/>
      <c r="K8829" s="19"/>
      <c r="L8829" s="20"/>
    </row>
    <row r="8830" spans="1:12" outlineLevel="2">
      <c r="A8830" s="21"/>
      <c r="B8830" s="12" t="str">
        <f>IFERROR(VLOOKUP(D8830,'[1]Перечень товаров'!$A$2:$I9525,2,0),"")</f>
        <v>м30</v>
      </c>
      <c r="C8830" s="12" t="str">
        <f>IFERROR(VLOOKUP(D8830,'[1]Перечень товаров'!$A$2:$I9525,3,0),"")</f>
        <v>Мебель</v>
      </c>
      <c r="D8830" s="22" t="s">
        <v>181</v>
      </c>
      <c r="E8830" s="203"/>
      <c r="F8830" s="203"/>
      <c r="G8830" s="24">
        <v>1</v>
      </c>
      <c r="H8830" s="24"/>
      <c r="I8830" s="25"/>
      <c r="J8830" s="25"/>
      <c r="K8830" s="19"/>
      <c r="L8830" s="20"/>
    </row>
    <row r="8831" spans="1:12" outlineLevel="2">
      <c r="A8831" s="21"/>
      <c r="B8831" s="12" t="str">
        <f>IFERROR(VLOOKUP(D8831,'[1]Перечень товаров'!$A$2:$I9525,2,0),"")</f>
        <v>м221</v>
      </c>
      <c r="C8831" s="12" t="str">
        <f>IFERROR(VLOOKUP(D8831,'[1]Перечень товаров'!$A$2:$I9525,3,0),"")</f>
        <v>Мебель</v>
      </c>
      <c r="D8831" s="22" t="s">
        <v>878</v>
      </c>
      <c r="E8831" s="203"/>
      <c r="F8831" s="203"/>
      <c r="G8831" s="24">
        <v>1</v>
      </c>
      <c r="H8831" s="24"/>
      <c r="I8831" s="25"/>
      <c r="J8831" s="25"/>
      <c r="K8831" s="19"/>
      <c r="L8831" s="20"/>
    </row>
    <row r="8832" spans="1:12" ht="12.75" outlineLevel="1">
      <c r="A8832" s="11"/>
      <c r="B8832" s="12" t="str">
        <f>IFERROR(VLOOKUP(D8832,'[1]Перечень товаров'!$A$2:$I9525,2,0),"")</f>
        <v/>
      </c>
      <c r="C8832" s="12" t="str">
        <f>IFERROR(VLOOKUP(D8832,'[1]Перечень товаров'!$A$2:$I9525,3,0),"")</f>
        <v/>
      </c>
      <c r="D8832" s="27" t="s">
        <v>521</v>
      </c>
      <c r="E8832" s="99">
        <v>46147</v>
      </c>
      <c r="F8832" s="99"/>
      <c r="G8832" s="100"/>
      <c r="H8832" s="100"/>
      <c r="I8832" s="101"/>
      <c r="J8832" s="101"/>
      <c r="K8832" s="19"/>
      <c r="L8832" s="20"/>
    </row>
    <row r="8833" spans="1:12" outlineLevel="2">
      <c r="A8833" s="22"/>
      <c r="B8833" s="12" t="str">
        <f>IFERROR(VLOOKUP(D8833,'[1]Перечень товаров'!$A$2:$I9525,2,0),"")</f>
        <v>п25</v>
      </c>
      <c r="C8833" s="12" t="str">
        <f>IFERROR(VLOOKUP(D8833,'[1]Перечень товаров'!$A$2:$I9525,3,0),"")</f>
        <v>Прочее</v>
      </c>
      <c r="D8833" s="22" t="s">
        <v>360</v>
      </c>
      <c r="E8833" s="102"/>
      <c r="F8833" s="102"/>
      <c r="G8833" s="48">
        <v>3</v>
      </c>
      <c r="H8833" s="48"/>
      <c r="I8833" s="49"/>
      <c r="J8833" s="49"/>
      <c r="K8833" s="33"/>
      <c r="L8833" s="20"/>
    </row>
    <row r="8834" spans="1:12" outlineLevel="2">
      <c r="A8834" s="21"/>
      <c r="B8834" s="12" t="str">
        <f>IFERROR(VLOOKUP(D8834,'[1]Перечень товаров'!$A$2:$I9525,2,0),"")</f>
        <v>п26</v>
      </c>
      <c r="C8834" s="12" t="str">
        <f>IFERROR(VLOOKUP(D8834,'[1]Перечень товаров'!$A$2:$I9525,3,0),"")</f>
        <v>Прочее</v>
      </c>
      <c r="D8834" s="22" t="s">
        <v>361</v>
      </c>
      <c r="E8834" s="102"/>
      <c r="F8834" s="102"/>
      <c r="G8834" s="48">
        <v>2</v>
      </c>
      <c r="H8834" s="48"/>
      <c r="I8834" s="49"/>
      <c r="J8834" s="49"/>
      <c r="K8834" s="33"/>
      <c r="L8834" s="20"/>
    </row>
    <row r="8835" spans="1:12" outlineLevel="2">
      <c r="A8835" s="21"/>
      <c r="B8835" s="12" t="str">
        <f>IFERROR(VLOOKUP(D8835,'[1]Перечень товаров'!$A$2:$I9525,2,0),"")</f>
        <v>п27</v>
      </c>
      <c r="C8835" s="12" t="str">
        <f>IFERROR(VLOOKUP(D8835,'[1]Перечень товаров'!$A$2:$I9525,3,0),"")</f>
        <v>Прочее</v>
      </c>
      <c r="D8835" s="22" t="s">
        <v>362</v>
      </c>
      <c r="E8835" s="102"/>
      <c r="F8835" s="102"/>
      <c r="G8835" s="48">
        <v>2</v>
      </c>
      <c r="H8835" s="48"/>
      <c r="I8835" s="49"/>
      <c r="J8835" s="49"/>
      <c r="K8835" s="33"/>
      <c r="L8835" s="20"/>
    </row>
    <row r="8836" spans="1:12" outlineLevel="2">
      <c r="A8836" s="21"/>
      <c r="B8836" s="12" t="str">
        <f>IFERROR(VLOOKUP(D8836,'[1]Перечень товаров'!$A$2:$I9525,2,0),"")</f>
        <v>п28</v>
      </c>
      <c r="C8836" s="12" t="str">
        <f>IFERROR(VLOOKUP(D8836,'[1]Перечень товаров'!$A$2:$I9525,3,0),"")</f>
        <v>Прочее</v>
      </c>
      <c r="D8836" s="22" t="s">
        <v>363</v>
      </c>
      <c r="E8836" s="102"/>
      <c r="F8836" s="102"/>
      <c r="G8836" s="48">
        <v>1</v>
      </c>
      <c r="H8836" s="48"/>
      <c r="I8836" s="49"/>
      <c r="J8836" s="49"/>
      <c r="K8836" s="33"/>
      <c r="L8836" s="20"/>
    </row>
    <row r="8837" spans="1:12" outlineLevel="2">
      <c r="A8837" s="21"/>
      <c r="B8837" s="12" t="str">
        <f>IFERROR(VLOOKUP(D8837,'[1]Перечень товаров'!$A$2:$I9525,2,0),"")</f>
        <v>п29</v>
      </c>
      <c r="C8837" s="12" t="str">
        <f>IFERROR(VLOOKUP(D8837,'[1]Перечень товаров'!$A$2:$I9525,3,0),"")</f>
        <v>Прочее</v>
      </c>
      <c r="D8837" s="22" t="s">
        <v>364</v>
      </c>
      <c r="E8837" s="102"/>
      <c r="F8837" s="102"/>
      <c r="G8837" s="48">
        <v>6</v>
      </c>
      <c r="H8837" s="48"/>
      <c r="I8837" s="49"/>
      <c r="J8837" s="49"/>
      <c r="K8837" s="33"/>
      <c r="L8837" s="20"/>
    </row>
    <row r="8838" spans="1:12" outlineLevel="2">
      <c r="A8838" s="21"/>
      <c r="B8838" s="12" t="str">
        <f>IFERROR(VLOOKUP(D8838,'[1]Перечень товаров'!$A$2:$I9525,2,0),"")</f>
        <v>п30</v>
      </c>
      <c r="C8838" s="12" t="str">
        <f>IFERROR(VLOOKUP(D8838,'[1]Перечень товаров'!$A$2:$I9525,3,0),"")</f>
        <v>Прочее</v>
      </c>
      <c r="D8838" s="22" t="s">
        <v>365</v>
      </c>
      <c r="E8838" s="102"/>
      <c r="F8838" s="102"/>
      <c r="G8838" s="48">
        <v>2</v>
      </c>
      <c r="H8838" s="48"/>
      <c r="I8838" s="49"/>
      <c r="J8838" s="49"/>
      <c r="K8838" s="33"/>
      <c r="L8838" s="20"/>
    </row>
    <row r="8839" spans="1:12" ht="31.5" outlineLevel="2">
      <c r="A8839" s="21"/>
      <c r="B8839" s="12" t="str">
        <f>IFERROR(VLOOKUP(D8839,'[1]Перечень товаров'!$A$2:$I9525,2,0),"")</f>
        <v>п31</v>
      </c>
      <c r="C8839" s="12" t="str">
        <f>IFERROR(VLOOKUP(D8839,'[1]Перечень товаров'!$A$2:$I9525,3,0),"")</f>
        <v>Прочее</v>
      </c>
      <c r="D8839" s="22" t="s">
        <v>366</v>
      </c>
      <c r="E8839" s="102"/>
      <c r="F8839" s="102"/>
      <c r="G8839" s="48">
        <v>1</v>
      </c>
      <c r="H8839" s="48"/>
      <c r="I8839" s="49"/>
      <c r="J8839" s="49"/>
      <c r="K8839" s="33"/>
      <c r="L8839" s="20"/>
    </row>
    <row r="8840" spans="1:12" ht="31.5" outlineLevel="2">
      <c r="A8840" s="21"/>
      <c r="B8840" s="12" t="str">
        <f>IFERROR(VLOOKUP(D8840,'[1]Перечень товаров'!$A$2:$I9525,2,0),"")</f>
        <v>п32</v>
      </c>
      <c r="C8840" s="12" t="str">
        <f>IFERROR(VLOOKUP(D8840,'[1]Перечень товаров'!$A$2:$I9525,3,0),"")</f>
        <v>Прочее</v>
      </c>
      <c r="D8840" s="22" t="s">
        <v>367</v>
      </c>
      <c r="E8840" s="102"/>
      <c r="F8840" s="102"/>
      <c r="G8840" s="48">
        <v>2</v>
      </c>
      <c r="H8840" s="48"/>
      <c r="I8840" s="49"/>
      <c r="J8840" s="49"/>
      <c r="K8840" s="33"/>
      <c r="L8840" s="20"/>
    </row>
    <row r="8841" spans="1:12" ht="12.75" outlineLevel="1">
      <c r="A8841" s="11"/>
      <c r="B8841" s="12" t="str">
        <f>IFERROR(VLOOKUP(D8841,'[1]Перечень товаров'!$A$2:$I9525,2,0),"")</f>
        <v/>
      </c>
      <c r="C8841" s="12" t="str">
        <f>IFERROR(VLOOKUP(D8841,'[1]Перечень товаров'!$A$2:$I9525,3,0),"")</f>
        <v/>
      </c>
      <c r="D8841" s="27" t="s">
        <v>879</v>
      </c>
      <c r="E8841" s="99">
        <v>46116</v>
      </c>
      <c r="F8841" s="99"/>
      <c r="G8841" s="100"/>
      <c r="H8841" s="100"/>
      <c r="I8841" s="101"/>
      <c r="J8841" s="101"/>
      <c r="K8841" s="19"/>
      <c r="L8841" s="20"/>
    </row>
    <row r="8842" spans="1:12" outlineLevel="2">
      <c r="A8842" s="43"/>
      <c r="B8842" s="12" t="str">
        <f>IFERROR(VLOOKUP(D8842,'[1]Перечень товаров'!$A$2:$I9525,2,0),"")</f>
        <v>м222</v>
      </c>
      <c r="C8842" s="12" t="str">
        <f>IFERROR(VLOOKUP(D8842,'[1]Перечень товаров'!$A$2:$I9525,3,0),"")</f>
        <v>Мебель</v>
      </c>
      <c r="D8842" s="44" t="s">
        <v>880</v>
      </c>
      <c r="E8842" s="102"/>
      <c r="F8842" s="102"/>
      <c r="G8842" s="24">
        <v>1</v>
      </c>
      <c r="H8842" s="24"/>
      <c r="I8842" s="25"/>
      <c r="J8842" s="25"/>
      <c r="K8842" s="19"/>
      <c r="L8842" s="20"/>
    </row>
    <row r="8843" spans="1:12" outlineLevel="2">
      <c r="A8843" s="43"/>
      <c r="B8843" s="12" t="str">
        <f>IFERROR(VLOOKUP(D8843,'[1]Перечень товаров'!$A$2:$I9525,2,0),"")</f>
        <v>м223</v>
      </c>
      <c r="C8843" s="12" t="str">
        <f>IFERROR(VLOOKUP(D8843,'[1]Перечень товаров'!$A$2:$I9525,3,0),"")</f>
        <v>Мебель</v>
      </c>
      <c r="D8843" s="44" t="s">
        <v>881</v>
      </c>
      <c r="E8843" s="102"/>
      <c r="F8843" s="102"/>
      <c r="G8843" s="24">
        <v>1</v>
      </c>
      <c r="H8843" s="24"/>
      <c r="I8843" s="25"/>
      <c r="J8843" s="25"/>
      <c r="K8843" s="19"/>
      <c r="L8843" s="20"/>
    </row>
    <row r="8844" spans="1:12" outlineLevel="2">
      <c r="A8844" s="43"/>
      <c r="B8844" s="12" t="str">
        <f>IFERROR(VLOOKUP(D8844,'[1]Перечень товаров'!$A$2:$I9525,2,0),"")</f>
        <v>м224</v>
      </c>
      <c r="C8844" s="12" t="str">
        <f>IFERROR(VLOOKUP(D8844,'[1]Перечень товаров'!$A$2:$I9525,3,0),"")</f>
        <v>Мебель</v>
      </c>
      <c r="D8844" s="44" t="s">
        <v>882</v>
      </c>
      <c r="E8844" s="102"/>
      <c r="F8844" s="102"/>
      <c r="G8844" s="24">
        <v>1</v>
      </c>
      <c r="H8844" s="24"/>
      <c r="I8844" s="25"/>
      <c r="J8844" s="25"/>
      <c r="K8844" s="19"/>
      <c r="L8844" s="20"/>
    </row>
    <row r="8845" spans="1:12" outlineLevel="2">
      <c r="A8845" s="43"/>
      <c r="B8845" s="12" t="str">
        <f>IFERROR(VLOOKUP(D8845,'[1]Перечень товаров'!$A$2:$I9525,2,0),"")</f>
        <v>м225</v>
      </c>
      <c r="C8845" s="12" t="str">
        <f>IFERROR(VLOOKUP(D8845,'[1]Перечень товаров'!$A$2:$I9525,3,0),"")</f>
        <v>Мебель</v>
      </c>
      <c r="D8845" s="44" t="s">
        <v>883</v>
      </c>
      <c r="E8845" s="102"/>
      <c r="F8845" s="102"/>
      <c r="G8845" s="24">
        <v>1</v>
      </c>
      <c r="H8845" s="24"/>
      <c r="I8845" s="25"/>
      <c r="J8845" s="25"/>
      <c r="K8845" s="19"/>
      <c r="L8845" s="20"/>
    </row>
    <row r="8846" spans="1:12" outlineLevel="2">
      <c r="A8846" s="43"/>
      <c r="B8846" s="12" t="str">
        <f>IFERROR(VLOOKUP(D8846,'[1]Перечень товаров'!$A$2:$I9525,2,0),"")</f>
        <v>п28</v>
      </c>
      <c r="C8846" s="12" t="str">
        <f>IFERROR(VLOOKUP(D8846,'[1]Перечень товаров'!$A$2:$I9525,3,0),"")</f>
        <v>Прочее</v>
      </c>
      <c r="D8846" s="44" t="s">
        <v>363</v>
      </c>
      <c r="E8846" s="102"/>
      <c r="F8846" s="102"/>
      <c r="G8846" s="24">
        <v>1</v>
      </c>
      <c r="H8846" s="24"/>
      <c r="I8846" s="25"/>
      <c r="J8846" s="25"/>
      <c r="K8846" s="19"/>
      <c r="L8846" s="20"/>
    </row>
    <row r="8847" spans="1:12" outlineLevel="2">
      <c r="A8847" s="43"/>
      <c r="B8847" s="12" t="str">
        <f>IFERROR(VLOOKUP(D8847,'[1]Перечень товаров'!$A$2:$I9525,2,0),"")</f>
        <v>м226</v>
      </c>
      <c r="C8847" s="12" t="str">
        <f>IFERROR(VLOOKUP(D8847,'[1]Перечень товаров'!$A$2:$I9525,3,0),"")</f>
        <v>Мебель</v>
      </c>
      <c r="D8847" s="44" t="s">
        <v>884</v>
      </c>
      <c r="E8847" s="102"/>
      <c r="F8847" s="102"/>
      <c r="G8847" s="24">
        <v>1</v>
      </c>
      <c r="H8847" s="24"/>
      <c r="I8847" s="25"/>
      <c r="J8847" s="25"/>
      <c r="K8847" s="19"/>
      <c r="L8847" s="20"/>
    </row>
    <row r="8848" spans="1:12" outlineLevel="1">
      <c r="A8848" s="21"/>
      <c r="B8848" s="12" t="str">
        <f>IFERROR(VLOOKUP(D8848,'[1]Перечень товаров'!$A$2:$I9525,2,0),"")</f>
        <v/>
      </c>
      <c r="C8848" s="12" t="str">
        <f>IFERROR(VLOOKUP(D8848,'[1]Перечень товаров'!$A$2:$I9525,3,0),"")</f>
        <v/>
      </c>
      <c r="D8848" s="22" t="s">
        <v>885</v>
      </c>
      <c r="E8848" s="102">
        <v>46267</v>
      </c>
      <c r="F8848" s="102"/>
      <c r="G8848" s="103"/>
      <c r="H8848" s="103"/>
      <c r="I8848" s="104"/>
      <c r="J8848" s="104"/>
      <c r="K8848" s="19"/>
      <c r="L8848" s="20"/>
    </row>
    <row r="8849" spans="1:12" ht="12.75" outlineLevel="1">
      <c r="A8849" s="11"/>
      <c r="B8849" s="12" t="str">
        <f>IFERROR(VLOOKUP(D8849,'[1]Перечень товаров'!$A$2:$I9525,2,0),"")</f>
        <v/>
      </c>
      <c r="C8849" s="12" t="str">
        <f>IFERROR(VLOOKUP(D8849,'[1]Перечень товаров'!$A$2:$I9525,3,0),"")</f>
        <v/>
      </c>
      <c r="D8849" s="27" t="s">
        <v>871</v>
      </c>
      <c r="E8849" s="99">
        <v>46220</v>
      </c>
      <c r="F8849" s="99"/>
      <c r="G8849" s="100"/>
      <c r="H8849" s="100"/>
      <c r="I8849" s="101"/>
      <c r="J8849" s="101"/>
      <c r="K8849" s="19"/>
      <c r="L8849" s="20"/>
    </row>
    <row r="8850" spans="1:12" outlineLevel="2">
      <c r="A8850" s="22"/>
      <c r="B8850" s="12" t="str">
        <f>IFERROR(VLOOKUP(D8850,'[1]Перечень товаров'!$A$2:$I9525,2,0),"")</f>
        <v>м14</v>
      </c>
      <c r="C8850" s="12" t="str">
        <f>IFERROR(VLOOKUP(D8850,'[1]Перечень товаров'!$A$2:$I9525,3,0),"")</f>
        <v>Мебель</v>
      </c>
      <c r="D8850" s="22" t="s">
        <v>43</v>
      </c>
      <c r="E8850" s="203"/>
      <c r="F8850" s="203"/>
      <c r="G8850" s="24">
        <v>1</v>
      </c>
      <c r="H8850" s="24"/>
      <c r="I8850" s="25"/>
      <c r="J8850" s="25"/>
      <c r="K8850" s="19"/>
      <c r="L8850" s="20"/>
    </row>
    <row r="8851" spans="1:12" outlineLevel="2">
      <c r="A8851" s="21"/>
      <c r="B8851" s="12" t="str">
        <f>IFERROR(VLOOKUP(D8851,'[1]Перечень товаров'!$A$2:$I9525,2,0),"")</f>
        <v>м167</v>
      </c>
      <c r="C8851" s="12" t="str">
        <f>IFERROR(VLOOKUP(D8851,'[1]Перечень товаров'!$A$2:$I9525,3,0),"")</f>
        <v>Мебель</v>
      </c>
      <c r="D8851" s="22" t="s">
        <v>508</v>
      </c>
      <c r="E8851" s="203"/>
      <c r="F8851" s="203"/>
      <c r="G8851" s="24">
        <v>1</v>
      </c>
      <c r="H8851" s="24"/>
      <c r="I8851" s="25"/>
      <c r="J8851" s="25"/>
      <c r="K8851" s="19"/>
      <c r="L8851" s="20"/>
    </row>
    <row r="8852" spans="1:12" outlineLevel="2">
      <c r="A8852" s="21"/>
      <c r="B8852" s="12" t="str">
        <f>IFERROR(VLOOKUP(D8852,'[1]Перечень товаров'!$A$2:$I9525,2,0),"")</f>
        <v>м218</v>
      </c>
      <c r="C8852" s="12" t="str">
        <f>IFERROR(VLOOKUP(D8852,'[1]Перечень товаров'!$A$2:$I9525,3,0),"")</f>
        <v>Мебель</v>
      </c>
      <c r="D8852" s="22" t="s">
        <v>872</v>
      </c>
      <c r="E8852" s="203"/>
      <c r="F8852" s="203"/>
      <c r="G8852" s="24">
        <v>2</v>
      </c>
      <c r="H8852" s="24"/>
      <c r="I8852" s="25"/>
      <c r="J8852" s="25"/>
      <c r="K8852" s="19"/>
      <c r="L8852" s="20"/>
    </row>
    <row r="8853" spans="1:12" outlineLevel="2">
      <c r="A8853" s="21"/>
      <c r="B8853" s="12" t="str">
        <f>IFERROR(VLOOKUP(D8853,'[1]Перечень товаров'!$A$2:$I9525,2,0),"")</f>
        <v>м219</v>
      </c>
      <c r="C8853" s="12" t="str">
        <f>IFERROR(VLOOKUP(D8853,'[1]Перечень товаров'!$A$2:$I9525,3,0),"")</f>
        <v>Мебель</v>
      </c>
      <c r="D8853" s="22" t="s">
        <v>873</v>
      </c>
      <c r="E8853" s="203"/>
      <c r="F8853" s="203"/>
      <c r="G8853" s="24">
        <v>4</v>
      </c>
      <c r="H8853" s="24"/>
      <c r="I8853" s="25"/>
      <c r="J8853" s="25"/>
      <c r="K8853" s="19"/>
      <c r="L8853" s="20"/>
    </row>
    <row r="8854" spans="1:12" outlineLevel="2">
      <c r="A8854" s="21"/>
      <c r="B8854" s="12" t="str">
        <f>IFERROR(VLOOKUP(D8854,'[1]Перечень товаров'!$A$2:$I9525,2,0),"")</f>
        <v>м220</v>
      </c>
      <c r="C8854" s="12" t="str">
        <f>IFERROR(VLOOKUP(D8854,'[1]Перечень товаров'!$A$2:$I9525,3,0),"")</f>
        <v>Мебель</v>
      </c>
      <c r="D8854" s="22" t="s">
        <v>874</v>
      </c>
      <c r="E8854" s="203"/>
      <c r="F8854" s="203"/>
      <c r="G8854" s="24">
        <v>1</v>
      </c>
      <c r="H8854" s="24"/>
      <c r="I8854" s="25"/>
      <c r="J8854" s="25"/>
      <c r="K8854" s="19"/>
      <c r="L8854" s="20"/>
    </row>
    <row r="8855" spans="1:12" outlineLevel="2">
      <c r="A8855" s="21"/>
      <c r="B8855" s="12" t="str">
        <f>IFERROR(VLOOKUP(D8855,'[1]Перечень товаров'!$A$2:$I9525,2,0),"")</f>
        <v>тм77</v>
      </c>
      <c r="C8855" s="12" t="str">
        <f>IFERROR(VLOOKUP(D8855,'[1]Перечень товаров'!$A$2:$I9525,3,0),"")</f>
        <v>Техника муз</v>
      </c>
      <c r="D8855" s="22" t="s">
        <v>875</v>
      </c>
      <c r="E8855" s="203"/>
      <c r="F8855" s="203"/>
      <c r="G8855" s="24">
        <v>1</v>
      </c>
      <c r="H8855" s="24"/>
      <c r="I8855" s="25"/>
      <c r="J8855" s="25"/>
      <c r="K8855" s="19"/>
      <c r="L8855" s="20"/>
    </row>
    <row r="8856" spans="1:12" outlineLevel="2">
      <c r="A8856" s="21"/>
      <c r="B8856" s="12" t="str">
        <f>IFERROR(VLOOKUP(D8856,'[1]Перечень товаров'!$A$2:$I9525,2,0),"")</f>
        <v>м137</v>
      </c>
      <c r="C8856" s="12" t="str">
        <f>IFERROR(VLOOKUP(D8856,'[1]Перечень товаров'!$A$2:$I9525,3,0),"")</f>
        <v>мебель</v>
      </c>
      <c r="D8856" s="22" t="s">
        <v>876</v>
      </c>
      <c r="E8856" s="203"/>
      <c r="F8856" s="203"/>
      <c r="G8856" s="24">
        <v>1</v>
      </c>
      <c r="H8856" s="24"/>
      <c r="I8856" s="25"/>
      <c r="J8856" s="25"/>
      <c r="K8856" s="19"/>
      <c r="L8856" s="20"/>
    </row>
    <row r="8857" spans="1:12" outlineLevel="2">
      <c r="A8857" s="21"/>
      <c r="B8857" s="12" t="str">
        <f>IFERROR(VLOOKUP(D8857,'[1]Перечень товаров'!$A$2:$I9525,2,0),"")</f>
        <v>м187</v>
      </c>
      <c r="C8857" s="12" t="str">
        <f>IFERROR(VLOOKUP(D8857,'[1]Перечень товаров'!$A$2:$I9525,3,0),"")</f>
        <v>мебель</v>
      </c>
      <c r="D8857" s="22" t="s">
        <v>877</v>
      </c>
      <c r="E8857" s="203"/>
      <c r="F8857" s="203"/>
      <c r="G8857" s="24">
        <v>1</v>
      </c>
      <c r="H8857" s="24"/>
      <c r="I8857" s="25"/>
      <c r="J8857" s="25"/>
      <c r="K8857" s="19"/>
      <c r="L8857" s="20"/>
    </row>
    <row r="8858" spans="1:12" outlineLevel="2">
      <c r="A8858" s="21"/>
      <c r="B8858" s="12" t="str">
        <f>IFERROR(VLOOKUP(D8858,'[1]Перечень товаров'!$A$2:$I9525,2,0),"")</f>
        <v>м30</v>
      </c>
      <c r="C8858" s="12" t="str">
        <f>IFERROR(VLOOKUP(D8858,'[1]Перечень товаров'!$A$2:$I9525,3,0),"")</f>
        <v>Мебель</v>
      </c>
      <c r="D8858" s="22" t="s">
        <v>181</v>
      </c>
      <c r="E8858" s="203"/>
      <c r="F8858" s="203"/>
      <c r="G8858" s="24">
        <v>2</v>
      </c>
      <c r="H8858" s="24"/>
      <c r="I8858" s="25"/>
      <c r="J8858" s="25"/>
      <c r="K8858" s="19"/>
      <c r="L8858" s="20"/>
    </row>
    <row r="8859" spans="1:12" outlineLevel="2">
      <c r="A8859" s="21"/>
      <c r="B8859" s="12" t="str">
        <f>IFERROR(VLOOKUP(D8859,'[1]Перечень товаров'!$A$2:$I9525,2,0),"")</f>
        <v>м221</v>
      </c>
      <c r="C8859" s="12" t="str">
        <f>IFERROR(VLOOKUP(D8859,'[1]Перечень товаров'!$A$2:$I9525,3,0),"")</f>
        <v>Мебель</v>
      </c>
      <c r="D8859" s="22" t="s">
        <v>878</v>
      </c>
      <c r="E8859" s="203"/>
      <c r="F8859" s="203"/>
      <c r="G8859" s="24">
        <v>2</v>
      </c>
      <c r="H8859" s="24"/>
      <c r="I8859" s="25"/>
      <c r="J8859" s="25"/>
      <c r="K8859" s="19"/>
      <c r="L8859" s="20"/>
    </row>
    <row r="8860" spans="1:12" ht="12.75" outlineLevel="1">
      <c r="A8860" s="11"/>
      <c r="B8860" s="12" t="str">
        <f>IFERROR(VLOOKUP(D8860,'[1]Перечень товаров'!$A$2:$I9525,2,0),"")</f>
        <v/>
      </c>
      <c r="C8860" s="12" t="str">
        <f>IFERROR(VLOOKUP(D8860,'[1]Перечень товаров'!$A$2:$I9525,3,0),"")</f>
        <v/>
      </c>
      <c r="D8860" s="27" t="s">
        <v>871</v>
      </c>
      <c r="E8860" s="99">
        <v>46039</v>
      </c>
      <c r="F8860" s="99"/>
      <c r="G8860" s="100"/>
      <c r="H8860" s="100"/>
      <c r="I8860" s="101"/>
      <c r="J8860" s="101"/>
      <c r="K8860" s="19"/>
      <c r="L8860" s="20"/>
    </row>
    <row r="8861" spans="1:12" outlineLevel="2">
      <c r="A8861" s="22"/>
      <c r="B8861" s="12" t="str">
        <f>IFERROR(VLOOKUP(D8861,'[1]Перечень товаров'!$A$2:$I9525,2,0),"")</f>
        <v>м14</v>
      </c>
      <c r="C8861" s="12" t="str">
        <f>IFERROR(VLOOKUP(D8861,'[1]Перечень товаров'!$A$2:$I9525,3,0),"")</f>
        <v>Мебель</v>
      </c>
      <c r="D8861" s="22" t="s">
        <v>43</v>
      </c>
      <c r="E8861" s="203"/>
      <c r="F8861" s="203"/>
      <c r="G8861" s="24">
        <v>1</v>
      </c>
      <c r="H8861" s="24"/>
      <c r="I8861" s="25"/>
      <c r="J8861" s="25"/>
      <c r="K8861" s="19"/>
      <c r="L8861" s="20"/>
    </row>
    <row r="8862" spans="1:12" outlineLevel="2">
      <c r="A8862" s="21"/>
      <c r="B8862" s="12" t="str">
        <f>IFERROR(VLOOKUP(D8862,'[1]Перечень товаров'!$A$2:$I9525,2,0),"")</f>
        <v>м167</v>
      </c>
      <c r="C8862" s="12" t="str">
        <f>IFERROR(VLOOKUP(D8862,'[1]Перечень товаров'!$A$2:$I9525,3,0),"")</f>
        <v>Мебель</v>
      </c>
      <c r="D8862" s="22" t="s">
        <v>508</v>
      </c>
      <c r="E8862" s="203"/>
      <c r="F8862" s="203"/>
      <c r="G8862" s="24">
        <v>1</v>
      </c>
      <c r="H8862" s="24"/>
      <c r="I8862" s="25"/>
      <c r="J8862" s="25"/>
      <c r="K8862" s="19"/>
      <c r="L8862" s="20"/>
    </row>
    <row r="8863" spans="1:12" outlineLevel="2">
      <c r="A8863" s="21"/>
      <c r="B8863" s="12" t="str">
        <f>IFERROR(VLOOKUP(D8863,'[1]Перечень товаров'!$A$2:$I9525,2,0),"")</f>
        <v>м218</v>
      </c>
      <c r="C8863" s="12" t="str">
        <f>IFERROR(VLOOKUP(D8863,'[1]Перечень товаров'!$A$2:$I9525,3,0),"")</f>
        <v>Мебель</v>
      </c>
      <c r="D8863" s="22" t="s">
        <v>872</v>
      </c>
      <c r="E8863" s="203"/>
      <c r="F8863" s="203"/>
      <c r="G8863" s="24">
        <v>2</v>
      </c>
      <c r="H8863" s="24"/>
      <c r="I8863" s="25"/>
      <c r="J8863" s="25"/>
      <c r="K8863" s="19"/>
      <c r="L8863" s="20"/>
    </row>
    <row r="8864" spans="1:12" outlineLevel="2">
      <c r="A8864" s="21"/>
      <c r="B8864" s="12" t="str">
        <f>IFERROR(VLOOKUP(D8864,'[1]Перечень товаров'!$A$2:$I9525,2,0),"")</f>
        <v>м219</v>
      </c>
      <c r="C8864" s="12" t="str">
        <f>IFERROR(VLOOKUP(D8864,'[1]Перечень товаров'!$A$2:$I9525,3,0),"")</f>
        <v>Мебель</v>
      </c>
      <c r="D8864" s="22" t="s">
        <v>873</v>
      </c>
      <c r="E8864" s="203"/>
      <c r="F8864" s="203"/>
      <c r="G8864" s="24">
        <v>4</v>
      </c>
      <c r="H8864" s="24"/>
      <c r="I8864" s="25"/>
      <c r="J8864" s="25"/>
      <c r="K8864" s="19"/>
      <c r="L8864" s="20"/>
    </row>
    <row r="8865" spans="1:12" outlineLevel="2">
      <c r="A8865" s="21"/>
      <c r="B8865" s="12" t="str">
        <f>IFERROR(VLOOKUP(D8865,'[1]Перечень товаров'!$A$2:$I9525,2,0),"")</f>
        <v>м220</v>
      </c>
      <c r="C8865" s="12" t="str">
        <f>IFERROR(VLOOKUP(D8865,'[1]Перечень товаров'!$A$2:$I9525,3,0),"")</f>
        <v>Мебель</v>
      </c>
      <c r="D8865" s="22" t="s">
        <v>874</v>
      </c>
      <c r="E8865" s="203"/>
      <c r="F8865" s="203"/>
      <c r="G8865" s="24">
        <v>1</v>
      </c>
      <c r="H8865" s="24"/>
      <c r="I8865" s="25"/>
      <c r="J8865" s="25"/>
      <c r="K8865" s="19"/>
      <c r="L8865" s="20"/>
    </row>
    <row r="8866" spans="1:12" outlineLevel="2">
      <c r="A8866" s="21"/>
      <c r="B8866" s="12" t="str">
        <f>IFERROR(VLOOKUP(D8866,'[1]Перечень товаров'!$A$2:$I9525,2,0),"")</f>
        <v>м187</v>
      </c>
      <c r="C8866" s="12" t="str">
        <f>IFERROR(VLOOKUP(D8866,'[1]Перечень товаров'!$A$2:$I9525,3,0),"")</f>
        <v>мебель</v>
      </c>
      <c r="D8866" s="22" t="s">
        <v>877</v>
      </c>
      <c r="E8866" s="203"/>
      <c r="F8866" s="203"/>
      <c r="G8866" s="24">
        <v>1</v>
      </c>
      <c r="H8866" s="24"/>
      <c r="I8866" s="25"/>
      <c r="J8866" s="25"/>
      <c r="K8866" s="19"/>
      <c r="L8866" s="20"/>
    </row>
    <row r="8867" spans="1:12" outlineLevel="2">
      <c r="A8867" s="21"/>
      <c r="B8867" s="12" t="str">
        <f>IFERROR(VLOOKUP(D8867,'[1]Перечень товаров'!$A$2:$I9525,2,0),"")</f>
        <v>м30</v>
      </c>
      <c r="C8867" s="12" t="str">
        <f>IFERROR(VLOOKUP(D8867,'[1]Перечень товаров'!$A$2:$I9525,3,0),"")</f>
        <v>Мебель</v>
      </c>
      <c r="D8867" s="22" t="s">
        <v>181</v>
      </c>
      <c r="E8867" s="203"/>
      <c r="F8867" s="203"/>
      <c r="G8867" s="24">
        <v>2</v>
      </c>
      <c r="H8867" s="24"/>
      <c r="I8867" s="25"/>
      <c r="J8867" s="25"/>
      <c r="K8867" s="19"/>
      <c r="L8867" s="20"/>
    </row>
    <row r="8868" spans="1:12" outlineLevel="2">
      <c r="A8868" s="21"/>
      <c r="B8868" s="12" t="str">
        <f>IFERROR(VLOOKUP(D8868,'[1]Перечень товаров'!$A$2:$I9525,2,0),"")</f>
        <v>м221</v>
      </c>
      <c r="C8868" s="12" t="str">
        <f>IFERROR(VLOOKUP(D8868,'[1]Перечень товаров'!$A$2:$I9525,3,0),"")</f>
        <v>Мебель</v>
      </c>
      <c r="D8868" s="22" t="s">
        <v>878</v>
      </c>
      <c r="E8868" s="203"/>
      <c r="F8868" s="203"/>
      <c r="G8868" s="24">
        <v>2</v>
      </c>
      <c r="H8868" s="24"/>
      <c r="I8868" s="25"/>
      <c r="J8868" s="25"/>
      <c r="K8868" s="19"/>
      <c r="L8868" s="20"/>
    </row>
    <row r="8869" spans="1:12" ht="12.75" outlineLevel="1">
      <c r="A8869" s="11"/>
      <c r="B8869" s="12" t="str">
        <f>IFERROR(VLOOKUP(D8869,'[1]Перечень товаров'!$A$2:$I9525,2,0),"")</f>
        <v/>
      </c>
      <c r="C8869" s="12" t="str">
        <f>IFERROR(VLOOKUP(D8869,'[1]Перечень товаров'!$A$2:$I9525,3,0),"")</f>
        <v/>
      </c>
      <c r="D8869" s="27" t="s">
        <v>521</v>
      </c>
      <c r="E8869" s="14" t="s">
        <v>2112</v>
      </c>
      <c r="F8869" s="14"/>
      <c r="G8869" s="17"/>
      <c r="H8869" s="17"/>
      <c r="I8869" s="57"/>
      <c r="J8869" s="57"/>
      <c r="K8869" s="19"/>
      <c r="L8869" s="20"/>
    </row>
    <row r="8870" spans="1:12" outlineLevel="2">
      <c r="A8870" s="22"/>
      <c r="B8870" s="12" t="str">
        <f>IFERROR(VLOOKUP(D8870,'[1]Перечень товаров'!$A$2:$I9525,2,0),"")</f>
        <v>п25</v>
      </c>
      <c r="C8870" s="12" t="str">
        <f>IFERROR(VLOOKUP(D8870,'[1]Перечень товаров'!$A$2:$I9525,3,0),"")</f>
        <v>Прочее</v>
      </c>
      <c r="D8870" s="22" t="s">
        <v>360</v>
      </c>
      <c r="E8870" s="102"/>
      <c r="F8870" s="102"/>
      <c r="G8870" s="48">
        <v>3</v>
      </c>
      <c r="H8870" s="48"/>
      <c r="I8870" s="49"/>
      <c r="J8870" s="49"/>
      <c r="K8870" s="33"/>
      <c r="L8870" s="20"/>
    </row>
    <row r="8871" spans="1:12" outlineLevel="2">
      <c r="A8871" s="21"/>
      <c r="B8871" s="12" t="str">
        <f>IFERROR(VLOOKUP(D8871,'[1]Перечень товаров'!$A$2:$I9525,2,0),"")</f>
        <v>п26</v>
      </c>
      <c r="C8871" s="12" t="str">
        <f>IFERROR(VLOOKUP(D8871,'[1]Перечень товаров'!$A$2:$I9525,3,0),"")</f>
        <v>Прочее</v>
      </c>
      <c r="D8871" s="22" t="s">
        <v>361</v>
      </c>
      <c r="E8871" s="102"/>
      <c r="F8871" s="102"/>
      <c r="G8871" s="48">
        <v>2</v>
      </c>
      <c r="H8871" s="48"/>
      <c r="I8871" s="49"/>
      <c r="J8871" s="49"/>
      <c r="K8871" s="33"/>
      <c r="L8871" s="20"/>
    </row>
    <row r="8872" spans="1:12" outlineLevel="2">
      <c r="A8872" s="21"/>
      <c r="B8872" s="12" t="str">
        <f>IFERROR(VLOOKUP(D8872,'[1]Перечень товаров'!$A$2:$I9525,2,0),"")</f>
        <v>п27</v>
      </c>
      <c r="C8872" s="12" t="str">
        <f>IFERROR(VLOOKUP(D8872,'[1]Перечень товаров'!$A$2:$I9525,3,0),"")</f>
        <v>Прочее</v>
      </c>
      <c r="D8872" s="22" t="s">
        <v>362</v>
      </c>
      <c r="E8872" s="102"/>
      <c r="F8872" s="102"/>
      <c r="G8872" s="48">
        <v>2</v>
      </c>
      <c r="H8872" s="48"/>
      <c r="I8872" s="49"/>
      <c r="J8872" s="49"/>
      <c r="K8872" s="33"/>
      <c r="L8872" s="20"/>
    </row>
    <row r="8873" spans="1:12" outlineLevel="2">
      <c r="A8873" s="21"/>
      <c r="B8873" s="12" t="str">
        <f>IFERROR(VLOOKUP(D8873,'[1]Перечень товаров'!$A$2:$I9525,2,0),"")</f>
        <v>п28</v>
      </c>
      <c r="C8873" s="12" t="str">
        <f>IFERROR(VLOOKUP(D8873,'[1]Перечень товаров'!$A$2:$I9525,3,0),"")</f>
        <v>Прочее</v>
      </c>
      <c r="D8873" s="22" t="s">
        <v>363</v>
      </c>
      <c r="E8873" s="102"/>
      <c r="F8873" s="102"/>
      <c r="G8873" s="48">
        <v>1</v>
      </c>
      <c r="H8873" s="48"/>
      <c r="I8873" s="49"/>
      <c r="J8873" s="49"/>
      <c r="K8873" s="33"/>
      <c r="L8873" s="20"/>
    </row>
    <row r="8874" spans="1:12" outlineLevel="2">
      <c r="A8874" s="21"/>
      <c r="B8874" s="12" t="str">
        <f>IFERROR(VLOOKUP(D8874,'[1]Перечень товаров'!$A$2:$I9525,2,0),"")</f>
        <v>п29</v>
      </c>
      <c r="C8874" s="12" t="str">
        <f>IFERROR(VLOOKUP(D8874,'[1]Перечень товаров'!$A$2:$I9525,3,0),"")</f>
        <v>Прочее</v>
      </c>
      <c r="D8874" s="22" t="s">
        <v>364</v>
      </c>
      <c r="E8874" s="102"/>
      <c r="F8874" s="102"/>
      <c r="G8874" s="48">
        <v>6</v>
      </c>
      <c r="H8874" s="48"/>
      <c r="I8874" s="49"/>
      <c r="J8874" s="49"/>
      <c r="K8874" s="33"/>
      <c r="L8874" s="20"/>
    </row>
    <row r="8875" spans="1:12" outlineLevel="2">
      <c r="A8875" s="21"/>
      <c r="B8875" s="12" t="str">
        <f>IFERROR(VLOOKUP(D8875,'[1]Перечень товаров'!$A$2:$I9525,2,0),"")</f>
        <v>п30</v>
      </c>
      <c r="C8875" s="12" t="str">
        <f>IFERROR(VLOOKUP(D8875,'[1]Перечень товаров'!$A$2:$I9525,3,0),"")</f>
        <v>Прочее</v>
      </c>
      <c r="D8875" s="22" t="s">
        <v>365</v>
      </c>
      <c r="E8875" s="102"/>
      <c r="F8875" s="102"/>
      <c r="G8875" s="48">
        <v>2</v>
      </c>
      <c r="H8875" s="48"/>
      <c r="I8875" s="49"/>
      <c r="J8875" s="49"/>
      <c r="K8875" s="33"/>
      <c r="L8875" s="20"/>
    </row>
    <row r="8876" spans="1:12" ht="31.5" outlineLevel="2">
      <c r="A8876" s="21"/>
      <c r="B8876" s="12" t="str">
        <f>IFERROR(VLOOKUP(D8876,'[1]Перечень товаров'!$A$2:$I9525,2,0),"")</f>
        <v>п31</v>
      </c>
      <c r="C8876" s="12" t="str">
        <f>IFERROR(VLOOKUP(D8876,'[1]Перечень товаров'!$A$2:$I9525,3,0),"")</f>
        <v>Прочее</v>
      </c>
      <c r="D8876" s="22" t="s">
        <v>366</v>
      </c>
      <c r="E8876" s="102"/>
      <c r="F8876" s="102"/>
      <c r="G8876" s="48">
        <v>1</v>
      </c>
      <c r="H8876" s="48"/>
      <c r="I8876" s="49"/>
      <c r="J8876" s="49"/>
      <c r="K8876" s="33"/>
      <c r="L8876" s="20"/>
    </row>
    <row r="8877" spans="1:12" ht="31.5" outlineLevel="2">
      <c r="A8877" s="21"/>
      <c r="B8877" s="12" t="str">
        <f>IFERROR(VLOOKUP(D8877,'[1]Перечень товаров'!$A$2:$I9525,2,0),"")</f>
        <v>п32</v>
      </c>
      <c r="C8877" s="12" t="str">
        <f>IFERROR(VLOOKUP(D8877,'[1]Перечень товаров'!$A$2:$I9525,3,0),"")</f>
        <v>Прочее</v>
      </c>
      <c r="D8877" s="22" t="s">
        <v>367</v>
      </c>
      <c r="E8877" s="102"/>
      <c r="F8877" s="102"/>
      <c r="G8877" s="48">
        <v>2</v>
      </c>
      <c r="H8877" s="48"/>
      <c r="I8877" s="49"/>
      <c r="J8877" s="49"/>
      <c r="K8877" s="33"/>
      <c r="L8877" s="20"/>
    </row>
    <row r="8878" spans="1:12" ht="12.75" outlineLevel="1">
      <c r="A8878" s="11"/>
      <c r="B8878" s="12" t="str">
        <f>IFERROR(VLOOKUP(D8878,'[1]Перечень товаров'!$A$2:$I9525,2,0),"")</f>
        <v/>
      </c>
      <c r="C8878" s="12" t="str">
        <f>IFERROR(VLOOKUP(D8878,'[1]Перечень товаров'!$A$2:$I9525,3,0),"")</f>
        <v/>
      </c>
      <c r="D8878" s="27" t="s">
        <v>879</v>
      </c>
      <c r="E8878" s="99">
        <v>46146</v>
      </c>
      <c r="F8878" s="99"/>
      <c r="G8878" s="100"/>
      <c r="H8878" s="100"/>
      <c r="I8878" s="101"/>
      <c r="J8878" s="101"/>
      <c r="K8878" s="19"/>
      <c r="L8878" s="20"/>
    </row>
    <row r="8879" spans="1:12" outlineLevel="2">
      <c r="A8879" s="43"/>
      <c r="B8879" s="12" t="str">
        <f>IFERROR(VLOOKUP(D8879,'[1]Перечень товаров'!$A$2:$I9525,2,0),"")</f>
        <v>м222</v>
      </c>
      <c r="C8879" s="12" t="str">
        <f>IFERROR(VLOOKUP(D8879,'[1]Перечень товаров'!$A$2:$I9525,3,0),"")</f>
        <v>Мебель</v>
      </c>
      <c r="D8879" s="44" t="s">
        <v>880</v>
      </c>
      <c r="E8879" s="102"/>
      <c r="F8879" s="102"/>
      <c r="G8879" s="24">
        <v>1</v>
      </c>
      <c r="H8879" s="24"/>
      <c r="I8879" s="25"/>
      <c r="J8879" s="25"/>
      <c r="K8879" s="19"/>
      <c r="L8879" s="20"/>
    </row>
    <row r="8880" spans="1:12" outlineLevel="2">
      <c r="A8880" s="43"/>
      <c r="B8880" s="12" t="str">
        <f>IFERROR(VLOOKUP(D8880,'[1]Перечень товаров'!$A$2:$I9525,2,0),"")</f>
        <v>м223</v>
      </c>
      <c r="C8880" s="12" t="str">
        <f>IFERROR(VLOOKUP(D8880,'[1]Перечень товаров'!$A$2:$I9525,3,0),"")</f>
        <v>Мебель</v>
      </c>
      <c r="D8880" s="44" t="s">
        <v>881</v>
      </c>
      <c r="E8880" s="102"/>
      <c r="F8880" s="102"/>
      <c r="G8880" s="24">
        <v>1</v>
      </c>
      <c r="H8880" s="24"/>
      <c r="I8880" s="25"/>
      <c r="J8880" s="25"/>
      <c r="K8880" s="19"/>
      <c r="L8880" s="20"/>
    </row>
    <row r="8881" spans="1:12" outlineLevel="2">
      <c r="A8881" s="43"/>
      <c r="B8881" s="12" t="str">
        <f>IFERROR(VLOOKUP(D8881,'[1]Перечень товаров'!$A$2:$I9525,2,0),"")</f>
        <v>м224</v>
      </c>
      <c r="C8881" s="12" t="str">
        <f>IFERROR(VLOOKUP(D8881,'[1]Перечень товаров'!$A$2:$I9525,3,0),"")</f>
        <v>Мебель</v>
      </c>
      <c r="D8881" s="44" t="s">
        <v>882</v>
      </c>
      <c r="E8881" s="102"/>
      <c r="F8881" s="102"/>
      <c r="G8881" s="24">
        <v>1</v>
      </c>
      <c r="H8881" s="24"/>
      <c r="I8881" s="25"/>
      <c r="J8881" s="25"/>
      <c r="K8881" s="19"/>
      <c r="L8881" s="20"/>
    </row>
    <row r="8882" spans="1:12" outlineLevel="2">
      <c r="A8882" s="43"/>
      <c r="B8882" s="12" t="str">
        <f>IFERROR(VLOOKUP(D8882,'[1]Перечень товаров'!$A$2:$I9525,2,0),"")</f>
        <v>м225</v>
      </c>
      <c r="C8882" s="12" t="str">
        <f>IFERROR(VLOOKUP(D8882,'[1]Перечень товаров'!$A$2:$I9525,3,0),"")</f>
        <v>Мебель</v>
      </c>
      <c r="D8882" s="44" t="s">
        <v>883</v>
      </c>
      <c r="E8882" s="102"/>
      <c r="F8882" s="102"/>
      <c r="G8882" s="24">
        <v>1</v>
      </c>
      <c r="H8882" s="24"/>
      <c r="I8882" s="25"/>
      <c r="J8882" s="25"/>
      <c r="K8882" s="19"/>
      <c r="L8882" s="20"/>
    </row>
    <row r="8883" spans="1:12" outlineLevel="2">
      <c r="A8883" s="43"/>
      <c r="B8883" s="12" t="str">
        <f>IFERROR(VLOOKUP(D8883,'[1]Перечень товаров'!$A$2:$I9525,2,0),"")</f>
        <v>п28</v>
      </c>
      <c r="C8883" s="12" t="str">
        <f>IFERROR(VLOOKUP(D8883,'[1]Перечень товаров'!$A$2:$I9525,3,0),"")</f>
        <v>Прочее</v>
      </c>
      <c r="D8883" s="44" t="s">
        <v>363</v>
      </c>
      <c r="E8883" s="102"/>
      <c r="F8883" s="102"/>
      <c r="G8883" s="24">
        <v>1</v>
      </c>
      <c r="H8883" s="24"/>
      <c r="I8883" s="25"/>
      <c r="J8883" s="25"/>
      <c r="K8883" s="19"/>
      <c r="L8883" s="20"/>
    </row>
    <row r="8884" spans="1:12" outlineLevel="2">
      <c r="A8884" s="43"/>
      <c r="B8884" s="12" t="str">
        <f>IFERROR(VLOOKUP(D8884,'[1]Перечень товаров'!$A$2:$I9525,2,0),"")</f>
        <v>м226</v>
      </c>
      <c r="C8884" s="12" t="str">
        <f>IFERROR(VLOOKUP(D8884,'[1]Перечень товаров'!$A$2:$I9525,3,0),"")</f>
        <v>Мебель</v>
      </c>
      <c r="D8884" s="44" t="s">
        <v>884</v>
      </c>
      <c r="E8884" s="102"/>
      <c r="F8884" s="102"/>
      <c r="G8884" s="24">
        <v>1</v>
      </c>
      <c r="H8884" s="24"/>
      <c r="I8884" s="25"/>
      <c r="J8884" s="25"/>
      <c r="K8884" s="19"/>
      <c r="L8884" s="20"/>
    </row>
    <row r="8885" spans="1:12" outlineLevel="1">
      <c r="A8885" s="21"/>
      <c r="B8885" s="12" t="str">
        <f>IFERROR(VLOOKUP(D8885,'[1]Перечень товаров'!$A$2:$I9525,2,0),"")</f>
        <v/>
      </c>
      <c r="C8885" s="12" t="str">
        <f>IFERROR(VLOOKUP(D8885,'[1]Перечень товаров'!$A$2:$I9525,3,0),"")</f>
        <v/>
      </c>
      <c r="D8885" s="22" t="s">
        <v>885</v>
      </c>
      <c r="E8885" s="102">
        <v>46025</v>
      </c>
      <c r="F8885" s="102"/>
      <c r="G8885" s="103"/>
      <c r="H8885" s="103"/>
      <c r="I8885" s="104"/>
      <c r="J8885" s="104"/>
      <c r="K8885" s="19"/>
      <c r="L8885" s="20"/>
    </row>
    <row r="8886" spans="1:12" ht="12.75" outlineLevel="1">
      <c r="A8886" s="11"/>
      <c r="B8886" s="12" t="str">
        <f>IFERROR(VLOOKUP(D8886,'[1]Перечень товаров'!$A$2:$I9525,2,0),"")</f>
        <v/>
      </c>
      <c r="C8886" s="12" t="str">
        <f>IFERROR(VLOOKUP(D8886,'[1]Перечень товаров'!$A$2:$I9525,3,0),"")</f>
        <v/>
      </c>
      <c r="D8886" s="27" t="s">
        <v>871</v>
      </c>
      <c r="E8886" s="99">
        <v>46219</v>
      </c>
      <c r="F8886" s="99"/>
      <c r="G8886" s="100"/>
      <c r="H8886" s="100"/>
      <c r="I8886" s="101"/>
      <c r="J8886" s="101"/>
      <c r="K8886" s="19"/>
      <c r="L8886" s="20"/>
    </row>
    <row r="8887" spans="1:12" outlineLevel="2">
      <c r="A8887" s="22"/>
      <c r="B8887" s="12" t="str">
        <f>IFERROR(VLOOKUP(D8887,'[1]Перечень товаров'!$A$2:$I9525,2,0),"")</f>
        <v>м14</v>
      </c>
      <c r="C8887" s="12" t="str">
        <f>IFERROR(VLOOKUP(D8887,'[1]Перечень товаров'!$A$2:$I9525,3,0),"")</f>
        <v>Мебель</v>
      </c>
      <c r="D8887" s="22" t="s">
        <v>43</v>
      </c>
      <c r="E8887" s="203"/>
      <c r="F8887" s="203"/>
      <c r="G8887" s="24">
        <v>1</v>
      </c>
      <c r="H8887" s="24"/>
      <c r="I8887" s="25"/>
      <c r="J8887" s="25"/>
      <c r="K8887" s="19"/>
      <c r="L8887" s="20"/>
    </row>
    <row r="8888" spans="1:12" outlineLevel="2">
      <c r="A8888" s="21"/>
      <c r="B8888" s="12" t="str">
        <f>IFERROR(VLOOKUP(D8888,'[1]Перечень товаров'!$A$2:$I9525,2,0),"")</f>
        <v>м167</v>
      </c>
      <c r="C8888" s="12" t="str">
        <f>IFERROR(VLOOKUP(D8888,'[1]Перечень товаров'!$A$2:$I9525,3,0),"")</f>
        <v>Мебель</v>
      </c>
      <c r="D8888" s="22" t="s">
        <v>508</v>
      </c>
      <c r="E8888" s="203"/>
      <c r="F8888" s="203"/>
      <c r="G8888" s="24">
        <v>1</v>
      </c>
      <c r="H8888" s="24"/>
      <c r="I8888" s="25"/>
      <c r="J8888" s="25"/>
      <c r="K8888" s="19"/>
      <c r="L8888" s="20"/>
    </row>
    <row r="8889" spans="1:12" outlineLevel="2">
      <c r="A8889" s="21"/>
      <c r="B8889" s="12" t="str">
        <f>IFERROR(VLOOKUP(D8889,'[1]Перечень товаров'!$A$2:$I9525,2,0),"")</f>
        <v>м218</v>
      </c>
      <c r="C8889" s="12" t="str">
        <f>IFERROR(VLOOKUP(D8889,'[1]Перечень товаров'!$A$2:$I9525,3,0),"")</f>
        <v>Мебель</v>
      </c>
      <c r="D8889" s="22" t="s">
        <v>872</v>
      </c>
      <c r="E8889" s="203"/>
      <c r="F8889" s="203"/>
      <c r="G8889" s="24">
        <v>2</v>
      </c>
      <c r="H8889" s="24"/>
      <c r="I8889" s="25"/>
      <c r="J8889" s="25"/>
      <c r="K8889" s="19"/>
      <c r="L8889" s="20"/>
    </row>
    <row r="8890" spans="1:12" outlineLevel="2">
      <c r="A8890" s="21"/>
      <c r="B8890" s="12" t="str">
        <f>IFERROR(VLOOKUP(D8890,'[1]Перечень товаров'!$A$2:$I9525,2,0),"")</f>
        <v>м219</v>
      </c>
      <c r="C8890" s="12" t="str">
        <f>IFERROR(VLOOKUP(D8890,'[1]Перечень товаров'!$A$2:$I9525,3,0),"")</f>
        <v>Мебель</v>
      </c>
      <c r="D8890" s="22" t="s">
        <v>873</v>
      </c>
      <c r="E8890" s="203"/>
      <c r="F8890" s="203"/>
      <c r="G8890" s="24">
        <v>4</v>
      </c>
      <c r="H8890" s="24"/>
      <c r="I8890" s="25"/>
      <c r="J8890" s="25"/>
      <c r="K8890" s="19"/>
      <c r="L8890" s="20"/>
    </row>
    <row r="8891" spans="1:12" outlineLevel="2">
      <c r="A8891" s="21"/>
      <c r="B8891" s="12" t="str">
        <f>IFERROR(VLOOKUP(D8891,'[1]Перечень товаров'!$A$2:$I9525,2,0),"")</f>
        <v>м220</v>
      </c>
      <c r="C8891" s="12" t="str">
        <f>IFERROR(VLOOKUP(D8891,'[1]Перечень товаров'!$A$2:$I9525,3,0),"")</f>
        <v>Мебель</v>
      </c>
      <c r="D8891" s="22" t="s">
        <v>874</v>
      </c>
      <c r="E8891" s="203"/>
      <c r="F8891" s="203"/>
      <c r="G8891" s="24">
        <v>1</v>
      </c>
      <c r="H8891" s="24"/>
      <c r="I8891" s="25"/>
      <c r="J8891" s="25"/>
      <c r="K8891" s="19"/>
      <c r="L8891" s="20"/>
    </row>
    <row r="8892" spans="1:12" outlineLevel="2">
      <c r="A8892" s="21"/>
      <c r="B8892" s="12" t="str">
        <f>IFERROR(VLOOKUP(D8892,'[1]Перечень товаров'!$A$2:$I9525,2,0),"")</f>
        <v>тм77</v>
      </c>
      <c r="C8892" s="12" t="str">
        <f>IFERROR(VLOOKUP(D8892,'[1]Перечень товаров'!$A$2:$I9525,3,0),"")</f>
        <v>Техника муз</v>
      </c>
      <c r="D8892" s="22" t="s">
        <v>875</v>
      </c>
      <c r="E8892" s="203"/>
      <c r="F8892" s="203"/>
      <c r="G8892" s="24">
        <v>1</v>
      </c>
      <c r="H8892" s="24"/>
      <c r="I8892" s="25"/>
      <c r="J8892" s="25"/>
      <c r="K8892" s="19"/>
      <c r="L8892" s="20"/>
    </row>
    <row r="8893" spans="1:12" outlineLevel="2">
      <c r="A8893" s="21"/>
      <c r="B8893" s="12" t="str">
        <f>IFERROR(VLOOKUP(D8893,'[1]Перечень товаров'!$A$2:$I9525,2,0),"")</f>
        <v>м137</v>
      </c>
      <c r="C8893" s="12" t="str">
        <f>IFERROR(VLOOKUP(D8893,'[1]Перечень товаров'!$A$2:$I9525,3,0),"")</f>
        <v>мебель</v>
      </c>
      <c r="D8893" s="22" t="s">
        <v>876</v>
      </c>
      <c r="E8893" s="203"/>
      <c r="F8893" s="203"/>
      <c r="G8893" s="24">
        <v>1</v>
      </c>
      <c r="H8893" s="24"/>
      <c r="I8893" s="25"/>
      <c r="J8893" s="25"/>
      <c r="K8893" s="19"/>
      <c r="L8893" s="20"/>
    </row>
    <row r="8894" spans="1:12" outlineLevel="2">
      <c r="A8894" s="21"/>
      <c r="B8894" s="12" t="str">
        <f>IFERROR(VLOOKUP(D8894,'[1]Перечень товаров'!$A$2:$I9525,2,0),"")</f>
        <v>м187</v>
      </c>
      <c r="C8894" s="12" t="str">
        <f>IFERROR(VLOOKUP(D8894,'[1]Перечень товаров'!$A$2:$I9525,3,0),"")</f>
        <v>мебель</v>
      </c>
      <c r="D8894" s="22" t="s">
        <v>877</v>
      </c>
      <c r="E8894" s="203"/>
      <c r="F8894" s="203"/>
      <c r="G8894" s="24">
        <v>1</v>
      </c>
      <c r="H8894" s="24"/>
      <c r="I8894" s="25"/>
      <c r="J8894" s="25"/>
      <c r="K8894" s="19"/>
      <c r="L8894" s="20"/>
    </row>
    <row r="8895" spans="1:12" outlineLevel="2">
      <c r="A8895" s="21"/>
      <c r="B8895" s="12" t="str">
        <f>IFERROR(VLOOKUP(D8895,'[1]Перечень товаров'!$A$2:$I9525,2,0),"")</f>
        <v>м30</v>
      </c>
      <c r="C8895" s="12" t="str">
        <f>IFERROR(VLOOKUP(D8895,'[1]Перечень товаров'!$A$2:$I9525,3,0),"")</f>
        <v>Мебель</v>
      </c>
      <c r="D8895" s="22" t="s">
        <v>181</v>
      </c>
      <c r="E8895" s="203"/>
      <c r="F8895" s="203"/>
      <c r="G8895" s="24">
        <v>2</v>
      </c>
      <c r="H8895" s="24"/>
      <c r="I8895" s="25"/>
      <c r="J8895" s="25"/>
      <c r="K8895" s="19"/>
      <c r="L8895" s="20"/>
    </row>
    <row r="8896" spans="1:12" outlineLevel="2">
      <c r="A8896" s="21"/>
      <c r="B8896" s="12" t="str">
        <f>IFERROR(VLOOKUP(D8896,'[1]Перечень товаров'!$A$2:$I9525,2,0),"")</f>
        <v>м221</v>
      </c>
      <c r="C8896" s="12" t="str">
        <f>IFERROR(VLOOKUP(D8896,'[1]Перечень товаров'!$A$2:$I9525,3,0),"")</f>
        <v>Мебель</v>
      </c>
      <c r="D8896" s="22" t="s">
        <v>878</v>
      </c>
      <c r="E8896" s="203"/>
      <c r="F8896" s="203"/>
      <c r="G8896" s="24">
        <v>2</v>
      </c>
      <c r="H8896" s="24"/>
      <c r="I8896" s="25"/>
      <c r="J8896" s="25"/>
      <c r="K8896" s="19"/>
      <c r="L8896" s="20"/>
    </row>
    <row r="8897" spans="1:12" ht="12.75" outlineLevel="1">
      <c r="A8897" s="11"/>
      <c r="B8897" s="12" t="str">
        <f>IFERROR(VLOOKUP(D8897,'[1]Перечень товаров'!$A$2:$I9525,2,0),"")</f>
        <v/>
      </c>
      <c r="C8897" s="12" t="str">
        <f>IFERROR(VLOOKUP(D8897,'[1]Перечень товаров'!$A$2:$I9525,3,0),"")</f>
        <v/>
      </c>
      <c r="D8897" s="27" t="s">
        <v>915</v>
      </c>
      <c r="E8897" s="14" t="s">
        <v>2116</v>
      </c>
      <c r="F8897" s="14"/>
      <c r="G8897" s="17"/>
      <c r="H8897" s="17"/>
      <c r="I8897" s="57"/>
      <c r="J8897" s="57"/>
      <c r="K8897" s="19"/>
      <c r="L8897" s="20"/>
    </row>
    <row r="8898" spans="1:12" outlineLevel="2">
      <c r="A8898" s="21"/>
      <c r="B8898" s="12" t="str">
        <f>IFERROR(VLOOKUP(D8898,'[1]Перечень товаров'!$A$2:$I9525,2,0),"")</f>
        <v>т1</v>
      </c>
      <c r="C8898" s="12" t="str">
        <f>IFERROR(VLOOKUP(D8898,'[1]Перечень товаров'!$A$2:$I9525,3,0),"")</f>
        <v xml:space="preserve">Техника </v>
      </c>
      <c r="D8898" s="22" t="s">
        <v>28</v>
      </c>
      <c r="E8898" s="23"/>
      <c r="F8898" s="23"/>
      <c r="G8898" s="48">
        <v>1</v>
      </c>
      <c r="H8898" s="48"/>
      <c r="I8898" s="49"/>
      <c r="J8898" s="49"/>
      <c r="K8898" s="19"/>
      <c r="L8898" s="20"/>
    </row>
    <row r="8899" spans="1:12" outlineLevel="2">
      <c r="A8899" s="21"/>
      <c r="B8899" s="12" t="str">
        <f>IFERROR(VLOOKUP(D8899,'[1]Перечень товаров'!$A$2:$I9525,2,0),"")</f>
        <v>т2</v>
      </c>
      <c r="C8899" s="12" t="str">
        <f>IFERROR(VLOOKUP(D8899,'[1]Перечень товаров'!$A$2:$I9525,3,0),"")</f>
        <v xml:space="preserve">Техника </v>
      </c>
      <c r="D8899" s="22" t="s">
        <v>29</v>
      </c>
      <c r="E8899" s="23"/>
      <c r="F8899" s="23"/>
      <c r="G8899" s="48">
        <v>1</v>
      </c>
      <c r="H8899" s="48"/>
      <c r="I8899" s="49"/>
      <c r="J8899" s="49"/>
      <c r="K8899" s="19"/>
      <c r="L8899" s="20"/>
    </row>
    <row r="8900" spans="1:12" outlineLevel="2">
      <c r="A8900" s="35"/>
      <c r="B8900" s="12" t="str">
        <f>IFERROR(VLOOKUP(D8900,'[1]Перечень товаров'!$A$2:$I9525,2,0),"")</f>
        <v>т3</v>
      </c>
      <c r="C8900" s="12" t="str">
        <f>IFERROR(VLOOKUP(D8900,'[1]Перечень товаров'!$A$2:$I9525,3,0),"")</f>
        <v xml:space="preserve">Техника </v>
      </c>
      <c r="D8900" s="35" t="s">
        <v>30</v>
      </c>
      <c r="E8900" s="23"/>
      <c r="F8900" s="23"/>
      <c r="G8900" s="48">
        <v>1</v>
      </c>
      <c r="H8900" s="48"/>
      <c r="I8900" s="49"/>
      <c r="J8900" s="49"/>
      <c r="K8900" s="19"/>
      <c r="L8900" s="20"/>
    </row>
    <row r="8901" spans="1:12" outlineLevel="2">
      <c r="A8901" s="21"/>
      <c r="B8901" s="12" t="str">
        <f>IFERROR(VLOOKUP(D8901,'[1]Перечень товаров'!$A$2:$I9525,2,0),"")</f>
        <v>т8</v>
      </c>
      <c r="C8901" s="12" t="str">
        <f>IFERROR(VLOOKUP(D8901,'[1]Перечень товаров'!$A$2:$I9525,3,0),"")</f>
        <v xml:space="preserve">Техника </v>
      </c>
      <c r="D8901" s="22" t="s">
        <v>35</v>
      </c>
      <c r="E8901" s="23"/>
      <c r="F8901" s="23"/>
      <c r="G8901" s="205">
        <v>1</v>
      </c>
      <c r="H8901" s="205"/>
      <c r="I8901" s="206"/>
      <c r="J8901" s="206"/>
      <c r="K8901" s="19"/>
      <c r="L8901" s="20"/>
    </row>
    <row r="8902" spans="1:12" outlineLevel="2">
      <c r="A8902" s="21"/>
      <c r="B8902" s="12" t="str">
        <f>IFERROR(VLOOKUP(D8902,'[1]Перечень товаров'!$A$2:$I9525,2,0),"")</f>
        <v>т7</v>
      </c>
      <c r="C8902" s="12" t="str">
        <f>IFERROR(VLOOKUP(D8902,'[1]Перечень товаров'!$A$2:$I9525,3,0),"")</f>
        <v xml:space="preserve">Техника </v>
      </c>
      <c r="D8902" s="22" t="s">
        <v>34</v>
      </c>
      <c r="E8902" s="23"/>
      <c r="F8902" s="23"/>
      <c r="G8902" s="205">
        <v>2</v>
      </c>
      <c r="H8902" s="205"/>
      <c r="I8902" s="206"/>
      <c r="J8902" s="206"/>
      <c r="K8902" s="19"/>
      <c r="L8902" s="20"/>
    </row>
    <row r="8903" spans="1:12" outlineLevel="2">
      <c r="A8903" s="21"/>
      <c r="B8903" s="12" t="str">
        <f>IFERROR(VLOOKUP(D8903,'[1]Перечень товаров'!$A$2:$I9525,2,0),"")</f>
        <v>тм65</v>
      </c>
      <c r="C8903" s="12" t="str">
        <f>IFERROR(VLOOKUP(D8903,'[1]Перечень товаров'!$A$2:$I9525,3,0),"")</f>
        <v>Техника муз</v>
      </c>
      <c r="D8903" s="22" t="s">
        <v>380</v>
      </c>
      <c r="E8903" s="23"/>
      <c r="F8903" s="23"/>
      <c r="G8903" s="205">
        <v>1</v>
      </c>
      <c r="H8903" s="205"/>
      <c r="I8903" s="206"/>
      <c r="J8903" s="206"/>
      <c r="K8903" s="19"/>
      <c r="L8903" s="20"/>
    </row>
    <row r="8904" spans="1:12" outlineLevel="2">
      <c r="A8904" s="35"/>
      <c r="B8904" s="12" t="str">
        <f>IFERROR(VLOOKUP(D8904,'[1]Перечень товаров'!$A$2:$I9525,2,0),"")</f>
        <v>т182</v>
      </c>
      <c r="C8904" s="12" t="str">
        <f>IFERROR(VLOOKUP(D8904,'[1]Перечень товаров'!$A$2:$I9525,3,0),"")</f>
        <v>техника</v>
      </c>
      <c r="D8904" s="35" t="s">
        <v>916</v>
      </c>
      <c r="E8904" s="23"/>
      <c r="F8904" s="23"/>
      <c r="G8904" s="48">
        <v>1</v>
      </c>
      <c r="H8904" s="48"/>
      <c r="I8904" s="49"/>
      <c r="J8904" s="49"/>
      <c r="K8904" s="19"/>
      <c r="L8904" s="20"/>
    </row>
    <row r="8905" spans="1:12" outlineLevel="2">
      <c r="A8905" s="35"/>
      <c r="B8905" s="12" t="str">
        <f>IFERROR(VLOOKUP(D8905,'[1]Перечень товаров'!$A$2:$I9525,2,0),"")</f>
        <v>т12</v>
      </c>
      <c r="C8905" s="12" t="str">
        <f>IFERROR(VLOOKUP(D8905,'[1]Перечень товаров'!$A$2:$I9525,3,0),"")</f>
        <v>Техника</v>
      </c>
      <c r="D8905" s="35" t="s">
        <v>49</v>
      </c>
      <c r="E8905" s="23"/>
      <c r="F8905" s="23"/>
      <c r="G8905" s="205">
        <v>1</v>
      </c>
      <c r="H8905" s="205"/>
      <c r="I8905" s="206"/>
      <c r="J8905" s="206"/>
      <c r="K8905" s="19"/>
      <c r="L8905" s="20"/>
    </row>
    <row r="8906" spans="1:12" outlineLevel="2">
      <c r="A8906" s="35"/>
      <c r="B8906" s="12" t="str">
        <f>IFERROR(VLOOKUP(D8906,'[1]Перечень товаров'!$A$2:$I9525,2,0),"")</f>
        <v>т181</v>
      </c>
      <c r="C8906" s="12" t="str">
        <f>IFERROR(VLOOKUP(D8906,'[1]Перечень товаров'!$A$2:$I9525,3,0),"")</f>
        <v>техника</v>
      </c>
      <c r="D8906" s="35" t="s">
        <v>917</v>
      </c>
      <c r="E8906" s="23"/>
      <c r="F8906" s="23"/>
      <c r="G8906" s="205">
        <v>1</v>
      </c>
      <c r="H8906" s="205"/>
      <c r="I8906" s="206"/>
      <c r="J8906" s="206"/>
      <c r="K8906" s="19"/>
      <c r="L8906" s="20"/>
    </row>
    <row r="8907" spans="1:12" outlineLevel="2">
      <c r="A8907" s="35"/>
      <c r="B8907" s="12" t="str">
        <f>IFERROR(VLOOKUP(D8907,'[1]Перечень товаров'!$A$2:$I9525,2,0),"")</f>
        <v>т6</v>
      </c>
      <c r="C8907" s="12" t="str">
        <f>IFERROR(VLOOKUP(D8907,'[1]Перечень товаров'!$A$2:$I9525,3,0),"")</f>
        <v xml:space="preserve">Техника </v>
      </c>
      <c r="D8907" s="35" t="s">
        <v>33</v>
      </c>
      <c r="E8907" s="23"/>
      <c r="F8907" s="23"/>
      <c r="G8907" s="205">
        <v>1</v>
      </c>
      <c r="H8907" s="205"/>
      <c r="I8907" s="206"/>
      <c r="J8907" s="206"/>
      <c r="K8907" s="19"/>
      <c r="L8907" s="20"/>
    </row>
    <row r="8908" spans="1:12" outlineLevel="2">
      <c r="A8908" s="21"/>
      <c r="B8908" s="12" t="str">
        <f>IFERROR(VLOOKUP(D8908,'[1]Перечень товаров'!$A$2:$I9525,2,0),"")</f>
        <v>д563</v>
      </c>
      <c r="C8908" s="12" t="str">
        <f>IFERROR(VLOOKUP(D8908,'[1]Перечень товаров'!$A$2:$I9525,3,0),"")</f>
        <v>дидактика</v>
      </c>
      <c r="D8908" s="22" t="s">
        <v>918</v>
      </c>
      <c r="E8908" s="23"/>
      <c r="F8908" s="23"/>
      <c r="G8908" s="205">
        <v>1</v>
      </c>
      <c r="H8908" s="205"/>
      <c r="I8908" s="206"/>
      <c r="J8908" s="206"/>
      <c r="K8908" s="19"/>
      <c r="L8908" s="20"/>
    </row>
    <row r="8909" spans="1:12" outlineLevel="2">
      <c r="A8909" s="21"/>
      <c r="B8909" s="12" t="str">
        <f>IFERROR(VLOOKUP(D8909,'[1]Перечень товаров'!$A$2:$I9525,2,0),"")</f>
        <v>д562</v>
      </c>
      <c r="C8909" s="12" t="str">
        <f>IFERROR(VLOOKUP(D8909,'[1]Перечень товаров'!$A$2:$I9525,3,0),"")</f>
        <v>дидактика</v>
      </c>
      <c r="D8909" s="22" t="s">
        <v>919</v>
      </c>
      <c r="E8909" s="23"/>
      <c r="F8909" s="23"/>
      <c r="G8909" s="205">
        <v>1</v>
      </c>
      <c r="H8909" s="205"/>
      <c r="I8909" s="206"/>
      <c r="J8909" s="206"/>
      <c r="K8909" s="19"/>
      <c r="L8909" s="20"/>
    </row>
    <row r="8910" spans="1:12" outlineLevel="2">
      <c r="A8910" s="21"/>
      <c r="B8910" s="12" t="str">
        <f>IFERROR(VLOOKUP(D8910,'[1]Перечень товаров'!$A$2:$I9525,2,0),"")</f>
        <v>д561</v>
      </c>
      <c r="C8910" s="12" t="str">
        <f>IFERROR(VLOOKUP(D8910,'[1]Перечень товаров'!$A$2:$I9525,3,0),"")</f>
        <v>дидактика</v>
      </c>
      <c r="D8910" s="22" t="s">
        <v>920</v>
      </c>
      <c r="E8910" s="23"/>
      <c r="F8910" s="23"/>
      <c r="G8910" s="205">
        <v>1</v>
      </c>
      <c r="H8910" s="205"/>
      <c r="I8910" s="206"/>
      <c r="J8910" s="206"/>
      <c r="K8910" s="19"/>
      <c r="L8910" s="20"/>
    </row>
    <row r="8911" spans="1:12" ht="12.75" outlineLevel="2">
      <c r="A8911" s="77"/>
      <c r="B8911" s="12" t="str">
        <f>IFERROR(VLOOKUP(D8911,'[1]Перечень товаров'!$A$2:$I9525,2,0),"")</f>
        <v/>
      </c>
      <c r="C8911" s="12" t="str">
        <f>IFERROR(VLOOKUP(D8911,'[1]Перечень товаров'!$A$2:$I9525,3,0),"")</f>
        <v/>
      </c>
      <c r="D8911" s="78" t="s">
        <v>921</v>
      </c>
      <c r="E8911" s="15"/>
      <c r="F8911" s="15"/>
      <c r="G8911" s="17"/>
      <c r="H8911" s="17"/>
      <c r="I8911" s="57"/>
      <c r="J8911" s="57"/>
      <c r="K8911" s="19"/>
      <c r="L8911" s="20"/>
    </row>
    <row r="8912" spans="1:12" outlineLevel="2">
      <c r="A8912" s="21"/>
      <c r="B8912" s="12" t="str">
        <f>IFERROR(VLOOKUP(D8912,'[1]Перечень товаров'!$A$2:$I9525,2,0),"")</f>
        <v>м190</v>
      </c>
      <c r="C8912" s="12" t="str">
        <f>IFERROR(VLOOKUP(D8912,'[1]Перечень товаров'!$A$2:$I9525,3,0),"")</f>
        <v>мебель</v>
      </c>
      <c r="D8912" s="22" t="s">
        <v>922</v>
      </c>
      <c r="E8912" s="23"/>
      <c r="F8912" s="23"/>
      <c r="G8912" s="24">
        <v>1</v>
      </c>
      <c r="H8912" s="24"/>
      <c r="I8912" s="25"/>
      <c r="J8912" s="25"/>
      <c r="K8912" s="19"/>
      <c r="L8912" s="20"/>
    </row>
    <row r="8913" spans="1:12" outlineLevel="2">
      <c r="A8913" s="21"/>
      <c r="B8913" s="12" t="str">
        <f>IFERROR(VLOOKUP(D8913,'[1]Перечень товаров'!$A$2:$I9525,2,0),"")</f>
        <v>д560</v>
      </c>
      <c r="C8913" s="12" t="str">
        <f>IFERROR(VLOOKUP(D8913,'[1]Перечень товаров'!$A$2:$I9525,3,0),"")</f>
        <v>дидактика</v>
      </c>
      <c r="D8913" s="22" t="s">
        <v>923</v>
      </c>
      <c r="E8913" s="23"/>
      <c r="F8913" s="23"/>
      <c r="G8913" s="24">
        <v>1</v>
      </c>
      <c r="H8913" s="24"/>
      <c r="I8913" s="25"/>
      <c r="J8913" s="25"/>
      <c r="K8913" s="19"/>
      <c r="L8913" s="20"/>
    </row>
    <row r="8914" spans="1:12" outlineLevel="2">
      <c r="A8914" s="21"/>
      <c r="B8914" s="12" t="str">
        <f>IFERROR(VLOOKUP(D8914,'[1]Перечень товаров'!$A$2:$I9525,2,0),"")</f>
        <v>м14</v>
      </c>
      <c r="C8914" s="12" t="str">
        <f>IFERROR(VLOOKUP(D8914,'[1]Перечень товаров'!$A$2:$I9525,3,0),"")</f>
        <v>Мебель</v>
      </c>
      <c r="D8914" s="22" t="s">
        <v>43</v>
      </c>
      <c r="E8914" s="23"/>
      <c r="F8914" s="23"/>
      <c r="G8914" s="24">
        <v>1</v>
      </c>
      <c r="H8914" s="24"/>
      <c r="I8914" s="25"/>
      <c r="J8914" s="25"/>
      <c r="K8914" s="19"/>
      <c r="L8914" s="20"/>
    </row>
    <row r="8915" spans="1:12" outlineLevel="2">
      <c r="A8915" s="21"/>
      <c r="B8915" s="12" t="str">
        <f>IFERROR(VLOOKUP(D8915,'[1]Перечень товаров'!$A$2:$I9525,2,0),"")</f>
        <v>м189</v>
      </c>
      <c r="C8915" s="12" t="str">
        <f>IFERROR(VLOOKUP(D8915,'[1]Перечень товаров'!$A$2:$I9525,3,0),"")</f>
        <v>мебель</v>
      </c>
      <c r="D8915" s="22" t="s">
        <v>924</v>
      </c>
      <c r="E8915" s="23"/>
      <c r="F8915" s="23"/>
      <c r="G8915" s="24">
        <v>1</v>
      </c>
      <c r="H8915" s="24"/>
      <c r="I8915" s="25"/>
      <c r="J8915" s="25"/>
      <c r="K8915" s="19"/>
      <c r="L8915" s="20"/>
    </row>
    <row r="8916" spans="1:12" outlineLevel="2">
      <c r="A8916" s="21"/>
      <c r="B8916" s="12" t="str">
        <f>IFERROR(VLOOKUP(D8916,'[1]Перечень товаров'!$A$2:$I9525,2,0),"")</f>
        <v>м188</v>
      </c>
      <c r="C8916" s="12" t="str">
        <f>IFERROR(VLOOKUP(D8916,'[1]Перечень товаров'!$A$2:$I9525,3,0),"")</f>
        <v>мебель</v>
      </c>
      <c r="D8916" s="22" t="s">
        <v>925</v>
      </c>
      <c r="E8916" s="23"/>
      <c r="F8916" s="23"/>
      <c r="G8916" s="24">
        <v>1</v>
      </c>
      <c r="H8916" s="24"/>
      <c r="I8916" s="25"/>
      <c r="J8916" s="25"/>
      <c r="K8916" s="19"/>
      <c r="L8916" s="20"/>
    </row>
    <row r="8917" spans="1:12" outlineLevel="2">
      <c r="A8917" s="21"/>
      <c r="B8917" s="12" t="str">
        <f>IFERROR(VLOOKUP(D8917,'[1]Перечень товаров'!$A$2:$I9525,2,0),"")</f>
        <v>м19</v>
      </c>
      <c r="C8917" s="12" t="str">
        <f>IFERROR(VLOOKUP(D8917,'[1]Перечень товаров'!$A$2:$I9525,3,0),"")</f>
        <v>Мебель</v>
      </c>
      <c r="D8917" s="22" t="s">
        <v>53</v>
      </c>
      <c r="E8917" s="23"/>
      <c r="F8917" s="23"/>
      <c r="G8917" s="24">
        <v>1</v>
      </c>
      <c r="H8917" s="24"/>
      <c r="I8917" s="25"/>
      <c r="J8917" s="25"/>
      <c r="K8917" s="19"/>
      <c r="L8917" s="20"/>
    </row>
    <row r="8918" spans="1:12" outlineLevel="2">
      <c r="A8918" s="21"/>
      <c r="B8918" s="12" t="str">
        <f>IFERROR(VLOOKUP(D8918,'[1]Перечень товаров'!$A$2:$I9525,2,0),"")</f>
        <v>м187</v>
      </c>
      <c r="C8918" s="12" t="str">
        <f>IFERROR(VLOOKUP(D8918,'[1]Перечень товаров'!$A$2:$I9525,3,0),"")</f>
        <v>мебель</v>
      </c>
      <c r="D8918" s="22" t="s">
        <v>877</v>
      </c>
      <c r="E8918" s="23"/>
      <c r="F8918" s="23"/>
      <c r="G8918" s="24">
        <v>1</v>
      </c>
      <c r="H8918" s="24"/>
      <c r="I8918" s="25"/>
      <c r="J8918" s="25"/>
      <c r="K8918" s="19"/>
      <c r="L8918" s="20"/>
    </row>
    <row r="8919" spans="1:12" outlineLevel="2">
      <c r="A8919" s="21"/>
      <c r="B8919" s="12" t="str">
        <f>IFERROR(VLOOKUP(D8919,'[1]Перечень товаров'!$A$2:$I9525,2,0),"")</f>
        <v>тм77</v>
      </c>
      <c r="C8919" s="12" t="str">
        <f>IFERROR(VLOOKUP(D8919,'[1]Перечень товаров'!$A$2:$I9525,3,0),"")</f>
        <v>Техника муз</v>
      </c>
      <c r="D8919" s="22" t="s">
        <v>875</v>
      </c>
      <c r="E8919" s="23"/>
      <c r="F8919" s="23"/>
      <c r="G8919" s="24">
        <v>1</v>
      </c>
      <c r="H8919" s="24"/>
      <c r="I8919" s="25"/>
      <c r="J8919" s="25"/>
      <c r="K8919" s="19"/>
      <c r="L8919" s="20"/>
    </row>
    <row r="8920" spans="1:12" outlineLevel="2">
      <c r="A8920" s="21"/>
      <c r="B8920" s="12" t="str">
        <f>IFERROR(VLOOKUP(D8920,'[1]Перечень товаров'!$A$2:$I9525,2,0),"")</f>
        <v>м137</v>
      </c>
      <c r="C8920" s="12" t="str">
        <f>IFERROR(VLOOKUP(D8920,'[1]Перечень товаров'!$A$2:$I9525,3,0),"")</f>
        <v>мебель</v>
      </c>
      <c r="D8920" s="22" t="s">
        <v>876</v>
      </c>
      <c r="E8920" s="23"/>
      <c r="F8920" s="23"/>
      <c r="G8920" s="24">
        <v>1</v>
      </c>
      <c r="H8920" s="24"/>
      <c r="I8920" s="25"/>
      <c r="J8920" s="25"/>
      <c r="K8920" s="19"/>
      <c r="L8920" s="20"/>
    </row>
    <row r="8921" spans="1:12" ht="12.75" outlineLevel="1">
      <c r="A8921" s="11"/>
      <c r="B8921" s="12" t="str">
        <f>IFERROR(VLOOKUP(D8921,'[1]Перечень товаров'!$A$2:$I9525,2,0),"")</f>
        <v/>
      </c>
      <c r="C8921" s="12" t="str">
        <f>IFERROR(VLOOKUP(D8921,'[1]Перечень товаров'!$A$2:$I9525,3,0),"")</f>
        <v/>
      </c>
      <c r="D8921" s="27" t="s">
        <v>528</v>
      </c>
      <c r="E8921" s="99">
        <v>46056</v>
      </c>
      <c r="F8921" s="99"/>
      <c r="G8921" s="100"/>
      <c r="H8921" s="100"/>
      <c r="I8921" s="101"/>
      <c r="J8921" s="101"/>
      <c r="K8921" s="19"/>
      <c r="L8921" s="20"/>
    </row>
    <row r="8922" spans="1:12" outlineLevel="2">
      <c r="A8922" s="21"/>
      <c r="B8922" s="12" t="str">
        <f>IFERROR(VLOOKUP(D8922,'[1]Перечень товаров'!$A$2:$I9525,2,0),"")</f>
        <v>м167</v>
      </c>
      <c r="C8922" s="12" t="str">
        <f>IFERROR(VLOOKUP(D8922,'[1]Перечень товаров'!$A$2:$I9525,3,0),"")</f>
        <v>Мебель</v>
      </c>
      <c r="D8922" s="22" t="s">
        <v>508</v>
      </c>
      <c r="E8922" s="102"/>
      <c r="F8922" s="102"/>
      <c r="G8922" s="48">
        <v>2</v>
      </c>
      <c r="H8922" s="48"/>
      <c r="I8922" s="49"/>
      <c r="J8922" s="49"/>
      <c r="K8922" s="19"/>
      <c r="L8922" s="20"/>
    </row>
    <row r="8923" spans="1:12" outlineLevel="2">
      <c r="A8923" s="21"/>
      <c r="B8923" s="12" t="str">
        <f>IFERROR(VLOOKUP(D8923,'[1]Перечень товаров'!$A$2:$I9525,2,0),"")</f>
        <v>п46</v>
      </c>
      <c r="C8923" s="12" t="str">
        <f>IFERROR(VLOOKUP(D8923,'[1]Перечень товаров'!$A$2:$I9525,3,0),"")</f>
        <v>Прочее</v>
      </c>
      <c r="D8923" s="22" t="s">
        <v>509</v>
      </c>
      <c r="E8923" s="102"/>
      <c r="F8923" s="102"/>
      <c r="G8923" s="48">
        <v>2</v>
      </c>
      <c r="H8923" s="48"/>
      <c r="I8923" s="49"/>
      <c r="J8923" s="49"/>
      <c r="K8923" s="19"/>
      <c r="L8923" s="20"/>
    </row>
    <row r="8924" spans="1:12" outlineLevel="2">
      <c r="A8924" s="21"/>
      <c r="B8924" s="12" t="str">
        <f>IFERROR(VLOOKUP(D8924,'[1]Перечень товаров'!$A$2:$I9525,2,0),"")</f>
        <v>п47</v>
      </c>
      <c r="C8924" s="12" t="str">
        <f>IFERROR(VLOOKUP(D8924,'[1]Перечень товаров'!$A$2:$I9525,3,0),"")</f>
        <v>Прочее</v>
      </c>
      <c r="D8924" s="22" t="s">
        <v>510</v>
      </c>
      <c r="E8924" s="102"/>
      <c r="F8924" s="102"/>
      <c r="G8924" s="48">
        <v>3</v>
      </c>
      <c r="H8924" s="48"/>
      <c r="I8924" s="49"/>
      <c r="J8924" s="49"/>
      <c r="K8924" s="19"/>
      <c r="L8924" s="20"/>
    </row>
    <row r="8925" spans="1:12" outlineLevel="2">
      <c r="A8925" s="21"/>
      <c r="B8925" s="12" t="str">
        <f>IFERROR(VLOOKUP(D8925,'[1]Перечень товаров'!$A$2:$I9525,2,0),"")</f>
        <v>п48</v>
      </c>
      <c r="C8925" s="12" t="str">
        <f>IFERROR(VLOOKUP(D8925,'[1]Перечень товаров'!$A$2:$I9525,3,0),"")</f>
        <v>Прочее</v>
      </c>
      <c r="D8925" s="22" t="s">
        <v>511</v>
      </c>
      <c r="E8925" s="102"/>
      <c r="F8925" s="102"/>
      <c r="G8925" s="48">
        <v>6</v>
      </c>
      <c r="H8925" s="48"/>
      <c r="I8925" s="49"/>
      <c r="J8925" s="49"/>
      <c r="K8925" s="19"/>
      <c r="L8925" s="20"/>
    </row>
    <row r="8926" spans="1:12" ht="31.5" outlineLevel="2">
      <c r="A8926" s="21"/>
      <c r="B8926" s="12" t="str">
        <f>IFERROR(VLOOKUP(D8926,'[1]Перечень товаров'!$A$2:$I9525,2,0),"")</f>
        <v>м168</v>
      </c>
      <c r="C8926" s="12" t="str">
        <f>IFERROR(VLOOKUP(D8926,'[1]Перечень товаров'!$A$2:$I9525,3,0),"")</f>
        <v>Мебель</v>
      </c>
      <c r="D8926" s="22" t="s">
        <v>512</v>
      </c>
      <c r="E8926" s="102"/>
      <c r="F8926" s="102"/>
      <c r="G8926" s="48">
        <v>1</v>
      </c>
      <c r="H8926" s="48"/>
      <c r="I8926" s="49"/>
      <c r="J8926" s="49"/>
      <c r="K8926" s="19"/>
      <c r="L8926" s="20"/>
    </row>
    <row r="8927" spans="1:12" ht="12.75" outlineLevel="1">
      <c r="A8927" s="11"/>
      <c r="B8927" s="12" t="str">
        <f>IFERROR(VLOOKUP(D8927,'[1]Перечень товаров'!$A$2:$I9525,2,0),"")</f>
        <v/>
      </c>
      <c r="C8927" s="12" t="str">
        <f>IFERROR(VLOOKUP(D8927,'[1]Перечень товаров'!$A$2:$I9525,3,0),"")</f>
        <v/>
      </c>
      <c r="D8927" s="27" t="s">
        <v>879</v>
      </c>
      <c r="E8927" s="14" t="s">
        <v>819</v>
      </c>
      <c r="F8927" s="14"/>
      <c r="G8927" s="17"/>
      <c r="H8927" s="17"/>
      <c r="I8927" s="57"/>
      <c r="J8927" s="57"/>
      <c r="K8927" s="19"/>
      <c r="L8927" s="20"/>
    </row>
    <row r="8928" spans="1:12" outlineLevel="2">
      <c r="A8928" s="43"/>
      <c r="B8928" s="12" t="str">
        <f>IFERROR(VLOOKUP(D8928,'[1]Перечень товаров'!$A$2:$I9525,2,0),"")</f>
        <v>м222</v>
      </c>
      <c r="C8928" s="12" t="str">
        <f>IFERROR(VLOOKUP(D8928,'[1]Перечень товаров'!$A$2:$I9525,3,0),"")</f>
        <v>Мебель</v>
      </c>
      <c r="D8928" s="44" t="s">
        <v>880</v>
      </c>
      <c r="E8928" s="102"/>
      <c r="F8928" s="102"/>
      <c r="G8928" s="24">
        <v>1</v>
      </c>
      <c r="H8928" s="24"/>
      <c r="I8928" s="25"/>
      <c r="J8928" s="25"/>
      <c r="K8928" s="19"/>
      <c r="L8928" s="20"/>
    </row>
    <row r="8929" spans="1:12" outlineLevel="2">
      <c r="A8929" s="43"/>
      <c r="B8929" s="12" t="str">
        <f>IFERROR(VLOOKUP(D8929,'[1]Перечень товаров'!$A$2:$I9525,2,0),"")</f>
        <v>м223</v>
      </c>
      <c r="C8929" s="12" t="str">
        <f>IFERROR(VLOOKUP(D8929,'[1]Перечень товаров'!$A$2:$I9525,3,0),"")</f>
        <v>Мебель</v>
      </c>
      <c r="D8929" s="44" t="s">
        <v>881</v>
      </c>
      <c r="E8929" s="102"/>
      <c r="F8929" s="102"/>
      <c r="G8929" s="24">
        <v>1</v>
      </c>
      <c r="H8929" s="24"/>
      <c r="I8929" s="25"/>
      <c r="J8929" s="25"/>
      <c r="K8929" s="19"/>
      <c r="L8929" s="20"/>
    </row>
    <row r="8930" spans="1:12" outlineLevel="2">
      <c r="A8930" s="43"/>
      <c r="B8930" s="12" t="str">
        <f>IFERROR(VLOOKUP(D8930,'[1]Перечень товаров'!$A$2:$I9525,2,0),"")</f>
        <v>м224</v>
      </c>
      <c r="C8930" s="12" t="str">
        <f>IFERROR(VLOOKUP(D8930,'[1]Перечень товаров'!$A$2:$I9525,3,0),"")</f>
        <v>Мебель</v>
      </c>
      <c r="D8930" s="44" t="s">
        <v>882</v>
      </c>
      <c r="E8930" s="102"/>
      <c r="F8930" s="102"/>
      <c r="G8930" s="24">
        <v>1</v>
      </c>
      <c r="H8930" s="24"/>
      <c r="I8930" s="25"/>
      <c r="J8930" s="25"/>
      <c r="K8930" s="19"/>
      <c r="L8930" s="20"/>
    </row>
    <row r="8931" spans="1:12" outlineLevel="2">
      <c r="A8931" s="43"/>
      <c r="B8931" s="12" t="str">
        <f>IFERROR(VLOOKUP(D8931,'[1]Перечень товаров'!$A$2:$I9525,2,0),"")</f>
        <v>м225</v>
      </c>
      <c r="C8931" s="12" t="str">
        <f>IFERROR(VLOOKUP(D8931,'[1]Перечень товаров'!$A$2:$I9525,3,0),"")</f>
        <v>Мебель</v>
      </c>
      <c r="D8931" s="44" t="s">
        <v>883</v>
      </c>
      <c r="E8931" s="102"/>
      <c r="F8931" s="102"/>
      <c r="G8931" s="24">
        <v>1</v>
      </c>
      <c r="H8931" s="24"/>
      <c r="I8931" s="25"/>
      <c r="J8931" s="25"/>
      <c r="K8931" s="19"/>
      <c r="L8931" s="20"/>
    </row>
    <row r="8932" spans="1:12" outlineLevel="2">
      <c r="A8932" s="43"/>
      <c r="B8932" s="12" t="str">
        <f>IFERROR(VLOOKUP(D8932,'[1]Перечень товаров'!$A$2:$I9525,2,0),"")</f>
        <v>п28</v>
      </c>
      <c r="C8932" s="12" t="str">
        <f>IFERROR(VLOOKUP(D8932,'[1]Перечень товаров'!$A$2:$I9525,3,0),"")</f>
        <v>Прочее</v>
      </c>
      <c r="D8932" s="44" t="s">
        <v>363</v>
      </c>
      <c r="E8932" s="102"/>
      <c r="F8932" s="102"/>
      <c r="G8932" s="24">
        <v>1</v>
      </c>
      <c r="H8932" s="24"/>
      <c r="I8932" s="25"/>
      <c r="J8932" s="25"/>
      <c r="K8932" s="19"/>
      <c r="L8932" s="20"/>
    </row>
    <row r="8933" spans="1:12" outlineLevel="2">
      <c r="A8933" s="43"/>
      <c r="B8933" s="12" t="str">
        <f>IFERROR(VLOOKUP(D8933,'[1]Перечень товаров'!$A$2:$I9525,2,0),"")</f>
        <v>м226</v>
      </c>
      <c r="C8933" s="12" t="str">
        <f>IFERROR(VLOOKUP(D8933,'[1]Перечень товаров'!$A$2:$I9525,3,0),"")</f>
        <v>Мебель</v>
      </c>
      <c r="D8933" s="44" t="s">
        <v>884</v>
      </c>
      <c r="E8933" s="102"/>
      <c r="F8933" s="102"/>
      <c r="G8933" s="24">
        <v>1</v>
      </c>
      <c r="H8933" s="24"/>
      <c r="I8933" s="25"/>
      <c r="J8933" s="25"/>
      <c r="K8933" s="19"/>
      <c r="L8933" s="20"/>
    </row>
    <row r="8934" spans="1:12" ht="12.75" outlineLevel="1">
      <c r="A8934" s="11"/>
      <c r="B8934" s="12" t="str">
        <f>IFERROR(VLOOKUP(D8934,'[1]Перечень товаров'!$A$2:$I9525,2,0),"")</f>
        <v/>
      </c>
      <c r="C8934" s="12" t="str">
        <f>IFERROR(VLOOKUP(D8934,'[1]Перечень товаров'!$A$2:$I9525,3,0),"")</f>
        <v/>
      </c>
      <c r="D8934" s="27" t="s">
        <v>914</v>
      </c>
      <c r="E8934" s="99">
        <v>46178</v>
      </c>
      <c r="F8934" s="99"/>
      <c r="G8934" s="100"/>
      <c r="H8934" s="100"/>
      <c r="I8934" s="101"/>
      <c r="J8934" s="101"/>
      <c r="K8934" s="19"/>
      <c r="L8934" s="20"/>
    </row>
    <row r="8935" spans="1:12" outlineLevel="2">
      <c r="A8935" s="22"/>
      <c r="B8935" s="12" t="str">
        <f>IFERROR(VLOOKUP(D8935,'[1]Перечень товаров'!$A$2:$I9525,2,0),"")</f>
        <v>п25</v>
      </c>
      <c r="C8935" s="12" t="str">
        <f>IFERROR(VLOOKUP(D8935,'[1]Перечень товаров'!$A$2:$I9525,3,0),"")</f>
        <v>Прочее</v>
      </c>
      <c r="D8935" s="22" t="s">
        <v>360</v>
      </c>
      <c r="E8935" s="102"/>
      <c r="F8935" s="102"/>
      <c r="G8935" s="48">
        <v>3</v>
      </c>
      <c r="H8935" s="48"/>
      <c r="I8935" s="49"/>
      <c r="J8935" s="49"/>
      <c r="K8935" s="19"/>
      <c r="L8935" s="20"/>
    </row>
    <row r="8936" spans="1:12" outlineLevel="2">
      <c r="A8936" s="21"/>
      <c r="B8936" s="12" t="str">
        <f>IFERROR(VLOOKUP(D8936,'[1]Перечень товаров'!$A$2:$I9525,2,0),"")</f>
        <v>п26</v>
      </c>
      <c r="C8936" s="12" t="str">
        <f>IFERROR(VLOOKUP(D8936,'[1]Перечень товаров'!$A$2:$I9525,3,0),"")</f>
        <v>Прочее</v>
      </c>
      <c r="D8936" s="22" t="s">
        <v>361</v>
      </c>
      <c r="E8936" s="102"/>
      <c r="F8936" s="102"/>
      <c r="G8936" s="48">
        <v>2</v>
      </c>
      <c r="H8936" s="48"/>
      <c r="I8936" s="49"/>
      <c r="J8936" s="49"/>
      <c r="K8936" s="19"/>
      <c r="L8936" s="20"/>
    </row>
    <row r="8937" spans="1:12" outlineLevel="2">
      <c r="A8937" s="21"/>
      <c r="B8937" s="12" t="str">
        <f>IFERROR(VLOOKUP(D8937,'[1]Перечень товаров'!$A$2:$I9525,2,0),"")</f>
        <v>п27</v>
      </c>
      <c r="C8937" s="12" t="str">
        <f>IFERROR(VLOOKUP(D8937,'[1]Перечень товаров'!$A$2:$I9525,3,0),"")</f>
        <v>Прочее</v>
      </c>
      <c r="D8937" s="22" t="s">
        <v>362</v>
      </c>
      <c r="E8937" s="102"/>
      <c r="F8937" s="102"/>
      <c r="G8937" s="48">
        <v>2</v>
      </c>
      <c r="H8937" s="48"/>
      <c r="I8937" s="49"/>
      <c r="J8937" s="49"/>
      <c r="K8937" s="19"/>
      <c r="L8937" s="20"/>
    </row>
    <row r="8938" spans="1:12" outlineLevel="2">
      <c r="A8938" s="21"/>
      <c r="B8938" s="12" t="str">
        <f>IFERROR(VLOOKUP(D8938,'[1]Перечень товаров'!$A$2:$I9525,2,0),"")</f>
        <v>п28</v>
      </c>
      <c r="C8938" s="12" t="str">
        <f>IFERROR(VLOOKUP(D8938,'[1]Перечень товаров'!$A$2:$I9525,3,0),"")</f>
        <v>Прочее</v>
      </c>
      <c r="D8938" s="22" t="s">
        <v>363</v>
      </c>
      <c r="E8938" s="102"/>
      <c r="F8938" s="102"/>
      <c r="G8938" s="48">
        <v>1</v>
      </c>
      <c r="H8938" s="48"/>
      <c r="I8938" s="49"/>
      <c r="J8938" s="49"/>
      <c r="K8938" s="19"/>
      <c r="L8938" s="20"/>
    </row>
    <row r="8939" spans="1:12" outlineLevel="2">
      <c r="A8939" s="21"/>
      <c r="B8939" s="12" t="str">
        <f>IFERROR(VLOOKUP(D8939,'[1]Перечень товаров'!$A$2:$I9525,2,0),"")</f>
        <v>п29</v>
      </c>
      <c r="C8939" s="12" t="str">
        <f>IFERROR(VLOOKUP(D8939,'[1]Перечень товаров'!$A$2:$I9525,3,0),"")</f>
        <v>Прочее</v>
      </c>
      <c r="D8939" s="22" t="s">
        <v>364</v>
      </c>
      <c r="E8939" s="102"/>
      <c r="F8939" s="102"/>
      <c r="G8939" s="48">
        <v>6</v>
      </c>
      <c r="H8939" s="48"/>
      <c r="I8939" s="49"/>
      <c r="J8939" s="49"/>
      <c r="K8939" s="19"/>
      <c r="L8939" s="20"/>
    </row>
    <row r="8940" spans="1:12" outlineLevel="2">
      <c r="A8940" s="21"/>
      <c r="B8940" s="12" t="str">
        <f>IFERROR(VLOOKUP(D8940,'[1]Перечень товаров'!$A$2:$I9525,2,0),"")</f>
        <v>п30</v>
      </c>
      <c r="C8940" s="12" t="str">
        <f>IFERROR(VLOOKUP(D8940,'[1]Перечень товаров'!$A$2:$I9525,3,0),"")</f>
        <v>Прочее</v>
      </c>
      <c r="D8940" s="22" t="s">
        <v>365</v>
      </c>
      <c r="E8940" s="102"/>
      <c r="F8940" s="102"/>
      <c r="G8940" s="48">
        <v>2</v>
      </c>
      <c r="H8940" s="48"/>
      <c r="I8940" s="49"/>
      <c r="J8940" s="49"/>
      <c r="K8940" s="19"/>
      <c r="L8940" s="20"/>
    </row>
    <row r="8941" spans="1:12" ht="31.5" outlineLevel="2">
      <c r="A8941" s="21"/>
      <c r="B8941" s="12" t="str">
        <f>IFERROR(VLOOKUP(D8941,'[1]Перечень товаров'!$A$2:$I9525,2,0),"")</f>
        <v>п31</v>
      </c>
      <c r="C8941" s="12" t="str">
        <f>IFERROR(VLOOKUP(D8941,'[1]Перечень товаров'!$A$2:$I9525,3,0),"")</f>
        <v>Прочее</v>
      </c>
      <c r="D8941" s="22" t="s">
        <v>366</v>
      </c>
      <c r="E8941" s="102"/>
      <c r="F8941" s="102"/>
      <c r="G8941" s="48">
        <v>1</v>
      </c>
      <c r="H8941" s="48"/>
      <c r="I8941" s="49"/>
      <c r="J8941" s="49"/>
      <c r="K8941" s="19"/>
      <c r="L8941" s="20"/>
    </row>
    <row r="8942" spans="1:12" ht="31.5" outlineLevel="2">
      <c r="A8942" s="21"/>
      <c r="B8942" s="12" t="str">
        <f>IFERROR(VLOOKUP(D8942,'[1]Перечень товаров'!$A$2:$I9525,2,0),"")</f>
        <v>п32</v>
      </c>
      <c r="C8942" s="12" t="str">
        <f>IFERROR(VLOOKUP(D8942,'[1]Перечень товаров'!$A$2:$I9525,3,0),"")</f>
        <v>Прочее</v>
      </c>
      <c r="D8942" s="22" t="s">
        <v>367</v>
      </c>
      <c r="E8942" s="102"/>
      <c r="F8942" s="102"/>
      <c r="G8942" s="48">
        <v>2</v>
      </c>
      <c r="H8942" s="48"/>
      <c r="I8942" s="49"/>
      <c r="J8942" s="49"/>
      <c r="K8942" s="19"/>
      <c r="L8942" s="20"/>
    </row>
    <row r="8943" spans="1:12" ht="12.75" outlineLevel="1">
      <c r="A8943" s="11"/>
      <c r="B8943" s="12" t="str">
        <f>IFERROR(VLOOKUP(D8943,'[1]Перечень товаров'!$A$2:$I9525,2,0),"")</f>
        <v/>
      </c>
      <c r="C8943" s="12" t="str">
        <f>IFERROR(VLOOKUP(D8943,'[1]Перечень товаров'!$A$2:$I9525,3,0),"")</f>
        <v/>
      </c>
      <c r="D8943" s="27" t="s">
        <v>913</v>
      </c>
      <c r="E8943" s="99">
        <v>46128</v>
      </c>
      <c r="F8943" s="99"/>
      <c r="G8943" s="100"/>
      <c r="H8943" s="100"/>
      <c r="I8943" s="101"/>
      <c r="J8943" s="101"/>
      <c r="K8943" s="19"/>
      <c r="L8943" s="20"/>
    </row>
    <row r="8944" spans="1:12" outlineLevel="2">
      <c r="A8944" s="21"/>
      <c r="B8944" s="12" t="str">
        <f>IFERROR(VLOOKUP(D8944,'[1]Перечень товаров'!$A$2:$I9525,2,0),"")</f>
        <v>м190</v>
      </c>
      <c r="C8944" s="12" t="str">
        <f>IFERROR(VLOOKUP(D8944,'[1]Перечень товаров'!$A$2:$I9525,3,0),"")</f>
        <v>мебель</v>
      </c>
      <c r="D8944" s="22" t="s">
        <v>922</v>
      </c>
      <c r="E8944" s="23"/>
      <c r="F8944" s="23"/>
      <c r="G8944" s="24">
        <v>1</v>
      </c>
      <c r="H8944" s="24"/>
      <c r="I8944" s="25"/>
      <c r="J8944" s="25"/>
      <c r="K8944" s="19"/>
      <c r="L8944" s="20"/>
    </row>
    <row r="8945" spans="1:12" outlineLevel="2">
      <c r="A8945" s="21"/>
      <c r="B8945" s="12" t="str">
        <f>IFERROR(VLOOKUP(D8945,'[1]Перечень товаров'!$A$2:$I9525,2,0),"")</f>
        <v>д560</v>
      </c>
      <c r="C8945" s="12" t="str">
        <f>IFERROR(VLOOKUP(D8945,'[1]Перечень товаров'!$A$2:$I9525,3,0),"")</f>
        <v>дидактика</v>
      </c>
      <c r="D8945" s="22" t="s">
        <v>923</v>
      </c>
      <c r="E8945" s="23"/>
      <c r="F8945" s="23"/>
      <c r="G8945" s="24">
        <v>1</v>
      </c>
      <c r="H8945" s="24"/>
      <c r="I8945" s="25"/>
      <c r="J8945" s="25"/>
      <c r="K8945" s="19"/>
      <c r="L8945" s="20"/>
    </row>
    <row r="8946" spans="1:12" outlineLevel="2">
      <c r="A8946" s="21"/>
      <c r="B8946" s="12" t="str">
        <f>IFERROR(VLOOKUP(D8946,'[1]Перечень товаров'!$A$2:$I9525,2,0),"")</f>
        <v>м14</v>
      </c>
      <c r="C8946" s="12" t="str">
        <f>IFERROR(VLOOKUP(D8946,'[1]Перечень товаров'!$A$2:$I9525,3,0),"")</f>
        <v>Мебель</v>
      </c>
      <c r="D8946" s="22" t="s">
        <v>43</v>
      </c>
      <c r="E8946" s="23"/>
      <c r="F8946" s="23"/>
      <c r="G8946" s="24">
        <v>1</v>
      </c>
      <c r="H8946" s="24"/>
      <c r="I8946" s="25"/>
      <c r="J8946" s="25"/>
      <c r="K8946" s="19"/>
      <c r="L8946" s="20"/>
    </row>
    <row r="8947" spans="1:12" outlineLevel="2">
      <c r="A8947" s="21"/>
      <c r="B8947" s="12" t="str">
        <f>IFERROR(VLOOKUP(D8947,'[1]Перечень товаров'!$A$2:$I9525,2,0),"")</f>
        <v>м189</v>
      </c>
      <c r="C8947" s="12" t="str">
        <f>IFERROR(VLOOKUP(D8947,'[1]Перечень товаров'!$A$2:$I9525,3,0),"")</f>
        <v>мебель</v>
      </c>
      <c r="D8947" s="22" t="s">
        <v>924</v>
      </c>
      <c r="E8947" s="23"/>
      <c r="F8947" s="23"/>
      <c r="G8947" s="24">
        <v>1</v>
      </c>
      <c r="H8947" s="24"/>
      <c r="I8947" s="25"/>
      <c r="J8947" s="25"/>
      <c r="K8947" s="19"/>
      <c r="L8947" s="20"/>
    </row>
    <row r="8948" spans="1:12" outlineLevel="2">
      <c r="A8948" s="21"/>
      <c r="B8948" s="12" t="str">
        <f>IFERROR(VLOOKUP(D8948,'[1]Перечень товаров'!$A$2:$I9525,2,0),"")</f>
        <v>м221</v>
      </c>
      <c r="C8948" s="12" t="str">
        <f>IFERROR(VLOOKUP(D8948,'[1]Перечень товаров'!$A$2:$I9525,3,0),"")</f>
        <v>Мебель</v>
      </c>
      <c r="D8948" s="22" t="s">
        <v>878</v>
      </c>
      <c r="E8948" s="23"/>
      <c r="F8948" s="23"/>
      <c r="G8948" s="24">
        <v>1</v>
      </c>
      <c r="H8948" s="24"/>
      <c r="I8948" s="25"/>
      <c r="J8948" s="25"/>
      <c r="K8948" s="19"/>
      <c r="L8948" s="20"/>
    </row>
    <row r="8949" spans="1:12" outlineLevel="2">
      <c r="A8949" s="21"/>
      <c r="B8949" s="12" t="str">
        <f>IFERROR(VLOOKUP(D8949,'[1]Перечень товаров'!$A$2:$I9525,2,0),"")</f>
        <v>м19</v>
      </c>
      <c r="C8949" s="12" t="str">
        <f>IFERROR(VLOOKUP(D8949,'[1]Перечень товаров'!$A$2:$I9525,3,0),"")</f>
        <v>Мебель</v>
      </c>
      <c r="D8949" s="22" t="s">
        <v>53</v>
      </c>
      <c r="E8949" s="23"/>
      <c r="F8949" s="23"/>
      <c r="G8949" s="24">
        <v>1</v>
      </c>
      <c r="H8949" s="24"/>
      <c r="I8949" s="25"/>
      <c r="J8949" s="25"/>
      <c r="K8949" s="19"/>
      <c r="L8949" s="20"/>
    </row>
    <row r="8950" spans="1:12" ht="12.75" outlineLevel="1">
      <c r="A8950" s="11"/>
      <c r="B8950" s="12" t="str">
        <f>IFERROR(VLOOKUP(D8950,'[1]Перечень товаров'!$A$2:$I9525,2,0),"")</f>
        <v/>
      </c>
      <c r="C8950" s="12" t="str">
        <f>IFERROR(VLOOKUP(D8950,'[1]Перечень товаров'!$A$2:$I9525,3,0),"")</f>
        <v/>
      </c>
      <c r="D8950" s="27" t="s">
        <v>2117</v>
      </c>
      <c r="E8950" s="99">
        <v>46245</v>
      </c>
      <c r="F8950" s="99"/>
      <c r="G8950" s="100"/>
      <c r="H8950" s="100"/>
      <c r="I8950" s="101"/>
      <c r="J8950" s="101"/>
      <c r="K8950" s="19"/>
      <c r="L8950" s="20"/>
    </row>
    <row r="8951" spans="1:12" outlineLevel="2">
      <c r="A8951" s="21"/>
      <c r="B8951" s="12" t="str">
        <f>IFERROR(VLOOKUP(D8951,'[1]Перечень товаров'!$A$2:$I9525,2,0),"")</f>
        <v>м190</v>
      </c>
      <c r="C8951" s="12" t="str">
        <f>IFERROR(VLOOKUP(D8951,'[1]Перечень товаров'!$A$2:$I9525,3,0),"")</f>
        <v>мебель</v>
      </c>
      <c r="D8951" s="22" t="s">
        <v>922</v>
      </c>
      <c r="E8951" s="23"/>
      <c r="F8951" s="23"/>
      <c r="G8951" s="24">
        <v>1</v>
      </c>
      <c r="H8951" s="24"/>
      <c r="I8951" s="25"/>
      <c r="J8951" s="25"/>
      <c r="K8951" s="19"/>
      <c r="L8951" s="20"/>
    </row>
    <row r="8952" spans="1:12" outlineLevel="2">
      <c r="A8952" s="21"/>
      <c r="B8952" s="12" t="str">
        <f>IFERROR(VLOOKUP(D8952,'[1]Перечень товаров'!$A$2:$I9525,2,0),"")</f>
        <v>д560</v>
      </c>
      <c r="C8952" s="12" t="str">
        <f>IFERROR(VLOOKUP(D8952,'[1]Перечень товаров'!$A$2:$I9525,3,0),"")</f>
        <v>дидактика</v>
      </c>
      <c r="D8952" s="22" t="s">
        <v>923</v>
      </c>
      <c r="E8952" s="23"/>
      <c r="F8952" s="23"/>
      <c r="G8952" s="24">
        <v>1</v>
      </c>
      <c r="H8952" s="24"/>
      <c r="I8952" s="25"/>
      <c r="J8952" s="25"/>
      <c r="K8952" s="19"/>
      <c r="L8952" s="20"/>
    </row>
    <row r="8953" spans="1:12" outlineLevel="2">
      <c r="A8953" s="21"/>
      <c r="B8953" s="12" t="str">
        <f>IFERROR(VLOOKUP(D8953,'[1]Перечень товаров'!$A$2:$I9525,2,0),"")</f>
        <v>м14</v>
      </c>
      <c r="C8953" s="12" t="str">
        <f>IFERROR(VLOOKUP(D8953,'[1]Перечень товаров'!$A$2:$I9525,3,0),"")</f>
        <v>Мебель</v>
      </c>
      <c r="D8953" s="22" t="s">
        <v>43</v>
      </c>
      <c r="E8953" s="23"/>
      <c r="F8953" s="23"/>
      <c r="G8953" s="24">
        <v>1</v>
      </c>
      <c r="H8953" s="24"/>
      <c r="I8953" s="25"/>
      <c r="J8953" s="25"/>
      <c r="K8953" s="19"/>
      <c r="L8953" s="20"/>
    </row>
    <row r="8954" spans="1:12" outlineLevel="2">
      <c r="A8954" s="21"/>
      <c r="B8954" s="12" t="str">
        <f>IFERROR(VLOOKUP(D8954,'[1]Перечень товаров'!$A$2:$I9525,2,0),"")</f>
        <v>м189</v>
      </c>
      <c r="C8954" s="12" t="str">
        <f>IFERROR(VLOOKUP(D8954,'[1]Перечень товаров'!$A$2:$I9525,3,0),"")</f>
        <v>мебель</v>
      </c>
      <c r="D8954" s="22" t="s">
        <v>924</v>
      </c>
      <c r="E8954" s="23"/>
      <c r="F8954" s="23"/>
      <c r="G8954" s="24">
        <v>1</v>
      </c>
      <c r="H8954" s="24"/>
      <c r="I8954" s="25"/>
      <c r="J8954" s="25"/>
      <c r="K8954" s="19"/>
      <c r="L8954" s="20"/>
    </row>
    <row r="8955" spans="1:12" outlineLevel="2">
      <c r="A8955" s="21"/>
      <c r="B8955" s="12" t="str">
        <f>IFERROR(VLOOKUP(D8955,'[1]Перечень товаров'!$A$2:$I9525,2,0),"")</f>
        <v>м188</v>
      </c>
      <c r="C8955" s="12" t="str">
        <f>IFERROR(VLOOKUP(D8955,'[1]Перечень товаров'!$A$2:$I9525,3,0),"")</f>
        <v>мебель</v>
      </c>
      <c r="D8955" s="22" t="s">
        <v>925</v>
      </c>
      <c r="E8955" s="23"/>
      <c r="F8955" s="23"/>
      <c r="G8955" s="24">
        <v>1</v>
      </c>
      <c r="H8955" s="24"/>
      <c r="I8955" s="25"/>
      <c r="J8955" s="25"/>
      <c r="K8955" s="19"/>
      <c r="L8955" s="20"/>
    </row>
    <row r="8956" spans="1:12" outlineLevel="2">
      <c r="A8956" s="21"/>
      <c r="B8956" s="12" t="str">
        <f>IFERROR(VLOOKUP(D8956,'[1]Перечень товаров'!$A$2:$I9525,2,0),"")</f>
        <v>м19</v>
      </c>
      <c r="C8956" s="12" t="str">
        <f>IFERROR(VLOOKUP(D8956,'[1]Перечень товаров'!$A$2:$I9525,3,0),"")</f>
        <v>Мебель</v>
      </c>
      <c r="D8956" s="22" t="s">
        <v>53</v>
      </c>
      <c r="E8956" s="23"/>
      <c r="F8956" s="23"/>
      <c r="G8956" s="24">
        <v>1</v>
      </c>
      <c r="H8956" s="24"/>
      <c r="I8956" s="25"/>
      <c r="J8956" s="25"/>
      <c r="K8956" s="19"/>
      <c r="L8956" s="20"/>
    </row>
    <row r="8957" spans="1:12" outlineLevel="2">
      <c r="A8957" s="21"/>
      <c r="B8957" s="12" t="str">
        <f>IFERROR(VLOOKUP(D8957,'[1]Перечень товаров'!$A$2:$I9525,2,0),"")</f>
        <v>м187</v>
      </c>
      <c r="C8957" s="12" t="str">
        <f>IFERROR(VLOOKUP(D8957,'[1]Перечень товаров'!$A$2:$I9525,3,0),"")</f>
        <v>мебель</v>
      </c>
      <c r="D8957" s="22" t="s">
        <v>877</v>
      </c>
      <c r="E8957" s="23"/>
      <c r="F8957" s="23"/>
      <c r="G8957" s="24">
        <v>1</v>
      </c>
      <c r="H8957" s="24"/>
      <c r="I8957" s="25"/>
      <c r="J8957" s="25"/>
      <c r="K8957" s="19"/>
      <c r="L8957" s="20"/>
    </row>
    <row r="8958" spans="1:12" outlineLevel="2">
      <c r="A8958" s="21"/>
      <c r="B8958" s="12" t="str">
        <f>IFERROR(VLOOKUP(D8958,'[1]Перечень товаров'!$A$2:$I9525,2,0),"")</f>
        <v>тм77</v>
      </c>
      <c r="C8958" s="12" t="str">
        <f>IFERROR(VLOOKUP(D8958,'[1]Перечень товаров'!$A$2:$I9525,3,0),"")</f>
        <v>Техника муз</v>
      </c>
      <c r="D8958" s="22" t="s">
        <v>875</v>
      </c>
      <c r="E8958" s="23"/>
      <c r="F8958" s="23"/>
      <c r="G8958" s="24">
        <v>1</v>
      </c>
      <c r="H8958" s="24"/>
      <c r="I8958" s="25"/>
      <c r="J8958" s="25"/>
      <c r="K8958" s="19"/>
      <c r="L8958" s="20"/>
    </row>
    <row r="8959" spans="1:12" outlineLevel="2">
      <c r="A8959" s="21"/>
      <c r="B8959" s="12" t="str">
        <f>IFERROR(VLOOKUP(D8959,'[1]Перечень товаров'!$A$2:$I9525,2,0),"")</f>
        <v>м137</v>
      </c>
      <c r="C8959" s="12" t="str">
        <f>IFERROR(VLOOKUP(D8959,'[1]Перечень товаров'!$A$2:$I9525,3,0),"")</f>
        <v>мебель</v>
      </c>
      <c r="D8959" s="22" t="s">
        <v>876</v>
      </c>
      <c r="E8959" s="23"/>
      <c r="F8959" s="23"/>
      <c r="G8959" s="24">
        <v>1</v>
      </c>
      <c r="H8959" s="24"/>
      <c r="I8959" s="25"/>
      <c r="J8959" s="25"/>
      <c r="K8959" s="19"/>
      <c r="L8959" s="20"/>
    </row>
    <row r="8960" spans="1:12" outlineLevel="1">
      <c r="A8960" s="21"/>
      <c r="B8960" s="12" t="str">
        <f>IFERROR(VLOOKUP(D8960,'[1]Перечень товаров'!$A$2:$I9525,2,0),"")</f>
        <v/>
      </c>
      <c r="C8960" s="12" t="str">
        <f>IFERROR(VLOOKUP(D8960,'[1]Перечень товаров'!$A$2:$I9525,3,0),"")</f>
        <v/>
      </c>
      <c r="D8960" s="22" t="s">
        <v>885</v>
      </c>
      <c r="E8960" s="23" t="s">
        <v>2118</v>
      </c>
      <c r="F8960" s="23"/>
      <c r="G8960" s="24"/>
      <c r="H8960" s="24"/>
      <c r="I8960" s="25"/>
      <c r="J8960" s="25"/>
      <c r="K8960" s="19"/>
      <c r="L8960" s="20"/>
    </row>
    <row r="8961" spans="1:12" ht="14.25" customHeight="1">
      <c r="A8961" s="11"/>
      <c r="B8961" s="12" t="str">
        <f>IFERROR(VLOOKUP(D8961,'[1]Перечень товаров'!$A$2:$I9525,2,0),"")</f>
        <v/>
      </c>
      <c r="C8961" s="12" t="str">
        <f>IFERROR(VLOOKUP(D8961,'[1]Перечень товаров'!$A$2:$I9525,3,0),"")</f>
        <v/>
      </c>
      <c r="D8961" s="27" t="s">
        <v>2119</v>
      </c>
      <c r="E8961" s="14"/>
      <c r="F8961" s="14"/>
      <c r="G8961" s="16"/>
      <c r="H8961" s="16"/>
      <c r="I8961" s="18"/>
      <c r="J8961" s="18"/>
      <c r="K8961" s="19"/>
      <c r="L8961" s="20"/>
    </row>
    <row r="8962" spans="1:12" ht="12.75" outlineLevel="1">
      <c r="A8962" s="11"/>
      <c r="B8962" s="12" t="str">
        <f>IFERROR(VLOOKUP(D8962,'[1]Перечень товаров'!$A$2:$I9525,2,0),"")</f>
        <v/>
      </c>
      <c r="C8962" s="12" t="str">
        <f>IFERROR(VLOOKUP(D8962,'[1]Перечень товаров'!$A$2:$I9525,3,0),"")</f>
        <v/>
      </c>
      <c r="D8962" s="27" t="s">
        <v>167</v>
      </c>
      <c r="E8962" s="14" t="s">
        <v>168</v>
      </c>
      <c r="F8962" s="14"/>
      <c r="G8962" s="16"/>
      <c r="H8962" s="16"/>
      <c r="I8962" s="18"/>
      <c r="J8962" s="18"/>
      <c r="K8962" s="19"/>
      <c r="L8962" s="20"/>
    </row>
    <row r="8963" spans="1:12" outlineLevel="1">
      <c r="A8963" s="21"/>
      <c r="B8963" s="12" t="str">
        <f>IFERROR(VLOOKUP(D8963,'[1]Перечень товаров'!$A$2:$I9525,2,0),"")</f>
        <v/>
      </c>
      <c r="C8963" s="12" t="str">
        <f>IFERROR(VLOOKUP(D8963,'[1]Перечень товаров'!$A$2:$I9525,3,0),"")</f>
        <v/>
      </c>
      <c r="D8963" s="22" t="s">
        <v>368</v>
      </c>
      <c r="E8963" s="102">
        <v>46238</v>
      </c>
      <c r="F8963" s="102"/>
      <c r="G8963" s="103"/>
      <c r="H8963" s="103"/>
      <c r="I8963" s="104"/>
      <c r="J8963" s="104"/>
      <c r="K8963" s="19"/>
      <c r="L8963" s="20"/>
    </row>
    <row r="8964" spans="1:12" outlineLevel="1">
      <c r="A8964" s="21"/>
      <c r="B8964" s="12" t="str">
        <f>IFERROR(VLOOKUP(D8964,'[1]Перечень товаров'!$A$2:$I9525,2,0),"")</f>
        <v/>
      </c>
      <c r="C8964" s="12" t="str">
        <f>IFERROR(VLOOKUP(D8964,'[1]Перечень товаров'!$A$2:$I9525,3,0),"")</f>
        <v/>
      </c>
      <c r="D8964" s="22" t="s">
        <v>311</v>
      </c>
      <c r="E8964" s="102">
        <v>46291</v>
      </c>
      <c r="F8964" s="102"/>
      <c r="G8964" s="103"/>
      <c r="H8964" s="103"/>
      <c r="I8964" s="104"/>
      <c r="J8964" s="104"/>
      <c r="K8964" s="19"/>
      <c r="L8964" s="20"/>
    </row>
    <row r="8965" spans="1:12" outlineLevel="1">
      <c r="A8965" s="21"/>
      <c r="B8965" s="12" t="str">
        <f>IFERROR(VLOOKUP(D8965,'[1]Перечень товаров'!$A$2:$I9525,2,0),"")</f>
        <v/>
      </c>
      <c r="C8965" s="12" t="str">
        <f>IFERROR(VLOOKUP(D8965,'[1]Перечень товаров'!$A$2:$I9525,3,0),"")</f>
        <v/>
      </c>
      <c r="D8965" s="22" t="s">
        <v>169</v>
      </c>
      <c r="E8965" s="23">
        <v>0</v>
      </c>
      <c r="F8965" s="23"/>
      <c r="G8965" s="24"/>
      <c r="H8965" s="24"/>
      <c r="I8965" s="25"/>
      <c r="J8965" s="25"/>
      <c r="K8965" s="19"/>
      <c r="L8965" s="20"/>
    </row>
    <row r="8966" spans="1:12" ht="12.75" outlineLevel="1">
      <c r="A8966" s="11"/>
      <c r="B8966" s="12" t="str">
        <f>IFERROR(VLOOKUP(D8966,'[1]Перечень товаров'!$A$2:$I9525,2,0),"")</f>
        <v/>
      </c>
      <c r="C8966" s="12" t="str">
        <f>IFERROR(VLOOKUP(D8966,'[1]Перечень товаров'!$A$2:$I9525,3,0),"")</f>
        <v/>
      </c>
      <c r="D8966" s="27" t="s">
        <v>2102</v>
      </c>
      <c r="E8966" s="99">
        <v>46093</v>
      </c>
      <c r="F8966" s="99"/>
      <c r="G8966" s="100"/>
      <c r="H8966" s="100"/>
      <c r="I8966" s="101"/>
      <c r="J8966" s="101"/>
      <c r="K8966" s="19"/>
      <c r="L8966" s="20"/>
    </row>
    <row r="8967" spans="1:12" ht="31.5" outlineLevel="2">
      <c r="A8967" s="22"/>
      <c r="B8967" s="12" t="str">
        <f>IFERROR(VLOOKUP(D8967,'[1]Перечень товаров'!$A$2:$I9525,2,0),"")</f>
        <v>м133</v>
      </c>
      <c r="C8967" s="12" t="str">
        <f>IFERROR(VLOOKUP(D8967,'[1]Перечень товаров'!$A$2:$I9525,3,0),"")</f>
        <v>мебель</v>
      </c>
      <c r="D8967" s="22" t="s">
        <v>1585</v>
      </c>
      <c r="E8967" s="102"/>
      <c r="F8967" s="102"/>
      <c r="G8967" s="24">
        <v>3</v>
      </c>
      <c r="H8967" s="24"/>
      <c r="I8967" s="25"/>
      <c r="J8967" s="25"/>
      <c r="K8967" s="19"/>
      <c r="L8967" s="20"/>
    </row>
    <row r="8968" spans="1:12" outlineLevel="2">
      <c r="A8968" s="22"/>
      <c r="B8968" s="12" t="str">
        <f>IFERROR(VLOOKUP(D8968,'[1]Перечень товаров'!$A$2:$I9525,2,0),"")</f>
        <v>м132</v>
      </c>
      <c r="C8968" s="12" t="str">
        <f>IFERROR(VLOOKUP(D8968,'[1]Перечень товаров'!$A$2:$I9525,3,0),"")</f>
        <v>мебель</v>
      </c>
      <c r="D8968" s="22" t="s">
        <v>1586</v>
      </c>
      <c r="E8968" s="102"/>
      <c r="F8968" s="102"/>
      <c r="G8968" s="24">
        <v>2</v>
      </c>
      <c r="H8968" s="24"/>
      <c r="I8968" s="25"/>
      <c r="J8968" s="25"/>
      <c r="K8968" s="19"/>
      <c r="L8968" s="20"/>
    </row>
    <row r="8969" spans="1:12" ht="12.75" outlineLevel="1">
      <c r="A8969" s="11"/>
      <c r="B8969" s="12" t="str">
        <f>IFERROR(VLOOKUP(D8969,'[1]Перечень товаров'!$A$2:$I9525,2,0),"")</f>
        <v/>
      </c>
      <c r="C8969" s="12" t="str">
        <f>IFERROR(VLOOKUP(D8969,'[1]Перечень товаров'!$A$2:$I9525,3,0),"")</f>
        <v/>
      </c>
      <c r="D8969" s="27" t="s">
        <v>2106</v>
      </c>
      <c r="E8969" s="99">
        <v>46209</v>
      </c>
      <c r="F8969" s="99"/>
      <c r="G8969" s="100"/>
      <c r="H8969" s="100"/>
      <c r="I8969" s="101"/>
      <c r="J8969" s="101"/>
      <c r="K8969" s="19"/>
      <c r="L8969" s="20"/>
    </row>
    <row r="8970" spans="1:12" ht="31.5" outlineLevel="2">
      <c r="A8970" s="22"/>
      <c r="B8970" s="12" t="str">
        <f>IFERROR(VLOOKUP(D8970,'[1]Перечень товаров'!$A$2:$I9525,2,0),"")</f>
        <v>м133</v>
      </c>
      <c r="C8970" s="12" t="str">
        <f>IFERROR(VLOOKUP(D8970,'[1]Перечень товаров'!$A$2:$I9525,3,0),"")</f>
        <v>мебель</v>
      </c>
      <c r="D8970" s="22" t="s">
        <v>1585</v>
      </c>
      <c r="E8970" s="102"/>
      <c r="F8970" s="102"/>
      <c r="G8970" s="24">
        <v>3</v>
      </c>
      <c r="H8970" s="24"/>
      <c r="I8970" s="25"/>
      <c r="J8970" s="25"/>
      <c r="K8970" s="19"/>
      <c r="L8970" s="20"/>
    </row>
    <row r="8971" spans="1:12" outlineLevel="2">
      <c r="A8971" s="22"/>
      <c r="B8971" s="12" t="str">
        <f>IFERROR(VLOOKUP(D8971,'[1]Перечень товаров'!$A$2:$I9525,2,0),"")</f>
        <v>м132</v>
      </c>
      <c r="C8971" s="12" t="str">
        <f>IFERROR(VLOOKUP(D8971,'[1]Перечень товаров'!$A$2:$I9525,3,0),"")</f>
        <v>мебель</v>
      </c>
      <c r="D8971" s="22" t="s">
        <v>1586</v>
      </c>
      <c r="E8971" s="102"/>
      <c r="F8971" s="102"/>
      <c r="G8971" s="24">
        <v>2</v>
      </c>
      <c r="H8971" s="24"/>
      <c r="I8971" s="25"/>
      <c r="J8971" s="25"/>
      <c r="K8971" s="19"/>
      <c r="L8971" s="20"/>
    </row>
    <row r="8972" spans="1:12" ht="12.75" outlineLevel="1">
      <c r="A8972" s="11"/>
      <c r="B8972" s="12" t="str">
        <f>IFERROR(VLOOKUP(D8972,'[1]Перечень товаров'!$A$2:$I9525,2,0),"")</f>
        <v/>
      </c>
      <c r="C8972" s="12" t="str">
        <f>IFERROR(VLOOKUP(D8972,'[1]Перечень товаров'!$A$2:$I9525,3,0),"")</f>
        <v/>
      </c>
      <c r="D8972" s="27" t="s">
        <v>2107</v>
      </c>
      <c r="E8972" s="99">
        <v>46271</v>
      </c>
      <c r="F8972" s="99"/>
      <c r="G8972" s="100"/>
      <c r="H8972" s="100"/>
      <c r="I8972" s="101"/>
      <c r="J8972" s="101"/>
      <c r="K8972" s="19"/>
      <c r="L8972" s="20"/>
    </row>
    <row r="8973" spans="1:12" outlineLevel="2">
      <c r="A8973" s="43"/>
      <c r="B8973" s="12" t="str">
        <f>IFERROR(VLOOKUP(D8973,'[1]Перечень товаров'!$A$2:$I9525,2,0),"")</f>
        <v>м80</v>
      </c>
      <c r="C8973" s="12" t="str">
        <f>IFERROR(VLOOKUP(D8973,'[1]Перечень товаров'!$A$2:$I9525,3,0),"")</f>
        <v>мебель</v>
      </c>
      <c r="D8973" s="44" t="s">
        <v>2108</v>
      </c>
      <c r="E8973" s="23"/>
      <c r="F8973" s="23"/>
      <c r="G8973" s="23">
        <v>2</v>
      </c>
      <c r="H8973" s="48"/>
      <c r="I8973" s="49"/>
      <c r="J8973" s="49"/>
      <c r="K8973" s="19"/>
      <c r="L8973" s="20"/>
    </row>
    <row r="8974" spans="1:12" outlineLevel="2">
      <c r="A8974" s="43"/>
      <c r="B8974" s="12" t="str">
        <f>IFERROR(VLOOKUP(D8974,'[1]Перечень товаров'!$A$2:$I9525,2,0),"")</f>
        <v>м79</v>
      </c>
      <c r="C8974" s="12" t="str">
        <f>IFERROR(VLOOKUP(D8974,'[1]Перечень товаров'!$A$2:$I9525,3,0),"")</f>
        <v>мебель</v>
      </c>
      <c r="D8974" s="44" t="s">
        <v>2109</v>
      </c>
      <c r="E8974" s="23"/>
      <c r="F8974" s="23"/>
      <c r="G8974" s="23">
        <v>1</v>
      </c>
      <c r="H8974" s="48"/>
      <c r="I8974" s="49"/>
      <c r="J8974" s="49"/>
      <c r="K8974" s="19"/>
      <c r="L8974" s="20"/>
    </row>
    <row r="8975" spans="1:12" outlineLevel="2">
      <c r="A8975" s="43"/>
      <c r="B8975" s="12" t="str">
        <f>IFERROR(VLOOKUP(D8975,'[1]Перечень товаров'!$A$2:$I9525,2,0),"")</f>
        <v>м78</v>
      </c>
      <c r="C8975" s="12" t="str">
        <f>IFERROR(VLOOKUP(D8975,'[1]Перечень товаров'!$A$2:$I9525,3,0),"")</f>
        <v>мебель</v>
      </c>
      <c r="D8975" s="44" t="s">
        <v>2110</v>
      </c>
      <c r="E8975" s="23"/>
      <c r="F8975" s="23"/>
      <c r="G8975" s="23">
        <v>1</v>
      </c>
      <c r="H8975" s="48"/>
      <c r="I8975" s="49"/>
      <c r="J8975" s="49"/>
      <c r="K8975" s="19"/>
      <c r="L8975" s="20"/>
    </row>
    <row r="8976" spans="1:12" outlineLevel="2">
      <c r="A8976" s="43"/>
      <c r="B8976" s="12" t="str">
        <f>IFERROR(VLOOKUP(D8976,'[1]Перечень товаров'!$A$2:$I9525,2,0),"")</f>
        <v>м77</v>
      </c>
      <c r="C8976" s="12" t="str">
        <f>IFERROR(VLOOKUP(D8976,'[1]Перечень товаров'!$A$2:$I9525,3,0),"")</f>
        <v>мебель</v>
      </c>
      <c r="D8976" s="44" t="s">
        <v>2111</v>
      </c>
      <c r="E8976" s="23"/>
      <c r="F8976" s="23"/>
      <c r="G8976" s="23">
        <v>1</v>
      </c>
      <c r="H8976" s="48"/>
      <c r="I8976" s="49"/>
      <c r="J8976" s="49"/>
      <c r="K8976" s="19"/>
      <c r="L8976" s="20"/>
    </row>
    <row r="8977" spans="1:12" ht="12.75" outlineLevel="1">
      <c r="A8977" s="11"/>
      <c r="B8977" s="12" t="str">
        <f>IFERROR(VLOOKUP(D8977,'[1]Перечень товаров'!$A$2:$I9525,2,0),"")</f>
        <v/>
      </c>
      <c r="C8977" s="12" t="str">
        <f>IFERROR(VLOOKUP(D8977,'[1]Перечень товаров'!$A$2:$I9525,3,0),"")</f>
        <v/>
      </c>
      <c r="D8977" s="27" t="s">
        <v>886</v>
      </c>
      <c r="E8977" s="99">
        <v>46284</v>
      </c>
      <c r="F8977" s="99"/>
      <c r="G8977" s="100"/>
      <c r="H8977" s="100"/>
      <c r="I8977" s="101"/>
      <c r="J8977" s="101"/>
      <c r="K8977" s="19"/>
      <c r="L8977" s="20"/>
    </row>
    <row r="8978" spans="1:12" outlineLevel="2">
      <c r="A8978" s="177"/>
      <c r="B8978" s="12" t="str">
        <f>IFERROR(VLOOKUP(D8978,'[1]Перечень товаров'!$A$2:$I9525,2,0),"")</f>
        <v>т116</v>
      </c>
      <c r="C8978" s="12" t="str">
        <f>IFERROR(VLOOKUP(D8978,'[1]Перечень товаров'!$A$2:$I9525,3,0),"")</f>
        <v>Техника</v>
      </c>
      <c r="D8978" s="178" t="s">
        <v>887</v>
      </c>
      <c r="E8978" s="102"/>
      <c r="F8978" s="102"/>
      <c r="G8978" s="24">
        <v>1</v>
      </c>
      <c r="H8978" s="24"/>
      <c r="I8978" s="25"/>
      <c r="J8978" s="25"/>
      <c r="K8978" s="19"/>
      <c r="L8978" s="20"/>
    </row>
    <row r="8979" spans="1:12" outlineLevel="2">
      <c r="A8979" s="177"/>
      <c r="B8979" s="12" t="str">
        <f>IFERROR(VLOOKUP(D8979,'[1]Перечень товаров'!$A$2:$I9525,2,0),"")</f>
        <v>т115</v>
      </c>
      <c r="C8979" s="12" t="str">
        <f>IFERROR(VLOOKUP(D8979,'[1]Перечень товаров'!$A$2:$I9525,3,0),"")</f>
        <v>Техника</v>
      </c>
      <c r="D8979" s="178" t="s">
        <v>888</v>
      </c>
      <c r="E8979" s="102"/>
      <c r="F8979" s="102"/>
      <c r="G8979" s="24">
        <v>1</v>
      </c>
      <c r="H8979" s="24"/>
      <c r="I8979" s="25"/>
      <c r="J8979" s="25"/>
      <c r="K8979" s="19"/>
      <c r="L8979" s="20"/>
    </row>
    <row r="8980" spans="1:12" outlineLevel="2">
      <c r="A8980" s="251"/>
      <c r="B8980" s="12" t="str">
        <f>IFERROR(VLOOKUP(D8980,'[1]Перечень товаров'!$A$2:$I9525,2,0),"")</f>
        <v>м136</v>
      </c>
      <c r="C8980" s="12" t="str">
        <f>IFERROR(VLOOKUP(D8980,'[1]Перечень товаров'!$A$2:$I9525,3,0),"")</f>
        <v>мебель</v>
      </c>
      <c r="D8980" s="178" t="s">
        <v>889</v>
      </c>
      <c r="E8980" s="102"/>
      <c r="F8980" s="102"/>
      <c r="G8980" s="24">
        <v>1</v>
      </c>
      <c r="H8980" s="24"/>
      <c r="I8980" s="25"/>
      <c r="J8980" s="25"/>
      <c r="K8980" s="19"/>
      <c r="L8980" s="20"/>
    </row>
    <row r="8981" spans="1:12" outlineLevel="2">
      <c r="A8981" s="251"/>
      <c r="B8981" s="12" t="str">
        <f>IFERROR(VLOOKUP(D8981,'[1]Перечень товаров'!$A$2:$I9525,2,0),"")</f>
        <v>м135</v>
      </c>
      <c r="C8981" s="12" t="str">
        <f>IFERROR(VLOOKUP(D8981,'[1]Перечень товаров'!$A$2:$I9525,3,0),"")</f>
        <v>мебель</v>
      </c>
      <c r="D8981" s="178" t="s">
        <v>890</v>
      </c>
      <c r="E8981" s="102"/>
      <c r="F8981" s="102"/>
      <c r="G8981" s="24">
        <v>1</v>
      </c>
      <c r="H8981" s="24"/>
      <c r="I8981" s="25"/>
      <c r="J8981" s="25"/>
      <c r="K8981" s="19"/>
      <c r="L8981" s="20"/>
    </row>
    <row r="8982" spans="1:12" outlineLevel="2">
      <c r="A8982" s="251"/>
      <c r="B8982" s="12" t="str">
        <f>IFERROR(VLOOKUP(D8982,'[1]Перечень товаров'!$A$2:$I9525,2,0),"")</f>
        <v>д256</v>
      </c>
      <c r="C8982" s="12" t="str">
        <f>IFERROR(VLOOKUP(D8982,'[1]Перечень товаров'!$A$2:$I9525,3,0),"")</f>
        <v>Дидактика</v>
      </c>
      <c r="D8982" s="178" t="s">
        <v>891</v>
      </c>
      <c r="E8982" s="102"/>
      <c r="F8982" s="102"/>
      <c r="G8982" s="24">
        <v>1</v>
      </c>
      <c r="H8982" s="24"/>
      <c r="I8982" s="25"/>
      <c r="J8982" s="25"/>
      <c r="K8982" s="19"/>
      <c r="L8982" s="20"/>
    </row>
    <row r="8983" spans="1:12" outlineLevel="2">
      <c r="A8983" s="251"/>
      <c r="B8983" s="12" t="str">
        <f>IFERROR(VLOOKUP(D8983,'[1]Перечень товаров'!$A$2:$I9525,2,0),"")</f>
        <v>д255</v>
      </c>
      <c r="C8983" s="12" t="str">
        <f>IFERROR(VLOOKUP(D8983,'[1]Перечень товаров'!$A$2:$I9525,3,0),"")</f>
        <v>Дидактика</v>
      </c>
      <c r="D8983" s="178" t="s">
        <v>892</v>
      </c>
      <c r="E8983" s="102"/>
      <c r="F8983" s="102"/>
      <c r="G8983" s="24">
        <v>1</v>
      </c>
      <c r="H8983" s="24"/>
      <c r="I8983" s="25"/>
      <c r="J8983" s="25"/>
      <c r="K8983" s="19"/>
      <c r="L8983" s="20"/>
    </row>
    <row r="8984" spans="1:12" outlineLevel="2">
      <c r="A8984" s="251"/>
      <c r="B8984" s="12" t="str">
        <f>IFERROR(VLOOKUP(D8984,'[1]Перечень товаров'!$A$2:$I9525,2,0),"")</f>
        <v>м134</v>
      </c>
      <c r="C8984" s="12" t="str">
        <f>IFERROR(VLOOKUP(D8984,'[1]Перечень товаров'!$A$2:$I9525,3,0),"")</f>
        <v>мебель</v>
      </c>
      <c r="D8984" s="178" t="s">
        <v>893</v>
      </c>
      <c r="E8984" s="102"/>
      <c r="F8984" s="102"/>
      <c r="G8984" s="24">
        <v>4</v>
      </c>
      <c r="H8984" s="24"/>
      <c r="I8984" s="25"/>
      <c r="J8984" s="25"/>
      <c r="K8984" s="19"/>
      <c r="L8984" s="20"/>
    </row>
    <row r="8985" spans="1:12" ht="12.75" outlineLevel="1">
      <c r="A8985" s="11"/>
      <c r="B8985" s="12" t="str">
        <f>IFERROR(VLOOKUP(D8985,'[1]Перечень товаров'!$A$2:$I9525,2,0),"")</f>
        <v/>
      </c>
      <c r="C8985" s="12" t="str">
        <f>IFERROR(VLOOKUP(D8985,'[1]Перечень товаров'!$A$2:$I9525,3,0),"")</f>
        <v/>
      </c>
      <c r="D8985" s="27" t="s">
        <v>871</v>
      </c>
      <c r="E8985" s="99">
        <v>46128</v>
      </c>
      <c r="F8985" s="99"/>
      <c r="G8985" s="100"/>
      <c r="H8985" s="100"/>
      <c r="I8985" s="101"/>
      <c r="J8985" s="101"/>
      <c r="K8985" s="19"/>
      <c r="L8985" s="20"/>
    </row>
    <row r="8986" spans="1:12" outlineLevel="2">
      <c r="A8986" s="22"/>
      <c r="B8986" s="12" t="str">
        <f>IFERROR(VLOOKUP(D8986,'[1]Перечень товаров'!$A$2:$I9525,2,0),"")</f>
        <v>м14</v>
      </c>
      <c r="C8986" s="12" t="str">
        <f>IFERROR(VLOOKUP(D8986,'[1]Перечень товаров'!$A$2:$I9525,3,0),"")</f>
        <v>Мебель</v>
      </c>
      <c r="D8986" s="22" t="s">
        <v>43</v>
      </c>
      <c r="E8986" s="203"/>
      <c r="F8986" s="203"/>
      <c r="G8986" s="24">
        <v>1</v>
      </c>
      <c r="H8986" s="24"/>
      <c r="I8986" s="25"/>
      <c r="J8986" s="25"/>
      <c r="K8986" s="19"/>
      <c r="L8986" s="20"/>
    </row>
    <row r="8987" spans="1:12" outlineLevel="2">
      <c r="A8987" s="21"/>
      <c r="B8987" s="12" t="str">
        <f>IFERROR(VLOOKUP(D8987,'[1]Перечень товаров'!$A$2:$I9525,2,0),"")</f>
        <v>м167</v>
      </c>
      <c r="C8987" s="12" t="str">
        <f>IFERROR(VLOOKUP(D8987,'[1]Перечень товаров'!$A$2:$I9525,3,0),"")</f>
        <v>Мебель</v>
      </c>
      <c r="D8987" s="22" t="s">
        <v>508</v>
      </c>
      <c r="E8987" s="203"/>
      <c r="F8987" s="203"/>
      <c r="G8987" s="24">
        <v>1</v>
      </c>
      <c r="H8987" s="24"/>
      <c r="I8987" s="25"/>
      <c r="J8987" s="25"/>
      <c r="K8987" s="19"/>
      <c r="L8987" s="20"/>
    </row>
    <row r="8988" spans="1:12" outlineLevel="2">
      <c r="A8988" s="21"/>
      <c r="B8988" s="12" t="str">
        <f>IFERROR(VLOOKUP(D8988,'[1]Перечень товаров'!$A$2:$I9525,2,0),"")</f>
        <v>м218</v>
      </c>
      <c r="C8988" s="12" t="str">
        <f>IFERROR(VLOOKUP(D8988,'[1]Перечень товаров'!$A$2:$I9525,3,0),"")</f>
        <v>Мебель</v>
      </c>
      <c r="D8988" s="22" t="s">
        <v>872</v>
      </c>
      <c r="E8988" s="203"/>
      <c r="F8988" s="203"/>
      <c r="G8988" s="24">
        <v>2</v>
      </c>
      <c r="H8988" s="24"/>
      <c r="I8988" s="25"/>
      <c r="J8988" s="25"/>
      <c r="K8988" s="19"/>
      <c r="L8988" s="20"/>
    </row>
    <row r="8989" spans="1:12" outlineLevel="2">
      <c r="A8989" s="21"/>
      <c r="B8989" s="12" t="str">
        <f>IFERROR(VLOOKUP(D8989,'[1]Перечень товаров'!$A$2:$I9525,2,0),"")</f>
        <v>м219</v>
      </c>
      <c r="C8989" s="12" t="str">
        <f>IFERROR(VLOOKUP(D8989,'[1]Перечень товаров'!$A$2:$I9525,3,0),"")</f>
        <v>Мебель</v>
      </c>
      <c r="D8989" s="22" t="s">
        <v>873</v>
      </c>
      <c r="E8989" s="203"/>
      <c r="F8989" s="203"/>
      <c r="G8989" s="24">
        <v>4</v>
      </c>
      <c r="H8989" s="24"/>
      <c r="I8989" s="25"/>
      <c r="J8989" s="25"/>
      <c r="K8989" s="19"/>
      <c r="L8989" s="20"/>
    </row>
    <row r="8990" spans="1:12" outlineLevel="2">
      <c r="A8990" s="21"/>
      <c r="B8990" s="12" t="str">
        <f>IFERROR(VLOOKUP(D8990,'[1]Перечень товаров'!$A$2:$I9525,2,0),"")</f>
        <v>м220</v>
      </c>
      <c r="C8990" s="12" t="str">
        <f>IFERROR(VLOOKUP(D8990,'[1]Перечень товаров'!$A$2:$I9525,3,0),"")</f>
        <v>Мебель</v>
      </c>
      <c r="D8990" s="22" t="s">
        <v>874</v>
      </c>
      <c r="E8990" s="203"/>
      <c r="F8990" s="203"/>
      <c r="G8990" s="24">
        <v>1</v>
      </c>
      <c r="H8990" s="24"/>
      <c r="I8990" s="25"/>
      <c r="J8990" s="25"/>
      <c r="K8990" s="19"/>
      <c r="L8990" s="20"/>
    </row>
    <row r="8991" spans="1:12" outlineLevel="2">
      <c r="A8991" s="21"/>
      <c r="B8991" s="12" t="str">
        <f>IFERROR(VLOOKUP(D8991,'[1]Перечень товаров'!$A$2:$I9525,2,0),"")</f>
        <v>тм77</v>
      </c>
      <c r="C8991" s="12" t="str">
        <f>IFERROR(VLOOKUP(D8991,'[1]Перечень товаров'!$A$2:$I9525,3,0),"")</f>
        <v>Техника муз</v>
      </c>
      <c r="D8991" s="22" t="s">
        <v>875</v>
      </c>
      <c r="E8991" s="203"/>
      <c r="F8991" s="203"/>
      <c r="G8991" s="24">
        <v>1</v>
      </c>
      <c r="H8991" s="24"/>
      <c r="I8991" s="25"/>
      <c r="J8991" s="25"/>
      <c r="K8991" s="19"/>
      <c r="L8991" s="20"/>
    </row>
    <row r="8992" spans="1:12" outlineLevel="2">
      <c r="A8992" s="21"/>
      <c r="B8992" s="12" t="str">
        <f>IFERROR(VLOOKUP(D8992,'[1]Перечень товаров'!$A$2:$I9525,2,0),"")</f>
        <v>м137</v>
      </c>
      <c r="C8992" s="12" t="str">
        <f>IFERROR(VLOOKUP(D8992,'[1]Перечень товаров'!$A$2:$I9525,3,0),"")</f>
        <v>мебель</v>
      </c>
      <c r="D8992" s="22" t="s">
        <v>876</v>
      </c>
      <c r="E8992" s="203"/>
      <c r="F8992" s="203"/>
      <c r="G8992" s="24">
        <v>1</v>
      </c>
      <c r="H8992" s="24"/>
      <c r="I8992" s="25"/>
      <c r="J8992" s="25"/>
      <c r="K8992" s="19"/>
      <c r="L8992" s="20"/>
    </row>
    <row r="8993" spans="1:12" outlineLevel="2">
      <c r="A8993" s="21"/>
      <c r="B8993" s="12" t="str">
        <f>IFERROR(VLOOKUP(D8993,'[1]Перечень товаров'!$A$2:$I9525,2,0),"")</f>
        <v>м187</v>
      </c>
      <c r="C8993" s="12" t="str">
        <f>IFERROR(VLOOKUP(D8993,'[1]Перечень товаров'!$A$2:$I9525,3,0),"")</f>
        <v>мебель</v>
      </c>
      <c r="D8993" s="22" t="s">
        <v>877</v>
      </c>
      <c r="E8993" s="203"/>
      <c r="F8993" s="203"/>
      <c r="G8993" s="24">
        <v>1</v>
      </c>
      <c r="H8993" s="24"/>
      <c r="I8993" s="25"/>
      <c r="J8993" s="25"/>
      <c r="K8993" s="19"/>
      <c r="L8993" s="20"/>
    </row>
    <row r="8994" spans="1:12" outlineLevel="2">
      <c r="A8994" s="21"/>
      <c r="B8994" s="12" t="str">
        <f>IFERROR(VLOOKUP(D8994,'[1]Перечень товаров'!$A$2:$I9525,2,0),"")</f>
        <v>м30</v>
      </c>
      <c r="C8994" s="12" t="str">
        <f>IFERROR(VLOOKUP(D8994,'[1]Перечень товаров'!$A$2:$I9525,3,0),"")</f>
        <v>Мебель</v>
      </c>
      <c r="D8994" s="22" t="s">
        <v>181</v>
      </c>
      <c r="E8994" s="203"/>
      <c r="F8994" s="203"/>
      <c r="G8994" s="24">
        <v>2</v>
      </c>
      <c r="H8994" s="24"/>
      <c r="I8994" s="25"/>
      <c r="J8994" s="25"/>
      <c r="K8994" s="19"/>
      <c r="L8994" s="20"/>
    </row>
    <row r="8995" spans="1:12" outlineLevel="2">
      <c r="A8995" s="21"/>
      <c r="B8995" s="12" t="str">
        <f>IFERROR(VLOOKUP(D8995,'[1]Перечень товаров'!$A$2:$I9525,2,0),"")</f>
        <v>м221</v>
      </c>
      <c r="C8995" s="12" t="str">
        <f>IFERROR(VLOOKUP(D8995,'[1]Перечень товаров'!$A$2:$I9525,3,0),"")</f>
        <v>Мебель</v>
      </c>
      <c r="D8995" s="22" t="s">
        <v>878</v>
      </c>
      <c r="E8995" s="203"/>
      <c r="F8995" s="203"/>
      <c r="G8995" s="24">
        <v>2</v>
      </c>
      <c r="H8995" s="24"/>
      <c r="I8995" s="25"/>
      <c r="J8995" s="25"/>
      <c r="K8995" s="19"/>
      <c r="L8995" s="20"/>
    </row>
    <row r="8996" spans="1:12" ht="12.75" outlineLevel="1">
      <c r="A8996" s="11"/>
      <c r="B8996" s="12" t="str">
        <f>IFERROR(VLOOKUP(D8996,'[1]Перечень товаров'!$A$2:$I9525,2,0),"")</f>
        <v/>
      </c>
      <c r="C8996" s="12" t="str">
        <f>IFERROR(VLOOKUP(D8996,'[1]Перечень товаров'!$A$2:$I9525,3,0),"")</f>
        <v/>
      </c>
      <c r="D8996" s="27" t="s">
        <v>521</v>
      </c>
      <c r="E8996" s="99">
        <v>46238</v>
      </c>
      <c r="F8996" s="99"/>
      <c r="G8996" s="100"/>
      <c r="H8996" s="100"/>
      <c r="I8996" s="101"/>
      <c r="J8996" s="101"/>
      <c r="K8996" s="19"/>
      <c r="L8996" s="20"/>
    </row>
    <row r="8997" spans="1:12" outlineLevel="2">
      <c r="A8997" s="22"/>
      <c r="B8997" s="12" t="str">
        <f>IFERROR(VLOOKUP(D8997,'[1]Перечень товаров'!$A$2:$I9525,2,0),"")</f>
        <v>п25</v>
      </c>
      <c r="C8997" s="12" t="str">
        <f>IFERROR(VLOOKUP(D8997,'[1]Перечень товаров'!$A$2:$I9525,3,0),"")</f>
        <v>Прочее</v>
      </c>
      <c r="D8997" s="22" t="s">
        <v>360</v>
      </c>
      <c r="E8997" s="102"/>
      <c r="F8997" s="102"/>
      <c r="G8997" s="48">
        <v>3</v>
      </c>
      <c r="H8997" s="48"/>
      <c r="I8997" s="49"/>
      <c r="J8997" s="49"/>
      <c r="K8997" s="33"/>
      <c r="L8997" s="20"/>
    </row>
    <row r="8998" spans="1:12" outlineLevel="2">
      <c r="A8998" s="21"/>
      <c r="B8998" s="12" t="str">
        <f>IFERROR(VLOOKUP(D8998,'[1]Перечень товаров'!$A$2:$I9525,2,0),"")</f>
        <v>п26</v>
      </c>
      <c r="C8998" s="12" t="str">
        <f>IFERROR(VLOOKUP(D8998,'[1]Перечень товаров'!$A$2:$I9525,3,0),"")</f>
        <v>Прочее</v>
      </c>
      <c r="D8998" s="22" t="s">
        <v>361</v>
      </c>
      <c r="E8998" s="102"/>
      <c r="F8998" s="102"/>
      <c r="G8998" s="48">
        <v>2</v>
      </c>
      <c r="H8998" s="48"/>
      <c r="I8998" s="49"/>
      <c r="J8998" s="49"/>
      <c r="K8998" s="33"/>
      <c r="L8998" s="20"/>
    </row>
    <row r="8999" spans="1:12" outlineLevel="2">
      <c r="A8999" s="21"/>
      <c r="B8999" s="12" t="str">
        <f>IFERROR(VLOOKUP(D8999,'[1]Перечень товаров'!$A$2:$I9525,2,0),"")</f>
        <v>п27</v>
      </c>
      <c r="C8999" s="12" t="str">
        <f>IFERROR(VLOOKUP(D8999,'[1]Перечень товаров'!$A$2:$I9525,3,0),"")</f>
        <v>Прочее</v>
      </c>
      <c r="D8999" s="22" t="s">
        <v>362</v>
      </c>
      <c r="E8999" s="102"/>
      <c r="F8999" s="102"/>
      <c r="G8999" s="48">
        <v>2</v>
      </c>
      <c r="H8999" s="48"/>
      <c r="I8999" s="49"/>
      <c r="J8999" s="49"/>
      <c r="K8999" s="33"/>
      <c r="L8999" s="20"/>
    </row>
    <row r="9000" spans="1:12" outlineLevel="2">
      <c r="A9000" s="21"/>
      <c r="B9000" s="12" t="str">
        <f>IFERROR(VLOOKUP(D9000,'[1]Перечень товаров'!$A$2:$I9525,2,0),"")</f>
        <v>п28</v>
      </c>
      <c r="C9000" s="12" t="str">
        <f>IFERROR(VLOOKUP(D9000,'[1]Перечень товаров'!$A$2:$I9525,3,0),"")</f>
        <v>Прочее</v>
      </c>
      <c r="D9000" s="22" t="s">
        <v>363</v>
      </c>
      <c r="E9000" s="102"/>
      <c r="F9000" s="102"/>
      <c r="G9000" s="48">
        <v>1</v>
      </c>
      <c r="H9000" s="48"/>
      <c r="I9000" s="49"/>
      <c r="J9000" s="49"/>
      <c r="K9000" s="33"/>
      <c r="L9000" s="20"/>
    </row>
    <row r="9001" spans="1:12" outlineLevel="2">
      <c r="A9001" s="21"/>
      <c r="B9001" s="12" t="str">
        <f>IFERROR(VLOOKUP(D9001,'[1]Перечень товаров'!$A$2:$I9525,2,0),"")</f>
        <v>п29</v>
      </c>
      <c r="C9001" s="12" t="str">
        <f>IFERROR(VLOOKUP(D9001,'[1]Перечень товаров'!$A$2:$I9525,3,0),"")</f>
        <v>Прочее</v>
      </c>
      <c r="D9001" s="22" t="s">
        <v>364</v>
      </c>
      <c r="E9001" s="102"/>
      <c r="F9001" s="102"/>
      <c r="G9001" s="48">
        <v>6</v>
      </c>
      <c r="H9001" s="48"/>
      <c r="I9001" s="49"/>
      <c r="J9001" s="49"/>
      <c r="K9001" s="33"/>
      <c r="L9001" s="20"/>
    </row>
    <row r="9002" spans="1:12" outlineLevel="2">
      <c r="A9002" s="21"/>
      <c r="B9002" s="12" t="str">
        <f>IFERROR(VLOOKUP(D9002,'[1]Перечень товаров'!$A$2:$I9525,2,0),"")</f>
        <v>п30</v>
      </c>
      <c r="C9002" s="12" t="str">
        <f>IFERROR(VLOOKUP(D9002,'[1]Перечень товаров'!$A$2:$I9525,3,0),"")</f>
        <v>Прочее</v>
      </c>
      <c r="D9002" s="22" t="s">
        <v>365</v>
      </c>
      <c r="E9002" s="102"/>
      <c r="F9002" s="102"/>
      <c r="G9002" s="48">
        <v>2</v>
      </c>
      <c r="H9002" s="48"/>
      <c r="I9002" s="49"/>
      <c r="J9002" s="49"/>
      <c r="K9002" s="33"/>
      <c r="L9002" s="20"/>
    </row>
    <row r="9003" spans="1:12" ht="31.5" outlineLevel="2">
      <c r="A9003" s="21"/>
      <c r="B9003" s="12" t="str">
        <f>IFERROR(VLOOKUP(D9003,'[1]Перечень товаров'!$A$2:$I9525,2,0),"")</f>
        <v>п31</v>
      </c>
      <c r="C9003" s="12" t="str">
        <f>IFERROR(VLOOKUP(D9003,'[1]Перечень товаров'!$A$2:$I9525,3,0),"")</f>
        <v>Прочее</v>
      </c>
      <c r="D9003" s="22" t="s">
        <v>366</v>
      </c>
      <c r="E9003" s="102"/>
      <c r="F9003" s="102"/>
      <c r="G9003" s="48">
        <v>1</v>
      </c>
      <c r="H9003" s="48"/>
      <c r="I9003" s="49"/>
      <c r="J9003" s="49"/>
      <c r="K9003" s="33"/>
      <c r="L9003" s="20"/>
    </row>
    <row r="9004" spans="1:12" ht="31.5" outlineLevel="2">
      <c r="A9004" s="21"/>
      <c r="B9004" s="12" t="str">
        <f>IFERROR(VLOOKUP(D9004,'[1]Перечень товаров'!$A$2:$I9525,2,0),"")</f>
        <v>п32</v>
      </c>
      <c r="C9004" s="12" t="str">
        <f>IFERROR(VLOOKUP(D9004,'[1]Перечень товаров'!$A$2:$I9525,3,0),"")</f>
        <v>Прочее</v>
      </c>
      <c r="D9004" s="22" t="s">
        <v>367</v>
      </c>
      <c r="E9004" s="102"/>
      <c r="F9004" s="102"/>
      <c r="G9004" s="48">
        <v>2</v>
      </c>
      <c r="H9004" s="48"/>
      <c r="I9004" s="49"/>
      <c r="J9004" s="49"/>
      <c r="K9004" s="33"/>
      <c r="L9004" s="20"/>
    </row>
    <row r="9005" spans="1:12" ht="12.75" outlineLevel="1">
      <c r="A9005" s="11"/>
      <c r="B9005" s="12" t="str">
        <f>IFERROR(VLOOKUP(D9005,'[1]Перечень товаров'!$A$2:$I9525,2,0),"")</f>
        <v/>
      </c>
      <c r="C9005" s="12" t="str">
        <f>IFERROR(VLOOKUP(D9005,'[1]Перечень товаров'!$A$2:$I9525,3,0),"")</f>
        <v/>
      </c>
      <c r="D9005" s="27" t="s">
        <v>879</v>
      </c>
      <c r="E9005" s="99">
        <v>46270</v>
      </c>
      <c r="F9005" s="99"/>
      <c r="G9005" s="100"/>
      <c r="H9005" s="100"/>
      <c r="I9005" s="101"/>
      <c r="J9005" s="101"/>
      <c r="K9005" s="19"/>
      <c r="L9005" s="20"/>
    </row>
    <row r="9006" spans="1:12" outlineLevel="2">
      <c r="A9006" s="43"/>
      <c r="B9006" s="12" t="str">
        <f>IFERROR(VLOOKUP(D9006,'[1]Перечень товаров'!$A$2:$I9525,2,0),"")</f>
        <v>м222</v>
      </c>
      <c r="C9006" s="12" t="str">
        <f>IFERROR(VLOOKUP(D9006,'[1]Перечень товаров'!$A$2:$I9525,3,0),"")</f>
        <v>Мебель</v>
      </c>
      <c r="D9006" s="44" t="s">
        <v>880</v>
      </c>
      <c r="E9006" s="102"/>
      <c r="F9006" s="102"/>
      <c r="G9006" s="24">
        <v>1</v>
      </c>
      <c r="H9006" s="24"/>
      <c r="I9006" s="25"/>
      <c r="J9006" s="25"/>
      <c r="K9006" s="19"/>
      <c r="L9006" s="20"/>
    </row>
    <row r="9007" spans="1:12" outlineLevel="2">
      <c r="A9007" s="43"/>
      <c r="B9007" s="12" t="str">
        <f>IFERROR(VLOOKUP(D9007,'[1]Перечень товаров'!$A$2:$I9525,2,0),"")</f>
        <v>м223</v>
      </c>
      <c r="C9007" s="12" t="str">
        <f>IFERROR(VLOOKUP(D9007,'[1]Перечень товаров'!$A$2:$I9525,3,0),"")</f>
        <v>Мебель</v>
      </c>
      <c r="D9007" s="44" t="s">
        <v>881</v>
      </c>
      <c r="E9007" s="102"/>
      <c r="F9007" s="102"/>
      <c r="G9007" s="24">
        <v>1</v>
      </c>
      <c r="H9007" s="24"/>
      <c r="I9007" s="25"/>
      <c r="J9007" s="25"/>
      <c r="K9007" s="19"/>
      <c r="L9007" s="20"/>
    </row>
    <row r="9008" spans="1:12" outlineLevel="2">
      <c r="A9008" s="43"/>
      <c r="B9008" s="12" t="str">
        <f>IFERROR(VLOOKUP(D9008,'[1]Перечень товаров'!$A$2:$I9525,2,0),"")</f>
        <v>м224</v>
      </c>
      <c r="C9008" s="12" t="str">
        <f>IFERROR(VLOOKUP(D9008,'[1]Перечень товаров'!$A$2:$I9525,3,0),"")</f>
        <v>Мебель</v>
      </c>
      <c r="D9008" s="44" t="s">
        <v>882</v>
      </c>
      <c r="E9008" s="102"/>
      <c r="F9008" s="102"/>
      <c r="G9008" s="24">
        <v>1</v>
      </c>
      <c r="H9008" s="24"/>
      <c r="I9008" s="25"/>
      <c r="J9008" s="25"/>
      <c r="K9008" s="19"/>
      <c r="L9008" s="20"/>
    </row>
    <row r="9009" spans="1:12" outlineLevel="2">
      <c r="A9009" s="43"/>
      <c r="B9009" s="12" t="str">
        <f>IFERROR(VLOOKUP(D9009,'[1]Перечень товаров'!$A$2:$I9525,2,0),"")</f>
        <v>м225</v>
      </c>
      <c r="C9009" s="12" t="str">
        <f>IFERROR(VLOOKUP(D9009,'[1]Перечень товаров'!$A$2:$I9525,3,0),"")</f>
        <v>Мебель</v>
      </c>
      <c r="D9009" s="44" t="s">
        <v>883</v>
      </c>
      <c r="E9009" s="102"/>
      <c r="F9009" s="102"/>
      <c r="G9009" s="24">
        <v>1</v>
      </c>
      <c r="H9009" s="24"/>
      <c r="I9009" s="25"/>
      <c r="J9009" s="25"/>
      <c r="K9009" s="19"/>
      <c r="L9009" s="20"/>
    </row>
    <row r="9010" spans="1:12" outlineLevel="2">
      <c r="A9010" s="43"/>
      <c r="B9010" s="12" t="str">
        <f>IFERROR(VLOOKUP(D9010,'[1]Перечень товаров'!$A$2:$I9525,2,0),"")</f>
        <v>п28</v>
      </c>
      <c r="C9010" s="12" t="str">
        <f>IFERROR(VLOOKUP(D9010,'[1]Перечень товаров'!$A$2:$I9525,3,0),"")</f>
        <v>Прочее</v>
      </c>
      <c r="D9010" s="44" t="s">
        <v>363</v>
      </c>
      <c r="E9010" s="102"/>
      <c r="F9010" s="102"/>
      <c r="G9010" s="24">
        <v>1</v>
      </c>
      <c r="H9010" s="24"/>
      <c r="I9010" s="25"/>
      <c r="J9010" s="25"/>
      <c r="K9010" s="19"/>
      <c r="L9010" s="20"/>
    </row>
    <row r="9011" spans="1:12" outlineLevel="2">
      <c r="A9011" s="43"/>
      <c r="B9011" s="12" t="str">
        <f>IFERROR(VLOOKUP(D9011,'[1]Перечень товаров'!$A$2:$I9525,2,0),"")</f>
        <v>м226</v>
      </c>
      <c r="C9011" s="12" t="str">
        <f>IFERROR(VLOOKUP(D9011,'[1]Перечень товаров'!$A$2:$I9525,3,0),"")</f>
        <v>Мебель</v>
      </c>
      <c r="D9011" s="44" t="s">
        <v>884</v>
      </c>
      <c r="E9011" s="102"/>
      <c r="F9011" s="102"/>
      <c r="G9011" s="24">
        <v>1</v>
      </c>
      <c r="H9011" s="24"/>
      <c r="I9011" s="25"/>
      <c r="J9011" s="25"/>
      <c r="K9011" s="19"/>
      <c r="L9011" s="20"/>
    </row>
    <row r="9012" spans="1:12" outlineLevel="1">
      <c r="A9012" s="21"/>
      <c r="B9012" s="12" t="str">
        <f>IFERROR(VLOOKUP(D9012,'[1]Перечень товаров'!$A$2:$I9525,2,0),"")</f>
        <v/>
      </c>
      <c r="C9012" s="12" t="str">
        <f>IFERROR(VLOOKUP(D9012,'[1]Перечень товаров'!$A$2:$I9525,3,0),"")</f>
        <v/>
      </c>
      <c r="D9012" s="22" t="s">
        <v>2120</v>
      </c>
      <c r="E9012" s="23" t="s">
        <v>375</v>
      </c>
      <c r="F9012" s="23"/>
      <c r="G9012" s="24"/>
      <c r="H9012" s="24"/>
      <c r="I9012" s="25"/>
      <c r="J9012" s="25"/>
      <c r="K9012" s="19"/>
      <c r="L9012" s="20"/>
    </row>
    <row r="9013" spans="1:12" ht="12.75" outlineLevel="1">
      <c r="A9013" s="11"/>
      <c r="B9013" s="12" t="str">
        <f>IFERROR(VLOOKUP(D9013,'[1]Перечень товаров'!$A$2:$I9525,2,0),"")</f>
        <v/>
      </c>
      <c r="C9013" s="12" t="str">
        <f>IFERROR(VLOOKUP(D9013,'[1]Перечень товаров'!$A$2:$I9525,3,0),"")</f>
        <v/>
      </c>
      <c r="D9013" s="27" t="s">
        <v>871</v>
      </c>
      <c r="E9013" s="99">
        <v>46128</v>
      </c>
      <c r="F9013" s="99"/>
      <c r="G9013" s="100"/>
      <c r="H9013" s="100"/>
      <c r="I9013" s="101"/>
      <c r="J9013" s="101"/>
      <c r="K9013" s="19"/>
      <c r="L9013" s="20"/>
    </row>
    <row r="9014" spans="1:12" outlineLevel="2">
      <c r="A9014" s="156"/>
      <c r="B9014" s="12" t="str">
        <f>IFERROR(VLOOKUP(D9014,'[1]Перечень товаров'!$A$2:$I9525,2,0),"")</f>
        <v>м14</v>
      </c>
      <c r="C9014" s="12" t="str">
        <f>IFERROR(VLOOKUP(D9014,'[1]Перечень товаров'!$A$2:$I9525,3,0),"")</f>
        <v>Мебель</v>
      </c>
      <c r="D9014" s="156" t="s">
        <v>43</v>
      </c>
      <c r="E9014" s="102"/>
      <c r="F9014" s="102"/>
      <c r="G9014" s="24">
        <v>1</v>
      </c>
      <c r="H9014" s="24"/>
      <c r="I9014" s="25"/>
      <c r="J9014" s="25"/>
      <c r="K9014" s="19"/>
      <c r="L9014" s="20"/>
    </row>
    <row r="9015" spans="1:12" outlineLevel="2">
      <c r="A9015" s="312"/>
      <c r="B9015" s="12" t="str">
        <f>IFERROR(VLOOKUP(D9015,'[1]Перечень товаров'!$A$2:$I9525,2,0),"")</f>
        <v>м167</v>
      </c>
      <c r="C9015" s="12" t="str">
        <f>IFERROR(VLOOKUP(D9015,'[1]Перечень товаров'!$A$2:$I9525,3,0),"")</f>
        <v>Мебель</v>
      </c>
      <c r="D9015" s="143" t="s">
        <v>508</v>
      </c>
      <c r="E9015" s="102"/>
      <c r="F9015" s="102"/>
      <c r="G9015" s="24">
        <v>1</v>
      </c>
      <c r="H9015" s="24"/>
      <c r="I9015" s="25"/>
      <c r="J9015" s="25"/>
      <c r="K9015" s="19"/>
      <c r="L9015" s="20"/>
    </row>
    <row r="9016" spans="1:12" outlineLevel="2">
      <c r="A9016" s="21"/>
      <c r="B9016" s="12" t="str">
        <f>IFERROR(VLOOKUP(D9016,'[1]Перечень товаров'!$A$2:$I9525,2,0),"")</f>
        <v>м218</v>
      </c>
      <c r="C9016" s="12" t="str">
        <f>IFERROR(VLOOKUP(D9016,'[1]Перечень товаров'!$A$2:$I9525,3,0),"")</f>
        <v>Мебель</v>
      </c>
      <c r="D9016" s="22" t="s">
        <v>872</v>
      </c>
      <c r="E9016" s="102"/>
      <c r="F9016" s="102"/>
      <c r="G9016" s="24">
        <v>2</v>
      </c>
      <c r="H9016" s="24"/>
      <c r="I9016" s="25"/>
      <c r="J9016" s="25"/>
      <c r="K9016" s="19"/>
      <c r="L9016" s="20"/>
    </row>
    <row r="9017" spans="1:12" outlineLevel="2">
      <c r="A9017" s="21"/>
      <c r="B9017" s="12" t="str">
        <f>IFERROR(VLOOKUP(D9017,'[1]Перечень товаров'!$A$2:$I9525,2,0),"")</f>
        <v>м219</v>
      </c>
      <c r="C9017" s="12" t="str">
        <f>IFERROR(VLOOKUP(D9017,'[1]Перечень товаров'!$A$2:$I9525,3,0),"")</f>
        <v>Мебель</v>
      </c>
      <c r="D9017" s="22" t="s">
        <v>873</v>
      </c>
      <c r="E9017" s="102"/>
      <c r="F9017" s="102"/>
      <c r="G9017" s="24">
        <v>4</v>
      </c>
      <c r="H9017" s="24"/>
      <c r="I9017" s="25"/>
      <c r="J9017" s="25"/>
      <c r="K9017" s="19"/>
      <c r="L9017" s="20"/>
    </row>
    <row r="9018" spans="1:12" outlineLevel="2">
      <c r="A9018" s="312"/>
      <c r="B9018" s="12" t="str">
        <f>IFERROR(VLOOKUP(D9018,'[1]Перечень товаров'!$A$2:$I9525,2,0),"")</f>
        <v>м220</v>
      </c>
      <c r="C9018" s="12" t="str">
        <f>IFERROR(VLOOKUP(D9018,'[1]Перечень товаров'!$A$2:$I9525,3,0),"")</f>
        <v>Мебель</v>
      </c>
      <c r="D9018" s="143" t="s">
        <v>874</v>
      </c>
      <c r="E9018" s="102"/>
      <c r="F9018" s="102"/>
      <c r="G9018" s="24">
        <v>1</v>
      </c>
      <c r="H9018" s="24"/>
      <c r="I9018" s="25"/>
      <c r="J9018" s="25"/>
      <c r="K9018" s="19"/>
      <c r="L9018" s="20"/>
    </row>
    <row r="9019" spans="1:12" outlineLevel="2">
      <c r="A9019" s="21"/>
      <c r="B9019" s="12" t="str">
        <f>IFERROR(VLOOKUP(D9019,'[1]Перечень товаров'!$A$2:$I9525,2,0),"")</f>
        <v>м187</v>
      </c>
      <c r="C9019" s="12" t="str">
        <f>IFERROR(VLOOKUP(D9019,'[1]Перечень товаров'!$A$2:$I9525,3,0),"")</f>
        <v>мебель</v>
      </c>
      <c r="D9019" s="22" t="s">
        <v>877</v>
      </c>
      <c r="E9019" s="23"/>
      <c r="F9019" s="23"/>
      <c r="G9019" s="24">
        <v>2</v>
      </c>
      <c r="H9019" s="24"/>
      <c r="I9019" s="25"/>
      <c r="J9019" s="25"/>
      <c r="K9019" s="19"/>
      <c r="L9019" s="20"/>
    </row>
    <row r="9020" spans="1:12" outlineLevel="2">
      <c r="A9020" s="21"/>
      <c r="B9020" s="12" t="str">
        <f>IFERROR(VLOOKUP(D9020,'[1]Перечень товаров'!$A$2:$I9525,2,0),"")</f>
        <v>м30</v>
      </c>
      <c r="C9020" s="12" t="str">
        <f>IFERROR(VLOOKUP(D9020,'[1]Перечень товаров'!$A$2:$I9525,3,0),"")</f>
        <v>Мебель</v>
      </c>
      <c r="D9020" s="22" t="s">
        <v>181</v>
      </c>
      <c r="E9020" s="23"/>
      <c r="F9020" s="23"/>
      <c r="G9020" s="24">
        <v>2</v>
      </c>
      <c r="H9020" s="24"/>
      <c r="I9020" s="25"/>
      <c r="J9020" s="25"/>
      <c r="K9020" s="19"/>
      <c r="L9020" s="20"/>
    </row>
    <row r="9021" spans="1:12" outlineLevel="2">
      <c r="A9021" s="21"/>
      <c r="B9021" s="12" t="str">
        <f>IFERROR(VLOOKUP(D9021,'[1]Перечень товаров'!$A$2:$I9525,2,0),"")</f>
        <v>м221</v>
      </c>
      <c r="C9021" s="12" t="str">
        <f>IFERROR(VLOOKUP(D9021,'[1]Перечень товаров'!$A$2:$I9525,3,0),"")</f>
        <v>Мебель</v>
      </c>
      <c r="D9021" s="22" t="s">
        <v>878</v>
      </c>
      <c r="E9021" s="23"/>
      <c r="F9021" s="23"/>
      <c r="G9021" s="24">
        <v>2</v>
      </c>
      <c r="H9021" s="24"/>
      <c r="I9021" s="25"/>
      <c r="J9021" s="25"/>
      <c r="K9021" s="19"/>
      <c r="L9021" s="20"/>
    </row>
    <row r="9022" spans="1:12" ht="12.75" outlineLevel="1">
      <c r="A9022" s="11"/>
      <c r="B9022" s="12" t="str">
        <f>IFERROR(VLOOKUP(D9022,'[1]Перечень товаров'!$A$2:$I9525,2,0),"")</f>
        <v/>
      </c>
      <c r="C9022" s="12" t="str">
        <f>IFERROR(VLOOKUP(D9022,'[1]Перечень товаров'!$A$2:$I9525,3,0),"")</f>
        <v/>
      </c>
      <c r="D9022" s="27" t="s">
        <v>926</v>
      </c>
      <c r="E9022" s="99">
        <v>46126</v>
      </c>
      <c r="F9022" s="99"/>
      <c r="G9022" s="100"/>
      <c r="H9022" s="100"/>
      <c r="I9022" s="101"/>
      <c r="J9022" s="101"/>
      <c r="K9022" s="19"/>
      <c r="L9022" s="20"/>
    </row>
    <row r="9023" spans="1:12" outlineLevel="2">
      <c r="A9023" s="156"/>
      <c r="B9023" s="12" t="str">
        <f>IFERROR(VLOOKUP(D9023,'[1]Перечень товаров'!$A$2:$I9525,2,0),"")</f>
        <v>м14</v>
      </c>
      <c r="C9023" s="12" t="str">
        <f>IFERROR(VLOOKUP(D9023,'[1]Перечень товаров'!$A$2:$I9525,3,0),"")</f>
        <v>Мебель</v>
      </c>
      <c r="D9023" s="156" t="s">
        <v>43</v>
      </c>
      <c r="E9023" s="102"/>
      <c r="F9023" s="102"/>
      <c r="G9023" s="24">
        <v>1</v>
      </c>
      <c r="H9023" s="24"/>
      <c r="I9023" s="25"/>
      <c r="J9023" s="25"/>
      <c r="K9023" s="19"/>
      <c r="L9023" s="20"/>
    </row>
    <row r="9024" spans="1:12" outlineLevel="2">
      <c r="A9024" s="312"/>
      <c r="B9024" s="12" t="str">
        <f>IFERROR(VLOOKUP(D9024,'[1]Перечень товаров'!$A$2:$I9525,2,0),"")</f>
        <v>м167</v>
      </c>
      <c r="C9024" s="12" t="str">
        <f>IFERROR(VLOOKUP(D9024,'[1]Перечень товаров'!$A$2:$I9525,3,0),"")</f>
        <v>Мебель</v>
      </c>
      <c r="D9024" s="143" t="s">
        <v>508</v>
      </c>
      <c r="E9024" s="102"/>
      <c r="F9024" s="102"/>
      <c r="G9024" s="24">
        <v>1</v>
      </c>
      <c r="H9024" s="24"/>
      <c r="I9024" s="25"/>
      <c r="J9024" s="25"/>
      <c r="K9024" s="19"/>
      <c r="L9024" s="20"/>
    </row>
    <row r="9025" spans="1:12" outlineLevel="2">
      <c r="A9025" s="21"/>
      <c r="B9025" s="12" t="str">
        <f>IFERROR(VLOOKUP(D9025,'[1]Перечень товаров'!$A$2:$I9525,2,0),"")</f>
        <v>м218</v>
      </c>
      <c r="C9025" s="12" t="str">
        <f>IFERROR(VLOOKUP(D9025,'[1]Перечень товаров'!$A$2:$I9525,3,0),"")</f>
        <v>Мебель</v>
      </c>
      <c r="D9025" s="22" t="s">
        <v>872</v>
      </c>
      <c r="E9025" s="102"/>
      <c r="F9025" s="102"/>
      <c r="G9025" s="24">
        <v>2</v>
      </c>
      <c r="H9025" s="24"/>
      <c r="I9025" s="25"/>
      <c r="J9025" s="25"/>
      <c r="K9025" s="19"/>
      <c r="L9025" s="20"/>
    </row>
    <row r="9026" spans="1:12" outlineLevel="2">
      <c r="A9026" s="21"/>
      <c r="B9026" s="12" t="str">
        <f>IFERROR(VLOOKUP(D9026,'[1]Перечень товаров'!$A$2:$I9525,2,0),"")</f>
        <v>м219</v>
      </c>
      <c r="C9026" s="12" t="str">
        <f>IFERROR(VLOOKUP(D9026,'[1]Перечень товаров'!$A$2:$I9525,3,0),"")</f>
        <v>Мебель</v>
      </c>
      <c r="D9026" s="22" t="s">
        <v>873</v>
      </c>
      <c r="E9026" s="102"/>
      <c r="F9026" s="102"/>
      <c r="G9026" s="24">
        <v>4</v>
      </c>
      <c r="H9026" s="24"/>
      <c r="I9026" s="25"/>
      <c r="J9026" s="25"/>
      <c r="K9026" s="19"/>
      <c r="L9026" s="20"/>
    </row>
    <row r="9027" spans="1:12" outlineLevel="2">
      <c r="A9027" s="312"/>
      <c r="B9027" s="12" t="str">
        <f>IFERROR(VLOOKUP(D9027,'[1]Перечень товаров'!$A$2:$I9525,2,0),"")</f>
        <v>м220</v>
      </c>
      <c r="C9027" s="12" t="str">
        <f>IFERROR(VLOOKUP(D9027,'[1]Перечень товаров'!$A$2:$I9525,3,0),"")</f>
        <v>Мебель</v>
      </c>
      <c r="D9027" s="143" t="s">
        <v>874</v>
      </c>
      <c r="E9027" s="102"/>
      <c r="F9027" s="102"/>
      <c r="G9027" s="24">
        <v>1</v>
      </c>
      <c r="H9027" s="24"/>
      <c r="I9027" s="25"/>
      <c r="J9027" s="25"/>
      <c r="K9027" s="19"/>
      <c r="L9027" s="20"/>
    </row>
    <row r="9028" spans="1:12" outlineLevel="2">
      <c r="A9028" s="21"/>
      <c r="B9028" s="12" t="str">
        <f>IFERROR(VLOOKUP(D9028,'[1]Перечень товаров'!$A$2:$I9525,2,0),"")</f>
        <v>м187</v>
      </c>
      <c r="C9028" s="12" t="str">
        <f>IFERROR(VLOOKUP(D9028,'[1]Перечень товаров'!$A$2:$I9525,3,0),"")</f>
        <v>мебель</v>
      </c>
      <c r="D9028" s="22" t="s">
        <v>877</v>
      </c>
      <c r="E9028" s="23"/>
      <c r="F9028" s="23"/>
      <c r="G9028" s="24">
        <v>2</v>
      </c>
      <c r="H9028" s="24"/>
      <c r="I9028" s="25"/>
      <c r="J9028" s="25"/>
      <c r="K9028" s="19"/>
      <c r="L9028" s="20"/>
    </row>
    <row r="9029" spans="1:12" outlineLevel="2">
      <c r="A9029" s="21"/>
      <c r="B9029" s="12" t="str">
        <f>IFERROR(VLOOKUP(D9029,'[1]Перечень товаров'!$A$2:$I9525,2,0),"")</f>
        <v>м30</v>
      </c>
      <c r="C9029" s="12" t="str">
        <f>IFERROR(VLOOKUP(D9029,'[1]Перечень товаров'!$A$2:$I9525,3,0),"")</f>
        <v>Мебель</v>
      </c>
      <c r="D9029" s="22" t="s">
        <v>181</v>
      </c>
      <c r="E9029" s="23"/>
      <c r="F9029" s="23"/>
      <c r="G9029" s="24">
        <v>2</v>
      </c>
      <c r="H9029" s="24"/>
      <c r="I9029" s="25"/>
      <c r="J9029" s="25"/>
      <c r="K9029" s="19"/>
      <c r="L9029" s="20"/>
    </row>
    <row r="9030" spans="1:12" outlineLevel="2">
      <c r="A9030" s="21"/>
      <c r="B9030" s="12" t="str">
        <f>IFERROR(VLOOKUP(D9030,'[1]Перечень товаров'!$A$2:$I9525,2,0),"")</f>
        <v>м221</v>
      </c>
      <c r="C9030" s="12" t="str">
        <f>IFERROR(VLOOKUP(D9030,'[1]Перечень товаров'!$A$2:$I9525,3,0),"")</f>
        <v>Мебель</v>
      </c>
      <c r="D9030" s="22" t="s">
        <v>878</v>
      </c>
      <c r="E9030" s="23"/>
      <c r="F9030" s="23"/>
      <c r="G9030" s="24">
        <v>2</v>
      </c>
      <c r="H9030" s="24"/>
      <c r="I9030" s="25"/>
      <c r="J9030" s="25"/>
      <c r="K9030" s="19"/>
      <c r="L9030" s="20"/>
    </row>
    <row r="9031" spans="1:12" ht="12.75" outlineLevel="1">
      <c r="A9031" s="11"/>
      <c r="B9031" s="12" t="str">
        <f>IFERROR(VLOOKUP(D9031,'[1]Перечень товаров'!$A$2:$I9525,2,0),"")</f>
        <v/>
      </c>
      <c r="C9031" s="12" t="str">
        <f>IFERROR(VLOOKUP(D9031,'[1]Перечень товаров'!$A$2:$I9525,3,0),"")</f>
        <v/>
      </c>
      <c r="D9031" s="27" t="s">
        <v>521</v>
      </c>
      <c r="E9031" s="14" t="s">
        <v>2112</v>
      </c>
      <c r="F9031" s="14"/>
      <c r="G9031" s="17"/>
      <c r="H9031" s="17"/>
      <c r="I9031" s="57"/>
      <c r="J9031" s="57"/>
      <c r="K9031" s="19"/>
      <c r="L9031" s="20"/>
    </row>
    <row r="9032" spans="1:12" outlineLevel="2">
      <c r="A9032" s="22"/>
      <c r="B9032" s="12" t="str">
        <f>IFERROR(VLOOKUP(D9032,'[1]Перечень товаров'!$A$2:$I9525,2,0),"")</f>
        <v>п25</v>
      </c>
      <c r="C9032" s="12" t="str">
        <f>IFERROR(VLOOKUP(D9032,'[1]Перечень товаров'!$A$2:$I9525,3,0),"")</f>
        <v>Прочее</v>
      </c>
      <c r="D9032" s="22" t="s">
        <v>360</v>
      </c>
      <c r="E9032" s="102"/>
      <c r="F9032" s="102"/>
      <c r="G9032" s="48">
        <v>3</v>
      </c>
      <c r="H9032" s="48"/>
      <c r="I9032" s="49"/>
      <c r="J9032" s="49"/>
      <c r="K9032" s="33"/>
      <c r="L9032" s="20"/>
    </row>
    <row r="9033" spans="1:12" outlineLevel="2">
      <c r="A9033" s="21"/>
      <c r="B9033" s="12" t="str">
        <f>IFERROR(VLOOKUP(D9033,'[1]Перечень товаров'!$A$2:$I9525,2,0),"")</f>
        <v>п26</v>
      </c>
      <c r="C9033" s="12" t="str">
        <f>IFERROR(VLOOKUP(D9033,'[1]Перечень товаров'!$A$2:$I9525,3,0),"")</f>
        <v>Прочее</v>
      </c>
      <c r="D9033" s="22" t="s">
        <v>361</v>
      </c>
      <c r="E9033" s="102"/>
      <c r="F9033" s="102"/>
      <c r="G9033" s="48">
        <v>2</v>
      </c>
      <c r="H9033" s="48"/>
      <c r="I9033" s="49"/>
      <c r="J9033" s="49"/>
      <c r="K9033" s="33"/>
      <c r="L9033" s="20"/>
    </row>
    <row r="9034" spans="1:12" outlineLevel="2">
      <c r="A9034" s="21"/>
      <c r="B9034" s="12" t="str">
        <f>IFERROR(VLOOKUP(D9034,'[1]Перечень товаров'!$A$2:$I9525,2,0),"")</f>
        <v>п27</v>
      </c>
      <c r="C9034" s="12" t="str">
        <f>IFERROR(VLOOKUP(D9034,'[1]Перечень товаров'!$A$2:$I9525,3,0),"")</f>
        <v>Прочее</v>
      </c>
      <c r="D9034" s="22" t="s">
        <v>362</v>
      </c>
      <c r="E9034" s="102"/>
      <c r="F9034" s="102"/>
      <c r="G9034" s="48">
        <v>2</v>
      </c>
      <c r="H9034" s="48"/>
      <c r="I9034" s="49"/>
      <c r="J9034" s="49"/>
      <c r="K9034" s="33"/>
      <c r="L9034" s="20"/>
    </row>
    <row r="9035" spans="1:12" outlineLevel="2">
      <c r="A9035" s="21"/>
      <c r="B9035" s="12" t="str">
        <f>IFERROR(VLOOKUP(D9035,'[1]Перечень товаров'!$A$2:$I9525,2,0),"")</f>
        <v>п28</v>
      </c>
      <c r="C9035" s="12" t="str">
        <f>IFERROR(VLOOKUP(D9035,'[1]Перечень товаров'!$A$2:$I9525,3,0),"")</f>
        <v>Прочее</v>
      </c>
      <c r="D9035" s="22" t="s">
        <v>363</v>
      </c>
      <c r="E9035" s="102"/>
      <c r="F9035" s="102"/>
      <c r="G9035" s="48">
        <v>1</v>
      </c>
      <c r="H9035" s="48"/>
      <c r="I9035" s="49"/>
      <c r="J9035" s="49"/>
      <c r="K9035" s="33"/>
      <c r="L9035" s="20"/>
    </row>
    <row r="9036" spans="1:12" outlineLevel="2">
      <c r="A9036" s="21"/>
      <c r="B9036" s="12" t="str">
        <f>IFERROR(VLOOKUP(D9036,'[1]Перечень товаров'!$A$2:$I9525,2,0),"")</f>
        <v>п29</v>
      </c>
      <c r="C9036" s="12" t="str">
        <f>IFERROR(VLOOKUP(D9036,'[1]Перечень товаров'!$A$2:$I9525,3,0),"")</f>
        <v>Прочее</v>
      </c>
      <c r="D9036" s="22" t="s">
        <v>364</v>
      </c>
      <c r="E9036" s="102"/>
      <c r="F9036" s="102"/>
      <c r="G9036" s="48">
        <v>6</v>
      </c>
      <c r="H9036" s="48"/>
      <c r="I9036" s="49"/>
      <c r="J9036" s="49"/>
      <c r="K9036" s="33"/>
      <c r="L9036" s="20"/>
    </row>
    <row r="9037" spans="1:12" outlineLevel="2">
      <c r="A9037" s="21"/>
      <c r="B9037" s="12" t="str">
        <f>IFERROR(VLOOKUP(D9037,'[1]Перечень товаров'!$A$2:$I9525,2,0),"")</f>
        <v>п30</v>
      </c>
      <c r="C9037" s="12" t="str">
        <f>IFERROR(VLOOKUP(D9037,'[1]Перечень товаров'!$A$2:$I9525,3,0),"")</f>
        <v>Прочее</v>
      </c>
      <c r="D9037" s="22" t="s">
        <v>365</v>
      </c>
      <c r="E9037" s="102"/>
      <c r="F9037" s="102"/>
      <c r="G9037" s="48">
        <v>2</v>
      </c>
      <c r="H9037" s="48"/>
      <c r="I9037" s="49"/>
      <c r="J9037" s="49"/>
      <c r="K9037" s="33"/>
      <c r="L9037" s="20"/>
    </row>
    <row r="9038" spans="1:12" ht="31.5" outlineLevel="2">
      <c r="A9038" s="21"/>
      <c r="B9038" s="12" t="str">
        <f>IFERROR(VLOOKUP(D9038,'[1]Перечень товаров'!$A$2:$I9525,2,0),"")</f>
        <v>п31</v>
      </c>
      <c r="C9038" s="12" t="str">
        <f>IFERROR(VLOOKUP(D9038,'[1]Перечень товаров'!$A$2:$I9525,3,0),"")</f>
        <v>Прочее</v>
      </c>
      <c r="D9038" s="22" t="s">
        <v>366</v>
      </c>
      <c r="E9038" s="102"/>
      <c r="F9038" s="102"/>
      <c r="G9038" s="48">
        <v>1</v>
      </c>
      <c r="H9038" s="48"/>
      <c r="I9038" s="49"/>
      <c r="J9038" s="49"/>
      <c r="K9038" s="33"/>
      <c r="L9038" s="20"/>
    </row>
    <row r="9039" spans="1:12" ht="31.5" outlineLevel="2">
      <c r="A9039" s="21"/>
      <c r="B9039" s="12" t="str">
        <f>IFERROR(VLOOKUP(D9039,'[1]Перечень товаров'!$A$2:$I9525,2,0),"")</f>
        <v>п32</v>
      </c>
      <c r="C9039" s="12" t="str">
        <f>IFERROR(VLOOKUP(D9039,'[1]Перечень товаров'!$A$2:$I9525,3,0),"")</f>
        <v>Прочее</v>
      </c>
      <c r="D9039" s="22" t="s">
        <v>367</v>
      </c>
      <c r="E9039" s="102"/>
      <c r="F9039" s="102"/>
      <c r="G9039" s="48">
        <v>2</v>
      </c>
      <c r="H9039" s="48"/>
      <c r="I9039" s="49"/>
      <c r="J9039" s="49"/>
      <c r="K9039" s="33"/>
      <c r="L9039" s="20"/>
    </row>
    <row r="9040" spans="1:12" ht="12.75" outlineLevel="1">
      <c r="A9040" s="11"/>
      <c r="B9040" s="12" t="str">
        <f>IFERROR(VLOOKUP(D9040,'[1]Перечень товаров'!$A$2:$I9525,2,0),"")</f>
        <v/>
      </c>
      <c r="C9040" s="12" t="str">
        <f>IFERROR(VLOOKUP(D9040,'[1]Перечень товаров'!$A$2:$I9525,3,0),"")</f>
        <v/>
      </c>
      <c r="D9040" s="27" t="s">
        <v>879</v>
      </c>
      <c r="E9040" s="99">
        <v>46085</v>
      </c>
      <c r="F9040" s="99"/>
      <c r="G9040" s="100"/>
      <c r="H9040" s="100"/>
      <c r="I9040" s="101"/>
      <c r="J9040" s="101"/>
      <c r="K9040" s="19"/>
      <c r="L9040" s="20"/>
    </row>
    <row r="9041" spans="1:12" outlineLevel="2">
      <c r="A9041" s="43"/>
      <c r="B9041" s="12" t="str">
        <f>IFERROR(VLOOKUP(D9041,'[1]Перечень товаров'!$A$2:$I9525,2,0),"")</f>
        <v>м222</v>
      </c>
      <c r="C9041" s="12" t="str">
        <f>IFERROR(VLOOKUP(D9041,'[1]Перечень товаров'!$A$2:$I9525,3,0),"")</f>
        <v>Мебель</v>
      </c>
      <c r="D9041" s="44" t="s">
        <v>880</v>
      </c>
      <c r="E9041" s="102"/>
      <c r="F9041" s="102"/>
      <c r="G9041" s="24">
        <v>1</v>
      </c>
      <c r="H9041" s="24"/>
      <c r="I9041" s="25"/>
      <c r="J9041" s="25"/>
      <c r="K9041" s="19"/>
      <c r="L9041" s="20"/>
    </row>
    <row r="9042" spans="1:12" outlineLevel="2">
      <c r="A9042" s="43"/>
      <c r="B9042" s="12" t="str">
        <f>IFERROR(VLOOKUP(D9042,'[1]Перечень товаров'!$A$2:$I9525,2,0),"")</f>
        <v>м223</v>
      </c>
      <c r="C9042" s="12" t="str">
        <f>IFERROR(VLOOKUP(D9042,'[1]Перечень товаров'!$A$2:$I9525,3,0),"")</f>
        <v>Мебель</v>
      </c>
      <c r="D9042" s="44" t="s">
        <v>881</v>
      </c>
      <c r="E9042" s="102"/>
      <c r="F9042" s="102"/>
      <c r="G9042" s="24">
        <v>1</v>
      </c>
      <c r="H9042" s="24"/>
      <c r="I9042" s="25"/>
      <c r="J9042" s="25"/>
      <c r="K9042" s="19"/>
      <c r="L9042" s="20"/>
    </row>
    <row r="9043" spans="1:12" outlineLevel="2">
      <c r="A9043" s="43"/>
      <c r="B9043" s="12" t="str">
        <f>IFERROR(VLOOKUP(D9043,'[1]Перечень товаров'!$A$2:$I9525,2,0),"")</f>
        <v>м224</v>
      </c>
      <c r="C9043" s="12" t="str">
        <f>IFERROR(VLOOKUP(D9043,'[1]Перечень товаров'!$A$2:$I9525,3,0),"")</f>
        <v>Мебель</v>
      </c>
      <c r="D9043" s="44" t="s">
        <v>882</v>
      </c>
      <c r="E9043" s="102"/>
      <c r="F9043" s="102"/>
      <c r="G9043" s="24">
        <v>1</v>
      </c>
      <c r="H9043" s="24"/>
      <c r="I9043" s="25"/>
      <c r="J9043" s="25"/>
      <c r="K9043" s="19"/>
      <c r="L9043" s="20"/>
    </row>
    <row r="9044" spans="1:12" outlineLevel="2">
      <c r="A9044" s="43"/>
      <c r="B9044" s="12" t="str">
        <f>IFERROR(VLOOKUP(D9044,'[1]Перечень товаров'!$A$2:$I9525,2,0),"")</f>
        <v>м225</v>
      </c>
      <c r="C9044" s="12" t="str">
        <f>IFERROR(VLOOKUP(D9044,'[1]Перечень товаров'!$A$2:$I9525,3,0),"")</f>
        <v>Мебель</v>
      </c>
      <c r="D9044" s="44" t="s">
        <v>883</v>
      </c>
      <c r="E9044" s="102"/>
      <c r="F9044" s="102"/>
      <c r="G9044" s="24">
        <v>1</v>
      </c>
      <c r="H9044" s="24"/>
      <c r="I9044" s="25"/>
      <c r="J9044" s="25"/>
      <c r="K9044" s="19"/>
      <c r="L9044" s="20"/>
    </row>
    <row r="9045" spans="1:12" outlineLevel="2">
      <c r="A9045" s="43"/>
      <c r="B9045" s="12" t="str">
        <f>IFERROR(VLOOKUP(D9045,'[1]Перечень товаров'!$A$2:$I9525,2,0),"")</f>
        <v>п28</v>
      </c>
      <c r="C9045" s="12" t="str">
        <f>IFERROR(VLOOKUP(D9045,'[1]Перечень товаров'!$A$2:$I9525,3,0),"")</f>
        <v>Прочее</v>
      </c>
      <c r="D9045" s="44" t="s">
        <v>363</v>
      </c>
      <c r="E9045" s="102"/>
      <c r="F9045" s="102"/>
      <c r="G9045" s="24">
        <v>1</v>
      </c>
      <c r="H9045" s="24"/>
      <c r="I9045" s="25"/>
      <c r="J9045" s="25"/>
      <c r="K9045" s="19"/>
      <c r="L9045" s="20"/>
    </row>
    <row r="9046" spans="1:12" outlineLevel="2">
      <c r="A9046" s="43"/>
      <c r="B9046" s="12" t="str">
        <f>IFERROR(VLOOKUP(D9046,'[1]Перечень товаров'!$A$2:$I9525,2,0),"")</f>
        <v>м226</v>
      </c>
      <c r="C9046" s="12" t="str">
        <f>IFERROR(VLOOKUP(D9046,'[1]Перечень товаров'!$A$2:$I9525,3,0),"")</f>
        <v>Мебель</v>
      </c>
      <c r="D9046" s="44" t="s">
        <v>884</v>
      </c>
      <c r="E9046" s="102"/>
      <c r="F9046" s="102"/>
      <c r="G9046" s="24">
        <v>1</v>
      </c>
      <c r="H9046" s="24"/>
      <c r="I9046" s="25"/>
      <c r="J9046" s="25"/>
      <c r="K9046" s="19"/>
      <c r="L9046" s="20"/>
    </row>
    <row r="9047" spans="1:12" outlineLevel="1">
      <c r="A9047" s="21"/>
      <c r="B9047" s="12" t="str">
        <f>IFERROR(VLOOKUP(D9047,'[1]Перечень товаров'!$A$2:$I9525,2,0),"")</f>
        <v/>
      </c>
      <c r="C9047" s="12" t="str">
        <f>IFERROR(VLOOKUP(D9047,'[1]Перечень товаров'!$A$2:$I9525,3,0),"")</f>
        <v/>
      </c>
      <c r="D9047" s="22" t="s">
        <v>2120</v>
      </c>
      <c r="E9047" s="102">
        <v>46114</v>
      </c>
      <c r="F9047" s="102"/>
      <c r="G9047" s="103"/>
      <c r="H9047" s="103"/>
      <c r="I9047" s="104"/>
      <c r="J9047" s="104"/>
      <c r="K9047" s="19"/>
      <c r="L9047" s="20"/>
    </row>
    <row r="9048" spans="1:12" ht="12.75" outlineLevel="1">
      <c r="A9048" s="11"/>
      <c r="B9048" s="12" t="str">
        <f>IFERROR(VLOOKUP(D9048,'[1]Перечень товаров'!$A$2:$I9525,2,0),"")</f>
        <v/>
      </c>
      <c r="C9048" s="12" t="str">
        <f>IFERROR(VLOOKUP(D9048,'[1]Перечень товаров'!$A$2:$I9525,3,0),"")</f>
        <v/>
      </c>
      <c r="D9048" s="27" t="s">
        <v>871</v>
      </c>
      <c r="E9048" s="99">
        <v>46039</v>
      </c>
      <c r="F9048" s="99"/>
      <c r="G9048" s="100"/>
      <c r="H9048" s="100"/>
      <c r="I9048" s="101"/>
      <c r="J9048" s="101"/>
      <c r="K9048" s="19"/>
      <c r="L9048" s="20"/>
    </row>
    <row r="9049" spans="1:12" outlineLevel="2">
      <c r="A9049" s="22"/>
      <c r="B9049" s="12" t="str">
        <f>IFERROR(VLOOKUP(D9049,'[1]Перечень товаров'!$A$2:$I9525,2,0),"")</f>
        <v>м14</v>
      </c>
      <c r="C9049" s="12" t="str">
        <f>IFERROR(VLOOKUP(D9049,'[1]Перечень товаров'!$A$2:$I9525,3,0),"")</f>
        <v>Мебель</v>
      </c>
      <c r="D9049" s="22" t="s">
        <v>43</v>
      </c>
      <c r="E9049" s="203"/>
      <c r="F9049" s="203"/>
      <c r="G9049" s="24">
        <v>1</v>
      </c>
      <c r="H9049" s="24"/>
      <c r="I9049" s="25"/>
      <c r="J9049" s="25"/>
      <c r="K9049" s="19"/>
      <c r="L9049" s="20"/>
    </row>
    <row r="9050" spans="1:12" outlineLevel="2">
      <c r="A9050" s="21"/>
      <c r="B9050" s="12" t="str">
        <f>IFERROR(VLOOKUP(D9050,'[1]Перечень товаров'!$A$2:$I9525,2,0),"")</f>
        <v>м167</v>
      </c>
      <c r="C9050" s="12" t="str">
        <f>IFERROR(VLOOKUP(D9050,'[1]Перечень товаров'!$A$2:$I9525,3,0),"")</f>
        <v>Мебель</v>
      </c>
      <c r="D9050" s="22" t="s">
        <v>508</v>
      </c>
      <c r="E9050" s="203"/>
      <c r="F9050" s="203"/>
      <c r="G9050" s="24">
        <v>1</v>
      </c>
      <c r="H9050" s="24"/>
      <c r="I9050" s="25"/>
      <c r="J9050" s="25"/>
      <c r="K9050" s="19"/>
      <c r="L9050" s="20"/>
    </row>
    <row r="9051" spans="1:12" outlineLevel="2">
      <c r="A9051" s="21"/>
      <c r="B9051" s="12" t="str">
        <f>IFERROR(VLOOKUP(D9051,'[1]Перечень товаров'!$A$2:$I9525,2,0),"")</f>
        <v>м218</v>
      </c>
      <c r="C9051" s="12" t="str">
        <f>IFERROR(VLOOKUP(D9051,'[1]Перечень товаров'!$A$2:$I9525,3,0),"")</f>
        <v>Мебель</v>
      </c>
      <c r="D9051" s="22" t="s">
        <v>872</v>
      </c>
      <c r="E9051" s="203"/>
      <c r="F9051" s="203"/>
      <c r="G9051" s="24">
        <v>2</v>
      </c>
      <c r="H9051" s="24"/>
      <c r="I9051" s="25"/>
      <c r="J9051" s="25"/>
      <c r="K9051" s="19"/>
      <c r="L9051" s="20"/>
    </row>
    <row r="9052" spans="1:12" outlineLevel="2">
      <c r="A9052" s="21"/>
      <c r="B9052" s="12" t="str">
        <f>IFERROR(VLOOKUP(D9052,'[1]Перечень товаров'!$A$2:$I9525,2,0),"")</f>
        <v>м219</v>
      </c>
      <c r="C9052" s="12" t="str">
        <f>IFERROR(VLOOKUP(D9052,'[1]Перечень товаров'!$A$2:$I9525,3,0),"")</f>
        <v>Мебель</v>
      </c>
      <c r="D9052" s="22" t="s">
        <v>873</v>
      </c>
      <c r="E9052" s="203"/>
      <c r="F9052" s="203"/>
      <c r="G9052" s="24">
        <v>4</v>
      </c>
      <c r="H9052" s="24"/>
      <c r="I9052" s="25"/>
      <c r="J9052" s="25"/>
      <c r="K9052" s="19"/>
      <c r="L9052" s="20"/>
    </row>
    <row r="9053" spans="1:12" outlineLevel="2">
      <c r="A9053" s="21"/>
      <c r="B9053" s="12" t="str">
        <f>IFERROR(VLOOKUP(D9053,'[1]Перечень товаров'!$A$2:$I9525,2,0),"")</f>
        <v>м220</v>
      </c>
      <c r="C9053" s="12" t="str">
        <f>IFERROR(VLOOKUP(D9053,'[1]Перечень товаров'!$A$2:$I9525,3,0),"")</f>
        <v>Мебель</v>
      </c>
      <c r="D9053" s="22" t="s">
        <v>874</v>
      </c>
      <c r="E9053" s="203"/>
      <c r="F9053" s="203"/>
      <c r="G9053" s="24">
        <v>1</v>
      </c>
      <c r="H9053" s="24"/>
      <c r="I9053" s="25"/>
      <c r="J9053" s="25"/>
      <c r="K9053" s="19"/>
      <c r="L9053" s="20"/>
    </row>
    <row r="9054" spans="1:12" outlineLevel="2">
      <c r="A9054" s="21"/>
      <c r="B9054" s="12" t="str">
        <f>IFERROR(VLOOKUP(D9054,'[1]Перечень товаров'!$A$2:$I9525,2,0),"")</f>
        <v>тм77</v>
      </c>
      <c r="C9054" s="12" t="str">
        <f>IFERROR(VLOOKUP(D9054,'[1]Перечень товаров'!$A$2:$I9525,3,0),"")</f>
        <v>Техника муз</v>
      </c>
      <c r="D9054" s="22" t="s">
        <v>875</v>
      </c>
      <c r="E9054" s="203"/>
      <c r="F9054" s="203"/>
      <c r="G9054" s="24">
        <v>1</v>
      </c>
      <c r="H9054" s="24"/>
      <c r="I9054" s="25"/>
      <c r="J9054" s="25"/>
      <c r="K9054" s="19"/>
      <c r="L9054" s="20"/>
    </row>
    <row r="9055" spans="1:12" outlineLevel="2">
      <c r="A9055" s="21"/>
      <c r="B9055" s="12" t="str">
        <f>IFERROR(VLOOKUP(D9055,'[1]Перечень товаров'!$A$2:$I9525,2,0),"")</f>
        <v>м137</v>
      </c>
      <c r="C9055" s="12" t="str">
        <f>IFERROR(VLOOKUP(D9055,'[1]Перечень товаров'!$A$2:$I9525,3,0),"")</f>
        <v>мебель</v>
      </c>
      <c r="D9055" s="22" t="s">
        <v>876</v>
      </c>
      <c r="E9055" s="203"/>
      <c r="F9055" s="203"/>
      <c r="G9055" s="24">
        <v>1</v>
      </c>
      <c r="H9055" s="24"/>
      <c r="I9055" s="25"/>
      <c r="J9055" s="25"/>
      <c r="K9055" s="19"/>
      <c r="L9055" s="20"/>
    </row>
    <row r="9056" spans="1:12" outlineLevel="2">
      <c r="A9056" s="21"/>
      <c r="B9056" s="12" t="str">
        <f>IFERROR(VLOOKUP(D9056,'[1]Перечень товаров'!$A$2:$I9525,2,0),"")</f>
        <v>м187</v>
      </c>
      <c r="C9056" s="12" t="str">
        <f>IFERROR(VLOOKUP(D9056,'[1]Перечень товаров'!$A$2:$I9525,3,0),"")</f>
        <v>мебель</v>
      </c>
      <c r="D9056" s="22" t="s">
        <v>877</v>
      </c>
      <c r="E9056" s="203"/>
      <c r="F9056" s="203"/>
      <c r="G9056" s="24">
        <v>1</v>
      </c>
      <c r="H9056" s="24"/>
      <c r="I9056" s="25"/>
      <c r="J9056" s="25"/>
      <c r="K9056" s="19"/>
      <c r="L9056" s="20"/>
    </row>
    <row r="9057" spans="1:12" outlineLevel="2">
      <c r="A9057" s="21"/>
      <c r="B9057" s="12" t="str">
        <f>IFERROR(VLOOKUP(D9057,'[1]Перечень товаров'!$A$2:$I9525,2,0),"")</f>
        <v>м30</v>
      </c>
      <c r="C9057" s="12" t="str">
        <f>IFERROR(VLOOKUP(D9057,'[1]Перечень товаров'!$A$2:$I9525,3,0),"")</f>
        <v>Мебель</v>
      </c>
      <c r="D9057" s="22" t="s">
        <v>181</v>
      </c>
      <c r="E9057" s="203"/>
      <c r="F9057" s="203"/>
      <c r="G9057" s="24">
        <v>2</v>
      </c>
      <c r="H9057" s="24"/>
      <c r="I9057" s="25"/>
      <c r="J9057" s="25"/>
      <c r="K9057" s="19"/>
      <c r="L9057" s="20"/>
    </row>
    <row r="9058" spans="1:12" outlineLevel="2">
      <c r="A9058" s="21"/>
      <c r="B9058" s="12" t="str">
        <f>IFERROR(VLOOKUP(D9058,'[1]Перечень товаров'!$A$2:$I9525,2,0),"")</f>
        <v>м221</v>
      </c>
      <c r="C9058" s="12" t="str">
        <f>IFERROR(VLOOKUP(D9058,'[1]Перечень товаров'!$A$2:$I9525,3,0),"")</f>
        <v>Мебель</v>
      </c>
      <c r="D9058" s="22" t="s">
        <v>878</v>
      </c>
      <c r="E9058" s="203"/>
      <c r="F9058" s="203"/>
      <c r="G9058" s="24">
        <v>2</v>
      </c>
      <c r="H9058" s="24"/>
      <c r="I9058" s="25"/>
      <c r="J9058" s="25"/>
      <c r="K9058" s="19"/>
      <c r="L9058" s="20"/>
    </row>
    <row r="9059" spans="1:12" ht="12.75" outlineLevel="1">
      <c r="A9059" s="11"/>
      <c r="B9059" s="12" t="str">
        <f>IFERROR(VLOOKUP(D9059,'[1]Перечень товаров'!$A$2:$I9525,2,0),"")</f>
        <v/>
      </c>
      <c r="C9059" s="12" t="str">
        <f>IFERROR(VLOOKUP(D9059,'[1]Перечень товаров'!$A$2:$I9525,3,0),"")</f>
        <v/>
      </c>
      <c r="D9059" s="27" t="s">
        <v>926</v>
      </c>
      <c r="E9059" s="99">
        <v>46095</v>
      </c>
      <c r="F9059" s="99"/>
      <c r="G9059" s="100"/>
      <c r="H9059" s="100"/>
      <c r="I9059" s="101"/>
      <c r="J9059" s="101"/>
      <c r="K9059" s="19"/>
      <c r="L9059" s="20"/>
    </row>
    <row r="9060" spans="1:12" outlineLevel="2">
      <c r="A9060" s="156"/>
      <c r="B9060" s="12" t="str">
        <f>IFERROR(VLOOKUP(D9060,'[1]Перечень товаров'!$A$2:$I9525,2,0),"")</f>
        <v>м14</v>
      </c>
      <c r="C9060" s="12" t="str">
        <f>IFERROR(VLOOKUP(D9060,'[1]Перечень товаров'!$A$2:$I9525,3,0),"")</f>
        <v>Мебель</v>
      </c>
      <c r="D9060" s="156" t="s">
        <v>43</v>
      </c>
      <c r="E9060" s="102"/>
      <c r="F9060" s="102"/>
      <c r="G9060" s="24">
        <v>1</v>
      </c>
      <c r="H9060" s="24"/>
      <c r="I9060" s="25"/>
      <c r="J9060" s="25"/>
      <c r="K9060" s="19"/>
      <c r="L9060" s="20"/>
    </row>
    <row r="9061" spans="1:12" outlineLevel="2">
      <c r="A9061" s="312"/>
      <c r="B9061" s="12" t="str">
        <f>IFERROR(VLOOKUP(D9061,'[1]Перечень товаров'!$A$2:$I9525,2,0),"")</f>
        <v>м167</v>
      </c>
      <c r="C9061" s="12" t="str">
        <f>IFERROR(VLOOKUP(D9061,'[1]Перечень товаров'!$A$2:$I9525,3,0),"")</f>
        <v>Мебель</v>
      </c>
      <c r="D9061" s="143" t="s">
        <v>508</v>
      </c>
      <c r="E9061" s="102"/>
      <c r="F9061" s="102"/>
      <c r="G9061" s="24">
        <v>1</v>
      </c>
      <c r="H9061" s="24"/>
      <c r="I9061" s="25"/>
      <c r="J9061" s="25"/>
      <c r="K9061" s="19"/>
      <c r="L9061" s="20"/>
    </row>
    <row r="9062" spans="1:12" outlineLevel="2">
      <c r="A9062" s="21"/>
      <c r="B9062" s="12" t="str">
        <f>IFERROR(VLOOKUP(D9062,'[1]Перечень товаров'!$A$2:$I9525,2,0),"")</f>
        <v>м218</v>
      </c>
      <c r="C9062" s="12" t="str">
        <f>IFERROR(VLOOKUP(D9062,'[1]Перечень товаров'!$A$2:$I9525,3,0),"")</f>
        <v>Мебель</v>
      </c>
      <c r="D9062" s="22" t="s">
        <v>872</v>
      </c>
      <c r="E9062" s="102"/>
      <c r="F9062" s="102"/>
      <c r="G9062" s="24">
        <v>2</v>
      </c>
      <c r="H9062" s="24"/>
      <c r="I9062" s="25"/>
      <c r="J9062" s="25"/>
      <c r="K9062" s="19"/>
      <c r="L9062" s="20"/>
    </row>
    <row r="9063" spans="1:12" outlineLevel="2">
      <c r="A9063" s="21"/>
      <c r="B9063" s="12" t="str">
        <f>IFERROR(VLOOKUP(D9063,'[1]Перечень товаров'!$A$2:$I9525,2,0),"")</f>
        <v>м219</v>
      </c>
      <c r="C9063" s="12" t="str">
        <f>IFERROR(VLOOKUP(D9063,'[1]Перечень товаров'!$A$2:$I9525,3,0),"")</f>
        <v>Мебель</v>
      </c>
      <c r="D9063" s="22" t="s">
        <v>873</v>
      </c>
      <c r="E9063" s="102"/>
      <c r="F9063" s="102"/>
      <c r="G9063" s="24">
        <v>4</v>
      </c>
      <c r="H9063" s="24"/>
      <c r="I9063" s="25"/>
      <c r="J9063" s="25"/>
      <c r="K9063" s="19"/>
      <c r="L9063" s="20"/>
    </row>
    <row r="9064" spans="1:12" outlineLevel="2">
      <c r="A9064" s="312"/>
      <c r="B9064" s="12" t="str">
        <f>IFERROR(VLOOKUP(D9064,'[1]Перечень товаров'!$A$2:$I9525,2,0),"")</f>
        <v>м220</v>
      </c>
      <c r="C9064" s="12" t="str">
        <f>IFERROR(VLOOKUP(D9064,'[1]Перечень товаров'!$A$2:$I9525,3,0),"")</f>
        <v>Мебель</v>
      </c>
      <c r="D9064" s="143" t="s">
        <v>874</v>
      </c>
      <c r="E9064" s="102"/>
      <c r="F9064" s="102"/>
      <c r="G9064" s="24">
        <v>1</v>
      </c>
      <c r="H9064" s="24"/>
      <c r="I9064" s="25"/>
      <c r="J9064" s="25"/>
      <c r="K9064" s="19"/>
      <c r="L9064" s="20"/>
    </row>
    <row r="9065" spans="1:12" outlineLevel="2">
      <c r="A9065" s="21"/>
      <c r="B9065" s="12" t="str">
        <f>IFERROR(VLOOKUP(D9065,'[1]Перечень товаров'!$A$2:$I9525,2,0),"")</f>
        <v>м187</v>
      </c>
      <c r="C9065" s="12" t="str">
        <f>IFERROR(VLOOKUP(D9065,'[1]Перечень товаров'!$A$2:$I9525,3,0),"")</f>
        <v>мебель</v>
      </c>
      <c r="D9065" s="22" t="s">
        <v>877</v>
      </c>
      <c r="E9065" s="23"/>
      <c r="F9065" s="23"/>
      <c r="G9065" s="24">
        <v>2</v>
      </c>
      <c r="H9065" s="24"/>
      <c r="I9065" s="25"/>
      <c r="J9065" s="25"/>
      <c r="K9065" s="19"/>
      <c r="L9065" s="20"/>
    </row>
    <row r="9066" spans="1:12" outlineLevel="2">
      <c r="A9066" s="21"/>
      <c r="B9066" s="12" t="str">
        <f>IFERROR(VLOOKUP(D9066,'[1]Перечень товаров'!$A$2:$I9525,2,0),"")</f>
        <v>м30</v>
      </c>
      <c r="C9066" s="12" t="str">
        <f>IFERROR(VLOOKUP(D9066,'[1]Перечень товаров'!$A$2:$I9525,3,0),"")</f>
        <v>Мебель</v>
      </c>
      <c r="D9066" s="22" t="s">
        <v>181</v>
      </c>
      <c r="E9066" s="23"/>
      <c r="F9066" s="23"/>
      <c r="G9066" s="24">
        <v>2</v>
      </c>
      <c r="H9066" s="24"/>
      <c r="I9066" s="25"/>
      <c r="J9066" s="25"/>
      <c r="K9066" s="19"/>
      <c r="L9066" s="20"/>
    </row>
    <row r="9067" spans="1:12" outlineLevel="2">
      <c r="A9067" s="21"/>
      <c r="B9067" s="12" t="str">
        <f>IFERROR(VLOOKUP(D9067,'[1]Перечень товаров'!$A$2:$I9525,2,0),"")</f>
        <v>м221</v>
      </c>
      <c r="C9067" s="12" t="str">
        <f>IFERROR(VLOOKUP(D9067,'[1]Перечень товаров'!$A$2:$I9525,3,0),"")</f>
        <v>Мебель</v>
      </c>
      <c r="D9067" s="22" t="s">
        <v>878</v>
      </c>
      <c r="E9067" s="23"/>
      <c r="F9067" s="23"/>
      <c r="G9067" s="24">
        <v>2</v>
      </c>
      <c r="H9067" s="24"/>
      <c r="I9067" s="25"/>
      <c r="J9067" s="25"/>
      <c r="K9067" s="19"/>
      <c r="L9067" s="20"/>
    </row>
    <row r="9068" spans="1:12" ht="12.75" outlineLevel="1">
      <c r="A9068" s="11"/>
      <c r="B9068" s="12" t="str">
        <f>IFERROR(VLOOKUP(D9068,'[1]Перечень товаров'!$A$2:$I9525,2,0),"")</f>
        <v/>
      </c>
      <c r="C9068" s="12" t="str">
        <f>IFERROR(VLOOKUP(D9068,'[1]Перечень товаров'!$A$2:$I9525,3,0),"")</f>
        <v/>
      </c>
      <c r="D9068" s="27" t="s">
        <v>521</v>
      </c>
      <c r="E9068" s="99">
        <v>46058</v>
      </c>
      <c r="F9068" s="99"/>
      <c r="G9068" s="100"/>
      <c r="H9068" s="100"/>
      <c r="I9068" s="101"/>
      <c r="J9068" s="101"/>
      <c r="K9068" s="19"/>
      <c r="L9068" s="20"/>
    </row>
    <row r="9069" spans="1:12" outlineLevel="2">
      <c r="A9069" s="22"/>
      <c r="B9069" s="12" t="str">
        <f>IFERROR(VLOOKUP(D9069,'[1]Перечень товаров'!$A$2:$I9525,2,0),"")</f>
        <v>п25</v>
      </c>
      <c r="C9069" s="12" t="str">
        <f>IFERROR(VLOOKUP(D9069,'[1]Перечень товаров'!$A$2:$I9525,3,0),"")</f>
        <v>Прочее</v>
      </c>
      <c r="D9069" s="22" t="s">
        <v>360</v>
      </c>
      <c r="E9069" s="102"/>
      <c r="F9069" s="102"/>
      <c r="G9069" s="48">
        <v>3</v>
      </c>
      <c r="H9069" s="48"/>
      <c r="I9069" s="49"/>
      <c r="J9069" s="49"/>
      <c r="K9069" s="33"/>
      <c r="L9069" s="20"/>
    </row>
    <row r="9070" spans="1:12" outlineLevel="2">
      <c r="A9070" s="21"/>
      <c r="B9070" s="12" t="str">
        <f>IFERROR(VLOOKUP(D9070,'[1]Перечень товаров'!$A$2:$I9525,2,0),"")</f>
        <v>п26</v>
      </c>
      <c r="C9070" s="12" t="str">
        <f>IFERROR(VLOOKUP(D9070,'[1]Перечень товаров'!$A$2:$I9525,3,0),"")</f>
        <v>Прочее</v>
      </c>
      <c r="D9070" s="22" t="s">
        <v>361</v>
      </c>
      <c r="E9070" s="102"/>
      <c r="F9070" s="102"/>
      <c r="G9070" s="48">
        <v>2</v>
      </c>
      <c r="H9070" s="48"/>
      <c r="I9070" s="49"/>
      <c r="J9070" s="49"/>
      <c r="K9070" s="33"/>
      <c r="L9070" s="20"/>
    </row>
    <row r="9071" spans="1:12" outlineLevel="2">
      <c r="A9071" s="21"/>
      <c r="B9071" s="12" t="str">
        <f>IFERROR(VLOOKUP(D9071,'[1]Перечень товаров'!$A$2:$I9525,2,0),"")</f>
        <v>п27</v>
      </c>
      <c r="C9071" s="12" t="str">
        <f>IFERROR(VLOOKUP(D9071,'[1]Перечень товаров'!$A$2:$I9525,3,0),"")</f>
        <v>Прочее</v>
      </c>
      <c r="D9071" s="22" t="s">
        <v>362</v>
      </c>
      <c r="E9071" s="102"/>
      <c r="F9071" s="102"/>
      <c r="G9071" s="48">
        <v>2</v>
      </c>
      <c r="H9071" s="48"/>
      <c r="I9071" s="49"/>
      <c r="J9071" s="49"/>
      <c r="K9071" s="33"/>
      <c r="L9071" s="20"/>
    </row>
    <row r="9072" spans="1:12" outlineLevel="2">
      <c r="A9072" s="21"/>
      <c r="B9072" s="12" t="str">
        <f>IFERROR(VLOOKUP(D9072,'[1]Перечень товаров'!$A$2:$I9525,2,0),"")</f>
        <v>п28</v>
      </c>
      <c r="C9072" s="12" t="str">
        <f>IFERROR(VLOOKUP(D9072,'[1]Перечень товаров'!$A$2:$I9525,3,0),"")</f>
        <v>Прочее</v>
      </c>
      <c r="D9072" s="22" t="s">
        <v>363</v>
      </c>
      <c r="E9072" s="102"/>
      <c r="F9072" s="102"/>
      <c r="G9072" s="48">
        <v>1</v>
      </c>
      <c r="H9072" s="48"/>
      <c r="I9072" s="49"/>
      <c r="J9072" s="49"/>
      <c r="K9072" s="33"/>
      <c r="L9072" s="20"/>
    </row>
    <row r="9073" spans="1:12" outlineLevel="2">
      <c r="A9073" s="21"/>
      <c r="B9073" s="12" t="str">
        <f>IFERROR(VLOOKUP(D9073,'[1]Перечень товаров'!$A$2:$I9525,2,0),"")</f>
        <v>п29</v>
      </c>
      <c r="C9073" s="12" t="str">
        <f>IFERROR(VLOOKUP(D9073,'[1]Перечень товаров'!$A$2:$I9525,3,0),"")</f>
        <v>Прочее</v>
      </c>
      <c r="D9073" s="22" t="s">
        <v>364</v>
      </c>
      <c r="E9073" s="102"/>
      <c r="F9073" s="102"/>
      <c r="G9073" s="48">
        <v>6</v>
      </c>
      <c r="H9073" s="48"/>
      <c r="I9073" s="49"/>
      <c r="J9073" s="49"/>
      <c r="K9073" s="33"/>
      <c r="L9073" s="20"/>
    </row>
    <row r="9074" spans="1:12" outlineLevel="2">
      <c r="A9074" s="21"/>
      <c r="B9074" s="12" t="str">
        <f>IFERROR(VLOOKUP(D9074,'[1]Перечень товаров'!$A$2:$I9525,2,0),"")</f>
        <v>п30</v>
      </c>
      <c r="C9074" s="12" t="str">
        <f>IFERROR(VLOOKUP(D9074,'[1]Перечень товаров'!$A$2:$I9525,3,0),"")</f>
        <v>Прочее</v>
      </c>
      <c r="D9074" s="22" t="s">
        <v>365</v>
      </c>
      <c r="E9074" s="102"/>
      <c r="F9074" s="102"/>
      <c r="G9074" s="48">
        <v>2</v>
      </c>
      <c r="H9074" s="48"/>
      <c r="I9074" s="49"/>
      <c r="J9074" s="49"/>
      <c r="K9074" s="33"/>
      <c r="L9074" s="20"/>
    </row>
    <row r="9075" spans="1:12" ht="31.5" outlineLevel="2">
      <c r="A9075" s="21"/>
      <c r="B9075" s="12" t="str">
        <f>IFERROR(VLOOKUP(D9075,'[1]Перечень товаров'!$A$2:$I9525,2,0),"")</f>
        <v>п31</v>
      </c>
      <c r="C9075" s="12" t="str">
        <f>IFERROR(VLOOKUP(D9075,'[1]Перечень товаров'!$A$2:$I9525,3,0),"")</f>
        <v>Прочее</v>
      </c>
      <c r="D9075" s="22" t="s">
        <v>366</v>
      </c>
      <c r="E9075" s="102"/>
      <c r="F9075" s="102"/>
      <c r="G9075" s="48">
        <v>1</v>
      </c>
      <c r="H9075" s="48"/>
      <c r="I9075" s="49"/>
      <c r="J9075" s="49"/>
      <c r="K9075" s="33"/>
      <c r="L9075" s="20"/>
    </row>
    <row r="9076" spans="1:12" ht="31.5" outlineLevel="2">
      <c r="A9076" s="21"/>
      <c r="B9076" s="12" t="str">
        <f>IFERROR(VLOOKUP(D9076,'[1]Перечень товаров'!$A$2:$I9525,2,0),"")</f>
        <v>п32</v>
      </c>
      <c r="C9076" s="12" t="str">
        <f>IFERROR(VLOOKUP(D9076,'[1]Перечень товаров'!$A$2:$I9525,3,0),"")</f>
        <v>Прочее</v>
      </c>
      <c r="D9076" s="22" t="s">
        <v>367</v>
      </c>
      <c r="E9076" s="102"/>
      <c r="F9076" s="102"/>
      <c r="G9076" s="48">
        <v>2</v>
      </c>
      <c r="H9076" s="48"/>
      <c r="I9076" s="49"/>
      <c r="J9076" s="49"/>
      <c r="K9076" s="33"/>
      <c r="L9076" s="20"/>
    </row>
    <row r="9077" spans="1:12" ht="12.75" outlineLevel="1">
      <c r="A9077" s="11"/>
      <c r="B9077" s="12" t="str">
        <f>IFERROR(VLOOKUP(D9077,'[1]Перечень товаров'!$A$2:$I9525,2,0),"")</f>
        <v/>
      </c>
      <c r="C9077" s="12" t="str">
        <f>IFERROR(VLOOKUP(D9077,'[1]Перечень товаров'!$A$2:$I9525,3,0),"")</f>
        <v/>
      </c>
      <c r="D9077" s="27" t="s">
        <v>879</v>
      </c>
      <c r="E9077" s="99">
        <v>46057</v>
      </c>
      <c r="F9077" s="99"/>
      <c r="G9077" s="100"/>
      <c r="H9077" s="100"/>
      <c r="I9077" s="101"/>
      <c r="J9077" s="101"/>
      <c r="K9077" s="19"/>
      <c r="L9077" s="20"/>
    </row>
    <row r="9078" spans="1:12" outlineLevel="2">
      <c r="A9078" s="43"/>
      <c r="B9078" s="12" t="str">
        <f>IFERROR(VLOOKUP(D9078,'[1]Перечень товаров'!$A$2:$I9525,2,0),"")</f>
        <v>м222</v>
      </c>
      <c r="C9078" s="12" t="str">
        <f>IFERROR(VLOOKUP(D9078,'[1]Перечень товаров'!$A$2:$I9525,3,0),"")</f>
        <v>Мебель</v>
      </c>
      <c r="D9078" s="44" t="s">
        <v>880</v>
      </c>
      <c r="E9078" s="102"/>
      <c r="F9078" s="102"/>
      <c r="G9078" s="24">
        <v>1</v>
      </c>
      <c r="H9078" s="24"/>
      <c r="I9078" s="25"/>
      <c r="J9078" s="25"/>
      <c r="K9078" s="19"/>
      <c r="L9078" s="20"/>
    </row>
    <row r="9079" spans="1:12" outlineLevel="2">
      <c r="A9079" s="43"/>
      <c r="B9079" s="12" t="str">
        <f>IFERROR(VLOOKUP(D9079,'[1]Перечень товаров'!$A$2:$I9525,2,0),"")</f>
        <v>м223</v>
      </c>
      <c r="C9079" s="12" t="str">
        <f>IFERROR(VLOOKUP(D9079,'[1]Перечень товаров'!$A$2:$I9525,3,0),"")</f>
        <v>Мебель</v>
      </c>
      <c r="D9079" s="44" t="s">
        <v>881</v>
      </c>
      <c r="E9079" s="102"/>
      <c r="F9079" s="102"/>
      <c r="G9079" s="24">
        <v>1</v>
      </c>
      <c r="H9079" s="24"/>
      <c r="I9079" s="25"/>
      <c r="J9079" s="25"/>
      <c r="K9079" s="19"/>
      <c r="L9079" s="20"/>
    </row>
    <row r="9080" spans="1:12" outlineLevel="2">
      <c r="A9080" s="43"/>
      <c r="B9080" s="12" t="str">
        <f>IFERROR(VLOOKUP(D9080,'[1]Перечень товаров'!$A$2:$I9525,2,0),"")</f>
        <v>м224</v>
      </c>
      <c r="C9080" s="12" t="str">
        <f>IFERROR(VLOOKUP(D9080,'[1]Перечень товаров'!$A$2:$I9525,3,0),"")</f>
        <v>Мебель</v>
      </c>
      <c r="D9080" s="44" t="s">
        <v>882</v>
      </c>
      <c r="E9080" s="102"/>
      <c r="F9080" s="102"/>
      <c r="G9080" s="24">
        <v>1</v>
      </c>
      <c r="H9080" s="24"/>
      <c r="I9080" s="25"/>
      <c r="J9080" s="25"/>
      <c r="K9080" s="19"/>
      <c r="L9080" s="20"/>
    </row>
    <row r="9081" spans="1:12" outlineLevel="2">
      <c r="A9081" s="43"/>
      <c r="B9081" s="12" t="str">
        <f>IFERROR(VLOOKUP(D9081,'[1]Перечень товаров'!$A$2:$I9525,2,0),"")</f>
        <v>м225</v>
      </c>
      <c r="C9081" s="12" t="str">
        <f>IFERROR(VLOOKUP(D9081,'[1]Перечень товаров'!$A$2:$I9525,3,0),"")</f>
        <v>Мебель</v>
      </c>
      <c r="D9081" s="44" t="s">
        <v>883</v>
      </c>
      <c r="E9081" s="102"/>
      <c r="F9081" s="102"/>
      <c r="G9081" s="24">
        <v>1</v>
      </c>
      <c r="H9081" s="24"/>
      <c r="I9081" s="25"/>
      <c r="J9081" s="25"/>
      <c r="K9081" s="19"/>
      <c r="L9081" s="20"/>
    </row>
    <row r="9082" spans="1:12" outlineLevel="2">
      <c r="A9082" s="43"/>
      <c r="B9082" s="12" t="str">
        <f>IFERROR(VLOOKUP(D9082,'[1]Перечень товаров'!$A$2:$I9525,2,0),"")</f>
        <v>п28</v>
      </c>
      <c r="C9082" s="12" t="str">
        <f>IFERROR(VLOOKUP(D9082,'[1]Перечень товаров'!$A$2:$I9525,3,0),"")</f>
        <v>Прочее</v>
      </c>
      <c r="D9082" s="44" t="s">
        <v>363</v>
      </c>
      <c r="E9082" s="102"/>
      <c r="F9082" s="102"/>
      <c r="G9082" s="24">
        <v>1</v>
      </c>
      <c r="H9082" s="24"/>
      <c r="I9082" s="25"/>
      <c r="J9082" s="25"/>
      <c r="K9082" s="19"/>
      <c r="L9082" s="20"/>
    </row>
    <row r="9083" spans="1:12" outlineLevel="2">
      <c r="A9083" s="43"/>
      <c r="B9083" s="12" t="str">
        <f>IFERROR(VLOOKUP(D9083,'[1]Перечень товаров'!$A$2:$I9525,2,0),"")</f>
        <v>м226</v>
      </c>
      <c r="C9083" s="12" t="str">
        <f>IFERROR(VLOOKUP(D9083,'[1]Перечень товаров'!$A$2:$I9525,3,0),"")</f>
        <v>Мебель</v>
      </c>
      <c r="D9083" s="44" t="s">
        <v>884</v>
      </c>
      <c r="E9083" s="102"/>
      <c r="F9083" s="102"/>
      <c r="G9083" s="24">
        <v>1</v>
      </c>
      <c r="H9083" s="24"/>
      <c r="I9083" s="25"/>
      <c r="J9083" s="25"/>
      <c r="K9083" s="19"/>
      <c r="L9083" s="20"/>
    </row>
    <row r="9084" spans="1:12" outlineLevel="1">
      <c r="A9084" s="21"/>
      <c r="B9084" s="12" t="str">
        <f>IFERROR(VLOOKUP(D9084,'[1]Перечень товаров'!$A$2:$I9525,2,0),"")</f>
        <v/>
      </c>
      <c r="C9084" s="12" t="str">
        <f>IFERROR(VLOOKUP(D9084,'[1]Перечень товаров'!$A$2:$I9525,3,0),"")</f>
        <v/>
      </c>
      <c r="D9084" s="22" t="s">
        <v>2120</v>
      </c>
      <c r="E9084" s="102">
        <v>46114</v>
      </c>
      <c r="F9084" s="102"/>
      <c r="G9084" s="103"/>
      <c r="H9084" s="103"/>
      <c r="I9084" s="104"/>
      <c r="J9084" s="104"/>
      <c r="K9084" s="19"/>
      <c r="L9084" s="20"/>
    </row>
    <row r="9085" spans="1:12" ht="12.75" outlineLevel="1">
      <c r="A9085" s="11"/>
      <c r="B9085" s="12" t="str">
        <f>IFERROR(VLOOKUP(D9085,'[1]Перечень товаров'!$A$2:$I9525,2,0),"")</f>
        <v/>
      </c>
      <c r="C9085" s="12" t="str">
        <f>IFERROR(VLOOKUP(D9085,'[1]Перечень товаров'!$A$2:$I9525,3,0),"")</f>
        <v/>
      </c>
      <c r="D9085" s="27" t="s">
        <v>871</v>
      </c>
      <c r="E9085" s="99">
        <v>46220</v>
      </c>
      <c r="F9085" s="99"/>
      <c r="G9085" s="100"/>
      <c r="H9085" s="100"/>
      <c r="I9085" s="101"/>
      <c r="J9085" s="101"/>
      <c r="K9085" s="19"/>
      <c r="L9085" s="20"/>
    </row>
    <row r="9086" spans="1:12" outlineLevel="2">
      <c r="A9086" s="22"/>
      <c r="B9086" s="12" t="str">
        <f>IFERROR(VLOOKUP(D9086,'[1]Перечень товаров'!$A$2:$I9525,2,0),"")</f>
        <v>м14</v>
      </c>
      <c r="C9086" s="12" t="str">
        <f>IFERROR(VLOOKUP(D9086,'[1]Перечень товаров'!$A$2:$I9525,3,0),"")</f>
        <v>Мебель</v>
      </c>
      <c r="D9086" s="22" t="s">
        <v>43</v>
      </c>
      <c r="E9086" s="203"/>
      <c r="F9086" s="203"/>
      <c r="G9086" s="24">
        <v>1</v>
      </c>
      <c r="H9086" s="24"/>
      <c r="I9086" s="25"/>
      <c r="J9086" s="25"/>
      <c r="K9086" s="19"/>
      <c r="L9086" s="20"/>
    </row>
    <row r="9087" spans="1:12" outlineLevel="2">
      <c r="A9087" s="21"/>
      <c r="B9087" s="12" t="str">
        <f>IFERROR(VLOOKUP(D9087,'[1]Перечень товаров'!$A$2:$I9525,2,0),"")</f>
        <v>м167</v>
      </c>
      <c r="C9087" s="12" t="str">
        <f>IFERROR(VLOOKUP(D9087,'[1]Перечень товаров'!$A$2:$I9525,3,0),"")</f>
        <v>Мебель</v>
      </c>
      <c r="D9087" s="22" t="s">
        <v>508</v>
      </c>
      <c r="E9087" s="203"/>
      <c r="F9087" s="203"/>
      <c r="G9087" s="24">
        <v>1</v>
      </c>
      <c r="H9087" s="24"/>
      <c r="I9087" s="25"/>
      <c r="J9087" s="25"/>
      <c r="K9087" s="19"/>
      <c r="L9087" s="20"/>
    </row>
    <row r="9088" spans="1:12" outlineLevel="2">
      <c r="A9088" s="21"/>
      <c r="B9088" s="12" t="str">
        <f>IFERROR(VLOOKUP(D9088,'[1]Перечень товаров'!$A$2:$I9525,2,0),"")</f>
        <v>м218</v>
      </c>
      <c r="C9088" s="12" t="str">
        <f>IFERROR(VLOOKUP(D9088,'[1]Перечень товаров'!$A$2:$I9525,3,0),"")</f>
        <v>Мебель</v>
      </c>
      <c r="D9088" s="22" t="s">
        <v>872</v>
      </c>
      <c r="E9088" s="203"/>
      <c r="F9088" s="203"/>
      <c r="G9088" s="24">
        <v>2</v>
      </c>
      <c r="H9088" s="24"/>
      <c r="I9088" s="25"/>
      <c r="J9088" s="25"/>
      <c r="K9088" s="19"/>
      <c r="L9088" s="20"/>
    </row>
    <row r="9089" spans="1:12" outlineLevel="2">
      <c r="A9089" s="21"/>
      <c r="B9089" s="12" t="str">
        <f>IFERROR(VLOOKUP(D9089,'[1]Перечень товаров'!$A$2:$I9525,2,0),"")</f>
        <v>м219</v>
      </c>
      <c r="C9089" s="12" t="str">
        <f>IFERROR(VLOOKUP(D9089,'[1]Перечень товаров'!$A$2:$I9525,3,0),"")</f>
        <v>Мебель</v>
      </c>
      <c r="D9089" s="22" t="s">
        <v>873</v>
      </c>
      <c r="E9089" s="203"/>
      <c r="F9089" s="203"/>
      <c r="G9089" s="24">
        <v>4</v>
      </c>
      <c r="H9089" s="24"/>
      <c r="I9089" s="25"/>
      <c r="J9089" s="25"/>
      <c r="K9089" s="19"/>
      <c r="L9089" s="20"/>
    </row>
    <row r="9090" spans="1:12" outlineLevel="2">
      <c r="A9090" s="21"/>
      <c r="B9090" s="12" t="str">
        <f>IFERROR(VLOOKUP(D9090,'[1]Перечень товаров'!$A$2:$I9525,2,0),"")</f>
        <v>м220</v>
      </c>
      <c r="C9090" s="12" t="str">
        <f>IFERROR(VLOOKUP(D9090,'[1]Перечень товаров'!$A$2:$I9525,3,0),"")</f>
        <v>Мебель</v>
      </c>
      <c r="D9090" s="22" t="s">
        <v>874</v>
      </c>
      <c r="E9090" s="203"/>
      <c r="F9090" s="203"/>
      <c r="G9090" s="24">
        <v>1</v>
      </c>
      <c r="H9090" s="24"/>
      <c r="I9090" s="25"/>
      <c r="J9090" s="25"/>
      <c r="K9090" s="19"/>
      <c r="L9090" s="20"/>
    </row>
    <row r="9091" spans="1:12" outlineLevel="2">
      <c r="A9091" s="21"/>
      <c r="B9091" s="12" t="str">
        <f>IFERROR(VLOOKUP(D9091,'[1]Перечень товаров'!$A$2:$I9525,2,0),"")</f>
        <v>тм77</v>
      </c>
      <c r="C9091" s="12" t="str">
        <f>IFERROR(VLOOKUP(D9091,'[1]Перечень товаров'!$A$2:$I9525,3,0),"")</f>
        <v>Техника муз</v>
      </c>
      <c r="D9091" s="22" t="s">
        <v>875</v>
      </c>
      <c r="E9091" s="203"/>
      <c r="F9091" s="203"/>
      <c r="G9091" s="24">
        <v>1</v>
      </c>
      <c r="H9091" s="24"/>
      <c r="I9091" s="25"/>
      <c r="J9091" s="25"/>
      <c r="K9091" s="19"/>
      <c r="L9091" s="20"/>
    </row>
    <row r="9092" spans="1:12" outlineLevel="2">
      <c r="A9092" s="21"/>
      <c r="B9092" s="12" t="str">
        <f>IFERROR(VLOOKUP(D9092,'[1]Перечень товаров'!$A$2:$I9525,2,0),"")</f>
        <v>м137</v>
      </c>
      <c r="C9092" s="12" t="str">
        <f>IFERROR(VLOOKUP(D9092,'[1]Перечень товаров'!$A$2:$I9525,3,0),"")</f>
        <v>мебель</v>
      </c>
      <c r="D9092" s="22" t="s">
        <v>876</v>
      </c>
      <c r="E9092" s="203"/>
      <c r="F9092" s="203"/>
      <c r="G9092" s="24">
        <v>1</v>
      </c>
      <c r="H9092" s="24"/>
      <c r="I9092" s="25"/>
      <c r="J9092" s="25"/>
      <c r="K9092" s="19"/>
      <c r="L9092" s="20"/>
    </row>
    <row r="9093" spans="1:12" outlineLevel="2">
      <c r="A9093" s="21"/>
      <c r="B9093" s="12" t="str">
        <f>IFERROR(VLOOKUP(D9093,'[1]Перечень товаров'!$A$2:$I9525,2,0),"")</f>
        <v>м187</v>
      </c>
      <c r="C9093" s="12" t="str">
        <f>IFERROR(VLOOKUP(D9093,'[1]Перечень товаров'!$A$2:$I9525,3,0),"")</f>
        <v>мебель</v>
      </c>
      <c r="D9093" s="22" t="s">
        <v>877</v>
      </c>
      <c r="E9093" s="203"/>
      <c r="F9093" s="203"/>
      <c r="G9093" s="24">
        <v>1</v>
      </c>
      <c r="H9093" s="24"/>
      <c r="I9093" s="25"/>
      <c r="J9093" s="25"/>
      <c r="K9093" s="19"/>
      <c r="L9093" s="20"/>
    </row>
    <row r="9094" spans="1:12" outlineLevel="2">
      <c r="A9094" s="21"/>
      <c r="B9094" s="12" t="str">
        <f>IFERROR(VLOOKUP(D9094,'[1]Перечень товаров'!$A$2:$I9525,2,0),"")</f>
        <v>м19</v>
      </c>
      <c r="C9094" s="12" t="str">
        <f>IFERROR(VLOOKUP(D9094,'[1]Перечень товаров'!$A$2:$I9525,3,0),"")</f>
        <v>Мебель</v>
      </c>
      <c r="D9094" s="22" t="s">
        <v>53</v>
      </c>
      <c r="E9094" s="203"/>
      <c r="F9094" s="203"/>
      <c r="G9094" s="24">
        <v>1</v>
      </c>
      <c r="H9094" s="24"/>
      <c r="I9094" s="25"/>
      <c r="J9094" s="25"/>
      <c r="K9094" s="19"/>
      <c r="L9094" s="20"/>
    </row>
    <row r="9095" spans="1:12" outlineLevel="2">
      <c r="A9095" s="21"/>
      <c r="B9095" s="12" t="str">
        <f>IFERROR(VLOOKUP(D9095,'[1]Перечень товаров'!$A$2:$I9525,2,0),"")</f>
        <v>м221</v>
      </c>
      <c r="C9095" s="12" t="str">
        <f>IFERROR(VLOOKUP(D9095,'[1]Перечень товаров'!$A$2:$I9525,3,0),"")</f>
        <v>Мебель</v>
      </c>
      <c r="D9095" s="22" t="s">
        <v>878</v>
      </c>
      <c r="E9095" s="203"/>
      <c r="F9095" s="203"/>
      <c r="G9095" s="24">
        <v>1</v>
      </c>
      <c r="H9095" s="24"/>
      <c r="I9095" s="25"/>
      <c r="J9095" s="25"/>
      <c r="K9095" s="19"/>
      <c r="L9095" s="20"/>
    </row>
    <row r="9096" spans="1:12" ht="12.75" outlineLevel="1">
      <c r="A9096" s="11"/>
      <c r="B9096" s="12" t="str">
        <f>IFERROR(VLOOKUP(D9096,'[1]Перечень товаров'!$A$2:$I9525,2,0),"")</f>
        <v/>
      </c>
      <c r="C9096" s="12" t="str">
        <f>IFERROR(VLOOKUP(D9096,'[1]Перечень товаров'!$A$2:$I9525,3,0),"")</f>
        <v/>
      </c>
      <c r="D9096" s="27" t="s">
        <v>926</v>
      </c>
      <c r="E9096" s="99">
        <v>46095</v>
      </c>
      <c r="F9096" s="99"/>
      <c r="G9096" s="100"/>
      <c r="H9096" s="100"/>
      <c r="I9096" s="101"/>
      <c r="J9096" s="101"/>
      <c r="K9096" s="19"/>
      <c r="L9096" s="20"/>
    </row>
    <row r="9097" spans="1:12" outlineLevel="2">
      <c r="A9097" s="156"/>
      <c r="B9097" s="12" t="str">
        <f>IFERROR(VLOOKUP(D9097,'[1]Перечень товаров'!$A$2:$I9525,2,0),"")</f>
        <v>м14</v>
      </c>
      <c r="C9097" s="12" t="str">
        <f>IFERROR(VLOOKUP(D9097,'[1]Перечень товаров'!$A$2:$I9525,3,0),"")</f>
        <v>Мебель</v>
      </c>
      <c r="D9097" s="156" t="s">
        <v>43</v>
      </c>
      <c r="E9097" s="102"/>
      <c r="F9097" s="102"/>
      <c r="G9097" s="24">
        <v>1</v>
      </c>
      <c r="H9097" s="24"/>
      <c r="I9097" s="25"/>
      <c r="J9097" s="25"/>
      <c r="K9097" s="19"/>
      <c r="L9097" s="20"/>
    </row>
    <row r="9098" spans="1:12" outlineLevel="2">
      <c r="A9098" s="312"/>
      <c r="B9098" s="12" t="str">
        <f>IFERROR(VLOOKUP(D9098,'[1]Перечень товаров'!$A$2:$I9525,2,0),"")</f>
        <v>м167</v>
      </c>
      <c r="C9098" s="12" t="str">
        <f>IFERROR(VLOOKUP(D9098,'[1]Перечень товаров'!$A$2:$I9525,3,0),"")</f>
        <v>Мебель</v>
      </c>
      <c r="D9098" s="143" t="s">
        <v>508</v>
      </c>
      <c r="E9098" s="102"/>
      <c r="F9098" s="102"/>
      <c r="G9098" s="24">
        <v>1</v>
      </c>
      <c r="H9098" s="24"/>
      <c r="I9098" s="25"/>
      <c r="J9098" s="25"/>
      <c r="K9098" s="19"/>
      <c r="L9098" s="20"/>
    </row>
    <row r="9099" spans="1:12" outlineLevel="2">
      <c r="A9099" s="21"/>
      <c r="B9099" s="12" t="str">
        <f>IFERROR(VLOOKUP(D9099,'[1]Перечень товаров'!$A$2:$I9525,2,0),"")</f>
        <v>м218</v>
      </c>
      <c r="C9099" s="12" t="str">
        <f>IFERROR(VLOOKUP(D9099,'[1]Перечень товаров'!$A$2:$I9525,3,0),"")</f>
        <v>Мебель</v>
      </c>
      <c r="D9099" s="22" t="s">
        <v>872</v>
      </c>
      <c r="E9099" s="102"/>
      <c r="F9099" s="102"/>
      <c r="G9099" s="24">
        <v>2</v>
      </c>
      <c r="H9099" s="24"/>
      <c r="I9099" s="25"/>
      <c r="J9099" s="25"/>
      <c r="K9099" s="19"/>
      <c r="L9099" s="20"/>
    </row>
    <row r="9100" spans="1:12" outlineLevel="2">
      <c r="A9100" s="21"/>
      <c r="B9100" s="12" t="str">
        <f>IFERROR(VLOOKUP(D9100,'[1]Перечень товаров'!$A$2:$I9525,2,0),"")</f>
        <v>м219</v>
      </c>
      <c r="C9100" s="12" t="str">
        <f>IFERROR(VLOOKUP(D9100,'[1]Перечень товаров'!$A$2:$I9525,3,0),"")</f>
        <v>Мебель</v>
      </c>
      <c r="D9100" s="22" t="s">
        <v>873</v>
      </c>
      <c r="E9100" s="102"/>
      <c r="F9100" s="102"/>
      <c r="G9100" s="24">
        <v>4</v>
      </c>
      <c r="H9100" s="24"/>
      <c r="I9100" s="25"/>
      <c r="J9100" s="25"/>
      <c r="K9100" s="19"/>
      <c r="L9100" s="20"/>
    </row>
    <row r="9101" spans="1:12" outlineLevel="2">
      <c r="A9101" s="312"/>
      <c r="B9101" s="12" t="str">
        <f>IFERROR(VLOOKUP(D9101,'[1]Перечень товаров'!$A$2:$I9525,2,0),"")</f>
        <v>м220</v>
      </c>
      <c r="C9101" s="12" t="str">
        <f>IFERROR(VLOOKUP(D9101,'[1]Перечень товаров'!$A$2:$I9525,3,0),"")</f>
        <v>Мебель</v>
      </c>
      <c r="D9101" s="143" t="s">
        <v>874</v>
      </c>
      <c r="E9101" s="102"/>
      <c r="F9101" s="102"/>
      <c r="G9101" s="24">
        <v>1</v>
      </c>
      <c r="H9101" s="24"/>
      <c r="I9101" s="25"/>
      <c r="J9101" s="25"/>
      <c r="K9101" s="19"/>
      <c r="L9101" s="20"/>
    </row>
    <row r="9102" spans="1:12" outlineLevel="2">
      <c r="A9102" s="21"/>
      <c r="B9102" s="12" t="str">
        <f>IFERROR(VLOOKUP(D9102,'[1]Перечень товаров'!$A$2:$I9525,2,0),"")</f>
        <v>м187</v>
      </c>
      <c r="C9102" s="12" t="str">
        <f>IFERROR(VLOOKUP(D9102,'[1]Перечень товаров'!$A$2:$I9525,3,0),"")</f>
        <v>мебель</v>
      </c>
      <c r="D9102" s="22" t="s">
        <v>877</v>
      </c>
      <c r="E9102" s="23"/>
      <c r="F9102" s="23"/>
      <c r="G9102" s="24">
        <v>2</v>
      </c>
      <c r="H9102" s="24"/>
      <c r="I9102" s="25"/>
      <c r="J9102" s="25"/>
      <c r="K9102" s="19"/>
      <c r="L9102" s="20"/>
    </row>
    <row r="9103" spans="1:12" outlineLevel="2">
      <c r="A9103" s="21"/>
      <c r="B9103" s="12" t="str">
        <f>IFERROR(VLOOKUP(D9103,'[1]Перечень товаров'!$A$2:$I9525,2,0),"")</f>
        <v>м19</v>
      </c>
      <c r="C9103" s="12" t="str">
        <f>IFERROR(VLOOKUP(D9103,'[1]Перечень товаров'!$A$2:$I9525,3,0),"")</f>
        <v>Мебель</v>
      </c>
      <c r="D9103" s="22" t="s">
        <v>53</v>
      </c>
      <c r="E9103" s="23"/>
      <c r="F9103" s="23"/>
      <c r="G9103" s="24">
        <v>2</v>
      </c>
      <c r="H9103" s="24"/>
      <c r="I9103" s="25"/>
      <c r="J9103" s="25"/>
      <c r="K9103" s="19"/>
      <c r="L9103" s="20"/>
    </row>
    <row r="9104" spans="1:12" outlineLevel="2">
      <c r="A9104" s="21"/>
      <c r="B9104" s="12" t="str">
        <f>IFERROR(VLOOKUP(D9104,'[1]Перечень товаров'!$A$2:$I9525,2,0),"")</f>
        <v>м221</v>
      </c>
      <c r="C9104" s="12" t="str">
        <f>IFERROR(VLOOKUP(D9104,'[1]Перечень товаров'!$A$2:$I9525,3,0),"")</f>
        <v>Мебель</v>
      </c>
      <c r="D9104" s="22" t="s">
        <v>878</v>
      </c>
      <c r="E9104" s="23"/>
      <c r="F9104" s="23"/>
      <c r="G9104" s="24">
        <v>2</v>
      </c>
      <c r="H9104" s="24"/>
      <c r="I9104" s="25"/>
      <c r="J9104" s="25"/>
      <c r="K9104" s="19"/>
      <c r="L9104" s="20"/>
    </row>
    <row r="9105" spans="1:12" ht="12.75" outlineLevel="1">
      <c r="A9105" s="11"/>
      <c r="B9105" s="12" t="str">
        <f>IFERROR(VLOOKUP(D9105,'[1]Перечень товаров'!$A$2:$I9525,2,0),"")</f>
        <v/>
      </c>
      <c r="C9105" s="12" t="str">
        <f>IFERROR(VLOOKUP(D9105,'[1]Перечень товаров'!$A$2:$I9525,3,0),"")</f>
        <v/>
      </c>
      <c r="D9105" s="27" t="s">
        <v>521</v>
      </c>
      <c r="E9105" s="99">
        <v>46058</v>
      </c>
      <c r="F9105" s="99"/>
      <c r="G9105" s="100"/>
      <c r="H9105" s="100"/>
      <c r="I9105" s="101"/>
      <c r="J9105" s="101"/>
      <c r="K9105" s="19"/>
      <c r="L9105" s="20"/>
    </row>
    <row r="9106" spans="1:12" outlineLevel="2">
      <c r="A9106" s="22"/>
      <c r="B9106" s="12" t="str">
        <f>IFERROR(VLOOKUP(D9106,'[1]Перечень товаров'!$A$2:$I9525,2,0),"")</f>
        <v>п25</v>
      </c>
      <c r="C9106" s="12" t="str">
        <f>IFERROR(VLOOKUP(D9106,'[1]Перечень товаров'!$A$2:$I9525,3,0),"")</f>
        <v>Прочее</v>
      </c>
      <c r="D9106" s="22" t="s">
        <v>360</v>
      </c>
      <c r="E9106" s="102"/>
      <c r="F9106" s="102"/>
      <c r="G9106" s="48">
        <v>3</v>
      </c>
      <c r="H9106" s="48"/>
      <c r="I9106" s="49"/>
      <c r="J9106" s="49"/>
      <c r="K9106" s="33"/>
      <c r="L9106" s="20"/>
    </row>
    <row r="9107" spans="1:12" outlineLevel="2">
      <c r="A9107" s="21"/>
      <c r="B9107" s="12" t="str">
        <f>IFERROR(VLOOKUP(D9107,'[1]Перечень товаров'!$A$2:$I9525,2,0),"")</f>
        <v>п26</v>
      </c>
      <c r="C9107" s="12" t="str">
        <f>IFERROR(VLOOKUP(D9107,'[1]Перечень товаров'!$A$2:$I9525,3,0),"")</f>
        <v>Прочее</v>
      </c>
      <c r="D9107" s="22" t="s">
        <v>361</v>
      </c>
      <c r="E9107" s="102"/>
      <c r="F9107" s="102"/>
      <c r="G9107" s="48">
        <v>2</v>
      </c>
      <c r="H9107" s="48"/>
      <c r="I9107" s="49"/>
      <c r="J9107" s="49"/>
      <c r="K9107" s="33"/>
      <c r="L9107" s="20"/>
    </row>
    <row r="9108" spans="1:12" outlineLevel="2">
      <c r="A9108" s="21"/>
      <c r="B9108" s="12" t="str">
        <f>IFERROR(VLOOKUP(D9108,'[1]Перечень товаров'!$A$2:$I9525,2,0),"")</f>
        <v>п27</v>
      </c>
      <c r="C9108" s="12" t="str">
        <f>IFERROR(VLOOKUP(D9108,'[1]Перечень товаров'!$A$2:$I9525,3,0),"")</f>
        <v>Прочее</v>
      </c>
      <c r="D9108" s="22" t="s">
        <v>362</v>
      </c>
      <c r="E9108" s="102"/>
      <c r="F9108" s="102"/>
      <c r="G9108" s="48">
        <v>2</v>
      </c>
      <c r="H9108" s="48"/>
      <c r="I9108" s="49"/>
      <c r="J9108" s="49"/>
      <c r="K9108" s="33"/>
      <c r="L9108" s="20"/>
    </row>
    <row r="9109" spans="1:12" outlineLevel="2">
      <c r="A9109" s="21"/>
      <c r="B9109" s="12" t="str">
        <f>IFERROR(VLOOKUP(D9109,'[1]Перечень товаров'!$A$2:$I9525,2,0),"")</f>
        <v>п28</v>
      </c>
      <c r="C9109" s="12" t="str">
        <f>IFERROR(VLOOKUP(D9109,'[1]Перечень товаров'!$A$2:$I9525,3,0),"")</f>
        <v>Прочее</v>
      </c>
      <c r="D9109" s="22" t="s">
        <v>363</v>
      </c>
      <c r="E9109" s="102"/>
      <c r="F9109" s="102"/>
      <c r="G9109" s="48">
        <v>1</v>
      </c>
      <c r="H9109" s="48"/>
      <c r="I9109" s="49"/>
      <c r="J9109" s="49"/>
      <c r="K9109" s="33"/>
      <c r="L9109" s="20"/>
    </row>
    <row r="9110" spans="1:12" outlineLevel="2">
      <c r="A9110" s="21"/>
      <c r="B9110" s="12" t="str">
        <f>IFERROR(VLOOKUP(D9110,'[1]Перечень товаров'!$A$2:$I9525,2,0),"")</f>
        <v>п29</v>
      </c>
      <c r="C9110" s="12" t="str">
        <f>IFERROR(VLOOKUP(D9110,'[1]Перечень товаров'!$A$2:$I9525,3,0),"")</f>
        <v>Прочее</v>
      </c>
      <c r="D9110" s="22" t="s">
        <v>364</v>
      </c>
      <c r="E9110" s="102"/>
      <c r="F9110" s="102"/>
      <c r="G9110" s="48">
        <v>6</v>
      </c>
      <c r="H9110" s="48"/>
      <c r="I9110" s="49"/>
      <c r="J9110" s="49"/>
      <c r="K9110" s="33"/>
      <c r="L9110" s="20"/>
    </row>
    <row r="9111" spans="1:12" outlineLevel="2">
      <c r="A9111" s="21"/>
      <c r="B9111" s="12" t="str">
        <f>IFERROR(VLOOKUP(D9111,'[1]Перечень товаров'!$A$2:$I9525,2,0),"")</f>
        <v>п30</v>
      </c>
      <c r="C9111" s="12" t="str">
        <f>IFERROR(VLOOKUP(D9111,'[1]Перечень товаров'!$A$2:$I9525,3,0),"")</f>
        <v>Прочее</v>
      </c>
      <c r="D9111" s="22" t="s">
        <v>365</v>
      </c>
      <c r="E9111" s="102"/>
      <c r="F9111" s="102"/>
      <c r="G9111" s="48">
        <v>2</v>
      </c>
      <c r="H9111" s="48"/>
      <c r="I9111" s="49"/>
      <c r="J9111" s="49"/>
      <c r="K9111" s="33"/>
      <c r="L9111" s="20"/>
    </row>
    <row r="9112" spans="1:12" ht="31.5" outlineLevel="2">
      <c r="A9112" s="21"/>
      <c r="B9112" s="12" t="str">
        <f>IFERROR(VLOOKUP(D9112,'[1]Перечень товаров'!$A$2:$I9525,2,0),"")</f>
        <v>п31</v>
      </c>
      <c r="C9112" s="12" t="str">
        <f>IFERROR(VLOOKUP(D9112,'[1]Перечень товаров'!$A$2:$I9525,3,0),"")</f>
        <v>Прочее</v>
      </c>
      <c r="D9112" s="22" t="s">
        <v>366</v>
      </c>
      <c r="E9112" s="102"/>
      <c r="F9112" s="102"/>
      <c r="G9112" s="48">
        <v>1</v>
      </c>
      <c r="H9112" s="48"/>
      <c r="I9112" s="49"/>
      <c r="J9112" s="49"/>
      <c r="K9112" s="33"/>
      <c r="L9112" s="20"/>
    </row>
    <row r="9113" spans="1:12" ht="31.5" outlineLevel="2">
      <c r="A9113" s="21"/>
      <c r="B9113" s="12" t="str">
        <f>IFERROR(VLOOKUP(D9113,'[1]Перечень товаров'!$A$2:$I9525,2,0),"")</f>
        <v>п32</v>
      </c>
      <c r="C9113" s="12" t="str">
        <f>IFERROR(VLOOKUP(D9113,'[1]Перечень товаров'!$A$2:$I9525,3,0),"")</f>
        <v>Прочее</v>
      </c>
      <c r="D9113" s="22" t="s">
        <v>367</v>
      </c>
      <c r="E9113" s="102"/>
      <c r="F9113" s="102"/>
      <c r="G9113" s="48">
        <v>2</v>
      </c>
      <c r="H9113" s="48"/>
      <c r="I9113" s="49"/>
      <c r="J9113" s="49"/>
      <c r="K9113" s="33"/>
      <c r="L9113" s="20"/>
    </row>
    <row r="9114" spans="1:12" ht="12.75" outlineLevel="1">
      <c r="A9114" s="11"/>
      <c r="B9114" s="12" t="str">
        <f>IFERROR(VLOOKUP(D9114,'[1]Перечень товаров'!$A$2:$I9525,2,0),"")</f>
        <v/>
      </c>
      <c r="C9114" s="12" t="str">
        <f>IFERROR(VLOOKUP(D9114,'[1]Перечень товаров'!$A$2:$I9525,3,0),"")</f>
        <v/>
      </c>
      <c r="D9114" s="27" t="s">
        <v>879</v>
      </c>
      <c r="E9114" s="99">
        <v>46057</v>
      </c>
      <c r="F9114" s="99"/>
      <c r="G9114" s="100"/>
      <c r="H9114" s="100"/>
      <c r="I9114" s="101"/>
      <c r="J9114" s="101"/>
      <c r="K9114" s="19"/>
      <c r="L9114" s="20"/>
    </row>
    <row r="9115" spans="1:12" outlineLevel="2">
      <c r="A9115" s="43"/>
      <c r="B9115" s="12" t="str">
        <f>IFERROR(VLOOKUP(D9115,'[1]Перечень товаров'!$A$2:$I9525,2,0),"")</f>
        <v>м222</v>
      </c>
      <c r="C9115" s="12" t="str">
        <f>IFERROR(VLOOKUP(D9115,'[1]Перечень товаров'!$A$2:$I9525,3,0),"")</f>
        <v>Мебель</v>
      </c>
      <c r="D9115" s="44" t="s">
        <v>880</v>
      </c>
      <c r="E9115" s="102"/>
      <c r="F9115" s="102"/>
      <c r="G9115" s="24">
        <v>1</v>
      </c>
      <c r="H9115" s="24"/>
      <c r="I9115" s="25"/>
      <c r="J9115" s="25"/>
      <c r="K9115" s="19"/>
      <c r="L9115" s="20"/>
    </row>
    <row r="9116" spans="1:12" outlineLevel="2">
      <c r="A9116" s="43"/>
      <c r="B9116" s="12" t="str">
        <f>IFERROR(VLOOKUP(D9116,'[1]Перечень товаров'!$A$2:$I9525,2,0),"")</f>
        <v>м223</v>
      </c>
      <c r="C9116" s="12" t="str">
        <f>IFERROR(VLOOKUP(D9116,'[1]Перечень товаров'!$A$2:$I9525,3,0),"")</f>
        <v>Мебель</v>
      </c>
      <c r="D9116" s="44" t="s">
        <v>881</v>
      </c>
      <c r="E9116" s="102"/>
      <c r="F9116" s="102"/>
      <c r="G9116" s="24">
        <v>1</v>
      </c>
      <c r="H9116" s="24"/>
      <c r="I9116" s="25"/>
      <c r="J9116" s="25"/>
      <c r="K9116" s="19"/>
      <c r="L9116" s="20"/>
    </row>
    <row r="9117" spans="1:12" outlineLevel="2">
      <c r="A9117" s="43"/>
      <c r="B9117" s="12" t="str">
        <f>IFERROR(VLOOKUP(D9117,'[1]Перечень товаров'!$A$2:$I9525,2,0),"")</f>
        <v>м224</v>
      </c>
      <c r="C9117" s="12" t="str">
        <f>IFERROR(VLOOKUP(D9117,'[1]Перечень товаров'!$A$2:$I9525,3,0),"")</f>
        <v>Мебель</v>
      </c>
      <c r="D9117" s="44" t="s">
        <v>882</v>
      </c>
      <c r="E9117" s="102"/>
      <c r="F9117" s="102"/>
      <c r="G9117" s="24">
        <v>1</v>
      </c>
      <c r="H9117" s="24"/>
      <c r="I9117" s="25"/>
      <c r="J9117" s="25"/>
      <c r="K9117" s="19"/>
      <c r="L9117" s="20"/>
    </row>
    <row r="9118" spans="1:12" outlineLevel="2">
      <c r="A9118" s="43"/>
      <c r="B9118" s="12" t="str">
        <f>IFERROR(VLOOKUP(D9118,'[1]Перечень товаров'!$A$2:$I9525,2,0),"")</f>
        <v>м225</v>
      </c>
      <c r="C9118" s="12" t="str">
        <f>IFERROR(VLOOKUP(D9118,'[1]Перечень товаров'!$A$2:$I9525,3,0),"")</f>
        <v>Мебель</v>
      </c>
      <c r="D9118" s="44" t="s">
        <v>883</v>
      </c>
      <c r="E9118" s="102"/>
      <c r="F9118" s="102"/>
      <c r="G9118" s="24">
        <v>1</v>
      </c>
      <c r="H9118" s="24"/>
      <c r="I9118" s="25"/>
      <c r="J9118" s="25"/>
      <c r="K9118" s="19"/>
      <c r="L9118" s="20"/>
    </row>
    <row r="9119" spans="1:12" outlineLevel="2">
      <c r="A9119" s="43"/>
      <c r="B9119" s="12" t="str">
        <f>IFERROR(VLOOKUP(D9119,'[1]Перечень товаров'!$A$2:$I9525,2,0),"")</f>
        <v>п28</v>
      </c>
      <c r="C9119" s="12" t="str">
        <f>IFERROR(VLOOKUP(D9119,'[1]Перечень товаров'!$A$2:$I9525,3,0),"")</f>
        <v>Прочее</v>
      </c>
      <c r="D9119" s="44" t="s">
        <v>363</v>
      </c>
      <c r="E9119" s="102"/>
      <c r="F9119" s="102"/>
      <c r="G9119" s="24">
        <v>1</v>
      </c>
      <c r="H9119" s="24"/>
      <c r="I9119" s="25"/>
      <c r="J9119" s="25"/>
      <c r="K9119" s="19"/>
      <c r="L9119" s="20"/>
    </row>
    <row r="9120" spans="1:12" outlineLevel="2">
      <c r="A9120" s="43"/>
      <c r="B9120" s="12" t="str">
        <f>IFERROR(VLOOKUP(D9120,'[1]Перечень товаров'!$A$2:$I9525,2,0),"")</f>
        <v>м226</v>
      </c>
      <c r="C9120" s="12" t="str">
        <f>IFERROR(VLOOKUP(D9120,'[1]Перечень товаров'!$A$2:$I9525,3,0),"")</f>
        <v>Мебель</v>
      </c>
      <c r="D9120" s="44" t="s">
        <v>884</v>
      </c>
      <c r="E9120" s="102"/>
      <c r="F9120" s="102"/>
      <c r="G9120" s="24">
        <v>1</v>
      </c>
      <c r="H9120" s="24"/>
      <c r="I9120" s="25"/>
      <c r="J9120" s="25"/>
      <c r="K9120" s="19"/>
      <c r="L9120" s="20"/>
    </row>
    <row r="9121" spans="1:12" outlineLevel="1">
      <c r="A9121" s="21"/>
      <c r="B9121" s="12" t="str">
        <f>IFERROR(VLOOKUP(D9121,'[1]Перечень товаров'!$A$2:$I9525,2,0),"")</f>
        <v/>
      </c>
      <c r="C9121" s="12" t="str">
        <f>IFERROR(VLOOKUP(D9121,'[1]Перечень товаров'!$A$2:$I9525,3,0),"")</f>
        <v/>
      </c>
      <c r="D9121" s="22" t="s">
        <v>2120</v>
      </c>
      <c r="E9121" s="102">
        <v>46114</v>
      </c>
      <c r="F9121" s="102"/>
      <c r="G9121" s="103"/>
      <c r="H9121" s="103"/>
      <c r="I9121" s="104"/>
      <c r="J9121" s="104"/>
      <c r="K9121" s="19"/>
      <c r="L9121" s="20"/>
    </row>
    <row r="9122" spans="1:12" ht="12.75" outlineLevel="1">
      <c r="A9122" s="11"/>
      <c r="B9122" s="12" t="str">
        <f>IFERROR(VLOOKUP(D9122,'[1]Перечень товаров'!$A$2:$I9525,2,0),"")</f>
        <v/>
      </c>
      <c r="C9122" s="12" t="str">
        <f>IFERROR(VLOOKUP(D9122,'[1]Перечень товаров'!$A$2:$I9525,3,0),"")</f>
        <v/>
      </c>
      <c r="D9122" s="27" t="s">
        <v>871</v>
      </c>
      <c r="E9122" s="99">
        <v>46220</v>
      </c>
      <c r="F9122" s="99"/>
      <c r="G9122" s="100"/>
      <c r="H9122" s="100"/>
      <c r="I9122" s="101"/>
      <c r="J9122" s="101"/>
      <c r="K9122" s="19"/>
      <c r="L9122" s="20"/>
    </row>
    <row r="9123" spans="1:12" outlineLevel="2">
      <c r="A9123" s="22"/>
      <c r="B9123" s="12" t="str">
        <f>IFERROR(VLOOKUP(D9123,'[1]Перечень товаров'!$A$2:$I9525,2,0),"")</f>
        <v>м14</v>
      </c>
      <c r="C9123" s="12" t="str">
        <f>IFERROR(VLOOKUP(D9123,'[1]Перечень товаров'!$A$2:$I9525,3,0),"")</f>
        <v>Мебель</v>
      </c>
      <c r="D9123" s="22" t="s">
        <v>43</v>
      </c>
      <c r="E9123" s="203"/>
      <c r="F9123" s="203"/>
      <c r="G9123" s="24">
        <v>1</v>
      </c>
      <c r="H9123" s="24"/>
      <c r="I9123" s="25"/>
      <c r="J9123" s="25"/>
      <c r="K9123" s="19"/>
      <c r="L9123" s="20"/>
    </row>
    <row r="9124" spans="1:12" outlineLevel="2">
      <c r="A9124" s="21"/>
      <c r="B9124" s="12" t="str">
        <f>IFERROR(VLOOKUP(D9124,'[1]Перечень товаров'!$A$2:$I9525,2,0),"")</f>
        <v>м167</v>
      </c>
      <c r="C9124" s="12" t="str">
        <f>IFERROR(VLOOKUP(D9124,'[1]Перечень товаров'!$A$2:$I9525,3,0),"")</f>
        <v>Мебель</v>
      </c>
      <c r="D9124" s="22" t="s">
        <v>508</v>
      </c>
      <c r="E9124" s="203"/>
      <c r="F9124" s="203"/>
      <c r="G9124" s="24">
        <v>1</v>
      </c>
      <c r="H9124" s="24"/>
      <c r="I9124" s="25"/>
      <c r="J9124" s="25"/>
      <c r="K9124" s="19"/>
      <c r="L9124" s="20"/>
    </row>
    <row r="9125" spans="1:12" outlineLevel="2">
      <c r="A9125" s="21"/>
      <c r="B9125" s="12" t="str">
        <f>IFERROR(VLOOKUP(D9125,'[1]Перечень товаров'!$A$2:$I9525,2,0),"")</f>
        <v>м218</v>
      </c>
      <c r="C9125" s="12" t="str">
        <f>IFERROR(VLOOKUP(D9125,'[1]Перечень товаров'!$A$2:$I9525,3,0),"")</f>
        <v>Мебель</v>
      </c>
      <c r="D9125" s="22" t="s">
        <v>872</v>
      </c>
      <c r="E9125" s="203"/>
      <c r="F9125" s="203"/>
      <c r="G9125" s="24">
        <v>2</v>
      </c>
      <c r="H9125" s="24"/>
      <c r="I9125" s="25"/>
      <c r="J9125" s="25"/>
      <c r="K9125" s="19"/>
      <c r="L9125" s="20"/>
    </row>
    <row r="9126" spans="1:12" outlineLevel="2">
      <c r="A9126" s="21"/>
      <c r="B9126" s="12" t="str">
        <f>IFERROR(VLOOKUP(D9126,'[1]Перечень товаров'!$A$2:$I9525,2,0),"")</f>
        <v>м219</v>
      </c>
      <c r="C9126" s="12" t="str">
        <f>IFERROR(VLOOKUP(D9126,'[1]Перечень товаров'!$A$2:$I9525,3,0),"")</f>
        <v>Мебель</v>
      </c>
      <c r="D9126" s="22" t="s">
        <v>873</v>
      </c>
      <c r="E9126" s="203"/>
      <c r="F9126" s="203"/>
      <c r="G9126" s="24">
        <v>4</v>
      </c>
      <c r="H9126" s="24"/>
      <c r="I9126" s="25"/>
      <c r="J9126" s="25"/>
      <c r="K9126" s="19"/>
      <c r="L9126" s="20"/>
    </row>
    <row r="9127" spans="1:12" outlineLevel="2">
      <c r="A9127" s="21"/>
      <c r="B9127" s="12" t="str">
        <f>IFERROR(VLOOKUP(D9127,'[1]Перечень товаров'!$A$2:$I9525,2,0),"")</f>
        <v>м220</v>
      </c>
      <c r="C9127" s="12" t="str">
        <f>IFERROR(VLOOKUP(D9127,'[1]Перечень товаров'!$A$2:$I9525,3,0),"")</f>
        <v>Мебель</v>
      </c>
      <c r="D9127" s="22" t="s">
        <v>874</v>
      </c>
      <c r="E9127" s="203"/>
      <c r="F9127" s="203"/>
      <c r="G9127" s="24">
        <v>1</v>
      </c>
      <c r="H9127" s="24"/>
      <c r="I9127" s="25"/>
      <c r="J9127" s="25"/>
      <c r="K9127" s="19"/>
      <c r="L9127" s="20"/>
    </row>
    <row r="9128" spans="1:12" outlineLevel="2">
      <c r="A9128" s="21"/>
      <c r="B9128" s="12" t="str">
        <f>IFERROR(VLOOKUP(D9128,'[1]Перечень товаров'!$A$2:$I9525,2,0),"")</f>
        <v>тм77</v>
      </c>
      <c r="C9128" s="12" t="str">
        <f>IFERROR(VLOOKUP(D9128,'[1]Перечень товаров'!$A$2:$I9525,3,0),"")</f>
        <v>Техника муз</v>
      </c>
      <c r="D9128" s="22" t="s">
        <v>875</v>
      </c>
      <c r="E9128" s="203"/>
      <c r="F9128" s="203"/>
      <c r="G9128" s="24">
        <v>1</v>
      </c>
      <c r="H9128" s="24"/>
      <c r="I9128" s="25"/>
      <c r="J9128" s="25"/>
      <c r="K9128" s="19"/>
      <c r="L9128" s="20"/>
    </row>
    <row r="9129" spans="1:12" outlineLevel="2">
      <c r="A9129" s="21"/>
      <c r="B9129" s="12" t="str">
        <f>IFERROR(VLOOKUP(D9129,'[1]Перечень товаров'!$A$2:$I9525,2,0),"")</f>
        <v>м137</v>
      </c>
      <c r="C9129" s="12" t="str">
        <f>IFERROR(VLOOKUP(D9129,'[1]Перечень товаров'!$A$2:$I9525,3,0),"")</f>
        <v>мебель</v>
      </c>
      <c r="D9129" s="22" t="s">
        <v>876</v>
      </c>
      <c r="E9129" s="203"/>
      <c r="F9129" s="203"/>
      <c r="G9129" s="24">
        <v>1</v>
      </c>
      <c r="H9129" s="24"/>
      <c r="I9129" s="25"/>
      <c r="J9129" s="25"/>
      <c r="K9129" s="19"/>
      <c r="L9129" s="20"/>
    </row>
    <row r="9130" spans="1:12" outlineLevel="2">
      <c r="A9130" s="21"/>
      <c r="B9130" s="12" t="str">
        <f>IFERROR(VLOOKUP(D9130,'[1]Перечень товаров'!$A$2:$I9525,2,0),"")</f>
        <v>м187</v>
      </c>
      <c r="C9130" s="12" t="str">
        <f>IFERROR(VLOOKUP(D9130,'[1]Перечень товаров'!$A$2:$I9525,3,0),"")</f>
        <v>мебель</v>
      </c>
      <c r="D9130" s="22" t="s">
        <v>877</v>
      </c>
      <c r="E9130" s="203"/>
      <c r="F9130" s="203"/>
      <c r="G9130" s="24">
        <v>1</v>
      </c>
      <c r="H9130" s="24"/>
      <c r="I9130" s="25"/>
      <c r="J9130" s="25"/>
      <c r="K9130" s="19"/>
      <c r="L9130" s="20"/>
    </row>
    <row r="9131" spans="1:12" outlineLevel="2">
      <c r="A9131" s="21"/>
      <c r="B9131" s="12" t="str">
        <f>IFERROR(VLOOKUP(D9131,'[1]Перечень товаров'!$A$2:$I9525,2,0),"")</f>
        <v>м30</v>
      </c>
      <c r="C9131" s="12" t="str">
        <f>IFERROR(VLOOKUP(D9131,'[1]Перечень товаров'!$A$2:$I9525,3,0),"")</f>
        <v>Мебель</v>
      </c>
      <c r="D9131" s="22" t="s">
        <v>181</v>
      </c>
      <c r="E9131" s="203"/>
      <c r="F9131" s="203"/>
      <c r="G9131" s="24">
        <v>2</v>
      </c>
      <c r="H9131" s="24"/>
      <c r="I9131" s="25"/>
      <c r="J9131" s="25"/>
      <c r="K9131" s="19"/>
      <c r="L9131" s="20"/>
    </row>
    <row r="9132" spans="1:12" outlineLevel="2">
      <c r="A9132" s="21"/>
      <c r="B9132" s="12" t="str">
        <f>IFERROR(VLOOKUP(D9132,'[1]Перечень товаров'!$A$2:$I9525,2,0),"")</f>
        <v>м221</v>
      </c>
      <c r="C9132" s="12" t="str">
        <f>IFERROR(VLOOKUP(D9132,'[1]Перечень товаров'!$A$2:$I9525,3,0),"")</f>
        <v>Мебель</v>
      </c>
      <c r="D9132" s="22" t="s">
        <v>878</v>
      </c>
      <c r="E9132" s="203"/>
      <c r="F9132" s="203"/>
      <c r="G9132" s="24">
        <v>2</v>
      </c>
      <c r="H9132" s="24"/>
      <c r="I9132" s="25"/>
      <c r="J9132" s="25"/>
      <c r="K9132" s="19"/>
      <c r="L9132" s="20"/>
    </row>
    <row r="9133" spans="1:12" ht="12.75" outlineLevel="1">
      <c r="A9133" s="11"/>
      <c r="B9133" s="12" t="str">
        <f>IFERROR(VLOOKUP(D9133,'[1]Перечень товаров'!$A$2:$I9525,2,0),"")</f>
        <v/>
      </c>
      <c r="C9133" s="12" t="str">
        <f>IFERROR(VLOOKUP(D9133,'[1]Перечень товаров'!$A$2:$I9525,3,0),"")</f>
        <v/>
      </c>
      <c r="D9133" s="27" t="s">
        <v>871</v>
      </c>
      <c r="E9133" s="14" t="s">
        <v>2113</v>
      </c>
      <c r="F9133" s="14"/>
      <c r="G9133" s="17"/>
      <c r="H9133" s="17"/>
      <c r="I9133" s="57"/>
      <c r="J9133" s="57"/>
      <c r="K9133" s="19"/>
      <c r="L9133" s="20"/>
    </row>
    <row r="9134" spans="1:12" outlineLevel="2">
      <c r="A9134" s="22"/>
      <c r="B9134" s="12" t="str">
        <f>IFERROR(VLOOKUP(D9134,'[1]Перечень товаров'!$A$2:$I9525,2,0),"")</f>
        <v>м14</v>
      </c>
      <c r="C9134" s="12" t="str">
        <f>IFERROR(VLOOKUP(D9134,'[1]Перечень товаров'!$A$2:$I9525,3,0),"")</f>
        <v>Мебель</v>
      </c>
      <c r="D9134" s="22" t="s">
        <v>43</v>
      </c>
      <c r="E9134" s="203"/>
      <c r="F9134" s="203"/>
      <c r="G9134" s="24">
        <v>1</v>
      </c>
      <c r="H9134" s="24"/>
      <c r="I9134" s="25"/>
      <c r="J9134" s="25"/>
      <c r="K9134" s="19"/>
      <c r="L9134" s="20"/>
    </row>
    <row r="9135" spans="1:12" outlineLevel="2">
      <c r="A9135" s="21"/>
      <c r="B9135" s="12" t="str">
        <f>IFERROR(VLOOKUP(D9135,'[1]Перечень товаров'!$A$2:$I9525,2,0),"")</f>
        <v>м167</v>
      </c>
      <c r="C9135" s="12" t="str">
        <f>IFERROR(VLOOKUP(D9135,'[1]Перечень товаров'!$A$2:$I9525,3,0),"")</f>
        <v>Мебель</v>
      </c>
      <c r="D9135" s="22" t="s">
        <v>508</v>
      </c>
      <c r="E9135" s="203"/>
      <c r="F9135" s="203"/>
      <c r="G9135" s="24">
        <v>1</v>
      </c>
      <c r="H9135" s="24"/>
      <c r="I9135" s="25"/>
      <c r="J9135" s="25"/>
      <c r="K9135" s="19"/>
      <c r="L9135" s="20"/>
    </row>
    <row r="9136" spans="1:12" outlineLevel="2">
      <c r="A9136" s="21"/>
      <c r="B9136" s="12" t="str">
        <f>IFERROR(VLOOKUP(D9136,'[1]Перечень товаров'!$A$2:$I9525,2,0),"")</f>
        <v>м218</v>
      </c>
      <c r="C9136" s="12" t="str">
        <f>IFERROR(VLOOKUP(D9136,'[1]Перечень товаров'!$A$2:$I9525,3,0),"")</f>
        <v>Мебель</v>
      </c>
      <c r="D9136" s="22" t="s">
        <v>872</v>
      </c>
      <c r="E9136" s="203"/>
      <c r="F9136" s="203"/>
      <c r="G9136" s="24">
        <v>2</v>
      </c>
      <c r="H9136" s="24"/>
      <c r="I9136" s="25"/>
      <c r="J9136" s="25"/>
      <c r="K9136" s="19"/>
      <c r="L9136" s="20"/>
    </row>
    <row r="9137" spans="1:12" outlineLevel="2">
      <c r="A9137" s="21"/>
      <c r="B9137" s="12" t="str">
        <f>IFERROR(VLOOKUP(D9137,'[1]Перечень товаров'!$A$2:$I9525,2,0),"")</f>
        <v>м219</v>
      </c>
      <c r="C9137" s="12" t="str">
        <f>IFERROR(VLOOKUP(D9137,'[1]Перечень товаров'!$A$2:$I9525,3,0),"")</f>
        <v>Мебель</v>
      </c>
      <c r="D9137" s="22" t="s">
        <v>873</v>
      </c>
      <c r="E9137" s="203"/>
      <c r="F9137" s="203"/>
      <c r="G9137" s="24">
        <v>4</v>
      </c>
      <c r="H9137" s="24"/>
      <c r="I9137" s="25"/>
      <c r="J9137" s="25"/>
      <c r="K9137" s="19"/>
      <c r="L9137" s="20"/>
    </row>
    <row r="9138" spans="1:12" outlineLevel="2">
      <c r="A9138" s="21"/>
      <c r="B9138" s="12" t="str">
        <f>IFERROR(VLOOKUP(D9138,'[1]Перечень товаров'!$A$2:$I9525,2,0),"")</f>
        <v>м220</v>
      </c>
      <c r="C9138" s="12" t="str">
        <f>IFERROR(VLOOKUP(D9138,'[1]Перечень товаров'!$A$2:$I9525,3,0),"")</f>
        <v>Мебель</v>
      </c>
      <c r="D9138" s="22" t="s">
        <v>874</v>
      </c>
      <c r="E9138" s="203"/>
      <c r="F9138" s="203"/>
      <c r="G9138" s="24">
        <v>1</v>
      </c>
      <c r="H9138" s="24"/>
      <c r="I9138" s="25"/>
      <c r="J9138" s="25"/>
      <c r="K9138" s="19"/>
      <c r="L9138" s="20"/>
    </row>
    <row r="9139" spans="1:12" outlineLevel="2">
      <c r="A9139" s="21"/>
      <c r="B9139" s="12" t="str">
        <f>IFERROR(VLOOKUP(D9139,'[1]Перечень товаров'!$A$2:$I9525,2,0),"")</f>
        <v>тм77</v>
      </c>
      <c r="C9139" s="12" t="str">
        <f>IFERROR(VLOOKUP(D9139,'[1]Перечень товаров'!$A$2:$I9525,3,0),"")</f>
        <v>Техника муз</v>
      </c>
      <c r="D9139" s="22" t="s">
        <v>875</v>
      </c>
      <c r="E9139" s="203"/>
      <c r="F9139" s="203"/>
      <c r="G9139" s="24">
        <v>1</v>
      </c>
      <c r="H9139" s="24"/>
      <c r="I9139" s="25"/>
      <c r="J9139" s="25"/>
      <c r="K9139" s="19"/>
      <c r="L9139" s="20"/>
    </row>
    <row r="9140" spans="1:12" outlineLevel="2">
      <c r="A9140" s="21"/>
      <c r="B9140" s="12" t="str">
        <f>IFERROR(VLOOKUP(D9140,'[1]Перечень товаров'!$A$2:$I9525,2,0),"")</f>
        <v>м137</v>
      </c>
      <c r="C9140" s="12" t="str">
        <f>IFERROR(VLOOKUP(D9140,'[1]Перечень товаров'!$A$2:$I9525,3,0),"")</f>
        <v>мебель</v>
      </c>
      <c r="D9140" s="22" t="s">
        <v>876</v>
      </c>
      <c r="E9140" s="203"/>
      <c r="F9140" s="203"/>
      <c r="G9140" s="24">
        <v>1</v>
      </c>
      <c r="H9140" s="24"/>
      <c r="I9140" s="25"/>
      <c r="J9140" s="25"/>
      <c r="K9140" s="19"/>
      <c r="L9140" s="20"/>
    </row>
    <row r="9141" spans="1:12" outlineLevel="2">
      <c r="A9141" s="21"/>
      <c r="B9141" s="12" t="str">
        <f>IFERROR(VLOOKUP(D9141,'[1]Перечень товаров'!$A$2:$I9525,2,0),"")</f>
        <v>м187</v>
      </c>
      <c r="C9141" s="12" t="str">
        <f>IFERROR(VLOOKUP(D9141,'[1]Перечень товаров'!$A$2:$I9525,3,0),"")</f>
        <v>мебель</v>
      </c>
      <c r="D9141" s="22" t="s">
        <v>877</v>
      </c>
      <c r="E9141" s="203"/>
      <c r="F9141" s="203"/>
      <c r="G9141" s="24">
        <v>1</v>
      </c>
      <c r="H9141" s="24"/>
      <c r="I9141" s="25"/>
      <c r="J9141" s="25"/>
      <c r="K9141" s="19"/>
      <c r="L9141" s="20"/>
    </row>
    <row r="9142" spans="1:12" outlineLevel="2">
      <c r="A9142" s="21"/>
      <c r="B9142" s="12" t="str">
        <f>IFERROR(VLOOKUP(D9142,'[1]Перечень товаров'!$A$2:$I9525,2,0),"")</f>
        <v>м30</v>
      </c>
      <c r="C9142" s="12" t="str">
        <f>IFERROR(VLOOKUP(D9142,'[1]Перечень товаров'!$A$2:$I9525,3,0),"")</f>
        <v>Мебель</v>
      </c>
      <c r="D9142" s="22" t="s">
        <v>181</v>
      </c>
      <c r="E9142" s="203"/>
      <c r="F9142" s="203"/>
      <c r="G9142" s="24">
        <v>2</v>
      </c>
      <c r="H9142" s="24"/>
      <c r="I9142" s="25"/>
      <c r="J9142" s="25"/>
      <c r="K9142" s="19"/>
      <c r="L9142" s="20"/>
    </row>
    <row r="9143" spans="1:12" outlineLevel="2">
      <c r="A9143" s="21"/>
      <c r="B9143" s="12" t="str">
        <f>IFERROR(VLOOKUP(D9143,'[1]Перечень товаров'!$A$2:$I9525,2,0),"")</f>
        <v>м221</v>
      </c>
      <c r="C9143" s="12" t="str">
        <f>IFERROR(VLOOKUP(D9143,'[1]Перечень товаров'!$A$2:$I9525,3,0),"")</f>
        <v>Мебель</v>
      </c>
      <c r="D9143" s="22" t="s">
        <v>878</v>
      </c>
      <c r="E9143" s="203"/>
      <c r="F9143" s="203"/>
      <c r="G9143" s="24">
        <v>2</v>
      </c>
      <c r="H9143" s="24"/>
      <c r="I9143" s="25"/>
      <c r="J9143" s="25"/>
      <c r="K9143" s="19"/>
      <c r="L9143" s="20"/>
    </row>
    <row r="9144" spans="1:12" ht="12.75" outlineLevel="1">
      <c r="A9144" s="11"/>
      <c r="B9144" s="12" t="str">
        <f>IFERROR(VLOOKUP(D9144,'[1]Перечень товаров'!$A$2:$I9525,2,0),"")</f>
        <v/>
      </c>
      <c r="C9144" s="12" t="str">
        <f>IFERROR(VLOOKUP(D9144,'[1]Перечень товаров'!$A$2:$I9525,3,0),"")</f>
        <v/>
      </c>
      <c r="D9144" s="27" t="s">
        <v>521</v>
      </c>
      <c r="E9144" s="99">
        <v>46083</v>
      </c>
      <c r="F9144" s="99"/>
      <c r="G9144" s="100"/>
      <c r="H9144" s="100"/>
      <c r="I9144" s="101"/>
      <c r="J9144" s="101"/>
      <c r="K9144" s="19"/>
      <c r="L9144" s="20"/>
    </row>
    <row r="9145" spans="1:12" outlineLevel="2">
      <c r="A9145" s="22"/>
      <c r="B9145" s="12" t="str">
        <f>IFERROR(VLOOKUP(D9145,'[1]Перечень товаров'!$A$2:$I9525,2,0),"")</f>
        <v>п25</v>
      </c>
      <c r="C9145" s="12" t="str">
        <f>IFERROR(VLOOKUP(D9145,'[1]Перечень товаров'!$A$2:$I9525,3,0),"")</f>
        <v>Прочее</v>
      </c>
      <c r="D9145" s="22" t="s">
        <v>360</v>
      </c>
      <c r="E9145" s="102"/>
      <c r="F9145" s="102"/>
      <c r="G9145" s="48">
        <v>3</v>
      </c>
      <c r="H9145" s="48"/>
      <c r="I9145" s="49"/>
      <c r="J9145" s="49"/>
      <c r="K9145" s="33"/>
      <c r="L9145" s="20"/>
    </row>
    <row r="9146" spans="1:12" outlineLevel="2">
      <c r="A9146" s="21"/>
      <c r="B9146" s="12" t="str">
        <f>IFERROR(VLOOKUP(D9146,'[1]Перечень товаров'!$A$2:$I9525,2,0),"")</f>
        <v>п26</v>
      </c>
      <c r="C9146" s="12" t="str">
        <f>IFERROR(VLOOKUP(D9146,'[1]Перечень товаров'!$A$2:$I9525,3,0),"")</f>
        <v>Прочее</v>
      </c>
      <c r="D9146" s="22" t="s">
        <v>361</v>
      </c>
      <c r="E9146" s="102"/>
      <c r="F9146" s="102"/>
      <c r="G9146" s="48">
        <v>2</v>
      </c>
      <c r="H9146" s="48"/>
      <c r="I9146" s="49"/>
      <c r="J9146" s="49"/>
      <c r="K9146" s="33"/>
      <c r="L9146" s="20"/>
    </row>
    <row r="9147" spans="1:12" outlineLevel="2">
      <c r="A9147" s="21"/>
      <c r="B9147" s="12" t="str">
        <f>IFERROR(VLOOKUP(D9147,'[1]Перечень товаров'!$A$2:$I9525,2,0),"")</f>
        <v>п27</v>
      </c>
      <c r="C9147" s="12" t="str">
        <f>IFERROR(VLOOKUP(D9147,'[1]Перечень товаров'!$A$2:$I9525,3,0),"")</f>
        <v>Прочее</v>
      </c>
      <c r="D9147" s="22" t="s">
        <v>362</v>
      </c>
      <c r="E9147" s="102"/>
      <c r="F9147" s="102"/>
      <c r="G9147" s="48">
        <v>2</v>
      </c>
      <c r="H9147" s="48"/>
      <c r="I9147" s="49"/>
      <c r="J9147" s="49"/>
      <c r="K9147" s="33"/>
      <c r="L9147" s="20"/>
    </row>
    <row r="9148" spans="1:12" outlineLevel="2">
      <c r="A9148" s="21"/>
      <c r="B9148" s="12" t="str">
        <f>IFERROR(VLOOKUP(D9148,'[1]Перечень товаров'!$A$2:$I9525,2,0),"")</f>
        <v>п28</v>
      </c>
      <c r="C9148" s="12" t="str">
        <f>IFERROR(VLOOKUP(D9148,'[1]Перечень товаров'!$A$2:$I9525,3,0),"")</f>
        <v>Прочее</v>
      </c>
      <c r="D9148" s="22" t="s">
        <v>363</v>
      </c>
      <c r="E9148" s="102"/>
      <c r="F9148" s="102"/>
      <c r="G9148" s="48">
        <v>1</v>
      </c>
      <c r="H9148" s="48"/>
      <c r="I9148" s="49"/>
      <c r="J9148" s="49"/>
      <c r="K9148" s="33"/>
      <c r="L9148" s="20"/>
    </row>
    <row r="9149" spans="1:12" outlineLevel="2">
      <c r="A9149" s="21"/>
      <c r="B9149" s="12" t="str">
        <f>IFERROR(VLOOKUP(D9149,'[1]Перечень товаров'!$A$2:$I9525,2,0),"")</f>
        <v>п29</v>
      </c>
      <c r="C9149" s="12" t="str">
        <f>IFERROR(VLOOKUP(D9149,'[1]Перечень товаров'!$A$2:$I9525,3,0),"")</f>
        <v>Прочее</v>
      </c>
      <c r="D9149" s="22" t="s">
        <v>364</v>
      </c>
      <c r="E9149" s="102"/>
      <c r="F9149" s="102"/>
      <c r="G9149" s="48">
        <v>6</v>
      </c>
      <c r="H9149" s="48"/>
      <c r="I9149" s="49"/>
      <c r="J9149" s="49"/>
      <c r="K9149" s="33"/>
      <c r="L9149" s="20"/>
    </row>
    <row r="9150" spans="1:12" outlineLevel="2">
      <c r="A9150" s="21"/>
      <c r="B9150" s="12" t="str">
        <f>IFERROR(VLOOKUP(D9150,'[1]Перечень товаров'!$A$2:$I9525,2,0),"")</f>
        <v>п30</v>
      </c>
      <c r="C9150" s="12" t="str">
        <f>IFERROR(VLOOKUP(D9150,'[1]Перечень товаров'!$A$2:$I9525,3,0),"")</f>
        <v>Прочее</v>
      </c>
      <c r="D9150" s="22" t="s">
        <v>365</v>
      </c>
      <c r="E9150" s="102"/>
      <c r="F9150" s="102"/>
      <c r="G9150" s="48">
        <v>2</v>
      </c>
      <c r="H9150" s="48"/>
      <c r="I9150" s="49"/>
      <c r="J9150" s="49"/>
      <c r="K9150" s="33"/>
      <c r="L9150" s="20"/>
    </row>
    <row r="9151" spans="1:12" ht="31.5" outlineLevel="2">
      <c r="A9151" s="21"/>
      <c r="B9151" s="12" t="str">
        <f>IFERROR(VLOOKUP(D9151,'[1]Перечень товаров'!$A$2:$I9525,2,0),"")</f>
        <v>п31</v>
      </c>
      <c r="C9151" s="12" t="str">
        <f>IFERROR(VLOOKUP(D9151,'[1]Перечень товаров'!$A$2:$I9525,3,0),"")</f>
        <v>Прочее</v>
      </c>
      <c r="D9151" s="22" t="s">
        <v>366</v>
      </c>
      <c r="E9151" s="102"/>
      <c r="F9151" s="102"/>
      <c r="G9151" s="48">
        <v>1</v>
      </c>
      <c r="H9151" s="48"/>
      <c r="I9151" s="49"/>
      <c r="J9151" s="49"/>
      <c r="K9151" s="33"/>
      <c r="L9151" s="20"/>
    </row>
    <row r="9152" spans="1:12" ht="31.5" outlineLevel="2">
      <c r="A9152" s="21"/>
      <c r="B9152" s="12" t="str">
        <f>IFERROR(VLOOKUP(D9152,'[1]Перечень товаров'!$A$2:$I9525,2,0),"")</f>
        <v>п32</v>
      </c>
      <c r="C9152" s="12" t="str">
        <f>IFERROR(VLOOKUP(D9152,'[1]Перечень товаров'!$A$2:$I9525,3,0),"")</f>
        <v>Прочее</v>
      </c>
      <c r="D9152" s="22" t="s">
        <v>367</v>
      </c>
      <c r="E9152" s="102"/>
      <c r="F9152" s="102"/>
      <c r="G9152" s="48">
        <v>2</v>
      </c>
      <c r="H9152" s="48"/>
      <c r="I9152" s="49"/>
      <c r="J9152" s="49"/>
      <c r="K9152" s="33"/>
      <c r="L9152" s="20"/>
    </row>
    <row r="9153" spans="1:12" ht="12.75" outlineLevel="1">
      <c r="A9153" s="11"/>
      <c r="B9153" s="12" t="str">
        <f>IFERROR(VLOOKUP(D9153,'[1]Перечень товаров'!$A$2:$I9525,2,0),"")</f>
        <v/>
      </c>
      <c r="C9153" s="12" t="str">
        <f>IFERROR(VLOOKUP(D9153,'[1]Перечень товаров'!$A$2:$I9525,3,0),"")</f>
        <v/>
      </c>
      <c r="D9153" s="27" t="s">
        <v>879</v>
      </c>
      <c r="E9153" s="99">
        <v>46084</v>
      </c>
      <c r="F9153" s="99"/>
      <c r="G9153" s="100"/>
      <c r="H9153" s="100"/>
      <c r="I9153" s="101"/>
      <c r="J9153" s="101"/>
      <c r="K9153" s="19"/>
      <c r="L9153" s="20"/>
    </row>
    <row r="9154" spans="1:12" outlineLevel="2">
      <c r="A9154" s="43"/>
      <c r="B9154" s="12" t="str">
        <f>IFERROR(VLOOKUP(D9154,'[1]Перечень товаров'!$A$2:$I9525,2,0),"")</f>
        <v>м222</v>
      </c>
      <c r="C9154" s="12" t="str">
        <f>IFERROR(VLOOKUP(D9154,'[1]Перечень товаров'!$A$2:$I9525,3,0),"")</f>
        <v>Мебель</v>
      </c>
      <c r="D9154" s="44" t="s">
        <v>880</v>
      </c>
      <c r="E9154" s="102"/>
      <c r="F9154" s="102"/>
      <c r="G9154" s="24">
        <v>1</v>
      </c>
      <c r="H9154" s="24"/>
      <c r="I9154" s="25"/>
      <c r="J9154" s="25"/>
      <c r="K9154" s="19"/>
      <c r="L9154" s="20"/>
    </row>
    <row r="9155" spans="1:12" outlineLevel="2">
      <c r="A9155" s="43"/>
      <c r="B9155" s="12" t="str">
        <f>IFERROR(VLOOKUP(D9155,'[1]Перечень товаров'!$A$2:$I9525,2,0),"")</f>
        <v>м223</v>
      </c>
      <c r="C9155" s="12" t="str">
        <f>IFERROR(VLOOKUP(D9155,'[1]Перечень товаров'!$A$2:$I9525,3,0),"")</f>
        <v>Мебель</v>
      </c>
      <c r="D9155" s="44" t="s">
        <v>881</v>
      </c>
      <c r="E9155" s="102"/>
      <c r="F9155" s="102"/>
      <c r="G9155" s="24">
        <v>1</v>
      </c>
      <c r="H9155" s="24"/>
      <c r="I9155" s="25"/>
      <c r="J9155" s="25"/>
      <c r="K9155" s="19"/>
      <c r="L9155" s="20"/>
    </row>
    <row r="9156" spans="1:12" outlineLevel="2">
      <c r="A9156" s="43"/>
      <c r="B9156" s="12" t="str">
        <f>IFERROR(VLOOKUP(D9156,'[1]Перечень товаров'!$A$2:$I9525,2,0),"")</f>
        <v>м224</v>
      </c>
      <c r="C9156" s="12" t="str">
        <f>IFERROR(VLOOKUP(D9156,'[1]Перечень товаров'!$A$2:$I9525,3,0),"")</f>
        <v>Мебель</v>
      </c>
      <c r="D9156" s="44" t="s">
        <v>882</v>
      </c>
      <c r="E9156" s="102"/>
      <c r="F9156" s="102"/>
      <c r="G9156" s="24">
        <v>1</v>
      </c>
      <c r="H9156" s="24"/>
      <c r="I9156" s="25"/>
      <c r="J9156" s="25"/>
      <c r="K9156" s="19"/>
      <c r="L9156" s="20"/>
    </row>
    <row r="9157" spans="1:12" outlineLevel="2">
      <c r="A9157" s="43"/>
      <c r="B9157" s="12" t="str">
        <f>IFERROR(VLOOKUP(D9157,'[1]Перечень товаров'!$A$2:$I9525,2,0),"")</f>
        <v>м225</v>
      </c>
      <c r="C9157" s="12" t="str">
        <f>IFERROR(VLOOKUP(D9157,'[1]Перечень товаров'!$A$2:$I9525,3,0),"")</f>
        <v>Мебель</v>
      </c>
      <c r="D9157" s="44" t="s">
        <v>883</v>
      </c>
      <c r="E9157" s="102"/>
      <c r="F9157" s="102"/>
      <c r="G9157" s="24">
        <v>1</v>
      </c>
      <c r="H9157" s="24"/>
      <c r="I9157" s="25"/>
      <c r="J9157" s="25"/>
      <c r="K9157" s="19"/>
      <c r="L9157" s="20"/>
    </row>
    <row r="9158" spans="1:12" outlineLevel="2">
      <c r="A9158" s="43"/>
      <c r="B9158" s="12" t="str">
        <f>IFERROR(VLOOKUP(D9158,'[1]Перечень товаров'!$A$2:$I9525,2,0),"")</f>
        <v>п28</v>
      </c>
      <c r="C9158" s="12" t="str">
        <f>IFERROR(VLOOKUP(D9158,'[1]Перечень товаров'!$A$2:$I9525,3,0),"")</f>
        <v>Прочее</v>
      </c>
      <c r="D9158" s="44" t="s">
        <v>363</v>
      </c>
      <c r="E9158" s="102"/>
      <c r="F9158" s="102"/>
      <c r="G9158" s="24">
        <v>1</v>
      </c>
      <c r="H9158" s="24"/>
      <c r="I9158" s="25"/>
      <c r="J9158" s="25"/>
      <c r="K9158" s="19"/>
      <c r="L9158" s="20"/>
    </row>
    <row r="9159" spans="1:12" outlineLevel="2">
      <c r="A9159" s="43"/>
      <c r="B9159" s="12" t="str">
        <f>IFERROR(VLOOKUP(D9159,'[1]Перечень товаров'!$A$2:$I9525,2,0),"")</f>
        <v>м226</v>
      </c>
      <c r="C9159" s="12" t="str">
        <f>IFERROR(VLOOKUP(D9159,'[1]Перечень товаров'!$A$2:$I9525,3,0),"")</f>
        <v>Мебель</v>
      </c>
      <c r="D9159" s="44" t="s">
        <v>884</v>
      </c>
      <c r="E9159" s="102"/>
      <c r="F9159" s="102"/>
      <c r="G9159" s="24">
        <v>1</v>
      </c>
      <c r="H9159" s="24"/>
      <c r="I9159" s="25"/>
      <c r="J9159" s="25"/>
      <c r="K9159" s="19"/>
      <c r="L9159" s="20"/>
    </row>
    <row r="9160" spans="1:12" outlineLevel="1">
      <c r="A9160" s="21"/>
      <c r="B9160" s="12" t="str">
        <f>IFERROR(VLOOKUP(D9160,'[1]Перечень товаров'!$A$2:$I9525,2,0),"")</f>
        <v/>
      </c>
      <c r="C9160" s="12" t="str">
        <f>IFERROR(VLOOKUP(D9160,'[1]Перечень товаров'!$A$2:$I9525,3,0),"")</f>
        <v/>
      </c>
      <c r="D9160" s="22" t="s">
        <v>2120</v>
      </c>
      <c r="E9160" s="23" t="s">
        <v>375</v>
      </c>
      <c r="F9160" s="23"/>
      <c r="G9160" s="24"/>
      <c r="H9160" s="24"/>
      <c r="I9160" s="25"/>
      <c r="J9160" s="25"/>
      <c r="K9160" s="19"/>
      <c r="L9160" s="20"/>
    </row>
    <row r="9161" spans="1:12" ht="12.75" outlineLevel="1">
      <c r="A9161" s="11"/>
      <c r="B9161" s="12" t="str">
        <f>IFERROR(VLOOKUP(D9161,'[1]Перечень товаров'!$A$2:$I9525,2,0),"")</f>
        <v/>
      </c>
      <c r="C9161" s="12" t="str">
        <f>IFERROR(VLOOKUP(D9161,'[1]Перечень товаров'!$A$2:$I9525,3,0),"")</f>
        <v/>
      </c>
      <c r="D9161" s="27" t="s">
        <v>2114</v>
      </c>
      <c r="E9161" s="99">
        <v>46192</v>
      </c>
      <c r="F9161" s="99"/>
      <c r="G9161" s="100"/>
      <c r="H9161" s="100"/>
      <c r="I9161" s="101"/>
      <c r="J9161" s="101"/>
      <c r="K9161" s="19"/>
      <c r="L9161" s="20"/>
    </row>
    <row r="9162" spans="1:12" outlineLevel="2">
      <c r="A9162" s="21"/>
      <c r="B9162" s="12" t="str">
        <f>IFERROR(VLOOKUP(D9162,'[1]Перечень товаров'!$A$2:$I9525,2,0),"")</f>
        <v>тм77</v>
      </c>
      <c r="C9162" s="12" t="str">
        <f>IFERROR(VLOOKUP(D9162,'[1]Перечень товаров'!$A$2:$I9525,3,0),"")</f>
        <v>Техника муз</v>
      </c>
      <c r="D9162" s="22" t="s">
        <v>875</v>
      </c>
      <c r="E9162" s="23"/>
      <c r="F9162" s="23"/>
      <c r="G9162" s="24">
        <v>2</v>
      </c>
      <c r="H9162" s="24"/>
      <c r="I9162" s="25"/>
      <c r="J9162" s="25"/>
      <c r="K9162" s="19"/>
      <c r="L9162" s="20"/>
    </row>
    <row r="9163" spans="1:12" outlineLevel="2">
      <c r="A9163" s="21"/>
      <c r="B9163" s="12" t="str">
        <f>IFERROR(VLOOKUP(D9163,'[1]Перечень товаров'!$A$2:$I9525,2,0),"")</f>
        <v>м137</v>
      </c>
      <c r="C9163" s="12" t="str">
        <f>IFERROR(VLOOKUP(D9163,'[1]Перечень товаров'!$A$2:$I9525,3,0),"")</f>
        <v>мебель</v>
      </c>
      <c r="D9163" s="22" t="s">
        <v>876</v>
      </c>
      <c r="E9163" s="23"/>
      <c r="F9163" s="23"/>
      <c r="G9163" s="24">
        <v>2</v>
      </c>
      <c r="H9163" s="24"/>
      <c r="I9163" s="25"/>
      <c r="J9163" s="25"/>
      <c r="K9163" s="19"/>
      <c r="L9163" s="20"/>
    </row>
    <row r="9164" spans="1:12" outlineLevel="2">
      <c r="A9164" s="21"/>
      <c r="B9164" s="12" t="str">
        <f>IFERROR(VLOOKUP(D9164,'[1]Перечень товаров'!$A$2:$I9525,2,0),"")</f>
        <v>м187</v>
      </c>
      <c r="C9164" s="12" t="str">
        <f>IFERROR(VLOOKUP(D9164,'[1]Перечень товаров'!$A$2:$I9525,3,0),"")</f>
        <v>мебель</v>
      </c>
      <c r="D9164" s="22" t="s">
        <v>877</v>
      </c>
      <c r="E9164" s="23"/>
      <c r="F9164" s="23"/>
      <c r="G9164" s="24">
        <v>2</v>
      </c>
      <c r="H9164" s="24"/>
      <c r="I9164" s="25"/>
      <c r="J9164" s="25"/>
      <c r="K9164" s="19"/>
      <c r="L9164" s="20"/>
    </row>
    <row r="9165" spans="1:12" outlineLevel="2">
      <c r="A9165" s="21"/>
      <c r="B9165" s="12" t="str">
        <f>IFERROR(VLOOKUP(D9165,'[1]Перечень товаров'!$A$2:$I9525,2,0),"")</f>
        <v>м19</v>
      </c>
      <c r="C9165" s="12" t="str">
        <f>IFERROR(VLOOKUP(D9165,'[1]Перечень товаров'!$A$2:$I9525,3,0),"")</f>
        <v>Мебель</v>
      </c>
      <c r="D9165" s="22" t="s">
        <v>53</v>
      </c>
      <c r="E9165" s="23"/>
      <c r="F9165" s="23"/>
      <c r="G9165" s="24">
        <v>4</v>
      </c>
      <c r="H9165" s="24"/>
      <c r="I9165" s="25"/>
      <c r="J9165" s="25"/>
      <c r="K9165" s="19"/>
      <c r="L9165" s="20"/>
    </row>
    <row r="9166" spans="1:12" outlineLevel="2">
      <c r="A9166" s="21"/>
      <c r="B9166" s="12" t="str">
        <f>IFERROR(VLOOKUP(D9166,'[1]Перечень товаров'!$A$2:$I9525,2,0),"")</f>
        <v>м221</v>
      </c>
      <c r="C9166" s="12" t="str">
        <f>IFERROR(VLOOKUP(D9166,'[1]Перечень товаров'!$A$2:$I9525,3,0),"")</f>
        <v>Мебель</v>
      </c>
      <c r="D9166" s="22" t="s">
        <v>878</v>
      </c>
      <c r="E9166" s="23"/>
      <c r="F9166" s="23"/>
      <c r="G9166" s="24">
        <v>1</v>
      </c>
      <c r="H9166" s="24"/>
      <c r="I9166" s="25"/>
      <c r="J9166" s="25"/>
      <c r="K9166" s="19"/>
      <c r="L9166" s="20"/>
    </row>
    <row r="9167" spans="1:12" ht="31.5" outlineLevel="2">
      <c r="A9167" s="21"/>
      <c r="B9167" s="12" t="str">
        <f>IFERROR(VLOOKUP(D9167,'[1]Перечень товаров'!$A$2:$I9525,2,0),"")</f>
        <v>м138</v>
      </c>
      <c r="C9167" s="12" t="str">
        <f>IFERROR(VLOOKUP(D9167,'[1]Перечень товаров'!$A$2:$I9525,3,0),"")</f>
        <v>мебель</v>
      </c>
      <c r="D9167" s="22" t="s">
        <v>1573</v>
      </c>
      <c r="E9167" s="23"/>
      <c r="F9167" s="23"/>
      <c r="G9167" s="24">
        <v>1</v>
      </c>
      <c r="H9167" s="24"/>
      <c r="I9167" s="25"/>
      <c r="J9167" s="25"/>
      <c r="K9167" s="19"/>
      <c r="L9167" s="20"/>
    </row>
    <row r="9168" spans="1:12" ht="12.75" outlineLevel="1">
      <c r="A9168" s="11"/>
      <c r="B9168" s="12" t="str">
        <f>IFERROR(VLOOKUP(D9168,'[1]Перечень товаров'!$A$2:$I9525,2,0),"")</f>
        <v/>
      </c>
      <c r="C9168" s="12" t="str">
        <f>IFERROR(VLOOKUP(D9168,'[1]Перечень товаров'!$A$2:$I9525,3,0),"")</f>
        <v/>
      </c>
      <c r="D9168" s="27" t="s">
        <v>2101</v>
      </c>
      <c r="E9168" s="14" t="s">
        <v>2115</v>
      </c>
      <c r="F9168" s="14"/>
      <c r="G9168" s="16"/>
      <c r="H9168" s="16"/>
      <c r="I9168" s="18"/>
      <c r="J9168" s="18"/>
      <c r="K9168" s="19"/>
      <c r="L9168" s="20"/>
    </row>
    <row r="9169" spans="1:12" outlineLevel="2">
      <c r="A9169" s="21"/>
      <c r="B9169" s="12" t="str">
        <f>IFERROR(VLOOKUP(D9169,'[1]Перечень товаров'!$A$2:$I9525,2,0),"")</f>
        <v>тм77</v>
      </c>
      <c r="C9169" s="12" t="str">
        <f>IFERROR(VLOOKUP(D9169,'[1]Перечень товаров'!$A$2:$I9525,3,0),"")</f>
        <v>Техника муз</v>
      </c>
      <c r="D9169" s="22" t="s">
        <v>875</v>
      </c>
      <c r="E9169" s="23"/>
      <c r="F9169" s="23"/>
      <c r="G9169" s="24">
        <v>2</v>
      </c>
      <c r="H9169" s="24"/>
      <c r="I9169" s="25"/>
      <c r="J9169" s="25"/>
      <c r="K9169" s="19"/>
      <c r="L9169" s="20"/>
    </row>
    <row r="9170" spans="1:12" outlineLevel="2">
      <c r="A9170" s="21"/>
      <c r="B9170" s="12" t="str">
        <f>IFERROR(VLOOKUP(D9170,'[1]Перечень товаров'!$A$2:$I9525,2,0),"")</f>
        <v>м137</v>
      </c>
      <c r="C9170" s="12" t="str">
        <f>IFERROR(VLOOKUP(D9170,'[1]Перечень товаров'!$A$2:$I9525,3,0),"")</f>
        <v>мебель</v>
      </c>
      <c r="D9170" s="22" t="s">
        <v>876</v>
      </c>
      <c r="E9170" s="23"/>
      <c r="F9170" s="23"/>
      <c r="G9170" s="24">
        <v>2</v>
      </c>
      <c r="H9170" s="24"/>
      <c r="I9170" s="25"/>
      <c r="J9170" s="25"/>
      <c r="K9170" s="19"/>
      <c r="L9170" s="20"/>
    </row>
    <row r="9171" spans="1:12" outlineLevel="2">
      <c r="A9171" s="21"/>
      <c r="B9171" s="12" t="str">
        <f>IFERROR(VLOOKUP(D9171,'[1]Перечень товаров'!$A$2:$I9525,2,0),"")</f>
        <v>м187</v>
      </c>
      <c r="C9171" s="12" t="str">
        <f>IFERROR(VLOOKUP(D9171,'[1]Перечень товаров'!$A$2:$I9525,3,0),"")</f>
        <v>мебель</v>
      </c>
      <c r="D9171" s="22" t="s">
        <v>877</v>
      </c>
      <c r="E9171" s="23"/>
      <c r="F9171" s="23"/>
      <c r="G9171" s="24">
        <v>2</v>
      </c>
      <c r="H9171" s="24"/>
      <c r="I9171" s="25"/>
      <c r="J9171" s="25"/>
      <c r="K9171" s="19"/>
      <c r="L9171" s="20"/>
    </row>
    <row r="9172" spans="1:12" outlineLevel="2">
      <c r="A9172" s="21"/>
      <c r="B9172" s="12" t="str">
        <f>IFERROR(VLOOKUP(D9172,'[1]Перечень товаров'!$A$2:$I9525,2,0),"")</f>
        <v>м19</v>
      </c>
      <c r="C9172" s="12" t="str">
        <f>IFERROR(VLOOKUP(D9172,'[1]Перечень товаров'!$A$2:$I9525,3,0),"")</f>
        <v>Мебель</v>
      </c>
      <c r="D9172" s="22" t="s">
        <v>53</v>
      </c>
      <c r="E9172" s="23"/>
      <c r="F9172" s="23"/>
      <c r="G9172" s="24">
        <v>4</v>
      </c>
      <c r="H9172" s="24"/>
      <c r="I9172" s="25"/>
      <c r="J9172" s="25"/>
      <c r="K9172" s="19"/>
      <c r="L9172" s="20"/>
    </row>
    <row r="9173" spans="1:12" outlineLevel="2">
      <c r="A9173" s="21"/>
      <c r="B9173" s="12" t="str">
        <f>IFERROR(VLOOKUP(D9173,'[1]Перечень товаров'!$A$2:$I9525,2,0),"")</f>
        <v>м221</v>
      </c>
      <c r="C9173" s="12" t="str">
        <f>IFERROR(VLOOKUP(D9173,'[1]Перечень товаров'!$A$2:$I9525,3,0),"")</f>
        <v>Мебель</v>
      </c>
      <c r="D9173" s="22" t="s">
        <v>878</v>
      </c>
      <c r="E9173" s="23"/>
      <c r="F9173" s="23"/>
      <c r="G9173" s="24">
        <v>1</v>
      </c>
      <c r="H9173" s="24"/>
      <c r="I9173" s="25"/>
      <c r="J9173" s="25"/>
      <c r="K9173" s="19"/>
      <c r="L9173" s="20"/>
    </row>
    <row r="9174" spans="1:12" ht="31.5" outlineLevel="2">
      <c r="A9174" s="21"/>
      <c r="B9174" s="12" t="str">
        <f>IFERROR(VLOOKUP(D9174,'[1]Перечень товаров'!$A$2:$I9525,2,0),"")</f>
        <v>м138</v>
      </c>
      <c r="C9174" s="12" t="str">
        <f>IFERROR(VLOOKUP(D9174,'[1]Перечень товаров'!$A$2:$I9525,3,0),"")</f>
        <v>мебель</v>
      </c>
      <c r="D9174" s="22" t="s">
        <v>1573</v>
      </c>
      <c r="E9174" s="23"/>
      <c r="F9174" s="23"/>
      <c r="G9174" s="24">
        <v>1</v>
      </c>
      <c r="H9174" s="24"/>
      <c r="I9174" s="25"/>
      <c r="J9174" s="25"/>
      <c r="K9174" s="19"/>
      <c r="L9174" s="20"/>
    </row>
    <row r="9175" spans="1:12" ht="12.75" outlineLevel="1">
      <c r="A9175" s="11"/>
      <c r="B9175" s="12" t="str">
        <f>IFERROR(VLOOKUP(D9175,'[1]Перечень товаров'!$A$2:$I9525,2,0),"")</f>
        <v/>
      </c>
      <c r="C9175" s="12" t="str">
        <f>IFERROR(VLOOKUP(D9175,'[1]Перечень товаров'!$A$2:$I9525,3,0),"")</f>
        <v/>
      </c>
      <c r="D9175" s="27" t="s">
        <v>2101</v>
      </c>
      <c r="E9175" s="14" t="s">
        <v>2115</v>
      </c>
      <c r="F9175" s="14"/>
      <c r="G9175" s="17"/>
      <c r="H9175" s="17"/>
      <c r="I9175" s="57"/>
      <c r="J9175" s="57"/>
      <c r="K9175" s="19"/>
      <c r="L9175" s="20"/>
    </row>
    <row r="9176" spans="1:12" outlineLevel="2">
      <c r="A9176" s="21"/>
      <c r="B9176" s="12" t="str">
        <f>IFERROR(VLOOKUP(D9176,'[1]Перечень товаров'!$A$2:$I9525,2,0),"")</f>
        <v>тм77</v>
      </c>
      <c r="C9176" s="12" t="str">
        <f>IFERROR(VLOOKUP(D9176,'[1]Перечень товаров'!$A$2:$I9525,3,0),"")</f>
        <v>Техника муз</v>
      </c>
      <c r="D9176" s="22" t="s">
        <v>875</v>
      </c>
      <c r="E9176" s="23"/>
      <c r="F9176" s="23"/>
      <c r="G9176" s="24">
        <v>2</v>
      </c>
      <c r="H9176" s="24"/>
      <c r="I9176" s="25"/>
      <c r="J9176" s="25"/>
      <c r="K9176" s="19"/>
      <c r="L9176" s="20"/>
    </row>
    <row r="9177" spans="1:12" outlineLevel="2">
      <c r="A9177" s="21"/>
      <c r="B9177" s="12" t="str">
        <f>IFERROR(VLOOKUP(D9177,'[1]Перечень товаров'!$A$2:$I9525,2,0),"")</f>
        <v>м137</v>
      </c>
      <c r="C9177" s="12" t="str">
        <f>IFERROR(VLOOKUP(D9177,'[1]Перечень товаров'!$A$2:$I9525,3,0),"")</f>
        <v>мебель</v>
      </c>
      <c r="D9177" s="22" t="s">
        <v>876</v>
      </c>
      <c r="E9177" s="23"/>
      <c r="F9177" s="23"/>
      <c r="G9177" s="24">
        <v>2</v>
      </c>
      <c r="H9177" s="24"/>
      <c r="I9177" s="25"/>
      <c r="J9177" s="25"/>
      <c r="K9177" s="19"/>
      <c r="L9177" s="20"/>
    </row>
    <row r="9178" spans="1:12" outlineLevel="2">
      <c r="A9178" s="21"/>
      <c r="B9178" s="12" t="str">
        <f>IFERROR(VLOOKUP(D9178,'[1]Перечень товаров'!$A$2:$I9525,2,0),"")</f>
        <v>м187</v>
      </c>
      <c r="C9178" s="12" t="str">
        <f>IFERROR(VLOOKUP(D9178,'[1]Перечень товаров'!$A$2:$I9525,3,0),"")</f>
        <v>мебель</v>
      </c>
      <c r="D9178" s="22" t="s">
        <v>877</v>
      </c>
      <c r="E9178" s="23"/>
      <c r="F9178" s="23"/>
      <c r="G9178" s="24">
        <v>2</v>
      </c>
      <c r="H9178" s="24"/>
      <c r="I9178" s="25"/>
      <c r="J9178" s="25"/>
      <c r="K9178" s="19"/>
      <c r="L9178" s="20"/>
    </row>
    <row r="9179" spans="1:12" outlineLevel="2">
      <c r="A9179" s="21"/>
      <c r="B9179" s="12" t="str">
        <f>IFERROR(VLOOKUP(D9179,'[1]Перечень товаров'!$A$2:$I9525,2,0),"")</f>
        <v>м19</v>
      </c>
      <c r="C9179" s="12" t="str">
        <f>IFERROR(VLOOKUP(D9179,'[1]Перечень товаров'!$A$2:$I9525,3,0),"")</f>
        <v>Мебель</v>
      </c>
      <c r="D9179" s="22" t="s">
        <v>53</v>
      </c>
      <c r="E9179" s="23"/>
      <c r="F9179" s="23"/>
      <c r="G9179" s="24">
        <v>4</v>
      </c>
      <c r="H9179" s="24"/>
      <c r="I9179" s="25"/>
      <c r="J9179" s="25"/>
      <c r="K9179" s="19"/>
      <c r="L9179" s="20"/>
    </row>
    <row r="9180" spans="1:12" outlineLevel="2">
      <c r="A9180" s="21"/>
      <c r="B9180" s="12" t="str">
        <f>IFERROR(VLOOKUP(D9180,'[1]Перечень товаров'!$A$2:$I9525,2,0),"")</f>
        <v>м221</v>
      </c>
      <c r="C9180" s="12" t="str">
        <f>IFERROR(VLOOKUP(D9180,'[1]Перечень товаров'!$A$2:$I9525,3,0),"")</f>
        <v>Мебель</v>
      </c>
      <c r="D9180" s="22" t="s">
        <v>878</v>
      </c>
      <c r="E9180" s="23"/>
      <c r="F9180" s="23"/>
      <c r="G9180" s="24">
        <v>1</v>
      </c>
      <c r="H9180" s="24"/>
      <c r="I9180" s="25"/>
      <c r="J9180" s="25"/>
      <c r="K9180" s="19"/>
      <c r="L9180" s="20"/>
    </row>
    <row r="9181" spans="1:12" ht="31.5" outlineLevel="2">
      <c r="A9181" s="21"/>
      <c r="B9181" s="12" t="str">
        <f>IFERROR(VLOOKUP(D9181,'[1]Перечень товаров'!$A$2:$I9525,2,0),"")</f>
        <v>м138</v>
      </c>
      <c r="C9181" s="12" t="str">
        <f>IFERROR(VLOOKUP(D9181,'[1]Перечень товаров'!$A$2:$I9525,3,0),"")</f>
        <v>мебель</v>
      </c>
      <c r="D9181" s="22" t="s">
        <v>1573</v>
      </c>
      <c r="E9181" s="23"/>
      <c r="F9181" s="23"/>
      <c r="G9181" s="24">
        <v>1</v>
      </c>
      <c r="H9181" s="24"/>
      <c r="I9181" s="25"/>
      <c r="J9181" s="25"/>
      <c r="K9181" s="19"/>
      <c r="L9181" s="20"/>
    </row>
    <row r="9182" spans="1:12" ht="12.75" outlineLevel="1">
      <c r="A9182" s="11"/>
      <c r="B9182" s="12" t="str">
        <f>IFERROR(VLOOKUP(D9182,'[1]Перечень товаров'!$A$2:$I9525,2,0),"")</f>
        <v/>
      </c>
      <c r="C9182" s="12" t="str">
        <f>IFERROR(VLOOKUP(D9182,'[1]Перечень товаров'!$A$2:$I9525,3,0),"")</f>
        <v/>
      </c>
      <c r="D9182" s="27" t="s">
        <v>2101</v>
      </c>
      <c r="E9182" s="99">
        <v>46134</v>
      </c>
      <c r="F9182" s="99"/>
      <c r="G9182" s="100"/>
      <c r="H9182" s="100"/>
      <c r="I9182" s="101"/>
      <c r="J9182" s="101"/>
      <c r="K9182" s="19"/>
      <c r="L9182" s="20"/>
    </row>
    <row r="9183" spans="1:12" outlineLevel="2">
      <c r="A9183" s="21"/>
      <c r="B9183" s="12" t="str">
        <f>IFERROR(VLOOKUP(D9183,'[1]Перечень товаров'!$A$2:$I9525,2,0),"")</f>
        <v>тм77</v>
      </c>
      <c r="C9183" s="12" t="str">
        <f>IFERROR(VLOOKUP(D9183,'[1]Перечень товаров'!$A$2:$I9525,3,0),"")</f>
        <v>Техника муз</v>
      </c>
      <c r="D9183" s="22" t="s">
        <v>875</v>
      </c>
      <c r="E9183" s="23"/>
      <c r="F9183" s="23"/>
      <c r="G9183" s="24">
        <v>2</v>
      </c>
      <c r="H9183" s="24"/>
      <c r="I9183" s="25"/>
      <c r="J9183" s="25"/>
      <c r="K9183" s="19"/>
      <c r="L9183" s="20"/>
    </row>
    <row r="9184" spans="1:12" outlineLevel="2">
      <c r="A9184" s="21"/>
      <c r="B9184" s="12" t="str">
        <f>IFERROR(VLOOKUP(D9184,'[1]Перечень товаров'!$A$2:$I9525,2,0),"")</f>
        <v>м137</v>
      </c>
      <c r="C9184" s="12" t="str">
        <f>IFERROR(VLOOKUP(D9184,'[1]Перечень товаров'!$A$2:$I9525,3,0),"")</f>
        <v>мебель</v>
      </c>
      <c r="D9184" s="22" t="s">
        <v>876</v>
      </c>
      <c r="E9184" s="23"/>
      <c r="F9184" s="23"/>
      <c r="G9184" s="24">
        <v>2</v>
      </c>
      <c r="H9184" s="24"/>
      <c r="I9184" s="25"/>
      <c r="J9184" s="25"/>
      <c r="K9184" s="19"/>
      <c r="L9184" s="20"/>
    </row>
    <row r="9185" spans="1:12" outlineLevel="2">
      <c r="A9185" s="21"/>
      <c r="B9185" s="12" t="str">
        <f>IFERROR(VLOOKUP(D9185,'[1]Перечень товаров'!$A$2:$I9525,2,0),"")</f>
        <v>м187</v>
      </c>
      <c r="C9185" s="12" t="str">
        <f>IFERROR(VLOOKUP(D9185,'[1]Перечень товаров'!$A$2:$I9525,3,0),"")</f>
        <v>мебель</v>
      </c>
      <c r="D9185" s="22" t="s">
        <v>877</v>
      </c>
      <c r="E9185" s="23"/>
      <c r="F9185" s="23"/>
      <c r="G9185" s="24">
        <v>2</v>
      </c>
      <c r="H9185" s="24"/>
      <c r="I9185" s="25"/>
      <c r="J9185" s="25"/>
      <c r="K9185" s="19"/>
      <c r="L9185" s="20"/>
    </row>
    <row r="9186" spans="1:12" outlineLevel="2">
      <c r="A9186" s="21"/>
      <c r="B9186" s="12" t="str">
        <f>IFERROR(VLOOKUP(D9186,'[1]Перечень товаров'!$A$2:$I9525,2,0),"")</f>
        <v>м30</v>
      </c>
      <c r="C9186" s="12" t="str">
        <f>IFERROR(VLOOKUP(D9186,'[1]Перечень товаров'!$A$2:$I9525,3,0),"")</f>
        <v>Мебель</v>
      </c>
      <c r="D9186" s="22" t="s">
        <v>181</v>
      </c>
      <c r="E9186" s="23"/>
      <c r="F9186" s="23"/>
      <c r="G9186" s="24">
        <v>4</v>
      </c>
      <c r="H9186" s="24"/>
      <c r="I9186" s="25"/>
      <c r="J9186" s="25"/>
      <c r="K9186" s="19"/>
      <c r="L9186" s="20"/>
    </row>
    <row r="9187" spans="1:12" outlineLevel="2">
      <c r="A9187" s="21"/>
      <c r="B9187" s="12" t="str">
        <f>IFERROR(VLOOKUP(D9187,'[1]Перечень товаров'!$A$2:$I9525,2,0),"")</f>
        <v>м221</v>
      </c>
      <c r="C9187" s="12" t="str">
        <f>IFERROR(VLOOKUP(D9187,'[1]Перечень товаров'!$A$2:$I9525,3,0),"")</f>
        <v>Мебель</v>
      </c>
      <c r="D9187" s="22" t="s">
        <v>878</v>
      </c>
      <c r="E9187" s="23"/>
      <c r="F9187" s="23"/>
      <c r="G9187" s="24">
        <v>1</v>
      </c>
      <c r="H9187" s="24"/>
      <c r="I9187" s="25"/>
      <c r="J9187" s="25"/>
      <c r="K9187" s="19"/>
      <c r="L9187" s="20"/>
    </row>
    <row r="9188" spans="1:12" ht="31.5" outlineLevel="2">
      <c r="A9188" s="21"/>
      <c r="B9188" s="12" t="str">
        <f>IFERROR(VLOOKUP(D9188,'[1]Перечень товаров'!$A$2:$I9525,2,0),"")</f>
        <v>м138</v>
      </c>
      <c r="C9188" s="12" t="str">
        <f>IFERROR(VLOOKUP(D9188,'[1]Перечень товаров'!$A$2:$I9525,3,0),"")</f>
        <v>мебель</v>
      </c>
      <c r="D9188" s="22" t="s">
        <v>1573</v>
      </c>
      <c r="E9188" s="23"/>
      <c r="F9188" s="23"/>
      <c r="G9188" s="24">
        <v>1</v>
      </c>
      <c r="H9188" s="24"/>
      <c r="I9188" s="25"/>
      <c r="J9188" s="25"/>
      <c r="K9188" s="19"/>
      <c r="L9188" s="20"/>
    </row>
    <row r="9189" spans="1:12" outlineLevel="1">
      <c r="A9189" s="21"/>
      <c r="B9189" s="12" t="str">
        <f>IFERROR(VLOOKUP(D9189,'[1]Перечень товаров'!$A$2:$I9525,2,0),"")</f>
        <v/>
      </c>
      <c r="C9189" s="12" t="str">
        <f>IFERROR(VLOOKUP(D9189,'[1]Перечень товаров'!$A$2:$I9525,3,0),"")</f>
        <v/>
      </c>
      <c r="D9189" s="22" t="s">
        <v>2121</v>
      </c>
      <c r="E9189" s="23">
        <v>0</v>
      </c>
      <c r="F9189" s="23"/>
      <c r="G9189" s="24"/>
      <c r="H9189" s="24"/>
      <c r="I9189" s="25"/>
      <c r="J9189" s="25"/>
      <c r="K9189" s="19"/>
      <c r="L9189" s="20"/>
    </row>
    <row r="9190" spans="1:12" ht="12.75" outlineLevel="1">
      <c r="A9190" s="11"/>
      <c r="B9190" s="12" t="str">
        <f>IFERROR(VLOOKUP(D9190,'[1]Перечень товаров'!$A$2:$I9525,2,0),"")</f>
        <v/>
      </c>
      <c r="C9190" s="12" t="str">
        <f>IFERROR(VLOOKUP(D9190,'[1]Перечень товаров'!$A$2:$I9525,3,0),"")</f>
        <v/>
      </c>
      <c r="D9190" s="27" t="s">
        <v>871</v>
      </c>
      <c r="E9190" s="99">
        <v>46252</v>
      </c>
      <c r="F9190" s="99"/>
      <c r="G9190" s="100"/>
      <c r="H9190" s="100"/>
      <c r="I9190" s="101"/>
      <c r="J9190" s="101"/>
      <c r="K9190" s="19"/>
      <c r="L9190" s="20"/>
    </row>
    <row r="9191" spans="1:12" outlineLevel="2">
      <c r="A9191" s="156"/>
      <c r="B9191" s="12" t="str">
        <f>IFERROR(VLOOKUP(D9191,'[1]Перечень товаров'!$A$2:$I9525,2,0),"")</f>
        <v>м14</v>
      </c>
      <c r="C9191" s="12" t="str">
        <f>IFERROR(VLOOKUP(D9191,'[1]Перечень товаров'!$A$2:$I9525,3,0),"")</f>
        <v>Мебель</v>
      </c>
      <c r="D9191" s="156" t="s">
        <v>43</v>
      </c>
      <c r="E9191" s="102"/>
      <c r="F9191" s="102"/>
      <c r="G9191" s="24">
        <v>1</v>
      </c>
      <c r="H9191" s="24"/>
      <c r="I9191" s="25"/>
      <c r="J9191" s="25"/>
      <c r="K9191" s="19"/>
      <c r="L9191" s="20"/>
    </row>
    <row r="9192" spans="1:12" outlineLevel="2">
      <c r="A9192" s="312"/>
      <c r="B9192" s="12" t="str">
        <f>IFERROR(VLOOKUP(D9192,'[1]Перечень товаров'!$A$2:$I9525,2,0),"")</f>
        <v>м167</v>
      </c>
      <c r="C9192" s="12" t="str">
        <f>IFERROR(VLOOKUP(D9192,'[1]Перечень товаров'!$A$2:$I9525,3,0),"")</f>
        <v>Мебель</v>
      </c>
      <c r="D9192" s="143" t="s">
        <v>508</v>
      </c>
      <c r="E9192" s="102"/>
      <c r="F9192" s="102"/>
      <c r="G9192" s="24">
        <v>1</v>
      </c>
      <c r="H9192" s="24"/>
      <c r="I9192" s="25"/>
      <c r="J9192" s="25"/>
      <c r="K9192" s="19"/>
      <c r="L9192" s="20"/>
    </row>
    <row r="9193" spans="1:12" outlineLevel="2">
      <c r="A9193" s="21"/>
      <c r="B9193" s="12" t="str">
        <f>IFERROR(VLOOKUP(D9193,'[1]Перечень товаров'!$A$2:$I9525,2,0),"")</f>
        <v>м218</v>
      </c>
      <c r="C9193" s="12" t="str">
        <f>IFERROR(VLOOKUP(D9193,'[1]Перечень товаров'!$A$2:$I9525,3,0),"")</f>
        <v>Мебель</v>
      </c>
      <c r="D9193" s="22" t="s">
        <v>872</v>
      </c>
      <c r="E9193" s="102"/>
      <c r="F9193" s="102"/>
      <c r="G9193" s="24">
        <v>2</v>
      </c>
      <c r="H9193" s="24"/>
      <c r="I9193" s="25"/>
      <c r="J9193" s="25"/>
      <c r="K9193" s="19"/>
      <c r="L9193" s="20"/>
    </row>
    <row r="9194" spans="1:12" outlineLevel="2">
      <c r="A9194" s="21"/>
      <c r="B9194" s="12" t="str">
        <f>IFERROR(VLOOKUP(D9194,'[1]Перечень товаров'!$A$2:$I9525,2,0),"")</f>
        <v>м219</v>
      </c>
      <c r="C9194" s="12" t="str">
        <f>IFERROR(VLOOKUP(D9194,'[1]Перечень товаров'!$A$2:$I9525,3,0),"")</f>
        <v>Мебель</v>
      </c>
      <c r="D9194" s="22" t="s">
        <v>873</v>
      </c>
      <c r="E9194" s="102"/>
      <c r="F9194" s="102"/>
      <c r="G9194" s="24">
        <v>4</v>
      </c>
      <c r="H9194" s="24"/>
      <c r="I9194" s="25"/>
      <c r="J9194" s="25"/>
      <c r="K9194" s="19"/>
      <c r="L9194" s="20"/>
    </row>
    <row r="9195" spans="1:12" outlineLevel="2">
      <c r="A9195" s="312"/>
      <c r="B9195" s="12" t="str">
        <f>IFERROR(VLOOKUP(D9195,'[1]Перечень товаров'!$A$2:$I9525,2,0),"")</f>
        <v>м220</v>
      </c>
      <c r="C9195" s="12" t="str">
        <f>IFERROR(VLOOKUP(D9195,'[1]Перечень товаров'!$A$2:$I9525,3,0),"")</f>
        <v>Мебель</v>
      </c>
      <c r="D9195" s="143" t="s">
        <v>874</v>
      </c>
      <c r="E9195" s="102"/>
      <c r="F9195" s="102"/>
      <c r="G9195" s="24">
        <v>1</v>
      </c>
      <c r="H9195" s="24"/>
      <c r="I9195" s="25"/>
      <c r="J9195" s="25"/>
      <c r="K9195" s="19"/>
      <c r="L9195" s="20"/>
    </row>
    <row r="9196" spans="1:12" outlineLevel="2">
      <c r="A9196" s="21"/>
      <c r="B9196" s="12" t="str">
        <f>IFERROR(VLOOKUP(D9196,'[1]Перечень товаров'!$A$2:$I9525,2,0),"")</f>
        <v>м187</v>
      </c>
      <c r="C9196" s="12" t="str">
        <f>IFERROR(VLOOKUP(D9196,'[1]Перечень товаров'!$A$2:$I9525,3,0),"")</f>
        <v>мебель</v>
      </c>
      <c r="D9196" s="22" t="s">
        <v>877</v>
      </c>
      <c r="E9196" s="23"/>
      <c r="F9196" s="23"/>
      <c r="G9196" s="24">
        <v>2</v>
      </c>
      <c r="H9196" s="24"/>
      <c r="I9196" s="25"/>
      <c r="J9196" s="25"/>
      <c r="K9196" s="19"/>
      <c r="L9196" s="20"/>
    </row>
    <row r="9197" spans="1:12" outlineLevel="2">
      <c r="A9197" s="21"/>
      <c r="B9197" s="12" t="str">
        <f>IFERROR(VLOOKUP(D9197,'[1]Перечень товаров'!$A$2:$I9525,2,0),"")</f>
        <v>м30</v>
      </c>
      <c r="C9197" s="12" t="str">
        <f>IFERROR(VLOOKUP(D9197,'[1]Перечень товаров'!$A$2:$I9525,3,0),"")</f>
        <v>Мебель</v>
      </c>
      <c r="D9197" s="22" t="s">
        <v>181</v>
      </c>
      <c r="E9197" s="23"/>
      <c r="F9197" s="23"/>
      <c r="G9197" s="24">
        <v>2</v>
      </c>
      <c r="H9197" s="24"/>
      <c r="I9197" s="25"/>
      <c r="J9197" s="25"/>
      <c r="K9197" s="19"/>
      <c r="L9197" s="20"/>
    </row>
    <row r="9198" spans="1:12" outlineLevel="2">
      <c r="A9198" s="21"/>
      <c r="B9198" s="12" t="str">
        <f>IFERROR(VLOOKUP(D9198,'[1]Перечень товаров'!$A$2:$I9525,2,0),"")</f>
        <v>м221</v>
      </c>
      <c r="C9198" s="12" t="str">
        <f>IFERROR(VLOOKUP(D9198,'[1]Перечень товаров'!$A$2:$I9525,3,0),"")</f>
        <v>Мебель</v>
      </c>
      <c r="D9198" s="22" t="s">
        <v>878</v>
      </c>
      <c r="E9198" s="23"/>
      <c r="F9198" s="23"/>
      <c r="G9198" s="24">
        <v>2</v>
      </c>
      <c r="H9198" s="24"/>
      <c r="I9198" s="25"/>
      <c r="J9198" s="25"/>
      <c r="K9198" s="19"/>
      <c r="L9198" s="20"/>
    </row>
    <row r="9199" spans="1:12" ht="12.75" outlineLevel="1">
      <c r="A9199" s="11"/>
      <c r="B9199" s="12" t="str">
        <f>IFERROR(VLOOKUP(D9199,'[1]Перечень товаров'!$A$2:$I9525,2,0),"")</f>
        <v/>
      </c>
      <c r="C9199" s="12" t="str">
        <f>IFERROR(VLOOKUP(D9199,'[1]Перечень товаров'!$A$2:$I9525,3,0),"")</f>
        <v/>
      </c>
      <c r="D9199" s="27" t="s">
        <v>521</v>
      </c>
      <c r="E9199" s="99">
        <v>46147</v>
      </c>
      <c r="F9199" s="99"/>
      <c r="G9199" s="100"/>
      <c r="H9199" s="100"/>
      <c r="I9199" s="101"/>
      <c r="J9199" s="101"/>
      <c r="K9199" s="19"/>
      <c r="L9199" s="20"/>
    </row>
    <row r="9200" spans="1:12" outlineLevel="2">
      <c r="A9200" s="22"/>
      <c r="B9200" s="12" t="str">
        <f>IFERROR(VLOOKUP(D9200,'[1]Перечень товаров'!$A$2:$I9525,2,0),"")</f>
        <v>п25</v>
      </c>
      <c r="C9200" s="12" t="str">
        <f>IFERROR(VLOOKUP(D9200,'[1]Перечень товаров'!$A$2:$I9525,3,0),"")</f>
        <v>Прочее</v>
      </c>
      <c r="D9200" s="22" t="s">
        <v>360</v>
      </c>
      <c r="E9200" s="102"/>
      <c r="F9200" s="102"/>
      <c r="G9200" s="48">
        <v>3</v>
      </c>
      <c r="H9200" s="48"/>
      <c r="I9200" s="49"/>
      <c r="J9200" s="49"/>
      <c r="K9200" s="33"/>
      <c r="L9200" s="20"/>
    </row>
    <row r="9201" spans="1:12" outlineLevel="2">
      <c r="A9201" s="21"/>
      <c r="B9201" s="12" t="str">
        <f>IFERROR(VLOOKUP(D9201,'[1]Перечень товаров'!$A$2:$I9525,2,0),"")</f>
        <v>п26</v>
      </c>
      <c r="C9201" s="12" t="str">
        <f>IFERROR(VLOOKUP(D9201,'[1]Перечень товаров'!$A$2:$I9525,3,0),"")</f>
        <v>Прочее</v>
      </c>
      <c r="D9201" s="22" t="s">
        <v>361</v>
      </c>
      <c r="E9201" s="102"/>
      <c r="F9201" s="102"/>
      <c r="G9201" s="48">
        <v>2</v>
      </c>
      <c r="H9201" s="48"/>
      <c r="I9201" s="49"/>
      <c r="J9201" s="49"/>
      <c r="K9201" s="33"/>
      <c r="L9201" s="20"/>
    </row>
    <row r="9202" spans="1:12" outlineLevel="2">
      <c r="A9202" s="21"/>
      <c r="B9202" s="12" t="str">
        <f>IFERROR(VLOOKUP(D9202,'[1]Перечень товаров'!$A$2:$I9525,2,0),"")</f>
        <v>п27</v>
      </c>
      <c r="C9202" s="12" t="str">
        <f>IFERROR(VLOOKUP(D9202,'[1]Перечень товаров'!$A$2:$I9525,3,0),"")</f>
        <v>Прочее</v>
      </c>
      <c r="D9202" s="22" t="s">
        <v>362</v>
      </c>
      <c r="E9202" s="102"/>
      <c r="F9202" s="102"/>
      <c r="G9202" s="48">
        <v>2</v>
      </c>
      <c r="H9202" s="48"/>
      <c r="I9202" s="49"/>
      <c r="J9202" s="49"/>
      <c r="K9202" s="33"/>
      <c r="L9202" s="20"/>
    </row>
    <row r="9203" spans="1:12" outlineLevel="2">
      <c r="A9203" s="21"/>
      <c r="B9203" s="12" t="str">
        <f>IFERROR(VLOOKUP(D9203,'[1]Перечень товаров'!$A$2:$I9525,2,0),"")</f>
        <v>п28</v>
      </c>
      <c r="C9203" s="12" t="str">
        <f>IFERROR(VLOOKUP(D9203,'[1]Перечень товаров'!$A$2:$I9525,3,0),"")</f>
        <v>Прочее</v>
      </c>
      <c r="D9203" s="22" t="s">
        <v>363</v>
      </c>
      <c r="E9203" s="102"/>
      <c r="F9203" s="102"/>
      <c r="G9203" s="48">
        <v>1</v>
      </c>
      <c r="H9203" s="48"/>
      <c r="I9203" s="49"/>
      <c r="J9203" s="49"/>
      <c r="K9203" s="33"/>
      <c r="L9203" s="20"/>
    </row>
    <row r="9204" spans="1:12" outlineLevel="2">
      <c r="A9204" s="21"/>
      <c r="B9204" s="12" t="str">
        <f>IFERROR(VLOOKUP(D9204,'[1]Перечень товаров'!$A$2:$I9525,2,0),"")</f>
        <v>п29</v>
      </c>
      <c r="C9204" s="12" t="str">
        <f>IFERROR(VLOOKUP(D9204,'[1]Перечень товаров'!$A$2:$I9525,3,0),"")</f>
        <v>Прочее</v>
      </c>
      <c r="D9204" s="22" t="s">
        <v>364</v>
      </c>
      <c r="E9204" s="102"/>
      <c r="F9204" s="102"/>
      <c r="G9204" s="48">
        <v>6</v>
      </c>
      <c r="H9204" s="48"/>
      <c r="I9204" s="49"/>
      <c r="J9204" s="49"/>
      <c r="K9204" s="33"/>
      <c r="L9204" s="20"/>
    </row>
    <row r="9205" spans="1:12" outlineLevel="2">
      <c r="A9205" s="21"/>
      <c r="B9205" s="12" t="str">
        <f>IFERROR(VLOOKUP(D9205,'[1]Перечень товаров'!$A$2:$I9525,2,0),"")</f>
        <v>п30</v>
      </c>
      <c r="C9205" s="12" t="str">
        <f>IFERROR(VLOOKUP(D9205,'[1]Перечень товаров'!$A$2:$I9525,3,0),"")</f>
        <v>Прочее</v>
      </c>
      <c r="D9205" s="22" t="s">
        <v>365</v>
      </c>
      <c r="E9205" s="102"/>
      <c r="F9205" s="102"/>
      <c r="G9205" s="48">
        <v>2</v>
      </c>
      <c r="H9205" s="48"/>
      <c r="I9205" s="49"/>
      <c r="J9205" s="49"/>
      <c r="K9205" s="33"/>
      <c r="L9205" s="20"/>
    </row>
    <row r="9206" spans="1:12" ht="31.5" outlineLevel="2">
      <c r="A9206" s="21"/>
      <c r="B9206" s="12" t="str">
        <f>IFERROR(VLOOKUP(D9206,'[1]Перечень товаров'!$A$2:$I9525,2,0),"")</f>
        <v>п31</v>
      </c>
      <c r="C9206" s="12" t="str">
        <f>IFERROR(VLOOKUP(D9206,'[1]Перечень товаров'!$A$2:$I9525,3,0),"")</f>
        <v>Прочее</v>
      </c>
      <c r="D9206" s="22" t="s">
        <v>366</v>
      </c>
      <c r="E9206" s="102"/>
      <c r="F9206" s="102"/>
      <c r="G9206" s="48">
        <v>1</v>
      </c>
      <c r="H9206" s="48"/>
      <c r="I9206" s="49"/>
      <c r="J9206" s="49"/>
      <c r="K9206" s="33"/>
      <c r="L9206" s="20"/>
    </row>
    <row r="9207" spans="1:12" ht="31.5" outlineLevel="2">
      <c r="A9207" s="21"/>
      <c r="B9207" s="12" t="str">
        <f>IFERROR(VLOOKUP(D9207,'[1]Перечень товаров'!$A$2:$I9525,2,0),"")</f>
        <v>п32</v>
      </c>
      <c r="C9207" s="12" t="str">
        <f>IFERROR(VLOOKUP(D9207,'[1]Перечень товаров'!$A$2:$I9525,3,0),"")</f>
        <v>Прочее</v>
      </c>
      <c r="D9207" s="22" t="s">
        <v>367</v>
      </c>
      <c r="E9207" s="102"/>
      <c r="F9207" s="102"/>
      <c r="G9207" s="48">
        <v>2</v>
      </c>
      <c r="H9207" s="48"/>
      <c r="I9207" s="49"/>
      <c r="J9207" s="49"/>
      <c r="K9207" s="33"/>
      <c r="L9207" s="20"/>
    </row>
    <row r="9208" spans="1:12" ht="12.75" outlineLevel="1">
      <c r="A9208" s="11"/>
      <c r="B9208" s="12" t="str">
        <f>IFERROR(VLOOKUP(D9208,'[1]Перечень товаров'!$A$2:$I9525,2,0),"")</f>
        <v/>
      </c>
      <c r="C9208" s="12" t="str">
        <f>IFERROR(VLOOKUP(D9208,'[1]Перечень товаров'!$A$2:$I9525,3,0),"")</f>
        <v/>
      </c>
      <c r="D9208" s="27" t="s">
        <v>879</v>
      </c>
      <c r="E9208" s="99">
        <v>46116</v>
      </c>
      <c r="F9208" s="99"/>
      <c r="G9208" s="100"/>
      <c r="H9208" s="100"/>
      <c r="I9208" s="101"/>
      <c r="J9208" s="101"/>
      <c r="K9208" s="19"/>
      <c r="L9208" s="20"/>
    </row>
    <row r="9209" spans="1:12" outlineLevel="2">
      <c r="A9209" s="43"/>
      <c r="B9209" s="12" t="str">
        <f>IFERROR(VLOOKUP(D9209,'[1]Перечень товаров'!$A$2:$I9525,2,0),"")</f>
        <v>м222</v>
      </c>
      <c r="C9209" s="12" t="str">
        <f>IFERROR(VLOOKUP(D9209,'[1]Перечень товаров'!$A$2:$I9525,3,0),"")</f>
        <v>Мебель</v>
      </c>
      <c r="D9209" s="44" t="s">
        <v>880</v>
      </c>
      <c r="E9209" s="102"/>
      <c r="F9209" s="102"/>
      <c r="G9209" s="24">
        <v>1</v>
      </c>
      <c r="H9209" s="24"/>
      <c r="I9209" s="25"/>
      <c r="J9209" s="25"/>
      <c r="K9209" s="19"/>
      <c r="L9209" s="20"/>
    </row>
    <row r="9210" spans="1:12" outlineLevel="2">
      <c r="A9210" s="43"/>
      <c r="B9210" s="12" t="str">
        <f>IFERROR(VLOOKUP(D9210,'[1]Перечень товаров'!$A$2:$I9525,2,0),"")</f>
        <v>м223</v>
      </c>
      <c r="C9210" s="12" t="str">
        <f>IFERROR(VLOOKUP(D9210,'[1]Перечень товаров'!$A$2:$I9525,3,0),"")</f>
        <v>Мебель</v>
      </c>
      <c r="D9210" s="44" t="s">
        <v>881</v>
      </c>
      <c r="E9210" s="102"/>
      <c r="F9210" s="102"/>
      <c r="G9210" s="24">
        <v>1</v>
      </c>
      <c r="H9210" s="24"/>
      <c r="I9210" s="25"/>
      <c r="J9210" s="25"/>
      <c r="K9210" s="19"/>
      <c r="L9210" s="20"/>
    </row>
    <row r="9211" spans="1:12" outlineLevel="2">
      <c r="A9211" s="43"/>
      <c r="B9211" s="12" t="str">
        <f>IFERROR(VLOOKUP(D9211,'[1]Перечень товаров'!$A$2:$I9525,2,0),"")</f>
        <v>м224</v>
      </c>
      <c r="C9211" s="12" t="str">
        <f>IFERROR(VLOOKUP(D9211,'[1]Перечень товаров'!$A$2:$I9525,3,0),"")</f>
        <v>Мебель</v>
      </c>
      <c r="D9211" s="44" t="s">
        <v>882</v>
      </c>
      <c r="E9211" s="102"/>
      <c r="F9211" s="102"/>
      <c r="G9211" s="24">
        <v>1</v>
      </c>
      <c r="H9211" s="24"/>
      <c r="I9211" s="25"/>
      <c r="J9211" s="25"/>
      <c r="K9211" s="19"/>
      <c r="L9211" s="20"/>
    </row>
    <row r="9212" spans="1:12" outlineLevel="2">
      <c r="A9212" s="43"/>
      <c r="B9212" s="12" t="str">
        <f>IFERROR(VLOOKUP(D9212,'[1]Перечень товаров'!$A$2:$I9525,2,0),"")</f>
        <v>м225</v>
      </c>
      <c r="C9212" s="12" t="str">
        <f>IFERROR(VLOOKUP(D9212,'[1]Перечень товаров'!$A$2:$I9525,3,0),"")</f>
        <v>Мебель</v>
      </c>
      <c r="D9212" s="44" t="s">
        <v>883</v>
      </c>
      <c r="E9212" s="102"/>
      <c r="F9212" s="102"/>
      <c r="G9212" s="24">
        <v>1</v>
      </c>
      <c r="H9212" s="24"/>
      <c r="I9212" s="25"/>
      <c r="J9212" s="25"/>
      <c r="K9212" s="19"/>
      <c r="L9212" s="20"/>
    </row>
    <row r="9213" spans="1:12" outlineLevel="2">
      <c r="A9213" s="43"/>
      <c r="B9213" s="12" t="str">
        <f>IFERROR(VLOOKUP(D9213,'[1]Перечень товаров'!$A$2:$I9525,2,0),"")</f>
        <v>п28</v>
      </c>
      <c r="C9213" s="12" t="str">
        <f>IFERROR(VLOOKUP(D9213,'[1]Перечень товаров'!$A$2:$I9525,3,0),"")</f>
        <v>Прочее</v>
      </c>
      <c r="D9213" s="44" t="s">
        <v>363</v>
      </c>
      <c r="E9213" s="102"/>
      <c r="F9213" s="102"/>
      <c r="G9213" s="24">
        <v>1</v>
      </c>
      <c r="H9213" s="24"/>
      <c r="I9213" s="25"/>
      <c r="J9213" s="25"/>
      <c r="K9213" s="19"/>
      <c r="L9213" s="20"/>
    </row>
    <row r="9214" spans="1:12" outlineLevel="2">
      <c r="A9214" s="43"/>
      <c r="B9214" s="12" t="str">
        <f>IFERROR(VLOOKUP(D9214,'[1]Перечень товаров'!$A$2:$I9525,2,0),"")</f>
        <v>м226</v>
      </c>
      <c r="C9214" s="12" t="str">
        <f>IFERROR(VLOOKUP(D9214,'[1]Перечень товаров'!$A$2:$I9525,3,0),"")</f>
        <v>Мебель</v>
      </c>
      <c r="D9214" s="44" t="s">
        <v>884</v>
      </c>
      <c r="E9214" s="102"/>
      <c r="F9214" s="102"/>
      <c r="G9214" s="24">
        <v>1</v>
      </c>
      <c r="H9214" s="24"/>
      <c r="I9214" s="25"/>
      <c r="J9214" s="25"/>
      <c r="K9214" s="19"/>
      <c r="L9214" s="20"/>
    </row>
    <row r="9215" spans="1:12" outlineLevel="1">
      <c r="A9215" s="21"/>
      <c r="B9215" s="12" t="str">
        <f>IFERROR(VLOOKUP(D9215,'[1]Перечень товаров'!$A$2:$I9525,2,0),"")</f>
        <v/>
      </c>
      <c r="C9215" s="12" t="str">
        <f>IFERROR(VLOOKUP(D9215,'[1]Перечень товаров'!$A$2:$I9525,3,0),"")</f>
        <v/>
      </c>
      <c r="D9215" s="22" t="s">
        <v>2120</v>
      </c>
      <c r="E9215" s="102">
        <v>46267</v>
      </c>
      <c r="F9215" s="102"/>
      <c r="G9215" s="103"/>
      <c r="H9215" s="103"/>
      <c r="I9215" s="104"/>
      <c r="J9215" s="104"/>
      <c r="K9215" s="19"/>
      <c r="L9215" s="20"/>
    </row>
    <row r="9216" spans="1:12" ht="12.75" outlineLevel="1">
      <c r="A9216" s="11"/>
      <c r="B9216" s="12" t="str">
        <f>IFERROR(VLOOKUP(D9216,'[1]Перечень товаров'!$A$2:$I9525,2,0),"")</f>
        <v/>
      </c>
      <c r="C9216" s="12" t="str">
        <f>IFERROR(VLOOKUP(D9216,'[1]Перечень товаров'!$A$2:$I9525,3,0),"")</f>
        <v/>
      </c>
      <c r="D9216" s="27" t="s">
        <v>871</v>
      </c>
      <c r="E9216" s="99">
        <v>46220</v>
      </c>
      <c r="F9216" s="99"/>
      <c r="G9216" s="100"/>
      <c r="H9216" s="100"/>
      <c r="I9216" s="101"/>
      <c r="J9216" s="101"/>
      <c r="K9216" s="19"/>
      <c r="L9216" s="20"/>
    </row>
    <row r="9217" spans="1:12" outlineLevel="2">
      <c r="A9217" s="22"/>
      <c r="B9217" s="12" t="str">
        <f>IFERROR(VLOOKUP(D9217,'[1]Перечень товаров'!$A$2:$I9525,2,0),"")</f>
        <v>м14</v>
      </c>
      <c r="C9217" s="12" t="str">
        <f>IFERROR(VLOOKUP(D9217,'[1]Перечень товаров'!$A$2:$I9525,3,0),"")</f>
        <v>Мебель</v>
      </c>
      <c r="D9217" s="22" t="s">
        <v>43</v>
      </c>
      <c r="E9217" s="203"/>
      <c r="F9217" s="203"/>
      <c r="G9217" s="24">
        <v>1</v>
      </c>
      <c r="H9217" s="24"/>
      <c r="I9217" s="25"/>
      <c r="J9217" s="25"/>
      <c r="K9217" s="19"/>
      <c r="L9217" s="20"/>
    </row>
    <row r="9218" spans="1:12" outlineLevel="2">
      <c r="A9218" s="21"/>
      <c r="B9218" s="12" t="str">
        <f>IFERROR(VLOOKUP(D9218,'[1]Перечень товаров'!$A$2:$I9525,2,0),"")</f>
        <v>м167</v>
      </c>
      <c r="C9218" s="12" t="str">
        <f>IFERROR(VLOOKUP(D9218,'[1]Перечень товаров'!$A$2:$I9525,3,0),"")</f>
        <v>Мебель</v>
      </c>
      <c r="D9218" s="22" t="s">
        <v>508</v>
      </c>
      <c r="E9218" s="203"/>
      <c r="F9218" s="203"/>
      <c r="G9218" s="24">
        <v>1</v>
      </c>
      <c r="H9218" s="24"/>
      <c r="I9218" s="25"/>
      <c r="J9218" s="25"/>
      <c r="K9218" s="19"/>
      <c r="L9218" s="20"/>
    </row>
    <row r="9219" spans="1:12" outlineLevel="2">
      <c r="A9219" s="21"/>
      <c r="B9219" s="12" t="str">
        <f>IFERROR(VLOOKUP(D9219,'[1]Перечень товаров'!$A$2:$I9525,2,0),"")</f>
        <v>м218</v>
      </c>
      <c r="C9219" s="12" t="str">
        <f>IFERROR(VLOOKUP(D9219,'[1]Перечень товаров'!$A$2:$I9525,3,0),"")</f>
        <v>Мебель</v>
      </c>
      <c r="D9219" s="22" t="s">
        <v>872</v>
      </c>
      <c r="E9219" s="203"/>
      <c r="F9219" s="203"/>
      <c r="G9219" s="24">
        <v>2</v>
      </c>
      <c r="H9219" s="24"/>
      <c r="I9219" s="25"/>
      <c r="J9219" s="25"/>
      <c r="K9219" s="19"/>
      <c r="L9219" s="20"/>
    </row>
    <row r="9220" spans="1:12" outlineLevel="2">
      <c r="A9220" s="21"/>
      <c r="B9220" s="12" t="str">
        <f>IFERROR(VLOOKUP(D9220,'[1]Перечень товаров'!$A$2:$I9525,2,0),"")</f>
        <v>м219</v>
      </c>
      <c r="C9220" s="12" t="str">
        <f>IFERROR(VLOOKUP(D9220,'[1]Перечень товаров'!$A$2:$I9525,3,0),"")</f>
        <v>Мебель</v>
      </c>
      <c r="D9220" s="22" t="s">
        <v>873</v>
      </c>
      <c r="E9220" s="203"/>
      <c r="F9220" s="203"/>
      <c r="G9220" s="24">
        <v>4</v>
      </c>
      <c r="H9220" s="24"/>
      <c r="I9220" s="25"/>
      <c r="J9220" s="25"/>
      <c r="K9220" s="19"/>
      <c r="L9220" s="20"/>
    </row>
    <row r="9221" spans="1:12" outlineLevel="2">
      <c r="A9221" s="21"/>
      <c r="B9221" s="12" t="str">
        <f>IFERROR(VLOOKUP(D9221,'[1]Перечень товаров'!$A$2:$I9525,2,0),"")</f>
        <v>м220</v>
      </c>
      <c r="C9221" s="12" t="str">
        <f>IFERROR(VLOOKUP(D9221,'[1]Перечень товаров'!$A$2:$I9525,3,0),"")</f>
        <v>Мебель</v>
      </c>
      <c r="D9221" s="22" t="s">
        <v>874</v>
      </c>
      <c r="E9221" s="203"/>
      <c r="F9221" s="203"/>
      <c r="G9221" s="24">
        <v>1</v>
      </c>
      <c r="H9221" s="24"/>
      <c r="I9221" s="25"/>
      <c r="J9221" s="25"/>
      <c r="K9221" s="19"/>
      <c r="L9221" s="20"/>
    </row>
    <row r="9222" spans="1:12" outlineLevel="2">
      <c r="A9222" s="21"/>
      <c r="B9222" s="12" t="str">
        <f>IFERROR(VLOOKUP(D9222,'[1]Перечень товаров'!$A$2:$I9525,2,0),"")</f>
        <v>тм77</v>
      </c>
      <c r="C9222" s="12" t="str">
        <f>IFERROR(VLOOKUP(D9222,'[1]Перечень товаров'!$A$2:$I9525,3,0),"")</f>
        <v>Техника муз</v>
      </c>
      <c r="D9222" s="22" t="s">
        <v>875</v>
      </c>
      <c r="E9222" s="203"/>
      <c r="F9222" s="203"/>
      <c r="G9222" s="24">
        <v>1</v>
      </c>
      <c r="H9222" s="24"/>
      <c r="I9222" s="25"/>
      <c r="J9222" s="25"/>
      <c r="K9222" s="19"/>
      <c r="L9222" s="20"/>
    </row>
    <row r="9223" spans="1:12" outlineLevel="2">
      <c r="A9223" s="21"/>
      <c r="B9223" s="12" t="str">
        <f>IFERROR(VLOOKUP(D9223,'[1]Перечень товаров'!$A$2:$I9525,2,0),"")</f>
        <v>м137</v>
      </c>
      <c r="C9223" s="12" t="str">
        <f>IFERROR(VLOOKUP(D9223,'[1]Перечень товаров'!$A$2:$I9525,3,0),"")</f>
        <v>мебель</v>
      </c>
      <c r="D9223" s="22" t="s">
        <v>876</v>
      </c>
      <c r="E9223" s="203"/>
      <c r="F9223" s="203"/>
      <c r="G9223" s="24">
        <v>1</v>
      </c>
      <c r="H9223" s="24"/>
      <c r="I9223" s="25"/>
      <c r="J9223" s="25"/>
      <c r="K9223" s="19"/>
      <c r="L9223" s="20"/>
    </row>
    <row r="9224" spans="1:12" outlineLevel="2">
      <c r="A9224" s="21"/>
      <c r="B9224" s="12" t="str">
        <f>IFERROR(VLOOKUP(D9224,'[1]Перечень товаров'!$A$2:$I9525,2,0),"")</f>
        <v>м187</v>
      </c>
      <c r="C9224" s="12" t="str">
        <f>IFERROR(VLOOKUP(D9224,'[1]Перечень товаров'!$A$2:$I9525,3,0),"")</f>
        <v>мебель</v>
      </c>
      <c r="D9224" s="22" t="s">
        <v>877</v>
      </c>
      <c r="E9224" s="203"/>
      <c r="F9224" s="203"/>
      <c r="G9224" s="24">
        <v>1</v>
      </c>
      <c r="H9224" s="24"/>
      <c r="I9224" s="25"/>
      <c r="J9224" s="25"/>
      <c r="K9224" s="19"/>
      <c r="L9224" s="20"/>
    </row>
    <row r="9225" spans="1:12" outlineLevel="2">
      <c r="A9225" s="21"/>
      <c r="B9225" s="12" t="str">
        <f>IFERROR(VLOOKUP(D9225,'[1]Перечень товаров'!$A$2:$I9525,2,0),"")</f>
        <v>м30</v>
      </c>
      <c r="C9225" s="12" t="str">
        <f>IFERROR(VLOOKUP(D9225,'[1]Перечень товаров'!$A$2:$I9525,3,0),"")</f>
        <v>Мебель</v>
      </c>
      <c r="D9225" s="22" t="s">
        <v>181</v>
      </c>
      <c r="E9225" s="203"/>
      <c r="F9225" s="203"/>
      <c r="G9225" s="24">
        <v>2</v>
      </c>
      <c r="H9225" s="24"/>
      <c r="I9225" s="25"/>
      <c r="J9225" s="25"/>
      <c r="K9225" s="19"/>
      <c r="L9225" s="20"/>
    </row>
    <row r="9226" spans="1:12" outlineLevel="2">
      <c r="A9226" s="21"/>
      <c r="B9226" s="12" t="str">
        <f>IFERROR(VLOOKUP(D9226,'[1]Перечень товаров'!$A$2:$I9525,2,0),"")</f>
        <v>м221</v>
      </c>
      <c r="C9226" s="12" t="str">
        <f>IFERROR(VLOOKUP(D9226,'[1]Перечень товаров'!$A$2:$I9525,3,0),"")</f>
        <v>Мебель</v>
      </c>
      <c r="D9226" s="22" t="s">
        <v>878</v>
      </c>
      <c r="E9226" s="203"/>
      <c r="F9226" s="203"/>
      <c r="G9226" s="24">
        <v>2</v>
      </c>
      <c r="H9226" s="24"/>
      <c r="I9226" s="25"/>
      <c r="J9226" s="25"/>
      <c r="K9226" s="19"/>
      <c r="L9226" s="20"/>
    </row>
    <row r="9227" spans="1:12" ht="12.75" outlineLevel="1">
      <c r="A9227" s="11"/>
      <c r="B9227" s="12" t="str">
        <f>IFERROR(VLOOKUP(D9227,'[1]Перечень товаров'!$A$2:$I9525,2,0),"")</f>
        <v/>
      </c>
      <c r="C9227" s="12" t="str">
        <f>IFERROR(VLOOKUP(D9227,'[1]Перечень товаров'!$A$2:$I9525,3,0),"")</f>
        <v/>
      </c>
      <c r="D9227" s="27" t="s">
        <v>871</v>
      </c>
      <c r="E9227" s="99">
        <v>46039</v>
      </c>
      <c r="F9227" s="99"/>
      <c r="G9227" s="100"/>
      <c r="H9227" s="100"/>
      <c r="I9227" s="101"/>
      <c r="J9227" s="101"/>
      <c r="K9227" s="19"/>
      <c r="L9227" s="20"/>
    </row>
    <row r="9228" spans="1:12" outlineLevel="2">
      <c r="A9228" s="156"/>
      <c r="B9228" s="12" t="str">
        <f>IFERROR(VLOOKUP(D9228,'[1]Перечень товаров'!$A$2:$I9525,2,0),"")</f>
        <v>м14</v>
      </c>
      <c r="C9228" s="12" t="str">
        <f>IFERROR(VLOOKUP(D9228,'[1]Перечень товаров'!$A$2:$I9525,3,0),"")</f>
        <v>Мебель</v>
      </c>
      <c r="D9228" s="156" t="s">
        <v>43</v>
      </c>
      <c r="E9228" s="102"/>
      <c r="F9228" s="102"/>
      <c r="G9228" s="24">
        <v>1</v>
      </c>
      <c r="H9228" s="24"/>
      <c r="I9228" s="25"/>
      <c r="J9228" s="25"/>
      <c r="K9228" s="19"/>
      <c r="L9228" s="20"/>
    </row>
    <row r="9229" spans="1:12" outlineLevel="2">
      <c r="A9229" s="312"/>
      <c r="B9229" s="12" t="str">
        <f>IFERROR(VLOOKUP(D9229,'[1]Перечень товаров'!$A$2:$I9525,2,0),"")</f>
        <v>м167</v>
      </c>
      <c r="C9229" s="12" t="str">
        <f>IFERROR(VLOOKUP(D9229,'[1]Перечень товаров'!$A$2:$I9525,3,0),"")</f>
        <v>Мебель</v>
      </c>
      <c r="D9229" s="143" t="s">
        <v>508</v>
      </c>
      <c r="E9229" s="102"/>
      <c r="F9229" s="102"/>
      <c r="G9229" s="24">
        <v>1</v>
      </c>
      <c r="H9229" s="24"/>
      <c r="I9229" s="25"/>
      <c r="J9229" s="25"/>
      <c r="K9229" s="19"/>
      <c r="L9229" s="20"/>
    </row>
    <row r="9230" spans="1:12" outlineLevel="2">
      <c r="A9230" s="21"/>
      <c r="B9230" s="12" t="str">
        <f>IFERROR(VLOOKUP(D9230,'[1]Перечень товаров'!$A$2:$I9525,2,0),"")</f>
        <v>м218</v>
      </c>
      <c r="C9230" s="12" t="str">
        <f>IFERROR(VLOOKUP(D9230,'[1]Перечень товаров'!$A$2:$I9525,3,0),"")</f>
        <v>Мебель</v>
      </c>
      <c r="D9230" s="22" t="s">
        <v>872</v>
      </c>
      <c r="E9230" s="102"/>
      <c r="F9230" s="102"/>
      <c r="G9230" s="24">
        <v>2</v>
      </c>
      <c r="H9230" s="24"/>
      <c r="I9230" s="25"/>
      <c r="J9230" s="25"/>
      <c r="K9230" s="19"/>
      <c r="L9230" s="20"/>
    </row>
    <row r="9231" spans="1:12" outlineLevel="2">
      <c r="A9231" s="21"/>
      <c r="B9231" s="12" t="str">
        <f>IFERROR(VLOOKUP(D9231,'[1]Перечень товаров'!$A$2:$I9525,2,0),"")</f>
        <v>м219</v>
      </c>
      <c r="C9231" s="12" t="str">
        <f>IFERROR(VLOOKUP(D9231,'[1]Перечень товаров'!$A$2:$I9525,3,0),"")</f>
        <v>Мебель</v>
      </c>
      <c r="D9231" s="22" t="s">
        <v>873</v>
      </c>
      <c r="E9231" s="102"/>
      <c r="F9231" s="102"/>
      <c r="G9231" s="24">
        <v>4</v>
      </c>
      <c r="H9231" s="24"/>
      <c r="I9231" s="25"/>
      <c r="J9231" s="25"/>
      <c r="K9231" s="19"/>
      <c r="L9231" s="20"/>
    </row>
    <row r="9232" spans="1:12" outlineLevel="2">
      <c r="A9232" s="312"/>
      <c r="B9232" s="12" t="str">
        <f>IFERROR(VLOOKUP(D9232,'[1]Перечень товаров'!$A$2:$I9525,2,0),"")</f>
        <v>м220</v>
      </c>
      <c r="C9232" s="12" t="str">
        <f>IFERROR(VLOOKUP(D9232,'[1]Перечень товаров'!$A$2:$I9525,3,0),"")</f>
        <v>Мебель</v>
      </c>
      <c r="D9232" s="143" t="s">
        <v>874</v>
      </c>
      <c r="E9232" s="102"/>
      <c r="F9232" s="102"/>
      <c r="G9232" s="24">
        <v>1</v>
      </c>
      <c r="H9232" s="24"/>
      <c r="I9232" s="25"/>
      <c r="J9232" s="25"/>
      <c r="K9232" s="19"/>
      <c r="L9232" s="20"/>
    </row>
    <row r="9233" spans="1:12" outlineLevel="2">
      <c r="A9233" s="21"/>
      <c r="B9233" s="12" t="str">
        <f>IFERROR(VLOOKUP(D9233,'[1]Перечень товаров'!$A$2:$I9525,2,0),"")</f>
        <v>м187</v>
      </c>
      <c r="C9233" s="12" t="str">
        <f>IFERROR(VLOOKUP(D9233,'[1]Перечень товаров'!$A$2:$I9525,3,0),"")</f>
        <v>мебель</v>
      </c>
      <c r="D9233" s="22" t="s">
        <v>877</v>
      </c>
      <c r="E9233" s="23"/>
      <c r="F9233" s="23"/>
      <c r="G9233" s="24">
        <v>2</v>
      </c>
      <c r="H9233" s="24"/>
      <c r="I9233" s="25"/>
      <c r="J9233" s="25"/>
      <c r="K9233" s="19"/>
      <c r="L9233" s="20"/>
    </row>
    <row r="9234" spans="1:12" outlineLevel="2">
      <c r="A9234" s="21"/>
      <c r="B9234" s="12" t="str">
        <f>IFERROR(VLOOKUP(D9234,'[1]Перечень товаров'!$A$2:$I9525,2,0),"")</f>
        <v>м30</v>
      </c>
      <c r="C9234" s="12" t="str">
        <f>IFERROR(VLOOKUP(D9234,'[1]Перечень товаров'!$A$2:$I9525,3,0),"")</f>
        <v>Мебель</v>
      </c>
      <c r="D9234" s="22" t="s">
        <v>181</v>
      </c>
      <c r="E9234" s="23"/>
      <c r="F9234" s="23"/>
      <c r="G9234" s="24">
        <v>2</v>
      </c>
      <c r="H9234" s="24"/>
      <c r="I9234" s="25"/>
      <c r="J9234" s="25"/>
      <c r="K9234" s="19"/>
      <c r="L9234" s="20"/>
    </row>
    <row r="9235" spans="1:12" outlineLevel="2">
      <c r="A9235" s="21"/>
      <c r="B9235" s="12" t="str">
        <f>IFERROR(VLOOKUP(D9235,'[1]Перечень товаров'!$A$2:$I9525,2,0),"")</f>
        <v>м221</v>
      </c>
      <c r="C9235" s="12" t="str">
        <f>IFERROR(VLOOKUP(D9235,'[1]Перечень товаров'!$A$2:$I9525,3,0),"")</f>
        <v>Мебель</v>
      </c>
      <c r="D9235" s="22" t="s">
        <v>878</v>
      </c>
      <c r="E9235" s="23"/>
      <c r="F9235" s="23"/>
      <c r="G9235" s="24">
        <v>2</v>
      </c>
      <c r="H9235" s="24"/>
      <c r="I9235" s="25"/>
      <c r="J9235" s="25"/>
      <c r="K9235" s="19"/>
      <c r="L9235" s="20"/>
    </row>
    <row r="9236" spans="1:12" ht="12.75" outlineLevel="1">
      <c r="A9236" s="11"/>
      <c r="B9236" s="12" t="str">
        <f>IFERROR(VLOOKUP(D9236,'[1]Перечень товаров'!$A$2:$I9525,2,0),"")</f>
        <v/>
      </c>
      <c r="C9236" s="12" t="str">
        <f>IFERROR(VLOOKUP(D9236,'[1]Перечень товаров'!$A$2:$I9525,3,0),"")</f>
        <v/>
      </c>
      <c r="D9236" s="27" t="s">
        <v>521</v>
      </c>
      <c r="E9236" s="14" t="s">
        <v>2112</v>
      </c>
      <c r="F9236" s="14"/>
      <c r="G9236" s="17"/>
      <c r="H9236" s="17"/>
      <c r="I9236" s="57"/>
      <c r="J9236" s="57"/>
      <c r="K9236" s="19"/>
      <c r="L9236" s="20"/>
    </row>
    <row r="9237" spans="1:12" outlineLevel="2">
      <c r="A9237" s="22"/>
      <c r="B9237" s="12" t="str">
        <f>IFERROR(VLOOKUP(D9237,'[1]Перечень товаров'!$A$2:$I9525,2,0),"")</f>
        <v>п25</v>
      </c>
      <c r="C9237" s="12" t="str">
        <f>IFERROR(VLOOKUP(D9237,'[1]Перечень товаров'!$A$2:$I9525,3,0),"")</f>
        <v>Прочее</v>
      </c>
      <c r="D9237" s="22" t="s">
        <v>360</v>
      </c>
      <c r="E9237" s="102"/>
      <c r="F9237" s="102"/>
      <c r="G9237" s="48">
        <v>3</v>
      </c>
      <c r="H9237" s="48"/>
      <c r="I9237" s="49"/>
      <c r="J9237" s="49"/>
      <c r="K9237" s="33"/>
      <c r="L9237" s="20"/>
    </row>
    <row r="9238" spans="1:12" outlineLevel="2">
      <c r="A9238" s="21"/>
      <c r="B9238" s="12" t="str">
        <f>IFERROR(VLOOKUP(D9238,'[1]Перечень товаров'!$A$2:$I9525,2,0),"")</f>
        <v>п26</v>
      </c>
      <c r="C9238" s="12" t="str">
        <f>IFERROR(VLOOKUP(D9238,'[1]Перечень товаров'!$A$2:$I9525,3,0),"")</f>
        <v>Прочее</v>
      </c>
      <c r="D9238" s="22" t="s">
        <v>361</v>
      </c>
      <c r="E9238" s="102"/>
      <c r="F9238" s="102"/>
      <c r="G9238" s="48">
        <v>2</v>
      </c>
      <c r="H9238" s="48"/>
      <c r="I9238" s="49"/>
      <c r="J9238" s="49"/>
      <c r="K9238" s="33"/>
      <c r="L9238" s="20"/>
    </row>
    <row r="9239" spans="1:12" outlineLevel="2">
      <c r="A9239" s="21"/>
      <c r="B9239" s="12" t="str">
        <f>IFERROR(VLOOKUP(D9239,'[1]Перечень товаров'!$A$2:$I9525,2,0),"")</f>
        <v>п27</v>
      </c>
      <c r="C9239" s="12" t="str">
        <f>IFERROR(VLOOKUP(D9239,'[1]Перечень товаров'!$A$2:$I9525,3,0),"")</f>
        <v>Прочее</v>
      </c>
      <c r="D9239" s="22" t="s">
        <v>362</v>
      </c>
      <c r="E9239" s="102"/>
      <c r="F9239" s="102"/>
      <c r="G9239" s="48">
        <v>2</v>
      </c>
      <c r="H9239" s="48"/>
      <c r="I9239" s="49"/>
      <c r="J9239" s="49"/>
      <c r="K9239" s="33"/>
      <c r="L9239" s="20"/>
    </row>
    <row r="9240" spans="1:12" outlineLevel="2">
      <c r="A9240" s="21"/>
      <c r="B9240" s="12" t="str">
        <f>IFERROR(VLOOKUP(D9240,'[1]Перечень товаров'!$A$2:$I9525,2,0),"")</f>
        <v>п28</v>
      </c>
      <c r="C9240" s="12" t="str">
        <f>IFERROR(VLOOKUP(D9240,'[1]Перечень товаров'!$A$2:$I9525,3,0),"")</f>
        <v>Прочее</v>
      </c>
      <c r="D9240" s="22" t="s">
        <v>363</v>
      </c>
      <c r="E9240" s="102"/>
      <c r="F9240" s="102"/>
      <c r="G9240" s="48">
        <v>1</v>
      </c>
      <c r="H9240" s="48"/>
      <c r="I9240" s="49"/>
      <c r="J9240" s="49"/>
      <c r="K9240" s="33"/>
      <c r="L9240" s="20"/>
    </row>
    <row r="9241" spans="1:12" outlineLevel="2">
      <c r="A9241" s="21"/>
      <c r="B9241" s="12" t="str">
        <f>IFERROR(VLOOKUP(D9241,'[1]Перечень товаров'!$A$2:$I9525,2,0),"")</f>
        <v>п29</v>
      </c>
      <c r="C9241" s="12" t="str">
        <f>IFERROR(VLOOKUP(D9241,'[1]Перечень товаров'!$A$2:$I9525,3,0),"")</f>
        <v>Прочее</v>
      </c>
      <c r="D9241" s="22" t="s">
        <v>364</v>
      </c>
      <c r="E9241" s="102"/>
      <c r="F9241" s="102"/>
      <c r="G9241" s="48">
        <v>6</v>
      </c>
      <c r="H9241" s="48"/>
      <c r="I9241" s="49"/>
      <c r="J9241" s="49"/>
      <c r="K9241" s="33"/>
      <c r="L9241" s="20"/>
    </row>
    <row r="9242" spans="1:12" outlineLevel="2">
      <c r="A9242" s="21"/>
      <c r="B9242" s="12" t="str">
        <f>IFERROR(VLOOKUP(D9242,'[1]Перечень товаров'!$A$2:$I9525,2,0),"")</f>
        <v>п30</v>
      </c>
      <c r="C9242" s="12" t="str">
        <f>IFERROR(VLOOKUP(D9242,'[1]Перечень товаров'!$A$2:$I9525,3,0),"")</f>
        <v>Прочее</v>
      </c>
      <c r="D9242" s="22" t="s">
        <v>365</v>
      </c>
      <c r="E9242" s="102"/>
      <c r="F9242" s="102"/>
      <c r="G9242" s="48">
        <v>2</v>
      </c>
      <c r="H9242" s="48"/>
      <c r="I9242" s="49"/>
      <c r="J9242" s="49"/>
      <c r="K9242" s="33"/>
      <c r="L9242" s="20"/>
    </row>
    <row r="9243" spans="1:12" ht="31.5" outlineLevel="2">
      <c r="A9243" s="21"/>
      <c r="B9243" s="12" t="str">
        <f>IFERROR(VLOOKUP(D9243,'[1]Перечень товаров'!$A$2:$I9525,2,0),"")</f>
        <v>п31</v>
      </c>
      <c r="C9243" s="12" t="str">
        <f>IFERROR(VLOOKUP(D9243,'[1]Перечень товаров'!$A$2:$I9525,3,0),"")</f>
        <v>Прочее</v>
      </c>
      <c r="D9243" s="22" t="s">
        <v>366</v>
      </c>
      <c r="E9243" s="102"/>
      <c r="F9243" s="102"/>
      <c r="G9243" s="48">
        <v>1</v>
      </c>
      <c r="H9243" s="48"/>
      <c r="I9243" s="49"/>
      <c r="J9243" s="49"/>
      <c r="K9243" s="33"/>
      <c r="L9243" s="20"/>
    </row>
    <row r="9244" spans="1:12" ht="31.5" outlineLevel="2">
      <c r="A9244" s="21"/>
      <c r="B9244" s="12" t="str">
        <f>IFERROR(VLOOKUP(D9244,'[1]Перечень товаров'!$A$2:$I9525,2,0),"")</f>
        <v>п32</v>
      </c>
      <c r="C9244" s="12" t="str">
        <f>IFERROR(VLOOKUP(D9244,'[1]Перечень товаров'!$A$2:$I9525,3,0),"")</f>
        <v>Прочее</v>
      </c>
      <c r="D9244" s="22" t="s">
        <v>367</v>
      </c>
      <c r="E9244" s="102"/>
      <c r="F9244" s="102"/>
      <c r="G9244" s="48">
        <v>2</v>
      </c>
      <c r="H9244" s="48"/>
      <c r="I9244" s="49"/>
      <c r="J9244" s="49"/>
      <c r="K9244" s="33"/>
      <c r="L9244" s="20"/>
    </row>
    <row r="9245" spans="1:12" ht="12.75" outlineLevel="1">
      <c r="A9245" s="11"/>
      <c r="B9245" s="12" t="str">
        <f>IFERROR(VLOOKUP(D9245,'[1]Перечень товаров'!$A$2:$I9525,2,0),"")</f>
        <v/>
      </c>
      <c r="C9245" s="12" t="str">
        <f>IFERROR(VLOOKUP(D9245,'[1]Перечень товаров'!$A$2:$I9525,3,0),"")</f>
        <v/>
      </c>
      <c r="D9245" s="27" t="s">
        <v>879</v>
      </c>
      <c r="E9245" s="99">
        <v>46146</v>
      </c>
      <c r="F9245" s="99"/>
      <c r="G9245" s="100"/>
      <c r="H9245" s="100"/>
      <c r="I9245" s="101"/>
      <c r="J9245" s="101"/>
      <c r="K9245" s="19"/>
      <c r="L9245" s="20"/>
    </row>
    <row r="9246" spans="1:12" outlineLevel="2">
      <c r="A9246" s="43"/>
      <c r="B9246" s="12" t="str">
        <f>IFERROR(VLOOKUP(D9246,'[1]Перечень товаров'!$A$2:$I9525,2,0),"")</f>
        <v>м222</v>
      </c>
      <c r="C9246" s="12" t="str">
        <f>IFERROR(VLOOKUP(D9246,'[1]Перечень товаров'!$A$2:$I9525,3,0),"")</f>
        <v>Мебель</v>
      </c>
      <c r="D9246" s="44" t="s">
        <v>880</v>
      </c>
      <c r="E9246" s="102"/>
      <c r="F9246" s="102"/>
      <c r="G9246" s="24">
        <v>1</v>
      </c>
      <c r="H9246" s="24"/>
      <c r="I9246" s="25"/>
      <c r="J9246" s="25"/>
      <c r="K9246" s="19"/>
      <c r="L9246" s="20"/>
    </row>
    <row r="9247" spans="1:12" outlineLevel="2">
      <c r="A9247" s="43"/>
      <c r="B9247" s="12" t="str">
        <f>IFERROR(VLOOKUP(D9247,'[1]Перечень товаров'!$A$2:$I9525,2,0),"")</f>
        <v>м223</v>
      </c>
      <c r="C9247" s="12" t="str">
        <f>IFERROR(VLOOKUP(D9247,'[1]Перечень товаров'!$A$2:$I9525,3,0),"")</f>
        <v>Мебель</v>
      </c>
      <c r="D9247" s="44" t="s">
        <v>881</v>
      </c>
      <c r="E9247" s="102"/>
      <c r="F9247" s="102"/>
      <c r="G9247" s="24">
        <v>1</v>
      </c>
      <c r="H9247" s="24"/>
      <c r="I9247" s="25"/>
      <c r="J9247" s="25"/>
      <c r="K9247" s="19"/>
      <c r="L9247" s="20"/>
    </row>
    <row r="9248" spans="1:12" outlineLevel="2">
      <c r="A9248" s="43"/>
      <c r="B9248" s="12" t="str">
        <f>IFERROR(VLOOKUP(D9248,'[1]Перечень товаров'!$A$2:$I9525,2,0),"")</f>
        <v>м224</v>
      </c>
      <c r="C9248" s="12" t="str">
        <f>IFERROR(VLOOKUP(D9248,'[1]Перечень товаров'!$A$2:$I9525,3,0),"")</f>
        <v>Мебель</v>
      </c>
      <c r="D9248" s="44" t="s">
        <v>882</v>
      </c>
      <c r="E9248" s="102"/>
      <c r="F9248" s="102"/>
      <c r="G9248" s="24">
        <v>1</v>
      </c>
      <c r="H9248" s="24"/>
      <c r="I9248" s="25"/>
      <c r="J9248" s="25"/>
      <c r="K9248" s="19"/>
      <c r="L9248" s="20"/>
    </row>
    <row r="9249" spans="1:12" outlineLevel="2">
      <c r="A9249" s="43"/>
      <c r="B9249" s="12" t="str">
        <f>IFERROR(VLOOKUP(D9249,'[1]Перечень товаров'!$A$2:$I9525,2,0),"")</f>
        <v>м225</v>
      </c>
      <c r="C9249" s="12" t="str">
        <f>IFERROR(VLOOKUP(D9249,'[1]Перечень товаров'!$A$2:$I9525,3,0),"")</f>
        <v>Мебель</v>
      </c>
      <c r="D9249" s="44" t="s">
        <v>883</v>
      </c>
      <c r="E9249" s="102"/>
      <c r="F9249" s="102"/>
      <c r="G9249" s="24">
        <v>1</v>
      </c>
      <c r="H9249" s="24"/>
      <c r="I9249" s="25"/>
      <c r="J9249" s="25"/>
      <c r="K9249" s="19"/>
      <c r="L9249" s="20"/>
    </row>
    <row r="9250" spans="1:12" outlineLevel="2">
      <c r="A9250" s="43"/>
      <c r="B9250" s="12" t="str">
        <f>IFERROR(VLOOKUP(D9250,'[1]Перечень товаров'!$A$2:$I9525,2,0),"")</f>
        <v>п28</v>
      </c>
      <c r="C9250" s="12" t="str">
        <f>IFERROR(VLOOKUP(D9250,'[1]Перечень товаров'!$A$2:$I9525,3,0),"")</f>
        <v>Прочее</v>
      </c>
      <c r="D9250" s="44" t="s">
        <v>363</v>
      </c>
      <c r="E9250" s="102"/>
      <c r="F9250" s="102"/>
      <c r="G9250" s="24">
        <v>1</v>
      </c>
      <c r="H9250" s="24"/>
      <c r="I9250" s="25"/>
      <c r="J9250" s="25"/>
      <c r="K9250" s="19"/>
      <c r="L9250" s="20"/>
    </row>
    <row r="9251" spans="1:12" outlineLevel="2">
      <c r="A9251" s="43"/>
      <c r="B9251" s="12" t="str">
        <f>IFERROR(VLOOKUP(D9251,'[1]Перечень товаров'!$A$2:$I9525,2,0),"")</f>
        <v>м226</v>
      </c>
      <c r="C9251" s="12" t="str">
        <f>IFERROR(VLOOKUP(D9251,'[1]Перечень товаров'!$A$2:$I9525,3,0),"")</f>
        <v>Мебель</v>
      </c>
      <c r="D9251" s="44" t="s">
        <v>884</v>
      </c>
      <c r="E9251" s="102"/>
      <c r="F9251" s="102"/>
      <c r="G9251" s="24">
        <v>1</v>
      </c>
      <c r="H9251" s="24"/>
      <c r="I9251" s="25"/>
      <c r="J9251" s="25"/>
      <c r="K9251" s="19"/>
      <c r="L9251" s="20"/>
    </row>
    <row r="9252" spans="1:12" outlineLevel="1">
      <c r="A9252" s="21"/>
      <c r="B9252" s="12" t="str">
        <f>IFERROR(VLOOKUP(D9252,'[1]Перечень товаров'!$A$2:$I9525,2,0),"")</f>
        <v/>
      </c>
      <c r="C9252" s="12" t="str">
        <f>IFERROR(VLOOKUP(D9252,'[1]Перечень товаров'!$A$2:$I9525,3,0),"")</f>
        <v/>
      </c>
      <c r="D9252" s="22" t="s">
        <v>2120</v>
      </c>
      <c r="E9252" s="102">
        <v>46025</v>
      </c>
      <c r="F9252" s="102"/>
      <c r="G9252" s="103"/>
      <c r="H9252" s="103"/>
      <c r="I9252" s="104"/>
      <c r="J9252" s="104"/>
      <c r="K9252" s="19"/>
      <c r="L9252" s="20"/>
    </row>
    <row r="9253" spans="1:12" ht="12.75" outlineLevel="1">
      <c r="A9253" s="11"/>
      <c r="B9253" s="12" t="str">
        <f>IFERROR(VLOOKUP(D9253,'[1]Перечень товаров'!$A$2:$I9525,2,0),"")</f>
        <v/>
      </c>
      <c r="C9253" s="12" t="str">
        <f>IFERROR(VLOOKUP(D9253,'[1]Перечень товаров'!$A$2:$I9525,3,0),"")</f>
        <v/>
      </c>
      <c r="D9253" s="27" t="s">
        <v>871</v>
      </c>
      <c r="E9253" s="99">
        <v>46219</v>
      </c>
      <c r="F9253" s="99"/>
      <c r="G9253" s="100"/>
      <c r="H9253" s="100"/>
      <c r="I9253" s="101"/>
      <c r="J9253" s="101"/>
      <c r="K9253" s="19"/>
      <c r="L9253" s="20"/>
    </row>
    <row r="9254" spans="1:12" outlineLevel="2">
      <c r="A9254" s="156"/>
      <c r="B9254" s="12" t="str">
        <f>IFERROR(VLOOKUP(D9254,'[1]Перечень товаров'!$A$2:$I9525,2,0),"")</f>
        <v>м14</v>
      </c>
      <c r="C9254" s="12" t="str">
        <f>IFERROR(VLOOKUP(D9254,'[1]Перечень товаров'!$A$2:$I9525,3,0),"")</f>
        <v>Мебель</v>
      </c>
      <c r="D9254" s="156" t="s">
        <v>43</v>
      </c>
      <c r="E9254" s="102"/>
      <c r="F9254" s="102"/>
      <c r="G9254" s="24">
        <v>1</v>
      </c>
      <c r="H9254" s="24"/>
      <c r="I9254" s="25"/>
      <c r="J9254" s="25"/>
      <c r="K9254" s="19"/>
      <c r="L9254" s="20"/>
    </row>
    <row r="9255" spans="1:12" outlineLevel="2">
      <c r="A9255" s="312"/>
      <c r="B9255" s="12" t="str">
        <f>IFERROR(VLOOKUP(D9255,'[1]Перечень товаров'!$A$2:$I9525,2,0),"")</f>
        <v>м167</v>
      </c>
      <c r="C9255" s="12" t="str">
        <f>IFERROR(VLOOKUP(D9255,'[1]Перечень товаров'!$A$2:$I9525,3,0),"")</f>
        <v>Мебель</v>
      </c>
      <c r="D9255" s="143" t="s">
        <v>508</v>
      </c>
      <c r="E9255" s="102"/>
      <c r="F9255" s="102"/>
      <c r="G9255" s="24">
        <v>1</v>
      </c>
      <c r="H9255" s="24"/>
      <c r="I9255" s="25"/>
      <c r="J9255" s="25"/>
      <c r="K9255" s="19"/>
      <c r="L9255" s="20"/>
    </row>
    <row r="9256" spans="1:12" outlineLevel="2">
      <c r="A9256" s="21"/>
      <c r="B9256" s="12" t="str">
        <f>IFERROR(VLOOKUP(D9256,'[1]Перечень товаров'!$A$2:$I9525,2,0),"")</f>
        <v>м218</v>
      </c>
      <c r="C9256" s="12" t="str">
        <f>IFERROR(VLOOKUP(D9256,'[1]Перечень товаров'!$A$2:$I9525,3,0),"")</f>
        <v>Мебель</v>
      </c>
      <c r="D9256" s="22" t="s">
        <v>872</v>
      </c>
      <c r="E9256" s="102"/>
      <c r="F9256" s="102"/>
      <c r="G9256" s="24">
        <v>2</v>
      </c>
      <c r="H9256" s="24"/>
      <c r="I9256" s="25"/>
      <c r="J9256" s="25"/>
      <c r="K9256" s="19"/>
      <c r="L9256" s="20"/>
    </row>
    <row r="9257" spans="1:12" outlineLevel="2">
      <c r="A9257" s="21"/>
      <c r="B9257" s="12" t="str">
        <f>IFERROR(VLOOKUP(D9257,'[1]Перечень товаров'!$A$2:$I9525,2,0),"")</f>
        <v>м219</v>
      </c>
      <c r="C9257" s="12" t="str">
        <f>IFERROR(VLOOKUP(D9257,'[1]Перечень товаров'!$A$2:$I9525,3,0),"")</f>
        <v>Мебель</v>
      </c>
      <c r="D9257" s="22" t="s">
        <v>873</v>
      </c>
      <c r="E9257" s="102"/>
      <c r="F9257" s="102"/>
      <c r="G9257" s="24">
        <v>4</v>
      </c>
      <c r="H9257" s="24"/>
      <c r="I9257" s="25"/>
      <c r="J9257" s="25"/>
      <c r="K9257" s="19"/>
      <c r="L9257" s="20"/>
    </row>
    <row r="9258" spans="1:12" outlineLevel="2">
      <c r="A9258" s="312"/>
      <c r="B9258" s="12" t="str">
        <f>IFERROR(VLOOKUP(D9258,'[1]Перечень товаров'!$A$2:$I9525,2,0),"")</f>
        <v>м220</v>
      </c>
      <c r="C9258" s="12" t="str">
        <f>IFERROR(VLOOKUP(D9258,'[1]Перечень товаров'!$A$2:$I9525,3,0),"")</f>
        <v>Мебель</v>
      </c>
      <c r="D9258" s="143" t="s">
        <v>874</v>
      </c>
      <c r="E9258" s="102"/>
      <c r="F9258" s="102"/>
      <c r="G9258" s="24">
        <v>1</v>
      </c>
      <c r="H9258" s="24"/>
      <c r="I9258" s="25"/>
      <c r="J9258" s="25"/>
      <c r="K9258" s="19"/>
      <c r="L9258" s="20"/>
    </row>
    <row r="9259" spans="1:12" outlineLevel="2">
      <c r="A9259" s="21"/>
      <c r="B9259" s="12" t="str">
        <f>IFERROR(VLOOKUP(D9259,'[1]Перечень товаров'!$A$2:$I9525,2,0),"")</f>
        <v>тм77</v>
      </c>
      <c r="C9259" s="12" t="str">
        <f>IFERROR(VLOOKUP(D9259,'[1]Перечень товаров'!$A$2:$I9525,3,0),"")</f>
        <v>Техника муз</v>
      </c>
      <c r="D9259" s="22" t="s">
        <v>875</v>
      </c>
      <c r="E9259" s="23"/>
      <c r="F9259" s="23"/>
      <c r="G9259" s="24">
        <v>1</v>
      </c>
      <c r="H9259" s="24"/>
      <c r="I9259" s="25"/>
      <c r="J9259" s="25"/>
      <c r="K9259" s="19"/>
      <c r="L9259" s="20"/>
    </row>
    <row r="9260" spans="1:12" outlineLevel="2">
      <c r="A9260" s="21"/>
      <c r="B9260" s="12" t="str">
        <f>IFERROR(VLOOKUP(D9260,'[1]Перечень товаров'!$A$2:$I9525,2,0),"")</f>
        <v>м137</v>
      </c>
      <c r="C9260" s="12" t="str">
        <f>IFERROR(VLOOKUP(D9260,'[1]Перечень товаров'!$A$2:$I9525,3,0),"")</f>
        <v>мебель</v>
      </c>
      <c r="D9260" s="22" t="s">
        <v>876</v>
      </c>
      <c r="E9260" s="23"/>
      <c r="F9260" s="23"/>
      <c r="G9260" s="24">
        <v>1</v>
      </c>
      <c r="H9260" s="24"/>
      <c r="I9260" s="25"/>
      <c r="J9260" s="25"/>
      <c r="K9260" s="19"/>
      <c r="L9260" s="20"/>
    </row>
    <row r="9261" spans="1:12" outlineLevel="2">
      <c r="A9261" s="21"/>
      <c r="B9261" s="12" t="str">
        <f>IFERROR(VLOOKUP(D9261,'[1]Перечень товаров'!$A$2:$I9525,2,0),"")</f>
        <v>м187</v>
      </c>
      <c r="C9261" s="12" t="str">
        <f>IFERROR(VLOOKUP(D9261,'[1]Перечень товаров'!$A$2:$I9525,3,0),"")</f>
        <v>мебель</v>
      </c>
      <c r="D9261" s="22" t="s">
        <v>877</v>
      </c>
      <c r="E9261" s="23"/>
      <c r="F9261" s="23"/>
      <c r="G9261" s="24">
        <v>2</v>
      </c>
      <c r="H9261" s="24"/>
      <c r="I9261" s="25"/>
      <c r="J9261" s="25"/>
      <c r="K9261" s="19"/>
      <c r="L9261" s="20"/>
    </row>
    <row r="9262" spans="1:12" outlineLevel="2">
      <c r="A9262" s="21"/>
      <c r="B9262" s="12" t="str">
        <f>IFERROR(VLOOKUP(D9262,'[1]Перечень товаров'!$A$2:$I9525,2,0),"")</f>
        <v>м30</v>
      </c>
      <c r="C9262" s="12" t="str">
        <f>IFERROR(VLOOKUP(D9262,'[1]Перечень товаров'!$A$2:$I9525,3,0),"")</f>
        <v>Мебель</v>
      </c>
      <c r="D9262" s="22" t="s">
        <v>181</v>
      </c>
      <c r="E9262" s="23"/>
      <c r="F9262" s="23"/>
      <c r="G9262" s="24">
        <v>2</v>
      </c>
      <c r="H9262" s="24"/>
      <c r="I9262" s="25"/>
      <c r="J9262" s="25"/>
      <c r="K9262" s="19"/>
      <c r="L9262" s="20"/>
    </row>
    <row r="9263" spans="1:12" outlineLevel="2">
      <c r="A9263" s="21"/>
      <c r="B9263" s="12" t="str">
        <f>IFERROR(VLOOKUP(D9263,'[1]Перечень товаров'!$A$2:$I9525,2,0),"")</f>
        <v>м221</v>
      </c>
      <c r="C9263" s="12" t="str">
        <f>IFERROR(VLOOKUP(D9263,'[1]Перечень товаров'!$A$2:$I9525,3,0),"")</f>
        <v>Мебель</v>
      </c>
      <c r="D9263" s="22" t="s">
        <v>878</v>
      </c>
      <c r="E9263" s="23"/>
      <c r="F9263" s="23"/>
      <c r="G9263" s="24">
        <v>2</v>
      </c>
      <c r="H9263" s="24"/>
      <c r="I9263" s="25"/>
      <c r="J9263" s="25"/>
      <c r="K9263" s="19"/>
      <c r="L9263" s="20"/>
    </row>
    <row r="9264" spans="1:12" ht="12.75" outlineLevel="1">
      <c r="A9264" s="11"/>
      <c r="B9264" s="12" t="str">
        <f>IFERROR(VLOOKUP(D9264,'[1]Перечень товаров'!$A$2:$I9525,2,0),"")</f>
        <v/>
      </c>
      <c r="C9264" s="12" t="str">
        <f>IFERROR(VLOOKUP(D9264,'[1]Перечень товаров'!$A$2:$I9525,3,0),"")</f>
        <v/>
      </c>
      <c r="D9264" s="27" t="s">
        <v>915</v>
      </c>
      <c r="E9264" s="14" t="s">
        <v>2116</v>
      </c>
      <c r="F9264" s="14"/>
      <c r="G9264" s="17"/>
      <c r="H9264" s="17"/>
      <c r="I9264" s="57"/>
      <c r="J9264" s="57"/>
      <c r="K9264" s="19"/>
      <c r="L9264" s="20"/>
    </row>
    <row r="9265" spans="1:12" outlineLevel="2">
      <c r="A9265" s="21"/>
      <c r="B9265" s="12" t="str">
        <f>IFERROR(VLOOKUP(D9265,'[1]Перечень товаров'!$A$2:$I9525,2,0),"")</f>
        <v>т1</v>
      </c>
      <c r="C9265" s="12" t="str">
        <f>IFERROR(VLOOKUP(D9265,'[1]Перечень товаров'!$A$2:$I9525,3,0),"")</f>
        <v xml:space="preserve">Техника </v>
      </c>
      <c r="D9265" s="22" t="s">
        <v>28</v>
      </c>
      <c r="E9265" s="23"/>
      <c r="F9265" s="23"/>
      <c r="G9265" s="48">
        <v>1</v>
      </c>
      <c r="H9265" s="48"/>
      <c r="I9265" s="49"/>
      <c r="J9265" s="49"/>
      <c r="K9265" s="19"/>
      <c r="L9265" s="20"/>
    </row>
    <row r="9266" spans="1:12" outlineLevel="2">
      <c r="A9266" s="21"/>
      <c r="B9266" s="12" t="str">
        <f>IFERROR(VLOOKUP(D9266,'[1]Перечень товаров'!$A$2:$I9525,2,0),"")</f>
        <v>т2</v>
      </c>
      <c r="C9266" s="12" t="str">
        <f>IFERROR(VLOOKUP(D9266,'[1]Перечень товаров'!$A$2:$I9525,3,0),"")</f>
        <v xml:space="preserve">Техника </v>
      </c>
      <c r="D9266" s="22" t="s">
        <v>29</v>
      </c>
      <c r="E9266" s="23"/>
      <c r="F9266" s="23"/>
      <c r="G9266" s="48">
        <v>1</v>
      </c>
      <c r="H9266" s="48"/>
      <c r="I9266" s="49"/>
      <c r="J9266" s="49"/>
      <c r="K9266" s="19"/>
      <c r="L9266" s="20"/>
    </row>
    <row r="9267" spans="1:12" outlineLevel="2">
      <c r="A9267" s="35"/>
      <c r="B9267" s="12" t="str">
        <f>IFERROR(VLOOKUP(D9267,'[1]Перечень товаров'!$A$2:$I9525,2,0),"")</f>
        <v>т3</v>
      </c>
      <c r="C9267" s="12" t="str">
        <f>IFERROR(VLOOKUP(D9267,'[1]Перечень товаров'!$A$2:$I9525,3,0),"")</f>
        <v xml:space="preserve">Техника </v>
      </c>
      <c r="D9267" s="35" t="s">
        <v>30</v>
      </c>
      <c r="E9267" s="23"/>
      <c r="F9267" s="23"/>
      <c r="G9267" s="48">
        <v>1</v>
      </c>
      <c r="H9267" s="48"/>
      <c r="I9267" s="49"/>
      <c r="J9267" s="49"/>
      <c r="K9267" s="19"/>
      <c r="L9267" s="20"/>
    </row>
    <row r="9268" spans="1:12" outlineLevel="2">
      <c r="A9268" s="21"/>
      <c r="B9268" s="12" t="str">
        <f>IFERROR(VLOOKUP(D9268,'[1]Перечень товаров'!$A$2:$I9525,2,0),"")</f>
        <v>т8</v>
      </c>
      <c r="C9268" s="12" t="str">
        <f>IFERROR(VLOOKUP(D9268,'[1]Перечень товаров'!$A$2:$I9525,3,0),"")</f>
        <v xml:space="preserve">Техника </v>
      </c>
      <c r="D9268" s="22" t="s">
        <v>35</v>
      </c>
      <c r="E9268" s="23"/>
      <c r="F9268" s="23"/>
      <c r="G9268" s="205">
        <v>1</v>
      </c>
      <c r="H9268" s="205"/>
      <c r="I9268" s="206"/>
      <c r="J9268" s="206"/>
      <c r="K9268" s="19"/>
      <c r="L9268" s="20"/>
    </row>
    <row r="9269" spans="1:12" outlineLevel="2">
      <c r="A9269" s="21"/>
      <c r="B9269" s="12" t="str">
        <f>IFERROR(VLOOKUP(D9269,'[1]Перечень товаров'!$A$2:$I9525,2,0),"")</f>
        <v>т7</v>
      </c>
      <c r="C9269" s="12" t="str">
        <f>IFERROR(VLOOKUP(D9269,'[1]Перечень товаров'!$A$2:$I9525,3,0),"")</f>
        <v xml:space="preserve">Техника </v>
      </c>
      <c r="D9269" s="22" t="s">
        <v>34</v>
      </c>
      <c r="E9269" s="23"/>
      <c r="F9269" s="23"/>
      <c r="G9269" s="205">
        <v>2</v>
      </c>
      <c r="H9269" s="205"/>
      <c r="I9269" s="206"/>
      <c r="J9269" s="206"/>
      <c r="K9269" s="19"/>
      <c r="L9269" s="20"/>
    </row>
    <row r="9270" spans="1:12" outlineLevel="2">
      <c r="A9270" s="21"/>
      <c r="B9270" s="12" t="str">
        <f>IFERROR(VLOOKUP(D9270,'[1]Перечень товаров'!$A$2:$I9525,2,0),"")</f>
        <v>тм65</v>
      </c>
      <c r="C9270" s="12" t="str">
        <f>IFERROR(VLOOKUP(D9270,'[1]Перечень товаров'!$A$2:$I9525,3,0),"")</f>
        <v>Техника муз</v>
      </c>
      <c r="D9270" s="22" t="s">
        <v>380</v>
      </c>
      <c r="E9270" s="23"/>
      <c r="F9270" s="23"/>
      <c r="G9270" s="205">
        <v>1</v>
      </c>
      <c r="H9270" s="205"/>
      <c r="I9270" s="206"/>
      <c r="J9270" s="206"/>
      <c r="K9270" s="19"/>
      <c r="L9270" s="20"/>
    </row>
    <row r="9271" spans="1:12" outlineLevel="2">
      <c r="A9271" s="35"/>
      <c r="B9271" s="12" t="str">
        <f>IFERROR(VLOOKUP(D9271,'[1]Перечень товаров'!$A$2:$I9525,2,0),"")</f>
        <v>т182</v>
      </c>
      <c r="C9271" s="12" t="str">
        <f>IFERROR(VLOOKUP(D9271,'[1]Перечень товаров'!$A$2:$I9525,3,0),"")</f>
        <v>техника</v>
      </c>
      <c r="D9271" s="35" t="s">
        <v>916</v>
      </c>
      <c r="E9271" s="23"/>
      <c r="F9271" s="23"/>
      <c r="G9271" s="48">
        <v>1</v>
      </c>
      <c r="H9271" s="48"/>
      <c r="I9271" s="49"/>
      <c r="J9271" s="49"/>
      <c r="K9271" s="19"/>
      <c r="L9271" s="20"/>
    </row>
    <row r="9272" spans="1:12" outlineLevel="2">
      <c r="A9272" s="35"/>
      <c r="B9272" s="12" t="str">
        <f>IFERROR(VLOOKUP(D9272,'[1]Перечень товаров'!$A$2:$I9525,2,0),"")</f>
        <v>т12</v>
      </c>
      <c r="C9272" s="12" t="str">
        <f>IFERROR(VLOOKUP(D9272,'[1]Перечень товаров'!$A$2:$I9525,3,0),"")</f>
        <v>Техника</v>
      </c>
      <c r="D9272" s="35" t="s">
        <v>49</v>
      </c>
      <c r="E9272" s="23"/>
      <c r="F9272" s="23"/>
      <c r="G9272" s="205">
        <v>1</v>
      </c>
      <c r="H9272" s="205"/>
      <c r="I9272" s="206"/>
      <c r="J9272" s="206"/>
      <c r="K9272" s="19"/>
      <c r="L9272" s="20"/>
    </row>
    <row r="9273" spans="1:12" outlineLevel="2">
      <c r="A9273" s="35"/>
      <c r="B9273" s="12" t="str">
        <f>IFERROR(VLOOKUP(D9273,'[1]Перечень товаров'!$A$2:$I9525,2,0),"")</f>
        <v>т181</v>
      </c>
      <c r="C9273" s="12" t="str">
        <f>IFERROR(VLOOKUP(D9273,'[1]Перечень товаров'!$A$2:$I9525,3,0),"")</f>
        <v>техника</v>
      </c>
      <c r="D9273" s="35" t="s">
        <v>917</v>
      </c>
      <c r="E9273" s="23"/>
      <c r="F9273" s="23"/>
      <c r="G9273" s="205">
        <v>1</v>
      </c>
      <c r="H9273" s="205"/>
      <c r="I9273" s="206"/>
      <c r="J9273" s="206"/>
      <c r="K9273" s="19"/>
      <c r="L9273" s="20"/>
    </row>
    <row r="9274" spans="1:12" outlineLevel="2">
      <c r="A9274" s="35"/>
      <c r="B9274" s="12" t="str">
        <f>IFERROR(VLOOKUP(D9274,'[1]Перечень товаров'!$A$2:$I9525,2,0),"")</f>
        <v>т6</v>
      </c>
      <c r="C9274" s="12" t="str">
        <f>IFERROR(VLOOKUP(D9274,'[1]Перечень товаров'!$A$2:$I9525,3,0),"")</f>
        <v xml:space="preserve">Техника </v>
      </c>
      <c r="D9274" s="35" t="s">
        <v>33</v>
      </c>
      <c r="E9274" s="23"/>
      <c r="F9274" s="23"/>
      <c r="G9274" s="205">
        <v>1</v>
      </c>
      <c r="H9274" s="205"/>
      <c r="I9274" s="206"/>
      <c r="J9274" s="206"/>
      <c r="K9274" s="19"/>
      <c r="L9274" s="20"/>
    </row>
    <row r="9275" spans="1:12" outlineLevel="2">
      <c r="A9275" s="21"/>
      <c r="B9275" s="12" t="str">
        <f>IFERROR(VLOOKUP(D9275,'[1]Перечень товаров'!$A$2:$I9525,2,0),"")</f>
        <v>д563</v>
      </c>
      <c r="C9275" s="12" t="str">
        <f>IFERROR(VLOOKUP(D9275,'[1]Перечень товаров'!$A$2:$I9525,3,0),"")</f>
        <v>дидактика</v>
      </c>
      <c r="D9275" s="22" t="s">
        <v>918</v>
      </c>
      <c r="E9275" s="23"/>
      <c r="F9275" s="23"/>
      <c r="G9275" s="205">
        <v>1</v>
      </c>
      <c r="H9275" s="205"/>
      <c r="I9275" s="206"/>
      <c r="J9275" s="206"/>
      <c r="K9275" s="19"/>
      <c r="L9275" s="20"/>
    </row>
    <row r="9276" spans="1:12" outlineLevel="2">
      <c r="A9276" s="21"/>
      <c r="B9276" s="12" t="str">
        <f>IFERROR(VLOOKUP(D9276,'[1]Перечень товаров'!$A$2:$I9525,2,0),"")</f>
        <v>д562</v>
      </c>
      <c r="C9276" s="12" t="str">
        <f>IFERROR(VLOOKUP(D9276,'[1]Перечень товаров'!$A$2:$I9525,3,0),"")</f>
        <v>дидактика</v>
      </c>
      <c r="D9276" s="22" t="s">
        <v>919</v>
      </c>
      <c r="E9276" s="23"/>
      <c r="F9276" s="23"/>
      <c r="G9276" s="205">
        <v>1</v>
      </c>
      <c r="H9276" s="205"/>
      <c r="I9276" s="206"/>
      <c r="J9276" s="206"/>
      <c r="K9276" s="19"/>
      <c r="L9276" s="20"/>
    </row>
    <row r="9277" spans="1:12" outlineLevel="2">
      <c r="A9277" s="21"/>
      <c r="B9277" s="12" t="str">
        <f>IFERROR(VLOOKUP(D9277,'[1]Перечень товаров'!$A$2:$I9525,2,0),"")</f>
        <v>д561</v>
      </c>
      <c r="C9277" s="12" t="str">
        <f>IFERROR(VLOOKUP(D9277,'[1]Перечень товаров'!$A$2:$I9525,3,0),"")</f>
        <v>дидактика</v>
      </c>
      <c r="D9277" s="22" t="s">
        <v>920</v>
      </c>
      <c r="E9277" s="23"/>
      <c r="F9277" s="23"/>
      <c r="G9277" s="205">
        <v>1</v>
      </c>
      <c r="H9277" s="205"/>
      <c r="I9277" s="206"/>
      <c r="J9277" s="206"/>
      <c r="K9277" s="19"/>
      <c r="L9277" s="20"/>
    </row>
    <row r="9278" spans="1:12" ht="12.75" outlineLevel="2">
      <c r="A9278" s="77"/>
      <c r="B9278" s="12" t="str">
        <f>IFERROR(VLOOKUP(D9278,'[1]Перечень товаров'!$A$2:$I9525,2,0),"")</f>
        <v/>
      </c>
      <c r="C9278" s="12" t="str">
        <f>IFERROR(VLOOKUP(D9278,'[1]Перечень товаров'!$A$2:$I9525,3,0),"")</f>
        <v/>
      </c>
      <c r="D9278" s="78" t="s">
        <v>921</v>
      </c>
      <c r="E9278" s="15"/>
      <c r="F9278" s="15"/>
      <c r="G9278" s="17"/>
      <c r="H9278" s="17"/>
      <c r="I9278" s="57"/>
      <c r="J9278" s="57"/>
      <c r="K9278" s="19"/>
      <c r="L9278" s="20"/>
    </row>
    <row r="9279" spans="1:12" outlineLevel="2">
      <c r="A9279" s="21"/>
      <c r="B9279" s="12" t="str">
        <f>IFERROR(VLOOKUP(D9279,'[1]Перечень товаров'!$A$2:$I9525,2,0),"")</f>
        <v>м190</v>
      </c>
      <c r="C9279" s="12" t="str">
        <f>IFERROR(VLOOKUP(D9279,'[1]Перечень товаров'!$A$2:$I9525,3,0),"")</f>
        <v>мебель</v>
      </c>
      <c r="D9279" s="22" t="s">
        <v>922</v>
      </c>
      <c r="E9279" s="23"/>
      <c r="F9279" s="23"/>
      <c r="G9279" s="24">
        <v>1</v>
      </c>
      <c r="H9279" s="24"/>
      <c r="I9279" s="25"/>
      <c r="J9279" s="25"/>
      <c r="K9279" s="19"/>
      <c r="L9279" s="20"/>
    </row>
    <row r="9280" spans="1:12" outlineLevel="2">
      <c r="A9280" s="21"/>
      <c r="B9280" s="12" t="str">
        <f>IFERROR(VLOOKUP(D9280,'[1]Перечень товаров'!$A$2:$I9525,2,0),"")</f>
        <v>д560</v>
      </c>
      <c r="C9280" s="12" t="str">
        <f>IFERROR(VLOOKUP(D9280,'[1]Перечень товаров'!$A$2:$I9525,3,0),"")</f>
        <v>дидактика</v>
      </c>
      <c r="D9280" s="22" t="s">
        <v>923</v>
      </c>
      <c r="E9280" s="23"/>
      <c r="F9280" s="23"/>
      <c r="G9280" s="24">
        <v>1</v>
      </c>
      <c r="H9280" s="24"/>
      <c r="I9280" s="25"/>
      <c r="J9280" s="25"/>
      <c r="K9280" s="19"/>
      <c r="L9280" s="20"/>
    </row>
    <row r="9281" spans="1:12" outlineLevel="2">
      <c r="A9281" s="21"/>
      <c r="B9281" s="12" t="str">
        <f>IFERROR(VLOOKUP(D9281,'[1]Перечень товаров'!$A$2:$I9525,2,0),"")</f>
        <v>м14</v>
      </c>
      <c r="C9281" s="12" t="str">
        <f>IFERROR(VLOOKUP(D9281,'[1]Перечень товаров'!$A$2:$I9525,3,0),"")</f>
        <v>Мебель</v>
      </c>
      <c r="D9281" s="22" t="s">
        <v>43</v>
      </c>
      <c r="E9281" s="23"/>
      <c r="F9281" s="23"/>
      <c r="G9281" s="24">
        <v>1</v>
      </c>
      <c r="H9281" s="24"/>
      <c r="I9281" s="25"/>
      <c r="J9281" s="25"/>
      <c r="K9281" s="19"/>
      <c r="L9281" s="20"/>
    </row>
    <row r="9282" spans="1:12" outlineLevel="2">
      <c r="A9282" s="21"/>
      <c r="B9282" s="12" t="str">
        <f>IFERROR(VLOOKUP(D9282,'[1]Перечень товаров'!$A$2:$I9525,2,0),"")</f>
        <v>м189</v>
      </c>
      <c r="C9282" s="12" t="str">
        <f>IFERROR(VLOOKUP(D9282,'[1]Перечень товаров'!$A$2:$I9525,3,0),"")</f>
        <v>мебель</v>
      </c>
      <c r="D9282" s="22" t="s">
        <v>924</v>
      </c>
      <c r="E9282" s="23"/>
      <c r="F9282" s="23"/>
      <c r="G9282" s="24">
        <v>1</v>
      </c>
      <c r="H9282" s="24"/>
      <c r="I9282" s="25"/>
      <c r="J9282" s="25"/>
      <c r="K9282" s="19"/>
      <c r="L9282" s="20"/>
    </row>
    <row r="9283" spans="1:12" outlineLevel="2">
      <c r="A9283" s="21"/>
      <c r="B9283" s="12" t="str">
        <f>IFERROR(VLOOKUP(D9283,'[1]Перечень товаров'!$A$2:$I9525,2,0),"")</f>
        <v>м188</v>
      </c>
      <c r="C9283" s="12" t="str">
        <f>IFERROR(VLOOKUP(D9283,'[1]Перечень товаров'!$A$2:$I9525,3,0),"")</f>
        <v>мебель</v>
      </c>
      <c r="D9283" s="22" t="s">
        <v>925</v>
      </c>
      <c r="E9283" s="23"/>
      <c r="F9283" s="23"/>
      <c r="G9283" s="24">
        <v>1</v>
      </c>
      <c r="H9283" s="24"/>
      <c r="I9283" s="25"/>
      <c r="J9283" s="25"/>
      <c r="K9283" s="19"/>
      <c r="L9283" s="20"/>
    </row>
    <row r="9284" spans="1:12" outlineLevel="2">
      <c r="A9284" s="21"/>
      <c r="B9284" s="12" t="str">
        <f>IFERROR(VLOOKUP(D9284,'[1]Перечень товаров'!$A$2:$I9525,2,0),"")</f>
        <v>м19</v>
      </c>
      <c r="C9284" s="12" t="str">
        <f>IFERROR(VLOOKUP(D9284,'[1]Перечень товаров'!$A$2:$I9525,3,0),"")</f>
        <v>Мебель</v>
      </c>
      <c r="D9284" s="22" t="s">
        <v>53</v>
      </c>
      <c r="E9284" s="23"/>
      <c r="F9284" s="23"/>
      <c r="G9284" s="24">
        <v>1</v>
      </c>
      <c r="H9284" s="24"/>
      <c r="I9284" s="25"/>
      <c r="J9284" s="25"/>
      <c r="K9284" s="19"/>
      <c r="L9284" s="20"/>
    </row>
    <row r="9285" spans="1:12" outlineLevel="2">
      <c r="A9285" s="21"/>
      <c r="B9285" s="12" t="str">
        <f>IFERROR(VLOOKUP(D9285,'[1]Перечень товаров'!$A$2:$I9525,2,0),"")</f>
        <v>м187</v>
      </c>
      <c r="C9285" s="12" t="str">
        <f>IFERROR(VLOOKUP(D9285,'[1]Перечень товаров'!$A$2:$I9525,3,0),"")</f>
        <v>мебель</v>
      </c>
      <c r="D9285" s="22" t="s">
        <v>877</v>
      </c>
      <c r="E9285" s="23"/>
      <c r="F9285" s="23"/>
      <c r="G9285" s="24">
        <v>1</v>
      </c>
      <c r="H9285" s="24"/>
      <c r="I9285" s="25"/>
      <c r="J9285" s="25"/>
      <c r="K9285" s="19"/>
      <c r="L9285" s="20"/>
    </row>
    <row r="9286" spans="1:12" outlineLevel="2">
      <c r="A9286" s="21"/>
      <c r="B9286" s="12" t="str">
        <f>IFERROR(VLOOKUP(D9286,'[1]Перечень товаров'!$A$2:$I9525,2,0),"")</f>
        <v>тм77</v>
      </c>
      <c r="C9286" s="12" t="str">
        <f>IFERROR(VLOOKUP(D9286,'[1]Перечень товаров'!$A$2:$I9525,3,0),"")</f>
        <v>Техника муз</v>
      </c>
      <c r="D9286" s="22" t="s">
        <v>875</v>
      </c>
      <c r="E9286" s="23"/>
      <c r="F9286" s="23"/>
      <c r="G9286" s="24">
        <v>1</v>
      </c>
      <c r="H9286" s="24"/>
      <c r="I9286" s="25"/>
      <c r="J9286" s="25"/>
      <c r="K9286" s="19"/>
      <c r="L9286" s="20"/>
    </row>
    <row r="9287" spans="1:12" outlineLevel="2">
      <c r="A9287" s="21"/>
      <c r="B9287" s="12" t="str">
        <f>IFERROR(VLOOKUP(D9287,'[1]Перечень товаров'!$A$2:$I9525,2,0),"")</f>
        <v>м137</v>
      </c>
      <c r="C9287" s="12" t="str">
        <f>IFERROR(VLOOKUP(D9287,'[1]Перечень товаров'!$A$2:$I9525,3,0),"")</f>
        <v>мебель</v>
      </c>
      <c r="D9287" s="22" t="s">
        <v>876</v>
      </c>
      <c r="E9287" s="23"/>
      <c r="F9287" s="23"/>
      <c r="G9287" s="24">
        <v>1</v>
      </c>
      <c r="H9287" s="24"/>
      <c r="I9287" s="25"/>
      <c r="J9287" s="25"/>
      <c r="K9287" s="19"/>
      <c r="L9287" s="20"/>
    </row>
    <row r="9288" spans="1:12" ht="12.75" outlineLevel="1">
      <c r="A9288" s="11"/>
      <c r="B9288" s="12" t="str">
        <f>IFERROR(VLOOKUP(D9288,'[1]Перечень товаров'!$A$2:$I9525,2,0),"")</f>
        <v/>
      </c>
      <c r="C9288" s="12" t="str">
        <f>IFERROR(VLOOKUP(D9288,'[1]Перечень товаров'!$A$2:$I9525,3,0),"")</f>
        <v/>
      </c>
      <c r="D9288" s="27" t="s">
        <v>528</v>
      </c>
      <c r="E9288" s="99">
        <v>46056</v>
      </c>
      <c r="F9288" s="99"/>
      <c r="G9288" s="100"/>
      <c r="H9288" s="100"/>
      <c r="I9288" s="101"/>
      <c r="J9288" s="101"/>
      <c r="K9288" s="19"/>
      <c r="L9288" s="20"/>
    </row>
    <row r="9289" spans="1:12" outlineLevel="2">
      <c r="A9289" s="21"/>
      <c r="B9289" s="12" t="str">
        <f>IFERROR(VLOOKUP(D9289,'[1]Перечень товаров'!$A$2:$I9525,2,0),"")</f>
        <v>м167</v>
      </c>
      <c r="C9289" s="12" t="str">
        <f>IFERROR(VLOOKUP(D9289,'[1]Перечень товаров'!$A$2:$I9525,3,0),"")</f>
        <v>Мебель</v>
      </c>
      <c r="D9289" s="22" t="s">
        <v>508</v>
      </c>
      <c r="E9289" s="102"/>
      <c r="F9289" s="102"/>
      <c r="G9289" s="48">
        <v>2</v>
      </c>
      <c r="H9289" s="48"/>
      <c r="I9289" s="49"/>
      <c r="J9289" s="49"/>
      <c r="K9289" s="19"/>
      <c r="L9289" s="20"/>
    </row>
    <row r="9290" spans="1:12" outlineLevel="2">
      <c r="A9290" s="21"/>
      <c r="B9290" s="12" t="str">
        <f>IFERROR(VLOOKUP(D9290,'[1]Перечень товаров'!$A$2:$I9525,2,0),"")</f>
        <v>п46</v>
      </c>
      <c r="C9290" s="12" t="str">
        <f>IFERROR(VLOOKUP(D9290,'[1]Перечень товаров'!$A$2:$I9525,3,0),"")</f>
        <v>Прочее</v>
      </c>
      <c r="D9290" s="22" t="s">
        <v>509</v>
      </c>
      <c r="E9290" s="102"/>
      <c r="F9290" s="102"/>
      <c r="G9290" s="48">
        <v>2</v>
      </c>
      <c r="H9290" s="48"/>
      <c r="I9290" s="49"/>
      <c r="J9290" s="49"/>
      <c r="K9290" s="19"/>
      <c r="L9290" s="20"/>
    </row>
    <row r="9291" spans="1:12" outlineLevel="2">
      <c r="A9291" s="21"/>
      <c r="B9291" s="12" t="str">
        <f>IFERROR(VLOOKUP(D9291,'[1]Перечень товаров'!$A$2:$I9525,2,0),"")</f>
        <v>п47</v>
      </c>
      <c r="C9291" s="12" t="str">
        <f>IFERROR(VLOOKUP(D9291,'[1]Перечень товаров'!$A$2:$I9525,3,0),"")</f>
        <v>Прочее</v>
      </c>
      <c r="D9291" s="22" t="s">
        <v>510</v>
      </c>
      <c r="E9291" s="102"/>
      <c r="F9291" s="102"/>
      <c r="G9291" s="48">
        <v>3</v>
      </c>
      <c r="H9291" s="48"/>
      <c r="I9291" s="49"/>
      <c r="J9291" s="49"/>
      <c r="K9291" s="19"/>
      <c r="L9291" s="20"/>
    </row>
    <row r="9292" spans="1:12" outlineLevel="2">
      <c r="A9292" s="21"/>
      <c r="B9292" s="12" t="str">
        <f>IFERROR(VLOOKUP(D9292,'[1]Перечень товаров'!$A$2:$I9525,2,0),"")</f>
        <v>п48</v>
      </c>
      <c r="C9292" s="12" t="str">
        <f>IFERROR(VLOOKUP(D9292,'[1]Перечень товаров'!$A$2:$I9525,3,0),"")</f>
        <v>Прочее</v>
      </c>
      <c r="D9292" s="22" t="s">
        <v>511</v>
      </c>
      <c r="E9292" s="102"/>
      <c r="F9292" s="102"/>
      <c r="G9292" s="48">
        <v>6</v>
      </c>
      <c r="H9292" s="48"/>
      <c r="I9292" s="49"/>
      <c r="J9292" s="49"/>
      <c r="K9292" s="19"/>
      <c r="L9292" s="20"/>
    </row>
    <row r="9293" spans="1:12" ht="31.5" outlineLevel="2">
      <c r="A9293" s="21"/>
      <c r="B9293" s="12" t="str">
        <f>IFERROR(VLOOKUP(D9293,'[1]Перечень товаров'!$A$2:$I9525,2,0),"")</f>
        <v>м168</v>
      </c>
      <c r="C9293" s="12" t="str">
        <f>IFERROR(VLOOKUP(D9293,'[1]Перечень товаров'!$A$2:$I9525,3,0),"")</f>
        <v>Мебель</v>
      </c>
      <c r="D9293" s="22" t="s">
        <v>512</v>
      </c>
      <c r="E9293" s="102"/>
      <c r="F9293" s="102"/>
      <c r="G9293" s="48">
        <v>1</v>
      </c>
      <c r="H9293" s="48"/>
      <c r="I9293" s="49"/>
      <c r="J9293" s="49"/>
      <c r="K9293" s="19"/>
      <c r="L9293" s="20"/>
    </row>
    <row r="9294" spans="1:12" ht="12.75" outlineLevel="1">
      <c r="A9294" s="11"/>
      <c r="B9294" s="12" t="str">
        <f>IFERROR(VLOOKUP(D9294,'[1]Перечень товаров'!$A$2:$I9525,2,0),"")</f>
        <v/>
      </c>
      <c r="C9294" s="12" t="str">
        <f>IFERROR(VLOOKUP(D9294,'[1]Перечень товаров'!$A$2:$I9525,3,0),"")</f>
        <v/>
      </c>
      <c r="D9294" s="27" t="s">
        <v>879</v>
      </c>
      <c r="E9294" s="14" t="s">
        <v>819</v>
      </c>
      <c r="F9294" s="14"/>
      <c r="G9294" s="17"/>
      <c r="H9294" s="17"/>
      <c r="I9294" s="57"/>
      <c r="J9294" s="57"/>
      <c r="K9294" s="19"/>
      <c r="L9294" s="20"/>
    </row>
    <row r="9295" spans="1:12" outlineLevel="2">
      <c r="A9295" s="43"/>
      <c r="B9295" s="12" t="str">
        <f>IFERROR(VLOOKUP(D9295,'[1]Перечень товаров'!$A$2:$I9525,2,0),"")</f>
        <v>м222</v>
      </c>
      <c r="C9295" s="12" t="str">
        <f>IFERROR(VLOOKUP(D9295,'[1]Перечень товаров'!$A$2:$I9525,3,0),"")</f>
        <v>Мебель</v>
      </c>
      <c r="D9295" s="44" t="s">
        <v>880</v>
      </c>
      <c r="E9295" s="102"/>
      <c r="F9295" s="102"/>
      <c r="G9295" s="24">
        <v>1</v>
      </c>
      <c r="H9295" s="24"/>
      <c r="I9295" s="25"/>
      <c r="J9295" s="25"/>
      <c r="K9295" s="19"/>
      <c r="L9295" s="20"/>
    </row>
    <row r="9296" spans="1:12" outlineLevel="2">
      <c r="A9296" s="43"/>
      <c r="B9296" s="12" t="str">
        <f>IFERROR(VLOOKUP(D9296,'[1]Перечень товаров'!$A$2:$I9525,2,0),"")</f>
        <v>м223</v>
      </c>
      <c r="C9296" s="12" t="str">
        <f>IFERROR(VLOOKUP(D9296,'[1]Перечень товаров'!$A$2:$I9525,3,0),"")</f>
        <v>Мебель</v>
      </c>
      <c r="D9296" s="44" t="s">
        <v>881</v>
      </c>
      <c r="E9296" s="102"/>
      <c r="F9296" s="102"/>
      <c r="G9296" s="24">
        <v>1</v>
      </c>
      <c r="H9296" s="24"/>
      <c r="I9296" s="25"/>
      <c r="J9296" s="25"/>
      <c r="K9296" s="19"/>
      <c r="L9296" s="20"/>
    </row>
    <row r="9297" spans="1:12" outlineLevel="2">
      <c r="A9297" s="43"/>
      <c r="B9297" s="12" t="str">
        <f>IFERROR(VLOOKUP(D9297,'[1]Перечень товаров'!$A$2:$I9525,2,0),"")</f>
        <v>м224</v>
      </c>
      <c r="C9297" s="12" t="str">
        <f>IFERROR(VLOOKUP(D9297,'[1]Перечень товаров'!$A$2:$I9525,3,0),"")</f>
        <v>Мебель</v>
      </c>
      <c r="D9297" s="44" t="s">
        <v>882</v>
      </c>
      <c r="E9297" s="102"/>
      <c r="F9297" s="102"/>
      <c r="G9297" s="24">
        <v>1</v>
      </c>
      <c r="H9297" s="24"/>
      <c r="I9297" s="25"/>
      <c r="J9297" s="25"/>
      <c r="K9297" s="19"/>
      <c r="L9297" s="20"/>
    </row>
    <row r="9298" spans="1:12" outlineLevel="2">
      <c r="A9298" s="43"/>
      <c r="B9298" s="12" t="str">
        <f>IFERROR(VLOOKUP(D9298,'[1]Перечень товаров'!$A$2:$I9525,2,0),"")</f>
        <v>м225</v>
      </c>
      <c r="C9298" s="12" t="str">
        <f>IFERROR(VLOOKUP(D9298,'[1]Перечень товаров'!$A$2:$I9525,3,0),"")</f>
        <v>Мебель</v>
      </c>
      <c r="D9298" s="44" t="s">
        <v>883</v>
      </c>
      <c r="E9298" s="102"/>
      <c r="F9298" s="102"/>
      <c r="G9298" s="24">
        <v>1</v>
      </c>
      <c r="H9298" s="24"/>
      <c r="I9298" s="25"/>
      <c r="J9298" s="25"/>
      <c r="K9298" s="19"/>
      <c r="L9298" s="20"/>
    </row>
    <row r="9299" spans="1:12" outlineLevel="2">
      <c r="A9299" s="43"/>
      <c r="B9299" s="12" t="str">
        <f>IFERROR(VLOOKUP(D9299,'[1]Перечень товаров'!$A$2:$I9525,2,0),"")</f>
        <v>п28</v>
      </c>
      <c r="C9299" s="12" t="str">
        <f>IFERROR(VLOOKUP(D9299,'[1]Перечень товаров'!$A$2:$I9525,3,0),"")</f>
        <v>Прочее</v>
      </c>
      <c r="D9299" s="44" t="s">
        <v>363</v>
      </c>
      <c r="E9299" s="102"/>
      <c r="F9299" s="102"/>
      <c r="G9299" s="24">
        <v>1</v>
      </c>
      <c r="H9299" s="24"/>
      <c r="I9299" s="25"/>
      <c r="J9299" s="25"/>
      <c r="K9299" s="19"/>
      <c r="L9299" s="20"/>
    </row>
    <row r="9300" spans="1:12" outlineLevel="2">
      <c r="A9300" s="43"/>
      <c r="B9300" s="12" t="str">
        <f>IFERROR(VLOOKUP(D9300,'[1]Перечень товаров'!$A$2:$I9525,2,0),"")</f>
        <v>м226</v>
      </c>
      <c r="C9300" s="12" t="str">
        <f>IFERROR(VLOOKUP(D9300,'[1]Перечень товаров'!$A$2:$I9525,3,0),"")</f>
        <v>Мебель</v>
      </c>
      <c r="D9300" s="44" t="s">
        <v>884</v>
      </c>
      <c r="E9300" s="102"/>
      <c r="F9300" s="102"/>
      <c r="G9300" s="24">
        <v>1</v>
      </c>
      <c r="H9300" s="24"/>
      <c r="I9300" s="25"/>
      <c r="J9300" s="25"/>
      <c r="K9300" s="19"/>
      <c r="L9300" s="20"/>
    </row>
    <row r="9301" spans="1:12" ht="12.75" outlineLevel="1">
      <c r="A9301" s="11"/>
      <c r="B9301" s="12" t="str">
        <f>IFERROR(VLOOKUP(D9301,'[1]Перечень товаров'!$A$2:$I9525,2,0),"")</f>
        <v/>
      </c>
      <c r="C9301" s="12" t="str">
        <f>IFERROR(VLOOKUP(D9301,'[1]Перечень товаров'!$A$2:$I9525,3,0),"")</f>
        <v/>
      </c>
      <c r="D9301" s="27" t="s">
        <v>914</v>
      </c>
      <c r="E9301" s="99">
        <v>46178</v>
      </c>
      <c r="F9301" s="99"/>
      <c r="G9301" s="100"/>
      <c r="H9301" s="100"/>
      <c r="I9301" s="101"/>
      <c r="J9301" s="101"/>
      <c r="K9301" s="19"/>
      <c r="L9301" s="20"/>
    </row>
    <row r="9302" spans="1:12" outlineLevel="2">
      <c r="A9302" s="22"/>
      <c r="B9302" s="12" t="str">
        <f>IFERROR(VLOOKUP(D9302,'[1]Перечень товаров'!$A$2:$I9525,2,0),"")</f>
        <v>п25</v>
      </c>
      <c r="C9302" s="12" t="str">
        <f>IFERROR(VLOOKUP(D9302,'[1]Перечень товаров'!$A$2:$I9525,3,0),"")</f>
        <v>Прочее</v>
      </c>
      <c r="D9302" s="22" t="s">
        <v>360</v>
      </c>
      <c r="E9302" s="102"/>
      <c r="F9302" s="102"/>
      <c r="G9302" s="48">
        <v>3</v>
      </c>
      <c r="H9302" s="48"/>
      <c r="I9302" s="49"/>
      <c r="J9302" s="49"/>
      <c r="K9302" s="33"/>
      <c r="L9302" s="20"/>
    </row>
    <row r="9303" spans="1:12" outlineLevel="2">
      <c r="A9303" s="21"/>
      <c r="B9303" s="12" t="str">
        <f>IFERROR(VLOOKUP(D9303,'[1]Перечень товаров'!$A$2:$I9525,2,0),"")</f>
        <v>п26</v>
      </c>
      <c r="C9303" s="12" t="str">
        <f>IFERROR(VLOOKUP(D9303,'[1]Перечень товаров'!$A$2:$I9525,3,0),"")</f>
        <v>Прочее</v>
      </c>
      <c r="D9303" s="22" t="s">
        <v>361</v>
      </c>
      <c r="E9303" s="102"/>
      <c r="F9303" s="102"/>
      <c r="G9303" s="48">
        <v>2</v>
      </c>
      <c r="H9303" s="48"/>
      <c r="I9303" s="49"/>
      <c r="J9303" s="49"/>
      <c r="K9303" s="33"/>
      <c r="L9303" s="20"/>
    </row>
    <row r="9304" spans="1:12" outlineLevel="2">
      <c r="A9304" s="21"/>
      <c r="B9304" s="12" t="str">
        <f>IFERROR(VLOOKUP(D9304,'[1]Перечень товаров'!$A$2:$I9525,2,0),"")</f>
        <v>п27</v>
      </c>
      <c r="C9304" s="12" t="str">
        <f>IFERROR(VLOOKUP(D9304,'[1]Перечень товаров'!$A$2:$I9525,3,0),"")</f>
        <v>Прочее</v>
      </c>
      <c r="D9304" s="22" t="s">
        <v>362</v>
      </c>
      <c r="E9304" s="102"/>
      <c r="F9304" s="102"/>
      <c r="G9304" s="48">
        <v>2</v>
      </c>
      <c r="H9304" s="48"/>
      <c r="I9304" s="49"/>
      <c r="J9304" s="49"/>
      <c r="K9304" s="33"/>
      <c r="L9304" s="20"/>
    </row>
    <row r="9305" spans="1:12" outlineLevel="2">
      <c r="A9305" s="21"/>
      <c r="B9305" s="12" t="str">
        <f>IFERROR(VLOOKUP(D9305,'[1]Перечень товаров'!$A$2:$I9525,2,0),"")</f>
        <v>п28</v>
      </c>
      <c r="C9305" s="12" t="str">
        <f>IFERROR(VLOOKUP(D9305,'[1]Перечень товаров'!$A$2:$I9525,3,0),"")</f>
        <v>Прочее</v>
      </c>
      <c r="D9305" s="22" t="s">
        <v>363</v>
      </c>
      <c r="E9305" s="102"/>
      <c r="F9305" s="102"/>
      <c r="G9305" s="48">
        <v>1</v>
      </c>
      <c r="H9305" s="48"/>
      <c r="I9305" s="49"/>
      <c r="J9305" s="49"/>
      <c r="K9305" s="33"/>
      <c r="L9305" s="20"/>
    </row>
    <row r="9306" spans="1:12" outlineLevel="2">
      <c r="A9306" s="21"/>
      <c r="B9306" s="12" t="str">
        <f>IFERROR(VLOOKUP(D9306,'[1]Перечень товаров'!$A$2:$I9525,2,0),"")</f>
        <v>п29</v>
      </c>
      <c r="C9306" s="12" t="str">
        <f>IFERROR(VLOOKUP(D9306,'[1]Перечень товаров'!$A$2:$I9525,3,0),"")</f>
        <v>Прочее</v>
      </c>
      <c r="D9306" s="22" t="s">
        <v>364</v>
      </c>
      <c r="E9306" s="102"/>
      <c r="F9306" s="102"/>
      <c r="G9306" s="48">
        <v>6</v>
      </c>
      <c r="H9306" s="48"/>
      <c r="I9306" s="49"/>
      <c r="J9306" s="49"/>
      <c r="K9306" s="33"/>
      <c r="L9306" s="20"/>
    </row>
    <row r="9307" spans="1:12" outlineLevel="2">
      <c r="A9307" s="21"/>
      <c r="B9307" s="12" t="str">
        <f>IFERROR(VLOOKUP(D9307,'[1]Перечень товаров'!$A$2:$I9525,2,0),"")</f>
        <v>п30</v>
      </c>
      <c r="C9307" s="12" t="str">
        <f>IFERROR(VLOOKUP(D9307,'[1]Перечень товаров'!$A$2:$I9525,3,0),"")</f>
        <v>Прочее</v>
      </c>
      <c r="D9307" s="22" t="s">
        <v>365</v>
      </c>
      <c r="E9307" s="102"/>
      <c r="F9307" s="102"/>
      <c r="G9307" s="48">
        <v>2</v>
      </c>
      <c r="H9307" s="48"/>
      <c r="I9307" s="49"/>
      <c r="J9307" s="49"/>
      <c r="K9307" s="33"/>
      <c r="L9307" s="20"/>
    </row>
    <row r="9308" spans="1:12" ht="31.5" outlineLevel="2">
      <c r="A9308" s="21"/>
      <c r="B9308" s="12" t="str">
        <f>IFERROR(VLOOKUP(D9308,'[1]Перечень товаров'!$A$2:$I9525,2,0),"")</f>
        <v>п31</v>
      </c>
      <c r="C9308" s="12" t="str">
        <f>IFERROR(VLOOKUP(D9308,'[1]Перечень товаров'!$A$2:$I9525,3,0),"")</f>
        <v>Прочее</v>
      </c>
      <c r="D9308" s="22" t="s">
        <v>366</v>
      </c>
      <c r="E9308" s="102"/>
      <c r="F9308" s="102"/>
      <c r="G9308" s="48">
        <v>1</v>
      </c>
      <c r="H9308" s="48"/>
      <c r="I9308" s="49"/>
      <c r="J9308" s="49"/>
      <c r="K9308" s="33"/>
      <c r="L9308" s="20"/>
    </row>
    <row r="9309" spans="1:12" ht="31.5" outlineLevel="2">
      <c r="A9309" s="21"/>
      <c r="B9309" s="12" t="str">
        <f>IFERROR(VLOOKUP(D9309,'[1]Перечень товаров'!$A$2:$I9525,2,0),"")</f>
        <v>п32</v>
      </c>
      <c r="C9309" s="12" t="str">
        <f>IFERROR(VLOOKUP(D9309,'[1]Перечень товаров'!$A$2:$I9525,3,0),"")</f>
        <v>Прочее</v>
      </c>
      <c r="D9309" s="22" t="s">
        <v>367</v>
      </c>
      <c r="E9309" s="102"/>
      <c r="F9309" s="102"/>
      <c r="G9309" s="48">
        <v>2</v>
      </c>
      <c r="H9309" s="48"/>
      <c r="I9309" s="49"/>
      <c r="J9309" s="49"/>
      <c r="K9309" s="33"/>
      <c r="L9309" s="20"/>
    </row>
    <row r="9310" spans="1:12" ht="12.75" outlineLevel="1">
      <c r="A9310" s="11"/>
      <c r="B9310" s="12" t="str">
        <f>IFERROR(VLOOKUP(D9310,'[1]Перечень товаров'!$A$2:$I9525,2,0),"")</f>
        <v/>
      </c>
      <c r="C9310" s="12" t="str">
        <f>IFERROR(VLOOKUP(D9310,'[1]Перечень товаров'!$A$2:$I9525,3,0),"")</f>
        <v/>
      </c>
      <c r="D9310" s="27" t="s">
        <v>913</v>
      </c>
      <c r="E9310" s="99">
        <v>46128</v>
      </c>
      <c r="F9310" s="99"/>
      <c r="G9310" s="100"/>
      <c r="H9310" s="100"/>
      <c r="I9310" s="101"/>
      <c r="J9310" s="101"/>
      <c r="K9310" s="19"/>
      <c r="L9310" s="20"/>
    </row>
    <row r="9311" spans="1:12" outlineLevel="2">
      <c r="A9311" s="21"/>
      <c r="B9311" s="12" t="str">
        <f>IFERROR(VLOOKUP(D9311,'[1]Перечень товаров'!$A$2:$I9525,2,0),"")</f>
        <v>м190</v>
      </c>
      <c r="C9311" s="12" t="str">
        <f>IFERROR(VLOOKUP(D9311,'[1]Перечень товаров'!$A$2:$I9525,3,0),"")</f>
        <v>мебель</v>
      </c>
      <c r="D9311" s="22" t="s">
        <v>922</v>
      </c>
      <c r="E9311" s="23"/>
      <c r="F9311" s="23"/>
      <c r="G9311" s="24">
        <v>1</v>
      </c>
      <c r="H9311" s="24"/>
      <c r="I9311" s="25"/>
      <c r="J9311" s="25"/>
      <c r="K9311" s="19"/>
      <c r="L9311" s="20"/>
    </row>
    <row r="9312" spans="1:12" outlineLevel="2">
      <c r="A9312" s="21"/>
      <c r="B9312" s="12" t="str">
        <f>IFERROR(VLOOKUP(D9312,'[1]Перечень товаров'!$A$2:$I9525,2,0),"")</f>
        <v>д560</v>
      </c>
      <c r="C9312" s="12" t="str">
        <f>IFERROR(VLOOKUP(D9312,'[1]Перечень товаров'!$A$2:$I9525,3,0),"")</f>
        <v>дидактика</v>
      </c>
      <c r="D9312" s="22" t="s">
        <v>923</v>
      </c>
      <c r="E9312" s="23"/>
      <c r="F9312" s="23"/>
      <c r="G9312" s="24">
        <v>1</v>
      </c>
      <c r="H9312" s="24"/>
      <c r="I9312" s="25"/>
      <c r="J9312" s="25"/>
      <c r="K9312" s="19"/>
      <c r="L9312" s="20"/>
    </row>
    <row r="9313" spans="1:12" outlineLevel="2">
      <c r="A9313" s="21"/>
      <c r="B9313" s="12" t="str">
        <f>IFERROR(VLOOKUP(D9313,'[1]Перечень товаров'!$A$2:$I9525,2,0),"")</f>
        <v>м14</v>
      </c>
      <c r="C9313" s="12" t="str">
        <f>IFERROR(VLOOKUP(D9313,'[1]Перечень товаров'!$A$2:$I9525,3,0),"")</f>
        <v>Мебель</v>
      </c>
      <c r="D9313" s="22" t="s">
        <v>43</v>
      </c>
      <c r="E9313" s="23"/>
      <c r="F9313" s="23"/>
      <c r="G9313" s="24">
        <v>1</v>
      </c>
      <c r="H9313" s="24"/>
      <c r="I9313" s="25"/>
      <c r="J9313" s="25"/>
      <c r="K9313" s="19"/>
      <c r="L9313" s="20"/>
    </row>
    <row r="9314" spans="1:12" outlineLevel="2">
      <c r="A9314" s="21"/>
      <c r="B9314" s="12" t="str">
        <f>IFERROR(VLOOKUP(D9314,'[1]Перечень товаров'!$A$2:$I9525,2,0),"")</f>
        <v>м189</v>
      </c>
      <c r="C9314" s="12" t="str">
        <f>IFERROR(VLOOKUP(D9314,'[1]Перечень товаров'!$A$2:$I9525,3,0),"")</f>
        <v>мебель</v>
      </c>
      <c r="D9314" s="22" t="s">
        <v>924</v>
      </c>
      <c r="E9314" s="23"/>
      <c r="F9314" s="23"/>
      <c r="G9314" s="24">
        <v>1</v>
      </c>
      <c r="H9314" s="24"/>
      <c r="I9314" s="25"/>
      <c r="J9314" s="25"/>
      <c r="K9314" s="19"/>
      <c r="L9314" s="20"/>
    </row>
    <row r="9315" spans="1:12" outlineLevel="2">
      <c r="A9315" s="21"/>
      <c r="B9315" s="12" t="str">
        <f>IFERROR(VLOOKUP(D9315,'[1]Перечень товаров'!$A$2:$I9525,2,0),"")</f>
        <v>м221</v>
      </c>
      <c r="C9315" s="12" t="str">
        <f>IFERROR(VLOOKUP(D9315,'[1]Перечень товаров'!$A$2:$I9525,3,0),"")</f>
        <v>Мебель</v>
      </c>
      <c r="D9315" s="22" t="s">
        <v>878</v>
      </c>
      <c r="E9315" s="23"/>
      <c r="F9315" s="23"/>
      <c r="G9315" s="24">
        <v>1</v>
      </c>
      <c r="H9315" s="24"/>
      <c r="I9315" s="25"/>
      <c r="J9315" s="25"/>
      <c r="K9315" s="19"/>
      <c r="L9315" s="20"/>
    </row>
    <row r="9316" spans="1:12" outlineLevel="2">
      <c r="A9316" s="21"/>
      <c r="B9316" s="12" t="str">
        <f>IFERROR(VLOOKUP(D9316,'[1]Перечень товаров'!$A$2:$I9525,2,0),"")</f>
        <v>м19</v>
      </c>
      <c r="C9316" s="12" t="str">
        <f>IFERROR(VLOOKUP(D9316,'[1]Перечень товаров'!$A$2:$I9525,3,0),"")</f>
        <v>Мебель</v>
      </c>
      <c r="D9316" s="22" t="s">
        <v>53</v>
      </c>
      <c r="E9316" s="23"/>
      <c r="F9316" s="23"/>
      <c r="G9316" s="24">
        <v>1</v>
      </c>
      <c r="H9316" s="24"/>
      <c r="I9316" s="25"/>
      <c r="J9316" s="25"/>
      <c r="K9316" s="19"/>
      <c r="L9316" s="20"/>
    </row>
    <row r="9317" spans="1:12" outlineLevel="2">
      <c r="A9317" s="21"/>
      <c r="B9317" s="12" t="str">
        <f>IFERROR(VLOOKUP(D9317,'[1]Перечень товаров'!$A$2:$I9525,2,0),"")</f>
        <v>м187</v>
      </c>
      <c r="C9317" s="12" t="str">
        <f>IFERROR(VLOOKUP(D9317,'[1]Перечень товаров'!$A$2:$I9525,3,0),"")</f>
        <v>мебель</v>
      </c>
      <c r="D9317" s="22" t="s">
        <v>877</v>
      </c>
      <c r="E9317" s="23"/>
      <c r="F9317" s="23"/>
      <c r="G9317" s="24">
        <v>1</v>
      </c>
      <c r="H9317" s="24"/>
      <c r="I9317" s="25"/>
      <c r="J9317" s="25"/>
      <c r="K9317" s="19"/>
      <c r="L9317" s="20"/>
    </row>
    <row r="9318" spans="1:12" outlineLevel="2">
      <c r="A9318" s="21"/>
      <c r="B9318" s="12" t="str">
        <f>IFERROR(VLOOKUP(D9318,'[1]Перечень товаров'!$A$2:$I9525,2,0),"")</f>
        <v>тм77</v>
      </c>
      <c r="C9318" s="12" t="str">
        <f>IFERROR(VLOOKUP(D9318,'[1]Перечень товаров'!$A$2:$I9525,3,0),"")</f>
        <v>Техника муз</v>
      </c>
      <c r="D9318" s="22" t="s">
        <v>875</v>
      </c>
      <c r="E9318" s="23"/>
      <c r="F9318" s="23"/>
      <c r="G9318" s="24">
        <v>1</v>
      </c>
      <c r="H9318" s="24"/>
      <c r="I9318" s="25"/>
      <c r="J9318" s="25"/>
      <c r="K9318" s="19"/>
      <c r="L9318" s="20"/>
    </row>
    <row r="9319" spans="1:12" outlineLevel="2">
      <c r="A9319" s="21"/>
      <c r="B9319" s="12" t="str">
        <f>IFERROR(VLOOKUP(D9319,'[1]Перечень товаров'!$A$2:$I9525,2,0),"")</f>
        <v>м137</v>
      </c>
      <c r="C9319" s="12" t="str">
        <f>IFERROR(VLOOKUP(D9319,'[1]Перечень товаров'!$A$2:$I9525,3,0),"")</f>
        <v>мебель</v>
      </c>
      <c r="D9319" s="22" t="s">
        <v>876</v>
      </c>
      <c r="E9319" s="23"/>
      <c r="F9319" s="23"/>
      <c r="G9319" s="24">
        <v>1</v>
      </c>
      <c r="H9319" s="24"/>
      <c r="I9319" s="25"/>
      <c r="J9319" s="25"/>
      <c r="K9319" s="19"/>
      <c r="L9319" s="20"/>
    </row>
    <row r="9320" spans="1:12" ht="12.75" outlineLevel="1">
      <c r="A9320" s="11"/>
      <c r="B9320" s="12" t="str">
        <f>IFERROR(VLOOKUP(D9320,'[1]Перечень товаров'!$A$2:$I9525,2,0),"")</f>
        <v/>
      </c>
      <c r="C9320" s="12" t="str">
        <f>IFERROR(VLOOKUP(D9320,'[1]Перечень товаров'!$A$2:$I9525,3,0),"")</f>
        <v/>
      </c>
      <c r="D9320" s="27" t="s">
        <v>2117</v>
      </c>
      <c r="E9320" s="99">
        <v>46245</v>
      </c>
      <c r="F9320" s="99"/>
      <c r="G9320" s="100"/>
      <c r="H9320" s="100"/>
      <c r="I9320" s="101"/>
      <c r="J9320" s="101"/>
      <c r="K9320" s="19"/>
      <c r="L9320" s="20"/>
    </row>
    <row r="9321" spans="1:12" outlineLevel="2">
      <c r="A9321" s="21"/>
      <c r="B9321" s="12" t="str">
        <f>IFERROR(VLOOKUP(D9321,'[1]Перечень товаров'!$A$2:$I9525,2,0),"")</f>
        <v>м190</v>
      </c>
      <c r="C9321" s="12" t="str">
        <f>IFERROR(VLOOKUP(D9321,'[1]Перечень товаров'!$A$2:$I9525,3,0),"")</f>
        <v>мебель</v>
      </c>
      <c r="D9321" s="22" t="s">
        <v>922</v>
      </c>
      <c r="E9321" s="23"/>
      <c r="F9321" s="23"/>
      <c r="G9321" s="24">
        <v>1</v>
      </c>
      <c r="H9321" s="24"/>
      <c r="I9321" s="25"/>
      <c r="J9321" s="25"/>
      <c r="K9321" s="19"/>
      <c r="L9321" s="20"/>
    </row>
    <row r="9322" spans="1:12" outlineLevel="2">
      <c r="A9322" s="21"/>
      <c r="B9322" s="12" t="str">
        <f>IFERROR(VLOOKUP(D9322,'[1]Перечень товаров'!$A$2:$I9525,2,0),"")</f>
        <v>д560</v>
      </c>
      <c r="C9322" s="12" t="str">
        <f>IFERROR(VLOOKUP(D9322,'[1]Перечень товаров'!$A$2:$I9525,3,0),"")</f>
        <v>дидактика</v>
      </c>
      <c r="D9322" s="22" t="s">
        <v>923</v>
      </c>
      <c r="E9322" s="23"/>
      <c r="F9322" s="23"/>
      <c r="G9322" s="24">
        <v>1</v>
      </c>
      <c r="H9322" s="24"/>
      <c r="I9322" s="25"/>
      <c r="J9322" s="25"/>
      <c r="K9322" s="19"/>
      <c r="L9322" s="20"/>
    </row>
    <row r="9323" spans="1:12" outlineLevel="2">
      <c r="A9323" s="21"/>
      <c r="B9323" s="12" t="str">
        <f>IFERROR(VLOOKUP(D9323,'[1]Перечень товаров'!$A$2:$I9525,2,0),"")</f>
        <v>м14</v>
      </c>
      <c r="C9323" s="12" t="str">
        <f>IFERROR(VLOOKUP(D9323,'[1]Перечень товаров'!$A$2:$I9525,3,0),"")</f>
        <v>Мебель</v>
      </c>
      <c r="D9323" s="22" t="s">
        <v>43</v>
      </c>
      <c r="E9323" s="23"/>
      <c r="F9323" s="23"/>
      <c r="G9323" s="24">
        <v>1</v>
      </c>
      <c r="H9323" s="24"/>
      <c r="I9323" s="25"/>
      <c r="J9323" s="25"/>
      <c r="K9323" s="19"/>
      <c r="L9323" s="20"/>
    </row>
    <row r="9324" spans="1:12" outlineLevel="2">
      <c r="A9324" s="21"/>
      <c r="B9324" s="12" t="str">
        <f>IFERROR(VLOOKUP(D9324,'[1]Перечень товаров'!$A$2:$I9525,2,0),"")</f>
        <v>м189</v>
      </c>
      <c r="C9324" s="12" t="str">
        <f>IFERROR(VLOOKUP(D9324,'[1]Перечень товаров'!$A$2:$I9525,3,0),"")</f>
        <v>мебель</v>
      </c>
      <c r="D9324" s="22" t="s">
        <v>924</v>
      </c>
      <c r="E9324" s="23"/>
      <c r="F9324" s="23"/>
      <c r="G9324" s="24">
        <v>1</v>
      </c>
      <c r="H9324" s="24"/>
      <c r="I9324" s="25"/>
      <c r="J9324" s="25"/>
      <c r="K9324" s="19"/>
      <c r="L9324" s="20"/>
    </row>
    <row r="9325" spans="1:12" outlineLevel="2">
      <c r="A9325" s="21"/>
      <c r="B9325" s="12" t="str">
        <f>IFERROR(VLOOKUP(D9325,'[1]Перечень товаров'!$A$2:$I9525,2,0),"")</f>
        <v>м188</v>
      </c>
      <c r="C9325" s="12" t="str">
        <f>IFERROR(VLOOKUP(D9325,'[1]Перечень товаров'!$A$2:$I9525,3,0),"")</f>
        <v>мебель</v>
      </c>
      <c r="D9325" s="22" t="s">
        <v>925</v>
      </c>
      <c r="E9325" s="23"/>
      <c r="F9325" s="23"/>
      <c r="G9325" s="24">
        <v>1</v>
      </c>
      <c r="H9325" s="24"/>
      <c r="I9325" s="25"/>
      <c r="J9325" s="25"/>
      <c r="K9325" s="19"/>
      <c r="L9325" s="20"/>
    </row>
    <row r="9326" spans="1:12" outlineLevel="2">
      <c r="A9326" s="21"/>
      <c r="B9326" s="12" t="str">
        <f>IFERROR(VLOOKUP(D9326,'[1]Перечень товаров'!$A$2:$I9525,2,0),"")</f>
        <v>м19</v>
      </c>
      <c r="C9326" s="12" t="str">
        <f>IFERROR(VLOOKUP(D9326,'[1]Перечень товаров'!$A$2:$I9525,3,0),"")</f>
        <v>Мебель</v>
      </c>
      <c r="D9326" s="22" t="s">
        <v>53</v>
      </c>
      <c r="E9326" s="23"/>
      <c r="F9326" s="23"/>
      <c r="G9326" s="24">
        <v>1</v>
      </c>
      <c r="H9326" s="24"/>
      <c r="I9326" s="25"/>
      <c r="J9326" s="25"/>
      <c r="K9326" s="19"/>
      <c r="L9326" s="20"/>
    </row>
    <row r="9327" spans="1:12" outlineLevel="2">
      <c r="A9327" s="21"/>
      <c r="B9327" s="12" t="str">
        <f>IFERROR(VLOOKUP(D9327,'[1]Перечень товаров'!$A$2:$I9525,2,0),"")</f>
        <v>м187</v>
      </c>
      <c r="C9327" s="12" t="str">
        <f>IFERROR(VLOOKUP(D9327,'[1]Перечень товаров'!$A$2:$I9525,3,0),"")</f>
        <v>мебель</v>
      </c>
      <c r="D9327" s="22" t="s">
        <v>877</v>
      </c>
      <c r="E9327" s="23"/>
      <c r="F9327" s="23"/>
      <c r="G9327" s="24">
        <v>1</v>
      </c>
      <c r="H9327" s="24"/>
      <c r="I9327" s="25"/>
      <c r="J9327" s="25"/>
      <c r="K9327" s="19"/>
      <c r="L9327" s="20"/>
    </row>
    <row r="9328" spans="1:12" outlineLevel="2">
      <c r="A9328" s="21"/>
      <c r="B9328" s="12" t="str">
        <f>IFERROR(VLOOKUP(D9328,'[1]Перечень товаров'!$A$2:$I9525,2,0),"")</f>
        <v>тм77</v>
      </c>
      <c r="C9328" s="12" t="str">
        <f>IFERROR(VLOOKUP(D9328,'[1]Перечень товаров'!$A$2:$I9525,3,0),"")</f>
        <v>Техника муз</v>
      </c>
      <c r="D9328" s="22" t="s">
        <v>875</v>
      </c>
      <c r="E9328" s="23"/>
      <c r="F9328" s="23"/>
      <c r="G9328" s="24">
        <v>1</v>
      </c>
      <c r="H9328" s="24"/>
      <c r="I9328" s="25"/>
      <c r="J9328" s="25"/>
      <c r="K9328" s="19"/>
      <c r="L9328" s="20"/>
    </row>
    <row r="9329" spans="1:12" outlineLevel="2">
      <c r="A9329" s="21"/>
      <c r="B9329" s="12" t="str">
        <f>IFERROR(VLOOKUP(D9329,'[1]Перечень товаров'!$A$2:$I9525,2,0),"")</f>
        <v>м137</v>
      </c>
      <c r="C9329" s="12" t="str">
        <f>IFERROR(VLOOKUP(D9329,'[1]Перечень товаров'!$A$2:$I9525,3,0),"")</f>
        <v>мебель</v>
      </c>
      <c r="D9329" s="22" t="s">
        <v>876</v>
      </c>
      <c r="E9329" s="23"/>
      <c r="F9329" s="23"/>
      <c r="G9329" s="24">
        <v>1</v>
      </c>
      <c r="H9329" s="24"/>
      <c r="I9329" s="25"/>
      <c r="J9329" s="25"/>
      <c r="K9329" s="19"/>
      <c r="L9329" s="20"/>
    </row>
    <row r="9330" spans="1:12" outlineLevel="1">
      <c r="A9330" s="21"/>
      <c r="B9330" s="12" t="str">
        <f>IFERROR(VLOOKUP(D9330,'[1]Перечень товаров'!$A$2:$I9525,2,0),"")</f>
        <v/>
      </c>
      <c r="C9330" s="12" t="str">
        <f>IFERROR(VLOOKUP(D9330,'[1]Перечень товаров'!$A$2:$I9525,3,0),"")</f>
        <v/>
      </c>
      <c r="D9330" s="22" t="s">
        <v>885</v>
      </c>
      <c r="E9330" s="23" t="s">
        <v>2118</v>
      </c>
      <c r="F9330" s="23"/>
      <c r="G9330" s="24"/>
      <c r="H9330" s="24"/>
      <c r="I9330" s="25"/>
      <c r="J9330" s="25"/>
      <c r="K9330" s="19"/>
      <c r="L9330" s="20"/>
    </row>
    <row r="9331" spans="1:12" outlineLevel="1">
      <c r="A9331" s="21"/>
      <c r="B9331" s="12" t="str">
        <f>IFERROR(VLOOKUP(D9331,'[1]Перечень товаров'!$A$2:$I9525,2,0),"")</f>
        <v/>
      </c>
      <c r="C9331" s="12" t="str">
        <f>IFERROR(VLOOKUP(D9331,'[1]Перечень товаров'!$A$2:$I9525,3,0),"")</f>
        <v/>
      </c>
      <c r="D9331" s="22" t="s">
        <v>311</v>
      </c>
      <c r="E9331" s="23" t="s">
        <v>2122</v>
      </c>
      <c r="F9331" s="23"/>
      <c r="G9331" s="24"/>
      <c r="H9331" s="24"/>
      <c r="I9331" s="25"/>
      <c r="J9331" s="25"/>
      <c r="K9331" s="19"/>
      <c r="L9331" s="20"/>
    </row>
    <row r="9332" spans="1:12" ht="12.75">
      <c r="A9332" s="149"/>
      <c r="B9332" s="9"/>
      <c r="C9332" s="12" t="str">
        <f>IFERROR(VLOOKUP(D9332,'[1]Перечень товаров'!$A$2:$I9525,3,0),"")</f>
        <v/>
      </c>
      <c r="D9332" s="313"/>
      <c r="E9332" s="15"/>
      <c r="F9332" s="314"/>
      <c r="G9332" s="315"/>
      <c r="H9332" s="57"/>
      <c r="I9332" s="57"/>
      <c r="J9332" s="57"/>
      <c r="K9332" s="19"/>
      <c r="L9332" s="20"/>
    </row>
    <row r="9333" spans="1:12" ht="12.75">
      <c r="A9333" s="149"/>
      <c r="B9333" s="9"/>
      <c r="C9333" s="12" t="str">
        <f>IFERROR(VLOOKUP(D9333,'[1]Перечень товаров'!$A$2:$I9525,3,0),"")</f>
        <v/>
      </c>
      <c r="D9333" s="313"/>
      <c r="E9333" s="15"/>
      <c r="F9333" s="314"/>
      <c r="G9333" s="315"/>
      <c r="H9333" s="57"/>
      <c r="I9333" s="57"/>
      <c r="J9333" s="57"/>
      <c r="K9333" s="19"/>
      <c r="L9333" s="20"/>
    </row>
    <row r="9334" spans="1:12" ht="12.75">
      <c r="A9334" s="149"/>
      <c r="B9334" s="9"/>
      <c r="C9334" s="12" t="str">
        <f>IFERROR(VLOOKUP(D9334,'[1]Перечень товаров'!$A$2:$I9525,3,0),"")</f>
        <v/>
      </c>
      <c r="D9334" s="313"/>
      <c r="E9334" s="15"/>
      <c r="F9334" s="314"/>
      <c r="G9334" s="315"/>
      <c r="H9334" s="57"/>
      <c r="I9334" s="57"/>
      <c r="J9334" s="57"/>
      <c r="K9334" s="19"/>
      <c r="L9334" s="20"/>
    </row>
    <row r="9335" spans="1:12" ht="12.75">
      <c r="A9335" s="149"/>
      <c r="B9335" s="9"/>
      <c r="C9335" s="12" t="str">
        <f>IFERROR(VLOOKUP(D9335,'[1]Перечень товаров'!$A$2:$I9525,3,0),"")</f>
        <v/>
      </c>
      <c r="D9335" s="313"/>
      <c r="E9335" s="15"/>
      <c r="F9335" s="314"/>
      <c r="G9335" s="315"/>
      <c r="H9335" s="57"/>
      <c r="I9335" s="57"/>
      <c r="J9335" s="57"/>
      <c r="K9335" s="19"/>
      <c r="L9335" s="20"/>
    </row>
    <row r="9336" spans="1:12" ht="12.75">
      <c r="A9336" s="149"/>
      <c r="B9336" s="9"/>
      <c r="C9336" s="12" t="str">
        <f>IFERROR(VLOOKUP(D9336,'[1]Перечень товаров'!$A$2:$I9525,3,0),"")</f>
        <v/>
      </c>
      <c r="D9336" s="313"/>
      <c r="E9336" s="15"/>
      <c r="F9336" s="314"/>
      <c r="G9336" s="315"/>
      <c r="H9336" s="57"/>
      <c r="I9336" s="57"/>
      <c r="J9336" s="57"/>
      <c r="K9336" s="19"/>
      <c r="L9336" s="20"/>
    </row>
    <row r="9337" spans="1:12" ht="12.75">
      <c r="A9337" s="149"/>
      <c r="B9337" s="9"/>
      <c r="C9337" s="12" t="str">
        <f>IFERROR(VLOOKUP(D9337,'[1]Перечень товаров'!$A$2:$I9525,3,0),"")</f>
        <v/>
      </c>
      <c r="D9337" s="313"/>
      <c r="E9337" s="15"/>
      <c r="F9337" s="314"/>
      <c r="G9337" s="315"/>
      <c r="H9337" s="57"/>
      <c r="I9337" s="57"/>
      <c r="J9337" s="57"/>
      <c r="K9337" s="19"/>
      <c r="L9337" s="20"/>
    </row>
    <row r="9338" spans="1:12" ht="12.75">
      <c r="A9338" s="149"/>
      <c r="B9338" s="9"/>
      <c r="C9338" s="12" t="str">
        <f>IFERROR(VLOOKUP(D9338,'[1]Перечень товаров'!$A$2:$I9525,3,0),"")</f>
        <v/>
      </c>
      <c r="D9338" s="313"/>
      <c r="E9338" s="15"/>
      <c r="F9338" s="314"/>
      <c r="G9338" s="315"/>
      <c r="H9338" s="57"/>
      <c r="I9338" s="57"/>
      <c r="J9338" s="57"/>
      <c r="K9338" s="19"/>
      <c r="L9338" s="20"/>
    </row>
    <row r="9339" spans="1:12" ht="12.75">
      <c r="A9339" s="149"/>
      <c r="B9339" s="9"/>
      <c r="C9339" s="12" t="str">
        <f>IFERROR(VLOOKUP(D9339,'[1]Перечень товаров'!$A$2:$I9525,3,0),"")</f>
        <v/>
      </c>
      <c r="D9339" s="313"/>
      <c r="E9339" s="15"/>
      <c r="F9339" s="314"/>
      <c r="G9339" s="315"/>
      <c r="H9339" s="57"/>
      <c r="I9339" s="57"/>
      <c r="J9339" s="57"/>
      <c r="K9339" s="19"/>
      <c r="L9339" s="20"/>
    </row>
    <row r="9340" spans="1:12" ht="12.75">
      <c r="A9340" s="149"/>
      <c r="B9340" s="9"/>
      <c r="C9340" s="12" t="str">
        <f>IFERROR(VLOOKUP(D9340,'[1]Перечень товаров'!$A$2:$I9525,3,0),"")</f>
        <v/>
      </c>
      <c r="D9340" s="313"/>
      <c r="E9340" s="15"/>
      <c r="F9340" s="314"/>
      <c r="G9340" s="315"/>
      <c r="H9340" s="57"/>
      <c r="I9340" s="57"/>
      <c r="J9340" s="57"/>
      <c r="K9340" s="19"/>
      <c r="L9340" s="20"/>
    </row>
    <row r="9341" spans="1:12" ht="12.75">
      <c r="A9341" s="149"/>
      <c r="B9341" s="9"/>
      <c r="C9341" s="12" t="str">
        <f>IFERROR(VLOOKUP(D9341,'[1]Перечень товаров'!$A$2:$I9525,3,0),"")</f>
        <v/>
      </c>
      <c r="D9341" s="313"/>
      <c r="E9341" s="15"/>
      <c r="F9341" s="314"/>
      <c r="G9341" s="315"/>
      <c r="H9341" s="57"/>
      <c r="I9341" s="57"/>
      <c r="J9341" s="57"/>
      <c r="K9341" s="19"/>
      <c r="L9341" s="20"/>
    </row>
    <row r="9342" spans="1:12" ht="12.75">
      <c r="A9342" s="149"/>
      <c r="B9342" s="9"/>
      <c r="C9342" s="12" t="str">
        <f>IFERROR(VLOOKUP(D9342,'[1]Перечень товаров'!$A$2:$I9525,3,0),"")</f>
        <v/>
      </c>
      <c r="D9342" s="313"/>
      <c r="E9342" s="15"/>
      <c r="F9342" s="314"/>
      <c r="G9342" s="315"/>
      <c r="H9342" s="57"/>
      <c r="I9342" s="57"/>
      <c r="J9342" s="57"/>
      <c r="K9342" s="19"/>
      <c r="L9342" s="20"/>
    </row>
    <row r="9343" spans="1:12" ht="12.75">
      <c r="A9343" s="149"/>
      <c r="B9343" s="9"/>
      <c r="C9343" s="12" t="str">
        <f>IFERROR(VLOOKUP(D9343,'[1]Перечень товаров'!$A$2:$I9525,3,0),"")</f>
        <v/>
      </c>
      <c r="D9343" s="313"/>
      <c r="E9343" s="15"/>
      <c r="F9343" s="314"/>
      <c r="G9343" s="315"/>
      <c r="H9343" s="57"/>
      <c r="I9343" s="57"/>
      <c r="J9343" s="57"/>
      <c r="K9343" s="19"/>
      <c r="L9343" s="20"/>
    </row>
    <row r="9344" spans="1:12" ht="12.75">
      <c r="A9344" s="149"/>
      <c r="B9344" s="9"/>
      <c r="C9344" s="12" t="str">
        <f>IFERROR(VLOOKUP(D9344,'[1]Перечень товаров'!$A$2:$I9525,3,0),"")</f>
        <v/>
      </c>
      <c r="D9344" s="313"/>
      <c r="E9344" s="15"/>
      <c r="F9344" s="314"/>
      <c r="G9344" s="315"/>
      <c r="H9344" s="57"/>
      <c r="I9344" s="57"/>
      <c r="J9344" s="57"/>
      <c r="K9344" s="19"/>
      <c r="L9344" s="20"/>
    </row>
    <row r="9345" spans="1:12" ht="12.75">
      <c r="A9345" s="149"/>
      <c r="B9345" s="9"/>
      <c r="C9345" s="12" t="str">
        <f>IFERROR(VLOOKUP(D9345,'[1]Перечень товаров'!$A$2:$I9525,3,0),"")</f>
        <v/>
      </c>
      <c r="D9345" s="313"/>
      <c r="E9345" s="15"/>
      <c r="F9345" s="314"/>
      <c r="G9345" s="315"/>
      <c r="H9345" s="57"/>
      <c r="I9345" s="57"/>
      <c r="J9345" s="57"/>
      <c r="K9345" s="19"/>
      <c r="L9345" s="20"/>
    </row>
    <row r="9346" spans="1:12" ht="12.75">
      <c r="A9346" s="149"/>
      <c r="B9346" s="9"/>
      <c r="C9346" s="12" t="str">
        <f>IFERROR(VLOOKUP(D9346,'[1]Перечень товаров'!$A$2:$I9525,3,0),"")</f>
        <v/>
      </c>
      <c r="D9346" s="313"/>
      <c r="E9346" s="15"/>
      <c r="F9346" s="314"/>
      <c r="G9346" s="315"/>
      <c r="H9346" s="57"/>
      <c r="I9346" s="57"/>
      <c r="J9346" s="57"/>
      <c r="K9346" s="19"/>
      <c r="L9346" s="20"/>
    </row>
    <row r="9347" spans="1:12" ht="12.75">
      <c r="A9347" s="149"/>
      <c r="B9347" s="9"/>
      <c r="C9347" s="12" t="str">
        <f>IFERROR(VLOOKUP(D9347,'[1]Перечень товаров'!$A$2:$I9525,3,0),"")</f>
        <v/>
      </c>
      <c r="D9347" s="313"/>
      <c r="E9347" s="15"/>
      <c r="F9347" s="314"/>
      <c r="G9347" s="315"/>
      <c r="H9347" s="57"/>
      <c r="I9347" s="57"/>
      <c r="J9347" s="57"/>
      <c r="K9347" s="19"/>
      <c r="L9347" s="20"/>
    </row>
    <row r="9348" spans="1:12" ht="12.75">
      <c r="A9348" s="149"/>
      <c r="B9348" s="9"/>
      <c r="C9348" s="12" t="str">
        <f>IFERROR(VLOOKUP(D9348,'[1]Перечень товаров'!$A$2:$I9525,3,0),"")</f>
        <v/>
      </c>
      <c r="D9348" s="313"/>
      <c r="E9348" s="15"/>
      <c r="F9348" s="314"/>
      <c r="G9348" s="315"/>
      <c r="H9348" s="57"/>
      <c r="I9348" s="57"/>
      <c r="J9348" s="57"/>
      <c r="K9348" s="19"/>
      <c r="L9348" s="20"/>
    </row>
    <row r="9349" spans="1:12" ht="12.75">
      <c r="A9349" s="149"/>
      <c r="B9349" s="9"/>
      <c r="C9349" s="12" t="str">
        <f>IFERROR(VLOOKUP(D9349,'[1]Перечень товаров'!$A$2:$I9525,3,0),"")</f>
        <v/>
      </c>
      <c r="D9349" s="313"/>
      <c r="E9349" s="15"/>
      <c r="F9349" s="314"/>
      <c r="G9349" s="315"/>
      <c r="H9349" s="57"/>
      <c r="I9349" s="57"/>
      <c r="J9349" s="57"/>
      <c r="K9349" s="19"/>
      <c r="L9349" s="20"/>
    </row>
    <row r="9350" spans="1:12" ht="12.75">
      <c r="A9350" s="149"/>
      <c r="B9350" s="9"/>
      <c r="C9350" s="12" t="str">
        <f>IFERROR(VLOOKUP(D9350,'[1]Перечень товаров'!$A$2:$I9525,3,0),"")</f>
        <v/>
      </c>
      <c r="D9350" s="313"/>
      <c r="E9350" s="15"/>
      <c r="F9350" s="314"/>
      <c r="G9350" s="315"/>
      <c r="H9350" s="57"/>
      <c r="I9350" s="57"/>
      <c r="J9350" s="57"/>
      <c r="K9350" s="19"/>
      <c r="L9350" s="20"/>
    </row>
    <row r="9351" spans="1:12" ht="12.75">
      <c r="A9351" s="149"/>
      <c r="B9351" s="9"/>
      <c r="C9351" s="12" t="str">
        <f>IFERROR(VLOOKUP(D9351,'[1]Перечень товаров'!$A$2:$I9525,3,0),"")</f>
        <v/>
      </c>
      <c r="D9351" s="313"/>
      <c r="E9351" s="15"/>
      <c r="F9351" s="314"/>
      <c r="G9351" s="315"/>
      <c r="H9351" s="57"/>
      <c r="I9351" s="57"/>
      <c r="J9351" s="57"/>
      <c r="K9351" s="19"/>
      <c r="L9351" s="20"/>
    </row>
    <row r="9352" spans="1:12" ht="12.75">
      <c r="A9352" s="149"/>
      <c r="B9352" s="9"/>
      <c r="C9352" s="12" t="str">
        <f>IFERROR(VLOOKUP(D9352,'[1]Перечень товаров'!$A$2:$I9525,3,0),"")</f>
        <v/>
      </c>
      <c r="D9352" s="313"/>
      <c r="E9352" s="15"/>
      <c r="F9352" s="314"/>
      <c r="G9352" s="315"/>
      <c r="H9352" s="57"/>
      <c r="I9352" s="57"/>
      <c r="J9352" s="57"/>
      <c r="K9352" s="19"/>
      <c r="L9352" s="20"/>
    </row>
    <row r="9353" spans="1:12" ht="12.75">
      <c r="A9353" s="149"/>
      <c r="B9353" s="9"/>
      <c r="C9353" s="12" t="str">
        <f>IFERROR(VLOOKUP(D9353,'[1]Перечень товаров'!$A$2:$I9525,3,0),"")</f>
        <v/>
      </c>
      <c r="D9353" s="313"/>
      <c r="E9353" s="15"/>
      <c r="F9353" s="314"/>
      <c r="G9353" s="315"/>
      <c r="H9353" s="57"/>
      <c r="I9353" s="57"/>
      <c r="J9353" s="57"/>
      <c r="K9353" s="19"/>
      <c r="L9353" s="20"/>
    </row>
    <row r="9354" spans="1:12" ht="12.75">
      <c r="A9354" s="149"/>
      <c r="B9354" s="9"/>
      <c r="C9354" s="12" t="str">
        <f>IFERROR(VLOOKUP(D9354,'[1]Перечень товаров'!$A$2:$I9525,3,0),"")</f>
        <v/>
      </c>
      <c r="D9354" s="313"/>
      <c r="E9354" s="15"/>
      <c r="F9354" s="314"/>
      <c r="G9354" s="315"/>
      <c r="H9354" s="57"/>
      <c r="I9354" s="57"/>
      <c r="J9354" s="57"/>
      <c r="K9354" s="19"/>
      <c r="L9354" s="20"/>
    </row>
    <row r="9355" spans="1:12" ht="12.75">
      <c r="A9355" s="149"/>
      <c r="B9355" s="9"/>
      <c r="C9355" s="12" t="str">
        <f>IFERROR(VLOOKUP(D9355,'[1]Перечень товаров'!$A$2:$I9525,3,0),"")</f>
        <v/>
      </c>
      <c r="D9355" s="313"/>
      <c r="E9355" s="15"/>
      <c r="F9355" s="314"/>
      <c r="G9355" s="315"/>
      <c r="H9355" s="57"/>
      <c r="I9355" s="57"/>
      <c r="J9355" s="57"/>
      <c r="K9355" s="19"/>
      <c r="L9355" s="20"/>
    </row>
    <row r="9356" spans="1:12" ht="12.75">
      <c r="A9356" s="149"/>
      <c r="B9356" s="9"/>
      <c r="C9356" s="12" t="str">
        <f>IFERROR(VLOOKUP(D9356,'[1]Перечень товаров'!$A$2:$I9525,3,0),"")</f>
        <v/>
      </c>
      <c r="D9356" s="313"/>
      <c r="E9356" s="15"/>
      <c r="F9356" s="314"/>
      <c r="G9356" s="315"/>
      <c r="H9356" s="57"/>
      <c r="I9356" s="57"/>
      <c r="J9356" s="57"/>
      <c r="K9356" s="19"/>
      <c r="L9356" s="20"/>
    </row>
    <row r="9357" spans="1:12" ht="12.75">
      <c r="A9357" s="149"/>
      <c r="B9357" s="9"/>
      <c r="C9357" s="12" t="str">
        <f>IFERROR(VLOOKUP(D9357,'[1]Перечень товаров'!$A$2:$I9525,3,0),"")</f>
        <v/>
      </c>
      <c r="D9357" s="313"/>
      <c r="E9357" s="15"/>
      <c r="F9357" s="314"/>
      <c r="G9357" s="315"/>
      <c r="H9357" s="57"/>
      <c r="I9357" s="57"/>
      <c r="J9357" s="57"/>
      <c r="K9357" s="19"/>
      <c r="L9357" s="20"/>
    </row>
    <row r="9358" spans="1:12" ht="12.75">
      <c r="A9358" s="149"/>
      <c r="B9358" s="9"/>
      <c r="C9358" s="12" t="str">
        <f>IFERROR(VLOOKUP(D9358,'[1]Перечень товаров'!$A$2:$I9525,3,0),"")</f>
        <v/>
      </c>
      <c r="D9358" s="313"/>
      <c r="E9358" s="15"/>
      <c r="F9358" s="314"/>
      <c r="G9358" s="315"/>
      <c r="H9358" s="57"/>
      <c r="I9358" s="57"/>
      <c r="J9358" s="57"/>
      <c r="K9358" s="19"/>
      <c r="L9358" s="20"/>
    </row>
    <row r="9359" spans="1:12" ht="12.75">
      <c r="A9359" s="149"/>
      <c r="B9359" s="9"/>
      <c r="C9359" s="12" t="str">
        <f>IFERROR(VLOOKUP(D9359,'[1]Перечень товаров'!$A$2:$I9525,3,0),"")</f>
        <v/>
      </c>
      <c r="D9359" s="313"/>
      <c r="E9359" s="15"/>
      <c r="F9359" s="314"/>
      <c r="G9359" s="315"/>
      <c r="H9359" s="57"/>
      <c r="I9359" s="57"/>
      <c r="J9359" s="57"/>
      <c r="K9359" s="19"/>
      <c r="L9359" s="20"/>
    </row>
    <row r="9360" spans="1:12" ht="12.75">
      <c r="A9360" s="149"/>
      <c r="B9360" s="9"/>
      <c r="C9360" s="12" t="str">
        <f>IFERROR(VLOOKUP(D9360,'[1]Перечень товаров'!$A$2:$I9525,3,0),"")</f>
        <v/>
      </c>
      <c r="D9360" s="313"/>
      <c r="E9360" s="15"/>
      <c r="F9360" s="314"/>
      <c r="G9360" s="315"/>
      <c r="H9360" s="57"/>
      <c r="I9360" s="57"/>
      <c r="J9360" s="57"/>
      <c r="K9360" s="19"/>
      <c r="L9360" s="20"/>
    </row>
    <row r="9361" spans="1:12" ht="12.75">
      <c r="A9361" s="149"/>
      <c r="B9361" s="9"/>
      <c r="C9361" s="12" t="str">
        <f>IFERROR(VLOOKUP(D9361,'[1]Перечень товаров'!$A$2:$I9525,3,0),"")</f>
        <v/>
      </c>
      <c r="D9361" s="313"/>
      <c r="E9361" s="15"/>
      <c r="F9361" s="314"/>
      <c r="G9361" s="315"/>
      <c r="H9361" s="57"/>
      <c r="I9361" s="57"/>
      <c r="J9361" s="57"/>
      <c r="K9361" s="19"/>
      <c r="L9361" s="20"/>
    </row>
    <row r="9362" spans="1:12" ht="12.75">
      <c r="A9362" s="149"/>
      <c r="B9362" s="9"/>
      <c r="C9362" s="12" t="str">
        <f>IFERROR(VLOOKUP(D9362,'[1]Перечень товаров'!$A$2:$I9525,3,0),"")</f>
        <v/>
      </c>
      <c r="D9362" s="313"/>
      <c r="E9362" s="15"/>
      <c r="F9362" s="314"/>
      <c r="G9362" s="315"/>
      <c r="H9362" s="57"/>
      <c r="I9362" s="57"/>
      <c r="J9362" s="57"/>
      <c r="K9362" s="19"/>
      <c r="L9362" s="20"/>
    </row>
    <row r="9363" spans="1:12" ht="12.75">
      <c r="A9363" s="149"/>
      <c r="B9363" s="9"/>
      <c r="C9363" s="12" t="str">
        <f>IFERROR(VLOOKUP(D9363,'[1]Перечень товаров'!$A$2:$I9525,3,0),"")</f>
        <v/>
      </c>
      <c r="D9363" s="313"/>
      <c r="E9363" s="15"/>
      <c r="F9363" s="314"/>
      <c r="G9363" s="315"/>
      <c r="H9363" s="57"/>
      <c r="I9363" s="57"/>
      <c r="J9363" s="57"/>
      <c r="K9363" s="19"/>
      <c r="L9363" s="20"/>
    </row>
    <row r="9364" spans="1:12" ht="12.75">
      <c r="A9364" s="149"/>
      <c r="B9364" s="9"/>
      <c r="C9364" s="12" t="str">
        <f>IFERROR(VLOOKUP(D9364,'[1]Перечень товаров'!$A$2:$I9525,3,0),"")</f>
        <v/>
      </c>
      <c r="D9364" s="313"/>
      <c r="E9364" s="15"/>
      <c r="F9364" s="314"/>
      <c r="G9364" s="315"/>
      <c r="H9364" s="57"/>
      <c r="I9364" s="57"/>
      <c r="J9364" s="57"/>
      <c r="K9364" s="19"/>
      <c r="L9364" s="20"/>
    </row>
    <row r="9365" spans="1:12" ht="12.75">
      <c r="A9365" s="149"/>
      <c r="B9365" s="9"/>
      <c r="C9365" s="12" t="str">
        <f>IFERROR(VLOOKUP(D9365,'[1]Перечень товаров'!$A$2:$I9525,3,0),"")</f>
        <v/>
      </c>
      <c r="D9365" s="313"/>
      <c r="E9365" s="15"/>
      <c r="F9365" s="314"/>
      <c r="G9365" s="315"/>
      <c r="H9365" s="57"/>
      <c r="I9365" s="57"/>
      <c r="J9365" s="57"/>
      <c r="K9365" s="19"/>
      <c r="L9365" s="20"/>
    </row>
    <row r="9366" spans="1:12" ht="12.75">
      <c r="A9366" s="149"/>
      <c r="B9366" s="9"/>
      <c r="C9366" s="12" t="str">
        <f>IFERROR(VLOOKUP(D9366,'[1]Перечень товаров'!$A$2:$I9525,3,0),"")</f>
        <v/>
      </c>
      <c r="D9366" s="313"/>
      <c r="E9366" s="15"/>
      <c r="F9366" s="314"/>
      <c r="G9366" s="315"/>
      <c r="H9366" s="57"/>
      <c r="I9366" s="57"/>
      <c r="J9366" s="57"/>
      <c r="K9366" s="19"/>
      <c r="L9366" s="20"/>
    </row>
    <row r="9367" spans="1:12" ht="12.75">
      <c r="A9367" s="149"/>
      <c r="B9367" s="9"/>
      <c r="C9367" s="12" t="str">
        <f>IFERROR(VLOOKUP(D9367,'[1]Перечень товаров'!$A$2:$I9525,3,0),"")</f>
        <v/>
      </c>
      <c r="D9367" s="313"/>
      <c r="E9367" s="15"/>
      <c r="F9367" s="314"/>
      <c r="G9367" s="315"/>
      <c r="H9367" s="57"/>
      <c r="I9367" s="57"/>
      <c r="J9367" s="57"/>
      <c r="K9367" s="19"/>
      <c r="L9367" s="20"/>
    </row>
    <row r="9368" spans="1:12" ht="12.75">
      <c r="A9368" s="149"/>
      <c r="B9368" s="9"/>
      <c r="C9368" s="12" t="str">
        <f>IFERROR(VLOOKUP(D9368,'[1]Перечень товаров'!$A$2:$I9525,3,0),"")</f>
        <v/>
      </c>
      <c r="D9368" s="313"/>
      <c r="E9368" s="15"/>
      <c r="F9368" s="314"/>
      <c r="G9368" s="315"/>
      <c r="H9368" s="57"/>
      <c r="I9368" s="57"/>
      <c r="J9368" s="57"/>
      <c r="K9368" s="19"/>
      <c r="L9368" s="20"/>
    </row>
    <row r="9369" spans="1:12" ht="12.75">
      <c r="A9369" s="149"/>
      <c r="B9369" s="9"/>
      <c r="C9369" s="12" t="str">
        <f>IFERROR(VLOOKUP(D9369,'[1]Перечень товаров'!$A$2:$I9525,3,0),"")</f>
        <v/>
      </c>
      <c r="D9369" s="313"/>
      <c r="E9369" s="15"/>
      <c r="F9369" s="314"/>
      <c r="G9369" s="315"/>
      <c r="H9369" s="57"/>
      <c r="I9369" s="57"/>
      <c r="J9369" s="57"/>
      <c r="K9369" s="19"/>
      <c r="L9369" s="20"/>
    </row>
    <row r="9370" spans="1:12" ht="12.75">
      <c r="A9370" s="149"/>
      <c r="B9370" s="9"/>
      <c r="C9370" s="12" t="str">
        <f>IFERROR(VLOOKUP(D9370,'[1]Перечень товаров'!$A$2:$I9525,3,0),"")</f>
        <v/>
      </c>
      <c r="D9370" s="313"/>
      <c r="E9370" s="15"/>
      <c r="F9370" s="314"/>
      <c r="G9370" s="315"/>
      <c r="H9370" s="57"/>
      <c r="I9370" s="57"/>
      <c r="J9370" s="57"/>
      <c r="K9370" s="19"/>
      <c r="L9370" s="20"/>
    </row>
    <row r="9371" spans="1:12" ht="12.75">
      <c r="A9371" s="149"/>
      <c r="B9371" s="9"/>
      <c r="C9371" s="12" t="str">
        <f>IFERROR(VLOOKUP(D9371,'[1]Перечень товаров'!$A$2:$I9525,3,0),"")</f>
        <v/>
      </c>
      <c r="D9371" s="313"/>
      <c r="E9371" s="15"/>
      <c r="F9371" s="314"/>
      <c r="G9371" s="315"/>
      <c r="H9371" s="57"/>
      <c r="I9371" s="57"/>
      <c r="J9371" s="57"/>
      <c r="K9371" s="19"/>
      <c r="L9371" s="20"/>
    </row>
    <row r="9372" spans="1:12" ht="12.75">
      <c r="A9372" s="149"/>
      <c r="B9372" s="9"/>
      <c r="C9372" s="12" t="str">
        <f>IFERROR(VLOOKUP(D9372,'[1]Перечень товаров'!$A$2:$I9525,3,0),"")</f>
        <v/>
      </c>
      <c r="D9372" s="313"/>
      <c r="E9372" s="15"/>
      <c r="F9372" s="314"/>
      <c r="G9372" s="315"/>
      <c r="H9372" s="57"/>
      <c r="I9372" s="57"/>
      <c r="J9372" s="57"/>
      <c r="K9372" s="19"/>
      <c r="L9372" s="20"/>
    </row>
    <row r="9373" spans="1:12" ht="12.75">
      <c r="A9373" s="149"/>
      <c r="B9373" s="9"/>
      <c r="C9373" s="12" t="str">
        <f>IFERROR(VLOOKUP(D9373,'[1]Перечень товаров'!$A$2:$I9525,3,0),"")</f>
        <v/>
      </c>
      <c r="D9373" s="313"/>
      <c r="E9373" s="15"/>
      <c r="F9373" s="314"/>
      <c r="G9373" s="315"/>
      <c r="H9373" s="57"/>
      <c r="I9373" s="57"/>
      <c r="J9373" s="57"/>
      <c r="K9373" s="19"/>
      <c r="L9373" s="20"/>
    </row>
    <row r="9374" spans="1:12" ht="12.75">
      <c r="A9374" s="149"/>
      <c r="B9374" s="9"/>
      <c r="C9374" s="12" t="str">
        <f>IFERROR(VLOOKUP(D9374,'[1]Перечень товаров'!$A$2:$I9525,3,0),"")</f>
        <v/>
      </c>
      <c r="D9374" s="313"/>
      <c r="E9374" s="15"/>
      <c r="F9374" s="314"/>
      <c r="G9374" s="315"/>
      <c r="H9374" s="57"/>
      <c r="I9374" s="57"/>
      <c r="J9374" s="57"/>
      <c r="K9374" s="19"/>
      <c r="L9374" s="20"/>
    </row>
    <row r="9375" spans="1:12" ht="12.75">
      <c r="A9375" s="149"/>
      <c r="B9375" s="9"/>
      <c r="C9375" s="12" t="str">
        <f>IFERROR(VLOOKUP(D9375,'[1]Перечень товаров'!$A$2:$I9525,3,0),"")</f>
        <v/>
      </c>
      <c r="D9375" s="313"/>
      <c r="E9375" s="15"/>
      <c r="F9375" s="314"/>
      <c r="G9375" s="315"/>
      <c r="H9375" s="57"/>
      <c r="I9375" s="57"/>
      <c r="J9375" s="57"/>
      <c r="K9375" s="19"/>
      <c r="L9375" s="20"/>
    </row>
    <row r="9376" spans="1:12" ht="12.75">
      <c r="A9376" s="149"/>
      <c r="B9376" s="9"/>
      <c r="C9376" s="12" t="str">
        <f>IFERROR(VLOOKUP(D9376,'[1]Перечень товаров'!$A$2:$I9525,3,0),"")</f>
        <v/>
      </c>
      <c r="D9376" s="313"/>
      <c r="E9376" s="15"/>
      <c r="F9376" s="314"/>
      <c r="G9376" s="315"/>
      <c r="H9376" s="57"/>
      <c r="I9376" s="57"/>
      <c r="J9376" s="57"/>
      <c r="K9376" s="19"/>
      <c r="L9376" s="20"/>
    </row>
    <row r="9377" spans="1:12" ht="12.75">
      <c r="A9377" s="149"/>
      <c r="B9377" s="9"/>
      <c r="C9377" s="12" t="str">
        <f>IFERROR(VLOOKUP(D9377,'[1]Перечень товаров'!$A$2:$I9525,3,0),"")</f>
        <v/>
      </c>
      <c r="D9377" s="313"/>
      <c r="E9377" s="15"/>
      <c r="F9377" s="314"/>
      <c r="G9377" s="315"/>
      <c r="H9377" s="57"/>
      <c r="I9377" s="57"/>
      <c r="J9377" s="57"/>
      <c r="K9377" s="19"/>
      <c r="L9377" s="20"/>
    </row>
    <row r="9378" spans="1:12" ht="12.75">
      <c r="A9378" s="149"/>
      <c r="B9378" s="9"/>
      <c r="C9378" s="12" t="str">
        <f>IFERROR(VLOOKUP(D9378,'[1]Перечень товаров'!$A$2:$I9525,3,0),"")</f>
        <v/>
      </c>
      <c r="D9378" s="313"/>
      <c r="E9378" s="15"/>
      <c r="F9378" s="314"/>
      <c r="G9378" s="315"/>
      <c r="H9378" s="57"/>
      <c r="I9378" s="57"/>
      <c r="J9378" s="57"/>
      <c r="K9378" s="19"/>
      <c r="L9378" s="20"/>
    </row>
    <row r="9379" spans="1:12" ht="12.75">
      <c r="A9379" s="149"/>
      <c r="B9379" s="9"/>
      <c r="C9379" s="12" t="str">
        <f>IFERROR(VLOOKUP(D9379,'[1]Перечень товаров'!$A$2:$I9525,3,0),"")</f>
        <v/>
      </c>
      <c r="D9379" s="313"/>
      <c r="E9379" s="15"/>
      <c r="F9379" s="314"/>
      <c r="G9379" s="315"/>
      <c r="H9379" s="57"/>
      <c r="I9379" s="57"/>
      <c r="J9379" s="57"/>
      <c r="K9379" s="19"/>
      <c r="L9379" s="20"/>
    </row>
    <row r="9380" spans="1:12" ht="12.75">
      <c r="A9380" s="149"/>
      <c r="B9380" s="9"/>
      <c r="C9380" s="12" t="str">
        <f>IFERROR(VLOOKUP(D9380,'[1]Перечень товаров'!$A$2:$I9525,3,0),"")</f>
        <v/>
      </c>
      <c r="D9380" s="313"/>
      <c r="E9380" s="15"/>
      <c r="F9380" s="314"/>
      <c r="G9380" s="315"/>
      <c r="H9380" s="57"/>
      <c r="I9380" s="57"/>
      <c r="J9380" s="57"/>
      <c r="K9380" s="19"/>
      <c r="L9380" s="20"/>
    </row>
    <row r="9381" spans="1:12" ht="12.75">
      <c r="A9381" s="149"/>
      <c r="B9381" s="9"/>
      <c r="C9381" s="12" t="str">
        <f>IFERROR(VLOOKUP(D9381,'[1]Перечень товаров'!$A$2:$I9525,3,0),"")</f>
        <v/>
      </c>
      <c r="D9381" s="313"/>
      <c r="E9381" s="15"/>
      <c r="F9381" s="314"/>
      <c r="G9381" s="315"/>
      <c r="H9381" s="57"/>
      <c r="I9381" s="57"/>
      <c r="J9381" s="57"/>
      <c r="K9381" s="19"/>
      <c r="L9381" s="20"/>
    </row>
    <row r="9382" spans="1:12" ht="12.75">
      <c r="A9382" s="149"/>
      <c r="B9382" s="9"/>
      <c r="C9382" s="12" t="str">
        <f>IFERROR(VLOOKUP(D9382,'[1]Перечень товаров'!$A$2:$I9525,3,0),"")</f>
        <v/>
      </c>
      <c r="D9382" s="313"/>
      <c r="E9382" s="15"/>
      <c r="F9382" s="314"/>
      <c r="G9382" s="315"/>
      <c r="H9382" s="57"/>
      <c r="I9382" s="57"/>
      <c r="J9382" s="57"/>
      <c r="K9382" s="19"/>
      <c r="L9382" s="20"/>
    </row>
    <row r="9383" spans="1:12" ht="12.75">
      <c r="A9383" s="149"/>
      <c r="B9383" s="9"/>
      <c r="C9383" s="12" t="str">
        <f>IFERROR(VLOOKUP(D9383,'[1]Перечень товаров'!$A$2:$I9525,3,0),"")</f>
        <v/>
      </c>
      <c r="D9383" s="313"/>
      <c r="E9383" s="15"/>
      <c r="F9383" s="314"/>
      <c r="G9383" s="315"/>
      <c r="H9383" s="57"/>
      <c r="I9383" s="57"/>
      <c r="J9383" s="57"/>
      <c r="K9383" s="19"/>
      <c r="L9383" s="20"/>
    </row>
    <row r="9384" spans="1:12" ht="12.75">
      <c r="A9384" s="149"/>
      <c r="B9384" s="9"/>
      <c r="C9384" s="12" t="str">
        <f>IFERROR(VLOOKUP(D9384,'[1]Перечень товаров'!$A$2:$I9525,3,0),"")</f>
        <v/>
      </c>
      <c r="D9384" s="313"/>
      <c r="E9384" s="15"/>
      <c r="F9384" s="314"/>
      <c r="G9384" s="315"/>
      <c r="H9384" s="57"/>
      <c r="I9384" s="57"/>
      <c r="J9384" s="57"/>
      <c r="K9384" s="19"/>
      <c r="L9384" s="20"/>
    </row>
    <row r="9385" spans="1:12" ht="12.75">
      <c r="A9385" s="149"/>
      <c r="B9385" s="9"/>
      <c r="C9385" s="12" t="str">
        <f>IFERROR(VLOOKUP(D9385,'[1]Перечень товаров'!$A$2:$I9525,3,0),"")</f>
        <v/>
      </c>
      <c r="D9385" s="313"/>
      <c r="E9385" s="15"/>
      <c r="F9385" s="314"/>
      <c r="G9385" s="315"/>
      <c r="H9385" s="57"/>
      <c r="I9385" s="57"/>
      <c r="J9385" s="57"/>
      <c r="K9385" s="19"/>
      <c r="L9385" s="20"/>
    </row>
    <row r="9386" spans="1:12" ht="12.75">
      <c r="A9386" s="149"/>
      <c r="B9386" s="9"/>
      <c r="C9386" s="12" t="str">
        <f>IFERROR(VLOOKUP(D9386,'[1]Перечень товаров'!$A$2:$I9525,3,0),"")</f>
        <v/>
      </c>
      <c r="D9386" s="313"/>
      <c r="E9386" s="15"/>
      <c r="F9386" s="314"/>
      <c r="G9386" s="315"/>
      <c r="H9386" s="57"/>
      <c r="I9386" s="57"/>
      <c r="J9386" s="57"/>
      <c r="K9386" s="19"/>
      <c r="L9386" s="20"/>
    </row>
    <row r="9387" spans="1:12" ht="12.75">
      <c r="A9387" s="149"/>
      <c r="B9387" s="9"/>
      <c r="C9387" s="12" t="str">
        <f>IFERROR(VLOOKUP(D9387,'[1]Перечень товаров'!$A$2:$I9525,3,0),"")</f>
        <v/>
      </c>
      <c r="D9387" s="313"/>
      <c r="E9387" s="15"/>
      <c r="F9387" s="314"/>
      <c r="G9387" s="315"/>
      <c r="H9387" s="57"/>
      <c r="I9387" s="57"/>
      <c r="J9387" s="57"/>
      <c r="K9387" s="19"/>
      <c r="L9387" s="20"/>
    </row>
    <row r="9388" spans="1:12" ht="12.75">
      <c r="A9388" s="149"/>
      <c r="B9388" s="9"/>
      <c r="C9388" s="12" t="str">
        <f>IFERROR(VLOOKUP(D9388,'[1]Перечень товаров'!$A$2:$I9525,3,0),"")</f>
        <v/>
      </c>
      <c r="D9388" s="313"/>
      <c r="E9388" s="15"/>
      <c r="F9388" s="314"/>
      <c r="G9388" s="315"/>
      <c r="H9388" s="57"/>
      <c r="I9388" s="57"/>
      <c r="J9388" s="57"/>
      <c r="K9388" s="19"/>
      <c r="L9388" s="20"/>
    </row>
    <row r="9389" spans="1:12" ht="12.75">
      <c r="A9389" s="149"/>
      <c r="B9389" s="9"/>
      <c r="C9389" s="12" t="str">
        <f>IFERROR(VLOOKUP(D9389,'[1]Перечень товаров'!$A$2:$I9525,3,0),"")</f>
        <v/>
      </c>
      <c r="D9389" s="313"/>
      <c r="E9389" s="15"/>
      <c r="F9389" s="314"/>
      <c r="G9389" s="315"/>
      <c r="H9389" s="57"/>
      <c r="I9389" s="57"/>
      <c r="J9389" s="57"/>
      <c r="K9389" s="19"/>
      <c r="L9389" s="20"/>
    </row>
    <row r="9390" spans="1:12" ht="12.75">
      <c r="A9390" s="149"/>
      <c r="B9390" s="9"/>
      <c r="C9390" s="12" t="str">
        <f>IFERROR(VLOOKUP(D9390,'[1]Перечень товаров'!$A$2:$I9525,3,0),"")</f>
        <v/>
      </c>
      <c r="D9390" s="313"/>
      <c r="E9390" s="15"/>
      <c r="F9390" s="314"/>
      <c r="G9390" s="315"/>
      <c r="H9390" s="57"/>
      <c r="I9390" s="57"/>
      <c r="J9390" s="57"/>
      <c r="K9390" s="19"/>
      <c r="L9390" s="20"/>
    </row>
    <row r="9391" spans="1:12" ht="12.75">
      <c r="A9391" s="149"/>
      <c r="B9391" s="9"/>
      <c r="C9391" s="12" t="str">
        <f>IFERROR(VLOOKUP(D9391,'[1]Перечень товаров'!$A$2:$I9525,3,0),"")</f>
        <v/>
      </c>
      <c r="D9391" s="313"/>
      <c r="E9391" s="15"/>
      <c r="F9391" s="314"/>
      <c r="G9391" s="315"/>
      <c r="H9391" s="57"/>
      <c r="I9391" s="57"/>
      <c r="J9391" s="57"/>
      <c r="K9391" s="19"/>
      <c r="L9391" s="20"/>
    </row>
    <row r="9392" spans="1:12" ht="12.75">
      <c r="A9392" s="149"/>
      <c r="B9392" s="9"/>
      <c r="C9392" s="12" t="str">
        <f>IFERROR(VLOOKUP(D9392,'[1]Перечень товаров'!$A$2:$I9525,3,0),"")</f>
        <v/>
      </c>
      <c r="D9392" s="313"/>
      <c r="E9392" s="15"/>
      <c r="F9392" s="314"/>
      <c r="G9392" s="315"/>
      <c r="H9392" s="57"/>
      <c r="I9392" s="57"/>
      <c r="J9392" s="57"/>
      <c r="K9392" s="19"/>
      <c r="L9392" s="20"/>
    </row>
    <row r="9393" spans="1:12" ht="12.75">
      <c r="A9393" s="149"/>
      <c r="B9393" s="9"/>
      <c r="C9393" s="12" t="str">
        <f>IFERROR(VLOOKUP(D9393,'[1]Перечень товаров'!$A$2:$I9525,3,0),"")</f>
        <v/>
      </c>
      <c r="D9393" s="313"/>
      <c r="E9393" s="15"/>
      <c r="F9393" s="314"/>
      <c r="G9393" s="315"/>
      <c r="H9393" s="57"/>
      <c r="I9393" s="57"/>
      <c r="J9393" s="57"/>
      <c r="K9393" s="19"/>
      <c r="L9393" s="20"/>
    </row>
    <row r="9394" spans="1:12" ht="12.75">
      <c r="A9394" s="149"/>
      <c r="B9394" s="9"/>
      <c r="C9394" s="12" t="str">
        <f>IFERROR(VLOOKUP(D9394,'[1]Перечень товаров'!$A$2:$I9525,3,0),"")</f>
        <v/>
      </c>
      <c r="D9394" s="313"/>
      <c r="E9394" s="15"/>
      <c r="F9394" s="314"/>
      <c r="G9394" s="315"/>
      <c r="H9394" s="57"/>
      <c r="I9394" s="57"/>
      <c r="J9394" s="57"/>
      <c r="K9394" s="19"/>
      <c r="L9394" s="20"/>
    </row>
    <row r="9395" spans="1:12" ht="12.75">
      <c r="A9395" s="149"/>
      <c r="B9395" s="9"/>
      <c r="C9395" s="12" t="str">
        <f>IFERROR(VLOOKUP(D9395,'[1]Перечень товаров'!$A$2:$I9525,3,0),"")</f>
        <v/>
      </c>
      <c r="D9395" s="313"/>
      <c r="E9395" s="15"/>
      <c r="F9395" s="314"/>
      <c r="G9395" s="315"/>
      <c r="H9395" s="57"/>
      <c r="I9395" s="57"/>
      <c r="J9395" s="57"/>
      <c r="K9395" s="19"/>
      <c r="L9395" s="20"/>
    </row>
    <row r="9396" spans="1:12" ht="12.75">
      <c r="A9396" s="149"/>
      <c r="B9396" s="9"/>
      <c r="C9396" s="12" t="str">
        <f>IFERROR(VLOOKUP(D9396,'[1]Перечень товаров'!$A$2:$I9525,3,0),"")</f>
        <v/>
      </c>
      <c r="D9396" s="313"/>
      <c r="E9396" s="15"/>
      <c r="F9396" s="314"/>
      <c r="G9396" s="315"/>
      <c r="H9396" s="57"/>
      <c r="I9396" s="57"/>
      <c r="J9396" s="57"/>
      <c r="K9396" s="19"/>
      <c r="L9396" s="20"/>
    </row>
    <row r="9397" spans="1:12" ht="12.75">
      <c r="A9397" s="149"/>
      <c r="B9397" s="9"/>
      <c r="C9397" s="12" t="str">
        <f>IFERROR(VLOOKUP(D9397,'[1]Перечень товаров'!$A$2:$I9525,3,0),"")</f>
        <v/>
      </c>
      <c r="D9397" s="313"/>
      <c r="E9397" s="15"/>
      <c r="F9397" s="314"/>
      <c r="G9397" s="315"/>
      <c r="H9397" s="57"/>
      <c r="I9397" s="57"/>
      <c r="J9397" s="57"/>
      <c r="K9397" s="19"/>
      <c r="L9397" s="20"/>
    </row>
    <row r="9398" spans="1:12" ht="12.75">
      <c r="A9398" s="149"/>
      <c r="B9398" s="9"/>
      <c r="C9398" s="12" t="str">
        <f>IFERROR(VLOOKUP(D9398,'[1]Перечень товаров'!$A$2:$I9525,3,0),"")</f>
        <v/>
      </c>
      <c r="D9398" s="313"/>
      <c r="E9398" s="15"/>
      <c r="F9398" s="314"/>
      <c r="G9398" s="315"/>
      <c r="H9398" s="57"/>
      <c r="I9398" s="57"/>
      <c r="J9398" s="57"/>
      <c r="K9398" s="19"/>
      <c r="L9398" s="20"/>
    </row>
    <row r="9399" spans="1:12" ht="12.75">
      <c r="A9399" s="149"/>
      <c r="B9399" s="9"/>
      <c r="C9399" s="12" t="str">
        <f>IFERROR(VLOOKUP(D9399,'[1]Перечень товаров'!$A$2:$I9525,3,0),"")</f>
        <v/>
      </c>
      <c r="D9399" s="313"/>
      <c r="E9399" s="15"/>
      <c r="F9399" s="314"/>
      <c r="G9399" s="315"/>
      <c r="H9399" s="57"/>
      <c r="I9399" s="57"/>
      <c r="J9399" s="57"/>
      <c r="K9399" s="19"/>
      <c r="L9399" s="20"/>
    </row>
    <row r="9400" spans="1:12" ht="12.75">
      <c r="A9400" s="149"/>
      <c r="B9400" s="9"/>
      <c r="C9400" s="12" t="str">
        <f>IFERROR(VLOOKUP(D9400,'[1]Перечень товаров'!$A$2:$I9525,3,0),"")</f>
        <v/>
      </c>
      <c r="D9400" s="313"/>
      <c r="E9400" s="15"/>
      <c r="F9400" s="314"/>
      <c r="G9400" s="315"/>
      <c r="H9400" s="57"/>
      <c r="I9400" s="57"/>
      <c r="J9400" s="57"/>
      <c r="K9400" s="19"/>
      <c r="L9400" s="20"/>
    </row>
    <row r="9401" spans="1:12" ht="12.75">
      <c r="A9401" s="149"/>
      <c r="B9401" s="9"/>
      <c r="C9401" s="12" t="str">
        <f>IFERROR(VLOOKUP(D9401,'[1]Перечень товаров'!$A$2:$I9525,3,0),"")</f>
        <v/>
      </c>
      <c r="D9401" s="313"/>
      <c r="E9401" s="15"/>
      <c r="F9401" s="314"/>
      <c r="G9401" s="315"/>
      <c r="H9401" s="57"/>
      <c r="I9401" s="57"/>
      <c r="J9401" s="57"/>
      <c r="K9401" s="19"/>
      <c r="L9401" s="20"/>
    </row>
    <row r="9402" spans="1:12" ht="12.75">
      <c r="A9402" s="149"/>
      <c r="B9402" s="9"/>
      <c r="C9402" s="12" t="str">
        <f>IFERROR(VLOOKUP(D9402,'[1]Перечень товаров'!$A$2:$I9525,3,0),"")</f>
        <v/>
      </c>
      <c r="D9402" s="313"/>
      <c r="E9402" s="15"/>
      <c r="F9402" s="314"/>
      <c r="G9402" s="315"/>
      <c r="H9402" s="57"/>
      <c r="I9402" s="57"/>
      <c r="J9402" s="57"/>
      <c r="K9402" s="19"/>
      <c r="L9402" s="20"/>
    </row>
    <row r="9403" spans="1:12" ht="12.75">
      <c r="A9403" s="149"/>
      <c r="B9403" s="9"/>
      <c r="C9403" s="12" t="str">
        <f>IFERROR(VLOOKUP(D9403,'[1]Перечень товаров'!$A$2:$I9525,3,0),"")</f>
        <v/>
      </c>
      <c r="D9403" s="313"/>
      <c r="E9403" s="15"/>
      <c r="F9403" s="314"/>
      <c r="G9403" s="315"/>
      <c r="H9403" s="57"/>
      <c r="I9403" s="57"/>
      <c r="J9403" s="57"/>
      <c r="K9403" s="19"/>
      <c r="L9403" s="20"/>
    </row>
    <row r="9404" spans="1:12" ht="12.75">
      <c r="A9404" s="149"/>
      <c r="B9404" s="9"/>
      <c r="C9404" s="12" t="str">
        <f>IFERROR(VLOOKUP(D9404,'[1]Перечень товаров'!$A$2:$I9525,3,0),"")</f>
        <v/>
      </c>
      <c r="D9404" s="313"/>
      <c r="E9404" s="15"/>
      <c r="F9404" s="314"/>
      <c r="G9404" s="315"/>
      <c r="H9404" s="57"/>
      <c r="I9404" s="57"/>
      <c r="J9404" s="57"/>
      <c r="K9404" s="19"/>
      <c r="L9404" s="20"/>
    </row>
    <row r="9405" spans="1:12" ht="12.75">
      <c r="A9405" s="149"/>
      <c r="B9405" s="9"/>
      <c r="C9405" s="12" t="str">
        <f>IFERROR(VLOOKUP(D9405,'[1]Перечень товаров'!$A$2:$I9525,3,0),"")</f>
        <v/>
      </c>
      <c r="D9405" s="313"/>
      <c r="E9405" s="15"/>
      <c r="F9405" s="314"/>
      <c r="G9405" s="315"/>
      <c r="H9405" s="57"/>
      <c r="I9405" s="57"/>
      <c r="J9405" s="57"/>
      <c r="K9405" s="19"/>
      <c r="L9405" s="20"/>
    </row>
    <row r="9406" spans="1:12" ht="12.75">
      <c r="A9406" s="149"/>
      <c r="B9406" s="9"/>
      <c r="C9406" s="12" t="str">
        <f>IFERROR(VLOOKUP(D9406,'[1]Перечень товаров'!$A$2:$I9525,3,0),"")</f>
        <v/>
      </c>
      <c r="D9406" s="313"/>
      <c r="E9406" s="15"/>
      <c r="F9406" s="314"/>
      <c r="G9406" s="315"/>
      <c r="H9406" s="57"/>
      <c r="I9406" s="57"/>
      <c r="J9406" s="57"/>
      <c r="K9406" s="19"/>
      <c r="L9406" s="20"/>
    </row>
    <row r="9407" spans="1:12" ht="12.75">
      <c r="A9407" s="149"/>
      <c r="B9407" s="9"/>
      <c r="C9407" s="12" t="str">
        <f>IFERROR(VLOOKUP(D9407,'[1]Перечень товаров'!$A$2:$I9525,3,0),"")</f>
        <v/>
      </c>
      <c r="D9407" s="313"/>
      <c r="E9407" s="15"/>
      <c r="F9407" s="314"/>
      <c r="G9407" s="315"/>
      <c r="H9407" s="57"/>
      <c r="I9407" s="57"/>
      <c r="J9407" s="57"/>
      <c r="K9407" s="19"/>
      <c r="L9407" s="20"/>
    </row>
    <row r="9408" spans="1:12" ht="12.75">
      <c r="A9408" s="149"/>
      <c r="B9408" s="9"/>
      <c r="C9408" s="12" t="str">
        <f>IFERROR(VLOOKUP(D9408,'[1]Перечень товаров'!$A$2:$I9525,3,0),"")</f>
        <v/>
      </c>
      <c r="D9408" s="313"/>
      <c r="E9408" s="15"/>
      <c r="F9408" s="314"/>
      <c r="G9408" s="315"/>
      <c r="H9408" s="57"/>
      <c r="I9408" s="57"/>
      <c r="J9408" s="57"/>
      <c r="K9408" s="19"/>
      <c r="L9408" s="20"/>
    </row>
    <row r="9409" spans="1:12" ht="12.75">
      <c r="A9409" s="149"/>
      <c r="B9409" s="9"/>
      <c r="C9409" s="12" t="str">
        <f>IFERROR(VLOOKUP(D9409,'[1]Перечень товаров'!$A$2:$I9525,3,0),"")</f>
        <v/>
      </c>
      <c r="D9409" s="313"/>
      <c r="E9409" s="15"/>
      <c r="F9409" s="314"/>
      <c r="G9409" s="315"/>
      <c r="H9409" s="57"/>
      <c r="I9409" s="57"/>
      <c r="J9409" s="57"/>
      <c r="K9409" s="19"/>
      <c r="L9409" s="20"/>
    </row>
    <row r="9410" spans="1:12" ht="12.75">
      <c r="A9410" s="149"/>
      <c r="B9410" s="9"/>
      <c r="C9410" s="12" t="str">
        <f>IFERROR(VLOOKUP(D9410,'[1]Перечень товаров'!$A$2:$I9525,3,0),"")</f>
        <v/>
      </c>
      <c r="D9410" s="313"/>
      <c r="E9410" s="15"/>
      <c r="F9410" s="314"/>
      <c r="G9410" s="315"/>
      <c r="H9410" s="57"/>
      <c r="I9410" s="57"/>
      <c r="J9410" s="57"/>
      <c r="K9410" s="19"/>
      <c r="L9410" s="20"/>
    </row>
    <row r="9411" spans="1:12" ht="12.75">
      <c r="A9411" s="149"/>
      <c r="B9411" s="9"/>
      <c r="C9411" s="12" t="str">
        <f>IFERROR(VLOOKUP(D9411,'[1]Перечень товаров'!$A$2:$I9525,3,0),"")</f>
        <v/>
      </c>
      <c r="D9411" s="313"/>
      <c r="E9411" s="15"/>
      <c r="F9411" s="314"/>
      <c r="G9411" s="315"/>
      <c r="H9411" s="57"/>
      <c r="I9411" s="57"/>
      <c r="J9411" s="57"/>
      <c r="K9411" s="19"/>
      <c r="L9411" s="20"/>
    </row>
    <row r="9412" spans="1:12" ht="12.75">
      <c r="A9412" s="149"/>
      <c r="B9412" s="9"/>
      <c r="C9412" s="12" t="str">
        <f>IFERROR(VLOOKUP(D9412,'[1]Перечень товаров'!$A$2:$I9525,3,0),"")</f>
        <v/>
      </c>
      <c r="D9412" s="313"/>
      <c r="E9412" s="15"/>
      <c r="F9412" s="314"/>
      <c r="G9412" s="315"/>
      <c r="H9412" s="57"/>
      <c r="I9412" s="57"/>
      <c r="J9412" s="57"/>
      <c r="K9412" s="19"/>
      <c r="L9412" s="20"/>
    </row>
    <row r="9413" spans="1:12" ht="12.75">
      <c r="A9413" s="149"/>
      <c r="B9413" s="9"/>
      <c r="C9413" s="12" t="str">
        <f>IFERROR(VLOOKUP(D9413,'[1]Перечень товаров'!$A$2:$I9525,3,0),"")</f>
        <v/>
      </c>
      <c r="D9413" s="313"/>
      <c r="E9413" s="15"/>
      <c r="F9413" s="314"/>
      <c r="G9413" s="315"/>
      <c r="H9413" s="57"/>
      <c r="I9413" s="57"/>
      <c r="J9413" s="57"/>
      <c r="K9413" s="19"/>
      <c r="L9413" s="20"/>
    </row>
    <row r="9414" spans="1:12" ht="12.75">
      <c r="A9414" s="149"/>
      <c r="B9414" s="9"/>
      <c r="C9414" s="12" t="str">
        <f>IFERROR(VLOOKUP(D9414,'[1]Перечень товаров'!$A$2:$I9525,3,0),"")</f>
        <v/>
      </c>
      <c r="D9414" s="313"/>
      <c r="E9414" s="15"/>
      <c r="F9414" s="314"/>
      <c r="G9414" s="315"/>
      <c r="H9414" s="57"/>
      <c r="I9414" s="57"/>
      <c r="J9414" s="57"/>
      <c r="K9414" s="19"/>
      <c r="L9414" s="20"/>
    </row>
    <row r="9415" spans="1:12" ht="12.75">
      <c r="A9415" s="149"/>
      <c r="B9415" s="9"/>
      <c r="C9415" s="12" t="str">
        <f>IFERROR(VLOOKUP(D9415,'[1]Перечень товаров'!$A$2:$I9525,3,0),"")</f>
        <v/>
      </c>
      <c r="D9415" s="313"/>
      <c r="E9415" s="15"/>
      <c r="F9415" s="314"/>
      <c r="G9415" s="315"/>
      <c r="H9415" s="57"/>
      <c r="I9415" s="57"/>
      <c r="J9415" s="57"/>
      <c r="K9415" s="19"/>
      <c r="L9415" s="20"/>
    </row>
    <row r="9416" spans="1:12" ht="12.75">
      <c r="A9416" s="149"/>
      <c r="B9416" s="9"/>
      <c r="C9416" s="12" t="str">
        <f>IFERROR(VLOOKUP(D9416,'[1]Перечень товаров'!$A$2:$I9525,3,0),"")</f>
        <v/>
      </c>
      <c r="D9416" s="313"/>
      <c r="E9416" s="15"/>
      <c r="F9416" s="314"/>
      <c r="G9416" s="315"/>
      <c r="H9416" s="57"/>
      <c r="I9416" s="57"/>
      <c r="J9416" s="57"/>
      <c r="K9416" s="19"/>
      <c r="L9416" s="20"/>
    </row>
    <row r="9417" spans="1:12" ht="12.75">
      <c r="A9417" s="149"/>
      <c r="B9417" s="9"/>
      <c r="C9417" s="12" t="str">
        <f>IFERROR(VLOOKUP(D9417,'[1]Перечень товаров'!$A$2:$I9525,3,0),"")</f>
        <v/>
      </c>
      <c r="D9417" s="313"/>
      <c r="E9417" s="15"/>
      <c r="F9417" s="314"/>
      <c r="G9417" s="315"/>
      <c r="H9417" s="57"/>
      <c r="I9417" s="57"/>
      <c r="J9417" s="57"/>
      <c r="K9417" s="19"/>
      <c r="L9417" s="20"/>
    </row>
    <row r="9418" spans="1:12" ht="12.75">
      <c r="A9418" s="149"/>
      <c r="B9418" s="9"/>
      <c r="C9418" s="12" t="str">
        <f>IFERROR(VLOOKUP(D9418,'[1]Перечень товаров'!$A$2:$I9525,3,0),"")</f>
        <v/>
      </c>
      <c r="D9418" s="313"/>
      <c r="E9418" s="15"/>
      <c r="F9418" s="314"/>
      <c r="G9418" s="315"/>
      <c r="H9418" s="57"/>
      <c r="I9418" s="57"/>
      <c r="J9418" s="57"/>
      <c r="K9418" s="19"/>
      <c r="L9418" s="20"/>
    </row>
    <row r="9419" spans="1:12" ht="12.75">
      <c r="A9419" s="149"/>
      <c r="B9419" s="9"/>
      <c r="C9419" s="12" t="str">
        <f>IFERROR(VLOOKUP(D9419,'[1]Перечень товаров'!$A$2:$I9525,3,0),"")</f>
        <v/>
      </c>
      <c r="D9419" s="313"/>
      <c r="E9419" s="15"/>
      <c r="F9419" s="314"/>
      <c r="G9419" s="315"/>
      <c r="H9419" s="57"/>
      <c r="I9419" s="57"/>
      <c r="J9419" s="57"/>
      <c r="K9419" s="19"/>
      <c r="L9419" s="20"/>
    </row>
    <row r="9420" spans="1:12" ht="12.75">
      <c r="A9420" s="149"/>
      <c r="B9420" s="9"/>
      <c r="C9420" s="12" t="str">
        <f>IFERROR(VLOOKUP(D9420,'[1]Перечень товаров'!$A$2:$I9525,3,0),"")</f>
        <v/>
      </c>
      <c r="D9420" s="313"/>
      <c r="E9420" s="15"/>
      <c r="F9420" s="314"/>
      <c r="G9420" s="315"/>
      <c r="H9420" s="57"/>
      <c r="I9420" s="57"/>
      <c r="J9420" s="57"/>
      <c r="K9420" s="19"/>
      <c r="L9420" s="20"/>
    </row>
    <row r="9421" spans="1:12" ht="12.75">
      <c r="A9421" s="149"/>
      <c r="B9421" s="9"/>
      <c r="C9421" s="12" t="str">
        <f>IFERROR(VLOOKUP(D9421,'[1]Перечень товаров'!$A$2:$I9525,3,0),"")</f>
        <v/>
      </c>
      <c r="D9421" s="313"/>
      <c r="E9421" s="15"/>
      <c r="F9421" s="314"/>
      <c r="G9421" s="315"/>
      <c r="H9421" s="57"/>
      <c r="I9421" s="57"/>
      <c r="J9421" s="57"/>
      <c r="K9421" s="19"/>
      <c r="L9421" s="20"/>
    </row>
    <row r="9422" spans="1:12" ht="12.75">
      <c r="A9422" s="149"/>
      <c r="B9422" s="9"/>
      <c r="C9422" s="12" t="str">
        <f>IFERROR(VLOOKUP(D9422,'[1]Перечень товаров'!$A$2:$I9525,3,0),"")</f>
        <v/>
      </c>
      <c r="D9422" s="313"/>
      <c r="E9422" s="15"/>
      <c r="F9422" s="314"/>
      <c r="G9422" s="315"/>
      <c r="H9422" s="57"/>
      <c r="I9422" s="57"/>
      <c r="J9422" s="57"/>
      <c r="K9422" s="19"/>
      <c r="L9422" s="20"/>
    </row>
    <row r="9423" spans="1:12" ht="12.75">
      <c r="A9423" s="149"/>
      <c r="B9423" s="9"/>
      <c r="C9423" s="12" t="str">
        <f>IFERROR(VLOOKUP(D9423,'[1]Перечень товаров'!$A$2:$I9525,3,0),"")</f>
        <v/>
      </c>
      <c r="D9423" s="313"/>
      <c r="E9423" s="15"/>
      <c r="F9423" s="314"/>
      <c r="G9423" s="315"/>
      <c r="H9423" s="57"/>
      <c r="I9423" s="57"/>
      <c r="J9423" s="57"/>
      <c r="K9423" s="19"/>
      <c r="L9423" s="20"/>
    </row>
    <row r="9424" spans="1:12" ht="12.75">
      <c r="A9424" s="149"/>
      <c r="B9424" s="9"/>
      <c r="C9424" s="12" t="str">
        <f>IFERROR(VLOOKUP(D9424,'[1]Перечень товаров'!$A$2:$I9525,3,0),"")</f>
        <v/>
      </c>
      <c r="D9424" s="313"/>
      <c r="E9424" s="15"/>
      <c r="F9424" s="314"/>
      <c r="G9424" s="315"/>
      <c r="H9424" s="57"/>
      <c r="I9424" s="57"/>
      <c r="J9424" s="57"/>
      <c r="K9424" s="19"/>
      <c r="L9424" s="20"/>
    </row>
    <row r="9425" spans="1:12" ht="12.75">
      <c r="A9425" s="149"/>
      <c r="B9425" s="9"/>
      <c r="C9425" s="12" t="str">
        <f>IFERROR(VLOOKUP(D9425,'[1]Перечень товаров'!$A$2:$I9525,3,0),"")</f>
        <v/>
      </c>
      <c r="D9425" s="313"/>
      <c r="E9425" s="15"/>
      <c r="F9425" s="314"/>
      <c r="G9425" s="315"/>
      <c r="H9425" s="57"/>
      <c r="I9425" s="57"/>
      <c r="J9425" s="57"/>
      <c r="K9425" s="19"/>
      <c r="L9425" s="20"/>
    </row>
    <row r="9426" spans="1:12" ht="12.75">
      <c r="A9426" s="149"/>
      <c r="B9426" s="9"/>
      <c r="C9426" s="12" t="str">
        <f>IFERROR(VLOOKUP(D9426,'[1]Перечень товаров'!$A$2:$I9525,3,0),"")</f>
        <v/>
      </c>
      <c r="D9426" s="313"/>
      <c r="E9426" s="15"/>
      <c r="F9426" s="314"/>
      <c r="G9426" s="315"/>
      <c r="H9426" s="57"/>
      <c r="I9426" s="57"/>
      <c r="J9426" s="57"/>
      <c r="K9426" s="19"/>
      <c r="L9426" s="20"/>
    </row>
    <row r="9427" spans="1:12" ht="12.75">
      <c r="A9427" s="149"/>
      <c r="B9427" s="9"/>
      <c r="C9427" s="12" t="str">
        <f>IFERROR(VLOOKUP(D9427,'[1]Перечень товаров'!$A$2:$I9525,3,0),"")</f>
        <v/>
      </c>
      <c r="D9427" s="313"/>
      <c r="E9427" s="15"/>
      <c r="F9427" s="314"/>
      <c r="G9427" s="315"/>
      <c r="H9427" s="57"/>
      <c r="I9427" s="57"/>
      <c r="J9427" s="57"/>
      <c r="K9427" s="19"/>
      <c r="L9427" s="20"/>
    </row>
    <row r="9428" spans="1:12" ht="12.75">
      <c r="A9428" s="149"/>
      <c r="B9428" s="9"/>
      <c r="C9428" s="12" t="str">
        <f>IFERROR(VLOOKUP(D9428,'[1]Перечень товаров'!$A$2:$I9525,3,0),"")</f>
        <v/>
      </c>
      <c r="D9428" s="313"/>
      <c r="E9428" s="15"/>
      <c r="F9428" s="314"/>
      <c r="G9428" s="315"/>
      <c r="H9428" s="57"/>
      <c r="I9428" s="57"/>
      <c r="J9428" s="57"/>
      <c r="K9428" s="19"/>
      <c r="L9428" s="20"/>
    </row>
    <row r="9429" spans="1:12" ht="12.75">
      <c r="A9429" s="149"/>
      <c r="B9429" s="9"/>
      <c r="C9429" s="12" t="str">
        <f>IFERROR(VLOOKUP(D9429,'[1]Перечень товаров'!$A$2:$I9525,3,0),"")</f>
        <v/>
      </c>
      <c r="D9429" s="313"/>
      <c r="E9429" s="15"/>
      <c r="F9429" s="314"/>
      <c r="G9429" s="315"/>
      <c r="H9429" s="57"/>
      <c r="I9429" s="57"/>
      <c r="J9429" s="57"/>
      <c r="K9429" s="19"/>
      <c r="L9429" s="20"/>
    </row>
    <row r="9430" spans="1:12" ht="12.75">
      <c r="A9430" s="149"/>
      <c r="B9430" s="9"/>
      <c r="C9430" s="12" t="str">
        <f>IFERROR(VLOOKUP(D9430,'[1]Перечень товаров'!$A$2:$I9525,3,0),"")</f>
        <v/>
      </c>
      <c r="D9430" s="313"/>
      <c r="E9430" s="15"/>
      <c r="F9430" s="314"/>
      <c r="G9430" s="315"/>
      <c r="H9430" s="57"/>
      <c r="I9430" s="57"/>
      <c r="J9430" s="57"/>
      <c r="K9430" s="19"/>
      <c r="L9430" s="20"/>
    </row>
    <row r="9431" spans="1:12" ht="12.75">
      <c r="A9431" s="149"/>
      <c r="B9431" s="9"/>
      <c r="C9431" s="12" t="str">
        <f>IFERROR(VLOOKUP(D9431,'[1]Перечень товаров'!$A$2:$I9525,3,0),"")</f>
        <v/>
      </c>
      <c r="D9431" s="313"/>
      <c r="E9431" s="15"/>
      <c r="F9431" s="314"/>
      <c r="G9431" s="315"/>
      <c r="H9431" s="57"/>
      <c r="I9431" s="57"/>
      <c r="J9431" s="57"/>
      <c r="K9431" s="19"/>
      <c r="L9431" s="20"/>
    </row>
    <row r="9432" spans="1:12" ht="12.75">
      <c r="A9432" s="149"/>
      <c r="B9432" s="9"/>
      <c r="C9432" s="12" t="str">
        <f>IFERROR(VLOOKUP(D9432,'[1]Перечень товаров'!$A$2:$I9525,3,0),"")</f>
        <v/>
      </c>
      <c r="D9432" s="313"/>
      <c r="E9432" s="15"/>
      <c r="F9432" s="314"/>
      <c r="G9432" s="315"/>
      <c r="H9432" s="57"/>
      <c r="I9432" s="57"/>
      <c r="J9432" s="57"/>
      <c r="K9432" s="19"/>
      <c r="L9432" s="20"/>
    </row>
    <row r="9433" spans="1:12" ht="12.75">
      <c r="A9433" s="149"/>
      <c r="B9433" s="9"/>
      <c r="C9433" s="12" t="str">
        <f>IFERROR(VLOOKUP(D9433,'[1]Перечень товаров'!$A$2:$I9525,3,0),"")</f>
        <v/>
      </c>
      <c r="D9433" s="313"/>
      <c r="E9433" s="15"/>
      <c r="F9433" s="314"/>
      <c r="G9433" s="315"/>
      <c r="H9433" s="57"/>
      <c r="I9433" s="57"/>
      <c r="J9433" s="57"/>
      <c r="K9433" s="19"/>
      <c r="L9433" s="20"/>
    </row>
    <row r="9434" spans="1:12" ht="12.75">
      <c r="A9434" s="149"/>
      <c r="B9434" s="9"/>
      <c r="C9434" s="12" t="str">
        <f>IFERROR(VLOOKUP(D9434,'[1]Перечень товаров'!$A$2:$I9525,3,0),"")</f>
        <v/>
      </c>
      <c r="D9434" s="313"/>
      <c r="E9434" s="15"/>
      <c r="F9434" s="314"/>
      <c r="G9434" s="315"/>
      <c r="H9434" s="57"/>
      <c r="I9434" s="57"/>
      <c r="J9434" s="57"/>
      <c r="K9434" s="19"/>
      <c r="L9434" s="20"/>
    </row>
    <row r="9435" spans="1:12" ht="12.75">
      <c r="A9435" s="149"/>
      <c r="B9435" s="9"/>
      <c r="C9435" s="12" t="str">
        <f>IFERROR(VLOOKUP(D9435,'[1]Перечень товаров'!$A$2:$I9525,3,0),"")</f>
        <v/>
      </c>
      <c r="D9435" s="313"/>
      <c r="E9435" s="15"/>
      <c r="F9435" s="314"/>
      <c r="G9435" s="315"/>
      <c r="H9435" s="57"/>
      <c r="I9435" s="57"/>
      <c r="J9435" s="57"/>
      <c r="K9435" s="19"/>
      <c r="L9435" s="20"/>
    </row>
    <row r="9436" spans="1:12" ht="12.75">
      <c r="A9436" s="149"/>
      <c r="B9436" s="9"/>
      <c r="C9436" s="12" t="str">
        <f>IFERROR(VLOOKUP(D9436,'[1]Перечень товаров'!$A$2:$I9525,3,0),"")</f>
        <v/>
      </c>
      <c r="D9436" s="313"/>
      <c r="E9436" s="15"/>
      <c r="F9436" s="314"/>
      <c r="G9436" s="315"/>
      <c r="H9436" s="57"/>
      <c r="I9436" s="57"/>
      <c r="J9436" s="57"/>
      <c r="K9436" s="19"/>
      <c r="L9436" s="20"/>
    </row>
    <row r="9437" spans="1:12" ht="12.75">
      <c r="A9437" s="149"/>
      <c r="B9437" s="9"/>
      <c r="C9437" s="12" t="str">
        <f>IFERROR(VLOOKUP(D9437,'[1]Перечень товаров'!$A$2:$I9525,3,0),"")</f>
        <v/>
      </c>
      <c r="D9437" s="313"/>
      <c r="E9437" s="15"/>
      <c r="F9437" s="314"/>
      <c r="G9437" s="315"/>
      <c r="H9437" s="57"/>
      <c r="I9437" s="57"/>
      <c r="J9437" s="57"/>
      <c r="K9437" s="19"/>
      <c r="L9437" s="20"/>
    </row>
    <row r="9438" spans="1:12" ht="12.75">
      <c r="A9438" s="149"/>
      <c r="B9438" s="9"/>
      <c r="C9438" s="12" t="str">
        <f>IFERROR(VLOOKUP(D9438,'[1]Перечень товаров'!$A$2:$I9525,3,0),"")</f>
        <v/>
      </c>
      <c r="D9438" s="313"/>
      <c r="E9438" s="15"/>
      <c r="F9438" s="314"/>
      <c r="G9438" s="315"/>
      <c r="H9438" s="57"/>
      <c r="I9438" s="57"/>
      <c r="J9438" s="57"/>
      <c r="K9438" s="19"/>
      <c r="L9438" s="20"/>
    </row>
    <row r="9439" spans="1:12" ht="12.75">
      <c r="A9439" s="149"/>
      <c r="B9439" s="9"/>
      <c r="C9439" s="12" t="str">
        <f>IFERROR(VLOOKUP(D9439,'[1]Перечень товаров'!$A$2:$I9525,3,0),"")</f>
        <v/>
      </c>
      <c r="D9439" s="313"/>
      <c r="E9439" s="15"/>
      <c r="F9439" s="314"/>
      <c r="G9439" s="315"/>
      <c r="H9439" s="57"/>
      <c r="I9439" s="57"/>
      <c r="J9439" s="57"/>
      <c r="K9439" s="19"/>
      <c r="L9439" s="20"/>
    </row>
    <row r="9440" spans="1:12" ht="12.75">
      <c r="A9440" s="149"/>
      <c r="B9440" s="9"/>
      <c r="C9440" s="12" t="str">
        <f>IFERROR(VLOOKUP(D9440,'[1]Перечень товаров'!$A$2:$I9525,3,0),"")</f>
        <v/>
      </c>
      <c r="D9440" s="313"/>
      <c r="E9440" s="15"/>
      <c r="F9440" s="314"/>
      <c r="G9440" s="315"/>
      <c r="H9440" s="57"/>
      <c r="I9440" s="57"/>
      <c r="J9440" s="57"/>
      <c r="K9440" s="19"/>
      <c r="L9440" s="20"/>
    </row>
    <row r="9441" spans="1:12" ht="12.75">
      <c r="A9441" s="149"/>
      <c r="B9441" s="9"/>
      <c r="C9441" s="12" t="str">
        <f>IFERROR(VLOOKUP(D9441,'[1]Перечень товаров'!$A$2:$I9525,3,0),"")</f>
        <v/>
      </c>
      <c r="D9441" s="313"/>
      <c r="E9441" s="15"/>
      <c r="F9441" s="314"/>
      <c r="G9441" s="315"/>
      <c r="H9441" s="57"/>
      <c r="I9441" s="57"/>
      <c r="J9441" s="57"/>
      <c r="K9441" s="19"/>
      <c r="L9441" s="20"/>
    </row>
    <row r="9442" spans="1:12" ht="12.75">
      <c r="A9442" s="149"/>
      <c r="B9442" s="9"/>
      <c r="C9442" s="12" t="str">
        <f>IFERROR(VLOOKUP(D9442,'[1]Перечень товаров'!$A$2:$I9525,3,0),"")</f>
        <v/>
      </c>
      <c r="D9442" s="313"/>
      <c r="E9442" s="15"/>
      <c r="F9442" s="314"/>
      <c r="G9442" s="315"/>
      <c r="H9442" s="57"/>
      <c r="I9442" s="57"/>
      <c r="J9442" s="57"/>
      <c r="K9442" s="19"/>
      <c r="L9442" s="20"/>
    </row>
    <row r="9443" spans="1:12" ht="12.75">
      <c r="A9443" s="149"/>
      <c r="B9443" s="9"/>
      <c r="C9443" s="12" t="str">
        <f>IFERROR(VLOOKUP(D9443,'[1]Перечень товаров'!$A$2:$I9525,3,0),"")</f>
        <v/>
      </c>
      <c r="D9443" s="313"/>
      <c r="E9443" s="15"/>
      <c r="F9443" s="314"/>
      <c r="G9443" s="315"/>
      <c r="H9443" s="57"/>
      <c r="I9443" s="57"/>
      <c r="J9443" s="57"/>
      <c r="K9443" s="19"/>
      <c r="L9443" s="20"/>
    </row>
    <row r="9444" spans="1:12" ht="12.75">
      <c r="A9444" s="149"/>
      <c r="B9444" s="9"/>
      <c r="C9444" s="12" t="str">
        <f>IFERROR(VLOOKUP(D9444,'[1]Перечень товаров'!$A$2:$I9525,3,0),"")</f>
        <v/>
      </c>
      <c r="D9444" s="313"/>
      <c r="E9444" s="15"/>
      <c r="F9444" s="314"/>
      <c r="G9444" s="315"/>
      <c r="H9444" s="57"/>
      <c r="I9444" s="57"/>
      <c r="J9444" s="57"/>
      <c r="K9444" s="19"/>
      <c r="L9444" s="20"/>
    </row>
    <row r="9445" spans="1:12" ht="12.75">
      <c r="A9445" s="149"/>
      <c r="B9445" s="9"/>
      <c r="C9445" s="12" t="str">
        <f>IFERROR(VLOOKUP(D9445,'[1]Перечень товаров'!$A$2:$I9525,3,0),"")</f>
        <v/>
      </c>
      <c r="D9445" s="313"/>
      <c r="E9445" s="15"/>
      <c r="F9445" s="314"/>
      <c r="G9445" s="315"/>
      <c r="H9445" s="57"/>
      <c r="I9445" s="57"/>
      <c r="J9445" s="57"/>
      <c r="K9445" s="19"/>
      <c r="L9445" s="20"/>
    </row>
    <row r="9446" spans="1:12" ht="12.75">
      <c r="A9446" s="149"/>
      <c r="B9446" s="9"/>
      <c r="C9446" s="12" t="str">
        <f>IFERROR(VLOOKUP(D9446,'[1]Перечень товаров'!$A$2:$I9525,3,0),"")</f>
        <v/>
      </c>
      <c r="D9446" s="313"/>
      <c r="E9446" s="15"/>
      <c r="F9446" s="314"/>
      <c r="G9446" s="315"/>
      <c r="H9446" s="57"/>
      <c r="I9446" s="57"/>
      <c r="J9446" s="57"/>
      <c r="K9446" s="19"/>
      <c r="L9446" s="20"/>
    </row>
    <row r="9447" spans="1:12" ht="12.75">
      <c r="A9447" s="149"/>
      <c r="B9447" s="9"/>
      <c r="C9447" s="12" t="str">
        <f>IFERROR(VLOOKUP(D9447,'[1]Перечень товаров'!$A$2:$I9525,3,0),"")</f>
        <v/>
      </c>
      <c r="D9447" s="313"/>
      <c r="E9447" s="15"/>
      <c r="F9447" s="314"/>
      <c r="G9447" s="315"/>
      <c r="H9447" s="57"/>
      <c r="I9447" s="57"/>
      <c r="J9447" s="57"/>
      <c r="K9447" s="19"/>
      <c r="L9447" s="20"/>
    </row>
    <row r="9448" spans="1:12" ht="12.75">
      <c r="A9448" s="149"/>
      <c r="B9448" s="9"/>
      <c r="C9448" s="12" t="str">
        <f>IFERROR(VLOOKUP(D9448,'[1]Перечень товаров'!$A$2:$I9525,3,0),"")</f>
        <v/>
      </c>
      <c r="D9448" s="313"/>
      <c r="E9448" s="15"/>
      <c r="F9448" s="314"/>
      <c r="G9448" s="315"/>
      <c r="H9448" s="57"/>
      <c r="I9448" s="57"/>
      <c r="J9448" s="57"/>
      <c r="K9448" s="19"/>
      <c r="L9448" s="20"/>
    </row>
    <row r="9449" spans="1:12" ht="12.75">
      <c r="A9449" s="149"/>
      <c r="B9449" s="9"/>
      <c r="C9449" s="12" t="str">
        <f>IFERROR(VLOOKUP(D9449,'[1]Перечень товаров'!$A$2:$I9525,3,0),"")</f>
        <v/>
      </c>
      <c r="D9449" s="313"/>
      <c r="E9449" s="15"/>
      <c r="F9449" s="314"/>
      <c r="G9449" s="315"/>
      <c r="H9449" s="57"/>
      <c r="I9449" s="57"/>
      <c r="J9449" s="57"/>
      <c r="K9449" s="19"/>
      <c r="L9449" s="20"/>
    </row>
    <row r="9450" spans="1:12" ht="12.75">
      <c r="A9450" s="149"/>
      <c r="B9450" s="9"/>
      <c r="C9450" s="12" t="str">
        <f>IFERROR(VLOOKUP(D9450,'[1]Перечень товаров'!$A$2:$I9525,3,0),"")</f>
        <v/>
      </c>
      <c r="D9450" s="313"/>
      <c r="E9450" s="15"/>
      <c r="F9450" s="314"/>
      <c r="G9450" s="315"/>
      <c r="H9450" s="57"/>
      <c r="I9450" s="57"/>
      <c r="J9450" s="57"/>
      <c r="K9450" s="19"/>
      <c r="L9450" s="20"/>
    </row>
    <row r="9451" spans="1:12" ht="12.75">
      <c r="A9451" s="149"/>
      <c r="B9451" s="9"/>
      <c r="C9451" s="12" t="str">
        <f>IFERROR(VLOOKUP(D9451,'[1]Перечень товаров'!$A$2:$I9525,3,0),"")</f>
        <v/>
      </c>
      <c r="D9451" s="313"/>
      <c r="E9451" s="15"/>
      <c r="F9451" s="314"/>
      <c r="G9451" s="315"/>
      <c r="H9451" s="57"/>
      <c r="I9451" s="57"/>
      <c r="J9451" s="57"/>
      <c r="K9451" s="19"/>
      <c r="L9451" s="20"/>
    </row>
    <row r="9452" spans="1:12" ht="12.75">
      <c r="A9452" s="149"/>
      <c r="B9452" s="9"/>
      <c r="C9452" s="12" t="str">
        <f>IFERROR(VLOOKUP(D9452,'[1]Перечень товаров'!$A$2:$I9525,3,0),"")</f>
        <v/>
      </c>
      <c r="D9452" s="313"/>
      <c r="E9452" s="15"/>
      <c r="F9452" s="314"/>
      <c r="G9452" s="315"/>
      <c r="H9452" s="57"/>
      <c r="I9452" s="57"/>
      <c r="J9452" s="57"/>
      <c r="K9452" s="19"/>
      <c r="L9452" s="20"/>
    </row>
    <row r="9453" spans="1:12" ht="12.75">
      <c r="A9453" s="149"/>
      <c r="B9453" s="9"/>
      <c r="C9453" s="12" t="str">
        <f>IFERROR(VLOOKUP(D9453,'[1]Перечень товаров'!$A$2:$I9525,3,0),"")</f>
        <v/>
      </c>
      <c r="D9453" s="313"/>
      <c r="E9453" s="15"/>
      <c r="F9453" s="314"/>
      <c r="G9453" s="315"/>
      <c r="H9453" s="57"/>
      <c r="I9453" s="57"/>
      <c r="J9453" s="57"/>
      <c r="K9453" s="19"/>
      <c r="L9453" s="20"/>
    </row>
    <row r="9454" spans="1:12" ht="12.75">
      <c r="A9454" s="149"/>
      <c r="B9454" s="9"/>
      <c r="C9454" s="12" t="str">
        <f>IFERROR(VLOOKUP(D9454,'[1]Перечень товаров'!$A$2:$I9525,3,0),"")</f>
        <v/>
      </c>
      <c r="D9454" s="313"/>
      <c r="E9454" s="15"/>
      <c r="F9454" s="314"/>
      <c r="G9454" s="315"/>
      <c r="H9454" s="57"/>
      <c r="I9454" s="57"/>
      <c r="J9454" s="57"/>
      <c r="K9454" s="19"/>
      <c r="L9454" s="20"/>
    </row>
    <row r="9455" spans="1:12" ht="12.75">
      <c r="A9455" s="149"/>
      <c r="B9455" s="9"/>
      <c r="C9455" s="12" t="str">
        <f>IFERROR(VLOOKUP(D9455,'[1]Перечень товаров'!$A$2:$I9525,3,0),"")</f>
        <v/>
      </c>
      <c r="D9455" s="313"/>
      <c r="E9455" s="15"/>
      <c r="F9455" s="314"/>
      <c r="G9455" s="315"/>
      <c r="H9455" s="57"/>
      <c r="I9455" s="57"/>
      <c r="J9455" s="57"/>
      <c r="K9455" s="19"/>
      <c r="L9455" s="20"/>
    </row>
    <row r="9456" spans="1:12" ht="12.75">
      <c r="A9456" s="149"/>
      <c r="B9456" s="9"/>
      <c r="C9456" s="12" t="str">
        <f>IFERROR(VLOOKUP(D9456,'[1]Перечень товаров'!$A$2:$I9525,3,0),"")</f>
        <v/>
      </c>
      <c r="D9456" s="313"/>
      <c r="E9456" s="15"/>
      <c r="F9456" s="314"/>
      <c r="G9456" s="315"/>
      <c r="H9456" s="57"/>
      <c r="I9456" s="57"/>
      <c r="J9456" s="57"/>
      <c r="K9456" s="19"/>
      <c r="L9456" s="20"/>
    </row>
    <row r="9457" spans="1:12" ht="12.75">
      <c r="A9457" s="149"/>
      <c r="B9457" s="9"/>
      <c r="C9457" s="12" t="str">
        <f>IFERROR(VLOOKUP(D9457,'[1]Перечень товаров'!$A$2:$I9525,3,0),"")</f>
        <v/>
      </c>
      <c r="D9457" s="313"/>
      <c r="E9457" s="15"/>
      <c r="F9457" s="314"/>
      <c r="G9457" s="315"/>
      <c r="H9457" s="57"/>
      <c r="I9457" s="57"/>
      <c r="J9457" s="57"/>
      <c r="K9457" s="19"/>
      <c r="L9457" s="20"/>
    </row>
    <row r="9458" spans="1:12" ht="12.75">
      <c r="A9458" s="149"/>
      <c r="B9458" s="9"/>
      <c r="C9458" s="12" t="str">
        <f>IFERROR(VLOOKUP(D9458,'[1]Перечень товаров'!$A$2:$I9525,3,0),"")</f>
        <v/>
      </c>
      <c r="D9458" s="313"/>
      <c r="E9458" s="15"/>
      <c r="F9458" s="314"/>
      <c r="G9458" s="315"/>
      <c r="H9458" s="57"/>
      <c r="I9458" s="57"/>
      <c r="J9458" s="57"/>
      <c r="K9458" s="19"/>
      <c r="L9458" s="20"/>
    </row>
    <row r="9459" spans="1:12" ht="12.75">
      <c r="A9459" s="149"/>
      <c r="B9459" s="9"/>
      <c r="C9459" s="12" t="str">
        <f>IFERROR(VLOOKUP(D9459,'[1]Перечень товаров'!$A$2:$I9525,3,0),"")</f>
        <v/>
      </c>
      <c r="D9459" s="313"/>
      <c r="E9459" s="15"/>
      <c r="F9459" s="314"/>
      <c r="G9459" s="315"/>
      <c r="H9459" s="57"/>
      <c r="I9459" s="57"/>
      <c r="J9459" s="57"/>
      <c r="K9459" s="19"/>
      <c r="L9459" s="20"/>
    </row>
    <row r="9460" spans="1:12" ht="12.75">
      <c r="A9460" s="149"/>
      <c r="B9460" s="9"/>
      <c r="C9460" s="12" t="str">
        <f>IFERROR(VLOOKUP(D9460,'[1]Перечень товаров'!$A$2:$I9525,3,0),"")</f>
        <v/>
      </c>
      <c r="D9460" s="313"/>
      <c r="E9460" s="15"/>
      <c r="F9460" s="314"/>
      <c r="G9460" s="315"/>
      <c r="H9460" s="57"/>
      <c r="I9460" s="57"/>
      <c r="J9460" s="57"/>
      <c r="K9460" s="19"/>
      <c r="L9460" s="20"/>
    </row>
    <row r="9461" spans="1:12" ht="12.75">
      <c r="A9461" s="149"/>
      <c r="B9461" s="9"/>
      <c r="C9461" s="12" t="str">
        <f>IFERROR(VLOOKUP(D9461,'[1]Перечень товаров'!$A$2:$I9525,3,0),"")</f>
        <v/>
      </c>
      <c r="D9461" s="313"/>
      <c r="E9461" s="15"/>
      <c r="F9461" s="314"/>
      <c r="G9461" s="315"/>
      <c r="H9461" s="57"/>
      <c r="I9461" s="57"/>
      <c r="J9461" s="57"/>
      <c r="K9461" s="19"/>
      <c r="L9461" s="20"/>
    </row>
    <row r="9462" spans="1:12" ht="12.75">
      <c r="A9462" s="149"/>
      <c r="B9462" s="9"/>
      <c r="C9462" s="12" t="str">
        <f>IFERROR(VLOOKUP(D9462,'[1]Перечень товаров'!$A$2:$I9525,3,0),"")</f>
        <v/>
      </c>
      <c r="D9462" s="313"/>
      <c r="E9462" s="15"/>
      <c r="F9462" s="314"/>
      <c r="G9462" s="315"/>
      <c r="H9462" s="57"/>
      <c r="I9462" s="57"/>
      <c r="J9462" s="57"/>
      <c r="K9462" s="19"/>
      <c r="L9462" s="20"/>
    </row>
    <row r="9463" spans="1:12" ht="12.75">
      <c r="A9463" s="149"/>
      <c r="B9463" s="9"/>
      <c r="C9463" s="12" t="str">
        <f>IFERROR(VLOOKUP(D9463,'[1]Перечень товаров'!$A$2:$I9525,3,0),"")</f>
        <v/>
      </c>
      <c r="D9463" s="313"/>
      <c r="E9463" s="15"/>
      <c r="F9463" s="314"/>
      <c r="G9463" s="315"/>
      <c r="H9463" s="57"/>
      <c r="I9463" s="57"/>
      <c r="J9463" s="57"/>
      <c r="K9463" s="19"/>
      <c r="L9463" s="20"/>
    </row>
    <row r="9464" spans="1:12" ht="12.75">
      <c r="A9464" s="149"/>
      <c r="B9464" s="9"/>
      <c r="C9464" s="12" t="str">
        <f>IFERROR(VLOOKUP(D9464,'[1]Перечень товаров'!$A$2:$I9525,3,0),"")</f>
        <v/>
      </c>
      <c r="D9464" s="313"/>
      <c r="E9464" s="15"/>
      <c r="F9464" s="314"/>
      <c r="G9464" s="315"/>
      <c r="H9464" s="57"/>
      <c r="I9464" s="57"/>
      <c r="J9464" s="57"/>
      <c r="K9464" s="19"/>
      <c r="L9464" s="20"/>
    </row>
    <row r="9465" spans="1:12" ht="12.75">
      <c r="A9465" s="149"/>
      <c r="B9465" s="9"/>
      <c r="C9465" s="12" t="str">
        <f>IFERROR(VLOOKUP(D9465,'[1]Перечень товаров'!$A$2:$I9525,3,0),"")</f>
        <v/>
      </c>
      <c r="D9465" s="313"/>
      <c r="E9465" s="15"/>
      <c r="F9465" s="314"/>
      <c r="G9465" s="315"/>
      <c r="H9465" s="57"/>
      <c r="I9465" s="57"/>
      <c r="J9465" s="57"/>
      <c r="K9465" s="19"/>
      <c r="L9465" s="20"/>
    </row>
    <row r="9466" spans="1:12" ht="12.75">
      <c r="A9466" s="149"/>
      <c r="B9466" s="9"/>
      <c r="C9466" s="12" t="str">
        <f>IFERROR(VLOOKUP(D9466,'[1]Перечень товаров'!$A$2:$I9525,3,0),"")</f>
        <v/>
      </c>
      <c r="D9466" s="313"/>
      <c r="E9466" s="15"/>
      <c r="F9466" s="314"/>
      <c r="G9466" s="315"/>
      <c r="H9466" s="57"/>
      <c r="I9466" s="57"/>
      <c r="J9466" s="57"/>
      <c r="K9466" s="19"/>
      <c r="L9466" s="20"/>
    </row>
    <row r="9467" spans="1:12" ht="12.75">
      <c r="A9467" s="149"/>
      <c r="B9467" s="9"/>
      <c r="C9467" s="12" t="str">
        <f>IFERROR(VLOOKUP(D9467,'[1]Перечень товаров'!$A$2:$I9525,3,0),"")</f>
        <v/>
      </c>
      <c r="D9467" s="313"/>
      <c r="E9467" s="15"/>
      <c r="F9467" s="314"/>
      <c r="G9467" s="315"/>
      <c r="H9467" s="57"/>
      <c r="I9467" s="57"/>
      <c r="J9467" s="57"/>
      <c r="K9467" s="19"/>
      <c r="L9467" s="20"/>
    </row>
    <row r="9468" spans="1:12" ht="12.75">
      <c r="A9468" s="149"/>
      <c r="B9468" s="9"/>
      <c r="C9468" s="12" t="str">
        <f>IFERROR(VLOOKUP(D9468,'[1]Перечень товаров'!$A$2:$I9525,3,0),"")</f>
        <v/>
      </c>
      <c r="D9468" s="313"/>
      <c r="E9468" s="15"/>
      <c r="F9468" s="314"/>
      <c r="G9468" s="315"/>
      <c r="H9468" s="57"/>
      <c r="I9468" s="57"/>
      <c r="J9468" s="57"/>
      <c r="K9468" s="19"/>
      <c r="L9468" s="20"/>
    </row>
    <row r="9469" spans="1:12" ht="12.75">
      <c r="A9469" s="149"/>
      <c r="B9469" s="9"/>
      <c r="C9469" s="12" t="str">
        <f>IFERROR(VLOOKUP(D9469,'[1]Перечень товаров'!$A$2:$I9525,3,0),"")</f>
        <v/>
      </c>
      <c r="D9469" s="313"/>
      <c r="E9469" s="15"/>
      <c r="F9469" s="314"/>
      <c r="G9469" s="315"/>
      <c r="H9469" s="57"/>
      <c r="I9469" s="57"/>
      <c r="J9469" s="57"/>
      <c r="K9469" s="19"/>
      <c r="L9469" s="20"/>
    </row>
    <row r="9470" spans="1:12" ht="12.75">
      <c r="A9470" s="149"/>
      <c r="B9470" s="9"/>
      <c r="C9470" s="12" t="str">
        <f>IFERROR(VLOOKUP(D9470,'[1]Перечень товаров'!$A$2:$I9525,3,0),"")</f>
        <v/>
      </c>
      <c r="D9470" s="313"/>
      <c r="E9470" s="15"/>
      <c r="F9470" s="314"/>
      <c r="G9470" s="315"/>
      <c r="H9470" s="57"/>
      <c r="I9470" s="57"/>
      <c r="J9470" s="57"/>
      <c r="K9470" s="19"/>
      <c r="L9470" s="20"/>
    </row>
    <row r="9471" spans="1:12" ht="12.75">
      <c r="A9471" s="149"/>
      <c r="B9471" s="9"/>
      <c r="C9471" s="12" t="str">
        <f>IFERROR(VLOOKUP(D9471,'[1]Перечень товаров'!$A$2:$I9525,3,0),"")</f>
        <v/>
      </c>
      <c r="D9471" s="313"/>
      <c r="E9471" s="15"/>
      <c r="F9471" s="314"/>
      <c r="G9471" s="315"/>
      <c r="H9471" s="57"/>
      <c r="I9471" s="57"/>
      <c r="J9471" s="57"/>
      <c r="K9471" s="19"/>
      <c r="L9471" s="20"/>
    </row>
    <row r="9472" spans="1:12" ht="12.75">
      <c r="A9472" s="149"/>
      <c r="B9472" s="9"/>
      <c r="C9472" s="12" t="str">
        <f>IFERROR(VLOOKUP(D9472,'[1]Перечень товаров'!$A$2:$I9525,3,0),"")</f>
        <v/>
      </c>
      <c r="D9472" s="313"/>
      <c r="E9472" s="15"/>
      <c r="F9472" s="314"/>
      <c r="G9472" s="315"/>
      <c r="H9472" s="57"/>
      <c r="I9472" s="57"/>
      <c r="J9472" s="57"/>
      <c r="K9472" s="19"/>
      <c r="L9472" s="20"/>
    </row>
    <row r="9473" spans="1:12" ht="12.75">
      <c r="A9473" s="149"/>
      <c r="B9473" s="9"/>
      <c r="C9473" s="12" t="str">
        <f>IFERROR(VLOOKUP(D9473,'[1]Перечень товаров'!$A$2:$I9525,3,0),"")</f>
        <v/>
      </c>
      <c r="D9473" s="313"/>
      <c r="E9473" s="15"/>
      <c r="F9473" s="314"/>
      <c r="G9473" s="315"/>
      <c r="H9473" s="57"/>
      <c r="I9473" s="57"/>
      <c r="J9473" s="57"/>
      <c r="K9473" s="19"/>
      <c r="L9473" s="20"/>
    </row>
    <row r="9474" spans="1:12" ht="12.75">
      <c r="A9474" s="149"/>
      <c r="B9474" s="9"/>
      <c r="C9474" s="12" t="str">
        <f>IFERROR(VLOOKUP(D9474,'[1]Перечень товаров'!$A$2:$I9525,3,0),"")</f>
        <v/>
      </c>
      <c r="D9474" s="313"/>
      <c r="E9474" s="15"/>
      <c r="F9474" s="314"/>
      <c r="G9474" s="315"/>
      <c r="H9474" s="57"/>
      <c r="I9474" s="57"/>
      <c r="J9474" s="57"/>
      <c r="K9474" s="19"/>
      <c r="L9474" s="20"/>
    </row>
    <row r="9475" spans="1:12" ht="12.75">
      <c r="A9475" s="149"/>
      <c r="B9475" s="9"/>
      <c r="C9475" s="12" t="str">
        <f>IFERROR(VLOOKUP(D9475,'[1]Перечень товаров'!$A$2:$I9525,3,0),"")</f>
        <v/>
      </c>
      <c r="D9475" s="313"/>
      <c r="E9475" s="15"/>
      <c r="F9475" s="314"/>
      <c r="G9475" s="315"/>
      <c r="H9475" s="57"/>
      <c r="I9475" s="57"/>
      <c r="J9475" s="57"/>
      <c r="K9475" s="19"/>
      <c r="L9475" s="20"/>
    </row>
    <row r="9476" spans="1:12" ht="12.75">
      <c r="A9476" s="149"/>
      <c r="B9476" s="9"/>
      <c r="C9476" s="12" t="str">
        <f>IFERROR(VLOOKUP(D9476,'[1]Перечень товаров'!$A$2:$I9525,3,0),"")</f>
        <v/>
      </c>
      <c r="D9476" s="313"/>
      <c r="E9476" s="15"/>
      <c r="F9476" s="314"/>
      <c r="G9476" s="315"/>
      <c r="H9476" s="57"/>
      <c r="I9476" s="57"/>
      <c r="J9476" s="57"/>
      <c r="K9476" s="19"/>
      <c r="L9476" s="20"/>
    </row>
    <row r="9477" spans="1:12" ht="12.75">
      <c r="A9477" s="149"/>
      <c r="B9477" s="9"/>
      <c r="C9477" s="12" t="str">
        <f>IFERROR(VLOOKUP(D9477,'[1]Перечень товаров'!$A$2:$I9525,3,0),"")</f>
        <v/>
      </c>
      <c r="D9477" s="313"/>
      <c r="E9477" s="15"/>
      <c r="F9477" s="314"/>
      <c r="G9477" s="315"/>
      <c r="H9477" s="57"/>
      <c r="I9477" s="57"/>
      <c r="J9477" s="57"/>
      <c r="K9477" s="19"/>
      <c r="L9477" s="20"/>
    </row>
    <row r="9478" spans="1:12" ht="12.75">
      <c r="A9478" s="149"/>
      <c r="B9478" s="9"/>
      <c r="C9478" s="12" t="str">
        <f>IFERROR(VLOOKUP(D9478,'[1]Перечень товаров'!$A$2:$I9525,3,0),"")</f>
        <v/>
      </c>
      <c r="D9478" s="313"/>
      <c r="E9478" s="15"/>
      <c r="F9478" s="314"/>
      <c r="G9478" s="315"/>
      <c r="H9478" s="57"/>
      <c r="I9478" s="57"/>
      <c r="J9478" s="57"/>
      <c r="K9478" s="19"/>
      <c r="L9478" s="20"/>
    </row>
    <row r="9479" spans="1:12" ht="12.75">
      <c r="A9479" s="149"/>
      <c r="B9479" s="9"/>
      <c r="C9479" s="12" t="str">
        <f>IFERROR(VLOOKUP(D9479,'[1]Перечень товаров'!$A$2:$I9525,3,0),"")</f>
        <v/>
      </c>
      <c r="D9479" s="313"/>
      <c r="E9479" s="15"/>
      <c r="F9479" s="314"/>
      <c r="G9479" s="315"/>
      <c r="H9479" s="57"/>
      <c r="I9479" s="57"/>
      <c r="J9479" s="57"/>
      <c r="K9479" s="19"/>
      <c r="L9479" s="20"/>
    </row>
    <row r="9480" spans="1:12" ht="12.75">
      <c r="A9480" s="149"/>
      <c r="B9480" s="9"/>
      <c r="C9480" s="12" t="str">
        <f>IFERROR(VLOOKUP(D9480,'[1]Перечень товаров'!$A$2:$I9525,3,0),"")</f>
        <v/>
      </c>
      <c r="D9480" s="313"/>
      <c r="E9480" s="15"/>
      <c r="F9480" s="314"/>
      <c r="G9480" s="315"/>
      <c r="H9480" s="57"/>
      <c r="I9480" s="57"/>
      <c r="J9480" s="57"/>
      <c r="K9480" s="19"/>
      <c r="L9480" s="20"/>
    </row>
    <row r="9481" spans="1:12" ht="12.75">
      <c r="A9481" s="149"/>
      <c r="B9481" s="9"/>
      <c r="C9481" s="12" t="str">
        <f>IFERROR(VLOOKUP(D9481,'[1]Перечень товаров'!$A$2:$I9525,3,0),"")</f>
        <v/>
      </c>
      <c r="D9481" s="313"/>
      <c r="E9481" s="15"/>
      <c r="F9481" s="314"/>
      <c r="G9481" s="315"/>
      <c r="H9481" s="57"/>
      <c r="I9481" s="57"/>
      <c r="J9481" s="57"/>
      <c r="K9481" s="19"/>
      <c r="L9481" s="20"/>
    </row>
    <row r="9482" spans="1:12" ht="12.75">
      <c r="A9482" s="149"/>
      <c r="B9482" s="9"/>
      <c r="C9482" s="12" t="str">
        <f>IFERROR(VLOOKUP(D9482,'[1]Перечень товаров'!$A$2:$I9525,3,0),"")</f>
        <v/>
      </c>
      <c r="D9482" s="313"/>
      <c r="E9482" s="15"/>
      <c r="F9482" s="314"/>
      <c r="G9482" s="315"/>
      <c r="H9482" s="57"/>
      <c r="I9482" s="57"/>
      <c r="J9482" s="57"/>
      <c r="K9482" s="19"/>
      <c r="L9482" s="20"/>
    </row>
    <row r="9483" spans="1:12" ht="12.75">
      <c r="A9483" s="149"/>
      <c r="B9483" s="9"/>
      <c r="C9483" s="12" t="str">
        <f>IFERROR(VLOOKUP(D9483,'[1]Перечень товаров'!$A$2:$I9525,3,0),"")</f>
        <v/>
      </c>
      <c r="D9483" s="313"/>
      <c r="E9483" s="15"/>
      <c r="F9483" s="314"/>
      <c r="G9483" s="315"/>
      <c r="H9483" s="57"/>
      <c r="I9483" s="57"/>
      <c r="J9483" s="57"/>
      <c r="K9483" s="19"/>
      <c r="L9483" s="20"/>
    </row>
    <row r="9484" spans="1:12" ht="12.75">
      <c r="A9484" s="149"/>
      <c r="B9484" s="9"/>
      <c r="C9484" s="12" t="str">
        <f>IFERROR(VLOOKUP(D9484,'[1]Перечень товаров'!$A$2:$I9525,3,0),"")</f>
        <v/>
      </c>
      <c r="D9484" s="313"/>
      <c r="E9484" s="15"/>
      <c r="F9484" s="314"/>
      <c r="G9484" s="315"/>
      <c r="H9484" s="57"/>
      <c r="I9484" s="57"/>
      <c r="J9484" s="57"/>
      <c r="K9484" s="19"/>
      <c r="L9484" s="20"/>
    </row>
    <row r="9485" spans="1:12" ht="12.75">
      <c r="A9485" s="149"/>
      <c r="B9485" s="9"/>
      <c r="C9485" s="12" t="str">
        <f>IFERROR(VLOOKUP(D9485,'[1]Перечень товаров'!$A$2:$I9525,3,0),"")</f>
        <v/>
      </c>
      <c r="D9485" s="313"/>
      <c r="E9485" s="15"/>
      <c r="F9485" s="314"/>
      <c r="G9485" s="315"/>
      <c r="H9485" s="57"/>
      <c r="I9485" s="57"/>
      <c r="J9485" s="57"/>
      <c r="K9485" s="19"/>
      <c r="L9485" s="20"/>
    </row>
    <row r="9486" spans="1:12" ht="12.75">
      <c r="A9486" s="149"/>
      <c r="B9486" s="9"/>
      <c r="C9486" s="12" t="str">
        <f>IFERROR(VLOOKUP(D9486,'[1]Перечень товаров'!$A$2:$I9525,3,0),"")</f>
        <v/>
      </c>
      <c r="D9486" s="313"/>
      <c r="E9486" s="15"/>
      <c r="F9486" s="314"/>
      <c r="G9486" s="315"/>
      <c r="H9486" s="57"/>
      <c r="I9486" s="57"/>
      <c r="J9486" s="57"/>
      <c r="K9486" s="19"/>
      <c r="L9486" s="20"/>
    </row>
    <row r="9487" spans="1:12" ht="12.75">
      <c r="A9487" s="149"/>
      <c r="B9487" s="9"/>
      <c r="C9487" s="12" t="str">
        <f>IFERROR(VLOOKUP(D9487,'[1]Перечень товаров'!$A$2:$I9525,3,0),"")</f>
        <v/>
      </c>
      <c r="D9487" s="313"/>
      <c r="E9487" s="15"/>
      <c r="F9487" s="314"/>
      <c r="G9487" s="315"/>
      <c r="H9487" s="57"/>
      <c r="I9487" s="57"/>
      <c r="J9487" s="57"/>
      <c r="K9487" s="19"/>
      <c r="L9487" s="20"/>
    </row>
    <row r="9488" spans="1:12" ht="12.75">
      <c r="A9488" s="149"/>
      <c r="B9488" s="9"/>
      <c r="C9488" s="12" t="str">
        <f>IFERROR(VLOOKUP(D9488,'[1]Перечень товаров'!$A$2:$I9525,3,0),"")</f>
        <v/>
      </c>
      <c r="D9488" s="313"/>
      <c r="E9488" s="15"/>
      <c r="F9488" s="314"/>
      <c r="G9488" s="315"/>
      <c r="H9488" s="57"/>
      <c r="I9488" s="57"/>
      <c r="J9488" s="57"/>
      <c r="K9488" s="19"/>
      <c r="L9488" s="20"/>
    </row>
    <row r="9489" spans="1:12" ht="12.75">
      <c r="A9489" s="149"/>
      <c r="B9489" s="9"/>
      <c r="C9489" s="12" t="str">
        <f>IFERROR(VLOOKUP(D9489,'[1]Перечень товаров'!$A$2:$I9525,3,0),"")</f>
        <v/>
      </c>
      <c r="D9489" s="313"/>
      <c r="E9489" s="15"/>
      <c r="F9489" s="314"/>
      <c r="G9489" s="315"/>
      <c r="H9489" s="57"/>
      <c r="I9489" s="57"/>
      <c r="J9489" s="57"/>
      <c r="K9489" s="19"/>
      <c r="L9489" s="20"/>
    </row>
    <row r="9490" spans="1:12" ht="12.75">
      <c r="A9490" s="149"/>
      <c r="B9490" s="9"/>
      <c r="C9490" s="12" t="str">
        <f>IFERROR(VLOOKUP(D9490,'[1]Перечень товаров'!$A$2:$I9525,3,0),"")</f>
        <v/>
      </c>
      <c r="D9490" s="313"/>
      <c r="E9490" s="15"/>
      <c r="F9490" s="314"/>
      <c r="G9490" s="315"/>
      <c r="H9490" s="57"/>
      <c r="I9490" s="57"/>
      <c r="J9490" s="57"/>
      <c r="K9490" s="19"/>
      <c r="L9490" s="20"/>
    </row>
    <row r="9491" spans="1:12" ht="12.75">
      <c r="A9491" s="149"/>
      <c r="B9491" s="9"/>
      <c r="C9491" s="12" t="str">
        <f>IFERROR(VLOOKUP(D9491,'[1]Перечень товаров'!$A$2:$I9525,3,0),"")</f>
        <v/>
      </c>
      <c r="D9491" s="313"/>
      <c r="E9491" s="15"/>
      <c r="F9491" s="314"/>
      <c r="G9491" s="315"/>
      <c r="H9491" s="57"/>
      <c r="I9491" s="57"/>
      <c r="J9491" s="57"/>
      <c r="K9491" s="19"/>
      <c r="L9491" s="20"/>
    </row>
    <row r="9492" spans="1:12" ht="12.75">
      <c r="A9492" s="149"/>
      <c r="B9492" s="9"/>
      <c r="C9492" s="12" t="str">
        <f>IFERROR(VLOOKUP(D9492,'[1]Перечень товаров'!$A$2:$I9525,3,0),"")</f>
        <v/>
      </c>
      <c r="D9492" s="313"/>
      <c r="E9492" s="15"/>
      <c r="F9492" s="314"/>
      <c r="G9492" s="315"/>
      <c r="H9492" s="57"/>
      <c r="I9492" s="57"/>
      <c r="J9492" s="57"/>
      <c r="K9492" s="19"/>
      <c r="L9492" s="20"/>
    </row>
    <row r="9493" spans="1:12" ht="12.75">
      <c r="A9493" s="149"/>
      <c r="B9493" s="9"/>
      <c r="C9493" s="12" t="str">
        <f>IFERROR(VLOOKUP(D9493,'[1]Перечень товаров'!$A$2:$I9525,3,0),"")</f>
        <v/>
      </c>
      <c r="D9493" s="313"/>
      <c r="E9493" s="15"/>
      <c r="F9493" s="314"/>
      <c r="G9493" s="315"/>
      <c r="H9493" s="57"/>
      <c r="I9493" s="57"/>
      <c r="J9493" s="57"/>
      <c r="K9493" s="19"/>
      <c r="L9493" s="20"/>
    </row>
    <row r="9494" spans="1:12" ht="12.75">
      <c r="A9494" s="149"/>
      <c r="B9494" s="9"/>
      <c r="C9494" s="12" t="str">
        <f>IFERROR(VLOOKUP(D9494,'[1]Перечень товаров'!$A$2:$I9525,3,0),"")</f>
        <v/>
      </c>
      <c r="D9494" s="313"/>
      <c r="E9494" s="15"/>
      <c r="F9494" s="314"/>
      <c r="G9494" s="315"/>
      <c r="H9494" s="57"/>
      <c r="I9494" s="57"/>
      <c r="J9494" s="57"/>
      <c r="K9494" s="19"/>
      <c r="L9494" s="20"/>
    </row>
    <row r="9495" spans="1:12" ht="12.75">
      <c r="A9495" s="149"/>
      <c r="B9495" s="9"/>
      <c r="C9495" s="12" t="str">
        <f>IFERROR(VLOOKUP(D9495,'[1]Перечень товаров'!$A$2:$I9525,3,0),"")</f>
        <v/>
      </c>
      <c r="D9495" s="313"/>
      <c r="E9495" s="15"/>
      <c r="F9495" s="314"/>
      <c r="G9495" s="315"/>
      <c r="H9495" s="57"/>
      <c r="I9495" s="57"/>
      <c r="J9495" s="57"/>
      <c r="K9495" s="19"/>
      <c r="L9495" s="20"/>
    </row>
    <row r="9496" spans="1:12" ht="12.75">
      <c r="A9496" s="149"/>
      <c r="B9496" s="9"/>
      <c r="C9496" s="12" t="str">
        <f>IFERROR(VLOOKUP(D9496,'[1]Перечень товаров'!$A$2:$I9525,3,0),"")</f>
        <v/>
      </c>
      <c r="D9496" s="313"/>
      <c r="E9496" s="15"/>
      <c r="F9496" s="314"/>
      <c r="G9496" s="315"/>
      <c r="H9496" s="57"/>
      <c r="I9496" s="57"/>
      <c r="J9496" s="57"/>
      <c r="K9496" s="19"/>
      <c r="L9496" s="20"/>
    </row>
    <row r="9497" spans="1:12" ht="12.75">
      <c r="A9497" s="149"/>
      <c r="B9497" s="9"/>
      <c r="C9497" s="12" t="str">
        <f>IFERROR(VLOOKUP(D9497,'[1]Перечень товаров'!$A$2:$I9525,3,0),"")</f>
        <v/>
      </c>
      <c r="D9497" s="313"/>
      <c r="E9497" s="15"/>
      <c r="F9497" s="314"/>
      <c r="G9497" s="315"/>
      <c r="H9497" s="57"/>
      <c r="I9497" s="57"/>
      <c r="J9497" s="57"/>
      <c r="K9497" s="19"/>
      <c r="L9497" s="20"/>
    </row>
    <row r="9498" spans="1:12" ht="12.75">
      <c r="A9498" s="149"/>
      <c r="B9498" s="9"/>
      <c r="C9498" s="12" t="str">
        <f>IFERROR(VLOOKUP(D9498,'[1]Перечень товаров'!$A$2:$I9525,3,0),"")</f>
        <v/>
      </c>
      <c r="D9498" s="313"/>
      <c r="E9498" s="15"/>
      <c r="F9498" s="314"/>
      <c r="G9498" s="315"/>
      <c r="H9498" s="57"/>
      <c r="I9498" s="57"/>
      <c r="J9498" s="57"/>
      <c r="K9498" s="19"/>
      <c r="L9498" s="20"/>
    </row>
    <row r="9499" spans="1:12" ht="12.75">
      <c r="A9499" s="149"/>
      <c r="B9499" s="9"/>
      <c r="C9499" s="12" t="str">
        <f>IFERROR(VLOOKUP(D9499,'[1]Перечень товаров'!$A$2:$I9525,3,0),"")</f>
        <v/>
      </c>
      <c r="D9499" s="313"/>
      <c r="E9499" s="15"/>
      <c r="F9499" s="314"/>
      <c r="G9499" s="315"/>
      <c r="H9499" s="57"/>
      <c r="I9499" s="57"/>
      <c r="J9499" s="57"/>
      <c r="K9499" s="19"/>
      <c r="L9499" s="20"/>
    </row>
    <row r="9500" spans="1:12" ht="12.75">
      <c r="A9500" s="149"/>
      <c r="B9500" s="9"/>
      <c r="C9500" s="12" t="str">
        <f>IFERROR(VLOOKUP(D9500,'[1]Перечень товаров'!$A$2:$I9525,3,0),"")</f>
        <v/>
      </c>
      <c r="D9500" s="313"/>
      <c r="E9500" s="15"/>
      <c r="F9500" s="314"/>
      <c r="G9500" s="315"/>
      <c r="H9500" s="57"/>
      <c r="I9500" s="57"/>
      <c r="J9500" s="57"/>
      <c r="K9500" s="19"/>
      <c r="L9500" s="20"/>
    </row>
    <row r="9501" spans="1:12" ht="12.75">
      <c r="A9501" s="149"/>
      <c r="B9501" s="9"/>
      <c r="C9501" s="12" t="str">
        <f>IFERROR(VLOOKUP(D9501,'[1]Перечень товаров'!$A$2:$I9525,3,0),"")</f>
        <v/>
      </c>
      <c r="D9501" s="313"/>
      <c r="E9501" s="15"/>
      <c r="F9501" s="314"/>
      <c r="G9501" s="315"/>
      <c r="H9501" s="57"/>
      <c r="I9501" s="57"/>
      <c r="J9501" s="57"/>
      <c r="K9501" s="19"/>
      <c r="L9501" s="20"/>
    </row>
    <row r="9502" spans="1:12" ht="12.75">
      <c r="A9502" s="149"/>
      <c r="B9502" s="9"/>
      <c r="C9502" s="12" t="str">
        <f>IFERROR(VLOOKUP(D9502,'[1]Перечень товаров'!$A$2:$I9525,3,0),"")</f>
        <v/>
      </c>
      <c r="D9502" s="313"/>
      <c r="E9502" s="15"/>
      <c r="F9502" s="314"/>
      <c r="G9502" s="315"/>
      <c r="H9502" s="57"/>
      <c r="I9502" s="57"/>
      <c r="J9502" s="57"/>
      <c r="K9502" s="19"/>
      <c r="L9502" s="20"/>
    </row>
    <row r="9503" spans="1:12" ht="12.75">
      <c r="A9503" s="149"/>
      <c r="B9503" s="9"/>
      <c r="C9503" s="12" t="str">
        <f>IFERROR(VLOOKUP(D9503,'[1]Перечень товаров'!$A$2:$I9525,3,0),"")</f>
        <v/>
      </c>
      <c r="D9503" s="313"/>
      <c r="E9503" s="15"/>
      <c r="F9503" s="314"/>
      <c r="G9503" s="315"/>
      <c r="H9503" s="57"/>
      <c r="I9503" s="57"/>
      <c r="J9503" s="57"/>
      <c r="K9503" s="19"/>
      <c r="L9503" s="20"/>
    </row>
    <row r="9504" spans="1:12" ht="12.75">
      <c r="A9504" s="149"/>
      <c r="B9504" s="9"/>
      <c r="C9504" s="12" t="str">
        <f>IFERROR(VLOOKUP(D9504,'[1]Перечень товаров'!$A$2:$I9525,3,0),"")</f>
        <v/>
      </c>
      <c r="D9504" s="313"/>
      <c r="E9504" s="15"/>
      <c r="F9504" s="314"/>
      <c r="G9504" s="315"/>
      <c r="H9504" s="57"/>
      <c r="I9504" s="57"/>
      <c r="J9504" s="57"/>
      <c r="K9504" s="19"/>
      <c r="L9504" s="20"/>
    </row>
    <row r="9505" spans="1:12" ht="12.75">
      <c r="A9505" s="149"/>
      <c r="B9505" s="9"/>
      <c r="C9505" s="12" t="str">
        <f>IFERROR(VLOOKUP(D9505,'[1]Перечень товаров'!$A$2:$I9525,3,0),"")</f>
        <v/>
      </c>
      <c r="D9505" s="313"/>
      <c r="E9505" s="15"/>
      <c r="F9505" s="314"/>
      <c r="G9505" s="315"/>
      <c r="H9505" s="57"/>
      <c r="I9505" s="57"/>
      <c r="J9505" s="57"/>
      <c r="K9505" s="19"/>
      <c r="L9505" s="20"/>
    </row>
    <row r="9506" spans="1:12" ht="12.75">
      <c r="A9506" s="149"/>
      <c r="B9506" s="9"/>
      <c r="C9506" s="12" t="str">
        <f>IFERROR(VLOOKUP(D9506,'[1]Перечень товаров'!$A$2:$I9525,3,0),"")</f>
        <v/>
      </c>
      <c r="D9506" s="313"/>
      <c r="E9506" s="15"/>
      <c r="F9506" s="314"/>
      <c r="G9506" s="315"/>
      <c r="H9506" s="57"/>
      <c r="I9506" s="57"/>
      <c r="J9506" s="57"/>
      <c r="K9506" s="19"/>
      <c r="L9506" s="20"/>
    </row>
    <row r="9507" spans="1:12" ht="12.75">
      <c r="A9507" s="149"/>
      <c r="B9507" s="9"/>
      <c r="C9507" s="12" t="str">
        <f>IFERROR(VLOOKUP(D9507,'[1]Перечень товаров'!$A$2:$I9525,3,0),"")</f>
        <v/>
      </c>
      <c r="D9507" s="313"/>
      <c r="E9507" s="15"/>
      <c r="F9507" s="314"/>
      <c r="G9507" s="315"/>
      <c r="H9507" s="57"/>
      <c r="I9507" s="57"/>
      <c r="J9507" s="57"/>
      <c r="K9507" s="19"/>
      <c r="L9507" s="20"/>
    </row>
    <row r="9508" spans="1:12" ht="12.75">
      <c r="A9508" s="149"/>
      <c r="B9508" s="9"/>
      <c r="C9508" s="12" t="str">
        <f>IFERROR(VLOOKUP(D9508,'[1]Перечень товаров'!$A$2:$I9525,3,0),"")</f>
        <v/>
      </c>
      <c r="D9508" s="313"/>
      <c r="E9508" s="15"/>
      <c r="F9508" s="314"/>
      <c r="G9508" s="315"/>
      <c r="H9508" s="57"/>
      <c r="I9508" s="57"/>
      <c r="J9508" s="57"/>
      <c r="K9508" s="19"/>
      <c r="L9508" s="20"/>
    </row>
    <row r="9509" spans="1:12" ht="12.75">
      <c r="A9509" s="149"/>
      <c r="B9509" s="9"/>
      <c r="C9509" s="12" t="str">
        <f>IFERROR(VLOOKUP(D9509,'[1]Перечень товаров'!$A$2:$I9525,3,0),"")</f>
        <v/>
      </c>
      <c r="D9509" s="313"/>
      <c r="E9509" s="15"/>
      <c r="F9509" s="314"/>
      <c r="G9509" s="315"/>
      <c r="H9509" s="57"/>
      <c r="I9509" s="57"/>
      <c r="J9509" s="57"/>
      <c r="K9509" s="19"/>
      <c r="L9509" s="20"/>
    </row>
    <row r="9510" spans="1:12" ht="12.75">
      <c r="A9510" s="149"/>
      <c r="B9510" s="9"/>
      <c r="C9510" s="12" t="str">
        <f>IFERROR(VLOOKUP(D9510,'[1]Перечень товаров'!$A$2:$I9525,3,0),"")</f>
        <v/>
      </c>
      <c r="D9510" s="313"/>
      <c r="E9510" s="15"/>
      <c r="F9510" s="314"/>
      <c r="G9510" s="315"/>
      <c r="H9510" s="57"/>
      <c r="I9510" s="57"/>
      <c r="J9510" s="57"/>
      <c r="K9510" s="19"/>
      <c r="L9510" s="20"/>
    </row>
    <row r="9511" spans="1:12" ht="12.75">
      <c r="A9511" s="149"/>
      <c r="B9511" s="9"/>
      <c r="C9511" s="12" t="str">
        <f>IFERROR(VLOOKUP(D9511,'[1]Перечень товаров'!$A$2:$I9525,3,0),"")</f>
        <v/>
      </c>
      <c r="D9511" s="313"/>
      <c r="E9511" s="15"/>
      <c r="F9511" s="314"/>
      <c r="G9511" s="315"/>
      <c r="H9511" s="57"/>
      <c r="I9511" s="57"/>
      <c r="J9511" s="57"/>
      <c r="K9511" s="19"/>
      <c r="L9511" s="20"/>
    </row>
    <row r="9512" spans="1:12" ht="12.75">
      <c r="A9512" s="149"/>
      <c r="B9512" s="9"/>
      <c r="C9512" s="12" t="str">
        <f>IFERROR(VLOOKUP(D9512,'[1]Перечень товаров'!$A$2:$I9525,3,0),"")</f>
        <v/>
      </c>
      <c r="D9512" s="313"/>
      <c r="E9512" s="15"/>
      <c r="F9512" s="314"/>
      <c r="G9512" s="315"/>
      <c r="H9512" s="57"/>
      <c r="I9512" s="57"/>
      <c r="J9512" s="57"/>
      <c r="K9512" s="19"/>
      <c r="L9512" s="20"/>
    </row>
    <row r="9513" spans="1:12" ht="12.75">
      <c r="A9513" s="149"/>
      <c r="B9513" s="9"/>
      <c r="C9513" s="12" t="str">
        <f>IFERROR(VLOOKUP(D9513,'[1]Перечень товаров'!$A$2:$I9525,3,0),"")</f>
        <v/>
      </c>
      <c r="D9513" s="313"/>
      <c r="E9513" s="15"/>
      <c r="F9513" s="314"/>
      <c r="G9513" s="315"/>
      <c r="H9513" s="57"/>
      <c r="I9513" s="57"/>
      <c r="J9513" s="57"/>
      <c r="K9513" s="19"/>
      <c r="L9513" s="20"/>
    </row>
    <row r="9514" spans="1:12" ht="12.75">
      <c r="A9514" s="149"/>
      <c r="B9514" s="9"/>
      <c r="C9514" s="12" t="str">
        <f>IFERROR(VLOOKUP(D9514,'[1]Перечень товаров'!$A$2:$I9525,3,0),"")</f>
        <v/>
      </c>
      <c r="D9514" s="313"/>
      <c r="E9514" s="15"/>
      <c r="F9514" s="314"/>
      <c r="G9514" s="315"/>
      <c r="H9514" s="57"/>
      <c r="I9514" s="57"/>
      <c r="J9514" s="57"/>
      <c r="K9514" s="19"/>
      <c r="L9514" s="20"/>
    </row>
    <row r="9515" spans="1:12" ht="12.75">
      <c r="A9515" s="149"/>
      <c r="B9515" s="9"/>
      <c r="C9515" s="12" t="str">
        <f>IFERROR(VLOOKUP(D9515,'[1]Перечень товаров'!$A$2:$I9525,3,0),"")</f>
        <v/>
      </c>
      <c r="D9515" s="313"/>
      <c r="E9515" s="15"/>
      <c r="F9515" s="314"/>
      <c r="G9515" s="315"/>
      <c r="H9515" s="57"/>
      <c r="I9515" s="57"/>
      <c r="J9515" s="57"/>
      <c r="K9515" s="19"/>
      <c r="L9515" s="20"/>
    </row>
    <row r="9516" spans="1:12" ht="12.75">
      <c r="A9516" s="149"/>
      <c r="B9516" s="9"/>
      <c r="C9516" s="12" t="str">
        <f>IFERROR(VLOOKUP(D9516,'[1]Перечень товаров'!$A$2:$I9525,3,0),"")</f>
        <v/>
      </c>
      <c r="D9516" s="313"/>
      <c r="E9516" s="15"/>
      <c r="F9516" s="314"/>
      <c r="G9516" s="315"/>
      <c r="H9516" s="57"/>
      <c r="I9516" s="57"/>
      <c r="J9516" s="57"/>
      <c r="K9516" s="19"/>
      <c r="L9516" s="20"/>
    </row>
    <row r="9517" spans="1:12" ht="12.75">
      <c r="A9517" s="149"/>
      <c r="B9517" s="9"/>
      <c r="C9517" s="12" t="str">
        <f>IFERROR(VLOOKUP(D9517,'[1]Перечень товаров'!$A$2:$I9525,3,0),"")</f>
        <v/>
      </c>
      <c r="D9517" s="313"/>
      <c r="E9517" s="15"/>
      <c r="F9517" s="314"/>
      <c r="G9517" s="315"/>
      <c r="H9517" s="57"/>
      <c r="I9517" s="57"/>
      <c r="J9517" s="57"/>
      <c r="K9517" s="19"/>
      <c r="L9517" s="20"/>
    </row>
    <row r="9518" spans="1:12" ht="12.75">
      <c r="A9518" s="149"/>
      <c r="B9518" s="9"/>
      <c r="C9518" s="12" t="str">
        <f>IFERROR(VLOOKUP(D9518,'[1]Перечень товаров'!$A$2:$I9525,3,0),"")</f>
        <v/>
      </c>
      <c r="D9518" s="313"/>
      <c r="E9518" s="15"/>
      <c r="F9518" s="314"/>
      <c r="G9518" s="315"/>
      <c r="H9518" s="57"/>
      <c r="I9518" s="57"/>
      <c r="J9518" s="57"/>
      <c r="K9518" s="19"/>
      <c r="L9518" s="20"/>
    </row>
    <row r="9519" spans="1:12" ht="12.75">
      <c r="A9519" s="149"/>
      <c r="B9519" s="9"/>
      <c r="C9519" s="12" t="str">
        <f>IFERROR(VLOOKUP(D9519,'[1]Перечень товаров'!$A$2:$I9525,3,0),"")</f>
        <v/>
      </c>
      <c r="D9519" s="313"/>
      <c r="E9519" s="15"/>
      <c r="F9519" s="314"/>
      <c r="G9519" s="315"/>
      <c r="H9519" s="57"/>
      <c r="I9519" s="57"/>
      <c r="J9519" s="57"/>
      <c r="K9519" s="19"/>
      <c r="L9519" s="20"/>
    </row>
    <row r="9520" spans="1:12" ht="12.75">
      <c r="A9520" s="149"/>
      <c r="B9520" s="9"/>
      <c r="C9520" s="12" t="str">
        <f>IFERROR(VLOOKUP(D9520,'[1]Перечень товаров'!$A$2:$I9525,3,0),"")</f>
        <v/>
      </c>
      <c r="D9520" s="313"/>
      <c r="E9520" s="15"/>
      <c r="F9520" s="314"/>
      <c r="G9520" s="315"/>
      <c r="H9520" s="57"/>
      <c r="I9520" s="57"/>
      <c r="J9520" s="57"/>
      <c r="K9520" s="19"/>
      <c r="L9520" s="20"/>
    </row>
    <row r="9521" spans="1:12" ht="12.75">
      <c r="A9521" s="149"/>
      <c r="B9521" s="9"/>
      <c r="C9521" s="12" t="str">
        <f>IFERROR(VLOOKUP(D9521,'[1]Перечень товаров'!$A$2:$I9525,3,0),"")</f>
        <v/>
      </c>
      <c r="D9521" s="313"/>
      <c r="E9521" s="15"/>
      <c r="F9521" s="314"/>
      <c r="G9521" s="315"/>
      <c r="H9521" s="57"/>
      <c r="I9521" s="57"/>
      <c r="J9521" s="57"/>
      <c r="K9521" s="19"/>
      <c r="L9521" s="20"/>
    </row>
    <row r="9522" spans="1:12" ht="12.75">
      <c r="A9522" s="149"/>
      <c r="B9522" s="9"/>
      <c r="C9522" s="12" t="str">
        <f>IFERROR(VLOOKUP(D9522,'[1]Перечень товаров'!$A$2:$I9525,3,0),"")</f>
        <v/>
      </c>
      <c r="D9522" s="313"/>
      <c r="E9522" s="15"/>
      <c r="F9522" s="314"/>
      <c r="G9522" s="315"/>
      <c r="H9522" s="57"/>
      <c r="I9522" s="57"/>
      <c r="J9522" s="57"/>
      <c r="K9522" s="19"/>
      <c r="L9522" s="20"/>
    </row>
    <row r="9523" spans="1:12" ht="12.75">
      <c r="A9523" s="149"/>
      <c r="B9523" s="9"/>
      <c r="C9523" s="12" t="str">
        <f>IFERROR(VLOOKUP(D9523,'[1]Перечень товаров'!$A$2:$I9525,3,0),"")</f>
        <v/>
      </c>
      <c r="D9523" s="313"/>
      <c r="E9523" s="15"/>
      <c r="F9523" s="314"/>
      <c r="G9523" s="315"/>
      <c r="H9523" s="57"/>
      <c r="I9523" s="57"/>
      <c r="J9523" s="57"/>
      <c r="K9523" s="19"/>
      <c r="L9523" s="20"/>
    </row>
    <row r="9524" spans="1:12" ht="12.75">
      <c r="A9524" s="149"/>
      <c r="B9524" s="9"/>
      <c r="C9524" s="12" t="str">
        <f>IFERROR(VLOOKUP(D9524,'[1]Перечень товаров'!$A$2:$I9525,3,0),"")</f>
        <v/>
      </c>
      <c r="D9524" s="313"/>
      <c r="E9524" s="15"/>
      <c r="F9524" s="314"/>
      <c r="G9524" s="315"/>
      <c r="H9524" s="57"/>
      <c r="I9524" s="57"/>
      <c r="J9524" s="57"/>
      <c r="K9524" s="19"/>
      <c r="L9524" s="20"/>
    </row>
    <row r="9525" spans="1:12" ht="12.75">
      <c r="A9525" s="149"/>
      <c r="B9525" s="9"/>
      <c r="C9525" s="12" t="str">
        <f>IFERROR(VLOOKUP(D9525,'[1]Перечень товаров'!$A$2:$I9525,3,0),"")</f>
        <v/>
      </c>
      <c r="D9525" s="313"/>
      <c r="E9525" s="15"/>
      <c r="F9525" s="314"/>
      <c r="G9525" s="315"/>
      <c r="H9525" s="57"/>
      <c r="I9525" s="57"/>
      <c r="J9525" s="57"/>
      <c r="K9525" s="19"/>
      <c r="L9525" s="20"/>
    </row>
  </sheetData>
  <autoFilter ref="A1:AH9525" xr:uid="{00000000-0009-0000-0000-000000000000}"/>
  <hyperlinks>
    <hyperlink ref="G1964" r:id="rId1" xr:uid="{00000000-0004-0000-0000-000000000000}"/>
    <hyperlink ref="G2950" r:id="rId2" xr:uid="{00000000-0004-0000-0000-000001000000}"/>
    <hyperlink ref="G5186"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tabSelected="1" workbookViewId="0"/>
  </sheetViews>
  <sheetFormatPr defaultColWidth="12.5703125" defaultRowHeig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H27"/>
  <sheetViews>
    <sheetView workbookViewId="0"/>
  </sheetViews>
  <sheetFormatPr defaultColWidth="12.5703125" defaultRowHeight="15.75" customHeight="1"/>
  <cols>
    <col min="1" max="1" width="3.140625" customWidth="1"/>
    <col min="2" max="2" width="3.42578125" customWidth="1"/>
    <col min="3" max="3" width="43.28515625" customWidth="1"/>
    <col min="4" max="4" width="36.42578125" customWidth="1"/>
    <col min="5" max="5" width="14.42578125" customWidth="1"/>
    <col min="6" max="6" width="30.85546875" customWidth="1"/>
    <col min="7" max="7" width="13.5703125" customWidth="1"/>
    <col min="8" max="8" width="36.140625" customWidth="1"/>
  </cols>
  <sheetData>
    <row r="1" spans="2:8" ht="15.75" customHeight="1">
      <c r="B1" s="316"/>
      <c r="C1" s="316"/>
      <c r="D1" s="316"/>
      <c r="E1" s="316"/>
      <c r="F1" s="316"/>
      <c r="G1" s="316"/>
      <c r="H1" s="316"/>
    </row>
    <row r="2" spans="2:8" ht="15.75" customHeight="1">
      <c r="B2" s="316"/>
      <c r="C2" s="317" t="s">
        <v>2123</v>
      </c>
      <c r="D2" s="318" t="s">
        <v>2124</v>
      </c>
      <c r="E2" s="318" t="s">
        <v>2125</v>
      </c>
      <c r="F2" s="319" t="s">
        <v>2126</v>
      </c>
      <c r="G2" s="316"/>
      <c r="H2" s="316"/>
    </row>
    <row r="3" spans="2:8" ht="15.75" customHeight="1">
      <c r="B3" s="316"/>
      <c r="C3" s="320" t="s">
        <v>2127</v>
      </c>
      <c r="D3" s="320" t="s">
        <v>2128</v>
      </c>
      <c r="E3" s="320" t="s">
        <v>2129</v>
      </c>
      <c r="F3" s="320"/>
      <c r="G3" s="316"/>
      <c r="H3" s="316"/>
    </row>
    <row r="4" spans="2:8" ht="15.75" customHeight="1">
      <c r="B4" s="316"/>
      <c r="C4" s="321" t="s">
        <v>2130</v>
      </c>
      <c r="D4" s="321" t="s">
        <v>2131</v>
      </c>
      <c r="E4" s="320" t="s">
        <v>2132</v>
      </c>
      <c r="F4" s="320" t="s">
        <v>2133</v>
      </c>
      <c r="G4" s="316"/>
      <c r="H4" s="316"/>
    </row>
    <row r="5" spans="2:8" ht="15.75" customHeight="1">
      <c r="B5" s="316"/>
      <c r="C5" s="320" t="s">
        <v>2134</v>
      </c>
      <c r="D5" s="320" t="s">
        <v>2135</v>
      </c>
      <c r="E5" s="320" t="s">
        <v>2136</v>
      </c>
      <c r="F5" s="320" t="s">
        <v>2137</v>
      </c>
      <c r="G5" s="316"/>
      <c r="H5" s="316"/>
    </row>
    <row r="6" spans="2:8" ht="15.75" customHeight="1">
      <c r="B6" s="316"/>
      <c r="C6" s="316"/>
      <c r="D6" s="316"/>
      <c r="E6" s="316"/>
      <c r="F6" s="316"/>
      <c r="G6" s="316"/>
      <c r="H6" s="316"/>
    </row>
    <row r="7" spans="2:8" ht="15.75" customHeight="1">
      <c r="B7" s="316"/>
      <c r="C7" s="316"/>
      <c r="D7" s="316"/>
      <c r="E7" s="316"/>
      <c r="F7" s="316"/>
      <c r="G7" s="316"/>
      <c r="H7" s="316"/>
    </row>
    <row r="8" spans="2:8" ht="15.75" customHeight="1">
      <c r="B8" s="316"/>
      <c r="C8" s="316"/>
      <c r="D8" s="316"/>
      <c r="E8" s="316"/>
      <c r="F8" s="316"/>
      <c r="G8" s="316"/>
      <c r="H8" s="316"/>
    </row>
    <row r="9" spans="2:8" ht="15.75" customHeight="1">
      <c r="B9" s="316"/>
      <c r="C9" s="316"/>
      <c r="D9" s="316"/>
      <c r="E9" s="316"/>
      <c r="F9" s="316"/>
      <c r="G9" s="316"/>
      <c r="H9" s="316"/>
    </row>
    <row r="10" spans="2:8" ht="15.75" customHeight="1">
      <c r="B10" s="330" t="s">
        <v>2138</v>
      </c>
      <c r="C10" s="331"/>
      <c r="D10" s="331"/>
      <c r="E10" s="331"/>
      <c r="F10" s="331"/>
      <c r="G10" s="331"/>
      <c r="H10" s="332"/>
    </row>
    <row r="11" spans="2:8" ht="15.75" customHeight="1">
      <c r="B11" s="333" t="s">
        <v>2139</v>
      </c>
      <c r="C11" s="331"/>
      <c r="D11" s="331"/>
      <c r="E11" s="331"/>
      <c r="F11" s="331"/>
      <c r="G11" s="331"/>
      <c r="H11" s="332"/>
    </row>
    <row r="12" spans="2:8" ht="15.75" customHeight="1">
      <c r="B12" s="322"/>
      <c r="C12" s="322"/>
      <c r="D12" s="322"/>
      <c r="E12" s="322"/>
      <c r="F12" s="322"/>
      <c r="G12" s="322"/>
      <c r="H12" s="322"/>
    </row>
    <row r="13" spans="2:8" ht="15.75" customHeight="1">
      <c r="B13" s="323" t="s">
        <v>2140</v>
      </c>
      <c r="C13" s="324" t="s">
        <v>2141</v>
      </c>
      <c r="D13" s="324" t="s">
        <v>2142</v>
      </c>
      <c r="E13" s="324" t="s">
        <v>2143</v>
      </c>
      <c r="F13" s="324" t="s">
        <v>2144</v>
      </c>
      <c r="G13" s="324" t="s">
        <v>2145</v>
      </c>
      <c r="H13" s="325" t="s">
        <v>2146</v>
      </c>
    </row>
    <row r="14" spans="2:8" ht="15.75" customHeight="1">
      <c r="B14" s="326">
        <v>1</v>
      </c>
      <c r="C14" s="320" t="s">
        <v>2147</v>
      </c>
      <c r="D14" s="320" t="s">
        <v>2148</v>
      </c>
      <c r="E14" s="320">
        <v>87774861212</v>
      </c>
      <c r="F14" s="320" t="s">
        <v>2149</v>
      </c>
      <c r="G14" s="320"/>
      <c r="H14" s="327" t="s">
        <v>2150</v>
      </c>
    </row>
    <row r="15" spans="2:8" ht="15.75" customHeight="1">
      <c r="B15" s="326">
        <v>2</v>
      </c>
      <c r="C15" s="320" t="s">
        <v>2151</v>
      </c>
      <c r="D15" s="320" t="s">
        <v>2152</v>
      </c>
      <c r="E15" s="320">
        <v>87051840603</v>
      </c>
      <c r="F15" s="320" t="s">
        <v>2149</v>
      </c>
      <c r="G15" s="320"/>
      <c r="H15" s="327" t="s">
        <v>2150</v>
      </c>
    </row>
    <row r="16" spans="2:8" ht="15.75" customHeight="1">
      <c r="B16" s="326">
        <v>3</v>
      </c>
      <c r="C16" s="321" t="s">
        <v>2153</v>
      </c>
      <c r="D16" s="320" t="s">
        <v>2154</v>
      </c>
      <c r="E16" s="320">
        <v>87072657907</v>
      </c>
      <c r="F16" s="320" t="s">
        <v>2149</v>
      </c>
      <c r="G16" s="320"/>
      <c r="H16" s="327" t="s">
        <v>2150</v>
      </c>
    </row>
    <row r="17" spans="2:8" ht="15.75" customHeight="1">
      <c r="B17" s="326">
        <v>4</v>
      </c>
      <c r="C17" s="320" t="s">
        <v>2155</v>
      </c>
      <c r="D17" s="320" t="s">
        <v>2156</v>
      </c>
      <c r="E17" s="320">
        <v>87773881699</v>
      </c>
      <c r="F17" s="320" t="s">
        <v>2149</v>
      </c>
      <c r="G17" s="320"/>
      <c r="H17" s="327" t="s">
        <v>2150</v>
      </c>
    </row>
    <row r="18" spans="2:8" ht="15.75" customHeight="1">
      <c r="B18" s="326">
        <v>5</v>
      </c>
      <c r="C18" s="320" t="s">
        <v>2157</v>
      </c>
      <c r="D18" s="320" t="s">
        <v>2158</v>
      </c>
      <c r="E18" s="320">
        <v>87017440777</v>
      </c>
      <c r="F18" s="320" t="s">
        <v>2159</v>
      </c>
      <c r="G18" s="320">
        <v>87071021949</v>
      </c>
      <c r="H18" s="327" t="s">
        <v>2150</v>
      </c>
    </row>
    <row r="19" spans="2:8" ht="15.75" customHeight="1">
      <c r="B19" s="326">
        <v>6</v>
      </c>
      <c r="C19" s="321" t="s">
        <v>2160</v>
      </c>
      <c r="D19" s="320" t="s">
        <v>2161</v>
      </c>
      <c r="E19" s="320">
        <v>87071948382</v>
      </c>
      <c r="F19" s="320" t="s">
        <v>2149</v>
      </c>
      <c r="G19" s="320"/>
      <c r="H19" s="327" t="s">
        <v>2150</v>
      </c>
    </row>
    <row r="20" spans="2:8" ht="15.75" customHeight="1">
      <c r="B20" s="326">
        <v>7</v>
      </c>
      <c r="C20" s="320" t="s">
        <v>2162</v>
      </c>
      <c r="D20" s="320" t="s">
        <v>2163</v>
      </c>
      <c r="E20" s="320">
        <v>87057620001</v>
      </c>
      <c r="F20" s="320" t="s">
        <v>2149</v>
      </c>
      <c r="G20" s="320"/>
      <c r="H20" s="327" t="s">
        <v>2150</v>
      </c>
    </row>
    <row r="21" spans="2:8" ht="15.75" customHeight="1">
      <c r="B21" s="326">
        <v>8</v>
      </c>
      <c r="C21" s="321" t="s">
        <v>2164</v>
      </c>
      <c r="D21" s="321" t="s">
        <v>2165</v>
      </c>
      <c r="E21" s="320">
        <v>87475743693</v>
      </c>
      <c r="F21" s="320" t="s">
        <v>2149</v>
      </c>
      <c r="G21" s="320"/>
      <c r="H21" s="327" t="s">
        <v>2150</v>
      </c>
    </row>
    <row r="22" spans="2:8" ht="15.75" customHeight="1">
      <c r="B22" s="326">
        <v>9</v>
      </c>
      <c r="C22" s="321" t="s">
        <v>2166</v>
      </c>
      <c r="D22" s="320" t="s">
        <v>2167</v>
      </c>
      <c r="E22" s="320">
        <v>87078300014</v>
      </c>
      <c r="F22" s="320" t="s">
        <v>2149</v>
      </c>
      <c r="G22" s="320"/>
      <c r="H22" s="327" t="s">
        <v>2150</v>
      </c>
    </row>
    <row r="23" spans="2:8" ht="15.75" customHeight="1">
      <c r="B23" s="326">
        <v>10</v>
      </c>
      <c r="C23" s="320" t="s">
        <v>2168</v>
      </c>
      <c r="D23" s="320" t="s">
        <v>2169</v>
      </c>
      <c r="E23" s="320">
        <v>87074175585</v>
      </c>
      <c r="F23" s="320" t="s">
        <v>2149</v>
      </c>
      <c r="G23" s="320"/>
      <c r="H23" s="327" t="s">
        <v>2150</v>
      </c>
    </row>
    <row r="24" spans="2:8" ht="15.75" customHeight="1">
      <c r="B24" s="326">
        <v>11</v>
      </c>
      <c r="C24" s="321" t="s">
        <v>2170</v>
      </c>
      <c r="D24" s="320" t="s">
        <v>2171</v>
      </c>
      <c r="E24" s="320">
        <v>87773118023</v>
      </c>
      <c r="F24" s="320" t="s">
        <v>2149</v>
      </c>
      <c r="G24" s="320"/>
      <c r="H24" s="327" t="s">
        <v>2150</v>
      </c>
    </row>
    <row r="25" spans="2:8" ht="15">
      <c r="B25" s="326">
        <v>12</v>
      </c>
      <c r="C25" s="328"/>
      <c r="D25" s="328"/>
      <c r="E25" s="328"/>
      <c r="F25" s="328" t="s">
        <v>2172</v>
      </c>
      <c r="G25" s="328">
        <v>87077308974</v>
      </c>
      <c r="H25" s="327" t="s">
        <v>2173</v>
      </c>
    </row>
    <row r="26" spans="2:8" ht="15">
      <c r="B26" s="320"/>
      <c r="C26" s="320"/>
      <c r="D26" s="320"/>
      <c r="E26" s="320"/>
      <c r="F26" s="320" t="s">
        <v>2174</v>
      </c>
      <c r="G26" s="320">
        <v>87079345769</v>
      </c>
      <c r="H26" s="320" t="s">
        <v>2175</v>
      </c>
    </row>
    <row r="27" spans="2:8" ht="12.75">
      <c r="C27" s="329" t="s">
        <v>2176</v>
      </c>
      <c r="D27" s="329">
        <v>87051840603</v>
      </c>
    </row>
  </sheetData>
  <mergeCells count="2">
    <mergeCell ref="B10:H10"/>
    <mergeCell ref="B11: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По кабинетно</vt:lpstr>
      <vt:lpstr>Лист5</vt:lpstr>
      <vt:lpstr>Контакты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Eldar Nurakhmet</cp:lastModifiedBy>
  <dcterms:modified xsi:type="dcterms:W3CDTF">2026-07-08T09:59:24Z</dcterms:modified>
</cp:coreProperties>
</file>