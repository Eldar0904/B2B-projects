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ine\Documents\Claude\Projects\B2B projects\"/>
    </mc:Choice>
  </mc:AlternateContent>
  <xr:revisionPtr revIDLastSave="0" documentId="13_ncr:1_{C91D6606-60C0-4780-937C-D7FFD997A0D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Эстрада - поставщи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9" i="1" l="1"/>
</calcChain>
</file>

<file path=xl/sharedStrings.xml><?xml version="1.0" encoding="utf-8"?>
<sst xmlns="http://schemas.openxmlformats.org/spreadsheetml/2006/main" count="288" uniqueCount="197">
  <si>
    <t>Поиск поставщиков — кабинет «Эстрада» (Муз. школа)</t>
  </si>
  <si>
    <t>Источник: Копия Муз шк.xlsx. Список оборудования идентичен во всех 6 кабинетах «Эстрада» здания (46-51 м²) — площадь не влияет на комплектацию. Цены и технические характеристики ориентировочные (открытые источники и типовые параметры категории, июнь 2026), требуют подтверждения прямым запросом КП у поставщика.</t>
  </si>
  <si>
    <t>№</t>
  </si>
  <si>
    <t>Наименование позиции</t>
  </si>
  <si>
    <t>Кол-во на 1 каб.</t>
  </si>
  <si>
    <t>Технические характеристики (ориентир)</t>
  </si>
  <si>
    <t>Категория</t>
  </si>
  <si>
    <t>Рекомендуемый поставщик</t>
  </si>
  <si>
    <t>Страна / город</t>
  </si>
  <si>
    <t>Сайт / контакт</t>
  </si>
  <si>
    <t>Цена за ед., ₸ (ориент.)</t>
  </si>
  <si>
    <t>Сумма по позиции, ₸ (min)</t>
  </si>
  <si>
    <t>Источник цены / примечание</t>
  </si>
  <si>
    <t>Световое оборудование</t>
  </si>
  <si>
    <t>LED прожектор заливки (PAR), цветная заливка сцены</t>
  </si>
  <si>
    <t>6-8 шт.</t>
  </si>
  <si>
    <t>54×3 Вт RGBW LED, угол рассеивания 25-45°, управление DMX512 / Master-Slave / звуковая активация, корпус IP20</t>
  </si>
  <si>
    <t>Свет</t>
  </si>
  <si>
    <t>AudioPro / Stepline.kz</t>
  </si>
  <si>
    <t>Алматы / Астана, KZ</t>
  </si>
  <si>
    <t>audio-pro.kz, stepline.kz</t>
  </si>
  <si>
    <t>35 000</t>
  </si>
  <si>
    <t>Цена от модели LED PAR 54х3W (audio-pro.kz); опт от 20 шт. — фабрики Hesheng/KIMU/Yellow River (Гуанчжоу, CN) дешевле за ед.</t>
  </si>
  <si>
    <t>Профильный прожектор (Spot), точечный свет на солиста</t>
  </si>
  <si>
    <t>4-6 шт.</t>
  </si>
  <si>
    <t>150-200 Вт (LED), угол луча 15-30° с регулировкой фокуса, гобо-слот, шторки кадрирования, DMX512</t>
  </si>
  <si>
    <t>Artmusical.kz / Show-Light.ru</t>
  </si>
  <si>
    <t>Алматы, KZ / Москва, RU</t>
  </si>
  <si>
    <t>artmusical.kz, show-light.ru</t>
  </si>
  <si>
    <t>85 000</t>
  </si>
  <si>
    <t>Оценка по аналогам профильных приборов Show-Light/Avstage; точная цена по запросу</t>
  </si>
  <si>
    <t>Вращающаяся голова (Moving Head), динамические эффекты</t>
  </si>
  <si>
    <t>2-4 шт.</t>
  </si>
  <si>
    <t>7×10 Вт RGBW LED, 13 DMX-каналов, ход Pan 540° / Tilt 270°, встроенные авто-программы и звуковая активация</t>
  </si>
  <si>
    <t>1music.kz</t>
  </si>
  <si>
    <t>Алматы, KZ</t>
  </si>
  <si>
    <t>120 000</t>
  </si>
  <si>
    <t>LED moving head 7x10W RGBW (1music.kz); опт дешевле у KIMU/Yellow River (CN)</t>
  </si>
  <si>
    <t>DMX-контроллер (пульт управления светом)</t>
  </si>
  <si>
    <t>1 шт.</t>
  </si>
  <si>
    <t>Управление до 16 приборов × 18 каналов, 16 DMX-фейдеров, джойстик Pan/Tilt, 30+ программируемых сцен («Концерт», «Лекция»), выход DMX512</t>
  </si>
  <si>
    <t>LTM / Show-Light.ru (Involight)</t>
  </si>
  <si>
    <t>Москва, RU</t>
  </si>
  <si>
    <t>ltm-music.ru, show-light.ru</t>
  </si>
  <si>
    <t>95 000</t>
  </si>
  <si>
    <t>Involight: 16 приборов x18 каналов, 16 DMX-фейдеров, джойстик PAN/TILT</t>
  </si>
  <si>
    <t>LED стробоскоп</t>
  </si>
  <si>
    <t>1-2 шт.</t>
  </si>
  <si>
    <t>100-150 Вт LED, частота вспышек 1-20 Гц регулируемая, управление DMX / звуковая активация / автономно</t>
  </si>
  <si>
    <t>АликМуз / Acctech.ru</t>
  </si>
  <si>
    <t>Алматы, KZ / RU</t>
  </si>
  <si>
    <t>alikmuz.kz, acctech.ru</t>
  </si>
  <si>
    <t>45 000</t>
  </si>
  <si>
    <t>Оценка по каталогам спецэффектов</t>
  </si>
  <si>
    <t>Хейзер (генератор тумана/дыма)</t>
  </si>
  <si>
    <t>Мощность нагрева ~900-1000 Вт, бак 2-3 л, жидкость на водной основе, управление DMX/пульт ДУ, разогрев 2-3 мин</t>
  </si>
  <si>
    <t>АликМуз</t>
  </si>
  <si>
    <t>alikmuz.kz</t>
  </si>
  <si>
    <t>180 000</t>
  </si>
  <si>
    <t>2-канальный хейзер RH-T900 — цена подтверждена в каталоге</t>
  </si>
  <si>
    <t>Световая Т-образная стойка</t>
  </si>
  <si>
    <t>Телескопическая стальная стойка, высота 2-3 м, нагрузка до 20-30 кг на плечо, на колёсной базе</t>
  </si>
  <si>
    <t>40 000</t>
  </si>
  <si>
    <t>Оценка, стойки для прожекторов в наличии у обоих магазинов</t>
  </si>
  <si>
    <t>Комплект кабелей (DMX, силовые)</t>
  </si>
  <si>
    <t>1 компл.</t>
  </si>
  <si>
    <t>DMX 3-pin XLR кабели 5-10 м (4-6 шт.) + силовые удлинители/разветвители Schuko, ток до 16 А</t>
  </si>
  <si>
    <t>Acctech.ru / локальная сборка</t>
  </si>
  <si>
    <t>RU / KZ</t>
  </si>
  <si>
    <t>acctech.ru</t>
  </si>
  <si>
    <t>60 000</t>
  </si>
  <si>
    <t>Возможна локальная сборка по спецификации дешевле</t>
  </si>
  <si>
    <t>Звук / PA</t>
  </si>
  <si>
    <t>Цифровой микшерный пульт 16-24 канала, сохранение сцен</t>
  </si>
  <si>
    <t>16-24 входных канала (16 микрофонных), 4 выходные группы, 24-bit DSP, встроенный MP3-плеер, память сцен (scene recall), USB</t>
  </si>
  <si>
    <t>Звук</t>
  </si>
  <si>
    <t>ITC Audio KZ</t>
  </si>
  <si>
    <t>itc-audio.kz, тел. +7(727)313-73-39</t>
  </si>
  <si>
    <t>450 000</t>
  </si>
  <si>
    <t>ITC TS-16PFX-4 — спецификация подтверждена в каталоге; цена по запросу (sales@avs.kz)</t>
  </si>
  <si>
    <t>Активная акустическая система (PA) 300-500 Вт + сабвуфер</t>
  </si>
  <si>
    <t>2 шт. + 1 саб.</t>
  </si>
  <si>
    <t>2-полосная активная АС, 300-500 Вт RMS на колонку, встроенный усилитель класса D, портальная установка, + сабвуфер 500-700 Вт, разъёмы XLR/Jack/Speakon</t>
  </si>
  <si>
    <t>AudioPro / Proshow.kz</t>
  </si>
  <si>
    <t>audio-pro.kz, proshow.kz</t>
  </si>
  <si>
    <t>250 000</t>
  </si>
  <si>
    <t>Оценка по комплектам 400-700 Вт в каталоге Music-room.kz/Proshow.kz</t>
  </si>
  <si>
    <t>Сценический монитор</t>
  </si>
  <si>
    <t>Клин-монитор 12"+1", 200-300 Вт, угол наклона корпуса 30-45°, разъёмы XLR/Jack</t>
  </si>
  <si>
    <t>AudioPro / ITC Audio KZ</t>
  </si>
  <si>
    <t>audio-pro.kz, itc-audio.kz</t>
  </si>
  <si>
    <t>Оценка по позициям активных мониторов в каталогах</t>
  </si>
  <si>
    <t>Вокальная радиосистема (ручной микрофон), 4-6 каналов</t>
  </si>
  <si>
    <t>4-6 каналов</t>
  </si>
  <si>
    <t>UHF-диапазон, кардиоидный капсюль, частотный диапазон 50-14000 Гц, SPL до 135 дБ, радиус действия до 80 м</t>
  </si>
  <si>
    <t>МузZone.kz</t>
  </si>
  <si>
    <t>muzzone.kz</t>
  </si>
  <si>
    <t>57 400</t>
  </si>
  <si>
    <t>Shure BLX24E/PG58 — характеристики и цена от 57 400 ₸/комплект подтверждены в каталоге</t>
  </si>
  <si>
    <t>Головная радиогарнитура (для ведущих, hands-free)</t>
  </si>
  <si>
    <t>UHF, hands-free, кардиоидный/всенаправленный капсюль, регулируемое оголовье, разъём mini-XLR/проприетарный</t>
  </si>
  <si>
    <t>МузZone.kz / 1music.kz</t>
  </si>
  <si>
    <t>muzzone.kz, 1music.kz</t>
  </si>
  <si>
    <t>65 000</t>
  </si>
  <si>
    <t>Оценка по headset-радиосистемам в наличии</t>
  </si>
  <si>
    <t>Инструментальный микрофон Shure SM57/Beta98</t>
  </si>
  <si>
    <t>SM57: динамический, кардиоида, для гитар/духовых/ударных; Beta98: электретный конденсаторный, кардиоида, крепление-прищепка</t>
  </si>
  <si>
    <t>Микрофоны Shure в наличии от 7 890 ₸ (начальные модели); SM57/Beta98 — ближе к 40-55 000 ₸</t>
  </si>
  <si>
    <t>Конденсаторный микрофон, пара (ORTF), для хора/рояля</t>
  </si>
  <si>
    <t>2 шт.</t>
  </si>
  <si>
    <t>Кардиоидные конденсаторные капсюли, пара по схеме ORTF (угол 110°, база 17 см), фантомное питание 48 В</t>
  </si>
  <si>
    <t>DMS-online.ru / МузZone.kz</t>
  </si>
  <si>
    <t>Москва, RU / Алматы, KZ</t>
  </si>
  <si>
    <t>dms-online.ru, muzzone.kz</t>
  </si>
  <si>
    <t>75 000</t>
  </si>
  <si>
    <t>Оценка по парным конденсаторным микрофонам в каталоге DMS</t>
  </si>
  <si>
    <t>Микрофонная стойка (прямая/наклонная)</t>
  </si>
  <si>
    <t>8-12 шт.</t>
  </si>
  <si>
    <t>Телескопическая, высота 80-160 см, трёхногое стальное основание, резьба 5/8"</t>
  </si>
  <si>
    <t>BangBang.kz / Music-room.kz</t>
  </si>
  <si>
    <t>bangbang.kz, music-room.kz</t>
  </si>
  <si>
    <t>12 000</t>
  </si>
  <si>
    <t>Оценка по стандартным стойкам в наличии</t>
  </si>
  <si>
    <t>Стойка для микрофона (низкая, виолончель/контрабас)</t>
  </si>
  <si>
    <t>Регулировка высоты 30-80 см, широкое устойчивое основание, наклонный держатель</t>
  </si>
  <si>
    <t>BangBang.kz</t>
  </si>
  <si>
    <t>bangbang.kz</t>
  </si>
  <si>
    <t>15 000</t>
  </si>
  <si>
    <t>Оценка по низким/наклонным стойкам</t>
  </si>
  <si>
    <t>Ди-бокс (DI-кабель) для электроинструментов</t>
  </si>
  <si>
    <t>Пассивный/активный, вход Jack/XLR, балансный выход XLR, гальваническая развязка, переключатель Ground Lift</t>
  </si>
  <si>
    <t>ITC Audio KZ / DMS-online.ru</t>
  </si>
  <si>
    <t>itc-audio.kz, dms-online.ru</t>
  </si>
  <si>
    <t>18 000</t>
  </si>
  <si>
    <t>Оценка по пассивным/активным DI-боксам</t>
  </si>
  <si>
    <t>Комплект кабелей (XLR, Jack)</t>
  </si>
  <si>
    <t>Балансные XLR-кабели 5-10 м (6-8 шт.) + инструментальные Jack-Jack 3-6 м (4-6 шт.)</t>
  </si>
  <si>
    <t>50 000</t>
  </si>
  <si>
    <t>Комплект на кабинет, аналогично световым кабелям</t>
  </si>
  <si>
    <t>Сценическая мебель и аксессуары</t>
  </si>
  <si>
    <t>Пюпитр симфонический (тяжёлый), широкий, чёрный</t>
  </si>
  <si>
    <t>10-15 шт.</t>
  </si>
  <si>
    <t>Цельнометаллический, платформа ~50×38 см, регулировка высоты 60-130 см и угла наклона, складной, нагрузка до 5 кг</t>
  </si>
  <si>
    <t>Мебель</t>
  </si>
  <si>
    <t>BangBang.kz / Evterpashop.com</t>
  </si>
  <si>
    <t>bangbang.kz, evterpashop.com</t>
  </si>
  <si>
    <t>BangBang — складные/усиленные оркестровые пюпитры; Evterpashop — Gewa FX Orchestra (концертный уровень, дороже)</t>
  </si>
  <si>
    <t>Стул для артиста (без подлокотников), жёсткий</t>
  </si>
  <si>
    <t>Стальной каркас, сиденье/спинка без подлокотников, огнестойкая дышащая обивка, штабелируемый, нагрузка до 120 кг</t>
  </si>
  <si>
    <t>Evterpashop.com</t>
  </si>
  <si>
    <t>evterpashop.com</t>
  </si>
  <si>
    <t>GUIL SL-20 — сталь + огнестойкая ткань, вес ~10 кг, Испания</t>
  </si>
  <si>
    <t>Стул для виолончелиста/контрабасиста (высокий, регулируемый)</t>
  </si>
  <si>
    <t>Регулируемая высота сиденья 55-75 см, без подлокотников, опора для инструмента/ремня, огнестойкая обивка</t>
  </si>
  <si>
    <t>42 000</t>
  </si>
  <si>
    <t>GUIL SL-20, регулируемая версия</t>
  </si>
  <si>
    <t>Пуф для ног (регулируемый), для виолончелистов</t>
  </si>
  <si>
    <t>Регулируемая высота 10-25 см, мягкое нескользящее покрытие сиденья, устойчивое основание</t>
  </si>
  <si>
    <t>Evterpashop.com / местный мебельщик</t>
  </si>
  <si>
    <t>Москва, RU / KZ</t>
  </si>
  <si>
    <t>20 000</t>
  </si>
  <si>
    <t>Нишевая позиция; рассмотреть локальное изготовление по образцу для экономии на логистике</t>
  </si>
  <si>
    <t>Табурет винтовой (банкетка) для пианиста</t>
  </si>
  <si>
    <t>Винтовая регулировка высоты 45-60 см, мягкое сиденье, устойчивое 3-4-ножное основание</t>
  </si>
  <si>
    <t>Music-room.kz / Evterpashop.com</t>
  </si>
  <si>
    <t>music-room.kz, evterpashop.com</t>
  </si>
  <si>
    <t>55 000</t>
  </si>
  <si>
    <t>Винтовые банкетки в наличии в обоих магазинах</t>
  </si>
  <si>
    <t>Дирижёрский подиум, деревянный, 15-25 см, с ограждением</t>
  </si>
  <si>
    <t>Деревянный настил, высота 15-25 см (фикс./регулируемая), нескользящее покрытие, ограждение с 3 сторон, нагрузка до 150 кг</t>
  </si>
  <si>
    <t>Guil TMD-10 / Wenger 1110302 / Bergerault BCFN — варианты по бюджету; KOLBERG «Opera» — премиум</t>
  </si>
  <si>
    <t>Пульт для партитуры дирижёра</t>
  </si>
  <si>
    <t>Широкая наклонная столешница, регулировка высоты и угла наклона, устойчивое металлическое основание</t>
  </si>
  <si>
    <t>Konig&amp;Meyer 12342 или Wenger Director's Stand</t>
  </si>
  <si>
    <t>Дирижёрская палочка</t>
  </si>
  <si>
    <t>3-5 шт.</t>
  </si>
  <si>
    <t>Длина 35-40 см, лёгкий материал (углепластик/дерево), пробковая рукоять</t>
  </si>
  <si>
    <t>8 000</t>
  </si>
  <si>
    <t>Раздел «Дирижёрские палочки, тамбур-мажоры»</t>
  </si>
  <si>
    <t>Метроном (громкий), электронный, выход на PA</t>
  </si>
  <si>
    <t>Электронный, диапазон 30-280 BPM, регулируемая громкость, линейный выход на PA, визуальная (светодиодная) индикация такта</t>
  </si>
  <si>
    <t>Music-room.kz / МузZone.kz</t>
  </si>
  <si>
    <t>music-room.kz, muzzone.kz</t>
  </si>
  <si>
    <t>Оценка по электронным метрономам в наличии</t>
  </si>
  <si>
    <t>Хроматический тюнер</t>
  </si>
  <si>
    <t>Хроматический режим (все ноты), калибровка 430-450 Гц, дисплей со стрелкой, микрофонный и Jack-вход</t>
  </si>
  <si>
    <t>Оценка по тюнерам в наличии</t>
  </si>
  <si>
    <t>Ковёр акустический (покрытие планшета сцены)</t>
  </si>
  <si>
    <t>1-2 компл.</t>
  </si>
  <si>
    <t>Сценический линолеум/ковровое покрытие, звукопоглощающая подложка, нескользящее, толщина 2-4 мм</t>
  </si>
  <si>
    <t>SMARTPOL.KZ</t>
  </si>
  <si>
    <t>Астана, KZ</t>
  </si>
  <si>
    <t>smartpol.kz, +7(717)269-69-79</t>
  </si>
  <si>
    <t>2 500</t>
  </si>
  <si>
    <t>Цена за м² от 2 500 до 19 304 ₸ в зависимости от типа (линолеум Grabo и др.); итог зависит от площади покрытия</t>
  </si>
  <si>
    <t>ИТОГО ориентировочно (по минимальным количествам и ценам), ₸</t>
  </si>
  <si>
    <t>Примечание: суммы рассчитаны по нижней границе диапазона количества и ориентировочным ценам из открытых источников — это не коммерческое предложение. Технические характеристики — типовые параметры категории/модели-аналога; для позиций с конкретным брендом (Shure, ITC, GUIL и др.) характеристики подтверждены по карточке товара поставщика. Для закупки запросите официальные КП и точные спецификации у выбранных поставщиков. Здание содержит 6 идентичных кабинетов «Эстрада» — при оснащении всех умножьте позиции на 6 (с учётом опт. скидок).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</si>
</sst>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2937"/>
      <name val="Arial"/>
      <charset val="1"/>
    </font>
    <font>
      <i/>
      <sz val="10"/>
      <color rgb="FF6B7280"/>
      <name val="Arial"/>
      <charset val="1"/>
    </font>
    <font>
      <b/>
      <sz val="10"/>
      <color rgb="FFFFFFFF"/>
      <name val="Arial"/>
      <charset val="1"/>
    </font>
    <font>
      <b/>
      <sz val="10"/>
      <color rgb="FF1E3A8A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6B72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E3A8A"/>
      </patternFill>
    </fill>
    <fill>
      <patternFill patternType="solid">
        <fgColor rgb="FFDBEAFE"/>
        <bgColor rgb="FFCC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7" fillId="0" borderId="0" xfId="0" applyFont="1" applyAlignment="1">
      <alignment vertical="top" wrapText="1"/>
    </xf>
    <xf numFmtId="0" fontId="6" fillId="0" borderId="0" xfId="0" applyFont="1"/>
    <xf numFmtId="0" fontId="4" fillId="3" borderId="0" xfId="0" applyFont="1" applyFill="1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horizontal="center" vertical="top" wrapText="1"/>
    </xf>
    <xf numFmtId="3" fontId="6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4E79"/>
      <rgbColor rgb="FF339966"/>
      <rgbColor rgb="FF003300"/>
      <rgbColor rgb="FF333300"/>
      <rgbColor rgb="FF993300"/>
      <rgbColor rgb="FF993366"/>
      <rgbColor rgb="FF1E3A8A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zoomScaleNormal="100" workbookViewId="0">
      <pane ySplit="4" topLeftCell="A28" activePane="bottomLeft" state="frozen"/>
      <selection pane="bottomLeft" activeCell="B40" sqref="B40"/>
    </sheetView>
  </sheetViews>
  <sheetFormatPr defaultColWidth="8.7109375" defaultRowHeight="15" x14ac:dyDescent="0.25"/>
  <cols>
    <col min="1" max="1" width="4" customWidth="1"/>
    <col min="2" max="2" width="32" customWidth="1"/>
    <col min="3" max="3" width="13" customWidth="1"/>
    <col min="4" max="4" width="42" customWidth="1"/>
    <col min="5" max="5" width="15" customWidth="1"/>
    <col min="6" max="6" width="24" customWidth="1"/>
    <col min="7" max="7" width="15" customWidth="1"/>
    <col min="8" max="8" width="28" customWidth="1"/>
    <col min="9" max="9" width="15" customWidth="1"/>
    <col min="10" max="10" width="16" customWidth="1"/>
    <col min="11" max="11" width="49.7109375" customWidth="1"/>
  </cols>
  <sheetData>
    <row r="1" spans="1:11" ht="21.7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38.25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</row>
    <row r="5" spans="1:11" x14ac:dyDescent="0.25">
      <c r="A5" s="3" t="s">
        <v>13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51" x14ac:dyDescent="0.25">
      <c r="A6" s="7">
        <v>1</v>
      </c>
      <c r="B6" s="8" t="s">
        <v>14</v>
      </c>
      <c r="C6" s="7" t="s">
        <v>15</v>
      </c>
      <c r="D6" s="8" t="s">
        <v>16</v>
      </c>
      <c r="E6" s="7" t="s">
        <v>17</v>
      </c>
      <c r="F6" s="8" t="s">
        <v>18</v>
      </c>
      <c r="G6" s="7" t="s">
        <v>19</v>
      </c>
      <c r="H6" s="8" t="s">
        <v>20</v>
      </c>
      <c r="I6" s="9" t="s">
        <v>21</v>
      </c>
      <c r="J6" s="9">
        <v>210000</v>
      </c>
      <c r="K6" s="8" t="s">
        <v>22</v>
      </c>
    </row>
    <row r="7" spans="1:11" ht="38.25" x14ac:dyDescent="0.25">
      <c r="A7" s="7">
        <v>2</v>
      </c>
      <c r="B7" s="8" t="s">
        <v>23</v>
      </c>
      <c r="C7" s="7" t="s">
        <v>24</v>
      </c>
      <c r="D7" s="8" t="s">
        <v>25</v>
      </c>
      <c r="E7" s="7" t="s">
        <v>17</v>
      </c>
      <c r="F7" s="8" t="s">
        <v>26</v>
      </c>
      <c r="G7" s="7" t="s">
        <v>27</v>
      </c>
      <c r="H7" s="8" t="s">
        <v>28</v>
      </c>
      <c r="I7" s="9" t="s">
        <v>29</v>
      </c>
      <c r="J7" s="9">
        <v>340000</v>
      </c>
      <c r="K7" s="8" t="s">
        <v>30</v>
      </c>
    </row>
    <row r="8" spans="1:11" ht="38.25" x14ac:dyDescent="0.25">
      <c r="A8" s="7">
        <v>3</v>
      </c>
      <c r="B8" s="8" t="s">
        <v>31</v>
      </c>
      <c r="C8" s="7" t="s">
        <v>32</v>
      </c>
      <c r="D8" s="8" t="s">
        <v>33</v>
      </c>
      <c r="E8" s="7" t="s">
        <v>17</v>
      </c>
      <c r="F8" s="8" t="s">
        <v>34</v>
      </c>
      <c r="G8" s="7" t="s">
        <v>35</v>
      </c>
      <c r="H8" s="8" t="s">
        <v>34</v>
      </c>
      <c r="I8" s="9" t="s">
        <v>36</v>
      </c>
      <c r="J8" s="9">
        <v>240000</v>
      </c>
      <c r="K8" s="8" t="s">
        <v>37</v>
      </c>
    </row>
    <row r="9" spans="1:11" ht="51" x14ac:dyDescent="0.25">
      <c r="A9" s="7">
        <v>4</v>
      </c>
      <c r="B9" s="8" t="s">
        <v>38</v>
      </c>
      <c r="C9" s="7" t="s">
        <v>39</v>
      </c>
      <c r="D9" s="8" t="s">
        <v>40</v>
      </c>
      <c r="E9" s="7" t="s">
        <v>17</v>
      </c>
      <c r="F9" s="8" t="s">
        <v>41</v>
      </c>
      <c r="G9" s="7" t="s">
        <v>42</v>
      </c>
      <c r="H9" s="8" t="s">
        <v>43</v>
      </c>
      <c r="I9" s="9" t="s">
        <v>44</v>
      </c>
      <c r="J9" s="9">
        <v>95000</v>
      </c>
      <c r="K9" s="8" t="s">
        <v>45</v>
      </c>
    </row>
    <row r="10" spans="1:11" ht="38.25" x14ac:dyDescent="0.25">
      <c r="A10" s="7">
        <v>5</v>
      </c>
      <c r="B10" s="8" t="s">
        <v>46</v>
      </c>
      <c r="C10" s="7" t="s">
        <v>47</v>
      </c>
      <c r="D10" s="8" t="s">
        <v>48</v>
      </c>
      <c r="E10" s="7" t="s">
        <v>17</v>
      </c>
      <c r="F10" s="8" t="s">
        <v>49</v>
      </c>
      <c r="G10" s="7" t="s">
        <v>50</v>
      </c>
      <c r="H10" s="8" t="s">
        <v>51</v>
      </c>
      <c r="I10" s="9" t="s">
        <v>52</v>
      </c>
      <c r="J10" s="9">
        <v>45000</v>
      </c>
      <c r="K10" s="8" t="s">
        <v>53</v>
      </c>
    </row>
    <row r="11" spans="1:11" ht="38.25" x14ac:dyDescent="0.25">
      <c r="A11" s="7">
        <v>6</v>
      </c>
      <c r="B11" s="8" t="s">
        <v>54</v>
      </c>
      <c r="C11" s="7" t="s">
        <v>39</v>
      </c>
      <c r="D11" s="8" t="s">
        <v>55</v>
      </c>
      <c r="E11" s="7" t="s">
        <v>17</v>
      </c>
      <c r="F11" s="8" t="s">
        <v>56</v>
      </c>
      <c r="G11" s="7" t="s">
        <v>35</v>
      </c>
      <c r="H11" s="8" t="s">
        <v>57</v>
      </c>
      <c r="I11" s="9" t="s">
        <v>58</v>
      </c>
      <c r="J11" s="9">
        <v>180000</v>
      </c>
      <c r="K11" s="8" t="s">
        <v>59</v>
      </c>
    </row>
    <row r="12" spans="1:11" ht="38.25" x14ac:dyDescent="0.25">
      <c r="A12" s="7">
        <v>7</v>
      </c>
      <c r="B12" s="8" t="s">
        <v>60</v>
      </c>
      <c r="C12" s="7" t="s">
        <v>32</v>
      </c>
      <c r="D12" s="8" t="s">
        <v>61</v>
      </c>
      <c r="E12" s="7" t="s">
        <v>17</v>
      </c>
      <c r="F12" s="8" t="s">
        <v>18</v>
      </c>
      <c r="G12" s="7" t="s">
        <v>35</v>
      </c>
      <c r="H12" s="8" t="s">
        <v>20</v>
      </c>
      <c r="I12" s="9" t="s">
        <v>62</v>
      </c>
      <c r="J12" s="9">
        <v>80000</v>
      </c>
      <c r="K12" s="8" t="s">
        <v>63</v>
      </c>
    </row>
    <row r="13" spans="1:11" ht="38.25" x14ac:dyDescent="0.25">
      <c r="A13" s="7">
        <v>8</v>
      </c>
      <c r="B13" s="8" t="s">
        <v>64</v>
      </c>
      <c r="C13" s="7" t="s">
        <v>65</v>
      </c>
      <c r="D13" s="8" t="s">
        <v>66</v>
      </c>
      <c r="E13" s="7" t="s">
        <v>17</v>
      </c>
      <c r="F13" s="8" t="s">
        <v>67</v>
      </c>
      <c r="G13" s="7" t="s">
        <v>68</v>
      </c>
      <c r="H13" s="8" t="s">
        <v>69</v>
      </c>
      <c r="I13" s="9" t="s">
        <v>70</v>
      </c>
      <c r="J13" s="9">
        <v>60000</v>
      </c>
      <c r="K13" s="8" t="s">
        <v>71</v>
      </c>
    </row>
    <row r="14" spans="1:11" x14ac:dyDescent="0.25">
      <c r="A14" s="3" t="s">
        <v>72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38.25" x14ac:dyDescent="0.25">
      <c r="A15" s="7">
        <v>9</v>
      </c>
      <c r="B15" s="8" t="s">
        <v>73</v>
      </c>
      <c r="C15" s="7" t="s">
        <v>39</v>
      </c>
      <c r="D15" s="8" t="s">
        <v>74</v>
      </c>
      <c r="E15" s="7" t="s">
        <v>75</v>
      </c>
      <c r="F15" s="8" t="s">
        <v>76</v>
      </c>
      <c r="G15" s="7" t="s">
        <v>35</v>
      </c>
      <c r="H15" s="8" t="s">
        <v>77</v>
      </c>
      <c r="I15" s="9" t="s">
        <v>78</v>
      </c>
      <c r="J15" s="9">
        <v>450000</v>
      </c>
      <c r="K15" s="8" t="s">
        <v>79</v>
      </c>
    </row>
    <row r="16" spans="1:11" ht="51" x14ac:dyDescent="0.25">
      <c r="A16" s="7">
        <v>10</v>
      </c>
      <c r="B16" s="8" t="s">
        <v>80</v>
      </c>
      <c r="C16" s="7" t="s">
        <v>81</v>
      </c>
      <c r="D16" s="8" t="s">
        <v>82</v>
      </c>
      <c r="E16" s="7" t="s">
        <v>75</v>
      </c>
      <c r="F16" s="8" t="s">
        <v>83</v>
      </c>
      <c r="G16" s="7" t="s">
        <v>35</v>
      </c>
      <c r="H16" s="8" t="s">
        <v>84</v>
      </c>
      <c r="I16" s="9" t="s">
        <v>85</v>
      </c>
      <c r="J16" s="9">
        <v>500000</v>
      </c>
      <c r="K16" s="8" t="s">
        <v>86</v>
      </c>
    </row>
    <row r="17" spans="1:11" ht="25.5" x14ac:dyDescent="0.25">
      <c r="A17" s="7">
        <v>11</v>
      </c>
      <c r="B17" s="8" t="s">
        <v>87</v>
      </c>
      <c r="C17" s="7" t="s">
        <v>32</v>
      </c>
      <c r="D17" s="8" t="s">
        <v>88</v>
      </c>
      <c r="E17" s="7" t="s">
        <v>75</v>
      </c>
      <c r="F17" s="8" t="s">
        <v>89</v>
      </c>
      <c r="G17" s="7" t="s">
        <v>35</v>
      </c>
      <c r="H17" s="8" t="s">
        <v>90</v>
      </c>
      <c r="I17" s="9" t="s">
        <v>58</v>
      </c>
      <c r="J17" s="9">
        <v>360000</v>
      </c>
      <c r="K17" s="8" t="s">
        <v>91</v>
      </c>
    </row>
    <row r="18" spans="1:11" ht="38.25" x14ac:dyDescent="0.25">
      <c r="A18" s="7">
        <v>12</v>
      </c>
      <c r="B18" s="8" t="s">
        <v>92</v>
      </c>
      <c r="C18" s="7" t="s">
        <v>93</v>
      </c>
      <c r="D18" s="8" t="s">
        <v>94</v>
      </c>
      <c r="E18" s="7" t="s">
        <v>75</v>
      </c>
      <c r="F18" s="8" t="s">
        <v>95</v>
      </c>
      <c r="G18" s="7" t="s">
        <v>35</v>
      </c>
      <c r="H18" s="8" t="s">
        <v>96</v>
      </c>
      <c r="I18" s="9" t="s">
        <v>97</v>
      </c>
      <c r="J18" s="9">
        <v>229600</v>
      </c>
      <c r="K18" s="8" t="s">
        <v>98</v>
      </c>
    </row>
    <row r="19" spans="1:11" ht="51" x14ac:dyDescent="0.25">
      <c r="A19" s="7">
        <v>13</v>
      </c>
      <c r="B19" s="8" t="s">
        <v>99</v>
      </c>
      <c r="C19" s="7" t="s">
        <v>32</v>
      </c>
      <c r="D19" s="8" t="s">
        <v>100</v>
      </c>
      <c r="E19" s="7" t="s">
        <v>75</v>
      </c>
      <c r="F19" s="8" t="s">
        <v>101</v>
      </c>
      <c r="G19" s="7" t="s">
        <v>35</v>
      </c>
      <c r="H19" s="8" t="s">
        <v>102</v>
      </c>
      <c r="I19" s="9" t="s">
        <v>103</v>
      </c>
      <c r="J19" s="9">
        <v>130000</v>
      </c>
      <c r="K19" s="8" t="s">
        <v>104</v>
      </c>
    </row>
    <row r="20" spans="1:11" ht="51" x14ac:dyDescent="0.25">
      <c r="A20" s="7">
        <v>14</v>
      </c>
      <c r="B20" s="8" t="s">
        <v>105</v>
      </c>
      <c r="C20" s="7" t="s">
        <v>15</v>
      </c>
      <c r="D20" s="8" t="s">
        <v>106</v>
      </c>
      <c r="E20" s="7" t="s">
        <v>75</v>
      </c>
      <c r="F20" s="8" t="s">
        <v>95</v>
      </c>
      <c r="G20" s="7" t="s">
        <v>35</v>
      </c>
      <c r="H20" s="8" t="s">
        <v>96</v>
      </c>
      <c r="I20" s="9" t="s">
        <v>52</v>
      </c>
      <c r="J20" s="9">
        <v>270000</v>
      </c>
      <c r="K20" s="8" t="s">
        <v>107</v>
      </c>
    </row>
    <row r="21" spans="1:11" ht="38.25" x14ac:dyDescent="0.25">
      <c r="A21" s="7">
        <v>15</v>
      </c>
      <c r="B21" s="8" t="s">
        <v>108</v>
      </c>
      <c r="C21" s="7" t="s">
        <v>109</v>
      </c>
      <c r="D21" s="8" t="s">
        <v>110</v>
      </c>
      <c r="E21" s="7" t="s">
        <v>75</v>
      </c>
      <c r="F21" s="8" t="s">
        <v>111</v>
      </c>
      <c r="G21" s="7" t="s">
        <v>112</v>
      </c>
      <c r="H21" s="8" t="s">
        <v>113</v>
      </c>
      <c r="I21" s="9" t="s">
        <v>114</v>
      </c>
      <c r="J21" s="9">
        <v>150000</v>
      </c>
      <c r="K21" s="8" t="s">
        <v>115</v>
      </c>
    </row>
    <row r="22" spans="1:11" ht="25.5" x14ac:dyDescent="0.25">
      <c r="A22" s="7">
        <v>16</v>
      </c>
      <c r="B22" s="8" t="s">
        <v>116</v>
      </c>
      <c r="C22" s="7" t="s">
        <v>117</v>
      </c>
      <c r="D22" s="8" t="s">
        <v>118</v>
      </c>
      <c r="E22" s="7" t="s">
        <v>75</v>
      </c>
      <c r="F22" s="8" t="s">
        <v>119</v>
      </c>
      <c r="G22" s="7" t="s">
        <v>35</v>
      </c>
      <c r="H22" s="8" t="s">
        <v>120</v>
      </c>
      <c r="I22" s="9" t="s">
        <v>121</v>
      </c>
      <c r="J22" s="9">
        <v>96000</v>
      </c>
      <c r="K22" s="8" t="s">
        <v>122</v>
      </c>
    </row>
    <row r="23" spans="1:11" ht="25.5" x14ac:dyDescent="0.25">
      <c r="A23" s="7">
        <v>17</v>
      </c>
      <c r="B23" s="8" t="s">
        <v>123</v>
      </c>
      <c r="C23" s="7" t="s">
        <v>32</v>
      </c>
      <c r="D23" s="8" t="s">
        <v>124</v>
      </c>
      <c r="E23" s="7" t="s">
        <v>75</v>
      </c>
      <c r="F23" s="8" t="s">
        <v>125</v>
      </c>
      <c r="G23" s="7" t="s">
        <v>35</v>
      </c>
      <c r="H23" s="8" t="s">
        <v>126</v>
      </c>
      <c r="I23" s="9" t="s">
        <v>127</v>
      </c>
      <c r="J23" s="9">
        <v>30000</v>
      </c>
      <c r="K23" s="8" t="s">
        <v>128</v>
      </c>
    </row>
    <row r="24" spans="1:11" ht="38.25" x14ac:dyDescent="0.25">
      <c r="A24" s="7">
        <v>18</v>
      </c>
      <c r="B24" s="8" t="s">
        <v>129</v>
      </c>
      <c r="C24" s="7" t="s">
        <v>24</v>
      </c>
      <c r="D24" s="8" t="s">
        <v>130</v>
      </c>
      <c r="E24" s="7" t="s">
        <v>75</v>
      </c>
      <c r="F24" s="8" t="s">
        <v>131</v>
      </c>
      <c r="G24" s="7" t="s">
        <v>50</v>
      </c>
      <c r="H24" s="8" t="s">
        <v>132</v>
      </c>
      <c r="I24" s="9" t="s">
        <v>133</v>
      </c>
      <c r="J24" s="9">
        <v>72000</v>
      </c>
      <c r="K24" s="8" t="s">
        <v>134</v>
      </c>
    </row>
    <row r="25" spans="1:11" ht="25.5" x14ac:dyDescent="0.25">
      <c r="A25" s="7">
        <v>19</v>
      </c>
      <c r="B25" s="8" t="s">
        <v>135</v>
      </c>
      <c r="C25" s="7" t="s">
        <v>65</v>
      </c>
      <c r="D25" s="8" t="s">
        <v>136</v>
      </c>
      <c r="E25" s="7" t="s">
        <v>75</v>
      </c>
      <c r="F25" s="8" t="s">
        <v>67</v>
      </c>
      <c r="G25" s="7" t="s">
        <v>68</v>
      </c>
      <c r="H25" s="8" t="s">
        <v>69</v>
      </c>
      <c r="I25" s="9" t="s">
        <v>137</v>
      </c>
      <c r="J25" s="9">
        <v>50000</v>
      </c>
      <c r="K25" s="8" t="s">
        <v>138</v>
      </c>
    </row>
    <row r="26" spans="1:11" x14ac:dyDescent="0.25">
      <c r="A26" s="3" t="s">
        <v>139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51" x14ac:dyDescent="0.25">
      <c r="A27" s="7">
        <v>20</v>
      </c>
      <c r="B27" s="8" t="s">
        <v>140</v>
      </c>
      <c r="C27" s="7" t="s">
        <v>141</v>
      </c>
      <c r="D27" s="8" t="s">
        <v>142</v>
      </c>
      <c r="E27" s="7" t="s">
        <v>143</v>
      </c>
      <c r="F27" s="8" t="s">
        <v>144</v>
      </c>
      <c r="G27" s="7" t="s">
        <v>27</v>
      </c>
      <c r="H27" s="8" t="s">
        <v>145</v>
      </c>
      <c r="I27" s="9" t="s">
        <v>52</v>
      </c>
      <c r="J27" s="9">
        <v>450000</v>
      </c>
      <c r="K27" s="8" t="s">
        <v>146</v>
      </c>
    </row>
    <row r="28" spans="1:11" ht="38.25" x14ac:dyDescent="0.25">
      <c r="A28" s="7">
        <v>21</v>
      </c>
      <c r="B28" s="8" t="s">
        <v>147</v>
      </c>
      <c r="C28" s="7" t="s">
        <v>141</v>
      </c>
      <c r="D28" s="8" t="s">
        <v>148</v>
      </c>
      <c r="E28" s="7" t="s">
        <v>143</v>
      </c>
      <c r="F28" s="8" t="s">
        <v>149</v>
      </c>
      <c r="G28" s="7" t="s">
        <v>42</v>
      </c>
      <c r="H28" s="8" t="s">
        <v>150</v>
      </c>
      <c r="I28" s="9" t="s">
        <v>21</v>
      </c>
      <c r="J28" s="9">
        <v>350000</v>
      </c>
      <c r="K28" s="8" t="s">
        <v>151</v>
      </c>
    </row>
    <row r="29" spans="1:11" ht="38.25" x14ac:dyDescent="0.25">
      <c r="A29" s="7">
        <v>22</v>
      </c>
      <c r="B29" s="8" t="s">
        <v>152</v>
      </c>
      <c r="C29" s="7" t="s">
        <v>32</v>
      </c>
      <c r="D29" s="8" t="s">
        <v>153</v>
      </c>
      <c r="E29" s="7" t="s">
        <v>143</v>
      </c>
      <c r="F29" s="8" t="s">
        <v>149</v>
      </c>
      <c r="G29" s="7" t="s">
        <v>42</v>
      </c>
      <c r="H29" s="8" t="s">
        <v>150</v>
      </c>
      <c r="I29" s="9" t="s">
        <v>154</v>
      </c>
      <c r="J29" s="9">
        <v>84000</v>
      </c>
      <c r="K29" s="8" t="s">
        <v>155</v>
      </c>
    </row>
    <row r="30" spans="1:11" ht="38.25" x14ac:dyDescent="0.25">
      <c r="A30" s="7">
        <v>23</v>
      </c>
      <c r="B30" s="8" t="s">
        <v>156</v>
      </c>
      <c r="C30" s="7" t="s">
        <v>24</v>
      </c>
      <c r="D30" s="8" t="s">
        <v>157</v>
      </c>
      <c r="E30" s="7" t="s">
        <v>143</v>
      </c>
      <c r="F30" s="8" t="s">
        <v>158</v>
      </c>
      <c r="G30" s="7" t="s">
        <v>159</v>
      </c>
      <c r="H30" s="8" t="s">
        <v>150</v>
      </c>
      <c r="I30" s="9" t="s">
        <v>160</v>
      </c>
      <c r="J30" s="9">
        <v>80000</v>
      </c>
      <c r="K30" s="8" t="s">
        <v>161</v>
      </c>
    </row>
    <row r="31" spans="1:11" ht="38.25" x14ac:dyDescent="0.25">
      <c r="A31" s="7">
        <v>24</v>
      </c>
      <c r="B31" s="8" t="s">
        <v>162</v>
      </c>
      <c r="C31" s="7" t="s">
        <v>47</v>
      </c>
      <c r="D31" s="8" t="s">
        <v>163</v>
      </c>
      <c r="E31" s="7" t="s">
        <v>143</v>
      </c>
      <c r="F31" s="8" t="s">
        <v>164</v>
      </c>
      <c r="G31" s="7" t="s">
        <v>50</v>
      </c>
      <c r="H31" s="8" t="s">
        <v>165</v>
      </c>
      <c r="I31" s="9" t="s">
        <v>166</v>
      </c>
      <c r="J31" s="9">
        <v>55000</v>
      </c>
      <c r="K31" s="8" t="s">
        <v>167</v>
      </c>
    </row>
    <row r="32" spans="1:11" ht="51" x14ac:dyDescent="0.25">
      <c r="A32" s="7">
        <v>25</v>
      </c>
      <c r="B32" s="8" t="s">
        <v>168</v>
      </c>
      <c r="C32" s="7" t="s">
        <v>39</v>
      </c>
      <c r="D32" s="8" t="s">
        <v>169</v>
      </c>
      <c r="E32" s="7" t="s">
        <v>143</v>
      </c>
      <c r="F32" s="8" t="s">
        <v>149</v>
      </c>
      <c r="G32" s="7" t="s">
        <v>42</v>
      </c>
      <c r="H32" s="8" t="s">
        <v>150</v>
      </c>
      <c r="I32" s="9" t="s">
        <v>85</v>
      </c>
      <c r="J32" s="9">
        <v>250000</v>
      </c>
      <c r="K32" s="8" t="s">
        <v>170</v>
      </c>
    </row>
    <row r="33" spans="1:11" ht="38.25" x14ac:dyDescent="0.25">
      <c r="A33" s="7">
        <v>26</v>
      </c>
      <c r="B33" s="8" t="s">
        <v>171</v>
      </c>
      <c r="C33" s="7" t="s">
        <v>39</v>
      </c>
      <c r="D33" s="8" t="s">
        <v>172</v>
      </c>
      <c r="E33" s="7" t="s">
        <v>143</v>
      </c>
      <c r="F33" s="8" t="s">
        <v>149</v>
      </c>
      <c r="G33" s="7" t="s">
        <v>42</v>
      </c>
      <c r="H33" s="8" t="s">
        <v>150</v>
      </c>
      <c r="I33" s="9" t="s">
        <v>70</v>
      </c>
      <c r="J33" s="9">
        <v>60000</v>
      </c>
      <c r="K33" s="8" t="s">
        <v>173</v>
      </c>
    </row>
    <row r="34" spans="1:11" ht="25.5" x14ac:dyDescent="0.25">
      <c r="A34" s="7">
        <v>27</v>
      </c>
      <c r="B34" s="8" t="s">
        <v>174</v>
      </c>
      <c r="C34" s="7" t="s">
        <v>175</v>
      </c>
      <c r="D34" s="8" t="s">
        <v>176</v>
      </c>
      <c r="E34" s="7" t="s">
        <v>143</v>
      </c>
      <c r="F34" s="8" t="s">
        <v>149</v>
      </c>
      <c r="G34" s="7" t="s">
        <v>42</v>
      </c>
      <c r="H34" s="8" t="s">
        <v>150</v>
      </c>
      <c r="I34" s="9" t="s">
        <v>177</v>
      </c>
      <c r="J34" s="9">
        <v>24000</v>
      </c>
      <c r="K34" s="8" t="s">
        <v>178</v>
      </c>
    </row>
    <row r="35" spans="1:11" ht="51" x14ac:dyDescent="0.25">
      <c r="A35" s="7">
        <v>28</v>
      </c>
      <c r="B35" s="8" t="s">
        <v>179</v>
      </c>
      <c r="C35" s="7" t="s">
        <v>39</v>
      </c>
      <c r="D35" s="8" t="s">
        <v>180</v>
      </c>
      <c r="E35" s="7" t="s">
        <v>143</v>
      </c>
      <c r="F35" s="8" t="s">
        <v>181</v>
      </c>
      <c r="G35" s="7" t="s">
        <v>35</v>
      </c>
      <c r="H35" s="8" t="s">
        <v>182</v>
      </c>
      <c r="I35" s="9" t="s">
        <v>127</v>
      </c>
      <c r="J35" s="9">
        <v>15000</v>
      </c>
      <c r="K35" s="8" t="s">
        <v>183</v>
      </c>
    </row>
    <row r="36" spans="1:11" ht="38.25" x14ac:dyDescent="0.25">
      <c r="A36" s="7">
        <v>29</v>
      </c>
      <c r="B36" s="8" t="s">
        <v>184</v>
      </c>
      <c r="C36" s="7" t="s">
        <v>39</v>
      </c>
      <c r="D36" s="8" t="s">
        <v>185</v>
      </c>
      <c r="E36" s="7" t="s">
        <v>143</v>
      </c>
      <c r="F36" s="8" t="s">
        <v>101</v>
      </c>
      <c r="G36" s="7" t="s">
        <v>35</v>
      </c>
      <c r="H36" s="8" t="s">
        <v>102</v>
      </c>
      <c r="I36" s="9" t="s">
        <v>177</v>
      </c>
      <c r="J36" s="9">
        <v>8000</v>
      </c>
      <c r="K36" s="8" t="s">
        <v>186</v>
      </c>
    </row>
    <row r="37" spans="1:11" ht="38.25" x14ac:dyDescent="0.25">
      <c r="A37" s="7">
        <v>30</v>
      </c>
      <c r="B37" s="8" t="s">
        <v>187</v>
      </c>
      <c r="C37" s="7" t="s">
        <v>188</v>
      </c>
      <c r="D37" s="8" t="s">
        <v>189</v>
      </c>
      <c r="E37" s="7" t="s">
        <v>143</v>
      </c>
      <c r="F37" s="8" t="s">
        <v>190</v>
      </c>
      <c r="G37" s="7" t="s">
        <v>191</v>
      </c>
      <c r="H37" s="8" t="s">
        <v>192</v>
      </c>
      <c r="I37" s="9" t="s">
        <v>193</v>
      </c>
      <c r="J37" s="9">
        <v>2500</v>
      </c>
      <c r="K37" s="8" t="s">
        <v>194</v>
      </c>
    </row>
    <row r="39" spans="1:11" x14ac:dyDescent="0.25">
      <c r="A39" s="2" t="s">
        <v>195</v>
      </c>
      <c r="B39" s="2"/>
      <c r="C39" s="2"/>
      <c r="D39" s="2"/>
      <c r="E39" s="2"/>
      <c r="F39" s="2"/>
      <c r="G39" s="2"/>
      <c r="H39" s="2"/>
      <c r="I39" s="2"/>
      <c r="J39" s="10">
        <f>SUM(J5:J37)</f>
        <v>4966100</v>
      </c>
    </row>
    <row r="41" spans="1:11" ht="32.85" customHeight="1" x14ac:dyDescent="0.25">
      <c r="A41" s="1" t="s">
        <v>196</v>
      </c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mergeCells count="7">
    <mergeCell ref="A39:I39"/>
    <mergeCell ref="A41:K41"/>
    <mergeCell ref="A1:K1"/>
    <mergeCell ref="A2:K2"/>
    <mergeCell ref="A5:K5"/>
    <mergeCell ref="A14:K14"/>
    <mergeCell ref="A26:K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Эстрада - поставщики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Pine</cp:lastModifiedBy>
  <cp:revision>0</cp:revision>
  <dcterms:created xsi:type="dcterms:W3CDTF">2026-06-23T04:14:47Z</dcterms:created>
  <dcterms:modified xsi:type="dcterms:W3CDTF">2026-06-23T04:37:43Z</dcterms:modified>
  <dc:language>en-US</dc:language>
</cp:coreProperties>
</file>